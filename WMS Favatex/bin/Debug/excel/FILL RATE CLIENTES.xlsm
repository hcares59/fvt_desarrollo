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desarrollo\Desktop\"/>
    </mc:Choice>
  </mc:AlternateContent>
  <bookViews>
    <workbookView showSheetTabs="0" xWindow="0" yWindow="0" windowWidth="20490" windowHeight="7905" tabRatio="696"/>
  </bookViews>
  <sheets>
    <sheet name="RESUMEN" sheetId="2" r:id="rId1"/>
    <sheet name="DETALLE" sheetId="6" state="veryHidden" r:id="rId2"/>
    <sheet name="PICKING" sheetId="8" state="veryHidden" r:id="rId3"/>
    <sheet name="DB_DETALLE" sheetId="5" state="veryHidden" r:id="rId4"/>
    <sheet name="DB" sheetId="1" state="veryHidden" r:id="rId5"/>
    <sheet name="DB_PICKING" sheetId="7" state="veryHidden" r:id="rId6"/>
  </sheets>
  <definedNames>
    <definedName name="_192.168.1.8_POSEIDONSQL_APPFVT_01_tbl_detalle_fill_rate" localSheetId="3" hidden="1">DB_DETALLE!$A$1:$N$1682</definedName>
    <definedName name="_192.168.1.8_POSEIDONSQL_APPFVT_01_tbl_picking_fill_rate" localSheetId="5" hidden="1">DB_PICKING!$A$1:$M$1868</definedName>
    <definedName name="_192.168.1.8_POSEIDONSQL_APPFVT_01_tblFillRateFechas" localSheetId="4" hidden="1">DB!$A$1:$K$1470</definedName>
  </definedNames>
  <calcPr calcId="152511"/>
  <pivotCaches>
    <pivotCache cacheId="9" r:id="rId7"/>
    <pivotCache cacheId="19" r:id="rId8"/>
    <pivotCache cacheId="4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5" l="1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1005" i="5"/>
  <c r="O1006" i="5"/>
  <c r="O1007" i="5"/>
  <c r="O1008" i="5"/>
  <c r="O1009" i="5"/>
  <c r="O1010" i="5"/>
  <c r="O1011" i="5"/>
  <c r="O1012" i="5"/>
  <c r="O1013" i="5"/>
  <c r="O1014" i="5"/>
  <c r="O1015" i="5"/>
  <c r="O1016" i="5"/>
  <c r="O1017" i="5"/>
  <c r="O1018" i="5"/>
  <c r="O1019" i="5"/>
  <c r="O1020" i="5"/>
  <c r="O1021" i="5"/>
  <c r="O1022" i="5"/>
  <c r="O1023" i="5"/>
  <c r="O1024" i="5"/>
  <c r="O1025" i="5"/>
  <c r="O1026" i="5"/>
  <c r="O1027" i="5"/>
  <c r="O1028" i="5"/>
  <c r="O1029" i="5"/>
  <c r="O1030" i="5"/>
  <c r="O1031" i="5"/>
  <c r="O1032" i="5"/>
  <c r="O1033" i="5"/>
  <c r="O1034" i="5"/>
  <c r="O1035" i="5"/>
  <c r="O1036" i="5"/>
  <c r="O1037" i="5"/>
  <c r="O1038" i="5"/>
  <c r="O1039" i="5"/>
  <c r="O1040" i="5"/>
  <c r="O1041" i="5"/>
  <c r="O1042" i="5"/>
  <c r="O1043" i="5"/>
  <c r="O1044" i="5"/>
  <c r="O1045" i="5"/>
  <c r="O1046" i="5"/>
  <c r="O1047" i="5"/>
  <c r="O1048" i="5"/>
  <c r="O1049" i="5"/>
  <c r="O1050" i="5"/>
  <c r="O1051" i="5"/>
  <c r="O1052" i="5"/>
  <c r="O1053" i="5"/>
  <c r="O1054" i="5"/>
  <c r="O1055" i="5"/>
  <c r="O1056" i="5"/>
  <c r="O1057" i="5"/>
  <c r="O1058" i="5"/>
  <c r="O1059" i="5"/>
  <c r="O1060" i="5"/>
  <c r="O1061" i="5"/>
  <c r="O1062" i="5"/>
  <c r="O1063" i="5"/>
  <c r="O1064" i="5"/>
  <c r="O1065" i="5"/>
  <c r="O1066" i="5"/>
  <c r="O1067" i="5"/>
  <c r="O1068" i="5"/>
  <c r="O1069" i="5"/>
  <c r="O1070" i="5"/>
  <c r="O1071" i="5"/>
  <c r="O1072" i="5"/>
  <c r="O1073" i="5"/>
  <c r="O1074" i="5"/>
  <c r="O1075" i="5"/>
  <c r="O1076" i="5"/>
  <c r="O1077" i="5"/>
  <c r="O1078" i="5"/>
  <c r="O1079" i="5"/>
  <c r="O1080" i="5"/>
  <c r="O1081" i="5"/>
  <c r="O1082" i="5"/>
  <c r="O1083" i="5"/>
  <c r="O1084" i="5"/>
  <c r="O1085" i="5"/>
  <c r="O1086" i="5"/>
  <c r="O1087" i="5"/>
  <c r="O1088" i="5"/>
  <c r="O1089" i="5"/>
  <c r="O1090" i="5"/>
  <c r="O1091" i="5"/>
  <c r="O1092" i="5"/>
  <c r="O1093" i="5"/>
  <c r="O1094" i="5"/>
  <c r="O1095" i="5"/>
  <c r="O1096" i="5"/>
  <c r="O1097" i="5"/>
  <c r="O1098" i="5"/>
  <c r="O1099" i="5"/>
  <c r="O1100" i="5"/>
  <c r="O1101" i="5"/>
  <c r="O1102" i="5"/>
  <c r="O1103" i="5"/>
  <c r="O1104" i="5"/>
  <c r="O1105" i="5"/>
  <c r="O1106" i="5"/>
  <c r="O1107" i="5"/>
  <c r="O1108" i="5"/>
  <c r="O1109" i="5"/>
  <c r="O1110" i="5"/>
  <c r="O1111" i="5"/>
  <c r="O1112" i="5"/>
  <c r="O1113" i="5"/>
  <c r="O1114" i="5"/>
  <c r="O1115" i="5"/>
  <c r="O1116" i="5"/>
  <c r="O1117" i="5"/>
  <c r="O1118" i="5"/>
  <c r="O1119" i="5"/>
  <c r="O1120" i="5"/>
  <c r="O1121" i="5"/>
  <c r="O1122" i="5"/>
  <c r="O1123" i="5"/>
  <c r="O1124" i="5"/>
  <c r="O1125" i="5"/>
  <c r="O1126" i="5"/>
  <c r="O1127" i="5"/>
  <c r="O1128" i="5"/>
  <c r="O1129" i="5"/>
  <c r="O1130" i="5"/>
  <c r="O1131" i="5"/>
  <c r="O1132" i="5"/>
  <c r="O1133" i="5"/>
  <c r="O1134" i="5"/>
  <c r="O1135" i="5"/>
  <c r="O1136" i="5"/>
  <c r="O1137" i="5"/>
  <c r="O1138" i="5"/>
  <c r="O1139" i="5"/>
  <c r="O1140" i="5"/>
  <c r="O1141" i="5"/>
  <c r="O1142" i="5"/>
  <c r="O1143" i="5"/>
  <c r="O1144" i="5"/>
  <c r="O1145" i="5"/>
  <c r="O1146" i="5"/>
  <c r="O1147" i="5"/>
  <c r="O1148" i="5"/>
  <c r="O1149" i="5"/>
  <c r="O1150" i="5"/>
  <c r="O1151" i="5"/>
  <c r="O1152" i="5"/>
  <c r="O1153" i="5"/>
  <c r="O1154" i="5"/>
  <c r="O1155" i="5"/>
  <c r="O1156" i="5"/>
  <c r="O1157" i="5"/>
  <c r="O1158" i="5"/>
  <c r="O1159" i="5"/>
  <c r="O1160" i="5"/>
  <c r="O1161" i="5"/>
  <c r="O1162" i="5"/>
  <c r="O1163" i="5"/>
  <c r="O1164" i="5"/>
  <c r="O1165" i="5"/>
  <c r="O1166" i="5"/>
  <c r="O1167" i="5"/>
  <c r="O1168" i="5"/>
  <c r="O1169" i="5"/>
  <c r="O1170" i="5"/>
  <c r="O1171" i="5"/>
  <c r="O1172" i="5"/>
  <c r="O1173" i="5"/>
  <c r="O1174" i="5"/>
  <c r="O1175" i="5"/>
  <c r="O1176" i="5"/>
  <c r="O1177" i="5"/>
  <c r="O1178" i="5"/>
  <c r="O1179" i="5"/>
  <c r="O1180" i="5"/>
  <c r="O1181" i="5"/>
  <c r="O1182" i="5"/>
  <c r="O1183" i="5"/>
  <c r="O1184" i="5"/>
  <c r="O1185" i="5"/>
  <c r="O1186" i="5"/>
  <c r="O1187" i="5"/>
  <c r="O1188" i="5"/>
  <c r="O1189" i="5"/>
  <c r="O1190" i="5"/>
  <c r="O1191" i="5"/>
  <c r="O1192" i="5"/>
  <c r="O1193" i="5"/>
  <c r="O1194" i="5"/>
  <c r="O1195" i="5"/>
  <c r="O1196" i="5"/>
  <c r="O1197" i="5"/>
  <c r="O1198" i="5"/>
  <c r="O1199" i="5"/>
  <c r="O1200" i="5"/>
  <c r="O1201" i="5"/>
  <c r="O1202" i="5"/>
  <c r="O1203" i="5"/>
  <c r="O1204" i="5"/>
  <c r="O1205" i="5"/>
  <c r="O1206" i="5"/>
  <c r="O1207" i="5"/>
  <c r="O1208" i="5"/>
  <c r="O1209" i="5"/>
  <c r="O1210" i="5"/>
  <c r="O1211" i="5"/>
  <c r="O1212" i="5"/>
  <c r="O1213" i="5"/>
  <c r="O1214" i="5"/>
  <c r="O1215" i="5"/>
  <c r="O1216" i="5"/>
  <c r="O1217" i="5"/>
  <c r="O1218" i="5"/>
  <c r="O1219" i="5"/>
  <c r="O1220" i="5"/>
  <c r="O1221" i="5"/>
  <c r="O1222" i="5"/>
  <c r="O1223" i="5"/>
  <c r="O1224" i="5"/>
  <c r="O1225" i="5"/>
  <c r="O1226" i="5"/>
  <c r="O1227" i="5"/>
  <c r="O1228" i="5"/>
  <c r="O1229" i="5"/>
  <c r="O1230" i="5"/>
  <c r="O1231" i="5"/>
  <c r="O1232" i="5"/>
  <c r="O1233" i="5"/>
  <c r="O1234" i="5"/>
  <c r="O1235" i="5"/>
  <c r="O1236" i="5"/>
  <c r="O1237" i="5"/>
  <c r="O1238" i="5"/>
  <c r="O1239" i="5"/>
  <c r="O1240" i="5"/>
  <c r="O1241" i="5"/>
  <c r="O1242" i="5"/>
  <c r="O1243" i="5"/>
  <c r="O1244" i="5"/>
  <c r="O1245" i="5"/>
  <c r="O1246" i="5"/>
  <c r="O1247" i="5"/>
  <c r="O1248" i="5"/>
  <c r="O1249" i="5"/>
  <c r="O1250" i="5"/>
  <c r="O1251" i="5"/>
  <c r="O1252" i="5"/>
  <c r="O1253" i="5"/>
  <c r="O1254" i="5"/>
  <c r="O1255" i="5"/>
  <c r="O1256" i="5"/>
  <c r="O1257" i="5"/>
  <c r="O1258" i="5"/>
  <c r="O1259" i="5"/>
  <c r="O1260" i="5"/>
  <c r="O1261" i="5"/>
  <c r="O1262" i="5"/>
  <c r="O1263" i="5"/>
  <c r="O1264" i="5"/>
  <c r="O1265" i="5"/>
  <c r="O1266" i="5"/>
  <c r="O1267" i="5"/>
  <c r="O1268" i="5"/>
  <c r="O1269" i="5"/>
  <c r="O1270" i="5"/>
  <c r="O1271" i="5"/>
  <c r="O1272" i="5"/>
  <c r="O1273" i="5"/>
  <c r="O1274" i="5"/>
  <c r="O1275" i="5"/>
  <c r="O1276" i="5"/>
  <c r="O1277" i="5"/>
  <c r="O1278" i="5"/>
  <c r="O1279" i="5"/>
  <c r="O1280" i="5"/>
  <c r="O1281" i="5"/>
  <c r="O1282" i="5"/>
  <c r="O1283" i="5"/>
  <c r="O1284" i="5"/>
  <c r="O1285" i="5"/>
  <c r="O1286" i="5"/>
  <c r="O1287" i="5"/>
  <c r="O1288" i="5"/>
  <c r="O1289" i="5"/>
  <c r="O1290" i="5"/>
  <c r="O1291" i="5"/>
  <c r="O1292" i="5"/>
  <c r="O1293" i="5"/>
  <c r="O1294" i="5"/>
  <c r="O1295" i="5"/>
  <c r="O1296" i="5"/>
  <c r="O1297" i="5"/>
  <c r="O1298" i="5"/>
  <c r="O1299" i="5"/>
  <c r="O1300" i="5"/>
  <c r="O1301" i="5"/>
  <c r="O1302" i="5"/>
  <c r="O1303" i="5"/>
  <c r="O1304" i="5"/>
  <c r="O1305" i="5"/>
  <c r="O1306" i="5"/>
  <c r="O1307" i="5"/>
  <c r="O1308" i="5"/>
  <c r="O1309" i="5"/>
  <c r="O1310" i="5"/>
  <c r="O1311" i="5"/>
  <c r="O1312" i="5"/>
  <c r="O1313" i="5"/>
  <c r="O1314" i="5"/>
  <c r="O1315" i="5"/>
  <c r="O1316" i="5"/>
  <c r="O1317" i="5"/>
  <c r="O1318" i="5"/>
  <c r="O1319" i="5"/>
  <c r="O1320" i="5"/>
  <c r="O1321" i="5"/>
  <c r="O1322" i="5"/>
  <c r="O1323" i="5"/>
  <c r="O1324" i="5"/>
  <c r="O1325" i="5"/>
  <c r="O1326" i="5"/>
  <c r="O1327" i="5"/>
  <c r="O1328" i="5"/>
  <c r="O1329" i="5"/>
  <c r="O1330" i="5"/>
  <c r="O1331" i="5"/>
  <c r="O1332" i="5"/>
  <c r="O1333" i="5"/>
  <c r="O1334" i="5"/>
  <c r="O1335" i="5"/>
  <c r="O1336" i="5"/>
  <c r="O1337" i="5"/>
  <c r="O1338" i="5"/>
  <c r="O1339" i="5"/>
  <c r="O1340" i="5"/>
  <c r="O1341" i="5"/>
  <c r="O1342" i="5"/>
  <c r="O1343" i="5"/>
  <c r="O1344" i="5"/>
  <c r="O1345" i="5"/>
  <c r="O1346" i="5"/>
  <c r="O1347" i="5"/>
  <c r="O1348" i="5"/>
  <c r="O1349" i="5"/>
  <c r="O1350" i="5"/>
  <c r="O1351" i="5"/>
  <c r="O1352" i="5"/>
  <c r="O1353" i="5"/>
  <c r="O1354" i="5"/>
  <c r="O1355" i="5"/>
  <c r="O1356" i="5"/>
  <c r="O1357" i="5"/>
  <c r="O1358" i="5"/>
  <c r="O1359" i="5"/>
  <c r="O1360" i="5"/>
  <c r="O1361" i="5"/>
  <c r="O1362" i="5"/>
  <c r="O1363" i="5"/>
  <c r="O1364" i="5"/>
  <c r="O1365" i="5"/>
  <c r="O1366" i="5"/>
  <c r="O1367" i="5"/>
  <c r="O1368" i="5"/>
  <c r="O1369" i="5"/>
  <c r="O1370" i="5"/>
  <c r="O1371" i="5"/>
  <c r="O1372" i="5"/>
  <c r="O1373" i="5"/>
  <c r="O1374" i="5"/>
  <c r="O1375" i="5"/>
  <c r="O1376" i="5"/>
  <c r="O1377" i="5"/>
  <c r="O1378" i="5"/>
  <c r="O1379" i="5"/>
  <c r="O1380" i="5"/>
  <c r="O1381" i="5"/>
  <c r="O1382" i="5"/>
  <c r="O1383" i="5"/>
  <c r="O1384" i="5"/>
  <c r="O1385" i="5"/>
  <c r="O1386" i="5"/>
  <c r="O1387" i="5"/>
  <c r="O1388" i="5"/>
  <c r="O1389" i="5"/>
  <c r="O1390" i="5"/>
  <c r="O1391" i="5"/>
  <c r="O1392" i="5"/>
  <c r="O1393" i="5"/>
  <c r="O1394" i="5"/>
  <c r="O1395" i="5"/>
  <c r="O1396" i="5"/>
  <c r="O1397" i="5"/>
  <c r="O1398" i="5"/>
  <c r="O1399" i="5"/>
  <c r="O1400" i="5"/>
  <c r="O1401" i="5"/>
  <c r="O1402" i="5"/>
  <c r="O1403" i="5"/>
  <c r="O1404" i="5"/>
  <c r="O1405" i="5"/>
  <c r="O1406" i="5"/>
  <c r="O1407" i="5"/>
  <c r="O1408" i="5"/>
  <c r="O1409" i="5"/>
  <c r="O1410" i="5"/>
  <c r="O1411" i="5"/>
  <c r="O1412" i="5"/>
  <c r="O1413" i="5"/>
  <c r="O1414" i="5"/>
  <c r="O1415" i="5"/>
  <c r="O1416" i="5"/>
  <c r="O1417" i="5"/>
  <c r="O1418" i="5"/>
  <c r="O1419" i="5"/>
  <c r="O1420" i="5"/>
  <c r="O1421" i="5"/>
  <c r="O1422" i="5"/>
  <c r="O1423" i="5"/>
  <c r="O1424" i="5"/>
  <c r="O1425" i="5"/>
  <c r="O1426" i="5"/>
  <c r="O1427" i="5"/>
  <c r="O1428" i="5"/>
  <c r="O1429" i="5"/>
  <c r="O1430" i="5"/>
  <c r="O1431" i="5"/>
  <c r="O1432" i="5"/>
  <c r="O1433" i="5"/>
  <c r="O1434" i="5"/>
  <c r="O1435" i="5"/>
  <c r="O1436" i="5"/>
  <c r="O1437" i="5"/>
  <c r="O1438" i="5"/>
  <c r="O1439" i="5"/>
  <c r="O1440" i="5"/>
  <c r="O1441" i="5"/>
  <c r="O1442" i="5"/>
  <c r="O1443" i="5"/>
  <c r="O1444" i="5"/>
  <c r="O1445" i="5"/>
  <c r="O1446" i="5"/>
  <c r="O1447" i="5"/>
  <c r="O1448" i="5"/>
  <c r="O1449" i="5"/>
  <c r="O1450" i="5"/>
  <c r="O1451" i="5"/>
  <c r="O1452" i="5"/>
  <c r="O1453" i="5"/>
  <c r="O1454" i="5"/>
  <c r="O1455" i="5"/>
  <c r="O1456" i="5"/>
  <c r="O1457" i="5"/>
  <c r="O1458" i="5"/>
  <c r="O1459" i="5"/>
  <c r="O1460" i="5"/>
  <c r="O1461" i="5"/>
  <c r="O1462" i="5"/>
  <c r="O1463" i="5"/>
  <c r="O1464" i="5"/>
  <c r="O1465" i="5"/>
  <c r="O1466" i="5"/>
  <c r="O1467" i="5"/>
  <c r="O1468" i="5"/>
  <c r="O1469" i="5"/>
  <c r="O1470" i="5"/>
  <c r="O1471" i="5"/>
  <c r="O1472" i="5"/>
  <c r="O1473" i="5"/>
  <c r="O1474" i="5"/>
  <c r="O1475" i="5"/>
  <c r="O1476" i="5"/>
  <c r="O1477" i="5"/>
  <c r="O1478" i="5"/>
  <c r="O1479" i="5"/>
  <c r="O1480" i="5"/>
  <c r="O1481" i="5"/>
  <c r="O1482" i="5"/>
  <c r="O1483" i="5"/>
  <c r="O1484" i="5"/>
  <c r="O1485" i="5"/>
  <c r="O1486" i="5"/>
  <c r="O1487" i="5"/>
  <c r="O1488" i="5"/>
  <c r="O1489" i="5"/>
  <c r="O1490" i="5"/>
  <c r="O1491" i="5"/>
  <c r="O1492" i="5"/>
  <c r="O1493" i="5"/>
  <c r="O1494" i="5"/>
  <c r="O1495" i="5"/>
  <c r="O1496" i="5"/>
  <c r="O1497" i="5"/>
  <c r="O1498" i="5"/>
  <c r="O1499" i="5"/>
  <c r="O1500" i="5"/>
  <c r="O1501" i="5"/>
  <c r="O1502" i="5"/>
  <c r="O1503" i="5"/>
  <c r="O1504" i="5"/>
  <c r="O1505" i="5"/>
  <c r="O1506" i="5"/>
  <c r="O1507" i="5"/>
  <c r="O1508" i="5"/>
  <c r="O1509" i="5"/>
  <c r="O1510" i="5"/>
  <c r="O1511" i="5"/>
  <c r="O1512" i="5"/>
  <c r="O1513" i="5"/>
  <c r="O1514" i="5"/>
  <c r="O1515" i="5"/>
  <c r="O1516" i="5"/>
  <c r="O1517" i="5"/>
  <c r="O1518" i="5"/>
  <c r="O1519" i="5"/>
  <c r="O1520" i="5"/>
  <c r="O1521" i="5"/>
  <c r="O1522" i="5"/>
  <c r="O1523" i="5"/>
  <c r="O1524" i="5"/>
  <c r="O1525" i="5"/>
  <c r="O1526" i="5"/>
  <c r="O1527" i="5"/>
  <c r="O1528" i="5"/>
  <c r="O1529" i="5"/>
  <c r="O1530" i="5"/>
  <c r="O1531" i="5"/>
  <c r="O1532" i="5"/>
  <c r="O1533" i="5"/>
  <c r="O1534" i="5"/>
  <c r="O1535" i="5"/>
  <c r="O1536" i="5"/>
  <c r="O1537" i="5"/>
  <c r="O1538" i="5"/>
  <c r="O1539" i="5"/>
  <c r="O1540" i="5"/>
  <c r="O1541" i="5"/>
  <c r="O1542" i="5"/>
  <c r="O1543" i="5"/>
  <c r="O1544" i="5"/>
  <c r="O1545" i="5"/>
  <c r="O1546" i="5"/>
  <c r="O1547" i="5"/>
  <c r="O1548" i="5"/>
  <c r="O1549" i="5"/>
  <c r="O1550" i="5"/>
  <c r="O1551" i="5"/>
  <c r="O1552" i="5"/>
  <c r="O1553" i="5"/>
  <c r="O1554" i="5"/>
  <c r="O1555" i="5"/>
  <c r="O1556" i="5"/>
  <c r="O1557" i="5"/>
  <c r="O1558" i="5"/>
  <c r="O1559" i="5"/>
  <c r="O1560" i="5"/>
  <c r="O1561" i="5"/>
  <c r="O1562" i="5"/>
  <c r="O1563" i="5"/>
  <c r="O1564" i="5"/>
  <c r="O1565" i="5"/>
  <c r="O1566" i="5"/>
  <c r="O1567" i="5"/>
  <c r="O1568" i="5"/>
  <c r="O1569" i="5"/>
  <c r="O1570" i="5"/>
  <c r="O1571" i="5"/>
  <c r="O1572" i="5"/>
  <c r="O1573" i="5"/>
  <c r="O1574" i="5"/>
  <c r="O1575" i="5"/>
  <c r="O1576" i="5"/>
  <c r="O1577" i="5"/>
  <c r="O1578" i="5"/>
  <c r="O1579" i="5"/>
  <c r="O1580" i="5"/>
  <c r="O1581" i="5"/>
  <c r="O1582" i="5"/>
  <c r="O1583" i="5"/>
  <c r="O1584" i="5"/>
  <c r="O1585" i="5"/>
  <c r="O1586" i="5"/>
  <c r="O1587" i="5"/>
  <c r="O1588" i="5"/>
  <c r="O1589" i="5"/>
  <c r="O1590" i="5"/>
  <c r="O1591" i="5"/>
  <c r="O1592" i="5"/>
  <c r="O1593" i="5"/>
  <c r="O1594" i="5"/>
  <c r="O1595" i="5"/>
  <c r="O1596" i="5"/>
  <c r="O1597" i="5"/>
  <c r="O1598" i="5"/>
  <c r="O1599" i="5"/>
  <c r="O1600" i="5"/>
  <c r="O1601" i="5"/>
  <c r="O1602" i="5"/>
  <c r="O1603" i="5"/>
  <c r="O1604" i="5"/>
  <c r="O1605" i="5"/>
  <c r="O1606" i="5"/>
  <c r="O1607" i="5"/>
  <c r="O1608" i="5"/>
  <c r="O1609" i="5"/>
  <c r="O1610" i="5"/>
  <c r="O1611" i="5"/>
  <c r="O1612" i="5"/>
  <c r="O1613" i="5"/>
  <c r="O1614" i="5"/>
  <c r="O1615" i="5"/>
  <c r="O1616" i="5"/>
  <c r="O1617" i="5"/>
  <c r="O1618" i="5"/>
  <c r="O1619" i="5"/>
  <c r="O1620" i="5"/>
  <c r="O1621" i="5"/>
  <c r="O1622" i="5"/>
  <c r="O1623" i="5"/>
  <c r="O1624" i="5"/>
  <c r="O1625" i="5"/>
  <c r="O1626" i="5"/>
  <c r="O1627" i="5"/>
  <c r="O1628" i="5"/>
  <c r="O1629" i="5"/>
  <c r="O1630" i="5"/>
  <c r="O1631" i="5"/>
  <c r="O1632" i="5"/>
  <c r="O1633" i="5"/>
  <c r="O1634" i="5"/>
  <c r="O1635" i="5"/>
  <c r="O1636" i="5"/>
  <c r="O1637" i="5"/>
  <c r="O1638" i="5"/>
  <c r="O1639" i="5"/>
  <c r="O1640" i="5"/>
  <c r="O1641" i="5"/>
  <c r="O1642" i="5"/>
  <c r="O1643" i="5"/>
  <c r="O1644" i="5"/>
  <c r="O1645" i="5"/>
  <c r="O1646" i="5"/>
  <c r="O1647" i="5"/>
  <c r="O1648" i="5"/>
  <c r="O1649" i="5"/>
  <c r="O1650" i="5"/>
  <c r="O1651" i="5"/>
  <c r="O1652" i="5"/>
  <c r="O1653" i="5"/>
  <c r="O1654" i="5"/>
  <c r="O1655" i="5"/>
  <c r="O1656" i="5"/>
  <c r="O1657" i="5"/>
  <c r="O1658" i="5"/>
  <c r="O1659" i="5"/>
  <c r="O1660" i="5"/>
  <c r="O1661" i="5"/>
  <c r="O1662" i="5"/>
  <c r="O1663" i="5"/>
  <c r="O1664" i="5"/>
  <c r="O1665" i="5"/>
  <c r="O1666" i="5"/>
  <c r="O1667" i="5"/>
  <c r="O1668" i="5"/>
  <c r="O1669" i="5"/>
  <c r="O1670" i="5"/>
  <c r="O1671" i="5"/>
  <c r="O1672" i="5"/>
  <c r="O1673" i="5"/>
  <c r="O1674" i="5"/>
  <c r="O1675" i="5"/>
  <c r="O1676" i="5"/>
  <c r="O1677" i="5"/>
  <c r="O1678" i="5"/>
  <c r="O1679" i="5"/>
  <c r="O1680" i="5"/>
  <c r="O1681" i="5"/>
  <c r="O1682" i="5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1001" i="5"/>
  <c r="P1002" i="5"/>
  <c r="P1003" i="5"/>
  <c r="P1004" i="5"/>
  <c r="P1005" i="5"/>
  <c r="P1006" i="5"/>
  <c r="P1007" i="5"/>
  <c r="P1008" i="5"/>
  <c r="P1009" i="5"/>
  <c r="P1010" i="5"/>
  <c r="P1011" i="5"/>
  <c r="P1012" i="5"/>
  <c r="P1013" i="5"/>
  <c r="P1014" i="5"/>
  <c r="P1015" i="5"/>
  <c r="P1016" i="5"/>
  <c r="P1017" i="5"/>
  <c r="P1018" i="5"/>
  <c r="P1019" i="5"/>
  <c r="P1020" i="5"/>
  <c r="P1021" i="5"/>
  <c r="P1022" i="5"/>
  <c r="P1023" i="5"/>
  <c r="P1024" i="5"/>
  <c r="P1025" i="5"/>
  <c r="P1026" i="5"/>
  <c r="P1027" i="5"/>
  <c r="P1028" i="5"/>
  <c r="P1029" i="5"/>
  <c r="P1030" i="5"/>
  <c r="P1031" i="5"/>
  <c r="P1032" i="5"/>
  <c r="P1033" i="5"/>
  <c r="P1034" i="5"/>
  <c r="P1035" i="5"/>
  <c r="P1036" i="5"/>
  <c r="P1037" i="5"/>
  <c r="P1038" i="5"/>
  <c r="P1039" i="5"/>
  <c r="P1040" i="5"/>
  <c r="P1041" i="5"/>
  <c r="P1042" i="5"/>
  <c r="P1043" i="5"/>
  <c r="P1044" i="5"/>
  <c r="P1045" i="5"/>
  <c r="P1046" i="5"/>
  <c r="P1047" i="5"/>
  <c r="P1048" i="5"/>
  <c r="P1049" i="5"/>
  <c r="P1050" i="5"/>
  <c r="P1051" i="5"/>
  <c r="P1052" i="5"/>
  <c r="P1053" i="5"/>
  <c r="P1054" i="5"/>
  <c r="P1055" i="5"/>
  <c r="P1056" i="5"/>
  <c r="P1057" i="5"/>
  <c r="P1058" i="5"/>
  <c r="P1059" i="5"/>
  <c r="P1060" i="5"/>
  <c r="P1061" i="5"/>
  <c r="P1062" i="5"/>
  <c r="P1063" i="5"/>
  <c r="P1064" i="5"/>
  <c r="P1065" i="5"/>
  <c r="P1066" i="5"/>
  <c r="P1067" i="5"/>
  <c r="P1068" i="5"/>
  <c r="P1069" i="5"/>
  <c r="P1070" i="5"/>
  <c r="P1071" i="5"/>
  <c r="P1072" i="5"/>
  <c r="P1073" i="5"/>
  <c r="P1074" i="5"/>
  <c r="P1075" i="5"/>
  <c r="P1076" i="5"/>
  <c r="P1077" i="5"/>
  <c r="P1078" i="5"/>
  <c r="P1079" i="5"/>
  <c r="P1080" i="5"/>
  <c r="P1081" i="5"/>
  <c r="P1082" i="5"/>
  <c r="P1083" i="5"/>
  <c r="P1084" i="5"/>
  <c r="P1085" i="5"/>
  <c r="P1086" i="5"/>
  <c r="P1087" i="5"/>
  <c r="P1088" i="5"/>
  <c r="P1089" i="5"/>
  <c r="P1090" i="5"/>
  <c r="P1091" i="5"/>
  <c r="P1092" i="5"/>
  <c r="P1093" i="5"/>
  <c r="P1094" i="5"/>
  <c r="P1095" i="5"/>
  <c r="P1096" i="5"/>
  <c r="P1097" i="5"/>
  <c r="P1098" i="5"/>
  <c r="P1099" i="5"/>
  <c r="P1100" i="5"/>
  <c r="P1101" i="5"/>
  <c r="P1102" i="5"/>
  <c r="P1103" i="5"/>
  <c r="P1104" i="5"/>
  <c r="P1105" i="5"/>
  <c r="P1106" i="5"/>
  <c r="P1107" i="5"/>
  <c r="P1108" i="5"/>
  <c r="P1109" i="5"/>
  <c r="P1110" i="5"/>
  <c r="P1111" i="5"/>
  <c r="P1112" i="5"/>
  <c r="P1113" i="5"/>
  <c r="P1114" i="5"/>
  <c r="P1115" i="5"/>
  <c r="P1116" i="5"/>
  <c r="P1117" i="5"/>
  <c r="P1118" i="5"/>
  <c r="P1119" i="5"/>
  <c r="P1120" i="5"/>
  <c r="P1121" i="5"/>
  <c r="P1122" i="5"/>
  <c r="P1123" i="5"/>
  <c r="P1124" i="5"/>
  <c r="P1125" i="5"/>
  <c r="P1126" i="5"/>
  <c r="P1127" i="5"/>
  <c r="P1128" i="5"/>
  <c r="P1129" i="5"/>
  <c r="P1130" i="5"/>
  <c r="P1131" i="5"/>
  <c r="P1132" i="5"/>
  <c r="P1133" i="5"/>
  <c r="P1134" i="5"/>
  <c r="P1135" i="5"/>
  <c r="P1136" i="5"/>
  <c r="P1137" i="5"/>
  <c r="P1138" i="5"/>
  <c r="P1139" i="5"/>
  <c r="P1140" i="5"/>
  <c r="P1141" i="5"/>
  <c r="P1142" i="5"/>
  <c r="P1143" i="5"/>
  <c r="P1144" i="5"/>
  <c r="P1145" i="5"/>
  <c r="P1146" i="5"/>
  <c r="P1147" i="5"/>
  <c r="P1148" i="5"/>
  <c r="P1149" i="5"/>
  <c r="P1150" i="5"/>
  <c r="P1151" i="5"/>
  <c r="P1152" i="5"/>
  <c r="P1153" i="5"/>
  <c r="P1154" i="5"/>
  <c r="P1155" i="5"/>
  <c r="P1156" i="5"/>
  <c r="P1157" i="5"/>
  <c r="P1158" i="5"/>
  <c r="P1159" i="5"/>
  <c r="P1160" i="5"/>
  <c r="P1161" i="5"/>
  <c r="P1162" i="5"/>
  <c r="P1163" i="5"/>
  <c r="P1164" i="5"/>
  <c r="P1165" i="5"/>
  <c r="P1166" i="5"/>
  <c r="P1167" i="5"/>
  <c r="P1168" i="5"/>
  <c r="P1169" i="5"/>
  <c r="P1170" i="5"/>
  <c r="P1171" i="5"/>
  <c r="P1172" i="5"/>
  <c r="P1173" i="5"/>
  <c r="P1174" i="5"/>
  <c r="P1175" i="5"/>
  <c r="P1176" i="5"/>
  <c r="P1177" i="5"/>
  <c r="P1178" i="5"/>
  <c r="P1179" i="5"/>
  <c r="P1180" i="5"/>
  <c r="P1181" i="5"/>
  <c r="P1182" i="5"/>
  <c r="P1183" i="5"/>
  <c r="P1184" i="5"/>
  <c r="P1185" i="5"/>
  <c r="P1186" i="5"/>
  <c r="P1187" i="5"/>
  <c r="P1188" i="5"/>
  <c r="P1189" i="5"/>
  <c r="P1190" i="5"/>
  <c r="P1191" i="5"/>
  <c r="P1192" i="5"/>
  <c r="P1193" i="5"/>
  <c r="P1194" i="5"/>
  <c r="P1195" i="5"/>
  <c r="P1196" i="5"/>
  <c r="P1197" i="5"/>
  <c r="P1198" i="5"/>
  <c r="P1199" i="5"/>
  <c r="P1200" i="5"/>
  <c r="P1201" i="5"/>
  <c r="P1202" i="5"/>
  <c r="P1203" i="5"/>
  <c r="P1204" i="5"/>
  <c r="P1205" i="5"/>
  <c r="P1206" i="5"/>
  <c r="P1207" i="5"/>
  <c r="P1208" i="5"/>
  <c r="P1209" i="5"/>
  <c r="P1210" i="5"/>
  <c r="P1211" i="5"/>
  <c r="P1212" i="5"/>
  <c r="P1213" i="5"/>
  <c r="P1214" i="5"/>
  <c r="P1215" i="5"/>
  <c r="P1216" i="5"/>
  <c r="P1217" i="5"/>
  <c r="P1218" i="5"/>
  <c r="P1219" i="5"/>
  <c r="P1220" i="5"/>
  <c r="P1221" i="5"/>
  <c r="P1222" i="5"/>
  <c r="P1223" i="5"/>
  <c r="P1224" i="5"/>
  <c r="P1225" i="5"/>
  <c r="P1226" i="5"/>
  <c r="P1227" i="5"/>
  <c r="P1228" i="5"/>
  <c r="P1229" i="5"/>
  <c r="P1230" i="5"/>
  <c r="P1231" i="5"/>
  <c r="P1232" i="5"/>
  <c r="P1233" i="5"/>
  <c r="P1234" i="5"/>
  <c r="P1235" i="5"/>
  <c r="P1236" i="5"/>
  <c r="P1237" i="5"/>
  <c r="P1238" i="5"/>
  <c r="P1239" i="5"/>
  <c r="P1240" i="5"/>
  <c r="P1241" i="5"/>
  <c r="P1242" i="5"/>
  <c r="P1243" i="5"/>
  <c r="P1244" i="5"/>
  <c r="P1245" i="5"/>
  <c r="P1246" i="5"/>
  <c r="P1247" i="5"/>
  <c r="P1248" i="5"/>
  <c r="P1249" i="5"/>
  <c r="P1250" i="5"/>
  <c r="P1251" i="5"/>
  <c r="P1252" i="5"/>
  <c r="P1253" i="5"/>
  <c r="P1254" i="5"/>
  <c r="P1255" i="5"/>
  <c r="P1256" i="5"/>
  <c r="P1257" i="5"/>
  <c r="P1258" i="5"/>
  <c r="P1259" i="5"/>
  <c r="P1260" i="5"/>
  <c r="P1261" i="5"/>
  <c r="P1262" i="5"/>
  <c r="P1263" i="5"/>
  <c r="P1264" i="5"/>
  <c r="P1265" i="5"/>
  <c r="P1266" i="5"/>
  <c r="P1267" i="5"/>
  <c r="P1268" i="5"/>
  <c r="P1269" i="5"/>
  <c r="P1270" i="5"/>
  <c r="P1271" i="5"/>
  <c r="P1272" i="5"/>
  <c r="P1273" i="5"/>
  <c r="P1274" i="5"/>
  <c r="P1275" i="5"/>
  <c r="P1276" i="5"/>
  <c r="P1277" i="5"/>
  <c r="P1278" i="5"/>
  <c r="P1279" i="5"/>
  <c r="P1280" i="5"/>
  <c r="P1281" i="5"/>
  <c r="P1282" i="5"/>
  <c r="P1283" i="5"/>
  <c r="P1284" i="5"/>
  <c r="P1285" i="5"/>
  <c r="P1286" i="5"/>
  <c r="P1287" i="5"/>
  <c r="P1288" i="5"/>
  <c r="P1289" i="5"/>
  <c r="P1290" i="5"/>
  <c r="P1291" i="5"/>
  <c r="P1292" i="5"/>
  <c r="P1293" i="5"/>
  <c r="P1294" i="5"/>
  <c r="P1295" i="5"/>
  <c r="P1296" i="5"/>
  <c r="P1297" i="5"/>
  <c r="P1298" i="5"/>
  <c r="P1299" i="5"/>
  <c r="P1300" i="5"/>
  <c r="P1301" i="5"/>
  <c r="P1302" i="5"/>
  <c r="P1303" i="5"/>
  <c r="P1304" i="5"/>
  <c r="P1305" i="5"/>
  <c r="P1306" i="5"/>
  <c r="P1307" i="5"/>
  <c r="P1308" i="5"/>
  <c r="P1309" i="5"/>
  <c r="P1310" i="5"/>
  <c r="P1311" i="5"/>
  <c r="P1312" i="5"/>
  <c r="P1313" i="5"/>
  <c r="P1314" i="5"/>
  <c r="P1315" i="5"/>
  <c r="P1316" i="5"/>
  <c r="P1317" i="5"/>
  <c r="P1318" i="5"/>
  <c r="P1319" i="5"/>
  <c r="P1320" i="5"/>
  <c r="P1321" i="5"/>
  <c r="P1322" i="5"/>
  <c r="P1323" i="5"/>
  <c r="P1324" i="5"/>
  <c r="P1325" i="5"/>
  <c r="P1326" i="5"/>
  <c r="P1327" i="5"/>
  <c r="P1328" i="5"/>
  <c r="P1329" i="5"/>
  <c r="P1330" i="5"/>
  <c r="P1331" i="5"/>
  <c r="P1332" i="5"/>
  <c r="P1333" i="5"/>
  <c r="P1334" i="5"/>
  <c r="P1335" i="5"/>
  <c r="P1336" i="5"/>
  <c r="P1337" i="5"/>
  <c r="P1338" i="5"/>
  <c r="P1339" i="5"/>
  <c r="P1340" i="5"/>
  <c r="P1341" i="5"/>
  <c r="P1342" i="5"/>
  <c r="P1343" i="5"/>
  <c r="P1344" i="5"/>
  <c r="P1345" i="5"/>
  <c r="P1346" i="5"/>
  <c r="P1347" i="5"/>
  <c r="P1348" i="5"/>
  <c r="P1349" i="5"/>
  <c r="P1350" i="5"/>
  <c r="P1351" i="5"/>
  <c r="P1352" i="5"/>
  <c r="P1353" i="5"/>
  <c r="P1354" i="5"/>
  <c r="P1355" i="5"/>
  <c r="P1356" i="5"/>
  <c r="P1357" i="5"/>
  <c r="P1358" i="5"/>
  <c r="P1359" i="5"/>
  <c r="P1360" i="5"/>
  <c r="P1361" i="5"/>
  <c r="P1362" i="5"/>
  <c r="P1363" i="5"/>
  <c r="P1364" i="5"/>
  <c r="P1365" i="5"/>
  <c r="P1366" i="5"/>
  <c r="P1367" i="5"/>
  <c r="P1368" i="5"/>
  <c r="P1369" i="5"/>
  <c r="P1370" i="5"/>
  <c r="P1371" i="5"/>
  <c r="P1372" i="5"/>
  <c r="P1373" i="5"/>
  <c r="P1374" i="5"/>
  <c r="P1375" i="5"/>
  <c r="P1376" i="5"/>
  <c r="P1377" i="5"/>
  <c r="P1378" i="5"/>
  <c r="P1379" i="5"/>
  <c r="P1380" i="5"/>
  <c r="P1381" i="5"/>
  <c r="P1382" i="5"/>
  <c r="P1383" i="5"/>
  <c r="P1384" i="5"/>
  <c r="P1385" i="5"/>
  <c r="P1386" i="5"/>
  <c r="P1387" i="5"/>
  <c r="P1388" i="5"/>
  <c r="P1389" i="5"/>
  <c r="P1390" i="5"/>
  <c r="P1391" i="5"/>
  <c r="P1392" i="5"/>
  <c r="P1393" i="5"/>
  <c r="P1394" i="5"/>
  <c r="P1395" i="5"/>
  <c r="P1396" i="5"/>
  <c r="P1397" i="5"/>
  <c r="P1398" i="5"/>
  <c r="P1399" i="5"/>
  <c r="P1400" i="5"/>
  <c r="P1401" i="5"/>
  <c r="P1402" i="5"/>
  <c r="P1403" i="5"/>
  <c r="P1404" i="5"/>
  <c r="P1405" i="5"/>
  <c r="P1406" i="5"/>
  <c r="P1407" i="5"/>
  <c r="P1408" i="5"/>
  <c r="P1409" i="5"/>
  <c r="P1410" i="5"/>
  <c r="P1411" i="5"/>
  <c r="P1412" i="5"/>
  <c r="P1413" i="5"/>
  <c r="P1414" i="5"/>
  <c r="P1415" i="5"/>
  <c r="P1416" i="5"/>
  <c r="P1417" i="5"/>
  <c r="P1418" i="5"/>
  <c r="P1419" i="5"/>
  <c r="P1420" i="5"/>
  <c r="P1421" i="5"/>
  <c r="P1422" i="5"/>
  <c r="P1423" i="5"/>
  <c r="P1424" i="5"/>
  <c r="P1425" i="5"/>
  <c r="P1426" i="5"/>
  <c r="P1427" i="5"/>
  <c r="P1428" i="5"/>
  <c r="P1429" i="5"/>
  <c r="P1430" i="5"/>
  <c r="P1431" i="5"/>
  <c r="P1432" i="5"/>
  <c r="P1433" i="5"/>
  <c r="P1434" i="5"/>
  <c r="P1435" i="5"/>
  <c r="P1436" i="5"/>
  <c r="P1437" i="5"/>
  <c r="P1438" i="5"/>
  <c r="P1439" i="5"/>
  <c r="P1440" i="5"/>
  <c r="P1441" i="5"/>
  <c r="P1442" i="5"/>
  <c r="P1443" i="5"/>
  <c r="P1444" i="5"/>
  <c r="P1445" i="5"/>
  <c r="P1446" i="5"/>
  <c r="P1447" i="5"/>
  <c r="P1448" i="5"/>
  <c r="P1449" i="5"/>
  <c r="P1450" i="5"/>
  <c r="P1451" i="5"/>
  <c r="P1452" i="5"/>
  <c r="P1453" i="5"/>
  <c r="P1454" i="5"/>
  <c r="P1455" i="5"/>
  <c r="P1456" i="5"/>
  <c r="P1457" i="5"/>
  <c r="P1458" i="5"/>
  <c r="P1459" i="5"/>
  <c r="P1460" i="5"/>
  <c r="P1461" i="5"/>
  <c r="P1462" i="5"/>
  <c r="P1463" i="5"/>
  <c r="P1464" i="5"/>
  <c r="P1465" i="5"/>
  <c r="P1466" i="5"/>
  <c r="P1467" i="5"/>
  <c r="P1468" i="5"/>
  <c r="P1469" i="5"/>
  <c r="P1470" i="5"/>
  <c r="P1471" i="5"/>
  <c r="P1472" i="5"/>
  <c r="P1473" i="5"/>
  <c r="P1474" i="5"/>
  <c r="P1475" i="5"/>
  <c r="P1476" i="5"/>
  <c r="P1477" i="5"/>
  <c r="P1478" i="5"/>
  <c r="P1479" i="5"/>
  <c r="P1480" i="5"/>
  <c r="P1481" i="5"/>
  <c r="P1482" i="5"/>
  <c r="P1483" i="5"/>
  <c r="P1484" i="5"/>
  <c r="P1485" i="5"/>
  <c r="P1486" i="5"/>
  <c r="P1487" i="5"/>
  <c r="P1488" i="5"/>
  <c r="P1489" i="5"/>
  <c r="P1490" i="5"/>
  <c r="P1491" i="5"/>
  <c r="P1492" i="5"/>
  <c r="P1493" i="5"/>
  <c r="P1494" i="5"/>
  <c r="P1495" i="5"/>
  <c r="P1496" i="5"/>
  <c r="P1497" i="5"/>
  <c r="P1498" i="5"/>
  <c r="P1499" i="5"/>
  <c r="P1500" i="5"/>
  <c r="P1501" i="5"/>
  <c r="P1502" i="5"/>
  <c r="P1503" i="5"/>
  <c r="P1504" i="5"/>
  <c r="P1505" i="5"/>
  <c r="P1506" i="5"/>
  <c r="P1507" i="5"/>
  <c r="P1508" i="5"/>
  <c r="P1509" i="5"/>
  <c r="P1510" i="5"/>
  <c r="P1511" i="5"/>
  <c r="P1512" i="5"/>
  <c r="P1513" i="5"/>
  <c r="P1514" i="5"/>
  <c r="P1515" i="5"/>
  <c r="P1516" i="5"/>
  <c r="P1517" i="5"/>
  <c r="P1518" i="5"/>
  <c r="P1519" i="5"/>
  <c r="P1520" i="5"/>
  <c r="P1521" i="5"/>
  <c r="P1522" i="5"/>
  <c r="P1523" i="5"/>
  <c r="P1524" i="5"/>
  <c r="P1525" i="5"/>
  <c r="P1526" i="5"/>
  <c r="P1527" i="5"/>
  <c r="P1528" i="5"/>
  <c r="P1529" i="5"/>
  <c r="P1530" i="5"/>
  <c r="P1531" i="5"/>
  <c r="P1532" i="5"/>
  <c r="P1533" i="5"/>
  <c r="P1534" i="5"/>
  <c r="P1535" i="5"/>
  <c r="P1536" i="5"/>
  <c r="P1537" i="5"/>
  <c r="P1538" i="5"/>
  <c r="P1539" i="5"/>
  <c r="P1540" i="5"/>
  <c r="P1541" i="5"/>
  <c r="P1542" i="5"/>
  <c r="P1543" i="5"/>
  <c r="P1544" i="5"/>
  <c r="P1545" i="5"/>
  <c r="P1546" i="5"/>
  <c r="P1547" i="5"/>
  <c r="P1548" i="5"/>
  <c r="P1549" i="5"/>
  <c r="P1550" i="5"/>
  <c r="P1551" i="5"/>
  <c r="P1552" i="5"/>
  <c r="P1553" i="5"/>
  <c r="P1554" i="5"/>
  <c r="P1555" i="5"/>
  <c r="P1556" i="5"/>
  <c r="P1557" i="5"/>
  <c r="P1558" i="5"/>
  <c r="P1559" i="5"/>
  <c r="P1560" i="5"/>
  <c r="P1561" i="5"/>
  <c r="P1562" i="5"/>
  <c r="P1563" i="5"/>
  <c r="P1564" i="5"/>
  <c r="P1565" i="5"/>
  <c r="P1566" i="5"/>
  <c r="P1567" i="5"/>
  <c r="P1568" i="5"/>
  <c r="P1569" i="5"/>
  <c r="P1570" i="5"/>
  <c r="P1571" i="5"/>
  <c r="P1572" i="5"/>
  <c r="P1573" i="5"/>
  <c r="P1574" i="5"/>
  <c r="P1575" i="5"/>
  <c r="P1576" i="5"/>
  <c r="P1577" i="5"/>
  <c r="P1578" i="5"/>
  <c r="P1579" i="5"/>
  <c r="P1580" i="5"/>
  <c r="P1581" i="5"/>
  <c r="P1582" i="5"/>
  <c r="P1583" i="5"/>
  <c r="P1584" i="5"/>
  <c r="P1585" i="5"/>
  <c r="P1586" i="5"/>
  <c r="P1587" i="5"/>
  <c r="P1588" i="5"/>
  <c r="P1589" i="5"/>
  <c r="P1590" i="5"/>
  <c r="P1591" i="5"/>
  <c r="P1592" i="5"/>
  <c r="P1593" i="5"/>
  <c r="P1594" i="5"/>
  <c r="P1595" i="5"/>
  <c r="P1596" i="5"/>
  <c r="P1597" i="5"/>
  <c r="P1598" i="5"/>
  <c r="P1599" i="5"/>
  <c r="P1600" i="5"/>
  <c r="P1601" i="5"/>
  <c r="P1602" i="5"/>
  <c r="P1603" i="5"/>
  <c r="P1604" i="5"/>
  <c r="P1605" i="5"/>
  <c r="P1606" i="5"/>
  <c r="P1607" i="5"/>
  <c r="P1608" i="5"/>
  <c r="P1609" i="5"/>
  <c r="P1610" i="5"/>
  <c r="P1611" i="5"/>
  <c r="P1612" i="5"/>
  <c r="P1613" i="5"/>
  <c r="P1614" i="5"/>
  <c r="P1615" i="5"/>
  <c r="P1616" i="5"/>
  <c r="P1617" i="5"/>
  <c r="P1618" i="5"/>
  <c r="P1619" i="5"/>
  <c r="P1620" i="5"/>
  <c r="P1621" i="5"/>
  <c r="P1622" i="5"/>
  <c r="P1623" i="5"/>
  <c r="P1624" i="5"/>
  <c r="P1625" i="5"/>
  <c r="P1626" i="5"/>
  <c r="P1627" i="5"/>
  <c r="P1628" i="5"/>
  <c r="P1629" i="5"/>
  <c r="P1630" i="5"/>
  <c r="P1631" i="5"/>
  <c r="P1632" i="5"/>
  <c r="P1633" i="5"/>
  <c r="P1634" i="5"/>
  <c r="P1635" i="5"/>
  <c r="P1636" i="5"/>
  <c r="P1637" i="5"/>
  <c r="P1638" i="5"/>
  <c r="P1639" i="5"/>
  <c r="P1640" i="5"/>
  <c r="P1641" i="5"/>
  <c r="P1642" i="5"/>
  <c r="P1643" i="5"/>
  <c r="P1644" i="5"/>
  <c r="P1645" i="5"/>
  <c r="P1646" i="5"/>
  <c r="P1647" i="5"/>
  <c r="P1648" i="5"/>
  <c r="P1649" i="5"/>
  <c r="P1650" i="5"/>
  <c r="P1651" i="5"/>
  <c r="P1652" i="5"/>
  <c r="P1653" i="5"/>
  <c r="P1654" i="5"/>
  <c r="P1655" i="5"/>
  <c r="P1656" i="5"/>
  <c r="P1657" i="5"/>
  <c r="P1658" i="5"/>
  <c r="P1659" i="5"/>
  <c r="P1660" i="5"/>
  <c r="P1661" i="5"/>
  <c r="P1662" i="5"/>
  <c r="P1663" i="5"/>
  <c r="P1664" i="5"/>
  <c r="P1665" i="5"/>
  <c r="P1666" i="5"/>
  <c r="P1667" i="5"/>
  <c r="P1668" i="5"/>
  <c r="P1669" i="5"/>
  <c r="P1670" i="5"/>
  <c r="P1671" i="5"/>
  <c r="P1672" i="5"/>
  <c r="P1673" i="5"/>
  <c r="P1674" i="5"/>
  <c r="P1675" i="5"/>
  <c r="P1676" i="5"/>
  <c r="P1677" i="5"/>
  <c r="P1678" i="5"/>
  <c r="P1679" i="5"/>
  <c r="P1680" i="5"/>
  <c r="P1681" i="5"/>
  <c r="P1682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1001" i="5"/>
  <c r="R1002" i="5"/>
  <c r="R1003" i="5"/>
  <c r="R1004" i="5"/>
  <c r="R1005" i="5"/>
  <c r="R1006" i="5"/>
  <c r="R1007" i="5"/>
  <c r="R1008" i="5"/>
  <c r="R1009" i="5"/>
  <c r="R1010" i="5"/>
  <c r="R1011" i="5"/>
  <c r="R1012" i="5"/>
  <c r="R1013" i="5"/>
  <c r="R1014" i="5"/>
  <c r="R1015" i="5"/>
  <c r="R1016" i="5"/>
  <c r="R1017" i="5"/>
  <c r="R1018" i="5"/>
  <c r="R1019" i="5"/>
  <c r="R1020" i="5"/>
  <c r="R1021" i="5"/>
  <c r="R1022" i="5"/>
  <c r="R1023" i="5"/>
  <c r="R1024" i="5"/>
  <c r="R1025" i="5"/>
  <c r="R1026" i="5"/>
  <c r="R1027" i="5"/>
  <c r="R1028" i="5"/>
  <c r="R1029" i="5"/>
  <c r="R1030" i="5"/>
  <c r="R1031" i="5"/>
  <c r="R1032" i="5"/>
  <c r="R1033" i="5"/>
  <c r="R1034" i="5"/>
  <c r="R1035" i="5"/>
  <c r="R1036" i="5"/>
  <c r="R1037" i="5"/>
  <c r="R1038" i="5"/>
  <c r="R1039" i="5"/>
  <c r="R1040" i="5"/>
  <c r="R1041" i="5"/>
  <c r="R1042" i="5"/>
  <c r="R1043" i="5"/>
  <c r="R1044" i="5"/>
  <c r="R1045" i="5"/>
  <c r="R1046" i="5"/>
  <c r="R1047" i="5"/>
  <c r="R1048" i="5"/>
  <c r="R1049" i="5"/>
  <c r="R1050" i="5"/>
  <c r="R1051" i="5"/>
  <c r="R1052" i="5"/>
  <c r="R1053" i="5"/>
  <c r="R1054" i="5"/>
  <c r="R1055" i="5"/>
  <c r="R1056" i="5"/>
  <c r="R1057" i="5"/>
  <c r="R1058" i="5"/>
  <c r="R1059" i="5"/>
  <c r="R1060" i="5"/>
  <c r="R1061" i="5"/>
  <c r="R1062" i="5"/>
  <c r="R1063" i="5"/>
  <c r="R1064" i="5"/>
  <c r="R1065" i="5"/>
  <c r="R1066" i="5"/>
  <c r="R1067" i="5"/>
  <c r="R1068" i="5"/>
  <c r="R1069" i="5"/>
  <c r="R1070" i="5"/>
  <c r="R1071" i="5"/>
  <c r="R1072" i="5"/>
  <c r="R1073" i="5"/>
  <c r="R1074" i="5"/>
  <c r="R1075" i="5"/>
  <c r="R1076" i="5"/>
  <c r="R1077" i="5"/>
  <c r="R1078" i="5"/>
  <c r="R1079" i="5"/>
  <c r="R1080" i="5"/>
  <c r="R1081" i="5"/>
  <c r="R1082" i="5"/>
  <c r="R1083" i="5"/>
  <c r="R1084" i="5"/>
  <c r="R1085" i="5"/>
  <c r="R1086" i="5"/>
  <c r="R1087" i="5"/>
  <c r="R1088" i="5"/>
  <c r="R1089" i="5"/>
  <c r="R1090" i="5"/>
  <c r="R1091" i="5"/>
  <c r="R1092" i="5"/>
  <c r="R1093" i="5"/>
  <c r="R1094" i="5"/>
  <c r="R1095" i="5"/>
  <c r="R1096" i="5"/>
  <c r="R1097" i="5"/>
  <c r="R1098" i="5"/>
  <c r="R1099" i="5"/>
  <c r="R1100" i="5"/>
  <c r="R1101" i="5"/>
  <c r="R1102" i="5"/>
  <c r="R1103" i="5"/>
  <c r="R1104" i="5"/>
  <c r="R1105" i="5"/>
  <c r="R1106" i="5"/>
  <c r="R1107" i="5"/>
  <c r="R1108" i="5"/>
  <c r="R1109" i="5"/>
  <c r="R1110" i="5"/>
  <c r="R1111" i="5"/>
  <c r="R1112" i="5"/>
  <c r="R1113" i="5"/>
  <c r="R1114" i="5"/>
  <c r="R1115" i="5"/>
  <c r="R1116" i="5"/>
  <c r="R1117" i="5"/>
  <c r="R1118" i="5"/>
  <c r="R1119" i="5"/>
  <c r="R1120" i="5"/>
  <c r="R1121" i="5"/>
  <c r="R1122" i="5"/>
  <c r="R1123" i="5"/>
  <c r="R1124" i="5"/>
  <c r="R1125" i="5"/>
  <c r="R1126" i="5"/>
  <c r="R1127" i="5"/>
  <c r="R1128" i="5"/>
  <c r="R1129" i="5"/>
  <c r="R1130" i="5"/>
  <c r="R1131" i="5"/>
  <c r="R1132" i="5"/>
  <c r="R1133" i="5"/>
  <c r="R1134" i="5"/>
  <c r="R1135" i="5"/>
  <c r="R1136" i="5"/>
  <c r="R1137" i="5"/>
  <c r="R1138" i="5"/>
  <c r="R1139" i="5"/>
  <c r="R1140" i="5"/>
  <c r="R1141" i="5"/>
  <c r="R1142" i="5"/>
  <c r="R1143" i="5"/>
  <c r="R1144" i="5"/>
  <c r="R1145" i="5"/>
  <c r="R1146" i="5"/>
  <c r="R1147" i="5"/>
  <c r="R1148" i="5"/>
  <c r="R1149" i="5"/>
  <c r="R1150" i="5"/>
  <c r="R1151" i="5"/>
  <c r="R1152" i="5"/>
  <c r="R1153" i="5"/>
  <c r="R1154" i="5"/>
  <c r="R1155" i="5"/>
  <c r="R1156" i="5"/>
  <c r="R1157" i="5"/>
  <c r="R1158" i="5"/>
  <c r="R1159" i="5"/>
  <c r="R1160" i="5"/>
  <c r="R1161" i="5"/>
  <c r="R1162" i="5"/>
  <c r="R1163" i="5"/>
  <c r="R1164" i="5"/>
  <c r="R1165" i="5"/>
  <c r="R1166" i="5"/>
  <c r="R1167" i="5"/>
  <c r="R1168" i="5"/>
  <c r="R1169" i="5"/>
  <c r="R1170" i="5"/>
  <c r="R1171" i="5"/>
  <c r="R1172" i="5"/>
  <c r="R1173" i="5"/>
  <c r="R1174" i="5"/>
  <c r="R1175" i="5"/>
  <c r="R1176" i="5"/>
  <c r="R1177" i="5"/>
  <c r="R1178" i="5"/>
  <c r="R1179" i="5"/>
  <c r="R1180" i="5"/>
  <c r="R1181" i="5"/>
  <c r="R1182" i="5"/>
  <c r="R1183" i="5"/>
  <c r="R1184" i="5"/>
  <c r="R1185" i="5"/>
  <c r="R1186" i="5"/>
  <c r="R1187" i="5"/>
  <c r="R1188" i="5"/>
  <c r="R1189" i="5"/>
  <c r="R1190" i="5"/>
  <c r="R1191" i="5"/>
  <c r="R1192" i="5"/>
  <c r="R1193" i="5"/>
  <c r="R1194" i="5"/>
  <c r="R1195" i="5"/>
  <c r="R1196" i="5"/>
  <c r="R1197" i="5"/>
  <c r="R1198" i="5"/>
  <c r="R1199" i="5"/>
  <c r="R1200" i="5"/>
  <c r="R1201" i="5"/>
  <c r="R1202" i="5"/>
  <c r="R1203" i="5"/>
  <c r="R1204" i="5"/>
  <c r="R1205" i="5"/>
  <c r="R1206" i="5"/>
  <c r="R1207" i="5"/>
  <c r="R1208" i="5"/>
  <c r="R1209" i="5"/>
  <c r="R1210" i="5"/>
  <c r="R1211" i="5"/>
  <c r="R1212" i="5"/>
  <c r="R1213" i="5"/>
  <c r="R1214" i="5"/>
  <c r="R1215" i="5"/>
  <c r="R1216" i="5"/>
  <c r="R1217" i="5"/>
  <c r="R1218" i="5"/>
  <c r="R1219" i="5"/>
  <c r="R1220" i="5"/>
  <c r="R1221" i="5"/>
  <c r="R1222" i="5"/>
  <c r="R1223" i="5"/>
  <c r="R1224" i="5"/>
  <c r="R1225" i="5"/>
  <c r="R1226" i="5"/>
  <c r="R1227" i="5"/>
  <c r="R1228" i="5"/>
  <c r="R1229" i="5"/>
  <c r="R1230" i="5"/>
  <c r="R1231" i="5"/>
  <c r="R1232" i="5"/>
  <c r="R1233" i="5"/>
  <c r="R1234" i="5"/>
  <c r="R1235" i="5"/>
  <c r="R1236" i="5"/>
  <c r="R1237" i="5"/>
  <c r="R1238" i="5"/>
  <c r="R1239" i="5"/>
  <c r="R1240" i="5"/>
  <c r="R1241" i="5"/>
  <c r="R1242" i="5"/>
  <c r="R1243" i="5"/>
  <c r="R1244" i="5"/>
  <c r="R1245" i="5"/>
  <c r="R1246" i="5"/>
  <c r="R1247" i="5"/>
  <c r="R1248" i="5"/>
  <c r="R1249" i="5"/>
  <c r="R1250" i="5"/>
  <c r="R1251" i="5"/>
  <c r="R1252" i="5"/>
  <c r="R1253" i="5"/>
  <c r="R1254" i="5"/>
  <c r="R1255" i="5"/>
  <c r="R1256" i="5"/>
  <c r="R1257" i="5"/>
  <c r="R1258" i="5"/>
  <c r="R1259" i="5"/>
  <c r="R1260" i="5"/>
  <c r="R1261" i="5"/>
  <c r="R1262" i="5"/>
  <c r="R1263" i="5"/>
  <c r="R1264" i="5"/>
  <c r="R1265" i="5"/>
  <c r="R1266" i="5"/>
  <c r="R1267" i="5"/>
  <c r="R1268" i="5"/>
  <c r="R1269" i="5"/>
  <c r="R1270" i="5"/>
  <c r="R1271" i="5"/>
  <c r="R1272" i="5"/>
  <c r="R1273" i="5"/>
  <c r="R1274" i="5"/>
  <c r="R1275" i="5"/>
  <c r="R1276" i="5"/>
  <c r="R1277" i="5"/>
  <c r="R1278" i="5"/>
  <c r="R1279" i="5"/>
  <c r="R1280" i="5"/>
  <c r="R1281" i="5"/>
  <c r="R1282" i="5"/>
  <c r="R1283" i="5"/>
  <c r="R1284" i="5"/>
  <c r="R1285" i="5"/>
  <c r="R1286" i="5"/>
  <c r="R1287" i="5"/>
  <c r="R1288" i="5"/>
  <c r="R1289" i="5"/>
  <c r="R1290" i="5"/>
  <c r="R1291" i="5"/>
  <c r="R1292" i="5"/>
  <c r="R1293" i="5"/>
  <c r="R1294" i="5"/>
  <c r="R1295" i="5"/>
  <c r="R1296" i="5"/>
  <c r="R1297" i="5"/>
  <c r="R1298" i="5"/>
  <c r="R1299" i="5"/>
  <c r="R1300" i="5"/>
  <c r="R1301" i="5"/>
  <c r="R1302" i="5"/>
  <c r="R1303" i="5"/>
  <c r="R1304" i="5"/>
  <c r="R1305" i="5"/>
  <c r="R1306" i="5"/>
  <c r="R1307" i="5"/>
  <c r="R1308" i="5"/>
  <c r="R1309" i="5"/>
  <c r="R1310" i="5"/>
  <c r="R1311" i="5"/>
  <c r="R1312" i="5"/>
  <c r="R1313" i="5"/>
  <c r="R1314" i="5"/>
  <c r="R1315" i="5"/>
  <c r="R1316" i="5"/>
  <c r="R1317" i="5"/>
  <c r="R1318" i="5"/>
  <c r="R1319" i="5"/>
  <c r="R1320" i="5"/>
  <c r="R1321" i="5"/>
  <c r="R1322" i="5"/>
  <c r="R1323" i="5"/>
  <c r="R1324" i="5"/>
  <c r="R1325" i="5"/>
  <c r="R1326" i="5"/>
  <c r="R1327" i="5"/>
  <c r="R1328" i="5"/>
  <c r="R1329" i="5"/>
  <c r="R1330" i="5"/>
  <c r="R1331" i="5"/>
  <c r="R1332" i="5"/>
  <c r="R1333" i="5"/>
  <c r="R1334" i="5"/>
  <c r="R1335" i="5"/>
  <c r="R1336" i="5"/>
  <c r="R1337" i="5"/>
  <c r="R1338" i="5"/>
  <c r="R1339" i="5"/>
  <c r="R1340" i="5"/>
  <c r="R1341" i="5"/>
  <c r="R1342" i="5"/>
  <c r="R1343" i="5"/>
  <c r="R1344" i="5"/>
  <c r="R1345" i="5"/>
  <c r="R1346" i="5"/>
  <c r="R1347" i="5"/>
  <c r="R1348" i="5"/>
  <c r="R1349" i="5"/>
  <c r="R1350" i="5"/>
  <c r="R1351" i="5"/>
  <c r="R1352" i="5"/>
  <c r="R1353" i="5"/>
  <c r="R1354" i="5"/>
  <c r="R1355" i="5"/>
  <c r="R1356" i="5"/>
  <c r="R1357" i="5"/>
  <c r="R1358" i="5"/>
  <c r="R1359" i="5"/>
  <c r="R1360" i="5"/>
  <c r="R1361" i="5"/>
  <c r="R1362" i="5"/>
  <c r="R1363" i="5"/>
  <c r="R1364" i="5"/>
  <c r="R1365" i="5"/>
  <c r="R1366" i="5"/>
  <c r="R1367" i="5"/>
  <c r="R1368" i="5"/>
  <c r="R1369" i="5"/>
  <c r="R1370" i="5"/>
  <c r="R1371" i="5"/>
  <c r="R1372" i="5"/>
  <c r="R1373" i="5"/>
  <c r="R1374" i="5"/>
  <c r="R1375" i="5"/>
  <c r="R1376" i="5"/>
  <c r="R1377" i="5"/>
  <c r="R1378" i="5"/>
  <c r="R1379" i="5"/>
  <c r="R1380" i="5"/>
  <c r="R1381" i="5"/>
  <c r="R1382" i="5"/>
  <c r="R1383" i="5"/>
  <c r="R1384" i="5"/>
  <c r="R1385" i="5"/>
  <c r="R1386" i="5"/>
  <c r="R1387" i="5"/>
  <c r="R1388" i="5"/>
  <c r="R1389" i="5"/>
  <c r="R1390" i="5"/>
  <c r="R1391" i="5"/>
  <c r="R1392" i="5"/>
  <c r="R1393" i="5"/>
  <c r="R1394" i="5"/>
  <c r="R1395" i="5"/>
  <c r="R1396" i="5"/>
  <c r="R1397" i="5"/>
  <c r="R1398" i="5"/>
  <c r="R1399" i="5"/>
  <c r="R1400" i="5"/>
  <c r="R1401" i="5"/>
  <c r="R1402" i="5"/>
  <c r="R1403" i="5"/>
  <c r="R1404" i="5"/>
  <c r="R1405" i="5"/>
  <c r="R1406" i="5"/>
  <c r="R1407" i="5"/>
  <c r="R1408" i="5"/>
  <c r="R1409" i="5"/>
  <c r="R1410" i="5"/>
  <c r="R1411" i="5"/>
  <c r="R1412" i="5"/>
  <c r="R1413" i="5"/>
  <c r="R1414" i="5"/>
  <c r="R1415" i="5"/>
  <c r="R1416" i="5"/>
  <c r="R1417" i="5"/>
  <c r="R1418" i="5"/>
  <c r="R1419" i="5"/>
  <c r="R1420" i="5"/>
  <c r="R1421" i="5"/>
  <c r="R1422" i="5"/>
  <c r="R1423" i="5"/>
  <c r="R1424" i="5"/>
  <c r="R1425" i="5"/>
  <c r="R1426" i="5"/>
  <c r="R1427" i="5"/>
  <c r="R1428" i="5"/>
  <c r="R1429" i="5"/>
  <c r="R1430" i="5"/>
  <c r="R1431" i="5"/>
  <c r="R1432" i="5"/>
  <c r="R1433" i="5"/>
  <c r="R1434" i="5"/>
  <c r="R1435" i="5"/>
  <c r="R1436" i="5"/>
  <c r="R1437" i="5"/>
  <c r="R1438" i="5"/>
  <c r="R1439" i="5"/>
  <c r="R1440" i="5"/>
  <c r="R1441" i="5"/>
  <c r="R1442" i="5"/>
  <c r="R1443" i="5"/>
  <c r="R1444" i="5"/>
  <c r="R1445" i="5"/>
  <c r="R1446" i="5"/>
  <c r="R1447" i="5"/>
  <c r="R1448" i="5"/>
  <c r="R1449" i="5"/>
  <c r="R1450" i="5"/>
  <c r="R1451" i="5"/>
  <c r="R1452" i="5"/>
  <c r="R1453" i="5"/>
  <c r="R1454" i="5"/>
  <c r="R1455" i="5"/>
  <c r="R1456" i="5"/>
  <c r="R1457" i="5"/>
  <c r="R1458" i="5"/>
  <c r="R1459" i="5"/>
  <c r="R1460" i="5"/>
  <c r="R1461" i="5"/>
  <c r="R1462" i="5"/>
  <c r="R1463" i="5"/>
  <c r="R1464" i="5"/>
  <c r="R1465" i="5"/>
  <c r="R1466" i="5"/>
  <c r="R1467" i="5"/>
  <c r="R1468" i="5"/>
  <c r="R1469" i="5"/>
  <c r="R1470" i="5"/>
  <c r="R1471" i="5"/>
  <c r="R1472" i="5"/>
  <c r="R1473" i="5"/>
  <c r="R1474" i="5"/>
  <c r="R1475" i="5"/>
  <c r="R1476" i="5"/>
  <c r="R1477" i="5"/>
  <c r="R1478" i="5"/>
  <c r="R1479" i="5"/>
  <c r="R1480" i="5"/>
  <c r="R1481" i="5"/>
  <c r="R1482" i="5"/>
  <c r="R1483" i="5"/>
  <c r="R1484" i="5"/>
  <c r="R1485" i="5"/>
  <c r="R1486" i="5"/>
  <c r="R1487" i="5"/>
  <c r="R1488" i="5"/>
  <c r="R1489" i="5"/>
  <c r="R1490" i="5"/>
  <c r="R1491" i="5"/>
  <c r="R1492" i="5"/>
  <c r="R1493" i="5"/>
  <c r="R1494" i="5"/>
  <c r="R1495" i="5"/>
  <c r="R1496" i="5"/>
  <c r="R1497" i="5"/>
  <c r="R1498" i="5"/>
  <c r="R1499" i="5"/>
  <c r="R1500" i="5"/>
  <c r="R1501" i="5"/>
  <c r="R1502" i="5"/>
  <c r="R1503" i="5"/>
  <c r="R1504" i="5"/>
  <c r="R1505" i="5"/>
  <c r="R1506" i="5"/>
  <c r="R1507" i="5"/>
  <c r="R1508" i="5"/>
  <c r="R1509" i="5"/>
  <c r="R1510" i="5"/>
  <c r="R1511" i="5"/>
  <c r="R1512" i="5"/>
  <c r="R1513" i="5"/>
  <c r="R1514" i="5"/>
  <c r="R1515" i="5"/>
  <c r="R1516" i="5"/>
  <c r="R1517" i="5"/>
  <c r="R1518" i="5"/>
  <c r="R1519" i="5"/>
  <c r="R1520" i="5"/>
  <c r="R1521" i="5"/>
  <c r="R1522" i="5"/>
  <c r="R1523" i="5"/>
  <c r="R1524" i="5"/>
  <c r="R1525" i="5"/>
  <c r="R1526" i="5"/>
  <c r="R1527" i="5"/>
  <c r="R1528" i="5"/>
  <c r="R1529" i="5"/>
  <c r="R1530" i="5"/>
  <c r="R1531" i="5"/>
  <c r="R1532" i="5"/>
  <c r="R1533" i="5"/>
  <c r="R1534" i="5"/>
  <c r="R1535" i="5"/>
  <c r="R1536" i="5"/>
  <c r="R1537" i="5"/>
  <c r="R1538" i="5"/>
  <c r="R1539" i="5"/>
  <c r="R1540" i="5"/>
  <c r="R1541" i="5"/>
  <c r="R1542" i="5"/>
  <c r="R1543" i="5"/>
  <c r="R1544" i="5"/>
  <c r="R1545" i="5"/>
  <c r="R1546" i="5"/>
  <c r="R1547" i="5"/>
  <c r="R1548" i="5"/>
  <c r="R1549" i="5"/>
  <c r="R1550" i="5"/>
  <c r="R1551" i="5"/>
  <c r="R1552" i="5"/>
  <c r="R1553" i="5"/>
  <c r="R1554" i="5"/>
  <c r="R1555" i="5"/>
  <c r="R1556" i="5"/>
  <c r="R1557" i="5"/>
  <c r="R1558" i="5"/>
  <c r="R1559" i="5"/>
  <c r="R1560" i="5"/>
  <c r="R1561" i="5"/>
  <c r="R1562" i="5"/>
  <c r="R1563" i="5"/>
  <c r="R1564" i="5"/>
  <c r="R1565" i="5"/>
  <c r="R1566" i="5"/>
  <c r="R1567" i="5"/>
  <c r="R1568" i="5"/>
  <c r="R1569" i="5"/>
  <c r="R1570" i="5"/>
  <c r="R1571" i="5"/>
  <c r="R1572" i="5"/>
  <c r="R1573" i="5"/>
  <c r="R1574" i="5"/>
  <c r="R1575" i="5"/>
  <c r="R1576" i="5"/>
  <c r="R1577" i="5"/>
  <c r="R1578" i="5"/>
  <c r="R1579" i="5"/>
  <c r="R1580" i="5"/>
  <c r="R1581" i="5"/>
  <c r="R1582" i="5"/>
  <c r="R1583" i="5"/>
  <c r="R1584" i="5"/>
  <c r="R1585" i="5"/>
  <c r="R1586" i="5"/>
  <c r="R1587" i="5"/>
  <c r="R1588" i="5"/>
  <c r="R1589" i="5"/>
  <c r="R1590" i="5"/>
  <c r="R1591" i="5"/>
  <c r="R1592" i="5"/>
  <c r="R1593" i="5"/>
  <c r="R1594" i="5"/>
  <c r="R1595" i="5"/>
  <c r="R1596" i="5"/>
  <c r="R1597" i="5"/>
  <c r="R1598" i="5"/>
  <c r="R1599" i="5"/>
  <c r="R1600" i="5"/>
  <c r="R1601" i="5"/>
  <c r="R1602" i="5"/>
  <c r="R1603" i="5"/>
  <c r="R1604" i="5"/>
  <c r="R1605" i="5"/>
  <c r="R1606" i="5"/>
  <c r="R1607" i="5"/>
  <c r="R1608" i="5"/>
  <c r="R1609" i="5"/>
  <c r="R1610" i="5"/>
  <c r="R1611" i="5"/>
  <c r="R1612" i="5"/>
  <c r="R1613" i="5"/>
  <c r="R1614" i="5"/>
  <c r="R1615" i="5"/>
  <c r="R1616" i="5"/>
  <c r="R1617" i="5"/>
  <c r="R1618" i="5"/>
  <c r="R1619" i="5"/>
  <c r="R1620" i="5"/>
  <c r="R1621" i="5"/>
  <c r="R1622" i="5"/>
  <c r="R1623" i="5"/>
  <c r="R1624" i="5"/>
  <c r="R1625" i="5"/>
  <c r="R1626" i="5"/>
  <c r="R1627" i="5"/>
  <c r="R1628" i="5"/>
  <c r="R1629" i="5"/>
  <c r="R1630" i="5"/>
  <c r="R1631" i="5"/>
  <c r="R1632" i="5"/>
  <c r="R1633" i="5"/>
  <c r="R1634" i="5"/>
  <c r="R1635" i="5"/>
  <c r="R1636" i="5"/>
  <c r="R1637" i="5"/>
  <c r="R1638" i="5"/>
  <c r="R1639" i="5"/>
  <c r="R1640" i="5"/>
  <c r="R1641" i="5"/>
  <c r="R1642" i="5"/>
  <c r="R1643" i="5"/>
  <c r="R1644" i="5"/>
  <c r="R1645" i="5"/>
  <c r="R1646" i="5"/>
  <c r="R1647" i="5"/>
  <c r="R1648" i="5"/>
  <c r="R1649" i="5"/>
  <c r="R1650" i="5"/>
  <c r="R1651" i="5"/>
  <c r="R1652" i="5"/>
  <c r="R1653" i="5"/>
  <c r="R1654" i="5"/>
  <c r="R1655" i="5"/>
  <c r="R1656" i="5"/>
  <c r="R1657" i="5"/>
  <c r="R1658" i="5"/>
  <c r="R1659" i="5"/>
  <c r="R1660" i="5"/>
  <c r="R1661" i="5"/>
  <c r="R1662" i="5"/>
  <c r="R1663" i="5"/>
  <c r="R1664" i="5"/>
  <c r="R1665" i="5"/>
  <c r="R1666" i="5"/>
  <c r="R1667" i="5"/>
  <c r="R1668" i="5"/>
  <c r="R1669" i="5"/>
  <c r="R1670" i="5"/>
  <c r="R1671" i="5"/>
  <c r="R1672" i="5"/>
  <c r="R1673" i="5"/>
  <c r="R1674" i="5"/>
  <c r="R1675" i="5"/>
  <c r="R1676" i="5"/>
  <c r="R1677" i="5"/>
  <c r="R1678" i="5"/>
  <c r="R1679" i="5"/>
  <c r="R1680" i="5"/>
  <c r="R1681" i="5"/>
  <c r="R1682" i="5"/>
  <c r="S2" i="5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1001" i="5"/>
  <c r="S1002" i="5"/>
  <c r="S1003" i="5"/>
  <c r="S1004" i="5"/>
  <c r="S1005" i="5"/>
  <c r="S1006" i="5"/>
  <c r="S1007" i="5"/>
  <c r="S1008" i="5"/>
  <c r="S1009" i="5"/>
  <c r="S1010" i="5"/>
  <c r="S1011" i="5"/>
  <c r="S1012" i="5"/>
  <c r="S1013" i="5"/>
  <c r="S1014" i="5"/>
  <c r="S1015" i="5"/>
  <c r="S1016" i="5"/>
  <c r="S1017" i="5"/>
  <c r="S1018" i="5"/>
  <c r="S1019" i="5"/>
  <c r="S1020" i="5"/>
  <c r="S1021" i="5"/>
  <c r="S1022" i="5"/>
  <c r="S1023" i="5"/>
  <c r="S1024" i="5"/>
  <c r="S1025" i="5"/>
  <c r="S1026" i="5"/>
  <c r="S1027" i="5"/>
  <c r="S1028" i="5"/>
  <c r="S1029" i="5"/>
  <c r="S1030" i="5"/>
  <c r="S1031" i="5"/>
  <c r="S1032" i="5"/>
  <c r="S1033" i="5"/>
  <c r="S1034" i="5"/>
  <c r="S1035" i="5"/>
  <c r="S1036" i="5"/>
  <c r="S1037" i="5"/>
  <c r="S1038" i="5"/>
  <c r="S1039" i="5"/>
  <c r="S1040" i="5"/>
  <c r="S1041" i="5"/>
  <c r="S1042" i="5"/>
  <c r="S1043" i="5"/>
  <c r="S1044" i="5"/>
  <c r="S1045" i="5"/>
  <c r="S1046" i="5"/>
  <c r="S1047" i="5"/>
  <c r="S1048" i="5"/>
  <c r="S1049" i="5"/>
  <c r="S1050" i="5"/>
  <c r="S1051" i="5"/>
  <c r="S1052" i="5"/>
  <c r="S1053" i="5"/>
  <c r="S1054" i="5"/>
  <c r="S1055" i="5"/>
  <c r="S1056" i="5"/>
  <c r="S1057" i="5"/>
  <c r="S1058" i="5"/>
  <c r="S1059" i="5"/>
  <c r="S1060" i="5"/>
  <c r="S1061" i="5"/>
  <c r="S1062" i="5"/>
  <c r="S1063" i="5"/>
  <c r="S1064" i="5"/>
  <c r="S1065" i="5"/>
  <c r="S1066" i="5"/>
  <c r="S1067" i="5"/>
  <c r="S1068" i="5"/>
  <c r="S1069" i="5"/>
  <c r="S1070" i="5"/>
  <c r="S1071" i="5"/>
  <c r="S1072" i="5"/>
  <c r="S1073" i="5"/>
  <c r="S1074" i="5"/>
  <c r="S1075" i="5"/>
  <c r="S1076" i="5"/>
  <c r="S1077" i="5"/>
  <c r="S1078" i="5"/>
  <c r="S1079" i="5"/>
  <c r="S1080" i="5"/>
  <c r="S1081" i="5"/>
  <c r="S1082" i="5"/>
  <c r="S1083" i="5"/>
  <c r="S1084" i="5"/>
  <c r="S1085" i="5"/>
  <c r="S1086" i="5"/>
  <c r="S1087" i="5"/>
  <c r="S1088" i="5"/>
  <c r="S1089" i="5"/>
  <c r="S1090" i="5"/>
  <c r="S1091" i="5"/>
  <c r="S1092" i="5"/>
  <c r="S1093" i="5"/>
  <c r="S1094" i="5"/>
  <c r="S1095" i="5"/>
  <c r="S1096" i="5"/>
  <c r="S1097" i="5"/>
  <c r="S1098" i="5"/>
  <c r="S1099" i="5"/>
  <c r="S1100" i="5"/>
  <c r="S1101" i="5"/>
  <c r="S1102" i="5"/>
  <c r="S1103" i="5"/>
  <c r="S1104" i="5"/>
  <c r="S1105" i="5"/>
  <c r="S1106" i="5"/>
  <c r="S1107" i="5"/>
  <c r="S1108" i="5"/>
  <c r="S1109" i="5"/>
  <c r="S1110" i="5"/>
  <c r="S1111" i="5"/>
  <c r="S1112" i="5"/>
  <c r="S1113" i="5"/>
  <c r="S1114" i="5"/>
  <c r="S1115" i="5"/>
  <c r="S1116" i="5"/>
  <c r="S1117" i="5"/>
  <c r="S1118" i="5"/>
  <c r="S1119" i="5"/>
  <c r="S1120" i="5"/>
  <c r="S1121" i="5"/>
  <c r="S1122" i="5"/>
  <c r="S1123" i="5"/>
  <c r="S1124" i="5"/>
  <c r="S1125" i="5"/>
  <c r="S1126" i="5"/>
  <c r="S1127" i="5"/>
  <c r="S1128" i="5"/>
  <c r="S1129" i="5"/>
  <c r="S1130" i="5"/>
  <c r="S1131" i="5"/>
  <c r="S1132" i="5"/>
  <c r="S1133" i="5"/>
  <c r="S1134" i="5"/>
  <c r="S1135" i="5"/>
  <c r="S1136" i="5"/>
  <c r="S1137" i="5"/>
  <c r="S1138" i="5"/>
  <c r="S1139" i="5"/>
  <c r="S1140" i="5"/>
  <c r="S1141" i="5"/>
  <c r="S1142" i="5"/>
  <c r="S1143" i="5"/>
  <c r="S1144" i="5"/>
  <c r="S1145" i="5"/>
  <c r="S1146" i="5"/>
  <c r="S1147" i="5"/>
  <c r="S1148" i="5"/>
  <c r="S1149" i="5"/>
  <c r="S1150" i="5"/>
  <c r="S1151" i="5"/>
  <c r="S1152" i="5"/>
  <c r="S1153" i="5"/>
  <c r="S1154" i="5"/>
  <c r="S1155" i="5"/>
  <c r="S1156" i="5"/>
  <c r="S1157" i="5"/>
  <c r="S1158" i="5"/>
  <c r="S1159" i="5"/>
  <c r="S1160" i="5"/>
  <c r="S1161" i="5"/>
  <c r="S1162" i="5"/>
  <c r="S1163" i="5"/>
  <c r="S1164" i="5"/>
  <c r="S1165" i="5"/>
  <c r="S1166" i="5"/>
  <c r="S1167" i="5"/>
  <c r="S1168" i="5"/>
  <c r="S1169" i="5"/>
  <c r="S1170" i="5"/>
  <c r="S1171" i="5"/>
  <c r="S1172" i="5"/>
  <c r="S1173" i="5"/>
  <c r="S1174" i="5"/>
  <c r="S1175" i="5"/>
  <c r="S1176" i="5"/>
  <c r="S1177" i="5"/>
  <c r="S1178" i="5"/>
  <c r="S1179" i="5"/>
  <c r="S1180" i="5"/>
  <c r="S1181" i="5"/>
  <c r="S1182" i="5"/>
  <c r="S1183" i="5"/>
  <c r="S1184" i="5"/>
  <c r="S1185" i="5"/>
  <c r="S1186" i="5"/>
  <c r="S1187" i="5"/>
  <c r="S1188" i="5"/>
  <c r="S1189" i="5"/>
  <c r="S1190" i="5"/>
  <c r="S1191" i="5"/>
  <c r="S1192" i="5"/>
  <c r="S1193" i="5"/>
  <c r="S1194" i="5"/>
  <c r="S1195" i="5"/>
  <c r="S1196" i="5"/>
  <c r="S1197" i="5"/>
  <c r="S1198" i="5"/>
  <c r="S1199" i="5"/>
  <c r="S1200" i="5"/>
  <c r="S1201" i="5"/>
  <c r="S1202" i="5"/>
  <c r="S1203" i="5"/>
  <c r="S1204" i="5"/>
  <c r="S1205" i="5"/>
  <c r="S1206" i="5"/>
  <c r="S1207" i="5"/>
  <c r="S1208" i="5"/>
  <c r="S1209" i="5"/>
  <c r="S1210" i="5"/>
  <c r="S1211" i="5"/>
  <c r="S1212" i="5"/>
  <c r="S1213" i="5"/>
  <c r="S1214" i="5"/>
  <c r="S1215" i="5"/>
  <c r="S1216" i="5"/>
  <c r="S1217" i="5"/>
  <c r="S1218" i="5"/>
  <c r="S1219" i="5"/>
  <c r="S1220" i="5"/>
  <c r="S1221" i="5"/>
  <c r="S1222" i="5"/>
  <c r="S1223" i="5"/>
  <c r="S1224" i="5"/>
  <c r="S1225" i="5"/>
  <c r="S1226" i="5"/>
  <c r="S1227" i="5"/>
  <c r="S1228" i="5"/>
  <c r="S1229" i="5"/>
  <c r="S1230" i="5"/>
  <c r="S1231" i="5"/>
  <c r="S1232" i="5"/>
  <c r="S1233" i="5"/>
  <c r="S1234" i="5"/>
  <c r="S1235" i="5"/>
  <c r="S1236" i="5"/>
  <c r="S1237" i="5"/>
  <c r="S1238" i="5"/>
  <c r="S1239" i="5"/>
  <c r="S1240" i="5"/>
  <c r="S1241" i="5"/>
  <c r="S1242" i="5"/>
  <c r="S1243" i="5"/>
  <c r="S1244" i="5"/>
  <c r="S1245" i="5"/>
  <c r="S1246" i="5"/>
  <c r="S1247" i="5"/>
  <c r="S1248" i="5"/>
  <c r="S1249" i="5"/>
  <c r="S1250" i="5"/>
  <c r="S1251" i="5"/>
  <c r="S1252" i="5"/>
  <c r="S1253" i="5"/>
  <c r="S1254" i="5"/>
  <c r="S1255" i="5"/>
  <c r="S1256" i="5"/>
  <c r="S1257" i="5"/>
  <c r="S1258" i="5"/>
  <c r="S1259" i="5"/>
  <c r="S1260" i="5"/>
  <c r="S1261" i="5"/>
  <c r="S1262" i="5"/>
  <c r="S1263" i="5"/>
  <c r="S1264" i="5"/>
  <c r="S1265" i="5"/>
  <c r="S1266" i="5"/>
  <c r="S1267" i="5"/>
  <c r="S1268" i="5"/>
  <c r="S1269" i="5"/>
  <c r="S1270" i="5"/>
  <c r="S1271" i="5"/>
  <c r="S1272" i="5"/>
  <c r="S1273" i="5"/>
  <c r="S1274" i="5"/>
  <c r="S1275" i="5"/>
  <c r="S1276" i="5"/>
  <c r="S1277" i="5"/>
  <c r="S1278" i="5"/>
  <c r="S1279" i="5"/>
  <c r="S1280" i="5"/>
  <c r="S1281" i="5"/>
  <c r="S1282" i="5"/>
  <c r="S1283" i="5"/>
  <c r="S1284" i="5"/>
  <c r="S1285" i="5"/>
  <c r="S1286" i="5"/>
  <c r="S1287" i="5"/>
  <c r="S1288" i="5"/>
  <c r="S1289" i="5"/>
  <c r="S1290" i="5"/>
  <c r="S1291" i="5"/>
  <c r="S1292" i="5"/>
  <c r="S1293" i="5"/>
  <c r="S1294" i="5"/>
  <c r="S1295" i="5"/>
  <c r="S1296" i="5"/>
  <c r="S1297" i="5"/>
  <c r="S1298" i="5"/>
  <c r="S1299" i="5"/>
  <c r="S1300" i="5"/>
  <c r="S1301" i="5"/>
  <c r="S1302" i="5"/>
  <c r="S1303" i="5"/>
  <c r="S1304" i="5"/>
  <c r="S1305" i="5"/>
  <c r="S1306" i="5"/>
  <c r="S1307" i="5"/>
  <c r="S1308" i="5"/>
  <c r="S1309" i="5"/>
  <c r="S1310" i="5"/>
  <c r="S1311" i="5"/>
  <c r="S1312" i="5"/>
  <c r="S1313" i="5"/>
  <c r="S1314" i="5"/>
  <c r="S1315" i="5"/>
  <c r="S1316" i="5"/>
  <c r="S1317" i="5"/>
  <c r="S1318" i="5"/>
  <c r="S1319" i="5"/>
  <c r="S1320" i="5"/>
  <c r="S1321" i="5"/>
  <c r="S1322" i="5"/>
  <c r="S1323" i="5"/>
  <c r="S1324" i="5"/>
  <c r="S1325" i="5"/>
  <c r="S1326" i="5"/>
  <c r="S1327" i="5"/>
  <c r="S1328" i="5"/>
  <c r="S1329" i="5"/>
  <c r="S1330" i="5"/>
  <c r="S1331" i="5"/>
  <c r="S1332" i="5"/>
  <c r="S1333" i="5"/>
  <c r="S1334" i="5"/>
  <c r="S1335" i="5"/>
  <c r="S1336" i="5"/>
  <c r="S1337" i="5"/>
  <c r="S1338" i="5"/>
  <c r="S1339" i="5"/>
  <c r="S1340" i="5"/>
  <c r="S1341" i="5"/>
  <c r="S1342" i="5"/>
  <c r="S1343" i="5"/>
  <c r="S1344" i="5"/>
  <c r="S1345" i="5"/>
  <c r="S1346" i="5"/>
  <c r="S1347" i="5"/>
  <c r="S1348" i="5"/>
  <c r="S1349" i="5"/>
  <c r="S1350" i="5"/>
  <c r="S1351" i="5"/>
  <c r="S1352" i="5"/>
  <c r="S1353" i="5"/>
  <c r="S1354" i="5"/>
  <c r="S1355" i="5"/>
  <c r="S1356" i="5"/>
  <c r="S1357" i="5"/>
  <c r="S1358" i="5"/>
  <c r="S1359" i="5"/>
  <c r="S1360" i="5"/>
  <c r="S1361" i="5"/>
  <c r="S1362" i="5"/>
  <c r="S1363" i="5"/>
  <c r="S1364" i="5"/>
  <c r="S1365" i="5"/>
  <c r="S1366" i="5"/>
  <c r="S1367" i="5"/>
  <c r="S1368" i="5"/>
  <c r="S1369" i="5"/>
  <c r="S1370" i="5"/>
  <c r="S1371" i="5"/>
  <c r="S1372" i="5"/>
  <c r="S1373" i="5"/>
  <c r="S1374" i="5"/>
  <c r="S1375" i="5"/>
  <c r="S1376" i="5"/>
  <c r="S1377" i="5"/>
  <c r="S1378" i="5"/>
  <c r="S1379" i="5"/>
  <c r="S1380" i="5"/>
  <c r="S1381" i="5"/>
  <c r="S1382" i="5"/>
  <c r="S1383" i="5"/>
  <c r="S1384" i="5"/>
  <c r="S1385" i="5"/>
  <c r="S1386" i="5"/>
  <c r="S1387" i="5"/>
  <c r="S1388" i="5"/>
  <c r="S1389" i="5"/>
  <c r="S1390" i="5"/>
  <c r="S1391" i="5"/>
  <c r="S1392" i="5"/>
  <c r="S1393" i="5"/>
  <c r="S1394" i="5"/>
  <c r="S1395" i="5"/>
  <c r="S1396" i="5"/>
  <c r="S1397" i="5"/>
  <c r="S1398" i="5"/>
  <c r="S1399" i="5"/>
  <c r="S1400" i="5"/>
  <c r="S1401" i="5"/>
  <c r="S1402" i="5"/>
  <c r="S1403" i="5"/>
  <c r="S1404" i="5"/>
  <c r="S1405" i="5"/>
  <c r="S1406" i="5"/>
  <c r="S1407" i="5"/>
  <c r="S1408" i="5"/>
  <c r="S1409" i="5"/>
  <c r="S1410" i="5"/>
  <c r="S1411" i="5"/>
  <c r="S1412" i="5"/>
  <c r="S1413" i="5"/>
  <c r="S1414" i="5"/>
  <c r="S1415" i="5"/>
  <c r="S1416" i="5"/>
  <c r="S1417" i="5"/>
  <c r="S1418" i="5"/>
  <c r="S1419" i="5"/>
  <c r="S1420" i="5"/>
  <c r="S1421" i="5"/>
  <c r="S1422" i="5"/>
  <c r="S1423" i="5"/>
  <c r="S1424" i="5"/>
  <c r="S1425" i="5"/>
  <c r="S1426" i="5"/>
  <c r="S1427" i="5"/>
  <c r="S1428" i="5"/>
  <c r="S1429" i="5"/>
  <c r="S1430" i="5"/>
  <c r="S1431" i="5"/>
  <c r="S1432" i="5"/>
  <c r="S1433" i="5"/>
  <c r="S1434" i="5"/>
  <c r="S1435" i="5"/>
  <c r="S1436" i="5"/>
  <c r="S1437" i="5"/>
  <c r="S1438" i="5"/>
  <c r="S1439" i="5"/>
  <c r="S1440" i="5"/>
  <c r="S1441" i="5"/>
  <c r="S1442" i="5"/>
  <c r="S1443" i="5"/>
  <c r="S1444" i="5"/>
  <c r="S1445" i="5"/>
  <c r="S1446" i="5"/>
  <c r="S1447" i="5"/>
  <c r="S1448" i="5"/>
  <c r="S1449" i="5"/>
  <c r="S1450" i="5"/>
  <c r="S1451" i="5"/>
  <c r="S1452" i="5"/>
  <c r="S1453" i="5"/>
  <c r="S1454" i="5"/>
  <c r="S1455" i="5"/>
  <c r="S1456" i="5"/>
  <c r="S1457" i="5"/>
  <c r="S1458" i="5"/>
  <c r="S1459" i="5"/>
  <c r="S1460" i="5"/>
  <c r="S1461" i="5"/>
  <c r="S1462" i="5"/>
  <c r="S1463" i="5"/>
  <c r="S1464" i="5"/>
  <c r="S1465" i="5"/>
  <c r="S1466" i="5"/>
  <c r="S1467" i="5"/>
  <c r="S1468" i="5"/>
  <c r="S1469" i="5"/>
  <c r="S1470" i="5"/>
  <c r="S1471" i="5"/>
  <c r="S1472" i="5"/>
  <c r="S1473" i="5"/>
  <c r="S1474" i="5"/>
  <c r="S1475" i="5"/>
  <c r="S1476" i="5"/>
  <c r="S1477" i="5"/>
  <c r="S1478" i="5"/>
  <c r="S1479" i="5"/>
  <c r="S1480" i="5"/>
  <c r="S1481" i="5"/>
  <c r="S1482" i="5"/>
  <c r="S1483" i="5"/>
  <c r="S1484" i="5"/>
  <c r="S1485" i="5"/>
  <c r="S1486" i="5"/>
  <c r="S1487" i="5"/>
  <c r="S1488" i="5"/>
  <c r="S1489" i="5"/>
  <c r="S1490" i="5"/>
  <c r="S1491" i="5"/>
  <c r="S1492" i="5"/>
  <c r="S1493" i="5"/>
  <c r="S1494" i="5"/>
  <c r="S1495" i="5"/>
  <c r="S1496" i="5"/>
  <c r="S1497" i="5"/>
  <c r="S1498" i="5"/>
  <c r="S1499" i="5"/>
  <c r="S1500" i="5"/>
  <c r="S1501" i="5"/>
  <c r="S1502" i="5"/>
  <c r="S1503" i="5"/>
  <c r="S1504" i="5"/>
  <c r="S1505" i="5"/>
  <c r="S1506" i="5"/>
  <c r="S1507" i="5"/>
  <c r="S1508" i="5"/>
  <c r="S1509" i="5"/>
  <c r="S1510" i="5"/>
  <c r="S1511" i="5"/>
  <c r="S1512" i="5"/>
  <c r="S1513" i="5"/>
  <c r="S1514" i="5"/>
  <c r="S1515" i="5"/>
  <c r="S1516" i="5"/>
  <c r="S1517" i="5"/>
  <c r="S1518" i="5"/>
  <c r="S1519" i="5"/>
  <c r="S1520" i="5"/>
  <c r="S1521" i="5"/>
  <c r="S1522" i="5"/>
  <c r="S1523" i="5"/>
  <c r="S1524" i="5"/>
  <c r="S1525" i="5"/>
  <c r="S1526" i="5"/>
  <c r="S1527" i="5"/>
  <c r="S1528" i="5"/>
  <c r="S1529" i="5"/>
  <c r="S1530" i="5"/>
  <c r="S1531" i="5"/>
  <c r="S1532" i="5"/>
  <c r="S1533" i="5"/>
  <c r="S1534" i="5"/>
  <c r="S1535" i="5"/>
  <c r="S1536" i="5"/>
  <c r="S1537" i="5"/>
  <c r="S1538" i="5"/>
  <c r="S1539" i="5"/>
  <c r="S1540" i="5"/>
  <c r="S1541" i="5"/>
  <c r="S1542" i="5"/>
  <c r="S1543" i="5"/>
  <c r="S1544" i="5"/>
  <c r="S1545" i="5"/>
  <c r="S1546" i="5"/>
  <c r="S1547" i="5"/>
  <c r="S1548" i="5"/>
  <c r="S1549" i="5"/>
  <c r="S1550" i="5"/>
  <c r="S1551" i="5"/>
  <c r="S1552" i="5"/>
  <c r="S1553" i="5"/>
  <c r="S1554" i="5"/>
  <c r="S1555" i="5"/>
  <c r="S1556" i="5"/>
  <c r="S1557" i="5"/>
  <c r="S1558" i="5"/>
  <c r="S1559" i="5"/>
  <c r="S1560" i="5"/>
  <c r="S1561" i="5"/>
  <c r="S1562" i="5"/>
  <c r="S1563" i="5"/>
  <c r="S1564" i="5"/>
  <c r="S1565" i="5"/>
  <c r="S1566" i="5"/>
  <c r="S1567" i="5"/>
  <c r="S1568" i="5"/>
  <c r="S1569" i="5"/>
  <c r="S1570" i="5"/>
  <c r="S1571" i="5"/>
  <c r="S1572" i="5"/>
  <c r="S1573" i="5"/>
  <c r="S1574" i="5"/>
  <c r="S1575" i="5"/>
  <c r="S1576" i="5"/>
  <c r="S1577" i="5"/>
  <c r="S1578" i="5"/>
  <c r="S1579" i="5"/>
  <c r="S1580" i="5"/>
  <c r="S1581" i="5"/>
  <c r="S1582" i="5"/>
  <c r="S1583" i="5"/>
  <c r="S1584" i="5"/>
  <c r="S1585" i="5"/>
  <c r="S1586" i="5"/>
  <c r="S1587" i="5"/>
  <c r="S1588" i="5"/>
  <c r="S1589" i="5"/>
  <c r="S1590" i="5"/>
  <c r="S1591" i="5"/>
  <c r="S1592" i="5"/>
  <c r="S1593" i="5"/>
  <c r="S1594" i="5"/>
  <c r="S1595" i="5"/>
  <c r="S1596" i="5"/>
  <c r="S1597" i="5"/>
  <c r="S1598" i="5"/>
  <c r="S1599" i="5"/>
  <c r="S1600" i="5"/>
  <c r="S1601" i="5"/>
  <c r="S1602" i="5"/>
  <c r="S1603" i="5"/>
  <c r="S1604" i="5"/>
  <c r="S1605" i="5"/>
  <c r="S1606" i="5"/>
  <c r="S1607" i="5"/>
  <c r="S1608" i="5"/>
  <c r="S1609" i="5"/>
  <c r="S1610" i="5"/>
  <c r="S1611" i="5"/>
  <c r="S1612" i="5"/>
  <c r="S1613" i="5"/>
  <c r="S1614" i="5"/>
  <c r="S1615" i="5"/>
  <c r="S1616" i="5"/>
  <c r="S1617" i="5"/>
  <c r="S1618" i="5"/>
  <c r="S1619" i="5"/>
  <c r="S1620" i="5"/>
  <c r="S1621" i="5"/>
  <c r="S1622" i="5"/>
  <c r="S1623" i="5"/>
  <c r="S1624" i="5"/>
  <c r="S1625" i="5"/>
  <c r="S1626" i="5"/>
  <c r="S1627" i="5"/>
  <c r="S1628" i="5"/>
  <c r="S1629" i="5"/>
  <c r="S1630" i="5"/>
  <c r="S1631" i="5"/>
  <c r="S1632" i="5"/>
  <c r="S1633" i="5"/>
  <c r="S1634" i="5"/>
  <c r="S1635" i="5"/>
  <c r="S1636" i="5"/>
  <c r="S1637" i="5"/>
  <c r="S1638" i="5"/>
  <c r="S1639" i="5"/>
  <c r="S1640" i="5"/>
  <c r="S1641" i="5"/>
  <c r="S1642" i="5"/>
  <c r="S1643" i="5"/>
  <c r="S1644" i="5"/>
  <c r="S1645" i="5"/>
  <c r="S1646" i="5"/>
  <c r="S1647" i="5"/>
  <c r="S1648" i="5"/>
  <c r="S1649" i="5"/>
  <c r="S1650" i="5"/>
  <c r="S1651" i="5"/>
  <c r="S1652" i="5"/>
  <c r="S1653" i="5"/>
  <c r="S1654" i="5"/>
  <c r="S1655" i="5"/>
  <c r="S1656" i="5"/>
  <c r="S1657" i="5"/>
  <c r="S1658" i="5"/>
  <c r="S1659" i="5"/>
  <c r="S1660" i="5"/>
  <c r="S1661" i="5"/>
  <c r="S1662" i="5"/>
  <c r="S1663" i="5"/>
  <c r="S1664" i="5"/>
  <c r="S1665" i="5"/>
  <c r="S1666" i="5"/>
  <c r="S1667" i="5"/>
  <c r="S1668" i="5"/>
  <c r="S1669" i="5"/>
  <c r="S1670" i="5"/>
  <c r="S1671" i="5"/>
  <c r="S1672" i="5"/>
  <c r="S1673" i="5"/>
  <c r="S1674" i="5"/>
  <c r="S1675" i="5"/>
  <c r="S1676" i="5"/>
  <c r="S1677" i="5"/>
  <c r="S1678" i="5"/>
  <c r="S1679" i="5"/>
  <c r="S1680" i="5"/>
  <c r="S1681" i="5"/>
  <c r="S1682" i="5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T1196" i="5"/>
  <c r="T1197" i="5"/>
  <c r="T1198" i="5"/>
  <c r="T1199" i="5"/>
  <c r="T1200" i="5"/>
  <c r="T1201" i="5"/>
  <c r="T1202" i="5"/>
  <c r="T1203" i="5"/>
  <c r="T1204" i="5"/>
  <c r="T1205" i="5"/>
  <c r="T1206" i="5"/>
  <c r="T1207" i="5"/>
  <c r="T1208" i="5"/>
  <c r="T1209" i="5"/>
  <c r="T1210" i="5"/>
  <c r="T1211" i="5"/>
  <c r="T1212" i="5"/>
  <c r="T1213" i="5"/>
  <c r="T1214" i="5"/>
  <c r="T1215" i="5"/>
  <c r="T1216" i="5"/>
  <c r="T1217" i="5"/>
  <c r="T1218" i="5"/>
  <c r="T1219" i="5"/>
  <c r="T1220" i="5"/>
  <c r="T1221" i="5"/>
  <c r="T1222" i="5"/>
  <c r="T1223" i="5"/>
  <c r="T1224" i="5"/>
  <c r="T1225" i="5"/>
  <c r="T1226" i="5"/>
  <c r="T1227" i="5"/>
  <c r="T1228" i="5"/>
  <c r="T1229" i="5"/>
  <c r="T1230" i="5"/>
  <c r="T1231" i="5"/>
  <c r="T1232" i="5"/>
  <c r="T1233" i="5"/>
  <c r="T1234" i="5"/>
  <c r="T1235" i="5"/>
  <c r="T1236" i="5"/>
  <c r="T1237" i="5"/>
  <c r="T1238" i="5"/>
  <c r="T1239" i="5"/>
  <c r="T1240" i="5"/>
  <c r="T1241" i="5"/>
  <c r="T1242" i="5"/>
  <c r="T1243" i="5"/>
  <c r="T1244" i="5"/>
  <c r="T1245" i="5"/>
  <c r="T1246" i="5"/>
  <c r="T1247" i="5"/>
  <c r="T1248" i="5"/>
  <c r="T1249" i="5"/>
  <c r="T1250" i="5"/>
  <c r="T1251" i="5"/>
  <c r="T1252" i="5"/>
  <c r="T1253" i="5"/>
  <c r="T1254" i="5"/>
  <c r="T1255" i="5"/>
  <c r="T1256" i="5"/>
  <c r="T1257" i="5"/>
  <c r="T1258" i="5"/>
  <c r="T1259" i="5"/>
  <c r="T1260" i="5"/>
  <c r="T1261" i="5"/>
  <c r="T1262" i="5"/>
  <c r="T1263" i="5"/>
  <c r="T1264" i="5"/>
  <c r="T1265" i="5"/>
  <c r="T1266" i="5"/>
  <c r="T1267" i="5"/>
  <c r="T1268" i="5"/>
  <c r="T1269" i="5"/>
  <c r="T1270" i="5"/>
  <c r="T1271" i="5"/>
  <c r="T1272" i="5"/>
  <c r="T1273" i="5"/>
  <c r="T1274" i="5"/>
  <c r="T1275" i="5"/>
  <c r="T1276" i="5"/>
  <c r="T1277" i="5"/>
  <c r="T1278" i="5"/>
  <c r="T1279" i="5"/>
  <c r="T1280" i="5"/>
  <c r="T1281" i="5"/>
  <c r="T1282" i="5"/>
  <c r="T1283" i="5"/>
  <c r="T1284" i="5"/>
  <c r="T1285" i="5"/>
  <c r="T1286" i="5"/>
  <c r="T1287" i="5"/>
  <c r="T1288" i="5"/>
  <c r="T1289" i="5"/>
  <c r="T1290" i="5"/>
  <c r="T1291" i="5"/>
  <c r="T1292" i="5"/>
  <c r="T1293" i="5"/>
  <c r="T1294" i="5"/>
  <c r="T1295" i="5"/>
  <c r="T1296" i="5"/>
  <c r="T1297" i="5"/>
  <c r="T1298" i="5"/>
  <c r="T1299" i="5"/>
  <c r="T1300" i="5"/>
  <c r="T1301" i="5"/>
  <c r="T1302" i="5"/>
  <c r="T1303" i="5"/>
  <c r="T1304" i="5"/>
  <c r="T1305" i="5"/>
  <c r="T1306" i="5"/>
  <c r="T1307" i="5"/>
  <c r="T1308" i="5"/>
  <c r="T1309" i="5"/>
  <c r="T1310" i="5"/>
  <c r="T1311" i="5"/>
  <c r="T1312" i="5"/>
  <c r="T1313" i="5"/>
  <c r="T1314" i="5"/>
  <c r="T1315" i="5"/>
  <c r="T1316" i="5"/>
  <c r="T1317" i="5"/>
  <c r="T1318" i="5"/>
  <c r="T1319" i="5"/>
  <c r="T1320" i="5"/>
  <c r="T1321" i="5"/>
  <c r="T1322" i="5"/>
  <c r="T1323" i="5"/>
  <c r="T1324" i="5"/>
  <c r="T1325" i="5"/>
  <c r="T1326" i="5"/>
  <c r="T1327" i="5"/>
  <c r="T1328" i="5"/>
  <c r="T1329" i="5"/>
  <c r="T1330" i="5"/>
  <c r="T1331" i="5"/>
  <c r="T1332" i="5"/>
  <c r="T1333" i="5"/>
  <c r="T1334" i="5"/>
  <c r="T1335" i="5"/>
  <c r="T1336" i="5"/>
  <c r="T1337" i="5"/>
  <c r="T1338" i="5"/>
  <c r="T1339" i="5"/>
  <c r="T1340" i="5"/>
  <c r="T1341" i="5"/>
  <c r="T1342" i="5"/>
  <c r="T1343" i="5"/>
  <c r="T1344" i="5"/>
  <c r="T1345" i="5"/>
  <c r="T1346" i="5"/>
  <c r="T1347" i="5"/>
  <c r="T1348" i="5"/>
  <c r="T1349" i="5"/>
  <c r="T1350" i="5"/>
  <c r="T1351" i="5"/>
  <c r="T1352" i="5"/>
  <c r="T1353" i="5"/>
  <c r="T1354" i="5"/>
  <c r="T1355" i="5"/>
  <c r="T1356" i="5"/>
  <c r="T1357" i="5"/>
  <c r="T1358" i="5"/>
  <c r="T1359" i="5"/>
  <c r="T1360" i="5"/>
  <c r="T1361" i="5"/>
  <c r="T1362" i="5"/>
  <c r="T1363" i="5"/>
  <c r="T1364" i="5"/>
  <c r="T1365" i="5"/>
  <c r="T1366" i="5"/>
  <c r="T1367" i="5"/>
  <c r="T1368" i="5"/>
  <c r="T1369" i="5"/>
  <c r="T1370" i="5"/>
  <c r="T1371" i="5"/>
  <c r="T1372" i="5"/>
  <c r="T1373" i="5"/>
  <c r="T1374" i="5"/>
  <c r="T1375" i="5"/>
  <c r="T1376" i="5"/>
  <c r="T1377" i="5"/>
  <c r="T1378" i="5"/>
  <c r="T1379" i="5"/>
  <c r="T1380" i="5"/>
  <c r="T1381" i="5"/>
  <c r="T1382" i="5"/>
  <c r="T1383" i="5"/>
  <c r="T1384" i="5"/>
  <c r="T1385" i="5"/>
  <c r="T1386" i="5"/>
  <c r="T1387" i="5"/>
  <c r="T1388" i="5"/>
  <c r="T1389" i="5"/>
  <c r="T1390" i="5"/>
  <c r="T1391" i="5"/>
  <c r="T1392" i="5"/>
  <c r="T1393" i="5"/>
  <c r="T1394" i="5"/>
  <c r="T1395" i="5"/>
  <c r="T1396" i="5"/>
  <c r="T1397" i="5"/>
  <c r="T1398" i="5"/>
  <c r="T1399" i="5"/>
  <c r="T1400" i="5"/>
  <c r="T1401" i="5"/>
  <c r="T1402" i="5"/>
  <c r="T1403" i="5"/>
  <c r="T1404" i="5"/>
  <c r="T1405" i="5"/>
  <c r="T1406" i="5"/>
  <c r="T1407" i="5"/>
  <c r="T1408" i="5"/>
  <c r="T1409" i="5"/>
  <c r="T1410" i="5"/>
  <c r="T1411" i="5"/>
  <c r="T1412" i="5"/>
  <c r="T1413" i="5"/>
  <c r="T1414" i="5"/>
  <c r="T1415" i="5"/>
  <c r="T1416" i="5"/>
  <c r="T1417" i="5"/>
  <c r="T1418" i="5"/>
  <c r="T1419" i="5"/>
  <c r="T1420" i="5"/>
  <c r="T1421" i="5"/>
  <c r="T1422" i="5"/>
  <c r="T1423" i="5"/>
  <c r="T1424" i="5"/>
  <c r="T1425" i="5"/>
  <c r="T1426" i="5"/>
  <c r="T1427" i="5"/>
  <c r="T1428" i="5"/>
  <c r="T1429" i="5"/>
  <c r="T1430" i="5"/>
  <c r="T1431" i="5"/>
  <c r="T1432" i="5"/>
  <c r="T1433" i="5"/>
  <c r="T1434" i="5"/>
  <c r="T1435" i="5"/>
  <c r="T1436" i="5"/>
  <c r="T1437" i="5"/>
  <c r="T1438" i="5"/>
  <c r="T1439" i="5"/>
  <c r="T1440" i="5"/>
  <c r="T1441" i="5"/>
  <c r="T1442" i="5"/>
  <c r="T1443" i="5"/>
  <c r="T1444" i="5"/>
  <c r="T1445" i="5"/>
  <c r="T1446" i="5"/>
  <c r="T1447" i="5"/>
  <c r="T1448" i="5"/>
  <c r="T1449" i="5"/>
  <c r="T1450" i="5"/>
  <c r="T1451" i="5"/>
  <c r="T1452" i="5"/>
  <c r="T1453" i="5"/>
  <c r="T1454" i="5"/>
  <c r="T1455" i="5"/>
  <c r="T1456" i="5"/>
  <c r="T1457" i="5"/>
  <c r="T1458" i="5"/>
  <c r="T1459" i="5"/>
  <c r="T1460" i="5"/>
  <c r="T1461" i="5"/>
  <c r="T1462" i="5"/>
  <c r="T1463" i="5"/>
  <c r="T1464" i="5"/>
  <c r="T1465" i="5"/>
  <c r="T1466" i="5"/>
  <c r="T1467" i="5"/>
  <c r="T1468" i="5"/>
  <c r="T1469" i="5"/>
  <c r="T1470" i="5"/>
  <c r="T1471" i="5"/>
  <c r="T1472" i="5"/>
  <c r="T1473" i="5"/>
  <c r="T1474" i="5"/>
  <c r="T1475" i="5"/>
  <c r="T1476" i="5"/>
  <c r="T1477" i="5"/>
  <c r="T1478" i="5"/>
  <c r="T1479" i="5"/>
  <c r="T1480" i="5"/>
  <c r="T1481" i="5"/>
  <c r="T1482" i="5"/>
  <c r="T1483" i="5"/>
  <c r="T1484" i="5"/>
  <c r="T1485" i="5"/>
  <c r="T1486" i="5"/>
  <c r="T1487" i="5"/>
  <c r="T1488" i="5"/>
  <c r="T1489" i="5"/>
  <c r="T1490" i="5"/>
  <c r="T1491" i="5"/>
  <c r="T1492" i="5"/>
  <c r="T1493" i="5"/>
  <c r="T1494" i="5"/>
  <c r="T1495" i="5"/>
  <c r="T1496" i="5"/>
  <c r="T1497" i="5"/>
  <c r="T1498" i="5"/>
  <c r="T1499" i="5"/>
  <c r="T1500" i="5"/>
  <c r="T1501" i="5"/>
  <c r="T1502" i="5"/>
  <c r="T1503" i="5"/>
  <c r="T1504" i="5"/>
  <c r="T1505" i="5"/>
  <c r="T1506" i="5"/>
  <c r="T1507" i="5"/>
  <c r="T1508" i="5"/>
  <c r="T1509" i="5"/>
  <c r="T1510" i="5"/>
  <c r="T1511" i="5"/>
  <c r="T1512" i="5"/>
  <c r="T1513" i="5"/>
  <c r="T1514" i="5"/>
  <c r="T1515" i="5"/>
  <c r="T1516" i="5"/>
  <c r="T1517" i="5"/>
  <c r="T1518" i="5"/>
  <c r="T1519" i="5"/>
  <c r="T1520" i="5"/>
  <c r="T1521" i="5"/>
  <c r="T1522" i="5"/>
  <c r="T1523" i="5"/>
  <c r="T1524" i="5"/>
  <c r="T1525" i="5"/>
  <c r="T1526" i="5"/>
  <c r="T1527" i="5"/>
  <c r="T1528" i="5"/>
  <c r="T1529" i="5"/>
  <c r="T1530" i="5"/>
  <c r="T1531" i="5"/>
  <c r="T1532" i="5"/>
  <c r="T1533" i="5"/>
  <c r="T1534" i="5"/>
  <c r="T1535" i="5"/>
  <c r="T1536" i="5"/>
  <c r="T1537" i="5"/>
  <c r="T1538" i="5"/>
  <c r="T1539" i="5"/>
  <c r="T1540" i="5"/>
  <c r="T1541" i="5"/>
  <c r="T1542" i="5"/>
  <c r="T1543" i="5"/>
  <c r="T1544" i="5"/>
  <c r="T1545" i="5"/>
  <c r="T1546" i="5"/>
  <c r="T1547" i="5"/>
  <c r="T1548" i="5"/>
  <c r="T1549" i="5"/>
  <c r="T1550" i="5"/>
  <c r="T1551" i="5"/>
  <c r="T1552" i="5"/>
  <c r="T1553" i="5"/>
  <c r="T1554" i="5"/>
  <c r="T1555" i="5"/>
  <c r="T1556" i="5"/>
  <c r="T1557" i="5"/>
  <c r="T1558" i="5"/>
  <c r="T1559" i="5"/>
  <c r="T1560" i="5"/>
  <c r="T1561" i="5"/>
  <c r="T1562" i="5"/>
  <c r="T1563" i="5"/>
  <c r="T1564" i="5"/>
  <c r="T1565" i="5"/>
  <c r="T1566" i="5"/>
  <c r="T1567" i="5"/>
  <c r="T1568" i="5"/>
  <c r="T1569" i="5"/>
  <c r="T1570" i="5"/>
  <c r="T1571" i="5"/>
  <c r="T1572" i="5"/>
  <c r="T1573" i="5"/>
  <c r="T1574" i="5"/>
  <c r="T1575" i="5"/>
  <c r="T1576" i="5"/>
  <c r="T1577" i="5"/>
  <c r="T1578" i="5"/>
  <c r="T1579" i="5"/>
  <c r="T1580" i="5"/>
  <c r="T1581" i="5"/>
  <c r="T1582" i="5"/>
  <c r="T1583" i="5"/>
  <c r="T1584" i="5"/>
  <c r="T1585" i="5"/>
  <c r="T1586" i="5"/>
  <c r="T1587" i="5"/>
  <c r="T1588" i="5"/>
  <c r="T1589" i="5"/>
  <c r="T1590" i="5"/>
  <c r="T1591" i="5"/>
  <c r="T1592" i="5"/>
  <c r="T1593" i="5"/>
  <c r="T1594" i="5"/>
  <c r="T1595" i="5"/>
  <c r="T1596" i="5"/>
  <c r="T1597" i="5"/>
  <c r="T1598" i="5"/>
  <c r="T1599" i="5"/>
  <c r="T1600" i="5"/>
  <c r="T1601" i="5"/>
  <c r="T1602" i="5"/>
  <c r="T1603" i="5"/>
  <c r="T1604" i="5"/>
  <c r="T1605" i="5"/>
  <c r="T1606" i="5"/>
  <c r="T1607" i="5"/>
  <c r="T1608" i="5"/>
  <c r="T1609" i="5"/>
  <c r="T1610" i="5"/>
  <c r="T1611" i="5"/>
  <c r="T1612" i="5"/>
  <c r="T1613" i="5"/>
  <c r="T1614" i="5"/>
  <c r="T1615" i="5"/>
  <c r="T1616" i="5"/>
  <c r="T1617" i="5"/>
  <c r="T1618" i="5"/>
  <c r="T1619" i="5"/>
  <c r="T1620" i="5"/>
  <c r="T1621" i="5"/>
  <c r="T1622" i="5"/>
  <c r="T1623" i="5"/>
  <c r="T1624" i="5"/>
  <c r="T1625" i="5"/>
  <c r="T1626" i="5"/>
  <c r="T1627" i="5"/>
  <c r="T1628" i="5"/>
  <c r="T1629" i="5"/>
  <c r="T1630" i="5"/>
  <c r="T1631" i="5"/>
  <c r="T1632" i="5"/>
  <c r="T1633" i="5"/>
  <c r="T1634" i="5"/>
  <c r="T1635" i="5"/>
  <c r="T1636" i="5"/>
  <c r="T1637" i="5"/>
  <c r="T1638" i="5"/>
  <c r="T1639" i="5"/>
  <c r="T1640" i="5"/>
  <c r="T1641" i="5"/>
  <c r="T1642" i="5"/>
  <c r="T1643" i="5"/>
  <c r="T1644" i="5"/>
  <c r="T1645" i="5"/>
  <c r="T1646" i="5"/>
  <c r="T1647" i="5"/>
  <c r="T1648" i="5"/>
  <c r="T1649" i="5"/>
  <c r="T1650" i="5"/>
  <c r="T1651" i="5"/>
  <c r="T1652" i="5"/>
  <c r="T1653" i="5"/>
  <c r="T1654" i="5"/>
  <c r="T1655" i="5"/>
  <c r="T1656" i="5"/>
  <c r="T1657" i="5"/>
  <c r="T1658" i="5"/>
  <c r="T1659" i="5"/>
  <c r="T1660" i="5"/>
  <c r="T1661" i="5"/>
  <c r="T1662" i="5"/>
  <c r="T1663" i="5"/>
  <c r="T1664" i="5"/>
  <c r="T1665" i="5"/>
  <c r="T1666" i="5"/>
  <c r="T1667" i="5"/>
  <c r="T1668" i="5"/>
  <c r="T1669" i="5"/>
  <c r="T1670" i="5"/>
  <c r="T1671" i="5"/>
  <c r="T1672" i="5"/>
  <c r="T1673" i="5"/>
  <c r="T1674" i="5"/>
  <c r="T1675" i="5"/>
  <c r="T1676" i="5"/>
  <c r="T1677" i="5"/>
  <c r="T1678" i="5"/>
  <c r="T1679" i="5"/>
  <c r="T1680" i="5"/>
  <c r="T1681" i="5"/>
  <c r="T1682" i="5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R2" i="1"/>
  <c r="Q2" i="1" s="1"/>
  <c r="R3" i="1"/>
  <c r="Q3" i="1" s="1"/>
  <c r="R4" i="1"/>
  <c r="Q4" i="1" s="1"/>
  <c r="R5" i="1"/>
  <c r="Q5" i="1" s="1"/>
  <c r="R6" i="1"/>
  <c r="Q6" i="1" s="1"/>
  <c r="R7" i="1"/>
  <c r="Q7" i="1" s="1"/>
  <c r="R8" i="1"/>
  <c r="Q8" i="1" s="1"/>
  <c r="R9" i="1"/>
  <c r="Q9" i="1" s="1"/>
  <c r="R10" i="1"/>
  <c r="Q10" i="1" s="1"/>
  <c r="R11" i="1"/>
  <c r="Q11" i="1" s="1"/>
  <c r="R12" i="1"/>
  <c r="Q12" i="1" s="1"/>
  <c r="R13" i="1"/>
  <c r="Q13" i="1" s="1"/>
  <c r="R14" i="1"/>
  <c r="Q14" i="1" s="1"/>
  <c r="R15" i="1"/>
  <c r="Q15" i="1" s="1"/>
  <c r="R16" i="1"/>
  <c r="Q16" i="1" s="1"/>
  <c r="R17" i="1"/>
  <c r="Q17" i="1" s="1"/>
  <c r="R18" i="1"/>
  <c r="Q18" i="1" s="1"/>
  <c r="R19" i="1"/>
  <c r="Q19" i="1" s="1"/>
  <c r="R20" i="1"/>
  <c r="Q20" i="1" s="1"/>
  <c r="R21" i="1"/>
  <c r="Q21" i="1" s="1"/>
  <c r="R22" i="1"/>
  <c r="Q22" i="1" s="1"/>
  <c r="R23" i="1"/>
  <c r="Q23" i="1" s="1"/>
  <c r="R24" i="1"/>
  <c r="Q24" i="1" s="1"/>
  <c r="R25" i="1"/>
  <c r="Q25" i="1" s="1"/>
  <c r="R26" i="1"/>
  <c r="Q26" i="1" s="1"/>
  <c r="R27" i="1"/>
  <c r="Q27" i="1" s="1"/>
  <c r="R28" i="1"/>
  <c r="Q28" i="1" s="1"/>
  <c r="R29" i="1"/>
  <c r="Q29" i="1" s="1"/>
  <c r="R30" i="1"/>
  <c r="Q30" i="1" s="1"/>
  <c r="R31" i="1"/>
  <c r="Q31" i="1" s="1"/>
  <c r="R32" i="1"/>
  <c r="Q32" i="1" s="1"/>
  <c r="R33" i="1"/>
  <c r="Q33" i="1" s="1"/>
  <c r="R34" i="1"/>
  <c r="Q34" i="1" s="1"/>
  <c r="R35" i="1"/>
  <c r="Q35" i="1" s="1"/>
  <c r="R36" i="1"/>
  <c r="Q36" i="1" s="1"/>
  <c r="R37" i="1"/>
  <c r="Q37" i="1" s="1"/>
  <c r="R38" i="1"/>
  <c r="Q38" i="1" s="1"/>
  <c r="R39" i="1"/>
  <c r="Q39" i="1" s="1"/>
  <c r="R40" i="1"/>
  <c r="Q40" i="1" s="1"/>
  <c r="R41" i="1"/>
  <c r="Q41" i="1" s="1"/>
  <c r="R42" i="1"/>
  <c r="Q42" i="1" s="1"/>
  <c r="R43" i="1"/>
  <c r="Q43" i="1" s="1"/>
  <c r="R44" i="1"/>
  <c r="Q44" i="1" s="1"/>
  <c r="R45" i="1"/>
  <c r="Q45" i="1" s="1"/>
  <c r="R46" i="1"/>
  <c r="Q46" i="1" s="1"/>
  <c r="R47" i="1"/>
  <c r="Q47" i="1" s="1"/>
  <c r="R48" i="1"/>
  <c r="Q48" i="1" s="1"/>
  <c r="R49" i="1"/>
  <c r="Q49" i="1" s="1"/>
  <c r="R50" i="1"/>
  <c r="Q50" i="1" s="1"/>
  <c r="R51" i="1"/>
  <c r="Q51" i="1" s="1"/>
  <c r="R52" i="1"/>
  <c r="Q52" i="1" s="1"/>
  <c r="R53" i="1"/>
  <c r="Q53" i="1" s="1"/>
  <c r="R54" i="1"/>
  <c r="Q54" i="1" s="1"/>
  <c r="R55" i="1"/>
  <c r="Q55" i="1" s="1"/>
  <c r="R56" i="1"/>
  <c r="Q56" i="1" s="1"/>
  <c r="R57" i="1"/>
  <c r="Q57" i="1" s="1"/>
  <c r="R58" i="1"/>
  <c r="Q58" i="1" s="1"/>
  <c r="R59" i="1"/>
  <c r="Q59" i="1" s="1"/>
  <c r="R60" i="1"/>
  <c r="Q60" i="1" s="1"/>
  <c r="R61" i="1"/>
  <c r="Q61" i="1" s="1"/>
  <c r="R62" i="1"/>
  <c r="Q62" i="1" s="1"/>
  <c r="R63" i="1"/>
  <c r="Q63" i="1" s="1"/>
  <c r="R64" i="1"/>
  <c r="Q64" i="1" s="1"/>
  <c r="R65" i="1"/>
  <c r="Q65" i="1" s="1"/>
  <c r="R66" i="1"/>
  <c r="Q66" i="1" s="1"/>
  <c r="R67" i="1"/>
  <c r="Q67" i="1" s="1"/>
  <c r="R68" i="1"/>
  <c r="Q68" i="1" s="1"/>
  <c r="R69" i="1"/>
  <c r="Q69" i="1" s="1"/>
  <c r="R70" i="1"/>
  <c r="Q70" i="1" s="1"/>
  <c r="R71" i="1"/>
  <c r="Q71" i="1" s="1"/>
  <c r="R72" i="1"/>
  <c r="Q72" i="1" s="1"/>
  <c r="R73" i="1"/>
  <c r="Q73" i="1" s="1"/>
  <c r="R74" i="1"/>
  <c r="Q74" i="1" s="1"/>
  <c r="R75" i="1"/>
  <c r="Q75" i="1" s="1"/>
  <c r="R76" i="1"/>
  <c r="Q76" i="1" s="1"/>
  <c r="R77" i="1"/>
  <c r="Q77" i="1" s="1"/>
  <c r="R78" i="1"/>
  <c r="Q78" i="1" s="1"/>
  <c r="R79" i="1"/>
  <c r="Q79" i="1" s="1"/>
  <c r="R80" i="1"/>
  <c r="Q80" i="1" s="1"/>
  <c r="R81" i="1"/>
  <c r="Q81" i="1" s="1"/>
  <c r="R82" i="1"/>
  <c r="Q82" i="1" s="1"/>
  <c r="R83" i="1"/>
  <c r="Q83" i="1" s="1"/>
  <c r="R84" i="1"/>
  <c r="Q84" i="1" s="1"/>
  <c r="R85" i="1"/>
  <c r="Q85" i="1" s="1"/>
  <c r="R86" i="1"/>
  <c r="Q86" i="1" s="1"/>
  <c r="R87" i="1"/>
  <c r="Q87" i="1" s="1"/>
  <c r="R88" i="1"/>
  <c r="Q88" i="1" s="1"/>
  <c r="R89" i="1"/>
  <c r="Q89" i="1" s="1"/>
  <c r="R90" i="1"/>
  <c r="Q90" i="1" s="1"/>
  <c r="R91" i="1"/>
  <c r="Q91" i="1" s="1"/>
  <c r="R92" i="1"/>
  <c r="Q92" i="1" s="1"/>
  <c r="R93" i="1"/>
  <c r="Q93" i="1" s="1"/>
  <c r="R94" i="1"/>
  <c r="Q94" i="1" s="1"/>
  <c r="R95" i="1"/>
  <c r="Q95" i="1" s="1"/>
  <c r="R96" i="1"/>
  <c r="Q96" i="1" s="1"/>
  <c r="R97" i="1"/>
  <c r="Q97" i="1" s="1"/>
  <c r="R98" i="1"/>
  <c r="Q98" i="1" s="1"/>
  <c r="R99" i="1"/>
  <c r="Q99" i="1" s="1"/>
  <c r="R100" i="1"/>
  <c r="Q100" i="1" s="1"/>
  <c r="R101" i="1"/>
  <c r="Q101" i="1" s="1"/>
  <c r="R102" i="1"/>
  <c r="Q102" i="1" s="1"/>
  <c r="R103" i="1"/>
  <c r="Q103" i="1" s="1"/>
  <c r="R104" i="1"/>
  <c r="Q104" i="1" s="1"/>
  <c r="R105" i="1"/>
  <c r="Q105" i="1" s="1"/>
  <c r="R106" i="1"/>
  <c r="Q106" i="1" s="1"/>
  <c r="R107" i="1"/>
  <c r="Q107" i="1" s="1"/>
  <c r="R108" i="1"/>
  <c r="Q108" i="1" s="1"/>
  <c r="R109" i="1"/>
  <c r="Q109" i="1" s="1"/>
  <c r="R110" i="1"/>
  <c r="Q110" i="1" s="1"/>
  <c r="R111" i="1"/>
  <c r="Q111" i="1" s="1"/>
  <c r="R112" i="1"/>
  <c r="Q112" i="1" s="1"/>
  <c r="R113" i="1"/>
  <c r="Q113" i="1" s="1"/>
  <c r="R114" i="1"/>
  <c r="Q114" i="1" s="1"/>
  <c r="R115" i="1"/>
  <c r="Q115" i="1" s="1"/>
  <c r="R116" i="1"/>
  <c r="Q116" i="1" s="1"/>
  <c r="R117" i="1"/>
  <c r="Q117" i="1" s="1"/>
  <c r="R118" i="1"/>
  <c r="Q118" i="1" s="1"/>
  <c r="R119" i="1"/>
  <c r="Q119" i="1" s="1"/>
  <c r="R120" i="1"/>
  <c r="Q120" i="1" s="1"/>
  <c r="R121" i="1"/>
  <c r="Q121" i="1" s="1"/>
  <c r="R122" i="1"/>
  <c r="Q122" i="1" s="1"/>
  <c r="R123" i="1"/>
  <c r="Q123" i="1" s="1"/>
  <c r="R124" i="1"/>
  <c r="Q124" i="1" s="1"/>
  <c r="R125" i="1"/>
  <c r="Q125" i="1" s="1"/>
  <c r="R126" i="1"/>
  <c r="Q126" i="1" s="1"/>
  <c r="R127" i="1"/>
  <c r="Q127" i="1" s="1"/>
  <c r="R128" i="1"/>
  <c r="Q128" i="1" s="1"/>
  <c r="R129" i="1"/>
  <c r="Q129" i="1" s="1"/>
  <c r="R130" i="1"/>
  <c r="Q130" i="1" s="1"/>
  <c r="R131" i="1"/>
  <c r="Q131" i="1" s="1"/>
  <c r="R132" i="1"/>
  <c r="Q132" i="1" s="1"/>
  <c r="R133" i="1"/>
  <c r="Q133" i="1" s="1"/>
  <c r="R134" i="1"/>
  <c r="Q134" i="1" s="1"/>
  <c r="R135" i="1"/>
  <c r="Q135" i="1" s="1"/>
  <c r="R136" i="1"/>
  <c r="Q136" i="1" s="1"/>
  <c r="R137" i="1"/>
  <c r="Q137" i="1" s="1"/>
  <c r="R138" i="1"/>
  <c r="Q138" i="1" s="1"/>
  <c r="R139" i="1"/>
  <c r="Q139" i="1" s="1"/>
  <c r="R140" i="1"/>
  <c r="Q140" i="1" s="1"/>
  <c r="R141" i="1"/>
  <c r="Q141" i="1" s="1"/>
  <c r="R142" i="1"/>
  <c r="Q142" i="1" s="1"/>
  <c r="R143" i="1"/>
  <c r="Q143" i="1" s="1"/>
  <c r="R144" i="1"/>
  <c r="Q144" i="1" s="1"/>
  <c r="R145" i="1"/>
  <c r="Q145" i="1" s="1"/>
  <c r="R146" i="1"/>
  <c r="Q146" i="1" s="1"/>
  <c r="R147" i="1"/>
  <c r="Q147" i="1" s="1"/>
  <c r="R148" i="1"/>
  <c r="Q148" i="1" s="1"/>
  <c r="R149" i="1"/>
  <c r="Q149" i="1" s="1"/>
  <c r="R150" i="1"/>
  <c r="Q150" i="1" s="1"/>
  <c r="R151" i="1"/>
  <c r="Q151" i="1" s="1"/>
  <c r="R152" i="1"/>
  <c r="Q152" i="1" s="1"/>
  <c r="R153" i="1"/>
  <c r="Q153" i="1" s="1"/>
  <c r="R154" i="1"/>
  <c r="Q154" i="1" s="1"/>
  <c r="R155" i="1"/>
  <c r="Q155" i="1" s="1"/>
  <c r="R156" i="1"/>
  <c r="Q156" i="1" s="1"/>
  <c r="R157" i="1"/>
  <c r="Q157" i="1" s="1"/>
  <c r="R158" i="1"/>
  <c r="Q158" i="1" s="1"/>
  <c r="R159" i="1"/>
  <c r="Q159" i="1" s="1"/>
  <c r="R160" i="1"/>
  <c r="Q160" i="1" s="1"/>
  <c r="R161" i="1"/>
  <c r="Q161" i="1" s="1"/>
  <c r="R162" i="1"/>
  <c r="Q162" i="1" s="1"/>
  <c r="R163" i="1"/>
  <c r="Q163" i="1" s="1"/>
  <c r="R164" i="1"/>
  <c r="Q164" i="1" s="1"/>
  <c r="R165" i="1"/>
  <c r="Q165" i="1" s="1"/>
  <c r="R166" i="1"/>
  <c r="Q166" i="1" s="1"/>
  <c r="R167" i="1"/>
  <c r="Q167" i="1" s="1"/>
  <c r="R168" i="1"/>
  <c r="Q168" i="1" s="1"/>
  <c r="R169" i="1"/>
  <c r="Q169" i="1" s="1"/>
  <c r="R170" i="1"/>
  <c r="Q170" i="1" s="1"/>
  <c r="R171" i="1"/>
  <c r="Q171" i="1" s="1"/>
  <c r="R172" i="1"/>
  <c r="Q172" i="1" s="1"/>
  <c r="R173" i="1"/>
  <c r="Q173" i="1" s="1"/>
  <c r="R174" i="1"/>
  <c r="Q174" i="1" s="1"/>
  <c r="R175" i="1"/>
  <c r="Q175" i="1" s="1"/>
  <c r="R176" i="1"/>
  <c r="Q176" i="1" s="1"/>
  <c r="R177" i="1"/>
  <c r="Q177" i="1" s="1"/>
  <c r="R178" i="1"/>
  <c r="Q178" i="1" s="1"/>
  <c r="R179" i="1"/>
  <c r="Q179" i="1" s="1"/>
  <c r="R180" i="1"/>
  <c r="Q180" i="1" s="1"/>
  <c r="R181" i="1"/>
  <c r="Q181" i="1" s="1"/>
  <c r="R182" i="1"/>
  <c r="Q182" i="1" s="1"/>
  <c r="R183" i="1"/>
  <c r="Q183" i="1" s="1"/>
  <c r="R184" i="1"/>
  <c r="Q184" i="1" s="1"/>
  <c r="R185" i="1"/>
  <c r="Q185" i="1" s="1"/>
  <c r="R186" i="1"/>
  <c r="Q186" i="1" s="1"/>
  <c r="R187" i="1"/>
  <c r="Q187" i="1" s="1"/>
  <c r="R188" i="1"/>
  <c r="Q188" i="1" s="1"/>
  <c r="R189" i="1"/>
  <c r="Q189" i="1" s="1"/>
  <c r="R190" i="1"/>
  <c r="Q190" i="1" s="1"/>
  <c r="R191" i="1"/>
  <c r="Q191" i="1" s="1"/>
  <c r="R192" i="1"/>
  <c r="Q192" i="1" s="1"/>
  <c r="R193" i="1"/>
  <c r="Q193" i="1" s="1"/>
  <c r="R194" i="1"/>
  <c r="Q194" i="1" s="1"/>
  <c r="R195" i="1"/>
  <c r="Q195" i="1" s="1"/>
  <c r="R196" i="1"/>
  <c r="Q196" i="1" s="1"/>
  <c r="R197" i="1"/>
  <c r="Q197" i="1" s="1"/>
  <c r="R198" i="1"/>
  <c r="Q198" i="1" s="1"/>
  <c r="R199" i="1"/>
  <c r="Q199" i="1" s="1"/>
  <c r="R200" i="1"/>
  <c r="Q200" i="1" s="1"/>
  <c r="R201" i="1"/>
  <c r="Q201" i="1" s="1"/>
  <c r="R202" i="1"/>
  <c r="Q202" i="1" s="1"/>
  <c r="R203" i="1"/>
  <c r="Q203" i="1" s="1"/>
  <c r="R204" i="1"/>
  <c r="Q204" i="1" s="1"/>
  <c r="R205" i="1"/>
  <c r="Q205" i="1" s="1"/>
  <c r="R206" i="1"/>
  <c r="Q206" i="1" s="1"/>
  <c r="R207" i="1"/>
  <c r="Q207" i="1" s="1"/>
  <c r="R208" i="1"/>
  <c r="Q208" i="1" s="1"/>
  <c r="R209" i="1"/>
  <c r="Q209" i="1" s="1"/>
  <c r="R210" i="1"/>
  <c r="Q210" i="1" s="1"/>
  <c r="R211" i="1"/>
  <c r="Q211" i="1" s="1"/>
  <c r="R212" i="1"/>
  <c r="Q212" i="1" s="1"/>
  <c r="R213" i="1"/>
  <c r="Q213" i="1" s="1"/>
  <c r="R214" i="1"/>
  <c r="Q214" i="1" s="1"/>
  <c r="R215" i="1"/>
  <c r="Q215" i="1" s="1"/>
  <c r="R216" i="1"/>
  <c r="Q216" i="1" s="1"/>
  <c r="R217" i="1"/>
  <c r="Q217" i="1" s="1"/>
  <c r="R218" i="1"/>
  <c r="Q218" i="1" s="1"/>
  <c r="R219" i="1"/>
  <c r="Q219" i="1" s="1"/>
  <c r="R220" i="1"/>
  <c r="Q220" i="1" s="1"/>
  <c r="R221" i="1"/>
  <c r="Q221" i="1" s="1"/>
  <c r="R222" i="1"/>
  <c r="Q222" i="1" s="1"/>
  <c r="R223" i="1"/>
  <c r="Q223" i="1" s="1"/>
  <c r="R224" i="1"/>
  <c r="Q224" i="1" s="1"/>
  <c r="R225" i="1"/>
  <c r="Q225" i="1" s="1"/>
  <c r="R226" i="1"/>
  <c r="Q226" i="1" s="1"/>
  <c r="R227" i="1"/>
  <c r="Q227" i="1" s="1"/>
  <c r="R228" i="1"/>
  <c r="Q228" i="1" s="1"/>
  <c r="R229" i="1"/>
  <c r="Q229" i="1" s="1"/>
  <c r="R230" i="1"/>
  <c r="Q230" i="1" s="1"/>
  <c r="R231" i="1"/>
  <c r="Q231" i="1" s="1"/>
  <c r="R232" i="1"/>
  <c r="Q232" i="1" s="1"/>
  <c r="R233" i="1"/>
  <c r="Q233" i="1" s="1"/>
  <c r="R234" i="1"/>
  <c r="Q234" i="1" s="1"/>
  <c r="R235" i="1"/>
  <c r="Q235" i="1" s="1"/>
  <c r="R236" i="1"/>
  <c r="Q236" i="1" s="1"/>
  <c r="R237" i="1"/>
  <c r="Q237" i="1" s="1"/>
  <c r="R238" i="1"/>
  <c r="Q238" i="1" s="1"/>
  <c r="R239" i="1"/>
  <c r="Q239" i="1" s="1"/>
  <c r="R240" i="1"/>
  <c r="Q240" i="1" s="1"/>
  <c r="R241" i="1"/>
  <c r="Q241" i="1" s="1"/>
  <c r="R242" i="1"/>
  <c r="Q242" i="1" s="1"/>
  <c r="R243" i="1"/>
  <c r="Q243" i="1" s="1"/>
  <c r="R244" i="1"/>
  <c r="Q244" i="1" s="1"/>
  <c r="R245" i="1"/>
  <c r="Q245" i="1" s="1"/>
  <c r="R246" i="1"/>
  <c r="Q246" i="1" s="1"/>
  <c r="R247" i="1"/>
  <c r="Q247" i="1" s="1"/>
  <c r="R248" i="1"/>
  <c r="Q248" i="1" s="1"/>
  <c r="R249" i="1"/>
  <c r="Q249" i="1" s="1"/>
  <c r="R250" i="1"/>
  <c r="Q250" i="1" s="1"/>
  <c r="R251" i="1"/>
  <c r="Q251" i="1" s="1"/>
  <c r="R252" i="1"/>
  <c r="Q252" i="1" s="1"/>
  <c r="R253" i="1"/>
  <c r="Q253" i="1" s="1"/>
  <c r="R254" i="1"/>
  <c r="Q254" i="1" s="1"/>
  <c r="R255" i="1"/>
  <c r="Q255" i="1" s="1"/>
  <c r="R256" i="1"/>
  <c r="Q256" i="1" s="1"/>
  <c r="R257" i="1"/>
  <c r="Q257" i="1" s="1"/>
  <c r="R258" i="1"/>
  <c r="Q258" i="1" s="1"/>
  <c r="R259" i="1"/>
  <c r="Q259" i="1" s="1"/>
  <c r="R260" i="1"/>
  <c r="Q260" i="1" s="1"/>
  <c r="R261" i="1"/>
  <c r="Q261" i="1" s="1"/>
  <c r="R262" i="1"/>
  <c r="Q262" i="1" s="1"/>
  <c r="R263" i="1"/>
  <c r="Q263" i="1" s="1"/>
  <c r="R264" i="1"/>
  <c r="Q264" i="1" s="1"/>
  <c r="R265" i="1"/>
  <c r="Q265" i="1" s="1"/>
  <c r="R266" i="1"/>
  <c r="Q266" i="1" s="1"/>
  <c r="R267" i="1"/>
  <c r="Q267" i="1" s="1"/>
  <c r="R268" i="1"/>
  <c r="Q268" i="1" s="1"/>
  <c r="R269" i="1"/>
  <c r="Q269" i="1" s="1"/>
  <c r="R270" i="1"/>
  <c r="Q270" i="1" s="1"/>
  <c r="R271" i="1"/>
  <c r="Q271" i="1" s="1"/>
  <c r="R272" i="1"/>
  <c r="Q272" i="1" s="1"/>
  <c r="R273" i="1"/>
  <c r="Q273" i="1" s="1"/>
  <c r="R274" i="1"/>
  <c r="Q274" i="1" s="1"/>
  <c r="R275" i="1"/>
  <c r="Q275" i="1" s="1"/>
  <c r="R276" i="1"/>
  <c r="Q276" i="1" s="1"/>
  <c r="R277" i="1"/>
  <c r="Q277" i="1" s="1"/>
  <c r="R278" i="1"/>
  <c r="Q278" i="1" s="1"/>
  <c r="R279" i="1"/>
  <c r="Q279" i="1" s="1"/>
  <c r="R280" i="1"/>
  <c r="Q280" i="1" s="1"/>
  <c r="R281" i="1"/>
  <c r="Q281" i="1" s="1"/>
  <c r="R282" i="1"/>
  <c r="Q282" i="1" s="1"/>
  <c r="R283" i="1"/>
  <c r="Q283" i="1" s="1"/>
  <c r="R284" i="1"/>
  <c r="Q284" i="1" s="1"/>
  <c r="R285" i="1"/>
  <c r="Q285" i="1" s="1"/>
  <c r="R286" i="1"/>
  <c r="Q286" i="1" s="1"/>
  <c r="R287" i="1"/>
  <c r="Q287" i="1" s="1"/>
  <c r="R288" i="1"/>
  <c r="Q288" i="1" s="1"/>
  <c r="R289" i="1"/>
  <c r="Q289" i="1" s="1"/>
  <c r="R290" i="1"/>
  <c r="Q290" i="1" s="1"/>
  <c r="R291" i="1"/>
  <c r="Q291" i="1" s="1"/>
  <c r="R292" i="1"/>
  <c r="Q292" i="1" s="1"/>
  <c r="R293" i="1"/>
  <c r="Q293" i="1" s="1"/>
  <c r="R294" i="1"/>
  <c r="Q294" i="1" s="1"/>
  <c r="R295" i="1"/>
  <c r="Q295" i="1" s="1"/>
  <c r="R296" i="1"/>
  <c r="Q296" i="1" s="1"/>
  <c r="R297" i="1"/>
  <c r="Q297" i="1" s="1"/>
  <c r="R298" i="1"/>
  <c r="Q298" i="1" s="1"/>
  <c r="R299" i="1"/>
  <c r="Q299" i="1" s="1"/>
  <c r="R300" i="1"/>
  <c r="Q300" i="1" s="1"/>
  <c r="R301" i="1"/>
  <c r="Q301" i="1" s="1"/>
  <c r="R302" i="1"/>
  <c r="Q302" i="1" s="1"/>
  <c r="R303" i="1"/>
  <c r="Q303" i="1" s="1"/>
  <c r="R304" i="1"/>
  <c r="Q304" i="1" s="1"/>
  <c r="R305" i="1"/>
  <c r="Q305" i="1" s="1"/>
  <c r="R306" i="1"/>
  <c r="Q306" i="1" s="1"/>
  <c r="R307" i="1"/>
  <c r="Q307" i="1" s="1"/>
  <c r="R308" i="1"/>
  <c r="Q308" i="1" s="1"/>
  <c r="R309" i="1"/>
  <c r="Q309" i="1" s="1"/>
  <c r="R310" i="1"/>
  <c r="Q310" i="1" s="1"/>
  <c r="R311" i="1"/>
  <c r="Q311" i="1" s="1"/>
  <c r="R312" i="1"/>
  <c r="Q312" i="1" s="1"/>
  <c r="R313" i="1"/>
  <c r="Q313" i="1" s="1"/>
  <c r="R314" i="1"/>
  <c r="Q314" i="1" s="1"/>
  <c r="R315" i="1"/>
  <c r="Q315" i="1" s="1"/>
  <c r="R316" i="1"/>
  <c r="Q316" i="1" s="1"/>
  <c r="R317" i="1"/>
  <c r="Q317" i="1" s="1"/>
  <c r="R318" i="1"/>
  <c r="Q318" i="1" s="1"/>
  <c r="R319" i="1"/>
  <c r="Q319" i="1" s="1"/>
  <c r="R320" i="1"/>
  <c r="Q320" i="1" s="1"/>
  <c r="R321" i="1"/>
  <c r="Q321" i="1" s="1"/>
  <c r="R322" i="1"/>
  <c r="Q322" i="1" s="1"/>
  <c r="R323" i="1"/>
  <c r="Q323" i="1" s="1"/>
  <c r="R324" i="1"/>
  <c r="Q324" i="1" s="1"/>
  <c r="R325" i="1"/>
  <c r="Q325" i="1" s="1"/>
  <c r="R326" i="1"/>
  <c r="Q326" i="1" s="1"/>
  <c r="R327" i="1"/>
  <c r="Q327" i="1" s="1"/>
  <c r="R328" i="1"/>
  <c r="Q328" i="1" s="1"/>
  <c r="R329" i="1"/>
  <c r="Q329" i="1" s="1"/>
  <c r="R330" i="1"/>
  <c r="Q330" i="1" s="1"/>
  <c r="R331" i="1"/>
  <c r="Q331" i="1" s="1"/>
  <c r="R332" i="1"/>
  <c r="Q332" i="1" s="1"/>
  <c r="R333" i="1"/>
  <c r="Q333" i="1" s="1"/>
  <c r="R334" i="1"/>
  <c r="Q334" i="1" s="1"/>
  <c r="R335" i="1"/>
  <c r="Q335" i="1" s="1"/>
  <c r="R336" i="1"/>
  <c r="Q336" i="1" s="1"/>
  <c r="R337" i="1"/>
  <c r="Q337" i="1" s="1"/>
  <c r="R338" i="1"/>
  <c r="Q338" i="1" s="1"/>
  <c r="R339" i="1"/>
  <c r="Q339" i="1" s="1"/>
  <c r="R340" i="1"/>
  <c r="Q340" i="1" s="1"/>
  <c r="R341" i="1"/>
  <c r="Q341" i="1" s="1"/>
  <c r="R342" i="1"/>
  <c r="Q342" i="1" s="1"/>
  <c r="R343" i="1"/>
  <c r="Q343" i="1" s="1"/>
  <c r="R344" i="1"/>
  <c r="Q344" i="1" s="1"/>
  <c r="R345" i="1"/>
  <c r="Q345" i="1" s="1"/>
  <c r="R346" i="1"/>
  <c r="Q346" i="1" s="1"/>
  <c r="R347" i="1"/>
  <c r="Q347" i="1" s="1"/>
  <c r="R348" i="1"/>
  <c r="Q348" i="1" s="1"/>
  <c r="R349" i="1"/>
  <c r="Q349" i="1" s="1"/>
  <c r="R350" i="1"/>
  <c r="Q350" i="1" s="1"/>
  <c r="R351" i="1"/>
  <c r="Q351" i="1" s="1"/>
  <c r="R352" i="1"/>
  <c r="Q352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1" i="1"/>
  <c r="Q361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R369" i="1"/>
  <c r="Q369" i="1" s="1"/>
  <c r="R370" i="1"/>
  <c r="Q370" i="1" s="1"/>
  <c r="R371" i="1"/>
  <c r="Q371" i="1" s="1"/>
  <c r="R372" i="1"/>
  <c r="Q372" i="1" s="1"/>
  <c r="R373" i="1"/>
  <c r="Q373" i="1" s="1"/>
  <c r="R374" i="1"/>
  <c r="Q374" i="1" s="1"/>
  <c r="R375" i="1"/>
  <c r="Q375" i="1" s="1"/>
  <c r="R376" i="1"/>
  <c r="Q376" i="1" s="1"/>
  <c r="R377" i="1"/>
  <c r="Q377" i="1" s="1"/>
  <c r="R378" i="1"/>
  <c r="Q378" i="1" s="1"/>
  <c r="R379" i="1"/>
  <c r="Q379" i="1" s="1"/>
  <c r="R380" i="1"/>
  <c r="Q380" i="1" s="1"/>
  <c r="R381" i="1"/>
  <c r="Q381" i="1" s="1"/>
  <c r="R382" i="1"/>
  <c r="Q382" i="1" s="1"/>
  <c r="R383" i="1"/>
  <c r="Q383" i="1" s="1"/>
  <c r="R384" i="1"/>
  <c r="Q384" i="1" s="1"/>
  <c r="R385" i="1"/>
  <c r="Q385" i="1" s="1"/>
  <c r="R386" i="1"/>
  <c r="Q386" i="1" s="1"/>
  <c r="R387" i="1"/>
  <c r="Q387" i="1" s="1"/>
  <c r="R388" i="1"/>
  <c r="Q388" i="1" s="1"/>
  <c r="R389" i="1"/>
  <c r="Q389" i="1" s="1"/>
  <c r="R390" i="1"/>
  <c r="Q390" i="1" s="1"/>
  <c r="R391" i="1"/>
  <c r="Q391" i="1" s="1"/>
  <c r="R392" i="1"/>
  <c r="Q392" i="1" s="1"/>
  <c r="R393" i="1"/>
  <c r="Q393" i="1" s="1"/>
  <c r="R394" i="1"/>
  <c r="Q394" i="1" s="1"/>
  <c r="R395" i="1"/>
  <c r="Q395" i="1" s="1"/>
  <c r="R396" i="1"/>
  <c r="Q396" i="1" s="1"/>
  <c r="R397" i="1"/>
  <c r="Q397" i="1" s="1"/>
  <c r="R398" i="1"/>
  <c r="Q398" i="1" s="1"/>
  <c r="R399" i="1"/>
  <c r="Q399" i="1" s="1"/>
  <c r="R400" i="1"/>
  <c r="Q400" i="1" s="1"/>
  <c r="R401" i="1"/>
  <c r="Q401" i="1" s="1"/>
  <c r="R402" i="1"/>
  <c r="Q402" i="1" s="1"/>
  <c r="R403" i="1"/>
  <c r="Q403" i="1" s="1"/>
  <c r="R404" i="1"/>
  <c r="Q404" i="1" s="1"/>
  <c r="R405" i="1"/>
  <c r="Q405" i="1" s="1"/>
  <c r="R406" i="1"/>
  <c r="Q406" i="1" s="1"/>
  <c r="R407" i="1"/>
  <c r="Q407" i="1" s="1"/>
  <c r="R408" i="1"/>
  <c r="Q408" i="1" s="1"/>
  <c r="R409" i="1"/>
  <c r="Q409" i="1" s="1"/>
  <c r="R410" i="1"/>
  <c r="Q410" i="1" s="1"/>
  <c r="R411" i="1"/>
  <c r="Q411" i="1" s="1"/>
  <c r="R412" i="1"/>
  <c r="Q412" i="1" s="1"/>
  <c r="R413" i="1"/>
  <c r="Q413" i="1" s="1"/>
  <c r="R414" i="1"/>
  <c r="Q414" i="1" s="1"/>
  <c r="R415" i="1"/>
  <c r="Q415" i="1" s="1"/>
  <c r="R416" i="1"/>
  <c r="Q416" i="1" s="1"/>
  <c r="R417" i="1"/>
  <c r="Q417" i="1" s="1"/>
  <c r="R418" i="1"/>
  <c r="Q418" i="1" s="1"/>
  <c r="R419" i="1"/>
  <c r="Q419" i="1" s="1"/>
  <c r="R420" i="1"/>
  <c r="Q420" i="1" s="1"/>
  <c r="R421" i="1"/>
  <c r="Q421" i="1" s="1"/>
  <c r="R422" i="1"/>
  <c r="Q422" i="1" s="1"/>
  <c r="R423" i="1"/>
  <c r="Q423" i="1" s="1"/>
  <c r="R424" i="1"/>
  <c r="Q424" i="1" s="1"/>
  <c r="R425" i="1"/>
  <c r="Q425" i="1" s="1"/>
  <c r="R426" i="1"/>
  <c r="Q426" i="1" s="1"/>
  <c r="R427" i="1"/>
  <c r="Q427" i="1" s="1"/>
  <c r="R428" i="1"/>
  <c r="Q428" i="1" s="1"/>
  <c r="R429" i="1"/>
  <c r="Q429" i="1" s="1"/>
  <c r="R430" i="1"/>
  <c r="Q430" i="1" s="1"/>
  <c r="R431" i="1"/>
  <c r="Q431" i="1" s="1"/>
  <c r="R432" i="1"/>
  <c r="Q432" i="1" s="1"/>
  <c r="R433" i="1"/>
  <c r="Q433" i="1" s="1"/>
  <c r="R434" i="1"/>
  <c r="Q434" i="1" s="1"/>
  <c r="R435" i="1"/>
  <c r="Q435" i="1" s="1"/>
  <c r="R436" i="1"/>
  <c r="Q436" i="1" s="1"/>
  <c r="R437" i="1"/>
  <c r="Q437" i="1" s="1"/>
  <c r="R438" i="1"/>
  <c r="Q438" i="1" s="1"/>
  <c r="R439" i="1"/>
  <c r="Q439" i="1" s="1"/>
  <c r="R440" i="1"/>
  <c r="Q440" i="1" s="1"/>
  <c r="R441" i="1"/>
  <c r="Q441" i="1" s="1"/>
  <c r="R442" i="1"/>
  <c r="Q442" i="1" s="1"/>
  <c r="R443" i="1"/>
  <c r="Q443" i="1" s="1"/>
  <c r="R444" i="1"/>
  <c r="Q444" i="1" s="1"/>
  <c r="R445" i="1"/>
  <c r="Q445" i="1" s="1"/>
  <c r="R446" i="1"/>
  <c r="Q446" i="1" s="1"/>
  <c r="R447" i="1"/>
  <c r="Q447" i="1" s="1"/>
  <c r="R448" i="1"/>
  <c r="Q448" i="1" s="1"/>
  <c r="R449" i="1"/>
  <c r="Q449" i="1" s="1"/>
  <c r="R450" i="1"/>
  <c r="Q450" i="1" s="1"/>
  <c r="R451" i="1"/>
  <c r="Q451" i="1" s="1"/>
  <c r="R452" i="1"/>
  <c r="Q452" i="1" s="1"/>
  <c r="R453" i="1"/>
  <c r="Q453" i="1" s="1"/>
  <c r="R454" i="1"/>
  <c r="Q454" i="1" s="1"/>
  <c r="R455" i="1"/>
  <c r="Q455" i="1" s="1"/>
  <c r="R456" i="1"/>
  <c r="Q456" i="1" s="1"/>
  <c r="R457" i="1"/>
  <c r="Q457" i="1" s="1"/>
  <c r="R458" i="1"/>
  <c r="Q458" i="1" s="1"/>
  <c r="R459" i="1"/>
  <c r="Q459" i="1" s="1"/>
  <c r="R460" i="1"/>
  <c r="Q460" i="1" s="1"/>
  <c r="R461" i="1"/>
  <c r="Q461" i="1" s="1"/>
  <c r="R462" i="1"/>
  <c r="Q462" i="1" s="1"/>
  <c r="R463" i="1"/>
  <c r="Q463" i="1" s="1"/>
  <c r="R464" i="1"/>
  <c r="Q464" i="1" s="1"/>
  <c r="R465" i="1"/>
  <c r="Q465" i="1" s="1"/>
  <c r="R466" i="1"/>
  <c r="Q466" i="1" s="1"/>
  <c r="R467" i="1"/>
  <c r="Q467" i="1" s="1"/>
  <c r="R468" i="1"/>
  <c r="Q468" i="1" s="1"/>
  <c r="R469" i="1"/>
  <c r="Q469" i="1" s="1"/>
  <c r="R470" i="1"/>
  <c r="Q470" i="1" s="1"/>
  <c r="R471" i="1"/>
  <c r="Q471" i="1" s="1"/>
  <c r="R472" i="1"/>
  <c r="Q472" i="1" s="1"/>
  <c r="R473" i="1"/>
  <c r="Q473" i="1" s="1"/>
  <c r="R474" i="1"/>
  <c r="Q474" i="1" s="1"/>
  <c r="R475" i="1"/>
  <c r="Q475" i="1" s="1"/>
  <c r="R476" i="1"/>
  <c r="Q476" i="1" s="1"/>
  <c r="R477" i="1"/>
  <c r="Q477" i="1" s="1"/>
  <c r="R478" i="1"/>
  <c r="Q478" i="1" s="1"/>
  <c r="R479" i="1"/>
  <c r="Q479" i="1" s="1"/>
  <c r="R480" i="1"/>
  <c r="Q480" i="1" s="1"/>
  <c r="R481" i="1"/>
  <c r="Q481" i="1" s="1"/>
  <c r="R482" i="1"/>
  <c r="Q482" i="1" s="1"/>
  <c r="R483" i="1"/>
  <c r="Q483" i="1" s="1"/>
  <c r="R484" i="1"/>
  <c r="Q484" i="1" s="1"/>
  <c r="R485" i="1"/>
  <c r="Q485" i="1" s="1"/>
  <c r="R486" i="1"/>
  <c r="Q486" i="1" s="1"/>
  <c r="R487" i="1"/>
  <c r="Q487" i="1" s="1"/>
  <c r="R488" i="1"/>
  <c r="Q488" i="1" s="1"/>
  <c r="R489" i="1"/>
  <c r="Q489" i="1" s="1"/>
  <c r="R490" i="1"/>
  <c r="Q490" i="1" s="1"/>
  <c r="R491" i="1"/>
  <c r="Q491" i="1" s="1"/>
  <c r="R492" i="1"/>
  <c r="Q492" i="1" s="1"/>
  <c r="R493" i="1"/>
  <c r="Q493" i="1" s="1"/>
  <c r="R494" i="1"/>
  <c r="Q494" i="1" s="1"/>
  <c r="R495" i="1"/>
  <c r="Q495" i="1" s="1"/>
  <c r="R496" i="1"/>
  <c r="Q496" i="1" s="1"/>
  <c r="R497" i="1"/>
  <c r="Q497" i="1" s="1"/>
  <c r="R498" i="1"/>
  <c r="Q498" i="1" s="1"/>
  <c r="R499" i="1"/>
  <c r="Q499" i="1" s="1"/>
  <c r="R500" i="1"/>
  <c r="Q500" i="1" s="1"/>
  <c r="R501" i="1"/>
  <c r="Q501" i="1" s="1"/>
  <c r="R502" i="1"/>
  <c r="Q502" i="1" s="1"/>
  <c r="R503" i="1"/>
  <c r="Q503" i="1" s="1"/>
  <c r="R504" i="1"/>
  <c r="Q504" i="1" s="1"/>
  <c r="R505" i="1"/>
  <c r="Q505" i="1" s="1"/>
  <c r="R506" i="1"/>
  <c r="Q506" i="1" s="1"/>
  <c r="R507" i="1"/>
  <c r="Q507" i="1" s="1"/>
  <c r="R508" i="1"/>
  <c r="Q508" i="1" s="1"/>
  <c r="R509" i="1"/>
  <c r="Q509" i="1" s="1"/>
  <c r="R510" i="1"/>
  <c r="Q510" i="1" s="1"/>
  <c r="R511" i="1"/>
  <c r="Q511" i="1" s="1"/>
  <c r="R512" i="1"/>
  <c r="Q512" i="1" s="1"/>
  <c r="R513" i="1"/>
  <c r="Q513" i="1" s="1"/>
  <c r="R514" i="1"/>
  <c r="Q514" i="1" s="1"/>
  <c r="R515" i="1"/>
  <c r="Q515" i="1" s="1"/>
  <c r="R516" i="1"/>
  <c r="Q516" i="1" s="1"/>
  <c r="R517" i="1"/>
  <c r="Q517" i="1" s="1"/>
  <c r="R518" i="1"/>
  <c r="Q518" i="1" s="1"/>
  <c r="R519" i="1"/>
  <c r="Q519" i="1" s="1"/>
  <c r="R520" i="1"/>
  <c r="Q520" i="1" s="1"/>
  <c r="R521" i="1"/>
  <c r="Q521" i="1" s="1"/>
  <c r="R522" i="1"/>
  <c r="Q522" i="1" s="1"/>
  <c r="R523" i="1"/>
  <c r="Q523" i="1" s="1"/>
  <c r="R524" i="1"/>
  <c r="Q524" i="1" s="1"/>
  <c r="R525" i="1"/>
  <c r="Q525" i="1" s="1"/>
  <c r="R526" i="1"/>
  <c r="Q526" i="1" s="1"/>
  <c r="R527" i="1"/>
  <c r="Q527" i="1" s="1"/>
  <c r="R528" i="1"/>
  <c r="Q528" i="1" s="1"/>
  <c r="R529" i="1"/>
  <c r="Q529" i="1" s="1"/>
  <c r="R530" i="1"/>
  <c r="Q530" i="1" s="1"/>
  <c r="R531" i="1"/>
  <c r="Q531" i="1" s="1"/>
  <c r="R532" i="1"/>
  <c r="Q532" i="1" s="1"/>
  <c r="R533" i="1"/>
  <c r="Q533" i="1" s="1"/>
  <c r="R534" i="1"/>
  <c r="Q534" i="1" s="1"/>
  <c r="R535" i="1"/>
  <c r="Q535" i="1" s="1"/>
  <c r="R536" i="1"/>
  <c r="Q536" i="1" s="1"/>
  <c r="R537" i="1"/>
  <c r="Q537" i="1" s="1"/>
  <c r="R538" i="1"/>
  <c r="Q538" i="1" s="1"/>
  <c r="R539" i="1"/>
  <c r="Q539" i="1" s="1"/>
  <c r="R540" i="1"/>
  <c r="Q540" i="1" s="1"/>
  <c r="R541" i="1"/>
  <c r="Q541" i="1" s="1"/>
  <c r="R542" i="1"/>
  <c r="Q542" i="1" s="1"/>
  <c r="R543" i="1"/>
  <c r="Q543" i="1" s="1"/>
  <c r="R544" i="1"/>
  <c r="Q544" i="1" s="1"/>
  <c r="R545" i="1"/>
  <c r="Q545" i="1" s="1"/>
  <c r="R546" i="1"/>
  <c r="Q546" i="1" s="1"/>
  <c r="R547" i="1"/>
  <c r="Q547" i="1" s="1"/>
  <c r="R548" i="1"/>
  <c r="Q548" i="1" s="1"/>
  <c r="R549" i="1"/>
  <c r="Q549" i="1" s="1"/>
  <c r="R550" i="1"/>
  <c r="Q550" i="1" s="1"/>
  <c r="R551" i="1"/>
  <c r="Q551" i="1" s="1"/>
  <c r="R552" i="1"/>
  <c r="Q552" i="1" s="1"/>
  <c r="R553" i="1"/>
  <c r="Q553" i="1" s="1"/>
  <c r="R554" i="1"/>
  <c r="Q554" i="1" s="1"/>
  <c r="R555" i="1"/>
  <c r="Q555" i="1" s="1"/>
  <c r="R556" i="1"/>
  <c r="Q556" i="1" s="1"/>
  <c r="R557" i="1"/>
  <c r="Q557" i="1" s="1"/>
  <c r="R558" i="1"/>
  <c r="Q558" i="1" s="1"/>
  <c r="R559" i="1"/>
  <c r="Q559" i="1" s="1"/>
  <c r="R560" i="1"/>
  <c r="Q560" i="1" s="1"/>
  <c r="R561" i="1"/>
  <c r="Q561" i="1" s="1"/>
  <c r="R562" i="1"/>
  <c r="Q562" i="1" s="1"/>
  <c r="R563" i="1"/>
  <c r="Q563" i="1" s="1"/>
  <c r="R564" i="1"/>
  <c r="Q564" i="1" s="1"/>
  <c r="R565" i="1"/>
  <c r="Q565" i="1" s="1"/>
  <c r="R566" i="1"/>
  <c r="Q566" i="1" s="1"/>
  <c r="R567" i="1"/>
  <c r="Q567" i="1" s="1"/>
  <c r="R568" i="1"/>
  <c r="Q568" i="1" s="1"/>
  <c r="R569" i="1"/>
  <c r="Q569" i="1" s="1"/>
  <c r="R570" i="1"/>
  <c r="Q570" i="1" s="1"/>
  <c r="R571" i="1"/>
  <c r="Q571" i="1" s="1"/>
  <c r="R572" i="1"/>
  <c r="Q572" i="1" s="1"/>
  <c r="R573" i="1"/>
  <c r="Q573" i="1" s="1"/>
  <c r="R574" i="1"/>
  <c r="Q574" i="1" s="1"/>
  <c r="R575" i="1"/>
  <c r="Q575" i="1" s="1"/>
  <c r="R576" i="1"/>
  <c r="Q576" i="1" s="1"/>
  <c r="R577" i="1"/>
  <c r="Q577" i="1" s="1"/>
  <c r="R578" i="1"/>
  <c r="Q578" i="1" s="1"/>
  <c r="R579" i="1"/>
  <c r="Q579" i="1" s="1"/>
  <c r="R580" i="1"/>
  <c r="Q580" i="1" s="1"/>
  <c r="R581" i="1"/>
  <c r="Q581" i="1" s="1"/>
  <c r="R582" i="1"/>
  <c r="Q582" i="1" s="1"/>
  <c r="R583" i="1"/>
  <c r="Q583" i="1" s="1"/>
  <c r="R584" i="1"/>
  <c r="Q584" i="1" s="1"/>
  <c r="R585" i="1"/>
  <c r="Q585" i="1" s="1"/>
  <c r="R586" i="1"/>
  <c r="Q586" i="1" s="1"/>
  <c r="R587" i="1"/>
  <c r="Q587" i="1" s="1"/>
  <c r="R588" i="1"/>
  <c r="Q588" i="1" s="1"/>
  <c r="R589" i="1"/>
  <c r="Q589" i="1" s="1"/>
  <c r="R590" i="1"/>
  <c r="Q590" i="1" s="1"/>
  <c r="R591" i="1"/>
  <c r="Q591" i="1" s="1"/>
  <c r="R592" i="1"/>
  <c r="Q592" i="1" s="1"/>
  <c r="R593" i="1"/>
  <c r="Q593" i="1" s="1"/>
  <c r="R594" i="1"/>
  <c r="Q594" i="1" s="1"/>
  <c r="R595" i="1"/>
  <c r="Q595" i="1" s="1"/>
  <c r="R596" i="1"/>
  <c r="Q596" i="1" s="1"/>
  <c r="R597" i="1"/>
  <c r="Q597" i="1" s="1"/>
  <c r="R598" i="1"/>
  <c r="Q598" i="1" s="1"/>
  <c r="R599" i="1"/>
  <c r="Q599" i="1" s="1"/>
  <c r="R600" i="1"/>
  <c r="Q600" i="1" s="1"/>
  <c r="R601" i="1"/>
  <c r="Q601" i="1" s="1"/>
  <c r="R602" i="1"/>
  <c r="Q602" i="1" s="1"/>
  <c r="R603" i="1"/>
  <c r="Q603" i="1" s="1"/>
  <c r="R604" i="1"/>
  <c r="Q604" i="1" s="1"/>
  <c r="R605" i="1"/>
  <c r="Q605" i="1" s="1"/>
  <c r="R606" i="1"/>
  <c r="Q606" i="1" s="1"/>
  <c r="R607" i="1"/>
  <c r="Q607" i="1" s="1"/>
  <c r="R608" i="1"/>
  <c r="Q608" i="1" s="1"/>
  <c r="R609" i="1"/>
  <c r="Q609" i="1" s="1"/>
  <c r="R610" i="1"/>
  <c r="Q610" i="1" s="1"/>
  <c r="R611" i="1"/>
  <c r="Q611" i="1" s="1"/>
  <c r="R612" i="1"/>
  <c r="Q612" i="1" s="1"/>
  <c r="R613" i="1"/>
  <c r="Q613" i="1" s="1"/>
  <c r="R614" i="1"/>
  <c r="Q614" i="1" s="1"/>
  <c r="R615" i="1"/>
  <c r="Q615" i="1" s="1"/>
  <c r="R616" i="1"/>
  <c r="Q616" i="1" s="1"/>
  <c r="R617" i="1"/>
  <c r="Q617" i="1" s="1"/>
  <c r="R618" i="1"/>
  <c r="Q618" i="1" s="1"/>
  <c r="R619" i="1"/>
  <c r="Q619" i="1" s="1"/>
  <c r="R620" i="1"/>
  <c r="Q620" i="1" s="1"/>
  <c r="R621" i="1"/>
  <c r="Q621" i="1" s="1"/>
  <c r="R622" i="1"/>
  <c r="Q622" i="1" s="1"/>
  <c r="R623" i="1"/>
  <c r="Q623" i="1" s="1"/>
  <c r="R624" i="1"/>
  <c r="Q624" i="1" s="1"/>
  <c r="R625" i="1"/>
  <c r="Q625" i="1" s="1"/>
  <c r="R626" i="1"/>
  <c r="Q626" i="1" s="1"/>
  <c r="R627" i="1"/>
  <c r="Q627" i="1" s="1"/>
  <c r="R628" i="1"/>
  <c r="Q628" i="1" s="1"/>
  <c r="R629" i="1"/>
  <c r="Q629" i="1" s="1"/>
  <c r="R630" i="1"/>
  <c r="Q630" i="1" s="1"/>
  <c r="R631" i="1"/>
  <c r="Q631" i="1" s="1"/>
  <c r="R632" i="1"/>
  <c r="Q632" i="1" s="1"/>
  <c r="R633" i="1"/>
  <c r="Q633" i="1" s="1"/>
  <c r="R634" i="1"/>
  <c r="Q634" i="1" s="1"/>
  <c r="R635" i="1"/>
  <c r="Q635" i="1" s="1"/>
  <c r="R636" i="1"/>
  <c r="Q636" i="1" s="1"/>
  <c r="R637" i="1"/>
  <c r="Q637" i="1" s="1"/>
  <c r="R638" i="1"/>
  <c r="Q638" i="1" s="1"/>
  <c r="R639" i="1"/>
  <c r="Q639" i="1" s="1"/>
  <c r="R640" i="1"/>
  <c r="Q640" i="1" s="1"/>
  <c r="R641" i="1"/>
  <c r="Q641" i="1" s="1"/>
  <c r="R642" i="1"/>
  <c r="Q642" i="1" s="1"/>
  <c r="R643" i="1"/>
  <c r="Q643" i="1" s="1"/>
  <c r="R644" i="1"/>
  <c r="Q644" i="1" s="1"/>
  <c r="R645" i="1"/>
  <c r="Q645" i="1" s="1"/>
  <c r="R646" i="1"/>
  <c r="Q646" i="1" s="1"/>
  <c r="R647" i="1"/>
  <c r="Q647" i="1" s="1"/>
  <c r="R648" i="1"/>
  <c r="Q648" i="1" s="1"/>
  <c r="R649" i="1"/>
  <c r="Q649" i="1" s="1"/>
  <c r="R650" i="1"/>
  <c r="Q650" i="1" s="1"/>
  <c r="R651" i="1"/>
  <c r="Q651" i="1" s="1"/>
  <c r="R652" i="1"/>
  <c r="Q652" i="1" s="1"/>
  <c r="R653" i="1"/>
  <c r="Q653" i="1" s="1"/>
  <c r="R654" i="1"/>
  <c r="Q654" i="1" s="1"/>
  <c r="R655" i="1"/>
  <c r="Q655" i="1" s="1"/>
  <c r="R656" i="1"/>
  <c r="Q656" i="1" s="1"/>
  <c r="R657" i="1"/>
  <c r="Q657" i="1" s="1"/>
  <c r="R658" i="1"/>
  <c r="Q658" i="1" s="1"/>
  <c r="R659" i="1"/>
  <c r="Q659" i="1" s="1"/>
  <c r="R660" i="1"/>
  <c r="Q660" i="1" s="1"/>
  <c r="R661" i="1"/>
  <c r="Q661" i="1" s="1"/>
  <c r="R662" i="1"/>
  <c r="Q662" i="1" s="1"/>
  <c r="R663" i="1"/>
  <c r="Q663" i="1" s="1"/>
  <c r="R664" i="1"/>
  <c r="Q664" i="1" s="1"/>
  <c r="R665" i="1"/>
  <c r="Q665" i="1" s="1"/>
  <c r="R666" i="1"/>
  <c r="Q666" i="1" s="1"/>
  <c r="R667" i="1"/>
  <c r="Q667" i="1" s="1"/>
  <c r="R668" i="1"/>
  <c r="Q668" i="1" s="1"/>
  <c r="R669" i="1"/>
  <c r="Q669" i="1" s="1"/>
  <c r="R670" i="1"/>
  <c r="Q670" i="1" s="1"/>
  <c r="R671" i="1"/>
  <c r="Q671" i="1" s="1"/>
  <c r="R672" i="1"/>
  <c r="Q672" i="1" s="1"/>
  <c r="R673" i="1"/>
  <c r="Q673" i="1" s="1"/>
  <c r="R674" i="1"/>
  <c r="Q674" i="1" s="1"/>
  <c r="R675" i="1"/>
  <c r="Q675" i="1" s="1"/>
  <c r="R676" i="1"/>
  <c r="Q676" i="1" s="1"/>
  <c r="R677" i="1"/>
  <c r="Q677" i="1" s="1"/>
  <c r="R678" i="1"/>
  <c r="Q678" i="1" s="1"/>
  <c r="R679" i="1"/>
  <c r="Q679" i="1" s="1"/>
  <c r="R680" i="1"/>
  <c r="Q680" i="1" s="1"/>
  <c r="R681" i="1"/>
  <c r="Q681" i="1" s="1"/>
  <c r="R682" i="1"/>
  <c r="Q682" i="1" s="1"/>
  <c r="R683" i="1"/>
  <c r="Q683" i="1" s="1"/>
  <c r="R684" i="1"/>
  <c r="Q684" i="1" s="1"/>
  <c r="R685" i="1"/>
  <c r="Q685" i="1" s="1"/>
  <c r="R686" i="1"/>
  <c r="Q686" i="1" s="1"/>
  <c r="R687" i="1"/>
  <c r="Q687" i="1" s="1"/>
  <c r="R688" i="1"/>
  <c r="Q688" i="1" s="1"/>
  <c r="R689" i="1"/>
  <c r="Q689" i="1" s="1"/>
  <c r="R690" i="1"/>
  <c r="Q690" i="1" s="1"/>
  <c r="R691" i="1"/>
  <c r="Q691" i="1" s="1"/>
  <c r="R692" i="1"/>
  <c r="Q692" i="1" s="1"/>
  <c r="R693" i="1"/>
  <c r="Q693" i="1" s="1"/>
  <c r="R694" i="1"/>
  <c r="Q694" i="1" s="1"/>
  <c r="R695" i="1"/>
  <c r="Q695" i="1" s="1"/>
  <c r="R696" i="1"/>
  <c r="Q696" i="1" s="1"/>
  <c r="R697" i="1"/>
  <c r="Q697" i="1" s="1"/>
  <c r="R698" i="1"/>
  <c r="Q698" i="1" s="1"/>
  <c r="R699" i="1"/>
  <c r="Q699" i="1" s="1"/>
  <c r="R700" i="1"/>
  <c r="Q700" i="1" s="1"/>
  <c r="R701" i="1"/>
  <c r="Q701" i="1" s="1"/>
  <c r="R702" i="1"/>
  <c r="Q702" i="1" s="1"/>
  <c r="R703" i="1"/>
  <c r="Q703" i="1" s="1"/>
  <c r="R704" i="1"/>
  <c r="Q704" i="1" s="1"/>
  <c r="R705" i="1"/>
  <c r="Q705" i="1" s="1"/>
  <c r="R706" i="1"/>
  <c r="Q706" i="1" s="1"/>
  <c r="R707" i="1"/>
  <c r="Q707" i="1" s="1"/>
  <c r="R708" i="1"/>
  <c r="Q708" i="1" s="1"/>
  <c r="R709" i="1"/>
  <c r="Q709" i="1" s="1"/>
  <c r="R710" i="1"/>
  <c r="Q710" i="1" s="1"/>
  <c r="R711" i="1"/>
  <c r="Q711" i="1" s="1"/>
  <c r="R712" i="1"/>
  <c r="Q712" i="1" s="1"/>
  <c r="R713" i="1"/>
  <c r="Q713" i="1" s="1"/>
  <c r="R714" i="1"/>
  <c r="Q714" i="1" s="1"/>
  <c r="R715" i="1"/>
  <c r="Q715" i="1" s="1"/>
  <c r="R716" i="1"/>
  <c r="Q716" i="1" s="1"/>
  <c r="R717" i="1"/>
  <c r="Q717" i="1" s="1"/>
  <c r="R718" i="1"/>
  <c r="Q718" i="1" s="1"/>
  <c r="R719" i="1"/>
  <c r="Q719" i="1" s="1"/>
  <c r="R720" i="1"/>
  <c r="Q720" i="1" s="1"/>
  <c r="R721" i="1"/>
  <c r="Q721" i="1" s="1"/>
  <c r="R722" i="1"/>
  <c r="Q722" i="1" s="1"/>
  <c r="R723" i="1"/>
  <c r="Q723" i="1" s="1"/>
  <c r="R724" i="1"/>
  <c r="Q724" i="1" s="1"/>
  <c r="R725" i="1"/>
  <c r="Q725" i="1" s="1"/>
  <c r="R726" i="1"/>
  <c r="Q726" i="1" s="1"/>
  <c r="R727" i="1"/>
  <c r="Q727" i="1" s="1"/>
  <c r="R728" i="1"/>
  <c r="Q728" i="1" s="1"/>
  <c r="R729" i="1"/>
  <c r="Q729" i="1" s="1"/>
  <c r="R730" i="1"/>
  <c r="Q730" i="1" s="1"/>
  <c r="R731" i="1"/>
  <c r="Q731" i="1" s="1"/>
  <c r="R732" i="1"/>
  <c r="Q732" i="1" s="1"/>
  <c r="R733" i="1"/>
  <c r="Q733" i="1" s="1"/>
  <c r="R734" i="1"/>
  <c r="Q734" i="1" s="1"/>
  <c r="R735" i="1"/>
  <c r="Q735" i="1" s="1"/>
  <c r="R736" i="1"/>
  <c r="Q736" i="1" s="1"/>
  <c r="R737" i="1"/>
  <c r="Q737" i="1" s="1"/>
  <c r="R738" i="1"/>
  <c r="Q738" i="1" s="1"/>
  <c r="R739" i="1"/>
  <c r="Q739" i="1" s="1"/>
  <c r="R740" i="1"/>
  <c r="Q740" i="1" s="1"/>
  <c r="R741" i="1"/>
  <c r="Q741" i="1" s="1"/>
  <c r="R742" i="1"/>
  <c r="Q742" i="1" s="1"/>
  <c r="R743" i="1"/>
  <c r="Q743" i="1" s="1"/>
  <c r="R744" i="1"/>
  <c r="Q744" i="1" s="1"/>
  <c r="R745" i="1"/>
  <c r="Q745" i="1" s="1"/>
  <c r="R746" i="1"/>
  <c r="Q746" i="1" s="1"/>
  <c r="R747" i="1"/>
  <c r="Q747" i="1" s="1"/>
  <c r="R748" i="1"/>
  <c r="Q748" i="1" s="1"/>
  <c r="R749" i="1"/>
  <c r="Q749" i="1" s="1"/>
  <c r="R750" i="1"/>
  <c r="Q750" i="1" s="1"/>
  <c r="R751" i="1"/>
  <c r="Q751" i="1" s="1"/>
  <c r="R752" i="1"/>
  <c r="Q752" i="1" s="1"/>
  <c r="R753" i="1"/>
  <c r="Q753" i="1" s="1"/>
  <c r="R754" i="1"/>
  <c r="Q754" i="1" s="1"/>
  <c r="R755" i="1"/>
  <c r="Q755" i="1" s="1"/>
  <c r="R756" i="1"/>
  <c r="Q756" i="1" s="1"/>
  <c r="R757" i="1"/>
  <c r="Q757" i="1" s="1"/>
  <c r="R758" i="1"/>
  <c r="Q758" i="1" s="1"/>
  <c r="R759" i="1"/>
  <c r="Q759" i="1" s="1"/>
  <c r="R760" i="1"/>
  <c r="Q760" i="1" s="1"/>
  <c r="R761" i="1"/>
  <c r="Q761" i="1" s="1"/>
  <c r="R762" i="1"/>
  <c r="Q762" i="1" s="1"/>
  <c r="R763" i="1"/>
  <c r="Q763" i="1" s="1"/>
  <c r="R764" i="1"/>
  <c r="Q764" i="1" s="1"/>
  <c r="R765" i="1"/>
  <c r="Q765" i="1" s="1"/>
  <c r="R766" i="1"/>
  <c r="Q766" i="1" s="1"/>
  <c r="R767" i="1"/>
  <c r="Q767" i="1" s="1"/>
  <c r="R768" i="1"/>
  <c r="Q768" i="1" s="1"/>
  <c r="R769" i="1"/>
  <c r="Q769" i="1" s="1"/>
  <c r="R770" i="1"/>
  <c r="Q770" i="1" s="1"/>
  <c r="R771" i="1"/>
  <c r="Q771" i="1" s="1"/>
  <c r="R772" i="1"/>
  <c r="Q772" i="1" s="1"/>
  <c r="R773" i="1"/>
  <c r="Q773" i="1" s="1"/>
  <c r="R774" i="1"/>
  <c r="Q774" i="1" s="1"/>
  <c r="R775" i="1"/>
  <c r="Q775" i="1" s="1"/>
  <c r="R776" i="1"/>
  <c r="Q776" i="1" s="1"/>
  <c r="R777" i="1"/>
  <c r="Q777" i="1" s="1"/>
  <c r="R778" i="1"/>
  <c r="Q778" i="1" s="1"/>
  <c r="R779" i="1"/>
  <c r="Q779" i="1" s="1"/>
  <c r="R780" i="1"/>
  <c r="Q780" i="1" s="1"/>
  <c r="R781" i="1"/>
  <c r="Q781" i="1" s="1"/>
  <c r="R782" i="1"/>
  <c r="Q782" i="1" s="1"/>
  <c r="R783" i="1"/>
  <c r="Q783" i="1" s="1"/>
  <c r="R784" i="1"/>
  <c r="Q784" i="1" s="1"/>
  <c r="R785" i="1"/>
  <c r="Q785" i="1" s="1"/>
  <c r="R786" i="1"/>
  <c r="Q786" i="1" s="1"/>
  <c r="R787" i="1"/>
  <c r="Q787" i="1" s="1"/>
  <c r="R788" i="1"/>
  <c r="Q788" i="1" s="1"/>
  <c r="R789" i="1"/>
  <c r="Q789" i="1" s="1"/>
  <c r="R790" i="1"/>
  <c r="Q790" i="1" s="1"/>
  <c r="R791" i="1"/>
  <c r="Q791" i="1" s="1"/>
  <c r="R792" i="1"/>
  <c r="Q792" i="1" s="1"/>
  <c r="R793" i="1"/>
  <c r="Q793" i="1" s="1"/>
  <c r="R794" i="1"/>
  <c r="Q794" i="1" s="1"/>
  <c r="R795" i="1"/>
  <c r="Q795" i="1" s="1"/>
  <c r="R796" i="1"/>
  <c r="Q796" i="1" s="1"/>
  <c r="R797" i="1"/>
  <c r="Q797" i="1" s="1"/>
  <c r="R798" i="1"/>
  <c r="Q798" i="1" s="1"/>
  <c r="R799" i="1"/>
  <c r="Q799" i="1" s="1"/>
  <c r="R800" i="1"/>
  <c r="Q800" i="1" s="1"/>
  <c r="R801" i="1"/>
  <c r="Q801" i="1" s="1"/>
  <c r="R802" i="1"/>
  <c r="Q802" i="1" s="1"/>
  <c r="R803" i="1"/>
  <c r="Q803" i="1" s="1"/>
  <c r="R804" i="1"/>
  <c r="Q804" i="1" s="1"/>
  <c r="R805" i="1"/>
  <c r="Q805" i="1" s="1"/>
  <c r="R806" i="1"/>
  <c r="Q806" i="1" s="1"/>
  <c r="R807" i="1"/>
  <c r="Q807" i="1" s="1"/>
  <c r="R808" i="1"/>
  <c r="Q808" i="1" s="1"/>
  <c r="R809" i="1"/>
  <c r="Q809" i="1" s="1"/>
  <c r="R810" i="1"/>
  <c r="Q810" i="1" s="1"/>
  <c r="R811" i="1"/>
  <c r="Q811" i="1" s="1"/>
  <c r="R812" i="1"/>
  <c r="Q812" i="1" s="1"/>
  <c r="R813" i="1"/>
  <c r="Q813" i="1" s="1"/>
  <c r="R814" i="1"/>
  <c r="Q814" i="1" s="1"/>
  <c r="R815" i="1"/>
  <c r="Q815" i="1" s="1"/>
  <c r="R816" i="1"/>
  <c r="Q816" i="1" s="1"/>
  <c r="R817" i="1"/>
  <c r="Q817" i="1" s="1"/>
  <c r="R818" i="1"/>
  <c r="Q818" i="1" s="1"/>
  <c r="R819" i="1"/>
  <c r="Q819" i="1" s="1"/>
  <c r="R820" i="1"/>
  <c r="Q820" i="1" s="1"/>
  <c r="R821" i="1"/>
  <c r="Q821" i="1" s="1"/>
  <c r="R822" i="1"/>
  <c r="Q822" i="1" s="1"/>
  <c r="R823" i="1"/>
  <c r="Q823" i="1" s="1"/>
  <c r="R824" i="1"/>
  <c r="Q824" i="1" s="1"/>
  <c r="R825" i="1"/>
  <c r="Q825" i="1" s="1"/>
  <c r="R826" i="1"/>
  <c r="Q826" i="1" s="1"/>
  <c r="R827" i="1"/>
  <c r="Q827" i="1" s="1"/>
  <c r="R828" i="1"/>
  <c r="Q828" i="1" s="1"/>
  <c r="R829" i="1"/>
  <c r="Q829" i="1" s="1"/>
  <c r="R830" i="1"/>
  <c r="Q830" i="1" s="1"/>
  <c r="R831" i="1"/>
  <c r="Q831" i="1" s="1"/>
  <c r="R832" i="1"/>
  <c r="Q832" i="1" s="1"/>
  <c r="R833" i="1"/>
  <c r="Q833" i="1" s="1"/>
  <c r="R834" i="1"/>
  <c r="Q834" i="1" s="1"/>
  <c r="R835" i="1"/>
  <c r="Q835" i="1" s="1"/>
  <c r="R836" i="1"/>
  <c r="Q836" i="1" s="1"/>
  <c r="R837" i="1"/>
  <c r="Q837" i="1" s="1"/>
  <c r="R838" i="1"/>
  <c r="Q838" i="1" s="1"/>
  <c r="R839" i="1"/>
  <c r="Q839" i="1" s="1"/>
  <c r="R840" i="1"/>
  <c r="Q840" i="1" s="1"/>
  <c r="R841" i="1"/>
  <c r="Q841" i="1" s="1"/>
  <c r="R842" i="1"/>
  <c r="Q842" i="1" s="1"/>
  <c r="R843" i="1"/>
  <c r="Q843" i="1" s="1"/>
  <c r="R844" i="1"/>
  <c r="Q844" i="1" s="1"/>
  <c r="R845" i="1"/>
  <c r="Q845" i="1" s="1"/>
  <c r="R846" i="1"/>
  <c r="Q846" i="1" s="1"/>
  <c r="R847" i="1"/>
  <c r="Q847" i="1" s="1"/>
  <c r="R848" i="1"/>
  <c r="Q848" i="1" s="1"/>
  <c r="R849" i="1"/>
  <c r="Q849" i="1" s="1"/>
  <c r="R850" i="1"/>
  <c r="Q850" i="1" s="1"/>
  <c r="R851" i="1"/>
  <c r="Q851" i="1" s="1"/>
  <c r="R852" i="1"/>
  <c r="Q852" i="1" s="1"/>
  <c r="R853" i="1"/>
  <c r="Q853" i="1" s="1"/>
  <c r="R854" i="1"/>
  <c r="Q854" i="1" s="1"/>
  <c r="R855" i="1"/>
  <c r="Q855" i="1" s="1"/>
  <c r="R856" i="1"/>
  <c r="Q856" i="1" s="1"/>
  <c r="R857" i="1"/>
  <c r="Q857" i="1" s="1"/>
  <c r="R858" i="1"/>
  <c r="Q858" i="1" s="1"/>
  <c r="R859" i="1"/>
  <c r="Q859" i="1" s="1"/>
  <c r="R860" i="1"/>
  <c r="Q860" i="1" s="1"/>
  <c r="R861" i="1"/>
  <c r="Q861" i="1" s="1"/>
  <c r="R862" i="1"/>
  <c r="Q862" i="1" s="1"/>
  <c r="R863" i="1"/>
  <c r="Q863" i="1" s="1"/>
  <c r="R864" i="1"/>
  <c r="Q864" i="1" s="1"/>
  <c r="R865" i="1"/>
  <c r="Q865" i="1" s="1"/>
  <c r="R866" i="1"/>
  <c r="Q866" i="1" s="1"/>
  <c r="R867" i="1"/>
  <c r="Q867" i="1" s="1"/>
  <c r="R868" i="1"/>
  <c r="Q868" i="1" s="1"/>
  <c r="R869" i="1"/>
  <c r="Q869" i="1" s="1"/>
  <c r="R870" i="1"/>
  <c r="Q870" i="1" s="1"/>
  <c r="R871" i="1"/>
  <c r="Q871" i="1" s="1"/>
  <c r="R872" i="1"/>
  <c r="Q872" i="1" s="1"/>
  <c r="R873" i="1"/>
  <c r="Q873" i="1" s="1"/>
  <c r="R874" i="1"/>
  <c r="Q874" i="1" s="1"/>
  <c r="R875" i="1"/>
  <c r="Q875" i="1" s="1"/>
  <c r="R876" i="1"/>
  <c r="Q876" i="1" s="1"/>
  <c r="R877" i="1"/>
  <c r="Q877" i="1" s="1"/>
  <c r="R878" i="1"/>
  <c r="Q878" i="1" s="1"/>
  <c r="R879" i="1"/>
  <c r="Q879" i="1" s="1"/>
  <c r="R880" i="1"/>
  <c r="Q880" i="1" s="1"/>
  <c r="R881" i="1"/>
  <c r="Q881" i="1" s="1"/>
  <c r="R882" i="1"/>
  <c r="Q882" i="1" s="1"/>
  <c r="R883" i="1"/>
  <c r="Q883" i="1" s="1"/>
  <c r="R884" i="1"/>
  <c r="Q884" i="1" s="1"/>
  <c r="R885" i="1"/>
  <c r="Q885" i="1" s="1"/>
  <c r="R886" i="1"/>
  <c r="Q886" i="1" s="1"/>
  <c r="R887" i="1"/>
  <c r="Q887" i="1" s="1"/>
  <c r="R888" i="1"/>
  <c r="Q888" i="1" s="1"/>
  <c r="R889" i="1"/>
  <c r="Q889" i="1" s="1"/>
  <c r="R890" i="1"/>
  <c r="Q890" i="1" s="1"/>
  <c r="R891" i="1"/>
  <c r="Q891" i="1" s="1"/>
  <c r="R892" i="1"/>
  <c r="Q892" i="1" s="1"/>
  <c r="R893" i="1"/>
  <c r="Q893" i="1" s="1"/>
  <c r="R894" i="1"/>
  <c r="Q894" i="1" s="1"/>
  <c r="R895" i="1"/>
  <c r="Q895" i="1" s="1"/>
  <c r="R896" i="1"/>
  <c r="Q896" i="1" s="1"/>
  <c r="R897" i="1"/>
  <c r="Q897" i="1" s="1"/>
  <c r="R898" i="1"/>
  <c r="Q898" i="1" s="1"/>
  <c r="R899" i="1"/>
  <c r="Q899" i="1" s="1"/>
  <c r="R900" i="1"/>
  <c r="Q900" i="1" s="1"/>
  <c r="R901" i="1"/>
  <c r="Q901" i="1" s="1"/>
  <c r="R902" i="1"/>
  <c r="Q902" i="1" s="1"/>
  <c r="R903" i="1"/>
  <c r="Q903" i="1" s="1"/>
  <c r="R904" i="1"/>
  <c r="Q904" i="1" s="1"/>
  <c r="R905" i="1"/>
  <c r="Q905" i="1" s="1"/>
  <c r="R906" i="1"/>
  <c r="Q906" i="1" s="1"/>
  <c r="R907" i="1"/>
  <c r="Q907" i="1" s="1"/>
  <c r="R908" i="1"/>
  <c r="Q908" i="1" s="1"/>
  <c r="R909" i="1"/>
  <c r="Q909" i="1" s="1"/>
  <c r="R910" i="1"/>
  <c r="Q910" i="1" s="1"/>
  <c r="R911" i="1"/>
  <c r="Q911" i="1" s="1"/>
  <c r="R912" i="1"/>
  <c r="Q912" i="1" s="1"/>
  <c r="R913" i="1"/>
  <c r="Q913" i="1" s="1"/>
  <c r="R914" i="1"/>
  <c r="Q914" i="1" s="1"/>
  <c r="R915" i="1"/>
  <c r="Q915" i="1" s="1"/>
  <c r="R916" i="1"/>
  <c r="Q916" i="1" s="1"/>
  <c r="R917" i="1"/>
  <c r="Q917" i="1" s="1"/>
  <c r="R918" i="1"/>
  <c r="Q918" i="1" s="1"/>
  <c r="R919" i="1"/>
  <c r="Q919" i="1" s="1"/>
  <c r="R920" i="1"/>
  <c r="Q920" i="1" s="1"/>
  <c r="R921" i="1"/>
  <c r="Q921" i="1" s="1"/>
  <c r="R922" i="1"/>
  <c r="Q922" i="1" s="1"/>
  <c r="R923" i="1"/>
  <c r="Q923" i="1" s="1"/>
  <c r="R924" i="1"/>
  <c r="Q924" i="1" s="1"/>
  <c r="R925" i="1"/>
  <c r="Q925" i="1" s="1"/>
  <c r="R926" i="1"/>
  <c r="Q926" i="1" s="1"/>
  <c r="R927" i="1"/>
  <c r="Q927" i="1" s="1"/>
  <c r="R928" i="1"/>
  <c r="Q928" i="1" s="1"/>
  <c r="R929" i="1"/>
  <c r="Q929" i="1" s="1"/>
  <c r="R930" i="1"/>
  <c r="Q930" i="1" s="1"/>
  <c r="R931" i="1"/>
  <c r="Q931" i="1" s="1"/>
  <c r="R932" i="1"/>
  <c r="Q932" i="1" s="1"/>
  <c r="R933" i="1"/>
  <c r="Q933" i="1" s="1"/>
  <c r="R934" i="1"/>
  <c r="Q934" i="1" s="1"/>
  <c r="R935" i="1"/>
  <c r="Q935" i="1" s="1"/>
  <c r="R936" i="1"/>
  <c r="Q936" i="1" s="1"/>
  <c r="R937" i="1"/>
  <c r="Q937" i="1" s="1"/>
  <c r="R938" i="1"/>
  <c r="Q938" i="1" s="1"/>
  <c r="R939" i="1"/>
  <c r="Q939" i="1" s="1"/>
  <c r="R940" i="1"/>
  <c r="Q940" i="1" s="1"/>
  <c r="R941" i="1"/>
  <c r="Q941" i="1" s="1"/>
  <c r="R942" i="1"/>
  <c r="Q942" i="1" s="1"/>
  <c r="R943" i="1"/>
  <c r="Q943" i="1" s="1"/>
  <c r="R944" i="1"/>
  <c r="Q944" i="1" s="1"/>
  <c r="R945" i="1"/>
  <c r="Q945" i="1" s="1"/>
  <c r="R946" i="1"/>
  <c r="Q946" i="1" s="1"/>
  <c r="R947" i="1"/>
  <c r="Q947" i="1" s="1"/>
  <c r="R948" i="1"/>
  <c r="Q948" i="1" s="1"/>
  <c r="R949" i="1"/>
  <c r="Q949" i="1" s="1"/>
  <c r="R950" i="1"/>
  <c r="Q950" i="1" s="1"/>
  <c r="R951" i="1"/>
  <c r="Q951" i="1" s="1"/>
  <c r="R952" i="1"/>
  <c r="Q952" i="1" s="1"/>
  <c r="R953" i="1"/>
  <c r="Q953" i="1" s="1"/>
  <c r="R954" i="1"/>
  <c r="Q954" i="1" s="1"/>
  <c r="R955" i="1"/>
  <c r="Q955" i="1" s="1"/>
  <c r="R956" i="1"/>
  <c r="Q956" i="1" s="1"/>
  <c r="R957" i="1"/>
  <c r="Q957" i="1" s="1"/>
  <c r="R958" i="1"/>
  <c r="Q958" i="1" s="1"/>
  <c r="R959" i="1"/>
  <c r="Q959" i="1" s="1"/>
  <c r="R960" i="1"/>
  <c r="Q960" i="1" s="1"/>
  <c r="R961" i="1"/>
  <c r="Q961" i="1" s="1"/>
  <c r="R962" i="1"/>
  <c r="Q962" i="1" s="1"/>
  <c r="R963" i="1"/>
  <c r="Q963" i="1" s="1"/>
  <c r="R964" i="1"/>
  <c r="Q964" i="1" s="1"/>
  <c r="R965" i="1"/>
  <c r="Q965" i="1" s="1"/>
  <c r="R966" i="1"/>
  <c r="Q966" i="1" s="1"/>
  <c r="R967" i="1"/>
  <c r="Q967" i="1" s="1"/>
  <c r="R968" i="1"/>
  <c r="Q968" i="1" s="1"/>
  <c r="R969" i="1"/>
  <c r="Q969" i="1" s="1"/>
  <c r="R970" i="1"/>
  <c r="Q970" i="1" s="1"/>
  <c r="R971" i="1"/>
  <c r="Q971" i="1" s="1"/>
  <c r="R972" i="1"/>
  <c r="Q972" i="1" s="1"/>
  <c r="R973" i="1"/>
  <c r="Q973" i="1" s="1"/>
  <c r="R974" i="1"/>
  <c r="Q974" i="1" s="1"/>
  <c r="R975" i="1"/>
  <c r="Q975" i="1" s="1"/>
  <c r="R976" i="1"/>
  <c r="Q976" i="1" s="1"/>
  <c r="R977" i="1"/>
  <c r="Q977" i="1" s="1"/>
  <c r="R978" i="1"/>
  <c r="Q978" i="1" s="1"/>
  <c r="R979" i="1"/>
  <c r="Q979" i="1" s="1"/>
  <c r="R980" i="1"/>
  <c r="Q980" i="1" s="1"/>
  <c r="R981" i="1"/>
  <c r="Q981" i="1" s="1"/>
  <c r="R982" i="1"/>
  <c r="Q982" i="1" s="1"/>
  <c r="R983" i="1"/>
  <c r="Q983" i="1" s="1"/>
  <c r="R984" i="1"/>
  <c r="Q984" i="1" s="1"/>
  <c r="R985" i="1"/>
  <c r="Q985" i="1" s="1"/>
  <c r="R986" i="1"/>
  <c r="Q986" i="1" s="1"/>
  <c r="R987" i="1"/>
  <c r="Q987" i="1" s="1"/>
  <c r="R988" i="1"/>
  <c r="Q988" i="1" s="1"/>
  <c r="R989" i="1"/>
  <c r="Q989" i="1" s="1"/>
  <c r="R990" i="1"/>
  <c r="Q990" i="1" s="1"/>
  <c r="R991" i="1"/>
  <c r="Q991" i="1" s="1"/>
  <c r="R992" i="1"/>
  <c r="Q992" i="1" s="1"/>
  <c r="R993" i="1"/>
  <c r="Q993" i="1" s="1"/>
  <c r="R994" i="1"/>
  <c r="Q994" i="1" s="1"/>
  <c r="R995" i="1"/>
  <c r="Q995" i="1" s="1"/>
  <c r="R996" i="1"/>
  <c r="Q996" i="1" s="1"/>
  <c r="R997" i="1"/>
  <c r="Q997" i="1" s="1"/>
  <c r="R998" i="1"/>
  <c r="Q998" i="1" s="1"/>
  <c r="R999" i="1"/>
  <c r="Q999" i="1" s="1"/>
  <c r="R1000" i="1"/>
  <c r="Q1000" i="1" s="1"/>
  <c r="R1001" i="1"/>
  <c r="Q1001" i="1" s="1"/>
  <c r="R1002" i="1"/>
  <c r="Q1002" i="1" s="1"/>
  <c r="R1003" i="1"/>
  <c r="Q1003" i="1" s="1"/>
  <c r="R1004" i="1"/>
  <c r="Q1004" i="1" s="1"/>
  <c r="R1005" i="1"/>
  <c r="Q1005" i="1" s="1"/>
  <c r="R1006" i="1"/>
  <c r="Q1006" i="1" s="1"/>
  <c r="R1007" i="1"/>
  <c r="Q1007" i="1" s="1"/>
  <c r="R1008" i="1"/>
  <c r="Q1008" i="1" s="1"/>
  <c r="R1009" i="1"/>
  <c r="Q1009" i="1" s="1"/>
  <c r="R1010" i="1"/>
  <c r="Q1010" i="1" s="1"/>
  <c r="R1011" i="1"/>
  <c r="Q1011" i="1" s="1"/>
  <c r="R1012" i="1"/>
  <c r="Q1012" i="1" s="1"/>
  <c r="R1013" i="1"/>
  <c r="Q1013" i="1" s="1"/>
  <c r="R1014" i="1"/>
  <c r="Q1014" i="1" s="1"/>
  <c r="R1015" i="1"/>
  <c r="Q1015" i="1" s="1"/>
  <c r="R1016" i="1"/>
  <c r="Q1016" i="1" s="1"/>
  <c r="R1017" i="1"/>
  <c r="Q1017" i="1" s="1"/>
  <c r="R1018" i="1"/>
  <c r="Q1018" i="1" s="1"/>
  <c r="R1019" i="1"/>
  <c r="Q1019" i="1" s="1"/>
  <c r="R1020" i="1"/>
  <c r="Q1020" i="1" s="1"/>
  <c r="R1021" i="1"/>
  <c r="Q1021" i="1" s="1"/>
  <c r="R1022" i="1"/>
  <c r="Q1022" i="1" s="1"/>
  <c r="R1023" i="1"/>
  <c r="Q1023" i="1" s="1"/>
  <c r="R1024" i="1"/>
  <c r="Q1024" i="1" s="1"/>
  <c r="R1025" i="1"/>
  <c r="Q1025" i="1" s="1"/>
  <c r="R1026" i="1"/>
  <c r="Q1026" i="1" s="1"/>
  <c r="R1027" i="1"/>
  <c r="Q1027" i="1" s="1"/>
  <c r="R1028" i="1"/>
  <c r="Q1028" i="1" s="1"/>
  <c r="R1029" i="1"/>
  <c r="Q1029" i="1" s="1"/>
  <c r="R1030" i="1"/>
  <c r="Q1030" i="1" s="1"/>
  <c r="R1031" i="1"/>
  <c r="Q1031" i="1" s="1"/>
  <c r="R1032" i="1"/>
  <c r="Q1032" i="1" s="1"/>
  <c r="R1033" i="1"/>
  <c r="Q1033" i="1" s="1"/>
  <c r="R1034" i="1"/>
  <c r="Q1034" i="1" s="1"/>
  <c r="R1035" i="1"/>
  <c r="Q1035" i="1" s="1"/>
  <c r="R1036" i="1"/>
  <c r="Q1036" i="1" s="1"/>
  <c r="R1037" i="1"/>
  <c r="Q1037" i="1" s="1"/>
  <c r="R1038" i="1"/>
  <c r="Q1038" i="1" s="1"/>
  <c r="R1039" i="1"/>
  <c r="Q1039" i="1" s="1"/>
  <c r="R1040" i="1"/>
  <c r="Q1040" i="1" s="1"/>
  <c r="R1041" i="1"/>
  <c r="Q1041" i="1" s="1"/>
  <c r="R1042" i="1"/>
  <c r="Q1042" i="1" s="1"/>
  <c r="R1043" i="1"/>
  <c r="Q1043" i="1" s="1"/>
  <c r="R1044" i="1"/>
  <c r="Q1044" i="1" s="1"/>
  <c r="R1045" i="1"/>
  <c r="Q1045" i="1" s="1"/>
  <c r="R1046" i="1"/>
  <c r="Q1046" i="1" s="1"/>
  <c r="R1047" i="1"/>
  <c r="Q1047" i="1" s="1"/>
  <c r="R1048" i="1"/>
  <c r="Q1048" i="1" s="1"/>
  <c r="R1049" i="1"/>
  <c r="Q1049" i="1" s="1"/>
  <c r="R1050" i="1"/>
  <c r="Q1050" i="1" s="1"/>
  <c r="R1051" i="1"/>
  <c r="Q1051" i="1" s="1"/>
  <c r="R1052" i="1"/>
  <c r="Q1052" i="1" s="1"/>
  <c r="R1053" i="1"/>
  <c r="Q1053" i="1" s="1"/>
  <c r="R1054" i="1"/>
  <c r="Q1054" i="1" s="1"/>
  <c r="R1055" i="1"/>
  <c r="Q1055" i="1" s="1"/>
  <c r="R1056" i="1"/>
  <c r="Q1056" i="1" s="1"/>
  <c r="R1057" i="1"/>
  <c r="Q1057" i="1" s="1"/>
  <c r="R1058" i="1"/>
  <c r="Q1058" i="1" s="1"/>
  <c r="R1059" i="1"/>
  <c r="Q1059" i="1" s="1"/>
  <c r="R1060" i="1"/>
  <c r="Q1060" i="1" s="1"/>
  <c r="R1061" i="1"/>
  <c r="Q1061" i="1" s="1"/>
  <c r="R1062" i="1"/>
  <c r="Q1062" i="1" s="1"/>
  <c r="R1063" i="1"/>
  <c r="Q1063" i="1" s="1"/>
  <c r="R1064" i="1"/>
  <c r="Q1064" i="1" s="1"/>
  <c r="R1065" i="1"/>
  <c r="Q1065" i="1" s="1"/>
  <c r="R1066" i="1"/>
  <c r="Q1066" i="1" s="1"/>
  <c r="R1067" i="1"/>
  <c r="Q1067" i="1" s="1"/>
  <c r="R1068" i="1"/>
  <c r="Q1068" i="1" s="1"/>
  <c r="R1069" i="1"/>
  <c r="Q1069" i="1" s="1"/>
  <c r="R1070" i="1"/>
  <c r="Q1070" i="1" s="1"/>
  <c r="R1071" i="1"/>
  <c r="Q1071" i="1" s="1"/>
  <c r="R1072" i="1"/>
  <c r="Q1072" i="1" s="1"/>
  <c r="R1073" i="1"/>
  <c r="Q1073" i="1" s="1"/>
  <c r="R1074" i="1"/>
  <c r="Q1074" i="1" s="1"/>
  <c r="R1075" i="1"/>
  <c r="Q1075" i="1" s="1"/>
  <c r="R1076" i="1"/>
  <c r="Q1076" i="1" s="1"/>
  <c r="R1077" i="1"/>
  <c r="Q1077" i="1" s="1"/>
  <c r="R1078" i="1"/>
  <c r="Q1078" i="1" s="1"/>
  <c r="R1079" i="1"/>
  <c r="Q1079" i="1" s="1"/>
  <c r="R1080" i="1"/>
  <c r="Q1080" i="1" s="1"/>
  <c r="R1081" i="1"/>
  <c r="Q1081" i="1" s="1"/>
  <c r="R1082" i="1"/>
  <c r="Q1082" i="1" s="1"/>
  <c r="R1083" i="1"/>
  <c r="Q1083" i="1" s="1"/>
  <c r="R1084" i="1"/>
  <c r="Q1084" i="1" s="1"/>
  <c r="R1085" i="1"/>
  <c r="Q1085" i="1" s="1"/>
  <c r="R1086" i="1"/>
  <c r="Q1086" i="1" s="1"/>
  <c r="R1087" i="1"/>
  <c r="Q1087" i="1" s="1"/>
  <c r="R1088" i="1"/>
  <c r="Q1088" i="1" s="1"/>
  <c r="R1089" i="1"/>
  <c r="Q1089" i="1" s="1"/>
  <c r="R1090" i="1"/>
  <c r="Q1090" i="1" s="1"/>
  <c r="R1091" i="1"/>
  <c r="Q1091" i="1" s="1"/>
  <c r="R1092" i="1"/>
  <c r="Q1092" i="1" s="1"/>
  <c r="R1093" i="1"/>
  <c r="Q1093" i="1" s="1"/>
  <c r="R1094" i="1"/>
  <c r="Q1094" i="1" s="1"/>
  <c r="R1095" i="1"/>
  <c r="Q1095" i="1" s="1"/>
  <c r="R1096" i="1"/>
  <c r="Q1096" i="1" s="1"/>
  <c r="R1097" i="1"/>
  <c r="Q1097" i="1" s="1"/>
  <c r="R1098" i="1"/>
  <c r="Q1098" i="1" s="1"/>
  <c r="R1099" i="1"/>
  <c r="Q1099" i="1" s="1"/>
  <c r="R1100" i="1"/>
  <c r="Q1100" i="1" s="1"/>
  <c r="R1101" i="1"/>
  <c r="Q1101" i="1" s="1"/>
  <c r="R1102" i="1"/>
  <c r="Q1102" i="1" s="1"/>
  <c r="R1103" i="1"/>
  <c r="Q1103" i="1" s="1"/>
  <c r="R1104" i="1"/>
  <c r="Q1104" i="1" s="1"/>
  <c r="R1105" i="1"/>
  <c r="Q1105" i="1" s="1"/>
  <c r="R1106" i="1"/>
  <c r="Q1106" i="1" s="1"/>
  <c r="R1107" i="1"/>
  <c r="Q1107" i="1" s="1"/>
  <c r="R1108" i="1"/>
  <c r="Q1108" i="1" s="1"/>
  <c r="R1109" i="1"/>
  <c r="Q1109" i="1" s="1"/>
  <c r="R1110" i="1"/>
  <c r="Q1110" i="1" s="1"/>
  <c r="R1111" i="1"/>
  <c r="Q1111" i="1" s="1"/>
  <c r="R1112" i="1"/>
  <c r="Q1112" i="1" s="1"/>
  <c r="R1113" i="1"/>
  <c r="Q1113" i="1" s="1"/>
  <c r="R1114" i="1"/>
  <c r="Q1114" i="1" s="1"/>
  <c r="R1115" i="1"/>
  <c r="Q1115" i="1" s="1"/>
  <c r="R1116" i="1"/>
  <c r="Q1116" i="1" s="1"/>
  <c r="R1117" i="1"/>
  <c r="Q1117" i="1" s="1"/>
  <c r="R1118" i="1"/>
  <c r="Q1118" i="1" s="1"/>
  <c r="R1119" i="1"/>
  <c r="Q1119" i="1" s="1"/>
  <c r="R1120" i="1"/>
  <c r="Q1120" i="1" s="1"/>
  <c r="R1121" i="1"/>
  <c r="Q1121" i="1" s="1"/>
  <c r="R1122" i="1"/>
  <c r="Q1122" i="1" s="1"/>
  <c r="R1123" i="1"/>
  <c r="Q1123" i="1" s="1"/>
  <c r="R1124" i="1"/>
  <c r="Q1124" i="1" s="1"/>
  <c r="R1125" i="1"/>
  <c r="Q1125" i="1" s="1"/>
  <c r="R1126" i="1"/>
  <c r="Q1126" i="1" s="1"/>
  <c r="R1127" i="1"/>
  <c r="Q1127" i="1" s="1"/>
  <c r="R1128" i="1"/>
  <c r="Q1128" i="1" s="1"/>
  <c r="R1129" i="1"/>
  <c r="Q1129" i="1" s="1"/>
  <c r="R1130" i="1"/>
  <c r="Q1130" i="1" s="1"/>
  <c r="R1131" i="1"/>
  <c r="Q1131" i="1" s="1"/>
  <c r="R1132" i="1"/>
  <c r="Q1132" i="1" s="1"/>
  <c r="R1133" i="1"/>
  <c r="Q1133" i="1" s="1"/>
  <c r="R1134" i="1"/>
  <c r="Q1134" i="1" s="1"/>
  <c r="R1135" i="1"/>
  <c r="Q1135" i="1" s="1"/>
  <c r="R1136" i="1"/>
  <c r="Q1136" i="1" s="1"/>
  <c r="R1137" i="1"/>
  <c r="Q1137" i="1" s="1"/>
  <c r="R1138" i="1"/>
  <c r="Q1138" i="1" s="1"/>
  <c r="R1139" i="1"/>
  <c r="Q1139" i="1" s="1"/>
  <c r="R1140" i="1"/>
  <c r="Q1140" i="1" s="1"/>
  <c r="R1141" i="1"/>
  <c r="Q1141" i="1" s="1"/>
  <c r="R1142" i="1"/>
  <c r="Q1142" i="1" s="1"/>
  <c r="R1143" i="1"/>
  <c r="Q1143" i="1" s="1"/>
  <c r="R1144" i="1"/>
  <c r="Q1144" i="1" s="1"/>
  <c r="R1145" i="1"/>
  <c r="Q1145" i="1" s="1"/>
  <c r="R1146" i="1"/>
  <c r="Q1146" i="1" s="1"/>
  <c r="R1147" i="1"/>
  <c r="Q1147" i="1" s="1"/>
  <c r="R1148" i="1"/>
  <c r="Q1148" i="1" s="1"/>
  <c r="R1149" i="1"/>
  <c r="Q1149" i="1" s="1"/>
  <c r="R1150" i="1"/>
  <c r="Q1150" i="1" s="1"/>
  <c r="R1151" i="1"/>
  <c r="Q1151" i="1" s="1"/>
  <c r="R1152" i="1"/>
  <c r="Q1152" i="1" s="1"/>
  <c r="R1153" i="1"/>
  <c r="Q1153" i="1" s="1"/>
  <c r="R1154" i="1"/>
  <c r="Q1154" i="1" s="1"/>
  <c r="R1155" i="1"/>
  <c r="Q1155" i="1" s="1"/>
  <c r="R1156" i="1"/>
  <c r="Q1156" i="1" s="1"/>
  <c r="R1157" i="1"/>
  <c r="Q1157" i="1" s="1"/>
  <c r="R1158" i="1"/>
  <c r="Q1158" i="1" s="1"/>
  <c r="R1159" i="1"/>
  <c r="Q1159" i="1" s="1"/>
  <c r="R1160" i="1"/>
  <c r="Q1160" i="1" s="1"/>
  <c r="R1161" i="1"/>
  <c r="Q1161" i="1" s="1"/>
  <c r="R1162" i="1"/>
  <c r="Q1162" i="1" s="1"/>
  <c r="R1163" i="1"/>
  <c r="Q1163" i="1" s="1"/>
  <c r="R1164" i="1"/>
  <c r="Q1164" i="1" s="1"/>
  <c r="R1165" i="1"/>
  <c r="Q1165" i="1" s="1"/>
  <c r="R1166" i="1"/>
  <c r="Q1166" i="1" s="1"/>
  <c r="R1167" i="1"/>
  <c r="Q1167" i="1" s="1"/>
  <c r="R1168" i="1"/>
  <c r="Q1168" i="1" s="1"/>
  <c r="R1169" i="1"/>
  <c r="Q1169" i="1" s="1"/>
  <c r="R1170" i="1"/>
  <c r="Q1170" i="1" s="1"/>
  <c r="R1171" i="1"/>
  <c r="Q1171" i="1" s="1"/>
  <c r="R1172" i="1"/>
  <c r="Q1172" i="1" s="1"/>
  <c r="R1173" i="1"/>
  <c r="Q1173" i="1" s="1"/>
  <c r="R1174" i="1"/>
  <c r="Q1174" i="1" s="1"/>
  <c r="R1175" i="1"/>
  <c r="Q1175" i="1" s="1"/>
  <c r="R1176" i="1"/>
  <c r="Q1176" i="1" s="1"/>
  <c r="R1177" i="1"/>
  <c r="Q1177" i="1" s="1"/>
  <c r="R1178" i="1"/>
  <c r="Q1178" i="1" s="1"/>
  <c r="R1179" i="1"/>
  <c r="Q1179" i="1" s="1"/>
  <c r="R1180" i="1"/>
  <c r="Q1180" i="1" s="1"/>
  <c r="R1181" i="1"/>
  <c r="Q1181" i="1" s="1"/>
  <c r="R1182" i="1"/>
  <c r="Q1182" i="1" s="1"/>
  <c r="R1183" i="1"/>
  <c r="Q1183" i="1" s="1"/>
  <c r="R1184" i="1"/>
  <c r="Q1184" i="1" s="1"/>
  <c r="R1185" i="1"/>
  <c r="Q1185" i="1" s="1"/>
  <c r="R1186" i="1"/>
  <c r="Q1186" i="1" s="1"/>
  <c r="R1187" i="1"/>
  <c r="Q1187" i="1" s="1"/>
  <c r="R1188" i="1"/>
  <c r="Q1188" i="1" s="1"/>
  <c r="R1189" i="1"/>
  <c r="Q1189" i="1" s="1"/>
  <c r="R1190" i="1"/>
  <c r="Q1190" i="1" s="1"/>
  <c r="R1191" i="1"/>
  <c r="Q1191" i="1" s="1"/>
  <c r="R1192" i="1"/>
  <c r="Q1192" i="1" s="1"/>
  <c r="R1193" i="1"/>
  <c r="Q1193" i="1" s="1"/>
  <c r="R1194" i="1"/>
  <c r="Q1194" i="1" s="1"/>
  <c r="R1195" i="1"/>
  <c r="Q1195" i="1" s="1"/>
  <c r="R1196" i="1"/>
  <c r="Q1196" i="1" s="1"/>
  <c r="R1197" i="1"/>
  <c r="Q1197" i="1" s="1"/>
  <c r="R1198" i="1"/>
  <c r="Q1198" i="1" s="1"/>
  <c r="R1199" i="1"/>
  <c r="Q1199" i="1" s="1"/>
  <c r="R1200" i="1"/>
  <c r="Q1200" i="1" s="1"/>
  <c r="R1201" i="1"/>
  <c r="Q1201" i="1" s="1"/>
  <c r="R1202" i="1"/>
  <c r="Q1202" i="1" s="1"/>
  <c r="R1203" i="1"/>
  <c r="Q1203" i="1" s="1"/>
  <c r="R1204" i="1"/>
  <c r="Q1204" i="1" s="1"/>
  <c r="R1205" i="1"/>
  <c r="Q1205" i="1" s="1"/>
  <c r="R1206" i="1"/>
  <c r="Q1206" i="1" s="1"/>
  <c r="R1207" i="1"/>
  <c r="Q1207" i="1" s="1"/>
  <c r="R1208" i="1"/>
  <c r="Q1208" i="1" s="1"/>
  <c r="R1209" i="1"/>
  <c r="Q1209" i="1" s="1"/>
  <c r="R1210" i="1"/>
  <c r="Q1210" i="1" s="1"/>
  <c r="R1211" i="1"/>
  <c r="Q1211" i="1" s="1"/>
  <c r="R1212" i="1"/>
  <c r="Q1212" i="1" s="1"/>
  <c r="R1213" i="1"/>
  <c r="Q1213" i="1" s="1"/>
  <c r="R1214" i="1"/>
  <c r="Q1214" i="1" s="1"/>
  <c r="R1215" i="1"/>
  <c r="Q1215" i="1" s="1"/>
  <c r="R1216" i="1"/>
  <c r="Q1216" i="1" s="1"/>
  <c r="R1217" i="1"/>
  <c r="Q1217" i="1" s="1"/>
  <c r="R1218" i="1"/>
  <c r="Q1218" i="1" s="1"/>
  <c r="R1219" i="1"/>
  <c r="Q1219" i="1" s="1"/>
  <c r="R1220" i="1"/>
  <c r="Q1220" i="1" s="1"/>
  <c r="R1221" i="1"/>
  <c r="Q1221" i="1" s="1"/>
  <c r="R1222" i="1"/>
  <c r="Q1222" i="1" s="1"/>
  <c r="R1223" i="1"/>
  <c r="Q1223" i="1" s="1"/>
  <c r="R1224" i="1"/>
  <c r="Q1224" i="1" s="1"/>
  <c r="R1225" i="1"/>
  <c r="Q1225" i="1" s="1"/>
  <c r="R1226" i="1"/>
  <c r="Q1226" i="1" s="1"/>
  <c r="R1227" i="1"/>
  <c r="Q1227" i="1" s="1"/>
  <c r="R1228" i="1"/>
  <c r="Q1228" i="1" s="1"/>
  <c r="R1229" i="1"/>
  <c r="Q1229" i="1" s="1"/>
  <c r="R1230" i="1"/>
  <c r="Q1230" i="1" s="1"/>
  <c r="R1231" i="1"/>
  <c r="Q1231" i="1" s="1"/>
  <c r="R1232" i="1"/>
  <c r="Q1232" i="1" s="1"/>
  <c r="R1233" i="1"/>
  <c r="Q1233" i="1" s="1"/>
  <c r="R1234" i="1"/>
  <c r="Q1234" i="1" s="1"/>
  <c r="R1235" i="1"/>
  <c r="Q1235" i="1" s="1"/>
  <c r="R1236" i="1"/>
  <c r="Q1236" i="1" s="1"/>
  <c r="R1237" i="1"/>
  <c r="Q1237" i="1" s="1"/>
  <c r="R1238" i="1"/>
  <c r="Q1238" i="1" s="1"/>
  <c r="R1239" i="1"/>
  <c r="Q1239" i="1" s="1"/>
  <c r="R1240" i="1"/>
  <c r="Q1240" i="1" s="1"/>
  <c r="R1241" i="1"/>
  <c r="Q1241" i="1" s="1"/>
  <c r="R1242" i="1"/>
  <c r="Q1242" i="1" s="1"/>
  <c r="R1243" i="1"/>
  <c r="Q1243" i="1" s="1"/>
  <c r="R1244" i="1"/>
  <c r="Q1244" i="1" s="1"/>
  <c r="R1245" i="1"/>
  <c r="Q1245" i="1" s="1"/>
  <c r="R1246" i="1"/>
  <c r="Q1246" i="1" s="1"/>
  <c r="R1247" i="1"/>
  <c r="Q1247" i="1" s="1"/>
  <c r="R1248" i="1"/>
  <c r="Q1248" i="1" s="1"/>
  <c r="R1249" i="1"/>
  <c r="Q1249" i="1" s="1"/>
  <c r="R1250" i="1"/>
  <c r="Q1250" i="1" s="1"/>
  <c r="R1251" i="1"/>
  <c r="Q1251" i="1" s="1"/>
  <c r="R1252" i="1"/>
  <c r="Q1252" i="1" s="1"/>
  <c r="R1253" i="1"/>
  <c r="Q1253" i="1" s="1"/>
  <c r="R1254" i="1"/>
  <c r="Q1254" i="1" s="1"/>
  <c r="R1255" i="1"/>
  <c r="Q1255" i="1" s="1"/>
  <c r="R1256" i="1"/>
  <c r="Q1256" i="1" s="1"/>
  <c r="R1257" i="1"/>
  <c r="Q1257" i="1" s="1"/>
  <c r="R1258" i="1"/>
  <c r="Q1258" i="1" s="1"/>
  <c r="R1259" i="1"/>
  <c r="Q1259" i="1" s="1"/>
  <c r="R1260" i="1"/>
  <c r="Q1260" i="1" s="1"/>
  <c r="R1261" i="1"/>
  <c r="Q1261" i="1" s="1"/>
  <c r="R1262" i="1"/>
  <c r="Q1262" i="1" s="1"/>
  <c r="R1263" i="1"/>
  <c r="Q1263" i="1" s="1"/>
  <c r="R1264" i="1"/>
  <c r="Q1264" i="1" s="1"/>
  <c r="R1265" i="1"/>
  <c r="Q1265" i="1" s="1"/>
  <c r="R1266" i="1"/>
  <c r="Q1266" i="1" s="1"/>
  <c r="R1267" i="1"/>
  <c r="Q1267" i="1" s="1"/>
  <c r="R1268" i="1"/>
  <c r="Q1268" i="1" s="1"/>
  <c r="R1269" i="1"/>
  <c r="Q1269" i="1" s="1"/>
  <c r="R1270" i="1"/>
  <c r="Q1270" i="1" s="1"/>
  <c r="R1271" i="1"/>
  <c r="Q1271" i="1" s="1"/>
  <c r="R1272" i="1"/>
  <c r="Q1272" i="1" s="1"/>
  <c r="R1273" i="1"/>
  <c r="Q1273" i="1" s="1"/>
  <c r="R1274" i="1"/>
  <c r="Q1274" i="1" s="1"/>
  <c r="R1275" i="1"/>
  <c r="Q1275" i="1" s="1"/>
  <c r="R1276" i="1"/>
  <c r="Q1276" i="1" s="1"/>
  <c r="R1277" i="1"/>
  <c r="Q1277" i="1" s="1"/>
  <c r="R1278" i="1"/>
  <c r="Q1278" i="1" s="1"/>
  <c r="R1279" i="1"/>
  <c r="Q1279" i="1" s="1"/>
  <c r="R1280" i="1"/>
  <c r="Q1280" i="1" s="1"/>
  <c r="R1281" i="1"/>
  <c r="Q1281" i="1" s="1"/>
  <c r="R1282" i="1"/>
  <c r="Q1282" i="1" s="1"/>
  <c r="R1283" i="1"/>
  <c r="Q1283" i="1" s="1"/>
  <c r="R1284" i="1"/>
  <c r="Q1284" i="1" s="1"/>
  <c r="R1285" i="1"/>
  <c r="Q1285" i="1" s="1"/>
  <c r="R1286" i="1"/>
  <c r="Q1286" i="1" s="1"/>
  <c r="R1287" i="1"/>
  <c r="Q1287" i="1" s="1"/>
  <c r="R1288" i="1"/>
  <c r="Q1288" i="1" s="1"/>
  <c r="R1289" i="1"/>
  <c r="Q1289" i="1" s="1"/>
  <c r="R1290" i="1"/>
  <c r="Q1290" i="1" s="1"/>
  <c r="R1291" i="1"/>
  <c r="Q1291" i="1" s="1"/>
  <c r="R1292" i="1"/>
  <c r="Q1292" i="1" s="1"/>
  <c r="R1293" i="1"/>
  <c r="Q1293" i="1" s="1"/>
  <c r="R1294" i="1"/>
  <c r="Q1294" i="1" s="1"/>
  <c r="R1295" i="1"/>
  <c r="Q1295" i="1" s="1"/>
  <c r="R1296" i="1"/>
  <c r="Q1296" i="1" s="1"/>
  <c r="R1297" i="1"/>
  <c r="Q1297" i="1" s="1"/>
  <c r="R1298" i="1"/>
  <c r="Q1298" i="1" s="1"/>
  <c r="R1299" i="1"/>
  <c r="Q1299" i="1" s="1"/>
  <c r="R1300" i="1"/>
  <c r="Q1300" i="1" s="1"/>
  <c r="R1301" i="1"/>
  <c r="Q1301" i="1" s="1"/>
  <c r="R1302" i="1"/>
  <c r="Q1302" i="1" s="1"/>
  <c r="R1303" i="1"/>
  <c r="Q1303" i="1" s="1"/>
  <c r="R1304" i="1"/>
  <c r="Q1304" i="1" s="1"/>
  <c r="R1305" i="1"/>
  <c r="Q1305" i="1" s="1"/>
  <c r="R1306" i="1"/>
  <c r="Q1306" i="1" s="1"/>
  <c r="R1307" i="1"/>
  <c r="Q1307" i="1" s="1"/>
  <c r="R1308" i="1"/>
  <c r="Q1308" i="1" s="1"/>
  <c r="R1309" i="1"/>
  <c r="Q1309" i="1" s="1"/>
  <c r="R1310" i="1"/>
  <c r="Q1310" i="1" s="1"/>
  <c r="R1311" i="1"/>
  <c r="Q1311" i="1" s="1"/>
  <c r="R1312" i="1"/>
  <c r="Q1312" i="1" s="1"/>
  <c r="R1313" i="1"/>
  <c r="Q1313" i="1" s="1"/>
  <c r="R1314" i="1"/>
  <c r="Q1314" i="1" s="1"/>
  <c r="R1315" i="1"/>
  <c r="Q1315" i="1" s="1"/>
  <c r="R1316" i="1"/>
  <c r="Q1316" i="1" s="1"/>
  <c r="R1317" i="1"/>
  <c r="Q1317" i="1" s="1"/>
  <c r="R1318" i="1"/>
  <c r="Q1318" i="1" s="1"/>
  <c r="R1319" i="1"/>
  <c r="Q1319" i="1" s="1"/>
  <c r="R1320" i="1"/>
  <c r="Q1320" i="1" s="1"/>
  <c r="R1321" i="1"/>
  <c r="Q1321" i="1" s="1"/>
  <c r="R1322" i="1"/>
  <c r="Q1322" i="1" s="1"/>
  <c r="R1323" i="1"/>
  <c r="Q1323" i="1" s="1"/>
  <c r="R1324" i="1"/>
  <c r="Q1324" i="1" s="1"/>
  <c r="R1325" i="1"/>
  <c r="Q1325" i="1" s="1"/>
  <c r="R1326" i="1"/>
  <c r="Q1326" i="1" s="1"/>
  <c r="R1327" i="1"/>
  <c r="Q1327" i="1" s="1"/>
  <c r="R1328" i="1"/>
  <c r="Q1328" i="1" s="1"/>
  <c r="R1329" i="1"/>
  <c r="Q1329" i="1" s="1"/>
  <c r="R1330" i="1"/>
  <c r="Q1330" i="1" s="1"/>
  <c r="R1331" i="1"/>
  <c r="Q1331" i="1" s="1"/>
  <c r="R1332" i="1"/>
  <c r="Q1332" i="1" s="1"/>
  <c r="R1333" i="1"/>
  <c r="Q1333" i="1" s="1"/>
  <c r="R1334" i="1"/>
  <c r="Q1334" i="1" s="1"/>
  <c r="R1335" i="1"/>
  <c r="Q1335" i="1" s="1"/>
  <c r="R1336" i="1"/>
  <c r="Q1336" i="1" s="1"/>
  <c r="R1337" i="1"/>
  <c r="Q1337" i="1" s="1"/>
  <c r="R1338" i="1"/>
  <c r="Q1338" i="1" s="1"/>
  <c r="R1339" i="1"/>
  <c r="Q1339" i="1" s="1"/>
  <c r="R1340" i="1"/>
  <c r="Q1340" i="1" s="1"/>
  <c r="R1341" i="1"/>
  <c r="Q1341" i="1" s="1"/>
  <c r="R1342" i="1"/>
  <c r="Q1342" i="1" s="1"/>
  <c r="R1343" i="1"/>
  <c r="Q1343" i="1" s="1"/>
  <c r="R1344" i="1"/>
  <c r="Q1344" i="1" s="1"/>
  <c r="R1345" i="1"/>
  <c r="Q1345" i="1" s="1"/>
  <c r="R1346" i="1"/>
  <c r="Q1346" i="1" s="1"/>
  <c r="R1347" i="1"/>
  <c r="Q1347" i="1" s="1"/>
  <c r="R1348" i="1"/>
  <c r="Q1348" i="1" s="1"/>
  <c r="R1349" i="1"/>
  <c r="Q1349" i="1" s="1"/>
  <c r="R1350" i="1"/>
  <c r="Q1350" i="1" s="1"/>
  <c r="R1351" i="1"/>
  <c r="Q1351" i="1" s="1"/>
  <c r="R1352" i="1"/>
  <c r="Q1352" i="1" s="1"/>
  <c r="R1353" i="1"/>
  <c r="Q1353" i="1" s="1"/>
  <c r="R1354" i="1"/>
  <c r="Q1354" i="1" s="1"/>
  <c r="R1355" i="1"/>
  <c r="Q1355" i="1" s="1"/>
  <c r="R1356" i="1"/>
  <c r="Q1356" i="1" s="1"/>
  <c r="R1357" i="1"/>
  <c r="Q1357" i="1" s="1"/>
  <c r="R1358" i="1"/>
  <c r="Q1358" i="1" s="1"/>
  <c r="R1359" i="1"/>
  <c r="Q1359" i="1" s="1"/>
  <c r="R1360" i="1"/>
  <c r="Q1360" i="1" s="1"/>
  <c r="R1361" i="1"/>
  <c r="Q1361" i="1" s="1"/>
  <c r="R1362" i="1"/>
  <c r="Q1362" i="1" s="1"/>
  <c r="R1363" i="1"/>
  <c r="Q1363" i="1" s="1"/>
  <c r="R1364" i="1"/>
  <c r="Q1364" i="1" s="1"/>
  <c r="R1365" i="1"/>
  <c r="Q1365" i="1" s="1"/>
  <c r="R1366" i="1"/>
  <c r="Q1366" i="1" s="1"/>
  <c r="R1367" i="1"/>
  <c r="Q1367" i="1" s="1"/>
  <c r="R1368" i="1"/>
  <c r="Q1368" i="1" s="1"/>
  <c r="R1369" i="1"/>
  <c r="Q1369" i="1" s="1"/>
  <c r="R1370" i="1"/>
  <c r="Q1370" i="1" s="1"/>
  <c r="R1371" i="1"/>
  <c r="Q1371" i="1" s="1"/>
  <c r="R1372" i="1"/>
  <c r="Q1372" i="1" s="1"/>
  <c r="R1373" i="1"/>
  <c r="Q1373" i="1" s="1"/>
  <c r="R1374" i="1"/>
  <c r="Q1374" i="1" s="1"/>
  <c r="R1375" i="1"/>
  <c r="Q1375" i="1" s="1"/>
  <c r="R1376" i="1"/>
  <c r="Q1376" i="1" s="1"/>
  <c r="R1377" i="1"/>
  <c r="Q1377" i="1" s="1"/>
  <c r="R1378" i="1"/>
  <c r="Q1378" i="1" s="1"/>
  <c r="R1379" i="1"/>
  <c r="Q1379" i="1" s="1"/>
  <c r="R1380" i="1"/>
  <c r="Q1380" i="1" s="1"/>
  <c r="R1381" i="1"/>
  <c r="Q1381" i="1" s="1"/>
  <c r="R1382" i="1"/>
  <c r="Q1382" i="1" s="1"/>
  <c r="R1383" i="1"/>
  <c r="Q1383" i="1" s="1"/>
  <c r="R1384" i="1"/>
  <c r="Q1384" i="1" s="1"/>
  <c r="R1385" i="1"/>
  <c r="Q1385" i="1" s="1"/>
  <c r="R1386" i="1"/>
  <c r="Q1386" i="1" s="1"/>
  <c r="R1387" i="1"/>
  <c r="Q1387" i="1" s="1"/>
  <c r="R1388" i="1"/>
  <c r="Q1388" i="1" s="1"/>
  <c r="R1389" i="1"/>
  <c r="Q1389" i="1" s="1"/>
  <c r="R1390" i="1"/>
  <c r="Q1390" i="1" s="1"/>
  <c r="R1391" i="1"/>
  <c r="Q1391" i="1" s="1"/>
  <c r="R1392" i="1"/>
  <c r="Q1392" i="1" s="1"/>
  <c r="R1393" i="1"/>
  <c r="Q1393" i="1" s="1"/>
  <c r="R1394" i="1"/>
  <c r="Q1394" i="1" s="1"/>
  <c r="R1395" i="1"/>
  <c r="Q1395" i="1" s="1"/>
  <c r="R1396" i="1"/>
  <c r="Q1396" i="1" s="1"/>
  <c r="R1397" i="1"/>
  <c r="Q1397" i="1" s="1"/>
  <c r="R1398" i="1"/>
  <c r="Q1398" i="1" s="1"/>
  <c r="R1399" i="1"/>
  <c r="Q1399" i="1" s="1"/>
  <c r="R1400" i="1"/>
  <c r="Q1400" i="1" s="1"/>
  <c r="R1401" i="1"/>
  <c r="Q1401" i="1" s="1"/>
  <c r="R1402" i="1"/>
  <c r="Q1402" i="1" s="1"/>
  <c r="R1403" i="1"/>
  <c r="Q1403" i="1" s="1"/>
  <c r="R1404" i="1"/>
  <c r="Q1404" i="1" s="1"/>
  <c r="R1405" i="1"/>
  <c r="Q1405" i="1" s="1"/>
  <c r="R1406" i="1"/>
  <c r="Q1406" i="1" s="1"/>
  <c r="R1407" i="1"/>
  <c r="Q1407" i="1" s="1"/>
  <c r="R1408" i="1"/>
  <c r="Q1408" i="1" s="1"/>
  <c r="R1409" i="1"/>
  <c r="Q1409" i="1" s="1"/>
  <c r="R1410" i="1"/>
  <c r="Q1410" i="1" s="1"/>
  <c r="R1411" i="1"/>
  <c r="Q1411" i="1" s="1"/>
  <c r="R1412" i="1"/>
  <c r="Q1412" i="1" s="1"/>
  <c r="R1413" i="1"/>
  <c r="Q1413" i="1" s="1"/>
  <c r="R1414" i="1"/>
  <c r="Q1414" i="1" s="1"/>
  <c r="R1415" i="1"/>
  <c r="Q1415" i="1" s="1"/>
  <c r="R1416" i="1"/>
  <c r="Q1416" i="1" s="1"/>
  <c r="R1417" i="1"/>
  <c r="Q1417" i="1" s="1"/>
  <c r="R1418" i="1"/>
  <c r="Q1418" i="1" s="1"/>
  <c r="R1419" i="1"/>
  <c r="Q1419" i="1" s="1"/>
  <c r="R1420" i="1"/>
  <c r="Q1420" i="1" s="1"/>
  <c r="R1421" i="1"/>
  <c r="Q1421" i="1" s="1"/>
  <c r="R1422" i="1"/>
  <c r="Q1422" i="1" s="1"/>
  <c r="R1423" i="1"/>
  <c r="Q1423" i="1" s="1"/>
  <c r="R1424" i="1"/>
  <c r="Q1424" i="1" s="1"/>
  <c r="R1425" i="1"/>
  <c r="Q1425" i="1" s="1"/>
  <c r="R1426" i="1"/>
  <c r="Q1426" i="1" s="1"/>
  <c r="R1427" i="1"/>
  <c r="Q1427" i="1" s="1"/>
  <c r="R1428" i="1"/>
  <c r="Q1428" i="1" s="1"/>
  <c r="R1429" i="1"/>
  <c r="Q1429" i="1" s="1"/>
  <c r="R1430" i="1"/>
  <c r="Q1430" i="1" s="1"/>
  <c r="R1431" i="1"/>
  <c r="Q1431" i="1" s="1"/>
  <c r="R1432" i="1"/>
  <c r="Q1432" i="1" s="1"/>
  <c r="R1433" i="1"/>
  <c r="Q1433" i="1" s="1"/>
  <c r="R1434" i="1"/>
  <c r="Q1434" i="1" s="1"/>
  <c r="R1435" i="1"/>
  <c r="Q1435" i="1" s="1"/>
  <c r="R1436" i="1"/>
  <c r="Q1436" i="1" s="1"/>
  <c r="R1437" i="1"/>
  <c r="Q1437" i="1" s="1"/>
  <c r="R1438" i="1"/>
  <c r="Q1438" i="1" s="1"/>
  <c r="R1439" i="1"/>
  <c r="Q1439" i="1" s="1"/>
  <c r="R1440" i="1"/>
  <c r="Q1440" i="1" s="1"/>
  <c r="R1441" i="1"/>
  <c r="Q1441" i="1" s="1"/>
  <c r="R1442" i="1"/>
  <c r="Q1442" i="1" s="1"/>
  <c r="R1443" i="1"/>
  <c r="Q1443" i="1" s="1"/>
  <c r="R1444" i="1"/>
  <c r="Q1444" i="1" s="1"/>
  <c r="R1445" i="1"/>
  <c r="Q1445" i="1" s="1"/>
  <c r="R1446" i="1"/>
  <c r="Q1446" i="1" s="1"/>
  <c r="R1447" i="1"/>
  <c r="Q1447" i="1" s="1"/>
  <c r="R1448" i="1"/>
  <c r="Q1448" i="1" s="1"/>
  <c r="R1449" i="1"/>
  <c r="Q1449" i="1" s="1"/>
  <c r="R1450" i="1"/>
  <c r="Q1450" i="1" s="1"/>
  <c r="R1451" i="1"/>
  <c r="Q1451" i="1" s="1"/>
  <c r="R1452" i="1"/>
  <c r="Q1452" i="1" s="1"/>
  <c r="R1453" i="1"/>
  <c r="Q1453" i="1" s="1"/>
  <c r="R1454" i="1"/>
  <c r="Q1454" i="1" s="1"/>
  <c r="R1455" i="1"/>
  <c r="Q1455" i="1" s="1"/>
  <c r="R1456" i="1"/>
  <c r="Q1456" i="1" s="1"/>
  <c r="R1457" i="1"/>
  <c r="Q1457" i="1" s="1"/>
  <c r="R1458" i="1"/>
  <c r="Q1458" i="1" s="1"/>
  <c r="R1459" i="1"/>
  <c r="Q1459" i="1" s="1"/>
  <c r="R1460" i="1"/>
  <c r="Q1460" i="1" s="1"/>
  <c r="R1461" i="1"/>
  <c r="Q1461" i="1" s="1"/>
  <c r="R1462" i="1"/>
  <c r="Q1462" i="1" s="1"/>
  <c r="R1463" i="1"/>
  <c r="Q1463" i="1" s="1"/>
  <c r="R1464" i="1"/>
  <c r="Q1464" i="1" s="1"/>
  <c r="R1465" i="1"/>
  <c r="Q1465" i="1" s="1"/>
  <c r="R1466" i="1"/>
  <c r="Q1466" i="1" s="1"/>
  <c r="R1467" i="1"/>
  <c r="Q1467" i="1" s="1"/>
  <c r="R1468" i="1"/>
  <c r="Q1468" i="1" s="1"/>
  <c r="R1469" i="1"/>
  <c r="Q1469" i="1" s="1"/>
  <c r="R1470" i="1"/>
  <c r="Q1470" i="1" s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X2" i="1"/>
  <c r="S2" i="1" s="1"/>
  <c r="T2" i="1" s="1"/>
  <c r="X3" i="1"/>
  <c r="S3" i="1" s="1"/>
  <c r="T3" i="1" s="1"/>
  <c r="X4" i="1"/>
  <c r="S4" i="1" s="1"/>
  <c r="T4" i="1" s="1"/>
  <c r="X5" i="1"/>
  <c r="S5" i="1" s="1"/>
  <c r="T5" i="1" s="1"/>
  <c r="X6" i="1"/>
  <c r="S6" i="1" s="1"/>
  <c r="T6" i="1" s="1"/>
  <c r="X7" i="1"/>
  <c r="S7" i="1" s="1"/>
  <c r="T7" i="1" s="1"/>
  <c r="X8" i="1"/>
  <c r="S8" i="1" s="1"/>
  <c r="T8" i="1" s="1"/>
  <c r="X9" i="1"/>
  <c r="S9" i="1" s="1"/>
  <c r="T9" i="1" s="1"/>
  <c r="X10" i="1"/>
  <c r="S10" i="1" s="1"/>
  <c r="T10" i="1" s="1"/>
  <c r="X11" i="1"/>
  <c r="S11" i="1" s="1"/>
  <c r="T11" i="1" s="1"/>
  <c r="X12" i="1"/>
  <c r="S12" i="1" s="1"/>
  <c r="T12" i="1" s="1"/>
  <c r="X13" i="1"/>
  <c r="S13" i="1" s="1"/>
  <c r="T13" i="1" s="1"/>
  <c r="X14" i="1"/>
  <c r="S14" i="1" s="1"/>
  <c r="T14" i="1" s="1"/>
  <c r="X15" i="1"/>
  <c r="S15" i="1" s="1"/>
  <c r="T15" i="1" s="1"/>
  <c r="X16" i="1"/>
  <c r="S16" i="1" s="1"/>
  <c r="T16" i="1" s="1"/>
  <c r="X17" i="1"/>
  <c r="S17" i="1" s="1"/>
  <c r="T17" i="1" s="1"/>
  <c r="X18" i="1"/>
  <c r="S18" i="1" s="1"/>
  <c r="T18" i="1" s="1"/>
  <c r="X19" i="1"/>
  <c r="S19" i="1" s="1"/>
  <c r="T19" i="1" s="1"/>
  <c r="X20" i="1"/>
  <c r="S20" i="1" s="1"/>
  <c r="T20" i="1" s="1"/>
  <c r="X21" i="1"/>
  <c r="S21" i="1" s="1"/>
  <c r="T21" i="1" s="1"/>
  <c r="X22" i="1"/>
  <c r="S22" i="1" s="1"/>
  <c r="T22" i="1" s="1"/>
  <c r="X23" i="1"/>
  <c r="S23" i="1" s="1"/>
  <c r="T23" i="1" s="1"/>
  <c r="X24" i="1"/>
  <c r="S24" i="1" s="1"/>
  <c r="T24" i="1" s="1"/>
  <c r="X25" i="1"/>
  <c r="S25" i="1" s="1"/>
  <c r="T25" i="1" s="1"/>
  <c r="X26" i="1"/>
  <c r="S26" i="1" s="1"/>
  <c r="T26" i="1" s="1"/>
  <c r="X27" i="1"/>
  <c r="S27" i="1" s="1"/>
  <c r="T27" i="1" s="1"/>
  <c r="X28" i="1"/>
  <c r="S28" i="1" s="1"/>
  <c r="T28" i="1" s="1"/>
  <c r="X29" i="1"/>
  <c r="S29" i="1" s="1"/>
  <c r="T29" i="1" s="1"/>
  <c r="X30" i="1"/>
  <c r="S30" i="1" s="1"/>
  <c r="T30" i="1" s="1"/>
  <c r="X31" i="1"/>
  <c r="S31" i="1" s="1"/>
  <c r="T31" i="1" s="1"/>
  <c r="X32" i="1"/>
  <c r="S32" i="1" s="1"/>
  <c r="T32" i="1" s="1"/>
  <c r="X33" i="1"/>
  <c r="S33" i="1" s="1"/>
  <c r="T33" i="1" s="1"/>
  <c r="X34" i="1"/>
  <c r="S34" i="1" s="1"/>
  <c r="T34" i="1" s="1"/>
  <c r="X35" i="1"/>
  <c r="S35" i="1" s="1"/>
  <c r="T35" i="1" s="1"/>
  <c r="X36" i="1"/>
  <c r="S36" i="1" s="1"/>
  <c r="T36" i="1" s="1"/>
  <c r="X37" i="1"/>
  <c r="S37" i="1" s="1"/>
  <c r="T37" i="1" s="1"/>
  <c r="X38" i="1"/>
  <c r="S38" i="1" s="1"/>
  <c r="T38" i="1" s="1"/>
  <c r="X39" i="1"/>
  <c r="S39" i="1" s="1"/>
  <c r="T39" i="1" s="1"/>
  <c r="X40" i="1"/>
  <c r="S40" i="1" s="1"/>
  <c r="T40" i="1" s="1"/>
  <c r="X41" i="1"/>
  <c r="S41" i="1" s="1"/>
  <c r="T41" i="1" s="1"/>
  <c r="X42" i="1"/>
  <c r="S42" i="1" s="1"/>
  <c r="T42" i="1" s="1"/>
  <c r="X43" i="1"/>
  <c r="S43" i="1" s="1"/>
  <c r="T43" i="1" s="1"/>
  <c r="X44" i="1"/>
  <c r="S44" i="1" s="1"/>
  <c r="T44" i="1" s="1"/>
  <c r="X45" i="1"/>
  <c r="S45" i="1" s="1"/>
  <c r="T45" i="1" s="1"/>
  <c r="X46" i="1"/>
  <c r="S46" i="1" s="1"/>
  <c r="T46" i="1" s="1"/>
  <c r="X47" i="1"/>
  <c r="S47" i="1" s="1"/>
  <c r="T47" i="1" s="1"/>
  <c r="X48" i="1"/>
  <c r="S48" i="1" s="1"/>
  <c r="T48" i="1" s="1"/>
  <c r="X49" i="1"/>
  <c r="S49" i="1" s="1"/>
  <c r="T49" i="1" s="1"/>
  <c r="X50" i="1"/>
  <c r="S50" i="1" s="1"/>
  <c r="T50" i="1" s="1"/>
  <c r="X51" i="1"/>
  <c r="S51" i="1" s="1"/>
  <c r="T51" i="1" s="1"/>
  <c r="X52" i="1"/>
  <c r="S52" i="1" s="1"/>
  <c r="T52" i="1" s="1"/>
  <c r="X53" i="1"/>
  <c r="S53" i="1" s="1"/>
  <c r="T53" i="1" s="1"/>
  <c r="X54" i="1"/>
  <c r="S54" i="1" s="1"/>
  <c r="T54" i="1" s="1"/>
  <c r="X55" i="1"/>
  <c r="S55" i="1" s="1"/>
  <c r="T55" i="1" s="1"/>
  <c r="X56" i="1"/>
  <c r="S56" i="1" s="1"/>
  <c r="T56" i="1" s="1"/>
  <c r="X57" i="1"/>
  <c r="S57" i="1" s="1"/>
  <c r="T57" i="1" s="1"/>
  <c r="X58" i="1"/>
  <c r="S58" i="1" s="1"/>
  <c r="T58" i="1" s="1"/>
  <c r="X59" i="1"/>
  <c r="S59" i="1" s="1"/>
  <c r="T59" i="1" s="1"/>
  <c r="X60" i="1"/>
  <c r="S60" i="1" s="1"/>
  <c r="T60" i="1" s="1"/>
  <c r="X61" i="1"/>
  <c r="S61" i="1" s="1"/>
  <c r="T61" i="1" s="1"/>
  <c r="X62" i="1"/>
  <c r="S62" i="1" s="1"/>
  <c r="T62" i="1" s="1"/>
  <c r="X63" i="1"/>
  <c r="S63" i="1" s="1"/>
  <c r="T63" i="1" s="1"/>
  <c r="X64" i="1"/>
  <c r="S64" i="1" s="1"/>
  <c r="T64" i="1" s="1"/>
  <c r="X65" i="1"/>
  <c r="S65" i="1" s="1"/>
  <c r="T65" i="1" s="1"/>
  <c r="X66" i="1"/>
  <c r="S66" i="1" s="1"/>
  <c r="T66" i="1" s="1"/>
  <c r="X67" i="1"/>
  <c r="S67" i="1" s="1"/>
  <c r="T67" i="1" s="1"/>
  <c r="X68" i="1"/>
  <c r="S68" i="1" s="1"/>
  <c r="T68" i="1" s="1"/>
  <c r="X69" i="1"/>
  <c r="S69" i="1" s="1"/>
  <c r="T69" i="1" s="1"/>
  <c r="X70" i="1"/>
  <c r="S70" i="1" s="1"/>
  <c r="T70" i="1" s="1"/>
  <c r="X71" i="1"/>
  <c r="S71" i="1" s="1"/>
  <c r="T71" i="1" s="1"/>
  <c r="X72" i="1"/>
  <c r="S72" i="1" s="1"/>
  <c r="T72" i="1" s="1"/>
  <c r="X73" i="1"/>
  <c r="S73" i="1" s="1"/>
  <c r="T73" i="1" s="1"/>
  <c r="X74" i="1"/>
  <c r="S74" i="1" s="1"/>
  <c r="T74" i="1" s="1"/>
  <c r="X75" i="1"/>
  <c r="S75" i="1" s="1"/>
  <c r="T75" i="1" s="1"/>
  <c r="X76" i="1"/>
  <c r="S76" i="1" s="1"/>
  <c r="T76" i="1" s="1"/>
  <c r="X77" i="1"/>
  <c r="S77" i="1" s="1"/>
  <c r="T77" i="1" s="1"/>
  <c r="X78" i="1"/>
  <c r="S78" i="1" s="1"/>
  <c r="T78" i="1" s="1"/>
  <c r="X79" i="1"/>
  <c r="S79" i="1" s="1"/>
  <c r="T79" i="1" s="1"/>
  <c r="X80" i="1"/>
  <c r="S80" i="1" s="1"/>
  <c r="T80" i="1" s="1"/>
  <c r="X81" i="1"/>
  <c r="S81" i="1" s="1"/>
  <c r="T81" i="1" s="1"/>
  <c r="X82" i="1"/>
  <c r="S82" i="1" s="1"/>
  <c r="T82" i="1" s="1"/>
  <c r="X83" i="1"/>
  <c r="S83" i="1" s="1"/>
  <c r="T83" i="1" s="1"/>
  <c r="X84" i="1"/>
  <c r="S84" i="1" s="1"/>
  <c r="T84" i="1" s="1"/>
  <c r="X85" i="1"/>
  <c r="S85" i="1" s="1"/>
  <c r="T85" i="1" s="1"/>
  <c r="X86" i="1"/>
  <c r="S86" i="1" s="1"/>
  <c r="T86" i="1" s="1"/>
  <c r="X87" i="1"/>
  <c r="S87" i="1" s="1"/>
  <c r="T87" i="1" s="1"/>
  <c r="X88" i="1"/>
  <c r="S88" i="1" s="1"/>
  <c r="T88" i="1" s="1"/>
  <c r="X89" i="1"/>
  <c r="S89" i="1" s="1"/>
  <c r="T89" i="1" s="1"/>
  <c r="X90" i="1"/>
  <c r="S90" i="1" s="1"/>
  <c r="T90" i="1" s="1"/>
  <c r="X91" i="1"/>
  <c r="S91" i="1" s="1"/>
  <c r="T91" i="1" s="1"/>
  <c r="X92" i="1"/>
  <c r="S92" i="1" s="1"/>
  <c r="T92" i="1" s="1"/>
  <c r="X93" i="1"/>
  <c r="S93" i="1" s="1"/>
  <c r="T93" i="1" s="1"/>
  <c r="X94" i="1"/>
  <c r="S94" i="1" s="1"/>
  <c r="T94" i="1" s="1"/>
  <c r="X95" i="1"/>
  <c r="S95" i="1" s="1"/>
  <c r="T95" i="1" s="1"/>
  <c r="X96" i="1"/>
  <c r="S96" i="1" s="1"/>
  <c r="T96" i="1" s="1"/>
  <c r="X97" i="1"/>
  <c r="S97" i="1" s="1"/>
  <c r="T97" i="1" s="1"/>
  <c r="X98" i="1"/>
  <c r="S98" i="1" s="1"/>
  <c r="T98" i="1" s="1"/>
  <c r="X99" i="1"/>
  <c r="S99" i="1" s="1"/>
  <c r="T99" i="1" s="1"/>
  <c r="X100" i="1"/>
  <c r="S100" i="1" s="1"/>
  <c r="T100" i="1" s="1"/>
  <c r="X101" i="1"/>
  <c r="S101" i="1" s="1"/>
  <c r="T101" i="1" s="1"/>
  <c r="X102" i="1"/>
  <c r="S102" i="1" s="1"/>
  <c r="T102" i="1" s="1"/>
  <c r="X103" i="1"/>
  <c r="S103" i="1" s="1"/>
  <c r="T103" i="1" s="1"/>
  <c r="X104" i="1"/>
  <c r="S104" i="1" s="1"/>
  <c r="T104" i="1" s="1"/>
  <c r="X105" i="1"/>
  <c r="S105" i="1" s="1"/>
  <c r="T105" i="1" s="1"/>
  <c r="X106" i="1"/>
  <c r="S106" i="1" s="1"/>
  <c r="T106" i="1" s="1"/>
  <c r="X107" i="1"/>
  <c r="S107" i="1" s="1"/>
  <c r="T107" i="1" s="1"/>
  <c r="X108" i="1"/>
  <c r="S108" i="1" s="1"/>
  <c r="T108" i="1" s="1"/>
  <c r="X109" i="1"/>
  <c r="S109" i="1" s="1"/>
  <c r="T109" i="1" s="1"/>
  <c r="X110" i="1"/>
  <c r="S110" i="1" s="1"/>
  <c r="T110" i="1" s="1"/>
  <c r="X111" i="1"/>
  <c r="S111" i="1" s="1"/>
  <c r="T111" i="1" s="1"/>
  <c r="X112" i="1"/>
  <c r="S112" i="1" s="1"/>
  <c r="T112" i="1" s="1"/>
  <c r="X113" i="1"/>
  <c r="S113" i="1" s="1"/>
  <c r="T113" i="1" s="1"/>
  <c r="X114" i="1"/>
  <c r="S114" i="1" s="1"/>
  <c r="T114" i="1" s="1"/>
  <c r="X115" i="1"/>
  <c r="S115" i="1" s="1"/>
  <c r="T115" i="1" s="1"/>
  <c r="X116" i="1"/>
  <c r="S116" i="1" s="1"/>
  <c r="T116" i="1" s="1"/>
  <c r="X117" i="1"/>
  <c r="S117" i="1" s="1"/>
  <c r="T117" i="1" s="1"/>
  <c r="X118" i="1"/>
  <c r="S118" i="1" s="1"/>
  <c r="T118" i="1" s="1"/>
  <c r="X119" i="1"/>
  <c r="S119" i="1" s="1"/>
  <c r="T119" i="1" s="1"/>
  <c r="X120" i="1"/>
  <c r="S120" i="1" s="1"/>
  <c r="T120" i="1" s="1"/>
  <c r="X121" i="1"/>
  <c r="S121" i="1" s="1"/>
  <c r="T121" i="1" s="1"/>
  <c r="X122" i="1"/>
  <c r="S122" i="1" s="1"/>
  <c r="T122" i="1" s="1"/>
  <c r="X123" i="1"/>
  <c r="S123" i="1" s="1"/>
  <c r="T123" i="1" s="1"/>
  <c r="X124" i="1"/>
  <c r="S124" i="1" s="1"/>
  <c r="T124" i="1" s="1"/>
  <c r="X125" i="1"/>
  <c r="S125" i="1" s="1"/>
  <c r="T125" i="1" s="1"/>
  <c r="X126" i="1"/>
  <c r="S126" i="1" s="1"/>
  <c r="T126" i="1" s="1"/>
  <c r="X127" i="1"/>
  <c r="S127" i="1" s="1"/>
  <c r="T127" i="1" s="1"/>
  <c r="X128" i="1"/>
  <c r="S128" i="1" s="1"/>
  <c r="T128" i="1" s="1"/>
  <c r="X129" i="1"/>
  <c r="S129" i="1" s="1"/>
  <c r="T129" i="1" s="1"/>
  <c r="X130" i="1"/>
  <c r="S130" i="1" s="1"/>
  <c r="T130" i="1" s="1"/>
  <c r="X131" i="1"/>
  <c r="S131" i="1" s="1"/>
  <c r="T131" i="1" s="1"/>
  <c r="X132" i="1"/>
  <c r="S132" i="1" s="1"/>
  <c r="T132" i="1" s="1"/>
  <c r="X133" i="1"/>
  <c r="S133" i="1" s="1"/>
  <c r="T133" i="1" s="1"/>
  <c r="X134" i="1"/>
  <c r="S134" i="1" s="1"/>
  <c r="T134" i="1" s="1"/>
  <c r="X135" i="1"/>
  <c r="S135" i="1" s="1"/>
  <c r="T135" i="1" s="1"/>
  <c r="X136" i="1"/>
  <c r="S136" i="1" s="1"/>
  <c r="T136" i="1" s="1"/>
  <c r="X137" i="1"/>
  <c r="S137" i="1" s="1"/>
  <c r="T137" i="1" s="1"/>
  <c r="X138" i="1"/>
  <c r="S138" i="1" s="1"/>
  <c r="T138" i="1" s="1"/>
  <c r="X139" i="1"/>
  <c r="S139" i="1" s="1"/>
  <c r="T139" i="1" s="1"/>
  <c r="X140" i="1"/>
  <c r="S140" i="1" s="1"/>
  <c r="T140" i="1" s="1"/>
  <c r="X141" i="1"/>
  <c r="S141" i="1" s="1"/>
  <c r="T141" i="1" s="1"/>
  <c r="X142" i="1"/>
  <c r="S142" i="1" s="1"/>
  <c r="T142" i="1" s="1"/>
  <c r="X143" i="1"/>
  <c r="S143" i="1" s="1"/>
  <c r="T143" i="1" s="1"/>
  <c r="X144" i="1"/>
  <c r="S144" i="1" s="1"/>
  <c r="T144" i="1" s="1"/>
  <c r="X145" i="1"/>
  <c r="S145" i="1" s="1"/>
  <c r="T145" i="1" s="1"/>
  <c r="X146" i="1"/>
  <c r="S146" i="1" s="1"/>
  <c r="T146" i="1" s="1"/>
  <c r="X147" i="1"/>
  <c r="S147" i="1" s="1"/>
  <c r="T147" i="1" s="1"/>
  <c r="X148" i="1"/>
  <c r="S148" i="1" s="1"/>
  <c r="T148" i="1" s="1"/>
  <c r="X149" i="1"/>
  <c r="S149" i="1" s="1"/>
  <c r="T149" i="1" s="1"/>
  <c r="X150" i="1"/>
  <c r="S150" i="1" s="1"/>
  <c r="T150" i="1" s="1"/>
  <c r="X151" i="1"/>
  <c r="S151" i="1" s="1"/>
  <c r="T151" i="1" s="1"/>
  <c r="X152" i="1"/>
  <c r="S152" i="1" s="1"/>
  <c r="T152" i="1" s="1"/>
  <c r="X153" i="1"/>
  <c r="S153" i="1" s="1"/>
  <c r="T153" i="1" s="1"/>
  <c r="X154" i="1"/>
  <c r="S154" i="1" s="1"/>
  <c r="T154" i="1" s="1"/>
  <c r="X155" i="1"/>
  <c r="S155" i="1" s="1"/>
  <c r="T155" i="1" s="1"/>
  <c r="X156" i="1"/>
  <c r="S156" i="1" s="1"/>
  <c r="T156" i="1" s="1"/>
  <c r="X157" i="1"/>
  <c r="S157" i="1" s="1"/>
  <c r="T157" i="1" s="1"/>
  <c r="X158" i="1"/>
  <c r="S158" i="1" s="1"/>
  <c r="T158" i="1" s="1"/>
  <c r="X159" i="1"/>
  <c r="S159" i="1" s="1"/>
  <c r="T159" i="1" s="1"/>
  <c r="X160" i="1"/>
  <c r="S160" i="1" s="1"/>
  <c r="T160" i="1" s="1"/>
  <c r="X161" i="1"/>
  <c r="S161" i="1" s="1"/>
  <c r="T161" i="1" s="1"/>
  <c r="X162" i="1"/>
  <c r="S162" i="1" s="1"/>
  <c r="T162" i="1" s="1"/>
  <c r="X163" i="1"/>
  <c r="S163" i="1" s="1"/>
  <c r="T163" i="1" s="1"/>
  <c r="X164" i="1"/>
  <c r="S164" i="1" s="1"/>
  <c r="T164" i="1" s="1"/>
  <c r="X165" i="1"/>
  <c r="S165" i="1" s="1"/>
  <c r="T165" i="1" s="1"/>
  <c r="X166" i="1"/>
  <c r="S166" i="1" s="1"/>
  <c r="T166" i="1" s="1"/>
  <c r="X167" i="1"/>
  <c r="S167" i="1" s="1"/>
  <c r="T167" i="1" s="1"/>
  <c r="X168" i="1"/>
  <c r="S168" i="1" s="1"/>
  <c r="T168" i="1" s="1"/>
  <c r="X169" i="1"/>
  <c r="S169" i="1" s="1"/>
  <c r="T169" i="1" s="1"/>
  <c r="X170" i="1"/>
  <c r="S170" i="1" s="1"/>
  <c r="T170" i="1" s="1"/>
  <c r="X171" i="1"/>
  <c r="S171" i="1" s="1"/>
  <c r="T171" i="1" s="1"/>
  <c r="X172" i="1"/>
  <c r="S172" i="1" s="1"/>
  <c r="T172" i="1" s="1"/>
  <c r="X173" i="1"/>
  <c r="S173" i="1" s="1"/>
  <c r="T173" i="1" s="1"/>
  <c r="X174" i="1"/>
  <c r="S174" i="1" s="1"/>
  <c r="T174" i="1" s="1"/>
  <c r="X175" i="1"/>
  <c r="S175" i="1" s="1"/>
  <c r="T175" i="1" s="1"/>
  <c r="X176" i="1"/>
  <c r="S176" i="1" s="1"/>
  <c r="T176" i="1" s="1"/>
  <c r="X177" i="1"/>
  <c r="S177" i="1" s="1"/>
  <c r="T177" i="1" s="1"/>
  <c r="X178" i="1"/>
  <c r="S178" i="1" s="1"/>
  <c r="T178" i="1" s="1"/>
  <c r="X179" i="1"/>
  <c r="S179" i="1" s="1"/>
  <c r="T179" i="1" s="1"/>
  <c r="X180" i="1"/>
  <c r="S180" i="1" s="1"/>
  <c r="T180" i="1" s="1"/>
  <c r="X181" i="1"/>
  <c r="S181" i="1" s="1"/>
  <c r="T181" i="1" s="1"/>
  <c r="X182" i="1"/>
  <c r="S182" i="1" s="1"/>
  <c r="T182" i="1" s="1"/>
  <c r="X183" i="1"/>
  <c r="S183" i="1" s="1"/>
  <c r="T183" i="1" s="1"/>
  <c r="X184" i="1"/>
  <c r="S184" i="1" s="1"/>
  <c r="T184" i="1" s="1"/>
  <c r="X185" i="1"/>
  <c r="S185" i="1" s="1"/>
  <c r="T185" i="1" s="1"/>
  <c r="X186" i="1"/>
  <c r="S186" i="1" s="1"/>
  <c r="T186" i="1" s="1"/>
  <c r="X187" i="1"/>
  <c r="S187" i="1" s="1"/>
  <c r="T187" i="1" s="1"/>
  <c r="X188" i="1"/>
  <c r="S188" i="1" s="1"/>
  <c r="T188" i="1" s="1"/>
  <c r="X189" i="1"/>
  <c r="S189" i="1" s="1"/>
  <c r="T189" i="1" s="1"/>
  <c r="X190" i="1"/>
  <c r="S190" i="1" s="1"/>
  <c r="T190" i="1" s="1"/>
  <c r="X191" i="1"/>
  <c r="S191" i="1" s="1"/>
  <c r="T191" i="1" s="1"/>
  <c r="X192" i="1"/>
  <c r="S192" i="1" s="1"/>
  <c r="T192" i="1" s="1"/>
  <c r="X193" i="1"/>
  <c r="S193" i="1" s="1"/>
  <c r="T193" i="1" s="1"/>
  <c r="X194" i="1"/>
  <c r="S194" i="1" s="1"/>
  <c r="T194" i="1" s="1"/>
  <c r="X195" i="1"/>
  <c r="S195" i="1" s="1"/>
  <c r="T195" i="1" s="1"/>
  <c r="X196" i="1"/>
  <c r="S196" i="1" s="1"/>
  <c r="T196" i="1" s="1"/>
  <c r="X197" i="1"/>
  <c r="S197" i="1" s="1"/>
  <c r="T197" i="1" s="1"/>
  <c r="X198" i="1"/>
  <c r="S198" i="1" s="1"/>
  <c r="T198" i="1" s="1"/>
  <c r="X199" i="1"/>
  <c r="S199" i="1" s="1"/>
  <c r="T199" i="1" s="1"/>
  <c r="X200" i="1"/>
  <c r="S200" i="1" s="1"/>
  <c r="T200" i="1" s="1"/>
  <c r="X201" i="1"/>
  <c r="S201" i="1" s="1"/>
  <c r="T201" i="1" s="1"/>
  <c r="X202" i="1"/>
  <c r="S202" i="1" s="1"/>
  <c r="T202" i="1" s="1"/>
  <c r="X203" i="1"/>
  <c r="S203" i="1" s="1"/>
  <c r="T203" i="1" s="1"/>
  <c r="X204" i="1"/>
  <c r="S204" i="1" s="1"/>
  <c r="T204" i="1" s="1"/>
  <c r="X205" i="1"/>
  <c r="S205" i="1" s="1"/>
  <c r="T205" i="1" s="1"/>
  <c r="X206" i="1"/>
  <c r="S206" i="1" s="1"/>
  <c r="T206" i="1" s="1"/>
  <c r="X207" i="1"/>
  <c r="S207" i="1" s="1"/>
  <c r="T207" i="1" s="1"/>
  <c r="X208" i="1"/>
  <c r="S208" i="1" s="1"/>
  <c r="T208" i="1" s="1"/>
  <c r="X209" i="1"/>
  <c r="S209" i="1" s="1"/>
  <c r="T209" i="1" s="1"/>
  <c r="X210" i="1"/>
  <c r="S210" i="1" s="1"/>
  <c r="T210" i="1" s="1"/>
  <c r="X211" i="1"/>
  <c r="S211" i="1" s="1"/>
  <c r="T211" i="1" s="1"/>
  <c r="X212" i="1"/>
  <c r="S212" i="1" s="1"/>
  <c r="T212" i="1" s="1"/>
  <c r="X213" i="1"/>
  <c r="S213" i="1" s="1"/>
  <c r="T213" i="1" s="1"/>
  <c r="X214" i="1"/>
  <c r="S214" i="1" s="1"/>
  <c r="T214" i="1" s="1"/>
  <c r="X215" i="1"/>
  <c r="S215" i="1" s="1"/>
  <c r="T215" i="1" s="1"/>
  <c r="X216" i="1"/>
  <c r="S216" i="1" s="1"/>
  <c r="T216" i="1" s="1"/>
  <c r="X217" i="1"/>
  <c r="S217" i="1" s="1"/>
  <c r="T217" i="1" s="1"/>
  <c r="X218" i="1"/>
  <c r="S218" i="1" s="1"/>
  <c r="T218" i="1" s="1"/>
  <c r="X219" i="1"/>
  <c r="S219" i="1" s="1"/>
  <c r="T219" i="1" s="1"/>
  <c r="X220" i="1"/>
  <c r="S220" i="1" s="1"/>
  <c r="T220" i="1" s="1"/>
  <c r="X221" i="1"/>
  <c r="S221" i="1" s="1"/>
  <c r="T221" i="1" s="1"/>
  <c r="X222" i="1"/>
  <c r="S222" i="1" s="1"/>
  <c r="T222" i="1" s="1"/>
  <c r="X223" i="1"/>
  <c r="S223" i="1" s="1"/>
  <c r="T223" i="1" s="1"/>
  <c r="X224" i="1"/>
  <c r="S224" i="1" s="1"/>
  <c r="T224" i="1" s="1"/>
  <c r="X225" i="1"/>
  <c r="S225" i="1" s="1"/>
  <c r="T225" i="1" s="1"/>
  <c r="X226" i="1"/>
  <c r="S226" i="1" s="1"/>
  <c r="T226" i="1" s="1"/>
  <c r="X227" i="1"/>
  <c r="S227" i="1" s="1"/>
  <c r="T227" i="1" s="1"/>
  <c r="X228" i="1"/>
  <c r="S228" i="1" s="1"/>
  <c r="T228" i="1" s="1"/>
  <c r="X229" i="1"/>
  <c r="S229" i="1" s="1"/>
  <c r="T229" i="1" s="1"/>
  <c r="X230" i="1"/>
  <c r="S230" i="1" s="1"/>
  <c r="T230" i="1" s="1"/>
  <c r="X231" i="1"/>
  <c r="S231" i="1" s="1"/>
  <c r="T231" i="1" s="1"/>
  <c r="X232" i="1"/>
  <c r="S232" i="1" s="1"/>
  <c r="T232" i="1" s="1"/>
  <c r="X233" i="1"/>
  <c r="S233" i="1" s="1"/>
  <c r="T233" i="1" s="1"/>
  <c r="X234" i="1"/>
  <c r="S234" i="1" s="1"/>
  <c r="T234" i="1" s="1"/>
  <c r="X235" i="1"/>
  <c r="S235" i="1" s="1"/>
  <c r="T235" i="1" s="1"/>
  <c r="X236" i="1"/>
  <c r="S236" i="1" s="1"/>
  <c r="T236" i="1" s="1"/>
  <c r="X237" i="1"/>
  <c r="S237" i="1" s="1"/>
  <c r="T237" i="1" s="1"/>
  <c r="X238" i="1"/>
  <c r="S238" i="1" s="1"/>
  <c r="T238" i="1" s="1"/>
  <c r="X239" i="1"/>
  <c r="S239" i="1" s="1"/>
  <c r="T239" i="1" s="1"/>
  <c r="X240" i="1"/>
  <c r="S240" i="1" s="1"/>
  <c r="T240" i="1" s="1"/>
  <c r="X241" i="1"/>
  <c r="S241" i="1" s="1"/>
  <c r="T241" i="1" s="1"/>
  <c r="X242" i="1"/>
  <c r="S242" i="1" s="1"/>
  <c r="T242" i="1" s="1"/>
  <c r="X243" i="1"/>
  <c r="S243" i="1" s="1"/>
  <c r="T243" i="1" s="1"/>
  <c r="X244" i="1"/>
  <c r="S244" i="1" s="1"/>
  <c r="T244" i="1" s="1"/>
  <c r="X245" i="1"/>
  <c r="S245" i="1" s="1"/>
  <c r="T245" i="1" s="1"/>
  <c r="X246" i="1"/>
  <c r="S246" i="1" s="1"/>
  <c r="T246" i="1" s="1"/>
  <c r="X247" i="1"/>
  <c r="S247" i="1" s="1"/>
  <c r="T247" i="1" s="1"/>
  <c r="X248" i="1"/>
  <c r="S248" i="1" s="1"/>
  <c r="T248" i="1" s="1"/>
  <c r="X249" i="1"/>
  <c r="S249" i="1" s="1"/>
  <c r="T249" i="1" s="1"/>
  <c r="X250" i="1"/>
  <c r="S250" i="1" s="1"/>
  <c r="T250" i="1" s="1"/>
  <c r="X251" i="1"/>
  <c r="S251" i="1" s="1"/>
  <c r="T251" i="1" s="1"/>
  <c r="X252" i="1"/>
  <c r="S252" i="1" s="1"/>
  <c r="T252" i="1" s="1"/>
  <c r="X253" i="1"/>
  <c r="S253" i="1" s="1"/>
  <c r="T253" i="1" s="1"/>
  <c r="X254" i="1"/>
  <c r="S254" i="1" s="1"/>
  <c r="T254" i="1" s="1"/>
  <c r="X255" i="1"/>
  <c r="S255" i="1" s="1"/>
  <c r="T255" i="1" s="1"/>
  <c r="X256" i="1"/>
  <c r="S256" i="1" s="1"/>
  <c r="T256" i="1" s="1"/>
  <c r="X257" i="1"/>
  <c r="S257" i="1" s="1"/>
  <c r="T257" i="1" s="1"/>
  <c r="X258" i="1"/>
  <c r="S258" i="1" s="1"/>
  <c r="T258" i="1" s="1"/>
  <c r="X259" i="1"/>
  <c r="S259" i="1" s="1"/>
  <c r="T259" i="1" s="1"/>
  <c r="X260" i="1"/>
  <c r="S260" i="1" s="1"/>
  <c r="T260" i="1" s="1"/>
  <c r="X261" i="1"/>
  <c r="S261" i="1" s="1"/>
  <c r="T261" i="1" s="1"/>
  <c r="X262" i="1"/>
  <c r="S262" i="1" s="1"/>
  <c r="T262" i="1" s="1"/>
  <c r="X263" i="1"/>
  <c r="S263" i="1" s="1"/>
  <c r="T263" i="1" s="1"/>
  <c r="X264" i="1"/>
  <c r="S264" i="1" s="1"/>
  <c r="T264" i="1" s="1"/>
  <c r="X265" i="1"/>
  <c r="S265" i="1" s="1"/>
  <c r="T265" i="1" s="1"/>
  <c r="X266" i="1"/>
  <c r="S266" i="1" s="1"/>
  <c r="T266" i="1" s="1"/>
  <c r="X267" i="1"/>
  <c r="S267" i="1" s="1"/>
  <c r="T267" i="1" s="1"/>
  <c r="X268" i="1"/>
  <c r="S268" i="1" s="1"/>
  <c r="T268" i="1" s="1"/>
  <c r="X269" i="1"/>
  <c r="S269" i="1" s="1"/>
  <c r="T269" i="1" s="1"/>
  <c r="X270" i="1"/>
  <c r="S270" i="1" s="1"/>
  <c r="T270" i="1" s="1"/>
  <c r="X271" i="1"/>
  <c r="S271" i="1" s="1"/>
  <c r="T271" i="1" s="1"/>
  <c r="X272" i="1"/>
  <c r="S272" i="1" s="1"/>
  <c r="T272" i="1" s="1"/>
  <c r="X273" i="1"/>
  <c r="S273" i="1" s="1"/>
  <c r="T273" i="1" s="1"/>
  <c r="X274" i="1"/>
  <c r="S274" i="1" s="1"/>
  <c r="T274" i="1" s="1"/>
  <c r="X275" i="1"/>
  <c r="S275" i="1" s="1"/>
  <c r="T275" i="1" s="1"/>
  <c r="X276" i="1"/>
  <c r="S276" i="1" s="1"/>
  <c r="T276" i="1" s="1"/>
  <c r="X277" i="1"/>
  <c r="S277" i="1" s="1"/>
  <c r="T277" i="1" s="1"/>
  <c r="X278" i="1"/>
  <c r="S278" i="1" s="1"/>
  <c r="T278" i="1" s="1"/>
  <c r="X279" i="1"/>
  <c r="S279" i="1" s="1"/>
  <c r="T279" i="1" s="1"/>
  <c r="X280" i="1"/>
  <c r="S280" i="1" s="1"/>
  <c r="T280" i="1" s="1"/>
  <c r="X281" i="1"/>
  <c r="S281" i="1" s="1"/>
  <c r="T281" i="1" s="1"/>
  <c r="X282" i="1"/>
  <c r="S282" i="1" s="1"/>
  <c r="T282" i="1" s="1"/>
  <c r="X283" i="1"/>
  <c r="S283" i="1" s="1"/>
  <c r="T283" i="1" s="1"/>
  <c r="X284" i="1"/>
  <c r="S284" i="1" s="1"/>
  <c r="T284" i="1" s="1"/>
  <c r="X285" i="1"/>
  <c r="S285" i="1" s="1"/>
  <c r="T285" i="1" s="1"/>
  <c r="X286" i="1"/>
  <c r="S286" i="1" s="1"/>
  <c r="T286" i="1" s="1"/>
  <c r="X287" i="1"/>
  <c r="S287" i="1" s="1"/>
  <c r="T287" i="1" s="1"/>
  <c r="X288" i="1"/>
  <c r="S288" i="1" s="1"/>
  <c r="T288" i="1" s="1"/>
  <c r="X289" i="1"/>
  <c r="S289" i="1" s="1"/>
  <c r="T289" i="1" s="1"/>
  <c r="X290" i="1"/>
  <c r="S290" i="1" s="1"/>
  <c r="T290" i="1" s="1"/>
  <c r="X291" i="1"/>
  <c r="S291" i="1" s="1"/>
  <c r="T291" i="1" s="1"/>
  <c r="X292" i="1"/>
  <c r="S292" i="1" s="1"/>
  <c r="T292" i="1" s="1"/>
  <c r="X293" i="1"/>
  <c r="S293" i="1" s="1"/>
  <c r="T293" i="1" s="1"/>
  <c r="X294" i="1"/>
  <c r="S294" i="1" s="1"/>
  <c r="T294" i="1" s="1"/>
  <c r="X295" i="1"/>
  <c r="S295" i="1" s="1"/>
  <c r="T295" i="1" s="1"/>
  <c r="X296" i="1"/>
  <c r="S296" i="1" s="1"/>
  <c r="T296" i="1" s="1"/>
  <c r="X297" i="1"/>
  <c r="S297" i="1" s="1"/>
  <c r="T297" i="1" s="1"/>
  <c r="X298" i="1"/>
  <c r="S298" i="1" s="1"/>
  <c r="T298" i="1" s="1"/>
  <c r="X299" i="1"/>
  <c r="S299" i="1" s="1"/>
  <c r="T299" i="1" s="1"/>
  <c r="X300" i="1"/>
  <c r="S300" i="1" s="1"/>
  <c r="T300" i="1" s="1"/>
  <c r="X301" i="1"/>
  <c r="S301" i="1" s="1"/>
  <c r="T301" i="1" s="1"/>
  <c r="X302" i="1"/>
  <c r="S302" i="1" s="1"/>
  <c r="T302" i="1" s="1"/>
  <c r="X303" i="1"/>
  <c r="S303" i="1" s="1"/>
  <c r="T303" i="1" s="1"/>
  <c r="X304" i="1"/>
  <c r="S304" i="1" s="1"/>
  <c r="T304" i="1" s="1"/>
  <c r="X305" i="1"/>
  <c r="S305" i="1" s="1"/>
  <c r="T305" i="1" s="1"/>
  <c r="X306" i="1"/>
  <c r="S306" i="1" s="1"/>
  <c r="T306" i="1" s="1"/>
  <c r="X307" i="1"/>
  <c r="S307" i="1" s="1"/>
  <c r="T307" i="1" s="1"/>
  <c r="X308" i="1"/>
  <c r="S308" i="1" s="1"/>
  <c r="T308" i="1" s="1"/>
  <c r="X309" i="1"/>
  <c r="S309" i="1" s="1"/>
  <c r="T309" i="1" s="1"/>
  <c r="X310" i="1"/>
  <c r="S310" i="1" s="1"/>
  <c r="T310" i="1" s="1"/>
  <c r="X311" i="1"/>
  <c r="S311" i="1" s="1"/>
  <c r="T311" i="1" s="1"/>
  <c r="X312" i="1"/>
  <c r="S312" i="1" s="1"/>
  <c r="T312" i="1" s="1"/>
  <c r="X313" i="1"/>
  <c r="S313" i="1" s="1"/>
  <c r="T313" i="1" s="1"/>
  <c r="X314" i="1"/>
  <c r="S314" i="1" s="1"/>
  <c r="T314" i="1" s="1"/>
  <c r="X315" i="1"/>
  <c r="S315" i="1" s="1"/>
  <c r="T315" i="1" s="1"/>
  <c r="X316" i="1"/>
  <c r="S316" i="1" s="1"/>
  <c r="T316" i="1" s="1"/>
  <c r="X317" i="1"/>
  <c r="S317" i="1" s="1"/>
  <c r="T317" i="1" s="1"/>
  <c r="X318" i="1"/>
  <c r="S318" i="1" s="1"/>
  <c r="T318" i="1" s="1"/>
  <c r="X319" i="1"/>
  <c r="S319" i="1" s="1"/>
  <c r="T319" i="1" s="1"/>
  <c r="X320" i="1"/>
  <c r="S320" i="1" s="1"/>
  <c r="T320" i="1" s="1"/>
  <c r="X321" i="1"/>
  <c r="S321" i="1" s="1"/>
  <c r="T321" i="1" s="1"/>
  <c r="X322" i="1"/>
  <c r="S322" i="1" s="1"/>
  <c r="T322" i="1" s="1"/>
  <c r="X323" i="1"/>
  <c r="S323" i="1" s="1"/>
  <c r="T323" i="1" s="1"/>
  <c r="X324" i="1"/>
  <c r="S324" i="1" s="1"/>
  <c r="T324" i="1" s="1"/>
  <c r="X325" i="1"/>
  <c r="S325" i="1" s="1"/>
  <c r="T325" i="1" s="1"/>
  <c r="X326" i="1"/>
  <c r="S326" i="1" s="1"/>
  <c r="T326" i="1" s="1"/>
  <c r="X327" i="1"/>
  <c r="S327" i="1" s="1"/>
  <c r="T327" i="1" s="1"/>
  <c r="X328" i="1"/>
  <c r="S328" i="1" s="1"/>
  <c r="T328" i="1" s="1"/>
  <c r="X329" i="1"/>
  <c r="S329" i="1" s="1"/>
  <c r="T329" i="1" s="1"/>
  <c r="X330" i="1"/>
  <c r="S330" i="1" s="1"/>
  <c r="T330" i="1" s="1"/>
  <c r="X331" i="1"/>
  <c r="S331" i="1" s="1"/>
  <c r="T331" i="1" s="1"/>
  <c r="X332" i="1"/>
  <c r="S332" i="1" s="1"/>
  <c r="T332" i="1" s="1"/>
  <c r="X333" i="1"/>
  <c r="S333" i="1" s="1"/>
  <c r="T333" i="1" s="1"/>
  <c r="X334" i="1"/>
  <c r="S334" i="1" s="1"/>
  <c r="T334" i="1" s="1"/>
  <c r="X335" i="1"/>
  <c r="S335" i="1" s="1"/>
  <c r="T335" i="1" s="1"/>
  <c r="X336" i="1"/>
  <c r="S336" i="1" s="1"/>
  <c r="T336" i="1" s="1"/>
  <c r="X337" i="1"/>
  <c r="S337" i="1" s="1"/>
  <c r="T337" i="1" s="1"/>
  <c r="X338" i="1"/>
  <c r="S338" i="1" s="1"/>
  <c r="T338" i="1" s="1"/>
  <c r="X339" i="1"/>
  <c r="S339" i="1" s="1"/>
  <c r="T339" i="1" s="1"/>
  <c r="X340" i="1"/>
  <c r="S340" i="1" s="1"/>
  <c r="T340" i="1" s="1"/>
  <c r="X341" i="1"/>
  <c r="S341" i="1" s="1"/>
  <c r="T341" i="1" s="1"/>
  <c r="X342" i="1"/>
  <c r="S342" i="1" s="1"/>
  <c r="T342" i="1" s="1"/>
  <c r="X343" i="1"/>
  <c r="S343" i="1" s="1"/>
  <c r="T343" i="1" s="1"/>
  <c r="X344" i="1"/>
  <c r="S344" i="1" s="1"/>
  <c r="T344" i="1" s="1"/>
  <c r="X345" i="1"/>
  <c r="S345" i="1" s="1"/>
  <c r="T345" i="1" s="1"/>
  <c r="X346" i="1"/>
  <c r="S346" i="1" s="1"/>
  <c r="T346" i="1" s="1"/>
  <c r="X347" i="1"/>
  <c r="S347" i="1" s="1"/>
  <c r="T347" i="1" s="1"/>
  <c r="X348" i="1"/>
  <c r="S348" i="1" s="1"/>
  <c r="T348" i="1" s="1"/>
  <c r="X349" i="1"/>
  <c r="S349" i="1" s="1"/>
  <c r="T349" i="1" s="1"/>
  <c r="X350" i="1"/>
  <c r="S350" i="1" s="1"/>
  <c r="T350" i="1" s="1"/>
  <c r="X351" i="1"/>
  <c r="S351" i="1" s="1"/>
  <c r="T351" i="1" s="1"/>
  <c r="X352" i="1"/>
  <c r="S352" i="1" s="1"/>
  <c r="T352" i="1" s="1"/>
  <c r="X353" i="1"/>
  <c r="S353" i="1" s="1"/>
  <c r="T353" i="1" s="1"/>
  <c r="X354" i="1"/>
  <c r="S354" i="1" s="1"/>
  <c r="T354" i="1" s="1"/>
  <c r="X355" i="1"/>
  <c r="S355" i="1" s="1"/>
  <c r="T355" i="1" s="1"/>
  <c r="X356" i="1"/>
  <c r="S356" i="1" s="1"/>
  <c r="T356" i="1" s="1"/>
  <c r="X357" i="1"/>
  <c r="S357" i="1" s="1"/>
  <c r="T357" i="1" s="1"/>
  <c r="X358" i="1"/>
  <c r="S358" i="1" s="1"/>
  <c r="T358" i="1" s="1"/>
  <c r="X359" i="1"/>
  <c r="S359" i="1" s="1"/>
  <c r="T359" i="1" s="1"/>
  <c r="X360" i="1"/>
  <c r="S360" i="1" s="1"/>
  <c r="T360" i="1" s="1"/>
  <c r="X361" i="1"/>
  <c r="S361" i="1" s="1"/>
  <c r="T361" i="1" s="1"/>
  <c r="X362" i="1"/>
  <c r="S362" i="1" s="1"/>
  <c r="T362" i="1" s="1"/>
  <c r="X363" i="1"/>
  <c r="S363" i="1" s="1"/>
  <c r="T363" i="1" s="1"/>
  <c r="X364" i="1"/>
  <c r="S364" i="1" s="1"/>
  <c r="T364" i="1" s="1"/>
  <c r="X365" i="1"/>
  <c r="S365" i="1" s="1"/>
  <c r="T365" i="1" s="1"/>
  <c r="X366" i="1"/>
  <c r="S366" i="1" s="1"/>
  <c r="T366" i="1" s="1"/>
  <c r="X367" i="1"/>
  <c r="S367" i="1" s="1"/>
  <c r="T367" i="1" s="1"/>
  <c r="X368" i="1"/>
  <c r="S368" i="1" s="1"/>
  <c r="T368" i="1" s="1"/>
  <c r="X369" i="1"/>
  <c r="S369" i="1" s="1"/>
  <c r="T369" i="1" s="1"/>
  <c r="X370" i="1"/>
  <c r="S370" i="1" s="1"/>
  <c r="T370" i="1" s="1"/>
  <c r="X371" i="1"/>
  <c r="S371" i="1" s="1"/>
  <c r="T371" i="1" s="1"/>
  <c r="X372" i="1"/>
  <c r="S372" i="1" s="1"/>
  <c r="T372" i="1" s="1"/>
  <c r="X373" i="1"/>
  <c r="S373" i="1" s="1"/>
  <c r="T373" i="1" s="1"/>
  <c r="X374" i="1"/>
  <c r="S374" i="1" s="1"/>
  <c r="T374" i="1" s="1"/>
  <c r="X375" i="1"/>
  <c r="S375" i="1" s="1"/>
  <c r="T375" i="1" s="1"/>
  <c r="X376" i="1"/>
  <c r="S376" i="1" s="1"/>
  <c r="T376" i="1" s="1"/>
  <c r="X377" i="1"/>
  <c r="S377" i="1" s="1"/>
  <c r="T377" i="1" s="1"/>
  <c r="X378" i="1"/>
  <c r="S378" i="1" s="1"/>
  <c r="T378" i="1" s="1"/>
  <c r="X379" i="1"/>
  <c r="S379" i="1" s="1"/>
  <c r="T379" i="1" s="1"/>
  <c r="X380" i="1"/>
  <c r="S380" i="1" s="1"/>
  <c r="T380" i="1" s="1"/>
  <c r="X381" i="1"/>
  <c r="S381" i="1" s="1"/>
  <c r="T381" i="1" s="1"/>
  <c r="X382" i="1"/>
  <c r="S382" i="1" s="1"/>
  <c r="T382" i="1" s="1"/>
  <c r="X383" i="1"/>
  <c r="S383" i="1" s="1"/>
  <c r="T383" i="1" s="1"/>
  <c r="X384" i="1"/>
  <c r="S384" i="1" s="1"/>
  <c r="T384" i="1" s="1"/>
  <c r="X385" i="1"/>
  <c r="S385" i="1" s="1"/>
  <c r="T385" i="1" s="1"/>
  <c r="X386" i="1"/>
  <c r="S386" i="1" s="1"/>
  <c r="T386" i="1" s="1"/>
  <c r="X387" i="1"/>
  <c r="S387" i="1" s="1"/>
  <c r="T387" i="1" s="1"/>
  <c r="X388" i="1"/>
  <c r="S388" i="1" s="1"/>
  <c r="T388" i="1" s="1"/>
  <c r="X389" i="1"/>
  <c r="S389" i="1" s="1"/>
  <c r="T389" i="1" s="1"/>
  <c r="X390" i="1"/>
  <c r="S390" i="1" s="1"/>
  <c r="T390" i="1" s="1"/>
  <c r="X391" i="1"/>
  <c r="S391" i="1" s="1"/>
  <c r="T391" i="1" s="1"/>
  <c r="X392" i="1"/>
  <c r="S392" i="1" s="1"/>
  <c r="T392" i="1" s="1"/>
  <c r="X393" i="1"/>
  <c r="S393" i="1" s="1"/>
  <c r="T393" i="1" s="1"/>
  <c r="X394" i="1"/>
  <c r="S394" i="1" s="1"/>
  <c r="T394" i="1" s="1"/>
  <c r="X395" i="1"/>
  <c r="S395" i="1" s="1"/>
  <c r="T395" i="1" s="1"/>
  <c r="X396" i="1"/>
  <c r="S396" i="1" s="1"/>
  <c r="T396" i="1" s="1"/>
  <c r="X397" i="1"/>
  <c r="S397" i="1" s="1"/>
  <c r="T397" i="1" s="1"/>
  <c r="X398" i="1"/>
  <c r="S398" i="1" s="1"/>
  <c r="T398" i="1" s="1"/>
  <c r="X399" i="1"/>
  <c r="S399" i="1" s="1"/>
  <c r="T399" i="1" s="1"/>
  <c r="X400" i="1"/>
  <c r="S400" i="1" s="1"/>
  <c r="T400" i="1" s="1"/>
  <c r="X401" i="1"/>
  <c r="S401" i="1" s="1"/>
  <c r="T401" i="1" s="1"/>
  <c r="X402" i="1"/>
  <c r="S402" i="1" s="1"/>
  <c r="T402" i="1" s="1"/>
  <c r="X403" i="1"/>
  <c r="S403" i="1" s="1"/>
  <c r="T403" i="1" s="1"/>
  <c r="X404" i="1"/>
  <c r="S404" i="1" s="1"/>
  <c r="T404" i="1" s="1"/>
  <c r="X405" i="1"/>
  <c r="S405" i="1" s="1"/>
  <c r="T405" i="1" s="1"/>
  <c r="X406" i="1"/>
  <c r="S406" i="1" s="1"/>
  <c r="T406" i="1" s="1"/>
  <c r="X407" i="1"/>
  <c r="S407" i="1" s="1"/>
  <c r="T407" i="1" s="1"/>
  <c r="X408" i="1"/>
  <c r="S408" i="1" s="1"/>
  <c r="T408" i="1" s="1"/>
  <c r="X409" i="1"/>
  <c r="S409" i="1" s="1"/>
  <c r="T409" i="1" s="1"/>
  <c r="X410" i="1"/>
  <c r="S410" i="1" s="1"/>
  <c r="T410" i="1" s="1"/>
  <c r="X411" i="1"/>
  <c r="S411" i="1" s="1"/>
  <c r="T411" i="1" s="1"/>
  <c r="X412" i="1"/>
  <c r="S412" i="1" s="1"/>
  <c r="T412" i="1" s="1"/>
  <c r="X413" i="1"/>
  <c r="S413" i="1" s="1"/>
  <c r="T413" i="1" s="1"/>
  <c r="X414" i="1"/>
  <c r="S414" i="1" s="1"/>
  <c r="T414" i="1" s="1"/>
  <c r="X415" i="1"/>
  <c r="S415" i="1" s="1"/>
  <c r="T415" i="1" s="1"/>
  <c r="X416" i="1"/>
  <c r="S416" i="1" s="1"/>
  <c r="T416" i="1" s="1"/>
  <c r="X417" i="1"/>
  <c r="S417" i="1" s="1"/>
  <c r="T417" i="1" s="1"/>
  <c r="X418" i="1"/>
  <c r="S418" i="1" s="1"/>
  <c r="T418" i="1" s="1"/>
  <c r="X419" i="1"/>
  <c r="S419" i="1" s="1"/>
  <c r="T419" i="1" s="1"/>
  <c r="X420" i="1"/>
  <c r="S420" i="1" s="1"/>
  <c r="T420" i="1" s="1"/>
  <c r="X421" i="1"/>
  <c r="S421" i="1" s="1"/>
  <c r="T421" i="1" s="1"/>
  <c r="X422" i="1"/>
  <c r="S422" i="1" s="1"/>
  <c r="T422" i="1" s="1"/>
  <c r="X423" i="1"/>
  <c r="S423" i="1" s="1"/>
  <c r="T423" i="1" s="1"/>
  <c r="X424" i="1"/>
  <c r="S424" i="1" s="1"/>
  <c r="T424" i="1" s="1"/>
  <c r="X425" i="1"/>
  <c r="S425" i="1" s="1"/>
  <c r="T425" i="1" s="1"/>
  <c r="X426" i="1"/>
  <c r="S426" i="1" s="1"/>
  <c r="T426" i="1" s="1"/>
  <c r="X427" i="1"/>
  <c r="S427" i="1" s="1"/>
  <c r="T427" i="1" s="1"/>
  <c r="X428" i="1"/>
  <c r="S428" i="1" s="1"/>
  <c r="T428" i="1" s="1"/>
  <c r="X429" i="1"/>
  <c r="S429" i="1" s="1"/>
  <c r="T429" i="1" s="1"/>
  <c r="X430" i="1"/>
  <c r="S430" i="1" s="1"/>
  <c r="T430" i="1" s="1"/>
  <c r="X431" i="1"/>
  <c r="S431" i="1" s="1"/>
  <c r="T431" i="1" s="1"/>
  <c r="X432" i="1"/>
  <c r="S432" i="1" s="1"/>
  <c r="T432" i="1" s="1"/>
  <c r="X433" i="1"/>
  <c r="S433" i="1" s="1"/>
  <c r="T433" i="1" s="1"/>
  <c r="X434" i="1"/>
  <c r="S434" i="1" s="1"/>
  <c r="T434" i="1" s="1"/>
  <c r="X435" i="1"/>
  <c r="S435" i="1" s="1"/>
  <c r="T435" i="1" s="1"/>
  <c r="X436" i="1"/>
  <c r="S436" i="1" s="1"/>
  <c r="T436" i="1" s="1"/>
  <c r="X437" i="1"/>
  <c r="S437" i="1" s="1"/>
  <c r="T437" i="1" s="1"/>
  <c r="X438" i="1"/>
  <c r="S438" i="1" s="1"/>
  <c r="T438" i="1" s="1"/>
  <c r="X439" i="1"/>
  <c r="S439" i="1" s="1"/>
  <c r="T439" i="1" s="1"/>
  <c r="X440" i="1"/>
  <c r="S440" i="1" s="1"/>
  <c r="T440" i="1" s="1"/>
  <c r="X441" i="1"/>
  <c r="S441" i="1" s="1"/>
  <c r="T441" i="1" s="1"/>
  <c r="X442" i="1"/>
  <c r="S442" i="1" s="1"/>
  <c r="T442" i="1" s="1"/>
  <c r="X443" i="1"/>
  <c r="S443" i="1" s="1"/>
  <c r="T443" i="1" s="1"/>
  <c r="X444" i="1"/>
  <c r="S444" i="1" s="1"/>
  <c r="T444" i="1" s="1"/>
  <c r="X445" i="1"/>
  <c r="S445" i="1" s="1"/>
  <c r="T445" i="1" s="1"/>
  <c r="X446" i="1"/>
  <c r="S446" i="1" s="1"/>
  <c r="T446" i="1" s="1"/>
  <c r="X447" i="1"/>
  <c r="S447" i="1" s="1"/>
  <c r="T447" i="1" s="1"/>
  <c r="X448" i="1"/>
  <c r="S448" i="1" s="1"/>
  <c r="T448" i="1" s="1"/>
  <c r="X449" i="1"/>
  <c r="S449" i="1" s="1"/>
  <c r="T449" i="1" s="1"/>
  <c r="X450" i="1"/>
  <c r="S450" i="1" s="1"/>
  <c r="T450" i="1" s="1"/>
  <c r="X451" i="1"/>
  <c r="S451" i="1" s="1"/>
  <c r="T451" i="1" s="1"/>
  <c r="X452" i="1"/>
  <c r="S452" i="1" s="1"/>
  <c r="T452" i="1" s="1"/>
  <c r="X453" i="1"/>
  <c r="S453" i="1" s="1"/>
  <c r="T453" i="1" s="1"/>
  <c r="X454" i="1"/>
  <c r="S454" i="1" s="1"/>
  <c r="T454" i="1" s="1"/>
  <c r="X455" i="1"/>
  <c r="S455" i="1" s="1"/>
  <c r="T455" i="1" s="1"/>
  <c r="X456" i="1"/>
  <c r="S456" i="1" s="1"/>
  <c r="T456" i="1" s="1"/>
  <c r="X457" i="1"/>
  <c r="S457" i="1" s="1"/>
  <c r="T457" i="1" s="1"/>
  <c r="X458" i="1"/>
  <c r="S458" i="1" s="1"/>
  <c r="T458" i="1" s="1"/>
  <c r="X459" i="1"/>
  <c r="S459" i="1" s="1"/>
  <c r="T459" i="1" s="1"/>
  <c r="X460" i="1"/>
  <c r="S460" i="1" s="1"/>
  <c r="T460" i="1" s="1"/>
  <c r="X461" i="1"/>
  <c r="S461" i="1" s="1"/>
  <c r="T461" i="1" s="1"/>
  <c r="X462" i="1"/>
  <c r="S462" i="1" s="1"/>
  <c r="T462" i="1" s="1"/>
  <c r="X463" i="1"/>
  <c r="S463" i="1" s="1"/>
  <c r="T463" i="1" s="1"/>
  <c r="X464" i="1"/>
  <c r="S464" i="1" s="1"/>
  <c r="T464" i="1" s="1"/>
  <c r="X465" i="1"/>
  <c r="S465" i="1" s="1"/>
  <c r="T465" i="1" s="1"/>
  <c r="X466" i="1"/>
  <c r="S466" i="1" s="1"/>
  <c r="T466" i="1" s="1"/>
  <c r="X467" i="1"/>
  <c r="S467" i="1" s="1"/>
  <c r="T467" i="1" s="1"/>
  <c r="X468" i="1"/>
  <c r="S468" i="1" s="1"/>
  <c r="T468" i="1" s="1"/>
  <c r="X469" i="1"/>
  <c r="S469" i="1" s="1"/>
  <c r="T469" i="1" s="1"/>
  <c r="X470" i="1"/>
  <c r="S470" i="1" s="1"/>
  <c r="T470" i="1" s="1"/>
  <c r="X471" i="1"/>
  <c r="S471" i="1" s="1"/>
  <c r="T471" i="1" s="1"/>
  <c r="X472" i="1"/>
  <c r="S472" i="1" s="1"/>
  <c r="T472" i="1" s="1"/>
  <c r="X473" i="1"/>
  <c r="S473" i="1" s="1"/>
  <c r="T473" i="1" s="1"/>
  <c r="X474" i="1"/>
  <c r="S474" i="1" s="1"/>
  <c r="T474" i="1" s="1"/>
  <c r="X475" i="1"/>
  <c r="S475" i="1" s="1"/>
  <c r="T475" i="1" s="1"/>
  <c r="X476" i="1"/>
  <c r="S476" i="1" s="1"/>
  <c r="T476" i="1" s="1"/>
  <c r="X477" i="1"/>
  <c r="S477" i="1" s="1"/>
  <c r="T477" i="1" s="1"/>
  <c r="X478" i="1"/>
  <c r="S478" i="1" s="1"/>
  <c r="T478" i="1" s="1"/>
  <c r="X479" i="1"/>
  <c r="S479" i="1" s="1"/>
  <c r="T479" i="1" s="1"/>
  <c r="X480" i="1"/>
  <c r="S480" i="1" s="1"/>
  <c r="T480" i="1" s="1"/>
  <c r="X481" i="1"/>
  <c r="S481" i="1" s="1"/>
  <c r="T481" i="1" s="1"/>
  <c r="X482" i="1"/>
  <c r="S482" i="1" s="1"/>
  <c r="T482" i="1" s="1"/>
  <c r="X483" i="1"/>
  <c r="S483" i="1" s="1"/>
  <c r="T483" i="1" s="1"/>
  <c r="X484" i="1"/>
  <c r="S484" i="1" s="1"/>
  <c r="T484" i="1" s="1"/>
  <c r="X485" i="1"/>
  <c r="S485" i="1" s="1"/>
  <c r="T485" i="1" s="1"/>
  <c r="X486" i="1"/>
  <c r="S486" i="1" s="1"/>
  <c r="T486" i="1" s="1"/>
  <c r="X487" i="1"/>
  <c r="S487" i="1" s="1"/>
  <c r="T487" i="1" s="1"/>
  <c r="X488" i="1"/>
  <c r="S488" i="1" s="1"/>
  <c r="T488" i="1" s="1"/>
  <c r="X489" i="1"/>
  <c r="S489" i="1" s="1"/>
  <c r="T489" i="1" s="1"/>
  <c r="X490" i="1"/>
  <c r="S490" i="1" s="1"/>
  <c r="T490" i="1" s="1"/>
  <c r="X491" i="1"/>
  <c r="S491" i="1" s="1"/>
  <c r="T491" i="1" s="1"/>
  <c r="X492" i="1"/>
  <c r="S492" i="1" s="1"/>
  <c r="T492" i="1" s="1"/>
  <c r="X493" i="1"/>
  <c r="S493" i="1" s="1"/>
  <c r="T493" i="1" s="1"/>
  <c r="X494" i="1"/>
  <c r="S494" i="1" s="1"/>
  <c r="T494" i="1" s="1"/>
  <c r="X495" i="1"/>
  <c r="S495" i="1" s="1"/>
  <c r="T495" i="1" s="1"/>
  <c r="X496" i="1"/>
  <c r="S496" i="1" s="1"/>
  <c r="T496" i="1" s="1"/>
  <c r="X497" i="1"/>
  <c r="S497" i="1" s="1"/>
  <c r="T497" i="1" s="1"/>
  <c r="X498" i="1"/>
  <c r="S498" i="1" s="1"/>
  <c r="T498" i="1" s="1"/>
  <c r="X499" i="1"/>
  <c r="S499" i="1" s="1"/>
  <c r="T499" i="1" s="1"/>
  <c r="X500" i="1"/>
  <c r="S500" i="1" s="1"/>
  <c r="T500" i="1" s="1"/>
  <c r="X501" i="1"/>
  <c r="S501" i="1" s="1"/>
  <c r="T501" i="1" s="1"/>
  <c r="X502" i="1"/>
  <c r="S502" i="1" s="1"/>
  <c r="T502" i="1" s="1"/>
  <c r="X503" i="1"/>
  <c r="S503" i="1" s="1"/>
  <c r="T503" i="1" s="1"/>
  <c r="X504" i="1"/>
  <c r="S504" i="1" s="1"/>
  <c r="T504" i="1" s="1"/>
  <c r="X505" i="1"/>
  <c r="S505" i="1" s="1"/>
  <c r="T505" i="1" s="1"/>
  <c r="X506" i="1"/>
  <c r="S506" i="1" s="1"/>
  <c r="T506" i="1" s="1"/>
  <c r="X507" i="1"/>
  <c r="S507" i="1" s="1"/>
  <c r="T507" i="1" s="1"/>
  <c r="X508" i="1"/>
  <c r="S508" i="1" s="1"/>
  <c r="T508" i="1" s="1"/>
  <c r="X509" i="1"/>
  <c r="S509" i="1" s="1"/>
  <c r="T509" i="1" s="1"/>
  <c r="X510" i="1"/>
  <c r="S510" i="1" s="1"/>
  <c r="T510" i="1" s="1"/>
  <c r="X511" i="1"/>
  <c r="S511" i="1" s="1"/>
  <c r="T511" i="1" s="1"/>
  <c r="X512" i="1"/>
  <c r="S512" i="1" s="1"/>
  <c r="T512" i="1" s="1"/>
  <c r="X513" i="1"/>
  <c r="S513" i="1" s="1"/>
  <c r="T513" i="1" s="1"/>
  <c r="X514" i="1"/>
  <c r="S514" i="1" s="1"/>
  <c r="T514" i="1" s="1"/>
  <c r="X515" i="1"/>
  <c r="S515" i="1" s="1"/>
  <c r="T515" i="1" s="1"/>
  <c r="X516" i="1"/>
  <c r="S516" i="1" s="1"/>
  <c r="T516" i="1" s="1"/>
  <c r="X517" i="1"/>
  <c r="S517" i="1" s="1"/>
  <c r="T517" i="1" s="1"/>
  <c r="X518" i="1"/>
  <c r="S518" i="1" s="1"/>
  <c r="T518" i="1" s="1"/>
  <c r="X519" i="1"/>
  <c r="S519" i="1" s="1"/>
  <c r="T519" i="1" s="1"/>
  <c r="X520" i="1"/>
  <c r="S520" i="1" s="1"/>
  <c r="T520" i="1" s="1"/>
  <c r="X521" i="1"/>
  <c r="S521" i="1" s="1"/>
  <c r="T521" i="1" s="1"/>
  <c r="X522" i="1"/>
  <c r="S522" i="1" s="1"/>
  <c r="T522" i="1" s="1"/>
  <c r="X523" i="1"/>
  <c r="S523" i="1" s="1"/>
  <c r="T523" i="1" s="1"/>
  <c r="X524" i="1"/>
  <c r="S524" i="1" s="1"/>
  <c r="T524" i="1" s="1"/>
  <c r="X525" i="1"/>
  <c r="S525" i="1" s="1"/>
  <c r="T525" i="1" s="1"/>
  <c r="X526" i="1"/>
  <c r="S526" i="1" s="1"/>
  <c r="T526" i="1" s="1"/>
  <c r="X527" i="1"/>
  <c r="S527" i="1" s="1"/>
  <c r="T527" i="1" s="1"/>
  <c r="X528" i="1"/>
  <c r="S528" i="1" s="1"/>
  <c r="T528" i="1" s="1"/>
  <c r="X529" i="1"/>
  <c r="S529" i="1" s="1"/>
  <c r="T529" i="1" s="1"/>
  <c r="X530" i="1"/>
  <c r="S530" i="1" s="1"/>
  <c r="T530" i="1" s="1"/>
  <c r="X531" i="1"/>
  <c r="S531" i="1" s="1"/>
  <c r="T531" i="1" s="1"/>
  <c r="X532" i="1"/>
  <c r="S532" i="1" s="1"/>
  <c r="T532" i="1" s="1"/>
  <c r="X533" i="1"/>
  <c r="S533" i="1" s="1"/>
  <c r="T533" i="1" s="1"/>
  <c r="X534" i="1"/>
  <c r="S534" i="1" s="1"/>
  <c r="T534" i="1" s="1"/>
  <c r="X535" i="1"/>
  <c r="S535" i="1" s="1"/>
  <c r="T535" i="1" s="1"/>
  <c r="X536" i="1"/>
  <c r="S536" i="1" s="1"/>
  <c r="T536" i="1" s="1"/>
  <c r="X537" i="1"/>
  <c r="S537" i="1" s="1"/>
  <c r="T537" i="1" s="1"/>
  <c r="X538" i="1"/>
  <c r="S538" i="1" s="1"/>
  <c r="T538" i="1" s="1"/>
  <c r="X539" i="1"/>
  <c r="S539" i="1" s="1"/>
  <c r="T539" i="1" s="1"/>
  <c r="X540" i="1"/>
  <c r="S540" i="1" s="1"/>
  <c r="T540" i="1" s="1"/>
  <c r="X541" i="1"/>
  <c r="S541" i="1" s="1"/>
  <c r="T541" i="1" s="1"/>
  <c r="X542" i="1"/>
  <c r="S542" i="1" s="1"/>
  <c r="T542" i="1" s="1"/>
  <c r="X543" i="1"/>
  <c r="S543" i="1" s="1"/>
  <c r="T543" i="1" s="1"/>
  <c r="X544" i="1"/>
  <c r="S544" i="1" s="1"/>
  <c r="T544" i="1" s="1"/>
  <c r="X545" i="1"/>
  <c r="S545" i="1" s="1"/>
  <c r="T545" i="1" s="1"/>
  <c r="X546" i="1"/>
  <c r="S546" i="1" s="1"/>
  <c r="T546" i="1" s="1"/>
  <c r="X547" i="1"/>
  <c r="S547" i="1" s="1"/>
  <c r="T547" i="1" s="1"/>
  <c r="X548" i="1"/>
  <c r="S548" i="1" s="1"/>
  <c r="T548" i="1" s="1"/>
  <c r="X549" i="1"/>
  <c r="S549" i="1" s="1"/>
  <c r="T549" i="1" s="1"/>
  <c r="X550" i="1"/>
  <c r="S550" i="1" s="1"/>
  <c r="T550" i="1" s="1"/>
  <c r="X551" i="1"/>
  <c r="S551" i="1" s="1"/>
  <c r="T551" i="1" s="1"/>
  <c r="X552" i="1"/>
  <c r="S552" i="1" s="1"/>
  <c r="T552" i="1" s="1"/>
  <c r="X553" i="1"/>
  <c r="S553" i="1" s="1"/>
  <c r="T553" i="1" s="1"/>
  <c r="X554" i="1"/>
  <c r="S554" i="1" s="1"/>
  <c r="T554" i="1" s="1"/>
  <c r="X555" i="1"/>
  <c r="S555" i="1" s="1"/>
  <c r="T555" i="1" s="1"/>
  <c r="X556" i="1"/>
  <c r="S556" i="1" s="1"/>
  <c r="T556" i="1" s="1"/>
  <c r="X557" i="1"/>
  <c r="S557" i="1" s="1"/>
  <c r="T557" i="1" s="1"/>
  <c r="X558" i="1"/>
  <c r="S558" i="1" s="1"/>
  <c r="T558" i="1" s="1"/>
  <c r="X559" i="1"/>
  <c r="S559" i="1" s="1"/>
  <c r="T559" i="1" s="1"/>
  <c r="X560" i="1"/>
  <c r="S560" i="1" s="1"/>
  <c r="T560" i="1" s="1"/>
  <c r="X561" i="1"/>
  <c r="S561" i="1" s="1"/>
  <c r="T561" i="1" s="1"/>
  <c r="X562" i="1"/>
  <c r="S562" i="1" s="1"/>
  <c r="T562" i="1" s="1"/>
  <c r="X563" i="1"/>
  <c r="S563" i="1" s="1"/>
  <c r="T563" i="1" s="1"/>
  <c r="X564" i="1"/>
  <c r="S564" i="1" s="1"/>
  <c r="T564" i="1" s="1"/>
  <c r="X565" i="1"/>
  <c r="S565" i="1" s="1"/>
  <c r="T565" i="1" s="1"/>
  <c r="X566" i="1"/>
  <c r="S566" i="1" s="1"/>
  <c r="T566" i="1" s="1"/>
  <c r="X567" i="1"/>
  <c r="S567" i="1" s="1"/>
  <c r="T567" i="1" s="1"/>
  <c r="X568" i="1"/>
  <c r="S568" i="1" s="1"/>
  <c r="T568" i="1" s="1"/>
  <c r="X569" i="1"/>
  <c r="S569" i="1" s="1"/>
  <c r="T569" i="1" s="1"/>
  <c r="X570" i="1"/>
  <c r="S570" i="1" s="1"/>
  <c r="T570" i="1" s="1"/>
  <c r="X571" i="1"/>
  <c r="S571" i="1" s="1"/>
  <c r="T571" i="1" s="1"/>
  <c r="X572" i="1"/>
  <c r="S572" i="1" s="1"/>
  <c r="T572" i="1" s="1"/>
  <c r="X573" i="1"/>
  <c r="S573" i="1" s="1"/>
  <c r="T573" i="1" s="1"/>
  <c r="X574" i="1"/>
  <c r="S574" i="1" s="1"/>
  <c r="T574" i="1" s="1"/>
  <c r="X575" i="1"/>
  <c r="S575" i="1" s="1"/>
  <c r="T575" i="1" s="1"/>
  <c r="X576" i="1"/>
  <c r="S576" i="1" s="1"/>
  <c r="T576" i="1" s="1"/>
  <c r="X577" i="1"/>
  <c r="S577" i="1" s="1"/>
  <c r="T577" i="1" s="1"/>
  <c r="X578" i="1"/>
  <c r="S578" i="1" s="1"/>
  <c r="T578" i="1" s="1"/>
  <c r="X579" i="1"/>
  <c r="S579" i="1" s="1"/>
  <c r="T579" i="1" s="1"/>
  <c r="X580" i="1"/>
  <c r="S580" i="1" s="1"/>
  <c r="T580" i="1" s="1"/>
  <c r="X581" i="1"/>
  <c r="S581" i="1" s="1"/>
  <c r="T581" i="1" s="1"/>
  <c r="X582" i="1"/>
  <c r="S582" i="1" s="1"/>
  <c r="T582" i="1" s="1"/>
  <c r="X583" i="1"/>
  <c r="S583" i="1" s="1"/>
  <c r="T583" i="1" s="1"/>
  <c r="X584" i="1"/>
  <c r="S584" i="1" s="1"/>
  <c r="T584" i="1" s="1"/>
  <c r="X585" i="1"/>
  <c r="S585" i="1" s="1"/>
  <c r="T585" i="1" s="1"/>
  <c r="X586" i="1"/>
  <c r="S586" i="1" s="1"/>
  <c r="T586" i="1" s="1"/>
  <c r="X587" i="1"/>
  <c r="S587" i="1" s="1"/>
  <c r="T587" i="1" s="1"/>
  <c r="X588" i="1"/>
  <c r="S588" i="1" s="1"/>
  <c r="T588" i="1" s="1"/>
  <c r="X589" i="1"/>
  <c r="S589" i="1" s="1"/>
  <c r="T589" i="1" s="1"/>
  <c r="X590" i="1"/>
  <c r="S590" i="1" s="1"/>
  <c r="T590" i="1" s="1"/>
  <c r="X591" i="1"/>
  <c r="S591" i="1" s="1"/>
  <c r="T591" i="1" s="1"/>
  <c r="X592" i="1"/>
  <c r="S592" i="1" s="1"/>
  <c r="T592" i="1" s="1"/>
  <c r="X593" i="1"/>
  <c r="S593" i="1" s="1"/>
  <c r="T593" i="1" s="1"/>
  <c r="X594" i="1"/>
  <c r="S594" i="1" s="1"/>
  <c r="T594" i="1" s="1"/>
  <c r="X595" i="1"/>
  <c r="S595" i="1" s="1"/>
  <c r="T595" i="1" s="1"/>
  <c r="X596" i="1"/>
  <c r="S596" i="1" s="1"/>
  <c r="T596" i="1" s="1"/>
  <c r="X597" i="1"/>
  <c r="S597" i="1" s="1"/>
  <c r="T597" i="1" s="1"/>
  <c r="X598" i="1"/>
  <c r="S598" i="1" s="1"/>
  <c r="T598" i="1" s="1"/>
  <c r="X599" i="1"/>
  <c r="S599" i="1" s="1"/>
  <c r="T599" i="1" s="1"/>
  <c r="X600" i="1"/>
  <c r="S600" i="1" s="1"/>
  <c r="T600" i="1" s="1"/>
  <c r="X601" i="1"/>
  <c r="S601" i="1" s="1"/>
  <c r="T601" i="1" s="1"/>
  <c r="X602" i="1"/>
  <c r="S602" i="1" s="1"/>
  <c r="T602" i="1" s="1"/>
  <c r="X603" i="1"/>
  <c r="S603" i="1" s="1"/>
  <c r="T603" i="1" s="1"/>
  <c r="X604" i="1"/>
  <c r="S604" i="1" s="1"/>
  <c r="T604" i="1" s="1"/>
  <c r="X605" i="1"/>
  <c r="S605" i="1" s="1"/>
  <c r="T605" i="1" s="1"/>
  <c r="X606" i="1"/>
  <c r="S606" i="1" s="1"/>
  <c r="T606" i="1" s="1"/>
  <c r="X607" i="1"/>
  <c r="S607" i="1" s="1"/>
  <c r="T607" i="1" s="1"/>
  <c r="X608" i="1"/>
  <c r="S608" i="1" s="1"/>
  <c r="T608" i="1" s="1"/>
  <c r="X609" i="1"/>
  <c r="S609" i="1" s="1"/>
  <c r="T609" i="1" s="1"/>
  <c r="X610" i="1"/>
  <c r="S610" i="1" s="1"/>
  <c r="T610" i="1" s="1"/>
  <c r="X611" i="1"/>
  <c r="S611" i="1" s="1"/>
  <c r="T611" i="1" s="1"/>
  <c r="X612" i="1"/>
  <c r="S612" i="1" s="1"/>
  <c r="T612" i="1" s="1"/>
  <c r="X613" i="1"/>
  <c r="S613" i="1" s="1"/>
  <c r="T613" i="1" s="1"/>
  <c r="X614" i="1"/>
  <c r="S614" i="1" s="1"/>
  <c r="T614" i="1" s="1"/>
  <c r="X615" i="1"/>
  <c r="S615" i="1" s="1"/>
  <c r="T615" i="1" s="1"/>
  <c r="X616" i="1"/>
  <c r="S616" i="1" s="1"/>
  <c r="T616" i="1" s="1"/>
  <c r="X617" i="1"/>
  <c r="S617" i="1" s="1"/>
  <c r="T617" i="1" s="1"/>
  <c r="X618" i="1"/>
  <c r="S618" i="1" s="1"/>
  <c r="T618" i="1" s="1"/>
  <c r="X619" i="1"/>
  <c r="S619" i="1" s="1"/>
  <c r="T619" i="1" s="1"/>
  <c r="X620" i="1"/>
  <c r="S620" i="1" s="1"/>
  <c r="T620" i="1" s="1"/>
  <c r="X621" i="1"/>
  <c r="S621" i="1" s="1"/>
  <c r="T621" i="1" s="1"/>
  <c r="X622" i="1"/>
  <c r="S622" i="1" s="1"/>
  <c r="T622" i="1" s="1"/>
  <c r="X623" i="1"/>
  <c r="S623" i="1" s="1"/>
  <c r="T623" i="1" s="1"/>
  <c r="X624" i="1"/>
  <c r="S624" i="1" s="1"/>
  <c r="T624" i="1" s="1"/>
  <c r="X625" i="1"/>
  <c r="S625" i="1" s="1"/>
  <c r="T625" i="1" s="1"/>
  <c r="X626" i="1"/>
  <c r="S626" i="1" s="1"/>
  <c r="T626" i="1" s="1"/>
  <c r="X627" i="1"/>
  <c r="S627" i="1" s="1"/>
  <c r="T627" i="1" s="1"/>
  <c r="X628" i="1"/>
  <c r="S628" i="1" s="1"/>
  <c r="T628" i="1" s="1"/>
  <c r="X629" i="1"/>
  <c r="S629" i="1" s="1"/>
  <c r="T629" i="1" s="1"/>
  <c r="X630" i="1"/>
  <c r="S630" i="1" s="1"/>
  <c r="T630" i="1" s="1"/>
  <c r="X631" i="1"/>
  <c r="S631" i="1" s="1"/>
  <c r="T631" i="1" s="1"/>
  <c r="X632" i="1"/>
  <c r="S632" i="1" s="1"/>
  <c r="T632" i="1" s="1"/>
  <c r="X633" i="1"/>
  <c r="S633" i="1" s="1"/>
  <c r="T633" i="1" s="1"/>
  <c r="X634" i="1"/>
  <c r="S634" i="1" s="1"/>
  <c r="T634" i="1" s="1"/>
  <c r="X635" i="1"/>
  <c r="S635" i="1" s="1"/>
  <c r="T635" i="1" s="1"/>
  <c r="X636" i="1"/>
  <c r="S636" i="1" s="1"/>
  <c r="T636" i="1" s="1"/>
  <c r="X637" i="1"/>
  <c r="S637" i="1" s="1"/>
  <c r="T637" i="1" s="1"/>
  <c r="X638" i="1"/>
  <c r="S638" i="1" s="1"/>
  <c r="T638" i="1" s="1"/>
  <c r="X639" i="1"/>
  <c r="S639" i="1" s="1"/>
  <c r="T639" i="1" s="1"/>
  <c r="X640" i="1"/>
  <c r="S640" i="1" s="1"/>
  <c r="T640" i="1" s="1"/>
  <c r="X641" i="1"/>
  <c r="S641" i="1" s="1"/>
  <c r="T641" i="1" s="1"/>
  <c r="X642" i="1"/>
  <c r="S642" i="1" s="1"/>
  <c r="T642" i="1" s="1"/>
  <c r="X643" i="1"/>
  <c r="S643" i="1" s="1"/>
  <c r="T643" i="1" s="1"/>
  <c r="X644" i="1"/>
  <c r="S644" i="1" s="1"/>
  <c r="T644" i="1" s="1"/>
  <c r="X645" i="1"/>
  <c r="S645" i="1" s="1"/>
  <c r="T645" i="1" s="1"/>
  <c r="X646" i="1"/>
  <c r="S646" i="1" s="1"/>
  <c r="T646" i="1" s="1"/>
  <c r="X647" i="1"/>
  <c r="S647" i="1" s="1"/>
  <c r="T647" i="1" s="1"/>
  <c r="X648" i="1"/>
  <c r="S648" i="1" s="1"/>
  <c r="T648" i="1" s="1"/>
  <c r="X649" i="1"/>
  <c r="S649" i="1" s="1"/>
  <c r="T649" i="1" s="1"/>
  <c r="X650" i="1"/>
  <c r="S650" i="1" s="1"/>
  <c r="T650" i="1" s="1"/>
  <c r="X651" i="1"/>
  <c r="S651" i="1" s="1"/>
  <c r="T651" i="1" s="1"/>
  <c r="X652" i="1"/>
  <c r="S652" i="1" s="1"/>
  <c r="T652" i="1" s="1"/>
  <c r="X653" i="1"/>
  <c r="S653" i="1" s="1"/>
  <c r="T653" i="1" s="1"/>
  <c r="X654" i="1"/>
  <c r="S654" i="1" s="1"/>
  <c r="T654" i="1" s="1"/>
  <c r="X655" i="1"/>
  <c r="S655" i="1" s="1"/>
  <c r="T655" i="1" s="1"/>
  <c r="X656" i="1"/>
  <c r="S656" i="1" s="1"/>
  <c r="T656" i="1" s="1"/>
  <c r="X657" i="1"/>
  <c r="S657" i="1" s="1"/>
  <c r="T657" i="1" s="1"/>
  <c r="X658" i="1"/>
  <c r="S658" i="1" s="1"/>
  <c r="T658" i="1" s="1"/>
  <c r="X659" i="1"/>
  <c r="S659" i="1" s="1"/>
  <c r="T659" i="1" s="1"/>
  <c r="X660" i="1"/>
  <c r="S660" i="1" s="1"/>
  <c r="T660" i="1" s="1"/>
  <c r="X661" i="1"/>
  <c r="S661" i="1" s="1"/>
  <c r="T661" i="1" s="1"/>
  <c r="X662" i="1"/>
  <c r="S662" i="1" s="1"/>
  <c r="T662" i="1" s="1"/>
  <c r="X663" i="1"/>
  <c r="S663" i="1" s="1"/>
  <c r="T663" i="1" s="1"/>
  <c r="X664" i="1"/>
  <c r="S664" i="1" s="1"/>
  <c r="T664" i="1" s="1"/>
  <c r="X665" i="1"/>
  <c r="S665" i="1" s="1"/>
  <c r="T665" i="1" s="1"/>
  <c r="X666" i="1"/>
  <c r="S666" i="1" s="1"/>
  <c r="T666" i="1" s="1"/>
  <c r="X667" i="1"/>
  <c r="S667" i="1" s="1"/>
  <c r="T667" i="1" s="1"/>
  <c r="X668" i="1"/>
  <c r="S668" i="1" s="1"/>
  <c r="T668" i="1" s="1"/>
  <c r="X669" i="1"/>
  <c r="S669" i="1" s="1"/>
  <c r="T669" i="1" s="1"/>
  <c r="X670" i="1"/>
  <c r="S670" i="1" s="1"/>
  <c r="T670" i="1" s="1"/>
  <c r="X671" i="1"/>
  <c r="S671" i="1" s="1"/>
  <c r="T671" i="1" s="1"/>
  <c r="X672" i="1"/>
  <c r="S672" i="1" s="1"/>
  <c r="T672" i="1" s="1"/>
  <c r="X673" i="1"/>
  <c r="S673" i="1" s="1"/>
  <c r="T673" i="1" s="1"/>
  <c r="X674" i="1"/>
  <c r="S674" i="1" s="1"/>
  <c r="T674" i="1" s="1"/>
  <c r="X675" i="1"/>
  <c r="S675" i="1" s="1"/>
  <c r="T675" i="1" s="1"/>
  <c r="X676" i="1"/>
  <c r="S676" i="1" s="1"/>
  <c r="T676" i="1" s="1"/>
  <c r="X677" i="1"/>
  <c r="S677" i="1" s="1"/>
  <c r="T677" i="1" s="1"/>
  <c r="X678" i="1"/>
  <c r="S678" i="1" s="1"/>
  <c r="T678" i="1" s="1"/>
  <c r="X679" i="1"/>
  <c r="S679" i="1" s="1"/>
  <c r="T679" i="1" s="1"/>
  <c r="X680" i="1"/>
  <c r="S680" i="1" s="1"/>
  <c r="T680" i="1" s="1"/>
  <c r="X681" i="1"/>
  <c r="S681" i="1" s="1"/>
  <c r="T681" i="1" s="1"/>
  <c r="X682" i="1"/>
  <c r="S682" i="1" s="1"/>
  <c r="T682" i="1" s="1"/>
  <c r="X683" i="1"/>
  <c r="S683" i="1" s="1"/>
  <c r="T683" i="1" s="1"/>
  <c r="X684" i="1"/>
  <c r="S684" i="1" s="1"/>
  <c r="T684" i="1" s="1"/>
  <c r="X685" i="1"/>
  <c r="S685" i="1" s="1"/>
  <c r="T685" i="1" s="1"/>
  <c r="X686" i="1"/>
  <c r="S686" i="1" s="1"/>
  <c r="T686" i="1" s="1"/>
  <c r="X687" i="1"/>
  <c r="S687" i="1" s="1"/>
  <c r="T687" i="1" s="1"/>
  <c r="X688" i="1"/>
  <c r="S688" i="1" s="1"/>
  <c r="T688" i="1" s="1"/>
  <c r="X689" i="1"/>
  <c r="S689" i="1" s="1"/>
  <c r="T689" i="1" s="1"/>
  <c r="X690" i="1"/>
  <c r="S690" i="1" s="1"/>
  <c r="T690" i="1" s="1"/>
  <c r="X691" i="1"/>
  <c r="S691" i="1" s="1"/>
  <c r="T691" i="1" s="1"/>
  <c r="X692" i="1"/>
  <c r="S692" i="1" s="1"/>
  <c r="T692" i="1" s="1"/>
  <c r="X693" i="1"/>
  <c r="S693" i="1" s="1"/>
  <c r="T693" i="1" s="1"/>
  <c r="X694" i="1"/>
  <c r="S694" i="1" s="1"/>
  <c r="T694" i="1" s="1"/>
  <c r="X695" i="1"/>
  <c r="S695" i="1" s="1"/>
  <c r="T695" i="1" s="1"/>
  <c r="X696" i="1"/>
  <c r="S696" i="1" s="1"/>
  <c r="T696" i="1" s="1"/>
  <c r="X697" i="1"/>
  <c r="S697" i="1" s="1"/>
  <c r="T697" i="1" s="1"/>
  <c r="X698" i="1"/>
  <c r="S698" i="1" s="1"/>
  <c r="T698" i="1" s="1"/>
  <c r="X699" i="1"/>
  <c r="S699" i="1" s="1"/>
  <c r="T699" i="1" s="1"/>
  <c r="X700" i="1"/>
  <c r="S700" i="1" s="1"/>
  <c r="T700" i="1" s="1"/>
  <c r="X701" i="1"/>
  <c r="S701" i="1" s="1"/>
  <c r="T701" i="1" s="1"/>
  <c r="X702" i="1"/>
  <c r="S702" i="1" s="1"/>
  <c r="T702" i="1" s="1"/>
  <c r="X703" i="1"/>
  <c r="S703" i="1" s="1"/>
  <c r="T703" i="1" s="1"/>
  <c r="X704" i="1"/>
  <c r="S704" i="1" s="1"/>
  <c r="T704" i="1" s="1"/>
  <c r="X705" i="1"/>
  <c r="S705" i="1" s="1"/>
  <c r="T705" i="1" s="1"/>
  <c r="X706" i="1"/>
  <c r="S706" i="1" s="1"/>
  <c r="T706" i="1" s="1"/>
  <c r="X707" i="1"/>
  <c r="S707" i="1" s="1"/>
  <c r="T707" i="1" s="1"/>
  <c r="X708" i="1"/>
  <c r="S708" i="1" s="1"/>
  <c r="T708" i="1" s="1"/>
  <c r="X709" i="1"/>
  <c r="S709" i="1" s="1"/>
  <c r="T709" i="1" s="1"/>
  <c r="X710" i="1"/>
  <c r="S710" i="1" s="1"/>
  <c r="T710" i="1" s="1"/>
  <c r="X711" i="1"/>
  <c r="S711" i="1" s="1"/>
  <c r="T711" i="1" s="1"/>
  <c r="X712" i="1"/>
  <c r="S712" i="1" s="1"/>
  <c r="T712" i="1" s="1"/>
  <c r="X713" i="1"/>
  <c r="S713" i="1" s="1"/>
  <c r="T713" i="1" s="1"/>
  <c r="X714" i="1"/>
  <c r="S714" i="1" s="1"/>
  <c r="T714" i="1" s="1"/>
  <c r="X715" i="1"/>
  <c r="S715" i="1" s="1"/>
  <c r="T715" i="1" s="1"/>
  <c r="X716" i="1"/>
  <c r="S716" i="1" s="1"/>
  <c r="T716" i="1" s="1"/>
  <c r="X717" i="1"/>
  <c r="S717" i="1" s="1"/>
  <c r="T717" i="1" s="1"/>
  <c r="X718" i="1"/>
  <c r="S718" i="1" s="1"/>
  <c r="T718" i="1" s="1"/>
  <c r="X719" i="1"/>
  <c r="S719" i="1" s="1"/>
  <c r="T719" i="1" s="1"/>
  <c r="X720" i="1"/>
  <c r="S720" i="1" s="1"/>
  <c r="T720" i="1" s="1"/>
  <c r="X721" i="1"/>
  <c r="S721" i="1" s="1"/>
  <c r="T721" i="1" s="1"/>
  <c r="X722" i="1"/>
  <c r="S722" i="1" s="1"/>
  <c r="T722" i="1" s="1"/>
  <c r="X723" i="1"/>
  <c r="S723" i="1" s="1"/>
  <c r="T723" i="1" s="1"/>
  <c r="X724" i="1"/>
  <c r="S724" i="1" s="1"/>
  <c r="T724" i="1" s="1"/>
  <c r="X725" i="1"/>
  <c r="S725" i="1" s="1"/>
  <c r="T725" i="1" s="1"/>
  <c r="X726" i="1"/>
  <c r="S726" i="1" s="1"/>
  <c r="T726" i="1" s="1"/>
  <c r="X727" i="1"/>
  <c r="S727" i="1" s="1"/>
  <c r="T727" i="1" s="1"/>
  <c r="X728" i="1"/>
  <c r="S728" i="1" s="1"/>
  <c r="T728" i="1" s="1"/>
  <c r="X729" i="1"/>
  <c r="S729" i="1" s="1"/>
  <c r="T729" i="1" s="1"/>
  <c r="X730" i="1"/>
  <c r="S730" i="1" s="1"/>
  <c r="T730" i="1" s="1"/>
  <c r="X731" i="1"/>
  <c r="S731" i="1" s="1"/>
  <c r="T731" i="1" s="1"/>
  <c r="X732" i="1"/>
  <c r="S732" i="1" s="1"/>
  <c r="T732" i="1" s="1"/>
  <c r="X733" i="1"/>
  <c r="S733" i="1" s="1"/>
  <c r="T733" i="1" s="1"/>
  <c r="X734" i="1"/>
  <c r="S734" i="1" s="1"/>
  <c r="T734" i="1" s="1"/>
  <c r="X735" i="1"/>
  <c r="S735" i="1" s="1"/>
  <c r="T735" i="1" s="1"/>
  <c r="X736" i="1"/>
  <c r="S736" i="1" s="1"/>
  <c r="T736" i="1" s="1"/>
  <c r="X737" i="1"/>
  <c r="S737" i="1" s="1"/>
  <c r="T737" i="1" s="1"/>
  <c r="X738" i="1"/>
  <c r="S738" i="1" s="1"/>
  <c r="T738" i="1" s="1"/>
  <c r="X739" i="1"/>
  <c r="S739" i="1" s="1"/>
  <c r="T739" i="1" s="1"/>
  <c r="X740" i="1"/>
  <c r="S740" i="1" s="1"/>
  <c r="T740" i="1" s="1"/>
  <c r="X741" i="1"/>
  <c r="S741" i="1" s="1"/>
  <c r="T741" i="1" s="1"/>
  <c r="X742" i="1"/>
  <c r="S742" i="1" s="1"/>
  <c r="T742" i="1" s="1"/>
  <c r="X743" i="1"/>
  <c r="S743" i="1" s="1"/>
  <c r="T743" i="1" s="1"/>
  <c r="X744" i="1"/>
  <c r="S744" i="1" s="1"/>
  <c r="T744" i="1" s="1"/>
  <c r="X745" i="1"/>
  <c r="S745" i="1" s="1"/>
  <c r="T745" i="1" s="1"/>
  <c r="X746" i="1"/>
  <c r="S746" i="1" s="1"/>
  <c r="T746" i="1" s="1"/>
  <c r="X747" i="1"/>
  <c r="S747" i="1" s="1"/>
  <c r="T747" i="1" s="1"/>
  <c r="X748" i="1"/>
  <c r="S748" i="1" s="1"/>
  <c r="T748" i="1" s="1"/>
  <c r="X749" i="1"/>
  <c r="S749" i="1" s="1"/>
  <c r="T749" i="1" s="1"/>
  <c r="X750" i="1"/>
  <c r="S750" i="1" s="1"/>
  <c r="T750" i="1" s="1"/>
  <c r="X751" i="1"/>
  <c r="S751" i="1" s="1"/>
  <c r="T751" i="1" s="1"/>
  <c r="X752" i="1"/>
  <c r="S752" i="1" s="1"/>
  <c r="T752" i="1" s="1"/>
  <c r="X753" i="1"/>
  <c r="S753" i="1" s="1"/>
  <c r="T753" i="1" s="1"/>
  <c r="X754" i="1"/>
  <c r="S754" i="1" s="1"/>
  <c r="T754" i="1" s="1"/>
  <c r="X755" i="1"/>
  <c r="S755" i="1" s="1"/>
  <c r="T755" i="1" s="1"/>
  <c r="X756" i="1"/>
  <c r="S756" i="1" s="1"/>
  <c r="T756" i="1" s="1"/>
  <c r="X757" i="1"/>
  <c r="S757" i="1" s="1"/>
  <c r="T757" i="1" s="1"/>
  <c r="X758" i="1"/>
  <c r="S758" i="1" s="1"/>
  <c r="T758" i="1" s="1"/>
  <c r="X759" i="1"/>
  <c r="S759" i="1" s="1"/>
  <c r="T759" i="1" s="1"/>
  <c r="X760" i="1"/>
  <c r="S760" i="1" s="1"/>
  <c r="T760" i="1" s="1"/>
  <c r="X761" i="1"/>
  <c r="S761" i="1" s="1"/>
  <c r="T761" i="1" s="1"/>
  <c r="X762" i="1"/>
  <c r="S762" i="1" s="1"/>
  <c r="T762" i="1" s="1"/>
  <c r="X763" i="1"/>
  <c r="S763" i="1" s="1"/>
  <c r="T763" i="1" s="1"/>
  <c r="X764" i="1"/>
  <c r="S764" i="1" s="1"/>
  <c r="T764" i="1" s="1"/>
  <c r="X765" i="1"/>
  <c r="S765" i="1" s="1"/>
  <c r="T765" i="1" s="1"/>
  <c r="X766" i="1"/>
  <c r="S766" i="1" s="1"/>
  <c r="T766" i="1" s="1"/>
  <c r="X767" i="1"/>
  <c r="S767" i="1" s="1"/>
  <c r="T767" i="1" s="1"/>
  <c r="X768" i="1"/>
  <c r="S768" i="1" s="1"/>
  <c r="T768" i="1" s="1"/>
  <c r="X769" i="1"/>
  <c r="S769" i="1" s="1"/>
  <c r="T769" i="1" s="1"/>
  <c r="X770" i="1"/>
  <c r="S770" i="1" s="1"/>
  <c r="T770" i="1" s="1"/>
  <c r="X771" i="1"/>
  <c r="S771" i="1" s="1"/>
  <c r="T771" i="1" s="1"/>
  <c r="X772" i="1"/>
  <c r="S772" i="1" s="1"/>
  <c r="T772" i="1" s="1"/>
  <c r="X773" i="1"/>
  <c r="S773" i="1" s="1"/>
  <c r="T773" i="1" s="1"/>
  <c r="X774" i="1"/>
  <c r="S774" i="1" s="1"/>
  <c r="T774" i="1" s="1"/>
  <c r="X775" i="1"/>
  <c r="S775" i="1" s="1"/>
  <c r="T775" i="1" s="1"/>
  <c r="X776" i="1"/>
  <c r="S776" i="1" s="1"/>
  <c r="T776" i="1" s="1"/>
  <c r="X777" i="1"/>
  <c r="S777" i="1" s="1"/>
  <c r="T777" i="1" s="1"/>
  <c r="X778" i="1"/>
  <c r="S778" i="1" s="1"/>
  <c r="T778" i="1" s="1"/>
  <c r="X779" i="1"/>
  <c r="S779" i="1" s="1"/>
  <c r="T779" i="1" s="1"/>
  <c r="X780" i="1"/>
  <c r="S780" i="1" s="1"/>
  <c r="T780" i="1" s="1"/>
  <c r="X781" i="1"/>
  <c r="S781" i="1" s="1"/>
  <c r="T781" i="1" s="1"/>
  <c r="X782" i="1"/>
  <c r="S782" i="1" s="1"/>
  <c r="T782" i="1" s="1"/>
  <c r="X783" i="1"/>
  <c r="S783" i="1" s="1"/>
  <c r="T783" i="1" s="1"/>
  <c r="X784" i="1"/>
  <c r="S784" i="1" s="1"/>
  <c r="T784" i="1" s="1"/>
  <c r="X785" i="1"/>
  <c r="S785" i="1" s="1"/>
  <c r="T785" i="1" s="1"/>
  <c r="X786" i="1"/>
  <c r="S786" i="1" s="1"/>
  <c r="T786" i="1" s="1"/>
  <c r="X787" i="1"/>
  <c r="S787" i="1" s="1"/>
  <c r="T787" i="1" s="1"/>
  <c r="X788" i="1"/>
  <c r="S788" i="1" s="1"/>
  <c r="T788" i="1" s="1"/>
  <c r="X789" i="1"/>
  <c r="S789" i="1" s="1"/>
  <c r="T789" i="1" s="1"/>
  <c r="X790" i="1"/>
  <c r="S790" i="1" s="1"/>
  <c r="T790" i="1" s="1"/>
  <c r="X791" i="1"/>
  <c r="S791" i="1" s="1"/>
  <c r="T791" i="1" s="1"/>
  <c r="X792" i="1"/>
  <c r="S792" i="1" s="1"/>
  <c r="T792" i="1" s="1"/>
  <c r="X793" i="1"/>
  <c r="S793" i="1" s="1"/>
  <c r="T793" i="1" s="1"/>
  <c r="X794" i="1"/>
  <c r="S794" i="1" s="1"/>
  <c r="T794" i="1" s="1"/>
  <c r="X795" i="1"/>
  <c r="S795" i="1" s="1"/>
  <c r="T795" i="1" s="1"/>
  <c r="X796" i="1"/>
  <c r="S796" i="1" s="1"/>
  <c r="T796" i="1" s="1"/>
  <c r="X797" i="1"/>
  <c r="S797" i="1" s="1"/>
  <c r="T797" i="1" s="1"/>
  <c r="X798" i="1"/>
  <c r="S798" i="1" s="1"/>
  <c r="T798" i="1" s="1"/>
  <c r="X799" i="1"/>
  <c r="S799" i="1" s="1"/>
  <c r="T799" i="1" s="1"/>
  <c r="X800" i="1"/>
  <c r="S800" i="1" s="1"/>
  <c r="T800" i="1" s="1"/>
  <c r="X801" i="1"/>
  <c r="S801" i="1" s="1"/>
  <c r="T801" i="1" s="1"/>
  <c r="X802" i="1"/>
  <c r="S802" i="1" s="1"/>
  <c r="T802" i="1" s="1"/>
  <c r="X803" i="1"/>
  <c r="S803" i="1" s="1"/>
  <c r="T803" i="1" s="1"/>
  <c r="X804" i="1"/>
  <c r="S804" i="1" s="1"/>
  <c r="T804" i="1" s="1"/>
  <c r="X805" i="1"/>
  <c r="S805" i="1" s="1"/>
  <c r="T805" i="1" s="1"/>
  <c r="X806" i="1"/>
  <c r="S806" i="1" s="1"/>
  <c r="T806" i="1" s="1"/>
  <c r="X807" i="1"/>
  <c r="S807" i="1" s="1"/>
  <c r="T807" i="1" s="1"/>
  <c r="X808" i="1"/>
  <c r="S808" i="1" s="1"/>
  <c r="T808" i="1" s="1"/>
  <c r="X809" i="1"/>
  <c r="S809" i="1" s="1"/>
  <c r="T809" i="1" s="1"/>
  <c r="X810" i="1"/>
  <c r="S810" i="1" s="1"/>
  <c r="T810" i="1" s="1"/>
  <c r="X811" i="1"/>
  <c r="S811" i="1" s="1"/>
  <c r="T811" i="1" s="1"/>
  <c r="X812" i="1"/>
  <c r="S812" i="1" s="1"/>
  <c r="T812" i="1" s="1"/>
  <c r="X813" i="1"/>
  <c r="S813" i="1" s="1"/>
  <c r="T813" i="1" s="1"/>
  <c r="X814" i="1"/>
  <c r="S814" i="1" s="1"/>
  <c r="T814" i="1" s="1"/>
  <c r="X815" i="1"/>
  <c r="S815" i="1" s="1"/>
  <c r="T815" i="1" s="1"/>
  <c r="X816" i="1"/>
  <c r="S816" i="1" s="1"/>
  <c r="T816" i="1" s="1"/>
  <c r="X817" i="1"/>
  <c r="S817" i="1" s="1"/>
  <c r="T817" i="1" s="1"/>
  <c r="X818" i="1"/>
  <c r="S818" i="1" s="1"/>
  <c r="T818" i="1" s="1"/>
  <c r="X819" i="1"/>
  <c r="S819" i="1" s="1"/>
  <c r="T819" i="1" s="1"/>
  <c r="X820" i="1"/>
  <c r="S820" i="1" s="1"/>
  <c r="T820" i="1" s="1"/>
  <c r="X821" i="1"/>
  <c r="S821" i="1" s="1"/>
  <c r="T821" i="1" s="1"/>
  <c r="X822" i="1"/>
  <c r="S822" i="1" s="1"/>
  <c r="T822" i="1" s="1"/>
  <c r="X823" i="1"/>
  <c r="S823" i="1" s="1"/>
  <c r="T823" i="1" s="1"/>
  <c r="X824" i="1"/>
  <c r="S824" i="1" s="1"/>
  <c r="T824" i="1" s="1"/>
  <c r="X825" i="1"/>
  <c r="S825" i="1" s="1"/>
  <c r="T825" i="1" s="1"/>
  <c r="X826" i="1"/>
  <c r="S826" i="1" s="1"/>
  <c r="T826" i="1" s="1"/>
  <c r="X827" i="1"/>
  <c r="S827" i="1" s="1"/>
  <c r="T827" i="1" s="1"/>
  <c r="X828" i="1"/>
  <c r="S828" i="1" s="1"/>
  <c r="T828" i="1" s="1"/>
  <c r="X829" i="1"/>
  <c r="S829" i="1" s="1"/>
  <c r="T829" i="1" s="1"/>
  <c r="X830" i="1"/>
  <c r="S830" i="1" s="1"/>
  <c r="T830" i="1" s="1"/>
  <c r="X831" i="1"/>
  <c r="S831" i="1" s="1"/>
  <c r="T831" i="1" s="1"/>
  <c r="X832" i="1"/>
  <c r="S832" i="1" s="1"/>
  <c r="T832" i="1" s="1"/>
  <c r="X833" i="1"/>
  <c r="S833" i="1" s="1"/>
  <c r="T833" i="1" s="1"/>
  <c r="X834" i="1"/>
  <c r="S834" i="1" s="1"/>
  <c r="T834" i="1" s="1"/>
  <c r="X835" i="1"/>
  <c r="S835" i="1" s="1"/>
  <c r="T835" i="1" s="1"/>
  <c r="X836" i="1"/>
  <c r="S836" i="1" s="1"/>
  <c r="T836" i="1" s="1"/>
  <c r="X837" i="1"/>
  <c r="S837" i="1" s="1"/>
  <c r="T837" i="1" s="1"/>
  <c r="X838" i="1"/>
  <c r="S838" i="1" s="1"/>
  <c r="T838" i="1" s="1"/>
  <c r="X839" i="1"/>
  <c r="S839" i="1" s="1"/>
  <c r="T839" i="1" s="1"/>
  <c r="X840" i="1"/>
  <c r="S840" i="1" s="1"/>
  <c r="T840" i="1" s="1"/>
  <c r="X841" i="1"/>
  <c r="S841" i="1" s="1"/>
  <c r="T841" i="1" s="1"/>
  <c r="X842" i="1"/>
  <c r="S842" i="1" s="1"/>
  <c r="T842" i="1" s="1"/>
  <c r="X843" i="1"/>
  <c r="S843" i="1" s="1"/>
  <c r="T843" i="1" s="1"/>
  <c r="X844" i="1"/>
  <c r="S844" i="1" s="1"/>
  <c r="T844" i="1" s="1"/>
  <c r="X845" i="1"/>
  <c r="S845" i="1" s="1"/>
  <c r="T845" i="1" s="1"/>
  <c r="X846" i="1"/>
  <c r="S846" i="1" s="1"/>
  <c r="T846" i="1" s="1"/>
  <c r="X847" i="1"/>
  <c r="S847" i="1" s="1"/>
  <c r="T847" i="1" s="1"/>
  <c r="X848" i="1"/>
  <c r="S848" i="1" s="1"/>
  <c r="T848" i="1" s="1"/>
  <c r="X849" i="1"/>
  <c r="S849" i="1" s="1"/>
  <c r="T849" i="1" s="1"/>
  <c r="X850" i="1"/>
  <c r="S850" i="1" s="1"/>
  <c r="T850" i="1" s="1"/>
  <c r="X851" i="1"/>
  <c r="S851" i="1" s="1"/>
  <c r="T851" i="1" s="1"/>
  <c r="X852" i="1"/>
  <c r="S852" i="1" s="1"/>
  <c r="T852" i="1" s="1"/>
  <c r="X853" i="1"/>
  <c r="S853" i="1" s="1"/>
  <c r="T853" i="1" s="1"/>
  <c r="X854" i="1"/>
  <c r="S854" i="1" s="1"/>
  <c r="T854" i="1" s="1"/>
  <c r="X855" i="1"/>
  <c r="S855" i="1" s="1"/>
  <c r="T855" i="1" s="1"/>
  <c r="X856" i="1"/>
  <c r="S856" i="1" s="1"/>
  <c r="T856" i="1" s="1"/>
  <c r="X857" i="1"/>
  <c r="S857" i="1" s="1"/>
  <c r="T857" i="1" s="1"/>
  <c r="X858" i="1"/>
  <c r="S858" i="1" s="1"/>
  <c r="T858" i="1" s="1"/>
  <c r="X859" i="1"/>
  <c r="S859" i="1" s="1"/>
  <c r="T859" i="1" s="1"/>
  <c r="X860" i="1"/>
  <c r="S860" i="1" s="1"/>
  <c r="T860" i="1" s="1"/>
  <c r="X861" i="1"/>
  <c r="S861" i="1" s="1"/>
  <c r="T861" i="1" s="1"/>
  <c r="X862" i="1"/>
  <c r="S862" i="1" s="1"/>
  <c r="T862" i="1" s="1"/>
  <c r="X863" i="1"/>
  <c r="S863" i="1" s="1"/>
  <c r="T863" i="1" s="1"/>
  <c r="X864" i="1"/>
  <c r="S864" i="1" s="1"/>
  <c r="T864" i="1" s="1"/>
  <c r="X865" i="1"/>
  <c r="S865" i="1" s="1"/>
  <c r="T865" i="1" s="1"/>
  <c r="X866" i="1"/>
  <c r="S866" i="1" s="1"/>
  <c r="T866" i="1" s="1"/>
  <c r="X867" i="1"/>
  <c r="S867" i="1" s="1"/>
  <c r="T867" i="1" s="1"/>
  <c r="X868" i="1"/>
  <c r="S868" i="1" s="1"/>
  <c r="T868" i="1" s="1"/>
  <c r="X869" i="1"/>
  <c r="S869" i="1" s="1"/>
  <c r="T869" i="1" s="1"/>
  <c r="X870" i="1"/>
  <c r="S870" i="1" s="1"/>
  <c r="T870" i="1" s="1"/>
  <c r="X871" i="1"/>
  <c r="S871" i="1" s="1"/>
  <c r="T871" i="1" s="1"/>
  <c r="X872" i="1"/>
  <c r="S872" i="1" s="1"/>
  <c r="T872" i="1" s="1"/>
  <c r="X873" i="1"/>
  <c r="S873" i="1" s="1"/>
  <c r="T873" i="1" s="1"/>
  <c r="X874" i="1"/>
  <c r="S874" i="1" s="1"/>
  <c r="T874" i="1" s="1"/>
  <c r="X875" i="1"/>
  <c r="S875" i="1" s="1"/>
  <c r="T875" i="1" s="1"/>
  <c r="X876" i="1"/>
  <c r="S876" i="1" s="1"/>
  <c r="T876" i="1" s="1"/>
  <c r="X877" i="1"/>
  <c r="S877" i="1" s="1"/>
  <c r="T877" i="1" s="1"/>
  <c r="X878" i="1"/>
  <c r="S878" i="1" s="1"/>
  <c r="T878" i="1" s="1"/>
  <c r="X879" i="1"/>
  <c r="S879" i="1" s="1"/>
  <c r="T879" i="1" s="1"/>
  <c r="X880" i="1"/>
  <c r="S880" i="1" s="1"/>
  <c r="T880" i="1" s="1"/>
  <c r="X881" i="1"/>
  <c r="S881" i="1" s="1"/>
  <c r="T881" i="1" s="1"/>
  <c r="X882" i="1"/>
  <c r="S882" i="1" s="1"/>
  <c r="T882" i="1" s="1"/>
  <c r="X883" i="1"/>
  <c r="S883" i="1" s="1"/>
  <c r="T883" i="1" s="1"/>
  <c r="X884" i="1"/>
  <c r="S884" i="1" s="1"/>
  <c r="T884" i="1" s="1"/>
  <c r="X885" i="1"/>
  <c r="S885" i="1" s="1"/>
  <c r="T885" i="1" s="1"/>
  <c r="X886" i="1"/>
  <c r="S886" i="1" s="1"/>
  <c r="T886" i="1" s="1"/>
  <c r="X887" i="1"/>
  <c r="S887" i="1" s="1"/>
  <c r="T887" i="1" s="1"/>
  <c r="X888" i="1"/>
  <c r="S888" i="1" s="1"/>
  <c r="T888" i="1" s="1"/>
  <c r="X889" i="1"/>
  <c r="S889" i="1" s="1"/>
  <c r="T889" i="1" s="1"/>
  <c r="X890" i="1"/>
  <c r="S890" i="1" s="1"/>
  <c r="T890" i="1" s="1"/>
  <c r="X891" i="1"/>
  <c r="S891" i="1" s="1"/>
  <c r="T891" i="1" s="1"/>
  <c r="X892" i="1"/>
  <c r="S892" i="1" s="1"/>
  <c r="T892" i="1" s="1"/>
  <c r="X893" i="1"/>
  <c r="S893" i="1" s="1"/>
  <c r="T893" i="1" s="1"/>
  <c r="X894" i="1"/>
  <c r="S894" i="1" s="1"/>
  <c r="T894" i="1" s="1"/>
  <c r="X895" i="1"/>
  <c r="S895" i="1" s="1"/>
  <c r="T895" i="1" s="1"/>
  <c r="X896" i="1"/>
  <c r="S896" i="1" s="1"/>
  <c r="T896" i="1" s="1"/>
  <c r="X897" i="1"/>
  <c r="S897" i="1" s="1"/>
  <c r="T897" i="1" s="1"/>
  <c r="X898" i="1"/>
  <c r="S898" i="1" s="1"/>
  <c r="T898" i="1" s="1"/>
  <c r="X899" i="1"/>
  <c r="S899" i="1" s="1"/>
  <c r="T899" i="1" s="1"/>
  <c r="X900" i="1"/>
  <c r="S900" i="1" s="1"/>
  <c r="T900" i="1" s="1"/>
  <c r="X901" i="1"/>
  <c r="S901" i="1" s="1"/>
  <c r="T901" i="1" s="1"/>
  <c r="X902" i="1"/>
  <c r="S902" i="1" s="1"/>
  <c r="T902" i="1" s="1"/>
  <c r="X903" i="1"/>
  <c r="S903" i="1" s="1"/>
  <c r="T903" i="1" s="1"/>
  <c r="X904" i="1"/>
  <c r="S904" i="1" s="1"/>
  <c r="T904" i="1" s="1"/>
  <c r="X905" i="1"/>
  <c r="S905" i="1" s="1"/>
  <c r="T905" i="1" s="1"/>
  <c r="X906" i="1"/>
  <c r="S906" i="1" s="1"/>
  <c r="T906" i="1" s="1"/>
  <c r="X907" i="1"/>
  <c r="S907" i="1" s="1"/>
  <c r="T907" i="1" s="1"/>
  <c r="X908" i="1"/>
  <c r="S908" i="1" s="1"/>
  <c r="T908" i="1" s="1"/>
  <c r="X909" i="1"/>
  <c r="S909" i="1" s="1"/>
  <c r="T909" i="1" s="1"/>
  <c r="X910" i="1"/>
  <c r="S910" i="1" s="1"/>
  <c r="T910" i="1" s="1"/>
  <c r="X911" i="1"/>
  <c r="S911" i="1" s="1"/>
  <c r="T911" i="1" s="1"/>
  <c r="X912" i="1"/>
  <c r="S912" i="1" s="1"/>
  <c r="T912" i="1" s="1"/>
  <c r="X913" i="1"/>
  <c r="S913" i="1" s="1"/>
  <c r="T913" i="1" s="1"/>
  <c r="X914" i="1"/>
  <c r="S914" i="1" s="1"/>
  <c r="T914" i="1" s="1"/>
  <c r="X915" i="1"/>
  <c r="S915" i="1" s="1"/>
  <c r="T915" i="1" s="1"/>
  <c r="X916" i="1"/>
  <c r="S916" i="1" s="1"/>
  <c r="T916" i="1" s="1"/>
  <c r="X917" i="1"/>
  <c r="S917" i="1" s="1"/>
  <c r="T917" i="1" s="1"/>
  <c r="X918" i="1"/>
  <c r="S918" i="1" s="1"/>
  <c r="T918" i="1" s="1"/>
  <c r="X919" i="1"/>
  <c r="S919" i="1" s="1"/>
  <c r="T919" i="1" s="1"/>
  <c r="X920" i="1"/>
  <c r="S920" i="1" s="1"/>
  <c r="T920" i="1" s="1"/>
  <c r="X921" i="1"/>
  <c r="S921" i="1" s="1"/>
  <c r="T921" i="1" s="1"/>
  <c r="X922" i="1"/>
  <c r="S922" i="1" s="1"/>
  <c r="T922" i="1" s="1"/>
  <c r="X923" i="1"/>
  <c r="S923" i="1" s="1"/>
  <c r="T923" i="1" s="1"/>
  <c r="X924" i="1"/>
  <c r="S924" i="1" s="1"/>
  <c r="T924" i="1" s="1"/>
  <c r="X925" i="1"/>
  <c r="S925" i="1" s="1"/>
  <c r="T925" i="1" s="1"/>
  <c r="X926" i="1"/>
  <c r="S926" i="1" s="1"/>
  <c r="T926" i="1" s="1"/>
  <c r="X927" i="1"/>
  <c r="S927" i="1" s="1"/>
  <c r="T927" i="1" s="1"/>
  <c r="X928" i="1"/>
  <c r="S928" i="1" s="1"/>
  <c r="T928" i="1" s="1"/>
  <c r="X929" i="1"/>
  <c r="S929" i="1" s="1"/>
  <c r="T929" i="1" s="1"/>
  <c r="X930" i="1"/>
  <c r="S930" i="1" s="1"/>
  <c r="T930" i="1" s="1"/>
  <c r="X931" i="1"/>
  <c r="S931" i="1" s="1"/>
  <c r="T931" i="1" s="1"/>
  <c r="X932" i="1"/>
  <c r="S932" i="1" s="1"/>
  <c r="T932" i="1" s="1"/>
  <c r="X933" i="1"/>
  <c r="S933" i="1" s="1"/>
  <c r="T933" i="1" s="1"/>
  <c r="X934" i="1"/>
  <c r="S934" i="1" s="1"/>
  <c r="T934" i="1" s="1"/>
  <c r="X935" i="1"/>
  <c r="S935" i="1" s="1"/>
  <c r="T935" i="1" s="1"/>
  <c r="X936" i="1"/>
  <c r="S936" i="1" s="1"/>
  <c r="T936" i="1" s="1"/>
  <c r="X937" i="1"/>
  <c r="S937" i="1" s="1"/>
  <c r="T937" i="1" s="1"/>
  <c r="X938" i="1"/>
  <c r="S938" i="1" s="1"/>
  <c r="T938" i="1" s="1"/>
  <c r="X939" i="1"/>
  <c r="S939" i="1" s="1"/>
  <c r="T939" i="1" s="1"/>
  <c r="X940" i="1"/>
  <c r="S940" i="1" s="1"/>
  <c r="T940" i="1" s="1"/>
  <c r="X941" i="1"/>
  <c r="S941" i="1" s="1"/>
  <c r="T941" i="1" s="1"/>
  <c r="X942" i="1"/>
  <c r="S942" i="1" s="1"/>
  <c r="T942" i="1" s="1"/>
  <c r="X943" i="1"/>
  <c r="S943" i="1" s="1"/>
  <c r="T943" i="1" s="1"/>
  <c r="X944" i="1"/>
  <c r="S944" i="1" s="1"/>
  <c r="T944" i="1" s="1"/>
  <c r="X945" i="1"/>
  <c r="S945" i="1" s="1"/>
  <c r="T945" i="1" s="1"/>
  <c r="X946" i="1"/>
  <c r="S946" i="1" s="1"/>
  <c r="T946" i="1" s="1"/>
  <c r="X947" i="1"/>
  <c r="S947" i="1" s="1"/>
  <c r="T947" i="1" s="1"/>
  <c r="X948" i="1"/>
  <c r="S948" i="1" s="1"/>
  <c r="T948" i="1" s="1"/>
  <c r="X949" i="1"/>
  <c r="S949" i="1" s="1"/>
  <c r="T949" i="1" s="1"/>
  <c r="X950" i="1"/>
  <c r="S950" i="1" s="1"/>
  <c r="T950" i="1" s="1"/>
  <c r="X951" i="1"/>
  <c r="S951" i="1" s="1"/>
  <c r="T951" i="1" s="1"/>
  <c r="X952" i="1"/>
  <c r="S952" i="1" s="1"/>
  <c r="T952" i="1" s="1"/>
  <c r="X953" i="1"/>
  <c r="S953" i="1" s="1"/>
  <c r="T953" i="1" s="1"/>
  <c r="X954" i="1"/>
  <c r="S954" i="1" s="1"/>
  <c r="T954" i="1" s="1"/>
  <c r="X955" i="1"/>
  <c r="S955" i="1" s="1"/>
  <c r="T955" i="1" s="1"/>
  <c r="X956" i="1"/>
  <c r="S956" i="1" s="1"/>
  <c r="T956" i="1" s="1"/>
  <c r="X957" i="1"/>
  <c r="S957" i="1" s="1"/>
  <c r="T957" i="1" s="1"/>
  <c r="X958" i="1"/>
  <c r="S958" i="1" s="1"/>
  <c r="T958" i="1" s="1"/>
  <c r="X959" i="1"/>
  <c r="S959" i="1" s="1"/>
  <c r="T959" i="1" s="1"/>
  <c r="X960" i="1"/>
  <c r="S960" i="1" s="1"/>
  <c r="T960" i="1" s="1"/>
  <c r="X961" i="1"/>
  <c r="S961" i="1" s="1"/>
  <c r="T961" i="1" s="1"/>
  <c r="X962" i="1"/>
  <c r="S962" i="1" s="1"/>
  <c r="T962" i="1" s="1"/>
  <c r="X963" i="1"/>
  <c r="S963" i="1" s="1"/>
  <c r="T963" i="1" s="1"/>
  <c r="X964" i="1"/>
  <c r="S964" i="1" s="1"/>
  <c r="T964" i="1" s="1"/>
  <c r="X965" i="1"/>
  <c r="S965" i="1" s="1"/>
  <c r="T965" i="1" s="1"/>
  <c r="X966" i="1"/>
  <c r="S966" i="1" s="1"/>
  <c r="T966" i="1" s="1"/>
  <c r="X967" i="1"/>
  <c r="S967" i="1" s="1"/>
  <c r="T967" i="1" s="1"/>
  <c r="X968" i="1"/>
  <c r="S968" i="1" s="1"/>
  <c r="T968" i="1" s="1"/>
  <c r="X969" i="1"/>
  <c r="S969" i="1" s="1"/>
  <c r="T969" i="1" s="1"/>
  <c r="X970" i="1"/>
  <c r="S970" i="1" s="1"/>
  <c r="T970" i="1" s="1"/>
  <c r="X971" i="1"/>
  <c r="S971" i="1" s="1"/>
  <c r="T971" i="1" s="1"/>
  <c r="X972" i="1"/>
  <c r="S972" i="1" s="1"/>
  <c r="T972" i="1" s="1"/>
  <c r="X973" i="1"/>
  <c r="S973" i="1" s="1"/>
  <c r="T973" i="1" s="1"/>
  <c r="X974" i="1"/>
  <c r="S974" i="1" s="1"/>
  <c r="T974" i="1" s="1"/>
  <c r="X975" i="1"/>
  <c r="S975" i="1" s="1"/>
  <c r="T975" i="1" s="1"/>
  <c r="X976" i="1"/>
  <c r="S976" i="1" s="1"/>
  <c r="T976" i="1" s="1"/>
  <c r="X977" i="1"/>
  <c r="S977" i="1" s="1"/>
  <c r="T977" i="1" s="1"/>
  <c r="X978" i="1"/>
  <c r="S978" i="1" s="1"/>
  <c r="T978" i="1" s="1"/>
  <c r="X979" i="1"/>
  <c r="S979" i="1" s="1"/>
  <c r="T979" i="1" s="1"/>
  <c r="X980" i="1"/>
  <c r="S980" i="1" s="1"/>
  <c r="T980" i="1" s="1"/>
  <c r="X981" i="1"/>
  <c r="S981" i="1" s="1"/>
  <c r="T981" i="1" s="1"/>
  <c r="X982" i="1"/>
  <c r="S982" i="1" s="1"/>
  <c r="T982" i="1" s="1"/>
  <c r="X983" i="1"/>
  <c r="S983" i="1" s="1"/>
  <c r="T983" i="1" s="1"/>
  <c r="X984" i="1"/>
  <c r="S984" i="1" s="1"/>
  <c r="T984" i="1" s="1"/>
  <c r="X985" i="1"/>
  <c r="S985" i="1" s="1"/>
  <c r="T985" i="1" s="1"/>
  <c r="X986" i="1"/>
  <c r="S986" i="1" s="1"/>
  <c r="T986" i="1" s="1"/>
  <c r="X987" i="1"/>
  <c r="S987" i="1" s="1"/>
  <c r="T987" i="1" s="1"/>
  <c r="X988" i="1"/>
  <c r="S988" i="1" s="1"/>
  <c r="T988" i="1" s="1"/>
  <c r="X989" i="1"/>
  <c r="S989" i="1" s="1"/>
  <c r="T989" i="1" s="1"/>
  <c r="X990" i="1"/>
  <c r="S990" i="1" s="1"/>
  <c r="T990" i="1" s="1"/>
  <c r="X991" i="1"/>
  <c r="S991" i="1" s="1"/>
  <c r="T991" i="1" s="1"/>
  <c r="X992" i="1"/>
  <c r="S992" i="1" s="1"/>
  <c r="T992" i="1" s="1"/>
  <c r="X993" i="1"/>
  <c r="S993" i="1" s="1"/>
  <c r="T993" i="1" s="1"/>
  <c r="X994" i="1"/>
  <c r="S994" i="1" s="1"/>
  <c r="T994" i="1" s="1"/>
  <c r="X995" i="1"/>
  <c r="S995" i="1" s="1"/>
  <c r="T995" i="1" s="1"/>
  <c r="X996" i="1"/>
  <c r="S996" i="1" s="1"/>
  <c r="T996" i="1" s="1"/>
  <c r="X997" i="1"/>
  <c r="S997" i="1" s="1"/>
  <c r="T997" i="1" s="1"/>
  <c r="X998" i="1"/>
  <c r="S998" i="1" s="1"/>
  <c r="T998" i="1" s="1"/>
  <c r="X999" i="1"/>
  <c r="S999" i="1" s="1"/>
  <c r="T999" i="1" s="1"/>
  <c r="X1000" i="1"/>
  <c r="S1000" i="1" s="1"/>
  <c r="T1000" i="1" s="1"/>
  <c r="X1001" i="1"/>
  <c r="S1001" i="1" s="1"/>
  <c r="T1001" i="1" s="1"/>
  <c r="X1002" i="1"/>
  <c r="S1002" i="1" s="1"/>
  <c r="T1002" i="1" s="1"/>
  <c r="X1003" i="1"/>
  <c r="S1003" i="1" s="1"/>
  <c r="T1003" i="1" s="1"/>
  <c r="X1004" i="1"/>
  <c r="S1004" i="1" s="1"/>
  <c r="T1004" i="1" s="1"/>
  <c r="X1005" i="1"/>
  <c r="S1005" i="1" s="1"/>
  <c r="T1005" i="1" s="1"/>
  <c r="X1006" i="1"/>
  <c r="S1006" i="1" s="1"/>
  <c r="T1006" i="1" s="1"/>
  <c r="X1007" i="1"/>
  <c r="S1007" i="1" s="1"/>
  <c r="T1007" i="1" s="1"/>
  <c r="X1008" i="1"/>
  <c r="S1008" i="1" s="1"/>
  <c r="T1008" i="1" s="1"/>
  <c r="X1009" i="1"/>
  <c r="S1009" i="1" s="1"/>
  <c r="T1009" i="1" s="1"/>
  <c r="X1010" i="1"/>
  <c r="S1010" i="1" s="1"/>
  <c r="T1010" i="1" s="1"/>
  <c r="X1011" i="1"/>
  <c r="S1011" i="1" s="1"/>
  <c r="T1011" i="1" s="1"/>
  <c r="X1012" i="1"/>
  <c r="S1012" i="1" s="1"/>
  <c r="T1012" i="1" s="1"/>
  <c r="X1013" i="1"/>
  <c r="S1013" i="1" s="1"/>
  <c r="T1013" i="1" s="1"/>
  <c r="X1014" i="1"/>
  <c r="S1014" i="1" s="1"/>
  <c r="T1014" i="1" s="1"/>
  <c r="X1015" i="1"/>
  <c r="S1015" i="1" s="1"/>
  <c r="T1015" i="1" s="1"/>
  <c r="X1016" i="1"/>
  <c r="S1016" i="1" s="1"/>
  <c r="T1016" i="1" s="1"/>
  <c r="X1017" i="1"/>
  <c r="S1017" i="1" s="1"/>
  <c r="T1017" i="1" s="1"/>
  <c r="X1018" i="1"/>
  <c r="S1018" i="1" s="1"/>
  <c r="T1018" i="1" s="1"/>
  <c r="X1019" i="1"/>
  <c r="S1019" i="1" s="1"/>
  <c r="T1019" i="1" s="1"/>
  <c r="X1020" i="1"/>
  <c r="S1020" i="1" s="1"/>
  <c r="T1020" i="1" s="1"/>
  <c r="X1021" i="1"/>
  <c r="S1021" i="1" s="1"/>
  <c r="T1021" i="1" s="1"/>
  <c r="X1022" i="1"/>
  <c r="S1022" i="1" s="1"/>
  <c r="T1022" i="1" s="1"/>
  <c r="X1023" i="1"/>
  <c r="S1023" i="1" s="1"/>
  <c r="T1023" i="1" s="1"/>
  <c r="X1024" i="1"/>
  <c r="S1024" i="1" s="1"/>
  <c r="T1024" i="1" s="1"/>
  <c r="X1025" i="1"/>
  <c r="S1025" i="1" s="1"/>
  <c r="T1025" i="1" s="1"/>
  <c r="X1026" i="1"/>
  <c r="S1026" i="1" s="1"/>
  <c r="T1026" i="1" s="1"/>
  <c r="X1027" i="1"/>
  <c r="S1027" i="1" s="1"/>
  <c r="T1027" i="1" s="1"/>
  <c r="X1028" i="1"/>
  <c r="S1028" i="1" s="1"/>
  <c r="T1028" i="1" s="1"/>
  <c r="X1029" i="1"/>
  <c r="S1029" i="1" s="1"/>
  <c r="T1029" i="1" s="1"/>
  <c r="X1030" i="1"/>
  <c r="S1030" i="1" s="1"/>
  <c r="T1030" i="1" s="1"/>
  <c r="X1031" i="1"/>
  <c r="S1031" i="1" s="1"/>
  <c r="T1031" i="1" s="1"/>
  <c r="X1032" i="1"/>
  <c r="S1032" i="1" s="1"/>
  <c r="T1032" i="1" s="1"/>
  <c r="X1033" i="1"/>
  <c r="S1033" i="1" s="1"/>
  <c r="T1033" i="1" s="1"/>
  <c r="X1034" i="1"/>
  <c r="S1034" i="1" s="1"/>
  <c r="T1034" i="1" s="1"/>
  <c r="X1035" i="1"/>
  <c r="S1035" i="1" s="1"/>
  <c r="T1035" i="1" s="1"/>
  <c r="X1036" i="1"/>
  <c r="S1036" i="1" s="1"/>
  <c r="T1036" i="1" s="1"/>
  <c r="X1037" i="1"/>
  <c r="S1037" i="1" s="1"/>
  <c r="T1037" i="1" s="1"/>
  <c r="X1038" i="1"/>
  <c r="S1038" i="1" s="1"/>
  <c r="T1038" i="1" s="1"/>
  <c r="X1039" i="1"/>
  <c r="S1039" i="1" s="1"/>
  <c r="T1039" i="1" s="1"/>
  <c r="X1040" i="1"/>
  <c r="S1040" i="1" s="1"/>
  <c r="T1040" i="1" s="1"/>
  <c r="X1041" i="1"/>
  <c r="S1041" i="1" s="1"/>
  <c r="T1041" i="1" s="1"/>
  <c r="X1042" i="1"/>
  <c r="S1042" i="1" s="1"/>
  <c r="T1042" i="1" s="1"/>
  <c r="X1043" i="1"/>
  <c r="S1043" i="1" s="1"/>
  <c r="T1043" i="1" s="1"/>
  <c r="X1044" i="1"/>
  <c r="S1044" i="1" s="1"/>
  <c r="T1044" i="1" s="1"/>
  <c r="X1045" i="1"/>
  <c r="S1045" i="1" s="1"/>
  <c r="T1045" i="1" s="1"/>
  <c r="X1046" i="1"/>
  <c r="S1046" i="1" s="1"/>
  <c r="T1046" i="1" s="1"/>
  <c r="X1047" i="1"/>
  <c r="S1047" i="1" s="1"/>
  <c r="T1047" i="1" s="1"/>
  <c r="X1048" i="1"/>
  <c r="S1048" i="1" s="1"/>
  <c r="T1048" i="1" s="1"/>
  <c r="X1049" i="1"/>
  <c r="S1049" i="1" s="1"/>
  <c r="T1049" i="1" s="1"/>
  <c r="X1050" i="1"/>
  <c r="S1050" i="1" s="1"/>
  <c r="T1050" i="1" s="1"/>
  <c r="X1051" i="1"/>
  <c r="S1051" i="1" s="1"/>
  <c r="T1051" i="1" s="1"/>
  <c r="X1052" i="1"/>
  <c r="S1052" i="1" s="1"/>
  <c r="T1052" i="1" s="1"/>
  <c r="X1053" i="1"/>
  <c r="S1053" i="1" s="1"/>
  <c r="T1053" i="1" s="1"/>
  <c r="X1054" i="1"/>
  <c r="S1054" i="1" s="1"/>
  <c r="T1054" i="1" s="1"/>
  <c r="X1055" i="1"/>
  <c r="S1055" i="1" s="1"/>
  <c r="T1055" i="1" s="1"/>
  <c r="X1056" i="1"/>
  <c r="S1056" i="1" s="1"/>
  <c r="T1056" i="1" s="1"/>
  <c r="X1057" i="1"/>
  <c r="S1057" i="1" s="1"/>
  <c r="T1057" i="1" s="1"/>
  <c r="X1058" i="1"/>
  <c r="S1058" i="1" s="1"/>
  <c r="T1058" i="1" s="1"/>
  <c r="X1059" i="1"/>
  <c r="S1059" i="1" s="1"/>
  <c r="T1059" i="1" s="1"/>
  <c r="X1060" i="1"/>
  <c r="S1060" i="1" s="1"/>
  <c r="T1060" i="1" s="1"/>
  <c r="X1061" i="1"/>
  <c r="S1061" i="1" s="1"/>
  <c r="T1061" i="1" s="1"/>
  <c r="X1062" i="1"/>
  <c r="S1062" i="1" s="1"/>
  <c r="T1062" i="1" s="1"/>
  <c r="X1063" i="1"/>
  <c r="S1063" i="1" s="1"/>
  <c r="T1063" i="1" s="1"/>
  <c r="X1064" i="1"/>
  <c r="S1064" i="1" s="1"/>
  <c r="T1064" i="1" s="1"/>
  <c r="X1065" i="1"/>
  <c r="S1065" i="1" s="1"/>
  <c r="T1065" i="1" s="1"/>
  <c r="X1066" i="1"/>
  <c r="S1066" i="1" s="1"/>
  <c r="T1066" i="1" s="1"/>
  <c r="X1067" i="1"/>
  <c r="S1067" i="1" s="1"/>
  <c r="T1067" i="1" s="1"/>
  <c r="X1068" i="1"/>
  <c r="S1068" i="1" s="1"/>
  <c r="T1068" i="1" s="1"/>
  <c r="X1069" i="1"/>
  <c r="S1069" i="1" s="1"/>
  <c r="T1069" i="1" s="1"/>
  <c r="X1070" i="1"/>
  <c r="S1070" i="1" s="1"/>
  <c r="T1070" i="1" s="1"/>
  <c r="X1071" i="1"/>
  <c r="S1071" i="1" s="1"/>
  <c r="T1071" i="1" s="1"/>
  <c r="X1072" i="1"/>
  <c r="S1072" i="1" s="1"/>
  <c r="T1072" i="1" s="1"/>
  <c r="X1073" i="1"/>
  <c r="S1073" i="1" s="1"/>
  <c r="T1073" i="1" s="1"/>
  <c r="X1074" i="1"/>
  <c r="S1074" i="1" s="1"/>
  <c r="T1074" i="1" s="1"/>
  <c r="X1075" i="1"/>
  <c r="S1075" i="1" s="1"/>
  <c r="T1075" i="1" s="1"/>
  <c r="X1076" i="1"/>
  <c r="S1076" i="1" s="1"/>
  <c r="T1076" i="1" s="1"/>
  <c r="X1077" i="1"/>
  <c r="S1077" i="1" s="1"/>
  <c r="T1077" i="1" s="1"/>
  <c r="X1078" i="1"/>
  <c r="S1078" i="1" s="1"/>
  <c r="T1078" i="1" s="1"/>
  <c r="X1079" i="1"/>
  <c r="S1079" i="1" s="1"/>
  <c r="T1079" i="1" s="1"/>
  <c r="X1080" i="1"/>
  <c r="S1080" i="1" s="1"/>
  <c r="T1080" i="1" s="1"/>
  <c r="X1081" i="1"/>
  <c r="S1081" i="1" s="1"/>
  <c r="T1081" i="1" s="1"/>
  <c r="X1082" i="1"/>
  <c r="S1082" i="1" s="1"/>
  <c r="T1082" i="1" s="1"/>
  <c r="X1083" i="1"/>
  <c r="S1083" i="1" s="1"/>
  <c r="T1083" i="1" s="1"/>
  <c r="X1084" i="1"/>
  <c r="S1084" i="1" s="1"/>
  <c r="T1084" i="1" s="1"/>
  <c r="X1085" i="1"/>
  <c r="S1085" i="1" s="1"/>
  <c r="T1085" i="1" s="1"/>
  <c r="X1086" i="1"/>
  <c r="S1086" i="1" s="1"/>
  <c r="T1086" i="1" s="1"/>
  <c r="X1087" i="1"/>
  <c r="S1087" i="1" s="1"/>
  <c r="T1087" i="1" s="1"/>
  <c r="X1088" i="1"/>
  <c r="S1088" i="1" s="1"/>
  <c r="T1088" i="1" s="1"/>
  <c r="X1089" i="1"/>
  <c r="S1089" i="1" s="1"/>
  <c r="T1089" i="1" s="1"/>
  <c r="X1090" i="1"/>
  <c r="S1090" i="1" s="1"/>
  <c r="T1090" i="1" s="1"/>
  <c r="X1091" i="1"/>
  <c r="S1091" i="1" s="1"/>
  <c r="T1091" i="1" s="1"/>
  <c r="X1092" i="1"/>
  <c r="S1092" i="1" s="1"/>
  <c r="T1092" i="1" s="1"/>
  <c r="X1093" i="1"/>
  <c r="S1093" i="1" s="1"/>
  <c r="T1093" i="1" s="1"/>
  <c r="X1094" i="1"/>
  <c r="S1094" i="1" s="1"/>
  <c r="T1094" i="1" s="1"/>
  <c r="X1095" i="1"/>
  <c r="S1095" i="1" s="1"/>
  <c r="T1095" i="1" s="1"/>
  <c r="X1096" i="1"/>
  <c r="S1096" i="1" s="1"/>
  <c r="T1096" i="1" s="1"/>
  <c r="X1097" i="1"/>
  <c r="S1097" i="1" s="1"/>
  <c r="T1097" i="1" s="1"/>
  <c r="X1098" i="1"/>
  <c r="S1098" i="1" s="1"/>
  <c r="T1098" i="1" s="1"/>
  <c r="X1099" i="1"/>
  <c r="S1099" i="1" s="1"/>
  <c r="T1099" i="1" s="1"/>
  <c r="X1100" i="1"/>
  <c r="S1100" i="1" s="1"/>
  <c r="T1100" i="1" s="1"/>
  <c r="X1101" i="1"/>
  <c r="S1101" i="1" s="1"/>
  <c r="T1101" i="1" s="1"/>
  <c r="X1102" i="1"/>
  <c r="S1102" i="1" s="1"/>
  <c r="T1102" i="1" s="1"/>
  <c r="X1103" i="1"/>
  <c r="S1103" i="1" s="1"/>
  <c r="T1103" i="1" s="1"/>
  <c r="X1104" i="1"/>
  <c r="S1104" i="1" s="1"/>
  <c r="T1104" i="1" s="1"/>
  <c r="X1105" i="1"/>
  <c r="S1105" i="1" s="1"/>
  <c r="T1105" i="1" s="1"/>
  <c r="X1106" i="1"/>
  <c r="S1106" i="1" s="1"/>
  <c r="T1106" i="1" s="1"/>
  <c r="X1107" i="1"/>
  <c r="S1107" i="1" s="1"/>
  <c r="T1107" i="1" s="1"/>
  <c r="X1108" i="1"/>
  <c r="S1108" i="1" s="1"/>
  <c r="T1108" i="1" s="1"/>
  <c r="X1109" i="1"/>
  <c r="S1109" i="1" s="1"/>
  <c r="T1109" i="1" s="1"/>
  <c r="X1110" i="1"/>
  <c r="S1110" i="1" s="1"/>
  <c r="T1110" i="1" s="1"/>
  <c r="X1111" i="1"/>
  <c r="S1111" i="1" s="1"/>
  <c r="T1111" i="1" s="1"/>
  <c r="X1112" i="1"/>
  <c r="S1112" i="1" s="1"/>
  <c r="T1112" i="1" s="1"/>
  <c r="X1113" i="1"/>
  <c r="S1113" i="1" s="1"/>
  <c r="T1113" i="1" s="1"/>
  <c r="X1114" i="1"/>
  <c r="S1114" i="1" s="1"/>
  <c r="T1114" i="1" s="1"/>
  <c r="X1115" i="1"/>
  <c r="S1115" i="1" s="1"/>
  <c r="T1115" i="1" s="1"/>
  <c r="X1116" i="1"/>
  <c r="S1116" i="1" s="1"/>
  <c r="T1116" i="1" s="1"/>
  <c r="X1117" i="1"/>
  <c r="S1117" i="1" s="1"/>
  <c r="T1117" i="1" s="1"/>
  <c r="X1118" i="1"/>
  <c r="S1118" i="1" s="1"/>
  <c r="T1118" i="1" s="1"/>
  <c r="X1119" i="1"/>
  <c r="S1119" i="1" s="1"/>
  <c r="T1119" i="1" s="1"/>
  <c r="X1120" i="1"/>
  <c r="S1120" i="1" s="1"/>
  <c r="T1120" i="1" s="1"/>
  <c r="X1121" i="1"/>
  <c r="S1121" i="1" s="1"/>
  <c r="T1121" i="1" s="1"/>
  <c r="X1122" i="1"/>
  <c r="S1122" i="1" s="1"/>
  <c r="T1122" i="1" s="1"/>
  <c r="X1123" i="1"/>
  <c r="S1123" i="1" s="1"/>
  <c r="T1123" i="1" s="1"/>
  <c r="X1124" i="1"/>
  <c r="S1124" i="1" s="1"/>
  <c r="T1124" i="1" s="1"/>
  <c r="X1125" i="1"/>
  <c r="S1125" i="1" s="1"/>
  <c r="T1125" i="1" s="1"/>
  <c r="X1126" i="1"/>
  <c r="S1126" i="1" s="1"/>
  <c r="T1126" i="1" s="1"/>
  <c r="X1127" i="1"/>
  <c r="S1127" i="1" s="1"/>
  <c r="T1127" i="1" s="1"/>
  <c r="X1128" i="1"/>
  <c r="S1128" i="1" s="1"/>
  <c r="T1128" i="1" s="1"/>
  <c r="X1129" i="1"/>
  <c r="S1129" i="1" s="1"/>
  <c r="T1129" i="1" s="1"/>
  <c r="X1130" i="1"/>
  <c r="S1130" i="1" s="1"/>
  <c r="T1130" i="1" s="1"/>
  <c r="X1131" i="1"/>
  <c r="S1131" i="1" s="1"/>
  <c r="T1131" i="1" s="1"/>
  <c r="X1132" i="1"/>
  <c r="S1132" i="1" s="1"/>
  <c r="T1132" i="1" s="1"/>
  <c r="X1133" i="1"/>
  <c r="S1133" i="1" s="1"/>
  <c r="T1133" i="1" s="1"/>
  <c r="X1134" i="1"/>
  <c r="S1134" i="1" s="1"/>
  <c r="T1134" i="1" s="1"/>
  <c r="X1135" i="1"/>
  <c r="S1135" i="1" s="1"/>
  <c r="T1135" i="1" s="1"/>
  <c r="X1136" i="1"/>
  <c r="S1136" i="1" s="1"/>
  <c r="T1136" i="1" s="1"/>
  <c r="X1137" i="1"/>
  <c r="S1137" i="1" s="1"/>
  <c r="T1137" i="1" s="1"/>
  <c r="X1138" i="1"/>
  <c r="S1138" i="1" s="1"/>
  <c r="T1138" i="1" s="1"/>
  <c r="X1139" i="1"/>
  <c r="S1139" i="1" s="1"/>
  <c r="T1139" i="1" s="1"/>
  <c r="X1140" i="1"/>
  <c r="S1140" i="1" s="1"/>
  <c r="T1140" i="1" s="1"/>
  <c r="X1141" i="1"/>
  <c r="S1141" i="1" s="1"/>
  <c r="T1141" i="1" s="1"/>
  <c r="X1142" i="1"/>
  <c r="S1142" i="1" s="1"/>
  <c r="T1142" i="1" s="1"/>
  <c r="X1143" i="1"/>
  <c r="S1143" i="1" s="1"/>
  <c r="T1143" i="1" s="1"/>
  <c r="X1144" i="1"/>
  <c r="S1144" i="1" s="1"/>
  <c r="T1144" i="1" s="1"/>
  <c r="X1145" i="1"/>
  <c r="S1145" i="1" s="1"/>
  <c r="T1145" i="1" s="1"/>
  <c r="X1146" i="1"/>
  <c r="S1146" i="1" s="1"/>
  <c r="T1146" i="1" s="1"/>
  <c r="X1147" i="1"/>
  <c r="S1147" i="1" s="1"/>
  <c r="T1147" i="1" s="1"/>
  <c r="X1148" i="1"/>
  <c r="S1148" i="1" s="1"/>
  <c r="T1148" i="1" s="1"/>
  <c r="X1149" i="1"/>
  <c r="S1149" i="1" s="1"/>
  <c r="T1149" i="1" s="1"/>
  <c r="X1150" i="1"/>
  <c r="S1150" i="1" s="1"/>
  <c r="T1150" i="1" s="1"/>
  <c r="X1151" i="1"/>
  <c r="S1151" i="1" s="1"/>
  <c r="T1151" i="1" s="1"/>
  <c r="X1152" i="1"/>
  <c r="S1152" i="1" s="1"/>
  <c r="T1152" i="1" s="1"/>
  <c r="X1153" i="1"/>
  <c r="S1153" i="1" s="1"/>
  <c r="T1153" i="1" s="1"/>
  <c r="X1154" i="1"/>
  <c r="S1154" i="1" s="1"/>
  <c r="T1154" i="1" s="1"/>
  <c r="X1155" i="1"/>
  <c r="S1155" i="1" s="1"/>
  <c r="T1155" i="1" s="1"/>
  <c r="X1156" i="1"/>
  <c r="S1156" i="1" s="1"/>
  <c r="T1156" i="1" s="1"/>
  <c r="X1157" i="1"/>
  <c r="S1157" i="1" s="1"/>
  <c r="T1157" i="1" s="1"/>
  <c r="X1158" i="1"/>
  <c r="S1158" i="1" s="1"/>
  <c r="T1158" i="1" s="1"/>
  <c r="X1159" i="1"/>
  <c r="S1159" i="1" s="1"/>
  <c r="T1159" i="1" s="1"/>
  <c r="X1160" i="1"/>
  <c r="S1160" i="1" s="1"/>
  <c r="T1160" i="1" s="1"/>
  <c r="X1161" i="1"/>
  <c r="S1161" i="1" s="1"/>
  <c r="T1161" i="1" s="1"/>
  <c r="X1162" i="1"/>
  <c r="S1162" i="1" s="1"/>
  <c r="T1162" i="1" s="1"/>
  <c r="X1163" i="1"/>
  <c r="S1163" i="1" s="1"/>
  <c r="T1163" i="1" s="1"/>
  <c r="X1164" i="1"/>
  <c r="S1164" i="1" s="1"/>
  <c r="T1164" i="1" s="1"/>
  <c r="X1165" i="1"/>
  <c r="S1165" i="1" s="1"/>
  <c r="T1165" i="1" s="1"/>
  <c r="X1166" i="1"/>
  <c r="S1166" i="1" s="1"/>
  <c r="T1166" i="1" s="1"/>
  <c r="X1167" i="1"/>
  <c r="S1167" i="1" s="1"/>
  <c r="T1167" i="1" s="1"/>
  <c r="X1168" i="1"/>
  <c r="S1168" i="1" s="1"/>
  <c r="T1168" i="1" s="1"/>
  <c r="X1169" i="1"/>
  <c r="S1169" i="1" s="1"/>
  <c r="T1169" i="1" s="1"/>
  <c r="X1170" i="1"/>
  <c r="S1170" i="1" s="1"/>
  <c r="T1170" i="1" s="1"/>
  <c r="X1171" i="1"/>
  <c r="S1171" i="1" s="1"/>
  <c r="T1171" i="1" s="1"/>
  <c r="X1172" i="1"/>
  <c r="S1172" i="1" s="1"/>
  <c r="T1172" i="1" s="1"/>
  <c r="X1173" i="1"/>
  <c r="S1173" i="1" s="1"/>
  <c r="T1173" i="1" s="1"/>
  <c r="X1174" i="1"/>
  <c r="S1174" i="1" s="1"/>
  <c r="T1174" i="1" s="1"/>
  <c r="X1175" i="1"/>
  <c r="S1175" i="1" s="1"/>
  <c r="T1175" i="1" s="1"/>
  <c r="X1176" i="1"/>
  <c r="S1176" i="1" s="1"/>
  <c r="T1176" i="1" s="1"/>
  <c r="X1177" i="1"/>
  <c r="S1177" i="1" s="1"/>
  <c r="T1177" i="1" s="1"/>
  <c r="X1178" i="1"/>
  <c r="S1178" i="1" s="1"/>
  <c r="T1178" i="1" s="1"/>
  <c r="X1179" i="1"/>
  <c r="S1179" i="1" s="1"/>
  <c r="T1179" i="1" s="1"/>
  <c r="X1180" i="1"/>
  <c r="S1180" i="1" s="1"/>
  <c r="T1180" i="1" s="1"/>
  <c r="X1181" i="1"/>
  <c r="S1181" i="1" s="1"/>
  <c r="T1181" i="1" s="1"/>
  <c r="X1182" i="1"/>
  <c r="S1182" i="1" s="1"/>
  <c r="T1182" i="1" s="1"/>
  <c r="X1183" i="1"/>
  <c r="S1183" i="1" s="1"/>
  <c r="T1183" i="1" s="1"/>
  <c r="X1184" i="1"/>
  <c r="S1184" i="1" s="1"/>
  <c r="T1184" i="1" s="1"/>
  <c r="X1185" i="1"/>
  <c r="S1185" i="1" s="1"/>
  <c r="T1185" i="1" s="1"/>
  <c r="X1186" i="1"/>
  <c r="S1186" i="1" s="1"/>
  <c r="T1186" i="1" s="1"/>
  <c r="X1187" i="1"/>
  <c r="S1187" i="1" s="1"/>
  <c r="T1187" i="1" s="1"/>
  <c r="X1188" i="1"/>
  <c r="S1188" i="1" s="1"/>
  <c r="T1188" i="1" s="1"/>
  <c r="X1189" i="1"/>
  <c r="S1189" i="1" s="1"/>
  <c r="T1189" i="1" s="1"/>
  <c r="X1190" i="1"/>
  <c r="S1190" i="1" s="1"/>
  <c r="T1190" i="1" s="1"/>
  <c r="X1191" i="1"/>
  <c r="S1191" i="1" s="1"/>
  <c r="T1191" i="1" s="1"/>
  <c r="X1192" i="1"/>
  <c r="S1192" i="1" s="1"/>
  <c r="T1192" i="1" s="1"/>
  <c r="X1193" i="1"/>
  <c r="S1193" i="1" s="1"/>
  <c r="T1193" i="1" s="1"/>
  <c r="X1194" i="1"/>
  <c r="S1194" i="1" s="1"/>
  <c r="T1194" i="1" s="1"/>
  <c r="X1195" i="1"/>
  <c r="S1195" i="1" s="1"/>
  <c r="T1195" i="1" s="1"/>
  <c r="X1196" i="1"/>
  <c r="S1196" i="1" s="1"/>
  <c r="T1196" i="1" s="1"/>
  <c r="X1197" i="1"/>
  <c r="S1197" i="1" s="1"/>
  <c r="T1197" i="1" s="1"/>
  <c r="X1198" i="1"/>
  <c r="S1198" i="1" s="1"/>
  <c r="T1198" i="1" s="1"/>
  <c r="X1199" i="1"/>
  <c r="S1199" i="1" s="1"/>
  <c r="T1199" i="1" s="1"/>
  <c r="X1200" i="1"/>
  <c r="S1200" i="1" s="1"/>
  <c r="T1200" i="1" s="1"/>
  <c r="X1201" i="1"/>
  <c r="S1201" i="1" s="1"/>
  <c r="T1201" i="1" s="1"/>
  <c r="X1202" i="1"/>
  <c r="S1202" i="1" s="1"/>
  <c r="T1202" i="1" s="1"/>
  <c r="X1203" i="1"/>
  <c r="S1203" i="1" s="1"/>
  <c r="T1203" i="1" s="1"/>
  <c r="X1204" i="1"/>
  <c r="S1204" i="1" s="1"/>
  <c r="T1204" i="1" s="1"/>
  <c r="X1205" i="1"/>
  <c r="S1205" i="1" s="1"/>
  <c r="T1205" i="1" s="1"/>
  <c r="X1206" i="1"/>
  <c r="S1206" i="1" s="1"/>
  <c r="T1206" i="1" s="1"/>
  <c r="X1207" i="1"/>
  <c r="S1207" i="1" s="1"/>
  <c r="T1207" i="1" s="1"/>
  <c r="X1208" i="1"/>
  <c r="S1208" i="1" s="1"/>
  <c r="T1208" i="1" s="1"/>
  <c r="X1209" i="1"/>
  <c r="S1209" i="1" s="1"/>
  <c r="T1209" i="1" s="1"/>
  <c r="X1210" i="1"/>
  <c r="S1210" i="1" s="1"/>
  <c r="T1210" i="1" s="1"/>
  <c r="X1211" i="1"/>
  <c r="S1211" i="1" s="1"/>
  <c r="T1211" i="1" s="1"/>
  <c r="X1212" i="1"/>
  <c r="S1212" i="1" s="1"/>
  <c r="T1212" i="1" s="1"/>
  <c r="X1213" i="1"/>
  <c r="S1213" i="1" s="1"/>
  <c r="T1213" i="1" s="1"/>
  <c r="X1214" i="1"/>
  <c r="S1214" i="1" s="1"/>
  <c r="T1214" i="1" s="1"/>
  <c r="X1215" i="1"/>
  <c r="S1215" i="1" s="1"/>
  <c r="T1215" i="1" s="1"/>
  <c r="X1216" i="1"/>
  <c r="S1216" i="1" s="1"/>
  <c r="T1216" i="1" s="1"/>
  <c r="X1217" i="1"/>
  <c r="S1217" i="1" s="1"/>
  <c r="T1217" i="1" s="1"/>
  <c r="X1218" i="1"/>
  <c r="S1218" i="1" s="1"/>
  <c r="T1218" i="1" s="1"/>
  <c r="X1219" i="1"/>
  <c r="S1219" i="1" s="1"/>
  <c r="T1219" i="1" s="1"/>
  <c r="X1220" i="1"/>
  <c r="S1220" i="1" s="1"/>
  <c r="T1220" i="1" s="1"/>
  <c r="X1221" i="1"/>
  <c r="S1221" i="1" s="1"/>
  <c r="T1221" i="1" s="1"/>
  <c r="X1222" i="1"/>
  <c r="S1222" i="1" s="1"/>
  <c r="T1222" i="1" s="1"/>
  <c r="X1223" i="1"/>
  <c r="S1223" i="1" s="1"/>
  <c r="T1223" i="1" s="1"/>
  <c r="X1224" i="1"/>
  <c r="S1224" i="1" s="1"/>
  <c r="T1224" i="1" s="1"/>
  <c r="X1225" i="1"/>
  <c r="S1225" i="1" s="1"/>
  <c r="T1225" i="1" s="1"/>
  <c r="X1226" i="1"/>
  <c r="S1226" i="1" s="1"/>
  <c r="T1226" i="1" s="1"/>
  <c r="X1227" i="1"/>
  <c r="S1227" i="1" s="1"/>
  <c r="T1227" i="1" s="1"/>
  <c r="X1228" i="1"/>
  <c r="S1228" i="1" s="1"/>
  <c r="T1228" i="1" s="1"/>
  <c r="X1229" i="1"/>
  <c r="S1229" i="1" s="1"/>
  <c r="T1229" i="1" s="1"/>
  <c r="X1230" i="1"/>
  <c r="S1230" i="1" s="1"/>
  <c r="T1230" i="1" s="1"/>
  <c r="X1231" i="1"/>
  <c r="S1231" i="1" s="1"/>
  <c r="T1231" i="1" s="1"/>
  <c r="X1232" i="1"/>
  <c r="S1232" i="1" s="1"/>
  <c r="T1232" i="1" s="1"/>
  <c r="X1233" i="1"/>
  <c r="S1233" i="1" s="1"/>
  <c r="T1233" i="1" s="1"/>
  <c r="X1234" i="1"/>
  <c r="S1234" i="1" s="1"/>
  <c r="T1234" i="1" s="1"/>
  <c r="X1235" i="1"/>
  <c r="S1235" i="1" s="1"/>
  <c r="T1235" i="1" s="1"/>
  <c r="X1236" i="1"/>
  <c r="S1236" i="1" s="1"/>
  <c r="T1236" i="1" s="1"/>
  <c r="X1237" i="1"/>
  <c r="S1237" i="1" s="1"/>
  <c r="T1237" i="1" s="1"/>
  <c r="X1238" i="1"/>
  <c r="S1238" i="1" s="1"/>
  <c r="T1238" i="1" s="1"/>
  <c r="X1239" i="1"/>
  <c r="S1239" i="1" s="1"/>
  <c r="T1239" i="1" s="1"/>
  <c r="X1240" i="1"/>
  <c r="S1240" i="1" s="1"/>
  <c r="T1240" i="1" s="1"/>
  <c r="X1241" i="1"/>
  <c r="S1241" i="1" s="1"/>
  <c r="T1241" i="1" s="1"/>
  <c r="X1242" i="1"/>
  <c r="S1242" i="1" s="1"/>
  <c r="T1242" i="1" s="1"/>
  <c r="X1243" i="1"/>
  <c r="S1243" i="1" s="1"/>
  <c r="T1243" i="1" s="1"/>
  <c r="X1244" i="1"/>
  <c r="S1244" i="1" s="1"/>
  <c r="T1244" i="1" s="1"/>
  <c r="X1245" i="1"/>
  <c r="S1245" i="1" s="1"/>
  <c r="T1245" i="1" s="1"/>
  <c r="X1246" i="1"/>
  <c r="S1246" i="1" s="1"/>
  <c r="T1246" i="1" s="1"/>
  <c r="X1247" i="1"/>
  <c r="S1247" i="1" s="1"/>
  <c r="T1247" i="1" s="1"/>
  <c r="X1248" i="1"/>
  <c r="S1248" i="1" s="1"/>
  <c r="T1248" i="1" s="1"/>
  <c r="X1249" i="1"/>
  <c r="S1249" i="1" s="1"/>
  <c r="T1249" i="1" s="1"/>
  <c r="X1250" i="1"/>
  <c r="S1250" i="1" s="1"/>
  <c r="T1250" i="1" s="1"/>
  <c r="X1251" i="1"/>
  <c r="S1251" i="1" s="1"/>
  <c r="T1251" i="1" s="1"/>
  <c r="X1252" i="1"/>
  <c r="S1252" i="1" s="1"/>
  <c r="T1252" i="1" s="1"/>
  <c r="X1253" i="1"/>
  <c r="S1253" i="1" s="1"/>
  <c r="T1253" i="1" s="1"/>
  <c r="X1254" i="1"/>
  <c r="S1254" i="1" s="1"/>
  <c r="T1254" i="1" s="1"/>
  <c r="X1255" i="1"/>
  <c r="S1255" i="1" s="1"/>
  <c r="T1255" i="1" s="1"/>
  <c r="X1256" i="1"/>
  <c r="S1256" i="1" s="1"/>
  <c r="T1256" i="1" s="1"/>
  <c r="X1257" i="1"/>
  <c r="S1257" i="1" s="1"/>
  <c r="T1257" i="1" s="1"/>
  <c r="X1258" i="1"/>
  <c r="S1258" i="1" s="1"/>
  <c r="T1258" i="1" s="1"/>
  <c r="X1259" i="1"/>
  <c r="S1259" i="1" s="1"/>
  <c r="T1259" i="1" s="1"/>
  <c r="X1260" i="1"/>
  <c r="S1260" i="1" s="1"/>
  <c r="T1260" i="1" s="1"/>
  <c r="X1261" i="1"/>
  <c r="S1261" i="1" s="1"/>
  <c r="T1261" i="1" s="1"/>
  <c r="X1262" i="1"/>
  <c r="S1262" i="1" s="1"/>
  <c r="T1262" i="1" s="1"/>
  <c r="X1263" i="1"/>
  <c r="S1263" i="1" s="1"/>
  <c r="T1263" i="1" s="1"/>
  <c r="X1264" i="1"/>
  <c r="S1264" i="1" s="1"/>
  <c r="T1264" i="1" s="1"/>
  <c r="X1265" i="1"/>
  <c r="S1265" i="1" s="1"/>
  <c r="T1265" i="1" s="1"/>
  <c r="X1266" i="1"/>
  <c r="S1266" i="1" s="1"/>
  <c r="T1266" i="1" s="1"/>
  <c r="X1267" i="1"/>
  <c r="S1267" i="1" s="1"/>
  <c r="T1267" i="1" s="1"/>
  <c r="X1268" i="1"/>
  <c r="S1268" i="1" s="1"/>
  <c r="T1268" i="1" s="1"/>
  <c r="X1269" i="1"/>
  <c r="S1269" i="1" s="1"/>
  <c r="T1269" i="1" s="1"/>
  <c r="X1270" i="1"/>
  <c r="S1270" i="1" s="1"/>
  <c r="T1270" i="1" s="1"/>
  <c r="X1271" i="1"/>
  <c r="S1271" i="1" s="1"/>
  <c r="T1271" i="1" s="1"/>
  <c r="X1272" i="1"/>
  <c r="S1272" i="1" s="1"/>
  <c r="T1272" i="1" s="1"/>
  <c r="X1273" i="1"/>
  <c r="S1273" i="1" s="1"/>
  <c r="T1273" i="1" s="1"/>
  <c r="X1274" i="1"/>
  <c r="S1274" i="1" s="1"/>
  <c r="T1274" i="1" s="1"/>
  <c r="X1275" i="1"/>
  <c r="S1275" i="1" s="1"/>
  <c r="T1275" i="1" s="1"/>
  <c r="X1276" i="1"/>
  <c r="S1276" i="1" s="1"/>
  <c r="T1276" i="1" s="1"/>
  <c r="X1277" i="1"/>
  <c r="S1277" i="1" s="1"/>
  <c r="T1277" i="1" s="1"/>
  <c r="X1278" i="1"/>
  <c r="S1278" i="1" s="1"/>
  <c r="T1278" i="1" s="1"/>
  <c r="X1279" i="1"/>
  <c r="S1279" i="1" s="1"/>
  <c r="T1279" i="1" s="1"/>
  <c r="X1280" i="1"/>
  <c r="S1280" i="1" s="1"/>
  <c r="T1280" i="1" s="1"/>
  <c r="X1281" i="1"/>
  <c r="S1281" i="1" s="1"/>
  <c r="T1281" i="1" s="1"/>
  <c r="X1282" i="1"/>
  <c r="S1282" i="1" s="1"/>
  <c r="T1282" i="1" s="1"/>
  <c r="X1283" i="1"/>
  <c r="S1283" i="1" s="1"/>
  <c r="T1283" i="1" s="1"/>
  <c r="X1284" i="1"/>
  <c r="S1284" i="1" s="1"/>
  <c r="T1284" i="1" s="1"/>
  <c r="X1285" i="1"/>
  <c r="S1285" i="1" s="1"/>
  <c r="T1285" i="1" s="1"/>
  <c r="X1286" i="1"/>
  <c r="S1286" i="1" s="1"/>
  <c r="T1286" i="1" s="1"/>
  <c r="X1287" i="1"/>
  <c r="S1287" i="1" s="1"/>
  <c r="T1287" i="1" s="1"/>
  <c r="X1288" i="1"/>
  <c r="S1288" i="1" s="1"/>
  <c r="T1288" i="1" s="1"/>
  <c r="X1289" i="1"/>
  <c r="S1289" i="1" s="1"/>
  <c r="T1289" i="1" s="1"/>
  <c r="X1290" i="1"/>
  <c r="S1290" i="1" s="1"/>
  <c r="T1290" i="1" s="1"/>
  <c r="X1291" i="1"/>
  <c r="S1291" i="1" s="1"/>
  <c r="T1291" i="1" s="1"/>
  <c r="X1292" i="1"/>
  <c r="S1292" i="1" s="1"/>
  <c r="T1292" i="1" s="1"/>
  <c r="X1293" i="1"/>
  <c r="S1293" i="1" s="1"/>
  <c r="T1293" i="1" s="1"/>
  <c r="X1294" i="1"/>
  <c r="S1294" i="1" s="1"/>
  <c r="T1294" i="1" s="1"/>
  <c r="X1295" i="1"/>
  <c r="S1295" i="1" s="1"/>
  <c r="T1295" i="1" s="1"/>
  <c r="X1296" i="1"/>
  <c r="S1296" i="1" s="1"/>
  <c r="T1296" i="1" s="1"/>
  <c r="X1297" i="1"/>
  <c r="S1297" i="1" s="1"/>
  <c r="T1297" i="1" s="1"/>
  <c r="X1298" i="1"/>
  <c r="S1298" i="1" s="1"/>
  <c r="T1298" i="1" s="1"/>
  <c r="X1299" i="1"/>
  <c r="S1299" i="1" s="1"/>
  <c r="T1299" i="1" s="1"/>
  <c r="X1300" i="1"/>
  <c r="S1300" i="1" s="1"/>
  <c r="T1300" i="1" s="1"/>
  <c r="X1301" i="1"/>
  <c r="S1301" i="1" s="1"/>
  <c r="T1301" i="1" s="1"/>
  <c r="X1302" i="1"/>
  <c r="S1302" i="1" s="1"/>
  <c r="T1302" i="1" s="1"/>
  <c r="X1303" i="1"/>
  <c r="S1303" i="1" s="1"/>
  <c r="T1303" i="1" s="1"/>
  <c r="X1304" i="1"/>
  <c r="S1304" i="1" s="1"/>
  <c r="T1304" i="1" s="1"/>
  <c r="X1305" i="1"/>
  <c r="S1305" i="1" s="1"/>
  <c r="T1305" i="1" s="1"/>
  <c r="X1306" i="1"/>
  <c r="S1306" i="1" s="1"/>
  <c r="T1306" i="1" s="1"/>
  <c r="X1307" i="1"/>
  <c r="S1307" i="1" s="1"/>
  <c r="T1307" i="1" s="1"/>
  <c r="X1308" i="1"/>
  <c r="S1308" i="1" s="1"/>
  <c r="T1308" i="1" s="1"/>
  <c r="X1309" i="1"/>
  <c r="S1309" i="1" s="1"/>
  <c r="T1309" i="1" s="1"/>
  <c r="X1310" i="1"/>
  <c r="S1310" i="1" s="1"/>
  <c r="T1310" i="1" s="1"/>
  <c r="X1311" i="1"/>
  <c r="S1311" i="1" s="1"/>
  <c r="T1311" i="1" s="1"/>
  <c r="X1312" i="1"/>
  <c r="S1312" i="1" s="1"/>
  <c r="T1312" i="1" s="1"/>
  <c r="X1313" i="1"/>
  <c r="S1313" i="1" s="1"/>
  <c r="T1313" i="1" s="1"/>
  <c r="X1314" i="1"/>
  <c r="S1314" i="1" s="1"/>
  <c r="T1314" i="1" s="1"/>
  <c r="X1315" i="1"/>
  <c r="S1315" i="1" s="1"/>
  <c r="T1315" i="1" s="1"/>
  <c r="X1316" i="1"/>
  <c r="S1316" i="1" s="1"/>
  <c r="T1316" i="1" s="1"/>
  <c r="X1317" i="1"/>
  <c r="S1317" i="1" s="1"/>
  <c r="T1317" i="1" s="1"/>
  <c r="X1318" i="1"/>
  <c r="S1318" i="1" s="1"/>
  <c r="T1318" i="1" s="1"/>
  <c r="X1319" i="1"/>
  <c r="S1319" i="1" s="1"/>
  <c r="T1319" i="1" s="1"/>
  <c r="X1320" i="1"/>
  <c r="S1320" i="1" s="1"/>
  <c r="T1320" i="1" s="1"/>
  <c r="X1321" i="1"/>
  <c r="S1321" i="1" s="1"/>
  <c r="T1321" i="1" s="1"/>
  <c r="X1322" i="1"/>
  <c r="S1322" i="1" s="1"/>
  <c r="T1322" i="1" s="1"/>
  <c r="X1323" i="1"/>
  <c r="S1323" i="1" s="1"/>
  <c r="T1323" i="1" s="1"/>
  <c r="X1324" i="1"/>
  <c r="S1324" i="1" s="1"/>
  <c r="T1324" i="1" s="1"/>
  <c r="X1325" i="1"/>
  <c r="S1325" i="1" s="1"/>
  <c r="T1325" i="1" s="1"/>
  <c r="X1326" i="1"/>
  <c r="S1326" i="1" s="1"/>
  <c r="T1326" i="1" s="1"/>
  <c r="X1327" i="1"/>
  <c r="S1327" i="1" s="1"/>
  <c r="T1327" i="1" s="1"/>
  <c r="X1328" i="1"/>
  <c r="S1328" i="1" s="1"/>
  <c r="T1328" i="1" s="1"/>
  <c r="X1329" i="1"/>
  <c r="S1329" i="1" s="1"/>
  <c r="T1329" i="1" s="1"/>
  <c r="X1330" i="1"/>
  <c r="S1330" i="1" s="1"/>
  <c r="T1330" i="1" s="1"/>
  <c r="X1331" i="1"/>
  <c r="S1331" i="1" s="1"/>
  <c r="T1331" i="1" s="1"/>
  <c r="X1332" i="1"/>
  <c r="S1332" i="1" s="1"/>
  <c r="T1332" i="1" s="1"/>
  <c r="X1333" i="1"/>
  <c r="S1333" i="1" s="1"/>
  <c r="T1333" i="1" s="1"/>
  <c r="X1334" i="1"/>
  <c r="S1334" i="1" s="1"/>
  <c r="T1334" i="1" s="1"/>
  <c r="X1335" i="1"/>
  <c r="S1335" i="1" s="1"/>
  <c r="T1335" i="1" s="1"/>
  <c r="X1336" i="1"/>
  <c r="S1336" i="1" s="1"/>
  <c r="T1336" i="1" s="1"/>
  <c r="X1337" i="1"/>
  <c r="S1337" i="1" s="1"/>
  <c r="T1337" i="1" s="1"/>
  <c r="X1338" i="1"/>
  <c r="S1338" i="1" s="1"/>
  <c r="T1338" i="1" s="1"/>
  <c r="X1339" i="1"/>
  <c r="S1339" i="1" s="1"/>
  <c r="T1339" i="1" s="1"/>
  <c r="X1340" i="1"/>
  <c r="S1340" i="1" s="1"/>
  <c r="T1340" i="1" s="1"/>
  <c r="X1341" i="1"/>
  <c r="S1341" i="1" s="1"/>
  <c r="T1341" i="1" s="1"/>
  <c r="X1342" i="1"/>
  <c r="S1342" i="1" s="1"/>
  <c r="T1342" i="1" s="1"/>
  <c r="X1343" i="1"/>
  <c r="S1343" i="1" s="1"/>
  <c r="T1343" i="1" s="1"/>
  <c r="X1344" i="1"/>
  <c r="S1344" i="1" s="1"/>
  <c r="T1344" i="1" s="1"/>
  <c r="X1345" i="1"/>
  <c r="S1345" i="1" s="1"/>
  <c r="T1345" i="1" s="1"/>
  <c r="X1346" i="1"/>
  <c r="S1346" i="1" s="1"/>
  <c r="T1346" i="1" s="1"/>
  <c r="X1347" i="1"/>
  <c r="S1347" i="1" s="1"/>
  <c r="T1347" i="1" s="1"/>
  <c r="X1348" i="1"/>
  <c r="S1348" i="1" s="1"/>
  <c r="T1348" i="1" s="1"/>
  <c r="X1349" i="1"/>
  <c r="S1349" i="1" s="1"/>
  <c r="T1349" i="1" s="1"/>
  <c r="X1350" i="1"/>
  <c r="S1350" i="1" s="1"/>
  <c r="T1350" i="1" s="1"/>
  <c r="X1351" i="1"/>
  <c r="S1351" i="1" s="1"/>
  <c r="T1351" i="1" s="1"/>
  <c r="X1352" i="1"/>
  <c r="S1352" i="1" s="1"/>
  <c r="T1352" i="1" s="1"/>
  <c r="X1353" i="1"/>
  <c r="S1353" i="1" s="1"/>
  <c r="T1353" i="1" s="1"/>
  <c r="X1354" i="1"/>
  <c r="S1354" i="1" s="1"/>
  <c r="T1354" i="1" s="1"/>
  <c r="X1355" i="1"/>
  <c r="S1355" i="1" s="1"/>
  <c r="T1355" i="1" s="1"/>
  <c r="X1356" i="1"/>
  <c r="S1356" i="1" s="1"/>
  <c r="T1356" i="1" s="1"/>
  <c r="X1357" i="1"/>
  <c r="S1357" i="1" s="1"/>
  <c r="T1357" i="1" s="1"/>
  <c r="X1358" i="1"/>
  <c r="S1358" i="1" s="1"/>
  <c r="T1358" i="1" s="1"/>
  <c r="X1359" i="1"/>
  <c r="S1359" i="1" s="1"/>
  <c r="T1359" i="1" s="1"/>
  <c r="X1360" i="1"/>
  <c r="S1360" i="1" s="1"/>
  <c r="T1360" i="1" s="1"/>
  <c r="X1361" i="1"/>
  <c r="S1361" i="1" s="1"/>
  <c r="T1361" i="1" s="1"/>
  <c r="X1362" i="1"/>
  <c r="S1362" i="1" s="1"/>
  <c r="T1362" i="1" s="1"/>
  <c r="X1363" i="1"/>
  <c r="S1363" i="1" s="1"/>
  <c r="T1363" i="1" s="1"/>
  <c r="X1364" i="1"/>
  <c r="S1364" i="1" s="1"/>
  <c r="T1364" i="1" s="1"/>
  <c r="X1365" i="1"/>
  <c r="S1365" i="1" s="1"/>
  <c r="T1365" i="1" s="1"/>
  <c r="X1366" i="1"/>
  <c r="S1366" i="1" s="1"/>
  <c r="T1366" i="1" s="1"/>
  <c r="X1367" i="1"/>
  <c r="S1367" i="1" s="1"/>
  <c r="T1367" i="1" s="1"/>
  <c r="X1368" i="1"/>
  <c r="S1368" i="1" s="1"/>
  <c r="T1368" i="1" s="1"/>
  <c r="X1369" i="1"/>
  <c r="S1369" i="1" s="1"/>
  <c r="T1369" i="1" s="1"/>
  <c r="X1370" i="1"/>
  <c r="S1370" i="1" s="1"/>
  <c r="T1370" i="1" s="1"/>
  <c r="X1371" i="1"/>
  <c r="S1371" i="1" s="1"/>
  <c r="T1371" i="1" s="1"/>
  <c r="X1372" i="1"/>
  <c r="S1372" i="1" s="1"/>
  <c r="T1372" i="1" s="1"/>
  <c r="X1373" i="1"/>
  <c r="S1373" i="1" s="1"/>
  <c r="T1373" i="1" s="1"/>
  <c r="X1374" i="1"/>
  <c r="S1374" i="1" s="1"/>
  <c r="T1374" i="1" s="1"/>
  <c r="X1375" i="1"/>
  <c r="S1375" i="1" s="1"/>
  <c r="T1375" i="1" s="1"/>
  <c r="X1376" i="1"/>
  <c r="S1376" i="1" s="1"/>
  <c r="T1376" i="1" s="1"/>
  <c r="X1377" i="1"/>
  <c r="S1377" i="1" s="1"/>
  <c r="T1377" i="1" s="1"/>
  <c r="X1378" i="1"/>
  <c r="S1378" i="1" s="1"/>
  <c r="T1378" i="1" s="1"/>
  <c r="X1379" i="1"/>
  <c r="S1379" i="1" s="1"/>
  <c r="T1379" i="1" s="1"/>
  <c r="X1380" i="1"/>
  <c r="S1380" i="1" s="1"/>
  <c r="T1380" i="1" s="1"/>
  <c r="X1381" i="1"/>
  <c r="S1381" i="1" s="1"/>
  <c r="T1381" i="1" s="1"/>
  <c r="X1382" i="1"/>
  <c r="S1382" i="1" s="1"/>
  <c r="T1382" i="1" s="1"/>
  <c r="X1383" i="1"/>
  <c r="S1383" i="1" s="1"/>
  <c r="T1383" i="1" s="1"/>
  <c r="X1384" i="1"/>
  <c r="S1384" i="1" s="1"/>
  <c r="T1384" i="1" s="1"/>
  <c r="X1385" i="1"/>
  <c r="S1385" i="1" s="1"/>
  <c r="T1385" i="1" s="1"/>
  <c r="X1386" i="1"/>
  <c r="S1386" i="1" s="1"/>
  <c r="T1386" i="1" s="1"/>
  <c r="X1387" i="1"/>
  <c r="S1387" i="1" s="1"/>
  <c r="T1387" i="1" s="1"/>
  <c r="X1388" i="1"/>
  <c r="S1388" i="1" s="1"/>
  <c r="T1388" i="1" s="1"/>
  <c r="X1389" i="1"/>
  <c r="S1389" i="1" s="1"/>
  <c r="T1389" i="1" s="1"/>
  <c r="X1390" i="1"/>
  <c r="S1390" i="1" s="1"/>
  <c r="T1390" i="1" s="1"/>
  <c r="X1391" i="1"/>
  <c r="S1391" i="1" s="1"/>
  <c r="T1391" i="1" s="1"/>
  <c r="X1392" i="1"/>
  <c r="S1392" i="1" s="1"/>
  <c r="T1392" i="1" s="1"/>
  <c r="X1393" i="1"/>
  <c r="S1393" i="1" s="1"/>
  <c r="T1393" i="1" s="1"/>
  <c r="X1394" i="1"/>
  <c r="S1394" i="1" s="1"/>
  <c r="T1394" i="1" s="1"/>
  <c r="X1395" i="1"/>
  <c r="S1395" i="1" s="1"/>
  <c r="T1395" i="1" s="1"/>
  <c r="X1396" i="1"/>
  <c r="S1396" i="1" s="1"/>
  <c r="T1396" i="1" s="1"/>
  <c r="X1397" i="1"/>
  <c r="S1397" i="1" s="1"/>
  <c r="T1397" i="1" s="1"/>
  <c r="X1398" i="1"/>
  <c r="S1398" i="1" s="1"/>
  <c r="T1398" i="1" s="1"/>
  <c r="X1399" i="1"/>
  <c r="S1399" i="1" s="1"/>
  <c r="T1399" i="1" s="1"/>
  <c r="X1400" i="1"/>
  <c r="S1400" i="1" s="1"/>
  <c r="T1400" i="1" s="1"/>
  <c r="X1401" i="1"/>
  <c r="S1401" i="1" s="1"/>
  <c r="T1401" i="1" s="1"/>
  <c r="X1402" i="1"/>
  <c r="S1402" i="1" s="1"/>
  <c r="T1402" i="1" s="1"/>
  <c r="X1403" i="1"/>
  <c r="S1403" i="1" s="1"/>
  <c r="T1403" i="1" s="1"/>
  <c r="X1404" i="1"/>
  <c r="S1404" i="1" s="1"/>
  <c r="T1404" i="1" s="1"/>
  <c r="X1405" i="1"/>
  <c r="S1405" i="1" s="1"/>
  <c r="T1405" i="1" s="1"/>
  <c r="X1406" i="1"/>
  <c r="S1406" i="1" s="1"/>
  <c r="T1406" i="1" s="1"/>
  <c r="X1407" i="1"/>
  <c r="S1407" i="1" s="1"/>
  <c r="T1407" i="1" s="1"/>
  <c r="X1408" i="1"/>
  <c r="S1408" i="1" s="1"/>
  <c r="T1408" i="1" s="1"/>
  <c r="X1409" i="1"/>
  <c r="S1409" i="1" s="1"/>
  <c r="T1409" i="1" s="1"/>
  <c r="X1410" i="1"/>
  <c r="S1410" i="1" s="1"/>
  <c r="T1410" i="1" s="1"/>
  <c r="X1411" i="1"/>
  <c r="S1411" i="1" s="1"/>
  <c r="T1411" i="1" s="1"/>
  <c r="X1412" i="1"/>
  <c r="S1412" i="1" s="1"/>
  <c r="T1412" i="1" s="1"/>
  <c r="X1413" i="1"/>
  <c r="S1413" i="1" s="1"/>
  <c r="T1413" i="1" s="1"/>
  <c r="X1414" i="1"/>
  <c r="S1414" i="1" s="1"/>
  <c r="T1414" i="1" s="1"/>
  <c r="X1415" i="1"/>
  <c r="S1415" i="1" s="1"/>
  <c r="T1415" i="1" s="1"/>
  <c r="X1416" i="1"/>
  <c r="S1416" i="1" s="1"/>
  <c r="T1416" i="1" s="1"/>
  <c r="X1417" i="1"/>
  <c r="S1417" i="1" s="1"/>
  <c r="T1417" i="1" s="1"/>
  <c r="X1418" i="1"/>
  <c r="S1418" i="1" s="1"/>
  <c r="T1418" i="1" s="1"/>
  <c r="X1419" i="1"/>
  <c r="S1419" i="1" s="1"/>
  <c r="T1419" i="1" s="1"/>
  <c r="X1420" i="1"/>
  <c r="S1420" i="1" s="1"/>
  <c r="T1420" i="1" s="1"/>
  <c r="X1421" i="1"/>
  <c r="S1421" i="1" s="1"/>
  <c r="T1421" i="1" s="1"/>
  <c r="X1422" i="1"/>
  <c r="S1422" i="1" s="1"/>
  <c r="T1422" i="1" s="1"/>
  <c r="X1423" i="1"/>
  <c r="S1423" i="1" s="1"/>
  <c r="T1423" i="1" s="1"/>
  <c r="X1424" i="1"/>
  <c r="S1424" i="1" s="1"/>
  <c r="T1424" i="1" s="1"/>
  <c r="X1425" i="1"/>
  <c r="S1425" i="1" s="1"/>
  <c r="T1425" i="1" s="1"/>
  <c r="X1426" i="1"/>
  <c r="S1426" i="1" s="1"/>
  <c r="T1426" i="1" s="1"/>
  <c r="X1427" i="1"/>
  <c r="S1427" i="1" s="1"/>
  <c r="T1427" i="1" s="1"/>
  <c r="X1428" i="1"/>
  <c r="S1428" i="1" s="1"/>
  <c r="T1428" i="1" s="1"/>
  <c r="X1429" i="1"/>
  <c r="S1429" i="1" s="1"/>
  <c r="T1429" i="1" s="1"/>
  <c r="X1430" i="1"/>
  <c r="S1430" i="1" s="1"/>
  <c r="T1430" i="1" s="1"/>
  <c r="X1431" i="1"/>
  <c r="S1431" i="1" s="1"/>
  <c r="T1431" i="1" s="1"/>
  <c r="X1432" i="1"/>
  <c r="S1432" i="1" s="1"/>
  <c r="T1432" i="1" s="1"/>
  <c r="X1433" i="1"/>
  <c r="S1433" i="1" s="1"/>
  <c r="T1433" i="1" s="1"/>
  <c r="X1434" i="1"/>
  <c r="S1434" i="1" s="1"/>
  <c r="T1434" i="1" s="1"/>
  <c r="X1435" i="1"/>
  <c r="S1435" i="1" s="1"/>
  <c r="T1435" i="1" s="1"/>
  <c r="X1436" i="1"/>
  <c r="S1436" i="1" s="1"/>
  <c r="T1436" i="1" s="1"/>
  <c r="X1437" i="1"/>
  <c r="S1437" i="1" s="1"/>
  <c r="T1437" i="1" s="1"/>
  <c r="X1438" i="1"/>
  <c r="S1438" i="1" s="1"/>
  <c r="T1438" i="1" s="1"/>
  <c r="X1439" i="1"/>
  <c r="S1439" i="1" s="1"/>
  <c r="T1439" i="1" s="1"/>
  <c r="X1440" i="1"/>
  <c r="S1440" i="1" s="1"/>
  <c r="T1440" i="1" s="1"/>
  <c r="X1441" i="1"/>
  <c r="S1441" i="1" s="1"/>
  <c r="T1441" i="1" s="1"/>
  <c r="X1442" i="1"/>
  <c r="S1442" i="1" s="1"/>
  <c r="T1442" i="1" s="1"/>
  <c r="X1443" i="1"/>
  <c r="S1443" i="1" s="1"/>
  <c r="T1443" i="1" s="1"/>
  <c r="X1444" i="1"/>
  <c r="S1444" i="1" s="1"/>
  <c r="T1444" i="1" s="1"/>
  <c r="X1445" i="1"/>
  <c r="S1445" i="1" s="1"/>
  <c r="T1445" i="1" s="1"/>
  <c r="X1446" i="1"/>
  <c r="S1446" i="1" s="1"/>
  <c r="T1446" i="1" s="1"/>
  <c r="X1447" i="1"/>
  <c r="S1447" i="1" s="1"/>
  <c r="T1447" i="1" s="1"/>
  <c r="X1448" i="1"/>
  <c r="S1448" i="1" s="1"/>
  <c r="T1448" i="1" s="1"/>
  <c r="X1449" i="1"/>
  <c r="S1449" i="1" s="1"/>
  <c r="T1449" i="1" s="1"/>
  <c r="X1450" i="1"/>
  <c r="S1450" i="1" s="1"/>
  <c r="T1450" i="1" s="1"/>
  <c r="X1451" i="1"/>
  <c r="S1451" i="1" s="1"/>
  <c r="T1451" i="1" s="1"/>
  <c r="X1452" i="1"/>
  <c r="S1452" i="1" s="1"/>
  <c r="T1452" i="1" s="1"/>
  <c r="X1453" i="1"/>
  <c r="S1453" i="1" s="1"/>
  <c r="T1453" i="1" s="1"/>
  <c r="X1454" i="1"/>
  <c r="S1454" i="1" s="1"/>
  <c r="T1454" i="1" s="1"/>
  <c r="X1455" i="1"/>
  <c r="S1455" i="1" s="1"/>
  <c r="T1455" i="1" s="1"/>
  <c r="X1456" i="1"/>
  <c r="S1456" i="1" s="1"/>
  <c r="T1456" i="1" s="1"/>
  <c r="X1457" i="1"/>
  <c r="S1457" i="1" s="1"/>
  <c r="T1457" i="1" s="1"/>
  <c r="X1458" i="1"/>
  <c r="S1458" i="1" s="1"/>
  <c r="T1458" i="1" s="1"/>
  <c r="X1459" i="1"/>
  <c r="S1459" i="1" s="1"/>
  <c r="T1459" i="1" s="1"/>
  <c r="X1460" i="1"/>
  <c r="S1460" i="1" s="1"/>
  <c r="T1460" i="1" s="1"/>
  <c r="X1461" i="1"/>
  <c r="S1461" i="1" s="1"/>
  <c r="T1461" i="1" s="1"/>
  <c r="X1462" i="1"/>
  <c r="S1462" i="1" s="1"/>
  <c r="T1462" i="1" s="1"/>
  <c r="X1463" i="1"/>
  <c r="S1463" i="1" s="1"/>
  <c r="T1463" i="1" s="1"/>
  <c r="X1464" i="1"/>
  <c r="S1464" i="1" s="1"/>
  <c r="T1464" i="1" s="1"/>
  <c r="X1465" i="1"/>
  <c r="S1465" i="1" s="1"/>
  <c r="T1465" i="1" s="1"/>
  <c r="X1466" i="1"/>
  <c r="S1466" i="1" s="1"/>
  <c r="T1466" i="1" s="1"/>
  <c r="X1467" i="1"/>
  <c r="S1467" i="1" s="1"/>
  <c r="T1467" i="1" s="1"/>
  <c r="X1468" i="1"/>
  <c r="S1468" i="1" s="1"/>
  <c r="T1468" i="1" s="1"/>
  <c r="X1469" i="1"/>
  <c r="S1469" i="1" s="1"/>
  <c r="T1469" i="1" s="1"/>
  <c r="X1470" i="1"/>
  <c r="S1470" i="1" s="1"/>
  <c r="T1470" i="1" s="1"/>
  <c r="AV33" i="2" l="1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A1" i="6" l="1"/>
  <c r="AA1" i="8" s="1"/>
  <c r="AT37" i="2" l="1"/>
  <c r="AT41" i="2"/>
  <c r="AT42" i="2"/>
  <c r="AT45" i="2"/>
  <c r="AT46" i="2"/>
  <c r="AT53" i="2"/>
  <c r="AT57" i="2"/>
  <c r="AT58" i="2"/>
  <c r="AT61" i="2"/>
  <c r="AT62" i="2"/>
  <c r="AT64" i="2"/>
  <c r="AT69" i="2"/>
  <c r="AT73" i="2"/>
  <c r="AT74" i="2"/>
  <c r="AT77" i="2"/>
  <c r="AT78" i="2"/>
  <c r="AT85" i="2"/>
  <c r="AT89" i="2"/>
  <c r="AT90" i="2"/>
  <c r="AT93" i="2"/>
  <c r="AT94" i="2"/>
  <c r="AT96" i="2"/>
  <c r="AT101" i="2"/>
  <c r="AT105" i="2"/>
  <c r="AT106" i="2"/>
  <c r="AT109" i="2"/>
  <c r="AT110" i="2"/>
  <c r="AT111" i="2"/>
  <c r="AT113" i="2"/>
  <c r="AT114" i="2"/>
  <c r="AT115" i="2"/>
  <c r="AT117" i="2"/>
  <c r="AT118" i="2"/>
  <c r="AT119" i="2"/>
  <c r="AT121" i="2"/>
  <c r="AT122" i="2"/>
  <c r="AT123" i="2"/>
  <c r="AT125" i="2"/>
  <c r="AT126" i="2"/>
  <c r="AT127" i="2"/>
  <c r="AT129" i="2"/>
  <c r="AT130" i="2"/>
  <c r="AT131" i="2"/>
  <c r="AT133" i="2"/>
  <c r="AT134" i="2"/>
  <c r="AT135" i="2"/>
  <c r="AT137" i="2"/>
  <c r="AT138" i="2"/>
  <c r="AT139" i="2"/>
  <c r="AT141" i="2"/>
  <c r="AT142" i="2"/>
  <c r="AT143" i="2"/>
  <c r="AT145" i="2"/>
  <c r="AT146" i="2"/>
  <c r="AT147" i="2"/>
  <c r="AT149" i="2"/>
  <c r="AT150" i="2"/>
  <c r="AT151" i="2"/>
  <c r="AT153" i="2"/>
  <c r="AT154" i="2"/>
  <c r="AT155" i="2"/>
  <c r="AT157" i="2"/>
  <c r="AT158" i="2"/>
  <c r="AT159" i="2"/>
  <c r="AT161" i="2"/>
  <c r="AT162" i="2"/>
  <c r="AT163" i="2"/>
  <c r="AT165" i="2"/>
  <c r="AT166" i="2"/>
  <c r="AT167" i="2"/>
  <c r="AT169" i="2"/>
  <c r="AT170" i="2"/>
  <c r="AT171" i="2"/>
  <c r="AT173" i="2"/>
  <c r="AT174" i="2"/>
  <c r="AT175" i="2"/>
  <c r="AT177" i="2"/>
  <c r="AT178" i="2"/>
  <c r="AT179" i="2"/>
  <c r="AT181" i="2"/>
  <c r="AT182" i="2"/>
  <c r="AT183" i="2"/>
  <c r="AT185" i="2"/>
  <c r="AT186" i="2"/>
  <c r="AT187" i="2"/>
  <c r="AT189" i="2"/>
  <c r="AT190" i="2"/>
  <c r="AT191" i="2"/>
  <c r="AT193" i="2"/>
  <c r="AT194" i="2"/>
  <c r="AT195" i="2"/>
  <c r="AT197" i="2"/>
  <c r="AT198" i="2"/>
  <c r="AT199" i="2"/>
  <c r="AT201" i="2"/>
  <c r="AT202" i="2"/>
  <c r="AT203" i="2"/>
  <c r="AT205" i="2"/>
  <c r="AT206" i="2"/>
  <c r="AT207" i="2"/>
  <c r="AT209" i="2"/>
  <c r="AT210" i="2"/>
  <c r="AT211" i="2"/>
  <c r="AT213" i="2"/>
  <c r="AT214" i="2"/>
  <c r="AT215" i="2"/>
  <c r="AT217" i="2"/>
  <c r="AT218" i="2"/>
  <c r="AT219" i="2"/>
  <c r="AT221" i="2"/>
  <c r="AT222" i="2"/>
  <c r="AT223" i="2"/>
  <c r="AT225" i="2"/>
  <c r="AT226" i="2"/>
  <c r="AT227" i="2"/>
  <c r="AT229" i="2"/>
  <c r="AT230" i="2"/>
  <c r="AT231" i="2"/>
  <c r="AS3" i="2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T33" i="2" s="1"/>
  <c r="AS34" i="2"/>
  <c r="AT34" i="2" s="1"/>
  <c r="AS35" i="2"/>
  <c r="AS36" i="2"/>
  <c r="AS37" i="2"/>
  <c r="AS38" i="2"/>
  <c r="AT38" i="2" s="1"/>
  <c r="AS39" i="2"/>
  <c r="AS40" i="2"/>
  <c r="AS41" i="2"/>
  <c r="AS42" i="2"/>
  <c r="AS43" i="2"/>
  <c r="AS44" i="2"/>
  <c r="AS45" i="2"/>
  <c r="AS46" i="2"/>
  <c r="AS47" i="2"/>
  <c r="AS48" i="2"/>
  <c r="AS49" i="2"/>
  <c r="AT49" i="2" s="1"/>
  <c r="AS50" i="2"/>
  <c r="AT50" i="2" s="1"/>
  <c r="AS51" i="2"/>
  <c r="AS52" i="2"/>
  <c r="AS53" i="2"/>
  <c r="AS54" i="2"/>
  <c r="AT54" i="2" s="1"/>
  <c r="AS55" i="2"/>
  <c r="AS56" i="2"/>
  <c r="AT56" i="2" s="1"/>
  <c r="AS57" i="2"/>
  <c r="AS58" i="2"/>
  <c r="AS59" i="2"/>
  <c r="AS60" i="2"/>
  <c r="AS61" i="2"/>
  <c r="AS62" i="2"/>
  <c r="AS63" i="2"/>
  <c r="AS64" i="2"/>
  <c r="AS65" i="2"/>
  <c r="AT65" i="2" s="1"/>
  <c r="AS66" i="2"/>
  <c r="AT66" i="2" s="1"/>
  <c r="AS67" i="2"/>
  <c r="AS68" i="2"/>
  <c r="AS69" i="2"/>
  <c r="AS70" i="2"/>
  <c r="AT70" i="2" s="1"/>
  <c r="AS71" i="2"/>
  <c r="AS72" i="2"/>
  <c r="AT72" i="2" s="1"/>
  <c r="AS73" i="2"/>
  <c r="AS74" i="2"/>
  <c r="AS75" i="2"/>
  <c r="AS76" i="2"/>
  <c r="AS77" i="2"/>
  <c r="AS78" i="2"/>
  <c r="AS79" i="2"/>
  <c r="AS80" i="2"/>
  <c r="AS81" i="2"/>
  <c r="AT81" i="2" s="1"/>
  <c r="AS82" i="2"/>
  <c r="AT82" i="2" s="1"/>
  <c r="AS83" i="2"/>
  <c r="AS84" i="2"/>
  <c r="AS85" i="2"/>
  <c r="AS86" i="2"/>
  <c r="AT86" i="2" s="1"/>
  <c r="AS87" i="2"/>
  <c r="AS88" i="2"/>
  <c r="AT88" i="2" s="1"/>
  <c r="AS89" i="2"/>
  <c r="AS90" i="2"/>
  <c r="AS91" i="2"/>
  <c r="AS92" i="2"/>
  <c r="AS93" i="2"/>
  <c r="AS94" i="2"/>
  <c r="AS95" i="2"/>
  <c r="AS96" i="2"/>
  <c r="AS97" i="2"/>
  <c r="AT97" i="2" s="1"/>
  <c r="AS98" i="2"/>
  <c r="AT98" i="2" s="1"/>
  <c r="AS99" i="2"/>
  <c r="AS100" i="2"/>
  <c r="AS101" i="2"/>
  <c r="AS102" i="2"/>
  <c r="AT102" i="2" s="1"/>
  <c r="AS103" i="2"/>
  <c r="AS104" i="2"/>
  <c r="AT104" i="2" s="1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T120" i="2" s="1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T136" i="2" s="1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T152" i="2" s="1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T168" i="2" s="1"/>
  <c r="AS169" i="2"/>
  <c r="AS170" i="2"/>
  <c r="AS171" i="2"/>
  <c r="AS172" i="2"/>
  <c r="AS173" i="2"/>
  <c r="AS174" i="2"/>
  <c r="AS175" i="2"/>
  <c r="AS176" i="2"/>
  <c r="AS177" i="2"/>
  <c r="AS178" i="2"/>
  <c r="AS179" i="2"/>
  <c r="AS180" i="2"/>
  <c r="AS181" i="2"/>
  <c r="AS182" i="2"/>
  <c r="AS183" i="2"/>
  <c r="AS184" i="2"/>
  <c r="AT184" i="2" s="1"/>
  <c r="AS185" i="2"/>
  <c r="AS186" i="2"/>
  <c r="AS187" i="2"/>
  <c r="AS188" i="2"/>
  <c r="AS189" i="2"/>
  <c r="AS190" i="2"/>
  <c r="AS191" i="2"/>
  <c r="AS192" i="2"/>
  <c r="AS193" i="2"/>
  <c r="AS194" i="2"/>
  <c r="AS195" i="2"/>
  <c r="AS196" i="2"/>
  <c r="AS197" i="2"/>
  <c r="AS198" i="2"/>
  <c r="AS199" i="2"/>
  <c r="AS200" i="2"/>
  <c r="AT200" i="2" s="1"/>
  <c r="AS201" i="2"/>
  <c r="AS202" i="2"/>
  <c r="AS203" i="2"/>
  <c r="AS204" i="2"/>
  <c r="AS205" i="2"/>
  <c r="AS206" i="2"/>
  <c r="AS207" i="2"/>
  <c r="AS208" i="2"/>
  <c r="AS209" i="2"/>
  <c r="AS210" i="2"/>
  <c r="AS211" i="2"/>
  <c r="AS212" i="2"/>
  <c r="AS213" i="2"/>
  <c r="AS214" i="2"/>
  <c r="AS215" i="2"/>
  <c r="AS216" i="2"/>
  <c r="AT216" i="2" s="1"/>
  <c r="AS217" i="2"/>
  <c r="AS218" i="2"/>
  <c r="AS219" i="2"/>
  <c r="AS220" i="2"/>
  <c r="AS221" i="2"/>
  <c r="AS222" i="2"/>
  <c r="AS223" i="2"/>
  <c r="AS224" i="2"/>
  <c r="AS225" i="2"/>
  <c r="AS226" i="2"/>
  <c r="AS227" i="2"/>
  <c r="AS228" i="2"/>
  <c r="AS229" i="2"/>
  <c r="AS230" i="2"/>
  <c r="AS231" i="2"/>
  <c r="AS232" i="2"/>
  <c r="AT232" i="2" s="1"/>
  <c r="AS2" i="2"/>
  <c r="AW3" i="2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AW130" i="2"/>
  <c r="AW131" i="2"/>
  <c r="AW132" i="2"/>
  <c r="AW133" i="2"/>
  <c r="AW134" i="2"/>
  <c r="AW135" i="2"/>
  <c r="AW136" i="2"/>
  <c r="AW137" i="2"/>
  <c r="AW138" i="2"/>
  <c r="AW139" i="2"/>
  <c r="AW140" i="2"/>
  <c r="AW141" i="2"/>
  <c r="AW142" i="2"/>
  <c r="AW143" i="2"/>
  <c r="AW144" i="2"/>
  <c r="AW145" i="2"/>
  <c r="AW146" i="2"/>
  <c r="AW147" i="2"/>
  <c r="AW148" i="2"/>
  <c r="AW149" i="2"/>
  <c r="AW150" i="2"/>
  <c r="AW151" i="2"/>
  <c r="AW152" i="2"/>
  <c r="AW153" i="2"/>
  <c r="AW154" i="2"/>
  <c r="AW155" i="2"/>
  <c r="AW156" i="2"/>
  <c r="AW157" i="2"/>
  <c r="AW158" i="2"/>
  <c r="AW159" i="2"/>
  <c r="AW160" i="2"/>
  <c r="AW161" i="2"/>
  <c r="AW162" i="2"/>
  <c r="AW163" i="2"/>
  <c r="AW164" i="2"/>
  <c r="AW165" i="2"/>
  <c r="AW166" i="2"/>
  <c r="AW167" i="2"/>
  <c r="AW168" i="2"/>
  <c r="AW169" i="2"/>
  <c r="AW170" i="2"/>
  <c r="AW171" i="2"/>
  <c r="AW172" i="2"/>
  <c r="AW173" i="2"/>
  <c r="AW174" i="2"/>
  <c r="AW175" i="2"/>
  <c r="AW176" i="2"/>
  <c r="AW177" i="2"/>
  <c r="AW178" i="2"/>
  <c r="AW179" i="2"/>
  <c r="AW180" i="2"/>
  <c r="AW181" i="2"/>
  <c r="AW182" i="2"/>
  <c r="AW183" i="2"/>
  <c r="AW184" i="2"/>
  <c r="AW185" i="2"/>
  <c r="AW186" i="2"/>
  <c r="AW187" i="2"/>
  <c r="AW188" i="2"/>
  <c r="AW189" i="2"/>
  <c r="AW190" i="2"/>
  <c r="AW191" i="2"/>
  <c r="AW192" i="2"/>
  <c r="AW193" i="2"/>
  <c r="AW194" i="2"/>
  <c r="AW195" i="2"/>
  <c r="AW196" i="2"/>
  <c r="AW197" i="2"/>
  <c r="AW198" i="2"/>
  <c r="AW199" i="2"/>
  <c r="AW200" i="2"/>
  <c r="AW201" i="2"/>
  <c r="AW202" i="2"/>
  <c r="AW203" i="2"/>
  <c r="AW204" i="2"/>
  <c r="AW205" i="2"/>
  <c r="AW206" i="2"/>
  <c r="AW207" i="2"/>
  <c r="AW208" i="2"/>
  <c r="AW209" i="2"/>
  <c r="AW210" i="2"/>
  <c r="AW211" i="2"/>
  <c r="AW212" i="2"/>
  <c r="AW213" i="2"/>
  <c r="AW214" i="2"/>
  <c r="AW215" i="2"/>
  <c r="AW216" i="2"/>
  <c r="AW217" i="2"/>
  <c r="AW218" i="2"/>
  <c r="AW219" i="2"/>
  <c r="AW220" i="2"/>
  <c r="AW221" i="2"/>
  <c r="AW222" i="2"/>
  <c r="AW223" i="2"/>
  <c r="AW224" i="2"/>
  <c r="AW225" i="2"/>
  <c r="AW226" i="2"/>
  <c r="AW227" i="2"/>
  <c r="AW228" i="2"/>
  <c r="AW229" i="2"/>
  <c r="AW230" i="2"/>
  <c r="AW231" i="2"/>
  <c r="AW232" i="2"/>
  <c r="AW2" i="2"/>
  <c r="AU3" i="2"/>
  <c r="AU4" i="2"/>
  <c r="AU5" i="2"/>
  <c r="AU6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" i="2"/>
  <c r="AV32" i="2" l="1"/>
  <c r="BB2" i="2" s="1"/>
  <c r="AV28" i="2"/>
  <c r="AV24" i="2"/>
  <c r="AV20" i="2"/>
  <c r="AV16" i="2"/>
  <c r="AV12" i="2"/>
  <c r="AV8" i="2"/>
  <c r="AV4" i="2"/>
  <c r="AV31" i="2"/>
  <c r="AV27" i="2"/>
  <c r="AV23" i="2"/>
  <c r="AV19" i="2"/>
  <c r="AV15" i="2"/>
  <c r="AV11" i="2"/>
  <c r="AV7" i="2"/>
  <c r="AV3" i="2"/>
  <c r="AT30" i="2"/>
  <c r="AV30" i="2"/>
  <c r="AT26" i="2"/>
  <c r="AV26" i="2"/>
  <c r="AT22" i="2"/>
  <c r="AV22" i="2"/>
  <c r="AT18" i="2"/>
  <c r="AV18" i="2"/>
  <c r="AV14" i="2"/>
  <c r="AV10" i="2"/>
  <c r="AT6" i="2"/>
  <c r="AV6" i="2"/>
  <c r="AV2" i="2"/>
  <c r="AV29" i="2"/>
  <c r="AV25" i="2"/>
  <c r="AT21" i="2"/>
  <c r="AV21" i="2"/>
  <c r="AT17" i="2"/>
  <c r="AV17" i="2"/>
  <c r="AV13" i="2"/>
  <c r="AT9" i="2"/>
  <c r="AV9" i="2"/>
  <c r="AT5" i="2"/>
  <c r="AV5" i="2"/>
  <c r="AT32" i="2"/>
  <c r="AY2" i="2" s="1"/>
  <c r="AZ2" i="2" s="1"/>
  <c r="AT25" i="2"/>
  <c r="AT29" i="2"/>
  <c r="AT14" i="2"/>
  <c r="AT13" i="2"/>
  <c r="AT10" i="2"/>
  <c r="AT2" i="2"/>
  <c r="AX2" i="2" s="1"/>
  <c r="AT228" i="2"/>
  <c r="AT224" i="2"/>
  <c r="AT220" i="2"/>
  <c r="AT212" i="2"/>
  <c r="AT208" i="2"/>
  <c r="AT204" i="2"/>
  <c r="AT196" i="2"/>
  <c r="AT192" i="2"/>
  <c r="AT188" i="2"/>
  <c r="AT180" i="2"/>
  <c r="AT176" i="2"/>
  <c r="AT172" i="2"/>
  <c r="AT164" i="2"/>
  <c r="AT160" i="2"/>
  <c r="AT156" i="2"/>
  <c r="AT148" i="2"/>
  <c r="AT144" i="2"/>
  <c r="AT140" i="2"/>
  <c r="AT132" i="2"/>
  <c r="AT128" i="2"/>
  <c r="AT124" i="2"/>
  <c r="AT116" i="2"/>
  <c r="AT112" i="2"/>
  <c r="AT108" i="2"/>
  <c r="AT100" i="2"/>
  <c r="AT92" i="2"/>
  <c r="AT84" i="2"/>
  <c r="AT76" i="2"/>
  <c r="AT68" i="2"/>
  <c r="AT60" i="2"/>
  <c r="AT52" i="2"/>
  <c r="AT44" i="2"/>
  <c r="AT40" i="2"/>
  <c r="AT36" i="2"/>
  <c r="AT28" i="2"/>
  <c r="AT24" i="2"/>
  <c r="AT20" i="2"/>
  <c r="AT12" i="2"/>
  <c r="AT8" i="2"/>
  <c r="AT4" i="2"/>
  <c r="AT80" i="2"/>
  <c r="AT48" i="2"/>
  <c r="AT16" i="2"/>
  <c r="AT107" i="2"/>
  <c r="AT103" i="2"/>
  <c r="AT99" i="2"/>
  <c r="AT95" i="2"/>
  <c r="AT91" i="2"/>
  <c r="AT87" i="2"/>
  <c r="AT83" i="2"/>
  <c r="AT79" i="2"/>
  <c r="AT75" i="2"/>
  <c r="AT71" i="2"/>
  <c r="AT67" i="2"/>
  <c r="AT63" i="2"/>
  <c r="AT59" i="2"/>
  <c r="AT55" i="2"/>
  <c r="AT51" i="2"/>
  <c r="AT47" i="2"/>
  <c r="AT43" i="2"/>
  <c r="AT39" i="2"/>
  <c r="AT35" i="2"/>
  <c r="AT31" i="2"/>
  <c r="AT27" i="2"/>
  <c r="AT23" i="2"/>
  <c r="AT19" i="2"/>
  <c r="AT15" i="2"/>
  <c r="AT11" i="2"/>
  <c r="AT7" i="2"/>
  <c r="AT3" i="2"/>
  <c r="BC2" i="2" l="1"/>
  <c r="BA2" i="2"/>
  <c r="BE2" i="2" s="1"/>
  <c r="BD2" i="2"/>
  <c r="BE3" i="2" l="1"/>
  <c r="BE4" i="2"/>
</calcChain>
</file>

<file path=xl/connections.xml><?xml version="1.0" encoding="utf-8"?>
<connections xmlns="http://schemas.openxmlformats.org/spreadsheetml/2006/main">
  <connection id="1" odcFile="C:\Users\mespinoza\Documents\Mis archivos de origen de datos\192.168.1.8_POSEIDONSQL APPFVT_01 tbl_detalle_fill_rate.odc" keepAlive="1" name="192.168.1.8_POSEIDONSQL APPFVT_01 tbl_detalle_fill_rate" type="5" refreshedVersion="5" savePassword="1" background="1" saveData="1">
    <dbPr connection="Provider=SQLOLEDB.1;Password=S1nc0ntr4s3n4db4.2017;Persist Security Info=True;User ID=sa;Initial Catalog=APPFVT_01;Data Source=192.168.1.8\POSEIDONSQL;Use Procedure for Prepare=1;Auto Translate=True;Packet Size=4096;Workstation ID=CL-MV053;Use Encryption for Data=False;Tag with column collation when possible=False" command="&quot;APPFVT_01&quot;.&quot;dbo&quot;.&quot;tbl_detalle_fill_rate&quot;" commandType="3"/>
  </connection>
  <connection id="2" odcFile="C:\Users\mespinoza\Documents\Mis archivos de origen de datos\192.168.1.8_POSEIDONSQL APPFVT_01 tbl_picking_fill_rate.odc" keepAlive="1" name="192.168.1.8_POSEIDONSQL APPFVT_01 tbl_picking_fill_rate" type="5" refreshedVersion="5" savePassword="1" background="1" saveData="1">
    <dbPr connection="Provider=SQLOLEDB.1;Password=S1nc0ntr4s3n4db4.2017;Persist Security Info=True;User ID=sa;Initial Catalog=APPFVT_01;Data Source=192.168.1.8\POSEIDONSQL;Use Procedure for Prepare=1;Auto Translate=True;Packet Size=4096;Workstation ID=CL-MV053;Use Encryption for Data=False;Tag with column collation when possible=False" command="&quot;APPFVT_01&quot;.&quot;dbo&quot;.&quot;tbl_picking_fill_rate&quot;" commandType="3"/>
  </connection>
  <connection id="3" odcFile="C:\Users\mespinoza\Documents\Mis archivos de origen de datos\192.168.1.8_POSEIDONSQL APPFVT_01 tblFillRateFechas.odc" keepAlive="1" name="192.168.1.8_POSEIDONSQL APPFVT_01 tblFillRateFechas" type="5" refreshedVersion="5" savePassword="1" background="1" saveData="1">
    <dbPr connection="Provider=SQLOLEDB.1;Password=S1nc0ntr4s3n4db4.2017;Persist Security Info=True;User ID=sa;Initial Catalog=APPFVT_01;Data Source=192.168.1.8\POSEIDONSQL;Use Procedure for Prepare=1;Auto Translate=True;Packet Size=4096;Workstation ID=CL-MV053;Use Encryption for Data=False;Tag with column collation when possible=False" command="&quot;APPFVT_01&quot;.&quot;dbo&quot;.&quot;tblFillRateFechas&quot;" commandType="3"/>
  </connection>
</connections>
</file>

<file path=xl/sharedStrings.xml><?xml version="1.0" encoding="utf-8"?>
<sst xmlns="http://schemas.openxmlformats.org/spreadsheetml/2006/main" count="27148" uniqueCount="2008">
  <si>
    <t>car_codigo</t>
  </si>
  <si>
    <t>car_nombre</t>
  </si>
  <si>
    <t>con_ocnumero</t>
  </si>
  <si>
    <t>fecha_emision</t>
  </si>
  <si>
    <t>con_fechadespacho</t>
  </si>
  <si>
    <t>fecha_ingreso</t>
  </si>
  <si>
    <t>cant_order</t>
  </si>
  <si>
    <t>emb_cantidad</t>
  </si>
  <si>
    <t>fecha_despacho</t>
  </si>
  <si>
    <t>dev_cantidad</t>
  </si>
  <si>
    <t>LIDER</t>
  </si>
  <si>
    <t>Cant_Resultante</t>
  </si>
  <si>
    <t>1900-01-01</t>
  </si>
  <si>
    <t>Valida Cant</t>
  </si>
  <si>
    <t>Valida Fec</t>
  </si>
  <si>
    <t>Resultado</t>
  </si>
  <si>
    <t>Cump Orden %</t>
  </si>
  <si>
    <t>Total general</t>
  </si>
  <si>
    <t>Clientes</t>
  </si>
  <si>
    <t>Unds Devueltas</t>
  </si>
  <si>
    <t>Rembarcada</t>
  </si>
  <si>
    <t>Unds Embarcadas</t>
  </si>
  <si>
    <t>Unds Re embarcadas</t>
  </si>
  <si>
    <t>Cumpl Unds Real</t>
  </si>
  <si>
    <t xml:space="preserve"> Cumpl Unds Real</t>
  </si>
  <si>
    <t>Pend Embarque</t>
  </si>
  <si>
    <t>% Cumplimiento</t>
  </si>
  <si>
    <t>Contador OC</t>
  </si>
  <si>
    <t xml:space="preserve"> % Cumpl Fecha</t>
  </si>
  <si>
    <t>Ordenes de compra</t>
  </si>
  <si>
    <t>Total Unds.</t>
  </si>
  <si>
    <t>Cumplimiento por unidades</t>
  </si>
  <si>
    <t>Dentro del plazo</t>
  </si>
  <si>
    <t>Fuera del plazo</t>
  </si>
  <si>
    <t>Cumplimiento de fechas por cantidad de OC</t>
  </si>
  <si>
    <t>Cump Final</t>
  </si>
  <si>
    <t>% Real de cumplimiento</t>
  </si>
  <si>
    <t xml:space="preserve"> % Devolución</t>
  </si>
  <si>
    <t>DIA</t>
  </si>
  <si>
    <t>MES</t>
  </si>
  <si>
    <t>AÑO</t>
  </si>
  <si>
    <t>MIN</t>
  </si>
  <si>
    <t>MAX</t>
  </si>
  <si>
    <t>BUSCAR MES MIN</t>
  </si>
  <si>
    <t>BUSCAR MES MAX</t>
  </si>
  <si>
    <t>BUSCAR AÑO MAX</t>
  </si>
  <si>
    <t>BUSCAR AÑO MIN</t>
  </si>
  <si>
    <t>con_codigounico</t>
  </si>
  <si>
    <t>RIPLEY</t>
  </si>
  <si>
    <t>-</t>
  </si>
  <si>
    <t>HITES S.A.</t>
  </si>
  <si>
    <t>Contador Ventas</t>
  </si>
  <si>
    <t xml:space="preserve"> Contador Ventas</t>
  </si>
  <si>
    <t>PARIS</t>
  </si>
  <si>
    <t>ABCDIN</t>
  </si>
  <si>
    <t>SODIMAC S.A</t>
  </si>
  <si>
    <t>FALABELLA RETAIL S.A.</t>
  </si>
  <si>
    <t>EASY S.A.</t>
  </si>
  <si>
    <t>CLIENTE</t>
  </si>
  <si>
    <t>pro_codigointerno</t>
  </si>
  <si>
    <t>pro_nombre</t>
  </si>
  <si>
    <t>con_cantidad</t>
  </si>
  <si>
    <t>110301</t>
  </si>
  <si>
    <t>Bar de Canto Puerto Montt Tabaco</t>
  </si>
  <si>
    <t>165504</t>
  </si>
  <si>
    <t>Tabla de planchar Florence bco 55002</t>
  </si>
  <si>
    <t>161004</t>
  </si>
  <si>
    <t>Escritorio Nazca artico 1215</t>
  </si>
  <si>
    <t>161005</t>
  </si>
  <si>
    <t>Escritorio España kit castaño 1176</t>
  </si>
  <si>
    <t>160116</t>
  </si>
  <si>
    <t>Mesa de Centro Classic rustico malbec</t>
  </si>
  <si>
    <t>170778</t>
  </si>
  <si>
    <t>Rack Arterra rov tx - rov tx 52080</t>
  </si>
  <si>
    <t>161008</t>
  </si>
  <si>
    <t>Escritorio Fenix Artico</t>
  </si>
  <si>
    <t>161009</t>
  </si>
  <si>
    <t>Escritorio Olimpia aberto - artico</t>
  </si>
  <si>
    <t>161011</t>
  </si>
  <si>
    <t>Escritorio Curitiba artico</t>
  </si>
  <si>
    <t>161012</t>
  </si>
  <si>
    <t>kit dormitorio + modulo 1233 + 3017 aberto</t>
  </si>
  <si>
    <t>165368</t>
  </si>
  <si>
    <t>Comoda Dinamo 4C + 1P</t>
  </si>
  <si>
    <t>120011</t>
  </si>
  <si>
    <t xml:space="preserve">Home Roma </t>
  </si>
  <si>
    <t>120013</t>
  </si>
  <si>
    <t>Mesa para tv MDP Montana Nat - Bco glas</t>
  </si>
  <si>
    <t>165526</t>
  </si>
  <si>
    <t>Armario Itaim Puertas De Vidrio Ref: 3219 Bco</t>
  </si>
  <si>
    <t>170782</t>
  </si>
  <si>
    <t>Rack atacama pt mad castaño 160295</t>
  </si>
  <si>
    <t>120023</t>
  </si>
  <si>
    <t>Estante Aruba</t>
  </si>
  <si>
    <t>175118</t>
  </si>
  <si>
    <t>Respaldo Oregon 2plz + 2 veladores</t>
  </si>
  <si>
    <t>130290</t>
  </si>
  <si>
    <t>Rack New Montana bco</t>
  </si>
  <si>
    <t>181531</t>
  </si>
  <si>
    <t>Lavaplatos 100 Derecho C/Reb Blanco Notavel</t>
  </si>
  <si>
    <t>181533</t>
  </si>
  <si>
    <t>Lavaplatos 120 Derecho C/Reb Blanco Notavel</t>
  </si>
  <si>
    <t>181545A</t>
  </si>
  <si>
    <t>Respaldo Celaya</t>
  </si>
  <si>
    <t>181551</t>
  </si>
  <si>
    <t xml:space="preserve">Home Ipanema 1.80 </t>
  </si>
  <si>
    <t>181552</t>
  </si>
  <si>
    <t xml:space="preserve">Home Lara 1.35 </t>
  </si>
  <si>
    <t>181554</t>
  </si>
  <si>
    <t>Mesa Para TV Puerto Rico</t>
  </si>
  <si>
    <t>181566</t>
  </si>
  <si>
    <t>Depensa 1 Puerta alta</t>
  </si>
  <si>
    <t>181595</t>
  </si>
  <si>
    <t>Home Deneb</t>
  </si>
  <si>
    <t>181600</t>
  </si>
  <si>
    <t>Estante Cristal</t>
  </si>
  <si>
    <t>181624</t>
  </si>
  <si>
    <t>Rack tv palu</t>
  </si>
  <si>
    <t>181626</t>
  </si>
  <si>
    <t>Comedor francia 6+1</t>
  </si>
  <si>
    <t>181628</t>
  </si>
  <si>
    <t>Juego de 2 andres  1+4</t>
  </si>
  <si>
    <t>181630</t>
  </si>
  <si>
    <t>Juego de comedor sofia 1+6</t>
  </si>
  <si>
    <t>181640</t>
  </si>
  <si>
    <t>Kit Magazin 120</t>
  </si>
  <si>
    <t>181666</t>
  </si>
  <si>
    <t>COMODA 5 CAJONES GLADYS (PILAR)</t>
  </si>
  <si>
    <t>181759</t>
  </si>
  <si>
    <t>Rack Ovalle</t>
  </si>
  <si>
    <t>181749</t>
  </si>
  <si>
    <t>RACK MAYA</t>
  </si>
  <si>
    <t>181751</t>
  </si>
  <si>
    <t>HOME NINA</t>
  </si>
  <si>
    <t>181756</t>
  </si>
  <si>
    <t>Rack Line (New Zero)</t>
  </si>
  <si>
    <t>181708</t>
  </si>
  <si>
    <t>ZAPATERA TRIPLE FICUS</t>
  </si>
  <si>
    <t>181794</t>
  </si>
  <si>
    <t>Gabinete Burgos</t>
  </si>
  <si>
    <t>181806</t>
  </si>
  <si>
    <t>RACK LUCCA (RACK ROYAL)</t>
  </si>
  <si>
    <t>181824</t>
  </si>
  <si>
    <t xml:space="preserve">RESPALDO MONACO </t>
  </si>
  <si>
    <t>181810</t>
  </si>
  <si>
    <t>Rack Recife</t>
  </si>
  <si>
    <t>181876</t>
  </si>
  <si>
    <t>RACK STAR (QUARTZ)</t>
  </si>
  <si>
    <t>182076</t>
  </si>
  <si>
    <t>Kit Lavaplatos 80 Salmar Derecho</t>
  </si>
  <si>
    <t>pic_cantidad_encontrada</t>
  </si>
  <si>
    <t>emb_fechadespacho</t>
  </si>
  <si>
    <t>1</t>
  </si>
  <si>
    <t>3</t>
  </si>
  <si>
    <t>2</t>
  </si>
  <si>
    <t>4</t>
  </si>
  <si>
    <t>5</t>
  </si>
  <si>
    <t>182075</t>
  </si>
  <si>
    <t>Kit Lavaplatos 80 Salmar Izquierdo</t>
  </si>
  <si>
    <t>0</t>
  </si>
  <si>
    <t>2018-09-05</t>
  </si>
  <si>
    <t>2018-09-06</t>
  </si>
  <si>
    <t>2018-09-04</t>
  </si>
  <si>
    <t>2018-09-10</t>
  </si>
  <si>
    <t>161006</t>
  </si>
  <si>
    <t>Escritorio Lindoia artico/turquesa 1194</t>
  </si>
  <si>
    <t>181874</t>
  </si>
  <si>
    <t>Rack Felipe</t>
  </si>
  <si>
    <t>161010</t>
  </si>
  <si>
    <t>Escritorio Cali artico</t>
  </si>
  <si>
    <t>181662</t>
  </si>
  <si>
    <t>Respaldo Monaco</t>
  </si>
  <si>
    <t>0040000590001</t>
  </si>
  <si>
    <t>0040000622890</t>
  </si>
  <si>
    <t>0040000654787</t>
  </si>
  <si>
    <t>N° OC</t>
  </si>
  <si>
    <t>FECHA INGRESO</t>
  </si>
  <si>
    <t>FECHA EMISION</t>
  </si>
  <si>
    <t>FECHA COMPROMISO</t>
  </si>
  <si>
    <t>FECHA EMBARQUE</t>
  </si>
  <si>
    <t>CODIGO</t>
  </si>
  <si>
    <t>DESCRIPCION</t>
  </si>
  <si>
    <t>SOLICITADA</t>
  </si>
  <si>
    <t>ENCONTRADA</t>
  </si>
  <si>
    <t>DEVUELTA</t>
  </si>
  <si>
    <t>CANTIDADES</t>
  </si>
  <si>
    <t>EMBARCADA</t>
  </si>
  <si>
    <t>REEMBARCADA</t>
  </si>
  <si>
    <t>Cant Embarcada</t>
  </si>
  <si>
    <t xml:space="preserve">Cant Embarcada </t>
  </si>
  <si>
    <t>Cant Reembarcada</t>
  </si>
  <si>
    <t>Cumpl Real Unds</t>
  </si>
  <si>
    <t>CUMP REAL UNDS</t>
  </si>
  <si>
    <t>Pend Emb</t>
  </si>
  <si>
    <t>Cump Cant</t>
  </si>
  <si>
    <t>% CUMP UNDS</t>
  </si>
  <si>
    <t>CumpFecha</t>
  </si>
  <si>
    <t>181773</t>
  </si>
  <si>
    <t>Autoservicio Agatha</t>
  </si>
  <si>
    <t>181685</t>
  </si>
  <si>
    <t xml:space="preserve">Closet Anastasia (Ex Capelinha) </t>
  </si>
  <si>
    <t>181792</t>
  </si>
  <si>
    <t>Kit Cocina Palma + Counter</t>
  </si>
  <si>
    <t>181697</t>
  </si>
  <si>
    <t>RESPALDO SINAI (UN REGRUESO A LO LARGO)</t>
  </si>
  <si>
    <t>oc_numero</t>
  </si>
  <si>
    <t>pic_codigo</t>
  </si>
  <si>
    <t>pic_fila</t>
  </si>
  <si>
    <t>pro_codigo</t>
  </si>
  <si>
    <t>nombre_producto</t>
  </si>
  <si>
    <t>pro_codigoori</t>
  </si>
  <si>
    <t>pro_codigointernoori</t>
  </si>
  <si>
    <t>nombre_productoori</t>
  </si>
  <si>
    <t>codigo_unico</t>
  </si>
  <si>
    <t>cantidad_solicitada</t>
  </si>
  <si>
    <t>cantidad_encontrada</t>
  </si>
  <si>
    <t>181805</t>
  </si>
  <si>
    <t>RACK URBAN (RACK ARTERRA)</t>
  </si>
  <si>
    <t>181754</t>
  </si>
  <si>
    <t>Comoda 4 Cajones + Puertas Dubai</t>
  </si>
  <si>
    <t>CODIGO UNICO</t>
  </si>
  <si>
    <t>OC</t>
  </si>
  <si>
    <t>PICKING</t>
  </si>
  <si>
    <t>181681</t>
  </si>
  <si>
    <t>Estante Grande Barcelona</t>
  </si>
  <si>
    <t>181757</t>
  </si>
  <si>
    <t>Estante Lima</t>
  </si>
  <si>
    <t>170761</t>
  </si>
  <si>
    <t>Rack Royal ipe tx/ rovere</t>
  </si>
  <si>
    <t>181735</t>
  </si>
  <si>
    <t>Sofa  2 cuerpos Smith</t>
  </si>
  <si>
    <t>0040000628494</t>
  </si>
  <si>
    <t>181637</t>
  </si>
  <si>
    <t>Closet Rubi 12 ptas, 3 cajones</t>
  </si>
  <si>
    <t>165530</t>
  </si>
  <si>
    <t>Armario aereo con perchero 160395</t>
  </si>
  <si>
    <t>181813</t>
  </si>
  <si>
    <t>Rack Kemi</t>
  </si>
  <si>
    <t>181534</t>
  </si>
  <si>
    <t>Lavaplatos 120 Izquierdo C/Reb Blancoo Notavel</t>
  </si>
  <si>
    <t>181696</t>
  </si>
  <si>
    <t>Camarote 303</t>
  </si>
  <si>
    <t>181532</t>
  </si>
  <si>
    <t>Lavaplatos 100 Izquierdo C/Reb Blanco Notavel</t>
  </si>
  <si>
    <t>6</t>
  </si>
  <si>
    <t>181873</t>
  </si>
  <si>
    <t>Rack Jose</t>
  </si>
  <si>
    <t>181738</t>
  </si>
  <si>
    <t>MESA DE CENTRO ROSTCK</t>
  </si>
  <si>
    <t>181935</t>
  </si>
  <si>
    <t>Kit Cocina 80 Paula + Cubierta + Griferia</t>
  </si>
  <si>
    <t>181644</t>
  </si>
  <si>
    <t>Sofa 2 cuerpos sofia</t>
  </si>
  <si>
    <t>130269</t>
  </si>
  <si>
    <t>Rack basculante Nordico</t>
  </si>
  <si>
    <t>181609</t>
  </si>
  <si>
    <t>Poltrona Magno</t>
  </si>
  <si>
    <t>165523</t>
  </si>
  <si>
    <t>Armario Aereo Canela Ref: 3468 Blanco</t>
  </si>
  <si>
    <t>181594</t>
  </si>
  <si>
    <t>Rack Alma (onix)</t>
  </si>
  <si>
    <t>181515</t>
  </si>
  <si>
    <t>Poltrona Luna</t>
  </si>
  <si>
    <t>181611</t>
  </si>
  <si>
    <t>Poltrona Stuart</t>
  </si>
  <si>
    <t>181700</t>
  </si>
  <si>
    <t>COMODA  4 CAJONES CORONA 784</t>
  </si>
  <si>
    <t>181650A</t>
  </si>
  <si>
    <t>Comedor Corona 6+1 005/250</t>
  </si>
  <si>
    <t>181660</t>
  </si>
  <si>
    <t>COMEDOR TOLEDO 1+6</t>
  </si>
  <si>
    <t>165639</t>
  </si>
  <si>
    <t>Cocina Sheila + balcon sheila bco/griz</t>
  </si>
  <si>
    <t>130270</t>
  </si>
  <si>
    <t>Mesa TV Nordico</t>
  </si>
  <si>
    <t>181865</t>
  </si>
  <si>
    <t>Rack 350 Dali</t>
  </si>
  <si>
    <t>181866</t>
  </si>
  <si>
    <t>Mesa de centro 600 Dali</t>
  </si>
  <si>
    <t>165503</t>
  </si>
  <si>
    <t>Mueble Organizador Sinop Blanco</t>
  </si>
  <si>
    <t>165524</t>
  </si>
  <si>
    <t>Gabinete Guardaropa Ref: 3004 Bco</t>
  </si>
  <si>
    <t>165527</t>
  </si>
  <si>
    <t>Armario Organizador Limeira Ref: 3266 Bco</t>
  </si>
  <si>
    <t>165528</t>
  </si>
  <si>
    <t>Armario Aereo Ref: 3003 Bco</t>
  </si>
  <si>
    <t>181850</t>
  </si>
  <si>
    <t>KIT COCINA VITORIA (MAGAZIN 90)</t>
  </si>
  <si>
    <t>170120</t>
  </si>
  <si>
    <t>New Santiago</t>
  </si>
  <si>
    <t>Cant Embarcadas</t>
  </si>
  <si>
    <t>Pend Embarques</t>
  </si>
  <si>
    <t>PENDIENTE</t>
  </si>
  <si>
    <t>165531</t>
  </si>
  <si>
    <t>Armario organizador canela 3322 bco</t>
  </si>
  <si>
    <t>181777</t>
  </si>
  <si>
    <t>Cabinet Single Isis</t>
  </si>
  <si>
    <t>181872</t>
  </si>
  <si>
    <t>Rack Antonio (BR 281 Rack TV Stand - Favatex)</t>
  </si>
  <si>
    <t>181712</t>
  </si>
  <si>
    <t>VELADOR 1 CAJON TULIPAN</t>
  </si>
  <si>
    <t>181839</t>
  </si>
  <si>
    <t>Rack Jeri + Panel Niteroi</t>
  </si>
  <si>
    <t>181771</t>
  </si>
  <si>
    <t>Autoservicio Diva</t>
  </si>
  <si>
    <t>181765</t>
  </si>
  <si>
    <t>Rack Azteca</t>
  </si>
  <si>
    <t>181638</t>
  </si>
  <si>
    <t>Kit Yara 160</t>
  </si>
  <si>
    <t>181596</t>
  </si>
  <si>
    <t>Closet Onix Plus 6ptas. 2 cajones</t>
  </si>
  <si>
    <t>120066</t>
  </si>
  <si>
    <t xml:space="preserve">Mesa para TV MDP New Montana 2 negro -negro glass </t>
  </si>
  <si>
    <t>181827</t>
  </si>
  <si>
    <t>Bancada Avila</t>
  </si>
  <si>
    <t>181894</t>
  </si>
  <si>
    <t>Cristalera New Vina</t>
  </si>
  <si>
    <t>181704</t>
  </si>
  <si>
    <t>Rack Inca 2 Cajones</t>
  </si>
  <si>
    <t>181614</t>
  </si>
  <si>
    <t>Sofa 3 CPO. Grecia</t>
  </si>
  <si>
    <t>161007</t>
  </si>
  <si>
    <t>Escritorio Malta 2 cajones 1171</t>
  </si>
  <si>
    <t>165502</t>
  </si>
  <si>
    <t>Mueble Organizador Lucena Blanco</t>
  </si>
  <si>
    <t>181928</t>
  </si>
  <si>
    <t>Comedor Serena Rouge 1+6</t>
  </si>
  <si>
    <t>181521</t>
  </si>
  <si>
    <t>Poltrona Emilia</t>
  </si>
  <si>
    <t>181768</t>
  </si>
  <si>
    <t>Rack Br 375</t>
  </si>
  <si>
    <t>181713</t>
  </si>
  <si>
    <t>VELADOR 2 CAJONES DALIAS</t>
  </si>
  <si>
    <t>181934</t>
  </si>
  <si>
    <t>Panel Jabuti</t>
  </si>
  <si>
    <t>0390050000709976780101</t>
  </si>
  <si>
    <t>0390050000709993570101</t>
  </si>
  <si>
    <t>181631</t>
  </si>
  <si>
    <t>Juego de comedor 6+1 dinamarca</t>
  </si>
  <si>
    <t>0390050000709352680101</t>
  </si>
  <si>
    <t>0390050000709963860101</t>
  </si>
  <si>
    <t>181642</t>
  </si>
  <si>
    <t>Sofa 2 cuerpos antonia</t>
  </si>
  <si>
    <t>0390050000709999350101</t>
  </si>
  <si>
    <t>181782</t>
  </si>
  <si>
    <t>Kit Yara 160 (181638) +  Alacena (181641)</t>
  </si>
  <si>
    <t>181520</t>
  </si>
  <si>
    <t>Poltrona Violeta</t>
  </si>
  <si>
    <t>181930</t>
  </si>
  <si>
    <t>Comedor Italia Auria 1+4</t>
  </si>
  <si>
    <t>181811</t>
  </si>
  <si>
    <t xml:space="preserve">RACK DUE </t>
  </si>
  <si>
    <t>181814</t>
  </si>
  <si>
    <t>Rack Bravo (BR33)</t>
  </si>
  <si>
    <t>181837</t>
  </si>
  <si>
    <t>Rack Jeri</t>
  </si>
  <si>
    <t>0040000606239</t>
  </si>
  <si>
    <t>0040000642014</t>
  </si>
  <si>
    <t>0040000656352</t>
  </si>
  <si>
    <t>0390050000709706670101</t>
  </si>
  <si>
    <t>0390050000709700940101</t>
  </si>
  <si>
    <t>0390050000709989550101</t>
  </si>
  <si>
    <t>181929</t>
  </si>
  <si>
    <t>Comedor Serena Dark Rouge 1+6</t>
  </si>
  <si>
    <t>0390050000709978000101</t>
  </si>
  <si>
    <t>181767</t>
  </si>
  <si>
    <t>Panel Ipe</t>
  </si>
  <si>
    <t>0390050000710042090102</t>
  </si>
  <si>
    <t>0390050000710043110101</t>
  </si>
  <si>
    <t>0390050000709372710101</t>
  </si>
  <si>
    <t>0390050000710075200101</t>
  </si>
  <si>
    <t>181612</t>
  </si>
  <si>
    <t>Poltrona Lennon</t>
  </si>
  <si>
    <t>165525</t>
  </si>
  <si>
    <t>Armario Aereo Mayor Con Vidrio Ref:3247 Bco</t>
  </si>
  <si>
    <t>170781</t>
  </si>
  <si>
    <t>Aparador 2p pt mad castaño 160390</t>
  </si>
  <si>
    <t>0390050000709717640102</t>
  </si>
  <si>
    <t>0390050000709724460101</t>
  </si>
  <si>
    <t>181916</t>
  </si>
  <si>
    <t>Despensa 1 Puerta</t>
  </si>
  <si>
    <t>181906</t>
  </si>
  <si>
    <t>Cocina New Catalina</t>
  </si>
  <si>
    <t>181568</t>
  </si>
  <si>
    <t>Kit Cocina Catalina Blanco/Nogal</t>
  </si>
  <si>
    <t>0040000622892</t>
  </si>
  <si>
    <t>181812</t>
  </si>
  <si>
    <t>RACK ART</t>
  </si>
  <si>
    <t>140684</t>
  </si>
  <si>
    <t>Mesa de centro VIVA REF:909  COLORADO</t>
  </si>
  <si>
    <t>181864</t>
  </si>
  <si>
    <t>Mesa de centro Miró (Monet)</t>
  </si>
  <si>
    <t>0390050000710768030101</t>
  </si>
  <si>
    <t>0390050000710715510101</t>
  </si>
  <si>
    <t>0390050000710694590101</t>
  </si>
  <si>
    <t>95879792</t>
  </si>
  <si>
    <t>181718</t>
  </si>
  <si>
    <t>RECIBIDOR ESPEJO MARGARITA</t>
  </si>
  <si>
    <t>181863</t>
  </si>
  <si>
    <t>Arrimo Miró</t>
  </si>
  <si>
    <t>130271</t>
  </si>
  <si>
    <t>Mesa de centro Nordico</t>
  </si>
  <si>
    <t>130272</t>
  </si>
  <si>
    <t>Mesa lateral Nordico</t>
  </si>
  <si>
    <t>181589</t>
  </si>
  <si>
    <t>Arrimo Monet</t>
  </si>
  <si>
    <t>8</t>
  </si>
  <si>
    <t>181739</t>
  </si>
  <si>
    <t>RACK CHEMNITZ</t>
  </si>
  <si>
    <t>7</t>
  </si>
  <si>
    <t>130703</t>
  </si>
  <si>
    <t>Armario Aracaju puerta de vidrio</t>
  </si>
  <si>
    <t>2018-10-01</t>
  </si>
  <si>
    <t>2018-09-17</t>
  </si>
  <si>
    <t>2018-09-20</t>
  </si>
  <si>
    <t>2018-09-24</t>
  </si>
  <si>
    <t>2018-09-22</t>
  </si>
  <si>
    <t>2018-09-23</t>
  </si>
  <si>
    <t>2018-09-25</t>
  </si>
  <si>
    <t>2018-09-26</t>
  </si>
  <si>
    <t>2018-09-28</t>
  </si>
  <si>
    <t>2018-09-21</t>
  </si>
  <si>
    <t>2018-09-27</t>
  </si>
  <si>
    <t>CORONA</t>
  </si>
  <si>
    <t>2018-09-13</t>
  </si>
  <si>
    <t>2018-09-14</t>
  </si>
  <si>
    <t>2018-09-12</t>
  </si>
  <si>
    <t>2018-09-08</t>
  </si>
  <si>
    <t>2018-09-11</t>
  </si>
  <si>
    <t>2018-09-16</t>
  </si>
  <si>
    <t>181903</t>
  </si>
  <si>
    <t>Kit Cocina Milan Nuevo</t>
  </si>
  <si>
    <t>181504</t>
  </si>
  <si>
    <t>Mueble Despensa 2 Puerta Blanco</t>
  </si>
  <si>
    <t>95878345</t>
  </si>
  <si>
    <t>181841</t>
  </si>
  <si>
    <t xml:space="preserve">Estante New Aruba </t>
  </si>
  <si>
    <t>35802416</t>
  </si>
  <si>
    <t>35802423</t>
  </si>
  <si>
    <t>33695004</t>
  </si>
  <si>
    <t>34732958</t>
  </si>
  <si>
    <t>38656972</t>
  </si>
  <si>
    <t>38656919</t>
  </si>
  <si>
    <t>36975650</t>
  </si>
  <si>
    <t>33695046</t>
  </si>
  <si>
    <t>181627</t>
  </si>
  <si>
    <t>Juego de comedor oxford 1+6</t>
  </si>
  <si>
    <t>12708750361</t>
  </si>
  <si>
    <t>181615</t>
  </si>
  <si>
    <t xml:space="preserve">Berger Venecia </t>
  </si>
  <si>
    <t>226792758</t>
  </si>
  <si>
    <t>12712309050</t>
  </si>
  <si>
    <t>12712312050</t>
  </si>
  <si>
    <t>12712435391</t>
  </si>
  <si>
    <t>12711449351</t>
  </si>
  <si>
    <t>12712199484</t>
  </si>
  <si>
    <t>12710660252</t>
  </si>
  <si>
    <t>130254</t>
  </si>
  <si>
    <t>Mesa de centro dora</t>
  </si>
  <si>
    <t>12710837647</t>
  </si>
  <si>
    <t>181629</t>
  </si>
  <si>
    <t>Juego de comedor lauren 1+2+6</t>
  </si>
  <si>
    <t>12710881466</t>
  </si>
  <si>
    <t>12710608995</t>
  </si>
  <si>
    <t>12711084385</t>
  </si>
  <si>
    <t>12711107848</t>
  </si>
  <si>
    <t>12711162120</t>
  </si>
  <si>
    <t>12710611384</t>
  </si>
  <si>
    <t>0090091808178219011592</t>
  </si>
  <si>
    <t>0390050000685441220101</t>
  </si>
  <si>
    <t>181633</t>
  </si>
  <si>
    <t xml:space="preserve">Poltrona albi  </t>
  </si>
  <si>
    <t>0390050000685422840101</t>
  </si>
  <si>
    <t>140638</t>
  </si>
  <si>
    <t>Mesa De Centro Madera Hanna 2125 Sunset/Bco</t>
  </si>
  <si>
    <t>0390050000685231230101</t>
  </si>
  <si>
    <t>0390050000685308350101</t>
  </si>
  <si>
    <t>0390050000685381830101</t>
  </si>
  <si>
    <t>0390050000685365730101</t>
  </si>
  <si>
    <t>0570731808199788010069</t>
  </si>
  <si>
    <t>0990301808194799000506</t>
  </si>
  <si>
    <t>0980431808193007006406</t>
  </si>
  <si>
    <t>12714044485</t>
  </si>
  <si>
    <t>12714055931</t>
  </si>
  <si>
    <t>12713946629</t>
  </si>
  <si>
    <t>12713950770</t>
  </si>
  <si>
    <t>12713962421</t>
  </si>
  <si>
    <t>12713990653</t>
  </si>
  <si>
    <t>12713999328</t>
  </si>
  <si>
    <t>12714043372</t>
  </si>
  <si>
    <t>12713844819</t>
  </si>
  <si>
    <t>12713852807</t>
  </si>
  <si>
    <t>12713852777</t>
  </si>
  <si>
    <t>12713890038</t>
  </si>
  <si>
    <t>12713738354</t>
  </si>
  <si>
    <t>12713733427</t>
  </si>
  <si>
    <t>130643</t>
  </si>
  <si>
    <t>Closet Domani 6p 4c rovere tx</t>
  </si>
  <si>
    <t>12713735445</t>
  </si>
  <si>
    <t>12713743532</t>
  </si>
  <si>
    <t>12713821766</t>
  </si>
  <si>
    <t>12713840026</t>
  </si>
  <si>
    <t>12713650830</t>
  </si>
  <si>
    <t>12713675819</t>
  </si>
  <si>
    <t>12713713436</t>
  </si>
  <si>
    <t>12713643979</t>
  </si>
  <si>
    <t>122421970</t>
  </si>
  <si>
    <t>122422117</t>
  </si>
  <si>
    <t>122416421</t>
  </si>
  <si>
    <t>122417841</t>
  </si>
  <si>
    <t>122420356</t>
  </si>
  <si>
    <t>122400467</t>
  </si>
  <si>
    <t>122403375</t>
  </si>
  <si>
    <t>122409032</t>
  </si>
  <si>
    <t>122409404</t>
  </si>
  <si>
    <t>122387611</t>
  </si>
  <si>
    <t>0390050000691916540102</t>
  </si>
  <si>
    <t>0390050000691294650101</t>
  </si>
  <si>
    <t>0390050000691343200101</t>
  </si>
  <si>
    <t>0390050000691345400101</t>
  </si>
  <si>
    <t>160121</t>
  </si>
  <si>
    <t>Mesa de centro pt mad Cataño 160389</t>
  </si>
  <si>
    <t>23206988920001</t>
  </si>
  <si>
    <t>23206983118001</t>
  </si>
  <si>
    <t>23206985187001</t>
  </si>
  <si>
    <t>165694</t>
  </si>
  <si>
    <t xml:space="preserve">kit cocina Viviana </t>
  </si>
  <si>
    <t>23206986927001</t>
  </si>
  <si>
    <t>181723</t>
  </si>
  <si>
    <t>REPISA DRESDE</t>
  </si>
  <si>
    <t>181720</t>
  </si>
  <si>
    <t>New Rack Lottus</t>
  </si>
  <si>
    <t>165690</t>
  </si>
  <si>
    <t>Cocina Flavia teka - brown</t>
  </si>
  <si>
    <t>95568720</t>
  </si>
  <si>
    <t>0390050000694941510101</t>
  </si>
  <si>
    <t>0390050000694594210101</t>
  </si>
  <si>
    <t>165677</t>
  </si>
  <si>
    <t>Cocina 6 puertas kit 2306 bco negro</t>
  </si>
  <si>
    <t>0040000547734</t>
  </si>
  <si>
    <t>181825</t>
  </si>
  <si>
    <t xml:space="preserve">DESPENSA 1 PUERTA </t>
  </si>
  <si>
    <t>160111</t>
  </si>
  <si>
    <t>Mesa de Lateral ALBA bco laca - café</t>
  </si>
  <si>
    <t>12714442991</t>
  </si>
  <si>
    <t>38662020</t>
  </si>
  <si>
    <t>38662101</t>
  </si>
  <si>
    <t>36277470</t>
  </si>
  <si>
    <t>137357</t>
  </si>
  <si>
    <t>36350450</t>
  </si>
  <si>
    <t>35673767</t>
  </si>
  <si>
    <t>38662439</t>
  </si>
  <si>
    <t>38662502</t>
  </si>
  <si>
    <t>35368444</t>
  </si>
  <si>
    <t>34733184</t>
  </si>
  <si>
    <t>36277505</t>
  </si>
  <si>
    <t>181601</t>
  </si>
  <si>
    <t>Estante Delize</t>
  </si>
  <si>
    <t>34602374</t>
  </si>
  <si>
    <t>33774992</t>
  </si>
  <si>
    <t>35449038</t>
  </si>
  <si>
    <t>35368422</t>
  </si>
  <si>
    <t>38661787</t>
  </si>
  <si>
    <t>33266718</t>
  </si>
  <si>
    <t>36312274</t>
  </si>
  <si>
    <t>35208184</t>
  </si>
  <si>
    <t>23207025405001</t>
  </si>
  <si>
    <t>27207044632001</t>
  </si>
  <si>
    <t>181705</t>
  </si>
  <si>
    <t>MESA DE COMEDOR CON EXTENCION CANELA</t>
  </si>
  <si>
    <t>23207051994001</t>
  </si>
  <si>
    <t>23207056420001</t>
  </si>
  <si>
    <t>27207053655001</t>
  </si>
  <si>
    <t>23207058500001</t>
  </si>
  <si>
    <t>23207061672001</t>
  </si>
  <si>
    <t>27207051710001</t>
  </si>
  <si>
    <t>23206929545001</t>
  </si>
  <si>
    <t>23207074800002</t>
  </si>
  <si>
    <t>12717408550</t>
  </si>
  <si>
    <t>12717546252</t>
  </si>
  <si>
    <t>226859734</t>
  </si>
  <si>
    <t>0040000558226</t>
  </si>
  <si>
    <t>0040000642064</t>
  </si>
  <si>
    <t>0040000606240</t>
  </si>
  <si>
    <t>122761548</t>
  </si>
  <si>
    <t>122762535</t>
  </si>
  <si>
    <t>23207092325001</t>
  </si>
  <si>
    <t>122762996</t>
  </si>
  <si>
    <t>122751573</t>
  </si>
  <si>
    <t>122755659</t>
  </si>
  <si>
    <t>0390050000701277060102</t>
  </si>
  <si>
    <t>0390050000701514700101</t>
  </si>
  <si>
    <t>0390050000701566460101</t>
  </si>
  <si>
    <t>0390050000701439470102</t>
  </si>
  <si>
    <t>0390050000701421280102</t>
  </si>
  <si>
    <t>0390050000701464610101</t>
  </si>
  <si>
    <t>0390050000700006020101</t>
  </si>
  <si>
    <t>0980471809064437004608</t>
  </si>
  <si>
    <t>0390050000701605850101</t>
  </si>
  <si>
    <t>0390050000701723510101</t>
  </si>
  <si>
    <t>0390050000701634210101</t>
  </si>
  <si>
    <t>0390050000701684740101</t>
  </si>
  <si>
    <t>0390050000701571530101</t>
  </si>
  <si>
    <t>0390050000701668910101</t>
  </si>
  <si>
    <t>23207100415001</t>
  </si>
  <si>
    <t>23207102006001</t>
  </si>
  <si>
    <t>23207095825001</t>
  </si>
  <si>
    <t>23207095753001</t>
  </si>
  <si>
    <t>23207098123002</t>
  </si>
  <si>
    <t>23207075907001</t>
  </si>
  <si>
    <t>181530</t>
  </si>
  <si>
    <t>Lavaplatos 80 Izquierdo C/Reb Blanco Notavel</t>
  </si>
  <si>
    <t>95572177</t>
  </si>
  <si>
    <t>95920717</t>
  </si>
  <si>
    <t>95879661</t>
  </si>
  <si>
    <t>0040000641996</t>
  </si>
  <si>
    <t>0040000642025</t>
  </si>
  <si>
    <t>181733</t>
  </si>
  <si>
    <t>RESPALDO ELLE</t>
  </si>
  <si>
    <t>12718980710</t>
  </si>
  <si>
    <t>12718980758</t>
  </si>
  <si>
    <t>130298</t>
  </si>
  <si>
    <t>Lavaplato 120 eco importado bco</t>
  </si>
  <si>
    <t>12719014384</t>
  </si>
  <si>
    <t>12718690657</t>
  </si>
  <si>
    <t>12718947218</t>
  </si>
  <si>
    <t>122909583</t>
  </si>
  <si>
    <t>122915491</t>
  </si>
  <si>
    <t>122915689</t>
  </si>
  <si>
    <t>182080</t>
  </si>
  <si>
    <t>Kit Lavaplatos 120 Salmar Derecho</t>
  </si>
  <si>
    <t>0390050000704725230101</t>
  </si>
  <si>
    <t>181809</t>
  </si>
  <si>
    <t>Juego Comedor Valencia</t>
  </si>
  <si>
    <t>0390050000704007130101</t>
  </si>
  <si>
    <t>0390050000704654800101</t>
  </si>
  <si>
    <t>181815</t>
  </si>
  <si>
    <t>Poltrona Roxana 1 cuerpo</t>
  </si>
  <si>
    <t>0390050000704120690101</t>
  </si>
  <si>
    <t>0390050000704321250101</t>
  </si>
  <si>
    <t>0390050000704469800101</t>
  </si>
  <si>
    <t>181643</t>
  </si>
  <si>
    <t>Sofa 2 cuerpos catalina</t>
  </si>
  <si>
    <t>0390050000697015070101</t>
  </si>
  <si>
    <t>35344588</t>
  </si>
  <si>
    <t>35368552</t>
  </si>
  <si>
    <t>35690404</t>
  </si>
  <si>
    <t>37364272</t>
  </si>
  <si>
    <t>181826</t>
  </si>
  <si>
    <t>Despensa 2 puertas</t>
  </si>
  <si>
    <t>35344629</t>
  </si>
  <si>
    <t>33847563</t>
  </si>
  <si>
    <t>35064463</t>
  </si>
  <si>
    <t>35802862</t>
  </si>
  <si>
    <t>30177806</t>
  </si>
  <si>
    <t>36164176</t>
  </si>
  <si>
    <t>38666031</t>
  </si>
  <si>
    <t>23207184528001</t>
  </si>
  <si>
    <t>27207185380001</t>
  </si>
  <si>
    <t>27207185410001</t>
  </si>
  <si>
    <t>181817</t>
  </si>
  <si>
    <t>Poltrona Belen 1 cuerpo</t>
  </si>
  <si>
    <t>27207152519004</t>
  </si>
  <si>
    <t>23207156096001</t>
  </si>
  <si>
    <t>23207168245001</t>
  </si>
  <si>
    <t>23207182927001</t>
  </si>
  <si>
    <t>23207183703001</t>
  </si>
  <si>
    <t>181875</t>
  </si>
  <si>
    <t>MESA CENTRO PLUS</t>
  </si>
  <si>
    <t>23207182310001</t>
  </si>
  <si>
    <t>23207166196001</t>
  </si>
  <si>
    <t>23207165615002</t>
  </si>
  <si>
    <t>23207177792001</t>
  </si>
  <si>
    <t>23207179203001</t>
  </si>
  <si>
    <t>23207179473001</t>
  </si>
  <si>
    <t>23207177663001</t>
  </si>
  <si>
    <t>23207200471001</t>
  </si>
  <si>
    <t>23207204318001</t>
  </si>
  <si>
    <t>23207191234001</t>
  </si>
  <si>
    <t>23207194437001</t>
  </si>
  <si>
    <t>23207197185001</t>
  </si>
  <si>
    <t>23207200200001</t>
  </si>
  <si>
    <t>23207199659001</t>
  </si>
  <si>
    <t>0980431808193007006407</t>
  </si>
  <si>
    <t>0390050000683997860102</t>
  </si>
  <si>
    <t>0390050000684049220102</t>
  </si>
  <si>
    <t>0260591808174337008712</t>
  </si>
  <si>
    <t>0390050000680667200103</t>
  </si>
  <si>
    <t>0040331808069810015875</t>
  </si>
  <si>
    <t>0390050000685545090101</t>
  </si>
  <si>
    <t>0390050000685376050101</t>
  </si>
  <si>
    <t>0390050000684231500102</t>
  </si>
  <si>
    <t>0180711808170665007049</t>
  </si>
  <si>
    <t>0390050000684582490101</t>
  </si>
  <si>
    <t>0320411808070773012776</t>
  </si>
  <si>
    <t>0880491808070456000176</t>
  </si>
  <si>
    <t>0390050000676148850101</t>
  </si>
  <si>
    <t>0850311808071169002923</t>
  </si>
  <si>
    <t>0390050000684985780102</t>
  </si>
  <si>
    <t>0140341808180920011570</t>
  </si>
  <si>
    <t>0260601808189886013310</t>
  </si>
  <si>
    <t>0850021808187028006074</t>
  </si>
  <si>
    <t>0880501808193465017157</t>
  </si>
  <si>
    <t>0390050000679180520101</t>
  </si>
  <si>
    <t>0390050000677318860102</t>
  </si>
  <si>
    <t>0090231808081925018527</t>
  </si>
  <si>
    <t>0390050000676479520102</t>
  </si>
  <si>
    <t>0490551808085592014777</t>
  </si>
  <si>
    <t>0320101808094895004255</t>
  </si>
  <si>
    <t>0040391808073520000537</t>
  </si>
  <si>
    <t>38657162</t>
  </si>
  <si>
    <t>36975661</t>
  </si>
  <si>
    <t>34054621</t>
  </si>
  <si>
    <t>34732996</t>
  </si>
  <si>
    <t>35208064</t>
  </si>
  <si>
    <t>35288439</t>
  </si>
  <si>
    <t>130296</t>
  </si>
  <si>
    <t>Lavaplato 80 eco importado bco</t>
  </si>
  <si>
    <t>38657707</t>
  </si>
  <si>
    <t>33791108</t>
  </si>
  <si>
    <t>35208078</t>
  </si>
  <si>
    <t>181571</t>
  </si>
  <si>
    <t>RACK QUARTZ</t>
  </si>
  <si>
    <t>35344332</t>
  </si>
  <si>
    <t>34836313</t>
  </si>
  <si>
    <t>38658395</t>
  </si>
  <si>
    <t>38658258</t>
  </si>
  <si>
    <t>36356308</t>
  </si>
  <si>
    <t>35344344</t>
  </si>
  <si>
    <t>38657250</t>
  </si>
  <si>
    <t>34832903</t>
  </si>
  <si>
    <t>35344306</t>
  </si>
  <si>
    <t>0390050000690584090101</t>
  </si>
  <si>
    <t>0390050000691453590101</t>
  </si>
  <si>
    <t>0390050000691530760101</t>
  </si>
  <si>
    <t>165879A</t>
  </si>
  <si>
    <t>Bar Salamanca tabaco</t>
  </si>
  <si>
    <t>0390050000691525200101</t>
  </si>
  <si>
    <t>0390050000690974210101</t>
  </si>
  <si>
    <t>0390050000691010710101</t>
  </si>
  <si>
    <t>0390050000691046640103</t>
  </si>
  <si>
    <t>0390050000691046030101</t>
  </si>
  <si>
    <t>0390050000691150200102</t>
  </si>
  <si>
    <t>0390050000691237610103</t>
  </si>
  <si>
    <t>0390050000690743060101</t>
  </si>
  <si>
    <t>0790351808249672004560</t>
  </si>
  <si>
    <t>0390050000690928380101</t>
  </si>
  <si>
    <t>0250041808247694007578</t>
  </si>
  <si>
    <t>0390050000690735470101</t>
  </si>
  <si>
    <t>0390050000691957140101</t>
  </si>
  <si>
    <t>0390050000691959110101</t>
  </si>
  <si>
    <t>0390050000691956960101</t>
  </si>
  <si>
    <t>0390050000692064680101</t>
  </si>
  <si>
    <t>0390050000692075080101</t>
  </si>
  <si>
    <t>0390050000692089950101</t>
  </si>
  <si>
    <t>0390050000691704320101</t>
  </si>
  <si>
    <t>0220611808269220002192</t>
  </si>
  <si>
    <t>0390050000691773760101</t>
  </si>
  <si>
    <t>181688</t>
  </si>
  <si>
    <t>Combo Ancud  1,2,3,4,6</t>
  </si>
  <si>
    <t>0390050000691802710101</t>
  </si>
  <si>
    <t>0390050000691878920101</t>
  </si>
  <si>
    <t>0980471808263978004532</t>
  </si>
  <si>
    <t>0090091808258587011630</t>
  </si>
  <si>
    <t>0390050000690837380103</t>
  </si>
  <si>
    <t>0390050000690490070105</t>
  </si>
  <si>
    <t>0390050000690732330101</t>
  </si>
  <si>
    <t>0390050000689918760101</t>
  </si>
  <si>
    <t>0390050000689987710101</t>
  </si>
  <si>
    <t>0390050000690092970101</t>
  </si>
  <si>
    <t>0790161808206159008135</t>
  </si>
  <si>
    <t>0040331808200063015973</t>
  </si>
  <si>
    <t>0390050000685717100102</t>
  </si>
  <si>
    <t>165686</t>
  </si>
  <si>
    <t>Balcon 2140</t>
  </si>
  <si>
    <t>38658092</t>
  </si>
  <si>
    <t>226814283</t>
  </si>
  <si>
    <t>12714905939</t>
  </si>
  <si>
    <t>12714805352</t>
  </si>
  <si>
    <t>181721</t>
  </si>
  <si>
    <t xml:space="preserve">New Rack Porto bello </t>
  </si>
  <si>
    <t>12714834604</t>
  </si>
  <si>
    <t>12714884548</t>
  </si>
  <si>
    <t>12714887181</t>
  </si>
  <si>
    <t>12714898682</t>
  </si>
  <si>
    <t>12714901399</t>
  </si>
  <si>
    <t>12714484830</t>
  </si>
  <si>
    <t>12714923124</t>
  </si>
  <si>
    <t>12714936520</t>
  </si>
  <si>
    <t>12715109923</t>
  </si>
  <si>
    <t>12715111247</t>
  </si>
  <si>
    <t>122512348</t>
  </si>
  <si>
    <t>122493286</t>
  </si>
  <si>
    <t>122502464</t>
  </si>
  <si>
    <t>181838</t>
  </si>
  <si>
    <t>Panel Niteroi</t>
  </si>
  <si>
    <t>122498802</t>
  </si>
  <si>
    <t>122502505</t>
  </si>
  <si>
    <t>0450451808297930013502</t>
  </si>
  <si>
    <t>0390050000693629520101</t>
  </si>
  <si>
    <t>0390050000693559760101</t>
  </si>
  <si>
    <t>0390050000693581460101</t>
  </si>
  <si>
    <t>0140181808290263009900</t>
  </si>
  <si>
    <t>0390050000693729160101</t>
  </si>
  <si>
    <t>0390050000693733480101</t>
  </si>
  <si>
    <t>0390050000693804760101</t>
  </si>
  <si>
    <t>0390050000693832550101</t>
  </si>
  <si>
    <t>0390050000693912190101</t>
  </si>
  <si>
    <t>0390050000692734210103</t>
  </si>
  <si>
    <t>0390050000693492390101</t>
  </si>
  <si>
    <t>181578</t>
  </si>
  <si>
    <t>Asador electrico giratorio M1/30-50HZ 14859</t>
  </si>
  <si>
    <t>0390050000696397510101</t>
  </si>
  <si>
    <t>181802</t>
  </si>
  <si>
    <t>RESPALDO ELQUI</t>
  </si>
  <si>
    <t>181803</t>
  </si>
  <si>
    <t>RESPALDO LIMARI</t>
  </si>
  <si>
    <t>181808</t>
  </si>
  <si>
    <t>Set 2 veladores Serena</t>
  </si>
  <si>
    <t>12716505724</t>
  </si>
  <si>
    <t>12716173343</t>
  </si>
  <si>
    <t>12716304358</t>
  </si>
  <si>
    <t>12716270509</t>
  </si>
  <si>
    <t>12716482506</t>
  </si>
  <si>
    <t>12716529492</t>
  </si>
  <si>
    <t>12716542071</t>
  </si>
  <si>
    <t>12716564653</t>
  </si>
  <si>
    <t>12716568996</t>
  </si>
  <si>
    <t>160122</t>
  </si>
  <si>
    <t>Mesa canto pt mad Castaño 160388</t>
  </si>
  <si>
    <t>12716591031</t>
  </si>
  <si>
    <t>12716459911</t>
  </si>
  <si>
    <t>0040000606241</t>
  </si>
  <si>
    <t>0040000642068</t>
  </si>
  <si>
    <t>0040000642001</t>
  </si>
  <si>
    <t>122617298</t>
  </si>
  <si>
    <t>0390050000696504570101</t>
  </si>
  <si>
    <t>0390050000696483780101</t>
  </si>
  <si>
    <t>0390050000696633110101</t>
  </si>
  <si>
    <t>0390050000696572690101</t>
  </si>
  <si>
    <t>0390050000696040850101</t>
  </si>
  <si>
    <t>0390050000696080740101</t>
  </si>
  <si>
    <t>0390050000696204820101</t>
  </si>
  <si>
    <t>0390050000696294610101</t>
  </si>
  <si>
    <t>0390050000696314450101</t>
  </si>
  <si>
    <t>0390050000695823690101</t>
  </si>
  <si>
    <t>0390050000695823740102</t>
  </si>
  <si>
    <t>0390050000696365930101</t>
  </si>
  <si>
    <t>0390050000696469470101</t>
  </si>
  <si>
    <t>0390050000696453130101</t>
  </si>
  <si>
    <t>190203</t>
  </si>
  <si>
    <t>Soporte LCD LPA16-46x</t>
  </si>
  <si>
    <t>0390050000695740350101</t>
  </si>
  <si>
    <t>181659</t>
  </si>
  <si>
    <t>COMBO SOPORTE KL22G-64T+TECLADO+KIT</t>
  </si>
  <si>
    <t>122661785</t>
  </si>
  <si>
    <t>181758</t>
  </si>
  <si>
    <t>Estante Palermo</t>
  </si>
  <si>
    <t>0040000654786</t>
  </si>
  <si>
    <t>181639</t>
  </si>
  <si>
    <t>kit Fit 120</t>
  </si>
  <si>
    <t>12718311903</t>
  </si>
  <si>
    <t>12718328970</t>
  </si>
  <si>
    <t>12718393282</t>
  </si>
  <si>
    <t>12718433315</t>
  </si>
  <si>
    <t>12718447244</t>
  </si>
  <si>
    <t>37791438</t>
  </si>
  <si>
    <t>33266860</t>
  </si>
  <si>
    <t>38664853</t>
  </si>
  <si>
    <t>38664986</t>
  </si>
  <si>
    <t>31594784</t>
  </si>
  <si>
    <t>37364256</t>
  </si>
  <si>
    <t>34836508</t>
  </si>
  <si>
    <t>37190379</t>
  </si>
  <si>
    <t>33266846</t>
  </si>
  <si>
    <t>181915</t>
  </si>
  <si>
    <t>Kit Cocina 2306 6 Puertas</t>
  </si>
  <si>
    <t>181919</t>
  </si>
  <si>
    <t>Respaldo Marcia (Bento)</t>
  </si>
  <si>
    <t>181677</t>
  </si>
  <si>
    <t>Set respaldo + 2 veladores  Marcia(New Bento)</t>
  </si>
  <si>
    <t>0040000656351</t>
  </si>
  <si>
    <t>0040000656358</t>
  </si>
  <si>
    <t>0040000641992</t>
  </si>
  <si>
    <t>0040000641993</t>
  </si>
  <si>
    <t>0390050000704690510101</t>
  </si>
  <si>
    <t>0390050000705249390101</t>
  </si>
  <si>
    <t>0390050000705438010101</t>
  </si>
  <si>
    <t>38665387</t>
  </si>
  <si>
    <t>35802850</t>
  </si>
  <si>
    <t>23207137991001</t>
  </si>
  <si>
    <t>23207191523001</t>
  </si>
  <si>
    <t>27207193523001</t>
  </si>
  <si>
    <t>23207194620001</t>
  </si>
  <si>
    <t>27207195123001</t>
  </si>
  <si>
    <t>23207198442002</t>
  </si>
  <si>
    <t>26207198515001</t>
  </si>
  <si>
    <t>23207187781001</t>
  </si>
  <si>
    <t>23207190720001</t>
  </si>
  <si>
    <t>23207192089001</t>
  </si>
  <si>
    <t>27207169102001</t>
  </si>
  <si>
    <t>27207211603001</t>
  </si>
  <si>
    <t>23207202536001</t>
  </si>
  <si>
    <t>23207206874001</t>
  </si>
  <si>
    <t>181663</t>
  </si>
  <si>
    <t>Estante Carla ( ex zara )</t>
  </si>
  <si>
    <t>27207208808001</t>
  </si>
  <si>
    <t>23207208559001</t>
  </si>
  <si>
    <t>27207210780001</t>
  </si>
  <si>
    <t>181796</t>
  </si>
  <si>
    <t>Gabinete Compostela</t>
  </si>
  <si>
    <t>23207209087001</t>
  </si>
  <si>
    <t>27207212815001</t>
  </si>
  <si>
    <t>12720849340</t>
  </si>
  <si>
    <t>12720873963</t>
  </si>
  <si>
    <t>12720950367</t>
  </si>
  <si>
    <t>12720833264</t>
  </si>
  <si>
    <t>123107467</t>
  </si>
  <si>
    <t>123094490</t>
  </si>
  <si>
    <t>123100018</t>
  </si>
  <si>
    <t>123101816</t>
  </si>
  <si>
    <t>123105049</t>
  </si>
  <si>
    <t>123105328</t>
  </si>
  <si>
    <t>123106276</t>
  </si>
  <si>
    <t>123090279</t>
  </si>
  <si>
    <t>0390050000708442440103</t>
  </si>
  <si>
    <t>0070561809203948000921</t>
  </si>
  <si>
    <t>0390050000708398760101</t>
  </si>
  <si>
    <t>12718272044</t>
  </si>
  <si>
    <t>12718298075</t>
  </si>
  <si>
    <t>12718299386</t>
  </si>
  <si>
    <t>12718304547</t>
  </si>
  <si>
    <t>130289</t>
  </si>
  <si>
    <t xml:space="preserve">TV Stand Puerto Rico Bco - Castaño </t>
  </si>
  <si>
    <t>12717966555</t>
  </si>
  <si>
    <t>12718069279</t>
  </si>
  <si>
    <t>12718111343</t>
  </si>
  <si>
    <t>130273</t>
  </si>
  <si>
    <t>Bar San Marino  tabaco</t>
  </si>
  <si>
    <t>12718224388</t>
  </si>
  <si>
    <t>12718242191</t>
  </si>
  <si>
    <t>12717956396</t>
  </si>
  <si>
    <t>12717972761</t>
  </si>
  <si>
    <t>181517</t>
  </si>
  <si>
    <t>Pouf Dalva</t>
  </si>
  <si>
    <t>12717996682</t>
  </si>
  <si>
    <t>12718068708</t>
  </si>
  <si>
    <t>226866855</t>
  </si>
  <si>
    <t>12718295227</t>
  </si>
  <si>
    <t>12716730881</t>
  </si>
  <si>
    <t>12716032152</t>
  </si>
  <si>
    <t>0390050000703260980101</t>
  </si>
  <si>
    <t>0390050000703121550101</t>
  </si>
  <si>
    <t>0390050000703046810101</t>
  </si>
  <si>
    <t>0390050000703112350101</t>
  </si>
  <si>
    <t>0390050000702186340101</t>
  </si>
  <si>
    <t>0390050000702228150101</t>
  </si>
  <si>
    <t>0390050000702163120101</t>
  </si>
  <si>
    <t>0390050000703214060101</t>
  </si>
  <si>
    <t>0390050000703173780104</t>
  </si>
  <si>
    <t>0390050000703199340101</t>
  </si>
  <si>
    <t>0390050000703213670101</t>
  </si>
  <si>
    <t>0390050000703114750101</t>
  </si>
  <si>
    <t>0390050000703424070101</t>
  </si>
  <si>
    <t>0390050000702810250102</t>
  </si>
  <si>
    <t>0390050000698484240102</t>
  </si>
  <si>
    <t>0250041809087975007636</t>
  </si>
  <si>
    <t>0390050000702452600102</t>
  </si>
  <si>
    <t>0390050000702461770101</t>
  </si>
  <si>
    <t>0260591809084899008949</t>
  </si>
  <si>
    <t>0390050000702520460101</t>
  </si>
  <si>
    <t>0390050000702570430101</t>
  </si>
  <si>
    <t>0390050000702604870101</t>
  </si>
  <si>
    <t>23207139188001</t>
  </si>
  <si>
    <t>23207148155001</t>
  </si>
  <si>
    <t>23207147835001</t>
  </si>
  <si>
    <t>23207152416001</t>
  </si>
  <si>
    <t>23207138841001</t>
  </si>
  <si>
    <t>23207139008001</t>
  </si>
  <si>
    <t>23207143048001</t>
  </si>
  <si>
    <t>27207146960001</t>
  </si>
  <si>
    <t>23207147431001</t>
  </si>
  <si>
    <t>23207139614001</t>
  </si>
  <si>
    <t>12719341800</t>
  </si>
  <si>
    <t>12719431013</t>
  </si>
  <si>
    <t>122949200</t>
  </si>
  <si>
    <t>122950656</t>
  </si>
  <si>
    <t>0390050000705091830102</t>
  </si>
  <si>
    <t>0390050000704263160101</t>
  </si>
  <si>
    <t>0390050000704459290102</t>
  </si>
  <si>
    <t>0390050000704512440101</t>
  </si>
  <si>
    <t>0390050000695179450101</t>
  </si>
  <si>
    <t>0390050000703173390102</t>
  </si>
  <si>
    <t>0390050000702886070101</t>
  </si>
  <si>
    <t>0390050000703017610101</t>
  </si>
  <si>
    <t>0390050000702883430101</t>
  </si>
  <si>
    <t>0390050000701925710101</t>
  </si>
  <si>
    <t>0390050000697758990101</t>
  </si>
  <si>
    <t>0390050000697330370101</t>
  </si>
  <si>
    <t>0390050000693207240101</t>
  </si>
  <si>
    <t>0390050000703320110101</t>
  </si>
  <si>
    <t>0190451809093512011957</t>
  </si>
  <si>
    <t>0390050000708620470101</t>
  </si>
  <si>
    <t>0390050000708159070101</t>
  </si>
  <si>
    <t>0390050000707719640101</t>
  </si>
  <si>
    <t>0390050000708141220102</t>
  </si>
  <si>
    <t>0390050000708185990101</t>
  </si>
  <si>
    <t>0390050000708305740101</t>
  </si>
  <si>
    <t>0390050000708549020103</t>
  </si>
  <si>
    <t>0390050000707661400101</t>
  </si>
  <si>
    <t>0390050000708198470101</t>
  </si>
  <si>
    <t>0180631809097171012249</t>
  </si>
  <si>
    <t>95881168</t>
  </si>
  <si>
    <t>95881306</t>
  </si>
  <si>
    <t>123143974</t>
  </si>
  <si>
    <t>123144215</t>
  </si>
  <si>
    <t>123145225</t>
  </si>
  <si>
    <t>123145323</t>
  </si>
  <si>
    <t>123145886</t>
  </si>
  <si>
    <t>123137517</t>
  </si>
  <si>
    <t>20180922003226297917</t>
  </si>
  <si>
    <t>123139696</t>
  </si>
  <si>
    <t>123139682</t>
  </si>
  <si>
    <t>123141452</t>
  </si>
  <si>
    <t>123142923</t>
  </si>
  <si>
    <t>123133273</t>
  </si>
  <si>
    <t>123122324</t>
  </si>
  <si>
    <t>123134292</t>
  </si>
  <si>
    <t>123134838</t>
  </si>
  <si>
    <t>123135341</t>
  </si>
  <si>
    <t>123137284</t>
  </si>
  <si>
    <t>123111688</t>
  </si>
  <si>
    <t>123121138</t>
  </si>
  <si>
    <t>123126835</t>
  </si>
  <si>
    <t>123127712</t>
  </si>
  <si>
    <t>123132772</t>
  </si>
  <si>
    <t>0760891809221621005994</t>
  </si>
  <si>
    <t>0390050000709468150101</t>
  </si>
  <si>
    <t>0390050000709580450101</t>
  </si>
  <si>
    <t>38657480</t>
  </si>
  <si>
    <t>34054610</t>
  </si>
  <si>
    <t>35344322</t>
  </si>
  <si>
    <t>35626373</t>
  </si>
  <si>
    <t>38657980</t>
  </si>
  <si>
    <t>38658012</t>
  </si>
  <si>
    <t>38658010</t>
  </si>
  <si>
    <t>12712664463</t>
  </si>
  <si>
    <t>12712516861</t>
  </si>
  <si>
    <t>12712429901</t>
  </si>
  <si>
    <t>226796732</t>
  </si>
  <si>
    <t>130267</t>
  </si>
  <si>
    <t>Home Turin Naturale</t>
  </si>
  <si>
    <t>0090051808200156002904</t>
  </si>
  <si>
    <t>0390050000685898320101</t>
  </si>
  <si>
    <t>0390050000685989090101</t>
  </si>
  <si>
    <t>0390050000685993630106</t>
  </si>
  <si>
    <t>0390050000685688830101</t>
  </si>
  <si>
    <t>0390050000685667990101</t>
  </si>
  <si>
    <t>0390050000685752460101</t>
  </si>
  <si>
    <t>0390050000685869280101</t>
  </si>
  <si>
    <t>0880501808203514017189</t>
  </si>
  <si>
    <t>140632</t>
  </si>
  <si>
    <t>Arrimo Hanna 2128 Sunset/Blanco</t>
  </si>
  <si>
    <t>0390050000686030320101</t>
  </si>
  <si>
    <t>0390050000685724160101</t>
  </si>
  <si>
    <t>23206860822001</t>
  </si>
  <si>
    <t>27206897198001</t>
  </si>
  <si>
    <t>181706</t>
  </si>
  <si>
    <t>BUFFET 2 PTAS. 3 CAJONES FLORENCE</t>
  </si>
  <si>
    <t>23206903375002</t>
  </si>
  <si>
    <t>27206900674001</t>
  </si>
  <si>
    <t>23206900308001</t>
  </si>
  <si>
    <t>23206904546001</t>
  </si>
  <si>
    <t>95567681</t>
  </si>
  <si>
    <t>95568787</t>
  </si>
  <si>
    <t>38656530</t>
  </si>
  <si>
    <t>95566867</t>
  </si>
  <si>
    <t>95567591</t>
  </si>
  <si>
    <t>95568714</t>
  </si>
  <si>
    <t>12712762510</t>
  </si>
  <si>
    <t>12712793224</t>
  </si>
  <si>
    <t>0040331808119920015924</t>
  </si>
  <si>
    <t>0100271808090678008188</t>
  </si>
  <si>
    <t>0390050000691963890101</t>
  </si>
  <si>
    <t>0390050000691333220101</t>
  </si>
  <si>
    <t>0790161808246283008153</t>
  </si>
  <si>
    <t>0390050000690818270101</t>
  </si>
  <si>
    <t>0220731808246443010330</t>
  </si>
  <si>
    <t>0390050000690350150102</t>
  </si>
  <si>
    <t>0390050000689836650102</t>
  </si>
  <si>
    <t>0260751808225359008985</t>
  </si>
  <si>
    <t>0850021808146828006058</t>
  </si>
  <si>
    <t>122214822</t>
  </si>
  <si>
    <t>122420993</t>
  </si>
  <si>
    <t>122421550</t>
  </si>
  <si>
    <t>122419180</t>
  </si>
  <si>
    <t>122377840</t>
  </si>
  <si>
    <t>122406517</t>
  </si>
  <si>
    <t>140679</t>
  </si>
  <si>
    <t>Arrimo Monaco amarillo</t>
  </si>
  <si>
    <t>12713847100</t>
  </si>
  <si>
    <t>12713869942</t>
  </si>
  <si>
    <t>12713699488</t>
  </si>
  <si>
    <t>12713702652</t>
  </si>
  <si>
    <t>12713702744</t>
  </si>
  <si>
    <t>12713418362</t>
  </si>
  <si>
    <t>12712765672</t>
  </si>
  <si>
    <t>12713465342</t>
  </si>
  <si>
    <t>12712549838</t>
  </si>
  <si>
    <t>12708876528</t>
  </si>
  <si>
    <t>12709650561</t>
  </si>
  <si>
    <t>12712755055</t>
  </si>
  <si>
    <t>0451001808041401009676</t>
  </si>
  <si>
    <t>181529</t>
  </si>
  <si>
    <t>Lavaplatos 80 Derecho C/Reb Blanco Notavel</t>
  </si>
  <si>
    <t>181632</t>
  </si>
  <si>
    <t>Juego de comedor mali 6+1</t>
  </si>
  <si>
    <t>0390050000693360580101</t>
  </si>
  <si>
    <t>0390050000693596560101</t>
  </si>
  <si>
    <t>0390050000693504280102</t>
  </si>
  <si>
    <t>0390050000692912600101</t>
  </si>
  <si>
    <t>0390050000692918200101</t>
  </si>
  <si>
    <t>181831</t>
  </si>
  <si>
    <t>CORNER TOMASO AZUL</t>
  </si>
  <si>
    <t>181832</t>
  </si>
  <si>
    <t>CORNER JAMES (TOMASO)</t>
  </si>
  <si>
    <t>35208168</t>
  </si>
  <si>
    <t>36090131</t>
  </si>
  <si>
    <t>34733123</t>
  </si>
  <si>
    <t>36163999</t>
  </si>
  <si>
    <t>36090109</t>
  </si>
  <si>
    <t>33160742</t>
  </si>
  <si>
    <t>38660420</t>
  </si>
  <si>
    <t>38660549</t>
  </si>
  <si>
    <t>38660594</t>
  </si>
  <si>
    <t>34836383</t>
  </si>
  <si>
    <t>34349117</t>
  </si>
  <si>
    <t>38660826</t>
  </si>
  <si>
    <t>38659723</t>
  </si>
  <si>
    <t>35368316</t>
  </si>
  <si>
    <t>38659804</t>
  </si>
  <si>
    <t>23206991967001</t>
  </si>
  <si>
    <t>23207016255001</t>
  </si>
  <si>
    <t>27207015342001</t>
  </si>
  <si>
    <t>95571133</t>
  </si>
  <si>
    <t>110606</t>
  </si>
  <si>
    <t>Bar Chocolate</t>
  </si>
  <si>
    <t>130285</t>
  </si>
  <si>
    <t>Armario de Pared Maceio Bco</t>
  </si>
  <si>
    <t>130286</t>
  </si>
  <si>
    <t>Estante 1p PT Madera Castaño Argel</t>
  </si>
  <si>
    <t>140645</t>
  </si>
  <si>
    <t>Mesa de Centro Chocolate</t>
  </si>
  <si>
    <t>140669</t>
  </si>
  <si>
    <t>Velador Imperio 3 Cajonesref.: 760</t>
  </si>
  <si>
    <t>140670</t>
  </si>
  <si>
    <t>Cooda Imperio 2C+3Cref.: 761</t>
  </si>
  <si>
    <t>165509</t>
  </si>
  <si>
    <t>Organizador Classic bco 55004 Microonda</t>
  </si>
  <si>
    <t>181583</t>
  </si>
  <si>
    <t xml:space="preserve">KIT COCINA CAMILA </t>
  </si>
  <si>
    <t>0390050000696468760101</t>
  </si>
  <si>
    <t>0390050000696631480102</t>
  </si>
  <si>
    <t>0390050000695733990101</t>
  </si>
  <si>
    <t>0390050000695002150102</t>
  </si>
  <si>
    <t>0390050000694975740101</t>
  </si>
  <si>
    <t>0390050000694331390101</t>
  </si>
  <si>
    <t>0390050000693544380101</t>
  </si>
  <si>
    <t>0390050000693911100101</t>
  </si>
  <si>
    <t>0390050000691700510101</t>
  </si>
  <si>
    <t>0390050000696290650101</t>
  </si>
  <si>
    <t>0390050000695691680101</t>
  </si>
  <si>
    <t>0390050000695715320101</t>
  </si>
  <si>
    <t>0390050000695781060101</t>
  </si>
  <si>
    <t>0390050000695858770101</t>
  </si>
  <si>
    <t>0260591809014697008850</t>
  </si>
  <si>
    <t>0390050000694513370104</t>
  </si>
  <si>
    <t>0880501808313740017239</t>
  </si>
  <si>
    <t>0390050000691801820101</t>
  </si>
  <si>
    <t>95876559</t>
  </si>
  <si>
    <t>95453861</t>
  </si>
  <si>
    <t>95571829</t>
  </si>
  <si>
    <t>95571873</t>
  </si>
  <si>
    <t>95876217</t>
  </si>
  <si>
    <t>95175746</t>
  </si>
  <si>
    <t>38662903</t>
  </si>
  <si>
    <t>33281826</t>
  </si>
  <si>
    <t>12712793446</t>
  </si>
  <si>
    <t>181634</t>
  </si>
  <si>
    <t>Mesa de centro niza 1</t>
  </si>
  <si>
    <t>12712911284</t>
  </si>
  <si>
    <t>12712853058</t>
  </si>
  <si>
    <t>12712892279</t>
  </si>
  <si>
    <t>12712902039</t>
  </si>
  <si>
    <t>12712834347</t>
  </si>
  <si>
    <t>12712842175</t>
  </si>
  <si>
    <t>12712666801</t>
  </si>
  <si>
    <t>12712843912</t>
  </si>
  <si>
    <t>226804543</t>
  </si>
  <si>
    <t>12712884120</t>
  </si>
  <si>
    <t>122349006</t>
  </si>
  <si>
    <t>181818</t>
  </si>
  <si>
    <t xml:space="preserve">Poltrona Barbara 2 cuerpos </t>
  </si>
  <si>
    <t>122238320</t>
  </si>
  <si>
    <t>122234592</t>
  </si>
  <si>
    <t>0390050000686112020101</t>
  </si>
  <si>
    <t>0390050000685930820101</t>
  </si>
  <si>
    <t>0040391808213755000623</t>
  </si>
  <si>
    <t>0390050000686214630101</t>
  </si>
  <si>
    <t>0390050000686265710101</t>
  </si>
  <si>
    <t>0390050000686260870101</t>
  </si>
  <si>
    <t>0390050000686381630101</t>
  </si>
  <si>
    <t>0390050000686060540101</t>
  </si>
  <si>
    <t>0390050000686411090101</t>
  </si>
  <si>
    <t>0390050000685972910101</t>
  </si>
  <si>
    <t>23206920816001</t>
  </si>
  <si>
    <t>23206916999001</t>
  </si>
  <si>
    <t>23206890792001</t>
  </si>
  <si>
    <t>170211</t>
  </si>
  <si>
    <t>Rack prada</t>
  </si>
  <si>
    <t>23206912161001</t>
  </si>
  <si>
    <t>23206959055001</t>
  </si>
  <si>
    <t>23206959726001</t>
  </si>
  <si>
    <t>27206960897001</t>
  </si>
  <si>
    <t>26206933935001</t>
  </si>
  <si>
    <t>23206934027001</t>
  </si>
  <si>
    <t>23206934288001</t>
  </si>
  <si>
    <t>23206937664001</t>
  </si>
  <si>
    <t>181553</t>
  </si>
  <si>
    <t>Rack Arizona 1.71</t>
  </si>
  <si>
    <t>181543</t>
  </si>
  <si>
    <t>Set Respaldo 2 veladores pino</t>
  </si>
  <si>
    <t>226812234</t>
  </si>
  <si>
    <t>12714149500</t>
  </si>
  <si>
    <t>12714127720</t>
  </si>
  <si>
    <t>122462971</t>
  </si>
  <si>
    <t>122449578</t>
  </si>
  <si>
    <t>122459221</t>
  </si>
  <si>
    <t>122461548</t>
  </si>
  <si>
    <t>0390050000692491220101</t>
  </si>
  <si>
    <t>0320661808270453001591</t>
  </si>
  <si>
    <t>12714232356</t>
  </si>
  <si>
    <t>12714234381</t>
  </si>
  <si>
    <t>12714279627</t>
  </si>
  <si>
    <t>181661</t>
  </si>
  <si>
    <t>COMEDOR YORK 1+6</t>
  </si>
  <si>
    <t>190109</t>
  </si>
  <si>
    <t>Soporte LCD PB 119MP</t>
  </si>
  <si>
    <t>190201</t>
  </si>
  <si>
    <t>Soporte LCD LP09-46T</t>
  </si>
  <si>
    <t>12715319353</t>
  </si>
  <si>
    <t>226838050</t>
  </si>
  <si>
    <t>12715381398</t>
  </si>
  <si>
    <t>12715406121</t>
  </si>
  <si>
    <t>12715459837</t>
  </si>
  <si>
    <t>12715271460</t>
  </si>
  <si>
    <t>122531286</t>
  </si>
  <si>
    <t>122536416</t>
  </si>
  <si>
    <t>181901</t>
  </si>
  <si>
    <t>Cocina Marion ( Cocina Vivence)</t>
  </si>
  <si>
    <t>122530758</t>
  </si>
  <si>
    <t>0390050000694012220103</t>
  </si>
  <si>
    <t>0390050000694132500101</t>
  </si>
  <si>
    <t>0390050000694220060101</t>
  </si>
  <si>
    <t>0390050000693238100101</t>
  </si>
  <si>
    <t>0390050000694401040102</t>
  </si>
  <si>
    <t>0390050000694263390102</t>
  </si>
  <si>
    <t>23207024375001</t>
  </si>
  <si>
    <t>23207022997001</t>
  </si>
  <si>
    <t>27207023582001</t>
  </si>
  <si>
    <t>23206976644001</t>
  </si>
  <si>
    <t>23206976208001</t>
  </si>
  <si>
    <t>95570217</t>
  </si>
  <si>
    <t>181577</t>
  </si>
  <si>
    <t>Asador electrico giratorio M1/30-50HZ Preto 3 Espetos</t>
  </si>
  <si>
    <t>181579</t>
  </si>
  <si>
    <t xml:space="preserve">Set asador simple 2 unidades </t>
  </si>
  <si>
    <t>181580</t>
  </si>
  <si>
    <t xml:space="preserve">Set asador Triple 3 unidades </t>
  </si>
  <si>
    <t>181581</t>
  </si>
  <si>
    <t xml:space="preserve">Parrilla Multiuso </t>
  </si>
  <si>
    <t>35802762</t>
  </si>
  <si>
    <t>35368469</t>
  </si>
  <si>
    <t>33266755</t>
  </si>
  <si>
    <t>36073595</t>
  </si>
  <si>
    <t>23207063846001</t>
  </si>
  <si>
    <t>23207064467001</t>
  </si>
  <si>
    <t>23207069752001</t>
  </si>
  <si>
    <t>23207064281001</t>
  </si>
  <si>
    <t>23207062570001</t>
  </si>
  <si>
    <t>23207070384001</t>
  </si>
  <si>
    <t>23207048528001</t>
  </si>
  <si>
    <t>23207049361001</t>
  </si>
  <si>
    <t>23207052137001</t>
  </si>
  <si>
    <t>122622195</t>
  </si>
  <si>
    <t>122625786</t>
  </si>
  <si>
    <t>122622639</t>
  </si>
  <si>
    <t>12716830956</t>
  </si>
  <si>
    <t>12716737385</t>
  </si>
  <si>
    <t>12716762233</t>
  </si>
  <si>
    <t>12716791325</t>
  </si>
  <si>
    <t>12716711392</t>
  </si>
  <si>
    <t>12716874738</t>
  </si>
  <si>
    <t>12716880524</t>
  </si>
  <si>
    <t>0390050000702628870101</t>
  </si>
  <si>
    <t>0390050000702686580101</t>
  </si>
  <si>
    <t>0390050000702005960101</t>
  </si>
  <si>
    <t>0390050000702078270101</t>
  </si>
  <si>
    <t>0390050000702055740101</t>
  </si>
  <si>
    <t>0390050000702056550101</t>
  </si>
  <si>
    <t>0260591809074883008943</t>
  </si>
  <si>
    <t>0390050000702185600101</t>
  </si>
  <si>
    <t>0390050000702261530101</t>
  </si>
  <si>
    <t>0390050000701560780101</t>
  </si>
  <si>
    <t>0390050000701600390101</t>
  </si>
  <si>
    <t>0390050000701785390101</t>
  </si>
  <si>
    <t>0390050000701859730101</t>
  </si>
  <si>
    <t>0030121809075091013061</t>
  </si>
  <si>
    <t>0390050000701482980101</t>
  </si>
  <si>
    <t>0390050000697905340101</t>
  </si>
  <si>
    <t>0260591809064846008917</t>
  </si>
  <si>
    <t>130728</t>
  </si>
  <si>
    <t>Closet Capelinha</t>
  </si>
  <si>
    <t>37364135</t>
  </si>
  <si>
    <t>34602416</t>
  </si>
  <si>
    <t>36090240</t>
  </si>
  <si>
    <t>181804</t>
  </si>
  <si>
    <t>CLOSET 6 PUERTAS 2 CAJONES</t>
  </si>
  <si>
    <t>181608</t>
  </si>
  <si>
    <t>Sofa Seccional  Cecilia</t>
  </si>
  <si>
    <t>12720141321</t>
  </si>
  <si>
    <t>12720099790</t>
  </si>
  <si>
    <t>12720156912</t>
  </si>
  <si>
    <t>122962014</t>
  </si>
  <si>
    <t>122962913</t>
  </si>
  <si>
    <t>122965424</t>
  </si>
  <si>
    <t>122966836</t>
  </si>
  <si>
    <t>122956122</t>
  </si>
  <si>
    <t>122958708</t>
  </si>
  <si>
    <t>122958467</t>
  </si>
  <si>
    <t>122959214</t>
  </si>
  <si>
    <t>122958648</t>
  </si>
  <si>
    <t>122962134</t>
  </si>
  <si>
    <t>0390050000705391160101</t>
  </si>
  <si>
    <t>0390050000705366940102</t>
  </si>
  <si>
    <t>0390050000705785030101</t>
  </si>
  <si>
    <t>0140181809130902009946</t>
  </si>
  <si>
    <t>0390050000705844950101</t>
  </si>
  <si>
    <t>0390050000705550600101</t>
  </si>
  <si>
    <t>0390050000705582900101</t>
  </si>
  <si>
    <t>95880169</t>
  </si>
  <si>
    <t>95880191</t>
  </si>
  <si>
    <t>0320661809211110001691</t>
  </si>
  <si>
    <t>0790161809217184008339</t>
  </si>
  <si>
    <t>0390050000708984030102</t>
  </si>
  <si>
    <t>0040391809214267000787</t>
  </si>
  <si>
    <t>0390050000709027820101</t>
  </si>
  <si>
    <t>0390050000709251710101</t>
  </si>
  <si>
    <t>0390050000709252950101</t>
  </si>
  <si>
    <t>0390050000709284840101</t>
  </si>
  <si>
    <t>0390050000708816330101</t>
  </si>
  <si>
    <t>0390050000708840840101</t>
  </si>
  <si>
    <t>0390050000708820210101</t>
  </si>
  <si>
    <t>0370211809223286011537</t>
  </si>
  <si>
    <t>0390050000709419310101</t>
  </si>
  <si>
    <t>12720703208</t>
  </si>
  <si>
    <t>123251355</t>
  </si>
  <si>
    <t>0390050000710176300101</t>
  </si>
  <si>
    <t>0390050000709864620101</t>
  </si>
  <si>
    <t>0390050000709955230101</t>
  </si>
  <si>
    <t>181753</t>
  </si>
  <si>
    <t>Cocina Milanessa</t>
  </si>
  <si>
    <t>181684</t>
  </si>
  <si>
    <t>Cocina Milan (New Arezzo)</t>
  </si>
  <si>
    <t>95568854</t>
  </si>
  <si>
    <t>95568935</t>
  </si>
  <si>
    <t>12713175548</t>
  </si>
  <si>
    <t>226807438</t>
  </si>
  <si>
    <t>12713061414</t>
  </si>
  <si>
    <t>12714288261</t>
  </si>
  <si>
    <t>12714199284</t>
  </si>
  <si>
    <t>12714271447</t>
  </si>
  <si>
    <t>12713896559</t>
  </si>
  <si>
    <t>0390050000692483660101</t>
  </si>
  <si>
    <t>0390050000692052190101</t>
  </si>
  <si>
    <t>0390050000692170620101</t>
  </si>
  <si>
    <t>0390050000692164270101</t>
  </si>
  <si>
    <t>0390050000678835840101</t>
  </si>
  <si>
    <t>0390050000692241400101</t>
  </si>
  <si>
    <t>0390050000692197710101</t>
  </si>
  <si>
    <t>0390050000692391110101</t>
  </si>
  <si>
    <t>0090091808278647011632</t>
  </si>
  <si>
    <t>0390050000692365060101</t>
  </si>
  <si>
    <t>0390050000692005530101</t>
  </si>
  <si>
    <t>0390050000692061470101</t>
  </si>
  <si>
    <t>0390050000691727250103</t>
  </si>
  <si>
    <t>0390050000691890900101</t>
  </si>
  <si>
    <t>0390050000691312730102</t>
  </si>
  <si>
    <t>0390050000691210270101</t>
  </si>
  <si>
    <t>0460531808243429003762</t>
  </si>
  <si>
    <t>0990341808154379000791</t>
  </si>
  <si>
    <t>0160331808159459016452</t>
  </si>
  <si>
    <t>0880501808153366017138</t>
  </si>
  <si>
    <t>0140181808129943009857</t>
  </si>
  <si>
    <t>0180211808123398008015</t>
  </si>
  <si>
    <t>0040391808143633000577</t>
  </si>
  <si>
    <t>0220731808065681010101</t>
  </si>
  <si>
    <t>0040000656350</t>
  </si>
  <si>
    <t>0040000628906</t>
  </si>
  <si>
    <t>36020816</t>
  </si>
  <si>
    <t>37363758</t>
  </si>
  <si>
    <t>34733047</t>
  </si>
  <si>
    <t>35368331</t>
  </si>
  <si>
    <t>34733056</t>
  </si>
  <si>
    <t>35468033</t>
  </si>
  <si>
    <t>38660303</t>
  </si>
  <si>
    <t>38660194</t>
  </si>
  <si>
    <t>181770</t>
  </si>
  <si>
    <t>Estante TV Polo</t>
  </si>
  <si>
    <t>0040000669426</t>
  </si>
  <si>
    <t>181795</t>
  </si>
  <si>
    <t>Tabla de Planchar Murcia</t>
  </si>
  <si>
    <t>0040000669427</t>
  </si>
  <si>
    <t>38661636</t>
  </si>
  <si>
    <t>38661550</t>
  </si>
  <si>
    <t>34054758</t>
  </si>
  <si>
    <t>34054778</t>
  </si>
  <si>
    <t>35656057</t>
  </si>
  <si>
    <t>36073507</t>
  </si>
  <si>
    <t>35742021</t>
  </si>
  <si>
    <t>12715574424</t>
  </si>
  <si>
    <t>12715411637</t>
  </si>
  <si>
    <t>12715664354</t>
  </si>
  <si>
    <t>12715680934</t>
  </si>
  <si>
    <t>12715711416</t>
  </si>
  <si>
    <t>12716196601</t>
  </si>
  <si>
    <t>12716244555</t>
  </si>
  <si>
    <t>12716245996</t>
  </si>
  <si>
    <t>12716295236</t>
  </si>
  <si>
    <t>12716298428</t>
  </si>
  <si>
    <t>12716295588</t>
  </si>
  <si>
    <t>12716058336</t>
  </si>
  <si>
    <t>12716061107</t>
  </si>
  <si>
    <t>12716142707</t>
  </si>
  <si>
    <t>12716147269</t>
  </si>
  <si>
    <t>12715986531</t>
  </si>
  <si>
    <t>12716038741</t>
  </si>
  <si>
    <t>12716053409</t>
  </si>
  <si>
    <t>12715781518</t>
  </si>
  <si>
    <t>12715786834</t>
  </si>
  <si>
    <t>12715801643</t>
  </si>
  <si>
    <t>12715811369</t>
  </si>
  <si>
    <t>12715824703</t>
  </si>
  <si>
    <t>12715780757</t>
  </si>
  <si>
    <t>12716888209</t>
  </si>
  <si>
    <t>12716760062</t>
  </si>
  <si>
    <t>12716826355</t>
  </si>
  <si>
    <t>12716043073</t>
  </si>
  <si>
    <t>0040000558224</t>
  </si>
  <si>
    <t>122633802</t>
  </si>
  <si>
    <t>122570611</t>
  </si>
  <si>
    <t>0390050000697100120101</t>
  </si>
  <si>
    <t>0390050000696933010101</t>
  </si>
  <si>
    <t>0390050000696758020101</t>
  </si>
  <si>
    <t>0390050000697085190101</t>
  </si>
  <si>
    <t>0390050000697107070101</t>
  </si>
  <si>
    <t>0390050000697105730101</t>
  </si>
  <si>
    <t>0390050000697115460101</t>
  </si>
  <si>
    <t>0390050000697114510101</t>
  </si>
  <si>
    <t>0390050000696694300101</t>
  </si>
  <si>
    <t>0390050000696975160101</t>
  </si>
  <si>
    <t>0390050000697022040101</t>
  </si>
  <si>
    <t>35288715</t>
  </si>
  <si>
    <t>36813580</t>
  </si>
  <si>
    <t>35208253</t>
  </si>
  <si>
    <t>38664568</t>
  </si>
  <si>
    <t>38664717</t>
  </si>
  <si>
    <t>35208269</t>
  </si>
  <si>
    <t>38663780</t>
  </si>
  <si>
    <t>38663978</t>
  </si>
  <si>
    <t>35344535</t>
  </si>
  <si>
    <t>36073634</t>
  </si>
  <si>
    <t>32119059</t>
  </si>
  <si>
    <t>170780</t>
  </si>
  <si>
    <t>Rack basculante pt mad Castaño 160387</t>
  </si>
  <si>
    <t>12717394419</t>
  </si>
  <si>
    <t>181869</t>
  </si>
  <si>
    <t>Rack  Pablo</t>
  </si>
  <si>
    <t>23207098982001</t>
  </si>
  <si>
    <t>23207101008001</t>
  </si>
  <si>
    <t>23207103614001</t>
  </si>
  <si>
    <t>23207120968001</t>
  </si>
  <si>
    <t>23207121991002</t>
  </si>
  <si>
    <t>23207103375001</t>
  </si>
  <si>
    <t>27207118615001</t>
  </si>
  <si>
    <t>27207119954001</t>
  </si>
  <si>
    <t>27207119985001</t>
  </si>
  <si>
    <t>27207137222001</t>
  </si>
  <si>
    <t>23207124235001</t>
  </si>
  <si>
    <t>23207129390001</t>
  </si>
  <si>
    <t>23207130791001</t>
  </si>
  <si>
    <t>23207137192002</t>
  </si>
  <si>
    <t>23207137094001</t>
  </si>
  <si>
    <t>23207130037001</t>
  </si>
  <si>
    <t>27207130314001</t>
  </si>
  <si>
    <t>23207130717001</t>
  </si>
  <si>
    <t>23207133940001</t>
  </si>
  <si>
    <t>23207135498001</t>
  </si>
  <si>
    <t>23206992243002</t>
  </si>
  <si>
    <t>181613</t>
  </si>
  <si>
    <t>Sofa 1 CPO. Italia</t>
  </si>
  <si>
    <t>23207121887001</t>
  </si>
  <si>
    <t>23207129396002</t>
  </si>
  <si>
    <t>12716826782</t>
  </si>
  <si>
    <t>122796123</t>
  </si>
  <si>
    <t>122797018</t>
  </si>
  <si>
    <t>122789366</t>
  </si>
  <si>
    <t>122792600</t>
  </si>
  <si>
    <t>122793003</t>
  </si>
  <si>
    <t>95880213</t>
  </si>
  <si>
    <t>95879790</t>
  </si>
  <si>
    <t>95880090</t>
  </si>
  <si>
    <t>94925109</t>
  </si>
  <si>
    <t>95880140</t>
  </si>
  <si>
    <t>95879769</t>
  </si>
  <si>
    <t>23207215661001</t>
  </si>
  <si>
    <t>123238768</t>
  </si>
  <si>
    <t>38663587</t>
  </si>
  <si>
    <t>12716438589</t>
  </si>
  <si>
    <t>123251804</t>
  </si>
  <si>
    <t>0390050000710570400101</t>
  </si>
  <si>
    <t>0390050000710690270101</t>
  </si>
  <si>
    <t>0390050000710671400101</t>
  </si>
  <si>
    <t>0390050000710705580101</t>
  </si>
  <si>
    <t>0390050000707057580102</t>
  </si>
  <si>
    <t>12713135436</t>
  </si>
  <si>
    <t>12713151030</t>
  </si>
  <si>
    <t>226805861</t>
  </si>
  <si>
    <t>12712881525</t>
  </si>
  <si>
    <t>12713032827</t>
  </si>
  <si>
    <t>12713098274</t>
  </si>
  <si>
    <t>12713154956</t>
  </si>
  <si>
    <t>12713013345</t>
  </si>
  <si>
    <t>12712736153</t>
  </si>
  <si>
    <t>122359415</t>
  </si>
  <si>
    <t>122364338</t>
  </si>
  <si>
    <t>0390050000689672770103</t>
  </si>
  <si>
    <t>0390050000689558690101</t>
  </si>
  <si>
    <t>0390050000689730190101</t>
  </si>
  <si>
    <t>0390050000689838260101</t>
  </si>
  <si>
    <t>0390050000689596040101</t>
  </si>
  <si>
    <t>0180631808226900012147</t>
  </si>
  <si>
    <t>0390050000689603780101</t>
  </si>
  <si>
    <t>95569112</t>
  </si>
  <si>
    <t>95569023</t>
  </si>
  <si>
    <t>27206920100001</t>
  </si>
  <si>
    <t>23206927570002</t>
  </si>
  <si>
    <t>12713345682</t>
  </si>
  <si>
    <t>12713466172</t>
  </si>
  <si>
    <t>12713472241</t>
  </si>
  <si>
    <t>12713482745</t>
  </si>
  <si>
    <t>12713490603</t>
  </si>
  <si>
    <t>12713502283</t>
  </si>
  <si>
    <t>12713434836</t>
  </si>
  <si>
    <t>34602320</t>
  </si>
  <si>
    <t>38659635</t>
  </si>
  <si>
    <t>38659684</t>
  </si>
  <si>
    <t>38659572</t>
  </si>
  <si>
    <t>35208141</t>
  </si>
  <si>
    <t>35208147</t>
  </si>
  <si>
    <t>34382573</t>
  </si>
  <si>
    <t>35344391</t>
  </si>
  <si>
    <t>181897</t>
  </si>
  <si>
    <t>Kit Criss (kit Priss)</t>
  </si>
  <si>
    <t>27206973503001</t>
  </si>
  <si>
    <t>23206974058002</t>
  </si>
  <si>
    <t>23206975222001</t>
  </si>
  <si>
    <t>27206982012001</t>
  </si>
  <si>
    <t>23206964044001</t>
  </si>
  <si>
    <t>27206968765001</t>
  </si>
  <si>
    <t>27206972550001</t>
  </si>
  <si>
    <t>23206980853001</t>
  </si>
  <si>
    <t>23206966112001</t>
  </si>
  <si>
    <t>23206978271001</t>
  </si>
  <si>
    <t>23206978589001</t>
  </si>
  <si>
    <t>40000558226</t>
  </si>
  <si>
    <t>40000669040</t>
  </si>
  <si>
    <t>40000669041</t>
  </si>
  <si>
    <t>40000656351</t>
  </si>
  <si>
    <t>181772</t>
  </si>
  <si>
    <t>Autoservicio Balli</t>
  </si>
  <si>
    <t>40000669046</t>
  </si>
  <si>
    <t>40000656358</t>
  </si>
  <si>
    <t>40000669427</t>
  </si>
  <si>
    <t>40000669052</t>
  </si>
  <si>
    <t>40000669053</t>
  </si>
  <si>
    <t>40000641992</t>
  </si>
  <si>
    <t>40000641993</t>
  </si>
  <si>
    <t>12713316880</t>
  </si>
  <si>
    <t>12712225039</t>
  </si>
  <si>
    <t>12716158821</t>
  </si>
  <si>
    <t>12716182130</t>
  </si>
  <si>
    <t>12716031315</t>
  </si>
  <si>
    <t>12715829531</t>
  </si>
  <si>
    <t>12715510378</t>
  </si>
  <si>
    <t>0040000642051</t>
  </si>
  <si>
    <t>0040000628880</t>
  </si>
  <si>
    <t>0040000558225</t>
  </si>
  <si>
    <t>122599629</t>
  </si>
  <si>
    <t>122600318</t>
  </si>
  <si>
    <t>122599011</t>
  </si>
  <si>
    <t>122588206</t>
  </si>
  <si>
    <t>122593934</t>
  </si>
  <si>
    <t>122595331</t>
  </si>
  <si>
    <t>122595792</t>
  </si>
  <si>
    <t>122596184</t>
  </si>
  <si>
    <t>181816</t>
  </si>
  <si>
    <t>Poltrona Rebeca 2 cuerpos</t>
  </si>
  <si>
    <t>122573209</t>
  </si>
  <si>
    <t>122577365</t>
  </si>
  <si>
    <t>122578520</t>
  </si>
  <si>
    <t>122586640</t>
  </si>
  <si>
    <t>122587054</t>
  </si>
  <si>
    <t>122589860</t>
  </si>
  <si>
    <t>122568622</t>
  </si>
  <si>
    <t>0451001808311936009816</t>
  </si>
  <si>
    <t>0570751809011174012726</t>
  </si>
  <si>
    <t>0140341809011287011632</t>
  </si>
  <si>
    <t>0390050000695287340101</t>
  </si>
  <si>
    <t>0140341809011287011631</t>
  </si>
  <si>
    <t>0390050000695301370101</t>
  </si>
  <si>
    <t>0390050000695286990101</t>
  </si>
  <si>
    <t>0970151809012234010628</t>
  </si>
  <si>
    <t>0390050000695316440101</t>
  </si>
  <si>
    <t>0390050000695316120101</t>
  </si>
  <si>
    <t>0040391809013952000691</t>
  </si>
  <si>
    <t>0040391809013952000690</t>
  </si>
  <si>
    <t>0180631809017052012206</t>
  </si>
  <si>
    <t>95876868</t>
  </si>
  <si>
    <t>95877006</t>
  </si>
  <si>
    <t>95876675</t>
  </si>
  <si>
    <t>95876685</t>
  </si>
  <si>
    <t>95876768</t>
  </si>
  <si>
    <t>95876835</t>
  </si>
  <si>
    <t>95876865</t>
  </si>
  <si>
    <t>181587</t>
  </si>
  <si>
    <t xml:space="preserve">Panel TV extensible Florencia </t>
  </si>
  <si>
    <t>38663381</t>
  </si>
  <si>
    <t>38663386</t>
  </si>
  <si>
    <t>38663403</t>
  </si>
  <si>
    <t>36277538</t>
  </si>
  <si>
    <t>37364090</t>
  </si>
  <si>
    <t>34054823</t>
  </si>
  <si>
    <t>35344520</t>
  </si>
  <si>
    <t>36164103</t>
  </si>
  <si>
    <t>35656125</t>
  </si>
  <si>
    <t>34054825</t>
  </si>
  <si>
    <t>12717217978</t>
  </si>
  <si>
    <t>12717233640</t>
  </si>
  <si>
    <t>12717354758</t>
  </si>
  <si>
    <t>12717167761</t>
  </si>
  <si>
    <t>12717178590</t>
  </si>
  <si>
    <t>95827386</t>
  </si>
  <si>
    <t>95911872</t>
  </si>
  <si>
    <t>95877552</t>
  </si>
  <si>
    <t>95877595</t>
  </si>
  <si>
    <t>95943171</t>
  </si>
  <si>
    <t>95877720</t>
  </si>
  <si>
    <t>95877205</t>
  </si>
  <si>
    <t>95877226</t>
  </si>
  <si>
    <t>38663455</t>
  </si>
  <si>
    <t>122795642</t>
  </si>
  <si>
    <t>122769425</t>
  </si>
  <si>
    <t>122769345</t>
  </si>
  <si>
    <t>122774551</t>
  </si>
  <si>
    <t>122775686</t>
  </si>
  <si>
    <t>12718382422</t>
  </si>
  <si>
    <t>12718589319</t>
  </si>
  <si>
    <t>12718672158</t>
  </si>
  <si>
    <t>12718717088</t>
  </si>
  <si>
    <t>12718748686</t>
  </si>
  <si>
    <t>0390050000703702280101</t>
  </si>
  <si>
    <t>0390050000703829640101</t>
  </si>
  <si>
    <t>0390050000704074140101</t>
  </si>
  <si>
    <t>0390050000703634730101</t>
  </si>
  <si>
    <t>0690261809103486001946</t>
  </si>
  <si>
    <t>0390050000703881980101</t>
  </si>
  <si>
    <t>0390050000704086460101</t>
  </si>
  <si>
    <t>0390050000704008370101</t>
  </si>
  <si>
    <t>0390050000703577310102</t>
  </si>
  <si>
    <t>0390050000703642670101</t>
  </si>
  <si>
    <t>0390050000703596000101</t>
  </si>
  <si>
    <t>0780651809074107009217</t>
  </si>
  <si>
    <t>0390050000702072320101</t>
  </si>
  <si>
    <t>0390050000702087190101</t>
  </si>
  <si>
    <t>0390050000702102400101</t>
  </si>
  <si>
    <t>0390050000701871280101</t>
  </si>
  <si>
    <t>0320661809070775001640</t>
  </si>
  <si>
    <t>95876926</t>
  </si>
  <si>
    <t>95879484</t>
  </si>
  <si>
    <t>95545984</t>
  </si>
  <si>
    <t>95849403</t>
  </si>
  <si>
    <t>95545987</t>
  </si>
  <si>
    <t>95879309</t>
  </si>
  <si>
    <t>95771612</t>
  </si>
  <si>
    <t>95879339</t>
  </si>
  <si>
    <t>95878738</t>
  </si>
  <si>
    <t>95878798</t>
  </si>
  <si>
    <t>95878864</t>
  </si>
  <si>
    <t>95880611</t>
  </si>
  <si>
    <t>95880484</t>
  </si>
  <si>
    <t>95880706</t>
  </si>
  <si>
    <t>95880744</t>
  </si>
  <si>
    <t>95880752</t>
  </si>
  <si>
    <t>95880814</t>
  </si>
  <si>
    <t>95880344</t>
  </si>
  <si>
    <t>95880366</t>
  </si>
  <si>
    <t>181668</t>
  </si>
  <si>
    <t>COMODA 4 CAJONES + PUERTA TALCAHUNO (DINAMO)</t>
  </si>
  <si>
    <t>94639106</t>
  </si>
  <si>
    <t>12720334587</t>
  </si>
  <si>
    <t>12720756556</t>
  </si>
  <si>
    <t>12720761406</t>
  </si>
  <si>
    <t>12720767309</t>
  </si>
  <si>
    <t>12720802260</t>
  </si>
  <si>
    <t>12720804653</t>
  </si>
  <si>
    <t>12720605717</t>
  </si>
  <si>
    <t>12720637060</t>
  </si>
  <si>
    <t>12720689076</t>
  </si>
  <si>
    <t>12720724807</t>
  </si>
  <si>
    <t>12720740463</t>
  </si>
  <si>
    <t>226888710</t>
  </si>
  <si>
    <t>226889786</t>
  </si>
  <si>
    <t>12720573863</t>
  </si>
  <si>
    <t>123076125</t>
  </si>
  <si>
    <t>123087049</t>
  </si>
  <si>
    <t>123087455</t>
  </si>
  <si>
    <t>123062041</t>
  </si>
  <si>
    <t>123063195</t>
  </si>
  <si>
    <t>123063201</t>
  </si>
  <si>
    <t>123066736</t>
  </si>
  <si>
    <t>20180915000500620298</t>
  </si>
  <si>
    <t>0260591808084086008642</t>
  </si>
  <si>
    <t>0390050000678672090102</t>
  </si>
  <si>
    <t>0390050000677764950101</t>
  </si>
  <si>
    <t>0390050000678211450102</t>
  </si>
  <si>
    <t>0390050000678668680101</t>
  </si>
  <si>
    <t>181840</t>
  </si>
  <si>
    <t>SET RESPALDO NEW MARCIA (BENTO)</t>
  </si>
  <si>
    <t>0390050000679253520101</t>
  </si>
  <si>
    <t>0390050000679308530101</t>
  </si>
  <si>
    <t>0390050000679316580101</t>
  </si>
  <si>
    <t>0390050000679205050101</t>
  </si>
  <si>
    <t>0390050000679328120101</t>
  </si>
  <si>
    <t>0090091808158120011573</t>
  </si>
  <si>
    <t>0390050000679800520104</t>
  </si>
  <si>
    <t>0390050000679685440101</t>
  </si>
  <si>
    <t>0390050000680403030102</t>
  </si>
  <si>
    <t>0390050000679811930101</t>
  </si>
  <si>
    <t>12710227837</t>
  </si>
  <si>
    <t>12710369193</t>
  </si>
  <si>
    <t>12710992346</t>
  </si>
  <si>
    <t>12710991585</t>
  </si>
  <si>
    <t>12711066824</t>
  </si>
  <si>
    <t>0320651808164768012485</t>
  </si>
  <si>
    <t>130299</t>
  </si>
  <si>
    <t>Mueble Despensa 1 Puerta Blanco</t>
  </si>
  <si>
    <t>38656588</t>
  </si>
  <si>
    <t>38656491</t>
  </si>
  <si>
    <t>38656597</t>
  </si>
  <si>
    <t>35208037</t>
  </si>
  <si>
    <t>12714366044</t>
  </si>
  <si>
    <t>12714393736</t>
  </si>
  <si>
    <t>12714408287</t>
  </si>
  <si>
    <t>12714280074</t>
  </si>
  <si>
    <t>140681</t>
  </si>
  <si>
    <t>Mesa lateral Monaco amarillo</t>
  </si>
  <si>
    <t>12714512526</t>
  </si>
  <si>
    <t>12714514742</t>
  </si>
  <si>
    <t>12714544893</t>
  </si>
  <si>
    <t>12714447804</t>
  </si>
  <si>
    <t>12714477702</t>
  </si>
  <si>
    <t>12714516548</t>
  </si>
  <si>
    <t>12714491029</t>
  </si>
  <si>
    <t>122488391</t>
  </si>
  <si>
    <t>0390050000692541910103</t>
  </si>
  <si>
    <t>0390050000692995790101</t>
  </si>
  <si>
    <t>0390050000693069770101</t>
  </si>
  <si>
    <t>0390050000693134950101</t>
  </si>
  <si>
    <t>0390050000693122980101</t>
  </si>
  <si>
    <t>0390050000693191540101</t>
  </si>
  <si>
    <t>0390050000692757300102</t>
  </si>
  <si>
    <t>0390050000692937940101</t>
  </si>
  <si>
    <t>0390050000692897010101</t>
  </si>
  <si>
    <t>23206988390001</t>
  </si>
  <si>
    <t>0980531809013660000993</t>
  </si>
  <si>
    <t>0390050000695397680101</t>
  </si>
  <si>
    <t>0390050000695352910101</t>
  </si>
  <si>
    <t>0390050000694703460101</t>
  </si>
  <si>
    <t>0390050000694713660101</t>
  </si>
  <si>
    <t>0390050000694753190101</t>
  </si>
  <si>
    <t>0260751808315783009080</t>
  </si>
  <si>
    <t>0140181809010340009906</t>
  </si>
  <si>
    <t>0390050000695239660102</t>
  </si>
  <si>
    <t>0260351809011930006120</t>
  </si>
  <si>
    <t>0390050000694556430101</t>
  </si>
  <si>
    <t>0390050000694556930102</t>
  </si>
  <si>
    <t>0390050000694622350101</t>
  </si>
  <si>
    <t>0390050000694634810101</t>
  </si>
  <si>
    <t>0390050000694702060101</t>
  </si>
  <si>
    <t>0390050000694671340101</t>
  </si>
  <si>
    <t>0390050000695673260101</t>
  </si>
  <si>
    <t>0390050000695726470101</t>
  </si>
  <si>
    <t>0780651809023960009189</t>
  </si>
  <si>
    <t>0390050000695707000101</t>
  </si>
  <si>
    <t>0390050000695716030101</t>
  </si>
  <si>
    <t>0320651809025175012587</t>
  </si>
  <si>
    <t>0390050000695848890101</t>
  </si>
  <si>
    <t>0390050000695823860101</t>
  </si>
  <si>
    <t>0390050000695862240101</t>
  </si>
  <si>
    <t>0390050000695712190101</t>
  </si>
  <si>
    <t>0390050000695907820101</t>
  </si>
  <si>
    <t>0390050000696035430101</t>
  </si>
  <si>
    <t>0390050000696043400101</t>
  </si>
  <si>
    <t>0390050000695857570101</t>
  </si>
  <si>
    <t>0390050000696032150102</t>
  </si>
  <si>
    <t>0390050000695768880101</t>
  </si>
  <si>
    <t>181605</t>
  </si>
  <si>
    <t>Comedor Bela Olimpia 1+6</t>
  </si>
  <si>
    <t>0390050000695539660101</t>
  </si>
  <si>
    <t>0390050000695666520101</t>
  </si>
  <si>
    <t>0390050000695676990101</t>
  </si>
  <si>
    <t>0990301809025096000577</t>
  </si>
  <si>
    <t>0390050000694782760101</t>
  </si>
  <si>
    <t>34602408</t>
  </si>
  <si>
    <t>35344528</t>
  </si>
  <si>
    <t>35344524</t>
  </si>
  <si>
    <t>27207092649001</t>
  </si>
  <si>
    <t>23207072066001</t>
  </si>
  <si>
    <t>23207074084001</t>
  </si>
  <si>
    <t>23207076377001</t>
  </si>
  <si>
    <t>23207080344001</t>
  </si>
  <si>
    <t>23207071210001</t>
  </si>
  <si>
    <t>27207075838001</t>
  </si>
  <si>
    <t>23207077789001</t>
  </si>
  <si>
    <t>12717179917</t>
  </si>
  <si>
    <t>122654816</t>
  </si>
  <si>
    <t>122648168</t>
  </si>
  <si>
    <t>122648701</t>
  </si>
  <si>
    <t>122653353</t>
  </si>
  <si>
    <t>0390050000697993910101</t>
  </si>
  <si>
    <t>0390050000697999230101</t>
  </si>
  <si>
    <t>0390050000698409420101</t>
  </si>
  <si>
    <t>0390050000698263730101</t>
  </si>
  <si>
    <t>0390050000697573640101</t>
  </si>
  <si>
    <t>0390050000697674880101</t>
  </si>
  <si>
    <t>0390050000697834900101</t>
  </si>
  <si>
    <t>0390050000697875570103</t>
  </si>
  <si>
    <t>0390050000697254930101</t>
  </si>
  <si>
    <t>0390050000698106430101</t>
  </si>
  <si>
    <t>0390050000698359000101</t>
  </si>
  <si>
    <t>0390050000693967000101</t>
  </si>
  <si>
    <t>0390050000697850080101</t>
  </si>
  <si>
    <t>0390050000697219240103</t>
  </si>
  <si>
    <t>0390050000697099710101</t>
  </si>
  <si>
    <t>0390050000697134290101</t>
  </si>
  <si>
    <t>0390050000697944130101</t>
  </si>
  <si>
    <t>95879029</t>
  </si>
  <si>
    <t>95510900</t>
  </si>
  <si>
    <t>95879234</t>
  </si>
  <si>
    <t>95709216</t>
  </si>
  <si>
    <t>95878430</t>
  </si>
  <si>
    <t>95878440</t>
  </si>
  <si>
    <t>95878470</t>
  </si>
  <si>
    <t>95878507</t>
  </si>
  <si>
    <t>95878728</t>
  </si>
  <si>
    <t>95877808</t>
  </si>
  <si>
    <t>95877991</t>
  </si>
  <si>
    <t>61265903</t>
  </si>
  <si>
    <t>95878338</t>
  </si>
  <si>
    <t>95877320</t>
  </si>
  <si>
    <t>95914397</t>
  </si>
  <si>
    <t>0040000656349</t>
  </si>
  <si>
    <t>0040000606237</t>
  </si>
  <si>
    <t>0040000628903</t>
  </si>
  <si>
    <t>0040000656347</t>
  </si>
  <si>
    <t>160112</t>
  </si>
  <si>
    <t>Mesa de Lateral LUCIANA Castaño bx - café</t>
  </si>
  <si>
    <t>122881463</t>
  </si>
  <si>
    <t>122890157</t>
  </si>
  <si>
    <t>122899441</t>
  </si>
  <si>
    <t>122784608</t>
  </si>
  <si>
    <t>122786648</t>
  </si>
  <si>
    <t>122769660</t>
  </si>
  <si>
    <t>95879568</t>
  </si>
  <si>
    <t>123074549</t>
  </si>
  <si>
    <t>123084918</t>
  </si>
  <si>
    <t>123058364</t>
  </si>
  <si>
    <t>122966536</t>
  </si>
  <si>
    <t>123056019</t>
  </si>
  <si>
    <t>122918871</t>
  </si>
  <si>
    <t>0390050000707761910101</t>
  </si>
  <si>
    <t>0390050000708057120101</t>
  </si>
  <si>
    <t>0390050000707153870101</t>
  </si>
  <si>
    <t>0320661809171065001683</t>
  </si>
  <si>
    <t>0390050000707471210101</t>
  </si>
  <si>
    <t>0390050000706591910101</t>
  </si>
  <si>
    <t>0390050000706747350101</t>
  </si>
  <si>
    <t>0390050000706699620101</t>
  </si>
  <si>
    <t>0390050000706963810101</t>
  </si>
  <si>
    <t>0450631809152368007840</t>
  </si>
  <si>
    <t>0390050000706078210101</t>
  </si>
  <si>
    <t>0390050000706177670101</t>
  </si>
  <si>
    <t>0390050000706133650101</t>
  </si>
  <si>
    <t>0390050000707686400102</t>
  </si>
  <si>
    <t>0390050000706253050101</t>
  </si>
  <si>
    <t>0390050000706373780101</t>
  </si>
  <si>
    <t>0390050000706395810101</t>
  </si>
  <si>
    <t>0090051809140573002942</t>
  </si>
  <si>
    <t>0390050000705988130103</t>
  </si>
  <si>
    <t>0390050000706219110101</t>
  </si>
  <si>
    <t>0390050000706968560102</t>
  </si>
  <si>
    <t>0390050000707393610103</t>
  </si>
  <si>
    <t>0390050000706681600101</t>
  </si>
  <si>
    <t>0390050000706843230101</t>
  </si>
  <si>
    <t>0390050000706933980101</t>
  </si>
  <si>
    <t>0390050000706974680101</t>
  </si>
  <si>
    <t>0450451809148287013601</t>
  </si>
  <si>
    <t>0260601809150146013385</t>
  </si>
  <si>
    <t>0450451809158300013604</t>
  </si>
  <si>
    <t>0390050000706080530101</t>
  </si>
  <si>
    <t>0390050000707701800101</t>
  </si>
  <si>
    <t>12713458436</t>
  </si>
  <si>
    <t>12713463959</t>
  </si>
  <si>
    <t>12713408073</t>
  </si>
  <si>
    <t>12713411387</t>
  </si>
  <si>
    <t>122384265</t>
  </si>
  <si>
    <t>122380660</t>
  </si>
  <si>
    <t>0180211808233579008089</t>
  </si>
  <si>
    <t>0390050000690234440101</t>
  </si>
  <si>
    <t>0120951808239116049290</t>
  </si>
  <si>
    <t>0390050000690444630101</t>
  </si>
  <si>
    <t>0390050000690511680101</t>
  </si>
  <si>
    <t>0390050000690141000101</t>
  </si>
  <si>
    <t>0390050000690206130101</t>
  </si>
  <si>
    <t>35802556</t>
  </si>
  <si>
    <t>38659306</t>
  </si>
  <si>
    <t>30177655</t>
  </si>
  <si>
    <t>37363725</t>
  </si>
  <si>
    <t>35802574</t>
  </si>
  <si>
    <t>34833144</t>
  </si>
  <si>
    <t>38658853</t>
  </si>
  <si>
    <t>38658843</t>
  </si>
  <si>
    <t>34054660</t>
  </si>
  <si>
    <t>35344357</t>
  </si>
  <si>
    <t>36312073</t>
  </si>
  <si>
    <t>38659016</t>
  </si>
  <si>
    <t>38659045</t>
  </si>
  <si>
    <t>181588</t>
  </si>
  <si>
    <t>Rack Malibu</t>
  </si>
  <si>
    <t>ESPADAS PREMIUM SPA</t>
  </si>
  <si>
    <t>2018-08-31</t>
  </si>
  <si>
    <t>2018-09-03</t>
  </si>
  <si>
    <t>COLCHONES MANTAHUE</t>
  </si>
  <si>
    <t>2018-08-28</t>
  </si>
  <si>
    <t>2018-09-01</t>
  </si>
  <si>
    <t>2018-08-23</t>
  </si>
  <si>
    <t>2018-08-24</t>
  </si>
  <si>
    <t>2018-09-07</t>
  </si>
  <si>
    <t>2018-08-26</t>
  </si>
  <si>
    <t>2018-08-27</t>
  </si>
  <si>
    <t>2018-08-17</t>
  </si>
  <si>
    <t>2018-09-02</t>
  </si>
  <si>
    <t>2018-08-19</t>
  </si>
  <si>
    <t>2018-08-20</t>
  </si>
  <si>
    <t>2018-08-18</t>
  </si>
  <si>
    <t>2018-08-30</t>
  </si>
  <si>
    <t>2018-08-21</t>
  </si>
  <si>
    <t>2018-08-22</t>
  </si>
  <si>
    <t>2018-08-29</t>
  </si>
  <si>
    <t>2018-08-25</t>
  </si>
  <si>
    <t>2018-09-09</t>
  </si>
  <si>
    <t>2018-09-15</t>
  </si>
  <si>
    <t>2018-09-18</t>
  </si>
  <si>
    <t>2018-09-19</t>
  </si>
  <si>
    <t>2018-08-13</t>
  </si>
  <si>
    <t>2018-08-03</t>
  </si>
  <si>
    <t>2018-08-07</t>
  </si>
  <si>
    <t>MULTICENTRO</t>
  </si>
  <si>
    <t>2018-08-16</t>
  </si>
  <si>
    <t>2018-08-14</t>
  </si>
  <si>
    <t>36978190</t>
  </si>
  <si>
    <t>38665507</t>
  </si>
  <si>
    <t>181898</t>
  </si>
  <si>
    <t>Kit Nataly 120 (Kit Magazin 120)</t>
  </si>
  <si>
    <t>181899</t>
  </si>
  <si>
    <t>Kit Clara 160 (Kit Yara 160)</t>
  </si>
  <si>
    <t>165501</t>
  </si>
  <si>
    <t>Mueble Organizador Cerro Largo Blanco</t>
  </si>
  <si>
    <t>0040000547735</t>
  </si>
  <si>
    <t>181567</t>
  </si>
  <si>
    <t>Despensa 2 Puertas alta</t>
  </si>
  <si>
    <t>0040000622891</t>
  </si>
  <si>
    <t>181900</t>
  </si>
  <si>
    <t>Kit Frank (Kit Floratihna)</t>
  </si>
  <si>
    <t>181896</t>
  </si>
  <si>
    <t>kit Evelin 90kit Evelin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</si>
</sst>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EAEAEA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79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4" xfId="0" applyNumberFormat="1" applyBorder="1"/>
    <xf numFmtId="3" fontId="0" fillId="0" borderId="6" xfId="0" applyNumberFormat="1" applyBorder="1"/>
    <xf numFmtId="3" fontId="0" fillId="0" borderId="1" xfId="0" applyNumberFormat="1" applyBorder="1"/>
    <xf numFmtId="0" fontId="0" fillId="0" borderId="9" xfId="0" applyBorder="1"/>
    <xf numFmtId="0" fontId="0" fillId="0" borderId="11" xfId="0" applyBorder="1"/>
    <xf numFmtId="3" fontId="0" fillId="0" borderId="3" xfId="0" applyNumberFormat="1" applyBorder="1"/>
    <xf numFmtId="3" fontId="0" fillId="0" borderId="5" xfId="0" applyNumberFormat="1" applyBorder="1"/>
    <xf numFmtId="3" fontId="0" fillId="0" borderId="8" xfId="0" applyNumberFormat="1" applyBorder="1"/>
    <xf numFmtId="10" fontId="0" fillId="0" borderId="3" xfId="0" applyNumberFormat="1" applyBorder="1"/>
    <xf numFmtId="10" fontId="0" fillId="0" borderId="5" xfId="0" applyNumberFormat="1" applyBorder="1"/>
    <xf numFmtId="10" fontId="0" fillId="0" borderId="8" xfId="0" applyNumberFormat="1" applyBorder="1"/>
    <xf numFmtId="10" fontId="0" fillId="0" borderId="13" xfId="0" applyNumberFormat="1" applyBorder="1"/>
    <xf numFmtId="10" fontId="0" fillId="0" borderId="14" xfId="0" applyNumberFormat="1" applyBorder="1"/>
    <xf numFmtId="14" fontId="0" fillId="0" borderId="0" xfId="0" applyNumberFormat="1"/>
    <xf numFmtId="0" fontId="0" fillId="0" borderId="9" xfId="0" pivotButton="1" applyBorder="1"/>
    <xf numFmtId="0" fontId="0" fillId="0" borderId="9" xfId="0" applyFill="1" applyBorder="1" applyAlignment="1">
      <alignment horizontal="left"/>
    </xf>
    <xf numFmtId="10" fontId="0" fillId="0" borderId="12" xfId="0" applyNumberFormat="1" applyBorder="1"/>
    <xf numFmtId="0" fontId="0" fillId="0" borderId="0" xfId="0" applyFill="1"/>
    <xf numFmtId="0" fontId="0" fillId="0" borderId="0" xfId="0" applyFill="1" applyBorder="1"/>
    <xf numFmtId="3" fontId="0" fillId="5" borderId="1" xfId="0" applyNumberFormat="1" applyFill="1" applyBorder="1"/>
    <xf numFmtId="3" fontId="0" fillId="5" borderId="4" xfId="0" applyNumberFormat="1" applyFill="1" applyBorder="1"/>
    <xf numFmtId="10" fontId="0" fillId="5" borderId="0" xfId="0" applyNumberFormat="1" applyFill="1" applyBorder="1"/>
    <xf numFmtId="0" fontId="0" fillId="7" borderId="9" xfId="0" applyFill="1" applyBorder="1"/>
    <xf numFmtId="0" fontId="0" fillId="7" borderId="9" xfId="0" applyFill="1" applyBorder="1" applyAlignment="1">
      <alignment horizontal="left"/>
    </xf>
    <xf numFmtId="0" fontId="0" fillId="0" borderId="0" xfId="0" applyFont="1"/>
    <xf numFmtId="0" fontId="0" fillId="7" borderId="9" xfId="0" applyFont="1" applyFill="1" applyBorder="1"/>
    <xf numFmtId="0" fontId="0" fillId="7" borderId="11" xfId="0" applyFont="1" applyFill="1" applyBorder="1"/>
    <xf numFmtId="0" fontId="0" fillId="7" borderId="7" xfId="0" applyFont="1" applyFill="1" applyBorder="1"/>
    <xf numFmtId="0" fontId="0" fillId="7" borderId="15" xfId="0" applyFont="1" applyFill="1" applyBorder="1"/>
    <xf numFmtId="0" fontId="0" fillId="7" borderId="10" xfId="0" applyFont="1" applyFill="1" applyBorder="1"/>
    <xf numFmtId="0" fontId="0" fillId="7" borderId="9" xfId="0" applyNumberFormat="1" applyFill="1" applyBorder="1"/>
    <xf numFmtId="3" fontId="0" fillId="7" borderId="11" xfId="0" applyNumberFormat="1" applyFill="1" applyBorder="1"/>
    <xf numFmtId="10" fontId="0" fillId="7" borderId="10" xfId="0" applyNumberFormat="1" applyFill="1" applyBorder="1"/>
    <xf numFmtId="10" fontId="0" fillId="7" borderId="11" xfId="0" applyNumberFormat="1" applyFill="1" applyBorder="1"/>
    <xf numFmtId="0" fontId="0" fillId="7" borderId="10" xfId="0" applyNumberFormat="1" applyFill="1" applyBorder="1"/>
    <xf numFmtId="0" fontId="0" fillId="7" borderId="16" xfId="0" applyFont="1" applyFill="1" applyBorder="1"/>
    <xf numFmtId="10" fontId="2" fillId="6" borderId="17" xfId="0" applyNumberFormat="1" applyFont="1" applyFill="1" applyBorder="1"/>
    <xf numFmtId="10" fontId="0" fillId="7" borderId="16" xfId="0" applyNumberFormat="1" applyFill="1" applyBorder="1"/>
    <xf numFmtId="3" fontId="0" fillId="5" borderId="12" xfId="0" applyNumberFormat="1" applyFill="1" applyBorder="1"/>
    <xf numFmtId="3" fontId="3" fillId="5" borderId="2" xfId="0" applyNumberFormat="1" applyFont="1" applyFill="1" applyBorder="1"/>
    <xf numFmtId="10" fontId="2" fillId="6" borderId="18" xfId="0" applyNumberFormat="1" applyFont="1" applyFill="1" applyBorder="1"/>
    <xf numFmtId="3" fontId="0" fillId="5" borderId="13" xfId="0" applyNumberFormat="1" applyFill="1" applyBorder="1"/>
    <xf numFmtId="3" fontId="3" fillId="5" borderId="0" xfId="0" applyNumberFormat="1" applyFont="1" applyFill="1" applyBorder="1"/>
    <xf numFmtId="3" fontId="0" fillId="4" borderId="4" xfId="0" applyNumberFormat="1" applyFill="1" applyBorder="1"/>
    <xf numFmtId="22" fontId="0" fillId="0" borderId="0" xfId="0" applyNumberFormat="1"/>
    <xf numFmtId="0" fontId="4" fillId="0" borderId="0" xfId="0" applyFont="1"/>
    <xf numFmtId="0" fontId="0" fillId="7" borderId="0" xfId="0" applyFill="1" applyAlignment="1">
      <alignment horizontal="center"/>
    </xf>
    <xf numFmtId="0" fontId="4" fillId="0" borderId="0" xfId="0" applyFont="1" applyProtection="1">
      <protection locked="0"/>
    </xf>
    <xf numFmtId="3" fontId="0" fillId="0" borderId="0" xfId="0" applyNumberFormat="1"/>
    <xf numFmtId="0" fontId="0" fillId="7" borderId="0" xfId="0" applyFill="1"/>
    <xf numFmtId="10" fontId="0" fillId="0" borderId="0" xfId="0" applyNumberFormat="1"/>
    <xf numFmtId="164" fontId="0" fillId="0" borderId="0" xfId="0" applyNumberFormat="1"/>
    <xf numFmtId="10" fontId="5" fillId="2" borderId="3" xfId="0" applyNumberFormat="1" applyFont="1" applyFill="1" applyBorder="1"/>
    <xf numFmtId="10" fontId="5" fillId="2" borderId="5" xfId="0" applyNumberFormat="1" applyFont="1" applyFill="1" applyBorder="1"/>
    <xf numFmtId="10" fontId="6" fillId="6" borderId="3" xfId="0" applyNumberFormat="1" applyFont="1" applyFill="1" applyBorder="1"/>
    <xf numFmtId="10" fontId="6" fillId="6" borderId="5" xfId="0" applyNumberFormat="1" applyFont="1" applyFill="1" applyBorder="1"/>
    <xf numFmtId="0" fontId="0" fillId="7" borderId="7" xfId="0" applyFill="1" applyBorder="1"/>
    <xf numFmtId="3" fontId="0" fillId="7" borderId="15" xfId="0" applyNumberFormat="1" applyFill="1" applyBorder="1"/>
    <xf numFmtId="3" fontId="0" fillId="7" borderId="9" xfId="0" applyNumberFormat="1" applyFill="1" applyBorder="1"/>
    <xf numFmtId="3" fontId="0" fillId="5" borderId="5" xfId="0" applyNumberFormat="1" applyFill="1" applyBorder="1"/>
    <xf numFmtId="0" fontId="0" fillId="5" borderId="0" xfId="0" applyNumberFormat="1" applyFill="1"/>
    <xf numFmtId="3" fontId="0" fillId="4" borderId="12" xfId="0" applyNumberFormat="1" applyFill="1" applyBorder="1"/>
    <xf numFmtId="3" fontId="0" fillId="4" borderId="13" xfId="0" applyNumberFormat="1" applyFill="1" applyBorder="1"/>
    <xf numFmtId="0" fontId="0" fillId="7" borderId="14" xfId="0" applyFill="1" applyBorder="1"/>
    <xf numFmtId="0" fontId="0" fillId="7" borderId="8" xfId="0" applyFill="1" applyBorder="1"/>
    <xf numFmtId="0" fontId="0" fillId="8" borderId="0" xfId="0" applyFill="1"/>
    <xf numFmtId="0" fontId="1" fillId="7" borderId="9" xfId="1" applyFont="1" applyFill="1" applyBorder="1" applyAlignment="1">
      <alignment horizontal="center"/>
    </xf>
    <xf numFmtId="0" fontId="1" fillId="7" borderId="10" xfId="1" applyFont="1" applyFill="1" applyBorder="1" applyAlignment="1">
      <alignment horizontal="center"/>
    </xf>
    <xf numFmtId="0" fontId="1" fillId="7" borderId="1" xfId="1" applyFont="1" applyFill="1" applyBorder="1" applyAlignment="1">
      <alignment horizontal="center"/>
    </xf>
    <xf numFmtId="0" fontId="1" fillId="7" borderId="2" xfId="1" applyFont="1" applyFill="1" applyBorder="1" applyAlignment="1">
      <alignment horizontal="center"/>
    </xf>
    <xf numFmtId="0" fontId="1" fillId="7" borderId="3" xfId="1" applyFont="1" applyFill="1" applyBorder="1" applyAlignment="1">
      <alignment horizontal="center"/>
    </xf>
    <xf numFmtId="0" fontId="1" fillId="7" borderId="11" xfId="1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</cellXfs>
  <cellStyles count="2">
    <cellStyle name="40% - Énfasis6" xfId="1" builtinId="51"/>
    <cellStyle name="Normal" xfId="0" builtinId="0"/>
  </cellStyles>
  <dxfs count="16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14" formatCode="0.00%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3" formatCode="#,##0"/>
    </dxf>
    <dxf>
      <numFmt numFmtId="3" formatCode="#,##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3" formatCode="#,##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fill>
        <patternFill patternType="solid">
          <bgColor theme="7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auto="1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auto="1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numFmt numFmtId="14" formatCode="0.00%"/>
    </dxf>
    <dxf>
      <border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auto="1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/>
      </border>
    </dxf>
    <dxf>
      <numFmt numFmtId="14" formatCode="0.00%"/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auto="1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/>
      </border>
    </dxf>
    <dxf>
      <border>
        <left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auto="1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9" tint="0.79998168889431442"/>
        </patternFill>
      </fill>
    </dxf>
    <dxf>
      <border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</border>
    </dxf>
    <dxf>
      <fill>
        <patternFill patternType="solid">
          <bgColor rgb="FFDDDDFF"/>
        </patternFill>
      </fill>
    </dxf>
    <dxf>
      <fill>
        <patternFill patternType="solid">
          <bgColor rgb="FFDDDDFF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numFmt numFmtId="3" formatCode="#,##0"/>
      <fill>
        <patternFill patternType="solid">
          <fgColor indexed="64"/>
          <bgColor rgb="FFEAEAEA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>
        <right style="double">
          <color indexed="64"/>
        </right>
      </border>
    </dxf>
    <dxf>
      <border>
        <right style="double">
          <color indexed="64"/>
        </right>
      </border>
    </dxf>
    <dxf>
      <border>
        <right style="double">
          <color indexed="64"/>
        </right>
      </border>
    </dxf>
    <dxf>
      <border>
        <right style="double">
          <color indexed="64"/>
        </right>
      </border>
    </dxf>
    <dxf>
      <border>
        <top style="thin">
          <color indexed="64"/>
        </top>
      </border>
    </dxf>
    <dxf>
      <font>
        <b val="0"/>
      </font>
    </dxf>
    <dxf>
      <font>
        <b val="0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FFFFCC"/>
        </patternFill>
      </fill>
    </dxf>
    <dxf>
      <numFmt numFmtId="3" formatCode="#,##0"/>
      <fill>
        <patternFill patternType="solid">
          <fgColor indexed="64"/>
          <bgColor rgb="FFDDDDFF"/>
        </patternFill>
      </fill>
    </dxf>
    <dxf>
      <fill>
        <patternFill patternType="solid">
          <bgColor rgb="FFFFFFCC"/>
        </patternFill>
      </fill>
    </dxf>
    <dxf>
      <fill>
        <patternFill patternType="solid">
          <bgColor rgb="FFDDDDFF"/>
        </patternFill>
      </fill>
    </dxf>
    <dxf>
      <fill>
        <patternFill>
          <bgColor rgb="FFEAEAEA"/>
        </patternFill>
      </fill>
    </dxf>
    <dxf>
      <fill>
        <patternFill patternType="solid">
          <bgColor theme="9" tint="0.79998168889431442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auto="1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/>
      </border>
    </dxf>
    <dxf>
      <border>
        <left/>
        <right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/>
        <right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9" tint="0.79998168889431442"/>
        </patternFill>
      </fill>
    </dxf>
    <dxf>
      <border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numFmt numFmtId="14" formatCode="0.00%"/>
    </dxf>
    <dxf>
      <numFmt numFmtId="14" formatCode="0.00%"/>
    </dxf>
    <dxf>
      <border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color rgb="FFFF0000"/>
      </font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/>
      </border>
    </dxf>
    <dxf>
      <border>
        <left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DDDFF"/>
      <color rgb="FFFF9966"/>
      <color rgb="FFFFFFCC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[FILL RATE CLIENTES.xlsm]RESUMEN!Tabla dinámica3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Cumplimiento real de ordenes de compra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6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0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1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2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3"/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RESUMEN!$AD$1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9"/>
            <c:bubble3D val="0"/>
          </c:dPt>
          <c:dPt>
            <c:idx val="10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RESUMEN!$AC$2:$AC$14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RESUMEN!$AD$2:$AD$14</c:f>
              <c:numCache>
                <c:formatCode>0.00%</c:formatCode>
                <c:ptCount val="12"/>
                <c:pt idx="0">
                  <c:v>0.84693877551020413</c:v>
                </c:pt>
                <c:pt idx="1">
                  <c:v>0.73333333333333328</c:v>
                </c:pt>
                <c:pt idx="2">
                  <c:v>0.94140625</c:v>
                </c:pt>
                <c:pt idx="3">
                  <c:v>0.83333333333333337</c:v>
                </c:pt>
                <c:pt idx="4">
                  <c:v>0.94078947368421051</c:v>
                </c:pt>
                <c:pt idx="5">
                  <c:v>0.8764044943820225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0.94639175257731956</c:v>
                </c:pt>
                <c:pt idx="10">
                  <c:v>0.85185185185185186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[FILL RATE CLIENTES.xlsm]RESUMEN!Tabla dinámica6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CL" sz="1600" b="1" i="0" u="none" strike="noStrike" kern="1200" cap="all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L"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Detalle por unidades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CL" sz="1600" b="1" i="0" u="none" strike="noStrike" kern="1200" cap="all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RESUMEN!$AG$1</c:f>
              <c:strCache>
                <c:ptCount val="1"/>
                <c:pt idx="0">
                  <c:v>Total Unds.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RESUMEN!$AF$2:$AF$14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RESUMEN!$AG$2:$AG$14</c:f>
              <c:numCache>
                <c:formatCode>#,##0</c:formatCode>
                <c:ptCount val="12"/>
                <c:pt idx="0">
                  <c:v>5544</c:v>
                </c:pt>
                <c:pt idx="1">
                  <c:v>1266</c:v>
                </c:pt>
                <c:pt idx="2">
                  <c:v>266</c:v>
                </c:pt>
                <c:pt idx="3">
                  <c:v>2066</c:v>
                </c:pt>
                <c:pt idx="4">
                  <c:v>178</c:v>
                </c:pt>
                <c:pt idx="5">
                  <c:v>7106</c:v>
                </c:pt>
                <c:pt idx="6">
                  <c:v>110</c:v>
                </c:pt>
                <c:pt idx="7">
                  <c:v>150</c:v>
                </c:pt>
                <c:pt idx="8">
                  <c:v>100</c:v>
                </c:pt>
                <c:pt idx="9">
                  <c:v>740</c:v>
                </c:pt>
                <c:pt idx="10">
                  <c:v>174</c:v>
                </c:pt>
                <c:pt idx="11">
                  <c:v>109</c:v>
                </c:pt>
              </c:numCache>
            </c:numRef>
          </c:val>
        </c:ser>
        <c:ser>
          <c:idx val="1"/>
          <c:order val="1"/>
          <c:tx>
            <c:strRef>
              <c:f>RESUMEN!$AH$1</c:f>
              <c:strCache>
                <c:ptCount val="1"/>
                <c:pt idx="0">
                  <c:v>Cant Embarcada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RESUMEN!$AF$2:$AF$14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RESUMEN!$AH$2:$AH$14</c:f>
              <c:numCache>
                <c:formatCode>#,##0</c:formatCode>
                <c:ptCount val="12"/>
                <c:pt idx="0">
                  <c:v>3390</c:v>
                </c:pt>
                <c:pt idx="1">
                  <c:v>968</c:v>
                </c:pt>
                <c:pt idx="2">
                  <c:v>253</c:v>
                </c:pt>
                <c:pt idx="3">
                  <c:v>1965</c:v>
                </c:pt>
                <c:pt idx="4">
                  <c:v>160</c:v>
                </c:pt>
                <c:pt idx="5">
                  <c:v>1703</c:v>
                </c:pt>
                <c:pt idx="6">
                  <c:v>110</c:v>
                </c:pt>
                <c:pt idx="7">
                  <c:v>150</c:v>
                </c:pt>
                <c:pt idx="8">
                  <c:v>100</c:v>
                </c:pt>
                <c:pt idx="9">
                  <c:v>736</c:v>
                </c:pt>
                <c:pt idx="10">
                  <c:v>156</c:v>
                </c:pt>
                <c:pt idx="11">
                  <c:v>94</c:v>
                </c:pt>
              </c:numCache>
            </c:numRef>
          </c:val>
        </c:ser>
        <c:ser>
          <c:idx val="2"/>
          <c:order val="2"/>
          <c:tx>
            <c:strRef>
              <c:f>RESUMEN!$AI$1</c:f>
              <c:strCache>
                <c:ptCount val="1"/>
                <c:pt idx="0">
                  <c:v>Unds Devueltas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RESUMEN!$AF$2:$AF$14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RESUMEN!$AI$2:$AI$14</c:f>
              <c:numCache>
                <c:formatCode>#,##0</c:formatCode>
                <c:ptCount val="12"/>
                <c:pt idx="0">
                  <c:v>408</c:v>
                </c:pt>
                <c:pt idx="1">
                  <c:v>27</c:v>
                </c:pt>
                <c:pt idx="2">
                  <c:v>4</c:v>
                </c:pt>
                <c:pt idx="3">
                  <c:v>10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RESUMEN!$AJ$1</c:f>
              <c:strCache>
                <c:ptCount val="1"/>
                <c:pt idx="0">
                  <c:v>Unds Re embarcadas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RESUMEN!$AF$2:$AF$14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RESUMEN!$AJ$2:$AJ$14</c:f>
              <c:numCache>
                <c:formatCode>#,##0</c:formatCode>
                <c:ptCount val="12"/>
                <c:pt idx="0">
                  <c:v>3</c:v>
                </c:pt>
                <c:pt idx="1">
                  <c:v>10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71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064640"/>
        <c:axId val="284065032"/>
      </c:barChart>
      <c:catAx>
        <c:axId val="28406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84065032"/>
        <c:crosses val="autoZero"/>
        <c:auto val="1"/>
        <c:lblAlgn val="ctr"/>
        <c:lblOffset val="100"/>
        <c:noMultiLvlLbl val="0"/>
      </c:catAx>
      <c:valAx>
        <c:axId val="28406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84064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[FILL RATE CLIENTES.xlsm]RESUMEN!TD_CumplUnidades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Cumplimiento por Unidades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4">
              <a:tint val="44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2"/>
        <c:spPr>
          <a:solidFill>
            <a:schemeClr val="accent4">
              <a:tint val="58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4">
              <a:tint val="72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spPr>
          <a:solidFill>
            <a:schemeClr val="accent4">
              <a:tint val="86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5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6"/>
        <c:spPr>
          <a:solidFill>
            <a:schemeClr val="accent4">
              <a:shade val="86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7"/>
        <c:spPr>
          <a:solidFill>
            <a:schemeClr val="accent4">
              <a:shade val="72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shade val="58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0"/>
        <c:spPr>
          <a:solidFill>
            <a:schemeClr val="accent4">
              <a:shade val="44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RESUMEN!$AM$1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tint val="44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4">
                  <a:tint val="5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4">
                  <a:tint val="72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>
                  <a:tint val="8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4">
                  <a:shade val="72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4">
                  <a:shade val="5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4">
                  <a:shade val="44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RESUMEN!$AL$2:$AL$14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RESUMEN!$AM$2:$AM$14</c:f>
              <c:numCache>
                <c:formatCode>0.00%</c:formatCode>
                <c:ptCount val="12"/>
                <c:pt idx="0">
                  <c:v>0.53841991341991347</c:v>
                </c:pt>
                <c:pt idx="1">
                  <c:v>0.75118483412322279</c:v>
                </c:pt>
                <c:pt idx="2">
                  <c:v>0.93984962406015038</c:v>
                </c:pt>
                <c:pt idx="3">
                  <c:v>0.94675701839303006</c:v>
                </c:pt>
                <c:pt idx="4">
                  <c:v>0.898876404494382</c:v>
                </c:pt>
                <c:pt idx="5">
                  <c:v>0.23965662820151984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0.9932432432432432</c:v>
                </c:pt>
                <c:pt idx="10">
                  <c:v>0.9022988505747126</c:v>
                </c:pt>
                <c:pt idx="11">
                  <c:v>0.86238532110091748</c:v>
                </c:pt>
              </c:numCache>
            </c:numRef>
          </c:val>
        </c:ser>
        <c:dLbls>
          <c:dLblPos val="out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[FILL RATE CLIENTES.xlsm]RESUMEN!TD_CumplFecha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Cumplimiento por fecha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6">
              <a:tint val="44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2"/>
        <c:spPr>
          <a:solidFill>
            <a:schemeClr val="accent6">
              <a:tint val="58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6">
              <a:tint val="72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spPr>
          <a:solidFill>
            <a:schemeClr val="accent6">
              <a:tint val="86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5"/>
        <c:spPr>
          <a:solidFill>
            <a:schemeClr val="accent6">
              <a:tint val="89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6"/>
        <c:spPr>
          <a:solidFill>
            <a:schemeClr val="accent6">
              <a:shade val="86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>
              <a:shade val="72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shade val="58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0"/>
        <c:spPr>
          <a:solidFill>
            <a:schemeClr val="accent6">
              <a:shade val="44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1"/>
        <c:spPr>
          <a:solidFill>
            <a:schemeClr val="accent6">
              <a:shade val="53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2"/>
        <c:spPr>
          <a:solidFill>
            <a:schemeClr val="accent6">
              <a:shade val="41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3"/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RESUMEN!$AP$1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44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6">
                  <a:tint val="72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6">
                  <a:tint val="89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>
                  <a:shade val="72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6">
                  <a:shade val="44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6">
                  <a:shade val="41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9"/>
            <c:bubble3D val="0"/>
          </c:dPt>
          <c:dPt>
            <c:idx val="10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RESUMEN!$AO$2:$AO$14</c:f>
              <c:strCache>
                <c:ptCount val="12"/>
                <c:pt idx="0">
                  <c:v>ABCDIN</c:v>
                </c:pt>
                <c:pt idx="1">
                  <c:v>EASY S.A.</c:v>
                </c:pt>
                <c:pt idx="2">
                  <c:v>FALABELLA RETAIL S.A.</c:v>
                </c:pt>
                <c:pt idx="3">
                  <c:v>LIDER</c:v>
                </c:pt>
                <c:pt idx="4">
                  <c:v>PARIS</c:v>
                </c:pt>
                <c:pt idx="5">
                  <c:v>SODIMAC S.A</c:v>
                </c:pt>
                <c:pt idx="6">
                  <c:v>MULTICENTRO</c:v>
                </c:pt>
                <c:pt idx="7">
                  <c:v>COLCHONES MANTAHUE</c:v>
                </c:pt>
                <c:pt idx="8">
                  <c:v>CORONA</c:v>
                </c:pt>
                <c:pt idx="9">
                  <c:v>RIPLEY</c:v>
                </c:pt>
                <c:pt idx="10">
                  <c:v>HITES S.A.</c:v>
                </c:pt>
                <c:pt idx="11">
                  <c:v>ESPADAS PREMIUM SPA</c:v>
                </c:pt>
              </c:strCache>
            </c:strRef>
          </c:cat>
          <c:val>
            <c:numRef>
              <c:f>RESUMEN!$AP$2:$AP$14</c:f>
              <c:numCache>
                <c:formatCode>0.00%</c:formatCode>
                <c:ptCount val="12"/>
                <c:pt idx="0">
                  <c:v>0.90816326530612246</c:v>
                </c:pt>
                <c:pt idx="1">
                  <c:v>0.85</c:v>
                </c:pt>
                <c:pt idx="2">
                  <c:v>0.94921875</c:v>
                </c:pt>
                <c:pt idx="3">
                  <c:v>0.88888888888888884</c:v>
                </c:pt>
                <c:pt idx="4">
                  <c:v>0.94736842105263153</c:v>
                </c:pt>
                <c:pt idx="5">
                  <c:v>0.9213483146067416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0.94639175257731956</c:v>
                </c:pt>
                <c:pt idx="10">
                  <c:v>0.87037037037037035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500062</xdr:colOff>
      <xdr:row>3</xdr:row>
      <xdr:rowOff>3570</xdr:rowOff>
    </xdr:from>
    <xdr:to>
      <xdr:col>15</xdr:col>
      <xdr:colOff>28312</xdr:colOff>
      <xdr:row>23</xdr:row>
      <xdr:rowOff>34770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119058</xdr:rowOff>
    </xdr:from>
    <xdr:to>
      <xdr:col>15</xdr:col>
      <xdr:colOff>107155</xdr:colOff>
      <xdr:row>63</xdr:row>
      <xdr:rowOff>59530</xdr:rowOff>
    </xdr:to>
    <xdr:sp macro="" textlink="">
      <xdr:nvSpPr>
        <xdr:cNvPr id="5" name="Rectángulo 4"/>
        <xdr:cNvSpPr/>
      </xdr:nvSpPr>
      <xdr:spPr>
        <a:xfrm>
          <a:off x="35719" y="119058"/>
          <a:ext cx="15644811" cy="11941972"/>
        </a:xfrm>
        <a:prstGeom prst="rect">
          <a:avLst/>
        </a:prstGeom>
        <a:noFill/>
        <a:effectLst>
          <a:outerShdw blurRad="50800" dist="762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oneCellAnchor>
    <xdr:from>
      <xdr:col>1</xdr:col>
      <xdr:colOff>119064</xdr:colOff>
      <xdr:row>0</xdr:row>
      <xdr:rowOff>154780</xdr:rowOff>
    </xdr:from>
    <xdr:ext cx="5382436" cy="374141"/>
    <xdr:sp macro="" textlink="$BE$2">
      <xdr:nvSpPr>
        <xdr:cNvPr id="6" name="CuadroTexto 5"/>
        <xdr:cNvSpPr txBox="1"/>
      </xdr:nvSpPr>
      <xdr:spPr>
        <a:xfrm>
          <a:off x="285752" y="154780"/>
          <a:ext cx="538243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F663B1F-6C7C-412E-B52A-30DB70E08584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FILL RATE - PERIODO DESDE 27-08-2018 AL 27-09-2018</a:t>
          </a:fld>
          <a:endParaRPr lang="es-CL" sz="3200" b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twoCellAnchor>
    <xdr:from>
      <xdr:col>1</xdr:col>
      <xdr:colOff>-1</xdr:colOff>
      <xdr:row>23</xdr:row>
      <xdr:rowOff>134540</xdr:rowOff>
    </xdr:from>
    <xdr:to>
      <xdr:col>15</xdr:col>
      <xdr:colOff>12656</xdr:colOff>
      <xdr:row>40</xdr:row>
      <xdr:rowOff>107156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119061</xdr:colOff>
      <xdr:row>3</xdr:row>
      <xdr:rowOff>3571</xdr:rowOff>
    </xdr:from>
    <xdr:to>
      <xdr:col>5</xdr:col>
      <xdr:colOff>730498</xdr:colOff>
      <xdr:row>23</xdr:row>
      <xdr:rowOff>35719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750093</xdr:colOff>
      <xdr:row>3</xdr:row>
      <xdr:rowOff>3570</xdr:rowOff>
    </xdr:from>
    <xdr:to>
      <xdr:col>10</xdr:col>
      <xdr:colOff>480750</xdr:colOff>
      <xdr:row>23</xdr:row>
      <xdr:rowOff>34770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238121</xdr:colOff>
      <xdr:row>2</xdr:row>
      <xdr:rowOff>154781</xdr:rowOff>
    </xdr:from>
    <xdr:to>
      <xdr:col>14</xdr:col>
      <xdr:colOff>1379059</xdr:colOff>
      <xdr:row>2</xdr:row>
      <xdr:rowOff>154781</xdr:rowOff>
    </xdr:to>
    <xdr:cxnSp macro="">
      <xdr:nvCxnSpPr>
        <xdr:cNvPr id="17" name="Conector recto 16"/>
        <xdr:cNvCxnSpPr/>
      </xdr:nvCxnSpPr>
      <xdr:spPr>
        <a:xfrm>
          <a:off x="404809" y="535781"/>
          <a:ext cx="14976000" cy="0"/>
        </a:xfrm>
        <a:prstGeom prst="line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357189</xdr:colOff>
      <xdr:row>0</xdr:row>
      <xdr:rowOff>107158</xdr:rowOff>
    </xdr:from>
    <xdr:ext cx="6254597" cy="374141"/>
    <xdr:sp macro="" textlink="RESUMEN!$BE$3">
      <xdr:nvSpPr>
        <xdr:cNvPr id="2" name="CuadroTexto 1"/>
        <xdr:cNvSpPr txBox="1"/>
      </xdr:nvSpPr>
      <xdr:spPr>
        <a:xfrm>
          <a:off x="357189" y="107158"/>
          <a:ext cx="6254597" cy="37414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8E116A-028F-405D-90D1-CDEDCA8886E9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FILL RATE DETALLE - PERIODO DESDE 27-08-2018 AL 27-09-2018</a:t>
          </a:fld>
          <a:endParaRPr lang="es-CL" sz="7200" b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oneCellAnchor>
    <xdr:from>
      <xdr:col>0</xdr:col>
      <xdr:colOff>345311</xdr:colOff>
      <xdr:row>2</xdr:row>
      <xdr:rowOff>35718</xdr:rowOff>
    </xdr:from>
    <xdr:ext cx="4500561" cy="374141"/>
    <xdr:sp macro="" textlink="$AA$1">
      <xdr:nvSpPr>
        <xdr:cNvPr id="3" name="CuadroTexto 2"/>
        <xdr:cNvSpPr txBox="1"/>
      </xdr:nvSpPr>
      <xdr:spPr>
        <a:xfrm>
          <a:off x="345311" y="416718"/>
          <a:ext cx="4500561" cy="37414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834C7E8-1AE6-4664-BC6D-105B713D8796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CLIENTE :  ABCDIN</a:t>
          </a:fld>
          <a:endParaRPr lang="es-CL" sz="23900" b="1" i="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0</xdr:col>
      <xdr:colOff>119063</xdr:colOff>
      <xdr:row>0</xdr:row>
      <xdr:rowOff>119058</xdr:rowOff>
    </xdr:from>
    <xdr:to>
      <xdr:col>16</xdr:col>
      <xdr:colOff>511968</xdr:colOff>
      <xdr:row>352</xdr:row>
      <xdr:rowOff>119062</xdr:rowOff>
    </xdr:to>
    <xdr:sp macro="" textlink="">
      <xdr:nvSpPr>
        <xdr:cNvPr id="4" name="Rectángulo 3"/>
        <xdr:cNvSpPr/>
      </xdr:nvSpPr>
      <xdr:spPr>
        <a:xfrm>
          <a:off x="119063" y="119058"/>
          <a:ext cx="18264186" cy="67067910"/>
        </a:xfrm>
        <a:prstGeom prst="rect">
          <a:avLst/>
        </a:prstGeom>
        <a:noFill/>
        <a:effectLst>
          <a:outerShdw blurRad="50800" dist="762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0</xdr:col>
      <xdr:colOff>440528</xdr:colOff>
      <xdr:row>4</xdr:row>
      <xdr:rowOff>35720</xdr:rowOff>
    </xdr:from>
    <xdr:to>
      <xdr:col>5</xdr:col>
      <xdr:colOff>809809</xdr:colOff>
      <xdr:row>4</xdr:row>
      <xdr:rowOff>35720</xdr:rowOff>
    </xdr:to>
    <xdr:cxnSp macro="">
      <xdr:nvCxnSpPr>
        <xdr:cNvPr id="6" name="Conector recto 5"/>
        <xdr:cNvCxnSpPr/>
      </xdr:nvCxnSpPr>
      <xdr:spPr>
        <a:xfrm>
          <a:off x="440528" y="809626"/>
          <a:ext cx="6120000" cy="0"/>
        </a:xfrm>
        <a:prstGeom prst="line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523877</xdr:colOff>
      <xdr:row>1</xdr:row>
      <xdr:rowOff>83344</xdr:rowOff>
    </xdr:from>
    <xdr:to>
      <xdr:col>7</xdr:col>
      <xdr:colOff>904877</xdr:colOff>
      <xdr:row>3</xdr:row>
      <xdr:rowOff>95250</xdr:rowOff>
    </xdr:to>
    <xdr:sp macro="[0]!HOJA_RESUMEN" textlink="">
      <xdr:nvSpPr>
        <xdr:cNvPr id="8" name="Rectángulo redondeado 7"/>
        <xdr:cNvSpPr/>
      </xdr:nvSpPr>
      <xdr:spPr>
        <a:xfrm>
          <a:off x="7691440" y="273844"/>
          <a:ext cx="1143000" cy="392906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RESUMEN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347667</xdr:colOff>
      <xdr:row>0</xdr:row>
      <xdr:rowOff>71438</xdr:rowOff>
    </xdr:from>
    <xdr:ext cx="6228115" cy="374141"/>
    <xdr:sp macro="" textlink="RESUMEN!$BE$4">
      <xdr:nvSpPr>
        <xdr:cNvPr id="2" name="CuadroTexto 1"/>
        <xdr:cNvSpPr txBox="1"/>
      </xdr:nvSpPr>
      <xdr:spPr>
        <a:xfrm>
          <a:off x="347667" y="71438"/>
          <a:ext cx="6228115" cy="37414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112EAC9-7803-4CA0-ADAD-1AE7101AC248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FILL RATE PICKING - PERIODO DESDE 27-08-2018 AL 27-09-2018</a:t>
          </a:fld>
          <a:endParaRPr lang="es-CL" sz="11500" b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oneCellAnchor>
    <xdr:from>
      <xdr:col>0</xdr:col>
      <xdr:colOff>340523</xdr:colOff>
      <xdr:row>2</xdr:row>
      <xdr:rowOff>35722</xdr:rowOff>
    </xdr:from>
    <xdr:ext cx="5517352" cy="374141"/>
    <xdr:sp macro="" textlink="$AA$1">
      <xdr:nvSpPr>
        <xdr:cNvPr id="7" name="CuadroTexto 6"/>
        <xdr:cNvSpPr txBox="1"/>
      </xdr:nvSpPr>
      <xdr:spPr>
        <a:xfrm>
          <a:off x="340523" y="416722"/>
          <a:ext cx="5517352" cy="37414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2171390-CCC1-4EFE-A71B-B74EEF2B041D}" type="TxLink">
            <a:rPr lang="en-US" sz="1800" b="1" i="0" u="none" strike="noStrike">
              <a:solidFill>
                <a:srgbClr val="000000"/>
              </a:solidFill>
              <a:latin typeface="Calibri"/>
            </a:rPr>
            <a:pPr/>
            <a:t>CLIENTE :  ABCDIN     OC : 5104126</a:t>
          </a:fld>
          <a:endParaRPr lang="es-CL" sz="102800" b="1" i="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1</xdr:col>
      <xdr:colOff>11906</xdr:colOff>
      <xdr:row>4</xdr:row>
      <xdr:rowOff>0</xdr:rowOff>
    </xdr:from>
    <xdr:to>
      <xdr:col>4</xdr:col>
      <xdr:colOff>500249</xdr:colOff>
      <xdr:row>4</xdr:row>
      <xdr:rowOff>0</xdr:rowOff>
    </xdr:to>
    <xdr:cxnSp macro="">
      <xdr:nvCxnSpPr>
        <xdr:cNvPr id="8" name="Conector recto 7"/>
        <xdr:cNvCxnSpPr/>
      </xdr:nvCxnSpPr>
      <xdr:spPr>
        <a:xfrm>
          <a:off x="452437" y="762000"/>
          <a:ext cx="6120000" cy="0"/>
        </a:xfrm>
        <a:prstGeom prst="line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119063</xdr:colOff>
      <xdr:row>0</xdr:row>
      <xdr:rowOff>119062</xdr:rowOff>
    </xdr:from>
    <xdr:to>
      <xdr:col>7</xdr:col>
      <xdr:colOff>440532</xdr:colOff>
      <xdr:row>63</xdr:row>
      <xdr:rowOff>59534</xdr:rowOff>
    </xdr:to>
    <xdr:sp macro="" textlink="">
      <xdr:nvSpPr>
        <xdr:cNvPr id="9" name="Rectángulo 8"/>
        <xdr:cNvSpPr/>
      </xdr:nvSpPr>
      <xdr:spPr>
        <a:xfrm>
          <a:off x="119063" y="119062"/>
          <a:ext cx="9870282" cy="11941972"/>
        </a:xfrm>
        <a:prstGeom prst="rect">
          <a:avLst/>
        </a:prstGeom>
        <a:noFill/>
        <a:effectLst>
          <a:outerShdw blurRad="50800" dist="762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4</xdr:col>
      <xdr:colOff>833433</xdr:colOff>
      <xdr:row>1</xdr:row>
      <xdr:rowOff>95251</xdr:rowOff>
    </xdr:from>
    <xdr:to>
      <xdr:col>5</xdr:col>
      <xdr:colOff>785808</xdr:colOff>
      <xdr:row>3</xdr:row>
      <xdr:rowOff>107157</xdr:rowOff>
    </xdr:to>
    <xdr:sp macro="[0]!HOJA_RESUMEN" textlink="">
      <xdr:nvSpPr>
        <xdr:cNvPr id="10" name="Rectángulo redondeado 9"/>
        <xdr:cNvSpPr/>
      </xdr:nvSpPr>
      <xdr:spPr>
        <a:xfrm>
          <a:off x="6905621" y="285751"/>
          <a:ext cx="1143000" cy="392906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RESUMEN</a:t>
          </a:r>
        </a:p>
      </xdr:txBody>
    </xdr:sp>
    <xdr:clientData/>
  </xdr:twoCellAnchor>
  <xdr:twoCellAnchor>
    <xdr:from>
      <xdr:col>6</xdr:col>
      <xdr:colOff>119062</xdr:colOff>
      <xdr:row>1</xdr:row>
      <xdr:rowOff>107156</xdr:rowOff>
    </xdr:from>
    <xdr:to>
      <xdr:col>7</xdr:col>
      <xdr:colOff>333374</xdr:colOff>
      <xdr:row>3</xdr:row>
      <xdr:rowOff>119062</xdr:rowOff>
    </xdr:to>
    <xdr:sp macro="[0]!HOJA_DETALLE" textlink="">
      <xdr:nvSpPr>
        <xdr:cNvPr id="11" name="Rectángulo redondeado 10"/>
        <xdr:cNvSpPr/>
      </xdr:nvSpPr>
      <xdr:spPr>
        <a:xfrm>
          <a:off x="8167687" y="297656"/>
          <a:ext cx="1143000" cy="392906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DETALLE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arrollo " refreshedDate="43381.375809259262" createdVersion="5" refreshedVersion="5" minRefreshableVersion="3" recordCount="1867">
  <cacheSource type="worksheet">
    <worksheetSource name="Tabla__192.168.1.8_POSEIDONSQL_APPFVT_01_tbl_picking_fill_rate"/>
  </cacheSource>
  <cacheFields count="13">
    <cacheField name="car_codigo" numFmtId="0">
      <sharedItems containsSemiMixedTypes="0" containsString="0" containsNumber="1" containsInteger="1" minValue="1" maxValue="89"/>
    </cacheField>
    <cacheField name="oc_numero" numFmtId="0">
      <sharedItems containsSemiMixedTypes="0" containsString="0" containsNumber="1" containsInteger="1" minValue="10" maxValue="9450545919" count="1507">
        <n v="50050998"/>
        <n v="50051047"/>
        <n v="50051048"/>
        <n v="9581972"/>
        <n v="9609066"/>
        <n v="9610000"/>
        <n v="9610052"/>
        <n v="9612153"/>
        <n v="9604950"/>
        <n v="9608491"/>
        <n v="9596357"/>
        <n v="9597665"/>
        <n v="9598302"/>
        <n v="9595736"/>
        <n v="9600628"/>
        <n v="9600902"/>
        <n v="9601995"/>
        <n v="9595770"/>
        <n v="930455"/>
        <n v="935237"/>
        <n v="9186055"/>
        <n v="9186988"/>
        <n v="9186762"/>
        <n v="9186889"/>
        <n v="9186941"/>
        <n v="9450544750"/>
        <n v="9450544751"/>
        <n v="9450544494"/>
        <n v="9630175"/>
        <n v="9630226"/>
        <n v="9628204"/>
        <n v="9628354"/>
        <n v="9628551"/>
        <n v="9629074"/>
        <n v="9629309"/>
        <n v="9630124"/>
        <n v="9626666"/>
        <n v="9626844"/>
        <n v="9626848"/>
        <n v="9627652"/>
        <n v="9625693"/>
        <n v="9625737"/>
        <n v="9625742"/>
        <n v="9625760"/>
        <n v="9626135"/>
        <n v="9626544"/>
        <n v="9624571"/>
        <n v="9624871"/>
        <n v="9625415"/>
        <n v="9624516"/>
        <n v="944883"/>
        <n v="944887"/>
        <n v="943928"/>
        <n v="944181"/>
        <n v="944649"/>
        <n v="942615"/>
        <n v="942674"/>
        <n v="943115"/>
        <n v="943150"/>
        <n v="942065"/>
        <n v="9190696"/>
        <n v="9190054"/>
        <n v="9190115"/>
        <n v="9190150"/>
        <n v="8665011"/>
        <n v="8663291"/>
        <n v="8663422"/>
        <n v="8663620"/>
        <n v="8664524"/>
        <n v="31"/>
        <n v="32"/>
        <n v="5098961"/>
        <n v="6504021128"/>
        <n v="9194295"/>
        <n v="9193752"/>
        <n v="5101343"/>
        <n v="4450422378"/>
        <n v="6504027073"/>
        <n v="6504027308"/>
        <n v="6504027312"/>
        <n v="9635303"/>
        <n v="6504026454"/>
        <n v="5101382"/>
        <n v="50051838"/>
        <n v="50051839"/>
        <n v="50051888"/>
        <n v="50051889"/>
        <n v="50051794"/>
        <n v="50051795"/>
        <n v="8669965"/>
        <n v="8670253"/>
        <n v="8672328"/>
        <n v="8672638"/>
        <n v="8672409"/>
        <n v="8672799"/>
        <n v="8673146"/>
        <n v="8672315"/>
        <n v="8655329"/>
        <n v="8680466"/>
        <n v="8675900"/>
        <n v="9662705"/>
        <n v="9663390"/>
        <n v="9661708"/>
        <n v="9450545322"/>
        <n v="9450545344"/>
        <n v="9450545377"/>
        <n v="957807"/>
        <n v="957894"/>
        <n v="8680428"/>
        <n v="957912"/>
        <n v="957132"/>
        <n v="957386"/>
        <n v="9198529"/>
        <n v="9198826"/>
        <n v="9198903"/>
        <n v="9198650"/>
        <n v="9198651"/>
        <n v="9198747"/>
        <n v="9198361"/>
        <n v="9198848"/>
        <n v="8681567"/>
        <n v="8681776"/>
        <n v="8680080"/>
        <n v="8680106"/>
        <n v="8680421"/>
        <n v="8676560"/>
        <n v="8681169"/>
        <n v="5104876"/>
        <n v="5104911"/>
        <n v="5104949"/>
        <n v="9450545599"/>
        <n v="9450545600"/>
        <n v="8688953"/>
        <n v="9676707"/>
        <n v="9676715"/>
        <n v="9677140"/>
        <n v="9675309"/>
        <n v="9676310"/>
        <n v="963627"/>
        <n v="963951"/>
        <n v="964103"/>
        <n v="8688865"/>
        <n v="9201905"/>
        <n v="9201537"/>
        <n v="9201326"/>
        <n v="9201719"/>
        <n v="74"/>
        <n v="9197008"/>
        <n v="50052296"/>
        <n v="9450545722"/>
        <n v="9450545739"/>
        <n v="4450422400"/>
        <n v="4450422405"/>
        <n v="4450422406"/>
        <n v="50052369"/>
        <n v="50052459"/>
        <n v="8694210"/>
        <n v="8694506"/>
        <n v="8694642"/>
        <n v="8688080"/>
        <n v="8689809"/>
        <n v="8690887"/>
        <n v="8693971"/>
        <n v="8694065"/>
        <n v="8693933"/>
        <n v="8690295"/>
        <n v="8690350"/>
        <n v="8692365"/>
        <n v="8692808"/>
        <n v="8692948"/>
        <n v="8693420"/>
        <n v="8696869"/>
        <n v="8697026"/>
        <n v="8696152"/>
        <n v="8696400"/>
        <n v="8696583"/>
        <n v="8696850"/>
        <n v="8696803"/>
        <n v="9185285"/>
        <n v="9185362"/>
        <n v="9185855"/>
        <n v="9185165"/>
        <n v="9179720"/>
        <n v="9187037"/>
        <n v="9185644"/>
        <n v="9185897"/>
        <n v="9180363"/>
        <n v="9180448"/>
        <n v="9180795"/>
        <n v="9180857"/>
        <n v="9186444"/>
        <n v="9186487"/>
        <n v="9186763"/>
        <n v="9183759"/>
        <n v="9181934"/>
        <n v="9181185"/>
        <n v="9181409"/>
        <n v="9181455"/>
        <n v="9181856"/>
        <n v="50051097"/>
        <n v="50051098"/>
        <n v="50051148"/>
        <n v="50051147"/>
        <n v="50051209"/>
        <n v="50051259"/>
        <n v="50051260"/>
        <n v="9190215"/>
        <n v="9190258"/>
        <n v="9190309"/>
        <n v="9189791"/>
        <n v="9189841"/>
        <n v="9189912"/>
        <n v="9189989"/>
        <n v="9189482"/>
        <n v="9189539"/>
        <n v="9189711"/>
        <n v="9189745"/>
        <n v="9189454"/>
        <n v="9190767"/>
        <n v="9190819"/>
        <n v="9190425"/>
        <n v="9190500"/>
        <n v="9190558"/>
        <n v="9190635"/>
        <n v="9189296"/>
        <n v="9188773"/>
        <n v="9188836"/>
        <n v="9188858"/>
        <n v="9187553"/>
        <n v="9187212"/>
        <n v="9187253"/>
        <n v="6504022070"/>
        <n v="6504019642"/>
        <n v="50051208"/>
        <n v="9622596"/>
        <n v="9638822"/>
        <n v="9637725"/>
        <n v="9638095"/>
        <n v="9638457"/>
        <n v="9638505"/>
        <n v="9638687"/>
        <n v="9638754"/>
        <n v="9637568"/>
        <n v="9639087"/>
        <n v="9639287"/>
        <n v="9639480"/>
        <n v="9639535"/>
        <n v="948365"/>
        <n v="947429"/>
        <n v="947896"/>
        <n v="947643"/>
        <n v="947872"/>
        <n v="9192624"/>
        <n v="9192740"/>
        <n v="9192685"/>
        <n v="9192901"/>
        <n v="9192942"/>
        <n v="9192968"/>
        <n v="9192431"/>
        <n v="9192484"/>
        <n v="69"/>
        <n v="946227"/>
        <n v="11"/>
        <n v="9195937"/>
        <n v="5102070"/>
        <n v="9655455"/>
        <n v="9652954"/>
        <n v="9653108"/>
        <n v="9653312"/>
        <n v="9654423"/>
        <n v="9654758"/>
        <n v="9655028"/>
        <n v="9655787"/>
        <n v="9655851"/>
        <n v="9656143"/>
        <n v="9654092"/>
        <n v="70"/>
        <n v="9450545182"/>
        <n v="9450545210"/>
        <n v="9450545244"/>
        <n v="953988"/>
        <n v="9196174"/>
        <n v="9196249"/>
        <n v="9195542"/>
        <n v="9195683"/>
        <n v="9195790"/>
        <n v="9196067"/>
        <n v="73"/>
        <n v="5103550"/>
        <n v="9195110"/>
        <n v="9197926"/>
        <n v="9197927"/>
        <n v="9198487"/>
        <n v="957134"/>
        <n v="6150420338"/>
        <n v="4450422392"/>
        <n v="9450545444"/>
        <n v="9450545443"/>
        <n v="9669393"/>
        <n v="9669579"/>
        <n v="9670157"/>
        <n v="9670925"/>
        <n v="9671287"/>
        <n v="50052249"/>
        <n v="50052250"/>
        <n v="4450422391"/>
        <n v="9450545633"/>
        <n v="9450545643"/>
        <n v="9450545648"/>
        <n v="9202002"/>
        <n v="9202477"/>
        <n v="9202565"/>
        <n v="6504046574"/>
        <n v="6504046575"/>
        <n v="6504047237"/>
        <n v="6504040904"/>
        <n v="6504044256"/>
        <n v="6504044309"/>
        <n v="50052330"/>
        <n v="50052331"/>
        <n v="8685449"/>
        <n v="8696245"/>
        <n v="8696308"/>
        <n v="8696416"/>
        <n v="8696486"/>
        <n v="8696710"/>
        <n v="8696717"/>
        <n v="8695897"/>
        <n v="8696102"/>
        <n v="8696231"/>
        <n v="8691554"/>
        <n v="960871"/>
        <n v="8698177"/>
        <n v="8698983"/>
        <n v="8696968"/>
        <n v="8697121"/>
        <n v="8697449"/>
        <n v="8698329"/>
        <n v="8698686"/>
        <n v="8697480"/>
        <n v="8698989"/>
        <n v="9690267"/>
        <n v="9690704"/>
        <n v="9691769"/>
        <n v="9690084"/>
        <n v="9450545918"/>
        <n v="969781"/>
        <n v="969137"/>
        <n v="969459"/>
        <n v="969596"/>
        <n v="969632"/>
        <n v="969642"/>
        <n v="969743"/>
        <n v="968941"/>
        <n v="9205127"/>
        <n v="9205273"/>
        <n v="9205323"/>
        <n v="9668594"/>
        <n v="9669214"/>
        <n v="9669234"/>
        <n v="9669286"/>
        <n v="9669293"/>
        <n v="9666693"/>
        <n v="9667129"/>
        <n v="9667613"/>
        <n v="9667986"/>
        <n v="9665420"/>
        <n v="9665624"/>
        <n v="9665918"/>
        <n v="9666680"/>
        <n v="9667340"/>
        <n v="9669177"/>
        <n v="9656549"/>
        <n v="9647777"/>
        <n v="9200499"/>
        <n v="9200176"/>
        <n v="9200280"/>
        <n v="9199539"/>
        <n v="9199640"/>
        <n v="9200371"/>
        <n v="9200410"/>
        <n v="9200116"/>
        <n v="9200323"/>
        <n v="9199724"/>
        <n v="9199767"/>
        <n v="9199849"/>
        <n v="9199899"/>
        <n v="8685500"/>
        <n v="8687876"/>
        <n v="8687901"/>
        <n v="8688072"/>
        <n v="8685505"/>
        <n v="8685731"/>
        <n v="8685912"/>
        <n v="8687489"/>
        <n v="8687869"/>
        <n v="8685410"/>
        <n v="8686410"/>
        <n v="9678415"/>
        <n v="9679359"/>
        <n v="965297"/>
        <n v="965346"/>
        <n v="9202247"/>
        <n v="9201479"/>
        <n v="9201667"/>
        <n v="9201767"/>
        <n v="9200870"/>
        <n v="9200076"/>
        <n v="9200231"/>
        <n v="9199368"/>
        <n v="9197571"/>
        <n v="9197775"/>
        <n v="9192245"/>
        <n v="9205448"/>
        <n v="9204773"/>
        <n v="9204870"/>
        <n v="9204574"/>
        <n v="5106348"/>
        <n v="5106558"/>
        <n v="9204926"/>
        <n v="972485"/>
        <n v="972489"/>
        <n v="972599"/>
        <n v="972606"/>
        <n v="972704"/>
        <n v="971760"/>
        <n v="971857"/>
        <n v="971932"/>
        <n v="971947"/>
        <n v="972171"/>
        <n v="972401"/>
        <n v="971218"/>
        <n v="971356"/>
        <n v="971383"/>
        <n v="971412"/>
        <n v="971512"/>
        <n v="971740"/>
        <n v="969998"/>
        <n v="970564"/>
        <n v="970779"/>
        <n v="970878"/>
        <n v="971183"/>
        <n v="9206363"/>
        <n v="9206490"/>
        <n v="9206587"/>
        <n v="9615050"/>
        <n v="9613046"/>
        <n v="9613392"/>
        <n v="9613676"/>
        <n v="9187416"/>
        <n v="9187552"/>
        <n v="9187591"/>
        <n v="9187211"/>
        <n v="9187293"/>
        <n v="9187508"/>
        <n v="8641570"/>
        <n v="6504005711"/>
        <n v="6504006072"/>
        <n v="8647550"/>
        <n v="8648110"/>
        <n v="8647872"/>
        <n v="8647990"/>
        <n v="8648248"/>
        <n v="5098347"/>
        <n v="5098969"/>
        <n v="50050997"/>
        <n v="5097721"/>
        <n v="5098216"/>
        <n v="5098959"/>
        <n v="9615589"/>
        <n v="9615941"/>
        <n v="9182783"/>
        <n v="9181783"/>
        <n v="9189746"/>
        <n v="9189618"/>
        <n v="9189123"/>
        <n v="9188762"/>
        <n v="9188645"/>
        <n v="9184521"/>
        <n v="936427"/>
        <n v="944705"/>
        <n v="944882"/>
        <n v="944319"/>
        <n v="942253"/>
        <n v="943143"/>
        <n v="9626706"/>
        <n v="9627244"/>
        <n v="9625160"/>
        <n v="9625212"/>
        <n v="9625226"/>
        <n v="9622551"/>
        <n v="9615555"/>
        <n v="9623135"/>
        <n v="9613561"/>
        <n v="9582365"/>
        <n v="9586021"/>
        <n v="9615458"/>
        <n v="9179114"/>
        <n v="8656795"/>
        <n v="9191778"/>
        <n v="5101013"/>
        <n v="5099718"/>
        <n v="68"/>
        <n v="50051649"/>
        <n v="50051696"/>
        <n v="50051498"/>
        <n v="50051550"/>
        <n v="50051596"/>
        <n v="50051597"/>
        <n v="50051648"/>
        <n v="50051450"/>
        <n v="50051451"/>
        <n v="50051497"/>
        <n v="343685"/>
        <n v="8665704"/>
        <n v="8667241"/>
        <n v="8666231"/>
        <n v="5101084"/>
        <n v="25"/>
        <n v="9193553"/>
        <n v="9195052"/>
        <n v="9195156"/>
        <n v="9195265"/>
        <n v="9194606"/>
        <n v="9193936"/>
        <n v="9193873"/>
        <n v="5102329"/>
        <n v="5101545"/>
        <n v="5101799"/>
        <n v="5101844"/>
        <n v="5102039"/>
        <n v="5101219"/>
        <n v="8674100"/>
        <n v="4450422388"/>
        <n v="4450422389"/>
        <n v="9195713"/>
        <n v="50051939"/>
        <n v="50051940"/>
        <n v="9615948"/>
        <n v="9617586"/>
        <n v="9616744"/>
        <n v="9617287"/>
        <n v="9617484"/>
        <n v="9616539"/>
        <n v="9616623"/>
        <n v="9615373"/>
        <n v="9616785"/>
        <n v="9617030"/>
        <n v="9617172"/>
        <n v="940140"/>
        <n v="938696"/>
        <n v="938585"/>
        <n v="9187750"/>
        <n v="9187822"/>
        <n v="9187962"/>
        <n v="9188002"/>
        <n v="9188118"/>
        <n v="9188174"/>
        <n v="9187661"/>
        <n v="8652771"/>
        <n v="8651198"/>
        <n v="8652354"/>
        <n v="6504009067"/>
        <n v="8645254"/>
        <n v="8649323"/>
        <n v="8657981"/>
        <n v="8658107"/>
        <n v="8658643"/>
        <n v="4450422362"/>
        <n v="8656309"/>
        <n v="8656313"/>
        <n v="8656375"/>
        <n v="8657919"/>
        <n v="6504015850"/>
        <n v="5099462"/>
        <n v="67"/>
        <n v="8658014"/>
        <n v="8657408"/>
        <n v="8657409"/>
        <n v="4450422370"/>
        <n v="896"/>
        <n v="9621573"/>
        <n v="9631389"/>
        <n v="9631838"/>
        <n v="946126"/>
        <n v="945141"/>
        <n v="945696"/>
        <n v="946014"/>
        <n v="9191325"/>
        <n v="9191186"/>
        <n v="9632788"/>
        <n v="9632855"/>
        <n v="9633603"/>
        <n v="9640126"/>
        <n v="9640251"/>
        <n v="9640942"/>
        <n v="9641143"/>
        <n v="9641874"/>
        <n v="9639647"/>
        <n v="949118"/>
        <n v="949225"/>
        <n v="949101"/>
        <n v="9193160"/>
        <n v="9193254"/>
        <n v="9193403"/>
        <n v="9193124"/>
        <n v="9193625"/>
        <n v="9193447"/>
        <n v="8668609"/>
        <n v="8669502"/>
        <n v="8668940"/>
        <n v="8669326"/>
        <n v="8660991"/>
        <n v="8661002"/>
        <n v="5100233"/>
        <n v="10"/>
        <n v="6504029343"/>
        <n v="6504029352"/>
        <n v="8673274"/>
        <n v="8673363"/>
        <n v="8674993"/>
        <n v="8673243"/>
        <n v="8673333"/>
        <n v="8675131"/>
        <n v="8672092"/>
        <n v="8672097"/>
        <n v="8672343"/>
        <n v="8675185"/>
        <n v="8676865"/>
        <n v="8676775"/>
        <n v="954593"/>
        <n v="954630"/>
        <n v="954516"/>
        <n v="9657990"/>
        <n v="9656648"/>
        <n v="9657054"/>
        <n v="9657472"/>
        <n v="9656396"/>
        <n v="9658498"/>
        <n v="9658582"/>
        <n v="9199936"/>
        <n v="9200007"/>
        <n v="9199311"/>
        <n v="9199427"/>
        <n v="9199003"/>
        <n v="9199081"/>
        <n v="9199196"/>
        <n v="9198789"/>
        <n v="9197943"/>
        <n v="9198446"/>
        <n v="6504036416"/>
        <n v="6504033594"/>
        <n v="6504036083"/>
        <n v="6504038365"/>
        <n v="6504038023"/>
        <n v="6504038092"/>
        <n v="6504038311"/>
        <n v="6504038326"/>
        <n v="50052132"/>
        <n v="5105054"/>
        <n v="9175816"/>
        <n v="9176737"/>
        <n v="4450422397"/>
        <n v="9680826"/>
        <n v="9680277"/>
        <n v="9681009"/>
        <n v="9450545672"/>
        <n v="9450545673"/>
        <n v="965995"/>
        <n v="966076"/>
        <n v="966290"/>
        <n v="966452"/>
        <n v="965568"/>
        <n v="965729"/>
        <n v="965735"/>
        <n v="965757"/>
        <n v="965758"/>
        <n v="965962"/>
        <n v="9202661"/>
        <n v="9202694"/>
        <n v="9202990"/>
        <n v="9203034"/>
        <n v="9203107"/>
        <n v="8693049"/>
        <n v="9202693"/>
        <n v="9202764"/>
        <n v="6504048568"/>
        <n v="5105461"/>
        <n v="5105468"/>
        <n v="9206802"/>
        <n v="9205783"/>
        <n v="9205901"/>
        <n v="9205942"/>
        <n v="9206012"/>
        <n v="9206176"/>
        <n v="9206236"/>
        <n v="9205650"/>
        <n v="9205691"/>
        <n v="9687404"/>
        <n v="973632"/>
        <n v="9207209"/>
        <n v="9207253"/>
        <n v="9207431"/>
        <n v="9207004"/>
        <n v="9207142"/>
        <n v="6504056267"/>
        <n v="6504056282"/>
        <n v="4450422409"/>
        <n v="4450422410"/>
        <n v="5099042"/>
        <n v="5099151"/>
        <n v="9620373"/>
        <n v="9618754"/>
        <n v="9618831"/>
        <n v="9633748"/>
        <n v="9632357"/>
        <n v="9633498"/>
        <n v="9631247"/>
        <n v="9191389"/>
        <n v="9190935"/>
        <n v="9190968"/>
        <n v="9191001"/>
        <n v="9190458"/>
        <n v="9189969"/>
        <n v="9189540"/>
        <n v="9184702"/>
        <n v="9184737"/>
        <n v="9184916"/>
        <n v="9183199"/>
        <n v="9184141"/>
        <n v="9179977"/>
        <n v="9450544934"/>
        <n v="9450544940"/>
        <n v="9450544931"/>
        <n v="50051549"/>
        <n v="1700540080"/>
        <n v="4450422377"/>
        <n v="50051747"/>
        <n v="50051748"/>
        <n v="8669264"/>
        <n v="6504023078"/>
        <n v="6504025336"/>
        <n v="6504025358"/>
        <n v="9642328"/>
        <n v="9642436"/>
        <n v="9643255"/>
        <n v="9643490"/>
        <n v="9643777"/>
        <n v="9650097"/>
        <n v="9651174"/>
        <n v="9651194"/>
        <n v="9651724"/>
        <n v="9651865"/>
        <n v="9651947"/>
        <n v="9648163"/>
        <n v="9648311"/>
        <n v="9648807"/>
        <n v="9648886"/>
        <n v="9646881"/>
        <n v="9647902"/>
        <n v="9648099"/>
        <n v="9644680"/>
        <n v="9644734"/>
        <n v="9644936"/>
        <n v="9645025"/>
        <n v="9645192"/>
        <n v="9644660"/>
        <n v="9658732"/>
        <n v="9656989"/>
        <n v="9657920"/>
        <n v="9647994"/>
        <n v="9450545291"/>
        <n v="9450545296"/>
        <n v="9450545280"/>
        <n v="955136"/>
        <n v="950343"/>
        <n v="9197208"/>
        <n v="9196754"/>
        <n v="9197134"/>
        <n v="9197187"/>
        <n v="9197240"/>
        <n v="9197273"/>
        <n v="9196372"/>
        <n v="9197076"/>
        <n v="6504032109"/>
        <n v="50052171"/>
        <n v="50052210"/>
        <n v="50052211"/>
        <n v="50052088"/>
        <n v="50052089"/>
        <n v="9662366"/>
        <n v="8680543"/>
        <n v="8681664"/>
        <n v="8682211"/>
        <n v="8682616"/>
        <n v="8683637"/>
        <n v="8682194"/>
        <n v="8682247"/>
        <n v="8682431"/>
        <n v="8682442"/>
        <n v="8685310"/>
        <n v="8684241"/>
        <n v="8684715"/>
        <n v="8684826"/>
        <n v="8685305"/>
        <n v="8685307"/>
        <n v="8684729"/>
        <n v="8684744"/>
        <n v="8684766"/>
        <n v="8685017"/>
        <n v="8685153"/>
        <n v="8665756"/>
        <n v="60746"/>
        <n v="8683620"/>
        <n v="8684658"/>
        <n v="9668333"/>
        <n v="960447"/>
        <n v="960575"/>
        <n v="959744"/>
        <n v="960036"/>
        <n v="960049"/>
        <n v="5105472"/>
        <n v="5105087"/>
        <n v="5105088"/>
        <n v="5105321"/>
        <n v="5105358"/>
        <n v="5105408"/>
        <n v="5105036"/>
        <n v="6504045677"/>
        <n v="6504050754"/>
        <n v="6504050775"/>
        <n v="6504050782"/>
        <n v="6504054469"/>
        <n v="6504049925"/>
        <n v="6504049936"/>
        <n v="6504049944"/>
        <n v="8699381"/>
        <n v="973167"/>
        <n v="50052041"/>
        <n v="9704686"/>
        <n v="973763"/>
        <n v="9208052"/>
        <n v="9208324"/>
        <n v="9208374"/>
        <n v="8706137"/>
        <n v="9208445"/>
        <n v="75"/>
        <n v="9204396"/>
        <n v="9619770"/>
        <n v="9619921"/>
        <n v="9618323"/>
        <n v="9618403"/>
        <n v="9618515"/>
        <n v="9619341"/>
        <n v="9619954"/>
        <n v="9618243"/>
        <n v="9618714"/>
        <n v="940670"/>
        <n v="940958"/>
        <n v="6504011910"/>
        <n v="9188460"/>
        <n v="9188334"/>
        <n v="9188644"/>
        <n v="9188761"/>
        <n v="9188368"/>
        <n v="5099240"/>
        <n v="5099219"/>
        <n v="8653659"/>
        <n v="8654027"/>
        <n v="6503981973"/>
        <n v="9621619"/>
        <n v="9623137"/>
        <n v="9623195"/>
        <n v="9623385"/>
        <n v="9623453"/>
        <n v="9623507"/>
        <n v="9622815"/>
        <n v="8652732"/>
        <n v="6504016942"/>
        <n v="6504017146"/>
        <n v="6504018515"/>
        <n v="6504019017"/>
        <n v="8660774"/>
        <n v="8660835"/>
        <n v="8660990"/>
        <n v="8662855"/>
        <n v="8659977"/>
        <n v="8660410"/>
        <n v="8660699"/>
        <n v="8662642"/>
        <n v="8660138"/>
        <n v="8661269"/>
        <n v="8661338"/>
        <n v="9450544804"/>
        <n v="438203"/>
        <n v="9621269"/>
        <n v="9609069"/>
        <n v="8662170"/>
        <n v="9649183"/>
        <n v="9649750"/>
        <n v="9647747"/>
        <n v="9645137"/>
        <n v="9642139"/>
        <n v="9450545116"/>
        <n v="9450545117"/>
        <n v="9450545030"/>
        <n v="9450545071"/>
        <n v="9450545093"/>
        <n v="9450545111"/>
        <n v="953134"/>
        <n v="953168"/>
        <n v="953170"/>
        <n v="951564"/>
        <n v="952354"/>
        <n v="952523"/>
        <n v="952574"/>
        <n v="952688"/>
        <n v="950423"/>
        <n v="950838"/>
        <n v="950888"/>
        <n v="951359"/>
        <n v="951492"/>
        <n v="951973"/>
        <n v="950345"/>
        <n v="9194172"/>
        <n v="9194705"/>
        <n v="9194652"/>
        <n v="5102644"/>
        <n v="5102671"/>
        <n v="5102384"/>
        <n v="5102386"/>
        <n v="5102503"/>
        <n v="5102601"/>
        <n v="5102640"/>
        <n v="6504031433"/>
        <n v="50051990"/>
        <n v="50051991"/>
        <n v="953321"/>
        <n v="9660055"/>
        <n v="9660235"/>
        <n v="9661929"/>
        <n v="9659336"/>
        <n v="9659475"/>
        <n v="5102893"/>
        <n v="5103077"/>
        <n v="5103162"/>
        <n v="5103234"/>
        <n v="5103237"/>
        <n v="5103279"/>
        <n v="5102747"/>
        <n v="5102771"/>
        <n v="960444"/>
        <n v="958100"/>
        <n v="958102"/>
        <n v="958545"/>
        <n v="958636"/>
        <n v="9672960"/>
        <n v="9672639"/>
        <n v="9673781"/>
        <n v="9674290"/>
        <n v="9674742"/>
        <n v="9201099"/>
        <n v="9201251"/>
        <n v="9200702"/>
        <n v="9200988"/>
        <n v="9201143"/>
        <n v="9201252"/>
        <n v="9200661"/>
        <n v="9200750"/>
        <n v="9199497"/>
        <n v="5102658"/>
        <n v="5104683"/>
        <n v="5104551"/>
        <n v="5104553"/>
        <n v="5104556"/>
        <n v="5104573"/>
        <n v="5104590"/>
        <n v="5104611"/>
        <n v="5104129"/>
        <n v="5104187"/>
        <n v="5104250"/>
        <n v="6504050671"/>
        <n v="6504050678"/>
        <n v="6504050686"/>
        <n v="6504049872"/>
        <n v="5105988"/>
        <n v="5105916"/>
        <n v="5106024"/>
        <n v="5106057"/>
        <n v="5106070"/>
        <n v="5106113"/>
        <n v="5105695"/>
        <n v="5105709"/>
        <n v="5105814"/>
        <n v="9682546"/>
        <n v="9688707"/>
        <n v="9688846"/>
        <n v="9688982"/>
        <n v="9689674"/>
        <n v="9689724"/>
        <n v="9685449"/>
        <n v="9685926"/>
        <n v="9686854"/>
        <n v="9688057"/>
        <n v="9688354"/>
        <n v="9681826"/>
        <n v="9682598"/>
        <n v="9685237"/>
        <n v="968249"/>
        <n v="968785"/>
        <n v="968792"/>
        <n v="967119"/>
        <n v="967221"/>
        <n v="967227"/>
        <n v="967383"/>
        <n v="967633"/>
        <n v="9179737"/>
        <n v="9180949"/>
        <n v="342963"/>
        <n v="9183169"/>
        <n v="9182367"/>
        <n v="9182743"/>
        <n v="9183128"/>
        <n v="5096593"/>
        <n v="9183880"/>
        <n v="9182636"/>
        <n v="9181883"/>
        <n v="9184736"/>
        <n v="9184436"/>
        <n v="9591330"/>
        <n v="9592937"/>
        <n v="9600224"/>
        <n v="9599649"/>
        <n v="9600190"/>
        <n v="8642803"/>
        <n v="9634158"/>
        <n v="9634514"/>
        <n v="9634774"/>
        <n v="9634054"/>
        <n v="4450422371"/>
        <n v="9636363"/>
        <n v="9636387"/>
        <n v="9636573"/>
        <n v="9636698"/>
        <n v="9635714"/>
        <n v="9636412"/>
        <n v="9635976"/>
        <n v="947156"/>
        <n v="9191641"/>
        <n v="9191962"/>
        <n v="9192065"/>
        <n v="9192222"/>
        <n v="9191907"/>
        <n v="9191718"/>
        <n v="8664280"/>
        <n v="8664557"/>
        <n v="9194760"/>
        <n v="9194823"/>
        <n v="9193999"/>
        <n v="9194469"/>
        <n v="9194511"/>
        <n v="9193779"/>
        <n v="9193833"/>
        <n v="9193872"/>
        <n v="9195213"/>
        <n v="9195424"/>
        <n v="9195001"/>
        <n v="50052042"/>
        <n v="8679273"/>
        <n v="8675715"/>
        <n v="8675790"/>
        <n v="8676620"/>
        <n v="8677846"/>
        <n v="8675668"/>
        <n v="8676006"/>
        <n v="8677166"/>
        <n v="9659490"/>
        <n v="956259"/>
        <n v="955843"/>
        <n v="955941"/>
        <n v="956197"/>
        <n v="9198013"/>
        <n v="9198181"/>
        <n v="9197495"/>
        <n v="9197392"/>
        <n v="9198060"/>
        <n v="9197865"/>
        <n v="72"/>
        <n v="344357"/>
        <n v="5104292"/>
        <n v="5104346"/>
        <n v="5104451"/>
        <n v="5103799"/>
        <n v="5103830"/>
        <n v="5103832"/>
        <n v="5103835"/>
        <n v="5103895"/>
        <n v="5104128"/>
        <n v="5103292"/>
        <n v="5103426"/>
        <n v="5103577"/>
        <n v="5103760"/>
        <n v="5103776"/>
        <n v="5102884"/>
        <n v="5101609"/>
        <n v="9450545537"/>
        <n v="9450545538"/>
        <n v="9450545506"/>
        <n v="9450545519"/>
        <n v="9450545531"/>
        <n v="9450545535"/>
        <n v="9450545536"/>
        <n v="60747"/>
        <n v="960809"/>
        <n v="961491"/>
        <n v="962976"/>
        <n v="959110"/>
        <n v="959337"/>
        <n v="958139"/>
        <n v="5104799"/>
        <n v="968048"/>
        <n v="968651"/>
        <n v="968858"/>
        <n v="966584"/>
        <n v="966866"/>
        <n v="964165"/>
        <n v="9204607"/>
        <n v="9204708"/>
        <n v="9204216"/>
        <n v="9204465"/>
        <n v="9203746"/>
        <n v="9203850"/>
        <n v="9203879"/>
        <n v="9204006"/>
        <n v="9203716"/>
        <n v="9203264"/>
        <n v="9203356"/>
        <n v="9203441"/>
        <n v="9204556"/>
        <n v="9203490"/>
        <n v="9203556"/>
        <n v="9203592"/>
        <n v="9203291"/>
        <n v="9203325"/>
        <n v="9203406"/>
        <n v="9204167"/>
        <n v="9204433"/>
        <n v="9203819"/>
        <n v="9203971"/>
        <n v="9203479"/>
        <n v="9203626"/>
        <n v="9623019"/>
        <n v="9623113"/>
        <n v="9622408"/>
        <n v="9622450"/>
        <n v="941962"/>
        <n v="941708"/>
        <n v="9189255"/>
        <n v="9189018"/>
        <n v="9188933"/>
        <n v="9188972"/>
        <n v="6504013530"/>
        <n v="50051362"/>
        <n v="50051409"/>
        <n v="50051410"/>
        <n v="50051310"/>
        <n v="50051311"/>
        <n v="50051361"/>
        <n v="9179840"/>
        <n v="9189076"/>
        <n v="4450422363"/>
        <n v="9450544752"/>
        <n v="9450544757"/>
        <n v="9450544790"/>
        <n v="9450544797"/>
        <n v="9450544593"/>
        <n v="9450544679"/>
        <n v="9450544734"/>
        <n v="9450544749"/>
        <n v="9209686" u="1"/>
        <n v="9210457" u="1"/>
        <n v="9450545868" u="1"/>
        <n v="6504064873" u="1"/>
        <n v="9209830" u="1"/>
        <n v="974484" u="1"/>
        <n v="980537" u="1"/>
        <n v="9210834" u="1"/>
        <n v="975496" u="1"/>
        <n v="5104368" u="1"/>
        <n v="8710007" u="1"/>
        <n v="980544" u="1"/>
        <n v="8710304" u="1"/>
        <n v="9711025" u="1"/>
        <n v="8711573" u="1"/>
        <n v="6504063956" u="1"/>
        <n v="8711629" u="1"/>
        <n v="9212021" u="1"/>
        <n v="9210960" u="1"/>
        <n v="6504065438" u="1"/>
        <n v="8711627" u="1"/>
        <n v="9210726" u="1"/>
        <n v="5105226" u="1"/>
        <n v="978583" u="1"/>
        <n v="980608" u="1"/>
        <n v="9196541" u="1"/>
        <n v="6504051064" u="1"/>
        <n v="9212540" u="1"/>
        <n v="973556" u="1"/>
        <n v="976582" u="1"/>
        <n v="979608" u="1"/>
        <n v="9212122" u="1"/>
        <n v="8696388" u="1"/>
        <n v="9711614" u="1"/>
        <n v="977606" u="1"/>
        <n v="9712329" u="1"/>
        <n v="9195342" u="1"/>
        <n v="9196523" u="1"/>
        <n v="9196531" u="1"/>
        <n v="9712184" u="1"/>
        <n v="974588" u="1"/>
        <n v="6504060249" u="1"/>
        <n v="8711759" u="1"/>
        <n v="50052527" u="1"/>
        <n v="8713229" u="1"/>
        <n v="9712054" u="1"/>
        <n v="8711630" u="1"/>
        <n v="9212561" u="1"/>
        <n v="438831" u="1"/>
        <n v="8711959" u="1"/>
        <n v="9697436" u="1"/>
        <n v="978656" u="1"/>
        <n v="4450422414" u="1"/>
        <n v="979674" u="1"/>
        <n v="976660" u="1"/>
        <n v="9697201" u="1"/>
        <n v="976661" u="1"/>
        <n v="978678" u="1"/>
        <n v="979689" u="1"/>
        <n v="9713971" u="1"/>
        <n v="9713834" u="1"/>
        <n v="978698" u="1"/>
        <n v="50052603" u="1"/>
        <n v="9196862" u="1"/>
        <n v="6504061486" u="1"/>
        <n v="975693" u="1"/>
        <n v="975699" u="1"/>
        <n v="9697792" u="1"/>
        <n v="9714394" u="1"/>
        <n v="8698356" u="1"/>
        <n v="976717" u="1"/>
        <n v="9697430" u="1"/>
        <n v="8713166" u="1"/>
        <n v="9197527" u="1"/>
        <n v="6504064856" u="1"/>
        <n v="4450422421" u="1"/>
        <n v="9683141" u="1"/>
        <n v="9699300" u="1"/>
        <n v="975749" u="1"/>
        <n v="9714519" u="1"/>
        <n v="6504062365" u="1"/>
        <n v="5106942" u="1"/>
        <n v="8698360" u="1"/>
        <n v="973752" u="1"/>
        <n v="5106568" u="1"/>
        <n v="978805" u="1"/>
        <n v="5106873" u="1"/>
        <n v="5107110" u="1"/>
        <n v="6504064313" u="1"/>
        <n v="973771" u="1"/>
        <n v="5106961" u="1"/>
        <n v="8698784" u="1"/>
        <n v="9715392" u="1"/>
        <n v="977813" u="1"/>
        <n v="5107242" u="1"/>
        <n v="973783" u="1"/>
        <n v="6504065436" u="1"/>
        <n v="5107314" u="1"/>
        <n v="9699022" u="1"/>
        <n v="5107141" u="1"/>
        <n v="5106916" u="1"/>
        <n v="974809" u="1"/>
        <n v="5106956" u="1"/>
        <n v="8699505" u="1"/>
        <n v="6504064328" u="1"/>
        <n v="9200138" u="1"/>
        <n v="9699454" u="1"/>
        <n v="976846" u="1"/>
        <n v="5106879" u="1"/>
        <n v="9716594" u="1"/>
        <n v="9668668" u="1"/>
        <n v="9717084" u="1"/>
        <n v="9700811" u="1"/>
        <n v="5107184" u="1"/>
        <n v="5107196" u="1"/>
        <n v="4450422420" u="1"/>
        <n v="975853" u="1"/>
        <n v="8699502" u="1"/>
        <n v="9684971" u="1"/>
        <n v="978895" u="1"/>
        <n v="9700705" u="1"/>
        <n v="975877" u="1"/>
        <n v="6504060308" u="1"/>
        <n v="976887" u="1"/>
        <n v="976896" u="1"/>
        <n v="50052424" u="1"/>
        <n v="5107998" u="1"/>
        <n v="9701105" u="1"/>
        <n v="9718092" u="1"/>
        <n v="8701532" u="1"/>
        <n v="9200607" u="1"/>
        <n v="9718405" u="1"/>
        <n v="977928" u="1"/>
        <n v="9700662" u="1"/>
        <n v="976922" u="1"/>
        <n v="979952" u="1"/>
        <n v="8701989" u="1"/>
        <n v="8701812" u="1"/>
        <n v="9684774" u="1"/>
        <n v="8700952" u="1"/>
        <n v="8701490" u="1"/>
        <n v="50052604" u="1"/>
        <n v="9701496" u="1"/>
        <n v="9702677" u="1"/>
        <n v="9450545907" u="1"/>
        <n v="978972" u="1"/>
        <n v="8701489" u="1"/>
        <n v="8701352" u="1"/>
        <n v="8702549" u="1"/>
        <n v="9702049" u="1"/>
        <n v="9717743" u="1"/>
        <n v="9701904" u="1"/>
        <n v="9718514" u="1"/>
        <n v="968906" u="1"/>
        <n v="6504060208" u="1"/>
        <n v="9703221" u="1"/>
        <n v="978996" u="1"/>
        <n v="8702797" u="1"/>
        <n v="8701640" u="1"/>
        <n v="8701656" u="1"/>
        <n v="968914" u="1"/>
        <n v="9719196" u="1"/>
        <n v="6504059994" u="1"/>
        <n v="8702475" u="1"/>
        <n v="8702507" u="1"/>
        <n v="8701591" u="1"/>
        <n v="978003" u="1"/>
        <n v="8718490" u="1"/>
        <n v="6504064258" u="1"/>
        <n v="978015" u="1"/>
        <n v="980034" u="1"/>
        <n v="8702136" u="1"/>
        <n v="976003" u="1"/>
        <n v="9450545906" u="1"/>
        <n v="8702160" u="1"/>
        <n v="8701951" u="1"/>
        <n v="9686014" u="1"/>
        <n v="979040" u="1"/>
        <n v="8702119" u="1"/>
        <n v="8702127" u="1"/>
        <n v="8702649" u="1"/>
        <n v="976026" u="1"/>
        <n v="980074" u="1"/>
        <n v="8702744" u="1"/>
        <n v="8702792" u="1"/>
        <n v="8702414" u="1"/>
        <n v="9703593" u="1"/>
        <n v="8703892" u="1"/>
        <n v="9703881" u="1"/>
        <n v="9204074" u="1"/>
        <n v="9703880" u="1"/>
        <n v="5109124" u="1"/>
        <n v="9704482" u="1"/>
        <n v="9688096" u="1"/>
        <n v="9705445" u="1"/>
        <n v="976110" u="1"/>
        <n v="976111" u="1"/>
        <n v="8705061" u="1"/>
        <n v="8704932" u="1"/>
        <n v="8703622" u="1"/>
        <n v="50052653" u="1"/>
        <n v="9721957" u="1"/>
        <n v="6504060222" u="1"/>
        <n v="55555" u="1"/>
        <n v="9205725" u="1"/>
        <n v="9688238" u="1"/>
        <n v="9704687" u="1"/>
        <n v="8705436" u="1"/>
        <n v="9205419" u="1"/>
        <n v="439098" u="1"/>
        <n v="8705243" u="1"/>
        <n v="9450545919" u="1"/>
        <n v="6504064272" u="1"/>
        <n v="9705530" u="1"/>
        <n v="9205370" u="1"/>
        <n v="979188" u="1"/>
        <n v="9206117" u="1"/>
        <n v="8704985" u="1"/>
        <n v="9205522" u="1"/>
        <n v="8706061" u="1"/>
        <n v="8704920" u="1"/>
        <n v="8704992" u="1"/>
        <n v="9689014" u="1"/>
        <n v="976195" u="1"/>
        <n v="50052569" u="1"/>
        <n v="9206717" u="1"/>
        <n v="9206572" u="1"/>
        <n v="9707029" u="1"/>
        <n v="8705303" u="1"/>
        <n v="6504064241" u="1"/>
        <n v="9206314" u="1"/>
        <n v="9722031" u="1"/>
        <n v="9206868" u="1"/>
        <n v="9706851" u="1"/>
        <n v="9206177" u="1"/>
        <n v="6504064875" u="1"/>
        <n v="9722408" u="1"/>
        <n v="9206064" u="1"/>
        <n v="6504060290" u="1"/>
        <n v="9206803" u="1"/>
        <n v="970189" u="1"/>
        <n v="9206634" u="1"/>
        <n v="9207397" u="1"/>
        <n v="9707179" u="1"/>
        <n v="4450422417" u="1"/>
        <n v="9707436" u="1"/>
        <n v="9707050" u="1"/>
        <n v="9207396" u="1"/>
        <n v="6504060328" u="1"/>
        <n v="8706553" u="1"/>
        <n v="9206544" u="1"/>
        <n v="9206439" u="1"/>
        <n v="9706671" u="1"/>
        <n v="9707482" u="1"/>
        <n v="9207097" u="1"/>
        <n v="9191708" u="1"/>
        <n v="8707740" u="1"/>
        <n v="8707290" u="1"/>
        <n v="9206839" u="1"/>
        <n v="9207996" u="1"/>
        <n v="6504060343" u="1"/>
        <n v="9208349" u="1"/>
        <n v="9206758" u="1"/>
        <n v="8707345" u="1"/>
        <n v="9708098" u="1"/>
        <n v="9207689" u="1"/>
        <n v="975314" u="1"/>
        <n v="9207496" u="1"/>
        <n v="8692325" u="1"/>
        <n v="9707278" u="1"/>
        <n v="8706870" u="1"/>
        <n v="9708226" u="1"/>
        <n v="973302" u="1"/>
        <n v="9207335" u="1"/>
        <n v="974312" u="1"/>
        <n v="976329" u="1"/>
        <n v="8707617" u="1"/>
        <n v="9692258" u="1"/>
        <n v="8707335" u="1"/>
        <n v="9208507" u="1"/>
        <n v="50052694" u="1"/>
        <n v="9692177" u="1"/>
        <n v="9209037" u="1"/>
        <n v="9207896" u="1"/>
        <n v="9692265" u="1"/>
        <n v="8707752" u="1"/>
        <n v="8707414" u="1"/>
        <n v="975359" u="1"/>
        <n v="8708956" u="1"/>
        <n v="9693557" u="1"/>
        <n v="9209581" u="1"/>
        <n v="973360" u="1"/>
        <n v="9209452" u="1"/>
        <n v="9208126" u="1"/>
        <n v="9209668" u="1"/>
        <n v="9208792" u="1"/>
        <n v="9208808" u="1"/>
        <n v="9209772" u="1"/>
        <n v="978433" u="1"/>
        <n v="9208976" u="1"/>
        <n v="5104126" u="1"/>
        <n v="9208863" u="1"/>
        <n v="9710027" u="1"/>
        <n v="8692326" u="1"/>
        <n v="9209377" u="1"/>
        <n v="9450545869" u="1"/>
        <n v="8708984" u="1"/>
        <n v="8709932" u="1"/>
        <n v="9208758" u="1"/>
        <n v="9210405" u="1"/>
        <n v="975425" u="1"/>
        <n v="9210228" u="1"/>
        <n v="9209320" u="1"/>
        <n v="9678196" u="1"/>
        <n v="9208902" u="1"/>
        <n v="978461" u="1"/>
        <n v="9209231" u="1"/>
        <n v="9209295" u="1"/>
        <n v="9210572" u="1"/>
        <n v="9694660" u="1"/>
        <n v="9209503" u="1"/>
        <n v="9694611" u="1"/>
        <n v="9209639" u="1"/>
        <n v="9710803" u="1"/>
        <n v="9209920" u="1"/>
        <n v="9211149" u="1"/>
        <n v="9210040" u="1"/>
        <n v="9693670" u="1"/>
      </sharedItems>
    </cacheField>
    <cacheField name="pic_codigo" numFmtId="0">
      <sharedItems containsSemiMixedTypes="0" containsString="0" containsNumber="1" containsInteger="1" minValue="5666" maxValue="6471" count="499">
        <n v="5904"/>
        <n v="5913"/>
        <n v="5914"/>
        <n v="5917"/>
        <n v="5919"/>
        <n v="5921"/>
        <n v="6005"/>
        <n v="6007"/>
        <n v="6008"/>
        <n v="6009"/>
        <n v="6010"/>
        <n v="6061"/>
        <n v="6062"/>
        <n v="6063"/>
        <n v="6064"/>
        <n v="6065"/>
        <n v="6066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245"/>
        <n v="6246"/>
        <n v="6247"/>
        <n v="6248"/>
        <n v="6249"/>
        <n v="6250"/>
        <n v="6251"/>
        <n v="6252"/>
        <n v="6253"/>
        <n v="6254"/>
        <n v="6257"/>
        <n v="6304"/>
        <n v="6305"/>
        <n v="6306"/>
        <n v="6310"/>
        <n v="6311"/>
        <n v="6312"/>
        <n v="6313"/>
        <n v="6315"/>
        <n v="5922"/>
        <n v="5923"/>
        <n v="5927"/>
        <n v="5928"/>
        <n v="5930"/>
        <n v="6011"/>
        <n v="6067"/>
        <n v="6068"/>
        <n v="6069"/>
        <n v="6070"/>
        <n v="6071"/>
        <n v="6072"/>
        <n v="6073"/>
        <n v="6074"/>
        <n v="6075"/>
        <n v="6076"/>
        <n v="6125"/>
        <n v="6126"/>
        <n v="6127"/>
        <n v="6128"/>
        <n v="6129"/>
        <n v="6130"/>
        <n v="6131"/>
        <n v="6132"/>
        <n v="6133"/>
        <n v="6134"/>
        <n v="6135"/>
        <n v="6195"/>
        <n v="6196"/>
        <n v="6197"/>
        <n v="6198"/>
        <n v="6199"/>
        <n v="6201"/>
        <n v="6202"/>
        <n v="6203"/>
        <n v="6204"/>
        <n v="6205"/>
        <n v="6206"/>
        <n v="6207"/>
        <n v="6208"/>
        <n v="6209"/>
        <n v="6258"/>
        <n v="6259"/>
        <n v="6260"/>
        <n v="6261"/>
        <n v="6262"/>
        <n v="6263"/>
        <n v="6264"/>
        <n v="6265"/>
        <n v="6316"/>
        <n v="6319"/>
        <n v="6322"/>
        <n v="6323"/>
        <n v="6324"/>
        <n v="6326"/>
        <n v="6327"/>
        <n v="6328"/>
        <n v="6210"/>
        <n v="6211"/>
        <n v="6212"/>
        <n v="6213"/>
        <n v="6266"/>
        <n v="6267"/>
        <n v="6268"/>
        <n v="6269"/>
        <n v="6270"/>
        <n v="6271"/>
        <n v="6329"/>
        <n v="6330"/>
        <n v="6331"/>
        <n v="6338"/>
        <n v="6339"/>
        <n v="5932"/>
        <n v="5933"/>
        <n v="5934"/>
        <n v="5936"/>
        <n v="5937"/>
        <n v="5938"/>
        <n v="5939"/>
        <n v="5940"/>
        <n v="5941"/>
        <n v="5947"/>
        <n v="5948"/>
        <n v="5949"/>
        <n v="5954"/>
        <n v="6012"/>
        <n v="6013"/>
        <n v="6014"/>
        <n v="6015"/>
        <n v="6016"/>
        <n v="6017"/>
        <n v="6018"/>
        <n v="6019"/>
        <n v="6077"/>
        <n v="6078"/>
        <n v="6079"/>
        <n v="6081"/>
        <n v="6082"/>
        <n v="6083"/>
        <n v="6084"/>
        <n v="6085"/>
        <n v="6086"/>
        <n v="6136"/>
        <n v="6137"/>
        <n v="6138"/>
        <n v="6139"/>
        <n v="6140"/>
        <n v="6141"/>
        <n v="6143"/>
        <n v="5955"/>
        <n v="5956"/>
        <n v="5957"/>
        <n v="5958"/>
        <n v="5959"/>
        <n v="5960"/>
        <n v="5961"/>
        <n v="5962"/>
        <n v="5963"/>
        <n v="5966"/>
        <n v="5969"/>
        <n v="5970"/>
        <n v="5971"/>
        <n v="5972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87"/>
        <n v="6088"/>
        <n v="6089"/>
        <n v="6090"/>
        <n v="6091"/>
        <n v="6092"/>
        <n v="6093"/>
        <n v="6094"/>
        <n v="6095"/>
        <n v="6096"/>
        <n v="6097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214"/>
        <n v="6215"/>
        <n v="6216"/>
        <n v="6217"/>
        <n v="6218"/>
        <n v="6219"/>
        <n v="6221"/>
        <n v="6272"/>
        <n v="6273"/>
        <n v="6274"/>
        <n v="5666"/>
        <n v="5682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340"/>
        <n v="6345"/>
        <n v="6348"/>
        <n v="6349"/>
        <n v="6350"/>
        <n v="6355"/>
        <n v="6357"/>
        <n v="6360"/>
        <n v="6364"/>
        <n v="6365"/>
        <n v="5973"/>
        <n v="5974"/>
        <n v="5978"/>
        <n v="6037"/>
        <n v="6038"/>
        <n v="6039"/>
        <n v="6040"/>
        <n v="6041"/>
        <n v="6042"/>
        <n v="6098"/>
        <n v="6099"/>
        <n v="6100"/>
        <n v="6101"/>
        <n v="6102"/>
        <n v="6103"/>
        <n v="6104"/>
        <n v="6105"/>
        <n v="6156"/>
        <n v="6157"/>
        <n v="6158"/>
        <n v="6159"/>
        <n v="6160"/>
        <n v="6161"/>
        <n v="6162"/>
        <n v="6163"/>
        <n v="6164"/>
        <n v="6222"/>
        <n v="6223"/>
        <n v="6224"/>
        <n v="6225"/>
        <n v="6226"/>
        <n v="6227"/>
        <n v="6228"/>
        <n v="6229"/>
        <n v="6230"/>
        <n v="6231"/>
        <n v="6288"/>
        <n v="6289"/>
        <n v="6368"/>
        <n v="6371"/>
        <n v="6373"/>
        <n v="6376"/>
        <n v="6380"/>
        <n v="6381"/>
        <n v="6383"/>
        <n v="6388"/>
        <n v="6397"/>
        <n v="6408"/>
        <n v="6467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6043"/>
        <n v="6044"/>
        <n v="6045"/>
        <n v="6046"/>
        <n v="6047"/>
        <n v="6048"/>
        <n v="6049"/>
        <n v="6050"/>
        <n v="6106"/>
        <n v="6107"/>
        <n v="6108"/>
        <n v="6109"/>
        <n v="6110"/>
        <n v="6111"/>
        <n v="6112"/>
        <n v="6165"/>
        <n v="6166"/>
        <n v="6167"/>
        <n v="6168"/>
        <n v="6169"/>
        <n v="6170"/>
        <n v="6171"/>
        <n v="6232"/>
        <n v="6233"/>
        <n v="6234"/>
        <n v="6235"/>
        <n v="6236"/>
        <n v="6237"/>
        <n v="6238"/>
        <n v="6290"/>
        <n v="6291"/>
        <n v="6292"/>
        <n v="6293"/>
        <n v="6295"/>
        <n v="5750"/>
        <n v="5794"/>
        <n v="5805"/>
        <n v="5818"/>
        <n v="5832"/>
        <n v="5842"/>
        <n v="5859"/>
        <n v="5860"/>
        <n v="5861"/>
        <n v="5862"/>
        <n v="5874"/>
        <n v="5876"/>
        <n v="5895"/>
        <n v="5896"/>
        <n v="5900"/>
        <n v="5903"/>
        <n v="6051"/>
        <n v="6052"/>
        <n v="6053"/>
        <n v="6054"/>
        <n v="6055"/>
        <n v="6056"/>
        <n v="6057"/>
        <n v="6058"/>
        <n v="6059"/>
        <n v="6060"/>
        <n v="6172"/>
        <n v="6173"/>
        <n v="6174"/>
        <n v="6175"/>
        <n v="6176"/>
        <n v="6177"/>
        <n v="6178"/>
        <n v="6179"/>
        <n v="6180"/>
        <n v="6181"/>
        <n v="6239"/>
        <n v="6241"/>
        <n v="6242"/>
        <n v="6243"/>
        <n v="6244"/>
        <n v="6296"/>
        <n v="6297"/>
        <n v="6301"/>
        <n v="6302"/>
        <n v="6303"/>
        <n v="5992"/>
        <n v="5993"/>
        <n v="5994"/>
        <n v="5995"/>
        <n v="5996"/>
        <n v="5997"/>
        <n v="5998"/>
        <n v="5999"/>
        <n v="6000"/>
        <n v="6002"/>
        <n v="6003"/>
        <n v="6004"/>
        <n v="6424" u="1"/>
        <n v="6361" u="1"/>
        <n v="6369" u="1"/>
        <n v="6377" u="1"/>
        <n v="6448" u="1"/>
        <n v="6385" u="1"/>
        <n v="6393" u="1"/>
        <n v="6401" u="1"/>
        <n v="6409" u="1"/>
        <n v="6346" u="1"/>
        <n v="6220" u="1"/>
        <n v="6417" u="1"/>
        <n v="6354" u="1"/>
        <n v="6362" u="1"/>
        <n v="6433" u="1"/>
        <n v="6370" u="1"/>
        <n v="6378" u="1"/>
        <n v="6386" u="1"/>
        <n v="6465" u="1"/>
        <n v="6402" u="1"/>
        <n v="6410" u="1"/>
        <n v="6426" u="1"/>
        <n v="6363" u="1"/>
        <n v="6434" u="1"/>
        <n v="6387" u="1"/>
        <n v="6395" u="1"/>
        <n v="6466" u="1"/>
        <n v="6403" u="1"/>
        <n v="6080" u="1"/>
        <n v="6411" u="1"/>
        <n v="6419" u="1"/>
        <n v="6356" u="1"/>
        <n v="6427" u="1"/>
        <n v="6435" u="1"/>
        <n v="6372" u="1"/>
        <n v="6443" u="1"/>
        <n v="6317" u="1"/>
        <n v="6451" u="1"/>
        <n v="6325" u="1"/>
        <n v="6396" u="1"/>
        <n v="6404" u="1"/>
        <n v="6420" u="1"/>
        <n v="6294" u="1"/>
        <n v="6428" u="1"/>
        <n v="6436" u="1"/>
        <n v="6444" u="1"/>
        <n v="6318" u="1"/>
        <n v="6452" u="1"/>
        <n v="6200" u="1"/>
        <n v="6342" u="1"/>
        <n v="6413" u="1"/>
        <n v="6287" u="1"/>
        <n v="6421" u="1"/>
        <n v="6358" u="1"/>
        <n v="6429" u="1"/>
        <n v="6366" u="1"/>
        <n v="6374" u="1"/>
        <n v="6445" u="1"/>
        <n v="6382" u="1"/>
        <n v="6453" u="1"/>
        <n v="6398" u="1"/>
        <n v="6406" u="1"/>
        <n v="6343" u="1"/>
        <n v="6414" u="1"/>
        <n v="6351" u="1"/>
        <n v="6359" u="1"/>
        <n v="6430" u="1"/>
        <n v="6367" u="1"/>
        <n v="6375" u="1"/>
        <n v="6446" u="1"/>
        <n v="6320" u="1"/>
        <n v="6399" u="1"/>
        <n v="6470" u="1"/>
        <n v="6407" u="1"/>
        <n v="6344" u="1"/>
        <n v="6415" u="1"/>
        <n v="6352" u="1"/>
        <n v="6439" u="1"/>
        <n v="6447" u="1"/>
        <n v="6384" u="1"/>
        <n v="6321" u="1"/>
        <n v="6392" u="1"/>
        <n v="6400" u="1"/>
        <n v="6337" u="1"/>
        <n v="6471" u="1"/>
        <n v="6416" u="1"/>
        <n v="6353" u="1"/>
      </sharedItems>
    </cacheField>
    <cacheField name="pic_fila" numFmtId="0">
      <sharedItems containsSemiMixedTypes="0" containsString="0" containsNumber="1" containsInteger="1" minValue="1" maxValue="41"/>
    </cacheField>
    <cacheField name="pro_codigo" numFmtId="0">
      <sharedItems containsSemiMixedTypes="0" containsString="0" containsNumber="1" containsInteger="1" minValue="4" maxValue="1106"/>
    </cacheField>
    <cacheField name="pro_codigointerno" numFmtId="0">
      <sharedItems count="266">
        <s v="181841"/>
        <s v="181756"/>
        <s v="181685"/>
        <s v="181627"/>
        <s v="181615"/>
        <s v="170782"/>
        <s v="181660"/>
        <s v="161004"/>
        <s v="130254"/>
        <s v="165504"/>
        <s v="181629"/>
        <s v="181520"/>
        <s v="181630"/>
        <s v="110301"/>
        <s v="170120"/>
        <s v="181552"/>
        <s v="181894"/>
        <s v="161012"/>
        <s v="181633"/>
        <s v="140638"/>
        <s v="181554"/>
        <s v="161009"/>
        <s v="181551"/>
        <s v="181595"/>
        <s v="175118"/>
        <s v="181824"/>
        <s v="181628"/>
        <s v="161011"/>
        <s v="181640"/>
        <s v="181637"/>
        <s v="120013"/>
        <s v="130643"/>
        <s v="161010"/>
        <s v="181792"/>
        <s v="181612"/>
        <s v="181810"/>
        <s v="181767"/>
        <s v="170761"/>
        <s v="181812"/>
        <s v="181876"/>
        <s v="160116"/>
        <s v="160121"/>
        <s v="181794"/>
        <s v="165694"/>
        <s v="181609"/>
        <s v="181723"/>
        <s v="181935"/>
        <s v="120011"/>
        <s v="181720"/>
        <s v="181806"/>
        <s v="165690"/>
        <s v="165503"/>
        <s v="165523"/>
        <s v="165524"/>
        <s v="165526"/>
        <s v="165527"/>
        <s v="165528"/>
        <s v="181596"/>
        <s v="181754"/>
        <s v="165677"/>
        <s v="181825"/>
        <s v="181759"/>
        <s v="181666"/>
        <s v="160111"/>
        <s v="165639"/>
        <s v="181751"/>
        <s v="181601"/>
        <s v="181626"/>
        <s v="181708"/>
        <s v="181705"/>
        <s v="161005"/>
        <s v="181718"/>
        <s v="161007"/>
        <s v="181749"/>
        <s v="181814"/>
        <s v="181545A"/>
        <s v="161006"/>
        <s v="181805"/>
        <s v="181530"/>
        <s v="181782"/>
        <s v="130269"/>
        <s v="130270"/>
        <s v="130271"/>
        <s v="181733"/>
        <s v="181738"/>
        <s v="181739"/>
        <s v="170781"/>
        <s v="140684"/>
        <s v="130298"/>
        <s v="161008"/>
        <s v="181531"/>
        <s v="182075"/>
        <s v="182076"/>
        <s v="181533"/>
        <s v="181809"/>
        <s v="181815"/>
        <s v="130290"/>
        <s v="181643"/>
        <s v="120023"/>
        <s v="181697"/>
        <s v="181826"/>
        <s v="181906"/>
        <s v="181930"/>
        <s v="181757"/>
        <s v="181817"/>
        <s v="181875"/>
        <s v="181681"/>
        <s v="181777"/>
        <s v="181713"/>
        <s v="181696"/>
        <s v="130272"/>
        <s v="130296"/>
        <s v="181571"/>
        <s v="181594"/>
        <s v="165879A"/>
        <s v="181521"/>
        <s v="181600"/>
        <s v="181688"/>
        <s v="181850"/>
        <s v="165686"/>
        <s v="181838"/>
        <s v="181578"/>
        <s v="181802"/>
        <s v="181803"/>
        <s v="181808"/>
        <s v="160122"/>
        <s v="181631"/>
        <s v="190203"/>
        <s v="181659"/>
        <s v="181758"/>
        <s v="181639"/>
        <s v="181915"/>
        <s v="181919"/>
        <s v="181863"/>
        <s v="181864"/>
        <s v="181928"/>
        <s v="181735"/>
        <s v="181827"/>
        <s v="181532"/>
        <s v="181663"/>
        <s v="181796"/>
        <s v="181873"/>
        <s v="181638"/>
        <s v="181874"/>
        <s v="130289"/>
        <s v="130273"/>
        <s v="181624"/>
        <s v="181517"/>
        <s v="181534"/>
        <s v="181872"/>
        <s v="181644"/>
        <s v="181813"/>
        <s v="181704"/>
        <s v="120066"/>
        <s v="181768"/>
        <s v="181837"/>
        <s v="181929"/>
        <s v="130267"/>
        <s v="140632"/>
        <s v="165530"/>
        <s v="181706"/>
        <s v="170778"/>
        <s v="181515"/>
        <s v="140679"/>
        <s v="181529"/>
        <s v="181632"/>
        <s v="181831"/>
        <s v="181832"/>
        <s v="110606"/>
        <s v="130285"/>
        <s v="130286"/>
        <s v="140645"/>
        <s v="140669"/>
        <s v="140670"/>
        <s v="165509"/>
        <s v="181583"/>
        <s v="181568"/>
        <s v="181765"/>
        <s v="181634"/>
        <s v="165502"/>
        <s v="181818"/>
        <s v="130703"/>
        <s v="181811"/>
        <s v="170211"/>
        <s v="181611"/>
        <s v="181700"/>
        <s v="181553"/>
        <s v="181650A"/>
        <s v="181543"/>
        <s v="181771"/>
        <s v="181661"/>
        <s v="190109"/>
        <s v="190201"/>
        <s v="181901"/>
        <s v="181577"/>
        <s v="181579"/>
        <s v="181580"/>
        <s v="181581"/>
        <s v="130728"/>
        <s v="181804"/>
        <s v="181608"/>
        <s v="181839"/>
        <s v="181934"/>
        <s v="181642"/>
        <s v="181753"/>
        <s v="181916"/>
        <s v="181684"/>
        <s v="181770"/>
        <s v="181795"/>
        <s v="165525"/>
        <s v="181869"/>
        <s v="181613"/>
        <s v="181614"/>
        <s v="181903"/>
        <s v="181897"/>
        <s v="181677"/>
        <s v="181772"/>
        <s v="181816"/>
        <s v="181773"/>
        <s v="165531"/>
        <s v="181587"/>
        <s v="170780"/>
        <s v="181865"/>
        <s v="181668"/>
        <s v="181721"/>
        <s v="181712"/>
        <s v="181840"/>
        <s v="130299"/>
        <s v="181504"/>
        <s v="140681"/>
        <s v="181605"/>
        <s v="181866"/>
        <s v="160112"/>
        <s v="181588"/>
        <s v="181589"/>
        <s v="181522" u="1"/>
        <s v="181964" u="1"/>
        <s v="181944" u="1"/>
        <s v="181791" u="1"/>
        <s v="181786" u="1"/>
        <s v="181766" u="1"/>
        <s v="182037" u="1"/>
        <s v="181972" u="1"/>
        <s v="130297" u="1"/>
        <s v="181789" u="1"/>
        <s v="181774" u="1"/>
        <s v="181769" u="1"/>
        <s v="181995" u="1"/>
        <s v="140667" u="1"/>
        <s v="181734" u="1"/>
        <s v="181846" u="1"/>
        <s v="181963" u="1"/>
        <s v="181849" u="1"/>
        <s v="181519" u="1"/>
        <s v="182036" u="1"/>
        <s v="181966" u="1"/>
        <s v="181621" u="1"/>
        <s v="181788" u="1"/>
        <s v="181969" u="1"/>
        <s v="181764" u="1"/>
        <s v="181950" u="1"/>
        <s v="182038" u="1"/>
        <s v="181569" u="1"/>
        <s v="181933" u="1"/>
        <s v="181913" u="1"/>
        <s v="181847" u="1"/>
      </sharedItems>
    </cacheField>
    <cacheField name="nombre_producto" numFmtId="0">
      <sharedItems count="266">
        <s v="Estante New Aruba "/>
        <s v="Rack Line (New Zero)"/>
        <s v="Closet Anastasia (Ex Capelinha) "/>
        <s v="Juego de comedor oxford 1+6"/>
        <s v="Berger Venecia "/>
        <s v="Rack atacama pt mad castaño 160295"/>
        <s v="COMEDOR TOLEDO 1+6"/>
        <s v="Escritorio Nazca artico 1215"/>
        <s v="Mesa de centro dora"/>
        <s v="Tabla de planchar Florence bco 55002"/>
        <s v="Juego de comedor lauren 1+2+6"/>
        <s v="Poltrona Violeta"/>
        <s v="Juego de comedor sofia 1+6"/>
        <s v="Bar de Canto Puerto Montt Tabaco"/>
        <s v="New Santiago"/>
        <s v="Home Lara 1.35 "/>
        <s v="Cristalera New Vina"/>
        <s v="kit dormitorio + modulo 1233 + 3017 aberto"/>
        <s v="Poltrona albi  "/>
        <s v="Mesa De Centro Madera Hanna 2125 Sunset/Bco"/>
        <s v="Mesa Para TV Puerto Rico"/>
        <s v="Escritorio Olimpia aberto - artico"/>
        <s v="Home Ipanema 1.80 "/>
        <s v="Home Deneb"/>
        <s v="Respaldo Oregon 2plz + 2 veladores"/>
        <s v="RESPALDO MONACO "/>
        <s v="Juego de 2 andres  1+4"/>
        <s v="Escritorio Curitiba artico"/>
        <s v="Kit Magazin 120"/>
        <s v="Closet Rubi 12 ptas, 3 cajones"/>
        <s v="Mesa para tv MDP Montana Nat - Bco glas"/>
        <s v="Closet Domani 6p 4c rovere tx"/>
        <s v="Escritorio Cali artico"/>
        <s v="Kit Cocina Palma + Counter"/>
        <s v="Poltrona Lennon"/>
        <s v="Rack Recife"/>
        <s v="Panel Ipe"/>
        <s v="Rack Royal ipe tx/ rovere"/>
        <s v="RACK ART"/>
        <s v="RACK STAR (QUARTZ)"/>
        <s v="Mesa de Centro Classic rustico malbec"/>
        <s v="Mesa de centro pt mad Cataño 160389"/>
        <s v="Gabinete Burgos"/>
        <s v="kit cocina Viviana "/>
        <s v="Poltrona Magno"/>
        <s v="REPISA DRESDE"/>
        <s v="Kit Cocina 80 Paula + Cubierta + Griferia"/>
        <s v="Home Roma "/>
        <s v="New Rack Lottus"/>
        <s v="RACK LUCCA (RACK ROYAL)"/>
        <s v="Cocina Flavia teka - brown"/>
        <s v="Mueble Organizador Sinop Blanco"/>
        <s v="Armario Aereo Canela Ref: 3468 Blanco"/>
        <s v="Gabinete Guardaropa Ref: 3004 Bco"/>
        <s v="Armario Itaim Puertas De Vidrio Ref: 3219 Bco"/>
        <s v="Armario Organizador Limeira Ref: 3266 Bco"/>
        <s v="Armario Aereo Ref: 3003 Bco"/>
        <s v="Closet Onix Plus 6ptas. 2 cajones"/>
        <s v="Comoda 4 Cajones + Puertas Dubai"/>
        <s v="Cocina 6 puertas kit 2306 bco negro"/>
        <s v="DESPENSA 1 PUERTA "/>
        <s v="Rack Ovalle"/>
        <s v="COMODA 5 CAJONES GLADYS (PILAR)"/>
        <s v="Mesa de Lateral ALBA bco laca - café"/>
        <s v="Cocina Sheila + balcon sheila bco/griz"/>
        <s v="HOME NINA"/>
        <s v="Estante Delize"/>
        <s v="Comedor francia 6+1"/>
        <s v="ZAPATERA TRIPLE FICUS"/>
        <s v="MESA DE COMEDOR CON EXTENCION CANELA"/>
        <s v="Escritorio España kit castaño 1176"/>
        <s v="RECIBIDOR ESPEJO MARGARITA"/>
        <s v="Escritorio Malta 2 cajones 1171"/>
        <s v="RACK MAYA"/>
        <s v="Rack Bravo (BR33)"/>
        <s v="Respaldo Celaya"/>
        <s v="Escritorio Lindoia artico/turquesa 1194"/>
        <s v="RACK URBAN (RACK ARTERRA)"/>
        <s v="Lavaplatos 80 Izquierdo C/Reb Blanco Notavel"/>
        <s v="Kit Yara 160 (181638) +  Alacena (181641)"/>
        <s v="Rack basculante Nordico"/>
        <s v="Mesa TV Nordico"/>
        <s v="Mesa de centro Nordico"/>
        <s v="RESPALDO ELLE"/>
        <s v="MESA DE CENTRO ROSTCK"/>
        <s v="RACK CHEMNITZ"/>
        <s v="Aparador 2p pt mad castaño 160390"/>
        <s v="Mesa de centro VIVA REF:909  COLORADO"/>
        <s v="Lavaplato 120 eco importado bco"/>
        <s v="Escritorio Fenix Artico"/>
        <s v="Lavaplatos 100 Derecho C/Reb Blanco Notavel"/>
        <s v="Kit Lavaplatos 80 Salmar Izquierdo"/>
        <s v="Kit Lavaplatos 80 Salmar Derecho"/>
        <s v="Lavaplatos 120 Derecho C/Reb Blanco Notavel"/>
        <s v="Juego Comedor Valencia"/>
        <s v="Poltrona Roxana 1 cuerpo"/>
        <s v="Rack New Montana bco"/>
        <s v="Sofa 2 cuerpos catalina"/>
        <s v="Estante Aruba"/>
        <s v="RESPALDO SINAI (UN REGRUESO A LO LARGO)"/>
        <s v="Despensa 2 puertas"/>
        <s v="Cocina New Catalina"/>
        <s v="Comedor Italia Auria 1+4"/>
        <s v="Estante Lima"/>
        <s v="Poltrona Belen 1 cuerpo"/>
        <s v="MESA CENTRO PLUS"/>
        <s v="Estante Grande Barcelona"/>
        <s v="Cabinet Single Isis"/>
        <s v="VELADOR 2 CAJONES DALIAS"/>
        <s v="Camarote 303"/>
        <s v="Mesa lateral Nordico"/>
        <s v="Lavaplato 80 eco importado bco"/>
        <s v="RACK QUARTZ"/>
        <s v="Rack Alma (onix)"/>
        <s v="Bar Salamanca tabaco"/>
        <s v="Poltrona Emilia"/>
        <s v="Estante Cristal"/>
        <s v="Combo Ancud  1,2,3,4,6"/>
        <s v="KIT COCINA VITORIA (MAGAZIN 90)"/>
        <s v="Balcon 2140"/>
        <s v="Panel Niteroi"/>
        <s v="Asador electrico giratorio M1/30-50HZ 14859"/>
        <s v="RESPALDO ELQUI"/>
        <s v="RESPALDO LIMARI"/>
        <s v="Set 2 veladores Serena"/>
        <s v="Mesa canto pt mad Castaño 160388"/>
        <s v="Juego de comedor 6+1 dinamarca"/>
        <s v="Soporte LCD LPA16-46x"/>
        <s v="COMBO SOPORTE KL22G-64T+TECLADO+KIT"/>
        <s v="Estante Palermo"/>
        <s v="kit Fit 120"/>
        <s v="Kit Cocina 2306 6 Puertas"/>
        <s v="Respaldo Marcia (Bento)"/>
        <s v="Arrimo Miró"/>
        <s v="Mesa de centro Miró (Monet)"/>
        <s v="Comedor Serena Rouge 1+6"/>
        <s v="Sofa  2 cuerpos Smith"/>
        <s v="Bancada Avila"/>
        <s v="Lavaplatos 100 Izquierdo C/Reb Blanco Notavel"/>
        <s v="Estante Carla ( ex zara )"/>
        <s v="Gabinete Compostela"/>
        <s v="Rack Jose"/>
        <s v="Kit Yara 160"/>
        <s v="Rack Felipe"/>
        <s v="TV Stand Puerto Rico Bco - Castaño "/>
        <s v="Bar San Marino  tabaco"/>
        <s v="Rack tv palu"/>
        <s v="Pouf Dalva"/>
        <s v="Lavaplatos 120 Izquierdo C/Reb Blancoo Notavel"/>
        <s v="Rack Antonio (BR 281 Rack TV Stand - Favatex)"/>
        <s v="Sofa 2 cuerpos sofia"/>
        <s v="Rack Kemi"/>
        <s v="Rack Inca 2 Cajones"/>
        <s v="Mesa para TV MDP New Montana 2 negro -negro glass "/>
        <s v="Rack Br 375"/>
        <s v="Rack Jeri"/>
        <s v="Comedor Serena Dark Rouge 1+6"/>
        <s v="Home Turin Naturale"/>
        <s v="Arrimo Hanna 2128 Sunset/Blanco"/>
        <s v="Armario aereo con perchero 160395"/>
        <s v="BUFFET 2 PTAS. 3 CAJONES FLORENCE"/>
        <s v="Rack Arterra rov tx - rov tx 52080"/>
        <s v="Poltrona Luna"/>
        <s v="Arrimo Monaco amarillo"/>
        <s v="Lavaplatos 80 Derecho C/Reb Blanco Notavel"/>
        <s v="Juego de comedor mali 6+1"/>
        <s v="CORNER TOMASO AZUL"/>
        <s v="CORNER JAMES (TOMASO)"/>
        <s v="Bar Chocolate"/>
        <s v="Armario de Pared Maceio Bco"/>
        <s v="Estante 1p PT Madera Castaño Argel"/>
        <s v="Mesa de Centro Chocolate"/>
        <s v="Velador Imperio 3 Cajonesref.: 760"/>
        <s v="Cooda Imperio 2C+3Cref.: 761"/>
        <s v="Organizador Classic bco 55004 Microonda"/>
        <s v="KIT COCINA CAMILA "/>
        <s v="Kit Cocina Catalina Blanco/Nogal"/>
        <s v="Rack Azteca"/>
        <s v="Mesa de centro niza 1"/>
        <s v="Mueble Organizador Lucena Blanco"/>
        <s v="Poltrona Barbara 2 cuerpos "/>
        <s v="Armario Aracaju puerta de vidrio"/>
        <s v="RACK DUE "/>
        <s v="Rack prada"/>
        <s v="Poltrona Stuart"/>
        <s v="COMODA  4 CAJONES CORONA 784"/>
        <s v="Rack Arizona 1.71"/>
        <s v="Comedor Corona 6+1 005/250"/>
        <s v="Set Respaldo 2 veladores pino"/>
        <s v="Autoservicio Diva"/>
        <s v="COMEDOR YORK 1+6"/>
        <s v="Soporte LCD PB 119MP"/>
        <s v="Soporte LCD LP09-46T"/>
        <s v="Cocina Marion ( Cocina Vivence)"/>
        <s v="Asador electrico giratorio M1/30-50HZ Preto 3 Espetos"/>
        <s v="Set asador simple 2 unidades "/>
        <s v="Set asador Triple 3 unidades "/>
        <s v="Parrilla Multiuso "/>
        <s v="Closet Capelinha"/>
        <s v="CLOSET 6 PUERTAS 2 CAJONES"/>
        <s v="Sofa Seccional  Cecilia"/>
        <s v="Rack Jeri + Panel Niteroi"/>
        <s v="Panel Jabuti"/>
        <s v="Sofa 2 cuerpos antonia"/>
        <s v="Cocina Milanessa"/>
        <s v="Despensa 1 Puerta"/>
        <s v="Cocina Milan (New Arezzo)"/>
        <s v="Estante TV Polo"/>
        <s v="Tabla de Planchar Murcia"/>
        <s v="Armario Aereo Mayor Con Vidrio Ref:3247 Bco"/>
        <s v="Rack  Pablo"/>
        <s v="Sofa 1 CPO. Italia"/>
        <s v="Sofa 3 CPO. Grecia"/>
        <s v="Kit Cocina Milan Nuevo"/>
        <s v="Kit Criss (kit Priss)"/>
        <s v="Set respaldo + 2 veladores  Marcia(New Bento)"/>
        <s v="Autoservicio Balli"/>
        <s v="Poltrona Rebeca 2 cuerpos"/>
        <s v="Autoservicio Agatha"/>
        <s v="Armario organizador canela 3322 bco"/>
        <s v="Panel TV extensible Florencia "/>
        <s v="Rack basculante pt mad Castaño 160387"/>
        <s v="Rack 350 Dali"/>
        <s v="COMODA 4 CAJONES + PUERTA TALCAHUNO (DINAMO)"/>
        <s v="New Rack Porto bello "/>
        <s v="VELADOR 1 CAJON TULIPAN"/>
        <s v="SET RESPALDO NEW MARCIA (BENTO)"/>
        <s v="Mueble Despensa 1 Puerta Blanco"/>
        <s v="Mueble Despensa 2 Puerta Blanco"/>
        <s v="Mesa lateral Monaco amarillo"/>
        <s v="Comedor Bela Olimpia 1+6"/>
        <s v="Mesa de centro 600 Dali"/>
        <s v="Mesa de Lateral LUCIANA Castaño bx - café"/>
        <s v="Rack Malibu"/>
        <s v="Arrimo Monet"/>
        <s v="Rack Copiapo" u="1"/>
        <s v="Kit Cocina Simona Teka / Brown" u="1"/>
        <s v="POLTRONA 1 CUERPO SARA (SMITH)" u="1"/>
        <s v="Escritorio Lonquimay (Curitiba)" u="1"/>
        <s v="Kit Cocina Barcelona (Kit Magazin 90)" u="1"/>
        <s v="Escritorio Azufre (Viana)" u="1"/>
        <s v="Kit Escritorio Corcovado (Miranda)" u="1"/>
        <s v="Cajonera kuta 15" u="1"/>
        <s v="Conjunto Mesa Ctro Alda Triangular Sunset" u="1"/>
        <s v="Escritorio Carinho (2025,82)" u="1"/>
        <s v="Panel Tijuca" u="1"/>
        <s v="Escritorio Ternura (2025,75)" u="1"/>
        <s v="APARADOR NEW PALAS" u="1"/>
        <s v="Kit Cocina Granada (Kit Yara)" u="1"/>
        <s v="Poltrona Anais" u="1"/>
        <s v="New Mueble Organzador Sur (Cerro Largo)" u="1"/>
        <s v="Lavaplato 100 eco importado bco" u="1"/>
        <s v="Poltrona Laura" u="1"/>
        <s v="Kit Cocina Berenice (Bari Aplique Laberinto)" u="1"/>
        <s v="MESA DE CENTRO NEW IRIS" u="1"/>
        <s v="POLTRONA 2 CUERPOS SARA (SMITH)" u="1"/>
        <s v="POLTRONA 2 CUERPOS SABINA (SMITH)" u="1"/>
        <s v="Repisa Bx 31" u="1"/>
        <s v="Kit Cocina Bilbao (Kit Magazin 120)" u="1"/>
        <s v="Repisa LX500" u="1"/>
        <s v="Kit Cocina Zaragoza (Kit Bari 8P)" u="1"/>
        <s v="Mesa de Centro Bm05" u="1"/>
        <s v="Escritorio Lascar (Fenix) " u="1"/>
        <s v="Poltrona Smith" u="1"/>
        <s v="MESA DE CENTRO GRUMARI (NEW IRIS)" u="1"/>
        <s v="Escritorio Llaima (España)" u="1"/>
      </sharedItems>
    </cacheField>
    <cacheField name="pro_codigoori" numFmtId="0">
      <sharedItems containsSemiMixedTypes="0" containsString="0" containsNumber="1" containsInteger="1" minValue="4" maxValue="1105"/>
    </cacheField>
    <cacheField name="pro_codigointernoori" numFmtId="0">
      <sharedItems/>
    </cacheField>
    <cacheField name="nombre_productoori" numFmtId="0">
      <sharedItems/>
    </cacheField>
    <cacheField name="codigo_unico" numFmtId="0">
      <sharedItems count="1694">
        <s v="35802416"/>
        <s v="35802423"/>
        <s v="33695004"/>
        <s v="34732958"/>
        <s v="38656972"/>
        <s v="38656919"/>
        <s v="36975650"/>
        <s v="33695046"/>
        <s v="12708750361"/>
        <s v="226792758"/>
        <s v="12712309050"/>
        <s v="12712312050"/>
        <s v="12712435391"/>
        <s v="12711449351"/>
        <s v="12712199484"/>
        <s v="12710660252"/>
        <s v="12710837647"/>
        <s v="12710881466"/>
        <s v="12710608995"/>
        <s v="12711084385"/>
        <s v="12711107848"/>
        <s v="12711162120"/>
        <s v="12710611384"/>
        <s v="0"/>
        <s v="0090091808178219011592"/>
        <s v="0390050000685441220101"/>
        <s v="0390050000685422840101"/>
        <s v="0390050000685231230101"/>
        <s v="0390050000685308350101"/>
        <s v="0390050000685381830101"/>
        <s v="0390050000685365730101"/>
        <s v="0570731808199788010069"/>
        <s v="0990301808194799000506"/>
        <s v="0980431808193007006406"/>
        <s v="-"/>
        <s v="12714044485"/>
        <s v="12714055931"/>
        <s v="12713946629"/>
        <s v="12713950770"/>
        <s v="12713962421"/>
        <s v="12713990653"/>
        <s v="12713999328"/>
        <s v="12714043372"/>
        <s v="12713844819"/>
        <s v="12713852807"/>
        <s v="12713852777"/>
        <s v="12713890038"/>
        <s v="12713738354"/>
        <s v="12713733427"/>
        <s v="12713735445"/>
        <s v="12713743532"/>
        <s v="12713821766"/>
        <s v="12713840026"/>
        <s v="12713650830"/>
        <s v="12713675819"/>
        <s v="12713713436"/>
        <s v="12713643979"/>
        <s v="122421970"/>
        <s v="122422117"/>
        <s v="122416421"/>
        <s v="122417841"/>
        <s v="122420356"/>
        <s v="122400467"/>
        <s v="122403375"/>
        <s v="122409032"/>
        <s v="122409404"/>
        <s v="122387611"/>
        <s v="0390050000691916540102"/>
        <s v="0390050000691294650101"/>
        <s v="0390050000691343200101"/>
        <s v="0390050000691345400101"/>
        <s v="23206988920001"/>
        <s v="23206983118001"/>
        <s v="23206985187001"/>
        <s v="23206986927001"/>
        <s v="1"/>
        <s v="2"/>
        <s v="3"/>
        <s v="95568720"/>
        <s v="0390050000694941510101"/>
        <s v="0390050000694594210101"/>
        <s v="0040000590001"/>
        <s v="0040000547734"/>
        <s v="0040000622890"/>
        <s v="0040000654787"/>
        <s v="12714442991"/>
        <s v="38662020"/>
        <s v="38662101"/>
        <s v="36277470"/>
        <s v="137357"/>
        <s v="36350450"/>
        <s v="35673767"/>
        <s v="38662439"/>
        <s v="38662502"/>
        <s v="35368444"/>
        <s v="34733184"/>
        <s v="36277505"/>
        <s v="34602374"/>
        <s v="33774992"/>
        <s v="35449038"/>
        <s v="35368422"/>
        <s v="38661787"/>
        <s v="33266718"/>
        <s v="36312274"/>
        <s v="35208184"/>
        <s v="23207025405001"/>
        <s v="27207044632001"/>
        <s v="23207051994001"/>
        <s v="23207056420001"/>
        <s v="27207053655001"/>
        <s v="23207058500001"/>
        <s v="23207061672001"/>
        <s v="27207051710001"/>
        <s v="23206929545001"/>
        <s v="23207074800002"/>
        <s v="12717408550"/>
        <s v="12717546252"/>
        <s v="226859734"/>
        <s v="0040000558226"/>
        <s v="0040000642064"/>
        <s v="0040000606240"/>
        <s v="122761548"/>
        <s v="122762535"/>
        <s v="23207092325001"/>
        <s v="122762996"/>
        <s v="122751573"/>
        <s v="122755659"/>
        <s v="0390050000701277060102"/>
        <s v="0390050000701514700101"/>
        <s v="0390050000701566460101"/>
        <s v="0390050000701439470102"/>
        <s v="0390050000701421280102"/>
        <s v="0390050000701464610101"/>
        <s v="0390050000700006020101"/>
        <s v="0980471809064437004608"/>
        <s v="0390050000701605850101"/>
        <s v="0390050000701723510101"/>
        <s v="0390050000701634210101"/>
        <s v="0390050000701684740101"/>
        <s v="0390050000701571530101"/>
        <s v="0390050000701668910101"/>
        <s v="23207100415001"/>
        <s v="23207102006001"/>
        <s v="23207095825001"/>
        <s v="23207095753001"/>
        <s v="23207098123002"/>
        <s v="23207075907001"/>
        <s v="95572177"/>
        <s v="95920717"/>
        <s v="95879661"/>
        <s v="0040000641996"/>
        <s v="0040000642025"/>
        <s v="4"/>
        <s v="7"/>
        <s v="6"/>
        <s v="5"/>
        <s v="8"/>
        <s v="12718980710"/>
        <s v="12718980758"/>
        <s v="12719014384"/>
        <s v="12718690657"/>
        <s v="12718947218"/>
        <s v="122909583"/>
        <s v="122915491"/>
        <s v="122915689"/>
        <s v="0390050000704725230101"/>
        <s v="0390050000704007130101"/>
        <s v="0390050000704654800101"/>
        <s v="0390050000704120690101"/>
        <s v="0390050000704321250101"/>
        <s v="0390050000704469800101"/>
        <s v="0390050000697015070101"/>
        <s v="35344588"/>
        <s v="35368552"/>
        <s v="35690404"/>
        <s v="37364272"/>
        <s v="0040000656352"/>
        <s v="0040000622892"/>
        <s v="0040000628494"/>
        <s v="35344629"/>
        <s v="33847563"/>
        <s v="35064463"/>
        <s v="35802862"/>
        <s v="30177806"/>
        <s v="36164176"/>
        <s v="38666031"/>
        <s v="23207184528001"/>
        <s v="27207185380001"/>
        <s v="27207185410001"/>
        <s v="27207152519004"/>
        <s v="23207156096001"/>
        <s v="23207168245001"/>
        <s v="23207182927001"/>
        <s v="23207183703001"/>
        <s v="23207182310001"/>
        <s v="23207166196001"/>
        <s v="23207165615002"/>
        <s v="23207177792001"/>
        <s v="23207179203001"/>
        <s v="23207179473001"/>
        <s v="23207177663001"/>
        <s v="23207200471001"/>
        <s v="23207204318001"/>
        <s v="23207191234001"/>
        <s v="23207194437001"/>
        <s v="23207197185001"/>
        <s v="23207200200001"/>
        <s v="23207199659001"/>
        <s v="0980431808193007006407"/>
        <s v="0390050000683997860102"/>
        <s v="0390050000684049220102"/>
        <s v="0260591808174337008712"/>
        <s v="0390050000680667200103"/>
        <s v="0040331808069810015875"/>
        <s v="0390050000685545090101"/>
        <s v="0390050000685376050101"/>
        <s v="0390050000684231500102"/>
        <s v="0180711808170665007049"/>
        <s v="0390050000684582490101"/>
        <s v="0320411808070773012776"/>
        <s v="0880491808070456000176"/>
        <s v="0390050000676148850101"/>
        <s v="0850311808071169002923"/>
        <s v="0390050000684985780102"/>
        <s v="0140341808180920011570"/>
        <s v="0260601808189886013310"/>
        <s v="0850021808187028006074"/>
        <s v="0880501808193465017157"/>
        <s v="0390050000679180520101"/>
        <s v="0390050000677318860102"/>
        <s v="0090231808081925018527"/>
        <s v="0390050000676479520102"/>
        <s v="0490551808085592014777"/>
        <s v="0320101808094895004255"/>
        <s v="0040391808073520000537"/>
        <s v="38657162"/>
        <s v="36975661"/>
        <s v="34054621"/>
        <s v="34732996"/>
        <s v="35208064"/>
        <s v="35288439"/>
        <s v="38657707"/>
        <s v="33791108"/>
        <s v="35208078"/>
        <s v="35344332"/>
        <s v="34836313"/>
        <s v="38658395"/>
        <s v="38658258"/>
        <s v="36356308"/>
        <s v="35344344"/>
        <s v="38657250"/>
        <s v="34832903"/>
        <s v="35344306"/>
        <s v="0390050000690584090101"/>
        <s v="0390050000691453590101"/>
        <s v="0390050000691530760101"/>
        <s v="0390050000691525200101"/>
        <s v="0390050000690974210101"/>
        <s v="0390050000691010710101"/>
        <s v="0390050000691046640103"/>
        <s v="0390050000691046030101"/>
        <s v="0390050000691150200102"/>
        <s v="0390050000691237610103"/>
        <s v="0390050000690743060101"/>
        <s v="0790351808249672004560"/>
        <s v="0390050000690928380101"/>
        <s v="0250041808247694007578"/>
        <s v="0390050000690735470101"/>
        <s v="0390050000691957140101"/>
        <s v="0390050000691959110101"/>
        <s v="0390050000691956960101"/>
        <s v="0390050000692064680101"/>
        <s v="0390050000692075080101"/>
        <s v="0390050000692089950101"/>
        <s v="0390050000691704320101"/>
        <s v="0220611808269220002192"/>
        <s v="0390050000691773760101"/>
        <s v="0390050000691802710101"/>
        <s v="0390050000691878920101"/>
        <s v="0980471808263978004532"/>
        <s v="0090091808258587011630"/>
        <s v="0390050000690837380103"/>
        <s v="0390050000690490070105"/>
        <s v="0390050000690732330101"/>
        <s v="0390050000689918760101"/>
        <s v="0390050000689987710101"/>
        <s v="0390050000690092970101"/>
        <s v="0790161808206159008135"/>
        <s v="0040331808200063015973"/>
        <s v="0390050000685717100102"/>
        <s v="38658092"/>
        <s v="226814283"/>
        <s v="12714905939"/>
        <s v="12714805352"/>
        <s v="12714834604"/>
        <s v="12714884548"/>
        <s v="12714887181"/>
        <s v="12714898682"/>
        <s v="12714901399"/>
        <s v="12714484830"/>
        <s v="12714923124"/>
        <s v="12714936520"/>
        <s v="12715109923"/>
        <s v="12715111247"/>
        <s v="122512348"/>
        <s v="122493286"/>
        <s v="122502464"/>
        <s v="122498802"/>
        <s v="122502505"/>
        <s v="0450451808297930013502"/>
        <s v="0390050000693629520101"/>
        <s v="0390050000693559760101"/>
        <s v="0390050000693581460101"/>
        <s v="0140181808290263009900"/>
        <s v="0390050000693729160101"/>
        <s v="0390050000693733480101"/>
        <s v="0390050000693804760101"/>
        <s v="0390050000693832550101"/>
        <s v="0390050000693912190101"/>
        <s v="0390050000692734210103"/>
        <s v="0390050000693492390101"/>
        <s v="0390050000696397510101"/>
        <s v="12716505724"/>
        <s v="12716173343"/>
        <s v="12716304358"/>
        <s v="12716270509"/>
        <s v="12716482506"/>
        <s v="12716529492"/>
        <s v="12716542071"/>
        <s v="12716564653"/>
        <s v="12716568996"/>
        <s v="12716591031"/>
        <s v="12716459911"/>
        <s v="0040000606241"/>
        <s v="0040000642068"/>
        <s v="0040000642001"/>
        <s v="122617298"/>
        <s v="0390050000696504570101"/>
        <s v="0390050000696483780101"/>
        <s v="0390050000696633110101"/>
        <s v="0390050000696572690101"/>
        <s v="0390050000696040850101"/>
        <s v="0390050000696080740101"/>
        <s v="0390050000696204820101"/>
        <s v="0390050000696294610101"/>
        <s v="0390050000696314450101"/>
        <s v="0390050000695823690101"/>
        <s v="0390050000695823740102"/>
        <s v="0390050000696365930101"/>
        <s v="0390050000696469470101"/>
        <s v="0390050000696453130101"/>
        <s v="0390050000695740350101"/>
        <s v="122661785"/>
        <s v="0040000654786"/>
        <s v="12718311903"/>
        <s v="12718328970"/>
        <s v="12718393282"/>
        <s v="12718433315"/>
        <s v="12718447244"/>
        <s v="37791438"/>
        <s v="33266860"/>
        <s v="38664853"/>
        <s v="38664986"/>
        <s v="31594784"/>
        <s v="37364256"/>
        <s v="34836508"/>
        <s v="37190379"/>
        <s v="33266846"/>
        <s v="0040000656351"/>
        <s v="0040000656358"/>
        <s v="0040000641992"/>
        <s v="0040000641993"/>
        <s v="0390050000704690510101"/>
        <s v="0390050000705249390101"/>
        <s v="0390050000705438010101"/>
        <s v="38665387"/>
        <s v="35802850"/>
        <s v="23207137991001"/>
        <s v="23207191523001"/>
        <s v="27207193523001"/>
        <s v="23207194620001"/>
        <s v="27207195123001"/>
        <s v="23207198442002"/>
        <s v="26207198515001"/>
        <s v="23207187781001"/>
        <s v="23207190720001"/>
        <s v="23207192089001"/>
        <s v="27207169102001"/>
        <s v="27207211603001"/>
        <s v="23207202536001"/>
        <s v="23207206874001"/>
        <s v="27207208808001"/>
        <s v="23207208559001"/>
        <s v="27207210780001"/>
        <s v="23207209087001"/>
        <s v="27207212815001"/>
        <s v="12720849340"/>
        <s v="12720873963"/>
        <s v="12720950367"/>
        <s v="12720833264"/>
        <s v="123107467"/>
        <s v="123094490"/>
        <s v="123100018"/>
        <s v="123101816"/>
        <s v="123105049"/>
        <s v="123105328"/>
        <s v="123106276"/>
        <s v="123090279"/>
        <s v="0390050000708442440103"/>
        <s v="0070561809203948000921"/>
        <s v="0390050000708398760101"/>
        <s v="12718272044"/>
        <s v="12718298075"/>
        <s v="12718299386"/>
        <s v="12718304547"/>
        <s v="12717966555"/>
        <s v="12718069279"/>
        <s v="12718111343"/>
        <s v="12718224388"/>
        <s v="12718242191"/>
        <s v="12717956396"/>
        <s v="12717972761"/>
        <s v="12717996682"/>
        <s v="12718068708"/>
        <s v="226866855"/>
        <s v="12718295227"/>
        <s v="12716730881"/>
        <s v="12716032152"/>
        <s v="0390050000703260980101"/>
        <s v="0390050000703121550101"/>
        <s v="0390050000703046810101"/>
        <s v="0390050000703112350101"/>
        <s v="0390050000702186340101"/>
        <s v="0390050000702228150101"/>
        <s v="0390050000702163120101"/>
        <s v="0390050000703214060101"/>
        <s v="0390050000703173780104"/>
        <s v="0390050000703199340101"/>
        <s v="0390050000703213670101"/>
        <s v="0390050000703114750101"/>
        <s v="0390050000703424070101"/>
        <s v="0390050000702810250102"/>
        <s v="0390050000698484240102"/>
        <s v="0250041809087975007636"/>
        <s v="0390050000702452600102"/>
        <s v="0390050000702461770101"/>
        <s v="0260591809084899008949"/>
        <s v="0390050000702520460101"/>
        <s v="0390050000702570430101"/>
        <s v="0390050000702604870101"/>
        <s v="23207139188001"/>
        <s v="23207148155001"/>
        <s v="23207147835001"/>
        <s v="23207152416001"/>
        <s v="23207138841001"/>
        <s v="23207139008001"/>
        <s v="23207143048001"/>
        <s v="27207146960001"/>
        <s v="23207147431001"/>
        <s v="23207139614001"/>
        <s v="12719341800"/>
        <s v="12719431013"/>
        <s v="122949200"/>
        <s v="122950656"/>
        <s v="0390050000705091830102"/>
        <s v="0390050000704263160101"/>
        <s v="0390050000704459290102"/>
        <s v="0390050000704512440101"/>
        <s v="0390050000695179450101"/>
        <s v="0390050000703173390102"/>
        <s v="0390050000702886070101"/>
        <s v="0390050000703017610101"/>
        <s v="0390050000702883430101"/>
        <s v="0390050000701925710101"/>
        <s v="0390050000697758990101"/>
        <s v="0390050000697330370101"/>
        <s v="0390050000693207240101"/>
        <s v="0390050000703320110101"/>
        <s v="0190451809093512011957"/>
        <s v="0390050000708620470101"/>
        <s v="0390050000708159070101"/>
        <s v="0390050000707719640101"/>
        <s v="0390050000708141220102"/>
        <s v="0390050000708185990101"/>
        <s v="0390050000708305740101"/>
        <s v="0390050000708549020103"/>
        <s v="0390050000707661400101"/>
        <s v="0390050000708198470101"/>
        <s v="0180631809097171012249"/>
        <s v="95881168"/>
        <s v="95881306"/>
        <s v="123143974"/>
        <s v="123144215"/>
        <s v="123145225"/>
        <s v="123145323"/>
        <s v="123145886"/>
        <s v="123137517"/>
        <s v="20180922003226297917"/>
        <s v="123139696"/>
        <s v="123139682"/>
        <s v="123141452"/>
        <s v="123142923"/>
        <s v="123133273"/>
        <s v="123122324"/>
        <s v="123134292"/>
        <s v="123134838"/>
        <s v="123135341"/>
        <s v="123137284"/>
        <s v="123111688"/>
        <s v="123121138"/>
        <s v="123126835"/>
        <s v="123127712"/>
        <s v="123132772"/>
        <s v="0760891809221621005994"/>
        <s v="0390050000709468150101"/>
        <s v="0390050000709580450101"/>
        <s v="38657480"/>
        <s v="34054610"/>
        <s v="35344322"/>
        <s v="35626373"/>
        <s v="38657980"/>
        <s v="38658012"/>
        <s v="38658010"/>
        <s v="12712664463"/>
        <s v="12712516861"/>
        <s v="12712429901"/>
        <s v="226796732"/>
        <s v="0090051808200156002904"/>
        <s v="0390050000685898320101"/>
        <s v="0390050000685989090101"/>
        <s v="0390050000685993630106"/>
        <s v="0390050000685688830101"/>
        <s v="0390050000685667990101"/>
        <s v="0390050000685752460101"/>
        <s v="0390050000685869280101"/>
        <s v="0880501808203514017189"/>
        <s v="0390050000686030320101"/>
        <s v="0390050000685724160101"/>
        <s v="23206860822001"/>
        <s v="27206897198001"/>
        <s v="23206903375002"/>
        <s v="27206900674001"/>
        <s v="23206900308001"/>
        <s v="23206904546001"/>
        <s v="95567681"/>
        <s v="95568787"/>
        <s v="38656530"/>
        <s v="95566867"/>
        <s v="95567591"/>
        <s v="95568714"/>
        <s v="12712762510"/>
        <s v="12712793224"/>
        <s v="0040331808119920015924"/>
        <s v="0100271808090678008188"/>
        <s v="0390050000691963890101"/>
        <s v="0390050000691333220101"/>
        <s v="0790161808246283008153"/>
        <s v="0390050000690818270101"/>
        <s v="0220731808246443010330"/>
        <s v="0390050000690350150102"/>
        <s v="0390050000689836650102"/>
        <s v="0260751808225359008985"/>
        <s v="0850021808146828006058"/>
        <s v="122214822"/>
        <s v="122420993"/>
        <s v="122421550"/>
        <s v="122419180"/>
        <s v="122377840"/>
        <s v="122406517"/>
        <s v="12713847100"/>
        <s v="12713869942"/>
        <s v="12713699488"/>
        <s v="12713702652"/>
        <s v="12713702744"/>
        <s v="12713418362"/>
        <s v="12712765672"/>
        <s v="12713465342"/>
        <s v="12712549838"/>
        <s v="12708876528"/>
        <s v="12709650561"/>
        <s v="12712755055"/>
        <s v="0451001808041401009676"/>
        <s v="0390050000693360580101"/>
        <s v="0390050000693596560101"/>
        <s v="0390050000693504280102"/>
        <s v="0390050000692912600101"/>
        <s v="0390050000692918200101"/>
        <s v="35208168"/>
        <s v="36090131"/>
        <s v="34733123"/>
        <s v="36163999"/>
        <s v="36090109"/>
        <s v="33160742"/>
        <s v="38660420"/>
        <s v="38660549"/>
        <s v="38660594"/>
        <s v="34836383"/>
        <s v="34349117"/>
        <s v="38660826"/>
        <s v="38659723"/>
        <s v="35368316"/>
        <s v="38659804"/>
        <s v="23206991967001"/>
        <s v="23207016255001"/>
        <s v="27207015342001"/>
        <s v="95571133"/>
        <s v="0390050000696468760101"/>
        <s v="0390050000696631480102"/>
        <s v="0390050000695733990101"/>
        <s v="0390050000695002150102"/>
        <s v="0390050000694975740101"/>
        <s v="0390050000694331390101"/>
        <s v="0390050000693544380101"/>
        <s v="0390050000693911100101"/>
        <s v="0390050000691700510101"/>
        <s v="0390050000696290650101"/>
        <s v="0390050000695691680101"/>
        <s v="0390050000695715320101"/>
        <s v="0390050000695781060101"/>
        <s v="0390050000695858770101"/>
        <s v="0260591809014697008850"/>
        <s v="0390050000694513370104"/>
        <s v="0880501808313740017239"/>
        <s v="0390050000691801820101"/>
        <s v="95876559"/>
        <s v="95453861"/>
        <s v="95571829"/>
        <s v="95571873"/>
        <s v="95876217"/>
        <s v="95175746"/>
        <s v="38662903"/>
        <s v="33281826"/>
        <s v="12712793446"/>
        <s v="12712911284"/>
        <s v="12712853058"/>
        <s v="12712892279"/>
        <s v="12712902039"/>
        <s v="12712834347"/>
        <s v="12712842175"/>
        <s v="12712666801"/>
        <s v="12712843912"/>
        <s v="226804543"/>
        <s v="12712884120"/>
        <s v="122349006"/>
        <s v="122238320"/>
        <s v="122234592"/>
        <s v="0390050000686112020101"/>
        <s v="0390050000685930820101"/>
        <s v="0040391808213755000623"/>
        <s v="0390050000686214630101"/>
        <s v="0390050000686265710101"/>
        <s v="0390050000686260870101"/>
        <s v="0390050000686381630101"/>
        <s v="0390050000686060540101"/>
        <s v="0390050000686411090101"/>
        <s v="0390050000685972910101"/>
        <s v="23206920816001"/>
        <s v="23206916999001"/>
        <s v="23206890792001"/>
        <s v="23206912161001"/>
        <s v="23206959055001"/>
        <s v="23206959726001"/>
        <s v="27206960897001"/>
        <s v="26206933935001"/>
        <s v="23206934027001"/>
        <s v="23206934288001"/>
        <s v="23206937664001"/>
        <s v="226812234"/>
        <s v="12714149500"/>
        <s v="12714127720"/>
        <s v="122462971"/>
        <s v="122449578"/>
        <s v="122459221"/>
        <s v="122461548"/>
        <s v="0390050000692491220101"/>
        <s v="0320661808270453001591"/>
        <s v="12714232356"/>
        <s v="12714234381"/>
        <s v="12714279627"/>
        <s v="12715319353"/>
        <s v="226838050"/>
        <s v="12715381398"/>
        <s v="12715406121"/>
        <s v="12715459837"/>
        <s v="12715271460"/>
        <s v="122531286"/>
        <s v="122536416"/>
        <s v="122530758"/>
        <s v="0390050000694012220103"/>
        <s v="0390050000694132500101"/>
        <s v="0390050000694220060101"/>
        <s v="0390050000693238100101"/>
        <s v="0390050000694401040102"/>
        <s v="0390050000694263390102"/>
        <s v="23207024375001"/>
        <s v="23207022997001"/>
        <s v="27207023582001"/>
        <s v="23206976644001"/>
        <s v="23206976208001"/>
        <s v="95570217"/>
        <s v="35802762"/>
        <s v="35368469"/>
        <s v="33266755"/>
        <s v="36073595"/>
        <s v="23207063846001"/>
        <s v="23207064467001"/>
        <s v="23207069752001"/>
        <s v="23207064281001"/>
        <s v="23207062570001"/>
        <s v="23207070384001"/>
        <s v="23207048528001"/>
        <s v="23207049361001"/>
        <s v="23207052137001"/>
        <s v="122622195"/>
        <s v="122625786"/>
        <s v="122622639"/>
        <s v="12716830956"/>
        <s v="12716737385"/>
        <s v="12716762233"/>
        <s v="12716791325"/>
        <s v="12716711392"/>
        <s v="12716874738"/>
        <s v="12716880524"/>
        <s v="0390050000702628870101"/>
        <s v="0390050000702686580101"/>
        <s v="0390050000702005960101"/>
        <s v="0390050000702078270101"/>
        <s v="0390050000702055740101"/>
        <s v="0390050000702056550101"/>
        <s v="0260591809074883008943"/>
        <s v="0390050000702185600101"/>
        <s v="0390050000702261530101"/>
        <s v="0390050000701560780101"/>
        <s v="0390050000701600390101"/>
        <s v="0390050000701785390101"/>
        <s v="0390050000701859730101"/>
        <s v="0030121809075091013061"/>
        <s v="0390050000701482980101"/>
        <s v="0390050000697905340101"/>
        <s v="0260591809064846008917"/>
        <s v="37364135"/>
        <s v="34602416"/>
        <s v="36090240"/>
        <s v="12720141321"/>
        <s v="12720099790"/>
        <s v="12720156912"/>
        <s v="122962014"/>
        <s v="122962913"/>
        <s v="122965424"/>
        <s v="122966836"/>
        <s v="122956122"/>
        <s v="122958708"/>
        <s v="122958467"/>
        <s v="122959214"/>
        <s v="122958648"/>
        <s v="122962134"/>
        <s v="0390050000705391160101"/>
        <s v="0390050000705366940102"/>
        <s v="0390050000705785030101"/>
        <s v="0140181809130902009946"/>
        <s v="0390050000705844950101"/>
        <s v="0390050000705550600101"/>
        <s v="0390050000705582900101"/>
        <s v="95880169"/>
        <s v="95880191"/>
        <s v="0390050000709706670101"/>
        <s v="0320661809211110001691"/>
        <s v="0790161809217184008339"/>
        <s v="0390050000708984030102"/>
        <s v="0040391809214267000787"/>
        <s v="0390050000709027820101"/>
        <s v="0390050000709251710101"/>
        <s v="0390050000709252950101"/>
        <s v="0390050000709284840101"/>
        <s v="0390050000708816330101"/>
        <s v="0390050000708840840101"/>
        <s v="0390050000708820210101"/>
        <s v="0370211809223286011537"/>
        <s v="0390050000709419310101"/>
        <s v="0390050000709700940101"/>
        <s v="12720703208"/>
        <s v="123251355"/>
        <s v="0390050000709989550101"/>
        <s v="0390050000709978000101"/>
        <s v="0390050000710042090102"/>
        <s v="0390050000710176300101"/>
        <s v="0390050000709864620101"/>
        <s v="0390050000709955230101"/>
        <s v="0390050000710043110101"/>
        <s v="0390050000709372710101"/>
        <s v="0390050000710075200101"/>
        <s v="0390050000709976780101"/>
        <s v="0390050000709993570101"/>
        <s v="0390050000709352680101"/>
        <s v="0390050000709963860101"/>
        <s v="0390050000709717640102"/>
        <s v="0390050000709724460101"/>
        <s v="0390050000709999350101"/>
        <s v="95568854"/>
        <s v="95568935"/>
        <s v="12713175548"/>
        <s v="226807438"/>
        <s v="12713061414"/>
        <s v="12714288261"/>
        <s v="12714199284"/>
        <s v="12714271447"/>
        <s v="12713896559"/>
        <s v="0390050000692483660101"/>
        <s v="0390050000692052190101"/>
        <s v="0390050000692170620101"/>
        <s v="0390050000692164270101"/>
        <s v="0390050000678835840101"/>
        <s v="0390050000692241400101"/>
        <s v="0390050000692197710101"/>
        <s v="0390050000692391110101"/>
        <s v="0090091808278647011632"/>
        <s v="0390050000692365060101"/>
        <s v="0390050000692005530101"/>
        <s v="0390050000692061470101"/>
        <s v="0390050000691727250103"/>
        <s v="0390050000691890900101"/>
        <s v="0390050000691312730102"/>
        <s v="0390050000691210270101"/>
        <s v="0460531808243429003762"/>
        <s v="0990341808154379000791"/>
        <s v="0160331808159459016452"/>
        <s v="0880501808153366017138"/>
        <s v="0140181808129943009857"/>
        <s v="0180211808123398008015"/>
        <s v="0040391808143633000577"/>
        <s v="0220731808065681010101"/>
        <s v="0040000656350"/>
        <s v="0040000628906"/>
        <s v="36020816"/>
        <s v="37363758"/>
        <s v="34733047"/>
        <s v="35368331"/>
        <s v="34733056"/>
        <s v="35468033"/>
        <s v="38660303"/>
        <s v="38660194"/>
        <s v="0040000669426"/>
        <s v="0040000669427"/>
        <s v="38661636"/>
        <s v="38661550"/>
        <s v="34054758"/>
        <s v="34054778"/>
        <s v="35656057"/>
        <s v="36073507"/>
        <s v="35742021"/>
        <s v="12715574424"/>
        <s v="12715411637"/>
        <s v="12715664354"/>
        <s v="12715680934"/>
        <s v="12715711416"/>
        <s v="12716196601"/>
        <s v="12716244555"/>
        <s v="12716245996"/>
        <s v="12716295236"/>
        <s v="12716298428"/>
        <s v="12716295588"/>
        <s v="12716058336"/>
        <s v="12716061107"/>
        <s v="12716142707"/>
        <s v="12716147269"/>
        <s v="12715986531"/>
        <s v="12716038741"/>
        <s v="12716053409"/>
        <s v="12715781518"/>
        <s v="12715786834"/>
        <s v="12715801643"/>
        <s v="12715811369"/>
        <s v="12715824703"/>
        <s v="12715780757"/>
        <s v="12716888209"/>
        <s v="12716760062"/>
        <s v="12716826355"/>
        <s v="12716043073"/>
        <s v="0040000606239"/>
        <s v="0040000558224"/>
        <s v="122633802"/>
        <s v="122570611"/>
        <s v="0390050000697100120101"/>
        <s v="0390050000696933010101"/>
        <s v="0390050000696758020101"/>
        <s v="0390050000697085190101"/>
        <s v="0390050000697107070101"/>
        <s v="0390050000697105730101"/>
        <s v="0390050000697115460101"/>
        <s v="0390050000697114510101"/>
        <s v="0390050000696694300101"/>
        <s v="0390050000696975160101"/>
        <s v="0390050000697022040101"/>
        <s v="35288715"/>
        <s v="36813580"/>
        <s v="35208253"/>
        <s v="38664568"/>
        <s v="38664717"/>
        <s v="35208269"/>
        <s v="38663780"/>
        <s v="38663978"/>
        <s v="35344535"/>
        <s v="36073634"/>
        <s v="32119059"/>
        <s v="12717394419"/>
        <s v="23207098982001"/>
        <s v="23207101008001"/>
        <s v="23207103614001"/>
        <s v="23207120968001"/>
        <s v="23207121991002"/>
        <s v="23207103375001"/>
        <s v="27207118615001"/>
        <s v="27207119954001"/>
        <s v="27207119985001"/>
        <s v="27207137222001"/>
        <s v="23207124235001"/>
        <s v="23207129390001"/>
        <s v="23207130791001"/>
        <s v="23207137192002"/>
        <s v="23207137094001"/>
        <s v="23207130037001"/>
        <s v="27207130314001"/>
        <s v="23207130717001"/>
        <s v="23207133940001"/>
        <s v="23207135498001"/>
        <s v="23206992243002"/>
        <s v="23207121887001"/>
        <s v="23207129396002"/>
        <s v="12716826782"/>
        <s v="122796123"/>
        <s v="122797018"/>
        <s v="122789366"/>
        <s v="122792600"/>
        <s v="122793003"/>
        <s v="95880213"/>
        <s v="95879790"/>
        <s v="95879792"/>
        <s v="95880090"/>
        <s v="94925109"/>
        <s v="95880140"/>
        <s v="95879769"/>
        <s v="23207215661001"/>
        <s v="123238768"/>
        <s v="38663587"/>
        <s v="12716438589"/>
        <s v="123251804"/>
        <s v="0390050000710570400101"/>
        <s v="0390050000710690270101"/>
        <s v="0390050000710671400101"/>
        <s v="0390050000710768030101"/>
        <s v="0390050000710715510101"/>
        <s v="0390050000710694590101"/>
        <s v="0390050000710705580101"/>
        <s v="0390050000707057580102"/>
        <s v="12713135436"/>
        <s v="12713151030"/>
        <s v="226805861"/>
        <s v="12712881525"/>
        <s v="12713032827"/>
        <s v="12713098274"/>
        <s v="12713154956"/>
        <s v="12713013345"/>
        <s v="12712736153"/>
        <s v="122359415"/>
        <s v="122364338"/>
        <s v="0390050000689672770103"/>
        <s v="0390050000689558690101"/>
        <s v="0390050000689730190101"/>
        <s v="0390050000689838260101"/>
        <s v="0390050000689596040101"/>
        <s v="0180631808226900012147"/>
        <s v="0390050000689603780101"/>
        <s v="95569112"/>
        <s v="95569023"/>
        <s v="27206920100001"/>
        <s v="23206927570002"/>
        <s v="12713345682"/>
        <s v="12713466172"/>
        <s v="12713472241"/>
        <s v="12713482745"/>
        <s v="12713490603"/>
        <s v="12713502283"/>
        <s v="12713434836"/>
        <s v="34602320"/>
        <s v="38659635"/>
        <s v="38659684"/>
        <s v="38659572"/>
        <s v="35208141"/>
        <s v="35208147"/>
        <s v="34382573"/>
        <s v="35344391"/>
        <s v="27206973503001"/>
        <s v="23206974058002"/>
        <s v="23206975222001"/>
        <s v="27206982012001"/>
        <s v="23206964044001"/>
        <s v="27206968765001"/>
        <s v="27206972550001"/>
        <s v="23206980853001"/>
        <s v="23206966112001"/>
        <s v="23206978271001"/>
        <s v="23206978589001"/>
        <s v="40000558226"/>
        <s v="40000669040"/>
        <s v="40000669041"/>
        <s v="40000656351"/>
        <s v="40000669046"/>
        <s v="40000656358"/>
        <s v="40000669427"/>
        <s v="40000669052"/>
        <s v="40000669053"/>
        <s v="40000641992"/>
        <s v="40000641993"/>
        <s v="12713316880"/>
        <s v="12712225039"/>
        <s v="12716158821"/>
        <s v="12716182130"/>
        <s v="12716031315"/>
        <s v="12715829531"/>
        <s v="12715510378"/>
        <s v="0040000642051"/>
        <s v="0040000628880"/>
        <s v="0040000558225"/>
        <s v="122599629"/>
        <s v="122600318"/>
        <s v="122599011"/>
        <s v="122588206"/>
        <s v="122593934"/>
        <s v="122595331"/>
        <s v="122595792"/>
        <s v="122596184"/>
        <s v="122573209"/>
        <s v="122577365"/>
        <s v="122578520"/>
        <s v="122586640"/>
        <s v="122587054"/>
        <s v="122589860"/>
        <s v="122568622"/>
        <s v="0451001808311936009816"/>
        <s v="0570751809011174012726"/>
        <s v="0140341809011287011632"/>
        <s v="0390050000695287340101"/>
        <s v="0140341809011287011631"/>
        <s v="0390050000695301370101"/>
        <s v="0390050000695286990101"/>
        <s v="0970151809012234010628"/>
        <s v="0390050000695316440101"/>
        <s v="0390050000695316120101"/>
        <s v="0040391809013952000691"/>
        <s v="0040391809013952000690"/>
        <s v="0180631809017052012206"/>
        <s v="95876868"/>
        <s v="95877006"/>
        <s v="95876675"/>
        <s v="95876685"/>
        <s v="95876768"/>
        <s v="95876835"/>
        <s v="95876865"/>
        <s v="38663381"/>
        <s v="38663386"/>
        <s v="38663403"/>
        <s v="36277538"/>
        <s v="37364090"/>
        <s v="34054823"/>
        <s v="35344520"/>
        <s v="36164103"/>
        <s v="35656125"/>
        <s v="34054825"/>
        <s v="12717217978"/>
        <s v="12717233640"/>
        <s v="12717354758"/>
        <s v="12717167761"/>
        <s v="12717178590"/>
        <s v="95827386"/>
        <s v="95911872"/>
        <s v="95877552"/>
        <s v="95877595"/>
        <s v="95943171"/>
        <s v="95877720"/>
        <s v="95877205"/>
        <s v="95877226"/>
        <s v="38663455"/>
        <s v="122795642"/>
        <s v="122769425"/>
        <s v="122769345"/>
        <s v="122774551"/>
        <s v="122775686"/>
        <s v="12718382422"/>
        <s v="12718589319"/>
        <s v="12718672158"/>
        <s v="12718717088"/>
        <s v="12718748686"/>
        <s v="0390050000703702280101"/>
        <s v="0390050000703829640101"/>
        <s v="0390050000704074140101"/>
        <s v="0390050000703634730101"/>
        <s v="0690261809103486001946"/>
        <s v="0390050000703881980101"/>
        <s v="0390050000704086460101"/>
        <s v="0390050000704008370101"/>
        <s v="0390050000703577310102"/>
        <s v="0390050000703642670101"/>
        <s v="0390050000703596000101"/>
        <s v="0780651809074107009217"/>
        <s v="0390050000702072320101"/>
        <s v="0390050000702087190101"/>
        <s v="0390050000702102400101"/>
        <s v="0390050000701871280101"/>
        <s v="0320661809070775001640"/>
        <s v="95876926"/>
        <s v="95879484"/>
        <s v="95545984"/>
        <s v="95849403"/>
        <s v="95545987"/>
        <s v="95879309"/>
        <s v="95771612"/>
        <s v="95879339"/>
        <s v="95878738"/>
        <s v="95878798"/>
        <s v="95878864"/>
        <s v="95880611"/>
        <s v="95880484"/>
        <s v="95880706"/>
        <s v="95880744"/>
        <s v="95880752"/>
        <s v="95880814"/>
        <s v="95880344"/>
        <s v="95880366"/>
        <s v="94639106"/>
        <s v="12720334587"/>
        <s v="12720756556"/>
        <s v="12720761406"/>
        <s v="12720767309"/>
        <s v="12720802260"/>
        <s v="12720804653"/>
        <s v="12720605717"/>
        <s v="12720637060"/>
        <s v="12720689076"/>
        <s v="12720724807"/>
        <s v="12720740463"/>
        <s v="226888710"/>
        <s v="226889786"/>
        <s v="12720573863"/>
        <s v="123076125"/>
        <s v="123087049"/>
        <s v="123087455"/>
        <s v="123062041"/>
        <s v="123063195"/>
        <s v="123063201"/>
        <s v="123066736"/>
        <s v="20180915000500620298"/>
        <s v="0260591808084086008642"/>
        <s v="0390050000678672090102"/>
        <s v="0390050000677764950101"/>
        <s v="0390050000678211450102"/>
        <s v="0390050000678668680101"/>
        <s v="0390050000679253520101"/>
        <s v="0390050000679308530101"/>
        <s v="0390050000679316580101"/>
        <s v="0390050000679205050101"/>
        <s v="0390050000679328120101"/>
        <s v="0090091808158120011573"/>
        <s v="0390050000679800520104"/>
        <s v="0390050000679685440101"/>
        <s v="0390050000680403030102"/>
        <s v="0390050000679811930101"/>
        <s v="12710227837"/>
        <s v="12710369193"/>
        <s v="12710992346"/>
        <s v="12710991585"/>
        <s v="12711066824"/>
        <s v="0320651808164768012485"/>
        <s v="38656588"/>
        <s v="38656491"/>
        <s v="38656597"/>
        <s v="35208037"/>
        <s v="12714366044"/>
        <s v="12714393736"/>
        <s v="12714408287"/>
        <s v="12714280074"/>
        <s v="12714512526"/>
        <s v="12714514742"/>
        <s v="12714544893"/>
        <s v="12714447804"/>
        <s v="12714477702"/>
        <s v="12714516548"/>
        <s v="12714491029"/>
        <s v="122488391"/>
        <s v="0390050000692541910103"/>
        <s v="0390050000692995790101"/>
        <s v="0390050000693069770101"/>
        <s v="0390050000693134950101"/>
        <s v="0390050000693122980101"/>
        <s v="0390050000693191540101"/>
        <s v="0390050000692757300102"/>
        <s v="0390050000692937940101"/>
        <s v="0390050000692897010101"/>
        <s v="23206988390001"/>
        <s v="0980531809013660000993"/>
        <s v="0390050000695397680101"/>
        <s v="0390050000695352910101"/>
        <s v="0390050000694703460101"/>
        <s v="0390050000694713660101"/>
        <s v="0390050000694753190101"/>
        <s v="0260751808315783009080"/>
        <s v="0140181809010340009906"/>
        <s v="0390050000695239660102"/>
        <s v="0260351809011930006120"/>
        <s v="0390050000694556430101"/>
        <s v="0390050000694556930102"/>
        <s v="0390050000694622350101"/>
        <s v="0390050000694634810101"/>
        <s v="0390050000694702060101"/>
        <s v="0390050000694671340101"/>
        <s v="0390050000695673260101"/>
        <s v="0390050000695726470101"/>
        <s v="0780651809023960009189"/>
        <s v="0390050000695707000101"/>
        <s v="0390050000695716030101"/>
        <s v="0320651809025175012587"/>
        <s v="0390050000695848890101"/>
        <s v="0390050000695823860101"/>
        <s v="0390050000695862240101"/>
        <s v="0390050000695712190101"/>
        <s v="0390050000695907820101"/>
        <s v="0390050000696035430101"/>
        <s v="0390050000696043400101"/>
        <s v="0390050000695857570101"/>
        <s v="0390050000696032150102"/>
        <s v="0390050000695768880101"/>
        <s v="0390050000695539660101"/>
        <s v="0390050000695666520101"/>
        <s v="0390050000695676990101"/>
        <s v="0990301809025096000577"/>
        <s v="0390050000694782760101"/>
        <s v="34602408"/>
        <s v="35344528"/>
        <s v="35344524"/>
        <s v="27207092649001"/>
        <s v="23207072066001"/>
        <s v="23207074084001"/>
        <s v="23207076377001"/>
        <s v="23207080344001"/>
        <s v="23207071210001"/>
        <s v="27207075838001"/>
        <s v="23207077789001"/>
        <s v="12717179917"/>
        <s v="122654816"/>
        <s v="122648168"/>
        <s v="122648701"/>
        <s v="122653353"/>
        <s v="0390050000697993910101"/>
        <s v="0390050000697999230101"/>
        <s v="0390050000698409420101"/>
        <s v="0390050000698263730101"/>
        <s v="0390050000697573640101"/>
        <s v="0390050000697674880101"/>
        <s v="0390050000697834900101"/>
        <s v="0390050000697875570103"/>
        <s v="0390050000697254930101"/>
        <s v="0390050000698106430101"/>
        <s v="0390050000698359000101"/>
        <s v="0390050000693967000101"/>
        <s v="0390050000697850080101"/>
        <s v="0390050000697219240103"/>
        <s v="0390050000697099710101"/>
        <s v="0390050000697134290101"/>
        <s v="0390050000697944130101"/>
        <s v="95879029"/>
        <s v="95510900"/>
        <s v="95879234"/>
        <s v="95709216"/>
        <s v="95878430"/>
        <s v="95878440"/>
        <s v="95878470"/>
        <s v="95878507"/>
        <s v="95878728"/>
        <s v="95877808"/>
        <s v="95877991"/>
        <s v="61265903"/>
        <s v="95878338"/>
        <s v="95878345"/>
        <s v="95877320"/>
        <s v="95914397"/>
        <s v="0040000656349"/>
        <s v="0040000606237"/>
        <s v="0040000628903"/>
        <s v="0040000642014"/>
        <s v="0040000656347"/>
        <s v="122881463"/>
        <s v="122890157"/>
        <s v="122899441"/>
        <s v="122784608"/>
        <s v="122786648"/>
        <s v="122769660"/>
        <s v="95879568"/>
        <s v="123074549"/>
        <s v="123084918"/>
        <s v="123058364"/>
        <s v="122966536"/>
        <s v="123056019"/>
        <s v="122918871"/>
        <s v="0390050000707761910101"/>
        <s v="0390050000708057120101"/>
        <s v="0390050000707153870101"/>
        <s v="0320661809171065001683"/>
        <s v="0390050000707471210101"/>
        <s v="0390050000706591910101"/>
        <s v="0390050000706747350101"/>
        <s v="0390050000706699620101"/>
        <s v="0390050000706963810101"/>
        <s v="0450631809152368007840"/>
        <s v="0390050000706078210101"/>
        <s v="0390050000706177670101"/>
        <s v="0390050000706133650101"/>
        <s v="0390050000707686400102"/>
        <s v="0390050000706253050101"/>
        <s v="0390050000706373780101"/>
        <s v="0390050000706395810101"/>
        <s v="0090051809140573002942"/>
        <s v="0390050000705988130103"/>
        <s v="0390050000706219110101"/>
        <s v="0390050000706968560102"/>
        <s v="0390050000707393610103"/>
        <s v="0390050000706681600101"/>
        <s v="0390050000706843230101"/>
        <s v="0390050000706933980101"/>
        <s v="0390050000706974680101"/>
        <s v="0450451809148287013601"/>
        <s v="0260601809150146013385"/>
        <s v="0450451809158300013604"/>
        <s v="0390050000706080530101"/>
        <s v="0390050000707701800101"/>
        <s v="12713458436"/>
        <s v="12713463959"/>
        <s v="12713408073"/>
        <s v="12713411387"/>
        <s v="122384265"/>
        <s v="122380660"/>
        <s v="0180211808233579008089"/>
        <s v="0390050000690234440101"/>
        <s v="0120951808239116049290"/>
        <s v="0390050000690444630101"/>
        <s v="0390050000690511680101"/>
        <s v="0390050000690141000101"/>
        <s v="0390050000690206130101"/>
        <s v="35802556"/>
        <s v="38659306"/>
        <s v="30177655"/>
        <s v="37363725"/>
        <s v="35802574"/>
        <s v="34833144"/>
        <s v="38658853"/>
        <s v="38658843"/>
        <s v="34054660"/>
        <s v="35344357"/>
        <s v="36312073"/>
        <s v="38659016"/>
        <s v="38659045"/>
        <s v="0390050000709121710101" u="1"/>
        <s v="23207287514001" u="1"/>
        <s v="23207320641001" u="1"/>
        <s v="123296121" u="1"/>
        <s v="123576111" u="1"/>
        <s v="12721344554" u="1"/>
        <s v="0390050000710519850101" u="1"/>
        <s v="0390050000708519890101" u="1"/>
        <s v="30177850" u="1"/>
        <s v="27207229337001" u="1"/>
        <s v="0250041809228133007685" u="1"/>
        <s v="0390050000695810370107" u="1"/>
        <s v="95881314" u="1"/>
        <s v="123379394" u="1"/>
        <s v="23207295908001" u="1"/>
        <s v="0390050000706572610101" u="1"/>
        <s v="0390050000710687470101" u="1"/>
        <s v="23207268764001" u="1"/>
        <s v="123568121" u="1"/>
        <s v="12721546378" u="1"/>
        <s v="0220731809247797010612" u="1"/>
        <s v="12724735212" u="1"/>
        <s v="0390050000726040100101" u="1"/>
        <s v="0450451809308613013712" u="1"/>
        <s v="226910749" u="1"/>
        <s v="123374122" u="1"/>
        <s v="123300732" u="1"/>
        <s v="27207267718001" u="1"/>
        <s v="123251787" u="1"/>
        <s v="0390050000723587420101" u="1"/>
        <s v="0390050000710483480101" u="1"/>
        <s v="0390050000726090110101" u="1"/>
        <s v="12724925880" u="1"/>
        <s v="0450451809288538013665" u="1"/>
        <s v="0390050000723223420101" u="1"/>
        <s v="123357389" u="1"/>
        <s v="123572413" u="1"/>
        <s v="38667422" u="1"/>
        <s v="35656166" u="1"/>
        <s v="95881966" u="1"/>
        <s v="0390050000722646750101" u="1"/>
        <s v="0390050000709662760101" u="1"/>
        <s v="23207239529001" u="1"/>
        <s v="23207229863001" u="1"/>
        <s v="12724913900" u="1"/>
        <s v="0390050000723120280102" u="1"/>
        <s v="12720640121" u="1"/>
        <s v="12721565515" u="1"/>
        <s v="0390050000709509170101" u="1"/>
        <s v="123290008" u="1"/>
        <s v="0390050000710960490101" u="1"/>
        <s v="0390050000723425930101" u="1"/>
        <s v="0390050000711151050101" u="1"/>
        <s v="123282541" u="1"/>
        <s v="95881907" u="1"/>
        <s v="23207269930002" u="1"/>
        <s v="0390050000710129040101" u="1"/>
        <s v="12721811025" u="1"/>
        <s v="0390050000715567560102" u="1"/>
        <s v="0390050000722993680101" u="1"/>
        <s v="95881707" u="1"/>
        <s v="226890782" u="1"/>
        <s v="123254344" u="1"/>
        <s v="12721681277" u="1"/>
        <s v="0390050000709717620101" u="1"/>
        <s v="0390050000723179860102" u="1"/>
        <s v="123384018" u="1"/>
        <s v="35344691" u="1"/>
        <s v="23207194349002" u="1"/>
        <s v="0390050000722998490102" u="1"/>
        <s v="0390050000715718470102" u="1"/>
        <s v="0390050000710868400101" u="1"/>
        <s v="0390050000710483540102" u="1"/>
        <s v="12722567662" u="1"/>
        <s v="12722471020" u="1"/>
        <s v="0390050000710069830101" u="1"/>
        <s v="0140341809282003011749" u="1"/>
        <s v="0260591809295353009172" u="1"/>
        <s v="123118081" u="1"/>
        <s v="0390050000715478340101" u="1"/>
        <s v="23207229804001" u="1"/>
        <s v="0390050000710359900101" u="1"/>
        <s v="12721622034" u="1"/>
        <s v="12724431275" u="1"/>
        <s v="37791648" u="1"/>
        <s v="0390050000711079070101" u="1"/>
        <s v="95881978" u="1"/>
        <s v="95881870" u="1"/>
        <s v="0390050000710120360101" u="1"/>
        <s v="12720728898" u="1"/>
        <s v="12722040226" u="1"/>
        <s v="95881690" u="1"/>
        <s v="12723777527" u="1"/>
        <s v="12724433095" u="1"/>
        <s v="0390050000722543690102" u="1"/>
        <s v="123384928" u="1"/>
        <s v="0390050000709129950102" u="1"/>
        <s v="30177874" u="1"/>
        <s v="0390050000709259120102" u="1"/>
        <s v="0390050000723268360101" u="1"/>
        <s v="123301200" u="1"/>
        <s v="123290860" u="1"/>
        <s v="0390050000707008320101" u="1"/>
        <s v="12721567847" u="1"/>
        <s v="12723042274" u="1"/>
        <s v="12723061220" u="1"/>
        <s v="12720558853" u="1"/>
        <s v="0390050000709324440101" u="1"/>
        <s v="123380337" u="1"/>
        <s v="12721693386" u="1"/>
        <s v="0390050000718596090101" u="1"/>
        <s v="0390050000723640500101" u="1"/>
        <s v="0390050000722347670101" u="1"/>
        <s v="27207231390002" u="1"/>
        <s v="0390050000722373690101" u="1"/>
        <s v="0390050000715641390101" u="1"/>
        <s v="123252281" u="1"/>
        <s v="0390050000715660500102" u="1"/>
        <s v="12720768719" u="1"/>
        <s v="0980511809272443005432" u="1"/>
        <s v="34054920" u="1"/>
        <s v="38667206" u="1"/>
        <s v="12725189212" u="1"/>
        <s v="0390050000722245260101" u="1"/>
        <s v="0120951809279737049632" u="1"/>
        <s v="12724329411" u="1"/>
        <s v="0390050000710980620101" u="1"/>
        <s v="0390050000709678580101" u="1"/>
        <s v="0390050000709430540101" u="1"/>
        <s v="23207319045001" u="1"/>
        <s v="123381100" u="1"/>
        <s v="12723030615" u="1"/>
        <s v="123374657" u="1"/>
        <s v="0390050000710990670101" u="1"/>
        <s v="0390050000723689350101" u="1"/>
        <s v="0390050000707033610101" u="1"/>
        <s v="123272266" u="1"/>
        <s v="123572071" u="1"/>
        <s v="0390050000721576980101" u="1"/>
        <s v="0390050000723286070102" u="1"/>
        <s v="123301904" u="1"/>
        <s v="23207231256002" u="1"/>
        <s v="123380848" u="1"/>
        <s v="12721284133" u="1"/>
        <s v="23207240463001" u="1"/>
        <s v="12722559964" u="1"/>
        <s v="0390050000723177610103" u="1"/>
        <s v="95881613" u="1"/>
        <s v="0390050000715463750101" u="1"/>
        <s v="12725196906" u="1"/>
        <s v="12724398967" u="1"/>
        <s v="95881633" u="1"/>
        <s v="27207211116002" u="1"/>
        <s v="27207240335001" u="1"/>
        <s v="123262483" u="1"/>
        <s v="0390050000714308540101" u="1"/>
        <s v="12722824468" u="1"/>
        <s v="23207282051001" u="1"/>
        <s v="0390050000708753850101" u="1"/>
        <s v="0451001809292525009983" u="1"/>
        <s v="95878692" u="1"/>
        <s v="95880003" u="1"/>
        <s v="0140341809261956011735" u="1"/>
        <s v="0390050000710217700101" u="1"/>
        <s v="0390050000709206180101" u="1"/>
        <s v="12724929802" u="1"/>
        <s v="0220731809267874010625" u="1"/>
        <s v="38667428" u="1"/>
        <s v="123320577" u="1"/>
        <s v="27207242493001" u="1"/>
        <s v="12723016060" u="1"/>
        <s v="0390050000715506230101" u="1"/>
        <s v="12724842835" u="1"/>
        <s v="0390050000696821500101" u="1"/>
        <s v="30177838" u="1"/>
        <s v="226921448" u="1"/>
        <s v="0390050000711002190101" u="1"/>
        <s v="12724694793" u="1"/>
        <s v="0390050000723269350101" u="1"/>
        <s v="12721815436" u="1"/>
        <s v="0390050000720827980101" u="1"/>
        <s v="0990301809235531000707" u="1"/>
        <s v="0390050000723018510101" u="1"/>
        <s v="12723074336" u="1"/>
        <s v="0390050000723009330101" u="1"/>
        <s v="0390050000708862320101" u="1"/>
        <s v="0390050000711182140101" u="1"/>
        <s v="123568893" u="1"/>
        <s v="0390050000708578690102" u="1"/>
        <s v="12724866015" u="1"/>
        <s v="34054913" u="1"/>
        <s v="0390050000710588630101" u="1"/>
        <s v="12723091807" u="1"/>
        <s v="12724897057" u="1"/>
        <s v="0390050000722873120101" u="1"/>
        <s v="123303018" u="1"/>
        <s v="23207281893001" u="1"/>
        <s v="20181001010900090706" u="1"/>
        <s v="123568578" u="1"/>
        <s v="23207317805001" u="1"/>
        <s v="23207240932002" u="1"/>
        <s v="226917984" u="1"/>
        <s v="23207260967001" u="1"/>
        <s v="123264689" u="1"/>
        <s v="23207230702001" u="1"/>
        <s v="0390050000724397840101" u="1"/>
        <s v="0390050000717377070102" u="1"/>
        <s v="12721896534" u="1"/>
        <s v="95881676" u="1"/>
        <s v="23207273225001" u="1"/>
        <s v="0390050000722274650101" u="1"/>
        <s v="95881696" u="1"/>
        <s v="0390050000723283890101" u="1"/>
        <s v="0490501809303598014684" u="1"/>
        <s v="0390050000715677110101" u="1"/>
        <s v="0390050000720825610101" u="1"/>
        <s v="123317245" u="1"/>
        <s v="10" u="1"/>
        <s v="123313536" u="1"/>
        <s v="0390050000723017870101" u="1"/>
        <s v="12721496307" u="1"/>
        <s v="123385741" u="1"/>
        <s v="123385841" u="1"/>
        <s v="123283418" u="1"/>
        <s v="23207292632001" u="1"/>
        <s v="12721835946" u="1"/>
        <s v="23207232636001" u="1"/>
        <s v="123288999" u="1"/>
        <s v="23207272636001" u="1"/>
        <s v="0390050000723194690101" u="1"/>
        <s v="0030341809231358041801" u="1"/>
        <s v="23207234105001" u="1"/>
        <s v="123379052" u="1"/>
        <s v="23207226068001" u="1"/>
        <s v="0390050000709612480103" u="1"/>
        <s v="95977456" u="1"/>
        <s v="123291626" u="1"/>
        <s v="0390050000714338710101" u="1"/>
        <s v="0390050000723336300101" u="1"/>
        <s v="27207293417001" u="1"/>
        <s v="0390050000722868060101" u="1"/>
        <s v="12720970679" u="1"/>
        <s v="123321537" u="1"/>
        <s v="123285552" u="1"/>
        <s v="123305739" u="1"/>
        <s v="0390050000709093060101" u="1"/>
        <s v="23207286044001" u="1"/>
        <s v="12723448465" u="1"/>
        <s v="0040000641973" u="1"/>
        <s v="12721341379" u="1"/>
        <s v="0390050000723261520101" u="1"/>
        <s v="0390050000715665620101" u="1"/>
        <s v="12721277777" u="1"/>
        <s v="23207237064001" u="1"/>
        <s v="27207272935001" u="1"/>
        <s v="123375229" u="1"/>
        <s v="12724700555" u="1"/>
        <s v="23207234307001" u="1"/>
        <s v="12718274925" u="1"/>
        <s v="123339656" u="1"/>
        <s v="12722520667" u="1"/>
        <s v="12720734196" u="1"/>
        <s v="123241247" u="1"/>
        <s v="23207284990001" u="1"/>
        <s v="0970151810024431010752" u="1"/>
        <s v="0390050000726013180104" u="1"/>
        <s v="23207245688001" u="1"/>
        <s v="0390050000715580060101" u="1"/>
        <s v="12723142394" u="1"/>
        <s v="0390050000715722560101" u="1"/>
        <s v="12720551892" u="1"/>
        <s v="12721847826" u="1"/>
        <s v="12721720747" u="1"/>
        <s v="12722499680" u="1"/>
        <s v="0190451809273688012044" u="1"/>
        <s v="12722868622" u="1"/>
        <s v="23207257036001" u="1"/>
        <s v="123246701" u="1"/>
        <s v="12724675907" u="1"/>
        <s v="12723710517" u="1"/>
        <s v="23207236588001" u="1"/>
        <s v="95882088" u="1"/>
        <s v="38667165" u="1"/>
        <s v="0390050000723728100101" u="1"/>
        <s v="12724991892" u="1"/>
        <s v="12723088531" u="1"/>
        <s v="123385347" u="1"/>
        <s v="12722520735" u="1"/>
        <s v="23207233926001" u="1"/>
        <s v="0390050000726079570101" u="1"/>
        <s v="0140181809301372010028" u="1"/>
        <s v="123321473" u="1"/>
        <s v="0410081809248908000389" u="1"/>
        <s v="0390050000723242410101" u="1"/>
        <s v="27207321160001" u="1"/>
        <s v="0390050000703510110101" u="1"/>
        <s v="23207267354001" u="1"/>
        <s v="96118750" u="1"/>
        <s v="23207296781001" u="1"/>
        <s v="23207254944001" u="1"/>
        <s v="23207295742001" u="1"/>
        <s v="95879120" u="1"/>
        <s v="123317368" u="1"/>
        <s v="23207285984001" u="1"/>
        <s v="0390050000723116400101" u="1"/>
        <s v="0790351809300594004668" u="1"/>
        <s v="0390050000709929840101" u="1"/>
        <s v="12725219780" u="1"/>
        <s v="123383064" u="1"/>
        <s v="123267275" u="1"/>
        <s v="123287274" u="1"/>
        <s v="23207236776001" u="1"/>
        <s v="0390050000709938230101" u="1"/>
        <s v="0390050000723420180102" u="1"/>
        <s v="23207247564001" u="1"/>
        <s v="9" u="1"/>
        <s v="23207287459001" u="1"/>
        <s v="0570731809090070010126" u="1"/>
        <s v="0450451809208357013626" u="1"/>
        <s v="12721912845" u="1"/>
        <s v="0390050000715587310102" u="1"/>
        <s v="0390050000724600250101" u="1"/>
        <s v="123244121" u="1"/>
        <s v="38667397" u="1"/>
        <s v="0390050000715743410102" u="1"/>
        <s v="123361582" u="1"/>
        <s v="12720975582" u="1"/>
        <s v="23207227655001" u="1"/>
        <s v="123587465" u="1"/>
        <s v="0390050000722616610101" u="1"/>
        <s v="12720975117" u="1"/>
        <s v="23207295935001" u="1"/>
        <s v="23207248699001" u="1"/>
        <s v="20180930003224563289" u="1"/>
        <s v="123588110" u="1"/>
      </sharedItems>
    </cacheField>
    <cacheField name="cantidad_solicitada" numFmtId="0">
      <sharedItems containsSemiMixedTypes="0" containsString="0" containsNumber="1" containsInteger="1" minValue="1" maxValue="960"/>
    </cacheField>
    <cacheField name="cantidad_encontrada" numFmtId="0">
      <sharedItems containsSemiMixedTypes="0" containsString="0" containsNumber="1" containsInteger="1" minValue="0" maxValue="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sarrollo " refreshedDate="43381.375809606485" missingItemsLimit="0" createdVersion="5" refreshedVersion="5" minRefreshableVersion="3" recordCount="1681">
  <cacheSource type="worksheet">
    <worksheetSource name="Tabla__192.168.1.8_POSEIDONSQL_APPFVT_01_tbl_detalle_fill_rate"/>
  </cacheSource>
  <cacheFields count="27">
    <cacheField name="car_codigo" numFmtId="0">
      <sharedItems containsSemiMixedTypes="0" containsString="0" containsNumber="1" containsInteger="1" minValue="1" maxValue="89"/>
    </cacheField>
    <cacheField name="car_nombre" numFmtId="0">
      <sharedItems count="12">
        <s v="SODIMAC S.A"/>
        <s v="HITES S.A."/>
        <s v="FALABELLA RETAIL S.A."/>
        <s v="EASY S.A."/>
        <s v="PARIS"/>
        <s v="CORONA"/>
        <s v="LIDER"/>
        <s v="RIPLEY"/>
        <s v="MULTICENTRO"/>
        <s v="ABCDIN"/>
        <s v="ESPADAS PREMIUM SPA"/>
        <s v="COLCHONES MANTAHUE"/>
      </sharedItems>
    </cacheField>
    <cacheField name="con_ocnumero" numFmtId="0">
      <sharedItems containsSemiMixedTypes="0" containsString="0" containsNumber="1" containsInteger="1" minValue="10" maxValue="9450545918" count="1188">
        <n v="8672328"/>
        <n v="8672343"/>
        <n v="8672409"/>
        <n v="8672638"/>
        <n v="8672799"/>
        <n v="8673146"/>
        <n v="8673243"/>
        <n v="8673274"/>
        <n v="8673333"/>
        <n v="8673363"/>
        <n v="8674100"/>
        <n v="8674993"/>
        <n v="8675131"/>
        <n v="8675185"/>
        <n v="8675190"/>
        <n v="8675668"/>
        <n v="8675715"/>
        <n v="8675790"/>
        <n v="8675900"/>
        <n v="8676006"/>
        <n v="8676560"/>
        <n v="8676620"/>
        <n v="8676775"/>
        <n v="8676865"/>
        <n v="8677166"/>
        <n v="8677846"/>
        <n v="8679273"/>
        <n v="8680080"/>
        <n v="8680106"/>
        <n v="8696231"/>
        <n v="8696245"/>
        <n v="8696308"/>
        <n v="8696400"/>
        <n v="8696416"/>
        <n v="8696486"/>
        <n v="8696583"/>
        <n v="8696710"/>
        <n v="8696717"/>
        <n v="8696803"/>
        <n v="8696850"/>
        <n v="8696869"/>
        <n v="8696968"/>
        <n v="8697026"/>
        <n v="8697121"/>
        <n v="8697449"/>
        <n v="8697480"/>
        <n v="8698177"/>
        <n v="8698329"/>
        <n v="8698686"/>
        <n v="8698983"/>
        <n v="8698989"/>
        <n v="8699381"/>
        <n v="8706137"/>
        <n v="342963"/>
        <n v="343685"/>
        <n v="344357"/>
        <n v="9581972"/>
        <n v="9582365"/>
        <n v="9586021"/>
        <n v="9591330"/>
        <n v="9592937"/>
        <n v="9595736"/>
        <n v="9595770"/>
        <n v="9626706"/>
        <n v="9626844"/>
        <n v="9626848"/>
        <n v="9627244"/>
        <n v="9627652"/>
        <n v="9628204"/>
        <n v="9628354"/>
        <n v="9628551"/>
        <n v="9629074"/>
        <n v="9629309"/>
        <n v="9630124"/>
        <n v="9630175"/>
        <n v="9630226"/>
        <n v="9631247"/>
        <n v="9631389"/>
        <n v="9631838"/>
        <n v="9632357"/>
        <n v="9632788"/>
        <n v="9632855"/>
        <n v="9633498"/>
        <n v="9633603"/>
        <n v="9633748"/>
        <n v="9634054"/>
        <n v="9634158"/>
        <n v="9634514"/>
        <n v="9634774"/>
        <n v="9635303"/>
        <n v="9635714"/>
        <n v="9635976"/>
        <n v="9636363"/>
        <n v="9636387"/>
        <n v="9636412"/>
        <n v="9636573"/>
        <n v="9636698"/>
        <n v="9637568"/>
        <n v="9637725"/>
        <n v="9638095"/>
        <n v="9638457"/>
        <n v="9638505"/>
        <n v="9666693"/>
        <n v="9667129"/>
        <n v="9667340"/>
        <n v="9667613"/>
        <n v="9667986"/>
        <n v="9668333"/>
        <n v="9668594"/>
        <n v="9669177"/>
        <n v="9669214"/>
        <n v="9669234"/>
        <n v="9669286"/>
        <n v="9669293"/>
        <n v="9669393"/>
        <n v="9669579"/>
        <n v="9670157"/>
        <n v="9670925"/>
        <n v="9671287"/>
        <n v="9672639"/>
        <n v="9672960"/>
        <n v="9673781"/>
        <n v="9674290"/>
        <n v="9674742"/>
        <n v="9675309"/>
        <n v="9676310"/>
        <n v="9676707"/>
        <n v="9676715"/>
        <n v="9677140"/>
        <n v="9678415"/>
        <n v="9679359"/>
        <n v="9680277"/>
        <n v="9680826"/>
        <n v="9681009"/>
        <n v="9681826"/>
        <n v="9682546"/>
        <n v="9682598"/>
        <n v="9685237"/>
        <n v="9685449"/>
        <n v="9685926"/>
        <n v="9686854"/>
        <n v="6504047237"/>
        <n v="6504047313"/>
        <n v="6504048568"/>
        <n v="6504049872"/>
        <n v="6504049925"/>
        <n v="6504049936"/>
        <n v="6504049944"/>
        <n v="6504050671"/>
        <n v="6504050678"/>
        <n v="6504050686"/>
        <n v="6504050754"/>
        <n v="6504050775"/>
        <n v="6504050782"/>
        <n v="6504054469"/>
        <n v="6504056267"/>
        <n v="6504056282"/>
        <n v="930455"/>
        <n v="935237"/>
        <n v="936427"/>
        <n v="937969"/>
        <n v="938585"/>
        <n v="938696"/>
        <n v="940140"/>
        <n v="940670"/>
        <n v="940958"/>
        <n v="941708"/>
        <n v="941962"/>
        <n v="942065"/>
        <n v="942253"/>
        <n v="942615"/>
        <n v="942674"/>
        <n v="943115"/>
        <n v="943143"/>
        <n v="943150"/>
        <n v="943928"/>
        <n v="944181"/>
        <n v="944319"/>
        <n v="944649"/>
        <n v="944705"/>
        <n v="944882"/>
        <n v="944883"/>
        <n v="944887"/>
        <n v="944980"/>
        <n v="945141"/>
        <n v="945696"/>
        <n v="946014"/>
        <n v="946126"/>
        <n v="969998"/>
        <n v="970564"/>
        <n v="970779"/>
        <n v="970878"/>
        <n v="971183"/>
        <n v="971218"/>
        <n v="971356"/>
        <n v="971383"/>
        <n v="971412"/>
        <n v="971512"/>
        <n v="971740"/>
        <n v="971760"/>
        <n v="971857"/>
        <n v="971932"/>
        <n v="971947"/>
        <n v="972171"/>
        <n v="972401"/>
        <n v="972485"/>
        <n v="972489"/>
        <n v="972599"/>
        <n v="972606"/>
        <n v="972704"/>
        <n v="973167"/>
        <n v="973632"/>
        <n v="973763"/>
        <n v="438203"/>
        <n v="1700540080"/>
        <n v="4300420528"/>
        <n v="4300420530"/>
        <n v="4300420534"/>
        <n v="4300420535"/>
        <n v="4300420539"/>
        <n v="4450422362"/>
        <n v="4450422363"/>
        <n v="4450422370"/>
        <n v="4450422371"/>
        <n v="4450422377"/>
        <n v="4450422378"/>
        <n v="9450545918"/>
        <n v="9175816"/>
        <n v="9176737"/>
        <n v="9179737"/>
        <n v="9179840"/>
        <n v="9180949"/>
        <n v="9181883"/>
        <n v="9182636"/>
        <n v="9189076"/>
        <n v="9195713"/>
        <n v="9197926"/>
        <n v="9197927"/>
        <n v="9198487"/>
        <n v="9204926"/>
        <n v="31"/>
        <n v="32"/>
        <n v="5096593"/>
        <n v="5096657"/>
        <n v="5096674"/>
        <n v="5097721"/>
        <n v="5098216"/>
        <n v="5098347"/>
        <n v="5098959"/>
        <n v="5098961"/>
        <n v="5098969"/>
        <n v="5099042"/>
        <n v="5099151"/>
        <n v="5099219"/>
        <n v="5099240"/>
        <n v="5099362"/>
        <n v="5099462"/>
        <n v="5099481"/>
        <n v="5099718"/>
        <n v="5106113"/>
        <n v="5106348"/>
        <n v="5106558"/>
        <n v="10"/>
        <n v="11"/>
        <n v="896"/>
        <n v="50051940"/>
        <n v="50051990"/>
        <n v="50051991"/>
        <n v="50052041"/>
        <n v="50052042"/>
        <n v="50052088"/>
        <n v="50052089"/>
        <n v="50052132"/>
        <n v="50052171"/>
        <n v="50052210"/>
        <n v="50052211"/>
        <n v="50052249"/>
        <n v="50052250"/>
        <n v="50052296"/>
        <n v="9185362"/>
        <n v="9185644"/>
        <n v="9185855"/>
        <n v="9185897"/>
        <n v="9186055"/>
        <n v="9186444"/>
        <n v="9186487"/>
        <n v="9186762"/>
        <n v="9186763"/>
        <n v="9186889"/>
        <n v="9186941"/>
        <n v="9186988"/>
        <n v="9187037"/>
        <n v="9187211"/>
        <n v="9187212"/>
        <n v="9187253"/>
        <n v="9187293"/>
        <n v="9187416"/>
        <n v="9187508"/>
        <n v="9187552"/>
        <n v="9187553"/>
        <n v="9187591"/>
        <n v="9187661"/>
        <n v="9187750"/>
        <n v="9187822"/>
        <n v="9187962"/>
        <n v="9188002"/>
        <n v="9188118"/>
        <n v="9191718"/>
        <n v="9191778"/>
        <n v="9191907"/>
        <n v="9191962"/>
        <n v="9192065"/>
        <n v="9192222"/>
        <n v="9192245"/>
        <n v="9192431"/>
        <n v="9192484"/>
        <n v="9192624"/>
        <n v="9192685"/>
        <n v="9192740"/>
        <n v="9192901"/>
        <n v="9192942"/>
        <n v="9192968"/>
        <n v="9193124"/>
        <n v="9193160"/>
        <n v="9193254"/>
        <n v="9193403"/>
        <n v="9193447"/>
        <n v="9193553"/>
        <n v="9193625"/>
        <n v="9193752"/>
        <n v="9193779"/>
        <n v="9193833"/>
        <n v="9193872"/>
        <n v="9193873"/>
        <n v="9193936"/>
        <n v="9197273"/>
        <n v="9197392"/>
        <n v="9197495"/>
        <n v="9197571"/>
        <n v="9197775"/>
        <n v="9197865"/>
        <n v="9197943"/>
        <n v="9198013"/>
        <n v="9198060"/>
        <n v="9198181"/>
        <n v="9198361"/>
        <n v="9198446"/>
        <n v="9198529"/>
        <n v="9198650"/>
        <n v="9198651"/>
        <n v="9198747"/>
        <n v="9198789"/>
        <n v="9198826"/>
        <n v="9198848"/>
        <n v="9198903"/>
        <n v="9199003"/>
        <n v="9199081"/>
        <n v="9199196"/>
        <n v="9203716"/>
        <n v="9203746"/>
        <n v="9203819"/>
        <n v="9203850"/>
        <n v="9203879"/>
        <n v="9203971"/>
        <n v="9204006"/>
        <n v="9204167"/>
        <n v="9204216"/>
        <n v="9204396"/>
        <n v="9204433"/>
        <n v="9204465"/>
        <n v="9204556"/>
        <n v="9204574"/>
        <n v="9204607"/>
        <n v="9204708"/>
        <n v="9204773"/>
        <n v="9204870"/>
        <n v="9205127"/>
        <n v="9205273"/>
        <n v="9205323"/>
        <n v="9205448"/>
        <n v="9205650"/>
        <n v="9205691"/>
        <n v="9205783"/>
        <n v="9205901"/>
        <n v="9205942"/>
        <n v="9206012"/>
        <n v="9206176"/>
        <n v="9206236"/>
        <n v="9206363"/>
        <n v="9206490"/>
        <n v="9206587"/>
        <n v="9206802"/>
        <n v="9200702"/>
        <n v="9200750"/>
        <n v="9200870"/>
        <n v="9200988"/>
        <n v="9201099"/>
        <n v="9201143"/>
        <n v="9201251"/>
        <n v="9201252"/>
        <n v="9201326"/>
        <n v="9201479"/>
        <n v="9201537"/>
        <n v="9201667"/>
        <n v="9201719"/>
        <n v="9201767"/>
        <n v="9201905"/>
        <n v="9202002"/>
        <n v="9202247"/>
        <n v="9202477"/>
        <n v="9202565"/>
        <n v="9202661"/>
        <n v="9202693"/>
        <n v="9202694"/>
        <n v="9202764"/>
        <n v="9202990"/>
        <n v="9203034"/>
        <n v="9203107"/>
        <n v="9203264"/>
        <n v="9203291"/>
        <n v="9203325"/>
        <n v="9203356"/>
        <n v="9203406"/>
        <n v="9203441"/>
        <n v="9203479"/>
        <n v="9203490"/>
        <n v="9203556"/>
        <n v="9203592"/>
        <n v="9203626"/>
        <n v="9207004"/>
        <n v="9207142"/>
        <n v="9207209"/>
        <n v="9207253"/>
        <n v="9207431"/>
        <n v="9208052"/>
        <n v="9208324"/>
        <n v="9208374"/>
        <n v="9208445"/>
        <n v="9190054"/>
        <n v="9190115"/>
        <n v="9190150"/>
        <n v="9190215"/>
        <n v="9190258"/>
        <n v="9190309"/>
        <n v="9190425"/>
        <n v="9190458"/>
        <n v="9190500"/>
        <n v="9190558"/>
        <n v="9190635"/>
        <n v="9190696"/>
        <n v="9190767"/>
        <n v="9190819"/>
        <n v="9190935"/>
        <n v="9190968"/>
        <n v="9191001"/>
        <n v="9191186"/>
        <n v="9191325"/>
        <n v="9191389"/>
        <n v="9191641"/>
        <n v="9450544804"/>
        <n v="9450544931"/>
        <n v="9450544934"/>
        <n v="9450544940"/>
        <n v="9450545030"/>
        <n v="9450545071"/>
        <n v="9450545093"/>
        <n v="9450545111"/>
        <n v="9450545116"/>
        <n v="9450545117"/>
        <n v="9450545182"/>
        <n v="9450545210"/>
        <n v="9450545244"/>
        <n v="9450545280"/>
        <n v="9450545291"/>
        <n v="9450545296"/>
        <n v="9450545322"/>
        <n v="9450545344"/>
        <n v="9450545377"/>
        <n v="9450545443"/>
        <n v="9450545444"/>
        <n v="9450545506"/>
        <n v="9450545519"/>
        <n v="9450545531"/>
        <n v="9450545535"/>
        <n v="9450545536"/>
        <n v="9450545537"/>
        <n v="9450545538"/>
        <n v="9450545599"/>
        <n v="9450545600"/>
        <n v="9450545633"/>
        <n v="9450545643"/>
        <n v="9450545648"/>
        <n v="9450545672"/>
        <n v="9450545673"/>
        <n v="9450545722"/>
        <n v="9450545739"/>
        <n v="5100233"/>
        <n v="5100902"/>
        <n v="5101013"/>
        <n v="5101084"/>
        <n v="5101219"/>
        <n v="5101343"/>
        <n v="5101382"/>
        <n v="5101545"/>
        <n v="5101609"/>
        <n v="5101799"/>
        <n v="5101844"/>
        <n v="5102039"/>
        <n v="5102070"/>
        <n v="5102329"/>
        <n v="5102384"/>
        <n v="5102386"/>
        <n v="5102503"/>
        <n v="5102601"/>
        <n v="5102640"/>
        <n v="5102644"/>
        <n v="5102658"/>
        <n v="5102671"/>
        <n v="5102747"/>
        <n v="5102771"/>
        <n v="5102884"/>
        <n v="5102893"/>
        <n v="5103077"/>
        <n v="5103162"/>
        <n v="5103234"/>
        <n v="5103237"/>
        <n v="5103279"/>
        <n v="5103292"/>
        <n v="5103426"/>
        <n v="5103550"/>
        <n v="5103577"/>
        <n v="5103760"/>
        <n v="5103776"/>
        <n v="5103799"/>
        <n v="5103830"/>
        <n v="5103832"/>
        <n v="5103835"/>
        <n v="5103895"/>
        <n v="5104128"/>
        <n v="5104129"/>
        <n v="5104187"/>
        <n v="5104250"/>
        <n v="5104292"/>
        <n v="5104346"/>
        <n v="5104451"/>
        <n v="5104551"/>
        <n v="5104553"/>
        <n v="5104556"/>
        <n v="5104573"/>
        <n v="5104590"/>
        <n v="5104611"/>
        <n v="5104683"/>
        <n v="5104799"/>
        <n v="5104876"/>
        <n v="5104911"/>
        <n v="5104949"/>
        <n v="5105036"/>
        <n v="5105054"/>
        <n v="5105087"/>
        <n v="5105088"/>
        <n v="5105321"/>
        <n v="5105358"/>
        <n v="5105408"/>
        <n v="5105461"/>
        <n v="5105468"/>
        <n v="5105472"/>
        <n v="5105695"/>
        <n v="5105709"/>
        <n v="5105814"/>
        <n v="5105916"/>
        <n v="5105988"/>
        <n v="5106024"/>
        <n v="5106057"/>
        <n v="5106070"/>
        <n v="50050997"/>
        <n v="50050998"/>
        <n v="50051047"/>
        <n v="50051048"/>
        <n v="50051097"/>
        <n v="50051098"/>
        <n v="50051147"/>
        <n v="50051148"/>
        <n v="50051208"/>
        <n v="50051209"/>
        <n v="50051259"/>
        <n v="50051260"/>
        <n v="50051310"/>
        <n v="50051311"/>
        <n v="50051361"/>
        <n v="50051362"/>
        <n v="50051409"/>
        <n v="50051410"/>
        <n v="50051450"/>
        <n v="50051451"/>
        <n v="50051497"/>
        <n v="50051498"/>
        <n v="50051549"/>
        <n v="50051550"/>
        <n v="50051596"/>
        <n v="50051597"/>
        <n v="50051648"/>
        <n v="50051649"/>
        <n v="50051696"/>
        <n v="50051747"/>
        <n v="50051748"/>
        <n v="50051794"/>
        <n v="50051795"/>
        <n v="50051838"/>
        <n v="50051839"/>
        <n v="50051888"/>
        <n v="50051889"/>
        <n v="50051939"/>
        <n v="9188174"/>
        <n v="9188334"/>
        <n v="9188368"/>
        <n v="9188460"/>
        <n v="9188644"/>
        <n v="9188645"/>
        <n v="9188761"/>
        <n v="9188762"/>
        <n v="9188773"/>
        <n v="9188836"/>
        <n v="9188858"/>
        <n v="9188933"/>
        <n v="9188972"/>
        <n v="9189018"/>
        <n v="9189123"/>
        <n v="9189255"/>
        <n v="9189296"/>
        <n v="9189454"/>
        <n v="9189482"/>
        <n v="9189539"/>
        <n v="9189540"/>
        <n v="9189618"/>
        <n v="9189711"/>
        <n v="9189745"/>
        <n v="9189746"/>
        <n v="9189791"/>
        <n v="9189841"/>
        <n v="9189912"/>
        <n v="9189969"/>
        <n v="9189989"/>
        <n v="50052330"/>
        <n v="50052331"/>
        <n v="50052368"/>
        <n v="50052369"/>
        <n v="50052459"/>
        <n v="9179114"/>
        <n v="9179720"/>
        <n v="9179977"/>
        <n v="9180363"/>
        <n v="9180448"/>
        <n v="9180795"/>
        <n v="9180857"/>
        <n v="9181185"/>
        <n v="9181409"/>
        <n v="9181455"/>
        <n v="9181783"/>
        <n v="9181856"/>
        <n v="9181934"/>
        <n v="9182367"/>
        <n v="9182743"/>
        <n v="9182783"/>
        <n v="9183128"/>
        <n v="9183169"/>
        <n v="9183199"/>
        <n v="9183759"/>
        <n v="9183880"/>
        <n v="9184141"/>
        <n v="9184436"/>
        <n v="9184521"/>
        <n v="9184702"/>
        <n v="9184736"/>
        <n v="9184737"/>
        <n v="9184916"/>
        <n v="9185165"/>
        <n v="9185285"/>
        <n v="8680421"/>
        <n v="8680428"/>
        <n v="8680466"/>
        <n v="8680543"/>
        <n v="8681169"/>
        <n v="8681567"/>
        <n v="8681664"/>
        <n v="8681776"/>
        <n v="8682194"/>
        <n v="8682211"/>
        <n v="8682247"/>
        <n v="8682431"/>
        <n v="8682442"/>
        <n v="8682616"/>
        <n v="8683620"/>
        <n v="8683637"/>
        <n v="8684241"/>
        <n v="8684658"/>
        <n v="8684715"/>
        <n v="8684729"/>
        <n v="8684744"/>
        <n v="8684766"/>
        <n v="8684826"/>
        <n v="8685017"/>
        <n v="8685153"/>
        <n v="8685305"/>
        <n v="8685307"/>
        <n v="8685310"/>
        <n v="8685410"/>
        <n v="8685449"/>
        <n v="8685500"/>
        <n v="8685505"/>
        <n v="8685731"/>
        <n v="8685912"/>
        <n v="8686410"/>
        <n v="9596357"/>
        <n v="9597665"/>
        <n v="9598302"/>
        <n v="9599649"/>
        <n v="9600190"/>
        <n v="9600224"/>
        <n v="9600628"/>
        <n v="9600902"/>
        <n v="9601995"/>
        <n v="9604950"/>
        <n v="9608491"/>
        <n v="9609066"/>
        <n v="9609069"/>
        <n v="9610000"/>
        <n v="9610052"/>
        <n v="9612153"/>
        <n v="9613046"/>
        <n v="9613392"/>
        <n v="9613561"/>
        <n v="9613676"/>
        <n v="9615050"/>
        <n v="9615373"/>
        <n v="9615458"/>
        <n v="9615555"/>
        <n v="9615589"/>
        <n v="9615941"/>
        <n v="9615948"/>
        <n v="9616539"/>
        <n v="9616623"/>
        <n v="9616744"/>
        <n v="9616785"/>
        <n v="9617030"/>
        <n v="9617172"/>
        <n v="9617287"/>
        <n v="9617484"/>
        <n v="9617586"/>
        <n v="9618243"/>
        <n v="9618323"/>
        <n v="9193999"/>
        <n v="9194172"/>
        <n v="9194295"/>
        <n v="9194469"/>
        <n v="9194511"/>
        <n v="9194606"/>
        <n v="9194652"/>
        <n v="9194705"/>
        <n v="9194760"/>
        <n v="9194823"/>
        <n v="9195001"/>
        <n v="9195052"/>
        <n v="9195110"/>
        <n v="9195156"/>
        <n v="9195213"/>
        <n v="9618403"/>
        <n v="9618515"/>
        <n v="9618714"/>
        <n v="9618754"/>
        <n v="9618831"/>
        <n v="9619341"/>
        <n v="9619770"/>
        <n v="9619921"/>
        <n v="9619954"/>
        <n v="9620373"/>
        <n v="9621269"/>
        <n v="9621573"/>
        <n v="9621619"/>
        <n v="9622408"/>
        <n v="9622450"/>
        <n v="9622551"/>
        <n v="9622596"/>
        <n v="9622815"/>
        <n v="9623019"/>
        <n v="9623113"/>
        <n v="9623135"/>
        <n v="9623137"/>
        <n v="9623195"/>
        <n v="9623385"/>
        <n v="9623453"/>
        <n v="9623507"/>
        <n v="9624516"/>
        <n v="9624571"/>
        <n v="9624871"/>
        <n v="9625160"/>
        <n v="9625212"/>
        <n v="9625226"/>
        <n v="9625415"/>
        <n v="9625693"/>
        <n v="9625737"/>
        <n v="9625742"/>
        <n v="9625760"/>
        <n v="9626135"/>
        <n v="9626544"/>
        <n v="9626666"/>
        <n v="9638687"/>
        <n v="9638754"/>
        <n v="9638822"/>
        <n v="9639087"/>
        <n v="9639287"/>
        <n v="9639480"/>
        <n v="9639535"/>
        <n v="9639647"/>
        <n v="9640126"/>
        <n v="9640251"/>
        <n v="9640942"/>
        <n v="9641143"/>
        <n v="9641874"/>
        <n v="9642139"/>
        <n v="9642328"/>
        <n v="9642436"/>
        <n v="9643255"/>
        <n v="9643490"/>
        <n v="9643777"/>
        <n v="9644660"/>
        <n v="9644680"/>
        <n v="9644734"/>
        <n v="9644936"/>
        <n v="9645025"/>
        <n v="9645137"/>
        <n v="9645192"/>
        <n v="9646881"/>
        <n v="9647747"/>
        <n v="9647777"/>
        <n v="9647902"/>
        <n v="9647994"/>
        <n v="9648099"/>
        <n v="9648163"/>
        <n v="9648311"/>
        <n v="9648807"/>
        <n v="9648886"/>
        <n v="9649183"/>
        <n v="9649750"/>
        <n v="9650097"/>
        <n v="9651174"/>
        <n v="9651194"/>
        <n v="9651724"/>
        <n v="9651865"/>
        <n v="9651947"/>
        <n v="9652954"/>
        <n v="9653108"/>
        <n v="9653312"/>
        <n v="9654092"/>
        <n v="9654423"/>
        <n v="9654758"/>
        <n v="9655028"/>
        <n v="9655455"/>
        <n v="9655787"/>
        <n v="9655851"/>
        <n v="9656143"/>
        <n v="9656396"/>
        <n v="9656549"/>
        <n v="9656648"/>
        <n v="9656989"/>
        <n v="9657054"/>
        <n v="9657472"/>
        <n v="9657920"/>
        <n v="9657990"/>
        <n v="9658498"/>
        <n v="9658582"/>
        <n v="9658732"/>
        <n v="9659336"/>
        <n v="9659475"/>
        <n v="9659490"/>
        <n v="9660055"/>
        <n v="9660235"/>
        <n v="9661708"/>
        <n v="9661929"/>
        <n v="9662366"/>
        <n v="9662705"/>
        <n v="9663390"/>
        <n v="9665420"/>
        <n v="9665624"/>
        <n v="9665918"/>
        <n v="9666680"/>
        <n v="9195265"/>
        <n v="9195424"/>
        <n v="9195542"/>
        <n v="9195683"/>
        <n v="9195790"/>
        <n v="9195937"/>
        <n v="9196067"/>
        <n v="9196174"/>
        <n v="9196249"/>
        <n v="9196372"/>
        <n v="9196754"/>
        <n v="9197008"/>
        <n v="9197076"/>
        <n v="9197134"/>
        <n v="9197187"/>
        <n v="9197208"/>
        <n v="9197240"/>
        <n v="9687404"/>
        <n v="9688057"/>
        <n v="9688354"/>
        <n v="9688707"/>
        <n v="9688846"/>
        <n v="9688982"/>
        <n v="9689674"/>
        <n v="9689724"/>
        <n v="9690084"/>
        <n v="9690267"/>
        <n v="9690704"/>
        <n v="9691769"/>
        <n v="9704686"/>
        <n v="6503981973"/>
        <n v="6504005711"/>
        <n v="6504006072"/>
        <n v="6504009067"/>
        <n v="6504011910"/>
        <n v="6504013530"/>
        <n v="6504015850"/>
        <n v="6504016942"/>
        <n v="6504017146"/>
        <n v="6504018515"/>
        <n v="6504019017"/>
        <n v="6504019642"/>
        <n v="6504021128"/>
        <n v="6504022070"/>
        <n v="6504023078"/>
        <n v="6504025336"/>
        <n v="6504025358"/>
        <n v="6504026429"/>
        <n v="6504026454"/>
        <n v="6504027073"/>
        <n v="6504027308"/>
        <n v="6504027312"/>
        <n v="6504029343"/>
        <n v="6504029352"/>
        <n v="6504029734"/>
        <n v="6504029825"/>
        <n v="6504031433"/>
        <n v="6504032109"/>
        <n v="6504033594"/>
        <n v="6504036083"/>
        <n v="6504036086"/>
        <n v="6504036416"/>
        <n v="6504038023"/>
        <n v="6504038092"/>
        <n v="6504038311"/>
        <n v="6504038326"/>
        <n v="6504038365"/>
        <n v="6504040904"/>
        <n v="6504042863"/>
        <n v="6504044256"/>
        <n v="6504044309"/>
        <n v="6504045677"/>
        <n v="6504046574"/>
        <n v="6504046575"/>
        <n v="946227"/>
        <n v="947156"/>
        <n v="947429"/>
        <n v="947643"/>
        <n v="947872"/>
        <n v="947896"/>
        <n v="948365"/>
        <n v="949101"/>
        <n v="949118"/>
        <n v="949225"/>
        <n v="950343"/>
        <n v="950345"/>
        <n v="950423"/>
        <n v="950838"/>
        <n v="950888"/>
        <n v="951359"/>
        <n v="951492"/>
        <n v="951564"/>
        <n v="951973"/>
        <n v="952354"/>
        <n v="952523"/>
        <n v="952574"/>
        <n v="952688"/>
        <n v="953134"/>
        <n v="953168"/>
        <n v="953170"/>
        <n v="953321"/>
        <n v="953988"/>
        <n v="954516"/>
        <n v="954593"/>
        <n v="954630"/>
        <n v="955136"/>
        <n v="955843"/>
        <n v="955941"/>
        <n v="956197"/>
        <n v="956259"/>
        <n v="957132"/>
        <n v="957134"/>
        <n v="957386"/>
        <n v="957807"/>
        <n v="957894"/>
        <n v="957912"/>
        <n v="958100"/>
        <n v="958102"/>
        <n v="958139"/>
        <n v="958545"/>
        <n v="958636"/>
        <n v="959110"/>
        <n v="959337"/>
        <n v="959744"/>
        <n v="960036"/>
        <n v="960049"/>
        <n v="960444"/>
        <n v="960447"/>
        <n v="960575"/>
        <n v="960809"/>
        <n v="960871"/>
        <n v="961491"/>
        <n v="962976"/>
        <n v="963627"/>
        <n v="963951"/>
        <n v="964103"/>
        <n v="964165"/>
        <n v="965297"/>
        <n v="965346"/>
        <n v="965568"/>
        <n v="965729"/>
        <n v="965735"/>
        <n v="965757"/>
        <n v="965758"/>
        <n v="965962"/>
        <n v="965995"/>
        <n v="966076"/>
        <n v="966290"/>
        <n v="966452"/>
        <n v="966584"/>
        <n v="966866"/>
        <n v="967119"/>
        <n v="967221"/>
        <n v="967227"/>
        <n v="967383"/>
        <n v="967633"/>
        <n v="968048"/>
        <n v="968249"/>
        <n v="968651"/>
        <n v="968785"/>
        <n v="968792"/>
        <n v="968858"/>
        <n v="968941"/>
        <n v="969137"/>
        <n v="969459"/>
        <n v="969596"/>
        <n v="969632"/>
        <n v="969642"/>
        <n v="969743"/>
        <n v="969781"/>
        <n v="9199311"/>
        <n v="9199368"/>
        <n v="9199427"/>
        <n v="9199497"/>
        <n v="9199539"/>
        <n v="9199640"/>
        <n v="9199724"/>
        <n v="9199767"/>
        <n v="9199849"/>
        <n v="9199899"/>
        <n v="9199936"/>
        <n v="9200007"/>
        <n v="9200076"/>
        <n v="9200116"/>
        <n v="9200176"/>
        <n v="9200231"/>
        <n v="9200280"/>
        <n v="9200323"/>
        <n v="9200371"/>
        <n v="9200410"/>
        <n v="9200499"/>
        <n v="9200661"/>
        <n v="4450422388"/>
        <n v="4450422389"/>
        <n v="4450422391"/>
        <n v="4450422392"/>
        <n v="4450422397"/>
        <n v="4450422400"/>
        <n v="4450422405"/>
        <n v="4450422406"/>
        <n v="4450422409"/>
        <n v="4450422410"/>
        <n v="6150420338"/>
        <n v="9450544494"/>
        <n v="9450544593"/>
        <n v="9450544679"/>
        <n v="9450544734"/>
        <n v="9450544749"/>
        <n v="9450544750"/>
        <n v="9450544751"/>
        <n v="9450544752"/>
        <n v="9450544757"/>
        <n v="9450544790"/>
        <n v="9450544797"/>
        <n v="8641570"/>
        <n v="8642803"/>
        <n v="8645254"/>
        <n v="8647550"/>
        <n v="8647872"/>
        <n v="8647990"/>
        <n v="8648110"/>
        <n v="8648248"/>
        <n v="8649323"/>
        <n v="8651198"/>
        <n v="8652354"/>
        <n v="8652732"/>
        <n v="8652771"/>
        <n v="8653659"/>
        <n v="8654027"/>
        <n v="8655329"/>
        <n v="8656309"/>
        <n v="8656313"/>
        <n v="8656375"/>
        <n v="8656795"/>
        <n v="8657408"/>
        <n v="8657409"/>
        <n v="8657919"/>
        <n v="8657981"/>
        <n v="8658014"/>
        <n v="8658107"/>
        <n v="8658643"/>
        <n v="8659977"/>
        <n v="8660138"/>
        <n v="8660410"/>
        <n v="8660699"/>
        <n v="8660774"/>
        <n v="8660835"/>
        <n v="8660990"/>
        <n v="8660991"/>
        <n v="8661002"/>
        <n v="8661269"/>
        <n v="8661338"/>
        <n v="8662170"/>
        <n v="8662642"/>
        <n v="8662855"/>
        <n v="8663291"/>
        <n v="8663422"/>
        <n v="8663620"/>
        <n v="8664280"/>
        <n v="8664524"/>
        <n v="8664557"/>
        <n v="8665011"/>
        <n v="8665704"/>
        <n v="8665756"/>
        <n v="8666231"/>
        <n v="8667241"/>
        <n v="8668609"/>
        <n v="8668940"/>
        <n v="8669264"/>
        <n v="8669326"/>
        <n v="8669502"/>
        <n v="8669965"/>
        <n v="8670253"/>
        <n v="8672092"/>
        <n v="8672097"/>
        <n v="8672315"/>
        <n v="8687489"/>
        <n v="8687869"/>
        <n v="8687876"/>
        <n v="8687901"/>
        <n v="8688072"/>
        <n v="8688080"/>
        <n v="8688865"/>
        <n v="8688953"/>
        <n v="8689809"/>
        <n v="8690295"/>
        <n v="8690350"/>
        <n v="8690887"/>
        <n v="8691554"/>
        <n v="8692365"/>
        <n v="8692808"/>
        <n v="8692948"/>
        <n v="8693049"/>
        <n v="8693420"/>
        <n v="8693933"/>
        <n v="8693971"/>
        <n v="8694065"/>
        <n v="8694210"/>
        <n v="8694506"/>
        <n v="8694642"/>
        <n v="8695897"/>
        <n v="8696102"/>
        <n v="8696152"/>
      </sharedItems>
    </cacheField>
    <cacheField name="fecha_ingreso" numFmtId="22">
      <sharedItems containsSemiMixedTypes="0" containsNonDate="0" containsDate="1" containsString="0" minDate="1899-12-31T00:00:00" maxDate="2018-09-28T00:00:00" count="28">
        <d v="2018-09-03T00:00:00"/>
        <d v="2018-09-04T00:00:00"/>
        <d v="2018-09-05T00:00:00"/>
        <d v="2018-09-06T00:00:00"/>
        <d v="2018-09-07T00:00:00"/>
        <d v="2018-09-26T00:00:00"/>
        <d v="2018-09-20T00:00:00"/>
        <d v="2018-09-21T00:00:00"/>
        <d v="2018-09-24T00:00:00"/>
        <d v="1899-12-31T00:00:00"/>
        <d v="2018-08-29T00:00:00"/>
        <d v="2018-08-27T00:00:00"/>
        <d v="2018-08-28T00:00:00"/>
        <d v="2018-08-30T00:00:00"/>
        <d v="2018-09-10T00:00:00"/>
        <d v="2018-09-11T00:00:00"/>
        <d v="2018-09-12T00:00:00"/>
        <d v="2018-09-13T00:00:00"/>
        <d v="2018-09-14T00:00:00"/>
        <d v="2018-08-20T00:00:00"/>
        <d v="2018-08-21T00:00:00"/>
        <d v="2018-08-22T00:00:00"/>
        <d v="2018-08-23T00:00:00"/>
        <d v="2018-08-24T00:00:00"/>
        <d v="2018-09-25T00:00:00"/>
        <d v="2018-08-31T00:00:00"/>
        <d v="2018-08-17T00:00:00"/>
        <d v="2018-09-27T00:00:00"/>
      </sharedItems>
    </cacheField>
    <cacheField name="fecha_emision" numFmtId="22">
      <sharedItems containsSemiMixedTypes="0" containsNonDate="0" containsDate="1" containsString="0" minDate="1899-12-31T00:00:00" maxDate="2018-09-27T00:00:00" count="44">
        <d v="2018-09-01T00:00:00"/>
        <d v="2018-09-02T00:00:00"/>
        <d v="2018-09-03T00:00:00"/>
        <d v="2018-09-04T00:00:00"/>
        <d v="2018-09-05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5T00:00:00"/>
        <d v="1899-12-31T00:00:00"/>
        <d v="2018-08-22T00:00:00"/>
        <d v="2018-08-25T00:00:00"/>
        <d v="2018-08-26T00:00:00"/>
        <d v="2018-08-27T00:00:00"/>
        <d v="2018-08-28T00:00:00"/>
        <d v="2018-08-29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8-13T00:00:00"/>
        <d v="2018-08-17T00:00:00"/>
        <d v="2018-08-18T00:00:00"/>
        <d v="2018-08-20T00:00:00"/>
        <d v="2018-08-23T00:00:00"/>
        <d v="2018-08-24T00:00:00"/>
        <d v="2018-09-22T00:00:00"/>
        <d v="2018-09-23T00:00:00"/>
        <d v="2018-09-24T00:00:00"/>
        <d v="2018-08-30T00:00:00"/>
        <d v="2018-08-31T00:00:00"/>
        <d v="2018-09-06T00:00:00"/>
        <d v="2018-08-14T00:00:00"/>
        <d v="2018-08-21T00:00:00"/>
        <d v="2018-08-19T00:00:00"/>
        <d v="2018-09-26T00:00:00"/>
      </sharedItems>
    </cacheField>
    <cacheField name="con_fechadespacho" numFmtId="22">
      <sharedItems containsSemiMixedTypes="0" containsNonDate="0" containsDate="1" containsString="0" minDate="2018-08-27T00:00:00" maxDate="2018-09-28T00:00:00" count="31">
        <d v="2018-09-11T00:00:00"/>
        <d v="2018-09-13T00:00:00"/>
        <d v="2018-09-07T00:00:00"/>
        <d v="2018-09-14T00:00:00"/>
        <d v="2018-09-10T00:00:00"/>
        <d v="2018-09-06T00:00:00"/>
        <d v="2018-09-27T00:00:00"/>
        <d v="2018-09-26T00:00:00"/>
        <d v="2018-08-31T00:00:00"/>
        <d v="2018-09-22T00:00:00"/>
        <d v="2018-08-29T00:00:00"/>
        <d v="2018-08-27T00:00:00"/>
        <d v="2018-09-03T00:00:00"/>
        <d v="2018-09-05T00:00:00"/>
        <d v="2018-09-18T00:00:00"/>
        <d v="2018-09-21T00:00:00"/>
        <d v="2018-09-24T00:00:00"/>
        <d v="2018-09-25T00:00:00"/>
        <d v="2018-09-04T00:00:00"/>
        <d v="2018-08-30T00:00:00"/>
        <d v="2018-08-28T00:00:00"/>
        <d v="2018-09-02T00:00:00"/>
        <d v="2018-09-09T00:00:00"/>
        <d v="2018-09-08T00:00:00"/>
        <d v="2018-09-23T00:00:00"/>
        <d v="2018-09-12T00:00:00"/>
        <d v="2018-09-20T00:00:00"/>
        <d v="2018-09-19T00:00:00"/>
        <d v="2018-09-16T00:00:00"/>
        <d v="2018-09-01T00:00:00"/>
        <d v="2018-09-17T00:00:00"/>
      </sharedItems>
    </cacheField>
    <cacheField name="pro_codigointerno" numFmtId="0">
      <sharedItems count="218">
        <s v="181705"/>
        <s v="181600"/>
        <s v="120023"/>
        <s v="181708"/>
        <s v="161009"/>
        <s v="181876"/>
        <s v="170778"/>
        <s v="182076"/>
        <s v="182075"/>
        <s v="181533"/>
        <s v="181534"/>
        <s v="181545A"/>
        <s v="181504"/>
        <s v="181812"/>
        <s v="161006"/>
        <s v="181718"/>
        <s v="181713"/>
        <s v="161011"/>
        <s v="181531"/>
        <s v="181532"/>
        <s v="130269"/>
        <s v="130270"/>
        <s v="181609"/>
        <s v="181738"/>
        <s v="181813"/>
        <s v="181935"/>
        <s v="181796"/>
        <s v="181628"/>
        <s v="161010"/>
        <s v="181777"/>
        <s v="181827"/>
        <s v="160121"/>
        <s v="160116"/>
        <s v="181928"/>
        <s v="181794"/>
        <s v="181663"/>
        <s v="181930"/>
        <s v="181552"/>
        <s v="181875"/>
        <s v="181837"/>
        <s v="181696"/>
        <s v="181723"/>
        <s v="181739"/>
        <s v="181733"/>
        <s v="181751"/>
        <s v="181756"/>
        <s v="181551"/>
        <s v="181627"/>
        <s v="181644"/>
        <s v="170782"/>
        <s v="181630"/>
        <s v="181520"/>
        <s v="140679"/>
        <s v="181637"/>
        <s v="181629"/>
        <s v="181640"/>
        <s v="181662"/>
        <s v="175118"/>
        <s v="181626"/>
        <s v="165677"/>
        <s v="110301"/>
        <s v="160111"/>
        <s v="140681"/>
        <s v="181660"/>
        <s v="130290"/>
        <s v="181721"/>
        <s v="130273"/>
        <s v="130271"/>
        <s v="181806"/>
        <s v="161008"/>
        <s v="130289"/>
        <s v="181639"/>
        <s v="165528"/>
        <s v="165504"/>
        <s v="140684"/>
        <s v="130298"/>
        <s v="181638"/>
        <s v="181735"/>
        <s v="181898"/>
        <s v="181899"/>
        <s v="161005"/>
        <s v="181753"/>
        <s v="181624"/>
        <s v="181666"/>
        <s v="181773"/>
        <s v="165509"/>
        <s v="181771"/>
        <s v="161004"/>
        <s v="170120"/>
        <s v="181818"/>
        <s v="181759"/>
        <s v="165879A"/>
        <s v="181810"/>
        <s v="181767"/>
        <s v="165530"/>
        <s v="181824"/>
        <s v="181792"/>
        <s v="161007"/>
        <s v="181929"/>
        <s v="181768"/>
        <s v="120066"/>
        <s v="181697"/>
        <s v="181770"/>
        <s v="181795"/>
        <s v="165501"/>
        <s v="181567"/>
        <s v="181568"/>
        <s v="165368"/>
        <s v="181566"/>
        <s v="181608"/>
        <s v="181595"/>
        <s v="181681"/>
        <s v="181659"/>
        <s v="120011"/>
        <s v="120013"/>
        <s v="181685"/>
        <s v="181720"/>
        <s v="181841"/>
        <s v="181596"/>
        <s v="181919"/>
        <s v="181802"/>
        <s v="181803"/>
        <s v="181808"/>
        <s v="181782"/>
        <s v="165690"/>
        <s v="181554"/>
        <s v="181577"/>
        <s v="181578"/>
        <s v="181579"/>
        <s v="181580"/>
        <s v="181581"/>
        <s v="181543"/>
        <s v="181587"/>
        <s v="181633"/>
        <s v="181765"/>
        <s v="130272"/>
        <s v="140638"/>
        <s v="161012"/>
        <s v="130267"/>
        <s v="140632"/>
        <s v="181643"/>
        <s v="181632"/>
        <s v="181594"/>
        <s v="181839"/>
        <s v="181811"/>
        <s v="181874"/>
        <s v="181894"/>
        <s v="181863"/>
        <s v="181873"/>
        <s v="181865"/>
        <s v="181872"/>
        <s v="181815"/>
        <s v="181814"/>
        <s v="181809"/>
        <s v="181749"/>
        <s v="181631"/>
        <s v="181934"/>
        <s v="181864"/>
        <s v="181688"/>
        <s v="181515"/>
        <s v="181772"/>
        <s v="181677"/>
        <s v="170761"/>
        <s v="181804"/>
        <s v="181704"/>
        <s v="181668"/>
        <s v="181601"/>
        <s v="181571"/>
        <s v="181521"/>
        <s v="181642"/>
        <s v="181869"/>
        <s v="130254"/>
        <s v="181615"/>
        <s v="181612"/>
        <s v="110606"/>
        <s v="165502"/>
        <s v="165526"/>
        <s v="181634"/>
        <s v="181605"/>
        <s v="181583"/>
        <s v="130643"/>
        <s v="181757"/>
        <s v="170211"/>
        <s v="170781"/>
        <s v="165525"/>
        <s v="160122"/>
        <s v="170780"/>
        <s v="181517"/>
        <s v="165639"/>
        <s v="165503"/>
        <s v="165524"/>
        <s v="165527"/>
        <s v="181684"/>
        <s v="130703"/>
        <s v="165523"/>
        <s v="181850"/>
        <s v="181897"/>
        <s v="165686"/>
        <s v="181661"/>
        <s v="181900"/>
        <s v="165531"/>
        <s v="181896"/>
        <s v="181903"/>
        <s v="181838"/>
        <s v="181901"/>
        <s v="181816"/>
        <s v="140670"/>
        <s v="181712"/>
        <s v="181758"/>
        <s v="181588"/>
        <s v="130299"/>
        <s v="181706"/>
        <s v="181611"/>
        <s v="181700"/>
        <s v="181553"/>
        <s v="181650A"/>
        <s v="181817"/>
        <s v="165694"/>
      </sharedItems>
    </cacheField>
    <cacheField name="pro_nombre" numFmtId="0">
      <sharedItems count="218">
        <s v="MESA DE COMEDOR CON EXTENCION CANELA"/>
        <s v="Estante Cristal"/>
        <s v="Estante Aruba"/>
        <s v="ZAPATERA TRIPLE FICUS"/>
        <s v="Escritorio Olimpia aberto - artico"/>
        <s v="RACK STAR (QUARTZ)"/>
        <s v="Rack Arterra rov tx - rov tx 52080"/>
        <s v="Kit Lavaplatos 80 Salmar Derecho"/>
        <s v="Kit Lavaplatos 80 Salmar Izquierdo"/>
        <s v="Lavaplatos 120 Derecho C/Reb Blanco Notavel"/>
        <s v="Lavaplatos 120 Izquierdo C/Reb Blancoo Notavel"/>
        <s v="Respaldo Celaya"/>
        <s v="Mueble Despensa 2 Puerta Blanco"/>
        <s v="RACK ART"/>
        <s v="Escritorio Lindoia artico/turquesa 1194"/>
        <s v="RECIBIDOR ESPEJO MARGARITA"/>
        <s v="VELADOR 2 CAJONES DALIAS"/>
        <s v="Escritorio Curitiba artico"/>
        <s v="Lavaplatos 100 Derecho C/Reb Blanco Notavel"/>
        <s v="Lavaplatos 100 Izquierdo C/Reb Blanco Notavel"/>
        <s v="Rack basculante Nordico"/>
        <s v="Mesa TV Nordico"/>
        <s v="Poltrona Magno"/>
        <s v="MESA DE CENTRO ROSTCK"/>
        <s v="Rack Kemi"/>
        <s v="Kit Cocina 80 Paula + Cubierta + Griferia"/>
        <s v="Gabinete Compostela"/>
        <s v="Juego de 2 andres  1+4"/>
        <s v="Escritorio Cali artico"/>
        <s v="Cabinet Single Isis"/>
        <s v="Bancada Avila"/>
        <s v="Mesa de centro pt mad Cataño 160389"/>
        <s v="Mesa de Centro Classic rustico malbec"/>
        <s v="Comedor Serena Rouge 1+6"/>
        <s v="Gabinete Burgos"/>
        <s v="Estante Carla ( ex zara )"/>
        <s v="Comedor Italia Auria 1+4"/>
        <s v="Home Lara 1.35 "/>
        <s v="MESA CENTRO PLUS"/>
        <s v="Rack Jeri"/>
        <s v="Camarote 303"/>
        <s v="REPISA DRESDE"/>
        <s v="RACK CHEMNITZ"/>
        <s v="RESPALDO ELLE"/>
        <s v="HOME NINA"/>
        <s v="Rack Line (New Zero)"/>
        <s v="Home Ipanema 1.80 "/>
        <s v="Juego de comedor oxford 1+6"/>
        <s v="Sofa 2 cuerpos sofia"/>
        <s v="Rack atacama pt mad castaño 160295"/>
        <s v="Juego de comedor sofia 1+6"/>
        <s v="Poltrona Violeta"/>
        <s v="Arrimo Monaco amarillo"/>
        <s v="Closet Rubi 12 ptas, 3 cajones"/>
        <s v="Juego de comedor lauren 1+2+6"/>
        <s v="Kit Magazin 120"/>
        <s v="Respaldo Monaco"/>
        <s v="Respaldo Oregon 2plz + 2 veladores"/>
        <s v="Comedor francia 6+1"/>
        <s v="Cocina 6 puertas kit 2306 bco negro"/>
        <s v="Bar de Canto Puerto Montt Tabaco"/>
        <s v="Mesa de Lateral ALBA bco laca - café"/>
        <s v="Mesa lateral Monaco amarillo"/>
        <s v="COMEDOR TOLEDO 1+6"/>
        <s v="Rack New Montana bco"/>
        <s v="New Rack Porto bello "/>
        <s v="Bar San Marino  tabaco"/>
        <s v="Mesa de centro Nordico"/>
        <s v="RACK LUCCA (RACK ROYAL)"/>
        <s v="Escritorio Fenix Artico"/>
        <s v="TV Stand Puerto Rico Bco - Castaño "/>
        <s v="kit Fit 120"/>
        <s v="Armario Aereo Ref: 3003 Bco"/>
        <s v="Tabla de planchar Florence bco 55002"/>
        <s v="Mesa de centro VIVA REF:909  COLORADO"/>
        <s v="Lavaplato 120 eco importado bco"/>
        <s v="Kit Yara 160"/>
        <s v="Sofa  2 cuerpos Smith"/>
        <s v="Kit Nataly 120 (Kit Magazin 120)"/>
        <s v="Kit Clara 160 (Kit Yara 160)"/>
        <s v="Escritorio España kit castaño 1176"/>
        <s v="Cocina Milanessa"/>
        <s v="Rack tv palu"/>
        <s v="COMODA 5 CAJONES GLADYS (PILAR)"/>
        <s v="Autoservicio Agatha"/>
        <s v="Organizador Classic bco 55004 Microonda"/>
        <s v="Autoservicio Diva"/>
        <s v="Escritorio Nazca artico 1215"/>
        <s v="New Santiago"/>
        <s v="Poltrona Barbara 2 cuerpos "/>
        <s v="Rack Ovalle"/>
        <s v="Bar Salamanca tabaco"/>
        <s v="Rack Recife"/>
        <s v="Panel Ipe"/>
        <s v="Armario aereo con perchero 160395"/>
        <s v="RESPALDO MONACO "/>
        <s v="Kit Cocina Palma + Counter"/>
        <s v="Escritorio Malta 2 cajones 1171"/>
        <s v="Comedor Serena Dark Rouge 1+6"/>
        <s v="Rack Br 375"/>
        <s v="Mesa para TV MDP New Montana 2 negro -negro glass "/>
        <s v="RESPALDO SINAI (UN REGRUESO A LO LARGO)"/>
        <s v="Estante TV Polo"/>
        <s v="Tabla de Planchar Murcia"/>
        <s v="Mueble Organizador Cerro Largo Blanco"/>
        <s v="Despensa 2 Puertas alta"/>
        <s v="Kit Cocina Catalina Blanco/Nogal"/>
        <s v="Comoda Dinamo 4C + 1P"/>
        <s v="Depensa 1 Puerta alta"/>
        <s v="Sofa Seccional  Cecilia"/>
        <s v="Home Deneb"/>
        <s v="Estante Grande Barcelona"/>
        <s v="COMBO SOPORTE KL22G-64T+TECLADO+KIT"/>
        <s v="Home Roma "/>
        <s v="Mesa para tv MDP Montana Nat - Bco glas"/>
        <s v="Closet Anastasia (Ex Capelinha) "/>
        <s v="New Rack Lottus"/>
        <s v="Estante New Aruba "/>
        <s v="Closet Onix Plus 6ptas. 2 cajones"/>
        <s v="Respaldo Marcia (Bento)"/>
        <s v="RESPALDO ELQUI"/>
        <s v="RESPALDO LIMARI"/>
        <s v="Set 2 veladores Serena"/>
        <s v="Kit Yara 160 (181638) +  Alacena (181641)"/>
        <s v="Cocina Flavia teka - brown"/>
        <s v="Mesa Para TV Puerto Rico"/>
        <s v="Asador electrico giratorio M1/30-50HZ Preto 3 Espetos"/>
        <s v="Asador electrico giratorio M1/30-50HZ 14859"/>
        <s v="Set asador simple 2 unidades "/>
        <s v="Set asador Triple 3 unidades "/>
        <s v="Parrilla Multiuso "/>
        <s v="Set Respaldo 2 veladores pino"/>
        <s v="Panel TV extensible Florencia "/>
        <s v="Poltrona albi  "/>
        <s v="Rack Azteca"/>
        <s v="Mesa lateral Nordico"/>
        <s v="Mesa De Centro Madera Hanna 2125 Sunset/Bco"/>
        <s v="kit dormitorio + modulo 1233 + 3017 aberto"/>
        <s v="Home Turin Naturale"/>
        <s v="Arrimo Hanna 2128 Sunset/Blanco"/>
        <s v="Sofa 2 cuerpos catalina"/>
        <s v="Juego de comedor mali 6+1"/>
        <s v="Rack Alma (onix)"/>
        <s v="Rack Jeri + Panel Niteroi"/>
        <s v="RACK DUE "/>
        <s v="Rack Felipe"/>
        <s v="Cristalera New Vina"/>
        <s v="Arrimo Miró"/>
        <s v="Rack Jose"/>
        <s v="Rack 350 Dali"/>
        <s v="Rack Antonio (BR 281 Rack TV Stand - Favatex)"/>
        <s v="Poltrona Roxana 1 cuerpo"/>
        <s v="Rack Bravo (BR33)"/>
        <s v="Juego Comedor Valencia"/>
        <s v="RACK MAYA"/>
        <s v="Juego de comedor 6+1 dinamarca"/>
        <s v="Panel Jabuti"/>
        <s v="Mesa de centro Miró (Monet)"/>
        <s v="Combo Ancud  1,2,3,4,6"/>
        <s v="Poltrona Luna"/>
        <s v="Autoservicio Balli"/>
        <s v="Set respaldo + 2 veladores  Marcia(New Bento)"/>
        <s v="Rack Royal ipe tx/ rovere"/>
        <s v="CLOSET 6 PUERTAS 2 CAJONES"/>
        <s v="Rack Inca 2 Cajones"/>
        <s v="COMODA 4 CAJONES + PUERTA TALCAHUNO (DINAMO)"/>
        <s v="Estante Delize"/>
        <s v="RACK QUARTZ"/>
        <s v="Poltrona Emilia"/>
        <s v="Sofa 2 cuerpos antonia"/>
        <s v="Rack  Pablo"/>
        <s v="Mesa de centro dora"/>
        <s v="Berger Venecia "/>
        <s v="Poltrona Lennon"/>
        <s v="Bar Chocolate"/>
        <s v="Mueble Organizador Lucena Blanco"/>
        <s v="Armario Itaim Puertas De Vidrio Ref: 3219 Bco"/>
        <s v="Mesa de centro niza 1"/>
        <s v="Comedor Bela Olimpia 1+6"/>
        <s v="KIT COCINA CAMILA "/>
        <s v="Closet Domani 6p 4c rovere tx"/>
        <s v="Estante Lima"/>
        <s v="Rack prada"/>
        <s v="Aparador 2p pt mad castaño 160390"/>
        <s v="Armario Aereo Mayor Con Vidrio Ref:3247 Bco"/>
        <s v="Mesa canto pt mad Castaño 160388"/>
        <s v="Rack basculante pt mad Castaño 160387"/>
        <s v="Pouf Dalva"/>
        <s v="Cocina Sheila + balcon sheila bco/griz"/>
        <s v="Mueble Organizador Sinop Blanco"/>
        <s v="Gabinete Guardaropa Ref: 3004 Bco"/>
        <s v="Armario Organizador Limeira Ref: 3266 Bco"/>
        <s v="Cocina Milan (New Arezzo)"/>
        <s v="Armario Aracaju puerta de vidrio"/>
        <s v="Armario Aereo Canela Ref: 3468 Blanco"/>
        <s v="KIT COCINA VITORIA (MAGAZIN 90)"/>
        <s v="Kit Criss (kit Priss)"/>
        <s v="Balcon 2140"/>
        <s v="COMEDOR YORK 1+6"/>
        <s v="Kit Frank (Kit Floratihna)"/>
        <s v="Armario organizador canela 3322 bco"/>
        <s v="kit Evelin 90kit Evelin 90"/>
        <s v="Kit Cocina Milan Nuevo"/>
        <s v="Panel Niteroi"/>
        <s v="Cocina Marion ( Cocina Vivence)"/>
        <s v="Poltrona Rebeca 2 cuerpos"/>
        <s v="Cooda Imperio 2C+3Cref.: 761"/>
        <s v="VELADOR 1 CAJON TULIPAN"/>
        <s v="Estante Palermo"/>
        <s v="Rack Malibu"/>
        <s v="Mueble Despensa 1 Puerta Blanco"/>
        <s v="BUFFET 2 PTAS. 3 CAJONES FLORENCE"/>
        <s v="Poltrona Stuart"/>
        <s v="COMODA  4 CAJONES CORONA 784"/>
        <s v="Rack Arizona 1.71"/>
        <s v="Comedor Corona 6+1 005/250"/>
        <s v="Poltrona Belen 1 cuerpo"/>
        <s v="kit cocina Viviana "/>
      </sharedItems>
    </cacheField>
    <cacheField name="con_cantidad" numFmtId="0">
      <sharedItems containsSemiMixedTypes="0" containsString="0" containsNumber="1" containsInteger="1" minValue="1" maxValue="960"/>
    </cacheField>
    <cacheField name="con_codigounico" numFmtId="0">
      <sharedItems/>
    </cacheField>
    <cacheField name="pic_cantidad_encontrada" numFmtId="0">
      <sharedItems containsSemiMixedTypes="0" containsString="0" containsNumber="1" containsInteger="1" minValue="0" maxValue="500"/>
    </cacheField>
    <cacheField name="emb_cantidad" numFmtId="0">
      <sharedItems containsSemiMixedTypes="0" containsString="0" containsNumber="1" containsInteger="1" minValue="0" maxValue="500"/>
    </cacheField>
    <cacheField name="emb_fechadespacho" numFmtId="0">
      <sharedItems count="32">
        <s v="2018-09-11"/>
        <s v="2018-09-13"/>
        <s v="1900-01-01"/>
        <s v="2018-09-07"/>
        <s v="2018-09-06"/>
        <s v="2018-09-10"/>
        <s v="2018-09-27"/>
        <s v="2018-09-26"/>
        <s v="2018-08-21"/>
        <s v="2018-09-04"/>
        <s v="2018-09-20"/>
        <s v="2018-08-29"/>
        <s v="2018-08-31"/>
        <s v="2018-08-27"/>
        <s v="2018-09-05"/>
        <s v="2018-09-14"/>
        <s v="2018-09-21"/>
        <s v="2018-09-24"/>
        <s v="2018-09-03"/>
        <s v="2018-08-30"/>
        <s v="2018-08-28"/>
        <s v="2018-08-23"/>
        <s v="2018-09-28"/>
        <s v="2018-09-25"/>
        <s v="2018-08-03"/>
        <s v="2018-08-07"/>
        <s v="2018-08-13"/>
        <s v="2018-08-17"/>
        <s v="2018-09-12"/>
        <s v="2018-08-16"/>
        <s v="2018-10-01"/>
        <s v="2018-09-15"/>
      </sharedItems>
    </cacheField>
    <cacheField name="dev_cantidad" numFmtId="0">
      <sharedItems containsSemiMixedTypes="0" containsString="0" containsNumber="1" containsInteger="1" minValue="0" maxValue="403"/>
    </cacheField>
    <cacheField name="Cant Embarcada" numFmtId="0">
      <sharedItems containsSemiMixedTypes="0" containsString="0" containsNumber="1" containsInteger="1" minValue="-3" maxValue="499"/>
    </cacheField>
    <cacheField name="Cant Reembarcada" numFmtId="0">
      <sharedItems containsSemiMixedTypes="0" containsString="0" containsNumber="1" containsInteger="1" minValue="0" maxValue="10"/>
    </cacheField>
    <cacheField name="Cumpl Real Unds" numFmtId="0">
      <sharedItems containsSemiMixedTypes="0" containsString="0" containsNumber="1" containsInteger="1" minValue="0" maxValue="498"/>
    </cacheField>
    <cacheField name="Pend Emb" numFmtId="0">
      <sharedItems containsSemiMixedTypes="0" containsString="0" containsNumber="1" containsInteger="1" minValue="-6" maxValue="3"/>
    </cacheField>
    <cacheField name="Cump Cant" numFmtId="0">
      <sharedItems containsSemiMixedTypes="0" containsString="0" containsNumber="1" containsInteger="1" minValue="0" maxValue="1"/>
    </cacheField>
    <cacheField name="CumpFecha" numFmtId="0">
      <sharedItems containsSemiMixedTypes="0" containsString="0" containsNumber="1" containsInteger="1" minValue="0" maxValue="0"/>
    </cacheField>
    <cacheField name="Campo1" numFmtId="0" formula="#NAME?/#NAME?" databaseField="0"/>
    <cacheField name="OC fuera de Fecha" numFmtId="0" formula="#NAME?-#NAME?" databaseField="0"/>
    <cacheField name="% Cumpl Fecha" numFmtId="0" formula="#NAME?/#NAME?" databaseField="0"/>
    <cacheField name="% Final" numFmtId="0" formula="#NAME?/#NAME?" databaseField="0"/>
    <cacheField name="% Devolución" numFmtId="0" formula="dev_cantidad/emb_cantidad" databaseField="0"/>
    <cacheField name="CUMP %" numFmtId="0" formula="'Cumpl Real Unds'/con_cantidad" databaseField="0"/>
    <cacheField name="Campo2" numFmtId="0" formula="con_cantidad-'Cumpl Real Und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sarrollo " refreshedDate="43381.37591516204" createdVersion="5" refreshedVersion="5" minRefreshableVersion="3" recordCount="1469">
  <cacheSource type="worksheet">
    <worksheetSource name="Tabla__192.168.1.8_POSEIDONSQL_APPFVT_01_tblFillRateFechas"/>
  </cacheSource>
  <cacheFields count="30">
    <cacheField name="car_codigo" numFmtId="0">
      <sharedItems containsSemiMixedTypes="0" containsString="0" containsNumber="1" containsInteger="1" minValue="1" maxValue="89"/>
    </cacheField>
    <cacheField name="car_nombre" numFmtId="0">
      <sharedItems count="16">
        <s v="ESPADAS PREMIUM SPA"/>
        <s v="COLCHONES MANTAHUE"/>
        <s v="HITES S.A."/>
        <s v="SODIMAC S.A"/>
        <s v="FALABELLA RETAIL S.A."/>
        <s v="EASY S.A."/>
        <s v="PARIS"/>
        <s v="CORONA"/>
        <s v="LIDER"/>
        <s v="RIPLEY"/>
        <s v="MULTICENTRO"/>
        <s v="ABCDIN"/>
        <s v="VENTA DE BODEGA FAVATEX" u="1"/>
        <s v="SERVICIO TECNICO FAVATEX" u="1"/>
        <s v="COMERCIAL AROTE LTDA." u="1"/>
        <s v="CLIENTE GENERICO" u="1"/>
      </sharedItems>
    </cacheField>
    <cacheField name="con_ocnumero" numFmtId="0">
      <sharedItems containsSemiMixedTypes="0" containsString="0" containsNumber="1" containsInteger="1" minValue="10" maxValue="9450545918"/>
    </cacheField>
    <cacheField name="fecha_emision" numFmtId="0">
      <sharedItems/>
    </cacheField>
    <cacheField name="con_fechadespacho" numFmtId="0">
      <sharedItems count="97">
        <s v="2018-09-03"/>
        <s v="2018-09-04"/>
        <s v="2018-08-28"/>
        <s v="2018-09-11"/>
        <s v="2018-09-01"/>
        <s v="2018-09-24"/>
        <s v="2018-09-20"/>
        <s v="2018-09-25"/>
        <s v="2018-09-07"/>
        <s v="2018-09-10"/>
        <s v="2018-09-21"/>
        <s v="2018-09-13"/>
        <s v="2018-08-27"/>
        <s v="2018-08-30"/>
        <s v="2018-08-31"/>
        <s v="2018-09-06"/>
        <s v="2018-09-12"/>
        <s v="2018-08-29"/>
        <s v="2018-09-05"/>
        <s v="2018-09-22"/>
        <s v="2018-09-14"/>
        <s v="2018-09-27"/>
        <s v="2018-09-26"/>
        <s v="2018-09-17"/>
        <s v="2018-09-18"/>
        <s v="2018-09-02"/>
        <s v="2018-09-09"/>
        <s v="2018-09-08"/>
        <s v="2018-09-19"/>
        <s v="2018-09-23"/>
        <s v="2018-09-16"/>
        <s v="2018-06-19" u="1"/>
        <s v="2018-08-04" u="1"/>
        <s v="2018-06-21" u="1"/>
        <s v="2018-08-18" u="1"/>
        <s v="2018-08-20" u="1"/>
        <s v="2018-06-06" u="1"/>
        <s v="2018-08-05" u="1"/>
        <s v="2018-06-22" u="1"/>
        <s v="2018-08-19" u="1"/>
        <s v="2018-08-21" u="1"/>
        <s v="2018-06-07" u="1"/>
        <s v="2018-08-06" u="1"/>
        <s v="2018-06-23" u="1"/>
        <s v="2018-08-22" u="1"/>
        <s v="2018-06-08" u="1"/>
        <s v="2018-06-10" u="1"/>
        <s v="2018-08-07" u="1"/>
        <s v="2018-06-24" u="1"/>
        <s v="2018-07-10" u="1"/>
        <s v="2018-08-23" u="1"/>
        <s v="2018-06-09" u="1"/>
        <s v="2018-06-11" u="1"/>
        <s v="2018-08-08" u="1"/>
        <s v="2018-10-01" u="1"/>
        <s v="2018-06-25" u="1"/>
        <s v="2018-08-10" u="1"/>
        <s v="2018-07-09" u="1"/>
        <s v="2018-07-11" u="1"/>
        <s v="2018-08-24" u="1"/>
        <s v="2018-06-12" u="1"/>
        <s v="2018-08-09" u="1"/>
        <s v="2018-10-02" u="1"/>
        <s v="2018-06-26" u="1"/>
        <s v="2018-08-11" u="1"/>
        <s v="2018-07-12" u="1"/>
        <s v="2018-08-25" u="1"/>
        <s v="2018-06-13" u="1"/>
        <s v="2018-10-03" u="1"/>
        <s v="2018-06-27" u="1"/>
        <s v="2018-08-12" u="1"/>
        <s v="2018-07-13" u="1"/>
        <s v="2018-08-26" u="1"/>
        <s v="2018-06-14" u="1"/>
        <s v="2018-10-04" u="1"/>
        <s v="2018-06-28" u="1"/>
        <s v="2018-08-13" u="1"/>
        <s v="2018-06-30" u="1"/>
        <s v="2018-06-01" u="1"/>
        <s v="2018-06-15" u="1"/>
        <s v="2018-10-05" u="1"/>
        <s v="2018-06-29" u="1"/>
        <s v="2018-08-14" u="1"/>
        <s v="2018-06-02" u="1"/>
        <s v="2018-06-16" u="1"/>
        <s v="2018-08-01" u="1"/>
        <s v="2018-08-15" u="1"/>
        <s v="2018-09-28" u="1"/>
        <s v="2018-06-03" u="1"/>
        <s v="2018-08-02" u="1"/>
        <s v="2018-08-16" u="1"/>
        <s v="2018-06-04" u="1"/>
        <s v="2018-06-18" u="1"/>
        <s v="2018-08-03" u="1"/>
        <s v="2018-06-20" u="1"/>
        <s v="2018-08-17" u="1"/>
        <s v="2018-06-05" u="1"/>
      </sharedItems>
    </cacheField>
    <cacheField name="fecha_ingreso" numFmtId="0">
      <sharedItems/>
    </cacheField>
    <cacheField name="cant_order" numFmtId="0">
      <sharedItems containsSemiMixedTypes="0" containsString="0" containsNumber="1" containsInteger="1" minValue="1" maxValue="2086"/>
    </cacheField>
    <cacheField name="emb_cantidad" numFmtId="0">
      <sharedItems containsSemiMixedTypes="0" containsString="0" containsNumber="1" containsInteger="1" minValue="0" maxValue="1440"/>
    </cacheField>
    <cacheField name="fecha_despacho" numFmtId="0">
      <sharedItems/>
    </cacheField>
    <cacheField name="dev_cantidad" numFmtId="0">
      <sharedItems containsSemiMixedTypes="0" containsString="0" containsNumber="1" containsInteger="1" minValue="0" maxValue="404"/>
    </cacheField>
    <cacheField name="con_codigounico" numFmtId="0">
      <sharedItems/>
    </cacheField>
    <cacheField name="Cant_Resultante" numFmtId="0">
      <sharedItems containsSemiMixedTypes="0" containsString="0" containsNumber="1" containsInteger="1" minValue="0" maxValue="1439"/>
    </cacheField>
    <cacheField name="Valida Cant" numFmtId="0">
      <sharedItems containsSemiMixedTypes="0" containsString="0" containsNumber="1" containsInteger="1" minValue="0" maxValue="1"/>
    </cacheField>
    <cacheField name="Valida Fec" numFmtId="0">
      <sharedItems containsSemiMixedTypes="0" containsString="0" containsNumber="1" containsInteger="1" minValue="0" maxValue="1"/>
    </cacheField>
    <cacheField name="Resultado" numFmtId="0">
      <sharedItems containsSemiMixedTypes="0" containsString="0" containsNumber="1" containsInteger="1" minValue="0" maxValue="1"/>
    </cacheField>
    <cacheField name="Cump Orden %" numFmtId="0">
      <sharedItems containsSemiMixedTypes="0" containsString="0" containsNumber="1" minValue="0" maxValue="200"/>
    </cacheField>
    <cacheField name="Unds Embarcadas" numFmtId="0">
      <sharedItems containsSemiMixedTypes="0" containsString="0" containsNumber="1" containsInteger="1" minValue="-2" maxValue="1439"/>
    </cacheField>
    <cacheField name="Rembarcada" numFmtId="0">
      <sharedItems containsSemiMixedTypes="0" containsString="0" containsNumber="1" containsInteger="1" minValue="0" maxValue="10"/>
    </cacheField>
    <cacheField name="Cumpl Unds Real" numFmtId="0">
      <sharedItems containsSemiMixedTypes="0" containsString="0" containsNumber="1" containsInteger="1" minValue="-2" maxValue="1438"/>
    </cacheField>
    <cacheField name="Pend Embarque" numFmtId="0">
      <sharedItems containsSemiMixedTypes="0" containsString="0" containsNumber="1" containsInteger="1" minValue="0" maxValue="1986"/>
    </cacheField>
    <cacheField name="Contador OC" numFmtId="0">
      <sharedItems containsSemiMixedTypes="0" containsString="0" containsNumber="1" containsInteger="1" minValue="1" maxValue="1"/>
    </cacheField>
    <cacheField name="Cump Final" numFmtId="0">
      <sharedItems containsSemiMixedTypes="0" containsString="0" containsNumber="1" containsInteger="1" minValue="0" maxValue="1"/>
    </cacheField>
    <cacheField name="Contador Ventas" numFmtId="0">
      <sharedItems/>
    </cacheField>
    <cacheField name="Cant Embarcada" numFmtId="0">
      <sharedItems containsSemiMixedTypes="0" containsString="0" containsNumber="1" containsInteger="1" minValue="0" maxValue="1439"/>
    </cacheField>
    <cacheField name="Campo1" numFmtId="0" formula="'Cumpl Unds Real'/cant_order" databaseField="0"/>
    <cacheField name="OC fuera de Fecha" numFmtId="0" formula="'Contador OC'-'Valida Fec'" databaseField="0"/>
    <cacheField name="% Cumpl Fecha" numFmtId="0" formula="'Valida Fec'/'Contador OC'" databaseField="0"/>
    <cacheField name="% Final" numFmtId="0" formula="'Cump Final'/'Contador OC'" databaseField="0"/>
    <cacheField name="% Devolución" numFmtId="0" formula="dev_cantidad/emb_cantidad" databaseField="0"/>
    <cacheField name="Campo2" numFmtId="0" formula="cant_order-'Cumpl Unds Re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67">
  <r>
    <n v="3"/>
    <x v="0"/>
    <x v="0"/>
    <n v="12"/>
    <n v="970"/>
    <x v="0"/>
    <x v="0"/>
    <n v="506"/>
    <s v="120023"/>
    <s v="Estante Aruba"/>
    <x v="0"/>
    <n v="1"/>
    <n v="1"/>
  </r>
  <r>
    <n v="3"/>
    <x v="0"/>
    <x v="0"/>
    <n v="13"/>
    <n v="970"/>
    <x v="0"/>
    <x v="0"/>
    <n v="506"/>
    <s v="120023"/>
    <s v="Estante Aruba"/>
    <x v="1"/>
    <n v="1"/>
    <n v="1"/>
  </r>
  <r>
    <n v="3"/>
    <x v="0"/>
    <x v="0"/>
    <n v="19"/>
    <n v="824"/>
    <x v="1"/>
    <x v="1"/>
    <n v="824"/>
    <s v="181756"/>
    <s v="Rack Line (New Zero)"/>
    <x v="2"/>
    <n v="1"/>
    <n v="1"/>
  </r>
  <r>
    <n v="3"/>
    <x v="0"/>
    <x v="0"/>
    <n v="23"/>
    <n v="970"/>
    <x v="0"/>
    <x v="0"/>
    <n v="506"/>
    <s v="120023"/>
    <s v="Estante Aruba"/>
    <x v="3"/>
    <n v="1"/>
    <n v="1"/>
  </r>
  <r>
    <n v="3"/>
    <x v="1"/>
    <x v="0"/>
    <n v="17"/>
    <n v="745"/>
    <x v="2"/>
    <x v="2"/>
    <n v="745"/>
    <s v="181685"/>
    <s v="Closet Anastasia (Ex Capelinha) "/>
    <x v="4"/>
    <n v="1"/>
    <n v="1"/>
  </r>
  <r>
    <n v="3"/>
    <x v="1"/>
    <x v="0"/>
    <n v="20"/>
    <n v="970"/>
    <x v="0"/>
    <x v="0"/>
    <n v="506"/>
    <s v="120023"/>
    <s v="Estante Aruba"/>
    <x v="5"/>
    <n v="1"/>
    <n v="1"/>
  </r>
  <r>
    <n v="3"/>
    <x v="2"/>
    <x v="0"/>
    <n v="18"/>
    <n v="970"/>
    <x v="0"/>
    <x v="0"/>
    <n v="506"/>
    <s v="120023"/>
    <s v="Estante Aruba"/>
    <x v="6"/>
    <n v="1"/>
    <n v="1"/>
  </r>
  <r>
    <n v="3"/>
    <x v="2"/>
    <x v="0"/>
    <n v="21"/>
    <n v="970"/>
    <x v="0"/>
    <x v="0"/>
    <n v="506"/>
    <s v="120023"/>
    <s v="Estante Aruba"/>
    <x v="7"/>
    <n v="1"/>
    <n v="1"/>
  </r>
  <r>
    <n v="4"/>
    <x v="3"/>
    <x v="1"/>
    <n v="1"/>
    <n v="701"/>
    <x v="3"/>
    <x v="3"/>
    <n v="701"/>
    <s v="181627"/>
    <s v="Juego de comedor oxford 1+6"/>
    <x v="8"/>
    <n v="1"/>
    <n v="1"/>
  </r>
  <r>
    <n v="4"/>
    <x v="4"/>
    <x v="1"/>
    <n v="8"/>
    <n v="689"/>
    <x v="4"/>
    <x v="4"/>
    <n v="689"/>
    <s v="181615"/>
    <s v="Berger Venecia "/>
    <x v="9"/>
    <n v="1"/>
    <n v="1"/>
  </r>
  <r>
    <n v="4"/>
    <x v="5"/>
    <x v="1"/>
    <n v="9"/>
    <n v="501"/>
    <x v="5"/>
    <x v="5"/>
    <n v="501"/>
    <s v="170782"/>
    <s v="Rack atacama pt mad castaño 160295"/>
    <x v="10"/>
    <n v="1"/>
    <n v="1"/>
  </r>
  <r>
    <n v="4"/>
    <x v="6"/>
    <x v="1"/>
    <n v="10"/>
    <n v="781"/>
    <x v="6"/>
    <x v="6"/>
    <n v="781"/>
    <s v="181660"/>
    <s v="COMEDOR TOLEDO 1+6"/>
    <x v="11"/>
    <n v="1"/>
    <n v="1"/>
  </r>
  <r>
    <n v="4"/>
    <x v="7"/>
    <x v="1"/>
    <n v="11"/>
    <n v="501"/>
    <x v="5"/>
    <x v="5"/>
    <n v="501"/>
    <s v="170782"/>
    <s v="Rack atacama pt mad castaño 160295"/>
    <x v="12"/>
    <n v="1"/>
    <n v="1"/>
  </r>
  <r>
    <n v="4"/>
    <x v="8"/>
    <x v="1"/>
    <n v="6"/>
    <n v="179"/>
    <x v="7"/>
    <x v="7"/>
    <n v="179"/>
    <s v="161004"/>
    <s v="Escritorio Nazca artico 1215"/>
    <x v="13"/>
    <n v="1"/>
    <n v="1"/>
  </r>
  <r>
    <n v="4"/>
    <x v="9"/>
    <x v="1"/>
    <n v="7"/>
    <n v="501"/>
    <x v="5"/>
    <x v="5"/>
    <n v="501"/>
    <s v="170782"/>
    <s v="Rack atacama pt mad castaño 160295"/>
    <x v="14"/>
    <n v="1"/>
    <n v="1"/>
  </r>
  <r>
    <n v="4"/>
    <x v="10"/>
    <x v="1"/>
    <n v="2"/>
    <n v="179"/>
    <x v="7"/>
    <x v="7"/>
    <n v="179"/>
    <s v="161004"/>
    <s v="Escritorio Nazca artico 1215"/>
    <x v="15"/>
    <n v="1"/>
    <n v="1"/>
  </r>
  <r>
    <n v="4"/>
    <x v="11"/>
    <x v="1"/>
    <n v="3"/>
    <n v="548"/>
    <x v="8"/>
    <x v="8"/>
    <n v="548"/>
    <s v="130254"/>
    <s v="Mesa de centro dora"/>
    <x v="16"/>
    <n v="1"/>
    <n v="1"/>
  </r>
  <r>
    <n v="4"/>
    <x v="11"/>
    <x v="1"/>
    <n v="4"/>
    <n v="141"/>
    <x v="9"/>
    <x v="9"/>
    <n v="141"/>
    <s v="165504"/>
    <s v="Tabla de planchar Florence bco 55002"/>
    <x v="16"/>
    <n v="1"/>
    <n v="1"/>
  </r>
  <r>
    <n v="4"/>
    <x v="12"/>
    <x v="1"/>
    <n v="5"/>
    <n v="703"/>
    <x v="10"/>
    <x v="10"/>
    <n v="703"/>
    <s v="181629"/>
    <s v="Juego de comedor lauren 1+2+6"/>
    <x v="17"/>
    <n v="1"/>
    <n v="1"/>
  </r>
  <r>
    <n v="4"/>
    <x v="13"/>
    <x v="2"/>
    <n v="1"/>
    <n v="610"/>
    <x v="11"/>
    <x v="11"/>
    <n v="610"/>
    <s v="181520"/>
    <s v="Poltrona Violeta"/>
    <x v="18"/>
    <n v="1"/>
    <n v="1"/>
  </r>
  <r>
    <n v="4"/>
    <x v="14"/>
    <x v="2"/>
    <n v="3"/>
    <n v="704"/>
    <x v="12"/>
    <x v="12"/>
    <n v="704"/>
    <s v="181630"/>
    <s v="Juego de comedor sofia 1+6"/>
    <x v="19"/>
    <n v="1"/>
    <n v="1"/>
  </r>
  <r>
    <n v="4"/>
    <x v="15"/>
    <x v="2"/>
    <n v="4"/>
    <n v="704"/>
    <x v="12"/>
    <x v="12"/>
    <n v="704"/>
    <s v="181630"/>
    <s v="Juego de comedor sofia 1+6"/>
    <x v="20"/>
    <n v="1"/>
    <n v="1"/>
  </r>
  <r>
    <n v="4"/>
    <x v="16"/>
    <x v="2"/>
    <n v="5"/>
    <n v="13"/>
    <x v="13"/>
    <x v="13"/>
    <n v="13"/>
    <s v="110301"/>
    <s v="Bar de Canto Puerto Montt Tabaco"/>
    <x v="21"/>
    <n v="1"/>
    <n v="1"/>
  </r>
  <r>
    <n v="4"/>
    <x v="17"/>
    <x v="2"/>
    <n v="2"/>
    <n v="704"/>
    <x v="12"/>
    <x v="12"/>
    <n v="704"/>
    <s v="181630"/>
    <s v="Juego de comedor sofia 1+6"/>
    <x v="22"/>
    <n v="1"/>
    <n v="1"/>
  </r>
  <r>
    <n v="6"/>
    <x v="18"/>
    <x v="3"/>
    <n v="5"/>
    <n v="509"/>
    <x v="14"/>
    <x v="14"/>
    <n v="509"/>
    <s v="170120"/>
    <s v="New Santiago"/>
    <x v="23"/>
    <n v="1"/>
    <n v="0"/>
  </r>
  <r>
    <n v="6"/>
    <x v="18"/>
    <x v="3"/>
    <n v="6"/>
    <n v="824"/>
    <x v="1"/>
    <x v="1"/>
    <n v="824"/>
    <s v="181756"/>
    <s v="Rack Line (New Zero)"/>
    <x v="23"/>
    <n v="2"/>
    <n v="0"/>
  </r>
  <r>
    <n v="6"/>
    <x v="19"/>
    <x v="3"/>
    <n v="1"/>
    <n v="970"/>
    <x v="0"/>
    <x v="0"/>
    <n v="506"/>
    <s v="120023"/>
    <s v="Estante Aruba"/>
    <x v="23"/>
    <n v="1"/>
    <n v="1"/>
  </r>
  <r>
    <n v="6"/>
    <x v="19"/>
    <x v="3"/>
    <n v="2"/>
    <n v="970"/>
    <x v="0"/>
    <x v="0"/>
    <n v="506"/>
    <s v="120023"/>
    <s v="Estante Aruba"/>
    <x v="23"/>
    <n v="2"/>
    <n v="2"/>
  </r>
  <r>
    <n v="6"/>
    <x v="19"/>
    <x v="3"/>
    <n v="3"/>
    <n v="509"/>
    <x v="14"/>
    <x v="14"/>
    <n v="509"/>
    <s v="170120"/>
    <s v="New Santiago"/>
    <x v="23"/>
    <n v="2"/>
    <n v="0"/>
  </r>
  <r>
    <n v="6"/>
    <x v="19"/>
    <x v="3"/>
    <n v="4"/>
    <n v="639"/>
    <x v="15"/>
    <x v="15"/>
    <n v="639"/>
    <s v="181552"/>
    <s v="Home Lara 1.35 "/>
    <x v="23"/>
    <n v="2"/>
    <n v="2"/>
  </r>
  <r>
    <n v="9"/>
    <x v="20"/>
    <x v="4"/>
    <n v="1"/>
    <n v="906"/>
    <x v="16"/>
    <x v="16"/>
    <n v="906"/>
    <s v="181894"/>
    <s v="Cristalera New Vina"/>
    <x v="24"/>
    <n v="1"/>
    <n v="1"/>
  </r>
  <r>
    <n v="9"/>
    <x v="21"/>
    <x v="5"/>
    <n v="13"/>
    <n v="404"/>
    <x v="17"/>
    <x v="17"/>
    <n v="404"/>
    <s v="161012"/>
    <s v="kit dormitorio + modulo 1233 + 3017 aberto"/>
    <x v="25"/>
    <n v="1"/>
    <n v="1"/>
  </r>
  <r>
    <n v="9"/>
    <x v="21"/>
    <x v="5"/>
    <n v="14"/>
    <n v="707"/>
    <x v="18"/>
    <x v="18"/>
    <n v="707"/>
    <s v="181633"/>
    <s v="Poltrona albi  "/>
    <x v="26"/>
    <n v="2"/>
    <n v="2"/>
  </r>
  <r>
    <n v="9"/>
    <x v="22"/>
    <x v="5"/>
    <n v="5"/>
    <n v="388"/>
    <x v="19"/>
    <x v="19"/>
    <n v="388"/>
    <s v="140638"/>
    <s v="Mesa De Centro Madera Hanna 2125 Sunset/Bco"/>
    <x v="27"/>
    <n v="1"/>
    <n v="1"/>
  </r>
  <r>
    <n v="9"/>
    <x v="22"/>
    <x v="5"/>
    <n v="6"/>
    <n v="641"/>
    <x v="20"/>
    <x v="20"/>
    <n v="641"/>
    <s v="181554"/>
    <s v="Mesa Para TV Puerto Rico"/>
    <x v="28"/>
    <n v="1"/>
    <n v="1"/>
  </r>
  <r>
    <n v="9"/>
    <x v="23"/>
    <x v="5"/>
    <n v="7"/>
    <n v="401"/>
    <x v="21"/>
    <x v="21"/>
    <n v="401"/>
    <s v="161009"/>
    <s v="Escritorio Olimpia aberto - artico"/>
    <x v="29"/>
    <n v="1"/>
    <n v="1"/>
  </r>
  <r>
    <n v="9"/>
    <x v="23"/>
    <x v="5"/>
    <n v="8"/>
    <n v="638"/>
    <x v="22"/>
    <x v="22"/>
    <n v="638"/>
    <s v="181551"/>
    <s v="Home Ipanema 1.80 "/>
    <x v="30"/>
    <n v="1"/>
    <n v="1"/>
  </r>
  <r>
    <n v="9"/>
    <x v="23"/>
    <x v="5"/>
    <n v="9"/>
    <n v="970"/>
    <x v="0"/>
    <x v="0"/>
    <n v="506"/>
    <s v="120023"/>
    <s v="Estante Aruba"/>
    <x v="31"/>
    <n v="1"/>
    <n v="1"/>
  </r>
  <r>
    <n v="9"/>
    <x v="23"/>
    <x v="5"/>
    <n v="10"/>
    <n v="639"/>
    <x v="15"/>
    <x v="15"/>
    <n v="639"/>
    <s v="181552"/>
    <s v="Home Lara 1.35 "/>
    <x v="32"/>
    <n v="1"/>
    <n v="1"/>
  </r>
  <r>
    <n v="9"/>
    <x v="24"/>
    <x v="5"/>
    <n v="11"/>
    <n v="674"/>
    <x v="23"/>
    <x v="23"/>
    <n v="674"/>
    <s v="181595"/>
    <s v="Home Deneb"/>
    <x v="33"/>
    <n v="1"/>
    <n v="1"/>
  </r>
  <r>
    <n v="8"/>
    <x v="25"/>
    <x v="6"/>
    <n v="7"/>
    <n v="534"/>
    <x v="24"/>
    <x v="24"/>
    <n v="534"/>
    <s v="175118"/>
    <s v="Respaldo Oregon 2plz + 2 veladores"/>
    <x v="34"/>
    <n v="1"/>
    <n v="1"/>
  </r>
  <r>
    <n v="8"/>
    <x v="26"/>
    <x v="6"/>
    <n v="8"/>
    <n v="534"/>
    <x v="24"/>
    <x v="24"/>
    <n v="534"/>
    <s v="175118"/>
    <s v="Respaldo Oregon 2plz + 2 veladores"/>
    <x v="34"/>
    <n v="1"/>
    <n v="1"/>
  </r>
  <r>
    <n v="8"/>
    <x v="27"/>
    <x v="6"/>
    <n v="1"/>
    <n v="892"/>
    <x v="25"/>
    <x v="25"/>
    <n v="746"/>
    <s v="181662"/>
    <s v="Respaldo Monaco"/>
    <x v="34"/>
    <n v="1"/>
    <n v="1"/>
  </r>
  <r>
    <n v="4"/>
    <x v="28"/>
    <x v="7"/>
    <n v="21"/>
    <n v="702"/>
    <x v="26"/>
    <x v="26"/>
    <n v="702"/>
    <s v="181628"/>
    <s v="Juego de 2 andres  1+4"/>
    <x v="35"/>
    <n v="1"/>
    <n v="1"/>
  </r>
  <r>
    <n v="4"/>
    <x v="29"/>
    <x v="7"/>
    <n v="22"/>
    <n v="401"/>
    <x v="21"/>
    <x v="21"/>
    <n v="401"/>
    <s v="161009"/>
    <s v="Escritorio Olimpia aberto - artico"/>
    <x v="36"/>
    <n v="1"/>
    <n v="1"/>
  </r>
  <r>
    <n v="4"/>
    <x v="30"/>
    <x v="7"/>
    <n v="15"/>
    <n v="403"/>
    <x v="27"/>
    <x v="27"/>
    <n v="403"/>
    <s v="161011"/>
    <s v="Escritorio Curitiba artico"/>
    <x v="37"/>
    <n v="1"/>
    <n v="1"/>
  </r>
  <r>
    <n v="4"/>
    <x v="31"/>
    <x v="7"/>
    <n v="16"/>
    <n v="703"/>
    <x v="10"/>
    <x v="10"/>
    <n v="703"/>
    <s v="181629"/>
    <s v="Juego de comedor lauren 1+2+6"/>
    <x v="38"/>
    <n v="1"/>
    <n v="1"/>
  </r>
  <r>
    <n v="4"/>
    <x v="32"/>
    <x v="7"/>
    <n v="17"/>
    <n v="501"/>
    <x v="5"/>
    <x v="5"/>
    <n v="501"/>
    <s v="170782"/>
    <s v="Rack atacama pt mad castaño 160295"/>
    <x v="39"/>
    <n v="1"/>
    <n v="1"/>
  </r>
  <r>
    <n v="4"/>
    <x v="33"/>
    <x v="7"/>
    <n v="18"/>
    <n v="638"/>
    <x v="22"/>
    <x v="22"/>
    <n v="638"/>
    <s v="181551"/>
    <s v="Home Ipanema 1.80 "/>
    <x v="40"/>
    <n v="1"/>
    <n v="1"/>
  </r>
  <r>
    <n v="4"/>
    <x v="34"/>
    <x v="7"/>
    <n v="19"/>
    <n v="714"/>
    <x v="28"/>
    <x v="28"/>
    <n v="714"/>
    <s v="181640"/>
    <s v="Kit Magazin 120"/>
    <x v="41"/>
    <n v="1"/>
    <n v="1"/>
  </r>
  <r>
    <n v="4"/>
    <x v="35"/>
    <x v="7"/>
    <n v="20"/>
    <n v="892"/>
    <x v="25"/>
    <x v="25"/>
    <n v="746"/>
    <s v="181662"/>
    <s v="Respaldo Monaco"/>
    <x v="42"/>
    <n v="1"/>
    <n v="1"/>
  </r>
  <r>
    <n v="4"/>
    <x v="36"/>
    <x v="7"/>
    <n v="11"/>
    <n v="13"/>
    <x v="13"/>
    <x v="13"/>
    <n v="13"/>
    <s v="110301"/>
    <s v="Bar de Canto Puerto Montt Tabaco"/>
    <x v="43"/>
    <n v="1"/>
    <n v="1"/>
  </r>
  <r>
    <n v="4"/>
    <x v="37"/>
    <x v="7"/>
    <n v="12"/>
    <n v="711"/>
    <x v="29"/>
    <x v="29"/>
    <n v="711"/>
    <s v="181637"/>
    <s v="Closet Rubi 12 ptas, 3 cajones"/>
    <x v="44"/>
    <n v="1"/>
    <n v="1"/>
  </r>
  <r>
    <n v="4"/>
    <x v="38"/>
    <x v="7"/>
    <n v="13"/>
    <n v="701"/>
    <x v="3"/>
    <x v="3"/>
    <n v="701"/>
    <s v="181627"/>
    <s v="Juego de comedor oxford 1+6"/>
    <x v="45"/>
    <n v="1"/>
    <n v="1"/>
  </r>
  <r>
    <n v="4"/>
    <x v="39"/>
    <x v="7"/>
    <n v="14"/>
    <n v="501"/>
    <x v="5"/>
    <x v="5"/>
    <n v="501"/>
    <s v="170782"/>
    <s v="Rack atacama pt mad castaño 160295"/>
    <x v="46"/>
    <n v="1"/>
    <n v="1"/>
  </r>
  <r>
    <n v="4"/>
    <x v="40"/>
    <x v="7"/>
    <n v="5"/>
    <n v="781"/>
    <x v="6"/>
    <x v="6"/>
    <n v="781"/>
    <s v="181660"/>
    <s v="COMEDOR TOLEDO 1+6"/>
    <x v="47"/>
    <n v="1"/>
    <n v="1"/>
  </r>
  <r>
    <n v="4"/>
    <x v="41"/>
    <x v="7"/>
    <n v="6"/>
    <n v="474"/>
    <x v="30"/>
    <x v="30"/>
    <n v="474"/>
    <s v="120013"/>
    <s v="Mesa para tv MDP Montana Nat - Bco glas"/>
    <x v="48"/>
    <n v="1"/>
    <n v="1"/>
  </r>
  <r>
    <n v="4"/>
    <x v="42"/>
    <x v="7"/>
    <n v="7"/>
    <n v="219"/>
    <x v="31"/>
    <x v="31"/>
    <n v="219"/>
    <s v="130643"/>
    <s v="Closet Domani 6p 4c rovere tx"/>
    <x v="49"/>
    <n v="1"/>
    <n v="0"/>
  </r>
  <r>
    <n v="4"/>
    <x v="43"/>
    <x v="7"/>
    <n v="8"/>
    <n v="402"/>
    <x v="32"/>
    <x v="32"/>
    <n v="402"/>
    <s v="161010"/>
    <s v="Escritorio Cali artico"/>
    <x v="50"/>
    <n v="1"/>
    <n v="1"/>
  </r>
  <r>
    <n v="4"/>
    <x v="44"/>
    <x v="7"/>
    <n v="9"/>
    <n v="638"/>
    <x v="22"/>
    <x v="22"/>
    <n v="638"/>
    <s v="181551"/>
    <s v="Home Ipanema 1.80 "/>
    <x v="51"/>
    <n v="1"/>
    <n v="1"/>
  </r>
  <r>
    <n v="4"/>
    <x v="45"/>
    <x v="7"/>
    <n v="10"/>
    <n v="851"/>
    <x v="33"/>
    <x v="33"/>
    <n v="851"/>
    <s v="181792"/>
    <s v="Kit Cocina Palma + Counter"/>
    <x v="52"/>
    <n v="1"/>
    <n v="1"/>
  </r>
  <r>
    <n v="4"/>
    <x v="46"/>
    <x v="7"/>
    <n v="2"/>
    <n v="703"/>
    <x v="10"/>
    <x v="10"/>
    <n v="703"/>
    <s v="181629"/>
    <s v="Juego de comedor lauren 1+2+6"/>
    <x v="53"/>
    <n v="1"/>
    <n v="1"/>
  </r>
  <r>
    <n v="4"/>
    <x v="47"/>
    <x v="7"/>
    <n v="3"/>
    <n v="892"/>
    <x v="25"/>
    <x v="25"/>
    <n v="746"/>
    <s v="181662"/>
    <s v="Respaldo Monaco"/>
    <x v="54"/>
    <n v="1"/>
    <n v="1"/>
  </r>
  <r>
    <n v="4"/>
    <x v="48"/>
    <x v="7"/>
    <n v="4"/>
    <n v="702"/>
    <x v="26"/>
    <x v="26"/>
    <n v="702"/>
    <s v="181628"/>
    <s v="Juego de 2 andres  1+4"/>
    <x v="55"/>
    <n v="1"/>
    <n v="1"/>
  </r>
  <r>
    <n v="4"/>
    <x v="49"/>
    <x v="7"/>
    <n v="1"/>
    <n v="686"/>
    <x v="34"/>
    <x v="34"/>
    <n v="686"/>
    <s v="181612"/>
    <s v="Poltrona Lennon"/>
    <x v="56"/>
    <n v="2"/>
    <n v="2"/>
  </r>
  <r>
    <n v="6"/>
    <x v="50"/>
    <x v="8"/>
    <n v="8"/>
    <n v="13"/>
    <x v="13"/>
    <x v="13"/>
    <n v="13"/>
    <s v="110301"/>
    <s v="Bar de Canto Puerto Montt Tabaco"/>
    <x v="57"/>
    <n v="1"/>
    <n v="1"/>
  </r>
  <r>
    <n v="6"/>
    <x v="51"/>
    <x v="8"/>
    <n v="9"/>
    <n v="893"/>
    <x v="35"/>
    <x v="35"/>
    <n v="893"/>
    <s v="181810"/>
    <s v="Rack Recife"/>
    <x v="58"/>
    <n v="1"/>
    <n v="1"/>
  </r>
  <r>
    <n v="6"/>
    <x v="52"/>
    <x v="8"/>
    <n v="5"/>
    <n v="13"/>
    <x v="13"/>
    <x v="13"/>
    <n v="13"/>
    <s v="110301"/>
    <s v="Bar de Canto Puerto Montt Tabaco"/>
    <x v="59"/>
    <n v="1"/>
    <n v="1"/>
  </r>
  <r>
    <n v="6"/>
    <x v="53"/>
    <x v="8"/>
    <n v="6"/>
    <n v="842"/>
    <x v="36"/>
    <x v="36"/>
    <n v="842"/>
    <s v="181767"/>
    <s v="Panel Ipe"/>
    <x v="60"/>
    <n v="2"/>
    <n v="2"/>
  </r>
  <r>
    <n v="6"/>
    <x v="54"/>
    <x v="8"/>
    <n v="7"/>
    <n v="892"/>
    <x v="25"/>
    <x v="25"/>
    <n v="892"/>
    <s v="181824"/>
    <s v="RESPALDO MONACO "/>
    <x v="61"/>
    <n v="1"/>
    <n v="1"/>
  </r>
  <r>
    <n v="6"/>
    <x v="55"/>
    <x v="8"/>
    <n v="10"/>
    <n v="325"/>
    <x v="37"/>
    <x v="37"/>
    <n v="509"/>
    <s v="170120"/>
    <s v="New Santiago"/>
    <x v="62"/>
    <n v="1"/>
    <n v="0"/>
  </r>
  <r>
    <n v="6"/>
    <x v="56"/>
    <x v="8"/>
    <n v="2"/>
    <n v="842"/>
    <x v="36"/>
    <x v="36"/>
    <n v="842"/>
    <s v="181767"/>
    <s v="Panel Ipe"/>
    <x v="63"/>
    <n v="1"/>
    <n v="1"/>
  </r>
  <r>
    <n v="6"/>
    <x v="57"/>
    <x v="8"/>
    <n v="3"/>
    <n v="895"/>
    <x v="38"/>
    <x v="38"/>
    <n v="895"/>
    <s v="181812"/>
    <s v="RACK ART"/>
    <x v="64"/>
    <n v="1"/>
    <n v="1"/>
  </r>
  <r>
    <n v="6"/>
    <x v="58"/>
    <x v="8"/>
    <n v="4"/>
    <n v="141"/>
    <x v="9"/>
    <x v="9"/>
    <n v="141"/>
    <s v="165504"/>
    <s v="Tabla de planchar Florence bco 55002"/>
    <x v="65"/>
    <n v="1"/>
    <n v="1"/>
  </r>
  <r>
    <n v="6"/>
    <x v="59"/>
    <x v="8"/>
    <n v="1"/>
    <n v="893"/>
    <x v="35"/>
    <x v="35"/>
    <n v="893"/>
    <s v="181810"/>
    <s v="Rack Recife"/>
    <x v="66"/>
    <n v="1"/>
    <n v="1"/>
  </r>
  <r>
    <n v="9"/>
    <x v="60"/>
    <x v="9"/>
    <n v="1"/>
    <n v="905"/>
    <x v="39"/>
    <x v="39"/>
    <n v="905"/>
    <s v="181876"/>
    <s v="RACK STAR (QUARTZ)"/>
    <x v="67"/>
    <n v="1"/>
    <n v="1"/>
  </r>
  <r>
    <n v="9"/>
    <x v="61"/>
    <x v="10"/>
    <n v="12"/>
    <n v="347"/>
    <x v="40"/>
    <x v="40"/>
    <n v="347"/>
    <s v="160116"/>
    <s v="Mesa de Centro Classic rustico malbec"/>
    <x v="68"/>
    <n v="1"/>
    <n v="1"/>
  </r>
  <r>
    <n v="9"/>
    <x v="62"/>
    <x v="10"/>
    <n v="13"/>
    <n v="347"/>
    <x v="40"/>
    <x v="40"/>
    <n v="347"/>
    <s v="160116"/>
    <s v="Mesa de Centro Classic rustico malbec"/>
    <x v="69"/>
    <n v="1"/>
    <n v="1"/>
  </r>
  <r>
    <n v="9"/>
    <x v="63"/>
    <x v="10"/>
    <n v="14"/>
    <n v="905"/>
    <x v="39"/>
    <x v="39"/>
    <n v="905"/>
    <s v="181876"/>
    <s v="RACK STAR (QUARTZ)"/>
    <x v="70"/>
    <n v="1"/>
    <n v="1"/>
  </r>
  <r>
    <n v="2"/>
    <x v="64"/>
    <x v="11"/>
    <n v="3"/>
    <n v="498"/>
    <x v="41"/>
    <x v="41"/>
    <n v="498"/>
    <s v="160121"/>
    <s v="Mesa de centro pt mad Cataño 160389"/>
    <x v="71"/>
    <n v="1"/>
    <n v="1"/>
  </r>
  <r>
    <n v="2"/>
    <x v="65"/>
    <x v="11"/>
    <n v="1"/>
    <n v="403"/>
    <x v="27"/>
    <x v="27"/>
    <n v="403"/>
    <s v="161011"/>
    <s v="Escritorio Curitiba artico"/>
    <x v="72"/>
    <n v="1"/>
    <n v="1"/>
  </r>
  <r>
    <n v="29"/>
    <x v="66"/>
    <x v="12"/>
    <n v="1"/>
    <n v="849"/>
    <x v="42"/>
    <x v="42"/>
    <n v="849"/>
    <s v="181794"/>
    <s v="Gabinete Burgos"/>
    <x v="73"/>
    <n v="1"/>
    <n v="1"/>
  </r>
  <r>
    <n v="29"/>
    <x v="67"/>
    <x v="12"/>
    <n v="2"/>
    <n v="484"/>
    <x v="43"/>
    <x v="43"/>
    <n v="484"/>
    <s v="165694"/>
    <s v="kit cocina Viviana "/>
    <x v="74"/>
    <n v="1"/>
    <n v="0"/>
  </r>
  <r>
    <n v="29"/>
    <x v="68"/>
    <x v="13"/>
    <n v="1"/>
    <n v="683"/>
    <x v="44"/>
    <x v="44"/>
    <n v="683"/>
    <s v="181609"/>
    <s v="Poltrona Magno"/>
    <x v="75"/>
    <n v="210"/>
    <n v="0"/>
  </r>
  <r>
    <n v="29"/>
    <x v="68"/>
    <x v="13"/>
    <n v="2"/>
    <n v="797"/>
    <x v="45"/>
    <x v="45"/>
    <n v="797"/>
    <s v="181723"/>
    <s v="REPISA DRESDE"/>
    <x v="76"/>
    <n v="105"/>
    <n v="105"/>
  </r>
  <r>
    <n v="29"/>
    <x v="68"/>
    <x v="13"/>
    <n v="3"/>
    <n v="967"/>
    <x v="46"/>
    <x v="46"/>
    <n v="967"/>
    <s v="181935"/>
    <s v="Kit Cocina 80 Paula + Cubierta + Griferia"/>
    <x v="77"/>
    <n v="24"/>
    <n v="0"/>
  </r>
  <r>
    <n v="10"/>
    <x v="69"/>
    <x v="14"/>
    <n v="1"/>
    <n v="409"/>
    <x v="47"/>
    <x v="47"/>
    <n v="409"/>
    <s v="120011"/>
    <s v="Home Roma "/>
    <x v="34"/>
    <n v="5"/>
    <n v="5"/>
  </r>
  <r>
    <n v="10"/>
    <x v="69"/>
    <x v="14"/>
    <n v="2"/>
    <n v="711"/>
    <x v="29"/>
    <x v="29"/>
    <n v="711"/>
    <s v="181637"/>
    <s v="Closet Rubi 12 ptas, 3 cajones"/>
    <x v="34"/>
    <n v="5"/>
    <n v="5"/>
  </r>
  <r>
    <n v="10"/>
    <x v="70"/>
    <x v="14"/>
    <n v="3"/>
    <n v="409"/>
    <x v="47"/>
    <x v="47"/>
    <n v="409"/>
    <s v="120011"/>
    <s v="Home Roma "/>
    <x v="34"/>
    <n v="15"/>
    <n v="15"/>
  </r>
  <r>
    <n v="10"/>
    <x v="70"/>
    <x v="14"/>
    <n v="4"/>
    <n v="474"/>
    <x v="30"/>
    <x v="30"/>
    <n v="474"/>
    <s v="120013"/>
    <s v="Mesa para tv MDP Montana Nat - Bco glas"/>
    <x v="34"/>
    <n v="8"/>
    <n v="8"/>
  </r>
  <r>
    <n v="10"/>
    <x v="70"/>
    <x v="14"/>
    <n v="5"/>
    <n v="638"/>
    <x v="22"/>
    <x v="22"/>
    <n v="638"/>
    <s v="181551"/>
    <s v="Home Ipanema 1.80 "/>
    <x v="34"/>
    <n v="8"/>
    <n v="8"/>
  </r>
  <r>
    <n v="10"/>
    <x v="70"/>
    <x v="14"/>
    <n v="6"/>
    <n v="639"/>
    <x v="15"/>
    <x v="15"/>
    <n v="639"/>
    <s v="181552"/>
    <s v="Home Lara 1.35 "/>
    <x v="34"/>
    <n v="8"/>
    <n v="8"/>
  </r>
  <r>
    <n v="10"/>
    <x v="70"/>
    <x v="14"/>
    <n v="7"/>
    <n v="674"/>
    <x v="23"/>
    <x v="23"/>
    <n v="674"/>
    <s v="181595"/>
    <s v="Home Deneb"/>
    <x v="34"/>
    <n v="8"/>
    <n v="8"/>
  </r>
  <r>
    <n v="10"/>
    <x v="70"/>
    <x v="14"/>
    <n v="8"/>
    <n v="711"/>
    <x v="29"/>
    <x v="29"/>
    <n v="711"/>
    <s v="181637"/>
    <s v="Closet Rubi 12 ptas, 3 cajones"/>
    <x v="34"/>
    <n v="15"/>
    <n v="15"/>
  </r>
  <r>
    <n v="10"/>
    <x v="70"/>
    <x v="14"/>
    <n v="9"/>
    <n v="745"/>
    <x v="2"/>
    <x v="2"/>
    <n v="745"/>
    <s v="181685"/>
    <s v="Closet Anastasia (Ex Capelinha) "/>
    <x v="34"/>
    <n v="15"/>
    <n v="15"/>
  </r>
  <r>
    <n v="10"/>
    <x v="70"/>
    <x v="14"/>
    <n v="10"/>
    <n v="795"/>
    <x v="48"/>
    <x v="48"/>
    <n v="795"/>
    <s v="181720"/>
    <s v="New Rack Lottus"/>
    <x v="34"/>
    <n v="5"/>
    <n v="5"/>
  </r>
  <r>
    <n v="10"/>
    <x v="70"/>
    <x v="14"/>
    <n v="11"/>
    <n v="877"/>
    <x v="49"/>
    <x v="49"/>
    <n v="877"/>
    <s v="181806"/>
    <s v="RACK LUCCA (RACK ROYAL)"/>
    <x v="34"/>
    <n v="8"/>
    <n v="8"/>
  </r>
  <r>
    <n v="10"/>
    <x v="70"/>
    <x v="14"/>
    <n v="12"/>
    <n v="970"/>
    <x v="0"/>
    <x v="0"/>
    <n v="970"/>
    <s v="181841"/>
    <s v="Estante New Aruba "/>
    <x v="34"/>
    <n v="10"/>
    <n v="10"/>
  </r>
  <r>
    <n v="24"/>
    <x v="71"/>
    <x v="15"/>
    <n v="1"/>
    <n v="382"/>
    <x v="50"/>
    <x v="50"/>
    <n v="382"/>
    <s v="165690"/>
    <s v="Cocina Flavia teka - brown"/>
    <x v="78"/>
    <n v="1"/>
    <n v="1"/>
  </r>
  <r>
    <n v="5"/>
    <x v="72"/>
    <x v="16"/>
    <n v="1"/>
    <n v="101"/>
    <x v="51"/>
    <x v="51"/>
    <n v="101"/>
    <s v="165503"/>
    <s v="Mueble Organizador Sinop Blanco"/>
    <x v="34"/>
    <n v="1"/>
    <n v="1"/>
  </r>
  <r>
    <n v="5"/>
    <x v="72"/>
    <x v="16"/>
    <n v="2"/>
    <n v="101"/>
    <x v="51"/>
    <x v="51"/>
    <n v="101"/>
    <s v="165503"/>
    <s v="Mueble Organizador Sinop Blanco"/>
    <x v="34"/>
    <n v="2"/>
    <n v="2"/>
  </r>
  <r>
    <n v="5"/>
    <x v="72"/>
    <x v="16"/>
    <n v="3"/>
    <n v="101"/>
    <x v="51"/>
    <x v="51"/>
    <n v="101"/>
    <s v="165503"/>
    <s v="Mueble Organizador Sinop Blanco"/>
    <x v="34"/>
    <n v="2"/>
    <n v="2"/>
  </r>
  <r>
    <n v="5"/>
    <x v="72"/>
    <x v="16"/>
    <n v="4"/>
    <n v="101"/>
    <x v="51"/>
    <x v="51"/>
    <n v="101"/>
    <s v="165503"/>
    <s v="Mueble Organizador Sinop Blanco"/>
    <x v="34"/>
    <n v="3"/>
    <n v="3"/>
  </r>
  <r>
    <n v="5"/>
    <x v="72"/>
    <x v="16"/>
    <n v="5"/>
    <n v="101"/>
    <x v="51"/>
    <x v="51"/>
    <n v="101"/>
    <s v="165503"/>
    <s v="Mueble Organizador Sinop Blanco"/>
    <x v="34"/>
    <n v="7"/>
    <n v="7"/>
  </r>
  <r>
    <n v="5"/>
    <x v="72"/>
    <x v="16"/>
    <n v="6"/>
    <n v="489"/>
    <x v="52"/>
    <x v="52"/>
    <n v="489"/>
    <s v="165523"/>
    <s v="Armario Aereo Canela Ref: 3468 Blanco"/>
    <x v="34"/>
    <n v="1"/>
    <n v="1"/>
  </r>
  <r>
    <n v="5"/>
    <x v="72"/>
    <x v="16"/>
    <n v="7"/>
    <n v="489"/>
    <x v="52"/>
    <x v="52"/>
    <n v="489"/>
    <s v="165523"/>
    <s v="Armario Aereo Canela Ref: 3468 Blanco"/>
    <x v="34"/>
    <n v="2"/>
    <n v="2"/>
  </r>
  <r>
    <n v="5"/>
    <x v="72"/>
    <x v="16"/>
    <n v="8"/>
    <n v="489"/>
    <x v="52"/>
    <x v="52"/>
    <n v="489"/>
    <s v="165523"/>
    <s v="Armario Aereo Canela Ref: 3468 Blanco"/>
    <x v="34"/>
    <n v="2"/>
    <n v="2"/>
  </r>
  <r>
    <n v="5"/>
    <x v="72"/>
    <x v="16"/>
    <n v="9"/>
    <n v="489"/>
    <x v="52"/>
    <x v="52"/>
    <n v="489"/>
    <s v="165523"/>
    <s v="Armario Aereo Canela Ref: 3468 Blanco"/>
    <x v="34"/>
    <n v="3"/>
    <n v="3"/>
  </r>
  <r>
    <n v="5"/>
    <x v="72"/>
    <x v="16"/>
    <n v="10"/>
    <n v="490"/>
    <x v="53"/>
    <x v="53"/>
    <n v="490"/>
    <s v="165524"/>
    <s v="Gabinete Guardaropa Ref: 3004 Bco"/>
    <x v="34"/>
    <n v="2"/>
    <n v="0"/>
  </r>
  <r>
    <n v="5"/>
    <x v="72"/>
    <x v="16"/>
    <n v="11"/>
    <n v="490"/>
    <x v="53"/>
    <x v="53"/>
    <n v="490"/>
    <s v="165524"/>
    <s v="Gabinete Guardaropa Ref: 3004 Bco"/>
    <x v="34"/>
    <n v="3"/>
    <n v="0"/>
  </r>
  <r>
    <n v="5"/>
    <x v="72"/>
    <x v="16"/>
    <n v="12"/>
    <n v="492"/>
    <x v="54"/>
    <x v="54"/>
    <n v="492"/>
    <s v="165526"/>
    <s v="Armario Itaim Puertas De Vidrio Ref: 3219 Bco"/>
    <x v="34"/>
    <n v="1"/>
    <n v="1"/>
  </r>
  <r>
    <n v="5"/>
    <x v="72"/>
    <x v="16"/>
    <n v="13"/>
    <n v="492"/>
    <x v="54"/>
    <x v="54"/>
    <n v="492"/>
    <s v="165526"/>
    <s v="Armario Itaim Puertas De Vidrio Ref: 3219 Bco"/>
    <x v="34"/>
    <n v="3"/>
    <n v="3"/>
  </r>
  <r>
    <n v="5"/>
    <x v="72"/>
    <x v="16"/>
    <n v="14"/>
    <n v="493"/>
    <x v="55"/>
    <x v="55"/>
    <n v="493"/>
    <s v="165527"/>
    <s v="Armario Organizador Limeira Ref: 3266 Bco"/>
    <x v="34"/>
    <n v="1"/>
    <n v="1"/>
  </r>
  <r>
    <n v="5"/>
    <x v="72"/>
    <x v="16"/>
    <n v="15"/>
    <n v="493"/>
    <x v="55"/>
    <x v="55"/>
    <n v="493"/>
    <s v="165527"/>
    <s v="Armario Organizador Limeira Ref: 3266 Bco"/>
    <x v="34"/>
    <n v="1"/>
    <n v="1"/>
  </r>
  <r>
    <n v="5"/>
    <x v="72"/>
    <x v="16"/>
    <n v="16"/>
    <n v="493"/>
    <x v="55"/>
    <x v="55"/>
    <n v="493"/>
    <s v="165527"/>
    <s v="Armario Organizador Limeira Ref: 3266 Bco"/>
    <x v="34"/>
    <n v="3"/>
    <n v="3"/>
  </r>
  <r>
    <n v="5"/>
    <x v="72"/>
    <x v="16"/>
    <n v="17"/>
    <n v="493"/>
    <x v="55"/>
    <x v="55"/>
    <n v="493"/>
    <s v="165527"/>
    <s v="Armario Organizador Limeira Ref: 3266 Bco"/>
    <x v="34"/>
    <n v="3"/>
    <n v="3"/>
  </r>
  <r>
    <n v="5"/>
    <x v="72"/>
    <x v="16"/>
    <n v="18"/>
    <n v="493"/>
    <x v="55"/>
    <x v="55"/>
    <n v="493"/>
    <s v="165527"/>
    <s v="Armario Organizador Limeira Ref: 3266 Bco"/>
    <x v="34"/>
    <n v="3"/>
    <n v="3"/>
  </r>
  <r>
    <n v="5"/>
    <x v="72"/>
    <x v="16"/>
    <n v="19"/>
    <n v="494"/>
    <x v="56"/>
    <x v="56"/>
    <n v="494"/>
    <s v="165528"/>
    <s v="Armario Aereo Ref: 3003 Bco"/>
    <x v="34"/>
    <n v="1"/>
    <n v="1"/>
  </r>
  <r>
    <n v="9"/>
    <x v="73"/>
    <x v="17"/>
    <n v="3"/>
    <n v="13"/>
    <x v="13"/>
    <x v="13"/>
    <n v="13"/>
    <s v="110301"/>
    <s v="Bar de Canto Puerto Montt Tabaco"/>
    <x v="79"/>
    <n v="1"/>
    <n v="1"/>
  </r>
  <r>
    <n v="9"/>
    <x v="74"/>
    <x v="17"/>
    <n v="1"/>
    <n v="13"/>
    <x v="13"/>
    <x v="13"/>
    <n v="13"/>
    <s v="110301"/>
    <s v="Bar de Canto Puerto Montt Tabaco"/>
    <x v="80"/>
    <n v="1"/>
    <n v="1"/>
  </r>
  <r>
    <n v="24"/>
    <x v="75"/>
    <x v="18"/>
    <n v="1"/>
    <n v="675"/>
    <x v="57"/>
    <x v="57"/>
    <n v="675"/>
    <s v="181596"/>
    <s v="Closet Onix Plus 6ptas. 2 cajones"/>
    <x v="34"/>
    <n v="70"/>
    <n v="70"/>
  </r>
  <r>
    <n v="24"/>
    <x v="75"/>
    <x v="18"/>
    <n v="2"/>
    <n v="892"/>
    <x v="25"/>
    <x v="25"/>
    <n v="892"/>
    <s v="181824"/>
    <s v="RESPALDO MONACO "/>
    <x v="34"/>
    <n v="90"/>
    <n v="90"/>
  </r>
  <r>
    <n v="8"/>
    <x v="76"/>
    <x v="19"/>
    <n v="1"/>
    <n v="865"/>
    <x v="58"/>
    <x v="58"/>
    <n v="405"/>
    <s v="165368"/>
    <s v="Comoda Dinamo 4C + 1P"/>
    <x v="81"/>
    <n v="55"/>
    <n v="55"/>
  </r>
  <r>
    <n v="8"/>
    <x v="76"/>
    <x v="19"/>
    <n v="2"/>
    <n v="281"/>
    <x v="59"/>
    <x v="59"/>
    <n v="281"/>
    <s v="165677"/>
    <s v="Cocina 6 puertas kit 2306 bco negro"/>
    <x v="82"/>
    <n v="23"/>
    <n v="23"/>
  </r>
  <r>
    <n v="8"/>
    <x v="76"/>
    <x v="19"/>
    <n v="3"/>
    <n v="896"/>
    <x v="60"/>
    <x v="60"/>
    <n v="653"/>
    <s v="181566"/>
    <s v="Depensa 1 Puerta alta"/>
    <x v="83"/>
    <n v="102"/>
    <n v="102"/>
  </r>
  <r>
    <n v="8"/>
    <x v="76"/>
    <x v="19"/>
    <n v="4"/>
    <n v="809"/>
    <x v="61"/>
    <x v="61"/>
    <n v="809"/>
    <s v="181759"/>
    <s v="Rack Ovalle"/>
    <x v="84"/>
    <n v="22"/>
    <n v="22"/>
  </r>
  <r>
    <n v="5"/>
    <x v="77"/>
    <x v="20"/>
    <n v="1"/>
    <n v="735"/>
    <x v="62"/>
    <x v="62"/>
    <n v="735"/>
    <s v="181666"/>
    <s v="COMODA 5 CAJONES GLADYS (PILAR)"/>
    <x v="34"/>
    <n v="1"/>
    <n v="1"/>
  </r>
  <r>
    <n v="5"/>
    <x v="78"/>
    <x v="20"/>
    <n v="2"/>
    <n v="13"/>
    <x v="13"/>
    <x v="13"/>
    <n v="13"/>
    <s v="110301"/>
    <s v="Bar de Canto Puerto Montt Tabaco"/>
    <x v="34"/>
    <n v="1"/>
    <n v="1"/>
  </r>
  <r>
    <n v="5"/>
    <x v="79"/>
    <x v="20"/>
    <n v="3"/>
    <n v="534"/>
    <x v="24"/>
    <x v="24"/>
    <n v="534"/>
    <s v="175118"/>
    <s v="Respaldo Oregon 2plz + 2 veladores"/>
    <x v="34"/>
    <n v="1"/>
    <n v="1"/>
  </r>
  <r>
    <n v="4"/>
    <x v="80"/>
    <x v="21"/>
    <n v="1"/>
    <n v="342"/>
    <x v="63"/>
    <x v="63"/>
    <n v="342"/>
    <s v="160111"/>
    <s v="Mesa de Lateral ALBA bco laca - café"/>
    <x v="85"/>
    <n v="1"/>
    <n v="0"/>
  </r>
  <r>
    <n v="5"/>
    <x v="81"/>
    <x v="22"/>
    <n v="1"/>
    <n v="43"/>
    <x v="64"/>
    <x v="64"/>
    <n v="43"/>
    <s v="165639"/>
    <s v="Cocina Sheila + balcon sheila bco/griz"/>
    <x v="34"/>
    <n v="10"/>
    <n v="10"/>
  </r>
  <r>
    <n v="24"/>
    <x v="82"/>
    <x v="23"/>
    <n v="1"/>
    <n v="638"/>
    <x v="22"/>
    <x v="22"/>
    <n v="638"/>
    <s v="181551"/>
    <s v="Home Ipanema 1.80 "/>
    <x v="34"/>
    <n v="1"/>
    <n v="1"/>
  </r>
  <r>
    <n v="3"/>
    <x v="83"/>
    <x v="24"/>
    <n v="4"/>
    <n v="824"/>
    <x v="1"/>
    <x v="1"/>
    <n v="824"/>
    <s v="181756"/>
    <s v="Rack Line (New Zero)"/>
    <x v="86"/>
    <n v="1"/>
    <n v="1"/>
  </r>
  <r>
    <n v="3"/>
    <x v="83"/>
    <x v="24"/>
    <n v="19"/>
    <n v="674"/>
    <x v="23"/>
    <x v="23"/>
    <n v="674"/>
    <s v="181595"/>
    <s v="Home Deneb"/>
    <x v="87"/>
    <n v="1"/>
    <n v="1"/>
  </r>
  <r>
    <n v="3"/>
    <x v="84"/>
    <x v="24"/>
    <n v="5"/>
    <n v="409"/>
    <x v="47"/>
    <x v="47"/>
    <n v="409"/>
    <s v="120011"/>
    <s v="Home Roma "/>
    <x v="88"/>
    <n v="1"/>
    <n v="1"/>
  </r>
  <r>
    <n v="3"/>
    <x v="84"/>
    <x v="24"/>
    <n v="6"/>
    <n v="821"/>
    <x v="65"/>
    <x v="65"/>
    <n v="821"/>
    <s v="181751"/>
    <s v="HOME NINA"/>
    <x v="89"/>
    <n v="1"/>
    <n v="1"/>
  </r>
  <r>
    <n v="3"/>
    <x v="84"/>
    <x v="24"/>
    <n v="7"/>
    <n v="824"/>
    <x v="1"/>
    <x v="1"/>
    <n v="824"/>
    <s v="181756"/>
    <s v="Rack Line (New Zero)"/>
    <x v="90"/>
    <n v="1"/>
    <n v="1"/>
  </r>
  <r>
    <n v="3"/>
    <x v="84"/>
    <x v="24"/>
    <n v="15"/>
    <n v="970"/>
    <x v="0"/>
    <x v="0"/>
    <n v="506"/>
    <s v="120023"/>
    <s v="Estante Aruba"/>
    <x v="91"/>
    <n v="1"/>
    <n v="1"/>
  </r>
  <r>
    <n v="3"/>
    <x v="85"/>
    <x v="24"/>
    <n v="8"/>
    <n v="970"/>
    <x v="0"/>
    <x v="0"/>
    <n v="506"/>
    <s v="120023"/>
    <s v="Estante Aruba"/>
    <x v="92"/>
    <n v="1"/>
    <n v="1"/>
  </r>
  <r>
    <n v="3"/>
    <x v="85"/>
    <x v="24"/>
    <n v="9"/>
    <n v="970"/>
    <x v="0"/>
    <x v="0"/>
    <n v="506"/>
    <s v="120023"/>
    <s v="Estante Aruba"/>
    <x v="93"/>
    <n v="1"/>
    <n v="1"/>
  </r>
  <r>
    <n v="3"/>
    <x v="86"/>
    <x v="24"/>
    <n v="10"/>
    <n v="409"/>
    <x v="47"/>
    <x v="47"/>
    <n v="409"/>
    <s v="120011"/>
    <s v="Home Roma "/>
    <x v="94"/>
    <n v="1"/>
    <n v="1"/>
  </r>
  <r>
    <n v="3"/>
    <x v="86"/>
    <x v="24"/>
    <n v="11"/>
    <n v="970"/>
    <x v="0"/>
    <x v="0"/>
    <n v="506"/>
    <s v="120023"/>
    <s v="Estante Aruba"/>
    <x v="95"/>
    <n v="1"/>
    <n v="1"/>
  </r>
  <r>
    <n v="3"/>
    <x v="86"/>
    <x v="24"/>
    <n v="12"/>
    <n v="970"/>
    <x v="0"/>
    <x v="0"/>
    <n v="506"/>
    <s v="120023"/>
    <s v="Estante Aruba"/>
    <x v="96"/>
    <n v="1"/>
    <n v="1"/>
  </r>
  <r>
    <n v="3"/>
    <x v="86"/>
    <x v="24"/>
    <n v="13"/>
    <n v="729"/>
    <x v="66"/>
    <x v="66"/>
    <n v="729"/>
    <s v="181601"/>
    <s v="Estante Delize"/>
    <x v="97"/>
    <n v="1"/>
    <n v="1"/>
  </r>
  <r>
    <n v="3"/>
    <x v="86"/>
    <x v="24"/>
    <n v="16"/>
    <n v="970"/>
    <x v="0"/>
    <x v="0"/>
    <n v="506"/>
    <s v="120023"/>
    <s v="Estante Aruba"/>
    <x v="98"/>
    <n v="1"/>
    <n v="1"/>
  </r>
  <r>
    <n v="3"/>
    <x v="86"/>
    <x v="24"/>
    <n v="17"/>
    <n v="970"/>
    <x v="0"/>
    <x v="0"/>
    <n v="506"/>
    <s v="120023"/>
    <s v="Estante Aruba"/>
    <x v="99"/>
    <n v="1"/>
    <n v="1"/>
  </r>
  <r>
    <n v="3"/>
    <x v="86"/>
    <x v="24"/>
    <n v="18"/>
    <n v="824"/>
    <x v="1"/>
    <x v="1"/>
    <n v="824"/>
    <s v="181756"/>
    <s v="Rack Line (New Zero)"/>
    <x v="100"/>
    <n v="1"/>
    <n v="1"/>
  </r>
  <r>
    <n v="3"/>
    <x v="87"/>
    <x v="24"/>
    <n v="14"/>
    <n v="700"/>
    <x v="67"/>
    <x v="67"/>
    <n v="700"/>
    <s v="181626"/>
    <s v="Comedor francia 6+1"/>
    <x v="101"/>
    <n v="1"/>
    <n v="1"/>
  </r>
  <r>
    <n v="3"/>
    <x v="88"/>
    <x v="24"/>
    <n v="1"/>
    <n v="970"/>
    <x v="0"/>
    <x v="0"/>
    <n v="506"/>
    <s v="120023"/>
    <s v="Estante Aruba"/>
    <x v="102"/>
    <n v="1"/>
    <n v="1"/>
  </r>
  <r>
    <n v="3"/>
    <x v="88"/>
    <x v="24"/>
    <n v="2"/>
    <n v="638"/>
    <x v="22"/>
    <x v="22"/>
    <n v="638"/>
    <s v="181551"/>
    <s v="Home Ipanema 1.80 "/>
    <x v="103"/>
    <n v="1"/>
    <n v="1"/>
  </r>
  <r>
    <n v="3"/>
    <x v="88"/>
    <x v="24"/>
    <n v="3"/>
    <n v="824"/>
    <x v="1"/>
    <x v="1"/>
    <n v="824"/>
    <s v="181756"/>
    <s v="Rack Line (New Zero)"/>
    <x v="104"/>
    <n v="1"/>
    <n v="1"/>
  </r>
  <r>
    <n v="2"/>
    <x v="89"/>
    <x v="25"/>
    <n v="1"/>
    <n v="402"/>
    <x v="32"/>
    <x v="32"/>
    <n v="402"/>
    <s v="161010"/>
    <s v="Escritorio Cali artico"/>
    <x v="105"/>
    <n v="1"/>
    <n v="1"/>
  </r>
  <r>
    <n v="29"/>
    <x v="90"/>
    <x v="26"/>
    <n v="1"/>
    <n v="829"/>
    <x v="68"/>
    <x v="68"/>
    <n v="829"/>
    <s v="181708"/>
    <s v="ZAPATERA TRIPLE FICUS"/>
    <x v="106"/>
    <n v="1"/>
    <n v="1"/>
  </r>
  <r>
    <n v="29"/>
    <x v="91"/>
    <x v="27"/>
    <n v="1"/>
    <n v="836"/>
    <x v="69"/>
    <x v="69"/>
    <n v="836"/>
    <s v="181705"/>
    <s v="MESA DE COMEDOR CON EXTENCION CANELA"/>
    <x v="107"/>
    <n v="1"/>
    <n v="1"/>
  </r>
  <r>
    <n v="29"/>
    <x v="92"/>
    <x v="27"/>
    <n v="2"/>
    <n v="829"/>
    <x v="68"/>
    <x v="68"/>
    <n v="829"/>
    <s v="181708"/>
    <s v="ZAPATERA TRIPLE FICUS"/>
    <x v="108"/>
    <n v="1"/>
    <n v="1"/>
  </r>
  <r>
    <n v="2"/>
    <x v="93"/>
    <x v="28"/>
    <n v="3"/>
    <n v="970"/>
    <x v="0"/>
    <x v="0"/>
    <n v="506"/>
    <s v="120023"/>
    <s v="Estante Aruba"/>
    <x v="109"/>
    <n v="1"/>
    <n v="1"/>
  </r>
  <r>
    <n v="2"/>
    <x v="94"/>
    <x v="28"/>
    <n v="4"/>
    <n v="970"/>
    <x v="0"/>
    <x v="0"/>
    <n v="506"/>
    <s v="120023"/>
    <s v="Estante Aruba"/>
    <x v="110"/>
    <n v="1"/>
    <n v="1"/>
  </r>
  <r>
    <n v="2"/>
    <x v="95"/>
    <x v="28"/>
    <n v="5"/>
    <n v="401"/>
    <x v="21"/>
    <x v="21"/>
    <n v="401"/>
    <s v="161009"/>
    <s v="Escritorio Olimpia aberto - artico"/>
    <x v="111"/>
    <n v="1"/>
    <n v="1"/>
  </r>
  <r>
    <n v="2"/>
    <x v="96"/>
    <x v="28"/>
    <n v="2"/>
    <n v="970"/>
    <x v="0"/>
    <x v="0"/>
    <n v="506"/>
    <s v="120023"/>
    <s v="Estante Aruba"/>
    <x v="112"/>
    <n v="1"/>
    <n v="1"/>
  </r>
  <r>
    <n v="2"/>
    <x v="97"/>
    <x v="28"/>
    <n v="1"/>
    <n v="498"/>
    <x v="41"/>
    <x v="41"/>
    <n v="498"/>
    <s v="160121"/>
    <s v="Mesa de centro pt mad Cataño 160389"/>
    <x v="113"/>
    <n v="1"/>
    <n v="1"/>
  </r>
  <r>
    <n v="2"/>
    <x v="98"/>
    <x v="29"/>
    <n v="1"/>
    <n v="180"/>
    <x v="70"/>
    <x v="70"/>
    <n v="180"/>
    <s v="161005"/>
    <s v="Escritorio España kit castaño 1176"/>
    <x v="75"/>
    <n v="30"/>
    <n v="30"/>
  </r>
  <r>
    <n v="29"/>
    <x v="99"/>
    <x v="30"/>
    <n v="1"/>
    <n v="856"/>
    <x v="71"/>
    <x v="71"/>
    <n v="856"/>
    <s v="181718"/>
    <s v="RECIBIDOR ESPEJO MARGARITA"/>
    <x v="114"/>
    <n v="1"/>
    <n v="1"/>
  </r>
  <r>
    <n v="4"/>
    <x v="100"/>
    <x v="31"/>
    <n v="1"/>
    <n v="13"/>
    <x v="13"/>
    <x v="13"/>
    <n v="13"/>
    <s v="110301"/>
    <s v="Bar de Canto Puerto Montt Tabaco"/>
    <x v="115"/>
    <n v="1"/>
    <n v="1"/>
  </r>
  <r>
    <n v="4"/>
    <x v="101"/>
    <x v="32"/>
    <n v="1"/>
    <n v="401"/>
    <x v="21"/>
    <x v="21"/>
    <n v="401"/>
    <s v="161009"/>
    <s v="Escritorio Olimpia aberto - artico"/>
    <x v="116"/>
    <n v="1"/>
    <n v="1"/>
  </r>
  <r>
    <n v="4"/>
    <x v="102"/>
    <x v="32"/>
    <n v="2"/>
    <n v="401"/>
    <x v="21"/>
    <x v="21"/>
    <n v="401"/>
    <s v="161009"/>
    <s v="Escritorio Olimpia aberto - artico"/>
    <x v="117"/>
    <n v="1"/>
    <n v="1"/>
  </r>
  <r>
    <n v="8"/>
    <x v="103"/>
    <x v="33"/>
    <n v="1"/>
    <n v="182"/>
    <x v="72"/>
    <x v="72"/>
    <n v="182"/>
    <s v="161007"/>
    <s v="Escritorio Malta 2 cajones 1171"/>
    <x v="118"/>
    <n v="1"/>
    <n v="1"/>
  </r>
  <r>
    <n v="8"/>
    <x v="104"/>
    <x v="33"/>
    <n v="2"/>
    <n v="702"/>
    <x v="26"/>
    <x v="26"/>
    <n v="702"/>
    <s v="181628"/>
    <s v="Juego de 2 andres  1+4"/>
    <x v="119"/>
    <n v="1"/>
    <n v="1"/>
  </r>
  <r>
    <n v="8"/>
    <x v="105"/>
    <x v="33"/>
    <n v="3"/>
    <n v="403"/>
    <x v="27"/>
    <x v="27"/>
    <n v="403"/>
    <s v="161011"/>
    <s v="Escritorio Curitiba artico"/>
    <x v="120"/>
    <n v="1"/>
    <n v="1"/>
  </r>
  <r>
    <n v="6"/>
    <x v="106"/>
    <x v="34"/>
    <n v="1"/>
    <n v="818"/>
    <x v="73"/>
    <x v="73"/>
    <n v="818"/>
    <s v="181749"/>
    <s v="RACK MAYA"/>
    <x v="121"/>
    <n v="1"/>
    <n v="1"/>
  </r>
  <r>
    <n v="6"/>
    <x v="107"/>
    <x v="34"/>
    <n v="2"/>
    <n v="401"/>
    <x v="21"/>
    <x v="21"/>
    <n v="401"/>
    <s v="161009"/>
    <s v="Escritorio Olimpia aberto - artico"/>
    <x v="122"/>
    <n v="1"/>
    <n v="1"/>
  </r>
  <r>
    <n v="2"/>
    <x v="108"/>
    <x v="35"/>
    <n v="1"/>
    <n v="179"/>
    <x v="7"/>
    <x v="7"/>
    <n v="179"/>
    <s v="161004"/>
    <s v="Escritorio Nazca artico 1215"/>
    <x v="123"/>
    <n v="1"/>
    <n v="1"/>
  </r>
  <r>
    <n v="6"/>
    <x v="109"/>
    <x v="36"/>
    <n v="3"/>
    <n v="141"/>
    <x v="9"/>
    <x v="9"/>
    <n v="141"/>
    <s v="165504"/>
    <s v="Tabla de planchar Florence bco 55002"/>
    <x v="124"/>
    <n v="1"/>
    <n v="1"/>
  </r>
  <r>
    <n v="6"/>
    <x v="110"/>
    <x v="36"/>
    <n v="1"/>
    <n v="700"/>
    <x v="67"/>
    <x v="67"/>
    <n v="700"/>
    <s v="181626"/>
    <s v="Comedor francia 6+1"/>
    <x v="125"/>
    <n v="1"/>
    <n v="1"/>
  </r>
  <r>
    <n v="6"/>
    <x v="111"/>
    <x v="36"/>
    <n v="2"/>
    <n v="887"/>
    <x v="74"/>
    <x v="74"/>
    <n v="887"/>
    <s v="181814"/>
    <s v="Rack Bravo (BR33)"/>
    <x v="126"/>
    <n v="1"/>
    <n v="1"/>
  </r>
  <r>
    <n v="9"/>
    <x v="112"/>
    <x v="37"/>
    <n v="1"/>
    <n v="905"/>
    <x v="39"/>
    <x v="39"/>
    <n v="905"/>
    <s v="181876"/>
    <s v="RACK STAR (QUARTZ)"/>
    <x v="127"/>
    <n v="1"/>
    <n v="1"/>
  </r>
  <r>
    <n v="9"/>
    <x v="113"/>
    <x v="38"/>
    <n v="5"/>
    <n v="809"/>
    <x v="61"/>
    <x v="61"/>
    <n v="809"/>
    <s v="181759"/>
    <s v="Rack Ovalle"/>
    <x v="128"/>
    <n v="1"/>
    <n v="1"/>
  </r>
  <r>
    <n v="9"/>
    <x v="114"/>
    <x v="38"/>
    <n v="6"/>
    <n v="641"/>
    <x v="20"/>
    <x v="20"/>
    <n v="641"/>
    <s v="181554"/>
    <s v="Mesa Para TV Puerto Rico"/>
    <x v="129"/>
    <n v="1"/>
    <n v="1"/>
  </r>
  <r>
    <n v="9"/>
    <x v="115"/>
    <x v="38"/>
    <n v="2"/>
    <n v="674"/>
    <x v="23"/>
    <x v="23"/>
    <n v="674"/>
    <s v="181595"/>
    <s v="Home Deneb"/>
    <x v="130"/>
    <n v="1"/>
    <n v="1"/>
  </r>
  <r>
    <n v="9"/>
    <x v="116"/>
    <x v="38"/>
    <n v="3"/>
    <n v="632"/>
    <x v="75"/>
    <x v="75"/>
    <n v="632"/>
    <s v="181545A"/>
    <s v="Respaldo Celaya"/>
    <x v="131"/>
    <n v="1"/>
    <n v="1"/>
  </r>
  <r>
    <n v="9"/>
    <x v="117"/>
    <x v="38"/>
    <n v="4"/>
    <n v="474"/>
    <x v="30"/>
    <x v="30"/>
    <n v="474"/>
    <s v="120013"/>
    <s v="Mesa para tv MDP Montana Nat - Bco glas"/>
    <x v="132"/>
    <n v="1"/>
    <n v="1"/>
  </r>
  <r>
    <n v="9"/>
    <x v="118"/>
    <x v="38"/>
    <n v="1"/>
    <n v="639"/>
    <x v="15"/>
    <x v="15"/>
    <n v="639"/>
    <s v="181552"/>
    <s v="Home Lara 1.35 "/>
    <x v="133"/>
    <n v="1"/>
    <n v="1"/>
  </r>
  <r>
    <n v="9"/>
    <x v="119"/>
    <x v="39"/>
    <n v="1"/>
    <n v="674"/>
    <x v="23"/>
    <x v="23"/>
    <n v="674"/>
    <s v="181595"/>
    <s v="Home Deneb"/>
    <x v="134"/>
    <n v="1"/>
    <n v="1"/>
  </r>
  <r>
    <n v="9"/>
    <x v="114"/>
    <x v="39"/>
    <n v="2"/>
    <n v="970"/>
    <x v="0"/>
    <x v="0"/>
    <n v="506"/>
    <s v="120023"/>
    <s v="Estante Aruba"/>
    <x v="135"/>
    <n v="1"/>
    <n v="1"/>
  </r>
  <r>
    <n v="9"/>
    <x v="114"/>
    <x v="39"/>
    <n v="3"/>
    <n v="401"/>
    <x v="21"/>
    <x v="21"/>
    <n v="401"/>
    <s v="161009"/>
    <s v="Escritorio Olimpia aberto - artico"/>
    <x v="136"/>
    <n v="1"/>
    <n v="1"/>
  </r>
  <r>
    <n v="9"/>
    <x v="114"/>
    <x v="39"/>
    <n v="4"/>
    <n v="674"/>
    <x v="23"/>
    <x v="23"/>
    <n v="674"/>
    <s v="181595"/>
    <s v="Home Deneb"/>
    <x v="137"/>
    <n v="1"/>
    <n v="1"/>
  </r>
  <r>
    <n v="9"/>
    <x v="114"/>
    <x v="39"/>
    <n v="5"/>
    <n v="905"/>
    <x v="39"/>
    <x v="39"/>
    <n v="905"/>
    <s v="181876"/>
    <s v="RACK STAR (QUARTZ)"/>
    <x v="138"/>
    <n v="1"/>
    <n v="1"/>
  </r>
  <r>
    <n v="9"/>
    <x v="114"/>
    <x v="39"/>
    <n v="6"/>
    <n v="970"/>
    <x v="0"/>
    <x v="0"/>
    <n v="506"/>
    <s v="120023"/>
    <s v="Estante Aruba"/>
    <x v="139"/>
    <n v="1"/>
    <n v="1"/>
  </r>
  <r>
    <n v="9"/>
    <x v="114"/>
    <x v="39"/>
    <n v="7"/>
    <n v="970"/>
    <x v="0"/>
    <x v="0"/>
    <n v="506"/>
    <s v="120023"/>
    <s v="Estante Aruba"/>
    <x v="140"/>
    <n v="1"/>
    <n v="1"/>
  </r>
  <r>
    <n v="2"/>
    <x v="120"/>
    <x v="40"/>
    <n v="5"/>
    <n v="181"/>
    <x v="76"/>
    <x v="76"/>
    <n v="181"/>
    <s v="161006"/>
    <s v="Escritorio Lindoia artico/turquesa 1194"/>
    <x v="141"/>
    <n v="2"/>
    <n v="2"/>
  </r>
  <r>
    <n v="2"/>
    <x v="121"/>
    <x v="40"/>
    <n v="6"/>
    <n v="401"/>
    <x v="21"/>
    <x v="21"/>
    <n v="401"/>
    <s v="161009"/>
    <s v="Escritorio Olimpia aberto - artico"/>
    <x v="142"/>
    <n v="1"/>
    <n v="1"/>
  </r>
  <r>
    <n v="2"/>
    <x v="122"/>
    <x v="40"/>
    <n v="2"/>
    <n v="181"/>
    <x v="76"/>
    <x v="76"/>
    <n v="181"/>
    <s v="161006"/>
    <s v="Escritorio Lindoia artico/turquesa 1194"/>
    <x v="143"/>
    <n v="1"/>
    <n v="1"/>
  </r>
  <r>
    <n v="2"/>
    <x v="123"/>
    <x v="40"/>
    <n v="3"/>
    <n v="181"/>
    <x v="76"/>
    <x v="76"/>
    <n v="181"/>
    <s v="161006"/>
    <s v="Escritorio Lindoia artico/turquesa 1194"/>
    <x v="144"/>
    <n v="1"/>
    <n v="1"/>
  </r>
  <r>
    <n v="2"/>
    <x v="124"/>
    <x v="40"/>
    <n v="4"/>
    <n v="181"/>
    <x v="76"/>
    <x v="76"/>
    <n v="181"/>
    <s v="161006"/>
    <s v="Escritorio Lindoia artico/turquesa 1194"/>
    <x v="145"/>
    <n v="1"/>
    <n v="1"/>
  </r>
  <r>
    <n v="2"/>
    <x v="125"/>
    <x v="40"/>
    <n v="1"/>
    <n v="403"/>
    <x v="27"/>
    <x v="27"/>
    <n v="403"/>
    <s v="161011"/>
    <s v="Escritorio Curitiba artico"/>
    <x v="146"/>
    <n v="1"/>
    <n v="1"/>
  </r>
  <r>
    <n v="1"/>
    <x v="126"/>
    <x v="41"/>
    <n v="1"/>
    <n v="878"/>
    <x v="77"/>
    <x v="77"/>
    <n v="362"/>
    <s v="170778"/>
    <s v="Rack Arterra rov tx - rov tx 52080"/>
    <x v="75"/>
    <n v="12"/>
    <n v="12"/>
  </r>
  <r>
    <n v="1"/>
    <x v="126"/>
    <x v="41"/>
    <n v="2"/>
    <n v="617"/>
    <x v="78"/>
    <x v="78"/>
    <n v="617"/>
    <s v="181530"/>
    <s v="Lavaplatos 80 Izquierdo C/Reb Blanco Notavel"/>
    <x v="77"/>
    <n v="12"/>
    <n v="12"/>
  </r>
  <r>
    <n v="24"/>
    <x v="127"/>
    <x v="42"/>
    <n v="1"/>
    <n v="813"/>
    <x v="79"/>
    <x v="79"/>
    <n v="813"/>
    <s v="181782"/>
    <s v="Kit Yara 160 (181638) +  Alacena (181641)"/>
    <x v="147"/>
    <n v="1"/>
    <n v="1"/>
  </r>
  <r>
    <n v="24"/>
    <x v="128"/>
    <x v="42"/>
    <n v="4"/>
    <n v="813"/>
    <x v="79"/>
    <x v="79"/>
    <n v="813"/>
    <s v="181782"/>
    <s v="Kit Yara 160 (181638) +  Alacena (181641)"/>
    <x v="148"/>
    <n v="1"/>
    <n v="1"/>
  </r>
  <r>
    <n v="24"/>
    <x v="129"/>
    <x v="42"/>
    <n v="2"/>
    <n v="813"/>
    <x v="79"/>
    <x v="79"/>
    <n v="813"/>
    <s v="181782"/>
    <s v="Kit Yara 160 (181638) +  Alacena (181641)"/>
    <x v="149"/>
    <n v="1"/>
    <n v="1"/>
  </r>
  <r>
    <n v="8"/>
    <x v="130"/>
    <x v="43"/>
    <n v="1"/>
    <n v="632"/>
    <x v="75"/>
    <x v="75"/>
    <n v="632"/>
    <s v="181545A"/>
    <s v="Respaldo Celaya"/>
    <x v="150"/>
    <n v="1"/>
    <n v="1"/>
  </r>
  <r>
    <n v="8"/>
    <x v="131"/>
    <x v="43"/>
    <n v="2"/>
    <n v="382"/>
    <x v="50"/>
    <x v="50"/>
    <n v="382"/>
    <s v="165690"/>
    <s v="Cocina Flavia teka - brown"/>
    <x v="151"/>
    <n v="1"/>
    <n v="1"/>
  </r>
  <r>
    <n v="8"/>
    <x v="131"/>
    <x v="43"/>
    <n v="3"/>
    <n v="632"/>
    <x v="75"/>
    <x v="75"/>
    <n v="632"/>
    <s v="181545A"/>
    <s v="Respaldo Celaya"/>
    <x v="150"/>
    <n v="1"/>
    <n v="1"/>
  </r>
  <r>
    <n v="29"/>
    <x v="132"/>
    <x v="44"/>
    <n v="1"/>
    <n v="563"/>
    <x v="80"/>
    <x v="80"/>
    <n v="563"/>
    <s v="130269"/>
    <s v="Rack basculante Nordico"/>
    <x v="152"/>
    <n v="12"/>
    <n v="0"/>
  </r>
  <r>
    <n v="29"/>
    <x v="132"/>
    <x v="44"/>
    <n v="2"/>
    <n v="564"/>
    <x v="81"/>
    <x v="81"/>
    <n v="564"/>
    <s v="130270"/>
    <s v="Mesa TV Nordico"/>
    <x v="76"/>
    <n v="18"/>
    <n v="0"/>
  </r>
  <r>
    <n v="29"/>
    <x v="132"/>
    <x v="44"/>
    <n v="3"/>
    <n v="565"/>
    <x v="82"/>
    <x v="82"/>
    <n v="565"/>
    <s v="130271"/>
    <s v="Mesa de centro Nordico"/>
    <x v="77"/>
    <n v="6"/>
    <n v="0"/>
  </r>
  <r>
    <n v="29"/>
    <x v="132"/>
    <x v="44"/>
    <n v="4"/>
    <n v="683"/>
    <x v="44"/>
    <x v="44"/>
    <n v="683"/>
    <s v="181609"/>
    <s v="Poltrona Magno"/>
    <x v="75"/>
    <n v="240"/>
    <n v="100"/>
  </r>
  <r>
    <n v="29"/>
    <x v="132"/>
    <x v="44"/>
    <n v="5"/>
    <n v="828"/>
    <x v="83"/>
    <x v="83"/>
    <n v="828"/>
    <s v="181733"/>
    <s v="RESPALDO ELLE"/>
    <x v="153"/>
    <n v="16"/>
    <n v="0"/>
  </r>
  <r>
    <n v="29"/>
    <x v="132"/>
    <x v="44"/>
    <n v="6"/>
    <n v="799"/>
    <x v="84"/>
    <x v="84"/>
    <n v="799"/>
    <s v="181738"/>
    <s v="MESA DE CENTRO ROSTCK"/>
    <x v="154"/>
    <n v="900"/>
    <n v="0"/>
  </r>
  <r>
    <n v="29"/>
    <x v="132"/>
    <x v="44"/>
    <n v="7"/>
    <n v="800"/>
    <x v="85"/>
    <x v="85"/>
    <n v="800"/>
    <s v="181739"/>
    <s v="RACK CHEMNITZ"/>
    <x v="155"/>
    <n v="864"/>
    <n v="0"/>
  </r>
  <r>
    <n v="29"/>
    <x v="132"/>
    <x v="44"/>
    <n v="8"/>
    <n v="967"/>
    <x v="46"/>
    <x v="46"/>
    <n v="967"/>
    <s v="181935"/>
    <s v="Kit Cocina 80 Paula + Cubierta + Griferia"/>
    <x v="156"/>
    <n v="30"/>
    <n v="0"/>
  </r>
  <r>
    <n v="4"/>
    <x v="133"/>
    <x v="45"/>
    <n v="3"/>
    <n v="499"/>
    <x v="86"/>
    <x v="86"/>
    <n v="564"/>
    <s v="130270"/>
    <s v="Mesa TV Nordico"/>
    <x v="157"/>
    <n v="1"/>
    <n v="1"/>
  </r>
  <r>
    <n v="4"/>
    <x v="134"/>
    <x v="45"/>
    <n v="4"/>
    <n v="467"/>
    <x v="87"/>
    <x v="87"/>
    <n v="467"/>
    <s v="140684"/>
    <s v="Mesa de centro VIVA REF:909  COLORADO"/>
    <x v="158"/>
    <n v="1"/>
    <n v="1"/>
  </r>
  <r>
    <n v="4"/>
    <x v="135"/>
    <x v="45"/>
    <n v="5"/>
    <n v="592"/>
    <x v="88"/>
    <x v="88"/>
    <n v="592"/>
    <s v="130298"/>
    <s v="Lavaplato 120 eco importado bco"/>
    <x v="159"/>
    <n v="1"/>
    <n v="1"/>
  </r>
  <r>
    <n v="4"/>
    <x v="136"/>
    <x v="45"/>
    <n v="1"/>
    <n v="400"/>
    <x v="89"/>
    <x v="89"/>
    <n v="400"/>
    <s v="161008"/>
    <s v="Escritorio Fenix Artico"/>
    <x v="160"/>
    <n v="1"/>
    <n v="1"/>
  </r>
  <r>
    <n v="4"/>
    <x v="137"/>
    <x v="45"/>
    <n v="2"/>
    <n v="141"/>
    <x v="9"/>
    <x v="9"/>
    <n v="141"/>
    <s v="165504"/>
    <s v="Tabla de planchar Florence bco 55002"/>
    <x v="161"/>
    <n v="1"/>
    <n v="1"/>
  </r>
  <r>
    <n v="6"/>
    <x v="138"/>
    <x v="46"/>
    <n v="1"/>
    <n v="400"/>
    <x v="89"/>
    <x v="89"/>
    <n v="400"/>
    <s v="161008"/>
    <s v="Escritorio Fenix Artico"/>
    <x v="162"/>
    <n v="1"/>
    <n v="1"/>
  </r>
  <r>
    <n v="6"/>
    <x v="138"/>
    <x v="46"/>
    <n v="2"/>
    <n v="402"/>
    <x v="32"/>
    <x v="32"/>
    <n v="402"/>
    <s v="161010"/>
    <s v="Escritorio Cali artico"/>
    <x v="162"/>
    <n v="1"/>
    <n v="1"/>
  </r>
  <r>
    <n v="6"/>
    <x v="139"/>
    <x v="46"/>
    <n v="3"/>
    <n v="179"/>
    <x v="7"/>
    <x v="7"/>
    <n v="179"/>
    <s v="161004"/>
    <s v="Escritorio Nazca artico 1215"/>
    <x v="163"/>
    <n v="1"/>
    <n v="1"/>
  </r>
  <r>
    <n v="6"/>
    <x v="140"/>
    <x v="46"/>
    <n v="4"/>
    <n v="179"/>
    <x v="7"/>
    <x v="7"/>
    <n v="179"/>
    <s v="161004"/>
    <s v="Escritorio Nazca artico 1215"/>
    <x v="164"/>
    <n v="1"/>
    <n v="1"/>
  </r>
  <r>
    <n v="1"/>
    <x v="141"/>
    <x v="47"/>
    <n v="1"/>
    <n v="878"/>
    <x v="77"/>
    <x v="77"/>
    <n v="362"/>
    <s v="170778"/>
    <s v="Rack Arterra rov tx - rov tx 52080"/>
    <x v="75"/>
    <n v="52"/>
    <n v="52"/>
  </r>
  <r>
    <n v="1"/>
    <x v="141"/>
    <x v="47"/>
    <n v="2"/>
    <n v="618"/>
    <x v="90"/>
    <x v="90"/>
    <n v="618"/>
    <s v="181531"/>
    <s v="Lavaplatos 100 Derecho C/Reb Blanco Notavel"/>
    <x v="152"/>
    <n v="18"/>
    <n v="18"/>
  </r>
  <r>
    <n v="1"/>
    <x v="141"/>
    <x v="47"/>
    <n v="3"/>
    <n v="1103"/>
    <x v="91"/>
    <x v="91"/>
    <n v="1103"/>
    <s v="182075"/>
    <s v="Kit Lavaplatos 80 Salmar Izquierdo"/>
    <x v="77"/>
    <n v="24"/>
    <n v="24"/>
  </r>
  <r>
    <n v="1"/>
    <x v="141"/>
    <x v="47"/>
    <n v="4"/>
    <n v="1100"/>
    <x v="92"/>
    <x v="92"/>
    <n v="1100"/>
    <s v="182076"/>
    <s v="Kit Lavaplatos 80 Salmar Derecho"/>
    <x v="76"/>
    <n v="30"/>
    <n v="30"/>
  </r>
  <r>
    <n v="1"/>
    <x v="141"/>
    <x v="47"/>
    <n v="5"/>
    <n v="620"/>
    <x v="93"/>
    <x v="93"/>
    <n v="1105"/>
    <s v="182080"/>
    <s v="Kit Lavaplatos 120 Salmar Derecho"/>
    <x v="155"/>
    <n v="30"/>
    <n v="30"/>
  </r>
  <r>
    <n v="9"/>
    <x v="142"/>
    <x v="48"/>
    <n v="2"/>
    <n v="809"/>
    <x v="61"/>
    <x v="61"/>
    <n v="809"/>
    <s v="181759"/>
    <s v="Rack Ovalle"/>
    <x v="165"/>
    <n v="1"/>
    <n v="1"/>
  </r>
  <r>
    <n v="9"/>
    <x v="143"/>
    <x v="48"/>
    <n v="1"/>
    <n v="935"/>
    <x v="94"/>
    <x v="94"/>
    <n v="935"/>
    <s v="181809"/>
    <s v="Juego Comedor Valencia"/>
    <x v="166"/>
    <n v="1"/>
    <n v="1"/>
  </r>
  <r>
    <n v="9"/>
    <x v="142"/>
    <x v="49"/>
    <n v="3"/>
    <n v="809"/>
    <x v="61"/>
    <x v="61"/>
    <n v="809"/>
    <s v="181759"/>
    <s v="Rack Ovalle"/>
    <x v="167"/>
    <n v="1"/>
    <n v="1"/>
  </r>
  <r>
    <n v="9"/>
    <x v="144"/>
    <x v="49"/>
    <n v="1"/>
    <n v="871"/>
    <x v="95"/>
    <x v="95"/>
    <n v="871"/>
    <s v="181815"/>
    <s v="Poltrona Roxana 1 cuerpo"/>
    <x v="168"/>
    <n v="2"/>
    <n v="2"/>
  </r>
  <r>
    <n v="9"/>
    <x v="143"/>
    <x v="49"/>
    <n v="2"/>
    <n v="887"/>
    <x v="74"/>
    <x v="74"/>
    <n v="887"/>
    <s v="181814"/>
    <s v="Rack Bravo (BR33)"/>
    <x v="169"/>
    <n v="1"/>
    <n v="1"/>
  </r>
  <r>
    <n v="9"/>
    <x v="145"/>
    <x v="49"/>
    <n v="4"/>
    <n v="584"/>
    <x v="96"/>
    <x v="96"/>
    <n v="584"/>
    <s v="130290"/>
    <s v="Rack New Montana bco"/>
    <x v="170"/>
    <n v="1"/>
    <n v="1"/>
  </r>
  <r>
    <n v="23"/>
    <x v="146"/>
    <x v="50"/>
    <n v="1"/>
    <n v="717"/>
    <x v="97"/>
    <x v="97"/>
    <n v="717"/>
    <s v="181643"/>
    <s v="Sofa 2 cuerpos catalina"/>
    <x v="34"/>
    <n v="1"/>
    <n v="1"/>
  </r>
  <r>
    <n v="9"/>
    <x v="147"/>
    <x v="51"/>
    <n v="1"/>
    <n v="745"/>
    <x v="2"/>
    <x v="2"/>
    <n v="745"/>
    <s v="181685"/>
    <s v="Closet Anastasia (Ex Capelinha) "/>
    <x v="171"/>
    <n v="1"/>
    <n v="1"/>
  </r>
  <r>
    <n v="3"/>
    <x v="148"/>
    <x v="52"/>
    <n v="8"/>
    <n v="506"/>
    <x v="98"/>
    <x v="98"/>
    <n v="506"/>
    <s v="120023"/>
    <s v="Estante Aruba"/>
    <x v="172"/>
    <n v="1"/>
    <n v="0"/>
  </r>
  <r>
    <n v="3"/>
    <x v="148"/>
    <x v="52"/>
    <n v="9"/>
    <n v="506"/>
    <x v="98"/>
    <x v="98"/>
    <n v="506"/>
    <s v="120023"/>
    <s v="Estante Aruba"/>
    <x v="173"/>
    <n v="1"/>
    <n v="0"/>
  </r>
  <r>
    <n v="3"/>
    <x v="148"/>
    <x v="52"/>
    <n v="10"/>
    <n v="506"/>
    <x v="98"/>
    <x v="98"/>
    <n v="506"/>
    <s v="120023"/>
    <s v="Estante Aruba"/>
    <x v="174"/>
    <n v="1"/>
    <n v="0"/>
  </r>
  <r>
    <n v="3"/>
    <x v="148"/>
    <x v="52"/>
    <n v="11"/>
    <n v="506"/>
    <x v="98"/>
    <x v="98"/>
    <n v="506"/>
    <s v="120023"/>
    <s v="Estante Aruba"/>
    <x v="175"/>
    <n v="1"/>
    <n v="0"/>
  </r>
  <r>
    <n v="8"/>
    <x v="149"/>
    <x v="53"/>
    <n v="2"/>
    <n v="403"/>
    <x v="27"/>
    <x v="27"/>
    <n v="403"/>
    <s v="161011"/>
    <s v="Escritorio Curitiba artico"/>
    <x v="120"/>
    <n v="1"/>
    <n v="1"/>
  </r>
  <r>
    <n v="8"/>
    <x v="150"/>
    <x v="53"/>
    <n v="1"/>
    <n v="787"/>
    <x v="99"/>
    <x v="99"/>
    <n v="787"/>
    <s v="181697"/>
    <s v="RESPALDO SINAI (UN REGRUESO A LO LARGO)"/>
    <x v="176"/>
    <n v="1"/>
    <n v="1"/>
  </r>
  <r>
    <n v="8"/>
    <x v="151"/>
    <x v="54"/>
    <n v="1"/>
    <n v="865"/>
    <x v="58"/>
    <x v="58"/>
    <n v="405"/>
    <s v="165368"/>
    <s v="Comoda Dinamo 4C + 1P"/>
    <x v="81"/>
    <n v="13"/>
    <n v="13"/>
  </r>
  <r>
    <n v="8"/>
    <x v="151"/>
    <x v="54"/>
    <n v="2"/>
    <n v="281"/>
    <x v="59"/>
    <x v="59"/>
    <n v="281"/>
    <s v="165677"/>
    <s v="Cocina 6 puertas kit 2306 bco negro"/>
    <x v="82"/>
    <n v="11"/>
    <n v="11"/>
  </r>
  <r>
    <n v="8"/>
    <x v="151"/>
    <x v="54"/>
    <n v="3"/>
    <n v="968"/>
    <x v="100"/>
    <x v="100"/>
    <n v="653"/>
    <s v="181566"/>
    <s v="Depensa 1 Puerta alta"/>
    <x v="83"/>
    <n v="55"/>
    <n v="55"/>
  </r>
  <r>
    <n v="8"/>
    <x v="151"/>
    <x v="54"/>
    <n v="4"/>
    <n v="1106"/>
    <x v="101"/>
    <x v="101"/>
    <n v="655"/>
    <s v="181568"/>
    <s v="Kit Cocina Catalina Blanco/Nogal"/>
    <x v="177"/>
    <n v="29"/>
    <n v="29"/>
  </r>
  <r>
    <n v="8"/>
    <x v="151"/>
    <x v="54"/>
    <n v="5"/>
    <n v="809"/>
    <x v="61"/>
    <x v="61"/>
    <n v="809"/>
    <s v="181759"/>
    <s v="Rack Ovalle"/>
    <x v="84"/>
    <n v="11"/>
    <n v="11"/>
  </r>
  <r>
    <n v="8"/>
    <x v="152"/>
    <x v="55"/>
    <n v="1"/>
    <n v="824"/>
    <x v="1"/>
    <x v="1"/>
    <n v="824"/>
    <s v="181756"/>
    <s v="Rack Line (New Zero)"/>
    <x v="178"/>
    <n v="3"/>
    <n v="3"/>
  </r>
  <r>
    <n v="8"/>
    <x v="153"/>
    <x v="55"/>
    <n v="2"/>
    <n v="865"/>
    <x v="58"/>
    <x v="58"/>
    <n v="405"/>
    <s v="165368"/>
    <s v="Comoda Dinamo 4C + 1P"/>
    <x v="81"/>
    <n v="33"/>
    <n v="33"/>
  </r>
  <r>
    <n v="8"/>
    <x v="153"/>
    <x v="55"/>
    <n v="3"/>
    <n v="968"/>
    <x v="100"/>
    <x v="100"/>
    <n v="653"/>
    <s v="181566"/>
    <s v="Depensa 1 Puerta alta"/>
    <x v="83"/>
    <n v="41"/>
    <n v="41"/>
  </r>
  <r>
    <n v="8"/>
    <x v="153"/>
    <x v="55"/>
    <n v="4"/>
    <n v="1106"/>
    <x v="101"/>
    <x v="101"/>
    <n v="655"/>
    <s v="181568"/>
    <s v="Kit Cocina Catalina Blanco/Nogal"/>
    <x v="177"/>
    <n v="18"/>
    <n v="18"/>
  </r>
  <r>
    <n v="8"/>
    <x v="153"/>
    <x v="55"/>
    <n v="5"/>
    <n v="809"/>
    <x v="61"/>
    <x v="61"/>
    <n v="809"/>
    <s v="181759"/>
    <s v="Rack Ovalle"/>
    <x v="84"/>
    <n v="13"/>
    <n v="13"/>
  </r>
  <r>
    <n v="3"/>
    <x v="154"/>
    <x v="56"/>
    <n v="1"/>
    <n v="13"/>
    <x v="13"/>
    <x v="13"/>
    <n v="13"/>
    <s v="110301"/>
    <s v="Bar de Canto Puerto Montt Tabaco"/>
    <x v="179"/>
    <n v="1"/>
    <n v="1"/>
  </r>
  <r>
    <n v="3"/>
    <x v="154"/>
    <x v="56"/>
    <n v="2"/>
    <n v="409"/>
    <x v="47"/>
    <x v="47"/>
    <n v="409"/>
    <s v="120011"/>
    <s v="Home Roma "/>
    <x v="180"/>
    <n v="1"/>
    <n v="1"/>
  </r>
  <r>
    <n v="3"/>
    <x v="154"/>
    <x v="56"/>
    <n v="3"/>
    <n v="409"/>
    <x v="47"/>
    <x v="47"/>
    <n v="409"/>
    <s v="120011"/>
    <s v="Home Roma "/>
    <x v="181"/>
    <n v="1"/>
    <n v="1"/>
  </r>
  <r>
    <n v="3"/>
    <x v="154"/>
    <x v="56"/>
    <n v="4"/>
    <n v="506"/>
    <x v="98"/>
    <x v="98"/>
    <n v="506"/>
    <s v="120023"/>
    <s v="Estante Aruba"/>
    <x v="182"/>
    <n v="1"/>
    <n v="0"/>
  </r>
  <r>
    <n v="3"/>
    <x v="154"/>
    <x v="56"/>
    <n v="5"/>
    <n v="824"/>
    <x v="1"/>
    <x v="1"/>
    <n v="824"/>
    <s v="181756"/>
    <s v="Rack Line (New Zero)"/>
    <x v="183"/>
    <n v="1"/>
    <n v="1"/>
  </r>
  <r>
    <n v="3"/>
    <x v="154"/>
    <x v="56"/>
    <n v="7"/>
    <n v="824"/>
    <x v="1"/>
    <x v="1"/>
    <n v="824"/>
    <s v="181756"/>
    <s v="Rack Line (New Zero)"/>
    <x v="184"/>
    <n v="1"/>
    <n v="1"/>
  </r>
  <r>
    <n v="3"/>
    <x v="155"/>
    <x v="56"/>
    <n v="6"/>
    <n v="818"/>
    <x v="73"/>
    <x v="73"/>
    <n v="818"/>
    <s v="181749"/>
    <s v="RACK MAYA"/>
    <x v="185"/>
    <n v="1"/>
    <n v="1"/>
  </r>
  <r>
    <n v="2"/>
    <x v="156"/>
    <x v="57"/>
    <n v="6"/>
    <n v="966"/>
    <x v="102"/>
    <x v="102"/>
    <n v="966"/>
    <s v="181930"/>
    <s v="Comedor Italia Auria 1+4"/>
    <x v="186"/>
    <n v="1"/>
    <n v="1"/>
  </r>
  <r>
    <n v="2"/>
    <x v="157"/>
    <x v="57"/>
    <n v="7"/>
    <n v="700"/>
    <x v="67"/>
    <x v="67"/>
    <n v="700"/>
    <s v="181626"/>
    <s v="Comedor francia 6+1"/>
    <x v="187"/>
    <n v="1"/>
    <n v="1"/>
  </r>
  <r>
    <n v="2"/>
    <x v="158"/>
    <x v="57"/>
    <n v="8"/>
    <n v="808"/>
    <x v="103"/>
    <x v="103"/>
    <n v="808"/>
    <s v="181757"/>
    <s v="Estante Lima"/>
    <x v="188"/>
    <n v="1"/>
    <n v="1"/>
  </r>
  <r>
    <n v="2"/>
    <x v="159"/>
    <x v="57"/>
    <n v="1"/>
    <n v="873"/>
    <x v="104"/>
    <x v="104"/>
    <n v="873"/>
    <s v="181817"/>
    <s v="Poltrona Belen 1 cuerpo"/>
    <x v="189"/>
    <n v="1"/>
    <n v="1"/>
  </r>
  <r>
    <n v="2"/>
    <x v="160"/>
    <x v="57"/>
    <n v="2"/>
    <n v="506"/>
    <x v="98"/>
    <x v="98"/>
    <n v="506"/>
    <s v="120023"/>
    <s v="Estante Aruba"/>
    <x v="190"/>
    <n v="1"/>
    <n v="0"/>
  </r>
  <r>
    <n v="2"/>
    <x v="161"/>
    <x v="57"/>
    <n v="3"/>
    <n v="181"/>
    <x v="76"/>
    <x v="76"/>
    <n v="181"/>
    <s v="161006"/>
    <s v="Escritorio Lindoia artico/turquesa 1194"/>
    <x v="191"/>
    <n v="1"/>
    <n v="1"/>
  </r>
  <r>
    <n v="2"/>
    <x v="162"/>
    <x v="57"/>
    <n v="4"/>
    <n v="632"/>
    <x v="75"/>
    <x v="75"/>
    <n v="632"/>
    <s v="181545A"/>
    <s v="Respaldo Celaya"/>
    <x v="192"/>
    <n v="1"/>
    <n v="1"/>
  </r>
  <r>
    <n v="2"/>
    <x v="163"/>
    <x v="57"/>
    <n v="5"/>
    <n v="403"/>
    <x v="27"/>
    <x v="27"/>
    <n v="403"/>
    <s v="161011"/>
    <s v="Escritorio Curitiba artico"/>
    <x v="193"/>
    <n v="1"/>
    <n v="1"/>
  </r>
  <r>
    <n v="29"/>
    <x v="164"/>
    <x v="58"/>
    <n v="7"/>
    <n v="956"/>
    <x v="105"/>
    <x v="105"/>
    <n v="956"/>
    <s v="181875"/>
    <s v="MESA CENTRO PLUS"/>
    <x v="194"/>
    <n v="1"/>
    <n v="0"/>
  </r>
  <r>
    <n v="29"/>
    <x v="165"/>
    <x v="58"/>
    <n v="1"/>
    <n v="849"/>
    <x v="42"/>
    <x v="42"/>
    <n v="849"/>
    <s v="181794"/>
    <s v="Gabinete Burgos"/>
    <x v="195"/>
    <n v="1"/>
    <n v="1"/>
  </r>
  <r>
    <n v="29"/>
    <x v="166"/>
    <x v="58"/>
    <n v="2"/>
    <n v="753"/>
    <x v="106"/>
    <x v="106"/>
    <n v="753"/>
    <s v="181681"/>
    <s v="Estante Grande Barcelona"/>
    <x v="196"/>
    <n v="1"/>
    <n v="1"/>
  </r>
  <r>
    <n v="29"/>
    <x v="167"/>
    <x v="58"/>
    <n v="3"/>
    <n v="836"/>
    <x v="69"/>
    <x v="69"/>
    <n v="836"/>
    <s v="181705"/>
    <s v="MESA DE COMEDOR CON EXTENCION CANELA"/>
    <x v="197"/>
    <n v="1"/>
    <n v="1"/>
  </r>
  <r>
    <n v="29"/>
    <x v="168"/>
    <x v="58"/>
    <n v="4"/>
    <n v="829"/>
    <x v="68"/>
    <x v="68"/>
    <n v="829"/>
    <s v="181708"/>
    <s v="ZAPATERA TRIPLE FICUS"/>
    <x v="198"/>
    <n v="1"/>
    <n v="1"/>
  </r>
  <r>
    <n v="29"/>
    <x v="169"/>
    <x v="58"/>
    <n v="5"/>
    <n v="853"/>
    <x v="107"/>
    <x v="107"/>
    <n v="853"/>
    <s v="181777"/>
    <s v="Cabinet Single Isis"/>
    <x v="199"/>
    <n v="1"/>
    <n v="1"/>
  </r>
  <r>
    <n v="29"/>
    <x v="170"/>
    <x v="58"/>
    <n v="6"/>
    <n v="833"/>
    <x v="108"/>
    <x v="108"/>
    <n v="833"/>
    <s v="181713"/>
    <s v="VELADOR 2 CAJONES DALIAS"/>
    <x v="200"/>
    <n v="3"/>
    <n v="3"/>
  </r>
  <r>
    <n v="29"/>
    <x v="171"/>
    <x v="59"/>
    <n v="5"/>
    <n v="853"/>
    <x v="107"/>
    <x v="107"/>
    <n v="853"/>
    <s v="181777"/>
    <s v="Cabinet Single Isis"/>
    <x v="201"/>
    <n v="1"/>
    <n v="1"/>
  </r>
  <r>
    <n v="29"/>
    <x v="172"/>
    <x v="59"/>
    <n v="6"/>
    <n v="849"/>
    <x v="42"/>
    <x v="42"/>
    <n v="849"/>
    <s v="181794"/>
    <s v="Gabinete Burgos"/>
    <x v="202"/>
    <n v="1"/>
    <n v="1"/>
  </r>
  <r>
    <n v="29"/>
    <x v="173"/>
    <x v="59"/>
    <n v="1"/>
    <n v="853"/>
    <x v="107"/>
    <x v="107"/>
    <n v="853"/>
    <s v="181777"/>
    <s v="Cabinet Single Isis"/>
    <x v="203"/>
    <n v="1"/>
    <n v="1"/>
  </r>
  <r>
    <n v="29"/>
    <x v="174"/>
    <x v="59"/>
    <n v="2"/>
    <n v="853"/>
    <x v="107"/>
    <x v="107"/>
    <n v="853"/>
    <s v="181777"/>
    <s v="Cabinet Single Isis"/>
    <x v="204"/>
    <n v="1"/>
    <n v="1"/>
  </r>
  <r>
    <n v="29"/>
    <x v="175"/>
    <x v="59"/>
    <n v="3"/>
    <n v="856"/>
    <x v="71"/>
    <x v="71"/>
    <n v="856"/>
    <s v="181718"/>
    <s v="RECIBIDOR ESPEJO MARGARITA"/>
    <x v="205"/>
    <n v="1"/>
    <n v="1"/>
  </r>
  <r>
    <n v="29"/>
    <x v="176"/>
    <x v="59"/>
    <n v="4"/>
    <n v="853"/>
    <x v="107"/>
    <x v="107"/>
    <n v="853"/>
    <s v="181777"/>
    <s v="Cabinet Single Isis"/>
    <x v="206"/>
    <n v="1"/>
    <n v="1"/>
  </r>
  <r>
    <n v="2"/>
    <x v="177"/>
    <x v="60"/>
    <n v="11"/>
    <n v="347"/>
    <x v="40"/>
    <x v="40"/>
    <n v="347"/>
    <s v="160116"/>
    <s v="Mesa de Centro Classic rustico malbec"/>
    <x v="207"/>
    <n v="1"/>
    <n v="1"/>
  </r>
  <r>
    <n v="9"/>
    <x v="24"/>
    <x v="5"/>
    <n v="12"/>
    <n v="674"/>
    <x v="23"/>
    <x v="23"/>
    <n v="674"/>
    <s v="181595"/>
    <s v="Home Deneb"/>
    <x v="208"/>
    <n v="1"/>
    <n v="1"/>
  </r>
  <r>
    <n v="9"/>
    <x v="178"/>
    <x v="5"/>
    <n v="2"/>
    <n v="774"/>
    <x v="109"/>
    <x v="109"/>
    <n v="774"/>
    <s v="181696"/>
    <s v="Camarote 303"/>
    <x v="209"/>
    <n v="1"/>
    <n v="0"/>
  </r>
  <r>
    <n v="9"/>
    <x v="179"/>
    <x v="5"/>
    <n v="3"/>
    <n v="774"/>
    <x v="109"/>
    <x v="109"/>
    <n v="774"/>
    <s v="181696"/>
    <s v="Camarote 303"/>
    <x v="210"/>
    <n v="1"/>
    <n v="0"/>
  </r>
  <r>
    <n v="9"/>
    <x v="180"/>
    <x v="5"/>
    <n v="4"/>
    <n v="774"/>
    <x v="109"/>
    <x v="109"/>
    <n v="774"/>
    <s v="181696"/>
    <s v="Camarote 303"/>
    <x v="211"/>
    <n v="1"/>
    <n v="0"/>
  </r>
  <r>
    <n v="9"/>
    <x v="181"/>
    <x v="5"/>
    <n v="1"/>
    <n v="641"/>
    <x v="20"/>
    <x v="20"/>
    <n v="641"/>
    <s v="181554"/>
    <s v="Mesa Para TV Puerto Rico"/>
    <x v="212"/>
    <n v="1"/>
    <n v="1"/>
  </r>
  <r>
    <n v="9"/>
    <x v="182"/>
    <x v="61"/>
    <n v="1"/>
    <n v="774"/>
    <x v="109"/>
    <x v="109"/>
    <n v="774"/>
    <s v="181696"/>
    <s v="Camarote 303"/>
    <x v="213"/>
    <n v="1"/>
    <n v="1"/>
  </r>
  <r>
    <n v="9"/>
    <x v="183"/>
    <x v="61"/>
    <n v="10"/>
    <n v="674"/>
    <x v="23"/>
    <x v="23"/>
    <n v="674"/>
    <s v="181595"/>
    <s v="Home Deneb"/>
    <x v="214"/>
    <n v="1"/>
    <n v="1"/>
  </r>
  <r>
    <n v="9"/>
    <x v="23"/>
    <x v="61"/>
    <n v="9"/>
    <n v="13"/>
    <x v="13"/>
    <x v="13"/>
    <n v="13"/>
    <s v="110301"/>
    <s v="Bar de Canto Puerto Montt Tabaco"/>
    <x v="215"/>
    <n v="1"/>
    <n v="1"/>
  </r>
  <r>
    <n v="9"/>
    <x v="184"/>
    <x v="61"/>
    <n v="6"/>
    <n v="970"/>
    <x v="0"/>
    <x v="0"/>
    <n v="506"/>
    <s v="120023"/>
    <s v="Estante Aruba"/>
    <x v="216"/>
    <n v="1"/>
    <n v="1"/>
  </r>
  <r>
    <n v="9"/>
    <x v="185"/>
    <x v="61"/>
    <n v="7"/>
    <n v="774"/>
    <x v="109"/>
    <x v="109"/>
    <n v="774"/>
    <s v="181696"/>
    <s v="Camarote 303"/>
    <x v="217"/>
    <n v="1"/>
    <n v="1"/>
  </r>
  <r>
    <n v="9"/>
    <x v="20"/>
    <x v="61"/>
    <n v="8"/>
    <n v="566"/>
    <x v="110"/>
    <x v="110"/>
    <n v="566"/>
    <s v="130272"/>
    <s v="Mesa lateral Nordico"/>
    <x v="218"/>
    <n v="1"/>
    <n v="1"/>
  </r>
  <r>
    <n v="9"/>
    <x v="186"/>
    <x v="61"/>
    <n v="2"/>
    <n v="774"/>
    <x v="109"/>
    <x v="109"/>
    <n v="774"/>
    <s v="181696"/>
    <s v="Camarote 303"/>
    <x v="219"/>
    <n v="1"/>
    <n v="1"/>
  </r>
  <r>
    <n v="9"/>
    <x v="187"/>
    <x v="61"/>
    <n v="3"/>
    <n v="774"/>
    <x v="109"/>
    <x v="109"/>
    <n v="774"/>
    <s v="181696"/>
    <s v="Camarote 303"/>
    <x v="220"/>
    <n v="1"/>
    <n v="1"/>
  </r>
  <r>
    <n v="9"/>
    <x v="188"/>
    <x v="61"/>
    <n v="4"/>
    <n v="774"/>
    <x v="109"/>
    <x v="109"/>
    <n v="774"/>
    <s v="181696"/>
    <s v="Camarote 303"/>
    <x v="221"/>
    <n v="1"/>
    <n v="1"/>
  </r>
  <r>
    <n v="9"/>
    <x v="189"/>
    <x v="61"/>
    <n v="5"/>
    <n v="774"/>
    <x v="109"/>
    <x v="109"/>
    <n v="774"/>
    <s v="181696"/>
    <s v="Camarote 303"/>
    <x v="222"/>
    <n v="1"/>
    <n v="1"/>
  </r>
  <r>
    <n v="9"/>
    <x v="190"/>
    <x v="62"/>
    <n v="8"/>
    <n v="774"/>
    <x v="109"/>
    <x v="109"/>
    <n v="774"/>
    <s v="181696"/>
    <s v="Camarote 303"/>
    <x v="223"/>
    <n v="1"/>
    <n v="1"/>
  </r>
  <r>
    <n v="9"/>
    <x v="191"/>
    <x v="62"/>
    <n v="9"/>
    <n v="774"/>
    <x v="109"/>
    <x v="109"/>
    <n v="774"/>
    <s v="181696"/>
    <s v="Camarote 303"/>
    <x v="224"/>
    <n v="1"/>
    <n v="1"/>
  </r>
  <r>
    <n v="9"/>
    <x v="191"/>
    <x v="62"/>
    <n v="10"/>
    <n v="774"/>
    <x v="109"/>
    <x v="109"/>
    <n v="774"/>
    <s v="181696"/>
    <s v="Camarote 303"/>
    <x v="225"/>
    <n v="1"/>
    <n v="1"/>
  </r>
  <r>
    <n v="9"/>
    <x v="191"/>
    <x v="62"/>
    <n v="11"/>
    <n v="774"/>
    <x v="109"/>
    <x v="109"/>
    <n v="774"/>
    <s v="181696"/>
    <s v="Camarote 303"/>
    <x v="226"/>
    <n v="1"/>
    <n v="1"/>
  </r>
  <r>
    <n v="9"/>
    <x v="192"/>
    <x v="62"/>
    <n v="12"/>
    <n v="774"/>
    <x v="109"/>
    <x v="109"/>
    <n v="774"/>
    <s v="181696"/>
    <s v="Camarote 303"/>
    <x v="227"/>
    <n v="1"/>
    <n v="1"/>
  </r>
  <r>
    <n v="9"/>
    <x v="193"/>
    <x v="62"/>
    <n v="7"/>
    <n v="13"/>
    <x v="13"/>
    <x v="13"/>
    <n v="13"/>
    <s v="110301"/>
    <s v="Bar de Canto Puerto Montt Tabaco"/>
    <x v="228"/>
    <n v="1"/>
    <n v="1"/>
  </r>
  <r>
    <n v="9"/>
    <x v="194"/>
    <x v="62"/>
    <n v="6"/>
    <n v="774"/>
    <x v="109"/>
    <x v="109"/>
    <n v="774"/>
    <s v="181696"/>
    <s v="Camarote 303"/>
    <x v="229"/>
    <n v="1"/>
    <n v="1"/>
  </r>
  <r>
    <n v="9"/>
    <x v="195"/>
    <x v="62"/>
    <n v="2"/>
    <n v="774"/>
    <x v="109"/>
    <x v="109"/>
    <n v="774"/>
    <s v="181696"/>
    <s v="Camarote 303"/>
    <x v="230"/>
    <n v="1"/>
    <n v="1"/>
  </r>
  <r>
    <n v="9"/>
    <x v="196"/>
    <x v="62"/>
    <n v="3"/>
    <n v="774"/>
    <x v="109"/>
    <x v="109"/>
    <n v="774"/>
    <s v="181696"/>
    <s v="Camarote 303"/>
    <x v="231"/>
    <n v="1"/>
    <n v="1"/>
  </r>
  <r>
    <n v="9"/>
    <x v="197"/>
    <x v="62"/>
    <n v="4"/>
    <n v="774"/>
    <x v="109"/>
    <x v="109"/>
    <n v="774"/>
    <s v="181696"/>
    <s v="Camarote 303"/>
    <x v="232"/>
    <n v="1"/>
    <n v="1"/>
  </r>
  <r>
    <n v="9"/>
    <x v="198"/>
    <x v="62"/>
    <n v="5"/>
    <n v="774"/>
    <x v="109"/>
    <x v="109"/>
    <n v="774"/>
    <s v="181696"/>
    <s v="Camarote 303"/>
    <x v="233"/>
    <n v="1"/>
    <n v="1"/>
  </r>
  <r>
    <n v="9"/>
    <x v="188"/>
    <x v="62"/>
    <n v="1"/>
    <n v="774"/>
    <x v="109"/>
    <x v="109"/>
    <n v="774"/>
    <s v="181696"/>
    <s v="Camarote 303"/>
    <x v="234"/>
    <n v="1"/>
    <n v="1"/>
  </r>
  <r>
    <n v="3"/>
    <x v="199"/>
    <x v="63"/>
    <n v="1"/>
    <n v="824"/>
    <x v="1"/>
    <x v="1"/>
    <n v="824"/>
    <s v="181756"/>
    <s v="Rack Line (New Zero)"/>
    <x v="235"/>
    <n v="1"/>
    <n v="1"/>
  </r>
  <r>
    <n v="3"/>
    <x v="200"/>
    <x v="63"/>
    <n v="2"/>
    <n v="638"/>
    <x v="22"/>
    <x v="22"/>
    <n v="638"/>
    <s v="181551"/>
    <s v="Home Ipanema 1.80 "/>
    <x v="236"/>
    <n v="1"/>
    <n v="1"/>
  </r>
  <r>
    <n v="3"/>
    <x v="201"/>
    <x v="63"/>
    <n v="3"/>
    <n v="970"/>
    <x v="0"/>
    <x v="0"/>
    <n v="506"/>
    <s v="120023"/>
    <s v="Estante Aruba"/>
    <x v="237"/>
    <n v="1"/>
    <n v="1"/>
  </r>
  <r>
    <n v="3"/>
    <x v="201"/>
    <x v="63"/>
    <n v="4"/>
    <n v="970"/>
    <x v="0"/>
    <x v="0"/>
    <n v="506"/>
    <s v="120023"/>
    <s v="Estante Aruba"/>
    <x v="238"/>
    <n v="1"/>
    <n v="1"/>
  </r>
  <r>
    <n v="3"/>
    <x v="201"/>
    <x v="63"/>
    <n v="5"/>
    <n v="970"/>
    <x v="0"/>
    <x v="0"/>
    <n v="506"/>
    <s v="120023"/>
    <s v="Estante Aruba"/>
    <x v="239"/>
    <n v="1"/>
    <n v="1"/>
  </r>
  <r>
    <n v="3"/>
    <x v="201"/>
    <x v="63"/>
    <n v="6"/>
    <n v="824"/>
    <x v="1"/>
    <x v="1"/>
    <n v="824"/>
    <s v="181756"/>
    <s v="Rack Line (New Zero)"/>
    <x v="240"/>
    <n v="1"/>
    <n v="1"/>
  </r>
  <r>
    <n v="3"/>
    <x v="202"/>
    <x v="64"/>
    <n v="1"/>
    <n v="590"/>
    <x v="111"/>
    <x v="111"/>
    <n v="590"/>
    <s v="130296"/>
    <s v="Lavaplato 80 eco importado bco"/>
    <x v="241"/>
    <n v="1"/>
    <n v="1"/>
  </r>
  <r>
    <n v="3"/>
    <x v="203"/>
    <x v="65"/>
    <n v="4"/>
    <n v="970"/>
    <x v="0"/>
    <x v="0"/>
    <n v="506"/>
    <s v="120023"/>
    <s v="Estante Aruba"/>
    <x v="242"/>
    <n v="1"/>
    <n v="0"/>
  </r>
  <r>
    <n v="3"/>
    <x v="203"/>
    <x v="65"/>
    <n v="15"/>
    <n v="970"/>
    <x v="0"/>
    <x v="0"/>
    <n v="506"/>
    <s v="120023"/>
    <s v="Estante Aruba"/>
    <x v="243"/>
    <n v="1"/>
    <n v="1"/>
  </r>
  <r>
    <n v="3"/>
    <x v="203"/>
    <x v="65"/>
    <n v="16"/>
    <n v="658"/>
    <x v="112"/>
    <x v="112"/>
    <n v="658"/>
    <s v="181571"/>
    <s v="RACK QUARTZ"/>
    <x v="244"/>
    <n v="1"/>
    <n v="1"/>
  </r>
  <r>
    <n v="3"/>
    <x v="203"/>
    <x v="65"/>
    <n v="18"/>
    <n v="970"/>
    <x v="0"/>
    <x v="0"/>
    <n v="506"/>
    <s v="120023"/>
    <s v="Estante Aruba"/>
    <x v="245"/>
    <n v="1"/>
    <n v="1"/>
  </r>
  <r>
    <n v="3"/>
    <x v="204"/>
    <x v="65"/>
    <n v="8"/>
    <n v="970"/>
    <x v="0"/>
    <x v="0"/>
    <n v="506"/>
    <s v="120023"/>
    <s v="Estante Aruba"/>
    <x v="246"/>
    <n v="1"/>
    <n v="0"/>
  </r>
  <r>
    <n v="3"/>
    <x v="204"/>
    <x v="65"/>
    <n v="17"/>
    <n v="970"/>
    <x v="0"/>
    <x v="0"/>
    <n v="506"/>
    <s v="120023"/>
    <s v="Estante Aruba"/>
    <x v="247"/>
    <n v="1"/>
    <n v="1"/>
  </r>
  <r>
    <n v="3"/>
    <x v="205"/>
    <x v="65"/>
    <n v="9"/>
    <n v="970"/>
    <x v="0"/>
    <x v="0"/>
    <n v="506"/>
    <s v="120023"/>
    <s v="Estante Aruba"/>
    <x v="248"/>
    <n v="1"/>
    <n v="0"/>
  </r>
  <r>
    <n v="3"/>
    <x v="205"/>
    <x v="65"/>
    <n v="19"/>
    <n v="970"/>
    <x v="0"/>
    <x v="0"/>
    <n v="506"/>
    <s v="120023"/>
    <s v="Estante Aruba"/>
    <x v="249"/>
    <n v="1"/>
    <n v="1"/>
  </r>
  <r>
    <n v="3"/>
    <x v="199"/>
    <x v="65"/>
    <n v="5"/>
    <n v="970"/>
    <x v="0"/>
    <x v="0"/>
    <n v="506"/>
    <s v="120023"/>
    <s v="Estante Aruba"/>
    <x v="250"/>
    <n v="1"/>
    <n v="1"/>
  </r>
  <r>
    <n v="3"/>
    <x v="200"/>
    <x v="65"/>
    <n v="1"/>
    <n v="409"/>
    <x v="47"/>
    <x v="47"/>
    <n v="409"/>
    <s v="120011"/>
    <s v="Home Roma "/>
    <x v="251"/>
    <n v="1"/>
    <n v="0"/>
  </r>
  <r>
    <n v="3"/>
    <x v="200"/>
    <x v="65"/>
    <n v="6"/>
    <n v="729"/>
    <x v="66"/>
    <x v="66"/>
    <n v="729"/>
    <s v="181601"/>
    <s v="Estante Delize"/>
    <x v="252"/>
    <n v="1"/>
    <n v="0"/>
  </r>
  <r>
    <n v="9"/>
    <x v="206"/>
    <x v="10"/>
    <n v="15"/>
    <n v="180"/>
    <x v="70"/>
    <x v="70"/>
    <n v="180"/>
    <s v="161005"/>
    <s v="Escritorio España kit castaño 1176"/>
    <x v="253"/>
    <n v="1"/>
    <n v="1"/>
  </r>
  <r>
    <n v="9"/>
    <x v="207"/>
    <x v="10"/>
    <n v="16"/>
    <n v="401"/>
    <x v="21"/>
    <x v="21"/>
    <n v="401"/>
    <s v="161009"/>
    <s v="Escritorio Olimpia aberto - artico"/>
    <x v="254"/>
    <n v="1"/>
    <n v="1"/>
  </r>
  <r>
    <n v="9"/>
    <x v="208"/>
    <x v="10"/>
    <n v="17"/>
    <n v="673"/>
    <x v="113"/>
    <x v="113"/>
    <n v="673"/>
    <s v="181594"/>
    <s v="Rack Alma (onix)"/>
    <x v="255"/>
    <n v="1"/>
    <n v="1"/>
  </r>
  <r>
    <n v="9"/>
    <x v="208"/>
    <x v="10"/>
    <n v="18"/>
    <n v="511"/>
    <x v="114"/>
    <x v="114"/>
    <n v="511"/>
    <s v="165879A"/>
    <s v="Bar Salamanca tabaco"/>
    <x v="256"/>
    <n v="1"/>
    <n v="1"/>
  </r>
  <r>
    <n v="9"/>
    <x v="209"/>
    <x v="10"/>
    <n v="6"/>
    <n v="701"/>
    <x v="3"/>
    <x v="3"/>
    <n v="701"/>
    <s v="181627"/>
    <s v="Juego de comedor oxford 1+6"/>
    <x v="257"/>
    <n v="1"/>
    <n v="1"/>
  </r>
  <r>
    <n v="9"/>
    <x v="210"/>
    <x v="10"/>
    <n v="7"/>
    <n v="584"/>
    <x v="96"/>
    <x v="96"/>
    <n v="584"/>
    <s v="130290"/>
    <s v="Rack New Montana bco"/>
    <x v="258"/>
    <n v="1"/>
    <n v="1"/>
  </r>
  <r>
    <n v="9"/>
    <x v="210"/>
    <x v="10"/>
    <n v="8"/>
    <n v="641"/>
    <x v="20"/>
    <x v="20"/>
    <n v="641"/>
    <s v="181554"/>
    <s v="Mesa Para TV Puerto Rico"/>
    <x v="259"/>
    <n v="1"/>
    <n v="1"/>
  </r>
  <r>
    <n v="9"/>
    <x v="210"/>
    <x v="10"/>
    <n v="9"/>
    <n v="584"/>
    <x v="96"/>
    <x v="96"/>
    <n v="584"/>
    <s v="130290"/>
    <s v="Rack New Montana bco"/>
    <x v="260"/>
    <n v="1"/>
    <n v="1"/>
  </r>
  <r>
    <n v="9"/>
    <x v="211"/>
    <x v="10"/>
    <n v="10"/>
    <n v="404"/>
    <x v="17"/>
    <x v="17"/>
    <n v="404"/>
    <s v="161012"/>
    <s v="kit dormitorio + modulo 1233 + 3017 aberto"/>
    <x v="261"/>
    <n v="1"/>
    <n v="1"/>
  </r>
  <r>
    <n v="9"/>
    <x v="212"/>
    <x v="10"/>
    <n v="11"/>
    <n v="970"/>
    <x v="0"/>
    <x v="0"/>
    <n v="506"/>
    <s v="120023"/>
    <s v="Estante Aruba"/>
    <x v="262"/>
    <n v="1"/>
    <n v="1"/>
  </r>
  <r>
    <n v="9"/>
    <x v="213"/>
    <x v="10"/>
    <n v="2"/>
    <n v="584"/>
    <x v="96"/>
    <x v="96"/>
    <n v="584"/>
    <s v="130290"/>
    <s v="Rack New Montana bco"/>
    <x v="263"/>
    <n v="1"/>
    <n v="1"/>
  </r>
  <r>
    <n v="9"/>
    <x v="214"/>
    <x v="10"/>
    <n v="3"/>
    <n v="639"/>
    <x v="15"/>
    <x v="15"/>
    <n v="639"/>
    <s v="181552"/>
    <s v="Home Lara 1.35 "/>
    <x v="264"/>
    <n v="1"/>
    <n v="1"/>
  </r>
  <r>
    <n v="9"/>
    <x v="215"/>
    <x v="10"/>
    <n v="4"/>
    <n v="611"/>
    <x v="115"/>
    <x v="115"/>
    <n v="611"/>
    <s v="181521"/>
    <s v="Poltrona Emilia"/>
    <x v="265"/>
    <n v="1"/>
    <n v="1"/>
  </r>
  <r>
    <n v="9"/>
    <x v="216"/>
    <x v="10"/>
    <n v="5"/>
    <n v="970"/>
    <x v="0"/>
    <x v="0"/>
    <n v="506"/>
    <s v="120023"/>
    <s v="Estante Aruba"/>
    <x v="266"/>
    <n v="1"/>
    <n v="1"/>
  </r>
  <r>
    <n v="9"/>
    <x v="217"/>
    <x v="10"/>
    <n v="1"/>
    <n v="584"/>
    <x v="96"/>
    <x v="96"/>
    <n v="584"/>
    <s v="130290"/>
    <s v="Rack New Montana bco"/>
    <x v="267"/>
    <n v="1"/>
    <n v="1"/>
  </r>
  <r>
    <n v="9"/>
    <x v="218"/>
    <x v="66"/>
    <n v="19"/>
    <n v="674"/>
    <x v="23"/>
    <x v="23"/>
    <n v="674"/>
    <s v="181595"/>
    <s v="Home Deneb"/>
    <x v="268"/>
    <n v="1"/>
    <n v="1"/>
  </r>
  <r>
    <n v="9"/>
    <x v="218"/>
    <x v="66"/>
    <n v="20"/>
    <n v="673"/>
    <x v="113"/>
    <x v="113"/>
    <n v="673"/>
    <s v="181594"/>
    <s v="Rack Alma (onix)"/>
    <x v="269"/>
    <n v="1"/>
    <n v="1"/>
  </r>
  <r>
    <n v="9"/>
    <x v="219"/>
    <x v="66"/>
    <n v="21"/>
    <n v="584"/>
    <x v="96"/>
    <x v="96"/>
    <n v="584"/>
    <s v="130290"/>
    <s v="Rack New Montana bco"/>
    <x v="270"/>
    <n v="1"/>
    <n v="1"/>
  </r>
  <r>
    <n v="9"/>
    <x v="219"/>
    <x v="66"/>
    <n v="22"/>
    <n v="347"/>
    <x v="40"/>
    <x v="40"/>
    <n v="347"/>
    <s v="160116"/>
    <s v="Mesa de Centro Classic rustico malbec"/>
    <x v="271"/>
    <n v="1"/>
    <n v="1"/>
  </r>
  <r>
    <n v="9"/>
    <x v="219"/>
    <x v="66"/>
    <n v="23"/>
    <n v="641"/>
    <x v="20"/>
    <x v="20"/>
    <n v="641"/>
    <s v="181554"/>
    <s v="Mesa Para TV Puerto Rico"/>
    <x v="272"/>
    <n v="1"/>
    <n v="1"/>
  </r>
  <r>
    <n v="9"/>
    <x v="219"/>
    <x v="66"/>
    <n v="24"/>
    <n v="584"/>
    <x v="96"/>
    <x v="96"/>
    <n v="584"/>
    <s v="130290"/>
    <s v="Rack New Montana bco"/>
    <x v="273"/>
    <n v="1"/>
    <n v="1"/>
  </r>
  <r>
    <n v="9"/>
    <x v="220"/>
    <x v="66"/>
    <n v="13"/>
    <n v="638"/>
    <x v="22"/>
    <x v="22"/>
    <n v="638"/>
    <s v="181551"/>
    <s v="Home Ipanema 1.80 "/>
    <x v="274"/>
    <n v="1"/>
    <n v="1"/>
  </r>
  <r>
    <n v="9"/>
    <x v="221"/>
    <x v="66"/>
    <n v="14"/>
    <n v="680"/>
    <x v="116"/>
    <x v="116"/>
    <n v="680"/>
    <s v="181600"/>
    <s v="Estante Cristal"/>
    <x v="275"/>
    <n v="1"/>
    <n v="1"/>
  </r>
  <r>
    <n v="9"/>
    <x v="221"/>
    <x v="66"/>
    <n v="15"/>
    <n v="584"/>
    <x v="96"/>
    <x v="96"/>
    <n v="584"/>
    <s v="130290"/>
    <s v="Rack New Montana bco"/>
    <x v="276"/>
    <n v="1"/>
    <n v="1"/>
  </r>
  <r>
    <n v="9"/>
    <x v="222"/>
    <x v="66"/>
    <n v="16"/>
    <n v="756"/>
    <x v="117"/>
    <x v="117"/>
    <n v="756"/>
    <s v="181688"/>
    <s v="Combo Ancud  1,2,3,4,6"/>
    <x v="277"/>
    <n v="1"/>
    <n v="1"/>
  </r>
  <r>
    <n v="9"/>
    <x v="223"/>
    <x v="66"/>
    <n v="17"/>
    <n v="404"/>
    <x v="17"/>
    <x v="17"/>
    <n v="404"/>
    <s v="161012"/>
    <s v="kit dormitorio + modulo 1233 + 3017 aberto"/>
    <x v="278"/>
    <n v="1"/>
    <n v="1"/>
  </r>
  <r>
    <n v="9"/>
    <x v="223"/>
    <x v="66"/>
    <n v="18"/>
    <n v="639"/>
    <x v="15"/>
    <x v="15"/>
    <n v="639"/>
    <s v="181552"/>
    <s v="Home Lara 1.35 "/>
    <x v="279"/>
    <n v="1"/>
    <n v="1"/>
  </r>
  <r>
    <n v="9"/>
    <x v="212"/>
    <x v="66"/>
    <n v="12"/>
    <n v="674"/>
    <x v="23"/>
    <x v="23"/>
    <n v="674"/>
    <s v="181595"/>
    <s v="Home Deneb"/>
    <x v="280"/>
    <n v="1"/>
    <n v="1"/>
  </r>
  <r>
    <n v="9"/>
    <x v="214"/>
    <x v="66"/>
    <n v="11"/>
    <n v="905"/>
    <x v="39"/>
    <x v="39"/>
    <n v="905"/>
    <s v="181876"/>
    <s v="RACK STAR (QUARTZ)"/>
    <x v="281"/>
    <n v="1"/>
    <n v="1"/>
  </r>
  <r>
    <n v="9"/>
    <x v="224"/>
    <x v="66"/>
    <n v="9"/>
    <n v="707"/>
    <x v="18"/>
    <x v="18"/>
    <n v="707"/>
    <s v="181633"/>
    <s v="Poltrona albi  "/>
    <x v="282"/>
    <n v="1"/>
    <n v="1"/>
  </r>
  <r>
    <n v="9"/>
    <x v="217"/>
    <x v="66"/>
    <n v="10"/>
    <n v="13"/>
    <x v="13"/>
    <x v="13"/>
    <n v="13"/>
    <s v="110301"/>
    <s v="Bar de Canto Puerto Montt Tabaco"/>
    <x v="283"/>
    <n v="1"/>
    <n v="1"/>
  </r>
  <r>
    <n v="9"/>
    <x v="225"/>
    <x v="66"/>
    <n v="6"/>
    <n v="13"/>
    <x v="13"/>
    <x v="13"/>
    <n v="13"/>
    <s v="110301"/>
    <s v="Bar de Canto Puerto Montt Tabaco"/>
    <x v="284"/>
    <n v="1"/>
    <n v="1"/>
  </r>
  <r>
    <n v="9"/>
    <x v="226"/>
    <x v="66"/>
    <n v="7"/>
    <n v="13"/>
    <x v="13"/>
    <x v="13"/>
    <n v="13"/>
    <s v="110301"/>
    <s v="Bar de Canto Puerto Montt Tabaco"/>
    <x v="285"/>
    <n v="1"/>
    <n v="1"/>
  </r>
  <r>
    <n v="9"/>
    <x v="227"/>
    <x v="66"/>
    <n v="8"/>
    <n v="13"/>
    <x v="13"/>
    <x v="13"/>
    <n v="13"/>
    <s v="110301"/>
    <s v="Bar de Canto Puerto Montt Tabaco"/>
    <x v="286"/>
    <n v="1"/>
    <n v="1"/>
  </r>
  <r>
    <n v="9"/>
    <x v="228"/>
    <x v="66"/>
    <n v="5"/>
    <n v="774"/>
    <x v="109"/>
    <x v="109"/>
    <n v="774"/>
    <s v="181696"/>
    <s v="Camarote 303"/>
    <x v="287"/>
    <n v="1"/>
    <n v="1"/>
  </r>
  <r>
    <n v="9"/>
    <x v="229"/>
    <x v="66"/>
    <n v="3"/>
    <n v="774"/>
    <x v="109"/>
    <x v="109"/>
    <n v="774"/>
    <s v="181696"/>
    <s v="Camarote 303"/>
    <x v="288"/>
    <n v="1"/>
    <n v="1"/>
  </r>
  <r>
    <n v="9"/>
    <x v="230"/>
    <x v="66"/>
    <n v="4"/>
    <n v="774"/>
    <x v="109"/>
    <x v="109"/>
    <n v="774"/>
    <s v="181696"/>
    <s v="Camarote 303"/>
    <x v="289"/>
    <n v="1"/>
    <n v="1"/>
  </r>
  <r>
    <n v="5"/>
    <x v="72"/>
    <x v="16"/>
    <n v="20"/>
    <n v="43"/>
    <x v="64"/>
    <x v="64"/>
    <n v="43"/>
    <s v="165639"/>
    <s v="Cocina Sheila + balcon sheila bco/griz"/>
    <x v="34"/>
    <n v="10"/>
    <n v="10"/>
  </r>
  <r>
    <n v="5"/>
    <x v="72"/>
    <x v="16"/>
    <n v="21"/>
    <n v="43"/>
    <x v="64"/>
    <x v="64"/>
    <n v="43"/>
    <s v="165639"/>
    <s v="Cocina Sheila + balcon sheila bco/griz"/>
    <x v="34"/>
    <n v="10"/>
    <n v="10"/>
  </r>
  <r>
    <n v="5"/>
    <x v="72"/>
    <x v="16"/>
    <n v="22"/>
    <n v="43"/>
    <x v="64"/>
    <x v="64"/>
    <n v="43"/>
    <s v="165639"/>
    <s v="Cocina Sheila + balcon sheila bco/griz"/>
    <x v="34"/>
    <n v="20"/>
    <n v="20"/>
  </r>
  <r>
    <n v="5"/>
    <x v="72"/>
    <x v="16"/>
    <n v="23"/>
    <n v="919"/>
    <x v="118"/>
    <x v="118"/>
    <n v="919"/>
    <s v="181850"/>
    <s v="KIT COCINA VITORIA (MAGAZIN 90)"/>
    <x v="34"/>
    <n v="10"/>
    <n v="10"/>
  </r>
  <r>
    <n v="5"/>
    <x v="72"/>
    <x v="16"/>
    <n v="24"/>
    <n v="919"/>
    <x v="118"/>
    <x v="118"/>
    <n v="919"/>
    <s v="181850"/>
    <s v="KIT COCINA VITORIA (MAGAZIN 90)"/>
    <x v="34"/>
    <n v="10"/>
    <n v="10"/>
  </r>
  <r>
    <n v="5"/>
    <x v="72"/>
    <x v="16"/>
    <n v="25"/>
    <n v="919"/>
    <x v="118"/>
    <x v="118"/>
    <n v="919"/>
    <s v="181850"/>
    <s v="KIT COCINA VITORIA (MAGAZIN 90)"/>
    <x v="34"/>
    <n v="10"/>
    <n v="10"/>
  </r>
  <r>
    <n v="5"/>
    <x v="231"/>
    <x v="67"/>
    <n v="1"/>
    <n v="367"/>
    <x v="119"/>
    <x v="119"/>
    <n v="367"/>
    <s v="165686"/>
    <s v="Balcon 2140"/>
    <x v="34"/>
    <n v="1"/>
    <n v="1"/>
  </r>
  <r>
    <n v="5"/>
    <x v="232"/>
    <x v="67"/>
    <n v="2"/>
    <n v="892"/>
    <x v="25"/>
    <x v="25"/>
    <n v="746"/>
    <s v="181662"/>
    <s v="Respaldo Monaco"/>
    <x v="34"/>
    <n v="1"/>
    <n v="1"/>
  </r>
  <r>
    <n v="3"/>
    <x v="233"/>
    <x v="68"/>
    <n v="1"/>
    <n v="970"/>
    <x v="0"/>
    <x v="0"/>
    <n v="506"/>
    <s v="120023"/>
    <s v="Estante Aruba"/>
    <x v="290"/>
    <n v="1"/>
    <n v="1"/>
  </r>
  <r>
    <n v="4"/>
    <x v="234"/>
    <x v="69"/>
    <n v="1"/>
    <n v="700"/>
    <x v="67"/>
    <x v="67"/>
    <n v="700"/>
    <s v="181626"/>
    <s v="Comedor francia 6+1"/>
    <x v="291"/>
    <n v="1"/>
    <n v="1"/>
  </r>
  <r>
    <n v="4"/>
    <x v="235"/>
    <x v="70"/>
    <n v="8"/>
    <n v="781"/>
    <x v="6"/>
    <x v="6"/>
    <n v="781"/>
    <s v="181660"/>
    <s v="COMEDOR TOLEDO 1+6"/>
    <x v="292"/>
    <n v="1"/>
    <n v="1"/>
  </r>
  <r>
    <n v="4"/>
    <x v="236"/>
    <x v="70"/>
    <n v="2"/>
    <n v="702"/>
    <x v="26"/>
    <x v="26"/>
    <n v="702"/>
    <s v="181628"/>
    <s v="Juego de 2 andres  1+4"/>
    <x v="293"/>
    <n v="1"/>
    <n v="1"/>
  </r>
  <r>
    <n v="4"/>
    <x v="237"/>
    <x v="70"/>
    <n v="3"/>
    <n v="905"/>
    <x v="39"/>
    <x v="39"/>
    <n v="794"/>
    <s v="181721"/>
    <s v="New Rack Porto bello "/>
    <x v="294"/>
    <n v="1"/>
    <n v="1"/>
  </r>
  <r>
    <n v="4"/>
    <x v="238"/>
    <x v="70"/>
    <n v="4"/>
    <n v="704"/>
    <x v="12"/>
    <x v="12"/>
    <n v="704"/>
    <s v="181630"/>
    <s v="Juego de comedor sofia 1+6"/>
    <x v="295"/>
    <n v="1"/>
    <n v="1"/>
  </r>
  <r>
    <n v="4"/>
    <x v="239"/>
    <x v="70"/>
    <n v="5"/>
    <n v="700"/>
    <x v="67"/>
    <x v="67"/>
    <n v="700"/>
    <s v="181626"/>
    <s v="Comedor francia 6+1"/>
    <x v="296"/>
    <n v="1"/>
    <n v="1"/>
  </r>
  <r>
    <n v="4"/>
    <x v="240"/>
    <x v="70"/>
    <n v="6"/>
    <n v="729"/>
    <x v="66"/>
    <x v="66"/>
    <n v="729"/>
    <s v="181601"/>
    <s v="Estante Delize"/>
    <x v="297"/>
    <n v="1"/>
    <n v="1"/>
  </r>
  <r>
    <n v="4"/>
    <x v="241"/>
    <x v="70"/>
    <n v="7"/>
    <n v="534"/>
    <x v="24"/>
    <x v="24"/>
    <n v="534"/>
    <s v="175118"/>
    <s v="Respaldo Oregon 2plz + 2 veladores"/>
    <x v="298"/>
    <n v="1"/>
    <n v="1"/>
  </r>
  <r>
    <n v="4"/>
    <x v="242"/>
    <x v="70"/>
    <n v="1"/>
    <n v="584"/>
    <x v="96"/>
    <x v="96"/>
    <n v="584"/>
    <s v="130290"/>
    <s v="Rack New Montana bco"/>
    <x v="299"/>
    <n v="1"/>
    <n v="1"/>
  </r>
  <r>
    <n v="4"/>
    <x v="243"/>
    <x v="71"/>
    <n v="1"/>
    <n v="641"/>
    <x v="20"/>
    <x v="20"/>
    <n v="641"/>
    <s v="181554"/>
    <s v="Mesa Para TV Puerto Rico"/>
    <x v="300"/>
    <n v="1"/>
    <n v="1"/>
  </r>
  <r>
    <n v="4"/>
    <x v="244"/>
    <x v="71"/>
    <n v="2"/>
    <n v="702"/>
    <x v="26"/>
    <x v="26"/>
    <n v="702"/>
    <s v="181628"/>
    <s v="Juego de 2 andres  1+4"/>
    <x v="301"/>
    <n v="1"/>
    <n v="1"/>
  </r>
  <r>
    <n v="4"/>
    <x v="245"/>
    <x v="71"/>
    <n v="3"/>
    <n v="632"/>
    <x v="75"/>
    <x v="75"/>
    <n v="632"/>
    <s v="181545A"/>
    <s v="Respaldo Celaya"/>
    <x v="302"/>
    <n v="1"/>
    <n v="1"/>
  </r>
  <r>
    <n v="4"/>
    <x v="246"/>
    <x v="71"/>
    <n v="4"/>
    <n v="141"/>
    <x v="9"/>
    <x v="9"/>
    <n v="141"/>
    <s v="165504"/>
    <s v="Tabla de planchar Florence bco 55002"/>
    <x v="303"/>
    <n v="1"/>
    <n v="1"/>
  </r>
  <r>
    <n v="6"/>
    <x v="247"/>
    <x v="72"/>
    <n v="2"/>
    <n v="181"/>
    <x v="76"/>
    <x v="76"/>
    <n v="181"/>
    <s v="161006"/>
    <s v="Escritorio Lindoia artico/turquesa 1194"/>
    <x v="304"/>
    <n v="1"/>
    <n v="1"/>
  </r>
  <r>
    <n v="6"/>
    <x v="248"/>
    <x v="72"/>
    <n v="1"/>
    <n v="809"/>
    <x v="61"/>
    <x v="61"/>
    <n v="809"/>
    <s v="181759"/>
    <s v="Rack Ovalle"/>
    <x v="305"/>
    <n v="1"/>
    <n v="1"/>
  </r>
  <r>
    <n v="6"/>
    <x v="249"/>
    <x v="73"/>
    <n v="3"/>
    <n v="714"/>
    <x v="28"/>
    <x v="28"/>
    <n v="714"/>
    <s v="181640"/>
    <s v="Kit Magazin 120"/>
    <x v="306"/>
    <n v="1"/>
    <n v="1"/>
  </r>
  <r>
    <n v="6"/>
    <x v="249"/>
    <x v="73"/>
    <n v="4"/>
    <n v="787"/>
    <x v="99"/>
    <x v="99"/>
    <n v="787"/>
    <s v="181697"/>
    <s v="RESPALDO SINAI (UN REGRUESO A LO LARGO)"/>
    <x v="306"/>
    <n v="1"/>
    <n v="1"/>
  </r>
  <r>
    <n v="6"/>
    <x v="250"/>
    <x v="73"/>
    <n v="1"/>
    <n v="938"/>
    <x v="120"/>
    <x v="120"/>
    <n v="938"/>
    <s v="181838"/>
    <s v="Panel Niteroi"/>
    <x v="307"/>
    <n v="1"/>
    <n v="1"/>
  </r>
  <r>
    <n v="6"/>
    <x v="251"/>
    <x v="73"/>
    <n v="2"/>
    <n v="402"/>
    <x v="32"/>
    <x v="32"/>
    <n v="402"/>
    <s v="161010"/>
    <s v="Escritorio Cali artico"/>
    <x v="308"/>
    <n v="1"/>
    <n v="1"/>
  </r>
  <r>
    <n v="9"/>
    <x v="252"/>
    <x v="74"/>
    <n v="1"/>
    <n v="905"/>
    <x v="39"/>
    <x v="39"/>
    <n v="905"/>
    <s v="181876"/>
    <s v="RACK STAR (QUARTZ)"/>
    <x v="309"/>
    <n v="1"/>
    <n v="1"/>
  </r>
  <r>
    <n v="9"/>
    <x v="253"/>
    <x v="75"/>
    <n v="1"/>
    <n v="638"/>
    <x v="22"/>
    <x v="22"/>
    <n v="638"/>
    <s v="181551"/>
    <s v="Home Ipanema 1.80 "/>
    <x v="310"/>
    <n v="1"/>
    <n v="1"/>
  </r>
  <r>
    <n v="9"/>
    <x v="252"/>
    <x v="76"/>
    <n v="4"/>
    <n v="970"/>
    <x v="0"/>
    <x v="0"/>
    <n v="506"/>
    <s v="120023"/>
    <s v="Estante Aruba"/>
    <x v="311"/>
    <n v="1"/>
    <n v="1"/>
  </r>
  <r>
    <n v="9"/>
    <x v="254"/>
    <x v="76"/>
    <n v="5"/>
    <n v="638"/>
    <x v="22"/>
    <x v="22"/>
    <n v="638"/>
    <s v="181551"/>
    <s v="Home Ipanema 1.80 "/>
    <x v="312"/>
    <n v="1"/>
    <n v="1"/>
  </r>
  <r>
    <n v="9"/>
    <x v="254"/>
    <x v="76"/>
    <n v="6"/>
    <n v="639"/>
    <x v="15"/>
    <x v="15"/>
    <n v="639"/>
    <s v="181552"/>
    <s v="Home Lara 1.35 "/>
    <x v="313"/>
    <n v="1"/>
    <n v="1"/>
  </r>
  <r>
    <n v="9"/>
    <x v="255"/>
    <x v="76"/>
    <n v="7"/>
    <n v="673"/>
    <x v="113"/>
    <x v="113"/>
    <n v="673"/>
    <s v="181594"/>
    <s v="Rack Alma (onix)"/>
    <x v="314"/>
    <n v="1"/>
    <n v="1"/>
  </r>
  <r>
    <n v="9"/>
    <x v="256"/>
    <x v="76"/>
    <n v="8"/>
    <n v="970"/>
    <x v="0"/>
    <x v="0"/>
    <n v="506"/>
    <s v="120023"/>
    <s v="Estante Aruba"/>
    <x v="315"/>
    <n v="1"/>
    <n v="1"/>
  </r>
  <r>
    <n v="9"/>
    <x v="257"/>
    <x v="76"/>
    <n v="9"/>
    <n v="638"/>
    <x v="22"/>
    <x v="22"/>
    <n v="638"/>
    <s v="181551"/>
    <s v="Home Ipanema 1.80 "/>
    <x v="316"/>
    <n v="1"/>
    <n v="1"/>
  </r>
  <r>
    <n v="9"/>
    <x v="257"/>
    <x v="76"/>
    <n v="10"/>
    <n v="638"/>
    <x v="22"/>
    <x v="22"/>
    <n v="638"/>
    <s v="181551"/>
    <s v="Home Ipanema 1.80 "/>
    <x v="317"/>
    <n v="1"/>
    <n v="1"/>
  </r>
  <r>
    <n v="9"/>
    <x v="257"/>
    <x v="76"/>
    <n v="11"/>
    <n v="781"/>
    <x v="6"/>
    <x v="6"/>
    <n v="781"/>
    <s v="181660"/>
    <s v="COMEDOR TOLEDO 1+6"/>
    <x v="318"/>
    <n v="1"/>
    <n v="1"/>
  </r>
  <r>
    <n v="9"/>
    <x v="258"/>
    <x v="76"/>
    <n v="1"/>
    <n v="774"/>
    <x v="109"/>
    <x v="109"/>
    <n v="774"/>
    <s v="181696"/>
    <s v="Camarote 303"/>
    <x v="319"/>
    <n v="1"/>
    <n v="1"/>
  </r>
  <r>
    <n v="9"/>
    <x v="259"/>
    <x v="76"/>
    <n v="2"/>
    <n v="970"/>
    <x v="0"/>
    <x v="0"/>
    <n v="506"/>
    <s v="120023"/>
    <s v="Estante Aruba"/>
    <x v="320"/>
    <n v="1"/>
    <n v="1"/>
  </r>
  <r>
    <n v="23"/>
    <x v="260"/>
    <x v="77"/>
    <n v="1"/>
    <n v="818"/>
    <x v="73"/>
    <x v="73"/>
    <n v="818"/>
    <s v="181749"/>
    <s v="RACK MAYA"/>
    <x v="34"/>
    <n v="1"/>
    <n v="1"/>
  </r>
  <r>
    <n v="6"/>
    <x v="261"/>
    <x v="78"/>
    <n v="1"/>
    <n v="970"/>
    <x v="0"/>
    <x v="0"/>
    <n v="506"/>
    <s v="120023"/>
    <s v="Estante Aruba"/>
    <x v="23"/>
    <n v="2"/>
    <n v="2"/>
  </r>
  <r>
    <n v="6"/>
    <x v="261"/>
    <x v="78"/>
    <n v="2"/>
    <n v="824"/>
    <x v="1"/>
    <x v="1"/>
    <n v="824"/>
    <s v="181756"/>
    <s v="Rack Line (New Zero)"/>
    <x v="23"/>
    <n v="3"/>
    <n v="3"/>
  </r>
  <r>
    <n v="25"/>
    <x v="262"/>
    <x v="79"/>
    <n v="1"/>
    <n v="722"/>
    <x v="121"/>
    <x v="121"/>
    <n v="722"/>
    <s v="181578"/>
    <s v="Asador electrico giratorio M1/30-50HZ 14859"/>
    <x v="34"/>
    <n v="14"/>
    <n v="14"/>
  </r>
  <r>
    <n v="9"/>
    <x v="263"/>
    <x v="80"/>
    <n v="1"/>
    <n v="905"/>
    <x v="39"/>
    <x v="39"/>
    <n v="905"/>
    <s v="181876"/>
    <s v="RACK STAR (QUARTZ)"/>
    <x v="321"/>
    <n v="1"/>
    <n v="1"/>
  </r>
  <r>
    <n v="24"/>
    <x v="264"/>
    <x v="81"/>
    <n v="3"/>
    <n v="861"/>
    <x v="122"/>
    <x v="122"/>
    <n v="861"/>
    <s v="181802"/>
    <s v="RESPALDO ELQUI"/>
    <x v="34"/>
    <n v="200"/>
    <n v="200"/>
  </r>
  <r>
    <n v="24"/>
    <x v="75"/>
    <x v="81"/>
    <n v="1"/>
    <n v="862"/>
    <x v="123"/>
    <x v="123"/>
    <n v="862"/>
    <s v="181803"/>
    <s v="RESPALDO LIMARI"/>
    <x v="34"/>
    <n v="80"/>
    <n v="80"/>
  </r>
  <r>
    <n v="24"/>
    <x v="75"/>
    <x v="81"/>
    <n v="2"/>
    <n v="864"/>
    <x v="124"/>
    <x v="124"/>
    <n v="864"/>
    <s v="181808"/>
    <s v="Set 2 veladores Serena"/>
    <x v="34"/>
    <n v="100"/>
    <n v="100"/>
  </r>
  <r>
    <n v="4"/>
    <x v="265"/>
    <x v="82"/>
    <n v="6"/>
    <n v="704"/>
    <x v="12"/>
    <x v="12"/>
    <n v="704"/>
    <s v="181630"/>
    <s v="Juego de comedor sofia 1+6"/>
    <x v="322"/>
    <n v="1"/>
    <n v="1"/>
  </r>
  <r>
    <n v="4"/>
    <x v="266"/>
    <x v="82"/>
    <n v="1"/>
    <n v="877"/>
    <x v="49"/>
    <x v="49"/>
    <n v="325"/>
    <s v="170761"/>
    <s v="Rack Royal ipe tx/ rovere"/>
    <x v="323"/>
    <n v="1"/>
    <n v="1"/>
  </r>
  <r>
    <n v="4"/>
    <x v="267"/>
    <x v="82"/>
    <n v="2"/>
    <n v="703"/>
    <x v="10"/>
    <x v="10"/>
    <n v="703"/>
    <s v="181629"/>
    <s v="Juego de comedor lauren 1+2+6"/>
    <x v="324"/>
    <n v="1"/>
    <n v="1"/>
  </r>
  <r>
    <n v="4"/>
    <x v="268"/>
    <x v="82"/>
    <n v="3"/>
    <n v="13"/>
    <x v="13"/>
    <x v="13"/>
    <n v="13"/>
    <s v="110301"/>
    <s v="Bar de Canto Puerto Montt Tabaco"/>
    <x v="325"/>
    <n v="1"/>
    <n v="1"/>
  </r>
  <r>
    <n v="4"/>
    <x v="269"/>
    <x v="82"/>
    <n v="4"/>
    <n v="584"/>
    <x v="96"/>
    <x v="96"/>
    <n v="584"/>
    <s v="130290"/>
    <s v="Rack New Montana bco"/>
    <x v="326"/>
    <n v="1"/>
    <n v="1"/>
  </r>
  <r>
    <n v="4"/>
    <x v="270"/>
    <x v="82"/>
    <n v="5"/>
    <n v="674"/>
    <x v="23"/>
    <x v="23"/>
    <n v="674"/>
    <s v="181595"/>
    <s v="Home Deneb"/>
    <x v="327"/>
    <n v="1"/>
    <n v="1"/>
  </r>
  <r>
    <n v="4"/>
    <x v="271"/>
    <x v="83"/>
    <n v="2"/>
    <n v="702"/>
    <x v="26"/>
    <x v="26"/>
    <n v="702"/>
    <s v="181628"/>
    <s v="Juego de 2 andres  1+4"/>
    <x v="328"/>
    <n v="1"/>
    <n v="1"/>
  </r>
  <r>
    <n v="4"/>
    <x v="272"/>
    <x v="83"/>
    <n v="3"/>
    <n v="935"/>
    <x v="94"/>
    <x v="94"/>
    <n v="935"/>
    <s v="181809"/>
    <s v="Juego Comedor Valencia"/>
    <x v="329"/>
    <n v="1"/>
    <n v="1"/>
  </r>
  <r>
    <n v="4"/>
    <x v="273"/>
    <x v="83"/>
    <n v="4"/>
    <n v="501"/>
    <x v="5"/>
    <x v="5"/>
    <n v="501"/>
    <s v="170782"/>
    <s v="Rack atacama pt mad castaño 160295"/>
    <x v="330"/>
    <n v="1"/>
    <n v="1"/>
  </r>
  <r>
    <n v="4"/>
    <x v="274"/>
    <x v="83"/>
    <n v="5"/>
    <n v="500"/>
    <x v="125"/>
    <x v="125"/>
    <n v="500"/>
    <s v="160122"/>
    <s v="Mesa canto pt mad Castaño 160388"/>
    <x v="331"/>
    <n v="1"/>
    <n v="1"/>
  </r>
  <r>
    <n v="4"/>
    <x v="275"/>
    <x v="83"/>
    <n v="1"/>
    <n v="632"/>
    <x v="75"/>
    <x v="75"/>
    <n v="632"/>
    <s v="181545A"/>
    <s v="Respaldo Celaya"/>
    <x v="332"/>
    <n v="1"/>
    <n v="1"/>
  </r>
  <r>
    <n v="23"/>
    <x v="276"/>
    <x v="84"/>
    <n v="1"/>
    <n v="781"/>
    <x v="6"/>
    <x v="6"/>
    <n v="781"/>
    <s v="181660"/>
    <s v="COMEDOR TOLEDO 1+6"/>
    <x v="34"/>
    <n v="1"/>
    <n v="1"/>
  </r>
  <r>
    <n v="8"/>
    <x v="277"/>
    <x v="85"/>
    <n v="1"/>
    <n v="182"/>
    <x v="72"/>
    <x v="72"/>
    <n v="182"/>
    <s v="161007"/>
    <s v="Escritorio Malta 2 cajones 1171"/>
    <x v="118"/>
    <n v="2"/>
    <n v="2"/>
  </r>
  <r>
    <n v="8"/>
    <x v="278"/>
    <x v="85"/>
    <n v="2"/>
    <n v="404"/>
    <x v="17"/>
    <x v="17"/>
    <n v="404"/>
    <s v="161012"/>
    <s v="kit dormitorio + modulo 1233 + 3017 aberto"/>
    <x v="333"/>
    <n v="1"/>
    <n v="1"/>
  </r>
  <r>
    <n v="8"/>
    <x v="279"/>
    <x v="85"/>
    <n v="3"/>
    <n v="705"/>
    <x v="126"/>
    <x v="126"/>
    <n v="705"/>
    <s v="181631"/>
    <s v="Juego de comedor 6+1 dinamarca"/>
    <x v="334"/>
    <n v="1"/>
    <n v="1"/>
  </r>
  <r>
    <n v="8"/>
    <x v="279"/>
    <x v="85"/>
    <n v="4"/>
    <n v="735"/>
    <x v="62"/>
    <x v="62"/>
    <n v="735"/>
    <s v="181666"/>
    <s v="COMODA 5 CAJONES GLADYS (PILAR)"/>
    <x v="335"/>
    <n v="1"/>
    <n v="1"/>
  </r>
  <r>
    <n v="6"/>
    <x v="280"/>
    <x v="86"/>
    <n v="1"/>
    <n v="809"/>
    <x v="61"/>
    <x v="61"/>
    <n v="809"/>
    <s v="181759"/>
    <s v="Rack Ovalle"/>
    <x v="336"/>
    <n v="1"/>
    <n v="1"/>
  </r>
  <r>
    <n v="9"/>
    <x v="281"/>
    <x v="87"/>
    <n v="12"/>
    <n v="970"/>
    <x v="0"/>
    <x v="0"/>
    <n v="506"/>
    <s v="120023"/>
    <s v="Estante Aruba"/>
    <x v="337"/>
    <n v="1"/>
    <n v="1"/>
  </r>
  <r>
    <n v="9"/>
    <x v="281"/>
    <x v="87"/>
    <n v="13"/>
    <n v="402"/>
    <x v="32"/>
    <x v="32"/>
    <n v="402"/>
    <s v="161010"/>
    <s v="Escritorio Cali artico"/>
    <x v="338"/>
    <n v="1"/>
    <n v="1"/>
  </r>
  <r>
    <n v="9"/>
    <x v="282"/>
    <x v="87"/>
    <n v="14"/>
    <n v="970"/>
    <x v="0"/>
    <x v="0"/>
    <n v="506"/>
    <s v="120023"/>
    <s v="Estante Aruba"/>
    <x v="339"/>
    <n v="1"/>
    <n v="1"/>
  </r>
  <r>
    <n v="9"/>
    <x v="282"/>
    <x v="87"/>
    <n v="15"/>
    <n v="402"/>
    <x v="32"/>
    <x v="32"/>
    <n v="402"/>
    <s v="161010"/>
    <s v="Escritorio Cali artico"/>
    <x v="340"/>
    <n v="1"/>
    <n v="1"/>
  </r>
  <r>
    <n v="9"/>
    <x v="283"/>
    <x v="87"/>
    <n v="1"/>
    <n v="401"/>
    <x v="21"/>
    <x v="21"/>
    <n v="401"/>
    <s v="161009"/>
    <s v="Escritorio Olimpia aberto - artico"/>
    <x v="341"/>
    <n v="1"/>
    <n v="1"/>
  </r>
  <r>
    <n v="9"/>
    <x v="283"/>
    <x v="87"/>
    <n v="2"/>
    <n v="400"/>
    <x v="89"/>
    <x v="89"/>
    <n v="400"/>
    <s v="161008"/>
    <s v="Escritorio Fenix Artico"/>
    <x v="342"/>
    <n v="1"/>
    <n v="1"/>
  </r>
  <r>
    <n v="9"/>
    <x v="284"/>
    <x v="87"/>
    <n v="3"/>
    <n v="970"/>
    <x v="0"/>
    <x v="0"/>
    <n v="506"/>
    <s v="120023"/>
    <s v="Estante Aruba"/>
    <x v="343"/>
    <n v="1"/>
    <n v="1"/>
  </r>
  <r>
    <n v="9"/>
    <x v="285"/>
    <x v="87"/>
    <n v="4"/>
    <n v="970"/>
    <x v="0"/>
    <x v="0"/>
    <n v="506"/>
    <s v="120023"/>
    <s v="Estante Aruba"/>
    <x v="344"/>
    <n v="1"/>
    <n v="1"/>
  </r>
  <r>
    <n v="9"/>
    <x v="285"/>
    <x v="87"/>
    <n v="5"/>
    <n v="400"/>
    <x v="89"/>
    <x v="89"/>
    <n v="400"/>
    <s v="161008"/>
    <s v="Escritorio Fenix Artico"/>
    <x v="345"/>
    <n v="1"/>
    <n v="1"/>
  </r>
  <r>
    <n v="9"/>
    <x v="285"/>
    <x v="87"/>
    <n v="6"/>
    <n v="403"/>
    <x v="27"/>
    <x v="27"/>
    <n v="403"/>
    <s v="161011"/>
    <s v="Escritorio Curitiba artico"/>
    <x v="346"/>
    <n v="1"/>
    <n v="1"/>
  </r>
  <r>
    <n v="9"/>
    <x v="285"/>
    <x v="87"/>
    <n v="7"/>
    <n v="674"/>
    <x v="23"/>
    <x v="23"/>
    <n v="674"/>
    <s v="181595"/>
    <s v="Home Deneb"/>
    <x v="347"/>
    <n v="1"/>
    <n v="1"/>
  </r>
  <r>
    <n v="9"/>
    <x v="263"/>
    <x v="87"/>
    <n v="8"/>
    <n v="970"/>
    <x v="0"/>
    <x v="0"/>
    <n v="506"/>
    <s v="120023"/>
    <s v="Estante Aruba"/>
    <x v="348"/>
    <n v="1"/>
    <n v="1"/>
  </r>
  <r>
    <n v="9"/>
    <x v="286"/>
    <x v="87"/>
    <n v="9"/>
    <n v="400"/>
    <x v="89"/>
    <x v="89"/>
    <n v="400"/>
    <s v="161008"/>
    <s v="Escritorio Fenix Artico"/>
    <x v="349"/>
    <n v="1"/>
    <n v="1"/>
  </r>
  <r>
    <n v="9"/>
    <x v="286"/>
    <x v="87"/>
    <n v="10"/>
    <n v="877"/>
    <x v="49"/>
    <x v="49"/>
    <n v="877"/>
    <s v="181806"/>
    <s v="RACK LUCCA (RACK ROYAL)"/>
    <x v="350"/>
    <n v="1"/>
    <n v="1"/>
  </r>
  <r>
    <n v="1"/>
    <x v="126"/>
    <x v="41"/>
    <n v="3"/>
    <n v="618"/>
    <x v="90"/>
    <x v="90"/>
    <n v="618"/>
    <s v="181531"/>
    <s v="Lavaplatos 100 Derecho C/Reb Blanco Notavel"/>
    <x v="152"/>
    <n v="6"/>
    <n v="6"/>
  </r>
  <r>
    <n v="1"/>
    <x v="126"/>
    <x v="41"/>
    <n v="4"/>
    <n v="620"/>
    <x v="93"/>
    <x v="93"/>
    <n v="620"/>
    <s v="181533"/>
    <s v="Lavaplatos 120 Derecho C/Reb Blanco Notavel"/>
    <x v="155"/>
    <n v="6"/>
    <n v="6"/>
  </r>
  <r>
    <n v="1"/>
    <x v="126"/>
    <x v="41"/>
    <n v="5"/>
    <n v="1100"/>
    <x v="92"/>
    <x v="92"/>
    <n v="1100"/>
    <s v="182076"/>
    <s v="Kit Lavaplatos 80 Salmar Derecho"/>
    <x v="76"/>
    <n v="24"/>
    <n v="24"/>
  </r>
  <r>
    <n v="23"/>
    <x v="287"/>
    <x v="88"/>
    <n v="1"/>
    <n v="135"/>
    <x v="127"/>
    <x v="127"/>
    <n v="135"/>
    <s v="190203"/>
    <s v="Soporte LCD LPA16-46x"/>
    <x v="34"/>
    <n v="1"/>
    <n v="1"/>
  </r>
  <r>
    <n v="24"/>
    <x v="288"/>
    <x v="89"/>
    <n v="1"/>
    <n v="861"/>
    <x v="122"/>
    <x v="122"/>
    <n v="861"/>
    <s v="181802"/>
    <s v="RESPALDO ELQUI"/>
    <x v="34"/>
    <n v="300"/>
    <n v="300"/>
  </r>
  <r>
    <n v="24"/>
    <x v="288"/>
    <x v="89"/>
    <n v="2"/>
    <n v="864"/>
    <x v="124"/>
    <x v="124"/>
    <n v="864"/>
    <s v="181808"/>
    <s v="Set 2 veladores Serena"/>
    <x v="34"/>
    <n v="200"/>
    <n v="200"/>
  </r>
  <r>
    <n v="9"/>
    <x v="289"/>
    <x v="90"/>
    <n v="1"/>
    <n v="970"/>
    <x v="0"/>
    <x v="0"/>
    <n v="498"/>
    <s v="160121"/>
    <s v="Mesa de centro pt mad Cataño 160389"/>
    <x v="351"/>
    <n v="1"/>
    <n v="1"/>
  </r>
  <r>
    <n v="24"/>
    <x v="288"/>
    <x v="91"/>
    <n v="1"/>
    <n v="675"/>
    <x v="57"/>
    <x v="57"/>
    <n v="675"/>
    <s v="181596"/>
    <s v="Closet Onix Plus 6ptas. 2 cajones"/>
    <x v="34"/>
    <n v="80"/>
    <n v="80"/>
  </r>
  <r>
    <n v="24"/>
    <x v="288"/>
    <x v="91"/>
    <n v="2"/>
    <n v="892"/>
    <x v="25"/>
    <x v="25"/>
    <n v="892"/>
    <s v="181824"/>
    <s v="RESPALDO MONACO "/>
    <x v="34"/>
    <n v="110"/>
    <n v="110"/>
  </r>
  <r>
    <n v="9"/>
    <x v="289"/>
    <x v="92"/>
    <n v="1"/>
    <n v="498"/>
    <x v="41"/>
    <x v="41"/>
    <n v="498"/>
    <s v="160121"/>
    <s v="Mesa de centro pt mad Cataño 160389"/>
    <x v="351"/>
    <n v="1"/>
    <n v="1"/>
  </r>
  <r>
    <n v="9"/>
    <x v="290"/>
    <x v="93"/>
    <n v="1"/>
    <n v="778"/>
    <x v="128"/>
    <x v="128"/>
    <n v="778"/>
    <s v="181659"/>
    <s v="COMBO SOPORTE KL22G-64T+TECLADO+KIT"/>
    <x v="34"/>
    <n v="12"/>
    <n v="12"/>
  </r>
  <r>
    <n v="9"/>
    <x v="290"/>
    <x v="93"/>
    <n v="2"/>
    <n v="778"/>
    <x v="128"/>
    <x v="128"/>
    <n v="778"/>
    <s v="181659"/>
    <s v="COMBO SOPORTE KL22G-64T+TECLADO+KIT"/>
    <x v="34"/>
    <n v="12"/>
    <n v="12"/>
  </r>
  <r>
    <n v="9"/>
    <x v="290"/>
    <x v="93"/>
    <n v="3"/>
    <n v="778"/>
    <x v="128"/>
    <x v="128"/>
    <n v="778"/>
    <s v="181659"/>
    <s v="COMBO SOPORTE KL22G-64T+TECLADO+KIT"/>
    <x v="34"/>
    <n v="12"/>
    <n v="12"/>
  </r>
  <r>
    <n v="9"/>
    <x v="290"/>
    <x v="93"/>
    <n v="4"/>
    <n v="778"/>
    <x v="128"/>
    <x v="128"/>
    <n v="778"/>
    <s v="181659"/>
    <s v="COMBO SOPORTE KL22G-64T+TECLADO+KIT"/>
    <x v="34"/>
    <n v="12"/>
    <n v="12"/>
  </r>
  <r>
    <n v="9"/>
    <x v="290"/>
    <x v="93"/>
    <n v="5"/>
    <n v="778"/>
    <x v="128"/>
    <x v="128"/>
    <n v="778"/>
    <s v="181659"/>
    <s v="COMBO SOPORTE KL22G-64T+TECLADO+KIT"/>
    <x v="34"/>
    <n v="12"/>
    <n v="12"/>
  </r>
  <r>
    <n v="9"/>
    <x v="290"/>
    <x v="93"/>
    <n v="6"/>
    <n v="778"/>
    <x v="128"/>
    <x v="128"/>
    <n v="778"/>
    <s v="181659"/>
    <s v="COMBO SOPORTE KL22G-64T+TECLADO+KIT"/>
    <x v="34"/>
    <n v="12"/>
    <n v="12"/>
  </r>
  <r>
    <n v="9"/>
    <x v="290"/>
    <x v="93"/>
    <n v="7"/>
    <n v="778"/>
    <x v="128"/>
    <x v="128"/>
    <n v="778"/>
    <s v="181659"/>
    <s v="COMBO SOPORTE KL22G-64T+TECLADO+KIT"/>
    <x v="34"/>
    <n v="12"/>
    <n v="12"/>
  </r>
  <r>
    <n v="9"/>
    <x v="290"/>
    <x v="93"/>
    <n v="8"/>
    <n v="778"/>
    <x v="128"/>
    <x v="128"/>
    <n v="778"/>
    <s v="181659"/>
    <s v="COMBO SOPORTE KL22G-64T+TECLADO+KIT"/>
    <x v="34"/>
    <n v="12"/>
    <n v="12"/>
  </r>
  <r>
    <n v="9"/>
    <x v="290"/>
    <x v="93"/>
    <n v="9"/>
    <n v="778"/>
    <x v="128"/>
    <x v="128"/>
    <n v="778"/>
    <s v="181659"/>
    <s v="COMBO SOPORTE KL22G-64T+TECLADO+KIT"/>
    <x v="34"/>
    <n v="12"/>
    <n v="12"/>
  </r>
  <r>
    <n v="9"/>
    <x v="290"/>
    <x v="93"/>
    <n v="10"/>
    <n v="778"/>
    <x v="128"/>
    <x v="128"/>
    <n v="778"/>
    <s v="181659"/>
    <s v="COMBO SOPORTE KL22G-64T+TECLADO+KIT"/>
    <x v="34"/>
    <n v="12"/>
    <n v="12"/>
  </r>
  <r>
    <n v="9"/>
    <x v="290"/>
    <x v="93"/>
    <n v="11"/>
    <n v="778"/>
    <x v="128"/>
    <x v="128"/>
    <n v="778"/>
    <s v="181659"/>
    <s v="COMBO SOPORTE KL22G-64T+TECLADO+KIT"/>
    <x v="34"/>
    <n v="12"/>
    <n v="12"/>
  </r>
  <r>
    <n v="9"/>
    <x v="290"/>
    <x v="93"/>
    <n v="12"/>
    <n v="778"/>
    <x v="128"/>
    <x v="128"/>
    <n v="778"/>
    <s v="181659"/>
    <s v="COMBO SOPORTE KL22G-64T+TECLADO+KIT"/>
    <x v="34"/>
    <n v="12"/>
    <n v="12"/>
  </r>
  <r>
    <n v="9"/>
    <x v="290"/>
    <x v="93"/>
    <n v="13"/>
    <n v="778"/>
    <x v="128"/>
    <x v="128"/>
    <n v="778"/>
    <s v="181659"/>
    <s v="COMBO SOPORTE KL22G-64T+TECLADO+KIT"/>
    <x v="34"/>
    <n v="12"/>
    <n v="12"/>
  </r>
  <r>
    <n v="9"/>
    <x v="290"/>
    <x v="93"/>
    <n v="14"/>
    <n v="778"/>
    <x v="128"/>
    <x v="128"/>
    <n v="778"/>
    <s v="181659"/>
    <s v="COMBO SOPORTE KL22G-64T+TECLADO+KIT"/>
    <x v="34"/>
    <n v="12"/>
    <n v="12"/>
  </r>
  <r>
    <n v="9"/>
    <x v="290"/>
    <x v="93"/>
    <n v="15"/>
    <n v="778"/>
    <x v="128"/>
    <x v="128"/>
    <n v="778"/>
    <s v="181659"/>
    <s v="COMBO SOPORTE KL22G-64T+TECLADO+KIT"/>
    <x v="34"/>
    <n v="12"/>
    <n v="12"/>
  </r>
  <r>
    <n v="9"/>
    <x v="291"/>
    <x v="94"/>
    <n v="1"/>
    <n v="778"/>
    <x v="128"/>
    <x v="128"/>
    <n v="778"/>
    <s v="181659"/>
    <s v="COMBO SOPORTE KL22G-64T+TECLADO+KIT"/>
    <x v="34"/>
    <n v="12"/>
    <n v="12"/>
  </r>
  <r>
    <n v="9"/>
    <x v="292"/>
    <x v="95"/>
    <n v="1"/>
    <n v="774"/>
    <x v="109"/>
    <x v="109"/>
    <n v="774"/>
    <s v="181696"/>
    <s v="Camarote 303"/>
    <x v="34"/>
    <n v="20"/>
    <n v="20"/>
  </r>
  <r>
    <n v="6"/>
    <x v="293"/>
    <x v="96"/>
    <n v="1"/>
    <n v="180"/>
    <x v="70"/>
    <x v="70"/>
    <n v="180"/>
    <s v="161005"/>
    <s v="Escritorio España kit castaño 1176"/>
    <x v="352"/>
    <n v="1"/>
    <n v="1"/>
  </r>
  <r>
    <n v="8"/>
    <x v="294"/>
    <x v="97"/>
    <n v="2"/>
    <n v="822"/>
    <x v="129"/>
    <x v="129"/>
    <n v="822"/>
    <s v="181758"/>
    <s v="Estante Palermo"/>
    <x v="353"/>
    <n v="90"/>
    <n v="90"/>
  </r>
  <r>
    <n v="8"/>
    <x v="295"/>
    <x v="97"/>
    <n v="1"/>
    <n v="824"/>
    <x v="1"/>
    <x v="1"/>
    <n v="824"/>
    <s v="181756"/>
    <s v="Rack Line (New Zero)"/>
    <x v="178"/>
    <n v="65"/>
    <n v="65"/>
  </r>
  <r>
    <n v="8"/>
    <x v="294"/>
    <x v="98"/>
    <n v="1"/>
    <n v="822"/>
    <x v="129"/>
    <x v="129"/>
    <n v="822"/>
    <s v="181758"/>
    <s v="Estante Palermo"/>
    <x v="353"/>
    <n v="104"/>
    <n v="104"/>
  </r>
  <r>
    <n v="8"/>
    <x v="294"/>
    <x v="99"/>
    <n v="1"/>
    <n v="822"/>
    <x v="129"/>
    <x v="129"/>
    <n v="822"/>
    <s v="181758"/>
    <s v="Estante Palermo"/>
    <x v="353"/>
    <n v="208"/>
    <n v="104"/>
  </r>
  <r>
    <n v="8"/>
    <x v="296"/>
    <x v="100"/>
    <n v="2"/>
    <n v="632"/>
    <x v="75"/>
    <x v="75"/>
    <n v="632"/>
    <s v="181545A"/>
    <s v="Respaldo Celaya"/>
    <x v="150"/>
    <n v="1"/>
    <n v="1"/>
  </r>
  <r>
    <n v="8"/>
    <x v="297"/>
    <x v="100"/>
    <n v="1"/>
    <n v="632"/>
    <x v="75"/>
    <x v="75"/>
    <n v="632"/>
    <s v="181545A"/>
    <s v="Respaldo Celaya"/>
    <x v="150"/>
    <n v="1"/>
    <n v="1"/>
  </r>
  <r>
    <n v="4"/>
    <x v="298"/>
    <x v="101"/>
    <n v="14"/>
    <n v="713"/>
    <x v="130"/>
    <x v="130"/>
    <n v="713"/>
    <s v="181639"/>
    <s v="kit Fit 120"/>
    <x v="354"/>
    <n v="1"/>
    <n v="1"/>
  </r>
  <r>
    <n v="4"/>
    <x v="299"/>
    <x v="101"/>
    <n v="15"/>
    <n v="494"/>
    <x v="56"/>
    <x v="56"/>
    <n v="494"/>
    <s v="165528"/>
    <s v="Armario Aereo Ref: 3003 Bco"/>
    <x v="355"/>
    <n v="1"/>
    <n v="1"/>
  </r>
  <r>
    <n v="4"/>
    <x v="300"/>
    <x v="101"/>
    <n v="16"/>
    <n v="632"/>
    <x v="75"/>
    <x v="75"/>
    <n v="632"/>
    <s v="181545A"/>
    <s v="Respaldo Celaya"/>
    <x v="356"/>
    <n v="1"/>
    <n v="1"/>
  </r>
  <r>
    <n v="4"/>
    <x v="301"/>
    <x v="101"/>
    <n v="17"/>
    <n v="970"/>
    <x v="0"/>
    <x v="0"/>
    <n v="506"/>
    <s v="120023"/>
    <s v="Estante Aruba"/>
    <x v="357"/>
    <n v="1"/>
    <n v="1"/>
  </r>
  <r>
    <n v="4"/>
    <x v="302"/>
    <x v="101"/>
    <n v="18"/>
    <n v="584"/>
    <x v="96"/>
    <x v="96"/>
    <n v="584"/>
    <s v="130290"/>
    <s v="Rack New Montana bco"/>
    <x v="358"/>
    <n v="1"/>
    <n v="1"/>
  </r>
  <r>
    <n v="3"/>
    <x v="148"/>
    <x v="52"/>
    <n v="12"/>
    <n v="824"/>
    <x v="1"/>
    <x v="1"/>
    <n v="824"/>
    <s v="181756"/>
    <s v="Rack Line (New Zero)"/>
    <x v="359"/>
    <n v="1"/>
    <n v="1"/>
  </r>
  <r>
    <n v="3"/>
    <x v="148"/>
    <x v="52"/>
    <n v="13"/>
    <n v="821"/>
    <x v="65"/>
    <x v="65"/>
    <n v="821"/>
    <s v="181751"/>
    <s v="HOME NINA"/>
    <x v="360"/>
    <n v="1"/>
    <n v="1"/>
  </r>
  <r>
    <n v="3"/>
    <x v="303"/>
    <x v="52"/>
    <n v="1"/>
    <n v="506"/>
    <x v="98"/>
    <x v="98"/>
    <n v="506"/>
    <s v="120023"/>
    <s v="Estante Aruba"/>
    <x v="361"/>
    <n v="1"/>
    <n v="0"/>
  </r>
  <r>
    <n v="3"/>
    <x v="303"/>
    <x v="52"/>
    <n v="6"/>
    <n v="13"/>
    <x v="13"/>
    <x v="13"/>
    <n v="13"/>
    <s v="110301"/>
    <s v="Bar de Canto Puerto Montt Tabaco"/>
    <x v="362"/>
    <n v="1"/>
    <n v="1"/>
  </r>
  <r>
    <n v="3"/>
    <x v="304"/>
    <x v="52"/>
    <n v="2"/>
    <n v="506"/>
    <x v="98"/>
    <x v="98"/>
    <n v="506"/>
    <s v="120023"/>
    <s v="Estante Aruba"/>
    <x v="363"/>
    <n v="1"/>
    <n v="0"/>
  </r>
  <r>
    <n v="3"/>
    <x v="304"/>
    <x v="52"/>
    <n v="3"/>
    <n v="506"/>
    <x v="98"/>
    <x v="98"/>
    <n v="506"/>
    <s v="120023"/>
    <s v="Estante Aruba"/>
    <x v="364"/>
    <n v="1"/>
    <n v="0"/>
  </r>
  <r>
    <n v="3"/>
    <x v="304"/>
    <x v="52"/>
    <n v="4"/>
    <n v="638"/>
    <x v="22"/>
    <x v="22"/>
    <n v="638"/>
    <s v="181551"/>
    <s v="Home Ipanema 1.80 "/>
    <x v="365"/>
    <n v="1"/>
    <n v="1"/>
  </r>
  <r>
    <n v="3"/>
    <x v="304"/>
    <x v="52"/>
    <n v="5"/>
    <n v="638"/>
    <x v="22"/>
    <x v="22"/>
    <n v="638"/>
    <s v="181551"/>
    <s v="Home Ipanema 1.80 "/>
    <x v="366"/>
    <n v="1"/>
    <n v="1"/>
  </r>
  <r>
    <n v="3"/>
    <x v="304"/>
    <x v="52"/>
    <n v="7"/>
    <n v="409"/>
    <x v="47"/>
    <x v="47"/>
    <n v="409"/>
    <s v="120011"/>
    <s v="Home Roma "/>
    <x v="367"/>
    <n v="1"/>
    <n v="1"/>
  </r>
  <r>
    <n v="8"/>
    <x v="305"/>
    <x v="102"/>
    <n v="1"/>
    <n v="1094"/>
    <x v="131"/>
    <x v="131"/>
    <n v="655"/>
    <s v="181568"/>
    <s v="Kit Cocina Catalina Blanco/Nogal"/>
    <x v="177"/>
    <n v="4"/>
    <n v="4"/>
  </r>
  <r>
    <n v="8"/>
    <x v="306"/>
    <x v="103"/>
    <n v="1"/>
    <n v="404"/>
    <x v="17"/>
    <x v="17"/>
    <n v="404"/>
    <s v="161012"/>
    <s v="kit dormitorio + modulo 1233 + 3017 aberto"/>
    <x v="333"/>
    <n v="1"/>
    <n v="1"/>
  </r>
  <r>
    <n v="8"/>
    <x v="307"/>
    <x v="103"/>
    <n v="2"/>
    <n v="735"/>
    <x v="62"/>
    <x v="62"/>
    <n v="735"/>
    <s v="181666"/>
    <s v="COMODA 5 CAJONES GLADYS (PILAR)"/>
    <x v="335"/>
    <n v="1"/>
    <n v="1"/>
  </r>
  <r>
    <n v="8"/>
    <x v="308"/>
    <x v="104"/>
    <n v="1"/>
    <n v="1099"/>
    <x v="132"/>
    <x v="132"/>
    <n v="766"/>
    <s v="181677"/>
    <s v="Set respaldo + 2 veladores  Marcia(New Bento)"/>
    <x v="368"/>
    <n v="4"/>
    <n v="4"/>
  </r>
  <r>
    <n v="8"/>
    <x v="308"/>
    <x v="104"/>
    <n v="2"/>
    <n v="853"/>
    <x v="107"/>
    <x v="107"/>
    <n v="853"/>
    <s v="181777"/>
    <s v="Cabinet Single Isis"/>
    <x v="369"/>
    <n v="2"/>
    <n v="2"/>
  </r>
  <r>
    <n v="8"/>
    <x v="308"/>
    <x v="104"/>
    <n v="3"/>
    <n v="900"/>
    <x v="133"/>
    <x v="133"/>
    <n v="900"/>
    <s v="181863"/>
    <s v="Arrimo Miró"/>
    <x v="370"/>
    <n v="5"/>
    <n v="5"/>
  </r>
  <r>
    <n v="8"/>
    <x v="308"/>
    <x v="104"/>
    <n v="4"/>
    <n v="901"/>
    <x v="134"/>
    <x v="134"/>
    <n v="901"/>
    <s v="181864"/>
    <s v="Mesa de centro Miró (Monet)"/>
    <x v="371"/>
    <n v="5"/>
    <n v="5"/>
  </r>
  <r>
    <n v="9"/>
    <x v="309"/>
    <x v="105"/>
    <n v="1"/>
    <n v="818"/>
    <x v="73"/>
    <x v="73"/>
    <n v="818"/>
    <s v="181749"/>
    <s v="RACK MAYA"/>
    <x v="372"/>
    <n v="1"/>
    <n v="1"/>
  </r>
  <r>
    <n v="9"/>
    <x v="310"/>
    <x v="105"/>
    <n v="2"/>
    <n v="700"/>
    <x v="67"/>
    <x v="67"/>
    <n v="700"/>
    <s v="181626"/>
    <s v="Comedor francia 6+1"/>
    <x v="373"/>
    <n v="1"/>
    <n v="1"/>
  </r>
  <r>
    <n v="9"/>
    <x v="311"/>
    <x v="105"/>
    <n v="3"/>
    <n v="964"/>
    <x v="135"/>
    <x v="135"/>
    <n v="964"/>
    <s v="181928"/>
    <s v="Comedor Serena Rouge 1+6"/>
    <x v="374"/>
    <n v="1"/>
    <n v="1"/>
  </r>
  <r>
    <n v="5"/>
    <x v="312"/>
    <x v="106"/>
    <n v="3"/>
    <n v="181"/>
    <x v="76"/>
    <x v="76"/>
    <n v="181"/>
    <s v="161006"/>
    <s v="Escritorio Lindoia artico/turquesa 1194"/>
    <x v="34"/>
    <n v="1"/>
    <n v="1"/>
  </r>
  <r>
    <n v="5"/>
    <x v="313"/>
    <x v="106"/>
    <n v="4"/>
    <n v="400"/>
    <x v="89"/>
    <x v="89"/>
    <n v="400"/>
    <s v="161008"/>
    <s v="Escritorio Fenix Artico"/>
    <x v="34"/>
    <n v="1"/>
    <n v="1"/>
  </r>
  <r>
    <n v="5"/>
    <x v="314"/>
    <x v="106"/>
    <n v="5"/>
    <n v="816"/>
    <x v="136"/>
    <x v="136"/>
    <n v="816"/>
    <s v="181735"/>
    <s v="Sofa  2 cuerpos Smith"/>
    <x v="34"/>
    <n v="1"/>
    <n v="1"/>
  </r>
  <r>
    <n v="5"/>
    <x v="315"/>
    <x v="106"/>
    <n v="1"/>
    <n v="892"/>
    <x v="25"/>
    <x v="25"/>
    <n v="746"/>
    <s v="181662"/>
    <s v="Respaldo Monaco"/>
    <x v="34"/>
    <n v="1"/>
    <n v="1"/>
  </r>
  <r>
    <n v="5"/>
    <x v="316"/>
    <x v="106"/>
    <n v="2"/>
    <n v="13"/>
    <x v="13"/>
    <x v="13"/>
    <n v="13"/>
    <s v="110301"/>
    <s v="Bar de Canto Puerto Montt Tabaco"/>
    <x v="34"/>
    <n v="1"/>
    <n v="1"/>
  </r>
  <r>
    <n v="5"/>
    <x v="317"/>
    <x v="107"/>
    <n v="1"/>
    <n v="489"/>
    <x v="52"/>
    <x v="52"/>
    <n v="489"/>
    <s v="165523"/>
    <s v="Armario Aereo Canela Ref: 3468 Blanco"/>
    <x v="34"/>
    <n v="2"/>
    <n v="2"/>
  </r>
  <r>
    <n v="5"/>
    <x v="317"/>
    <x v="107"/>
    <n v="2"/>
    <n v="489"/>
    <x v="52"/>
    <x v="52"/>
    <n v="489"/>
    <s v="165523"/>
    <s v="Armario Aereo Canela Ref: 3468 Blanco"/>
    <x v="34"/>
    <n v="3"/>
    <n v="3"/>
  </r>
  <r>
    <n v="5"/>
    <x v="317"/>
    <x v="107"/>
    <n v="3"/>
    <n v="490"/>
    <x v="53"/>
    <x v="53"/>
    <n v="490"/>
    <s v="165524"/>
    <s v="Gabinete Guardaropa Ref: 3004 Bco"/>
    <x v="34"/>
    <n v="3"/>
    <n v="0"/>
  </r>
  <r>
    <n v="5"/>
    <x v="317"/>
    <x v="107"/>
    <n v="4"/>
    <n v="490"/>
    <x v="53"/>
    <x v="53"/>
    <n v="490"/>
    <s v="165524"/>
    <s v="Gabinete Guardaropa Ref: 3004 Bco"/>
    <x v="34"/>
    <n v="5"/>
    <n v="0"/>
  </r>
  <r>
    <n v="5"/>
    <x v="317"/>
    <x v="107"/>
    <n v="5"/>
    <n v="492"/>
    <x v="54"/>
    <x v="54"/>
    <n v="492"/>
    <s v="165526"/>
    <s v="Armario Itaim Puertas De Vidrio Ref: 3219 Bco"/>
    <x v="34"/>
    <n v="1"/>
    <n v="1"/>
  </r>
  <r>
    <n v="5"/>
    <x v="317"/>
    <x v="107"/>
    <n v="6"/>
    <n v="492"/>
    <x v="54"/>
    <x v="54"/>
    <n v="492"/>
    <s v="165526"/>
    <s v="Armario Itaim Puertas De Vidrio Ref: 3219 Bco"/>
    <x v="34"/>
    <n v="3"/>
    <n v="3"/>
  </r>
  <r>
    <n v="5"/>
    <x v="317"/>
    <x v="107"/>
    <n v="7"/>
    <n v="43"/>
    <x v="64"/>
    <x v="64"/>
    <n v="43"/>
    <s v="165639"/>
    <s v="Cocina Sheila + balcon sheila bco/griz"/>
    <x v="34"/>
    <n v="10"/>
    <n v="10"/>
  </r>
  <r>
    <n v="5"/>
    <x v="317"/>
    <x v="107"/>
    <n v="8"/>
    <n v="43"/>
    <x v="64"/>
    <x v="64"/>
    <n v="43"/>
    <s v="165639"/>
    <s v="Cocina Sheila + balcon sheila bco/griz"/>
    <x v="34"/>
    <n v="10"/>
    <n v="10"/>
  </r>
  <r>
    <n v="5"/>
    <x v="317"/>
    <x v="107"/>
    <n v="9"/>
    <n v="43"/>
    <x v="64"/>
    <x v="64"/>
    <n v="43"/>
    <s v="165639"/>
    <s v="Cocina Sheila + balcon sheila bco/griz"/>
    <x v="34"/>
    <n v="20"/>
    <n v="20"/>
  </r>
  <r>
    <n v="5"/>
    <x v="317"/>
    <x v="107"/>
    <n v="10"/>
    <n v="919"/>
    <x v="118"/>
    <x v="118"/>
    <n v="919"/>
    <s v="181850"/>
    <s v="KIT COCINA VITORIA (MAGAZIN 90)"/>
    <x v="34"/>
    <n v="10"/>
    <n v="10"/>
  </r>
  <r>
    <n v="5"/>
    <x v="317"/>
    <x v="107"/>
    <n v="11"/>
    <n v="919"/>
    <x v="118"/>
    <x v="118"/>
    <n v="919"/>
    <s v="181850"/>
    <s v="KIT COCINA VITORIA (MAGAZIN 90)"/>
    <x v="34"/>
    <n v="10"/>
    <n v="10"/>
  </r>
  <r>
    <n v="5"/>
    <x v="317"/>
    <x v="107"/>
    <n v="12"/>
    <n v="919"/>
    <x v="118"/>
    <x v="118"/>
    <n v="919"/>
    <s v="181850"/>
    <s v="KIT COCINA VITORIA (MAGAZIN 90)"/>
    <x v="34"/>
    <n v="10"/>
    <n v="10"/>
  </r>
  <r>
    <n v="3"/>
    <x v="318"/>
    <x v="108"/>
    <n v="1"/>
    <n v="506"/>
    <x v="98"/>
    <x v="98"/>
    <n v="506"/>
    <s v="120023"/>
    <s v="Estante Aruba"/>
    <x v="375"/>
    <n v="1"/>
    <n v="0"/>
  </r>
  <r>
    <n v="3"/>
    <x v="319"/>
    <x v="108"/>
    <n v="2"/>
    <n v="506"/>
    <x v="98"/>
    <x v="98"/>
    <n v="506"/>
    <s v="120023"/>
    <s v="Estante Aruba"/>
    <x v="376"/>
    <n v="1"/>
    <n v="0"/>
  </r>
  <r>
    <n v="2"/>
    <x v="320"/>
    <x v="109"/>
    <n v="1"/>
    <n v="970"/>
    <x v="0"/>
    <x v="0"/>
    <n v="506"/>
    <s v="120023"/>
    <s v="Estante Aruba"/>
    <x v="377"/>
    <n v="1"/>
    <n v="1"/>
  </r>
  <r>
    <n v="2"/>
    <x v="321"/>
    <x v="60"/>
    <n v="5"/>
    <n v="402"/>
    <x v="32"/>
    <x v="32"/>
    <n v="402"/>
    <s v="161010"/>
    <s v="Escritorio Cali artico"/>
    <x v="378"/>
    <n v="1"/>
    <n v="1"/>
  </r>
  <r>
    <n v="2"/>
    <x v="322"/>
    <x v="60"/>
    <n v="6"/>
    <n v="401"/>
    <x v="21"/>
    <x v="21"/>
    <n v="401"/>
    <s v="161009"/>
    <s v="Escritorio Olimpia aberto - artico"/>
    <x v="379"/>
    <n v="1"/>
    <n v="1"/>
  </r>
  <r>
    <n v="2"/>
    <x v="323"/>
    <x v="60"/>
    <n v="7"/>
    <n v="936"/>
    <x v="137"/>
    <x v="137"/>
    <n v="936"/>
    <s v="181827"/>
    <s v="Bancada Avila"/>
    <x v="380"/>
    <n v="1"/>
    <n v="1"/>
  </r>
  <r>
    <n v="2"/>
    <x v="324"/>
    <x v="60"/>
    <n v="8"/>
    <n v="498"/>
    <x v="41"/>
    <x v="41"/>
    <n v="498"/>
    <s v="160121"/>
    <s v="Mesa de centro pt mad Cataño 160389"/>
    <x v="381"/>
    <n v="1"/>
    <n v="1"/>
  </r>
  <r>
    <n v="2"/>
    <x v="325"/>
    <x v="60"/>
    <n v="9"/>
    <n v="632"/>
    <x v="75"/>
    <x v="75"/>
    <n v="632"/>
    <s v="181545A"/>
    <s v="Respaldo Celaya"/>
    <x v="382"/>
    <n v="1"/>
    <n v="1"/>
  </r>
  <r>
    <n v="2"/>
    <x v="326"/>
    <x v="60"/>
    <n v="10"/>
    <n v="402"/>
    <x v="32"/>
    <x v="32"/>
    <n v="402"/>
    <s v="161010"/>
    <s v="Escritorio Cali artico"/>
    <x v="383"/>
    <n v="2"/>
    <n v="2"/>
  </r>
  <r>
    <n v="2"/>
    <x v="327"/>
    <x v="60"/>
    <n v="2"/>
    <n v="966"/>
    <x v="102"/>
    <x v="102"/>
    <n v="966"/>
    <s v="181930"/>
    <s v="Comedor Italia Auria 1+4"/>
    <x v="384"/>
    <n v="1"/>
    <n v="1"/>
  </r>
  <r>
    <n v="2"/>
    <x v="328"/>
    <x v="60"/>
    <n v="3"/>
    <n v="403"/>
    <x v="27"/>
    <x v="27"/>
    <n v="403"/>
    <s v="161011"/>
    <s v="Escritorio Curitiba artico"/>
    <x v="385"/>
    <n v="1"/>
    <n v="1"/>
  </r>
  <r>
    <n v="2"/>
    <x v="329"/>
    <x v="60"/>
    <n v="4"/>
    <n v="702"/>
    <x v="26"/>
    <x v="26"/>
    <n v="702"/>
    <s v="181628"/>
    <s v="Juego de 2 andres  1+4"/>
    <x v="386"/>
    <n v="1"/>
    <n v="1"/>
  </r>
  <r>
    <n v="2"/>
    <x v="330"/>
    <x v="60"/>
    <n v="1"/>
    <n v="632"/>
    <x v="75"/>
    <x v="75"/>
    <n v="632"/>
    <s v="181545A"/>
    <s v="Respaldo Celaya"/>
    <x v="387"/>
    <n v="1"/>
    <n v="1"/>
  </r>
  <r>
    <n v="6"/>
    <x v="331"/>
    <x v="110"/>
    <n v="1"/>
    <n v="506"/>
    <x v="98"/>
    <x v="98"/>
    <n v="506"/>
    <s v="120023"/>
    <s v="Estante Aruba"/>
    <x v="23"/>
    <n v="2"/>
    <n v="0"/>
  </r>
  <r>
    <n v="6"/>
    <x v="331"/>
    <x v="110"/>
    <n v="2"/>
    <n v="824"/>
    <x v="1"/>
    <x v="1"/>
    <n v="824"/>
    <s v="181756"/>
    <s v="Rack Line (New Zero)"/>
    <x v="23"/>
    <n v="3"/>
    <n v="3"/>
  </r>
  <r>
    <n v="1"/>
    <x v="332"/>
    <x v="111"/>
    <n v="1"/>
    <n v="878"/>
    <x v="77"/>
    <x v="77"/>
    <n v="362"/>
    <s v="170778"/>
    <s v="Rack Arterra rov tx - rov tx 52080"/>
    <x v="75"/>
    <n v="24"/>
    <n v="24"/>
  </r>
  <r>
    <n v="1"/>
    <x v="332"/>
    <x v="111"/>
    <n v="2"/>
    <n v="619"/>
    <x v="138"/>
    <x v="138"/>
    <n v="619"/>
    <s v="181532"/>
    <s v="Lavaplatos 100 Izquierdo C/Reb Blanco Notavel"/>
    <x v="77"/>
    <n v="6"/>
    <n v="6"/>
  </r>
  <r>
    <n v="1"/>
    <x v="332"/>
    <x v="111"/>
    <n v="3"/>
    <n v="620"/>
    <x v="93"/>
    <x v="93"/>
    <n v="620"/>
    <s v="181533"/>
    <s v="Lavaplatos 120 Derecho C/Reb Blanco Notavel"/>
    <x v="152"/>
    <n v="6"/>
    <n v="6"/>
  </r>
  <r>
    <n v="1"/>
    <x v="332"/>
    <x v="111"/>
    <n v="4"/>
    <n v="1100"/>
    <x v="92"/>
    <x v="92"/>
    <n v="1100"/>
    <s v="182076"/>
    <s v="Kit Lavaplatos 80 Salmar Derecho"/>
    <x v="76"/>
    <n v="12"/>
    <n v="12"/>
  </r>
  <r>
    <n v="2"/>
    <x v="333"/>
    <x v="112"/>
    <n v="6"/>
    <n v="498"/>
    <x v="41"/>
    <x v="41"/>
    <n v="498"/>
    <s v="160121"/>
    <s v="Mesa de centro pt mad Cataño 160389"/>
    <x v="388"/>
    <n v="1"/>
    <n v="1"/>
  </r>
  <r>
    <n v="2"/>
    <x v="334"/>
    <x v="112"/>
    <n v="1"/>
    <n v="964"/>
    <x v="135"/>
    <x v="135"/>
    <n v="964"/>
    <s v="181928"/>
    <s v="Comedor Serena Rouge 1+6"/>
    <x v="389"/>
    <n v="1"/>
    <n v="1"/>
  </r>
  <r>
    <n v="2"/>
    <x v="335"/>
    <x v="112"/>
    <n v="2"/>
    <n v="905"/>
    <x v="39"/>
    <x v="39"/>
    <n v="905"/>
    <s v="181876"/>
    <s v="RACK STAR (QUARTZ)"/>
    <x v="390"/>
    <n v="1"/>
    <n v="1"/>
  </r>
  <r>
    <n v="2"/>
    <x v="336"/>
    <x v="112"/>
    <n v="3"/>
    <n v="773"/>
    <x v="139"/>
    <x v="139"/>
    <n v="773"/>
    <s v="181663"/>
    <s v="Estante Carla ( ex zara )"/>
    <x v="391"/>
    <n v="1"/>
    <n v="1"/>
  </r>
  <r>
    <n v="2"/>
    <x v="337"/>
    <x v="112"/>
    <n v="4"/>
    <n v="966"/>
    <x v="102"/>
    <x v="102"/>
    <n v="966"/>
    <s v="181930"/>
    <s v="Comedor Italia Auria 1+4"/>
    <x v="392"/>
    <n v="1"/>
    <n v="1"/>
  </r>
  <r>
    <n v="2"/>
    <x v="338"/>
    <x v="112"/>
    <n v="5"/>
    <n v="639"/>
    <x v="15"/>
    <x v="15"/>
    <n v="639"/>
    <s v="181552"/>
    <s v="Home Lara 1.35 "/>
    <x v="393"/>
    <n v="1"/>
    <n v="1"/>
  </r>
  <r>
    <n v="29"/>
    <x v="339"/>
    <x v="113"/>
    <n v="1"/>
    <n v="850"/>
    <x v="140"/>
    <x v="140"/>
    <n v="850"/>
    <s v="181796"/>
    <s v="Gabinete Compostela"/>
    <x v="394"/>
    <n v="1"/>
    <n v="1"/>
  </r>
  <r>
    <n v="29"/>
    <x v="340"/>
    <x v="113"/>
    <n v="2"/>
    <n v="956"/>
    <x v="105"/>
    <x v="105"/>
    <n v="956"/>
    <s v="181875"/>
    <s v="MESA CENTRO PLUS"/>
    <x v="395"/>
    <n v="1"/>
    <n v="0"/>
  </r>
  <r>
    <n v="4"/>
    <x v="341"/>
    <x v="114"/>
    <n v="2"/>
    <n v="639"/>
    <x v="15"/>
    <x v="15"/>
    <n v="639"/>
    <s v="181552"/>
    <s v="Home Lara 1.35 "/>
    <x v="396"/>
    <n v="1"/>
    <n v="1"/>
  </r>
  <r>
    <n v="4"/>
    <x v="342"/>
    <x v="114"/>
    <n v="3"/>
    <n v="281"/>
    <x v="59"/>
    <x v="59"/>
    <n v="281"/>
    <s v="165677"/>
    <s v="Cocina 6 puertas kit 2306 bco negro"/>
    <x v="397"/>
    <n v="1"/>
    <n v="1"/>
  </r>
  <r>
    <n v="4"/>
    <x v="343"/>
    <x v="114"/>
    <n v="4"/>
    <n v="403"/>
    <x v="27"/>
    <x v="27"/>
    <n v="403"/>
    <s v="161011"/>
    <s v="Escritorio Curitiba artico"/>
    <x v="398"/>
    <n v="1"/>
    <n v="1"/>
  </r>
  <r>
    <n v="4"/>
    <x v="344"/>
    <x v="114"/>
    <n v="1"/>
    <n v="714"/>
    <x v="28"/>
    <x v="28"/>
    <n v="714"/>
    <s v="181640"/>
    <s v="Kit Magazin 120"/>
    <x v="399"/>
    <n v="1"/>
    <n v="1"/>
  </r>
  <r>
    <n v="8"/>
    <x v="345"/>
    <x v="115"/>
    <n v="1"/>
    <n v="787"/>
    <x v="99"/>
    <x v="99"/>
    <n v="787"/>
    <s v="181697"/>
    <s v="RESPALDO SINAI (UN REGRUESO A LO LARGO)"/>
    <x v="176"/>
    <n v="1"/>
    <n v="1"/>
  </r>
  <r>
    <n v="6"/>
    <x v="346"/>
    <x v="116"/>
    <n v="6"/>
    <n v="745"/>
    <x v="2"/>
    <x v="2"/>
    <n v="745"/>
    <s v="181685"/>
    <s v="Closet Anastasia (Ex Capelinha) "/>
    <x v="400"/>
    <n v="1"/>
    <n v="1"/>
  </r>
  <r>
    <n v="6"/>
    <x v="347"/>
    <x v="116"/>
    <n v="7"/>
    <n v="400"/>
    <x v="89"/>
    <x v="89"/>
    <n v="400"/>
    <s v="161008"/>
    <s v="Escritorio Fenix Artico"/>
    <x v="401"/>
    <n v="1"/>
    <n v="1"/>
  </r>
  <r>
    <n v="6"/>
    <x v="348"/>
    <x v="116"/>
    <n v="2"/>
    <n v="954"/>
    <x v="141"/>
    <x v="141"/>
    <n v="954"/>
    <s v="181873"/>
    <s v="Rack Jose"/>
    <x v="402"/>
    <n v="1"/>
    <n v="1"/>
  </r>
  <r>
    <n v="6"/>
    <x v="349"/>
    <x v="116"/>
    <n v="8"/>
    <n v="712"/>
    <x v="142"/>
    <x v="142"/>
    <n v="712"/>
    <s v="181638"/>
    <s v="Kit Yara 160"/>
    <x v="403"/>
    <n v="1"/>
    <n v="1"/>
  </r>
  <r>
    <n v="6"/>
    <x v="350"/>
    <x v="116"/>
    <n v="3"/>
    <n v="895"/>
    <x v="38"/>
    <x v="38"/>
    <n v="895"/>
    <s v="181812"/>
    <s v="RACK ART"/>
    <x v="404"/>
    <n v="1"/>
    <n v="1"/>
  </r>
  <r>
    <n v="6"/>
    <x v="351"/>
    <x v="116"/>
    <n v="4"/>
    <n v="887"/>
    <x v="74"/>
    <x v="74"/>
    <n v="887"/>
    <s v="181814"/>
    <s v="Rack Bravo (BR33)"/>
    <x v="405"/>
    <n v="1"/>
    <n v="1"/>
  </r>
  <r>
    <n v="6"/>
    <x v="352"/>
    <x v="116"/>
    <n v="5"/>
    <n v="887"/>
    <x v="74"/>
    <x v="74"/>
    <n v="887"/>
    <s v="181814"/>
    <s v="Rack Bravo (BR33)"/>
    <x v="406"/>
    <n v="1"/>
    <n v="1"/>
  </r>
  <r>
    <n v="6"/>
    <x v="353"/>
    <x v="116"/>
    <n v="1"/>
    <n v="700"/>
    <x v="67"/>
    <x v="67"/>
    <n v="700"/>
    <s v="181626"/>
    <s v="Comedor francia 6+1"/>
    <x v="407"/>
    <n v="1"/>
    <n v="1"/>
  </r>
  <r>
    <n v="9"/>
    <x v="354"/>
    <x v="117"/>
    <n v="5"/>
    <n v="955"/>
    <x v="143"/>
    <x v="143"/>
    <n v="955"/>
    <s v="181874"/>
    <s v="Rack Felipe"/>
    <x v="408"/>
    <n v="1"/>
    <n v="1"/>
  </r>
  <r>
    <n v="9"/>
    <x v="355"/>
    <x v="117"/>
    <n v="6"/>
    <n v="403"/>
    <x v="27"/>
    <x v="27"/>
    <n v="403"/>
    <s v="161011"/>
    <s v="Escritorio Curitiba artico"/>
    <x v="409"/>
    <n v="1"/>
    <n v="1"/>
  </r>
  <r>
    <n v="9"/>
    <x v="356"/>
    <x v="117"/>
    <n v="7"/>
    <n v="347"/>
    <x v="40"/>
    <x v="40"/>
    <n v="347"/>
    <s v="160116"/>
    <s v="Mesa de Centro Classic rustico malbec"/>
    <x v="410"/>
    <n v="1"/>
    <n v="1"/>
  </r>
  <r>
    <n v="4"/>
    <x v="357"/>
    <x v="101"/>
    <n v="9"/>
    <n v="702"/>
    <x v="26"/>
    <x v="26"/>
    <n v="702"/>
    <s v="181628"/>
    <s v="Juego de 2 andres  1+4"/>
    <x v="411"/>
    <n v="1"/>
    <n v="1"/>
  </r>
  <r>
    <n v="4"/>
    <x v="358"/>
    <x v="101"/>
    <n v="10"/>
    <n v="501"/>
    <x v="5"/>
    <x v="5"/>
    <n v="501"/>
    <s v="170782"/>
    <s v="Rack atacama pt mad castaño 160295"/>
    <x v="412"/>
    <n v="1"/>
    <n v="1"/>
  </r>
  <r>
    <n v="4"/>
    <x v="359"/>
    <x v="101"/>
    <n v="11"/>
    <n v="400"/>
    <x v="89"/>
    <x v="89"/>
    <n v="400"/>
    <s v="161008"/>
    <s v="Escritorio Fenix Artico"/>
    <x v="413"/>
    <n v="1"/>
    <n v="1"/>
  </r>
  <r>
    <n v="4"/>
    <x v="360"/>
    <x v="101"/>
    <n v="12"/>
    <n v="892"/>
    <x v="25"/>
    <x v="25"/>
    <n v="746"/>
    <s v="181662"/>
    <s v="Respaldo Monaco"/>
    <x v="414"/>
    <n v="1"/>
    <n v="1"/>
  </r>
  <r>
    <n v="4"/>
    <x v="361"/>
    <x v="101"/>
    <n v="13"/>
    <n v="583"/>
    <x v="144"/>
    <x v="144"/>
    <n v="583"/>
    <s v="130289"/>
    <s v="TV Stand Puerto Rico Bco - Castaño "/>
    <x v="415"/>
    <n v="1"/>
    <n v="1"/>
  </r>
  <r>
    <n v="4"/>
    <x v="362"/>
    <x v="101"/>
    <n v="5"/>
    <n v="501"/>
    <x v="5"/>
    <x v="5"/>
    <n v="501"/>
    <s v="170782"/>
    <s v="Rack atacama pt mad castaño 160295"/>
    <x v="416"/>
    <n v="1"/>
    <n v="1"/>
  </r>
  <r>
    <n v="4"/>
    <x v="363"/>
    <x v="101"/>
    <n v="6"/>
    <n v="401"/>
    <x v="21"/>
    <x v="21"/>
    <n v="401"/>
    <s v="161009"/>
    <s v="Escritorio Olimpia aberto - artico"/>
    <x v="417"/>
    <n v="1"/>
    <n v="1"/>
  </r>
  <r>
    <n v="4"/>
    <x v="364"/>
    <x v="101"/>
    <n v="7"/>
    <n v="567"/>
    <x v="145"/>
    <x v="145"/>
    <n v="567"/>
    <s v="130273"/>
    <s v="Bar San Marino  tabaco"/>
    <x v="418"/>
    <n v="1"/>
    <n v="1"/>
  </r>
  <r>
    <n v="4"/>
    <x v="365"/>
    <x v="101"/>
    <n v="8"/>
    <n v="565"/>
    <x v="82"/>
    <x v="82"/>
    <n v="565"/>
    <s v="130271"/>
    <s v="Mesa de centro Nordico"/>
    <x v="419"/>
    <n v="1"/>
    <n v="1"/>
  </r>
  <r>
    <n v="4"/>
    <x v="366"/>
    <x v="101"/>
    <n v="1"/>
    <n v="698"/>
    <x v="146"/>
    <x v="146"/>
    <n v="698"/>
    <s v="181624"/>
    <s v="Rack tv palu"/>
    <x v="420"/>
    <n v="1"/>
    <n v="1"/>
  </r>
  <r>
    <n v="4"/>
    <x v="367"/>
    <x v="101"/>
    <n v="2"/>
    <n v="584"/>
    <x v="96"/>
    <x v="96"/>
    <n v="584"/>
    <s v="130290"/>
    <s v="Rack New Montana bco"/>
    <x v="421"/>
    <n v="1"/>
    <n v="1"/>
  </r>
  <r>
    <n v="4"/>
    <x v="368"/>
    <x v="101"/>
    <n v="3"/>
    <n v="607"/>
    <x v="147"/>
    <x v="147"/>
    <n v="607"/>
    <s v="181517"/>
    <s v="Pouf Dalva"/>
    <x v="422"/>
    <n v="1"/>
    <n v="1"/>
  </r>
  <r>
    <n v="4"/>
    <x v="369"/>
    <x v="101"/>
    <n v="4"/>
    <n v="714"/>
    <x v="28"/>
    <x v="28"/>
    <n v="714"/>
    <s v="181640"/>
    <s v="Kit Magazin 120"/>
    <x v="423"/>
    <n v="1"/>
    <n v="1"/>
  </r>
  <r>
    <n v="4"/>
    <x v="370"/>
    <x v="118"/>
    <n v="1"/>
    <n v="905"/>
    <x v="39"/>
    <x v="39"/>
    <n v="794"/>
    <s v="181721"/>
    <s v="New Rack Porto bello "/>
    <x v="424"/>
    <n v="1"/>
    <n v="1"/>
  </r>
  <r>
    <n v="4"/>
    <x v="371"/>
    <x v="119"/>
    <n v="3"/>
    <n v="877"/>
    <x v="49"/>
    <x v="49"/>
    <n v="877"/>
    <s v="181806"/>
    <s v="RACK LUCCA (RACK ROYAL)"/>
    <x v="425"/>
    <n v="1"/>
    <n v="1"/>
  </r>
  <r>
    <n v="4"/>
    <x v="372"/>
    <x v="119"/>
    <n v="2"/>
    <n v="892"/>
    <x v="25"/>
    <x v="25"/>
    <n v="746"/>
    <s v="181662"/>
    <s v="Respaldo Monaco"/>
    <x v="426"/>
    <n v="1"/>
    <n v="1"/>
  </r>
  <r>
    <n v="4"/>
    <x v="373"/>
    <x v="119"/>
    <n v="1"/>
    <n v="781"/>
    <x v="6"/>
    <x v="6"/>
    <n v="781"/>
    <s v="181660"/>
    <s v="COMEDOR TOLEDO 1+6"/>
    <x v="427"/>
    <n v="1"/>
    <n v="1"/>
  </r>
  <r>
    <n v="9"/>
    <x v="374"/>
    <x v="120"/>
    <n v="6"/>
    <n v="818"/>
    <x v="73"/>
    <x v="73"/>
    <n v="818"/>
    <s v="181749"/>
    <s v="RACK MAYA"/>
    <x v="428"/>
    <n v="1"/>
    <n v="1"/>
  </r>
  <r>
    <n v="9"/>
    <x v="374"/>
    <x v="120"/>
    <n v="7"/>
    <n v="887"/>
    <x v="74"/>
    <x v="74"/>
    <n v="887"/>
    <s v="181814"/>
    <s v="Rack Bravo (BR33)"/>
    <x v="429"/>
    <n v="2"/>
    <n v="2"/>
  </r>
  <r>
    <n v="9"/>
    <x v="375"/>
    <x v="120"/>
    <n v="4"/>
    <n v="906"/>
    <x v="16"/>
    <x v="16"/>
    <n v="906"/>
    <s v="181894"/>
    <s v="Cristalera New Vina"/>
    <x v="430"/>
    <n v="1"/>
    <n v="1"/>
  </r>
  <r>
    <n v="9"/>
    <x v="376"/>
    <x v="120"/>
    <n v="5"/>
    <n v="887"/>
    <x v="74"/>
    <x v="74"/>
    <n v="887"/>
    <s v="181814"/>
    <s v="Rack Bravo (BR33)"/>
    <x v="431"/>
    <n v="1"/>
    <n v="1"/>
  </r>
  <r>
    <n v="9"/>
    <x v="377"/>
    <x v="120"/>
    <n v="1"/>
    <n v="849"/>
    <x v="42"/>
    <x v="42"/>
    <n v="849"/>
    <s v="181794"/>
    <s v="Gabinete Burgos"/>
    <x v="432"/>
    <n v="1"/>
    <n v="1"/>
  </r>
  <r>
    <n v="9"/>
    <x v="377"/>
    <x v="120"/>
    <n v="2"/>
    <n v="809"/>
    <x v="61"/>
    <x v="61"/>
    <n v="809"/>
    <s v="181759"/>
    <s v="Rack Ovalle"/>
    <x v="433"/>
    <n v="1"/>
    <n v="1"/>
  </r>
  <r>
    <n v="9"/>
    <x v="378"/>
    <x v="120"/>
    <n v="3"/>
    <n v="700"/>
    <x v="67"/>
    <x v="67"/>
    <n v="700"/>
    <s v="181626"/>
    <s v="Comedor francia 6+1"/>
    <x v="434"/>
    <n v="1"/>
    <n v="1"/>
  </r>
  <r>
    <n v="9"/>
    <x v="379"/>
    <x v="121"/>
    <n v="17"/>
    <n v="893"/>
    <x v="35"/>
    <x v="35"/>
    <n v="893"/>
    <s v="181810"/>
    <s v="Rack Recife"/>
    <x v="435"/>
    <n v="1"/>
    <n v="1"/>
  </r>
  <r>
    <n v="9"/>
    <x v="379"/>
    <x v="121"/>
    <n v="29"/>
    <n v="729"/>
    <x v="66"/>
    <x v="66"/>
    <n v="729"/>
    <s v="181601"/>
    <s v="Estante Delize"/>
    <x v="436"/>
    <n v="1"/>
    <n v="1"/>
  </r>
  <r>
    <n v="9"/>
    <x v="379"/>
    <x v="121"/>
    <n v="30"/>
    <n v="402"/>
    <x v="32"/>
    <x v="32"/>
    <n v="402"/>
    <s v="161010"/>
    <s v="Escritorio Cali artico"/>
    <x v="437"/>
    <n v="1"/>
    <n v="1"/>
  </r>
  <r>
    <n v="9"/>
    <x v="380"/>
    <x v="121"/>
    <n v="31"/>
    <n v="347"/>
    <x v="40"/>
    <x v="40"/>
    <n v="347"/>
    <s v="160116"/>
    <s v="Mesa de Centro Classic rustico malbec"/>
    <x v="438"/>
    <n v="1"/>
    <n v="1"/>
  </r>
  <r>
    <n v="9"/>
    <x v="374"/>
    <x v="121"/>
    <n v="32"/>
    <n v="474"/>
    <x v="30"/>
    <x v="30"/>
    <n v="474"/>
    <s v="120013"/>
    <s v="Mesa para tv MDP Montana Nat - Bco glas"/>
    <x v="439"/>
    <n v="1"/>
    <n v="1"/>
  </r>
  <r>
    <n v="9"/>
    <x v="374"/>
    <x v="121"/>
    <n v="33"/>
    <n v="970"/>
    <x v="0"/>
    <x v="0"/>
    <n v="506"/>
    <s v="120023"/>
    <s v="Estante Aruba"/>
    <x v="440"/>
    <n v="1"/>
    <n v="1"/>
  </r>
  <r>
    <n v="9"/>
    <x v="381"/>
    <x v="121"/>
    <n v="27"/>
    <n v="632"/>
    <x v="75"/>
    <x v="75"/>
    <n v="632"/>
    <s v="181545A"/>
    <s v="Respaldo Celaya"/>
    <x v="441"/>
    <n v="1"/>
    <n v="1"/>
  </r>
  <r>
    <n v="9"/>
    <x v="382"/>
    <x v="121"/>
    <n v="28"/>
    <n v="182"/>
    <x v="72"/>
    <x v="72"/>
    <n v="182"/>
    <s v="161007"/>
    <s v="Escritorio Malta 2 cajones 1171"/>
    <x v="442"/>
    <n v="1"/>
    <n v="1"/>
  </r>
  <r>
    <n v="9"/>
    <x v="383"/>
    <x v="121"/>
    <n v="8"/>
    <n v="970"/>
    <x v="0"/>
    <x v="0"/>
    <n v="506"/>
    <s v="120023"/>
    <s v="Estante Aruba"/>
    <x v="443"/>
    <n v="1"/>
    <n v="1"/>
  </r>
  <r>
    <n v="9"/>
    <x v="383"/>
    <x v="121"/>
    <n v="9"/>
    <n v="970"/>
    <x v="0"/>
    <x v="0"/>
    <n v="506"/>
    <s v="120023"/>
    <s v="Estante Aruba"/>
    <x v="444"/>
    <n v="1"/>
    <n v="1"/>
  </r>
  <r>
    <n v="9"/>
    <x v="383"/>
    <x v="121"/>
    <n v="10"/>
    <n v="674"/>
    <x v="23"/>
    <x v="23"/>
    <n v="674"/>
    <s v="181595"/>
    <s v="Home Deneb"/>
    <x v="445"/>
    <n v="1"/>
    <n v="1"/>
  </r>
  <r>
    <n v="9"/>
    <x v="384"/>
    <x v="121"/>
    <n v="11"/>
    <n v="970"/>
    <x v="0"/>
    <x v="0"/>
    <n v="506"/>
    <s v="120023"/>
    <s v="Estante Aruba"/>
    <x v="446"/>
    <n v="1"/>
    <n v="1"/>
  </r>
  <r>
    <n v="9"/>
    <x v="384"/>
    <x v="121"/>
    <n v="12"/>
    <n v="181"/>
    <x v="76"/>
    <x v="76"/>
    <n v="181"/>
    <s v="161006"/>
    <s v="Escritorio Lindoia artico/turquesa 1194"/>
    <x v="447"/>
    <n v="1"/>
    <n v="1"/>
  </r>
  <r>
    <n v="9"/>
    <x v="385"/>
    <x v="121"/>
    <n v="13"/>
    <n v="474"/>
    <x v="30"/>
    <x v="30"/>
    <n v="474"/>
    <s v="120013"/>
    <s v="Mesa para tv MDP Montana Nat - Bco glas"/>
    <x v="448"/>
    <n v="1"/>
    <n v="1"/>
  </r>
  <r>
    <n v="9"/>
    <x v="386"/>
    <x v="121"/>
    <n v="14"/>
    <n v="179"/>
    <x v="7"/>
    <x v="7"/>
    <n v="179"/>
    <s v="161004"/>
    <s v="Escritorio Nazca artico 1215"/>
    <x v="449"/>
    <n v="1"/>
    <n v="1"/>
  </r>
  <r>
    <n v="2"/>
    <x v="387"/>
    <x v="109"/>
    <n v="2"/>
    <n v="401"/>
    <x v="21"/>
    <x v="21"/>
    <n v="401"/>
    <s v="161009"/>
    <s v="Escritorio Olimpia aberto - artico"/>
    <x v="450"/>
    <n v="1"/>
    <n v="1"/>
  </r>
  <r>
    <n v="2"/>
    <x v="388"/>
    <x v="109"/>
    <n v="3"/>
    <n v="905"/>
    <x v="39"/>
    <x v="39"/>
    <n v="905"/>
    <s v="181876"/>
    <s v="RACK STAR (QUARTZ)"/>
    <x v="451"/>
    <n v="1"/>
    <n v="1"/>
  </r>
  <r>
    <n v="2"/>
    <x v="389"/>
    <x v="109"/>
    <n v="4"/>
    <n v="970"/>
    <x v="0"/>
    <x v="0"/>
    <n v="506"/>
    <s v="120023"/>
    <s v="Estante Aruba"/>
    <x v="452"/>
    <n v="1"/>
    <n v="1"/>
  </r>
  <r>
    <n v="2"/>
    <x v="390"/>
    <x v="109"/>
    <n v="5"/>
    <n v="632"/>
    <x v="75"/>
    <x v="75"/>
    <n v="632"/>
    <s v="181545A"/>
    <s v="Respaldo Celaya"/>
    <x v="453"/>
    <n v="1"/>
    <n v="1"/>
  </r>
  <r>
    <n v="29"/>
    <x v="391"/>
    <x v="122"/>
    <n v="2"/>
    <n v="956"/>
    <x v="105"/>
    <x v="105"/>
    <n v="956"/>
    <s v="181875"/>
    <s v="MESA CENTRO PLUS"/>
    <x v="454"/>
    <n v="1"/>
    <n v="0"/>
  </r>
  <r>
    <n v="29"/>
    <x v="392"/>
    <x v="122"/>
    <n v="3"/>
    <n v="851"/>
    <x v="33"/>
    <x v="33"/>
    <n v="851"/>
    <s v="181792"/>
    <s v="Kit Cocina Palma + Counter"/>
    <x v="455"/>
    <n v="1"/>
    <n v="1"/>
  </r>
  <r>
    <n v="29"/>
    <x v="393"/>
    <x v="122"/>
    <n v="4"/>
    <n v="829"/>
    <x v="68"/>
    <x v="68"/>
    <n v="829"/>
    <s v="181708"/>
    <s v="ZAPATERA TRIPLE FICUS"/>
    <x v="456"/>
    <n v="1"/>
    <n v="1"/>
  </r>
  <r>
    <n v="29"/>
    <x v="394"/>
    <x v="122"/>
    <n v="5"/>
    <n v="853"/>
    <x v="107"/>
    <x v="107"/>
    <n v="853"/>
    <s v="181777"/>
    <s v="Cabinet Single Isis"/>
    <x v="457"/>
    <n v="1"/>
    <n v="1"/>
  </r>
  <r>
    <n v="29"/>
    <x v="395"/>
    <x v="122"/>
    <n v="6"/>
    <n v="849"/>
    <x v="42"/>
    <x v="42"/>
    <n v="849"/>
    <s v="181794"/>
    <s v="Gabinete Burgos"/>
    <x v="458"/>
    <n v="1"/>
    <n v="1"/>
  </r>
  <r>
    <n v="29"/>
    <x v="396"/>
    <x v="122"/>
    <n v="1"/>
    <n v="787"/>
    <x v="99"/>
    <x v="99"/>
    <n v="787"/>
    <s v="181697"/>
    <s v="RESPALDO SINAI (UN REGRUESO A LO LARGO)"/>
    <x v="459"/>
    <n v="1"/>
    <n v="1"/>
  </r>
  <r>
    <n v="1"/>
    <x v="397"/>
    <x v="123"/>
    <n v="1"/>
    <n v="878"/>
    <x v="77"/>
    <x v="77"/>
    <n v="362"/>
    <s v="170778"/>
    <s v="Rack Arterra rov tx - rov tx 52080"/>
    <x v="75"/>
    <n v="128"/>
    <n v="128"/>
  </r>
  <r>
    <n v="1"/>
    <x v="397"/>
    <x v="123"/>
    <n v="2"/>
    <n v="618"/>
    <x v="90"/>
    <x v="90"/>
    <n v="618"/>
    <s v="181531"/>
    <s v="Lavaplatos 100 Derecho C/Reb Blanco Notavel"/>
    <x v="152"/>
    <n v="6"/>
    <n v="6"/>
  </r>
  <r>
    <n v="1"/>
    <x v="397"/>
    <x v="123"/>
    <n v="3"/>
    <n v="619"/>
    <x v="138"/>
    <x v="138"/>
    <n v="619"/>
    <s v="181532"/>
    <s v="Lavaplatos 100 Izquierdo C/Reb Blanco Notavel"/>
    <x v="155"/>
    <n v="12"/>
    <n v="12"/>
  </r>
  <r>
    <n v="1"/>
    <x v="397"/>
    <x v="123"/>
    <n v="4"/>
    <n v="1103"/>
    <x v="91"/>
    <x v="91"/>
    <n v="1103"/>
    <s v="182075"/>
    <s v="Kit Lavaplatos 80 Salmar Izquierdo"/>
    <x v="77"/>
    <n v="24"/>
    <n v="24"/>
  </r>
  <r>
    <n v="1"/>
    <x v="397"/>
    <x v="123"/>
    <n v="5"/>
    <n v="1100"/>
    <x v="92"/>
    <x v="92"/>
    <n v="1100"/>
    <s v="182076"/>
    <s v="Kit Lavaplatos 80 Salmar Derecho"/>
    <x v="76"/>
    <n v="18"/>
    <n v="18"/>
  </r>
  <r>
    <n v="1"/>
    <x v="397"/>
    <x v="123"/>
    <n v="6"/>
    <n v="621"/>
    <x v="148"/>
    <x v="148"/>
    <n v="621"/>
    <s v="181534"/>
    <s v="Lavaplatos 120 Izquierdo C/Reb Blancoo Notavel"/>
    <x v="153"/>
    <n v="42"/>
    <n v="42"/>
  </r>
  <r>
    <n v="1"/>
    <x v="397"/>
    <x v="123"/>
    <n v="7"/>
    <n v="620"/>
    <x v="93"/>
    <x v="93"/>
    <n v="620"/>
    <s v="181533"/>
    <s v="Lavaplatos 120 Derecho C/Reb Blanco Notavel"/>
    <x v="154"/>
    <n v="36"/>
    <n v="36"/>
  </r>
  <r>
    <n v="4"/>
    <x v="398"/>
    <x v="124"/>
    <n v="1"/>
    <n v="700"/>
    <x v="67"/>
    <x v="67"/>
    <n v="700"/>
    <s v="181626"/>
    <s v="Comedor francia 6+1"/>
    <x v="460"/>
    <n v="1"/>
    <n v="1"/>
  </r>
  <r>
    <n v="4"/>
    <x v="399"/>
    <x v="124"/>
    <n v="2"/>
    <n v="401"/>
    <x v="21"/>
    <x v="21"/>
    <n v="401"/>
    <s v="161009"/>
    <s v="Escritorio Olimpia aberto - artico"/>
    <x v="461"/>
    <n v="1"/>
    <n v="1"/>
  </r>
  <r>
    <n v="6"/>
    <x v="400"/>
    <x v="125"/>
    <n v="1"/>
    <n v="833"/>
    <x v="108"/>
    <x v="108"/>
    <n v="833"/>
    <s v="181713"/>
    <s v="VELADOR 2 CAJONES DALIAS"/>
    <x v="462"/>
    <n v="1"/>
    <n v="1"/>
  </r>
  <r>
    <n v="6"/>
    <x v="401"/>
    <x v="125"/>
    <n v="2"/>
    <n v="936"/>
    <x v="137"/>
    <x v="137"/>
    <n v="936"/>
    <s v="181827"/>
    <s v="Bancada Avila"/>
    <x v="463"/>
    <n v="1"/>
    <n v="1"/>
  </r>
  <r>
    <n v="9"/>
    <x v="402"/>
    <x v="126"/>
    <n v="13"/>
    <n v="905"/>
    <x v="39"/>
    <x v="39"/>
    <n v="905"/>
    <s v="181876"/>
    <s v="RACK STAR (QUARTZ)"/>
    <x v="464"/>
    <n v="1"/>
    <n v="1"/>
  </r>
  <r>
    <n v="9"/>
    <x v="403"/>
    <x v="126"/>
    <n v="10"/>
    <n v="674"/>
    <x v="23"/>
    <x v="23"/>
    <n v="674"/>
    <s v="181595"/>
    <s v="Home Deneb"/>
    <x v="465"/>
    <n v="1"/>
    <n v="1"/>
  </r>
  <r>
    <n v="9"/>
    <x v="404"/>
    <x v="126"/>
    <n v="11"/>
    <n v="638"/>
    <x v="22"/>
    <x v="22"/>
    <n v="638"/>
    <s v="181551"/>
    <s v="Home Ipanema 1.80 "/>
    <x v="466"/>
    <n v="1"/>
    <n v="1"/>
  </r>
  <r>
    <n v="9"/>
    <x v="405"/>
    <x v="126"/>
    <n v="12"/>
    <n v="904"/>
    <x v="149"/>
    <x v="149"/>
    <n v="904"/>
    <s v="181872"/>
    <s v="Rack Antonio (BR 281 Rack TV Stand - Favatex)"/>
    <x v="467"/>
    <n v="1"/>
    <n v="1"/>
  </r>
  <r>
    <n v="9"/>
    <x v="406"/>
    <x v="126"/>
    <n v="9"/>
    <n v="506"/>
    <x v="98"/>
    <x v="98"/>
    <n v="506"/>
    <s v="120023"/>
    <s v="Estante Aruba"/>
    <x v="468"/>
    <n v="1"/>
    <n v="0"/>
  </r>
  <r>
    <n v="9"/>
    <x v="379"/>
    <x v="126"/>
    <n v="8"/>
    <n v="401"/>
    <x v="21"/>
    <x v="21"/>
    <n v="401"/>
    <s v="161009"/>
    <s v="Escritorio Olimpia aberto - artico"/>
    <x v="469"/>
    <n v="1"/>
    <n v="1"/>
  </r>
  <r>
    <n v="9"/>
    <x v="407"/>
    <x v="126"/>
    <n v="5"/>
    <n v="13"/>
    <x v="13"/>
    <x v="13"/>
    <n v="13"/>
    <s v="110301"/>
    <s v="Bar de Canto Puerto Montt Tabaco"/>
    <x v="470"/>
    <n v="1"/>
    <n v="1"/>
  </r>
  <r>
    <n v="9"/>
    <x v="375"/>
    <x v="126"/>
    <n v="6"/>
    <n v="474"/>
    <x v="30"/>
    <x v="30"/>
    <n v="474"/>
    <s v="120013"/>
    <s v="Mesa para tv MDP Montana Nat - Bco glas"/>
    <x v="471"/>
    <n v="1"/>
    <n v="1"/>
  </r>
  <r>
    <n v="9"/>
    <x v="408"/>
    <x v="126"/>
    <n v="7"/>
    <n v="13"/>
    <x v="13"/>
    <x v="13"/>
    <n v="13"/>
    <s v="110301"/>
    <s v="Bar de Canto Puerto Montt Tabaco"/>
    <x v="472"/>
    <n v="1"/>
    <n v="1"/>
  </r>
  <r>
    <n v="9"/>
    <x v="409"/>
    <x v="126"/>
    <n v="4"/>
    <n v="703"/>
    <x v="10"/>
    <x v="10"/>
    <n v="703"/>
    <s v="181629"/>
    <s v="Juego de comedor lauren 1+2+6"/>
    <x v="473"/>
    <n v="1"/>
    <n v="1"/>
  </r>
  <r>
    <n v="9"/>
    <x v="410"/>
    <x v="126"/>
    <n v="2"/>
    <n v="717"/>
    <x v="97"/>
    <x v="97"/>
    <n v="717"/>
    <s v="181643"/>
    <s v="Sofa 2 cuerpos catalina"/>
    <x v="474"/>
    <n v="1"/>
    <n v="1"/>
  </r>
  <r>
    <n v="9"/>
    <x v="411"/>
    <x v="126"/>
    <n v="3"/>
    <n v="704"/>
    <x v="12"/>
    <x v="12"/>
    <n v="704"/>
    <s v="181630"/>
    <s v="Juego de comedor sofia 1+6"/>
    <x v="475"/>
    <n v="1"/>
    <n v="1"/>
  </r>
  <r>
    <n v="9"/>
    <x v="412"/>
    <x v="126"/>
    <n v="1"/>
    <n v="718"/>
    <x v="150"/>
    <x v="150"/>
    <n v="718"/>
    <s v="181644"/>
    <s v="Sofa 2 cuerpos sofia"/>
    <x v="476"/>
    <n v="1"/>
    <n v="1"/>
  </r>
  <r>
    <n v="9"/>
    <x v="406"/>
    <x v="127"/>
    <n v="2"/>
    <n v="877"/>
    <x v="49"/>
    <x v="49"/>
    <n v="877"/>
    <s v="181806"/>
    <s v="RACK LUCCA (RACK ROYAL)"/>
    <x v="477"/>
    <n v="1"/>
    <n v="1"/>
  </r>
  <r>
    <n v="9"/>
    <x v="376"/>
    <x v="127"/>
    <n v="1"/>
    <n v="638"/>
    <x v="22"/>
    <x v="22"/>
    <n v="638"/>
    <s v="181551"/>
    <s v="Home Ipanema 1.80 "/>
    <x v="478"/>
    <n v="1"/>
    <n v="1"/>
  </r>
  <r>
    <n v="9"/>
    <x v="413"/>
    <x v="117"/>
    <n v="8"/>
    <n v="474"/>
    <x v="30"/>
    <x v="30"/>
    <n v="474"/>
    <s v="120013"/>
    <s v="Mesa para tv MDP Montana Nat - Bco glas"/>
    <x v="479"/>
    <n v="1"/>
    <n v="1"/>
  </r>
  <r>
    <n v="9"/>
    <x v="413"/>
    <x v="117"/>
    <n v="9"/>
    <n v="584"/>
    <x v="96"/>
    <x v="96"/>
    <n v="584"/>
    <s v="130290"/>
    <s v="Rack New Montana bco"/>
    <x v="480"/>
    <n v="1"/>
    <n v="1"/>
  </r>
  <r>
    <n v="9"/>
    <x v="414"/>
    <x v="117"/>
    <n v="1"/>
    <n v="584"/>
    <x v="96"/>
    <x v="96"/>
    <n v="584"/>
    <s v="130290"/>
    <s v="Rack New Montana bco"/>
    <x v="481"/>
    <n v="1"/>
    <n v="1"/>
  </r>
  <r>
    <n v="9"/>
    <x v="414"/>
    <x v="117"/>
    <n v="2"/>
    <n v="886"/>
    <x v="151"/>
    <x v="151"/>
    <n v="886"/>
    <s v="181813"/>
    <s v="Rack Kemi"/>
    <x v="482"/>
    <n v="1"/>
    <n v="1"/>
  </r>
  <r>
    <n v="9"/>
    <x v="414"/>
    <x v="117"/>
    <n v="3"/>
    <n v="641"/>
    <x v="20"/>
    <x v="20"/>
    <n v="641"/>
    <s v="181554"/>
    <s v="Mesa Para TV Puerto Rico"/>
    <x v="483"/>
    <n v="1"/>
    <n v="1"/>
  </r>
  <r>
    <n v="9"/>
    <x v="415"/>
    <x v="117"/>
    <n v="4"/>
    <n v="474"/>
    <x v="30"/>
    <x v="30"/>
    <n v="474"/>
    <s v="120013"/>
    <s v="Mesa para tv MDP Montana Nat - Bco glas"/>
    <x v="484"/>
    <n v="1"/>
    <n v="1"/>
  </r>
  <r>
    <n v="9"/>
    <x v="355"/>
    <x v="128"/>
    <n v="8"/>
    <n v="403"/>
    <x v="27"/>
    <x v="27"/>
    <n v="403"/>
    <s v="161011"/>
    <s v="Escritorio Curitiba artico"/>
    <x v="485"/>
    <n v="1"/>
    <n v="1"/>
  </r>
  <r>
    <n v="9"/>
    <x v="416"/>
    <x v="128"/>
    <n v="6"/>
    <n v="792"/>
    <x v="152"/>
    <x v="152"/>
    <n v="792"/>
    <s v="181704"/>
    <s v="Rack Inca 2 Cajones"/>
    <x v="486"/>
    <n v="1"/>
    <n v="1"/>
  </r>
  <r>
    <n v="9"/>
    <x v="414"/>
    <x v="128"/>
    <n v="7"/>
    <n v="905"/>
    <x v="39"/>
    <x v="39"/>
    <n v="905"/>
    <s v="181876"/>
    <s v="RACK STAR (QUARTZ)"/>
    <x v="487"/>
    <n v="1"/>
    <n v="1"/>
  </r>
  <r>
    <n v="9"/>
    <x v="382"/>
    <x v="128"/>
    <n v="3"/>
    <n v="13"/>
    <x v="13"/>
    <x v="13"/>
    <n v="13"/>
    <s v="110301"/>
    <s v="Bar de Canto Puerto Montt Tabaco"/>
    <x v="488"/>
    <n v="1"/>
    <n v="1"/>
  </r>
  <r>
    <n v="24"/>
    <x v="417"/>
    <x v="129"/>
    <n v="1"/>
    <n v="813"/>
    <x v="79"/>
    <x v="79"/>
    <n v="813"/>
    <s v="181782"/>
    <s v="Kit Yara 160 (181638) +  Alacena (181641)"/>
    <x v="489"/>
    <n v="1"/>
    <n v="1"/>
  </r>
  <r>
    <n v="24"/>
    <x v="418"/>
    <x v="129"/>
    <n v="2"/>
    <n v="813"/>
    <x v="79"/>
    <x v="79"/>
    <n v="813"/>
    <s v="181782"/>
    <s v="Kit Yara 160 (181638) +  Alacena (181641)"/>
    <x v="490"/>
    <n v="1"/>
    <n v="1"/>
  </r>
  <r>
    <n v="9"/>
    <x v="419"/>
    <x v="130"/>
    <n v="1"/>
    <n v="774"/>
    <x v="109"/>
    <x v="109"/>
    <n v="774"/>
    <s v="181696"/>
    <s v="Camarote 303"/>
    <x v="34"/>
    <n v="25"/>
    <n v="25"/>
  </r>
  <r>
    <n v="6"/>
    <x v="420"/>
    <x v="131"/>
    <n v="18"/>
    <n v="523"/>
    <x v="153"/>
    <x v="153"/>
    <n v="523"/>
    <s v="120066"/>
    <s v="Mesa para TV MDP New Montana 2 negro -negro glass "/>
    <x v="491"/>
    <n v="1"/>
    <n v="1"/>
  </r>
  <r>
    <n v="6"/>
    <x v="421"/>
    <x v="131"/>
    <n v="19"/>
    <n v="13"/>
    <x v="13"/>
    <x v="13"/>
    <n v="13"/>
    <s v="110301"/>
    <s v="Bar de Canto Puerto Montt Tabaco"/>
    <x v="492"/>
    <n v="1"/>
    <n v="1"/>
  </r>
  <r>
    <n v="6"/>
    <x v="422"/>
    <x v="131"/>
    <n v="20"/>
    <n v="893"/>
    <x v="35"/>
    <x v="35"/>
    <n v="893"/>
    <s v="181810"/>
    <s v="Rack Recife"/>
    <x v="493"/>
    <n v="1"/>
    <n v="1"/>
  </r>
  <r>
    <n v="6"/>
    <x v="423"/>
    <x v="131"/>
    <n v="21"/>
    <n v="400"/>
    <x v="89"/>
    <x v="89"/>
    <n v="400"/>
    <s v="161008"/>
    <s v="Escritorio Fenix Artico"/>
    <x v="494"/>
    <n v="1"/>
    <n v="1"/>
  </r>
  <r>
    <n v="6"/>
    <x v="424"/>
    <x v="131"/>
    <n v="22"/>
    <n v="400"/>
    <x v="89"/>
    <x v="89"/>
    <n v="400"/>
    <s v="161008"/>
    <s v="Escritorio Fenix Artico"/>
    <x v="495"/>
    <n v="1"/>
    <n v="1"/>
  </r>
  <r>
    <n v="6"/>
    <x v="425"/>
    <x v="131"/>
    <n v="12"/>
    <n v="181"/>
    <x v="76"/>
    <x v="76"/>
    <n v="181"/>
    <s v="161006"/>
    <s v="Escritorio Lindoia artico/turquesa 1194"/>
    <x v="496"/>
    <n v="1"/>
    <n v="1"/>
  </r>
  <r>
    <n v="6"/>
    <x v="426"/>
    <x v="131"/>
    <n v="13"/>
    <n v="826"/>
    <x v="154"/>
    <x v="154"/>
    <n v="826"/>
    <s v="181768"/>
    <s v="Rack Br 375"/>
    <x v="497"/>
    <n v="1"/>
    <n v="1"/>
  </r>
  <r>
    <n v="6"/>
    <x v="427"/>
    <x v="131"/>
    <n v="14"/>
    <n v="809"/>
    <x v="61"/>
    <x v="61"/>
    <n v="809"/>
    <s v="181759"/>
    <s v="Rack Ovalle"/>
    <x v="498"/>
    <n v="1"/>
    <n v="1"/>
  </r>
  <r>
    <n v="6"/>
    <x v="428"/>
    <x v="131"/>
    <n v="15"/>
    <n v="534"/>
    <x v="24"/>
    <x v="24"/>
    <n v="534"/>
    <s v="175118"/>
    <s v="Respaldo Oregon 2plz + 2 veladores"/>
    <x v="499"/>
    <n v="1"/>
    <n v="1"/>
  </r>
  <r>
    <n v="6"/>
    <x v="429"/>
    <x v="131"/>
    <n v="16"/>
    <n v="842"/>
    <x v="36"/>
    <x v="36"/>
    <n v="842"/>
    <s v="181767"/>
    <s v="Panel Ipe"/>
    <x v="500"/>
    <n v="1"/>
    <n v="1"/>
  </r>
  <r>
    <n v="6"/>
    <x v="430"/>
    <x v="131"/>
    <n v="17"/>
    <n v="937"/>
    <x v="155"/>
    <x v="155"/>
    <n v="937"/>
    <s v="181837"/>
    <s v="Rack Jeri"/>
    <x v="501"/>
    <n v="1"/>
    <n v="1"/>
  </r>
  <r>
    <n v="6"/>
    <x v="431"/>
    <x v="131"/>
    <n v="6"/>
    <n v="400"/>
    <x v="89"/>
    <x v="89"/>
    <n v="400"/>
    <s v="161008"/>
    <s v="Escritorio Fenix Artico"/>
    <x v="502"/>
    <n v="1"/>
    <n v="1"/>
  </r>
  <r>
    <n v="6"/>
    <x v="432"/>
    <x v="131"/>
    <n v="7"/>
    <n v="534"/>
    <x v="24"/>
    <x v="24"/>
    <n v="534"/>
    <s v="175118"/>
    <s v="Respaldo Oregon 2plz + 2 veladores"/>
    <x v="503"/>
    <n v="1"/>
    <n v="1"/>
  </r>
  <r>
    <n v="6"/>
    <x v="433"/>
    <x v="131"/>
    <n v="8"/>
    <n v="965"/>
    <x v="156"/>
    <x v="156"/>
    <n v="965"/>
    <s v="181929"/>
    <s v="Comedor Serena Dark Rouge 1+6"/>
    <x v="504"/>
    <n v="1"/>
    <n v="1"/>
  </r>
  <r>
    <n v="6"/>
    <x v="434"/>
    <x v="131"/>
    <n v="9"/>
    <n v="501"/>
    <x v="5"/>
    <x v="5"/>
    <n v="501"/>
    <s v="170782"/>
    <s v="Rack atacama pt mad castaño 160295"/>
    <x v="505"/>
    <n v="1"/>
    <n v="1"/>
  </r>
  <r>
    <n v="6"/>
    <x v="435"/>
    <x v="131"/>
    <n v="10"/>
    <n v="501"/>
    <x v="5"/>
    <x v="5"/>
    <n v="501"/>
    <s v="170782"/>
    <s v="Rack atacama pt mad castaño 160295"/>
    <x v="506"/>
    <n v="1"/>
    <n v="1"/>
  </r>
  <r>
    <n v="6"/>
    <x v="436"/>
    <x v="131"/>
    <n v="11"/>
    <n v="347"/>
    <x v="40"/>
    <x v="40"/>
    <n v="347"/>
    <s v="160116"/>
    <s v="Mesa de Centro Classic rustico malbec"/>
    <x v="507"/>
    <n v="1"/>
    <n v="1"/>
  </r>
  <r>
    <n v="6"/>
    <x v="437"/>
    <x v="131"/>
    <n v="1"/>
    <n v="182"/>
    <x v="72"/>
    <x v="72"/>
    <n v="182"/>
    <s v="161007"/>
    <s v="Escritorio Malta 2 cajones 1171"/>
    <x v="508"/>
    <n v="1"/>
    <n v="1"/>
  </r>
  <r>
    <n v="6"/>
    <x v="438"/>
    <x v="131"/>
    <n v="2"/>
    <n v="400"/>
    <x v="89"/>
    <x v="89"/>
    <n v="400"/>
    <s v="161008"/>
    <s v="Escritorio Fenix Artico"/>
    <x v="509"/>
    <n v="1"/>
    <n v="1"/>
  </r>
  <r>
    <n v="6"/>
    <x v="439"/>
    <x v="131"/>
    <n v="3"/>
    <n v="821"/>
    <x v="65"/>
    <x v="65"/>
    <n v="821"/>
    <s v="181751"/>
    <s v="HOME NINA"/>
    <x v="510"/>
    <n v="1"/>
    <n v="1"/>
  </r>
  <r>
    <n v="6"/>
    <x v="440"/>
    <x v="131"/>
    <n v="4"/>
    <n v="936"/>
    <x v="137"/>
    <x v="137"/>
    <n v="936"/>
    <s v="181827"/>
    <s v="Bancada Avila"/>
    <x v="511"/>
    <n v="1"/>
    <n v="1"/>
  </r>
  <r>
    <n v="6"/>
    <x v="441"/>
    <x v="131"/>
    <n v="5"/>
    <n v="842"/>
    <x v="36"/>
    <x v="36"/>
    <n v="842"/>
    <s v="181767"/>
    <s v="Panel Ipe"/>
    <x v="512"/>
    <n v="1"/>
    <n v="1"/>
  </r>
  <r>
    <n v="9"/>
    <x v="442"/>
    <x v="132"/>
    <n v="12"/>
    <n v="905"/>
    <x v="39"/>
    <x v="39"/>
    <n v="905"/>
    <s v="181876"/>
    <s v="RACK STAR (QUARTZ)"/>
    <x v="513"/>
    <n v="1"/>
    <n v="1"/>
  </r>
  <r>
    <n v="9"/>
    <x v="443"/>
    <x v="132"/>
    <n v="13"/>
    <n v="900"/>
    <x v="133"/>
    <x v="133"/>
    <n v="900"/>
    <s v="181863"/>
    <s v="Arrimo Miró"/>
    <x v="514"/>
    <n v="1"/>
    <n v="1"/>
  </r>
  <r>
    <n v="9"/>
    <x v="444"/>
    <x v="132"/>
    <n v="14"/>
    <n v="954"/>
    <x v="141"/>
    <x v="141"/>
    <n v="954"/>
    <s v="181873"/>
    <s v="Rack Jose"/>
    <x v="515"/>
    <n v="1"/>
    <n v="1"/>
  </r>
  <r>
    <n v="3"/>
    <x v="202"/>
    <x v="65"/>
    <n v="2"/>
    <n v="970"/>
    <x v="0"/>
    <x v="0"/>
    <n v="506"/>
    <s v="120023"/>
    <s v="Estante Aruba"/>
    <x v="516"/>
    <n v="1"/>
    <n v="1"/>
  </r>
  <r>
    <n v="3"/>
    <x v="201"/>
    <x v="65"/>
    <n v="10"/>
    <n v="970"/>
    <x v="0"/>
    <x v="0"/>
    <n v="506"/>
    <s v="120023"/>
    <s v="Estante Aruba"/>
    <x v="517"/>
    <n v="1"/>
    <n v="1"/>
  </r>
  <r>
    <n v="3"/>
    <x v="201"/>
    <x v="65"/>
    <n v="11"/>
    <n v="970"/>
    <x v="0"/>
    <x v="0"/>
    <n v="506"/>
    <s v="120023"/>
    <s v="Estante Aruba"/>
    <x v="518"/>
    <n v="1"/>
    <n v="1"/>
  </r>
  <r>
    <n v="3"/>
    <x v="201"/>
    <x v="65"/>
    <n v="12"/>
    <n v="824"/>
    <x v="1"/>
    <x v="1"/>
    <n v="824"/>
    <s v="181756"/>
    <s v="Rack Line (New Zero)"/>
    <x v="519"/>
    <n v="2"/>
    <n v="2"/>
  </r>
  <r>
    <n v="3"/>
    <x v="233"/>
    <x v="65"/>
    <n v="3"/>
    <n v="13"/>
    <x v="13"/>
    <x v="13"/>
    <n v="13"/>
    <s v="110301"/>
    <s v="Bar de Canto Puerto Montt Tabaco"/>
    <x v="520"/>
    <n v="1"/>
    <n v="1"/>
  </r>
  <r>
    <n v="3"/>
    <x v="233"/>
    <x v="65"/>
    <n v="7"/>
    <n v="824"/>
    <x v="1"/>
    <x v="1"/>
    <n v="824"/>
    <s v="181756"/>
    <s v="Rack Line (New Zero)"/>
    <x v="521"/>
    <n v="1"/>
    <n v="1"/>
  </r>
  <r>
    <n v="3"/>
    <x v="233"/>
    <x v="65"/>
    <n v="13"/>
    <n v="970"/>
    <x v="0"/>
    <x v="0"/>
    <n v="506"/>
    <s v="120023"/>
    <s v="Estante Aruba"/>
    <x v="522"/>
    <n v="1"/>
    <n v="1"/>
  </r>
  <r>
    <n v="3"/>
    <x v="233"/>
    <x v="65"/>
    <n v="14"/>
    <n v="970"/>
    <x v="0"/>
    <x v="0"/>
    <n v="506"/>
    <s v="120023"/>
    <s v="Estante Aruba"/>
    <x v="290"/>
    <n v="1"/>
    <n v="1"/>
  </r>
  <r>
    <n v="4"/>
    <x v="445"/>
    <x v="133"/>
    <n v="1"/>
    <n v="673"/>
    <x v="113"/>
    <x v="113"/>
    <n v="673"/>
    <s v="181594"/>
    <s v="Rack Alma (onix)"/>
    <x v="523"/>
    <n v="2"/>
    <n v="2"/>
  </r>
  <r>
    <n v="4"/>
    <x v="446"/>
    <x v="134"/>
    <n v="1"/>
    <n v="501"/>
    <x v="5"/>
    <x v="5"/>
    <n v="501"/>
    <s v="170782"/>
    <s v="Rack atacama pt mad castaño 160295"/>
    <x v="524"/>
    <n v="1"/>
    <n v="1"/>
  </r>
  <r>
    <n v="4"/>
    <x v="447"/>
    <x v="135"/>
    <n v="1"/>
    <n v="342"/>
    <x v="63"/>
    <x v="63"/>
    <n v="342"/>
    <s v="160111"/>
    <s v="Mesa de Lateral ALBA bco laca - café"/>
    <x v="525"/>
    <n v="1"/>
    <n v="0"/>
  </r>
  <r>
    <n v="4"/>
    <x v="448"/>
    <x v="135"/>
    <n v="2"/>
    <n v="673"/>
    <x v="113"/>
    <x v="113"/>
    <n v="673"/>
    <s v="181594"/>
    <s v="Rack Alma (onix)"/>
    <x v="526"/>
    <n v="1"/>
    <n v="1"/>
  </r>
  <r>
    <n v="9"/>
    <x v="449"/>
    <x v="136"/>
    <n v="4"/>
    <n v="561"/>
    <x v="157"/>
    <x v="157"/>
    <n v="561"/>
    <s v="130267"/>
    <s v="Home Turin Naturale"/>
    <x v="527"/>
    <n v="1"/>
    <n v="1"/>
  </r>
  <r>
    <n v="9"/>
    <x v="450"/>
    <x v="136"/>
    <n v="5"/>
    <n v="674"/>
    <x v="23"/>
    <x v="23"/>
    <n v="674"/>
    <s v="181595"/>
    <s v="Home Deneb"/>
    <x v="528"/>
    <n v="2"/>
    <n v="2"/>
  </r>
  <r>
    <n v="9"/>
    <x v="451"/>
    <x v="136"/>
    <n v="6"/>
    <n v="641"/>
    <x v="20"/>
    <x v="20"/>
    <n v="641"/>
    <s v="181554"/>
    <s v="Mesa Para TV Puerto Rico"/>
    <x v="529"/>
    <n v="1"/>
    <n v="1"/>
  </r>
  <r>
    <n v="9"/>
    <x v="451"/>
    <x v="136"/>
    <n v="7"/>
    <n v="404"/>
    <x v="17"/>
    <x v="17"/>
    <n v="404"/>
    <s v="161012"/>
    <s v="kit dormitorio + modulo 1233 + 3017 aberto"/>
    <x v="530"/>
    <n v="1"/>
    <n v="1"/>
  </r>
  <r>
    <n v="9"/>
    <x v="452"/>
    <x v="136"/>
    <n v="1"/>
    <n v="698"/>
    <x v="146"/>
    <x v="146"/>
    <n v="698"/>
    <s v="181624"/>
    <s v="Rack tv palu"/>
    <x v="531"/>
    <n v="1"/>
    <n v="1"/>
  </r>
  <r>
    <n v="9"/>
    <x v="452"/>
    <x v="136"/>
    <n v="2"/>
    <n v="382"/>
    <x v="50"/>
    <x v="50"/>
    <n v="382"/>
    <s v="165690"/>
    <s v="Cocina Flavia teka - brown"/>
    <x v="532"/>
    <n v="1"/>
    <n v="1"/>
  </r>
  <r>
    <n v="9"/>
    <x v="453"/>
    <x v="136"/>
    <n v="3"/>
    <n v="638"/>
    <x v="22"/>
    <x v="22"/>
    <n v="638"/>
    <s v="181551"/>
    <s v="Home Ipanema 1.80 "/>
    <x v="533"/>
    <n v="1"/>
    <n v="1"/>
  </r>
  <r>
    <n v="9"/>
    <x v="454"/>
    <x v="137"/>
    <n v="2"/>
    <n v="13"/>
    <x v="13"/>
    <x v="13"/>
    <n v="13"/>
    <s v="110301"/>
    <s v="Bar de Canto Puerto Montt Tabaco"/>
    <x v="534"/>
    <n v="1"/>
    <n v="1"/>
  </r>
  <r>
    <n v="9"/>
    <x v="451"/>
    <x v="137"/>
    <n v="3"/>
    <n v="970"/>
    <x v="0"/>
    <x v="0"/>
    <n v="506"/>
    <s v="120023"/>
    <s v="Estante Aruba"/>
    <x v="535"/>
    <n v="1"/>
    <n v="1"/>
  </r>
  <r>
    <n v="9"/>
    <x v="451"/>
    <x v="137"/>
    <n v="4"/>
    <n v="383"/>
    <x v="158"/>
    <x v="158"/>
    <n v="383"/>
    <s v="140632"/>
    <s v="Arrimo Hanna 2128 Sunset/Blanco"/>
    <x v="536"/>
    <n v="1"/>
    <n v="1"/>
  </r>
  <r>
    <n v="9"/>
    <x v="453"/>
    <x v="137"/>
    <n v="1"/>
    <n v="382"/>
    <x v="50"/>
    <x v="50"/>
    <n v="382"/>
    <s v="165690"/>
    <s v="Cocina Flavia teka - brown"/>
    <x v="537"/>
    <n v="1"/>
    <n v="1"/>
  </r>
  <r>
    <n v="2"/>
    <x v="455"/>
    <x v="138"/>
    <n v="1"/>
    <n v="347"/>
    <x v="40"/>
    <x v="40"/>
    <n v="347"/>
    <s v="160116"/>
    <s v="Mesa de Centro Classic rustico malbec"/>
    <x v="538"/>
    <n v="1"/>
    <n v="1"/>
  </r>
  <r>
    <n v="5"/>
    <x v="456"/>
    <x v="139"/>
    <n v="1"/>
    <n v="496"/>
    <x v="159"/>
    <x v="159"/>
    <n v="496"/>
    <s v="165530"/>
    <s v="Armario aereo con perchero 160395"/>
    <x v="34"/>
    <n v="1"/>
    <n v="1"/>
  </r>
  <r>
    <n v="5"/>
    <x v="457"/>
    <x v="139"/>
    <n v="2"/>
    <n v="409"/>
    <x v="47"/>
    <x v="47"/>
    <n v="409"/>
    <s v="120011"/>
    <s v="Home Roma "/>
    <x v="34"/>
    <n v="1"/>
    <n v="1"/>
  </r>
  <r>
    <n v="29"/>
    <x v="458"/>
    <x v="140"/>
    <n v="1"/>
    <n v="850"/>
    <x v="140"/>
    <x v="140"/>
    <n v="850"/>
    <s v="181796"/>
    <s v="Gabinete Compostela"/>
    <x v="539"/>
    <n v="1"/>
    <n v="1"/>
  </r>
  <r>
    <n v="29"/>
    <x v="459"/>
    <x v="140"/>
    <n v="2"/>
    <n v="854"/>
    <x v="160"/>
    <x v="160"/>
    <n v="854"/>
    <s v="181706"/>
    <s v="BUFFET 2 PTAS. 3 CAJONES FLORENCE"/>
    <x v="540"/>
    <n v="1"/>
    <n v="1"/>
  </r>
  <r>
    <n v="2"/>
    <x v="460"/>
    <x v="141"/>
    <n v="1"/>
    <n v="698"/>
    <x v="146"/>
    <x v="146"/>
    <n v="698"/>
    <s v="181624"/>
    <s v="Rack tv palu"/>
    <x v="541"/>
    <n v="1"/>
    <n v="1"/>
  </r>
  <r>
    <n v="2"/>
    <x v="461"/>
    <x v="141"/>
    <n v="2"/>
    <n v="729"/>
    <x v="66"/>
    <x v="66"/>
    <n v="729"/>
    <s v="181601"/>
    <s v="Estante Delize"/>
    <x v="542"/>
    <n v="1"/>
    <n v="1"/>
  </r>
  <r>
    <n v="2"/>
    <x v="462"/>
    <x v="141"/>
    <n v="3"/>
    <n v="498"/>
    <x v="41"/>
    <x v="41"/>
    <n v="498"/>
    <s v="160121"/>
    <s v="Mesa de centro pt mad Cataño 160389"/>
    <x v="543"/>
    <n v="1"/>
    <n v="1"/>
  </r>
  <r>
    <n v="24"/>
    <x v="463"/>
    <x v="142"/>
    <n v="2"/>
    <n v="362"/>
    <x v="161"/>
    <x v="161"/>
    <n v="362"/>
    <s v="170778"/>
    <s v="Rack Arterra rov tx - rov tx 52080"/>
    <x v="544"/>
    <n v="1"/>
    <n v="1"/>
  </r>
  <r>
    <n v="24"/>
    <x v="464"/>
    <x v="142"/>
    <n v="1"/>
    <n v="382"/>
    <x v="50"/>
    <x v="50"/>
    <n v="382"/>
    <s v="165690"/>
    <s v="Cocina Flavia teka - brown"/>
    <x v="545"/>
    <n v="1"/>
    <n v="1"/>
  </r>
  <r>
    <n v="3"/>
    <x v="465"/>
    <x v="143"/>
    <n v="2"/>
    <n v="824"/>
    <x v="1"/>
    <x v="1"/>
    <n v="824"/>
    <s v="181756"/>
    <s v="Rack Line (New Zero)"/>
    <x v="546"/>
    <n v="1"/>
    <n v="1"/>
  </r>
  <r>
    <n v="24"/>
    <x v="466"/>
    <x v="144"/>
    <n v="1"/>
    <n v="813"/>
    <x v="79"/>
    <x v="79"/>
    <n v="813"/>
    <s v="181782"/>
    <s v="Kit Yara 160 (181638) +  Alacena (181641)"/>
    <x v="547"/>
    <n v="1"/>
    <n v="1"/>
  </r>
  <r>
    <n v="24"/>
    <x v="467"/>
    <x v="144"/>
    <n v="2"/>
    <n v="680"/>
    <x v="116"/>
    <x v="116"/>
    <n v="680"/>
    <s v="181600"/>
    <s v="Estante Cristal"/>
    <x v="548"/>
    <n v="1"/>
    <n v="1"/>
  </r>
  <r>
    <n v="24"/>
    <x v="468"/>
    <x v="144"/>
    <n v="3"/>
    <n v="382"/>
    <x v="50"/>
    <x v="50"/>
    <n v="382"/>
    <s v="165690"/>
    <s v="Cocina Flavia teka - brown"/>
    <x v="549"/>
    <n v="1"/>
    <n v="1"/>
  </r>
  <r>
    <n v="4"/>
    <x v="469"/>
    <x v="145"/>
    <n v="1"/>
    <n v="141"/>
    <x v="9"/>
    <x v="9"/>
    <n v="141"/>
    <s v="165504"/>
    <s v="Tabla de planchar Florence bco 55002"/>
    <x v="550"/>
    <n v="1"/>
    <n v="1"/>
  </r>
  <r>
    <n v="4"/>
    <x v="470"/>
    <x v="145"/>
    <n v="2"/>
    <n v="13"/>
    <x v="13"/>
    <x v="13"/>
    <n v="13"/>
    <s v="110301"/>
    <s v="Bar de Canto Puerto Montt Tabaco"/>
    <x v="551"/>
    <n v="1"/>
    <n v="1"/>
  </r>
  <r>
    <n v="9"/>
    <x v="471"/>
    <x v="66"/>
    <n v="2"/>
    <n v="774"/>
    <x v="109"/>
    <x v="109"/>
    <n v="774"/>
    <s v="181696"/>
    <s v="Camarote 303"/>
    <x v="552"/>
    <n v="1"/>
    <n v="1"/>
  </r>
  <r>
    <n v="9"/>
    <x v="472"/>
    <x v="66"/>
    <n v="1"/>
    <n v="774"/>
    <x v="109"/>
    <x v="109"/>
    <n v="774"/>
    <s v="181696"/>
    <s v="Camarote 303"/>
    <x v="553"/>
    <n v="1"/>
    <n v="1"/>
  </r>
  <r>
    <n v="9"/>
    <x v="219"/>
    <x v="146"/>
    <n v="9"/>
    <n v="605"/>
    <x v="162"/>
    <x v="162"/>
    <n v="605"/>
    <s v="181515"/>
    <s v="Poltrona Luna"/>
    <x v="554"/>
    <n v="1"/>
    <n v="1"/>
  </r>
  <r>
    <n v="9"/>
    <x v="62"/>
    <x v="146"/>
    <n v="8"/>
    <n v="680"/>
    <x v="116"/>
    <x v="116"/>
    <n v="680"/>
    <s v="181600"/>
    <s v="Estante Cristal"/>
    <x v="555"/>
    <n v="1"/>
    <n v="1"/>
  </r>
  <r>
    <n v="9"/>
    <x v="473"/>
    <x v="146"/>
    <n v="7"/>
    <n v="774"/>
    <x v="109"/>
    <x v="109"/>
    <n v="774"/>
    <s v="181696"/>
    <s v="Camarote 303"/>
    <x v="556"/>
    <n v="1"/>
    <n v="1"/>
  </r>
  <r>
    <n v="9"/>
    <x v="214"/>
    <x v="146"/>
    <n v="5"/>
    <n v="704"/>
    <x v="12"/>
    <x v="12"/>
    <n v="704"/>
    <s v="181630"/>
    <s v="Juego de comedor sofia 1+6"/>
    <x v="557"/>
    <n v="1"/>
    <n v="1"/>
  </r>
  <r>
    <n v="9"/>
    <x v="474"/>
    <x v="146"/>
    <n v="6"/>
    <n v="774"/>
    <x v="109"/>
    <x v="109"/>
    <n v="774"/>
    <s v="181696"/>
    <s v="Camarote 303"/>
    <x v="558"/>
    <n v="1"/>
    <n v="1"/>
  </r>
  <r>
    <n v="9"/>
    <x v="475"/>
    <x v="146"/>
    <n v="4"/>
    <n v="673"/>
    <x v="113"/>
    <x v="113"/>
    <n v="673"/>
    <s v="181594"/>
    <s v="Rack Alma (onix)"/>
    <x v="559"/>
    <n v="1"/>
    <n v="1"/>
  </r>
  <r>
    <n v="9"/>
    <x v="476"/>
    <x v="146"/>
    <n v="3"/>
    <n v="774"/>
    <x v="109"/>
    <x v="109"/>
    <n v="774"/>
    <s v="181696"/>
    <s v="Camarote 303"/>
    <x v="560"/>
    <n v="1"/>
    <n v="1"/>
  </r>
  <r>
    <n v="9"/>
    <x v="477"/>
    <x v="146"/>
    <n v="2"/>
    <n v="774"/>
    <x v="109"/>
    <x v="109"/>
    <n v="774"/>
    <s v="181696"/>
    <s v="Camarote 303"/>
    <x v="561"/>
    <n v="1"/>
    <n v="1"/>
  </r>
  <r>
    <n v="9"/>
    <x v="478"/>
    <x v="146"/>
    <n v="1"/>
    <n v="774"/>
    <x v="109"/>
    <x v="109"/>
    <n v="774"/>
    <s v="181696"/>
    <s v="Camarote 303"/>
    <x v="562"/>
    <n v="1"/>
    <n v="1"/>
  </r>
  <r>
    <n v="6"/>
    <x v="479"/>
    <x v="147"/>
    <n v="3"/>
    <n v="701"/>
    <x v="3"/>
    <x v="3"/>
    <n v="701"/>
    <s v="181627"/>
    <s v="Juego de comedor oxford 1+6"/>
    <x v="563"/>
    <n v="1"/>
    <n v="1"/>
  </r>
  <r>
    <n v="6"/>
    <x v="480"/>
    <x v="147"/>
    <n v="1"/>
    <n v="400"/>
    <x v="89"/>
    <x v="89"/>
    <n v="400"/>
    <s v="161008"/>
    <s v="Escritorio Fenix Artico"/>
    <x v="564"/>
    <n v="1"/>
    <n v="1"/>
  </r>
  <r>
    <n v="6"/>
    <x v="481"/>
    <x v="147"/>
    <n v="2"/>
    <n v="851"/>
    <x v="33"/>
    <x v="33"/>
    <n v="851"/>
    <s v="181792"/>
    <s v="Kit Cocina Palma + Counter"/>
    <x v="565"/>
    <n v="1"/>
    <n v="1"/>
  </r>
  <r>
    <n v="6"/>
    <x v="482"/>
    <x v="148"/>
    <n v="3"/>
    <n v="534"/>
    <x v="24"/>
    <x v="24"/>
    <n v="534"/>
    <s v="175118"/>
    <s v="Respaldo Oregon 2plz + 2 veladores"/>
    <x v="566"/>
    <n v="1"/>
    <n v="1"/>
  </r>
  <r>
    <n v="6"/>
    <x v="483"/>
    <x v="148"/>
    <n v="1"/>
    <n v="698"/>
    <x v="146"/>
    <x v="146"/>
    <n v="698"/>
    <s v="181624"/>
    <s v="Rack tv palu"/>
    <x v="567"/>
    <n v="1"/>
    <n v="1"/>
  </r>
  <r>
    <n v="6"/>
    <x v="484"/>
    <x v="148"/>
    <n v="2"/>
    <n v="496"/>
    <x v="159"/>
    <x v="159"/>
    <n v="496"/>
    <s v="165530"/>
    <s v="Armario aereo con perchero 160395"/>
    <x v="568"/>
    <n v="4"/>
    <n v="4"/>
  </r>
  <r>
    <n v="4"/>
    <x v="485"/>
    <x v="149"/>
    <n v="6"/>
    <n v="462"/>
    <x v="163"/>
    <x v="163"/>
    <n v="462"/>
    <s v="140679"/>
    <s v="Arrimo Monaco amarillo"/>
    <x v="569"/>
    <n v="1"/>
    <n v="1"/>
  </r>
  <r>
    <n v="4"/>
    <x v="486"/>
    <x v="149"/>
    <n v="7"/>
    <n v="501"/>
    <x v="5"/>
    <x v="5"/>
    <n v="501"/>
    <s v="170782"/>
    <s v="Rack atacama pt mad castaño 160295"/>
    <x v="570"/>
    <n v="1"/>
    <n v="1"/>
  </r>
  <r>
    <n v="4"/>
    <x v="487"/>
    <x v="149"/>
    <n v="3"/>
    <n v="501"/>
    <x v="5"/>
    <x v="5"/>
    <n v="501"/>
    <s v="170782"/>
    <s v="Rack atacama pt mad castaño 160295"/>
    <x v="571"/>
    <n v="1"/>
    <n v="1"/>
  </r>
  <r>
    <n v="4"/>
    <x v="488"/>
    <x v="149"/>
    <n v="4"/>
    <n v="501"/>
    <x v="5"/>
    <x v="5"/>
    <n v="501"/>
    <s v="170782"/>
    <s v="Rack atacama pt mad castaño 160295"/>
    <x v="572"/>
    <n v="1"/>
    <n v="1"/>
  </r>
  <r>
    <n v="4"/>
    <x v="489"/>
    <x v="149"/>
    <n v="5"/>
    <n v="701"/>
    <x v="3"/>
    <x v="3"/>
    <n v="701"/>
    <s v="181627"/>
    <s v="Juego de comedor oxford 1+6"/>
    <x v="573"/>
    <n v="1"/>
    <n v="1"/>
  </r>
  <r>
    <n v="4"/>
    <x v="490"/>
    <x v="149"/>
    <n v="2"/>
    <n v="702"/>
    <x v="26"/>
    <x v="26"/>
    <n v="702"/>
    <s v="181628"/>
    <s v="Juego de 2 andres  1+4"/>
    <x v="574"/>
    <n v="1"/>
    <n v="1"/>
  </r>
  <r>
    <n v="4"/>
    <x v="491"/>
    <x v="149"/>
    <n v="1"/>
    <n v="13"/>
    <x v="13"/>
    <x v="13"/>
    <n v="13"/>
    <s v="110301"/>
    <s v="Bar de Canto Puerto Montt Tabaco"/>
    <x v="575"/>
    <n v="1"/>
    <n v="1"/>
  </r>
  <r>
    <n v="4"/>
    <x v="492"/>
    <x v="150"/>
    <n v="2"/>
    <n v="970"/>
    <x v="0"/>
    <x v="0"/>
    <n v="506"/>
    <s v="120023"/>
    <s v="Estante Aruba"/>
    <x v="576"/>
    <n v="1"/>
    <n v="1"/>
  </r>
  <r>
    <n v="4"/>
    <x v="493"/>
    <x v="150"/>
    <n v="1"/>
    <n v="704"/>
    <x v="12"/>
    <x v="12"/>
    <n v="704"/>
    <s v="181630"/>
    <s v="Juego de comedor sofia 1+6"/>
    <x v="577"/>
    <n v="1"/>
    <n v="1"/>
  </r>
  <r>
    <n v="4"/>
    <x v="494"/>
    <x v="151"/>
    <n v="1"/>
    <n v="718"/>
    <x v="150"/>
    <x v="150"/>
    <n v="718"/>
    <s v="181644"/>
    <s v="Sofa 2 cuerpos sofia"/>
    <x v="578"/>
    <n v="1"/>
    <n v="1"/>
  </r>
  <r>
    <n v="4"/>
    <x v="495"/>
    <x v="151"/>
    <n v="2"/>
    <n v="501"/>
    <x v="5"/>
    <x v="5"/>
    <n v="501"/>
    <s v="170782"/>
    <s v="Rack atacama pt mad castaño 160295"/>
    <x v="579"/>
    <n v="1"/>
    <n v="1"/>
  </r>
  <r>
    <n v="4"/>
    <x v="496"/>
    <x v="151"/>
    <n v="3"/>
    <n v="702"/>
    <x v="26"/>
    <x v="26"/>
    <n v="702"/>
    <s v="181628"/>
    <s v="Juego de 2 andres  1+4"/>
    <x v="580"/>
    <n v="1"/>
    <n v="1"/>
  </r>
  <r>
    <n v="9"/>
    <x v="497"/>
    <x v="152"/>
    <n v="2"/>
    <n v="774"/>
    <x v="109"/>
    <x v="109"/>
    <n v="774"/>
    <s v="181696"/>
    <s v="Camarote 303"/>
    <x v="581"/>
    <n v="1"/>
    <n v="1"/>
  </r>
  <r>
    <n v="9"/>
    <x v="178"/>
    <x v="152"/>
    <n v="3"/>
    <n v="774"/>
    <x v="109"/>
    <x v="109"/>
    <n v="774"/>
    <s v="181696"/>
    <s v="Camarote 303"/>
    <x v="209"/>
    <n v="1"/>
    <n v="1"/>
  </r>
  <r>
    <n v="9"/>
    <x v="179"/>
    <x v="152"/>
    <n v="4"/>
    <n v="774"/>
    <x v="109"/>
    <x v="109"/>
    <n v="774"/>
    <s v="181696"/>
    <s v="Camarote 303"/>
    <x v="210"/>
    <n v="1"/>
    <n v="1"/>
  </r>
  <r>
    <n v="9"/>
    <x v="180"/>
    <x v="152"/>
    <n v="5"/>
    <n v="774"/>
    <x v="109"/>
    <x v="109"/>
    <n v="774"/>
    <s v="181696"/>
    <s v="Camarote 303"/>
    <x v="211"/>
    <n v="1"/>
    <n v="1"/>
  </r>
  <r>
    <n v="1"/>
    <x v="498"/>
    <x v="153"/>
    <n v="1"/>
    <n v="878"/>
    <x v="77"/>
    <x v="77"/>
    <n v="362"/>
    <s v="170778"/>
    <s v="Rack Arterra rov tx - rov tx 52080"/>
    <x v="75"/>
    <n v="24"/>
    <n v="24"/>
  </r>
  <r>
    <n v="1"/>
    <x v="498"/>
    <x v="153"/>
    <n v="2"/>
    <n v="616"/>
    <x v="164"/>
    <x v="164"/>
    <n v="616"/>
    <s v="181529"/>
    <s v="Lavaplatos 80 Derecho C/Reb Blanco Notavel"/>
    <x v="76"/>
    <n v="6"/>
    <n v="6"/>
  </r>
  <r>
    <n v="1"/>
    <x v="498"/>
    <x v="153"/>
    <n v="3"/>
    <n v="617"/>
    <x v="78"/>
    <x v="78"/>
    <n v="617"/>
    <s v="181530"/>
    <s v="Lavaplatos 80 Izquierdo C/Reb Blanco Notavel"/>
    <x v="77"/>
    <n v="18"/>
    <n v="18"/>
  </r>
  <r>
    <n v="1"/>
    <x v="498"/>
    <x v="153"/>
    <n v="4"/>
    <n v="618"/>
    <x v="90"/>
    <x v="90"/>
    <n v="618"/>
    <s v="181531"/>
    <s v="Lavaplatos 100 Derecho C/Reb Blanco Notavel"/>
    <x v="152"/>
    <n v="6"/>
    <n v="6"/>
  </r>
  <r>
    <n v="1"/>
    <x v="498"/>
    <x v="153"/>
    <n v="5"/>
    <n v="619"/>
    <x v="138"/>
    <x v="138"/>
    <n v="619"/>
    <s v="181532"/>
    <s v="Lavaplatos 100 Izquierdo C/Reb Blanco Notavel"/>
    <x v="155"/>
    <n v="12"/>
    <n v="12"/>
  </r>
  <r>
    <n v="9"/>
    <x v="259"/>
    <x v="76"/>
    <n v="3"/>
    <n v="706"/>
    <x v="165"/>
    <x v="165"/>
    <n v="706"/>
    <s v="181632"/>
    <s v="Juego de comedor mali 6+1"/>
    <x v="582"/>
    <n v="1"/>
    <n v="1"/>
  </r>
  <r>
    <n v="9"/>
    <x v="254"/>
    <x v="154"/>
    <n v="4"/>
    <n v="400"/>
    <x v="89"/>
    <x v="89"/>
    <n v="400"/>
    <s v="161008"/>
    <s v="Escritorio Fenix Artico"/>
    <x v="583"/>
    <n v="1"/>
    <n v="1"/>
  </r>
  <r>
    <n v="9"/>
    <x v="259"/>
    <x v="154"/>
    <n v="3"/>
    <n v="877"/>
    <x v="49"/>
    <x v="49"/>
    <n v="325"/>
    <s v="170761"/>
    <s v="Rack Royal ipe tx/ rovere"/>
    <x v="584"/>
    <n v="1"/>
    <n v="1"/>
  </r>
  <r>
    <n v="9"/>
    <x v="499"/>
    <x v="154"/>
    <n v="1"/>
    <n v="970"/>
    <x v="0"/>
    <x v="0"/>
    <n v="506"/>
    <s v="120023"/>
    <s v="Estante Aruba"/>
    <x v="585"/>
    <n v="1"/>
    <n v="1"/>
  </r>
  <r>
    <n v="9"/>
    <x v="499"/>
    <x v="154"/>
    <n v="2"/>
    <n v="781"/>
    <x v="6"/>
    <x v="6"/>
    <n v="781"/>
    <s v="181660"/>
    <s v="COMEDOR TOLEDO 1+6"/>
    <x v="586"/>
    <n v="1"/>
    <n v="1"/>
  </r>
  <r>
    <n v="24"/>
    <x v="500"/>
    <x v="155"/>
    <n v="2"/>
    <n v="892"/>
    <x v="25"/>
    <x v="25"/>
    <n v="892"/>
    <s v="181824"/>
    <s v="RESPALDO MONACO "/>
    <x v="34"/>
    <n v="30"/>
    <n v="30"/>
  </r>
  <r>
    <n v="24"/>
    <x v="501"/>
    <x v="155"/>
    <n v="1"/>
    <n v="382"/>
    <x v="50"/>
    <x v="50"/>
    <n v="382"/>
    <s v="165690"/>
    <s v="Cocina Flavia teka - brown"/>
    <x v="34"/>
    <n v="1"/>
    <n v="1"/>
  </r>
  <r>
    <n v="23"/>
    <x v="502"/>
    <x v="156"/>
    <n v="1"/>
    <n v="980"/>
    <x v="166"/>
    <x v="166"/>
    <n v="980"/>
    <s v="181831"/>
    <s v="CORNER TOMASO AZUL"/>
    <x v="34"/>
    <n v="1"/>
    <n v="1"/>
  </r>
  <r>
    <n v="23"/>
    <x v="502"/>
    <x v="156"/>
    <n v="2"/>
    <n v="981"/>
    <x v="167"/>
    <x v="167"/>
    <n v="981"/>
    <s v="181832"/>
    <s v="CORNER JAMES (TOMASO)"/>
    <x v="34"/>
    <n v="1"/>
    <n v="1"/>
  </r>
  <r>
    <n v="3"/>
    <x v="503"/>
    <x v="157"/>
    <n v="12"/>
    <n v="970"/>
    <x v="0"/>
    <x v="0"/>
    <n v="506"/>
    <s v="120023"/>
    <s v="Estante Aruba"/>
    <x v="587"/>
    <n v="1"/>
    <n v="1"/>
  </r>
  <r>
    <n v="3"/>
    <x v="504"/>
    <x v="157"/>
    <n v="13"/>
    <n v="638"/>
    <x v="22"/>
    <x v="22"/>
    <n v="638"/>
    <s v="181551"/>
    <s v="Home Ipanema 1.80 "/>
    <x v="588"/>
    <n v="1"/>
    <n v="1"/>
  </r>
  <r>
    <n v="3"/>
    <x v="504"/>
    <x v="157"/>
    <n v="15"/>
    <n v="824"/>
    <x v="1"/>
    <x v="1"/>
    <n v="824"/>
    <s v="181756"/>
    <s v="Rack Line (New Zero)"/>
    <x v="589"/>
    <n v="1"/>
    <n v="1"/>
  </r>
  <r>
    <n v="3"/>
    <x v="505"/>
    <x v="157"/>
    <n v="10"/>
    <n v="638"/>
    <x v="22"/>
    <x v="22"/>
    <n v="638"/>
    <s v="181551"/>
    <s v="Home Ipanema 1.80 "/>
    <x v="590"/>
    <n v="1"/>
    <n v="1"/>
  </r>
  <r>
    <n v="3"/>
    <x v="505"/>
    <x v="157"/>
    <n v="14"/>
    <n v="821"/>
    <x v="65"/>
    <x v="65"/>
    <n v="821"/>
    <s v="181751"/>
    <s v="HOME NINA"/>
    <x v="591"/>
    <n v="1"/>
    <n v="1"/>
  </r>
  <r>
    <n v="3"/>
    <x v="506"/>
    <x v="157"/>
    <n v="7"/>
    <n v="821"/>
    <x v="65"/>
    <x v="65"/>
    <n v="821"/>
    <s v="181751"/>
    <s v="HOME NINA"/>
    <x v="592"/>
    <n v="1"/>
    <n v="1"/>
  </r>
  <r>
    <n v="3"/>
    <x v="507"/>
    <x v="157"/>
    <n v="2"/>
    <n v="970"/>
    <x v="0"/>
    <x v="0"/>
    <n v="506"/>
    <s v="120023"/>
    <s v="Estante Aruba"/>
    <x v="593"/>
    <n v="1"/>
    <n v="1"/>
  </r>
  <r>
    <n v="3"/>
    <x v="507"/>
    <x v="157"/>
    <n v="3"/>
    <n v="409"/>
    <x v="47"/>
    <x v="47"/>
    <n v="409"/>
    <s v="120011"/>
    <s v="Home Roma "/>
    <x v="594"/>
    <n v="1"/>
    <n v="1"/>
  </r>
  <r>
    <n v="3"/>
    <x v="507"/>
    <x v="157"/>
    <n v="4"/>
    <n v="970"/>
    <x v="0"/>
    <x v="0"/>
    <n v="506"/>
    <s v="120023"/>
    <s v="Estante Aruba"/>
    <x v="595"/>
    <n v="1"/>
    <n v="1"/>
  </r>
  <r>
    <n v="3"/>
    <x v="508"/>
    <x v="157"/>
    <n v="5"/>
    <n v="970"/>
    <x v="0"/>
    <x v="0"/>
    <n v="506"/>
    <s v="120023"/>
    <s v="Estante Aruba"/>
    <x v="596"/>
    <n v="1"/>
    <n v="1"/>
  </r>
  <r>
    <n v="3"/>
    <x v="508"/>
    <x v="157"/>
    <n v="6"/>
    <n v="824"/>
    <x v="1"/>
    <x v="1"/>
    <n v="824"/>
    <s v="181756"/>
    <s v="Rack Line (New Zero)"/>
    <x v="597"/>
    <n v="1"/>
    <n v="1"/>
  </r>
  <r>
    <n v="3"/>
    <x v="509"/>
    <x v="157"/>
    <n v="11"/>
    <n v="824"/>
    <x v="1"/>
    <x v="1"/>
    <n v="824"/>
    <s v="181756"/>
    <s v="Rack Line (New Zero)"/>
    <x v="598"/>
    <n v="1"/>
    <n v="1"/>
  </r>
  <r>
    <n v="3"/>
    <x v="510"/>
    <x v="157"/>
    <n v="8"/>
    <n v="638"/>
    <x v="22"/>
    <x v="22"/>
    <n v="638"/>
    <s v="181551"/>
    <s v="Home Ipanema 1.80 "/>
    <x v="599"/>
    <n v="1"/>
    <n v="1"/>
  </r>
  <r>
    <n v="3"/>
    <x v="511"/>
    <x v="157"/>
    <n v="1"/>
    <n v="970"/>
    <x v="0"/>
    <x v="0"/>
    <n v="506"/>
    <s v="120023"/>
    <s v="Estante Aruba"/>
    <x v="600"/>
    <n v="1"/>
    <n v="1"/>
  </r>
  <r>
    <n v="3"/>
    <x v="512"/>
    <x v="157"/>
    <n v="9"/>
    <n v="474"/>
    <x v="30"/>
    <x v="30"/>
    <n v="474"/>
    <s v="120013"/>
    <s v="Mesa para tv MDP Montana Nat - Bco glas"/>
    <x v="601"/>
    <n v="1"/>
    <n v="1"/>
  </r>
  <r>
    <n v="3"/>
    <x v="513"/>
    <x v="158"/>
    <n v="1"/>
    <n v="970"/>
    <x v="0"/>
    <x v="0"/>
    <n v="506"/>
    <s v="120023"/>
    <s v="Estante Aruba"/>
    <x v="34"/>
    <n v="1"/>
    <n v="1"/>
  </r>
  <r>
    <n v="2"/>
    <x v="514"/>
    <x v="159"/>
    <n v="1"/>
    <n v="970"/>
    <x v="0"/>
    <x v="0"/>
    <n v="506"/>
    <s v="120023"/>
    <s v="Estante Aruba"/>
    <x v="602"/>
    <n v="1"/>
    <n v="1"/>
  </r>
  <r>
    <n v="29"/>
    <x v="515"/>
    <x v="160"/>
    <n v="2"/>
    <n v="849"/>
    <x v="42"/>
    <x v="42"/>
    <n v="849"/>
    <s v="181794"/>
    <s v="Gabinete Burgos"/>
    <x v="603"/>
    <n v="1"/>
    <n v="1"/>
  </r>
  <r>
    <n v="29"/>
    <x v="516"/>
    <x v="160"/>
    <n v="1"/>
    <n v="849"/>
    <x v="42"/>
    <x v="42"/>
    <n v="849"/>
    <s v="181794"/>
    <s v="Gabinete Burgos"/>
    <x v="604"/>
    <n v="1"/>
    <n v="1"/>
  </r>
  <r>
    <n v="24"/>
    <x v="517"/>
    <x v="161"/>
    <n v="1"/>
    <n v="711"/>
    <x v="29"/>
    <x v="29"/>
    <n v="711"/>
    <s v="181637"/>
    <s v="Closet Rubi 12 ptas, 3 cajones"/>
    <x v="605"/>
    <n v="1"/>
    <n v="1"/>
  </r>
  <r>
    <n v="26"/>
    <x v="518"/>
    <x v="162"/>
    <n v="1"/>
    <n v="421"/>
    <x v="168"/>
    <x v="168"/>
    <n v="421"/>
    <s v="110606"/>
    <s v="Bar Chocolate"/>
    <x v="34"/>
    <n v="18"/>
    <n v="0"/>
  </r>
  <r>
    <n v="26"/>
    <x v="518"/>
    <x v="162"/>
    <n v="2"/>
    <n v="563"/>
    <x v="80"/>
    <x v="80"/>
    <n v="563"/>
    <s v="130269"/>
    <s v="Rack basculante Nordico"/>
    <x v="34"/>
    <n v="4"/>
    <n v="0"/>
  </r>
  <r>
    <n v="26"/>
    <x v="518"/>
    <x v="162"/>
    <n v="3"/>
    <n v="579"/>
    <x v="169"/>
    <x v="169"/>
    <n v="579"/>
    <s v="130285"/>
    <s v="Armario de Pared Maceio Bco"/>
    <x v="34"/>
    <n v="11"/>
    <n v="0"/>
  </r>
  <r>
    <n v="26"/>
    <x v="518"/>
    <x v="162"/>
    <n v="4"/>
    <n v="580"/>
    <x v="170"/>
    <x v="170"/>
    <n v="580"/>
    <s v="130286"/>
    <s v="Estante 1p PT Madera Castaño Argel"/>
    <x v="34"/>
    <n v="12"/>
    <n v="0"/>
  </r>
  <r>
    <n v="26"/>
    <x v="518"/>
    <x v="162"/>
    <n v="5"/>
    <n v="388"/>
    <x v="19"/>
    <x v="19"/>
    <n v="388"/>
    <s v="140638"/>
    <s v="Mesa De Centro Madera Hanna 2125 Sunset/Bco"/>
    <x v="34"/>
    <n v="8"/>
    <n v="0"/>
  </r>
  <r>
    <n v="26"/>
    <x v="518"/>
    <x v="162"/>
    <n v="6"/>
    <n v="420"/>
    <x v="171"/>
    <x v="171"/>
    <n v="420"/>
    <s v="140645"/>
    <s v="Mesa de Centro Chocolate"/>
    <x v="34"/>
    <n v="11"/>
    <n v="0"/>
  </r>
  <r>
    <n v="26"/>
    <x v="518"/>
    <x v="162"/>
    <n v="7"/>
    <n v="450"/>
    <x v="172"/>
    <x v="172"/>
    <n v="450"/>
    <s v="140669"/>
    <s v="Velador Imperio 3 Cajonesref.: 760"/>
    <x v="34"/>
    <n v="6"/>
    <n v="0"/>
  </r>
  <r>
    <n v="26"/>
    <x v="518"/>
    <x v="162"/>
    <n v="8"/>
    <n v="451"/>
    <x v="173"/>
    <x v="173"/>
    <n v="451"/>
    <s v="140670"/>
    <s v="Cooda Imperio 2C+3Cref.: 761"/>
    <x v="34"/>
    <n v="7"/>
    <n v="0"/>
  </r>
  <r>
    <n v="26"/>
    <x v="518"/>
    <x v="162"/>
    <n v="9"/>
    <n v="467"/>
    <x v="87"/>
    <x v="87"/>
    <n v="467"/>
    <s v="140684"/>
    <s v="Mesa de centro VIVA REF:909  COLORADO"/>
    <x v="34"/>
    <n v="14"/>
    <n v="0"/>
  </r>
  <r>
    <n v="26"/>
    <x v="518"/>
    <x v="162"/>
    <n v="10"/>
    <n v="498"/>
    <x v="41"/>
    <x v="41"/>
    <n v="498"/>
    <s v="160121"/>
    <s v="Mesa de centro pt mad Cataño 160389"/>
    <x v="34"/>
    <n v="13"/>
    <n v="0"/>
  </r>
  <r>
    <n v="26"/>
    <x v="518"/>
    <x v="162"/>
    <n v="11"/>
    <n v="141"/>
    <x v="9"/>
    <x v="9"/>
    <n v="141"/>
    <s v="165504"/>
    <s v="Tabla de planchar Florence bco 55002"/>
    <x v="34"/>
    <n v="17"/>
    <n v="0"/>
  </r>
  <r>
    <n v="26"/>
    <x v="518"/>
    <x v="162"/>
    <n v="12"/>
    <n v="103"/>
    <x v="174"/>
    <x v="174"/>
    <n v="103"/>
    <s v="165509"/>
    <s v="Organizador Classic bco 55004 Microonda"/>
    <x v="34"/>
    <n v="20"/>
    <n v="0"/>
  </r>
  <r>
    <n v="26"/>
    <x v="518"/>
    <x v="162"/>
    <n v="13"/>
    <n v="727"/>
    <x v="175"/>
    <x v="175"/>
    <n v="727"/>
    <s v="181583"/>
    <s v="KIT COCINA CAMILA "/>
    <x v="34"/>
    <n v="6"/>
    <n v="0"/>
  </r>
  <r>
    <n v="26"/>
    <x v="518"/>
    <x v="162"/>
    <n v="14"/>
    <n v="698"/>
    <x v="146"/>
    <x v="146"/>
    <n v="698"/>
    <s v="181624"/>
    <s v="Rack tv palu"/>
    <x v="34"/>
    <n v="13"/>
    <n v="0"/>
  </r>
  <r>
    <n v="9"/>
    <x v="286"/>
    <x v="87"/>
    <n v="11"/>
    <n v="400"/>
    <x v="89"/>
    <x v="89"/>
    <n v="400"/>
    <s v="161008"/>
    <s v="Escritorio Fenix Artico"/>
    <x v="606"/>
    <n v="1"/>
    <n v="1"/>
  </r>
  <r>
    <n v="9"/>
    <x v="282"/>
    <x v="163"/>
    <n v="8"/>
    <n v="970"/>
    <x v="0"/>
    <x v="0"/>
    <n v="506"/>
    <s v="120023"/>
    <s v="Estante Aruba"/>
    <x v="607"/>
    <n v="1"/>
    <n v="1"/>
  </r>
  <r>
    <n v="9"/>
    <x v="289"/>
    <x v="163"/>
    <n v="7"/>
    <n v="13"/>
    <x v="13"/>
    <x v="13"/>
    <n v="13"/>
    <s v="110301"/>
    <s v="Bar de Canto Puerto Montt Tabaco"/>
    <x v="608"/>
    <n v="1"/>
    <n v="1"/>
  </r>
  <r>
    <n v="9"/>
    <x v="73"/>
    <x v="163"/>
    <n v="5"/>
    <n v="592"/>
    <x v="88"/>
    <x v="88"/>
    <n v="592"/>
    <s v="130298"/>
    <s v="Lavaplato 120 eco importado bco"/>
    <x v="609"/>
    <n v="1"/>
    <n v="1"/>
  </r>
  <r>
    <n v="9"/>
    <x v="73"/>
    <x v="163"/>
    <n v="6"/>
    <n v="638"/>
    <x v="22"/>
    <x v="22"/>
    <n v="638"/>
    <s v="181551"/>
    <s v="Home Ipanema 1.80 "/>
    <x v="610"/>
    <n v="1"/>
    <n v="1"/>
  </r>
  <r>
    <n v="9"/>
    <x v="519"/>
    <x v="163"/>
    <n v="4"/>
    <n v="702"/>
    <x v="26"/>
    <x v="26"/>
    <n v="702"/>
    <s v="181628"/>
    <s v="Juego de 2 andres  1+4"/>
    <x v="611"/>
    <n v="1"/>
    <n v="1"/>
  </r>
  <r>
    <n v="9"/>
    <x v="252"/>
    <x v="163"/>
    <n v="2"/>
    <n v="703"/>
    <x v="10"/>
    <x v="10"/>
    <n v="703"/>
    <s v="181629"/>
    <s v="Juego de comedor lauren 1+2+6"/>
    <x v="612"/>
    <n v="1"/>
    <n v="1"/>
  </r>
  <r>
    <n v="9"/>
    <x v="257"/>
    <x v="163"/>
    <n v="3"/>
    <n v="702"/>
    <x v="26"/>
    <x v="26"/>
    <n v="702"/>
    <s v="181628"/>
    <s v="Juego de 2 andres  1+4"/>
    <x v="613"/>
    <n v="1"/>
    <n v="1"/>
  </r>
  <r>
    <n v="9"/>
    <x v="220"/>
    <x v="163"/>
    <n v="1"/>
    <n v="638"/>
    <x v="22"/>
    <x v="22"/>
    <n v="638"/>
    <s v="181551"/>
    <s v="Home Ipanema 1.80 "/>
    <x v="614"/>
    <n v="1"/>
    <n v="1"/>
  </r>
  <r>
    <n v="9"/>
    <x v="285"/>
    <x v="164"/>
    <n v="9"/>
    <n v="501"/>
    <x v="5"/>
    <x v="5"/>
    <n v="501"/>
    <s v="170782"/>
    <s v="Rack atacama pt mad castaño 160295"/>
    <x v="615"/>
    <n v="1"/>
    <n v="1"/>
  </r>
  <r>
    <n v="9"/>
    <x v="520"/>
    <x v="164"/>
    <n v="5"/>
    <n v="704"/>
    <x v="12"/>
    <x v="12"/>
    <n v="704"/>
    <s v="181630"/>
    <s v="Juego de comedor sofia 1+6"/>
    <x v="616"/>
    <n v="1"/>
    <n v="1"/>
  </r>
  <r>
    <n v="9"/>
    <x v="520"/>
    <x v="164"/>
    <n v="6"/>
    <n v="703"/>
    <x v="10"/>
    <x v="10"/>
    <n v="703"/>
    <s v="181629"/>
    <s v="Juego de comedor lauren 1+2+6"/>
    <x v="617"/>
    <n v="1"/>
    <n v="1"/>
  </r>
  <r>
    <n v="9"/>
    <x v="521"/>
    <x v="164"/>
    <n v="7"/>
    <n v="638"/>
    <x v="22"/>
    <x v="22"/>
    <n v="638"/>
    <s v="181551"/>
    <s v="Home Ipanema 1.80 "/>
    <x v="618"/>
    <n v="1"/>
    <n v="1"/>
  </r>
  <r>
    <n v="9"/>
    <x v="522"/>
    <x v="164"/>
    <n v="8"/>
    <n v="704"/>
    <x v="12"/>
    <x v="12"/>
    <n v="704"/>
    <s v="181630"/>
    <s v="Juego de comedor sofia 1+6"/>
    <x v="619"/>
    <n v="1"/>
    <n v="1"/>
  </r>
  <r>
    <n v="9"/>
    <x v="523"/>
    <x v="164"/>
    <n v="4"/>
    <n v="13"/>
    <x v="13"/>
    <x v="13"/>
    <n v="13"/>
    <s v="110301"/>
    <s v="Bar de Canto Puerto Montt Tabaco"/>
    <x v="620"/>
    <n v="1"/>
    <n v="1"/>
  </r>
  <r>
    <n v="9"/>
    <x v="524"/>
    <x v="164"/>
    <n v="3"/>
    <n v="403"/>
    <x v="27"/>
    <x v="27"/>
    <n v="403"/>
    <s v="161011"/>
    <s v="Escritorio Curitiba artico"/>
    <x v="621"/>
    <n v="1"/>
    <n v="1"/>
  </r>
  <r>
    <n v="9"/>
    <x v="525"/>
    <x v="164"/>
    <n v="2"/>
    <n v="774"/>
    <x v="109"/>
    <x v="109"/>
    <n v="774"/>
    <s v="181696"/>
    <s v="Camarote 303"/>
    <x v="622"/>
    <n v="1"/>
    <n v="1"/>
  </r>
  <r>
    <n v="9"/>
    <x v="222"/>
    <x v="164"/>
    <n v="1"/>
    <n v="639"/>
    <x v="15"/>
    <x v="15"/>
    <n v="639"/>
    <s v="181552"/>
    <s v="Home Lara 1.35 "/>
    <x v="623"/>
    <n v="1"/>
    <n v="1"/>
  </r>
  <r>
    <n v="24"/>
    <x v="526"/>
    <x v="165"/>
    <n v="5"/>
    <n v="813"/>
    <x v="79"/>
    <x v="79"/>
    <n v="813"/>
    <s v="181782"/>
    <s v="Kit Yara 160 (181638) +  Alacena (181641)"/>
    <x v="624"/>
    <n v="1"/>
    <n v="1"/>
  </r>
  <r>
    <n v="24"/>
    <x v="527"/>
    <x v="165"/>
    <n v="1"/>
    <n v="813"/>
    <x v="79"/>
    <x v="79"/>
    <n v="813"/>
    <s v="181782"/>
    <s v="Kit Yara 160 (181638) +  Alacena (181641)"/>
    <x v="625"/>
    <n v="1"/>
    <n v="1"/>
  </r>
  <r>
    <n v="24"/>
    <x v="528"/>
    <x v="165"/>
    <n v="2"/>
    <n v="711"/>
    <x v="29"/>
    <x v="29"/>
    <n v="711"/>
    <s v="181637"/>
    <s v="Closet Rubi 12 ptas, 3 cajones"/>
    <x v="626"/>
    <n v="1"/>
    <n v="1"/>
  </r>
  <r>
    <n v="24"/>
    <x v="529"/>
    <x v="165"/>
    <n v="3"/>
    <n v="813"/>
    <x v="79"/>
    <x v="79"/>
    <n v="813"/>
    <s v="181782"/>
    <s v="Kit Yara 160 (181638) +  Alacena (181641)"/>
    <x v="627"/>
    <n v="1"/>
    <n v="1"/>
  </r>
  <r>
    <n v="24"/>
    <x v="530"/>
    <x v="165"/>
    <n v="4"/>
    <n v="813"/>
    <x v="79"/>
    <x v="79"/>
    <n v="813"/>
    <s v="181782"/>
    <s v="Kit Yara 160 (181638) +  Alacena (181641)"/>
    <x v="628"/>
    <n v="1"/>
    <n v="1"/>
  </r>
  <r>
    <n v="24"/>
    <x v="531"/>
    <x v="165"/>
    <n v="6"/>
    <n v="877"/>
    <x v="49"/>
    <x v="49"/>
    <n v="325"/>
    <s v="170761"/>
    <s v="Rack Royal ipe tx/ rovere"/>
    <x v="629"/>
    <n v="1"/>
    <n v="1"/>
  </r>
  <r>
    <n v="1"/>
    <x v="532"/>
    <x v="166"/>
    <n v="1"/>
    <n v="878"/>
    <x v="77"/>
    <x v="77"/>
    <n v="362"/>
    <s v="170778"/>
    <s v="Rack Arterra rov tx - rov tx 52080"/>
    <x v="75"/>
    <n v="48"/>
    <n v="48"/>
  </r>
  <r>
    <n v="1"/>
    <x v="532"/>
    <x v="166"/>
    <n v="2"/>
    <n v="1100"/>
    <x v="92"/>
    <x v="92"/>
    <n v="616"/>
    <s v="181529"/>
    <s v="Lavaplatos 80 Derecho C/Reb Blanco Notavel"/>
    <x v="76"/>
    <n v="54"/>
    <n v="54"/>
  </r>
  <r>
    <n v="1"/>
    <x v="532"/>
    <x v="166"/>
    <n v="3"/>
    <n v="617"/>
    <x v="78"/>
    <x v="78"/>
    <n v="617"/>
    <s v="181530"/>
    <s v="Lavaplatos 80 Izquierdo C/Reb Blanco Notavel"/>
    <x v="77"/>
    <n v="6"/>
    <n v="6"/>
  </r>
  <r>
    <n v="1"/>
    <x v="532"/>
    <x v="166"/>
    <n v="4"/>
    <n v="620"/>
    <x v="93"/>
    <x v="93"/>
    <n v="620"/>
    <s v="181533"/>
    <s v="Lavaplatos 120 Derecho C/Reb Blanco Notavel"/>
    <x v="152"/>
    <n v="6"/>
    <n v="6"/>
  </r>
  <r>
    <n v="1"/>
    <x v="532"/>
    <x v="166"/>
    <n v="5"/>
    <n v="621"/>
    <x v="148"/>
    <x v="148"/>
    <n v="621"/>
    <s v="181534"/>
    <s v="Lavaplatos 120 Izquierdo C/Reb Blancoo Notavel"/>
    <x v="155"/>
    <n v="6"/>
    <n v="6"/>
  </r>
  <r>
    <n v="8"/>
    <x v="533"/>
    <x v="167"/>
    <n v="4"/>
    <n v="824"/>
    <x v="1"/>
    <x v="1"/>
    <n v="824"/>
    <s v="181756"/>
    <s v="Rack Line (New Zero)"/>
    <x v="178"/>
    <n v="41"/>
    <n v="41"/>
  </r>
  <r>
    <n v="8"/>
    <x v="534"/>
    <x v="167"/>
    <n v="1"/>
    <n v="896"/>
    <x v="60"/>
    <x v="60"/>
    <n v="653"/>
    <s v="181566"/>
    <s v="Depensa 1 Puerta alta"/>
    <x v="83"/>
    <n v="13"/>
    <n v="13"/>
  </r>
  <r>
    <n v="8"/>
    <x v="534"/>
    <x v="167"/>
    <n v="2"/>
    <n v="655"/>
    <x v="176"/>
    <x v="176"/>
    <n v="655"/>
    <s v="181568"/>
    <s v="Kit Cocina Catalina Blanco/Nogal"/>
    <x v="177"/>
    <n v="2"/>
    <n v="2"/>
  </r>
  <r>
    <n v="8"/>
    <x v="534"/>
    <x v="167"/>
    <n v="3"/>
    <n v="809"/>
    <x v="61"/>
    <x v="61"/>
    <n v="809"/>
    <s v="181759"/>
    <s v="Rack Ovalle"/>
    <x v="84"/>
    <n v="16"/>
    <n v="16"/>
  </r>
  <r>
    <n v="9"/>
    <x v="535"/>
    <x v="168"/>
    <n v="1"/>
    <n v="774"/>
    <x v="109"/>
    <x v="109"/>
    <n v="774"/>
    <s v="181696"/>
    <s v="Camarote 303"/>
    <x v="34"/>
    <n v="16"/>
    <n v="16"/>
  </r>
  <r>
    <n v="3"/>
    <x v="536"/>
    <x v="169"/>
    <n v="1"/>
    <n v="812"/>
    <x v="177"/>
    <x v="177"/>
    <n v="812"/>
    <s v="181765"/>
    <s v="Rack Azteca"/>
    <x v="630"/>
    <n v="1"/>
    <n v="1"/>
  </r>
  <r>
    <n v="3"/>
    <x v="537"/>
    <x v="169"/>
    <n v="2"/>
    <n v="970"/>
    <x v="0"/>
    <x v="0"/>
    <n v="506"/>
    <s v="120023"/>
    <s v="Estante Aruba"/>
    <x v="631"/>
    <n v="1"/>
    <n v="1"/>
  </r>
  <r>
    <n v="4"/>
    <x v="538"/>
    <x v="145"/>
    <n v="3"/>
    <n v="179"/>
    <x v="7"/>
    <x v="7"/>
    <n v="179"/>
    <s v="161004"/>
    <s v="Escritorio Nazca artico 1215"/>
    <x v="632"/>
    <n v="1"/>
    <n v="1"/>
  </r>
  <r>
    <n v="4"/>
    <x v="539"/>
    <x v="170"/>
    <n v="7"/>
    <n v="708"/>
    <x v="178"/>
    <x v="178"/>
    <n v="708"/>
    <s v="181634"/>
    <s v="Mesa de centro niza 1"/>
    <x v="633"/>
    <n v="1"/>
    <n v="1"/>
  </r>
  <r>
    <n v="4"/>
    <x v="540"/>
    <x v="170"/>
    <n v="4"/>
    <n v="702"/>
    <x v="26"/>
    <x v="26"/>
    <n v="702"/>
    <s v="181628"/>
    <s v="Juego de 2 andres  1+4"/>
    <x v="634"/>
    <n v="1"/>
    <n v="1"/>
  </r>
  <r>
    <n v="4"/>
    <x v="541"/>
    <x v="170"/>
    <n v="5"/>
    <n v="639"/>
    <x v="15"/>
    <x v="15"/>
    <n v="639"/>
    <s v="181552"/>
    <s v="Home Lara 1.35 "/>
    <x v="635"/>
    <n v="1"/>
    <n v="1"/>
  </r>
  <r>
    <n v="4"/>
    <x v="542"/>
    <x v="170"/>
    <n v="6"/>
    <n v="492"/>
    <x v="54"/>
    <x v="54"/>
    <n v="492"/>
    <s v="165526"/>
    <s v="Armario Itaim Puertas De Vidrio Ref: 3219 Bco"/>
    <x v="636"/>
    <n v="1"/>
    <n v="1"/>
  </r>
  <r>
    <n v="4"/>
    <x v="543"/>
    <x v="170"/>
    <n v="2"/>
    <n v="400"/>
    <x v="89"/>
    <x v="89"/>
    <n v="400"/>
    <s v="161008"/>
    <s v="Escritorio Fenix Artico"/>
    <x v="637"/>
    <n v="1"/>
    <n v="1"/>
  </r>
  <r>
    <n v="4"/>
    <x v="544"/>
    <x v="170"/>
    <n v="3"/>
    <n v="421"/>
    <x v="168"/>
    <x v="168"/>
    <n v="421"/>
    <s v="110606"/>
    <s v="Bar Chocolate"/>
    <x v="638"/>
    <n v="1"/>
    <n v="1"/>
  </r>
  <r>
    <n v="4"/>
    <x v="545"/>
    <x v="170"/>
    <n v="1"/>
    <n v="686"/>
    <x v="34"/>
    <x v="34"/>
    <n v="686"/>
    <s v="181612"/>
    <s v="Poltrona Lennon"/>
    <x v="639"/>
    <n v="2"/>
    <n v="2"/>
  </r>
  <r>
    <n v="4"/>
    <x v="546"/>
    <x v="171"/>
    <n v="1"/>
    <n v="501"/>
    <x v="5"/>
    <x v="5"/>
    <n v="501"/>
    <s v="170782"/>
    <s v="Rack atacama pt mad castaño 160295"/>
    <x v="640"/>
    <n v="1"/>
    <n v="1"/>
  </r>
  <r>
    <n v="4"/>
    <x v="547"/>
    <x v="171"/>
    <n v="2"/>
    <n v="100"/>
    <x v="179"/>
    <x v="179"/>
    <n v="100"/>
    <s v="165502"/>
    <s v="Mueble Organizador Lucena Blanco"/>
    <x v="641"/>
    <n v="1"/>
    <n v="1"/>
  </r>
  <r>
    <n v="4"/>
    <x v="548"/>
    <x v="171"/>
    <n v="3"/>
    <n v="702"/>
    <x v="26"/>
    <x v="26"/>
    <n v="702"/>
    <s v="181628"/>
    <s v="Juego de 2 andres  1+4"/>
    <x v="642"/>
    <n v="1"/>
    <n v="1"/>
  </r>
  <r>
    <n v="6"/>
    <x v="549"/>
    <x v="172"/>
    <n v="1"/>
    <n v="809"/>
    <x v="61"/>
    <x v="61"/>
    <n v="809"/>
    <s v="181759"/>
    <s v="Rack Ovalle"/>
    <x v="643"/>
    <n v="1"/>
    <n v="1"/>
  </r>
  <r>
    <n v="6"/>
    <x v="550"/>
    <x v="173"/>
    <n v="1"/>
    <n v="874"/>
    <x v="180"/>
    <x v="180"/>
    <n v="874"/>
    <s v="181818"/>
    <s v="Poltrona Barbara 2 cuerpos "/>
    <x v="644"/>
    <n v="1"/>
    <n v="1"/>
  </r>
  <r>
    <n v="6"/>
    <x v="551"/>
    <x v="174"/>
    <n v="1"/>
    <n v="584"/>
    <x v="96"/>
    <x v="96"/>
    <n v="584"/>
    <s v="130290"/>
    <s v="Rack New Montana bco"/>
    <x v="645"/>
    <n v="1"/>
    <n v="1"/>
  </r>
  <r>
    <n v="9"/>
    <x v="552"/>
    <x v="175"/>
    <n v="2"/>
    <n v="180"/>
    <x v="70"/>
    <x v="70"/>
    <n v="180"/>
    <s v="161005"/>
    <s v="Escritorio España kit castaño 1176"/>
    <x v="646"/>
    <n v="1"/>
    <n v="1"/>
  </r>
  <r>
    <n v="9"/>
    <x v="553"/>
    <x v="175"/>
    <n v="3"/>
    <n v="641"/>
    <x v="20"/>
    <x v="20"/>
    <n v="641"/>
    <s v="181554"/>
    <s v="Mesa Para TV Puerto Rico"/>
    <x v="647"/>
    <n v="1"/>
    <n v="1"/>
  </r>
  <r>
    <n v="9"/>
    <x v="554"/>
    <x v="175"/>
    <n v="4"/>
    <n v="639"/>
    <x v="15"/>
    <x v="15"/>
    <n v="639"/>
    <s v="181552"/>
    <s v="Home Lara 1.35 "/>
    <x v="648"/>
    <n v="1"/>
    <n v="1"/>
  </r>
  <r>
    <n v="9"/>
    <x v="555"/>
    <x v="175"/>
    <n v="5"/>
    <n v="641"/>
    <x v="20"/>
    <x v="20"/>
    <n v="641"/>
    <s v="181554"/>
    <s v="Mesa Para TV Puerto Rico"/>
    <x v="649"/>
    <n v="1"/>
    <n v="1"/>
  </r>
  <r>
    <n v="9"/>
    <x v="556"/>
    <x v="175"/>
    <n v="6"/>
    <n v="680"/>
    <x v="116"/>
    <x v="116"/>
    <n v="680"/>
    <s v="181600"/>
    <s v="Estante Cristal"/>
    <x v="650"/>
    <n v="1"/>
    <n v="1"/>
  </r>
  <r>
    <n v="9"/>
    <x v="556"/>
    <x v="175"/>
    <n v="7"/>
    <n v="970"/>
    <x v="0"/>
    <x v="0"/>
    <n v="506"/>
    <s v="120023"/>
    <s v="Estante Aruba"/>
    <x v="651"/>
    <n v="1"/>
    <n v="1"/>
  </r>
  <r>
    <n v="9"/>
    <x v="557"/>
    <x v="175"/>
    <n v="8"/>
    <n v="474"/>
    <x v="30"/>
    <x v="30"/>
    <n v="474"/>
    <s v="120013"/>
    <s v="Mesa para tv MDP Montana Nat - Bco glas"/>
    <x v="652"/>
    <n v="1"/>
    <n v="1"/>
  </r>
  <r>
    <n v="9"/>
    <x v="558"/>
    <x v="175"/>
    <n v="1"/>
    <n v="639"/>
    <x v="15"/>
    <x v="15"/>
    <n v="639"/>
    <s v="181552"/>
    <s v="Home Lara 1.35 "/>
    <x v="653"/>
    <n v="1"/>
    <n v="1"/>
  </r>
  <r>
    <n v="9"/>
    <x v="557"/>
    <x v="176"/>
    <n v="2"/>
    <n v="13"/>
    <x v="13"/>
    <x v="13"/>
    <n v="13"/>
    <s v="110301"/>
    <s v="Bar de Canto Puerto Montt Tabaco"/>
    <x v="654"/>
    <n v="1"/>
    <n v="1"/>
  </r>
  <r>
    <n v="9"/>
    <x v="451"/>
    <x v="176"/>
    <n v="1"/>
    <n v="13"/>
    <x v="13"/>
    <x v="13"/>
    <n v="13"/>
    <s v="110301"/>
    <s v="Bar de Canto Puerto Montt Tabaco"/>
    <x v="655"/>
    <n v="1"/>
    <n v="1"/>
  </r>
  <r>
    <n v="6"/>
    <x v="18"/>
    <x v="177"/>
    <n v="1"/>
    <n v="509"/>
    <x v="14"/>
    <x v="14"/>
    <n v="509"/>
    <s v="170120"/>
    <s v="New Santiago"/>
    <x v="23"/>
    <n v="1"/>
    <n v="0"/>
  </r>
  <r>
    <n v="6"/>
    <x v="18"/>
    <x v="177"/>
    <n v="2"/>
    <n v="824"/>
    <x v="1"/>
    <x v="1"/>
    <n v="824"/>
    <s v="181756"/>
    <s v="Rack Line (New Zero)"/>
    <x v="23"/>
    <n v="2"/>
    <n v="0"/>
  </r>
  <r>
    <n v="6"/>
    <x v="19"/>
    <x v="178"/>
    <n v="1"/>
    <n v="509"/>
    <x v="14"/>
    <x v="14"/>
    <n v="509"/>
    <s v="170120"/>
    <s v="New Santiago"/>
    <x v="23"/>
    <n v="2"/>
    <n v="0"/>
  </r>
  <r>
    <n v="3"/>
    <x v="203"/>
    <x v="179"/>
    <n v="2"/>
    <n v="970"/>
    <x v="0"/>
    <x v="0"/>
    <n v="506"/>
    <s v="120023"/>
    <s v="Estante Aruba"/>
    <x v="242"/>
    <n v="1"/>
    <n v="1"/>
  </r>
  <r>
    <n v="3"/>
    <x v="200"/>
    <x v="179"/>
    <n v="1"/>
    <n v="409"/>
    <x v="47"/>
    <x v="47"/>
    <n v="409"/>
    <s v="120011"/>
    <s v="Home Roma "/>
    <x v="251"/>
    <n v="1"/>
    <n v="1"/>
  </r>
  <r>
    <n v="2"/>
    <x v="559"/>
    <x v="180"/>
    <n v="1"/>
    <n v="729"/>
    <x v="66"/>
    <x v="66"/>
    <n v="729"/>
    <s v="181601"/>
    <s v="Estante Delize"/>
    <x v="656"/>
    <n v="1"/>
    <n v="1"/>
  </r>
  <r>
    <n v="29"/>
    <x v="560"/>
    <x v="181"/>
    <n v="1"/>
    <n v="829"/>
    <x v="68"/>
    <x v="68"/>
    <n v="829"/>
    <s v="181708"/>
    <s v="ZAPATERA TRIPLE FICUS"/>
    <x v="657"/>
    <n v="1"/>
    <n v="1"/>
  </r>
  <r>
    <n v="1"/>
    <x v="561"/>
    <x v="182"/>
    <n v="1"/>
    <n v="878"/>
    <x v="77"/>
    <x v="77"/>
    <n v="362"/>
    <s v="170778"/>
    <s v="Rack Arterra rov tx - rov tx 52080"/>
    <x v="75"/>
    <n v="40"/>
    <n v="40"/>
  </r>
  <r>
    <n v="5"/>
    <x v="562"/>
    <x v="183"/>
    <n v="1"/>
    <n v="4"/>
    <x v="181"/>
    <x v="181"/>
    <n v="4"/>
    <s v="130703"/>
    <s v="Armario Aracaju puerta de vidrio"/>
    <x v="34"/>
    <n v="4"/>
    <n v="4"/>
  </r>
  <r>
    <n v="5"/>
    <x v="562"/>
    <x v="183"/>
    <n v="2"/>
    <n v="101"/>
    <x v="51"/>
    <x v="51"/>
    <n v="101"/>
    <s v="165503"/>
    <s v="Mueble Organizador Sinop Blanco"/>
    <x v="34"/>
    <n v="2"/>
    <n v="2"/>
  </r>
  <r>
    <n v="5"/>
    <x v="562"/>
    <x v="183"/>
    <n v="3"/>
    <n v="101"/>
    <x v="51"/>
    <x v="51"/>
    <n v="101"/>
    <s v="165503"/>
    <s v="Mueble Organizador Sinop Blanco"/>
    <x v="34"/>
    <n v="3"/>
    <n v="3"/>
  </r>
  <r>
    <n v="5"/>
    <x v="562"/>
    <x v="183"/>
    <n v="4"/>
    <n v="101"/>
    <x v="51"/>
    <x v="51"/>
    <n v="101"/>
    <s v="165503"/>
    <s v="Mueble Organizador Sinop Blanco"/>
    <x v="34"/>
    <n v="5"/>
    <n v="5"/>
  </r>
  <r>
    <n v="5"/>
    <x v="562"/>
    <x v="183"/>
    <n v="5"/>
    <n v="101"/>
    <x v="51"/>
    <x v="51"/>
    <n v="101"/>
    <s v="165503"/>
    <s v="Mueble Organizador Sinop Blanco"/>
    <x v="34"/>
    <n v="8"/>
    <n v="8"/>
  </r>
  <r>
    <n v="5"/>
    <x v="562"/>
    <x v="183"/>
    <n v="6"/>
    <n v="489"/>
    <x v="52"/>
    <x v="52"/>
    <n v="489"/>
    <s v="165523"/>
    <s v="Armario Aereo Canela Ref: 3468 Blanco"/>
    <x v="34"/>
    <n v="3"/>
    <n v="3"/>
  </r>
  <r>
    <n v="5"/>
    <x v="562"/>
    <x v="183"/>
    <n v="7"/>
    <n v="489"/>
    <x v="52"/>
    <x v="52"/>
    <n v="489"/>
    <s v="165523"/>
    <s v="Armario Aereo Canela Ref: 3468 Blanco"/>
    <x v="34"/>
    <n v="4"/>
    <n v="4"/>
  </r>
  <r>
    <n v="1"/>
    <x v="498"/>
    <x v="153"/>
    <n v="6"/>
    <n v="620"/>
    <x v="93"/>
    <x v="93"/>
    <n v="620"/>
    <s v="181533"/>
    <s v="Lavaplatos 120 Derecho C/Reb Blanco Notavel"/>
    <x v="154"/>
    <n v="6"/>
    <n v="6"/>
  </r>
  <r>
    <n v="1"/>
    <x v="498"/>
    <x v="153"/>
    <n v="7"/>
    <n v="621"/>
    <x v="148"/>
    <x v="148"/>
    <n v="621"/>
    <s v="181534"/>
    <s v="Lavaplatos 120 Izquierdo C/Reb Blancoo Notavel"/>
    <x v="153"/>
    <n v="6"/>
    <n v="6"/>
  </r>
  <r>
    <n v="2"/>
    <x v="563"/>
    <x v="184"/>
    <n v="1"/>
    <n v="894"/>
    <x v="182"/>
    <x v="182"/>
    <n v="894"/>
    <s v="181811"/>
    <s v="RACK DUE "/>
    <x v="658"/>
    <n v="1"/>
    <n v="1"/>
  </r>
  <r>
    <n v="2"/>
    <x v="564"/>
    <x v="184"/>
    <n v="2"/>
    <n v="115"/>
    <x v="183"/>
    <x v="183"/>
    <n v="115"/>
    <s v="170211"/>
    <s v="Rack prada"/>
    <x v="659"/>
    <n v="1"/>
    <n v="1"/>
  </r>
  <r>
    <n v="2"/>
    <x v="565"/>
    <x v="184"/>
    <n v="3"/>
    <n v="873"/>
    <x v="104"/>
    <x v="104"/>
    <n v="873"/>
    <s v="181817"/>
    <s v="Poltrona Belen 1 cuerpo"/>
    <x v="660"/>
    <n v="1"/>
    <n v="1"/>
  </r>
  <r>
    <n v="2"/>
    <x v="566"/>
    <x v="184"/>
    <n v="4"/>
    <n v="403"/>
    <x v="27"/>
    <x v="27"/>
    <n v="403"/>
    <s v="161011"/>
    <s v="Escritorio Curitiba artico"/>
    <x v="661"/>
    <n v="1"/>
    <n v="1"/>
  </r>
  <r>
    <n v="2"/>
    <x v="567"/>
    <x v="184"/>
    <n v="5"/>
    <n v="781"/>
    <x v="6"/>
    <x v="6"/>
    <n v="781"/>
    <s v="181660"/>
    <s v="COMEDOR TOLEDO 1+6"/>
    <x v="662"/>
    <n v="1"/>
    <n v="1"/>
  </r>
  <r>
    <n v="8"/>
    <x v="568"/>
    <x v="185"/>
    <n v="1"/>
    <n v="865"/>
    <x v="58"/>
    <x v="58"/>
    <n v="405"/>
    <s v="165368"/>
    <s v="Comoda Dinamo 4C + 1P"/>
    <x v="34"/>
    <n v="30"/>
    <n v="30"/>
  </r>
  <r>
    <n v="8"/>
    <x v="568"/>
    <x v="185"/>
    <n v="2"/>
    <n v="281"/>
    <x v="59"/>
    <x v="59"/>
    <n v="281"/>
    <s v="165677"/>
    <s v="Cocina 6 puertas kit 2306 bco negro"/>
    <x v="34"/>
    <n v="36"/>
    <n v="36"/>
  </r>
  <r>
    <n v="8"/>
    <x v="568"/>
    <x v="185"/>
    <n v="3"/>
    <n v="896"/>
    <x v="60"/>
    <x v="60"/>
    <n v="653"/>
    <s v="181566"/>
    <s v="Depensa 1 Puerta alta"/>
    <x v="34"/>
    <n v="63"/>
    <n v="63"/>
  </r>
  <r>
    <n v="8"/>
    <x v="568"/>
    <x v="185"/>
    <n v="4"/>
    <n v="655"/>
    <x v="176"/>
    <x v="176"/>
    <n v="655"/>
    <s v="181568"/>
    <s v="Kit Cocina Catalina Blanco/Nogal"/>
    <x v="34"/>
    <n v="40"/>
    <n v="40"/>
  </r>
  <r>
    <n v="29"/>
    <x v="569"/>
    <x v="186"/>
    <n v="1"/>
    <n v="851"/>
    <x v="33"/>
    <x v="33"/>
    <n v="851"/>
    <s v="181792"/>
    <s v="Kit Cocina Palma + Counter"/>
    <x v="663"/>
    <n v="1"/>
    <n v="1"/>
  </r>
  <r>
    <n v="29"/>
    <x v="570"/>
    <x v="186"/>
    <n v="2"/>
    <n v="833"/>
    <x v="108"/>
    <x v="108"/>
    <n v="833"/>
    <s v="181713"/>
    <s v="VELADOR 2 CAJONES DALIAS"/>
    <x v="664"/>
    <n v="1"/>
    <n v="1"/>
  </r>
  <r>
    <n v="29"/>
    <x v="571"/>
    <x v="186"/>
    <n v="3"/>
    <n v="849"/>
    <x v="42"/>
    <x v="42"/>
    <n v="849"/>
    <s v="181794"/>
    <s v="Gabinete Burgos"/>
    <x v="665"/>
    <n v="1"/>
    <n v="1"/>
  </r>
  <r>
    <n v="29"/>
    <x v="572"/>
    <x v="186"/>
    <n v="4"/>
    <n v="850"/>
    <x v="140"/>
    <x v="140"/>
    <n v="850"/>
    <s v="181796"/>
    <s v="Gabinete Compostela"/>
    <x v="666"/>
    <n v="1"/>
    <n v="1"/>
  </r>
  <r>
    <n v="5"/>
    <x v="573"/>
    <x v="187"/>
    <n v="1"/>
    <n v="13"/>
    <x v="13"/>
    <x v="13"/>
    <n v="13"/>
    <s v="110301"/>
    <s v="Bar de Canto Puerto Montt Tabaco"/>
    <x v="34"/>
    <n v="1"/>
    <n v="1"/>
  </r>
  <r>
    <n v="24"/>
    <x v="574"/>
    <x v="188"/>
    <n v="1"/>
    <n v="864"/>
    <x v="124"/>
    <x v="124"/>
    <n v="864"/>
    <s v="181808"/>
    <s v="Set 2 veladores Serena"/>
    <x v="34"/>
    <n v="340"/>
    <n v="340"/>
  </r>
  <r>
    <n v="23"/>
    <x v="575"/>
    <x v="189"/>
    <n v="1"/>
    <n v="808"/>
    <x v="103"/>
    <x v="103"/>
    <n v="808"/>
    <s v="181757"/>
    <s v="Estante Lima"/>
    <x v="34"/>
    <n v="1"/>
    <n v="1"/>
  </r>
  <r>
    <n v="8"/>
    <x v="568"/>
    <x v="190"/>
    <n v="1"/>
    <n v="281"/>
    <x v="59"/>
    <x v="59"/>
    <n v="281"/>
    <s v="165677"/>
    <s v="Cocina 6 puertas kit 2306 bco negro"/>
    <x v="34"/>
    <n v="26"/>
    <n v="26"/>
  </r>
  <r>
    <n v="1"/>
    <x v="576"/>
    <x v="191"/>
    <n v="1"/>
    <n v="621"/>
    <x v="148"/>
    <x v="148"/>
    <n v="621"/>
    <s v="181534"/>
    <s v="Lavaplatos 120 Izquierdo C/Reb Blancoo Notavel"/>
    <x v="75"/>
    <n v="30"/>
    <n v="30"/>
  </r>
  <r>
    <n v="2"/>
    <x v="577"/>
    <x v="192"/>
    <n v="1"/>
    <n v="685"/>
    <x v="184"/>
    <x v="184"/>
    <n v="685"/>
    <s v="181611"/>
    <s v="Poltrona Stuart"/>
    <x v="75"/>
    <n v="4"/>
    <n v="4"/>
  </r>
  <r>
    <n v="2"/>
    <x v="577"/>
    <x v="192"/>
    <n v="2"/>
    <n v="789"/>
    <x v="185"/>
    <x v="185"/>
    <n v="789"/>
    <s v="181700"/>
    <s v="COMODA  4 CAJONES CORONA 784"/>
    <x v="76"/>
    <n v="4"/>
    <n v="4"/>
  </r>
  <r>
    <n v="2"/>
    <x v="578"/>
    <x v="193"/>
    <n v="1"/>
    <n v="501"/>
    <x v="5"/>
    <x v="5"/>
    <n v="501"/>
    <s v="170782"/>
    <s v="Rack atacama pt mad castaño 160295"/>
    <x v="76"/>
    <n v="8"/>
    <n v="8"/>
  </r>
  <r>
    <n v="2"/>
    <x v="578"/>
    <x v="193"/>
    <n v="2"/>
    <n v="638"/>
    <x v="22"/>
    <x v="22"/>
    <n v="638"/>
    <s v="181551"/>
    <s v="Home Ipanema 1.80 "/>
    <x v="75"/>
    <n v="5"/>
    <n v="5"/>
  </r>
  <r>
    <n v="2"/>
    <x v="578"/>
    <x v="193"/>
    <n v="3"/>
    <n v="640"/>
    <x v="186"/>
    <x v="186"/>
    <n v="640"/>
    <s v="181553"/>
    <s v="Rack Arizona 1.71"/>
    <x v="77"/>
    <n v="11"/>
    <n v="0"/>
  </r>
  <r>
    <n v="2"/>
    <x v="578"/>
    <x v="193"/>
    <n v="4"/>
    <n v="768"/>
    <x v="187"/>
    <x v="187"/>
    <n v="768"/>
    <s v="181650A"/>
    <s v="Comedor Corona 6+1 005/250"/>
    <x v="152"/>
    <n v="3"/>
    <n v="0"/>
  </r>
  <r>
    <n v="8"/>
    <x v="579"/>
    <x v="194"/>
    <n v="1"/>
    <n v="824"/>
    <x v="1"/>
    <x v="1"/>
    <n v="824"/>
    <s v="181756"/>
    <s v="Rack Line (New Zero)"/>
    <x v="34"/>
    <n v="38"/>
    <n v="38"/>
  </r>
  <r>
    <n v="89"/>
    <x v="580"/>
    <x v="195"/>
    <n v="1"/>
    <n v="630"/>
    <x v="188"/>
    <x v="188"/>
    <n v="630"/>
    <s v="181543"/>
    <s v="Set Respaldo 2 veladores pino"/>
    <x v="34"/>
    <n v="150"/>
    <n v="150"/>
  </r>
  <r>
    <n v="4"/>
    <x v="581"/>
    <x v="196"/>
    <n v="1"/>
    <n v="382"/>
    <x v="50"/>
    <x v="50"/>
    <n v="382"/>
    <s v="165690"/>
    <s v="Cocina Flavia teka - brown"/>
    <x v="667"/>
    <n v="1"/>
    <n v="1"/>
  </r>
  <r>
    <n v="4"/>
    <x v="582"/>
    <x v="197"/>
    <n v="1"/>
    <n v="700"/>
    <x v="67"/>
    <x v="67"/>
    <n v="700"/>
    <s v="181626"/>
    <s v="Comedor francia 6+1"/>
    <x v="668"/>
    <n v="1"/>
    <n v="1"/>
  </r>
  <r>
    <n v="4"/>
    <x v="583"/>
    <x v="197"/>
    <n v="2"/>
    <n v="703"/>
    <x v="10"/>
    <x v="10"/>
    <n v="703"/>
    <s v="181629"/>
    <s v="Juego de comedor lauren 1+2+6"/>
    <x v="669"/>
    <n v="1"/>
    <n v="1"/>
  </r>
  <r>
    <n v="6"/>
    <x v="584"/>
    <x v="198"/>
    <n v="4"/>
    <n v="884"/>
    <x v="189"/>
    <x v="189"/>
    <n v="884"/>
    <s v="181771"/>
    <s v="Autoservicio Diva"/>
    <x v="670"/>
    <n v="1"/>
    <n v="1"/>
  </r>
  <r>
    <n v="6"/>
    <x v="585"/>
    <x v="198"/>
    <n v="1"/>
    <n v="534"/>
    <x v="24"/>
    <x v="24"/>
    <n v="534"/>
    <s v="175118"/>
    <s v="Respaldo Oregon 2plz + 2 veladores"/>
    <x v="671"/>
    <n v="1"/>
    <n v="1"/>
  </r>
  <r>
    <n v="6"/>
    <x v="586"/>
    <x v="198"/>
    <n v="2"/>
    <n v="905"/>
    <x v="39"/>
    <x v="39"/>
    <n v="905"/>
    <s v="181876"/>
    <s v="RACK STAR (QUARTZ)"/>
    <x v="672"/>
    <n v="1"/>
    <n v="1"/>
  </r>
  <r>
    <n v="6"/>
    <x v="587"/>
    <x v="198"/>
    <n v="3"/>
    <n v="842"/>
    <x v="36"/>
    <x v="36"/>
    <n v="842"/>
    <s v="181767"/>
    <s v="Panel Ipe"/>
    <x v="673"/>
    <n v="2"/>
    <n v="2"/>
  </r>
  <r>
    <n v="9"/>
    <x v="588"/>
    <x v="199"/>
    <n v="2"/>
    <n v="905"/>
    <x v="39"/>
    <x v="39"/>
    <n v="905"/>
    <s v="181876"/>
    <s v="RACK STAR (QUARTZ)"/>
    <x v="674"/>
    <n v="1"/>
    <n v="1"/>
  </r>
  <r>
    <n v="9"/>
    <x v="589"/>
    <x v="199"/>
    <n v="1"/>
    <n v="905"/>
    <x v="39"/>
    <x v="39"/>
    <n v="905"/>
    <s v="181876"/>
    <s v="RACK STAR (QUARTZ)"/>
    <x v="675"/>
    <n v="1"/>
    <n v="1"/>
  </r>
  <r>
    <n v="4"/>
    <x v="590"/>
    <x v="200"/>
    <n v="2"/>
    <n v="13"/>
    <x v="13"/>
    <x v="13"/>
    <n v="13"/>
    <s v="110301"/>
    <s v="Bar de Canto Puerto Montt Tabaco"/>
    <x v="676"/>
    <n v="1"/>
    <n v="1"/>
  </r>
  <r>
    <n v="4"/>
    <x v="591"/>
    <x v="200"/>
    <n v="3"/>
    <n v="714"/>
    <x v="28"/>
    <x v="28"/>
    <n v="714"/>
    <s v="181640"/>
    <s v="Kit Magazin 120"/>
    <x v="677"/>
    <n v="1"/>
    <n v="1"/>
  </r>
  <r>
    <n v="4"/>
    <x v="592"/>
    <x v="200"/>
    <n v="4"/>
    <n v="501"/>
    <x v="5"/>
    <x v="5"/>
    <n v="501"/>
    <s v="170782"/>
    <s v="Rack atacama pt mad castaño 160295"/>
    <x v="678"/>
    <n v="1"/>
    <n v="1"/>
  </r>
  <r>
    <n v="26"/>
    <x v="518"/>
    <x v="162"/>
    <n v="15"/>
    <n v="701"/>
    <x v="3"/>
    <x v="3"/>
    <n v="701"/>
    <s v="181627"/>
    <s v="Juego de comedor oxford 1+6"/>
    <x v="34"/>
    <n v="8"/>
    <n v="0"/>
  </r>
  <r>
    <n v="26"/>
    <x v="518"/>
    <x v="162"/>
    <n v="16"/>
    <n v="781"/>
    <x v="6"/>
    <x v="6"/>
    <n v="781"/>
    <s v="181660"/>
    <s v="COMEDOR TOLEDO 1+6"/>
    <x v="34"/>
    <n v="35"/>
    <n v="0"/>
  </r>
  <r>
    <n v="26"/>
    <x v="518"/>
    <x v="162"/>
    <n v="17"/>
    <n v="782"/>
    <x v="190"/>
    <x v="190"/>
    <n v="782"/>
    <s v="181661"/>
    <s v="COMEDOR YORK 1+6"/>
    <x v="34"/>
    <n v="21"/>
    <n v="0"/>
  </r>
  <r>
    <n v="26"/>
    <x v="518"/>
    <x v="162"/>
    <n v="18"/>
    <n v="753"/>
    <x v="106"/>
    <x v="106"/>
    <n v="753"/>
    <s v="181681"/>
    <s v="Estante Grande Barcelona"/>
    <x v="34"/>
    <n v="30"/>
    <n v="0"/>
  </r>
  <r>
    <n v="26"/>
    <x v="518"/>
    <x v="162"/>
    <n v="19"/>
    <n v="756"/>
    <x v="117"/>
    <x v="117"/>
    <n v="756"/>
    <s v="181688"/>
    <s v="Combo Ancud  1,2,3,4,6"/>
    <x v="34"/>
    <n v="7"/>
    <n v="0"/>
  </r>
  <r>
    <n v="26"/>
    <x v="518"/>
    <x v="162"/>
    <n v="20"/>
    <n v="212"/>
    <x v="191"/>
    <x v="191"/>
    <n v="212"/>
    <s v="190109"/>
    <s v="Soporte LCD PB 119MP"/>
    <x v="34"/>
    <n v="5"/>
    <n v="0"/>
  </r>
  <r>
    <n v="26"/>
    <x v="518"/>
    <x v="162"/>
    <n v="21"/>
    <n v="132"/>
    <x v="192"/>
    <x v="192"/>
    <n v="132"/>
    <s v="190201"/>
    <s v="Soporte LCD LP09-46T"/>
    <x v="34"/>
    <n v="19"/>
    <n v="0"/>
  </r>
  <r>
    <n v="26"/>
    <x v="518"/>
    <x v="162"/>
    <n v="22"/>
    <n v="135"/>
    <x v="127"/>
    <x v="127"/>
    <n v="135"/>
    <s v="190203"/>
    <s v="Soporte LCD LPA16-46x"/>
    <x v="34"/>
    <n v="24"/>
    <n v="0"/>
  </r>
  <r>
    <n v="4"/>
    <x v="593"/>
    <x v="201"/>
    <n v="2"/>
    <n v="714"/>
    <x v="28"/>
    <x v="28"/>
    <n v="714"/>
    <s v="181640"/>
    <s v="Kit Magazin 120"/>
    <x v="679"/>
    <n v="1"/>
    <n v="1"/>
  </r>
  <r>
    <n v="4"/>
    <x v="594"/>
    <x v="201"/>
    <n v="3"/>
    <n v="501"/>
    <x v="5"/>
    <x v="5"/>
    <n v="501"/>
    <s v="170782"/>
    <s v="Rack atacama pt mad castaño 160295"/>
    <x v="680"/>
    <n v="1"/>
    <n v="1"/>
  </r>
  <r>
    <n v="4"/>
    <x v="595"/>
    <x v="201"/>
    <n v="4"/>
    <n v="808"/>
    <x v="103"/>
    <x v="103"/>
    <n v="808"/>
    <s v="181757"/>
    <s v="Estante Lima"/>
    <x v="681"/>
    <n v="1"/>
    <n v="1"/>
  </r>
  <r>
    <n v="4"/>
    <x v="596"/>
    <x v="201"/>
    <n v="5"/>
    <n v="970"/>
    <x v="0"/>
    <x v="0"/>
    <n v="506"/>
    <s v="120023"/>
    <s v="Estante Aruba"/>
    <x v="682"/>
    <n v="1"/>
    <n v="1"/>
  </r>
  <r>
    <n v="4"/>
    <x v="597"/>
    <x v="201"/>
    <n v="6"/>
    <n v="13"/>
    <x v="13"/>
    <x v="13"/>
    <n v="13"/>
    <s v="110301"/>
    <s v="Bar de Canto Puerto Montt Tabaco"/>
    <x v="683"/>
    <n v="1"/>
    <n v="1"/>
  </r>
  <r>
    <n v="4"/>
    <x v="598"/>
    <x v="201"/>
    <n v="1"/>
    <n v="404"/>
    <x v="17"/>
    <x v="17"/>
    <n v="404"/>
    <s v="161012"/>
    <s v="kit dormitorio + modulo 1233 + 3017 aberto"/>
    <x v="684"/>
    <n v="1"/>
    <n v="1"/>
  </r>
  <r>
    <n v="6"/>
    <x v="599"/>
    <x v="202"/>
    <n v="1"/>
    <n v="809"/>
    <x v="61"/>
    <x v="61"/>
    <n v="809"/>
    <s v="181759"/>
    <s v="Rack Ovalle"/>
    <x v="685"/>
    <n v="1"/>
    <n v="1"/>
  </r>
  <r>
    <n v="6"/>
    <x v="600"/>
    <x v="202"/>
    <n v="2"/>
    <n v="892"/>
    <x v="25"/>
    <x v="25"/>
    <n v="892"/>
    <s v="181824"/>
    <s v="RESPALDO MONACO "/>
    <x v="686"/>
    <n v="1"/>
    <n v="1"/>
  </r>
  <r>
    <n v="6"/>
    <x v="601"/>
    <x v="203"/>
    <n v="1"/>
    <n v="926"/>
    <x v="193"/>
    <x v="193"/>
    <n v="926"/>
    <s v="181901"/>
    <s v="Cocina Marion ( Cocina Vivence)"/>
    <x v="687"/>
    <n v="1"/>
    <n v="1"/>
  </r>
  <r>
    <n v="9"/>
    <x v="602"/>
    <x v="204"/>
    <n v="1"/>
    <n v="592"/>
    <x v="88"/>
    <x v="88"/>
    <n v="592"/>
    <s v="130298"/>
    <s v="Lavaplato 120 eco importado bco"/>
    <x v="688"/>
    <n v="1"/>
    <n v="1"/>
  </r>
  <r>
    <n v="9"/>
    <x v="603"/>
    <x v="204"/>
    <n v="2"/>
    <n v="402"/>
    <x v="32"/>
    <x v="32"/>
    <n v="402"/>
    <s v="161010"/>
    <s v="Escritorio Cali artico"/>
    <x v="689"/>
    <n v="1"/>
    <n v="1"/>
  </r>
  <r>
    <n v="9"/>
    <x v="604"/>
    <x v="204"/>
    <n v="3"/>
    <n v="584"/>
    <x v="96"/>
    <x v="96"/>
    <n v="584"/>
    <s v="130290"/>
    <s v="Rack New Montana bco"/>
    <x v="690"/>
    <n v="1"/>
    <n v="1"/>
  </r>
  <r>
    <n v="9"/>
    <x v="605"/>
    <x v="205"/>
    <n v="1"/>
    <n v="404"/>
    <x v="17"/>
    <x v="17"/>
    <n v="404"/>
    <s v="161012"/>
    <s v="kit dormitorio + modulo 1233 + 3017 aberto"/>
    <x v="691"/>
    <n v="1"/>
    <n v="1"/>
  </r>
  <r>
    <n v="9"/>
    <x v="606"/>
    <x v="206"/>
    <n v="2"/>
    <n v="970"/>
    <x v="0"/>
    <x v="0"/>
    <n v="506"/>
    <s v="120023"/>
    <s v="Estante Aruba"/>
    <x v="692"/>
    <n v="1"/>
    <n v="1"/>
  </r>
  <r>
    <n v="9"/>
    <x v="607"/>
    <x v="206"/>
    <n v="1"/>
    <n v="13"/>
    <x v="13"/>
    <x v="13"/>
    <n v="13"/>
    <s v="110301"/>
    <s v="Bar de Canto Puerto Montt Tabaco"/>
    <x v="693"/>
    <n v="1"/>
    <n v="1"/>
  </r>
  <r>
    <n v="1"/>
    <x v="608"/>
    <x v="207"/>
    <n v="1"/>
    <n v="362"/>
    <x v="161"/>
    <x v="161"/>
    <n v="362"/>
    <s v="170778"/>
    <s v="Rack Arterra rov tx - rov tx 52080"/>
    <x v="75"/>
    <n v="16"/>
    <n v="16"/>
  </r>
  <r>
    <n v="1"/>
    <x v="608"/>
    <x v="207"/>
    <n v="2"/>
    <n v="616"/>
    <x v="164"/>
    <x v="164"/>
    <n v="616"/>
    <s v="181529"/>
    <s v="Lavaplatos 80 Derecho C/Reb Blanco Notavel"/>
    <x v="76"/>
    <n v="12"/>
    <n v="12"/>
  </r>
  <r>
    <n v="1"/>
    <x v="608"/>
    <x v="207"/>
    <n v="3"/>
    <n v="618"/>
    <x v="90"/>
    <x v="90"/>
    <n v="618"/>
    <s v="181531"/>
    <s v="Lavaplatos 100 Derecho C/Reb Blanco Notavel"/>
    <x v="77"/>
    <n v="12"/>
    <n v="12"/>
  </r>
  <r>
    <n v="1"/>
    <x v="608"/>
    <x v="207"/>
    <n v="4"/>
    <n v="619"/>
    <x v="138"/>
    <x v="138"/>
    <n v="619"/>
    <s v="181532"/>
    <s v="Lavaplatos 100 Izquierdo C/Reb Blanco Notavel"/>
    <x v="152"/>
    <n v="6"/>
    <n v="6"/>
  </r>
  <r>
    <n v="2"/>
    <x v="609"/>
    <x v="208"/>
    <n v="4"/>
    <n v="816"/>
    <x v="136"/>
    <x v="136"/>
    <n v="816"/>
    <s v="181735"/>
    <s v="Sofa  2 cuerpos Smith"/>
    <x v="694"/>
    <n v="1"/>
    <n v="1"/>
  </r>
  <r>
    <n v="2"/>
    <x v="610"/>
    <x v="208"/>
    <n v="2"/>
    <n v="181"/>
    <x v="76"/>
    <x v="76"/>
    <n v="181"/>
    <s v="161006"/>
    <s v="Escritorio Lindoia artico/turquesa 1194"/>
    <x v="695"/>
    <n v="1"/>
    <n v="1"/>
  </r>
  <r>
    <n v="2"/>
    <x v="611"/>
    <x v="208"/>
    <n v="3"/>
    <n v="970"/>
    <x v="0"/>
    <x v="0"/>
    <n v="506"/>
    <s v="120023"/>
    <s v="Estante Aruba"/>
    <x v="696"/>
    <n v="1"/>
    <n v="1"/>
  </r>
  <r>
    <n v="2"/>
    <x v="612"/>
    <x v="208"/>
    <n v="1"/>
    <n v="680"/>
    <x v="116"/>
    <x v="116"/>
    <n v="680"/>
    <s v="181600"/>
    <s v="Estante Cristal"/>
    <x v="697"/>
    <n v="1"/>
    <n v="1"/>
  </r>
  <r>
    <n v="29"/>
    <x v="613"/>
    <x v="209"/>
    <n v="1"/>
    <n v="849"/>
    <x v="42"/>
    <x v="42"/>
    <n v="849"/>
    <s v="181794"/>
    <s v="Gabinete Burgos"/>
    <x v="698"/>
    <n v="1"/>
    <n v="1"/>
  </r>
  <r>
    <n v="24"/>
    <x v="614"/>
    <x v="210"/>
    <n v="1"/>
    <n v="362"/>
    <x v="161"/>
    <x v="161"/>
    <n v="362"/>
    <s v="170778"/>
    <s v="Rack Arterra rov tx - rov tx 52080"/>
    <x v="699"/>
    <n v="1"/>
    <n v="1"/>
  </r>
  <r>
    <n v="25"/>
    <x v="615"/>
    <x v="211"/>
    <n v="1"/>
    <n v="721"/>
    <x v="194"/>
    <x v="194"/>
    <n v="721"/>
    <s v="181577"/>
    <s v="Asador electrico giratorio M1/30-50HZ Preto 3 Espetos"/>
    <x v="34"/>
    <n v="1"/>
    <n v="0"/>
  </r>
  <r>
    <n v="25"/>
    <x v="615"/>
    <x v="211"/>
    <n v="2"/>
    <n v="722"/>
    <x v="121"/>
    <x v="121"/>
    <n v="722"/>
    <s v="181578"/>
    <s v="Asador electrico giratorio M1/30-50HZ 14859"/>
    <x v="34"/>
    <n v="41"/>
    <n v="41"/>
  </r>
  <r>
    <n v="25"/>
    <x v="615"/>
    <x v="211"/>
    <n v="3"/>
    <n v="723"/>
    <x v="195"/>
    <x v="195"/>
    <n v="723"/>
    <s v="181579"/>
    <s v="Set asador simple 2 unidades "/>
    <x v="34"/>
    <n v="15"/>
    <n v="15"/>
  </r>
  <r>
    <n v="25"/>
    <x v="615"/>
    <x v="211"/>
    <n v="4"/>
    <n v="724"/>
    <x v="196"/>
    <x v="196"/>
    <n v="724"/>
    <s v="181580"/>
    <s v="Set asador Triple 3 unidades "/>
    <x v="34"/>
    <n v="15"/>
    <n v="15"/>
  </r>
  <r>
    <n v="25"/>
    <x v="615"/>
    <x v="211"/>
    <n v="5"/>
    <n v="725"/>
    <x v="197"/>
    <x v="197"/>
    <n v="725"/>
    <s v="181581"/>
    <s v="Parrilla Multiuso "/>
    <x v="34"/>
    <n v="15"/>
    <n v="15"/>
  </r>
  <r>
    <n v="3"/>
    <x v="537"/>
    <x v="169"/>
    <n v="3"/>
    <n v="970"/>
    <x v="0"/>
    <x v="0"/>
    <n v="506"/>
    <s v="120023"/>
    <s v="Estante Aruba"/>
    <x v="700"/>
    <n v="1"/>
    <n v="1"/>
  </r>
  <r>
    <n v="3"/>
    <x v="537"/>
    <x v="169"/>
    <n v="4"/>
    <n v="824"/>
    <x v="1"/>
    <x v="1"/>
    <n v="824"/>
    <s v="181756"/>
    <s v="Rack Line (New Zero)"/>
    <x v="701"/>
    <n v="1"/>
    <n v="1"/>
  </r>
  <r>
    <n v="3"/>
    <x v="537"/>
    <x v="169"/>
    <n v="5"/>
    <n v="970"/>
    <x v="0"/>
    <x v="0"/>
    <n v="506"/>
    <s v="120023"/>
    <s v="Estante Aruba"/>
    <x v="702"/>
    <n v="1"/>
    <n v="1"/>
  </r>
  <r>
    <n v="3"/>
    <x v="537"/>
    <x v="169"/>
    <n v="6"/>
    <n v="970"/>
    <x v="0"/>
    <x v="0"/>
    <n v="506"/>
    <s v="120023"/>
    <s v="Estante Aruba"/>
    <x v="703"/>
    <n v="1"/>
    <n v="1"/>
  </r>
  <r>
    <n v="5"/>
    <x v="616"/>
    <x v="212"/>
    <n v="1"/>
    <n v="937"/>
    <x v="155"/>
    <x v="155"/>
    <n v="115"/>
    <s v="170211"/>
    <s v="Rack prada"/>
    <x v="34"/>
    <n v="1"/>
    <n v="1"/>
  </r>
  <r>
    <n v="5"/>
    <x v="617"/>
    <x v="212"/>
    <n v="2"/>
    <n v="584"/>
    <x v="96"/>
    <x v="96"/>
    <n v="584"/>
    <s v="130290"/>
    <s v="Rack New Montana bco"/>
    <x v="34"/>
    <n v="1"/>
    <n v="1"/>
  </r>
  <r>
    <n v="2"/>
    <x v="618"/>
    <x v="213"/>
    <n v="1"/>
    <n v="905"/>
    <x v="39"/>
    <x v="39"/>
    <n v="905"/>
    <s v="181876"/>
    <s v="RACK STAR (QUARTZ)"/>
    <x v="704"/>
    <n v="1"/>
    <n v="1"/>
  </r>
  <r>
    <n v="29"/>
    <x v="619"/>
    <x v="214"/>
    <n v="3"/>
    <n v="829"/>
    <x v="68"/>
    <x v="68"/>
    <n v="829"/>
    <s v="181708"/>
    <s v="ZAPATERA TRIPLE FICUS"/>
    <x v="705"/>
    <n v="1"/>
    <n v="1"/>
  </r>
  <r>
    <n v="29"/>
    <x v="620"/>
    <x v="214"/>
    <n v="4"/>
    <n v="829"/>
    <x v="68"/>
    <x v="68"/>
    <n v="829"/>
    <s v="181708"/>
    <s v="ZAPATERA TRIPLE FICUS"/>
    <x v="706"/>
    <n v="1"/>
    <n v="1"/>
  </r>
  <r>
    <n v="29"/>
    <x v="621"/>
    <x v="214"/>
    <n v="1"/>
    <n v="829"/>
    <x v="68"/>
    <x v="68"/>
    <n v="829"/>
    <s v="181708"/>
    <s v="ZAPATERA TRIPLE FICUS"/>
    <x v="707"/>
    <n v="1"/>
    <n v="1"/>
  </r>
  <r>
    <n v="29"/>
    <x v="622"/>
    <x v="214"/>
    <n v="2"/>
    <n v="829"/>
    <x v="68"/>
    <x v="68"/>
    <n v="829"/>
    <s v="181708"/>
    <s v="ZAPATERA TRIPLE FICUS"/>
    <x v="708"/>
    <n v="1"/>
    <n v="1"/>
  </r>
  <r>
    <n v="2"/>
    <x v="623"/>
    <x v="215"/>
    <n v="4"/>
    <n v="632"/>
    <x v="75"/>
    <x v="75"/>
    <n v="632"/>
    <s v="181545A"/>
    <s v="Respaldo Celaya"/>
    <x v="709"/>
    <n v="1"/>
    <n v="1"/>
  </r>
  <r>
    <n v="2"/>
    <x v="624"/>
    <x v="215"/>
    <n v="1"/>
    <n v="873"/>
    <x v="104"/>
    <x v="104"/>
    <n v="873"/>
    <s v="181817"/>
    <s v="Poltrona Belen 1 cuerpo"/>
    <x v="710"/>
    <n v="1"/>
    <n v="1"/>
  </r>
  <r>
    <n v="2"/>
    <x v="625"/>
    <x v="215"/>
    <n v="2"/>
    <n v="181"/>
    <x v="76"/>
    <x v="76"/>
    <n v="181"/>
    <s v="161006"/>
    <s v="Escritorio Lindoia artico/turquesa 1194"/>
    <x v="711"/>
    <n v="1"/>
    <n v="1"/>
  </r>
  <r>
    <n v="2"/>
    <x v="626"/>
    <x v="215"/>
    <n v="3"/>
    <n v="680"/>
    <x v="116"/>
    <x v="116"/>
    <n v="680"/>
    <s v="181600"/>
    <s v="Estante Cristal"/>
    <x v="712"/>
    <n v="1"/>
    <n v="1"/>
  </r>
  <r>
    <n v="1"/>
    <x v="627"/>
    <x v="216"/>
    <n v="1"/>
    <n v="617"/>
    <x v="78"/>
    <x v="78"/>
    <n v="617"/>
    <s v="181530"/>
    <s v="Lavaplatos 80 Izquierdo C/Reb Blanco Notavel"/>
    <x v="75"/>
    <n v="12"/>
    <n v="12"/>
  </r>
  <r>
    <n v="1"/>
    <x v="627"/>
    <x v="216"/>
    <n v="2"/>
    <n v="620"/>
    <x v="93"/>
    <x v="93"/>
    <n v="620"/>
    <s v="181533"/>
    <s v="Lavaplatos 120 Derecho C/Reb Blanco Notavel"/>
    <x v="76"/>
    <n v="12"/>
    <n v="12"/>
  </r>
  <r>
    <n v="1"/>
    <x v="627"/>
    <x v="216"/>
    <n v="3"/>
    <n v="621"/>
    <x v="148"/>
    <x v="148"/>
    <n v="621"/>
    <s v="181534"/>
    <s v="Lavaplatos 120 Izquierdo C/Reb Blancoo Notavel"/>
    <x v="77"/>
    <n v="6"/>
    <n v="6"/>
  </r>
  <r>
    <n v="2"/>
    <x v="628"/>
    <x v="217"/>
    <n v="1"/>
    <n v="886"/>
    <x v="151"/>
    <x v="151"/>
    <n v="886"/>
    <s v="181813"/>
    <s v="Rack Kemi"/>
    <x v="155"/>
    <n v="3"/>
    <n v="3"/>
  </r>
  <r>
    <n v="29"/>
    <x v="628"/>
    <x v="218"/>
    <n v="1"/>
    <n v="563"/>
    <x v="80"/>
    <x v="80"/>
    <n v="563"/>
    <s v="130269"/>
    <s v="Rack basculante Nordico"/>
    <x v="77"/>
    <n v="6"/>
    <n v="4"/>
  </r>
  <r>
    <n v="29"/>
    <x v="628"/>
    <x v="218"/>
    <n v="2"/>
    <n v="564"/>
    <x v="81"/>
    <x v="81"/>
    <n v="564"/>
    <s v="130270"/>
    <s v="Mesa TV Nordico"/>
    <x v="76"/>
    <n v="6"/>
    <n v="0"/>
  </r>
  <r>
    <n v="29"/>
    <x v="628"/>
    <x v="218"/>
    <n v="3"/>
    <n v="683"/>
    <x v="44"/>
    <x v="44"/>
    <n v="683"/>
    <s v="181609"/>
    <s v="Poltrona Magno"/>
    <x v="75"/>
    <n v="252"/>
    <n v="100"/>
  </r>
  <r>
    <n v="29"/>
    <x v="628"/>
    <x v="218"/>
    <n v="4"/>
    <n v="799"/>
    <x v="84"/>
    <x v="84"/>
    <n v="799"/>
    <s v="181738"/>
    <s v="MESA DE CENTRO ROSTCK"/>
    <x v="152"/>
    <n v="960"/>
    <n v="0"/>
  </r>
  <r>
    <n v="29"/>
    <x v="628"/>
    <x v="218"/>
    <n v="5"/>
    <n v="967"/>
    <x v="46"/>
    <x v="46"/>
    <n v="967"/>
    <s v="181935"/>
    <s v="Kit Cocina 80 Paula + Cubierta + Griferia"/>
    <x v="154"/>
    <n v="14"/>
    <n v="0"/>
  </r>
  <r>
    <n v="1"/>
    <x v="629"/>
    <x v="219"/>
    <n v="1"/>
    <n v="878"/>
    <x v="77"/>
    <x v="77"/>
    <n v="362"/>
    <s v="170778"/>
    <s v="Rack Arterra rov tx - rov tx 52080"/>
    <x v="75"/>
    <n v="36"/>
    <n v="36"/>
  </r>
  <r>
    <n v="1"/>
    <x v="629"/>
    <x v="219"/>
    <n v="2"/>
    <n v="616"/>
    <x v="164"/>
    <x v="164"/>
    <n v="616"/>
    <s v="181529"/>
    <s v="Lavaplatos 80 Derecho C/Reb Blanco Notavel"/>
    <x v="76"/>
    <n v="12"/>
    <n v="12"/>
  </r>
  <r>
    <n v="1"/>
    <x v="629"/>
    <x v="219"/>
    <n v="3"/>
    <n v="618"/>
    <x v="90"/>
    <x v="90"/>
    <n v="618"/>
    <s v="181531"/>
    <s v="Lavaplatos 100 Derecho C/Reb Blanco Notavel"/>
    <x v="77"/>
    <n v="6"/>
    <n v="6"/>
  </r>
  <r>
    <n v="1"/>
    <x v="629"/>
    <x v="219"/>
    <n v="4"/>
    <n v="619"/>
    <x v="138"/>
    <x v="138"/>
    <n v="619"/>
    <s v="181532"/>
    <s v="Lavaplatos 100 Izquierdo C/Reb Blanco Notavel"/>
    <x v="152"/>
    <n v="6"/>
    <n v="6"/>
  </r>
  <r>
    <n v="1"/>
    <x v="629"/>
    <x v="219"/>
    <n v="5"/>
    <n v="620"/>
    <x v="93"/>
    <x v="93"/>
    <n v="620"/>
    <s v="181533"/>
    <s v="Lavaplatos 120 Derecho C/Reb Blanco Notavel"/>
    <x v="155"/>
    <n v="6"/>
    <n v="6"/>
  </r>
  <r>
    <n v="6"/>
    <x v="630"/>
    <x v="220"/>
    <n v="2"/>
    <n v="403"/>
    <x v="27"/>
    <x v="27"/>
    <n v="403"/>
    <s v="161011"/>
    <s v="Escritorio Curitiba artico"/>
    <x v="713"/>
    <n v="1"/>
    <n v="1"/>
  </r>
  <r>
    <n v="6"/>
    <x v="631"/>
    <x v="220"/>
    <n v="3"/>
    <n v="842"/>
    <x v="36"/>
    <x v="36"/>
    <n v="842"/>
    <s v="181767"/>
    <s v="Panel Ipe"/>
    <x v="714"/>
    <n v="1"/>
    <n v="1"/>
  </r>
  <r>
    <n v="6"/>
    <x v="632"/>
    <x v="220"/>
    <n v="1"/>
    <n v="400"/>
    <x v="89"/>
    <x v="89"/>
    <n v="400"/>
    <s v="161008"/>
    <s v="Escritorio Fenix Artico"/>
    <x v="715"/>
    <n v="1"/>
    <n v="1"/>
  </r>
  <r>
    <n v="26"/>
    <x v="262"/>
    <x v="221"/>
    <n v="1"/>
    <n v="722"/>
    <x v="121"/>
    <x v="121"/>
    <n v="722"/>
    <s v="181578"/>
    <s v="Asador electrico giratorio M1/30-50HZ 14859"/>
    <x v="34"/>
    <n v="3"/>
    <n v="3"/>
  </r>
  <r>
    <n v="4"/>
    <x v="633"/>
    <x v="222"/>
    <n v="5"/>
    <n v="714"/>
    <x v="28"/>
    <x v="28"/>
    <n v="714"/>
    <s v="181640"/>
    <s v="Kit Magazin 120"/>
    <x v="716"/>
    <n v="1"/>
    <n v="1"/>
  </r>
  <r>
    <n v="4"/>
    <x v="634"/>
    <x v="222"/>
    <n v="2"/>
    <n v="400"/>
    <x v="89"/>
    <x v="89"/>
    <n v="400"/>
    <s v="161008"/>
    <s v="Escritorio Fenix Artico"/>
    <x v="717"/>
    <n v="1"/>
    <n v="1"/>
  </r>
  <r>
    <n v="4"/>
    <x v="635"/>
    <x v="222"/>
    <n v="3"/>
    <n v="501"/>
    <x v="5"/>
    <x v="5"/>
    <n v="501"/>
    <s v="170782"/>
    <s v="Rack atacama pt mad castaño 160295"/>
    <x v="718"/>
    <n v="1"/>
    <n v="1"/>
  </r>
  <r>
    <n v="4"/>
    <x v="636"/>
    <x v="222"/>
    <n v="4"/>
    <n v="816"/>
    <x v="136"/>
    <x v="136"/>
    <n v="816"/>
    <s v="181735"/>
    <s v="Sofa  2 cuerpos Smith"/>
    <x v="719"/>
    <n v="1"/>
    <n v="1"/>
  </r>
  <r>
    <n v="4"/>
    <x v="637"/>
    <x v="222"/>
    <n v="1"/>
    <n v="638"/>
    <x v="22"/>
    <x v="22"/>
    <n v="638"/>
    <s v="181551"/>
    <s v="Home Ipanema 1.80 "/>
    <x v="720"/>
    <n v="1"/>
    <n v="1"/>
  </r>
  <r>
    <n v="4"/>
    <x v="638"/>
    <x v="223"/>
    <n v="1"/>
    <n v="906"/>
    <x v="16"/>
    <x v="16"/>
    <n v="906"/>
    <s v="181894"/>
    <s v="Cristalera New Vina"/>
    <x v="721"/>
    <n v="1"/>
    <n v="1"/>
  </r>
  <r>
    <n v="4"/>
    <x v="639"/>
    <x v="223"/>
    <n v="2"/>
    <n v="347"/>
    <x v="40"/>
    <x v="40"/>
    <n v="347"/>
    <s v="160116"/>
    <s v="Mesa de Centro Classic rustico malbec"/>
    <x v="722"/>
    <n v="1"/>
    <n v="1"/>
  </r>
  <r>
    <n v="9"/>
    <x v="640"/>
    <x v="121"/>
    <n v="15"/>
    <n v="474"/>
    <x v="30"/>
    <x v="30"/>
    <n v="474"/>
    <s v="120013"/>
    <s v="Mesa para tv MDP Montana Nat - Bco glas"/>
    <x v="723"/>
    <n v="1"/>
    <n v="1"/>
  </r>
  <r>
    <n v="9"/>
    <x v="641"/>
    <x v="121"/>
    <n v="16"/>
    <n v="938"/>
    <x v="120"/>
    <x v="120"/>
    <n v="938"/>
    <s v="181838"/>
    <s v="Panel Niteroi"/>
    <x v="724"/>
    <n v="1"/>
    <n v="1"/>
  </r>
  <r>
    <n v="9"/>
    <x v="642"/>
    <x v="121"/>
    <n v="3"/>
    <n v="674"/>
    <x v="23"/>
    <x v="23"/>
    <n v="674"/>
    <s v="181595"/>
    <s v="Home Deneb"/>
    <x v="725"/>
    <n v="1"/>
    <n v="1"/>
  </r>
  <r>
    <n v="9"/>
    <x v="409"/>
    <x v="121"/>
    <n v="4"/>
    <n v="970"/>
    <x v="0"/>
    <x v="0"/>
    <n v="506"/>
    <s v="120023"/>
    <s v="Estante Aruba"/>
    <x v="726"/>
    <n v="1"/>
    <n v="1"/>
  </r>
  <r>
    <n v="9"/>
    <x v="643"/>
    <x v="121"/>
    <n v="5"/>
    <n v="698"/>
    <x v="146"/>
    <x v="146"/>
    <n v="698"/>
    <s v="181624"/>
    <s v="Rack tv palu"/>
    <x v="727"/>
    <n v="1"/>
    <n v="1"/>
  </r>
  <r>
    <n v="9"/>
    <x v="643"/>
    <x v="121"/>
    <n v="25"/>
    <n v="467"/>
    <x v="87"/>
    <x v="87"/>
    <n v="467"/>
    <s v="140684"/>
    <s v="Mesa de centro VIVA REF:909  COLORADO"/>
    <x v="728"/>
    <n v="1"/>
    <n v="1"/>
  </r>
  <r>
    <n v="9"/>
    <x v="377"/>
    <x v="121"/>
    <n v="6"/>
    <n v="970"/>
    <x v="0"/>
    <x v="0"/>
    <n v="506"/>
    <s v="120023"/>
    <s v="Estante Aruba"/>
    <x v="729"/>
    <n v="1"/>
    <n v="1"/>
  </r>
  <r>
    <n v="9"/>
    <x v="377"/>
    <x v="121"/>
    <n v="7"/>
    <n v="403"/>
    <x v="27"/>
    <x v="27"/>
    <n v="403"/>
    <s v="161011"/>
    <s v="Escritorio Curitiba artico"/>
    <x v="730"/>
    <n v="1"/>
    <n v="1"/>
  </r>
  <r>
    <n v="9"/>
    <x v="377"/>
    <x v="121"/>
    <n v="26"/>
    <n v="937"/>
    <x v="155"/>
    <x v="155"/>
    <n v="937"/>
    <s v="181837"/>
    <s v="Rack Jeri"/>
    <x v="731"/>
    <n v="1"/>
    <n v="1"/>
  </r>
  <r>
    <n v="9"/>
    <x v="114"/>
    <x v="121"/>
    <n v="22"/>
    <n v="13"/>
    <x v="13"/>
    <x v="13"/>
    <n v="13"/>
    <s v="110301"/>
    <s v="Bar de Canto Puerto Montt Tabaco"/>
    <x v="732"/>
    <n v="1"/>
    <n v="1"/>
  </r>
  <r>
    <n v="9"/>
    <x v="114"/>
    <x v="121"/>
    <n v="23"/>
    <n v="13"/>
    <x v="13"/>
    <x v="13"/>
    <n v="13"/>
    <s v="110301"/>
    <s v="Bar de Canto Puerto Montt Tabaco"/>
    <x v="733"/>
    <n v="1"/>
    <n v="1"/>
  </r>
  <r>
    <n v="9"/>
    <x v="644"/>
    <x v="121"/>
    <n v="24"/>
    <n v="13"/>
    <x v="13"/>
    <x v="13"/>
    <n v="13"/>
    <s v="110301"/>
    <s v="Bar de Canto Puerto Montt Tabaco"/>
    <x v="734"/>
    <n v="1"/>
    <n v="1"/>
  </r>
  <r>
    <n v="9"/>
    <x v="645"/>
    <x v="121"/>
    <n v="1"/>
    <n v="347"/>
    <x v="40"/>
    <x v="40"/>
    <n v="347"/>
    <s v="160116"/>
    <s v="Mesa de Centro Classic rustico malbec"/>
    <x v="735"/>
    <n v="1"/>
    <n v="1"/>
  </r>
  <r>
    <n v="9"/>
    <x v="646"/>
    <x v="121"/>
    <n v="2"/>
    <n v="970"/>
    <x v="0"/>
    <x v="0"/>
    <n v="506"/>
    <s v="120023"/>
    <s v="Estante Aruba"/>
    <x v="736"/>
    <n v="1"/>
    <n v="1"/>
  </r>
  <r>
    <n v="9"/>
    <x v="647"/>
    <x v="121"/>
    <n v="21"/>
    <n v="13"/>
    <x v="13"/>
    <x v="13"/>
    <n v="13"/>
    <s v="110301"/>
    <s v="Bar de Canto Puerto Montt Tabaco"/>
    <x v="737"/>
    <n v="1"/>
    <n v="1"/>
  </r>
  <r>
    <n v="9"/>
    <x v="648"/>
    <x v="121"/>
    <n v="19"/>
    <n v="347"/>
    <x v="40"/>
    <x v="40"/>
    <n v="347"/>
    <s v="160116"/>
    <s v="Mesa de Centro Classic rustico malbec"/>
    <x v="738"/>
    <n v="1"/>
    <n v="1"/>
  </r>
  <r>
    <n v="9"/>
    <x v="649"/>
    <x v="121"/>
    <n v="20"/>
    <n v="13"/>
    <x v="13"/>
    <x v="13"/>
    <n v="13"/>
    <s v="110301"/>
    <s v="Bar de Canto Puerto Montt Tabaco"/>
    <x v="739"/>
    <n v="1"/>
    <n v="1"/>
  </r>
  <r>
    <n v="9"/>
    <x v="147"/>
    <x v="121"/>
    <n v="18"/>
    <n v="408"/>
    <x v="198"/>
    <x v="198"/>
    <n v="408"/>
    <s v="130728"/>
    <s v="Closet Capelinha"/>
    <x v="171"/>
    <n v="1"/>
    <n v="0"/>
  </r>
  <r>
    <n v="5"/>
    <x v="650"/>
    <x v="224"/>
    <n v="2"/>
    <n v="180"/>
    <x v="70"/>
    <x v="70"/>
    <n v="180"/>
    <s v="161005"/>
    <s v="Escritorio España kit castaño 1176"/>
    <x v="34"/>
    <n v="1"/>
    <n v="1"/>
  </r>
  <r>
    <n v="5"/>
    <x v="651"/>
    <x v="224"/>
    <n v="3"/>
    <n v="489"/>
    <x v="52"/>
    <x v="52"/>
    <n v="489"/>
    <s v="165523"/>
    <s v="Armario Aereo Canela Ref: 3468 Blanco"/>
    <x v="34"/>
    <n v="2"/>
    <n v="2"/>
  </r>
  <r>
    <n v="5"/>
    <x v="652"/>
    <x v="224"/>
    <n v="1"/>
    <n v="686"/>
    <x v="34"/>
    <x v="34"/>
    <n v="686"/>
    <s v="181612"/>
    <s v="Poltrona Lennon"/>
    <x v="34"/>
    <n v="1"/>
    <n v="1"/>
  </r>
  <r>
    <n v="5"/>
    <x v="653"/>
    <x v="225"/>
    <n v="5"/>
    <n v="180"/>
    <x v="70"/>
    <x v="70"/>
    <n v="180"/>
    <s v="161005"/>
    <s v="Escritorio España kit castaño 1176"/>
    <x v="34"/>
    <n v="1"/>
    <n v="1"/>
  </r>
  <r>
    <n v="5"/>
    <x v="654"/>
    <x v="225"/>
    <n v="1"/>
    <n v="403"/>
    <x v="27"/>
    <x v="27"/>
    <n v="403"/>
    <s v="161011"/>
    <s v="Escritorio Curitiba artico"/>
    <x v="34"/>
    <n v="1"/>
    <n v="1"/>
  </r>
  <r>
    <n v="5"/>
    <x v="655"/>
    <x v="225"/>
    <n v="2"/>
    <n v="13"/>
    <x v="13"/>
    <x v="13"/>
    <n v="13"/>
    <s v="110301"/>
    <s v="Bar de Canto Puerto Montt Tabaco"/>
    <x v="34"/>
    <n v="1"/>
    <n v="1"/>
  </r>
  <r>
    <n v="5"/>
    <x v="656"/>
    <x v="225"/>
    <n v="3"/>
    <n v="632"/>
    <x v="75"/>
    <x v="75"/>
    <n v="632"/>
    <s v="181545A"/>
    <s v="Respaldo Celaya"/>
    <x v="34"/>
    <n v="1"/>
    <n v="1"/>
  </r>
  <r>
    <n v="5"/>
    <x v="657"/>
    <x v="225"/>
    <n v="4"/>
    <n v="400"/>
    <x v="89"/>
    <x v="89"/>
    <n v="400"/>
    <s v="161008"/>
    <s v="Escritorio Fenix Artico"/>
    <x v="34"/>
    <n v="1"/>
    <n v="1"/>
  </r>
  <r>
    <n v="24"/>
    <x v="288"/>
    <x v="226"/>
    <n v="1"/>
    <n v="1099"/>
    <x v="132"/>
    <x v="132"/>
    <n v="766"/>
    <s v="181677"/>
    <s v="Set respaldo + 2 veladores  Marcia(New Bento)"/>
    <x v="34"/>
    <n v="230"/>
    <n v="230"/>
  </r>
  <r>
    <n v="24"/>
    <x v="288"/>
    <x v="227"/>
    <n v="1"/>
    <n v="1099"/>
    <x v="132"/>
    <x v="132"/>
    <n v="766"/>
    <s v="181677"/>
    <s v="Set respaldo + 2 veladores  Marcia(New Bento)"/>
    <x v="34"/>
    <n v="270"/>
    <n v="270"/>
  </r>
  <r>
    <n v="24"/>
    <x v="288"/>
    <x v="227"/>
    <n v="2"/>
    <n v="862"/>
    <x v="123"/>
    <x v="123"/>
    <n v="862"/>
    <s v="181803"/>
    <s v="RESPALDO LIMARI"/>
    <x v="34"/>
    <n v="20"/>
    <n v="0"/>
  </r>
  <r>
    <n v="24"/>
    <x v="288"/>
    <x v="228"/>
    <n v="1"/>
    <n v="862"/>
    <x v="123"/>
    <x v="123"/>
    <n v="862"/>
    <s v="181803"/>
    <s v="RESPALDO LIMARI"/>
    <x v="34"/>
    <n v="250"/>
    <n v="250"/>
  </r>
  <r>
    <n v="8"/>
    <x v="305"/>
    <x v="229"/>
    <n v="1"/>
    <n v="865"/>
    <x v="58"/>
    <x v="58"/>
    <n v="405"/>
    <s v="165368"/>
    <s v="Comoda Dinamo 4C + 1P"/>
    <x v="81"/>
    <n v="56"/>
    <n v="56"/>
  </r>
  <r>
    <n v="8"/>
    <x v="305"/>
    <x v="229"/>
    <n v="2"/>
    <n v="1094"/>
    <x v="131"/>
    <x v="131"/>
    <n v="281"/>
    <s v="165677"/>
    <s v="Cocina 6 puertas kit 2306 bco negro"/>
    <x v="82"/>
    <n v="59"/>
    <n v="59"/>
  </r>
  <r>
    <n v="8"/>
    <x v="305"/>
    <x v="229"/>
    <n v="3"/>
    <n v="896"/>
    <x v="60"/>
    <x v="60"/>
    <n v="653"/>
    <s v="181566"/>
    <s v="Depensa 1 Puerta alta"/>
    <x v="83"/>
    <n v="103"/>
    <n v="103"/>
  </r>
  <r>
    <n v="8"/>
    <x v="305"/>
    <x v="229"/>
    <n v="4"/>
    <n v="655"/>
    <x v="176"/>
    <x v="176"/>
    <n v="655"/>
    <s v="181568"/>
    <s v="Kit Cocina Catalina Blanco/Nogal"/>
    <x v="177"/>
    <n v="36"/>
    <n v="32"/>
  </r>
  <r>
    <n v="8"/>
    <x v="305"/>
    <x v="229"/>
    <n v="5"/>
    <n v="809"/>
    <x v="61"/>
    <x v="61"/>
    <n v="809"/>
    <s v="181759"/>
    <s v="Rack Ovalle"/>
    <x v="84"/>
    <n v="40"/>
    <n v="40"/>
  </r>
  <r>
    <n v="3"/>
    <x v="658"/>
    <x v="230"/>
    <n v="4"/>
    <n v="409"/>
    <x v="47"/>
    <x v="47"/>
    <n v="409"/>
    <s v="120011"/>
    <s v="Home Roma "/>
    <x v="740"/>
    <n v="1"/>
    <n v="1"/>
  </r>
  <r>
    <n v="3"/>
    <x v="658"/>
    <x v="230"/>
    <n v="5"/>
    <n v="970"/>
    <x v="0"/>
    <x v="0"/>
    <n v="506"/>
    <s v="120023"/>
    <s v="Estante Aruba"/>
    <x v="741"/>
    <n v="1"/>
    <n v="1"/>
  </r>
  <r>
    <n v="3"/>
    <x v="658"/>
    <x v="230"/>
    <n v="6"/>
    <n v="970"/>
    <x v="0"/>
    <x v="0"/>
    <n v="506"/>
    <s v="120023"/>
    <s v="Estante Aruba"/>
    <x v="742"/>
    <n v="1"/>
    <n v="1"/>
  </r>
  <r>
    <n v="24"/>
    <x v="659"/>
    <x v="231"/>
    <n v="1"/>
    <n v="862"/>
    <x v="123"/>
    <x v="123"/>
    <n v="862"/>
    <s v="181803"/>
    <s v="RESPALDO LIMARI"/>
    <x v="34"/>
    <n v="350"/>
    <n v="350"/>
  </r>
  <r>
    <n v="24"/>
    <x v="659"/>
    <x v="231"/>
    <n v="2"/>
    <n v="892"/>
    <x v="25"/>
    <x v="25"/>
    <n v="892"/>
    <s v="181824"/>
    <s v="RESPALDO MONACO "/>
    <x v="34"/>
    <n v="100"/>
    <n v="100"/>
  </r>
  <r>
    <n v="24"/>
    <x v="659"/>
    <x v="232"/>
    <n v="1"/>
    <n v="863"/>
    <x v="199"/>
    <x v="199"/>
    <n v="863"/>
    <s v="181804"/>
    <s v="CLOSET 6 PUERTAS 2 CAJONES"/>
    <x v="34"/>
    <n v="150"/>
    <n v="150"/>
  </r>
  <r>
    <n v="24"/>
    <x v="659"/>
    <x v="233"/>
    <n v="1"/>
    <n v="863"/>
    <x v="199"/>
    <x v="199"/>
    <n v="863"/>
    <s v="181804"/>
    <s v="CLOSET 6 PUERTAS 2 CAJONES"/>
    <x v="34"/>
    <n v="150"/>
    <n v="100"/>
  </r>
  <r>
    <n v="9"/>
    <x v="660"/>
    <x v="234"/>
    <n v="1"/>
    <n v="701"/>
    <x v="3"/>
    <x v="3"/>
    <n v="701"/>
    <s v="181627"/>
    <s v="Juego de comedor oxford 1+6"/>
    <x v="34"/>
    <n v="1"/>
    <n v="1"/>
  </r>
  <r>
    <n v="9"/>
    <x v="661"/>
    <x v="235"/>
    <n v="1"/>
    <n v="678"/>
    <x v="200"/>
    <x v="200"/>
    <n v="678"/>
    <s v="181608"/>
    <s v="Sofa Seccional  Cecilia"/>
    <x v="34"/>
    <n v="1"/>
    <n v="1"/>
  </r>
  <r>
    <n v="8"/>
    <x v="662"/>
    <x v="236"/>
    <n v="1"/>
    <n v="1094"/>
    <x v="131"/>
    <x v="131"/>
    <n v="655"/>
    <s v="181568"/>
    <s v="Kit Cocina Catalina Blanco/Nogal"/>
    <x v="177"/>
    <n v="2"/>
    <n v="2"/>
  </r>
  <r>
    <n v="4"/>
    <x v="663"/>
    <x v="237"/>
    <n v="3"/>
    <n v="347"/>
    <x v="40"/>
    <x v="40"/>
    <n v="347"/>
    <s v="160116"/>
    <s v="Mesa de Centro Classic rustico malbec"/>
    <x v="743"/>
    <n v="1"/>
    <n v="1"/>
  </r>
  <r>
    <n v="4"/>
    <x v="664"/>
    <x v="237"/>
    <n v="1"/>
    <n v="970"/>
    <x v="0"/>
    <x v="0"/>
    <n v="506"/>
    <s v="120023"/>
    <s v="Estante Aruba"/>
    <x v="744"/>
    <n v="1"/>
    <n v="1"/>
  </r>
  <r>
    <n v="4"/>
    <x v="664"/>
    <x v="237"/>
    <n v="2"/>
    <n v="713"/>
    <x v="130"/>
    <x v="130"/>
    <n v="713"/>
    <s v="181639"/>
    <s v="kit Fit 120"/>
    <x v="744"/>
    <n v="1"/>
    <n v="1"/>
  </r>
  <r>
    <n v="4"/>
    <x v="665"/>
    <x v="238"/>
    <n v="1"/>
    <n v="712"/>
    <x v="142"/>
    <x v="142"/>
    <n v="712"/>
    <s v="181638"/>
    <s v="Kit Yara 160"/>
    <x v="745"/>
    <n v="1"/>
    <n v="1"/>
  </r>
  <r>
    <n v="8"/>
    <x v="666"/>
    <x v="239"/>
    <n v="2"/>
    <n v="403"/>
    <x v="27"/>
    <x v="27"/>
    <n v="403"/>
    <s v="161011"/>
    <s v="Escritorio Curitiba artico"/>
    <x v="120"/>
    <n v="1"/>
    <n v="1"/>
  </r>
  <r>
    <n v="8"/>
    <x v="667"/>
    <x v="239"/>
    <n v="1"/>
    <n v="404"/>
    <x v="17"/>
    <x v="17"/>
    <n v="404"/>
    <s v="161012"/>
    <s v="kit dormitorio + modulo 1233 + 3017 aberto"/>
    <x v="333"/>
    <n v="1"/>
    <n v="1"/>
  </r>
  <r>
    <n v="6"/>
    <x v="668"/>
    <x v="240"/>
    <n v="3"/>
    <n v="965"/>
    <x v="156"/>
    <x v="156"/>
    <n v="965"/>
    <s v="181929"/>
    <s v="Comedor Serena Dark Rouge 1+6"/>
    <x v="746"/>
    <n v="1"/>
    <n v="1"/>
  </r>
  <r>
    <n v="6"/>
    <x v="669"/>
    <x v="240"/>
    <n v="4"/>
    <n v="966"/>
    <x v="102"/>
    <x v="102"/>
    <n v="966"/>
    <s v="181930"/>
    <s v="Comedor Italia Auria 1+4"/>
    <x v="747"/>
    <n v="1"/>
    <n v="1"/>
  </r>
  <r>
    <n v="6"/>
    <x v="670"/>
    <x v="240"/>
    <n v="5"/>
    <n v="13"/>
    <x v="13"/>
    <x v="13"/>
    <n v="13"/>
    <s v="110301"/>
    <s v="Bar de Canto Puerto Montt Tabaco"/>
    <x v="748"/>
    <n v="1"/>
    <n v="1"/>
  </r>
  <r>
    <n v="6"/>
    <x v="671"/>
    <x v="240"/>
    <n v="6"/>
    <n v="712"/>
    <x v="142"/>
    <x v="142"/>
    <n v="712"/>
    <s v="181638"/>
    <s v="Kit Yara 160"/>
    <x v="749"/>
    <n v="1"/>
    <n v="1"/>
  </r>
  <r>
    <n v="6"/>
    <x v="672"/>
    <x v="240"/>
    <n v="7"/>
    <n v="850"/>
    <x v="140"/>
    <x v="140"/>
    <n v="850"/>
    <s v="181796"/>
    <s v="Gabinete Compostela"/>
    <x v="750"/>
    <n v="1"/>
    <n v="1"/>
  </r>
  <r>
    <n v="6"/>
    <x v="673"/>
    <x v="240"/>
    <n v="8"/>
    <n v="842"/>
    <x v="36"/>
    <x v="36"/>
    <n v="842"/>
    <s v="181767"/>
    <s v="Panel Ipe"/>
    <x v="751"/>
    <n v="1"/>
    <n v="1"/>
  </r>
  <r>
    <n v="6"/>
    <x v="674"/>
    <x v="240"/>
    <n v="1"/>
    <n v="404"/>
    <x v="17"/>
    <x v="17"/>
    <n v="404"/>
    <s v="161012"/>
    <s v="kit dormitorio + modulo 1233 + 3017 aberto"/>
    <x v="752"/>
    <n v="1"/>
    <n v="1"/>
  </r>
  <r>
    <n v="6"/>
    <x v="675"/>
    <x v="240"/>
    <n v="9"/>
    <n v="706"/>
    <x v="165"/>
    <x v="165"/>
    <n v="706"/>
    <s v="181632"/>
    <s v="Juego de comedor mali 6+1"/>
    <x v="753"/>
    <n v="1"/>
    <n v="1"/>
  </r>
  <r>
    <n v="6"/>
    <x v="676"/>
    <x v="240"/>
    <n v="10"/>
    <n v="818"/>
    <x v="73"/>
    <x v="73"/>
    <n v="818"/>
    <s v="181749"/>
    <s v="RACK MAYA"/>
    <x v="754"/>
    <n v="1"/>
    <n v="1"/>
  </r>
  <r>
    <n v="6"/>
    <x v="677"/>
    <x v="240"/>
    <n v="2"/>
    <n v="400"/>
    <x v="89"/>
    <x v="89"/>
    <n v="400"/>
    <s v="161008"/>
    <s v="Escritorio Fenix Artico"/>
    <x v="755"/>
    <n v="1"/>
    <n v="1"/>
  </r>
  <r>
    <n v="9"/>
    <x v="678"/>
    <x v="241"/>
    <n v="1"/>
    <n v="705"/>
    <x v="126"/>
    <x v="126"/>
    <n v="705"/>
    <s v="181631"/>
    <s v="Juego de comedor 6+1 dinamarca"/>
    <x v="756"/>
    <n v="1"/>
    <n v="1"/>
  </r>
  <r>
    <n v="9"/>
    <x v="679"/>
    <x v="242"/>
    <n v="1"/>
    <n v="632"/>
    <x v="75"/>
    <x v="75"/>
    <n v="632"/>
    <s v="181545A"/>
    <s v="Respaldo Celaya"/>
    <x v="757"/>
    <n v="1"/>
    <n v="1"/>
  </r>
  <r>
    <n v="9"/>
    <x v="680"/>
    <x v="243"/>
    <n v="1"/>
    <n v="401"/>
    <x v="21"/>
    <x v="21"/>
    <n v="401"/>
    <s v="161009"/>
    <s v="Escritorio Olimpia aberto - artico"/>
    <x v="758"/>
    <n v="1"/>
    <n v="1"/>
  </r>
  <r>
    <n v="9"/>
    <x v="681"/>
    <x v="243"/>
    <n v="2"/>
    <n v="639"/>
    <x v="15"/>
    <x v="15"/>
    <n v="639"/>
    <s v="181552"/>
    <s v="Home Lara 1.35 "/>
    <x v="759"/>
    <n v="1"/>
    <n v="1"/>
  </r>
  <r>
    <n v="9"/>
    <x v="682"/>
    <x v="243"/>
    <n v="3"/>
    <n v="404"/>
    <x v="17"/>
    <x v="17"/>
    <n v="404"/>
    <s v="161012"/>
    <s v="kit dormitorio + modulo 1233 + 3017 aberto"/>
    <x v="760"/>
    <n v="1"/>
    <n v="1"/>
  </r>
  <r>
    <n v="1"/>
    <x v="683"/>
    <x v="244"/>
    <n v="1"/>
    <n v="878"/>
    <x v="77"/>
    <x v="77"/>
    <n v="362"/>
    <s v="170778"/>
    <s v="Rack Arterra rov tx - rov tx 52080"/>
    <x v="75"/>
    <n v="8"/>
    <n v="8"/>
  </r>
  <r>
    <n v="1"/>
    <x v="683"/>
    <x v="244"/>
    <n v="2"/>
    <n v="618"/>
    <x v="90"/>
    <x v="90"/>
    <n v="618"/>
    <s v="181531"/>
    <s v="Lavaplatos 100 Derecho C/Reb Blanco Notavel"/>
    <x v="152"/>
    <n v="12"/>
    <n v="12"/>
  </r>
  <r>
    <n v="1"/>
    <x v="683"/>
    <x v="244"/>
    <n v="3"/>
    <n v="620"/>
    <x v="93"/>
    <x v="93"/>
    <n v="620"/>
    <s v="181533"/>
    <s v="Lavaplatos 120 Derecho C/Reb Blanco Notavel"/>
    <x v="155"/>
    <n v="6"/>
    <n v="6"/>
  </r>
  <r>
    <n v="1"/>
    <x v="683"/>
    <x v="244"/>
    <n v="4"/>
    <n v="617"/>
    <x v="78"/>
    <x v="78"/>
    <n v="1103"/>
    <s v="182075"/>
    <s v="Kit Lavaplatos 80 Salmar Izquierdo"/>
    <x v="77"/>
    <n v="6"/>
    <n v="6"/>
  </r>
  <r>
    <n v="1"/>
    <x v="683"/>
    <x v="244"/>
    <n v="5"/>
    <n v="616"/>
    <x v="164"/>
    <x v="164"/>
    <n v="1100"/>
    <s v="182076"/>
    <s v="Kit Lavaplatos 80 Salmar Derecho"/>
    <x v="76"/>
    <n v="6"/>
    <n v="6"/>
  </r>
  <r>
    <n v="9"/>
    <x v="684"/>
    <x v="245"/>
    <n v="1"/>
    <n v="886"/>
    <x v="151"/>
    <x v="151"/>
    <n v="886"/>
    <s v="181813"/>
    <s v="Rack Kemi"/>
    <x v="761"/>
    <n v="1"/>
    <n v="1"/>
  </r>
  <r>
    <n v="9"/>
    <x v="685"/>
    <x v="245"/>
    <n v="2"/>
    <n v="964"/>
    <x v="135"/>
    <x v="135"/>
    <n v="964"/>
    <s v="181928"/>
    <s v="Comedor Serena Rouge 1+6"/>
    <x v="762"/>
    <n v="1"/>
    <n v="1"/>
  </r>
  <r>
    <n v="5"/>
    <x v="686"/>
    <x v="246"/>
    <n v="1"/>
    <n v="180"/>
    <x v="70"/>
    <x v="70"/>
    <n v="180"/>
    <s v="161005"/>
    <s v="Escritorio España kit castaño 1176"/>
    <x v="34"/>
    <n v="1"/>
    <n v="1"/>
  </r>
  <r>
    <n v="24"/>
    <x v="687"/>
    <x v="247"/>
    <n v="8"/>
    <n v="584"/>
    <x v="96"/>
    <x v="96"/>
    <n v="584"/>
    <s v="130290"/>
    <s v="Rack New Montana bco"/>
    <x v="763"/>
    <n v="1"/>
    <n v="1"/>
  </r>
  <r>
    <n v="24"/>
    <x v="688"/>
    <x v="247"/>
    <n v="3"/>
    <n v="523"/>
    <x v="153"/>
    <x v="153"/>
    <n v="523"/>
    <s v="120066"/>
    <s v="Mesa para TV MDP New Montana 2 negro -negro glass "/>
    <x v="764"/>
    <n v="1"/>
    <n v="1"/>
  </r>
  <r>
    <n v="9"/>
    <x v="689"/>
    <x v="132"/>
    <n v="15"/>
    <n v="905"/>
    <x v="39"/>
    <x v="39"/>
    <n v="905"/>
    <s v="181876"/>
    <s v="RACK STAR (QUARTZ)"/>
    <x v="765"/>
    <n v="1"/>
    <n v="1"/>
  </r>
  <r>
    <n v="9"/>
    <x v="690"/>
    <x v="132"/>
    <n v="4"/>
    <n v="639"/>
    <x v="15"/>
    <x v="15"/>
    <n v="639"/>
    <s v="181552"/>
    <s v="Home Lara 1.35 "/>
    <x v="766"/>
    <n v="1"/>
    <n v="1"/>
  </r>
  <r>
    <n v="9"/>
    <x v="690"/>
    <x v="132"/>
    <n v="5"/>
    <n v="639"/>
    <x v="15"/>
    <x v="15"/>
    <n v="639"/>
    <s v="181552"/>
    <s v="Home Lara 1.35 "/>
    <x v="767"/>
    <n v="1"/>
    <n v="1"/>
  </r>
  <r>
    <n v="9"/>
    <x v="691"/>
    <x v="132"/>
    <n v="6"/>
    <n v="474"/>
    <x v="30"/>
    <x v="30"/>
    <n v="474"/>
    <s v="120013"/>
    <s v="Mesa para tv MDP Montana Nat - Bco glas"/>
    <x v="768"/>
    <n v="1"/>
    <n v="1"/>
  </r>
  <r>
    <n v="9"/>
    <x v="692"/>
    <x v="132"/>
    <n v="7"/>
    <n v="639"/>
    <x v="15"/>
    <x v="15"/>
    <n v="639"/>
    <s v="181552"/>
    <s v="Home Lara 1.35 "/>
    <x v="769"/>
    <n v="1"/>
    <n v="1"/>
  </r>
  <r>
    <n v="9"/>
    <x v="693"/>
    <x v="132"/>
    <n v="8"/>
    <n v="584"/>
    <x v="96"/>
    <x v="96"/>
    <n v="584"/>
    <s v="130290"/>
    <s v="Rack New Montana bco"/>
    <x v="770"/>
    <n v="1"/>
    <n v="1"/>
  </r>
  <r>
    <n v="9"/>
    <x v="694"/>
    <x v="132"/>
    <n v="9"/>
    <n v="893"/>
    <x v="35"/>
    <x v="35"/>
    <n v="893"/>
    <s v="181810"/>
    <s v="Rack Recife"/>
    <x v="771"/>
    <n v="1"/>
    <n v="1"/>
  </r>
  <r>
    <n v="9"/>
    <x v="694"/>
    <x v="132"/>
    <n v="10"/>
    <n v="906"/>
    <x v="16"/>
    <x v="16"/>
    <n v="906"/>
    <s v="181894"/>
    <s v="Cristalera New Vina"/>
    <x v="772"/>
    <n v="1"/>
    <n v="1"/>
  </r>
  <r>
    <n v="9"/>
    <x v="695"/>
    <x v="132"/>
    <n v="11"/>
    <n v="966"/>
    <x v="102"/>
    <x v="102"/>
    <n v="966"/>
    <s v="181930"/>
    <s v="Comedor Italia Auria 1+4"/>
    <x v="773"/>
    <n v="1"/>
    <n v="1"/>
  </r>
  <r>
    <n v="9"/>
    <x v="696"/>
    <x v="132"/>
    <n v="1"/>
    <n v="400"/>
    <x v="89"/>
    <x v="89"/>
    <n v="400"/>
    <s v="161008"/>
    <s v="Escritorio Fenix Artico"/>
    <x v="774"/>
    <n v="1"/>
    <n v="1"/>
  </r>
  <r>
    <n v="9"/>
    <x v="697"/>
    <x v="132"/>
    <n v="2"/>
    <n v="404"/>
    <x v="17"/>
    <x v="17"/>
    <n v="404"/>
    <s v="161012"/>
    <s v="kit dormitorio + modulo 1233 + 3017 aberto"/>
    <x v="775"/>
    <n v="1"/>
    <n v="1"/>
  </r>
  <r>
    <n v="9"/>
    <x v="697"/>
    <x v="132"/>
    <n v="3"/>
    <n v="496"/>
    <x v="159"/>
    <x v="159"/>
    <n v="496"/>
    <s v="165530"/>
    <s v="Armario aereo con perchero 160395"/>
    <x v="776"/>
    <n v="1"/>
    <n v="1"/>
  </r>
  <r>
    <n v="9"/>
    <x v="442"/>
    <x v="248"/>
    <n v="6"/>
    <n v="674"/>
    <x v="23"/>
    <x v="23"/>
    <n v="674"/>
    <s v="181595"/>
    <s v="Home Deneb"/>
    <x v="777"/>
    <n v="1"/>
    <n v="1"/>
  </r>
  <r>
    <n v="9"/>
    <x v="443"/>
    <x v="248"/>
    <n v="7"/>
    <n v="584"/>
    <x v="96"/>
    <x v="96"/>
    <n v="584"/>
    <s v="130290"/>
    <s v="Rack New Montana bco"/>
    <x v="778"/>
    <n v="1"/>
    <n v="1"/>
  </r>
  <r>
    <n v="9"/>
    <x v="689"/>
    <x v="248"/>
    <n v="11"/>
    <n v="584"/>
    <x v="96"/>
    <x v="96"/>
    <n v="584"/>
    <s v="130290"/>
    <s v="Rack New Montana bco"/>
    <x v="779"/>
    <n v="1"/>
    <n v="1"/>
  </r>
  <r>
    <n v="4"/>
    <x v="698"/>
    <x v="249"/>
    <n v="1"/>
    <n v="905"/>
    <x v="39"/>
    <x v="39"/>
    <n v="794"/>
    <s v="181721"/>
    <s v="New Rack Porto bello "/>
    <x v="780"/>
    <n v="1"/>
    <n v="1"/>
  </r>
  <r>
    <n v="6"/>
    <x v="699"/>
    <x v="250"/>
    <n v="1"/>
    <n v="712"/>
    <x v="142"/>
    <x v="142"/>
    <n v="712"/>
    <s v="181638"/>
    <s v="Kit Yara 160"/>
    <x v="781"/>
    <n v="1"/>
    <n v="1"/>
  </r>
  <r>
    <n v="9"/>
    <x v="700"/>
    <x v="251"/>
    <n v="3"/>
    <n v="888"/>
    <x v="201"/>
    <x v="201"/>
    <n v="888"/>
    <s v="181839"/>
    <s v="Rack Jeri + Panel Niteroi"/>
    <x v="782"/>
    <n v="1"/>
    <n v="1"/>
  </r>
  <r>
    <n v="9"/>
    <x v="701"/>
    <x v="251"/>
    <n v="4"/>
    <n v="965"/>
    <x v="156"/>
    <x v="156"/>
    <n v="965"/>
    <s v="181929"/>
    <s v="Comedor Serena Dark Rouge 1+6"/>
    <x v="783"/>
    <n v="1"/>
    <n v="1"/>
  </r>
  <r>
    <n v="9"/>
    <x v="701"/>
    <x v="251"/>
    <n v="5"/>
    <n v="842"/>
    <x v="36"/>
    <x v="36"/>
    <n v="842"/>
    <s v="181767"/>
    <s v="Panel Ipe"/>
    <x v="784"/>
    <n v="1"/>
    <n v="1"/>
  </r>
  <r>
    <n v="9"/>
    <x v="702"/>
    <x v="251"/>
    <n v="6"/>
    <n v="809"/>
    <x v="61"/>
    <x v="61"/>
    <n v="809"/>
    <s v="181759"/>
    <s v="Rack Ovalle"/>
    <x v="785"/>
    <n v="1"/>
    <n v="1"/>
  </r>
  <r>
    <n v="9"/>
    <x v="703"/>
    <x v="251"/>
    <n v="1"/>
    <n v="818"/>
    <x v="73"/>
    <x v="73"/>
    <n v="818"/>
    <s v="181749"/>
    <s v="RACK MAYA"/>
    <x v="786"/>
    <n v="1"/>
    <n v="1"/>
  </r>
  <r>
    <n v="9"/>
    <x v="704"/>
    <x v="251"/>
    <n v="2"/>
    <n v="963"/>
    <x v="202"/>
    <x v="202"/>
    <n v="963"/>
    <s v="181934"/>
    <s v="Panel Jabuti"/>
    <x v="787"/>
    <n v="1"/>
    <n v="1"/>
  </r>
  <r>
    <n v="9"/>
    <x v="701"/>
    <x v="252"/>
    <n v="1"/>
    <n v="714"/>
    <x v="28"/>
    <x v="28"/>
    <n v="714"/>
    <s v="181640"/>
    <s v="Kit Magazin 120"/>
    <x v="788"/>
    <n v="1"/>
    <n v="1"/>
  </r>
  <r>
    <n v="9"/>
    <x v="701"/>
    <x v="252"/>
    <n v="2"/>
    <n v="584"/>
    <x v="96"/>
    <x v="96"/>
    <n v="584"/>
    <s v="130290"/>
    <s v="Rack New Montana bco"/>
    <x v="789"/>
    <n v="1"/>
    <n v="1"/>
  </r>
  <r>
    <n v="9"/>
    <x v="701"/>
    <x v="252"/>
    <n v="3"/>
    <n v="906"/>
    <x v="16"/>
    <x v="16"/>
    <n v="906"/>
    <s v="181894"/>
    <s v="Cristalera New Vina"/>
    <x v="790"/>
    <n v="1"/>
    <n v="1"/>
  </r>
  <r>
    <n v="9"/>
    <x v="700"/>
    <x v="253"/>
    <n v="13"/>
    <n v="674"/>
    <x v="23"/>
    <x v="23"/>
    <n v="674"/>
    <s v="181595"/>
    <s v="Home Deneb"/>
    <x v="791"/>
    <n v="1"/>
    <n v="1"/>
  </r>
  <r>
    <n v="9"/>
    <x v="700"/>
    <x v="253"/>
    <n v="14"/>
    <n v="753"/>
    <x v="106"/>
    <x v="106"/>
    <n v="753"/>
    <s v="181681"/>
    <s v="Estante Grande Barcelona"/>
    <x v="792"/>
    <n v="1"/>
    <n v="1"/>
  </r>
  <r>
    <n v="9"/>
    <x v="701"/>
    <x v="253"/>
    <n v="15"/>
    <n v="705"/>
    <x v="126"/>
    <x v="126"/>
    <n v="705"/>
    <s v="181631"/>
    <s v="Juego de comedor 6+1 dinamarca"/>
    <x v="793"/>
    <n v="1"/>
    <n v="1"/>
  </r>
  <r>
    <n v="9"/>
    <x v="701"/>
    <x v="253"/>
    <n v="16"/>
    <n v="180"/>
    <x v="70"/>
    <x v="70"/>
    <n v="180"/>
    <s v="161005"/>
    <s v="Escritorio España kit castaño 1176"/>
    <x v="794"/>
    <n v="1"/>
    <n v="1"/>
  </r>
  <r>
    <n v="9"/>
    <x v="689"/>
    <x v="253"/>
    <n v="8"/>
    <n v="492"/>
    <x v="54"/>
    <x v="54"/>
    <n v="492"/>
    <s v="165526"/>
    <s v="Armario Itaim Puertas De Vidrio Ref: 3219 Bco"/>
    <x v="795"/>
    <n v="1"/>
    <n v="1"/>
  </r>
  <r>
    <n v="9"/>
    <x v="689"/>
    <x v="253"/>
    <n v="9"/>
    <n v="639"/>
    <x v="15"/>
    <x v="15"/>
    <n v="639"/>
    <s v="181552"/>
    <s v="Home Lara 1.35 "/>
    <x v="796"/>
    <n v="1"/>
    <n v="1"/>
  </r>
  <r>
    <n v="9"/>
    <x v="700"/>
    <x v="254"/>
    <n v="1"/>
    <n v="716"/>
    <x v="203"/>
    <x v="203"/>
    <n v="716"/>
    <s v="181642"/>
    <s v="Sofa 2 cuerpos antonia"/>
    <x v="797"/>
    <n v="1"/>
    <n v="0"/>
  </r>
  <r>
    <n v="5"/>
    <x v="705"/>
    <x v="255"/>
    <n v="1"/>
    <n v="825"/>
    <x v="204"/>
    <x v="204"/>
    <n v="825"/>
    <s v="181753"/>
    <s v="Cocina Milanessa"/>
    <x v="34"/>
    <n v="1"/>
    <n v="1"/>
  </r>
  <r>
    <n v="5"/>
    <x v="706"/>
    <x v="255"/>
    <n v="2"/>
    <n v="179"/>
    <x v="7"/>
    <x v="7"/>
    <n v="179"/>
    <s v="161004"/>
    <s v="Escritorio Nazca artico 1215"/>
    <x v="34"/>
    <n v="1"/>
    <n v="1"/>
  </r>
  <r>
    <n v="8"/>
    <x v="707"/>
    <x v="256"/>
    <n v="1"/>
    <n v="824"/>
    <x v="1"/>
    <x v="1"/>
    <n v="824"/>
    <s v="181756"/>
    <s v="Rack Line (New Zero)"/>
    <x v="178"/>
    <n v="25"/>
    <n v="25"/>
  </r>
  <r>
    <n v="8"/>
    <x v="708"/>
    <x v="257"/>
    <n v="1"/>
    <n v="865"/>
    <x v="58"/>
    <x v="58"/>
    <n v="405"/>
    <s v="165368"/>
    <s v="Comoda Dinamo 4C + 1P"/>
    <x v="81"/>
    <n v="6"/>
    <n v="6"/>
  </r>
  <r>
    <n v="8"/>
    <x v="708"/>
    <x v="257"/>
    <n v="2"/>
    <n v="979"/>
    <x v="205"/>
    <x v="205"/>
    <n v="653"/>
    <s v="181566"/>
    <s v="Depensa 1 Puerta alta"/>
    <x v="83"/>
    <n v="69"/>
    <n v="69"/>
  </r>
  <r>
    <n v="5"/>
    <x v="562"/>
    <x v="183"/>
    <n v="8"/>
    <n v="489"/>
    <x v="52"/>
    <x v="52"/>
    <n v="489"/>
    <s v="165523"/>
    <s v="Armario Aereo Canela Ref: 3468 Blanco"/>
    <x v="34"/>
    <n v="4"/>
    <n v="4"/>
  </r>
  <r>
    <n v="5"/>
    <x v="562"/>
    <x v="183"/>
    <n v="9"/>
    <n v="489"/>
    <x v="52"/>
    <x v="52"/>
    <n v="489"/>
    <s v="165523"/>
    <s v="Armario Aereo Canela Ref: 3468 Blanco"/>
    <x v="34"/>
    <n v="4"/>
    <n v="4"/>
  </r>
  <r>
    <n v="5"/>
    <x v="562"/>
    <x v="183"/>
    <n v="10"/>
    <n v="489"/>
    <x v="52"/>
    <x v="52"/>
    <n v="489"/>
    <s v="165523"/>
    <s v="Armario Aereo Canela Ref: 3468 Blanco"/>
    <x v="34"/>
    <n v="4"/>
    <n v="4"/>
  </r>
  <r>
    <n v="5"/>
    <x v="562"/>
    <x v="183"/>
    <n v="11"/>
    <n v="493"/>
    <x v="55"/>
    <x v="55"/>
    <n v="493"/>
    <s v="165527"/>
    <s v="Armario Organizador Limeira Ref: 3266 Bco"/>
    <x v="34"/>
    <n v="4"/>
    <n v="4"/>
  </r>
  <r>
    <n v="5"/>
    <x v="562"/>
    <x v="183"/>
    <n v="12"/>
    <n v="494"/>
    <x v="56"/>
    <x v="56"/>
    <n v="494"/>
    <s v="165528"/>
    <s v="Armario Aereo Ref: 3003 Bco"/>
    <x v="34"/>
    <n v="2"/>
    <n v="2"/>
  </r>
  <r>
    <n v="5"/>
    <x v="562"/>
    <x v="183"/>
    <n v="13"/>
    <n v="494"/>
    <x v="56"/>
    <x v="56"/>
    <n v="494"/>
    <s v="165528"/>
    <s v="Armario Aereo Ref: 3003 Bco"/>
    <x v="34"/>
    <n v="4"/>
    <n v="4"/>
  </r>
  <r>
    <n v="5"/>
    <x v="562"/>
    <x v="183"/>
    <n v="14"/>
    <n v="43"/>
    <x v="64"/>
    <x v="64"/>
    <n v="43"/>
    <s v="165639"/>
    <s v="Cocina Sheila + balcon sheila bco/griz"/>
    <x v="34"/>
    <n v="10"/>
    <n v="10"/>
  </r>
  <r>
    <n v="5"/>
    <x v="562"/>
    <x v="183"/>
    <n v="15"/>
    <n v="43"/>
    <x v="64"/>
    <x v="64"/>
    <n v="43"/>
    <s v="165639"/>
    <s v="Cocina Sheila + balcon sheila bco/griz"/>
    <x v="34"/>
    <n v="10"/>
    <n v="10"/>
  </r>
  <r>
    <n v="5"/>
    <x v="562"/>
    <x v="183"/>
    <n v="16"/>
    <n v="43"/>
    <x v="64"/>
    <x v="64"/>
    <n v="43"/>
    <s v="165639"/>
    <s v="Cocina Sheila + balcon sheila bco/griz"/>
    <x v="34"/>
    <n v="10"/>
    <n v="10"/>
  </r>
  <r>
    <n v="5"/>
    <x v="562"/>
    <x v="183"/>
    <n v="17"/>
    <n v="43"/>
    <x v="64"/>
    <x v="64"/>
    <n v="43"/>
    <s v="165639"/>
    <s v="Cocina Sheila + balcon sheila bco/griz"/>
    <x v="34"/>
    <n v="20"/>
    <n v="20"/>
  </r>
  <r>
    <n v="5"/>
    <x v="562"/>
    <x v="183"/>
    <n v="18"/>
    <n v="43"/>
    <x v="64"/>
    <x v="64"/>
    <n v="43"/>
    <s v="165639"/>
    <s v="Cocina Sheila + balcon sheila bco/griz"/>
    <x v="34"/>
    <n v="20"/>
    <n v="20"/>
  </r>
  <r>
    <n v="5"/>
    <x v="562"/>
    <x v="183"/>
    <n v="19"/>
    <n v="43"/>
    <x v="64"/>
    <x v="64"/>
    <n v="43"/>
    <s v="165639"/>
    <s v="Cocina Sheila + balcon sheila bco/griz"/>
    <x v="34"/>
    <n v="20"/>
    <n v="20"/>
  </r>
  <r>
    <n v="5"/>
    <x v="562"/>
    <x v="183"/>
    <n v="20"/>
    <n v="43"/>
    <x v="64"/>
    <x v="64"/>
    <n v="43"/>
    <s v="165639"/>
    <s v="Cocina Sheila + balcon sheila bco/griz"/>
    <x v="34"/>
    <n v="20"/>
    <n v="20"/>
  </r>
  <r>
    <n v="5"/>
    <x v="562"/>
    <x v="183"/>
    <n v="21"/>
    <n v="43"/>
    <x v="64"/>
    <x v="64"/>
    <n v="43"/>
    <s v="165639"/>
    <s v="Cocina Sheila + balcon sheila bco/griz"/>
    <x v="34"/>
    <n v="20"/>
    <n v="20"/>
  </r>
  <r>
    <n v="5"/>
    <x v="562"/>
    <x v="183"/>
    <n v="22"/>
    <n v="743"/>
    <x v="206"/>
    <x v="206"/>
    <n v="743"/>
    <s v="181684"/>
    <s v="Cocina Milan (New Arezzo)"/>
    <x v="34"/>
    <n v="10"/>
    <n v="10"/>
  </r>
  <r>
    <n v="5"/>
    <x v="562"/>
    <x v="183"/>
    <n v="23"/>
    <n v="743"/>
    <x v="206"/>
    <x v="206"/>
    <n v="743"/>
    <s v="181684"/>
    <s v="Cocina Milan (New Arezzo)"/>
    <x v="34"/>
    <n v="10"/>
    <n v="10"/>
  </r>
  <r>
    <n v="5"/>
    <x v="562"/>
    <x v="183"/>
    <n v="24"/>
    <n v="743"/>
    <x v="206"/>
    <x v="206"/>
    <n v="743"/>
    <s v="181684"/>
    <s v="Cocina Milan (New Arezzo)"/>
    <x v="34"/>
    <n v="10"/>
    <n v="10"/>
  </r>
  <r>
    <n v="5"/>
    <x v="562"/>
    <x v="183"/>
    <n v="25"/>
    <n v="743"/>
    <x v="206"/>
    <x v="206"/>
    <n v="743"/>
    <s v="181684"/>
    <s v="Cocina Milan (New Arezzo)"/>
    <x v="34"/>
    <n v="10"/>
    <n v="10"/>
  </r>
  <r>
    <n v="5"/>
    <x v="562"/>
    <x v="183"/>
    <n v="26"/>
    <n v="743"/>
    <x v="206"/>
    <x v="206"/>
    <n v="743"/>
    <s v="181684"/>
    <s v="Cocina Milan (New Arezzo)"/>
    <x v="34"/>
    <n v="10"/>
    <n v="10"/>
  </r>
  <r>
    <n v="5"/>
    <x v="562"/>
    <x v="183"/>
    <n v="27"/>
    <n v="743"/>
    <x v="206"/>
    <x v="206"/>
    <n v="743"/>
    <s v="181684"/>
    <s v="Cocina Milan (New Arezzo)"/>
    <x v="34"/>
    <n v="10"/>
    <n v="10"/>
  </r>
  <r>
    <n v="5"/>
    <x v="562"/>
    <x v="183"/>
    <n v="28"/>
    <n v="743"/>
    <x v="206"/>
    <x v="206"/>
    <n v="743"/>
    <s v="181684"/>
    <s v="Cocina Milan (New Arezzo)"/>
    <x v="34"/>
    <n v="10"/>
    <n v="10"/>
  </r>
  <r>
    <n v="5"/>
    <x v="562"/>
    <x v="183"/>
    <n v="29"/>
    <n v="743"/>
    <x v="206"/>
    <x v="206"/>
    <n v="743"/>
    <s v="181684"/>
    <s v="Cocina Milan (New Arezzo)"/>
    <x v="34"/>
    <n v="10"/>
    <n v="10"/>
  </r>
  <r>
    <n v="5"/>
    <x v="562"/>
    <x v="183"/>
    <n v="30"/>
    <n v="743"/>
    <x v="206"/>
    <x v="206"/>
    <n v="743"/>
    <s v="181684"/>
    <s v="Cocina Milan (New Arezzo)"/>
    <x v="34"/>
    <n v="10"/>
    <n v="10"/>
  </r>
  <r>
    <n v="5"/>
    <x v="562"/>
    <x v="183"/>
    <n v="31"/>
    <n v="743"/>
    <x v="206"/>
    <x v="206"/>
    <n v="743"/>
    <s v="181684"/>
    <s v="Cocina Milan (New Arezzo)"/>
    <x v="34"/>
    <n v="10"/>
    <n v="10"/>
  </r>
  <r>
    <n v="5"/>
    <x v="562"/>
    <x v="183"/>
    <n v="32"/>
    <n v="743"/>
    <x v="206"/>
    <x v="206"/>
    <n v="743"/>
    <s v="181684"/>
    <s v="Cocina Milan (New Arezzo)"/>
    <x v="34"/>
    <n v="10"/>
    <n v="10"/>
  </r>
  <r>
    <n v="5"/>
    <x v="562"/>
    <x v="183"/>
    <n v="33"/>
    <n v="743"/>
    <x v="206"/>
    <x v="206"/>
    <n v="743"/>
    <s v="181684"/>
    <s v="Cocina Milan (New Arezzo)"/>
    <x v="34"/>
    <n v="10"/>
    <n v="0"/>
  </r>
  <r>
    <n v="5"/>
    <x v="562"/>
    <x v="183"/>
    <n v="34"/>
    <n v="743"/>
    <x v="206"/>
    <x v="206"/>
    <n v="743"/>
    <s v="181684"/>
    <s v="Cocina Milan (New Arezzo)"/>
    <x v="34"/>
    <n v="10"/>
    <n v="0"/>
  </r>
  <r>
    <n v="5"/>
    <x v="562"/>
    <x v="183"/>
    <n v="35"/>
    <n v="743"/>
    <x v="206"/>
    <x v="206"/>
    <n v="743"/>
    <s v="181684"/>
    <s v="Cocina Milan (New Arezzo)"/>
    <x v="34"/>
    <n v="20"/>
    <n v="0"/>
  </r>
  <r>
    <n v="5"/>
    <x v="562"/>
    <x v="183"/>
    <n v="36"/>
    <n v="743"/>
    <x v="206"/>
    <x v="206"/>
    <n v="743"/>
    <s v="181684"/>
    <s v="Cocina Milan (New Arezzo)"/>
    <x v="34"/>
    <n v="20"/>
    <n v="0"/>
  </r>
  <r>
    <n v="5"/>
    <x v="562"/>
    <x v="183"/>
    <n v="37"/>
    <n v="743"/>
    <x v="206"/>
    <x v="206"/>
    <n v="743"/>
    <s v="181684"/>
    <s v="Cocina Milan (New Arezzo)"/>
    <x v="34"/>
    <n v="20"/>
    <n v="0"/>
  </r>
  <r>
    <n v="5"/>
    <x v="562"/>
    <x v="183"/>
    <n v="38"/>
    <n v="743"/>
    <x v="206"/>
    <x v="206"/>
    <n v="743"/>
    <s v="181684"/>
    <s v="Cocina Milan (New Arezzo)"/>
    <x v="34"/>
    <n v="20"/>
    <n v="0"/>
  </r>
  <r>
    <n v="5"/>
    <x v="562"/>
    <x v="183"/>
    <n v="39"/>
    <n v="743"/>
    <x v="206"/>
    <x v="206"/>
    <n v="743"/>
    <s v="181684"/>
    <s v="Cocina Milan (New Arezzo)"/>
    <x v="34"/>
    <n v="20"/>
    <n v="0"/>
  </r>
  <r>
    <n v="5"/>
    <x v="562"/>
    <x v="183"/>
    <n v="40"/>
    <n v="743"/>
    <x v="206"/>
    <x v="206"/>
    <n v="743"/>
    <s v="181684"/>
    <s v="Cocina Milan (New Arezzo)"/>
    <x v="34"/>
    <n v="21"/>
    <n v="0"/>
  </r>
  <r>
    <n v="5"/>
    <x v="562"/>
    <x v="183"/>
    <n v="41"/>
    <n v="919"/>
    <x v="118"/>
    <x v="118"/>
    <n v="919"/>
    <s v="181850"/>
    <s v="KIT COCINA VITORIA (MAGAZIN 90)"/>
    <x v="34"/>
    <n v="10"/>
    <n v="10"/>
  </r>
  <r>
    <n v="24"/>
    <x v="709"/>
    <x v="258"/>
    <n v="1"/>
    <n v="382"/>
    <x v="50"/>
    <x v="50"/>
    <n v="382"/>
    <s v="165690"/>
    <s v="Cocina Flavia teka - brown"/>
    <x v="798"/>
    <n v="1"/>
    <n v="1"/>
  </r>
  <r>
    <n v="24"/>
    <x v="710"/>
    <x v="259"/>
    <n v="1"/>
    <n v="641"/>
    <x v="20"/>
    <x v="20"/>
    <n v="641"/>
    <s v="181554"/>
    <s v="Mesa Para TV Puerto Rico"/>
    <x v="799"/>
    <n v="1"/>
    <n v="1"/>
  </r>
  <r>
    <n v="4"/>
    <x v="711"/>
    <x v="260"/>
    <n v="8"/>
    <n v="534"/>
    <x v="24"/>
    <x v="24"/>
    <n v="534"/>
    <s v="175118"/>
    <s v="Respaldo Oregon 2plz + 2 veladores"/>
    <x v="800"/>
    <n v="1"/>
    <n v="1"/>
  </r>
  <r>
    <n v="4"/>
    <x v="712"/>
    <x v="260"/>
    <n v="4"/>
    <n v="702"/>
    <x v="26"/>
    <x v="26"/>
    <n v="702"/>
    <s v="181628"/>
    <s v="Juego de 2 andres  1+4"/>
    <x v="801"/>
    <n v="1"/>
    <n v="1"/>
  </r>
  <r>
    <n v="4"/>
    <x v="713"/>
    <x v="260"/>
    <n v="5"/>
    <n v="727"/>
    <x v="175"/>
    <x v="175"/>
    <n v="727"/>
    <s v="181583"/>
    <s v="KIT COCINA CAMILA "/>
    <x v="802"/>
    <n v="1"/>
    <n v="1"/>
  </r>
  <r>
    <n v="4"/>
    <x v="714"/>
    <x v="200"/>
    <n v="5"/>
    <n v="402"/>
    <x v="32"/>
    <x v="32"/>
    <n v="402"/>
    <s v="161010"/>
    <s v="Escritorio Cali artico"/>
    <x v="803"/>
    <n v="1"/>
    <n v="1"/>
  </r>
  <r>
    <n v="4"/>
    <x v="715"/>
    <x v="200"/>
    <n v="1"/>
    <n v="281"/>
    <x v="59"/>
    <x v="59"/>
    <n v="281"/>
    <s v="165677"/>
    <s v="Cocina 6 puertas kit 2306 bco negro"/>
    <x v="804"/>
    <n v="1"/>
    <n v="1"/>
  </r>
  <r>
    <n v="4"/>
    <x v="716"/>
    <x v="261"/>
    <n v="2"/>
    <n v="639"/>
    <x v="15"/>
    <x v="15"/>
    <n v="639"/>
    <s v="181552"/>
    <s v="Home Lara 1.35 "/>
    <x v="805"/>
    <n v="1"/>
    <n v="1"/>
  </r>
  <r>
    <n v="4"/>
    <x v="717"/>
    <x v="261"/>
    <n v="1"/>
    <n v="534"/>
    <x v="24"/>
    <x v="24"/>
    <n v="534"/>
    <s v="175118"/>
    <s v="Respaldo Oregon 2plz + 2 veladores"/>
    <x v="806"/>
    <n v="1"/>
    <n v="1"/>
  </r>
  <r>
    <n v="9"/>
    <x v="718"/>
    <x v="262"/>
    <n v="10"/>
    <n v="781"/>
    <x v="6"/>
    <x v="6"/>
    <n v="781"/>
    <s v="181660"/>
    <s v="COMEDOR TOLEDO 1+6"/>
    <x v="807"/>
    <n v="1"/>
    <n v="1"/>
  </r>
  <r>
    <n v="9"/>
    <x v="719"/>
    <x v="262"/>
    <n v="1"/>
    <n v="511"/>
    <x v="114"/>
    <x v="114"/>
    <n v="511"/>
    <s v="165879A"/>
    <s v="Bar Salamanca tabaco"/>
    <x v="808"/>
    <n v="1"/>
    <n v="0"/>
  </r>
  <r>
    <n v="9"/>
    <x v="719"/>
    <x v="262"/>
    <n v="2"/>
    <n v="673"/>
    <x v="113"/>
    <x v="113"/>
    <n v="673"/>
    <s v="181594"/>
    <s v="Rack Alma (onix)"/>
    <x v="809"/>
    <n v="2"/>
    <n v="2"/>
  </r>
  <r>
    <n v="9"/>
    <x v="719"/>
    <x v="262"/>
    <n v="3"/>
    <n v="641"/>
    <x v="20"/>
    <x v="20"/>
    <n v="641"/>
    <s v="181554"/>
    <s v="Mesa Para TV Puerto Rico"/>
    <x v="810"/>
    <n v="1"/>
    <n v="1"/>
  </r>
  <r>
    <n v="9"/>
    <x v="720"/>
    <x v="262"/>
    <n v="4"/>
    <n v="347"/>
    <x v="40"/>
    <x v="40"/>
    <n v="347"/>
    <s v="160116"/>
    <s v="Mesa de Centro Classic rustico malbec"/>
    <x v="811"/>
    <n v="1"/>
    <n v="1"/>
  </r>
  <r>
    <n v="9"/>
    <x v="720"/>
    <x v="262"/>
    <n v="5"/>
    <n v="511"/>
    <x v="114"/>
    <x v="114"/>
    <n v="511"/>
    <s v="165879A"/>
    <s v="Bar Salamanca tabaco"/>
    <x v="812"/>
    <n v="1"/>
    <n v="1"/>
  </r>
  <r>
    <n v="9"/>
    <x v="720"/>
    <x v="262"/>
    <n v="6"/>
    <n v="638"/>
    <x v="22"/>
    <x v="22"/>
    <n v="638"/>
    <s v="181551"/>
    <s v="Home Ipanema 1.80 "/>
    <x v="813"/>
    <n v="1"/>
    <n v="1"/>
  </r>
  <r>
    <n v="9"/>
    <x v="589"/>
    <x v="262"/>
    <n v="7"/>
    <n v="404"/>
    <x v="17"/>
    <x v="17"/>
    <n v="404"/>
    <s v="161012"/>
    <s v="kit dormitorio + modulo 1233 + 3017 aberto"/>
    <x v="814"/>
    <n v="1"/>
    <n v="1"/>
  </r>
  <r>
    <n v="9"/>
    <x v="589"/>
    <x v="262"/>
    <n v="8"/>
    <n v="680"/>
    <x v="116"/>
    <x v="116"/>
    <n v="680"/>
    <s v="181600"/>
    <s v="Estante Cristal"/>
    <x v="815"/>
    <n v="1"/>
    <n v="1"/>
  </r>
  <r>
    <n v="9"/>
    <x v="589"/>
    <x v="262"/>
    <n v="9"/>
    <n v="639"/>
    <x v="15"/>
    <x v="15"/>
    <n v="639"/>
    <s v="181552"/>
    <s v="Home Lara 1.35 "/>
    <x v="816"/>
    <n v="1"/>
    <n v="1"/>
  </r>
  <r>
    <n v="9"/>
    <x v="721"/>
    <x v="263"/>
    <n v="1"/>
    <n v="701"/>
    <x v="3"/>
    <x v="3"/>
    <n v="701"/>
    <s v="181627"/>
    <s v="Juego de comedor oxford 1+6"/>
    <x v="817"/>
    <n v="1"/>
    <n v="1"/>
  </r>
  <r>
    <n v="9"/>
    <x v="219"/>
    <x v="264"/>
    <n v="13"/>
    <n v="970"/>
    <x v="0"/>
    <x v="0"/>
    <n v="506"/>
    <s v="120023"/>
    <s v="Estante Aruba"/>
    <x v="818"/>
    <n v="1"/>
    <n v="1"/>
  </r>
  <r>
    <n v="9"/>
    <x v="722"/>
    <x v="264"/>
    <n v="11"/>
    <n v="474"/>
    <x v="30"/>
    <x v="30"/>
    <n v="474"/>
    <s v="120013"/>
    <s v="Mesa para tv MDP Montana Nat - Bco glas"/>
    <x v="819"/>
    <n v="1"/>
    <n v="1"/>
  </r>
  <r>
    <n v="9"/>
    <x v="60"/>
    <x v="264"/>
    <n v="12"/>
    <n v="404"/>
    <x v="17"/>
    <x v="17"/>
    <n v="404"/>
    <s v="161012"/>
    <s v="kit dormitorio + modulo 1233 + 3017 aberto"/>
    <x v="820"/>
    <n v="1"/>
    <n v="1"/>
  </r>
  <r>
    <n v="9"/>
    <x v="61"/>
    <x v="264"/>
    <n v="10"/>
    <n v="382"/>
    <x v="50"/>
    <x v="50"/>
    <n v="382"/>
    <s v="165690"/>
    <s v="Cocina Flavia teka - brown"/>
    <x v="821"/>
    <n v="1"/>
    <n v="1"/>
  </r>
  <r>
    <n v="9"/>
    <x v="723"/>
    <x v="264"/>
    <n v="9"/>
    <n v="774"/>
    <x v="109"/>
    <x v="109"/>
    <n v="774"/>
    <s v="181696"/>
    <s v="Camarote 303"/>
    <x v="822"/>
    <n v="1"/>
    <n v="1"/>
  </r>
  <r>
    <n v="9"/>
    <x v="724"/>
    <x v="264"/>
    <n v="8"/>
    <n v="774"/>
    <x v="109"/>
    <x v="109"/>
    <n v="774"/>
    <s v="181696"/>
    <s v="Camarote 303"/>
    <x v="823"/>
    <n v="1"/>
    <n v="1"/>
  </r>
  <r>
    <n v="9"/>
    <x v="725"/>
    <x v="264"/>
    <n v="5"/>
    <n v="639"/>
    <x v="15"/>
    <x v="15"/>
    <n v="639"/>
    <s v="181552"/>
    <s v="Home Lara 1.35 "/>
    <x v="824"/>
    <n v="1"/>
    <n v="1"/>
  </r>
  <r>
    <n v="9"/>
    <x v="726"/>
    <x v="264"/>
    <n v="6"/>
    <n v="774"/>
    <x v="109"/>
    <x v="109"/>
    <n v="774"/>
    <s v="181696"/>
    <s v="Camarote 303"/>
    <x v="825"/>
    <n v="1"/>
    <n v="1"/>
  </r>
  <r>
    <n v="9"/>
    <x v="727"/>
    <x v="264"/>
    <n v="7"/>
    <n v="774"/>
    <x v="109"/>
    <x v="109"/>
    <n v="774"/>
    <s v="181696"/>
    <s v="Camarote 303"/>
    <x v="826"/>
    <n v="1"/>
    <n v="1"/>
  </r>
  <r>
    <n v="9"/>
    <x v="728"/>
    <x v="264"/>
    <n v="2"/>
    <n v="774"/>
    <x v="109"/>
    <x v="109"/>
    <n v="774"/>
    <s v="181696"/>
    <s v="Camarote 303"/>
    <x v="827"/>
    <n v="1"/>
    <n v="1"/>
  </r>
  <r>
    <n v="9"/>
    <x v="728"/>
    <x v="264"/>
    <n v="3"/>
    <n v="774"/>
    <x v="109"/>
    <x v="109"/>
    <n v="774"/>
    <s v="181696"/>
    <s v="Camarote 303"/>
    <x v="828"/>
    <n v="1"/>
    <n v="1"/>
  </r>
  <r>
    <n v="9"/>
    <x v="729"/>
    <x v="264"/>
    <n v="4"/>
    <n v="774"/>
    <x v="109"/>
    <x v="109"/>
    <n v="774"/>
    <s v="181696"/>
    <s v="Camarote 303"/>
    <x v="829"/>
    <n v="1"/>
    <n v="1"/>
  </r>
  <r>
    <n v="9"/>
    <x v="730"/>
    <x v="264"/>
    <n v="1"/>
    <n v="774"/>
    <x v="109"/>
    <x v="109"/>
    <n v="774"/>
    <s v="181696"/>
    <s v="Camarote 303"/>
    <x v="830"/>
    <n v="1"/>
    <n v="1"/>
  </r>
  <r>
    <n v="8"/>
    <x v="731"/>
    <x v="265"/>
    <n v="2"/>
    <n v="735"/>
    <x v="62"/>
    <x v="62"/>
    <n v="735"/>
    <s v="181666"/>
    <s v="COMODA 5 CAJONES GLADYS (PILAR)"/>
    <x v="335"/>
    <n v="1"/>
    <n v="1"/>
  </r>
  <r>
    <n v="8"/>
    <x v="732"/>
    <x v="265"/>
    <n v="3"/>
    <n v="704"/>
    <x v="12"/>
    <x v="12"/>
    <n v="704"/>
    <s v="181630"/>
    <s v="Juego de comedor sofia 1+6"/>
    <x v="831"/>
    <n v="1"/>
    <n v="1"/>
  </r>
  <r>
    <n v="8"/>
    <x v="733"/>
    <x v="265"/>
    <n v="1"/>
    <n v="641"/>
    <x v="20"/>
    <x v="20"/>
    <n v="641"/>
    <s v="181554"/>
    <s v="Mesa Para TV Puerto Rico"/>
    <x v="832"/>
    <n v="1"/>
    <n v="1"/>
  </r>
  <r>
    <n v="3"/>
    <x v="505"/>
    <x v="266"/>
    <n v="5"/>
    <n v="970"/>
    <x v="0"/>
    <x v="0"/>
    <n v="506"/>
    <s v="120023"/>
    <s v="Estante Aruba"/>
    <x v="833"/>
    <n v="1"/>
    <n v="1"/>
  </r>
  <r>
    <n v="3"/>
    <x v="505"/>
    <x v="266"/>
    <n v="6"/>
    <n v="970"/>
    <x v="0"/>
    <x v="0"/>
    <n v="506"/>
    <s v="120023"/>
    <s v="Estante Aruba"/>
    <x v="834"/>
    <n v="1"/>
    <n v="1"/>
  </r>
  <r>
    <n v="3"/>
    <x v="505"/>
    <x v="266"/>
    <n v="7"/>
    <n v="745"/>
    <x v="2"/>
    <x v="2"/>
    <n v="745"/>
    <s v="181685"/>
    <s v="Closet Anastasia (Ex Capelinha) "/>
    <x v="835"/>
    <n v="1"/>
    <n v="1"/>
  </r>
  <r>
    <n v="3"/>
    <x v="505"/>
    <x v="266"/>
    <n v="8"/>
    <n v="824"/>
    <x v="1"/>
    <x v="1"/>
    <n v="824"/>
    <s v="181756"/>
    <s v="Rack Line (New Zero)"/>
    <x v="836"/>
    <n v="1"/>
    <n v="1"/>
  </r>
  <r>
    <n v="3"/>
    <x v="505"/>
    <x v="266"/>
    <n v="16"/>
    <n v="970"/>
    <x v="0"/>
    <x v="0"/>
    <n v="506"/>
    <s v="120023"/>
    <s v="Estante Aruba"/>
    <x v="837"/>
    <n v="1"/>
    <n v="1"/>
  </r>
  <r>
    <n v="3"/>
    <x v="505"/>
    <x v="266"/>
    <n v="17"/>
    <n v="638"/>
    <x v="22"/>
    <x v="22"/>
    <n v="638"/>
    <s v="181551"/>
    <s v="Home Ipanema 1.80 "/>
    <x v="838"/>
    <n v="1"/>
    <n v="1"/>
  </r>
  <r>
    <n v="3"/>
    <x v="734"/>
    <x v="266"/>
    <n v="12"/>
    <n v="970"/>
    <x v="0"/>
    <x v="0"/>
    <n v="506"/>
    <s v="120023"/>
    <s v="Estante Aruba"/>
    <x v="839"/>
    <n v="1"/>
    <n v="1"/>
  </r>
  <r>
    <n v="3"/>
    <x v="734"/>
    <x v="266"/>
    <n v="13"/>
    <n v="592"/>
    <x v="88"/>
    <x v="88"/>
    <n v="592"/>
    <s v="130298"/>
    <s v="Lavaplato 120 eco importado bco"/>
    <x v="840"/>
    <n v="1"/>
    <n v="1"/>
  </r>
  <r>
    <n v="8"/>
    <x v="735"/>
    <x v="267"/>
    <n v="1"/>
    <n v="843"/>
    <x v="207"/>
    <x v="207"/>
    <n v="843"/>
    <s v="181770"/>
    <s v="Estante TV Polo"/>
    <x v="841"/>
    <n v="2"/>
    <n v="2"/>
  </r>
  <r>
    <n v="8"/>
    <x v="735"/>
    <x v="267"/>
    <n v="2"/>
    <n v="855"/>
    <x v="208"/>
    <x v="208"/>
    <n v="855"/>
    <s v="181795"/>
    <s v="Tabla de Planchar Murcia"/>
    <x v="842"/>
    <n v="1"/>
    <n v="0"/>
  </r>
  <r>
    <n v="8"/>
    <x v="736"/>
    <x v="268"/>
    <n v="1"/>
    <n v="824"/>
    <x v="1"/>
    <x v="1"/>
    <n v="824"/>
    <s v="181756"/>
    <s v="Rack Line (New Zero)"/>
    <x v="178"/>
    <n v="44"/>
    <n v="44"/>
  </r>
  <r>
    <n v="3"/>
    <x v="737"/>
    <x v="269"/>
    <n v="2"/>
    <n v="970"/>
    <x v="0"/>
    <x v="0"/>
    <n v="506"/>
    <s v="120023"/>
    <s v="Estante Aruba"/>
    <x v="843"/>
    <n v="1"/>
    <n v="1"/>
  </r>
  <r>
    <n v="3"/>
    <x v="737"/>
    <x v="269"/>
    <n v="7"/>
    <n v="970"/>
    <x v="0"/>
    <x v="0"/>
    <n v="506"/>
    <s v="120023"/>
    <s v="Estante Aruba"/>
    <x v="844"/>
    <n v="1"/>
    <n v="1"/>
  </r>
  <r>
    <n v="3"/>
    <x v="738"/>
    <x v="269"/>
    <n v="3"/>
    <n v="970"/>
    <x v="0"/>
    <x v="0"/>
    <n v="506"/>
    <s v="120023"/>
    <s v="Estante Aruba"/>
    <x v="845"/>
    <n v="1"/>
    <n v="1"/>
  </r>
  <r>
    <n v="3"/>
    <x v="738"/>
    <x v="269"/>
    <n v="4"/>
    <n v="970"/>
    <x v="0"/>
    <x v="0"/>
    <n v="506"/>
    <s v="120023"/>
    <s v="Estante Aruba"/>
    <x v="846"/>
    <n v="1"/>
    <n v="1"/>
  </r>
  <r>
    <n v="3"/>
    <x v="738"/>
    <x v="269"/>
    <n v="5"/>
    <n v="970"/>
    <x v="0"/>
    <x v="0"/>
    <n v="506"/>
    <s v="120023"/>
    <s v="Estante Aruba"/>
    <x v="847"/>
    <n v="1"/>
    <n v="1"/>
  </r>
  <r>
    <n v="3"/>
    <x v="738"/>
    <x v="269"/>
    <n v="6"/>
    <n v="680"/>
    <x v="116"/>
    <x v="116"/>
    <n v="680"/>
    <s v="181600"/>
    <s v="Estante Cristal"/>
    <x v="848"/>
    <n v="1"/>
    <n v="1"/>
  </r>
  <r>
    <n v="3"/>
    <x v="511"/>
    <x v="269"/>
    <n v="1"/>
    <n v="680"/>
    <x v="116"/>
    <x v="116"/>
    <n v="680"/>
    <s v="181600"/>
    <s v="Estante Cristal"/>
    <x v="849"/>
    <n v="1"/>
    <n v="1"/>
  </r>
  <r>
    <n v="2"/>
    <x v="739"/>
    <x v="270"/>
    <n v="1"/>
    <n v="685"/>
    <x v="184"/>
    <x v="184"/>
    <n v="685"/>
    <s v="181611"/>
    <s v="Poltrona Stuart"/>
    <x v="75"/>
    <n v="8"/>
    <n v="4"/>
  </r>
  <r>
    <n v="2"/>
    <x v="739"/>
    <x v="270"/>
    <n v="2"/>
    <n v="686"/>
    <x v="34"/>
    <x v="34"/>
    <n v="686"/>
    <s v="181612"/>
    <s v="Poltrona Lennon"/>
    <x v="76"/>
    <n v="4"/>
    <n v="4"/>
  </r>
  <r>
    <n v="2"/>
    <x v="739"/>
    <x v="270"/>
    <n v="3"/>
    <n v="789"/>
    <x v="185"/>
    <x v="185"/>
    <n v="789"/>
    <s v="181700"/>
    <s v="COMODA  4 CAJONES CORONA 784"/>
    <x v="77"/>
    <n v="2"/>
    <n v="2"/>
  </r>
  <r>
    <n v="3"/>
    <x v="505"/>
    <x v="271"/>
    <n v="1"/>
    <n v="970"/>
    <x v="0"/>
    <x v="0"/>
    <n v="506"/>
    <s v="120023"/>
    <s v="Estante Aruba"/>
    <x v="833"/>
    <n v="1"/>
    <n v="1"/>
  </r>
  <r>
    <n v="5"/>
    <x v="740"/>
    <x v="272"/>
    <n v="1"/>
    <n v="782"/>
    <x v="190"/>
    <x v="190"/>
    <n v="782"/>
    <s v="181661"/>
    <s v="COMEDOR YORK 1+6"/>
    <x v="34"/>
    <n v="1"/>
    <n v="1"/>
  </r>
  <r>
    <n v="5"/>
    <x v="741"/>
    <x v="272"/>
    <n v="2"/>
    <n v="892"/>
    <x v="25"/>
    <x v="25"/>
    <n v="746"/>
    <s v="181662"/>
    <s v="Respaldo Monaco"/>
    <x v="34"/>
    <n v="1"/>
    <n v="1"/>
  </r>
  <r>
    <n v="5"/>
    <x v="742"/>
    <x v="272"/>
    <n v="3"/>
    <n v="753"/>
    <x v="106"/>
    <x v="106"/>
    <n v="753"/>
    <s v="181681"/>
    <s v="Estante Grande Barcelona"/>
    <x v="34"/>
    <n v="1"/>
    <n v="1"/>
  </r>
  <r>
    <n v="4"/>
    <x v="743"/>
    <x v="273"/>
    <n v="1"/>
    <n v="141"/>
    <x v="9"/>
    <x v="9"/>
    <n v="141"/>
    <s v="165504"/>
    <s v="Tabla de planchar Florence bco 55002"/>
    <x v="850"/>
    <n v="1"/>
    <n v="1"/>
  </r>
  <r>
    <n v="4"/>
    <x v="744"/>
    <x v="273"/>
    <n v="2"/>
    <n v="400"/>
    <x v="89"/>
    <x v="89"/>
    <n v="400"/>
    <s v="161008"/>
    <s v="Escritorio Fenix Artico"/>
    <x v="851"/>
    <n v="2"/>
    <n v="2"/>
  </r>
  <r>
    <n v="4"/>
    <x v="745"/>
    <x v="273"/>
    <n v="3"/>
    <n v="704"/>
    <x v="12"/>
    <x v="12"/>
    <n v="704"/>
    <s v="181630"/>
    <s v="Juego de comedor sofia 1+6"/>
    <x v="852"/>
    <n v="1"/>
    <n v="1"/>
  </r>
  <r>
    <n v="4"/>
    <x v="746"/>
    <x v="273"/>
    <n v="4"/>
    <n v="905"/>
    <x v="39"/>
    <x v="39"/>
    <n v="794"/>
    <s v="181721"/>
    <s v="New Rack Porto bello "/>
    <x v="853"/>
    <n v="1"/>
    <n v="1"/>
  </r>
  <r>
    <n v="4"/>
    <x v="747"/>
    <x v="273"/>
    <n v="5"/>
    <n v="115"/>
    <x v="183"/>
    <x v="183"/>
    <n v="115"/>
    <s v="170211"/>
    <s v="Rack prada"/>
    <x v="854"/>
    <n v="1"/>
    <n v="0"/>
  </r>
  <r>
    <n v="4"/>
    <x v="748"/>
    <x v="274"/>
    <n v="14"/>
    <n v="700"/>
    <x v="67"/>
    <x v="67"/>
    <n v="700"/>
    <s v="181626"/>
    <s v="Comedor francia 6+1"/>
    <x v="855"/>
    <n v="1"/>
    <n v="1"/>
  </r>
  <r>
    <n v="4"/>
    <x v="749"/>
    <x v="274"/>
    <n v="15"/>
    <n v="584"/>
    <x v="96"/>
    <x v="96"/>
    <n v="584"/>
    <s v="130290"/>
    <s v="Rack New Montana bco"/>
    <x v="856"/>
    <n v="1"/>
    <n v="1"/>
  </r>
  <r>
    <n v="4"/>
    <x v="750"/>
    <x v="274"/>
    <n v="16"/>
    <n v="403"/>
    <x v="27"/>
    <x v="27"/>
    <n v="403"/>
    <s v="161011"/>
    <s v="Escritorio Curitiba artico"/>
    <x v="857"/>
    <n v="2"/>
    <n v="2"/>
  </r>
  <r>
    <n v="4"/>
    <x v="751"/>
    <x v="274"/>
    <n v="17"/>
    <n v="491"/>
    <x v="209"/>
    <x v="209"/>
    <n v="491"/>
    <s v="165525"/>
    <s v="Armario Aereo Mayor Con Vidrio Ref:3247 Bco"/>
    <x v="858"/>
    <n v="1"/>
    <n v="1"/>
  </r>
  <r>
    <n v="4"/>
    <x v="752"/>
    <x v="274"/>
    <n v="18"/>
    <n v="821"/>
    <x v="65"/>
    <x v="65"/>
    <n v="821"/>
    <s v="181751"/>
    <s v="HOME NINA"/>
    <x v="859"/>
    <n v="1"/>
    <n v="1"/>
  </r>
  <r>
    <n v="4"/>
    <x v="753"/>
    <x v="274"/>
    <n v="19"/>
    <n v="703"/>
    <x v="10"/>
    <x v="10"/>
    <n v="703"/>
    <s v="181629"/>
    <s v="Juego de comedor lauren 1+2+6"/>
    <x v="860"/>
    <n v="1"/>
    <n v="1"/>
  </r>
  <r>
    <n v="4"/>
    <x v="754"/>
    <x v="274"/>
    <n v="10"/>
    <n v="501"/>
    <x v="5"/>
    <x v="5"/>
    <n v="501"/>
    <s v="170782"/>
    <s v="Rack atacama pt mad castaño 160295"/>
    <x v="861"/>
    <n v="1"/>
    <n v="1"/>
  </r>
  <r>
    <n v="4"/>
    <x v="755"/>
    <x v="274"/>
    <n v="11"/>
    <n v="499"/>
    <x v="86"/>
    <x v="86"/>
    <n v="499"/>
    <s v="170781"/>
    <s v="Aparador 2p pt mad castaño 160390"/>
    <x v="862"/>
    <n v="1"/>
    <n v="1"/>
  </r>
  <r>
    <n v="4"/>
    <x v="756"/>
    <x v="274"/>
    <n v="12"/>
    <n v="702"/>
    <x v="26"/>
    <x v="26"/>
    <n v="702"/>
    <s v="181628"/>
    <s v="Juego de 2 andres  1+4"/>
    <x v="863"/>
    <n v="1"/>
    <n v="1"/>
  </r>
  <r>
    <n v="4"/>
    <x v="757"/>
    <x v="274"/>
    <n v="13"/>
    <n v="404"/>
    <x v="17"/>
    <x v="17"/>
    <n v="404"/>
    <s v="161012"/>
    <s v="kit dormitorio + modulo 1233 + 3017 aberto"/>
    <x v="864"/>
    <n v="1"/>
    <n v="1"/>
  </r>
  <r>
    <n v="4"/>
    <x v="758"/>
    <x v="274"/>
    <n v="7"/>
    <n v="400"/>
    <x v="89"/>
    <x v="89"/>
    <n v="400"/>
    <s v="161008"/>
    <s v="Escritorio Fenix Artico"/>
    <x v="865"/>
    <n v="1"/>
    <n v="1"/>
  </r>
  <r>
    <n v="4"/>
    <x v="759"/>
    <x v="274"/>
    <n v="8"/>
    <n v="704"/>
    <x v="12"/>
    <x v="12"/>
    <n v="704"/>
    <s v="181630"/>
    <s v="Juego de comedor sofia 1+6"/>
    <x v="866"/>
    <n v="1"/>
    <n v="1"/>
  </r>
  <r>
    <n v="4"/>
    <x v="760"/>
    <x v="274"/>
    <n v="9"/>
    <n v="179"/>
    <x v="7"/>
    <x v="7"/>
    <n v="179"/>
    <s v="161004"/>
    <s v="Escritorio Nazca artico 1215"/>
    <x v="867"/>
    <n v="1"/>
    <n v="1"/>
  </r>
  <r>
    <n v="4"/>
    <x v="761"/>
    <x v="274"/>
    <n v="2"/>
    <n v="584"/>
    <x v="96"/>
    <x v="96"/>
    <n v="584"/>
    <s v="130290"/>
    <s v="Rack New Montana bco"/>
    <x v="868"/>
    <n v="1"/>
    <n v="1"/>
  </r>
  <r>
    <n v="4"/>
    <x v="762"/>
    <x v="274"/>
    <n v="3"/>
    <n v="13"/>
    <x v="13"/>
    <x v="13"/>
    <n v="13"/>
    <s v="110301"/>
    <s v="Bar de Canto Puerto Montt Tabaco"/>
    <x v="869"/>
    <n v="1"/>
    <n v="1"/>
  </r>
  <r>
    <n v="4"/>
    <x v="763"/>
    <x v="274"/>
    <n v="4"/>
    <n v="13"/>
    <x v="13"/>
    <x v="13"/>
    <n v="13"/>
    <s v="110301"/>
    <s v="Bar de Canto Puerto Montt Tabaco"/>
    <x v="870"/>
    <n v="1"/>
    <n v="1"/>
  </r>
  <r>
    <n v="4"/>
    <x v="764"/>
    <x v="274"/>
    <n v="5"/>
    <n v="567"/>
    <x v="145"/>
    <x v="145"/>
    <n v="567"/>
    <s v="130273"/>
    <s v="Bar San Marino  tabaco"/>
    <x v="871"/>
    <n v="1"/>
    <n v="1"/>
  </r>
  <r>
    <n v="4"/>
    <x v="765"/>
    <x v="274"/>
    <n v="6"/>
    <n v="501"/>
    <x v="5"/>
    <x v="5"/>
    <n v="501"/>
    <s v="170782"/>
    <s v="Rack atacama pt mad castaño 160295"/>
    <x v="872"/>
    <n v="1"/>
    <n v="1"/>
  </r>
  <r>
    <n v="4"/>
    <x v="766"/>
    <x v="274"/>
    <n v="1"/>
    <n v="700"/>
    <x v="67"/>
    <x v="67"/>
    <n v="700"/>
    <s v="181626"/>
    <s v="Comedor francia 6+1"/>
    <x v="873"/>
    <n v="1"/>
    <n v="1"/>
  </r>
  <r>
    <n v="4"/>
    <x v="767"/>
    <x v="275"/>
    <n v="4"/>
    <n v="494"/>
    <x v="56"/>
    <x v="56"/>
    <n v="494"/>
    <s v="165528"/>
    <s v="Armario Aereo Ref: 3003 Bco"/>
    <x v="874"/>
    <n v="1"/>
    <n v="1"/>
  </r>
  <r>
    <n v="4"/>
    <x v="768"/>
    <x v="275"/>
    <n v="2"/>
    <n v="13"/>
    <x v="13"/>
    <x v="13"/>
    <n v="13"/>
    <s v="110301"/>
    <s v="Bar de Canto Puerto Montt Tabaco"/>
    <x v="875"/>
    <n v="1"/>
    <n v="1"/>
  </r>
  <r>
    <n v="4"/>
    <x v="769"/>
    <x v="275"/>
    <n v="3"/>
    <n v="342"/>
    <x v="63"/>
    <x v="63"/>
    <n v="342"/>
    <s v="160111"/>
    <s v="Mesa de Lateral ALBA bco laca - café"/>
    <x v="876"/>
    <n v="1"/>
    <n v="0"/>
  </r>
  <r>
    <n v="4"/>
    <x v="770"/>
    <x v="275"/>
    <n v="1"/>
    <n v="402"/>
    <x v="32"/>
    <x v="32"/>
    <n v="402"/>
    <s v="161010"/>
    <s v="Escritorio Cali artico"/>
    <x v="877"/>
    <n v="1"/>
    <n v="1"/>
  </r>
  <r>
    <n v="8"/>
    <x v="771"/>
    <x v="276"/>
    <n v="1"/>
    <n v="402"/>
    <x v="32"/>
    <x v="32"/>
    <n v="402"/>
    <s v="161010"/>
    <s v="Escritorio Cali artico"/>
    <x v="878"/>
    <n v="1"/>
    <n v="1"/>
  </r>
  <r>
    <n v="8"/>
    <x v="772"/>
    <x v="276"/>
    <n v="3"/>
    <n v="641"/>
    <x v="20"/>
    <x v="20"/>
    <n v="641"/>
    <s v="181554"/>
    <s v="Mesa Para TV Puerto Rico"/>
    <x v="832"/>
    <n v="1"/>
    <n v="1"/>
  </r>
  <r>
    <n v="8"/>
    <x v="773"/>
    <x v="276"/>
    <n v="2"/>
    <n v="179"/>
    <x v="7"/>
    <x v="7"/>
    <n v="179"/>
    <s v="161004"/>
    <s v="Escritorio Nazca artico 1215"/>
    <x v="879"/>
    <n v="1"/>
    <n v="1"/>
  </r>
  <r>
    <n v="6"/>
    <x v="774"/>
    <x v="277"/>
    <n v="1"/>
    <n v="818"/>
    <x v="73"/>
    <x v="73"/>
    <n v="818"/>
    <s v="181749"/>
    <s v="RACK MAYA"/>
    <x v="880"/>
    <n v="1"/>
    <n v="1"/>
  </r>
  <r>
    <n v="6"/>
    <x v="775"/>
    <x v="278"/>
    <n v="1"/>
    <n v="712"/>
    <x v="142"/>
    <x v="142"/>
    <n v="712"/>
    <s v="181638"/>
    <s v="Kit Yara 160"/>
    <x v="881"/>
    <n v="1"/>
    <n v="1"/>
  </r>
  <r>
    <n v="9"/>
    <x v="776"/>
    <x v="279"/>
    <n v="1"/>
    <n v="905"/>
    <x v="39"/>
    <x v="39"/>
    <n v="905"/>
    <s v="181876"/>
    <s v="RACK STAR (QUARTZ)"/>
    <x v="882"/>
    <n v="1"/>
    <n v="1"/>
  </r>
  <r>
    <n v="9"/>
    <x v="777"/>
    <x v="280"/>
    <n v="1"/>
    <n v="905"/>
    <x v="39"/>
    <x v="39"/>
    <n v="905"/>
    <s v="181876"/>
    <s v="RACK STAR (QUARTZ)"/>
    <x v="883"/>
    <n v="1"/>
    <n v="1"/>
  </r>
  <r>
    <n v="9"/>
    <x v="778"/>
    <x v="281"/>
    <n v="4"/>
    <n v="970"/>
    <x v="0"/>
    <x v="0"/>
    <n v="506"/>
    <s v="120023"/>
    <s v="Estante Aruba"/>
    <x v="884"/>
    <n v="1"/>
    <n v="1"/>
  </r>
  <r>
    <n v="9"/>
    <x v="779"/>
    <x v="281"/>
    <n v="5"/>
    <n v="970"/>
    <x v="0"/>
    <x v="0"/>
    <n v="506"/>
    <s v="120023"/>
    <s v="Estante Aruba"/>
    <x v="885"/>
    <n v="1"/>
    <n v="1"/>
  </r>
  <r>
    <n v="9"/>
    <x v="780"/>
    <x v="281"/>
    <n v="6"/>
    <n v="584"/>
    <x v="96"/>
    <x v="96"/>
    <n v="584"/>
    <s v="130290"/>
    <s v="Rack New Montana bco"/>
    <x v="886"/>
    <n v="1"/>
    <n v="1"/>
  </r>
  <r>
    <n v="9"/>
    <x v="780"/>
    <x v="281"/>
    <n v="7"/>
    <n v="877"/>
    <x v="49"/>
    <x v="49"/>
    <n v="877"/>
    <s v="181806"/>
    <s v="RACK LUCCA (RACK ROYAL)"/>
    <x v="887"/>
    <n v="1"/>
    <n v="1"/>
  </r>
  <r>
    <n v="9"/>
    <x v="781"/>
    <x v="281"/>
    <n v="8"/>
    <n v="970"/>
    <x v="0"/>
    <x v="0"/>
    <n v="506"/>
    <s v="120023"/>
    <s v="Estante Aruba"/>
    <x v="888"/>
    <n v="1"/>
    <n v="1"/>
  </r>
  <r>
    <n v="9"/>
    <x v="781"/>
    <x v="281"/>
    <n v="9"/>
    <n v="467"/>
    <x v="87"/>
    <x v="87"/>
    <n v="467"/>
    <s v="140684"/>
    <s v="Mesa de centro VIVA REF:909  COLORADO"/>
    <x v="889"/>
    <n v="1"/>
    <n v="1"/>
  </r>
  <r>
    <n v="9"/>
    <x v="782"/>
    <x v="281"/>
    <n v="1"/>
    <n v="400"/>
    <x v="89"/>
    <x v="89"/>
    <n v="400"/>
    <s v="161008"/>
    <s v="Escritorio Fenix Artico"/>
    <x v="890"/>
    <n v="1"/>
    <n v="1"/>
  </r>
  <r>
    <n v="9"/>
    <x v="147"/>
    <x v="281"/>
    <n v="2"/>
    <n v="498"/>
    <x v="41"/>
    <x v="41"/>
    <n v="498"/>
    <s v="160121"/>
    <s v="Mesa de centro pt mad Cataño 160389"/>
    <x v="891"/>
    <n v="1"/>
    <n v="1"/>
  </r>
  <r>
    <n v="9"/>
    <x v="783"/>
    <x v="281"/>
    <n v="3"/>
    <n v="639"/>
    <x v="15"/>
    <x v="15"/>
    <n v="639"/>
    <s v="181552"/>
    <s v="Home Lara 1.35 "/>
    <x v="892"/>
    <n v="1"/>
    <n v="1"/>
  </r>
  <r>
    <n v="25"/>
    <x v="615"/>
    <x v="282"/>
    <n v="1"/>
    <n v="722"/>
    <x v="121"/>
    <x v="121"/>
    <n v="722"/>
    <s v="181578"/>
    <s v="Asador electrico giratorio M1/30-50HZ 14859"/>
    <x v="34"/>
    <n v="8"/>
    <n v="8"/>
  </r>
  <r>
    <n v="5"/>
    <x v="784"/>
    <x v="283"/>
    <n v="1"/>
    <n v="101"/>
    <x v="51"/>
    <x v="51"/>
    <n v="101"/>
    <s v="165503"/>
    <s v="Mueble Organizador Sinop Blanco"/>
    <x v="34"/>
    <n v="1"/>
    <n v="0"/>
  </r>
  <r>
    <n v="5"/>
    <x v="784"/>
    <x v="283"/>
    <n v="2"/>
    <n v="101"/>
    <x v="51"/>
    <x v="51"/>
    <n v="101"/>
    <s v="165503"/>
    <s v="Mueble Organizador Sinop Blanco"/>
    <x v="34"/>
    <n v="5"/>
    <n v="0"/>
  </r>
  <r>
    <n v="5"/>
    <x v="784"/>
    <x v="283"/>
    <n v="3"/>
    <n v="101"/>
    <x v="51"/>
    <x v="51"/>
    <n v="101"/>
    <s v="165503"/>
    <s v="Mueble Organizador Sinop Blanco"/>
    <x v="34"/>
    <n v="5"/>
    <n v="0"/>
  </r>
  <r>
    <n v="5"/>
    <x v="784"/>
    <x v="283"/>
    <n v="4"/>
    <n v="101"/>
    <x v="51"/>
    <x v="51"/>
    <n v="101"/>
    <s v="165503"/>
    <s v="Mueble Organizador Sinop Blanco"/>
    <x v="34"/>
    <n v="5"/>
    <n v="3"/>
  </r>
  <r>
    <n v="5"/>
    <x v="784"/>
    <x v="283"/>
    <n v="5"/>
    <n v="101"/>
    <x v="51"/>
    <x v="51"/>
    <n v="101"/>
    <s v="165503"/>
    <s v="Mueble Organizador Sinop Blanco"/>
    <x v="34"/>
    <n v="5"/>
    <n v="5"/>
  </r>
  <r>
    <n v="5"/>
    <x v="784"/>
    <x v="283"/>
    <n v="6"/>
    <n v="489"/>
    <x v="52"/>
    <x v="52"/>
    <n v="489"/>
    <s v="165523"/>
    <s v="Armario Aereo Canela Ref: 3468 Blanco"/>
    <x v="34"/>
    <n v="1"/>
    <n v="1"/>
  </r>
  <r>
    <n v="5"/>
    <x v="784"/>
    <x v="283"/>
    <n v="7"/>
    <n v="489"/>
    <x v="52"/>
    <x v="52"/>
    <n v="489"/>
    <s v="165523"/>
    <s v="Armario Aereo Canela Ref: 3468 Blanco"/>
    <x v="34"/>
    <n v="1"/>
    <n v="1"/>
  </r>
  <r>
    <n v="5"/>
    <x v="784"/>
    <x v="283"/>
    <n v="8"/>
    <n v="489"/>
    <x v="52"/>
    <x v="52"/>
    <n v="489"/>
    <s v="165523"/>
    <s v="Armario Aereo Canela Ref: 3468 Blanco"/>
    <x v="34"/>
    <n v="1"/>
    <n v="1"/>
  </r>
  <r>
    <n v="5"/>
    <x v="784"/>
    <x v="283"/>
    <n v="9"/>
    <n v="490"/>
    <x v="53"/>
    <x v="53"/>
    <n v="490"/>
    <s v="165524"/>
    <s v="Gabinete Guardaropa Ref: 3004 Bco"/>
    <x v="34"/>
    <n v="3"/>
    <n v="0"/>
  </r>
  <r>
    <n v="5"/>
    <x v="784"/>
    <x v="283"/>
    <n v="10"/>
    <n v="492"/>
    <x v="54"/>
    <x v="54"/>
    <n v="492"/>
    <s v="165526"/>
    <s v="Armario Itaim Puertas De Vidrio Ref: 3219 Bco"/>
    <x v="34"/>
    <n v="2"/>
    <n v="2"/>
  </r>
  <r>
    <n v="5"/>
    <x v="784"/>
    <x v="283"/>
    <n v="11"/>
    <n v="493"/>
    <x v="55"/>
    <x v="55"/>
    <n v="493"/>
    <s v="165527"/>
    <s v="Armario Organizador Limeira Ref: 3266 Bco"/>
    <x v="34"/>
    <n v="2"/>
    <n v="2"/>
  </r>
  <r>
    <n v="5"/>
    <x v="784"/>
    <x v="283"/>
    <n v="12"/>
    <n v="493"/>
    <x v="55"/>
    <x v="55"/>
    <n v="493"/>
    <s v="165527"/>
    <s v="Armario Organizador Limeira Ref: 3266 Bco"/>
    <x v="34"/>
    <n v="5"/>
    <n v="5"/>
  </r>
  <r>
    <n v="5"/>
    <x v="784"/>
    <x v="283"/>
    <n v="13"/>
    <n v="493"/>
    <x v="55"/>
    <x v="55"/>
    <n v="493"/>
    <s v="165527"/>
    <s v="Armario Organizador Limeira Ref: 3266 Bco"/>
    <x v="34"/>
    <n v="6"/>
    <n v="6"/>
  </r>
  <r>
    <n v="5"/>
    <x v="784"/>
    <x v="283"/>
    <n v="14"/>
    <n v="494"/>
    <x v="56"/>
    <x v="56"/>
    <n v="494"/>
    <s v="165528"/>
    <s v="Armario Aereo Ref: 3003 Bco"/>
    <x v="34"/>
    <n v="3"/>
    <n v="3"/>
  </r>
  <r>
    <n v="5"/>
    <x v="784"/>
    <x v="283"/>
    <n v="15"/>
    <n v="494"/>
    <x v="56"/>
    <x v="56"/>
    <n v="494"/>
    <s v="165528"/>
    <s v="Armario Aereo Ref: 3003 Bco"/>
    <x v="34"/>
    <n v="5"/>
    <n v="5"/>
  </r>
  <r>
    <n v="5"/>
    <x v="784"/>
    <x v="283"/>
    <n v="16"/>
    <n v="494"/>
    <x v="56"/>
    <x v="56"/>
    <n v="494"/>
    <s v="165528"/>
    <s v="Armario Aereo Ref: 3003 Bco"/>
    <x v="34"/>
    <n v="5"/>
    <n v="5"/>
  </r>
  <r>
    <n v="3"/>
    <x v="785"/>
    <x v="230"/>
    <n v="7"/>
    <n v="970"/>
    <x v="0"/>
    <x v="0"/>
    <n v="506"/>
    <s v="120023"/>
    <s v="Estante Aruba"/>
    <x v="893"/>
    <n v="1"/>
    <n v="1"/>
  </r>
  <r>
    <n v="3"/>
    <x v="785"/>
    <x v="230"/>
    <n v="8"/>
    <n v="970"/>
    <x v="0"/>
    <x v="0"/>
    <n v="506"/>
    <s v="120023"/>
    <s v="Estante Aruba"/>
    <x v="894"/>
    <n v="1"/>
    <n v="1"/>
  </r>
  <r>
    <n v="3"/>
    <x v="785"/>
    <x v="230"/>
    <n v="12"/>
    <n v="970"/>
    <x v="0"/>
    <x v="0"/>
    <n v="506"/>
    <s v="120023"/>
    <s v="Estante Aruba"/>
    <x v="895"/>
    <n v="1"/>
    <n v="1"/>
  </r>
  <r>
    <n v="3"/>
    <x v="786"/>
    <x v="230"/>
    <n v="13"/>
    <n v="812"/>
    <x v="177"/>
    <x v="177"/>
    <n v="812"/>
    <s v="181765"/>
    <s v="Rack Azteca"/>
    <x v="896"/>
    <n v="1"/>
    <n v="1"/>
  </r>
  <r>
    <n v="3"/>
    <x v="786"/>
    <x v="230"/>
    <n v="14"/>
    <n v="970"/>
    <x v="0"/>
    <x v="0"/>
    <n v="506"/>
    <s v="120023"/>
    <s v="Estante Aruba"/>
    <x v="897"/>
    <n v="1"/>
    <n v="1"/>
  </r>
  <r>
    <n v="3"/>
    <x v="787"/>
    <x v="230"/>
    <n v="9"/>
    <n v="970"/>
    <x v="0"/>
    <x v="0"/>
    <n v="506"/>
    <s v="120023"/>
    <s v="Estante Aruba"/>
    <x v="898"/>
    <n v="1"/>
    <n v="1"/>
  </r>
  <r>
    <n v="3"/>
    <x v="788"/>
    <x v="230"/>
    <n v="1"/>
    <n v="680"/>
    <x v="116"/>
    <x v="116"/>
    <n v="680"/>
    <s v="181600"/>
    <s v="Estante Cristal"/>
    <x v="899"/>
    <n v="1"/>
    <n v="1"/>
  </r>
  <r>
    <n v="3"/>
    <x v="788"/>
    <x v="230"/>
    <n v="10"/>
    <n v="824"/>
    <x v="1"/>
    <x v="1"/>
    <n v="824"/>
    <s v="181756"/>
    <s v="Rack Line (New Zero)"/>
    <x v="900"/>
    <n v="1"/>
    <n v="1"/>
  </r>
  <r>
    <n v="3"/>
    <x v="789"/>
    <x v="230"/>
    <n v="2"/>
    <n v="970"/>
    <x v="0"/>
    <x v="0"/>
    <n v="506"/>
    <s v="120023"/>
    <s v="Estante Aruba"/>
    <x v="901"/>
    <n v="1"/>
    <n v="1"/>
  </r>
  <r>
    <n v="3"/>
    <x v="789"/>
    <x v="230"/>
    <n v="3"/>
    <n v="970"/>
    <x v="0"/>
    <x v="0"/>
    <n v="506"/>
    <s v="120023"/>
    <s v="Estante Aruba"/>
    <x v="902"/>
    <n v="1"/>
    <n v="1"/>
  </r>
  <r>
    <n v="3"/>
    <x v="789"/>
    <x v="230"/>
    <n v="11"/>
    <n v="970"/>
    <x v="0"/>
    <x v="0"/>
    <n v="506"/>
    <s v="120023"/>
    <s v="Estante Aruba"/>
    <x v="903"/>
    <n v="1"/>
    <n v="1"/>
  </r>
  <r>
    <n v="4"/>
    <x v="790"/>
    <x v="284"/>
    <n v="1"/>
    <n v="563"/>
    <x v="80"/>
    <x v="80"/>
    <n v="497"/>
    <s v="170780"/>
    <s v="Rack basculante pt mad Castaño 160387"/>
    <x v="904"/>
    <n v="1"/>
    <n v="1"/>
  </r>
  <r>
    <n v="29"/>
    <x v="791"/>
    <x v="285"/>
    <n v="1"/>
    <n v="951"/>
    <x v="210"/>
    <x v="210"/>
    <n v="951"/>
    <s v="181869"/>
    <s v="Rack  Pablo"/>
    <x v="905"/>
    <n v="1"/>
    <n v="0"/>
  </r>
  <r>
    <n v="29"/>
    <x v="792"/>
    <x v="285"/>
    <n v="2"/>
    <n v="809"/>
    <x v="61"/>
    <x v="61"/>
    <n v="809"/>
    <s v="181759"/>
    <s v="Rack Ovalle"/>
    <x v="906"/>
    <n v="1"/>
    <n v="1"/>
  </r>
  <r>
    <n v="29"/>
    <x v="793"/>
    <x v="285"/>
    <n v="3"/>
    <n v="809"/>
    <x v="61"/>
    <x v="61"/>
    <n v="809"/>
    <s v="181759"/>
    <s v="Rack Ovalle"/>
    <x v="907"/>
    <n v="1"/>
    <n v="1"/>
  </r>
  <r>
    <n v="29"/>
    <x v="794"/>
    <x v="285"/>
    <n v="4"/>
    <n v="809"/>
    <x v="61"/>
    <x v="61"/>
    <n v="809"/>
    <s v="181759"/>
    <s v="Rack Ovalle"/>
    <x v="908"/>
    <n v="1"/>
    <n v="1"/>
  </r>
  <r>
    <n v="2"/>
    <x v="795"/>
    <x v="286"/>
    <n v="5"/>
    <n v="584"/>
    <x v="96"/>
    <x v="96"/>
    <n v="584"/>
    <s v="130290"/>
    <s v="Rack New Montana bco"/>
    <x v="909"/>
    <n v="1"/>
    <n v="1"/>
  </r>
  <r>
    <n v="2"/>
    <x v="796"/>
    <x v="286"/>
    <n v="1"/>
    <n v="905"/>
    <x v="39"/>
    <x v="39"/>
    <n v="905"/>
    <s v="181876"/>
    <s v="RACK STAR (QUARTZ)"/>
    <x v="910"/>
    <n v="1"/>
    <n v="1"/>
  </r>
  <r>
    <n v="2"/>
    <x v="797"/>
    <x v="286"/>
    <n v="2"/>
    <n v="700"/>
    <x v="67"/>
    <x v="67"/>
    <n v="700"/>
    <s v="181626"/>
    <s v="Comedor francia 6+1"/>
    <x v="911"/>
    <n v="1"/>
    <n v="1"/>
  </r>
  <r>
    <n v="2"/>
    <x v="798"/>
    <x v="286"/>
    <n v="3"/>
    <n v="970"/>
    <x v="0"/>
    <x v="0"/>
    <n v="506"/>
    <s v="120023"/>
    <s v="Estante Aruba"/>
    <x v="912"/>
    <n v="1"/>
    <n v="1"/>
  </r>
  <r>
    <n v="2"/>
    <x v="799"/>
    <x v="286"/>
    <n v="4"/>
    <n v="401"/>
    <x v="21"/>
    <x v="21"/>
    <n v="401"/>
    <s v="161009"/>
    <s v="Escritorio Olimpia aberto - artico"/>
    <x v="913"/>
    <n v="1"/>
    <n v="1"/>
  </r>
  <r>
    <n v="2"/>
    <x v="800"/>
    <x v="287"/>
    <n v="6"/>
    <n v="970"/>
    <x v="0"/>
    <x v="0"/>
    <n v="506"/>
    <s v="120023"/>
    <s v="Estante Aruba"/>
    <x v="914"/>
    <n v="1"/>
    <n v="1"/>
  </r>
  <r>
    <n v="2"/>
    <x v="801"/>
    <x v="287"/>
    <n v="1"/>
    <n v="181"/>
    <x v="76"/>
    <x v="76"/>
    <n v="181"/>
    <s v="161006"/>
    <s v="Escritorio Lindoia artico/turquesa 1194"/>
    <x v="915"/>
    <n v="1"/>
    <n v="1"/>
  </r>
  <r>
    <n v="2"/>
    <x v="802"/>
    <x v="287"/>
    <n v="2"/>
    <n v="402"/>
    <x v="32"/>
    <x v="32"/>
    <n v="402"/>
    <s v="161010"/>
    <s v="Escritorio Cali artico"/>
    <x v="916"/>
    <n v="1"/>
    <n v="1"/>
  </r>
  <r>
    <n v="2"/>
    <x v="803"/>
    <x v="287"/>
    <n v="3"/>
    <n v="905"/>
    <x v="39"/>
    <x v="39"/>
    <n v="905"/>
    <s v="181876"/>
    <s v="RACK STAR (QUARTZ)"/>
    <x v="917"/>
    <n v="1"/>
    <n v="1"/>
  </r>
  <r>
    <n v="2"/>
    <x v="804"/>
    <x v="287"/>
    <n v="4"/>
    <n v="905"/>
    <x v="39"/>
    <x v="39"/>
    <n v="905"/>
    <s v="181876"/>
    <s v="RACK STAR (QUARTZ)"/>
    <x v="918"/>
    <n v="1"/>
    <n v="1"/>
  </r>
  <r>
    <n v="2"/>
    <x v="805"/>
    <x v="287"/>
    <n v="5"/>
    <n v="388"/>
    <x v="19"/>
    <x v="19"/>
    <n v="388"/>
    <s v="140638"/>
    <s v="Mesa De Centro Madera Hanna 2125 Sunset/Bco"/>
    <x v="919"/>
    <n v="1"/>
    <n v="1"/>
  </r>
  <r>
    <n v="29"/>
    <x v="806"/>
    <x v="288"/>
    <n v="2"/>
    <n v="853"/>
    <x v="107"/>
    <x v="107"/>
    <n v="853"/>
    <s v="181777"/>
    <s v="Cabinet Single Isis"/>
    <x v="920"/>
    <n v="1"/>
    <n v="1"/>
  </r>
  <r>
    <n v="29"/>
    <x v="807"/>
    <x v="288"/>
    <n v="3"/>
    <n v="809"/>
    <x v="61"/>
    <x v="61"/>
    <n v="809"/>
    <s v="181759"/>
    <s v="Rack Ovalle"/>
    <x v="921"/>
    <n v="1"/>
    <n v="1"/>
  </r>
  <r>
    <n v="29"/>
    <x v="808"/>
    <x v="288"/>
    <n v="4"/>
    <n v="829"/>
    <x v="68"/>
    <x v="68"/>
    <n v="829"/>
    <s v="181708"/>
    <s v="ZAPATERA TRIPLE FICUS"/>
    <x v="922"/>
    <n v="1"/>
    <n v="1"/>
  </r>
  <r>
    <n v="29"/>
    <x v="809"/>
    <x v="288"/>
    <n v="5"/>
    <n v="849"/>
    <x v="42"/>
    <x v="42"/>
    <n v="849"/>
    <s v="181794"/>
    <s v="Gabinete Burgos"/>
    <x v="923"/>
    <n v="1"/>
    <n v="1"/>
  </r>
  <r>
    <n v="29"/>
    <x v="810"/>
    <x v="288"/>
    <n v="6"/>
    <n v="855"/>
    <x v="208"/>
    <x v="208"/>
    <n v="855"/>
    <s v="181795"/>
    <s v="Tabla de Planchar Murcia"/>
    <x v="924"/>
    <n v="1"/>
    <n v="1"/>
  </r>
  <r>
    <n v="29"/>
    <x v="811"/>
    <x v="288"/>
    <n v="1"/>
    <n v="850"/>
    <x v="140"/>
    <x v="140"/>
    <n v="850"/>
    <s v="181796"/>
    <s v="Gabinete Compostela"/>
    <x v="925"/>
    <n v="1"/>
    <n v="1"/>
  </r>
  <r>
    <n v="17"/>
    <x v="812"/>
    <x v="289"/>
    <n v="1"/>
    <n v="687"/>
    <x v="211"/>
    <x v="211"/>
    <n v="687"/>
    <s v="181613"/>
    <s v="Sofa 1 CPO. Italia"/>
    <x v="34"/>
    <n v="1"/>
    <n v="1"/>
  </r>
  <r>
    <n v="17"/>
    <x v="812"/>
    <x v="289"/>
    <n v="2"/>
    <n v="688"/>
    <x v="212"/>
    <x v="212"/>
    <n v="688"/>
    <s v="181614"/>
    <s v="Sofa 3 CPO. Grecia"/>
    <x v="34"/>
    <n v="1"/>
    <n v="1"/>
  </r>
  <r>
    <n v="29"/>
    <x v="793"/>
    <x v="290"/>
    <n v="1"/>
    <n v="956"/>
    <x v="105"/>
    <x v="105"/>
    <n v="956"/>
    <s v="181875"/>
    <s v="MESA CENTRO PLUS"/>
    <x v="907"/>
    <n v="1"/>
    <n v="0"/>
  </r>
  <r>
    <n v="29"/>
    <x v="813"/>
    <x v="290"/>
    <n v="2"/>
    <n v="956"/>
    <x v="105"/>
    <x v="105"/>
    <n v="956"/>
    <s v="181875"/>
    <s v="MESA CENTRO PLUS"/>
    <x v="926"/>
    <n v="1"/>
    <n v="0"/>
  </r>
  <r>
    <n v="29"/>
    <x v="814"/>
    <x v="291"/>
    <n v="1"/>
    <n v="955"/>
    <x v="143"/>
    <x v="143"/>
    <n v="955"/>
    <s v="181874"/>
    <s v="Rack Felipe"/>
    <x v="927"/>
    <n v="1"/>
    <n v="1"/>
  </r>
  <r>
    <n v="4"/>
    <x v="815"/>
    <x v="292"/>
    <n v="1"/>
    <n v="703"/>
    <x v="10"/>
    <x v="10"/>
    <n v="703"/>
    <s v="181629"/>
    <s v="Juego de comedor lauren 1+2+6"/>
    <x v="928"/>
    <n v="1"/>
    <n v="1"/>
  </r>
  <r>
    <n v="6"/>
    <x v="816"/>
    <x v="293"/>
    <n v="7"/>
    <n v="400"/>
    <x v="89"/>
    <x v="89"/>
    <n v="400"/>
    <s v="161008"/>
    <s v="Escritorio Fenix Artico"/>
    <x v="929"/>
    <n v="1"/>
    <n v="1"/>
  </r>
  <r>
    <n v="6"/>
    <x v="817"/>
    <x v="293"/>
    <n v="8"/>
    <n v="400"/>
    <x v="89"/>
    <x v="89"/>
    <n v="400"/>
    <s v="161008"/>
    <s v="Escritorio Fenix Artico"/>
    <x v="930"/>
    <n v="1"/>
    <n v="1"/>
  </r>
  <r>
    <n v="6"/>
    <x v="818"/>
    <x v="293"/>
    <n v="3"/>
    <n v="496"/>
    <x v="159"/>
    <x v="159"/>
    <n v="496"/>
    <s v="165530"/>
    <s v="Armario aereo con perchero 160395"/>
    <x v="931"/>
    <n v="1"/>
    <n v="1"/>
  </r>
  <r>
    <n v="6"/>
    <x v="819"/>
    <x v="293"/>
    <n v="4"/>
    <n v="905"/>
    <x v="39"/>
    <x v="39"/>
    <n v="905"/>
    <s v="181876"/>
    <s v="RACK STAR (QUARTZ)"/>
    <x v="932"/>
    <n v="1"/>
    <n v="1"/>
  </r>
  <r>
    <n v="6"/>
    <x v="820"/>
    <x v="293"/>
    <n v="5"/>
    <n v="809"/>
    <x v="61"/>
    <x v="61"/>
    <n v="809"/>
    <s v="181759"/>
    <s v="Rack Ovalle"/>
    <x v="933"/>
    <n v="1"/>
    <n v="1"/>
  </r>
  <r>
    <n v="24"/>
    <x v="821"/>
    <x v="247"/>
    <n v="9"/>
    <n v="813"/>
    <x v="79"/>
    <x v="79"/>
    <n v="813"/>
    <s v="181782"/>
    <s v="Kit Yara 160 (181638) +  Alacena (181641)"/>
    <x v="934"/>
    <n v="1"/>
    <n v="1"/>
  </r>
  <r>
    <n v="24"/>
    <x v="822"/>
    <x v="247"/>
    <n v="4"/>
    <n v="813"/>
    <x v="79"/>
    <x v="79"/>
    <n v="813"/>
    <s v="181782"/>
    <s v="Kit Yara 160 (181638) +  Alacena (181641)"/>
    <x v="935"/>
    <n v="1"/>
    <n v="1"/>
  </r>
  <r>
    <n v="24"/>
    <x v="823"/>
    <x v="247"/>
    <n v="2"/>
    <n v="523"/>
    <x v="153"/>
    <x v="153"/>
    <n v="523"/>
    <s v="120066"/>
    <s v="Mesa para TV MDP New Montana 2 negro -negro glass "/>
    <x v="936"/>
    <n v="1"/>
    <n v="1"/>
  </r>
  <r>
    <n v="24"/>
    <x v="824"/>
    <x v="247"/>
    <n v="5"/>
    <n v="813"/>
    <x v="79"/>
    <x v="79"/>
    <n v="813"/>
    <s v="181782"/>
    <s v="Kit Yara 160 (181638) +  Alacena (181641)"/>
    <x v="937"/>
    <n v="1"/>
    <n v="1"/>
  </r>
  <r>
    <n v="24"/>
    <x v="825"/>
    <x v="247"/>
    <n v="6"/>
    <n v="813"/>
    <x v="79"/>
    <x v="79"/>
    <n v="813"/>
    <s v="181782"/>
    <s v="Kit Yara 160 (181638) +  Alacena (181641)"/>
    <x v="938"/>
    <n v="1"/>
    <n v="1"/>
  </r>
  <r>
    <n v="24"/>
    <x v="826"/>
    <x v="247"/>
    <n v="7"/>
    <n v="813"/>
    <x v="79"/>
    <x v="79"/>
    <n v="813"/>
    <s v="181782"/>
    <s v="Kit Yara 160 (181638) +  Alacena (181641)"/>
    <x v="939"/>
    <n v="1"/>
    <n v="1"/>
  </r>
  <r>
    <n v="24"/>
    <x v="827"/>
    <x v="247"/>
    <n v="1"/>
    <n v="584"/>
    <x v="96"/>
    <x v="96"/>
    <n v="584"/>
    <s v="130290"/>
    <s v="Rack New Montana bco"/>
    <x v="940"/>
    <n v="1"/>
    <n v="1"/>
  </r>
  <r>
    <n v="5"/>
    <x v="828"/>
    <x v="294"/>
    <n v="1"/>
    <n v="1097"/>
    <x v="213"/>
    <x v="213"/>
    <n v="1097"/>
    <s v="181903"/>
    <s v="Kit Cocina Milan Nuevo"/>
    <x v="34"/>
    <n v="10"/>
    <n v="10"/>
  </r>
  <r>
    <n v="5"/>
    <x v="828"/>
    <x v="294"/>
    <n v="2"/>
    <n v="1097"/>
    <x v="213"/>
    <x v="213"/>
    <n v="1097"/>
    <s v="181903"/>
    <s v="Kit Cocina Milan Nuevo"/>
    <x v="34"/>
    <n v="10"/>
    <n v="10"/>
  </r>
  <r>
    <n v="5"/>
    <x v="828"/>
    <x v="294"/>
    <n v="3"/>
    <n v="1097"/>
    <x v="213"/>
    <x v="213"/>
    <n v="1097"/>
    <s v="181903"/>
    <s v="Kit Cocina Milan Nuevo"/>
    <x v="34"/>
    <n v="10"/>
    <n v="10"/>
  </r>
  <r>
    <n v="5"/>
    <x v="828"/>
    <x v="294"/>
    <n v="4"/>
    <n v="1097"/>
    <x v="213"/>
    <x v="213"/>
    <n v="1097"/>
    <s v="181903"/>
    <s v="Kit Cocina Milan Nuevo"/>
    <x v="34"/>
    <n v="10"/>
    <n v="10"/>
  </r>
  <r>
    <n v="5"/>
    <x v="828"/>
    <x v="294"/>
    <n v="5"/>
    <n v="1097"/>
    <x v="213"/>
    <x v="213"/>
    <n v="1097"/>
    <s v="181903"/>
    <s v="Kit Cocina Milan Nuevo"/>
    <x v="34"/>
    <n v="10"/>
    <n v="10"/>
  </r>
  <r>
    <n v="5"/>
    <x v="828"/>
    <x v="294"/>
    <n v="6"/>
    <n v="1097"/>
    <x v="213"/>
    <x v="213"/>
    <n v="1097"/>
    <s v="181903"/>
    <s v="Kit Cocina Milan Nuevo"/>
    <x v="34"/>
    <n v="10"/>
    <n v="10"/>
  </r>
  <r>
    <n v="5"/>
    <x v="828"/>
    <x v="294"/>
    <n v="7"/>
    <n v="1097"/>
    <x v="213"/>
    <x v="213"/>
    <n v="1097"/>
    <s v="181903"/>
    <s v="Kit Cocina Milan Nuevo"/>
    <x v="34"/>
    <n v="10"/>
    <n v="10"/>
  </r>
  <r>
    <n v="5"/>
    <x v="828"/>
    <x v="294"/>
    <n v="8"/>
    <n v="1097"/>
    <x v="213"/>
    <x v="213"/>
    <n v="1097"/>
    <s v="181903"/>
    <s v="Kit Cocina Milan Nuevo"/>
    <x v="34"/>
    <n v="10"/>
    <n v="10"/>
  </r>
  <r>
    <n v="5"/>
    <x v="828"/>
    <x v="294"/>
    <n v="9"/>
    <n v="1097"/>
    <x v="213"/>
    <x v="213"/>
    <n v="1097"/>
    <s v="181903"/>
    <s v="Kit Cocina Milan Nuevo"/>
    <x v="34"/>
    <n v="10"/>
    <n v="10"/>
  </r>
  <r>
    <n v="5"/>
    <x v="828"/>
    <x v="294"/>
    <n v="10"/>
    <n v="1097"/>
    <x v="213"/>
    <x v="213"/>
    <n v="1097"/>
    <s v="181903"/>
    <s v="Kit Cocina Milan Nuevo"/>
    <x v="34"/>
    <n v="10"/>
    <n v="10"/>
  </r>
  <r>
    <n v="5"/>
    <x v="828"/>
    <x v="294"/>
    <n v="11"/>
    <n v="1097"/>
    <x v="213"/>
    <x v="213"/>
    <n v="1097"/>
    <s v="181903"/>
    <s v="Kit Cocina Milan Nuevo"/>
    <x v="34"/>
    <n v="10"/>
    <n v="10"/>
  </r>
  <r>
    <n v="5"/>
    <x v="828"/>
    <x v="294"/>
    <n v="12"/>
    <n v="1097"/>
    <x v="213"/>
    <x v="213"/>
    <n v="1097"/>
    <s v="181903"/>
    <s v="Kit Cocina Milan Nuevo"/>
    <x v="34"/>
    <n v="10"/>
    <n v="10"/>
  </r>
  <r>
    <n v="5"/>
    <x v="828"/>
    <x v="294"/>
    <n v="13"/>
    <n v="1097"/>
    <x v="213"/>
    <x v="213"/>
    <n v="1097"/>
    <s v="181903"/>
    <s v="Kit Cocina Milan Nuevo"/>
    <x v="34"/>
    <n v="10"/>
    <n v="10"/>
  </r>
  <r>
    <n v="5"/>
    <x v="828"/>
    <x v="294"/>
    <n v="14"/>
    <n v="1097"/>
    <x v="213"/>
    <x v="213"/>
    <n v="1097"/>
    <s v="181903"/>
    <s v="Kit Cocina Milan Nuevo"/>
    <x v="34"/>
    <n v="10"/>
    <n v="10"/>
  </r>
  <r>
    <n v="5"/>
    <x v="828"/>
    <x v="294"/>
    <n v="15"/>
    <n v="1097"/>
    <x v="213"/>
    <x v="213"/>
    <n v="1097"/>
    <s v="181903"/>
    <s v="Kit Cocina Milan Nuevo"/>
    <x v="34"/>
    <n v="10"/>
    <n v="10"/>
  </r>
  <r>
    <n v="5"/>
    <x v="828"/>
    <x v="294"/>
    <n v="16"/>
    <n v="1097"/>
    <x v="213"/>
    <x v="213"/>
    <n v="1097"/>
    <s v="181903"/>
    <s v="Kit Cocina Milan Nuevo"/>
    <x v="34"/>
    <n v="10"/>
    <n v="10"/>
  </r>
  <r>
    <n v="5"/>
    <x v="828"/>
    <x v="294"/>
    <n v="17"/>
    <n v="1097"/>
    <x v="213"/>
    <x v="213"/>
    <n v="1097"/>
    <s v="181903"/>
    <s v="Kit Cocina Milan Nuevo"/>
    <x v="34"/>
    <n v="10"/>
    <n v="10"/>
  </r>
  <r>
    <n v="5"/>
    <x v="828"/>
    <x v="294"/>
    <n v="18"/>
    <n v="1097"/>
    <x v="213"/>
    <x v="213"/>
    <n v="1097"/>
    <s v="181903"/>
    <s v="Kit Cocina Milan Nuevo"/>
    <x v="34"/>
    <n v="10"/>
    <n v="10"/>
  </r>
  <r>
    <n v="5"/>
    <x v="828"/>
    <x v="294"/>
    <n v="19"/>
    <n v="1097"/>
    <x v="213"/>
    <x v="213"/>
    <n v="1097"/>
    <s v="181903"/>
    <s v="Kit Cocina Milan Nuevo"/>
    <x v="34"/>
    <n v="10"/>
    <n v="10"/>
  </r>
  <r>
    <n v="5"/>
    <x v="828"/>
    <x v="294"/>
    <n v="20"/>
    <n v="1097"/>
    <x v="213"/>
    <x v="213"/>
    <n v="1097"/>
    <s v="181903"/>
    <s v="Kit Cocina Milan Nuevo"/>
    <x v="34"/>
    <n v="10"/>
    <n v="10"/>
  </r>
  <r>
    <n v="5"/>
    <x v="828"/>
    <x v="294"/>
    <n v="21"/>
    <n v="1097"/>
    <x v="213"/>
    <x v="213"/>
    <n v="1097"/>
    <s v="181903"/>
    <s v="Kit Cocina Milan Nuevo"/>
    <x v="34"/>
    <n v="10"/>
    <n v="10"/>
  </r>
  <r>
    <n v="5"/>
    <x v="828"/>
    <x v="294"/>
    <n v="22"/>
    <n v="1097"/>
    <x v="213"/>
    <x v="213"/>
    <n v="1097"/>
    <s v="181903"/>
    <s v="Kit Cocina Milan Nuevo"/>
    <x v="34"/>
    <n v="10"/>
    <n v="10"/>
  </r>
  <r>
    <n v="5"/>
    <x v="828"/>
    <x v="294"/>
    <n v="23"/>
    <n v="1097"/>
    <x v="213"/>
    <x v="213"/>
    <n v="1097"/>
    <s v="181903"/>
    <s v="Kit Cocina Milan Nuevo"/>
    <x v="34"/>
    <n v="10"/>
    <n v="10"/>
  </r>
  <r>
    <n v="5"/>
    <x v="828"/>
    <x v="294"/>
    <n v="24"/>
    <n v="1097"/>
    <x v="213"/>
    <x v="213"/>
    <n v="1097"/>
    <s v="181903"/>
    <s v="Kit Cocina Milan Nuevo"/>
    <x v="34"/>
    <n v="20"/>
    <n v="20"/>
  </r>
  <r>
    <n v="5"/>
    <x v="828"/>
    <x v="294"/>
    <n v="25"/>
    <n v="1097"/>
    <x v="213"/>
    <x v="213"/>
    <n v="1097"/>
    <s v="181903"/>
    <s v="Kit Cocina Milan Nuevo"/>
    <x v="34"/>
    <n v="20"/>
    <n v="20"/>
  </r>
  <r>
    <n v="5"/>
    <x v="828"/>
    <x v="294"/>
    <n v="26"/>
    <n v="1097"/>
    <x v="213"/>
    <x v="213"/>
    <n v="1097"/>
    <s v="181903"/>
    <s v="Kit Cocina Milan Nuevo"/>
    <x v="34"/>
    <n v="20"/>
    <n v="20"/>
  </r>
  <r>
    <n v="5"/>
    <x v="828"/>
    <x v="294"/>
    <n v="27"/>
    <n v="1097"/>
    <x v="213"/>
    <x v="213"/>
    <n v="1097"/>
    <s v="181903"/>
    <s v="Kit Cocina Milan Nuevo"/>
    <x v="34"/>
    <n v="20"/>
    <n v="20"/>
  </r>
  <r>
    <n v="5"/>
    <x v="828"/>
    <x v="294"/>
    <n v="28"/>
    <n v="1097"/>
    <x v="213"/>
    <x v="213"/>
    <n v="1097"/>
    <s v="181903"/>
    <s v="Kit Cocina Milan Nuevo"/>
    <x v="34"/>
    <n v="20"/>
    <n v="20"/>
  </r>
  <r>
    <n v="5"/>
    <x v="829"/>
    <x v="295"/>
    <n v="8"/>
    <n v="103"/>
    <x v="174"/>
    <x v="174"/>
    <n v="103"/>
    <s v="165509"/>
    <s v="Organizador Classic bco 55004 Microonda"/>
    <x v="34"/>
    <n v="1"/>
    <n v="1"/>
  </r>
  <r>
    <n v="5"/>
    <x v="830"/>
    <x v="295"/>
    <n v="9"/>
    <n v="825"/>
    <x v="204"/>
    <x v="204"/>
    <n v="825"/>
    <s v="181753"/>
    <s v="Cocina Milanessa"/>
    <x v="34"/>
    <n v="1"/>
    <n v="1"/>
  </r>
  <r>
    <n v="5"/>
    <x v="831"/>
    <x v="295"/>
    <n v="10"/>
    <n v="884"/>
    <x v="189"/>
    <x v="189"/>
    <n v="884"/>
    <s v="181771"/>
    <s v="Autoservicio Diva"/>
    <x v="34"/>
    <n v="1"/>
    <n v="1"/>
  </r>
  <r>
    <n v="5"/>
    <x v="832"/>
    <x v="295"/>
    <n v="11"/>
    <n v="180"/>
    <x v="70"/>
    <x v="70"/>
    <n v="180"/>
    <s v="161005"/>
    <s v="Escritorio España kit castaño 1176"/>
    <x v="34"/>
    <n v="1"/>
    <n v="1"/>
  </r>
  <r>
    <n v="5"/>
    <x v="833"/>
    <x v="295"/>
    <n v="2"/>
    <n v="181"/>
    <x v="76"/>
    <x v="76"/>
    <n v="181"/>
    <s v="161006"/>
    <s v="Escritorio Lindoia artico/turquesa 1194"/>
    <x v="34"/>
    <n v="1"/>
    <n v="1"/>
  </r>
  <r>
    <n v="5"/>
    <x v="834"/>
    <x v="295"/>
    <n v="3"/>
    <n v="698"/>
    <x v="146"/>
    <x v="146"/>
    <n v="698"/>
    <s v="181624"/>
    <s v="Rack tv palu"/>
    <x v="34"/>
    <n v="1"/>
    <n v="1"/>
  </r>
  <r>
    <n v="5"/>
    <x v="835"/>
    <x v="295"/>
    <n v="4"/>
    <n v="825"/>
    <x v="204"/>
    <x v="204"/>
    <n v="825"/>
    <s v="181753"/>
    <s v="Cocina Milanessa"/>
    <x v="34"/>
    <n v="1"/>
    <n v="1"/>
  </r>
  <r>
    <n v="8"/>
    <x v="708"/>
    <x v="257"/>
    <n v="3"/>
    <n v="1106"/>
    <x v="101"/>
    <x v="101"/>
    <n v="655"/>
    <s v="181568"/>
    <s v="Kit Cocina Catalina Blanco/Nogal"/>
    <x v="177"/>
    <n v="12"/>
    <n v="12"/>
  </r>
  <r>
    <n v="8"/>
    <x v="708"/>
    <x v="257"/>
    <n v="4"/>
    <n v="809"/>
    <x v="61"/>
    <x v="61"/>
    <n v="809"/>
    <s v="181759"/>
    <s v="Rack Ovalle"/>
    <x v="84"/>
    <n v="15"/>
    <n v="15"/>
  </r>
  <r>
    <n v="2"/>
    <x v="836"/>
    <x v="296"/>
    <n v="1"/>
    <n v="937"/>
    <x v="155"/>
    <x v="155"/>
    <n v="937"/>
    <s v="181837"/>
    <s v="Rack Jeri"/>
    <x v="941"/>
    <n v="1"/>
    <n v="1"/>
  </r>
  <r>
    <n v="6"/>
    <x v="837"/>
    <x v="297"/>
    <n v="1"/>
    <n v="851"/>
    <x v="33"/>
    <x v="33"/>
    <n v="851"/>
    <s v="181792"/>
    <s v="Kit Cocina Palma + Counter"/>
    <x v="942"/>
    <n v="1"/>
    <n v="1"/>
  </r>
  <r>
    <n v="3"/>
    <x v="148"/>
    <x v="298"/>
    <n v="2"/>
    <n v="506"/>
    <x v="98"/>
    <x v="98"/>
    <n v="506"/>
    <s v="120023"/>
    <s v="Estante Aruba"/>
    <x v="172"/>
    <n v="1"/>
    <n v="0"/>
  </r>
  <r>
    <n v="3"/>
    <x v="148"/>
    <x v="298"/>
    <n v="3"/>
    <n v="506"/>
    <x v="98"/>
    <x v="98"/>
    <n v="506"/>
    <s v="120023"/>
    <s v="Estante Aruba"/>
    <x v="173"/>
    <n v="1"/>
    <n v="0"/>
  </r>
  <r>
    <n v="3"/>
    <x v="148"/>
    <x v="298"/>
    <n v="4"/>
    <n v="506"/>
    <x v="98"/>
    <x v="98"/>
    <n v="506"/>
    <s v="120023"/>
    <s v="Estante Aruba"/>
    <x v="174"/>
    <n v="1"/>
    <n v="0"/>
  </r>
  <r>
    <n v="3"/>
    <x v="838"/>
    <x v="298"/>
    <n v="1"/>
    <n v="745"/>
    <x v="2"/>
    <x v="2"/>
    <n v="745"/>
    <s v="181685"/>
    <s v="Closet Anastasia (Ex Capelinha) "/>
    <x v="943"/>
    <n v="1"/>
    <n v="1"/>
  </r>
  <r>
    <n v="4"/>
    <x v="839"/>
    <x v="299"/>
    <n v="1"/>
    <n v="1094"/>
    <x v="131"/>
    <x v="131"/>
    <n v="281"/>
    <s v="165677"/>
    <s v="Cocina 6 puertas kit 2306 bco negro"/>
    <x v="944"/>
    <n v="1"/>
    <n v="1"/>
  </r>
  <r>
    <n v="6"/>
    <x v="840"/>
    <x v="300"/>
    <n v="1"/>
    <n v="787"/>
    <x v="99"/>
    <x v="99"/>
    <n v="787"/>
    <s v="181697"/>
    <s v="RESPALDO SINAI (UN REGRUESO A LO LARGO)"/>
    <x v="945"/>
    <n v="1"/>
    <n v="1"/>
  </r>
  <r>
    <n v="9"/>
    <x v="841"/>
    <x v="301"/>
    <n v="1"/>
    <n v="893"/>
    <x v="35"/>
    <x v="35"/>
    <n v="893"/>
    <s v="181810"/>
    <s v="Rack Recife"/>
    <x v="946"/>
    <n v="1"/>
    <n v="1"/>
  </r>
  <r>
    <n v="9"/>
    <x v="842"/>
    <x v="301"/>
    <n v="2"/>
    <n v="937"/>
    <x v="155"/>
    <x v="155"/>
    <n v="937"/>
    <s v="181837"/>
    <s v="Rack Jeri"/>
    <x v="947"/>
    <n v="1"/>
    <n v="1"/>
  </r>
  <r>
    <n v="9"/>
    <x v="842"/>
    <x v="301"/>
    <n v="3"/>
    <n v="905"/>
    <x v="39"/>
    <x v="39"/>
    <n v="905"/>
    <s v="181876"/>
    <s v="RACK STAR (QUARTZ)"/>
    <x v="948"/>
    <n v="1"/>
    <n v="1"/>
  </r>
  <r>
    <n v="9"/>
    <x v="843"/>
    <x v="301"/>
    <n v="4"/>
    <n v="901"/>
    <x v="134"/>
    <x v="134"/>
    <n v="901"/>
    <s v="181864"/>
    <s v="Mesa de centro Miró (Monet)"/>
    <x v="949"/>
    <n v="1"/>
    <n v="1"/>
  </r>
  <r>
    <n v="9"/>
    <x v="843"/>
    <x v="301"/>
    <n v="5"/>
    <n v="904"/>
    <x v="149"/>
    <x v="149"/>
    <n v="904"/>
    <s v="181872"/>
    <s v="Rack Antonio (BR 281 Rack TV Stand - Favatex)"/>
    <x v="950"/>
    <n v="1"/>
    <n v="1"/>
  </r>
  <r>
    <n v="9"/>
    <x v="843"/>
    <x v="302"/>
    <n v="7"/>
    <n v="698"/>
    <x v="146"/>
    <x v="146"/>
    <n v="698"/>
    <s v="181624"/>
    <s v="Rack tv palu"/>
    <x v="951"/>
    <n v="1"/>
    <n v="1"/>
  </r>
  <r>
    <n v="29"/>
    <x v="844"/>
    <x v="303"/>
    <n v="1"/>
    <n v="563"/>
    <x v="80"/>
    <x v="80"/>
    <n v="563"/>
    <s v="130269"/>
    <s v="Rack basculante Nordico"/>
    <x v="76"/>
    <n v="30"/>
    <n v="0"/>
  </r>
  <r>
    <n v="29"/>
    <x v="844"/>
    <x v="303"/>
    <n v="2"/>
    <n v="683"/>
    <x v="44"/>
    <x v="44"/>
    <n v="683"/>
    <s v="181609"/>
    <s v="Poltrona Magno"/>
    <x v="75"/>
    <n v="106"/>
    <n v="100"/>
  </r>
  <r>
    <n v="29"/>
    <x v="844"/>
    <x v="303"/>
    <n v="3"/>
    <n v="774"/>
    <x v="109"/>
    <x v="109"/>
    <n v="774"/>
    <s v="181696"/>
    <s v="Camarote 303"/>
    <x v="153"/>
    <n v="15"/>
    <n v="15"/>
  </r>
  <r>
    <n v="29"/>
    <x v="844"/>
    <x v="303"/>
    <n v="4"/>
    <n v="797"/>
    <x v="45"/>
    <x v="45"/>
    <n v="797"/>
    <s v="181723"/>
    <s v="REPISA DRESDE"/>
    <x v="155"/>
    <n v="105"/>
    <n v="0"/>
  </r>
  <r>
    <n v="29"/>
    <x v="844"/>
    <x v="303"/>
    <n v="5"/>
    <n v="828"/>
    <x v="83"/>
    <x v="83"/>
    <n v="828"/>
    <s v="181733"/>
    <s v="RESPALDO ELLE"/>
    <x v="154"/>
    <n v="16"/>
    <n v="0"/>
  </r>
  <r>
    <n v="29"/>
    <x v="844"/>
    <x v="303"/>
    <n v="6"/>
    <n v="799"/>
    <x v="84"/>
    <x v="84"/>
    <n v="799"/>
    <s v="181738"/>
    <s v="MESA DE CENTRO ROSTCK"/>
    <x v="152"/>
    <n v="860"/>
    <n v="0"/>
  </r>
  <r>
    <n v="29"/>
    <x v="844"/>
    <x v="303"/>
    <n v="7"/>
    <n v="800"/>
    <x v="85"/>
    <x v="85"/>
    <n v="800"/>
    <s v="181739"/>
    <s v="RACK CHEMNITZ"/>
    <x v="77"/>
    <n v="828"/>
    <n v="0"/>
  </r>
  <r>
    <n v="29"/>
    <x v="844"/>
    <x v="303"/>
    <n v="8"/>
    <n v="967"/>
    <x v="46"/>
    <x v="46"/>
    <n v="967"/>
    <s v="181935"/>
    <s v="Kit Cocina 80 Paula + Cubierta + Griferia"/>
    <x v="156"/>
    <n v="40"/>
    <n v="0"/>
  </r>
  <r>
    <n v="9"/>
    <x v="845"/>
    <x v="304"/>
    <n v="1"/>
    <n v="954"/>
    <x v="141"/>
    <x v="141"/>
    <n v="954"/>
    <s v="181873"/>
    <s v="Rack Jose"/>
    <x v="952"/>
    <n v="1"/>
    <n v="1"/>
  </r>
  <r>
    <n v="23"/>
    <x v="846"/>
    <x v="305"/>
    <n v="1"/>
    <n v="638"/>
    <x v="22"/>
    <x v="22"/>
    <n v="638"/>
    <s v="181551"/>
    <s v="Home Ipanema 1.80 "/>
    <x v="34"/>
    <n v="1"/>
    <n v="1"/>
  </r>
  <r>
    <n v="9"/>
    <x v="847"/>
    <x v="306"/>
    <n v="1"/>
    <n v="707"/>
    <x v="18"/>
    <x v="18"/>
    <n v="707"/>
    <s v="181633"/>
    <s v="Poltrona albi  "/>
    <x v="953"/>
    <n v="1"/>
    <n v="0"/>
  </r>
  <r>
    <n v="4"/>
    <x v="848"/>
    <x v="260"/>
    <n v="6"/>
    <n v="703"/>
    <x v="10"/>
    <x v="10"/>
    <n v="703"/>
    <s v="181629"/>
    <s v="Juego de comedor lauren 1+2+6"/>
    <x v="954"/>
    <n v="1"/>
    <n v="1"/>
  </r>
  <r>
    <n v="4"/>
    <x v="849"/>
    <x v="260"/>
    <n v="7"/>
    <n v="851"/>
    <x v="33"/>
    <x v="33"/>
    <n v="851"/>
    <s v="181792"/>
    <s v="Kit Cocina Palma + Counter"/>
    <x v="955"/>
    <n v="1"/>
    <n v="1"/>
  </r>
  <r>
    <n v="4"/>
    <x v="850"/>
    <x v="260"/>
    <n v="1"/>
    <n v="781"/>
    <x v="6"/>
    <x v="6"/>
    <n v="781"/>
    <s v="181660"/>
    <s v="COMEDOR TOLEDO 1+6"/>
    <x v="956"/>
    <n v="1"/>
    <n v="1"/>
  </r>
  <r>
    <n v="4"/>
    <x v="851"/>
    <x v="260"/>
    <n v="2"/>
    <n v="400"/>
    <x v="89"/>
    <x v="89"/>
    <n v="400"/>
    <s v="161008"/>
    <s v="Escritorio Fenix Artico"/>
    <x v="957"/>
    <n v="2"/>
    <n v="2"/>
  </r>
  <r>
    <n v="4"/>
    <x v="852"/>
    <x v="260"/>
    <n v="3"/>
    <n v="566"/>
    <x v="110"/>
    <x v="110"/>
    <n v="566"/>
    <s v="130272"/>
    <s v="Mesa lateral Nordico"/>
    <x v="958"/>
    <n v="1"/>
    <n v="1"/>
  </r>
  <r>
    <n v="4"/>
    <x v="853"/>
    <x v="307"/>
    <n v="3"/>
    <n v="13"/>
    <x v="13"/>
    <x v="13"/>
    <n v="13"/>
    <s v="110301"/>
    <s v="Bar de Canto Puerto Montt Tabaco"/>
    <x v="959"/>
    <n v="1"/>
    <n v="1"/>
  </r>
  <r>
    <n v="4"/>
    <x v="854"/>
    <x v="307"/>
    <n v="4"/>
    <n v="781"/>
    <x v="6"/>
    <x v="6"/>
    <n v="781"/>
    <s v="181660"/>
    <s v="COMEDOR TOLEDO 1+6"/>
    <x v="960"/>
    <n v="1"/>
    <n v="1"/>
  </r>
  <r>
    <n v="4"/>
    <x v="855"/>
    <x v="307"/>
    <n v="1"/>
    <n v="400"/>
    <x v="89"/>
    <x v="89"/>
    <n v="400"/>
    <s v="161008"/>
    <s v="Escritorio Fenix Artico"/>
    <x v="961"/>
    <n v="1"/>
    <n v="1"/>
  </r>
  <r>
    <n v="4"/>
    <x v="856"/>
    <x v="307"/>
    <n v="2"/>
    <n v="501"/>
    <x v="5"/>
    <x v="5"/>
    <n v="501"/>
    <s v="170782"/>
    <s v="Rack atacama pt mad castaño 160295"/>
    <x v="962"/>
    <n v="1"/>
    <n v="1"/>
  </r>
  <r>
    <n v="6"/>
    <x v="857"/>
    <x v="308"/>
    <n v="2"/>
    <n v="584"/>
    <x v="96"/>
    <x v="96"/>
    <n v="584"/>
    <s v="130290"/>
    <s v="Rack New Montana bco"/>
    <x v="963"/>
    <n v="1"/>
    <n v="1"/>
  </r>
  <r>
    <n v="6"/>
    <x v="858"/>
    <x v="308"/>
    <n v="1"/>
    <n v="937"/>
    <x v="155"/>
    <x v="155"/>
    <n v="937"/>
    <s v="181837"/>
    <s v="Rack Jeri"/>
    <x v="964"/>
    <n v="1"/>
    <n v="1"/>
  </r>
  <r>
    <n v="5"/>
    <x v="859"/>
    <x v="309"/>
    <n v="1"/>
    <n v="347"/>
    <x v="40"/>
    <x v="40"/>
    <n v="347"/>
    <s v="160116"/>
    <s v="Mesa de Centro Classic rustico malbec"/>
    <x v="34"/>
    <n v="1"/>
    <n v="1"/>
  </r>
  <r>
    <n v="9"/>
    <x v="860"/>
    <x v="310"/>
    <n v="1"/>
    <n v="906"/>
    <x v="16"/>
    <x v="16"/>
    <n v="906"/>
    <s v="181894"/>
    <s v="Cristalera New Vina"/>
    <x v="965"/>
    <n v="1"/>
    <n v="1"/>
  </r>
  <r>
    <n v="9"/>
    <x v="861"/>
    <x v="311"/>
    <n v="1"/>
    <n v="641"/>
    <x v="20"/>
    <x v="20"/>
    <n v="641"/>
    <s v="181554"/>
    <s v="Mesa Para TV Puerto Rico"/>
    <x v="966"/>
    <n v="1"/>
    <n v="1"/>
  </r>
  <r>
    <n v="9"/>
    <x v="862"/>
    <x v="311"/>
    <n v="2"/>
    <n v="970"/>
    <x v="0"/>
    <x v="0"/>
    <n v="506"/>
    <s v="120023"/>
    <s v="Estante Aruba"/>
    <x v="967"/>
    <n v="1"/>
    <n v="1"/>
  </r>
  <r>
    <n v="9"/>
    <x v="863"/>
    <x v="311"/>
    <n v="3"/>
    <n v="638"/>
    <x v="22"/>
    <x v="22"/>
    <n v="638"/>
    <s v="181551"/>
    <s v="Home Ipanema 1.80 "/>
    <x v="968"/>
    <n v="1"/>
    <n v="1"/>
  </r>
  <r>
    <n v="9"/>
    <x v="861"/>
    <x v="312"/>
    <n v="1"/>
    <n v="641"/>
    <x v="20"/>
    <x v="20"/>
    <n v="641"/>
    <s v="181554"/>
    <s v="Mesa Para TV Puerto Rico"/>
    <x v="969"/>
    <n v="1"/>
    <n v="1"/>
  </r>
  <r>
    <n v="9"/>
    <x v="864"/>
    <x v="312"/>
    <n v="2"/>
    <n v="13"/>
    <x v="13"/>
    <x v="13"/>
    <n v="13"/>
    <s v="110301"/>
    <s v="Bar de Canto Puerto Montt Tabaco"/>
    <x v="970"/>
    <n v="1"/>
    <n v="1"/>
  </r>
  <r>
    <n v="9"/>
    <x v="864"/>
    <x v="312"/>
    <n v="3"/>
    <n v="13"/>
    <x v="13"/>
    <x v="13"/>
    <n v="13"/>
    <s v="110301"/>
    <s v="Bar de Canto Puerto Montt Tabaco"/>
    <x v="971"/>
    <n v="1"/>
    <n v="1"/>
  </r>
  <r>
    <n v="24"/>
    <x v="865"/>
    <x v="313"/>
    <n v="2"/>
    <n v="382"/>
    <x v="50"/>
    <x v="50"/>
    <n v="382"/>
    <s v="165690"/>
    <s v="Cocina Flavia teka - brown"/>
    <x v="972"/>
    <n v="1"/>
    <n v="1"/>
  </r>
  <r>
    <n v="24"/>
    <x v="866"/>
    <x v="313"/>
    <n v="1"/>
    <n v="382"/>
    <x v="50"/>
    <x v="50"/>
    <n v="382"/>
    <s v="165690"/>
    <s v="Cocina Flavia teka - brown"/>
    <x v="973"/>
    <n v="1"/>
    <n v="1"/>
  </r>
  <r>
    <n v="2"/>
    <x v="867"/>
    <x v="314"/>
    <n v="1"/>
    <n v="708"/>
    <x v="178"/>
    <x v="178"/>
    <n v="708"/>
    <s v="181634"/>
    <s v="Mesa de centro niza 1"/>
    <x v="974"/>
    <n v="1"/>
    <n v="1"/>
  </r>
  <r>
    <n v="2"/>
    <x v="868"/>
    <x v="314"/>
    <n v="2"/>
    <n v="639"/>
    <x v="15"/>
    <x v="15"/>
    <n v="639"/>
    <s v="181552"/>
    <s v="Home Lara 1.35 "/>
    <x v="975"/>
    <n v="1"/>
    <n v="1"/>
  </r>
  <r>
    <n v="5"/>
    <x v="869"/>
    <x v="315"/>
    <n v="1"/>
    <n v="101"/>
    <x v="51"/>
    <x v="51"/>
    <n v="101"/>
    <s v="165503"/>
    <s v="Mueble Organizador Sinop Blanco"/>
    <x v="34"/>
    <n v="5"/>
    <n v="5"/>
  </r>
  <r>
    <n v="5"/>
    <x v="869"/>
    <x v="315"/>
    <n v="2"/>
    <n v="490"/>
    <x v="53"/>
    <x v="53"/>
    <n v="490"/>
    <s v="165524"/>
    <s v="Gabinete Guardaropa Ref: 3004 Bco"/>
    <x v="34"/>
    <n v="5"/>
    <n v="0"/>
  </r>
  <r>
    <n v="5"/>
    <x v="869"/>
    <x v="315"/>
    <n v="3"/>
    <n v="493"/>
    <x v="55"/>
    <x v="55"/>
    <n v="493"/>
    <s v="165527"/>
    <s v="Armario Organizador Limeira Ref: 3266 Bco"/>
    <x v="34"/>
    <n v="5"/>
    <n v="5"/>
  </r>
  <r>
    <n v="5"/>
    <x v="869"/>
    <x v="315"/>
    <n v="4"/>
    <n v="494"/>
    <x v="56"/>
    <x v="56"/>
    <n v="494"/>
    <s v="165528"/>
    <s v="Armario Aereo Ref: 3003 Bco"/>
    <x v="34"/>
    <n v="5"/>
    <n v="5"/>
  </r>
  <r>
    <n v="5"/>
    <x v="869"/>
    <x v="315"/>
    <n v="5"/>
    <n v="43"/>
    <x v="64"/>
    <x v="64"/>
    <n v="43"/>
    <s v="165639"/>
    <s v="Cocina Sheila + balcon sheila bco/griz"/>
    <x v="34"/>
    <n v="10"/>
    <n v="10"/>
  </r>
  <r>
    <n v="5"/>
    <x v="869"/>
    <x v="315"/>
    <n v="6"/>
    <n v="743"/>
    <x v="206"/>
    <x v="206"/>
    <n v="743"/>
    <s v="181684"/>
    <s v="Cocina Milan (New Arezzo)"/>
    <x v="34"/>
    <n v="10"/>
    <n v="10"/>
  </r>
  <r>
    <n v="3"/>
    <x v="204"/>
    <x v="316"/>
    <n v="1"/>
    <n v="970"/>
    <x v="0"/>
    <x v="0"/>
    <n v="506"/>
    <s v="120023"/>
    <s v="Estante Aruba"/>
    <x v="246"/>
    <n v="1"/>
    <n v="1"/>
  </r>
  <r>
    <n v="4"/>
    <x v="870"/>
    <x v="317"/>
    <n v="1"/>
    <n v="708"/>
    <x v="178"/>
    <x v="178"/>
    <n v="708"/>
    <s v="181634"/>
    <s v="Mesa de centro niza 1"/>
    <x v="976"/>
    <n v="1"/>
    <n v="1"/>
  </r>
  <r>
    <n v="4"/>
    <x v="234"/>
    <x v="318"/>
    <n v="1"/>
    <n v="700"/>
    <x v="67"/>
    <x v="67"/>
    <n v="700"/>
    <s v="181626"/>
    <s v="Comedor francia 6+1"/>
    <x v="291"/>
    <n v="1"/>
    <n v="1"/>
  </r>
  <r>
    <n v="4"/>
    <x v="871"/>
    <x v="319"/>
    <n v="6"/>
    <n v="13"/>
    <x v="13"/>
    <x v="13"/>
    <n v="13"/>
    <s v="110301"/>
    <s v="Bar de Canto Puerto Montt Tabaco"/>
    <x v="977"/>
    <n v="1"/>
    <n v="1"/>
  </r>
  <r>
    <n v="4"/>
    <x v="872"/>
    <x v="319"/>
    <n v="7"/>
    <n v="702"/>
    <x v="26"/>
    <x v="26"/>
    <n v="702"/>
    <s v="181628"/>
    <s v="Juego de 2 andres  1+4"/>
    <x v="978"/>
    <n v="1"/>
    <n v="1"/>
  </r>
  <r>
    <n v="4"/>
    <x v="873"/>
    <x v="319"/>
    <n v="8"/>
    <n v="781"/>
    <x v="6"/>
    <x v="6"/>
    <n v="781"/>
    <s v="181660"/>
    <s v="COMEDOR TOLEDO 1+6"/>
    <x v="979"/>
    <n v="1"/>
    <n v="1"/>
  </r>
  <r>
    <n v="4"/>
    <x v="874"/>
    <x v="319"/>
    <n v="9"/>
    <n v="403"/>
    <x v="27"/>
    <x v="27"/>
    <n v="403"/>
    <s v="161011"/>
    <s v="Escritorio Curitiba artico"/>
    <x v="980"/>
    <n v="1"/>
    <n v="1"/>
  </r>
  <r>
    <n v="4"/>
    <x v="875"/>
    <x v="319"/>
    <n v="10"/>
    <n v="13"/>
    <x v="13"/>
    <x v="13"/>
    <n v="13"/>
    <s v="110301"/>
    <s v="Bar de Canto Puerto Montt Tabaco"/>
    <x v="981"/>
    <n v="1"/>
    <n v="1"/>
  </r>
  <r>
    <n v="4"/>
    <x v="876"/>
    <x v="319"/>
    <n v="3"/>
    <n v="13"/>
    <x v="13"/>
    <x v="13"/>
    <n v="13"/>
    <s v="110301"/>
    <s v="Bar de Canto Puerto Montt Tabaco"/>
    <x v="982"/>
    <n v="1"/>
    <n v="1"/>
  </r>
  <r>
    <n v="3"/>
    <x v="506"/>
    <x v="266"/>
    <n v="14"/>
    <n v="409"/>
    <x v="47"/>
    <x v="47"/>
    <n v="409"/>
    <s v="120011"/>
    <s v="Home Roma "/>
    <x v="983"/>
    <n v="1"/>
    <n v="1"/>
  </r>
  <r>
    <n v="3"/>
    <x v="510"/>
    <x v="266"/>
    <n v="1"/>
    <n v="13"/>
    <x v="13"/>
    <x v="13"/>
    <n v="13"/>
    <s v="110301"/>
    <s v="Bar de Canto Puerto Montt Tabaco"/>
    <x v="984"/>
    <n v="1"/>
    <n v="1"/>
  </r>
  <r>
    <n v="3"/>
    <x v="510"/>
    <x v="266"/>
    <n v="9"/>
    <n v="13"/>
    <x v="13"/>
    <x v="13"/>
    <n v="13"/>
    <s v="110301"/>
    <s v="Bar de Canto Puerto Montt Tabaco"/>
    <x v="985"/>
    <n v="1"/>
    <n v="1"/>
  </r>
  <r>
    <n v="3"/>
    <x v="510"/>
    <x v="266"/>
    <n v="10"/>
    <n v="970"/>
    <x v="0"/>
    <x v="0"/>
    <n v="506"/>
    <s v="120023"/>
    <s v="Estante Aruba"/>
    <x v="986"/>
    <n v="1"/>
    <n v="1"/>
  </r>
  <r>
    <n v="3"/>
    <x v="511"/>
    <x v="266"/>
    <n v="2"/>
    <n v="970"/>
    <x v="0"/>
    <x v="0"/>
    <n v="506"/>
    <s v="120023"/>
    <s v="Estante Aruba"/>
    <x v="987"/>
    <n v="1"/>
    <n v="1"/>
  </r>
  <r>
    <n v="3"/>
    <x v="511"/>
    <x v="266"/>
    <n v="3"/>
    <n v="970"/>
    <x v="0"/>
    <x v="0"/>
    <n v="506"/>
    <s v="120023"/>
    <s v="Estante Aruba"/>
    <x v="988"/>
    <n v="1"/>
    <n v="1"/>
  </r>
  <r>
    <n v="3"/>
    <x v="511"/>
    <x v="266"/>
    <n v="4"/>
    <n v="680"/>
    <x v="116"/>
    <x v="116"/>
    <n v="680"/>
    <s v="181600"/>
    <s v="Estante Cristal"/>
    <x v="849"/>
    <n v="1"/>
    <n v="1"/>
  </r>
  <r>
    <n v="3"/>
    <x v="511"/>
    <x v="266"/>
    <n v="11"/>
    <n v="970"/>
    <x v="0"/>
    <x v="0"/>
    <n v="506"/>
    <s v="120023"/>
    <s v="Estante Aruba"/>
    <x v="989"/>
    <n v="1"/>
    <n v="1"/>
  </r>
  <r>
    <n v="3"/>
    <x v="511"/>
    <x v="266"/>
    <n v="15"/>
    <n v="970"/>
    <x v="0"/>
    <x v="0"/>
    <n v="506"/>
    <s v="120023"/>
    <s v="Estante Aruba"/>
    <x v="990"/>
    <n v="1"/>
    <n v="1"/>
  </r>
  <r>
    <n v="29"/>
    <x v="877"/>
    <x v="320"/>
    <n v="1"/>
    <n v="683"/>
    <x v="44"/>
    <x v="44"/>
    <n v="683"/>
    <s v="181609"/>
    <s v="Poltrona Magno"/>
    <x v="75"/>
    <n v="6"/>
    <n v="6"/>
  </r>
  <r>
    <n v="5"/>
    <x v="878"/>
    <x v="321"/>
    <n v="1"/>
    <n v="401"/>
    <x v="21"/>
    <x v="21"/>
    <n v="401"/>
    <s v="161009"/>
    <s v="Escritorio Olimpia aberto - artico"/>
    <x v="34"/>
    <n v="1"/>
    <n v="1"/>
  </r>
  <r>
    <n v="5"/>
    <x v="879"/>
    <x v="321"/>
    <n v="3"/>
    <n v="400"/>
    <x v="89"/>
    <x v="89"/>
    <n v="400"/>
    <s v="161008"/>
    <s v="Escritorio Fenix Artico"/>
    <x v="34"/>
    <n v="1"/>
    <n v="1"/>
  </r>
  <r>
    <n v="5"/>
    <x v="880"/>
    <x v="321"/>
    <n v="2"/>
    <n v="892"/>
    <x v="25"/>
    <x v="25"/>
    <n v="746"/>
    <s v="181662"/>
    <s v="Respaldo Monaco"/>
    <x v="34"/>
    <n v="1"/>
    <n v="1"/>
  </r>
  <r>
    <n v="5"/>
    <x v="881"/>
    <x v="321"/>
    <n v="4"/>
    <n v="922"/>
    <x v="214"/>
    <x v="214"/>
    <n v="922"/>
    <s v="181897"/>
    <s v="Kit Criss (kit Priss)"/>
    <x v="34"/>
    <n v="1"/>
    <n v="0"/>
  </r>
  <r>
    <n v="2"/>
    <x v="882"/>
    <x v="322"/>
    <n v="4"/>
    <n v="700"/>
    <x v="67"/>
    <x v="67"/>
    <n v="700"/>
    <s v="181626"/>
    <s v="Comedor francia 6+1"/>
    <x v="991"/>
    <n v="1"/>
    <n v="1"/>
  </r>
  <r>
    <n v="2"/>
    <x v="883"/>
    <x v="322"/>
    <n v="5"/>
    <n v="403"/>
    <x v="27"/>
    <x v="27"/>
    <n v="403"/>
    <s v="161011"/>
    <s v="Escritorio Curitiba artico"/>
    <x v="992"/>
    <n v="1"/>
    <n v="1"/>
  </r>
  <r>
    <n v="2"/>
    <x v="884"/>
    <x v="322"/>
    <n v="6"/>
    <n v="498"/>
    <x v="41"/>
    <x v="41"/>
    <n v="498"/>
    <s v="160121"/>
    <s v="Mesa de centro pt mad Cataño 160389"/>
    <x v="993"/>
    <n v="1"/>
    <n v="1"/>
  </r>
  <r>
    <n v="2"/>
    <x v="885"/>
    <x v="322"/>
    <n v="7"/>
    <n v="970"/>
    <x v="0"/>
    <x v="0"/>
    <n v="506"/>
    <s v="120023"/>
    <s v="Estante Aruba"/>
    <x v="994"/>
    <n v="1"/>
    <n v="1"/>
  </r>
  <r>
    <n v="2"/>
    <x v="886"/>
    <x v="322"/>
    <n v="1"/>
    <n v="403"/>
    <x v="27"/>
    <x v="27"/>
    <n v="403"/>
    <s v="161011"/>
    <s v="Escritorio Curitiba artico"/>
    <x v="995"/>
    <n v="1"/>
    <n v="1"/>
  </r>
  <r>
    <n v="2"/>
    <x v="887"/>
    <x v="322"/>
    <n v="2"/>
    <n v="970"/>
    <x v="0"/>
    <x v="0"/>
    <n v="506"/>
    <s v="120023"/>
    <s v="Estante Aruba"/>
    <x v="996"/>
    <n v="1"/>
    <n v="1"/>
  </r>
  <r>
    <n v="2"/>
    <x v="888"/>
    <x v="322"/>
    <n v="3"/>
    <n v="680"/>
    <x v="116"/>
    <x v="116"/>
    <n v="680"/>
    <s v="181600"/>
    <s v="Estante Cristal"/>
    <x v="997"/>
    <n v="1"/>
    <n v="1"/>
  </r>
  <r>
    <n v="29"/>
    <x v="889"/>
    <x v="323"/>
    <n v="4"/>
    <n v="854"/>
    <x v="160"/>
    <x v="160"/>
    <n v="854"/>
    <s v="181706"/>
    <s v="BUFFET 2 PTAS. 3 CAJONES FLORENCE"/>
    <x v="998"/>
    <n v="1"/>
    <n v="1"/>
  </r>
  <r>
    <n v="29"/>
    <x v="890"/>
    <x v="323"/>
    <n v="1"/>
    <n v="829"/>
    <x v="68"/>
    <x v="68"/>
    <n v="829"/>
    <s v="181708"/>
    <s v="ZAPATERA TRIPLE FICUS"/>
    <x v="999"/>
    <n v="1"/>
    <n v="1"/>
  </r>
  <r>
    <n v="29"/>
    <x v="891"/>
    <x v="323"/>
    <n v="2"/>
    <n v="849"/>
    <x v="42"/>
    <x v="42"/>
    <n v="849"/>
    <s v="181794"/>
    <s v="Gabinete Burgos"/>
    <x v="1000"/>
    <n v="1"/>
    <n v="1"/>
  </r>
  <r>
    <n v="29"/>
    <x v="892"/>
    <x v="323"/>
    <n v="3"/>
    <n v="849"/>
    <x v="42"/>
    <x v="42"/>
    <n v="849"/>
    <s v="181794"/>
    <s v="Gabinete Burgos"/>
    <x v="1001"/>
    <n v="1"/>
    <n v="1"/>
  </r>
  <r>
    <n v="8"/>
    <x v="893"/>
    <x v="324"/>
    <n v="1"/>
    <n v="182"/>
    <x v="72"/>
    <x v="72"/>
    <n v="182"/>
    <s v="161007"/>
    <s v="Escritorio Malta 2 cajones 1171"/>
    <x v="1002"/>
    <n v="10"/>
    <n v="10"/>
  </r>
  <r>
    <n v="8"/>
    <x v="893"/>
    <x v="324"/>
    <n v="2"/>
    <n v="713"/>
    <x v="130"/>
    <x v="130"/>
    <n v="713"/>
    <s v="181639"/>
    <s v="kit Fit 120"/>
    <x v="1003"/>
    <n v="10"/>
    <n v="10"/>
  </r>
  <r>
    <n v="8"/>
    <x v="893"/>
    <x v="324"/>
    <n v="3"/>
    <n v="714"/>
    <x v="28"/>
    <x v="28"/>
    <n v="714"/>
    <s v="181640"/>
    <s v="Kit Magazin 120"/>
    <x v="1004"/>
    <n v="10"/>
    <n v="10"/>
  </r>
  <r>
    <n v="8"/>
    <x v="893"/>
    <x v="324"/>
    <n v="4"/>
    <n v="766"/>
    <x v="215"/>
    <x v="215"/>
    <n v="766"/>
    <s v="181677"/>
    <s v="Set respaldo + 2 veladores  Marcia(New Bento)"/>
    <x v="1005"/>
    <n v="4"/>
    <n v="0"/>
  </r>
  <r>
    <n v="8"/>
    <x v="893"/>
    <x v="324"/>
    <n v="5"/>
    <n v="882"/>
    <x v="216"/>
    <x v="216"/>
    <n v="882"/>
    <s v="181772"/>
    <s v="Autoservicio Balli"/>
    <x v="1006"/>
    <n v="20"/>
    <n v="20"/>
  </r>
  <r>
    <n v="8"/>
    <x v="893"/>
    <x v="324"/>
    <n v="6"/>
    <n v="853"/>
    <x v="107"/>
    <x v="107"/>
    <n v="853"/>
    <s v="181777"/>
    <s v="Cabinet Single Isis"/>
    <x v="1007"/>
    <n v="10"/>
    <n v="8"/>
  </r>
  <r>
    <n v="8"/>
    <x v="893"/>
    <x v="324"/>
    <n v="7"/>
    <n v="855"/>
    <x v="208"/>
    <x v="208"/>
    <n v="855"/>
    <s v="181795"/>
    <s v="Tabla de Planchar Murcia"/>
    <x v="1008"/>
    <n v="12"/>
    <n v="12"/>
  </r>
  <r>
    <n v="8"/>
    <x v="893"/>
    <x v="324"/>
    <n v="8"/>
    <n v="895"/>
    <x v="38"/>
    <x v="38"/>
    <n v="895"/>
    <s v="181812"/>
    <s v="RACK ART"/>
    <x v="1009"/>
    <n v="5"/>
    <n v="5"/>
  </r>
  <r>
    <n v="8"/>
    <x v="893"/>
    <x v="324"/>
    <n v="9"/>
    <n v="886"/>
    <x v="151"/>
    <x v="151"/>
    <n v="886"/>
    <s v="181813"/>
    <s v="Rack Kemi"/>
    <x v="1010"/>
    <n v="10"/>
    <n v="10"/>
  </r>
  <r>
    <n v="8"/>
    <x v="893"/>
    <x v="324"/>
    <n v="10"/>
    <n v="900"/>
    <x v="133"/>
    <x v="133"/>
    <n v="900"/>
    <s v="181863"/>
    <s v="Arrimo Miró"/>
    <x v="1011"/>
    <n v="5"/>
    <n v="0"/>
  </r>
  <r>
    <n v="8"/>
    <x v="893"/>
    <x v="324"/>
    <n v="11"/>
    <n v="901"/>
    <x v="134"/>
    <x v="134"/>
    <n v="901"/>
    <s v="181864"/>
    <s v="Mesa de centro Miró (Monet)"/>
    <x v="1012"/>
    <n v="5"/>
    <n v="0"/>
  </r>
  <r>
    <n v="7"/>
    <x v="894"/>
    <x v="325"/>
    <n v="1"/>
    <n v="534"/>
    <x v="24"/>
    <x v="24"/>
    <n v="534"/>
    <s v="175118"/>
    <s v="Respaldo Oregon 2plz + 2 veladores"/>
    <x v="34"/>
    <n v="100"/>
    <n v="100"/>
  </r>
  <r>
    <n v="4"/>
    <x v="895"/>
    <x v="326"/>
    <n v="2"/>
    <n v="13"/>
    <x v="13"/>
    <x v="13"/>
    <n v="13"/>
    <s v="110301"/>
    <s v="Bar de Canto Puerto Montt Tabaco"/>
    <x v="1013"/>
    <n v="1"/>
    <n v="1"/>
  </r>
  <r>
    <n v="4"/>
    <x v="896"/>
    <x v="326"/>
    <n v="1"/>
    <n v="686"/>
    <x v="34"/>
    <x v="34"/>
    <n v="686"/>
    <s v="181612"/>
    <s v="Poltrona Lennon"/>
    <x v="1014"/>
    <n v="2"/>
    <n v="2"/>
  </r>
  <r>
    <n v="1"/>
    <x v="897"/>
    <x v="327"/>
    <n v="1"/>
    <n v="878"/>
    <x v="77"/>
    <x v="77"/>
    <n v="362"/>
    <s v="170778"/>
    <s v="Rack Arterra rov tx - rov tx 52080"/>
    <x v="75"/>
    <n v="52"/>
    <n v="52"/>
  </r>
  <r>
    <n v="1"/>
    <x v="897"/>
    <x v="327"/>
    <n v="2"/>
    <n v="616"/>
    <x v="164"/>
    <x v="164"/>
    <n v="616"/>
    <s v="181529"/>
    <s v="Lavaplatos 80 Derecho C/Reb Blanco Notavel"/>
    <x v="76"/>
    <n v="24"/>
    <n v="24"/>
  </r>
  <r>
    <n v="1"/>
    <x v="897"/>
    <x v="327"/>
    <n v="3"/>
    <n v="617"/>
    <x v="78"/>
    <x v="78"/>
    <n v="617"/>
    <s v="181530"/>
    <s v="Lavaplatos 80 Izquierdo C/Reb Blanco Notavel"/>
    <x v="77"/>
    <n v="12"/>
    <n v="12"/>
  </r>
  <r>
    <n v="4"/>
    <x v="898"/>
    <x v="328"/>
    <n v="4"/>
    <n v="704"/>
    <x v="12"/>
    <x v="12"/>
    <n v="704"/>
    <s v="181630"/>
    <s v="Juego de comedor sofia 1+6"/>
    <x v="1015"/>
    <n v="1"/>
    <n v="1"/>
  </r>
  <r>
    <n v="4"/>
    <x v="899"/>
    <x v="328"/>
    <n v="5"/>
    <n v="632"/>
    <x v="75"/>
    <x v="75"/>
    <n v="632"/>
    <s v="181545A"/>
    <s v="Respaldo Celaya"/>
    <x v="1016"/>
    <n v="1"/>
    <n v="1"/>
  </r>
  <r>
    <n v="4"/>
    <x v="900"/>
    <x v="328"/>
    <n v="3"/>
    <n v="700"/>
    <x v="67"/>
    <x v="67"/>
    <n v="700"/>
    <s v="181626"/>
    <s v="Comedor francia 6+1"/>
    <x v="1017"/>
    <n v="1"/>
    <n v="1"/>
  </r>
  <r>
    <n v="4"/>
    <x v="901"/>
    <x v="328"/>
    <n v="2"/>
    <n v="714"/>
    <x v="28"/>
    <x v="28"/>
    <n v="714"/>
    <s v="181640"/>
    <s v="Kit Magazin 120"/>
    <x v="1018"/>
    <n v="1"/>
    <n v="1"/>
  </r>
  <r>
    <n v="4"/>
    <x v="902"/>
    <x v="328"/>
    <n v="1"/>
    <n v="401"/>
    <x v="21"/>
    <x v="21"/>
    <n v="401"/>
    <s v="161009"/>
    <s v="Escritorio Olimpia aberto - artico"/>
    <x v="1019"/>
    <n v="1"/>
    <n v="1"/>
  </r>
  <r>
    <n v="8"/>
    <x v="903"/>
    <x v="329"/>
    <n v="6"/>
    <n v="632"/>
    <x v="75"/>
    <x v="75"/>
    <n v="632"/>
    <s v="181545A"/>
    <s v="Respaldo Celaya"/>
    <x v="150"/>
    <n v="1"/>
    <n v="1"/>
  </r>
  <r>
    <n v="8"/>
    <x v="904"/>
    <x v="329"/>
    <n v="4"/>
    <n v="735"/>
    <x v="62"/>
    <x v="62"/>
    <n v="735"/>
    <s v="181666"/>
    <s v="COMODA 5 CAJONES GLADYS (PILAR)"/>
    <x v="335"/>
    <n v="1"/>
    <n v="1"/>
  </r>
  <r>
    <n v="8"/>
    <x v="905"/>
    <x v="329"/>
    <n v="2"/>
    <n v="711"/>
    <x v="29"/>
    <x v="29"/>
    <n v="711"/>
    <s v="181637"/>
    <s v="Closet Rubi 12 ptas, 3 cajones"/>
    <x v="1020"/>
    <n v="1"/>
    <n v="1"/>
  </r>
  <r>
    <n v="8"/>
    <x v="906"/>
    <x v="329"/>
    <n v="3"/>
    <n v="584"/>
    <x v="96"/>
    <x v="96"/>
    <n v="584"/>
    <s v="130290"/>
    <s v="Rack New Montana bco"/>
    <x v="1021"/>
    <n v="1"/>
    <n v="1"/>
  </r>
  <r>
    <n v="8"/>
    <x v="907"/>
    <x v="329"/>
    <n v="1"/>
    <n v="181"/>
    <x v="76"/>
    <x v="76"/>
    <n v="181"/>
    <s v="161006"/>
    <s v="Escritorio Lindoia artico/turquesa 1194"/>
    <x v="1022"/>
    <n v="2"/>
    <n v="2"/>
  </r>
  <r>
    <n v="8"/>
    <x v="908"/>
    <x v="329"/>
    <n v="5"/>
    <n v="584"/>
    <x v="96"/>
    <x v="96"/>
    <n v="584"/>
    <s v="130290"/>
    <s v="Rack New Montana bco"/>
    <x v="1021"/>
    <n v="1"/>
    <n v="1"/>
  </r>
  <r>
    <n v="6"/>
    <x v="909"/>
    <x v="330"/>
    <n v="11"/>
    <n v="382"/>
    <x v="50"/>
    <x v="50"/>
    <n v="382"/>
    <s v="165690"/>
    <s v="Cocina Flavia teka - brown"/>
    <x v="1023"/>
    <n v="1"/>
    <n v="1"/>
  </r>
  <r>
    <n v="6"/>
    <x v="910"/>
    <x v="330"/>
    <n v="12"/>
    <n v="584"/>
    <x v="96"/>
    <x v="96"/>
    <n v="584"/>
    <s v="130290"/>
    <s v="Rack New Montana bco"/>
    <x v="1024"/>
    <n v="1"/>
    <n v="1"/>
  </r>
  <r>
    <n v="6"/>
    <x v="911"/>
    <x v="330"/>
    <n v="13"/>
    <n v="451"/>
    <x v="173"/>
    <x v="173"/>
    <n v="451"/>
    <s v="140670"/>
    <s v="Cooda Imperio 2C+3Cref.: 761"/>
    <x v="1025"/>
    <n v="1"/>
    <n v="1"/>
  </r>
  <r>
    <n v="6"/>
    <x v="912"/>
    <x v="330"/>
    <n v="6"/>
    <n v="893"/>
    <x v="35"/>
    <x v="35"/>
    <n v="893"/>
    <s v="181810"/>
    <s v="Rack Recife"/>
    <x v="1026"/>
    <n v="1"/>
    <n v="1"/>
  </r>
  <r>
    <n v="6"/>
    <x v="913"/>
    <x v="330"/>
    <n v="7"/>
    <n v="179"/>
    <x v="7"/>
    <x v="7"/>
    <n v="179"/>
    <s v="161004"/>
    <s v="Escritorio Nazca artico 1215"/>
    <x v="1027"/>
    <n v="1"/>
    <n v="1"/>
  </r>
  <r>
    <n v="6"/>
    <x v="914"/>
    <x v="330"/>
    <n v="8"/>
    <n v="584"/>
    <x v="96"/>
    <x v="96"/>
    <n v="584"/>
    <s v="130290"/>
    <s v="Rack New Montana bco"/>
    <x v="1028"/>
    <n v="1"/>
    <n v="1"/>
  </r>
  <r>
    <n v="6"/>
    <x v="915"/>
    <x v="330"/>
    <n v="9"/>
    <n v="534"/>
    <x v="24"/>
    <x v="24"/>
    <n v="534"/>
    <s v="175118"/>
    <s v="Respaldo Oregon 2plz + 2 veladores"/>
    <x v="1029"/>
    <n v="1"/>
    <n v="1"/>
  </r>
  <r>
    <n v="6"/>
    <x v="916"/>
    <x v="330"/>
    <n v="10"/>
    <n v="632"/>
    <x v="75"/>
    <x v="75"/>
    <n v="632"/>
    <s v="181545A"/>
    <s v="Respaldo Celaya"/>
    <x v="1030"/>
    <n v="1"/>
    <n v="1"/>
  </r>
  <r>
    <n v="6"/>
    <x v="917"/>
    <x v="330"/>
    <n v="1"/>
    <n v="872"/>
    <x v="217"/>
    <x v="217"/>
    <n v="872"/>
    <s v="181816"/>
    <s v="Poltrona Rebeca 2 cuerpos"/>
    <x v="1031"/>
    <n v="1"/>
    <n v="1"/>
  </r>
  <r>
    <n v="6"/>
    <x v="918"/>
    <x v="330"/>
    <n v="2"/>
    <n v="883"/>
    <x v="218"/>
    <x v="218"/>
    <n v="883"/>
    <s v="181773"/>
    <s v="Autoservicio Agatha"/>
    <x v="1032"/>
    <n v="1"/>
    <n v="1"/>
  </r>
  <r>
    <n v="6"/>
    <x v="919"/>
    <x v="330"/>
    <n v="3"/>
    <n v="402"/>
    <x v="32"/>
    <x v="32"/>
    <n v="402"/>
    <s v="161010"/>
    <s v="Escritorio Cali artico"/>
    <x v="1033"/>
    <n v="1"/>
    <n v="1"/>
  </r>
  <r>
    <n v="6"/>
    <x v="920"/>
    <x v="330"/>
    <n v="4"/>
    <n v="787"/>
    <x v="99"/>
    <x v="99"/>
    <n v="787"/>
    <s v="181697"/>
    <s v="RESPALDO SINAI (UN REGRUESO A LO LARGO)"/>
    <x v="1034"/>
    <n v="1"/>
    <n v="1"/>
  </r>
  <r>
    <n v="6"/>
    <x v="921"/>
    <x v="330"/>
    <n v="5"/>
    <n v="489"/>
    <x v="52"/>
    <x v="52"/>
    <n v="489"/>
    <s v="165523"/>
    <s v="Armario Aereo Canela Ref: 3468 Blanco"/>
    <x v="1035"/>
    <n v="1"/>
    <n v="1"/>
  </r>
  <r>
    <n v="6"/>
    <x v="922"/>
    <x v="331"/>
    <n v="2"/>
    <n v="638"/>
    <x v="22"/>
    <x v="22"/>
    <n v="638"/>
    <s v="181551"/>
    <s v="Home Ipanema 1.80 "/>
    <x v="1036"/>
    <n v="1"/>
    <n v="1"/>
  </r>
  <r>
    <n v="6"/>
    <x v="923"/>
    <x v="331"/>
    <n v="1"/>
    <n v="871"/>
    <x v="95"/>
    <x v="95"/>
    <n v="871"/>
    <s v="181815"/>
    <s v="Poltrona Roxana 1 cuerpo"/>
    <x v="1037"/>
    <n v="1"/>
    <n v="1"/>
  </r>
  <r>
    <n v="9"/>
    <x v="924"/>
    <x v="332"/>
    <n v="1"/>
    <n v="905"/>
    <x v="39"/>
    <x v="39"/>
    <n v="905"/>
    <s v="181876"/>
    <s v="RACK STAR (QUARTZ)"/>
    <x v="1038"/>
    <n v="1"/>
    <n v="1"/>
  </r>
  <r>
    <n v="9"/>
    <x v="925"/>
    <x v="333"/>
    <n v="1"/>
    <n v="905"/>
    <x v="39"/>
    <x v="39"/>
    <n v="905"/>
    <s v="181876"/>
    <s v="RACK STAR (QUARTZ)"/>
    <x v="1039"/>
    <n v="1"/>
    <n v="1"/>
  </r>
  <r>
    <n v="9"/>
    <x v="523"/>
    <x v="334"/>
    <n v="14"/>
    <n v="13"/>
    <x v="13"/>
    <x v="13"/>
    <n v="13"/>
    <s v="110301"/>
    <s v="Bar de Canto Puerto Montt Tabaco"/>
    <x v="1040"/>
    <n v="1"/>
    <n v="1"/>
  </r>
  <r>
    <n v="9"/>
    <x v="523"/>
    <x v="334"/>
    <n v="15"/>
    <n v="179"/>
    <x v="7"/>
    <x v="7"/>
    <n v="179"/>
    <s v="161004"/>
    <s v="Escritorio Nazca artico 1215"/>
    <x v="1041"/>
    <n v="1"/>
    <n v="1"/>
  </r>
  <r>
    <n v="9"/>
    <x v="523"/>
    <x v="334"/>
    <n v="16"/>
    <n v="638"/>
    <x v="22"/>
    <x v="22"/>
    <n v="638"/>
    <s v="181551"/>
    <s v="Home Ipanema 1.80 "/>
    <x v="1042"/>
    <n v="1"/>
    <n v="1"/>
  </r>
  <r>
    <n v="9"/>
    <x v="523"/>
    <x v="334"/>
    <n v="17"/>
    <n v="756"/>
    <x v="117"/>
    <x v="117"/>
    <n v="756"/>
    <s v="181688"/>
    <s v="Combo Ancud  1,2,3,4,6"/>
    <x v="1043"/>
    <n v="1"/>
    <n v="1"/>
  </r>
  <r>
    <n v="9"/>
    <x v="523"/>
    <x v="334"/>
    <n v="18"/>
    <n v="970"/>
    <x v="0"/>
    <x v="0"/>
    <n v="506"/>
    <s v="120023"/>
    <s v="Estante Aruba"/>
    <x v="1044"/>
    <n v="1"/>
    <n v="1"/>
  </r>
  <r>
    <n v="9"/>
    <x v="523"/>
    <x v="334"/>
    <n v="19"/>
    <n v="970"/>
    <x v="0"/>
    <x v="0"/>
    <n v="506"/>
    <s v="120023"/>
    <s v="Estante Aruba"/>
    <x v="1045"/>
    <n v="1"/>
    <n v="1"/>
  </r>
  <r>
    <n v="9"/>
    <x v="926"/>
    <x v="334"/>
    <n v="20"/>
    <n v="970"/>
    <x v="0"/>
    <x v="0"/>
    <n v="506"/>
    <s v="120023"/>
    <s v="Estante Aruba"/>
    <x v="1046"/>
    <n v="1"/>
    <n v="1"/>
  </r>
  <r>
    <n v="9"/>
    <x v="926"/>
    <x v="334"/>
    <n v="21"/>
    <n v="970"/>
    <x v="0"/>
    <x v="0"/>
    <n v="506"/>
    <s v="120023"/>
    <s v="Estante Aruba"/>
    <x v="1047"/>
    <n v="1"/>
    <n v="1"/>
  </r>
  <r>
    <n v="9"/>
    <x v="925"/>
    <x v="334"/>
    <n v="22"/>
    <n v="639"/>
    <x v="15"/>
    <x v="15"/>
    <n v="639"/>
    <s v="181552"/>
    <s v="Home Lara 1.35 "/>
    <x v="1048"/>
    <n v="1"/>
    <n v="1"/>
  </r>
  <r>
    <n v="9"/>
    <x v="925"/>
    <x v="334"/>
    <n v="23"/>
    <n v="905"/>
    <x v="39"/>
    <x v="39"/>
    <n v="905"/>
    <s v="181876"/>
    <s v="RACK STAR (QUARTZ)"/>
    <x v="1049"/>
    <n v="1"/>
    <n v="1"/>
  </r>
  <r>
    <n v="9"/>
    <x v="925"/>
    <x v="334"/>
    <n v="24"/>
    <n v="970"/>
    <x v="0"/>
    <x v="0"/>
    <n v="506"/>
    <s v="120023"/>
    <s v="Estante Aruba"/>
    <x v="1050"/>
    <n v="1"/>
    <n v="1"/>
  </r>
  <r>
    <n v="5"/>
    <x v="784"/>
    <x v="283"/>
    <n v="17"/>
    <n v="505"/>
    <x v="219"/>
    <x v="219"/>
    <n v="505"/>
    <s v="165531"/>
    <s v="Armario organizador canela 3322 bco"/>
    <x v="34"/>
    <n v="5"/>
    <n v="0"/>
  </r>
  <r>
    <n v="5"/>
    <x v="784"/>
    <x v="283"/>
    <n v="18"/>
    <n v="43"/>
    <x v="64"/>
    <x v="64"/>
    <n v="43"/>
    <s v="165639"/>
    <s v="Cocina Sheila + balcon sheila bco/griz"/>
    <x v="34"/>
    <n v="10"/>
    <n v="10"/>
  </r>
  <r>
    <n v="5"/>
    <x v="784"/>
    <x v="283"/>
    <n v="19"/>
    <n v="919"/>
    <x v="118"/>
    <x v="118"/>
    <n v="919"/>
    <s v="181850"/>
    <s v="KIT COCINA VITORIA (MAGAZIN 90)"/>
    <x v="34"/>
    <n v="10"/>
    <n v="10"/>
  </r>
  <r>
    <n v="5"/>
    <x v="784"/>
    <x v="283"/>
    <n v="20"/>
    <n v="919"/>
    <x v="118"/>
    <x v="118"/>
    <n v="919"/>
    <s v="181850"/>
    <s v="KIT COCINA VITORIA (MAGAZIN 90)"/>
    <x v="34"/>
    <n v="10"/>
    <n v="10"/>
  </r>
  <r>
    <n v="24"/>
    <x v="927"/>
    <x v="335"/>
    <n v="6"/>
    <n v="813"/>
    <x v="79"/>
    <x v="79"/>
    <n v="813"/>
    <s v="181782"/>
    <s v="Kit Yara 160 (181638) +  Alacena (181641)"/>
    <x v="1051"/>
    <n v="1"/>
    <n v="1"/>
  </r>
  <r>
    <n v="24"/>
    <x v="928"/>
    <x v="335"/>
    <n v="7"/>
    <n v="641"/>
    <x v="20"/>
    <x v="20"/>
    <n v="641"/>
    <s v="181554"/>
    <s v="Mesa Para TV Puerto Rico"/>
    <x v="1052"/>
    <n v="1"/>
    <n v="1"/>
  </r>
  <r>
    <n v="24"/>
    <x v="929"/>
    <x v="335"/>
    <n v="1"/>
    <n v="792"/>
    <x v="152"/>
    <x v="152"/>
    <n v="792"/>
    <s v="181704"/>
    <s v="Rack Inca 2 Cajones"/>
    <x v="1053"/>
    <n v="1"/>
    <n v="1"/>
  </r>
  <r>
    <n v="24"/>
    <x v="930"/>
    <x v="335"/>
    <n v="2"/>
    <n v="813"/>
    <x v="79"/>
    <x v="79"/>
    <n v="813"/>
    <s v="181782"/>
    <s v="Kit Yara 160 (181638) +  Alacena (181641)"/>
    <x v="1054"/>
    <n v="1"/>
    <n v="1"/>
  </r>
  <r>
    <n v="24"/>
    <x v="931"/>
    <x v="335"/>
    <n v="3"/>
    <n v="970"/>
    <x v="0"/>
    <x v="0"/>
    <n v="506"/>
    <s v="120023"/>
    <s v="Estante Aruba"/>
    <x v="1055"/>
    <n v="1"/>
    <n v="1"/>
  </r>
  <r>
    <n v="24"/>
    <x v="932"/>
    <x v="335"/>
    <n v="4"/>
    <n v="813"/>
    <x v="79"/>
    <x v="79"/>
    <n v="813"/>
    <s v="181782"/>
    <s v="Kit Yara 160 (181638) +  Alacena (181641)"/>
    <x v="1056"/>
    <n v="1"/>
    <n v="1"/>
  </r>
  <r>
    <n v="24"/>
    <x v="933"/>
    <x v="335"/>
    <n v="5"/>
    <n v="584"/>
    <x v="96"/>
    <x v="96"/>
    <n v="584"/>
    <s v="130290"/>
    <s v="Rack New Montana bco"/>
    <x v="1057"/>
    <n v="1"/>
    <n v="1"/>
  </r>
  <r>
    <n v="5"/>
    <x v="934"/>
    <x v="336"/>
    <n v="1"/>
    <n v="13"/>
    <x v="13"/>
    <x v="13"/>
    <n v="13"/>
    <s v="110301"/>
    <s v="Bar de Canto Puerto Montt Tabaco"/>
    <x v="34"/>
    <n v="1"/>
    <n v="1"/>
  </r>
  <r>
    <n v="3"/>
    <x v="935"/>
    <x v="337"/>
    <n v="1"/>
    <n v="666"/>
    <x v="220"/>
    <x v="220"/>
    <n v="666"/>
    <s v="181587"/>
    <s v="Panel TV extensible Florencia "/>
    <x v="1058"/>
    <n v="1"/>
    <n v="1"/>
  </r>
  <r>
    <n v="3"/>
    <x v="935"/>
    <x v="337"/>
    <n v="2"/>
    <n v="824"/>
    <x v="1"/>
    <x v="1"/>
    <n v="824"/>
    <s v="181756"/>
    <s v="Rack Line (New Zero)"/>
    <x v="1059"/>
    <n v="1"/>
    <n v="1"/>
  </r>
  <r>
    <n v="3"/>
    <x v="935"/>
    <x v="337"/>
    <n v="9"/>
    <n v="970"/>
    <x v="0"/>
    <x v="0"/>
    <n v="506"/>
    <s v="120023"/>
    <s v="Estante Aruba"/>
    <x v="1060"/>
    <n v="1"/>
    <n v="1"/>
  </r>
  <r>
    <n v="3"/>
    <x v="936"/>
    <x v="337"/>
    <n v="3"/>
    <n v="970"/>
    <x v="0"/>
    <x v="0"/>
    <n v="506"/>
    <s v="120023"/>
    <s v="Estante Aruba"/>
    <x v="1061"/>
    <n v="1"/>
    <n v="1"/>
  </r>
  <r>
    <n v="3"/>
    <x v="936"/>
    <x v="337"/>
    <n v="4"/>
    <n v="970"/>
    <x v="0"/>
    <x v="0"/>
    <n v="506"/>
    <s v="120023"/>
    <s v="Estante Aruba"/>
    <x v="1062"/>
    <n v="1"/>
    <n v="1"/>
  </r>
  <r>
    <n v="3"/>
    <x v="936"/>
    <x v="337"/>
    <n v="5"/>
    <n v="638"/>
    <x v="22"/>
    <x v="22"/>
    <n v="638"/>
    <s v="181551"/>
    <s v="Home Ipanema 1.80 "/>
    <x v="1063"/>
    <n v="1"/>
    <n v="1"/>
  </r>
  <r>
    <n v="3"/>
    <x v="936"/>
    <x v="337"/>
    <n v="6"/>
    <n v="821"/>
    <x v="65"/>
    <x v="65"/>
    <n v="821"/>
    <s v="181751"/>
    <s v="HOME NINA"/>
    <x v="1064"/>
    <n v="1"/>
    <n v="1"/>
  </r>
  <r>
    <n v="3"/>
    <x v="936"/>
    <x v="337"/>
    <n v="7"/>
    <n v="674"/>
    <x v="23"/>
    <x v="23"/>
    <n v="674"/>
    <s v="181595"/>
    <s v="Home Deneb"/>
    <x v="1065"/>
    <n v="1"/>
    <n v="1"/>
  </r>
  <r>
    <n v="3"/>
    <x v="936"/>
    <x v="337"/>
    <n v="8"/>
    <n v="707"/>
    <x v="18"/>
    <x v="18"/>
    <n v="707"/>
    <s v="181633"/>
    <s v="Poltrona albi  "/>
    <x v="1066"/>
    <n v="1"/>
    <n v="1"/>
  </r>
  <r>
    <n v="3"/>
    <x v="936"/>
    <x v="337"/>
    <n v="10"/>
    <n v="821"/>
    <x v="65"/>
    <x v="65"/>
    <n v="821"/>
    <s v="181751"/>
    <s v="HOME NINA"/>
    <x v="1067"/>
    <n v="1"/>
    <n v="1"/>
  </r>
  <r>
    <n v="6"/>
    <x v="937"/>
    <x v="338"/>
    <n v="1"/>
    <n v="639"/>
    <x v="15"/>
    <x v="15"/>
    <n v="639"/>
    <s v="181552"/>
    <s v="Home Lara 1.35 "/>
    <x v="23"/>
    <n v="1"/>
    <n v="1"/>
  </r>
  <r>
    <n v="4"/>
    <x v="938"/>
    <x v="339"/>
    <n v="3"/>
    <n v="400"/>
    <x v="89"/>
    <x v="89"/>
    <n v="400"/>
    <s v="161008"/>
    <s v="Escritorio Fenix Artico"/>
    <x v="1068"/>
    <n v="1"/>
    <n v="1"/>
  </r>
  <r>
    <n v="4"/>
    <x v="939"/>
    <x v="339"/>
    <n v="4"/>
    <n v="567"/>
    <x v="145"/>
    <x v="145"/>
    <n v="567"/>
    <s v="130273"/>
    <s v="Bar San Marino  tabaco"/>
    <x v="1069"/>
    <n v="1"/>
    <n v="1"/>
  </r>
  <r>
    <n v="4"/>
    <x v="940"/>
    <x v="339"/>
    <n v="5"/>
    <n v="892"/>
    <x v="25"/>
    <x v="25"/>
    <n v="746"/>
    <s v="181662"/>
    <s v="Respaldo Monaco"/>
    <x v="1070"/>
    <n v="1"/>
    <n v="1"/>
  </r>
  <r>
    <n v="4"/>
    <x v="790"/>
    <x v="339"/>
    <n v="6"/>
    <n v="497"/>
    <x v="221"/>
    <x v="221"/>
    <n v="497"/>
    <s v="170780"/>
    <s v="Rack basculante pt mad Castaño 160387"/>
    <x v="904"/>
    <n v="1"/>
    <n v="0"/>
  </r>
  <r>
    <n v="4"/>
    <x v="941"/>
    <x v="339"/>
    <n v="1"/>
    <n v="892"/>
    <x v="25"/>
    <x v="25"/>
    <n v="746"/>
    <s v="181662"/>
    <s v="Respaldo Monaco"/>
    <x v="1071"/>
    <n v="1"/>
    <n v="1"/>
  </r>
  <r>
    <n v="4"/>
    <x v="942"/>
    <x v="339"/>
    <n v="2"/>
    <n v="705"/>
    <x v="126"/>
    <x v="126"/>
    <n v="705"/>
    <s v="181631"/>
    <s v="Juego de comedor 6+1 dinamarca"/>
    <x v="1072"/>
    <n v="1"/>
    <n v="1"/>
  </r>
  <r>
    <n v="24"/>
    <x v="943"/>
    <x v="340"/>
    <n v="3"/>
    <n v="813"/>
    <x v="79"/>
    <x v="79"/>
    <n v="813"/>
    <s v="181782"/>
    <s v="Kit Yara 160 (181638) +  Alacena (181641)"/>
    <x v="1073"/>
    <n v="1"/>
    <n v="1"/>
  </r>
  <r>
    <n v="24"/>
    <x v="944"/>
    <x v="340"/>
    <n v="4"/>
    <n v="813"/>
    <x v="79"/>
    <x v="79"/>
    <n v="813"/>
    <s v="181782"/>
    <s v="Kit Yara 160 (181638) +  Alacena (181641)"/>
    <x v="1074"/>
    <n v="1"/>
    <n v="1"/>
  </r>
  <r>
    <n v="24"/>
    <x v="945"/>
    <x v="340"/>
    <n v="5"/>
    <n v="813"/>
    <x v="79"/>
    <x v="79"/>
    <n v="813"/>
    <s v="181782"/>
    <s v="Kit Yara 160 (181638) +  Alacena (181641)"/>
    <x v="1075"/>
    <n v="1"/>
    <n v="1"/>
  </r>
  <r>
    <n v="24"/>
    <x v="946"/>
    <x v="340"/>
    <n v="6"/>
    <n v="813"/>
    <x v="79"/>
    <x v="79"/>
    <n v="813"/>
    <s v="181782"/>
    <s v="Kit Yara 160 (181638) +  Alacena (181641)"/>
    <x v="1076"/>
    <n v="1"/>
    <n v="1"/>
  </r>
  <r>
    <n v="24"/>
    <x v="947"/>
    <x v="340"/>
    <n v="7"/>
    <n v="735"/>
    <x v="62"/>
    <x v="62"/>
    <n v="735"/>
    <s v="181666"/>
    <s v="COMODA 5 CAJONES GLADYS (PILAR)"/>
    <x v="1077"/>
    <n v="1"/>
    <n v="1"/>
  </r>
  <r>
    <n v="24"/>
    <x v="948"/>
    <x v="340"/>
    <n v="8"/>
    <n v="813"/>
    <x v="79"/>
    <x v="79"/>
    <n v="813"/>
    <s v="181782"/>
    <s v="Kit Yara 160 (181638) +  Alacena (181641)"/>
    <x v="1078"/>
    <n v="1"/>
    <n v="1"/>
  </r>
  <r>
    <n v="24"/>
    <x v="949"/>
    <x v="340"/>
    <n v="1"/>
    <n v="813"/>
    <x v="79"/>
    <x v="79"/>
    <n v="813"/>
    <s v="181782"/>
    <s v="Kit Yara 160 (181638) +  Alacena (181641)"/>
    <x v="1079"/>
    <n v="1"/>
    <n v="1"/>
  </r>
  <r>
    <n v="24"/>
    <x v="950"/>
    <x v="340"/>
    <n v="2"/>
    <n v="711"/>
    <x v="29"/>
    <x v="29"/>
    <n v="711"/>
    <s v="181637"/>
    <s v="Closet Rubi 12 ptas, 3 cajones"/>
    <x v="1080"/>
    <n v="1"/>
    <n v="1"/>
  </r>
  <r>
    <n v="3"/>
    <x v="838"/>
    <x v="341"/>
    <n v="1"/>
    <n v="13"/>
    <x v="13"/>
    <x v="13"/>
    <n v="13"/>
    <s v="110301"/>
    <s v="Bar de Canto Puerto Montt Tabaco"/>
    <x v="1081"/>
    <n v="1"/>
    <n v="1"/>
  </r>
  <r>
    <n v="6"/>
    <x v="951"/>
    <x v="293"/>
    <n v="6"/>
    <n v="714"/>
    <x v="28"/>
    <x v="28"/>
    <n v="714"/>
    <s v="181640"/>
    <s v="Kit Magazin 120"/>
    <x v="1082"/>
    <n v="1"/>
    <n v="1"/>
  </r>
  <r>
    <n v="6"/>
    <x v="952"/>
    <x v="293"/>
    <n v="1"/>
    <n v="821"/>
    <x v="65"/>
    <x v="65"/>
    <n v="821"/>
    <s v="181751"/>
    <s v="HOME NINA"/>
    <x v="1083"/>
    <n v="1"/>
    <n v="1"/>
  </r>
  <r>
    <n v="6"/>
    <x v="953"/>
    <x v="293"/>
    <n v="9"/>
    <n v="404"/>
    <x v="17"/>
    <x v="17"/>
    <n v="404"/>
    <s v="161012"/>
    <s v="kit dormitorio + modulo 1233 + 3017 aberto"/>
    <x v="1084"/>
    <n v="1"/>
    <n v="1"/>
  </r>
  <r>
    <n v="6"/>
    <x v="954"/>
    <x v="293"/>
    <n v="10"/>
    <n v="673"/>
    <x v="113"/>
    <x v="113"/>
    <n v="673"/>
    <s v="181594"/>
    <s v="Rack Alma (onix)"/>
    <x v="1085"/>
    <n v="1"/>
    <n v="1"/>
  </r>
  <r>
    <n v="6"/>
    <x v="955"/>
    <x v="293"/>
    <n v="2"/>
    <n v="534"/>
    <x v="24"/>
    <x v="24"/>
    <n v="534"/>
    <s v="175118"/>
    <s v="Respaldo Oregon 2plz + 2 veladores"/>
    <x v="1086"/>
    <n v="1"/>
    <n v="1"/>
  </r>
  <r>
    <n v="4"/>
    <x v="956"/>
    <x v="342"/>
    <n v="2"/>
    <n v="400"/>
    <x v="89"/>
    <x v="89"/>
    <n v="400"/>
    <s v="161008"/>
    <s v="Escritorio Fenix Artico"/>
    <x v="1087"/>
    <n v="1"/>
    <n v="1"/>
  </r>
  <r>
    <n v="4"/>
    <x v="957"/>
    <x v="342"/>
    <n v="1"/>
    <n v="494"/>
    <x v="56"/>
    <x v="56"/>
    <n v="494"/>
    <s v="165528"/>
    <s v="Armario Aereo Ref: 3003 Bco"/>
    <x v="1088"/>
    <n v="1"/>
    <n v="1"/>
  </r>
  <r>
    <n v="4"/>
    <x v="958"/>
    <x v="343"/>
    <n v="1"/>
    <n v="400"/>
    <x v="89"/>
    <x v="89"/>
    <n v="400"/>
    <s v="161008"/>
    <s v="Escritorio Fenix Artico"/>
    <x v="1089"/>
    <n v="1"/>
    <n v="1"/>
  </r>
  <r>
    <n v="4"/>
    <x v="959"/>
    <x v="343"/>
    <n v="2"/>
    <n v="501"/>
    <x v="5"/>
    <x v="5"/>
    <n v="501"/>
    <s v="170782"/>
    <s v="Rack atacama pt mad castaño 160295"/>
    <x v="1090"/>
    <n v="1"/>
    <n v="1"/>
  </r>
  <r>
    <n v="4"/>
    <x v="960"/>
    <x v="343"/>
    <n v="3"/>
    <n v="892"/>
    <x v="25"/>
    <x v="25"/>
    <n v="746"/>
    <s v="181662"/>
    <s v="Respaldo Monaco"/>
    <x v="1091"/>
    <n v="1"/>
    <n v="1"/>
  </r>
  <r>
    <n v="9"/>
    <x v="406"/>
    <x v="344"/>
    <n v="2"/>
    <n v="904"/>
    <x v="149"/>
    <x v="149"/>
    <n v="904"/>
    <s v="181872"/>
    <s v="Rack Antonio (BR 281 Rack TV Stand - Favatex)"/>
    <x v="1092"/>
    <n v="1"/>
    <n v="1"/>
  </r>
  <r>
    <n v="9"/>
    <x v="961"/>
    <x v="344"/>
    <n v="3"/>
    <n v="888"/>
    <x v="201"/>
    <x v="201"/>
    <n v="888"/>
    <s v="181839"/>
    <s v="Rack Jeri + Panel Niteroi"/>
    <x v="1093"/>
    <n v="1"/>
    <n v="1"/>
  </r>
  <r>
    <n v="9"/>
    <x v="962"/>
    <x v="344"/>
    <n v="4"/>
    <n v="884"/>
    <x v="189"/>
    <x v="189"/>
    <n v="884"/>
    <s v="181771"/>
    <s v="Autoservicio Diva"/>
    <x v="1094"/>
    <n v="1"/>
    <n v="1"/>
  </r>
  <r>
    <n v="9"/>
    <x v="963"/>
    <x v="344"/>
    <n v="1"/>
    <n v="714"/>
    <x v="28"/>
    <x v="28"/>
    <n v="714"/>
    <s v="181640"/>
    <s v="Kit Magazin 120"/>
    <x v="1095"/>
    <n v="1"/>
    <n v="1"/>
  </r>
  <r>
    <n v="9"/>
    <x v="964"/>
    <x v="345"/>
    <n v="6"/>
    <n v="639"/>
    <x v="15"/>
    <x v="15"/>
    <n v="639"/>
    <s v="181552"/>
    <s v="Home Lara 1.35 "/>
    <x v="1096"/>
    <n v="1"/>
    <n v="1"/>
  </r>
  <r>
    <n v="9"/>
    <x v="965"/>
    <x v="345"/>
    <n v="1"/>
    <n v="955"/>
    <x v="143"/>
    <x v="143"/>
    <n v="955"/>
    <s v="181874"/>
    <s v="Rack Felipe"/>
    <x v="1097"/>
    <n v="1"/>
    <n v="1"/>
  </r>
  <r>
    <n v="9"/>
    <x v="962"/>
    <x v="345"/>
    <n v="7"/>
    <n v="893"/>
    <x v="35"/>
    <x v="35"/>
    <n v="893"/>
    <s v="181810"/>
    <s v="Rack Recife"/>
    <x v="1098"/>
    <n v="1"/>
    <n v="1"/>
  </r>
  <r>
    <n v="9"/>
    <x v="966"/>
    <x v="345"/>
    <n v="8"/>
    <n v="534"/>
    <x v="24"/>
    <x v="24"/>
    <n v="534"/>
    <s v="175118"/>
    <s v="Respaldo Oregon 2plz + 2 veladores"/>
    <x v="1099"/>
    <n v="1"/>
    <n v="1"/>
  </r>
  <r>
    <n v="9"/>
    <x v="967"/>
    <x v="345"/>
    <n v="3"/>
    <n v="698"/>
    <x v="146"/>
    <x v="146"/>
    <n v="698"/>
    <s v="181624"/>
    <s v="Rack tv palu"/>
    <x v="1100"/>
    <n v="1"/>
    <n v="1"/>
  </r>
  <r>
    <n v="9"/>
    <x v="963"/>
    <x v="345"/>
    <n v="4"/>
    <n v="970"/>
    <x v="0"/>
    <x v="0"/>
    <n v="506"/>
    <s v="120023"/>
    <s v="Estante Aruba"/>
    <x v="1101"/>
    <n v="1"/>
    <n v="1"/>
  </r>
  <r>
    <n v="9"/>
    <x v="968"/>
    <x v="345"/>
    <n v="5"/>
    <n v="902"/>
    <x v="222"/>
    <x v="222"/>
    <n v="902"/>
    <s v="181865"/>
    <s v="Rack 350 Dali"/>
    <x v="1102"/>
    <n v="1"/>
    <n v="1"/>
  </r>
  <r>
    <n v="9"/>
    <x v="643"/>
    <x v="345"/>
    <n v="2"/>
    <n v="680"/>
    <x v="116"/>
    <x v="116"/>
    <n v="680"/>
    <s v="181600"/>
    <s v="Estante Cristal"/>
    <x v="1103"/>
    <n v="1"/>
    <n v="1"/>
  </r>
  <r>
    <n v="9"/>
    <x v="409"/>
    <x v="346"/>
    <n v="3"/>
    <n v="714"/>
    <x v="28"/>
    <x v="28"/>
    <n v="714"/>
    <s v="181640"/>
    <s v="Kit Magazin 120"/>
    <x v="1104"/>
    <n v="1"/>
    <n v="1"/>
  </r>
  <r>
    <n v="9"/>
    <x v="643"/>
    <x v="346"/>
    <n v="4"/>
    <n v="818"/>
    <x v="73"/>
    <x v="73"/>
    <n v="818"/>
    <s v="181749"/>
    <s v="RACK MAYA"/>
    <x v="1105"/>
    <n v="1"/>
    <n v="1"/>
  </r>
  <r>
    <n v="9"/>
    <x v="969"/>
    <x v="346"/>
    <n v="5"/>
    <n v="936"/>
    <x v="137"/>
    <x v="137"/>
    <n v="936"/>
    <s v="181827"/>
    <s v="Bancada Avila"/>
    <x v="1106"/>
    <n v="1"/>
    <n v="1"/>
  </r>
  <r>
    <n v="9"/>
    <x v="645"/>
    <x v="346"/>
    <n v="1"/>
    <n v="809"/>
    <x v="61"/>
    <x v="61"/>
    <n v="809"/>
    <s v="181759"/>
    <s v="Rack Ovalle"/>
    <x v="1107"/>
    <n v="1"/>
    <n v="1"/>
  </r>
  <r>
    <n v="9"/>
    <x v="645"/>
    <x v="346"/>
    <n v="2"/>
    <n v="905"/>
    <x v="39"/>
    <x v="39"/>
    <n v="905"/>
    <s v="181876"/>
    <s v="RACK STAR (QUARTZ)"/>
    <x v="1108"/>
    <n v="2"/>
    <n v="2"/>
  </r>
  <r>
    <n v="24"/>
    <x v="970"/>
    <x v="347"/>
    <n v="1"/>
    <n v="773"/>
    <x v="139"/>
    <x v="139"/>
    <n v="773"/>
    <s v="181663"/>
    <s v="Estante Carla ( ex zara )"/>
    <x v="1109"/>
    <n v="1"/>
    <n v="1"/>
  </r>
  <r>
    <n v="24"/>
    <x v="971"/>
    <x v="348"/>
    <n v="19"/>
    <n v="813"/>
    <x v="79"/>
    <x v="79"/>
    <n v="813"/>
    <s v="181782"/>
    <s v="Kit Yara 160 (181638) +  Alacena (181641)"/>
    <x v="1110"/>
    <n v="1"/>
    <n v="1"/>
  </r>
  <r>
    <n v="24"/>
    <x v="972"/>
    <x v="348"/>
    <n v="14"/>
    <n v="813"/>
    <x v="79"/>
    <x v="79"/>
    <n v="813"/>
    <s v="181782"/>
    <s v="Kit Yara 160 (181638) +  Alacena (181641)"/>
    <x v="1111"/>
    <n v="1"/>
    <n v="1"/>
  </r>
  <r>
    <n v="24"/>
    <x v="973"/>
    <x v="348"/>
    <n v="15"/>
    <n v="813"/>
    <x v="79"/>
    <x v="79"/>
    <n v="813"/>
    <s v="181782"/>
    <s v="Kit Yara 160 (181638) +  Alacena (181641)"/>
    <x v="1112"/>
    <n v="1"/>
    <n v="1"/>
  </r>
  <r>
    <n v="24"/>
    <x v="974"/>
    <x v="348"/>
    <n v="16"/>
    <n v="813"/>
    <x v="79"/>
    <x v="79"/>
    <n v="813"/>
    <s v="181782"/>
    <s v="Kit Yara 160 (181638) +  Alacena (181641)"/>
    <x v="1113"/>
    <n v="1"/>
    <n v="1"/>
  </r>
  <r>
    <n v="24"/>
    <x v="975"/>
    <x v="348"/>
    <n v="26"/>
    <n v="382"/>
    <x v="50"/>
    <x v="50"/>
    <n v="382"/>
    <s v="165690"/>
    <s v="Cocina Flavia teka - brown"/>
    <x v="1114"/>
    <n v="1"/>
    <n v="1"/>
  </r>
  <r>
    <n v="24"/>
    <x v="976"/>
    <x v="348"/>
    <n v="17"/>
    <n v="813"/>
    <x v="79"/>
    <x v="79"/>
    <n v="813"/>
    <s v="181782"/>
    <s v="Kit Yara 160 (181638) +  Alacena (181641)"/>
    <x v="1115"/>
    <n v="1"/>
    <n v="1"/>
  </r>
  <r>
    <n v="24"/>
    <x v="977"/>
    <x v="348"/>
    <n v="18"/>
    <n v="382"/>
    <x v="50"/>
    <x v="50"/>
    <n v="382"/>
    <s v="165690"/>
    <s v="Cocina Flavia teka - brown"/>
    <x v="1116"/>
    <n v="1"/>
    <n v="1"/>
  </r>
  <r>
    <n v="24"/>
    <x v="978"/>
    <x v="348"/>
    <n v="10"/>
    <n v="877"/>
    <x v="49"/>
    <x v="49"/>
    <n v="325"/>
    <s v="170761"/>
    <s v="Rack Royal ipe tx/ rovere"/>
    <x v="1117"/>
    <n v="1"/>
    <n v="1"/>
  </r>
  <r>
    <n v="24"/>
    <x v="979"/>
    <x v="348"/>
    <n v="11"/>
    <n v="813"/>
    <x v="79"/>
    <x v="79"/>
    <n v="813"/>
    <s v="181782"/>
    <s v="Kit Yara 160 (181638) +  Alacena (181641)"/>
    <x v="1118"/>
    <n v="1"/>
    <n v="1"/>
  </r>
  <r>
    <n v="24"/>
    <x v="980"/>
    <x v="348"/>
    <n v="24"/>
    <n v="813"/>
    <x v="79"/>
    <x v="79"/>
    <n v="813"/>
    <s v="181782"/>
    <s v="Kit Yara 160 (181638) +  Alacena (181641)"/>
    <x v="1119"/>
    <n v="1"/>
    <n v="1"/>
  </r>
  <r>
    <n v="5"/>
    <x v="981"/>
    <x v="295"/>
    <n v="5"/>
    <n v="402"/>
    <x v="32"/>
    <x v="32"/>
    <n v="402"/>
    <s v="161010"/>
    <s v="Escritorio Cali artico"/>
    <x v="34"/>
    <n v="1"/>
    <n v="1"/>
  </r>
  <r>
    <n v="5"/>
    <x v="982"/>
    <x v="295"/>
    <n v="6"/>
    <n v="735"/>
    <x v="62"/>
    <x v="62"/>
    <n v="735"/>
    <s v="181666"/>
    <s v="COMODA 5 CAJONES GLADYS (PILAR)"/>
    <x v="34"/>
    <n v="1"/>
    <n v="1"/>
  </r>
  <r>
    <n v="5"/>
    <x v="983"/>
    <x v="295"/>
    <n v="7"/>
    <n v="883"/>
    <x v="218"/>
    <x v="218"/>
    <n v="883"/>
    <s v="181773"/>
    <s v="Autoservicio Agatha"/>
    <x v="34"/>
    <n v="1"/>
    <n v="1"/>
  </r>
  <r>
    <n v="5"/>
    <x v="984"/>
    <x v="295"/>
    <n v="1"/>
    <n v="825"/>
    <x v="204"/>
    <x v="204"/>
    <n v="825"/>
    <s v="181753"/>
    <s v="Cocina Milanessa"/>
    <x v="34"/>
    <n v="1"/>
    <n v="1"/>
  </r>
  <r>
    <n v="24"/>
    <x v="985"/>
    <x v="349"/>
    <n v="1"/>
    <n v="773"/>
    <x v="139"/>
    <x v="139"/>
    <n v="773"/>
    <s v="181663"/>
    <s v="Estante Carla ( ex zara )"/>
    <x v="1120"/>
    <n v="1"/>
    <n v="1"/>
  </r>
  <r>
    <n v="24"/>
    <x v="986"/>
    <x v="350"/>
    <n v="6"/>
    <n v="813"/>
    <x v="79"/>
    <x v="79"/>
    <n v="813"/>
    <s v="181782"/>
    <s v="Kit Yara 160 (181638) +  Alacena (181641)"/>
    <x v="1121"/>
    <n v="1"/>
    <n v="1"/>
  </r>
  <r>
    <n v="24"/>
    <x v="987"/>
    <x v="350"/>
    <n v="2"/>
    <n v="523"/>
    <x v="153"/>
    <x v="153"/>
    <n v="523"/>
    <s v="120066"/>
    <s v="Mesa para TV MDP New Montana 2 negro -negro glass "/>
    <x v="1122"/>
    <n v="1"/>
    <n v="1"/>
  </r>
  <r>
    <n v="24"/>
    <x v="988"/>
    <x v="350"/>
    <n v="7"/>
    <n v="813"/>
    <x v="79"/>
    <x v="79"/>
    <n v="813"/>
    <s v="181782"/>
    <s v="Kit Yara 160 (181638) +  Alacena (181641)"/>
    <x v="1123"/>
    <n v="1"/>
    <n v="1"/>
  </r>
  <r>
    <n v="24"/>
    <x v="989"/>
    <x v="350"/>
    <n v="3"/>
    <n v="584"/>
    <x v="96"/>
    <x v="96"/>
    <n v="584"/>
    <s v="130290"/>
    <s v="Rack New Montana bco"/>
    <x v="1124"/>
    <n v="1"/>
    <n v="1"/>
  </r>
  <r>
    <n v="24"/>
    <x v="990"/>
    <x v="350"/>
    <n v="8"/>
    <n v="735"/>
    <x v="62"/>
    <x v="62"/>
    <n v="735"/>
    <s v="181666"/>
    <s v="COMODA 5 CAJONES GLADYS (PILAR)"/>
    <x v="1125"/>
    <n v="1"/>
    <n v="1"/>
  </r>
  <r>
    <n v="24"/>
    <x v="991"/>
    <x v="350"/>
    <n v="4"/>
    <n v="877"/>
    <x v="49"/>
    <x v="49"/>
    <n v="325"/>
    <s v="170761"/>
    <s v="Rack Royal ipe tx/ rovere"/>
    <x v="1126"/>
    <n v="1"/>
    <n v="1"/>
  </r>
  <r>
    <n v="24"/>
    <x v="992"/>
    <x v="350"/>
    <n v="5"/>
    <n v="813"/>
    <x v="79"/>
    <x v="79"/>
    <n v="813"/>
    <s v="181782"/>
    <s v="Kit Yara 160 (181638) +  Alacena (181641)"/>
    <x v="1127"/>
    <n v="1"/>
    <n v="1"/>
  </r>
  <r>
    <n v="24"/>
    <x v="993"/>
    <x v="350"/>
    <n v="1"/>
    <n v="738"/>
    <x v="223"/>
    <x v="223"/>
    <n v="738"/>
    <s v="181668"/>
    <s v="COMODA 4 CAJONES + PUERTA TALCAHUNO (DINAMO)"/>
    <x v="1128"/>
    <n v="1"/>
    <n v="1"/>
  </r>
  <r>
    <n v="4"/>
    <x v="994"/>
    <x v="351"/>
    <n v="1"/>
    <n v="403"/>
    <x v="27"/>
    <x v="27"/>
    <n v="403"/>
    <s v="161011"/>
    <s v="Escritorio Curitiba artico"/>
    <x v="1129"/>
    <n v="1"/>
    <n v="1"/>
  </r>
  <r>
    <n v="4"/>
    <x v="995"/>
    <x v="352"/>
    <n v="11"/>
    <n v="281"/>
    <x v="59"/>
    <x v="59"/>
    <n v="281"/>
    <s v="165677"/>
    <s v="Cocina 6 puertas kit 2306 bco negro"/>
    <x v="1130"/>
    <n v="1"/>
    <n v="1"/>
  </r>
  <r>
    <n v="4"/>
    <x v="996"/>
    <x v="352"/>
    <n v="12"/>
    <n v="501"/>
    <x v="5"/>
    <x v="5"/>
    <n v="501"/>
    <s v="170782"/>
    <s v="Rack atacama pt mad castaño 160295"/>
    <x v="1131"/>
    <n v="1"/>
    <n v="1"/>
  </r>
  <r>
    <n v="4"/>
    <x v="997"/>
    <x v="352"/>
    <n v="13"/>
    <n v="501"/>
    <x v="5"/>
    <x v="5"/>
    <n v="501"/>
    <s v="170782"/>
    <s v="Rack atacama pt mad castaño 160295"/>
    <x v="1132"/>
    <n v="1"/>
    <n v="1"/>
  </r>
  <r>
    <n v="4"/>
    <x v="998"/>
    <x v="352"/>
    <n v="14"/>
    <n v="632"/>
    <x v="75"/>
    <x v="75"/>
    <n v="632"/>
    <s v="181545A"/>
    <s v="Respaldo Celaya"/>
    <x v="1133"/>
    <n v="1"/>
    <n v="1"/>
  </r>
  <r>
    <n v="4"/>
    <x v="999"/>
    <x v="352"/>
    <n v="15"/>
    <n v="714"/>
    <x v="28"/>
    <x v="28"/>
    <n v="714"/>
    <s v="181640"/>
    <s v="Kit Magazin 120"/>
    <x v="1134"/>
    <n v="1"/>
    <n v="1"/>
  </r>
  <r>
    <n v="4"/>
    <x v="1000"/>
    <x v="352"/>
    <n v="4"/>
    <n v="877"/>
    <x v="49"/>
    <x v="49"/>
    <n v="877"/>
    <s v="181806"/>
    <s v="RACK LUCCA (RACK ROYAL)"/>
    <x v="1135"/>
    <n v="1"/>
    <n v="1"/>
  </r>
  <r>
    <n v="4"/>
    <x v="1001"/>
    <x v="352"/>
    <n v="5"/>
    <n v="13"/>
    <x v="13"/>
    <x v="13"/>
    <n v="13"/>
    <s v="110301"/>
    <s v="Bar de Canto Puerto Montt Tabaco"/>
    <x v="1136"/>
    <n v="1"/>
    <n v="1"/>
  </r>
  <r>
    <n v="4"/>
    <x v="1002"/>
    <x v="352"/>
    <n v="6"/>
    <n v="501"/>
    <x v="5"/>
    <x v="5"/>
    <n v="501"/>
    <s v="170782"/>
    <s v="Rack atacama pt mad castaño 160295"/>
    <x v="1137"/>
    <n v="1"/>
    <n v="1"/>
  </r>
  <r>
    <n v="4"/>
    <x v="1002"/>
    <x v="352"/>
    <n v="7"/>
    <n v="816"/>
    <x v="136"/>
    <x v="136"/>
    <n v="816"/>
    <s v="181735"/>
    <s v="Sofa  2 cuerpos Smith"/>
    <x v="1137"/>
    <n v="1"/>
    <n v="1"/>
  </r>
  <r>
    <n v="4"/>
    <x v="698"/>
    <x v="352"/>
    <n v="8"/>
    <n v="794"/>
    <x v="224"/>
    <x v="224"/>
    <n v="794"/>
    <s v="181721"/>
    <s v="New Rack Porto bello "/>
    <x v="780"/>
    <n v="1"/>
    <n v="0"/>
  </r>
  <r>
    <n v="4"/>
    <x v="1003"/>
    <x v="352"/>
    <n v="9"/>
    <n v="632"/>
    <x v="75"/>
    <x v="75"/>
    <n v="632"/>
    <s v="181545A"/>
    <s v="Respaldo Celaya"/>
    <x v="1138"/>
    <n v="1"/>
    <n v="1"/>
  </r>
  <r>
    <n v="4"/>
    <x v="1004"/>
    <x v="352"/>
    <n v="10"/>
    <n v="404"/>
    <x v="17"/>
    <x v="17"/>
    <n v="404"/>
    <s v="161012"/>
    <s v="kit dormitorio + modulo 1233 + 3017 aberto"/>
    <x v="1139"/>
    <n v="1"/>
    <n v="1"/>
  </r>
  <r>
    <n v="4"/>
    <x v="1005"/>
    <x v="352"/>
    <n v="1"/>
    <n v="501"/>
    <x v="5"/>
    <x v="5"/>
    <n v="501"/>
    <s v="170782"/>
    <s v="Rack atacama pt mad castaño 160295"/>
    <x v="1140"/>
    <n v="1"/>
    <n v="1"/>
  </r>
  <r>
    <n v="4"/>
    <x v="1006"/>
    <x v="352"/>
    <n v="2"/>
    <n v="704"/>
    <x v="12"/>
    <x v="12"/>
    <n v="704"/>
    <s v="181630"/>
    <s v="Juego de comedor sofia 1+6"/>
    <x v="1141"/>
    <n v="1"/>
    <n v="1"/>
  </r>
  <r>
    <n v="4"/>
    <x v="1007"/>
    <x v="352"/>
    <n v="3"/>
    <n v="501"/>
    <x v="5"/>
    <x v="5"/>
    <n v="501"/>
    <s v="170782"/>
    <s v="Rack atacama pt mad castaño 160295"/>
    <x v="1142"/>
    <n v="1"/>
    <n v="1"/>
  </r>
  <r>
    <n v="6"/>
    <x v="1008"/>
    <x v="353"/>
    <n v="7"/>
    <n v="584"/>
    <x v="96"/>
    <x v="96"/>
    <n v="584"/>
    <s v="130290"/>
    <s v="Rack New Montana bco"/>
    <x v="1143"/>
    <n v="1"/>
    <n v="1"/>
  </r>
  <r>
    <n v="6"/>
    <x v="1009"/>
    <x v="353"/>
    <n v="8"/>
    <n v="842"/>
    <x v="36"/>
    <x v="36"/>
    <n v="842"/>
    <s v="181767"/>
    <s v="Panel Ipe"/>
    <x v="1144"/>
    <n v="1"/>
    <n v="1"/>
  </r>
  <r>
    <n v="6"/>
    <x v="1010"/>
    <x v="353"/>
    <n v="9"/>
    <n v="584"/>
    <x v="96"/>
    <x v="96"/>
    <n v="584"/>
    <s v="130290"/>
    <s v="Rack New Montana bco"/>
    <x v="1145"/>
    <n v="1"/>
    <n v="1"/>
  </r>
  <r>
    <n v="6"/>
    <x v="1011"/>
    <x v="353"/>
    <n v="1"/>
    <n v="141"/>
    <x v="9"/>
    <x v="9"/>
    <n v="141"/>
    <s v="165504"/>
    <s v="Tabla de planchar Florence bco 55002"/>
    <x v="1146"/>
    <n v="1"/>
    <n v="1"/>
  </r>
  <r>
    <n v="6"/>
    <x v="1012"/>
    <x v="353"/>
    <n v="2"/>
    <n v="954"/>
    <x v="141"/>
    <x v="141"/>
    <n v="954"/>
    <s v="181873"/>
    <s v="Rack Jose"/>
    <x v="1147"/>
    <n v="1"/>
    <n v="1"/>
  </r>
  <r>
    <n v="6"/>
    <x v="1013"/>
    <x v="353"/>
    <n v="3"/>
    <n v="834"/>
    <x v="225"/>
    <x v="225"/>
    <n v="834"/>
    <s v="181712"/>
    <s v="VELADOR 1 CAJON TULIPAN"/>
    <x v="1148"/>
    <n v="2"/>
    <n v="2"/>
  </r>
  <r>
    <n v="6"/>
    <x v="1014"/>
    <x v="353"/>
    <n v="4"/>
    <n v="534"/>
    <x v="24"/>
    <x v="24"/>
    <n v="534"/>
    <s v="175118"/>
    <s v="Respaldo Oregon 2plz + 2 veladores"/>
    <x v="1149"/>
    <n v="1"/>
    <n v="1"/>
  </r>
  <r>
    <n v="6"/>
    <x v="1015"/>
    <x v="353"/>
    <n v="5"/>
    <n v="13"/>
    <x v="13"/>
    <x v="13"/>
    <n v="13"/>
    <s v="110301"/>
    <s v="Bar de Canto Puerto Montt Tabaco"/>
    <x v="1150"/>
    <n v="1"/>
    <n v="1"/>
  </r>
  <r>
    <n v="9"/>
    <x v="1016"/>
    <x v="354"/>
    <n v="1"/>
    <n v="678"/>
    <x v="200"/>
    <x v="200"/>
    <n v="678"/>
    <s v="181608"/>
    <s v="Sofa Seccional  Cecilia"/>
    <x v="34"/>
    <n v="1"/>
    <n v="1"/>
  </r>
  <r>
    <n v="9"/>
    <x v="195"/>
    <x v="355"/>
    <n v="4"/>
    <n v="711"/>
    <x v="29"/>
    <x v="29"/>
    <n v="711"/>
    <s v="181637"/>
    <s v="Closet Rubi 12 ptas, 3 cajones"/>
    <x v="1151"/>
    <n v="1"/>
    <n v="1"/>
  </r>
  <r>
    <n v="9"/>
    <x v="1017"/>
    <x v="356"/>
    <n v="1"/>
    <n v="674"/>
    <x v="23"/>
    <x v="23"/>
    <n v="674"/>
    <s v="181595"/>
    <s v="Home Deneb"/>
    <x v="34"/>
    <n v="1"/>
    <n v="1"/>
  </r>
  <r>
    <n v="3"/>
    <x v="1018"/>
    <x v="357"/>
    <n v="1"/>
    <n v="970"/>
    <x v="0"/>
    <x v="0"/>
    <n v="506"/>
    <s v="120023"/>
    <s v="Estante Aruba"/>
    <x v="34"/>
    <n v="2"/>
    <n v="2"/>
  </r>
  <r>
    <n v="3"/>
    <x v="1018"/>
    <x v="357"/>
    <n v="2"/>
    <n v="821"/>
    <x v="65"/>
    <x v="65"/>
    <n v="821"/>
    <s v="181751"/>
    <s v="HOME NINA"/>
    <x v="34"/>
    <n v="2"/>
    <n v="2"/>
  </r>
  <r>
    <n v="3"/>
    <x v="1018"/>
    <x v="357"/>
    <n v="3"/>
    <n v="824"/>
    <x v="1"/>
    <x v="1"/>
    <n v="824"/>
    <s v="181756"/>
    <s v="Rack Line (New Zero)"/>
    <x v="34"/>
    <n v="1"/>
    <n v="1"/>
  </r>
  <r>
    <n v="9"/>
    <x v="497"/>
    <x v="358"/>
    <n v="5"/>
    <n v="774"/>
    <x v="109"/>
    <x v="109"/>
    <n v="774"/>
    <s v="181696"/>
    <s v="Camarote 303"/>
    <x v="581"/>
    <n v="1"/>
    <n v="0"/>
  </r>
  <r>
    <n v="9"/>
    <x v="1019"/>
    <x v="358"/>
    <n v="4"/>
    <n v="584"/>
    <x v="96"/>
    <x v="96"/>
    <n v="584"/>
    <s v="130290"/>
    <s v="Rack New Montana bco"/>
    <x v="1152"/>
    <n v="1"/>
    <n v="1"/>
  </r>
  <r>
    <n v="9"/>
    <x v="1020"/>
    <x v="358"/>
    <n v="1"/>
    <n v="496"/>
    <x v="159"/>
    <x v="159"/>
    <n v="496"/>
    <s v="165530"/>
    <s v="Armario aereo con perchero 160395"/>
    <x v="1153"/>
    <n v="1"/>
    <n v="1"/>
  </r>
  <r>
    <n v="9"/>
    <x v="1021"/>
    <x v="358"/>
    <n v="3"/>
    <n v="511"/>
    <x v="114"/>
    <x v="114"/>
    <n v="511"/>
    <s v="165879A"/>
    <s v="Bar Salamanca tabaco"/>
    <x v="1154"/>
    <n v="1"/>
    <n v="1"/>
  </r>
  <r>
    <n v="9"/>
    <x v="1022"/>
    <x v="358"/>
    <n v="2"/>
    <n v="13"/>
    <x v="13"/>
    <x v="13"/>
    <n v="13"/>
    <s v="110301"/>
    <s v="Bar de Canto Puerto Montt Tabaco"/>
    <x v="1155"/>
    <n v="1"/>
    <n v="1"/>
  </r>
  <r>
    <n v="24"/>
    <x v="1023"/>
    <x v="359"/>
    <n v="1"/>
    <n v="675"/>
    <x v="57"/>
    <x v="57"/>
    <n v="675"/>
    <s v="181596"/>
    <s v="Closet Onix Plus 6ptas. 2 cajones"/>
    <x v="34"/>
    <n v="4"/>
    <n v="4"/>
  </r>
  <r>
    <n v="24"/>
    <x v="1023"/>
    <x v="359"/>
    <n v="2"/>
    <n v="898"/>
    <x v="226"/>
    <x v="226"/>
    <n v="766"/>
    <s v="181677"/>
    <s v="Set respaldo + 2 veladores  Marcia(New Bento)"/>
    <x v="34"/>
    <n v="3"/>
    <n v="3"/>
  </r>
  <r>
    <n v="24"/>
    <x v="1023"/>
    <x v="359"/>
    <n v="3"/>
    <n v="892"/>
    <x v="25"/>
    <x v="25"/>
    <n v="892"/>
    <s v="181824"/>
    <s v="RESPALDO MONACO "/>
    <x v="34"/>
    <n v="2"/>
    <n v="2"/>
  </r>
  <r>
    <n v="9"/>
    <x v="193"/>
    <x v="360"/>
    <n v="8"/>
    <n v="666"/>
    <x v="220"/>
    <x v="220"/>
    <n v="666"/>
    <s v="181587"/>
    <s v="Panel TV extensible Florencia "/>
    <x v="1156"/>
    <n v="1"/>
    <n v="1"/>
  </r>
  <r>
    <n v="9"/>
    <x v="1024"/>
    <x v="360"/>
    <n v="11"/>
    <n v="584"/>
    <x v="96"/>
    <x v="96"/>
    <n v="584"/>
    <s v="130290"/>
    <s v="Rack New Montana bco"/>
    <x v="1157"/>
    <n v="1"/>
    <n v="1"/>
  </r>
  <r>
    <n v="9"/>
    <x v="1024"/>
    <x v="360"/>
    <n v="12"/>
    <n v="584"/>
    <x v="96"/>
    <x v="96"/>
    <n v="584"/>
    <s v="130290"/>
    <s v="Rack New Montana bco"/>
    <x v="1158"/>
    <n v="1"/>
    <n v="1"/>
  </r>
  <r>
    <n v="9"/>
    <x v="193"/>
    <x v="361"/>
    <n v="1"/>
    <n v="13"/>
    <x v="13"/>
    <x v="13"/>
    <n v="13"/>
    <s v="110301"/>
    <s v="Bar de Canto Puerto Montt Tabaco"/>
    <x v="1159"/>
    <n v="1"/>
    <n v="1"/>
  </r>
  <r>
    <n v="9"/>
    <x v="1024"/>
    <x v="362"/>
    <n v="1"/>
    <n v="716"/>
    <x v="203"/>
    <x v="203"/>
    <n v="716"/>
    <s v="181642"/>
    <s v="Sofa 2 cuerpos antonia"/>
    <x v="1160"/>
    <n v="1"/>
    <n v="1"/>
  </r>
  <r>
    <n v="9"/>
    <x v="1025"/>
    <x v="363"/>
    <n v="2"/>
    <n v="970"/>
    <x v="0"/>
    <x v="0"/>
    <n v="506"/>
    <s v="120023"/>
    <s v="Estante Aruba"/>
    <x v="34"/>
    <n v="1"/>
    <n v="1"/>
  </r>
  <r>
    <n v="9"/>
    <x v="1026"/>
    <x v="363"/>
    <n v="1"/>
    <n v="753"/>
    <x v="106"/>
    <x v="106"/>
    <n v="753"/>
    <s v="181681"/>
    <s v="Estante Grande Barcelona"/>
    <x v="34"/>
    <n v="1"/>
    <n v="1"/>
  </r>
  <r>
    <n v="9"/>
    <x v="1027"/>
    <x v="364"/>
    <n v="7"/>
    <n v="639"/>
    <x v="15"/>
    <x v="15"/>
    <n v="639"/>
    <s v="181552"/>
    <s v="Home Lara 1.35 "/>
    <x v="1161"/>
    <n v="1"/>
    <n v="1"/>
  </r>
  <r>
    <n v="9"/>
    <x v="1028"/>
    <x v="364"/>
    <n v="2"/>
    <n v="674"/>
    <x v="23"/>
    <x v="23"/>
    <n v="674"/>
    <s v="181595"/>
    <s v="Home Deneb"/>
    <x v="1162"/>
    <n v="1"/>
    <n v="1"/>
  </r>
  <r>
    <n v="9"/>
    <x v="1028"/>
    <x v="364"/>
    <n v="3"/>
    <n v="686"/>
    <x v="34"/>
    <x v="34"/>
    <n v="686"/>
    <s v="181612"/>
    <s v="Poltrona Lennon"/>
    <x v="1163"/>
    <n v="1"/>
    <n v="1"/>
  </r>
  <r>
    <n v="9"/>
    <x v="1027"/>
    <x v="365"/>
    <n v="2"/>
    <n v="641"/>
    <x v="20"/>
    <x v="20"/>
    <n v="641"/>
    <s v="181554"/>
    <s v="Mesa Para TV Puerto Rico"/>
    <x v="1164"/>
    <n v="1"/>
    <n v="1"/>
  </r>
  <r>
    <n v="9"/>
    <x v="1028"/>
    <x v="365"/>
    <n v="1"/>
    <n v="666"/>
    <x v="220"/>
    <x v="220"/>
    <n v="666"/>
    <s v="181587"/>
    <s v="Panel TV extensible Florencia "/>
    <x v="1165"/>
    <n v="1"/>
    <n v="1"/>
  </r>
  <r>
    <n v="4"/>
    <x v="1029"/>
    <x v="366"/>
    <n v="1"/>
    <n v="704"/>
    <x v="12"/>
    <x v="12"/>
    <n v="704"/>
    <s v="181630"/>
    <s v="Juego de comedor sofia 1+6"/>
    <x v="1166"/>
    <n v="1"/>
    <n v="1"/>
  </r>
  <r>
    <n v="4"/>
    <x v="1030"/>
    <x v="366"/>
    <n v="2"/>
    <n v="702"/>
    <x v="26"/>
    <x v="26"/>
    <n v="702"/>
    <s v="181628"/>
    <s v="Juego de 2 andres  1+4"/>
    <x v="1167"/>
    <n v="1"/>
    <n v="1"/>
  </r>
  <r>
    <n v="4"/>
    <x v="1031"/>
    <x v="366"/>
    <n v="5"/>
    <n v="179"/>
    <x v="7"/>
    <x v="7"/>
    <n v="179"/>
    <s v="161004"/>
    <s v="Escritorio Nazca artico 1215"/>
    <x v="1168"/>
    <n v="1"/>
    <n v="1"/>
  </r>
  <r>
    <n v="4"/>
    <x v="1032"/>
    <x v="366"/>
    <n v="3"/>
    <n v="13"/>
    <x v="13"/>
    <x v="13"/>
    <n v="13"/>
    <s v="110301"/>
    <s v="Bar de Canto Puerto Montt Tabaco"/>
    <x v="1169"/>
    <n v="1"/>
    <n v="1"/>
  </r>
  <r>
    <n v="4"/>
    <x v="1033"/>
    <x v="366"/>
    <n v="4"/>
    <n v="404"/>
    <x v="17"/>
    <x v="17"/>
    <n v="404"/>
    <s v="161012"/>
    <s v="kit dormitorio + modulo 1233 + 3017 aberto"/>
    <x v="1170"/>
    <n v="1"/>
    <n v="1"/>
  </r>
  <r>
    <n v="3"/>
    <x v="1018"/>
    <x v="367"/>
    <n v="2"/>
    <n v="970"/>
    <x v="0"/>
    <x v="0"/>
    <n v="506"/>
    <s v="120023"/>
    <s v="Estante Aruba"/>
    <x v="34"/>
    <n v="1"/>
    <n v="1"/>
  </r>
  <r>
    <n v="9"/>
    <x v="184"/>
    <x v="368"/>
    <n v="7"/>
    <n v="970"/>
    <x v="0"/>
    <x v="0"/>
    <n v="506"/>
    <s v="120023"/>
    <s v="Estante Aruba"/>
    <x v="1171"/>
    <n v="1"/>
    <n v="1"/>
  </r>
  <r>
    <n v="1"/>
    <x v="1034"/>
    <x v="369"/>
    <n v="1"/>
    <n v="593"/>
    <x v="227"/>
    <x v="227"/>
    <n v="593"/>
    <s v="130299"/>
    <s v="Mueble Despensa 1 Puerta Blanco"/>
    <x v="76"/>
    <n v="8"/>
    <n v="0"/>
  </r>
  <r>
    <n v="1"/>
    <x v="1034"/>
    <x v="369"/>
    <n v="2"/>
    <n v="594"/>
    <x v="228"/>
    <x v="228"/>
    <n v="594"/>
    <s v="181504"/>
    <s v="Mueble Despensa 2 Puerta Blanco"/>
    <x v="75"/>
    <n v="8"/>
    <n v="0"/>
  </r>
  <r>
    <n v="3"/>
    <x v="465"/>
    <x v="0"/>
    <n v="9"/>
    <n v="409"/>
    <x v="47"/>
    <x v="47"/>
    <n v="409"/>
    <s v="120011"/>
    <s v="Home Roma "/>
    <x v="1172"/>
    <n v="1"/>
    <n v="1"/>
  </r>
  <r>
    <n v="3"/>
    <x v="465"/>
    <x v="0"/>
    <n v="10"/>
    <n v="970"/>
    <x v="0"/>
    <x v="0"/>
    <n v="506"/>
    <s v="120023"/>
    <s v="Estante Aruba"/>
    <x v="1173"/>
    <n v="1"/>
    <n v="1"/>
  </r>
  <r>
    <n v="3"/>
    <x v="465"/>
    <x v="0"/>
    <n v="16"/>
    <n v="824"/>
    <x v="1"/>
    <x v="1"/>
    <n v="824"/>
    <s v="181756"/>
    <s v="Rack Line (New Zero)"/>
    <x v="546"/>
    <n v="1"/>
    <n v="0"/>
  </r>
  <r>
    <n v="3"/>
    <x v="465"/>
    <x v="0"/>
    <n v="22"/>
    <n v="638"/>
    <x v="22"/>
    <x v="22"/>
    <n v="638"/>
    <s v="181551"/>
    <s v="Home Ipanema 1.80 "/>
    <x v="1174"/>
    <n v="1"/>
    <n v="1"/>
  </r>
  <r>
    <n v="3"/>
    <x v="0"/>
    <x v="0"/>
    <n v="11"/>
    <n v="970"/>
    <x v="0"/>
    <x v="0"/>
    <n v="506"/>
    <s v="120023"/>
    <s v="Estante Aruba"/>
    <x v="1175"/>
    <n v="1"/>
    <n v="1"/>
  </r>
  <r>
    <n v="1"/>
    <x v="897"/>
    <x v="327"/>
    <n v="4"/>
    <n v="618"/>
    <x v="90"/>
    <x v="90"/>
    <n v="618"/>
    <s v="181531"/>
    <s v="Lavaplatos 100 Derecho C/Reb Blanco Notavel"/>
    <x v="152"/>
    <n v="24"/>
    <n v="24"/>
  </r>
  <r>
    <n v="1"/>
    <x v="897"/>
    <x v="327"/>
    <n v="5"/>
    <n v="619"/>
    <x v="138"/>
    <x v="138"/>
    <n v="619"/>
    <s v="181532"/>
    <s v="Lavaplatos 100 Izquierdo C/Reb Blanco Notavel"/>
    <x v="155"/>
    <n v="6"/>
    <n v="6"/>
  </r>
  <r>
    <n v="1"/>
    <x v="897"/>
    <x v="327"/>
    <n v="6"/>
    <n v="620"/>
    <x v="93"/>
    <x v="93"/>
    <n v="620"/>
    <s v="181533"/>
    <s v="Lavaplatos 120 Derecho C/Reb Blanco Notavel"/>
    <x v="154"/>
    <n v="18"/>
    <n v="18"/>
  </r>
  <r>
    <n v="1"/>
    <x v="897"/>
    <x v="327"/>
    <n v="7"/>
    <n v="621"/>
    <x v="148"/>
    <x v="148"/>
    <n v="621"/>
    <s v="181534"/>
    <s v="Lavaplatos 120 Izquierdo C/Reb Blancoo Notavel"/>
    <x v="153"/>
    <n v="18"/>
    <n v="18"/>
  </r>
  <r>
    <n v="4"/>
    <x v="1035"/>
    <x v="370"/>
    <n v="5"/>
    <n v="702"/>
    <x v="26"/>
    <x v="26"/>
    <n v="702"/>
    <s v="181628"/>
    <s v="Juego de 2 andres  1+4"/>
    <x v="1176"/>
    <n v="1"/>
    <n v="1"/>
  </r>
  <r>
    <n v="4"/>
    <x v="1036"/>
    <x v="370"/>
    <n v="2"/>
    <n v="700"/>
    <x v="67"/>
    <x v="67"/>
    <n v="700"/>
    <s v="181626"/>
    <s v="Comedor francia 6+1"/>
    <x v="1177"/>
    <n v="1"/>
    <n v="1"/>
  </r>
  <r>
    <n v="4"/>
    <x v="1037"/>
    <x v="370"/>
    <n v="3"/>
    <n v="347"/>
    <x v="40"/>
    <x v="40"/>
    <n v="347"/>
    <s v="160116"/>
    <s v="Mesa de Centro Classic rustico malbec"/>
    <x v="1178"/>
    <n v="1"/>
    <n v="1"/>
  </r>
  <r>
    <n v="4"/>
    <x v="80"/>
    <x v="370"/>
    <n v="4"/>
    <n v="342"/>
    <x v="63"/>
    <x v="63"/>
    <n v="342"/>
    <s v="160111"/>
    <s v="Mesa de Lateral ALBA bco laca - café"/>
    <x v="85"/>
    <n v="1"/>
    <n v="1"/>
  </r>
  <r>
    <n v="4"/>
    <x v="1038"/>
    <x v="370"/>
    <n v="1"/>
    <n v="347"/>
    <x v="40"/>
    <x v="40"/>
    <n v="347"/>
    <s v="160116"/>
    <s v="Mesa de Centro Classic rustico malbec"/>
    <x v="1179"/>
    <n v="1"/>
    <n v="1"/>
  </r>
  <r>
    <n v="8"/>
    <x v="1039"/>
    <x v="371"/>
    <n v="1"/>
    <n v="865"/>
    <x v="58"/>
    <x v="58"/>
    <n v="405"/>
    <s v="165368"/>
    <s v="Comoda Dinamo 4C + 1P"/>
    <x v="81"/>
    <n v="26"/>
    <n v="26"/>
  </r>
  <r>
    <n v="8"/>
    <x v="1039"/>
    <x v="371"/>
    <n v="2"/>
    <n v="896"/>
    <x v="60"/>
    <x v="60"/>
    <n v="653"/>
    <s v="181566"/>
    <s v="Depensa 1 Puerta alta"/>
    <x v="83"/>
    <n v="67"/>
    <n v="67"/>
  </r>
  <r>
    <n v="6"/>
    <x v="55"/>
    <x v="372"/>
    <n v="1"/>
    <n v="877"/>
    <x v="49"/>
    <x v="49"/>
    <n v="509"/>
    <s v="170120"/>
    <s v="New Santiago"/>
    <x v="62"/>
    <n v="1"/>
    <n v="1"/>
  </r>
  <r>
    <n v="4"/>
    <x v="1040"/>
    <x v="373"/>
    <n v="2"/>
    <n v="464"/>
    <x v="229"/>
    <x v="229"/>
    <n v="464"/>
    <s v="140681"/>
    <s v="Mesa lateral Monaco amarillo"/>
    <x v="1180"/>
    <n v="1"/>
    <n v="1"/>
  </r>
  <r>
    <n v="4"/>
    <x v="1041"/>
    <x v="373"/>
    <n v="3"/>
    <n v="714"/>
    <x v="28"/>
    <x v="28"/>
    <n v="714"/>
    <s v="181640"/>
    <s v="Kit Magazin 120"/>
    <x v="1181"/>
    <n v="1"/>
    <n v="1"/>
  </r>
  <r>
    <n v="4"/>
    <x v="1042"/>
    <x v="373"/>
    <n v="4"/>
    <n v="781"/>
    <x v="6"/>
    <x v="6"/>
    <n v="781"/>
    <s v="181660"/>
    <s v="COMEDOR TOLEDO 1+6"/>
    <x v="1182"/>
    <n v="1"/>
    <n v="1"/>
  </r>
  <r>
    <n v="4"/>
    <x v="1043"/>
    <x v="373"/>
    <n v="5"/>
    <n v="347"/>
    <x v="40"/>
    <x v="40"/>
    <n v="347"/>
    <s v="160116"/>
    <s v="Mesa de Centro Classic rustico malbec"/>
    <x v="1183"/>
    <n v="1"/>
    <n v="1"/>
  </r>
  <r>
    <n v="4"/>
    <x v="1044"/>
    <x v="373"/>
    <n v="1"/>
    <n v="403"/>
    <x v="27"/>
    <x v="27"/>
    <n v="403"/>
    <s v="161011"/>
    <s v="Escritorio Curitiba artico"/>
    <x v="1184"/>
    <n v="1"/>
    <n v="1"/>
  </r>
  <r>
    <n v="4"/>
    <x v="1045"/>
    <x v="374"/>
    <n v="2"/>
    <n v="700"/>
    <x v="67"/>
    <x v="67"/>
    <n v="700"/>
    <s v="181626"/>
    <s v="Comedor francia 6+1"/>
    <x v="1185"/>
    <n v="1"/>
    <n v="1"/>
  </r>
  <r>
    <n v="4"/>
    <x v="1046"/>
    <x v="374"/>
    <n v="1"/>
    <n v="13"/>
    <x v="13"/>
    <x v="13"/>
    <n v="13"/>
    <s v="110301"/>
    <s v="Bar de Canto Puerto Montt Tabaco"/>
    <x v="1186"/>
    <n v="1"/>
    <n v="1"/>
  </r>
  <r>
    <n v="6"/>
    <x v="1047"/>
    <x v="375"/>
    <n v="1"/>
    <n v="584"/>
    <x v="96"/>
    <x v="96"/>
    <n v="584"/>
    <s v="130290"/>
    <s v="Rack New Montana bco"/>
    <x v="1187"/>
    <n v="1"/>
    <n v="1"/>
  </r>
  <r>
    <n v="9"/>
    <x v="1048"/>
    <x v="376"/>
    <n v="1"/>
    <n v="680"/>
    <x v="116"/>
    <x v="116"/>
    <n v="680"/>
    <s v="181600"/>
    <s v="Estante Cristal"/>
    <x v="1188"/>
    <n v="1"/>
    <n v="1"/>
  </r>
  <r>
    <n v="9"/>
    <x v="1049"/>
    <x v="377"/>
    <n v="3"/>
    <n v="970"/>
    <x v="0"/>
    <x v="0"/>
    <n v="506"/>
    <s v="120023"/>
    <s v="Estante Aruba"/>
    <x v="1189"/>
    <n v="1"/>
    <n v="1"/>
  </r>
  <r>
    <n v="9"/>
    <x v="1050"/>
    <x v="377"/>
    <n v="4"/>
    <n v="347"/>
    <x v="40"/>
    <x v="40"/>
    <n v="347"/>
    <s v="160116"/>
    <s v="Mesa de Centro Classic rustico malbec"/>
    <x v="1190"/>
    <n v="1"/>
    <n v="1"/>
  </r>
  <r>
    <n v="9"/>
    <x v="1051"/>
    <x v="377"/>
    <n v="5"/>
    <n v="409"/>
    <x v="47"/>
    <x v="47"/>
    <n v="409"/>
    <s v="120011"/>
    <s v="Home Roma "/>
    <x v="1191"/>
    <n v="1"/>
    <n v="1"/>
  </r>
  <r>
    <n v="9"/>
    <x v="412"/>
    <x v="377"/>
    <n v="6"/>
    <n v="382"/>
    <x v="50"/>
    <x v="50"/>
    <n v="382"/>
    <s v="165690"/>
    <s v="Cocina Flavia teka - brown"/>
    <x v="1192"/>
    <n v="1"/>
    <n v="1"/>
  </r>
  <r>
    <n v="9"/>
    <x v="412"/>
    <x v="377"/>
    <n v="7"/>
    <n v="404"/>
    <x v="17"/>
    <x v="17"/>
    <n v="404"/>
    <s v="161012"/>
    <s v="kit dormitorio + modulo 1233 + 3017 aberto"/>
    <x v="1193"/>
    <n v="1"/>
    <n v="1"/>
  </r>
  <r>
    <n v="9"/>
    <x v="1048"/>
    <x v="377"/>
    <n v="1"/>
    <n v="584"/>
    <x v="96"/>
    <x v="96"/>
    <n v="584"/>
    <s v="130290"/>
    <s v="Rack New Montana bco"/>
    <x v="1194"/>
    <n v="1"/>
    <n v="1"/>
  </r>
  <r>
    <n v="9"/>
    <x v="1052"/>
    <x v="377"/>
    <n v="2"/>
    <n v="680"/>
    <x v="116"/>
    <x v="116"/>
    <n v="680"/>
    <s v="181600"/>
    <s v="Estante Cristal"/>
    <x v="1195"/>
    <n v="1"/>
    <n v="1"/>
  </r>
  <r>
    <n v="9"/>
    <x v="1053"/>
    <x v="378"/>
    <n v="1"/>
    <n v="717"/>
    <x v="97"/>
    <x v="97"/>
    <n v="717"/>
    <s v="181643"/>
    <s v="Sofa 2 cuerpos catalina"/>
    <x v="1196"/>
    <n v="1"/>
    <n v="1"/>
  </r>
  <r>
    <n v="1"/>
    <x v="1054"/>
    <x v="379"/>
    <n v="1"/>
    <n v="878"/>
    <x v="77"/>
    <x v="77"/>
    <n v="362"/>
    <s v="170778"/>
    <s v="Rack Arterra rov tx - rov tx 52080"/>
    <x v="75"/>
    <n v="12"/>
    <n v="12"/>
  </r>
  <r>
    <n v="1"/>
    <x v="1054"/>
    <x v="379"/>
    <n v="2"/>
    <n v="616"/>
    <x v="164"/>
    <x v="164"/>
    <n v="616"/>
    <s v="181529"/>
    <s v="Lavaplatos 80 Derecho C/Reb Blanco Notavel"/>
    <x v="76"/>
    <n v="6"/>
    <n v="6"/>
  </r>
  <r>
    <n v="1"/>
    <x v="1054"/>
    <x v="379"/>
    <n v="3"/>
    <n v="617"/>
    <x v="78"/>
    <x v="78"/>
    <n v="617"/>
    <s v="181530"/>
    <s v="Lavaplatos 80 Izquierdo C/Reb Blanco Notavel"/>
    <x v="77"/>
    <n v="6"/>
    <n v="6"/>
  </r>
  <r>
    <n v="1"/>
    <x v="1054"/>
    <x v="379"/>
    <n v="4"/>
    <n v="620"/>
    <x v="93"/>
    <x v="93"/>
    <n v="620"/>
    <s v="181533"/>
    <s v="Lavaplatos 120 Derecho C/Reb Blanco Notavel"/>
    <x v="152"/>
    <n v="6"/>
    <n v="6"/>
  </r>
  <r>
    <n v="1"/>
    <x v="1054"/>
    <x v="379"/>
    <n v="5"/>
    <n v="621"/>
    <x v="148"/>
    <x v="148"/>
    <n v="621"/>
    <s v="181534"/>
    <s v="Lavaplatos 120 Izquierdo C/Reb Blancoo Notavel"/>
    <x v="155"/>
    <n v="6"/>
    <n v="6"/>
  </r>
  <r>
    <n v="2"/>
    <x v="1055"/>
    <x v="11"/>
    <n v="2"/>
    <n v="970"/>
    <x v="0"/>
    <x v="0"/>
    <n v="506"/>
    <s v="120023"/>
    <s v="Estante Aruba"/>
    <x v="1197"/>
    <n v="1"/>
    <n v="1"/>
  </r>
  <r>
    <n v="9"/>
    <x v="1056"/>
    <x v="334"/>
    <n v="25"/>
    <n v="639"/>
    <x v="15"/>
    <x v="15"/>
    <n v="639"/>
    <s v="181552"/>
    <s v="Home Lara 1.35 "/>
    <x v="1198"/>
    <n v="1"/>
    <n v="1"/>
  </r>
  <r>
    <n v="9"/>
    <x v="1057"/>
    <x v="334"/>
    <n v="26"/>
    <n v="638"/>
    <x v="22"/>
    <x v="22"/>
    <n v="638"/>
    <s v="181551"/>
    <s v="Home Ipanema 1.80 "/>
    <x v="1199"/>
    <n v="1"/>
    <n v="1"/>
  </r>
  <r>
    <n v="9"/>
    <x v="1057"/>
    <x v="334"/>
    <n v="27"/>
    <n v="400"/>
    <x v="89"/>
    <x v="89"/>
    <n v="400"/>
    <s v="161008"/>
    <s v="Escritorio Fenix Artico"/>
    <x v="1200"/>
    <n v="1"/>
    <n v="1"/>
  </r>
  <r>
    <n v="9"/>
    <x v="524"/>
    <x v="334"/>
    <n v="7"/>
    <n v="680"/>
    <x v="116"/>
    <x v="116"/>
    <n v="680"/>
    <s v="181600"/>
    <s v="Estante Cristal"/>
    <x v="1201"/>
    <n v="1"/>
    <n v="1"/>
  </r>
  <r>
    <n v="9"/>
    <x v="524"/>
    <x v="334"/>
    <n v="8"/>
    <n v="179"/>
    <x v="7"/>
    <x v="7"/>
    <n v="179"/>
    <s v="161004"/>
    <s v="Escritorio Nazca artico 1215"/>
    <x v="1202"/>
    <n v="1"/>
    <n v="1"/>
  </r>
  <r>
    <n v="9"/>
    <x v="1058"/>
    <x v="334"/>
    <n v="9"/>
    <n v="409"/>
    <x v="47"/>
    <x v="47"/>
    <n v="409"/>
    <s v="120011"/>
    <s v="Home Roma "/>
    <x v="1203"/>
    <n v="1"/>
    <n v="1"/>
  </r>
  <r>
    <n v="9"/>
    <x v="924"/>
    <x v="334"/>
    <n v="10"/>
    <n v="970"/>
    <x v="0"/>
    <x v="0"/>
    <n v="506"/>
    <s v="120023"/>
    <s v="Estante Aruba"/>
    <x v="1204"/>
    <n v="1"/>
    <n v="1"/>
  </r>
  <r>
    <n v="9"/>
    <x v="1059"/>
    <x v="334"/>
    <n v="11"/>
    <n v="638"/>
    <x v="22"/>
    <x v="22"/>
    <n v="638"/>
    <s v="181551"/>
    <s v="Home Ipanema 1.80 "/>
    <x v="1205"/>
    <n v="1"/>
    <n v="1"/>
  </r>
  <r>
    <n v="9"/>
    <x v="1060"/>
    <x v="334"/>
    <n v="12"/>
    <n v="638"/>
    <x v="22"/>
    <x v="22"/>
    <n v="638"/>
    <s v="181551"/>
    <s v="Home Ipanema 1.80 "/>
    <x v="1206"/>
    <n v="1"/>
    <n v="1"/>
  </r>
  <r>
    <n v="9"/>
    <x v="1060"/>
    <x v="334"/>
    <n v="13"/>
    <n v="674"/>
    <x v="23"/>
    <x v="23"/>
    <n v="674"/>
    <s v="181595"/>
    <s v="Home Deneb"/>
    <x v="1207"/>
    <n v="1"/>
    <n v="1"/>
  </r>
  <r>
    <n v="9"/>
    <x v="74"/>
    <x v="334"/>
    <n v="1"/>
    <n v="400"/>
    <x v="89"/>
    <x v="89"/>
    <n v="400"/>
    <s v="161008"/>
    <s v="Escritorio Fenix Artico"/>
    <x v="1208"/>
    <n v="1"/>
    <n v="1"/>
  </r>
  <r>
    <n v="9"/>
    <x v="74"/>
    <x v="334"/>
    <n v="2"/>
    <n v="403"/>
    <x v="27"/>
    <x v="27"/>
    <n v="403"/>
    <s v="161011"/>
    <s v="Escritorio Curitiba artico"/>
    <x v="1209"/>
    <n v="1"/>
    <n v="1"/>
  </r>
  <r>
    <n v="9"/>
    <x v="1061"/>
    <x v="334"/>
    <n v="3"/>
    <n v="402"/>
    <x v="32"/>
    <x v="32"/>
    <n v="402"/>
    <s v="161010"/>
    <s v="Escritorio Cali artico"/>
    <x v="1210"/>
    <n v="1"/>
    <n v="1"/>
  </r>
  <r>
    <n v="9"/>
    <x v="1062"/>
    <x v="334"/>
    <n v="4"/>
    <n v="180"/>
    <x v="70"/>
    <x v="70"/>
    <n v="180"/>
    <s v="161005"/>
    <s v="Escritorio España kit castaño 1176"/>
    <x v="1211"/>
    <n v="1"/>
    <n v="1"/>
  </r>
  <r>
    <n v="9"/>
    <x v="1063"/>
    <x v="334"/>
    <n v="5"/>
    <n v="638"/>
    <x v="22"/>
    <x v="22"/>
    <n v="638"/>
    <s v="181551"/>
    <s v="Home Ipanema 1.80 "/>
    <x v="1212"/>
    <n v="1"/>
    <n v="1"/>
  </r>
  <r>
    <n v="9"/>
    <x v="525"/>
    <x v="334"/>
    <n v="6"/>
    <n v="774"/>
    <x v="109"/>
    <x v="109"/>
    <n v="774"/>
    <s v="181696"/>
    <s v="Camarote 303"/>
    <x v="1213"/>
    <n v="1"/>
    <n v="1"/>
  </r>
  <r>
    <n v="9"/>
    <x v="520"/>
    <x v="17"/>
    <n v="8"/>
    <n v="970"/>
    <x v="0"/>
    <x v="0"/>
    <n v="506"/>
    <s v="120023"/>
    <s v="Estante Aruba"/>
    <x v="1214"/>
    <n v="1"/>
    <n v="1"/>
  </r>
  <r>
    <n v="9"/>
    <x v="520"/>
    <x v="17"/>
    <n v="9"/>
    <n v="403"/>
    <x v="27"/>
    <x v="27"/>
    <n v="403"/>
    <s v="161011"/>
    <s v="Escritorio Curitiba artico"/>
    <x v="1215"/>
    <n v="1"/>
    <n v="1"/>
  </r>
  <r>
    <n v="9"/>
    <x v="520"/>
    <x v="17"/>
    <n v="10"/>
    <n v="680"/>
    <x v="116"/>
    <x v="116"/>
    <n v="680"/>
    <s v="181600"/>
    <s v="Estante Cristal"/>
    <x v="1216"/>
    <n v="1"/>
    <n v="1"/>
  </r>
  <r>
    <n v="9"/>
    <x v="520"/>
    <x v="17"/>
    <n v="11"/>
    <n v="180"/>
    <x v="70"/>
    <x v="70"/>
    <n v="180"/>
    <s v="161005"/>
    <s v="Escritorio España kit castaño 1176"/>
    <x v="1217"/>
    <n v="1"/>
    <n v="1"/>
  </r>
  <r>
    <n v="9"/>
    <x v="520"/>
    <x v="17"/>
    <n v="12"/>
    <n v="638"/>
    <x v="22"/>
    <x v="22"/>
    <n v="638"/>
    <s v="181551"/>
    <s v="Home Ipanema 1.80 "/>
    <x v="1218"/>
    <n v="1"/>
    <n v="1"/>
  </r>
  <r>
    <n v="9"/>
    <x v="289"/>
    <x v="17"/>
    <n v="13"/>
    <n v="970"/>
    <x v="0"/>
    <x v="0"/>
    <n v="498"/>
    <s v="160121"/>
    <s v="Mesa de centro pt mad Cataño 160389"/>
    <x v="351"/>
    <n v="1"/>
    <n v="1"/>
  </r>
  <r>
    <n v="9"/>
    <x v="1064"/>
    <x v="17"/>
    <n v="14"/>
    <n v="970"/>
    <x v="0"/>
    <x v="0"/>
    <n v="506"/>
    <s v="120023"/>
    <s v="Estante Aruba"/>
    <x v="1219"/>
    <n v="1"/>
    <n v="1"/>
  </r>
  <r>
    <n v="9"/>
    <x v="522"/>
    <x v="17"/>
    <n v="15"/>
    <n v="970"/>
    <x v="0"/>
    <x v="0"/>
    <n v="506"/>
    <s v="120023"/>
    <s v="Estante Aruba"/>
    <x v="1220"/>
    <n v="1"/>
    <n v="1"/>
  </r>
  <r>
    <n v="9"/>
    <x v="522"/>
    <x v="17"/>
    <n v="16"/>
    <n v="179"/>
    <x v="7"/>
    <x v="7"/>
    <n v="179"/>
    <s v="161004"/>
    <s v="Escritorio Nazca artico 1215"/>
    <x v="1221"/>
    <n v="1"/>
    <n v="1"/>
  </r>
  <r>
    <n v="9"/>
    <x v="522"/>
    <x v="17"/>
    <n v="17"/>
    <n v="639"/>
    <x v="15"/>
    <x v="15"/>
    <n v="639"/>
    <s v="181552"/>
    <s v="Home Lara 1.35 "/>
    <x v="1222"/>
    <n v="1"/>
    <n v="1"/>
  </r>
  <r>
    <n v="9"/>
    <x v="1065"/>
    <x v="17"/>
    <n v="18"/>
    <n v="970"/>
    <x v="0"/>
    <x v="0"/>
    <n v="506"/>
    <s v="120023"/>
    <s v="Estante Aruba"/>
    <x v="1223"/>
    <n v="1"/>
    <n v="1"/>
  </r>
  <r>
    <n v="9"/>
    <x v="1065"/>
    <x v="17"/>
    <n v="19"/>
    <n v="400"/>
    <x v="89"/>
    <x v="89"/>
    <n v="400"/>
    <s v="161008"/>
    <s v="Escritorio Fenix Artico"/>
    <x v="1224"/>
    <n v="1"/>
    <n v="1"/>
  </r>
  <r>
    <n v="9"/>
    <x v="1065"/>
    <x v="17"/>
    <n v="20"/>
    <n v="680"/>
    <x v="116"/>
    <x v="116"/>
    <n v="680"/>
    <s v="181600"/>
    <s v="Estante Cristal"/>
    <x v="1225"/>
    <n v="1"/>
    <n v="1"/>
  </r>
  <r>
    <n v="9"/>
    <x v="1065"/>
    <x v="17"/>
    <n v="21"/>
    <n v="970"/>
    <x v="0"/>
    <x v="0"/>
    <n v="506"/>
    <s v="120023"/>
    <s v="Estante Aruba"/>
    <x v="1226"/>
    <n v="1"/>
    <n v="1"/>
  </r>
  <r>
    <n v="9"/>
    <x v="1065"/>
    <x v="17"/>
    <n v="22"/>
    <n v="584"/>
    <x v="96"/>
    <x v="96"/>
    <n v="584"/>
    <s v="130290"/>
    <s v="Rack New Montana bco"/>
    <x v="1227"/>
    <n v="1"/>
    <n v="1"/>
  </r>
  <r>
    <n v="9"/>
    <x v="1065"/>
    <x v="17"/>
    <n v="23"/>
    <n v="179"/>
    <x v="7"/>
    <x v="7"/>
    <n v="179"/>
    <s v="161004"/>
    <s v="Escritorio Nazca artico 1215"/>
    <x v="1228"/>
    <n v="1"/>
    <n v="1"/>
  </r>
  <r>
    <n v="9"/>
    <x v="1065"/>
    <x v="17"/>
    <n v="24"/>
    <n v="403"/>
    <x v="27"/>
    <x v="27"/>
    <n v="403"/>
    <s v="161011"/>
    <s v="Escritorio Curitiba artico"/>
    <x v="1229"/>
    <n v="1"/>
    <n v="1"/>
  </r>
  <r>
    <n v="9"/>
    <x v="1057"/>
    <x v="17"/>
    <n v="4"/>
    <n v="731"/>
    <x v="230"/>
    <x v="230"/>
    <n v="731"/>
    <s v="181605"/>
    <s v="Comedor Bela Olimpia 1+6"/>
    <x v="1230"/>
    <n v="1"/>
    <n v="1"/>
  </r>
  <r>
    <n v="9"/>
    <x v="1066"/>
    <x v="17"/>
    <n v="5"/>
    <n v="970"/>
    <x v="0"/>
    <x v="0"/>
    <n v="506"/>
    <s v="120023"/>
    <s v="Estante Aruba"/>
    <x v="1231"/>
    <n v="1"/>
    <n v="1"/>
  </r>
  <r>
    <n v="9"/>
    <x v="1066"/>
    <x v="17"/>
    <n v="6"/>
    <n v="970"/>
    <x v="0"/>
    <x v="0"/>
    <n v="506"/>
    <s v="120023"/>
    <s v="Estante Aruba"/>
    <x v="1232"/>
    <n v="1"/>
    <n v="1"/>
  </r>
  <r>
    <n v="9"/>
    <x v="1066"/>
    <x v="17"/>
    <n v="7"/>
    <n v="639"/>
    <x v="15"/>
    <x v="15"/>
    <n v="639"/>
    <s v="181552"/>
    <s v="Home Lara 1.35 "/>
    <x v="1233"/>
    <n v="1"/>
    <n v="1"/>
  </r>
  <r>
    <n v="9"/>
    <x v="1058"/>
    <x v="17"/>
    <n v="2"/>
    <n v="402"/>
    <x v="32"/>
    <x v="32"/>
    <n v="402"/>
    <s v="161010"/>
    <s v="Escritorio Cali artico"/>
    <x v="1234"/>
    <n v="1"/>
    <n v="1"/>
  </r>
  <r>
    <n v="3"/>
    <x v="838"/>
    <x v="341"/>
    <n v="5"/>
    <n v="745"/>
    <x v="2"/>
    <x v="2"/>
    <n v="745"/>
    <s v="181685"/>
    <s v="Closet Anastasia (Ex Capelinha) "/>
    <x v="943"/>
    <n v="1"/>
    <n v="1"/>
  </r>
  <r>
    <n v="3"/>
    <x v="1067"/>
    <x v="341"/>
    <n v="2"/>
    <n v="970"/>
    <x v="0"/>
    <x v="0"/>
    <n v="506"/>
    <s v="120023"/>
    <s v="Estante Aruba"/>
    <x v="1235"/>
    <n v="1"/>
    <n v="1"/>
  </r>
  <r>
    <n v="3"/>
    <x v="1067"/>
    <x v="341"/>
    <n v="3"/>
    <n v="970"/>
    <x v="0"/>
    <x v="0"/>
    <n v="506"/>
    <s v="120023"/>
    <s v="Estante Aruba"/>
    <x v="1236"/>
    <n v="1"/>
    <n v="1"/>
  </r>
  <r>
    <n v="3"/>
    <x v="1067"/>
    <x v="341"/>
    <n v="4"/>
    <n v="674"/>
    <x v="23"/>
    <x v="23"/>
    <n v="674"/>
    <s v="181595"/>
    <s v="Home Deneb"/>
    <x v="1237"/>
    <n v="1"/>
    <n v="1"/>
  </r>
  <r>
    <n v="2"/>
    <x v="1068"/>
    <x v="380"/>
    <n v="6"/>
    <n v="970"/>
    <x v="0"/>
    <x v="0"/>
    <n v="506"/>
    <s v="120023"/>
    <s v="Estante Aruba"/>
    <x v="1238"/>
    <n v="1"/>
    <n v="1"/>
  </r>
  <r>
    <n v="2"/>
    <x v="1069"/>
    <x v="380"/>
    <n v="2"/>
    <n v="181"/>
    <x v="76"/>
    <x v="76"/>
    <n v="181"/>
    <s v="161006"/>
    <s v="Escritorio Lindoia artico/turquesa 1194"/>
    <x v="1239"/>
    <n v="1"/>
    <n v="1"/>
  </r>
  <r>
    <n v="2"/>
    <x v="1070"/>
    <x v="380"/>
    <n v="3"/>
    <n v="970"/>
    <x v="0"/>
    <x v="0"/>
    <n v="506"/>
    <s v="120023"/>
    <s v="Estante Aruba"/>
    <x v="1240"/>
    <n v="1"/>
    <n v="1"/>
  </r>
  <r>
    <n v="2"/>
    <x v="1071"/>
    <x v="380"/>
    <n v="4"/>
    <n v="970"/>
    <x v="0"/>
    <x v="0"/>
    <n v="506"/>
    <s v="120023"/>
    <s v="Estante Aruba"/>
    <x v="1241"/>
    <n v="1"/>
    <n v="1"/>
  </r>
  <r>
    <n v="2"/>
    <x v="1072"/>
    <x v="380"/>
    <n v="5"/>
    <n v="970"/>
    <x v="0"/>
    <x v="0"/>
    <n v="506"/>
    <s v="120023"/>
    <s v="Estante Aruba"/>
    <x v="1242"/>
    <n v="1"/>
    <n v="1"/>
  </r>
  <r>
    <n v="2"/>
    <x v="1073"/>
    <x v="380"/>
    <n v="1"/>
    <n v="895"/>
    <x v="38"/>
    <x v="38"/>
    <n v="895"/>
    <s v="181812"/>
    <s v="RACK ART"/>
    <x v="1243"/>
    <n v="1"/>
    <n v="1"/>
  </r>
  <r>
    <n v="29"/>
    <x v="1074"/>
    <x v="381"/>
    <n v="1"/>
    <n v="833"/>
    <x v="108"/>
    <x v="108"/>
    <n v="833"/>
    <s v="181713"/>
    <s v="VELADOR 2 CAJONES DALIAS"/>
    <x v="1244"/>
    <n v="2"/>
    <n v="2"/>
  </r>
  <r>
    <n v="29"/>
    <x v="1075"/>
    <x v="381"/>
    <n v="2"/>
    <n v="850"/>
    <x v="140"/>
    <x v="140"/>
    <n v="850"/>
    <s v="181796"/>
    <s v="Gabinete Compostela"/>
    <x v="1245"/>
    <n v="1"/>
    <n v="1"/>
  </r>
  <r>
    <n v="4"/>
    <x v="1076"/>
    <x v="382"/>
    <n v="1"/>
    <n v="501"/>
    <x v="5"/>
    <x v="5"/>
    <n v="501"/>
    <s v="170782"/>
    <s v="Rack atacama pt mad castaño 160295"/>
    <x v="1246"/>
    <n v="1"/>
    <n v="1"/>
  </r>
  <r>
    <n v="6"/>
    <x v="1077"/>
    <x v="383"/>
    <n v="3"/>
    <n v="592"/>
    <x v="88"/>
    <x v="88"/>
    <n v="592"/>
    <s v="130298"/>
    <s v="Lavaplato 120 eco importado bco"/>
    <x v="1247"/>
    <n v="1"/>
    <n v="1"/>
  </r>
  <r>
    <n v="6"/>
    <x v="1078"/>
    <x v="383"/>
    <n v="1"/>
    <n v="842"/>
    <x v="36"/>
    <x v="36"/>
    <n v="842"/>
    <s v="181767"/>
    <s v="Panel Ipe"/>
    <x v="1248"/>
    <n v="1"/>
    <n v="1"/>
  </r>
  <r>
    <n v="6"/>
    <x v="1079"/>
    <x v="383"/>
    <n v="2"/>
    <n v="937"/>
    <x v="155"/>
    <x v="155"/>
    <n v="937"/>
    <s v="181837"/>
    <s v="Rack Jeri"/>
    <x v="1249"/>
    <n v="1"/>
    <n v="1"/>
  </r>
  <r>
    <n v="6"/>
    <x v="1080"/>
    <x v="384"/>
    <n v="1"/>
    <n v="474"/>
    <x v="30"/>
    <x v="30"/>
    <n v="474"/>
    <s v="120013"/>
    <s v="Mesa para tv MDP Montana Nat - Bco glas"/>
    <x v="1250"/>
    <n v="1"/>
    <n v="1"/>
  </r>
  <r>
    <n v="9"/>
    <x v="648"/>
    <x v="385"/>
    <n v="6"/>
    <n v="584"/>
    <x v="96"/>
    <x v="96"/>
    <n v="584"/>
    <s v="130290"/>
    <s v="Rack New Montana bco"/>
    <x v="1251"/>
    <n v="1"/>
    <n v="1"/>
  </r>
  <r>
    <n v="9"/>
    <x v="1081"/>
    <x v="385"/>
    <n v="7"/>
    <n v="474"/>
    <x v="30"/>
    <x v="30"/>
    <n v="474"/>
    <s v="120013"/>
    <s v="Mesa para tv MDP Montana Nat - Bco glas"/>
    <x v="1252"/>
    <n v="1"/>
    <n v="1"/>
  </r>
  <r>
    <n v="9"/>
    <x v="1082"/>
    <x v="385"/>
    <n v="8"/>
    <n v="970"/>
    <x v="0"/>
    <x v="0"/>
    <n v="506"/>
    <s v="120023"/>
    <s v="Estante Aruba"/>
    <x v="1253"/>
    <n v="1"/>
    <n v="1"/>
  </r>
  <r>
    <n v="9"/>
    <x v="1082"/>
    <x v="385"/>
    <n v="9"/>
    <n v="182"/>
    <x v="72"/>
    <x v="72"/>
    <n v="182"/>
    <s v="161007"/>
    <s v="Escritorio Malta 2 cajones 1171"/>
    <x v="1254"/>
    <n v="1"/>
    <n v="1"/>
  </r>
  <r>
    <n v="9"/>
    <x v="1083"/>
    <x v="385"/>
    <n v="2"/>
    <n v="584"/>
    <x v="96"/>
    <x v="96"/>
    <n v="584"/>
    <s v="130290"/>
    <s v="Rack New Montana bco"/>
    <x v="1255"/>
    <n v="1"/>
    <n v="1"/>
  </r>
  <r>
    <n v="9"/>
    <x v="410"/>
    <x v="385"/>
    <n v="3"/>
    <n v="404"/>
    <x v="17"/>
    <x v="17"/>
    <n v="404"/>
    <s v="161012"/>
    <s v="kit dormitorio + modulo 1233 + 3017 aberto"/>
    <x v="1256"/>
    <n v="1"/>
    <n v="1"/>
  </r>
  <r>
    <n v="9"/>
    <x v="411"/>
    <x v="385"/>
    <n v="4"/>
    <n v="638"/>
    <x v="22"/>
    <x v="22"/>
    <n v="638"/>
    <s v="181551"/>
    <s v="Home Ipanema 1.80 "/>
    <x v="1257"/>
    <n v="1"/>
    <n v="1"/>
  </r>
  <r>
    <n v="9"/>
    <x v="411"/>
    <x v="385"/>
    <n v="5"/>
    <n v="501"/>
    <x v="5"/>
    <x v="5"/>
    <n v="501"/>
    <s v="170782"/>
    <s v="Rack atacama pt mad castaño 160295"/>
    <x v="1258"/>
    <n v="1"/>
    <n v="1"/>
  </r>
  <r>
    <n v="9"/>
    <x v="1084"/>
    <x v="385"/>
    <n v="1"/>
    <n v="970"/>
    <x v="0"/>
    <x v="0"/>
    <n v="506"/>
    <s v="120023"/>
    <s v="Estante Aruba"/>
    <x v="1259"/>
    <n v="1"/>
    <n v="1"/>
  </r>
  <r>
    <n v="9"/>
    <x v="1085"/>
    <x v="386"/>
    <n v="6"/>
    <n v="501"/>
    <x v="5"/>
    <x v="5"/>
    <n v="501"/>
    <s v="170782"/>
    <s v="Rack atacama pt mad castaño 160295"/>
    <x v="1260"/>
    <n v="1"/>
    <n v="1"/>
  </r>
  <r>
    <n v="9"/>
    <x v="1082"/>
    <x v="386"/>
    <n v="7"/>
    <n v="970"/>
    <x v="0"/>
    <x v="0"/>
    <n v="506"/>
    <s v="120023"/>
    <s v="Estante Aruba"/>
    <x v="1261"/>
    <n v="1"/>
    <n v="1"/>
  </r>
  <r>
    <n v="9"/>
    <x v="410"/>
    <x v="386"/>
    <n v="3"/>
    <n v="181"/>
    <x v="76"/>
    <x v="76"/>
    <n v="181"/>
    <s v="161006"/>
    <s v="Escritorio Lindoia artico/turquesa 1194"/>
    <x v="1262"/>
    <n v="1"/>
    <n v="1"/>
  </r>
  <r>
    <n v="9"/>
    <x v="411"/>
    <x v="386"/>
    <n v="4"/>
    <n v="182"/>
    <x v="72"/>
    <x v="72"/>
    <n v="182"/>
    <s v="161007"/>
    <s v="Escritorio Malta 2 cajones 1171"/>
    <x v="1263"/>
    <n v="1"/>
    <n v="1"/>
  </r>
  <r>
    <n v="9"/>
    <x v="411"/>
    <x v="386"/>
    <n v="5"/>
    <n v="638"/>
    <x v="22"/>
    <x v="22"/>
    <n v="638"/>
    <s v="181551"/>
    <s v="Home Ipanema 1.80 "/>
    <x v="1264"/>
    <n v="1"/>
    <n v="1"/>
  </r>
  <r>
    <n v="9"/>
    <x v="780"/>
    <x v="386"/>
    <n v="1"/>
    <n v="674"/>
    <x v="23"/>
    <x v="23"/>
    <n v="674"/>
    <s v="181595"/>
    <s v="Home Deneb"/>
    <x v="1265"/>
    <n v="1"/>
    <n v="1"/>
  </r>
  <r>
    <n v="9"/>
    <x v="781"/>
    <x v="386"/>
    <n v="2"/>
    <n v="13"/>
    <x v="13"/>
    <x v="13"/>
    <n v="13"/>
    <s v="110301"/>
    <s v="Bar de Canto Puerto Montt Tabaco"/>
    <x v="1266"/>
    <n v="1"/>
    <n v="1"/>
  </r>
  <r>
    <n v="9"/>
    <x v="1086"/>
    <x v="387"/>
    <n v="1"/>
    <n v="816"/>
    <x v="136"/>
    <x v="136"/>
    <n v="816"/>
    <s v="181735"/>
    <s v="Sofa  2 cuerpos Smith"/>
    <x v="1267"/>
    <n v="1"/>
    <n v="1"/>
  </r>
  <r>
    <n v="23"/>
    <x v="1087"/>
    <x v="388"/>
    <n v="1"/>
    <n v="902"/>
    <x v="222"/>
    <x v="222"/>
    <n v="902"/>
    <s v="181865"/>
    <s v="Rack 350 Dali"/>
    <x v="34"/>
    <n v="1"/>
    <n v="1"/>
  </r>
  <r>
    <n v="23"/>
    <x v="1087"/>
    <x v="388"/>
    <n v="2"/>
    <n v="903"/>
    <x v="231"/>
    <x v="231"/>
    <n v="903"/>
    <s v="181866"/>
    <s v="Mesa de centro 600 Dali"/>
    <x v="34"/>
    <n v="1"/>
    <n v="1"/>
  </r>
  <r>
    <n v="23"/>
    <x v="1087"/>
    <x v="388"/>
    <n v="3"/>
    <n v="954"/>
    <x v="141"/>
    <x v="141"/>
    <n v="954"/>
    <s v="181873"/>
    <s v="Rack Jose"/>
    <x v="34"/>
    <n v="1"/>
    <n v="1"/>
  </r>
  <r>
    <n v="23"/>
    <x v="1087"/>
    <x v="388"/>
    <n v="4"/>
    <n v="955"/>
    <x v="143"/>
    <x v="143"/>
    <n v="955"/>
    <s v="181874"/>
    <s v="Rack Felipe"/>
    <x v="34"/>
    <n v="1"/>
    <n v="1"/>
  </r>
  <r>
    <n v="3"/>
    <x v="1088"/>
    <x v="389"/>
    <n v="1"/>
    <n v="638"/>
    <x v="22"/>
    <x v="22"/>
    <n v="638"/>
    <s v="181551"/>
    <s v="Home Ipanema 1.80 "/>
    <x v="34"/>
    <n v="1"/>
    <n v="1"/>
  </r>
  <r>
    <n v="24"/>
    <x v="1089"/>
    <x v="348"/>
    <n v="12"/>
    <n v="813"/>
    <x v="79"/>
    <x v="79"/>
    <n v="813"/>
    <s v="181782"/>
    <s v="Kit Yara 160 (181638) +  Alacena (181641)"/>
    <x v="1268"/>
    <n v="1"/>
    <n v="1"/>
  </r>
  <r>
    <n v="24"/>
    <x v="1090"/>
    <x v="348"/>
    <n v="25"/>
    <n v="813"/>
    <x v="79"/>
    <x v="79"/>
    <n v="813"/>
    <s v="181782"/>
    <s v="Kit Yara 160 (181638) +  Alacena (181641)"/>
    <x v="1269"/>
    <n v="1"/>
    <n v="1"/>
  </r>
  <r>
    <n v="24"/>
    <x v="1091"/>
    <x v="348"/>
    <n v="13"/>
    <n v="813"/>
    <x v="79"/>
    <x v="79"/>
    <n v="813"/>
    <s v="181782"/>
    <s v="Kit Yara 160 (181638) +  Alacena (181641)"/>
    <x v="1270"/>
    <n v="1"/>
    <n v="1"/>
  </r>
  <r>
    <n v="24"/>
    <x v="1092"/>
    <x v="348"/>
    <n v="6"/>
    <n v="813"/>
    <x v="79"/>
    <x v="79"/>
    <n v="813"/>
    <s v="181782"/>
    <s v="Kit Yara 160 (181638) +  Alacena (181641)"/>
    <x v="1271"/>
    <n v="1"/>
    <n v="1"/>
  </r>
  <r>
    <n v="24"/>
    <x v="1093"/>
    <x v="348"/>
    <n v="7"/>
    <n v="813"/>
    <x v="79"/>
    <x v="79"/>
    <n v="813"/>
    <s v="181782"/>
    <s v="Kit Yara 160 (181638) +  Alacena (181641)"/>
    <x v="1272"/>
    <n v="1"/>
    <n v="1"/>
  </r>
  <r>
    <n v="24"/>
    <x v="1094"/>
    <x v="348"/>
    <n v="8"/>
    <n v="813"/>
    <x v="79"/>
    <x v="79"/>
    <n v="813"/>
    <s v="181782"/>
    <s v="Kit Yara 160 (181638) +  Alacena (181641)"/>
    <x v="1273"/>
    <n v="1"/>
    <n v="1"/>
  </r>
  <r>
    <n v="24"/>
    <x v="1095"/>
    <x v="348"/>
    <n v="22"/>
    <n v="813"/>
    <x v="79"/>
    <x v="79"/>
    <n v="813"/>
    <s v="181782"/>
    <s v="Kit Yara 160 (181638) +  Alacena (181641)"/>
    <x v="1274"/>
    <n v="1"/>
    <n v="1"/>
  </r>
  <r>
    <n v="24"/>
    <x v="1096"/>
    <x v="348"/>
    <n v="23"/>
    <n v="382"/>
    <x v="50"/>
    <x v="50"/>
    <n v="382"/>
    <s v="165690"/>
    <s v="Cocina Flavia teka - brown"/>
    <x v="1275"/>
    <n v="1"/>
    <n v="1"/>
  </r>
  <r>
    <n v="24"/>
    <x v="1097"/>
    <x v="348"/>
    <n v="9"/>
    <n v="382"/>
    <x v="50"/>
    <x v="50"/>
    <n v="382"/>
    <s v="165690"/>
    <s v="Cocina Flavia teka - brown"/>
    <x v="1276"/>
    <n v="1"/>
    <n v="1"/>
  </r>
  <r>
    <n v="24"/>
    <x v="1098"/>
    <x v="348"/>
    <n v="2"/>
    <n v="877"/>
    <x v="49"/>
    <x v="49"/>
    <n v="325"/>
    <s v="170761"/>
    <s v="Rack Royal ipe tx/ rovere"/>
    <x v="1277"/>
    <n v="2"/>
    <n v="2"/>
  </r>
  <r>
    <n v="24"/>
    <x v="1099"/>
    <x v="348"/>
    <n v="3"/>
    <n v="584"/>
    <x v="96"/>
    <x v="96"/>
    <n v="584"/>
    <s v="130290"/>
    <s v="Rack New Montana bco"/>
    <x v="1278"/>
    <n v="1"/>
    <n v="1"/>
  </r>
  <r>
    <n v="24"/>
    <x v="1100"/>
    <x v="348"/>
    <n v="4"/>
    <n v="813"/>
    <x v="79"/>
    <x v="79"/>
    <n v="813"/>
    <s v="181782"/>
    <s v="Kit Yara 160 (181638) +  Alacena (181641)"/>
    <x v="1279"/>
    <n v="1"/>
    <n v="1"/>
  </r>
  <r>
    <n v="24"/>
    <x v="1101"/>
    <x v="348"/>
    <n v="21"/>
    <n v="382"/>
    <x v="50"/>
    <x v="50"/>
    <n v="382"/>
    <s v="165690"/>
    <s v="Cocina Flavia teka - brown"/>
    <x v="1280"/>
    <n v="1"/>
    <n v="1"/>
  </r>
  <r>
    <n v="24"/>
    <x v="1102"/>
    <x v="348"/>
    <n v="5"/>
    <n v="506"/>
    <x v="98"/>
    <x v="98"/>
    <n v="506"/>
    <s v="120023"/>
    <s v="Estante Aruba"/>
    <x v="1281"/>
    <n v="1"/>
    <n v="0"/>
  </r>
  <r>
    <n v="24"/>
    <x v="1103"/>
    <x v="348"/>
    <n v="20"/>
    <n v="813"/>
    <x v="79"/>
    <x v="79"/>
    <n v="813"/>
    <s v="181782"/>
    <s v="Kit Yara 160 (181638) +  Alacena (181641)"/>
    <x v="1282"/>
    <n v="1"/>
    <n v="1"/>
  </r>
  <r>
    <n v="24"/>
    <x v="1104"/>
    <x v="348"/>
    <n v="1"/>
    <n v="813"/>
    <x v="79"/>
    <x v="79"/>
    <n v="813"/>
    <s v="181782"/>
    <s v="Kit Yara 160 (181638) +  Alacena (181641)"/>
    <x v="1283"/>
    <n v="1"/>
    <n v="1"/>
  </r>
  <r>
    <n v="8"/>
    <x v="1105"/>
    <x v="390"/>
    <n v="6"/>
    <n v="703"/>
    <x v="10"/>
    <x v="10"/>
    <n v="703"/>
    <s v="181629"/>
    <s v="Juego de comedor lauren 1+2+6"/>
    <x v="1284"/>
    <n v="1"/>
    <n v="1"/>
  </r>
  <r>
    <n v="8"/>
    <x v="1106"/>
    <x v="390"/>
    <n v="3"/>
    <n v="704"/>
    <x v="12"/>
    <x v="12"/>
    <n v="704"/>
    <s v="181630"/>
    <s v="Juego de comedor sofia 1+6"/>
    <x v="831"/>
    <n v="1"/>
    <n v="1"/>
  </r>
  <r>
    <n v="8"/>
    <x v="1107"/>
    <x v="390"/>
    <n v="4"/>
    <n v="400"/>
    <x v="89"/>
    <x v="89"/>
    <n v="400"/>
    <s v="161008"/>
    <s v="Escritorio Fenix Artico"/>
    <x v="1285"/>
    <n v="1"/>
    <n v="1"/>
  </r>
  <r>
    <n v="8"/>
    <x v="1108"/>
    <x v="390"/>
    <n v="2"/>
    <n v="638"/>
    <x v="22"/>
    <x v="22"/>
    <n v="638"/>
    <s v="181551"/>
    <s v="Home Ipanema 1.80 "/>
    <x v="1286"/>
    <n v="1"/>
    <n v="1"/>
  </r>
  <r>
    <n v="8"/>
    <x v="1109"/>
    <x v="390"/>
    <n v="1"/>
    <n v="673"/>
    <x v="113"/>
    <x v="113"/>
    <n v="673"/>
    <s v="181594"/>
    <s v="Rack Alma (onix)"/>
    <x v="1287"/>
    <n v="1"/>
    <n v="1"/>
  </r>
  <r>
    <n v="8"/>
    <x v="1110"/>
    <x v="390"/>
    <n v="5"/>
    <n v="700"/>
    <x v="67"/>
    <x v="67"/>
    <n v="700"/>
    <s v="181626"/>
    <s v="Comedor francia 6+1"/>
    <x v="1288"/>
    <n v="1"/>
    <n v="1"/>
  </r>
  <r>
    <n v="8"/>
    <x v="1111"/>
    <x v="390"/>
    <n v="7"/>
    <n v="700"/>
    <x v="67"/>
    <x v="67"/>
    <n v="700"/>
    <s v="181626"/>
    <s v="Comedor francia 6+1"/>
    <x v="1288"/>
    <n v="1"/>
    <n v="1"/>
  </r>
  <r>
    <n v="8"/>
    <x v="662"/>
    <x v="391"/>
    <n v="1"/>
    <n v="865"/>
    <x v="58"/>
    <x v="58"/>
    <n v="405"/>
    <s v="165368"/>
    <s v="Comoda Dinamo 4C + 1P"/>
    <x v="81"/>
    <n v="25"/>
    <n v="25"/>
  </r>
  <r>
    <n v="8"/>
    <x v="662"/>
    <x v="391"/>
    <n v="2"/>
    <n v="896"/>
    <x v="60"/>
    <x v="60"/>
    <n v="653"/>
    <s v="181566"/>
    <s v="Depensa 1 Puerta alta"/>
    <x v="83"/>
    <n v="147"/>
    <n v="94"/>
  </r>
  <r>
    <n v="8"/>
    <x v="662"/>
    <x v="391"/>
    <n v="3"/>
    <n v="655"/>
    <x v="176"/>
    <x v="176"/>
    <n v="655"/>
    <s v="181568"/>
    <s v="Kit Cocina Catalina Blanco/Nogal"/>
    <x v="177"/>
    <n v="2"/>
    <n v="0"/>
  </r>
  <r>
    <n v="8"/>
    <x v="662"/>
    <x v="391"/>
    <n v="4"/>
    <n v="809"/>
    <x v="61"/>
    <x v="61"/>
    <n v="809"/>
    <s v="181759"/>
    <s v="Rack Ovalle"/>
    <x v="84"/>
    <n v="9"/>
    <n v="9"/>
  </r>
  <r>
    <n v="17"/>
    <x v="1112"/>
    <x v="392"/>
    <n v="1"/>
    <n v="617"/>
    <x v="78"/>
    <x v="78"/>
    <n v="617"/>
    <s v="181530"/>
    <s v="Lavaplatos 80 Izquierdo C/Reb Blanco Notavel"/>
    <x v="34"/>
    <n v="1"/>
    <n v="1"/>
  </r>
  <r>
    <n v="4"/>
    <x v="769"/>
    <x v="393"/>
    <n v="1"/>
    <n v="343"/>
    <x v="232"/>
    <x v="232"/>
    <n v="342"/>
    <s v="160111"/>
    <s v="Mesa de Lateral ALBA bco laca - café"/>
    <x v="876"/>
    <n v="1"/>
    <n v="1"/>
  </r>
  <r>
    <n v="6"/>
    <x v="1113"/>
    <x v="394"/>
    <n v="4"/>
    <n v="883"/>
    <x v="218"/>
    <x v="218"/>
    <n v="883"/>
    <s v="181773"/>
    <s v="Autoservicio Agatha"/>
    <x v="1289"/>
    <n v="1"/>
    <n v="1"/>
  </r>
  <r>
    <n v="6"/>
    <x v="1114"/>
    <x v="394"/>
    <n v="5"/>
    <n v="402"/>
    <x v="32"/>
    <x v="32"/>
    <n v="402"/>
    <s v="161010"/>
    <s v="Escritorio Cali artico"/>
    <x v="1290"/>
    <n v="1"/>
    <n v="1"/>
  </r>
  <r>
    <n v="6"/>
    <x v="1115"/>
    <x v="394"/>
    <n v="6"/>
    <n v="141"/>
    <x v="9"/>
    <x v="9"/>
    <n v="141"/>
    <s v="165504"/>
    <s v="Tabla de planchar Florence bco 55002"/>
    <x v="1291"/>
    <n v="1"/>
    <n v="1"/>
  </r>
  <r>
    <n v="6"/>
    <x v="1116"/>
    <x v="394"/>
    <n v="2"/>
    <n v="842"/>
    <x v="36"/>
    <x v="36"/>
    <n v="842"/>
    <s v="181767"/>
    <s v="Panel Ipe"/>
    <x v="1292"/>
    <n v="1"/>
    <n v="1"/>
  </r>
  <r>
    <n v="6"/>
    <x v="1117"/>
    <x v="394"/>
    <n v="3"/>
    <n v="534"/>
    <x v="24"/>
    <x v="24"/>
    <n v="534"/>
    <s v="175118"/>
    <s v="Respaldo Oregon 2plz + 2 veladores"/>
    <x v="1293"/>
    <n v="1"/>
    <n v="1"/>
  </r>
  <r>
    <n v="6"/>
    <x v="1118"/>
    <x v="394"/>
    <n v="1"/>
    <n v="905"/>
    <x v="39"/>
    <x v="39"/>
    <n v="905"/>
    <s v="181876"/>
    <s v="RACK STAR (QUARTZ)"/>
    <x v="1294"/>
    <n v="1"/>
    <n v="1"/>
  </r>
  <r>
    <n v="24"/>
    <x v="1119"/>
    <x v="42"/>
    <n v="3"/>
    <n v="639"/>
    <x v="15"/>
    <x v="15"/>
    <n v="639"/>
    <s v="181552"/>
    <s v="Home Lara 1.35 "/>
    <x v="1295"/>
    <n v="1"/>
    <n v="1"/>
  </r>
  <r>
    <n v="6"/>
    <x v="1120"/>
    <x v="353"/>
    <n v="6"/>
    <n v="727"/>
    <x v="175"/>
    <x v="175"/>
    <n v="727"/>
    <s v="181583"/>
    <s v="KIT COCINA CAMILA "/>
    <x v="1296"/>
    <n v="1"/>
    <n v="0"/>
  </r>
  <r>
    <n v="6"/>
    <x v="1121"/>
    <x v="395"/>
    <n v="5"/>
    <n v="534"/>
    <x v="24"/>
    <x v="24"/>
    <n v="534"/>
    <s v="175118"/>
    <s v="Respaldo Oregon 2plz + 2 veladores"/>
    <x v="1297"/>
    <n v="1"/>
    <n v="1"/>
  </r>
  <r>
    <n v="6"/>
    <x v="1122"/>
    <x v="395"/>
    <n v="3"/>
    <n v="926"/>
    <x v="193"/>
    <x v="193"/>
    <n v="926"/>
    <s v="181901"/>
    <s v="Cocina Marion ( Cocina Vivence)"/>
    <x v="1298"/>
    <n v="1"/>
    <n v="1"/>
  </r>
  <r>
    <n v="6"/>
    <x v="1123"/>
    <x v="395"/>
    <n v="4"/>
    <n v="180"/>
    <x v="70"/>
    <x v="70"/>
    <n v="180"/>
    <s v="161005"/>
    <s v="Escritorio España kit castaño 1176"/>
    <x v="1299"/>
    <n v="1"/>
    <n v="1"/>
  </r>
  <r>
    <n v="6"/>
    <x v="1124"/>
    <x v="395"/>
    <n v="2"/>
    <n v="13"/>
    <x v="13"/>
    <x v="13"/>
    <n v="13"/>
    <s v="110301"/>
    <s v="Bar de Canto Puerto Montt Tabaco"/>
    <x v="1300"/>
    <n v="1"/>
    <n v="1"/>
  </r>
  <r>
    <n v="6"/>
    <x v="1125"/>
    <x v="395"/>
    <n v="1"/>
    <n v="872"/>
    <x v="217"/>
    <x v="217"/>
    <n v="872"/>
    <s v="181816"/>
    <s v="Poltrona Rebeca 2 cuerpos"/>
    <x v="1301"/>
    <n v="1"/>
    <n v="1"/>
  </r>
  <r>
    <n v="9"/>
    <x v="1126"/>
    <x v="396"/>
    <n v="12"/>
    <n v="714"/>
    <x v="28"/>
    <x v="28"/>
    <n v="714"/>
    <s v="181640"/>
    <s v="Kit Magazin 120"/>
    <x v="1302"/>
    <n v="1"/>
    <n v="1"/>
  </r>
  <r>
    <n v="9"/>
    <x v="1127"/>
    <x v="396"/>
    <n v="13"/>
    <n v="842"/>
    <x v="36"/>
    <x v="36"/>
    <n v="842"/>
    <s v="181767"/>
    <s v="Panel Ipe"/>
    <x v="1303"/>
    <n v="1"/>
    <n v="1"/>
  </r>
  <r>
    <n v="9"/>
    <x v="1128"/>
    <x v="396"/>
    <n v="9"/>
    <n v="714"/>
    <x v="28"/>
    <x v="28"/>
    <n v="714"/>
    <s v="181640"/>
    <s v="Kit Magazin 120"/>
    <x v="1304"/>
    <n v="1"/>
    <n v="1"/>
  </r>
  <r>
    <n v="9"/>
    <x v="847"/>
    <x v="396"/>
    <n v="10"/>
    <n v="905"/>
    <x v="39"/>
    <x v="39"/>
    <n v="905"/>
    <s v="181876"/>
    <s v="RACK STAR (QUARTZ)"/>
    <x v="1305"/>
    <n v="1"/>
    <n v="1"/>
  </r>
  <r>
    <n v="9"/>
    <x v="1129"/>
    <x v="396"/>
    <n v="11"/>
    <n v="937"/>
    <x v="155"/>
    <x v="155"/>
    <n v="937"/>
    <s v="181837"/>
    <s v="Rack Jeri"/>
    <x v="1306"/>
    <n v="1"/>
    <n v="1"/>
  </r>
  <r>
    <n v="9"/>
    <x v="1130"/>
    <x v="396"/>
    <n v="5"/>
    <n v="966"/>
    <x v="102"/>
    <x v="102"/>
    <n v="966"/>
    <s v="181930"/>
    <s v="Comedor Italia Auria 1+4"/>
    <x v="1307"/>
    <n v="1"/>
    <n v="1"/>
  </r>
  <r>
    <n v="9"/>
    <x v="1131"/>
    <x v="396"/>
    <n v="6"/>
    <n v="888"/>
    <x v="201"/>
    <x v="201"/>
    <n v="888"/>
    <s v="181839"/>
    <s v="Rack Jeri + Panel Niteroi"/>
    <x v="1308"/>
    <n v="1"/>
    <n v="1"/>
  </r>
  <r>
    <n v="9"/>
    <x v="1132"/>
    <x v="396"/>
    <n v="7"/>
    <n v="964"/>
    <x v="135"/>
    <x v="135"/>
    <n v="964"/>
    <s v="181928"/>
    <s v="Comedor Serena Rouge 1+6"/>
    <x v="1309"/>
    <n v="1"/>
    <n v="1"/>
  </r>
  <r>
    <n v="9"/>
    <x v="1133"/>
    <x v="396"/>
    <n v="8"/>
    <n v="894"/>
    <x v="182"/>
    <x v="182"/>
    <n v="894"/>
    <s v="181811"/>
    <s v="RACK DUE "/>
    <x v="1310"/>
    <n v="1"/>
    <n v="1"/>
  </r>
  <r>
    <n v="9"/>
    <x v="1134"/>
    <x v="396"/>
    <n v="4"/>
    <n v="905"/>
    <x v="39"/>
    <x v="39"/>
    <n v="905"/>
    <s v="181876"/>
    <s v="RACK STAR (QUARTZ)"/>
    <x v="1311"/>
    <n v="1"/>
    <n v="1"/>
  </r>
  <r>
    <n v="9"/>
    <x v="1135"/>
    <x v="396"/>
    <n v="1"/>
    <n v="893"/>
    <x v="35"/>
    <x v="35"/>
    <n v="893"/>
    <s v="181810"/>
    <s v="Rack Recife"/>
    <x v="1312"/>
    <n v="1"/>
    <n v="1"/>
  </r>
  <r>
    <n v="9"/>
    <x v="1136"/>
    <x v="396"/>
    <n v="2"/>
    <n v="905"/>
    <x v="39"/>
    <x v="39"/>
    <n v="905"/>
    <s v="181876"/>
    <s v="RACK STAR (QUARTZ)"/>
    <x v="1313"/>
    <n v="1"/>
    <n v="1"/>
  </r>
  <r>
    <n v="9"/>
    <x v="1137"/>
    <x v="396"/>
    <n v="3"/>
    <n v="966"/>
    <x v="102"/>
    <x v="102"/>
    <n v="966"/>
    <s v="181930"/>
    <s v="Comedor Italia Auria 1+4"/>
    <x v="1314"/>
    <n v="1"/>
    <n v="1"/>
  </r>
  <r>
    <n v="9"/>
    <x v="1138"/>
    <x v="397"/>
    <n v="7"/>
    <n v="895"/>
    <x v="38"/>
    <x v="38"/>
    <n v="895"/>
    <s v="181812"/>
    <s v="RACK ART"/>
    <x v="1315"/>
    <n v="1"/>
    <n v="1"/>
  </r>
  <r>
    <n v="9"/>
    <x v="1139"/>
    <x v="397"/>
    <n v="4"/>
    <n v="403"/>
    <x v="27"/>
    <x v="27"/>
    <n v="403"/>
    <s v="161011"/>
    <s v="Escritorio Curitiba artico"/>
    <x v="1316"/>
    <n v="1"/>
    <n v="1"/>
  </r>
  <r>
    <n v="9"/>
    <x v="1140"/>
    <x v="397"/>
    <n v="5"/>
    <n v="877"/>
    <x v="49"/>
    <x v="49"/>
    <n v="877"/>
    <s v="181806"/>
    <s v="RACK LUCCA (RACK ROYAL)"/>
    <x v="1317"/>
    <n v="2"/>
    <n v="2"/>
  </r>
  <r>
    <n v="9"/>
    <x v="1141"/>
    <x v="397"/>
    <n v="6"/>
    <n v="964"/>
    <x v="135"/>
    <x v="135"/>
    <n v="964"/>
    <s v="181928"/>
    <s v="Comedor Serena Rouge 1+6"/>
    <x v="1318"/>
    <n v="1"/>
    <n v="1"/>
  </r>
  <r>
    <n v="9"/>
    <x v="1142"/>
    <x v="397"/>
    <n v="1"/>
    <n v="561"/>
    <x v="157"/>
    <x v="157"/>
    <n v="561"/>
    <s v="130267"/>
    <s v="Home Turin Naturale"/>
    <x v="1319"/>
    <n v="1"/>
    <n v="0"/>
  </r>
  <r>
    <n v="9"/>
    <x v="1143"/>
    <x v="397"/>
    <n v="2"/>
    <n v="474"/>
    <x v="30"/>
    <x v="30"/>
    <n v="474"/>
    <s v="120013"/>
    <s v="Mesa para tv MDP Montana Nat - Bco glas"/>
    <x v="1320"/>
    <n v="1"/>
    <n v="1"/>
  </r>
  <r>
    <n v="9"/>
    <x v="1144"/>
    <x v="397"/>
    <n v="3"/>
    <n v="698"/>
    <x v="146"/>
    <x v="146"/>
    <n v="698"/>
    <s v="181624"/>
    <s v="Rack tv palu"/>
    <x v="1321"/>
    <n v="1"/>
    <n v="1"/>
  </r>
  <r>
    <n v="9"/>
    <x v="1145"/>
    <x v="398"/>
    <n v="9"/>
    <n v="181"/>
    <x v="76"/>
    <x v="76"/>
    <n v="181"/>
    <s v="161006"/>
    <s v="Escritorio Lindoia artico/turquesa 1194"/>
    <x v="1322"/>
    <n v="1"/>
    <n v="1"/>
  </r>
  <r>
    <n v="9"/>
    <x v="1146"/>
    <x v="398"/>
    <n v="10"/>
    <n v="534"/>
    <x v="24"/>
    <x v="24"/>
    <n v="534"/>
    <s v="175118"/>
    <s v="Respaldo Oregon 2plz + 2 veladores"/>
    <x v="1323"/>
    <n v="1"/>
    <n v="1"/>
  </r>
  <r>
    <n v="9"/>
    <x v="1147"/>
    <x v="398"/>
    <n v="5"/>
    <n v="403"/>
    <x v="27"/>
    <x v="27"/>
    <n v="403"/>
    <s v="161011"/>
    <s v="Escritorio Curitiba artico"/>
    <x v="1324"/>
    <n v="1"/>
    <n v="1"/>
  </r>
  <r>
    <n v="9"/>
    <x v="1148"/>
    <x v="398"/>
    <n v="6"/>
    <n v="753"/>
    <x v="106"/>
    <x v="106"/>
    <n v="753"/>
    <s v="181681"/>
    <s v="Estante Grande Barcelona"/>
    <x v="1325"/>
    <n v="1"/>
    <n v="1"/>
  </r>
  <r>
    <n v="9"/>
    <x v="1148"/>
    <x v="398"/>
    <n v="7"/>
    <n v="584"/>
    <x v="96"/>
    <x v="96"/>
    <n v="584"/>
    <s v="130290"/>
    <s v="Rack New Montana bco"/>
    <x v="1326"/>
    <n v="1"/>
    <n v="1"/>
  </r>
  <r>
    <n v="9"/>
    <x v="1133"/>
    <x v="398"/>
    <n v="8"/>
    <n v="182"/>
    <x v="72"/>
    <x v="72"/>
    <n v="182"/>
    <s v="161007"/>
    <s v="Escritorio Malta 2 cajones 1171"/>
    <x v="1327"/>
    <n v="1"/>
    <n v="1"/>
  </r>
  <r>
    <n v="9"/>
    <x v="1149"/>
    <x v="398"/>
    <n v="2"/>
    <n v="13"/>
    <x v="13"/>
    <x v="13"/>
    <n v="13"/>
    <s v="110301"/>
    <s v="Bar de Canto Puerto Montt Tabaco"/>
    <x v="1328"/>
    <n v="1"/>
    <n v="1"/>
  </r>
  <r>
    <n v="9"/>
    <x v="1150"/>
    <x v="398"/>
    <n v="3"/>
    <n v="13"/>
    <x v="13"/>
    <x v="13"/>
    <n v="13"/>
    <s v="110301"/>
    <s v="Bar de Canto Puerto Montt Tabaco"/>
    <x v="1329"/>
    <n v="1"/>
    <n v="1"/>
  </r>
  <r>
    <n v="9"/>
    <x v="1134"/>
    <x v="398"/>
    <n v="4"/>
    <n v="639"/>
    <x v="15"/>
    <x v="15"/>
    <n v="639"/>
    <s v="181552"/>
    <s v="Home Lara 1.35 "/>
    <x v="1330"/>
    <n v="1"/>
    <n v="1"/>
  </r>
  <r>
    <n v="9"/>
    <x v="1135"/>
    <x v="398"/>
    <n v="1"/>
    <n v="467"/>
    <x v="87"/>
    <x v="87"/>
    <n v="467"/>
    <s v="140684"/>
    <s v="Mesa de centro VIVA REF:909  COLORADO"/>
    <x v="1331"/>
    <n v="1"/>
    <n v="1"/>
  </r>
  <r>
    <n v="9"/>
    <x v="416"/>
    <x v="399"/>
    <n v="1"/>
    <n v="894"/>
    <x v="182"/>
    <x v="182"/>
    <n v="894"/>
    <s v="181811"/>
    <s v="RACK DUE "/>
    <x v="1332"/>
    <n v="1"/>
    <n v="1"/>
  </r>
  <r>
    <n v="4"/>
    <x v="1151"/>
    <x v="319"/>
    <n v="4"/>
    <n v="700"/>
    <x v="67"/>
    <x v="67"/>
    <n v="700"/>
    <s v="181626"/>
    <s v="Comedor francia 6+1"/>
    <x v="1333"/>
    <n v="1"/>
    <n v="1"/>
  </r>
  <r>
    <n v="4"/>
    <x v="1152"/>
    <x v="319"/>
    <n v="5"/>
    <n v="686"/>
    <x v="34"/>
    <x v="34"/>
    <n v="686"/>
    <s v="181612"/>
    <s v="Poltrona Lennon"/>
    <x v="1334"/>
    <n v="1"/>
    <n v="1"/>
  </r>
  <r>
    <n v="4"/>
    <x v="1153"/>
    <x v="319"/>
    <n v="1"/>
    <n v="704"/>
    <x v="12"/>
    <x v="12"/>
    <n v="704"/>
    <s v="181630"/>
    <s v="Juego de comedor sofia 1+6"/>
    <x v="1335"/>
    <n v="1"/>
    <n v="1"/>
  </r>
  <r>
    <n v="4"/>
    <x v="1154"/>
    <x v="319"/>
    <n v="2"/>
    <n v="713"/>
    <x v="130"/>
    <x v="130"/>
    <n v="713"/>
    <s v="181639"/>
    <s v="kit Fit 120"/>
    <x v="1336"/>
    <n v="1"/>
    <n v="1"/>
  </r>
  <r>
    <n v="6"/>
    <x v="1155"/>
    <x v="400"/>
    <n v="1"/>
    <n v="511"/>
    <x v="114"/>
    <x v="114"/>
    <n v="511"/>
    <s v="165879A"/>
    <s v="Bar Salamanca tabaco"/>
    <x v="1337"/>
    <n v="1"/>
    <n v="1"/>
  </r>
  <r>
    <n v="6"/>
    <x v="1156"/>
    <x v="401"/>
    <n v="1"/>
    <n v="639"/>
    <x v="15"/>
    <x v="15"/>
    <n v="639"/>
    <s v="181552"/>
    <s v="Home Lara 1.35 "/>
    <x v="1338"/>
    <n v="1"/>
    <n v="1"/>
  </r>
  <r>
    <n v="9"/>
    <x v="1157"/>
    <x v="402"/>
    <n v="1"/>
    <n v="905"/>
    <x v="39"/>
    <x v="39"/>
    <n v="905"/>
    <s v="181876"/>
    <s v="RACK STAR (QUARTZ)"/>
    <x v="1339"/>
    <n v="1"/>
    <n v="1"/>
  </r>
  <r>
    <n v="9"/>
    <x v="1158"/>
    <x v="403"/>
    <n v="2"/>
    <n v="584"/>
    <x v="96"/>
    <x v="96"/>
    <n v="584"/>
    <s v="130290"/>
    <s v="Rack New Montana bco"/>
    <x v="1340"/>
    <n v="1"/>
    <n v="1"/>
  </r>
  <r>
    <n v="9"/>
    <x v="224"/>
    <x v="403"/>
    <n v="3"/>
    <n v="584"/>
    <x v="96"/>
    <x v="96"/>
    <n v="584"/>
    <s v="130290"/>
    <s v="Rack New Montana bco"/>
    <x v="1341"/>
    <n v="1"/>
    <n v="1"/>
  </r>
  <r>
    <n v="9"/>
    <x v="224"/>
    <x v="403"/>
    <n v="4"/>
    <n v="511"/>
    <x v="114"/>
    <x v="114"/>
    <n v="511"/>
    <s v="165879A"/>
    <s v="Bar Salamanca tabaco"/>
    <x v="1342"/>
    <n v="1"/>
    <n v="1"/>
  </r>
  <r>
    <n v="9"/>
    <x v="224"/>
    <x v="403"/>
    <n v="5"/>
    <n v="511"/>
    <x v="114"/>
    <x v="114"/>
    <n v="511"/>
    <s v="165879A"/>
    <s v="Bar Salamanca tabaco"/>
    <x v="1343"/>
    <n v="1"/>
    <n v="1"/>
  </r>
  <r>
    <n v="9"/>
    <x v="1159"/>
    <x v="403"/>
    <n v="1"/>
    <n v="674"/>
    <x v="23"/>
    <x v="23"/>
    <n v="674"/>
    <s v="181595"/>
    <s v="Home Deneb"/>
    <x v="1344"/>
    <n v="1"/>
    <n v="1"/>
  </r>
  <r>
    <n v="9"/>
    <x v="1160"/>
    <x v="404"/>
    <n v="1"/>
    <n v="641"/>
    <x v="20"/>
    <x v="20"/>
    <n v="641"/>
    <s v="181554"/>
    <s v="Mesa Para TV Puerto Rico"/>
    <x v="1345"/>
    <n v="1"/>
    <n v="1"/>
  </r>
  <r>
    <n v="24"/>
    <x v="574"/>
    <x v="405"/>
    <n v="1"/>
    <n v="862"/>
    <x v="123"/>
    <x v="123"/>
    <n v="862"/>
    <s v="181803"/>
    <s v="RESPALDO LIMARI"/>
    <x v="34"/>
    <n v="150"/>
    <n v="150"/>
  </r>
  <r>
    <n v="24"/>
    <x v="574"/>
    <x v="405"/>
    <n v="2"/>
    <n v="864"/>
    <x v="124"/>
    <x v="124"/>
    <n v="864"/>
    <s v="181808"/>
    <s v="Set 2 veladores Serena"/>
    <x v="34"/>
    <n v="340"/>
    <n v="340"/>
  </r>
  <r>
    <n v="24"/>
    <x v="574"/>
    <x v="406"/>
    <n v="1"/>
    <n v="861"/>
    <x v="122"/>
    <x v="122"/>
    <n v="861"/>
    <s v="181802"/>
    <s v="RESPALDO ELQUI"/>
    <x v="34"/>
    <n v="400"/>
    <n v="400"/>
  </r>
  <r>
    <n v="24"/>
    <x v="574"/>
    <x v="406"/>
    <n v="2"/>
    <n v="862"/>
    <x v="123"/>
    <x v="123"/>
    <n v="862"/>
    <s v="181803"/>
    <s v="RESPALDO LIMARI"/>
    <x v="34"/>
    <n v="100"/>
    <n v="100"/>
  </r>
  <r>
    <n v="5"/>
    <x v="1161"/>
    <x v="407"/>
    <n v="1"/>
    <n v="347"/>
    <x v="40"/>
    <x v="40"/>
    <n v="347"/>
    <s v="160116"/>
    <s v="Mesa de Centro Classic rustico malbec"/>
    <x v="34"/>
    <n v="1"/>
    <n v="1"/>
  </r>
  <r>
    <n v="3"/>
    <x v="1162"/>
    <x v="408"/>
    <n v="5"/>
    <n v="970"/>
    <x v="0"/>
    <x v="0"/>
    <n v="506"/>
    <s v="120023"/>
    <s v="Estante Aruba"/>
    <x v="1346"/>
    <n v="1"/>
    <n v="1"/>
  </r>
  <r>
    <n v="3"/>
    <x v="1163"/>
    <x v="408"/>
    <n v="13"/>
    <n v="970"/>
    <x v="0"/>
    <x v="0"/>
    <n v="506"/>
    <s v="120023"/>
    <s v="Estante Aruba"/>
    <x v="1347"/>
    <n v="1"/>
    <n v="1"/>
  </r>
  <r>
    <n v="3"/>
    <x v="1164"/>
    <x v="408"/>
    <n v="7"/>
    <n v="409"/>
    <x v="47"/>
    <x v="47"/>
    <n v="409"/>
    <s v="120011"/>
    <s v="Home Roma "/>
    <x v="1348"/>
    <n v="1"/>
    <n v="1"/>
  </r>
  <r>
    <n v="3"/>
    <x v="1164"/>
    <x v="408"/>
    <n v="8"/>
    <n v="409"/>
    <x v="47"/>
    <x v="47"/>
    <n v="409"/>
    <s v="120011"/>
    <s v="Home Roma "/>
    <x v="1349"/>
    <n v="1"/>
    <n v="1"/>
  </r>
  <r>
    <n v="3"/>
    <x v="1164"/>
    <x v="408"/>
    <n v="9"/>
    <n v="970"/>
    <x v="0"/>
    <x v="0"/>
    <n v="506"/>
    <s v="120023"/>
    <s v="Estante Aruba"/>
    <x v="1350"/>
    <n v="1"/>
    <n v="1"/>
  </r>
  <r>
    <n v="3"/>
    <x v="1164"/>
    <x v="408"/>
    <n v="14"/>
    <n v="824"/>
    <x v="1"/>
    <x v="1"/>
    <n v="824"/>
    <s v="181756"/>
    <s v="Rack Line (New Zero)"/>
    <x v="1351"/>
    <n v="1"/>
    <n v="1"/>
  </r>
  <r>
    <n v="3"/>
    <x v="205"/>
    <x v="408"/>
    <n v="2"/>
    <n v="970"/>
    <x v="0"/>
    <x v="0"/>
    <n v="506"/>
    <s v="120023"/>
    <s v="Estante Aruba"/>
    <x v="248"/>
    <n v="1"/>
    <n v="1"/>
  </r>
  <r>
    <n v="3"/>
    <x v="1165"/>
    <x v="408"/>
    <n v="6"/>
    <n v="824"/>
    <x v="1"/>
    <x v="1"/>
    <n v="824"/>
    <s v="181756"/>
    <s v="Rack Line (New Zero)"/>
    <x v="1352"/>
    <n v="1"/>
    <n v="1"/>
  </r>
  <r>
    <n v="3"/>
    <x v="1165"/>
    <x v="408"/>
    <n v="10"/>
    <n v="638"/>
    <x v="22"/>
    <x v="22"/>
    <n v="638"/>
    <s v="181551"/>
    <s v="Home Ipanema 1.80 "/>
    <x v="1353"/>
    <n v="1"/>
    <n v="1"/>
  </r>
  <r>
    <n v="3"/>
    <x v="1166"/>
    <x v="408"/>
    <n v="3"/>
    <n v="824"/>
    <x v="1"/>
    <x v="1"/>
    <n v="824"/>
    <s v="181756"/>
    <s v="Rack Line (New Zero)"/>
    <x v="1354"/>
    <n v="1"/>
    <n v="1"/>
  </r>
  <r>
    <n v="3"/>
    <x v="1166"/>
    <x v="408"/>
    <n v="11"/>
    <n v="970"/>
    <x v="0"/>
    <x v="0"/>
    <n v="506"/>
    <s v="120023"/>
    <s v="Estante Aruba"/>
    <x v="1355"/>
    <n v="1"/>
    <n v="1"/>
  </r>
  <r>
    <n v="3"/>
    <x v="1166"/>
    <x v="408"/>
    <n v="12"/>
    <n v="970"/>
    <x v="0"/>
    <x v="0"/>
    <n v="506"/>
    <s v="120023"/>
    <s v="Estante Aruba"/>
    <x v="1356"/>
    <n v="1"/>
    <n v="1"/>
  </r>
  <r>
    <n v="3"/>
    <x v="1167"/>
    <x v="408"/>
    <n v="4"/>
    <n v="818"/>
    <x v="73"/>
    <x v="73"/>
    <n v="818"/>
    <s v="181749"/>
    <s v="RACK MAYA"/>
    <x v="1357"/>
    <n v="1"/>
    <n v="1"/>
  </r>
  <r>
    <n v="3"/>
    <x v="1167"/>
    <x v="408"/>
    <n v="15"/>
    <n v="821"/>
    <x v="65"/>
    <x v="65"/>
    <n v="821"/>
    <s v="181751"/>
    <s v="HOME NINA"/>
    <x v="1358"/>
    <n v="1"/>
    <n v="1"/>
  </r>
  <r>
    <n v="3"/>
    <x v="200"/>
    <x v="408"/>
    <n v="1"/>
    <n v="729"/>
    <x v="66"/>
    <x v="66"/>
    <n v="729"/>
    <s v="181601"/>
    <s v="Estante Delize"/>
    <x v="252"/>
    <n v="1"/>
    <n v="1"/>
  </r>
  <r>
    <n v="9"/>
    <x v="1168"/>
    <x v="409"/>
    <n v="1"/>
    <n v="774"/>
    <x v="109"/>
    <x v="109"/>
    <n v="774"/>
    <s v="181696"/>
    <s v="Camarote 303"/>
    <x v="34"/>
    <n v="1"/>
    <n v="1"/>
  </r>
  <r>
    <n v="9"/>
    <x v="1169"/>
    <x v="410"/>
    <n v="1"/>
    <n v="680"/>
    <x v="116"/>
    <x v="116"/>
    <n v="680"/>
    <s v="181600"/>
    <s v="Estante Cristal"/>
    <x v="34"/>
    <n v="1"/>
    <n v="1"/>
  </r>
  <r>
    <n v="8"/>
    <x v="1170"/>
    <x v="411"/>
    <n v="1"/>
    <n v="824"/>
    <x v="1"/>
    <x v="1"/>
    <n v="824"/>
    <s v="181756"/>
    <s v="Rack Line (New Zero)"/>
    <x v="34"/>
    <n v="34"/>
    <n v="34"/>
  </r>
  <r>
    <n v="8"/>
    <x v="1171"/>
    <x v="6"/>
    <n v="9"/>
    <n v="667"/>
    <x v="233"/>
    <x v="233"/>
    <n v="667"/>
    <s v="181588"/>
    <s v="Rack Malibu"/>
    <x v="34"/>
    <n v="1"/>
    <n v="1"/>
  </r>
  <r>
    <n v="8"/>
    <x v="1172"/>
    <x v="6"/>
    <n v="10"/>
    <n v="787"/>
    <x v="99"/>
    <x v="99"/>
    <n v="787"/>
    <s v="181697"/>
    <s v="RESPALDO SINAI (UN REGRUESO A LO LARGO)"/>
    <x v="34"/>
    <n v="1"/>
    <n v="1"/>
  </r>
  <r>
    <n v="8"/>
    <x v="1173"/>
    <x v="6"/>
    <n v="11"/>
    <n v="400"/>
    <x v="89"/>
    <x v="89"/>
    <n v="400"/>
    <s v="161008"/>
    <s v="Escritorio Fenix Artico"/>
    <x v="34"/>
    <n v="1"/>
    <n v="1"/>
  </r>
  <r>
    <n v="8"/>
    <x v="1174"/>
    <x v="6"/>
    <n v="12"/>
    <n v="787"/>
    <x v="99"/>
    <x v="99"/>
    <n v="787"/>
    <s v="181697"/>
    <s v="RESPALDO SINAI (UN REGRUESO A LO LARGO)"/>
    <x v="34"/>
    <n v="1"/>
    <n v="1"/>
  </r>
  <r>
    <n v="8"/>
    <x v="1175"/>
    <x v="6"/>
    <n v="2"/>
    <n v="892"/>
    <x v="25"/>
    <x v="25"/>
    <n v="746"/>
    <s v="181662"/>
    <s v="Respaldo Monaco"/>
    <x v="34"/>
    <n v="1"/>
    <n v="1"/>
  </r>
  <r>
    <n v="8"/>
    <x v="1176"/>
    <x v="6"/>
    <n v="3"/>
    <n v="534"/>
    <x v="24"/>
    <x v="24"/>
    <n v="534"/>
    <s v="175118"/>
    <s v="Respaldo Oregon 2plz + 2 veladores"/>
    <x v="34"/>
    <n v="1"/>
    <n v="1"/>
  </r>
  <r>
    <n v="8"/>
    <x v="1176"/>
    <x v="6"/>
    <n v="4"/>
    <n v="668"/>
    <x v="234"/>
    <x v="234"/>
    <n v="668"/>
    <s v="181589"/>
    <s v="Arrimo Monet"/>
    <x v="34"/>
    <n v="1"/>
    <n v="1"/>
  </r>
  <r>
    <n v="8"/>
    <x v="1177"/>
    <x v="6"/>
    <n v="5"/>
    <n v="401"/>
    <x v="21"/>
    <x v="21"/>
    <n v="401"/>
    <s v="161009"/>
    <s v="Escritorio Olimpia aberto - artico"/>
    <x v="34"/>
    <n v="1"/>
    <n v="1"/>
  </r>
  <r>
    <n v="8"/>
    <x v="1178"/>
    <x v="6"/>
    <n v="6"/>
    <n v="534"/>
    <x v="24"/>
    <x v="24"/>
    <n v="534"/>
    <s v="175118"/>
    <s v="Respaldo Oregon 2plz + 2 veladores"/>
    <x v="34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81">
  <r>
    <n v="1"/>
    <x v="0"/>
    <x v="0"/>
    <x v="0"/>
    <x v="0"/>
    <x v="0"/>
    <x v="0"/>
    <x v="0"/>
    <n v="1"/>
    <s v="23207051994001"/>
    <n v="1"/>
    <n v="1"/>
    <x v="0"/>
    <n v="0"/>
    <n v="1"/>
    <n v="0"/>
    <n v="1"/>
    <n v="0"/>
    <n v="0"/>
    <n v="0"/>
  </r>
  <r>
    <n v="1"/>
    <x v="0"/>
    <x v="1"/>
    <x v="0"/>
    <x v="0"/>
    <x v="1"/>
    <x v="1"/>
    <x v="1"/>
    <n v="1"/>
    <s v="23207052137001"/>
    <n v="1"/>
    <n v="1"/>
    <x v="1"/>
    <n v="0"/>
    <n v="1"/>
    <n v="0"/>
    <n v="1"/>
    <n v="0"/>
    <n v="0"/>
    <n v="0"/>
  </r>
  <r>
    <n v="1"/>
    <x v="0"/>
    <x v="2"/>
    <x v="0"/>
    <x v="0"/>
    <x v="0"/>
    <x v="2"/>
    <x v="2"/>
    <n v="1"/>
    <s v="27207053655001"/>
    <n v="1"/>
    <n v="1"/>
    <x v="0"/>
    <n v="0"/>
    <n v="1"/>
    <n v="0"/>
    <n v="1"/>
    <n v="0"/>
    <n v="0"/>
    <n v="0"/>
  </r>
  <r>
    <n v="1"/>
    <x v="0"/>
    <x v="3"/>
    <x v="0"/>
    <x v="0"/>
    <x v="0"/>
    <x v="3"/>
    <x v="3"/>
    <n v="1"/>
    <s v="23207056420001"/>
    <n v="1"/>
    <n v="1"/>
    <x v="0"/>
    <n v="0"/>
    <n v="1"/>
    <n v="0"/>
    <n v="1"/>
    <n v="0"/>
    <n v="0"/>
    <n v="0"/>
  </r>
  <r>
    <n v="1"/>
    <x v="0"/>
    <x v="4"/>
    <x v="0"/>
    <x v="1"/>
    <x v="0"/>
    <x v="2"/>
    <x v="2"/>
    <n v="1"/>
    <s v="23207058500001"/>
    <n v="1"/>
    <n v="1"/>
    <x v="0"/>
    <n v="0"/>
    <n v="1"/>
    <n v="0"/>
    <n v="1"/>
    <n v="0"/>
    <n v="0"/>
    <n v="0"/>
  </r>
  <r>
    <n v="1"/>
    <x v="0"/>
    <x v="5"/>
    <x v="0"/>
    <x v="1"/>
    <x v="0"/>
    <x v="4"/>
    <x v="4"/>
    <n v="1"/>
    <s v="23207061672001"/>
    <n v="1"/>
    <n v="1"/>
    <x v="0"/>
    <n v="0"/>
    <n v="1"/>
    <n v="0"/>
    <n v="1"/>
    <n v="0"/>
    <n v="0"/>
    <n v="0"/>
  </r>
  <r>
    <n v="1"/>
    <x v="0"/>
    <x v="6"/>
    <x v="1"/>
    <x v="1"/>
    <x v="0"/>
    <x v="3"/>
    <x v="3"/>
    <n v="1"/>
    <s v="23207064281001"/>
    <n v="1"/>
    <n v="1"/>
    <x v="0"/>
    <n v="0"/>
    <n v="1"/>
    <n v="0"/>
    <n v="1"/>
    <n v="0"/>
    <n v="0"/>
    <n v="0"/>
  </r>
  <r>
    <n v="1"/>
    <x v="0"/>
    <x v="7"/>
    <x v="1"/>
    <x v="1"/>
    <x v="0"/>
    <x v="5"/>
    <x v="5"/>
    <n v="1"/>
    <s v="23207063846001"/>
    <n v="0"/>
    <n v="0"/>
    <x v="2"/>
    <n v="0"/>
    <n v="0"/>
    <n v="0"/>
    <n v="0"/>
    <n v="0"/>
    <n v="0"/>
    <n v="0"/>
  </r>
  <r>
    <n v="1"/>
    <x v="0"/>
    <x v="8"/>
    <x v="1"/>
    <x v="1"/>
    <x v="0"/>
    <x v="3"/>
    <x v="3"/>
    <n v="1"/>
    <s v="23207062570001"/>
    <n v="1"/>
    <n v="1"/>
    <x v="0"/>
    <n v="0"/>
    <n v="1"/>
    <n v="0"/>
    <n v="1"/>
    <n v="0"/>
    <n v="0"/>
    <n v="0"/>
  </r>
  <r>
    <n v="1"/>
    <x v="0"/>
    <x v="9"/>
    <x v="1"/>
    <x v="1"/>
    <x v="0"/>
    <x v="3"/>
    <x v="3"/>
    <n v="1"/>
    <s v="23207064467001"/>
    <n v="1"/>
    <n v="1"/>
    <x v="0"/>
    <n v="0"/>
    <n v="1"/>
    <n v="0"/>
    <n v="1"/>
    <n v="0"/>
    <n v="0"/>
    <n v="0"/>
  </r>
  <r>
    <n v="1"/>
    <x v="0"/>
    <x v="10"/>
    <x v="1"/>
    <x v="2"/>
    <x v="2"/>
    <x v="6"/>
    <x v="6"/>
    <n v="48"/>
    <s v="1"/>
    <n v="48"/>
    <n v="48"/>
    <x v="3"/>
    <n v="0"/>
    <n v="48"/>
    <n v="0"/>
    <n v="48"/>
    <n v="0"/>
    <n v="0"/>
    <n v="0"/>
  </r>
  <r>
    <n v="1"/>
    <x v="0"/>
    <x v="10"/>
    <x v="1"/>
    <x v="2"/>
    <x v="2"/>
    <x v="7"/>
    <x v="7"/>
    <n v="54"/>
    <s v="2"/>
    <n v="54"/>
    <n v="54"/>
    <x v="3"/>
    <n v="0"/>
    <n v="54"/>
    <n v="0"/>
    <n v="54"/>
    <n v="0"/>
    <n v="0"/>
    <n v="0"/>
  </r>
  <r>
    <n v="1"/>
    <x v="0"/>
    <x v="10"/>
    <x v="1"/>
    <x v="2"/>
    <x v="2"/>
    <x v="8"/>
    <x v="8"/>
    <n v="6"/>
    <s v="3"/>
    <n v="6"/>
    <n v="6"/>
    <x v="3"/>
    <n v="0"/>
    <n v="6"/>
    <n v="0"/>
    <n v="6"/>
    <n v="0"/>
    <n v="0"/>
    <n v="0"/>
  </r>
  <r>
    <n v="1"/>
    <x v="0"/>
    <x v="10"/>
    <x v="1"/>
    <x v="2"/>
    <x v="2"/>
    <x v="9"/>
    <x v="9"/>
    <n v="6"/>
    <s v="4"/>
    <n v="6"/>
    <n v="6"/>
    <x v="3"/>
    <n v="0"/>
    <n v="6"/>
    <n v="0"/>
    <n v="6"/>
    <n v="0"/>
    <n v="0"/>
    <n v="0"/>
  </r>
  <r>
    <n v="1"/>
    <x v="0"/>
    <x v="10"/>
    <x v="1"/>
    <x v="2"/>
    <x v="2"/>
    <x v="10"/>
    <x v="10"/>
    <n v="6"/>
    <s v="5"/>
    <n v="6"/>
    <n v="6"/>
    <x v="3"/>
    <n v="0"/>
    <n v="6"/>
    <n v="0"/>
    <n v="6"/>
    <n v="0"/>
    <n v="0"/>
    <n v="0"/>
  </r>
  <r>
    <n v="1"/>
    <x v="0"/>
    <x v="11"/>
    <x v="1"/>
    <x v="2"/>
    <x v="0"/>
    <x v="3"/>
    <x v="3"/>
    <n v="1"/>
    <s v="23207069752001"/>
    <n v="1"/>
    <n v="1"/>
    <x v="0"/>
    <n v="0"/>
    <n v="1"/>
    <n v="0"/>
    <n v="1"/>
    <n v="0"/>
    <n v="0"/>
    <n v="0"/>
  </r>
  <r>
    <n v="1"/>
    <x v="0"/>
    <x v="12"/>
    <x v="1"/>
    <x v="2"/>
    <x v="1"/>
    <x v="11"/>
    <x v="11"/>
    <n v="1"/>
    <s v="23207070384001"/>
    <n v="1"/>
    <n v="1"/>
    <x v="1"/>
    <n v="0"/>
    <n v="1"/>
    <n v="0"/>
    <n v="1"/>
    <n v="0"/>
    <n v="0"/>
    <n v="0"/>
  </r>
  <r>
    <n v="1"/>
    <x v="0"/>
    <x v="13"/>
    <x v="1"/>
    <x v="2"/>
    <x v="3"/>
    <x v="8"/>
    <x v="8"/>
    <n v="12"/>
    <s v="1"/>
    <n v="12"/>
    <n v="12"/>
    <x v="4"/>
    <n v="0"/>
    <n v="12"/>
    <n v="0"/>
    <n v="12"/>
    <n v="0"/>
    <n v="0"/>
    <n v="0"/>
  </r>
  <r>
    <n v="1"/>
    <x v="0"/>
    <x v="13"/>
    <x v="1"/>
    <x v="2"/>
    <x v="3"/>
    <x v="9"/>
    <x v="9"/>
    <n v="12"/>
    <s v="2"/>
    <n v="12"/>
    <n v="12"/>
    <x v="4"/>
    <n v="0"/>
    <n v="12"/>
    <n v="0"/>
    <n v="12"/>
    <n v="0"/>
    <n v="0"/>
    <n v="0"/>
  </r>
  <r>
    <n v="1"/>
    <x v="0"/>
    <x v="13"/>
    <x v="1"/>
    <x v="2"/>
    <x v="3"/>
    <x v="10"/>
    <x v="10"/>
    <n v="6"/>
    <s v="3"/>
    <n v="6"/>
    <n v="6"/>
    <x v="4"/>
    <n v="0"/>
    <n v="6"/>
    <n v="0"/>
    <n v="6"/>
    <n v="0"/>
    <n v="0"/>
    <n v="0"/>
  </r>
  <r>
    <n v="1"/>
    <x v="0"/>
    <x v="14"/>
    <x v="1"/>
    <x v="2"/>
    <x v="3"/>
    <x v="12"/>
    <x v="12"/>
    <n v="12"/>
    <s v="1"/>
    <n v="0"/>
    <n v="0"/>
    <x v="2"/>
    <n v="0"/>
    <n v="0"/>
    <n v="0"/>
    <n v="0"/>
    <n v="0"/>
    <n v="0"/>
    <n v="0"/>
  </r>
  <r>
    <n v="1"/>
    <x v="0"/>
    <x v="15"/>
    <x v="2"/>
    <x v="2"/>
    <x v="0"/>
    <x v="13"/>
    <x v="13"/>
    <n v="1"/>
    <s v="23207071210001"/>
    <n v="1"/>
    <n v="1"/>
    <x v="0"/>
    <n v="0"/>
    <n v="1"/>
    <n v="0"/>
    <n v="1"/>
    <n v="0"/>
    <n v="0"/>
    <n v="0"/>
  </r>
  <r>
    <n v="1"/>
    <x v="0"/>
    <x v="16"/>
    <x v="2"/>
    <x v="2"/>
    <x v="0"/>
    <x v="14"/>
    <x v="14"/>
    <n v="1"/>
    <s v="23207072066001"/>
    <n v="1"/>
    <n v="1"/>
    <x v="0"/>
    <n v="0"/>
    <n v="1"/>
    <n v="0"/>
    <n v="1"/>
    <n v="0"/>
    <n v="0"/>
    <n v="0"/>
  </r>
  <r>
    <n v="1"/>
    <x v="0"/>
    <x v="17"/>
    <x v="2"/>
    <x v="3"/>
    <x v="0"/>
    <x v="2"/>
    <x v="2"/>
    <n v="1"/>
    <s v="23207074084001"/>
    <n v="1"/>
    <n v="1"/>
    <x v="0"/>
    <n v="0"/>
    <n v="1"/>
    <n v="0"/>
    <n v="1"/>
    <n v="0"/>
    <n v="0"/>
    <n v="0"/>
  </r>
  <r>
    <n v="1"/>
    <x v="0"/>
    <x v="18"/>
    <x v="2"/>
    <x v="3"/>
    <x v="0"/>
    <x v="15"/>
    <x v="15"/>
    <n v="1"/>
    <s v="23207074800002"/>
    <n v="1"/>
    <n v="1"/>
    <x v="0"/>
    <n v="0"/>
    <n v="1"/>
    <n v="0"/>
    <n v="1"/>
    <n v="0"/>
    <n v="0"/>
    <n v="0"/>
  </r>
  <r>
    <n v="1"/>
    <x v="0"/>
    <x v="19"/>
    <x v="2"/>
    <x v="3"/>
    <x v="0"/>
    <x v="16"/>
    <x v="16"/>
    <n v="2"/>
    <s v="27207075838001"/>
    <n v="2"/>
    <n v="2"/>
    <x v="0"/>
    <n v="0"/>
    <n v="2"/>
    <n v="0"/>
    <n v="2"/>
    <n v="0"/>
    <n v="0"/>
    <n v="0"/>
  </r>
  <r>
    <n v="1"/>
    <x v="0"/>
    <x v="20"/>
    <x v="2"/>
    <x v="3"/>
    <x v="1"/>
    <x v="17"/>
    <x v="17"/>
    <n v="1"/>
    <s v="23207075907001"/>
    <n v="1"/>
    <n v="1"/>
    <x v="1"/>
    <n v="0"/>
    <n v="1"/>
    <n v="0"/>
    <n v="1"/>
    <n v="0"/>
    <n v="0"/>
    <n v="0"/>
  </r>
  <r>
    <n v="1"/>
    <x v="0"/>
    <x v="21"/>
    <x v="2"/>
    <x v="3"/>
    <x v="0"/>
    <x v="2"/>
    <x v="2"/>
    <n v="1"/>
    <s v="23207076377001"/>
    <n v="1"/>
    <n v="1"/>
    <x v="0"/>
    <n v="0"/>
    <n v="1"/>
    <n v="0"/>
    <n v="1"/>
    <n v="0"/>
    <n v="0"/>
    <n v="0"/>
  </r>
  <r>
    <n v="1"/>
    <x v="0"/>
    <x v="22"/>
    <x v="2"/>
    <x v="3"/>
    <x v="4"/>
    <x v="6"/>
    <x v="6"/>
    <n v="36"/>
    <s v="1"/>
    <n v="36"/>
    <n v="36"/>
    <x v="5"/>
    <n v="0"/>
    <n v="36"/>
    <n v="0"/>
    <n v="36"/>
    <n v="0"/>
    <n v="0"/>
    <n v="0"/>
  </r>
  <r>
    <n v="1"/>
    <x v="0"/>
    <x v="22"/>
    <x v="2"/>
    <x v="3"/>
    <x v="4"/>
    <x v="7"/>
    <x v="7"/>
    <n v="12"/>
    <s v="2"/>
    <n v="12"/>
    <n v="12"/>
    <x v="5"/>
    <n v="0"/>
    <n v="12"/>
    <n v="0"/>
    <n v="12"/>
    <n v="0"/>
    <n v="0"/>
    <n v="0"/>
  </r>
  <r>
    <n v="1"/>
    <x v="0"/>
    <x v="22"/>
    <x v="2"/>
    <x v="3"/>
    <x v="4"/>
    <x v="18"/>
    <x v="18"/>
    <n v="6"/>
    <s v="3"/>
    <n v="6"/>
    <n v="6"/>
    <x v="5"/>
    <n v="0"/>
    <n v="6"/>
    <n v="0"/>
    <n v="6"/>
    <n v="0"/>
    <n v="0"/>
    <n v="0"/>
  </r>
  <r>
    <n v="1"/>
    <x v="0"/>
    <x v="22"/>
    <x v="2"/>
    <x v="3"/>
    <x v="4"/>
    <x v="19"/>
    <x v="19"/>
    <n v="6"/>
    <s v="4"/>
    <n v="6"/>
    <n v="6"/>
    <x v="5"/>
    <n v="0"/>
    <n v="6"/>
    <n v="0"/>
    <n v="6"/>
    <n v="0"/>
    <n v="0"/>
    <n v="0"/>
  </r>
  <r>
    <n v="1"/>
    <x v="0"/>
    <x v="22"/>
    <x v="2"/>
    <x v="3"/>
    <x v="4"/>
    <x v="9"/>
    <x v="9"/>
    <n v="6"/>
    <s v="5"/>
    <n v="6"/>
    <n v="6"/>
    <x v="5"/>
    <n v="0"/>
    <n v="6"/>
    <n v="0"/>
    <n v="6"/>
    <n v="0"/>
    <n v="0"/>
    <n v="0"/>
  </r>
  <r>
    <n v="1"/>
    <x v="0"/>
    <x v="23"/>
    <x v="1"/>
    <x v="3"/>
    <x v="5"/>
    <x v="20"/>
    <x v="20"/>
    <n v="6"/>
    <s v="3"/>
    <n v="0"/>
    <n v="0"/>
    <x v="4"/>
    <n v="0"/>
    <n v="0"/>
    <n v="0"/>
    <n v="0"/>
    <n v="0"/>
    <n v="0"/>
    <n v="0"/>
  </r>
  <r>
    <n v="1"/>
    <x v="0"/>
    <x v="23"/>
    <x v="1"/>
    <x v="3"/>
    <x v="5"/>
    <x v="21"/>
    <x v="21"/>
    <n v="6"/>
    <s v="2"/>
    <n v="0"/>
    <n v="0"/>
    <x v="4"/>
    <n v="0"/>
    <n v="0"/>
    <n v="0"/>
    <n v="0"/>
    <n v="0"/>
    <n v="0"/>
    <n v="0"/>
  </r>
  <r>
    <n v="1"/>
    <x v="0"/>
    <x v="23"/>
    <x v="1"/>
    <x v="3"/>
    <x v="5"/>
    <x v="22"/>
    <x v="22"/>
    <n v="252"/>
    <s v="1"/>
    <n v="0"/>
    <n v="0"/>
    <x v="4"/>
    <n v="0"/>
    <n v="0"/>
    <n v="0"/>
    <n v="0"/>
    <n v="0"/>
    <n v="0"/>
    <n v="0"/>
  </r>
  <r>
    <n v="1"/>
    <x v="0"/>
    <x v="23"/>
    <x v="1"/>
    <x v="3"/>
    <x v="5"/>
    <x v="23"/>
    <x v="23"/>
    <n v="960"/>
    <s v="4"/>
    <n v="0"/>
    <n v="0"/>
    <x v="4"/>
    <n v="0"/>
    <n v="0"/>
    <n v="0"/>
    <n v="0"/>
    <n v="0"/>
    <n v="0"/>
    <n v="0"/>
  </r>
  <r>
    <n v="1"/>
    <x v="0"/>
    <x v="23"/>
    <x v="1"/>
    <x v="3"/>
    <x v="5"/>
    <x v="24"/>
    <x v="24"/>
    <n v="3"/>
    <s v="5"/>
    <n v="3"/>
    <n v="3"/>
    <x v="4"/>
    <n v="0"/>
    <n v="3"/>
    <n v="0"/>
    <n v="3"/>
    <n v="0"/>
    <n v="0"/>
    <n v="0"/>
  </r>
  <r>
    <n v="1"/>
    <x v="0"/>
    <x v="23"/>
    <x v="1"/>
    <x v="3"/>
    <x v="5"/>
    <x v="25"/>
    <x v="25"/>
    <n v="14"/>
    <s v="6"/>
    <n v="0"/>
    <n v="0"/>
    <x v="4"/>
    <n v="0"/>
    <n v="0"/>
    <n v="0"/>
    <n v="0"/>
    <n v="0"/>
    <n v="0"/>
    <n v="0"/>
  </r>
  <r>
    <n v="1"/>
    <x v="0"/>
    <x v="24"/>
    <x v="2"/>
    <x v="3"/>
    <x v="0"/>
    <x v="26"/>
    <x v="26"/>
    <n v="1"/>
    <s v="23207077789001"/>
    <n v="1"/>
    <n v="1"/>
    <x v="0"/>
    <n v="0"/>
    <n v="1"/>
    <n v="0"/>
    <n v="1"/>
    <n v="0"/>
    <n v="0"/>
    <n v="0"/>
  </r>
  <r>
    <n v="1"/>
    <x v="0"/>
    <x v="25"/>
    <x v="3"/>
    <x v="3"/>
    <x v="0"/>
    <x v="2"/>
    <x v="2"/>
    <n v="1"/>
    <s v="23207080344001"/>
    <n v="1"/>
    <n v="1"/>
    <x v="0"/>
    <n v="0"/>
    <n v="1"/>
    <n v="0"/>
    <n v="1"/>
    <n v="0"/>
    <n v="0"/>
    <n v="0"/>
  </r>
  <r>
    <n v="1"/>
    <x v="0"/>
    <x v="26"/>
    <x v="3"/>
    <x v="4"/>
    <x v="0"/>
    <x v="2"/>
    <x v="2"/>
    <n v="1"/>
    <s v="27207092649001"/>
    <n v="0"/>
    <n v="0"/>
    <x v="2"/>
    <n v="0"/>
    <n v="0"/>
    <n v="0"/>
    <n v="0"/>
    <n v="0"/>
    <n v="0"/>
    <n v="0"/>
  </r>
  <r>
    <n v="1"/>
    <x v="0"/>
    <x v="27"/>
    <x v="4"/>
    <x v="4"/>
    <x v="1"/>
    <x v="14"/>
    <x v="14"/>
    <n v="1"/>
    <s v="23207095825001"/>
    <n v="1"/>
    <n v="1"/>
    <x v="1"/>
    <n v="0"/>
    <n v="1"/>
    <n v="0"/>
    <n v="1"/>
    <n v="0"/>
    <n v="0"/>
    <n v="0"/>
  </r>
  <r>
    <n v="1"/>
    <x v="0"/>
    <x v="28"/>
    <x v="4"/>
    <x v="4"/>
    <x v="1"/>
    <x v="14"/>
    <x v="14"/>
    <n v="1"/>
    <s v="23207095753001"/>
    <n v="1"/>
    <n v="1"/>
    <x v="1"/>
    <n v="0"/>
    <n v="1"/>
    <n v="0"/>
    <n v="1"/>
    <n v="0"/>
    <n v="0"/>
    <n v="0"/>
  </r>
  <r>
    <n v="1"/>
    <x v="0"/>
    <x v="29"/>
    <x v="5"/>
    <x v="5"/>
    <x v="6"/>
    <x v="27"/>
    <x v="27"/>
    <n v="2"/>
    <s v="23207192089001"/>
    <n v="1"/>
    <n v="1"/>
    <x v="6"/>
    <n v="0"/>
    <n v="1"/>
    <n v="0"/>
    <n v="1"/>
    <n v="0"/>
    <n v="0"/>
    <n v="0"/>
  </r>
  <r>
    <n v="1"/>
    <x v="0"/>
    <x v="30"/>
    <x v="6"/>
    <x v="5"/>
    <x v="6"/>
    <x v="28"/>
    <x v="28"/>
    <n v="1"/>
    <s v="23207191523001"/>
    <n v="1"/>
    <n v="1"/>
    <x v="6"/>
    <n v="0"/>
    <n v="1"/>
    <n v="0"/>
    <n v="1"/>
    <n v="0"/>
    <n v="0"/>
    <n v="0"/>
  </r>
  <r>
    <n v="1"/>
    <x v="0"/>
    <x v="31"/>
    <x v="6"/>
    <x v="6"/>
    <x v="6"/>
    <x v="4"/>
    <x v="4"/>
    <n v="1"/>
    <s v="27207193523001"/>
    <n v="1"/>
    <n v="1"/>
    <x v="6"/>
    <n v="0"/>
    <n v="1"/>
    <n v="0"/>
    <n v="1"/>
    <n v="0"/>
    <n v="0"/>
    <n v="0"/>
  </r>
  <r>
    <n v="1"/>
    <x v="0"/>
    <x v="32"/>
    <x v="6"/>
    <x v="6"/>
    <x v="6"/>
    <x v="29"/>
    <x v="29"/>
    <n v="1"/>
    <s v="23207194437001"/>
    <n v="1"/>
    <n v="1"/>
    <x v="6"/>
    <n v="0"/>
    <n v="1"/>
    <n v="0"/>
    <n v="1"/>
    <n v="0"/>
    <n v="0"/>
    <n v="0"/>
  </r>
  <r>
    <n v="1"/>
    <x v="0"/>
    <x v="33"/>
    <x v="6"/>
    <x v="6"/>
    <x v="6"/>
    <x v="30"/>
    <x v="30"/>
    <n v="1"/>
    <s v="23207194620001"/>
    <n v="1"/>
    <n v="1"/>
    <x v="6"/>
    <n v="0"/>
    <n v="1"/>
    <n v="0"/>
    <n v="1"/>
    <n v="0"/>
    <n v="0"/>
    <n v="0"/>
  </r>
  <r>
    <n v="1"/>
    <x v="0"/>
    <x v="34"/>
    <x v="6"/>
    <x v="6"/>
    <x v="6"/>
    <x v="31"/>
    <x v="31"/>
    <n v="1"/>
    <s v="27207195123001"/>
    <n v="1"/>
    <n v="1"/>
    <x v="6"/>
    <n v="0"/>
    <n v="1"/>
    <n v="0"/>
    <n v="1"/>
    <n v="0"/>
    <n v="0"/>
    <n v="0"/>
  </r>
  <r>
    <n v="1"/>
    <x v="0"/>
    <x v="35"/>
    <x v="6"/>
    <x v="7"/>
    <x v="6"/>
    <x v="15"/>
    <x v="15"/>
    <n v="1"/>
    <s v="23207197185001"/>
    <n v="1"/>
    <n v="1"/>
    <x v="6"/>
    <n v="0"/>
    <n v="1"/>
    <n v="0"/>
    <n v="1"/>
    <n v="0"/>
    <n v="0"/>
    <n v="0"/>
  </r>
  <r>
    <n v="1"/>
    <x v="0"/>
    <x v="36"/>
    <x v="6"/>
    <x v="7"/>
    <x v="6"/>
    <x v="11"/>
    <x v="11"/>
    <n v="1"/>
    <s v="23207198442002"/>
    <n v="1"/>
    <n v="1"/>
    <x v="6"/>
    <n v="0"/>
    <n v="1"/>
    <n v="0"/>
    <n v="1"/>
    <n v="0"/>
    <n v="0"/>
    <n v="0"/>
  </r>
  <r>
    <n v="1"/>
    <x v="0"/>
    <x v="37"/>
    <x v="6"/>
    <x v="7"/>
    <x v="6"/>
    <x v="28"/>
    <x v="28"/>
    <n v="2"/>
    <s v="26207198515001"/>
    <n v="2"/>
    <n v="2"/>
    <x v="6"/>
    <n v="0"/>
    <n v="2"/>
    <n v="0"/>
    <n v="2"/>
    <n v="0"/>
    <n v="0"/>
    <n v="0"/>
  </r>
  <r>
    <n v="1"/>
    <x v="0"/>
    <x v="38"/>
    <x v="6"/>
    <x v="7"/>
    <x v="6"/>
    <x v="32"/>
    <x v="32"/>
    <n v="1"/>
    <s v="23207199659001"/>
    <n v="1"/>
    <n v="1"/>
    <x v="6"/>
    <n v="0"/>
    <n v="1"/>
    <n v="0"/>
    <n v="1"/>
    <n v="0"/>
    <n v="0"/>
    <n v="0"/>
  </r>
  <r>
    <n v="1"/>
    <x v="0"/>
    <x v="39"/>
    <x v="6"/>
    <x v="7"/>
    <x v="6"/>
    <x v="29"/>
    <x v="29"/>
    <n v="1"/>
    <s v="23207200200001"/>
    <n v="1"/>
    <n v="1"/>
    <x v="6"/>
    <n v="0"/>
    <n v="1"/>
    <n v="0"/>
    <n v="1"/>
    <n v="0"/>
    <n v="0"/>
    <n v="0"/>
  </r>
  <r>
    <n v="1"/>
    <x v="0"/>
    <x v="40"/>
    <x v="6"/>
    <x v="7"/>
    <x v="6"/>
    <x v="29"/>
    <x v="29"/>
    <n v="1"/>
    <s v="23207200471001"/>
    <n v="1"/>
    <n v="1"/>
    <x v="6"/>
    <n v="0"/>
    <n v="1"/>
    <n v="0"/>
    <n v="1"/>
    <n v="0"/>
    <n v="0"/>
    <n v="0"/>
  </r>
  <r>
    <n v="1"/>
    <x v="0"/>
    <x v="41"/>
    <x v="6"/>
    <x v="8"/>
    <x v="6"/>
    <x v="33"/>
    <x v="33"/>
    <n v="1"/>
    <s v="23207202536001"/>
    <n v="1"/>
    <n v="1"/>
    <x v="6"/>
    <n v="0"/>
    <n v="1"/>
    <n v="0"/>
    <n v="1"/>
    <n v="0"/>
    <n v="0"/>
    <n v="0"/>
  </r>
  <r>
    <n v="1"/>
    <x v="0"/>
    <x v="42"/>
    <x v="6"/>
    <x v="9"/>
    <x v="6"/>
    <x v="34"/>
    <x v="34"/>
    <n v="1"/>
    <s v="23207204318001"/>
    <n v="1"/>
    <n v="1"/>
    <x v="6"/>
    <n v="0"/>
    <n v="1"/>
    <n v="0"/>
    <n v="1"/>
    <n v="0"/>
    <n v="0"/>
    <n v="0"/>
  </r>
  <r>
    <n v="1"/>
    <x v="0"/>
    <x v="43"/>
    <x v="7"/>
    <x v="9"/>
    <x v="6"/>
    <x v="5"/>
    <x v="5"/>
    <n v="1"/>
    <s v="23207206874001"/>
    <n v="1"/>
    <n v="1"/>
    <x v="6"/>
    <n v="0"/>
    <n v="1"/>
    <n v="0"/>
    <n v="1"/>
    <n v="0"/>
    <n v="0"/>
    <n v="0"/>
  </r>
  <r>
    <n v="1"/>
    <x v="0"/>
    <x v="44"/>
    <x v="7"/>
    <x v="10"/>
    <x v="6"/>
    <x v="35"/>
    <x v="35"/>
    <n v="1"/>
    <s v="27207208808001"/>
    <n v="1"/>
    <n v="1"/>
    <x v="6"/>
    <n v="0"/>
    <n v="1"/>
    <n v="0"/>
    <n v="1"/>
    <n v="0"/>
    <n v="0"/>
    <n v="0"/>
  </r>
  <r>
    <n v="1"/>
    <x v="0"/>
    <x v="45"/>
    <x v="7"/>
    <x v="10"/>
    <x v="6"/>
    <x v="26"/>
    <x v="26"/>
    <n v="1"/>
    <s v="23207209087001"/>
    <n v="1"/>
    <n v="1"/>
    <x v="6"/>
    <n v="0"/>
    <n v="1"/>
    <n v="0"/>
    <n v="1"/>
    <n v="0"/>
    <n v="0"/>
    <n v="0"/>
  </r>
  <r>
    <n v="1"/>
    <x v="0"/>
    <x v="46"/>
    <x v="7"/>
    <x v="10"/>
    <x v="7"/>
    <x v="6"/>
    <x v="6"/>
    <n v="24"/>
    <s v="1"/>
    <n v="24"/>
    <n v="24"/>
    <x v="7"/>
    <n v="0"/>
    <n v="24"/>
    <n v="0"/>
    <n v="24"/>
    <n v="0"/>
    <n v="0"/>
    <n v="0"/>
  </r>
  <r>
    <n v="1"/>
    <x v="0"/>
    <x v="46"/>
    <x v="7"/>
    <x v="10"/>
    <x v="7"/>
    <x v="19"/>
    <x v="19"/>
    <n v="6"/>
    <s v="3"/>
    <n v="6"/>
    <n v="6"/>
    <x v="7"/>
    <n v="0"/>
    <n v="6"/>
    <n v="0"/>
    <n v="6"/>
    <n v="0"/>
    <n v="0"/>
    <n v="0"/>
  </r>
  <r>
    <n v="1"/>
    <x v="0"/>
    <x v="46"/>
    <x v="7"/>
    <x v="10"/>
    <x v="7"/>
    <x v="9"/>
    <x v="9"/>
    <n v="6"/>
    <s v="4"/>
    <n v="6"/>
    <n v="6"/>
    <x v="7"/>
    <n v="0"/>
    <n v="6"/>
    <n v="0"/>
    <n v="6"/>
    <n v="0"/>
    <n v="0"/>
    <n v="0"/>
  </r>
  <r>
    <n v="1"/>
    <x v="0"/>
    <x v="46"/>
    <x v="7"/>
    <x v="10"/>
    <x v="7"/>
    <x v="7"/>
    <x v="7"/>
    <n v="12"/>
    <s v="2"/>
    <n v="12"/>
    <n v="12"/>
    <x v="7"/>
    <n v="0"/>
    <n v="12"/>
    <n v="0"/>
    <n v="12"/>
    <n v="0"/>
    <n v="0"/>
    <n v="0"/>
  </r>
  <r>
    <n v="1"/>
    <x v="0"/>
    <x v="47"/>
    <x v="7"/>
    <x v="10"/>
    <x v="6"/>
    <x v="36"/>
    <x v="36"/>
    <n v="1"/>
    <s v="23207208559001"/>
    <n v="1"/>
    <n v="1"/>
    <x v="6"/>
    <n v="0"/>
    <n v="1"/>
    <n v="0"/>
    <n v="1"/>
    <n v="0"/>
    <n v="0"/>
    <n v="0"/>
  </r>
  <r>
    <n v="1"/>
    <x v="0"/>
    <x v="48"/>
    <x v="7"/>
    <x v="10"/>
    <x v="6"/>
    <x v="37"/>
    <x v="37"/>
    <n v="1"/>
    <s v="27207210780001"/>
    <n v="1"/>
    <n v="1"/>
    <x v="6"/>
    <n v="0"/>
    <n v="1"/>
    <n v="0"/>
    <n v="1"/>
    <n v="0"/>
    <n v="0"/>
    <n v="0"/>
  </r>
  <r>
    <n v="1"/>
    <x v="0"/>
    <x v="49"/>
    <x v="7"/>
    <x v="10"/>
    <x v="6"/>
    <x v="31"/>
    <x v="31"/>
    <n v="1"/>
    <s v="27207211603001"/>
    <n v="1"/>
    <n v="1"/>
    <x v="6"/>
    <n v="0"/>
    <n v="1"/>
    <n v="0"/>
    <n v="1"/>
    <n v="0"/>
    <n v="0"/>
    <n v="0"/>
  </r>
  <r>
    <n v="1"/>
    <x v="0"/>
    <x v="50"/>
    <x v="7"/>
    <x v="10"/>
    <x v="6"/>
    <x v="38"/>
    <x v="38"/>
    <n v="1"/>
    <s v="27207212815001"/>
    <n v="0"/>
    <n v="0"/>
    <x v="2"/>
    <n v="0"/>
    <n v="0"/>
    <n v="0"/>
    <n v="0"/>
    <n v="0"/>
    <n v="0"/>
    <n v="0"/>
  </r>
  <r>
    <n v="1"/>
    <x v="0"/>
    <x v="51"/>
    <x v="8"/>
    <x v="11"/>
    <x v="6"/>
    <x v="39"/>
    <x v="39"/>
    <n v="1"/>
    <s v="23207215661001"/>
    <n v="1"/>
    <n v="1"/>
    <x v="6"/>
    <n v="0"/>
    <n v="1"/>
    <n v="0"/>
    <n v="1"/>
    <n v="0"/>
    <n v="0"/>
    <n v="0"/>
  </r>
  <r>
    <n v="1"/>
    <x v="0"/>
    <x v="52"/>
    <x v="5"/>
    <x v="12"/>
    <x v="6"/>
    <x v="20"/>
    <x v="20"/>
    <n v="30"/>
    <s v="2"/>
    <n v="0"/>
    <n v="0"/>
    <x v="6"/>
    <n v="0"/>
    <n v="0"/>
    <n v="0"/>
    <n v="0"/>
    <n v="0"/>
    <n v="0"/>
    <n v="0"/>
  </r>
  <r>
    <n v="1"/>
    <x v="0"/>
    <x v="52"/>
    <x v="5"/>
    <x v="12"/>
    <x v="6"/>
    <x v="22"/>
    <x v="22"/>
    <n v="106"/>
    <s v="1"/>
    <n v="100"/>
    <n v="100"/>
    <x v="6"/>
    <n v="0"/>
    <n v="100"/>
    <n v="0"/>
    <n v="100"/>
    <n v="0"/>
    <n v="0"/>
    <n v="0"/>
  </r>
  <r>
    <n v="1"/>
    <x v="0"/>
    <x v="52"/>
    <x v="5"/>
    <x v="12"/>
    <x v="6"/>
    <x v="40"/>
    <x v="40"/>
    <n v="15"/>
    <s v="7"/>
    <n v="15"/>
    <n v="15"/>
    <x v="6"/>
    <n v="0"/>
    <n v="15"/>
    <n v="0"/>
    <n v="15"/>
    <n v="0"/>
    <n v="0"/>
    <n v="0"/>
  </r>
  <r>
    <n v="1"/>
    <x v="0"/>
    <x v="52"/>
    <x v="5"/>
    <x v="12"/>
    <x v="6"/>
    <x v="41"/>
    <x v="41"/>
    <n v="105"/>
    <s v="5"/>
    <n v="0"/>
    <n v="0"/>
    <x v="6"/>
    <n v="0"/>
    <n v="0"/>
    <n v="0"/>
    <n v="0"/>
    <n v="0"/>
    <n v="0"/>
    <n v="0"/>
  </r>
  <r>
    <n v="1"/>
    <x v="0"/>
    <x v="52"/>
    <x v="5"/>
    <x v="12"/>
    <x v="6"/>
    <x v="23"/>
    <x v="23"/>
    <n v="860"/>
    <s v="4"/>
    <n v="0"/>
    <n v="0"/>
    <x v="6"/>
    <n v="0"/>
    <n v="0"/>
    <n v="0"/>
    <n v="0"/>
    <n v="0"/>
    <n v="0"/>
    <n v="0"/>
  </r>
  <r>
    <n v="1"/>
    <x v="0"/>
    <x v="52"/>
    <x v="5"/>
    <x v="12"/>
    <x v="6"/>
    <x v="42"/>
    <x v="42"/>
    <n v="828"/>
    <s v="3"/>
    <n v="0"/>
    <n v="0"/>
    <x v="6"/>
    <n v="0"/>
    <n v="0"/>
    <n v="0"/>
    <n v="0"/>
    <n v="0"/>
    <n v="0"/>
    <n v="0"/>
  </r>
  <r>
    <n v="1"/>
    <x v="0"/>
    <x v="52"/>
    <x v="5"/>
    <x v="12"/>
    <x v="6"/>
    <x v="43"/>
    <x v="43"/>
    <n v="16"/>
    <s v="6"/>
    <n v="0"/>
    <n v="0"/>
    <x v="6"/>
    <n v="0"/>
    <n v="0"/>
    <n v="0"/>
    <n v="0"/>
    <n v="0"/>
    <n v="0"/>
    <n v="0"/>
  </r>
  <r>
    <n v="1"/>
    <x v="0"/>
    <x v="52"/>
    <x v="5"/>
    <x v="12"/>
    <x v="6"/>
    <x v="25"/>
    <x v="25"/>
    <n v="40"/>
    <s v="8"/>
    <n v="0"/>
    <n v="0"/>
    <x v="6"/>
    <n v="0"/>
    <n v="0"/>
    <n v="0"/>
    <n v="0"/>
    <n v="0"/>
    <n v="0"/>
    <n v="0"/>
  </r>
  <r>
    <n v="3"/>
    <x v="1"/>
    <x v="53"/>
    <x v="9"/>
    <x v="13"/>
    <x v="8"/>
    <x v="2"/>
    <x v="2"/>
    <n v="10"/>
    <s v="-"/>
    <n v="3"/>
    <n v="3"/>
    <x v="8"/>
    <n v="0"/>
    <n v="3"/>
    <n v="0"/>
    <n v="3"/>
    <n v="0"/>
    <n v="0"/>
    <n v="0"/>
  </r>
  <r>
    <n v="3"/>
    <x v="1"/>
    <x v="53"/>
    <x v="9"/>
    <x v="13"/>
    <x v="8"/>
    <x v="44"/>
    <x v="44"/>
    <n v="2"/>
    <s v="-"/>
    <n v="2"/>
    <n v="2"/>
    <x v="8"/>
    <n v="0"/>
    <n v="2"/>
    <n v="0"/>
    <n v="2"/>
    <n v="0"/>
    <n v="0"/>
    <n v="0"/>
  </r>
  <r>
    <n v="3"/>
    <x v="1"/>
    <x v="53"/>
    <x v="9"/>
    <x v="13"/>
    <x v="8"/>
    <x v="45"/>
    <x v="45"/>
    <n v="1"/>
    <s v="-"/>
    <n v="1"/>
    <n v="1"/>
    <x v="8"/>
    <n v="0"/>
    <n v="1"/>
    <n v="0"/>
    <n v="1"/>
    <n v="0"/>
    <n v="0"/>
    <n v="0"/>
  </r>
  <r>
    <n v="3"/>
    <x v="1"/>
    <x v="54"/>
    <x v="10"/>
    <x v="14"/>
    <x v="2"/>
    <x v="2"/>
    <x v="2"/>
    <n v="1"/>
    <s v="-"/>
    <n v="1"/>
    <n v="1"/>
    <x v="9"/>
    <n v="0"/>
    <n v="1"/>
    <n v="0"/>
    <n v="1"/>
    <n v="0"/>
    <n v="0"/>
    <n v="0"/>
  </r>
  <r>
    <n v="3"/>
    <x v="1"/>
    <x v="55"/>
    <x v="3"/>
    <x v="3"/>
    <x v="9"/>
    <x v="46"/>
    <x v="46"/>
    <n v="1"/>
    <s v="-"/>
    <n v="1"/>
    <n v="3"/>
    <x v="10"/>
    <n v="2"/>
    <n v="1"/>
    <n v="2"/>
    <n v="1"/>
    <n v="0"/>
    <n v="0"/>
    <n v="0"/>
  </r>
  <r>
    <n v="4"/>
    <x v="2"/>
    <x v="56"/>
    <x v="9"/>
    <x v="13"/>
    <x v="10"/>
    <x v="47"/>
    <x v="47"/>
    <n v="1"/>
    <s v="12708750361"/>
    <n v="1"/>
    <n v="1"/>
    <x v="11"/>
    <n v="0"/>
    <n v="1"/>
    <n v="0"/>
    <n v="1"/>
    <n v="0"/>
    <n v="0"/>
    <n v="0"/>
  </r>
  <r>
    <n v="4"/>
    <x v="2"/>
    <x v="57"/>
    <x v="9"/>
    <x v="13"/>
    <x v="2"/>
    <x v="48"/>
    <x v="48"/>
    <n v="1"/>
    <s v="12708876528"/>
    <n v="1"/>
    <n v="1"/>
    <x v="12"/>
    <n v="0"/>
    <n v="1"/>
    <n v="0"/>
    <n v="1"/>
    <n v="0"/>
    <n v="0"/>
    <n v="0"/>
  </r>
  <r>
    <n v="4"/>
    <x v="2"/>
    <x v="58"/>
    <x v="9"/>
    <x v="13"/>
    <x v="2"/>
    <x v="49"/>
    <x v="49"/>
    <n v="1"/>
    <s v="12709650561"/>
    <n v="1"/>
    <n v="1"/>
    <x v="12"/>
    <n v="0"/>
    <n v="1"/>
    <n v="0"/>
    <n v="1"/>
    <n v="0"/>
    <n v="0"/>
    <n v="0"/>
  </r>
  <r>
    <n v="4"/>
    <x v="2"/>
    <x v="59"/>
    <x v="9"/>
    <x v="13"/>
    <x v="11"/>
    <x v="50"/>
    <x v="50"/>
    <n v="1"/>
    <s v="12710227837"/>
    <n v="1"/>
    <n v="1"/>
    <x v="13"/>
    <n v="0"/>
    <n v="1"/>
    <n v="0"/>
    <n v="1"/>
    <n v="0"/>
    <n v="0"/>
    <n v="0"/>
  </r>
  <r>
    <n v="4"/>
    <x v="2"/>
    <x v="60"/>
    <x v="9"/>
    <x v="13"/>
    <x v="11"/>
    <x v="27"/>
    <x v="27"/>
    <n v="1"/>
    <s v="12710369193"/>
    <n v="1"/>
    <n v="1"/>
    <x v="13"/>
    <n v="0"/>
    <n v="1"/>
    <n v="0"/>
    <n v="1"/>
    <n v="0"/>
    <n v="0"/>
    <n v="0"/>
  </r>
  <r>
    <n v="4"/>
    <x v="2"/>
    <x v="61"/>
    <x v="9"/>
    <x v="13"/>
    <x v="8"/>
    <x v="51"/>
    <x v="51"/>
    <n v="1"/>
    <s v="12710608995"/>
    <n v="1"/>
    <n v="1"/>
    <x v="12"/>
    <n v="0"/>
    <n v="1"/>
    <n v="0"/>
    <n v="1"/>
    <n v="0"/>
    <n v="0"/>
    <n v="0"/>
  </r>
  <r>
    <n v="4"/>
    <x v="2"/>
    <x v="62"/>
    <x v="9"/>
    <x v="13"/>
    <x v="8"/>
    <x v="50"/>
    <x v="50"/>
    <n v="1"/>
    <s v="12710611384"/>
    <n v="1"/>
    <n v="1"/>
    <x v="12"/>
    <n v="0"/>
    <n v="1"/>
    <n v="0"/>
    <n v="1"/>
    <n v="0"/>
    <n v="0"/>
    <n v="0"/>
  </r>
  <r>
    <n v="4"/>
    <x v="2"/>
    <x v="63"/>
    <x v="11"/>
    <x v="15"/>
    <x v="12"/>
    <x v="52"/>
    <x v="52"/>
    <n v="1"/>
    <s v="12713847100"/>
    <n v="1"/>
    <n v="1"/>
    <x v="12"/>
    <n v="0"/>
    <n v="1"/>
    <n v="0"/>
    <n v="1"/>
    <n v="0"/>
    <n v="0"/>
    <n v="0"/>
  </r>
  <r>
    <n v="4"/>
    <x v="2"/>
    <x v="64"/>
    <x v="11"/>
    <x v="15"/>
    <x v="8"/>
    <x v="53"/>
    <x v="53"/>
    <n v="1"/>
    <s v="12713852807"/>
    <n v="1"/>
    <n v="1"/>
    <x v="12"/>
    <n v="0"/>
    <n v="1"/>
    <n v="0"/>
    <n v="1"/>
    <n v="0"/>
    <n v="0"/>
    <n v="0"/>
  </r>
  <r>
    <n v="4"/>
    <x v="2"/>
    <x v="65"/>
    <x v="11"/>
    <x v="15"/>
    <x v="8"/>
    <x v="47"/>
    <x v="47"/>
    <n v="1"/>
    <s v="12713852777"/>
    <n v="1"/>
    <n v="1"/>
    <x v="12"/>
    <n v="0"/>
    <n v="1"/>
    <n v="0"/>
    <n v="1"/>
    <n v="0"/>
    <n v="0"/>
    <n v="0"/>
  </r>
  <r>
    <n v="4"/>
    <x v="2"/>
    <x v="66"/>
    <x v="11"/>
    <x v="15"/>
    <x v="12"/>
    <x v="49"/>
    <x v="49"/>
    <n v="1"/>
    <s v="12713869942"/>
    <n v="1"/>
    <n v="1"/>
    <x v="12"/>
    <n v="0"/>
    <n v="1"/>
    <n v="0"/>
    <n v="1"/>
    <n v="0"/>
    <n v="0"/>
    <n v="0"/>
  </r>
  <r>
    <n v="4"/>
    <x v="2"/>
    <x v="67"/>
    <x v="11"/>
    <x v="15"/>
    <x v="8"/>
    <x v="49"/>
    <x v="49"/>
    <n v="1"/>
    <s v="12713890038"/>
    <n v="1"/>
    <n v="1"/>
    <x v="12"/>
    <n v="0"/>
    <n v="1"/>
    <n v="0"/>
    <n v="1"/>
    <n v="0"/>
    <n v="0"/>
    <n v="0"/>
  </r>
  <r>
    <n v="4"/>
    <x v="2"/>
    <x v="68"/>
    <x v="11"/>
    <x v="16"/>
    <x v="8"/>
    <x v="17"/>
    <x v="17"/>
    <n v="1"/>
    <s v="12713946629"/>
    <n v="1"/>
    <n v="1"/>
    <x v="12"/>
    <n v="0"/>
    <n v="1"/>
    <n v="0"/>
    <n v="1"/>
    <n v="0"/>
    <n v="0"/>
    <n v="0"/>
  </r>
  <r>
    <n v="4"/>
    <x v="2"/>
    <x v="69"/>
    <x v="11"/>
    <x v="16"/>
    <x v="8"/>
    <x v="54"/>
    <x v="54"/>
    <n v="1"/>
    <s v="12713950770"/>
    <n v="1"/>
    <n v="1"/>
    <x v="12"/>
    <n v="0"/>
    <n v="1"/>
    <n v="0"/>
    <n v="1"/>
    <n v="0"/>
    <n v="0"/>
    <n v="0"/>
  </r>
  <r>
    <n v="4"/>
    <x v="2"/>
    <x v="70"/>
    <x v="11"/>
    <x v="16"/>
    <x v="8"/>
    <x v="49"/>
    <x v="49"/>
    <n v="1"/>
    <s v="12713962421"/>
    <n v="1"/>
    <n v="1"/>
    <x v="12"/>
    <n v="0"/>
    <n v="1"/>
    <n v="0"/>
    <n v="1"/>
    <n v="0"/>
    <n v="0"/>
    <n v="0"/>
  </r>
  <r>
    <n v="4"/>
    <x v="2"/>
    <x v="71"/>
    <x v="11"/>
    <x v="16"/>
    <x v="8"/>
    <x v="46"/>
    <x v="46"/>
    <n v="1"/>
    <s v="12713990653"/>
    <n v="1"/>
    <n v="1"/>
    <x v="12"/>
    <n v="0"/>
    <n v="1"/>
    <n v="0"/>
    <n v="1"/>
    <n v="0"/>
    <n v="0"/>
    <n v="0"/>
  </r>
  <r>
    <n v="4"/>
    <x v="2"/>
    <x v="72"/>
    <x v="11"/>
    <x v="16"/>
    <x v="8"/>
    <x v="55"/>
    <x v="55"/>
    <n v="1"/>
    <s v="12713999328"/>
    <n v="1"/>
    <n v="1"/>
    <x v="12"/>
    <n v="0"/>
    <n v="1"/>
    <n v="0"/>
    <n v="1"/>
    <n v="0"/>
    <n v="0"/>
    <n v="0"/>
  </r>
  <r>
    <n v="4"/>
    <x v="2"/>
    <x v="73"/>
    <x v="11"/>
    <x v="17"/>
    <x v="8"/>
    <x v="56"/>
    <x v="56"/>
    <n v="1"/>
    <s v="12714043372"/>
    <n v="1"/>
    <n v="1"/>
    <x v="12"/>
    <n v="0"/>
    <n v="1"/>
    <n v="0"/>
    <n v="1"/>
    <n v="0"/>
    <n v="0"/>
    <n v="0"/>
  </r>
  <r>
    <n v="4"/>
    <x v="2"/>
    <x v="74"/>
    <x v="11"/>
    <x v="17"/>
    <x v="8"/>
    <x v="27"/>
    <x v="27"/>
    <n v="1"/>
    <s v="12714044485"/>
    <n v="1"/>
    <n v="1"/>
    <x v="12"/>
    <n v="0"/>
    <n v="1"/>
    <n v="0"/>
    <n v="1"/>
    <n v="0"/>
    <n v="0"/>
    <n v="0"/>
  </r>
  <r>
    <n v="4"/>
    <x v="2"/>
    <x v="75"/>
    <x v="11"/>
    <x v="17"/>
    <x v="8"/>
    <x v="4"/>
    <x v="4"/>
    <n v="1"/>
    <s v="12714055931"/>
    <n v="1"/>
    <n v="1"/>
    <x v="12"/>
    <n v="0"/>
    <n v="1"/>
    <n v="0"/>
    <n v="1"/>
    <n v="0"/>
    <n v="0"/>
    <n v="0"/>
  </r>
  <r>
    <n v="4"/>
    <x v="2"/>
    <x v="76"/>
    <x v="12"/>
    <x v="17"/>
    <x v="2"/>
    <x v="57"/>
    <x v="57"/>
    <n v="1"/>
    <s v="12713896559"/>
    <n v="1"/>
    <n v="1"/>
    <x v="12"/>
    <n v="0"/>
    <n v="1"/>
    <n v="0"/>
    <n v="1"/>
    <n v="0"/>
    <n v="0"/>
    <n v="0"/>
  </r>
  <r>
    <n v="4"/>
    <x v="2"/>
    <x v="77"/>
    <x v="12"/>
    <x v="17"/>
    <x v="8"/>
    <x v="58"/>
    <x v="58"/>
    <n v="1"/>
    <s v="12714149500"/>
    <n v="1"/>
    <n v="1"/>
    <x v="12"/>
    <n v="0"/>
    <n v="1"/>
    <n v="0"/>
    <n v="1"/>
    <n v="0"/>
    <n v="0"/>
    <n v="0"/>
  </r>
  <r>
    <n v="4"/>
    <x v="2"/>
    <x v="78"/>
    <x v="12"/>
    <x v="17"/>
    <x v="8"/>
    <x v="54"/>
    <x v="54"/>
    <n v="1"/>
    <s v="12714127720"/>
    <n v="1"/>
    <n v="1"/>
    <x v="12"/>
    <n v="0"/>
    <n v="1"/>
    <n v="0"/>
    <n v="1"/>
    <n v="0"/>
    <n v="0"/>
    <n v="0"/>
  </r>
  <r>
    <n v="4"/>
    <x v="2"/>
    <x v="79"/>
    <x v="12"/>
    <x v="17"/>
    <x v="12"/>
    <x v="59"/>
    <x v="59"/>
    <n v="1"/>
    <s v="12714199284"/>
    <n v="1"/>
    <n v="1"/>
    <x v="12"/>
    <n v="0"/>
    <n v="1"/>
    <n v="0"/>
    <n v="1"/>
    <n v="0"/>
    <n v="0"/>
    <n v="0"/>
  </r>
  <r>
    <n v="4"/>
    <x v="2"/>
    <x v="80"/>
    <x v="12"/>
    <x v="17"/>
    <x v="12"/>
    <x v="60"/>
    <x v="60"/>
    <n v="1"/>
    <s v="12714232356"/>
    <n v="1"/>
    <n v="1"/>
    <x v="12"/>
    <n v="0"/>
    <n v="1"/>
    <n v="0"/>
    <n v="1"/>
    <n v="0"/>
    <n v="0"/>
    <n v="0"/>
  </r>
  <r>
    <n v="4"/>
    <x v="2"/>
    <x v="81"/>
    <x v="12"/>
    <x v="17"/>
    <x v="12"/>
    <x v="55"/>
    <x v="55"/>
    <n v="1"/>
    <s v="12714234381"/>
    <n v="1"/>
    <n v="1"/>
    <x v="12"/>
    <n v="0"/>
    <n v="1"/>
    <n v="0"/>
    <n v="1"/>
    <n v="0"/>
    <n v="0"/>
    <n v="0"/>
  </r>
  <r>
    <n v="4"/>
    <x v="2"/>
    <x v="82"/>
    <x v="12"/>
    <x v="17"/>
    <x v="2"/>
    <x v="37"/>
    <x v="37"/>
    <n v="1"/>
    <s v="12714271447"/>
    <n v="1"/>
    <n v="1"/>
    <x v="12"/>
    <n v="0"/>
    <n v="1"/>
    <n v="0"/>
    <n v="1"/>
    <n v="0"/>
    <n v="0"/>
    <n v="0"/>
  </r>
  <r>
    <n v="4"/>
    <x v="2"/>
    <x v="83"/>
    <x v="12"/>
    <x v="17"/>
    <x v="12"/>
    <x v="49"/>
    <x v="49"/>
    <n v="1"/>
    <s v="12714279627"/>
    <n v="1"/>
    <n v="1"/>
    <x v="12"/>
    <n v="0"/>
    <n v="1"/>
    <n v="0"/>
    <n v="1"/>
    <n v="0"/>
    <n v="0"/>
    <n v="0"/>
  </r>
  <r>
    <n v="4"/>
    <x v="2"/>
    <x v="84"/>
    <x v="12"/>
    <x v="18"/>
    <x v="12"/>
    <x v="28"/>
    <x v="28"/>
    <n v="1"/>
    <s v="12714288261"/>
    <n v="1"/>
    <n v="1"/>
    <x v="12"/>
    <n v="0"/>
    <n v="1"/>
    <n v="0"/>
    <n v="1"/>
    <n v="0"/>
    <n v="0"/>
    <n v="0"/>
  </r>
  <r>
    <n v="4"/>
    <x v="2"/>
    <x v="85"/>
    <x v="12"/>
    <x v="18"/>
    <x v="12"/>
    <x v="32"/>
    <x v="32"/>
    <n v="1"/>
    <s v="12714280074"/>
    <n v="1"/>
    <n v="1"/>
    <x v="12"/>
    <n v="0"/>
    <n v="1"/>
    <n v="0"/>
    <n v="1"/>
    <n v="0"/>
    <n v="0"/>
    <n v="0"/>
  </r>
  <r>
    <n v="4"/>
    <x v="2"/>
    <x v="86"/>
    <x v="12"/>
    <x v="18"/>
    <x v="2"/>
    <x v="27"/>
    <x v="27"/>
    <n v="1"/>
    <s v="12714366044"/>
    <n v="1"/>
    <n v="1"/>
    <x v="12"/>
    <n v="0"/>
    <n v="1"/>
    <n v="0"/>
    <n v="1"/>
    <n v="0"/>
    <n v="0"/>
    <n v="0"/>
  </r>
  <r>
    <n v="4"/>
    <x v="2"/>
    <x v="87"/>
    <x v="12"/>
    <x v="18"/>
    <x v="12"/>
    <x v="58"/>
    <x v="58"/>
    <n v="1"/>
    <s v="12714393736"/>
    <n v="1"/>
    <n v="1"/>
    <x v="12"/>
    <n v="0"/>
    <n v="1"/>
    <n v="0"/>
    <n v="1"/>
    <n v="0"/>
    <n v="0"/>
    <n v="0"/>
  </r>
  <r>
    <n v="4"/>
    <x v="2"/>
    <x v="88"/>
    <x v="12"/>
    <x v="18"/>
    <x v="13"/>
    <x v="32"/>
    <x v="32"/>
    <n v="1"/>
    <s v="12714408287"/>
    <n v="1"/>
    <n v="1"/>
    <x v="12"/>
    <n v="0"/>
    <n v="1"/>
    <n v="0"/>
    <n v="1"/>
    <n v="0"/>
    <n v="0"/>
    <n v="0"/>
  </r>
  <r>
    <n v="4"/>
    <x v="2"/>
    <x v="89"/>
    <x v="12"/>
    <x v="18"/>
    <x v="13"/>
    <x v="61"/>
    <x v="61"/>
    <n v="1"/>
    <s v="12714442991"/>
    <n v="0"/>
    <n v="0"/>
    <x v="2"/>
    <n v="0"/>
    <n v="0"/>
    <n v="0"/>
    <n v="0"/>
    <n v="0"/>
    <n v="0"/>
    <n v="0"/>
  </r>
  <r>
    <n v="4"/>
    <x v="2"/>
    <x v="90"/>
    <x v="10"/>
    <x v="18"/>
    <x v="13"/>
    <x v="17"/>
    <x v="17"/>
    <n v="1"/>
    <s v="12714477702"/>
    <n v="1"/>
    <n v="1"/>
    <x v="14"/>
    <n v="0"/>
    <n v="1"/>
    <n v="0"/>
    <n v="1"/>
    <n v="0"/>
    <n v="0"/>
    <n v="0"/>
  </r>
  <r>
    <n v="4"/>
    <x v="2"/>
    <x v="91"/>
    <x v="10"/>
    <x v="18"/>
    <x v="2"/>
    <x v="60"/>
    <x v="60"/>
    <n v="1"/>
    <s v="12714491029"/>
    <n v="1"/>
    <n v="1"/>
    <x v="3"/>
    <n v="0"/>
    <n v="1"/>
    <n v="0"/>
    <n v="1"/>
    <n v="0"/>
    <n v="0"/>
    <n v="0"/>
  </r>
  <r>
    <n v="4"/>
    <x v="2"/>
    <x v="92"/>
    <x v="10"/>
    <x v="18"/>
    <x v="13"/>
    <x v="62"/>
    <x v="62"/>
    <n v="1"/>
    <s v="12714512526"/>
    <n v="1"/>
    <n v="1"/>
    <x v="14"/>
    <n v="0"/>
    <n v="1"/>
    <n v="0"/>
    <n v="1"/>
    <n v="0"/>
    <n v="0"/>
    <n v="0"/>
  </r>
  <r>
    <n v="4"/>
    <x v="2"/>
    <x v="93"/>
    <x v="10"/>
    <x v="18"/>
    <x v="13"/>
    <x v="55"/>
    <x v="55"/>
    <n v="1"/>
    <s v="12714514742"/>
    <n v="1"/>
    <n v="1"/>
    <x v="14"/>
    <n v="0"/>
    <n v="1"/>
    <n v="0"/>
    <n v="1"/>
    <n v="0"/>
    <n v="0"/>
    <n v="0"/>
  </r>
  <r>
    <n v="4"/>
    <x v="2"/>
    <x v="94"/>
    <x v="10"/>
    <x v="18"/>
    <x v="2"/>
    <x v="58"/>
    <x v="58"/>
    <n v="1"/>
    <s v="12714516548"/>
    <n v="1"/>
    <n v="1"/>
    <x v="3"/>
    <n v="0"/>
    <n v="1"/>
    <n v="0"/>
    <n v="1"/>
    <n v="0"/>
    <n v="0"/>
    <n v="0"/>
  </r>
  <r>
    <n v="4"/>
    <x v="2"/>
    <x v="95"/>
    <x v="10"/>
    <x v="19"/>
    <x v="13"/>
    <x v="63"/>
    <x v="63"/>
    <n v="1"/>
    <s v="12714544893"/>
    <n v="1"/>
    <n v="1"/>
    <x v="14"/>
    <n v="0"/>
    <n v="1"/>
    <n v="0"/>
    <n v="1"/>
    <n v="0"/>
    <n v="0"/>
    <n v="0"/>
  </r>
  <r>
    <n v="4"/>
    <x v="2"/>
    <x v="96"/>
    <x v="10"/>
    <x v="19"/>
    <x v="13"/>
    <x v="32"/>
    <x v="32"/>
    <n v="1"/>
    <s v="12714447804"/>
    <n v="1"/>
    <n v="1"/>
    <x v="14"/>
    <n v="0"/>
    <n v="1"/>
    <n v="0"/>
    <n v="1"/>
    <n v="0"/>
    <n v="0"/>
    <n v="0"/>
  </r>
  <r>
    <n v="4"/>
    <x v="2"/>
    <x v="97"/>
    <x v="13"/>
    <x v="19"/>
    <x v="13"/>
    <x v="64"/>
    <x v="64"/>
    <n v="1"/>
    <s v="12714484830"/>
    <n v="0"/>
    <n v="0"/>
    <x v="2"/>
    <n v="0"/>
    <n v="0"/>
    <n v="0"/>
    <n v="0"/>
    <n v="0"/>
    <n v="0"/>
    <n v="0"/>
  </r>
  <r>
    <n v="4"/>
    <x v="2"/>
    <x v="98"/>
    <x v="13"/>
    <x v="19"/>
    <x v="13"/>
    <x v="27"/>
    <x v="27"/>
    <n v="1"/>
    <s v="12714805352"/>
    <n v="1"/>
    <n v="1"/>
    <x v="14"/>
    <n v="0"/>
    <n v="1"/>
    <n v="0"/>
    <n v="1"/>
    <n v="0"/>
    <n v="0"/>
    <n v="0"/>
  </r>
  <r>
    <n v="4"/>
    <x v="2"/>
    <x v="99"/>
    <x v="13"/>
    <x v="19"/>
    <x v="13"/>
    <x v="65"/>
    <x v="65"/>
    <n v="1"/>
    <s v="12714834604"/>
    <n v="1"/>
    <n v="1"/>
    <x v="14"/>
    <n v="0"/>
    <n v="1"/>
    <n v="0"/>
    <n v="1"/>
    <n v="0"/>
    <n v="0"/>
    <n v="0"/>
  </r>
  <r>
    <n v="4"/>
    <x v="2"/>
    <x v="100"/>
    <x v="13"/>
    <x v="19"/>
    <x v="13"/>
    <x v="50"/>
    <x v="50"/>
    <n v="1"/>
    <s v="12714884548"/>
    <n v="1"/>
    <n v="1"/>
    <x v="14"/>
    <n v="0"/>
    <n v="1"/>
    <n v="0"/>
    <n v="1"/>
    <n v="0"/>
    <n v="0"/>
    <n v="0"/>
  </r>
  <r>
    <n v="4"/>
    <x v="2"/>
    <x v="101"/>
    <x v="13"/>
    <x v="19"/>
    <x v="13"/>
    <x v="58"/>
    <x v="58"/>
    <n v="1"/>
    <s v="12714887181"/>
    <n v="1"/>
    <n v="1"/>
    <x v="14"/>
    <n v="0"/>
    <n v="1"/>
    <n v="0"/>
    <n v="1"/>
    <n v="0"/>
    <n v="0"/>
    <n v="0"/>
  </r>
  <r>
    <n v="4"/>
    <x v="2"/>
    <x v="102"/>
    <x v="14"/>
    <x v="20"/>
    <x v="3"/>
    <x v="49"/>
    <x v="49"/>
    <n v="1"/>
    <s v="12718069279"/>
    <n v="1"/>
    <n v="1"/>
    <x v="15"/>
    <n v="0"/>
    <n v="1"/>
    <n v="0"/>
    <n v="1"/>
    <n v="0"/>
    <n v="0"/>
    <n v="0"/>
  </r>
  <r>
    <n v="4"/>
    <x v="2"/>
    <x v="103"/>
    <x v="14"/>
    <x v="20"/>
    <x v="3"/>
    <x v="4"/>
    <x v="4"/>
    <n v="1"/>
    <s v="12718111343"/>
    <n v="1"/>
    <n v="1"/>
    <x v="15"/>
    <n v="0"/>
    <n v="1"/>
    <n v="0"/>
    <n v="1"/>
    <n v="0"/>
    <n v="0"/>
    <n v="0"/>
  </r>
  <r>
    <n v="4"/>
    <x v="2"/>
    <x v="104"/>
    <x v="14"/>
    <x v="21"/>
    <x v="14"/>
    <x v="65"/>
    <x v="65"/>
    <n v="1"/>
    <s v="226866855"/>
    <n v="1"/>
    <n v="1"/>
    <x v="15"/>
    <n v="0"/>
    <n v="1"/>
    <n v="0"/>
    <n v="1"/>
    <n v="0"/>
    <n v="0"/>
    <n v="0"/>
  </r>
  <r>
    <n v="4"/>
    <x v="2"/>
    <x v="105"/>
    <x v="14"/>
    <x v="21"/>
    <x v="3"/>
    <x v="66"/>
    <x v="66"/>
    <n v="1"/>
    <s v="12718224388"/>
    <n v="1"/>
    <n v="1"/>
    <x v="15"/>
    <n v="0"/>
    <n v="1"/>
    <n v="0"/>
    <n v="1"/>
    <n v="0"/>
    <n v="0"/>
    <n v="0"/>
  </r>
  <r>
    <n v="4"/>
    <x v="2"/>
    <x v="106"/>
    <x v="14"/>
    <x v="21"/>
    <x v="3"/>
    <x v="67"/>
    <x v="67"/>
    <n v="1"/>
    <s v="12718242191"/>
    <n v="1"/>
    <n v="1"/>
    <x v="15"/>
    <n v="0"/>
    <n v="1"/>
    <n v="0"/>
    <n v="1"/>
    <n v="0"/>
    <n v="0"/>
    <n v="0"/>
  </r>
  <r>
    <n v="4"/>
    <x v="2"/>
    <x v="107"/>
    <x v="14"/>
    <x v="21"/>
    <x v="4"/>
    <x v="54"/>
    <x v="54"/>
    <n v="1"/>
    <s v="12716826782"/>
    <n v="1"/>
    <n v="1"/>
    <x v="15"/>
    <n v="0"/>
    <n v="1"/>
    <n v="0"/>
    <n v="1"/>
    <n v="0"/>
    <n v="0"/>
    <n v="0"/>
  </r>
  <r>
    <n v="4"/>
    <x v="2"/>
    <x v="108"/>
    <x v="14"/>
    <x v="21"/>
    <x v="3"/>
    <x v="27"/>
    <x v="27"/>
    <n v="1"/>
    <s v="12718272044"/>
    <n v="1"/>
    <n v="1"/>
    <x v="15"/>
    <n v="0"/>
    <n v="1"/>
    <n v="0"/>
    <n v="1"/>
    <n v="0"/>
    <n v="0"/>
    <n v="0"/>
  </r>
  <r>
    <n v="4"/>
    <x v="2"/>
    <x v="109"/>
    <x v="14"/>
    <x v="21"/>
    <x v="15"/>
    <x v="68"/>
    <x v="68"/>
    <n v="1"/>
    <s v="12718295227"/>
    <n v="0"/>
    <n v="0"/>
    <x v="2"/>
    <n v="0"/>
    <n v="0"/>
    <n v="0"/>
    <n v="0"/>
    <n v="0"/>
    <n v="0"/>
    <n v="0"/>
  </r>
  <r>
    <n v="4"/>
    <x v="2"/>
    <x v="110"/>
    <x v="14"/>
    <x v="21"/>
    <x v="3"/>
    <x v="49"/>
    <x v="49"/>
    <n v="1"/>
    <s v="12718298075"/>
    <n v="1"/>
    <n v="1"/>
    <x v="15"/>
    <n v="0"/>
    <n v="1"/>
    <n v="0"/>
    <n v="1"/>
    <n v="0"/>
    <n v="0"/>
    <n v="0"/>
  </r>
  <r>
    <n v="4"/>
    <x v="2"/>
    <x v="111"/>
    <x v="14"/>
    <x v="21"/>
    <x v="3"/>
    <x v="69"/>
    <x v="69"/>
    <n v="1"/>
    <s v="12718299386"/>
    <n v="1"/>
    <n v="1"/>
    <x v="15"/>
    <n v="0"/>
    <n v="1"/>
    <n v="0"/>
    <n v="1"/>
    <n v="0"/>
    <n v="0"/>
    <n v="0"/>
  </r>
  <r>
    <n v="4"/>
    <x v="2"/>
    <x v="112"/>
    <x v="14"/>
    <x v="21"/>
    <x v="3"/>
    <x v="56"/>
    <x v="56"/>
    <n v="1"/>
    <s v="12718304547"/>
    <n v="1"/>
    <n v="1"/>
    <x v="15"/>
    <n v="0"/>
    <n v="1"/>
    <n v="0"/>
    <n v="1"/>
    <n v="0"/>
    <n v="0"/>
    <n v="0"/>
  </r>
  <r>
    <n v="4"/>
    <x v="2"/>
    <x v="113"/>
    <x v="14"/>
    <x v="21"/>
    <x v="3"/>
    <x v="70"/>
    <x v="70"/>
    <n v="1"/>
    <s v="12717966555"/>
    <n v="1"/>
    <n v="1"/>
    <x v="15"/>
    <n v="0"/>
    <n v="1"/>
    <n v="0"/>
    <n v="1"/>
    <n v="0"/>
    <n v="0"/>
    <n v="0"/>
  </r>
  <r>
    <n v="4"/>
    <x v="2"/>
    <x v="114"/>
    <x v="14"/>
    <x v="22"/>
    <x v="3"/>
    <x v="71"/>
    <x v="71"/>
    <n v="1"/>
    <s v="12718311903"/>
    <n v="1"/>
    <n v="1"/>
    <x v="15"/>
    <n v="0"/>
    <n v="1"/>
    <n v="0"/>
    <n v="1"/>
    <n v="0"/>
    <n v="0"/>
    <n v="0"/>
  </r>
  <r>
    <n v="4"/>
    <x v="2"/>
    <x v="115"/>
    <x v="14"/>
    <x v="22"/>
    <x v="3"/>
    <x v="72"/>
    <x v="72"/>
    <n v="1"/>
    <s v="12718328970"/>
    <n v="1"/>
    <n v="1"/>
    <x v="15"/>
    <n v="0"/>
    <n v="1"/>
    <n v="0"/>
    <n v="1"/>
    <n v="0"/>
    <n v="0"/>
    <n v="0"/>
  </r>
  <r>
    <n v="4"/>
    <x v="2"/>
    <x v="116"/>
    <x v="14"/>
    <x v="22"/>
    <x v="3"/>
    <x v="11"/>
    <x v="11"/>
    <n v="1"/>
    <s v="12718393282"/>
    <n v="1"/>
    <n v="1"/>
    <x v="15"/>
    <n v="0"/>
    <n v="1"/>
    <n v="0"/>
    <n v="1"/>
    <n v="0"/>
    <n v="0"/>
    <n v="0"/>
  </r>
  <r>
    <n v="4"/>
    <x v="2"/>
    <x v="117"/>
    <x v="14"/>
    <x v="22"/>
    <x v="3"/>
    <x v="2"/>
    <x v="2"/>
    <n v="1"/>
    <s v="12718433315"/>
    <n v="1"/>
    <n v="1"/>
    <x v="15"/>
    <n v="0"/>
    <n v="1"/>
    <n v="0"/>
    <n v="1"/>
    <n v="0"/>
    <n v="0"/>
    <n v="0"/>
  </r>
  <r>
    <n v="4"/>
    <x v="2"/>
    <x v="118"/>
    <x v="14"/>
    <x v="22"/>
    <x v="3"/>
    <x v="64"/>
    <x v="64"/>
    <n v="1"/>
    <s v="12718447244"/>
    <n v="1"/>
    <n v="1"/>
    <x v="15"/>
    <n v="0"/>
    <n v="1"/>
    <n v="0"/>
    <n v="1"/>
    <n v="0"/>
    <n v="0"/>
    <n v="0"/>
  </r>
  <r>
    <n v="4"/>
    <x v="2"/>
    <x v="119"/>
    <x v="15"/>
    <x v="23"/>
    <x v="3"/>
    <x v="72"/>
    <x v="72"/>
    <n v="1"/>
    <s v="12718589319"/>
    <n v="1"/>
    <n v="1"/>
    <x v="15"/>
    <n v="0"/>
    <n v="1"/>
    <n v="0"/>
    <n v="1"/>
    <n v="0"/>
    <n v="0"/>
    <n v="0"/>
  </r>
  <r>
    <n v="4"/>
    <x v="2"/>
    <x v="120"/>
    <x v="15"/>
    <x v="23"/>
    <x v="3"/>
    <x v="69"/>
    <x v="69"/>
    <n v="1"/>
    <s v="12718382422"/>
    <n v="1"/>
    <n v="1"/>
    <x v="15"/>
    <n v="0"/>
    <n v="1"/>
    <n v="0"/>
    <n v="1"/>
    <n v="0"/>
    <n v="0"/>
    <n v="0"/>
  </r>
  <r>
    <n v="4"/>
    <x v="2"/>
    <x v="121"/>
    <x v="15"/>
    <x v="23"/>
    <x v="15"/>
    <x v="69"/>
    <x v="69"/>
    <n v="1"/>
    <s v="12718672158"/>
    <n v="1"/>
    <n v="1"/>
    <x v="16"/>
    <n v="0"/>
    <n v="1"/>
    <n v="0"/>
    <n v="1"/>
    <n v="0"/>
    <n v="0"/>
    <n v="0"/>
  </r>
  <r>
    <n v="4"/>
    <x v="2"/>
    <x v="122"/>
    <x v="15"/>
    <x v="23"/>
    <x v="15"/>
    <x v="49"/>
    <x v="49"/>
    <n v="1"/>
    <s v="12718717088"/>
    <n v="1"/>
    <n v="1"/>
    <x v="16"/>
    <n v="0"/>
    <n v="1"/>
    <n v="0"/>
    <n v="1"/>
    <n v="0"/>
    <n v="0"/>
    <n v="0"/>
  </r>
  <r>
    <n v="4"/>
    <x v="2"/>
    <x v="123"/>
    <x v="15"/>
    <x v="23"/>
    <x v="15"/>
    <x v="56"/>
    <x v="56"/>
    <n v="1"/>
    <s v="12718748686"/>
    <n v="1"/>
    <n v="1"/>
    <x v="16"/>
    <n v="0"/>
    <n v="1"/>
    <n v="0"/>
    <n v="1"/>
    <n v="0"/>
    <n v="0"/>
    <n v="0"/>
  </r>
  <r>
    <n v="4"/>
    <x v="2"/>
    <x v="124"/>
    <x v="16"/>
    <x v="24"/>
    <x v="15"/>
    <x v="69"/>
    <x v="69"/>
    <n v="1"/>
    <s v="12718690657"/>
    <n v="1"/>
    <n v="1"/>
    <x v="16"/>
    <n v="0"/>
    <n v="1"/>
    <n v="0"/>
    <n v="1"/>
    <n v="0"/>
    <n v="0"/>
    <n v="0"/>
  </r>
  <r>
    <n v="4"/>
    <x v="2"/>
    <x v="125"/>
    <x v="16"/>
    <x v="24"/>
    <x v="15"/>
    <x v="73"/>
    <x v="73"/>
    <n v="1"/>
    <s v="12718947218"/>
    <n v="1"/>
    <n v="1"/>
    <x v="16"/>
    <n v="0"/>
    <n v="1"/>
    <n v="0"/>
    <n v="1"/>
    <n v="0"/>
    <n v="0"/>
    <n v="0"/>
  </r>
  <r>
    <n v="4"/>
    <x v="2"/>
    <x v="126"/>
    <x v="16"/>
    <x v="24"/>
    <x v="15"/>
    <x v="21"/>
    <x v="21"/>
    <n v="1"/>
    <s v="12718980710"/>
    <n v="1"/>
    <n v="1"/>
    <x v="16"/>
    <n v="0"/>
    <n v="1"/>
    <n v="0"/>
    <n v="1"/>
    <n v="0"/>
    <n v="0"/>
    <n v="0"/>
  </r>
  <r>
    <n v="4"/>
    <x v="2"/>
    <x v="127"/>
    <x v="16"/>
    <x v="24"/>
    <x v="15"/>
    <x v="74"/>
    <x v="74"/>
    <n v="1"/>
    <s v="12718980758"/>
    <n v="1"/>
    <n v="1"/>
    <x v="16"/>
    <n v="0"/>
    <n v="1"/>
    <n v="0"/>
    <n v="1"/>
    <n v="0"/>
    <n v="0"/>
    <n v="0"/>
  </r>
  <r>
    <n v="4"/>
    <x v="2"/>
    <x v="128"/>
    <x v="16"/>
    <x v="24"/>
    <x v="15"/>
    <x v="75"/>
    <x v="75"/>
    <n v="1"/>
    <s v="12719014384"/>
    <n v="1"/>
    <n v="1"/>
    <x v="16"/>
    <n v="0"/>
    <n v="1"/>
    <n v="0"/>
    <n v="1"/>
    <n v="0"/>
    <n v="0"/>
    <n v="0"/>
  </r>
  <r>
    <n v="4"/>
    <x v="2"/>
    <x v="129"/>
    <x v="17"/>
    <x v="25"/>
    <x v="15"/>
    <x v="58"/>
    <x v="58"/>
    <n v="1"/>
    <s v="12719341800"/>
    <n v="1"/>
    <n v="1"/>
    <x v="16"/>
    <n v="0"/>
    <n v="1"/>
    <n v="0"/>
    <n v="1"/>
    <n v="0"/>
    <n v="0"/>
    <n v="0"/>
  </r>
  <r>
    <n v="4"/>
    <x v="2"/>
    <x v="130"/>
    <x v="17"/>
    <x v="25"/>
    <x v="15"/>
    <x v="4"/>
    <x v="4"/>
    <n v="1"/>
    <s v="12719431013"/>
    <n v="1"/>
    <n v="1"/>
    <x v="16"/>
    <n v="0"/>
    <n v="1"/>
    <n v="0"/>
    <n v="1"/>
    <n v="0"/>
    <n v="0"/>
    <n v="0"/>
  </r>
  <r>
    <n v="4"/>
    <x v="2"/>
    <x v="131"/>
    <x v="18"/>
    <x v="26"/>
    <x v="15"/>
    <x v="2"/>
    <x v="2"/>
    <n v="1"/>
    <s v="12720099790"/>
    <n v="1"/>
    <n v="1"/>
    <x v="16"/>
    <n v="0"/>
    <n v="1"/>
    <n v="0"/>
    <n v="1"/>
    <n v="0"/>
    <n v="0"/>
    <n v="0"/>
  </r>
  <r>
    <n v="4"/>
    <x v="2"/>
    <x v="131"/>
    <x v="18"/>
    <x v="26"/>
    <x v="15"/>
    <x v="71"/>
    <x v="71"/>
    <n v="1"/>
    <s v="12720099790"/>
    <n v="1"/>
    <n v="1"/>
    <x v="16"/>
    <n v="0"/>
    <n v="1"/>
    <n v="0"/>
    <n v="1"/>
    <n v="0"/>
    <n v="0"/>
    <n v="0"/>
  </r>
  <r>
    <n v="4"/>
    <x v="2"/>
    <x v="132"/>
    <x v="18"/>
    <x v="26"/>
    <x v="15"/>
    <x v="32"/>
    <x v="32"/>
    <n v="1"/>
    <s v="12720141321"/>
    <n v="1"/>
    <n v="1"/>
    <x v="16"/>
    <n v="0"/>
    <n v="1"/>
    <n v="0"/>
    <n v="1"/>
    <n v="0"/>
    <n v="0"/>
    <n v="0"/>
  </r>
  <r>
    <n v="4"/>
    <x v="2"/>
    <x v="133"/>
    <x v="18"/>
    <x v="26"/>
    <x v="16"/>
    <x v="76"/>
    <x v="76"/>
    <n v="1"/>
    <s v="12720156912"/>
    <n v="1"/>
    <n v="1"/>
    <x v="16"/>
    <n v="0"/>
    <n v="1"/>
    <n v="0"/>
    <n v="1"/>
    <n v="0"/>
    <n v="0"/>
    <n v="0"/>
  </r>
  <r>
    <n v="4"/>
    <x v="2"/>
    <x v="134"/>
    <x v="18"/>
    <x v="26"/>
    <x v="7"/>
    <x v="49"/>
    <x v="49"/>
    <n v="1"/>
    <s v="226888710"/>
    <n v="1"/>
    <n v="1"/>
    <x v="7"/>
    <n v="0"/>
    <n v="1"/>
    <n v="0"/>
    <n v="1"/>
    <n v="0"/>
    <n v="0"/>
    <n v="0"/>
  </r>
  <r>
    <n v="4"/>
    <x v="2"/>
    <x v="135"/>
    <x v="6"/>
    <x v="27"/>
    <x v="15"/>
    <x v="17"/>
    <x v="17"/>
    <n v="1"/>
    <s v="12720334587"/>
    <n v="1"/>
    <n v="1"/>
    <x v="16"/>
    <n v="0"/>
    <n v="1"/>
    <n v="0"/>
    <n v="1"/>
    <n v="0"/>
    <n v="0"/>
    <n v="0"/>
  </r>
  <r>
    <n v="4"/>
    <x v="2"/>
    <x v="136"/>
    <x v="6"/>
    <x v="27"/>
    <x v="7"/>
    <x v="50"/>
    <x v="50"/>
    <n v="1"/>
    <s v="226889786"/>
    <n v="0"/>
    <n v="0"/>
    <x v="2"/>
    <n v="0"/>
    <n v="0"/>
    <n v="0"/>
    <n v="0"/>
    <n v="0"/>
    <n v="0"/>
    <n v="0"/>
  </r>
  <r>
    <n v="4"/>
    <x v="2"/>
    <x v="137"/>
    <x v="6"/>
    <x v="6"/>
    <x v="7"/>
    <x v="49"/>
    <x v="49"/>
    <n v="1"/>
    <s v="12720573863"/>
    <n v="1"/>
    <n v="1"/>
    <x v="7"/>
    <n v="0"/>
    <n v="1"/>
    <n v="0"/>
    <n v="1"/>
    <n v="0"/>
    <n v="0"/>
    <n v="0"/>
  </r>
  <r>
    <n v="4"/>
    <x v="2"/>
    <x v="138"/>
    <x v="6"/>
    <x v="6"/>
    <x v="7"/>
    <x v="68"/>
    <x v="68"/>
    <n v="1"/>
    <s v="12720605717"/>
    <n v="1"/>
    <n v="1"/>
    <x v="7"/>
    <n v="0"/>
    <n v="1"/>
    <n v="0"/>
    <n v="1"/>
    <n v="0"/>
    <n v="0"/>
    <n v="0"/>
  </r>
  <r>
    <n v="4"/>
    <x v="2"/>
    <x v="139"/>
    <x v="6"/>
    <x v="6"/>
    <x v="7"/>
    <x v="60"/>
    <x v="60"/>
    <n v="1"/>
    <s v="12720637060"/>
    <n v="1"/>
    <n v="1"/>
    <x v="7"/>
    <n v="0"/>
    <n v="1"/>
    <n v="0"/>
    <n v="1"/>
    <n v="0"/>
    <n v="0"/>
    <n v="0"/>
  </r>
  <r>
    <n v="4"/>
    <x v="2"/>
    <x v="140"/>
    <x v="6"/>
    <x v="7"/>
    <x v="7"/>
    <x v="49"/>
    <x v="49"/>
    <n v="1"/>
    <s v="12720689076"/>
    <n v="1"/>
    <n v="1"/>
    <x v="7"/>
    <n v="0"/>
    <n v="1"/>
    <n v="0"/>
    <n v="1"/>
    <n v="0"/>
    <n v="0"/>
    <n v="0"/>
  </r>
  <r>
    <n v="5"/>
    <x v="3"/>
    <x v="141"/>
    <x v="17"/>
    <x v="25"/>
    <x v="16"/>
    <x v="77"/>
    <x v="77"/>
    <n v="1"/>
    <s v="-"/>
    <n v="1"/>
    <n v="1"/>
    <x v="16"/>
    <n v="0"/>
    <n v="1"/>
    <n v="0"/>
    <n v="1"/>
    <n v="0"/>
    <n v="0"/>
    <n v="0"/>
  </r>
  <r>
    <n v="5"/>
    <x v="3"/>
    <x v="142"/>
    <x v="17"/>
    <x v="25"/>
    <x v="17"/>
    <x v="78"/>
    <x v="78"/>
    <n v="6"/>
    <s v="-"/>
    <n v="0"/>
    <n v="0"/>
    <x v="2"/>
    <n v="0"/>
    <n v="0"/>
    <n v="0"/>
    <n v="0"/>
    <n v="0"/>
    <n v="0"/>
    <n v="0"/>
  </r>
  <r>
    <n v="5"/>
    <x v="3"/>
    <x v="142"/>
    <x v="17"/>
    <x v="25"/>
    <x v="17"/>
    <x v="79"/>
    <x v="79"/>
    <n v="6"/>
    <s v="-"/>
    <n v="0"/>
    <n v="0"/>
    <x v="2"/>
    <n v="0"/>
    <n v="0"/>
    <n v="0"/>
    <n v="0"/>
    <n v="0"/>
    <n v="0"/>
    <n v="0"/>
  </r>
  <r>
    <n v="5"/>
    <x v="3"/>
    <x v="143"/>
    <x v="18"/>
    <x v="26"/>
    <x v="16"/>
    <x v="80"/>
    <x v="80"/>
    <n v="1"/>
    <s v="-"/>
    <n v="1"/>
    <n v="1"/>
    <x v="16"/>
    <n v="0"/>
    <n v="1"/>
    <n v="0"/>
    <n v="1"/>
    <n v="0"/>
    <n v="0"/>
    <n v="0"/>
  </r>
  <r>
    <n v="5"/>
    <x v="3"/>
    <x v="144"/>
    <x v="6"/>
    <x v="5"/>
    <x v="16"/>
    <x v="81"/>
    <x v="81"/>
    <n v="1"/>
    <s v="-"/>
    <n v="1"/>
    <n v="1"/>
    <x v="17"/>
    <n v="0"/>
    <n v="1"/>
    <n v="0"/>
    <n v="1"/>
    <n v="0"/>
    <n v="0"/>
    <n v="0"/>
  </r>
  <r>
    <n v="5"/>
    <x v="3"/>
    <x v="145"/>
    <x v="6"/>
    <x v="27"/>
    <x v="16"/>
    <x v="14"/>
    <x v="14"/>
    <n v="1"/>
    <s v="-"/>
    <n v="1"/>
    <n v="1"/>
    <x v="17"/>
    <n v="0"/>
    <n v="1"/>
    <n v="0"/>
    <n v="1"/>
    <n v="0"/>
    <n v="0"/>
    <n v="0"/>
  </r>
  <r>
    <n v="5"/>
    <x v="3"/>
    <x v="146"/>
    <x v="6"/>
    <x v="27"/>
    <x v="16"/>
    <x v="82"/>
    <x v="82"/>
    <n v="1"/>
    <s v="-"/>
    <n v="1"/>
    <n v="1"/>
    <x v="17"/>
    <n v="0"/>
    <n v="1"/>
    <n v="0"/>
    <n v="1"/>
    <n v="0"/>
    <n v="0"/>
    <n v="0"/>
  </r>
  <r>
    <n v="5"/>
    <x v="3"/>
    <x v="147"/>
    <x v="6"/>
    <x v="27"/>
    <x v="16"/>
    <x v="81"/>
    <x v="81"/>
    <n v="1"/>
    <s v="-"/>
    <n v="1"/>
    <n v="1"/>
    <x v="17"/>
    <n v="0"/>
    <n v="1"/>
    <n v="0"/>
    <n v="1"/>
    <n v="0"/>
    <n v="0"/>
    <n v="0"/>
  </r>
  <r>
    <n v="5"/>
    <x v="3"/>
    <x v="148"/>
    <x v="6"/>
    <x v="5"/>
    <x v="7"/>
    <x v="28"/>
    <x v="28"/>
    <n v="1"/>
    <s v="-"/>
    <n v="1"/>
    <n v="1"/>
    <x v="17"/>
    <n v="0"/>
    <n v="1"/>
    <n v="0"/>
    <n v="1"/>
    <n v="0"/>
    <n v="0"/>
    <n v="0"/>
  </r>
  <r>
    <n v="5"/>
    <x v="3"/>
    <x v="149"/>
    <x v="6"/>
    <x v="5"/>
    <x v="7"/>
    <x v="83"/>
    <x v="83"/>
    <n v="1"/>
    <s v="-"/>
    <n v="1"/>
    <n v="1"/>
    <x v="17"/>
    <n v="0"/>
    <n v="1"/>
    <n v="0"/>
    <n v="1"/>
    <n v="0"/>
    <n v="0"/>
    <n v="0"/>
  </r>
  <r>
    <n v="5"/>
    <x v="3"/>
    <x v="150"/>
    <x v="6"/>
    <x v="5"/>
    <x v="7"/>
    <x v="84"/>
    <x v="84"/>
    <n v="1"/>
    <s v="-"/>
    <n v="1"/>
    <n v="1"/>
    <x v="17"/>
    <n v="0"/>
    <n v="1"/>
    <n v="0"/>
    <n v="1"/>
    <n v="0"/>
    <n v="0"/>
    <n v="0"/>
  </r>
  <r>
    <n v="5"/>
    <x v="3"/>
    <x v="151"/>
    <x v="6"/>
    <x v="7"/>
    <x v="7"/>
    <x v="85"/>
    <x v="85"/>
    <n v="1"/>
    <s v="-"/>
    <n v="1"/>
    <n v="1"/>
    <x v="17"/>
    <n v="0"/>
    <n v="1"/>
    <n v="0"/>
    <n v="1"/>
    <n v="0"/>
    <n v="0"/>
    <n v="0"/>
  </r>
  <r>
    <n v="5"/>
    <x v="3"/>
    <x v="152"/>
    <x v="6"/>
    <x v="7"/>
    <x v="7"/>
    <x v="81"/>
    <x v="81"/>
    <n v="1"/>
    <s v="-"/>
    <n v="1"/>
    <n v="1"/>
    <x v="17"/>
    <n v="0"/>
    <n v="1"/>
    <n v="0"/>
    <n v="1"/>
    <n v="0"/>
    <n v="0"/>
    <n v="0"/>
  </r>
  <r>
    <n v="5"/>
    <x v="3"/>
    <x v="153"/>
    <x v="6"/>
    <x v="7"/>
    <x v="7"/>
    <x v="86"/>
    <x v="86"/>
    <n v="1"/>
    <s v="-"/>
    <n v="1"/>
    <n v="1"/>
    <x v="17"/>
    <n v="0"/>
    <n v="1"/>
    <n v="0"/>
    <n v="1"/>
    <n v="0"/>
    <n v="0"/>
    <n v="0"/>
  </r>
  <r>
    <n v="5"/>
    <x v="3"/>
    <x v="154"/>
    <x v="6"/>
    <x v="8"/>
    <x v="7"/>
    <x v="80"/>
    <x v="80"/>
    <n v="1"/>
    <s v="-"/>
    <n v="1"/>
    <n v="1"/>
    <x v="17"/>
    <n v="0"/>
    <n v="1"/>
    <n v="0"/>
    <n v="1"/>
    <n v="0"/>
    <n v="0"/>
    <n v="0"/>
  </r>
  <r>
    <n v="5"/>
    <x v="3"/>
    <x v="155"/>
    <x v="7"/>
    <x v="10"/>
    <x v="7"/>
    <x v="81"/>
    <x v="81"/>
    <n v="1"/>
    <s v="-"/>
    <n v="1"/>
    <n v="1"/>
    <x v="7"/>
    <n v="0"/>
    <n v="1"/>
    <n v="0"/>
    <n v="1"/>
    <n v="0"/>
    <n v="0"/>
    <n v="0"/>
  </r>
  <r>
    <n v="5"/>
    <x v="3"/>
    <x v="156"/>
    <x v="7"/>
    <x v="10"/>
    <x v="7"/>
    <x v="87"/>
    <x v="87"/>
    <n v="1"/>
    <s v="-"/>
    <n v="1"/>
    <n v="1"/>
    <x v="7"/>
    <n v="0"/>
    <n v="1"/>
    <n v="0"/>
    <n v="1"/>
    <n v="0"/>
    <n v="0"/>
    <n v="0"/>
  </r>
  <r>
    <n v="6"/>
    <x v="4"/>
    <x v="157"/>
    <x v="19"/>
    <x v="28"/>
    <x v="11"/>
    <x v="88"/>
    <x v="88"/>
    <n v="1"/>
    <s v="0"/>
    <n v="0"/>
    <n v="0"/>
    <x v="2"/>
    <n v="0"/>
    <n v="0"/>
    <n v="0"/>
    <n v="0"/>
    <n v="0"/>
    <n v="0"/>
    <n v="0"/>
  </r>
  <r>
    <n v="6"/>
    <x v="4"/>
    <x v="157"/>
    <x v="19"/>
    <x v="28"/>
    <x v="11"/>
    <x v="45"/>
    <x v="45"/>
    <n v="2"/>
    <s v="0"/>
    <n v="0"/>
    <n v="0"/>
    <x v="2"/>
    <n v="0"/>
    <n v="0"/>
    <n v="0"/>
    <n v="0"/>
    <n v="0"/>
    <n v="0"/>
    <n v="0"/>
  </r>
  <r>
    <n v="6"/>
    <x v="4"/>
    <x v="158"/>
    <x v="19"/>
    <x v="29"/>
    <x v="8"/>
    <x v="2"/>
    <x v="2"/>
    <n v="3"/>
    <s v="0"/>
    <n v="0"/>
    <n v="0"/>
    <x v="2"/>
    <n v="0"/>
    <n v="0"/>
    <n v="0"/>
    <n v="0"/>
    <n v="0"/>
    <n v="0"/>
    <n v="0"/>
  </r>
  <r>
    <n v="6"/>
    <x v="4"/>
    <x v="158"/>
    <x v="19"/>
    <x v="29"/>
    <x v="8"/>
    <x v="88"/>
    <x v="88"/>
    <n v="2"/>
    <s v="0"/>
    <n v="0"/>
    <n v="0"/>
    <x v="2"/>
    <n v="0"/>
    <n v="0"/>
    <n v="0"/>
    <n v="0"/>
    <n v="0"/>
    <n v="0"/>
    <n v="0"/>
  </r>
  <r>
    <n v="6"/>
    <x v="4"/>
    <x v="158"/>
    <x v="19"/>
    <x v="29"/>
    <x v="8"/>
    <x v="37"/>
    <x v="37"/>
    <n v="2"/>
    <s v="0"/>
    <n v="0"/>
    <n v="0"/>
    <x v="2"/>
    <n v="0"/>
    <n v="0"/>
    <n v="0"/>
    <n v="0"/>
    <n v="0"/>
    <n v="0"/>
    <n v="0"/>
  </r>
  <r>
    <n v="6"/>
    <x v="4"/>
    <x v="159"/>
    <x v="19"/>
    <x v="30"/>
    <x v="18"/>
    <x v="47"/>
    <x v="47"/>
    <n v="1"/>
    <s v="122214822"/>
    <n v="1"/>
    <n v="1"/>
    <x v="18"/>
    <n v="0"/>
    <n v="1"/>
    <n v="0"/>
    <n v="1"/>
    <n v="0"/>
    <n v="0"/>
    <n v="0"/>
  </r>
  <r>
    <n v="6"/>
    <x v="4"/>
    <x v="160"/>
    <x v="20"/>
    <x v="31"/>
    <x v="12"/>
    <x v="2"/>
    <x v="2"/>
    <n v="1"/>
    <s v="0"/>
    <n v="0"/>
    <n v="0"/>
    <x v="2"/>
    <n v="0"/>
    <n v="0"/>
    <n v="0"/>
    <n v="0"/>
    <n v="0"/>
    <n v="0"/>
    <n v="0"/>
  </r>
  <r>
    <n v="6"/>
    <x v="4"/>
    <x v="160"/>
    <x v="20"/>
    <x v="31"/>
    <x v="12"/>
    <x v="88"/>
    <x v="88"/>
    <n v="1"/>
    <s v="0"/>
    <n v="0"/>
    <n v="0"/>
    <x v="2"/>
    <n v="0"/>
    <n v="0"/>
    <n v="0"/>
    <n v="0"/>
    <n v="0"/>
    <n v="0"/>
    <n v="0"/>
  </r>
  <r>
    <n v="6"/>
    <x v="4"/>
    <x v="161"/>
    <x v="20"/>
    <x v="31"/>
    <x v="19"/>
    <x v="64"/>
    <x v="64"/>
    <n v="1"/>
    <s v="122234592"/>
    <n v="1"/>
    <n v="1"/>
    <x v="19"/>
    <n v="0"/>
    <n v="1"/>
    <n v="0"/>
    <n v="1"/>
    <n v="0"/>
    <n v="0"/>
    <n v="0"/>
  </r>
  <r>
    <n v="6"/>
    <x v="4"/>
    <x v="162"/>
    <x v="20"/>
    <x v="31"/>
    <x v="10"/>
    <x v="89"/>
    <x v="89"/>
    <n v="1"/>
    <s v="122238320"/>
    <n v="1"/>
    <n v="1"/>
    <x v="20"/>
    <n v="0"/>
    <n v="1"/>
    <n v="0"/>
    <n v="1"/>
    <n v="0"/>
    <n v="0"/>
    <n v="0"/>
  </r>
  <r>
    <n v="6"/>
    <x v="4"/>
    <x v="163"/>
    <x v="21"/>
    <x v="14"/>
    <x v="11"/>
    <x v="90"/>
    <x v="90"/>
    <n v="1"/>
    <s v="122349006"/>
    <n v="1"/>
    <n v="1"/>
    <x v="21"/>
    <n v="0"/>
    <n v="1"/>
    <n v="0"/>
    <n v="1"/>
    <n v="0"/>
    <n v="0"/>
    <n v="0"/>
  </r>
  <r>
    <n v="6"/>
    <x v="4"/>
    <x v="164"/>
    <x v="22"/>
    <x v="14"/>
    <x v="10"/>
    <x v="64"/>
    <x v="64"/>
    <n v="1"/>
    <s v="122359415"/>
    <n v="1"/>
    <n v="1"/>
    <x v="20"/>
    <n v="0"/>
    <n v="1"/>
    <n v="0"/>
    <n v="1"/>
    <n v="0"/>
    <n v="0"/>
    <n v="0"/>
  </r>
  <r>
    <n v="6"/>
    <x v="4"/>
    <x v="165"/>
    <x v="22"/>
    <x v="14"/>
    <x v="20"/>
    <x v="39"/>
    <x v="39"/>
    <n v="1"/>
    <s v="122364338"/>
    <n v="1"/>
    <n v="1"/>
    <x v="20"/>
    <n v="0"/>
    <n v="1"/>
    <n v="0"/>
    <n v="1"/>
    <n v="0"/>
    <n v="0"/>
    <n v="0"/>
  </r>
  <r>
    <n v="6"/>
    <x v="4"/>
    <x v="166"/>
    <x v="23"/>
    <x v="32"/>
    <x v="19"/>
    <x v="37"/>
    <x v="37"/>
    <n v="1"/>
    <s v="122380660"/>
    <n v="1"/>
    <n v="1"/>
    <x v="19"/>
    <n v="0"/>
    <n v="1"/>
    <n v="0"/>
    <n v="1"/>
    <n v="0"/>
    <n v="0"/>
    <n v="0"/>
  </r>
  <r>
    <n v="6"/>
    <x v="4"/>
    <x v="167"/>
    <x v="23"/>
    <x v="32"/>
    <x v="10"/>
    <x v="91"/>
    <x v="91"/>
    <n v="1"/>
    <s v="122384265"/>
    <n v="1"/>
    <n v="1"/>
    <x v="20"/>
    <n v="0"/>
    <n v="1"/>
    <n v="0"/>
    <n v="1"/>
    <n v="0"/>
    <n v="0"/>
    <n v="0"/>
  </r>
  <r>
    <n v="6"/>
    <x v="4"/>
    <x v="168"/>
    <x v="11"/>
    <x v="33"/>
    <x v="19"/>
    <x v="92"/>
    <x v="92"/>
    <n v="1"/>
    <s v="122387611"/>
    <n v="1"/>
    <n v="1"/>
    <x v="19"/>
    <n v="0"/>
    <n v="1"/>
    <n v="0"/>
    <n v="1"/>
    <n v="0"/>
    <n v="0"/>
    <n v="0"/>
  </r>
  <r>
    <n v="6"/>
    <x v="4"/>
    <x v="169"/>
    <x v="11"/>
    <x v="33"/>
    <x v="13"/>
    <x v="82"/>
    <x v="82"/>
    <n v="1"/>
    <s v="122377840"/>
    <n v="1"/>
    <n v="1"/>
    <x v="14"/>
    <n v="0"/>
    <n v="1"/>
    <n v="0"/>
    <n v="1"/>
    <n v="0"/>
    <n v="0"/>
    <n v="0"/>
  </r>
  <r>
    <n v="6"/>
    <x v="4"/>
    <x v="170"/>
    <x v="11"/>
    <x v="33"/>
    <x v="8"/>
    <x v="88"/>
    <x v="88"/>
    <n v="1"/>
    <s v="122400467"/>
    <n v="1"/>
    <n v="1"/>
    <x v="19"/>
    <n v="0"/>
    <n v="1"/>
    <n v="0"/>
    <n v="1"/>
    <n v="0"/>
    <n v="0"/>
    <n v="0"/>
  </r>
  <r>
    <n v="6"/>
    <x v="4"/>
    <x v="171"/>
    <x v="11"/>
    <x v="33"/>
    <x v="19"/>
    <x v="93"/>
    <x v="93"/>
    <n v="1"/>
    <s v="122403375"/>
    <n v="1"/>
    <n v="1"/>
    <x v="19"/>
    <n v="0"/>
    <n v="1"/>
    <n v="0"/>
    <n v="1"/>
    <n v="0"/>
    <n v="0"/>
    <n v="0"/>
  </r>
  <r>
    <n v="6"/>
    <x v="4"/>
    <x v="172"/>
    <x v="11"/>
    <x v="15"/>
    <x v="19"/>
    <x v="13"/>
    <x v="13"/>
    <n v="1"/>
    <s v="122409032"/>
    <n v="1"/>
    <n v="1"/>
    <x v="19"/>
    <n v="0"/>
    <n v="1"/>
    <n v="0"/>
    <n v="1"/>
    <n v="0"/>
    <n v="0"/>
    <n v="0"/>
  </r>
  <r>
    <n v="6"/>
    <x v="4"/>
    <x v="173"/>
    <x v="11"/>
    <x v="15"/>
    <x v="13"/>
    <x v="94"/>
    <x v="94"/>
    <n v="4"/>
    <s v="122406517"/>
    <n v="4"/>
    <n v="4"/>
    <x v="14"/>
    <n v="0"/>
    <n v="4"/>
    <n v="0"/>
    <n v="4"/>
    <n v="0"/>
    <n v="0"/>
    <n v="0"/>
  </r>
  <r>
    <n v="6"/>
    <x v="4"/>
    <x v="174"/>
    <x v="11"/>
    <x v="15"/>
    <x v="19"/>
    <x v="73"/>
    <x v="73"/>
    <n v="1"/>
    <s v="122409404"/>
    <n v="1"/>
    <n v="1"/>
    <x v="19"/>
    <n v="0"/>
    <n v="1"/>
    <n v="0"/>
    <n v="1"/>
    <n v="0"/>
    <n v="0"/>
    <n v="0"/>
  </r>
  <r>
    <n v="6"/>
    <x v="4"/>
    <x v="175"/>
    <x v="11"/>
    <x v="16"/>
    <x v="19"/>
    <x v="60"/>
    <x v="60"/>
    <n v="1"/>
    <s v="122416421"/>
    <n v="1"/>
    <n v="1"/>
    <x v="19"/>
    <n v="0"/>
    <n v="1"/>
    <n v="0"/>
    <n v="1"/>
    <n v="0"/>
    <n v="0"/>
    <n v="0"/>
  </r>
  <r>
    <n v="6"/>
    <x v="4"/>
    <x v="176"/>
    <x v="11"/>
    <x v="16"/>
    <x v="19"/>
    <x v="93"/>
    <x v="93"/>
    <n v="2"/>
    <s v="122417841"/>
    <n v="2"/>
    <n v="2"/>
    <x v="19"/>
    <n v="0"/>
    <n v="2"/>
    <n v="0"/>
    <n v="2"/>
    <n v="0"/>
    <n v="0"/>
    <n v="0"/>
  </r>
  <r>
    <n v="6"/>
    <x v="4"/>
    <x v="177"/>
    <x v="11"/>
    <x v="16"/>
    <x v="13"/>
    <x v="57"/>
    <x v="57"/>
    <n v="1"/>
    <s v="122419180"/>
    <n v="1"/>
    <n v="1"/>
    <x v="14"/>
    <n v="0"/>
    <n v="1"/>
    <n v="0"/>
    <n v="1"/>
    <n v="0"/>
    <n v="0"/>
    <n v="0"/>
  </r>
  <r>
    <n v="6"/>
    <x v="4"/>
    <x v="178"/>
    <x v="11"/>
    <x v="16"/>
    <x v="19"/>
    <x v="95"/>
    <x v="95"/>
    <n v="1"/>
    <s v="122420356"/>
    <n v="1"/>
    <n v="1"/>
    <x v="19"/>
    <n v="0"/>
    <n v="1"/>
    <n v="0"/>
    <n v="1"/>
    <n v="0"/>
    <n v="0"/>
    <n v="0"/>
  </r>
  <r>
    <n v="6"/>
    <x v="4"/>
    <x v="179"/>
    <x v="11"/>
    <x v="16"/>
    <x v="12"/>
    <x v="69"/>
    <x v="69"/>
    <n v="1"/>
    <s v="122420993"/>
    <n v="1"/>
    <n v="1"/>
    <x v="18"/>
    <n v="0"/>
    <n v="1"/>
    <n v="0"/>
    <n v="1"/>
    <n v="0"/>
    <n v="0"/>
    <n v="0"/>
  </r>
  <r>
    <n v="6"/>
    <x v="4"/>
    <x v="180"/>
    <x v="11"/>
    <x v="17"/>
    <x v="12"/>
    <x v="96"/>
    <x v="96"/>
    <n v="1"/>
    <s v="122421550"/>
    <n v="1"/>
    <n v="1"/>
    <x v="18"/>
    <n v="0"/>
    <n v="1"/>
    <n v="0"/>
    <n v="1"/>
    <n v="0"/>
    <n v="0"/>
    <n v="0"/>
  </r>
  <r>
    <n v="6"/>
    <x v="4"/>
    <x v="181"/>
    <x v="11"/>
    <x v="17"/>
    <x v="19"/>
    <x v="60"/>
    <x v="60"/>
    <n v="1"/>
    <s v="122421970"/>
    <n v="1"/>
    <n v="1"/>
    <x v="19"/>
    <n v="0"/>
    <n v="1"/>
    <n v="0"/>
    <n v="1"/>
    <n v="0"/>
    <n v="0"/>
    <n v="0"/>
  </r>
  <r>
    <n v="6"/>
    <x v="4"/>
    <x v="182"/>
    <x v="11"/>
    <x v="17"/>
    <x v="19"/>
    <x v="92"/>
    <x v="92"/>
    <n v="1"/>
    <s v="122422117"/>
    <n v="1"/>
    <n v="1"/>
    <x v="19"/>
    <n v="0"/>
    <n v="1"/>
    <n v="0"/>
    <n v="1"/>
    <n v="0"/>
    <n v="0"/>
    <n v="0"/>
  </r>
  <r>
    <n v="6"/>
    <x v="4"/>
    <x v="183"/>
    <x v="11"/>
    <x v="17"/>
    <x v="4"/>
    <x v="88"/>
    <x v="88"/>
    <n v="1"/>
    <s v="0"/>
    <n v="0"/>
    <n v="0"/>
    <x v="2"/>
    <n v="0"/>
    <n v="0"/>
    <n v="0"/>
    <n v="0"/>
    <n v="0"/>
    <n v="0"/>
    <n v="0"/>
  </r>
  <r>
    <n v="6"/>
    <x v="4"/>
    <x v="183"/>
    <x v="11"/>
    <x v="17"/>
    <x v="4"/>
    <x v="45"/>
    <x v="45"/>
    <n v="1"/>
    <s v="0"/>
    <n v="0"/>
    <n v="0"/>
    <x v="2"/>
    <n v="0"/>
    <n v="0"/>
    <n v="0"/>
    <n v="0"/>
    <n v="0"/>
    <n v="0"/>
    <n v="0"/>
  </r>
  <r>
    <n v="6"/>
    <x v="4"/>
    <x v="184"/>
    <x v="12"/>
    <x v="17"/>
    <x v="8"/>
    <x v="57"/>
    <x v="57"/>
    <n v="1"/>
    <s v="122449578"/>
    <n v="1"/>
    <n v="1"/>
    <x v="19"/>
    <n v="0"/>
    <n v="1"/>
    <n v="0"/>
    <n v="1"/>
    <n v="0"/>
    <n v="0"/>
    <n v="0"/>
  </r>
  <r>
    <n v="6"/>
    <x v="4"/>
    <x v="185"/>
    <x v="12"/>
    <x v="17"/>
    <x v="8"/>
    <x v="5"/>
    <x v="5"/>
    <n v="1"/>
    <s v="122459221"/>
    <n v="1"/>
    <n v="1"/>
    <x v="19"/>
    <n v="0"/>
    <n v="1"/>
    <n v="0"/>
    <n v="1"/>
    <n v="0"/>
    <n v="0"/>
    <n v="0"/>
  </r>
  <r>
    <n v="6"/>
    <x v="4"/>
    <x v="186"/>
    <x v="12"/>
    <x v="17"/>
    <x v="8"/>
    <x v="93"/>
    <x v="93"/>
    <n v="2"/>
    <s v="122461548"/>
    <n v="2"/>
    <n v="2"/>
    <x v="19"/>
    <n v="0"/>
    <n v="2"/>
    <n v="0"/>
    <n v="2"/>
    <n v="0"/>
    <n v="0"/>
    <n v="0"/>
  </r>
  <r>
    <n v="6"/>
    <x v="4"/>
    <x v="187"/>
    <x v="12"/>
    <x v="18"/>
    <x v="8"/>
    <x v="86"/>
    <x v="86"/>
    <n v="1"/>
    <s v="122462971"/>
    <n v="1"/>
    <n v="1"/>
    <x v="19"/>
    <n v="0"/>
    <n v="1"/>
    <n v="0"/>
    <n v="1"/>
    <n v="0"/>
    <n v="0"/>
    <n v="0"/>
  </r>
  <r>
    <n v="6"/>
    <x v="4"/>
    <x v="188"/>
    <x v="8"/>
    <x v="11"/>
    <x v="6"/>
    <x v="97"/>
    <x v="97"/>
    <n v="1"/>
    <s v="123111688"/>
    <n v="1"/>
    <n v="1"/>
    <x v="7"/>
    <n v="0"/>
    <n v="1"/>
    <n v="0"/>
    <n v="1"/>
    <n v="0"/>
    <n v="0"/>
    <n v="0"/>
  </r>
  <r>
    <n v="6"/>
    <x v="4"/>
    <x v="189"/>
    <x v="8"/>
    <x v="11"/>
    <x v="6"/>
    <x v="69"/>
    <x v="69"/>
    <n v="1"/>
    <s v="123121138"/>
    <n v="1"/>
    <n v="1"/>
    <x v="7"/>
    <n v="0"/>
    <n v="1"/>
    <n v="0"/>
    <n v="1"/>
    <n v="0"/>
    <n v="0"/>
    <n v="0"/>
  </r>
  <r>
    <n v="6"/>
    <x v="4"/>
    <x v="190"/>
    <x v="8"/>
    <x v="11"/>
    <x v="6"/>
    <x v="44"/>
    <x v="44"/>
    <n v="1"/>
    <s v="123126835"/>
    <n v="1"/>
    <n v="1"/>
    <x v="7"/>
    <n v="0"/>
    <n v="1"/>
    <n v="0"/>
    <n v="1"/>
    <n v="0"/>
    <n v="0"/>
    <n v="0"/>
  </r>
  <r>
    <n v="6"/>
    <x v="4"/>
    <x v="191"/>
    <x v="8"/>
    <x v="11"/>
    <x v="6"/>
    <x v="30"/>
    <x v="30"/>
    <n v="1"/>
    <s v="123127712"/>
    <n v="1"/>
    <n v="1"/>
    <x v="7"/>
    <n v="0"/>
    <n v="1"/>
    <n v="0"/>
    <n v="1"/>
    <n v="0"/>
    <n v="0"/>
    <n v="0"/>
  </r>
  <r>
    <n v="6"/>
    <x v="4"/>
    <x v="192"/>
    <x v="8"/>
    <x v="34"/>
    <x v="6"/>
    <x v="93"/>
    <x v="93"/>
    <n v="1"/>
    <s v="123132772"/>
    <n v="1"/>
    <n v="1"/>
    <x v="7"/>
    <n v="0"/>
    <n v="1"/>
    <n v="0"/>
    <n v="1"/>
    <n v="0"/>
    <n v="0"/>
    <n v="0"/>
  </r>
  <r>
    <n v="6"/>
    <x v="4"/>
    <x v="193"/>
    <x v="8"/>
    <x v="34"/>
    <x v="6"/>
    <x v="69"/>
    <x v="69"/>
    <n v="1"/>
    <s v="123133273"/>
    <n v="1"/>
    <n v="1"/>
    <x v="7"/>
    <n v="0"/>
    <n v="1"/>
    <n v="0"/>
    <n v="1"/>
    <n v="0"/>
    <n v="0"/>
    <n v="0"/>
  </r>
  <r>
    <n v="6"/>
    <x v="4"/>
    <x v="194"/>
    <x v="8"/>
    <x v="34"/>
    <x v="6"/>
    <x v="57"/>
    <x v="57"/>
    <n v="1"/>
    <s v="123122324"/>
    <n v="1"/>
    <n v="1"/>
    <x v="7"/>
    <n v="0"/>
    <n v="1"/>
    <n v="0"/>
    <n v="1"/>
    <n v="0"/>
    <n v="0"/>
    <n v="0"/>
  </r>
  <r>
    <n v="6"/>
    <x v="4"/>
    <x v="195"/>
    <x v="8"/>
    <x v="34"/>
    <x v="6"/>
    <x v="98"/>
    <x v="98"/>
    <n v="1"/>
    <s v="123134292"/>
    <n v="1"/>
    <n v="1"/>
    <x v="7"/>
    <n v="0"/>
    <n v="1"/>
    <n v="0"/>
    <n v="1"/>
    <n v="0"/>
    <n v="0"/>
    <n v="0"/>
  </r>
  <r>
    <n v="6"/>
    <x v="4"/>
    <x v="196"/>
    <x v="8"/>
    <x v="34"/>
    <x v="6"/>
    <x v="49"/>
    <x v="49"/>
    <n v="1"/>
    <s v="123134838"/>
    <n v="1"/>
    <n v="1"/>
    <x v="7"/>
    <n v="0"/>
    <n v="1"/>
    <n v="0"/>
    <n v="1"/>
    <n v="0"/>
    <n v="0"/>
    <n v="0"/>
  </r>
  <r>
    <n v="6"/>
    <x v="4"/>
    <x v="197"/>
    <x v="8"/>
    <x v="34"/>
    <x v="6"/>
    <x v="49"/>
    <x v="49"/>
    <n v="1"/>
    <s v="123135341"/>
    <n v="1"/>
    <n v="1"/>
    <x v="7"/>
    <n v="0"/>
    <n v="1"/>
    <n v="0"/>
    <n v="1"/>
    <n v="0"/>
    <n v="0"/>
    <n v="0"/>
  </r>
  <r>
    <n v="6"/>
    <x v="4"/>
    <x v="198"/>
    <x v="8"/>
    <x v="34"/>
    <x v="6"/>
    <x v="32"/>
    <x v="32"/>
    <n v="1"/>
    <s v="123137284"/>
    <n v="1"/>
    <n v="1"/>
    <x v="7"/>
    <n v="0"/>
    <n v="1"/>
    <n v="0"/>
    <n v="1"/>
    <n v="0"/>
    <n v="0"/>
    <n v="0"/>
  </r>
  <r>
    <n v="6"/>
    <x v="4"/>
    <x v="199"/>
    <x v="8"/>
    <x v="34"/>
    <x v="6"/>
    <x v="14"/>
    <x v="14"/>
    <n v="1"/>
    <s v="123137517"/>
    <n v="1"/>
    <n v="1"/>
    <x v="7"/>
    <n v="0"/>
    <n v="1"/>
    <n v="0"/>
    <n v="1"/>
    <n v="0"/>
    <n v="0"/>
    <n v="0"/>
  </r>
  <r>
    <n v="6"/>
    <x v="4"/>
    <x v="200"/>
    <x v="8"/>
    <x v="35"/>
    <x v="6"/>
    <x v="99"/>
    <x v="99"/>
    <n v="1"/>
    <s v="20180922003226297917"/>
    <n v="1"/>
    <n v="1"/>
    <x v="7"/>
    <n v="0"/>
    <n v="1"/>
    <n v="0"/>
    <n v="1"/>
    <n v="0"/>
    <n v="0"/>
    <n v="0"/>
  </r>
  <r>
    <n v="6"/>
    <x v="4"/>
    <x v="201"/>
    <x v="8"/>
    <x v="35"/>
    <x v="6"/>
    <x v="90"/>
    <x v="90"/>
    <n v="1"/>
    <s v="123139696"/>
    <n v="1"/>
    <n v="1"/>
    <x v="7"/>
    <n v="0"/>
    <n v="1"/>
    <n v="0"/>
    <n v="1"/>
    <n v="0"/>
    <n v="0"/>
    <n v="0"/>
  </r>
  <r>
    <n v="6"/>
    <x v="4"/>
    <x v="202"/>
    <x v="8"/>
    <x v="35"/>
    <x v="6"/>
    <x v="57"/>
    <x v="57"/>
    <n v="1"/>
    <s v="123139682"/>
    <n v="1"/>
    <n v="1"/>
    <x v="7"/>
    <n v="0"/>
    <n v="1"/>
    <n v="0"/>
    <n v="1"/>
    <n v="0"/>
    <n v="0"/>
    <n v="0"/>
  </r>
  <r>
    <n v="6"/>
    <x v="4"/>
    <x v="203"/>
    <x v="8"/>
    <x v="35"/>
    <x v="6"/>
    <x v="93"/>
    <x v="93"/>
    <n v="1"/>
    <s v="123141452"/>
    <n v="1"/>
    <n v="1"/>
    <x v="7"/>
    <n v="0"/>
    <n v="1"/>
    <n v="0"/>
    <n v="1"/>
    <n v="0"/>
    <n v="0"/>
    <n v="0"/>
  </r>
  <r>
    <n v="6"/>
    <x v="4"/>
    <x v="204"/>
    <x v="8"/>
    <x v="35"/>
    <x v="6"/>
    <x v="39"/>
    <x v="39"/>
    <n v="1"/>
    <s v="123142923"/>
    <n v="1"/>
    <n v="1"/>
    <x v="7"/>
    <n v="0"/>
    <n v="1"/>
    <n v="0"/>
    <n v="1"/>
    <n v="0"/>
    <n v="0"/>
    <n v="0"/>
  </r>
  <r>
    <n v="6"/>
    <x v="4"/>
    <x v="205"/>
    <x v="8"/>
    <x v="35"/>
    <x v="6"/>
    <x v="100"/>
    <x v="100"/>
    <n v="1"/>
    <s v="123143974"/>
    <n v="1"/>
    <n v="1"/>
    <x v="7"/>
    <n v="0"/>
    <n v="1"/>
    <n v="0"/>
    <n v="1"/>
    <n v="0"/>
    <n v="0"/>
    <n v="0"/>
  </r>
  <r>
    <n v="6"/>
    <x v="4"/>
    <x v="206"/>
    <x v="8"/>
    <x v="35"/>
    <x v="6"/>
    <x v="60"/>
    <x v="60"/>
    <n v="1"/>
    <s v="123144215"/>
    <n v="1"/>
    <n v="1"/>
    <x v="7"/>
    <n v="0"/>
    <n v="1"/>
    <n v="0"/>
    <n v="1"/>
    <n v="0"/>
    <n v="0"/>
    <n v="0"/>
  </r>
  <r>
    <n v="6"/>
    <x v="4"/>
    <x v="207"/>
    <x v="8"/>
    <x v="35"/>
    <x v="6"/>
    <x v="92"/>
    <x v="92"/>
    <n v="1"/>
    <s v="123145225"/>
    <n v="1"/>
    <n v="1"/>
    <x v="7"/>
    <n v="0"/>
    <n v="1"/>
    <n v="0"/>
    <n v="1"/>
    <n v="0"/>
    <n v="0"/>
    <n v="0"/>
  </r>
  <r>
    <n v="6"/>
    <x v="4"/>
    <x v="208"/>
    <x v="8"/>
    <x v="36"/>
    <x v="6"/>
    <x v="69"/>
    <x v="69"/>
    <n v="1"/>
    <s v="123145323"/>
    <n v="1"/>
    <n v="1"/>
    <x v="7"/>
    <n v="0"/>
    <n v="1"/>
    <n v="0"/>
    <n v="1"/>
    <n v="0"/>
    <n v="0"/>
    <n v="0"/>
  </r>
  <r>
    <n v="6"/>
    <x v="4"/>
    <x v="209"/>
    <x v="8"/>
    <x v="36"/>
    <x v="6"/>
    <x v="69"/>
    <x v="69"/>
    <n v="1"/>
    <s v="123145886"/>
    <n v="1"/>
    <n v="1"/>
    <x v="7"/>
    <n v="0"/>
    <n v="1"/>
    <n v="0"/>
    <n v="1"/>
    <n v="0"/>
    <n v="0"/>
    <n v="0"/>
  </r>
  <r>
    <n v="6"/>
    <x v="4"/>
    <x v="210"/>
    <x v="24"/>
    <x v="36"/>
    <x v="6"/>
    <x v="96"/>
    <x v="96"/>
    <n v="1"/>
    <s v="123238768"/>
    <n v="1"/>
    <n v="1"/>
    <x v="7"/>
    <n v="0"/>
    <n v="1"/>
    <n v="0"/>
    <n v="1"/>
    <n v="0"/>
    <n v="0"/>
    <n v="0"/>
  </r>
  <r>
    <n v="6"/>
    <x v="4"/>
    <x v="211"/>
    <x v="24"/>
    <x v="12"/>
    <x v="6"/>
    <x v="76"/>
    <x v="76"/>
    <n v="1"/>
    <s v="123251355"/>
    <n v="1"/>
    <n v="1"/>
    <x v="7"/>
    <n v="0"/>
    <n v="1"/>
    <n v="0"/>
    <n v="1"/>
    <n v="0"/>
    <n v="0"/>
    <n v="0"/>
  </r>
  <r>
    <n v="6"/>
    <x v="4"/>
    <x v="212"/>
    <x v="5"/>
    <x v="12"/>
    <x v="6"/>
    <x v="101"/>
    <x v="101"/>
    <n v="1"/>
    <s v="123251804"/>
    <n v="1"/>
    <n v="1"/>
    <x v="22"/>
    <n v="0"/>
    <n v="1"/>
    <n v="0"/>
    <n v="1"/>
    <n v="0"/>
    <n v="0"/>
    <n v="0"/>
  </r>
  <r>
    <n v="7"/>
    <x v="5"/>
    <x v="213"/>
    <x v="12"/>
    <x v="17"/>
    <x v="3"/>
    <x v="57"/>
    <x v="57"/>
    <n v="100"/>
    <s v="-"/>
    <n v="100"/>
    <n v="100"/>
    <x v="12"/>
    <n v="0"/>
    <n v="100"/>
    <n v="0"/>
    <n v="100"/>
    <n v="0"/>
    <n v="0"/>
    <n v="0"/>
  </r>
  <r>
    <n v="8"/>
    <x v="6"/>
    <x v="214"/>
    <x v="25"/>
    <x v="37"/>
    <x v="5"/>
    <x v="102"/>
    <x v="102"/>
    <n v="2"/>
    <s v="0040000669426"/>
    <n v="2"/>
    <n v="2"/>
    <x v="9"/>
    <n v="0"/>
    <n v="2"/>
    <n v="0"/>
    <n v="2"/>
    <n v="0"/>
    <n v="0"/>
    <n v="0"/>
  </r>
  <r>
    <n v="8"/>
    <x v="6"/>
    <x v="214"/>
    <x v="25"/>
    <x v="37"/>
    <x v="5"/>
    <x v="103"/>
    <x v="103"/>
    <n v="1"/>
    <s v="0040000669427"/>
    <n v="0"/>
    <n v="0"/>
    <x v="9"/>
    <n v="0"/>
    <n v="0"/>
    <n v="0"/>
    <n v="0"/>
    <n v="0"/>
    <n v="0"/>
    <n v="0"/>
  </r>
  <r>
    <n v="8"/>
    <x v="6"/>
    <x v="215"/>
    <x v="12"/>
    <x v="17"/>
    <x v="10"/>
    <x v="104"/>
    <x v="104"/>
    <n v="4"/>
    <s v="0040000547735"/>
    <n v="0"/>
    <n v="0"/>
    <x v="2"/>
    <n v="0"/>
    <n v="0"/>
    <n v="0"/>
    <n v="0"/>
    <n v="0"/>
    <n v="0"/>
    <n v="0"/>
  </r>
  <r>
    <n v="8"/>
    <x v="6"/>
    <x v="215"/>
    <x v="12"/>
    <x v="17"/>
    <x v="10"/>
    <x v="105"/>
    <x v="105"/>
    <n v="4"/>
    <s v="0040000622891"/>
    <n v="0"/>
    <n v="0"/>
    <x v="2"/>
    <n v="0"/>
    <n v="0"/>
    <n v="0"/>
    <n v="0"/>
    <n v="0"/>
    <n v="0"/>
    <n v="0"/>
  </r>
  <r>
    <n v="8"/>
    <x v="6"/>
    <x v="216"/>
    <x v="0"/>
    <x v="38"/>
    <x v="21"/>
    <x v="104"/>
    <x v="104"/>
    <n v="2"/>
    <s v="0040000547735"/>
    <n v="0"/>
    <n v="0"/>
    <x v="2"/>
    <n v="0"/>
    <n v="0"/>
    <n v="0"/>
    <n v="0"/>
    <n v="0"/>
    <n v="0"/>
    <n v="0"/>
  </r>
  <r>
    <n v="8"/>
    <x v="6"/>
    <x v="216"/>
    <x v="0"/>
    <x v="38"/>
    <x v="21"/>
    <x v="106"/>
    <x v="106"/>
    <n v="3"/>
    <s v="0040000622892"/>
    <n v="0"/>
    <n v="0"/>
    <x v="2"/>
    <n v="0"/>
    <n v="0"/>
    <n v="0"/>
    <n v="0"/>
    <n v="0"/>
    <n v="0"/>
    <n v="0"/>
  </r>
  <r>
    <n v="8"/>
    <x v="6"/>
    <x v="217"/>
    <x v="14"/>
    <x v="20"/>
    <x v="22"/>
    <x v="105"/>
    <x v="105"/>
    <n v="1"/>
    <s v="0040000622891"/>
    <n v="0"/>
    <n v="0"/>
    <x v="2"/>
    <n v="0"/>
    <n v="0"/>
    <n v="0"/>
    <n v="0"/>
    <n v="0"/>
    <n v="0"/>
    <n v="0"/>
  </r>
  <r>
    <n v="8"/>
    <x v="6"/>
    <x v="218"/>
    <x v="14"/>
    <x v="20"/>
    <x v="22"/>
    <x v="105"/>
    <x v="105"/>
    <n v="1"/>
    <s v="0040000622891"/>
    <n v="0"/>
    <n v="0"/>
    <x v="2"/>
    <n v="0"/>
    <n v="0"/>
    <n v="0"/>
    <n v="0"/>
    <n v="0"/>
    <n v="0"/>
    <n v="0"/>
  </r>
  <r>
    <n v="8"/>
    <x v="6"/>
    <x v="219"/>
    <x v="6"/>
    <x v="6"/>
    <x v="14"/>
    <x v="104"/>
    <x v="104"/>
    <n v="1"/>
    <s v="0040000547735"/>
    <n v="0"/>
    <n v="0"/>
    <x v="2"/>
    <n v="0"/>
    <n v="0"/>
    <n v="0"/>
    <n v="0"/>
    <n v="0"/>
    <n v="0"/>
    <n v="0"/>
  </r>
  <r>
    <n v="8"/>
    <x v="6"/>
    <x v="219"/>
    <x v="6"/>
    <x v="6"/>
    <x v="14"/>
    <x v="106"/>
    <x v="106"/>
    <n v="6"/>
    <s v="0040000622892"/>
    <n v="0"/>
    <n v="0"/>
    <x v="2"/>
    <n v="0"/>
    <n v="0"/>
    <n v="0"/>
    <n v="0"/>
    <n v="0"/>
    <n v="0"/>
    <n v="0"/>
  </r>
  <r>
    <n v="8"/>
    <x v="6"/>
    <x v="220"/>
    <x v="11"/>
    <x v="17"/>
    <x v="19"/>
    <x v="59"/>
    <x v="59"/>
    <n v="62"/>
    <s v="-"/>
    <n v="62"/>
    <n v="62"/>
    <x v="11"/>
    <n v="0"/>
    <n v="62"/>
    <n v="0"/>
    <n v="62"/>
    <n v="0"/>
    <n v="0"/>
    <n v="0"/>
  </r>
  <r>
    <n v="8"/>
    <x v="6"/>
    <x v="220"/>
    <x v="11"/>
    <x v="17"/>
    <x v="19"/>
    <x v="107"/>
    <x v="107"/>
    <n v="30"/>
    <s v="-"/>
    <n v="30"/>
    <n v="30"/>
    <x v="11"/>
    <n v="0"/>
    <n v="30"/>
    <n v="0"/>
    <n v="30"/>
    <n v="0"/>
    <n v="0"/>
    <n v="0"/>
  </r>
  <r>
    <n v="8"/>
    <x v="6"/>
    <x v="220"/>
    <x v="11"/>
    <x v="17"/>
    <x v="19"/>
    <x v="108"/>
    <x v="108"/>
    <n v="63"/>
    <s v="-"/>
    <n v="63"/>
    <n v="63"/>
    <x v="11"/>
    <n v="0"/>
    <n v="63"/>
    <n v="0"/>
    <n v="63"/>
    <n v="0"/>
    <n v="0"/>
    <n v="0"/>
  </r>
  <r>
    <n v="8"/>
    <x v="6"/>
    <x v="220"/>
    <x v="11"/>
    <x v="17"/>
    <x v="19"/>
    <x v="106"/>
    <x v="106"/>
    <n v="40"/>
    <s v="-"/>
    <n v="40"/>
    <n v="40"/>
    <x v="11"/>
    <n v="0"/>
    <n v="40"/>
    <n v="0"/>
    <n v="40"/>
    <n v="0"/>
    <n v="0"/>
    <n v="0"/>
  </r>
  <r>
    <n v="8"/>
    <x v="6"/>
    <x v="221"/>
    <x v="23"/>
    <x v="33"/>
    <x v="20"/>
    <x v="45"/>
    <x v="45"/>
    <n v="34"/>
    <s v="-"/>
    <n v="34"/>
    <n v="34"/>
    <x v="20"/>
    <n v="0"/>
    <n v="34"/>
    <n v="0"/>
    <n v="34"/>
    <n v="0"/>
    <n v="0"/>
    <n v="0"/>
  </r>
  <r>
    <n v="8"/>
    <x v="6"/>
    <x v="222"/>
    <x v="11"/>
    <x v="17"/>
    <x v="19"/>
    <x v="45"/>
    <x v="45"/>
    <n v="38"/>
    <s v="-"/>
    <n v="38"/>
    <n v="38"/>
    <x v="19"/>
    <n v="0"/>
    <n v="38"/>
    <n v="0"/>
    <n v="38"/>
    <n v="0"/>
    <n v="0"/>
    <n v="0"/>
  </r>
  <r>
    <n v="8"/>
    <x v="6"/>
    <x v="223"/>
    <x v="12"/>
    <x v="17"/>
    <x v="12"/>
    <x v="107"/>
    <x v="107"/>
    <n v="26"/>
    <s v="0040000590001"/>
    <n v="26"/>
    <n v="26"/>
    <x v="19"/>
    <n v="0"/>
    <n v="26"/>
    <n v="0"/>
    <n v="26"/>
    <n v="0"/>
    <n v="0"/>
    <n v="0"/>
  </r>
  <r>
    <n v="8"/>
    <x v="6"/>
    <x v="223"/>
    <x v="12"/>
    <x v="17"/>
    <x v="12"/>
    <x v="108"/>
    <x v="108"/>
    <n v="67"/>
    <s v="0040000622890"/>
    <n v="67"/>
    <n v="67"/>
    <x v="19"/>
    <n v="0"/>
    <n v="67"/>
    <n v="0"/>
    <n v="67"/>
    <n v="0"/>
    <n v="0"/>
    <n v="0"/>
  </r>
  <r>
    <n v="8"/>
    <x v="6"/>
    <x v="224"/>
    <x v="25"/>
    <x v="37"/>
    <x v="5"/>
    <x v="45"/>
    <x v="45"/>
    <n v="44"/>
    <s v="0040000628494"/>
    <n v="44"/>
    <n v="44"/>
    <x v="14"/>
    <n v="0"/>
    <n v="44"/>
    <n v="0"/>
    <n v="44"/>
    <n v="0"/>
    <n v="0"/>
    <n v="0"/>
  </r>
  <r>
    <n v="8"/>
    <x v="6"/>
    <x v="225"/>
    <x v="0"/>
    <x v="37"/>
    <x v="5"/>
    <x v="59"/>
    <x v="59"/>
    <n v="23"/>
    <s v="0040000547734"/>
    <n v="23"/>
    <n v="23"/>
    <x v="14"/>
    <n v="0"/>
    <n v="23"/>
    <n v="0"/>
    <n v="23"/>
    <n v="0"/>
    <n v="0"/>
    <n v="0"/>
  </r>
  <r>
    <n v="8"/>
    <x v="6"/>
    <x v="225"/>
    <x v="0"/>
    <x v="37"/>
    <x v="5"/>
    <x v="107"/>
    <x v="107"/>
    <n v="55"/>
    <s v="0040000590001"/>
    <n v="55"/>
    <n v="55"/>
    <x v="14"/>
    <n v="0"/>
    <n v="55"/>
    <n v="0"/>
    <n v="55"/>
    <n v="0"/>
    <n v="0"/>
    <n v="0"/>
  </r>
  <r>
    <n v="8"/>
    <x v="6"/>
    <x v="225"/>
    <x v="0"/>
    <x v="37"/>
    <x v="5"/>
    <x v="108"/>
    <x v="108"/>
    <n v="102"/>
    <s v="0040000622890"/>
    <n v="102"/>
    <n v="102"/>
    <x v="14"/>
    <n v="0"/>
    <n v="102"/>
    <n v="0"/>
    <n v="102"/>
    <n v="0"/>
    <n v="0"/>
    <n v="0"/>
  </r>
  <r>
    <n v="8"/>
    <x v="6"/>
    <x v="226"/>
    <x v="7"/>
    <x v="10"/>
    <x v="7"/>
    <x v="101"/>
    <x v="101"/>
    <n v="1"/>
    <s v="0040000656352"/>
    <n v="1"/>
    <n v="1"/>
    <x v="23"/>
    <n v="0"/>
    <n v="1"/>
    <n v="0"/>
    <n v="1"/>
    <n v="0"/>
    <n v="0"/>
    <n v="0"/>
  </r>
  <r>
    <n v="9"/>
    <x v="7"/>
    <x v="227"/>
    <x v="9"/>
    <x v="13"/>
    <x v="19"/>
    <x v="47"/>
    <x v="47"/>
    <n v="1"/>
    <s v="-"/>
    <n v="1"/>
    <n v="1"/>
    <x v="24"/>
    <n v="0"/>
    <n v="1"/>
    <n v="0"/>
    <n v="1"/>
    <n v="0"/>
    <n v="0"/>
    <n v="0"/>
  </r>
  <r>
    <n v="9"/>
    <x v="7"/>
    <x v="228"/>
    <x v="9"/>
    <x v="13"/>
    <x v="8"/>
    <x v="109"/>
    <x v="109"/>
    <n v="1"/>
    <s v="-"/>
    <n v="1"/>
    <n v="1"/>
    <x v="24"/>
    <n v="0"/>
    <n v="1"/>
    <n v="0"/>
    <n v="1"/>
    <n v="0"/>
    <n v="0"/>
    <n v="0"/>
  </r>
  <r>
    <n v="9"/>
    <x v="7"/>
    <x v="229"/>
    <x v="9"/>
    <x v="13"/>
    <x v="5"/>
    <x v="109"/>
    <x v="109"/>
    <n v="1"/>
    <s v="-"/>
    <n v="1"/>
    <n v="1"/>
    <x v="25"/>
    <n v="0"/>
    <n v="1"/>
    <n v="0"/>
    <n v="1"/>
    <n v="0"/>
    <n v="0"/>
    <n v="0"/>
  </r>
  <r>
    <n v="9"/>
    <x v="7"/>
    <x v="230"/>
    <x v="9"/>
    <x v="13"/>
    <x v="5"/>
    <x v="40"/>
    <x v="40"/>
    <n v="1"/>
    <s v="-"/>
    <n v="1"/>
    <n v="1"/>
    <x v="12"/>
    <n v="0"/>
    <n v="1"/>
    <n v="0"/>
    <n v="1"/>
    <n v="0"/>
    <n v="0"/>
    <n v="0"/>
  </r>
  <r>
    <n v="9"/>
    <x v="7"/>
    <x v="231"/>
    <x v="9"/>
    <x v="13"/>
    <x v="23"/>
    <x v="110"/>
    <x v="110"/>
    <n v="1"/>
    <s v="-"/>
    <n v="1"/>
    <n v="1"/>
    <x v="26"/>
    <n v="0"/>
    <n v="1"/>
    <n v="0"/>
    <n v="1"/>
    <n v="0"/>
    <n v="0"/>
    <n v="0"/>
  </r>
  <r>
    <n v="9"/>
    <x v="7"/>
    <x v="232"/>
    <x v="9"/>
    <x v="13"/>
    <x v="22"/>
    <x v="111"/>
    <x v="111"/>
    <n v="1"/>
    <s v="-"/>
    <n v="1"/>
    <n v="1"/>
    <x v="27"/>
    <n v="0"/>
    <n v="1"/>
    <n v="0"/>
    <n v="1"/>
    <n v="0"/>
    <n v="0"/>
    <n v="0"/>
  </r>
  <r>
    <n v="9"/>
    <x v="7"/>
    <x v="233"/>
    <x v="9"/>
    <x v="13"/>
    <x v="0"/>
    <x v="2"/>
    <x v="2"/>
    <n v="1"/>
    <s v="-"/>
    <n v="1"/>
    <n v="1"/>
    <x v="27"/>
    <n v="0"/>
    <n v="1"/>
    <n v="0"/>
    <n v="1"/>
    <n v="0"/>
    <n v="0"/>
    <n v="0"/>
  </r>
  <r>
    <n v="9"/>
    <x v="7"/>
    <x v="234"/>
    <x v="23"/>
    <x v="32"/>
    <x v="24"/>
    <x v="1"/>
    <x v="1"/>
    <n v="1"/>
    <s v="-"/>
    <n v="1"/>
    <n v="1"/>
    <x v="11"/>
    <n v="0"/>
    <n v="1"/>
    <n v="0"/>
    <n v="1"/>
    <n v="0"/>
    <n v="0"/>
    <n v="0"/>
  </r>
  <r>
    <n v="9"/>
    <x v="7"/>
    <x v="235"/>
    <x v="1"/>
    <x v="2"/>
    <x v="5"/>
    <x v="40"/>
    <x v="40"/>
    <n v="16"/>
    <s v="-"/>
    <n v="16"/>
    <n v="16"/>
    <x v="5"/>
    <n v="0"/>
    <n v="16"/>
    <n v="0"/>
    <n v="16"/>
    <n v="0"/>
    <n v="0"/>
    <n v="0"/>
  </r>
  <r>
    <n v="9"/>
    <x v="7"/>
    <x v="236"/>
    <x v="4"/>
    <x v="4"/>
    <x v="25"/>
    <x v="112"/>
    <x v="112"/>
    <n v="180"/>
    <s v="-"/>
    <n v="180"/>
    <n v="180"/>
    <x v="0"/>
    <n v="0"/>
    <n v="180"/>
    <n v="0"/>
    <n v="180"/>
    <n v="0"/>
    <n v="0"/>
    <n v="0"/>
  </r>
  <r>
    <n v="9"/>
    <x v="7"/>
    <x v="237"/>
    <x v="4"/>
    <x v="4"/>
    <x v="25"/>
    <x v="112"/>
    <x v="112"/>
    <n v="12"/>
    <s v="-"/>
    <n v="12"/>
    <n v="12"/>
    <x v="28"/>
    <n v="0"/>
    <n v="12"/>
    <n v="0"/>
    <n v="12"/>
    <n v="0"/>
    <n v="0"/>
    <n v="0"/>
  </r>
  <r>
    <n v="9"/>
    <x v="7"/>
    <x v="238"/>
    <x v="4"/>
    <x v="39"/>
    <x v="1"/>
    <x v="40"/>
    <x v="40"/>
    <n v="20"/>
    <s v="-"/>
    <n v="20"/>
    <n v="20"/>
    <x v="1"/>
    <n v="0"/>
    <n v="20"/>
    <n v="0"/>
    <n v="20"/>
    <n v="0"/>
    <n v="0"/>
    <n v="0"/>
  </r>
  <r>
    <n v="9"/>
    <x v="7"/>
    <x v="239"/>
    <x v="7"/>
    <x v="10"/>
    <x v="17"/>
    <x v="40"/>
    <x v="40"/>
    <n v="25"/>
    <s v="-"/>
    <n v="25"/>
    <n v="25"/>
    <x v="23"/>
    <n v="0"/>
    <n v="25"/>
    <n v="0"/>
    <n v="25"/>
    <n v="0"/>
    <n v="0"/>
    <n v="0"/>
  </r>
  <r>
    <n v="10"/>
    <x v="8"/>
    <x v="240"/>
    <x v="10"/>
    <x v="19"/>
    <x v="8"/>
    <x v="113"/>
    <x v="113"/>
    <n v="5"/>
    <s v="-"/>
    <n v="5"/>
    <n v="5"/>
    <x v="12"/>
    <n v="0"/>
    <n v="5"/>
    <n v="0"/>
    <n v="5"/>
    <n v="0"/>
    <n v="0"/>
    <n v="0"/>
  </r>
  <r>
    <n v="10"/>
    <x v="8"/>
    <x v="240"/>
    <x v="10"/>
    <x v="19"/>
    <x v="8"/>
    <x v="53"/>
    <x v="53"/>
    <n v="5"/>
    <s v="-"/>
    <n v="5"/>
    <n v="5"/>
    <x v="12"/>
    <n v="0"/>
    <n v="5"/>
    <n v="0"/>
    <n v="5"/>
    <n v="0"/>
    <n v="0"/>
    <n v="0"/>
  </r>
  <r>
    <n v="10"/>
    <x v="8"/>
    <x v="241"/>
    <x v="10"/>
    <x v="19"/>
    <x v="8"/>
    <x v="113"/>
    <x v="113"/>
    <n v="15"/>
    <s v="-"/>
    <n v="15"/>
    <n v="15"/>
    <x v="12"/>
    <n v="0"/>
    <n v="15"/>
    <n v="0"/>
    <n v="15"/>
    <n v="0"/>
    <n v="0"/>
    <n v="0"/>
  </r>
  <r>
    <n v="10"/>
    <x v="8"/>
    <x v="241"/>
    <x v="10"/>
    <x v="19"/>
    <x v="8"/>
    <x v="114"/>
    <x v="114"/>
    <n v="8"/>
    <s v="-"/>
    <n v="8"/>
    <n v="8"/>
    <x v="12"/>
    <n v="0"/>
    <n v="8"/>
    <n v="0"/>
    <n v="8"/>
    <n v="0"/>
    <n v="0"/>
    <n v="0"/>
  </r>
  <r>
    <n v="10"/>
    <x v="8"/>
    <x v="241"/>
    <x v="10"/>
    <x v="19"/>
    <x v="8"/>
    <x v="46"/>
    <x v="46"/>
    <n v="8"/>
    <s v="-"/>
    <n v="8"/>
    <n v="8"/>
    <x v="12"/>
    <n v="0"/>
    <n v="8"/>
    <n v="0"/>
    <n v="8"/>
    <n v="0"/>
    <n v="0"/>
    <n v="0"/>
  </r>
  <r>
    <n v="10"/>
    <x v="8"/>
    <x v="241"/>
    <x v="10"/>
    <x v="19"/>
    <x v="8"/>
    <x v="37"/>
    <x v="37"/>
    <n v="8"/>
    <s v="-"/>
    <n v="8"/>
    <n v="8"/>
    <x v="12"/>
    <n v="0"/>
    <n v="8"/>
    <n v="0"/>
    <n v="8"/>
    <n v="0"/>
    <n v="0"/>
    <n v="0"/>
  </r>
  <r>
    <n v="10"/>
    <x v="8"/>
    <x v="241"/>
    <x v="10"/>
    <x v="19"/>
    <x v="8"/>
    <x v="110"/>
    <x v="110"/>
    <n v="8"/>
    <s v="-"/>
    <n v="8"/>
    <n v="8"/>
    <x v="12"/>
    <n v="0"/>
    <n v="8"/>
    <n v="0"/>
    <n v="8"/>
    <n v="0"/>
    <n v="0"/>
    <n v="0"/>
  </r>
  <r>
    <n v="10"/>
    <x v="8"/>
    <x v="241"/>
    <x v="10"/>
    <x v="19"/>
    <x v="8"/>
    <x v="53"/>
    <x v="53"/>
    <n v="15"/>
    <s v="-"/>
    <n v="15"/>
    <n v="15"/>
    <x v="12"/>
    <n v="0"/>
    <n v="15"/>
    <n v="0"/>
    <n v="15"/>
    <n v="0"/>
    <n v="0"/>
    <n v="0"/>
  </r>
  <r>
    <n v="10"/>
    <x v="8"/>
    <x v="241"/>
    <x v="10"/>
    <x v="19"/>
    <x v="8"/>
    <x v="115"/>
    <x v="115"/>
    <n v="15"/>
    <s v="-"/>
    <n v="15"/>
    <n v="15"/>
    <x v="12"/>
    <n v="0"/>
    <n v="15"/>
    <n v="0"/>
    <n v="15"/>
    <n v="0"/>
    <n v="0"/>
    <n v="0"/>
  </r>
  <r>
    <n v="10"/>
    <x v="8"/>
    <x v="241"/>
    <x v="10"/>
    <x v="19"/>
    <x v="8"/>
    <x v="116"/>
    <x v="116"/>
    <n v="5"/>
    <s v="-"/>
    <n v="5"/>
    <n v="5"/>
    <x v="12"/>
    <n v="0"/>
    <n v="5"/>
    <n v="0"/>
    <n v="5"/>
    <n v="0"/>
    <n v="0"/>
    <n v="0"/>
  </r>
  <r>
    <n v="10"/>
    <x v="8"/>
    <x v="241"/>
    <x v="10"/>
    <x v="19"/>
    <x v="8"/>
    <x v="68"/>
    <x v="68"/>
    <n v="8"/>
    <s v="-"/>
    <n v="8"/>
    <n v="8"/>
    <x v="12"/>
    <n v="0"/>
    <n v="8"/>
    <n v="0"/>
    <n v="8"/>
    <n v="0"/>
    <n v="0"/>
    <n v="0"/>
  </r>
  <r>
    <n v="10"/>
    <x v="8"/>
    <x v="241"/>
    <x v="10"/>
    <x v="19"/>
    <x v="8"/>
    <x v="117"/>
    <x v="117"/>
    <n v="10"/>
    <s v="-"/>
    <n v="10"/>
    <n v="10"/>
    <x v="12"/>
    <n v="0"/>
    <n v="10"/>
    <n v="0"/>
    <n v="10"/>
    <n v="0"/>
    <n v="0"/>
    <n v="0"/>
  </r>
  <r>
    <n v="24"/>
    <x v="9"/>
    <x v="242"/>
    <x v="9"/>
    <x v="13"/>
    <x v="8"/>
    <x v="118"/>
    <x v="118"/>
    <n v="4"/>
    <s v="-"/>
    <n v="4"/>
    <n v="4"/>
    <x v="29"/>
    <n v="0"/>
    <n v="4"/>
    <n v="0"/>
    <n v="4"/>
    <n v="0"/>
    <n v="0"/>
    <n v="0"/>
  </r>
  <r>
    <n v="24"/>
    <x v="9"/>
    <x v="242"/>
    <x v="9"/>
    <x v="13"/>
    <x v="8"/>
    <x v="119"/>
    <x v="119"/>
    <n v="3"/>
    <s v="-"/>
    <n v="3"/>
    <n v="3"/>
    <x v="29"/>
    <n v="0"/>
    <n v="3"/>
    <n v="0"/>
    <n v="3"/>
    <n v="0"/>
    <n v="0"/>
    <n v="0"/>
  </r>
  <r>
    <n v="24"/>
    <x v="9"/>
    <x v="242"/>
    <x v="9"/>
    <x v="13"/>
    <x v="8"/>
    <x v="120"/>
    <x v="120"/>
    <n v="3"/>
    <s v="-"/>
    <n v="0"/>
    <n v="0"/>
    <x v="29"/>
    <n v="0"/>
    <n v="0"/>
    <n v="0"/>
    <n v="0"/>
    <n v="0"/>
    <n v="0"/>
    <n v="0"/>
  </r>
  <r>
    <n v="24"/>
    <x v="9"/>
    <x v="242"/>
    <x v="9"/>
    <x v="13"/>
    <x v="8"/>
    <x v="121"/>
    <x v="121"/>
    <n v="1"/>
    <s v="-"/>
    <n v="0"/>
    <n v="0"/>
    <x v="29"/>
    <n v="0"/>
    <n v="0"/>
    <n v="0"/>
    <n v="0"/>
    <n v="0"/>
    <n v="0"/>
    <n v="0"/>
  </r>
  <r>
    <n v="24"/>
    <x v="9"/>
    <x v="242"/>
    <x v="9"/>
    <x v="13"/>
    <x v="8"/>
    <x v="122"/>
    <x v="122"/>
    <n v="5"/>
    <s v="-"/>
    <n v="0"/>
    <n v="0"/>
    <x v="29"/>
    <n v="0"/>
    <n v="0"/>
    <n v="0"/>
    <n v="0"/>
    <n v="0"/>
    <n v="0"/>
    <n v="0"/>
  </r>
  <r>
    <n v="24"/>
    <x v="9"/>
    <x v="242"/>
    <x v="9"/>
    <x v="13"/>
    <x v="8"/>
    <x v="95"/>
    <x v="95"/>
    <n v="2"/>
    <s v="-"/>
    <n v="2"/>
    <n v="2"/>
    <x v="29"/>
    <n v="0"/>
    <n v="2"/>
    <n v="0"/>
    <n v="2"/>
    <n v="0"/>
    <n v="0"/>
    <n v="0"/>
  </r>
  <r>
    <n v="24"/>
    <x v="9"/>
    <x v="243"/>
    <x v="9"/>
    <x v="13"/>
    <x v="8"/>
    <x v="122"/>
    <x v="122"/>
    <n v="1"/>
    <s v="-"/>
    <n v="0"/>
    <n v="0"/>
    <x v="2"/>
    <n v="0"/>
    <n v="0"/>
    <n v="0"/>
    <n v="0"/>
    <n v="0"/>
    <n v="0"/>
    <n v="0"/>
  </r>
  <r>
    <n v="24"/>
    <x v="9"/>
    <x v="244"/>
    <x v="9"/>
    <x v="13"/>
    <x v="8"/>
    <x v="122"/>
    <x v="122"/>
    <n v="1"/>
    <s v="-"/>
    <n v="0"/>
    <n v="0"/>
    <x v="2"/>
    <n v="0"/>
    <n v="0"/>
    <n v="0"/>
    <n v="0"/>
    <n v="0"/>
    <n v="0"/>
    <n v="0"/>
  </r>
  <r>
    <n v="24"/>
    <x v="9"/>
    <x v="245"/>
    <x v="20"/>
    <x v="40"/>
    <x v="11"/>
    <x v="123"/>
    <x v="123"/>
    <n v="1"/>
    <s v="95566867"/>
    <n v="1"/>
    <n v="1"/>
    <x v="13"/>
    <n v="0"/>
    <n v="1"/>
    <n v="0"/>
    <n v="1"/>
    <n v="0"/>
    <n v="0"/>
    <n v="0"/>
  </r>
  <r>
    <n v="24"/>
    <x v="9"/>
    <x v="246"/>
    <x v="26"/>
    <x v="29"/>
    <x v="11"/>
    <x v="1"/>
    <x v="1"/>
    <n v="1"/>
    <s v="95567591"/>
    <n v="1"/>
    <n v="1"/>
    <x v="13"/>
    <n v="0"/>
    <n v="1"/>
    <n v="0"/>
    <n v="1"/>
    <n v="0"/>
    <n v="0"/>
    <n v="0"/>
  </r>
  <r>
    <n v="24"/>
    <x v="9"/>
    <x v="247"/>
    <x v="19"/>
    <x v="29"/>
    <x v="19"/>
    <x v="6"/>
    <x v="6"/>
    <n v="1"/>
    <s v="95567681"/>
    <n v="1"/>
    <n v="1"/>
    <x v="11"/>
    <n v="0"/>
    <n v="1"/>
    <n v="0"/>
    <n v="1"/>
    <n v="0"/>
    <n v="0"/>
    <n v="0"/>
  </r>
  <r>
    <n v="24"/>
    <x v="9"/>
    <x v="248"/>
    <x v="20"/>
    <x v="31"/>
    <x v="11"/>
    <x v="124"/>
    <x v="124"/>
    <n v="1"/>
    <s v="95568714"/>
    <n v="1"/>
    <n v="1"/>
    <x v="13"/>
    <n v="0"/>
    <n v="1"/>
    <n v="0"/>
    <n v="1"/>
    <n v="0"/>
    <n v="0"/>
    <n v="0"/>
  </r>
  <r>
    <n v="24"/>
    <x v="9"/>
    <x v="249"/>
    <x v="20"/>
    <x v="31"/>
    <x v="12"/>
    <x v="124"/>
    <x v="124"/>
    <n v="1"/>
    <s v="95568720"/>
    <n v="1"/>
    <n v="1"/>
    <x v="12"/>
    <n v="0"/>
    <n v="1"/>
    <n v="0"/>
    <n v="1"/>
    <n v="0"/>
    <n v="0"/>
    <n v="0"/>
  </r>
  <r>
    <n v="24"/>
    <x v="9"/>
    <x v="250"/>
    <x v="20"/>
    <x v="41"/>
    <x v="10"/>
    <x v="124"/>
    <x v="124"/>
    <n v="1"/>
    <s v="95568787"/>
    <n v="1"/>
    <n v="1"/>
    <x v="11"/>
    <n v="0"/>
    <n v="1"/>
    <n v="0"/>
    <n v="1"/>
    <n v="0"/>
    <n v="0"/>
    <n v="0"/>
  </r>
  <r>
    <n v="24"/>
    <x v="9"/>
    <x v="251"/>
    <x v="21"/>
    <x v="41"/>
    <x v="11"/>
    <x v="124"/>
    <x v="124"/>
    <n v="1"/>
    <s v="95568854"/>
    <n v="1"/>
    <n v="1"/>
    <x v="13"/>
    <n v="0"/>
    <n v="1"/>
    <n v="0"/>
    <n v="1"/>
    <n v="0"/>
    <n v="0"/>
    <n v="0"/>
  </r>
  <r>
    <n v="24"/>
    <x v="9"/>
    <x v="252"/>
    <x v="21"/>
    <x v="41"/>
    <x v="10"/>
    <x v="125"/>
    <x v="125"/>
    <n v="1"/>
    <s v="95568935"/>
    <n v="1"/>
    <n v="1"/>
    <x v="11"/>
    <n v="0"/>
    <n v="1"/>
    <n v="0"/>
    <n v="1"/>
    <n v="0"/>
    <n v="0"/>
    <n v="0"/>
  </r>
  <r>
    <n v="24"/>
    <x v="9"/>
    <x v="253"/>
    <x v="22"/>
    <x v="41"/>
    <x v="20"/>
    <x v="124"/>
    <x v="124"/>
    <n v="1"/>
    <s v="95569023"/>
    <n v="1"/>
    <n v="1"/>
    <x v="13"/>
    <n v="0"/>
    <n v="1"/>
    <n v="0"/>
    <n v="1"/>
    <n v="0"/>
    <n v="0"/>
    <n v="0"/>
  </r>
  <r>
    <n v="24"/>
    <x v="9"/>
    <x v="254"/>
    <x v="22"/>
    <x v="14"/>
    <x v="20"/>
    <x v="124"/>
    <x v="124"/>
    <n v="1"/>
    <s v="95569112"/>
    <n v="1"/>
    <n v="1"/>
    <x v="13"/>
    <n v="0"/>
    <n v="1"/>
    <n v="0"/>
    <n v="1"/>
    <n v="0"/>
    <n v="0"/>
    <n v="0"/>
  </r>
  <r>
    <n v="24"/>
    <x v="9"/>
    <x v="255"/>
    <x v="22"/>
    <x v="14"/>
    <x v="19"/>
    <x v="121"/>
    <x v="121"/>
    <n v="2"/>
    <s v="-"/>
    <n v="0"/>
    <n v="0"/>
    <x v="2"/>
    <n v="0"/>
    <n v="0"/>
    <n v="0"/>
    <n v="0"/>
    <n v="0"/>
    <n v="0"/>
    <n v="0"/>
  </r>
  <r>
    <n v="24"/>
    <x v="9"/>
    <x v="255"/>
    <x v="22"/>
    <x v="14"/>
    <x v="19"/>
    <x v="119"/>
    <x v="119"/>
    <n v="6"/>
    <s v="-"/>
    <n v="0"/>
    <n v="0"/>
    <x v="2"/>
    <n v="0"/>
    <n v="0"/>
    <n v="0"/>
    <n v="0"/>
    <n v="0"/>
    <n v="0"/>
    <n v="0"/>
  </r>
  <r>
    <n v="24"/>
    <x v="9"/>
    <x v="256"/>
    <x v="23"/>
    <x v="32"/>
    <x v="8"/>
    <x v="118"/>
    <x v="118"/>
    <n v="25"/>
    <s v="-"/>
    <n v="0"/>
    <n v="0"/>
    <x v="19"/>
    <n v="0"/>
    <n v="0"/>
    <n v="0"/>
    <n v="0"/>
    <n v="0"/>
    <n v="0"/>
    <n v="0"/>
  </r>
  <r>
    <n v="24"/>
    <x v="9"/>
    <x v="256"/>
    <x v="23"/>
    <x v="32"/>
    <x v="8"/>
    <x v="120"/>
    <x v="120"/>
    <n v="400"/>
    <s v="-"/>
    <n v="400"/>
    <n v="400"/>
    <x v="19"/>
    <n v="403"/>
    <n v="-3"/>
    <n v="0"/>
    <n v="0"/>
    <n v="3"/>
    <n v="1"/>
    <n v="0"/>
  </r>
  <r>
    <n v="24"/>
    <x v="9"/>
    <x v="256"/>
    <x v="23"/>
    <x v="32"/>
    <x v="8"/>
    <x v="121"/>
    <x v="121"/>
    <n v="250"/>
    <s v="-"/>
    <n v="250"/>
    <n v="250"/>
    <x v="19"/>
    <n v="0"/>
    <n v="250"/>
    <n v="0"/>
    <n v="250"/>
    <n v="0"/>
    <n v="0"/>
    <n v="0"/>
  </r>
  <r>
    <n v="24"/>
    <x v="9"/>
    <x v="256"/>
    <x v="23"/>
    <x v="32"/>
    <x v="8"/>
    <x v="122"/>
    <x v="122"/>
    <n v="340"/>
    <s v="-"/>
    <n v="340"/>
    <n v="340"/>
    <x v="19"/>
    <n v="1"/>
    <n v="339"/>
    <n v="0"/>
    <n v="338"/>
    <n v="-1"/>
    <n v="0"/>
    <n v="0"/>
  </r>
  <r>
    <n v="24"/>
    <x v="9"/>
    <x v="256"/>
    <x v="23"/>
    <x v="32"/>
    <x v="8"/>
    <x v="119"/>
    <x v="119"/>
    <n v="82"/>
    <s v="-"/>
    <n v="0"/>
    <n v="0"/>
    <x v="19"/>
    <n v="0"/>
    <n v="0"/>
    <n v="0"/>
    <n v="0"/>
    <n v="0"/>
    <n v="0"/>
    <n v="0"/>
  </r>
  <r>
    <n v="24"/>
    <x v="9"/>
    <x v="257"/>
    <x v="23"/>
    <x v="32"/>
    <x v="13"/>
    <x v="122"/>
    <x v="122"/>
    <n v="2"/>
    <s v="-"/>
    <n v="0"/>
    <n v="0"/>
    <x v="2"/>
    <n v="0"/>
    <n v="0"/>
    <n v="0"/>
    <n v="0"/>
    <n v="0"/>
    <n v="0"/>
    <n v="0"/>
  </r>
  <r>
    <n v="24"/>
    <x v="9"/>
    <x v="258"/>
    <x v="11"/>
    <x v="33"/>
    <x v="13"/>
    <x v="124"/>
    <x v="124"/>
    <n v="1"/>
    <s v="-"/>
    <n v="1"/>
    <n v="1"/>
    <x v="12"/>
    <n v="0"/>
    <n v="1"/>
    <n v="0"/>
    <n v="1"/>
    <n v="0"/>
    <n v="0"/>
    <n v="0"/>
  </r>
  <r>
    <n v="24"/>
    <x v="9"/>
    <x v="259"/>
    <x v="6"/>
    <x v="8"/>
    <x v="7"/>
    <x v="83"/>
    <x v="83"/>
    <n v="1"/>
    <s v="95880814"/>
    <n v="1"/>
    <n v="1"/>
    <x v="23"/>
    <n v="0"/>
    <n v="1"/>
    <n v="0"/>
    <n v="1"/>
    <n v="0"/>
    <n v="0"/>
    <n v="0"/>
  </r>
  <r>
    <n v="24"/>
    <x v="9"/>
    <x v="260"/>
    <x v="7"/>
    <x v="10"/>
    <x v="7"/>
    <x v="123"/>
    <x v="123"/>
    <n v="1"/>
    <s v="95881168"/>
    <n v="1"/>
    <n v="1"/>
    <x v="23"/>
    <n v="0"/>
    <n v="1"/>
    <n v="0"/>
    <n v="1"/>
    <n v="0"/>
    <n v="0"/>
    <n v="0"/>
  </r>
  <r>
    <n v="24"/>
    <x v="9"/>
    <x v="261"/>
    <x v="7"/>
    <x v="10"/>
    <x v="7"/>
    <x v="123"/>
    <x v="123"/>
    <n v="1"/>
    <s v="95881306"/>
    <n v="1"/>
    <n v="1"/>
    <x v="23"/>
    <n v="0"/>
    <n v="1"/>
    <n v="0"/>
    <n v="1"/>
    <n v="0"/>
    <n v="0"/>
    <n v="0"/>
  </r>
  <r>
    <n v="25"/>
    <x v="10"/>
    <x v="262"/>
    <x v="25"/>
    <x v="38"/>
    <x v="12"/>
    <x v="126"/>
    <x v="126"/>
    <n v="1"/>
    <s v="-"/>
    <n v="0"/>
    <n v="0"/>
    <x v="14"/>
    <n v="0"/>
    <n v="0"/>
    <n v="0"/>
    <n v="0"/>
    <n v="0"/>
    <n v="0"/>
    <n v="0"/>
  </r>
  <r>
    <n v="25"/>
    <x v="10"/>
    <x v="262"/>
    <x v="25"/>
    <x v="38"/>
    <x v="12"/>
    <x v="127"/>
    <x v="127"/>
    <n v="49"/>
    <s v="-"/>
    <n v="49"/>
    <n v="49"/>
    <x v="14"/>
    <n v="0"/>
    <n v="49"/>
    <n v="0"/>
    <n v="49"/>
    <n v="0"/>
    <n v="0"/>
    <n v="0"/>
  </r>
  <r>
    <n v="25"/>
    <x v="10"/>
    <x v="262"/>
    <x v="25"/>
    <x v="38"/>
    <x v="12"/>
    <x v="128"/>
    <x v="128"/>
    <n v="15"/>
    <s v="-"/>
    <n v="15"/>
    <n v="15"/>
    <x v="14"/>
    <n v="0"/>
    <n v="15"/>
    <n v="0"/>
    <n v="15"/>
    <n v="0"/>
    <n v="0"/>
    <n v="0"/>
  </r>
  <r>
    <n v="25"/>
    <x v="10"/>
    <x v="262"/>
    <x v="25"/>
    <x v="38"/>
    <x v="12"/>
    <x v="129"/>
    <x v="129"/>
    <n v="15"/>
    <s v="-"/>
    <n v="15"/>
    <n v="15"/>
    <x v="14"/>
    <n v="0"/>
    <n v="15"/>
    <n v="0"/>
    <n v="15"/>
    <n v="0"/>
    <n v="0"/>
    <n v="0"/>
  </r>
  <r>
    <n v="25"/>
    <x v="10"/>
    <x v="262"/>
    <x v="25"/>
    <x v="38"/>
    <x v="12"/>
    <x v="130"/>
    <x v="130"/>
    <n v="15"/>
    <s v="-"/>
    <n v="15"/>
    <n v="15"/>
    <x v="14"/>
    <n v="0"/>
    <n v="15"/>
    <n v="0"/>
    <n v="15"/>
    <n v="0"/>
    <n v="0"/>
    <n v="0"/>
  </r>
  <r>
    <n v="25"/>
    <x v="10"/>
    <x v="263"/>
    <x v="1"/>
    <x v="3"/>
    <x v="18"/>
    <x v="127"/>
    <x v="127"/>
    <n v="14"/>
    <s v="-"/>
    <n v="0"/>
    <n v="0"/>
    <x v="2"/>
    <n v="0"/>
    <n v="0"/>
    <n v="0"/>
    <n v="0"/>
    <n v="0"/>
    <n v="0"/>
    <n v="0"/>
  </r>
  <r>
    <n v="89"/>
    <x v="11"/>
    <x v="264"/>
    <x v="12"/>
    <x v="18"/>
    <x v="20"/>
    <x v="131"/>
    <x v="131"/>
    <n v="150"/>
    <s v="-"/>
    <n v="150"/>
    <n v="150"/>
    <x v="20"/>
    <n v="0"/>
    <n v="150"/>
    <n v="0"/>
    <n v="150"/>
    <n v="0"/>
    <n v="0"/>
    <n v="0"/>
  </r>
  <r>
    <n v="3"/>
    <x v="1"/>
    <x v="265"/>
    <x v="1"/>
    <x v="2"/>
    <x v="26"/>
    <x v="2"/>
    <x v="2"/>
    <n v="1"/>
    <s v="36073595"/>
    <n v="1"/>
    <n v="3"/>
    <x v="10"/>
    <n v="2"/>
    <n v="1"/>
    <n v="2"/>
    <n v="1"/>
    <n v="0"/>
    <n v="0"/>
    <n v="0"/>
  </r>
  <r>
    <n v="3"/>
    <x v="1"/>
    <x v="265"/>
    <x v="1"/>
    <x v="2"/>
    <x v="1"/>
    <x v="45"/>
    <x v="45"/>
    <n v="1"/>
    <s v="35368469"/>
    <n v="1"/>
    <n v="3"/>
    <x v="10"/>
    <n v="2"/>
    <n v="1"/>
    <n v="2"/>
    <n v="1"/>
    <n v="0"/>
    <n v="0"/>
    <n v="0"/>
  </r>
  <r>
    <n v="3"/>
    <x v="1"/>
    <x v="266"/>
    <x v="2"/>
    <x v="3"/>
    <x v="17"/>
    <x v="2"/>
    <x v="2"/>
    <n v="1"/>
    <s v="38663403"/>
    <n v="1"/>
    <n v="3"/>
    <x v="10"/>
    <n v="2"/>
    <n v="1"/>
    <n v="2"/>
    <n v="1"/>
    <n v="0"/>
    <n v="0"/>
    <n v="0"/>
  </r>
  <r>
    <n v="3"/>
    <x v="1"/>
    <x v="266"/>
    <x v="2"/>
    <x v="3"/>
    <x v="26"/>
    <x v="132"/>
    <x v="132"/>
    <n v="1"/>
    <s v="38663381"/>
    <n v="1"/>
    <n v="3"/>
    <x v="10"/>
    <n v="2"/>
    <n v="1"/>
    <n v="2"/>
    <n v="1"/>
    <n v="0"/>
    <n v="0"/>
    <n v="0"/>
  </r>
  <r>
    <n v="3"/>
    <x v="1"/>
    <x v="266"/>
    <x v="2"/>
    <x v="3"/>
    <x v="26"/>
    <x v="45"/>
    <x v="45"/>
    <n v="1"/>
    <s v="38663386"/>
    <n v="1"/>
    <n v="3"/>
    <x v="10"/>
    <n v="2"/>
    <n v="1"/>
    <n v="2"/>
    <n v="1"/>
    <n v="0"/>
    <n v="0"/>
    <n v="0"/>
  </r>
  <r>
    <n v="3"/>
    <x v="1"/>
    <x v="267"/>
    <x v="2"/>
    <x v="3"/>
    <x v="26"/>
    <x v="2"/>
    <x v="2"/>
    <n v="1"/>
    <s v="36277538"/>
    <n v="1"/>
    <n v="3"/>
    <x v="10"/>
    <n v="2"/>
    <n v="1"/>
    <n v="2"/>
    <n v="1"/>
    <n v="0"/>
    <n v="0"/>
    <n v="0"/>
  </r>
  <r>
    <n v="3"/>
    <x v="1"/>
    <x v="267"/>
    <x v="2"/>
    <x v="3"/>
    <x v="26"/>
    <x v="2"/>
    <x v="2"/>
    <n v="1"/>
    <s v="37364090"/>
    <n v="1"/>
    <n v="3"/>
    <x v="10"/>
    <n v="2"/>
    <n v="1"/>
    <n v="2"/>
    <n v="1"/>
    <n v="0"/>
    <n v="0"/>
    <n v="0"/>
  </r>
  <r>
    <n v="3"/>
    <x v="1"/>
    <x v="267"/>
    <x v="2"/>
    <x v="3"/>
    <x v="26"/>
    <x v="46"/>
    <x v="46"/>
    <n v="1"/>
    <s v="34054823"/>
    <n v="1"/>
    <n v="3"/>
    <x v="10"/>
    <n v="2"/>
    <n v="1"/>
    <n v="2"/>
    <n v="1"/>
    <n v="0"/>
    <n v="0"/>
    <n v="0"/>
  </r>
  <r>
    <n v="3"/>
    <x v="1"/>
    <x v="267"/>
    <x v="2"/>
    <x v="3"/>
    <x v="16"/>
    <x v="110"/>
    <x v="110"/>
    <n v="1"/>
    <s v="36164103"/>
    <n v="1"/>
    <n v="3"/>
    <x v="10"/>
    <n v="2"/>
    <n v="1"/>
    <n v="2"/>
    <n v="1"/>
    <n v="0"/>
    <n v="0"/>
    <n v="0"/>
  </r>
  <r>
    <n v="3"/>
    <x v="1"/>
    <x v="267"/>
    <x v="2"/>
    <x v="3"/>
    <x v="16"/>
    <x v="133"/>
    <x v="133"/>
    <n v="1"/>
    <s v="35656125"/>
    <n v="1"/>
    <n v="3"/>
    <x v="10"/>
    <n v="2"/>
    <n v="1"/>
    <n v="2"/>
    <n v="1"/>
    <n v="0"/>
    <n v="0"/>
    <n v="0"/>
  </r>
  <r>
    <n v="3"/>
    <x v="1"/>
    <x v="267"/>
    <x v="2"/>
    <x v="3"/>
    <x v="17"/>
    <x v="44"/>
    <x v="44"/>
    <n v="1"/>
    <s v="34054825"/>
    <n v="1"/>
    <n v="3"/>
    <x v="10"/>
    <n v="2"/>
    <n v="1"/>
    <n v="2"/>
    <n v="1"/>
    <n v="0"/>
    <n v="0"/>
    <n v="0"/>
  </r>
  <r>
    <n v="3"/>
    <x v="1"/>
    <x v="267"/>
    <x v="2"/>
    <x v="3"/>
    <x v="26"/>
    <x v="44"/>
    <x v="44"/>
    <n v="1"/>
    <s v="35344520"/>
    <n v="1"/>
    <n v="3"/>
    <x v="10"/>
    <n v="2"/>
    <n v="1"/>
    <n v="2"/>
    <n v="1"/>
    <n v="0"/>
    <n v="0"/>
    <n v="0"/>
  </r>
  <r>
    <n v="3"/>
    <x v="1"/>
    <x v="268"/>
    <x v="3"/>
    <x v="4"/>
    <x v="26"/>
    <x v="60"/>
    <x v="60"/>
    <n v="1"/>
    <s v="38663455"/>
    <n v="1"/>
    <n v="3"/>
    <x v="10"/>
    <n v="2"/>
    <n v="1"/>
    <n v="2"/>
    <n v="1"/>
    <n v="0"/>
    <n v="0"/>
    <n v="0"/>
  </r>
  <r>
    <n v="3"/>
    <x v="1"/>
    <x v="268"/>
    <x v="3"/>
    <x v="4"/>
    <x v="15"/>
    <x v="115"/>
    <x v="115"/>
    <n v="1"/>
    <s v="38663587"/>
    <n v="2"/>
    <n v="4"/>
    <x v="6"/>
    <n v="3"/>
    <n v="1"/>
    <n v="3"/>
    <n v="1"/>
    <n v="0"/>
    <n v="0"/>
    <n v="0"/>
  </r>
  <r>
    <n v="3"/>
    <x v="1"/>
    <x v="269"/>
    <x v="3"/>
    <x v="4"/>
    <x v="26"/>
    <x v="2"/>
    <x v="2"/>
    <n v="1"/>
    <s v="34602408"/>
    <n v="1"/>
    <n v="3"/>
    <x v="10"/>
    <n v="2"/>
    <n v="1"/>
    <n v="2"/>
    <n v="1"/>
    <n v="0"/>
    <n v="0"/>
    <n v="0"/>
  </r>
  <r>
    <n v="3"/>
    <x v="1"/>
    <x v="269"/>
    <x v="3"/>
    <x v="4"/>
    <x v="26"/>
    <x v="2"/>
    <x v="2"/>
    <n v="1"/>
    <s v="35344528"/>
    <n v="1"/>
    <n v="3"/>
    <x v="10"/>
    <n v="2"/>
    <n v="1"/>
    <n v="2"/>
    <n v="1"/>
    <n v="0"/>
    <n v="0"/>
    <n v="0"/>
  </r>
  <r>
    <n v="3"/>
    <x v="1"/>
    <x v="269"/>
    <x v="3"/>
    <x v="4"/>
    <x v="26"/>
    <x v="110"/>
    <x v="110"/>
    <n v="1"/>
    <s v="35344524"/>
    <n v="1"/>
    <n v="3"/>
    <x v="10"/>
    <n v="2"/>
    <n v="1"/>
    <n v="2"/>
    <n v="1"/>
    <n v="0"/>
    <n v="0"/>
    <n v="0"/>
  </r>
  <r>
    <n v="3"/>
    <x v="1"/>
    <x v="270"/>
    <x v="4"/>
    <x v="39"/>
    <x v="26"/>
    <x v="1"/>
    <x v="1"/>
    <n v="1"/>
    <s v="38663780"/>
    <n v="1"/>
    <n v="2"/>
    <x v="10"/>
    <n v="1"/>
    <n v="1"/>
    <n v="1"/>
    <n v="1"/>
    <n v="0"/>
    <n v="0"/>
    <n v="0"/>
  </r>
  <r>
    <n v="3"/>
    <x v="1"/>
    <x v="270"/>
    <x v="4"/>
    <x v="39"/>
    <x v="17"/>
    <x v="45"/>
    <x v="45"/>
    <n v="1"/>
    <s v="38663978"/>
    <n v="1"/>
    <n v="2"/>
    <x v="10"/>
    <n v="1"/>
    <n v="1"/>
    <n v="1"/>
    <n v="1"/>
    <n v="0"/>
    <n v="0"/>
    <n v="0"/>
  </r>
  <r>
    <n v="3"/>
    <x v="1"/>
    <x v="271"/>
    <x v="4"/>
    <x v="39"/>
    <x v="17"/>
    <x v="2"/>
    <x v="2"/>
    <n v="1"/>
    <s v="32119059"/>
    <n v="1"/>
    <n v="2"/>
    <x v="10"/>
    <n v="1"/>
    <n v="1"/>
    <n v="1"/>
    <n v="1"/>
    <n v="0"/>
    <n v="0"/>
    <n v="0"/>
  </r>
  <r>
    <n v="3"/>
    <x v="1"/>
    <x v="271"/>
    <x v="4"/>
    <x v="39"/>
    <x v="26"/>
    <x v="2"/>
    <x v="2"/>
    <n v="1"/>
    <s v="35344535"/>
    <n v="1"/>
    <n v="2"/>
    <x v="10"/>
    <n v="1"/>
    <n v="1"/>
    <n v="1"/>
    <n v="1"/>
    <n v="0"/>
    <n v="0"/>
    <n v="0"/>
  </r>
  <r>
    <n v="3"/>
    <x v="1"/>
    <x v="271"/>
    <x v="4"/>
    <x v="39"/>
    <x v="26"/>
    <x v="2"/>
    <x v="2"/>
    <n v="1"/>
    <s v="36073634"/>
    <n v="1"/>
    <n v="2"/>
    <x v="10"/>
    <n v="1"/>
    <n v="1"/>
    <n v="1"/>
    <n v="1"/>
    <n v="0"/>
    <n v="0"/>
    <n v="0"/>
  </r>
  <r>
    <n v="3"/>
    <x v="1"/>
    <x v="272"/>
    <x v="14"/>
    <x v="20"/>
    <x v="26"/>
    <x v="113"/>
    <x v="113"/>
    <n v="1"/>
    <s v="37364135"/>
    <n v="1"/>
    <n v="2"/>
    <x v="10"/>
    <n v="1"/>
    <n v="1"/>
    <n v="1"/>
    <n v="1"/>
    <n v="0"/>
    <n v="0"/>
    <n v="0"/>
  </r>
  <r>
    <n v="3"/>
    <x v="1"/>
    <x v="272"/>
    <x v="14"/>
    <x v="20"/>
    <x v="26"/>
    <x v="2"/>
    <x v="2"/>
    <n v="1"/>
    <s v="34602416"/>
    <n v="1"/>
    <n v="2"/>
    <x v="10"/>
    <n v="1"/>
    <n v="1"/>
    <n v="1"/>
    <n v="1"/>
    <n v="0"/>
    <n v="0"/>
    <n v="0"/>
  </r>
  <r>
    <n v="3"/>
    <x v="1"/>
    <x v="272"/>
    <x v="14"/>
    <x v="20"/>
    <x v="26"/>
    <x v="2"/>
    <x v="2"/>
    <n v="1"/>
    <s v="36090240"/>
    <n v="1"/>
    <n v="2"/>
    <x v="10"/>
    <n v="1"/>
    <n v="1"/>
    <n v="1"/>
    <n v="1"/>
    <n v="0"/>
    <n v="0"/>
    <n v="0"/>
  </r>
  <r>
    <n v="3"/>
    <x v="1"/>
    <x v="273"/>
    <x v="14"/>
    <x v="21"/>
    <x v="17"/>
    <x v="2"/>
    <x v="2"/>
    <n v="1"/>
    <s v="35208253"/>
    <n v="1"/>
    <n v="2"/>
    <x v="10"/>
    <n v="1"/>
    <n v="1"/>
    <n v="1"/>
    <n v="1"/>
    <n v="0"/>
    <n v="0"/>
    <n v="0"/>
  </r>
  <r>
    <n v="3"/>
    <x v="1"/>
    <x v="273"/>
    <x v="14"/>
    <x v="21"/>
    <x v="26"/>
    <x v="2"/>
    <x v="2"/>
    <n v="1"/>
    <s v="35288715"/>
    <n v="1"/>
    <n v="2"/>
    <x v="10"/>
    <n v="1"/>
    <n v="1"/>
    <n v="1"/>
    <n v="1"/>
    <n v="0"/>
    <n v="0"/>
    <n v="0"/>
  </r>
  <r>
    <n v="3"/>
    <x v="1"/>
    <x v="273"/>
    <x v="14"/>
    <x v="21"/>
    <x v="26"/>
    <x v="2"/>
    <x v="2"/>
    <n v="1"/>
    <s v="36813580"/>
    <n v="1"/>
    <n v="2"/>
    <x v="10"/>
    <n v="1"/>
    <n v="1"/>
    <n v="1"/>
    <n v="1"/>
    <n v="0"/>
    <n v="0"/>
    <n v="0"/>
  </r>
  <r>
    <n v="3"/>
    <x v="1"/>
    <x v="274"/>
    <x v="14"/>
    <x v="22"/>
    <x v="6"/>
    <x v="2"/>
    <x v="2"/>
    <n v="1"/>
    <s v="38664717"/>
    <n v="1"/>
    <n v="2"/>
    <x v="10"/>
    <n v="1"/>
    <n v="1"/>
    <n v="1"/>
    <n v="1"/>
    <n v="0"/>
    <n v="0"/>
    <n v="0"/>
  </r>
  <r>
    <n v="3"/>
    <x v="1"/>
    <x v="274"/>
    <x v="14"/>
    <x v="22"/>
    <x v="17"/>
    <x v="134"/>
    <x v="134"/>
    <n v="1"/>
    <s v="38664568"/>
    <n v="1"/>
    <n v="2"/>
    <x v="10"/>
    <n v="1"/>
    <n v="1"/>
    <n v="1"/>
    <n v="1"/>
    <n v="0"/>
    <n v="0"/>
    <n v="0"/>
  </r>
  <r>
    <n v="3"/>
    <x v="1"/>
    <x v="275"/>
    <x v="14"/>
    <x v="22"/>
    <x v="26"/>
    <x v="2"/>
    <x v="2"/>
    <n v="1"/>
    <s v="35208269"/>
    <n v="1"/>
    <n v="2"/>
    <x v="10"/>
    <n v="1"/>
    <n v="1"/>
    <n v="1"/>
    <n v="1"/>
    <n v="0"/>
    <n v="0"/>
    <n v="0"/>
  </r>
  <r>
    <n v="3"/>
    <x v="1"/>
    <x v="276"/>
    <x v="15"/>
    <x v="23"/>
    <x v="15"/>
    <x v="60"/>
    <x v="60"/>
    <n v="1"/>
    <s v="38664986"/>
    <n v="1"/>
    <n v="1"/>
    <x v="16"/>
    <n v="0"/>
    <n v="1"/>
    <n v="0"/>
    <n v="1"/>
    <n v="0"/>
    <n v="0"/>
    <n v="0"/>
  </r>
  <r>
    <n v="3"/>
    <x v="1"/>
    <x v="276"/>
    <x v="15"/>
    <x v="23"/>
    <x v="26"/>
    <x v="2"/>
    <x v="2"/>
    <n v="1"/>
    <s v="38664853"/>
    <n v="0"/>
    <n v="0"/>
    <x v="2"/>
    <n v="0"/>
    <n v="0"/>
    <n v="0"/>
    <n v="0"/>
    <n v="0"/>
    <n v="0"/>
    <n v="0"/>
  </r>
  <r>
    <n v="3"/>
    <x v="1"/>
    <x v="277"/>
    <x v="15"/>
    <x v="23"/>
    <x v="15"/>
    <x v="113"/>
    <x v="113"/>
    <n v="1"/>
    <s v="33266846"/>
    <n v="1"/>
    <n v="1"/>
    <x v="16"/>
    <n v="0"/>
    <n v="1"/>
    <n v="0"/>
    <n v="1"/>
    <n v="0"/>
    <n v="0"/>
    <n v="0"/>
  </r>
  <r>
    <n v="3"/>
    <x v="1"/>
    <x v="277"/>
    <x v="15"/>
    <x v="23"/>
    <x v="26"/>
    <x v="2"/>
    <x v="2"/>
    <n v="1"/>
    <s v="31594784"/>
    <n v="0"/>
    <n v="0"/>
    <x v="2"/>
    <n v="0"/>
    <n v="0"/>
    <n v="0"/>
    <n v="0"/>
    <n v="0"/>
    <n v="0"/>
    <n v="0"/>
  </r>
  <r>
    <n v="3"/>
    <x v="1"/>
    <x v="277"/>
    <x v="15"/>
    <x v="23"/>
    <x v="26"/>
    <x v="2"/>
    <x v="2"/>
    <n v="1"/>
    <s v="37364256"/>
    <n v="0"/>
    <n v="0"/>
    <x v="2"/>
    <n v="0"/>
    <n v="0"/>
    <n v="0"/>
    <n v="0"/>
    <n v="0"/>
    <n v="0"/>
    <n v="0"/>
  </r>
  <r>
    <n v="3"/>
    <x v="1"/>
    <x v="277"/>
    <x v="15"/>
    <x v="23"/>
    <x v="26"/>
    <x v="46"/>
    <x v="46"/>
    <n v="1"/>
    <s v="34836508"/>
    <n v="1"/>
    <n v="1"/>
    <x v="16"/>
    <n v="0"/>
    <n v="1"/>
    <n v="0"/>
    <n v="1"/>
    <n v="0"/>
    <n v="0"/>
    <n v="0"/>
  </r>
  <r>
    <n v="3"/>
    <x v="1"/>
    <x v="277"/>
    <x v="15"/>
    <x v="23"/>
    <x v="26"/>
    <x v="46"/>
    <x v="46"/>
    <n v="1"/>
    <s v="37190379"/>
    <n v="1"/>
    <n v="1"/>
    <x v="16"/>
    <n v="0"/>
    <n v="1"/>
    <n v="0"/>
    <n v="1"/>
    <n v="0"/>
    <n v="0"/>
    <n v="0"/>
  </r>
  <r>
    <n v="3"/>
    <x v="1"/>
    <x v="278"/>
    <x v="16"/>
    <x v="24"/>
    <x v="15"/>
    <x v="2"/>
    <x v="2"/>
    <n v="1"/>
    <s v="35344588"/>
    <n v="0"/>
    <n v="0"/>
    <x v="2"/>
    <n v="0"/>
    <n v="0"/>
    <n v="0"/>
    <n v="0"/>
    <n v="0"/>
    <n v="0"/>
    <n v="0"/>
  </r>
  <r>
    <n v="9"/>
    <x v="7"/>
    <x v="279"/>
    <x v="26"/>
    <x v="13"/>
    <x v="11"/>
    <x v="40"/>
    <x v="40"/>
    <n v="1"/>
    <s v="0390050000684049220102"/>
    <n v="1"/>
    <n v="1"/>
    <x v="11"/>
    <n v="0"/>
    <n v="1"/>
    <n v="0"/>
    <n v="1"/>
    <n v="0"/>
    <n v="0"/>
    <n v="0"/>
  </r>
  <r>
    <n v="9"/>
    <x v="7"/>
    <x v="280"/>
    <x v="26"/>
    <x v="13"/>
    <x v="10"/>
    <x v="2"/>
    <x v="2"/>
    <n v="1"/>
    <s v="0390050000684231500102"/>
    <n v="1"/>
    <n v="1"/>
    <x v="11"/>
    <n v="0"/>
    <n v="1"/>
    <n v="0"/>
    <n v="1"/>
    <n v="0"/>
    <n v="0"/>
    <n v="0"/>
  </r>
  <r>
    <n v="9"/>
    <x v="7"/>
    <x v="281"/>
    <x v="19"/>
    <x v="29"/>
    <x v="11"/>
    <x v="40"/>
    <x v="40"/>
    <n v="1"/>
    <s v="0260591808174337008712"/>
    <n v="1"/>
    <n v="1"/>
    <x v="11"/>
    <n v="0"/>
    <n v="1"/>
    <n v="0"/>
    <n v="1"/>
    <n v="0"/>
    <n v="0"/>
    <n v="0"/>
  </r>
  <r>
    <n v="9"/>
    <x v="7"/>
    <x v="282"/>
    <x v="19"/>
    <x v="29"/>
    <x v="10"/>
    <x v="40"/>
    <x v="40"/>
    <n v="1"/>
    <s v="0180711808170665007049"/>
    <n v="1"/>
    <n v="1"/>
    <x v="11"/>
    <n v="0"/>
    <n v="1"/>
    <n v="0"/>
    <n v="1"/>
    <n v="0"/>
    <n v="0"/>
    <n v="0"/>
  </r>
  <r>
    <n v="9"/>
    <x v="7"/>
    <x v="283"/>
    <x v="19"/>
    <x v="29"/>
    <x v="10"/>
    <x v="135"/>
    <x v="135"/>
    <n v="1"/>
    <s v="0390050000684582490101"/>
    <n v="1"/>
    <n v="1"/>
    <x v="11"/>
    <n v="0"/>
    <n v="1"/>
    <n v="0"/>
    <n v="1"/>
    <n v="0"/>
    <n v="0"/>
    <n v="0"/>
  </r>
  <r>
    <n v="9"/>
    <x v="7"/>
    <x v="284"/>
    <x v="19"/>
    <x v="30"/>
    <x v="8"/>
    <x v="40"/>
    <x v="40"/>
    <n v="1"/>
    <s v="0390050000684985780102"/>
    <n v="1"/>
    <n v="1"/>
    <x v="12"/>
    <n v="0"/>
    <n v="1"/>
    <n v="0"/>
    <n v="1"/>
    <n v="0"/>
    <n v="0"/>
    <n v="0"/>
  </r>
  <r>
    <n v="9"/>
    <x v="7"/>
    <x v="285"/>
    <x v="19"/>
    <x v="30"/>
    <x v="8"/>
    <x v="40"/>
    <x v="40"/>
    <n v="1"/>
    <s v="0140341808180920011570"/>
    <n v="1"/>
    <n v="1"/>
    <x v="12"/>
    <n v="0"/>
    <n v="1"/>
    <n v="0"/>
    <n v="1"/>
    <n v="0"/>
    <n v="0"/>
    <n v="0"/>
  </r>
  <r>
    <n v="9"/>
    <x v="7"/>
    <x v="285"/>
    <x v="19"/>
    <x v="30"/>
    <x v="8"/>
    <x v="40"/>
    <x v="40"/>
    <n v="1"/>
    <s v="0260601808189886013310"/>
    <n v="1"/>
    <n v="1"/>
    <x v="12"/>
    <n v="0"/>
    <n v="1"/>
    <n v="0"/>
    <n v="1"/>
    <n v="0"/>
    <n v="0"/>
    <n v="0"/>
  </r>
  <r>
    <n v="9"/>
    <x v="7"/>
    <x v="285"/>
    <x v="19"/>
    <x v="30"/>
    <x v="8"/>
    <x v="40"/>
    <x v="40"/>
    <n v="1"/>
    <s v="0850021808187028006074"/>
    <n v="1"/>
    <n v="1"/>
    <x v="12"/>
    <n v="0"/>
    <n v="1"/>
    <n v="0"/>
    <n v="1"/>
    <n v="0"/>
    <n v="0"/>
    <n v="0"/>
  </r>
  <r>
    <n v="9"/>
    <x v="7"/>
    <x v="286"/>
    <x v="19"/>
    <x v="42"/>
    <x v="11"/>
    <x v="136"/>
    <x v="136"/>
    <n v="1"/>
    <s v="0390050000685231230101"/>
    <n v="1"/>
    <n v="1"/>
    <x v="13"/>
    <n v="0"/>
    <n v="1"/>
    <n v="0"/>
    <n v="1"/>
    <n v="0"/>
    <n v="0"/>
    <n v="0"/>
  </r>
  <r>
    <n v="9"/>
    <x v="7"/>
    <x v="286"/>
    <x v="19"/>
    <x v="42"/>
    <x v="11"/>
    <x v="125"/>
    <x v="125"/>
    <n v="1"/>
    <s v="0390050000685308350101"/>
    <n v="1"/>
    <n v="1"/>
    <x v="13"/>
    <n v="0"/>
    <n v="1"/>
    <n v="0"/>
    <n v="1"/>
    <n v="0"/>
    <n v="0"/>
    <n v="0"/>
  </r>
  <r>
    <n v="9"/>
    <x v="7"/>
    <x v="287"/>
    <x v="19"/>
    <x v="42"/>
    <x v="8"/>
    <x v="40"/>
    <x v="40"/>
    <n v="1"/>
    <s v="0880501808193465017157"/>
    <n v="1"/>
    <n v="1"/>
    <x v="12"/>
    <n v="0"/>
    <n v="1"/>
    <n v="0"/>
    <n v="1"/>
    <n v="0"/>
    <n v="0"/>
    <n v="0"/>
  </r>
  <r>
    <n v="9"/>
    <x v="7"/>
    <x v="288"/>
    <x v="19"/>
    <x v="42"/>
    <x v="10"/>
    <x v="60"/>
    <x v="60"/>
    <n v="1"/>
    <s v="0390050000685376050101"/>
    <n v="1"/>
    <n v="1"/>
    <x v="11"/>
    <n v="0"/>
    <n v="1"/>
    <n v="0"/>
    <n v="1"/>
    <n v="0"/>
    <n v="0"/>
    <n v="0"/>
  </r>
  <r>
    <n v="9"/>
    <x v="7"/>
    <x v="288"/>
    <x v="19"/>
    <x v="42"/>
    <x v="11"/>
    <x v="4"/>
    <x v="4"/>
    <n v="1"/>
    <s v="0390050000685381830101"/>
    <n v="1"/>
    <n v="1"/>
    <x v="13"/>
    <n v="0"/>
    <n v="1"/>
    <n v="0"/>
    <n v="1"/>
    <n v="0"/>
    <n v="0"/>
    <n v="0"/>
  </r>
  <r>
    <n v="9"/>
    <x v="7"/>
    <x v="288"/>
    <x v="19"/>
    <x v="42"/>
    <x v="11"/>
    <x v="2"/>
    <x v="2"/>
    <n v="1"/>
    <s v="0570731808199788010069"/>
    <n v="1"/>
    <n v="1"/>
    <x v="13"/>
    <n v="0"/>
    <n v="1"/>
    <n v="0"/>
    <n v="1"/>
    <n v="0"/>
    <n v="0"/>
    <n v="0"/>
  </r>
  <r>
    <n v="9"/>
    <x v="7"/>
    <x v="288"/>
    <x v="19"/>
    <x v="42"/>
    <x v="11"/>
    <x v="46"/>
    <x v="46"/>
    <n v="1"/>
    <s v="0390050000685365730101"/>
    <n v="1"/>
    <n v="1"/>
    <x v="13"/>
    <n v="0"/>
    <n v="1"/>
    <n v="0"/>
    <n v="1"/>
    <n v="0"/>
    <n v="0"/>
    <n v="0"/>
  </r>
  <r>
    <n v="9"/>
    <x v="7"/>
    <x v="288"/>
    <x v="19"/>
    <x v="42"/>
    <x v="11"/>
    <x v="37"/>
    <x v="37"/>
    <n v="1"/>
    <s v="0990301808194799000506"/>
    <n v="1"/>
    <n v="1"/>
    <x v="13"/>
    <n v="0"/>
    <n v="1"/>
    <n v="0"/>
    <n v="1"/>
    <n v="0"/>
    <n v="0"/>
    <n v="0"/>
  </r>
  <r>
    <n v="9"/>
    <x v="7"/>
    <x v="289"/>
    <x v="19"/>
    <x v="42"/>
    <x v="11"/>
    <x v="110"/>
    <x v="110"/>
    <n v="1"/>
    <s v="0980431808193007006406"/>
    <n v="1"/>
    <n v="1"/>
    <x v="13"/>
    <n v="0"/>
    <n v="1"/>
    <n v="0"/>
    <n v="1"/>
    <n v="0"/>
    <n v="0"/>
    <n v="0"/>
  </r>
  <r>
    <n v="9"/>
    <x v="7"/>
    <x v="289"/>
    <x v="19"/>
    <x v="42"/>
    <x v="11"/>
    <x v="110"/>
    <x v="110"/>
    <n v="1"/>
    <s v="0980431808193007006407"/>
    <n v="1"/>
    <n v="1"/>
    <x v="13"/>
    <n v="0"/>
    <n v="1"/>
    <n v="0"/>
    <n v="1"/>
    <n v="0"/>
    <n v="0"/>
    <n v="0"/>
  </r>
  <r>
    <n v="9"/>
    <x v="7"/>
    <x v="290"/>
    <x v="19"/>
    <x v="42"/>
    <x v="11"/>
    <x v="137"/>
    <x v="137"/>
    <n v="1"/>
    <s v="0390050000685441220101"/>
    <n v="1"/>
    <n v="1"/>
    <x v="13"/>
    <n v="0"/>
    <n v="1"/>
    <n v="0"/>
    <n v="1"/>
    <n v="0"/>
    <n v="0"/>
    <n v="0"/>
  </r>
  <r>
    <n v="9"/>
    <x v="7"/>
    <x v="290"/>
    <x v="19"/>
    <x v="42"/>
    <x v="11"/>
    <x v="133"/>
    <x v="133"/>
    <n v="2"/>
    <s v="0390050000685422840101"/>
    <n v="2"/>
    <n v="2"/>
    <x v="13"/>
    <n v="0"/>
    <n v="2"/>
    <n v="0"/>
    <n v="2"/>
    <n v="0"/>
    <n v="0"/>
    <n v="0"/>
  </r>
  <r>
    <n v="9"/>
    <x v="7"/>
    <x v="291"/>
    <x v="19"/>
    <x v="31"/>
    <x v="10"/>
    <x v="110"/>
    <x v="110"/>
    <n v="1"/>
    <s v="0390050000685545090101"/>
    <n v="1"/>
    <n v="1"/>
    <x v="11"/>
    <n v="0"/>
    <n v="1"/>
    <n v="0"/>
    <n v="1"/>
    <n v="0"/>
    <n v="0"/>
    <n v="0"/>
  </r>
  <r>
    <n v="9"/>
    <x v="7"/>
    <x v="292"/>
    <x v="20"/>
    <x v="31"/>
    <x v="11"/>
    <x v="124"/>
    <x v="124"/>
    <n v="1"/>
    <s v="0390050000685667990101"/>
    <n v="1"/>
    <n v="1"/>
    <x v="13"/>
    <n v="0"/>
    <n v="1"/>
    <n v="0"/>
    <n v="1"/>
    <n v="0"/>
    <n v="0"/>
    <n v="0"/>
  </r>
  <r>
    <n v="9"/>
    <x v="7"/>
    <x v="292"/>
    <x v="20"/>
    <x v="31"/>
    <x v="11"/>
    <x v="82"/>
    <x v="82"/>
    <n v="1"/>
    <s v="0390050000685688830101"/>
    <n v="1"/>
    <n v="1"/>
    <x v="13"/>
    <n v="0"/>
    <n v="1"/>
    <n v="0"/>
    <n v="1"/>
    <n v="0"/>
    <n v="0"/>
    <n v="0"/>
  </r>
  <r>
    <n v="9"/>
    <x v="7"/>
    <x v="293"/>
    <x v="20"/>
    <x v="31"/>
    <x v="12"/>
    <x v="40"/>
    <x v="40"/>
    <n v="1"/>
    <s v="0040331808200063015973"/>
    <n v="1"/>
    <n v="1"/>
    <x v="18"/>
    <n v="0"/>
    <n v="1"/>
    <n v="0"/>
    <n v="1"/>
    <n v="0"/>
    <n v="0"/>
    <n v="0"/>
  </r>
  <r>
    <n v="9"/>
    <x v="7"/>
    <x v="294"/>
    <x v="20"/>
    <x v="31"/>
    <x v="12"/>
    <x v="40"/>
    <x v="40"/>
    <n v="1"/>
    <s v="0390050000685717100102"/>
    <n v="1"/>
    <n v="1"/>
    <x v="18"/>
    <n v="0"/>
    <n v="1"/>
    <n v="0"/>
    <n v="1"/>
    <n v="0"/>
    <n v="0"/>
    <n v="0"/>
  </r>
  <r>
    <n v="9"/>
    <x v="7"/>
    <x v="295"/>
    <x v="20"/>
    <x v="31"/>
    <x v="10"/>
    <x v="124"/>
    <x v="124"/>
    <n v="1"/>
    <s v="0390050000685724160101"/>
    <n v="1"/>
    <n v="1"/>
    <x v="11"/>
    <n v="0"/>
    <n v="1"/>
    <n v="0"/>
    <n v="1"/>
    <n v="0"/>
    <n v="0"/>
    <n v="0"/>
  </r>
  <r>
    <n v="9"/>
    <x v="7"/>
    <x v="295"/>
    <x v="20"/>
    <x v="31"/>
    <x v="11"/>
    <x v="46"/>
    <x v="46"/>
    <n v="1"/>
    <s v="0390050000685752460101"/>
    <n v="1"/>
    <n v="1"/>
    <x v="13"/>
    <n v="0"/>
    <n v="1"/>
    <n v="0"/>
    <n v="1"/>
    <n v="0"/>
    <n v="0"/>
    <n v="0"/>
  </r>
  <r>
    <n v="9"/>
    <x v="7"/>
    <x v="296"/>
    <x v="20"/>
    <x v="31"/>
    <x v="11"/>
    <x v="138"/>
    <x v="138"/>
    <n v="1"/>
    <s v="0090051808200156002904"/>
    <n v="1"/>
    <n v="1"/>
    <x v="13"/>
    <n v="0"/>
    <n v="1"/>
    <n v="0"/>
    <n v="1"/>
    <n v="0"/>
    <n v="0"/>
    <n v="0"/>
  </r>
  <r>
    <n v="9"/>
    <x v="7"/>
    <x v="297"/>
    <x v="20"/>
    <x v="31"/>
    <x v="10"/>
    <x v="60"/>
    <x v="60"/>
    <n v="1"/>
    <s v="0390050000685869280101"/>
    <n v="1"/>
    <n v="1"/>
    <x v="11"/>
    <n v="0"/>
    <n v="1"/>
    <n v="0"/>
    <n v="1"/>
    <n v="0"/>
    <n v="0"/>
    <n v="0"/>
  </r>
  <r>
    <n v="9"/>
    <x v="7"/>
    <x v="298"/>
    <x v="20"/>
    <x v="31"/>
    <x v="11"/>
    <x v="110"/>
    <x v="110"/>
    <n v="2"/>
    <s v="0390050000685898320101"/>
    <n v="2"/>
    <n v="2"/>
    <x v="13"/>
    <n v="0"/>
    <n v="2"/>
    <n v="0"/>
    <n v="2"/>
    <n v="0"/>
    <n v="0"/>
    <n v="0"/>
  </r>
  <r>
    <n v="9"/>
    <x v="7"/>
    <x v="299"/>
    <x v="20"/>
    <x v="31"/>
    <x v="12"/>
    <x v="40"/>
    <x v="40"/>
    <n v="1"/>
    <s v="0790161808206159008135"/>
    <n v="1"/>
    <n v="1"/>
    <x v="18"/>
    <n v="0"/>
    <n v="1"/>
    <n v="0"/>
    <n v="1"/>
    <n v="0"/>
    <n v="0"/>
    <n v="0"/>
  </r>
  <r>
    <n v="9"/>
    <x v="7"/>
    <x v="300"/>
    <x v="20"/>
    <x v="41"/>
    <x v="8"/>
    <x v="60"/>
    <x v="60"/>
    <n v="1"/>
    <s v="0390050000685972910101"/>
    <n v="1"/>
    <n v="1"/>
    <x v="12"/>
    <n v="0"/>
    <n v="1"/>
    <n v="0"/>
    <n v="1"/>
    <n v="0"/>
    <n v="0"/>
    <n v="0"/>
  </r>
  <r>
    <n v="9"/>
    <x v="7"/>
    <x v="300"/>
    <x v="20"/>
    <x v="41"/>
    <x v="10"/>
    <x v="139"/>
    <x v="139"/>
    <n v="1"/>
    <s v="0390050000686030320101"/>
    <n v="1"/>
    <n v="1"/>
    <x v="11"/>
    <n v="0"/>
    <n v="1"/>
    <n v="0"/>
    <n v="1"/>
    <n v="0"/>
    <n v="0"/>
    <n v="0"/>
  </r>
  <r>
    <n v="9"/>
    <x v="7"/>
    <x v="300"/>
    <x v="20"/>
    <x v="41"/>
    <x v="11"/>
    <x v="137"/>
    <x v="137"/>
    <n v="1"/>
    <s v="0390050000685993630106"/>
    <n v="1"/>
    <n v="1"/>
    <x v="13"/>
    <n v="0"/>
    <n v="1"/>
    <n v="0"/>
    <n v="1"/>
    <n v="0"/>
    <n v="0"/>
    <n v="0"/>
  </r>
  <r>
    <n v="9"/>
    <x v="7"/>
    <x v="300"/>
    <x v="20"/>
    <x v="31"/>
    <x v="10"/>
    <x v="2"/>
    <x v="2"/>
    <n v="1"/>
    <s v="0880501808203514017189"/>
    <n v="1"/>
    <n v="1"/>
    <x v="11"/>
    <n v="0"/>
    <n v="1"/>
    <n v="0"/>
    <n v="1"/>
    <n v="0"/>
    <n v="0"/>
    <n v="0"/>
  </r>
  <r>
    <n v="9"/>
    <x v="7"/>
    <x v="300"/>
    <x v="20"/>
    <x v="41"/>
    <x v="11"/>
    <x v="125"/>
    <x v="125"/>
    <n v="1"/>
    <s v="0390050000685989090101"/>
    <n v="1"/>
    <n v="1"/>
    <x v="13"/>
    <n v="0"/>
    <n v="1"/>
    <n v="0"/>
    <n v="1"/>
    <n v="0"/>
    <n v="0"/>
    <n v="0"/>
  </r>
  <r>
    <n v="9"/>
    <x v="7"/>
    <x v="301"/>
    <x v="21"/>
    <x v="41"/>
    <x v="10"/>
    <x v="37"/>
    <x v="37"/>
    <n v="1"/>
    <s v="0390050000686060540101"/>
    <n v="1"/>
    <n v="1"/>
    <x v="11"/>
    <n v="0"/>
    <n v="1"/>
    <n v="0"/>
    <n v="1"/>
    <n v="0"/>
    <n v="0"/>
    <n v="0"/>
  </r>
  <r>
    <n v="9"/>
    <x v="7"/>
    <x v="302"/>
    <x v="21"/>
    <x v="41"/>
    <x v="10"/>
    <x v="80"/>
    <x v="80"/>
    <n v="1"/>
    <s v="0390050000686112020101"/>
    <n v="1"/>
    <n v="1"/>
    <x v="11"/>
    <n v="0"/>
    <n v="1"/>
    <n v="0"/>
    <n v="1"/>
    <n v="0"/>
    <n v="0"/>
    <n v="0"/>
  </r>
  <r>
    <n v="9"/>
    <x v="7"/>
    <x v="303"/>
    <x v="21"/>
    <x v="41"/>
    <x v="10"/>
    <x v="125"/>
    <x v="125"/>
    <n v="1"/>
    <s v="0390050000685930820101"/>
    <n v="1"/>
    <n v="1"/>
    <x v="11"/>
    <n v="0"/>
    <n v="1"/>
    <n v="0"/>
    <n v="1"/>
    <n v="0"/>
    <n v="0"/>
    <n v="0"/>
  </r>
  <r>
    <n v="9"/>
    <x v="7"/>
    <x v="304"/>
    <x v="21"/>
    <x v="41"/>
    <x v="10"/>
    <x v="37"/>
    <x v="37"/>
    <n v="1"/>
    <s v="0040391808213755000623"/>
    <n v="1"/>
    <n v="1"/>
    <x v="11"/>
    <n v="0"/>
    <n v="1"/>
    <n v="0"/>
    <n v="1"/>
    <n v="0"/>
    <n v="0"/>
    <n v="0"/>
  </r>
  <r>
    <n v="9"/>
    <x v="7"/>
    <x v="305"/>
    <x v="21"/>
    <x v="41"/>
    <x v="10"/>
    <x v="125"/>
    <x v="125"/>
    <n v="1"/>
    <s v="0390050000686214630101"/>
    <n v="1"/>
    <n v="1"/>
    <x v="11"/>
    <n v="0"/>
    <n v="1"/>
    <n v="0"/>
    <n v="1"/>
    <n v="0"/>
    <n v="0"/>
    <n v="0"/>
  </r>
  <r>
    <n v="9"/>
    <x v="7"/>
    <x v="306"/>
    <x v="21"/>
    <x v="41"/>
    <x v="10"/>
    <x v="2"/>
    <x v="2"/>
    <n v="1"/>
    <s v="0390050000686260870101"/>
    <n v="1"/>
    <n v="1"/>
    <x v="11"/>
    <n v="0"/>
    <n v="1"/>
    <n v="0"/>
    <n v="1"/>
    <n v="0"/>
    <n v="0"/>
    <n v="0"/>
  </r>
  <r>
    <n v="9"/>
    <x v="7"/>
    <x v="306"/>
    <x v="21"/>
    <x v="41"/>
    <x v="10"/>
    <x v="1"/>
    <x v="1"/>
    <n v="1"/>
    <s v="0390050000686265710101"/>
    <n v="1"/>
    <n v="1"/>
    <x v="11"/>
    <n v="0"/>
    <n v="1"/>
    <n v="0"/>
    <n v="1"/>
    <n v="0"/>
    <n v="0"/>
    <n v="0"/>
  </r>
  <r>
    <n v="9"/>
    <x v="7"/>
    <x v="307"/>
    <x v="10"/>
    <x v="18"/>
    <x v="4"/>
    <x v="140"/>
    <x v="140"/>
    <n v="1"/>
    <s v="0390050000692897010101"/>
    <n v="1"/>
    <n v="1"/>
    <x v="5"/>
    <n v="0"/>
    <n v="1"/>
    <n v="0"/>
    <n v="1"/>
    <n v="0"/>
    <n v="0"/>
    <n v="0"/>
  </r>
  <r>
    <n v="9"/>
    <x v="7"/>
    <x v="308"/>
    <x v="10"/>
    <x v="18"/>
    <x v="2"/>
    <x v="2"/>
    <x v="2"/>
    <n v="1"/>
    <s v="0390050000692912600101"/>
    <n v="1"/>
    <n v="1"/>
    <x v="3"/>
    <n v="0"/>
    <n v="1"/>
    <n v="0"/>
    <n v="1"/>
    <n v="0"/>
    <n v="0"/>
    <n v="0"/>
  </r>
  <r>
    <n v="9"/>
    <x v="7"/>
    <x v="308"/>
    <x v="10"/>
    <x v="18"/>
    <x v="2"/>
    <x v="63"/>
    <x v="63"/>
    <n v="1"/>
    <s v="0390050000692918200101"/>
    <n v="1"/>
    <n v="1"/>
    <x v="3"/>
    <n v="0"/>
    <n v="1"/>
    <n v="0"/>
    <n v="1"/>
    <n v="0"/>
    <n v="0"/>
    <n v="0"/>
  </r>
  <r>
    <n v="9"/>
    <x v="7"/>
    <x v="309"/>
    <x v="10"/>
    <x v="18"/>
    <x v="13"/>
    <x v="1"/>
    <x v="1"/>
    <n v="1"/>
    <s v="0390050000692937940101"/>
    <n v="1"/>
    <n v="1"/>
    <x v="14"/>
    <n v="0"/>
    <n v="1"/>
    <n v="0"/>
    <n v="1"/>
    <n v="0"/>
    <n v="0"/>
    <n v="0"/>
  </r>
  <r>
    <n v="9"/>
    <x v="7"/>
    <x v="310"/>
    <x v="10"/>
    <x v="18"/>
    <x v="13"/>
    <x v="2"/>
    <x v="2"/>
    <n v="1"/>
    <s v="0390050000692995790101"/>
    <n v="1"/>
    <n v="1"/>
    <x v="14"/>
    <n v="0"/>
    <n v="1"/>
    <n v="0"/>
    <n v="1"/>
    <n v="0"/>
    <n v="0"/>
    <n v="0"/>
  </r>
  <r>
    <n v="9"/>
    <x v="7"/>
    <x v="311"/>
    <x v="10"/>
    <x v="18"/>
    <x v="13"/>
    <x v="32"/>
    <x v="32"/>
    <n v="1"/>
    <s v="0390050000693069770101"/>
    <n v="1"/>
    <n v="1"/>
    <x v="14"/>
    <n v="0"/>
    <n v="1"/>
    <n v="0"/>
    <n v="1"/>
    <n v="0"/>
    <n v="0"/>
    <n v="0"/>
  </r>
  <r>
    <n v="9"/>
    <x v="7"/>
    <x v="312"/>
    <x v="10"/>
    <x v="18"/>
    <x v="13"/>
    <x v="113"/>
    <x v="113"/>
    <n v="1"/>
    <s v="0390050000693134950101"/>
    <n v="1"/>
    <n v="1"/>
    <x v="14"/>
    <n v="0"/>
    <n v="1"/>
    <n v="0"/>
    <n v="1"/>
    <n v="0"/>
    <n v="0"/>
    <n v="0"/>
  </r>
  <r>
    <n v="9"/>
    <x v="7"/>
    <x v="313"/>
    <x v="10"/>
    <x v="18"/>
    <x v="13"/>
    <x v="124"/>
    <x v="124"/>
    <n v="1"/>
    <s v="0390050000693122980101"/>
    <n v="1"/>
    <n v="1"/>
    <x v="14"/>
    <n v="0"/>
    <n v="1"/>
    <n v="0"/>
    <n v="1"/>
    <n v="0"/>
    <n v="0"/>
    <n v="0"/>
  </r>
  <r>
    <n v="9"/>
    <x v="7"/>
    <x v="313"/>
    <x v="10"/>
    <x v="19"/>
    <x v="13"/>
    <x v="137"/>
    <x v="137"/>
    <n v="1"/>
    <s v="0390050000693191540101"/>
    <n v="1"/>
    <n v="1"/>
    <x v="14"/>
    <n v="0"/>
    <n v="1"/>
    <n v="0"/>
    <n v="1"/>
    <n v="0"/>
    <n v="0"/>
    <n v="0"/>
  </r>
  <r>
    <n v="9"/>
    <x v="7"/>
    <x v="313"/>
    <x v="10"/>
    <x v="19"/>
    <x v="16"/>
    <x v="48"/>
    <x v="48"/>
    <n v="1"/>
    <s v="0390050000693207240101"/>
    <n v="1"/>
    <n v="1"/>
    <x v="17"/>
    <n v="0"/>
    <n v="1"/>
    <n v="0"/>
    <n v="1"/>
    <n v="0"/>
    <n v="0"/>
    <n v="0"/>
  </r>
  <r>
    <n v="9"/>
    <x v="7"/>
    <x v="314"/>
    <x v="13"/>
    <x v="19"/>
    <x v="13"/>
    <x v="40"/>
    <x v="40"/>
    <n v="1"/>
    <s v="0390050000692734210103"/>
    <n v="1"/>
    <n v="1"/>
    <x v="14"/>
    <n v="0"/>
    <n v="1"/>
    <n v="0"/>
    <n v="1"/>
    <n v="0"/>
    <n v="0"/>
    <n v="0"/>
  </r>
  <r>
    <n v="9"/>
    <x v="7"/>
    <x v="315"/>
    <x v="13"/>
    <x v="19"/>
    <x v="2"/>
    <x v="68"/>
    <x v="68"/>
    <n v="1"/>
    <s v="0390050000693504280102"/>
    <n v="1"/>
    <n v="1"/>
    <x v="3"/>
    <n v="0"/>
    <n v="1"/>
    <n v="0"/>
    <n v="1"/>
    <n v="0"/>
    <n v="0"/>
    <n v="0"/>
  </r>
  <r>
    <n v="9"/>
    <x v="7"/>
    <x v="315"/>
    <x v="13"/>
    <x v="19"/>
    <x v="13"/>
    <x v="2"/>
    <x v="2"/>
    <n v="1"/>
    <s v="0390050000693492390101"/>
    <n v="1"/>
    <n v="1"/>
    <x v="14"/>
    <n v="0"/>
    <n v="1"/>
    <n v="0"/>
    <n v="1"/>
    <n v="0"/>
    <n v="0"/>
    <n v="0"/>
  </r>
  <r>
    <n v="9"/>
    <x v="7"/>
    <x v="315"/>
    <x v="13"/>
    <x v="19"/>
    <x v="13"/>
    <x v="141"/>
    <x v="141"/>
    <n v="1"/>
    <s v="0390050000693360580101"/>
    <n v="1"/>
    <n v="1"/>
    <x v="14"/>
    <n v="0"/>
    <n v="1"/>
    <n v="0"/>
    <n v="1"/>
    <n v="0"/>
    <n v="0"/>
    <n v="0"/>
  </r>
  <r>
    <n v="9"/>
    <x v="7"/>
    <x v="316"/>
    <x v="13"/>
    <x v="19"/>
    <x v="13"/>
    <x v="2"/>
    <x v="2"/>
    <n v="1"/>
    <s v="0390050000693559760101"/>
    <n v="1"/>
    <n v="1"/>
    <x v="14"/>
    <n v="0"/>
    <n v="1"/>
    <n v="0"/>
    <n v="1"/>
    <n v="0"/>
    <n v="0"/>
    <n v="0"/>
  </r>
  <r>
    <n v="9"/>
    <x v="7"/>
    <x v="316"/>
    <x v="13"/>
    <x v="19"/>
    <x v="25"/>
    <x v="54"/>
    <x v="54"/>
    <n v="1"/>
    <s v="0390050000693544380101"/>
    <n v="1"/>
    <n v="1"/>
    <x v="28"/>
    <n v="0"/>
    <n v="1"/>
    <n v="0"/>
    <n v="1"/>
    <n v="0"/>
    <n v="0"/>
    <n v="0"/>
  </r>
  <r>
    <n v="9"/>
    <x v="7"/>
    <x v="316"/>
    <x v="13"/>
    <x v="19"/>
    <x v="8"/>
    <x v="5"/>
    <x v="5"/>
    <n v="1"/>
    <s v="0450451808297930013502"/>
    <n v="1"/>
    <n v="1"/>
    <x v="12"/>
    <n v="0"/>
    <n v="1"/>
    <n v="0"/>
    <n v="1"/>
    <n v="0"/>
    <n v="0"/>
    <n v="0"/>
  </r>
  <r>
    <n v="9"/>
    <x v="7"/>
    <x v="317"/>
    <x v="13"/>
    <x v="19"/>
    <x v="2"/>
    <x v="69"/>
    <x v="69"/>
    <n v="1"/>
    <s v="0390050000693596560101"/>
    <n v="1"/>
    <n v="1"/>
    <x v="3"/>
    <n v="0"/>
    <n v="1"/>
    <n v="0"/>
    <n v="1"/>
    <n v="0"/>
    <n v="0"/>
    <n v="0"/>
  </r>
  <r>
    <n v="9"/>
    <x v="7"/>
    <x v="317"/>
    <x v="13"/>
    <x v="19"/>
    <x v="13"/>
    <x v="46"/>
    <x v="46"/>
    <n v="1"/>
    <s v="0390050000693581460101"/>
    <n v="1"/>
    <n v="1"/>
    <x v="14"/>
    <n v="0"/>
    <n v="1"/>
    <n v="0"/>
    <n v="1"/>
    <n v="0"/>
    <n v="0"/>
    <n v="0"/>
  </r>
  <r>
    <n v="9"/>
    <x v="7"/>
    <x v="317"/>
    <x v="13"/>
    <x v="19"/>
    <x v="13"/>
    <x v="37"/>
    <x v="37"/>
    <n v="1"/>
    <s v="0140181808290263009900"/>
    <n v="1"/>
    <n v="1"/>
    <x v="14"/>
    <n v="0"/>
    <n v="1"/>
    <n v="0"/>
    <n v="1"/>
    <n v="0"/>
    <n v="0"/>
    <n v="0"/>
  </r>
  <r>
    <n v="9"/>
    <x v="7"/>
    <x v="318"/>
    <x v="13"/>
    <x v="19"/>
    <x v="12"/>
    <x v="46"/>
    <x v="46"/>
    <n v="1"/>
    <s v="0390050000693629520101"/>
    <n v="1"/>
    <n v="1"/>
    <x v="18"/>
    <n v="0"/>
    <n v="1"/>
    <n v="0"/>
    <n v="1"/>
    <n v="0"/>
    <n v="0"/>
    <n v="0"/>
  </r>
  <r>
    <n v="9"/>
    <x v="7"/>
    <x v="319"/>
    <x v="13"/>
    <x v="19"/>
    <x v="13"/>
    <x v="142"/>
    <x v="142"/>
    <n v="1"/>
    <s v="0390050000693729160101"/>
    <n v="1"/>
    <n v="1"/>
    <x v="14"/>
    <n v="0"/>
    <n v="1"/>
    <n v="0"/>
    <n v="1"/>
    <n v="0"/>
    <n v="0"/>
    <n v="0"/>
  </r>
  <r>
    <n v="9"/>
    <x v="7"/>
    <x v="320"/>
    <x v="13"/>
    <x v="19"/>
    <x v="13"/>
    <x v="2"/>
    <x v="2"/>
    <n v="1"/>
    <s v="0390050000693733480101"/>
    <n v="1"/>
    <n v="1"/>
    <x v="14"/>
    <n v="0"/>
    <n v="1"/>
    <n v="0"/>
    <n v="1"/>
    <n v="0"/>
    <n v="0"/>
    <n v="0"/>
  </r>
  <r>
    <n v="9"/>
    <x v="7"/>
    <x v="321"/>
    <x v="13"/>
    <x v="37"/>
    <x v="13"/>
    <x v="46"/>
    <x v="46"/>
    <n v="1"/>
    <s v="0390050000693804760101"/>
    <n v="1"/>
    <n v="1"/>
    <x v="14"/>
    <n v="0"/>
    <n v="1"/>
    <n v="0"/>
    <n v="1"/>
    <n v="0"/>
    <n v="0"/>
    <n v="0"/>
  </r>
  <r>
    <n v="9"/>
    <x v="7"/>
    <x v="321"/>
    <x v="13"/>
    <x v="37"/>
    <x v="13"/>
    <x v="46"/>
    <x v="46"/>
    <n v="1"/>
    <s v="0390050000693832550101"/>
    <n v="1"/>
    <n v="1"/>
    <x v="14"/>
    <n v="0"/>
    <n v="1"/>
    <n v="0"/>
    <n v="1"/>
    <n v="0"/>
    <n v="0"/>
    <n v="0"/>
  </r>
  <r>
    <n v="9"/>
    <x v="7"/>
    <x v="321"/>
    <x v="13"/>
    <x v="37"/>
    <x v="25"/>
    <x v="27"/>
    <x v="27"/>
    <n v="1"/>
    <s v="0390050000693911100101"/>
    <n v="1"/>
    <n v="1"/>
    <x v="28"/>
    <n v="0"/>
    <n v="1"/>
    <n v="0"/>
    <n v="1"/>
    <n v="0"/>
    <n v="0"/>
    <n v="0"/>
  </r>
  <r>
    <n v="9"/>
    <x v="7"/>
    <x v="321"/>
    <x v="13"/>
    <x v="37"/>
    <x v="13"/>
    <x v="63"/>
    <x v="63"/>
    <n v="1"/>
    <s v="0390050000693912190101"/>
    <n v="1"/>
    <n v="1"/>
    <x v="14"/>
    <n v="0"/>
    <n v="1"/>
    <n v="0"/>
    <n v="1"/>
    <n v="0"/>
    <n v="0"/>
    <n v="0"/>
  </r>
  <r>
    <n v="9"/>
    <x v="7"/>
    <x v="322"/>
    <x v="25"/>
    <x v="37"/>
    <x v="2"/>
    <x v="137"/>
    <x v="137"/>
    <n v="1"/>
    <s v="0390050000693238100101"/>
    <n v="1"/>
    <n v="1"/>
    <x v="3"/>
    <n v="0"/>
    <n v="1"/>
    <n v="0"/>
    <n v="1"/>
    <n v="0"/>
    <n v="0"/>
    <n v="0"/>
  </r>
  <r>
    <n v="9"/>
    <x v="7"/>
    <x v="323"/>
    <x v="25"/>
    <x v="37"/>
    <x v="13"/>
    <x v="75"/>
    <x v="75"/>
    <n v="1"/>
    <s v="0390050000694012220103"/>
    <n v="1"/>
    <n v="1"/>
    <x v="14"/>
    <n v="0"/>
    <n v="1"/>
    <n v="0"/>
    <n v="1"/>
    <n v="0"/>
    <n v="0"/>
    <n v="0"/>
  </r>
  <r>
    <n v="9"/>
    <x v="7"/>
    <x v="324"/>
    <x v="25"/>
    <x v="37"/>
    <x v="13"/>
    <x v="28"/>
    <x v="28"/>
    <n v="1"/>
    <s v="0390050000694132500101"/>
    <n v="1"/>
    <n v="1"/>
    <x v="14"/>
    <n v="0"/>
    <n v="1"/>
    <n v="0"/>
    <n v="1"/>
    <n v="0"/>
    <n v="0"/>
    <n v="0"/>
  </r>
  <r>
    <n v="9"/>
    <x v="7"/>
    <x v="325"/>
    <x v="25"/>
    <x v="37"/>
    <x v="13"/>
    <x v="64"/>
    <x v="64"/>
    <n v="1"/>
    <s v="0390050000694220060101"/>
    <n v="1"/>
    <n v="1"/>
    <x v="14"/>
    <n v="0"/>
    <n v="1"/>
    <n v="0"/>
    <n v="1"/>
    <n v="0"/>
    <n v="0"/>
    <n v="0"/>
  </r>
  <r>
    <n v="9"/>
    <x v="7"/>
    <x v="326"/>
    <x v="25"/>
    <x v="37"/>
    <x v="4"/>
    <x v="60"/>
    <x v="60"/>
    <n v="1"/>
    <s v="0390050000694263390102"/>
    <n v="1"/>
    <n v="1"/>
    <x v="5"/>
    <n v="0"/>
    <n v="1"/>
    <n v="0"/>
    <n v="1"/>
    <n v="0"/>
    <n v="0"/>
    <n v="0"/>
  </r>
  <r>
    <n v="9"/>
    <x v="7"/>
    <x v="327"/>
    <x v="25"/>
    <x v="37"/>
    <x v="25"/>
    <x v="27"/>
    <x v="27"/>
    <n v="1"/>
    <s v="0390050000694331390101"/>
    <n v="1"/>
    <n v="1"/>
    <x v="28"/>
    <n v="0"/>
    <n v="1"/>
    <n v="0"/>
    <n v="1"/>
    <n v="0"/>
    <n v="0"/>
    <n v="0"/>
  </r>
  <r>
    <n v="9"/>
    <x v="7"/>
    <x v="328"/>
    <x v="25"/>
    <x v="38"/>
    <x v="4"/>
    <x v="2"/>
    <x v="2"/>
    <n v="1"/>
    <s v="0390050000694401040102"/>
    <n v="1"/>
    <n v="1"/>
    <x v="5"/>
    <n v="0"/>
    <n v="1"/>
    <n v="0"/>
    <n v="1"/>
    <n v="0"/>
    <n v="0"/>
    <n v="0"/>
  </r>
  <r>
    <n v="9"/>
    <x v="7"/>
    <x v="329"/>
    <x v="0"/>
    <x v="38"/>
    <x v="4"/>
    <x v="60"/>
    <x v="60"/>
    <n v="1"/>
    <s v="0390050000694594210101"/>
    <n v="1"/>
    <n v="1"/>
    <x v="5"/>
    <n v="0"/>
    <n v="1"/>
    <n v="0"/>
    <n v="1"/>
    <n v="0"/>
    <n v="0"/>
    <n v="0"/>
  </r>
  <r>
    <n v="9"/>
    <x v="7"/>
    <x v="329"/>
    <x v="0"/>
    <x v="38"/>
    <x v="2"/>
    <x v="69"/>
    <x v="69"/>
    <n v="1"/>
    <s v="0390050000694556430101"/>
    <n v="1"/>
    <n v="1"/>
    <x v="3"/>
    <n v="0"/>
    <n v="1"/>
    <n v="0"/>
    <n v="1"/>
    <n v="0"/>
    <n v="0"/>
    <n v="0"/>
  </r>
  <r>
    <n v="9"/>
    <x v="7"/>
    <x v="329"/>
    <x v="0"/>
    <x v="38"/>
    <x v="2"/>
    <x v="17"/>
    <x v="17"/>
    <n v="1"/>
    <s v="0390050000694556930102"/>
    <n v="1"/>
    <n v="1"/>
    <x v="3"/>
    <n v="0"/>
    <n v="1"/>
    <n v="0"/>
    <n v="1"/>
    <n v="0"/>
    <n v="0"/>
    <n v="0"/>
  </r>
  <r>
    <n v="9"/>
    <x v="7"/>
    <x v="330"/>
    <x v="0"/>
    <x v="38"/>
    <x v="2"/>
    <x v="28"/>
    <x v="28"/>
    <n v="1"/>
    <s v="0390050000694622350101"/>
    <n v="1"/>
    <n v="1"/>
    <x v="3"/>
    <n v="0"/>
    <n v="1"/>
    <n v="0"/>
    <n v="1"/>
    <n v="0"/>
    <n v="0"/>
    <n v="0"/>
  </r>
  <r>
    <n v="9"/>
    <x v="7"/>
    <x v="331"/>
    <x v="0"/>
    <x v="38"/>
    <x v="2"/>
    <x v="80"/>
    <x v="80"/>
    <n v="1"/>
    <s v="0390050000694634810101"/>
    <n v="1"/>
    <n v="1"/>
    <x v="3"/>
    <n v="0"/>
    <n v="1"/>
    <n v="0"/>
    <n v="1"/>
    <n v="0"/>
    <n v="0"/>
    <n v="0"/>
  </r>
  <r>
    <n v="9"/>
    <x v="7"/>
    <x v="332"/>
    <x v="0"/>
    <x v="38"/>
    <x v="2"/>
    <x v="46"/>
    <x v="46"/>
    <n v="1"/>
    <s v="0390050000694702060101"/>
    <n v="1"/>
    <n v="1"/>
    <x v="3"/>
    <n v="0"/>
    <n v="1"/>
    <n v="0"/>
    <n v="1"/>
    <n v="0"/>
    <n v="0"/>
    <n v="0"/>
  </r>
  <r>
    <n v="9"/>
    <x v="7"/>
    <x v="333"/>
    <x v="0"/>
    <x v="38"/>
    <x v="2"/>
    <x v="40"/>
    <x v="40"/>
    <n v="1"/>
    <s v="0390050000694671340101"/>
    <n v="1"/>
    <n v="1"/>
    <x v="3"/>
    <n v="0"/>
    <n v="1"/>
    <n v="0"/>
    <n v="1"/>
    <n v="0"/>
    <n v="0"/>
    <n v="0"/>
  </r>
  <r>
    <n v="9"/>
    <x v="7"/>
    <x v="333"/>
    <x v="0"/>
    <x v="38"/>
    <x v="3"/>
    <x v="40"/>
    <x v="40"/>
    <n v="1"/>
    <s v="0880501808313740017239"/>
    <n v="1"/>
    <n v="1"/>
    <x v="15"/>
    <n v="0"/>
    <n v="1"/>
    <n v="0"/>
    <n v="1"/>
    <n v="0"/>
    <n v="0"/>
    <n v="0"/>
  </r>
  <r>
    <n v="9"/>
    <x v="7"/>
    <x v="334"/>
    <x v="0"/>
    <x v="38"/>
    <x v="2"/>
    <x v="87"/>
    <x v="87"/>
    <n v="1"/>
    <s v="0390050000694713660101"/>
    <n v="1"/>
    <n v="1"/>
    <x v="3"/>
    <n v="0"/>
    <n v="1"/>
    <n v="0"/>
    <n v="1"/>
    <n v="0"/>
    <n v="0"/>
    <n v="0"/>
  </r>
  <r>
    <n v="9"/>
    <x v="7"/>
    <x v="335"/>
    <x v="2"/>
    <x v="3"/>
    <x v="25"/>
    <x v="2"/>
    <x v="2"/>
    <n v="1"/>
    <s v="0390050000697115460101"/>
    <n v="1"/>
    <n v="1"/>
    <x v="28"/>
    <n v="0"/>
    <n v="1"/>
    <n v="0"/>
    <n v="1"/>
    <n v="0"/>
    <n v="0"/>
    <n v="0"/>
  </r>
  <r>
    <n v="9"/>
    <x v="7"/>
    <x v="336"/>
    <x v="3"/>
    <x v="4"/>
    <x v="25"/>
    <x v="2"/>
    <x v="2"/>
    <n v="1"/>
    <s v="0390050000697254930101"/>
    <n v="1"/>
    <n v="1"/>
    <x v="28"/>
    <n v="0"/>
    <n v="1"/>
    <n v="0"/>
    <n v="1"/>
    <n v="0"/>
    <n v="0"/>
    <n v="0"/>
  </r>
  <r>
    <n v="9"/>
    <x v="7"/>
    <x v="337"/>
    <x v="3"/>
    <x v="4"/>
    <x v="25"/>
    <x v="64"/>
    <x v="64"/>
    <n v="1"/>
    <s v="0390050000697573640101"/>
    <n v="1"/>
    <n v="1"/>
    <x v="28"/>
    <n v="0"/>
    <n v="1"/>
    <n v="0"/>
    <n v="1"/>
    <n v="0"/>
    <n v="0"/>
    <n v="0"/>
  </r>
  <r>
    <n v="9"/>
    <x v="7"/>
    <x v="338"/>
    <x v="3"/>
    <x v="4"/>
    <x v="3"/>
    <x v="14"/>
    <x v="14"/>
    <n v="1"/>
    <s v="0390050000693967000101"/>
    <n v="1"/>
    <n v="1"/>
    <x v="15"/>
    <n v="0"/>
    <n v="1"/>
    <n v="0"/>
    <n v="1"/>
    <n v="0"/>
    <n v="0"/>
    <n v="0"/>
  </r>
  <r>
    <n v="9"/>
    <x v="7"/>
    <x v="338"/>
    <x v="3"/>
    <x v="4"/>
    <x v="25"/>
    <x v="137"/>
    <x v="137"/>
    <n v="1"/>
    <s v="0390050000697674880101"/>
    <n v="1"/>
    <n v="1"/>
    <x v="28"/>
    <n v="0"/>
    <n v="1"/>
    <n v="0"/>
    <n v="1"/>
    <n v="0"/>
    <n v="0"/>
    <n v="0"/>
  </r>
  <r>
    <n v="9"/>
    <x v="7"/>
    <x v="338"/>
    <x v="3"/>
    <x v="4"/>
    <x v="16"/>
    <x v="140"/>
    <x v="140"/>
    <n v="1"/>
    <s v="0390050000697758990101"/>
    <n v="1"/>
    <n v="1"/>
    <x v="17"/>
    <n v="0"/>
    <n v="1"/>
    <n v="0"/>
    <n v="1"/>
    <n v="0"/>
    <n v="0"/>
    <n v="0"/>
  </r>
  <r>
    <n v="9"/>
    <x v="7"/>
    <x v="339"/>
    <x v="3"/>
    <x v="4"/>
    <x v="3"/>
    <x v="97"/>
    <x v="97"/>
    <n v="1"/>
    <s v="0390050000697850080101"/>
    <n v="1"/>
    <n v="1"/>
    <x v="15"/>
    <n v="0"/>
    <n v="1"/>
    <n v="0"/>
    <n v="1"/>
    <n v="0"/>
    <n v="0"/>
    <n v="0"/>
  </r>
  <r>
    <n v="9"/>
    <x v="7"/>
    <x v="339"/>
    <x v="3"/>
    <x v="4"/>
    <x v="25"/>
    <x v="49"/>
    <x v="49"/>
    <n v="1"/>
    <s v="0390050000697875570103"/>
    <n v="1"/>
    <n v="1"/>
    <x v="28"/>
    <n v="0"/>
    <n v="1"/>
    <n v="0"/>
    <n v="1"/>
    <n v="0"/>
    <n v="0"/>
    <n v="0"/>
  </r>
  <r>
    <n v="9"/>
    <x v="7"/>
    <x v="339"/>
    <x v="3"/>
    <x v="4"/>
    <x v="3"/>
    <x v="46"/>
    <x v="46"/>
    <n v="1"/>
    <s v="0390050000697219240103"/>
    <n v="1"/>
    <n v="1"/>
    <x v="15"/>
    <n v="0"/>
    <n v="1"/>
    <n v="0"/>
    <n v="1"/>
    <n v="0"/>
    <n v="0"/>
    <n v="0"/>
  </r>
  <r>
    <n v="9"/>
    <x v="7"/>
    <x v="339"/>
    <x v="3"/>
    <x v="4"/>
    <x v="25"/>
    <x v="46"/>
    <x v="46"/>
    <n v="1"/>
    <s v="0390050000697834900101"/>
    <n v="1"/>
    <n v="1"/>
    <x v="28"/>
    <n v="0"/>
    <n v="1"/>
    <n v="0"/>
    <n v="1"/>
    <n v="0"/>
    <n v="0"/>
    <n v="0"/>
  </r>
  <r>
    <n v="9"/>
    <x v="7"/>
    <x v="339"/>
    <x v="3"/>
    <x v="4"/>
    <x v="16"/>
    <x v="50"/>
    <x v="50"/>
    <n v="1"/>
    <s v="0390050000697330370101"/>
    <n v="1"/>
    <n v="1"/>
    <x v="17"/>
    <n v="0"/>
    <n v="1"/>
    <n v="0"/>
    <n v="1"/>
    <n v="0"/>
    <n v="0"/>
    <n v="0"/>
  </r>
  <r>
    <n v="9"/>
    <x v="7"/>
    <x v="340"/>
    <x v="3"/>
    <x v="4"/>
    <x v="25"/>
    <x v="77"/>
    <x v="77"/>
    <n v="1"/>
    <s v="0390050000697944130101"/>
    <n v="1"/>
    <n v="1"/>
    <x v="28"/>
    <n v="0"/>
    <n v="1"/>
    <n v="0"/>
    <n v="1"/>
    <n v="0"/>
    <n v="0"/>
    <n v="0"/>
  </r>
  <r>
    <n v="9"/>
    <x v="7"/>
    <x v="341"/>
    <x v="3"/>
    <x v="4"/>
    <x v="15"/>
    <x v="32"/>
    <x v="32"/>
    <n v="1"/>
    <s v="0390050000697905340101"/>
    <n v="1"/>
    <n v="1"/>
    <x v="15"/>
    <n v="0"/>
    <n v="1"/>
    <n v="0"/>
    <n v="1"/>
    <n v="0"/>
    <n v="0"/>
    <n v="0"/>
  </r>
  <r>
    <n v="9"/>
    <x v="7"/>
    <x v="341"/>
    <x v="3"/>
    <x v="4"/>
    <x v="25"/>
    <x v="64"/>
    <x v="64"/>
    <n v="1"/>
    <s v="0390050000697993910101"/>
    <n v="1"/>
    <n v="1"/>
    <x v="28"/>
    <n v="0"/>
    <n v="1"/>
    <n v="0"/>
    <n v="1"/>
    <n v="0"/>
    <n v="0"/>
    <n v="0"/>
  </r>
  <r>
    <n v="9"/>
    <x v="7"/>
    <x v="342"/>
    <x v="3"/>
    <x v="4"/>
    <x v="25"/>
    <x v="114"/>
    <x v="114"/>
    <n v="1"/>
    <s v="0390050000697999230101"/>
    <n v="1"/>
    <n v="1"/>
    <x v="28"/>
    <n v="0"/>
    <n v="1"/>
    <n v="0"/>
    <n v="1"/>
    <n v="0"/>
    <n v="0"/>
    <n v="0"/>
  </r>
  <r>
    <n v="9"/>
    <x v="7"/>
    <x v="343"/>
    <x v="3"/>
    <x v="4"/>
    <x v="3"/>
    <x v="49"/>
    <x v="49"/>
    <n v="1"/>
    <s v="0390050000698106430101"/>
    <n v="1"/>
    <n v="1"/>
    <x v="15"/>
    <n v="0"/>
    <n v="1"/>
    <n v="0"/>
    <n v="1"/>
    <n v="0"/>
    <n v="0"/>
    <n v="0"/>
  </r>
  <r>
    <n v="9"/>
    <x v="7"/>
    <x v="344"/>
    <x v="3"/>
    <x v="39"/>
    <x v="25"/>
    <x v="97"/>
    <x v="97"/>
    <n v="1"/>
    <s v="0390050000698263730101"/>
    <n v="1"/>
    <n v="1"/>
    <x v="28"/>
    <n v="0"/>
    <n v="1"/>
    <n v="0"/>
    <n v="1"/>
    <n v="0"/>
    <n v="0"/>
    <n v="0"/>
  </r>
  <r>
    <n v="9"/>
    <x v="7"/>
    <x v="344"/>
    <x v="3"/>
    <x v="39"/>
    <x v="3"/>
    <x v="2"/>
    <x v="2"/>
    <n v="1"/>
    <s v="0390050000698359000101"/>
    <n v="1"/>
    <n v="1"/>
    <x v="15"/>
    <n v="0"/>
    <n v="1"/>
    <n v="0"/>
    <n v="1"/>
    <n v="0"/>
    <n v="0"/>
    <n v="0"/>
  </r>
  <r>
    <n v="9"/>
    <x v="7"/>
    <x v="344"/>
    <x v="3"/>
    <x v="39"/>
    <x v="25"/>
    <x v="2"/>
    <x v="2"/>
    <n v="1"/>
    <s v="0390050000698409420101"/>
    <n v="1"/>
    <n v="1"/>
    <x v="28"/>
    <n v="0"/>
    <n v="1"/>
    <n v="0"/>
    <n v="1"/>
    <n v="0"/>
    <n v="0"/>
    <n v="0"/>
  </r>
  <r>
    <n v="9"/>
    <x v="7"/>
    <x v="345"/>
    <x v="4"/>
    <x v="39"/>
    <x v="25"/>
    <x v="37"/>
    <x v="37"/>
    <n v="1"/>
    <s v="0390050000700006020101"/>
    <n v="1"/>
    <n v="1"/>
    <x v="28"/>
    <n v="0"/>
    <n v="1"/>
    <n v="0"/>
    <n v="1"/>
    <n v="0"/>
    <n v="0"/>
    <n v="0"/>
  </r>
  <r>
    <n v="9"/>
    <x v="7"/>
    <x v="346"/>
    <x v="4"/>
    <x v="39"/>
    <x v="15"/>
    <x v="60"/>
    <x v="60"/>
    <n v="1"/>
    <s v="0260591809064846008917"/>
    <n v="1"/>
    <n v="1"/>
    <x v="15"/>
    <n v="0"/>
    <n v="1"/>
    <n v="0"/>
    <n v="1"/>
    <n v="0"/>
    <n v="0"/>
    <n v="0"/>
  </r>
  <r>
    <n v="9"/>
    <x v="7"/>
    <x v="347"/>
    <x v="4"/>
    <x v="39"/>
    <x v="4"/>
    <x v="5"/>
    <x v="5"/>
    <n v="1"/>
    <s v="0390050000701277060102"/>
    <n v="1"/>
    <n v="1"/>
    <x v="5"/>
    <n v="0"/>
    <n v="1"/>
    <n v="0"/>
    <n v="1"/>
    <n v="0"/>
    <n v="0"/>
    <n v="0"/>
  </r>
  <r>
    <n v="9"/>
    <x v="7"/>
    <x v="348"/>
    <x v="4"/>
    <x v="39"/>
    <x v="25"/>
    <x v="110"/>
    <x v="110"/>
    <n v="1"/>
    <s v="0390050000701439470102"/>
    <n v="1"/>
    <n v="1"/>
    <x v="28"/>
    <n v="0"/>
    <n v="1"/>
    <n v="0"/>
    <n v="1"/>
    <n v="0"/>
    <n v="0"/>
    <n v="0"/>
  </r>
  <r>
    <n v="9"/>
    <x v="7"/>
    <x v="349"/>
    <x v="4"/>
    <x v="39"/>
    <x v="25"/>
    <x v="11"/>
    <x v="11"/>
    <n v="1"/>
    <s v="0390050000701421280102"/>
    <n v="1"/>
    <n v="1"/>
    <x v="28"/>
    <n v="0"/>
    <n v="1"/>
    <n v="0"/>
    <n v="1"/>
    <n v="0"/>
    <n v="0"/>
    <n v="0"/>
  </r>
  <r>
    <n v="9"/>
    <x v="7"/>
    <x v="350"/>
    <x v="4"/>
    <x v="39"/>
    <x v="25"/>
    <x v="114"/>
    <x v="114"/>
    <n v="1"/>
    <s v="0390050000701464610101"/>
    <n v="1"/>
    <n v="1"/>
    <x v="28"/>
    <n v="0"/>
    <n v="1"/>
    <n v="0"/>
    <n v="1"/>
    <n v="0"/>
    <n v="0"/>
    <n v="0"/>
  </r>
  <r>
    <n v="9"/>
    <x v="7"/>
    <x v="351"/>
    <x v="4"/>
    <x v="39"/>
    <x v="15"/>
    <x v="60"/>
    <x v="60"/>
    <n v="1"/>
    <s v="0390050000701482980101"/>
    <n v="1"/>
    <n v="1"/>
    <x v="15"/>
    <n v="0"/>
    <n v="1"/>
    <n v="0"/>
    <n v="1"/>
    <n v="0"/>
    <n v="0"/>
    <n v="0"/>
  </r>
  <r>
    <n v="9"/>
    <x v="7"/>
    <x v="352"/>
    <x v="4"/>
    <x v="39"/>
    <x v="25"/>
    <x v="90"/>
    <x v="90"/>
    <n v="1"/>
    <s v="0390050000701514700101"/>
    <n v="1"/>
    <n v="1"/>
    <x v="28"/>
    <n v="0"/>
    <n v="1"/>
    <n v="0"/>
    <n v="1"/>
    <n v="0"/>
    <n v="0"/>
    <n v="0"/>
  </r>
  <r>
    <n v="9"/>
    <x v="7"/>
    <x v="353"/>
    <x v="4"/>
    <x v="39"/>
    <x v="3"/>
    <x v="110"/>
    <x v="110"/>
    <n v="1"/>
    <s v="0980471809064437004608"/>
    <n v="1"/>
    <n v="1"/>
    <x v="15"/>
    <n v="0"/>
    <n v="1"/>
    <n v="0"/>
    <n v="1"/>
    <n v="0"/>
    <n v="0"/>
    <n v="0"/>
  </r>
  <r>
    <n v="9"/>
    <x v="7"/>
    <x v="354"/>
    <x v="4"/>
    <x v="39"/>
    <x v="15"/>
    <x v="60"/>
    <x v="60"/>
    <n v="1"/>
    <s v="0390050000701560780101"/>
    <n v="1"/>
    <n v="1"/>
    <x v="15"/>
    <n v="0"/>
    <n v="1"/>
    <n v="0"/>
    <n v="1"/>
    <n v="0"/>
    <n v="0"/>
    <n v="0"/>
  </r>
  <r>
    <n v="9"/>
    <x v="7"/>
    <x v="354"/>
    <x v="4"/>
    <x v="20"/>
    <x v="15"/>
    <x v="60"/>
    <x v="60"/>
    <n v="1"/>
    <s v="0390050000701600390101"/>
    <n v="1"/>
    <n v="1"/>
    <x v="15"/>
    <n v="0"/>
    <n v="1"/>
    <n v="0"/>
    <n v="1"/>
    <n v="0"/>
    <n v="0"/>
    <n v="0"/>
  </r>
  <r>
    <n v="9"/>
    <x v="7"/>
    <x v="354"/>
    <x v="4"/>
    <x v="20"/>
    <x v="3"/>
    <x v="4"/>
    <x v="4"/>
    <n v="1"/>
    <s v="0390050000701723510101"/>
    <n v="1"/>
    <n v="1"/>
    <x v="15"/>
    <n v="0"/>
    <n v="1"/>
    <n v="0"/>
    <n v="1"/>
    <n v="0"/>
    <n v="0"/>
    <n v="0"/>
  </r>
  <r>
    <n v="9"/>
    <x v="7"/>
    <x v="354"/>
    <x v="4"/>
    <x v="39"/>
    <x v="3"/>
    <x v="2"/>
    <x v="2"/>
    <n v="1"/>
    <s v="0390050000701571530101"/>
    <n v="1"/>
    <n v="1"/>
    <x v="15"/>
    <n v="0"/>
    <n v="1"/>
    <n v="0"/>
    <n v="1"/>
    <n v="0"/>
    <n v="0"/>
    <n v="0"/>
  </r>
  <r>
    <n v="9"/>
    <x v="7"/>
    <x v="354"/>
    <x v="4"/>
    <x v="20"/>
    <x v="3"/>
    <x v="2"/>
    <x v="2"/>
    <n v="1"/>
    <s v="0390050000701605850101"/>
    <n v="1"/>
    <n v="1"/>
    <x v="15"/>
    <n v="0"/>
    <n v="1"/>
    <n v="0"/>
    <n v="1"/>
    <n v="0"/>
    <n v="0"/>
    <n v="0"/>
  </r>
  <r>
    <n v="9"/>
    <x v="7"/>
    <x v="354"/>
    <x v="4"/>
    <x v="20"/>
    <x v="3"/>
    <x v="2"/>
    <x v="2"/>
    <n v="1"/>
    <s v="0390050000701668910101"/>
    <n v="1"/>
    <n v="1"/>
    <x v="15"/>
    <n v="0"/>
    <n v="1"/>
    <n v="0"/>
    <n v="1"/>
    <n v="0"/>
    <n v="0"/>
    <n v="0"/>
  </r>
  <r>
    <n v="9"/>
    <x v="7"/>
    <x v="354"/>
    <x v="4"/>
    <x v="39"/>
    <x v="25"/>
    <x v="125"/>
    <x v="125"/>
    <n v="1"/>
    <s v="0390050000701566460101"/>
    <n v="1"/>
    <n v="1"/>
    <x v="28"/>
    <n v="0"/>
    <n v="1"/>
    <n v="0"/>
    <n v="1"/>
    <n v="0"/>
    <n v="0"/>
    <n v="0"/>
  </r>
  <r>
    <n v="9"/>
    <x v="7"/>
    <x v="354"/>
    <x v="4"/>
    <x v="20"/>
    <x v="3"/>
    <x v="110"/>
    <x v="110"/>
    <n v="1"/>
    <s v="0390050000701634210101"/>
    <n v="1"/>
    <n v="1"/>
    <x v="15"/>
    <n v="0"/>
    <n v="1"/>
    <n v="0"/>
    <n v="1"/>
    <n v="0"/>
    <n v="0"/>
    <n v="0"/>
  </r>
  <r>
    <n v="9"/>
    <x v="7"/>
    <x v="354"/>
    <x v="4"/>
    <x v="20"/>
    <x v="3"/>
    <x v="5"/>
    <x v="5"/>
    <n v="1"/>
    <s v="0390050000701684740101"/>
    <n v="1"/>
    <n v="1"/>
    <x v="15"/>
    <n v="0"/>
    <n v="1"/>
    <n v="0"/>
    <n v="1"/>
    <n v="0"/>
    <n v="0"/>
    <n v="0"/>
  </r>
  <r>
    <n v="9"/>
    <x v="7"/>
    <x v="355"/>
    <x v="14"/>
    <x v="20"/>
    <x v="15"/>
    <x v="60"/>
    <x v="60"/>
    <n v="1"/>
    <s v="0390050000701785390101"/>
    <n v="1"/>
    <n v="1"/>
    <x v="15"/>
    <n v="0"/>
    <n v="1"/>
    <n v="0"/>
    <n v="1"/>
    <n v="0"/>
    <n v="0"/>
    <n v="0"/>
  </r>
  <r>
    <n v="9"/>
    <x v="7"/>
    <x v="356"/>
    <x v="14"/>
    <x v="20"/>
    <x v="3"/>
    <x v="32"/>
    <x v="32"/>
    <n v="1"/>
    <s v="0390050000701859730101"/>
    <n v="1"/>
    <n v="1"/>
    <x v="15"/>
    <n v="0"/>
    <n v="1"/>
    <n v="0"/>
    <n v="1"/>
    <n v="0"/>
    <n v="0"/>
    <n v="0"/>
  </r>
  <r>
    <n v="9"/>
    <x v="7"/>
    <x v="356"/>
    <x v="14"/>
    <x v="20"/>
    <x v="4"/>
    <x v="90"/>
    <x v="90"/>
    <n v="1"/>
    <s v="0390050000701871280101"/>
    <n v="1"/>
    <n v="1"/>
    <x v="28"/>
    <n v="0"/>
    <n v="1"/>
    <n v="0"/>
    <n v="1"/>
    <n v="0"/>
    <n v="0"/>
    <n v="0"/>
  </r>
  <r>
    <n v="9"/>
    <x v="7"/>
    <x v="356"/>
    <x v="14"/>
    <x v="20"/>
    <x v="4"/>
    <x v="5"/>
    <x v="5"/>
    <n v="2"/>
    <s v="0320661809070775001640"/>
    <n v="2"/>
    <n v="2"/>
    <x v="28"/>
    <n v="0"/>
    <n v="2"/>
    <n v="0"/>
    <n v="2"/>
    <n v="0"/>
    <n v="0"/>
    <n v="0"/>
  </r>
  <r>
    <n v="9"/>
    <x v="7"/>
    <x v="357"/>
    <x v="14"/>
    <x v="20"/>
    <x v="3"/>
    <x v="2"/>
    <x v="2"/>
    <n v="1"/>
    <s v="0030121809075091013061"/>
    <n v="1"/>
    <n v="1"/>
    <x v="17"/>
    <n v="1"/>
    <n v="0"/>
    <n v="0"/>
    <n v="0"/>
    <n v="0"/>
    <n v="0"/>
    <n v="0"/>
  </r>
  <r>
    <n v="9"/>
    <x v="7"/>
    <x v="358"/>
    <x v="6"/>
    <x v="5"/>
    <x v="7"/>
    <x v="37"/>
    <x v="37"/>
    <n v="1"/>
    <s v="0450451809158300013604"/>
    <n v="1"/>
    <n v="1"/>
    <x v="7"/>
    <n v="0"/>
    <n v="1"/>
    <n v="0"/>
    <n v="1"/>
    <n v="0"/>
    <n v="0"/>
    <n v="0"/>
  </r>
  <r>
    <n v="9"/>
    <x v="7"/>
    <x v="358"/>
    <x v="6"/>
    <x v="5"/>
    <x v="15"/>
    <x v="5"/>
    <x v="5"/>
    <n v="1"/>
    <s v="0450631809152368007840"/>
    <n v="1"/>
    <n v="1"/>
    <x v="16"/>
    <n v="0"/>
    <n v="1"/>
    <n v="0"/>
    <n v="1"/>
    <n v="0"/>
    <n v="0"/>
    <n v="0"/>
  </r>
  <r>
    <n v="9"/>
    <x v="7"/>
    <x v="359"/>
    <x v="6"/>
    <x v="5"/>
    <x v="15"/>
    <x v="36"/>
    <x v="36"/>
    <n v="1"/>
    <s v="0390050000706591910101"/>
    <n v="1"/>
    <n v="1"/>
    <x v="16"/>
    <n v="0"/>
    <n v="1"/>
    <n v="0"/>
    <n v="1"/>
    <n v="0"/>
    <n v="0"/>
    <n v="0"/>
  </r>
  <r>
    <n v="9"/>
    <x v="7"/>
    <x v="360"/>
    <x v="6"/>
    <x v="5"/>
    <x v="7"/>
    <x v="17"/>
    <x v="17"/>
    <n v="1"/>
    <s v="0390050000706681600101"/>
    <n v="1"/>
    <n v="1"/>
    <x v="7"/>
    <n v="0"/>
    <n v="1"/>
    <n v="0"/>
    <n v="1"/>
    <n v="0"/>
    <n v="0"/>
    <n v="0"/>
  </r>
  <r>
    <n v="9"/>
    <x v="7"/>
    <x v="361"/>
    <x v="6"/>
    <x v="6"/>
    <x v="15"/>
    <x v="143"/>
    <x v="143"/>
    <n v="1"/>
    <s v="0390050000706747350101"/>
    <n v="1"/>
    <n v="1"/>
    <x v="16"/>
    <n v="0"/>
    <n v="1"/>
    <n v="0"/>
    <n v="1"/>
    <n v="0"/>
    <n v="0"/>
    <n v="0"/>
  </r>
  <r>
    <n v="9"/>
    <x v="7"/>
    <x v="362"/>
    <x v="6"/>
    <x v="6"/>
    <x v="15"/>
    <x v="33"/>
    <x v="33"/>
    <n v="1"/>
    <s v="0390050000706699620101"/>
    <n v="1"/>
    <n v="1"/>
    <x v="16"/>
    <n v="0"/>
    <n v="1"/>
    <n v="0"/>
    <n v="1"/>
    <n v="0"/>
    <n v="0"/>
    <n v="0"/>
  </r>
  <r>
    <n v="9"/>
    <x v="7"/>
    <x v="363"/>
    <x v="6"/>
    <x v="6"/>
    <x v="7"/>
    <x v="64"/>
    <x v="64"/>
    <n v="1"/>
    <s v="0390050000706933980101"/>
    <n v="1"/>
    <n v="1"/>
    <x v="7"/>
    <n v="0"/>
    <n v="1"/>
    <n v="0"/>
    <n v="1"/>
    <n v="0"/>
    <n v="0"/>
    <n v="0"/>
  </r>
  <r>
    <n v="9"/>
    <x v="7"/>
    <x v="363"/>
    <x v="6"/>
    <x v="6"/>
    <x v="7"/>
    <x v="111"/>
    <x v="111"/>
    <n v="1"/>
    <s v="0390050000706843230101"/>
    <n v="1"/>
    <n v="1"/>
    <x v="7"/>
    <n v="0"/>
    <n v="1"/>
    <n v="0"/>
    <n v="1"/>
    <n v="0"/>
    <n v="0"/>
    <n v="0"/>
  </r>
  <r>
    <n v="9"/>
    <x v="7"/>
    <x v="364"/>
    <x v="6"/>
    <x v="6"/>
    <x v="7"/>
    <x v="97"/>
    <x v="97"/>
    <n v="1"/>
    <s v="0390050000706974680101"/>
    <n v="1"/>
    <n v="1"/>
    <x v="7"/>
    <n v="0"/>
    <n v="1"/>
    <n v="0"/>
    <n v="1"/>
    <n v="0"/>
    <n v="0"/>
    <n v="0"/>
  </r>
  <r>
    <n v="9"/>
    <x v="7"/>
    <x v="364"/>
    <x v="6"/>
    <x v="6"/>
    <x v="15"/>
    <x v="144"/>
    <x v="144"/>
    <n v="1"/>
    <s v="0390050000706963810101"/>
    <n v="1"/>
    <n v="1"/>
    <x v="16"/>
    <n v="0"/>
    <n v="1"/>
    <n v="0"/>
    <n v="1"/>
    <n v="0"/>
    <n v="0"/>
    <n v="0"/>
  </r>
  <r>
    <n v="9"/>
    <x v="7"/>
    <x v="365"/>
    <x v="6"/>
    <x v="6"/>
    <x v="7"/>
    <x v="14"/>
    <x v="14"/>
    <n v="1"/>
    <s v="0390050000706968560102"/>
    <n v="1"/>
    <n v="1"/>
    <x v="7"/>
    <n v="0"/>
    <n v="1"/>
    <n v="0"/>
    <n v="1"/>
    <n v="0"/>
    <n v="0"/>
    <n v="0"/>
  </r>
  <r>
    <n v="9"/>
    <x v="7"/>
    <x v="366"/>
    <x v="6"/>
    <x v="7"/>
    <x v="15"/>
    <x v="55"/>
    <x v="55"/>
    <n v="1"/>
    <s v="0390050000707153870101"/>
    <n v="1"/>
    <n v="1"/>
    <x v="16"/>
    <n v="0"/>
    <n v="1"/>
    <n v="0"/>
    <n v="1"/>
    <n v="0"/>
    <n v="0"/>
    <n v="0"/>
  </r>
  <r>
    <n v="9"/>
    <x v="7"/>
    <x v="367"/>
    <x v="6"/>
    <x v="7"/>
    <x v="15"/>
    <x v="5"/>
    <x v="5"/>
    <n v="1"/>
    <s v="0320661809171065001683"/>
    <n v="1"/>
    <n v="1"/>
    <x v="16"/>
    <n v="0"/>
    <n v="1"/>
    <n v="0"/>
    <n v="1"/>
    <n v="0"/>
    <n v="0"/>
    <n v="0"/>
  </r>
  <r>
    <n v="9"/>
    <x v="7"/>
    <x v="368"/>
    <x v="6"/>
    <x v="7"/>
    <x v="7"/>
    <x v="57"/>
    <x v="57"/>
    <n v="1"/>
    <s v="0390050000707393610103"/>
    <n v="1"/>
    <n v="1"/>
    <x v="7"/>
    <n v="0"/>
    <n v="1"/>
    <n v="0"/>
    <n v="1"/>
    <n v="0"/>
    <n v="0"/>
    <n v="0"/>
  </r>
  <r>
    <n v="9"/>
    <x v="7"/>
    <x v="369"/>
    <x v="6"/>
    <x v="8"/>
    <x v="15"/>
    <x v="39"/>
    <x v="39"/>
    <n v="1"/>
    <s v="0390050000707471210101"/>
    <n v="1"/>
    <n v="1"/>
    <x v="16"/>
    <n v="0"/>
    <n v="1"/>
    <n v="0"/>
    <n v="1"/>
    <n v="0"/>
    <n v="0"/>
    <n v="0"/>
  </r>
  <r>
    <n v="9"/>
    <x v="7"/>
    <x v="370"/>
    <x v="6"/>
    <x v="8"/>
    <x v="16"/>
    <x v="13"/>
    <x v="13"/>
    <n v="1"/>
    <s v="0390050000707686400102"/>
    <n v="1"/>
    <n v="1"/>
    <x v="17"/>
    <n v="0"/>
    <n v="1"/>
    <n v="0"/>
    <n v="1"/>
    <n v="0"/>
    <n v="0"/>
    <n v="0"/>
  </r>
  <r>
    <n v="9"/>
    <x v="7"/>
    <x v="371"/>
    <x v="6"/>
    <x v="8"/>
    <x v="15"/>
    <x v="144"/>
    <x v="144"/>
    <n v="1"/>
    <s v="0390050000707701800101"/>
    <n v="1"/>
    <n v="1"/>
    <x v="16"/>
    <n v="0"/>
    <n v="1"/>
    <n v="0"/>
    <n v="1"/>
    <n v="0"/>
    <n v="0"/>
    <n v="0"/>
  </r>
  <r>
    <n v="9"/>
    <x v="7"/>
    <x v="372"/>
    <x v="6"/>
    <x v="8"/>
    <x v="15"/>
    <x v="55"/>
    <x v="55"/>
    <n v="1"/>
    <s v="0390050000707761910101"/>
    <n v="1"/>
    <n v="1"/>
    <x v="16"/>
    <n v="0"/>
    <n v="1"/>
    <n v="0"/>
    <n v="1"/>
    <n v="0"/>
    <n v="0"/>
    <n v="0"/>
  </r>
  <r>
    <n v="9"/>
    <x v="7"/>
    <x v="373"/>
    <x v="6"/>
    <x v="9"/>
    <x v="15"/>
    <x v="93"/>
    <x v="93"/>
    <n v="1"/>
    <s v="0390050000708057120101"/>
    <n v="1"/>
    <n v="1"/>
    <x v="16"/>
    <n v="0"/>
    <n v="1"/>
    <n v="0"/>
    <n v="1"/>
    <n v="0"/>
    <n v="0"/>
    <n v="0"/>
  </r>
  <r>
    <n v="9"/>
    <x v="7"/>
    <x v="374"/>
    <x v="7"/>
    <x v="10"/>
    <x v="7"/>
    <x v="64"/>
    <x v="64"/>
    <n v="1"/>
    <s v="0390050000707719640101"/>
    <n v="1"/>
    <n v="1"/>
    <x v="7"/>
    <n v="0"/>
    <n v="1"/>
    <n v="0"/>
    <n v="1"/>
    <n v="0"/>
    <n v="0"/>
    <n v="0"/>
  </r>
  <r>
    <n v="9"/>
    <x v="7"/>
    <x v="374"/>
    <x v="7"/>
    <x v="10"/>
    <x v="7"/>
    <x v="125"/>
    <x v="125"/>
    <n v="1"/>
    <s v="0390050000708185990101"/>
    <n v="1"/>
    <n v="1"/>
    <x v="7"/>
    <n v="0"/>
    <n v="1"/>
    <n v="0"/>
    <n v="1"/>
    <n v="0"/>
    <n v="0"/>
    <n v="0"/>
  </r>
  <r>
    <n v="9"/>
    <x v="7"/>
    <x v="374"/>
    <x v="7"/>
    <x v="9"/>
    <x v="7"/>
    <x v="24"/>
    <x v="24"/>
    <n v="1"/>
    <s v="0390050000708141220102"/>
    <n v="1"/>
    <n v="1"/>
    <x v="7"/>
    <n v="0"/>
    <n v="1"/>
    <n v="0"/>
    <n v="1"/>
    <n v="0"/>
    <n v="0"/>
    <n v="0"/>
  </r>
  <r>
    <n v="9"/>
    <x v="7"/>
    <x v="375"/>
    <x v="7"/>
    <x v="10"/>
    <x v="7"/>
    <x v="114"/>
    <x v="114"/>
    <n v="1"/>
    <s v="0390050000708305740101"/>
    <n v="1"/>
    <n v="1"/>
    <x v="7"/>
    <n v="0"/>
    <n v="1"/>
    <n v="0"/>
    <n v="1"/>
    <n v="0"/>
    <n v="0"/>
    <n v="0"/>
  </r>
  <r>
    <n v="9"/>
    <x v="7"/>
    <x v="376"/>
    <x v="7"/>
    <x v="10"/>
    <x v="7"/>
    <x v="145"/>
    <x v="145"/>
    <n v="1"/>
    <s v="0390050000708442440103"/>
    <n v="1"/>
    <n v="1"/>
    <x v="7"/>
    <n v="0"/>
    <n v="1"/>
    <n v="0"/>
    <n v="1"/>
    <n v="0"/>
    <n v="0"/>
    <n v="0"/>
  </r>
  <r>
    <n v="9"/>
    <x v="7"/>
    <x v="377"/>
    <x v="7"/>
    <x v="10"/>
    <x v="7"/>
    <x v="17"/>
    <x v="17"/>
    <n v="1"/>
    <s v="0070561809203948000921"/>
    <n v="1"/>
    <n v="1"/>
    <x v="7"/>
    <n v="0"/>
    <n v="1"/>
    <n v="0"/>
    <n v="1"/>
    <n v="0"/>
    <n v="0"/>
    <n v="0"/>
  </r>
  <r>
    <n v="9"/>
    <x v="7"/>
    <x v="378"/>
    <x v="7"/>
    <x v="10"/>
    <x v="7"/>
    <x v="32"/>
    <x v="32"/>
    <n v="1"/>
    <s v="0390050000708398760101"/>
    <n v="1"/>
    <n v="1"/>
    <x v="7"/>
    <n v="0"/>
    <n v="1"/>
    <n v="0"/>
    <n v="1"/>
    <n v="0"/>
    <n v="0"/>
    <n v="0"/>
  </r>
  <r>
    <n v="9"/>
    <x v="7"/>
    <x v="379"/>
    <x v="7"/>
    <x v="10"/>
    <x v="7"/>
    <x v="114"/>
    <x v="114"/>
    <n v="1"/>
    <s v="0390050000708620470101"/>
    <n v="1"/>
    <n v="1"/>
    <x v="7"/>
    <n v="0"/>
    <n v="1"/>
    <n v="0"/>
    <n v="1"/>
    <n v="0"/>
    <n v="0"/>
    <n v="0"/>
  </r>
  <r>
    <n v="9"/>
    <x v="7"/>
    <x v="379"/>
    <x v="7"/>
    <x v="11"/>
    <x v="7"/>
    <x v="64"/>
    <x v="64"/>
    <n v="1"/>
    <s v="0390050000708159070101"/>
    <n v="1"/>
    <n v="1"/>
    <x v="7"/>
    <n v="0"/>
    <n v="1"/>
    <n v="0"/>
    <n v="1"/>
    <n v="0"/>
    <n v="0"/>
    <n v="0"/>
  </r>
  <r>
    <n v="9"/>
    <x v="7"/>
    <x v="380"/>
    <x v="8"/>
    <x v="11"/>
    <x v="7"/>
    <x v="69"/>
    <x v="69"/>
    <n v="1"/>
    <s v="0390050000708816330101"/>
    <n v="1"/>
    <n v="1"/>
    <x v="7"/>
    <n v="0"/>
    <n v="1"/>
    <n v="0"/>
    <n v="1"/>
    <n v="0"/>
    <n v="0"/>
    <n v="0"/>
  </r>
  <r>
    <n v="9"/>
    <x v="7"/>
    <x v="381"/>
    <x v="8"/>
    <x v="11"/>
    <x v="7"/>
    <x v="137"/>
    <x v="137"/>
    <n v="1"/>
    <s v="0390050000708840840101"/>
    <n v="1"/>
    <n v="1"/>
    <x v="7"/>
    <n v="0"/>
    <n v="1"/>
    <n v="0"/>
    <n v="1"/>
    <n v="0"/>
    <n v="0"/>
    <n v="0"/>
  </r>
  <r>
    <n v="9"/>
    <x v="7"/>
    <x v="381"/>
    <x v="8"/>
    <x v="11"/>
    <x v="7"/>
    <x v="94"/>
    <x v="94"/>
    <n v="1"/>
    <s v="0390050000708820210101"/>
    <n v="1"/>
    <n v="1"/>
    <x v="7"/>
    <n v="0"/>
    <n v="1"/>
    <n v="0"/>
    <n v="1"/>
    <n v="0"/>
    <n v="0"/>
    <n v="0"/>
  </r>
  <r>
    <n v="9"/>
    <x v="7"/>
    <x v="382"/>
    <x v="8"/>
    <x v="11"/>
    <x v="7"/>
    <x v="37"/>
    <x v="37"/>
    <n v="1"/>
    <s v="0320661809211110001691"/>
    <n v="1"/>
    <n v="1"/>
    <x v="7"/>
    <n v="0"/>
    <n v="1"/>
    <n v="0"/>
    <n v="1"/>
    <n v="0"/>
    <n v="0"/>
    <n v="0"/>
  </r>
  <r>
    <n v="9"/>
    <x v="7"/>
    <x v="382"/>
    <x v="8"/>
    <x v="11"/>
    <x v="7"/>
    <x v="37"/>
    <x v="37"/>
    <n v="1"/>
    <s v="0790161809217184008339"/>
    <n v="1"/>
    <n v="1"/>
    <x v="7"/>
    <n v="0"/>
    <n v="1"/>
    <n v="0"/>
    <n v="1"/>
    <n v="0"/>
    <n v="0"/>
    <n v="0"/>
  </r>
  <r>
    <n v="9"/>
    <x v="7"/>
    <x v="383"/>
    <x v="8"/>
    <x v="11"/>
    <x v="7"/>
    <x v="114"/>
    <x v="114"/>
    <n v="1"/>
    <s v="0390050000708984030102"/>
    <n v="1"/>
    <n v="1"/>
    <x v="7"/>
    <n v="0"/>
    <n v="1"/>
    <n v="0"/>
    <n v="1"/>
    <n v="0"/>
    <n v="0"/>
    <n v="0"/>
  </r>
  <r>
    <n v="9"/>
    <x v="7"/>
    <x v="384"/>
    <x v="8"/>
    <x v="11"/>
    <x v="7"/>
    <x v="37"/>
    <x v="37"/>
    <n v="1"/>
    <s v="0040391809214267000787"/>
    <n v="1"/>
    <n v="1"/>
    <x v="7"/>
    <n v="0"/>
    <n v="1"/>
    <n v="0"/>
    <n v="1"/>
    <n v="0"/>
    <n v="0"/>
    <n v="0"/>
  </r>
  <r>
    <n v="9"/>
    <x v="7"/>
    <x v="385"/>
    <x v="8"/>
    <x v="11"/>
    <x v="7"/>
    <x v="64"/>
    <x v="64"/>
    <n v="1"/>
    <s v="0390050000709027820101"/>
    <n v="1"/>
    <n v="1"/>
    <x v="7"/>
    <n v="0"/>
    <n v="1"/>
    <n v="0"/>
    <n v="1"/>
    <n v="0"/>
    <n v="0"/>
    <n v="0"/>
  </r>
  <r>
    <n v="9"/>
    <x v="7"/>
    <x v="386"/>
    <x v="8"/>
    <x v="34"/>
    <x v="7"/>
    <x v="92"/>
    <x v="92"/>
    <n v="1"/>
    <s v="0390050000709251710101"/>
    <n v="1"/>
    <n v="1"/>
    <x v="7"/>
    <n v="0"/>
    <n v="1"/>
    <n v="0"/>
    <n v="1"/>
    <n v="0"/>
    <n v="0"/>
    <n v="0"/>
  </r>
  <r>
    <n v="9"/>
    <x v="7"/>
    <x v="386"/>
    <x v="8"/>
    <x v="34"/>
    <x v="7"/>
    <x v="146"/>
    <x v="146"/>
    <n v="1"/>
    <s v="0390050000709252950101"/>
    <n v="1"/>
    <n v="1"/>
    <x v="7"/>
    <n v="0"/>
    <n v="1"/>
    <n v="0"/>
    <n v="1"/>
    <n v="0"/>
    <n v="0"/>
    <n v="0"/>
  </r>
  <r>
    <n v="9"/>
    <x v="7"/>
    <x v="387"/>
    <x v="8"/>
    <x v="34"/>
    <x v="7"/>
    <x v="36"/>
    <x v="36"/>
    <n v="1"/>
    <s v="0390050000709284840101"/>
    <n v="1"/>
    <n v="1"/>
    <x v="7"/>
    <n v="0"/>
    <n v="1"/>
    <n v="0"/>
    <n v="1"/>
    <n v="0"/>
    <n v="0"/>
    <n v="0"/>
  </r>
  <r>
    <n v="9"/>
    <x v="7"/>
    <x v="388"/>
    <x v="8"/>
    <x v="34"/>
    <x v="7"/>
    <x v="5"/>
    <x v="5"/>
    <n v="1"/>
    <s v="0760891809221621005994"/>
    <n v="1"/>
    <n v="1"/>
    <x v="7"/>
    <n v="0"/>
    <n v="1"/>
    <n v="0"/>
    <n v="1"/>
    <n v="0"/>
    <n v="0"/>
    <n v="0"/>
  </r>
  <r>
    <n v="9"/>
    <x v="7"/>
    <x v="389"/>
    <x v="8"/>
    <x v="35"/>
    <x v="7"/>
    <x v="147"/>
    <x v="147"/>
    <n v="1"/>
    <s v="0390050000709468150101"/>
    <n v="1"/>
    <n v="1"/>
    <x v="7"/>
    <n v="0"/>
    <n v="1"/>
    <n v="0"/>
    <n v="1"/>
    <n v="0"/>
    <n v="0"/>
    <n v="0"/>
  </r>
  <r>
    <n v="9"/>
    <x v="7"/>
    <x v="390"/>
    <x v="8"/>
    <x v="35"/>
    <x v="7"/>
    <x v="148"/>
    <x v="148"/>
    <n v="1"/>
    <s v="0390050000709580450101"/>
    <n v="1"/>
    <n v="1"/>
    <x v="7"/>
    <n v="0"/>
    <n v="1"/>
    <n v="0"/>
    <n v="1"/>
    <n v="0"/>
    <n v="0"/>
    <n v="0"/>
  </r>
  <r>
    <n v="9"/>
    <x v="7"/>
    <x v="391"/>
    <x v="8"/>
    <x v="35"/>
    <x v="7"/>
    <x v="5"/>
    <x v="5"/>
    <n v="1"/>
    <s v="0390050000709706670101"/>
    <n v="1"/>
    <n v="1"/>
    <x v="7"/>
    <n v="0"/>
    <n v="1"/>
    <n v="0"/>
    <n v="1"/>
    <n v="0"/>
    <n v="0"/>
    <n v="0"/>
  </r>
  <r>
    <n v="9"/>
    <x v="7"/>
    <x v="392"/>
    <x v="15"/>
    <x v="23"/>
    <x v="25"/>
    <x v="55"/>
    <x v="55"/>
    <n v="1"/>
    <s v="0390050000703634730101"/>
    <n v="1"/>
    <n v="1"/>
    <x v="28"/>
    <n v="0"/>
    <n v="1"/>
    <n v="0"/>
    <n v="1"/>
    <n v="0"/>
    <n v="0"/>
    <n v="0"/>
  </r>
  <r>
    <n v="9"/>
    <x v="7"/>
    <x v="393"/>
    <x v="15"/>
    <x v="23"/>
    <x v="15"/>
    <x v="149"/>
    <x v="149"/>
    <n v="1"/>
    <s v="0390050000703596000101"/>
    <n v="1"/>
    <n v="1"/>
    <x v="15"/>
    <n v="0"/>
    <n v="1"/>
    <n v="0"/>
    <n v="1"/>
    <n v="0"/>
    <n v="0"/>
    <n v="0"/>
  </r>
  <r>
    <n v="9"/>
    <x v="7"/>
    <x v="394"/>
    <x v="15"/>
    <x v="23"/>
    <x v="16"/>
    <x v="2"/>
    <x v="2"/>
    <n v="1"/>
    <s v="0390050000695179450101"/>
    <n v="0"/>
    <n v="0"/>
    <x v="2"/>
    <n v="0"/>
    <n v="0"/>
    <n v="0"/>
    <n v="0"/>
    <n v="0"/>
    <n v="0"/>
    <n v="0"/>
  </r>
  <r>
    <n v="9"/>
    <x v="7"/>
    <x v="394"/>
    <x v="15"/>
    <x v="23"/>
    <x v="7"/>
    <x v="68"/>
    <x v="68"/>
    <n v="1"/>
    <s v="0390050000703320110101"/>
    <n v="1"/>
    <n v="1"/>
    <x v="7"/>
    <n v="0"/>
    <n v="1"/>
    <n v="0"/>
    <n v="1"/>
    <n v="0"/>
    <n v="0"/>
    <n v="0"/>
  </r>
  <r>
    <n v="9"/>
    <x v="7"/>
    <x v="394"/>
    <x v="15"/>
    <x v="23"/>
    <x v="25"/>
    <x v="150"/>
    <x v="150"/>
    <n v="1"/>
    <s v="0390050000703702280101"/>
    <n v="1"/>
    <n v="1"/>
    <x v="28"/>
    <n v="0"/>
    <n v="1"/>
    <n v="0"/>
    <n v="1"/>
    <n v="0"/>
    <n v="0"/>
    <n v="0"/>
  </r>
  <r>
    <n v="9"/>
    <x v="7"/>
    <x v="395"/>
    <x v="15"/>
    <x v="23"/>
    <x v="15"/>
    <x v="37"/>
    <x v="37"/>
    <n v="1"/>
    <s v="0690261809103486001946"/>
    <n v="1"/>
    <n v="1"/>
    <x v="15"/>
    <n v="0"/>
    <n v="1"/>
    <n v="0"/>
    <n v="1"/>
    <n v="0"/>
    <n v="0"/>
    <n v="0"/>
  </r>
  <r>
    <n v="9"/>
    <x v="7"/>
    <x v="396"/>
    <x v="15"/>
    <x v="23"/>
    <x v="25"/>
    <x v="143"/>
    <x v="143"/>
    <n v="1"/>
    <s v="0390050000703829640101"/>
    <n v="1"/>
    <n v="1"/>
    <x v="28"/>
    <n v="0"/>
    <n v="1"/>
    <n v="0"/>
    <n v="1"/>
    <n v="0"/>
    <n v="0"/>
    <n v="0"/>
  </r>
  <r>
    <n v="9"/>
    <x v="7"/>
    <x v="397"/>
    <x v="15"/>
    <x v="23"/>
    <x v="3"/>
    <x v="145"/>
    <x v="145"/>
    <n v="1"/>
    <s v="0390050000703881980101"/>
    <n v="1"/>
    <n v="1"/>
    <x v="15"/>
    <n v="0"/>
    <n v="1"/>
    <n v="0"/>
    <n v="1"/>
    <n v="0"/>
    <n v="0"/>
    <n v="0"/>
  </r>
  <r>
    <n v="9"/>
    <x v="7"/>
    <x v="398"/>
    <x v="15"/>
    <x v="24"/>
    <x v="25"/>
    <x v="86"/>
    <x v="86"/>
    <n v="1"/>
    <s v="0390050000704074140101"/>
    <n v="1"/>
    <n v="1"/>
    <x v="28"/>
    <n v="0"/>
    <n v="1"/>
    <n v="0"/>
    <n v="1"/>
    <n v="0"/>
    <n v="0"/>
    <n v="0"/>
  </r>
  <r>
    <n v="9"/>
    <x v="7"/>
    <x v="398"/>
    <x v="15"/>
    <x v="24"/>
    <x v="15"/>
    <x v="92"/>
    <x v="92"/>
    <n v="1"/>
    <s v="0390050000704086460101"/>
    <n v="1"/>
    <n v="1"/>
    <x v="15"/>
    <n v="0"/>
    <n v="1"/>
    <n v="0"/>
    <n v="1"/>
    <n v="0"/>
    <n v="0"/>
    <n v="0"/>
  </r>
  <r>
    <n v="9"/>
    <x v="7"/>
    <x v="399"/>
    <x v="15"/>
    <x v="24"/>
    <x v="15"/>
    <x v="57"/>
    <x v="57"/>
    <n v="1"/>
    <s v="0390050000704008370101"/>
    <n v="1"/>
    <n v="1"/>
    <x v="15"/>
    <n v="0"/>
    <n v="1"/>
    <n v="0"/>
    <n v="1"/>
    <n v="0"/>
    <n v="0"/>
    <n v="0"/>
  </r>
  <r>
    <n v="9"/>
    <x v="7"/>
    <x v="400"/>
    <x v="16"/>
    <x v="24"/>
    <x v="3"/>
    <x v="151"/>
    <x v="151"/>
    <n v="2"/>
    <s v="0390050000704120690101"/>
    <n v="2"/>
    <n v="2"/>
    <x v="15"/>
    <n v="0"/>
    <n v="2"/>
    <n v="0"/>
    <n v="2"/>
    <n v="0"/>
    <n v="0"/>
    <n v="0"/>
  </r>
  <r>
    <n v="9"/>
    <x v="7"/>
    <x v="401"/>
    <x v="16"/>
    <x v="24"/>
    <x v="16"/>
    <x v="110"/>
    <x v="110"/>
    <n v="1"/>
    <s v="0390050000704263160101"/>
    <n v="1"/>
    <n v="1"/>
    <x v="17"/>
    <n v="0"/>
    <n v="1"/>
    <n v="0"/>
    <n v="1"/>
    <n v="0"/>
    <n v="0"/>
    <n v="0"/>
  </r>
  <r>
    <n v="9"/>
    <x v="7"/>
    <x v="402"/>
    <x v="16"/>
    <x v="24"/>
    <x v="3"/>
    <x v="152"/>
    <x v="152"/>
    <n v="1"/>
    <s v="0390050000704321250101"/>
    <n v="1"/>
    <n v="1"/>
    <x v="15"/>
    <n v="0"/>
    <n v="1"/>
    <n v="0"/>
    <n v="1"/>
    <n v="0"/>
    <n v="0"/>
    <n v="0"/>
  </r>
  <r>
    <n v="9"/>
    <x v="7"/>
    <x v="402"/>
    <x v="16"/>
    <x v="24"/>
    <x v="25"/>
    <x v="153"/>
    <x v="153"/>
    <n v="1"/>
    <s v="0390050000704007130101"/>
    <n v="1"/>
    <n v="1"/>
    <x v="15"/>
    <n v="0"/>
    <n v="1"/>
    <n v="0"/>
    <n v="1"/>
    <n v="0"/>
    <n v="0"/>
    <n v="0"/>
  </r>
  <r>
    <n v="9"/>
    <x v="7"/>
    <x v="403"/>
    <x v="16"/>
    <x v="24"/>
    <x v="16"/>
    <x v="46"/>
    <x v="46"/>
    <n v="1"/>
    <s v="0390050000704459290102"/>
    <n v="1"/>
    <n v="1"/>
    <x v="17"/>
    <n v="0"/>
    <n v="1"/>
    <n v="0"/>
    <n v="1"/>
    <n v="0"/>
    <n v="0"/>
    <n v="0"/>
  </r>
  <r>
    <n v="9"/>
    <x v="7"/>
    <x v="404"/>
    <x v="16"/>
    <x v="24"/>
    <x v="15"/>
    <x v="64"/>
    <x v="64"/>
    <n v="1"/>
    <s v="0390050000704469800101"/>
    <n v="1"/>
    <n v="1"/>
    <x v="15"/>
    <n v="0"/>
    <n v="1"/>
    <n v="0"/>
    <n v="1"/>
    <n v="0"/>
    <n v="0"/>
    <n v="0"/>
  </r>
  <r>
    <n v="9"/>
    <x v="7"/>
    <x v="405"/>
    <x v="16"/>
    <x v="24"/>
    <x v="16"/>
    <x v="150"/>
    <x v="150"/>
    <n v="1"/>
    <s v="0390050000704512440101"/>
    <n v="1"/>
    <n v="1"/>
    <x v="17"/>
    <n v="0"/>
    <n v="1"/>
    <n v="0"/>
    <n v="1"/>
    <n v="0"/>
    <n v="0"/>
    <n v="0"/>
  </r>
  <r>
    <n v="9"/>
    <x v="7"/>
    <x v="406"/>
    <x v="16"/>
    <x v="24"/>
    <x v="3"/>
    <x v="90"/>
    <x v="90"/>
    <n v="1"/>
    <s v="0390050000704654800101"/>
    <n v="1"/>
    <n v="1"/>
    <x v="15"/>
    <n v="0"/>
    <n v="1"/>
    <n v="0"/>
    <n v="1"/>
    <n v="0"/>
    <n v="0"/>
    <n v="0"/>
  </r>
  <r>
    <n v="9"/>
    <x v="7"/>
    <x v="406"/>
    <x v="16"/>
    <x v="25"/>
    <x v="25"/>
    <x v="90"/>
    <x v="90"/>
    <n v="1"/>
    <s v="0390050000704725230101"/>
    <n v="1"/>
    <n v="1"/>
    <x v="15"/>
    <n v="0"/>
    <n v="1"/>
    <n v="0"/>
    <n v="1"/>
    <n v="0"/>
    <n v="0"/>
    <n v="0"/>
  </r>
  <r>
    <n v="9"/>
    <x v="7"/>
    <x v="407"/>
    <x v="17"/>
    <x v="25"/>
    <x v="25"/>
    <x v="154"/>
    <x v="154"/>
    <n v="1"/>
    <s v="0390050000704690510101"/>
    <n v="1"/>
    <n v="1"/>
    <x v="15"/>
    <n v="0"/>
    <n v="1"/>
    <n v="0"/>
    <n v="1"/>
    <n v="0"/>
    <n v="0"/>
    <n v="0"/>
  </r>
  <r>
    <n v="9"/>
    <x v="7"/>
    <x v="408"/>
    <x v="17"/>
    <x v="25"/>
    <x v="16"/>
    <x v="5"/>
    <x v="5"/>
    <n v="1"/>
    <s v="0390050000705091830102"/>
    <n v="1"/>
    <n v="1"/>
    <x v="17"/>
    <n v="0"/>
    <n v="1"/>
    <n v="0"/>
    <n v="1"/>
    <n v="0"/>
    <n v="0"/>
    <n v="0"/>
  </r>
  <r>
    <n v="9"/>
    <x v="7"/>
    <x v="409"/>
    <x v="17"/>
    <x v="25"/>
    <x v="3"/>
    <x v="58"/>
    <x v="58"/>
    <n v="1"/>
    <s v="0390050000705249390101"/>
    <n v="1"/>
    <n v="1"/>
    <x v="15"/>
    <n v="0"/>
    <n v="1"/>
    <n v="0"/>
    <n v="1"/>
    <n v="0"/>
    <n v="0"/>
    <n v="0"/>
  </r>
  <r>
    <n v="9"/>
    <x v="7"/>
    <x v="410"/>
    <x v="17"/>
    <x v="26"/>
    <x v="3"/>
    <x v="33"/>
    <x v="33"/>
    <n v="1"/>
    <s v="0390050000705438010101"/>
    <n v="1"/>
    <n v="1"/>
    <x v="15"/>
    <n v="0"/>
    <n v="1"/>
    <n v="0"/>
    <n v="1"/>
    <n v="0"/>
    <n v="0"/>
    <n v="0"/>
  </r>
  <r>
    <n v="9"/>
    <x v="7"/>
    <x v="411"/>
    <x v="18"/>
    <x v="26"/>
    <x v="15"/>
    <x v="155"/>
    <x v="155"/>
    <n v="1"/>
    <s v="0390050000705391160101"/>
    <n v="1"/>
    <n v="1"/>
    <x v="16"/>
    <n v="0"/>
    <n v="1"/>
    <n v="0"/>
    <n v="1"/>
    <n v="0"/>
    <n v="0"/>
    <n v="0"/>
  </r>
  <r>
    <n v="9"/>
    <x v="7"/>
    <x v="412"/>
    <x v="18"/>
    <x v="26"/>
    <x v="3"/>
    <x v="24"/>
    <x v="24"/>
    <n v="1"/>
    <s v="0390050000705550600101"/>
    <n v="1"/>
    <n v="1"/>
    <x v="16"/>
    <n v="0"/>
    <n v="1"/>
    <n v="0"/>
    <n v="1"/>
    <n v="0"/>
    <n v="0"/>
    <n v="0"/>
  </r>
  <r>
    <n v="9"/>
    <x v="7"/>
    <x v="413"/>
    <x v="18"/>
    <x v="26"/>
    <x v="16"/>
    <x v="11"/>
    <x v="11"/>
    <n v="1"/>
    <s v="0390050000705366940102"/>
    <n v="1"/>
    <n v="1"/>
    <x v="17"/>
    <n v="0"/>
    <n v="1"/>
    <n v="0"/>
    <n v="1"/>
    <n v="0"/>
    <n v="0"/>
    <n v="0"/>
  </r>
  <r>
    <n v="9"/>
    <x v="7"/>
    <x v="414"/>
    <x v="18"/>
    <x v="26"/>
    <x v="3"/>
    <x v="33"/>
    <x v="33"/>
    <n v="1"/>
    <s v="0390050000705582900101"/>
    <n v="1"/>
    <n v="1"/>
    <x v="16"/>
    <n v="0"/>
    <n v="1"/>
    <n v="0"/>
    <n v="1"/>
    <n v="0"/>
    <n v="0"/>
    <n v="0"/>
  </r>
  <r>
    <n v="9"/>
    <x v="7"/>
    <x v="415"/>
    <x v="18"/>
    <x v="26"/>
    <x v="7"/>
    <x v="4"/>
    <x v="4"/>
    <n v="1"/>
    <s v="0390050000705785030101"/>
    <n v="1"/>
    <n v="1"/>
    <x v="7"/>
    <n v="0"/>
    <n v="1"/>
    <n v="0"/>
    <n v="1"/>
    <n v="0"/>
    <n v="0"/>
    <n v="0"/>
  </r>
  <r>
    <n v="9"/>
    <x v="7"/>
    <x v="416"/>
    <x v="18"/>
    <x v="26"/>
    <x v="7"/>
    <x v="37"/>
    <x v="37"/>
    <n v="1"/>
    <s v="0140181809130902009946"/>
    <n v="1"/>
    <n v="1"/>
    <x v="7"/>
    <n v="0"/>
    <n v="1"/>
    <n v="0"/>
    <n v="1"/>
    <n v="0"/>
    <n v="0"/>
    <n v="0"/>
  </r>
  <r>
    <n v="9"/>
    <x v="7"/>
    <x v="417"/>
    <x v="18"/>
    <x v="26"/>
    <x v="7"/>
    <x v="137"/>
    <x v="137"/>
    <n v="1"/>
    <s v="0390050000705844950101"/>
    <n v="1"/>
    <n v="1"/>
    <x v="7"/>
    <n v="0"/>
    <n v="1"/>
    <n v="0"/>
    <n v="1"/>
    <n v="0"/>
    <n v="0"/>
    <n v="0"/>
  </r>
  <r>
    <n v="9"/>
    <x v="7"/>
    <x v="418"/>
    <x v="6"/>
    <x v="27"/>
    <x v="7"/>
    <x v="74"/>
    <x v="74"/>
    <n v="1"/>
    <s v="0390050000706080530101"/>
    <n v="1"/>
    <n v="1"/>
    <x v="7"/>
    <n v="0"/>
    <n v="1"/>
    <n v="0"/>
    <n v="1"/>
    <n v="0"/>
    <n v="0"/>
    <n v="0"/>
  </r>
  <r>
    <n v="9"/>
    <x v="7"/>
    <x v="418"/>
    <x v="6"/>
    <x v="27"/>
    <x v="15"/>
    <x v="92"/>
    <x v="92"/>
    <n v="1"/>
    <s v="0390050000706078210101"/>
    <n v="1"/>
    <n v="1"/>
    <x v="16"/>
    <n v="0"/>
    <n v="1"/>
    <n v="0"/>
    <n v="1"/>
    <n v="0"/>
    <n v="0"/>
    <n v="0"/>
  </r>
  <r>
    <n v="9"/>
    <x v="7"/>
    <x v="419"/>
    <x v="6"/>
    <x v="27"/>
    <x v="16"/>
    <x v="138"/>
    <x v="138"/>
    <n v="1"/>
    <s v="0090051809140573002942"/>
    <n v="0"/>
    <n v="0"/>
    <x v="2"/>
    <n v="0"/>
    <n v="0"/>
    <n v="0"/>
    <n v="0"/>
    <n v="0"/>
    <n v="0"/>
    <n v="0"/>
  </r>
  <r>
    <n v="9"/>
    <x v="7"/>
    <x v="420"/>
    <x v="6"/>
    <x v="27"/>
    <x v="16"/>
    <x v="114"/>
    <x v="114"/>
    <n v="1"/>
    <s v="0390050000705988130103"/>
    <n v="1"/>
    <n v="1"/>
    <x v="17"/>
    <n v="0"/>
    <n v="1"/>
    <n v="0"/>
    <n v="1"/>
    <n v="0"/>
    <n v="0"/>
    <n v="0"/>
  </r>
  <r>
    <n v="9"/>
    <x v="7"/>
    <x v="421"/>
    <x v="6"/>
    <x v="27"/>
    <x v="15"/>
    <x v="5"/>
    <x v="5"/>
    <n v="1"/>
    <s v="0390050000706177670101"/>
    <n v="1"/>
    <n v="1"/>
    <x v="16"/>
    <n v="0"/>
    <n v="1"/>
    <n v="0"/>
    <n v="1"/>
    <n v="0"/>
    <n v="0"/>
    <n v="0"/>
  </r>
  <r>
    <n v="9"/>
    <x v="7"/>
    <x v="422"/>
    <x v="6"/>
    <x v="27"/>
    <x v="16"/>
    <x v="82"/>
    <x v="82"/>
    <n v="1"/>
    <s v="0390050000706219110101"/>
    <n v="1"/>
    <n v="1"/>
    <x v="17"/>
    <n v="0"/>
    <n v="1"/>
    <n v="0"/>
    <n v="1"/>
    <n v="0"/>
    <n v="0"/>
    <n v="0"/>
  </r>
  <r>
    <n v="9"/>
    <x v="7"/>
    <x v="423"/>
    <x v="6"/>
    <x v="27"/>
    <x v="15"/>
    <x v="36"/>
    <x v="36"/>
    <n v="1"/>
    <s v="0390050000706133650101"/>
    <n v="1"/>
    <n v="1"/>
    <x v="16"/>
    <n v="0"/>
    <n v="1"/>
    <n v="0"/>
    <n v="1"/>
    <n v="0"/>
    <n v="0"/>
    <n v="0"/>
  </r>
  <r>
    <n v="9"/>
    <x v="7"/>
    <x v="424"/>
    <x v="6"/>
    <x v="27"/>
    <x v="7"/>
    <x v="60"/>
    <x v="60"/>
    <n v="1"/>
    <s v="0450451809148287013601"/>
    <n v="1"/>
    <n v="1"/>
    <x v="7"/>
    <n v="0"/>
    <n v="1"/>
    <n v="0"/>
    <n v="1"/>
    <n v="0"/>
    <n v="0"/>
    <n v="0"/>
  </r>
  <r>
    <n v="9"/>
    <x v="7"/>
    <x v="425"/>
    <x v="6"/>
    <x v="27"/>
    <x v="16"/>
    <x v="17"/>
    <x v="17"/>
    <n v="1"/>
    <s v="0390050000706253050101"/>
    <n v="1"/>
    <n v="1"/>
    <x v="17"/>
    <n v="0"/>
    <n v="1"/>
    <n v="0"/>
    <n v="1"/>
    <n v="0"/>
    <n v="0"/>
    <n v="0"/>
  </r>
  <r>
    <n v="9"/>
    <x v="7"/>
    <x v="426"/>
    <x v="6"/>
    <x v="5"/>
    <x v="16"/>
    <x v="68"/>
    <x v="68"/>
    <n v="2"/>
    <s v="0390050000706373780101"/>
    <n v="2"/>
    <n v="2"/>
    <x v="17"/>
    <n v="0"/>
    <n v="2"/>
    <n v="0"/>
    <n v="2"/>
    <n v="0"/>
    <n v="0"/>
    <n v="0"/>
  </r>
  <r>
    <n v="9"/>
    <x v="7"/>
    <x v="427"/>
    <x v="6"/>
    <x v="5"/>
    <x v="16"/>
    <x v="33"/>
    <x v="33"/>
    <n v="1"/>
    <s v="0390050000706395810101"/>
    <n v="1"/>
    <n v="1"/>
    <x v="17"/>
    <n v="0"/>
    <n v="1"/>
    <n v="0"/>
    <n v="1"/>
    <n v="0"/>
    <n v="0"/>
    <n v="0"/>
  </r>
  <r>
    <n v="9"/>
    <x v="7"/>
    <x v="428"/>
    <x v="6"/>
    <x v="5"/>
    <x v="7"/>
    <x v="60"/>
    <x v="60"/>
    <n v="1"/>
    <s v="0260601809150146013385"/>
    <n v="1"/>
    <n v="1"/>
    <x v="7"/>
    <n v="0"/>
    <n v="1"/>
    <n v="0"/>
    <n v="1"/>
    <n v="0"/>
    <n v="0"/>
    <n v="0"/>
  </r>
  <r>
    <n v="9"/>
    <x v="7"/>
    <x v="429"/>
    <x v="24"/>
    <x v="36"/>
    <x v="7"/>
    <x v="154"/>
    <x v="154"/>
    <n v="1"/>
    <s v="0390050000709864620101"/>
    <n v="1"/>
    <n v="1"/>
    <x v="7"/>
    <n v="0"/>
    <n v="1"/>
    <n v="0"/>
    <n v="1"/>
    <n v="0"/>
    <n v="0"/>
    <n v="0"/>
  </r>
  <r>
    <n v="9"/>
    <x v="7"/>
    <x v="430"/>
    <x v="24"/>
    <x v="36"/>
    <x v="7"/>
    <x v="156"/>
    <x v="156"/>
    <n v="1"/>
    <s v="0390050000709955230101"/>
    <n v="1"/>
    <n v="1"/>
    <x v="7"/>
    <n v="0"/>
    <n v="1"/>
    <n v="0"/>
    <n v="1"/>
    <n v="0"/>
    <n v="0"/>
    <n v="0"/>
  </r>
  <r>
    <n v="9"/>
    <x v="7"/>
    <x v="431"/>
    <x v="24"/>
    <x v="36"/>
    <x v="7"/>
    <x v="143"/>
    <x v="143"/>
    <n v="1"/>
    <s v="0390050000709989550101"/>
    <n v="1"/>
    <n v="1"/>
    <x v="7"/>
    <n v="0"/>
    <n v="1"/>
    <n v="0"/>
    <n v="1"/>
    <n v="0"/>
    <n v="0"/>
    <n v="0"/>
  </r>
  <r>
    <n v="9"/>
    <x v="7"/>
    <x v="432"/>
    <x v="24"/>
    <x v="36"/>
    <x v="7"/>
    <x v="93"/>
    <x v="93"/>
    <n v="1"/>
    <s v="0390050000710042090102"/>
    <n v="1"/>
    <n v="1"/>
    <x v="7"/>
    <n v="0"/>
    <n v="1"/>
    <n v="0"/>
    <n v="1"/>
    <n v="0"/>
    <n v="0"/>
    <n v="0"/>
  </r>
  <r>
    <n v="9"/>
    <x v="7"/>
    <x v="432"/>
    <x v="24"/>
    <x v="36"/>
    <x v="7"/>
    <x v="98"/>
    <x v="98"/>
    <n v="1"/>
    <s v="0390050000709978000101"/>
    <n v="1"/>
    <n v="1"/>
    <x v="7"/>
    <n v="0"/>
    <n v="1"/>
    <n v="0"/>
    <n v="1"/>
    <n v="0"/>
    <n v="0"/>
    <n v="0"/>
  </r>
  <r>
    <n v="9"/>
    <x v="7"/>
    <x v="433"/>
    <x v="24"/>
    <x v="36"/>
    <x v="7"/>
    <x v="90"/>
    <x v="90"/>
    <n v="1"/>
    <s v="0390050000710176300101"/>
    <n v="1"/>
    <n v="1"/>
    <x v="7"/>
    <n v="0"/>
    <n v="1"/>
    <n v="0"/>
    <n v="1"/>
    <n v="0"/>
    <n v="0"/>
    <n v="0"/>
  </r>
  <r>
    <n v="9"/>
    <x v="7"/>
    <x v="434"/>
    <x v="5"/>
    <x v="12"/>
    <x v="7"/>
    <x v="92"/>
    <x v="92"/>
    <n v="1"/>
    <s v="0390050000710570400101"/>
    <n v="1"/>
    <n v="1"/>
    <x v="22"/>
    <n v="0"/>
    <n v="1"/>
    <n v="0"/>
    <n v="1"/>
    <n v="0"/>
    <n v="0"/>
    <n v="0"/>
  </r>
  <r>
    <n v="9"/>
    <x v="7"/>
    <x v="435"/>
    <x v="5"/>
    <x v="12"/>
    <x v="7"/>
    <x v="5"/>
    <x v="5"/>
    <n v="1"/>
    <s v="0390050000710671400101"/>
    <n v="1"/>
    <n v="1"/>
    <x v="22"/>
    <n v="0"/>
    <n v="1"/>
    <n v="0"/>
    <n v="1"/>
    <n v="0"/>
    <n v="0"/>
    <n v="0"/>
  </r>
  <r>
    <n v="9"/>
    <x v="7"/>
    <x v="435"/>
    <x v="5"/>
    <x v="12"/>
    <x v="7"/>
    <x v="39"/>
    <x v="39"/>
    <n v="1"/>
    <s v="0390050000710690270101"/>
    <n v="1"/>
    <n v="1"/>
    <x v="22"/>
    <n v="0"/>
    <n v="1"/>
    <n v="0"/>
    <n v="1"/>
    <n v="0"/>
    <n v="0"/>
    <n v="0"/>
  </r>
  <r>
    <n v="9"/>
    <x v="7"/>
    <x v="436"/>
    <x v="5"/>
    <x v="43"/>
    <x v="7"/>
    <x v="157"/>
    <x v="157"/>
    <n v="1"/>
    <s v="0390050000710768030101"/>
    <n v="1"/>
    <n v="1"/>
    <x v="22"/>
    <n v="0"/>
    <n v="1"/>
    <n v="0"/>
    <n v="1"/>
    <n v="0"/>
    <n v="0"/>
    <n v="0"/>
  </r>
  <r>
    <n v="9"/>
    <x v="7"/>
    <x v="436"/>
    <x v="5"/>
    <x v="12"/>
    <x v="7"/>
    <x v="150"/>
    <x v="150"/>
    <n v="1"/>
    <s v="0390050000710715510101"/>
    <n v="1"/>
    <n v="1"/>
    <x v="22"/>
    <n v="0"/>
    <n v="1"/>
    <n v="0"/>
    <n v="1"/>
    <n v="0"/>
    <n v="0"/>
    <n v="0"/>
  </r>
  <r>
    <n v="9"/>
    <x v="7"/>
    <x v="437"/>
    <x v="27"/>
    <x v="43"/>
    <x v="7"/>
    <x v="148"/>
    <x v="148"/>
    <n v="1"/>
    <s v="0390050000710705580101"/>
    <n v="1"/>
    <n v="1"/>
    <x v="30"/>
    <n v="0"/>
    <n v="1"/>
    <n v="0"/>
    <n v="1"/>
    <n v="0"/>
    <n v="0"/>
    <n v="0"/>
  </r>
  <r>
    <n v="9"/>
    <x v="7"/>
    <x v="438"/>
    <x v="11"/>
    <x v="15"/>
    <x v="2"/>
    <x v="124"/>
    <x v="124"/>
    <n v="1"/>
    <s v="0390050000691312730102"/>
    <n v="1"/>
    <n v="1"/>
    <x v="3"/>
    <n v="0"/>
    <n v="1"/>
    <n v="0"/>
    <n v="1"/>
    <n v="0"/>
    <n v="0"/>
    <n v="0"/>
  </r>
  <r>
    <n v="9"/>
    <x v="7"/>
    <x v="439"/>
    <x v="11"/>
    <x v="15"/>
    <x v="8"/>
    <x v="32"/>
    <x v="32"/>
    <n v="1"/>
    <s v="0390050000691343200101"/>
    <n v="1"/>
    <n v="1"/>
    <x v="12"/>
    <n v="0"/>
    <n v="1"/>
    <n v="0"/>
    <n v="1"/>
    <n v="0"/>
    <n v="0"/>
    <n v="0"/>
  </r>
  <r>
    <n v="9"/>
    <x v="7"/>
    <x v="439"/>
    <x v="11"/>
    <x v="15"/>
    <x v="13"/>
    <x v="1"/>
    <x v="1"/>
    <n v="1"/>
    <s v="0390050000691333220101"/>
    <n v="1"/>
    <n v="1"/>
    <x v="14"/>
    <n v="0"/>
    <n v="1"/>
    <n v="0"/>
    <n v="1"/>
    <n v="0"/>
    <n v="0"/>
    <n v="0"/>
  </r>
  <r>
    <n v="9"/>
    <x v="7"/>
    <x v="440"/>
    <x v="11"/>
    <x v="15"/>
    <x v="8"/>
    <x v="5"/>
    <x v="5"/>
    <n v="1"/>
    <s v="0390050000691345400101"/>
    <n v="1"/>
    <n v="1"/>
    <x v="12"/>
    <n v="0"/>
    <n v="1"/>
    <n v="0"/>
    <n v="1"/>
    <n v="0"/>
    <n v="0"/>
    <n v="0"/>
  </r>
  <r>
    <n v="9"/>
    <x v="7"/>
    <x v="441"/>
    <x v="11"/>
    <x v="15"/>
    <x v="8"/>
    <x v="80"/>
    <x v="80"/>
    <n v="1"/>
    <s v="0390050000690584090101"/>
    <n v="1"/>
    <n v="1"/>
    <x v="12"/>
    <n v="0"/>
    <n v="1"/>
    <n v="0"/>
    <n v="1"/>
    <n v="0"/>
    <n v="0"/>
    <n v="0"/>
  </r>
  <r>
    <n v="9"/>
    <x v="7"/>
    <x v="442"/>
    <x v="11"/>
    <x v="15"/>
    <x v="8"/>
    <x v="4"/>
    <x v="4"/>
    <n v="1"/>
    <s v="0390050000691453590101"/>
    <n v="1"/>
    <n v="1"/>
    <x v="12"/>
    <n v="0"/>
    <n v="1"/>
    <n v="0"/>
    <n v="1"/>
    <n v="0"/>
    <n v="0"/>
    <n v="0"/>
  </r>
  <r>
    <n v="9"/>
    <x v="7"/>
    <x v="443"/>
    <x v="11"/>
    <x v="16"/>
    <x v="8"/>
    <x v="91"/>
    <x v="91"/>
    <n v="1"/>
    <s v="0390050000691525200101"/>
    <n v="1"/>
    <n v="1"/>
    <x v="12"/>
    <n v="0"/>
    <n v="1"/>
    <n v="0"/>
    <n v="1"/>
    <n v="0"/>
    <n v="0"/>
    <n v="0"/>
  </r>
  <r>
    <n v="9"/>
    <x v="7"/>
    <x v="443"/>
    <x v="11"/>
    <x v="16"/>
    <x v="8"/>
    <x v="142"/>
    <x v="142"/>
    <n v="1"/>
    <s v="0390050000691530760101"/>
    <n v="1"/>
    <n v="1"/>
    <x v="12"/>
    <n v="0"/>
    <n v="1"/>
    <n v="0"/>
    <n v="1"/>
    <n v="0"/>
    <n v="0"/>
    <n v="0"/>
  </r>
  <r>
    <n v="9"/>
    <x v="7"/>
    <x v="444"/>
    <x v="11"/>
    <x v="16"/>
    <x v="25"/>
    <x v="46"/>
    <x v="46"/>
    <n v="1"/>
    <s v="0390050000691700510101"/>
    <n v="1"/>
    <n v="1"/>
    <x v="28"/>
    <n v="0"/>
    <n v="1"/>
    <n v="0"/>
    <n v="1"/>
    <n v="0"/>
    <n v="0"/>
    <n v="0"/>
  </r>
  <r>
    <n v="9"/>
    <x v="7"/>
    <x v="444"/>
    <x v="11"/>
    <x v="16"/>
    <x v="12"/>
    <x v="46"/>
    <x v="46"/>
    <n v="1"/>
    <s v="0390050000691704320101"/>
    <n v="1"/>
    <n v="1"/>
    <x v="18"/>
    <n v="0"/>
    <n v="1"/>
    <n v="0"/>
    <n v="1"/>
    <n v="0"/>
    <n v="0"/>
    <n v="0"/>
  </r>
  <r>
    <n v="9"/>
    <x v="7"/>
    <x v="445"/>
    <x v="11"/>
    <x v="16"/>
    <x v="2"/>
    <x v="114"/>
    <x v="114"/>
    <n v="1"/>
    <s v="0390050000691727250103"/>
    <n v="1"/>
    <n v="1"/>
    <x v="3"/>
    <n v="0"/>
    <n v="1"/>
    <n v="0"/>
    <n v="1"/>
    <n v="0"/>
    <n v="0"/>
    <n v="0"/>
  </r>
  <r>
    <n v="9"/>
    <x v="7"/>
    <x v="446"/>
    <x v="11"/>
    <x v="16"/>
    <x v="12"/>
    <x v="64"/>
    <x v="64"/>
    <n v="1"/>
    <s v="0390050000691773760101"/>
    <n v="1"/>
    <n v="1"/>
    <x v="18"/>
    <n v="0"/>
    <n v="1"/>
    <n v="0"/>
    <n v="1"/>
    <n v="0"/>
    <n v="0"/>
    <n v="0"/>
  </r>
  <r>
    <n v="9"/>
    <x v="7"/>
    <x v="446"/>
    <x v="11"/>
    <x v="16"/>
    <x v="12"/>
    <x v="1"/>
    <x v="1"/>
    <n v="1"/>
    <s v="0220611808269220002192"/>
    <n v="1"/>
    <n v="1"/>
    <x v="18"/>
    <n v="0"/>
    <n v="1"/>
    <n v="0"/>
    <n v="1"/>
    <n v="0"/>
    <n v="0"/>
    <n v="0"/>
  </r>
  <r>
    <n v="9"/>
    <x v="7"/>
    <x v="447"/>
    <x v="11"/>
    <x v="16"/>
    <x v="3"/>
    <x v="37"/>
    <x v="37"/>
    <n v="1"/>
    <s v="0390050000691801820101"/>
    <n v="1"/>
    <n v="1"/>
    <x v="15"/>
    <n v="0"/>
    <n v="1"/>
    <n v="0"/>
    <n v="1"/>
    <n v="0"/>
    <n v="0"/>
    <n v="0"/>
  </r>
  <r>
    <n v="9"/>
    <x v="7"/>
    <x v="447"/>
    <x v="11"/>
    <x v="16"/>
    <x v="12"/>
    <x v="158"/>
    <x v="158"/>
    <n v="1"/>
    <s v="0390050000691802710101"/>
    <n v="1"/>
    <n v="1"/>
    <x v="18"/>
    <n v="0"/>
    <n v="1"/>
    <n v="0"/>
    <n v="1"/>
    <n v="0"/>
    <n v="0"/>
    <n v="0"/>
  </r>
  <r>
    <n v="9"/>
    <x v="7"/>
    <x v="448"/>
    <x v="11"/>
    <x v="16"/>
    <x v="12"/>
    <x v="137"/>
    <x v="137"/>
    <n v="1"/>
    <s v="0390050000691878920101"/>
    <n v="1"/>
    <n v="1"/>
    <x v="18"/>
    <n v="0"/>
    <n v="1"/>
    <n v="0"/>
    <n v="1"/>
    <n v="0"/>
    <n v="0"/>
    <n v="0"/>
  </r>
  <r>
    <n v="9"/>
    <x v="7"/>
    <x v="448"/>
    <x v="11"/>
    <x v="16"/>
    <x v="12"/>
    <x v="37"/>
    <x v="37"/>
    <n v="1"/>
    <s v="0980471808263978004532"/>
    <n v="1"/>
    <n v="1"/>
    <x v="18"/>
    <n v="0"/>
    <n v="1"/>
    <n v="0"/>
    <n v="1"/>
    <n v="0"/>
    <n v="0"/>
    <n v="0"/>
  </r>
  <r>
    <n v="9"/>
    <x v="7"/>
    <x v="449"/>
    <x v="11"/>
    <x v="16"/>
    <x v="2"/>
    <x v="137"/>
    <x v="137"/>
    <n v="1"/>
    <s v="0390050000691890900101"/>
    <n v="1"/>
    <n v="1"/>
    <x v="3"/>
    <n v="0"/>
    <n v="1"/>
    <n v="0"/>
    <n v="1"/>
    <n v="0"/>
    <n v="0"/>
    <n v="0"/>
  </r>
  <r>
    <n v="9"/>
    <x v="7"/>
    <x v="449"/>
    <x v="11"/>
    <x v="16"/>
    <x v="10"/>
    <x v="5"/>
    <x v="5"/>
    <n v="1"/>
    <s v="0390050000691916540102"/>
    <n v="1"/>
    <n v="1"/>
    <x v="11"/>
    <n v="0"/>
    <n v="1"/>
    <n v="0"/>
    <n v="1"/>
    <n v="0"/>
    <n v="0"/>
    <n v="0"/>
  </r>
  <r>
    <n v="9"/>
    <x v="7"/>
    <x v="450"/>
    <x v="11"/>
    <x v="16"/>
    <x v="12"/>
    <x v="142"/>
    <x v="142"/>
    <n v="1"/>
    <s v="0390050000691959110101"/>
    <n v="1"/>
    <n v="1"/>
    <x v="18"/>
    <n v="0"/>
    <n v="1"/>
    <n v="0"/>
    <n v="1"/>
    <n v="0"/>
    <n v="0"/>
    <n v="0"/>
  </r>
  <r>
    <n v="9"/>
    <x v="7"/>
    <x v="450"/>
    <x v="11"/>
    <x v="16"/>
    <x v="12"/>
    <x v="110"/>
    <x v="110"/>
    <n v="1"/>
    <s v="0390050000691957140101"/>
    <n v="1"/>
    <n v="1"/>
    <x v="18"/>
    <n v="0"/>
    <n v="1"/>
    <n v="0"/>
    <n v="1"/>
    <n v="0"/>
    <n v="0"/>
    <n v="0"/>
  </r>
  <r>
    <n v="9"/>
    <x v="7"/>
    <x v="451"/>
    <x v="11"/>
    <x v="17"/>
    <x v="12"/>
    <x v="32"/>
    <x v="32"/>
    <n v="1"/>
    <s v="0390050000692064680101"/>
    <n v="1"/>
    <n v="1"/>
    <x v="18"/>
    <n v="0"/>
    <n v="1"/>
    <n v="0"/>
    <n v="1"/>
    <n v="0"/>
    <n v="0"/>
    <n v="0"/>
  </r>
  <r>
    <n v="9"/>
    <x v="7"/>
    <x v="451"/>
    <x v="11"/>
    <x v="17"/>
    <x v="2"/>
    <x v="2"/>
    <x v="2"/>
    <n v="1"/>
    <s v="0390050000692061470101"/>
    <n v="1"/>
    <n v="1"/>
    <x v="3"/>
    <n v="0"/>
    <n v="1"/>
    <n v="0"/>
    <n v="1"/>
    <n v="0"/>
    <n v="0"/>
    <n v="0"/>
  </r>
  <r>
    <n v="9"/>
    <x v="7"/>
    <x v="451"/>
    <x v="11"/>
    <x v="16"/>
    <x v="12"/>
    <x v="64"/>
    <x v="64"/>
    <n v="1"/>
    <s v="0390050000691956960101"/>
    <n v="1"/>
    <n v="1"/>
    <x v="18"/>
    <n v="0"/>
    <n v="1"/>
    <n v="0"/>
    <n v="1"/>
    <n v="0"/>
    <n v="0"/>
    <n v="0"/>
  </r>
  <r>
    <n v="9"/>
    <x v="7"/>
    <x v="451"/>
    <x v="11"/>
    <x v="17"/>
    <x v="12"/>
    <x v="64"/>
    <x v="64"/>
    <n v="1"/>
    <s v="0390050000692089950101"/>
    <n v="1"/>
    <n v="1"/>
    <x v="18"/>
    <n v="0"/>
    <n v="1"/>
    <n v="0"/>
    <n v="1"/>
    <n v="0"/>
    <n v="0"/>
    <n v="0"/>
  </r>
  <r>
    <n v="9"/>
    <x v="7"/>
    <x v="451"/>
    <x v="11"/>
    <x v="16"/>
    <x v="13"/>
    <x v="159"/>
    <x v="159"/>
    <n v="1"/>
    <s v="0390050000691963890101"/>
    <n v="1"/>
    <n v="1"/>
    <x v="14"/>
    <n v="0"/>
    <n v="1"/>
    <n v="0"/>
    <n v="1"/>
    <n v="0"/>
    <n v="0"/>
    <n v="0"/>
  </r>
  <r>
    <n v="9"/>
    <x v="7"/>
    <x v="451"/>
    <x v="11"/>
    <x v="17"/>
    <x v="12"/>
    <x v="125"/>
    <x v="125"/>
    <n v="1"/>
    <s v="0390050000692075080101"/>
    <n v="1"/>
    <n v="1"/>
    <x v="18"/>
    <n v="0"/>
    <n v="1"/>
    <n v="0"/>
    <n v="1"/>
    <n v="0"/>
    <n v="0"/>
    <n v="0"/>
  </r>
  <r>
    <n v="9"/>
    <x v="7"/>
    <x v="452"/>
    <x v="12"/>
    <x v="17"/>
    <x v="12"/>
    <x v="91"/>
    <x v="91"/>
    <n v="1"/>
    <s v="0390050000692052190101"/>
    <n v="0"/>
    <n v="0"/>
    <x v="2"/>
    <n v="0"/>
    <n v="0"/>
    <n v="0"/>
    <n v="0"/>
    <n v="0"/>
    <n v="0"/>
    <n v="0"/>
  </r>
  <r>
    <n v="9"/>
    <x v="7"/>
    <x v="452"/>
    <x v="12"/>
    <x v="17"/>
    <x v="12"/>
    <x v="125"/>
    <x v="125"/>
    <n v="1"/>
    <s v="0390050000692164270101"/>
    <n v="1"/>
    <n v="1"/>
    <x v="18"/>
    <n v="0"/>
    <n v="1"/>
    <n v="0"/>
    <n v="1"/>
    <n v="0"/>
    <n v="0"/>
    <n v="0"/>
  </r>
  <r>
    <n v="9"/>
    <x v="7"/>
    <x v="452"/>
    <x v="12"/>
    <x v="17"/>
    <x v="12"/>
    <x v="142"/>
    <x v="142"/>
    <n v="2"/>
    <s v="0390050000692170620101"/>
    <n v="2"/>
    <n v="2"/>
    <x v="18"/>
    <n v="0"/>
    <n v="2"/>
    <n v="0"/>
    <n v="2"/>
    <n v="0"/>
    <n v="0"/>
    <n v="0"/>
  </r>
  <r>
    <n v="9"/>
    <x v="7"/>
    <x v="453"/>
    <x v="12"/>
    <x v="17"/>
    <x v="12"/>
    <x v="32"/>
    <x v="32"/>
    <n v="1"/>
    <s v="0390050000678835840101"/>
    <n v="1"/>
    <n v="1"/>
    <x v="18"/>
    <n v="0"/>
    <n v="1"/>
    <n v="0"/>
    <n v="1"/>
    <n v="0"/>
    <n v="0"/>
    <n v="0"/>
  </r>
  <r>
    <n v="9"/>
    <x v="7"/>
    <x v="453"/>
    <x v="12"/>
    <x v="17"/>
    <x v="12"/>
    <x v="91"/>
    <x v="91"/>
    <n v="1"/>
    <s v="0390050000692241400101"/>
    <n v="1"/>
    <n v="1"/>
    <x v="18"/>
    <n v="0"/>
    <n v="1"/>
    <n v="0"/>
    <n v="1"/>
    <n v="0"/>
    <n v="0"/>
    <n v="0"/>
  </r>
  <r>
    <n v="9"/>
    <x v="7"/>
    <x v="453"/>
    <x v="12"/>
    <x v="17"/>
    <x v="12"/>
    <x v="46"/>
    <x v="46"/>
    <n v="1"/>
    <s v="0390050000692197710101"/>
    <n v="1"/>
    <n v="1"/>
    <x v="18"/>
    <n v="0"/>
    <n v="1"/>
    <n v="0"/>
    <n v="1"/>
    <n v="0"/>
    <n v="0"/>
    <n v="0"/>
  </r>
  <r>
    <n v="9"/>
    <x v="7"/>
    <x v="454"/>
    <x v="12"/>
    <x v="17"/>
    <x v="13"/>
    <x v="47"/>
    <x v="47"/>
    <n v="1"/>
    <s v="0390050000692005530101"/>
    <n v="1"/>
    <n v="1"/>
    <x v="14"/>
    <n v="0"/>
    <n v="1"/>
    <n v="0"/>
    <n v="1"/>
    <n v="0"/>
    <n v="0"/>
    <n v="0"/>
  </r>
  <r>
    <n v="9"/>
    <x v="7"/>
    <x v="455"/>
    <x v="12"/>
    <x v="17"/>
    <x v="12"/>
    <x v="137"/>
    <x v="137"/>
    <n v="1"/>
    <s v="0390050000692391110101"/>
    <n v="1"/>
    <n v="1"/>
    <x v="18"/>
    <n v="0"/>
    <n v="1"/>
    <n v="0"/>
    <n v="1"/>
    <n v="0"/>
    <n v="0"/>
    <n v="0"/>
  </r>
  <r>
    <n v="9"/>
    <x v="7"/>
    <x v="455"/>
    <x v="12"/>
    <x v="17"/>
    <x v="12"/>
    <x v="37"/>
    <x v="37"/>
    <n v="1"/>
    <s v="0390050000692365060101"/>
    <n v="1"/>
    <n v="1"/>
    <x v="18"/>
    <n v="0"/>
    <n v="1"/>
    <n v="0"/>
    <n v="1"/>
    <n v="0"/>
    <n v="0"/>
    <n v="0"/>
  </r>
  <r>
    <n v="9"/>
    <x v="7"/>
    <x v="455"/>
    <x v="12"/>
    <x v="17"/>
    <x v="12"/>
    <x v="1"/>
    <x v="1"/>
    <n v="1"/>
    <s v="0090091808278647011632"/>
    <n v="1"/>
    <n v="1"/>
    <x v="18"/>
    <n v="0"/>
    <n v="1"/>
    <n v="0"/>
    <n v="1"/>
    <n v="0"/>
    <n v="0"/>
    <n v="0"/>
  </r>
  <r>
    <n v="9"/>
    <x v="7"/>
    <x v="455"/>
    <x v="12"/>
    <x v="17"/>
    <x v="10"/>
    <x v="5"/>
    <x v="5"/>
    <n v="1"/>
    <s v="0320661808270453001591"/>
    <n v="1"/>
    <n v="1"/>
    <x v="11"/>
    <n v="0"/>
    <n v="1"/>
    <n v="0"/>
    <n v="1"/>
    <n v="0"/>
    <n v="0"/>
    <n v="0"/>
  </r>
  <r>
    <n v="9"/>
    <x v="7"/>
    <x v="456"/>
    <x v="12"/>
    <x v="17"/>
    <x v="10"/>
    <x v="5"/>
    <x v="5"/>
    <n v="1"/>
    <s v="0390050000692491220101"/>
    <n v="1"/>
    <n v="1"/>
    <x v="11"/>
    <n v="0"/>
    <n v="1"/>
    <n v="0"/>
    <n v="1"/>
    <n v="0"/>
    <n v="0"/>
    <n v="0"/>
  </r>
  <r>
    <n v="9"/>
    <x v="7"/>
    <x v="457"/>
    <x v="12"/>
    <x v="17"/>
    <x v="12"/>
    <x v="63"/>
    <x v="63"/>
    <n v="1"/>
    <s v="0390050000692483660101"/>
    <n v="1"/>
    <n v="1"/>
    <x v="18"/>
    <n v="0"/>
    <n v="1"/>
    <n v="0"/>
    <n v="1"/>
    <n v="0"/>
    <n v="0"/>
    <n v="0"/>
  </r>
  <r>
    <n v="9"/>
    <x v="7"/>
    <x v="458"/>
    <x v="10"/>
    <x v="18"/>
    <x v="13"/>
    <x v="64"/>
    <x v="64"/>
    <n v="1"/>
    <s v="0390050000692757300102"/>
    <n v="1"/>
    <n v="1"/>
    <x v="14"/>
    <n v="0"/>
    <n v="1"/>
    <n v="0"/>
    <n v="1"/>
    <n v="0"/>
    <n v="0"/>
    <n v="0"/>
  </r>
  <r>
    <n v="9"/>
    <x v="7"/>
    <x v="458"/>
    <x v="10"/>
    <x v="18"/>
    <x v="12"/>
    <x v="1"/>
    <x v="1"/>
    <n v="1"/>
    <s v="0390050000692541910103"/>
    <n v="1"/>
    <n v="1"/>
    <x v="18"/>
    <n v="0"/>
    <n v="1"/>
    <n v="0"/>
    <n v="1"/>
    <n v="0"/>
    <n v="0"/>
    <n v="0"/>
  </r>
  <r>
    <n v="8"/>
    <x v="6"/>
    <x v="459"/>
    <x v="11"/>
    <x v="33"/>
    <x v="23"/>
    <x v="160"/>
    <x v="160"/>
    <n v="20"/>
    <s v="40000669046"/>
    <n v="20"/>
    <n v="20"/>
    <x v="12"/>
    <n v="0"/>
    <n v="20"/>
    <n v="0"/>
    <n v="20"/>
    <n v="0"/>
    <n v="0"/>
    <n v="0"/>
  </r>
  <r>
    <n v="8"/>
    <x v="6"/>
    <x v="459"/>
    <x v="11"/>
    <x v="33"/>
    <x v="23"/>
    <x v="24"/>
    <x v="24"/>
    <n v="10"/>
    <s v="40000669053"/>
    <n v="10"/>
    <n v="10"/>
    <x v="12"/>
    <n v="0"/>
    <n v="10"/>
    <n v="0"/>
    <n v="10"/>
    <n v="0"/>
    <n v="0"/>
    <n v="0"/>
  </r>
  <r>
    <n v="8"/>
    <x v="6"/>
    <x v="459"/>
    <x v="11"/>
    <x v="33"/>
    <x v="23"/>
    <x v="13"/>
    <x v="13"/>
    <n v="5"/>
    <s v="40000669052"/>
    <n v="5"/>
    <n v="5"/>
    <x v="12"/>
    <n v="0"/>
    <n v="5"/>
    <n v="0"/>
    <n v="5"/>
    <n v="0"/>
    <n v="0"/>
    <n v="0"/>
  </r>
  <r>
    <n v="8"/>
    <x v="6"/>
    <x v="459"/>
    <x v="11"/>
    <x v="33"/>
    <x v="23"/>
    <x v="147"/>
    <x v="147"/>
    <n v="5"/>
    <s v="40000641992"/>
    <n v="0"/>
    <n v="0"/>
    <x v="12"/>
    <n v="0"/>
    <n v="0"/>
    <n v="0"/>
    <n v="0"/>
    <n v="0"/>
    <n v="0"/>
    <n v="0"/>
  </r>
  <r>
    <n v="8"/>
    <x v="6"/>
    <x v="459"/>
    <x v="11"/>
    <x v="33"/>
    <x v="23"/>
    <x v="157"/>
    <x v="157"/>
    <n v="5"/>
    <s v="40000641993"/>
    <n v="0"/>
    <n v="0"/>
    <x v="12"/>
    <n v="0"/>
    <n v="0"/>
    <n v="0"/>
    <n v="0"/>
    <n v="0"/>
    <n v="0"/>
    <n v="0"/>
  </r>
  <r>
    <n v="8"/>
    <x v="6"/>
    <x v="460"/>
    <x v="12"/>
    <x v="17"/>
    <x v="5"/>
    <x v="125"/>
    <x v="125"/>
    <n v="1"/>
    <s v="0040000628906"/>
    <n v="1"/>
    <n v="1"/>
    <x v="19"/>
    <n v="0"/>
    <n v="1"/>
    <n v="0"/>
    <n v="1"/>
    <n v="0"/>
    <n v="0"/>
    <n v="0"/>
  </r>
  <r>
    <n v="8"/>
    <x v="6"/>
    <x v="461"/>
    <x v="12"/>
    <x v="17"/>
    <x v="5"/>
    <x v="83"/>
    <x v="83"/>
    <n v="1"/>
    <s v="0040000642001"/>
    <n v="1"/>
    <n v="1"/>
    <x v="19"/>
    <n v="0"/>
    <n v="1"/>
    <n v="0"/>
    <n v="1"/>
    <n v="0"/>
    <n v="0"/>
    <n v="0"/>
  </r>
  <r>
    <n v="8"/>
    <x v="6"/>
    <x v="462"/>
    <x v="12"/>
    <x v="17"/>
    <x v="2"/>
    <x v="50"/>
    <x v="50"/>
    <n v="1"/>
    <s v="0040000656350"/>
    <n v="1"/>
    <n v="1"/>
    <x v="19"/>
    <n v="0"/>
    <n v="1"/>
    <n v="0"/>
    <n v="1"/>
    <n v="0"/>
    <n v="0"/>
    <n v="0"/>
  </r>
  <r>
    <n v="8"/>
    <x v="6"/>
    <x v="463"/>
    <x v="13"/>
    <x v="19"/>
    <x v="4"/>
    <x v="53"/>
    <x v="53"/>
    <n v="1"/>
    <s v="0040000642051"/>
    <n v="1"/>
    <n v="1"/>
    <x v="4"/>
    <n v="0"/>
    <n v="1"/>
    <n v="0"/>
    <n v="1"/>
    <n v="0"/>
    <n v="0"/>
    <n v="0"/>
  </r>
  <r>
    <n v="8"/>
    <x v="6"/>
    <x v="464"/>
    <x v="25"/>
    <x v="37"/>
    <x v="4"/>
    <x v="64"/>
    <x v="64"/>
    <n v="1"/>
    <s v="0040000628880"/>
    <n v="1"/>
    <n v="1"/>
    <x v="4"/>
    <n v="0"/>
    <n v="1"/>
    <n v="0"/>
    <n v="1"/>
    <n v="0"/>
    <n v="0"/>
    <n v="0"/>
  </r>
  <r>
    <n v="8"/>
    <x v="6"/>
    <x v="465"/>
    <x v="0"/>
    <x v="38"/>
    <x v="22"/>
    <x v="14"/>
    <x v="14"/>
    <n v="2"/>
    <s v="0040000558225"/>
    <n v="2"/>
    <n v="2"/>
    <x v="4"/>
    <n v="0"/>
    <n v="2"/>
    <n v="0"/>
    <n v="2"/>
    <n v="0"/>
    <n v="0"/>
    <n v="0"/>
  </r>
  <r>
    <n v="8"/>
    <x v="6"/>
    <x v="466"/>
    <x v="0"/>
    <x v="38"/>
    <x v="0"/>
    <x v="64"/>
    <x v="64"/>
    <n v="1"/>
    <s v="0040000628880"/>
    <n v="1"/>
    <n v="1"/>
    <x v="4"/>
    <n v="0"/>
    <n v="1"/>
    <n v="0"/>
    <n v="1"/>
    <n v="0"/>
    <n v="0"/>
    <n v="0"/>
  </r>
  <r>
    <n v="8"/>
    <x v="6"/>
    <x v="467"/>
    <x v="0"/>
    <x v="38"/>
    <x v="0"/>
    <x v="11"/>
    <x v="11"/>
    <n v="1"/>
    <s v="0040000641996"/>
    <n v="1"/>
    <n v="1"/>
    <x v="4"/>
    <n v="0"/>
    <n v="1"/>
    <n v="0"/>
    <n v="1"/>
    <n v="0"/>
    <n v="0"/>
    <n v="0"/>
  </r>
  <r>
    <n v="8"/>
    <x v="6"/>
    <x v="468"/>
    <x v="0"/>
    <x v="38"/>
    <x v="4"/>
    <x v="83"/>
    <x v="83"/>
    <n v="1"/>
    <s v="0040000642001"/>
    <n v="1"/>
    <n v="1"/>
    <x v="4"/>
    <n v="0"/>
    <n v="1"/>
    <n v="0"/>
    <n v="1"/>
    <n v="0"/>
    <n v="0"/>
    <n v="0"/>
  </r>
  <r>
    <n v="8"/>
    <x v="6"/>
    <x v="469"/>
    <x v="1"/>
    <x v="2"/>
    <x v="22"/>
    <x v="97"/>
    <x v="97"/>
    <n v="2"/>
    <s v="0040000558226"/>
    <n v="2"/>
    <n v="2"/>
    <x v="4"/>
    <n v="0"/>
    <n v="2"/>
    <n v="0"/>
    <n v="2"/>
    <n v="0"/>
    <n v="0"/>
    <n v="0"/>
  </r>
  <r>
    <n v="8"/>
    <x v="6"/>
    <x v="470"/>
    <x v="1"/>
    <x v="2"/>
    <x v="22"/>
    <x v="137"/>
    <x v="137"/>
    <n v="1"/>
    <s v="0040000606241"/>
    <n v="1"/>
    <n v="1"/>
    <x v="4"/>
    <n v="0"/>
    <n v="1"/>
    <n v="0"/>
    <n v="1"/>
    <n v="0"/>
    <n v="0"/>
    <n v="0"/>
  </r>
  <r>
    <n v="8"/>
    <x v="6"/>
    <x v="471"/>
    <x v="1"/>
    <x v="2"/>
    <x v="25"/>
    <x v="155"/>
    <x v="155"/>
    <n v="1"/>
    <s v="0040000642068"/>
    <n v="1"/>
    <n v="1"/>
    <x v="4"/>
    <n v="0"/>
    <n v="1"/>
    <n v="0"/>
    <n v="1"/>
    <n v="0"/>
    <n v="0"/>
    <n v="0"/>
  </r>
  <r>
    <n v="8"/>
    <x v="6"/>
    <x v="471"/>
    <x v="1"/>
    <x v="2"/>
    <x v="25"/>
    <x v="83"/>
    <x v="83"/>
    <n v="1"/>
    <s v="0040000642001"/>
    <n v="1"/>
    <n v="1"/>
    <x v="4"/>
    <n v="0"/>
    <n v="1"/>
    <n v="0"/>
    <n v="1"/>
    <n v="0"/>
    <n v="0"/>
    <n v="0"/>
  </r>
  <r>
    <n v="8"/>
    <x v="6"/>
    <x v="472"/>
    <x v="2"/>
    <x v="3"/>
    <x v="1"/>
    <x v="87"/>
    <x v="87"/>
    <n v="1"/>
    <s v="0040000558224"/>
    <n v="1"/>
    <n v="1"/>
    <x v="0"/>
    <n v="0"/>
    <n v="1"/>
    <n v="0"/>
    <n v="1"/>
    <n v="0"/>
    <n v="0"/>
    <n v="0"/>
  </r>
  <r>
    <n v="8"/>
    <x v="6"/>
    <x v="473"/>
    <x v="2"/>
    <x v="3"/>
    <x v="25"/>
    <x v="28"/>
    <x v="28"/>
    <n v="1"/>
    <s v="0040000606239"/>
    <n v="1"/>
    <n v="1"/>
    <x v="0"/>
    <n v="0"/>
    <n v="1"/>
    <n v="0"/>
    <n v="1"/>
    <n v="0"/>
    <n v="0"/>
    <n v="0"/>
  </r>
  <r>
    <n v="8"/>
    <x v="6"/>
    <x v="474"/>
    <x v="2"/>
    <x v="3"/>
    <x v="27"/>
    <x v="125"/>
    <x v="125"/>
    <n v="1"/>
    <s v="0040000628906"/>
    <n v="1"/>
    <n v="1"/>
    <x v="0"/>
    <n v="0"/>
    <n v="1"/>
    <n v="0"/>
    <n v="1"/>
    <n v="0"/>
    <n v="0"/>
    <n v="0"/>
  </r>
  <r>
    <n v="8"/>
    <x v="6"/>
    <x v="475"/>
    <x v="3"/>
    <x v="4"/>
    <x v="1"/>
    <x v="97"/>
    <x v="97"/>
    <n v="1"/>
    <s v="0040000558226"/>
    <n v="1"/>
    <n v="1"/>
    <x v="0"/>
    <n v="0"/>
    <n v="1"/>
    <n v="0"/>
    <n v="1"/>
    <n v="0"/>
    <n v="0"/>
    <n v="0"/>
  </r>
  <r>
    <n v="8"/>
    <x v="6"/>
    <x v="476"/>
    <x v="3"/>
    <x v="4"/>
    <x v="27"/>
    <x v="27"/>
    <x v="27"/>
    <n v="1"/>
    <s v="0040000642064"/>
    <n v="1"/>
    <n v="1"/>
    <x v="0"/>
    <n v="0"/>
    <n v="1"/>
    <n v="0"/>
    <n v="1"/>
    <n v="0"/>
    <n v="0"/>
    <n v="0"/>
  </r>
  <r>
    <n v="8"/>
    <x v="6"/>
    <x v="477"/>
    <x v="4"/>
    <x v="39"/>
    <x v="27"/>
    <x v="17"/>
    <x v="17"/>
    <n v="1"/>
    <s v="0040000606240"/>
    <n v="1"/>
    <n v="1"/>
    <x v="0"/>
    <n v="0"/>
    <n v="1"/>
    <n v="0"/>
    <n v="1"/>
    <n v="0"/>
    <n v="0"/>
    <n v="0"/>
  </r>
  <r>
    <n v="8"/>
    <x v="6"/>
    <x v="478"/>
    <x v="14"/>
    <x v="20"/>
    <x v="27"/>
    <x v="11"/>
    <x v="11"/>
    <n v="1"/>
    <s v="0040000641996"/>
    <n v="1"/>
    <n v="1"/>
    <x v="0"/>
    <n v="0"/>
    <n v="1"/>
    <n v="0"/>
    <n v="1"/>
    <n v="0"/>
    <n v="0"/>
    <n v="0"/>
  </r>
  <r>
    <n v="8"/>
    <x v="6"/>
    <x v="479"/>
    <x v="14"/>
    <x v="20"/>
    <x v="27"/>
    <x v="11"/>
    <x v="11"/>
    <n v="1"/>
    <s v="0040000641996"/>
    <n v="1"/>
    <n v="1"/>
    <x v="0"/>
    <n v="0"/>
    <n v="1"/>
    <n v="0"/>
    <n v="1"/>
    <n v="0"/>
    <n v="0"/>
    <n v="0"/>
  </r>
  <r>
    <n v="8"/>
    <x v="6"/>
    <x v="480"/>
    <x v="15"/>
    <x v="23"/>
    <x v="15"/>
    <x v="69"/>
    <x v="69"/>
    <n v="1"/>
    <s v="0040000606237"/>
    <n v="1"/>
    <n v="1"/>
    <x v="1"/>
    <n v="0"/>
    <n v="1"/>
    <n v="0"/>
    <n v="1"/>
    <n v="0"/>
    <n v="0"/>
    <n v="0"/>
  </r>
  <r>
    <n v="8"/>
    <x v="6"/>
    <x v="481"/>
    <x v="15"/>
    <x v="23"/>
    <x v="26"/>
    <x v="46"/>
    <x v="46"/>
    <n v="1"/>
    <s v="0040000628903"/>
    <n v="1"/>
    <n v="1"/>
    <x v="1"/>
    <n v="0"/>
    <n v="1"/>
    <n v="0"/>
    <n v="1"/>
    <n v="0"/>
    <n v="0"/>
    <n v="0"/>
  </r>
  <r>
    <n v="8"/>
    <x v="6"/>
    <x v="482"/>
    <x v="15"/>
    <x v="23"/>
    <x v="27"/>
    <x v="142"/>
    <x v="142"/>
    <n v="1"/>
    <s v="0040000642014"/>
    <n v="1"/>
    <n v="2"/>
    <x v="10"/>
    <n v="1"/>
    <n v="1"/>
    <n v="1"/>
    <n v="1"/>
    <n v="0"/>
    <n v="0"/>
    <n v="0"/>
  </r>
  <r>
    <n v="8"/>
    <x v="6"/>
    <x v="483"/>
    <x v="15"/>
    <x v="23"/>
    <x v="15"/>
    <x v="58"/>
    <x v="58"/>
    <n v="1"/>
    <s v="0040000656347"/>
    <n v="1"/>
    <n v="1"/>
    <x v="1"/>
    <n v="0"/>
    <n v="1"/>
    <n v="0"/>
    <n v="1"/>
    <n v="0"/>
    <n v="0"/>
    <n v="0"/>
  </r>
  <r>
    <n v="8"/>
    <x v="6"/>
    <x v="484"/>
    <x v="15"/>
    <x v="23"/>
    <x v="6"/>
    <x v="58"/>
    <x v="58"/>
    <n v="1"/>
    <s v="0040000656347"/>
    <n v="1"/>
    <n v="1"/>
    <x v="1"/>
    <n v="0"/>
    <n v="1"/>
    <n v="0"/>
    <n v="1"/>
    <n v="0"/>
    <n v="0"/>
    <n v="0"/>
  </r>
  <r>
    <n v="8"/>
    <x v="6"/>
    <x v="485"/>
    <x v="15"/>
    <x v="23"/>
    <x v="15"/>
    <x v="54"/>
    <x v="54"/>
    <n v="1"/>
    <s v="0040000656349"/>
    <n v="1"/>
    <n v="1"/>
    <x v="1"/>
    <n v="0"/>
    <n v="1"/>
    <n v="0"/>
    <n v="1"/>
    <n v="0"/>
    <n v="0"/>
    <n v="0"/>
  </r>
  <r>
    <n v="8"/>
    <x v="6"/>
    <x v="486"/>
    <x v="15"/>
    <x v="23"/>
    <x v="26"/>
    <x v="50"/>
    <x v="50"/>
    <n v="1"/>
    <s v="0040000656350"/>
    <n v="1"/>
    <n v="1"/>
    <x v="1"/>
    <n v="0"/>
    <n v="1"/>
    <n v="0"/>
    <n v="1"/>
    <n v="0"/>
    <n v="0"/>
    <n v="0"/>
  </r>
  <r>
    <n v="8"/>
    <x v="6"/>
    <x v="487"/>
    <x v="16"/>
    <x v="24"/>
    <x v="24"/>
    <x v="11"/>
    <x v="11"/>
    <n v="1"/>
    <s v="0040000641996"/>
    <n v="1"/>
    <n v="1"/>
    <x v="1"/>
    <n v="0"/>
    <n v="1"/>
    <n v="0"/>
    <n v="1"/>
    <n v="0"/>
    <n v="0"/>
    <n v="0"/>
  </r>
  <r>
    <n v="8"/>
    <x v="6"/>
    <x v="488"/>
    <x v="16"/>
    <x v="24"/>
    <x v="24"/>
    <x v="124"/>
    <x v="124"/>
    <n v="1"/>
    <s v="0040000642025"/>
    <n v="1"/>
    <n v="1"/>
    <x v="1"/>
    <n v="0"/>
    <n v="1"/>
    <n v="0"/>
    <n v="1"/>
    <n v="0"/>
    <n v="0"/>
    <n v="0"/>
  </r>
  <r>
    <n v="8"/>
    <x v="6"/>
    <x v="488"/>
    <x v="16"/>
    <x v="24"/>
    <x v="24"/>
    <x v="11"/>
    <x v="11"/>
    <n v="1"/>
    <s v="0040000641996"/>
    <n v="1"/>
    <n v="1"/>
    <x v="1"/>
    <n v="0"/>
    <n v="1"/>
    <n v="0"/>
    <n v="1"/>
    <n v="0"/>
    <n v="0"/>
    <n v="0"/>
  </r>
  <r>
    <n v="8"/>
    <x v="6"/>
    <x v="489"/>
    <x v="17"/>
    <x v="25"/>
    <x v="27"/>
    <x v="137"/>
    <x v="137"/>
    <n v="1"/>
    <s v="0040000606241"/>
    <n v="1"/>
    <n v="1"/>
    <x v="1"/>
    <n v="0"/>
    <n v="1"/>
    <n v="0"/>
    <n v="1"/>
    <n v="0"/>
    <n v="0"/>
    <n v="0"/>
  </r>
  <r>
    <n v="8"/>
    <x v="6"/>
    <x v="490"/>
    <x v="17"/>
    <x v="25"/>
    <x v="24"/>
    <x v="83"/>
    <x v="83"/>
    <n v="1"/>
    <s v="0040000642001"/>
    <n v="1"/>
    <n v="1"/>
    <x v="1"/>
    <n v="0"/>
    <n v="1"/>
    <n v="0"/>
    <n v="1"/>
    <n v="0"/>
    <n v="0"/>
    <n v="0"/>
  </r>
  <r>
    <n v="8"/>
    <x v="6"/>
    <x v="491"/>
    <x v="17"/>
    <x v="25"/>
    <x v="15"/>
    <x v="161"/>
    <x v="161"/>
    <n v="4"/>
    <s v="0040000656351"/>
    <n v="4"/>
    <n v="4"/>
    <x v="10"/>
    <n v="0"/>
    <n v="4"/>
    <n v="0"/>
    <n v="4"/>
    <n v="0"/>
    <n v="0"/>
    <n v="0"/>
  </r>
  <r>
    <n v="8"/>
    <x v="6"/>
    <x v="491"/>
    <x v="17"/>
    <x v="25"/>
    <x v="15"/>
    <x v="29"/>
    <x v="29"/>
    <n v="2"/>
    <s v="0040000656358"/>
    <n v="2"/>
    <n v="2"/>
    <x v="10"/>
    <n v="0"/>
    <n v="2"/>
    <n v="0"/>
    <n v="2"/>
    <n v="0"/>
    <n v="0"/>
    <n v="0"/>
  </r>
  <r>
    <n v="8"/>
    <x v="6"/>
    <x v="491"/>
    <x v="17"/>
    <x v="25"/>
    <x v="15"/>
    <x v="147"/>
    <x v="147"/>
    <n v="5"/>
    <s v="0040000641992"/>
    <n v="5"/>
    <n v="5"/>
    <x v="10"/>
    <n v="0"/>
    <n v="5"/>
    <n v="0"/>
    <n v="5"/>
    <n v="0"/>
    <n v="0"/>
    <n v="0"/>
  </r>
  <r>
    <n v="8"/>
    <x v="6"/>
    <x v="491"/>
    <x v="17"/>
    <x v="25"/>
    <x v="15"/>
    <x v="157"/>
    <x v="157"/>
    <n v="5"/>
    <s v="0040000641993"/>
    <n v="5"/>
    <n v="5"/>
    <x v="10"/>
    <n v="0"/>
    <n v="5"/>
    <n v="0"/>
    <n v="5"/>
    <n v="0"/>
    <n v="0"/>
    <n v="0"/>
  </r>
  <r>
    <n v="8"/>
    <x v="6"/>
    <x v="492"/>
    <x v="18"/>
    <x v="26"/>
    <x v="15"/>
    <x v="17"/>
    <x v="17"/>
    <n v="1"/>
    <s v="0040000606240"/>
    <n v="1"/>
    <n v="1"/>
    <x v="10"/>
    <n v="0"/>
    <n v="1"/>
    <n v="0"/>
    <n v="1"/>
    <n v="0"/>
    <n v="0"/>
    <n v="0"/>
  </r>
  <r>
    <n v="8"/>
    <x v="6"/>
    <x v="493"/>
    <x v="18"/>
    <x v="26"/>
    <x v="27"/>
    <x v="137"/>
    <x v="137"/>
    <n v="1"/>
    <s v="0040000606241"/>
    <n v="1"/>
    <n v="1"/>
    <x v="10"/>
    <n v="0"/>
    <n v="1"/>
    <n v="0"/>
    <n v="1"/>
    <n v="0"/>
    <n v="0"/>
    <n v="0"/>
  </r>
  <r>
    <n v="8"/>
    <x v="6"/>
    <x v="494"/>
    <x v="6"/>
    <x v="27"/>
    <x v="6"/>
    <x v="17"/>
    <x v="17"/>
    <n v="1"/>
    <s v="0040000606240"/>
    <n v="1"/>
    <n v="1"/>
    <x v="17"/>
    <n v="0"/>
    <n v="1"/>
    <n v="0"/>
    <n v="1"/>
    <n v="0"/>
    <n v="0"/>
    <n v="0"/>
  </r>
  <r>
    <n v="8"/>
    <x v="6"/>
    <x v="495"/>
    <x v="6"/>
    <x v="27"/>
    <x v="16"/>
    <x v="101"/>
    <x v="101"/>
    <n v="1"/>
    <s v="0040000656352"/>
    <n v="1"/>
    <n v="1"/>
    <x v="17"/>
    <n v="0"/>
    <n v="1"/>
    <n v="0"/>
    <n v="1"/>
    <n v="0"/>
    <n v="0"/>
    <n v="0"/>
  </r>
  <r>
    <n v="24"/>
    <x v="9"/>
    <x v="496"/>
    <x v="25"/>
    <x v="16"/>
    <x v="5"/>
    <x v="6"/>
    <x v="6"/>
    <n v="1"/>
    <s v="95570217"/>
    <n v="1"/>
    <n v="1"/>
    <x v="14"/>
    <n v="0"/>
    <n v="1"/>
    <n v="0"/>
    <n v="1"/>
    <n v="0"/>
    <n v="0"/>
    <n v="0"/>
  </r>
  <r>
    <n v="24"/>
    <x v="9"/>
    <x v="497"/>
    <x v="13"/>
    <x v="19"/>
    <x v="22"/>
    <x v="95"/>
    <x v="95"/>
    <n v="30"/>
    <s v="-"/>
    <n v="0"/>
    <n v="0"/>
    <x v="2"/>
    <n v="0"/>
    <n v="0"/>
    <n v="0"/>
    <n v="0"/>
    <n v="0"/>
    <n v="0"/>
    <n v="0"/>
  </r>
  <r>
    <n v="24"/>
    <x v="9"/>
    <x v="498"/>
    <x v="13"/>
    <x v="19"/>
    <x v="22"/>
    <x v="95"/>
    <x v="95"/>
    <n v="30"/>
    <s v="-"/>
    <n v="30"/>
    <n v="30"/>
    <x v="12"/>
    <n v="0"/>
    <n v="30"/>
    <n v="0"/>
    <n v="30"/>
    <n v="0"/>
    <n v="0"/>
    <n v="0"/>
  </r>
  <r>
    <n v="24"/>
    <x v="9"/>
    <x v="499"/>
    <x v="13"/>
    <x v="19"/>
    <x v="18"/>
    <x v="53"/>
    <x v="53"/>
    <n v="1"/>
    <s v="95571133"/>
    <n v="1"/>
    <n v="1"/>
    <x v="9"/>
    <n v="0"/>
    <n v="1"/>
    <n v="0"/>
    <n v="1"/>
    <n v="0"/>
    <n v="0"/>
    <n v="0"/>
  </r>
  <r>
    <n v="24"/>
    <x v="9"/>
    <x v="500"/>
    <x v="25"/>
    <x v="37"/>
    <x v="0"/>
    <x v="162"/>
    <x v="162"/>
    <n v="1"/>
    <s v="95175746"/>
    <n v="1"/>
    <n v="1"/>
    <x v="5"/>
    <n v="0"/>
    <n v="1"/>
    <n v="0"/>
    <n v="1"/>
    <n v="0"/>
    <n v="0"/>
    <n v="0"/>
  </r>
  <r>
    <n v="24"/>
    <x v="9"/>
    <x v="501"/>
    <x v="0"/>
    <x v="38"/>
    <x v="22"/>
    <x v="118"/>
    <x v="118"/>
    <n v="70"/>
    <s v="-"/>
    <n v="70"/>
    <n v="70"/>
    <x v="14"/>
    <n v="0"/>
    <n v="70"/>
    <n v="0"/>
    <n v="70"/>
    <n v="0"/>
    <n v="0"/>
    <n v="0"/>
  </r>
  <r>
    <n v="24"/>
    <x v="9"/>
    <x v="501"/>
    <x v="0"/>
    <x v="38"/>
    <x v="22"/>
    <x v="121"/>
    <x v="121"/>
    <n v="200"/>
    <s v="-"/>
    <n v="80"/>
    <n v="80"/>
    <x v="14"/>
    <n v="0"/>
    <n v="80"/>
    <n v="0"/>
    <n v="80"/>
    <n v="0"/>
    <n v="0"/>
    <n v="0"/>
  </r>
  <r>
    <n v="24"/>
    <x v="9"/>
    <x v="501"/>
    <x v="0"/>
    <x v="38"/>
    <x v="22"/>
    <x v="163"/>
    <x v="163"/>
    <n v="600"/>
    <s v="-"/>
    <n v="0"/>
    <n v="0"/>
    <x v="14"/>
    <n v="0"/>
    <n v="0"/>
    <n v="0"/>
    <n v="0"/>
    <n v="0"/>
    <n v="0"/>
    <n v="0"/>
  </r>
  <r>
    <n v="24"/>
    <x v="9"/>
    <x v="501"/>
    <x v="0"/>
    <x v="38"/>
    <x v="22"/>
    <x v="122"/>
    <x v="122"/>
    <n v="100"/>
    <s v="-"/>
    <n v="100"/>
    <n v="100"/>
    <x v="14"/>
    <n v="0"/>
    <n v="100"/>
    <n v="0"/>
    <n v="100"/>
    <n v="0"/>
    <n v="0"/>
    <n v="0"/>
  </r>
  <r>
    <n v="24"/>
    <x v="9"/>
    <x v="501"/>
    <x v="0"/>
    <x v="38"/>
    <x v="22"/>
    <x v="95"/>
    <x v="95"/>
    <n v="90"/>
    <s v="-"/>
    <n v="90"/>
    <n v="90"/>
    <x v="14"/>
    <n v="0"/>
    <n v="90"/>
    <n v="0"/>
    <n v="90"/>
    <n v="0"/>
    <n v="0"/>
    <n v="0"/>
  </r>
  <r>
    <n v="24"/>
    <x v="9"/>
    <x v="501"/>
    <x v="0"/>
    <x v="38"/>
    <x v="22"/>
    <x v="119"/>
    <x v="119"/>
    <n v="250"/>
    <s v="-"/>
    <n v="0"/>
    <n v="0"/>
    <x v="14"/>
    <n v="0"/>
    <n v="0"/>
    <n v="0"/>
    <n v="0"/>
    <n v="0"/>
    <n v="0"/>
    <n v="0"/>
  </r>
  <r>
    <n v="24"/>
    <x v="9"/>
    <x v="502"/>
    <x v="0"/>
    <x v="38"/>
    <x v="23"/>
    <x v="46"/>
    <x v="46"/>
    <n v="1"/>
    <s v="-"/>
    <n v="1"/>
    <n v="1"/>
    <x v="9"/>
    <n v="0"/>
    <n v="1"/>
    <n v="0"/>
    <n v="1"/>
    <n v="0"/>
    <n v="0"/>
    <n v="0"/>
  </r>
  <r>
    <n v="24"/>
    <x v="9"/>
    <x v="503"/>
    <x v="0"/>
    <x v="38"/>
    <x v="4"/>
    <x v="123"/>
    <x v="123"/>
    <n v="1"/>
    <s v="95453861"/>
    <n v="1"/>
    <n v="1"/>
    <x v="5"/>
    <n v="0"/>
    <n v="1"/>
    <n v="0"/>
    <n v="1"/>
    <n v="0"/>
    <n v="0"/>
    <n v="0"/>
  </r>
  <r>
    <n v="24"/>
    <x v="9"/>
    <x v="504"/>
    <x v="0"/>
    <x v="0"/>
    <x v="17"/>
    <x v="123"/>
    <x v="123"/>
    <n v="1"/>
    <s v="95914397"/>
    <n v="1"/>
    <n v="1"/>
    <x v="23"/>
    <n v="0"/>
    <n v="1"/>
    <n v="0"/>
    <n v="1"/>
    <n v="0"/>
    <n v="0"/>
    <n v="0"/>
  </r>
  <r>
    <n v="24"/>
    <x v="9"/>
    <x v="505"/>
    <x v="0"/>
    <x v="0"/>
    <x v="4"/>
    <x v="53"/>
    <x v="53"/>
    <n v="1"/>
    <s v="95571829"/>
    <n v="1"/>
    <n v="1"/>
    <x v="5"/>
    <n v="0"/>
    <n v="1"/>
    <n v="0"/>
    <n v="1"/>
    <n v="0"/>
    <n v="0"/>
    <n v="0"/>
  </r>
  <r>
    <n v="24"/>
    <x v="9"/>
    <x v="506"/>
    <x v="0"/>
    <x v="0"/>
    <x v="4"/>
    <x v="123"/>
    <x v="123"/>
    <n v="1"/>
    <s v="95571873"/>
    <n v="1"/>
    <n v="1"/>
    <x v="5"/>
    <n v="0"/>
    <n v="1"/>
    <n v="0"/>
    <n v="1"/>
    <n v="0"/>
    <n v="0"/>
    <n v="0"/>
  </r>
  <r>
    <n v="24"/>
    <x v="9"/>
    <x v="507"/>
    <x v="0"/>
    <x v="1"/>
    <x v="4"/>
    <x v="123"/>
    <x v="123"/>
    <n v="1"/>
    <s v="95876217"/>
    <n v="1"/>
    <n v="1"/>
    <x v="5"/>
    <n v="0"/>
    <n v="1"/>
    <n v="0"/>
    <n v="1"/>
    <n v="0"/>
    <n v="0"/>
    <n v="0"/>
  </r>
  <r>
    <n v="24"/>
    <x v="9"/>
    <x v="508"/>
    <x v="1"/>
    <x v="2"/>
    <x v="22"/>
    <x v="120"/>
    <x v="120"/>
    <n v="200"/>
    <s v="-"/>
    <n v="200"/>
    <n v="200"/>
    <x v="14"/>
    <n v="0"/>
    <n v="200"/>
    <n v="0"/>
    <n v="200"/>
    <n v="0"/>
    <n v="0"/>
    <n v="0"/>
  </r>
  <r>
    <n v="24"/>
    <x v="9"/>
    <x v="508"/>
    <x v="1"/>
    <x v="2"/>
    <x v="22"/>
    <x v="121"/>
    <x v="121"/>
    <n v="200"/>
    <s v="-"/>
    <n v="0"/>
    <n v="0"/>
    <x v="14"/>
    <n v="0"/>
    <n v="0"/>
    <n v="0"/>
    <n v="0"/>
    <n v="0"/>
    <n v="0"/>
    <n v="0"/>
  </r>
  <r>
    <n v="24"/>
    <x v="9"/>
    <x v="509"/>
    <x v="1"/>
    <x v="2"/>
    <x v="4"/>
    <x v="123"/>
    <x v="123"/>
    <n v="1"/>
    <s v="95876559"/>
    <n v="1"/>
    <n v="1"/>
    <x v="5"/>
    <n v="0"/>
    <n v="1"/>
    <n v="0"/>
    <n v="1"/>
    <n v="0"/>
    <n v="0"/>
    <n v="0"/>
  </r>
  <r>
    <n v="24"/>
    <x v="9"/>
    <x v="510"/>
    <x v="2"/>
    <x v="3"/>
    <x v="4"/>
    <x v="164"/>
    <x v="164"/>
    <n v="1"/>
    <s v="95876675"/>
    <n v="1"/>
    <n v="1"/>
    <x v="5"/>
    <n v="0"/>
    <n v="1"/>
    <n v="0"/>
    <n v="1"/>
    <n v="0"/>
    <n v="0"/>
    <n v="0"/>
  </r>
  <r>
    <n v="24"/>
    <x v="9"/>
    <x v="511"/>
    <x v="2"/>
    <x v="3"/>
    <x v="4"/>
    <x v="123"/>
    <x v="123"/>
    <n v="1"/>
    <s v="95876685"/>
    <n v="1"/>
    <n v="1"/>
    <x v="5"/>
    <n v="0"/>
    <n v="1"/>
    <n v="0"/>
    <n v="1"/>
    <n v="0"/>
    <n v="0"/>
    <n v="0"/>
  </r>
  <r>
    <n v="24"/>
    <x v="9"/>
    <x v="512"/>
    <x v="2"/>
    <x v="3"/>
    <x v="4"/>
    <x v="2"/>
    <x v="2"/>
    <n v="1"/>
    <s v="95876768"/>
    <n v="1"/>
    <n v="1"/>
    <x v="5"/>
    <n v="0"/>
    <n v="1"/>
    <n v="0"/>
    <n v="1"/>
    <n v="0"/>
    <n v="0"/>
    <n v="0"/>
  </r>
  <r>
    <n v="24"/>
    <x v="9"/>
    <x v="513"/>
    <x v="2"/>
    <x v="3"/>
    <x v="4"/>
    <x v="123"/>
    <x v="123"/>
    <n v="1"/>
    <s v="95876835"/>
    <n v="1"/>
    <n v="1"/>
    <x v="5"/>
    <n v="0"/>
    <n v="1"/>
    <n v="0"/>
    <n v="1"/>
    <n v="0"/>
    <n v="0"/>
    <n v="0"/>
  </r>
  <r>
    <n v="24"/>
    <x v="9"/>
    <x v="514"/>
    <x v="2"/>
    <x v="3"/>
    <x v="4"/>
    <x v="64"/>
    <x v="64"/>
    <n v="1"/>
    <s v="95876865"/>
    <n v="1"/>
    <n v="1"/>
    <x v="5"/>
    <n v="0"/>
    <n v="1"/>
    <n v="0"/>
    <n v="1"/>
    <n v="0"/>
    <n v="0"/>
    <n v="0"/>
  </r>
  <r>
    <n v="24"/>
    <x v="9"/>
    <x v="515"/>
    <x v="2"/>
    <x v="3"/>
    <x v="4"/>
    <x v="123"/>
    <x v="123"/>
    <n v="1"/>
    <s v="95876868"/>
    <n v="1"/>
    <n v="1"/>
    <x v="5"/>
    <n v="0"/>
    <n v="1"/>
    <n v="0"/>
    <n v="1"/>
    <n v="0"/>
    <n v="0"/>
    <n v="0"/>
  </r>
  <r>
    <n v="24"/>
    <x v="9"/>
    <x v="516"/>
    <x v="2"/>
    <x v="3"/>
    <x v="15"/>
    <x v="35"/>
    <x v="35"/>
    <n v="1"/>
    <s v="95876926"/>
    <n v="1"/>
    <n v="1"/>
    <x v="16"/>
    <n v="0"/>
    <n v="1"/>
    <n v="0"/>
    <n v="1"/>
    <n v="0"/>
    <n v="0"/>
    <n v="0"/>
  </r>
  <r>
    <n v="24"/>
    <x v="9"/>
    <x v="517"/>
    <x v="2"/>
    <x v="3"/>
    <x v="0"/>
    <x v="125"/>
    <x v="125"/>
    <n v="1"/>
    <s v="95877006"/>
    <n v="1"/>
    <n v="1"/>
    <x v="5"/>
    <n v="0"/>
    <n v="1"/>
    <n v="0"/>
    <n v="1"/>
    <n v="0"/>
    <n v="0"/>
    <n v="0"/>
  </r>
  <r>
    <n v="24"/>
    <x v="9"/>
    <x v="518"/>
    <x v="3"/>
    <x v="4"/>
    <x v="0"/>
    <x v="123"/>
    <x v="123"/>
    <n v="1"/>
    <s v="95877205"/>
    <n v="1"/>
    <n v="1"/>
    <x v="5"/>
    <n v="0"/>
    <n v="1"/>
    <n v="0"/>
    <n v="1"/>
    <n v="0"/>
    <n v="0"/>
    <n v="0"/>
  </r>
  <r>
    <n v="24"/>
    <x v="9"/>
    <x v="519"/>
    <x v="3"/>
    <x v="4"/>
    <x v="0"/>
    <x v="53"/>
    <x v="53"/>
    <n v="1"/>
    <s v="95877226"/>
    <n v="1"/>
    <n v="1"/>
    <x v="5"/>
    <n v="0"/>
    <n v="1"/>
    <n v="0"/>
    <n v="1"/>
    <n v="0"/>
    <n v="0"/>
    <n v="0"/>
  </r>
  <r>
    <n v="24"/>
    <x v="9"/>
    <x v="520"/>
    <x v="3"/>
    <x v="4"/>
    <x v="7"/>
    <x v="123"/>
    <x v="123"/>
    <n v="1"/>
    <s v="95877320"/>
    <n v="1"/>
    <n v="1"/>
    <x v="23"/>
    <n v="0"/>
    <n v="1"/>
    <n v="0"/>
    <n v="1"/>
    <n v="0"/>
    <n v="0"/>
    <n v="0"/>
  </r>
  <r>
    <n v="24"/>
    <x v="9"/>
    <x v="521"/>
    <x v="3"/>
    <x v="4"/>
    <x v="0"/>
    <x v="123"/>
    <x v="123"/>
    <n v="1"/>
    <s v="95827386"/>
    <n v="1"/>
    <n v="1"/>
    <x v="5"/>
    <n v="0"/>
    <n v="1"/>
    <n v="0"/>
    <n v="1"/>
    <n v="0"/>
    <n v="0"/>
    <n v="0"/>
  </r>
  <r>
    <n v="24"/>
    <x v="9"/>
    <x v="522"/>
    <x v="3"/>
    <x v="4"/>
    <x v="0"/>
    <x v="123"/>
    <x v="123"/>
    <n v="1"/>
    <s v="95911872"/>
    <n v="1"/>
    <n v="1"/>
    <x v="5"/>
    <n v="0"/>
    <n v="1"/>
    <n v="0"/>
    <n v="1"/>
    <n v="0"/>
    <n v="0"/>
    <n v="0"/>
  </r>
  <r>
    <n v="24"/>
    <x v="9"/>
    <x v="523"/>
    <x v="3"/>
    <x v="4"/>
    <x v="0"/>
    <x v="123"/>
    <x v="123"/>
    <n v="1"/>
    <s v="95877552"/>
    <n v="1"/>
    <n v="1"/>
    <x v="5"/>
    <n v="0"/>
    <n v="1"/>
    <n v="0"/>
    <n v="1"/>
    <n v="0"/>
    <n v="0"/>
    <n v="0"/>
  </r>
  <r>
    <n v="24"/>
    <x v="9"/>
    <x v="524"/>
    <x v="3"/>
    <x v="4"/>
    <x v="0"/>
    <x v="123"/>
    <x v="123"/>
    <n v="1"/>
    <s v="95877595"/>
    <n v="1"/>
    <n v="1"/>
    <x v="5"/>
    <n v="0"/>
    <n v="1"/>
    <n v="0"/>
    <n v="1"/>
    <n v="0"/>
    <n v="0"/>
    <n v="0"/>
  </r>
  <r>
    <n v="24"/>
    <x v="9"/>
    <x v="525"/>
    <x v="3"/>
    <x v="4"/>
    <x v="0"/>
    <x v="83"/>
    <x v="83"/>
    <n v="1"/>
    <s v="95943171"/>
    <n v="1"/>
    <n v="1"/>
    <x v="5"/>
    <n v="0"/>
    <n v="1"/>
    <n v="0"/>
    <n v="1"/>
    <n v="0"/>
    <n v="0"/>
    <n v="0"/>
  </r>
  <r>
    <n v="24"/>
    <x v="9"/>
    <x v="526"/>
    <x v="3"/>
    <x v="4"/>
    <x v="0"/>
    <x v="123"/>
    <x v="123"/>
    <n v="1"/>
    <s v="95877720"/>
    <n v="1"/>
    <n v="1"/>
    <x v="5"/>
    <n v="0"/>
    <n v="1"/>
    <n v="0"/>
    <n v="1"/>
    <n v="0"/>
    <n v="0"/>
    <n v="0"/>
  </r>
  <r>
    <n v="24"/>
    <x v="9"/>
    <x v="527"/>
    <x v="3"/>
    <x v="4"/>
    <x v="17"/>
    <x v="162"/>
    <x v="162"/>
    <n v="2"/>
    <s v="95877808"/>
    <n v="2"/>
    <n v="4"/>
    <x v="30"/>
    <n v="2"/>
    <n v="2"/>
    <n v="2"/>
    <n v="2"/>
    <n v="0"/>
    <n v="0"/>
    <n v="0"/>
  </r>
  <r>
    <n v="24"/>
    <x v="9"/>
    <x v="528"/>
    <x v="4"/>
    <x v="39"/>
    <x v="17"/>
    <x v="64"/>
    <x v="64"/>
    <n v="1"/>
    <s v="95877991"/>
    <n v="1"/>
    <n v="1"/>
    <x v="23"/>
    <n v="0"/>
    <n v="1"/>
    <n v="0"/>
    <n v="1"/>
    <n v="0"/>
    <n v="0"/>
    <n v="0"/>
  </r>
  <r>
    <n v="24"/>
    <x v="9"/>
    <x v="529"/>
    <x v="4"/>
    <x v="39"/>
    <x v="28"/>
    <x v="118"/>
    <x v="118"/>
    <n v="80"/>
    <s v="-"/>
    <n v="80"/>
    <n v="80"/>
    <x v="31"/>
    <n v="0"/>
    <n v="80"/>
    <n v="0"/>
    <n v="80"/>
    <n v="0"/>
    <n v="0"/>
    <n v="0"/>
  </r>
  <r>
    <n v="24"/>
    <x v="9"/>
    <x v="529"/>
    <x v="4"/>
    <x v="39"/>
    <x v="28"/>
    <x v="119"/>
    <x v="119"/>
    <n v="500"/>
    <s v="-"/>
    <n v="500"/>
    <n v="500"/>
    <x v="31"/>
    <n v="1"/>
    <n v="499"/>
    <n v="0"/>
    <n v="498"/>
    <n v="-1"/>
    <n v="0"/>
    <n v="0"/>
  </r>
  <r>
    <n v="24"/>
    <x v="9"/>
    <x v="529"/>
    <x v="4"/>
    <x v="39"/>
    <x v="28"/>
    <x v="120"/>
    <x v="120"/>
    <n v="300"/>
    <s v="-"/>
    <n v="300"/>
    <n v="300"/>
    <x v="31"/>
    <n v="0"/>
    <n v="300"/>
    <n v="0"/>
    <n v="300"/>
    <n v="0"/>
    <n v="0"/>
    <n v="0"/>
  </r>
  <r>
    <n v="24"/>
    <x v="9"/>
    <x v="529"/>
    <x v="4"/>
    <x v="39"/>
    <x v="28"/>
    <x v="121"/>
    <x v="121"/>
    <n v="620"/>
    <s v="-"/>
    <n v="250"/>
    <n v="250"/>
    <x v="31"/>
    <n v="0"/>
    <n v="250"/>
    <n v="0"/>
    <n v="250"/>
    <n v="0"/>
    <n v="0"/>
    <n v="0"/>
  </r>
  <r>
    <n v="24"/>
    <x v="9"/>
    <x v="529"/>
    <x v="4"/>
    <x v="39"/>
    <x v="28"/>
    <x v="122"/>
    <x v="122"/>
    <n v="200"/>
    <s v="-"/>
    <n v="200"/>
    <n v="200"/>
    <x v="31"/>
    <n v="0"/>
    <n v="200"/>
    <n v="0"/>
    <n v="200"/>
    <n v="0"/>
    <n v="0"/>
    <n v="0"/>
  </r>
  <r>
    <n v="24"/>
    <x v="9"/>
    <x v="529"/>
    <x v="4"/>
    <x v="39"/>
    <x v="28"/>
    <x v="95"/>
    <x v="95"/>
    <n v="110"/>
    <s v="-"/>
    <n v="110"/>
    <n v="110"/>
    <x v="31"/>
    <n v="0"/>
    <n v="110"/>
    <n v="0"/>
    <n v="110"/>
    <n v="0"/>
    <n v="0"/>
    <n v="0"/>
  </r>
  <r>
    <n v="24"/>
    <x v="9"/>
    <x v="530"/>
    <x v="4"/>
    <x v="20"/>
    <x v="17"/>
    <x v="123"/>
    <x v="123"/>
    <n v="1"/>
    <s v="61265903"/>
    <n v="1"/>
    <n v="1"/>
    <x v="23"/>
    <n v="0"/>
    <n v="1"/>
    <n v="0"/>
    <n v="1"/>
    <n v="0"/>
    <n v="0"/>
    <n v="0"/>
  </r>
  <r>
    <n v="24"/>
    <x v="9"/>
    <x v="531"/>
    <x v="14"/>
    <x v="20"/>
    <x v="7"/>
    <x v="124"/>
    <x v="124"/>
    <n v="1"/>
    <s v="95878338"/>
    <n v="1"/>
    <n v="1"/>
    <x v="23"/>
    <n v="0"/>
    <n v="1"/>
    <n v="0"/>
    <n v="1"/>
    <n v="0"/>
    <n v="0"/>
    <n v="0"/>
  </r>
  <r>
    <n v="24"/>
    <x v="9"/>
    <x v="532"/>
    <x v="14"/>
    <x v="20"/>
    <x v="17"/>
    <x v="2"/>
    <x v="2"/>
    <n v="1"/>
    <s v="95878345"/>
    <n v="0"/>
    <n v="0"/>
    <x v="2"/>
    <n v="0"/>
    <n v="0"/>
    <n v="0"/>
    <n v="0"/>
    <n v="0"/>
    <n v="0"/>
    <n v="0"/>
  </r>
  <r>
    <n v="24"/>
    <x v="9"/>
    <x v="533"/>
    <x v="14"/>
    <x v="20"/>
    <x v="17"/>
    <x v="123"/>
    <x v="123"/>
    <n v="1"/>
    <s v="95709216"/>
    <n v="1"/>
    <n v="1"/>
    <x v="23"/>
    <n v="0"/>
    <n v="1"/>
    <n v="0"/>
    <n v="1"/>
    <n v="0"/>
    <n v="0"/>
    <n v="0"/>
  </r>
  <r>
    <n v="24"/>
    <x v="9"/>
    <x v="534"/>
    <x v="14"/>
    <x v="20"/>
    <x v="17"/>
    <x v="123"/>
    <x v="123"/>
    <n v="1"/>
    <s v="95878430"/>
    <n v="1"/>
    <n v="1"/>
    <x v="23"/>
    <n v="0"/>
    <n v="1"/>
    <n v="0"/>
    <n v="1"/>
    <n v="0"/>
    <n v="0"/>
    <n v="0"/>
  </r>
  <r>
    <n v="24"/>
    <x v="9"/>
    <x v="535"/>
    <x v="14"/>
    <x v="20"/>
    <x v="17"/>
    <x v="123"/>
    <x v="123"/>
    <n v="1"/>
    <s v="95878440"/>
    <n v="1"/>
    <n v="1"/>
    <x v="23"/>
    <n v="0"/>
    <n v="1"/>
    <n v="0"/>
    <n v="1"/>
    <n v="0"/>
    <n v="0"/>
    <n v="0"/>
  </r>
  <r>
    <n v="24"/>
    <x v="9"/>
    <x v="536"/>
    <x v="14"/>
    <x v="21"/>
    <x v="7"/>
    <x v="123"/>
    <x v="123"/>
    <n v="1"/>
    <s v="95878470"/>
    <n v="1"/>
    <n v="1"/>
    <x v="23"/>
    <n v="0"/>
    <n v="1"/>
    <n v="0"/>
    <n v="1"/>
    <n v="0"/>
    <n v="0"/>
    <n v="0"/>
  </r>
  <r>
    <n v="24"/>
    <x v="9"/>
    <x v="537"/>
    <x v="14"/>
    <x v="21"/>
    <x v="7"/>
    <x v="124"/>
    <x v="124"/>
    <n v="1"/>
    <s v="95878507"/>
    <n v="1"/>
    <n v="1"/>
    <x v="23"/>
    <n v="0"/>
    <n v="1"/>
    <n v="0"/>
    <n v="1"/>
    <n v="0"/>
    <n v="0"/>
    <n v="0"/>
  </r>
  <r>
    <n v="24"/>
    <x v="9"/>
    <x v="538"/>
    <x v="14"/>
    <x v="22"/>
    <x v="17"/>
    <x v="124"/>
    <x v="124"/>
    <n v="1"/>
    <s v="95878728"/>
    <n v="1"/>
    <n v="2"/>
    <x v="30"/>
    <n v="1"/>
    <n v="1"/>
    <n v="1"/>
    <n v="1"/>
    <n v="0"/>
    <n v="0"/>
    <n v="0"/>
  </r>
  <r>
    <n v="24"/>
    <x v="9"/>
    <x v="539"/>
    <x v="14"/>
    <x v="22"/>
    <x v="17"/>
    <x v="162"/>
    <x v="162"/>
    <n v="1"/>
    <s v="95878738"/>
    <n v="1"/>
    <n v="1"/>
    <x v="23"/>
    <n v="0"/>
    <n v="1"/>
    <n v="0"/>
    <n v="1"/>
    <n v="0"/>
    <n v="0"/>
    <n v="0"/>
  </r>
  <r>
    <n v="24"/>
    <x v="9"/>
    <x v="540"/>
    <x v="14"/>
    <x v="22"/>
    <x v="17"/>
    <x v="123"/>
    <x v="123"/>
    <n v="1"/>
    <s v="95878798"/>
    <n v="1"/>
    <n v="1"/>
    <x v="23"/>
    <n v="0"/>
    <n v="1"/>
    <n v="0"/>
    <n v="1"/>
    <n v="0"/>
    <n v="0"/>
    <n v="0"/>
  </r>
  <r>
    <n v="24"/>
    <x v="9"/>
    <x v="541"/>
    <x v="14"/>
    <x v="22"/>
    <x v="7"/>
    <x v="123"/>
    <x v="123"/>
    <n v="1"/>
    <s v="95878864"/>
    <n v="1"/>
    <n v="1"/>
    <x v="23"/>
    <n v="0"/>
    <n v="1"/>
    <n v="0"/>
    <n v="1"/>
    <n v="0"/>
    <n v="0"/>
    <n v="0"/>
  </r>
  <r>
    <n v="24"/>
    <x v="9"/>
    <x v="542"/>
    <x v="15"/>
    <x v="23"/>
    <x v="17"/>
    <x v="123"/>
    <x v="123"/>
    <n v="1"/>
    <s v="95879029"/>
    <n v="1"/>
    <n v="1"/>
    <x v="23"/>
    <n v="0"/>
    <n v="1"/>
    <n v="0"/>
    <n v="1"/>
    <n v="0"/>
    <n v="0"/>
    <n v="0"/>
  </r>
  <r>
    <n v="24"/>
    <x v="9"/>
    <x v="543"/>
    <x v="15"/>
    <x v="23"/>
    <x v="7"/>
    <x v="123"/>
    <x v="123"/>
    <n v="1"/>
    <s v="95510900"/>
    <n v="1"/>
    <n v="1"/>
    <x v="23"/>
    <n v="0"/>
    <n v="1"/>
    <n v="0"/>
    <n v="1"/>
    <n v="0"/>
    <n v="0"/>
    <n v="0"/>
  </r>
  <r>
    <n v="24"/>
    <x v="9"/>
    <x v="544"/>
    <x v="15"/>
    <x v="23"/>
    <x v="17"/>
    <x v="123"/>
    <x v="123"/>
    <n v="1"/>
    <s v="95879234"/>
    <n v="1"/>
    <n v="1"/>
    <x v="23"/>
    <n v="0"/>
    <n v="1"/>
    <n v="0"/>
    <n v="1"/>
    <n v="0"/>
    <n v="0"/>
    <n v="0"/>
  </r>
  <r>
    <n v="24"/>
    <x v="9"/>
    <x v="545"/>
    <x v="15"/>
    <x v="23"/>
    <x v="17"/>
    <x v="123"/>
    <x v="123"/>
    <n v="1"/>
    <s v="95545984"/>
    <n v="1"/>
    <n v="1"/>
    <x v="23"/>
    <n v="0"/>
    <n v="1"/>
    <n v="0"/>
    <n v="1"/>
    <n v="0"/>
    <n v="0"/>
    <n v="0"/>
  </r>
  <r>
    <n v="24"/>
    <x v="9"/>
    <x v="546"/>
    <x v="15"/>
    <x v="23"/>
    <x v="17"/>
    <x v="123"/>
    <x v="123"/>
    <n v="1"/>
    <s v="95849403"/>
    <n v="1"/>
    <n v="1"/>
    <x v="23"/>
    <n v="0"/>
    <n v="1"/>
    <n v="0"/>
    <n v="1"/>
    <n v="0"/>
    <n v="0"/>
    <n v="0"/>
  </r>
  <r>
    <n v="24"/>
    <x v="9"/>
    <x v="547"/>
    <x v="15"/>
    <x v="23"/>
    <x v="17"/>
    <x v="123"/>
    <x v="123"/>
    <n v="1"/>
    <s v="95545987"/>
    <n v="1"/>
    <n v="1"/>
    <x v="23"/>
    <n v="0"/>
    <n v="1"/>
    <n v="0"/>
    <n v="1"/>
    <n v="0"/>
    <n v="0"/>
    <n v="0"/>
  </r>
  <r>
    <n v="24"/>
    <x v="9"/>
    <x v="548"/>
    <x v="15"/>
    <x v="23"/>
    <x v="7"/>
    <x v="124"/>
    <x v="124"/>
    <n v="1"/>
    <s v="95879309"/>
    <n v="1"/>
    <n v="1"/>
    <x v="23"/>
    <n v="0"/>
    <n v="1"/>
    <n v="0"/>
    <n v="1"/>
    <n v="0"/>
    <n v="0"/>
    <n v="0"/>
  </r>
  <r>
    <n v="24"/>
    <x v="9"/>
    <x v="549"/>
    <x v="15"/>
    <x v="23"/>
    <x v="17"/>
    <x v="123"/>
    <x v="123"/>
    <n v="1"/>
    <s v="95771612"/>
    <n v="1"/>
    <n v="1"/>
    <x v="23"/>
    <n v="0"/>
    <n v="1"/>
    <n v="0"/>
    <n v="1"/>
    <n v="0"/>
    <n v="0"/>
    <n v="0"/>
  </r>
  <r>
    <n v="24"/>
    <x v="9"/>
    <x v="550"/>
    <x v="15"/>
    <x v="23"/>
    <x v="17"/>
    <x v="124"/>
    <x v="124"/>
    <n v="1"/>
    <s v="95879339"/>
    <n v="1"/>
    <n v="1"/>
    <x v="23"/>
    <n v="0"/>
    <n v="1"/>
    <n v="0"/>
    <n v="1"/>
    <n v="0"/>
    <n v="0"/>
    <n v="0"/>
  </r>
  <r>
    <n v="24"/>
    <x v="9"/>
    <x v="551"/>
    <x v="15"/>
    <x v="24"/>
    <x v="17"/>
    <x v="123"/>
    <x v="123"/>
    <n v="1"/>
    <s v="95879484"/>
    <n v="1"/>
    <n v="1"/>
    <x v="23"/>
    <n v="0"/>
    <n v="1"/>
    <n v="0"/>
    <n v="1"/>
    <n v="0"/>
    <n v="0"/>
    <n v="0"/>
  </r>
  <r>
    <n v="24"/>
    <x v="9"/>
    <x v="552"/>
    <x v="16"/>
    <x v="24"/>
    <x v="7"/>
    <x v="37"/>
    <x v="37"/>
    <n v="1"/>
    <s v="95879568"/>
    <n v="1"/>
    <n v="1"/>
    <x v="23"/>
    <n v="0"/>
    <n v="1"/>
    <n v="0"/>
    <n v="1"/>
    <n v="0"/>
    <n v="0"/>
    <n v="0"/>
  </r>
  <r>
    <n v="24"/>
    <x v="9"/>
    <x v="553"/>
    <x v="16"/>
    <x v="24"/>
    <x v="17"/>
    <x v="123"/>
    <x v="123"/>
    <n v="1"/>
    <s v="95572177"/>
    <n v="1"/>
    <n v="1"/>
    <x v="23"/>
    <n v="0"/>
    <n v="1"/>
    <n v="0"/>
    <n v="1"/>
    <n v="0"/>
    <n v="0"/>
    <n v="0"/>
  </r>
  <r>
    <n v="24"/>
    <x v="9"/>
    <x v="554"/>
    <x v="16"/>
    <x v="24"/>
    <x v="7"/>
    <x v="123"/>
    <x v="123"/>
    <n v="1"/>
    <s v="95920717"/>
    <n v="1"/>
    <n v="1"/>
    <x v="23"/>
    <n v="0"/>
    <n v="1"/>
    <n v="0"/>
    <n v="1"/>
    <n v="0"/>
    <n v="0"/>
    <n v="0"/>
  </r>
  <r>
    <n v="24"/>
    <x v="9"/>
    <x v="555"/>
    <x v="16"/>
    <x v="24"/>
    <x v="17"/>
    <x v="123"/>
    <x v="123"/>
    <n v="1"/>
    <s v="95879661"/>
    <n v="1"/>
    <n v="1"/>
    <x v="23"/>
    <n v="0"/>
    <n v="1"/>
    <n v="0"/>
    <n v="1"/>
    <n v="0"/>
    <n v="0"/>
    <n v="0"/>
  </r>
  <r>
    <n v="24"/>
    <x v="9"/>
    <x v="556"/>
    <x v="17"/>
    <x v="25"/>
    <x v="17"/>
    <x v="64"/>
    <x v="64"/>
    <n v="1"/>
    <s v="95879769"/>
    <n v="1"/>
    <n v="1"/>
    <x v="23"/>
    <n v="0"/>
    <n v="1"/>
    <n v="0"/>
    <n v="1"/>
    <n v="0"/>
    <n v="0"/>
    <n v="0"/>
  </r>
  <r>
    <n v="24"/>
    <x v="9"/>
    <x v="557"/>
    <x v="17"/>
    <x v="25"/>
    <x v="24"/>
    <x v="121"/>
    <x v="121"/>
    <n v="350"/>
    <s v="-"/>
    <n v="350"/>
    <n v="350"/>
    <x v="16"/>
    <n v="0"/>
    <n v="350"/>
    <n v="0"/>
    <n v="350"/>
    <n v="0"/>
    <n v="0"/>
    <n v="0"/>
  </r>
  <r>
    <n v="24"/>
    <x v="9"/>
    <x v="557"/>
    <x v="17"/>
    <x v="25"/>
    <x v="24"/>
    <x v="163"/>
    <x v="163"/>
    <n v="300"/>
    <s v="-"/>
    <n v="250"/>
    <n v="250"/>
    <x v="16"/>
    <n v="0"/>
    <n v="250"/>
    <n v="0"/>
    <n v="250"/>
    <n v="0"/>
    <n v="0"/>
    <n v="0"/>
  </r>
  <r>
    <n v="24"/>
    <x v="9"/>
    <x v="557"/>
    <x v="17"/>
    <x v="25"/>
    <x v="24"/>
    <x v="95"/>
    <x v="95"/>
    <n v="100"/>
    <s v="-"/>
    <n v="100"/>
    <n v="100"/>
    <x v="16"/>
    <n v="0"/>
    <n v="100"/>
    <n v="0"/>
    <n v="100"/>
    <n v="0"/>
    <n v="0"/>
    <n v="0"/>
  </r>
  <r>
    <n v="24"/>
    <x v="9"/>
    <x v="558"/>
    <x v="17"/>
    <x v="25"/>
    <x v="7"/>
    <x v="123"/>
    <x v="123"/>
    <n v="1"/>
    <s v="95879790"/>
    <n v="1"/>
    <n v="1"/>
    <x v="23"/>
    <n v="0"/>
    <n v="1"/>
    <n v="0"/>
    <n v="1"/>
    <n v="0"/>
    <n v="0"/>
    <n v="0"/>
  </r>
  <r>
    <n v="24"/>
    <x v="9"/>
    <x v="559"/>
    <x v="17"/>
    <x v="25"/>
    <x v="17"/>
    <x v="100"/>
    <x v="100"/>
    <n v="1"/>
    <s v="95879792"/>
    <n v="1"/>
    <n v="1"/>
    <x v="23"/>
    <n v="0"/>
    <n v="1"/>
    <n v="0"/>
    <n v="1"/>
    <n v="0"/>
    <n v="0"/>
    <n v="0"/>
  </r>
  <r>
    <n v="24"/>
    <x v="9"/>
    <x v="560"/>
    <x v="18"/>
    <x v="26"/>
    <x v="7"/>
    <x v="123"/>
    <x v="123"/>
    <n v="1"/>
    <s v="95880090"/>
    <n v="1"/>
    <n v="1"/>
    <x v="23"/>
    <n v="0"/>
    <n v="1"/>
    <n v="0"/>
    <n v="1"/>
    <n v="0"/>
    <n v="0"/>
    <n v="0"/>
  </r>
  <r>
    <n v="24"/>
    <x v="9"/>
    <x v="561"/>
    <x v="18"/>
    <x v="26"/>
    <x v="7"/>
    <x v="123"/>
    <x v="123"/>
    <n v="1"/>
    <s v="94925109"/>
    <n v="1"/>
    <n v="1"/>
    <x v="23"/>
    <n v="0"/>
    <n v="1"/>
    <n v="0"/>
    <n v="1"/>
    <n v="0"/>
    <n v="0"/>
    <n v="0"/>
  </r>
  <r>
    <n v="24"/>
    <x v="9"/>
    <x v="562"/>
    <x v="18"/>
    <x v="26"/>
    <x v="7"/>
    <x v="123"/>
    <x v="123"/>
    <n v="1"/>
    <s v="95880140"/>
    <n v="1"/>
    <n v="1"/>
    <x v="23"/>
    <n v="0"/>
    <n v="1"/>
    <n v="0"/>
    <n v="1"/>
    <n v="0"/>
    <n v="0"/>
    <n v="0"/>
  </r>
  <r>
    <n v="24"/>
    <x v="9"/>
    <x v="563"/>
    <x v="18"/>
    <x v="26"/>
    <x v="7"/>
    <x v="64"/>
    <x v="64"/>
    <n v="1"/>
    <s v="95880169"/>
    <n v="1"/>
    <n v="1"/>
    <x v="23"/>
    <n v="0"/>
    <n v="1"/>
    <n v="0"/>
    <n v="1"/>
    <n v="0"/>
    <n v="0"/>
    <n v="0"/>
  </r>
  <r>
    <n v="24"/>
    <x v="9"/>
    <x v="564"/>
    <x v="18"/>
    <x v="26"/>
    <x v="17"/>
    <x v="100"/>
    <x v="100"/>
    <n v="1"/>
    <s v="95880191"/>
    <n v="1"/>
    <n v="1"/>
    <x v="23"/>
    <n v="0"/>
    <n v="1"/>
    <n v="0"/>
    <n v="1"/>
    <n v="0"/>
    <n v="0"/>
    <n v="0"/>
  </r>
  <r>
    <n v="24"/>
    <x v="9"/>
    <x v="565"/>
    <x v="18"/>
    <x v="26"/>
    <x v="7"/>
    <x v="123"/>
    <x v="123"/>
    <n v="1"/>
    <s v="95880213"/>
    <n v="1"/>
    <n v="1"/>
    <x v="23"/>
    <n v="0"/>
    <n v="1"/>
    <n v="0"/>
    <n v="1"/>
    <n v="0"/>
    <n v="0"/>
    <n v="0"/>
  </r>
  <r>
    <n v="24"/>
    <x v="9"/>
    <x v="566"/>
    <x v="6"/>
    <x v="27"/>
    <x v="7"/>
    <x v="162"/>
    <x v="162"/>
    <n v="1"/>
    <s v="95880344"/>
    <n v="1"/>
    <n v="1"/>
    <x v="23"/>
    <n v="0"/>
    <n v="1"/>
    <n v="0"/>
    <n v="1"/>
    <n v="0"/>
    <n v="0"/>
    <n v="0"/>
  </r>
  <r>
    <n v="24"/>
    <x v="9"/>
    <x v="567"/>
    <x v="6"/>
    <x v="27"/>
    <x v="7"/>
    <x v="123"/>
    <x v="123"/>
    <n v="1"/>
    <s v="95880366"/>
    <n v="1"/>
    <n v="1"/>
    <x v="23"/>
    <n v="0"/>
    <n v="1"/>
    <n v="0"/>
    <n v="1"/>
    <n v="0"/>
    <n v="0"/>
    <n v="0"/>
  </r>
  <r>
    <n v="24"/>
    <x v="9"/>
    <x v="568"/>
    <x v="6"/>
    <x v="5"/>
    <x v="17"/>
    <x v="165"/>
    <x v="165"/>
    <n v="1"/>
    <s v="94639106"/>
    <n v="1"/>
    <n v="1"/>
    <x v="23"/>
    <n v="0"/>
    <n v="1"/>
    <n v="0"/>
    <n v="1"/>
    <n v="0"/>
    <n v="0"/>
    <n v="0"/>
  </r>
  <r>
    <n v="24"/>
    <x v="9"/>
    <x v="569"/>
    <x v="6"/>
    <x v="5"/>
    <x v="7"/>
    <x v="123"/>
    <x v="123"/>
    <n v="1"/>
    <s v="95880484"/>
    <n v="1"/>
    <n v="1"/>
    <x v="23"/>
    <n v="0"/>
    <n v="1"/>
    <n v="0"/>
    <n v="1"/>
    <n v="0"/>
    <n v="0"/>
    <n v="0"/>
  </r>
  <r>
    <n v="24"/>
    <x v="9"/>
    <x v="570"/>
    <x v="6"/>
    <x v="6"/>
    <x v="26"/>
    <x v="35"/>
    <x v="35"/>
    <n v="1"/>
    <s v="95880611"/>
    <n v="1"/>
    <n v="1"/>
    <x v="16"/>
    <n v="0"/>
    <n v="1"/>
    <n v="0"/>
    <n v="1"/>
    <n v="0"/>
    <n v="0"/>
    <n v="0"/>
  </r>
  <r>
    <n v="24"/>
    <x v="9"/>
    <x v="571"/>
    <x v="6"/>
    <x v="7"/>
    <x v="17"/>
    <x v="100"/>
    <x v="100"/>
    <n v="1"/>
    <s v="95880706"/>
    <n v="1"/>
    <n v="1"/>
    <x v="23"/>
    <n v="0"/>
    <n v="1"/>
    <n v="0"/>
    <n v="1"/>
    <n v="0"/>
    <n v="0"/>
    <n v="0"/>
  </r>
  <r>
    <n v="24"/>
    <x v="9"/>
    <x v="572"/>
    <x v="6"/>
    <x v="7"/>
    <x v="7"/>
    <x v="123"/>
    <x v="123"/>
    <n v="1"/>
    <s v="95880744"/>
    <n v="1"/>
    <n v="1"/>
    <x v="23"/>
    <n v="0"/>
    <n v="1"/>
    <n v="0"/>
    <n v="1"/>
    <n v="0"/>
    <n v="0"/>
    <n v="0"/>
  </r>
  <r>
    <n v="24"/>
    <x v="9"/>
    <x v="573"/>
    <x v="6"/>
    <x v="7"/>
    <x v="17"/>
    <x v="64"/>
    <x v="64"/>
    <n v="1"/>
    <s v="95880752"/>
    <n v="1"/>
    <n v="1"/>
    <x v="23"/>
    <n v="0"/>
    <n v="1"/>
    <n v="0"/>
    <n v="1"/>
    <n v="0"/>
    <n v="0"/>
    <n v="0"/>
  </r>
  <r>
    <n v="3"/>
    <x v="1"/>
    <x v="574"/>
    <x v="9"/>
    <x v="13"/>
    <x v="10"/>
    <x v="46"/>
    <x v="46"/>
    <n v="1"/>
    <s v="38656597"/>
    <n v="1"/>
    <n v="1"/>
    <x v="21"/>
    <n v="0"/>
    <n v="1"/>
    <n v="0"/>
    <n v="1"/>
    <n v="0"/>
    <n v="0"/>
    <n v="0"/>
  </r>
  <r>
    <n v="3"/>
    <x v="1"/>
    <x v="575"/>
    <x v="9"/>
    <x v="13"/>
    <x v="10"/>
    <x v="2"/>
    <x v="2"/>
    <n v="1"/>
    <s v="34732958"/>
    <n v="1"/>
    <n v="1"/>
    <x v="21"/>
    <n v="0"/>
    <n v="1"/>
    <n v="0"/>
    <n v="1"/>
    <n v="0"/>
    <n v="0"/>
    <n v="0"/>
  </r>
  <r>
    <n v="3"/>
    <x v="1"/>
    <x v="575"/>
    <x v="9"/>
    <x v="13"/>
    <x v="11"/>
    <x v="45"/>
    <x v="45"/>
    <n v="1"/>
    <s v="33695004"/>
    <n v="1"/>
    <n v="1"/>
    <x v="21"/>
    <n v="0"/>
    <n v="1"/>
    <n v="0"/>
    <n v="1"/>
    <n v="0"/>
    <n v="0"/>
    <n v="0"/>
  </r>
  <r>
    <n v="3"/>
    <x v="1"/>
    <x v="576"/>
    <x v="26"/>
    <x v="13"/>
    <x v="11"/>
    <x v="2"/>
    <x v="2"/>
    <n v="1"/>
    <s v="38656919"/>
    <n v="1"/>
    <n v="1"/>
    <x v="21"/>
    <n v="0"/>
    <n v="1"/>
    <n v="0"/>
    <n v="1"/>
    <n v="0"/>
    <n v="0"/>
    <n v="0"/>
  </r>
  <r>
    <n v="3"/>
    <x v="1"/>
    <x v="577"/>
    <x v="26"/>
    <x v="13"/>
    <x v="11"/>
    <x v="2"/>
    <x v="2"/>
    <n v="1"/>
    <s v="33695046"/>
    <n v="1"/>
    <n v="1"/>
    <x v="21"/>
    <n v="0"/>
    <n v="1"/>
    <n v="0"/>
    <n v="1"/>
    <n v="0"/>
    <n v="0"/>
    <n v="0"/>
  </r>
  <r>
    <n v="3"/>
    <x v="1"/>
    <x v="578"/>
    <x v="19"/>
    <x v="29"/>
    <x v="10"/>
    <x v="2"/>
    <x v="2"/>
    <n v="1"/>
    <s v="38657250"/>
    <n v="1"/>
    <n v="1"/>
    <x v="20"/>
    <n v="0"/>
    <n v="1"/>
    <n v="0"/>
    <n v="1"/>
    <n v="0"/>
    <n v="0"/>
    <n v="0"/>
  </r>
  <r>
    <n v="3"/>
    <x v="1"/>
    <x v="578"/>
    <x v="19"/>
    <x v="29"/>
    <x v="11"/>
    <x v="45"/>
    <x v="45"/>
    <n v="1"/>
    <s v="38657162"/>
    <n v="1"/>
    <n v="1"/>
    <x v="21"/>
    <n v="0"/>
    <n v="1"/>
    <n v="0"/>
    <n v="1"/>
    <n v="0"/>
    <n v="0"/>
    <n v="0"/>
  </r>
  <r>
    <n v="3"/>
    <x v="1"/>
    <x v="579"/>
    <x v="19"/>
    <x v="29"/>
    <x v="20"/>
    <x v="113"/>
    <x v="113"/>
    <n v="1"/>
    <s v="34832903"/>
    <n v="1"/>
    <n v="1"/>
    <x v="21"/>
    <n v="0"/>
    <n v="1"/>
    <n v="0"/>
    <n v="1"/>
    <n v="0"/>
    <n v="0"/>
    <n v="0"/>
  </r>
  <r>
    <n v="3"/>
    <x v="1"/>
    <x v="579"/>
    <x v="19"/>
    <x v="29"/>
    <x v="11"/>
    <x v="46"/>
    <x v="46"/>
    <n v="1"/>
    <s v="36975661"/>
    <n v="1"/>
    <n v="1"/>
    <x v="21"/>
    <n v="0"/>
    <n v="1"/>
    <n v="0"/>
    <n v="1"/>
    <n v="0"/>
    <n v="0"/>
    <n v="0"/>
  </r>
  <r>
    <n v="3"/>
    <x v="1"/>
    <x v="579"/>
    <x v="19"/>
    <x v="29"/>
    <x v="10"/>
    <x v="166"/>
    <x v="166"/>
    <n v="1"/>
    <s v="35344306"/>
    <n v="1"/>
    <n v="1"/>
    <x v="20"/>
    <n v="0"/>
    <n v="1"/>
    <n v="0"/>
    <n v="1"/>
    <n v="0"/>
    <n v="0"/>
    <n v="0"/>
  </r>
  <r>
    <n v="3"/>
    <x v="1"/>
    <x v="580"/>
    <x v="19"/>
    <x v="30"/>
    <x v="20"/>
    <x v="2"/>
    <x v="2"/>
    <n v="1"/>
    <s v="38657480"/>
    <n v="1"/>
    <n v="1"/>
    <x v="20"/>
    <n v="0"/>
    <n v="1"/>
    <n v="0"/>
    <n v="1"/>
    <n v="0"/>
    <n v="0"/>
    <n v="0"/>
  </r>
  <r>
    <n v="3"/>
    <x v="1"/>
    <x v="581"/>
    <x v="19"/>
    <x v="30"/>
    <x v="19"/>
    <x v="2"/>
    <x v="2"/>
    <n v="1"/>
    <s v="34054610"/>
    <n v="1"/>
    <n v="2"/>
    <x v="20"/>
    <n v="1"/>
    <n v="1"/>
    <n v="1"/>
    <n v="1"/>
    <n v="0"/>
    <n v="0"/>
    <n v="0"/>
  </r>
  <r>
    <n v="3"/>
    <x v="1"/>
    <x v="581"/>
    <x v="19"/>
    <x v="30"/>
    <x v="11"/>
    <x v="2"/>
    <x v="2"/>
    <n v="1"/>
    <s v="34054621"/>
    <n v="1"/>
    <n v="1"/>
    <x v="21"/>
    <n v="0"/>
    <n v="1"/>
    <n v="0"/>
    <n v="1"/>
    <n v="0"/>
    <n v="0"/>
    <n v="0"/>
  </r>
  <r>
    <n v="3"/>
    <x v="1"/>
    <x v="581"/>
    <x v="19"/>
    <x v="30"/>
    <x v="11"/>
    <x v="2"/>
    <x v="2"/>
    <n v="1"/>
    <s v="34732996"/>
    <n v="1"/>
    <n v="1"/>
    <x v="21"/>
    <n v="0"/>
    <n v="1"/>
    <n v="0"/>
    <n v="1"/>
    <n v="0"/>
    <n v="0"/>
    <n v="0"/>
  </r>
  <r>
    <n v="3"/>
    <x v="1"/>
    <x v="581"/>
    <x v="19"/>
    <x v="30"/>
    <x v="11"/>
    <x v="2"/>
    <x v="2"/>
    <n v="1"/>
    <s v="35208064"/>
    <n v="1"/>
    <n v="1"/>
    <x v="21"/>
    <n v="0"/>
    <n v="1"/>
    <n v="0"/>
    <n v="1"/>
    <n v="0"/>
    <n v="0"/>
    <n v="0"/>
  </r>
  <r>
    <n v="3"/>
    <x v="1"/>
    <x v="581"/>
    <x v="19"/>
    <x v="30"/>
    <x v="8"/>
    <x v="2"/>
    <x v="2"/>
    <n v="1"/>
    <s v="35344322"/>
    <n v="1"/>
    <n v="2"/>
    <x v="20"/>
    <n v="1"/>
    <n v="1"/>
    <n v="1"/>
    <n v="1"/>
    <n v="0"/>
    <n v="0"/>
    <n v="0"/>
  </r>
  <r>
    <n v="3"/>
    <x v="1"/>
    <x v="581"/>
    <x v="19"/>
    <x v="30"/>
    <x v="11"/>
    <x v="45"/>
    <x v="45"/>
    <n v="1"/>
    <s v="35288439"/>
    <n v="1"/>
    <n v="1"/>
    <x v="21"/>
    <n v="0"/>
    <n v="1"/>
    <n v="0"/>
    <n v="1"/>
    <n v="0"/>
    <n v="0"/>
    <n v="0"/>
  </r>
  <r>
    <n v="3"/>
    <x v="1"/>
    <x v="581"/>
    <x v="19"/>
    <x v="30"/>
    <x v="8"/>
    <x v="45"/>
    <x v="45"/>
    <n v="1"/>
    <s v="35626373"/>
    <n v="2"/>
    <n v="4"/>
    <x v="20"/>
    <n v="2"/>
    <n v="2"/>
    <n v="3"/>
    <n v="3"/>
    <n v="1"/>
    <n v="1"/>
    <n v="0"/>
  </r>
  <r>
    <n v="3"/>
    <x v="1"/>
    <x v="582"/>
    <x v="19"/>
    <x v="42"/>
    <x v="20"/>
    <x v="60"/>
    <x v="60"/>
    <n v="1"/>
    <s v="38657980"/>
    <n v="1"/>
    <n v="1"/>
    <x v="20"/>
    <n v="0"/>
    <n v="1"/>
    <n v="0"/>
    <n v="1"/>
    <n v="0"/>
    <n v="0"/>
    <n v="0"/>
  </r>
  <r>
    <n v="3"/>
    <x v="1"/>
    <x v="582"/>
    <x v="19"/>
    <x v="42"/>
    <x v="8"/>
    <x v="2"/>
    <x v="2"/>
    <n v="1"/>
    <s v="38658010"/>
    <n v="1"/>
    <n v="1"/>
    <x v="20"/>
    <n v="0"/>
    <n v="1"/>
    <n v="0"/>
    <n v="1"/>
    <n v="0"/>
    <n v="0"/>
    <n v="0"/>
  </r>
  <r>
    <n v="3"/>
    <x v="1"/>
    <x v="582"/>
    <x v="19"/>
    <x v="42"/>
    <x v="8"/>
    <x v="2"/>
    <x v="2"/>
    <n v="1"/>
    <s v="38658092"/>
    <n v="2"/>
    <n v="2"/>
    <x v="19"/>
    <n v="1"/>
    <n v="1"/>
    <n v="1"/>
    <n v="1"/>
    <n v="0"/>
    <n v="0"/>
    <n v="0"/>
  </r>
  <r>
    <n v="3"/>
    <x v="1"/>
    <x v="582"/>
    <x v="19"/>
    <x v="42"/>
    <x v="10"/>
    <x v="45"/>
    <x v="45"/>
    <n v="1"/>
    <s v="38658012"/>
    <n v="1"/>
    <n v="1"/>
    <x v="20"/>
    <n v="0"/>
    <n v="1"/>
    <n v="0"/>
    <n v="1"/>
    <n v="0"/>
    <n v="0"/>
    <n v="0"/>
  </r>
  <r>
    <n v="3"/>
    <x v="1"/>
    <x v="583"/>
    <x v="19"/>
    <x v="42"/>
    <x v="20"/>
    <x v="2"/>
    <x v="2"/>
    <n v="1"/>
    <s v="33791108"/>
    <n v="1"/>
    <n v="1"/>
    <x v="21"/>
    <n v="0"/>
    <n v="1"/>
    <n v="0"/>
    <n v="1"/>
    <n v="0"/>
    <n v="0"/>
    <n v="0"/>
  </r>
  <r>
    <n v="3"/>
    <x v="1"/>
    <x v="583"/>
    <x v="19"/>
    <x v="42"/>
    <x v="29"/>
    <x v="2"/>
    <x v="2"/>
    <n v="1"/>
    <s v="34836313"/>
    <n v="1"/>
    <n v="2"/>
    <x v="20"/>
    <n v="1"/>
    <n v="1"/>
    <n v="1"/>
    <n v="1"/>
    <n v="0"/>
    <n v="0"/>
    <n v="0"/>
  </r>
  <r>
    <n v="3"/>
    <x v="1"/>
    <x v="583"/>
    <x v="19"/>
    <x v="42"/>
    <x v="8"/>
    <x v="2"/>
    <x v="2"/>
    <n v="1"/>
    <s v="35208078"/>
    <n v="1"/>
    <n v="2"/>
    <x v="20"/>
    <n v="1"/>
    <n v="1"/>
    <n v="1"/>
    <n v="1"/>
    <n v="0"/>
    <n v="0"/>
    <n v="0"/>
  </r>
  <r>
    <n v="3"/>
    <x v="1"/>
    <x v="583"/>
    <x v="19"/>
    <x v="42"/>
    <x v="8"/>
    <x v="167"/>
    <x v="167"/>
    <n v="1"/>
    <s v="35344332"/>
    <n v="1"/>
    <n v="2"/>
    <x v="20"/>
    <n v="1"/>
    <n v="1"/>
    <n v="1"/>
    <n v="1"/>
    <n v="0"/>
    <n v="0"/>
    <n v="0"/>
  </r>
  <r>
    <n v="3"/>
    <x v="1"/>
    <x v="584"/>
    <x v="20"/>
    <x v="31"/>
    <x v="8"/>
    <x v="2"/>
    <x v="2"/>
    <n v="1"/>
    <s v="38658258"/>
    <n v="1"/>
    <n v="1"/>
    <x v="20"/>
    <n v="0"/>
    <n v="1"/>
    <n v="0"/>
    <n v="1"/>
    <n v="0"/>
    <n v="0"/>
    <n v="0"/>
  </r>
  <r>
    <n v="3"/>
    <x v="1"/>
    <x v="584"/>
    <x v="20"/>
    <x v="31"/>
    <x v="10"/>
    <x v="2"/>
    <x v="2"/>
    <n v="1"/>
    <s v="38658395"/>
    <n v="1"/>
    <n v="1"/>
    <x v="20"/>
    <n v="0"/>
    <n v="1"/>
    <n v="0"/>
    <n v="1"/>
    <n v="0"/>
    <n v="0"/>
    <n v="0"/>
  </r>
  <r>
    <n v="3"/>
    <x v="1"/>
    <x v="585"/>
    <x v="20"/>
    <x v="31"/>
    <x v="29"/>
    <x v="2"/>
    <x v="2"/>
    <n v="1"/>
    <s v="35344344"/>
    <n v="1"/>
    <n v="2"/>
    <x v="20"/>
    <n v="1"/>
    <n v="1"/>
    <n v="1"/>
    <n v="1"/>
    <n v="0"/>
    <n v="0"/>
    <n v="0"/>
  </r>
  <r>
    <n v="3"/>
    <x v="1"/>
    <x v="585"/>
    <x v="20"/>
    <x v="31"/>
    <x v="10"/>
    <x v="2"/>
    <x v="2"/>
    <n v="1"/>
    <s v="36356308"/>
    <n v="1"/>
    <n v="1"/>
    <x v="20"/>
    <n v="0"/>
    <n v="1"/>
    <n v="0"/>
    <n v="1"/>
    <n v="0"/>
    <n v="0"/>
    <n v="0"/>
  </r>
  <r>
    <n v="3"/>
    <x v="1"/>
    <x v="586"/>
    <x v="21"/>
    <x v="41"/>
    <x v="12"/>
    <x v="46"/>
    <x v="46"/>
    <n v="1"/>
    <s v="38658843"/>
    <n v="1"/>
    <n v="1"/>
    <x v="20"/>
    <n v="0"/>
    <n v="1"/>
    <n v="0"/>
    <n v="1"/>
    <n v="0"/>
    <n v="0"/>
    <n v="0"/>
  </r>
  <r>
    <n v="3"/>
    <x v="1"/>
    <x v="586"/>
    <x v="21"/>
    <x v="41"/>
    <x v="29"/>
    <x v="45"/>
    <x v="45"/>
    <n v="1"/>
    <s v="38658853"/>
    <n v="1"/>
    <n v="1"/>
    <x v="20"/>
    <n v="0"/>
    <n v="1"/>
    <n v="0"/>
    <n v="1"/>
    <n v="0"/>
    <n v="0"/>
    <n v="0"/>
  </r>
  <r>
    <n v="3"/>
    <x v="1"/>
    <x v="587"/>
    <x v="21"/>
    <x v="41"/>
    <x v="12"/>
    <x v="2"/>
    <x v="2"/>
    <n v="1"/>
    <s v="35344357"/>
    <n v="1"/>
    <n v="1"/>
    <x v="20"/>
    <n v="0"/>
    <n v="1"/>
    <n v="0"/>
    <n v="1"/>
    <n v="0"/>
    <n v="0"/>
    <n v="0"/>
  </r>
  <r>
    <n v="3"/>
    <x v="1"/>
    <x v="587"/>
    <x v="21"/>
    <x v="41"/>
    <x v="12"/>
    <x v="2"/>
    <x v="2"/>
    <n v="1"/>
    <s v="36312073"/>
    <n v="1"/>
    <n v="1"/>
    <x v="20"/>
    <n v="0"/>
    <n v="1"/>
    <n v="0"/>
    <n v="1"/>
    <n v="0"/>
    <n v="0"/>
    <n v="0"/>
  </r>
  <r>
    <n v="3"/>
    <x v="1"/>
    <x v="587"/>
    <x v="21"/>
    <x v="41"/>
    <x v="8"/>
    <x v="45"/>
    <x v="45"/>
    <n v="1"/>
    <s v="34054660"/>
    <n v="1"/>
    <n v="1"/>
    <x v="20"/>
    <n v="0"/>
    <n v="1"/>
    <n v="0"/>
    <n v="1"/>
    <n v="0"/>
    <n v="0"/>
    <n v="0"/>
  </r>
  <r>
    <n v="3"/>
    <x v="1"/>
    <x v="588"/>
    <x v="22"/>
    <x v="14"/>
    <x v="8"/>
    <x v="154"/>
    <x v="154"/>
    <n v="1"/>
    <s v="38659016"/>
    <n v="1"/>
    <n v="1"/>
    <x v="20"/>
    <n v="0"/>
    <n v="1"/>
    <n v="0"/>
    <n v="1"/>
    <n v="0"/>
    <n v="0"/>
    <n v="0"/>
  </r>
  <r>
    <n v="3"/>
    <x v="1"/>
    <x v="588"/>
    <x v="22"/>
    <x v="14"/>
    <x v="2"/>
    <x v="44"/>
    <x v="44"/>
    <n v="1"/>
    <s v="38659045"/>
    <n v="1"/>
    <n v="1"/>
    <x v="20"/>
    <n v="0"/>
    <n v="1"/>
    <n v="0"/>
    <n v="1"/>
    <n v="0"/>
    <n v="0"/>
    <n v="0"/>
  </r>
  <r>
    <n v="3"/>
    <x v="1"/>
    <x v="589"/>
    <x v="22"/>
    <x v="14"/>
    <x v="8"/>
    <x v="2"/>
    <x v="2"/>
    <n v="1"/>
    <s v="35802556"/>
    <n v="1"/>
    <n v="1"/>
    <x v="20"/>
    <n v="0"/>
    <n v="1"/>
    <n v="0"/>
    <n v="1"/>
    <n v="0"/>
    <n v="0"/>
    <n v="0"/>
  </r>
  <r>
    <n v="3"/>
    <x v="1"/>
    <x v="590"/>
    <x v="23"/>
    <x v="32"/>
    <x v="13"/>
    <x v="2"/>
    <x v="2"/>
    <n v="1"/>
    <s v="38659306"/>
    <n v="1"/>
    <n v="1"/>
    <x v="20"/>
    <n v="0"/>
    <n v="1"/>
    <n v="0"/>
    <n v="1"/>
    <n v="0"/>
    <n v="0"/>
    <n v="0"/>
  </r>
  <r>
    <n v="3"/>
    <x v="1"/>
    <x v="591"/>
    <x v="23"/>
    <x v="32"/>
    <x v="29"/>
    <x v="113"/>
    <x v="113"/>
    <n v="1"/>
    <s v="30177655"/>
    <n v="1"/>
    <n v="1"/>
    <x v="20"/>
    <n v="0"/>
    <n v="1"/>
    <n v="0"/>
    <n v="1"/>
    <n v="0"/>
    <n v="0"/>
    <n v="0"/>
  </r>
  <r>
    <n v="3"/>
    <x v="1"/>
    <x v="591"/>
    <x v="23"/>
    <x v="32"/>
    <x v="29"/>
    <x v="113"/>
    <x v="113"/>
    <n v="1"/>
    <s v="37363725"/>
    <n v="1"/>
    <n v="1"/>
    <x v="20"/>
    <n v="0"/>
    <n v="1"/>
    <n v="0"/>
    <n v="1"/>
    <n v="0"/>
    <n v="0"/>
    <n v="0"/>
  </r>
  <r>
    <n v="3"/>
    <x v="1"/>
    <x v="591"/>
    <x v="23"/>
    <x v="32"/>
    <x v="29"/>
    <x v="2"/>
    <x v="2"/>
    <n v="1"/>
    <s v="35802574"/>
    <n v="1"/>
    <n v="1"/>
    <x v="20"/>
    <n v="0"/>
    <n v="1"/>
    <n v="0"/>
    <n v="1"/>
    <n v="0"/>
    <n v="0"/>
    <n v="0"/>
  </r>
  <r>
    <n v="3"/>
    <x v="1"/>
    <x v="591"/>
    <x v="23"/>
    <x v="32"/>
    <x v="13"/>
    <x v="45"/>
    <x v="45"/>
    <n v="1"/>
    <s v="34833144"/>
    <n v="1"/>
    <n v="1"/>
    <x v="20"/>
    <n v="0"/>
    <n v="1"/>
    <n v="0"/>
    <n v="1"/>
    <n v="0"/>
    <n v="0"/>
    <n v="0"/>
  </r>
  <r>
    <n v="3"/>
    <x v="1"/>
    <x v="592"/>
    <x v="11"/>
    <x v="33"/>
    <x v="21"/>
    <x v="60"/>
    <x v="60"/>
    <n v="1"/>
    <s v="38659635"/>
    <n v="1"/>
    <n v="1"/>
    <x v="19"/>
    <n v="0"/>
    <n v="1"/>
    <n v="0"/>
    <n v="1"/>
    <n v="0"/>
    <n v="0"/>
    <n v="0"/>
  </r>
  <r>
    <n v="3"/>
    <x v="1"/>
    <x v="592"/>
    <x v="11"/>
    <x v="33"/>
    <x v="18"/>
    <x v="60"/>
    <x v="60"/>
    <n v="1"/>
    <s v="38659684"/>
    <n v="1"/>
    <n v="1"/>
    <x v="19"/>
    <n v="0"/>
    <n v="1"/>
    <n v="0"/>
    <n v="1"/>
    <n v="0"/>
    <n v="0"/>
    <n v="0"/>
  </r>
  <r>
    <n v="3"/>
    <x v="1"/>
    <x v="592"/>
    <x v="11"/>
    <x v="33"/>
    <x v="18"/>
    <x v="2"/>
    <x v="2"/>
    <n v="1"/>
    <s v="38659572"/>
    <n v="1"/>
    <n v="1"/>
    <x v="19"/>
    <n v="0"/>
    <n v="1"/>
    <n v="0"/>
    <n v="1"/>
    <n v="0"/>
    <n v="0"/>
    <n v="0"/>
  </r>
  <r>
    <n v="3"/>
    <x v="1"/>
    <x v="592"/>
    <x v="11"/>
    <x v="33"/>
    <x v="23"/>
    <x v="46"/>
    <x v="46"/>
    <n v="1"/>
    <s v="38659723"/>
    <n v="1"/>
    <n v="1"/>
    <x v="9"/>
    <n v="0"/>
    <n v="1"/>
    <n v="0"/>
    <n v="1"/>
    <n v="0"/>
    <n v="0"/>
    <n v="0"/>
  </r>
  <r>
    <n v="3"/>
    <x v="1"/>
    <x v="593"/>
    <x v="11"/>
    <x v="33"/>
    <x v="18"/>
    <x v="2"/>
    <x v="2"/>
    <n v="1"/>
    <s v="34382573"/>
    <n v="1"/>
    <n v="1"/>
    <x v="19"/>
    <n v="0"/>
    <n v="1"/>
    <n v="0"/>
    <n v="1"/>
    <n v="0"/>
    <n v="0"/>
    <n v="0"/>
  </r>
  <r>
    <n v="3"/>
    <x v="1"/>
    <x v="593"/>
    <x v="11"/>
    <x v="33"/>
    <x v="12"/>
    <x v="2"/>
    <x v="2"/>
    <n v="1"/>
    <s v="35208141"/>
    <n v="1"/>
    <n v="1"/>
    <x v="19"/>
    <n v="0"/>
    <n v="1"/>
    <n v="0"/>
    <n v="1"/>
    <n v="0"/>
    <n v="0"/>
    <n v="0"/>
  </r>
  <r>
    <n v="3"/>
    <x v="1"/>
    <x v="593"/>
    <x v="11"/>
    <x v="33"/>
    <x v="12"/>
    <x v="2"/>
    <x v="2"/>
    <n v="1"/>
    <s v="35208147"/>
    <n v="1"/>
    <n v="1"/>
    <x v="19"/>
    <n v="0"/>
    <n v="1"/>
    <n v="0"/>
    <n v="1"/>
    <n v="0"/>
    <n v="0"/>
    <n v="0"/>
  </r>
  <r>
    <n v="3"/>
    <x v="1"/>
    <x v="593"/>
    <x v="11"/>
    <x v="33"/>
    <x v="13"/>
    <x v="2"/>
    <x v="2"/>
    <n v="1"/>
    <s v="35344391"/>
    <n v="1"/>
    <n v="1"/>
    <x v="19"/>
    <n v="0"/>
    <n v="1"/>
    <n v="0"/>
    <n v="1"/>
    <n v="0"/>
    <n v="0"/>
    <n v="0"/>
  </r>
  <r>
    <n v="3"/>
    <x v="1"/>
    <x v="593"/>
    <x v="11"/>
    <x v="33"/>
    <x v="5"/>
    <x v="2"/>
    <x v="2"/>
    <n v="1"/>
    <s v="35368316"/>
    <n v="1"/>
    <n v="1"/>
    <x v="9"/>
    <n v="0"/>
    <n v="1"/>
    <n v="0"/>
    <n v="1"/>
    <n v="0"/>
    <n v="0"/>
    <n v="0"/>
  </r>
  <r>
    <n v="3"/>
    <x v="1"/>
    <x v="593"/>
    <x v="11"/>
    <x v="33"/>
    <x v="12"/>
    <x v="1"/>
    <x v="1"/>
    <n v="1"/>
    <s v="35742021"/>
    <n v="2"/>
    <n v="2"/>
    <x v="9"/>
    <n v="1"/>
    <n v="1"/>
    <n v="1"/>
    <n v="1"/>
    <n v="0"/>
    <n v="0"/>
    <n v="0"/>
  </r>
  <r>
    <n v="3"/>
    <x v="1"/>
    <x v="594"/>
    <x v="11"/>
    <x v="15"/>
    <x v="23"/>
    <x v="114"/>
    <x v="114"/>
    <n v="1"/>
    <s v="38659804"/>
    <n v="1"/>
    <n v="1"/>
    <x v="9"/>
    <n v="0"/>
    <n v="1"/>
    <n v="0"/>
    <n v="1"/>
    <n v="0"/>
    <n v="0"/>
    <n v="0"/>
  </r>
  <r>
    <n v="3"/>
    <x v="1"/>
    <x v="595"/>
    <x v="11"/>
    <x v="15"/>
    <x v="13"/>
    <x v="2"/>
    <x v="2"/>
    <n v="1"/>
    <s v="34733056"/>
    <n v="1"/>
    <n v="1"/>
    <x v="19"/>
    <n v="1"/>
    <n v="0"/>
    <n v="0"/>
    <n v="0"/>
    <n v="0"/>
    <n v="0"/>
    <n v="0"/>
  </r>
  <r>
    <n v="3"/>
    <x v="1"/>
    <x v="595"/>
    <x v="11"/>
    <x v="15"/>
    <x v="12"/>
    <x v="2"/>
    <x v="2"/>
    <n v="1"/>
    <s v="36020816"/>
    <n v="2"/>
    <n v="2"/>
    <x v="9"/>
    <n v="0"/>
    <n v="2"/>
    <n v="1"/>
    <n v="3"/>
    <n v="1"/>
    <n v="1"/>
    <n v="0"/>
  </r>
  <r>
    <n v="3"/>
    <x v="1"/>
    <x v="595"/>
    <x v="11"/>
    <x v="15"/>
    <x v="12"/>
    <x v="2"/>
    <x v="2"/>
    <n v="1"/>
    <s v="37363758"/>
    <n v="1"/>
    <n v="1"/>
    <x v="19"/>
    <n v="0"/>
    <n v="1"/>
    <n v="0"/>
    <n v="1"/>
    <n v="0"/>
    <n v="0"/>
    <n v="0"/>
  </r>
  <r>
    <n v="3"/>
    <x v="1"/>
    <x v="595"/>
    <x v="11"/>
    <x v="15"/>
    <x v="13"/>
    <x v="46"/>
    <x v="46"/>
    <n v="1"/>
    <s v="35468033"/>
    <n v="1"/>
    <n v="1"/>
    <x v="19"/>
    <n v="0"/>
    <n v="1"/>
    <n v="0"/>
    <n v="1"/>
    <n v="0"/>
    <n v="0"/>
    <n v="0"/>
  </r>
  <r>
    <n v="3"/>
    <x v="1"/>
    <x v="595"/>
    <x v="11"/>
    <x v="15"/>
    <x v="23"/>
    <x v="46"/>
    <x v="46"/>
    <n v="1"/>
    <s v="36163999"/>
    <n v="1"/>
    <n v="1"/>
    <x v="9"/>
    <n v="0"/>
    <n v="1"/>
    <n v="0"/>
    <n v="1"/>
    <n v="0"/>
    <n v="0"/>
    <n v="0"/>
  </r>
  <r>
    <n v="3"/>
    <x v="1"/>
    <x v="595"/>
    <x v="11"/>
    <x v="15"/>
    <x v="12"/>
    <x v="115"/>
    <x v="115"/>
    <n v="1"/>
    <s v="34733047"/>
    <n v="1"/>
    <n v="1"/>
    <x v="19"/>
    <n v="0"/>
    <n v="1"/>
    <n v="0"/>
    <n v="1"/>
    <n v="0"/>
    <n v="0"/>
    <n v="0"/>
  </r>
  <r>
    <n v="3"/>
    <x v="1"/>
    <x v="595"/>
    <x v="11"/>
    <x v="15"/>
    <x v="9"/>
    <x v="44"/>
    <x v="44"/>
    <n v="1"/>
    <s v="36090109"/>
    <n v="1"/>
    <n v="1"/>
    <x v="9"/>
    <n v="0"/>
    <n v="1"/>
    <n v="0"/>
    <n v="1"/>
    <n v="0"/>
    <n v="0"/>
    <n v="0"/>
  </r>
  <r>
    <n v="3"/>
    <x v="1"/>
    <x v="595"/>
    <x v="11"/>
    <x v="15"/>
    <x v="12"/>
    <x v="45"/>
    <x v="45"/>
    <n v="1"/>
    <s v="35368331"/>
    <n v="1"/>
    <n v="1"/>
    <x v="19"/>
    <n v="0"/>
    <n v="1"/>
    <n v="0"/>
    <n v="1"/>
    <n v="0"/>
    <n v="0"/>
    <n v="0"/>
  </r>
  <r>
    <n v="3"/>
    <x v="1"/>
    <x v="596"/>
    <x v="11"/>
    <x v="16"/>
    <x v="18"/>
    <x v="2"/>
    <x v="2"/>
    <n v="1"/>
    <s v="38660303"/>
    <n v="1"/>
    <n v="1"/>
    <x v="19"/>
    <n v="0"/>
    <n v="1"/>
    <n v="0"/>
    <n v="1"/>
    <n v="0"/>
    <n v="0"/>
    <n v="0"/>
  </r>
  <r>
    <n v="3"/>
    <x v="1"/>
    <x v="596"/>
    <x v="11"/>
    <x v="16"/>
    <x v="18"/>
    <x v="75"/>
    <x v="75"/>
    <n v="1"/>
    <s v="38660194"/>
    <n v="1"/>
    <n v="1"/>
    <x v="19"/>
    <n v="0"/>
    <n v="1"/>
    <n v="0"/>
    <n v="1"/>
    <n v="0"/>
    <n v="0"/>
    <n v="0"/>
  </r>
  <r>
    <n v="3"/>
    <x v="1"/>
    <x v="597"/>
    <x v="11"/>
    <x v="16"/>
    <x v="18"/>
    <x v="113"/>
    <x v="113"/>
    <n v="1"/>
    <s v="34602320"/>
    <n v="1"/>
    <n v="1"/>
    <x v="19"/>
    <n v="0"/>
    <n v="1"/>
    <n v="0"/>
    <n v="1"/>
    <n v="0"/>
    <n v="0"/>
    <n v="0"/>
  </r>
  <r>
    <n v="3"/>
    <x v="1"/>
    <x v="597"/>
    <x v="11"/>
    <x v="16"/>
    <x v="2"/>
    <x v="44"/>
    <x v="44"/>
    <n v="1"/>
    <s v="33160742"/>
    <n v="1"/>
    <n v="1"/>
    <x v="9"/>
    <n v="0"/>
    <n v="1"/>
    <n v="0"/>
    <n v="1"/>
    <n v="0"/>
    <n v="0"/>
    <n v="0"/>
  </r>
  <r>
    <n v="3"/>
    <x v="1"/>
    <x v="598"/>
    <x v="12"/>
    <x v="17"/>
    <x v="5"/>
    <x v="113"/>
    <x v="113"/>
    <n v="1"/>
    <s v="38660549"/>
    <n v="1"/>
    <n v="1"/>
    <x v="9"/>
    <n v="0"/>
    <n v="1"/>
    <n v="0"/>
    <n v="1"/>
    <n v="0"/>
    <n v="0"/>
    <n v="0"/>
  </r>
  <r>
    <n v="3"/>
    <x v="1"/>
    <x v="598"/>
    <x v="12"/>
    <x v="17"/>
    <x v="5"/>
    <x v="2"/>
    <x v="2"/>
    <n v="1"/>
    <s v="38660420"/>
    <n v="1"/>
    <n v="1"/>
    <x v="9"/>
    <n v="0"/>
    <n v="1"/>
    <n v="0"/>
    <n v="1"/>
    <n v="0"/>
    <n v="0"/>
    <n v="0"/>
  </r>
  <r>
    <n v="3"/>
    <x v="1"/>
    <x v="598"/>
    <x v="12"/>
    <x v="17"/>
    <x v="5"/>
    <x v="2"/>
    <x v="2"/>
    <n v="1"/>
    <s v="38660594"/>
    <n v="1"/>
    <n v="1"/>
    <x v="9"/>
    <n v="0"/>
    <n v="1"/>
    <n v="0"/>
    <n v="1"/>
    <n v="0"/>
    <n v="0"/>
    <n v="0"/>
  </r>
  <r>
    <n v="3"/>
    <x v="1"/>
    <x v="599"/>
    <x v="12"/>
    <x v="17"/>
    <x v="5"/>
    <x v="2"/>
    <x v="2"/>
    <n v="1"/>
    <s v="34836383"/>
    <n v="1"/>
    <n v="1"/>
    <x v="9"/>
    <n v="0"/>
    <n v="1"/>
    <n v="0"/>
    <n v="1"/>
    <n v="0"/>
    <n v="0"/>
    <n v="0"/>
  </r>
  <r>
    <n v="3"/>
    <x v="1"/>
    <x v="599"/>
    <x v="12"/>
    <x v="17"/>
    <x v="5"/>
    <x v="45"/>
    <x v="45"/>
    <n v="1"/>
    <s v="34349117"/>
    <n v="1"/>
    <n v="1"/>
    <x v="9"/>
    <n v="0"/>
    <n v="1"/>
    <n v="0"/>
    <n v="1"/>
    <n v="0"/>
    <n v="0"/>
    <n v="0"/>
  </r>
  <r>
    <n v="3"/>
    <x v="1"/>
    <x v="600"/>
    <x v="10"/>
    <x v="18"/>
    <x v="23"/>
    <x v="45"/>
    <x v="45"/>
    <n v="1"/>
    <s v="38660826"/>
    <n v="1"/>
    <n v="1"/>
    <x v="9"/>
    <n v="0"/>
    <n v="1"/>
    <n v="0"/>
    <n v="1"/>
    <n v="0"/>
    <n v="0"/>
    <n v="0"/>
  </r>
  <r>
    <n v="3"/>
    <x v="1"/>
    <x v="601"/>
    <x v="10"/>
    <x v="18"/>
    <x v="4"/>
    <x v="2"/>
    <x v="2"/>
    <n v="1"/>
    <s v="35208168"/>
    <n v="1"/>
    <n v="1"/>
    <x v="9"/>
    <n v="0"/>
    <n v="1"/>
    <n v="0"/>
    <n v="1"/>
    <n v="0"/>
    <n v="0"/>
    <n v="0"/>
  </r>
  <r>
    <n v="3"/>
    <x v="1"/>
    <x v="602"/>
    <x v="13"/>
    <x v="19"/>
    <x v="26"/>
    <x v="46"/>
    <x v="46"/>
    <n v="1"/>
    <s v="36090131"/>
    <n v="1"/>
    <n v="1"/>
    <x v="9"/>
    <n v="0"/>
    <n v="1"/>
    <n v="0"/>
    <n v="1"/>
    <n v="0"/>
    <n v="0"/>
    <n v="0"/>
  </r>
  <r>
    <n v="3"/>
    <x v="1"/>
    <x v="602"/>
    <x v="13"/>
    <x v="19"/>
    <x v="16"/>
    <x v="45"/>
    <x v="45"/>
    <n v="1"/>
    <s v="34733123"/>
    <n v="1"/>
    <n v="1"/>
    <x v="9"/>
    <n v="0"/>
    <n v="1"/>
    <n v="0"/>
    <n v="1"/>
    <n v="0"/>
    <n v="0"/>
    <n v="0"/>
  </r>
  <r>
    <n v="3"/>
    <x v="1"/>
    <x v="603"/>
    <x v="25"/>
    <x v="37"/>
    <x v="1"/>
    <x v="2"/>
    <x v="2"/>
    <n v="1"/>
    <s v="38661550"/>
    <n v="1"/>
    <n v="1"/>
    <x v="9"/>
    <n v="0"/>
    <n v="1"/>
    <n v="0"/>
    <n v="1"/>
    <n v="0"/>
    <n v="0"/>
    <n v="0"/>
  </r>
  <r>
    <n v="3"/>
    <x v="1"/>
    <x v="603"/>
    <x v="25"/>
    <x v="37"/>
    <x v="4"/>
    <x v="2"/>
    <x v="2"/>
    <n v="1"/>
    <s v="38661636"/>
    <n v="1"/>
    <n v="1"/>
    <x v="9"/>
    <n v="0"/>
    <n v="1"/>
    <n v="0"/>
    <n v="1"/>
    <n v="0"/>
    <n v="0"/>
    <n v="0"/>
  </r>
  <r>
    <n v="3"/>
    <x v="1"/>
    <x v="604"/>
    <x v="25"/>
    <x v="37"/>
    <x v="4"/>
    <x v="2"/>
    <x v="2"/>
    <n v="1"/>
    <s v="34054758"/>
    <n v="1"/>
    <n v="1"/>
    <x v="9"/>
    <n v="0"/>
    <n v="1"/>
    <n v="0"/>
    <n v="1"/>
    <n v="0"/>
    <n v="0"/>
    <n v="0"/>
  </r>
  <r>
    <n v="3"/>
    <x v="1"/>
    <x v="604"/>
    <x v="25"/>
    <x v="37"/>
    <x v="4"/>
    <x v="2"/>
    <x v="2"/>
    <n v="1"/>
    <s v="34054778"/>
    <n v="1"/>
    <n v="1"/>
    <x v="9"/>
    <n v="0"/>
    <n v="1"/>
    <n v="0"/>
    <n v="1"/>
    <n v="0"/>
    <n v="0"/>
    <n v="0"/>
  </r>
  <r>
    <n v="3"/>
    <x v="1"/>
    <x v="604"/>
    <x v="25"/>
    <x v="37"/>
    <x v="4"/>
    <x v="2"/>
    <x v="2"/>
    <n v="1"/>
    <s v="35656057"/>
    <n v="1"/>
    <n v="1"/>
    <x v="9"/>
    <n v="0"/>
    <n v="1"/>
    <n v="0"/>
    <n v="1"/>
    <n v="0"/>
    <n v="0"/>
    <n v="0"/>
  </r>
  <r>
    <n v="3"/>
    <x v="1"/>
    <x v="604"/>
    <x v="25"/>
    <x v="37"/>
    <x v="4"/>
    <x v="1"/>
    <x v="1"/>
    <n v="1"/>
    <s v="36073507"/>
    <n v="1"/>
    <n v="1"/>
    <x v="9"/>
    <n v="0"/>
    <n v="1"/>
    <n v="0"/>
    <n v="1"/>
    <n v="0"/>
    <n v="0"/>
    <n v="0"/>
  </r>
  <r>
    <n v="3"/>
    <x v="1"/>
    <x v="605"/>
    <x v="0"/>
    <x v="38"/>
    <x v="26"/>
    <x v="58"/>
    <x v="58"/>
    <n v="1"/>
    <s v="38661787"/>
    <n v="1"/>
    <n v="1"/>
    <x v="4"/>
    <n v="0"/>
    <n v="1"/>
    <n v="0"/>
    <n v="1"/>
    <n v="0"/>
    <n v="0"/>
    <n v="0"/>
  </r>
  <r>
    <n v="3"/>
    <x v="1"/>
    <x v="606"/>
    <x v="0"/>
    <x v="38"/>
    <x v="4"/>
    <x v="2"/>
    <x v="2"/>
    <n v="1"/>
    <s v="33266718"/>
    <n v="1"/>
    <n v="1"/>
    <x v="4"/>
    <n v="0"/>
    <n v="1"/>
    <n v="0"/>
    <n v="1"/>
    <n v="0"/>
    <n v="0"/>
    <n v="0"/>
  </r>
  <r>
    <n v="3"/>
    <x v="1"/>
    <x v="606"/>
    <x v="0"/>
    <x v="38"/>
    <x v="4"/>
    <x v="46"/>
    <x v="46"/>
    <n v="1"/>
    <s v="36312274"/>
    <n v="1"/>
    <n v="1"/>
    <x v="4"/>
    <n v="0"/>
    <n v="1"/>
    <n v="0"/>
    <n v="1"/>
    <n v="0"/>
    <n v="0"/>
    <n v="0"/>
  </r>
  <r>
    <n v="3"/>
    <x v="1"/>
    <x v="606"/>
    <x v="0"/>
    <x v="38"/>
    <x v="4"/>
    <x v="45"/>
    <x v="45"/>
    <n v="1"/>
    <s v="35208184"/>
    <n v="1"/>
    <n v="1"/>
    <x v="4"/>
    <n v="0"/>
    <n v="1"/>
    <n v="0"/>
    <n v="1"/>
    <n v="0"/>
    <n v="0"/>
    <n v="0"/>
  </r>
  <r>
    <n v="3"/>
    <x v="1"/>
    <x v="607"/>
    <x v="0"/>
    <x v="0"/>
    <x v="17"/>
    <x v="110"/>
    <x v="110"/>
    <n v="1"/>
    <s v="38662101"/>
    <n v="1"/>
    <n v="1"/>
    <x v="4"/>
    <n v="0"/>
    <n v="1"/>
    <n v="0"/>
    <n v="1"/>
    <n v="0"/>
    <n v="0"/>
    <n v="0"/>
  </r>
  <r>
    <n v="3"/>
    <x v="1"/>
    <x v="607"/>
    <x v="0"/>
    <x v="0"/>
    <x v="0"/>
    <x v="45"/>
    <x v="45"/>
    <n v="1"/>
    <s v="38662020"/>
    <n v="1"/>
    <n v="1"/>
    <x v="4"/>
    <n v="0"/>
    <n v="1"/>
    <n v="0"/>
    <n v="1"/>
    <n v="0"/>
    <n v="0"/>
    <n v="0"/>
  </r>
  <r>
    <n v="3"/>
    <x v="1"/>
    <x v="608"/>
    <x v="0"/>
    <x v="0"/>
    <x v="0"/>
    <x v="113"/>
    <x v="113"/>
    <n v="1"/>
    <s v="36277470"/>
    <n v="1"/>
    <n v="1"/>
    <x v="4"/>
    <n v="0"/>
    <n v="1"/>
    <n v="0"/>
    <n v="1"/>
    <n v="0"/>
    <n v="0"/>
    <n v="0"/>
  </r>
  <r>
    <n v="3"/>
    <x v="1"/>
    <x v="608"/>
    <x v="0"/>
    <x v="0"/>
    <x v="26"/>
    <x v="2"/>
    <x v="2"/>
    <n v="1"/>
    <s v="35673767"/>
    <n v="1"/>
    <n v="1"/>
    <x v="4"/>
    <n v="0"/>
    <n v="1"/>
    <n v="0"/>
    <n v="1"/>
    <n v="0"/>
    <n v="0"/>
    <n v="0"/>
  </r>
  <r>
    <n v="3"/>
    <x v="1"/>
    <x v="608"/>
    <x v="0"/>
    <x v="0"/>
    <x v="0"/>
    <x v="44"/>
    <x v="44"/>
    <n v="1"/>
    <s v="137357"/>
    <n v="1"/>
    <n v="1"/>
    <x v="4"/>
    <n v="0"/>
    <n v="1"/>
    <n v="0"/>
    <n v="1"/>
    <n v="0"/>
    <n v="0"/>
    <n v="0"/>
  </r>
  <r>
    <n v="3"/>
    <x v="1"/>
    <x v="608"/>
    <x v="0"/>
    <x v="0"/>
    <x v="0"/>
    <x v="45"/>
    <x v="45"/>
    <n v="1"/>
    <s v="36350450"/>
    <n v="1"/>
    <n v="1"/>
    <x v="4"/>
    <n v="0"/>
    <n v="1"/>
    <n v="0"/>
    <n v="1"/>
    <n v="0"/>
    <n v="0"/>
    <n v="0"/>
  </r>
  <r>
    <n v="3"/>
    <x v="1"/>
    <x v="609"/>
    <x v="0"/>
    <x v="1"/>
    <x v="0"/>
    <x v="2"/>
    <x v="2"/>
    <n v="1"/>
    <s v="38662439"/>
    <n v="1"/>
    <n v="1"/>
    <x v="4"/>
    <n v="0"/>
    <n v="1"/>
    <n v="0"/>
    <n v="1"/>
    <n v="0"/>
    <n v="0"/>
    <n v="0"/>
  </r>
  <r>
    <n v="3"/>
    <x v="1"/>
    <x v="609"/>
    <x v="0"/>
    <x v="1"/>
    <x v="25"/>
    <x v="2"/>
    <x v="2"/>
    <n v="1"/>
    <s v="38662502"/>
    <n v="1"/>
    <n v="1"/>
    <x v="4"/>
    <n v="0"/>
    <n v="1"/>
    <n v="0"/>
    <n v="1"/>
    <n v="0"/>
    <n v="0"/>
    <n v="0"/>
  </r>
  <r>
    <n v="3"/>
    <x v="1"/>
    <x v="610"/>
    <x v="0"/>
    <x v="1"/>
    <x v="25"/>
    <x v="113"/>
    <x v="113"/>
    <n v="1"/>
    <s v="35368444"/>
    <n v="1"/>
    <n v="1"/>
    <x v="4"/>
    <n v="0"/>
    <n v="1"/>
    <n v="0"/>
    <n v="1"/>
    <n v="0"/>
    <n v="0"/>
    <n v="0"/>
  </r>
  <r>
    <n v="3"/>
    <x v="1"/>
    <x v="610"/>
    <x v="0"/>
    <x v="1"/>
    <x v="26"/>
    <x v="2"/>
    <x v="2"/>
    <n v="1"/>
    <s v="33774992"/>
    <n v="1"/>
    <n v="1"/>
    <x v="4"/>
    <n v="0"/>
    <n v="1"/>
    <n v="0"/>
    <n v="1"/>
    <n v="0"/>
    <n v="0"/>
    <n v="0"/>
  </r>
  <r>
    <n v="3"/>
    <x v="1"/>
    <x v="610"/>
    <x v="0"/>
    <x v="1"/>
    <x v="25"/>
    <x v="2"/>
    <x v="2"/>
    <n v="1"/>
    <s v="34733184"/>
    <n v="1"/>
    <n v="1"/>
    <x v="4"/>
    <n v="0"/>
    <n v="1"/>
    <n v="0"/>
    <n v="1"/>
    <n v="0"/>
    <n v="0"/>
    <n v="0"/>
  </r>
  <r>
    <n v="3"/>
    <x v="1"/>
    <x v="610"/>
    <x v="0"/>
    <x v="1"/>
    <x v="15"/>
    <x v="2"/>
    <x v="2"/>
    <n v="1"/>
    <s v="35449038"/>
    <n v="1"/>
    <n v="1"/>
    <x v="4"/>
    <n v="0"/>
    <n v="1"/>
    <n v="0"/>
    <n v="1"/>
    <n v="0"/>
    <n v="0"/>
    <n v="0"/>
  </r>
  <r>
    <n v="3"/>
    <x v="1"/>
    <x v="610"/>
    <x v="0"/>
    <x v="1"/>
    <x v="25"/>
    <x v="2"/>
    <x v="2"/>
    <n v="1"/>
    <s v="36277505"/>
    <n v="1"/>
    <n v="1"/>
    <x v="4"/>
    <n v="0"/>
    <n v="1"/>
    <n v="0"/>
    <n v="1"/>
    <n v="0"/>
    <n v="0"/>
    <n v="0"/>
  </r>
  <r>
    <n v="3"/>
    <x v="1"/>
    <x v="610"/>
    <x v="0"/>
    <x v="1"/>
    <x v="25"/>
    <x v="166"/>
    <x v="166"/>
    <n v="1"/>
    <s v="34602374"/>
    <n v="1"/>
    <n v="1"/>
    <x v="4"/>
    <n v="0"/>
    <n v="1"/>
    <n v="0"/>
    <n v="1"/>
    <n v="0"/>
    <n v="0"/>
    <n v="0"/>
  </r>
  <r>
    <n v="3"/>
    <x v="1"/>
    <x v="610"/>
    <x v="0"/>
    <x v="1"/>
    <x v="16"/>
    <x v="45"/>
    <x v="45"/>
    <n v="1"/>
    <s v="35368422"/>
    <n v="1"/>
    <n v="1"/>
    <x v="4"/>
    <n v="0"/>
    <n v="1"/>
    <n v="0"/>
    <n v="1"/>
    <n v="0"/>
    <n v="0"/>
    <n v="0"/>
  </r>
  <r>
    <n v="3"/>
    <x v="1"/>
    <x v="611"/>
    <x v="1"/>
    <x v="2"/>
    <x v="1"/>
    <x v="134"/>
    <x v="134"/>
    <n v="1"/>
    <s v="38662903"/>
    <n v="1"/>
    <n v="3"/>
    <x v="10"/>
    <n v="2"/>
    <n v="1"/>
    <n v="2"/>
    <n v="1"/>
    <n v="0"/>
    <n v="0"/>
    <n v="0"/>
  </r>
  <r>
    <n v="3"/>
    <x v="1"/>
    <x v="265"/>
    <x v="1"/>
    <x v="2"/>
    <x v="26"/>
    <x v="2"/>
    <x v="2"/>
    <n v="1"/>
    <s v="33266755"/>
    <n v="1"/>
    <n v="3"/>
    <x v="10"/>
    <n v="2"/>
    <n v="1"/>
    <n v="2"/>
    <n v="1"/>
    <n v="0"/>
    <n v="0"/>
    <n v="0"/>
  </r>
  <r>
    <n v="3"/>
    <x v="1"/>
    <x v="265"/>
    <x v="1"/>
    <x v="2"/>
    <x v="1"/>
    <x v="2"/>
    <x v="2"/>
    <n v="1"/>
    <s v="33281826"/>
    <n v="1"/>
    <n v="3"/>
    <x v="10"/>
    <n v="2"/>
    <n v="1"/>
    <n v="2"/>
    <n v="1"/>
    <n v="0"/>
    <n v="0"/>
    <n v="0"/>
  </r>
  <r>
    <n v="3"/>
    <x v="1"/>
    <x v="265"/>
    <x v="1"/>
    <x v="2"/>
    <x v="1"/>
    <x v="2"/>
    <x v="2"/>
    <n v="1"/>
    <s v="35802762"/>
    <n v="1"/>
    <n v="3"/>
    <x v="10"/>
    <n v="2"/>
    <n v="1"/>
    <n v="2"/>
    <n v="1"/>
    <n v="0"/>
    <n v="0"/>
    <n v="0"/>
  </r>
  <r>
    <n v="9"/>
    <x v="7"/>
    <x v="612"/>
    <x v="21"/>
    <x v="14"/>
    <x v="8"/>
    <x v="60"/>
    <x v="60"/>
    <n v="1"/>
    <s v="0390050000686411090101"/>
    <n v="1"/>
    <n v="1"/>
    <x v="12"/>
    <n v="0"/>
    <n v="1"/>
    <n v="0"/>
    <n v="1"/>
    <n v="0"/>
    <n v="0"/>
    <n v="0"/>
  </r>
  <r>
    <n v="9"/>
    <x v="7"/>
    <x v="612"/>
    <x v="21"/>
    <x v="41"/>
    <x v="10"/>
    <x v="114"/>
    <x v="114"/>
    <n v="1"/>
    <s v="0390050000686381630101"/>
    <n v="1"/>
    <n v="1"/>
    <x v="11"/>
    <n v="0"/>
    <n v="1"/>
    <n v="0"/>
    <n v="1"/>
    <n v="0"/>
    <n v="0"/>
    <n v="0"/>
  </r>
  <r>
    <n v="9"/>
    <x v="7"/>
    <x v="613"/>
    <x v="22"/>
    <x v="14"/>
    <x v="10"/>
    <x v="125"/>
    <x v="125"/>
    <n v="1"/>
    <s v="0390050000689558690101"/>
    <n v="1"/>
    <n v="1"/>
    <x v="11"/>
    <n v="0"/>
    <n v="1"/>
    <n v="0"/>
    <n v="1"/>
    <n v="0"/>
    <n v="0"/>
    <n v="0"/>
  </r>
  <r>
    <n v="9"/>
    <x v="7"/>
    <x v="613"/>
    <x v="22"/>
    <x v="14"/>
    <x v="8"/>
    <x v="125"/>
    <x v="125"/>
    <n v="1"/>
    <s v="0390050000689596040101"/>
    <n v="1"/>
    <n v="1"/>
    <x v="12"/>
    <n v="0"/>
    <n v="1"/>
    <n v="0"/>
    <n v="1"/>
    <n v="0"/>
    <n v="0"/>
    <n v="0"/>
  </r>
  <r>
    <n v="9"/>
    <x v="7"/>
    <x v="614"/>
    <x v="22"/>
    <x v="14"/>
    <x v="8"/>
    <x v="60"/>
    <x v="60"/>
    <n v="1"/>
    <s v="0180631808226900012147"/>
    <n v="1"/>
    <n v="1"/>
    <x v="12"/>
    <n v="0"/>
    <n v="1"/>
    <n v="0"/>
    <n v="1"/>
    <n v="0"/>
    <n v="0"/>
    <n v="0"/>
  </r>
  <r>
    <n v="9"/>
    <x v="7"/>
    <x v="614"/>
    <x v="22"/>
    <x v="14"/>
    <x v="8"/>
    <x v="60"/>
    <x v="60"/>
    <n v="1"/>
    <s v="0390050000689603780101"/>
    <n v="1"/>
    <n v="1"/>
    <x v="12"/>
    <n v="0"/>
    <n v="1"/>
    <n v="0"/>
    <n v="1"/>
    <n v="0"/>
    <n v="0"/>
    <n v="0"/>
  </r>
  <r>
    <n v="9"/>
    <x v="7"/>
    <x v="615"/>
    <x v="22"/>
    <x v="14"/>
    <x v="11"/>
    <x v="146"/>
    <x v="146"/>
    <n v="1"/>
    <s v="0390050000689672770103"/>
    <n v="1"/>
    <n v="1"/>
    <x v="13"/>
    <n v="0"/>
    <n v="1"/>
    <n v="0"/>
    <n v="1"/>
    <n v="0"/>
    <n v="0"/>
    <n v="0"/>
  </r>
  <r>
    <n v="9"/>
    <x v="7"/>
    <x v="616"/>
    <x v="22"/>
    <x v="14"/>
    <x v="10"/>
    <x v="2"/>
    <x v="2"/>
    <n v="1"/>
    <s v="0390050000689730190101"/>
    <n v="1"/>
    <n v="1"/>
    <x v="11"/>
    <n v="0"/>
    <n v="1"/>
    <n v="0"/>
    <n v="1"/>
    <n v="0"/>
    <n v="0"/>
    <n v="0"/>
  </r>
  <r>
    <n v="9"/>
    <x v="7"/>
    <x v="617"/>
    <x v="22"/>
    <x v="14"/>
    <x v="13"/>
    <x v="40"/>
    <x v="40"/>
    <n v="1"/>
    <s v="0260751808225359008985"/>
    <n v="1"/>
    <n v="1"/>
    <x v="14"/>
    <n v="0"/>
    <n v="1"/>
    <n v="0"/>
    <n v="1"/>
    <n v="0"/>
    <n v="0"/>
    <n v="0"/>
  </r>
  <r>
    <n v="9"/>
    <x v="7"/>
    <x v="618"/>
    <x v="22"/>
    <x v="14"/>
    <x v="10"/>
    <x v="46"/>
    <x v="46"/>
    <n v="1"/>
    <s v="0390050000689838260101"/>
    <n v="1"/>
    <n v="1"/>
    <x v="11"/>
    <n v="0"/>
    <n v="1"/>
    <n v="0"/>
    <n v="1"/>
    <n v="0"/>
    <n v="0"/>
    <n v="0"/>
  </r>
  <r>
    <n v="9"/>
    <x v="7"/>
    <x v="619"/>
    <x v="22"/>
    <x v="14"/>
    <x v="13"/>
    <x v="40"/>
    <x v="40"/>
    <n v="1"/>
    <s v="0390050000689836650102"/>
    <n v="1"/>
    <n v="1"/>
    <x v="14"/>
    <n v="0"/>
    <n v="1"/>
    <n v="0"/>
    <n v="1"/>
    <n v="0"/>
    <n v="0"/>
    <n v="0"/>
  </r>
  <r>
    <n v="9"/>
    <x v="7"/>
    <x v="620"/>
    <x v="22"/>
    <x v="32"/>
    <x v="12"/>
    <x v="60"/>
    <x v="60"/>
    <n v="1"/>
    <s v="0390050000689918760101"/>
    <n v="1"/>
    <n v="1"/>
    <x v="18"/>
    <n v="0"/>
    <n v="1"/>
    <n v="0"/>
    <n v="1"/>
    <n v="0"/>
    <n v="0"/>
    <n v="0"/>
  </r>
  <r>
    <n v="9"/>
    <x v="7"/>
    <x v="621"/>
    <x v="22"/>
    <x v="32"/>
    <x v="12"/>
    <x v="60"/>
    <x v="60"/>
    <n v="1"/>
    <s v="0390050000689987710101"/>
    <n v="1"/>
    <n v="1"/>
    <x v="18"/>
    <n v="0"/>
    <n v="1"/>
    <n v="0"/>
    <n v="1"/>
    <n v="0"/>
    <n v="0"/>
    <n v="0"/>
  </r>
  <r>
    <n v="9"/>
    <x v="7"/>
    <x v="622"/>
    <x v="23"/>
    <x v="32"/>
    <x v="12"/>
    <x v="60"/>
    <x v="60"/>
    <n v="1"/>
    <s v="0390050000690092970101"/>
    <n v="1"/>
    <n v="1"/>
    <x v="18"/>
    <n v="0"/>
    <n v="1"/>
    <n v="0"/>
    <n v="1"/>
    <n v="0"/>
    <n v="0"/>
    <n v="0"/>
  </r>
  <r>
    <n v="9"/>
    <x v="7"/>
    <x v="623"/>
    <x v="23"/>
    <x v="32"/>
    <x v="10"/>
    <x v="110"/>
    <x v="110"/>
    <n v="1"/>
    <s v="0390050000690141000101"/>
    <n v="1"/>
    <n v="1"/>
    <x v="11"/>
    <n v="0"/>
    <n v="1"/>
    <n v="0"/>
    <n v="1"/>
    <n v="0"/>
    <n v="0"/>
    <n v="0"/>
  </r>
  <r>
    <n v="9"/>
    <x v="7"/>
    <x v="624"/>
    <x v="23"/>
    <x v="32"/>
    <x v="8"/>
    <x v="125"/>
    <x v="125"/>
    <n v="1"/>
    <s v="0390050000690206130101"/>
    <n v="1"/>
    <n v="1"/>
    <x v="12"/>
    <n v="0"/>
    <n v="1"/>
    <n v="0"/>
    <n v="1"/>
    <n v="0"/>
    <n v="0"/>
    <n v="0"/>
  </r>
  <r>
    <n v="9"/>
    <x v="7"/>
    <x v="625"/>
    <x v="23"/>
    <x v="32"/>
    <x v="10"/>
    <x v="64"/>
    <x v="64"/>
    <n v="1"/>
    <s v="0390050000690234440101"/>
    <n v="1"/>
    <n v="1"/>
    <x v="11"/>
    <n v="0"/>
    <n v="1"/>
    <n v="0"/>
    <n v="1"/>
    <n v="0"/>
    <n v="0"/>
    <n v="0"/>
  </r>
  <r>
    <n v="9"/>
    <x v="7"/>
    <x v="626"/>
    <x v="23"/>
    <x v="32"/>
    <x v="13"/>
    <x v="142"/>
    <x v="142"/>
    <n v="1"/>
    <s v="0390050000690350150102"/>
    <n v="1"/>
    <n v="1"/>
    <x v="14"/>
    <n v="0"/>
    <n v="1"/>
    <n v="0"/>
    <n v="1"/>
    <n v="0"/>
    <n v="0"/>
    <n v="0"/>
  </r>
  <r>
    <n v="9"/>
    <x v="7"/>
    <x v="627"/>
    <x v="23"/>
    <x v="32"/>
    <x v="11"/>
    <x v="5"/>
    <x v="5"/>
    <n v="1"/>
    <s v="0180211808233579008089"/>
    <n v="1"/>
    <n v="1"/>
    <x v="13"/>
    <n v="0"/>
    <n v="1"/>
    <n v="0"/>
    <n v="1"/>
    <n v="0"/>
    <n v="0"/>
    <n v="0"/>
  </r>
  <r>
    <n v="9"/>
    <x v="7"/>
    <x v="628"/>
    <x v="23"/>
    <x v="32"/>
    <x v="10"/>
    <x v="91"/>
    <x v="91"/>
    <n v="1"/>
    <s v="0390050000690444630101"/>
    <n v="1"/>
    <n v="1"/>
    <x v="11"/>
    <n v="0"/>
    <n v="1"/>
    <n v="0"/>
    <n v="1"/>
    <n v="0"/>
    <n v="0"/>
    <n v="0"/>
  </r>
  <r>
    <n v="9"/>
    <x v="7"/>
    <x v="628"/>
    <x v="23"/>
    <x v="33"/>
    <x v="10"/>
    <x v="91"/>
    <x v="91"/>
    <n v="1"/>
    <s v="0390050000690511680101"/>
    <n v="1"/>
    <n v="1"/>
    <x v="11"/>
    <n v="0"/>
    <n v="1"/>
    <n v="0"/>
    <n v="1"/>
    <n v="0"/>
    <n v="0"/>
    <n v="0"/>
  </r>
  <r>
    <n v="9"/>
    <x v="7"/>
    <x v="628"/>
    <x v="23"/>
    <x v="32"/>
    <x v="10"/>
    <x v="64"/>
    <x v="64"/>
    <n v="1"/>
    <s v="0120951808239116049290"/>
    <n v="1"/>
    <n v="1"/>
    <x v="11"/>
    <n v="0"/>
    <n v="1"/>
    <n v="0"/>
    <n v="1"/>
    <n v="0"/>
    <n v="0"/>
    <n v="0"/>
  </r>
  <r>
    <n v="9"/>
    <x v="7"/>
    <x v="628"/>
    <x v="23"/>
    <x v="33"/>
    <x v="12"/>
    <x v="133"/>
    <x v="133"/>
    <n v="1"/>
    <s v="0390050000690490070105"/>
    <n v="1"/>
    <n v="1"/>
    <x v="18"/>
    <n v="0"/>
    <n v="1"/>
    <n v="0"/>
    <n v="1"/>
    <n v="0"/>
    <n v="0"/>
    <n v="0"/>
  </r>
  <r>
    <n v="9"/>
    <x v="7"/>
    <x v="629"/>
    <x v="11"/>
    <x v="33"/>
    <x v="12"/>
    <x v="60"/>
    <x v="60"/>
    <n v="1"/>
    <s v="0390050000690732330101"/>
    <n v="1"/>
    <n v="1"/>
    <x v="18"/>
    <n v="0"/>
    <n v="1"/>
    <n v="0"/>
    <n v="1"/>
    <n v="0"/>
    <n v="0"/>
    <n v="0"/>
  </r>
  <r>
    <n v="9"/>
    <x v="7"/>
    <x v="629"/>
    <x v="11"/>
    <x v="33"/>
    <x v="8"/>
    <x v="64"/>
    <x v="64"/>
    <n v="1"/>
    <s v="0390050000690735470101"/>
    <n v="1"/>
    <n v="1"/>
    <x v="12"/>
    <n v="0"/>
    <n v="1"/>
    <n v="0"/>
    <n v="1"/>
    <n v="0"/>
    <n v="0"/>
    <n v="0"/>
  </r>
  <r>
    <n v="9"/>
    <x v="7"/>
    <x v="630"/>
    <x v="11"/>
    <x v="33"/>
    <x v="8"/>
    <x v="64"/>
    <x v="64"/>
    <n v="1"/>
    <s v="0390050000690743060101"/>
    <n v="1"/>
    <n v="1"/>
    <x v="12"/>
    <n v="0"/>
    <n v="1"/>
    <n v="0"/>
    <n v="1"/>
    <n v="0"/>
    <n v="0"/>
    <n v="0"/>
  </r>
  <r>
    <n v="9"/>
    <x v="7"/>
    <x v="631"/>
    <x v="11"/>
    <x v="33"/>
    <x v="8"/>
    <x v="37"/>
    <x v="37"/>
    <n v="1"/>
    <s v="0790351808249672004560"/>
    <n v="1"/>
    <n v="1"/>
    <x v="12"/>
    <n v="0"/>
    <n v="1"/>
    <n v="0"/>
    <n v="1"/>
    <n v="0"/>
    <n v="0"/>
    <n v="0"/>
  </r>
  <r>
    <n v="9"/>
    <x v="7"/>
    <x v="631"/>
    <x v="11"/>
    <x v="33"/>
    <x v="13"/>
    <x v="50"/>
    <x v="50"/>
    <n v="1"/>
    <s v="0390050000690818270101"/>
    <n v="1"/>
    <n v="1"/>
    <x v="14"/>
    <n v="0"/>
    <n v="1"/>
    <n v="0"/>
    <n v="1"/>
    <n v="0"/>
    <n v="0"/>
    <n v="0"/>
  </r>
  <r>
    <n v="9"/>
    <x v="7"/>
    <x v="631"/>
    <x v="11"/>
    <x v="33"/>
    <x v="12"/>
    <x v="5"/>
    <x v="5"/>
    <n v="1"/>
    <s v="0390050000690837380103"/>
    <n v="1"/>
    <n v="1"/>
    <x v="18"/>
    <n v="0"/>
    <n v="1"/>
    <n v="0"/>
    <n v="1"/>
    <n v="0"/>
    <n v="0"/>
    <n v="0"/>
  </r>
  <r>
    <n v="9"/>
    <x v="7"/>
    <x v="632"/>
    <x v="11"/>
    <x v="33"/>
    <x v="2"/>
    <x v="40"/>
    <x v="40"/>
    <n v="1"/>
    <s v="0460531808243429003762"/>
    <n v="1"/>
    <n v="1"/>
    <x v="3"/>
    <n v="0"/>
    <n v="1"/>
    <n v="0"/>
    <n v="1"/>
    <n v="0"/>
    <n v="0"/>
    <n v="0"/>
  </r>
  <r>
    <n v="9"/>
    <x v="7"/>
    <x v="633"/>
    <x v="11"/>
    <x v="33"/>
    <x v="13"/>
    <x v="40"/>
    <x v="40"/>
    <n v="1"/>
    <s v="0220731808246443010330"/>
    <n v="1"/>
    <n v="1"/>
    <x v="14"/>
    <n v="0"/>
    <n v="1"/>
    <n v="0"/>
    <n v="1"/>
    <n v="0"/>
    <n v="0"/>
    <n v="0"/>
  </r>
  <r>
    <n v="9"/>
    <x v="7"/>
    <x v="634"/>
    <x v="11"/>
    <x v="33"/>
    <x v="8"/>
    <x v="168"/>
    <x v="168"/>
    <n v="1"/>
    <s v="0390050000690928380101"/>
    <n v="1"/>
    <n v="1"/>
    <x v="12"/>
    <n v="0"/>
    <n v="1"/>
    <n v="0"/>
    <n v="1"/>
    <n v="0"/>
    <n v="0"/>
    <n v="0"/>
  </r>
  <r>
    <n v="9"/>
    <x v="7"/>
    <x v="635"/>
    <x v="11"/>
    <x v="33"/>
    <x v="8"/>
    <x v="2"/>
    <x v="2"/>
    <n v="1"/>
    <s v="0250041808247694007578"/>
    <n v="1"/>
    <n v="1"/>
    <x v="12"/>
    <n v="0"/>
    <n v="1"/>
    <n v="0"/>
    <n v="1"/>
    <n v="0"/>
    <n v="0"/>
    <n v="0"/>
  </r>
  <r>
    <n v="9"/>
    <x v="7"/>
    <x v="636"/>
    <x v="11"/>
    <x v="33"/>
    <x v="13"/>
    <x v="40"/>
    <x v="40"/>
    <n v="1"/>
    <s v="0790161808246283008153"/>
    <n v="1"/>
    <n v="1"/>
    <x v="14"/>
    <n v="0"/>
    <n v="1"/>
    <n v="0"/>
    <n v="1"/>
    <n v="0"/>
    <n v="0"/>
    <n v="0"/>
  </r>
  <r>
    <n v="9"/>
    <x v="7"/>
    <x v="637"/>
    <x v="11"/>
    <x v="33"/>
    <x v="8"/>
    <x v="47"/>
    <x v="47"/>
    <n v="1"/>
    <s v="0390050000690974210101"/>
    <n v="1"/>
    <n v="1"/>
    <x v="12"/>
    <n v="0"/>
    <n v="1"/>
    <n v="0"/>
    <n v="1"/>
    <n v="0"/>
    <n v="0"/>
    <n v="0"/>
  </r>
  <r>
    <n v="9"/>
    <x v="7"/>
    <x v="638"/>
    <x v="11"/>
    <x v="15"/>
    <x v="8"/>
    <x v="64"/>
    <x v="64"/>
    <n v="1"/>
    <s v="0390050000691010710101"/>
    <n v="1"/>
    <n v="1"/>
    <x v="12"/>
    <n v="0"/>
    <n v="1"/>
    <n v="0"/>
    <n v="1"/>
    <n v="0"/>
    <n v="0"/>
    <n v="0"/>
  </r>
  <r>
    <n v="9"/>
    <x v="7"/>
    <x v="638"/>
    <x v="11"/>
    <x v="15"/>
    <x v="8"/>
    <x v="64"/>
    <x v="64"/>
    <n v="1"/>
    <s v="0390050000691046030101"/>
    <n v="1"/>
    <n v="1"/>
    <x v="12"/>
    <n v="0"/>
    <n v="1"/>
    <n v="0"/>
    <n v="1"/>
    <n v="0"/>
    <n v="0"/>
    <n v="0"/>
  </r>
  <r>
    <n v="9"/>
    <x v="7"/>
    <x v="638"/>
    <x v="11"/>
    <x v="15"/>
    <x v="8"/>
    <x v="125"/>
    <x v="125"/>
    <n v="1"/>
    <s v="0390050000691046640103"/>
    <n v="1"/>
    <n v="1"/>
    <x v="12"/>
    <n v="0"/>
    <n v="1"/>
    <n v="0"/>
    <n v="1"/>
    <n v="0"/>
    <n v="0"/>
    <n v="0"/>
  </r>
  <r>
    <n v="9"/>
    <x v="7"/>
    <x v="639"/>
    <x v="11"/>
    <x v="15"/>
    <x v="8"/>
    <x v="137"/>
    <x v="137"/>
    <n v="1"/>
    <s v="0390050000691150200102"/>
    <n v="1"/>
    <n v="1"/>
    <x v="12"/>
    <n v="0"/>
    <n v="1"/>
    <n v="0"/>
    <n v="1"/>
    <n v="0"/>
    <n v="0"/>
    <n v="0"/>
  </r>
  <r>
    <n v="9"/>
    <x v="7"/>
    <x v="640"/>
    <x v="11"/>
    <x v="15"/>
    <x v="2"/>
    <x v="40"/>
    <x v="40"/>
    <n v="1"/>
    <s v="0390050000691210270101"/>
    <n v="1"/>
    <n v="1"/>
    <x v="3"/>
    <n v="0"/>
    <n v="1"/>
    <n v="0"/>
    <n v="1"/>
    <n v="0"/>
    <n v="0"/>
    <n v="0"/>
  </r>
  <r>
    <n v="9"/>
    <x v="7"/>
    <x v="641"/>
    <x v="11"/>
    <x v="15"/>
    <x v="8"/>
    <x v="2"/>
    <x v="2"/>
    <n v="1"/>
    <s v="0390050000691237610103"/>
    <n v="1"/>
    <n v="1"/>
    <x v="12"/>
    <n v="0"/>
    <n v="1"/>
    <n v="0"/>
    <n v="1"/>
    <n v="0"/>
    <n v="0"/>
    <n v="0"/>
  </r>
  <r>
    <n v="9"/>
    <x v="7"/>
    <x v="641"/>
    <x v="11"/>
    <x v="15"/>
    <x v="12"/>
    <x v="110"/>
    <x v="110"/>
    <n v="1"/>
    <s v="0090091808258587011630"/>
    <n v="1"/>
    <n v="1"/>
    <x v="18"/>
    <n v="0"/>
    <n v="1"/>
    <n v="0"/>
    <n v="1"/>
    <n v="0"/>
    <n v="0"/>
    <n v="0"/>
  </r>
  <r>
    <n v="9"/>
    <x v="7"/>
    <x v="438"/>
    <x v="11"/>
    <x v="15"/>
    <x v="8"/>
    <x v="32"/>
    <x v="32"/>
    <n v="1"/>
    <s v="0390050000691294650101"/>
    <n v="1"/>
    <n v="1"/>
    <x v="12"/>
    <n v="0"/>
    <n v="1"/>
    <n v="0"/>
    <n v="1"/>
    <n v="0"/>
    <n v="0"/>
    <n v="0"/>
  </r>
  <r>
    <n v="3"/>
    <x v="1"/>
    <x v="278"/>
    <x v="16"/>
    <x v="24"/>
    <x v="15"/>
    <x v="2"/>
    <x v="2"/>
    <n v="1"/>
    <s v="35368552"/>
    <n v="0"/>
    <n v="0"/>
    <x v="2"/>
    <n v="0"/>
    <n v="0"/>
    <n v="0"/>
    <n v="0"/>
    <n v="0"/>
    <n v="0"/>
    <n v="0"/>
  </r>
  <r>
    <n v="3"/>
    <x v="1"/>
    <x v="278"/>
    <x v="16"/>
    <x v="24"/>
    <x v="15"/>
    <x v="2"/>
    <x v="2"/>
    <n v="1"/>
    <s v="35690404"/>
    <n v="0"/>
    <n v="0"/>
    <x v="2"/>
    <n v="0"/>
    <n v="0"/>
    <n v="0"/>
    <n v="0"/>
    <n v="0"/>
    <n v="0"/>
    <n v="0"/>
  </r>
  <r>
    <n v="3"/>
    <x v="1"/>
    <x v="278"/>
    <x v="16"/>
    <x v="24"/>
    <x v="16"/>
    <x v="2"/>
    <x v="2"/>
    <n v="1"/>
    <s v="37364272"/>
    <n v="0"/>
    <n v="0"/>
    <x v="2"/>
    <n v="0"/>
    <n v="0"/>
    <n v="0"/>
    <n v="0"/>
    <n v="0"/>
    <n v="0"/>
    <n v="0"/>
  </r>
  <r>
    <n v="3"/>
    <x v="1"/>
    <x v="278"/>
    <x v="16"/>
    <x v="24"/>
    <x v="17"/>
    <x v="44"/>
    <x v="44"/>
    <n v="1"/>
    <s v="33266860"/>
    <n v="1"/>
    <n v="1"/>
    <x v="16"/>
    <n v="0"/>
    <n v="1"/>
    <n v="0"/>
    <n v="1"/>
    <n v="0"/>
    <n v="0"/>
    <n v="0"/>
  </r>
  <r>
    <n v="3"/>
    <x v="1"/>
    <x v="278"/>
    <x v="16"/>
    <x v="24"/>
    <x v="16"/>
    <x v="45"/>
    <x v="45"/>
    <n v="1"/>
    <s v="37791438"/>
    <n v="1"/>
    <n v="1"/>
    <x v="16"/>
    <n v="0"/>
    <n v="1"/>
    <n v="0"/>
    <n v="1"/>
    <n v="0"/>
    <n v="0"/>
    <n v="0"/>
  </r>
  <r>
    <n v="3"/>
    <x v="1"/>
    <x v="642"/>
    <x v="17"/>
    <x v="25"/>
    <x v="16"/>
    <x v="2"/>
    <x v="2"/>
    <n v="1"/>
    <s v="38665387"/>
    <n v="0"/>
    <n v="0"/>
    <x v="2"/>
    <n v="0"/>
    <n v="0"/>
    <n v="0"/>
    <n v="0"/>
    <n v="0"/>
    <n v="0"/>
    <n v="0"/>
  </r>
  <r>
    <n v="3"/>
    <x v="1"/>
    <x v="643"/>
    <x v="17"/>
    <x v="25"/>
    <x v="16"/>
    <x v="2"/>
    <x v="2"/>
    <n v="1"/>
    <s v="35802850"/>
    <n v="0"/>
    <n v="0"/>
    <x v="2"/>
    <n v="0"/>
    <n v="0"/>
    <n v="0"/>
    <n v="0"/>
    <n v="0"/>
    <n v="0"/>
    <n v="0"/>
  </r>
  <r>
    <n v="3"/>
    <x v="1"/>
    <x v="644"/>
    <x v="18"/>
    <x v="26"/>
    <x v="16"/>
    <x v="2"/>
    <x v="2"/>
    <n v="1"/>
    <s v="38665507"/>
    <n v="0"/>
    <n v="0"/>
    <x v="2"/>
    <n v="0"/>
    <n v="0"/>
    <n v="0"/>
    <n v="0"/>
    <n v="0"/>
    <n v="0"/>
    <n v="0"/>
  </r>
  <r>
    <n v="3"/>
    <x v="1"/>
    <x v="645"/>
    <x v="18"/>
    <x v="26"/>
    <x v="16"/>
    <x v="60"/>
    <x v="60"/>
    <n v="1"/>
    <s v="35344629"/>
    <n v="1"/>
    <n v="1"/>
    <x v="17"/>
    <n v="0"/>
    <n v="1"/>
    <n v="0"/>
    <n v="1"/>
    <n v="0"/>
    <n v="0"/>
    <n v="0"/>
  </r>
  <r>
    <n v="3"/>
    <x v="1"/>
    <x v="645"/>
    <x v="18"/>
    <x v="26"/>
    <x v="16"/>
    <x v="113"/>
    <x v="113"/>
    <n v="1"/>
    <s v="33847563"/>
    <n v="1"/>
    <n v="1"/>
    <x v="17"/>
    <n v="0"/>
    <n v="1"/>
    <n v="0"/>
    <n v="1"/>
    <n v="0"/>
    <n v="0"/>
    <n v="0"/>
  </r>
  <r>
    <n v="3"/>
    <x v="1"/>
    <x v="645"/>
    <x v="18"/>
    <x v="26"/>
    <x v="16"/>
    <x v="113"/>
    <x v="113"/>
    <n v="1"/>
    <s v="35064463"/>
    <n v="1"/>
    <n v="1"/>
    <x v="17"/>
    <n v="0"/>
    <n v="1"/>
    <n v="0"/>
    <n v="1"/>
    <n v="0"/>
    <n v="0"/>
    <n v="0"/>
  </r>
  <r>
    <n v="3"/>
    <x v="1"/>
    <x v="645"/>
    <x v="18"/>
    <x v="26"/>
    <x v="16"/>
    <x v="2"/>
    <x v="2"/>
    <n v="1"/>
    <s v="35802862"/>
    <n v="0"/>
    <n v="0"/>
    <x v="2"/>
    <n v="0"/>
    <n v="0"/>
    <n v="0"/>
    <n v="0"/>
    <n v="0"/>
    <n v="0"/>
    <n v="0"/>
  </r>
  <r>
    <n v="3"/>
    <x v="1"/>
    <x v="645"/>
    <x v="18"/>
    <x v="26"/>
    <x v="17"/>
    <x v="2"/>
    <x v="2"/>
    <n v="1"/>
    <s v="36978190"/>
    <n v="0"/>
    <n v="0"/>
    <x v="2"/>
    <n v="0"/>
    <n v="0"/>
    <n v="0"/>
    <n v="0"/>
    <n v="0"/>
    <n v="0"/>
    <n v="0"/>
  </r>
  <r>
    <n v="3"/>
    <x v="1"/>
    <x v="645"/>
    <x v="18"/>
    <x v="26"/>
    <x v="16"/>
    <x v="45"/>
    <x v="45"/>
    <n v="1"/>
    <s v="30177806"/>
    <n v="1"/>
    <n v="1"/>
    <x v="17"/>
    <n v="0"/>
    <n v="1"/>
    <n v="0"/>
    <n v="1"/>
    <n v="0"/>
    <n v="0"/>
    <n v="0"/>
  </r>
  <r>
    <n v="3"/>
    <x v="1"/>
    <x v="645"/>
    <x v="18"/>
    <x v="26"/>
    <x v="6"/>
    <x v="45"/>
    <x v="45"/>
    <n v="1"/>
    <s v="36164176"/>
    <n v="1"/>
    <n v="1"/>
    <x v="17"/>
    <n v="0"/>
    <n v="1"/>
    <n v="0"/>
    <n v="1"/>
    <n v="0"/>
    <n v="0"/>
    <n v="0"/>
  </r>
  <r>
    <n v="3"/>
    <x v="1"/>
    <x v="646"/>
    <x v="6"/>
    <x v="6"/>
    <x v="7"/>
    <x v="154"/>
    <x v="154"/>
    <n v="1"/>
    <s v="38666031"/>
    <n v="1"/>
    <n v="1"/>
    <x v="17"/>
    <n v="0"/>
    <n v="1"/>
    <n v="0"/>
    <n v="1"/>
    <n v="0"/>
    <n v="0"/>
    <n v="0"/>
  </r>
  <r>
    <n v="9"/>
    <x v="7"/>
    <x v="647"/>
    <x v="9"/>
    <x v="13"/>
    <x v="11"/>
    <x v="40"/>
    <x v="40"/>
    <n v="1"/>
    <s v="0451001808041401009676"/>
    <n v="1"/>
    <n v="1"/>
    <x v="11"/>
    <n v="0"/>
    <n v="1"/>
    <n v="0"/>
    <n v="1"/>
    <n v="0"/>
    <n v="0"/>
    <n v="0"/>
  </r>
  <r>
    <n v="9"/>
    <x v="7"/>
    <x v="648"/>
    <x v="9"/>
    <x v="13"/>
    <x v="10"/>
    <x v="40"/>
    <x v="40"/>
    <n v="1"/>
    <s v="0040331808069810015875"/>
    <n v="1"/>
    <n v="1"/>
    <x v="11"/>
    <n v="0"/>
    <n v="1"/>
    <n v="0"/>
    <n v="1"/>
    <n v="0"/>
    <n v="0"/>
    <n v="0"/>
  </r>
  <r>
    <n v="9"/>
    <x v="7"/>
    <x v="649"/>
    <x v="9"/>
    <x v="13"/>
    <x v="2"/>
    <x v="40"/>
    <x v="40"/>
    <n v="1"/>
    <s v="0220731808065681010101"/>
    <n v="1"/>
    <n v="1"/>
    <x v="3"/>
    <n v="0"/>
    <n v="1"/>
    <n v="0"/>
    <n v="1"/>
    <n v="0"/>
    <n v="0"/>
    <n v="0"/>
  </r>
  <r>
    <n v="9"/>
    <x v="7"/>
    <x v="650"/>
    <x v="9"/>
    <x v="13"/>
    <x v="10"/>
    <x v="40"/>
    <x v="40"/>
    <n v="1"/>
    <s v="0320411808070773012776"/>
    <n v="1"/>
    <n v="1"/>
    <x v="11"/>
    <n v="0"/>
    <n v="1"/>
    <n v="0"/>
    <n v="1"/>
    <n v="0"/>
    <n v="0"/>
    <n v="0"/>
  </r>
  <r>
    <n v="9"/>
    <x v="7"/>
    <x v="651"/>
    <x v="9"/>
    <x v="13"/>
    <x v="10"/>
    <x v="40"/>
    <x v="40"/>
    <n v="1"/>
    <s v="0880491808070456000176"/>
    <n v="1"/>
    <n v="1"/>
    <x v="11"/>
    <n v="0"/>
    <n v="1"/>
    <n v="0"/>
    <n v="1"/>
    <n v="0"/>
    <n v="0"/>
    <n v="0"/>
  </r>
  <r>
    <n v="9"/>
    <x v="7"/>
    <x v="652"/>
    <x v="9"/>
    <x v="13"/>
    <x v="8"/>
    <x v="40"/>
    <x v="40"/>
    <n v="1"/>
    <s v="0040391808073520000537"/>
    <n v="1"/>
    <n v="1"/>
    <x v="12"/>
    <n v="0"/>
    <n v="1"/>
    <n v="0"/>
    <n v="1"/>
    <n v="0"/>
    <n v="0"/>
    <n v="0"/>
  </r>
  <r>
    <n v="9"/>
    <x v="7"/>
    <x v="652"/>
    <x v="9"/>
    <x v="13"/>
    <x v="10"/>
    <x v="40"/>
    <x v="40"/>
    <n v="1"/>
    <s v="0390050000676148850101"/>
    <n v="1"/>
    <n v="1"/>
    <x v="11"/>
    <n v="0"/>
    <n v="1"/>
    <n v="0"/>
    <n v="1"/>
    <n v="0"/>
    <n v="0"/>
    <n v="0"/>
  </r>
  <r>
    <n v="9"/>
    <x v="7"/>
    <x v="653"/>
    <x v="9"/>
    <x v="13"/>
    <x v="10"/>
    <x v="40"/>
    <x v="40"/>
    <n v="1"/>
    <s v="0850311808071169002923"/>
    <n v="1"/>
    <n v="1"/>
    <x v="11"/>
    <n v="0"/>
    <n v="1"/>
    <n v="0"/>
    <n v="1"/>
    <n v="0"/>
    <n v="0"/>
    <n v="0"/>
  </r>
  <r>
    <n v="9"/>
    <x v="7"/>
    <x v="654"/>
    <x v="9"/>
    <x v="13"/>
    <x v="8"/>
    <x v="40"/>
    <x v="40"/>
    <n v="1"/>
    <s v="0090231808081925018527"/>
    <n v="1"/>
    <n v="1"/>
    <x v="12"/>
    <n v="0"/>
    <n v="1"/>
    <n v="0"/>
    <n v="1"/>
    <n v="0"/>
    <n v="0"/>
    <n v="0"/>
  </r>
  <r>
    <n v="9"/>
    <x v="7"/>
    <x v="655"/>
    <x v="9"/>
    <x v="13"/>
    <x v="8"/>
    <x v="40"/>
    <x v="40"/>
    <n v="1"/>
    <s v="0390050000676479520102"/>
    <n v="1"/>
    <n v="1"/>
    <x v="12"/>
    <n v="0"/>
    <n v="1"/>
    <n v="0"/>
    <n v="1"/>
    <n v="0"/>
    <n v="0"/>
    <n v="0"/>
  </r>
  <r>
    <n v="9"/>
    <x v="7"/>
    <x v="656"/>
    <x v="9"/>
    <x v="13"/>
    <x v="8"/>
    <x v="40"/>
    <x v="40"/>
    <n v="1"/>
    <s v="0490551808085592014777"/>
    <n v="1"/>
    <n v="1"/>
    <x v="12"/>
    <n v="0"/>
    <n v="1"/>
    <n v="0"/>
    <n v="1"/>
    <n v="0"/>
    <n v="0"/>
    <n v="0"/>
  </r>
  <r>
    <n v="9"/>
    <x v="7"/>
    <x v="657"/>
    <x v="9"/>
    <x v="13"/>
    <x v="12"/>
    <x v="40"/>
    <x v="40"/>
    <n v="1"/>
    <s v="0100271808090678008188"/>
    <n v="1"/>
    <n v="1"/>
    <x v="18"/>
    <n v="0"/>
    <n v="1"/>
    <n v="0"/>
    <n v="1"/>
    <n v="0"/>
    <n v="0"/>
    <n v="0"/>
  </r>
  <r>
    <n v="9"/>
    <x v="7"/>
    <x v="658"/>
    <x v="9"/>
    <x v="13"/>
    <x v="8"/>
    <x v="40"/>
    <x v="40"/>
    <n v="1"/>
    <s v="0320101808094895004255"/>
    <n v="1"/>
    <n v="1"/>
    <x v="12"/>
    <n v="0"/>
    <n v="1"/>
    <n v="0"/>
    <n v="1"/>
    <n v="0"/>
    <n v="0"/>
    <n v="0"/>
  </r>
  <r>
    <n v="9"/>
    <x v="7"/>
    <x v="659"/>
    <x v="9"/>
    <x v="13"/>
    <x v="8"/>
    <x v="40"/>
    <x v="40"/>
    <n v="1"/>
    <s v="0390050000677318860102"/>
    <n v="1"/>
    <n v="1"/>
    <x v="12"/>
    <n v="0"/>
    <n v="1"/>
    <n v="0"/>
    <n v="1"/>
    <n v="0"/>
    <n v="0"/>
    <n v="0"/>
  </r>
  <r>
    <n v="9"/>
    <x v="7"/>
    <x v="660"/>
    <x v="9"/>
    <x v="13"/>
    <x v="11"/>
    <x v="94"/>
    <x v="94"/>
    <n v="1"/>
    <s v="0390050000677764950101"/>
    <n v="1"/>
    <n v="1"/>
    <x v="13"/>
    <n v="0"/>
    <n v="1"/>
    <n v="0"/>
    <n v="1"/>
    <n v="0"/>
    <n v="0"/>
    <n v="0"/>
  </r>
  <r>
    <n v="9"/>
    <x v="7"/>
    <x v="661"/>
    <x v="9"/>
    <x v="13"/>
    <x v="11"/>
    <x v="91"/>
    <x v="91"/>
    <n v="1"/>
    <s v="0390050000678211450102"/>
    <n v="1"/>
    <n v="1"/>
    <x v="13"/>
    <n v="0"/>
    <n v="1"/>
    <n v="0"/>
    <n v="1"/>
    <n v="0"/>
    <n v="0"/>
    <n v="0"/>
  </r>
  <r>
    <n v="9"/>
    <x v="7"/>
    <x v="662"/>
    <x v="9"/>
    <x v="13"/>
    <x v="12"/>
    <x v="40"/>
    <x v="40"/>
    <n v="1"/>
    <s v="0040331808119920015924"/>
    <n v="1"/>
    <n v="1"/>
    <x v="18"/>
    <n v="0"/>
    <n v="1"/>
    <n v="0"/>
    <n v="1"/>
    <n v="0"/>
    <n v="0"/>
    <n v="0"/>
  </r>
  <r>
    <n v="9"/>
    <x v="7"/>
    <x v="663"/>
    <x v="9"/>
    <x v="13"/>
    <x v="11"/>
    <x v="60"/>
    <x v="60"/>
    <n v="1"/>
    <s v="0390050000678668680101"/>
    <n v="1"/>
    <n v="1"/>
    <x v="13"/>
    <n v="0"/>
    <n v="1"/>
    <n v="0"/>
    <n v="1"/>
    <n v="0"/>
    <n v="0"/>
    <n v="0"/>
  </r>
  <r>
    <n v="9"/>
    <x v="7"/>
    <x v="664"/>
    <x v="9"/>
    <x v="13"/>
    <x v="11"/>
    <x v="64"/>
    <x v="64"/>
    <n v="1"/>
    <s v="0390050000678672090102"/>
    <n v="1"/>
    <n v="1"/>
    <x v="13"/>
    <n v="0"/>
    <n v="1"/>
    <n v="0"/>
    <n v="1"/>
    <n v="0"/>
    <n v="0"/>
    <n v="0"/>
  </r>
  <r>
    <n v="9"/>
    <x v="7"/>
    <x v="665"/>
    <x v="9"/>
    <x v="13"/>
    <x v="2"/>
    <x v="40"/>
    <x v="40"/>
    <n v="1"/>
    <s v="0140181808129943009857"/>
    <n v="1"/>
    <n v="1"/>
    <x v="3"/>
    <n v="0"/>
    <n v="1"/>
    <n v="0"/>
    <n v="1"/>
    <n v="0"/>
    <n v="0"/>
    <n v="0"/>
  </r>
  <r>
    <n v="9"/>
    <x v="7"/>
    <x v="665"/>
    <x v="9"/>
    <x v="13"/>
    <x v="2"/>
    <x v="40"/>
    <x v="40"/>
    <n v="1"/>
    <s v="0180211808123398008015"/>
    <n v="1"/>
    <n v="1"/>
    <x v="3"/>
    <n v="0"/>
    <n v="1"/>
    <n v="0"/>
    <n v="1"/>
    <n v="0"/>
    <n v="0"/>
    <n v="0"/>
  </r>
  <r>
    <n v="9"/>
    <x v="7"/>
    <x v="666"/>
    <x v="9"/>
    <x v="13"/>
    <x v="8"/>
    <x v="60"/>
    <x v="60"/>
    <n v="1"/>
    <s v="0390050000679180520101"/>
    <n v="1"/>
    <n v="1"/>
    <x v="12"/>
    <n v="0"/>
    <n v="1"/>
    <n v="0"/>
    <n v="1"/>
    <n v="0"/>
    <n v="0"/>
    <n v="0"/>
  </r>
  <r>
    <n v="9"/>
    <x v="7"/>
    <x v="667"/>
    <x v="9"/>
    <x v="13"/>
    <x v="11"/>
    <x v="169"/>
    <x v="169"/>
    <n v="1"/>
    <s v="0390050000679328120101"/>
    <n v="1"/>
    <n v="1"/>
    <x v="13"/>
    <n v="0"/>
    <n v="1"/>
    <n v="0"/>
    <n v="1"/>
    <n v="0"/>
    <n v="0"/>
    <n v="0"/>
  </r>
  <r>
    <n v="9"/>
    <x v="7"/>
    <x v="668"/>
    <x v="9"/>
    <x v="13"/>
    <x v="2"/>
    <x v="40"/>
    <x v="40"/>
    <n v="1"/>
    <s v="0040391808143633000577"/>
    <n v="1"/>
    <n v="1"/>
    <x v="3"/>
    <n v="0"/>
    <n v="1"/>
    <n v="0"/>
    <n v="1"/>
    <n v="0"/>
    <n v="0"/>
    <n v="0"/>
  </r>
  <r>
    <n v="9"/>
    <x v="7"/>
    <x v="669"/>
    <x v="9"/>
    <x v="13"/>
    <x v="11"/>
    <x v="132"/>
    <x v="132"/>
    <n v="1"/>
    <s v="0390050000679811930101"/>
    <n v="1"/>
    <n v="1"/>
    <x v="13"/>
    <n v="0"/>
    <n v="1"/>
    <n v="0"/>
    <n v="1"/>
    <n v="0"/>
    <n v="0"/>
    <n v="0"/>
  </r>
  <r>
    <n v="9"/>
    <x v="7"/>
    <x v="670"/>
    <x v="9"/>
    <x v="13"/>
    <x v="13"/>
    <x v="40"/>
    <x v="40"/>
    <n v="1"/>
    <s v="0850021808146828006058"/>
    <n v="1"/>
    <n v="1"/>
    <x v="14"/>
    <n v="0"/>
    <n v="1"/>
    <n v="0"/>
    <n v="1"/>
    <n v="0"/>
    <n v="0"/>
    <n v="0"/>
  </r>
  <r>
    <n v="9"/>
    <x v="7"/>
    <x v="671"/>
    <x v="9"/>
    <x v="13"/>
    <x v="2"/>
    <x v="37"/>
    <x v="37"/>
    <n v="1"/>
    <s v="0990341808154379000791"/>
    <n v="1"/>
    <n v="1"/>
    <x v="3"/>
    <n v="0"/>
    <n v="1"/>
    <n v="0"/>
    <n v="1"/>
    <n v="0"/>
    <n v="0"/>
    <n v="0"/>
  </r>
  <r>
    <n v="9"/>
    <x v="7"/>
    <x v="672"/>
    <x v="9"/>
    <x v="13"/>
    <x v="11"/>
    <x v="125"/>
    <x v="125"/>
    <n v="1"/>
    <s v="0390050000680403030102"/>
    <n v="1"/>
    <n v="1"/>
    <x v="13"/>
    <n v="0"/>
    <n v="1"/>
    <n v="0"/>
    <n v="1"/>
    <n v="0"/>
    <n v="0"/>
    <n v="0"/>
  </r>
  <r>
    <n v="9"/>
    <x v="7"/>
    <x v="673"/>
    <x v="9"/>
    <x v="13"/>
    <x v="2"/>
    <x v="40"/>
    <x v="40"/>
    <n v="1"/>
    <s v="0160331808159459016452"/>
    <n v="1"/>
    <n v="1"/>
    <x v="3"/>
    <n v="0"/>
    <n v="1"/>
    <n v="0"/>
    <n v="1"/>
    <n v="0"/>
    <n v="0"/>
    <n v="0"/>
  </r>
  <r>
    <n v="9"/>
    <x v="7"/>
    <x v="674"/>
    <x v="9"/>
    <x v="13"/>
    <x v="2"/>
    <x v="40"/>
    <x v="40"/>
    <n v="1"/>
    <s v="0880501808153366017138"/>
    <n v="1"/>
    <n v="1"/>
    <x v="3"/>
    <n v="0"/>
    <n v="1"/>
    <n v="0"/>
    <n v="1"/>
    <n v="0"/>
    <n v="0"/>
    <n v="0"/>
  </r>
  <r>
    <n v="9"/>
    <x v="7"/>
    <x v="675"/>
    <x v="26"/>
    <x v="13"/>
    <x v="11"/>
    <x v="125"/>
    <x v="125"/>
    <n v="1"/>
    <s v="0390050000680667200103"/>
    <n v="1"/>
    <n v="1"/>
    <x v="13"/>
    <n v="0"/>
    <n v="1"/>
    <n v="0"/>
    <n v="1"/>
    <n v="0"/>
    <n v="0"/>
    <n v="0"/>
  </r>
  <r>
    <n v="9"/>
    <x v="7"/>
    <x v="676"/>
    <x v="26"/>
    <x v="13"/>
    <x v="11"/>
    <x v="40"/>
    <x v="40"/>
    <n v="1"/>
    <s v="0390050000683997860102"/>
    <n v="1"/>
    <n v="1"/>
    <x v="11"/>
    <n v="0"/>
    <n v="1"/>
    <n v="0"/>
    <n v="1"/>
    <n v="0"/>
    <n v="0"/>
    <n v="0"/>
  </r>
  <r>
    <n v="1"/>
    <x v="0"/>
    <x v="677"/>
    <x v="4"/>
    <x v="39"/>
    <x v="1"/>
    <x v="14"/>
    <x v="14"/>
    <n v="1"/>
    <s v="23207098123002"/>
    <n v="1"/>
    <n v="1"/>
    <x v="1"/>
    <n v="0"/>
    <n v="1"/>
    <n v="0"/>
    <n v="1"/>
    <n v="0"/>
    <n v="0"/>
    <n v="0"/>
  </r>
  <r>
    <n v="1"/>
    <x v="0"/>
    <x v="678"/>
    <x v="4"/>
    <x v="39"/>
    <x v="0"/>
    <x v="87"/>
    <x v="87"/>
    <n v="1"/>
    <s v="23207092325001"/>
    <n v="1"/>
    <n v="1"/>
    <x v="0"/>
    <n v="0"/>
    <n v="1"/>
    <n v="0"/>
    <n v="1"/>
    <n v="0"/>
    <n v="0"/>
    <n v="0"/>
  </r>
  <r>
    <n v="1"/>
    <x v="0"/>
    <x v="679"/>
    <x v="3"/>
    <x v="39"/>
    <x v="26"/>
    <x v="80"/>
    <x v="80"/>
    <n v="30"/>
    <s v="1"/>
    <n v="30"/>
    <n v="30"/>
    <x v="5"/>
    <n v="0"/>
    <n v="30"/>
    <n v="0"/>
    <n v="30"/>
    <n v="0"/>
    <n v="0"/>
    <n v="0"/>
  </r>
  <r>
    <n v="1"/>
    <x v="0"/>
    <x v="680"/>
    <x v="4"/>
    <x v="39"/>
    <x v="1"/>
    <x v="170"/>
    <x v="170"/>
    <n v="1"/>
    <s v="23207098982001"/>
    <n v="0"/>
    <n v="0"/>
    <x v="2"/>
    <n v="0"/>
    <n v="0"/>
    <n v="0"/>
    <n v="0"/>
    <n v="0"/>
    <n v="0"/>
    <n v="0"/>
  </r>
  <r>
    <n v="1"/>
    <x v="0"/>
    <x v="681"/>
    <x v="4"/>
    <x v="39"/>
    <x v="25"/>
    <x v="6"/>
    <x v="6"/>
    <n v="12"/>
    <s v="1"/>
    <n v="12"/>
    <n v="12"/>
    <x v="28"/>
    <n v="0"/>
    <n v="12"/>
    <n v="0"/>
    <n v="12"/>
    <n v="0"/>
    <n v="0"/>
    <n v="0"/>
  </r>
  <r>
    <n v="1"/>
    <x v="0"/>
    <x v="681"/>
    <x v="4"/>
    <x v="39"/>
    <x v="25"/>
    <x v="8"/>
    <x v="8"/>
    <n v="12"/>
    <s v="3"/>
    <n v="12"/>
    <n v="12"/>
    <x v="28"/>
    <n v="0"/>
    <n v="12"/>
    <n v="0"/>
    <n v="12"/>
    <n v="0"/>
    <n v="0"/>
    <n v="0"/>
  </r>
  <r>
    <n v="1"/>
    <x v="0"/>
    <x v="681"/>
    <x v="4"/>
    <x v="39"/>
    <x v="25"/>
    <x v="18"/>
    <x v="18"/>
    <n v="6"/>
    <s v="4"/>
    <n v="6"/>
    <n v="6"/>
    <x v="28"/>
    <n v="0"/>
    <n v="6"/>
    <n v="0"/>
    <n v="6"/>
    <n v="0"/>
    <n v="0"/>
    <n v="0"/>
  </r>
  <r>
    <n v="1"/>
    <x v="0"/>
    <x v="681"/>
    <x v="4"/>
    <x v="39"/>
    <x v="25"/>
    <x v="9"/>
    <x v="9"/>
    <n v="6"/>
    <s v="5"/>
    <n v="6"/>
    <n v="6"/>
    <x v="28"/>
    <n v="0"/>
    <n v="6"/>
    <n v="0"/>
    <n v="6"/>
    <n v="0"/>
    <n v="0"/>
    <n v="0"/>
  </r>
  <r>
    <n v="1"/>
    <x v="0"/>
    <x v="681"/>
    <x v="4"/>
    <x v="39"/>
    <x v="25"/>
    <x v="7"/>
    <x v="7"/>
    <n v="24"/>
    <s v="2"/>
    <n v="24"/>
    <n v="24"/>
    <x v="28"/>
    <n v="0"/>
    <n v="24"/>
    <n v="0"/>
    <n v="24"/>
    <n v="0"/>
    <n v="0"/>
    <n v="0"/>
  </r>
  <r>
    <n v="1"/>
    <x v="0"/>
    <x v="682"/>
    <x v="4"/>
    <x v="39"/>
    <x v="1"/>
    <x v="14"/>
    <x v="14"/>
    <n v="2"/>
    <s v="23207100415001"/>
    <n v="2"/>
    <n v="2"/>
    <x v="1"/>
    <n v="0"/>
    <n v="2"/>
    <n v="0"/>
    <n v="2"/>
    <n v="0"/>
    <n v="0"/>
    <n v="0"/>
  </r>
  <r>
    <n v="1"/>
    <x v="0"/>
    <x v="683"/>
    <x v="4"/>
    <x v="39"/>
    <x v="1"/>
    <x v="90"/>
    <x v="90"/>
    <n v="1"/>
    <s v="23207101008001"/>
    <n v="1"/>
    <n v="1"/>
    <x v="1"/>
    <n v="0"/>
    <n v="1"/>
    <n v="0"/>
    <n v="1"/>
    <n v="0"/>
    <n v="0"/>
    <n v="0"/>
  </r>
  <r>
    <n v="1"/>
    <x v="0"/>
    <x v="684"/>
    <x v="4"/>
    <x v="39"/>
    <x v="1"/>
    <x v="4"/>
    <x v="4"/>
    <n v="1"/>
    <s v="23207102006001"/>
    <n v="1"/>
    <n v="1"/>
    <x v="1"/>
    <n v="0"/>
    <n v="1"/>
    <n v="0"/>
    <n v="1"/>
    <n v="0"/>
    <n v="0"/>
    <n v="0"/>
  </r>
  <r>
    <n v="1"/>
    <x v="0"/>
    <x v="685"/>
    <x v="14"/>
    <x v="39"/>
    <x v="1"/>
    <x v="5"/>
    <x v="5"/>
    <n v="1"/>
    <s v="23207103375001"/>
    <n v="1"/>
    <n v="1"/>
    <x v="1"/>
    <n v="0"/>
    <n v="1"/>
    <n v="0"/>
    <n v="1"/>
    <n v="0"/>
    <n v="0"/>
    <n v="0"/>
  </r>
  <r>
    <n v="1"/>
    <x v="0"/>
    <x v="686"/>
    <x v="14"/>
    <x v="39"/>
    <x v="1"/>
    <x v="90"/>
    <x v="90"/>
    <n v="1"/>
    <s v="23207103614001"/>
    <n v="0"/>
    <n v="0"/>
    <x v="2"/>
    <n v="0"/>
    <n v="0"/>
    <n v="0"/>
    <n v="0"/>
    <n v="0"/>
    <n v="0"/>
    <n v="0"/>
  </r>
  <r>
    <n v="1"/>
    <x v="0"/>
    <x v="686"/>
    <x v="14"/>
    <x v="39"/>
    <x v="1"/>
    <x v="38"/>
    <x v="38"/>
    <n v="1"/>
    <s v="23207103614001"/>
    <n v="0"/>
    <n v="0"/>
    <x v="2"/>
    <n v="0"/>
    <n v="0"/>
    <n v="0"/>
    <n v="0"/>
    <n v="0"/>
    <n v="0"/>
    <n v="0"/>
  </r>
  <r>
    <n v="1"/>
    <x v="0"/>
    <x v="687"/>
    <x v="14"/>
    <x v="20"/>
    <x v="1"/>
    <x v="58"/>
    <x v="58"/>
    <n v="1"/>
    <s v="27207118615001"/>
    <n v="1"/>
    <n v="1"/>
    <x v="1"/>
    <n v="0"/>
    <n v="1"/>
    <n v="0"/>
    <n v="1"/>
    <n v="0"/>
    <n v="0"/>
    <n v="0"/>
  </r>
  <r>
    <n v="1"/>
    <x v="0"/>
    <x v="688"/>
    <x v="14"/>
    <x v="20"/>
    <x v="1"/>
    <x v="2"/>
    <x v="2"/>
    <n v="1"/>
    <s v="27207119954001"/>
    <n v="1"/>
    <n v="1"/>
    <x v="1"/>
    <n v="0"/>
    <n v="1"/>
    <n v="0"/>
    <n v="1"/>
    <n v="0"/>
    <n v="0"/>
    <n v="0"/>
  </r>
  <r>
    <n v="1"/>
    <x v="0"/>
    <x v="689"/>
    <x v="14"/>
    <x v="20"/>
    <x v="1"/>
    <x v="4"/>
    <x v="4"/>
    <n v="1"/>
    <s v="27207119985001"/>
    <n v="1"/>
    <n v="1"/>
    <x v="1"/>
    <n v="0"/>
    <n v="1"/>
    <n v="0"/>
    <n v="1"/>
    <n v="0"/>
    <n v="0"/>
    <n v="0"/>
  </r>
  <r>
    <n v="1"/>
    <x v="0"/>
    <x v="690"/>
    <x v="14"/>
    <x v="20"/>
    <x v="1"/>
    <x v="90"/>
    <x v="90"/>
    <n v="1"/>
    <s v="23207120968001"/>
    <n v="1"/>
    <n v="1"/>
    <x v="1"/>
    <n v="0"/>
    <n v="1"/>
    <n v="0"/>
    <n v="1"/>
    <n v="0"/>
    <n v="0"/>
    <n v="0"/>
  </r>
  <r>
    <n v="1"/>
    <x v="0"/>
    <x v="691"/>
    <x v="14"/>
    <x v="20"/>
    <x v="1"/>
    <x v="38"/>
    <x v="38"/>
    <n v="1"/>
    <s v="23207121887001"/>
    <n v="0"/>
    <n v="0"/>
    <x v="2"/>
    <n v="0"/>
    <n v="0"/>
    <n v="0"/>
    <n v="0"/>
    <n v="0"/>
    <n v="0"/>
    <n v="0"/>
  </r>
  <r>
    <n v="1"/>
    <x v="0"/>
    <x v="692"/>
    <x v="14"/>
    <x v="20"/>
    <x v="1"/>
    <x v="64"/>
    <x v="64"/>
    <n v="1"/>
    <s v="23207121991002"/>
    <n v="1"/>
    <n v="1"/>
    <x v="1"/>
    <n v="0"/>
    <n v="1"/>
    <n v="0"/>
    <n v="1"/>
    <n v="0"/>
    <n v="0"/>
    <n v="0"/>
  </r>
  <r>
    <n v="1"/>
    <x v="0"/>
    <x v="693"/>
    <x v="14"/>
    <x v="20"/>
    <x v="26"/>
    <x v="14"/>
    <x v="14"/>
    <n v="1"/>
    <s v="23207124235001"/>
    <n v="1"/>
    <n v="1"/>
    <x v="10"/>
    <n v="0"/>
    <n v="1"/>
    <n v="0"/>
    <n v="1"/>
    <n v="0"/>
    <n v="0"/>
    <n v="0"/>
  </r>
  <r>
    <n v="1"/>
    <x v="0"/>
    <x v="694"/>
    <x v="14"/>
    <x v="21"/>
    <x v="26"/>
    <x v="145"/>
    <x v="145"/>
    <n v="1"/>
    <s v="23207129396002"/>
    <n v="1"/>
    <n v="1"/>
    <x v="10"/>
    <n v="0"/>
    <n v="1"/>
    <n v="0"/>
    <n v="1"/>
    <n v="0"/>
    <n v="0"/>
    <n v="0"/>
  </r>
  <r>
    <n v="1"/>
    <x v="0"/>
    <x v="695"/>
    <x v="14"/>
    <x v="21"/>
    <x v="26"/>
    <x v="28"/>
    <x v="28"/>
    <n v="1"/>
    <s v="23207129390001"/>
    <n v="1"/>
    <n v="1"/>
    <x v="10"/>
    <n v="0"/>
    <n v="1"/>
    <n v="0"/>
    <n v="1"/>
    <n v="0"/>
    <n v="0"/>
    <n v="0"/>
  </r>
  <r>
    <n v="1"/>
    <x v="0"/>
    <x v="696"/>
    <x v="14"/>
    <x v="21"/>
    <x v="26"/>
    <x v="29"/>
    <x v="29"/>
    <n v="1"/>
    <s v="23207130037001"/>
    <n v="1"/>
    <n v="1"/>
    <x v="10"/>
    <n v="0"/>
    <n v="1"/>
    <n v="0"/>
    <n v="1"/>
    <n v="0"/>
    <n v="0"/>
    <n v="0"/>
  </r>
  <r>
    <n v="1"/>
    <x v="0"/>
    <x v="697"/>
    <x v="14"/>
    <x v="21"/>
    <x v="26"/>
    <x v="90"/>
    <x v="90"/>
    <n v="1"/>
    <s v="27207130314001"/>
    <n v="1"/>
    <n v="1"/>
    <x v="10"/>
    <n v="0"/>
    <n v="1"/>
    <n v="0"/>
    <n v="1"/>
    <n v="0"/>
    <n v="0"/>
    <n v="0"/>
  </r>
  <r>
    <n v="1"/>
    <x v="0"/>
    <x v="698"/>
    <x v="14"/>
    <x v="21"/>
    <x v="26"/>
    <x v="3"/>
    <x v="3"/>
    <n v="1"/>
    <s v="23207130717001"/>
    <n v="1"/>
    <n v="1"/>
    <x v="10"/>
    <n v="0"/>
    <n v="1"/>
    <n v="0"/>
    <n v="1"/>
    <n v="0"/>
    <n v="0"/>
    <n v="0"/>
  </r>
  <r>
    <n v="1"/>
    <x v="0"/>
    <x v="699"/>
    <x v="14"/>
    <x v="21"/>
    <x v="26"/>
    <x v="5"/>
    <x v="5"/>
    <n v="1"/>
    <s v="23207130791001"/>
    <n v="1"/>
    <n v="1"/>
    <x v="10"/>
    <n v="0"/>
    <n v="1"/>
    <n v="0"/>
    <n v="1"/>
    <n v="0"/>
    <n v="0"/>
    <n v="0"/>
  </r>
  <r>
    <n v="1"/>
    <x v="0"/>
    <x v="700"/>
    <x v="14"/>
    <x v="22"/>
    <x v="26"/>
    <x v="34"/>
    <x v="34"/>
    <n v="1"/>
    <s v="23207133940001"/>
    <n v="1"/>
    <n v="1"/>
    <x v="10"/>
    <n v="0"/>
    <n v="1"/>
    <n v="0"/>
    <n v="1"/>
    <n v="0"/>
    <n v="0"/>
    <n v="0"/>
  </r>
  <r>
    <n v="1"/>
    <x v="0"/>
    <x v="701"/>
    <x v="14"/>
    <x v="22"/>
    <x v="26"/>
    <x v="103"/>
    <x v="103"/>
    <n v="1"/>
    <s v="23207135498001"/>
    <n v="1"/>
    <n v="1"/>
    <x v="10"/>
    <n v="0"/>
    <n v="1"/>
    <n v="0"/>
    <n v="1"/>
    <n v="0"/>
    <n v="0"/>
    <n v="0"/>
  </r>
  <r>
    <n v="1"/>
    <x v="0"/>
    <x v="702"/>
    <x v="14"/>
    <x v="22"/>
    <x v="26"/>
    <x v="5"/>
    <x v="5"/>
    <n v="1"/>
    <s v="23207137192002"/>
    <n v="1"/>
    <n v="1"/>
    <x v="10"/>
    <n v="0"/>
    <n v="1"/>
    <n v="0"/>
    <n v="1"/>
    <n v="0"/>
    <n v="0"/>
    <n v="0"/>
  </r>
  <r>
    <n v="1"/>
    <x v="0"/>
    <x v="703"/>
    <x v="14"/>
    <x v="22"/>
    <x v="26"/>
    <x v="136"/>
    <x v="136"/>
    <n v="1"/>
    <s v="23207137094001"/>
    <n v="1"/>
    <n v="1"/>
    <x v="10"/>
    <n v="0"/>
    <n v="1"/>
    <n v="0"/>
    <n v="1"/>
    <n v="0"/>
    <n v="0"/>
    <n v="0"/>
  </r>
  <r>
    <n v="1"/>
    <x v="0"/>
    <x v="704"/>
    <x v="14"/>
    <x v="22"/>
    <x v="26"/>
    <x v="2"/>
    <x v="2"/>
    <n v="1"/>
    <s v="27207137222001"/>
    <n v="1"/>
    <n v="1"/>
    <x v="10"/>
    <n v="0"/>
    <n v="1"/>
    <n v="0"/>
    <n v="1"/>
    <n v="0"/>
    <n v="0"/>
    <n v="0"/>
  </r>
  <r>
    <n v="1"/>
    <x v="0"/>
    <x v="705"/>
    <x v="15"/>
    <x v="22"/>
    <x v="26"/>
    <x v="101"/>
    <x v="101"/>
    <n v="1"/>
    <s v="23207139614001"/>
    <n v="1"/>
    <n v="1"/>
    <x v="10"/>
    <n v="0"/>
    <n v="1"/>
    <n v="0"/>
    <n v="1"/>
    <n v="0"/>
    <n v="0"/>
    <n v="0"/>
  </r>
  <r>
    <n v="1"/>
    <x v="0"/>
    <x v="706"/>
    <x v="15"/>
    <x v="22"/>
    <x v="26"/>
    <x v="2"/>
    <x v="2"/>
    <n v="1"/>
    <s v="23207137991001"/>
    <n v="1"/>
    <n v="1"/>
    <x v="10"/>
    <n v="0"/>
    <n v="1"/>
    <n v="0"/>
    <n v="1"/>
    <n v="0"/>
    <n v="0"/>
    <n v="0"/>
  </r>
  <r>
    <n v="1"/>
    <x v="0"/>
    <x v="707"/>
    <x v="15"/>
    <x v="22"/>
    <x v="26"/>
    <x v="4"/>
    <x v="4"/>
    <n v="1"/>
    <s v="23207139188001"/>
    <n v="1"/>
    <n v="1"/>
    <x v="10"/>
    <n v="0"/>
    <n v="1"/>
    <n v="0"/>
    <n v="1"/>
    <n v="0"/>
    <n v="0"/>
    <n v="0"/>
  </r>
  <r>
    <n v="1"/>
    <x v="0"/>
    <x v="708"/>
    <x v="15"/>
    <x v="22"/>
    <x v="26"/>
    <x v="38"/>
    <x v="38"/>
    <n v="1"/>
    <s v="23207138841001"/>
    <n v="0"/>
    <n v="0"/>
    <x v="2"/>
    <n v="0"/>
    <n v="0"/>
    <n v="0"/>
    <n v="0"/>
    <n v="0"/>
    <n v="0"/>
    <n v="0"/>
  </r>
  <r>
    <n v="1"/>
    <x v="0"/>
    <x v="709"/>
    <x v="15"/>
    <x v="23"/>
    <x v="26"/>
    <x v="96"/>
    <x v="96"/>
    <n v="1"/>
    <s v="23207139008001"/>
    <n v="1"/>
    <n v="1"/>
    <x v="10"/>
    <n v="0"/>
    <n v="1"/>
    <n v="0"/>
    <n v="1"/>
    <n v="0"/>
    <n v="0"/>
    <n v="0"/>
  </r>
  <r>
    <n v="1"/>
    <x v="0"/>
    <x v="710"/>
    <x v="15"/>
    <x v="23"/>
    <x v="26"/>
    <x v="3"/>
    <x v="3"/>
    <n v="1"/>
    <s v="23207143048001"/>
    <n v="1"/>
    <n v="1"/>
    <x v="10"/>
    <n v="0"/>
    <n v="1"/>
    <n v="0"/>
    <n v="1"/>
    <n v="0"/>
    <n v="0"/>
    <n v="0"/>
  </r>
  <r>
    <n v="1"/>
    <x v="0"/>
    <x v="711"/>
    <x v="15"/>
    <x v="23"/>
    <x v="3"/>
    <x v="6"/>
    <x v="6"/>
    <n v="128"/>
    <s v="1"/>
    <n v="128"/>
    <n v="128"/>
    <x v="15"/>
    <n v="0"/>
    <n v="128"/>
    <n v="0"/>
    <n v="128"/>
    <n v="0"/>
    <n v="0"/>
    <n v="0"/>
  </r>
  <r>
    <n v="1"/>
    <x v="0"/>
    <x v="711"/>
    <x v="15"/>
    <x v="23"/>
    <x v="3"/>
    <x v="18"/>
    <x v="18"/>
    <n v="6"/>
    <s v="4"/>
    <n v="6"/>
    <n v="6"/>
    <x v="15"/>
    <n v="0"/>
    <n v="6"/>
    <n v="0"/>
    <n v="6"/>
    <n v="0"/>
    <n v="0"/>
    <n v="0"/>
  </r>
  <r>
    <n v="1"/>
    <x v="0"/>
    <x v="711"/>
    <x v="15"/>
    <x v="23"/>
    <x v="3"/>
    <x v="19"/>
    <x v="19"/>
    <n v="12"/>
    <s v="5"/>
    <n v="12"/>
    <n v="12"/>
    <x v="15"/>
    <n v="0"/>
    <n v="12"/>
    <n v="0"/>
    <n v="12"/>
    <n v="0"/>
    <n v="0"/>
    <n v="0"/>
  </r>
  <r>
    <n v="1"/>
    <x v="0"/>
    <x v="711"/>
    <x v="15"/>
    <x v="23"/>
    <x v="3"/>
    <x v="9"/>
    <x v="9"/>
    <n v="36"/>
    <s v="6"/>
    <n v="36"/>
    <n v="36"/>
    <x v="15"/>
    <n v="0"/>
    <n v="36"/>
    <n v="0"/>
    <n v="36"/>
    <n v="0"/>
    <n v="0"/>
    <n v="0"/>
  </r>
  <r>
    <n v="1"/>
    <x v="0"/>
    <x v="711"/>
    <x v="15"/>
    <x v="23"/>
    <x v="3"/>
    <x v="10"/>
    <x v="10"/>
    <n v="42"/>
    <s v="7"/>
    <n v="42"/>
    <n v="42"/>
    <x v="15"/>
    <n v="0"/>
    <n v="42"/>
    <n v="0"/>
    <n v="42"/>
    <n v="0"/>
    <n v="0"/>
    <n v="0"/>
  </r>
  <r>
    <n v="4"/>
    <x v="2"/>
    <x v="712"/>
    <x v="9"/>
    <x v="13"/>
    <x v="10"/>
    <x v="87"/>
    <x v="87"/>
    <n v="1"/>
    <s v="12710660252"/>
    <n v="1"/>
    <n v="1"/>
    <x v="11"/>
    <n v="0"/>
    <n v="1"/>
    <n v="0"/>
    <n v="1"/>
    <n v="0"/>
    <n v="0"/>
    <n v="0"/>
  </r>
  <r>
    <n v="4"/>
    <x v="2"/>
    <x v="713"/>
    <x v="9"/>
    <x v="13"/>
    <x v="10"/>
    <x v="73"/>
    <x v="73"/>
    <n v="1"/>
    <s v="12710837647"/>
    <n v="1"/>
    <n v="1"/>
    <x v="11"/>
    <n v="0"/>
    <n v="1"/>
    <n v="0"/>
    <n v="1"/>
    <n v="0"/>
    <n v="0"/>
    <n v="0"/>
  </r>
  <r>
    <n v="4"/>
    <x v="2"/>
    <x v="713"/>
    <x v="9"/>
    <x v="13"/>
    <x v="10"/>
    <x v="171"/>
    <x v="171"/>
    <n v="1"/>
    <s v="12710837647"/>
    <n v="1"/>
    <n v="1"/>
    <x v="11"/>
    <n v="0"/>
    <n v="1"/>
    <n v="0"/>
    <n v="1"/>
    <n v="0"/>
    <n v="0"/>
    <n v="0"/>
  </r>
  <r>
    <n v="4"/>
    <x v="2"/>
    <x v="714"/>
    <x v="9"/>
    <x v="13"/>
    <x v="10"/>
    <x v="54"/>
    <x v="54"/>
    <n v="1"/>
    <s v="12710881466"/>
    <n v="1"/>
    <n v="1"/>
    <x v="11"/>
    <n v="0"/>
    <n v="1"/>
    <n v="0"/>
    <n v="1"/>
    <n v="0"/>
    <n v="0"/>
    <n v="0"/>
  </r>
  <r>
    <n v="4"/>
    <x v="2"/>
    <x v="715"/>
    <x v="9"/>
    <x v="13"/>
    <x v="11"/>
    <x v="60"/>
    <x v="60"/>
    <n v="1"/>
    <s v="12710991585"/>
    <n v="1"/>
    <n v="1"/>
    <x v="13"/>
    <n v="0"/>
    <n v="1"/>
    <n v="0"/>
    <n v="1"/>
    <n v="0"/>
    <n v="0"/>
    <n v="0"/>
  </r>
  <r>
    <n v="4"/>
    <x v="2"/>
    <x v="716"/>
    <x v="9"/>
    <x v="13"/>
    <x v="11"/>
    <x v="137"/>
    <x v="137"/>
    <n v="1"/>
    <s v="12711066824"/>
    <n v="1"/>
    <n v="1"/>
    <x v="13"/>
    <n v="0"/>
    <n v="1"/>
    <n v="0"/>
    <n v="1"/>
    <n v="0"/>
    <n v="0"/>
    <n v="0"/>
  </r>
  <r>
    <n v="4"/>
    <x v="2"/>
    <x v="717"/>
    <x v="9"/>
    <x v="13"/>
    <x v="11"/>
    <x v="87"/>
    <x v="87"/>
    <n v="1"/>
    <s v="12710992346"/>
    <n v="1"/>
    <n v="1"/>
    <x v="13"/>
    <n v="0"/>
    <n v="1"/>
    <n v="0"/>
    <n v="1"/>
    <n v="0"/>
    <n v="0"/>
    <n v="0"/>
  </r>
  <r>
    <n v="4"/>
    <x v="2"/>
    <x v="718"/>
    <x v="9"/>
    <x v="13"/>
    <x v="8"/>
    <x v="50"/>
    <x v="50"/>
    <n v="1"/>
    <s v="12711084385"/>
    <n v="1"/>
    <n v="1"/>
    <x v="12"/>
    <n v="0"/>
    <n v="1"/>
    <n v="0"/>
    <n v="1"/>
    <n v="0"/>
    <n v="0"/>
    <n v="0"/>
  </r>
  <r>
    <n v="4"/>
    <x v="2"/>
    <x v="719"/>
    <x v="9"/>
    <x v="13"/>
    <x v="8"/>
    <x v="50"/>
    <x v="50"/>
    <n v="1"/>
    <s v="12711107848"/>
    <n v="1"/>
    <n v="1"/>
    <x v="12"/>
    <n v="0"/>
    <n v="1"/>
    <n v="0"/>
    <n v="1"/>
    <n v="0"/>
    <n v="0"/>
    <n v="0"/>
  </r>
  <r>
    <n v="4"/>
    <x v="2"/>
    <x v="720"/>
    <x v="9"/>
    <x v="13"/>
    <x v="8"/>
    <x v="60"/>
    <x v="60"/>
    <n v="1"/>
    <s v="12711162120"/>
    <n v="1"/>
    <n v="1"/>
    <x v="12"/>
    <n v="0"/>
    <n v="1"/>
    <n v="0"/>
    <n v="1"/>
    <n v="0"/>
    <n v="0"/>
    <n v="0"/>
  </r>
  <r>
    <n v="4"/>
    <x v="2"/>
    <x v="721"/>
    <x v="26"/>
    <x v="13"/>
    <x v="10"/>
    <x v="87"/>
    <x v="87"/>
    <n v="1"/>
    <s v="12711449351"/>
    <n v="1"/>
    <n v="1"/>
    <x v="11"/>
    <n v="0"/>
    <n v="1"/>
    <n v="0"/>
    <n v="1"/>
    <n v="0"/>
    <n v="0"/>
    <n v="0"/>
  </r>
  <r>
    <n v="4"/>
    <x v="2"/>
    <x v="722"/>
    <x v="19"/>
    <x v="30"/>
    <x v="10"/>
    <x v="49"/>
    <x v="49"/>
    <n v="1"/>
    <s v="12712199484"/>
    <n v="1"/>
    <n v="1"/>
    <x v="11"/>
    <n v="0"/>
    <n v="1"/>
    <n v="0"/>
    <n v="1"/>
    <n v="0"/>
    <n v="0"/>
    <n v="0"/>
  </r>
  <r>
    <n v="4"/>
    <x v="2"/>
    <x v="723"/>
    <x v="19"/>
    <x v="30"/>
    <x v="10"/>
    <x v="172"/>
    <x v="172"/>
    <n v="1"/>
    <s v="226792758"/>
    <n v="1"/>
    <n v="1"/>
    <x v="11"/>
    <n v="0"/>
    <n v="1"/>
    <n v="0"/>
    <n v="1"/>
    <n v="0"/>
    <n v="0"/>
    <n v="0"/>
  </r>
  <r>
    <n v="4"/>
    <x v="2"/>
    <x v="724"/>
    <x v="19"/>
    <x v="30"/>
    <x v="25"/>
    <x v="173"/>
    <x v="173"/>
    <n v="2"/>
    <s v="12712225039"/>
    <n v="2"/>
    <n v="2"/>
    <x v="12"/>
    <n v="0"/>
    <n v="2"/>
    <n v="0"/>
    <n v="2"/>
    <n v="0"/>
    <n v="0"/>
    <n v="0"/>
  </r>
  <r>
    <n v="4"/>
    <x v="2"/>
    <x v="725"/>
    <x v="19"/>
    <x v="42"/>
    <x v="10"/>
    <x v="49"/>
    <x v="49"/>
    <n v="1"/>
    <s v="12712309050"/>
    <n v="1"/>
    <n v="1"/>
    <x v="11"/>
    <n v="0"/>
    <n v="1"/>
    <n v="0"/>
    <n v="1"/>
    <n v="0"/>
    <n v="0"/>
    <n v="0"/>
  </r>
  <r>
    <n v="4"/>
    <x v="2"/>
    <x v="726"/>
    <x v="19"/>
    <x v="42"/>
    <x v="10"/>
    <x v="63"/>
    <x v="63"/>
    <n v="1"/>
    <s v="12712312050"/>
    <n v="1"/>
    <n v="1"/>
    <x v="11"/>
    <n v="0"/>
    <n v="1"/>
    <n v="0"/>
    <n v="1"/>
    <n v="0"/>
    <n v="0"/>
    <n v="0"/>
  </r>
  <r>
    <n v="4"/>
    <x v="2"/>
    <x v="727"/>
    <x v="19"/>
    <x v="31"/>
    <x v="10"/>
    <x v="49"/>
    <x v="49"/>
    <n v="1"/>
    <s v="12712435391"/>
    <n v="1"/>
    <n v="1"/>
    <x v="11"/>
    <n v="0"/>
    <n v="1"/>
    <n v="0"/>
    <n v="1"/>
    <n v="0"/>
    <n v="0"/>
    <n v="0"/>
  </r>
  <r>
    <n v="4"/>
    <x v="2"/>
    <x v="728"/>
    <x v="20"/>
    <x v="31"/>
    <x v="10"/>
    <x v="49"/>
    <x v="49"/>
    <n v="1"/>
    <s v="12712516861"/>
    <n v="1"/>
    <n v="1"/>
    <x v="11"/>
    <n v="0"/>
    <n v="1"/>
    <n v="0"/>
    <n v="1"/>
    <n v="0"/>
    <n v="0"/>
    <n v="0"/>
  </r>
  <r>
    <n v="4"/>
    <x v="2"/>
    <x v="729"/>
    <x v="20"/>
    <x v="31"/>
    <x v="8"/>
    <x v="61"/>
    <x v="61"/>
    <n v="1"/>
    <s v="12712429901"/>
    <n v="0"/>
    <n v="0"/>
    <x v="2"/>
    <n v="0"/>
    <n v="0"/>
    <n v="0"/>
    <n v="0"/>
    <n v="0"/>
    <n v="0"/>
    <n v="0"/>
  </r>
  <r>
    <n v="4"/>
    <x v="2"/>
    <x v="730"/>
    <x v="20"/>
    <x v="31"/>
    <x v="13"/>
    <x v="50"/>
    <x v="50"/>
    <n v="1"/>
    <s v="12712549838"/>
    <n v="1"/>
    <n v="1"/>
    <x v="12"/>
    <n v="0"/>
    <n v="1"/>
    <n v="0"/>
    <n v="1"/>
    <n v="0"/>
    <n v="0"/>
    <n v="0"/>
  </r>
  <r>
    <n v="4"/>
    <x v="2"/>
    <x v="731"/>
    <x v="20"/>
    <x v="31"/>
    <x v="8"/>
    <x v="142"/>
    <x v="142"/>
    <n v="1"/>
    <s v="226796732"/>
    <n v="1"/>
    <n v="1"/>
    <x v="12"/>
    <n v="0"/>
    <n v="1"/>
    <n v="0"/>
    <n v="1"/>
    <n v="0"/>
    <n v="0"/>
    <n v="0"/>
  </r>
  <r>
    <n v="4"/>
    <x v="2"/>
    <x v="732"/>
    <x v="20"/>
    <x v="31"/>
    <x v="11"/>
    <x v="142"/>
    <x v="142"/>
    <n v="2"/>
    <s v="12712664463"/>
    <n v="2"/>
    <n v="2"/>
    <x v="13"/>
    <n v="1"/>
    <n v="1"/>
    <n v="0"/>
    <n v="0"/>
    <n v="-1"/>
    <n v="0"/>
    <n v="0"/>
  </r>
  <r>
    <n v="4"/>
    <x v="2"/>
    <x v="733"/>
    <x v="21"/>
    <x v="41"/>
    <x v="10"/>
    <x v="173"/>
    <x v="173"/>
    <n v="2"/>
    <s v="12712666801"/>
    <n v="2"/>
    <n v="2"/>
    <x v="11"/>
    <n v="0"/>
    <n v="2"/>
    <n v="0"/>
    <n v="2"/>
    <n v="0"/>
    <n v="0"/>
    <n v="0"/>
  </r>
  <r>
    <n v="4"/>
    <x v="2"/>
    <x v="734"/>
    <x v="21"/>
    <x v="41"/>
    <x v="2"/>
    <x v="27"/>
    <x v="27"/>
    <n v="1"/>
    <s v="12712755055"/>
    <n v="1"/>
    <n v="1"/>
    <x v="12"/>
    <n v="0"/>
    <n v="1"/>
    <n v="0"/>
    <n v="1"/>
    <n v="0"/>
    <n v="0"/>
    <n v="0"/>
  </r>
  <r>
    <n v="4"/>
    <x v="2"/>
    <x v="735"/>
    <x v="21"/>
    <x v="41"/>
    <x v="12"/>
    <x v="60"/>
    <x v="60"/>
    <n v="1"/>
    <s v="12712765672"/>
    <n v="1"/>
    <n v="1"/>
    <x v="12"/>
    <n v="0"/>
    <n v="1"/>
    <n v="0"/>
    <n v="1"/>
    <n v="0"/>
    <n v="0"/>
    <n v="0"/>
  </r>
  <r>
    <n v="4"/>
    <x v="2"/>
    <x v="736"/>
    <x v="21"/>
    <x v="41"/>
    <x v="11"/>
    <x v="73"/>
    <x v="73"/>
    <n v="1"/>
    <s v="12712762510"/>
    <n v="1"/>
    <n v="1"/>
    <x v="13"/>
    <n v="0"/>
    <n v="1"/>
    <n v="0"/>
    <n v="1"/>
    <n v="0"/>
    <n v="0"/>
    <n v="0"/>
  </r>
  <r>
    <n v="4"/>
    <x v="2"/>
    <x v="737"/>
    <x v="21"/>
    <x v="41"/>
    <x v="11"/>
    <x v="60"/>
    <x v="60"/>
    <n v="1"/>
    <s v="12712793224"/>
    <n v="1"/>
    <n v="1"/>
    <x v="13"/>
    <n v="0"/>
    <n v="1"/>
    <n v="0"/>
    <n v="1"/>
    <n v="0"/>
    <n v="0"/>
    <n v="0"/>
  </r>
  <r>
    <n v="4"/>
    <x v="2"/>
    <x v="738"/>
    <x v="21"/>
    <x v="41"/>
    <x v="11"/>
    <x v="87"/>
    <x v="87"/>
    <n v="1"/>
    <s v="12712793446"/>
    <n v="1"/>
    <n v="1"/>
    <x v="13"/>
    <n v="0"/>
    <n v="1"/>
    <n v="0"/>
    <n v="1"/>
    <n v="0"/>
    <n v="0"/>
    <n v="0"/>
  </r>
  <r>
    <n v="4"/>
    <x v="2"/>
    <x v="739"/>
    <x v="21"/>
    <x v="41"/>
    <x v="10"/>
    <x v="69"/>
    <x v="69"/>
    <n v="1"/>
    <s v="12712834347"/>
    <n v="1"/>
    <n v="1"/>
    <x v="11"/>
    <n v="0"/>
    <n v="1"/>
    <n v="0"/>
    <n v="1"/>
    <n v="0"/>
    <n v="0"/>
    <n v="0"/>
  </r>
  <r>
    <n v="4"/>
    <x v="2"/>
    <x v="740"/>
    <x v="21"/>
    <x v="41"/>
    <x v="10"/>
    <x v="174"/>
    <x v="174"/>
    <n v="1"/>
    <s v="12712842175"/>
    <n v="1"/>
    <n v="1"/>
    <x v="11"/>
    <n v="0"/>
    <n v="1"/>
    <n v="0"/>
    <n v="1"/>
    <n v="0"/>
    <n v="0"/>
    <n v="0"/>
  </r>
  <r>
    <n v="4"/>
    <x v="2"/>
    <x v="741"/>
    <x v="21"/>
    <x v="41"/>
    <x v="10"/>
    <x v="27"/>
    <x v="27"/>
    <n v="1"/>
    <s v="12712853058"/>
    <n v="1"/>
    <n v="1"/>
    <x v="11"/>
    <n v="0"/>
    <n v="1"/>
    <n v="0"/>
    <n v="1"/>
    <n v="0"/>
    <n v="0"/>
    <n v="0"/>
  </r>
  <r>
    <n v="4"/>
    <x v="2"/>
    <x v="742"/>
    <x v="21"/>
    <x v="41"/>
    <x v="8"/>
    <x v="49"/>
    <x v="49"/>
    <n v="1"/>
    <s v="12712843912"/>
    <n v="1"/>
    <n v="1"/>
    <x v="12"/>
    <n v="0"/>
    <n v="1"/>
    <n v="0"/>
    <n v="1"/>
    <n v="0"/>
    <n v="0"/>
    <n v="0"/>
  </r>
  <r>
    <n v="4"/>
    <x v="2"/>
    <x v="743"/>
    <x v="21"/>
    <x v="41"/>
    <x v="8"/>
    <x v="175"/>
    <x v="175"/>
    <n v="1"/>
    <s v="226804543"/>
    <n v="1"/>
    <n v="1"/>
    <x v="12"/>
    <n v="0"/>
    <n v="1"/>
    <n v="0"/>
    <n v="1"/>
    <n v="0"/>
    <n v="0"/>
    <n v="0"/>
  </r>
  <r>
    <n v="4"/>
    <x v="2"/>
    <x v="744"/>
    <x v="21"/>
    <x v="41"/>
    <x v="8"/>
    <x v="27"/>
    <x v="27"/>
    <n v="1"/>
    <s v="12712884120"/>
    <n v="1"/>
    <n v="1"/>
    <x v="12"/>
    <n v="0"/>
    <n v="1"/>
    <n v="0"/>
    <n v="1"/>
    <n v="0"/>
    <n v="0"/>
    <n v="0"/>
  </r>
  <r>
    <n v="4"/>
    <x v="2"/>
    <x v="745"/>
    <x v="21"/>
    <x v="41"/>
    <x v="10"/>
    <x v="37"/>
    <x v="37"/>
    <n v="1"/>
    <s v="12712892279"/>
    <n v="1"/>
    <n v="1"/>
    <x v="11"/>
    <n v="0"/>
    <n v="1"/>
    <n v="0"/>
    <n v="1"/>
    <n v="0"/>
    <n v="0"/>
    <n v="0"/>
  </r>
  <r>
    <n v="4"/>
    <x v="2"/>
    <x v="746"/>
    <x v="21"/>
    <x v="41"/>
    <x v="10"/>
    <x v="176"/>
    <x v="176"/>
    <n v="1"/>
    <s v="12712902039"/>
    <n v="1"/>
    <n v="1"/>
    <x v="11"/>
    <n v="0"/>
    <n v="1"/>
    <n v="0"/>
    <n v="1"/>
    <n v="0"/>
    <n v="0"/>
    <n v="0"/>
  </r>
  <r>
    <n v="4"/>
    <x v="2"/>
    <x v="747"/>
    <x v="21"/>
    <x v="41"/>
    <x v="10"/>
    <x v="177"/>
    <x v="177"/>
    <n v="1"/>
    <s v="12712911284"/>
    <n v="1"/>
    <n v="1"/>
    <x v="11"/>
    <n v="0"/>
    <n v="1"/>
    <n v="0"/>
    <n v="1"/>
    <n v="0"/>
    <n v="0"/>
    <n v="0"/>
  </r>
  <r>
    <n v="4"/>
    <x v="2"/>
    <x v="748"/>
    <x v="22"/>
    <x v="14"/>
    <x v="8"/>
    <x v="69"/>
    <x v="69"/>
    <n v="1"/>
    <s v="12713013345"/>
    <n v="1"/>
    <n v="1"/>
    <x v="12"/>
    <n v="0"/>
    <n v="1"/>
    <n v="0"/>
    <n v="1"/>
    <n v="0"/>
    <n v="0"/>
    <n v="0"/>
  </r>
  <r>
    <n v="4"/>
    <x v="2"/>
    <x v="749"/>
    <x v="22"/>
    <x v="14"/>
    <x v="10"/>
    <x v="63"/>
    <x v="63"/>
    <n v="1"/>
    <s v="226805861"/>
    <n v="1"/>
    <n v="1"/>
    <x v="11"/>
    <n v="0"/>
    <n v="1"/>
    <n v="0"/>
    <n v="1"/>
    <n v="0"/>
    <n v="0"/>
    <n v="0"/>
  </r>
  <r>
    <n v="9"/>
    <x v="7"/>
    <x v="334"/>
    <x v="0"/>
    <x v="38"/>
    <x v="3"/>
    <x v="17"/>
    <x v="17"/>
    <n v="1"/>
    <s v="0390050000694513370104"/>
    <n v="1"/>
    <n v="1"/>
    <x v="15"/>
    <n v="0"/>
    <n v="1"/>
    <n v="0"/>
    <n v="1"/>
    <n v="0"/>
    <n v="0"/>
    <n v="0"/>
  </r>
  <r>
    <n v="9"/>
    <x v="7"/>
    <x v="334"/>
    <x v="0"/>
    <x v="38"/>
    <x v="2"/>
    <x v="1"/>
    <x v="1"/>
    <n v="1"/>
    <s v="0390050000694703460101"/>
    <n v="1"/>
    <n v="1"/>
    <x v="3"/>
    <n v="0"/>
    <n v="1"/>
    <n v="0"/>
    <n v="1"/>
    <n v="0"/>
    <n v="0"/>
    <n v="0"/>
  </r>
  <r>
    <n v="9"/>
    <x v="7"/>
    <x v="750"/>
    <x v="0"/>
    <x v="38"/>
    <x v="4"/>
    <x v="28"/>
    <x v="28"/>
    <n v="1"/>
    <s v="0390050000694782760101"/>
    <n v="1"/>
    <n v="1"/>
    <x v="5"/>
    <n v="0"/>
    <n v="1"/>
    <n v="0"/>
    <n v="1"/>
    <n v="0"/>
    <n v="0"/>
    <n v="0"/>
  </r>
  <r>
    <n v="9"/>
    <x v="7"/>
    <x v="750"/>
    <x v="0"/>
    <x v="38"/>
    <x v="2"/>
    <x v="113"/>
    <x v="113"/>
    <n v="1"/>
    <s v="0390050000694753190101"/>
    <n v="1"/>
    <n v="1"/>
    <x v="3"/>
    <n v="0"/>
    <n v="1"/>
    <n v="0"/>
    <n v="1"/>
    <n v="0"/>
    <n v="0"/>
    <n v="0"/>
  </r>
  <r>
    <n v="9"/>
    <x v="7"/>
    <x v="751"/>
    <x v="0"/>
    <x v="38"/>
    <x v="2"/>
    <x v="2"/>
    <x v="2"/>
    <n v="1"/>
    <s v="0260751808315783009080"/>
    <n v="1"/>
    <n v="1"/>
    <x v="3"/>
    <n v="0"/>
    <n v="1"/>
    <n v="0"/>
    <n v="1"/>
    <n v="0"/>
    <n v="0"/>
    <n v="0"/>
  </r>
  <r>
    <n v="9"/>
    <x v="7"/>
    <x v="751"/>
    <x v="0"/>
    <x v="38"/>
    <x v="12"/>
    <x v="5"/>
    <x v="5"/>
    <n v="1"/>
    <s v="0451001808311936009816"/>
    <n v="1"/>
    <n v="1"/>
    <x v="14"/>
    <n v="0"/>
    <n v="1"/>
    <n v="0"/>
    <n v="1"/>
    <n v="0"/>
    <n v="0"/>
    <n v="0"/>
  </r>
  <r>
    <n v="9"/>
    <x v="7"/>
    <x v="752"/>
    <x v="0"/>
    <x v="38"/>
    <x v="4"/>
    <x v="60"/>
    <x v="60"/>
    <n v="1"/>
    <s v="0390050000694941510101"/>
    <n v="1"/>
    <n v="1"/>
    <x v="5"/>
    <n v="0"/>
    <n v="1"/>
    <n v="0"/>
    <n v="1"/>
    <n v="0"/>
    <n v="0"/>
    <n v="0"/>
  </r>
  <r>
    <n v="9"/>
    <x v="7"/>
    <x v="752"/>
    <x v="0"/>
    <x v="0"/>
    <x v="25"/>
    <x v="75"/>
    <x v="75"/>
    <n v="1"/>
    <s v="0390050000695002150102"/>
    <n v="1"/>
    <n v="1"/>
    <x v="28"/>
    <n v="0"/>
    <n v="1"/>
    <n v="0"/>
    <n v="1"/>
    <n v="0"/>
    <n v="0"/>
    <n v="0"/>
  </r>
  <r>
    <n v="9"/>
    <x v="7"/>
    <x v="752"/>
    <x v="0"/>
    <x v="0"/>
    <x v="25"/>
    <x v="46"/>
    <x v="46"/>
    <n v="1"/>
    <s v="0390050000694975740101"/>
    <n v="1"/>
    <n v="1"/>
    <x v="28"/>
    <n v="0"/>
    <n v="1"/>
    <n v="0"/>
    <n v="1"/>
    <n v="0"/>
    <n v="0"/>
    <n v="0"/>
  </r>
  <r>
    <n v="9"/>
    <x v="7"/>
    <x v="753"/>
    <x v="0"/>
    <x v="0"/>
    <x v="2"/>
    <x v="46"/>
    <x v="46"/>
    <n v="1"/>
    <s v="0140181809010340009906"/>
    <n v="1"/>
    <n v="1"/>
    <x v="3"/>
    <n v="0"/>
    <n v="1"/>
    <n v="0"/>
    <n v="1"/>
    <n v="0"/>
    <n v="0"/>
    <n v="0"/>
  </r>
  <r>
    <n v="9"/>
    <x v="7"/>
    <x v="754"/>
    <x v="0"/>
    <x v="0"/>
    <x v="2"/>
    <x v="46"/>
    <x v="46"/>
    <n v="1"/>
    <s v="0390050000695239660102"/>
    <n v="1"/>
    <n v="1"/>
    <x v="3"/>
    <n v="0"/>
    <n v="1"/>
    <n v="0"/>
    <n v="1"/>
    <n v="0"/>
    <n v="0"/>
    <n v="0"/>
  </r>
  <r>
    <n v="9"/>
    <x v="7"/>
    <x v="754"/>
    <x v="0"/>
    <x v="0"/>
    <x v="2"/>
    <x v="110"/>
    <x v="110"/>
    <n v="1"/>
    <s v="0260351809011930006120"/>
    <n v="1"/>
    <n v="1"/>
    <x v="3"/>
    <n v="0"/>
    <n v="1"/>
    <n v="0"/>
    <n v="1"/>
    <n v="0"/>
    <n v="0"/>
    <n v="0"/>
  </r>
  <r>
    <n v="9"/>
    <x v="7"/>
    <x v="755"/>
    <x v="0"/>
    <x v="0"/>
    <x v="2"/>
    <x v="60"/>
    <x v="60"/>
    <n v="1"/>
    <s v="0140341809011287011632"/>
    <n v="1"/>
    <n v="1"/>
    <x v="3"/>
    <n v="0"/>
    <n v="1"/>
    <n v="0"/>
    <n v="1"/>
    <n v="0"/>
    <n v="0"/>
    <n v="0"/>
  </r>
  <r>
    <n v="9"/>
    <x v="7"/>
    <x v="755"/>
    <x v="0"/>
    <x v="0"/>
    <x v="3"/>
    <x v="60"/>
    <x v="60"/>
    <n v="1"/>
    <s v="0260591809014697008850"/>
    <n v="1"/>
    <n v="1"/>
    <x v="15"/>
    <n v="0"/>
    <n v="1"/>
    <n v="0"/>
    <n v="1"/>
    <n v="0"/>
    <n v="0"/>
    <n v="0"/>
  </r>
  <r>
    <n v="9"/>
    <x v="7"/>
    <x v="755"/>
    <x v="0"/>
    <x v="0"/>
    <x v="2"/>
    <x v="87"/>
    <x v="87"/>
    <n v="1"/>
    <s v="0390050000695287340101"/>
    <n v="1"/>
    <n v="1"/>
    <x v="3"/>
    <n v="0"/>
    <n v="1"/>
    <n v="0"/>
    <n v="1"/>
    <n v="0"/>
    <n v="0"/>
    <n v="0"/>
  </r>
  <r>
    <n v="9"/>
    <x v="7"/>
    <x v="755"/>
    <x v="0"/>
    <x v="0"/>
    <x v="2"/>
    <x v="2"/>
    <x v="2"/>
    <n v="1"/>
    <s v="0390050000695286990101"/>
    <n v="1"/>
    <n v="1"/>
    <x v="3"/>
    <n v="0"/>
    <n v="1"/>
    <n v="0"/>
    <n v="1"/>
    <n v="0"/>
    <n v="0"/>
    <n v="0"/>
  </r>
  <r>
    <n v="9"/>
    <x v="7"/>
    <x v="755"/>
    <x v="0"/>
    <x v="0"/>
    <x v="2"/>
    <x v="2"/>
    <x v="2"/>
    <n v="1"/>
    <s v="0970151809012234010628"/>
    <n v="1"/>
    <n v="1"/>
    <x v="3"/>
    <n v="0"/>
    <n v="1"/>
    <n v="0"/>
    <n v="1"/>
    <n v="0"/>
    <n v="0"/>
    <n v="0"/>
  </r>
  <r>
    <n v="9"/>
    <x v="7"/>
    <x v="755"/>
    <x v="0"/>
    <x v="0"/>
    <x v="2"/>
    <x v="46"/>
    <x v="46"/>
    <n v="1"/>
    <s v="0140341809011287011631"/>
    <n v="1"/>
    <n v="1"/>
    <x v="3"/>
    <n v="0"/>
    <n v="1"/>
    <n v="0"/>
    <n v="1"/>
    <n v="0"/>
    <n v="0"/>
    <n v="0"/>
  </r>
  <r>
    <n v="9"/>
    <x v="7"/>
    <x v="755"/>
    <x v="0"/>
    <x v="0"/>
    <x v="2"/>
    <x v="158"/>
    <x v="158"/>
    <n v="1"/>
    <s v="0390050000695301370101"/>
    <n v="1"/>
    <n v="1"/>
    <x v="3"/>
    <n v="0"/>
    <n v="1"/>
    <n v="0"/>
    <n v="1"/>
    <n v="0"/>
    <n v="0"/>
    <n v="0"/>
  </r>
  <r>
    <n v="9"/>
    <x v="7"/>
    <x v="756"/>
    <x v="0"/>
    <x v="0"/>
    <x v="2"/>
    <x v="2"/>
    <x v="2"/>
    <n v="1"/>
    <s v="0390050000695316120101"/>
    <n v="1"/>
    <n v="1"/>
    <x v="3"/>
    <n v="0"/>
    <n v="1"/>
    <n v="0"/>
    <n v="1"/>
    <n v="0"/>
    <n v="0"/>
    <n v="0"/>
  </r>
  <r>
    <n v="9"/>
    <x v="7"/>
    <x v="756"/>
    <x v="0"/>
    <x v="0"/>
    <x v="2"/>
    <x v="2"/>
    <x v="2"/>
    <n v="1"/>
    <s v="0390050000695316440101"/>
    <n v="1"/>
    <n v="1"/>
    <x v="3"/>
    <n v="0"/>
    <n v="1"/>
    <n v="0"/>
    <n v="1"/>
    <n v="0"/>
    <n v="0"/>
    <n v="0"/>
  </r>
  <r>
    <n v="9"/>
    <x v="7"/>
    <x v="757"/>
    <x v="0"/>
    <x v="0"/>
    <x v="2"/>
    <x v="2"/>
    <x v="2"/>
    <n v="1"/>
    <s v="0180631809017052012206"/>
    <n v="1"/>
    <n v="1"/>
    <x v="3"/>
    <n v="0"/>
    <n v="1"/>
    <n v="0"/>
    <n v="1"/>
    <n v="0"/>
    <n v="0"/>
    <n v="0"/>
  </r>
  <r>
    <n v="9"/>
    <x v="7"/>
    <x v="757"/>
    <x v="0"/>
    <x v="0"/>
    <x v="2"/>
    <x v="37"/>
    <x v="37"/>
    <n v="1"/>
    <s v="0040391809013952000691"/>
    <n v="1"/>
    <n v="1"/>
    <x v="3"/>
    <n v="0"/>
    <n v="1"/>
    <n v="0"/>
    <n v="1"/>
    <n v="0"/>
    <n v="0"/>
    <n v="0"/>
  </r>
  <r>
    <n v="9"/>
    <x v="7"/>
    <x v="757"/>
    <x v="0"/>
    <x v="0"/>
    <x v="2"/>
    <x v="5"/>
    <x v="5"/>
    <n v="1"/>
    <s v="0040391809013952000690"/>
    <n v="1"/>
    <n v="1"/>
    <x v="3"/>
    <n v="0"/>
    <n v="1"/>
    <n v="0"/>
    <n v="1"/>
    <n v="0"/>
    <n v="0"/>
    <n v="0"/>
  </r>
  <r>
    <n v="9"/>
    <x v="7"/>
    <x v="757"/>
    <x v="0"/>
    <x v="0"/>
    <x v="13"/>
    <x v="5"/>
    <x v="5"/>
    <n v="1"/>
    <s v="0570751809011174012726"/>
    <n v="1"/>
    <n v="1"/>
    <x v="14"/>
    <n v="0"/>
    <n v="1"/>
    <n v="0"/>
    <n v="1"/>
    <n v="0"/>
    <n v="0"/>
    <n v="0"/>
  </r>
  <r>
    <n v="9"/>
    <x v="7"/>
    <x v="758"/>
    <x v="0"/>
    <x v="0"/>
    <x v="2"/>
    <x v="37"/>
    <x v="37"/>
    <n v="1"/>
    <s v="0980531809013660000993"/>
    <n v="1"/>
    <n v="1"/>
    <x v="3"/>
    <n v="0"/>
    <n v="1"/>
    <n v="0"/>
    <n v="1"/>
    <n v="0"/>
    <n v="0"/>
    <n v="0"/>
  </r>
  <r>
    <n v="9"/>
    <x v="7"/>
    <x v="759"/>
    <x v="0"/>
    <x v="1"/>
    <x v="2"/>
    <x v="69"/>
    <x v="69"/>
    <n v="1"/>
    <s v="0390050000695352910101"/>
    <n v="1"/>
    <n v="1"/>
    <x v="3"/>
    <n v="0"/>
    <n v="1"/>
    <n v="0"/>
    <n v="1"/>
    <n v="0"/>
    <n v="0"/>
    <n v="0"/>
  </r>
  <r>
    <n v="9"/>
    <x v="7"/>
    <x v="759"/>
    <x v="0"/>
    <x v="0"/>
    <x v="2"/>
    <x v="46"/>
    <x v="46"/>
    <n v="1"/>
    <s v="0390050000695397680101"/>
    <n v="1"/>
    <n v="1"/>
    <x v="3"/>
    <n v="0"/>
    <n v="1"/>
    <n v="0"/>
    <n v="1"/>
    <n v="0"/>
    <n v="0"/>
    <n v="0"/>
  </r>
  <r>
    <n v="9"/>
    <x v="7"/>
    <x v="759"/>
    <x v="0"/>
    <x v="1"/>
    <x v="4"/>
    <x v="178"/>
    <x v="178"/>
    <n v="1"/>
    <s v="0390050000695539660101"/>
    <n v="1"/>
    <n v="1"/>
    <x v="5"/>
    <n v="0"/>
    <n v="1"/>
    <n v="0"/>
    <n v="1"/>
    <n v="0"/>
    <n v="0"/>
    <n v="0"/>
  </r>
  <r>
    <n v="9"/>
    <x v="7"/>
    <x v="760"/>
    <x v="0"/>
    <x v="1"/>
    <x v="4"/>
    <x v="2"/>
    <x v="2"/>
    <n v="1"/>
    <s v="0390050000695666520101"/>
    <n v="1"/>
    <n v="1"/>
    <x v="5"/>
    <n v="0"/>
    <n v="1"/>
    <n v="0"/>
    <n v="1"/>
    <n v="0"/>
    <n v="0"/>
    <n v="0"/>
  </r>
  <r>
    <n v="9"/>
    <x v="7"/>
    <x v="760"/>
    <x v="0"/>
    <x v="1"/>
    <x v="4"/>
    <x v="2"/>
    <x v="2"/>
    <n v="1"/>
    <s v="0390050000695676990101"/>
    <n v="1"/>
    <n v="1"/>
    <x v="5"/>
    <n v="0"/>
    <n v="1"/>
    <n v="0"/>
    <n v="1"/>
    <n v="0"/>
    <n v="0"/>
    <n v="0"/>
  </r>
  <r>
    <n v="9"/>
    <x v="7"/>
    <x v="760"/>
    <x v="0"/>
    <x v="1"/>
    <x v="4"/>
    <x v="37"/>
    <x v="37"/>
    <n v="1"/>
    <s v="0990301809025096000577"/>
    <n v="1"/>
    <n v="1"/>
    <x v="5"/>
    <n v="0"/>
    <n v="1"/>
    <n v="0"/>
    <n v="1"/>
    <n v="0"/>
    <n v="0"/>
    <n v="0"/>
  </r>
  <r>
    <n v="9"/>
    <x v="7"/>
    <x v="761"/>
    <x v="0"/>
    <x v="1"/>
    <x v="4"/>
    <x v="80"/>
    <x v="80"/>
    <n v="1"/>
    <s v="0390050000695707000101"/>
    <n v="1"/>
    <n v="1"/>
    <x v="5"/>
    <n v="0"/>
    <n v="1"/>
    <n v="0"/>
    <n v="1"/>
    <n v="0"/>
    <n v="0"/>
    <n v="0"/>
  </r>
  <r>
    <n v="9"/>
    <x v="7"/>
    <x v="761"/>
    <x v="0"/>
    <x v="1"/>
    <x v="4"/>
    <x v="17"/>
    <x v="17"/>
    <n v="1"/>
    <s v="0390050000695726470101"/>
    <n v="1"/>
    <n v="1"/>
    <x v="5"/>
    <n v="0"/>
    <n v="1"/>
    <n v="0"/>
    <n v="1"/>
    <n v="0"/>
    <n v="0"/>
    <n v="0"/>
  </r>
  <r>
    <n v="9"/>
    <x v="7"/>
    <x v="761"/>
    <x v="0"/>
    <x v="1"/>
    <x v="4"/>
    <x v="2"/>
    <x v="2"/>
    <n v="1"/>
    <s v="0390050000695673260101"/>
    <n v="1"/>
    <n v="1"/>
    <x v="5"/>
    <n v="0"/>
    <n v="1"/>
    <n v="0"/>
    <n v="1"/>
    <n v="0"/>
    <n v="0"/>
    <n v="0"/>
  </r>
  <r>
    <n v="9"/>
    <x v="7"/>
    <x v="761"/>
    <x v="0"/>
    <x v="1"/>
    <x v="4"/>
    <x v="46"/>
    <x v="46"/>
    <n v="1"/>
    <s v="0390050000695716030101"/>
    <n v="1"/>
    <n v="1"/>
    <x v="5"/>
    <n v="0"/>
    <n v="1"/>
    <n v="0"/>
    <n v="1"/>
    <n v="0"/>
    <n v="0"/>
    <n v="0"/>
  </r>
  <r>
    <n v="9"/>
    <x v="7"/>
    <x v="761"/>
    <x v="0"/>
    <x v="1"/>
    <x v="4"/>
    <x v="1"/>
    <x v="1"/>
    <n v="1"/>
    <s v="0780651809023960009189"/>
    <n v="1"/>
    <n v="1"/>
    <x v="5"/>
    <n v="0"/>
    <n v="1"/>
    <n v="0"/>
    <n v="1"/>
    <n v="0"/>
    <n v="0"/>
    <n v="0"/>
  </r>
  <r>
    <n v="9"/>
    <x v="7"/>
    <x v="761"/>
    <x v="0"/>
    <x v="1"/>
    <x v="3"/>
    <x v="54"/>
    <x v="54"/>
    <n v="1"/>
    <s v="0390050000695715320101"/>
    <n v="1"/>
    <n v="1"/>
    <x v="15"/>
    <n v="0"/>
    <n v="1"/>
    <n v="0"/>
    <n v="1"/>
    <n v="0"/>
    <n v="0"/>
    <n v="0"/>
  </r>
  <r>
    <n v="9"/>
    <x v="7"/>
    <x v="761"/>
    <x v="0"/>
    <x v="1"/>
    <x v="3"/>
    <x v="50"/>
    <x v="50"/>
    <n v="1"/>
    <s v="0390050000695691680101"/>
    <n v="1"/>
    <n v="1"/>
    <x v="15"/>
    <n v="0"/>
    <n v="1"/>
    <n v="0"/>
    <n v="1"/>
    <n v="0"/>
    <n v="0"/>
    <n v="0"/>
  </r>
  <r>
    <n v="9"/>
    <x v="7"/>
    <x v="762"/>
    <x v="0"/>
    <x v="1"/>
    <x v="25"/>
    <x v="60"/>
    <x v="60"/>
    <n v="1"/>
    <s v="0390050000695733990101"/>
    <n v="1"/>
    <n v="1"/>
    <x v="28"/>
    <n v="0"/>
    <n v="1"/>
    <n v="0"/>
    <n v="1"/>
    <n v="0"/>
    <n v="0"/>
    <n v="0"/>
  </r>
  <r>
    <n v="9"/>
    <x v="7"/>
    <x v="762"/>
    <x v="0"/>
    <x v="1"/>
    <x v="4"/>
    <x v="31"/>
    <x v="31"/>
    <n v="1"/>
    <s v="0390050000695740350101"/>
    <n v="1"/>
    <n v="1"/>
    <x v="5"/>
    <n v="0"/>
    <n v="1"/>
    <n v="0"/>
    <n v="1"/>
    <n v="0"/>
    <n v="0"/>
    <n v="0"/>
  </r>
  <r>
    <n v="9"/>
    <x v="7"/>
    <x v="763"/>
    <x v="0"/>
    <x v="1"/>
    <x v="3"/>
    <x v="46"/>
    <x v="46"/>
    <n v="1"/>
    <s v="0390050000695781060101"/>
    <n v="1"/>
    <n v="1"/>
    <x v="15"/>
    <n v="0"/>
    <n v="1"/>
    <n v="0"/>
    <n v="1"/>
    <n v="0"/>
    <n v="0"/>
    <n v="0"/>
  </r>
  <r>
    <n v="9"/>
    <x v="7"/>
    <x v="764"/>
    <x v="0"/>
    <x v="1"/>
    <x v="4"/>
    <x v="2"/>
    <x v="2"/>
    <n v="1"/>
    <s v="0320651809025175012587"/>
    <n v="1"/>
    <n v="1"/>
    <x v="5"/>
    <n v="0"/>
    <n v="1"/>
    <n v="0"/>
    <n v="1"/>
    <n v="0"/>
    <n v="0"/>
    <n v="0"/>
  </r>
  <r>
    <n v="4"/>
    <x v="2"/>
    <x v="765"/>
    <x v="22"/>
    <x v="14"/>
    <x v="10"/>
    <x v="69"/>
    <x v="69"/>
    <n v="2"/>
    <s v="12712881525"/>
    <n v="2"/>
    <n v="2"/>
    <x v="11"/>
    <n v="2"/>
    <n v="0"/>
    <n v="0"/>
    <n v="0"/>
    <n v="0"/>
    <n v="0"/>
    <n v="0"/>
  </r>
  <r>
    <n v="4"/>
    <x v="2"/>
    <x v="766"/>
    <x v="22"/>
    <x v="14"/>
    <x v="10"/>
    <x v="135"/>
    <x v="135"/>
    <n v="1"/>
    <s v="12713032827"/>
    <n v="1"/>
    <n v="1"/>
    <x v="11"/>
    <n v="0"/>
    <n v="1"/>
    <n v="0"/>
    <n v="1"/>
    <n v="0"/>
    <n v="0"/>
    <n v="0"/>
  </r>
  <r>
    <n v="4"/>
    <x v="2"/>
    <x v="767"/>
    <x v="22"/>
    <x v="14"/>
    <x v="8"/>
    <x v="49"/>
    <x v="49"/>
    <n v="1"/>
    <s v="12712736153"/>
    <n v="1"/>
    <n v="1"/>
    <x v="12"/>
    <n v="0"/>
    <n v="1"/>
    <n v="0"/>
    <n v="1"/>
    <n v="0"/>
    <n v="0"/>
    <n v="0"/>
  </r>
  <r>
    <n v="4"/>
    <x v="2"/>
    <x v="768"/>
    <x v="22"/>
    <x v="14"/>
    <x v="10"/>
    <x v="27"/>
    <x v="27"/>
    <n v="1"/>
    <s v="226807438"/>
    <n v="1"/>
    <n v="1"/>
    <x v="11"/>
    <n v="0"/>
    <n v="1"/>
    <n v="0"/>
    <n v="1"/>
    <n v="0"/>
    <n v="0"/>
    <n v="0"/>
  </r>
  <r>
    <n v="4"/>
    <x v="2"/>
    <x v="769"/>
    <x v="22"/>
    <x v="14"/>
    <x v="10"/>
    <x v="179"/>
    <x v="179"/>
    <n v="1"/>
    <s v="12713061414"/>
    <n v="1"/>
    <n v="1"/>
    <x v="11"/>
    <n v="0"/>
    <n v="1"/>
    <n v="0"/>
    <n v="1"/>
    <n v="0"/>
    <n v="0"/>
    <n v="0"/>
  </r>
  <r>
    <n v="4"/>
    <x v="2"/>
    <x v="770"/>
    <x v="22"/>
    <x v="14"/>
    <x v="8"/>
    <x v="60"/>
    <x v="60"/>
    <n v="1"/>
    <s v="12713098274"/>
    <n v="1"/>
    <n v="1"/>
    <x v="12"/>
    <n v="0"/>
    <n v="1"/>
    <n v="0"/>
    <n v="1"/>
    <n v="0"/>
    <n v="0"/>
    <n v="0"/>
  </r>
  <r>
    <n v="4"/>
    <x v="2"/>
    <x v="771"/>
    <x v="22"/>
    <x v="14"/>
    <x v="10"/>
    <x v="54"/>
    <x v="54"/>
    <n v="1"/>
    <s v="12713135436"/>
    <n v="1"/>
    <n v="1"/>
    <x v="11"/>
    <n v="0"/>
    <n v="1"/>
    <n v="0"/>
    <n v="1"/>
    <n v="0"/>
    <n v="0"/>
    <n v="0"/>
  </r>
  <r>
    <n v="4"/>
    <x v="2"/>
    <x v="772"/>
    <x v="22"/>
    <x v="14"/>
    <x v="10"/>
    <x v="96"/>
    <x v="96"/>
    <n v="1"/>
    <s v="12713151030"/>
    <n v="1"/>
    <n v="1"/>
    <x v="11"/>
    <n v="0"/>
    <n v="1"/>
    <n v="0"/>
    <n v="1"/>
    <n v="0"/>
    <n v="0"/>
    <n v="0"/>
  </r>
  <r>
    <n v="4"/>
    <x v="2"/>
    <x v="773"/>
    <x v="22"/>
    <x v="14"/>
    <x v="8"/>
    <x v="63"/>
    <x v="63"/>
    <n v="1"/>
    <s v="12713154956"/>
    <n v="1"/>
    <n v="1"/>
    <x v="12"/>
    <n v="0"/>
    <n v="1"/>
    <n v="0"/>
    <n v="1"/>
    <n v="0"/>
    <n v="0"/>
    <n v="0"/>
  </r>
  <r>
    <n v="4"/>
    <x v="2"/>
    <x v="774"/>
    <x v="22"/>
    <x v="14"/>
    <x v="10"/>
    <x v="57"/>
    <x v="57"/>
    <n v="1"/>
    <s v="12713175548"/>
    <n v="1"/>
    <n v="1"/>
    <x v="11"/>
    <n v="0"/>
    <n v="1"/>
    <n v="0"/>
    <n v="1"/>
    <n v="0"/>
    <n v="0"/>
    <n v="0"/>
  </r>
  <r>
    <n v="4"/>
    <x v="2"/>
    <x v="775"/>
    <x v="23"/>
    <x v="32"/>
    <x v="3"/>
    <x v="60"/>
    <x v="60"/>
    <n v="1"/>
    <s v="12713316880"/>
    <n v="1"/>
    <n v="1"/>
    <x v="12"/>
    <n v="0"/>
    <n v="1"/>
    <n v="0"/>
    <n v="1"/>
    <n v="0"/>
    <n v="0"/>
    <n v="0"/>
  </r>
  <r>
    <n v="4"/>
    <x v="2"/>
    <x v="776"/>
    <x v="12"/>
    <x v="32"/>
    <x v="10"/>
    <x v="124"/>
    <x v="124"/>
    <n v="1"/>
    <s v="226812234"/>
    <n v="1"/>
    <n v="1"/>
    <x v="11"/>
    <n v="0"/>
    <n v="1"/>
    <n v="0"/>
    <n v="1"/>
    <n v="0"/>
    <n v="0"/>
    <n v="0"/>
  </r>
  <r>
    <n v="4"/>
    <x v="2"/>
    <x v="777"/>
    <x v="23"/>
    <x v="32"/>
    <x v="10"/>
    <x v="177"/>
    <x v="177"/>
    <n v="1"/>
    <s v="12713345682"/>
    <n v="1"/>
    <n v="1"/>
    <x v="11"/>
    <n v="0"/>
    <n v="1"/>
    <n v="0"/>
    <n v="1"/>
    <n v="0"/>
    <n v="0"/>
    <n v="0"/>
  </r>
  <r>
    <n v="4"/>
    <x v="2"/>
    <x v="778"/>
    <x v="23"/>
    <x v="32"/>
    <x v="8"/>
    <x v="50"/>
    <x v="50"/>
    <n v="1"/>
    <s v="12713408073"/>
    <n v="1"/>
    <n v="1"/>
    <x v="12"/>
    <n v="0"/>
    <n v="1"/>
    <n v="0"/>
    <n v="1"/>
    <n v="0"/>
    <n v="0"/>
    <n v="0"/>
  </r>
  <r>
    <n v="4"/>
    <x v="2"/>
    <x v="779"/>
    <x v="23"/>
    <x v="32"/>
    <x v="8"/>
    <x v="71"/>
    <x v="71"/>
    <n v="1"/>
    <s v="12713411387"/>
    <n v="1"/>
    <n v="1"/>
    <x v="12"/>
    <n v="0"/>
    <n v="1"/>
    <n v="0"/>
    <n v="1"/>
    <n v="0"/>
    <n v="0"/>
    <n v="0"/>
  </r>
  <r>
    <n v="4"/>
    <x v="2"/>
    <x v="780"/>
    <x v="23"/>
    <x v="32"/>
    <x v="12"/>
    <x v="27"/>
    <x v="27"/>
    <n v="1"/>
    <s v="12713418362"/>
    <n v="1"/>
    <n v="1"/>
    <x v="12"/>
    <n v="0"/>
    <n v="1"/>
    <n v="0"/>
    <n v="1"/>
    <n v="0"/>
    <n v="0"/>
    <n v="0"/>
  </r>
  <r>
    <n v="4"/>
    <x v="2"/>
    <x v="781"/>
    <x v="23"/>
    <x v="32"/>
    <x v="19"/>
    <x v="58"/>
    <x v="58"/>
    <n v="1"/>
    <s v="226814283"/>
    <n v="2"/>
    <n v="2"/>
    <x v="12"/>
    <n v="1"/>
    <n v="1"/>
    <n v="1"/>
    <n v="1"/>
    <n v="0"/>
    <n v="0"/>
    <n v="0"/>
  </r>
  <r>
    <n v="4"/>
    <x v="2"/>
    <x v="782"/>
    <x v="23"/>
    <x v="32"/>
    <x v="8"/>
    <x v="60"/>
    <x v="60"/>
    <n v="1"/>
    <s v="12713434836"/>
    <n v="1"/>
    <n v="1"/>
    <x v="12"/>
    <n v="0"/>
    <n v="1"/>
    <n v="0"/>
    <n v="1"/>
    <n v="0"/>
    <n v="0"/>
    <n v="0"/>
  </r>
  <r>
    <n v="4"/>
    <x v="2"/>
    <x v="783"/>
    <x v="23"/>
    <x v="32"/>
    <x v="8"/>
    <x v="58"/>
    <x v="58"/>
    <n v="1"/>
    <s v="12713458436"/>
    <n v="1"/>
    <n v="1"/>
    <x v="12"/>
    <n v="0"/>
    <n v="1"/>
    <n v="0"/>
    <n v="1"/>
    <n v="0"/>
    <n v="0"/>
    <n v="0"/>
  </r>
  <r>
    <n v="4"/>
    <x v="2"/>
    <x v="784"/>
    <x v="23"/>
    <x v="32"/>
    <x v="8"/>
    <x v="173"/>
    <x v="173"/>
    <n v="1"/>
    <s v="12713463959"/>
    <n v="1"/>
    <n v="1"/>
    <x v="12"/>
    <n v="0"/>
    <n v="1"/>
    <n v="0"/>
    <n v="1"/>
    <n v="0"/>
    <n v="0"/>
    <n v="0"/>
  </r>
  <r>
    <n v="4"/>
    <x v="2"/>
    <x v="785"/>
    <x v="23"/>
    <x v="32"/>
    <x v="13"/>
    <x v="2"/>
    <x v="2"/>
    <n v="1"/>
    <s v="12713465342"/>
    <n v="1"/>
    <n v="1"/>
    <x v="12"/>
    <n v="0"/>
    <n v="1"/>
    <n v="0"/>
    <n v="1"/>
    <n v="0"/>
    <n v="0"/>
    <n v="0"/>
  </r>
  <r>
    <n v="4"/>
    <x v="2"/>
    <x v="786"/>
    <x v="23"/>
    <x v="32"/>
    <x v="8"/>
    <x v="60"/>
    <x v="60"/>
    <n v="1"/>
    <s v="12713466172"/>
    <n v="1"/>
    <n v="1"/>
    <x v="12"/>
    <n v="0"/>
    <n v="1"/>
    <n v="0"/>
    <n v="1"/>
    <n v="0"/>
    <n v="0"/>
    <n v="0"/>
  </r>
  <r>
    <n v="4"/>
    <x v="2"/>
    <x v="787"/>
    <x v="23"/>
    <x v="32"/>
    <x v="8"/>
    <x v="27"/>
    <x v="27"/>
    <n v="1"/>
    <s v="12713472241"/>
    <n v="1"/>
    <n v="1"/>
    <x v="12"/>
    <n v="0"/>
    <n v="1"/>
    <n v="0"/>
    <n v="1"/>
    <n v="0"/>
    <n v="0"/>
    <n v="0"/>
  </r>
  <r>
    <n v="4"/>
    <x v="2"/>
    <x v="788"/>
    <x v="23"/>
    <x v="33"/>
    <x v="8"/>
    <x v="63"/>
    <x v="63"/>
    <n v="1"/>
    <s v="12713482745"/>
    <n v="1"/>
    <n v="1"/>
    <x v="12"/>
    <n v="0"/>
    <n v="1"/>
    <n v="0"/>
    <n v="1"/>
    <n v="0"/>
    <n v="0"/>
    <n v="0"/>
  </r>
  <r>
    <n v="4"/>
    <x v="2"/>
    <x v="789"/>
    <x v="23"/>
    <x v="33"/>
    <x v="8"/>
    <x v="17"/>
    <x v="17"/>
    <n v="1"/>
    <s v="12713490603"/>
    <n v="1"/>
    <n v="1"/>
    <x v="12"/>
    <n v="0"/>
    <n v="1"/>
    <n v="0"/>
    <n v="1"/>
    <n v="0"/>
    <n v="0"/>
    <n v="0"/>
  </r>
  <r>
    <n v="4"/>
    <x v="2"/>
    <x v="790"/>
    <x v="23"/>
    <x v="33"/>
    <x v="8"/>
    <x v="60"/>
    <x v="60"/>
    <n v="1"/>
    <s v="12713502283"/>
    <n v="1"/>
    <n v="1"/>
    <x v="12"/>
    <n v="0"/>
    <n v="1"/>
    <n v="0"/>
    <n v="1"/>
    <n v="0"/>
    <n v="0"/>
    <n v="0"/>
  </r>
  <r>
    <n v="4"/>
    <x v="2"/>
    <x v="791"/>
    <x v="11"/>
    <x v="33"/>
    <x v="8"/>
    <x v="173"/>
    <x v="173"/>
    <n v="2"/>
    <s v="12713643979"/>
    <n v="2"/>
    <n v="2"/>
    <x v="12"/>
    <n v="0"/>
    <n v="2"/>
    <n v="0"/>
    <n v="2"/>
    <n v="0"/>
    <n v="0"/>
    <n v="0"/>
  </r>
  <r>
    <n v="4"/>
    <x v="2"/>
    <x v="792"/>
    <x v="11"/>
    <x v="33"/>
    <x v="8"/>
    <x v="54"/>
    <x v="54"/>
    <n v="1"/>
    <s v="12713650830"/>
    <n v="1"/>
    <n v="1"/>
    <x v="12"/>
    <n v="0"/>
    <n v="1"/>
    <n v="0"/>
    <n v="1"/>
    <n v="0"/>
    <n v="0"/>
    <n v="0"/>
  </r>
  <r>
    <n v="4"/>
    <x v="2"/>
    <x v="793"/>
    <x v="11"/>
    <x v="33"/>
    <x v="8"/>
    <x v="56"/>
    <x v="56"/>
    <n v="1"/>
    <s v="12713675819"/>
    <n v="1"/>
    <n v="1"/>
    <x v="12"/>
    <n v="0"/>
    <n v="1"/>
    <n v="0"/>
    <n v="1"/>
    <n v="0"/>
    <n v="0"/>
    <n v="0"/>
  </r>
  <r>
    <n v="4"/>
    <x v="2"/>
    <x v="794"/>
    <x v="11"/>
    <x v="33"/>
    <x v="12"/>
    <x v="49"/>
    <x v="49"/>
    <n v="1"/>
    <s v="12713699488"/>
    <n v="0"/>
    <n v="0"/>
    <x v="2"/>
    <n v="0"/>
    <n v="0"/>
    <n v="0"/>
    <n v="0"/>
    <n v="0"/>
    <n v="0"/>
    <n v="0"/>
  </r>
  <r>
    <n v="4"/>
    <x v="2"/>
    <x v="795"/>
    <x v="11"/>
    <x v="33"/>
    <x v="12"/>
    <x v="49"/>
    <x v="49"/>
    <n v="1"/>
    <s v="12713702652"/>
    <n v="1"/>
    <n v="1"/>
    <x v="12"/>
    <n v="0"/>
    <n v="1"/>
    <n v="0"/>
    <n v="1"/>
    <n v="0"/>
    <n v="0"/>
    <n v="0"/>
  </r>
  <r>
    <n v="4"/>
    <x v="2"/>
    <x v="796"/>
    <x v="11"/>
    <x v="33"/>
    <x v="12"/>
    <x v="47"/>
    <x v="47"/>
    <n v="1"/>
    <s v="12713702744"/>
    <n v="1"/>
    <n v="1"/>
    <x v="12"/>
    <n v="0"/>
    <n v="1"/>
    <n v="0"/>
    <n v="1"/>
    <n v="0"/>
    <n v="0"/>
    <n v="0"/>
  </r>
  <r>
    <n v="4"/>
    <x v="2"/>
    <x v="797"/>
    <x v="11"/>
    <x v="33"/>
    <x v="8"/>
    <x v="27"/>
    <x v="27"/>
    <n v="1"/>
    <s v="12713713436"/>
    <n v="1"/>
    <n v="1"/>
    <x v="12"/>
    <n v="0"/>
    <n v="1"/>
    <n v="0"/>
    <n v="1"/>
    <n v="0"/>
    <n v="0"/>
    <n v="0"/>
  </r>
  <r>
    <n v="4"/>
    <x v="2"/>
    <x v="798"/>
    <x v="11"/>
    <x v="15"/>
    <x v="8"/>
    <x v="63"/>
    <x v="63"/>
    <n v="1"/>
    <s v="12713738354"/>
    <n v="1"/>
    <n v="1"/>
    <x v="12"/>
    <n v="0"/>
    <n v="1"/>
    <n v="0"/>
    <n v="1"/>
    <n v="0"/>
    <n v="0"/>
    <n v="0"/>
  </r>
  <r>
    <n v="4"/>
    <x v="2"/>
    <x v="799"/>
    <x v="11"/>
    <x v="15"/>
    <x v="8"/>
    <x v="114"/>
    <x v="114"/>
    <n v="1"/>
    <s v="12713733427"/>
    <n v="1"/>
    <n v="1"/>
    <x v="12"/>
    <n v="0"/>
    <n v="1"/>
    <n v="0"/>
    <n v="1"/>
    <n v="0"/>
    <n v="0"/>
    <n v="0"/>
  </r>
  <r>
    <n v="4"/>
    <x v="2"/>
    <x v="800"/>
    <x v="11"/>
    <x v="15"/>
    <x v="8"/>
    <x v="180"/>
    <x v="180"/>
    <n v="1"/>
    <s v="12713735445"/>
    <n v="0"/>
    <n v="0"/>
    <x v="2"/>
    <n v="0"/>
    <n v="0"/>
    <n v="0"/>
    <n v="0"/>
    <n v="0"/>
    <n v="0"/>
    <n v="0"/>
  </r>
  <r>
    <n v="4"/>
    <x v="2"/>
    <x v="801"/>
    <x v="11"/>
    <x v="15"/>
    <x v="8"/>
    <x v="28"/>
    <x v="28"/>
    <n v="1"/>
    <s v="12713743532"/>
    <n v="1"/>
    <n v="1"/>
    <x v="12"/>
    <n v="0"/>
    <n v="1"/>
    <n v="0"/>
    <n v="1"/>
    <n v="0"/>
    <n v="0"/>
    <n v="0"/>
  </r>
  <r>
    <n v="4"/>
    <x v="2"/>
    <x v="802"/>
    <x v="11"/>
    <x v="15"/>
    <x v="8"/>
    <x v="46"/>
    <x v="46"/>
    <n v="1"/>
    <s v="12713821766"/>
    <n v="1"/>
    <n v="1"/>
    <x v="12"/>
    <n v="0"/>
    <n v="1"/>
    <n v="0"/>
    <n v="1"/>
    <n v="0"/>
    <n v="0"/>
    <n v="0"/>
  </r>
  <r>
    <n v="4"/>
    <x v="2"/>
    <x v="803"/>
    <x v="11"/>
    <x v="15"/>
    <x v="8"/>
    <x v="96"/>
    <x v="96"/>
    <n v="1"/>
    <s v="12713840026"/>
    <n v="1"/>
    <n v="1"/>
    <x v="12"/>
    <n v="0"/>
    <n v="1"/>
    <n v="0"/>
    <n v="1"/>
    <n v="0"/>
    <n v="0"/>
    <n v="0"/>
  </r>
  <r>
    <n v="4"/>
    <x v="2"/>
    <x v="804"/>
    <x v="11"/>
    <x v="15"/>
    <x v="8"/>
    <x v="60"/>
    <x v="60"/>
    <n v="1"/>
    <s v="12713844819"/>
    <n v="1"/>
    <n v="1"/>
    <x v="12"/>
    <n v="0"/>
    <n v="1"/>
    <n v="0"/>
    <n v="1"/>
    <n v="0"/>
    <n v="0"/>
    <n v="0"/>
  </r>
  <r>
    <n v="4"/>
    <x v="2"/>
    <x v="805"/>
    <x v="13"/>
    <x v="19"/>
    <x v="13"/>
    <x v="166"/>
    <x v="166"/>
    <n v="1"/>
    <s v="12714898682"/>
    <n v="1"/>
    <n v="1"/>
    <x v="14"/>
    <n v="0"/>
    <n v="1"/>
    <n v="0"/>
    <n v="1"/>
    <n v="0"/>
    <n v="0"/>
    <n v="0"/>
  </r>
  <r>
    <n v="4"/>
    <x v="2"/>
    <x v="806"/>
    <x v="13"/>
    <x v="19"/>
    <x v="13"/>
    <x v="57"/>
    <x v="57"/>
    <n v="1"/>
    <s v="12714901399"/>
    <n v="1"/>
    <n v="1"/>
    <x v="14"/>
    <n v="0"/>
    <n v="1"/>
    <n v="0"/>
    <n v="1"/>
    <n v="0"/>
    <n v="0"/>
    <n v="0"/>
  </r>
  <r>
    <n v="4"/>
    <x v="2"/>
    <x v="807"/>
    <x v="13"/>
    <x v="19"/>
    <x v="13"/>
    <x v="63"/>
    <x v="63"/>
    <n v="1"/>
    <s v="12714905939"/>
    <n v="1"/>
    <n v="1"/>
    <x v="14"/>
    <n v="0"/>
    <n v="1"/>
    <n v="0"/>
    <n v="1"/>
    <n v="0"/>
    <n v="0"/>
    <n v="0"/>
  </r>
  <r>
    <n v="4"/>
    <x v="2"/>
    <x v="808"/>
    <x v="13"/>
    <x v="19"/>
    <x v="2"/>
    <x v="125"/>
    <x v="125"/>
    <n v="1"/>
    <s v="12714923124"/>
    <n v="1"/>
    <n v="1"/>
    <x v="3"/>
    <n v="0"/>
    <n v="1"/>
    <n v="0"/>
    <n v="1"/>
    <n v="0"/>
    <n v="0"/>
    <n v="0"/>
  </r>
  <r>
    <n v="4"/>
    <x v="2"/>
    <x v="809"/>
    <x v="13"/>
    <x v="19"/>
    <x v="2"/>
    <x v="27"/>
    <x v="27"/>
    <n v="1"/>
    <s v="12714936520"/>
    <n v="1"/>
    <n v="1"/>
    <x v="3"/>
    <n v="0"/>
    <n v="1"/>
    <n v="0"/>
    <n v="1"/>
    <n v="0"/>
    <n v="0"/>
    <n v="0"/>
  </r>
  <r>
    <n v="4"/>
    <x v="2"/>
    <x v="810"/>
    <x v="13"/>
    <x v="37"/>
    <x v="2"/>
    <x v="11"/>
    <x v="11"/>
    <n v="1"/>
    <s v="12715109923"/>
    <n v="1"/>
    <n v="1"/>
    <x v="3"/>
    <n v="0"/>
    <n v="1"/>
    <n v="0"/>
    <n v="1"/>
    <n v="0"/>
    <n v="0"/>
    <n v="0"/>
  </r>
  <r>
    <n v="4"/>
    <x v="2"/>
    <x v="811"/>
    <x v="13"/>
    <x v="37"/>
    <x v="2"/>
    <x v="73"/>
    <x v="73"/>
    <n v="1"/>
    <s v="12715111247"/>
    <n v="1"/>
    <n v="1"/>
    <x v="3"/>
    <n v="0"/>
    <n v="1"/>
    <n v="0"/>
    <n v="1"/>
    <n v="0"/>
    <n v="0"/>
    <n v="0"/>
  </r>
  <r>
    <n v="4"/>
    <x v="2"/>
    <x v="812"/>
    <x v="25"/>
    <x v="37"/>
    <x v="2"/>
    <x v="137"/>
    <x v="137"/>
    <n v="1"/>
    <s v="12715271460"/>
    <n v="1"/>
    <n v="1"/>
    <x v="3"/>
    <n v="0"/>
    <n v="1"/>
    <n v="0"/>
    <n v="1"/>
    <n v="0"/>
    <n v="0"/>
    <n v="0"/>
  </r>
  <r>
    <n v="4"/>
    <x v="2"/>
    <x v="813"/>
    <x v="25"/>
    <x v="37"/>
    <x v="2"/>
    <x v="55"/>
    <x v="55"/>
    <n v="1"/>
    <s v="12715319353"/>
    <n v="1"/>
    <n v="1"/>
    <x v="3"/>
    <n v="0"/>
    <n v="1"/>
    <n v="0"/>
    <n v="1"/>
    <n v="0"/>
    <n v="0"/>
    <n v="0"/>
  </r>
  <r>
    <n v="4"/>
    <x v="2"/>
    <x v="814"/>
    <x v="25"/>
    <x v="37"/>
    <x v="2"/>
    <x v="49"/>
    <x v="49"/>
    <n v="1"/>
    <s v="226838050"/>
    <n v="1"/>
    <n v="1"/>
    <x v="3"/>
    <n v="0"/>
    <n v="1"/>
    <n v="0"/>
    <n v="1"/>
    <n v="0"/>
    <n v="0"/>
    <n v="0"/>
  </r>
  <r>
    <n v="4"/>
    <x v="2"/>
    <x v="815"/>
    <x v="25"/>
    <x v="37"/>
    <x v="2"/>
    <x v="181"/>
    <x v="181"/>
    <n v="1"/>
    <s v="12715381398"/>
    <n v="1"/>
    <n v="1"/>
    <x v="3"/>
    <n v="0"/>
    <n v="1"/>
    <n v="0"/>
    <n v="1"/>
    <n v="0"/>
    <n v="0"/>
    <n v="0"/>
  </r>
  <r>
    <n v="4"/>
    <x v="2"/>
    <x v="816"/>
    <x v="25"/>
    <x v="37"/>
    <x v="2"/>
    <x v="2"/>
    <x v="2"/>
    <n v="1"/>
    <s v="12715406121"/>
    <n v="1"/>
    <n v="1"/>
    <x v="3"/>
    <n v="0"/>
    <n v="1"/>
    <n v="0"/>
    <n v="1"/>
    <n v="0"/>
    <n v="0"/>
    <n v="0"/>
  </r>
  <r>
    <n v="4"/>
    <x v="2"/>
    <x v="817"/>
    <x v="25"/>
    <x v="37"/>
    <x v="2"/>
    <x v="60"/>
    <x v="60"/>
    <n v="1"/>
    <s v="12715459837"/>
    <n v="1"/>
    <n v="1"/>
    <x v="3"/>
    <n v="0"/>
    <n v="1"/>
    <n v="0"/>
    <n v="1"/>
    <n v="0"/>
    <n v="0"/>
    <n v="0"/>
  </r>
  <r>
    <n v="4"/>
    <x v="2"/>
    <x v="818"/>
    <x v="0"/>
    <x v="38"/>
    <x v="25"/>
    <x v="4"/>
    <x v="4"/>
    <n v="1"/>
    <s v="12715510378"/>
    <n v="1"/>
    <n v="1"/>
    <x v="28"/>
    <n v="0"/>
    <n v="1"/>
    <n v="0"/>
    <n v="1"/>
    <n v="0"/>
    <n v="0"/>
    <n v="0"/>
  </r>
  <r>
    <n v="4"/>
    <x v="2"/>
    <x v="819"/>
    <x v="0"/>
    <x v="38"/>
    <x v="2"/>
    <x v="73"/>
    <x v="73"/>
    <n v="1"/>
    <s v="12715574424"/>
    <n v="1"/>
    <n v="1"/>
    <x v="3"/>
    <n v="0"/>
    <n v="1"/>
    <n v="0"/>
    <n v="1"/>
    <n v="0"/>
    <n v="0"/>
    <n v="0"/>
  </r>
  <r>
    <n v="4"/>
    <x v="2"/>
    <x v="820"/>
    <x v="0"/>
    <x v="38"/>
    <x v="2"/>
    <x v="69"/>
    <x v="69"/>
    <n v="2"/>
    <s v="12715411637"/>
    <n v="2"/>
    <n v="2"/>
    <x v="3"/>
    <n v="0"/>
    <n v="2"/>
    <n v="0"/>
    <n v="2"/>
    <n v="0"/>
    <n v="0"/>
    <n v="0"/>
  </r>
  <r>
    <n v="4"/>
    <x v="2"/>
    <x v="821"/>
    <x v="0"/>
    <x v="38"/>
    <x v="2"/>
    <x v="50"/>
    <x v="50"/>
    <n v="1"/>
    <s v="12715664354"/>
    <n v="1"/>
    <n v="1"/>
    <x v="3"/>
    <n v="0"/>
    <n v="1"/>
    <n v="0"/>
    <n v="1"/>
    <n v="0"/>
    <n v="0"/>
    <n v="0"/>
  </r>
  <r>
    <n v="4"/>
    <x v="2"/>
    <x v="822"/>
    <x v="0"/>
    <x v="38"/>
    <x v="2"/>
    <x v="65"/>
    <x v="65"/>
    <n v="1"/>
    <s v="12715680934"/>
    <n v="1"/>
    <n v="1"/>
    <x v="3"/>
    <n v="0"/>
    <n v="1"/>
    <n v="0"/>
    <n v="1"/>
    <n v="0"/>
    <n v="0"/>
    <n v="0"/>
  </r>
  <r>
    <n v="4"/>
    <x v="2"/>
    <x v="823"/>
    <x v="0"/>
    <x v="38"/>
    <x v="2"/>
    <x v="182"/>
    <x v="182"/>
    <n v="1"/>
    <s v="12715711416"/>
    <n v="0"/>
    <n v="0"/>
    <x v="2"/>
    <n v="0"/>
    <n v="0"/>
    <n v="0"/>
    <n v="0"/>
    <n v="0"/>
    <n v="0"/>
    <n v="0"/>
  </r>
  <r>
    <n v="4"/>
    <x v="2"/>
    <x v="824"/>
    <x v="0"/>
    <x v="38"/>
    <x v="4"/>
    <x v="58"/>
    <x v="58"/>
    <n v="1"/>
    <s v="12715780757"/>
    <n v="1"/>
    <n v="1"/>
    <x v="5"/>
    <n v="0"/>
    <n v="1"/>
    <n v="0"/>
    <n v="1"/>
    <n v="0"/>
    <n v="0"/>
    <n v="0"/>
  </r>
  <r>
    <n v="4"/>
    <x v="2"/>
    <x v="825"/>
    <x v="0"/>
    <x v="38"/>
    <x v="4"/>
    <x v="64"/>
    <x v="64"/>
    <n v="1"/>
    <s v="12715781518"/>
    <n v="1"/>
    <n v="1"/>
    <x v="5"/>
    <n v="0"/>
    <n v="1"/>
    <n v="0"/>
    <n v="1"/>
    <n v="0"/>
    <n v="0"/>
    <n v="0"/>
  </r>
  <r>
    <n v="4"/>
    <x v="2"/>
    <x v="826"/>
    <x v="0"/>
    <x v="38"/>
    <x v="4"/>
    <x v="60"/>
    <x v="60"/>
    <n v="1"/>
    <s v="12715786834"/>
    <n v="1"/>
    <n v="1"/>
    <x v="5"/>
    <n v="0"/>
    <n v="1"/>
    <n v="0"/>
    <n v="1"/>
    <n v="0"/>
    <n v="0"/>
    <n v="0"/>
  </r>
  <r>
    <n v="4"/>
    <x v="2"/>
    <x v="827"/>
    <x v="0"/>
    <x v="38"/>
    <x v="4"/>
    <x v="60"/>
    <x v="60"/>
    <n v="1"/>
    <s v="12715801643"/>
    <n v="1"/>
    <n v="1"/>
    <x v="5"/>
    <n v="0"/>
    <n v="1"/>
    <n v="0"/>
    <n v="1"/>
    <n v="0"/>
    <n v="0"/>
    <n v="0"/>
  </r>
  <r>
    <n v="4"/>
    <x v="2"/>
    <x v="828"/>
    <x v="0"/>
    <x v="38"/>
    <x v="4"/>
    <x v="66"/>
    <x v="66"/>
    <n v="1"/>
    <s v="12715811369"/>
    <n v="1"/>
    <n v="1"/>
    <x v="5"/>
    <n v="0"/>
    <n v="1"/>
    <n v="0"/>
    <n v="1"/>
    <n v="0"/>
    <n v="0"/>
    <n v="0"/>
  </r>
  <r>
    <n v="4"/>
    <x v="2"/>
    <x v="829"/>
    <x v="0"/>
    <x v="0"/>
    <x v="25"/>
    <x v="55"/>
    <x v="55"/>
    <n v="1"/>
    <s v="12715829531"/>
    <n v="0"/>
    <n v="0"/>
    <x v="2"/>
    <n v="0"/>
    <n v="0"/>
    <n v="0"/>
    <n v="0"/>
    <n v="0"/>
    <n v="0"/>
    <n v="0"/>
  </r>
  <r>
    <n v="4"/>
    <x v="2"/>
    <x v="830"/>
    <x v="0"/>
    <x v="0"/>
    <x v="4"/>
    <x v="49"/>
    <x v="49"/>
    <n v="1"/>
    <s v="12715824703"/>
    <n v="1"/>
    <n v="1"/>
    <x v="5"/>
    <n v="0"/>
    <n v="1"/>
    <n v="0"/>
    <n v="1"/>
    <n v="0"/>
    <n v="0"/>
    <n v="0"/>
  </r>
  <r>
    <n v="4"/>
    <x v="2"/>
    <x v="831"/>
    <x v="0"/>
    <x v="0"/>
    <x v="4"/>
    <x v="69"/>
    <x v="69"/>
    <n v="1"/>
    <s v="12715986531"/>
    <n v="1"/>
    <n v="1"/>
    <x v="5"/>
    <n v="0"/>
    <n v="1"/>
    <n v="0"/>
    <n v="1"/>
    <n v="0"/>
    <n v="0"/>
    <n v="0"/>
  </r>
  <r>
    <n v="4"/>
    <x v="2"/>
    <x v="832"/>
    <x v="0"/>
    <x v="0"/>
    <x v="25"/>
    <x v="58"/>
    <x v="58"/>
    <n v="1"/>
    <s v="12716031315"/>
    <n v="1"/>
    <n v="1"/>
    <x v="28"/>
    <n v="0"/>
    <n v="1"/>
    <n v="0"/>
    <n v="1"/>
    <n v="0"/>
    <n v="0"/>
    <n v="0"/>
  </r>
  <r>
    <n v="4"/>
    <x v="2"/>
    <x v="833"/>
    <x v="0"/>
    <x v="0"/>
    <x v="15"/>
    <x v="63"/>
    <x v="63"/>
    <n v="1"/>
    <s v="12716032152"/>
    <n v="1"/>
    <n v="1"/>
    <x v="16"/>
    <n v="0"/>
    <n v="1"/>
    <n v="0"/>
    <n v="1"/>
    <n v="0"/>
    <n v="0"/>
    <n v="0"/>
  </r>
  <r>
    <n v="4"/>
    <x v="2"/>
    <x v="834"/>
    <x v="0"/>
    <x v="0"/>
    <x v="4"/>
    <x v="50"/>
    <x v="50"/>
    <n v="1"/>
    <s v="12716038741"/>
    <n v="1"/>
    <n v="1"/>
    <x v="5"/>
    <n v="0"/>
    <n v="1"/>
    <n v="0"/>
    <n v="1"/>
    <n v="0"/>
    <n v="0"/>
    <n v="0"/>
  </r>
  <r>
    <n v="4"/>
    <x v="2"/>
    <x v="835"/>
    <x v="0"/>
    <x v="0"/>
    <x v="3"/>
    <x v="28"/>
    <x v="28"/>
    <n v="1"/>
    <s v="12716043073"/>
    <n v="1"/>
    <n v="1"/>
    <x v="15"/>
    <n v="0"/>
    <n v="1"/>
    <n v="0"/>
    <n v="1"/>
    <n v="0"/>
    <n v="0"/>
    <n v="0"/>
  </r>
  <r>
    <n v="4"/>
    <x v="2"/>
    <x v="836"/>
    <x v="0"/>
    <x v="0"/>
    <x v="4"/>
    <x v="87"/>
    <x v="87"/>
    <n v="1"/>
    <s v="12716053409"/>
    <n v="1"/>
    <n v="1"/>
    <x v="5"/>
    <n v="0"/>
    <n v="1"/>
    <n v="0"/>
    <n v="1"/>
    <n v="0"/>
    <n v="0"/>
    <n v="0"/>
  </r>
  <r>
    <n v="4"/>
    <x v="2"/>
    <x v="837"/>
    <x v="0"/>
    <x v="0"/>
    <x v="4"/>
    <x v="49"/>
    <x v="49"/>
    <n v="1"/>
    <s v="12716058336"/>
    <n v="1"/>
    <n v="1"/>
    <x v="5"/>
    <n v="0"/>
    <n v="1"/>
    <n v="0"/>
    <n v="1"/>
    <n v="0"/>
    <n v="0"/>
    <n v="0"/>
  </r>
  <r>
    <n v="4"/>
    <x v="2"/>
    <x v="838"/>
    <x v="0"/>
    <x v="1"/>
    <x v="4"/>
    <x v="183"/>
    <x v="183"/>
    <n v="1"/>
    <s v="12716061107"/>
    <n v="1"/>
    <n v="1"/>
    <x v="5"/>
    <n v="0"/>
    <n v="1"/>
    <n v="0"/>
    <n v="1"/>
    <n v="0"/>
    <n v="0"/>
    <n v="0"/>
  </r>
  <r>
    <n v="4"/>
    <x v="2"/>
    <x v="839"/>
    <x v="0"/>
    <x v="1"/>
    <x v="4"/>
    <x v="27"/>
    <x v="27"/>
    <n v="1"/>
    <s v="12716142707"/>
    <n v="1"/>
    <n v="1"/>
    <x v="5"/>
    <n v="0"/>
    <n v="1"/>
    <n v="0"/>
    <n v="1"/>
    <n v="0"/>
    <n v="0"/>
    <n v="0"/>
  </r>
  <r>
    <n v="4"/>
    <x v="2"/>
    <x v="840"/>
    <x v="0"/>
    <x v="1"/>
    <x v="4"/>
    <x v="137"/>
    <x v="137"/>
    <n v="1"/>
    <s v="12716147269"/>
    <n v="1"/>
    <n v="1"/>
    <x v="5"/>
    <n v="0"/>
    <n v="1"/>
    <n v="0"/>
    <n v="1"/>
    <n v="0"/>
    <n v="0"/>
    <n v="0"/>
  </r>
  <r>
    <n v="4"/>
    <x v="2"/>
    <x v="841"/>
    <x v="0"/>
    <x v="1"/>
    <x v="25"/>
    <x v="50"/>
    <x v="50"/>
    <n v="1"/>
    <s v="12716158821"/>
    <n v="1"/>
    <n v="1"/>
    <x v="28"/>
    <n v="0"/>
    <n v="1"/>
    <n v="0"/>
    <n v="1"/>
    <n v="0"/>
    <n v="0"/>
    <n v="0"/>
  </r>
  <r>
    <n v="4"/>
    <x v="2"/>
    <x v="842"/>
    <x v="0"/>
    <x v="1"/>
    <x v="25"/>
    <x v="11"/>
    <x v="11"/>
    <n v="1"/>
    <s v="12716182130"/>
    <n v="1"/>
    <n v="1"/>
    <x v="28"/>
    <n v="0"/>
    <n v="1"/>
    <n v="0"/>
    <n v="1"/>
    <n v="0"/>
    <n v="0"/>
    <n v="0"/>
  </r>
  <r>
    <n v="4"/>
    <x v="2"/>
    <x v="843"/>
    <x v="0"/>
    <x v="1"/>
    <x v="4"/>
    <x v="58"/>
    <x v="58"/>
    <n v="1"/>
    <s v="12716196601"/>
    <n v="1"/>
    <n v="1"/>
    <x v="5"/>
    <n v="0"/>
    <n v="1"/>
    <n v="0"/>
    <n v="1"/>
    <n v="0"/>
    <n v="0"/>
    <n v="0"/>
  </r>
  <r>
    <n v="4"/>
    <x v="2"/>
    <x v="844"/>
    <x v="0"/>
    <x v="1"/>
    <x v="4"/>
    <x v="64"/>
    <x v="64"/>
    <n v="1"/>
    <s v="12716244555"/>
    <n v="1"/>
    <n v="1"/>
    <x v="5"/>
    <n v="0"/>
    <n v="1"/>
    <n v="0"/>
    <n v="1"/>
    <n v="0"/>
    <n v="0"/>
    <n v="0"/>
  </r>
  <r>
    <n v="4"/>
    <x v="2"/>
    <x v="845"/>
    <x v="0"/>
    <x v="1"/>
    <x v="4"/>
    <x v="17"/>
    <x v="17"/>
    <n v="2"/>
    <s v="12716245996"/>
    <n v="2"/>
    <n v="2"/>
    <x v="5"/>
    <n v="0"/>
    <n v="2"/>
    <n v="0"/>
    <n v="2"/>
    <n v="0"/>
    <n v="0"/>
    <n v="0"/>
  </r>
  <r>
    <n v="4"/>
    <x v="2"/>
    <x v="846"/>
    <x v="0"/>
    <x v="2"/>
    <x v="4"/>
    <x v="184"/>
    <x v="184"/>
    <n v="1"/>
    <s v="12716295236"/>
    <n v="1"/>
    <n v="1"/>
    <x v="5"/>
    <n v="0"/>
    <n v="1"/>
    <n v="0"/>
    <n v="1"/>
    <n v="0"/>
    <n v="0"/>
    <n v="0"/>
  </r>
  <r>
    <n v="4"/>
    <x v="2"/>
    <x v="847"/>
    <x v="0"/>
    <x v="2"/>
    <x v="4"/>
    <x v="44"/>
    <x v="44"/>
    <n v="1"/>
    <s v="12716298428"/>
    <n v="1"/>
    <n v="1"/>
    <x v="5"/>
    <n v="0"/>
    <n v="1"/>
    <n v="0"/>
    <n v="1"/>
    <n v="0"/>
    <n v="0"/>
    <n v="0"/>
  </r>
  <r>
    <n v="4"/>
    <x v="2"/>
    <x v="848"/>
    <x v="0"/>
    <x v="2"/>
    <x v="4"/>
    <x v="54"/>
    <x v="54"/>
    <n v="1"/>
    <s v="12716295588"/>
    <n v="1"/>
    <n v="1"/>
    <x v="5"/>
    <n v="0"/>
    <n v="1"/>
    <n v="0"/>
    <n v="1"/>
    <n v="0"/>
    <n v="0"/>
    <n v="0"/>
  </r>
  <r>
    <n v="4"/>
    <x v="2"/>
    <x v="849"/>
    <x v="1"/>
    <x v="2"/>
    <x v="4"/>
    <x v="68"/>
    <x v="68"/>
    <n v="1"/>
    <s v="12716173343"/>
    <n v="1"/>
    <n v="1"/>
    <x v="5"/>
    <n v="0"/>
    <n v="1"/>
    <n v="0"/>
    <n v="1"/>
    <n v="0"/>
    <n v="0"/>
    <n v="0"/>
  </r>
  <r>
    <n v="4"/>
    <x v="2"/>
    <x v="850"/>
    <x v="1"/>
    <x v="2"/>
    <x v="4"/>
    <x v="54"/>
    <x v="54"/>
    <n v="1"/>
    <s v="12716304358"/>
    <n v="1"/>
    <n v="1"/>
    <x v="5"/>
    <n v="0"/>
    <n v="1"/>
    <n v="0"/>
    <n v="1"/>
    <n v="0"/>
    <n v="0"/>
    <n v="0"/>
  </r>
  <r>
    <n v="4"/>
    <x v="2"/>
    <x v="851"/>
    <x v="1"/>
    <x v="2"/>
    <x v="4"/>
    <x v="60"/>
    <x v="60"/>
    <n v="1"/>
    <s v="12716270509"/>
    <n v="1"/>
    <n v="1"/>
    <x v="5"/>
    <n v="0"/>
    <n v="1"/>
    <n v="0"/>
    <n v="1"/>
    <n v="0"/>
    <n v="0"/>
    <n v="0"/>
  </r>
  <r>
    <n v="4"/>
    <x v="2"/>
    <x v="852"/>
    <x v="1"/>
    <x v="2"/>
    <x v="25"/>
    <x v="11"/>
    <x v="11"/>
    <n v="1"/>
    <s v="12716459911"/>
    <n v="1"/>
    <n v="1"/>
    <x v="28"/>
    <n v="0"/>
    <n v="1"/>
    <n v="0"/>
    <n v="1"/>
    <n v="0"/>
    <n v="0"/>
    <n v="0"/>
  </r>
  <r>
    <n v="4"/>
    <x v="2"/>
    <x v="853"/>
    <x v="1"/>
    <x v="2"/>
    <x v="4"/>
    <x v="64"/>
    <x v="64"/>
    <n v="1"/>
    <s v="12716482506"/>
    <n v="1"/>
    <n v="1"/>
    <x v="5"/>
    <n v="0"/>
    <n v="1"/>
    <n v="0"/>
    <n v="1"/>
    <n v="0"/>
    <n v="0"/>
    <n v="0"/>
  </r>
  <r>
    <n v="4"/>
    <x v="2"/>
    <x v="854"/>
    <x v="1"/>
    <x v="2"/>
    <x v="4"/>
    <x v="110"/>
    <x v="110"/>
    <n v="1"/>
    <s v="12716529492"/>
    <n v="1"/>
    <n v="1"/>
    <x v="5"/>
    <n v="0"/>
    <n v="1"/>
    <n v="0"/>
    <n v="1"/>
    <n v="0"/>
    <n v="0"/>
    <n v="0"/>
  </r>
  <r>
    <n v="4"/>
    <x v="2"/>
    <x v="855"/>
    <x v="1"/>
    <x v="2"/>
    <x v="25"/>
    <x v="27"/>
    <x v="27"/>
    <n v="1"/>
    <s v="12716542071"/>
    <n v="1"/>
    <n v="1"/>
    <x v="28"/>
    <n v="0"/>
    <n v="1"/>
    <n v="0"/>
    <n v="1"/>
    <n v="0"/>
    <n v="0"/>
    <n v="0"/>
  </r>
  <r>
    <n v="4"/>
    <x v="2"/>
    <x v="856"/>
    <x v="1"/>
    <x v="2"/>
    <x v="4"/>
    <x v="50"/>
    <x v="50"/>
    <n v="1"/>
    <s v="12716505724"/>
    <n v="1"/>
    <n v="1"/>
    <x v="5"/>
    <n v="0"/>
    <n v="1"/>
    <n v="0"/>
    <n v="1"/>
    <n v="0"/>
    <n v="0"/>
    <n v="0"/>
  </r>
  <r>
    <n v="4"/>
    <x v="2"/>
    <x v="857"/>
    <x v="1"/>
    <x v="2"/>
    <x v="25"/>
    <x v="153"/>
    <x v="153"/>
    <n v="1"/>
    <s v="12716564653"/>
    <n v="1"/>
    <n v="1"/>
    <x v="28"/>
    <n v="0"/>
    <n v="1"/>
    <n v="0"/>
    <n v="1"/>
    <n v="0"/>
    <n v="0"/>
    <n v="0"/>
  </r>
  <r>
    <n v="4"/>
    <x v="2"/>
    <x v="858"/>
    <x v="1"/>
    <x v="2"/>
    <x v="25"/>
    <x v="49"/>
    <x v="49"/>
    <n v="1"/>
    <s v="12716568996"/>
    <n v="1"/>
    <n v="1"/>
    <x v="28"/>
    <n v="0"/>
    <n v="1"/>
    <n v="0"/>
    <n v="1"/>
    <n v="0"/>
    <n v="0"/>
    <n v="0"/>
  </r>
  <r>
    <n v="4"/>
    <x v="2"/>
    <x v="859"/>
    <x v="1"/>
    <x v="3"/>
    <x v="25"/>
    <x v="185"/>
    <x v="185"/>
    <n v="1"/>
    <s v="12716591031"/>
    <n v="1"/>
    <n v="1"/>
    <x v="28"/>
    <n v="0"/>
    <n v="1"/>
    <n v="0"/>
    <n v="1"/>
    <n v="0"/>
    <n v="0"/>
    <n v="0"/>
  </r>
  <r>
    <n v="4"/>
    <x v="2"/>
    <x v="860"/>
    <x v="2"/>
    <x v="3"/>
    <x v="4"/>
    <x v="46"/>
    <x v="46"/>
    <n v="1"/>
    <s v="12716711392"/>
    <n v="1"/>
    <n v="1"/>
    <x v="5"/>
    <n v="0"/>
    <n v="1"/>
    <n v="0"/>
    <n v="1"/>
    <n v="0"/>
    <n v="0"/>
    <n v="0"/>
  </r>
  <r>
    <n v="4"/>
    <x v="2"/>
    <x v="861"/>
    <x v="2"/>
    <x v="3"/>
    <x v="15"/>
    <x v="56"/>
    <x v="56"/>
    <n v="1"/>
    <s v="12716730881"/>
    <n v="1"/>
    <n v="1"/>
    <x v="16"/>
    <n v="0"/>
    <n v="1"/>
    <n v="0"/>
    <n v="1"/>
    <n v="0"/>
    <n v="0"/>
    <n v="0"/>
  </r>
  <r>
    <n v="4"/>
    <x v="2"/>
    <x v="862"/>
    <x v="2"/>
    <x v="3"/>
    <x v="4"/>
    <x v="69"/>
    <x v="69"/>
    <n v="1"/>
    <s v="12716737385"/>
    <n v="1"/>
    <n v="1"/>
    <x v="5"/>
    <n v="0"/>
    <n v="1"/>
    <n v="0"/>
    <n v="1"/>
    <n v="0"/>
    <n v="0"/>
    <n v="0"/>
  </r>
  <r>
    <n v="4"/>
    <x v="2"/>
    <x v="863"/>
    <x v="2"/>
    <x v="3"/>
    <x v="3"/>
    <x v="60"/>
    <x v="60"/>
    <n v="1"/>
    <s v="12716760062"/>
    <n v="1"/>
    <n v="1"/>
    <x v="15"/>
    <n v="0"/>
    <n v="1"/>
    <n v="0"/>
    <n v="1"/>
    <n v="0"/>
    <n v="0"/>
    <n v="0"/>
  </r>
  <r>
    <n v="4"/>
    <x v="2"/>
    <x v="864"/>
    <x v="2"/>
    <x v="3"/>
    <x v="4"/>
    <x v="49"/>
    <x v="49"/>
    <n v="1"/>
    <s v="12716762233"/>
    <n v="1"/>
    <n v="1"/>
    <x v="5"/>
    <n v="0"/>
    <n v="1"/>
    <n v="0"/>
    <n v="1"/>
    <n v="0"/>
    <n v="0"/>
    <n v="0"/>
  </r>
  <r>
    <n v="4"/>
    <x v="2"/>
    <x v="865"/>
    <x v="2"/>
    <x v="3"/>
    <x v="4"/>
    <x v="77"/>
    <x v="77"/>
    <n v="1"/>
    <s v="12716791325"/>
    <n v="1"/>
    <n v="1"/>
    <x v="5"/>
    <n v="0"/>
    <n v="1"/>
    <n v="0"/>
    <n v="1"/>
    <n v="0"/>
    <n v="0"/>
    <n v="0"/>
  </r>
  <r>
    <n v="4"/>
    <x v="2"/>
    <x v="866"/>
    <x v="2"/>
    <x v="3"/>
    <x v="3"/>
    <x v="61"/>
    <x v="61"/>
    <n v="1"/>
    <s v="12716826355"/>
    <n v="1"/>
    <n v="1"/>
    <x v="15"/>
    <n v="0"/>
    <n v="1"/>
    <n v="0"/>
    <n v="1"/>
    <n v="0"/>
    <n v="0"/>
    <n v="0"/>
  </r>
  <r>
    <n v="4"/>
    <x v="2"/>
    <x v="867"/>
    <x v="2"/>
    <x v="3"/>
    <x v="4"/>
    <x v="55"/>
    <x v="55"/>
    <n v="1"/>
    <s v="12716830956"/>
    <n v="1"/>
    <n v="1"/>
    <x v="5"/>
    <n v="0"/>
    <n v="1"/>
    <n v="0"/>
    <n v="1"/>
    <n v="0"/>
    <n v="0"/>
    <n v="0"/>
  </r>
  <r>
    <n v="4"/>
    <x v="2"/>
    <x v="868"/>
    <x v="2"/>
    <x v="3"/>
    <x v="25"/>
    <x v="146"/>
    <x v="146"/>
    <n v="1"/>
    <s v="12716874738"/>
    <n v="1"/>
    <n v="1"/>
    <x v="28"/>
    <n v="0"/>
    <n v="1"/>
    <n v="0"/>
    <n v="1"/>
    <n v="0"/>
    <n v="0"/>
    <n v="0"/>
  </r>
  <r>
    <n v="4"/>
    <x v="2"/>
    <x v="869"/>
    <x v="2"/>
    <x v="3"/>
    <x v="25"/>
    <x v="32"/>
    <x v="32"/>
    <n v="1"/>
    <s v="12716880524"/>
    <n v="1"/>
    <n v="1"/>
    <x v="28"/>
    <n v="0"/>
    <n v="1"/>
    <n v="0"/>
    <n v="1"/>
    <n v="0"/>
    <n v="0"/>
    <n v="0"/>
  </r>
  <r>
    <n v="4"/>
    <x v="2"/>
    <x v="870"/>
    <x v="2"/>
    <x v="3"/>
    <x v="3"/>
    <x v="72"/>
    <x v="72"/>
    <n v="1"/>
    <s v="12716888209"/>
    <n v="0"/>
    <n v="0"/>
    <x v="2"/>
    <n v="0"/>
    <n v="0"/>
    <n v="0"/>
    <n v="0"/>
    <n v="0"/>
    <n v="0"/>
    <n v="0"/>
  </r>
  <r>
    <n v="4"/>
    <x v="2"/>
    <x v="871"/>
    <x v="3"/>
    <x v="4"/>
    <x v="25"/>
    <x v="56"/>
    <x v="56"/>
    <n v="1"/>
    <s v="12717167761"/>
    <n v="1"/>
    <n v="1"/>
    <x v="28"/>
    <n v="0"/>
    <n v="1"/>
    <n v="0"/>
    <n v="1"/>
    <n v="0"/>
    <n v="0"/>
    <n v="0"/>
  </r>
  <r>
    <n v="4"/>
    <x v="2"/>
    <x v="872"/>
    <x v="3"/>
    <x v="4"/>
    <x v="25"/>
    <x v="155"/>
    <x v="155"/>
    <n v="1"/>
    <s v="12717178590"/>
    <n v="1"/>
    <n v="1"/>
    <x v="28"/>
    <n v="0"/>
    <n v="1"/>
    <n v="0"/>
    <n v="1"/>
    <n v="0"/>
    <n v="0"/>
    <n v="0"/>
  </r>
  <r>
    <n v="4"/>
    <x v="2"/>
    <x v="873"/>
    <x v="3"/>
    <x v="4"/>
    <x v="3"/>
    <x v="49"/>
    <x v="49"/>
    <n v="1"/>
    <s v="12717179917"/>
    <n v="1"/>
    <n v="1"/>
    <x v="15"/>
    <n v="0"/>
    <n v="1"/>
    <n v="0"/>
    <n v="1"/>
    <n v="0"/>
    <n v="0"/>
    <n v="0"/>
  </r>
  <r>
    <n v="4"/>
    <x v="2"/>
    <x v="874"/>
    <x v="3"/>
    <x v="4"/>
    <x v="25"/>
    <x v="69"/>
    <x v="69"/>
    <n v="1"/>
    <s v="12717217978"/>
    <n v="1"/>
    <n v="1"/>
    <x v="28"/>
    <n v="0"/>
    <n v="1"/>
    <n v="0"/>
    <n v="1"/>
    <n v="0"/>
    <n v="0"/>
    <n v="0"/>
  </r>
  <r>
    <n v="4"/>
    <x v="2"/>
    <x v="875"/>
    <x v="3"/>
    <x v="4"/>
    <x v="25"/>
    <x v="66"/>
    <x v="66"/>
    <n v="1"/>
    <s v="12717233640"/>
    <n v="1"/>
    <n v="1"/>
    <x v="28"/>
    <n v="0"/>
    <n v="1"/>
    <n v="0"/>
    <n v="1"/>
    <n v="0"/>
    <n v="0"/>
    <n v="0"/>
  </r>
  <r>
    <n v="4"/>
    <x v="2"/>
    <x v="876"/>
    <x v="3"/>
    <x v="4"/>
    <x v="30"/>
    <x v="4"/>
    <x v="4"/>
    <n v="1"/>
    <s v="226859734"/>
    <n v="1"/>
    <n v="1"/>
    <x v="15"/>
    <n v="0"/>
    <n v="1"/>
    <n v="0"/>
    <n v="1"/>
    <n v="0"/>
    <n v="0"/>
    <n v="0"/>
  </r>
  <r>
    <n v="4"/>
    <x v="2"/>
    <x v="877"/>
    <x v="3"/>
    <x v="4"/>
    <x v="25"/>
    <x v="56"/>
    <x v="56"/>
    <n v="1"/>
    <s v="12717354758"/>
    <n v="1"/>
    <n v="1"/>
    <x v="28"/>
    <n v="0"/>
    <n v="1"/>
    <n v="0"/>
    <n v="1"/>
    <n v="0"/>
    <n v="0"/>
    <n v="0"/>
  </r>
  <r>
    <n v="4"/>
    <x v="2"/>
    <x v="878"/>
    <x v="3"/>
    <x v="39"/>
    <x v="25"/>
    <x v="186"/>
    <x v="186"/>
    <n v="1"/>
    <s v="12717394419"/>
    <n v="1"/>
    <n v="1"/>
    <x v="28"/>
    <n v="0"/>
    <n v="1"/>
    <n v="0"/>
    <n v="1"/>
    <n v="0"/>
    <n v="0"/>
    <n v="0"/>
  </r>
  <r>
    <n v="4"/>
    <x v="2"/>
    <x v="879"/>
    <x v="4"/>
    <x v="39"/>
    <x v="25"/>
    <x v="60"/>
    <x v="60"/>
    <n v="1"/>
    <s v="12717408550"/>
    <n v="1"/>
    <n v="1"/>
    <x v="28"/>
    <n v="0"/>
    <n v="1"/>
    <n v="0"/>
    <n v="1"/>
    <n v="0"/>
    <n v="0"/>
    <n v="0"/>
  </r>
  <r>
    <n v="4"/>
    <x v="2"/>
    <x v="880"/>
    <x v="4"/>
    <x v="39"/>
    <x v="3"/>
    <x v="4"/>
    <x v="4"/>
    <n v="1"/>
    <s v="12717546252"/>
    <n v="1"/>
    <n v="1"/>
    <x v="15"/>
    <n v="0"/>
    <n v="1"/>
    <n v="0"/>
    <n v="1"/>
    <n v="0"/>
    <n v="0"/>
    <n v="0"/>
  </r>
  <r>
    <n v="4"/>
    <x v="2"/>
    <x v="881"/>
    <x v="14"/>
    <x v="20"/>
    <x v="3"/>
    <x v="82"/>
    <x v="82"/>
    <n v="1"/>
    <s v="12717956396"/>
    <n v="1"/>
    <n v="1"/>
    <x v="15"/>
    <n v="0"/>
    <n v="1"/>
    <n v="0"/>
    <n v="1"/>
    <n v="0"/>
    <n v="0"/>
    <n v="0"/>
  </r>
  <r>
    <n v="4"/>
    <x v="2"/>
    <x v="882"/>
    <x v="14"/>
    <x v="20"/>
    <x v="3"/>
    <x v="64"/>
    <x v="64"/>
    <n v="1"/>
    <s v="12717972761"/>
    <n v="1"/>
    <n v="1"/>
    <x v="15"/>
    <n v="0"/>
    <n v="1"/>
    <n v="0"/>
    <n v="1"/>
    <n v="0"/>
    <n v="0"/>
    <n v="0"/>
  </r>
  <r>
    <n v="4"/>
    <x v="2"/>
    <x v="883"/>
    <x v="14"/>
    <x v="20"/>
    <x v="3"/>
    <x v="187"/>
    <x v="187"/>
    <n v="1"/>
    <s v="12717996682"/>
    <n v="1"/>
    <n v="1"/>
    <x v="15"/>
    <n v="0"/>
    <n v="1"/>
    <n v="0"/>
    <n v="1"/>
    <n v="0"/>
    <n v="0"/>
    <n v="0"/>
  </r>
  <r>
    <n v="4"/>
    <x v="2"/>
    <x v="884"/>
    <x v="14"/>
    <x v="20"/>
    <x v="3"/>
    <x v="55"/>
    <x v="55"/>
    <n v="1"/>
    <s v="12718068708"/>
    <n v="1"/>
    <n v="1"/>
    <x v="15"/>
    <n v="0"/>
    <n v="1"/>
    <n v="0"/>
    <n v="1"/>
    <n v="0"/>
    <n v="0"/>
    <n v="0"/>
  </r>
  <r>
    <n v="9"/>
    <x v="7"/>
    <x v="885"/>
    <x v="0"/>
    <x v="1"/>
    <x v="4"/>
    <x v="87"/>
    <x v="87"/>
    <n v="1"/>
    <s v="0390050000695823860101"/>
    <n v="1"/>
    <n v="1"/>
    <x v="5"/>
    <n v="0"/>
    <n v="1"/>
    <n v="0"/>
    <n v="1"/>
    <n v="0"/>
    <n v="0"/>
    <n v="0"/>
  </r>
  <r>
    <n v="9"/>
    <x v="7"/>
    <x v="885"/>
    <x v="0"/>
    <x v="1"/>
    <x v="4"/>
    <x v="2"/>
    <x v="2"/>
    <n v="1"/>
    <s v="0390050000695848890101"/>
    <n v="1"/>
    <n v="1"/>
    <x v="5"/>
    <n v="0"/>
    <n v="1"/>
    <n v="0"/>
    <n v="1"/>
    <n v="0"/>
    <n v="0"/>
    <n v="0"/>
  </r>
  <r>
    <n v="9"/>
    <x v="7"/>
    <x v="885"/>
    <x v="0"/>
    <x v="1"/>
    <x v="4"/>
    <x v="37"/>
    <x v="37"/>
    <n v="1"/>
    <s v="0390050000695862240101"/>
    <n v="1"/>
    <n v="1"/>
    <x v="5"/>
    <n v="0"/>
    <n v="1"/>
    <n v="0"/>
    <n v="1"/>
    <n v="0"/>
    <n v="0"/>
    <n v="0"/>
  </r>
  <r>
    <n v="9"/>
    <x v="7"/>
    <x v="885"/>
    <x v="0"/>
    <x v="1"/>
    <x v="3"/>
    <x v="50"/>
    <x v="50"/>
    <n v="1"/>
    <s v="0390050000695858770101"/>
    <n v="1"/>
    <n v="1"/>
    <x v="15"/>
    <n v="0"/>
    <n v="1"/>
    <n v="0"/>
    <n v="1"/>
    <n v="0"/>
    <n v="0"/>
    <n v="0"/>
  </r>
  <r>
    <n v="9"/>
    <x v="7"/>
    <x v="886"/>
    <x v="0"/>
    <x v="2"/>
    <x v="4"/>
    <x v="87"/>
    <x v="87"/>
    <n v="1"/>
    <s v="0390050000696032150102"/>
    <n v="1"/>
    <n v="1"/>
    <x v="5"/>
    <n v="0"/>
    <n v="1"/>
    <n v="0"/>
    <n v="1"/>
    <n v="0"/>
    <n v="0"/>
    <n v="0"/>
  </r>
  <r>
    <n v="9"/>
    <x v="7"/>
    <x v="886"/>
    <x v="0"/>
    <x v="1"/>
    <x v="4"/>
    <x v="69"/>
    <x v="69"/>
    <n v="1"/>
    <s v="0390050000695907820101"/>
    <n v="1"/>
    <n v="1"/>
    <x v="5"/>
    <n v="0"/>
    <n v="1"/>
    <n v="0"/>
    <n v="1"/>
    <n v="0"/>
    <n v="0"/>
    <n v="0"/>
  </r>
  <r>
    <n v="9"/>
    <x v="7"/>
    <x v="886"/>
    <x v="0"/>
    <x v="1"/>
    <x v="4"/>
    <x v="17"/>
    <x v="17"/>
    <n v="1"/>
    <s v="0390050000695768880101"/>
    <n v="1"/>
    <n v="1"/>
    <x v="5"/>
    <n v="0"/>
    <n v="1"/>
    <n v="0"/>
    <n v="1"/>
    <n v="0"/>
    <n v="0"/>
    <n v="0"/>
  </r>
  <r>
    <n v="9"/>
    <x v="7"/>
    <x v="886"/>
    <x v="0"/>
    <x v="2"/>
    <x v="4"/>
    <x v="2"/>
    <x v="2"/>
    <n v="1"/>
    <s v="0390050000695712190101"/>
    <n v="1"/>
    <n v="1"/>
    <x v="5"/>
    <n v="0"/>
    <n v="1"/>
    <n v="0"/>
    <n v="1"/>
    <n v="0"/>
    <n v="0"/>
    <n v="0"/>
  </r>
  <r>
    <n v="9"/>
    <x v="7"/>
    <x v="886"/>
    <x v="0"/>
    <x v="2"/>
    <x v="4"/>
    <x v="2"/>
    <x v="2"/>
    <n v="1"/>
    <s v="0390050000696043400101"/>
    <n v="1"/>
    <n v="1"/>
    <x v="5"/>
    <n v="0"/>
    <n v="1"/>
    <n v="0"/>
    <n v="1"/>
    <n v="0"/>
    <n v="0"/>
    <n v="0"/>
  </r>
  <r>
    <n v="9"/>
    <x v="7"/>
    <x v="886"/>
    <x v="0"/>
    <x v="1"/>
    <x v="4"/>
    <x v="64"/>
    <x v="64"/>
    <n v="1"/>
    <s v="0390050000695857570101"/>
    <n v="1"/>
    <n v="1"/>
    <x v="5"/>
    <n v="0"/>
    <n v="1"/>
    <n v="0"/>
    <n v="1"/>
    <n v="0"/>
    <n v="0"/>
    <n v="0"/>
  </r>
  <r>
    <n v="9"/>
    <x v="7"/>
    <x v="886"/>
    <x v="0"/>
    <x v="2"/>
    <x v="4"/>
    <x v="1"/>
    <x v="1"/>
    <n v="1"/>
    <s v="0390050000696035430101"/>
    <n v="1"/>
    <n v="1"/>
    <x v="5"/>
    <n v="0"/>
    <n v="1"/>
    <n v="0"/>
    <n v="1"/>
    <n v="0"/>
    <n v="0"/>
    <n v="0"/>
  </r>
  <r>
    <n v="9"/>
    <x v="7"/>
    <x v="887"/>
    <x v="1"/>
    <x v="2"/>
    <x v="4"/>
    <x v="69"/>
    <x v="69"/>
    <n v="1"/>
    <s v="0390050000696080740101"/>
    <n v="1"/>
    <n v="1"/>
    <x v="5"/>
    <n v="0"/>
    <n v="1"/>
    <n v="0"/>
    <n v="1"/>
    <n v="0"/>
    <n v="0"/>
    <n v="0"/>
  </r>
  <r>
    <n v="9"/>
    <x v="7"/>
    <x v="887"/>
    <x v="1"/>
    <x v="2"/>
    <x v="4"/>
    <x v="4"/>
    <x v="4"/>
    <n v="1"/>
    <s v="0390050000696040850101"/>
    <n v="1"/>
    <n v="1"/>
    <x v="5"/>
    <n v="0"/>
    <n v="1"/>
    <n v="0"/>
    <n v="1"/>
    <n v="0"/>
    <n v="0"/>
    <n v="0"/>
  </r>
  <r>
    <n v="9"/>
    <x v="7"/>
    <x v="888"/>
    <x v="1"/>
    <x v="2"/>
    <x v="4"/>
    <x v="2"/>
    <x v="2"/>
    <n v="1"/>
    <s v="0390050000696204820101"/>
    <n v="1"/>
    <n v="1"/>
    <x v="5"/>
    <n v="0"/>
    <n v="1"/>
    <n v="0"/>
    <n v="1"/>
    <n v="0"/>
    <n v="0"/>
    <n v="0"/>
  </r>
  <r>
    <n v="9"/>
    <x v="7"/>
    <x v="889"/>
    <x v="1"/>
    <x v="2"/>
    <x v="4"/>
    <x v="69"/>
    <x v="69"/>
    <n v="1"/>
    <s v="0390050000696314450101"/>
    <n v="1"/>
    <n v="1"/>
    <x v="5"/>
    <n v="0"/>
    <n v="1"/>
    <n v="0"/>
    <n v="1"/>
    <n v="0"/>
    <n v="0"/>
    <n v="0"/>
  </r>
  <r>
    <n v="9"/>
    <x v="7"/>
    <x v="889"/>
    <x v="1"/>
    <x v="2"/>
    <x v="4"/>
    <x v="17"/>
    <x v="17"/>
    <n v="1"/>
    <s v="0390050000695823690101"/>
    <n v="1"/>
    <n v="1"/>
    <x v="5"/>
    <n v="0"/>
    <n v="1"/>
    <n v="0"/>
    <n v="1"/>
    <n v="0"/>
    <n v="0"/>
    <n v="0"/>
  </r>
  <r>
    <n v="9"/>
    <x v="7"/>
    <x v="889"/>
    <x v="1"/>
    <x v="2"/>
    <x v="3"/>
    <x v="49"/>
    <x v="49"/>
    <n v="1"/>
    <s v="0390050000696290650101"/>
    <n v="1"/>
    <n v="1"/>
    <x v="15"/>
    <n v="0"/>
    <n v="1"/>
    <n v="0"/>
    <n v="1"/>
    <n v="0"/>
    <n v="0"/>
    <n v="0"/>
  </r>
  <r>
    <n v="9"/>
    <x v="7"/>
    <x v="889"/>
    <x v="1"/>
    <x v="2"/>
    <x v="4"/>
    <x v="2"/>
    <x v="2"/>
    <n v="1"/>
    <s v="0390050000696294610101"/>
    <n v="1"/>
    <n v="1"/>
    <x v="5"/>
    <n v="0"/>
    <n v="1"/>
    <n v="0"/>
    <n v="1"/>
    <n v="0"/>
    <n v="0"/>
    <n v="0"/>
  </r>
  <r>
    <n v="9"/>
    <x v="7"/>
    <x v="889"/>
    <x v="1"/>
    <x v="2"/>
    <x v="4"/>
    <x v="110"/>
    <x v="110"/>
    <n v="1"/>
    <s v="0390050000695823740102"/>
    <n v="1"/>
    <n v="1"/>
    <x v="5"/>
    <n v="0"/>
    <n v="1"/>
    <n v="0"/>
    <n v="1"/>
    <n v="0"/>
    <n v="0"/>
    <n v="0"/>
  </r>
  <r>
    <n v="9"/>
    <x v="7"/>
    <x v="890"/>
    <x v="1"/>
    <x v="2"/>
    <x v="4"/>
    <x v="2"/>
    <x v="2"/>
    <n v="1"/>
    <s v="0390050000696365930101"/>
    <n v="1"/>
    <n v="1"/>
    <x v="5"/>
    <n v="0"/>
    <n v="1"/>
    <n v="0"/>
    <n v="1"/>
    <n v="0"/>
    <n v="0"/>
    <n v="0"/>
  </r>
  <r>
    <n v="9"/>
    <x v="7"/>
    <x v="890"/>
    <x v="1"/>
    <x v="2"/>
    <x v="13"/>
    <x v="5"/>
    <x v="5"/>
    <n v="1"/>
    <s v="0390050000696397510101"/>
    <n v="1"/>
    <n v="1"/>
    <x v="14"/>
    <n v="0"/>
    <n v="1"/>
    <n v="0"/>
    <n v="1"/>
    <n v="0"/>
    <n v="0"/>
    <n v="0"/>
  </r>
  <r>
    <n v="9"/>
    <x v="7"/>
    <x v="891"/>
    <x v="1"/>
    <x v="2"/>
    <x v="4"/>
    <x v="69"/>
    <x v="69"/>
    <n v="1"/>
    <s v="0390050000696468760101"/>
    <n v="1"/>
    <n v="1"/>
    <x v="5"/>
    <n v="0"/>
    <n v="1"/>
    <n v="0"/>
    <n v="1"/>
    <n v="0"/>
    <n v="0"/>
    <n v="0"/>
  </r>
  <r>
    <n v="9"/>
    <x v="7"/>
    <x v="891"/>
    <x v="1"/>
    <x v="2"/>
    <x v="4"/>
    <x v="69"/>
    <x v="69"/>
    <n v="1"/>
    <s v="0390050000696469470101"/>
    <n v="1"/>
    <n v="1"/>
    <x v="5"/>
    <n v="0"/>
    <n v="1"/>
    <n v="0"/>
    <n v="1"/>
    <n v="0"/>
    <n v="0"/>
    <n v="0"/>
  </r>
  <r>
    <n v="9"/>
    <x v="7"/>
    <x v="891"/>
    <x v="1"/>
    <x v="2"/>
    <x v="4"/>
    <x v="68"/>
    <x v="68"/>
    <n v="1"/>
    <s v="0390050000696453130101"/>
    <n v="1"/>
    <n v="1"/>
    <x v="5"/>
    <n v="0"/>
    <n v="1"/>
    <n v="0"/>
    <n v="1"/>
    <n v="0"/>
    <n v="0"/>
    <n v="0"/>
  </r>
  <r>
    <n v="9"/>
    <x v="7"/>
    <x v="892"/>
    <x v="1"/>
    <x v="2"/>
    <x v="4"/>
    <x v="28"/>
    <x v="28"/>
    <n v="1"/>
    <s v="0390050000696483780101"/>
    <n v="1"/>
    <n v="1"/>
    <x v="5"/>
    <n v="0"/>
    <n v="1"/>
    <n v="0"/>
    <n v="1"/>
    <n v="0"/>
    <n v="0"/>
    <n v="0"/>
  </r>
  <r>
    <n v="9"/>
    <x v="7"/>
    <x v="892"/>
    <x v="1"/>
    <x v="2"/>
    <x v="4"/>
    <x v="2"/>
    <x v="2"/>
    <n v="1"/>
    <s v="0390050000696504570101"/>
    <n v="1"/>
    <n v="1"/>
    <x v="5"/>
    <n v="0"/>
    <n v="1"/>
    <n v="0"/>
    <n v="1"/>
    <n v="0"/>
    <n v="0"/>
    <n v="0"/>
  </r>
  <r>
    <n v="9"/>
    <x v="7"/>
    <x v="893"/>
    <x v="1"/>
    <x v="3"/>
    <x v="4"/>
    <x v="28"/>
    <x v="28"/>
    <n v="1"/>
    <s v="0390050000696572690101"/>
    <n v="1"/>
    <n v="1"/>
    <x v="5"/>
    <n v="0"/>
    <n v="1"/>
    <n v="0"/>
    <n v="1"/>
    <n v="0"/>
    <n v="0"/>
    <n v="0"/>
  </r>
  <r>
    <n v="9"/>
    <x v="7"/>
    <x v="893"/>
    <x v="1"/>
    <x v="3"/>
    <x v="25"/>
    <x v="2"/>
    <x v="2"/>
    <n v="1"/>
    <s v="0390050000696631480102"/>
    <n v="1"/>
    <n v="1"/>
    <x v="28"/>
    <n v="0"/>
    <n v="1"/>
    <n v="0"/>
    <n v="1"/>
    <n v="0"/>
    <n v="0"/>
    <n v="0"/>
  </r>
  <r>
    <n v="9"/>
    <x v="7"/>
    <x v="893"/>
    <x v="1"/>
    <x v="3"/>
    <x v="4"/>
    <x v="2"/>
    <x v="2"/>
    <n v="1"/>
    <s v="0390050000696633110101"/>
    <n v="1"/>
    <n v="1"/>
    <x v="5"/>
    <n v="0"/>
    <n v="1"/>
    <n v="0"/>
    <n v="1"/>
    <n v="0"/>
    <n v="0"/>
    <n v="0"/>
  </r>
  <r>
    <n v="9"/>
    <x v="7"/>
    <x v="894"/>
    <x v="2"/>
    <x v="3"/>
    <x v="25"/>
    <x v="69"/>
    <x v="69"/>
    <n v="1"/>
    <s v="0390050000696694300101"/>
    <n v="1"/>
    <n v="1"/>
    <x v="28"/>
    <n v="0"/>
    <n v="1"/>
    <n v="0"/>
    <n v="1"/>
    <n v="0"/>
    <n v="0"/>
    <n v="0"/>
  </r>
  <r>
    <n v="9"/>
    <x v="7"/>
    <x v="895"/>
    <x v="2"/>
    <x v="3"/>
    <x v="4"/>
    <x v="5"/>
    <x v="5"/>
    <n v="1"/>
    <s v="0390050000696933010101"/>
    <n v="1"/>
    <n v="1"/>
    <x v="5"/>
    <n v="0"/>
    <n v="1"/>
    <n v="0"/>
    <n v="1"/>
    <n v="0"/>
    <n v="0"/>
    <n v="0"/>
  </r>
  <r>
    <n v="9"/>
    <x v="7"/>
    <x v="896"/>
    <x v="2"/>
    <x v="3"/>
    <x v="15"/>
    <x v="115"/>
    <x v="115"/>
    <n v="1"/>
    <s v="0390050000697015070101"/>
    <n v="0"/>
    <n v="0"/>
    <x v="15"/>
    <n v="0"/>
    <n v="0"/>
    <n v="0"/>
    <n v="0"/>
    <n v="0"/>
    <n v="0"/>
    <n v="0"/>
  </r>
  <r>
    <n v="9"/>
    <x v="7"/>
    <x v="896"/>
    <x v="2"/>
    <x v="3"/>
    <x v="25"/>
    <x v="31"/>
    <x v="31"/>
    <n v="1"/>
    <s v="0390050000696975160101"/>
    <n v="1"/>
    <n v="1"/>
    <x v="28"/>
    <n v="0"/>
    <n v="1"/>
    <n v="0"/>
    <n v="1"/>
    <n v="0"/>
    <n v="0"/>
    <n v="0"/>
  </r>
  <r>
    <n v="9"/>
    <x v="7"/>
    <x v="896"/>
    <x v="2"/>
    <x v="3"/>
    <x v="15"/>
    <x v="115"/>
    <x v="115"/>
    <n v="1"/>
    <s v="0390050000697015070101"/>
    <n v="1"/>
    <n v="1"/>
    <x v="15"/>
    <n v="0"/>
    <n v="1"/>
    <n v="0"/>
    <n v="1"/>
    <n v="0"/>
    <n v="0"/>
    <n v="0"/>
  </r>
  <r>
    <n v="9"/>
    <x v="7"/>
    <x v="897"/>
    <x v="2"/>
    <x v="3"/>
    <x v="25"/>
    <x v="37"/>
    <x v="37"/>
    <n v="1"/>
    <s v="0390050000697022040101"/>
    <n v="1"/>
    <n v="1"/>
    <x v="28"/>
    <n v="0"/>
    <n v="1"/>
    <n v="0"/>
    <n v="1"/>
    <n v="0"/>
    <n v="0"/>
    <n v="0"/>
  </r>
  <r>
    <n v="9"/>
    <x v="7"/>
    <x v="898"/>
    <x v="2"/>
    <x v="3"/>
    <x v="25"/>
    <x v="2"/>
    <x v="2"/>
    <n v="1"/>
    <s v="0390050000696758020101"/>
    <n v="1"/>
    <n v="1"/>
    <x v="28"/>
    <n v="0"/>
    <n v="1"/>
    <n v="0"/>
    <n v="1"/>
    <n v="0"/>
    <n v="0"/>
    <n v="0"/>
  </r>
  <r>
    <n v="9"/>
    <x v="7"/>
    <x v="899"/>
    <x v="2"/>
    <x v="3"/>
    <x v="25"/>
    <x v="2"/>
    <x v="2"/>
    <n v="1"/>
    <s v="0390050000697085190101"/>
    <n v="1"/>
    <n v="1"/>
    <x v="28"/>
    <n v="0"/>
    <n v="1"/>
    <n v="0"/>
    <n v="1"/>
    <n v="0"/>
    <n v="0"/>
    <n v="0"/>
  </r>
  <r>
    <n v="9"/>
    <x v="7"/>
    <x v="900"/>
    <x v="2"/>
    <x v="3"/>
    <x v="2"/>
    <x v="5"/>
    <x v="5"/>
    <n v="1"/>
    <s v="0390050000697100120101"/>
    <n v="1"/>
    <n v="1"/>
    <x v="3"/>
    <n v="0"/>
    <n v="1"/>
    <n v="0"/>
    <n v="1"/>
    <n v="0"/>
    <n v="0"/>
    <n v="0"/>
  </r>
  <r>
    <n v="9"/>
    <x v="7"/>
    <x v="901"/>
    <x v="2"/>
    <x v="3"/>
    <x v="25"/>
    <x v="64"/>
    <x v="64"/>
    <n v="1"/>
    <s v="0390050000697107070101"/>
    <n v="1"/>
    <n v="1"/>
    <x v="28"/>
    <n v="0"/>
    <n v="1"/>
    <n v="0"/>
    <n v="1"/>
    <n v="0"/>
    <n v="0"/>
    <n v="0"/>
  </r>
  <r>
    <n v="9"/>
    <x v="7"/>
    <x v="901"/>
    <x v="2"/>
    <x v="3"/>
    <x v="3"/>
    <x v="110"/>
    <x v="110"/>
    <n v="1"/>
    <s v="0390050000697099710101"/>
    <n v="1"/>
    <n v="1"/>
    <x v="15"/>
    <n v="0"/>
    <n v="1"/>
    <n v="0"/>
    <n v="1"/>
    <n v="0"/>
    <n v="0"/>
    <n v="0"/>
  </r>
  <r>
    <n v="9"/>
    <x v="7"/>
    <x v="901"/>
    <x v="2"/>
    <x v="3"/>
    <x v="25"/>
    <x v="68"/>
    <x v="68"/>
    <n v="1"/>
    <s v="0390050000697105730101"/>
    <n v="1"/>
    <n v="1"/>
    <x v="28"/>
    <n v="0"/>
    <n v="1"/>
    <n v="0"/>
    <n v="1"/>
    <n v="0"/>
    <n v="0"/>
    <n v="0"/>
  </r>
  <r>
    <n v="9"/>
    <x v="7"/>
    <x v="335"/>
    <x v="2"/>
    <x v="3"/>
    <x v="3"/>
    <x v="60"/>
    <x v="60"/>
    <n v="1"/>
    <s v="0390050000697134290101"/>
    <n v="1"/>
    <n v="1"/>
    <x v="15"/>
    <n v="0"/>
    <n v="1"/>
    <n v="0"/>
    <n v="1"/>
    <n v="0"/>
    <n v="0"/>
    <n v="0"/>
  </r>
  <r>
    <n v="9"/>
    <x v="7"/>
    <x v="335"/>
    <x v="2"/>
    <x v="3"/>
    <x v="25"/>
    <x v="74"/>
    <x v="74"/>
    <n v="1"/>
    <s v="0390050000697114510101"/>
    <n v="1"/>
    <n v="1"/>
    <x v="28"/>
    <n v="0"/>
    <n v="1"/>
    <n v="0"/>
    <n v="1"/>
    <n v="0"/>
    <n v="0"/>
    <n v="0"/>
  </r>
  <r>
    <n v="4"/>
    <x v="2"/>
    <x v="140"/>
    <x v="6"/>
    <x v="7"/>
    <x v="7"/>
    <x v="77"/>
    <x v="77"/>
    <n v="1"/>
    <s v="12720689076"/>
    <n v="1"/>
    <n v="1"/>
    <x v="7"/>
    <n v="0"/>
    <n v="1"/>
    <n v="0"/>
    <n v="1"/>
    <n v="0"/>
    <n v="0"/>
    <n v="0"/>
  </r>
  <r>
    <n v="4"/>
    <x v="2"/>
    <x v="902"/>
    <x v="6"/>
    <x v="7"/>
    <x v="7"/>
    <x v="65"/>
    <x v="65"/>
    <n v="1"/>
    <s v="12720703208"/>
    <n v="1"/>
    <n v="1"/>
    <x v="7"/>
    <n v="0"/>
    <n v="1"/>
    <n v="0"/>
    <n v="1"/>
    <n v="0"/>
    <n v="0"/>
    <n v="0"/>
  </r>
  <r>
    <n v="4"/>
    <x v="2"/>
    <x v="903"/>
    <x v="6"/>
    <x v="8"/>
    <x v="7"/>
    <x v="11"/>
    <x v="11"/>
    <n v="1"/>
    <s v="12720724807"/>
    <n v="1"/>
    <n v="1"/>
    <x v="7"/>
    <n v="0"/>
    <n v="1"/>
    <n v="0"/>
    <n v="1"/>
    <n v="0"/>
    <n v="0"/>
    <n v="0"/>
  </r>
  <r>
    <n v="4"/>
    <x v="2"/>
    <x v="904"/>
    <x v="6"/>
    <x v="8"/>
    <x v="7"/>
    <x v="137"/>
    <x v="137"/>
    <n v="1"/>
    <s v="12720740463"/>
    <n v="1"/>
    <n v="1"/>
    <x v="7"/>
    <n v="0"/>
    <n v="1"/>
    <n v="0"/>
    <n v="1"/>
    <n v="0"/>
    <n v="0"/>
    <n v="0"/>
  </r>
  <r>
    <n v="4"/>
    <x v="2"/>
    <x v="905"/>
    <x v="6"/>
    <x v="9"/>
    <x v="7"/>
    <x v="59"/>
    <x v="59"/>
    <n v="1"/>
    <s v="12720756556"/>
    <n v="1"/>
    <n v="1"/>
    <x v="7"/>
    <n v="0"/>
    <n v="1"/>
    <n v="0"/>
    <n v="1"/>
    <n v="0"/>
    <n v="0"/>
    <n v="0"/>
  </r>
  <r>
    <n v="4"/>
    <x v="2"/>
    <x v="906"/>
    <x v="6"/>
    <x v="9"/>
    <x v="7"/>
    <x v="49"/>
    <x v="49"/>
    <n v="1"/>
    <s v="12720761406"/>
    <n v="1"/>
    <n v="1"/>
    <x v="7"/>
    <n v="0"/>
    <n v="1"/>
    <n v="0"/>
    <n v="1"/>
    <n v="0"/>
    <n v="0"/>
    <n v="0"/>
  </r>
  <r>
    <n v="4"/>
    <x v="2"/>
    <x v="907"/>
    <x v="6"/>
    <x v="9"/>
    <x v="7"/>
    <x v="49"/>
    <x v="49"/>
    <n v="1"/>
    <s v="12720767309"/>
    <n v="1"/>
    <n v="1"/>
    <x v="7"/>
    <n v="0"/>
    <n v="1"/>
    <n v="0"/>
    <n v="1"/>
    <n v="0"/>
    <n v="0"/>
    <n v="0"/>
  </r>
  <r>
    <n v="4"/>
    <x v="2"/>
    <x v="908"/>
    <x v="6"/>
    <x v="10"/>
    <x v="7"/>
    <x v="11"/>
    <x v="11"/>
    <n v="1"/>
    <s v="12720802260"/>
    <n v="1"/>
    <n v="1"/>
    <x v="7"/>
    <n v="0"/>
    <n v="1"/>
    <n v="0"/>
    <n v="1"/>
    <n v="0"/>
    <n v="0"/>
    <n v="0"/>
  </r>
  <r>
    <n v="4"/>
    <x v="2"/>
    <x v="909"/>
    <x v="6"/>
    <x v="10"/>
    <x v="7"/>
    <x v="55"/>
    <x v="55"/>
    <n v="1"/>
    <s v="12720804653"/>
    <n v="1"/>
    <n v="1"/>
    <x v="7"/>
    <n v="0"/>
    <n v="1"/>
    <n v="0"/>
    <n v="1"/>
    <n v="0"/>
    <n v="0"/>
    <n v="0"/>
  </r>
  <r>
    <n v="4"/>
    <x v="2"/>
    <x v="910"/>
    <x v="7"/>
    <x v="10"/>
    <x v="7"/>
    <x v="55"/>
    <x v="55"/>
    <n v="1"/>
    <s v="12720833264"/>
    <n v="1"/>
    <n v="1"/>
    <x v="7"/>
    <n v="0"/>
    <n v="1"/>
    <n v="0"/>
    <n v="1"/>
    <n v="0"/>
    <n v="0"/>
    <n v="0"/>
  </r>
  <r>
    <n v="4"/>
    <x v="2"/>
    <x v="911"/>
    <x v="7"/>
    <x v="10"/>
    <x v="7"/>
    <x v="37"/>
    <x v="37"/>
    <n v="1"/>
    <s v="12720849340"/>
    <n v="1"/>
    <n v="1"/>
    <x v="7"/>
    <n v="0"/>
    <n v="1"/>
    <n v="0"/>
    <n v="1"/>
    <n v="0"/>
    <n v="0"/>
    <n v="0"/>
  </r>
  <r>
    <n v="4"/>
    <x v="2"/>
    <x v="912"/>
    <x v="7"/>
    <x v="10"/>
    <x v="7"/>
    <x v="59"/>
    <x v="59"/>
    <n v="1"/>
    <s v="12720873963"/>
    <n v="1"/>
    <n v="1"/>
    <x v="7"/>
    <n v="0"/>
    <n v="1"/>
    <n v="0"/>
    <n v="1"/>
    <n v="0"/>
    <n v="0"/>
    <n v="0"/>
  </r>
  <r>
    <n v="4"/>
    <x v="2"/>
    <x v="913"/>
    <x v="7"/>
    <x v="10"/>
    <x v="7"/>
    <x v="17"/>
    <x v="17"/>
    <n v="1"/>
    <s v="12720950367"/>
    <n v="1"/>
    <n v="1"/>
    <x v="7"/>
    <n v="0"/>
    <n v="1"/>
    <n v="0"/>
    <n v="1"/>
    <n v="0"/>
    <n v="0"/>
    <n v="0"/>
  </r>
  <r>
    <n v="4"/>
    <x v="2"/>
    <x v="914"/>
    <x v="5"/>
    <x v="12"/>
    <x v="4"/>
    <x v="59"/>
    <x v="59"/>
    <n v="1"/>
    <s v="12716438589"/>
    <n v="1"/>
    <n v="1"/>
    <x v="22"/>
    <n v="0"/>
    <n v="1"/>
    <n v="0"/>
    <n v="1"/>
    <n v="0"/>
    <n v="0"/>
    <n v="0"/>
  </r>
  <r>
    <n v="5"/>
    <x v="3"/>
    <x v="915"/>
    <x v="9"/>
    <x v="13"/>
    <x v="8"/>
    <x v="188"/>
    <x v="188"/>
    <n v="10"/>
    <s v="-"/>
    <n v="10"/>
    <n v="20"/>
    <x v="19"/>
    <n v="10"/>
    <n v="10"/>
    <n v="10"/>
    <n v="10"/>
    <n v="0"/>
    <n v="0"/>
    <n v="0"/>
  </r>
  <r>
    <n v="5"/>
    <x v="3"/>
    <x v="915"/>
    <x v="9"/>
    <x v="13"/>
    <x v="8"/>
    <x v="189"/>
    <x v="189"/>
    <n v="5"/>
    <s v="-"/>
    <n v="5"/>
    <n v="10"/>
    <x v="19"/>
    <n v="5"/>
    <n v="5"/>
    <n v="5"/>
    <n v="5"/>
    <n v="0"/>
    <n v="0"/>
    <n v="0"/>
  </r>
  <r>
    <n v="5"/>
    <x v="3"/>
    <x v="915"/>
    <x v="9"/>
    <x v="13"/>
    <x v="8"/>
    <x v="190"/>
    <x v="190"/>
    <n v="5"/>
    <s v="-"/>
    <n v="0"/>
    <n v="0"/>
    <x v="19"/>
    <n v="0"/>
    <n v="0"/>
    <n v="0"/>
    <n v="0"/>
    <n v="0"/>
    <n v="0"/>
    <n v="0"/>
  </r>
  <r>
    <n v="5"/>
    <x v="3"/>
    <x v="915"/>
    <x v="9"/>
    <x v="13"/>
    <x v="8"/>
    <x v="191"/>
    <x v="191"/>
    <n v="5"/>
    <s v="-"/>
    <n v="5"/>
    <n v="10"/>
    <x v="19"/>
    <n v="5"/>
    <n v="5"/>
    <n v="5"/>
    <n v="5"/>
    <n v="0"/>
    <n v="0"/>
    <n v="0"/>
  </r>
  <r>
    <n v="5"/>
    <x v="3"/>
    <x v="915"/>
    <x v="9"/>
    <x v="13"/>
    <x v="8"/>
    <x v="72"/>
    <x v="72"/>
    <n v="5"/>
    <s v="-"/>
    <n v="5"/>
    <n v="10"/>
    <x v="19"/>
    <n v="5"/>
    <n v="5"/>
    <n v="5"/>
    <n v="5"/>
    <n v="0"/>
    <n v="0"/>
    <n v="0"/>
  </r>
  <r>
    <n v="5"/>
    <x v="3"/>
    <x v="915"/>
    <x v="9"/>
    <x v="13"/>
    <x v="8"/>
    <x v="192"/>
    <x v="192"/>
    <n v="10"/>
    <s v="-"/>
    <n v="0"/>
    <n v="0"/>
    <x v="19"/>
    <n v="0"/>
    <n v="0"/>
    <n v="0"/>
    <n v="0"/>
    <n v="0"/>
    <n v="0"/>
    <n v="0"/>
  </r>
  <r>
    <n v="5"/>
    <x v="3"/>
    <x v="916"/>
    <x v="20"/>
    <x v="31"/>
    <x v="11"/>
    <x v="94"/>
    <x v="94"/>
    <n v="1"/>
    <s v="-"/>
    <n v="1"/>
    <n v="1"/>
    <x v="13"/>
    <n v="0"/>
    <n v="1"/>
    <n v="0"/>
    <n v="1"/>
    <n v="0"/>
    <n v="0"/>
    <n v="0"/>
  </r>
  <r>
    <n v="5"/>
    <x v="3"/>
    <x v="917"/>
    <x v="20"/>
    <x v="31"/>
    <x v="11"/>
    <x v="113"/>
    <x v="113"/>
    <n v="1"/>
    <s v="-"/>
    <n v="1"/>
    <n v="1"/>
    <x v="13"/>
    <n v="0"/>
    <n v="1"/>
    <n v="0"/>
    <n v="1"/>
    <n v="0"/>
    <n v="0"/>
    <n v="0"/>
  </r>
  <r>
    <n v="5"/>
    <x v="3"/>
    <x v="918"/>
    <x v="21"/>
    <x v="41"/>
    <x v="11"/>
    <x v="193"/>
    <x v="193"/>
    <n v="4"/>
    <s v="-"/>
    <n v="4"/>
    <n v="4"/>
    <x v="13"/>
    <n v="0"/>
    <n v="4"/>
    <n v="0"/>
    <n v="4"/>
    <n v="0"/>
    <n v="0"/>
    <n v="0"/>
  </r>
  <r>
    <n v="5"/>
    <x v="3"/>
    <x v="918"/>
    <x v="21"/>
    <x v="41"/>
    <x v="11"/>
    <x v="188"/>
    <x v="188"/>
    <n v="130"/>
    <s v="-"/>
    <n v="130"/>
    <n v="130"/>
    <x v="13"/>
    <n v="0"/>
    <n v="130"/>
    <n v="0"/>
    <n v="130"/>
    <n v="0"/>
    <n v="0"/>
    <n v="0"/>
  </r>
  <r>
    <n v="5"/>
    <x v="3"/>
    <x v="918"/>
    <x v="21"/>
    <x v="41"/>
    <x v="11"/>
    <x v="189"/>
    <x v="189"/>
    <n v="18"/>
    <s v="-"/>
    <n v="18"/>
    <n v="18"/>
    <x v="13"/>
    <n v="0"/>
    <n v="18"/>
    <n v="0"/>
    <n v="18"/>
    <n v="0"/>
    <n v="0"/>
    <n v="0"/>
  </r>
  <r>
    <n v="5"/>
    <x v="3"/>
    <x v="918"/>
    <x v="21"/>
    <x v="41"/>
    <x v="11"/>
    <x v="194"/>
    <x v="194"/>
    <n v="19"/>
    <s v="-"/>
    <n v="19"/>
    <n v="19"/>
    <x v="13"/>
    <n v="0"/>
    <n v="19"/>
    <n v="0"/>
    <n v="19"/>
    <n v="0"/>
    <n v="0"/>
    <n v="0"/>
  </r>
  <r>
    <n v="5"/>
    <x v="3"/>
    <x v="918"/>
    <x v="21"/>
    <x v="41"/>
    <x v="11"/>
    <x v="191"/>
    <x v="191"/>
    <n v="4"/>
    <s v="-"/>
    <n v="4"/>
    <n v="4"/>
    <x v="13"/>
    <n v="0"/>
    <n v="4"/>
    <n v="0"/>
    <n v="4"/>
    <n v="0"/>
    <n v="0"/>
    <n v="0"/>
  </r>
  <r>
    <n v="5"/>
    <x v="3"/>
    <x v="918"/>
    <x v="21"/>
    <x v="41"/>
    <x v="11"/>
    <x v="72"/>
    <x v="72"/>
    <n v="6"/>
    <s v="-"/>
    <n v="6"/>
    <n v="6"/>
    <x v="13"/>
    <n v="0"/>
    <n v="6"/>
    <n v="0"/>
    <n v="6"/>
    <n v="0"/>
    <n v="0"/>
    <n v="0"/>
  </r>
  <r>
    <n v="5"/>
    <x v="3"/>
    <x v="918"/>
    <x v="21"/>
    <x v="41"/>
    <x v="11"/>
    <x v="192"/>
    <x v="192"/>
    <n v="251"/>
    <s v="-"/>
    <n v="110"/>
    <n v="110"/>
    <x v="13"/>
    <n v="0"/>
    <n v="110"/>
    <n v="0"/>
    <n v="110"/>
    <n v="0"/>
    <n v="0"/>
    <n v="0"/>
  </r>
  <r>
    <n v="5"/>
    <x v="3"/>
    <x v="918"/>
    <x v="21"/>
    <x v="41"/>
    <x v="11"/>
    <x v="195"/>
    <x v="195"/>
    <n v="10"/>
    <s v="-"/>
    <n v="10"/>
    <n v="10"/>
    <x v="13"/>
    <n v="0"/>
    <n v="10"/>
    <n v="0"/>
    <n v="10"/>
    <n v="0"/>
    <n v="0"/>
    <n v="0"/>
  </r>
  <r>
    <n v="5"/>
    <x v="3"/>
    <x v="919"/>
    <x v="22"/>
    <x v="14"/>
    <x v="8"/>
    <x v="32"/>
    <x v="32"/>
    <n v="1"/>
    <s v="-"/>
    <n v="1"/>
    <n v="1"/>
    <x v="12"/>
    <n v="0"/>
    <n v="1"/>
    <n v="0"/>
    <n v="1"/>
    <n v="0"/>
    <n v="0"/>
    <n v="0"/>
  </r>
  <r>
    <n v="5"/>
    <x v="3"/>
    <x v="920"/>
    <x v="23"/>
    <x v="32"/>
    <x v="10"/>
    <x v="32"/>
    <x v="32"/>
    <n v="1"/>
    <s v="-"/>
    <n v="1"/>
    <n v="1"/>
    <x v="13"/>
    <n v="0"/>
    <n v="1"/>
    <n v="0"/>
    <n v="1"/>
    <n v="0"/>
    <n v="0"/>
    <n v="0"/>
  </r>
  <r>
    <n v="5"/>
    <x v="3"/>
    <x v="921"/>
    <x v="11"/>
    <x v="15"/>
    <x v="8"/>
    <x v="60"/>
    <x v="60"/>
    <n v="1"/>
    <s v="-"/>
    <n v="1"/>
    <n v="1"/>
    <x v="12"/>
    <n v="0"/>
    <n v="1"/>
    <n v="0"/>
    <n v="1"/>
    <n v="0"/>
    <n v="0"/>
    <n v="0"/>
  </r>
  <r>
    <n v="5"/>
    <x v="3"/>
    <x v="922"/>
    <x v="12"/>
    <x v="17"/>
    <x v="12"/>
    <x v="4"/>
    <x v="4"/>
    <n v="1"/>
    <s v="-"/>
    <n v="1"/>
    <n v="1"/>
    <x v="12"/>
    <n v="0"/>
    <n v="1"/>
    <n v="0"/>
    <n v="1"/>
    <n v="0"/>
    <n v="0"/>
    <n v="0"/>
  </r>
  <r>
    <n v="5"/>
    <x v="3"/>
    <x v="923"/>
    <x v="12"/>
    <x v="17"/>
    <x v="13"/>
    <x v="69"/>
    <x v="69"/>
    <n v="1"/>
    <s v="-"/>
    <n v="1"/>
    <n v="1"/>
    <x v="12"/>
    <n v="0"/>
    <n v="1"/>
    <n v="0"/>
    <n v="1"/>
    <n v="0"/>
    <n v="0"/>
    <n v="0"/>
  </r>
  <r>
    <n v="5"/>
    <x v="3"/>
    <x v="924"/>
    <x v="12"/>
    <x v="18"/>
    <x v="12"/>
    <x v="56"/>
    <x v="56"/>
    <n v="1"/>
    <s v="-"/>
    <n v="1"/>
    <n v="1"/>
    <x v="12"/>
    <n v="0"/>
    <n v="1"/>
    <n v="0"/>
    <n v="1"/>
    <n v="0"/>
    <n v="0"/>
    <n v="0"/>
  </r>
  <r>
    <n v="5"/>
    <x v="3"/>
    <x v="925"/>
    <x v="12"/>
    <x v="18"/>
    <x v="13"/>
    <x v="196"/>
    <x v="196"/>
    <n v="1"/>
    <s v="-"/>
    <n v="0"/>
    <n v="0"/>
    <x v="2"/>
    <n v="0"/>
    <n v="0"/>
    <n v="0"/>
    <n v="0"/>
    <n v="0"/>
    <n v="0"/>
    <n v="0"/>
  </r>
  <r>
    <n v="5"/>
    <x v="3"/>
    <x v="926"/>
    <x v="10"/>
    <x v="18"/>
    <x v="13"/>
    <x v="56"/>
    <x v="56"/>
    <n v="1"/>
    <s v="-"/>
    <n v="1"/>
    <n v="1"/>
    <x v="12"/>
    <n v="0"/>
    <n v="1"/>
    <n v="0"/>
    <n v="1"/>
    <n v="0"/>
    <n v="0"/>
    <n v="0"/>
  </r>
  <r>
    <n v="5"/>
    <x v="3"/>
    <x v="927"/>
    <x v="10"/>
    <x v="18"/>
    <x v="12"/>
    <x v="188"/>
    <x v="188"/>
    <n v="40"/>
    <s v="-"/>
    <n v="40"/>
    <n v="40"/>
    <x v="18"/>
    <n v="0"/>
    <n v="40"/>
    <n v="0"/>
    <n v="40"/>
    <n v="0"/>
    <n v="0"/>
    <n v="0"/>
  </r>
  <r>
    <n v="5"/>
    <x v="3"/>
    <x v="927"/>
    <x v="10"/>
    <x v="18"/>
    <x v="12"/>
    <x v="189"/>
    <x v="189"/>
    <n v="15"/>
    <s v="-"/>
    <n v="15"/>
    <n v="15"/>
    <x v="18"/>
    <n v="0"/>
    <n v="15"/>
    <n v="0"/>
    <n v="15"/>
    <n v="0"/>
    <n v="0"/>
    <n v="0"/>
  </r>
  <r>
    <n v="5"/>
    <x v="3"/>
    <x v="927"/>
    <x v="10"/>
    <x v="18"/>
    <x v="12"/>
    <x v="194"/>
    <x v="194"/>
    <n v="8"/>
    <s v="-"/>
    <n v="8"/>
    <n v="8"/>
    <x v="18"/>
    <n v="0"/>
    <n v="8"/>
    <n v="0"/>
    <n v="8"/>
    <n v="0"/>
    <n v="0"/>
    <n v="0"/>
  </r>
  <r>
    <n v="5"/>
    <x v="3"/>
    <x v="927"/>
    <x v="10"/>
    <x v="18"/>
    <x v="12"/>
    <x v="190"/>
    <x v="190"/>
    <n v="5"/>
    <s v="-"/>
    <n v="0"/>
    <n v="0"/>
    <x v="18"/>
    <n v="0"/>
    <n v="0"/>
    <n v="0"/>
    <n v="0"/>
    <n v="0"/>
    <n v="0"/>
    <n v="0"/>
  </r>
  <r>
    <n v="5"/>
    <x v="3"/>
    <x v="927"/>
    <x v="10"/>
    <x v="18"/>
    <x v="12"/>
    <x v="176"/>
    <x v="176"/>
    <n v="4"/>
    <s v="-"/>
    <n v="4"/>
    <n v="4"/>
    <x v="18"/>
    <n v="0"/>
    <n v="4"/>
    <n v="0"/>
    <n v="4"/>
    <n v="0"/>
    <n v="0"/>
    <n v="0"/>
  </r>
  <r>
    <n v="5"/>
    <x v="3"/>
    <x v="927"/>
    <x v="10"/>
    <x v="18"/>
    <x v="12"/>
    <x v="191"/>
    <x v="191"/>
    <n v="11"/>
    <s v="-"/>
    <n v="11"/>
    <n v="11"/>
    <x v="18"/>
    <n v="0"/>
    <n v="11"/>
    <n v="0"/>
    <n v="11"/>
    <n v="0"/>
    <n v="0"/>
    <n v="0"/>
  </r>
  <r>
    <n v="5"/>
    <x v="3"/>
    <x v="927"/>
    <x v="10"/>
    <x v="18"/>
    <x v="12"/>
    <x v="72"/>
    <x v="72"/>
    <n v="1"/>
    <s v="-"/>
    <n v="1"/>
    <n v="1"/>
    <x v="18"/>
    <n v="0"/>
    <n v="1"/>
    <n v="0"/>
    <n v="1"/>
    <n v="0"/>
    <n v="0"/>
    <n v="0"/>
  </r>
  <r>
    <n v="5"/>
    <x v="3"/>
    <x v="927"/>
    <x v="10"/>
    <x v="18"/>
    <x v="12"/>
    <x v="195"/>
    <x v="195"/>
    <n v="30"/>
    <s v="-"/>
    <n v="30"/>
    <n v="30"/>
    <x v="18"/>
    <n v="0"/>
    <n v="30"/>
    <n v="0"/>
    <n v="30"/>
    <n v="0"/>
    <n v="0"/>
    <n v="0"/>
  </r>
  <r>
    <n v="5"/>
    <x v="3"/>
    <x v="928"/>
    <x v="10"/>
    <x v="19"/>
    <x v="18"/>
    <x v="197"/>
    <x v="197"/>
    <n v="1"/>
    <s v="-"/>
    <n v="1"/>
    <n v="1"/>
    <x v="12"/>
    <n v="0"/>
    <n v="1"/>
    <n v="0"/>
    <n v="1"/>
    <n v="0"/>
    <n v="0"/>
    <n v="0"/>
  </r>
  <r>
    <n v="5"/>
    <x v="3"/>
    <x v="929"/>
    <x v="13"/>
    <x v="19"/>
    <x v="13"/>
    <x v="198"/>
    <x v="198"/>
    <n v="1"/>
    <s v="-"/>
    <n v="1"/>
    <n v="1"/>
    <x v="14"/>
    <n v="0"/>
    <n v="1"/>
    <n v="0"/>
    <n v="1"/>
    <n v="0"/>
    <n v="0"/>
    <n v="0"/>
  </r>
  <r>
    <n v="5"/>
    <x v="3"/>
    <x v="930"/>
    <x v="25"/>
    <x v="37"/>
    <x v="13"/>
    <x v="56"/>
    <x v="56"/>
    <n v="1"/>
    <s v="-"/>
    <n v="1"/>
    <n v="1"/>
    <x v="14"/>
    <n v="0"/>
    <n v="1"/>
    <n v="0"/>
    <n v="1"/>
    <n v="0"/>
    <n v="0"/>
    <n v="0"/>
  </r>
  <r>
    <n v="5"/>
    <x v="3"/>
    <x v="931"/>
    <x v="25"/>
    <x v="37"/>
    <x v="13"/>
    <x v="111"/>
    <x v="111"/>
    <n v="1"/>
    <s v="-"/>
    <n v="1"/>
    <n v="1"/>
    <x v="14"/>
    <n v="0"/>
    <n v="1"/>
    <n v="0"/>
    <n v="1"/>
    <n v="0"/>
    <n v="0"/>
    <n v="0"/>
  </r>
  <r>
    <n v="5"/>
    <x v="3"/>
    <x v="932"/>
    <x v="0"/>
    <x v="38"/>
    <x v="5"/>
    <x v="94"/>
    <x v="94"/>
    <n v="5"/>
    <s v="-"/>
    <n v="0"/>
    <n v="0"/>
    <x v="2"/>
    <n v="0"/>
    <n v="0"/>
    <n v="0"/>
    <n v="0"/>
    <n v="0"/>
    <n v="0"/>
    <n v="0"/>
  </r>
  <r>
    <n v="5"/>
    <x v="3"/>
    <x v="933"/>
    <x v="0"/>
    <x v="38"/>
    <x v="5"/>
    <x v="188"/>
    <x v="188"/>
    <n v="10"/>
    <s v="-"/>
    <n v="10"/>
    <n v="10"/>
    <x v="3"/>
    <n v="0"/>
    <n v="10"/>
    <n v="0"/>
    <n v="10"/>
    <n v="0"/>
    <n v="0"/>
    <n v="0"/>
  </r>
  <r>
    <n v="5"/>
    <x v="3"/>
    <x v="934"/>
    <x v="0"/>
    <x v="38"/>
    <x v="4"/>
    <x v="83"/>
    <x v="83"/>
    <n v="1"/>
    <s v="-"/>
    <n v="1"/>
    <n v="1"/>
    <x v="14"/>
    <n v="0"/>
    <n v="1"/>
    <n v="0"/>
    <n v="1"/>
    <n v="0"/>
    <n v="0"/>
    <n v="0"/>
  </r>
  <r>
    <n v="5"/>
    <x v="3"/>
    <x v="935"/>
    <x v="0"/>
    <x v="0"/>
    <x v="3"/>
    <x v="60"/>
    <x v="60"/>
    <n v="1"/>
    <s v="-"/>
    <n v="1"/>
    <n v="1"/>
    <x v="14"/>
    <n v="0"/>
    <n v="1"/>
    <n v="0"/>
    <n v="1"/>
    <n v="0"/>
    <n v="0"/>
    <n v="0"/>
  </r>
  <r>
    <n v="5"/>
    <x v="3"/>
    <x v="936"/>
    <x v="0"/>
    <x v="0"/>
    <x v="3"/>
    <x v="57"/>
    <x v="57"/>
    <n v="1"/>
    <s v="-"/>
    <n v="1"/>
    <n v="1"/>
    <x v="14"/>
    <n v="0"/>
    <n v="1"/>
    <n v="0"/>
    <n v="1"/>
    <n v="0"/>
    <n v="0"/>
    <n v="0"/>
  </r>
  <r>
    <n v="5"/>
    <x v="3"/>
    <x v="937"/>
    <x v="1"/>
    <x v="2"/>
    <x v="4"/>
    <x v="182"/>
    <x v="182"/>
    <n v="1"/>
    <s v="-"/>
    <n v="1"/>
    <n v="1"/>
    <x v="5"/>
    <n v="0"/>
    <n v="1"/>
    <n v="0"/>
    <n v="1"/>
    <n v="0"/>
    <n v="0"/>
    <n v="0"/>
  </r>
  <r>
    <n v="5"/>
    <x v="3"/>
    <x v="938"/>
    <x v="1"/>
    <x v="2"/>
    <x v="4"/>
    <x v="64"/>
    <x v="64"/>
    <n v="1"/>
    <s v="-"/>
    <n v="1"/>
    <n v="1"/>
    <x v="5"/>
    <n v="0"/>
    <n v="1"/>
    <n v="0"/>
    <n v="1"/>
    <n v="0"/>
    <n v="0"/>
    <n v="0"/>
  </r>
  <r>
    <n v="5"/>
    <x v="3"/>
    <x v="939"/>
    <x v="1"/>
    <x v="2"/>
    <x v="0"/>
    <x v="199"/>
    <x v="199"/>
    <n v="15"/>
    <s v="-"/>
    <n v="0"/>
    <n v="0"/>
    <x v="2"/>
    <n v="0"/>
    <n v="0"/>
    <n v="0"/>
    <n v="0"/>
    <n v="0"/>
    <n v="0"/>
    <n v="0"/>
  </r>
  <r>
    <n v="5"/>
    <x v="3"/>
    <x v="940"/>
    <x v="1"/>
    <x v="3"/>
    <x v="25"/>
    <x v="190"/>
    <x v="190"/>
    <n v="5"/>
    <s v="-"/>
    <n v="0"/>
    <n v="0"/>
    <x v="2"/>
    <n v="0"/>
    <n v="0"/>
    <n v="0"/>
    <n v="0"/>
    <n v="0"/>
    <n v="0"/>
    <n v="0"/>
  </r>
  <r>
    <n v="5"/>
    <x v="3"/>
    <x v="940"/>
    <x v="1"/>
    <x v="3"/>
    <x v="25"/>
    <x v="192"/>
    <x v="192"/>
    <n v="10"/>
    <s v="-"/>
    <n v="0"/>
    <n v="0"/>
    <x v="2"/>
    <n v="0"/>
    <n v="0"/>
    <n v="0"/>
    <n v="0"/>
    <n v="0"/>
    <n v="0"/>
    <n v="0"/>
  </r>
  <r>
    <n v="5"/>
    <x v="3"/>
    <x v="941"/>
    <x v="2"/>
    <x v="3"/>
    <x v="4"/>
    <x v="60"/>
    <x v="60"/>
    <n v="1"/>
    <s v="-"/>
    <n v="1"/>
    <n v="1"/>
    <x v="5"/>
    <n v="0"/>
    <n v="1"/>
    <n v="0"/>
    <n v="1"/>
    <n v="0"/>
    <n v="0"/>
    <n v="0"/>
  </r>
  <r>
    <n v="5"/>
    <x v="3"/>
    <x v="942"/>
    <x v="2"/>
    <x v="3"/>
    <x v="4"/>
    <x v="188"/>
    <x v="188"/>
    <n v="10"/>
    <s v="-"/>
    <n v="10"/>
    <n v="10"/>
    <x v="3"/>
    <n v="0"/>
    <n v="10"/>
    <n v="0"/>
    <n v="10"/>
    <n v="0"/>
    <n v="0"/>
    <n v="0"/>
  </r>
  <r>
    <n v="5"/>
    <x v="3"/>
    <x v="942"/>
    <x v="2"/>
    <x v="3"/>
    <x v="4"/>
    <x v="189"/>
    <x v="189"/>
    <n v="21"/>
    <s v="-"/>
    <n v="8"/>
    <n v="8"/>
    <x v="3"/>
    <n v="0"/>
    <n v="8"/>
    <n v="0"/>
    <n v="8"/>
    <n v="0"/>
    <n v="0"/>
    <n v="0"/>
  </r>
  <r>
    <n v="5"/>
    <x v="3"/>
    <x v="942"/>
    <x v="2"/>
    <x v="3"/>
    <x v="4"/>
    <x v="194"/>
    <x v="194"/>
    <n v="3"/>
    <s v="-"/>
    <n v="3"/>
    <n v="3"/>
    <x v="3"/>
    <n v="0"/>
    <n v="3"/>
    <n v="0"/>
    <n v="3"/>
    <n v="0"/>
    <n v="0"/>
    <n v="0"/>
  </r>
  <r>
    <n v="5"/>
    <x v="3"/>
    <x v="942"/>
    <x v="2"/>
    <x v="3"/>
    <x v="4"/>
    <x v="190"/>
    <x v="190"/>
    <n v="3"/>
    <s v="-"/>
    <n v="0"/>
    <n v="0"/>
    <x v="3"/>
    <n v="0"/>
    <n v="0"/>
    <n v="0"/>
    <n v="0"/>
    <n v="0"/>
    <n v="0"/>
    <n v="0"/>
  </r>
  <r>
    <n v="5"/>
    <x v="3"/>
    <x v="942"/>
    <x v="2"/>
    <x v="3"/>
    <x v="4"/>
    <x v="176"/>
    <x v="176"/>
    <n v="2"/>
    <s v="-"/>
    <n v="2"/>
    <n v="2"/>
    <x v="3"/>
    <n v="0"/>
    <n v="2"/>
    <n v="0"/>
    <n v="2"/>
    <n v="0"/>
    <n v="0"/>
    <n v="0"/>
  </r>
  <r>
    <n v="5"/>
    <x v="3"/>
    <x v="942"/>
    <x v="2"/>
    <x v="3"/>
    <x v="4"/>
    <x v="191"/>
    <x v="191"/>
    <n v="13"/>
    <s v="-"/>
    <n v="13"/>
    <n v="13"/>
    <x v="3"/>
    <n v="0"/>
    <n v="13"/>
    <n v="0"/>
    <n v="13"/>
    <n v="0"/>
    <n v="0"/>
    <n v="0"/>
  </r>
  <r>
    <n v="5"/>
    <x v="3"/>
    <x v="942"/>
    <x v="2"/>
    <x v="3"/>
    <x v="4"/>
    <x v="72"/>
    <x v="72"/>
    <n v="13"/>
    <s v="-"/>
    <n v="13"/>
    <n v="13"/>
    <x v="3"/>
    <n v="0"/>
    <n v="13"/>
    <n v="0"/>
    <n v="13"/>
    <n v="0"/>
    <n v="0"/>
    <n v="0"/>
  </r>
  <r>
    <n v="5"/>
    <x v="3"/>
    <x v="942"/>
    <x v="2"/>
    <x v="3"/>
    <x v="4"/>
    <x v="200"/>
    <x v="200"/>
    <n v="5"/>
    <s v="-"/>
    <n v="0"/>
    <n v="0"/>
    <x v="3"/>
    <n v="0"/>
    <n v="0"/>
    <n v="0"/>
    <n v="0"/>
    <n v="0"/>
    <n v="0"/>
    <n v="0"/>
  </r>
  <r>
    <n v="5"/>
    <x v="3"/>
    <x v="942"/>
    <x v="2"/>
    <x v="3"/>
    <x v="4"/>
    <x v="195"/>
    <x v="195"/>
    <n v="20"/>
    <s v="-"/>
    <n v="20"/>
    <n v="20"/>
    <x v="3"/>
    <n v="0"/>
    <n v="20"/>
    <n v="0"/>
    <n v="20"/>
    <n v="0"/>
    <n v="0"/>
    <n v="0"/>
  </r>
  <r>
    <n v="5"/>
    <x v="3"/>
    <x v="943"/>
    <x v="3"/>
    <x v="4"/>
    <x v="3"/>
    <x v="194"/>
    <x v="194"/>
    <n v="2"/>
    <s v="-"/>
    <n v="2"/>
    <n v="2"/>
    <x v="28"/>
    <n v="0"/>
    <n v="2"/>
    <n v="0"/>
    <n v="2"/>
    <n v="0"/>
    <n v="0"/>
    <n v="0"/>
  </r>
  <r>
    <n v="5"/>
    <x v="3"/>
    <x v="944"/>
    <x v="4"/>
    <x v="39"/>
    <x v="25"/>
    <x v="173"/>
    <x v="173"/>
    <n v="1"/>
    <s v="-"/>
    <n v="1"/>
    <n v="1"/>
    <x v="28"/>
    <n v="0"/>
    <n v="1"/>
    <n v="0"/>
    <n v="1"/>
    <n v="0"/>
    <n v="0"/>
    <n v="0"/>
  </r>
  <r>
    <n v="5"/>
    <x v="3"/>
    <x v="945"/>
    <x v="4"/>
    <x v="39"/>
    <x v="3"/>
    <x v="199"/>
    <x v="199"/>
    <n v="10"/>
    <s v="-"/>
    <n v="0"/>
    <n v="0"/>
    <x v="2"/>
    <n v="0"/>
    <n v="0"/>
    <n v="0"/>
    <n v="0"/>
    <n v="0"/>
    <n v="0"/>
    <n v="0"/>
  </r>
  <r>
    <n v="5"/>
    <x v="3"/>
    <x v="946"/>
    <x v="4"/>
    <x v="39"/>
    <x v="25"/>
    <x v="80"/>
    <x v="80"/>
    <n v="1"/>
    <s v="-"/>
    <n v="1"/>
    <n v="1"/>
    <x v="28"/>
    <n v="0"/>
    <n v="1"/>
    <n v="0"/>
    <n v="1"/>
    <n v="0"/>
    <n v="0"/>
    <n v="0"/>
  </r>
  <r>
    <n v="5"/>
    <x v="3"/>
    <x v="947"/>
    <x v="14"/>
    <x v="20"/>
    <x v="15"/>
    <x v="17"/>
    <x v="17"/>
    <n v="1"/>
    <s v="-"/>
    <n v="1"/>
    <n v="1"/>
    <x v="16"/>
    <n v="0"/>
    <n v="1"/>
    <n v="0"/>
    <n v="1"/>
    <n v="0"/>
    <n v="0"/>
    <n v="0"/>
  </r>
  <r>
    <n v="5"/>
    <x v="3"/>
    <x v="948"/>
    <x v="14"/>
    <x v="21"/>
    <x v="15"/>
    <x v="60"/>
    <x v="60"/>
    <n v="1"/>
    <s v="-"/>
    <n v="1"/>
    <n v="1"/>
    <x v="16"/>
    <n v="0"/>
    <n v="1"/>
    <n v="0"/>
    <n v="1"/>
    <n v="0"/>
    <n v="0"/>
    <n v="0"/>
  </r>
  <r>
    <n v="5"/>
    <x v="3"/>
    <x v="949"/>
    <x v="14"/>
    <x v="22"/>
    <x v="15"/>
    <x v="11"/>
    <x v="11"/>
    <n v="1"/>
    <s v="-"/>
    <n v="1"/>
    <n v="1"/>
    <x v="16"/>
    <n v="0"/>
    <n v="1"/>
    <n v="0"/>
    <n v="1"/>
    <n v="0"/>
    <n v="0"/>
    <n v="0"/>
  </r>
  <r>
    <n v="5"/>
    <x v="3"/>
    <x v="950"/>
    <x v="14"/>
    <x v="22"/>
    <x v="16"/>
    <x v="69"/>
    <x v="69"/>
    <n v="1"/>
    <s v="-"/>
    <n v="1"/>
    <n v="1"/>
    <x v="16"/>
    <n v="0"/>
    <n v="1"/>
    <n v="0"/>
    <n v="1"/>
    <n v="0"/>
    <n v="0"/>
    <n v="0"/>
  </r>
  <r>
    <n v="5"/>
    <x v="3"/>
    <x v="951"/>
    <x v="14"/>
    <x v="23"/>
    <x v="16"/>
    <x v="80"/>
    <x v="80"/>
    <n v="1"/>
    <s v="-"/>
    <n v="1"/>
    <n v="1"/>
    <x v="16"/>
    <n v="1"/>
    <n v="0"/>
    <n v="0"/>
    <n v="0"/>
    <n v="0"/>
    <n v="0"/>
    <n v="0"/>
  </r>
  <r>
    <n v="5"/>
    <x v="3"/>
    <x v="952"/>
    <x v="15"/>
    <x v="23"/>
    <x v="16"/>
    <x v="56"/>
    <x v="56"/>
    <n v="1"/>
    <s v="-"/>
    <n v="1"/>
    <n v="1"/>
    <x v="16"/>
    <n v="0"/>
    <n v="1"/>
    <n v="0"/>
    <n v="1"/>
    <n v="0"/>
    <n v="0"/>
    <n v="0"/>
  </r>
  <r>
    <n v="5"/>
    <x v="3"/>
    <x v="953"/>
    <x v="16"/>
    <x v="24"/>
    <x v="16"/>
    <x v="201"/>
    <x v="201"/>
    <n v="20"/>
    <s v="-"/>
    <n v="0"/>
    <n v="0"/>
    <x v="2"/>
    <n v="0"/>
    <n v="0"/>
    <n v="0"/>
    <n v="0"/>
    <n v="0"/>
    <n v="0"/>
    <n v="0"/>
  </r>
  <r>
    <n v="5"/>
    <x v="3"/>
    <x v="953"/>
    <x v="16"/>
    <x v="24"/>
    <x v="16"/>
    <x v="78"/>
    <x v="78"/>
    <n v="18"/>
    <s v="-"/>
    <n v="0"/>
    <n v="0"/>
    <x v="2"/>
    <n v="0"/>
    <n v="0"/>
    <n v="0"/>
    <n v="0"/>
    <n v="0"/>
    <n v="0"/>
    <n v="0"/>
  </r>
  <r>
    <n v="5"/>
    <x v="3"/>
    <x v="953"/>
    <x v="16"/>
    <x v="24"/>
    <x v="16"/>
    <x v="79"/>
    <x v="79"/>
    <n v="10"/>
    <s v="-"/>
    <n v="0"/>
    <n v="0"/>
    <x v="2"/>
    <n v="0"/>
    <n v="0"/>
    <n v="0"/>
    <n v="0"/>
    <n v="0"/>
    <n v="0"/>
    <n v="0"/>
  </r>
  <r>
    <n v="5"/>
    <x v="3"/>
    <x v="954"/>
    <x v="16"/>
    <x v="25"/>
    <x v="16"/>
    <x v="60"/>
    <x v="60"/>
    <n v="1"/>
    <s v="-"/>
    <n v="1"/>
    <n v="1"/>
    <x v="16"/>
    <n v="1"/>
    <n v="0"/>
    <n v="0"/>
    <n v="0"/>
    <n v="0"/>
    <n v="0"/>
    <n v="0"/>
  </r>
  <r>
    <n v="5"/>
    <x v="3"/>
    <x v="955"/>
    <x v="16"/>
    <x v="25"/>
    <x v="15"/>
    <x v="188"/>
    <x v="188"/>
    <n v="40"/>
    <s v="-"/>
    <n v="40"/>
    <n v="40"/>
    <x v="16"/>
    <n v="0"/>
    <n v="40"/>
    <n v="0"/>
    <n v="40"/>
    <n v="0"/>
    <n v="0"/>
    <n v="0"/>
  </r>
  <r>
    <n v="5"/>
    <x v="3"/>
    <x v="955"/>
    <x v="16"/>
    <x v="25"/>
    <x v="15"/>
    <x v="194"/>
    <x v="194"/>
    <n v="5"/>
    <s v="-"/>
    <n v="5"/>
    <n v="5"/>
    <x v="16"/>
    <n v="0"/>
    <n v="5"/>
    <n v="0"/>
    <n v="5"/>
    <n v="0"/>
    <n v="0"/>
    <n v="0"/>
  </r>
  <r>
    <n v="5"/>
    <x v="3"/>
    <x v="955"/>
    <x v="16"/>
    <x v="25"/>
    <x v="15"/>
    <x v="190"/>
    <x v="190"/>
    <n v="8"/>
    <s v="-"/>
    <n v="0"/>
    <n v="0"/>
    <x v="16"/>
    <n v="0"/>
    <n v="0"/>
    <n v="0"/>
    <n v="0"/>
    <n v="0"/>
    <n v="0"/>
    <n v="0"/>
  </r>
  <r>
    <n v="5"/>
    <x v="3"/>
    <x v="955"/>
    <x v="16"/>
    <x v="25"/>
    <x v="15"/>
    <x v="176"/>
    <x v="176"/>
    <n v="4"/>
    <s v="-"/>
    <n v="4"/>
    <n v="4"/>
    <x v="16"/>
    <n v="0"/>
    <n v="4"/>
    <n v="0"/>
    <n v="4"/>
    <n v="0"/>
    <n v="0"/>
    <n v="0"/>
  </r>
  <r>
    <n v="5"/>
    <x v="3"/>
    <x v="955"/>
    <x v="16"/>
    <x v="25"/>
    <x v="15"/>
    <x v="195"/>
    <x v="195"/>
    <n v="30"/>
    <s v="-"/>
    <n v="30"/>
    <n v="30"/>
    <x v="16"/>
    <n v="0"/>
    <n v="30"/>
    <n v="0"/>
    <n v="30"/>
    <n v="0"/>
    <n v="0"/>
    <n v="0"/>
  </r>
  <r>
    <n v="5"/>
    <x v="3"/>
    <x v="956"/>
    <x v="18"/>
    <x v="26"/>
    <x v="7"/>
    <x v="202"/>
    <x v="202"/>
    <n v="330"/>
    <s v="-"/>
    <n v="330"/>
    <n v="330"/>
    <x v="6"/>
    <n v="0"/>
    <n v="330"/>
    <n v="0"/>
    <n v="330"/>
    <n v="0"/>
    <n v="0"/>
    <n v="0"/>
  </r>
  <r>
    <n v="5"/>
    <x v="3"/>
    <x v="957"/>
    <x v="17"/>
    <x v="25"/>
    <x v="16"/>
    <x v="14"/>
    <x v="14"/>
    <n v="1"/>
    <s v="-"/>
    <n v="1"/>
    <n v="1"/>
    <x v="16"/>
    <n v="0"/>
    <n v="1"/>
    <n v="0"/>
    <n v="1"/>
    <n v="0"/>
    <n v="0"/>
    <n v="0"/>
  </r>
  <r>
    <n v="5"/>
    <x v="3"/>
    <x v="958"/>
    <x v="17"/>
    <x v="25"/>
    <x v="16"/>
    <x v="69"/>
    <x v="69"/>
    <n v="1"/>
    <s v="-"/>
    <n v="1"/>
    <n v="1"/>
    <x v="16"/>
    <n v="0"/>
    <n v="1"/>
    <n v="0"/>
    <n v="1"/>
    <n v="0"/>
    <n v="0"/>
    <n v="0"/>
  </r>
  <r>
    <n v="6"/>
    <x v="4"/>
    <x v="959"/>
    <x v="13"/>
    <x v="18"/>
    <x v="0"/>
    <x v="2"/>
    <x v="2"/>
    <n v="2"/>
    <s v="0"/>
    <n v="2"/>
    <n v="2"/>
    <x v="3"/>
    <n v="0"/>
    <n v="2"/>
    <n v="0"/>
    <n v="2"/>
    <n v="0"/>
    <n v="0"/>
    <n v="0"/>
  </r>
  <r>
    <n v="6"/>
    <x v="4"/>
    <x v="959"/>
    <x v="13"/>
    <x v="18"/>
    <x v="0"/>
    <x v="45"/>
    <x v="45"/>
    <n v="3"/>
    <s v="0"/>
    <n v="3"/>
    <n v="3"/>
    <x v="3"/>
    <n v="0"/>
    <n v="3"/>
    <n v="0"/>
    <n v="3"/>
    <n v="0"/>
    <n v="0"/>
    <n v="0"/>
  </r>
  <r>
    <n v="6"/>
    <x v="4"/>
    <x v="960"/>
    <x v="10"/>
    <x v="18"/>
    <x v="12"/>
    <x v="64"/>
    <x v="64"/>
    <n v="1"/>
    <s v="122488391"/>
    <n v="1"/>
    <n v="1"/>
    <x v="18"/>
    <n v="0"/>
    <n v="1"/>
    <n v="0"/>
    <n v="1"/>
    <n v="0"/>
    <n v="0"/>
    <n v="0"/>
  </r>
  <r>
    <n v="6"/>
    <x v="4"/>
    <x v="961"/>
    <x v="13"/>
    <x v="19"/>
    <x v="18"/>
    <x v="90"/>
    <x v="90"/>
    <n v="1"/>
    <s v="122493286"/>
    <n v="1"/>
    <n v="1"/>
    <x v="18"/>
    <n v="0"/>
    <n v="1"/>
    <n v="0"/>
    <n v="1"/>
    <n v="0"/>
    <n v="0"/>
    <n v="0"/>
  </r>
  <r>
    <n v="6"/>
    <x v="4"/>
    <x v="962"/>
    <x v="13"/>
    <x v="19"/>
    <x v="13"/>
    <x v="203"/>
    <x v="203"/>
    <n v="1"/>
    <s v="122498802"/>
    <n v="1"/>
    <n v="1"/>
    <x v="14"/>
    <n v="0"/>
    <n v="1"/>
    <n v="0"/>
    <n v="1"/>
    <n v="0"/>
    <n v="0"/>
    <n v="0"/>
  </r>
  <r>
    <n v="6"/>
    <x v="4"/>
    <x v="963"/>
    <x v="13"/>
    <x v="19"/>
    <x v="13"/>
    <x v="28"/>
    <x v="28"/>
    <n v="1"/>
    <s v="122502505"/>
    <n v="1"/>
    <n v="1"/>
    <x v="14"/>
    <n v="0"/>
    <n v="1"/>
    <n v="0"/>
    <n v="1"/>
    <n v="0"/>
    <n v="0"/>
    <n v="0"/>
  </r>
  <r>
    <n v="6"/>
    <x v="4"/>
    <x v="964"/>
    <x v="13"/>
    <x v="19"/>
    <x v="5"/>
    <x v="55"/>
    <x v="55"/>
    <n v="1"/>
    <s v="122502464"/>
    <n v="1"/>
    <n v="1"/>
    <x v="14"/>
    <n v="0"/>
    <n v="1"/>
    <n v="0"/>
    <n v="1"/>
    <n v="0"/>
    <n v="0"/>
    <n v="0"/>
  </r>
  <r>
    <n v="6"/>
    <x v="4"/>
    <x v="964"/>
    <x v="13"/>
    <x v="19"/>
    <x v="5"/>
    <x v="101"/>
    <x v="101"/>
    <n v="1"/>
    <s v="122502464"/>
    <n v="1"/>
    <n v="1"/>
    <x v="14"/>
    <n v="0"/>
    <n v="1"/>
    <n v="0"/>
    <n v="1"/>
    <n v="0"/>
    <n v="0"/>
    <n v="0"/>
  </r>
  <r>
    <n v="6"/>
    <x v="4"/>
    <x v="965"/>
    <x v="13"/>
    <x v="19"/>
    <x v="18"/>
    <x v="14"/>
    <x v="14"/>
    <n v="1"/>
    <s v="122512348"/>
    <n v="1"/>
    <n v="1"/>
    <x v="18"/>
    <n v="0"/>
    <n v="1"/>
    <n v="0"/>
    <n v="1"/>
    <n v="0"/>
    <n v="0"/>
    <n v="0"/>
  </r>
  <r>
    <n v="6"/>
    <x v="4"/>
    <x v="966"/>
    <x v="25"/>
    <x v="37"/>
    <x v="2"/>
    <x v="204"/>
    <x v="204"/>
    <n v="1"/>
    <s v="122530758"/>
    <n v="1"/>
    <n v="1"/>
    <x v="3"/>
    <n v="0"/>
    <n v="1"/>
    <n v="0"/>
    <n v="1"/>
    <n v="0"/>
    <n v="0"/>
    <n v="0"/>
  </r>
  <r>
    <n v="6"/>
    <x v="4"/>
    <x v="967"/>
    <x v="25"/>
    <x v="37"/>
    <x v="13"/>
    <x v="90"/>
    <x v="90"/>
    <n v="1"/>
    <s v="122531286"/>
    <n v="1"/>
    <n v="1"/>
    <x v="14"/>
    <n v="0"/>
    <n v="1"/>
    <n v="0"/>
    <n v="1"/>
    <n v="0"/>
    <n v="0"/>
    <n v="0"/>
  </r>
  <r>
    <n v="6"/>
    <x v="4"/>
    <x v="968"/>
    <x v="25"/>
    <x v="37"/>
    <x v="13"/>
    <x v="95"/>
    <x v="95"/>
    <n v="1"/>
    <s v="122536416"/>
    <n v="1"/>
    <n v="1"/>
    <x v="14"/>
    <n v="0"/>
    <n v="1"/>
    <n v="0"/>
    <n v="1"/>
    <n v="0"/>
    <n v="0"/>
    <n v="0"/>
  </r>
  <r>
    <n v="6"/>
    <x v="4"/>
    <x v="969"/>
    <x v="0"/>
    <x v="38"/>
    <x v="1"/>
    <x v="76"/>
    <x v="76"/>
    <n v="1"/>
    <s v="122570611"/>
    <n v="1"/>
    <n v="1"/>
    <x v="1"/>
    <n v="0"/>
    <n v="1"/>
    <n v="0"/>
    <n v="1"/>
    <n v="0"/>
    <n v="0"/>
    <n v="0"/>
  </r>
  <r>
    <n v="6"/>
    <x v="4"/>
    <x v="970"/>
    <x v="0"/>
    <x v="38"/>
    <x v="2"/>
    <x v="151"/>
    <x v="151"/>
    <n v="1"/>
    <s v="122568622"/>
    <n v="1"/>
    <n v="1"/>
    <x v="3"/>
    <n v="0"/>
    <n v="1"/>
    <n v="0"/>
    <n v="1"/>
    <n v="0"/>
    <n v="0"/>
    <n v="0"/>
  </r>
  <r>
    <n v="6"/>
    <x v="4"/>
    <x v="971"/>
    <x v="0"/>
    <x v="38"/>
    <x v="5"/>
    <x v="205"/>
    <x v="205"/>
    <n v="1"/>
    <s v="122573209"/>
    <n v="1"/>
    <n v="1"/>
    <x v="14"/>
    <n v="0"/>
    <n v="1"/>
    <n v="0"/>
    <n v="1"/>
    <n v="0"/>
    <n v="0"/>
    <n v="0"/>
  </r>
  <r>
    <n v="6"/>
    <x v="4"/>
    <x v="972"/>
    <x v="0"/>
    <x v="38"/>
    <x v="5"/>
    <x v="84"/>
    <x v="84"/>
    <n v="1"/>
    <s v="122577365"/>
    <n v="1"/>
    <n v="1"/>
    <x v="14"/>
    <n v="0"/>
    <n v="1"/>
    <n v="0"/>
    <n v="1"/>
    <n v="0"/>
    <n v="0"/>
    <n v="0"/>
  </r>
  <r>
    <n v="6"/>
    <x v="4"/>
    <x v="973"/>
    <x v="0"/>
    <x v="38"/>
    <x v="5"/>
    <x v="28"/>
    <x v="28"/>
    <n v="1"/>
    <s v="122578520"/>
    <n v="1"/>
    <n v="1"/>
    <x v="14"/>
    <n v="0"/>
    <n v="1"/>
    <n v="0"/>
    <n v="1"/>
    <n v="0"/>
    <n v="0"/>
    <n v="0"/>
  </r>
  <r>
    <n v="6"/>
    <x v="4"/>
    <x v="974"/>
    <x v="0"/>
    <x v="0"/>
    <x v="5"/>
    <x v="101"/>
    <x v="101"/>
    <n v="1"/>
    <s v="122586640"/>
    <n v="1"/>
    <n v="1"/>
    <x v="14"/>
    <n v="0"/>
    <n v="1"/>
    <n v="0"/>
    <n v="1"/>
    <n v="0"/>
    <n v="0"/>
    <n v="0"/>
  </r>
  <r>
    <n v="6"/>
    <x v="4"/>
    <x v="975"/>
    <x v="0"/>
    <x v="0"/>
    <x v="5"/>
    <x v="194"/>
    <x v="194"/>
    <n v="1"/>
    <s v="122587054"/>
    <n v="1"/>
    <n v="1"/>
    <x v="14"/>
    <n v="0"/>
    <n v="1"/>
    <n v="0"/>
    <n v="1"/>
    <n v="0"/>
    <n v="0"/>
    <n v="0"/>
  </r>
  <r>
    <n v="6"/>
    <x v="4"/>
    <x v="976"/>
    <x v="0"/>
    <x v="0"/>
    <x v="5"/>
    <x v="92"/>
    <x v="92"/>
    <n v="1"/>
    <s v="122588206"/>
    <n v="1"/>
    <n v="1"/>
    <x v="14"/>
    <n v="0"/>
    <n v="1"/>
    <n v="0"/>
    <n v="1"/>
    <n v="0"/>
    <n v="0"/>
    <n v="0"/>
  </r>
  <r>
    <n v="6"/>
    <x v="4"/>
    <x v="977"/>
    <x v="0"/>
    <x v="0"/>
    <x v="2"/>
    <x v="46"/>
    <x v="46"/>
    <n v="1"/>
    <s v="122589860"/>
    <n v="1"/>
    <n v="1"/>
    <x v="3"/>
    <n v="0"/>
    <n v="1"/>
    <n v="0"/>
    <n v="1"/>
    <n v="0"/>
    <n v="0"/>
    <n v="0"/>
  </r>
  <r>
    <n v="6"/>
    <x v="4"/>
    <x v="978"/>
    <x v="0"/>
    <x v="1"/>
    <x v="5"/>
    <x v="87"/>
    <x v="87"/>
    <n v="1"/>
    <s v="122593934"/>
    <n v="1"/>
    <n v="1"/>
    <x v="14"/>
    <n v="0"/>
    <n v="1"/>
    <n v="0"/>
    <n v="1"/>
    <n v="0"/>
    <n v="0"/>
    <n v="0"/>
  </r>
  <r>
    <n v="6"/>
    <x v="4"/>
    <x v="979"/>
    <x v="0"/>
    <x v="1"/>
    <x v="5"/>
    <x v="64"/>
    <x v="64"/>
    <n v="1"/>
    <s v="122595331"/>
    <n v="1"/>
    <n v="1"/>
    <x v="14"/>
    <n v="0"/>
    <n v="1"/>
    <n v="0"/>
    <n v="1"/>
    <n v="0"/>
    <n v="0"/>
    <n v="0"/>
  </r>
  <r>
    <n v="6"/>
    <x v="4"/>
    <x v="980"/>
    <x v="0"/>
    <x v="1"/>
    <x v="5"/>
    <x v="57"/>
    <x v="57"/>
    <n v="1"/>
    <s v="122595792"/>
    <n v="1"/>
    <n v="1"/>
    <x v="14"/>
    <n v="0"/>
    <n v="1"/>
    <n v="0"/>
    <n v="1"/>
    <n v="0"/>
    <n v="0"/>
    <n v="0"/>
  </r>
  <r>
    <n v="6"/>
    <x v="4"/>
    <x v="981"/>
    <x v="0"/>
    <x v="1"/>
    <x v="5"/>
    <x v="11"/>
    <x v="11"/>
    <n v="1"/>
    <s v="122596184"/>
    <n v="1"/>
    <n v="1"/>
    <x v="14"/>
    <n v="0"/>
    <n v="1"/>
    <n v="0"/>
    <n v="1"/>
    <n v="0"/>
    <n v="0"/>
    <n v="0"/>
  </r>
  <r>
    <n v="6"/>
    <x v="4"/>
    <x v="982"/>
    <x v="0"/>
    <x v="2"/>
    <x v="5"/>
    <x v="124"/>
    <x v="124"/>
    <n v="1"/>
    <s v="122599629"/>
    <n v="1"/>
    <n v="1"/>
    <x v="14"/>
    <n v="0"/>
    <n v="1"/>
    <n v="0"/>
    <n v="1"/>
    <n v="0"/>
    <n v="0"/>
    <n v="0"/>
  </r>
  <r>
    <n v="6"/>
    <x v="4"/>
    <x v="983"/>
    <x v="0"/>
    <x v="2"/>
    <x v="5"/>
    <x v="64"/>
    <x v="64"/>
    <n v="1"/>
    <s v="122600318"/>
    <n v="1"/>
    <n v="1"/>
    <x v="14"/>
    <n v="0"/>
    <n v="1"/>
    <n v="0"/>
    <n v="1"/>
    <n v="0"/>
    <n v="0"/>
    <n v="0"/>
  </r>
  <r>
    <n v="6"/>
    <x v="4"/>
    <x v="984"/>
    <x v="0"/>
    <x v="2"/>
    <x v="5"/>
    <x v="206"/>
    <x v="206"/>
    <n v="1"/>
    <s v="122599011"/>
    <n v="1"/>
    <n v="1"/>
    <x v="14"/>
    <n v="0"/>
    <n v="1"/>
    <n v="0"/>
    <n v="1"/>
    <n v="0"/>
    <n v="0"/>
    <n v="0"/>
  </r>
  <r>
    <n v="6"/>
    <x v="4"/>
    <x v="985"/>
    <x v="1"/>
    <x v="2"/>
    <x v="30"/>
    <x v="37"/>
    <x v="37"/>
    <n v="1"/>
    <s v="0"/>
    <n v="1"/>
    <n v="1"/>
    <x v="1"/>
    <n v="0"/>
    <n v="1"/>
    <n v="0"/>
    <n v="1"/>
    <n v="0"/>
    <n v="0"/>
    <n v="0"/>
  </r>
  <r>
    <n v="6"/>
    <x v="4"/>
    <x v="986"/>
    <x v="1"/>
    <x v="2"/>
    <x v="2"/>
    <x v="90"/>
    <x v="90"/>
    <n v="1"/>
    <s v="122617298"/>
    <n v="1"/>
    <n v="1"/>
    <x v="3"/>
    <n v="0"/>
    <n v="1"/>
    <n v="0"/>
    <n v="1"/>
    <n v="0"/>
    <n v="0"/>
    <n v="0"/>
  </r>
  <r>
    <n v="6"/>
    <x v="4"/>
    <x v="987"/>
    <x v="2"/>
    <x v="3"/>
    <x v="2"/>
    <x v="69"/>
    <x v="69"/>
    <n v="1"/>
    <s v="122622639"/>
    <n v="1"/>
    <n v="1"/>
    <x v="3"/>
    <n v="0"/>
    <n v="1"/>
    <n v="0"/>
    <n v="1"/>
    <n v="0"/>
    <n v="0"/>
    <n v="0"/>
  </r>
  <r>
    <n v="6"/>
    <x v="4"/>
    <x v="988"/>
    <x v="2"/>
    <x v="3"/>
    <x v="2"/>
    <x v="17"/>
    <x v="17"/>
    <n v="1"/>
    <s v="122622195"/>
    <n v="1"/>
    <n v="1"/>
    <x v="3"/>
    <n v="0"/>
    <n v="1"/>
    <n v="0"/>
    <n v="1"/>
    <n v="0"/>
    <n v="0"/>
    <n v="0"/>
  </r>
  <r>
    <n v="6"/>
    <x v="4"/>
    <x v="989"/>
    <x v="2"/>
    <x v="3"/>
    <x v="4"/>
    <x v="93"/>
    <x v="93"/>
    <n v="1"/>
    <s v="122625786"/>
    <n v="1"/>
    <n v="1"/>
    <x v="3"/>
    <n v="0"/>
    <n v="1"/>
    <n v="0"/>
    <n v="1"/>
    <n v="0"/>
    <n v="0"/>
    <n v="0"/>
  </r>
  <r>
    <n v="6"/>
    <x v="4"/>
    <x v="990"/>
    <x v="2"/>
    <x v="3"/>
    <x v="0"/>
    <x v="154"/>
    <x v="154"/>
    <n v="1"/>
    <s v="122633802"/>
    <n v="1"/>
    <n v="1"/>
    <x v="0"/>
    <n v="0"/>
    <n v="1"/>
    <n v="0"/>
    <n v="1"/>
    <n v="0"/>
    <n v="0"/>
    <n v="0"/>
  </r>
  <r>
    <n v="6"/>
    <x v="4"/>
    <x v="991"/>
    <x v="3"/>
    <x v="4"/>
    <x v="25"/>
    <x v="93"/>
    <x v="93"/>
    <n v="1"/>
    <s v="122648168"/>
    <n v="1"/>
    <n v="1"/>
    <x v="0"/>
    <n v="0"/>
    <n v="1"/>
    <n v="0"/>
    <n v="1"/>
    <n v="0"/>
    <n v="0"/>
    <n v="0"/>
  </r>
  <r>
    <n v="6"/>
    <x v="4"/>
    <x v="992"/>
    <x v="3"/>
    <x v="4"/>
    <x v="25"/>
    <x v="39"/>
    <x v="39"/>
    <n v="1"/>
    <s v="122648701"/>
    <n v="1"/>
    <n v="1"/>
    <x v="0"/>
    <n v="0"/>
    <n v="1"/>
    <n v="0"/>
    <n v="1"/>
    <n v="0"/>
    <n v="0"/>
    <n v="0"/>
  </r>
  <r>
    <n v="6"/>
    <x v="4"/>
    <x v="993"/>
    <x v="3"/>
    <x v="4"/>
    <x v="3"/>
    <x v="114"/>
    <x v="114"/>
    <n v="1"/>
    <s v="122653353"/>
    <n v="1"/>
    <n v="1"/>
    <x v="1"/>
    <n v="0"/>
    <n v="1"/>
    <n v="0"/>
    <n v="1"/>
    <n v="0"/>
    <n v="0"/>
    <n v="0"/>
  </r>
  <r>
    <n v="6"/>
    <x v="4"/>
    <x v="994"/>
    <x v="3"/>
    <x v="4"/>
    <x v="25"/>
    <x v="75"/>
    <x v="75"/>
    <n v="1"/>
    <s v="122654816"/>
    <n v="1"/>
    <n v="1"/>
    <x v="0"/>
    <n v="0"/>
    <n v="1"/>
    <n v="0"/>
    <n v="1"/>
    <n v="0"/>
    <n v="0"/>
    <n v="0"/>
  </r>
  <r>
    <n v="6"/>
    <x v="4"/>
    <x v="995"/>
    <x v="4"/>
    <x v="39"/>
    <x v="1"/>
    <x v="58"/>
    <x v="58"/>
    <n v="1"/>
    <s v="122751573"/>
    <n v="1"/>
    <n v="1"/>
    <x v="1"/>
    <n v="0"/>
    <n v="1"/>
    <n v="0"/>
    <n v="1"/>
    <n v="0"/>
    <n v="0"/>
    <n v="0"/>
  </r>
  <r>
    <n v="6"/>
    <x v="4"/>
    <x v="996"/>
    <x v="4"/>
    <x v="39"/>
    <x v="0"/>
    <x v="80"/>
    <x v="80"/>
    <n v="1"/>
    <s v="122661785"/>
    <n v="1"/>
    <n v="1"/>
    <x v="0"/>
    <n v="0"/>
    <n v="1"/>
    <n v="0"/>
    <n v="1"/>
    <n v="0"/>
    <n v="0"/>
    <n v="0"/>
  </r>
  <r>
    <n v="6"/>
    <x v="4"/>
    <x v="997"/>
    <x v="4"/>
    <x v="39"/>
    <x v="3"/>
    <x v="152"/>
    <x v="152"/>
    <n v="1"/>
    <s v="122755659"/>
    <n v="1"/>
    <n v="1"/>
    <x v="1"/>
    <n v="0"/>
    <n v="1"/>
    <n v="0"/>
    <n v="1"/>
    <n v="0"/>
    <n v="0"/>
    <n v="0"/>
  </r>
  <r>
    <n v="6"/>
    <x v="4"/>
    <x v="998"/>
    <x v="4"/>
    <x v="39"/>
    <x v="25"/>
    <x v="154"/>
    <x v="154"/>
    <n v="1"/>
    <s v="122761548"/>
    <n v="1"/>
    <n v="1"/>
    <x v="0"/>
    <n v="0"/>
    <n v="1"/>
    <n v="0"/>
    <n v="1"/>
    <n v="0"/>
    <n v="0"/>
    <n v="0"/>
  </r>
  <r>
    <n v="6"/>
    <x v="4"/>
    <x v="999"/>
    <x v="4"/>
    <x v="39"/>
    <x v="25"/>
    <x v="4"/>
    <x v="4"/>
    <n v="1"/>
    <s v="122762535"/>
    <n v="1"/>
    <n v="1"/>
    <x v="0"/>
    <n v="0"/>
    <n v="1"/>
    <n v="0"/>
    <n v="1"/>
    <n v="0"/>
    <n v="0"/>
    <n v="0"/>
  </r>
  <r>
    <n v="6"/>
    <x v="4"/>
    <x v="1000"/>
    <x v="4"/>
    <x v="20"/>
    <x v="3"/>
    <x v="73"/>
    <x v="73"/>
    <n v="1"/>
    <s v="122762996"/>
    <n v="1"/>
    <n v="1"/>
    <x v="1"/>
    <n v="0"/>
    <n v="1"/>
    <n v="0"/>
    <n v="1"/>
    <n v="0"/>
    <n v="0"/>
    <n v="0"/>
  </r>
  <r>
    <n v="6"/>
    <x v="4"/>
    <x v="1001"/>
    <x v="15"/>
    <x v="20"/>
    <x v="1"/>
    <x v="44"/>
    <x v="44"/>
    <n v="1"/>
    <s v="122769425"/>
    <n v="1"/>
    <n v="1"/>
    <x v="1"/>
    <n v="0"/>
    <n v="1"/>
    <n v="0"/>
    <n v="1"/>
    <n v="0"/>
    <n v="0"/>
    <n v="0"/>
  </r>
  <r>
    <n v="6"/>
    <x v="4"/>
    <x v="1002"/>
    <x v="15"/>
    <x v="20"/>
    <x v="3"/>
    <x v="137"/>
    <x v="137"/>
    <n v="1"/>
    <s v="122769345"/>
    <n v="1"/>
    <n v="1"/>
    <x v="1"/>
    <n v="0"/>
    <n v="1"/>
    <n v="0"/>
    <n v="1"/>
    <n v="0"/>
    <n v="0"/>
    <n v="0"/>
  </r>
  <r>
    <n v="6"/>
    <x v="4"/>
    <x v="1003"/>
    <x v="15"/>
    <x v="20"/>
    <x v="26"/>
    <x v="5"/>
    <x v="5"/>
    <n v="1"/>
    <s v="122769660"/>
    <n v="1"/>
    <n v="1"/>
    <x v="10"/>
    <n v="0"/>
    <n v="1"/>
    <n v="0"/>
    <n v="1"/>
    <n v="0"/>
    <n v="0"/>
    <n v="0"/>
  </r>
  <r>
    <n v="6"/>
    <x v="4"/>
    <x v="1004"/>
    <x v="15"/>
    <x v="20"/>
    <x v="3"/>
    <x v="142"/>
    <x v="142"/>
    <n v="1"/>
    <s v="122774551"/>
    <n v="1"/>
    <n v="1"/>
    <x v="1"/>
    <n v="0"/>
    <n v="1"/>
    <n v="0"/>
    <n v="1"/>
    <n v="0"/>
    <n v="0"/>
    <n v="0"/>
  </r>
  <r>
    <n v="6"/>
    <x v="4"/>
    <x v="1005"/>
    <x v="15"/>
    <x v="20"/>
    <x v="1"/>
    <x v="57"/>
    <x v="57"/>
    <n v="1"/>
    <s v="122775686"/>
    <n v="1"/>
    <n v="1"/>
    <x v="1"/>
    <n v="0"/>
    <n v="1"/>
    <n v="0"/>
    <n v="1"/>
    <n v="0"/>
    <n v="0"/>
    <n v="0"/>
  </r>
  <r>
    <n v="6"/>
    <x v="4"/>
    <x v="1006"/>
    <x v="15"/>
    <x v="21"/>
    <x v="26"/>
    <x v="93"/>
    <x v="93"/>
    <n v="1"/>
    <s v="122784608"/>
    <n v="1"/>
    <n v="1"/>
    <x v="10"/>
    <n v="0"/>
    <n v="1"/>
    <n v="0"/>
    <n v="1"/>
    <n v="0"/>
    <n v="0"/>
    <n v="0"/>
  </r>
  <r>
    <n v="6"/>
    <x v="4"/>
    <x v="1007"/>
    <x v="15"/>
    <x v="21"/>
    <x v="26"/>
    <x v="57"/>
    <x v="57"/>
    <n v="1"/>
    <s v="122786648"/>
    <n v="1"/>
    <n v="1"/>
    <x v="10"/>
    <n v="0"/>
    <n v="1"/>
    <n v="0"/>
    <n v="1"/>
    <n v="0"/>
    <n v="0"/>
    <n v="0"/>
  </r>
  <r>
    <n v="6"/>
    <x v="4"/>
    <x v="1008"/>
    <x v="15"/>
    <x v="21"/>
    <x v="1"/>
    <x v="94"/>
    <x v="94"/>
    <n v="1"/>
    <s v="122789366"/>
    <n v="1"/>
    <n v="1"/>
    <x v="1"/>
    <n v="0"/>
    <n v="1"/>
    <n v="0"/>
    <n v="1"/>
    <n v="0"/>
    <n v="0"/>
    <n v="0"/>
  </r>
  <r>
    <n v="6"/>
    <x v="4"/>
    <x v="1009"/>
    <x v="15"/>
    <x v="22"/>
    <x v="1"/>
    <x v="5"/>
    <x v="5"/>
    <n v="1"/>
    <s v="122792600"/>
    <n v="1"/>
    <n v="1"/>
    <x v="1"/>
    <n v="0"/>
    <n v="1"/>
    <n v="0"/>
    <n v="1"/>
    <n v="0"/>
    <n v="0"/>
    <n v="0"/>
  </r>
  <r>
    <n v="6"/>
    <x v="4"/>
    <x v="1010"/>
    <x v="15"/>
    <x v="22"/>
    <x v="1"/>
    <x v="90"/>
    <x v="90"/>
    <n v="1"/>
    <s v="122793003"/>
    <n v="1"/>
    <n v="1"/>
    <x v="1"/>
    <n v="0"/>
    <n v="1"/>
    <n v="0"/>
    <n v="1"/>
    <n v="0"/>
    <n v="0"/>
    <n v="0"/>
  </r>
  <r>
    <n v="6"/>
    <x v="4"/>
    <x v="1011"/>
    <x v="15"/>
    <x v="22"/>
    <x v="1"/>
    <x v="55"/>
    <x v="55"/>
    <n v="1"/>
    <s v="122795642"/>
    <n v="1"/>
    <n v="1"/>
    <x v="1"/>
    <n v="0"/>
    <n v="1"/>
    <n v="0"/>
    <n v="1"/>
    <n v="0"/>
    <n v="0"/>
    <n v="0"/>
  </r>
  <r>
    <n v="6"/>
    <x v="4"/>
    <x v="1012"/>
    <x v="15"/>
    <x v="22"/>
    <x v="1"/>
    <x v="69"/>
    <x v="69"/>
    <n v="1"/>
    <s v="122796123"/>
    <n v="1"/>
    <n v="1"/>
    <x v="1"/>
    <n v="0"/>
    <n v="1"/>
    <n v="0"/>
    <n v="1"/>
    <n v="0"/>
    <n v="0"/>
    <n v="0"/>
  </r>
  <r>
    <n v="6"/>
    <x v="4"/>
    <x v="1013"/>
    <x v="15"/>
    <x v="22"/>
    <x v="1"/>
    <x v="69"/>
    <x v="69"/>
    <n v="1"/>
    <s v="122797018"/>
    <n v="1"/>
    <n v="1"/>
    <x v="1"/>
    <n v="0"/>
    <n v="1"/>
    <n v="0"/>
    <n v="1"/>
    <n v="0"/>
    <n v="0"/>
    <n v="0"/>
  </r>
  <r>
    <n v="6"/>
    <x v="4"/>
    <x v="1014"/>
    <x v="15"/>
    <x v="23"/>
    <x v="26"/>
    <x v="84"/>
    <x v="84"/>
    <n v="1"/>
    <s v="122881463"/>
    <n v="1"/>
    <n v="1"/>
    <x v="10"/>
    <n v="0"/>
    <n v="1"/>
    <n v="0"/>
    <n v="1"/>
    <n v="0"/>
    <n v="0"/>
    <n v="0"/>
  </r>
  <r>
    <n v="6"/>
    <x v="4"/>
    <x v="1015"/>
    <x v="16"/>
    <x v="23"/>
    <x v="16"/>
    <x v="2"/>
    <x v="2"/>
    <n v="2"/>
    <s v="0"/>
    <n v="0"/>
    <n v="0"/>
    <x v="17"/>
    <n v="0"/>
    <n v="0"/>
    <n v="0"/>
    <n v="0"/>
    <n v="0"/>
    <n v="0"/>
    <n v="0"/>
  </r>
  <r>
    <n v="6"/>
    <x v="4"/>
    <x v="1015"/>
    <x v="16"/>
    <x v="23"/>
    <x v="16"/>
    <x v="45"/>
    <x v="45"/>
    <n v="3"/>
    <s v="0"/>
    <n v="3"/>
    <n v="3"/>
    <x v="17"/>
    <n v="0"/>
    <n v="3"/>
    <n v="0"/>
    <n v="3"/>
    <n v="0"/>
    <n v="0"/>
    <n v="0"/>
  </r>
  <r>
    <n v="6"/>
    <x v="4"/>
    <x v="1016"/>
    <x v="15"/>
    <x v="23"/>
    <x v="26"/>
    <x v="28"/>
    <x v="28"/>
    <n v="1"/>
    <s v="122890157"/>
    <n v="1"/>
    <n v="1"/>
    <x v="10"/>
    <n v="0"/>
    <n v="1"/>
    <n v="0"/>
    <n v="1"/>
    <n v="0"/>
    <n v="0"/>
    <n v="0"/>
  </r>
  <r>
    <n v="6"/>
    <x v="4"/>
    <x v="1017"/>
    <x v="15"/>
    <x v="23"/>
    <x v="26"/>
    <x v="73"/>
    <x v="73"/>
    <n v="1"/>
    <s v="122899441"/>
    <n v="1"/>
    <n v="1"/>
    <x v="10"/>
    <n v="0"/>
    <n v="1"/>
    <n v="0"/>
    <n v="1"/>
    <n v="0"/>
    <n v="0"/>
    <n v="0"/>
  </r>
  <r>
    <n v="6"/>
    <x v="4"/>
    <x v="1018"/>
    <x v="16"/>
    <x v="24"/>
    <x v="26"/>
    <x v="69"/>
    <x v="69"/>
    <n v="1"/>
    <s v="122909583"/>
    <n v="1"/>
    <n v="1"/>
    <x v="10"/>
    <n v="0"/>
    <n v="1"/>
    <n v="0"/>
    <n v="1"/>
    <n v="0"/>
    <n v="0"/>
    <n v="0"/>
  </r>
  <r>
    <n v="6"/>
    <x v="4"/>
    <x v="1018"/>
    <x v="16"/>
    <x v="24"/>
    <x v="26"/>
    <x v="28"/>
    <x v="28"/>
    <n v="1"/>
    <s v="122909583"/>
    <n v="1"/>
    <n v="1"/>
    <x v="10"/>
    <n v="0"/>
    <n v="1"/>
    <n v="0"/>
    <n v="1"/>
    <n v="0"/>
    <n v="0"/>
    <n v="0"/>
  </r>
  <r>
    <n v="6"/>
    <x v="4"/>
    <x v="1019"/>
    <x v="16"/>
    <x v="24"/>
    <x v="26"/>
    <x v="87"/>
    <x v="87"/>
    <n v="1"/>
    <s v="122915491"/>
    <n v="1"/>
    <n v="1"/>
    <x v="10"/>
    <n v="0"/>
    <n v="1"/>
    <n v="0"/>
    <n v="1"/>
    <n v="0"/>
    <n v="0"/>
    <n v="0"/>
  </r>
  <r>
    <n v="6"/>
    <x v="4"/>
    <x v="1020"/>
    <x v="16"/>
    <x v="24"/>
    <x v="26"/>
    <x v="87"/>
    <x v="87"/>
    <n v="1"/>
    <s v="122915689"/>
    <n v="1"/>
    <n v="1"/>
    <x v="10"/>
    <n v="0"/>
    <n v="1"/>
    <n v="0"/>
    <n v="1"/>
    <n v="0"/>
    <n v="0"/>
    <n v="0"/>
  </r>
  <r>
    <n v="6"/>
    <x v="4"/>
    <x v="1021"/>
    <x v="16"/>
    <x v="24"/>
    <x v="7"/>
    <x v="205"/>
    <x v="205"/>
    <n v="1"/>
    <s v="122918871"/>
    <n v="1"/>
    <n v="1"/>
    <x v="7"/>
    <n v="0"/>
    <n v="1"/>
    <n v="0"/>
    <n v="1"/>
    <n v="0"/>
    <n v="0"/>
    <n v="0"/>
  </r>
  <r>
    <n v="6"/>
    <x v="4"/>
    <x v="1022"/>
    <x v="17"/>
    <x v="26"/>
    <x v="16"/>
    <x v="16"/>
    <x v="16"/>
    <n v="1"/>
    <s v="122949200"/>
    <n v="1"/>
    <n v="2"/>
    <x v="7"/>
    <n v="1"/>
    <n v="1"/>
    <n v="1"/>
    <n v="1"/>
    <n v="0"/>
    <n v="0"/>
    <n v="0"/>
  </r>
  <r>
    <n v="6"/>
    <x v="4"/>
    <x v="1023"/>
    <x v="17"/>
    <x v="26"/>
    <x v="16"/>
    <x v="30"/>
    <x v="30"/>
    <n v="1"/>
    <s v="122950656"/>
    <n v="1"/>
    <n v="1"/>
    <x v="17"/>
    <n v="0"/>
    <n v="1"/>
    <n v="0"/>
    <n v="1"/>
    <n v="0"/>
    <n v="0"/>
    <n v="0"/>
  </r>
  <r>
    <n v="6"/>
    <x v="4"/>
    <x v="1024"/>
    <x v="18"/>
    <x v="26"/>
    <x v="17"/>
    <x v="26"/>
    <x v="26"/>
    <n v="1"/>
    <s v="122956122"/>
    <n v="1"/>
    <n v="1"/>
    <x v="17"/>
    <n v="0"/>
    <n v="1"/>
    <n v="0"/>
    <n v="1"/>
    <n v="0"/>
    <n v="0"/>
    <n v="0"/>
  </r>
  <r>
    <n v="6"/>
    <x v="4"/>
    <x v="1025"/>
    <x v="18"/>
    <x v="26"/>
    <x v="17"/>
    <x v="93"/>
    <x v="93"/>
    <n v="1"/>
    <s v="122958708"/>
    <n v="1"/>
    <n v="1"/>
    <x v="17"/>
    <n v="0"/>
    <n v="1"/>
    <n v="0"/>
    <n v="1"/>
    <n v="0"/>
    <n v="0"/>
    <n v="0"/>
  </r>
  <r>
    <n v="6"/>
    <x v="4"/>
    <x v="1026"/>
    <x v="18"/>
    <x v="26"/>
    <x v="16"/>
    <x v="137"/>
    <x v="137"/>
    <n v="1"/>
    <s v="122958467"/>
    <n v="1"/>
    <n v="1"/>
    <x v="17"/>
    <n v="0"/>
    <n v="1"/>
    <n v="0"/>
    <n v="1"/>
    <n v="0"/>
    <n v="0"/>
    <n v="0"/>
  </r>
  <r>
    <n v="6"/>
    <x v="4"/>
    <x v="1027"/>
    <x v="18"/>
    <x v="26"/>
    <x v="17"/>
    <x v="141"/>
    <x v="141"/>
    <n v="1"/>
    <s v="122959214"/>
    <n v="1"/>
    <n v="1"/>
    <x v="17"/>
    <n v="0"/>
    <n v="1"/>
    <n v="0"/>
    <n v="1"/>
    <n v="0"/>
    <n v="0"/>
    <n v="0"/>
  </r>
  <r>
    <n v="6"/>
    <x v="4"/>
    <x v="1028"/>
    <x v="18"/>
    <x v="26"/>
    <x v="17"/>
    <x v="154"/>
    <x v="154"/>
    <n v="1"/>
    <s v="122958648"/>
    <n v="1"/>
    <n v="1"/>
    <x v="17"/>
    <n v="0"/>
    <n v="1"/>
    <n v="0"/>
    <n v="1"/>
    <n v="0"/>
    <n v="0"/>
    <n v="0"/>
  </r>
  <r>
    <n v="6"/>
    <x v="4"/>
    <x v="1029"/>
    <x v="18"/>
    <x v="26"/>
    <x v="16"/>
    <x v="69"/>
    <x v="69"/>
    <n v="1"/>
    <s v="122962134"/>
    <n v="1"/>
    <n v="1"/>
    <x v="17"/>
    <n v="0"/>
    <n v="1"/>
    <n v="0"/>
    <n v="1"/>
    <n v="0"/>
    <n v="0"/>
    <n v="0"/>
  </r>
  <r>
    <n v="6"/>
    <x v="4"/>
    <x v="1030"/>
    <x v="18"/>
    <x v="26"/>
    <x v="16"/>
    <x v="98"/>
    <x v="98"/>
    <n v="1"/>
    <s v="122962014"/>
    <n v="1"/>
    <n v="1"/>
    <x v="17"/>
    <n v="0"/>
    <n v="1"/>
    <n v="0"/>
    <n v="1"/>
    <n v="0"/>
    <n v="0"/>
    <n v="0"/>
  </r>
  <r>
    <n v="6"/>
    <x v="4"/>
    <x v="1031"/>
    <x v="18"/>
    <x v="26"/>
    <x v="16"/>
    <x v="36"/>
    <x v="36"/>
    <n v="1"/>
    <s v="122962913"/>
    <n v="1"/>
    <n v="1"/>
    <x v="17"/>
    <n v="0"/>
    <n v="1"/>
    <n v="0"/>
    <n v="1"/>
    <n v="0"/>
    <n v="0"/>
    <n v="0"/>
  </r>
  <r>
    <n v="6"/>
    <x v="4"/>
    <x v="1032"/>
    <x v="18"/>
    <x v="26"/>
    <x v="16"/>
    <x v="60"/>
    <x v="60"/>
    <n v="1"/>
    <s v="122965424"/>
    <n v="1"/>
    <n v="1"/>
    <x v="17"/>
    <n v="0"/>
    <n v="1"/>
    <n v="0"/>
    <n v="1"/>
    <n v="0"/>
    <n v="0"/>
    <n v="0"/>
  </r>
  <r>
    <n v="6"/>
    <x v="4"/>
    <x v="1033"/>
    <x v="18"/>
    <x v="27"/>
    <x v="16"/>
    <x v="76"/>
    <x v="76"/>
    <n v="1"/>
    <s v="122966836"/>
    <n v="1"/>
    <n v="1"/>
    <x v="17"/>
    <n v="0"/>
    <n v="1"/>
    <n v="0"/>
    <n v="1"/>
    <n v="0"/>
    <n v="0"/>
    <n v="0"/>
  </r>
  <r>
    <n v="6"/>
    <x v="4"/>
    <x v="1034"/>
    <x v="6"/>
    <x v="27"/>
    <x v="6"/>
    <x v="80"/>
    <x v="80"/>
    <n v="1"/>
    <s v="122966536"/>
    <n v="1"/>
    <n v="1"/>
    <x v="7"/>
    <n v="0"/>
    <n v="1"/>
    <n v="0"/>
    <n v="1"/>
    <n v="0"/>
    <n v="0"/>
    <n v="0"/>
  </r>
  <r>
    <n v="6"/>
    <x v="4"/>
    <x v="1035"/>
    <x v="6"/>
    <x v="27"/>
    <x v="7"/>
    <x v="60"/>
    <x v="60"/>
    <n v="1"/>
    <s v="123056019"/>
    <n v="1"/>
    <n v="1"/>
    <x v="7"/>
    <n v="0"/>
    <n v="1"/>
    <n v="0"/>
    <n v="1"/>
    <n v="0"/>
    <n v="0"/>
    <n v="0"/>
  </r>
  <r>
    <n v="6"/>
    <x v="4"/>
    <x v="1036"/>
    <x v="6"/>
    <x v="27"/>
    <x v="17"/>
    <x v="73"/>
    <x v="73"/>
    <n v="1"/>
    <s v="123062041"/>
    <n v="1"/>
    <n v="1"/>
    <x v="17"/>
    <n v="0"/>
    <n v="1"/>
    <n v="0"/>
    <n v="1"/>
    <n v="0"/>
    <n v="0"/>
    <n v="0"/>
  </r>
  <r>
    <n v="6"/>
    <x v="4"/>
    <x v="1037"/>
    <x v="6"/>
    <x v="27"/>
    <x v="17"/>
    <x v="148"/>
    <x v="148"/>
    <n v="1"/>
    <s v="123063195"/>
    <n v="1"/>
    <n v="1"/>
    <x v="17"/>
    <n v="0"/>
    <n v="1"/>
    <n v="0"/>
    <n v="1"/>
    <n v="0"/>
    <n v="0"/>
    <n v="0"/>
  </r>
  <r>
    <n v="6"/>
    <x v="4"/>
    <x v="1038"/>
    <x v="6"/>
    <x v="27"/>
    <x v="17"/>
    <x v="207"/>
    <x v="207"/>
    <n v="2"/>
    <s v="123063201"/>
    <n v="2"/>
    <n v="2"/>
    <x v="17"/>
    <n v="0"/>
    <n v="2"/>
    <n v="0"/>
    <n v="2"/>
    <n v="0"/>
    <n v="0"/>
    <n v="0"/>
  </r>
  <r>
    <n v="6"/>
    <x v="4"/>
    <x v="1039"/>
    <x v="6"/>
    <x v="5"/>
    <x v="17"/>
    <x v="57"/>
    <x v="57"/>
    <n v="1"/>
    <s v="123066736"/>
    <n v="1"/>
    <n v="1"/>
    <x v="17"/>
    <n v="0"/>
    <n v="1"/>
    <n v="0"/>
    <n v="1"/>
    <n v="0"/>
    <n v="0"/>
    <n v="0"/>
  </r>
  <r>
    <n v="6"/>
    <x v="4"/>
    <x v="1040"/>
    <x v="6"/>
    <x v="5"/>
    <x v="17"/>
    <x v="60"/>
    <x v="60"/>
    <n v="1"/>
    <s v="20180915000500620298"/>
    <n v="1"/>
    <n v="1"/>
    <x v="17"/>
    <n v="0"/>
    <n v="1"/>
    <n v="0"/>
    <n v="1"/>
    <n v="0"/>
    <n v="0"/>
    <n v="0"/>
  </r>
  <r>
    <n v="6"/>
    <x v="4"/>
    <x v="1041"/>
    <x v="6"/>
    <x v="6"/>
    <x v="17"/>
    <x v="179"/>
    <x v="179"/>
    <n v="1"/>
    <s v="123074549"/>
    <n v="0"/>
    <n v="0"/>
    <x v="2"/>
    <n v="0"/>
    <n v="0"/>
    <n v="0"/>
    <n v="0"/>
    <n v="0"/>
    <n v="0"/>
    <n v="0"/>
  </r>
  <r>
    <n v="6"/>
    <x v="4"/>
    <x v="1042"/>
    <x v="6"/>
    <x v="7"/>
    <x v="17"/>
    <x v="64"/>
    <x v="64"/>
    <n v="1"/>
    <s v="123076125"/>
    <n v="1"/>
    <n v="1"/>
    <x v="17"/>
    <n v="0"/>
    <n v="1"/>
    <n v="0"/>
    <n v="1"/>
    <n v="0"/>
    <n v="0"/>
    <n v="0"/>
  </r>
  <r>
    <n v="6"/>
    <x v="4"/>
    <x v="1043"/>
    <x v="6"/>
    <x v="9"/>
    <x v="6"/>
    <x v="57"/>
    <x v="57"/>
    <n v="1"/>
    <s v="123084918"/>
    <n v="1"/>
    <n v="1"/>
    <x v="7"/>
    <n v="0"/>
    <n v="1"/>
    <n v="0"/>
    <n v="1"/>
    <n v="0"/>
    <n v="0"/>
    <n v="0"/>
  </r>
  <r>
    <n v="6"/>
    <x v="4"/>
    <x v="1044"/>
    <x v="6"/>
    <x v="9"/>
    <x v="17"/>
    <x v="93"/>
    <x v="93"/>
    <n v="1"/>
    <s v="123087049"/>
    <n v="1"/>
    <n v="1"/>
    <x v="17"/>
    <n v="0"/>
    <n v="1"/>
    <n v="0"/>
    <n v="1"/>
    <n v="0"/>
    <n v="0"/>
    <n v="0"/>
  </r>
  <r>
    <n v="6"/>
    <x v="4"/>
    <x v="1045"/>
    <x v="6"/>
    <x v="9"/>
    <x v="17"/>
    <x v="64"/>
    <x v="64"/>
    <n v="1"/>
    <s v="123087455"/>
    <n v="1"/>
    <n v="1"/>
    <x v="17"/>
    <n v="0"/>
    <n v="1"/>
    <n v="0"/>
    <n v="1"/>
    <n v="0"/>
    <n v="0"/>
    <n v="0"/>
  </r>
  <r>
    <n v="6"/>
    <x v="4"/>
    <x v="1046"/>
    <x v="6"/>
    <x v="10"/>
    <x v="7"/>
    <x v="204"/>
    <x v="204"/>
    <n v="1"/>
    <s v="123058364"/>
    <n v="1"/>
    <n v="0"/>
    <x v="2"/>
    <n v="0"/>
    <n v="0"/>
    <n v="0"/>
    <n v="0"/>
    <n v="0"/>
    <n v="0"/>
    <n v="0"/>
  </r>
  <r>
    <n v="6"/>
    <x v="4"/>
    <x v="1047"/>
    <x v="7"/>
    <x v="10"/>
    <x v="7"/>
    <x v="58"/>
    <x v="58"/>
    <n v="1"/>
    <s v="123090279"/>
    <n v="1"/>
    <n v="1"/>
    <x v="7"/>
    <n v="0"/>
    <n v="1"/>
    <n v="0"/>
    <n v="1"/>
    <n v="0"/>
    <n v="0"/>
    <n v="0"/>
  </r>
  <r>
    <n v="6"/>
    <x v="4"/>
    <x v="1048"/>
    <x v="7"/>
    <x v="10"/>
    <x v="6"/>
    <x v="69"/>
    <x v="69"/>
    <n v="1"/>
    <s v="123094490"/>
    <n v="1"/>
    <n v="1"/>
    <x v="7"/>
    <n v="0"/>
    <n v="1"/>
    <n v="0"/>
    <n v="1"/>
    <n v="0"/>
    <n v="0"/>
    <n v="0"/>
  </r>
  <r>
    <n v="6"/>
    <x v="4"/>
    <x v="1049"/>
    <x v="7"/>
    <x v="10"/>
    <x v="7"/>
    <x v="148"/>
    <x v="148"/>
    <n v="1"/>
    <s v="123100018"/>
    <n v="1"/>
    <n v="1"/>
    <x v="7"/>
    <n v="0"/>
    <n v="1"/>
    <n v="0"/>
    <n v="1"/>
    <n v="0"/>
    <n v="0"/>
    <n v="0"/>
  </r>
  <r>
    <n v="6"/>
    <x v="4"/>
    <x v="1050"/>
    <x v="7"/>
    <x v="10"/>
    <x v="6"/>
    <x v="76"/>
    <x v="76"/>
    <n v="1"/>
    <s v="123101816"/>
    <n v="1"/>
    <n v="1"/>
    <x v="7"/>
    <n v="0"/>
    <n v="1"/>
    <n v="0"/>
    <n v="1"/>
    <n v="0"/>
    <n v="0"/>
    <n v="0"/>
  </r>
  <r>
    <n v="6"/>
    <x v="4"/>
    <x v="1051"/>
    <x v="7"/>
    <x v="10"/>
    <x v="7"/>
    <x v="13"/>
    <x v="13"/>
    <n v="1"/>
    <s v="123105049"/>
    <n v="1"/>
    <n v="1"/>
    <x v="7"/>
    <n v="0"/>
    <n v="1"/>
    <n v="0"/>
    <n v="1"/>
    <n v="0"/>
    <n v="0"/>
    <n v="0"/>
  </r>
  <r>
    <n v="6"/>
    <x v="4"/>
    <x v="1052"/>
    <x v="7"/>
    <x v="10"/>
    <x v="7"/>
    <x v="152"/>
    <x v="152"/>
    <n v="1"/>
    <s v="123105328"/>
    <n v="1"/>
    <n v="1"/>
    <x v="7"/>
    <n v="0"/>
    <n v="1"/>
    <n v="0"/>
    <n v="1"/>
    <n v="0"/>
    <n v="0"/>
    <n v="0"/>
  </r>
  <r>
    <n v="6"/>
    <x v="4"/>
    <x v="1053"/>
    <x v="7"/>
    <x v="10"/>
    <x v="7"/>
    <x v="152"/>
    <x v="152"/>
    <n v="1"/>
    <s v="123106276"/>
    <n v="1"/>
    <n v="1"/>
    <x v="7"/>
    <n v="0"/>
    <n v="1"/>
    <n v="0"/>
    <n v="1"/>
    <n v="0"/>
    <n v="0"/>
    <n v="0"/>
  </r>
  <r>
    <n v="6"/>
    <x v="4"/>
    <x v="1054"/>
    <x v="7"/>
    <x v="10"/>
    <x v="7"/>
    <x v="115"/>
    <x v="115"/>
    <n v="1"/>
    <s v="123107467"/>
    <n v="1"/>
    <n v="1"/>
    <x v="7"/>
    <n v="0"/>
    <n v="1"/>
    <n v="0"/>
    <n v="1"/>
    <n v="0"/>
    <n v="0"/>
    <n v="0"/>
  </r>
  <r>
    <n v="9"/>
    <x v="7"/>
    <x v="1055"/>
    <x v="14"/>
    <x v="20"/>
    <x v="3"/>
    <x v="110"/>
    <x v="110"/>
    <n v="1"/>
    <s v="0390050000702005960101"/>
    <n v="1"/>
    <n v="1"/>
    <x v="15"/>
    <n v="0"/>
    <n v="1"/>
    <n v="0"/>
    <n v="1"/>
    <n v="0"/>
    <n v="0"/>
    <n v="0"/>
  </r>
  <r>
    <n v="9"/>
    <x v="7"/>
    <x v="1056"/>
    <x v="14"/>
    <x v="20"/>
    <x v="3"/>
    <x v="2"/>
    <x v="2"/>
    <n v="1"/>
    <s v="0390050000702078270101"/>
    <n v="1"/>
    <n v="1"/>
    <x v="15"/>
    <n v="0"/>
    <n v="1"/>
    <n v="0"/>
    <n v="1"/>
    <n v="0"/>
    <n v="0"/>
    <n v="0"/>
  </r>
  <r>
    <n v="9"/>
    <x v="7"/>
    <x v="1056"/>
    <x v="14"/>
    <x v="20"/>
    <x v="16"/>
    <x v="54"/>
    <x v="54"/>
    <n v="1"/>
    <s v="0390050000701925710101"/>
    <n v="1"/>
    <n v="1"/>
    <x v="17"/>
    <n v="0"/>
    <n v="1"/>
    <n v="0"/>
    <n v="1"/>
    <n v="0"/>
    <n v="0"/>
    <n v="0"/>
  </r>
  <r>
    <n v="9"/>
    <x v="7"/>
    <x v="1056"/>
    <x v="14"/>
    <x v="20"/>
    <x v="4"/>
    <x v="55"/>
    <x v="55"/>
    <n v="1"/>
    <s v="0390050000702072320101"/>
    <n v="1"/>
    <n v="1"/>
    <x v="28"/>
    <n v="0"/>
    <n v="1"/>
    <n v="0"/>
    <n v="1"/>
    <n v="0"/>
    <n v="0"/>
    <n v="0"/>
  </r>
  <r>
    <n v="9"/>
    <x v="7"/>
    <x v="1057"/>
    <x v="14"/>
    <x v="20"/>
    <x v="15"/>
    <x v="74"/>
    <x v="74"/>
    <n v="1"/>
    <s v="0390050000702056550101"/>
    <n v="1"/>
    <n v="1"/>
    <x v="15"/>
    <n v="0"/>
    <n v="1"/>
    <n v="0"/>
    <n v="1"/>
    <n v="0"/>
    <n v="0"/>
    <n v="0"/>
  </r>
  <r>
    <n v="9"/>
    <x v="7"/>
    <x v="1057"/>
    <x v="15"/>
    <x v="20"/>
    <x v="15"/>
    <x v="1"/>
    <x v="1"/>
    <n v="1"/>
    <s v="0780651809074107009217"/>
    <n v="1"/>
    <n v="1"/>
    <x v="15"/>
    <n v="0"/>
    <n v="1"/>
    <n v="0"/>
    <n v="1"/>
    <n v="0"/>
    <n v="0"/>
    <n v="0"/>
  </r>
  <r>
    <n v="9"/>
    <x v="7"/>
    <x v="1057"/>
    <x v="14"/>
    <x v="20"/>
    <x v="3"/>
    <x v="82"/>
    <x v="82"/>
    <n v="1"/>
    <s v="0390050000702055740101"/>
    <n v="1"/>
    <n v="1"/>
    <x v="15"/>
    <n v="0"/>
    <n v="1"/>
    <n v="0"/>
    <n v="1"/>
    <n v="0"/>
    <n v="0"/>
    <n v="0"/>
  </r>
  <r>
    <n v="9"/>
    <x v="7"/>
    <x v="1057"/>
    <x v="14"/>
    <x v="20"/>
    <x v="4"/>
    <x v="154"/>
    <x v="154"/>
    <n v="1"/>
    <s v="0390050000702087190101"/>
    <n v="1"/>
    <n v="1"/>
    <x v="28"/>
    <n v="0"/>
    <n v="1"/>
    <n v="0"/>
    <n v="1"/>
    <n v="0"/>
    <n v="0"/>
    <n v="0"/>
  </r>
  <r>
    <n v="9"/>
    <x v="7"/>
    <x v="1058"/>
    <x v="14"/>
    <x v="20"/>
    <x v="4"/>
    <x v="30"/>
    <x v="30"/>
    <n v="1"/>
    <s v="0390050000702102400101"/>
    <n v="1"/>
    <n v="1"/>
    <x v="28"/>
    <n v="0"/>
    <n v="1"/>
    <n v="0"/>
    <n v="1"/>
    <n v="0"/>
    <n v="0"/>
    <n v="0"/>
  </r>
  <r>
    <n v="9"/>
    <x v="7"/>
    <x v="1059"/>
    <x v="14"/>
    <x v="21"/>
    <x v="3"/>
    <x v="17"/>
    <x v="17"/>
    <n v="1"/>
    <s v="0390050000702185600101"/>
    <n v="1"/>
    <n v="1"/>
    <x v="15"/>
    <n v="0"/>
    <n v="1"/>
    <n v="0"/>
    <n v="1"/>
    <n v="0"/>
    <n v="0"/>
    <n v="0"/>
  </r>
  <r>
    <n v="9"/>
    <x v="7"/>
    <x v="1059"/>
    <x v="14"/>
    <x v="20"/>
    <x v="3"/>
    <x v="2"/>
    <x v="2"/>
    <n v="1"/>
    <s v="0260591809074883008943"/>
    <n v="1"/>
    <n v="1"/>
    <x v="15"/>
    <n v="0"/>
    <n v="1"/>
    <n v="0"/>
    <n v="1"/>
    <n v="0"/>
    <n v="0"/>
    <n v="0"/>
  </r>
  <r>
    <n v="9"/>
    <x v="7"/>
    <x v="1059"/>
    <x v="14"/>
    <x v="21"/>
    <x v="25"/>
    <x v="90"/>
    <x v="90"/>
    <n v="1"/>
    <s v="0390050000702228150101"/>
    <n v="1"/>
    <n v="1"/>
    <x v="28"/>
    <n v="0"/>
    <n v="1"/>
    <n v="0"/>
    <n v="1"/>
    <n v="0"/>
    <n v="0"/>
    <n v="0"/>
  </r>
  <r>
    <n v="9"/>
    <x v="7"/>
    <x v="1059"/>
    <x v="14"/>
    <x v="21"/>
    <x v="25"/>
    <x v="34"/>
    <x v="34"/>
    <n v="1"/>
    <s v="0390050000702186340101"/>
    <n v="1"/>
    <n v="1"/>
    <x v="28"/>
    <n v="0"/>
    <n v="1"/>
    <n v="0"/>
    <n v="1"/>
    <n v="0"/>
    <n v="0"/>
    <n v="0"/>
  </r>
  <r>
    <n v="9"/>
    <x v="7"/>
    <x v="1059"/>
    <x v="14"/>
    <x v="21"/>
    <x v="15"/>
    <x v="39"/>
    <x v="39"/>
    <n v="1"/>
    <s v="0390050000702261530101"/>
    <n v="1"/>
    <n v="1"/>
    <x v="15"/>
    <n v="0"/>
    <n v="1"/>
    <n v="0"/>
    <n v="1"/>
    <n v="0"/>
    <n v="0"/>
    <n v="0"/>
  </r>
  <r>
    <n v="9"/>
    <x v="7"/>
    <x v="1060"/>
    <x v="14"/>
    <x v="21"/>
    <x v="25"/>
    <x v="58"/>
    <x v="58"/>
    <n v="1"/>
    <s v="0390050000702163120101"/>
    <n v="1"/>
    <n v="1"/>
    <x v="28"/>
    <n v="0"/>
    <n v="1"/>
    <n v="0"/>
    <n v="1"/>
    <n v="0"/>
    <n v="0"/>
    <n v="0"/>
  </r>
  <r>
    <n v="9"/>
    <x v="7"/>
    <x v="1061"/>
    <x v="14"/>
    <x v="21"/>
    <x v="3"/>
    <x v="2"/>
    <x v="2"/>
    <n v="1"/>
    <s v="0250041809087975007636"/>
    <n v="1"/>
    <n v="1"/>
    <x v="15"/>
    <n v="0"/>
    <n v="1"/>
    <n v="0"/>
    <n v="1"/>
    <n v="0"/>
    <n v="0"/>
    <n v="0"/>
  </r>
  <r>
    <n v="9"/>
    <x v="7"/>
    <x v="1061"/>
    <x v="14"/>
    <x v="21"/>
    <x v="3"/>
    <x v="2"/>
    <x v="2"/>
    <n v="1"/>
    <s v="0390050000702452600102"/>
    <n v="1"/>
    <n v="1"/>
    <x v="15"/>
    <n v="0"/>
    <n v="1"/>
    <n v="0"/>
    <n v="1"/>
    <n v="0"/>
    <n v="0"/>
    <n v="0"/>
  </r>
  <r>
    <n v="9"/>
    <x v="7"/>
    <x v="1061"/>
    <x v="14"/>
    <x v="21"/>
    <x v="3"/>
    <x v="110"/>
    <x v="110"/>
    <n v="1"/>
    <s v="0390050000702461770101"/>
    <n v="1"/>
    <n v="1"/>
    <x v="15"/>
    <n v="0"/>
    <n v="1"/>
    <n v="0"/>
    <n v="1"/>
    <n v="0"/>
    <n v="0"/>
    <n v="0"/>
  </r>
  <r>
    <n v="9"/>
    <x v="7"/>
    <x v="1062"/>
    <x v="14"/>
    <x v="21"/>
    <x v="3"/>
    <x v="14"/>
    <x v="14"/>
    <n v="1"/>
    <s v="0390050000702520460101"/>
    <n v="1"/>
    <n v="1"/>
    <x v="15"/>
    <n v="0"/>
    <n v="1"/>
    <n v="0"/>
    <n v="1"/>
    <n v="0"/>
    <n v="0"/>
    <n v="0"/>
  </r>
  <r>
    <n v="9"/>
    <x v="7"/>
    <x v="1062"/>
    <x v="14"/>
    <x v="21"/>
    <x v="3"/>
    <x v="2"/>
    <x v="2"/>
    <n v="1"/>
    <s v="0260591809084899008949"/>
    <n v="1"/>
    <n v="1"/>
    <x v="15"/>
    <n v="0"/>
    <n v="1"/>
    <n v="0"/>
    <n v="1"/>
    <n v="0"/>
    <n v="0"/>
    <n v="0"/>
  </r>
  <r>
    <n v="9"/>
    <x v="7"/>
    <x v="1063"/>
    <x v="14"/>
    <x v="21"/>
    <x v="3"/>
    <x v="114"/>
    <x v="114"/>
    <n v="1"/>
    <s v="0390050000702570430101"/>
    <n v="1"/>
    <n v="1"/>
    <x v="15"/>
    <n v="0"/>
    <n v="1"/>
    <n v="0"/>
    <n v="1"/>
    <n v="0"/>
    <n v="0"/>
    <n v="0"/>
  </r>
  <r>
    <n v="9"/>
    <x v="7"/>
    <x v="1064"/>
    <x v="14"/>
    <x v="21"/>
    <x v="3"/>
    <x v="87"/>
    <x v="87"/>
    <n v="1"/>
    <s v="0390050000702604870101"/>
    <n v="1"/>
    <n v="1"/>
    <x v="15"/>
    <n v="0"/>
    <n v="1"/>
    <n v="0"/>
    <n v="1"/>
    <n v="0"/>
    <n v="0"/>
    <n v="0"/>
  </r>
  <r>
    <n v="9"/>
    <x v="7"/>
    <x v="1065"/>
    <x v="14"/>
    <x v="21"/>
    <x v="3"/>
    <x v="114"/>
    <x v="114"/>
    <n v="1"/>
    <s v="0390050000702628870101"/>
    <n v="1"/>
    <n v="1"/>
    <x v="15"/>
    <n v="0"/>
    <n v="1"/>
    <n v="0"/>
    <n v="1"/>
    <n v="0"/>
    <n v="0"/>
    <n v="0"/>
  </r>
  <r>
    <n v="9"/>
    <x v="7"/>
    <x v="1066"/>
    <x v="14"/>
    <x v="21"/>
    <x v="3"/>
    <x v="203"/>
    <x v="203"/>
    <n v="1"/>
    <s v="0390050000702686580101"/>
    <n v="1"/>
    <n v="1"/>
    <x v="15"/>
    <n v="0"/>
    <n v="1"/>
    <n v="0"/>
    <n v="1"/>
    <n v="0"/>
    <n v="0"/>
    <n v="0"/>
  </r>
  <r>
    <n v="9"/>
    <x v="7"/>
    <x v="1067"/>
    <x v="14"/>
    <x v="22"/>
    <x v="16"/>
    <x v="60"/>
    <x v="60"/>
    <n v="1"/>
    <s v="0390050000702886070101"/>
    <n v="1"/>
    <n v="1"/>
    <x v="17"/>
    <n v="0"/>
    <n v="1"/>
    <n v="0"/>
    <n v="1"/>
    <n v="0"/>
    <n v="0"/>
    <n v="0"/>
  </r>
  <r>
    <n v="9"/>
    <x v="7"/>
    <x v="1068"/>
    <x v="14"/>
    <x v="22"/>
    <x v="15"/>
    <x v="11"/>
    <x v="11"/>
    <n v="1"/>
    <s v="0390050000702810250102"/>
    <n v="1"/>
    <n v="1"/>
    <x v="15"/>
    <n v="0"/>
    <n v="1"/>
    <n v="0"/>
    <n v="1"/>
    <n v="0"/>
    <n v="0"/>
    <n v="0"/>
  </r>
  <r>
    <n v="9"/>
    <x v="7"/>
    <x v="1069"/>
    <x v="14"/>
    <x v="22"/>
    <x v="16"/>
    <x v="114"/>
    <x v="114"/>
    <n v="1"/>
    <s v="0390050000703017610101"/>
    <n v="1"/>
    <n v="1"/>
    <x v="17"/>
    <n v="0"/>
    <n v="1"/>
    <n v="0"/>
    <n v="1"/>
    <n v="0"/>
    <n v="0"/>
    <n v="0"/>
  </r>
  <r>
    <n v="9"/>
    <x v="7"/>
    <x v="1069"/>
    <x v="14"/>
    <x v="22"/>
    <x v="25"/>
    <x v="146"/>
    <x v="146"/>
    <n v="1"/>
    <s v="0390050000703046810101"/>
    <n v="1"/>
    <n v="1"/>
    <x v="28"/>
    <n v="0"/>
    <n v="1"/>
    <n v="0"/>
    <n v="1"/>
    <n v="0"/>
    <n v="0"/>
    <n v="0"/>
  </r>
  <r>
    <n v="9"/>
    <x v="7"/>
    <x v="1070"/>
    <x v="14"/>
    <x v="22"/>
    <x v="16"/>
    <x v="60"/>
    <x v="60"/>
    <n v="1"/>
    <s v="0390050000702883430101"/>
    <n v="1"/>
    <n v="1"/>
    <x v="17"/>
    <n v="0"/>
    <n v="1"/>
    <n v="0"/>
    <n v="1"/>
    <n v="0"/>
    <n v="0"/>
    <n v="0"/>
  </r>
  <r>
    <n v="9"/>
    <x v="7"/>
    <x v="1071"/>
    <x v="14"/>
    <x v="22"/>
    <x v="7"/>
    <x v="46"/>
    <x v="46"/>
    <n v="1"/>
    <s v="0190451809093512011957"/>
    <n v="1"/>
    <n v="1"/>
    <x v="7"/>
    <n v="0"/>
    <n v="1"/>
    <n v="0"/>
    <n v="1"/>
    <n v="0"/>
    <n v="0"/>
    <n v="0"/>
  </r>
  <r>
    <n v="9"/>
    <x v="7"/>
    <x v="1071"/>
    <x v="14"/>
    <x v="22"/>
    <x v="25"/>
    <x v="152"/>
    <x v="152"/>
    <n v="1"/>
    <s v="0390050000703112350101"/>
    <n v="1"/>
    <n v="1"/>
    <x v="28"/>
    <n v="0"/>
    <n v="1"/>
    <n v="0"/>
    <n v="1"/>
    <n v="0"/>
    <n v="0"/>
    <n v="0"/>
  </r>
  <r>
    <n v="9"/>
    <x v="7"/>
    <x v="1072"/>
    <x v="14"/>
    <x v="22"/>
    <x v="15"/>
    <x v="97"/>
    <x v="97"/>
    <n v="1"/>
    <s v="0390050000698484240102"/>
    <n v="1"/>
    <n v="1"/>
    <x v="15"/>
    <n v="0"/>
    <n v="1"/>
    <n v="0"/>
    <n v="1"/>
    <n v="0"/>
    <n v="0"/>
    <n v="0"/>
  </r>
  <r>
    <n v="9"/>
    <x v="7"/>
    <x v="1073"/>
    <x v="14"/>
    <x v="22"/>
    <x v="16"/>
    <x v="4"/>
    <x v="4"/>
    <n v="1"/>
    <s v="0390050000703173390102"/>
    <n v="1"/>
    <n v="1"/>
    <x v="17"/>
    <n v="0"/>
    <n v="1"/>
    <n v="0"/>
    <n v="1"/>
    <n v="0"/>
    <n v="0"/>
    <n v="0"/>
  </r>
  <r>
    <n v="9"/>
    <x v="7"/>
    <x v="1073"/>
    <x v="14"/>
    <x v="22"/>
    <x v="15"/>
    <x v="28"/>
    <x v="28"/>
    <n v="1"/>
    <s v="0390050000703199340101"/>
    <n v="1"/>
    <n v="1"/>
    <x v="15"/>
    <n v="0"/>
    <n v="1"/>
    <n v="0"/>
    <n v="1"/>
    <n v="0"/>
    <n v="0"/>
    <n v="0"/>
  </r>
  <r>
    <n v="9"/>
    <x v="7"/>
    <x v="1073"/>
    <x v="14"/>
    <x v="22"/>
    <x v="15"/>
    <x v="166"/>
    <x v="166"/>
    <n v="1"/>
    <s v="0390050000703173780104"/>
    <n v="1"/>
    <n v="1"/>
    <x v="15"/>
    <n v="0"/>
    <n v="1"/>
    <n v="0"/>
    <n v="1"/>
    <n v="0"/>
    <n v="0"/>
    <n v="0"/>
  </r>
  <r>
    <n v="9"/>
    <x v="7"/>
    <x v="1073"/>
    <x v="14"/>
    <x v="22"/>
    <x v="3"/>
    <x v="92"/>
    <x v="92"/>
    <n v="1"/>
    <s v="0390050000703214060101"/>
    <n v="1"/>
    <n v="1"/>
    <x v="15"/>
    <n v="0"/>
    <n v="1"/>
    <n v="0"/>
    <n v="1"/>
    <n v="0"/>
    <n v="0"/>
    <n v="0"/>
  </r>
  <r>
    <n v="9"/>
    <x v="7"/>
    <x v="1074"/>
    <x v="14"/>
    <x v="22"/>
    <x v="15"/>
    <x v="32"/>
    <x v="32"/>
    <n v="1"/>
    <s v="0390050000703213670101"/>
    <n v="1"/>
    <n v="1"/>
    <x v="15"/>
    <n v="0"/>
    <n v="1"/>
    <n v="0"/>
    <n v="1"/>
    <n v="0"/>
    <n v="0"/>
    <n v="0"/>
  </r>
  <r>
    <n v="9"/>
    <x v="7"/>
    <x v="1075"/>
    <x v="14"/>
    <x v="23"/>
    <x v="15"/>
    <x v="114"/>
    <x v="114"/>
    <n v="1"/>
    <s v="0390050000703114750101"/>
    <n v="1"/>
    <n v="1"/>
    <x v="15"/>
    <n v="0"/>
    <n v="1"/>
    <n v="0"/>
    <n v="1"/>
    <n v="0"/>
    <n v="0"/>
    <n v="0"/>
  </r>
  <r>
    <n v="9"/>
    <x v="7"/>
    <x v="1075"/>
    <x v="14"/>
    <x v="23"/>
    <x v="15"/>
    <x v="2"/>
    <x v="2"/>
    <n v="1"/>
    <s v="0390050000703424070101"/>
    <n v="1"/>
    <n v="1"/>
    <x v="15"/>
    <n v="0"/>
    <n v="1"/>
    <n v="0"/>
    <n v="1"/>
    <n v="0"/>
    <n v="0"/>
    <n v="0"/>
  </r>
  <r>
    <n v="9"/>
    <x v="7"/>
    <x v="1075"/>
    <x v="14"/>
    <x v="22"/>
    <x v="25"/>
    <x v="154"/>
    <x v="154"/>
    <n v="1"/>
    <s v="0390050000703260980101"/>
    <n v="1"/>
    <n v="1"/>
    <x v="28"/>
    <n v="0"/>
    <n v="1"/>
    <n v="0"/>
    <n v="1"/>
    <n v="0"/>
    <n v="0"/>
    <n v="0"/>
  </r>
  <r>
    <n v="9"/>
    <x v="7"/>
    <x v="1075"/>
    <x v="14"/>
    <x v="22"/>
    <x v="25"/>
    <x v="152"/>
    <x v="152"/>
    <n v="2"/>
    <s v="0390050000703121550101"/>
    <n v="2"/>
    <n v="2"/>
    <x v="28"/>
    <n v="0"/>
    <n v="2"/>
    <n v="0"/>
    <n v="2"/>
    <n v="0"/>
    <n v="0"/>
    <n v="0"/>
  </r>
  <r>
    <n v="9"/>
    <x v="7"/>
    <x v="1076"/>
    <x v="15"/>
    <x v="23"/>
    <x v="15"/>
    <x v="82"/>
    <x v="82"/>
    <n v="1"/>
    <s v="0390050000703577310102"/>
    <n v="1"/>
    <n v="1"/>
    <x v="15"/>
    <n v="0"/>
    <n v="1"/>
    <n v="0"/>
    <n v="1"/>
    <n v="0"/>
    <n v="0"/>
    <n v="0"/>
  </r>
  <r>
    <n v="9"/>
    <x v="7"/>
    <x v="392"/>
    <x v="15"/>
    <x v="23"/>
    <x v="15"/>
    <x v="2"/>
    <x v="2"/>
    <n v="1"/>
    <s v="0390050000703642670101"/>
    <n v="1"/>
    <n v="1"/>
    <x v="15"/>
    <n v="0"/>
    <n v="1"/>
    <n v="0"/>
    <n v="1"/>
    <n v="0"/>
    <n v="0"/>
    <n v="0"/>
  </r>
  <r>
    <n v="8"/>
    <x v="6"/>
    <x v="225"/>
    <x v="0"/>
    <x v="37"/>
    <x v="5"/>
    <x v="90"/>
    <x v="90"/>
    <n v="22"/>
    <s v="0040000654787"/>
    <n v="22"/>
    <n v="22"/>
    <x v="14"/>
    <n v="0"/>
    <n v="22"/>
    <n v="0"/>
    <n v="22"/>
    <n v="0"/>
    <n v="0"/>
    <n v="0"/>
  </r>
  <r>
    <n v="8"/>
    <x v="6"/>
    <x v="1077"/>
    <x v="1"/>
    <x v="2"/>
    <x v="4"/>
    <x v="45"/>
    <x v="45"/>
    <n v="41"/>
    <s v="0040000628494"/>
    <n v="41"/>
    <n v="41"/>
    <x v="4"/>
    <n v="0"/>
    <n v="41"/>
    <n v="0"/>
    <n v="41"/>
    <n v="0"/>
    <n v="0"/>
    <n v="0"/>
  </r>
  <r>
    <n v="8"/>
    <x v="6"/>
    <x v="1078"/>
    <x v="1"/>
    <x v="2"/>
    <x v="4"/>
    <x v="108"/>
    <x v="108"/>
    <n v="13"/>
    <s v="0040000622890"/>
    <n v="13"/>
    <n v="13"/>
    <x v="4"/>
    <n v="0"/>
    <n v="13"/>
    <n v="0"/>
    <n v="13"/>
    <n v="0"/>
    <n v="0"/>
    <n v="0"/>
  </r>
  <r>
    <n v="8"/>
    <x v="6"/>
    <x v="1078"/>
    <x v="1"/>
    <x v="2"/>
    <x v="4"/>
    <x v="106"/>
    <x v="106"/>
    <n v="2"/>
    <s v="0040000622892"/>
    <n v="2"/>
    <n v="2"/>
    <x v="4"/>
    <n v="0"/>
    <n v="2"/>
    <n v="0"/>
    <n v="2"/>
    <n v="0"/>
    <n v="0"/>
    <n v="0"/>
  </r>
  <r>
    <n v="8"/>
    <x v="6"/>
    <x v="1078"/>
    <x v="1"/>
    <x v="2"/>
    <x v="4"/>
    <x v="90"/>
    <x v="90"/>
    <n v="16"/>
    <s v="0040000654787"/>
    <n v="16"/>
    <n v="16"/>
    <x v="4"/>
    <n v="0"/>
    <n v="16"/>
    <n v="0"/>
    <n v="16"/>
    <n v="0"/>
    <n v="0"/>
    <n v="0"/>
  </r>
  <r>
    <n v="8"/>
    <x v="6"/>
    <x v="1079"/>
    <x v="14"/>
    <x v="39"/>
    <x v="3"/>
    <x v="59"/>
    <x v="59"/>
    <n v="59"/>
    <s v="0040000547734"/>
    <n v="59"/>
    <n v="59"/>
    <x v="15"/>
    <n v="0"/>
    <n v="59"/>
    <n v="0"/>
    <n v="59"/>
    <n v="0"/>
    <n v="0"/>
    <n v="0"/>
  </r>
  <r>
    <n v="8"/>
    <x v="6"/>
    <x v="1079"/>
    <x v="14"/>
    <x v="39"/>
    <x v="3"/>
    <x v="107"/>
    <x v="107"/>
    <n v="56"/>
    <s v="0040000590001"/>
    <n v="56"/>
    <n v="56"/>
    <x v="15"/>
    <n v="0"/>
    <n v="56"/>
    <n v="0"/>
    <n v="56"/>
    <n v="0"/>
    <n v="0"/>
    <n v="0"/>
  </r>
  <r>
    <n v="8"/>
    <x v="6"/>
    <x v="1079"/>
    <x v="14"/>
    <x v="39"/>
    <x v="3"/>
    <x v="108"/>
    <x v="108"/>
    <n v="103"/>
    <s v="0040000622890"/>
    <n v="103"/>
    <n v="103"/>
    <x v="15"/>
    <n v="0"/>
    <n v="103"/>
    <n v="0"/>
    <n v="103"/>
    <n v="0"/>
    <n v="0"/>
    <n v="0"/>
  </r>
  <r>
    <n v="8"/>
    <x v="6"/>
    <x v="1079"/>
    <x v="14"/>
    <x v="39"/>
    <x v="3"/>
    <x v="106"/>
    <x v="106"/>
    <n v="36"/>
    <s v="0040000622892"/>
    <n v="36"/>
    <n v="36"/>
    <x v="15"/>
    <n v="6"/>
    <n v="30"/>
    <n v="0"/>
    <n v="24"/>
    <n v="-6"/>
    <n v="0"/>
    <n v="0"/>
  </r>
  <r>
    <n v="8"/>
    <x v="6"/>
    <x v="1079"/>
    <x v="14"/>
    <x v="39"/>
    <x v="3"/>
    <x v="90"/>
    <x v="90"/>
    <n v="40"/>
    <s v="0040000654787"/>
    <n v="40"/>
    <n v="40"/>
    <x v="15"/>
    <n v="0"/>
    <n v="40"/>
    <n v="0"/>
    <n v="40"/>
    <n v="0"/>
    <n v="0"/>
    <n v="0"/>
  </r>
  <r>
    <n v="8"/>
    <x v="6"/>
    <x v="1080"/>
    <x v="4"/>
    <x v="39"/>
    <x v="1"/>
    <x v="45"/>
    <x v="45"/>
    <n v="65"/>
    <s v="0040000628494"/>
    <n v="65"/>
    <n v="65"/>
    <x v="28"/>
    <n v="0"/>
    <n v="65"/>
    <n v="0"/>
    <n v="65"/>
    <n v="0"/>
    <n v="0"/>
    <n v="0"/>
  </r>
  <r>
    <n v="8"/>
    <x v="6"/>
    <x v="1081"/>
    <x v="15"/>
    <x v="23"/>
    <x v="30"/>
    <x v="107"/>
    <x v="107"/>
    <n v="25"/>
    <s v="0040000590001"/>
    <n v="25"/>
    <n v="25"/>
    <x v="15"/>
    <n v="0"/>
    <n v="25"/>
    <n v="0"/>
    <n v="25"/>
    <n v="0"/>
    <n v="0"/>
    <n v="0"/>
  </r>
  <r>
    <n v="8"/>
    <x v="6"/>
    <x v="1081"/>
    <x v="15"/>
    <x v="23"/>
    <x v="30"/>
    <x v="108"/>
    <x v="108"/>
    <n v="147"/>
    <s v="0040000622890"/>
    <n v="94"/>
    <n v="94"/>
    <x v="15"/>
    <n v="0"/>
    <n v="94"/>
    <n v="0"/>
    <n v="94"/>
    <n v="0"/>
    <n v="0"/>
    <n v="0"/>
  </r>
  <r>
    <n v="8"/>
    <x v="6"/>
    <x v="1081"/>
    <x v="15"/>
    <x v="23"/>
    <x v="30"/>
    <x v="106"/>
    <x v="106"/>
    <n v="2"/>
    <s v="0040000622892"/>
    <n v="2"/>
    <n v="2"/>
    <x v="15"/>
    <n v="2"/>
    <n v="0"/>
    <n v="0"/>
    <n v="0"/>
    <n v="0"/>
    <n v="0"/>
    <n v="0"/>
  </r>
  <r>
    <n v="8"/>
    <x v="6"/>
    <x v="1081"/>
    <x v="15"/>
    <x v="23"/>
    <x v="30"/>
    <x v="90"/>
    <x v="90"/>
    <n v="9"/>
    <s v="0040000654787"/>
    <n v="9"/>
    <n v="9"/>
    <x v="15"/>
    <n v="0"/>
    <n v="9"/>
    <n v="0"/>
    <n v="9"/>
    <n v="0"/>
    <n v="0"/>
    <n v="0"/>
  </r>
  <r>
    <n v="8"/>
    <x v="6"/>
    <x v="1082"/>
    <x v="6"/>
    <x v="26"/>
    <x v="15"/>
    <x v="59"/>
    <x v="59"/>
    <n v="11"/>
    <s v="0040000547734"/>
    <n v="11"/>
    <n v="11"/>
    <x v="16"/>
    <n v="0"/>
    <n v="11"/>
    <n v="0"/>
    <n v="11"/>
    <n v="0"/>
    <n v="0"/>
    <n v="0"/>
  </r>
  <r>
    <n v="8"/>
    <x v="6"/>
    <x v="1082"/>
    <x v="6"/>
    <x v="26"/>
    <x v="15"/>
    <x v="107"/>
    <x v="107"/>
    <n v="13"/>
    <s v="0040000590001"/>
    <n v="13"/>
    <n v="13"/>
    <x v="16"/>
    <n v="0"/>
    <n v="13"/>
    <n v="0"/>
    <n v="13"/>
    <n v="0"/>
    <n v="0"/>
    <n v="0"/>
  </r>
  <r>
    <n v="8"/>
    <x v="6"/>
    <x v="1082"/>
    <x v="6"/>
    <x v="26"/>
    <x v="15"/>
    <x v="108"/>
    <x v="108"/>
    <n v="55"/>
    <s v="0040000622890"/>
    <n v="55"/>
    <n v="55"/>
    <x v="16"/>
    <n v="0"/>
    <n v="55"/>
    <n v="0"/>
    <n v="55"/>
    <n v="0"/>
    <n v="0"/>
    <n v="0"/>
  </r>
  <r>
    <n v="8"/>
    <x v="6"/>
    <x v="1082"/>
    <x v="6"/>
    <x v="26"/>
    <x v="15"/>
    <x v="106"/>
    <x v="106"/>
    <n v="29"/>
    <s v="0040000622892"/>
    <n v="29"/>
    <n v="29"/>
    <x v="16"/>
    <n v="0"/>
    <n v="29"/>
    <n v="0"/>
    <n v="29"/>
    <n v="0"/>
    <n v="0"/>
    <n v="0"/>
  </r>
  <r>
    <n v="8"/>
    <x v="6"/>
    <x v="1082"/>
    <x v="6"/>
    <x v="26"/>
    <x v="15"/>
    <x v="90"/>
    <x v="90"/>
    <n v="11"/>
    <s v="0040000654787"/>
    <n v="11"/>
    <n v="11"/>
    <x v="16"/>
    <n v="0"/>
    <n v="11"/>
    <n v="0"/>
    <n v="11"/>
    <n v="0"/>
    <n v="0"/>
    <n v="0"/>
  </r>
  <r>
    <n v="8"/>
    <x v="6"/>
    <x v="1083"/>
    <x v="6"/>
    <x v="7"/>
    <x v="16"/>
    <x v="45"/>
    <x v="45"/>
    <n v="3"/>
    <s v="0040000628494"/>
    <n v="3"/>
    <n v="3"/>
    <x v="17"/>
    <n v="0"/>
    <n v="3"/>
    <n v="0"/>
    <n v="3"/>
    <n v="0"/>
    <n v="0"/>
    <n v="0"/>
  </r>
  <r>
    <n v="8"/>
    <x v="6"/>
    <x v="1084"/>
    <x v="6"/>
    <x v="7"/>
    <x v="16"/>
    <x v="107"/>
    <x v="107"/>
    <n v="33"/>
    <s v="0040000590001"/>
    <n v="33"/>
    <n v="33"/>
    <x v="17"/>
    <n v="0"/>
    <n v="33"/>
    <n v="0"/>
    <n v="33"/>
    <n v="0"/>
    <n v="0"/>
    <n v="0"/>
  </r>
  <r>
    <n v="8"/>
    <x v="6"/>
    <x v="1084"/>
    <x v="6"/>
    <x v="7"/>
    <x v="16"/>
    <x v="108"/>
    <x v="108"/>
    <n v="41"/>
    <s v="0040000622890"/>
    <n v="41"/>
    <n v="41"/>
    <x v="17"/>
    <n v="0"/>
    <n v="41"/>
    <n v="0"/>
    <n v="41"/>
    <n v="0"/>
    <n v="0"/>
    <n v="0"/>
  </r>
  <r>
    <n v="8"/>
    <x v="6"/>
    <x v="1084"/>
    <x v="6"/>
    <x v="7"/>
    <x v="16"/>
    <x v="106"/>
    <x v="106"/>
    <n v="18"/>
    <s v="0040000622892"/>
    <n v="18"/>
    <n v="18"/>
    <x v="17"/>
    <n v="0"/>
    <n v="18"/>
    <n v="0"/>
    <n v="18"/>
    <n v="0"/>
    <n v="0"/>
    <n v="0"/>
  </r>
  <r>
    <n v="8"/>
    <x v="6"/>
    <x v="1084"/>
    <x v="6"/>
    <x v="7"/>
    <x v="16"/>
    <x v="90"/>
    <x v="90"/>
    <n v="13"/>
    <s v="0040000654787"/>
    <n v="13"/>
    <n v="13"/>
    <x v="17"/>
    <n v="0"/>
    <n v="13"/>
    <n v="0"/>
    <n v="13"/>
    <n v="0"/>
    <n v="0"/>
    <n v="0"/>
  </r>
  <r>
    <n v="8"/>
    <x v="6"/>
    <x v="1085"/>
    <x v="7"/>
    <x v="10"/>
    <x v="6"/>
    <x v="45"/>
    <x v="45"/>
    <n v="25"/>
    <s v="0040000628494"/>
    <n v="25"/>
    <n v="25"/>
    <x v="6"/>
    <n v="0"/>
    <n v="25"/>
    <n v="0"/>
    <n v="25"/>
    <n v="0"/>
    <n v="0"/>
    <n v="0"/>
  </r>
  <r>
    <n v="8"/>
    <x v="6"/>
    <x v="1086"/>
    <x v="8"/>
    <x v="10"/>
    <x v="6"/>
    <x v="107"/>
    <x v="107"/>
    <n v="6"/>
    <s v="0040000590001"/>
    <n v="6"/>
    <n v="6"/>
    <x v="6"/>
    <n v="0"/>
    <n v="6"/>
    <n v="0"/>
    <n v="6"/>
    <n v="0"/>
    <n v="0"/>
    <n v="0"/>
  </r>
  <r>
    <n v="8"/>
    <x v="6"/>
    <x v="1086"/>
    <x v="8"/>
    <x v="10"/>
    <x v="6"/>
    <x v="108"/>
    <x v="108"/>
    <n v="69"/>
    <s v="0040000622890"/>
    <n v="69"/>
    <n v="69"/>
    <x v="6"/>
    <n v="0"/>
    <n v="69"/>
    <n v="0"/>
    <n v="69"/>
    <n v="0"/>
    <n v="0"/>
    <n v="0"/>
  </r>
  <r>
    <n v="8"/>
    <x v="6"/>
    <x v="1086"/>
    <x v="8"/>
    <x v="10"/>
    <x v="6"/>
    <x v="106"/>
    <x v="106"/>
    <n v="12"/>
    <s v="0040000622892"/>
    <n v="12"/>
    <n v="12"/>
    <x v="6"/>
    <n v="0"/>
    <n v="12"/>
    <n v="0"/>
    <n v="12"/>
    <n v="0"/>
    <n v="0"/>
    <n v="0"/>
  </r>
  <r>
    <n v="8"/>
    <x v="6"/>
    <x v="1086"/>
    <x v="8"/>
    <x v="10"/>
    <x v="6"/>
    <x v="90"/>
    <x v="90"/>
    <n v="15"/>
    <s v="0040000654787"/>
    <n v="15"/>
    <n v="15"/>
    <x v="6"/>
    <n v="0"/>
    <n v="15"/>
    <n v="0"/>
    <n v="15"/>
    <n v="0"/>
    <n v="0"/>
    <n v="0"/>
  </r>
  <r>
    <n v="8"/>
    <x v="6"/>
    <x v="1087"/>
    <x v="4"/>
    <x v="39"/>
    <x v="3"/>
    <x v="208"/>
    <x v="208"/>
    <n v="298"/>
    <s v="0040000654786"/>
    <n v="298"/>
    <n v="298"/>
    <x v="1"/>
    <n v="0"/>
    <n v="298"/>
    <n v="0"/>
    <n v="298"/>
    <n v="0"/>
    <n v="0"/>
    <n v="0"/>
  </r>
  <r>
    <n v="8"/>
    <x v="6"/>
    <x v="1088"/>
    <x v="23"/>
    <x v="33"/>
    <x v="19"/>
    <x v="95"/>
    <x v="95"/>
    <n v="1"/>
    <s v="-"/>
    <n v="1"/>
    <n v="1"/>
    <x v="12"/>
    <n v="1"/>
    <n v="0"/>
    <n v="0"/>
    <n v="0"/>
    <n v="0"/>
    <n v="0"/>
    <n v="0"/>
  </r>
  <r>
    <n v="8"/>
    <x v="6"/>
    <x v="1089"/>
    <x v="23"/>
    <x v="33"/>
    <x v="19"/>
    <x v="95"/>
    <x v="95"/>
    <n v="1"/>
    <s v="-"/>
    <n v="1"/>
    <n v="1"/>
    <x v="19"/>
    <n v="0"/>
    <n v="1"/>
    <n v="0"/>
    <n v="1"/>
    <n v="0"/>
    <n v="0"/>
    <n v="0"/>
  </r>
  <r>
    <n v="8"/>
    <x v="6"/>
    <x v="1090"/>
    <x v="23"/>
    <x v="33"/>
    <x v="19"/>
    <x v="57"/>
    <x v="57"/>
    <n v="1"/>
    <s v="-"/>
    <n v="1"/>
    <n v="1"/>
    <x v="19"/>
    <n v="0"/>
    <n v="1"/>
    <n v="0"/>
    <n v="1"/>
    <n v="0"/>
    <n v="0"/>
    <n v="0"/>
  </r>
  <r>
    <n v="8"/>
    <x v="6"/>
    <x v="1090"/>
    <x v="23"/>
    <x v="33"/>
    <x v="19"/>
    <x v="147"/>
    <x v="147"/>
    <n v="1"/>
    <s v="-"/>
    <n v="1"/>
    <n v="1"/>
    <x v="19"/>
    <n v="0"/>
    <n v="1"/>
    <n v="0"/>
    <n v="1"/>
    <n v="0"/>
    <n v="0"/>
    <n v="0"/>
  </r>
  <r>
    <n v="8"/>
    <x v="6"/>
    <x v="1091"/>
    <x v="23"/>
    <x v="33"/>
    <x v="19"/>
    <x v="4"/>
    <x v="4"/>
    <n v="1"/>
    <s v="-"/>
    <n v="1"/>
    <n v="1"/>
    <x v="19"/>
    <n v="0"/>
    <n v="1"/>
    <n v="0"/>
    <n v="1"/>
    <n v="0"/>
    <n v="0"/>
    <n v="0"/>
  </r>
  <r>
    <n v="8"/>
    <x v="6"/>
    <x v="1092"/>
    <x v="23"/>
    <x v="33"/>
    <x v="19"/>
    <x v="57"/>
    <x v="57"/>
    <n v="1"/>
    <s v="-"/>
    <n v="1"/>
    <n v="1"/>
    <x v="19"/>
    <n v="0"/>
    <n v="1"/>
    <n v="0"/>
    <n v="1"/>
    <n v="0"/>
    <n v="0"/>
    <n v="0"/>
  </r>
  <r>
    <n v="8"/>
    <x v="6"/>
    <x v="1093"/>
    <x v="23"/>
    <x v="33"/>
    <x v="19"/>
    <x v="57"/>
    <x v="57"/>
    <n v="1"/>
    <s v="-"/>
    <n v="1"/>
    <n v="1"/>
    <x v="19"/>
    <n v="0"/>
    <n v="1"/>
    <n v="0"/>
    <n v="1"/>
    <n v="0"/>
    <n v="0"/>
    <n v="0"/>
  </r>
  <r>
    <n v="8"/>
    <x v="6"/>
    <x v="1094"/>
    <x v="23"/>
    <x v="33"/>
    <x v="19"/>
    <x v="57"/>
    <x v="57"/>
    <n v="1"/>
    <s v="-"/>
    <n v="1"/>
    <n v="1"/>
    <x v="19"/>
    <n v="0"/>
    <n v="1"/>
    <n v="0"/>
    <n v="1"/>
    <n v="0"/>
    <n v="0"/>
    <n v="0"/>
  </r>
  <r>
    <n v="8"/>
    <x v="6"/>
    <x v="1095"/>
    <x v="23"/>
    <x v="33"/>
    <x v="19"/>
    <x v="209"/>
    <x v="209"/>
    <n v="1"/>
    <s v="-"/>
    <n v="1"/>
    <n v="1"/>
    <x v="19"/>
    <n v="0"/>
    <n v="1"/>
    <n v="0"/>
    <n v="1"/>
    <n v="0"/>
    <n v="0"/>
    <n v="0"/>
  </r>
  <r>
    <n v="8"/>
    <x v="6"/>
    <x v="1096"/>
    <x v="23"/>
    <x v="33"/>
    <x v="19"/>
    <x v="101"/>
    <x v="101"/>
    <n v="1"/>
    <s v="-"/>
    <n v="1"/>
    <n v="1"/>
    <x v="19"/>
    <n v="0"/>
    <n v="1"/>
    <n v="0"/>
    <n v="1"/>
    <n v="0"/>
    <n v="0"/>
    <n v="0"/>
  </r>
  <r>
    <n v="8"/>
    <x v="6"/>
    <x v="1097"/>
    <x v="23"/>
    <x v="33"/>
    <x v="19"/>
    <x v="69"/>
    <x v="69"/>
    <n v="1"/>
    <s v="-"/>
    <n v="1"/>
    <n v="1"/>
    <x v="19"/>
    <n v="0"/>
    <n v="1"/>
    <n v="0"/>
    <n v="1"/>
    <n v="0"/>
    <n v="0"/>
    <n v="0"/>
  </r>
  <r>
    <n v="8"/>
    <x v="6"/>
    <x v="1098"/>
    <x v="23"/>
    <x v="33"/>
    <x v="19"/>
    <x v="101"/>
    <x v="101"/>
    <n v="1"/>
    <s v="-"/>
    <n v="1"/>
    <n v="1"/>
    <x v="19"/>
    <n v="0"/>
    <n v="1"/>
    <n v="0"/>
    <n v="1"/>
    <n v="0"/>
    <n v="0"/>
    <n v="0"/>
  </r>
  <r>
    <n v="8"/>
    <x v="6"/>
    <x v="459"/>
    <x v="11"/>
    <x v="33"/>
    <x v="23"/>
    <x v="97"/>
    <x v="97"/>
    <n v="10"/>
    <s v="40000558226"/>
    <n v="10"/>
    <n v="10"/>
    <x v="12"/>
    <n v="0"/>
    <n v="10"/>
    <n v="0"/>
    <n v="10"/>
    <n v="0"/>
    <n v="0"/>
    <n v="0"/>
  </r>
  <r>
    <n v="8"/>
    <x v="6"/>
    <x v="459"/>
    <x v="11"/>
    <x v="33"/>
    <x v="23"/>
    <x v="71"/>
    <x v="71"/>
    <n v="10"/>
    <s v="40000669040"/>
    <n v="10"/>
    <n v="10"/>
    <x v="12"/>
    <n v="0"/>
    <n v="10"/>
    <n v="0"/>
    <n v="10"/>
    <n v="0"/>
    <n v="0"/>
    <n v="0"/>
  </r>
  <r>
    <n v="8"/>
    <x v="6"/>
    <x v="459"/>
    <x v="11"/>
    <x v="33"/>
    <x v="23"/>
    <x v="55"/>
    <x v="55"/>
    <n v="10"/>
    <s v="40000669041"/>
    <n v="10"/>
    <n v="10"/>
    <x v="12"/>
    <n v="0"/>
    <n v="10"/>
    <n v="0"/>
    <n v="10"/>
    <n v="0"/>
    <n v="0"/>
    <n v="0"/>
  </r>
  <r>
    <n v="8"/>
    <x v="6"/>
    <x v="459"/>
    <x v="11"/>
    <x v="33"/>
    <x v="23"/>
    <x v="161"/>
    <x v="161"/>
    <n v="4"/>
    <s v="40000656351"/>
    <n v="0"/>
    <n v="0"/>
    <x v="12"/>
    <n v="0"/>
    <n v="0"/>
    <n v="0"/>
    <n v="0"/>
    <n v="0"/>
    <n v="0"/>
    <n v="0"/>
  </r>
  <r>
    <n v="8"/>
    <x v="6"/>
    <x v="459"/>
    <x v="11"/>
    <x v="33"/>
    <x v="23"/>
    <x v="29"/>
    <x v="29"/>
    <n v="10"/>
    <s v="40000656358"/>
    <n v="8"/>
    <n v="8"/>
    <x v="12"/>
    <n v="0"/>
    <n v="8"/>
    <n v="0"/>
    <n v="8"/>
    <n v="0"/>
    <n v="0"/>
    <n v="0"/>
  </r>
  <r>
    <n v="8"/>
    <x v="6"/>
    <x v="459"/>
    <x v="11"/>
    <x v="33"/>
    <x v="23"/>
    <x v="103"/>
    <x v="103"/>
    <n v="12"/>
    <s v="40000669427"/>
    <n v="12"/>
    <n v="12"/>
    <x v="12"/>
    <n v="0"/>
    <n v="12"/>
    <n v="0"/>
    <n v="12"/>
    <n v="0"/>
    <n v="0"/>
    <n v="0"/>
  </r>
  <r>
    <n v="1"/>
    <x v="0"/>
    <x v="1099"/>
    <x v="9"/>
    <x v="13"/>
    <x v="20"/>
    <x v="32"/>
    <x v="32"/>
    <n v="1"/>
    <s v="23206860822001"/>
    <n v="1"/>
    <n v="1"/>
    <x v="20"/>
    <n v="0"/>
    <n v="1"/>
    <n v="0"/>
    <n v="1"/>
    <n v="0"/>
    <n v="0"/>
    <n v="0"/>
  </r>
  <r>
    <n v="1"/>
    <x v="0"/>
    <x v="1100"/>
    <x v="26"/>
    <x v="13"/>
    <x v="10"/>
    <x v="210"/>
    <x v="210"/>
    <n v="8"/>
    <s v="2"/>
    <n v="0"/>
    <n v="0"/>
    <x v="2"/>
    <n v="0"/>
    <n v="0"/>
    <n v="0"/>
    <n v="0"/>
    <n v="0"/>
    <n v="0"/>
    <n v="0"/>
  </r>
  <r>
    <n v="1"/>
    <x v="0"/>
    <x v="1100"/>
    <x v="26"/>
    <x v="13"/>
    <x v="10"/>
    <x v="12"/>
    <x v="12"/>
    <n v="8"/>
    <s v="1"/>
    <n v="0"/>
    <n v="0"/>
    <x v="2"/>
    <n v="0"/>
    <n v="0"/>
    <n v="0"/>
    <n v="0"/>
    <n v="0"/>
    <n v="0"/>
    <n v="0"/>
  </r>
  <r>
    <n v="1"/>
    <x v="0"/>
    <x v="1101"/>
    <x v="19"/>
    <x v="29"/>
    <x v="19"/>
    <x v="144"/>
    <x v="144"/>
    <n v="1"/>
    <s v="23206890792001"/>
    <n v="1"/>
    <n v="1"/>
    <x v="19"/>
    <n v="0"/>
    <n v="1"/>
    <n v="0"/>
    <n v="1"/>
    <n v="0"/>
    <n v="0"/>
    <n v="0"/>
  </r>
  <r>
    <n v="1"/>
    <x v="0"/>
    <x v="1102"/>
    <x v="20"/>
    <x v="30"/>
    <x v="20"/>
    <x v="26"/>
    <x v="26"/>
    <n v="1"/>
    <s v="27206897198001"/>
    <n v="1"/>
    <n v="1"/>
    <x v="20"/>
    <n v="0"/>
    <n v="1"/>
    <n v="0"/>
    <n v="1"/>
    <n v="0"/>
    <n v="0"/>
    <n v="0"/>
  </r>
  <r>
    <n v="1"/>
    <x v="0"/>
    <x v="1103"/>
    <x v="20"/>
    <x v="30"/>
    <x v="20"/>
    <x v="82"/>
    <x v="82"/>
    <n v="1"/>
    <s v="27206900674001"/>
    <n v="1"/>
    <n v="1"/>
    <x v="20"/>
    <n v="0"/>
    <n v="1"/>
    <n v="0"/>
    <n v="1"/>
    <n v="0"/>
    <n v="0"/>
    <n v="0"/>
  </r>
  <r>
    <n v="1"/>
    <x v="0"/>
    <x v="1104"/>
    <x v="20"/>
    <x v="30"/>
    <x v="20"/>
    <x v="166"/>
    <x v="166"/>
    <n v="1"/>
    <s v="23206900308001"/>
    <n v="1"/>
    <n v="1"/>
    <x v="20"/>
    <n v="0"/>
    <n v="1"/>
    <n v="0"/>
    <n v="1"/>
    <n v="0"/>
    <n v="0"/>
    <n v="0"/>
  </r>
  <r>
    <n v="1"/>
    <x v="0"/>
    <x v="1105"/>
    <x v="20"/>
    <x v="42"/>
    <x v="20"/>
    <x v="211"/>
    <x v="211"/>
    <n v="1"/>
    <s v="23206903375002"/>
    <n v="1"/>
    <n v="1"/>
    <x v="20"/>
    <n v="0"/>
    <n v="1"/>
    <n v="0"/>
    <n v="1"/>
    <n v="0"/>
    <n v="0"/>
    <n v="0"/>
  </r>
  <r>
    <n v="1"/>
    <x v="0"/>
    <x v="1106"/>
    <x v="20"/>
    <x v="42"/>
    <x v="20"/>
    <x v="31"/>
    <x v="31"/>
    <n v="1"/>
    <s v="23206904546001"/>
    <n v="1"/>
    <n v="1"/>
    <x v="20"/>
    <n v="0"/>
    <n v="1"/>
    <n v="0"/>
    <n v="1"/>
    <n v="0"/>
    <n v="0"/>
    <n v="0"/>
  </r>
  <r>
    <n v="1"/>
    <x v="0"/>
    <x v="1107"/>
    <x v="20"/>
    <x v="31"/>
    <x v="19"/>
    <x v="182"/>
    <x v="182"/>
    <n v="1"/>
    <s v="23206912161001"/>
    <n v="1"/>
    <n v="1"/>
    <x v="19"/>
    <n v="0"/>
    <n v="1"/>
    <n v="0"/>
    <n v="1"/>
    <n v="0"/>
    <n v="0"/>
    <n v="0"/>
  </r>
  <r>
    <n v="1"/>
    <x v="0"/>
    <x v="1108"/>
    <x v="21"/>
    <x v="31"/>
    <x v="20"/>
    <x v="3"/>
    <x v="3"/>
    <n v="1"/>
    <s v="23206916999001"/>
    <n v="1"/>
    <n v="1"/>
    <x v="20"/>
    <n v="0"/>
    <n v="1"/>
    <n v="0"/>
    <n v="1"/>
    <n v="0"/>
    <n v="0"/>
    <n v="0"/>
  </r>
  <r>
    <n v="1"/>
    <x v="0"/>
    <x v="1109"/>
    <x v="21"/>
    <x v="41"/>
    <x v="11"/>
    <x v="6"/>
    <x v="6"/>
    <n v="40"/>
    <s v="1"/>
    <n v="40"/>
    <n v="40"/>
    <x v="13"/>
    <n v="0"/>
    <n v="40"/>
    <n v="0"/>
    <n v="40"/>
    <n v="0"/>
    <n v="0"/>
    <n v="0"/>
  </r>
  <r>
    <n v="1"/>
    <x v="0"/>
    <x v="1110"/>
    <x v="12"/>
    <x v="41"/>
    <x v="20"/>
    <x v="22"/>
    <x v="22"/>
    <n v="6"/>
    <s v="1"/>
    <n v="6"/>
    <n v="6"/>
    <x v="11"/>
    <n v="0"/>
    <n v="6"/>
    <n v="0"/>
    <n v="6"/>
    <n v="0"/>
    <n v="0"/>
    <n v="0"/>
  </r>
  <r>
    <n v="1"/>
    <x v="0"/>
    <x v="1111"/>
    <x v="21"/>
    <x v="41"/>
    <x v="20"/>
    <x v="166"/>
    <x v="166"/>
    <n v="1"/>
    <s v="23206920816001"/>
    <n v="1"/>
    <n v="1"/>
    <x v="20"/>
    <n v="0"/>
    <n v="1"/>
    <n v="0"/>
    <n v="1"/>
    <n v="0"/>
    <n v="0"/>
    <n v="0"/>
  </r>
  <r>
    <n v="1"/>
    <x v="0"/>
    <x v="1112"/>
    <x v="22"/>
    <x v="14"/>
    <x v="20"/>
    <x v="177"/>
    <x v="177"/>
    <n v="1"/>
    <s v="27206920100001"/>
    <n v="1"/>
    <n v="1"/>
    <x v="20"/>
    <n v="0"/>
    <n v="1"/>
    <n v="0"/>
    <n v="1"/>
    <n v="0"/>
    <n v="0"/>
    <n v="0"/>
  </r>
  <r>
    <n v="1"/>
    <x v="0"/>
    <x v="1113"/>
    <x v="22"/>
    <x v="14"/>
    <x v="20"/>
    <x v="37"/>
    <x v="37"/>
    <n v="1"/>
    <s v="23206927570002"/>
    <n v="1"/>
    <n v="1"/>
    <x v="20"/>
    <n v="0"/>
    <n v="1"/>
    <n v="0"/>
    <n v="1"/>
    <n v="0"/>
    <n v="0"/>
    <n v="0"/>
  </r>
  <r>
    <n v="1"/>
    <x v="0"/>
    <x v="1114"/>
    <x v="22"/>
    <x v="14"/>
    <x v="0"/>
    <x v="31"/>
    <x v="31"/>
    <n v="1"/>
    <s v="23206929545001"/>
    <n v="1"/>
    <n v="1"/>
    <x v="0"/>
    <n v="0"/>
    <n v="1"/>
    <n v="0"/>
    <n v="1"/>
    <n v="0"/>
    <n v="0"/>
    <n v="0"/>
  </r>
  <r>
    <n v="1"/>
    <x v="0"/>
    <x v="1115"/>
    <x v="23"/>
    <x v="32"/>
    <x v="19"/>
    <x v="96"/>
    <x v="96"/>
    <n v="1"/>
    <s v="26206933935001"/>
    <n v="1"/>
    <n v="1"/>
    <x v="19"/>
    <n v="0"/>
    <n v="1"/>
    <n v="0"/>
    <n v="1"/>
    <n v="0"/>
    <n v="0"/>
    <n v="0"/>
  </r>
  <r>
    <n v="1"/>
    <x v="0"/>
    <x v="1116"/>
    <x v="23"/>
    <x v="32"/>
    <x v="19"/>
    <x v="16"/>
    <x v="16"/>
    <n v="1"/>
    <s v="23206934027001"/>
    <n v="1"/>
    <n v="1"/>
    <x v="19"/>
    <n v="0"/>
    <n v="1"/>
    <n v="0"/>
    <n v="1"/>
    <n v="0"/>
    <n v="0"/>
    <n v="0"/>
  </r>
  <r>
    <n v="1"/>
    <x v="0"/>
    <x v="1117"/>
    <x v="23"/>
    <x v="32"/>
    <x v="19"/>
    <x v="34"/>
    <x v="34"/>
    <n v="1"/>
    <s v="23206934288001"/>
    <n v="1"/>
    <n v="1"/>
    <x v="19"/>
    <n v="0"/>
    <n v="1"/>
    <n v="0"/>
    <n v="1"/>
    <n v="0"/>
    <n v="0"/>
    <n v="0"/>
  </r>
  <r>
    <n v="1"/>
    <x v="0"/>
    <x v="1118"/>
    <x v="23"/>
    <x v="32"/>
    <x v="10"/>
    <x v="6"/>
    <x v="6"/>
    <n v="24"/>
    <s v="1"/>
    <n v="24"/>
    <n v="24"/>
    <x v="11"/>
    <n v="0"/>
    <n v="24"/>
    <n v="0"/>
    <n v="24"/>
    <n v="0"/>
    <n v="0"/>
    <n v="0"/>
  </r>
  <r>
    <n v="1"/>
    <x v="0"/>
    <x v="1118"/>
    <x v="23"/>
    <x v="32"/>
    <x v="10"/>
    <x v="7"/>
    <x v="7"/>
    <n v="6"/>
    <s v="2"/>
    <n v="6"/>
    <n v="6"/>
    <x v="11"/>
    <n v="0"/>
    <n v="6"/>
    <n v="0"/>
    <n v="6"/>
    <n v="0"/>
    <n v="0"/>
    <n v="0"/>
  </r>
  <r>
    <n v="1"/>
    <x v="0"/>
    <x v="1118"/>
    <x v="23"/>
    <x v="32"/>
    <x v="10"/>
    <x v="8"/>
    <x v="8"/>
    <n v="18"/>
    <s v="3"/>
    <n v="18"/>
    <n v="18"/>
    <x v="11"/>
    <n v="0"/>
    <n v="18"/>
    <n v="0"/>
    <n v="18"/>
    <n v="0"/>
    <n v="0"/>
    <n v="0"/>
  </r>
  <r>
    <n v="1"/>
    <x v="0"/>
    <x v="1118"/>
    <x v="23"/>
    <x v="32"/>
    <x v="10"/>
    <x v="18"/>
    <x v="18"/>
    <n v="6"/>
    <s v="4"/>
    <n v="6"/>
    <n v="6"/>
    <x v="11"/>
    <n v="0"/>
    <n v="6"/>
    <n v="0"/>
    <n v="6"/>
    <n v="0"/>
    <n v="0"/>
    <n v="0"/>
  </r>
  <r>
    <n v="1"/>
    <x v="0"/>
    <x v="1118"/>
    <x v="23"/>
    <x v="32"/>
    <x v="10"/>
    <x v="19"/>
    <x v="19"/>
    <n v="12"/>
    <s v="5"/>
    <n v="12"/>
    <n v="12"/>
    <x v="11"/>
    <n v="0"/>
    <n v="12"/>
    <n v="0"/>
    <n v="12"/>
    <n v="0"/>
    <n v="0"/>
    <n v="0"/>
  </r>
  <r>
    <n v="1"/>
    <x v="0"/>
    <x v="1118"/>
    <x v="23"/>
    <x v="32"/>
    <x v="10"/>
    <x v="9"/>
    <x v="9"/>
    <n v="6"/>
    <s v="6"/>
    <n v="6"/>
    <n v="6"/>
    <x v="11"/>
    <n v="0"/>
    <n v="6"/>
    <n v="0"/>
    <n v="6"/>
    <n v="0"/>
    <n v="0"/>
    <n v="0"/>
  </r>
  <r>
    <n v="1"/>
    <x v="0"/>
    <x v="1118"/>
    <x v="23"/>
    <x v="32"/>
    <x v="10"/>
    <x v="10"/>
    <x v="10"/>
    <n v="6"/>
    <s v="7"/>
    <n v="6"/>
    <n v="6"/>
    <x v="11"/>
    <n v="0"/>
    <n v="6"/>
    <n v="0"/>
    <n v="6"/>
    <n v="0"/>
    <n v="0"/>
    <n v="0"/>
  </r>
  <r>
    <n v="1"/>
    <x v="0"/>
    <x v="1119"/>
    <x v="23"/>
    <x v="32"/>
    <x v="13"/>
    <x v="212"/>
    <x v="212"/>
    <n v="4"/>
    <s v="1"/>
    <n v="4"/>
    <n v="4"/>
    <x v="12"/>
    <n v="0"/>
    <n v="4"/>
    <n v="0"/>
    <n v="4"/>
    <n v="0"/>
    <n v="0"/>
    <n v="0"/>
  </r>
  <r>
    <n v="1"/>
    <x v="0"/>
    <x v="1119"/>
    <x v="23"/>
    <x v="32"/>
    <x v="13"/>
    <x v="213"/>
    <x v="213"/>
    <n v="4"/>
    <s v="2"/>
    <n v="4"/>
    <n v="4"/>
    <x v="12"/>
    <n v="0"/>
    <n v="4"/>
    <n v="0"/>
    <n v="4"/>
    <n v="0"/>
    <n v="0"/>
    <n v="0"/>
  </r>
  <r>
    <n v="1"/>
    <x v="0"/>
    <x v="1120"/>
    <x v="23"/>
    <x v="32"/>
    <x v="13"/>
    <x v="49"/>
    <x v="49"/>
    <n v="8"/>
    <s v="2"/>
    <n v="8"/>
    <n v="8"/>
    <x v="12"/>
    <n v="0"/>
    <n v="8"/>
    <n v="0"/>
    <n v="8"/>
    <n v="0"/>
    <n v="0"/>
    <n v="0"/>
  </r>
  <r>
    <n v="1"/>
    <x v="0"/>
    <x v="1120"/>
    <x v="23"/>
    <x v="32"/>
    <x v="13"/>
    <x v="46"/>
    <x v="46"/>
    <n v="5"/>
    <s v="1"/>
    <n v="5"/>
    <n v="5"/>
    <x v="12"/>
    <n v="0"/>
    <n v="5"/>
    <n v="0"/>
    <n v="5"/>
    <n v="0"/>
    <n v="0"/>
    <n v="0"/>
  </r>
  <r>
    <n v="1"/>
    <x v="0"/>
    <x v="1120"/>
    <x v="23"/>
    <x v="32"/>
    <x v="13"/>
    <x v="214"/>
    <x v="214"/>
    <n v="11"/>
    <s v="3"/>
    <n v="0"/>
    <n v="0"/>
    <x v="12"/>
    <n v="0"/>
    <n v="0"/>
    <n v="0"/>
    <n v="0"/>
    <n v="0"/>
    <n v="0"/>
    <n v="0"/>
  </r>
  <r>
    <n v="1"/>
    <x v="0"/>
    <x v="1120"/>
    <x v="23"/>
    <x v="32"/>
    <x v="13"/>
    <x v="215"/>
    <x v="215"/>
    <n v="3"/>
    <s v="4"/>
    <n v="0"/>
    <n v="0"/>
    <x v="12"/>
    <n v="0"/>
    <n v="0"/>
    <n v="0"/>
    <n v="0"/>
    <n v="0"/>
    <n v="0"/>
    <n v="0"/>
  </r>
  <r>
    <n v="1"/>
    <x v="0"/>
    <x v="1121"/>
    <x v="11"/>
    <x v="32"/>
    <x v="19"/>
    <x v="26"/>
    <x v="26"/>
    <n v="1"/>
    <s v="23206937664001"/>
    <n v="1"/>
    <n v="1"/>
    <x v="19"/>
    <n v="0"/>
    <n v="1"/>
    <n v="0"/>
    <n v="1"/>
    <n v="0"/>
    <n v="0"/>
    <n v="0"/>
  </r>
  <r>
    <n v="1"/>
    <x v="0"/>
    <x v="1122"/>
    <x v="11"/>
    <x v="33"/>
    <x v="19"/>
    <x v="216"/>
    <x v="216"/>
    <n v="1"/>
    <s v="23206959055001"/>
    <n v="1"/>
    <n v="1"/>
    <x v="19"/>
    <n v="0"/>
    <n v="1"/>
    <n v="0"/>
    <n v="1"/>
    <n v="0"/>
    <n v="0"/>
    <n v="0"/>
  </r>
  <r>
    <n v="1"/>
    <x v="0"/>
    <x v="1123"/>
    <x v="11"/>
    <x v="33"/>
    <x v="5"/>
    <x v="10"/>
    <x v="10"/>
    <n v="30"/>
    <s v="1"/>
    <n v="30"/>
    <n v="30"/>
    <x v="19"/>
    <n v="0"/>
    <n v="30"/>
    <n v="0"/>
    <n v="30"/>
    <n v="0"/>
    <n v="0"/>
    <n v="0"/>
  </r>
  <r>
    <n v="1"/>
    <x v="0"/>
    <x v="1124"/>
    <x v="11"/>
    <x v="33"/>
    <x v="19"/>
    <x v="17"/>
    <x v="17"/>
    <n v="1"/>
    <s v="23206959726001"/>
    <n v="1"/>
    <n v="1"/>
    <x v="19"/>
    <n v="0"/>
    <n v="1"/>
    <n v="0"/>
    <n v="1"/>
    <n v="0"/>
    <n v="0"/>
    <n v="0"/>
  </r>
  <r>
    <n v="1"/>
    <x v="0"/>
    <x v="1125"/>
    <x v="11"/>
    <x v="33"/>
    <x v="19"/>
    <x v="63"/>
    <x v="63"/>
    <n v="1"/>
    <s v="27206960897001"/>
    <n v="1"/>
    <n v="1"/>
    <x v="19"/>
    <n v="0"/>
    <n v="1"/>
    <n v="0"/>
    <n v="1"/>
    <n v="0"/>
    <n v="0"/>
    <n v="0"/>
  </r>
  <r>
    <n v="1"/>
    <x v="0"/>
    <x v="1126"/>
    <x v="11"/>
    <x v="33"/>
    <x v="18"/>
    <x v="17"/>
    <x v="17"/>
    <n v="1"/>
    <s v="23206964044001"/>
    <n v="1"/>
    <n v="1"/>
    <x v="9"/>
    <n v="0"/>
    <n v="1"/>
    <n v="0"/>
    <n v="1"/>
    <n v="0"/>
    <n v="0"/>
    <n v="0"/>
  </r>
  <r>
    <n v="1"/>
    <x v="0"/>
    <x v="1127"/>
    <x v="11"/>
    <x v="15"/>
    <x v="18"/>
    <x v="3"/>
    <x v="3"/>
    <n v="1"/>
    <s v="23206966112001"/>
    <n v="1"/>
    <n v="1"/>
    <x v="9"/>
    <n v="0"/>
    <n v="1"/>
    <n v="0"/>
    <n v="1"/>
    <n v="0"/>
    <n v="0"/>
    <n v="0"/>
  </r>
  <r>
    <n v="1"/>
    <x v="0"/>
    <x v="1128"/>
    <x v="11"/>
    <x v="15"/>
    <x v="18"/>
    <x v="2"/>
    <x v="2"/>
    <n v="1"/>
    <s v="27206968765001"/>
    <n v="1"/>
    <n v="1"/>
    <x v="9"/>
    <n v="0"/>
    <n v="1"/>
    <n v="0"/>
    <n v="1"/>
    <n v="0"/>
    <n v="0"/>
    <n v="0"/>
  </r>
  <r>
    <n v="1"/>
    <x v="0"/>
    <x v="1129"/>
    <x v="11"/>
    <x v="16"/>
    <x v="18"/>
    <x v="1"/>
    <x v="1"/>
    <n v="1"/>
    <s v="27206972550001"/>
    <n v="1"/>
    <n v="1"/>
    <x v="9"/>
    <n v="0"/>
    <n v="1"/>
    <n v="0"/>
    <n v="1"/>
    <n v="0"/>
    <n v="0"/>
    <n v="0"/>
  </r>
  <r>
    <n v="1"/>
    <x v="0"/>
    <x v="1130"/>
    <x v="11"/>
    <x v="16"/>
    <x v="18"/>
    <x v="58"/>
    <x v="58"/>
    <n v="1"/>
    <s v="27206973503001"/>
    <n v="1"/>
    <n v="1"/>
    <x v="9"/>
    <n v="0"/>
    <n v="1"/>
    <n v="0"/>
    <n v="1"/>
    <n v="0"/>
    <n v="0"/>
    <n v="0"/>
  </r>
  <r>
    <n v="1"/>
    <x v="0"/>
    <x v="1131"/>
    <x v="11"/>
    <x v="16"/>
    <x v="18"/>
    <x v="17"/>
    <x v="17"/>
    <n v="1"/>
    <s v="23206974058002"/>
    <n v="1"/>
    <n v="1"/>
    <x v="9"/>
    <n v="0"/>
    <n v="1"/>
    <n v="0"/>
    <n v="1"/>
    <n v="0"/>
    <n v="0"/>
    <n v="0"/>
  </r>
  <r>
    <n v="1"/>
    <x v="0"/>
    <x v="1132"/>
    <x v="12"/>
    <x v="16"/>
    <x v="18"/>
    <x v="31"/>
    <x v="31"/>
    <n v="1"/>
    <s v="23206975222001"/>
    <n v="1"/>
    <n v="1"/>
    <x v="9"/>
    <n v="0"/>
    <n v="1"/>
    <n v="0"/>
    <n v="1"/>
    <n v="0"/>
    <n v="0"/>
    <n v="0"/>
  </r>
  <r>
    <n v="1"/>
    <x v="0"/>
    <x v="1133"/>
    <x v="12"/>
    <x v="16"/>
    <x v="5"/>
    <x v="1"/>
    <x v="1"/>
    <n v="1"/>
    <s v="23206976644001"/>
    <n v="1"/>
    <n v="1"/>
    <x v="4"/>
    <n v="0"/>
    <n v="1"/>
    <n v="0"/>
    <n v="1"/>
    <n v="0"/>
    <n v="0"/>
    <n v="0"/>
  </r>
  <r>
    <n v="1"/>
    <x v="0"/>
    <x v="1134"/>
    <x v="12"/>
    <x v="16"/>
    <x v="5"/>
    <x v="34"/>
    <x v="34"/>
    <n v="1"/>
    <s v="23206976208001"/>
    <n v="1"/>
    <n v="1"/>
    <x v="4"/>
    <n v="0"/>
    <n v="1"/>
    <n v="0"/>
    <n v="1"/>
    <n v="0"/>
    <n v="0"/>
    <n v="0"/>
  </r>
  <r>
    <n v="1"/>
    <x v="0"/>
    <x v="1135"/>
    <x v="12"/>
    <x v="17"/>
    <x v="18"/>
    <x v="34"/>
    <x v="34"/>
    <n v="1"/>
    <s v="23206978271001"/>
    <n v="1"/>
    <n v="1"/>
    <x v="9"/>
    <n v="0"/>
    <n v="1"/>
    <n v="0"/>
    <n v="1"/>
    <n v="0"/>
    <n v="0"/>
    <n v="0"/>
  </r>
  <r>
    <n v="1"/>
    <x v="0"/>
    <x v="1136"/>
    <x v="12"/>
    <x v="17"/>
    <x v="18"/>
    <x v="34"/>
    <x v="34"/>
    <n v="1"/>
    <s v="23206978589001"/>
    <n v="1"/>
    <n v="1"/>
    <x v="9"/>
    <n v="0"/>
    <n v="1"/>
    <n v="0"/>
    <n v="1"/>
    <n v="0"/>
    <n v="0"/>
    <n v="0"/>
  </r>
  <r>
    <n v="1"/>
    <x v="0"/>
    <x v="1137"/>
    <x v="12"/>
    <x v="17"/>
    <x v="8"/>
    <x v="6"/>
    <x v="6"/>
    <n v="52"/>
    <s v="1"/>
    <n v="52"/>
    <n v="52"/>
    <x v="12"/>
    <n v="0"/>
    <n v="52"/>
    <n v="0"/>
    <n v="52"/>
    <n v="0"/>
    <n v="0"/>
    <n v="0"/>
  </r>
  <r>
    <n v="1"/>
    <x v="0"/>
    <x v="1137"/>
    <x v="12"/>
    <x v="17"/>
    <x v="8"/>
    <x v="7"/>
    <x v="7"/>
    <n v="24"/>
    <s v="2"/>
    <n v="24"/>
    <n v="24"/>
    <x v="12"/>
    <n v="0"/>
    <n v="24"/>
    <n v="0"/>
    <n v="24"/>
    <n v="0"/>
    <n v="0"/>
    <n v="0"/>
  </r>
  <r>
    <n v="1"/>
    <x v="0"/>
    <x v="1137"/>
    <x v="12"/>
    <x v="17"/>
    <x v="8"/>
    <x v="8"/>
    <x v="8"/>
    <n v="12"/>
    <s v="3"/>
    <n v="12"/>
    <n v="12"/>
    <x v="12"/>
    <n v="0"/>
    <n v="12"/>
    <n v="0"/>
    <n v="12"/>
    <n v="0"/>
    <n v="0"/>
    <n v="0"/>
  </r>
  <r>
    <n v="1"/>
    <x v="0"/>
    <x v="1137"/>
    <x v="12"/>
    <x v="17"/>
    <x v="8"/>
    <x v="18"/>
    <x v="18"/>
    <n v="24"/>
    <s v="4"/>
    <n v="24"/>
    <n v="24"/>
    <x v="12"/>
    <n v="0"/>
    <n v="24"/>
    <n v="0"/>
    <n v="24"/>
    <n v="0"/>
    <n v="0"/>
    <n v="0"/>
  </r>
  <r>
    <n v="1"/>
    <x v="0"/>
    <x v="1137"/>
    <x v="12"/>
    <x v="17"/>
    <x v="8"/>
    <x v="19"/>
    <x v="19"/>
    <n v="6"/>
    <s v="5"/>
    <n v="6"/>
    <n v="6"/>
    <x v="12"/>
    <n v="0"/>
    <n v="6"/>
    <n v="0"/>
    <n v="6"/>
    <n v="0"/>
    <n v="0"/>
    <n v="0"/>
  </r>
  <r>
    <n v="1"/>
    <x v="0"/>
    <x v="1137"/>
    <x v="12"/>
    <x v="17"/>
    <x v="8"/>
    <x v="9"/>
    <x v="9"/>
    <n v="18"/>
    <s v="6"/>
    <n v="18"/>
    <n v="18"/>
    <x v="12"/>
    <n v="0"/>
    <n v="18"/>
    <n v="0"/>
    <n v="18"/>
    <n v="0"/>
    <n v="0"/>
    <n v="0"/>
  </r>
  <r>
    <n v="1"/>
    <x v="0"/>
    <x v="1137"/>
    <x v="12"/>
    <x v="17"/>
    <x v="8"/>
    <x v="10"/>
    <x v="10"/>
    <n v="18"/>
    <s v="7"/>
    <n v="18"/>
    <n v="18"/>
    <x v="12"/>
    <n v="0"/>
    <n v="18"/>
    <n v="0"/>
    <n v="18"/>
    <n v="0"/>
    <n v="0"/>
    <n v="0"/>
  </r>
  <r>
    <n v="1"/>
    <x v="0"/>
    <x v="1138"/>
    <x v="12"/>
    <x v="17"/>
    <x v="18"/>
    <x v="211"/>
    <x v="211"/>
    <n v="1"/>
    <s v="23206980853001"/>
    <n v="1"/>
    <n v="1"/>
    <x v="9"/>
    <n v="0"/>
    <n v="1"/>
    <n v="0"/>
    <n v="1"/>
    <n v="0"/>
    <n v="0"/>
    <n v="0"/>
  </r>
  <r>
    <n v="1"/>
    <x v="0"/>
    <x v="1139"/>
    <x v="12"/>
    <x v="17"/>
    <x v="18"/>
    <x v="2"/>
    <x v="2"/>
    <n v="1"/>
    <s v="27206982012001"/>
    <n v="1"/>
    <n v="1"/>
    <x v="9"/>
    <n v="0"/>
    <n v="1"/>
    <n v="0"/>
    <n v="1"/>
    <n v="0"/>
    <n v="0"/>
    <n v="0"/>
  </r>
  <r>
    <n v="1"/>
    <x v="0"/>
    <x v="1140"/>
    <x v="10"/>
    <x v="17"/>
    <x v="18"/>
    <x v="17"/>
    <x v="17"/>
    <n v="1"/>
    <s v="23206983118001"/>
    <n v="1"/>
    <n v="1"/>
    <x v="9"/>
    <n v="0"/>
    <n v="1"/>
    <n v="0"/>
    <n v="1"/>
    <n v="0"/>
    <n v="0"/>
    <n v="0"/>
  </r>
  <r>
    <n v="1"/>
    <x v="0"/>
    <x v="1141"/>
    <x v="10"/>
    <x v="18"/>
    <x v="18"/>
    <x v="34"/>
    <x v="34"/>
    <n v="1"/>
    <s v="23206985187001"/>
    <n v="1"/>
    <n v="1"/>
    <x v="9"/>
    <n v="0"/>
    <n v="1"/>
    <n v="0"/>
    <n v="1"/>
    <n v="0"/>
    <n v="0"/>
    <n v="0"/>
  </r>
  <r>
    <n v="1"/>
    <x v="0"/>
    <x v="1142"/>
    <x v="10"/>
    <x v="18"/>
    <x v="18"/>
    <x v="217"/>
    <x v="217"/>
    <n v="1"/>
    <s v="23206986927001"/>
    <n v="0"/>
    <n v="0"/>
    <x v="2"/>
    <n v="0"/>
    <n v="0"/>
    <n v="0"/>
    <n v="0"/>
    <n v="0"/>
    <n v="0"/>
    <n v="0"/>
  </r>
  <r>
    <n v="1"/>
    <x v="0"/>
    <x v="1143"/>
    <x v="10"/>
    <x v="18"/>
    <x v="12"/>
    <x v="6"/>
    <x v="6"/>
    <n v="12"/>
    <s v="1"/>
    <n v="12"/>
    <n v="12"/>
    <x v="18"/>
    <n v="0"/>
    <n v="12"/>
    <n v="0"/>
    <n v="12"/>
    <n v="0"/>
    <n v="0"/>
    <n v="0"/>
  </r>
  <r>
    <n v="1"/>
    <x v="0"/>
    <x v="1143"/>
    <x v="10"/>
    <x v="18"/>
    <x v="12"/>
    <x v="7"/>
    <x v="7"/>
    <n v="6"/>
    <s v="2"/>
    <n v="6"/>
    <n v="6"/>
    <x v="18"/>
    <n v="0"/>
    <n v="6"/>
    <n v="0"/>
    <n v="6"/>
    <n v="0"/>
    <n v="0"/>
    <n v="0"/>
  </r>
  <r>
    <n v="1"/>
    <x v="0"/>
    <x v="1143"/>
    <x v="10"/>
    <x v="18"/>
    <x v="12"/>
    <x v="8"/>
    <x v="8"/>
    <n v="6"/>
    <s v="3"/>
    <n v="6"/>
    <n v="6"/>
    <x v="18"/>
    <n v="0"/>
    <n v="6"/>
    <n v="0"/>
    <n v="6"/>
    <n v="0"/>
    <n v="0"/>
    <n v="0"/>
  </r>
  <r>
    <n v="1"/>
    <x v="0"/>
    <x v="1143"/>
    <x v="10"/>
    <x v="18"/>
    <x v="12"/>
    <x v="9"/>
    <x v="9"/>
    <n v="6"/>
    <s v="4"/>
    <n v="6"/>
    <n v="6"/>
    <x v="18"/>
    <n v="0"/>
    <n v="6"/>
    <n v="0"/>
    <n v="6"/>
    <n v="0"/>
    <n v="0"/>
    <n v="0"/>
  </r>
  <r>
    <n v="1"/>
    <x v="0"/>
    <x v="1143"/>
    <x v="10"/>
    <x v="18"/>
    <x v="12"/>
    <x v="10"/>
    <x v="10"/>
    <n v="6"/>
    <s v="5"/>
    <n v="6"/>
    <n v="6"/>
    <x v="18"/>
    <n v="0"/>
    <n v="6"/>
    <n v="0"/>
    <n v="6"/>
    <n v="0"/>
    <n v="0"/>
    <n v="0"/>
  </r>
  <r>
    <n v="1"/>
    <x v="0"/>
    <x v="1144"/>
    <x v="10"/>
    <x v="18"/>
    <x v="19"/>
    <x v="22"/>
    <x v="22"/>
    <n v="210"/>
    <s v="1"/>
    <n v="0"/>
    <n v="0"/>
    <x v="19"/>
    <n v="0"/>
    <n v="0"/>
    <n v="0"/>
    <n v="0"/>
    <n v="0"/>
    <n v="0"/>
    <n v="0"/>
  </r>
  <r>
    <n v="1"/>
    <x v="0"/>
    <x v="1144"/>
    <x v="10"/>
    <x v="18"/>
    <x v="19"/>
    <x v="41"/>
    <x v="41"/>
    <n v="105"/>
    <s v="2"/>
    <n v="105"/>
    <n v="105"/>
    <x v="19"/>
    <n v="0"/>
    <n v="105"/>
    <n v="0"/>
    <n v="105"/>
    <n v="0"/>
    <n v="0"/>
    <n v="0"/>
  </r>
  <r>
    <n v="1"/>
    <x v="0"/>
    <x v="1144"/>
    <x v="10"/>
    <x v="18"/>
    <x v="19"/>
    <x v="25"/>
    <x v="25"/>
    <n v="24"/>
    <s v="3"/>
    <n v="0"/>
    <n v="0"/>
    <x v="19"/>
    <n v="0"/>
    <n v="0"/>
    <n v="0"/>
    <n v="0"/>
    <n v="0"/>
    <n v="0"/>
    <n v="0"/>
  </r>
  <r>
    <n v="1"/>
    <x v="0"/>
    <x v="1145"/>
    <x v="10"/>
    <x v="18"/>
    <x v="18"/>
    <x v="2"/>
    <x v="2"/>
    <n v="1"/>
    <s v="23206988390001"/>
    <n v="1"/>
    <n v="1"/>
    <x v="9"/>
    <n v="0"/>
    <n v="1"/>
    <n v="0"/>
    <n v="1"/>
    <n v="0"/>
    <n v="0"/>
    <n v="0"/>
  </r>
  <r>
    <n v="1"/>
    <x v="0"/>
    <x v="1146"/>
    <x v="10"/>
    <x v="18"/>
    <x v="18"/>
    <x v="31"/>
    <x v="31"/>
    <n v="1"/>
    <s v="23206988920001"/>
    <n v="1"/>
    <n v="1"/>
    <x v="9"/>
    <n v="0"/>
    <n v="1"/>
    <n v="0"/>
    <n v="1"/>
    <n v="0"/>
    <n v="0"/>
    <n v="0"/>
  </r>
  <r>
    <n v="1"/>
    <x v="0"/>
    <x v="1147"/>
    <x v="13"/>
    <x v="18"/>
    <x v="18"/>
    <x v="2"/>
    <x v="2"/>
    <n v="1"/>
    <s v="23206991967001"/>
    <n v="1"/>
    <n v="1"/>
    <x v="9"/>
    <n v="0"/>
    <n v="1"/>
    <n v="0"/>
    <n v="1"/>
    <n v="0"/>
    <n v="0"/>
    <n v="0"/>
  </r>
  <r>
    <n v="1"/>
    <x v="0"/>
    <x v="1148"/>
    <x v="13"/>
    <x v="18"/>
    <x v="26"/>
    <x v="26"/>
    <x v="26"/>
    <n v="1"/>
    <s v="23206992243002"/>
    <n v="1"/>
    <n v="1"/>
    <x v="10"/>
    <n v="0"/>
    <n v="1"/>
    <n v="0"/>
    <n v="1"/>
    <n v="0"/>
    <n v="0"/>
    <n v="0"/>
  </r>
  <r>
    <n v="1"/>
    <x v="0"/>
    <x v="1149"/>
    <x v="13"/>
    <x v="19"/>
    <x v="18"/>
    <x v="34"/>
    <x v="34"/>
    <n v="1"/>
    <s v="27207015342001"/>
    <n v="1"/>
    <n v="1"/>
    <x v="9"/>
    <n v="0"/>
    <n v="1"/>
    <n v="0"/>
    <n v="1"/>
    <n v="0"/>
    <n v="0"/>
    <n v="0"/>
  </r>
  <r>
    <n v="1"/>
    <x v="0"/>
    <x v="1150"/>
    <x v="13"/>
    <x v="19"/>
    <x v="18"/>
    <x v="34"/>
    <x v="34"/>
    <n v="1"/>
    <s v="23207016255001"/>
    <n v="1"/>
    <n v="1"/>
    <x v="9"/>
    <n v="0"/>
    <n v="1"/>
    <n v="0"/>
    <n v="1"/>
    <n v="0"/>
    <n v="0"/>
    <n v="0"/>
  </r>
  <r>
    <n v="1"/>
    <x v="0"/>
    <x v="1151"/>
    <x v="25"/>
    <x v="37"/>
    <x v="13"/>
    <x v="6"/>
    <x v="6"/>
    <n v="16"/>
    <s v="1"/>
    <n v="16"/>
    <n v="16"/>
    <x v="14"/>
    <n v="0"/>
    <n v="16"/>
    <n v="0"/>
    <n v="16"/>
    <n v="0"/>
    <n v="0"/>
    <n v="0"/>
  </r>
  <r>
    <n v="1"/>
    <x v="0"/>
    <x v="1151"/>
    <x v="25"/>
    <x v="37"/>
    <x v="13"/>
    <x v="7"/>
    <x v="7"/>
    <n v="12"/>
    <s v="2"/>
    <n v="12"/>
    <n v="12"/>
    <x v="14"/>
    <n v="0"/>
    <n v="12"/>
    <n v="0"/>
    <n v="12"/>
    <n v="0"/>
    <n v="0"/>
    <n v="0"/>
  </r>
  <r>
    <n v="1"/>
    <x v="0"/>
    <x v="1151"/>
    <x v="25"/>
    <x v="37"/>
    <x v="13"/>
    <x v="18"/>
    <x v="18"/>
    <n v="12"/>
    <s v="3"/>
    <n v="12"/>
    <n v="12"/>
    <x v="14"/>
    <n v="0"/>
    <n v="12"/>
    <n v="0"/>
    <n v="12"/>
    <n v="0"/>
    <n v="0"/>
    <n v="0"/>
  </r>
  <r>
    <n v="1"/>
    <x v="0"/>
    <x v="1151"/>
    <x v="25"/>
    <x v="37"/>
    <x v="13"/>
    <x v="19"/>
    <x v="19"/>
    <n v="6"/>
    <s v="4"/>
    <n v="6"/>
    <n v="6"/>
    <x v="14"/>
    <n v="0"/>
    <n v="6"/>
    <n v="0"/>
    <n v="6"/>
    <n v="0"/>
    <n v="0"/>
    <n v="0"/>
  </r>
  <r>
    <n v="1"/>
    <x v="0"/>
    <x v="1152"/>
    <x v="25"/>
    <x v="37"/>
    <x v="5"/>
    <x v="14"/>
    <x v="14"/>
    <n v="1"/>
    <s v="23207022997001"/>
    <n v="1"/>
    <n v="1"/>
    <x v="4"/>
    <n v="0"/>
    <n v="1"/>
    <n v="0"/>
    <n v="1"/>
    <n v="0"/>
    <n v="0"/>
    <n v="0"/>
  </r>
  <r>
    <n v="1"/>
    <x v="0"/>
    <x v="1153"/>
    <x v="25"/>
    <x v="37"/>
    <x v="25"/>
    <x v="212"/>
    <x v="212"/>
    <n v="8"/>
    <s v="1"/>
    <n v="4"/>
    <n v="4"/>
    <x v="9"/>
    <n v="0"/>
    <n v="4"/>
    <n v="0"/>
    <n v="4"/>
    <n v="0"/>
    <n v="0"/>
    <n v="0"/>
  </r>
  <r>
    <n v="1"/>
    <x v="0"/>
    <x v="1153"/>
    <x v="25"/>
    <x v="37"/>
    <x v="25"/>
    <x v="173"/>
    <x v="173"/>
    <n v="4"/>
    <s v="2"/>
    <n v="4"/>
    <n v="4"/>
    <x v="9"/>
    <n v="0"/>
    <n v="4"/>
    <n v="0"/>
    <n v="4"/>
    <n v="0"/>
    <n v="0"/>
    <n v="0"/>
  </r>
  <r>
    <n v="1"/>
    <x v="0"/>
    <x v="1153"/>
    <x v="25"/>
    <x v="37"/>
    <x v="25"/>
    <x v="213"/>
    <x v="213"/>
    <n v="2"/>
    <s v="3"/>
    <n v="2"/>
    <n v="2"/>
    <x v="9"/>
    <n v="0"/>
    <n v="2"/>
    <n v="0"/>
    <n v="2"/>
    <n v="0"/>
    <n v="0"/>
    <n v="0"/>
  </r>
  <r>
    <n v="1"/>
    <x v="0"/>
    <x v="1154"/>
    <x v="25"/>
    <x v="37"/>
    <x v="5"/>
    <x v="2"/>
    <x v="2"/>
    <n v="1"/>
    <s v="27207023582001"/>
    <n v="1"/>
    <n v="1"/>
    <x v="4"/>
    <n v="0"/>
    <n v="1"/>
    <n v="0"/>
    <n v="1"/>
    <n v="0"/>
    <n v="0"/>
    <n v="0"/>
  </r>
  <r>
    <n v="1"/>
    <x v="0"/>
    <x v="1155"/>
    <x v="25"/>
    <x v="37"/>
    <x v="5"/>
    <x v="77"/>
    <x v="77"/>
    <n v="1"/>
    <s v="23207024375001"/>
    <n v="1"/>
    <n v="1"/>
    <x v="4"/>
    <n v="0"/>
    <n v="1"/>
    <n v="0"/>
    <n v="1"/>
    <n v="0"/>
    <n v="0"/>
    <n v="0"/>
  </r>
  <r>
    <n v="1"/>
    <x v="0"/>
    <x v="1156"/>
    <x v="0"/>
    <x v="37"/>
    <x v="5"/>
    <x v="28"/>
    <x v="28"/>
    <n v="1"/>
    <s v="23207025405001"/>
    <n v="1"/>
    <n v="1"/>
    <x v="4"/>
    <n v="0"/>
    <n v="1"/>
    <n v="0"/>
    <n v="1"/>
    <n v="0"/>
    <n v="0"/>
    <n v="0"/>
  </r>
  <r>
    <n v="1"/>
    <x v="0"/>
    <x v="1157"/>
    <x v="0"/>
    <x v="38"/>
    <x v="5"/>
    <x v="3"/>
    <x v="3"/>
    <n v="1"/>
    <s v="27207044632001"/>
    <n v="1"/>
    <n v="1"/>
    <x v="4"/>
    <n v="0"/>
    <n v="1"/>
    <n v="0"/>
    <n v="1"/>
    <n v="0"/>
    <n v="0"/>
    <n v="0"/>
  </r>
  <r>
    <n v="1"/>
    <x v="0"/>
    <x v="1158"/>
    <x v="0"/>
    <x v="38"/>
    <x v="1"/>
    <x v="216"/>
    <x v="216"/>
    <n v="1"/>
    <s v="23207048528001"/>
    <n v="1"/>
    <n v="1"/>
    <x v="1"/>
    <n v="0"/>
    <n v="1"/>
    <n v="0"/>
    <n v="1"/>
    <n v="0"/>
    <n v="0"/>
    <n v="0"/>
  </r>
  <r>
    <n v="1"/>
    <x v="0"/>
    <x v="1159"/>
    <x v="0"/>
    <x v="38"/>
    <x v="1"/>
    <x v="14"/>
    <x v="14"/>
    <n v="1"/>
    <s v="23207049361001"/>
    <n v="1"/>
    <n v="1"/>
    <x v="1"/>
    <n v="0"/>
    <n v="1"/>
    <n v="0"/>
    <n v="1"/>
    <n v="0"/>
    <n v="0"/>
    <n v="0"/>
  </r>
  <r>
    <n v="1"/>
    <x v="0"/>
    <x v="1160"/>
    <x v="0"/>
    <x v="0"/>
    <x v="0"/>
    <x v="2"/>
    <x v="2"/>
    <n v="1"/>
    <s v="27207051710001"/>
    <n v="1"/>
    <n v="1"/>
    <x v="0"/>
    <n v="0"/>
    <n v="1"/>
    <n v="0"/>
    <n v="1"/>
    <n v="0"/>
    <n v="0"/>
    <n v="0"/>
  </r>
  <r>
    <n v="1"/>
    <x v="0"/>
    <x v="711"/>
    <x v="15"/>
    <x v="23"/>
    <x v="3"/>
    <x v="7"/>
    <x v="7"/>
    <n v="18"/>
    <s v="2"/>
    <n v="18"/>
    <n v="18"/>
    <x v="15"/>
    <n v="0"/>
    <n v="18"/>
    <n v="0"/>
    <n v="18"/>
    <n v="0"/>
    <n v="0"/>
    <n v="0"/>
  </r>
  <r>
    <n v="1"/>
    <x v="0"/>
    <x v="711"/>
    <x v="15"/>
    <x v="23"/>
    <x v="3"/>
    <x v="8"/>
    <x v="8"/>
    <n v="24"/>
    <s v="3"/>
    <n v="24"/>
    <n v="24"/>
    <x v="15"/>
    <n v="0"/>
    <n v="24"/>
    <n v="0"/>
    <n v="24"/>
    <n v="0"/>
    <n v="0"/>
    <n v="0"/>
  </r>
  <r>
    <n v="1"/>
    <x v="0"/>
    <x v="1161"/>
    <x v="15"/>
    <x v="23"/>
    <x v="26"/>
    <x v="29"/>
    <x v="29"/>
    <n v="1"/>
    <s v="27207146960001"/>
    <n v="1"/>
    <n v="1"/>
    <x v="10"/>
    <n v="0"/>
    <n v="1"/>
    <n v="0"/>
    <n v="1"/>
    <n v="0"/>
    <n v="0"/>
    <n v="0"/>
  </r>
  <r>
    <n v="1"/>
    <x v="0"/>
    <x v="1162"/>
    <x v="16"/>
    <x v="23"/>
    <x v="26"/>
    <x v="34"/>
    <x v="34"/>
    <n v="1"/>
    <s v="23207147431001"/>
    <n v="1"/>
    <n v="1"/>
    <x v="10"/>
    <n v="0"/>
    <n v="1"/>
    <n v="0"/>
    <n v="1"/>
    <n v="0"/>
    <n v="0"/>
    <n v="0"/>
  </r>
  <r>
    <n v="1"/>
    <x v="0"/>
    <x v="1163"/>
    <x v="16"/>
    <x v="23"/>
    <x v="26"/>
    <x v="5"/>
    <x v="5"/>
    <n v="1"/>
    <s v="23207148155001"/>
    <n v="1"/>
    <n v="1"/>
    <x v="10"/>
    <n v="0"/>
    <n v="1"/>
    <n v="0"/>
    <n v="1"/>
    <n v="0"/>
    <n v="0"/>
    <n v="0"/>
  </r>
  <r>
    <n v="1"/>
    <x v="0"/>
    <x v="1164"/>
    <x v="16"/>
    <x v="23"/>
    <x v="26"/>
    <x v="2"/>
    <x v="2"/>
    <n v="1"/>
    <s v="23207147835001"/>
    <n v="1"/>
    <n v="1"/>
    <x v="10"/>
    <n v="0"/>
    <n v="1"/>
    <n v="0"/>
    <n v="1"/>
    <n v="0"/>
    <n v="0"/>
    <n v="0"/>
  </r>
  <r>
    <n v="1"/>
    <x v="0"/>
    <x v="1165"/>
    <x v="16"/>
    <x v="24"/>
    <x v="26"/>
    <x v="11"/>
    <x v="11"/>
    <n v="1"/>
    <s v="23207152416001"/>
    <n v="1"/>
    <n v="1"/>
    <x v="10"/>
    <n v="0"/>
    <n v="1"/>
    <n v="0"/>
    <n v="1"/>
    <n v="0"/>
    <n v="0"/>
    <n v="0"/>
  </r>
  <r>
    <n v="1"/>
    <x v="0"/>
    <x v="1166"/>
    <x v="16"/>
    <x v="24"/>
    <x v="17"/>
    <x v="216"/>
    <x v="216"/>
    <n v="1"/>
    <s v="27207152519004"/>
    <n v="1"/>
    <n v="1"/>
    <x v="23"/>
    <n v="0"/>
    <n v="1"/>
    <n v="0"/>
    <n v="1"/>
    <n v="0"/>
    <n v="0"/>
    <n v="0"/>
  </r>
  <r>
    <n v="1"/>
    <x v="0"/>
    <x v="1167"/>
    <x v="16"/>
    <x v="24"/>
    <x v="26"/>
    <x v="6"/>
    <x v="6"/>
    <n v="52"/>
    <s v="1"/>
    <n v="52"/>
    <n v="52"/>
    <x v="10"/>
    <n v="0"/>
    <n v="52"/>
    <n v="0"/>
    <n v="52"/>
    <n v="0"/>
    <n v="0"/>
    <n v="0"/>
  </r>
  <r>
    <n v="1"/>
    <x v="0"/>
    <x v="1167"/>
    <x v="16"/>
    <x v="24"/>
    <x v="26"/>
    <x v="18"/>
    <x v="18"/>
    <n v="18"/>
    <s v="4"/>
    <n v="18"/>
    <n v="18"/>
    <x v="10"/>
    <n v="0"/>
    <n v="18"/>
    <n v="0"/>
    <n v="18"/>
    <n v="0"/>
    <n v="0"/>
    <n v="0"/>
  </r>
  <r>
    <n v="1"/>
    <x v="0"/>
    <x v="1167"/>
    <x v="16"/>
    <x v="24"/>
    <x v="26"/>
    <x v="7"/>
    <x v="7"/>
    <n v="30"/>
    <s v="2"/>
    <n v="30"/>
    <n v="30"/>
    <x v="10"/>
    <n v="0"/>
    <n v="30"/>
    <n v="0"/>
    <n v="30"/>
    <n v="0"/>
    <n v="0"/>
    <n v="0"/>
  </r>
  <r>
    <n v="1"/>
    <x v="0"/>
    <x v="1167"/>
    <x v="16"/>
    <x v="24"/>
    <x v="26"/>
    <x v="8"/>
    <x v="8"/>
    <n v="24"/>
    <s v="3"/>
    <n v="24"/>
    <n v="24"/>
    <x v="10"/>
    <n v="0"/>
    <n v="24"/>
    <n v="0"/>
    <n v="24"/>
    <n v="0"/>
    <n v="0"/>
    <n v="0"/>
  </r>
  <r>
    <n v="1"/>
    <x v="0"/>
    <x v="1167"/>
    <x v="16"/>
    <x v="24"/>
    <x v="26"/>
    <x v="9"/>
    <x v="9"/>
    <n v="30"/>
    <s v="5"/>
    <n v="30"/>
    <n v="30"/>
    <x v="10"/>
    <n v="0"/>
    <n v="30"/>
    <n v="0"/>
    <n v="30"/>
    <n v="0"/>
    <n v="0"/>
    <n v="0"/>
  </r>
  <r>
    <n v="1"/>
    <x v="0"/>
    <x v="1168"/>
    <x v="16"/>
    <x v="24"/>
    <x v="1"/>
    <x v="20"/>
    <x v="20"/>
    <n v="12"/>
    <s v="4"/>
    <n v="0"/>
    <n v="0"/>
    <x v="1"/>
    <n v="0"/>
    <n v="0"/>
    <n v="0"/>
    <n v="0"/>
    <n v="0"/>
    <n v="0"/>
    <n v="0"/>
  </r>
  <r>
    <n v="1"/>
    <x v="0"/>
    <x v="1168"/>
    <x v="16"/>
    <x v="24"/>
    <x v="1"/>
    <x v="21"/>
    <x v="21"/>
    <n v="18"/>
    <s v="2"/>
    <n v="0"/>
    <n v="0"/>
    <x v="1"/>
    <n v="0"/>
    <n v="0"/>
    <n v="0"/>
    <n v="0"/>
    <n v="0"/>
    <n v="0"/>
    <n v="0"/>
  </r>
  <r>
    <n v="1"/>
    <x v="0"/>
    <x v="1168"/>
    <x v="16"/>
    <x v="24"/>
    <x v="1"/>
    <x v="67"/>
    <x v="67"/>
    <n v="6"/>
    <s v="3"/>
    <n v="0"/>
    <n v="0"/>
    <x v="1"/>
    <n v="0"/>
    <n v="0"/>
    <n v="0"/>
    <n v="0"/>
    <n v="0"/>
    <n v="0"/>
    <n v="0"/>
  </r>
  <r>
    <n v="1"/>
    <x v="0"/>
    <x v="1168"/>
    <x v="16"/>
    <x v="24"/>
    <x v="1"/>
    <x v="22"/>
    <x v="22"/>
    <n v="240"/>
    <s v="1"/>
    <n v="100"/>
    <n v="100"/>
    <x v="1"/>
    <n v="0"/>
    <n v="100"/>
    <n v="0"/>
    <n v="100"/>
    <n v="0"/>
    <n v="0"/>
    <n v="0"/>
  </r>
  <r>
    <n v="1"/>
    <x v="0"/>
    <x v="1168"/>
    <x v="16"/>
    <x v="24"/>
    <x v="1"/>
    <x v="23"/>
    <x v="23"/>
    <n v="900"/>
    <s v="6"/>
    <n v="0"/>
    <n v="0"/>
    <x v="1"/>
    <n v="0"/>
    <n v="0"/>
    <n v="0"/>
    <n v="0"/>
    <n v="0"/>
    <n v="0"/>
    <n v="0"/>
  </r>
  <r>
    <n v="1"/>
    <x v="0"/>
    <x v="1168"/>
    <x v="16"/>
    <x v="24"/>
    <x v="1"/>
    <x v="42"/>
    <x v="42"/>
    <n v="864"/>
    <s v="5"/>
    <n v="0"/>
    <n v="0"/>
    <x v="1"/>
    <n v="0"/>
    <n v="0"/>
    <n v="0"/>
    <n v="0"/>
    <n v="0"/>
    <n v="0"/>
    <n v="0"/>
  </r>
  <r>
    <n v="1"/>
    <x v="0"/>
    <x v="1168"/>
    <x v="16"/>
    <x v="24"/>
    <x v="1"/>
    <x v="43"/>
    <x v="43"/>
    <n v="16"/>
    <s v="7"/>
    <n v="0"/>
    <n v="0"/>
    <x v="1"/>
    <n v="0"/>
    <n v="0"/>
    <n v="0"/>
    <n v="0"/>
    <n v="0"/>
    <n v="0"/>
    <n v="0"/>
  </r>
  <r>
    <n v="1"/>
    <x v="0"/>
    <x v="1168"/>
    <x v="16"/>
    <x v="24"/>
    <x v="1"/>
    <x v="25"/>
    <x v="25"/>
    <n v="30"/>
    <s v="8"/>
    <n v="0"/>
    <n v="0"/>
    <x v="1"/>
    <n v="0"/>
    <n v="0"/>
    <n v="0"/>
    <n v="0"/>
    <n v="0"/>
    <n v="0"/>
    <n v="0"/>
  </r>
  <r>
    <n v="1"/>
    <x v="0"/>
    <x v="1169"/>
    <x v="16"/>
    <x v="24"/>
    <x v="17"/>
    <x v="2"/>
    <x v="2"/>
    <n v="1"/>
    <s v="23207156096001"/>
    <n v="0"/>
    <n v="0"/>
    <x v="2"/>
    <n v="0"/>
    <n v="0"/>
    <n v="0"/>
    <n v="0"/>
    <n v="0"/>
    <n v="0"/>
    <n v="0"/>
  </r>
  <r>
    <n v="1"/>
    <x v="0"/>
    <x v="1170"/>
    <x v="17"/>
    <x v="25"/>
    <x v="17"/>
    <x v="34"/>
    <x v="34"/>
    <n v="1"/>
    <s v="23207166196001"/>
    <n v="1"/>
    <n v="1"/>
    <x v="23"/>
    <n v="0"/>
    <n v="1"/>
    <n v="0"/>
    <n v="1"/>
    <n v="0"/>
    <n v="0"/>
    <n v="0"/>
  </r>
  <r>
    <n v="1"/>
    <x v="0"/>
    <x v="1171"/>
    <x v="17"/>
    <x v="25"/>
    <x v="17"/>
    <x v="111"/>
    <x v="111"/>
    <n v="1"/>
    <s v="23207165615002"/>
    <n v="1"/>
    <n v="1"/>
    <x v="23"/>
    <n v="0"/>
    <n v="1"/>
    <n v="0"/>
    <n v="1"/>
    <n v="0"/>
    <n v="0"/>
    <n v="0"/>
  </r>
  <r>
    <n v="1"/>
    <x v="0"/>
    <x v="1172"/>
    <x v="17"/>
    <x v="25"/>
    <x v="17"/>
    <x v="14"/>
    <x v="14"/>
    <n v="1"/>
    <s v="23207168245001"/>
    <n v="1"/>
    <n v="1"/>
    <x v="23"/>
    <n v="0"/>
    <n v="1"/>
    <n v="0"/>
    <n v="1"/>
    <n v="0"/>
    <n v="0"/>
    <n v="0"/>
  </r>
  <r>
    <n v="1"/>
    <x v="0"/>
    <x v="1173"/>
    <x v="17"/>
    <x v="25"/>
    <x v="6"/>
    <x v="11"/>
    <x v="11"/>
    <n v="1"/>
    <s v="27207169102001"/>
    <n v="1"/>
    <n v="1"/>
    <x v="6"/>
    <n v="0"/>
    <n v="1"/>
    <n v="0"/>
    <n v="1"/>
    <n v="0"/>
    <n v="0"/>
    <n v="0"/>
  </r>
  <r>
    <n v="1"/>
    <x v="0"/>
    <x v="1174"/>
    <x v="18"/>
    <x v="26"/>
    <x v="17"/>
    <x v="0"/>
    <x v="0"/>
    <n v="1"/>
    <s v="23207177792001"/>
    <n v="1"/>
    <n v="1"/>
    <x v="23"/>
    <n v="0"/>
    <n v="1"/>
    <n v="0"/>
    <n v="1"/>
    <n v="0"/>
    <n v="0"/>
    <n v="0"/>
  </r>
  <r>
    <n v="1"/>
    <x v="0"/>
    <x v="1175"/>
    <x v="18"/>
    <x v="26"/>
    <x v="17"/>
    <x v="3"/>
    <x v="3"/>
    <n v="1"/>
    <s v="23207179203001"/>
    <n v="1"/>
    <n v="1"/>
    <x v="23"/>
    <n v="0"/>
    <n v="1"/>
    <n v="0"/>
    <n v="1"/>
    <n v="0"/>
    <n v="0"/>
    <n v="0"/>
  </r>
  <r>
    <n v="1"/>
    <x v="0"/>
    <x v="1176"/>
    <x v="18"/>
    <x v="26"/>
    <x v="17"/>
    <x v="29"/>
    <x v="29"/>
    <n v="1"/>
    <s v="23207179473001"/>
    <n v="1"/>
    <n v="1"/>
    <x v="23"/>
    <n v="0"/>
    <n v="1"/>
    <n v="0"/>
    <n v="1"/>
    <n v="0"/>
    <n v="0"/>
    <n v="0"/>
  </r>
  <r>
    <n v="1"/>
    <x v="0"/>
    <x v="1177"/>
    <x v="18"/>
    <x v="26"/>
    <x v="16"/>
    <x v="6"/>
    <x v="6"/>
    <n v="8"/>
    <s v="1"/>
    <n v="8"/>
    <n v="8"/>
    <x v="16"/>
    <n v="0"/>
    <n v="8"/>
    <n v="0"/>
    <n v="8"/>
    <n v="0"/>
    <n v="0"/>
    <n v="0"/>
  </r>
  <r>
    <n v="1"/>
    <x v="0"/>
    <x v="1177"/>
    <x v="18"/>
    <x v="26"/>
    <x v="16"/>
    <x v="18"/>
    <x v="18"/>
    <n v="12"/>
    <s v="4"/>
    <n v="12"/>
    <n v="12"/>
    <x v="16"/>
    <n v="0"/>
    <n v="12"/>
    <n v="0"/>
    <n v="12"/>
    <n v="0"/>
    <n v="0"/>
    <n v="0"/>
  </r>
  <r>
    <n v="1"/>
    <x v="0"/>
    <x v="1177"/>
    <x v="18"/>
    <x v="26"/>
    <x v="16"/>
    <x v="9"/>
    <x v="9"/>
    <n v="6"/>
    <s v="5"/>
    <n v="6"/>
    <n v="6"/>
    <x v="16"/>
    <n v="0"/>
    <n v="6"/>
    <n v="0"/>
    <n v="6"/>
    <n v="0"/>
    <n v="0"/>
    <n v="0"/>
  </r>
  <r>
    <n v="1"/>
    <x v="0"/>
    <x v="1177"/>
    <x v="18"/>
    <x v="26"/>
    <x v="16"/>
    <x v="7"/>
    <x v="7"/>
    <n v="6"/>
    <s v="2"/>
    <n v="6"/>
    <n v="6"/>
    <x v="16"/>
    <n v="0"/>
    <n v="6"/>
    <n v="0"/>
    <n v="6"/>
    <n v="0"/>
    <n v="0"/>
    <n v="0"/>
  </r>
  <r>
    <n v="1"/>
    <x v="0"/>
    <x v="1177"/>
    <x v="18"/>
    <x v="26"/>
    <x v="16"/>
    <x v="8"/>
    <x v="8"/>
    <n v="6"/>
    <s v="3"/>
    <n v="6"/>
    <n v="6"/>
    <x v="16"/>
    <n v="0"/>
    <n v="6"/>
    <n v="0"/>
    <n v="6"/>
    <n v="0"/>
    <n v="0"/>
    <n v="0"/>
  </r>
  <r>
    <n v="1"/>
    <x v="0"/>
    <x v="1178"/>
    <x v="18"/>
    <x v="26"/>
    <x v="17"/>
    <x v="16"/>
    <x v="16"/>
    <n v="3"/>
    <s v="23207177663001"/>
    <n v="3"/>
    <n v="3"/>
    <x v="23"/>
    <n v="0"/>
    <n v="3"/>
    <n v="0"/>
    <n v="3"/>
    <n v="0"/>
    <n v="0"/>
    <n v="0"/>
  </r>
  <r>
    <n v="1"/>
    <x v="0"/>
    <x v="1179"/>
    <x v="6"/>
    <x v="26"/>
    <x v="17"/>
    <x v="38"/>
    <x v="38"/>
    <n v="1"/>
    <s v="23207182310001"/>
    <n v="0"/>
    <n v="0"/>
    <x v="2"/>
    <n v="0"/>
    <n v="0"/>
    <n v="0"/>
    <n v="0"/>
    <n v="0"/>
    <n v="0"/>
    <n v="0"/>
  </r>
  <r>
    <n v="1"/>
    <x v="0"/>
    <x v="1180"/>
    <x v="6"/>
    <x v="26"/>
    <x v="17"/>
    <x v="11"/>
    <x v="11"/>
    <n v="1"/>
    <s v="23207182927001"/>
    <n v="1"/>
    <n v="1"/>
    <x v="23"/>
    <n v="0"/>
    <n v="1"/>
    <n v="0"/>
    <n v="1"/>
    <n v="0"/>
    <n v="0"/>
    <n v="0"/>
  </r>
  <r>
    <n v="1"/>
    <x v="0"/>
    <x v="1181"/>
    <x v="6"/>
    <x v="27"/>
    <x v="17"/>
    <x v="17"/>
    <x v="17"/>
    <n v="1"/>
    <s v="23207183703001"/>
    <n v="0"/>
    <n v="0"/>
    <x v="2"/>
    <n v="0"/>
    <n v="0"/>
    <n v="0"/>
    <n v="0"/>
    <n v="0"/>
    <n v="0"/>
    <n v="0"/>
  </r>
  <r>
    <n v="1"/>
    <x v="0"/>
    <x v="1182"/>
    <x v="6"/>
    <x v="27"/>
    <x v="17"/>
    <x v="36"/>
    <x v="36"/>
    <n v="1"/>
    <s v="23207184528001"/>
    <n v="1"/>
    <n v="1"/>
    <x v="23"/>
    <n v="0"/>
    <n v="1"/>
    <n v="0"/>
    <n v="1"/>
    <n v="0"/>
    <n v="0"/>
    <n v="0"/>
  </r>
  <r>
    <n v="1"/>
    <x v="0"/>
    <x v="1183"/>
    <x v="6"/>
    <x v="27"/>
    <x v="17"/>
    <x v="58"/>
    <x v="58"/>
    <n v="1"/>
    <s v="27207185380001"/>
    <n v="1"/>
    <n v="1"/>
    <x v="23"/>
    <n v="0"/>
    <n v="1"/>
    <n v="0"/>
    <n v="1"/>
    <n v="0"/>
    <n v="0"/>
    <n v="0"/>
  </r>
  <r>
    <n v="1"/>
    <x v="0"/>
    <x v="1184"/>
    <x v="6"/>
    <x v="27"/>
    <x v="17"/>
    <x v="181"/>
    <x v="181"/>
    <n v="1"/>
    <s v="27207185410001"/>
    <n v="1"/>
    <n v="1"/>
    <x v="23"/>
    <n v="0"/>
    <n v="1"/>
    <n v="0"/>
    <n v="1"/>
    <n v="0"/>
    <n v="0"/>
    <n v="0"/>
  </r>
  <r>
    <n v="1"/>
    <x v="0"/>
    <x v="1185"/>
    <x v="6"/>
    <x v="27"/>
    <x v="6"/>
    <x v="36"/>
    <x v="36"/>
    <n v="1"/>
    <s v="23207187781001"/>
    <n v="1"/>
    <n v="1"/>
    <x v="6"/>
    <n v="0"/>
    <n v="1"/>
    <n v="0"/>
    <n v="1"/>
    <n v="0"/>
    <n v="0"/>
    <n v="0"/>
  </r>
  <r>
    <n v="1"/>
    <x v="0"/>
    <x v="1186"/>
    <x v="6"/>
    <x v="5"/>
    <x v="6"/>
    <x v="17"/>
    <x v="17"/>
    <n v="1"/>
    <s v="23207190720001"/>
    <n v="1"/>
    <n v="1"/>
    <x v="6"/>
    <n v="0"/>
    <n v="1"/>
    <n v="0"/>
    <n v="1"/>
    <n v="0"/>
    <n v="0"/>
    <n v="0"/>
  </r>
  <r>
    <n v="1"/>
    <x v="0"/>
    <x v="1187"/>
    <x v="6"/>
    <x v="5"/>
    <x v="6"/>
    <x v="29"/>
    <x v="29"/>
    <n v="1"/>
    <s v="23207191234001"/>
    <n v="1"/>
    <n v="1"/>
    <x v="6"/>
    <n v="0"/>
    <n v="1"/>
    <n v="0"/>
    <n v="1"/>
    <n v="0"/>
    <n v="0"/>
    <n v="0"/>
  </r>
  <r>
    <n v="1"/>
    <x v="0"/>
    <x v="29"/>
    <x v="6"/>
    <x v="5"/>
    <x v="6"/>
    <x v="27"/>
    <x v="27"/>
    <n v="2"/>
    <s v="23207192089001"/>
    <n v="1"/>
    <n v="1"/>
    <x v="6"/>
    <n v="0"/>
    <n v="1"/>
    <n v="0"/>
    <n v="1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469">
  <r>
    <n v="25"/>
    <x v="0"/>
    <n v="10"/>
    <s v="2018-08-31"/>
    <x v="0"/>
    <s v="2018-08-31"/>
    <n v="95"/>
    <n v="94"/>
    <s v="2018-09-05"/>
    <n v="0"/>
    <s v="-"/>
    <n v="94"/>
    <n v="0"/>
    <n v="0"/>
    <n v="0"/>
    <n v="98.94736842105263"/>
    <n v="94"/>
    <n v="0"/>
    <n v="94"/>
    <n v="1"/>
    <n v="1"/>
    <n v="0"/>
    <s v="10-"/>
    <n v="94"/>
  </r>
  <r>
    <n v="25"/>
    <x v="0"/>
    <n v="11"/>
    <s v="2018-09-04"/>
    <x v="1"/>
    <s v="2018-09-04"/>
    <n v="14"/>
    <n v="0"/>
    <s v="1900-01-01"/>
    <n v="0"/>
    <s v="-"/>
    <n v="0"/>
    <n v="0"/>
    <n v="0"/>
    <n v="0"/>
    <n v="0"/>
    <n v="0"/>
    <n v="0"/>
    <n v="0"/>
    <n v="14"/>
    <n v="1"/>
    <n v="0"/>
    <s v="11-"/>
    <n v="0"/>
  </r>
  <r>
    <n v="89"/>
    <x v="1"/>
    <n v="896"/>
    <s v="2018-08-28"/>
    <x v="2"/>
    <s v="2018-08-28"/>
    <n v="150"/>
    <n v="150"/>
    <s v="2018-08-28"/>
    <n v="0"/>
    <s v="-"/>
    <n v="150"/>
    <n v="1"/>
    <n v="1"/>
    <n v="1"/>
    <n v="100"/>
    <n v="150"/>
    <n v="0"/>
    <n v="150"/>
    <n v="0"/>
    <n v="1"/>
    <n v="1"/>
    <s v="896-"/>
    <n v="150"/>
  </r>
  <r>
    <n v="3"/>
    <x v="2"/>
    <n v="50051839"/>
    <s v="2018-09-01"/>
    <x v="3"/>
    <s v="2018-09-03"/>
    <n v="1"/>
    <n v="1"/>
    <s v="2018-09-06"/>
    <n v="0"/>
    <s v="137357"/>
    <n v="1"/>
    <n v="1"/>
    <n v="1"/>
    <n v="1"/>
    <n v="100"/>
    <n v="1"/>
    <n v="0"/>
    <n v="1"/>
    <n v="0"/>
    <n v="1"/>
    <n v="1"/>
    <s v="50051839137357"/>
    <n v="1"/>
  </r>
  <r>
    <n v="3"/>
    <x v="2"/>
    <n v="50051410"/>
    <s v="2018-08-23"/>
    <x v="4"/>
    <s v="2018-08-24"/>
    <n v="1"/>
    <n v="1"/>
    <s v="2018-08-28"/>
    <n v="0"/>
    <s v="30177655"/>
    <n v="1"/>
    <n v="1"/>
    <n v="1"/>
    <n v="1"/>
    <n v="100"/>
    <n v="1"/>
    <n v="0"/>
    <n v="1"/>
    <n v="0"/>
    <n v="1"/>
    <n v="1"/>
    <s v="5005141030177655"/>
    <n v="1"/>
  </r>
  <r>
    <n v="3"/>
    <x v="2"/>
    <n v="50052369"/>
    <s v="2018-09-13"/>
    <x v="5"/>
    <s v="2018-09-14"/>
    <n v="1"/>
    <n v="1"/>
    <s v="2018-09-24"/>
    <n v="0"/>
    <s v="30177806"/>
    <n v="1"/>
    <n v="1"/>
    <n v="1"/>
    <n v="1"/>
    <n v="100"/>
    <n v="1"/>
    <n v="0"/>
    <n v="1"/>
    <n v="0"/>
    <n v="1"/>
    <n v="1"/>
    <s v="5005236930177806"/>
    <n v="1"/>
  </r>
  <r>
    <n v="3"/>
    <x v="2"/>
    <n v="50052250"/>
    <s v="2018-09-10"/>
    <x v="6"/>
    <s v="2018-09-11"/>
    <n v="1"/>
    <n v="0"/>
    <s v="1900-01-01"/>
    <n v="0"/>
    <s v="31594784"/>
    <n v="0"/>
    <n v="0"/>
    <n v="0"/>
    <n v="0"/>
    <n v="0"/>
    <n v="0"/>
    <n v="0"/>
    <n v="0"/>
    <n v="1"/>
    <n v="1"/>
    <n v="0"/>
    <s v="5005225031594784"/>
    <n v="0"/>
  </r>
  <r>
    <n v="3"/>
    <x v="2"/>
    <n v="50052089"/>
    <s v="2018-09-06"/>
    <x v="7"/>
    <s v="2018-09-07"/>
    <n v="1"/>
    <n v="2"/>
    <s v="2018-09-20"/>
    <n v="1"/>
    <s v="32119059"/>
    <n v="1"/>
    <n v="1"/>
    <n v="1"/>
    <n v="1"/>
    <n v="100"/>
    <n v="0"/>
    <n v="1"/>
    <n v="1"/>
    <n v="0"/>
    <n v="1"/>
    <n v="1"/>
    <s v="5005208932119059"/>
    <n v="1"/>
  </r>
  <r>
    <n v="3"/>
    <x v="2"/>
    <n v="50051550"/>
    <s v="2018-08-26"/>
    <x v="8"/>
    <s v="2018-08-27"/>
    <n v="1"/>
    <n v="1"/>
    <s v="2018-09-04"/>
    <n v="0"/>
    <s v="33160742"/>
    <n v="1"/>
    <n v="1"/>
    <n v="1"/>
    <n v="1"/>
    <n v="100"/>
    <n v="1"/>
    <n v="0"/>
    <n v="1"/>
    <n v="0"/>
    <n v="1"/>
    <n v="1"/>
    <s v="5005155033160742"/>
    <n v="1"/>
  </r>
  <r>
    <n v="3"/>
    <x v="2"/>
    <n v="50051795"/>
    <s v="2018-08-31"/>
    <x v="9"/>
    <s v="2018-09-03"/>
    <n v="1"/>
    <n v="1"/>
    <s v="2018-09-06"/>
    <n v="0"/>
    <s v="33266718"/>
    <n v="1"/>
    <n v="1"/>
    <n v="1"/>
    <n v="1"/>
    <n v="100"/>
    <n v="1"/>
    <n v="0"/>
    <n v="1"/>
    <n v="0"/>
    <n v="1"/>
    <n v="1"/>
    <s v="5005179533266718"/>
    <n v="1"/>
  </r>
  <r>
    <n v="3"/>
    <x v="2"/>
    <n v="50051940"/>
    <s v="2018-09-03"/>
    <x v="6"/>
    <s v="2018-09-04"/>
    <n v="1"/>
    <n v="3"/>
    <s v="2018-09-20"/>
    <n v="2"/>
    <s v="33266755"/>
    <n v="1"/>
    <n v="1"/>
    <n v="1"/>
    <n v="1"/>
    <n v="100"/>
    <n v="-1"/>
    <n v="2"/>
    <n v="1"/>
    <n v="0"/>
    <n v="1"/>
    <n v="1"/>
    <s v="5005194033266755"/>
    <n v="1"/>
  </r>
  <r>
    <n v="3"/>
    <x v="2"/>
    <n v="50052250"/>
    <s v="2018-09-10"/>
    <x v="10"/>
    <s v="2018-09-11"/>
    <n v="1"/>
    <n v="1"/>
    <s v="2018-09-21"/>
    <n v="0"/>
    <s v="33266846"/>
    <n v="1"/>
    <n v="1"/>
    <n v="1"/>
    <n v="1"/>
    <n v="100"/>
    <n v="1"/>
    <n v="0"/>
    <n v="1"/>
    <n v="0"/>
    <n v="1"/>
    <n v="1"/>
    <s v="5005225033266846"/>
    <n v="1"/>
  </r>
  <r>
    <n v="3"/>
    <x v="2"/>
    <n v="50052296"/>
    <s v="2018-09-11"/>
    <x v="7"/>
    <s v="2018-09-12"/>
    <n v="1"/>
    <n v="1"/>
    <s v="2018-09-21"/>
    <n v="0"/>
    <s v="33266860"/>
    <n v="1"/>
    <n v="1"/>
    <n v="1"/>
    <n v="1"/>
    <n v="100"/>
    <n v="1"/>
    <n v="0"/>
    <n v="1"/>
    <n v="0"/>
    <n v="1"/>
    <n v="1"/>
    <s v="5005229633266860"/>
    <n v="1"/>
  </r>
  <r>
    <n v="3"/>
    <x v="2"/>
    <n v="50051940"/>
    <s v="2018-09-03"/>
    <x v="11"/>
    <s v="2018-09-04"/>
    <n v="1"/>
    <n v="3"/>
    <s v="2018-09-20"/>
    <n v="2"/>
    <s v="33281826"/>
    <n v="1"/>
    <n v="1"/>
    <n v="0"/>
    <n v="0"/>
    <n v="100"/>
    <n v="-1"/>
    <n v="2"/>
    <n v="1"/>
    <n v="0"/>
    <n v="1"/>
    <n v="0"/>
    <s v="5005194033281826"/>
    <n v="1"/>
  </r>
  <r>
    <n v="3"/>
    <x v="2"/>
    <n v="50050998"/>
    <s v="1900-01-01"/>
    <x v="12"/>
    <s v="1900-01-01"/>
    <n v="1"/>
    <n v="1"/>
    <s v="2018-08-23"/>
    <n v="0"/>
    <s v="33695004"/>
    <n v="1"/>
    <n v="1"/>
    <n v="1"/>
    <n v="1"/>
    <n v="100"/>
    <n v="1"/>
    <n v="0"/>
    <n v="1"/>
    <n v="0"/>
    <n v="1"/>
    <n v="1"/>
    <s v="5005099833695004"/>
    <n v="1"/>
  </r>
  <r>
    <n v="3"/>
    <x v="2"/>
    <n v="50051048"/>
    <s v="1900-01-01"/>
    <x v="12"/>
    <s v="2018-08-17"/>
    <n v="1"/>
    <n v="1"/>
    <s v="2018-08-23"/>
    <n v="0"/>
    <s v="33695046"/>
    <n v="1"/>
    <n v="1"/>
    <n v="1"/>
    <n v="1"/>
    <n v="100"/>
    <n v="1"/>
    <n v="0"/>
    <n v="1"/>
    <n v="0"/>
    <n v="1"/>
    <n v="1"/>
    <s v="5005104833695046"/>
    <n v="1"/>
  </r>
  <r>
    <n v="3"/>
    <x v="2"/>
    <n v="50051889"/>
    <s v="2018-09-02"/>
    <x v="6"/>
    <s v="2018-09-03"/>
    <n v="1"/>
    <n v="1"/>
    <s v="2018-09-06"/>
    <n v="0"/>
    <s v="33774992"/>
    <n v="1"/>
    <n v="1"/>
    <n v="1"/>
    <n v="1"/>
    <n v="100"/>
    <n v="1"/>
    <n v="0"/>
    <n v="1"/>
    <n v="0"/>
    <n v="1"/>
    <n v="1"/>
    <s v="5005188933774992"/>
    <n v="1"/>
  </r>
  <r>
    <n v="3"/>
    <x v="2"/>
    <n v="50051209"/>
    <s v="2018-08-19"/>
    <x v="2"/>
    <s v="2018-08-20"/>
    <n v="1"/>
    <n v="1"/>
    <s v="2018-08-23"/>
    <n v="0"/>
    <s v="33791108"/>
    <n v="1"/>
    <n v="1"/>
    <n v="1"/>
    <n v="1"/>
    <n v="100"/>
    <n v="1"/>
    <n v="0"/>
    <n v="1"/>
    <n v="0"/>
    <n v="1"/>
    <n v="1"/>
    <s v="5005120933791108"/>
    <n v="1"/>
  </r>
  <r>
    <n v="3"/>
    <x v="2"/>
    <n v="50052369"/>
    <s v="2018-09-13"/>
    <x v="5"/>
    <s v="2018-09-14"/>
    <n v="1"/>
    <n v="1"/>
    <s v="2018-09-24"/>
    <n v="0"/>
    <s v="33847563"/>
    <n v="1"/>
    <n v="1"/>
    <n v="1"/>
    <n v="1"/>
    <n v="100"/>
    <n v="1"/>
    <n v="0"/>
    <n v="1"/>
    <n v="0"/>
    <n v="1"/>
    <n v="1"/>
    <s v="5005236933847563"/>
    <n v="1"/>
  </r>
  <r>
    <n v="3"/>
    <x v="2"/>
    <n v="50051148"/>
    <s v="2018-08-18"/>
    <x v="13"/>
    <s v="2018-08-20"/>
    <n v="1"/>
    <n v="2"/>
    <s v="2018-08-28"/>
    <n v="1"/>
    <s v="34054610"/>
    <n v="1"/>
    <n v="1"/>
    <n v="1"/>
    <n v="1"/>
    <n v="100"/>
    <n v="0"/>
    <n v="1"/>
    <n v="1"/>
    <n v="0"/>
    <n v="1"/>
    <n v="1"/>
    <s v="5005114834054610"/>
    <n v="1"/>
  </r>
  <r>
    <n v="3"/>
    <x v="2"/>
    <n v="50051148"/>
    <s v="2018-08-18"/>
    <x v="12"/>
    <s v="2018-08-20"/>
    <n v="1"/>
    <n v="1"/>
    <s v="2018-08-23"/>
    <n v="0"/>
    <s v="34054621"/>
    <n v="1"/>
    <n v="1"/>
    <n v="1"/>
    <n v="1"/>
    <n v="100"/>
    <n v="1"/>
    <n v="0"/>
    <n v="1"/>
    <n v="0"/>
    <n v="1"/>
    <n v="1"/>
    <s v="5005114834054621"/>
    <n v="1"/>
  </r>
  <r>
    <n v="3"/>
    <x v="2"/>
    <n v="50051311"/>
    <s v="2018-08-21"/>
    <x v="14"/>
    <s v="2018-08-22"/>
    <n v="1"/>
    <n v="1"/>
    <s v="2018-08-28"/>
    <n v="0"/>
    <s v="34054660"/>
    <n v="1"/>
    <n v="1"/>
    <n v="1"/>
    <n v="1"/>
    <n v="100"/>
    <n v="1"/>
    <n v="0"/>
    <n v="1"/>
    <n v="0"/>
    <n v="1"/>
    <n v="1"/>
    <s v="5005131134054660"/>
    <n v="1"/>
  </r>
  <r>
    <n v="3"/>
    <x v="2"/>
    <n v="50051748"/>
    <s v="2018-08-30"/>
    <x v="9"/>
    <s v="2018-08-31"/>
    <n v="1"/>
    <n v="1"/>
    <s v="2018-09-04"/>
    <n v="0"/>
    <s v="34054758"/>
    <n v="1"/>
    <n v="1"/>
    <n v="1"/>
    <n v="1"/>
    <n v="100"/>
    <n v="1"/>
    <n v="0"/>
    <n v="1"/>
    <n v="0"/>
    <n v="1"/>
    <n v="1"/>
    <s v="5005174834054758"/>
    <n v="1"/>
  </r>
  <r>
    <n v="3"/>
    <x v="2"/>
    <n v="50051748"/>
    <s v="2018-08-30"/>
    <x v="9"/>
    <s v="2018-08-31"/>
    <n v="1"/>
    <n v="1"/>
    <s v="2018-09-04"/>
    <n v="0"/>
    <s v="34054778"/>
    <n v="1"/>
    <n v="1"/>
    <n v="1"/>
    <n v="1"/>
    <n v="100"/>
    <n v="1"/>
    <n v="0"/>
    <n v="1"/>
    <n v="0"/>
    <n v="1"/>
    <n v="1"/>
    <s v="5005174834054778"/>
    <n v="1"/>
  </r>
  <r>
    <n v="3"/>
    <x v="2"/>
    <n v="50051991"/>
    <s v="2018-09-04"/>
    <x v="6"/>
    <s v="2018-09-05"/>
    <n v="1"/>
    <n v="3"/>
    <s v="2018-09-20"/>
    <n v="2"/>
    <s v="34054823"/>
    <n v="1"/>
    <n v="1"/>
    <n v="1"/>
    <n v="1"/>
    <n v="100"/>
    <n v="-1"/>
    <n v="2"/>
    <n v="1"/>
    <n v="0"/>
    <n v="1"/>
    <n v="1"/>
    <s v="5005199134054823"/>
    <n v="1"/>
  </r>
  <r>
    <n v="3"/>
    <x v="2"/>
    <n v="50051991"/>
    <s v="2018-09-04"/>
    <x v="7"/>
    <s v="2018-09-05"/>
    <n v="1"/>
    <n v="3"/>
    <s v="2018-09-20"/>
    <n v="2"/>
    <s v="34054825"/>
    <n v="1"/>
    <n v="1"/>
    <n v="1"/>
    <n v="1"/>
    <n v="100"/>
    <n v="-1"/>
    <n v="2"/>
    <n v="1"/>
    <n v="0"/>
    <n v="1"/>
    <n v="1"/>
    <s v="5005199134054825"/>
    <n v="1"/>
  </r>
  <r>
    <n v="3"/>
    <x v="2"/>
    <n v="50051597"/>
    <s v="2018-08-27"/>
    <x v="15"/>
    <s v="2018-08-28"/>
    <n v="1"/>
    <n v="1"/>
    <s v="2018-09-04"/>
    <n v="0"/>
    <s v="34349117"/>
    <n v="1"/>
    <n v="1"/>
    <n v="1"/>
    <n v="1"/>
    <n v="100"/>
    <n v="1"/>
    <n v="0"/>
    <n v="1"/>
    <n v="0"/>
    <n v="1"/>
    <n v="1"/>
    <s v="5005159734349117"/>
    <n v="1"/>
  </r>
  <r>
    <n v="3"/>
    <x v="2"/>
    <n v="50051451"/>
    <s v="2018-08-24"/>
    <x v="1"/>
    <s v="2018-08-27"/>
    <n v="1"/>
    <n v="1"/>
    <s v="2018-08-30"/>
    <n v="0"/>
    <s v="34382573"/>
    <n v="1"/>
    <n v="1"/>
    <n v="1"/>
    <n v="1"/>
    <n v="100"/>
    <n v="1"/>
    <n v="0"/>
    <n v="1"/>
    <n v="0"/>
    <n v="1"/>
    <n v="1"/>
    <s v="5005145134382573"/>
    <n v="1"/>
  </r>
  <r>
    <n v="3"/>
    <x v="2"/>
    <n v="50051550"/>
    <s v="2018-08-26"/>
    <x v="1"/>
    <s v="2018-08-27"/>
    <n v="1"/>
    <n v="1"/>
    <s v="2018-08-30"/>
    <n v="0"/>
    <s v="34602320"/>
    <n v="1"/>
    <n v="1"/>
    <n v="1"/>
    <n v="1"/>
    <n v="100"/>
    <n v="1"/>
    <n v="0"/>
    <n v="1"/>
    <n v="0"/>
    <n v="1"/>
    <n v="1"/>
    <s v="5005155034602320"/>
    <n v="1"/>
  </r>
  <r>
    <n v="3"/>
    <x v="2"/>
    <n v="50051889"/>
    <s v="2018-09-02"/>
    <x v="16"/>
    <s v="2018-09-03"/>
    <n v="1"/>
    <n v="1"/>
    <s v="2018-09-06"/>
    <n v="0"/>
    <s v="34602374"/>
    <n v="1"/>
    <n v="1"/>
    <n v="1"/>
    <n v="1"/>
    <n v="100"/>
    <n v="1"/>
    <n v="0"/>
    <n v="1"/>
    <n v="0"/>
    <n v="1"/>
    <n v="1"/>
    <s v="5005188934602374"/>
    <n v="1"/>
  </r>
  <r>
    <n v="3"/>
    <x v="2"/>
    <n v="50052042"/>
    <s v="2018-09-05"/>
    <x v="6"/>
    <s v="2018-09-06"/>
    <n v="1"/>
    <n v="3"/>
    <s v="2018-09-20"/>
    <n v="2"/>
    <s v="34602408"/>
    <n v="1"/>
    <n v="1"/>
    <n v="1"/>
    <n v="1"/>
    <n v="100"/>
    <n v="-1"/>
    <n v="2"/>
    <n v="1"/>
    <n v="0"/>
    <n v="1"/>
    <n v="1"/>
    <s v="5005204234602408"/>
    <n v="1"/>
  </r>
  <r>
    <n v="3"/>
    <x v="2"/>
    <n v="50052132"/>
    <s v="2018-09-07"/>
    <x v="6"/>
    <s v="2018-09-10"/>
    <n v="1"/>
    <n v="2"/>
    <s v="2018-09-20"/>
    <n v="1"/>
    <s v="34602416"/>
    <n v="1"/>
    <n v="1"/>
    <n v="1"/>
    <n v="1"/>
    <n v="100"/>
    <n v="0"/>
    <n v="1"/>
    <n v="1"/>
    <n v="0"/>
    <n v="1"/>
    <n v="1"/>
    <s v="5005213234602416"/>
    <n v="1"/>
  </r>
  <r>
    <n v="3"/>
    <x v="2"/>
    <n v="50050998"/>
    <s v="1900-01-01"/>
    <x v="17"/>
    <s v="1900-01-01"/>
    <n v="1"/>
    <n v="1"/>
    <s v="2018-08-23"/>
    <n v="0"/>
    <s v="34732958"/>
    <n v="1"/>
    <n v="1"/>
    <n v="1"/>
    <n v="1"/>
    <n v="100"/>
    <n v="1"/>
    <n v="0"/>
    <n v="1"/>
    <n v="0"/>
    <n v="1"/>
    <n v="1"/>
    <s v="5005099834732958"/>
    <n v="1"/>
  </r>
  <r>
    <n v="3"/>
    <x v="2"/>
    <n v="50051148"/>
    <s v="2018-08-18"/>
    <x v="12"/>
    <s v="2018-08-20"/>
    <n v="1"/>
    <n v="1"/>
    <s v="2018-08-23"/>
    <n v="0"/>
    <s v="34732996"/>
    <n v="1"/>
    <n v="1"/>
    <n v="1"/>
    <n v="1"/>
    <n v="100"/>
    <n v="1"/>
    <n v="0"/>
    <n v="1"/>
    <n v="0"/>
    <n v="1"/>
    <n v="1"/>
    <s v="5005114834732996"/>
    <n v="1"/>
  </r>
  <r>
    <n v="3"/>
    <x v="2"/>
    <n v="50051498"/>
    <s v="2018-08-25"/>
    <x v="0"/>
    <s v="2018-08-27"/>
    <n v="1"/>
    <n v="1"/>
    <s v="2018-08-30"/>
    <n v="0"/>
    <s v="34733047"/>
    <n v="1"/>
    <n v="1"/>
    <n v="1"/>
    <n v="1"/>
    <n v="100"/>
    <n v="1"/>
    <n v="0"/>
    <n v="1"/>
    <n v="0"/>
    <n v="1"/>
    <n v="1"/>
    <s v="5005149834733047"/>
    <n v="1"/>
  </r>
  <r>
    <n v="3"/>
    <x v="2"/>
    <n v="50051498"/>
    <s v="2018-08-25"/>
    <x v="18"/>
    <s v="2018-08-27"/>
    <n v="1"/>
    <n v="1"/>
    <s v="2018-08-30"/>
    <n v="1"/>
    <s v="34733056"/>
    <n v="0"/>
    <n v="0"/>
    <n v="1"/>
    <n v="0"/>
    <n v="0"/>
    <n v="0"/>
    <n v="0"/>
    <n v="-1"/>
    <n v="2"/>
    <n v="1"/>
    <n v="0"/>
    <s v="5005149834733056"/>
    <n v="0"/>
  </r>
  <r>
    <n v="3"/>
    <x v="2"/>
    <n v="50051696"/>
    <s v="2018-08-29"/>
    <x v="5"/>
    <s v="2018-08-30"/>
    <n v="1"/>
    <n v="1"/>
    <s v="2018-09-04"/>
    <n v="0"/>
    <s v="34733123"/>
    <n v="1"/>
    <n v="1"/>
    <n v="1"/>
    <n v="1"/>
    <n v="100"/>
    <n v="1"/>
    <n v="0"/>
    <n v="1"/>
    <n v="0"/>
    <n v="1"/>
    <n v="1"/>
    <s v="5005169634733123"/>
    <n v="1"/>
  </r>
  <r>
    <n v="3"/>
    <x v="2"/>
    <n v="50051889"/>
    <s v="2018-09-02"/>
    <x v="16"/>
    <s v="2018-09-03"/>
    <n v="1"/>
    <n v="1"/>
    <s v="2018-09-06"/>
    <n v="0"/>
    <s v="34733184"/>
    <n v="1"/>
    <n v="1"/>
    <n v="1"/>
    <n v="1"/>
    <n v="100"/>
    <n v="1"/>
    <n v="0"/>
    <n v="1"/>
    <n v="0"/>
    <n v="1"/>
    <n v="1"/>
    <s v="5005188934733184"/>
    <n v="1"/>
  </r>
  <r>
    <n v="3"/>
    <x v="2"/>
    <n v="50051098"/>
    <s v="2018-08-17"/>
    <x v="2"/>
    <s v="2018-08-20"/>
    <n v="1"/>
    <n v="1"/>
    <s v="2018-08-23"/>
    <n v="0"/>
    <s v="34832903"/>
    <n v="1"/>
    <n v="1"/>
    <n v="1"/>
    <n v="1"/>
    <n v="100"/>
    <n v="1"/>
    <n v="0"/>
    <n v="1"/>
    <n v="0"/>
    <n v="1"/>
    <n v="1"/>
    <s v="5005109834832903"/>
    <n v="1"/>
  </r>
  <r>
    <n v="3"/>
    <x v="2"/>
    <n v="50051410"/>
    <s v="2018-08-23"/>
    <x v="18"/>
    <s v="2018-08-24"/>
    <n v="1"/>
    <n v="1"/>
    <s v="2018-08-28"/>
    <n v="0"/>
    <s v="34833144"/>
    <n v="1"/>
    <n v="1"/>
    <n v="1"/>
    <n v="1"/>
    <n v="100"/>
    <n v="1"/>
    <n v="0"/>
    <n v="1"/>
    <n v="0"/>
    <n v="1"/>
    <n v="1"/>
    <s v="5005141034833144"/>
    <n v="1"/>
  </r>
  <r>
    <n v="3"/>
    <x v="2"/>
    <n v="50051209"/>
    <s v="2018-08-19"/>
    <x v="4"/>
    <s v="2018-08-20"/>
    <n v="1"/>
    <n v="2"/>
    <s v="2018-08-28"/>
    <n v="1"/>
    <s v="34836313"/>
    <n v="1"/>
    <n v="1"/>
    <n v="1"/>
    <n v="1"/>
    <n v="100"/>
    <n v="0"/>
    <n v="1"/>
    <n v="1"/>
    <n v="0"/>
    <n v="1"/>
    <n v="1"/>
    <s v="5005120934836313"/>
    <n v="1"/>
  </r>
  <r>
    <n v="3"/>
    <x v="2"/>
    <n v="50051597"/>
    <s v="2018-08-27"/>
    <x v="15"/>
    <s v="2018-08-28"/>
    <n v="1"/>
    <n v="1"/>
    <s v="2018-09-04"/>
    <n v="0"/>
    <s v="34836383"/>
    <n v="1"/>
    <n v="1"/>
    <n v="1"/>
    <n v="1"/>
    <n v="100"/>
    <n v="1"/>
    <n v="0"/>
    <n v="1"/>
    <n v="0"/>
    <n v="1"/>
    <n v="1"/>
    <s v="5005159734836383"/>
    <n v="1"/>
  </r>
  <r>
    <n v="3"/>
    <x v="2"/>
    <n v="50052250"/>
    <s v="2018-09-10"/>
    <x v="6"/>
    <s v="2018-09-11"/>
    <n v="1"/>
    <n v="1"/>
    <s v="2018-09-21"/>
    <n v="0"/>
    <s v="34836508"/>
    <n v="1"/>
    <n v="1"/>
    <n v="0"/>
    <n v="0"/>
    <n v="100"/>
    <n v="1"/>
    <n v="0"/>
    <n v="1"/>
    <n v="0"/>
    <n v="1"/>
    <n v="0"/>
    <s v="5005225034836508"/>
    <n v="1"/>
  </r>
  <r>
    <n v="3"/>
    <x v="2"/>
    <n v="50052369"/>
    <s v="2018-09-13"/>
    <x v="5"/>
    <s v="2018-09-14"/>
    <n v="1"/>
    <n v="1"/>
    <s v="2018-09-24"/>
    <n v="0"/>
    <s v="35064463"/>
    <n v="1"/>
    <n v="1"/>
    <n v="1"/>
    <n v="1"/>
    <n v="100"/>
    <n v="1"/>
    <n v="0"/>
    <n v="1"/>
    <n v="0"/>
    <n v="1"/>
    <n v="1"/>
    <s v="5005236935064463"/>
    <n v="1"/>
  </r>
  <r>
    <n v="3"/>
    <x v="2"/>
    <n v="50051148"/>
    <s v="2018-08-18"/>
    <x v="12"/>
    <s v="2018-08-20"/>
    <n v="1"/>
    <n v="1"/>
    <s v="2018-08-23"/>
    <n v="0"/>
    <s v="35208064"/>
    <n v="1"/>
    <n v="1"/>
    <n v="1"/>
    <n v="1"/>
    <n v="100"/>
    <n v="1"/>
    <n v="0"/>
    <n v="1"/>
    <n v="0"/>
    <n v="1"/>
    <n v="1"/>
    <s v="5005114835208064"/>
    <n v="1"/>
  </r>
  <r>
    <n v="3"/>
    <x v="2"/>
    <n v="50051209"/>
    <s v="2018-08-19"/>
    <x v="14"/>
    <s v="2018-08-20"/>
    <n v="1"/>
    <n v="2"/>
    <s v="2018-08-28"/>
    <n v="1"/>
    <s v="35208078"/>
    <n v="1"/>
    <n v="1"/>
    <n v="1"/>
    <n v="1"/>
    <n v="100"/>
    <n v="0"/>
    <n v="1"/>
    <n v="1"/>
    <n v="0"/>
    <n v="1"/>
    <n v="1"/>
    <s v="5005120935208078"/>
    <n v="1"/>
  </r>
  <r>
    <n v="3"/>
    <x v="2"/>
    <n v="50051451"/>
    <s v="2018-08-24"/>
    <x v="0"/>
    <s v="2018-08-27"/>
    <n v="1"/>
    <n v="1"/>
    <s v="2018-08-30"/>
    <n v="0"/>
    <s v="35208141"/>
    <n v="1"/>
    <n v="1"/>
    <n v="1"/>
    <n v="1"/>
    <n v="100"/>
    <n v="1"/>
    <n v="0"/>
    <n v="1"/>
    <n v="0"/>
    <n v="1"/>
    <n v="1"/>
    <s v="5005145135208141"/>
    <n v="1"/>
  </r>
  <r>
    <n v="3"/>
    <x v="2"/>
    <n v="50051451"/>
    <s v="2018-08-24"/>
    <x v="0"/>
    <s v="2018-08-27"/>
    <n v="1"/>
    <n v="1"/>
    <s v="2018-08-30"/>
    <n v="0"/>
    <s v="35208147"/>
    <n v="1"/>
    <n v="1"/>
    <n v="1"/>
    <n v="1"/>
    <n v="100"/>
    <n v="1"/>
    <n v="0"/>
    <n v="1"/>
    <n v="0"/>
    <n v="1"/>
    <n v="1"/>
    <s v="5005145135208147"/>
    <n v="1"/>
  </r>
  <r>
    <n v="3"/>
    <x v="2"/>
    <n v="50051649"/>
    <s v="2018-08-28"/>
    <x v="9"/>
    <s v="2018-08-29"/>
    <n v="1"/>
    <n v="1"/>
    <s v="2018-09-04"/>
    <n v="0"/>
    <s v="35208168"/>
    <n v="1"/>
    <n v="1"/>
    <n v="1"/>
    <n v="1"/>
    <n v="100"/>
    <n v="1"/>
    <n v="0"/>
    <n v="1"/>
    <n v="0"/>
    <n v="1"/>
    <n v="1"/>
    <s v="5005164935208168"/>
    <n v="1"/>
  </r>
  <r>
    <n v="3"/>
    <x v="2"/>
    <n v="50051795"/>
    <s v="2018-08-31"/>
    <x v="9"/>
    <s v="2018-09-03"/>
    <n v="1"/>
    <n v="1"/>
    <s v="2018-09-06"/>
    <n v="0"/>
    <s v="35208184"/>
    <n v="1"/>
    <n v="1"/>
    <n v="1"/>
    <n v="1"/>
    <n v="100"/>
    <n v="1"/>
    <n v="0"/>
    <n v="1"/>
    <n v="0"/>
    <n v="1"/>
    <n v="1"/>
    <s v="5005179535208184"/>
    <n v="1"/>
  </r>
  <r>
    <n v="3"/>
    <x v="2"/>
    <n v="50052171"/>
    <s v="2018-09-08"/>
    <x v="7"/>
    <s v="2018-09-10"/>
    <n v="1"/>
    <n v="2"/>
    <s v="2018-09-20"/>
    <n v="1"/>
    <s v="35208253"/>
    <n v="1"/>
    <n v="1"/>
    <n v="1"/>
    <n v="1"/>
    <n v="100"/>
    <n v="0"/>
    <n v="1"/>
    <n v="1"/>
    <n v="0"/>
    <n v="1"/>
    <n v="1"/>
    <s v="5005217135208253"/>
    <n v="1"/>
  </r>
  <r>
    <n v="3"/>
    <x v="2"/>
    <n v="50052211"/>
    <s v="2018-09-09"/>
    <x v="6"/>
    <s v="2018-09-10"/>
    <n v="1"/>
    <n v="2"/>
    <s v="2018-09-20"/>
    <n v="1"/>
    <s v="35208269"/>
    <n v="1"/>
    <n v="1"/>
    <n v="1"/>
    <n v="1"/>
    <n v="100"/>
    <n v="0"/>
    <n v="1"/>
    <n v="1"/>
    <n v="0"/>
    <n v="1"/>
    <n v="1"/>
    <s v="5005221135208269"/>
    <n v="1"/>
  </r>
  <r>
    <n v="3"/>
    <x v="2"/>
    <n v="50051148"/>
    <s v="2018-08-18"/>
    <x v="12"/>
    <s v="2018-08-20"/>
    <n v="1"/>
    <n v="1"/>
    <s v="2018-08-23"/>
    <n v="0"/>
    <s v="35288439"/>
    <n v="1"/>
    <n v="1"/>
    <n v="1"/>
    <n v="1"/>
    <n v="100"/>
    <n v="1"/>
    <n v="0"/>
    <n v="1"/>
    <n v="0"/>
    <n v="1"/>
    <n v="1"/>
    <s v="5005114835288439"/>
    <n v="1"/>
  </r>
  <r>
    <n v="3"/>
    <x v="2"/>
    <n v="50052171"/>
    <s v="2018-09-08"/>
    <x v="6"/>
    <s v="2018-09-10"/>
    <n v="1"/>
    <n v="2"/>
    <s v="2018-09-20"/>
    <n v="1"/>
    <s v="35288715"/>
    <n v="1"/>
    <n v="1"/>
    <n v="1"/>
    <n v="1"/>
    <n v="100"/>
    <n v="0"/>
    <n v="1"/>
    <n v="1"/>
    <n v="0"/>
    <n v="1"/>
    <n v="1"/>
    <s v="5005217135288715"/>
    <n v="1"/>
  </r>
  <r>
    <n v="3"/>
    <x v="2"/>
    <n v="50051098"/>
    <s v="2018-08-17"/>
    <x v="17"/>
    <s v="2018-08-20"/>
    <n v="1"/>
    <n v="1"/>
    <s v="2018-08-28"/>
    <n v="0"/>
    <s v="35344306"/>
    <n v="1"/>
    <n v="1"/>
    <n v="1"/>
    <n v="1"/>
    <n v="100"/>
    <n v="1"/>
    <n v="0"/>
    <n v="1"/>
    <n v="0"/>
    <n v="1"/>
    <n v="1"/>
    <s v="5005109835344306"/>
    <n v="1"/>
  </r>
  <r>
    <n v="3"/>
    <x v="2"/>
    <n v="50051148"/>
    <s v="2018-08-18"/>
    <x v="14"/>
    <s v="2018-08-20"/>
    <n v="1"/>
    <n v="2"/>
    <s v="2018-08-28"/>
    <n v="1"/>
    <s v="35344322"/>
    <n v="1"/>
    <n v="1"/>
    <n v="1"/>
    <n v="1"/>
    <n v="100"/>
    <n v="0"/>
    <n v="1"/>
    <n v="1"/>
    <n v="0"/>
    <n v="1"/>
    <n v="1"/>
    <s v="5005114835344322"/>
    <n v="1"/>
  </r>
  <r>
    <n v="3"/>
    <x v="2"/>
    <n v="50051209"/>
    <s v="2018-08-19"/>
    <x v="14"/>
    <s v="2018-08-20"/>
    <n v="1"/>
    <n v="2"/>
    <s v="2018-08-28"/>
    <n v="1"/>
    <s v="35344332"/>
    <n v="1"/>
    <n v="1"/>
    <n v="1"/>
    <n v="1"/>
    <n v="100"/>
    <n v="0"/>
    <n v="1"/>
    <n v="1"/>
    <n v="0"/>
    <n v="1"/>
    <n v="1"/>
    <s v="5005120935344332"/>
    <n v="1"/>
  </r>
  <r>
    <n v="3"/>
    <x v="2"/>
    <n v="50051260"/>
    <s v="2018-08-20"/>
    <x v="4"/>
    <s v="2018-08-21"/>
    <n v="1"/>
    <n v="2"/>
    <s v="2018-08-28"/>
    <n v="1"/>
    <s v="35344344"/>
    <n v="1"/>
    <n v="1"/>
    <n v="1"/>
    <n v="1"/>
    <n v="100"/>
    <n v="0"/>
    <n v="1"/>
    <n v="1"/>
    <n v="0"/>
    <n v="1"/>
    <n v="1"/>
    <s v="5005126035344344"/>
    <n v="1"/>
  </r>
  <r>
    <n v="3"/>
    <x v="2"/>
    <n v="50051311"/>
    <s v="2018-08-21"/>
    <x v="0"/>
    <s v="2018-08-22"/>
    <n v="1"/>
    <n v="1"/>
    <s v="2018-08-28"/>
    <n v="0"/>
    <s v="35344357"/>
    <n v="1"/>
    <n v="1"/>
    <n v="1"/>
    <n v="1"/>
    <n v="100"/>
    <n v="1"/>
    <n v="0"/>
    <n v="1"/>
    <n v="0"/>
    <n v="1"/>
    <n v="1"/>
    <s v="5005131135344357"/>
    <n v="1"/>
  </r>
  <r>
    <n v="3"/>
    <x v="2"/>
    <n v="50051451"/>
    <s v="2018-08-24"/>
    <x v="18"/>
    <s v="2018-08-27"/>
    <n v="1"/>
    <n v="1"/>
    <s v="2018-08-30"/>
    <n v="0"/>
    <s v="35344391"/>
    <n v="1"/>
    <n v="1"/>
    <n v="1"/>
    <n v="1"/>
    <n v="100"/>
    <n v="1"/>
    <n v="0"/>
    <n v="1"/>
    <n v="0"/>
    <n v="1"/>
    <n v="1"/>
    <s v="5005145135344391"/>
    <n v="1"/>
  </r>
  <r>
    <n v="3"/>
    <x v="2"/>
    <n v="50051991"/>
    <s v="2018-09-04"/>
    <x v="6"/>
    <s v="2018-09-05"/>
    <n v="1"/>
    <n v="3"/>
    <s v="2018-09-20"/>
    <n v="2"/>
    <s v="35344520"/>
    <n v="1"/>
    <n v="1"/>
    <n v="1"/>
    <n v="1"/>
    <n v="100"/>
    <n v="-1"/>
    <n v="2"/>
    <n v="1"/>
    <n v="0"/>
    <n v="1"/>
    <n v="1"/>
    <s v="5005199135344520"/>
    <n v="1"/>
  </r>
  <r>
    <n v="3"/>
    <x v="2"/>
    <n v="50052042"/>
    <s v="2018-09-05"/>
    <x v="6"/>
    <s v="2018-09-06"/>
    <n v="1"/>
    <n v="3"/>
    <s v="2018-09-20"/>
    <n v="2"/>
    <s v="35344524"/>
    <n v="1"/>
    <n v="1"/>
    <n v="1"/>
    <n v="1"/>
    <n v="100"/>
    <n v="-1"/>
    <n v="2"/>
    <n v="1"/>
    <n v="0"/>
    <n v="1"/>
    <n v="1"/>
    <s v="5005204235344524"/>
    <n v="1"/>
  </r>
  <r>
    <n v="3"/>
    <x v="2"/>
    <n v="50052042"/>
    <s v="2018-09-05"/>
    <x v="6"/>
    <s v="2018-09-06"/>
    <n v="1"/>
    <n v="3"/>
    <s v="2018-09-20"/>
    <n v="2"/>
    <s v="35344528"/>
    <n v="1"/>
    <n v="1"/>
    <n v="1"/>
    <n v="1"/>
    <n v="100"/>
    <n v="-1"/>
    <n v="2"/>
    <n v="1"/>
    <n v="0"/>
    <n v="1"/>
    <n v="1"/>
    <s v="5005204235344528"/>
    <n v="1"/>
  </r>
  <r>
    <n v="3"/>
    <x v="2"/>
    <n v="50052089"/>
    <s v="2018-09-06"/>
    <x v="6"/>
    <s v="2018-09-07"/>
    <n v="1"/>
    <n v="2"/>
    <s v="2018-09-20"/>
    <n v="1"/>
    <s v="35344535"/>
    <n v="1"/>
    <n v="1"/>
    <n v="1"/>
    <n v="1"/>
    <n v="100"/>
    <n v="0"/>
    <n v="1"/>
    <n v="1"/>
    <n v="0"/>
    <n v="1"/>
    <n v="1"/>
    <s v="5005208935344535"/>
    <n v="1"/>
  </r>
  <r>
    <n v="3"/>
    <x v="2"/>
    <n v="50052296"/>
    <s v="2018-09-11"/>
    <x v="10"/>
    <s v="2018-09-12"/>
    <n v="1"/>
    <n v="0"/>
    <s v="1900-01-01"/>
    <n v="0"/>
    <s v="35344588"/>
    <n v="0"/>
    <n v="0"/>
    <n v="0"/>
    <n v="0"/>
    <n v="0"/>
    <n v="0"/>
    <n v="0"/>
    <n v="0"/>
    <n v="1"/>
    <n v="1"/>
    <n v="0"/>
    <s v="5005229635344588"/>
    <n v="0"/>
  </r>
  <r>
    <n v="3"/>
    <x v="2"/>
    <n v="50052369"/>
    <s v="2018-09-13"/>
    <x v="5"/>
    <s v="2018-09-14"/>
    <n v="1"/>
    <n v="1"/>
    <s v="2018-09-24"/>
    <n v="0"/>
    <s v="35344629"/>
    <n v="1"/>
    <n v="1"/>
    <n v="1"/>
    <n v="1"/>
    <n v="100"/>
    <n v="1"/>
    <n v="0"/>
    <n v="1"/>
    <n v="0"/>
    <n v="1"/>
    <n v="1"/>
    <s v="5005236935344629"/>
    <n v="1"/>
  </r>
  <r>
    <n v="3"/>
    <x v="2"/>
    <n v="50051451"/>
    <s v="2018-08-24"/>
    <x v="15"/>
    <s v="2018-08-27"/>
    <n v="1"/>
    <n v="1"/>
    <s v="2018-09-04"/>
    <n v="0"/>
    <s v="35368316"/>
    <n v="1"/>
    <n v="1"/>
    <n v="1"/>
    <n v="1"/>
    <n v="100"/>
    <n v="1"/>
    <n v="0"/>
    <n v="1"/>
    <n v="0"/>
    <n v="1"/>
    <n v="1"/>
    <s v="5005145135368316"/>
    <n v="1"/>
  </r>
  <r>
    <n v="3"/>
    <x v="2"/>
    <n v="50051498"/>
    <s v="2018-08-25"/>
    <x v="0"/>
    <s v="2018-08-27"/>
    <n v="1"/>
    <n v="1"/>
    <s v="2018-08-30"/>
    <n v="0"/>
    <s v="35368331"/>
    <n v="1"/>
    <n v="1"/>
    <n v="1"/>
    <n v="1"/>
    <n v="100"/>
    <n v="1"/>
    <n v="0"/>
    <n v="1"/>
    <n v="0"/>
    <n v="1"/>
    <n v="1"/>
    <s v="5005149835368331"/>
    <n v="1"/>
  </r>
  <r>
    <n v="3"/>
    <x v="2"/>
    <n v="50051889"/>
    <s v="2018-09-02"/>
    <x v="5"/>
    <s v="2018-09-03"/>
    <n v="1"/>
    <n v="1"/>
    <s v="2018-09-06"/>
    <n v="0"/>
    <s v="35368422"/>
    <n v="1"/>
    <n v="1"/>
    <n v="1"/>
    <n v="1"/>
    <n v="100"/>
    <n v="1"/>
    <n v="0"/>
    <n v="1"/>
    <n v="0"/>
    <n v="1"/>
    <n v="1"/>
    <s v="5005188935368422"/>
    <n v="1"/>
  </r>
  <r>
    <n v="3"/>
    <x v="2"/>
    <n v="50051889"/>
    <s v="2018-09-02"/>
    <x v="16"/>
    <s v="2018-09-03"/>
    <n v="1"/>
    <n v="1"/>
    <s v="2018-09-06"/>
    <n v="0"/>
    <s v="35368444"/>
    <n v="1"/>
    <n v="1"/>
    <n v="1"/>
    <n v="1"/>
    <n v="100"/>
    <n v="1"/>
    <n v="0"/>
    <n v="1"/>
    <n v="0"/>
    <n v="1"/>
    <n v="1"/>
    <s v="5005188935368444"/>
    <n v="1"/>
  </r>
  <r>
    <n v="3"/>
    <x v="2"/>
    <n v="50051940"/>
    <s v="2018-09-03"/>
    <x v="11"/>
    <s v="2018-09-04"/>
    <n v="1"/>
    <n v="3"/>
    <s v="2018-09-20"/>
    <n v="2"/>
    <s v="35368469"/>
    <n v="1"/>
    <n v="1"/>
    <n v="0"/>
    <n v="0"/>
    <n v="100"/>
    <n v="-1"/>
    <n v="2"/>
    <n v="1"/>
    <n v="0"/>
    <n v="1"/>
    <n v="0"/>
    <s v="5005194035368469"/>
    <n v="1"/>
  </r>
  <r>
    <n v="3"/>
    <x v="2"/>
    <n v="50052296"/>
    <s v="2018-09-11"/>
    <x v="10"/>
    <s v="2018-09-12"/>
    <n v="1"/>
    <n v="0"/>
    <s v="1900-01-01"/>
    <n v="0"/>
    <s v="35368552"/>
    <n v="0"/>
    <n v="0"/>
    <n v="0"/>
    <n v="0"/>
    <n v="0"/>
    <n v="0"/>
    <n v="0"/>
    <n v="0"/>
    <n v="1"/>
    <n v="1"/>
    <n v="0"/>
    <s v="5005229635368552"/>
    <n v="0"/>
  </r>
  <r>
    <n v="3"/>
    <x v="2"/>
    <n v="50051889"/>
    <s v="2018-09-02"/>
    <x v="10"/>
    <s v="2018-09-03"/>
    <n v="1"/>
    <n v="1"/>
    <s v="2018-09-06"/>
    <n v="0"/>
    <s v="35449038"/>
    <n v="1"/>
    <n v="1"/>
    <n v="1"/>
    <n v="1"/>
    <n v="100"/>
    <n v="1"/>
    <n v="0"/>
    <n v="1"/>
    <n v="0"/>
    <n v="1"/>
    <n v="1"/>
    <s v="5005188935449038"/>
    <n v="1"/>
  </r>
  <r>
    <n v="3"/>
    <x v="2"/>
    <n v="50051498"/>
    <s v="2018-08-25"/>
    <x v="18"/>
    <s v="2018-08-27"/>
    <n v="1"/>
    <n v="1"/>
    <s v="2018-08-30"/>
    <n v="0"/>
    <s v="35468033"/>
    <n v="1"/>
    <n v="1"/>
    <n v="1"/>
    <n v="1"/>
    <n v="100"/>
    <n v="1"/>
    <n v="0"/>
    <n v="1"/>
    <n v="0"/>
    <n v="1"/>
    <n v="1"/>
    <s v="5005149835468033"/>
    <n v="1"/>
  </r>
  <r>
    <n v="3"/>
    <x v="2"/>
    <n v="50051148"/>
    <s v="2018-08-18"/>
    <x v="14"/>
    <s v="2018-08-20"/>
    <n v="1"/>
    <n v="4"/>
    <s v="2018-08-28"/>
    <n v="2"/>
    <s v="35626373"/>
    <n v="2"/>
    <n v="0"/>
    <n v="1"/>
    <n v="0"/>
    <n v="200"/>
    <n v="-1"/>
    <n v="3"/>
    <n v="3"/>
    <n v="0"/>
    <n v="1"/>
    <n v="0"/>
    <s v="5005114835626373"/>
    <n v="2"/>
  </r>
  <r>
    <n v="3"/>
    <x v="2"/>
    <n v="50051748"/>
    <s v="2018-08-30"/>
    <x v="9"/>
    <s v="2018-08-31"/>
    <n v="1"/>
    <n v="1"/>
    <s v="2018-09-04"/>
    <n v="0"/>
    <s v="35656057"/>
    <n v="1"/>
    <n v="1"/>
    <n v="1"/>
    <n v="1"/>
    <n v="100"/>
    <n v="1"/>
    <n v="0"/>
    <n v="1"/>
    <n v="0"/>
    <n v="1"/>
    <n v="1"/>
    <s v="5005174835656057"/>
    <n v="1"/>
  </r>
  <r>
    <n v="3"/>
    <x v="2"/>
    <n v="50051991"/>
    <s v="2018-09-04"/>
    <x v="5"/>
    <s v="2018-09-05"/>
    <n v="1"/>
    <n v="3"/>
    <s v="2018-09-20"/>
    <n v="2"/>
    <s v="35656125"/>
    <n v="1"/>
    <n v="1"/>
    <n v="1"/>
    <n v="1"/>
    <n v="100"/>
    <n v="-1"/>
    <n v="2"/>
    <n v="1"/>
    <n v="0"/>
    <n v="1"/>
    <n v="1"/>
    <s v="5005199135656125"/>
    <n v="1"/>
  </r>
  <r>
    <n v="3"/>
    <x v="2"/>
    <n v="50051839"/>
    <s v="2018-09-01"/>
    <x v="6"/>
    <s v="2018-09-03"/>
    <n v="1"/>
    <n v="1"/>
    <s v="2018-09-06"/>
    <n v="0"/>
    <s v="35673767"/>
    <n v="1"/>
    <n v="1"/>
    <n v="1"/>
    <n v="1"/>
    <n v="100"/>
    <n v="1"/>
    <n v="0"/>
    <n v="1"/>
    <n v="0"/>
    <n v="1"/>
    <n v="1"/>
    <s v="5005183935673767"/>
    <n v="1"/>
  </r>
  <r>
    <n v="3"/>
    <x v="2"/>
    <n v="50052296"/>
    <s v="2018-09-11"/>
    <x v="10"/>
    <s v="2018-09-12"/>
    <n v="1"/>
    <n v="0"/>
    <s v="1900-01-01"/>
    <n v="0"/>
    <s v="35690404"/>
    <n v="0"/>
    <n v="0"/>
    <n v="0"/>
    <n v="0"/>
    <n v="0"/>
    <n v="0"/>
    <n v="0"/>
    <n v="0"/>
    <n v="1"/>
    <n v="1"/>
    <n v="0"/>
    <s v="5005229635690404"/>
    <n v="0"/>
  </r>
  <r>
    <n v="3"/>
    <x v="2"/>
    <n v="50051451"/>
    <s v="2018-08-24"/>
    <x v="0"/>
    <s v="2018-08-27"/>
    <n v="1"/>
    <n v="2"/>
    <s v="2018-09-04"/>
    <n v="1"/>
    <s v="35742021"/>
    <n v="1"/>
    <n v="1"/>
    <n v="0"/>
    <n v="0"/>
    <n v="100"/>
    <n v="0"/>
    <n v="1"/>
    <n v="1"/>
    <n v="0"/>
    <n v="1"/>
    <n v="0"/>
    <s v="5005145135742021"/>
    <n v="1"/>
  </r>
  <r>
    <n v="3"/>
    <x v="2"/>
    <n v="50051362"/>
    <s v="2018-08-22"/>
    <x v="14"/>
    <s v="2018-08-23"/>
    <n v="1"/>
    <n v="1"/>
    <s v="2018-08-28"/>
    <n v="0"/>
    <s v="35802556"/>
    <n v="1"/>
    <n v="1"/>
    <n v="1"/>
    <n v="1"/>
    <n v="100"/>
    <n v="1"/>
    <n v="0"/>
    <n v="1"/>
    <n v="0"/>
    <n v="1"/>
    <n v="1"/>
    <s v="5005136235802556"/>
    <n v="1"/>
  </r>
  <r>
    <n v="3"/>
    <x v="2"/>
    <n v="50051410"/>
    <s v="2018-08-23"/>
    <x v="4"/>
    <s v="2018-08-24"/>
    <n v="1"/>
    <n v="1"/>
    <s v="2018-08-28"/>
    <n v="0"/>
    <s v="35802574"/>
    <n v="1"/>
    <n v="1"/>
    <n v="1"/>
    <n v="1"/>
    <n v="100"/>
    <n v="1"/>
    <n v="0"/>
    <n v="1"/>
    <n v="0"/>
    <n v="1"/>
    <n v="1"/>
    <s v="5005141035802574"/>
    <n v="1"/>
  </r>
  <r>
    <n v="3"/>
    <x v="2"/>
    <n v="50051940"/>
    <s v="2018-09-03"/>
    <x v="11"/>
    <s v="2018-09-04"/>
    <n v="1"/>
    <n v="3"/>
    <s v="2018-09-20"/>
    <n v="2"/>
    <s v="35802762"/>
    <n v="1"/>
    <n v="1"/>
    <n v="0"/>
    <n v="0"/>
    <n v="100"/>
    <n v="-1"/>
    <n v="2"/>
    <n v="1"/>
    <n v="0"/>
    <n v="1"/>
    <n v="0"/>
    <s v="5005194035802762"/>
    <n v="1"/>
  </r>
  <r>
    <n v="3"/>
    <x v="2"/>
    <n v="50052331"/>
    <s v="2018-09-12"/>
    <x v="5"/>
    <s v="2018-09-13"/>
    <n v="1"/>
    <n v="0"/>
    <s v="1900-01-01"/>
    <n v="0"/>
    <s v="35802850"/>
    <n v="0"/>
    <n v="0"/>
    <n v="0"/>
    <n v="0"/>
    <n v="0"/>
    <n v="0"/>
    <n v="0"/>
    <n v="0"/>
    <n v="1"/>
    <n v="1"/>
    <n v="0"/>
    <s v="5005233135802850"/>
    <n v="0"/>
  </r>
  <r>
    <n v="3"/>
    <x v="2"/>
    <n v="50052369"/>
    <s v="2018-09-13"/>
    <x v="5"/>
    <s v="2018-09-14"/>
    <n v="1"/>
    <n v="0"/>
    <s v="1900-01-01"/>
    <n v="0"/>
    <s v="35802862"/>
    <n v="0"/>
    <n v="0"/>
    <n v="0"/>
    <n v="0"/>
    <n v="0"/>
    <n v="0"/>
    <n v="0"/>
    <n v="0"/>
    <n v="1"/>
    <n v="1"/>
    <n v="0"/>
    <s v="5005236935802862"/>
    <n v="0"/>
  </r>
  <r>
    <n v="3"/>
    <x v="2"/>
    <n v="50051498"/>
    <s v="2018-08-25"/>
    <x v="0"/>
    <s v="2018-08-27"/>
    <n v="1"/>
    <n v="2"/>
    <s v="2018-09-04"/>
    <n v="0"/>
    <s v="36020816"/>
    <n v="2"/>
    <n v="0"/>
    <n v="0"/>
    <n v="0"/>
    <n v="200"/>
    <n v="1"/>
    <n v="1"/>
    <n v="3"/>
    <n v="0"/>
    <n v="1"/>
    <n v="0"/>
    <s v="5005149836020816"/>
    <n v="2"/>
  </r>
  <r>
    <n v="3"/>
    <x v="2"/>
    <n v="50051748"/>
    <s v="2018-08-30"/>
    <x v="9"/>
    <s v="2018-08-31"/>
    <n v="1"/>
    <n v="1"/>
    <s v="2018-09-04"/>
    <n v="0"/>
    <s v="36073507"/>
    <n v="1"/>
    <n v="1"/>
    <n v="1"/>
    <n v="1"/>
    <n v="100"/>
    <n v="1"/>
    <n v="0"/>
    <n v="1"/>
    <n v="0"/>
    <n v="1"/>
    <n v="1"/>
    <s v="5005174836073507"/>
    <n v="1"/>
  </r>
  <r>
    <n v="3"/>
    <x v="2"/>
    <n v="50051940"/>
    <s v="2018-09-03"/>
    <x v="6"/>
    <s v="2018-09-04"/>
    <n v="1"/>
    <n v="3"/>
    <s v="2018-09-20"/>
    <n v="2"/>
    <s v="36073595"/>
    <n v="1"/>
    <n v="1"/>
    <n v="1"/>
    <n v="1"/>
    <n v="100"/>
    <n v="-1"/>
    <n v="2"/>
    <n v="1"/>
    <n v="0"/>
    <n v="1"/>
    <n v="1"/>
    <s v="5005194036073595"/>
    <n v="1"/>
  </r>
  <r>
    <n v="3"/>
    <x v="2"/>
    <n v="50052089"/>
    <s v="2018-09-06"/>
    <x v="6"/>
    <s v="2018-09-07"/>
    <n v="1"/>
    <n v="2"/>
    <s v="2018-09-20"/>
    <n v="1"/>
    <s v="36073634"/>
    <n v="1"/>
    <n v="1"/>
    <n v="1"/>
    <n v="1"/>
    <n v="100"/>
    <n v="0"/>
    <n v="1"/>
    <n v="1"/>
    <n v="0"/>
    <n v="1"/>
    <n v="1"/>
    <s v="5005208936073634"/>
    <n v="1"/>
  </r>
  <r>
    <n v="3"/>
    <x v="2"/>
    <n v="50051498"/>
    <s v="2018-08-25"/>
    <x v="19"/>
    <s v="2018-08-27"/>
    <n v="1"/>
    <n v="1"/>
    <s v="2018-09-04"/>
    <n v="0"/>
    <s v="36090109"/>
    <n v="1"/>
    <n v="1"/>
    <n v="1"/>
    <n v="1"/>
    <n v="100"/>
    <n v="1"/>
    <n v="0"/>
    <n v="1"/>
    <n v="0"/>
    <n v="1"/>
    <n v="1"/>
    <s v="5005149836090109"/>
    <n v="1"/>
  </r>
  <r>
    <n v="3"/>
    <x v="2"/>
    <n v="50051696"/>
    <s v="2018-08-29"/>
    <x v="6"/>
    <s v="2018-08-30"/>
    <n v="1"/>
    <n v="1"/>
    <s v="2018-09-04"/>
    <n v="0"/>
    <s v="36090131"/>
    <n v="1"/>
    <n v="1"/>
    <n v="1"/>
    <n v="1"/>
    <n v="100"/>
    <n v="1"/>
    <n v="0"/>
    <n v="1"/>
    <n v="0"/>
    <n v="1"/>
    <n v="1"/>
    <s v="5005169636090131"/>
    <n v="1"/>
  </r>
  <r>
    <n v="1"/>
    <x v="3"/>
    <n v="8641570"/>
    <s v="1900-01-01"/>
    <x v="2"/>
    <s v="1900-01-01"/>
    <n v="1"/>
    <n v="1"/>
    <s v="2018-08-28"/>
    <n v="0"/>
    <s v="-"/>
    <n v="1"/>
    <n v="1"/>
    <n v="1"/>
    <n v="1"/>
    <n v="100"/>
    <n v="1"/>
    <n v="0"/>
    <n v="1"/>
    <n v="0"/>
    <n v="1"/>
    <n v="1"/>
    <s v="8641570-"/>
    <n v="1"/>
  </r>
  <r>
    <n v="1"/>
    <x v="3"/>
    <n v="8642803"/>
    <s v="1900-01-01"/>
    <x v="17"/>
    <s v="2018-08-17"/>
    <n v="16"/>
    <n v="0"/>
    <s v="1900-01-01"/>
    <n v="0"/>
    <s v="-"/>
    <n v="0"/>
    <n v="0"/>
    <n v="0"/>
    <n v="0"/>
    <n v="0"/>
    <n v="0"/>
    <n v="0"/>
    <n v="0"/>
    <n v="16"/>
    <n v="1"/>
    <n v="0"/>
    <s v="8642803-"/>
    <n v="0"/>
  </r>
  <r>
    <n v="1"/>
    <x v="3"/>
    <n v="8645254"/>
    <s v="2018-08-17"/>
    <x v="13"/>
    <s v="2018-08-20"/>
    <n v="1"/>
    <n v="1"/>
    <s v="2018-08-30"/>
    <n v="0"/>
    <s v="-"/>
    <n v="1"/>
    <n v="1"/>
    <n v="1"/>
    <n v="1"/>
    <n v="100"/>
    <n v="1"/>
    <n v="0"/>
    <n v="1"/>
    <n v="0"/>
    <n v="1"/>
    <n v="1"/>
    <s v="8645254-"/>
    <n v="1"/>
  </r>
  <r>
    <n v="1"/>
    <x v="3"/>
    <n v="8647550"/>
    <s v="2018-08-18"/>
    <x v="2"/>
    <s v="2018-08-21"/>
    <n v="1"/>
    <n v="1"/>
    <s v="2018-08-28"/>
    <n v="0"/>
    <s v="-"/>
    <n v="1"/>
    <n v="1"/>
    <n v="1"/>
    <n v="1"/>
    <n v="100"/>
    <n v="1"/>
    <n v="0"/>
    <n v="1"/>
    <n v="0"/>
    <n v="1"/>
    <n v="1"/>
    <s v="8647550-"/>
    <n v="1"/>
  </r>
  <r>
    <n v="1"/>
    <x v="3"/>
    <n v="8647872"/>
    <s v="2018-08-18"/>
    <x v="2"/>
    <s v="2018-08-21"/>
    <n v="1"/>
    <n v="1"/>
    <s v="2018-08-28"/>
    <n v="0"/>
    <s v="-"/>
    <n v="1"/>
    <n v="1"/>
    <n v="1"/>
    <n v="1"/>
    <n v="100"/>
    <n v="1"/>
    <n v="0"/>
    <n v="1"/>
    <n v="0"/>
    <n v="1"/>
    <n v="1"/>
    <s v="8647872-"/>
    <n v="1"/>
  </r>
  <r>
    <n v="1"/>
    <x v="3"/>
    <n v="8647990"/>
    <s v="2018-08-18"/>
    <x v="2"/>
    <s v="2018-08-21"/>
    <n v="1"/>
    <n v="1"/>
    <s v="2018-08-28"/>
    <n v="0"/>
    <s v="-"/>
    <n v="1"/>
    <n v="1"/>
    <n v="1"/>
    <n v="1"/>
    <n v="100"/>
    <n v="1"/>
    <n v="0"/>
    <n v="1"/>
    <n v="0"/>
    <n v="1"/>
    <n v="1"/>
    <s v="8647990-"/>
    <n v="1"/>
  </r>
  <r>
    <n v="1"/>
    <x v="3"/>
    <n v="8648110"/>
    <s v="2018-08-19"/>
    <x v="2"/>
    <s v="2018-08-21"/>
    <n v="1"/>
    <n v="1"/>
    <s v="2018-08-28"/>
    <n v="0"/>
    <s v="-"/>
    <n v="1"/>
    <n v="1"/>
    <n v="1"/>
    <n v="1"/>
    <n v="100"/>
    <n v="1"/>
    <n v="0"/>
    <n v="1"/>
    <n v="0"/>
    <n v="1"/>
    <n v="1"/>
    <s v="8648110-"/>
    <n v="1"/>
  </r>
  <r>
    <n v="1"/>
    <x v="3"/>
    <n v="8648248"/>
    <s v="2018-08-19"/>
    <x v="2"/>
    <s v="2018-08-21"/>
    <n v="1"/>
    <n v="1"/>
    <s v="2018-08-28"/>
    <n v="0"/>
    <s v="-"/>
    <n v="1"/>
    <n v="1"/>
    <n v="1"/>
    <n v="1"/>
    <n v="100"/>
    <n v="1"/>
    <n v="0"/>
    <n v="1"/>
    <n v="0"/>
    <n v="1"/>
    <n v="1"/>
    <s v="8648248-"/>
    <n v="1"/>
  </r>
  <r>
    <n v="1"/>
    <x v="3"/>
    <n v="8649323"/>
    <s v="2018-08-20"/>
    <x v="13"/>
    <s v="2018-08-21"/>
    <n v="1"/>
    <n v="1"/>
    <s v="2018-08-30"/>
    <n v="0"/>
    <s v="-"/>
    <n v="1"/>
    <n v="1"/>
    <n v="1"/>
    <n v="1"/>
    <n v="100"/>
    <n v="1"/>
    <n v="0"/>
    <n v="1"/>
    <n v="0"/>
    <n v="1"/>
    <n v="1"/>
    <s v="8649323-"/>
    <n v="1"/>
  </r>
  <r>
    <n v="1"/>
    <x v="3"/>
    <n v="8651198"/>
    <s v="2018-08-20"/>
    <x v="2"/>
    <s v="2018-08-22"/>
    <n v="1"/>
    <n v="1"/>
    <s v="2018-08-28"/>
    <n v="0"/>
    <s v="-"/>
    <n v="1"/>
    <n v="1"/>
    <n v="1"/>
    <n v="1"/>
    <n v="100"/>
    <n v="1"/>
    <n v="0"/>
    <n v="1"/>
    <n v="0"/>
    <n v="1"/>
    <n v="1"/>
    <s v="8651198-"/>
    <n v="1"/>
  </r>
  <r>
    <n v="1"/>
    <x v="3"/>
    <n v="8652354"/>
    <s v="2018-08-21"/>
    <x v="12"/>
    <s v="2018-08-22"/>
    <n v="40"/>
    <n v="40"/>
    <s v="2018-08-27"/>
    <n v="0"/>
    <s v="-"/>
    <n v="40"/>
    <n v="1"/>
    <n v="1"/>
    <n v="1"/>
    <n v="100"/>
    <n v="40"/>
    <n v="0"/>
    <n v="40"/>
    <n v="0"/>
    <n v="1"/>
    <n v="1"/>
    <s v="8652354-"/>
    <n v="40"/>
  </r>
  <r>
    <n v="1"/>
    <x v="3"/>
    <n v="8652732"/>
    <s v="2018-08-21"/>
    <x v="2"/>
    <s v="2018-08-28"/>
    <n v="6"/>
    <n v="6"/>
    <s v="2018-08-29"/>
    <n v="0"/>
    <s v="-"/>
    <n v="6"/>
    <n v="1"/>
    <n v="0"/>
    <n v="0"/>
    <n v="100"/>
    <n v="6"/>
    <n v="0"/>
    <n v="6"/>
    <n v="0"/>
    <n v="1"/>
    <n v="0"/>
    <s v="8652732-"/>
    <n v="6"/>
  </r>
  <r>
    <n v="1"/>
    <x v="3"/>
    <n v="8652771"/>
    <s v="2018-08-21"/>
    <x v="2"/>
    <s v="2018-08-22"/>
    <n v="1"/>
    <n v="1"/>
    <s v="2018-08-28"/>
    <n v="0"/>
    <s v="-"/>
    <n v="1"/>
    <n v="1"/>
    <n v="1"/>
    <n v="1"/>
    <n v="100"/>
    <n v="1"/>
    <n v="0"/>
    <n v="1"/>
    <n v="0"/>
    <n v="1"/>
    <n v="1"/>
    <s v="8652771-"/>
    <n v="1"/>
  </r>
  <r>
    <n v="1"/>
    <x v="3"/>
    <n v="8653659"/>
    <s v="2018-08-22"/>
    <x v="2"/>
    <s v="2018-08-23"/>
    <n v="1"/>
    <n v="1"/>
    <s v="2018-08-28"/>
    <n v="0"/>
    <s v="-"/>
    <n v="1"/>
    <n v="1"/>
    <n v="1"/>
    <n v="1"/>
    <n v="100"/>
    <n v="1"/>
    <n v="0"/>
    <n v="1"/>
    <n v="0"/>
    <n v="1"/>
    <n v="1"/>
    <s v="8653659-"/>
    <n v="1"/>
  </r>
  <r>
    <n v="1"/>
    <x v="3"/>
    <n v="8654027"/>
    <s v="2018-08-22"/>
    <x v="2"/>
    <s v="2018-08-23"/>
    <n v="1"/>
    <n v="1"/>
    <s v="2018-08-28"/>
    <n v="0"/>
    <s v="-"/>
    <n v="1"/>
    <n v="1"/>
    <n v="1"/>
    <n v="1"/>
    <n v="100"/>
    <n v="1"/>
    <n v="0"/>
    <n v="1"/>
    <n v="0"/>
    <n v="1"/>
    <n v="1"/>
    <s v="8654027-"/>
    <n v="1"/>
  </r>
  <r>
    <n v="1"/>
    <x v="3"/>
    <n v="8655329"/>
    <s v="2018-08-22"/>
    <x v="3"/>
    <s v="2018-08-23"/>
    <n v="1"/>
    <n v="1"/>
    <s v="2018-09-11"/>
    <n v="0"/>
    <s v="-"/>
    <n v="1"/>
    <n v="1"/>
    <n v="1"/>
    <n v="1"/>
    <n v="100"/>
    <n v="1"/>
    <n v="0"/>
    <n v="1"/>
    <n v="0"/>
    <n v="1"/>
    <n v="1"/>
    <s v="8655329-"/>
    <n v="1"/>
  </r>
  <r>
    <n v="1"/>
    <x v="3"/>
    <n v="8656309"/>
    <s v="2018-08-23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8656309-"/>
    <n v="1"/>
  </r>
  <r>
    <n v="1"/>
    <x v="3"/>
    <n v="8656313"/>
    <s v="2018-08-23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8656313-"/>
    <n v="1"/>
  </r>
  <r>
    <n v="1"/>
    <x v="3"/>
    <n v="8656375"/>
    <s v="2018-08-23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8656375-"/>
    <n v="1"/>
  </r>
  <r>
    <n v="1"/>
    <x v="3"/>
    <n v="8656795"/>
    <s v="2018-08-23"/>
    <x v="17"/>
    <s v="2018-08-24"/>
    <n v="78"/>
    <n v="78"/>
    <s v="2018-08-29"/>
    <n v="0"/>
    <s v="-"/>
    <n v="78"/>
    <n v="1"/>
    <n v="1"/>
    <n v="1"/>
    <n v="100"/>
    <n v="78"/>
    <n v="0"/>
    <n v="78"/>
    <n v="0"/>
    <n v="1"/>
    <n v="1"/>
    <s v="8656795-"/>
    <n v="78"/>
  </r>
  <r>
    <n v="1"/>
    <x v="3"/>
    <n v="8657408"/>
    <s v="2018-08-23"/>
    <x v="18"/>
    <s v="2018-08-24"/>
    <n v="8"/>
    <n v="8"/>
    <s v="2018-08-31"/>
    <n v="0"/>
    <s v="-"/>
    <n v="8"/>
    <n v="1"/>
    <n v="1"/>
    <n v="1"/>
    <n v="100"/>
    <n v="8"/>
    <n v="0"/>
    <n v="8"/>
    <n v="0"/>
    <n v="1"/>
    <n v="1"/>
    <s v="8657408-"/>
    <n v="8"/>
  </r>
  <r>
    <n v="1"/>
    <x v="3"/>
    <n v="8657409"/>
    <s v="2018-08-23"/>
    <x v="18"/>
    <s v="2018-08-24"/>
    <n v="27"/>
    <n v="13"/>
    <s v="2018-08-31"/>
    <n v="0"/>
    <s v="-"/>
    <n v="13"/>
    <n v="0"/>
    <n v="1"/>
    <n v="0"/>
    <n v="48.148148148148145"/>
    <n v="13"/>
    <n v="0"/>
    <n v="13"/>
    <n v="14"/>
    <n v="1"/>
    <n v="0"/>
    <s v="8657409-"/>
    <n v="13"/>
  </r>
  <r>
    <n v="1"/>
    <x v="3"/>
    <n v="8657919"/>
    <s v="2018-08-23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8657919-"/>
    <n v="1"/>
  </r>
  <r>
    <n v="1"/>
    <x v="3"/>
    <n v="8657981"/>
    <s v="2018-08-24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8657981-"/>
    <n v="1"/>
  </r>
  <r>
    <n v="1"/>
    <x v="3"/>
    <n v="8658014"/>
    <s v="2018-08-24"/>
    <x v="15"/>
    <s v="2018-08-27"/>
    <n v="30"/>
    <n v="30"/>
    <s v="2018-08-30"/>
    <n v="0"/>
    <s v="-"/>
    <n v="30"/>
    <n v="1"/>
    <n v="1"/>
    <n v="1"/>
    <n v="100"/>
    <n v="30"/>
    <n v="0"/>
    <n v="30"/>
    <n v="0"/>
    <n v="1"/>
    <n v="1"/>
    <s v="8658014-"/>
    <n v="30"/>
  </r>
  <r>
    <n v="1"/>
    <x v="3"/>
    <n v="8658107"/>
    <s v="2018-08-24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8658107-"/>
    <n v="1"/>
  </r>
  <r>
    <n v="1"/>
    <x v="3"/>
    <n v="8658643"/>
    <s v="2018-08-24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8658643-"/>
    <n v="1"/>
  </r>
  <r>
    <n v="1"/>
    <x v="3"/>
    <n v="8659977"/>
    <s v="2018-08-24"/>
    <x v="1"/>
    <s v="2018-08-27"/>
    <n v="1"/>
    <n v="1"/>
    <s v="2018-09-04"/>
    <n v="0"/>
    <s v="-"/>
    <n v="1"/>
    <n v="1"/>
    <n v="1"/>
    <n v="1"/>
    <n v="100"/>
    <n v="1"/>
    <n v="0"/>
    <n v="1"/>
    <n v="0"/>
    <n v="1"/>
    <n v="1"/>
    <s v="8659977-"/>
    <n v="1"/>
  </r>
  <r>
    <n v="1"/>
    <x v="3"/>
    <n v="8660138"/>
    <s v="2018-08-25"/>
    <x v="1"/>
    <s v="2018-08-27"/>
    <n v="1"/>
    <n v="1"/>
    <s v="2018-09-04"/>
    <n v="0"/>
    <s v="-"/>
    <n v="1"/>
    <n v="1"/>
    <n v="1"/>
    <n v="1"/>
    <n v="100"/>
    <n v="1"/>
    <n v="0"/>
    <n v="1"/>
    <n v="0"/>
    <n v="1"/>
    <n v="1"/>
    <s v="8660138-"/>
    <n v="1"/>
  </r>
  <r>
    <n v="1"/>
    <x v="3"/>
    <n v="8660410"/>
    <s v="2018-08-25"/>
    <x v="1"/>
    <s v="2018-08-27"/>
    <n v="1"/>
    <n v="1"/>
    <s v="2018-09-04"/>
    <n v="0"/>
    <s v="-"/>
    <n v="1"/>
    <n v="1"/>
    <n v="1"/>
    <n v="1"/>
    <n v="100"/>
    <n v="1"/>
    <n v="0"/>
    <n v="1"/>
    <n v="0"/>
    <n v="1"/>
    <n v="1"/>
    <s v="8660410-"/>
    <n v="1"/>
  </r>
  <r>
    <n v="1"/>
    <x v="3"/>
    <n v="8660699"/>
    <s v="2018-08-26"/>
    <x v="1"/>
    <s v="2018-08-27"/>
    <n v="1"/>
    <n v="1"/>
    <s v="2018-09-04"/>
    <n v="0"/>
    <s v="-"/>
    <n v="1"/>
    <n v="1"/>
    <n v="1"/>
    <n v="1"/>
    <n v="100"/>
    <n v="1"/>
    <n v="0"/>
    <n v="1"/>
    <n v="0"/>
    <n v="1"/>
    <n v="1"/>
    <s v="8660699-"/>
    <n v="1"/>
  </r>
  <r>
    <n v="1"/>
    <x v="3"/>
    <n v="8660774"/>
    <s v="2018-08-26"/>
    <x v="1"/>
    <s v="2018-08-27"/>
    <n v="1"/>
    <n v="1"/>
    <s v="2018-09-04"/>
    <n v="0"/>
    <s v="-"/>
    <n v="1"/>
    <n v="1"/>
    <n v="1"/>
    <n v="1"/>
    <n v="100"/>
    <n v="1"/>
    <n v="0"/>
    <n v="1"/>
    <n v="0"/>
    <n v="1"/>
    <n v="1"/>
    <s v="8660774-"/>
    <n v="1"/>
  </r>
  <r>
    <n v="1"/>
    <x v="3"/>
    <n v="8660835"/>
    <s v="2018-08-26"/>
    <x v="1"/>
    <s v="2018-08-27"/>
    <n v="1"/>
    <n v="1"/>
    <s v="2018-09-04"/>
    <n v="0"/>
    <s v="-"/>
    <n v="1"/>
    <n v="1"/>
    <n v="1"/>
    <n v="1"/>
    <n v="100"/>
    <n v="1"/>
    <n v="0"/>
    <n v="1"/>
    <n v="0"/>
    <n v="1"/>
    <n v="1"/>
    <s v="8660835-"/>
    <n v="1"/>
  </r>
  <r>
    <n v="1"/>
    <x v="3"/>
    <n v="8660990"/>
    <s v="2018-08-26"/>
    <x v="1"/>
    <s v="2018-08-28"/>
    <n v="1"/>
    <n v="1"/>
    <s v="2018-09-04"/>
    <n v="0"/>
    <s v="-"/>
    <n v="1"/>
    <n v="1"/>
    <n v="1"/>
    <n v="1"/>
    <n v="100"/>
    <n v="1"/>
    <n v="0"/>
    <n v="1"/>
    <n v="0"/>
    <n v="1"/>
    <n v="1"/>
    <s v="8660990-"/>
    <n v="1"/>
  </r>
  <r>
    <n v="1"/>
    <x v="3"/>
    <n v="8660991"/>
    <s v="2018-08-26"/>
    <x v="15"/>
    <s v="2018-08-28"/>
    <n v="1"/>
    <n v="1"/>
    <s v="2018-09-06"/>
    <n v="0"/>
    <s v="-"/>
    <n v="1"/>
    <n v="1"/>
    <n v="1"/>
    <n v="1"/>
    <n v="100"/>
    <n v="1"/>
    <n v="0"/>
    <n v="1"/>
    <n v="0"/>
    <n v="1"/>
    <n v="1"/>
    <s v="8660991-"/>
    <n v="1"/>
  </r>
  <r>
    <n v="1"/>
    <x v="3"/>
    <n v="8661002"/>
    <s v="2018-08-26"/>
    <x v="15"/>
    <s v="2018-08-28"/>
    <n v="1"/>
    <n v="1"/>
    <s v="2018-09-06"/>
    <n v="0"/>
    <s v="-"/>
    <n v="1"/>
    <n v="1"/>
    <n v="1"/>
    <n v="1"/>
    <n v="100"/>
    <n v="1"/>
    <n v="0"/>
    <n v="1"/>
    <n v="0"/>
    <n v="1"/>
    <n v="1"/>
    <s v="8661002-"/>
    <n v="1"/>
  </r>
  <r>
    <n v="1"/>
    <x v="3"/>
    <n v="8661269"/>
    <s v="2018-08-27"/>
    <x v="1"/>
    <s v="2018-08-28"/>
    <n v="1"/>
    <n v="1"/>
    <s v="2018-09-04"/>
    <n v="0"/>
    <s v="-"/>
    <n v="1"/>
    <n v="1"/>
    <n v="1"/>
    <n v="1"/>
    <n v="100"/>
    <n v="1"/>
    <n v="0"/>
    <n v="1"/>
    <n v="0"/>
    <n v="1"/>
    <n v="1"/>
    <s v="8661269-"/>
    <n v="1"/>
  </r>
  <r>
    <n v="1"/>
    <x v="3"/>
    <n v="8661338"/>
    <s v="2018-08-27"/>
    <x v="1"/>
    <s v="2018-08-28"/>
    <n v="1"/>
    <n v="1"/>
    <s v="2018-09-04"/>
    <n v="0"/>
    <s v="-"/>
    <n v="1"/>
    <n v="1"/>
    <n v="1"/>
    <n v="1"/>
    <n v="100"/>
    <n v="1"/>
    <n v="0"/>
    <n v="1"/>
    <n v="0"/>
    <n v="1"/>
    <n v="1"/>
    <s v="8661338-"/>
    <n v="1"/>
  </r>
  <r>
    <n v="1"/>
    <x v="3"/>
    <n v="8662170"/>
    <s v="2018-08-27"/>
    <x v="14"/>
    <s v="2018-08-28"/>
    <n v="154"/>
    <n v="154"/>
    <s v="2018-08-31"/>
    <n v="0"/>
    <s v="-"/>
    <n v="154"/>
    <n v="1"/>
    <n v="1"/>
    <n v="1"/>
    <n v="100"/>
    <n v="154"/>
    <n v="0"/>
    <n v="154"/>
    <n v="0"/>
    <n v="1"/>
    <n v="1"/>
    <s v="8662170-"/>
    <n v="154"/>
  </r>
  <r>
    <n v="1"/>
    <x v="3"/>
    <n v="8662642"/>
    <s v="2018-08-27"/>
    <x v="1"/>
    <s v="2018-08-28"/>
    <n v="1"/>
    <n v="1"/>
    <s v="2018-09-04"/>
    <n v="0"/>
    <s v="-"/>
    <n v="1"/>
    <n v="1"/>
    <n v="1"/>
    <n v="1"/>
    <n v="100"/>
    <n v="1"/>
    <n v="0"/>
    <n v="1"/>
    <n v="0"/>
    <n v="1"/>
    <n v="1"/>
    <s v="8662642-"/>
    <n v="1"/>
  </r>
  <r>
    <n v="1"/>
    <x v="3"/>
    <n v="8662855"/>
    <s v="2018-08-27"/>
    <x v="1"/>
    <s v="2018-08-28"/>
    <n v="1"/>
    <n v="1"/>
    <s v="2018-09-04"/>
    <n v="0"/>
    <s v="-"/>
    <n v="1"/>
    <n v="1"/>
    <n v="1"/>
    <n v="1"/>
    <n v="100"/>
    <n v="1"/>
    <n v="0"/>
    <n v="1"/>
    <n v="0"/>
    <n v="1"/>
    <n v="1"/>
    <s v="8662855-"/>
    <n v="1"/>
  </r>
  <r>
    <n v="1"/>
    <x v="3"/>
    <n v="8663291"/>
    <s v="2018-08-27"/>
    <x v="1"/>
    <s v="2018-08-29"/>
    <n v="1"/>
    <n v="1"/>
    <s v="2018-09-04"/>
    <n v="0"/>
    <s v="-"/>
    <n v="1"/>
    <n v="1"/>
    <n v="1"/>
    <n v="1"/>
    <n v="100"/>
    <n v="1"/>
    <n v="0"/>
    <n v="1"/>
    <n v="0"/>
    <n v="1"/>
    <n v="1"/>
    <s v="8663291-"/>
    <n v="1"/>
  </r>
  <r>
    <n v="1"/>
    <x v="3"/>
    <n v="8663422"/>
    <s v="2018-08-28"/>
    <x v="1"/>
    <s v="2018-08-29"/>
    <n v="1"/>
    <n v="1"/>
    <s v="2018-09-04"/>
    <n v="0"/>
    <s v="-"/>
    <n v="1"/>
    <n v="1"/>
    <n v="1"/>
    <n v="1"/>
    <n v="100"/>
    <n v="1"/>
    <n v="0"/>
    <n v="1"/>
    <n v="0"/>
    <n v="1"/>
    <n v="1"/>
    <s v="8663422-"/>
    <n v="1"/>
  </r>
  <r>
    <n v="1"/>
    <x v="3"/>
    <n v="8663620"/>
    <s v="2018-08-28"/>
    <x v="1"/>
    <s v="2018-08-29"/>
    <n v="1"/>
    <n v="0"/>
    <s v="1900-01-01"/>
    <n v="0"/>
    <s v="-"/>
    <n v="0"/>
    <n v="0"/>
    <n v="0"/>
    <n v="0"/>
    <n v="0"/>
    <n v="0"/>
    <n v="0"/>
    <n v="0"/>
    <n v="1"/>
    <n v="1"/>
    <n v="0"/>
    <s v="8663620-"/>
    <n v="0"/>
  </r>
  <r>
    <n v="1"/>
    <x v="3"/>
    <n v="8664280"/>
    <s v="2018-08-28"/>
    <x v="0"/>
    <s v="2018-08-29"/>
    <n v="36"/>
    <n v="36"/>
    <s v="2018-09-03"/>
    <n v="0"/>
    <s v="-"/>
    <n v="36"/>
    <n v="1"/>
    <n v="1"/>
    <n v="1"/>
    <n v="100"/>
    <n v="36"/>
    <n v="0"/>
    <n v="36"/>
    <n v="0"/>
    <n v="1"/>
    <n v="1"/>
    <s v="8664280-"/>
    <n v="36"/>
  </r>
  <r>
    <n v="1"/>
    <x v="3"/>
    <n v="8664524"/>
    <s v="2018-08-28"/>
    <x v="13"/>
    <s v="2018-08-29"/>
    <n v="339"/>
    <n v="105"/>
    <s v="2018-08-30"/>
    <n v="0"/>
    <s v="-"/>
    <n v="105"/>
    <n v="0"/>
    <n v="1"/>
    <n v="0"/>
    <n v="30.973451327433626"/>
    <n v="105"/>
    <n v="0"/>
    <n v="105"/>
    <n v="234"/>
    <n v="1"/>
    <n v="0"/>
    <s v="8664524-"/>
    <n v="105"/>
  </r>
  <r>
    <n v="1"/>
    <x v="3"/>
    <n v="8664557"/>
    <s v="2018-08-28"/>
    <x v="1"/>
    <s v="2018-08-29"/>
    <n v="1"/>
    <n v="1"/>
    <s v="2018-09-04"/>
    <n v="0"/>
    <s v="-"/>
    <n v="1"/>
    <n v="1"/>
    <n v="1"/>
    <n v="1"/>
    <n v="100"/>
    <n v="1"/>
    <n v="0"/>
    <n v="1"/>
    <n v="0"/>
    <n v="1"/>
    <n v="1"/>
    <s v="8664557-"/>
    <n v="1"/>
  </r>
  <r>
    <n v="1"/>
    <x v="3"/>
    <n v="8665011"/>
    <s v="2018-08-28"/>
    <x v="1"/>
    <s v="2018-08-29"/>
    <n v="1"/>
    <n v="1"/>
    <s v="2018-09-04"/>
    <n v="0"/>
    <s v="-"/>
    <n v="1"/>
    <n v="1"/>
    <n v="1"/>
    <n v="1"/>
    <n v="100"/>
    <n v="1"/>
    <n v="0"/>
    <n v="1"/>
    <n v="0"/>
    <n v="1"/>
    <n v="1"/>
    <s v="8665011-"/>
    <n v="1"/>
  </r>
  <r>
    <n v="1"/>
    <x v="3"/>
    <n v="8665704"/>
    <s v="2018-08-28"/>
    <x v="1"/>
    <s v="2018-08-30"/>
    <n v="1"/>
    <n v="1"/>
    <s v="2018-09-04"/>
    <n v="0"/>
    <s v="-"/>
    <n v="1"/>
    <n v="1"/>
    <n v="1"/>
    <n v="1"/>
    <n v="100"/>
    <n v="1"/>
    <n v="0"/>
    <n v="1"/>
    <n v="0"/>
    <n v="1"/>
    <n v="1"/>
    <s v="8665704-"/>
    <n v="1"/>
  </r>
  <r>
    <n v="1"/>
    <x v="3"/>
    <n v="8665756"/>
    <s v="2018-08-28"/>
    <x v="6"/>
    <s v="2018-08-30"/>
    <n v="1"/>
    <n v="1"/>
    <s v="2018-09-20"/>
    <n v="0"/>
    <s v="-"/>
    <n v="1"/>
    <n v="1"/>
    <n v="1"/>
    <n v="1"/>
    <n v="100"/>
    <n v="1"/>
    <n v="0"/>
    <n v="1"/>
    <n v="0"/>
    <n v="1"/>
    <n v="1"/>
    <s v="8665756-"/>
    <n v="1"/>
  </r>
  <r>
    <n v="1"/>
    <x v="3"/>
    <n v="8666231"/>
    <s v="2018-08-29"/>
    <x v="1"/>
    <s v="2018-08-30"/>
    <n v="1"/>
    <n v="1"/>
    <s v="2018-09-04"/>
    <n v="0"/>
    <s v="-"/>
    <n v="1"/>
    <n v="1"/>
    <n v="1"/>
    <n v="1"/>
    <n v="100"/>
    <n v="1"/>
    <n v="0"/>
    <n v="1"/>
    <n v="0"/>
    <n v="1"/>
    <n v="1"/>
    <s v="8666231-"/>
    <n v="1"/>
  </r>
  <r>
    <n v="1"/>
    <x v="3"/>
    <n v="8667241"/>
    <s v="2018-08-29"/>
    <x v="1"/>
    <s v="2018-08-30"/>
    <n v="1"/>
    <n v="1"/>
    <s v="2018-09-04"/>
    <n v="0"/>
    <s v="-"/>
    <n v="1"/>
    <n v="1"/>
    <n v="1"/>
    <n v="1"/>
    <n v="100"/>
    <n v="1"/>
    <n v="0"/>
    <n v="1"/>
    <n v="0"/>
    <n v="1"/>
    <n v="1"/>
    <s v="8667241-"/>
    <n v="1"/>
  </r>
  <r>
    <n v="1"/>
    <x v="3"/>
    <n v="8668609"/>
    <s v="2018-08-30"/>
    <x v="18"/>
    <s v="2018-08-31"/>
    <n v="46"/>
    <n v="46"/>
    <s v="2018-09-05"/>
    <n v="0"/>
    <s v="-"/>
    <n v="46"/>
    <n v="1"/>
    <n v="1"/>
    <n v="1"/>
    <n v="100"/>
    <n v="46"/>
    <n v="0"/>
    <n v="46"/>
    <n v="0"/>
    <n v="1"/>
    <n v="1"/>
    <s v="8668609-"/>
    <n v="46"/>
  </r>
  <r>
    <n v="1"/>
    <x v="3"/>
    <n v="8668940"/>
    <s v="2018-08-30"/>
    <x v="15"/>
    <s v="2018-08-31"/>
    <n v="1"/>
    <n v="1"/>
    <s v="2018-09-06"/>
    <n v="0"/>
    <s v="-"/>
    <n v="1"/>
    <n v="1"/>
    <n v="1"/>
    <n v="1"/>
    <n v="100"/>
    <n v="1"/>
    <n v="0"/>
    <n v="1"/>
    <n v="0"/>
    <n v="1"/>
    <n v="1"/>
    <s v="8668940-"/>
    <n v="1"/>
  </r>
  <r>
    <n v="1"/>
    <x v="3"/>
    <n v="8669264"/>
    <s v="2018-08-30"/>
    <x v="16"/>
    <s v="2018-08-31"/>
    <n v="14"/>
    <n v="10"/>
    <s v="2018-09-04"/>
    <n v="0"/>
    <s v="-"/>
    <n v="10"/>
    <n v="0"/>
    <n v="1"/>
    <n v="0"/>
    <n v="71.428571428571431"/>
    <n v="10"/>
    <n v="0"/>
    <n v="10"/>
    <n v="4"/>
    <n v="1"/>
    <n v="0"/>
    <s v="8669264-"/>
    <n v="10"/>
  </r>
  <r>
    <n v="1"/>
    <x v="3"/>
    <n v="8669326"/>
    <s v="2018-08-30"/>
    <x v="15"/>
    <s v="2018-08-31"/>
    <n v="1"/>
    <n v="1"/>
    <s v="2018-09-06"/>
    <n v="0"/>
    <s v="-"/>
    <n v="1"/>
    <n v="1"/>
    <n v="1"/>
    <n v="1"/>
    <n v="100"/>
    <n v="1"/>
    <n v="0"/>
    <n v="1"/>
    <n v="0"/>
    <n v="1"/>
    <n v="1"/>
    <s v="8669326-"/>
    <n v="1"/>
  </r>
  <r>
    <n v="1"/>
    <x v="3"/>
    <n v="8669502"/>
    <s v="2018-08-30"/>
    <x v="15"/>
    <s v="2018-08-31"/>
    <n v="1"/>
    <n v="1"/>
    <s v="2018-09-06"/>
    <n v="0"/>
    <s v="-"/>
    <n v="1"/>
    <n v="1"/>
    <n v="1"/>
    <n v="1"/>
    <n v="100"/>
    <n v="1"/>
    <n v="0"/>
    <n v="1"/>
    <n v="0"/>
    <n v="1"/>
    <n v="1"/>
    <s v="8669502-"/>
    <n v="1"/>
  </r>
  <r>
    <n v="1"/>
    <x v="3"/>
    <n v="8669965"/>
    <s v="2018-08-30"/>
    <x v="15"/>
    <s v="2018-09-03"/>
    <n v="1"/>
    <n v="1"/>
    <s v="2018-09-06"/>
    <n v="0"/>
    <s v="-"/>
    <n v="1"/>
    <n v="1"/>
    <n v="1"/>
    <n v="1"/>
    <n v="100"/>
    <n v="1"/>
    <n v="0"/>
    <n v="1"/>
    <n v="0"/>
    <n v="1"/>
    <n v="1"/>
    <s v="8669965-"/>
    <n v="1"/>
  </r>
  <r>
    <n v="1"/>
    <x v="3"/>
    <n v="8670253"/>
    <s v="2018-08-31"/>
    <x v="15"/>
    <s v="2018-09-03"/>
    <n v="1"/>
    <n v="1"/>
    <s v="2018-09-06"/>
    <n v="0"/>
    <s v="-"/>
    <n v="1"/>
    <n v="1"/>
    <n v="1"/>
    <n v="1"/>
    <n v="100"/>
    <n v="1"/>
    <n v="0"/>
    <n v="1"/>
    <n v="0"/>
    <n v="1"/>
    <n v="1"/>
    <s v="8670253-"/>
    <n v="1"/>
  </r>
  <r>
    <n v="1"/>
    <x v="3"/>
    <n v="8672092"/>
    <s v="2018-08-31"/>
    <x v="11"/>
    <s v="2018-09-03"/>
    <n v="1"/>
    <n v="1"/>
    <s v="2018-09-13"/>
    <n v="0"/>
    <s v="-"/>
    <n v="1"/>
    <n v="1"/>
    <n v="1"/>
    <n v="1"/>
    <n v="100"/>
    <n v="1"/>
    <n v="0"/>
    <n v="1"/>
    <n v="0"/>
    <n v="1"/>
    <n v="1"/>
    <s v="8672092-"/>
    <n v="1"/>
  </r>
  <r>
    <n v="1"/>
    <x v="3"/>
    <n v="8672097"/>
    <s v="2018-08-31"/>
    <x v="11"/>
    <s v="2018-09-03"/>
    <n v="1"/>
    <n v="1"/>
    <s v="2018-09-13"/>
    <n v="0"/>
    <s v="-"/>
    <n v="1"/>
    <n v="1"/>
    <n v="1"/>
    <n v="1"/>
    <n v="100"/>
    <n v="1"/>
    <n v="0"/>
    <n v="1"/>
    <n v="0"/>
    <n v="1"/>
    <n v="1"/>
    <s v="8672097-"/>
    <n v="1"/>
  </r>
  <r>
    <n v="1"/>
    <x v="3"/>
    <n v="8672315"/>
    <s v="2018-09-01"/>
    <x v="3"/>
    <s v="2018-09-03"/>
    <n v="1"/>
    <n v="1"/>
    <s v="2018-09-11"/>
    <n v="0"/>
    <s v="-"/>
    <n v="1"/>
    <n v="1"/>
    <n v="1"/>
    <n v="1"/>
    <n v="100"/>
    <n v="1"/>
    <n v="0"/>
    <n v="1"/>
    <n v="0"/>
    <n v="1"/>
    <n v="1"/>
    <s v="8672315-"/>
    <n v="1"/>
  </r>
  <r>
    <n v="1"/>
    <x v="3"/>
    <n v="8672328"/>
    <s v="2018-09-01"/>
    <x v="3"/>
    <s v="2018-09-03"/>
    <n v="1"/>
    <n v="1"/>
    <s v="2018-09-11"/>
    <n v="0"/>
    <s v="-"/>
    <n v="1"/>
    <n v="1"/>
    <n v="1"/>
    <n v="1"/>
    <n v="100"/>
    <n v="1"/>
    <n v="0"/>
    <n v="1"/>
    <n v="0"/>
    <n v="1"/>
    <n v="1"/>
    <s v="8672328-"/>
    <n v="1"/>
  </r>
  <r>
    <n v="1"/>
    <x v="3"/>
    <n v="8672343"/>
    <s v="2018-09-01"/>
    <x v="11"/>
    <s v="2018-09-03"/>
    <n v="1"/>
    <n v="1"/>
    <s v="2018-09-13"/>
    <n v="0"/>
    <s v="-"/>
    <n v="1"/>
    <n v="1"/>
    <n v="1"/>
    <n v="1"/>
    <n v="100"/>
    <n v="1"/>
    <n v="0"/>
    <n v="1"/>
    <n v="0"/>
    <n v="1"/>
    <n v="1"/>
    <s v="8672343-"/>
    <n v="1"/>
  </r>
  <r>
    <n v="1"/>
    <x v="3"/>
    <n v="8672409"/>
    <s v="2018-09-01"/>
    <x v="3"/>
    <s v="2018-09-03"/>
    <n v="1"/>
    <n v="1"/>
    <s v="2018-09-11"/>
    <n v="0"/>
    <s v="-"/>
    <n v="1"/>
    <n v="1"/>
    <n v="1"/>
    <n v="1"/>
    <n v="100"/>
    <n v="1"/>
    <n v="0"/>
    <n v="1"/>
    <n v="0"/>
    <n v="1"/>
    <n v="1"/>
    <s v="8672409-"/>
    <n v="1"/>
  </r>
  <r>
    <n v="1"/>
    <x v="3"/>
    <n v="8672638"/>
    <s v="2018-09-01"/>
    <x v="3"/>
    <s v="2018-09-03"/>
    <n v="1"/>
    <n v="1"/>
    <s v="2018-09-11"/>
    <n v="0"/>
    <s v="-"/>
    <n v="1"/>
    <n v="1"/>
    <n v="1"/>
    <n v="1"/>
    <n v="100"/>
    <n v="1"/>
    <n v="0"/>
    <n v="1"/>
    <n v="0"/>
    <n v="1"/>
    <n v="1"/>
    <s v="8672638-"/>
    <n v="1"/>
  </r>
  <r>
    <n v="1"/>
    <x v="3"/>
    <n v="8672799"/>
    <s v="2018-09-02"/>
    <x v="3"/>
    <s v="2018-09-03"/>
    <n v="1"/>
    <n v="1"/>
    <s v="2018-09-11"/>
    <n v="0"/>
    <s v="-"/>
    <n v="1"/>
    <n v="1"/>
    <n v="1"/>
    <n v="1"/>
    <n v="100"/>
    <n v="1"/>
    <n v="0"/>
    <n v="1"/>
    <n v="0"/>
    <n v="1"/>
    <n v="1"/>
    <s v="8672799-"/>
    <n v="1"/>
  </r>
  <r>
    <n v="1"/>
    <x v="3"/>
    <n v="8673146"/>
    <s v="2018-09-02"/>
    <x v="3"/>
    <s v="2018-09-03"/>
    <n v="1"/>
    <n v="1"/>
    <s v="2018-09-11"/>
    <n v="0"/>
    <s v="-"/>
    <n v="1"/>
    <n v="1"/>
    <n v="1"/>
    <n v="1"/>
    <n v="100"/>
    <n v="1"/>
    <n v="0"/>
    <n v="1"/>
    <n v="0"/>
    <n v="1"/>
    <n v="1"/>
    <s v="8673146-"/>
    <n v="1"/>
  </r>
  <r>
    <n v="1"/>
    <x v="3"/>
    <n v="8673243"/>
    <s v="2018-09-02"/>
    <x v="3"/>
    <s v="2018-09-04"/>
    <n v="1"/>
    <n v="1"/>
    <s v="2018-09-11"/>
    <n v="0"/>
    <s v="-"/>
    <n v="1"/>
    <n v="1"/>
    <n v="1"/>
    <n v="1"/>
    <n v="100"/>
    <n v="1"/>
    <n v="0"/>
    <n v="1"/>
    <n v="0"/>
    <n v="1"/>
    <n v="1"/>
    <s v="8673243-"/>
    <n v="1"/>
  </r>
  <r>
    <n v="1"/>
    <x v="3"/>
    <n v="8673274"/>
    <s v="2018-09-02"/>
    <x v="3"/>
    <s v="2018-09-04"/>
    <n v="1"/>
    <n v="0"/>
    <s v="1900-01-01"/>
    <n v="0"/>
    <s v="-"/>
    <n v="0"/>
    <n v="0"/>
    <n v="0"/>
    <n v="0"/>
    <n v="0"/>
    <n v="0"/>
    <n v="0"/>
    <n v="0"/>
    <n v="1"/>
    <n v="1"/>
    <n v="0"/>
    <s v="8673274-"/>
    <n v="0"/>
  </r>
  <r>
    <n v="1"/>
    <x v="3"/>
    <n v="8673333"/>
    <s v="2018-09-02"/>
    <x v="3"/>
    <s v="2018-09-04"/>
    <n v="1"/>
    <n v="1"/>
    <s v="2018-09-11"/>
    <n v="0"/>
    <s v="-"/>
    <n v="1"/>
    <n v="1"/>
    <n v="1"/>
    <n v="1"/>
    <n v="100"/>
    <n v="1"/>
    <n v="0"/>
    <n v="1"/>
    <n v="0"/>
    <n v="1"/>
    <n v="1"/>
    <s v="8673333-"/>
    <n v="1"/>
  </r>
  <r>
    <n v="1"/>
    <x v="3"/>
    <n v="8673363"/>
    <s v="2018-09-02"/>
    <x v="3"/>
    <s v="2018-09-04"/>
    <n v="1"/>
    <n v="1"/>
    <s v="2018-09-11"/>
    <n v="0"/>
    <s v="-"/>
    <n v="1"/>
    <n v="1"/>
    <n v="1"/>
    <n v="1"/>
    <n v="100"/>
    <n v="1"/>
    <n v="0"/>
    <n v="1"/>
    <n v="0"/>
    <n v="1"/>
    <n v="1"/>
    <s v="8673363-"/>
    <n v="1"/>
  </r>
  <r>
    <n v="1"/>
    <x v="3"/>
    <n v="8674100"/>
    <s v="2018-09-03"/>
    <x v="8"/>
    <s v="2018-09-04"/>
    <n v="120"/>
    <n v="120"/>
    <s v="2018-09-07"/>
    <n v="0"/>
    <s v="-"/>
    <n v="120"/>
    <n v="1"/>
    <n v="1"/>
    <n v="1"/>
    <n v="100"/>
    <n v="120"/>
    <n v="0"/>
    <n v="120"/>
    <n v="0"/>
    <n v="1"/>
    <n v="1"/>
    <s v="8674100-"/>
    <n v="120"/>
  </r>
  <r>
    <n v="1"/>
    <x v="3"/>
    <n v="8674993"/>
    <s v="2018-09-03"/>
    <x v="3"/>
    <s v="2018-09-04"/>
    <n v="1"/>
    <n v="1"/>
    <s v="2018-09-11"/>
    <n v="0"/>
    <s v="-"/>
    <n v="1"/>
    <n v="1"/>
    <n v="1"/>
    <n v="1"/>
    <n v="100"/>
    <n v="1"/>
    <n v="0"/>
    <n v="1"/>
    <n v="0"/>
    <n v="1"/>
    <n v="1"/>
    <s v="8674993-"/>
    <n v="1"/>
  </r>
  <r>
    <n v="1"/>
    <x v="3"/>
    <n v="8675131"/>
    <s v="2018-09-03"/>
    <x v="11"/>
    <s v="2018-09-04"/>
    <n v="1"/>
    <n v="1"/>
    <s v="2018-09-13"/>
    <n v="0"/>
    <s v="-"/>
    <n v="1"/>
    <n v="1"/>
    <n v="1"/>
    <n v="1"/>
    <n v="100"/>
    <n v="1"/>
    <n v="0"/>
    <n v="1"/>
    <n v="0"/>
    <n v="1"/>
    <n v="1"/>
    <s v="8675131-"/>
    <n v="1"/>
  </r>
  <r>
    <n v="1"/>
    <x v="3"/>
    <n v="8675185"/>
    <s v="2018-09-03"/>
    <x v="20"/>
    <s v="2018-09-04"/>
    <n v="30"/>
    <n v="30"/>
    <s v="2018-09-06"/>
    <n v="0"/>
    <s v="-"/>
    <n v="30"/>
    <n v="1"/>
    <n v="1"/>
    <n v="1"/>
    <n v="100"/>
    <n v="30"/>
    <n v="0"/>
    <n v="30"/>
    <n v="0"/>
    <n v="1"/>
    <n v="1"/>
    <s v="8675185-"/>
    <n v="30"/>
  </r>
  <r>
    <n v="1"/>
    <x v="3"/>
    <n v="8675190"/>
    <s v="2018-09-03"/>
    <x v="20"/>
    <s v="2018-09-04"/>
    <n v="12"/>
    <n v="0"/>
    <s v="1900-01-01"/>
    <n v="0"/>
    <s v="-"/>
    <n v="0"/>
    <n v="0"/>
    <n v="0"/>
    <n v="0"/>
    <n v="0"/>
    <n v="0"/>
    <n v="0"/>
    <n v="0"/>
    <n v="12"/>
    <n v="1"/>
    <n v="0"/>
    <s v="8675190-"/>
    <n v="0"/>
  </r>
  <r>
    <n v="1"/>
    <x v="3"/>
    <n v="8675668"/>
    <s v="2018-09-03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8675668-"/>
    <n v="1"/>
  </r>
  <r>
    <n v="1"/>
    <x v="3"/>
    <n v="8675715"/>
    <s v="2018-09-03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8675715-"/>
    <n v="1"/>
  </r>
  <r>
    <n v="1"/>
    <x v="3"/>
    <n v="8675790"/>
    <s v="2018-09-04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8675790-"/>
    <n v="1"/>
  </r>
  <r>
    <n v="1"/>
    <x v="3"/>
    <n v="8675900"/>
    <s v="2018-09-04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8675900-"/>
    <n v="1"/>
  </r>
  <r>
    <n v="1"/>
    <x v="3"/>
    <n v="8676006"/>
    <s v="2018-09-04"/>
    <x v="3"/>
    <s v="2018-09-05"/>
    <n v="2"/>
    <n v="2"/>
    <s v="2018-09-11"/>
    <n v="0"/>
    <s v="-"/>
    <n v="2"/>
    <n v="1"/>
    <n v="1"/>
    <n v="1"/>
    <n v="100"/>
    <n v="2"/>
    <n v="0"/>
    <n v="2"/>
    <n v="0"/>
    <n v="1"/>
    <n v="1"/>
    <s v="8676006-"/>
    <n v="2"/>
  </r>
  <r>
    <n v="1"/>
    <x v="3"/>
    <n v="8676560"/>
    <s v="2018-09-04"/>
    <x v="11"/>
    <s v="2018-09-05"/>
    <n v="1"/>
    <n v="1"/>
    <s v="2018-09-13"/>
    <n v="0"/>
    <s v="-"/>
    <n v="1"/>
    <n v="1"/>
    <n v="1"/>
    <n v="1"/>
    <n v="100"/>
    <n v="1"/>
    <n v="0"/>
    <n v="1"/>
    <n v="0"/>
    <n v="1"/>
    <n v="1"/>
    <s v="8676560-"/>
    <n v="1"/>
  </r>
  <r>
    <n v="1"/>
    <x v="3"/>
    <n v="8676620"/>
    <s v="2018-09-04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8676620-"/>
    <n v="1"/>
  </r>
  <r>
    <n v="1"/>
    <x v="3"/>
    <n v="8676775"/>
    <s v="2018-09-04"/>
    <x v="9"/>
    <s v="2018-09-05"/>
    <n v="66"/>
    <n v="66"/>
    <s v="2018-09-10"/>
    <n v="0"/>
    <s v="-"/>
    <n v="66"/>
    <n v="1"/>
    <n v="1"/>
    <n v="1"/>
    <n v="100"/>
    <n v="66"/>
    <n v="0"/>
    <n v="66"/>
    <n v="0"/>
    <n v="1"/>
    <n v="1"/>
    <s v="8676775-"/>
    <n v="66"/>
  </r>
  <r>
    <n v="1"/>
    <x v="3"/>
    <n v="8676865"/>
    <s v="2018-09-04"/>
    <x v="15"/>
    <s v="2018-09-04"/>
    <n v="1241"/>
    <n v="3"/>
    <s v="2018-09-06"/>
    <n v="0"/>
    <s v="-"/>
    <n v="3"/>
    <n v="0"/>
    <n v="1"/>
    <n v="0"/>
    <n v="0.24174053182917005"/>
    <n v="3"/>
    <n v="0"/>
    <n v="3"/>
    <n v="1238"/>
    <n v="1"/>
    <n v="0"/>
    <s v="8676865-"/>
    <n v="3"/>
  </r>
  <r>
    <n v="1"/>
    <x v="3"/>
    <n v="8677166"/>
    <s v="2018-09-04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8677166-"/>
    <n v="1"/>
  </r>
  <r>
    <n v="1"/>
    <x v="3"/>
    <n v="8677846"/>
    <s v="2018-09-04"/>
    <x v="3"/>
    <s v="2018-09-06"/>
    <n v="1"/>
    <n v="1"/>
    <s v="2018-09-11"/>
    <n v="0"/>
    <s v="-"/>
    <n v="1"/>
    <n v="1"/>
    <n v="1"/>
    <n v="1"/>
    <n v="100"/>
    <n v="1"/>
    <n v="0"/>
    <n v="1"/>
    <n v="0"/>
    <n v="1"/>
    <n v="1"/>
    <s v="8677846-"/>
    <n v="1"/>
  </r>
  <r>
    <n v="1"/>
    <x v="3"/>
    <n v="8679273"/>
    <s v="2018-09-05"/>
    <x v="3"/>
    <s v="2018-09-06"/>
    <n v="1"/>
    <n v="0"/>
    <s v="1900-01-01"/>
    <n v="0"/>
    <s v="-"/>
    <n v="0"/>
    <n v="0"/>
    <n v="0"/>
    <n v="0"/>
    <n v="0"/>
    <n v="0"/>
    <n v="0"/>
    <n v="0"/>
    <n v="1"/>
    <n v="1"/>
    <n v="0"/>
    <s v="8679273-"/>
    <n v="0"/>
  </r>
  <r>
    <n v="1"/>
    <x v="3"/>
    <n v="8680080"/>
    <s v="2018-09-05"/>
    <x v="11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8680080-"/>
    <n v="1"/>
  </r>
  <r>
    <n v="1"/>
    <x v="3"/>
    <n v="8680106"/>
    <s v="2018-09-05"/>
    <x v="11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8680106-"/>
    <n v="1"/>
  </r>
  <r>
    <n v="1"/>
    <x v="3"/>
    <n v="8680421"/>
    <s v="2018-09-06"/>
    <x v="11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8680421-"/>
    <n v="1"/>
  </r>
  <r>
    <n v="1"/>
    <x v="3"/>
    <n v="8680428"/>
    <s v="2018-09-06"/>
    <x v="3"/>
    <s v="2018-09-07"/>
    <n v="1"/>
    <n v="1"/>
    <s v="2018-09-11"/>
    <n v="0"/>
    <s v="-"/>
    <n v="1"/>
    <n v="1"/>
    <n v="1"/>
    <n v="1"/>
    <n v="100"/>
    <n v="1"/>
    <n v="0"/>
    <n v="1"/>
    <n v="0"/>
    <n v="1"/>
    <n v="1"/>
    <s v="8680428-"/>
    <n v="1"/>
  </r>
  <r>
    <n v="1"/>
    <x v="3"/>
    <n v="8680466"/>
    <s v="2018-09-06"/>
    <x v="6"/>
    <s v="2018-09-06"/>
    <n v="30"/>
    <n v="30"/>
    <s v="2018-09-10"/>
    <n v="0"/>
    <s v="-"/>
    <n v="30"/>
    <n v="1"/>
    <n v="1"/>
    <n v="1"/>
    <n v="100"/>
    <n v="30"/>
    <n v="0"/>
    <n v="30"/>
    <n v="0"/>
    <n v="1"/>
    <n v="1"/>
    <s v="8680466-"/>
    <n v="30"/>
  </r>
  <r>
    <n v="1"/>
    <x v="3"/>
    <n v="8680543"/>
    <s v="2018-09-06"/>
    <x v="11"/>
    <s v="2018-09-07"/>
    <n v="1"/>
    <n v="0"/>
    <s v="1900-01-01"/>
    <n v="0"/>
    <s v="-"/>
    <n v="0"/>
    <n v="0"/>
    <n v="0"/>
    <n v="0"/>
    <n v="0"/>
    <n v="0"/>
    <n v="0"/>
    <n v="0"/>
    <n v="1"/>
    <n v="1"/>
    <n v="0"/>
    <s v="8680543-"/>
    <n v="0"/>
  </r>
  <r>
    <n v="1"/>
    <x v="3"/>
    <n v="8681169"/>
    <s v="2018-09-06"/>
    <x v="16"/>
    <s v="2018-09-07"/>
    <n v="60"/>
    <n v="60"/>
    <s v="2018-09-12"/>
    <n v="0"/>
    <s v="-"/>
    <n v="60"/>
    <n v="1"/>
    <n v="1"/>
    <n v="1"/>
    <n v="100"/>
    <n v="60"/>
    <n v="0"/>
    <n v="60"/>
    <n v="0"/>
    <n v="1"/>
    <n v="1"/>
    <s v="8681169-"/>
    <n v="60"/>
  </r>
  <r>
    <n v="1"/>
    <x v="3"/>
    <n v="8681567"/>
    <s v="2018-09-06"/>
    <x v="11"/>
    <s v="2018-09-07"/>
    <n v="2"/>
    <n v="2"/>
    <s v="2018-09-13"/>
    <n v="0"/>
    <s v="-"/>
    <n v="2"/>
    <n v="1"/>
    <n v="1"/>
    <n v="1"/>
    <n v="100"/>
    <n v="2"/>
    <n v="0"/>
    <n v="2"/>
    <n v="0"/>
    <n v="1"/>
    <n v="1"/>
    <s v="8681567-"/>
    <n v="2"/>
  </r>
  <r>
    <n v="1"/>
    <x v="3"/>
    <n v="8681664"/>
    <s v="2018-09-06"/>
    <x v="11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8681664-"/>
    <n v="1"/>
  </r>
  <r>
    <n v="1"/>
    <x v="3"/>
    <n v="8681776"/>
    <s v="2018-09-06"/>
    <x v="11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8681776-"/>
    <n v="1"/>
  </r>
  <r>
    <n v="1"/>
    <x v="3"/>
    <n v="8682194"/>
    <s v="2018-09-06"/>
    <x v="11"/>
    <s v="2018-09-10"/>
    <n v="1"/>
    <n v="1"/>
    <s v="2018-09-13"/>
    <n v="0"/>
    <s v="-"/>
    <n v="1"/>
    <n v="1"/>
    <n v="1"/>
    <n v="1"/>
    <n v="100"/>
    <n v="1"/>
    <n v="0"/>
    <n v="1"/>
    <n v="0"/>
    <n v="1"/>
    <n v="1"/>
    <s v="8682194-"/>
    <n v="1"/>
  </r>
  <r>
    <n v="1"/>
    <x v="3"/>
    <n v="8682211"/>
    <s v="2018-09-06"/>
    <x v="11"/>
    <s v="2018-09-10"/>
    <n v="2"/>
    <n v="0"/>
    <s v="1900-01-01"/>
    <n v="0"/>
    <s v="-"/>
    <n v="0"/>
    <n v="0"/>
    <n v="0"/>
    <n v="0"/>
    <n v="0"/>
    <n v="0"/>
    <n v="0"/>
    <n v="0"/>
    <n v="2"/>
    <n v="1"/>
    <n v="0"/>
    <s v="8682211-"/>
    <n v="0"/>
  </r>
  <r>
    <n v="1"/>
    <x v="3"/>
    <n v="8682247"/>
    <s v="2018-09-07"/>
    <x v="11"/>
    <s v="2018-09-10"/>
    <n v="1"/>
    <n v="1"/>
    <s v="2018-09-13"/>
    <n v="0"/>
    <s v="-"/>
    <n v="1"/>
    <n v="1"/>
    <n v="1"/>
    <n v="1"/>
    <n v="100"/>
    <n v="1"/>
    <n v="0"/>
    <n v="1"/>
    <n v="0"/>
    <n v="1"/>
    <n v="1"/>
    <s v="8682247-"/>
    <n v="1"/>
  </r>
  <r>
    <n v="1"/>
    <x v="3"/>
    <n v="8682431"/>
    <s v="2018-09-07"/>
    <x v="11"/>
    <s v="2018-09-10"/>
    <n v="1"/>
    <n v="1"/>
    <s v="2018-09-13"/>
    <n v="0"/>
    <s v="-"/>
    <n v="1"/>
    <n v="1"/>
    <n v="1"/>
    <n v="1"/>
    <n v="100"/>
    <n v="1"/>
    <n v="0"/>
    <n v="1"/>
    <n v="0"/>
    <n v="1"/>
    <n v="1"/>
    <s v="8682431-"/>
    <n v="1"/>
  </r>
  <r>
    <n v="1"/>
    <x v="3"/>
    <n v="8682442"/>
    <s v="2018-09-07"/>
    <x v="11"/>
    <s v="2018-09-10"/>
    <n v="1"/>
    <n v="1"/>
    <s v="2018-09-13"/>
    <n v="0"/>
    <s v="-"/>
    <n v="1"/>
    <n v="1"/>
    <n v="1"/>
    <n v="1"/>
    <n v="100"/>
    <n v="1"/>
    <n v="0"/>
    <n v="1"/>
    <n v="0"/>
    <n v="1"/>
    <n v="1"/>
    <s v="8682442-"/>
    <n v="1"/>
  </r>
  <r>
    <n v="1"/>
    <x v="3"/>
    <n v="8682616"/>
    <s v="2018-09-07"/>
    <x v="11"/>
    <s v="2018-09-10"/>
    <n v="1"/>
    <n v="1"/>
    <s v="2018-09-13"/>
    <n v="0"/>
    <s v="-"/>
    <n v="1"/>
    <n v="1"/>
    <n v="1"/>
    <n v="1"/>
    <n v="100"/>
    <n v="1"/>
    <n v="0"/>
    <n v="1"/>
    <n v="0"/>
    <n v="1"/>
    <n v="1"/>
    <s v="8682616-"/>
    <n v="1"/>
  </r>
  <r>
    <n v="1"/>
    <x v="3"/>
    <n v="8683620"/>
    <s v="2018-09-07"/>
    <x v="11"/>
    <s v="2018-09-10"/>
    <n v="1"/>
    <n v="0"/>
    <s v="1900-01-01"/>
    <n v="0"/>
    <s v="-"/>
    <n v="0"/>
    <n v="0"/>
    <n v="0"/>
    <n v="0"/>
    <n v="0"/>
    <n v="0"/>
    <n v="0"/>
    <n v="0"/>
    <n v="1"/>
    <n v="1"/>
    <n v="0"/>
    <s v="8683620-"/>
    <n v="0"/>
  </r>
  <r>
    <n v="1"/>
    <x v="3"/>
    <n v="8683637"/>
    <s v="2018-09-07"/>
    <x v="11"/>
    <s v="2018-09-10"/>
    <n v="1"/>
    <n v="1"/>
    <s v="2018-09-13"/>
    <n v="0"/>
    <s v="-"/>
    <n v="1"/>
    <n v="1"/>
    <n v="1"/>
    <n v="1"/>
    <n v="100"/>
    <n v="1"/>
    <n v="0"/>
    <n v="1"/>
    <n v="0"/>
    <n v="1"/>
    <n v="1"/>
    <s v="8683637-"/>
    <n v="1"/>
  </r>
  <r>
    <n v="1"/>
    <x v="3"/>
    <n v="8684241"/>
    <s v="2018-09-07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241-"/>
    <n v="1"/>
  </r>
  <r>
    <n v="1"/>
    <x v="3"/>
    <n v="8684658"/>
    <s v="2018-09-08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658-"/>
    <n v="1"/>
  </r>
  <r>
    <n v="1"/>
    <x v="3"/>
    <n v="8684715"/>
    <s v="2018-09-08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715-"/>
    <n v="1"/>
  </r>
  <r>
    <n v="1"/>
    <x v="3"/>
    <n v="8684729"/>
    <s v="2018-09-08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729-"/>
    <n v="1"/>
  </r>
  <r>
    <n v="1"/>
    <x v="3"/>
    <n v="8684744"/>
    <s v="2018-09-08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744-"/>
    <n v="1"/>
  </r>
  <r>
    <n v="1"/>
    <x v="3"/>
    <n v="8684766"/>
    <s v="2018-09-08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766-"/>
    <n v="1"/>
  </r>
  <r>
    <n v="1"/>
    <x v="3"/>
    <n v="8684826"/>
    <s v="2018-09-08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4826-"/>
    <n v="1"/>
  </r>
  <r>
    <n v="1"/>
    <x v="3"/>
    <n v="8685017"/>
    <s v="2018-09-09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5017-"/>
    <n v="1"/>
  </r>
  <r>
    <n v="1"/>
    <x v="3"/>
    <n v="8685153"/>
    <s v="2018-09-09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5153-"/>
    <n v="1"/>
  </r>
  <r>
    <n v="1"/>
    <x v="3"/>
    <n v="8685305"/>
    <s v="2018-09-09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5305-"/>
    <n v="1"/>
  </r>
  <r>
    <n v="1"/>
    <x v="3"/>
    <n v="8685307"/>
    <s v="2018-09-09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5307-"/>
    <n v="1"/>
  </r>
  <r>
    <n v="1"/>
    <x v="3"/>
    <n v="8685310"/>
    <s v="2018-09-09"/>
    <x v="6"/>
    <s v="2018-09-10"/>
    <n v="1"/>
    <n v="1"/>
    <s v="2018-09-20"/>
    <n v="0"/>
    <s v="-"/>
    <n v="1"/>
    <n v="1"/>
    <n v="1"/>
    <n v="1"/>
    <n v="100"/>
    <n v="1"/>
    <n v="0"/>
    <n v="1"/>
    <n v="0"/>
    <n v="1"/>
    <n v="1"/>
    <s v="8685310-"/>
    <n v="1"/>
  </r>
  <r>
    <n v="1"/>
    <x v="3"/>
    <n v="8685410"/>
    <s v="2018-09-09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8685410-"/>
    <n v="1"/>
  </r>
  <r>
    <n v="1"/>
    <x v="3"/>
    <n v="8685449"/>
    <s v="2018-09-09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8685449-"/>
    <n v="1"/>
  </r>
  <r>
    <n v="1"/>
    <x v="3"/>
    <n v="8685500"/>
    <s v="2018-09-09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8685500-"/>
    <n v="1"/>
  </r>
  <r>
    <n v="1"/>
    <x v="3"/>
    <n v="8685505"/>
    <s v="2018-09-09"/>
    <x v="6"/>
    <s v="2018-09-11"/>
    <n v="1"/>
    <n v="0"/>
    <s v="1900-01-01"/>
    <n v="0"/>
    <s v="-"/>
    <n v="0"/>
    <n v="0"/>
    <n v="0"/>
    <n v="0"/>
    <n v="0"/>
    <n v="0"/>
    <n v="0"/>
    <n v="0"/>
    <n v="1"/>
    <n v="1"/>
    <n v="0"/>
    <s v="8685505-"/>
    <n v="0"/>
  </r>
  <r>
    <n v="1"/>
    <x v="3"/>
    <n v="8685731"/>
    <s v="2018-09-10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8685731-"/>
    <n v="1"/>
  </r>
  <r>
    <n v="1"/>
    <x v="3"/>
    <n v="8685912"/>
    <s v="2018-09-10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8685912-"/>
    <n v="1"/>
  </r>
  <r>
    <n v="1"/>
    <x v="3"/>
    <n v="8686410"/>
    <s v="2018-09-10"/>
    <x v="20"/>
    <s v="2018-09-11"/>
    <n v="266"/>
    <n v="266"/>
    <s v="2018-09-14"/>
    <n v="0"/>
    <s v="-"/>
    <n v="266"/>
    <n v="1"/>
    <n v="1"/>
    <n v="1"/>
    <n v="100"/>
    <n v="266"/>
    <n v="0"/>
    <n v="266"/>
    <n v="0"/>
    <n v="1"/>
    <n v="1"/>
    <s v="8686410-"/>
    <n v="266"/>
  </r>
  <r>
    <n v="1"/>
    <x v="3"/>
    <n v="8687489"/>
    <s v="2018-09-10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8687489-"/>
    <n v="1"/>
  </r>
  <r>
    <n v="1"/>
    <x v="3"/>
    <n v="8687869"/>
    <s v="2018-09-10"/>
    <x v="6"/>
    <s v="2018-09-12"/>
    <n v="1"/>
    <n v="1"/>
    <s v="2018-09-20"/>
    <n v="0"/>
    <s v="-"/>
    <n v="1"/>
    <n v="1"/>
    <n v="1"/>
    <n v="1"/>
    <n v="100"/>
    <n v="1"/>
    <n v="0"/>
    <n v="1"/>
    <n v="0"/>
    <n v="1"/>
    <n v="1"/>
    <s v="8687869-"/>
    <n v="1"/>
  </r>
  <r>
    <n v="1"/>
    <x v="3"/>
    <n v="8687876"/>
    <s v="2018-09-10"/>
    <x v="6"/>
    <s v="2018-09-12"/>
    <n v="1"/>
    <n v="1"/>
    <s v="2018-09-20"/>
    <n v="0"/>
    <s v="-"/>
    <n v="1"/>
    <n v="1"/>
    <n v="1"/>
    <n v="1"/>
    <n v="100"/>
    <n v="1"/>
    <n v="0"/>
    <n v="1"/>
    <n v="0"/>
    <n v="1"/>
    <n v="1"/>
    <s v="8687876-"/>
    <n v="1"/>
  </r>
  <r>
    <n v="1"/>
    <x v="3"/>
    <n v="8687901"/>
    <s v="2018-09-10"/>
    <x v="6"/>
    <s v="2018-09-12"/>
    <n v="1"/>
    <n v="1"/>
    <s v="2018-09-20"/>
    <n v="0"/>
    <s v="-"/>
    <n v="1"/>
    <n v="1"/>
    <n v="1"/>
    <n v="1"/>
    <n v="100"/>
    <n v="1"/>
    <n v="0"/>
    <n v="1"/>
    <n v="0"/>
    <n v="1"/>
    <n v="1"/>
    <s v="8687901-"/>
    <n v="1"/>
  </r>
  <r>
    <n v="1"/>
    <x v="3"/>
    <n v="8688072"/>
    <s v="2018-09-11"/>
    <x v="6"/>
    <s v="2018-09-12"/>
    <n v="1"/>
    <n v="1"/>
    <s v="2018-09-20"/>
    <n v="0"/>
    <s v="-"/>
    <n v="1"/>
    <n v="1"/>
    <n v="1"/>
    <n v="1"/>
    <n v="100"/>
    <n v="1"/>
    <n v="0"/>
    <n v="1"/>
    <n v="0"/>
    <n v="1"/>
    <n v="1"/>
    <s v="8688072-"/>
    <n v="1"/>
  </r>
  <r>
    <n v="1"/>
    <x v="3"/>
    <n v="8688080"/>
    <s v="2018-09-11"/>
    <x v="7"/>
    <s v="2018-09-12"/>
    <n v="1"/>
    <n v="1"/>
    <s v="2018-09-25"/>
    <n v="0"/>
    <s v="-"/>
    <n v="1"/>
    <n v="1"/>
    <n v="1"/>
    <n v="1"/>
    <n v="100"/>
    <n v="1"/>
    <n v="0"/>
    <n v="1"/>
    <n v="0"/>
    <n v="1"/>
    <n v="1"/>
    <s v="8688080-"/>
    <n v="1"/>
  </r>
  <r>
    <n v="1"/>
    <x v="3"/>
    <n v="8688865"/>
    <s v="2018-09-11"/>
    <x v="6"/>
    <s v="2018-09-12"/>
    <n v="154"/>
    <n v="154"/>
    <s v="2018-09-20"/>
    <n v="0"/>
    <s v="-"/>
    <n v="154"/>
    <n v="1"/>
    <n v="1"/>
    <n v="1"/>
    <n v="100"/>
    <n v="154"/>
    <n v="0"/>
    <n v="154"/>
    <n v="0"/>
    <n v="1"/>
    <n v="1"/>
    <s v="8688865-"/>
    <n v="154"/>
  </r>
  <r>
    <n v="1"/>
    <x v="3"/>
    <n v="8688953"/>
    <s v="2018-09-11"/>
    <x v="11"/>
    <s v="2018-09-12"/>
    <n v="2086"/>
    <n v="100"/>
    <s v="2018-09-13"/>
    <n v="0"/>
    <s v="-"/>
    <n v="100"/>
    <n v="0"/>
    <n v="1"/>
    <n v="0"/>
    <n v="4.7938638542665393"/>
    <n v="100"/>
    <n v="0"/>
    <n v="100"/>
    <n v="1986"/>
    <n v="1"/>
    <n v="0"/>
    <s v="8688953-"/>
    <n v="100"/>
  </r>
  <r>
    <n v="1"/>
    <x v="3"/>
    <n v="8689809"/>
    <s v="2018-09-11"/>
    <x v="7"/>
    <s v="2018-09-12"/>
    <n v="1"/>
    <n v="0"/>
    <s v="1900-01-01"/>
    <n v="0"/>
    <s v="-"/>
    <n v="0"/>
    <n v="0"/>
    <n v="0"/>
    <n v="0"/>
    <n v="0"/>
    <n v="0"/>
    <n v="0"/>
    <n v="0"/>
    <n v="1"/>
    <n v="1"/>
    <n v="0"/>
    <s v="8689809-"/>
    <n v="0"/>
  </r>
  <r>
    <n v="1"/>
    <x v="3"/>
    <n v="8690295"/>
    <s v="2018-09-12"/>
    <x v="7"/>
    <s v="2018-09-13"/>
    <n v="1"/>
    <n v="1"/>
    <s v="2018-09-25"/>
    <n v="0"/>
    <s v="-"/>
    <n v="1"/>
    <n v="1"/>
    <n v="1"/>
    <n v="1"/>
    <n v="100"/>
    <n v="1"/>
    <n v="0"/>
    <n v="1"/>
    <n v="0"/>
    <n v="1"/>
    <n v="1"/>
    <s v="8690295-"/>
    <n v="1"/>
  </r>
  <r>
    <n v="1"/>
    <x v="3"/>
    <n v="8690350"/>
    <s v="2018-09-12"/>
    <x v="7"/>
    <s v="2018-09-13"/>
    <n v="1"/>
    <n v="1"/>
    <s v="2018-09-25"/>
    <n v="0"/>
    <s v="-"/>
    <n v="1"/>
    <n v="1"/>
    <n v="1"/>
    <n v="1"/>
    <n v="100"/>
    <n v="1"/>
    <n v="0"/>
    <n v="1"/>
    <n v="0"/>
    <n v="1"/>
    <n v="1"/>
    <s v="8690350-"/>
    <n v="1"/>
  </r>
  <r>
    <n v="1"/>
    <x v="3"/>
    <n v="8690887"/>
    <s v="2018-09-12"/>
    <x v="7"/>
    <s v="2018-09-13"/>
    <n v="1"/>
    <n v="1"/>
    <s v="2018-09-25"/>
    <n v="0"/>
    <s v="-"/>
    <n v="1"/>
    <n v="1"/>
    <n v="1"/>
    <n v="1"/>
    <n v="100"/>
    <n v="1"/>
    <n v="0"/>
    <n v="1"/>
    <n v="0"/>
    <n v="1"/>
    <n v="1"/>
    <s v="8690887-"/>
    <n v="1"/>
  </r>
  <r>
    <n v="1"/>
    <x v="3"/>
    <n v="8691554"/>
    <s v="2018-09-12"/>
    <x v="21"/>
    <s v="2018-09-13"/>
    <n v="1"/>
    <n v="1"/>
    <s v="2018-09-27"/>
    <n v="0"/>
    <s v="-"/>
    <n v="1"/>
    <n v="1"/>
    <n v="1"/>
    <n v="1"/>
    <n v="100"/>
    <n v="1"/>
    <n v="0"/>
    <n v="1"/>
    <n v="0"/>
    <n v="1"/>
    <n v="1"/>
    <s v="8691554-"/>
    <n v="1"/>
  </r>
  <r>
    <n v="1"/>
    <x v="3"/>
    <n v="8692365"/>
    <s v="2018-09-13"/>
    <x v="7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8692365-"/>
    <n v="1"/>
  </r>
  <r>
    <n v="1"/>
    <x v="3"/>
    <n v="8692808"/>
    <s v="2018-09-13"/>
    <x v="7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8692808-"/>
    <n v="1"/>
  </r>
  <r>
    <n v="1"/>
    <x v="3"/>
    <n v="8692948"/>
    <s v="2018-09-13"/>
    <x v="7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8692948-"/>
    <n v="1"/>
  </r>
  <r>
    <n v="1"/>
    <x v="3"/>
    <n v="8693049"/>
    <s v="2018-09-13"/>
    <x v="5"/>
    <s v="2018-09-14"/>
    <n v="38"/>
    <n v="38"/>
    <s v="2018-09-21"/>
    <n v="0"/>
    <s v="-"/>
    <n v="38"/>
    <n v="1"/>
    <n v="1"/>
    <n v="1"/>
    <n v="100"/>
    <n v="38"/>
    <n v="0"/>
    <n v="38"/>
    <n v="0"/>
    <n v="1"/>
    <n v="1"/>
    <s v="8693049-"/>
    <n v="38"/>
  </r>
  <r>
    <n v="1"/>
    <x v="3"/>
    <n v="8693420"/>
    <s v="2018-09-13"/>
    <x v="7"/>
    <s v="2018-09-14"/>
    <n v="3"/>
    <n v="3"/>
    <s v="2018-09-25"/>
    <n v="0"/>
    <s v="-"/>
    <n v="3"/>
    <n v="1"/>
    <n v="1"/>
    <n v="1"/>
    <n v="100"/>
    <n v="3"/>
    <n v="0"/>
    <n v="3"/>
    <n v="0"/>
    <n v="1"/>
    <n v="1"/>
    <s v="8693420-"/>
    <n v="3"/>
  </r>
  <r>
    <n v="1"/>
    <x v="3"/>
    <n v="8693933"/>
    <s v="2018-09-13"/>
    <x v="7"/>
    <s v="2018-09-20"/>
    <n v="1"/>
    <n v="0"/>
    <s v="1900-01-01"/>
    <n v="0"/>
    <s v="-"/>
    <n v="0"/>
    <n v="0"/>
    <n v="0"/>
    <n v="0"/>
    <n v="0"/>
    <n v="0"/>
    <n v="0"/>
    <n v="0"/>
    <n v="1"/>
    <n v="1"/>
    <n v="0"/>
    <s v="8693933-"/>
    <n v="0"/>
  </r>
  <r>
    <n v="1"/>
    <x v="3"/>
    <n v="8693971"/>
    <s v="2018-09-13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8693971-"/>
    <n v="1"/>
  </r>
  <r>
    <n v="1"/>
    <x v="3"/>
    <n v="8694065"/>
    <s v="2018-09-14"/>
    <x v="7"/>
    <s v="2018-09-20"/>
    <n v="1"/>
    <n v="0"/>
    <s v="1900-01-01"/>
    <n v="0"/>
    <s v="-"/>
    <n v="0"/>
    <n v="0"/>
    <n v="0"/>
    <n v="0"/>
    <n v="0"/>
    <n v="0"/>
    <n v="0"/>
    <n v="0"/>
    <n v="1"/>
    <n v="1"/>
    <n v="0"/>
    <s v="8694065-"/>
    <n v="0"/>
  </r>
  <r>
    <n v="1"/>
    <x v="3"/>
    <n v="8694210"/>
    <s v="2018-09-14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8694210-"/>
    <n v="1"/>
  </r>
  <r>
    <n v="1"/>
    <x v="3"/>
    <n v="8694506"/>
    <s v="2018-09-14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8694506-"/>
    <n v="1"/>
  </r>
  <r>
    <n v="1"/>
    <x v="3"/>
    <n v="8694642"/>
    <s v="2018-09-14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8694642-"/>
    <n v="1"/>
  </r>
  <r>
    <n v="1"/>
    <x v="3"/>
    <n v="8695897"/>
    <s v="2018-09-14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5897-"/>
    <n v="1"/>
  </r>
  <r>
    <n v="1"/>
    <x v="3"/>
    <n v="8696102"/>
    <s v="2018-09-15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102-"/>
    <n v="1"/>
  </r>
  <r>
    <n v="1"/>
    <x v="3"/>
    <n v="8696152"/>
    <s v="2018-09-15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152-"/>
    <n v="1"/>
  </r>
  <r>
    <n v="1"/>
    <x v="3"/>
    <n v="8696231"/>
    <s v="2018-09-15"/>
    <x v="21"/>
    <s v="2018-09-20"/>
    <n v="2"/>
    <n v="1"/>
    <s v="2018-09-27"/>
    <n v="0"/>
    <s v="-"/>
    <n v="1"/>
    <n v="0"/>
    <n v="1"/>
    <n v="0"/>
    <n v="50"/>
    <n v="1"/>
    <n v="0"/>
    <n v="1"/>
    <n v="1"/>
    <n v="1"/>
    <n v="0"/>
    <s v="8696231-"/>
    <n v="1"/>
  </r>
  <r>
    <n v="1"/>
    <x v="3"/>
    <n v="8696231"/>
    <s v="2018-09-15"/>
    <x v="21"/>
    <s v="2018-09-26"/>
    <n v="2"/>
    <n v="1"/>
    <s v="2018-09-27"/>
    <n v="0"/>
    <s v="-"/>
    <n v="1"/>
    <n v="0"/>
    <n v="1"/>
    <n v="0"/>
    <n v="50"/>
    <n v="1"/>
    <n v="0"/>
    <n v="1"/>
    <n v="1"/>
    <n v="1"/>
    <n v="0"/>
    <s v="8696231-"/>
    <n v="1"/>
  </r>
  <r>
    <n v="1"/>
    <x v="3"/>
    <n v="8696245"/>
    <s v="2018-09-15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245-"/>
    <n v="1"/>
  </r>
  <r>
    <n v="1"/>
    <x v="3"/>
    <n v="8696308"/>
    <s v="2018-09-16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308-"/>
    <n v="1"/>
  </r>
  <r>
    <n v="1"/>
    <x v="3"/>
    <n v="8696400"/>
    <s v="2018-09-16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400-"/>
    <n v="1"/>
  </r>
  <r>
    <n v="1"/>
    <x v="3"/>
    <n v="8696416"/>
    <s v="2018-09-16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416-"/>
    <n v="1"/>
  </r>
  <r>
    <n v="1"/>
    <x v="3"/>
    <n v="8696486"/>
    <s v="2018-09-16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486-"/>
    <n v="1"/>
  </r>
  <r>
    <n v="1"/>
    <x v="3"/>
    <n v="8696583"/>
    <s v="2018-09-17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583-"/>
    <n v="1"/>
  </r>
  <r>
    <n v="1"/>
    <x v="3"/>
    <n v="8696710"/>
    <s v="2018-09-17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710-"/>
    <n v="1"/>
  </r>
  <r>
    <n v="1"/>
    <x v="3"/>
    <n v="8696717"/>
    <s v="2018-09-17"/>
    <x v="21"/>
    <s v="2018-09-20"/>
    <n v="2"/>
    <n v="2"/>
    <s v="2018-09-27"/>
    <n v="0"/>
    <s v="-"/>
    <n v="2"/>
    <n v="1"/>
    <n v="1"/>
    <n v="1"/>
    <n v="100"/>
    <n v="2"/>
    <n v="0"/>
    <n v="2"/>
    <n v="0"/>
    <n v="1"/>
    <n v="1"/>
    <s v="8696717-"/>
    <n v="2"/>
  </r>
  <r>
    <n v="1"/>
    <x v="3"/>
    <n v="8696803"/>
    <s v="2018-09-17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803-"/>
    <n v="1"/>
  </r>
  <r>
    <n v="1"/>
    <x v="3"/>
    <n v="8696850"/>
    <s v="2018-09-17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850-"/>
    <n v="1"/>
  </r>
  <r>
    <n v="1"/>
    <x v="3"/>
    <n v="8696869"/>
    <s v="2018-09-17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869-"/>
    <n v="1"/>
  </r>
  <r>
    <n v="1"/>
    <x v="3"/>
    <n v="8696968"/>
    <s v="2018-09-18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6968-"/>
    <n v="1"/>
  </r>
  <r>
    <n v="1"/>
    <x v="3"/>
    <n v="8697026"/>
    <s v="2018-09-19"/>
    <x v="21"/>
    <s v="2018-09-20"/>
    <n v="1"/>
    <n v="1"/>
    <s v="2018-09-27"/>
    <n v="0"/>
    <s v="-"/>
    <n v="1"/>
    <n v="1"/>
    <n v="1"/>
    <n v="1"/>
    <n v="100"/>
    <n v="1"/>
    <n v="0"/>
    <n v="1"/>
    <n v="0"/>
    <n v="1"/>
    <n v="1"/>
    <s v="8697026-"/>
    <n v="1"/>
  </r>
  <r>
    <n v="1"/>
    <x v="3"/>
    <n v="8697121"/>
    <s v="2018-09-19"/>
    <x v="21"/>
    <s v="2018-09-21"/>
    <n v="1"/>
    <n v="1"/>
    <s v="2018-09-27"/>
    <n v="0"/>
    <s v="-"/>
    <n v="1"/>
    <n v="1"/>
    <n v="1"/>
    <n v="1"/>
    <n v="100"/>
    <n v="1"/>
    <n v="0"/>
    <n v="1"/>
    <n v="0"/>
    <n v="1"/>
    <n v="1"/>
    <s v="8697121-"/>
    <n v="1"/>
  </r>
  <r>
    <n v="1"/>
    <x v="3"/>
    <n v="8697449"/>
    <s v="2018-09-20"/>
    <x v="21"/>
    <s v="2018-09-21"/>
    <n v="1"/>
    <n v="1"/>
    <s v="2018-09-27"/>
    <n v="0"/>
    <s v="-"/>
    <n v="1"/>
    <n v="1"/>
    <n v="1"/>
    <n v="1"/>
    <n v="100"/>
    <n v="1"/>
    <n v="0"/>
    <n v="1"/>
    <n v="0"/>
    <n v="1"/>
    <n v="1"/>
    <s v="8697449-"/>
    <n v="1"/>
  </r>
  <r>
    <n v="1"/>
    <x v="3"/>
    <n v="8697480"/>
    <s v="2018-09-20"/>
    <x v="21"/>
    <s v="2018-09-21"/>
    <n v="1"/>
    <n v="1"/>
    <s v="2018-09-27"/>
    <n v="0"/>
    <s v="-"/>
    <n v="1"/>
    <n v="1"/>
    <n v="1"/>
    <n v="1"/>
    <n v="100"/>
    <n v="1"/>
    <n v="0"/>
    <n v="1"/>
    <n v="0"/>
    <n v="1"/>
    <n v="1"/>
    <s v="8697480-"/>
    <n v="1"/>
  </r>
  <r>
    <n v="1"/>
    <x v="3"/>
    <n v="8698177"/>
    <s v="2018-09-20"/>
    <x v="22"/>
    <s v="2018-09-21"/>
    <n v="48"/>
    <n v="48"/>
    <s v="2018-09-26"/>
    <n v="0"/>
    <s v="-"/>
    <n v="48"/>
    <n v="1"/>
    <n v="1"/>
    <n v="1"/>
    <n v="100"/>
    <n v="48"/>
    <n v="0"/>
    <n v="48"/>
    <n v="0"/>
    <n v="1"/>
    <n v="1"/>
    <s v="8698177-"/>
    <n v="48"/>
  </r>
  <r>
    <n v="1"/>
    <x v="3"/>
    <n v="8698329"/>
    <s v="2018-09-20"/>
    <x v="21"/>
    <s v="2018-09-21"/>
    <n v="1"/>
    <n v="1"/>
    <s v="2018-09-27"/>
    <n v="0"/>
    <s v="-"/>
    <n v="1"/>
    <n v="1"/>
    <n v="1"/>
    <n v="1"/>
    <n v="100"/>
    <n v="1"/>
    <n v="0"/>
    <n v="1"/>
    <n v="0"/>
    <n v="1"/>
    <n v="1"/>
    <s v="8698329-"/>
    <n v="1"/>
  </r>
  <r>
    <n v="1"/>
    <x v="3"/>
    <n v="8698686"/>
    <s v="2018-09-20"/>
    <x v="21"/>
    <s v="2018-09-21"/>
    <n v="1"/>
    <n v="1"/>
    <s v="2018-09-27"/>
    <n v="0"/>
    <s v="-"/>
    <n v="1"/>
    <n v="1"/>
    <n v="1"/>
    <n v="1"/>
    <n v="100"/>
    <n v="1"/>
    <n v="0"/>
    <n v="1"/>
    <n v="0"/>
    <n v="1"/>
    <n v="1"/>
    <s v="8698686-"/>
    <n v="1"/>
  </r>
  <r>
    <n v="1"/>
    <x v="3"/>
    <n v="8698983"/>
    <s v="2018-09-20"/>
    <x v="21"/>
    <s v="2018-09-21"/>
    <n v="1"/>
    <n v="1"/>
    <s v="2018-09-27"/>
    <n v="0"/>
    <s v="-"/>
    <n v="1"/>
    <n v="1"/>
    <n v="1"/>
    <n v="1"/>
    <n v="100"/>
    <n v="1"/>
    <n v="0"/>
    <n v="1"/>
    <n v="0"/>
    <n v="1"/>
    <n v="1"/>
    <s v="8698983-"/>
    <n v="1"/>
  </r>
  <r>
    <n v="1"/>
    <x v="3"/>
    <n v="8698989"/>
    <s v="2018-09-20"/>
    <x v="21"/>
    <s v="2018-09-21"/>
    <n v="1"/>
    <n v="0"/>
    <s v="1900-01-01"/>
    <n v="0"/>
    <s v="-"/>
    <n v="0"/>
    <n v="0"/>
    <n v="0"/>
    <n v="0"/>
    <n v="0"/>
    <n v="0"/>
    <n v="0"/>
    <n v="0"/>
    <n v="1"/>
    <n v="1"/>
    <n v="0"/>
    <s v="8698989-"/>
    <n v="0"/>
  </r>
  <r>
    <n v="1"/>
    <x v="3"/>
    <n v="8699381"/>
    <s v="2018-09-21"/>
    <x v="21"/>
    <s v="2018-09-24"/>
    <n v="1"/>
    <n v="1"/>
    <s v="2018-09-27"/>
    <n v="0"/>
    <s v="-"/>
    <n v="1"/>
    <n v="1"/>
    <n v="1"/>
    <n v="1"/>
    <n v="100"/>
    <n v="1"/>
    <n v="0"/>
    <n v="1"/>
    <n v="0"/>
    <n v="1"/>
    <n v="1"/>
    <s v="8699381-"/>
    <n v="1"/>
  </r>
  <r>
    <n v="1"/>
    <x v="3"/>
    <n v="8706137"/>
    <s v="2018-09-25"/>
    <x v="21"/>
    <s v="2018-09-26"/>
    <n v="2000"/>
    <n v="115"/>
    <s v="2018-09-27"/>
    <n v="0"/>
    <s v="-"/>
    <n v="115"/>
    <n v="0"/>
    <n v="1"/>
    <n v="0"/>
    <n v="5.75"/>
    <n v="115"/>
    <n v="0"/>
    <n v="115"/>
    <n v="1885"/>
    <n v="1"/>
    <n v="0"/>
    <s v="8706137-"/>
    <n v="115"/>
  </r>
  <r>
    <n v="3"/>
    <x v="2"/>
    <n v="342963"/>
    <s v="1900-01-01"/>
    <x v="14"/>
    <s v="1900-01-01"/>
    <n v="13"/>
    <n v="6"/>
    <s v="2018-08-21"/>
    <n v="0"/>
    <s v="-"/>
    <n v="6"/>
    <n v="0"/>
    <n v="1"/>
    <n v="0"/>
    <n v="46.153846153846153"/>
    <n v="6"/>
    <n v="0"/>
    <n v="6"/>
    <n v="7"/>
    <n v="1"/>
    <n v="0"/>
    <s v="342963-"/>
    <n v="6"/>
  </r>
  <r>
    <n v="3"/>
    <x v="2"/>
    <n v="343685"/>
    <s v="2018-08-22"/>
    <x v="8"/>
    <s v="2018-08-29"/>
    <n v="1"/>
    <n v="1"/>
    <s v="2018-09-04"/>
    <n v="0"/>
    <s v="-"/>
    <n v="1"/>
    <n v="1"/>
    <n v="1"/>
    <n v="1"/>
    <n v="100"/>
    <n v="1"/>
    <n v="0"/>
    <n v="1"/>
    <n v="0"/>
    <n v="1"/>
    <n v="1"/>
    <s v="343685-"/>
    <n v="1"/>
  </r>
  <r>
    <n v="3"/>
    <x v="2"/>
    <n v="344357"/>
    <s v="2018-09-04"/>
    <x v="19"/>
    <s v="2018-09-06"/>
    <n v="1"/>
    <n v="3"/>
    <s v="2018-09-20"/>
    <n v="2"/>
    <s v="-"/>
    <n v="1"/>
    <n v="1"/>
    <n v="1"/>
    <n v="1"/>
    <n v="100"/>
    <n v="-1"/>
    <n v="2"/>
    <n v="1"/>
    <n v="0"/>
    <n v="1"/>
    <n v="1"/>
    <s v="344357-"/>
    <n v="1"/>
  </r>
  <r>
    <n v="4"/>
    <x v="4"/>
    <n v="9581972"/>
    <s v="1900-01-01"/>
    <x v="17"/>
    <s v="1900-01-01"/>
    <n v="1"/>
    <n v="1"/>
    <s v="2018-08-29"/>
    <n v="0"/>
    <s v="-"/>
    <n v="1"/>
    <n v="1"/>
    <n v="1"/>
    <n v="1"/>
    <n v="100"/>
    <n v="1"/>
    <n v="0"/>
    <n v="1"/>
    <n v="0"/>
    <n v="1"/>
    <n v="1"/>
    <s v="9581972-"/>
    <n v="1"/>
  </r>
  <r>
    <n v="4"/>
    <x v="4"/>
    <n v="9582365"/>
    <s v="1900-01-01"/>
    <x v="8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582365-"/>
    <n v="1"/>
  </r>
  <r>
    <n v="4"/>
    <x v="4"/>
    <n v="9586021"/>
    <s v="1900-01-01"/>
    <x v="8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586021-"/>
    <n v="1"/>
  </r>
  <r>
    <n v="4"/>
    <x v="4"/>
    <n v="9591330"/>
    <s v="1900-01-01"/>
    <x v="12"/>
    <s v="1900-01-01"/>
    <n v="1"/>
    <n v="1"/>
    <s v="2018-08-27"/>
    <n v="0"/>
    <s v="-"/>
    <n v="1"/>
    <n v="1"/>
    <n v="1"/>
    <n v="1"/>
    <n v="100"/>
    <n v="1"/>
    <n v="0"/>
    <n v="1"/>
    <n v="0"/>
    <n v="1"/>
    <n v="1"/>
    <s v="9591330-"/>
    <n v="1"/>
  </r>
  <r>
    <n v="4"/>
    <x v="4"/>
    <n v="9592937"/>
    <s v="1900-01-01"/>
    <x v="12"/>
    <s v="1900-01-01"/>
    <n v="1"/>
    <n v="1"/>
    <s v="2018-08-27"/>
    <n v="0"/>
    <s v="-"/>
    <n v="1"/>
    <n v="1"/>
    <n v="1"/>
    <n v="1"/>
    <n v="100"/>
    <n v="1"/>
    <n v="0"/>
    <n v="1"/>
    <n v="0"/>
    <n v="1"/>
    <n v="1"/>
    <s v="9592937-"/>
    <n v="1"/>
  </r>
  <r>
    <n v="4"/>
    <x v="4"/>
    <n v="9595736"/>
    <s v="1900-01-01"/>
    <x v="14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595736-"/>
    <n v="1"/>
  </r>
  <r>
    <n v="4"/>
    <x v="4"/>
    <n v="9595770"/>
    <s v="1900-01-01"/>
    <x v="14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595770-"/>
    <n v="1"/>
  </r>
  <r>
    <n v="4"/>
    <x v="4"/>
    <n v="9596357"/>
    <s v="1900-01-01"/>
    <x v="17"/>
    <s v="1900-01-01"/>
    <n v="1"/>
    <n v="1"/>
    <s v="2018-08-29"/>
    <n v="0"/>
    <s v="-"/>
    <n v="1"/>
    <n v="1"/>
    <n v="1"/>
    <n v="1"/>
    <n v="100"/>
    <n v="1"/>
    <n v="0"/>
    <n v="1"/>
    <n v="0"/>
    <n v="1"/>
    <n v="1"/>
    <s v="9596357-"/>
    <n v="1"/>
  </r>
  <r>
    <n v="4"/>
    <x v="4"/>
    <n v="9597665"/>
    <s v="1900-01-01"/>
    <x v="17"/>
    <s v="1900-01-01"/>
    <n v="2"/>
    <n v="2"/>
    <s v="2018-08-29"/>
    <n v="0"/>
    <s v="-"/>
    <n v="2"/>
    <n v="1"/>
    <n v="1"/>
    <n v="1"/>
    <n v="100"/>
    <n v="2"/>
    <n v="0"/>
    <n v="2"/>
    <n v="0"/>
    <n v="1"/>
    <n v="1"/>
    <s v="9597665-"/>
    <n v="2"/>
  </r>
  <r>
    <n v="4"/>
    <x v="4"/>
    <n v="9598302"/>
    <s v="1900-01-01"/>
    <x v="17"/>
    <s v="1900-01-01"/>
    <n v="1"/>
    <n v="1"/>
    <s v="2018-08-29"/>
    <n v="0"/>
    <s v="-"/>
    <n v="1"/>
    <n v="1"/>
    <n v="1"/>
    <n v="1"/>
    <n v="100"/>
    <n v="1"/>
    <n v="0"/>
    <n v="1"/>
    <n v="0"/>
    <n v="1"/>
    <n v="1"/>
    <s v="9598302-"/>
    <n v="1"/>
  </r>
  <r>
    <n v="4"/>
    <x v="4"/>
    <n v="9599649"/>
    <s v="1900-01-01"/>
    <x v="12"/>
    <s v="1900-01-01"/>
    <n v="1"/>
    <n v="1"/>
    <s v="2018-08-27"/>
    <n v="0"/>
    <s v="-"/>
    <n v="1"/>
    <n v="1"/>
    <n v="1"/>
    <n v="1"/>
    <n v="100"/>
    <n v="1"/>
    <n v="0"/>
    <n v="1"/>
    <n v="0"/>
    <n v="1"/>
    <n v="1"/>
    <s v="9599649-"/>
    <n v="1"/>
  </r>
  <r>
    <n v="4"/>
    <x v="4"/>
    <n v="9600190"/>
    <s v="1900-01-01"/>
    <x v="12"/>
    <s v="1900-01-01"/>
    <n v="1"/>
    <n v="1"/>
    <s v="2018-08-27"/>
    <n v="0"/>
    <s v="-"/>
    <n v="1"/>
    <n v="1"/>
    <n v="1"/>
    <n v="1"/>
    <n v="100"/>
    <n v="1"/>
    <n v="0"/>
    <n v="1"/>
    <n v="0"/>
    <n v="1"/>
    <n v="1"/>
    <s v="9600190-"/>
    <n v="1"/>
  </r>
  <r>
    <n v="4"/>
    <x v="4"/>
    <n v="9600224"/>
    <s v="1900-01-01"/>
    <x v="12"/>
    <s v="1900-01-01"/>
    <n v="1"/>
    <n v="1"/>
    <s v="2018-08-27"/>
    <n v="0"/>
    <s v="-"/>
    <n v="1"/>
    <n v="1"/>
    <n v="1"/>
    <n v="1"/>
    <n v="100"/>
    <n v="1"/>
    <n v="0"/>
    <n v="1"/>
    <n v="0"/>
    <n v="1"/>
    <n v="1"/>
    <s v="9600224-"/>
    <n v="1"/>
  </r>
  <r>
    <n v="4"/>
    <x v="4"/>
    <n v="9600628"/>
    <s v="1900-01-01"/>
    <x v="14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600628-"/>
    <n v="1"/>
  </r>
  <r>
    <n v="4"/>
    <x v="4"/>
    <n v="9600902"/>
    <s v="1900-01-01"/>
    <x v="14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600902-"/>
    <n v="1"/>
  </r>
  <r>
    <n v="4"/>
    <x v="4"/>
    <n v="9601995"/>
    <s v="1900-01-01"/>
    <x v="14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601995-"/>
    <n v="1"/>
  </r>
  <r>
    <n v="4"/>
    <x v="4"/>
    <n v="9604950"/>
    <s v="1900-01-01"/>
    <x v="17"/>
    <s v="2018-08-17"/>
    <n v="1"/>
    <n v="1"/>
    <s v="2018-08-29"/>
    <n v="0"/>
    <s v="-"/>
    <n v="1"/>
    <n v="1"/>
    <n v="1"/>
    <n v="1"/>
    <n v="100"/>
    <n v="1"/>
    <n v="0"/>
    <n v="1"/>
    <n v="0"/>
    <n v="1"/>
    <n v="1"/>
    <s v="9604950-"/>
    <n v="1"/>
  </r>
  <r>
    <n v="4"/>
    <x v="4"/>
    <n v="9608491"/>
    <s v="2018-08-18"/>
    <x v="17"/>
    <s v="2018-08-20"/>
    <n v="1"/>
    <n v="1"/>
    <s v="2018-08-29"/>
    <n v="0"/>
    <s v="-"/>
    <n v="1"/>
    <n v="1"/>
    <n v="1"/>
    <n v="1"/>
    <n v="100"/>
    <n v="1"/>
    <n v="0"/>
    <n v="1"/>
    <n v="0"/>
    <n v="1"/>
    <n v="1"/>
    <s v="9608491-"/>
    <n v="1"/>
  </r>
  <r>
    <n v="4"/>
    <x v="4"/>
    <n v="9609066"/>
    <s v="2018-08-18"/>
    <x v="17"/>
    <s v="2018-08-20"/>
    <n v="1"/>
    <n v="1"/>
    <s v="2018-08-29"/>
    <n v="0"/>
    <s v="-"/>
    <n v="1"/>
    <n v="1"/>
    <n v="1"/>
    <n v="1"/>
    <n v="100"/>
    <n v="1"/>
    <n v="0"/>
    <n v="1"/>
    <n v="0"/>
    <n v="1"/>
    <n v="1"/>
    <s v="9609066-"/>
    <n v="1"/>
  </r>
  <r>
    <n v="4"/>
    <x v="4"/>
    <n v="9609069"/>
    <s v="2018-08-18"/>
    <x v="16"/>
    <s v="2018-08-20"/>
    <n v="2"/>
    <n v="2"/>
    <s v="2018-08-31"/>
    <n v="0"/>
    <s v="-"/>
    <n v="2"/>
    <n v="1"/>
    <n v="1"/>
    <n v="1"/>
    <n v="100"/>
    <n v="2"/>
    <n v="0"/>
    <n v="2"/>
    <n v="0"/>
    <n v="1"/>
    <n v="1"/>
    <s v="9609069-"/>
    <n v="2"/>
  </r>
  <r>
    <n v="4"/>
    <x v="4"/>
    <n v="9610000"/>
    <s v="2018-08-19"/>
    <x v="17"/>
    <s v="2018-08-20"/>
    <n v="1"/>
    <n v="1"/>
    <s v="2018-08-29"/>
    <n v="0"/>
    <s v="-"/>
    <n v="1"/>
    <n v="1"/>
    <n v="1"/>
    <n v="1"/>
    <n v="100"/>
    <n v="1"/>
    <n v="0"/>
    <n v="1"/>
    <n v="0"/>
    <n v="1"/>
    <n v="1"/>
    <s v="9610000-"/>
    <n v="1"/>
  </r>
  <r>
    <n v="4"/>
    <x v="4"/>
    <n v="9610052"/>
    <s v="2018-08-19"/>
    <x v="17"/>
    <s v="2018-08-20"/>
    <n v="1"/>
    <n v="1"/>
    <s v="2018-08-29"/>
    <n v="0"/>
    <s v="-"/>
    <n v="1"/>
    <n v="1"/>
    <n v="1"/>
    <n v="1"/>
    <n v="100"/>
    <n v="1"/>
    <n v="0"/>
    <n v="1"/>
    <n v="0"/>
    <n v="1"/>
    <n v="1"/>
    <s v="9610052-"/>
    <n v="1"/>
  </r>
  <r>
    <n v="4"/>
    <x v="4"/>
    <n v="9612153"/>
    <s v="2018-08-20"/>
    <x v="17"/>
    <s v="2018-08-20"/>
    <n v="1"/>
    <n v="1"/>
    <s v="2018-08-29"/>
    <n v="0"/>
    <s v="-"/>
    <n v="1"/>
    <n v="1"/>
    <n v="1"/>
    <n v="1"/>
    <n v="100"/>
    <n v="1"/>
    <n v="0"/>
    <n v="1"/>
    <n v="0"/>
    <n v="1"/>
    <n v="1"/>
    <s v="9612153-"/>
    <n v="1"/>
  </r>
  <r>
    <n v="4"/>
    <x v="4"/>
    <n v="9613046"/>
    <s v="2018-08-20"/>
    <x v="17"/>
    <s v="2018-08-21"/>
    <n v="1"/>
    <n v="1"/>
    <s v="2018-08-29"/>
    <n v="0"/>
    <s v="-"/>
    <n v="1"/>
    <n v="1"/>
    <n v="1"/>
    <n v="1"/>
    <n v="100"/>
    <n v="1"/>
    <n v="0"/>
    <n v="1"/>
    <n v="0"/>
    <n v="1"/>
    <n v="1"/>
    <s v="9613046-"/>
    <n v="1"/>
  </r>
  <r>
    <n v="4"/>
    <x v="4"/>
    <n v="9613392"/>
    <s v="2018-08-20"/>
    <x v="14"/>
    <s v="2018-08-21"/>
    <n v="1"/>
    <n v="0"/>
    <s v="1900-01-01"/>
    <n v="0"/>
    <s v="-"/>
    <n v="0"/>
    <n v="0"/>
    <n v="0"/>
    <n v="0"/>
    <n v="0"/>
    <n v="0"/>
    <n v="0"/>
    <n v="0"/>
    <n v="1"/>
    <n v="1"/>
    <n v="0"/>
    <s v="9613392-"/>
    <n v="0"/>
  </r>
  <r>
    <n v="4"/>
    <x v="4"/>
    <n v="9613561"/>
    <s v="2018-08-20"/>
    <x v="18"/>
    <s v="2018-08-21"/>
    <n v="1"/>
    <n v="1"/>
    <s v="2018-08-31"/>
    <n v="0"/>
    <s v="-"/>
    <n v="1"/>
    <n v="1"/>
    <n v="1"/>
    <n v="1"/>
    <n v="100"/>
    <n v="1"/>
    <n v="0"/>
    <n v="1"/>
    <n v="0"/>
    <n v="1"/>
    <n v="1"/>
    <s v="9613561-"/>
    <n v="1"/>
  </r>
  <r>
    <n v="4"/>
    <x v="4"/>
    <n v="9613676"/>
    <s v="2018-08-20"/>
    <x v="14"/>
    <s v="2018-08-21"/>
    <n v="1"/>
    <n v="1"/>
    <s v="2018-08-31"/>
    <n v="0"/>
    <s v="-"/>
    <n v="1"/>
    <n v="1"/>
    <n v="1"/>
    <n v="1"/>
    <n v="100"/>
    <n v="1"/>
    <n v="0"/>
    <n v="1"/>
    <n v="0"/>
    <n v="1"/>
    <n v="1"/>
    <s v="9613676-"/>
    <n v="1"/>
  </r>
  <r>
    <n v="4"/>
    <x v="4"/>
    <n v="9615050"/>
    <s v="2018-08-20"/>
    <x v="12"/>
    <s v="2018-08-21"/>
    <n v="2"/>
    <n v="2"/>
    <s v="2018-08-27"/>
    <n v="1"/>
    <s v="-"/>
    <n v="1"/>
    <n v="0"/>
    <n v="1"/>
    <n v="0"/>
    <n v="50"/>
    <n v="1"/>
    <n v="0"/>
    <n v="0"/>
    <n v="2"/>
    <n v="1"/>
    <n v="0"/>
    <s v="9615050-"/>
    <n v="1"/>
  </r>
  <r>
    <n v="4"/>
    <x v="4"/>
    <n v="9615373"/>
    <s v="2018-08-21"/>
    <x v="17"/>
    <s v="2018-08-22"/>
    <n v="2"/>
    <n v="2"/>
    <s v="2018-08-29"/>
    <n v="0"/>
    <s v="-"/>
    <n v="2"/>
    <n v="1"/>
    <n v="1"/>
    <n v="1"/>
    <n v="100"/>
    <n v="2"/>
    <n v="0"/>
    <n v="2"/>
    <n v="0"/>
    <n v="1"/>
    <n v="1"/>
    <s v="9615373-"/>
    <n v="2"/>
  </r>
  <r>
    <n v="4"/>
    <x v="4"/>
    <n v="9615458"/>
    <s v="2018-08-21"/>
    <x v="8"/>
    <s v="2018-08-22"/>
    <n v="1"/>
    <n v="1"/>
    <s v="2018-08-31"/>
    <n v="0"/>
    <s v="-"/>
    <n v="1"/>
    <n v="1"/>
    <n v="1"/>
    <n v="1"/>
    <n v="100"/>
    <n v="1"/>
    <n v="0"/>
    <n v="1"/>
    <n v="0"/>
    <n v="1"/>
    <n v="1"/>
    <s v="9615458-"/>
    <n v="1"/>
  </r>
  <r>
    <n v="4"/>
    <x v="4"/>
    <n v="9615555"/>
    <s v="2018-08-21"/>
    <x v="0"/>
    <s v="2018-08-22"/>
    <n v="1"/>
    <n v="1"/>
    <s v="2018-08-31"/>
    <n v="0"/>
    <s v="-"/>
    <n v="1"/>
    <n v="1"/>
    <n v="1"/>
    <n v="1"/>
    <n v="100"/>
    <n v="1"/>
    <n v="0"/>
    <n v="1"/>
    <n v="0"/>
    <n v="1"/>
    <n v="1"/>
    <s v="9615555-"/>
    <n v="1"/>
  </r>
  <r>
    <n v="4"/>
    <x v="4"/>
    <n v="9615589"/>
    <s v="2018-08-21"/>
    <x v="12"/>
    <s v="2018-08-22"/>
    <n v="1"/>
    <n v="1"/>
    <s v="2018-08-27"/>
    <n v="0"/>
    <s v="-"/>
    <n v="1"/>
    <n v="1"/>
    <n v="1"/>
    <n v="1"/>
    <n v="100"/>
    <n v="1"/>
    <n v="0"/>
    <n v="1"/>
    <n v="0"/>
    <n v="1"/>
    <n v="1"/>
    <s v="9615589-"/>
    <n v="1"/>
  </r>
  <r>
    <n v="4"/>
    <x v="4"/>
    <n v="9615941"/>
    <s v="2018-08-21"/>
    <x v="12"/>
    <s v="2018-08-22"/>
    <n v="1"/>
    <n v="1"/>
    <s v="2018-08-27"/>
    <n v="0"/>
    <s v="-"/>
    <n v="1"/>
    <n v="1"/>
    <n v="1"/>
    <n v="1"/>
    <n v="100"/>
    <n v="1"/>
    <n v="0"/>
    <n v="1"/>
    <n v="0"/>
    <n v="1"/>
    <n v="1"/>
    <s v="9615941-"/>
    <n v="1"/>
  </r>
  <r>
    <n v="4"/>
    <x v="4"/>
    <n v="9615948"/>
    <s v="2018-08-21"/>
    <x v="12"/>
    <s v="2018-08-22"/>
    <n v="1"/>
    <n v="1"/>
    <s v="2018-08-27"/>
    <n v="0"/>
    <s v="-"/>
    <n v="1"/>
    <n v="1"/>
    <n v="1"/>
    <n v="1"/>
    <n v="100"/>
    <n v="1"/>
    <n v="0"/>
    <n v="1"/>
    <n v="0"/>
    <n v="1"/>
    <n v="1"/>
    <s v="9615948-"/>
    <n v="1"/>
  </r>
  <r>
    <n v="4"/>
    <x v="4"/>
    <n v="9616539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9616539-"/>
    <n v="1"/>
  </r>
  <r>
    <n v="4"/>
    <x v="4"/>
    <n v="9616623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9616623-"/>
    <n v="1"/>
  </r>
  <r>
    <n v="4"/>
    <x v="4"/>
    <n v="9616744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9616744-"/>
    <n v="1"/>
  </r>
  <r>
    <n v="4"/>
    <x v="4"/>
    <n v="9616785"/>
    <s v="2018-08-21"/>
    <x v="14"/>
    <s v="2018-08-22"/>
    <n v="1"/>
    <n v="1"/>
    <s v="2018-08-31"/>
    <n v="0"/>
    <s v="-"/>
    <n v="1"/>
    <n v="1"/>
    <n v="1"/>
    <n v="1"/>
    <n v="100"/>
    <n v="1"/>
    <n v="0"/>
    <n v="1"/>
    <n v="0"/>
    <n v="1"/>
    <n v="1"/>
    <s v="9616785-"/>
    <n v="1"/>
  </r>
  <r>
    <n v="4"/>
    <x v="4"/>
    <n v="9617030"/>
    <s v="2018-08-21"/>
    <x v="14"/>
    <s v="2018-08-22"/>
    <n v="1"/>
    <n v="1"/>
    <s v="2018-08-31"/>
    <n v="0"/>
    <s v="-"/>
    <n v="1"/>
    <n v="1"/>
    <n v="1"/>
    <n v="1"/>
    <n v="100"/>
    <n v="1"/>
    <n v="0"/>
    <n v="1"/>
    <n v="0"/>
    <n v="1"/>
    <n v="1"/>
    <s v="9617030-"/>
    <n v="1"/>
  </r>
  <r>
    <n v="4"/>
    <x v="4"/>
    <n v="9617172"/>
    <s v="2018-08-21"/>
    <x v="14"/>
    <s v="2018-08-22"/>
    <n v="1"/>
    <n v="1"/>
    <s v="2018-08-31"/>
    <n v="0"/>
    <s v="-"/>
    <n v="1"/>
    <n v="1"/>
    <n v="1"/>
    <n v="1"/>
    <n v="100"/>
    <n v="1"/>
    <n v="0"/>
    <n v="1"/>
    <n v="0"/>
    <n v="1"/>
    <n v="1"/>
    <s v="9617172-"/>
    <n v="1"/>
  </r>
  <r>
    <n v="4"/>
    <x v="4"/>
    <n v="9617287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9617287-"/>
    <n v="1"/>
  </r>
  <r>
    <n v="4"/>
    <x v="4"/>
    <n v="9617484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9617484-"/>
    <n v="1"/>
  </r>
  <r>
    <n v="4"/>
    <x v="4"/>
    <n v="9617586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9617586-"/>
    <n v="1"/>
  </r>
  <r>
    <n v="4"/>
    <x v="4"/>
    <n v="9618243"/>
    <s v="2018-08-22"/>
    <x v="14"/>
    <s v="2018-08-23"/>
    <n v="1"/>
    <n v="1"/>
    <s v="2018-08-31"/>
    <n v="0"/>
    <s v="-"/>
    <n v="1"/>
    <n v="1"/>
    <n v="1"/>
    <n v="1"/>
    <n v="100"/>
    <n v="1"/>
    <n v="0"/>
    <n v="1"/>
    <n v="0"/>
    <n v="1"/>
    <n v="1"/>
    <s v="9618243-"/>
    <n v="1"/>
  </r>
  <r>
    <n v="4"/>
    <x v="4"/>
    <n v="9618323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18323-"/>
    <n v="1"/>
  </r>
  <r>
    <n v="4"/>
    <x v="4"/>
    <n v="9618403"/>
    <s v="2018-08-22"/>
    <x v="17"/>
    <s v="2018-08-23"/>
    <n v="2"/>
    <n v="2"/>
    <s v="2018-08-29"/>
    <n v="2"/>
    <s v="-"/>
    <n v="0"/>
    <n v="0"/>
    <n v="1"/>
    <n v="0"/>
    <n v="0"/>
    <n v="0"/>
    <n v="0"/>
    <n v="-2"/>
    <n v="4"/>
    <n v="1"/>
    <n v="0"/>
    <s v="9618403-"/>
    <n v="0"/>
  </r>
  <r>
    <n v="4"/>
    <x v="4"/>
    <n v="9618515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18515-"/>
    <n v="1"/>
  </r>
  <r>
    <n v="4"/>
    <x v="4"/>
    <n v="9618714"/>
    <s v="2018-08-22"/>
    <x v="14"/>
    <s v="2018-08-23"/>
    <n v="1"/>
    <n v="1"/>
    <s v="2018-08-31"/>
    <n v="0"/>
    <s v="-"/>
    <n v="1"/>
    <n v="1"/>
    <n v="1"/>
    <n v="1"/>
    <n v="100"/>
    <n v="1"/>
    <n v="0"/>
    <n v="1"/>
    <n v="0"/>
    <n v="1"/>
    <n v="1"/>
    <s v="9618714-"/>
    <n v="1"/>
  </r>
  <r>
    <n v="4"/>
    <x v="4"/>
    <n v="9618754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18754-"/>
    <n v="1"/>
  </r>
  <r>
    <n v="4"/>
    <x v="4"/>
    <n v="9618831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18831-"/>
    <n v="1"/>
  </r>
  <r>
    <n v="4"/>
    <x v="4"/>
    <n v="9619341"/>
    <s v="2018-08-22"/>
    <x v="14"/>
    <s v="2018-08-23"/>
    <n v="1"/>
    <n v="1"/>
    <s v="2018-08-31"/>
    <n v="0"/>
    <s v="-"/>
    <n v="1"/>
    <n v="1"/>
    <n v="1"/>
    <n v="1"/>
    <n v="100"/>
    <n v="1"/>
    <n v="0"/>
    <n v="1"/>
    <n v="0"/>
    <n v="1"/>
    <n v="1"/>
    <s v="9619341-"/>
    <n v="1"/>
  </r>
  <r>
    <n v="4"/>
    <x v="4"/>
    <n v="9619770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19770-"/>
    <n v="1"/>
  </r>
  <r>
    <n v="4"/>
    <x v="4"/>
    <n v="9619921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19921-"/>
    <n v="1"/>
  </r>
  <r>
    <n v="4"/>
    <x v="4"/>
    <n v="9619954"/>
    <s v="2018-08-22"/>
    <x v="14"/>
    <s v="2018-08-23"/>
    <n v="1"/>
    <n v="1"/>
    <s v="2018-08-31"/>
    <n v="0"/>
    <s v="-"/>
    <n v="1"/>
    <n v="1"/>
    <n v="1"/>
    <n v="1"/>
    <n v="100"/>
    <n v="1"/>
    <n v="0"/>
    <n v="1"/>
    <n v="0"/>
    <n v="1"/>
    <n v="1"/>
    <s v="9619954-"/>
    <n v="1"/>
  </r>
  <r>
    <n v="4"/>
    <x v="4"/>
    <n v="9620373"/>
    <s v="2018-08-22"/>
    <x v="17"/>
    <s v="2018-08-23"/>
    <n v="1"/>
    <n v="1"/>
    <s v="2018-08-29"/>
    <n v="0"/>
    <s v="-"/>
    <n v="1"/>
    <n v="1"/>
    <n v="1"/>
    <n v="1"/>
    <n v="100"/>
    <n v="1"/>
    <n v="0"/>
    <n v="1"/>
    <n v="0"/>
    <n v="1"/>
    <n v="1"/>
    <s v="9620373-"/>
    <n v="1"/>
  </r>
  <r>
    <n v="4"/>
    <x v="4"/>
    <n v="9621269"/>
    <s v="2018-08-23"/>
    <x v="20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1269-"/>
    <n v="1"/>
  </r>
  <r>
    <n v="4"/>
    <x v="4"/>
    <n v="9621573"/>
    <s v="2018-08-23"/>
    <x v="17"/>
    <s v="2018-08-28"/>
    <n v="1"/>
    <n v="1"/>
    <s v="2018-08-29"/>
    <n v="0"/>
    <s v="-"/>
    <n v="1"/>
    <n v="1"/>
    <n v="1"/>
    <n v="1"/>
    <n v="100"/>
    <n v="1"/>
    <n v="0"/>
    <n v="1"/>
    <n v="0"/>
    <n v="1"/>
    <n v="1"/>
    <s v="9621573-"/>
    <n v="1"/>
  </r>
  <r>
    <n v="4"/>
    <x v="4"/>
    <n v="9621619"/>
    <s v="2018-08-23"/>
    <x v="17"/>
    <s v="2018-08-24"/>
    <n v="1"/>
    <n v="1"/>
    <s v="2018-08-29"/>
    <n v="0"/>
    <s v="-"/>
    <n v="1"/>
    <n v="1"/>
    <n v="1"/>
    <n v="1"/>
    <n v="100"/>
    <n v="1"/>
    <n v="0"/>
    <n v="1"/>
    <n v="0"/>
    <n v="1"/>
    <n v="1"/>
    <s v="9621619-"/>
    <n v="1"/>
  </r>
  <r>
    <n v="4"/>
    <x v="4"/>
    <n v="9622408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2408-"/>
    <n v="1"/>
  </r>
  <r>
    <n v="4"/>
    <x v="4"/>
    <n v="9622450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2450-"/>
    <n v="1"/>
  </r>
  <r>
    <n v="4"/>
    <x v="4"/>
    <n v="9622551"/>
    <s v="2018-08-23"/>
    <x v="0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2551-"/>
    <n v="1"/>
  </r>
  <r>
    <n v="4"/>
    <x v="4"/>
    <n v="9622596"/>
    <s v="2018-08-23"/>
    <x v="13"/>
    <s v="2018-08-24"/>
    <n v="1"/>
    <n v="2"/>
    <s v="2018-08-31"/>
    <n v="1"/>
    <s v="-"/>
    <n v="1"/>
    <n v="1"/>
    <n v="0"/>
    <n v="0"/>
    <n v="100"/>
    <n v="0"/>
    <n v="1"/>
    <n v="1"/>
    <n v="0"/>
    <n v="1"/>
    <n v="0"/>
    <s v="9622596-"/>
    <n v="1"/>
  </r>
  <r>
    <n v="4"/>
    <x v="4"/>
    <n v="9622815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2815-"/>
    <n v="1"/>
  </r>
  <r>
    <n v="4"/>
    <x v="4"/>
    <n v="9623019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019-"/>
    <n v="1"/>
  </r>
  <r>
    <n v="4"/>
    <x v="4"/>
    <n v="9623113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113-"/>
    <n v="1"/>
  </r>
  <r>
    <n v="4"/>
    <x v="4"/>
    <n v="9623135"/>
    <s v="2018-08-23"/>
    <x v="18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135-"/>
    <n v="1"/>
  </r>
  <r>
    <n v="4"/>
    <x v="4"/>
    <n v="9623137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137-"/>
    <n v="1"/>
  </r>
  <r>
    <n v="4"/>
    <x v="4"/>
    <n v="9623195"/>
    <s v="2018-08-23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195-"/>
    <n v="1"/>
  </r>
  <r>
    <n v="4"/>
    <x v="4"/>
    <n v="9623385"/>
    <s v="2018-08-24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385-"/>
    <n v="1"/>
  </r>
  <r>
    <n v="4"/>
    <x v="4"/>
    <n v="9623453"/>
    <s v="2018-08-24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453-"/>
    <n v="1"/>
  </r>
  <r>
    <n v="4"/>
    <x v="4"/>
    <n v="9623507"/>
    <s v="2018-08-24"/>
    <x v="14"/>
    <s v="2018-08-24"/>
    <n v="1"/>
    <n v="1"/>
    <s v="2018-08-31"/>
    <n v="0"/>
    <s v="-"/>
    <n v="1"/>
    <n v="1"/>
    <n v="1"/>
    <n v="1"/>
    <n v="100"/>
    <n v="1"/>
    <n v="0"/>
    <n v="1"/>
    <n v="0"/>
    <n v="1"/>
    <n v="1"/>
    <s v="9623507-"/>
    <n v="1"/>
  </r>
  <r>
    <n v="4"/>
    <x v="4"/>
    <n v="9624516"/>
    <s v="2018-08-24"/>
    <x v="14"/>
    <s v="2018-08-27"/>
    <n v="2"/>
    <n v="2"/>
    <s v="2018-08-31"/>
    <n v="0"/>
    <s v="-"/>
    <n v="2"/>
    <n v="1"/>
    <n v="1"/>
    <n v="1"/>
    <n v="100"/>
    <n v="2"/>
    <n v="0"/>
    <n v="2"/>
    <n v="0"/>
    <n v="1"/>
    <n v="1"/>
    <s v="9624516-"/>
    <n v="2"/>
  </r>
  <r>
    <n v="4"/>
    <x v="4"/>
    <n v="9624571"/>
    <s v="2018-08-24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4571-"/>
    <n v="1"/>
  </r>
  <r>
    <n v="4"/>
    <x v="4"/>
    <n v="9624871"/>
    <s v="2018-08-24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4871-"/>
    <n v="1"/>
  </r>
  <r>
    <n v="4"/>
    <x v="4"/>
    <n v="9625160"/>
    <s v="2018-08-24"/>
    <x v="0"/>
    <s v="2018-08-27"/>
    <n v="1"/>
    <n v="0"/>
    <s v="1900-01-01"/>
    <n v="0"/>
    <s v="-"/>
    <n v="0"/>
    <n v="0"/>
    <n v="0"/>
    <n v="0"/>
    <n v="0"/>
    <n v="0"/>
    <n v="0"/>
    <n v="0"/>
    <n v="1"/>
    <n v="1"/>
    <n v="0"/>
    <s v="9625160-"/>
    <n v="0"/>
  </r>
  <r>
    <n v="4"/>
    <x v="4"/>
    <n v="9625212"/>
    <s v="2018-08-24"/>
    <x v="0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5212-"/>
    <n v="1"/>
  </r>
  <r>
    <n v="4"/>
    <x v="4"/>
    <n v="9625226"/>
    <s v="2018-08-24"/>
    <x v="0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5226-"/>
    <n v="1"/>
  </r>
  <r>
    <n v="4"/>
    <x v="4"/>
    <n v="9625415"/>
    <s v="2018-08-24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5415-"/>
    <n v="1"/>
  </r>
  <r>
    <n v="4"/>
    <x v="4"/>
    <n v="9625693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5693-"/>
    <n v="1"/>
  </r>
  <r>
    <n v="4"/>
    <x v="4"/>
    <n v="9625737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5737-"/>
    <n v="1"/>
  </r>
  <r>
    <n v="4"/>
    <x v="4"/>
    <n v="9625742"/>
    <s v="2018-08-25"/>
    <x v="14"/>
    <s v="2018-08-27"/>
    <n v="1"/>
    <n v="0"/>
    <s v="1900-01-01"/>
    <n v="0"/>
    <s v="-"/>
    <n v="0"/>
    <n v="0"/>
    <n v="0"/>
    <n v="0"/>
    <n v="0"/>
    <n v="0"/>
    <n v="0"/>
    <n v="0"/>
    <n v="1"/>
    <n v="1"/>
    <n v="0"/>
    <s v="9625742-"/>
    <n v="0"/>
  </r>
  <r>
    <n v="4"/>
    <x v="4"/>
    <n v="9625760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5760-"/>
    <n v="1"/>
  </r>
  <r>
    <n v="4"/>
    <x v="4"/>
    <n v="9626135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6135-"/>
    <n v="1"/>
  </r>
  <r>
    <n v="4"/>
    <x v="4"/>
    <n v="9626544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6544-"/>
    <n v="1"/>
  </r>
  <r>
    <n v="4"/>
    <x v="4"/>
    <n v="9626666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6666-"/>
    <n v="1"/>
  </r>
  <r>
    <n v="4"/>
    <x v="4"/>
    <n v="9626706"/>
    <s v="2018-08-25"/>
    <x v="0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6706-"/>
    <n v="1"/>
  </r>
  <r>
    <n v="4"/>
    <x v="4"/>
    <n v="9626844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6844-"/>
    <n v="1"/>
  </r>
  <r>
    <n v="4"/>
    <x v="4"/>
    <n v="9626848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6848-"/>
    <n v="1"/>
  </r>
  <r>
    <n v="4"/>
    <x v="4"/>
    <n v="9627244"/>
    <s v="2018-08-25"/>
    <x v="0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7244-"/>
    <n v="1"/>
  </r>
  <r>
    <n v="4"/>
    <x v="4"/>
    <n v="9627652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7652-"/>
    <n v="1"/>
  </r>
  <r>
    <n v="4"/>
    <x v="4"/>
    <n v="9628204"/>
    <s v="2018-08-26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8204-"/>
    <n v="1"/>
  </r>
  <r>
    <n v="4"/>
    <x v="4"/>
    <n v="9628354"/>
    <s v="2018-08-26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8354-"/>
    <n v="1"/>
  </r>
  <r>
    <n v="4"/>
    <x v="4"/>
    <n v="9628551"/>
    <s v="2018-08-26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8551-"/>
    <n v="1"/>
  </r>
  <r>
    <n v="4"/>
    <x v="4"/>
    <n v="9629074"/>
    <s v="2018-08-26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9074-"/>
    <n v="1"/>
  </r>
  <r>
    <n v="4"/>
    <x v="4"/>
    <n v="9629309"/>
    <s v="2018-08-26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29309-"/>
    <n v="1"/>
  </r>
  <r>
    <n v="4"/>
    <x v="4"/>
    <n v="9630124"/>
    <s v="2018-08-27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30124-"/>
    <n v="1"/>
  </r>
  <r>
    <n v="4"/>
    <x v="4"/>
    <n v="9630175"/>
    <s v="2018-08-27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30175-"/>
    <n v="1"/>
  </r>
  <r>
    <n v="4"/>
    <x v="4"/>
    <n v="9630226"/>
    <s v="2018-08-27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9630226-"/>
    <n v="1"/>
  </r>
  <r>
    <n v="4"/>
    <x v="4"/>
    <n v="9631247"/>
    <s v="2018-08-27"/>
    <x v="8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1247-"/>
    <n v="1"/>
  </r>
  <r>
    <n v="4"/>
    <x v="4"/>
    <n v="9631389"/>
    <s v="2018-08-27"/>
    <x v="14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1389-"/>
    <n v="1"/>
  </r>
  <r>
    <n v="4"/>
    <x v="4"/>
    <n v="9631838"/>
    <s v="2018-08-27"/>
    <x v="14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1838-"/>
    <n v="1"/>
  </r>
  <r>
    <n v="4"/>
    <x v="4"/>
    <n v="9632357"/>
    <s v="2018-08-27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2357-"/>
    <n v="1"/>
  </r>
  <r>
    <n v="4"/>
    <x v="4"/>
    <n v="9632788"/>
    <s v="2018-08-27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2788-"/>
    <n v="1"/>
  </r>
  <r>
    <n v="4"/>
    <x v="4"/>
    <n v="9632855"/>
    <s v="2018-08-27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2855-"/>
    <n v="1"/>
  </r>
  <r>
    <n v="4"/>
    <x v="4"/>
    <n v="9633498"/>
    <s v="2018-08-27"/>
    <x v="8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3498-"/>
    <n v="1"/>
  </r>
  <r>
    <n v="4"/>
    <x v="4"/>
    <n v="9633603"/>
    <s v="2018-08-27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3603-"/>
    <n v="1"/>
  </r>
  <r>
    <n v="4"/>
    <x v="4"/>
    <n v="9633748"/>
    <s v="2018-08-28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3748-"/>
    <n v="1"/>
  </r>
  <r>
    <n v="4"/>
    <x v="4"/>
    <n v="9634054"/>
    <s v="2018-08-28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4054-"/>
    <n v="1"/>
  </r>
  <r>
    <n v="4"/>
    <x v="4"/>
    <n v="9634158"/>
    <s v="2018-08-28"/>
    <x v="8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4158-"/>
    <n v="1"/>
  </r>
  <r>
    <n v="4"/>
    <x v="4"/>
    <n v="9634514"/>
    <s v="2018-08-28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4514-"/>
    <n v="1"/>
  </r>
  <r>
    <n v="4"/>
    <x v="4"/>
    <n v="9634774"/>
    <s v="2018-08-28"/>
    <x v="18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9634774-"/>
    <n v="1"/>
  </r>
  <r>
    <n v="4"/>
    <x v="4"/>
    <n v="9635303"/>
    <s v="2018-08-28"/>
    <x v="18"/>
    <s v="2018-08-28"/>
    <n v="1"/>
    <n v="0"/>
    <s v="1900-01-01"/>
    <n v="0"/>
    <s v="-"/>
    <n v="0"/>
    <n v="0"/>
    <n v="0"/>
    <n v="0"/>
    <n v="0"/>
    <n v="0"/>
    <n v="0"/>
    <n v="0"/>
    <n v="1"/>
    <n v="1"/>
    <n v="0"/>
    <s v="9635303-"/>
    <n v="0"/>
  </r>
  <r>
    <n v="4"/>
    <x v="4"/>
    <n v="9635714"/>
    <s v="2018-08-28"/>
    <x v="18"/>
    <s v="2018-08-29"/>
    <n v="1"/>
    <n v="1"/>
    <s v="2018-09-05"/>
    <n v="0"/>
    <s v="-"/>
    <n v="1"/>
    <n v="1"/>
    <n v="1"/>
    <n v="1"/>
    <n v="100"/>
    <n v="1"/>
    <n v="0"/>
    <n v="1"/>
    <n v="0"/>
    <n v="1"/>
    <n v="1"/>
    <s v="9635714-"/>
    <n v="1"/>
  </r>
  <r>
    <n v="4"/>
    <x v="4"/>
    <n v="9635976"/>
    <s v="2018-08-28"/>
    <x v="8"/>
    <s v="2018-08-29"/>
    <n v="1"/>
    <n v="1"/>
    <s v="2018-09-07"/>
    <n v="0"/>
    <s v="-"/>
    <n v="1"/>
    <n v="1"/>
    <n v="1"/>
    <n v="1"/>
    <n v="100"/>
    <n v="1"/>
    <n v="0"/>
    <n v="1"/>
    <n v="0"/>
    <n v="1"/>
    <n v="1"/>
    <s v="9635976-"/>
    <n v="1"/>
  </r>
  <r>
    <n v="4"/>
    <x v="4"/>
    <n v="9636363"/>
    <s v="2018-08-28"/>
    <x v="18"/>
    <s v="2018-08-29"/>
    <n v="1"/>
    <n v="1"/>
    <s v="2018-09-05"/>
    <n v="0"/>
    <s v="-"/>
    <n v="1"/>
    <n v="1"/>
    <n v="1"/>
    <n v="1"/>
    <n v="100"/>
    <n v="1"/>
    <n v="0"/>
    <n v="1"/>
    <n v="0"/>
    <n v="1"/>
    <n v="1"/>
    <s v="9636363-"/>
    <n v="1"/>
  </r>
  <r>
    <n v="4"/>
    <x v="4"/>
    <n v="9636387"/>
    <s v="2018-08-28"/>
    <x v="18"/>
    <s v="2018-08-29"/>
    <n v="1"/>
    <n v="1"/>
    <s v="2018-09-05"/>
    <n v="0"/>
    <s v="-"/>
    <n v="1"/>
    <n v="1"/>
    <n v="1"/>
    <n v="1"/>
    <n v="100"/>
    <n v="1"/>
    <n v="0"/>
    <n v="1"/>
    <n v="0"/>
    <n v="1"/>
    <n v="1"/>
    <s v="9636387-"/>
    <n v="1"/>
  </r>
  <r>
    <n v="4"/>
    <x v="4"/>
    <n v="9636412"/>
    <s v="2018-08-28"/>
    <x v="8"/>
    <s v="2018-08-29"/>
    <n v="1"/>
    <n v="1"/>
    <s v="2018-09-07"/>
    <n v="0"/>
    <s v="-"/>
    <n v="1"/>
    <n v="1"/>
    <n v="1"/>
    <n v="1"/>
    <n v="100"/>
    <n v="1"/>
    <n v="0"/>
    <n v="1"/>
    <n v="0"/>
    <n v="1"/>
    <n v="1"/>
    <s v="9636412-"/>
    <n v="1"/>
  </r>
  <r>
    <n v="4"/>
    <x v="4"/>
    <n v="9636573"/>
    <s v="2018-08-29"/>
    <x v="18"/>
    <s v="2018-08-29"/>
    <n v="1"/>
    <n v="1"/>
    <s v="2018-09-05"/>
    <n v="0"/>
    <s v="-"/>
    <n v="1"/>
    <n v="1"/>
    <n v="1"/>
    <n v="1"/>
    <n v="100"/>
    <n v="1"/>
    <n v="0"/>
    <n v="1"/>
    <n v="0"/>
    <n v="1"/>
    <n v="1"/>
    <s v="9636573-"/>
    <n v="1"/>
  </r>
  <r>
    <n v="4"/>
    <x v="4"/>
    <n v="9636698"/>
    <s v="2018-08-29"/>
    <x v="18"/>
    <s v="2018-08-29"/>
    <n v="1"/>
    <n v="1"/>
    <s v="2018-09-05"/>
    <n v="0"/>
    <s v="-"/>
    <n v="1"/>
    <n v="1"/>
    <n v="1"/>
    <n v="1"/>
    <n v="100"/>
    <n v="1"/>
    <n v="0"/>
    <n v="1"/>
    <n v="0"/>
    <n v="1"/>
    <n v="1"/>
    <s v="9636698-"/>
    <n v="1"/>
  </r>
  <r>
    <n v="4"/>
    <x v="4"/>
    <n v="9637568"/>
    <s v="2018-08-29"/>
    <x v="18"/>
    <s v="2018-08-30"/>
    <n v="1"/>
    <n v="0"/>
    <s v="1900-01-01"/>
    <n v="0"/>
    <s v="-"/>
    <n v="0"/>
    <n v="0"/>
    <n v="0"/>
    <n v="0"/>
    <n v="0"/>
    <n v="0"/>
    <n v="0"/>
    <n v="0"/>
    <n v="1"/>
    <n v="1"/>
    <n v="0"/>
    <s v="9637568-"/>
    <n v="0"/>
  </r>
  <r>
    <n v="4"/>
    <x v="4"/>
    <n v="9637725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7725-"/>
    <n v="1"/>
  </r>
  <r>
    <n v="4"/>
    <x v="4"/>
    <n v="9638095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8095-"/>
    <n v="1"/>
  </r>
  <r>
    <n v="4"/>
    <x v="4"/>
    <n v="9638457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8457-"/>
    <n v="1"/>
  </r>
  <r>
    <n v="4"/>
    <x v="4"/>
    <n v="9638505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8505-"/>
    <n v="1"/>
  </r>
  <r>
    <n v="4"/>
    <x v="4"/>
    <n v="9638687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8687-"/>
    <n v="1"/>
  </r>
  <r>
    <n v="4"/>
    <x v="4"/>
    <n v="9638754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8754-"/>
    <n v="1"/>
  </r>
  <r>
    <n v="4"/>
    <x v="4"/>
    <n v="9638822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638822-"/>
    <n v="1"/>
  </r>
  <r>
    <n v="4"/>
    <x v="4"/>
    <n v="9639087"/>
    <s v="2018-08-29"/>
    <x v="8"/>
    <s v="2018-08-30"/>
    <n v="1"/>
    <n v="1"/>
    <s v="2018-09-07"/>
    <n v="0"/>
    <s v="-"/>
    <n v="1"/>
    <n v="1"/>
    <n v="1"/>
    <n v="1"/>
    <n v="100"/>
    <n v="1"/>
    <n v="0"/>
    <n v="1"/>
    <n v="0"/>
    <n v="1"/>
    <n v="1"/>
    <s v="9639087-"/>
    <n v="1"/>
  </r>
  <r>
    <n v="4"/>
    <x v="4"/>
    <n v="9639287"/>
    <s v="2018-08-29"/>
    <x v="8"/>
    <s v="2018-08-30"/>
    <n v="1"/>
    <n v="1"/>
    <s v="2018-09-07"/>
    <n v="0"/>
    <s v="-"/>
    <n v="1"/>
    <n v="1"/>
    <n v="1"/>
    <n v="1"/>
    <n v="100"/>
    <n v="1"/>
    <n v="0"/>
    <n v="1"/>
    <n v="0"/>
    <n v="1"/>
    <n v="1"/>
    <s v="9639287-"/>
    <n v="1"/>
  </r>
  <r>
    <n v="4"/>
    <x v="4"/>
    <n v="9639480"/>
    <s v="2018-08-30"/>
    <x v="8"/>
    <s v="2018-08-30"/>
    <n v="1"/>
    <n v="1"/>
    <s v="2018-09-07"/>
    <n v="0"/>
    <s v="-"/>
    <n v="1"/>
    <n v="1"/>
    <n v="1"/>
    <n v="1"/>
    <n v="100"/>
    <n v="1"/>
    <n v="0"/>
    <n v="1"/>
    <n v="0"/>
    <n v="1"/>
    <n v="1"/>
    <s v="9639480-"/>
    <n v="1"/>
  </r>
  <r>
    <n v="4"/>
    <x v="4"/>
    <n v="9639535"/>
    <s v="2018-08-30"/>
    <x v="8"/>
    <s v="2018-08-30"/>
    <n v="1"/>
    <n v="1"/>
    <s v="2018-09-07"/>
    <n v="0"/>
    <s v="-"/>
    <n v="1"/>
    <n v="1"/>
    <n v="1"/>
    <n v="1"/>
    <n v="100"/>
    <n v="1"/>
    <n v="0"/>
    <n v="1"/>
    <n v="0"/>
    <n v="1"/>
    <n v="1"/>
    <s v="9639535-"/>
    <n v="1"/>
  </r>
  <r>
    <n v="4"/>
    <x v="4"/>
    <n v="9639647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639647-"/>
    <n v="1"/>
  </r>
  <r>
    <n v="4"/>
    <x v="4"/>
    <n v="9640126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640126-"/>
    <n v="1"/>
  </r>
  <r>
    <n v="4"/>
    <x v="4"/>
    <n v="9640251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640251-"/>
    <n v="1"/>
  </r>
  <r>
    <n v="4"/>
    <x v="4"/>
    <n v="9640942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640942-"/>
    <n v="1"/>
  </r>
  <r>
    <n v="4"/>
    <x v="4"/>
    <n v="9641143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641143-"/>
    <n v="1"/>
  </r>
  <r>
    <n v="4"/>
    <x v="4"/>
    <n v="9641874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641874-"/>
    <n v="1"/>
  </r>
  <r>
    <n v="4"/>
    <x v="4"/>
    <n v="9642139"/>
    <s v="2018-08-31"/>
    <x v="16"/>
    <s v="2018-09-03"/>
    <n v="1"/>
    <n v="1"/>
    <s v="2018-09-12"/>
    <n v="0"/>
    <s v="-"/>
    <n v="1"/>
    <n v="1"/>
    <n v="1"/>
    <n v="1"/>
    <n v="100"/>
    <n v="1"/>
    <n v="0"/>
    <n v="1"/>
    <n v="0"/>
    <n v="1"/>
    <n v="1"/>
    <s v="9642139-"/>
    <n v="1"/>
  </r>
  <r>
    <n v="4"/>
    <x v="4"/>
    <n v="9642328"/>
    <s v="2018-08-31"/>
    <x v="8"/>
    <s v="2018-09-03"/>
    <n v="1"/>
    <n v="1"/>
    <s v="2018-09-07"/>
    <n v="0"/>
    <s v="-"/>
    <n v="1"/>
    <n v="1"/>
    <n v="1"/>
    <n v="1"/>
    <n v="100"/>
    <n v="1"/>
    <n v="0"/>
    <n v="1"/>
    <n v="0"/>
    <n v="1"/>
    <n v="1"/>
    <s v="9642328-"/>
    <n v="1"/>
  </r>
  <r>
    <n v="4"/>
    <x v="4"/>
    <n v="9642436"/>
    <s v="2018-08-31"/>
    <x v="8"/>
    <s v="2018-09-03"/>
    <n v="2"/>
    <n v="2"/>
    <s v="2018-09-07"/>
    <n v="0"/>
    <s v="-"/>
    <n v="2"/>
    <n v="1"/>
    <n v="1"/>
    <n v="1"/>
    <n v="100"/>
    <n v="2"/>
    <n v="0"/>
    <n v="2"/>
    <n v="0"/>
    <n v="1"/>
    <n v="1"/>
    <s v="9642436-"/>
    <n v="2"/>
  </r>
  <r>
    <n v="4"/>
    <x v="4"/>
    <n v="9643255"/>
    <s v="2018-08-31"/>
    <x v="8"/>
    <s v="2018-09-03"/>
    <n v="1"/>
    <n v="1"/>
    <s v="2018-09-07"/>
    <n v="0"/>
    <s v="-"/>
    <n v="1"/>
    <n v="1"/>
    <n v="1"/>
    <n v="1"/>
    <n v="100"/>
    <n v="1"/>
    <n v="0"/>
    <n v="1"/>
    <n v="0"/>
    <n v="1"/>
    <n v="1"/>
    <s v="9643255-"/>
    <n v="1"/>
  </r>
  <r>
    <n v="4"/>
    <x v="4"/>
    <n v="9643490"/>
    <s v="2018-08-31"/>
    <x v="8"/>
    <s v="2018-09-03"/>
    <n v="1"/>
    <n v="1"/>
    <s v="2018-09-07"/>
    <n v="0"/>
    <s v="-"/>
    <n v="1"/>
    <n v="1"/>
    <n v="1"/>
    <n v="1"/>
    <n v="100"/>
    <n v="1"/>
    <n v="0"/>
    <n v="1"/>
    <n v="0"/>
    <n v="1"/>
    <n v="1"/>
    <s v="9643490-"/>
    <n v="1"/>
  </r>
  <r>
    <n v="4"/>
    <x v="4"/>
    <n v="9643777"/>
    <s v="2018-08-31"/>
    <x v="8"/>
    <s v="2018-09-03"/>
    <n v="1"/>
    <n v="0"/>
    <s v="1900-01-01"/>
    <n v="0"/>
    <s v="-"/>
    <n v="0"/>
    <n v="0"/>
    <n v="0"/>
    <n v="0"/>
    <n v="0"/>
    <n v="0"/>
    <n v="0"/>
    <n v="0"/>
    <n v="1"/>
    <n v="1"/>
    <n v="0"/>
    <s v="9643777-"/>
    <n v="0"/>
  </r>
  <r>
    <n v="4"/>
    <x v="4"/>
    <n v="9644660"/>
    <s v="2018-08-3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4660-"/>
    <n v="1"/>
  </r>
  <r>
    <n v="4"/>
    <x v="4"/>
    <n v="9644680"/>
    <s v="2018-08-3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4680-"/>
    <n v="1"/>
  </r>
  <r>
    <n v="4"/>
    <x v="4"/>
    <n v="9644734"/>
    <s v="2018-08-3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4734-"/>
    <n v="1"/>
  </r>
  <r>
    <n v="4"/>
    <x v="4"/>
    <n v="9644936"/>
    <s v="2018-08-3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4936-"/>
    <n v="1"/>
  </r>
  <r>
    <n v="4"/>
    <x v="4"/>
    <n v="9645025"/>
    <s v="2018-08-3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5025-"/>
    <n v="1"/>
  </r>
  <r>
    <n v="4"/>
    <x v="4"/>
    <n v="9645137"/>
    <s v="2018-09-01"/>
    <x v="16"/>
    <s v="2018-09-03"/>
    <n v="1"/>
    <n v="0"/>
    <s v="1900-01-01"/>
    <n v="0"/>
    <s v="-"/>
    <n v="0"/>
    <n v="0"/>
    <n v="0"/>
    <n v="0"/>
    <n v="0"/>
    <n v="0"/>
    <n v="0"/>
    <n v="0"/>
    <n v="1"/>
    <n v="1"/>
    <n v="0"/>
    <s v="9645137-"/>
    <n v="0"/>
  </r>
  <r>
    <n v="4"/>
    <x v="4"/>
    <n v="9645192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5192-"/>
    <n v="1"/>
  </r>
  <r>
    <n v="4"/>
    <x v="4"/>
    <n v="9646881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6881-"/>
    <n v="1"/>
  </r>
  <r>
    <n v="4"/>
    <x v="4"/>
    <n v="9647747"/>
    <s v="2018-09-01"/>
    <x v="16"/>
    <s v="2018-09-03"/>
    <n v="1"/>
    <n v="1"/>
    <s v="2018-09-12"/>
    <n v="0"/>
    <s v="-"/>
    <n v="1"/>
    <n v="1"/>
    <n v="1"/>
    <n v="1"/>
    <n v="100"/>
    <n v="1"/>
    <n v="0"/>
    <n v="1"/>
    <n v="0"/>
    <n v="1"/>
    <n v="1"/>
    <s v="9647747-"/>
    <n v="1"/>
  </r>
  <r>
    <n v="4"/>
    <x v="4"/>
    <n v="9647777"/>
    <s v="2018-09-01"/>
    <x v="10"/>
    <s v="2018-09-03"/>
    <n v="1"/>
    <n v="1"/>
    <s v="2018-09-21"/>
    <n v="0"/>
    <s v="-"/>
    <n v="1"/>
    <n v="1"/>
    <n v="1"/>
    <n v="1"/>
    <n v="100"/>
    <n v="1"/>
    <n v="0"/>
    <n v="1"/>
    <n v="0"/>
    <n v="1"/>
    <n v="1"/>
    <s v="9647777-"/>
    <n v="1"/>
  </r>
  <r>
    <n v="4"/>
    <x v="4"/>
    <n v="9647902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7902-"/>
    <n v="1"/>
  </r>
  <r>
    <n v="4"/>
    <x v="4"/>
    <n v="9647994"/>
    <s v="2018-09-01"/>
    <x v="20"/>
    <s v="2018-09-03"/>
    <n v="1"/>
    <n v="1"/>
    <s v="2018-09-14"/>
    <n v="0"/>
    <s v="-"/>
    <n v="1"/>
    <n v="1"/>
    <n v="1"/>
    <n v="1"/>
    <n v="100"/>
    <n v="1"/>
    <n v="0"/>
    <n v="1"/>
    <n v="0"/>
    <n v="1"/>
    <n v="1"/>
    <s v="9647994-"/>
    <n v="1"/>
  </r>
  <r>
    <n v="4"/>
    <x v="4"/>
    <n v="9648099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8099-"/>
    <n v="1"/>
  </r>
  <r>
    <n v="4"/>
    <x v="4"/>
    <n v="9648163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8163-"/>
    <n v="1"/>
  </r>
  <r>
    <n v="4"/>
    <x v="4"/>
    <n v="9648311"/>
    <s v="2018-09-02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8311-"/>
    <n v="1"/>
  </r>
  <r>
    <n v="4"/>
    <x v="4"/>
    <n v="9648807"/>
    <s v="2018-09-02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8807-"/>
    <n v="1"/>
  </r>
  <r>
    <n v="4"/>
    <x v="4"/>
    <n v="9648886"/>
    <s v="2018-09-02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48886-"/>
    <n v="1"/>
  </r>
  <r>
    <n v="4"/>
    <x v="4"/>
    <n v="9649183"/>
    <s v="2018-09-02"/>
    <x v="16"/>
    <s v="2018-09-03"/>
    <n v="1"/>
    <n v="1"/>
    <s v="2018-09-12"/>
    <n v="0"/>
    <s v="-"/>
    <n v="1"/>
    <n v="1"/>
    <n v="1"/>
    <n v="1"/>
    <n v="100"/>
    <n v="1"/>
    <n v="0"/>
    <n v="1"/>
    <n v="0"/>
    <n v="1"/>
    <n v="1"/>
    <s v="9649183-"/>
    <n v="1"/>
  </r>
  <r>
    <n v="4"/>
    <x v="4"/>
    <n v="9649750"/>
    <s v="2018-09-02"/>
    <x v="16"/>
    <s v="2018-09-03"/>
    <n v="1"/>
    <n v="1"/>
    <s v="2018-09-12"/>
    <n v="0"/>
    <s v="-"/>
    <n v="1"/>
    <n v="1"/>
    <n v="1"/>
    <n v="1"/>
    <n v="100"/>
    <n v="1"/>
    <n v="0"/>
    <n v="1"/>
    <n v="0"/>
    <n v="1"/>
    <n v="1"/>
    <s v="9649750-"/>
    <n v="1"/>
  </r>
  <r>
    <n v="4"/>
    <x v="4"/>
    <n v="9650097"/>
    <s v="2018-09-02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50097-"/>
    <n v="1"/>
  </r>
  <r>
    <n v="4"/>
    <x v="4"/>
    <n v="9651174"/>
    <s v="2018-09-02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51174-"/>
    <n v="1"/>
  </r>
  <r>
    <n v="4"/>
    <x v="4"/>
    <n v="9651194"/>
    <s v="2018-09-02"/>
    <x v="9"/>
    <s v="2018-09-03"/>
    <n v="2"/>
    <n v="2"/>
    <s v="2018-09-10"/>
    <n v="0"/>
    <s v="-"/>
    <n v="2"/>
    <n v="1"/>
    <n v="1"/>
    <n v="1"/>
    <n v="100"/>
    <n v="2"/>
    <n v="0"/>
    <n v="2"/>
    <n v="0"/>
    <n v="1"/>
    <n v="1"/>
    <s v="9651194-"/>
    <n v="2"/>
  </r>
  <r>
    <n v="4"/>
    <x v="4"/>
    <n v="9651724"/>
    <s v="2018-09-03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51724-"/>
    <n v="1"/>
  </r>
  <r>
    <n v="4"/>
    <x v="4"/>
    <n v="9651865"/>
    <s v="2018-09-03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51865-"/>
    <n v="1"/>
  </r>
  <r>
    <n v="4"/>
    <x v="4"/>
    <n v="9651947"/>
    <s v="2018-09-03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9651947-"/>
    <n v="1"/>
  </r>
  <r>
    <n v="4"/>
    <x v="4"/>
    <n v="9652954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9652954-"/>
    <n v="1"/>
  </r>
  <r>
    <n v="4"/>
    <x v="4"/>
    <n v="9653108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9653108-"/>
    <n v="1"/>
  </r>
  <r>
    <n v="4"/>
    <x v="4"/>
    <n v="9653312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9653312-"/>
    <n v="1"/>
  </r>
  <r>
    <n v="4"/>
    <x v="4"/>
    <n v="9654092"/>
    <s v="2018-09-03"/>
    <x v="16"/>
    <s v="2018-09-04"/>
    <n v="1"/>
    <n v="1"/>
    <s v="2018-09-12"/>
    <n v="0"/>
    <s v="-"/>
    <n v="1"/>
    <n v="1"/>
    <n v="1"/>
    <n v="1"/>
    <n v="100"/>
    <n v="1"/>
    <n v="0"/>
    <n v="1"/>
    <n v="0"/>
    <n v="1"/>
    <n v="1"/>
    <s v="9654092-"/>
    <n v="1"/>
  </r>
  <r>
    <n v="4"/>
    <x v="4"/>
    <n v="9654423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9654423-"/>
    <n v="1"/>
  </r>
  <r>
    <n v="4"/>
    <x v="4"/>
    <n v="9654758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9654758-"/>
    <n v="1"/>
  </r>
  <r>
    <n v="4"/>
    <x v="4"/>
    <n v="9655028"/>
    <s v="2018-09-03"/>
    <x v="16"/>
    <s v="2018-09-04"/>
    <n v="1"/>
    <n v="1"/>
    <s v="2018-09-12"/>
    <n v="0"/>
    <s v="-"/>
    <n v="1"/>
    <n v="1"/>
    <n v="1"/>
    <n v="1"/>
    <n v="100"/>
    <n v="1"/>
    <n v="0"/>
    <n v="1"/>
    <n v="0"/>
    <n v="1"/>
    <n v="1"/>
    <s v="9655028-"/>
    <n v="1"/>
  </r>
  <r>
    <n v="4"/>
    <x v="4"/>
    <n v="9655455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9655455-"/>
    <n v="1"/>
  </r>
  <r>
    <n v="4"/>
    <x v="4"/>
    <n v="9655787"/>
    <s v="2018-09-03"/>
    <x v="16"/>
    <s v="2018-09-04"/>
    <n v="1"/>
    <n v="1"/>
    <s v="2018-09-12"/>
    <n v="0"/>
    <s v="-"/>
    <n v="1"/>
    <n v="1"/>
    <n v="1"/>
    <n v="1"/>
    <n v="100"/>
    <n v="1"/>
    <n v="0"/>
    <n v="1"/>
    <n v="0"/>
    <n v="1"/>
    <n v="1"/>
    <s v="9655787-"/>
    <n v="1"/>
  </r>
  <r>
    <n v="4"/>
    <x v="4"/>
    <n v="9655851"/>
    <s v="2018-09-03"/>
    <x v="16"/>
    <s v="2018-09-04"/>
    <n v="1"/>
    <n v="1"/>
    <s v="2018-09-12"/>
    <n v="0"/>
    <s v="-"/>
    <n v="1"/>
    <n v="1"/>
    <n v="1"/>
    <n v="1"/>
    <n v="100"/>
    <n v="1"/>
    <n v="0"/>
    <n v="1"/>
    <n v="0"/>
    <n v="1"/>
    <n v="1"/>
    <s v="9655851-"/>
    <n v="1"/>
  </r>
  <r>
    <n v="4"/>
    <x v="4"/>
    <n v="9656143"/>
    <s v="2018-09-04"/>
    <x v="16"/>
    <s v="2018-09-04"/>
    <n v="1"/>
    <n v="1"/>
    <s v="2018-09-12"/>
    <n v="0"/>
    <s v="-"/>
    <n v="1"/>
    <n v="1"/>
    <n v="1"/>
    <n v="1"/>
    <n v="100"/>
    <n v="1"/>
    <n v="0"/>
    <n v="1"/>
    <n v="0"/>
    <n v="1"/>
    <n v="1"/>
    <s v="9656143-"/>
    <n v="1"/>
  </r>
  <r>
    <n v="4"/>
    <x v="4"/>
    <n v="9656396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9656396-"/>
    <n v="1"/>
  </r>
  <r>
    <n v="4"/>
    <x v="4"/>
    <n v="9656549"/>
    <s v="2018-09-04"/>
    <x v="10"/>
    <s v="2018-09-05"/>
    <n v="1"/>
    <n v="1"/>
    <s v="2018-09-21"/>
    <n v="0"/>
    <s v="-"/>
    <n v="1"/>
    <n v="1"/>
    <n v="1"/>
    <n v="1"/>
    <n v="100"/>
    <n v="1"/>
    <n v="0"/>
    <n v="1"/>
    <n v="0"/>
    <n v="1"/>
    <n v="1"/>
    <s v="9656549-"/>
    <n v="1"/>
  </r>
  <r>
    <n v="4"/>
    <x v="4"/>
    <n v="9656648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9656648-"/>
    <n v="1"/>
  </r>
  <r>
    <n v="4"/>
    <x v="4"/>
    <n v="9656989"/>
    <s v="2018-09-04"/>
    <x v="20"/>
    <s v="2018-09-05"/>
    <n v="1"/>
    <n v="1"/>
    <s v="2018-09-14"/>
    <n v="0"/>
    <s v="-"/>
    <n v="1"/>
    <n v="1"/>
    <n v="1"/>
    <n v="1"/>
    <n v="100"/>
    <n v="1"/>
    <n v="0"/>
    <n v="1"/>
    <n v="0"/>
    <n v="1"/>
    <n v="1"/>
    <s v="9656989-"/>
    <n v="1"/>
  </r>
  <r>
    <n v="4"/>
    <x v="4"/>
    <n v="9657054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9657054-"/>
    <n v="1"/>
  </r>
  <r>
    <n v="4"/>
    <x v="4"/>
    <n v="9657472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9657472-"/>
    <n v="1"/>
  </r>
  <r>
    <n v="4"/>
    <x v="4"/>
    <n v="9657920"/>
    <s v="2018-09-04"/>
    <x v="20"/>
    <s v="2018-09-05"/>
    <n v="1"/>
    <n v="1"/>
    <s v="2018-09-14"/>
    <n v="0"/>
    <s v="-"/>
    <n v="1"/>
    <n v="1"/>
    <n v="1"/>
    <n v="1"/>
    <n v="100"/>
    <n v="1"/>
    <n v="0"/>
    <n v="1"/>
    <n v="0"/>
    <n v="1"/>
    <n v="1"/>
    <s v="9657920-"/>
    <n v="1"/>
  </r>
  <r>
    <n v="4"/>
    <x v="4"/>
    <n v="9657990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9657990-"/>
    <n v="1"/>
  </r>
  <r>
    <n v="4"/>
    <x v="4"/>
    <n v="9658498"/>
    <s v="2018-09-04"/>
    <x v="16"/>
    <s v="2018-09-05"/>
    <n v="1"/>
    <n v="1"/>
    <s v="2018-09-12"/>
    <n v="0"/>
    <s v="-"/>
    <n v="1"/>
    <n v="1"/>
    <n v="1"/>
    <n v="1"/>
    <n v="100"/>
    <n v="1"/>
    <n v="0"/>
    <n v="1"/>
    <n v="0"/>
    <n v="1"/>
    <n v="1"/>
    <s v="9658498-"/>
    <n v="1"/>
  </r>
  <r>
    <n v="4"/>
    <x v="4"/>
    <n v="9658582"/>
    <s v="2018-09-04"/>
    <x v="16"/>
    <s v="2018-09-05"/>
    <n v="1"/>
    <n v="1"/>
    <s v="2018-09-12"/>
    <n v="0"/>
    <s v="-"/>
    <n v="1"/>
    <n v="1"/>
    <n v="1"/>
    <n v="1"/>
    <n v="100"/>
    <n v="1"/>
    <n v="0"/>
    <n v="1"/>
    <n v="0"/>
    <n v="1"/>
    <n v="1"/>
    <s v="9658582-"/>
    <n v="1"/>
  </r>
  <r>
    <n v="4"/>
    <x v="4"/>
    <n v="9658732"/>
    <s v="2018-09-04"/>
    <x v="20"/>
    <s v="2018-09-05"/>
    <n v="1"/>
    <n v="0"/>
    <s v="1900-01-01"/>
    <n v="0"/>
    <s v="-"/>
    <n v="0"/>
    <n v="0"/>
    <n v="0"/>
    <n v="0"/>
    <n v="0"/>
    <n v="0"/>
    <n v="0"/>
    <n v="0"/>
    <n v="1"/>
    <n v="1"/>
    <n v="0"/>
    <s v="9658732-"/>
    <n v="0"/>
  </r>
  <r>
    <n v="4"/>
    <x v="4"/>
    <n v="9659336"/>
    <s v="2018-09-05"/>
    <x v="16"/>
    <s v="2018-09-06"/>
    <n v="1"/>
    <n v="1"/>
    <s v="2018-09-12"/>
    <n v="0"/>
    <s v="-"/>
    <n v="1"/>
    <n v="1"/>
    <n v="1"/>
    <n v="1"/>
    <n v="100"/>
    <n v="1"/>
    <n v="0"/>
    <n v="1"/>
    <n v="0"/>
    <n v="1"/>
    <n v="1"/>
    <s v="9659336-"/>
    <n v="1"/>
  </r>
  <r>
    <n v="4"/>
    <x v="4"/>
    <n v="9659475"/>
    <s v="2018-09-05"/>
    <x v="16"/>
    <s v="2018-09-06"/>
    <n v="1"/>
    <n v="1"/>
    <s v="2018-09-12"/>
    <n v="0"/>
    <s v="-"/>
    <n v="1"/>
    <n v="1"/>
    <n v="1"/>
    <n v="1"/>
    <n v="100"/>
    <n v="1"/>
    <n v="0"/>
    <n v="1"/>
    <n v="0"/>
    <n v="1"/>
    <n v="1"/>
    <s v="9659475-"/>
    <n v="1"/>
  </r>
  <r>
    <n v="4"/>
    <x v="4"/>
    <n v="9659490"/>
    <s v="2018-09-05"/>
    <x v="20"/>
    <s v="2018-09-06"/>
    <n v="1"/>
    <n v="1"/>
    <s v="2018-09-14"/>
    <n v="0"/>
    <s v="-"/>
    <n v="1"/>
    <n v="1"/>
    <n v="1"/>
    <n v="1"/>
    <n v="100"/>
    <n v="1"/>
    <n v="0"/>
    <n v="1"/>
    <n v="0"/>
    <n v="1"/>
    <n v="1"/>
    <s v="9659490-"/>
    <n v="1"/>
  </r>
  <r>
    <n v="4"/>
    <x v="4"/>
    <n v="9660055"/>
    <s v="2018-09-05"/>
    <x v="16"/>
    <s v="2018-09-06"/>
    <n v="1"/>
    <n v="1"/>
    <s v="2018-09-12"/>
    <n v="0"/>
    <s v="-"/>
    <n v="1"/>
    <n v="1"/>
    <n v="1"/>
    <n v="1"/>
    <n v="100"/>
    <n v="1"/>
    <n v="0"/>
    <n v="1"/>
    <n v="0"/>
    <n v="1"/>
    <n v="1"/>
    <s v="9660055-"/>
    <n v="1"/>
  </r>
  <r>
    <n v="4"/>
    <x v="4"/>
    <n v="9660235"/>
    <s v="2018-09-05"/>
    <x v="16"/>
    <s v="2018-09-06"/>
    <n v="1"/>
    <n v="1"/>
    <s v="2018-09-12"/>
    <n v="0"/>
    <s v="-"/>
    <n v="1"/>
    <n v="1"/>
    <n v="1"/>
    <n v="1"/>
    <n v="100"/>
    <n v="1"/>
    <n v="0"/>
    <n v="1"/>
    <n v="0"/>
    <n v="1"/>
    <n v="1"/>
    <s v="9660235-"/>
    <n v="1"/>
  </r>
  <r>
    <n v="4"/>
    <x v="4"/>
    <n v="9661708"/>
    <s v="2018-09-05"/>
    <x v="23"/>
    <s v="2018-09-06"/>
    <n v="1"/>
    <n v="1"/>
    <s v="2018-09-14"/>
    <n v="0"/>
    <s v="-"/>
    <n v="1"/>
    <n v="1"/>
    <n v="1"/>
    <n v="1"/>
    <n v="100"/>
    <n v="1"/>
    <n v="0"/>
    <n v="1"/>
    <n v="0"/>
    <n v="1"/>
    <n v="1"/>
    <s v="9661708-"/>
    <n v="1"/>
  </r>
  <r>
    <n v="4"/>
    <x v="4"/>
    <n v="9661929"/>
    <s v="2018-09-05"/>
    <x v="16"/>
    <s v="2018-09-06"/>
    <n v="1"/>
    <n v="1"/>
    <s v="2018-09-12"/>
    <n v="0"/>
    <s v="-"/>
    <n v="1"/>
    <n v="1"/>
    <n v="1"/>
    <n v="1"/>
    <n v="100"/>
    <n v="1"/>
    <n v="0"/>
    <n v="1"/>
    <n v="0"/>
    <n v="1"/>
    <n v="1"/>
    <s v="9661929-"/>
    <n v="1"/>
  </r>
  <r>
    <n v="4"/>
    <x v="4"/>
    <n v="9662366"/>
    <s v="2018-09-06"/>
    <x v="16"/>
    <s v="2018-09-06"/>
    <n v="1"/>
    <n v="1"/>
    <s v="2018-09-12"/>
    <n v="0"/>
    <s v="-"/>
    <n v="1"/>
    <n v="1"/>
    <n v="1"/>
    <n v="1"/>
    <n v="100"/>
    <n v="1"/>
    <n v="0"/>
    <n v="1"/>
    <n v="0"/>
    <n v="1"/>
    <n v="1"/>
    <s v="9662366-"/>
    <n v="1"/>
  </r>
  <r>
    <n v="4"/>
    <x v="4"/>
    <n v="9662705"/>
    <s v="2018-09-06"/>
    <x v="16"/>
    <s v="2018-09-07"/>
    <n v="1"/>
    <n v="1"/>
    <s v="2018-09-12"/>
    <n v="0"/>
    <s v="-"/>
    <n v="1"/>
    <n v="1"/>
    <n v="1"/>
    <n v="1"/>
    <n v="100"/>
    <n v="1"/>
    <n v="0"/>
    <n v="1"/>
    <n v="0"/>
    <n v="1"/>
    <n v="1"/>
    <s v="9662705-"/>
    <n v="1"/>
  </r>
  <r>
    <n v="4"/>
    <x v="4"/>
    <n v="9663390"/>
    <s v="2018-09-06"/>
    <x v="20"/>
    <s v="2018-09-07"/>
    <n v="1"/>
    <n v="1"/>
    <s v="2018-09-14"/>
    <n v="0"/>
    <s v="-"/>
    <n v="1"/>
    <n v="1"/>
    <n v="1"/>
    <n v="1"/>
    <n v="100"/>
    <n v="1"/>
    <n v="0"/>
    <n v="1"/>
    <n v="0"/>
    <n v="1"/>
    <n v="1"/>
    <s v="9663390-"/>
    <n v="1"/>
  </r>
  <r>
    <n v="4"/>
    <x v="4"/>
    <n v="9665420"/>
    <s v="2018-09-07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5420-"/>
    <n v="1"/>
  </r>
  <r>
    <n v="4"/>
    <x v="4"/>
    <n v="9665624"/>
    <s v="2018-09-07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5624-"/>
    <n v="1"/>
  </r>
  <r>
    <n v="4"/>
    <x v="4"/>
    <n v="9665918"/>
    <s v="2018-09-07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5918-"/>
    <n v="1"/>
  </r>
  <r>
    <n v="4"/>
    <x v="4"/>
    <n v="9666680"/>
    <s v="2018-09-07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6680-"/>
    <n v="1"/>
  </r>
  <r>
    <n v="4"/>
    <x v="4"/>
    <n v="9666693"/>
    <s v="2018-09-07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6693-"/>
    <n v="1"/>
  </r>
  <r>
    <n v="4"/>
    <x v="4"/>
    <n v="9667129"/>
    <s v="2018-09-07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7129-"/>
    <n v="1"/>
  </r>
  <r>
    <n v="4"/>
    <x v="4"/>
    <n v="9667340"/>
    <s v="2018-09-08"/>
    <x v="24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7340-"/>
    <n v="1"/>
  </r>
  <r>
    <n v="4"/>
    <x v="4"/>
    <n v="9667613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7613-"/>
    <n v="1"/>
  </r>
  <r>
    <n v="4"/>
    <x v="4"/>
    <n v="9667986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7986-"/>
    <n v="1"/>
  </r>
  <r>
    <n v="4"/>
    <x v="4"/>
    <n v="9668333"/>
    <s v="2018-09-08"/>
    <x v="9"/>
    <s v="2018-09-10"/>
    <n v="1"/>
    <n v="1"/>
    <s v="2018-09-14"/>
    <n v="0"/>
    <s v="-"/>
    <n v="1"/>
    <n v="1"/>
    <n v="0"/>
    <n v="0"/>
    <n v="100"/>
    <n v="1"/>
    <n v="0"/>
    <n v="1"/>
    <n v="0"/>
    <n v="1"/>
    <n v="0"/>
    <s v="9668333-"/>
    <n v="1"/>
  </r>
  <r>
    <n v="4"/>
    <x v="4"/>
    <n v="9668594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8594-"/>
    <n v="1"/>
  </r>
  <r>
    <n v="4"/>
    <x v="4"/>
    <n v="9669177"/>
    <s v="2018-09-08"/>
    <x v="10"/>
    <s v="2018-09-10"/>
    <n v="1"/>
    <n v="0"/>
    <s v="1900-01-01"/>
    <n v="0"/>
    <s v="-"/>
    <n v="0"/>
    <n v="0"/>
    <n v="0"/>
    <n v="0"/>
    <n v="0"/>
    <n v="0"/>
    <n v="0"/>
    <n v="0"/>
    <n v="1"/>
    <n v="1"/>
    <n v="0"/>
    <s v="9669177-"/>
    <n v="0"/>
  </r>
  <r>
    <n v="4"/>
    <x v="4"/>
    <n v="9669214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9214-"/>
    <n v="1"/>
  </r>
  <r>
    <n v="4"/>
    <x v="4"/>
    <n v="9669234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9234-"/>
    <n v="1"/>
  </r>
  <r>
    <n v="4"/>
    <x v="4"/>
    <n v="9669286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9286-"/>
    <n v="1"/>
  </r>
  <r>
    <n v="4"/>
    <x v="4"/>
    <n v="9669293"/>
    <s v="2018-09-08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9293-"/>
    <n v="1"/>
  </r>
  <r>
    <n v="4"/>
    <x v="4"/>
    <n v="9669393"/>
    <s v="2018-09-09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9393-"/>
    <n v="1"/>
  </r>
  <r>
    <n v="4"/>
    <x v="4"/>
    <n v="9669579"/>
    <s v="2018-09-09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69579-"/>
    <n v="1"/>
  </r>
  <r>
    <n v="4"/>
    <x v="4"/>
    <n v="9670157"/>
    <s v="2018-09-09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70157-"/>
    <n v="1"/>
  </r>
  <r>
    <n v="4"/>
    <x v="4"/>
    <n v="9670925"/>
    <s v="2018-09-09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70925-"/>
    <n v="1"/>
  </r>
  <r>
    <n v="4"/>
    <x v="4"/>
    <n v="9671287"/>
    <s v="2018-09-09"/>
    <x v="20"/>
    <s v="2018-09-10"/>
    <n v="1"/>
    <n v="1"/>
    <s v="2018-09-14"/>
    <n v="0"/>
    <s v="-"/>
    <n v="1"/>
    <n v="1"/>
    <n v="1"/>
    <n v="1"/>
    <n v="100"/>
    <n v="1"/>
    <n v="0"/>
    <n v="1"/>
    <n v="0"/>
    <n v="1"/>
    <n v="1"/>
    <s v="9671287-"/>
    <n v="1"/>
  </r>
  <r>
    <n v="4"/>
    <x v="4"/>
    <n v="9672639"/>
    <s v="2018-09-10"/>
    <x v="20"/>
    <s v="2018-09-11"/>
    <n v="1"/>
    <n v="1"/>
    <s v="2018-09-14"/>
    <n v="0"/>
    <s v="-"/>
    <n v="1"/>
    <n v="1"/>
    <n v="1"/>
    <n v="1"/>
    <n v="100"/>
    <n v="1"/>
    <n v="0"/>
    <n v="1"/>
    <n v="0"/>
    <n v="1"/>
    <n v="1"/>
    <s v="9672639-"/>
    <n v="1"/>
  </r>
  <r>
    <n v="4"/>
    <x v="4"/>
    <n v="9672960"/>
    <s v="2018-09-10"/>
    <x v="20"/>
    <s v="2018-09-11"/>
    <n v="1"/>
    <n v="1"/>
    <s v="2018-09-14"/>
    <n v="0"/>
    <s v="-"/>
    <n v="1"/>
    <n v="1"/>
    <n v="1"/>
    <n v="1"/>
    <n v="100"/>
    <n v="1"/>
    <n v="0"/>
    <n v="1"/>
    <n v="0"/>
    <n v="1"/>
    <n v="1"/>
    <s v="9672960-"/>
    <n v="1"/>
  </r>
  <r>
    <n v="4"/>
    <x v="4"/>
    <n v="9673781"/>
    <s v="2018-09-10"/>
    <x v="10"/>
    <s v="2018-09-11"/>
    <n v="1"/>
    <n v="1"/>
    <s v="2018-09-21"/>
    <n v="0"/>
    <s v="-"/>
    <n v="1"/>
    <n v="1"/>
    <n v="1"/>
    <n v="1"/>
    <n v="100"/>
    <n v="1"/>
    <n v="0"/>
    <n v="1"/>
    <n v="0"/>
    <n v="1"/>
    <n v="1"/>
    <s v="9673781-"/>
    <n v="1"/>
  </r>
  <r>
    <n v="4"/>
    <x v="4"/>
    <n v="9674290"/>
    <s v="2018-09-10"/>
    <x v="10"/>
    <s v="2018-09-11"/>
    <n v="1"/>
    <n v="1"/>
    <s v="2018-09-21"/>
    <n v="0"/>
    <s v="-"/>
    <n v="1"/>
    <n v="1"/>
    <n v="1"/>
    <n v="1"/>
    <n v="100"/>
    <n v="1"/>
    <n v="0"/>
    <n v="1"/>
    <n v="0"/>
    <n v="1"/>
    <n v="1"/>
    <s v="9674290-"/>
    <n v="1"/>
  </r>
  <r>
    <n v="4"/>
    <x v="4"/>
    <n v="9674742"/>
    <s v="2018-09-10"/>
    <x v="10"/>
    <s v="2018-09-11"/>
    <n v="1"/>
    <n v="1"/>
    <s v="2018-09-21"/>
    <n v="0"/>
    <s v="-"/>
    <n v="1"/>
    <n v="1"/>
    <n v="1"/>
    <n v="1"/>
    <n v="100"/>
    <n v="1"/>
    <n v="0"/>
    <n v="1"/>
    <n v="0"/>
    <n v="1"/>
    <n v="1"/>
    <s v="9674742-"/>
    <n v="1"/>
  </r>
  <r>
    <n v="4"/>
    <x v="4"/>
    <n v="9675309"/>
    <s v="2018-09-11"/>
    <x v="10"/>
    <s v="2018-09-12"/>
    <n v="1"/>
    <n v="1"/>
    <s v="2018-09-21"/>
    <n v="0"/>
    <s v="-"/>
    <n v="1"/>
    <n v="1"/>
    <n v="1"/>
    <n v="1"/>
    <n v="100"/>
    <n v="1"/>
    <n v="0"/>
    <n v="1"/>
    <n v="0"/>
    <n v="1"/>
    <n v="1"/>
    <s v="9675309-"/>
    <n v="1"/>
  </r>
  <r>
    <n v="4"/>
    <x v="4"/>
    <n v="9676310"/>
    <s v="2018-09-11"/>
    <x v="10"/>
    <s v="2018-09-12"/>
    <n v="1"/>
    <n v="1"/>
    <s v="2018-09-21"/>
    <n v="0"/>
    <s v="-"/>
    <n v="1"/>
    <n v="1"/>
    <n v="1"/>
    <n v="1"/>
    <n v="100"/>
    <n v="1"/>
    <n v="0"/>
    <n v="1"/>
    <n v="0"/>
    <n v="1"/>
    <n v="1"/>
    <s v="9676310-"/>
    <n v="1"/>
  </r>
  <r>
    <n v="4"/>
    <x v="4"/>
    <n v="9676707"/>
    <s v="2018-09-11"/>
    <x v="10"/>
    <s v="2018-09-12"/>
    <n v="1"/>
    <n v="1"/>
    <s v="2018-09-21"/>
    <n v="0"/>
    <s v="-"/>
    <n v="1"/>
    <n v="1"/>
    <n v="1"/>
    <n v="1"/>
    <n v="100"/>
    <n v="1"/>
    <n v="0"/>
    <n v="1"/>
    <n v="0"/>
    <n v="1"/>
    <n v="1"/>
    <s v="9676707-"/>
    <n v="1"/>
  </r>
  <r>
    <n v="4"/>
    <x v="4"/>
    <n v="9676715"/>
    <s v="2018-09-11"/>
    <x v="10"/>
    <s v="2018-09-12"/>
    <n v="1"/>
    <n v="1"/>
    <s v="2018-09-21"/>
    <n v="0"/>
    <s v="-"/>
    <n v="1"/>
    <n v="1"/>
    <n v="1"/>
    <n v="1"/>
    <n v="100"/>
    <n v="1"/>
    <n v="0"/>
    <n v="1"/>
    <n v="0"/>
    <n v="1"/>
    <n v="1"/>
    <s v="9676715-"/>
    <n v="1"/>
  </r>
  <r>
    <n v="4"/>
    <x v="4"/>
    <n v="9677140"/>
    <s v="2018-09-11"/>
    <x v="10"/>
    <s v="2018-09-12"/>
    <n v="1"/>
    <n v="1"/>
    <s v="2018-09-21"/>
    <n v="0"/>
    <s v="-"/>
    <n v="1"/>
    <n v="1"/>
    <n v="1"/>
    <n v="1"/>
    <n v="100"/>
    <n v="1"/>
    <n v="0"/>
    <n v="1"/>
    <n v="0"/>
    <n v="1"/>
    <n v="1"/>
    <s v="9677140-"/>
    <n v="1"/>
  </r>
  <r>
    <n v="4"/>
    <x v="4"/>
    <n v="9678415"/>
    <s v="2018-09-12"/>
    <x v="10"/>
    <s v="2018-09-13"/>
    <n v="1"/>
    <n v="1"/>
    <s v="2018-09-21"/>
    <n v="0"/>
    <s v="-"/>
    <n v="1"/>
    <n v="1"/>
    <n v="1"/>
    <n v="1"/>
    <n v="100"/>
    <n v="1"/>
    <n v="0"/>
    <n v="1"/>
    <n v="0"/>
    <n v="1"/>
    <n v="1"/>
    <s v="9678415-"/>
    <n v="1"/>
  </r>
  <r>
    <n v="4"/>
    <x v="4"/>
    <n v="9679359"/>
    <s v="2018-09-12"/>
    <x v="10"/>
    <s v="2018-09-13"/>
    <n v="1"/>
    <n v="1"/>
    <s v="2018-09-21"/>
    <n v="0"/>
    <s v="-"/>
    <n v="1"/>
    <n v="1"/>
    <n v="1"/>
    <n v="1"/>
    <n v="100"/>
    <n v="1"/>
    <n v="0"/>
    <n v="1"/>
    <n v="0"/>
    <n v="1"/>
    <n v="1"/>
    <s v="9679359-"/>
    <n v="1"/>
  </r>
  <r>
    <n v="4"/>
    <x v="4"/>
    <n v="9680277"/>
    <s v="2018-09-13"/>
    <x v="10"/>
    <s v="2018-09-14"/>
    <n v="2"/>
    <n v="2"/>
    <s v="2018-09-21"/>
    <n v="0"/>
    <s v="-"/>
    <n v="2"/>
    <n v="1"/>
    <n v="1"/>
    <n v="1"/>
    <n v="100"/>
    <n v="2"/>
    <n v="0"/>
    <n v="2"/>
    <n v="0"/>
    <n v="1"/>
    <n v="1"/>
    <s v="9680277-"/>
    <n v="2"/>
  </r>
  <r>
    <n v="4"/>
    <x v="4"/>
    <n v="9680826"/>
    <s v="2018-09-13"/>
    <x v="10"/>
    <s v="2018-09-14"/>
    <n v="1"/>
    <n v="1"/>
    <s v="2018-09-21"/>
    <n v="0"/>
    <s v="-"/>
    <n v="1"/>
    <n v="1"/>
    <n v="1"/>
    <n v="1"/>
    <n v="100"/>
    <n v="1"/>
    <n v="0"/>
    <n v="1"/>
    <n v="0"/>
    <n v="1"/>
    <n v="1"/>
    <s v="9680826-"/>
    <n v="1"/>
  </r>
  <r>
    <n v="4"/>
    <x v="4"/>
    <n v="9681009"/>
    <s v="2018-09-13"/>
    <x v="5"/>
    <s v="2018-09-14"/>
    <n v="1"/>
    <n v="1"/>
    <s v="2018-09-21"/>
    <n v="0"/>
    <s v="-"/>
    <n v="1"/>
    <n v="1"/>
    <n v="1"/>
    <n v="1"/>
    <n v="100"/>
    <n v="1"/>
    <n v="0"/>
    <n v="1"/>
    <n v="0"/>
    <n v="1"/>
    <n v="1"/>
    <s v="9681009-"/>
    <n v="1"/>
  </r>
  <r>
    <n v="4"/>
    <x v="4"/>
    <n v="9681826"/>
    <s v="2018-09-13"/>
    <x v="22"/>
    <s v="2018-09-14"/>
    <n v="1"/>
    <n v="1"/>
    <s v="2018-09-26"/>
    <n v="0"/>
    <s v="-"/>
    <n v="1"/>
    <n v="1"/>
    <n v="1"/>
    <n v="1"/>
    <n v="100"/>
    <n v="1"/>
    <n v="0"/>
    <n v="1"/>
    <n v="0"/>
    <n v="1"/>
    <n v="1"/>
    <s v="9681826-"/>
    <n v="1"/>
  </r>
  <r>
    <n v="4"/>
    <x v="4"/>
    <n v="9682546"/>
    <s v="2018-09-14"/>
    <x v="10"/>
    <s v="2018-09-20"/>
    <n v="1"/>
    <n v="1"/>
    <s v="2018-09-21"/>
    <n v="0"/>
    <s v="-"/>
    <n v="1"/>
    <n v="1"/>
    <n v="1"/>
    <n v="1"/>
    <n v="100"/>
    <n v="1"/>
    <n v="0"/>
    <n v="1"/>
    <n v="0"/>
    <n v="1"/>
    <n v="1"/>
    <s v="9682546-"/>
    <n v="1"/>
  </r>
  <r>
    <n v="4"/>
    <x v="4"/>
    <n v="9682598"/>
    <s v="2018-09-14"/>
    <x v="22"/>
    <s v="2018-09-20"/>
    <n v="1"/>
    <n v="0"/>
    <s v="1900-01-01"/>
    <n v="0"/>
    <s v="-"/>
    <n v="0"/>
    <n v="0"/>
    <n v="0"/>
    <n v="0"/>
    <n v="0"/>
    <n v="0"/>
    <n v="0"/>
    <n v="0"/>
    <n v="1"/>
    <n v="1"/>
    <n v="0"/>
    <s v="9682598-"/>
    <n v="0"/>
  </r>
  <r>
    <n v="4"/>
    <x v="4"/>
    <n v="9685237"/>
    <s v="2018-09-16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5237-"/>
    <n v="1"/>
  </r>
  <r>
    <n v="4"/>
    <x v="4"/>
    <n v="9685449"/>
    <s v="2018-09-16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5449-"/>
    <n v="1"/>
  </r>
  <r>
    <n v="4"/>
    <x v="4"/>
    <n v="9685926"/>
    <s v="2018-09-16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5926-"/>
    <n v="1"/>
  </r>
  <r>
    <n v="4"/>
    <x v="4"/>
    <n v="9686854"/>
    <s v="2018-09-17"/>
    <x v="22"/>
    <s v="2018-09-20"/>
    <n v="2"/>
    <n v="2"/>
    <s v="2018-09-26"/>
    <n v="0"/>
    <s v="-"/>
    <n v="2"/>
    <n v="1"/>
    <n v="1"/>
    <n v="1"/>
    <n v="100"/>
    <n v="2"/>
    <n v="0"/>
    <n v="2"/>
    <n v="0"/>
    <n v="1"/>
    <n v="1"/>
    <s v="9686854-"/>
    <n v="2"/>
  </r>
  <r>
    <n v="4"/>
    <x v="4"/>
    <n v="9687404"/>
    <s v="2018-09-17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7404-"/>
    <n v="1"/>
  </r>
  <r>
    <n v="4"/>
    <x v="4"/>
    <n v="9688057"/>
    <s v="2018-09-18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8057-"/>
    <n v="1"/>
  </r>
  <r>
    <n v="4"/>
    <x v="4"/>
    <n v="9688354"/>
    <s v="2018-09-18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8354-"/>
    <n v="1"/>
  </r>
  <r>
    <n v="4"/>
    <x v="4"/>
    <n v="9688707"/>
    <s v="2018-09-19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8707-"/>
    <n v="1"/>
  </r>
  <r>
    <n v="4"/>
    <x v="4"/>
    <n v="9688846"/>
    <s v="2018-09-19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8846-"/>
    <n v="1"/>
  </r>
  <r>
    <n v="4"/>
    <x v="4"/>
    <n v="9688982"/>
    <s v="2018-09-19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8982-"/>
    <n v="1"/>
  </r>
  <r>
    <n v="4"/>
    <x v="4"/>
    <n v="9689674"/>
    <s v="2018-09-20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9674-"/>
    <n v="1"/>
  </r>
  <r>
    <n v="4"/>
    <x v="4"/>
    <n v="9689724"/>
    <s v="2018-09-20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9724-"/>
    <n v="1"/>
  </r>
  <r>
    <n v="4"/>
    <x v="4"/>
    <n v="9690084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0084-"/>
    <n v="1"/>
  </r>
  <r>
    <n v="4"/>
    <x v="4"/>
    <n v="9690267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0267-"/>
    <n v="1"/>
  </r>
  <r>
    <n v="4"/>
    <x v="4"/>
    <n v="9690704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0704-"/>
    <n v="1"/>
  </r>
  <r>
    <n v="4"/>
    <x v="4"/>
    <n v="9691769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1769-"/>
    <n v="1"/>
  </r>
  <r>
    <n v="4"/>
    <x v="4"/>
    <n v="9704686"/>
    <s v="2018-09-25"/>
    <x v="9"/>
    <s v="2018-09-26"/>
    <n v="1"/>
    <n v="1"/>
    <s v="2018-09-28"/>
    <n v="0"/>
    <s v="-"/>
    <n v="1"/>
    <n v="1"/>
    <n v="0"/>
    <n v="0"/>
    <n v="100"/>
    <n v="1"/>
    <n v="0"/>
    <n v="1"/>
    <n v="0"/>
    <n v="1"/>
    <n v="0"/>
    <s v="9704686-"/>
    <n v="1"/>
  </r>
  <r>
    <n v="5"/>
    <x v="5"/>
    <n v="6503981973"/>
    <s v="1900-01-01"/>
    <x v="14"/>
    <s v="1900-01-01"/>
    <n v="40"/>
    <n v="50"/>
    <s v="2018-08-30"/>
    <n v="25"/>
    <s v="-"/>
    <n v="25"/>
    <n v="0"/>
    <n v="1"/>
    <n v="0"/>
    <n v="62.5"/>
    <n v="15"/>
    <n v="10"/>
    <n v="10"/>
    <n v="30"/>
    <n v="1"/>
    <n v="0"/>
    <s v="6503981973-"/>
    <n v="25"/>
  </r>
  <r>
    <n v="5"/>
    <x v="5"/>
    <n v="6504005711"/>
    <s v="2018-08-20"/>
    <x v="12"/>
    <s v="2018-08-21"/>
    <n v="1"/>
    <n v="1"/>
    <s v="2018-08-27"/>
    <n v="0"/>
    <s v="-"/>
    <n v="1"/>
    <n v="1"/>
    <n v="1"/>
    <n v="1"/>
    <n v="100"/>
    <n v="1"/>
    <n v="0"/>
    <n v="1"/>
    <n v="0"/>
    <n v="1"/>
    <n v="1"/>
    <s v="6504005711-"/>
    <n v="1"/>
  </r>
  <r>
    <n v="5"/>
    <x v="5"/>
    <n v="6504006072"/>
    <s v="2018-08-20"/>
    <x v="12"/>
    <s v="2018-08-21"/>
    <n v="1"/>
    <n v="1"/>
    <s v="2018-08-27"/>
    <n v="0"/>
    <s v="-"/>
    <n v="1"/>
    <n v="1"/>
    <n v="1"/>
    <n v="1"/>
    <n v="100"/>
    <n v="1"/>
    <n v="0"/>
    <n v="1"/>
    <n v="0"/>
    <n v="1"/>
    <n v="1"/>
    <s v="6504006072-"/>
    <n v="1"/>
  </r>
  <r>
    <n v="5"/>
    <x v="5"/>
    <n v="6504009067"/>
    <s v="2018-08-21"/>
    <x v="12"/>
    <s v="2018-08-22"/>
    <n v="442"/>
    <n v="301"/>
    <s v="2018-08-27"/>
    <n v="0"/>
    <s v="-"/>
    <n v="301"/>
    <n v="0"/>
    <n v="1"/>
    <n v="0"/>
    <n v="68.099547511312224"/>
    <n v="301"/>
    <n v="0"/>
    <n v="301"/>
    <n v="141"/>
    <n v="1"/>
    <n v="0"/>
    <s v="6504009067-"/>
    <n v="301"/>
  </r>
  <r>
    <n v="5"/>
    <x v="5"/>
    <n v="6504011910"/>
    <s v="2018-08-22"/>
    <x v="14"/>
    <s v="2018-08-23"/>
    <n v="1"/>
    <n v="1"/>
    <s v="2018-08-31"/>
    <n v="0"/>
    <s v="-"/>
    <n v="1"/>
    <n v="1"/>
    <n v="1"/>
    <n v="1"/>
    <n v="100"/>
    <n v="1"/>
    <n v="0"/>
    <n v="1"/>
    <n v="0"/>
    <n v="1"/>
    <n v="1"/>
    <s v="6504011910-"/>
    <n v="1"/>
  </r>
  <r>
    <n v="5"/>
    <x v="5"/>
    <n v="6504013530"/>
    <s v="2018-08-23"/>
    <x v="17"/>
    <s v="2018-08-24"/>
    <n v="1"/>
    <n v="1"/>
    <s v="2018-08-27"/>
    <n v="0"/>
    <s v="-"/>
    <n v="1"/>
    <n v="1"/>
    <n v="1"/>
    <n v="1"/>
    <n v="100"/>
    <n v="1"/>
    <n v="0"/>
    <n v="1"/>
    <n v="0"/>
    <n v="1"/>
    <n v="1"/>
    <s v="6504013530-"/>
    <n v="1"/>
  </r>
  <r>
    <n v="5"/>
    <x v="5"/>
    <n v="6504015850"/>
    <s v="2018-08-25"/>
    <x v="14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6504015850-"/>
    <n v="1"/>
  </r>
  <r>
    <n v="5"/>
    <x v="5"/>
    <n v="6504016942"/>
    <s v="2018-08-27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6504016942-"/>
    <n v="1"/>
  </r>
  <r>
    <n v="5"/>
    <x v="5"/>
    <n v="6504017146"/>
    <s v="2018-08-27"/>
    <x v="18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6504017146-"/>
    <n v="1"/>
  </r>
  <r>
    <n v="5"/>
    <x v="5"/>
    <n v="6504018515"/>
    <s v="2018-08-28"/>
    <x v="0"/>
    <s v="2018-08-28"/>
    <n v="1"/>
    <n v="1"/>
    <s v="2018-08-31"/>
    <n v="0"/>
    <s v="-"/>
    <n v="1"/>
    <n v="1"/>
    <n v="1"/>
    <n v="1"/>
    <n v="100"/>
    <n v="1"/>
    <n v="0"/>
    <n v="1"/>
    <n v="0"/>
    <n v="1"/>
    <n v="1"/>
    <s v="6504018515-"/>
    <n v="1"/>
  </r>
  <r>
    <n v="5"/>
    <x v="5"/>
    <n v="6504019017"/>
    <s v="2018-08-28"/>
    <x v="18"/>
    <s v="2018-08-28"/>
    <n v="1"/>
    <n v="0"/>
    <s v="1900-01-01"/>
    <n v="0"/>
    <s v="-"/>
    <n v="0"/>
    <n v="0"/>
    <n v="0"/>
    <n v="0"/>
    <n v="0"/>
    <n v="0"/>
    <n v="0"/>
    <n v="0"/>
    <n v="1"/>
    <n v="1"/>
    <n v="0"/>
    <s v="6504019017-"/>
    <n v="0"/>
  </r>
  <r>
    <n v="5"/>
    <x v="5"/>
    <n v="6504019642"/>
    <s v="2018-08-28"/>
    <x v="18"/>
    <s v="2018-08-29"/>
    <n v="1"/>
    <n v="1"/>
    <s v="2018-08-31"/>
    <n v="0"/>
    <s v="-"/>
    <n v="1"/>
    <n v="1"/>
    <n v="1"/>
    <n v="1"/>
    <n v="100"/>
    <n v="1"/>
    <n v="0"/>
    <n v="1"/>
    <n v="0"/>
    <n v="1"/>
    <n v="1"/>
    <s v="6504019642-"/>
    <n v="1"/>
  </r>
  <r>
    <n v="5"/>
    <x v="5"/>
    <n v="6504021128"/>
    <s v="2018-08-28"/>
    <x v="0"/>
    <s v="2018-08-29"/>
    <n v="114"/>
    <n v="109"/>
    <s v="2018-09-03"/>
    <n v="0"/>
    <s v="-"/>
    <n v="109"/>
    <n v="0"/>
    <n v="1"/>
    <n v="0"/>
    <n v="95.614035087719301"/>
    <n v="109"/>
    <n v="0"/>
    <n v="109"/>
    <n v="5"/>
    <n v="1"/>
    <n v="0"/>
    <s v="6504021128-"/>
    <n v="109"/>
  </r>
  <r>
    <n v="5"/>
    <x v="5"/>
    <n v="6504022070"/>
    <s v="2018-08-29"/>
    <x v="1"/>
    <s v="2018-08-29"/>
    <n v="1"/>
    <n v="1"/>
    <s v="2018-08-31"/>
    <n v="0"/>
    <s v="-"/>
    <n v="1"/>
    <n v="1"/>
    <n v="1"/>
    <n v="1"/>
    <n v="100"/>
    <n v="1"/>
    <n v="0"/>
    <n v="1"/>
    <n v="0"/>
    <n v="1"/>
    <n v="1"/>
    <s v="6504022070-"/>
    <n v="1"/>
  </r>
  <r>
    <n v="5"/>
    <x v="5"/>
    <n v="6504023078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6504023078-"/>
    <n v="1"/>
  </r>
  <r>
    <n v="5"/>
    <x v="5"/>
    <n v="6504025336"/>
    <s v="2018-08-30"/>
    <x v="18"/>
    <s v="2018-08-31"/>
    <n v="1"/>
    <n v="1"/>
    <s v="2018-09-05"/>
    <n v="0"/>
    <s v="-"/>
    <n v="1"/>
    <n v="1"/>
    <n v="1"/>
    <n v="1"/>
    <n v="100"/>
    <n v="1"/>
    <n v="0"/>
    <n v="1"/>
    <n v="0"/>
    <n v="1"/>
    <n v="1"/>
    <s v="6504025336-"/>
    <n v="1"/>
  </r>
  <r>
    <n v="5"/>
    <x v="5"/>
    <n v="6504025358"/>
    <s v="2018-08-30"/>
    <x v="18"/>
    <s v="2018-08-31"/>
    <n v="1"/>
    <n v="1"/>
    <s v="2018-09-05"/>
    <n v="0"/>
    <s v="-"/>
    <n v="1"/>
    <n v="1"/>
    <n v="1"/>
    <n v="1"/>
    <n v="100"/>
    <n v="1"/>
    <n v="0"/>
    <n v="1"/>
    <n v="0"/>
    <n v="1"/>
    <n v="1"/>
    <s v="6504025358-"/>
    <n v="1"/>
  </r>
  <r>
    <n v="5"/>
    <x v="5"/>
    <n v="6504026429"/>
    <s v="2018-08-31"/>
    <x v="15"/>
    <s v="2018-09-03"/>
    <n v="5"/>
    <n v="0"/>
    <s v="1900-01-01"/>
    <n v="0"/>
    <s v="-"/>
    <n v="0"/>
    <n v="0"/>
    <n v="0"/>
    <n v="0"/>
    <n v="0"/>
    <n v="0"/>
    <n v="0"/>
    <n v="0"/>
    <n v="5"/>
    <n v="1"/>
    <n v="0"/>
    <s v="6504026429-"/>
    <n v="0"/>
  </r>
  <r>
    <n v="5"/>
    <x v="5"/>
    <n v="6504026454"/>
    <s v="2018-08-31"/>
    <x v="15"/>
    <s v="2018-09-03"/>
    <n v="10"/>
    <n v="10"/>
    <s v="2018-09-07"/>
    <n v="0"/>
    <s v="-"/>
    <n v="10"/>
    <n v="1"/>
    <n v="0"/>
    <n v="0"/>
    <n v="100"/>
    <n v="10"/>
    <n v="0"/>
    <n v="10"/>
    <n v="0"/>
    <n v="1"/>
    <n v="0"/>
    <s v="6504026454-"/>
    <n v="10"/>
  </r>
  <r>
    <n v="5"/>
    <x v="5"/>
    <n v="6504027073"/>
    <s v="2018-08-31"/>
    <x v="9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6504027073-"/>
    <n v="1"/>
  </r>
  <r>
    <n v="5"/>
    <x v="5"/>
    <n v="6504027308"/>
    <s v="2018-09-01"/>
    <x v="20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6504027308-"/>
    <n v="1"/>
  </r>
  <r>
    <n v="5"/>
    <x v="5"/>
    <n v="6504027312"/>
    <s v="2018-09-01"/>
    <x v="20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6504027312-"/>
    <n v="1"/>
  </r>
  <r>
    <n v="5"/>
    <x v="5"/>
    <n v="6504029343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6504029343-"/>
    <n v="1"/>
  </r>
  <r>
    <n v="5"/>
    <x v="5"/>
    <n v="6504029352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6504029352-"/>
    <n v="1"/>
  </r>
  <r>
    <n v="5"/>
    <x v="5"/>
    <n v="6504029734"/>
    <s v="2018-09-03"/>
    <x v="3"/>
    <s v="2018-09-04"/>
    <n v="15"/>
    <n v="0"/>
    <s v="1900-01-01"/>
    <n v="0"/>
    <s v="-"/>
    <n v="0"/>
    <n v="0"/>
    <n v="0"/>
    <n v="0"/>
    <n v="0"/>
    <n v="0"/>
    <n v="0"/>
    <n v="0"/>
    <n v="15"/>
    <n v="1"/>
    <n v="0"/>
    <s v="6504029734-"/>
    <n v="0"/>
  </r>
  <r>
    <n v="5"/>
    <x v="5"/>
    <n v="6504029825"/>
    <s v="2018-09-04"/>
    <x v="16"/>
    <s v="2018-09-04"/>
    <n v="15"/>
    <n v="0"/>
    <s v="1900-01-01"/>
    <n v="0"/>
    <s v="-"/>
    <n v="0"/>
    <n v="0"/>
    <n v="0"/>
    <n v="0"/>
    <n v="0"/>
    <n v="0"/>
    <n v="0"/>
    <n v="0"/>
    <n v="15"/>
    <n v="1"/>
    <n v="0"/>
    <s v="6504029825-"/>
    <n v="0"/>
  </r>
  <r>
    <n v="5"/>
    <x v="5"/>
    <n v="6504031433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6504031433-"/>
    <n v="1"/>
  </r>
  <r>
    <n v="5"/>
    <x v="5"/>
    <n v="6504032109"/>
    <s v="2018-09-04"/>
    <x v="9"/>
    <s v="2018-09-05"/>
    <n v="90"/>
    <n v="69"/>
    <s v="2018-09-07"/>
    <n v="0"/>
    <s v="-"/>
    <n v="69"/>
    <n v="0"/>
    <n v="1"/>
    <n v="0"/>
    <n v="76.666666666666671"/>
    <n v="69"/>
    <n v="0"/>
    <n v="69"/>
    <n v="21"/>
    <n v="1"/>
    <n v="0"/>
    <s v="6504032109-"/>
    <n v="69"/>
  </r>
  <r>
    <n v="5"/>
    <x v="5"/>
    <n v="6504033594"/>
    <s v="2018-09-05"/>
    <x v="20"/>
    <s v="2018-09-06"/>
    <n v="2"/>
    <n v="2"/>
    <s v="2018-09-12"/>
    <n v="0"/>
    <s v="-"/>
    <n v="2"/>
    <n v="1"/>
    <n v="1"/>
    <n v="1"/>
    <n v="100"/>
    <n v="2"/>
    <n v="0"/>
    <n v="2"/>
    <n v="0"/>
    <n v="1"/>
    <n v="1"/>
    <s v="6504033594-"/>
    <n v="2"/>
  </r>
  <r>
    <n v="5"/>
    <x v="5"/>
    <n v="6504036083"/>
    <s v="2018-09-06"/>
    <x v="16"/>
    <s v="2018-09-07"/>
    <n v="1"/>
    <n v="1"/>
    <s v="2018-09-12"/>
    <n v="0"/>
    <s v="-"/>
    <n v="1"/>
    <n v="1"/>
    <n v="1"/>
    <n v="1"/>
    <n v="100"/>
    <n v="1"/>
    <n v="0"/>
    <n v="1"/>
    <n v="0"/>
    <n v="1"/>
    <n v="1"/>
    <s v="6504036083-"/>
    <n v="1"/>
  </r>
  <r>
    <n v="5"/>
    <x v="5"/>
    <n v="6504036086"/>
    <s v="2018-09-06"/>
    <x v="20"/>
    <s v="2018-09-07"/>
    <n v="10"/>
    <n v="0"/>
    <s v="1900-01-01"/>
    <n v="0"/>
    <s v="-"/>
    <n v="0"/>
    <n v="0"/>
    <n v="0"/>
    <n v="0"/>
    <n v="0"/>
    <n v="0"/>
    <n v="0"/>
    <n v="0"/>
    <n v="10"/>
    <n v="1"/>
    <n v="0"/>
    <s v="6504036086-"/>
    <n v="0"/>
  </r>
  <r>
    <n v="5"/>
    <x v="5"/>
    <n v="6504036416"/>
    <s v="2018-09-06"/>
    <x v="16"/>
    <s v="2018-09-07"/>
    <n v="1"/>
    <n v="1"/>
    <s v="2018-09-12"/>
    <n v="0"/>
    <s v="-"/>
    <n v="1"/>
    <n v="1"/>
    <n v="1"/>
    <n v="1"/>
    <n v="100"/>
    <n v="1"/>
    <n v="0"/>
    <n v="1"/>
    <n v="0"/>
    <n v="1"/>
    <n v="1"/>
    <s v="6504036416-"/>
    <n v="1"/>
  </r>
  <r>
    <n v="5"/>
    <x v="5"/>
    <n v="6504038023"/>
    <s v="2018-09-07"/>
    <x v="10"/>
    <s v="2018-09-10"/>
    <n v="1"/>
    <n v="1"/>
    <s v="2018-09-21"/>
    <n v="0"/>
    <s v="-"/>
    <n v="1"/>
    <n v="1"/>
    <n v="1"/>
    <n v="1"/>
    <n v="100"/>
    <n v="1"/>
    <n v="0"/>
    <n v="1"/>
    <n v="0"/>
    <n v="1"/>
    <n v="1"/>
    <s v="6504038023-"/>
    <n v="1"/>
  </r>
  <r>
    <n v="5"/>
    <x v="5"/>
    <n v="6504038092"/>
    <s v="2018-09-08"/>
    <x v="10"/>
    <s v="2018-09-10"/>
    <n v="1"/>
    <n v="1"/>
    <s v="2018-09-21"/>
    <n v="0"/>
    <s v="-"/>
    <n v="1"/>
    <n v="1"/>
    <n v="1"/>
    <n v="1"/>
    <n v="100"/>
    <n v="1"/>
    <n v="0"/>
    <n v="1"/>
    <n v="0"/>
    <n v="1"/>
    <n v="1"/>
    <s v="6504038092-"/>
    <n v="1"/>
  </r>
  <r>
    <n v="5"/>
    <x v="5"/>
    <n v="6504038311"/>
    <s v="2018-09-09"/>
    <x v="10"/>
    <s v="2018-09-10"/>
    <n v="1"/>
    <n v="1"/>
    <s v="2018-09-21"/>
    <n v="0"/>
    <s v="-"/>
    <n v="1"/>
    <n v="1"/>
    <n v="1"/>
    <n v="1"/>
    <n v="100"/>
    <n v="1"/>
    <n v="0"/>
    <n v="1"/>
    <n v="0"/>
    <n v="1"/>
    <n v="1"/>
    <s v="6504038311-"/>
    <n v="1"/>
  </r>
  <r>
    <n v="5"/>
    <x v="5"/>
    <n v="6504038326"/>
    <s v="2018-09-09"/>
    <x v="5"/>
    <s v="2018-09-10"/>
    <n v="1"/>
    <n v="1"/>
    <s v="2018-09-21"/>
    <n v="0"/>
    <s v="-"/>
    <n v="1"/>
    <n v="1"/>
    <n v="1"/>
    <n v="1"/>
    <n v="100"/>
    <n v="1"/>
    <n v="0"/>
    <n v="1"/>
    <n v="0"/>
    <n v="1"/>
    <n v="1"/>
    <s v="6504038326-"/>
    <n v="1"/>
  </r>
  <r>
    <n v="5"/>
    <x v="5"/>
    <n v="6504038365"/>
    <s v="2018-09-10"/>
    <x v="5"/>
    <s v="2018-09-10"/>
    <n v="1"/>
    <n v="1"/>
    <s v="2018-09-21"/>
    <n v="1"/>
    <s v="-"/>
    <n v="0"/>
    <n v="0"/>
    <n v="1"/>
    <n v="0"/>
    <n v="0"/>
    <n v="0"/>
    <n v="0"/>
    <n v="-1"/>
    <n v="2"/>
    <n v="1"/>
    <n v="0"/>
    <s v="6504038365-"/>
    <n v="0"/>
  </r>
  <r>
    <n v="5"/>
    <x v="5"/>
    <n v="6504040904"/>
    <s v="2018-09-10"/>
    <x v="5"/>
    <s v="2018-09-11"/>
    <n v="1"/>
    <n v="1"/>
    <s v="2018-09-21"/>
    <n v="0"/>
    <s v="-"/>
    <n v="1"/>
    <n v="1"/>
    <n v="1"/>
    <n v="1"/>
    <n v="100"/>
    <n v="1"/>
    <n v="0"/>
    <n v="1"/>
    <n v="0"/>
    <n v="1"/>
    <n v="1"/>
    <s v="6504040904-"/>
    <n v="1"/>
  </r>
  <r>
    <n v="5"/>
    <x v="5"/>
    <n v="6504042863"/>
    <s v="2018-09-11"/>
    <x v="5"/>
    <s v="2018-09-12"/>
    <n v="48"/>
    <n v="0"/>
    <s v="1900-01-01"/>
    <n v="0"/>
    <s v="-"/>
    <n v="0"/>
    <n v="0"/>
    <n v="0"/>
    <n v="0"/>
    <n v="0"/>
    <n v="0"/>
    <n v="0"/>
    <n v="0"/>
    <n v="48"/>
    <n v="1"/>
    <n v="0"/>
    <s v="6504042863-"/>
    <n v="0"/>
  </r>
  <r>
    <n v="5"/>
    <x v="5"/>
    <n v="6504044256"/>
    <s v="2018-09-12"/>
    <x v="5"/>
    <s v="2018-09-12"/>
    <n v="1"/>
    <n v="1"/>
    <s v="2018-09-21"/>
    <n v="1"/>
    <s v="-"/>
    <n v="0"/>
    <n v="0"/>
    <n v="1"/>
    <n v="0"/>
    <n v="0"/>
    <n v="0"/>
    <n v="0"/>
    <n v="-1"/>
    <n v="2"/>
    <n v="1"/>
    <n v="0"/>
    <s v="6504044256-"/>
    <n v="0"/>
  </r>
  <r>
    <n v="5"/>
    <x v="5"/>
    <n v="6504044309"/>
    <s v="2018-09-12"/>
    <x v="10"/>
    <s v="2018-09-12"/>
    <n v="87"/>
    <n v="79"/>
    <s v="2018-09-21"/>
    <n v="0"/>
    <s v="-"/>
    <n v="79"/>
    <n v="0"/>
    <n v="1"/>
    <n v="0"/>
    <n v="90.804597701149419"/>
    <n v="79"/>
    <n v="0"/>
    <n v="79"/>
    <n v="8"/>
    <n v="1"/>
    <n v="0"/>
    <s v="6504044309-"/>
    <n v="79"/>
  </r>
  <r>
    <n v="5"/>
    <x v="5"/>
    <n v="6504045677"/>
    <s v="2018-09-13"/>
    <x v="22"/>
    <s v="2018-09-14"/>
    <n v="330"/>
    <n v="330"/>
    <s v="2018-09-27"/>
    <n v="0"/>
    <s v="-"/>
    <n v="330"/>
    <n v="1"/>
    <n v="0"/>
    <n v="0"/>
    <n v="100"/>
    <n v="330"/>
    <n v="0"/>
    <n v="330"/>
    <n v="0"/>
    <n v="1"/>
    <n v="0"/>
    <s v="6504045677-"/>
    <n v="330"/>
  </r>
  <r>
    <n v="5"/>
    <x v="5"/>
    <n v="6504046574"/>
    <s v="2018-09-12"/>
    <x v="5"/>
    <s v="2018-09-13"/>
    <n v="1"/>
    <n v="1"/>
    <s v="2018-09-21"/>
    <n v="0"/>
    <s v="-"/>
    <n v="1"/>
    <n v="1"/>
    <n v="1"/>
    <n v="1"/>
    <n v="100"/>
    <n v="1"/>
    <n v="0"/>
    <n v="1"/>
    <n v="0"/>
    <n v="1"/>
    <n v="1"/>
    <s v="6504046574-"/>
    <n v="1"/>
  </r>
  <r>
    <n v="5"/>
    <x v="5"/>
    <n v="6504046575"/>
    <s v="2018-09-12"/>
    <x v="5"/>
    <s v="2018-09-13"/>
    <n v="1"/>
    <n v="1"/>
    <s v="2018-09-21"/>
    <n v="0"/>
    <s v="-"/>
    <n v="1"/>
    <n v="1"/>
    <n v="1"/>
    <n v="1"/>
    <n v="100"/>
    <n v="1"/>
    <n v="0"/>
    <n v="1"/>
    <n v="0"/>
    <n v="1"/>
    <n v="1"/>
    <s v="6504046575-"/>
    <n v="1"/>
  </r>
  <r>
    <n v="5"/>
    <x v="5"/>
    <n v="6504047237"/>
    <s v="2018-09-12"/>
    <x v="5"/>
    <s v="2018-09-13"/>
    <n v="1"/>
    <n v="1"/>
    <s v="2018-09-21"/>
    <n v="0"/>
    <s v="-"/>
    <n v="1"/>
    <n v="1"/>
    <n v="1"/>
    <n v="1"/>
    <n v="100"/>
    <n v="1"/>
    <n v="0"/>
    <n v="1"/>
    <n v="0"/>
    <n v="1"/>
    <n v="1"/>
    <s v="6504047237-"/>
    <n v="1"/>
  </r>
  <r>
    <n v="5"/>
    <x v="5"/>
    <n v="6504047313"/>
    <s v="2018-09-12"/>
    <x v="7"/>
    <s v="2018-09-13"/>
    <n v="12"/>
    <n v="0"/>
    <s v="1900-01-01"/>
    <n v="0"/>
    <s v="-"/>
    <n v="0"/>
    <n v="0"/>
    <n v="0"/>
    <n v="0"/>
    <n v="0"/>
    <n v="0"/>
    <n v="0"/>
    <n v="0"/>
    <n v="12"/>
    <n v="1"/>
    <n v="0"/>
    <s v="6504047313-"/>
    <n v="0"/>
  </r>
  <r>
    <n v="5"/>
    <x v="5"/>
    <n v="6504048568"/>
    <s v="2018-09-13"/>
    <x v="5"/>
    <s v="2018-09-14"/>
    <n v="1"/>
    <n v="1"/>
    <s v="2018-09-21"/>
    <n v="0"/>
    <s v="-"/>
    <n v="1"/>
    <n v="1"/>
    <n v="1"/>
    <n v="1"/>
    <n v="100"/>
    <n v="1"/>
    <n v="0"/>
    <n v="1"/>
    <n v="0"/>
    <n v="1"/>
    <n v="1"/>
    <s v="6504048568-"/>
    <n v="1"/>
  </r>
  <r>
    <n v="5"/>
    <x v="5"/>
    <n v="6504049872"/>
    <s v="2018-09-15"/>
    <x v="5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49872-"/>
    <n v="1"/>
  </r>
  <r>
    <n v="5"/>
    <x v="5"/>
    <n v="6504049925"/>
    <s v="2018-09-14"/>
    <x v="5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49925-"/>
    <n v="1"/>
  </r>
  <r>
    <n v="5"/>
    <x v="5"/>
    <n v="6504049936"/>
    <s v="2018-09-14"/>
    <x v="5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49936-"/>
    <n v="1"/>
  </r>
  <r>
    <n v="5"/>
    <x v="5"/>
    <n v="6504049944"/>
    <s v="2018-09-14"/>
    <x v="5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49944-"/>
    <n v="1"/>
  </r>
  <r>
    <n v="5"/>
    <x v="5"/>
    <n v="6504050671"/>
    <s v="2018-09-15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0671-"/>
    <n v="1"/>
  </r>
  <r>
    <n v="5"/>
    <x v="5"/>
    <n v="6504050678"/>
    <s v="2018-09-15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0678-"/>
    <n v="1"/>
  </r>
  <r>
    <n v="5"/>
    <x v="5"/>
    <n v="6504050686"/>
    <s v="2018-09-15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0686-"/>
    <n v="1"/>
  </r>
  <r>
    <n v="5"/>
    <x v="5"/>
    <n v="6504050754"/>
    <s v="2018-09-17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0754-"/>
    <n v="1"/>
  </r>
  <r>
    <n v="5"/>
    <x v="5"/>
    <n v="6504050775"/>
    <s v="2018-09-17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0775-"/>
    <n v="1"/>
  </r>
  <r>
    <n v="5"/>
    <x v="5"/>
    <n v="6504050782"/>
    <s v="2018-09-17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0782-"/>
    <n v="1"/>
  </r>
  <r>
    <n v="5"/>
    <x v="5"/>
    <n v="6504054469"/>
    <s v="2018-09-18"/>
    <x v="22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6504054469-"/>
    <n v="1"/>
  </r>
  <r>
    <n v="5"/>
    <x v="5"/>
    <n v="6504056267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6504056267-"/>
    <n v="1"/>
  </r>
  <r>
    <n v="5"/>
    <x v="5"/>
    <n v="6504056282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6504056282-"/>
    <n v="1"/>
  </r>
  <r>
    <n v="6"/>
    <x v="6"/>
    <n v="930455"/>
    <s v="2018-08-13"/>
    <x v="12"/>
    <s v="2018-08-20"/>
    <n v="3"/>
    <n v="0"/>
    <s v="1900-01-01"/>
    <n v="0"/>
    <s v="-"/>
    <n v="0"/>
    <n v="0"/>
    <n v="0"/>
    <n v="0"/>
    <n v="0"/>
    <n v="0"/>
    <n v="0"/>
    <n v="0"/>
    <n v="3"/>
    <n v="1"/>
    <n v="0"/>
    <s v="930455-"/>
    <n v="0"/>
  </r>
  <r>
    <n v="6"/>
    <x v="6"/>
    <n v="935237"/>
    <s v="2018-08-17"/>
    <x v="14"/>
    <s v="2018-08-20"/>
    <n v="7"/>
    <n v="0"/>
    <s v="1900-01-01"/>
    <n v="0"/>
    <s v="-"/>
    <n v="0"/>
    <n v="0"/>
    <n v="0"/>
    <n v="0"/>
    <n v="0"/>
    <n v="0"/>
    <n v="0"/>
    <n v="0"/>
    <n v="7"/>
    <n v="1"/>
    <n v="0"/>
    <s v="935237-"/>
    <n v="0"/>
  </r>
  <r>
    <n v="6"/>
    <x v="6"/>
    <n v="936427"/>
    <s v="2018-08-18"/>
    <x v="1"/>
    <s v="2018-08-20"/>
    <n v="1"/>
    <n v="1"/>
    <s v="2018-09-03"/>
    <n v="0"/>
    <s v="-"/>
    <n v="1"/>
    <n v="1"/>
    <n v="1"/>
    <n v="1"/>
    <n v="100"/>
    <n v="1"/>
    <n v="0"/>
    <n v="1"/>
    <n v="0"/>
    <n v="1"/>
    <n v="1"/>
    <s v="936427-"/>
    <n v="1"/>
  </r>
  <r>
    <n v="6"/>
    <x v="6"/>
    <n v="937969"/>
    <s v="2018-08-20"/>
    <x v="0"/>
    <s v="2018-08-21"/>
    <n v="2"/>
    <n v="0"/>
    <s v="1900-01-01"/>
    <n v="0"/>
    <s v="-"/>
    <n v="0"/>
    <n v="0"/>
    <n v="0"/>
    <n v="0"/>
    <n v="0"/>
    <n v="0"/>
    <n v="0"/>
    <n v="0"/>
    <n v="2"/>
    <n v="1"/>
    <n v="0"/>
    <s v="937969-"/>
    <n v="0"/>
  </r>
  <r>
    <n v="6"/>
    <x v="6"/>
    <n v="938585"/>
    <s v="2018-08-20"/>
    <x v="13"/>
    <s v="2018-08-21"/>
    <n v="1"/>
    <n v="1"/>
    <s v="2018-08-30"/>
    <n v="0"/>
    <s v="-"/>
    <n v="1"/>
    <n v="1"/>
    <n v="1"/>
    <n v="1"/>
    <n v="100"/>
    <n v="1"/>
    <n v="0"/>
    <n v="1"/>
    <n v="0"/>
    <n v="1"/>
    <n v="1"/>
    <s v="938585-"/>
    <n v="1"/>
  </r>
  <r>
    <n v="6"/>
    <x v="6"/>
    <n v="938696"/>
    <s v="2018-08-20"/>
    <x v="17"/>
    <s v="2018-08-21"/>
    <n v="1"/>
    <n v="1"/>
    <s v="2018-08-28"/>
    <n v="0"/>
    <s v="-"/>
    <n v="1"/>
    <n v="1"/>
    <n v="1"/>
    <n v="1"/>
    <n v="100"/>
    <n v="1"/>
    <n v="0"/>
    <n v="1"/>
    <n v="0"/>
    <n v="1"/>
    <n v="1"/>
    <s v="938696-"/>
    <n v="1"/>
  </r>
  <r>
    <n v="6"/>
    <x v="6"/>
    <n v="940140"/>
    <s v="2018-08-22"/>
    <x v="12"/>
    <s v="2018-08-22"/>
    <n v="1"/>
    <n v="1"/>
    <s v="2018-08-23"/>
    <n v="0"/>
    <s v="-"/>
    <n v="1"/>
    <n v="1"/>
    <n v="1"/>
    <n v="1"/>
    <n v="100"/>
    <n v="1"/>
    <n v="0"/>
    <n v="1"/>
    <n v="0"/>
    <n v="1"/>
    <n v="1"/>
    <s v="940140-"/>
    <n v="1"/>
  </r>
  <r>
    <n v="6"/>
    <x v="6"/>
    <n v="940670"/>
    <s v="2018-08-22"/>
    <x v="17"/>
    <s v="2018-08-23"/>
    <n v="1"/>
    <n v="1"/>
    <s v="2018-08-28"/>
    <n v="0"/>
    <s v="-"/>
    <n v="1"/>
    <n v="1"/>
    <n v="1"/>
    <n v="1"/>
    <n v="100"/>
    <n v="1"/>
    <n v="0"/>
    <n v="1"/>
    <n v="0"/>
    <n v="1"/>
    <n v="1"/>
    <s v="940670-"/>
    <n v="1"/>
  </r>
  <r>
    <n v="6"/>
    <x v="6"/>
    <n v="940958"/>
    <s v="2018-08-22"/>
    <x v="2"/>
    <s v="2018-08-23"/>
    <n v="1"/>
    <n v="1"/>
    <s v="2018-08-28"/>
    <n v="0"/>
    <s v="-"/>
    <n v="1"/>
    <n v="1"/>
    <n v="1"/>
    <n v="1"/>
    <n v="100"/>
    <n v="1"/>
    <n v="0"/>
    <n v="1"/>
    <n v="0"/>
    <n v="1"/>
    <n v="1"/>
    <s v="940958-"/>
    <n v="1"/>
  </r>
  <r>
    <n v="6"/>
    <x v="6"/>
    <n v="941708"/>
    <s v="2018-08-23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1708-"/>
    <n v="1"/>
  </r>
  <r>
    <n v="6"/>
    <x v="6"/>
    <n v="941962"/>
    <s v="2018-08-23"/>
    <x v="17"/>
    <s v="2018-08-24"/>
    <n v="1"/>
    <n v="1"/>
    <s v="2018-08-28"/>
    <n v="0"/>
    <s v="-"/>
    <n v="1"/>
    <n v="1"/>
    <n v="1"/>
    <n v="1"/>
    <n v="100"/>
    <n v="1"/>
    <n v="0"/>
    <n v="1"/>
    <n v="0"/>
    <n v="1"/>
    <n v="1"/>
    <s v="941962-"/>
    <n v="1"/>
  </r>
  <r>
    <n v="6"/>
    <x v="6"/>
    <n v="942065"/>
    <s v="2018-08-24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2065-"/>
    <n v="1"/>
  </r>
  <r>
    <n v="6"/>
    <x v="6"/>
    <n v="942253"/>
    <s v="2018-08-24"/>
    <x v="18"/>
    <s v="2018-08-27"/>
    <n v="1"/>
    <n v="1"/>
    <s v="2018-09-05"/>
    <n v="0"/>
    <s v="-"/>
    <n v="1"/>
    <n v="1"/>
    <n v="1"/>
    <n v="1"/>
    <n v="100"/>
    <n v="1"/>
    <n v="0"/>
    <n v="1"/>
    <n v="0"/>
    <n v="1"/>
    <n v="1"/>
    <s v="942253-"/>
    <n v="1"/>
  </r>
  <r>
    <n v="6"/>
    <x v="6"/>
    <n v="942615"/>
    <s v="2018-08-24"/>
    <x v="14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2615-"/>
    <n v="1"/>
  </r>
  <r>
    <n v="6"/>
    <x v="6"/>
    <n v="942674"/>
    <s v="2018-08-24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2674-"/>
    <n v="1"/>
  </r>
  <r>
    <n v="6"/>
    <x v="6"/>
    <n v="943115"/>
    <s v="2018-08-25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3115-"/>
    <n v="1"/>
  </r>
  <r>
    <n v="6"/>
    <x v="6"/>
    <n v="943143"/>
    <s v="2018-08-25"/>
    <x v="18"/>
    <s v="2018-08-27"/>
    <n v="4"/>
    <n v="4"/>
    <s v="2018-09-05"/>
    <n v="0"/>
    <s v="-"/>
    <n v="4"/>
    <n v="1"/>
    <n v="1"/>
    <n v="1"/>
    <n v="100"/>
    <n v="4"/>
    <n v="0"/>
    <n v="4"/>
    <n v="0"/>
    <n v="1"/>
    <n v="1"/>
    <s v="943143-"/>
    <n v="4"/>
  </r>
  <r>
    <n v="6"/>
    <x v="6"/>
    <n v="943150"/>
    <s v="2018-08-25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3150-"/>
    <n v="1"/>
  </r>
  <r>
    <n v="6"/>
    <x v="6"/>
    <n v="943928"/>
    <s v="2018-08-26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3928-"/>
    <n v="1"/>
  </r>
  <r>
    <n v="6"/>
    <x v="6"/>
    <n v="944181"/>
    <s v="2018-08-26"/>
    <x v="13"/>
    <s v="2018-08-27"/>
    <n v="2"/>
    <n v="2"/>
    <s v="2018-08-30"/>
    <n v="0"/>
    <s v="-"/>
    <n v="2"/>
    <n v="1"/>
    <n v="1"/>
    <n v="1"/>
    <n v="100"/>
    <n v="2"/>
    <n v="0"/>
    <n v="2"/>
    <n v="0"/>
    <n v="1"/>
    <n v="1"/>
    <s v="944181-"/>
    <n v="2"/>
  </r>
  <r>
    <n v="6"/>
    <x v="6"/>
    <n v="944319"/>
    <s v="2018-08-26"/>
    <x v="18"/>
    <s v="2018-08-27"/>
    <n v="1"/>
    <n v="1"/>
    <s v="2018-09-05"/>
    <n v="0"/>
    <s v="-"/>
    <n v="1"/>
    <n v="1"/>
    <n v="1"/>
    <n v="1"/>
    <n v="100"/>
    <n v="1"/>
    <n v="0"/>
    <n v="1"/>
    <n v="0"/>
    <n v="1"/>
    <n v="1"/>
    <s v="944319-"/>
    <n v="1"/>
  </r>
  <r>
    <n v="6"/>
    <x v="6"/>
    <n v="944649"/>
    <s v="2018-08-26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4649-"/>
    <n v="1"/>
  </r>
  <r>
    <n v="6"/>
    <x v="6"/>
    <n v="944705"/>
    <s v="2018-08-26"/>
    <x v="0"/>
    <s v="2018-08-27"/>
    <n v="1"/>
    <n v="1"/>
    <s v="2018-09-03"/>
    <n v="0"/>
    <s v="-"/>
    <n v="1"/>
    <n v="1"/>
    <n v="1"/>
    <n v="1"/>
    <n v="100"/>
    <n v="1"/>
    <n v="0"/>
    <n v="1"/>
    <n v="0"/>
    <n v="1"/>
    <n v="1"/>
    <s v="944705-"/>
    <n v="1"/>
  </r>
  <r>
    <n v="6"/>
    <x v="6"/>
    <n v="944882"/>
    <s v="2018-08-27"/>
    <x v="0"/>
    <s v="2018-08-27"/>
    <n v="1"/>
    <n v="1"/>
    <s v="2018-09-03"/>
    <n v="0"/>
    <s v="-"/>
    <n v="1"/>
    <n v="1"/>
    <n v="1"/>
    <n v="1"/>
    <n v="100"/>
    <n v="1"/>
    <n v="0"/>
    <n v="1"/>
    <n v="0"/>
    <n v="1"/>
    <n v="1"/>
    <s v="944882-"/>
    <n v="1"/>
  </r>
  <r>
    <n v="6"/>
    <x v="6"/>
    <n v="944883"/>
    <s v="2018-08-27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4883-"/>
    <n v="1"/>
  </r>
  <r>
    <n v="6"/>
    <x v="6"/>
    <n v="944887"/>
    <s v="2018-08-27"/>
    <x v="13"/>
    <s v="2018-08-27"/>
    <n v="1"/>
    <n v="1"/>
    <s v="2018-08-30"/>
    <n v="0"/>
    <s v="-"/>
    <n v="1"/>
    <n v="1"/>
    <n v="1"/>
    <n v="1"/>
    <n v="100"/>
    <n v="1"/>
    <n v="0"/>
    <n v="1"/>
    <n v="0"/>
    <n v="1"/>
    <n v="1"/>
    <s v="944887-"/>
    <n v="1"/>
  </r>
  <r>
    <n v="6"/>
    <x v="6"/>
    <n v="944980"/>
    <s v="2018-08-27"/>
    <x v="9"/>
    <s v="2018-08-27"/>
    <n v="2"/>
    <n v="0"/>
    <s v="1900-01-01"/>
    <n v="0"/>
    <s v="-"/>
    <n v="0"/>
    <n v="0"/>
    <n v="0"/>
    <n v="0"/>
    <n v="0"/>
    <n v="0"/>
    <n v="0"/>
    <n v="0"/>
    <n v="2"/>
    <n v="1"/>
    <n v="0"/>
    <s v="944980-"/>
    <n v="0"/>
  </r>
  <r>
    <n v="6"/>
    <x v="6"/>
    <n v="945141"/>
    <s v="2018-08-27"/>
    <x v="14"/>
    <s v="2018-08-28"/>
    <n v="1"/>
    <n v="1"/>
    <s v="2018-08-30"/>
    <n v="0"/>
    <s v="-"/>
    <n v="1"/>
    <n v="1"/>
    <n v="1"/>
    <n v="1"/>
    <n v="100"/>
    <n v="1"/>
    <n v="0"/>
    <n v="1"/>
    <n v="0"/>
    <n v="1"/>
    <n v="1"/>
    <s v="945141-"/>
    <n v="1"/>
  </r>
  <r>
    <n v="6"/>
    <x v="6"/>
    <n v="945696"/>
    <s v="2018-08-27"/>
    <x v="14"/>
    <s v="2018-08-28"/>
    <n v="1"/>
    <n v="1"/>
    <s v="2018-08-30"/>
    <n v="0"/>
    <s v="-"/>
    <n v="1"/>
    <n v="1"/>
    <n v="1"/>
    <n v="1"/>
    <n v="100"/>
    <n v="1"/>
    <n v="0"/>
    <n v="1"/>
    <n v="0"/>
    <n v="1"/>
    <n v="1"/>
    <s v="945696-"/>
    <n v="1"/>
  </r>
  <r>
    <n v="6"/>
    <x v="6"/>
    <n v="946014"/>
    <s v="2018-08-27"/>
    <x v="14"/>
    <s v="2018-08-28"/>
    <n v="2"/>
    <n v="2"/>
    <s v="2018-08-30"/>
    <n v="0"/>
    <s v="-"/>
    <n v="2"/>
    <n v="1"/>
    <n v="1"/>
    <n v="1"/>
    <n v="100"/>
    <n v="2"/>
    <n v="0"/>
    <n v="2"/>
    <n v="0"/>
    <n v="1"/>
    <n v="1"/>
    <s v="946014-"/>
    <n v="2"/>
  </r>
  <r>
    <n v="6"/>
    <x v="6"/>
    <n v="946126"/>
    <s v="2018-08-28"/>
    <x v="14"/>
    <s v="2018-08-28"/>
    <n v="1"/>
    <n v="1"/>
    <s v="2018-08-30"/>
    <n v="0"/>
    <s v="-"/>
    <n v="1"/>
    <n v="1"/>
    <n v="1"/>
    <n v="1"/>
    <n v="100"/>
    <n v="1"/>
    <n v="0"/>
    <n v="1"/>
    <n v="0"/>
    <n v="1"/>
    <n v="1"/>
    <s v="946126-"/>
    <n v="1"/>
  </r>
  <r>
    <n v="6"/>
    <x v="6"/>
    <n v="946227"/>
    <s v="2018-08-28"/>
    <x v="3"/>
    <s v="2018-08-30"/>
    <n v="5"/>
    <n v="5"/>
    <s v="2018-09-07"/>
    <n v="0"/>
    <s v="-"/>
    <n v="5"/>
    <n v="1"/>
    <n v="1"/>
    <n v="1"/>
    <n v="100"/>
    <n v="5"/>
    <n v="0"/>
    <n v="5"/>
    <n v="0"/>
    <n v="1"/>
    <n v="1"/>
    <s v="946227-"/>
    <n v="5"/>
  </r>
  <r>
    <n v="6"/>
    <x v="6"/>
    <n v="947156"/>
    <s v="2018-08-28"/>
    <x v="0"/>
    <s v="2018-08-29"/>
    <n v="1"/>
    <n v="1"/>
    <s v="2018-09-03"/>
    <n v="0"/>
    <s v="-"/>
    <n v="1"/>
    <n v="1"/>
    <n v="1"/>
    <n v="1"/>
    <n v="100"/>
    <n v="1"/>
    <n v="0"/>
    <n v="1"/>
    <n v="0"/>
    <n v="1"/>
    <n v="1"/>
    <s v="947156-"/>
    <n v="1"/>
  </r>
  <r>
    <n v="6"/>
    <x v="6"/>
    <n v="947429"/>
    <s v="2018-08-29"/>
    <x v="1"/>
    <s v="2018-08-30"/>
    <n v="1"/>
    <n v="1"/>
    <s v="2018-09-03"/>
    <n v="0"/>
    <s v="-"/>
    <n v="1"/>
    <n v="1"/>
    <n v="1"/>
    <n v="1"/>
    <n v="100"/>
    <n v="1"/>
    <n v="0"/>
    <n v="1"/>
    <n v="0"/>
    <n v="1"/>
    <n v="1"/>
    <s v="947429-"/>
    <n v="1"/>
  </r>
  <r>
    <n v="6"/>
    <x v="6"/>
    <n v="947643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47643-"/>
    <n v="1"/>
  </r>
  <r>
    <n v="6"/>
    <x v="6"/>
    <n v="947872"/>
    <s v="2018-08-29"/>
    <x v="18"/>
    <s v="2018-08-30"/>
    <n v="1"/>
    <n v="1"/>
    <s v="2018-09-05"/>
    <n v="0"/>
    <s v="-"/>
    <n v="1"/>
    <n v="1"/>
    <n v="1"/>
    <n v="1"/>
    <n v="100"/>
    <n v="1"/>
    <n v="0"/>
    <n v="1"/>
    <n v="0"/>
    <n v="1"/>
    <n v="1"/>
    <s v="947872-"/>
    <n v="1"/>
  </r>
  <r>
    <n v="6"/>
    <x v="6"/>
    <n v="947896"/>
    <s v="2018-08-29"/>
    <x v="15"/>
    <s v="2018-08-30"/>
    <n v="2"/>
    <n v="2"/>
    <s v="2018-09-05"/>
    <n v="0"/>
    <s v="-"/>
    <n v="2"/>
    <n v="1"/>
    <n v="1"/>
    <n v="1"/>
    <n v="100"/>
    <n v="2"/>
    <n v="0"/>
    <n v="2"/>
    <n v="0"/>
    <n v="1"/>
    <n v="1"/>
    <s v="947896-"/>
    <n v="2"/>
  </r>
  <r>
    <n v="6"/>
    <x v="6"/>
    <n v="948365"/>
    <s v="2018-08-29"/>
    <x v="1"/>
    <s v="2018-08-30"/>
    <n v="1"/>
    <n v="1"/>
    <s v="2018-09-03"/>
    <n v="0"/>
    <s v="-"/>
    <n v="1"/>
    <n v="1"/>
    <n v="1"/>
    <n v="1"/>
    <n v="100"/>
    <n v="1"/>
    <n v="0"/>
    <n v="1"/>
    <n v="0"/>
    <n v="1"/>
    <n v="1"/>
    <s v="948365-"/>
    <n v="1"/>
  </r>
  <r>
    <n v="6"/>
    <x v="6"/>
    <n v="949101"/>
    <s v="2018-08-30"/>
    <x v="8"/>
    <s v="2018-08-31"/>
    <n v="1"/>
    <n v="1"/>
    <s v="2018-09-07"/>
    <n v="0"/>
    <s v="-"/>
    <n v="1"/>
    <n v="1"/>
    <n v="1"/>
    <n v="1"/>
    <n v="100"/>
    <n v="1"/>
    <n v="0"/>
    <n v="1"/>
    <n v="0"/>
    <n v="1"/>
    <n v="1"/>
    <s v="949101-"/>
    <n v="1"/>
  </r>
  <r>
    <n v="6"/>
    <x v="6"/>
    <n v="949118"/>
    <s v="2018-08-30"/>
    <x v="18"/>
    <s v="2018-08-31"/>
    <n v="1"/>
    <n v="1"/>
    <s v="2018-09-05"/>
    <n v="0"/>
    <s v="-"/>
    <n v="1"/>
    <n v="1"/>
    <n v="1"/>
    <n v="1"/>
    <n v="100"/>
    <n v="1"/>
    <n v="0"/>
    <n v="1"/>
    <n v="0"/>
    <n v="1"/>
    <n v="1"/>
    <s v="949118-"/>
    <n v="1"/>
  </r>
  <r>
    <n v="6"/>
    <x v="6"/>
    <n v="949225"/>
    <s v="2018-08-30"/>
    <x v="18"/>
    <s v="2018-08-31"/>
    <n v="1"/>
    <n v="1"/>
    <s v="2018-09-05"/>
    <n v="0"/>
    <s v="-"/>
    <n v="1"/>
    <n v="1"/>
    <n v="1"/>
    <n v="1"/>
    <n v="100"/>
    <n v="1"/>
    <n v="0"/>
    <n v="1"/>
    <n v="0"/>
    <n v="1"/>
    <n v="1"/>
    <s v="949225-"/>
    <n v="1"/>
  </r>
  <r>
    <n v="6"/>
    <x v="6"/>
    <n v="950343"/>
    <s v="2018-08-31"/>
    <x v="11"/>
    <s v="2018-09-03"/>
    <n v="1"/>
    <n v="1"/>
    <s v="2018-09-13"/>
    <n v="0"/>
    <s v="-"/>
    <n v="1"/>
    <n v="1"/>
    <n v="1"/>
    <n v="1"/>
    <n v="100"/>
    <n v="1"/>
    <n v="0"/>
    <n v="1"/>
    <n v="0"/>
    <n v="1"/>
    <n v="1"/>
    <s v="950343-"/>
    <n v="1"/>
  </r>
  <r>
    <n v="6"/>
    <x v="6"/>
    <n v="950345"/>
    <s v="2018-08-31"/>
    <x v="8"/>
    <s v="2018-09-03"/>
    <n v="1"/>
    <n v="1"/>
    <s v="2018-09-07"/>
    <n v="0"/>
    <s v="-"/>
    <n v="1"/>
    <n v="1"/>
    <n v="1"/>
    <n v="1"/>
    <n v="100"/>
    <n v="1"/>
    <n v="0"/>
    <n v="1"/>
    <n v="0"/>
    <n v="1"/>
    <n v="1"/>
    <s v="950345-"/>
    <n v="1"/>
  </r>
  <r>
    <n v="6"/>
    <x v="6"/>
    <n v="950423"/>
    <s v="2018-08-31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0423-"/>
    <n v="1"/>
  </r>
  <r>
    <n v="6"/>
    <x v="6"/>
    <n v="950838"/>
    <s v="2018-08-31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0838-"/>
    <n v="1"/>
  </r>
  <r>
    <n v="6"/>
    <x v="6"/>
    <n v="950888"/>
    <s v="2018-08-31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0888-"/>
    <n v="1"/>
  </r>
  <r>
    <n v="6"/>
    <x v="6"/>
    <n v="951359"/>
    <s v="2018-09-01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1359-"/>
    <n v="1"/>
  </r>
  <r>
    <n v="6"/>
    <x v="6"/>
    <n v="951492"/>
    <s v="2018-09-01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1492-"/>
    <n v="1"/>
  </r>
  <r>
    <n v="6"/>
    <x v="6"/>
    <n v="951564"/>
    <s v="2018-09-01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1564-"/>
    <n v="1"/>
  </r>
  <r>
    <n v="6"/>
    <x v="6"/>
    <n v="951973"/>
    <s v="2018-09-01"/>
    <x v="8"/>
    <s v="2018-09-03"/>
    <n v="1"/>
    <n v="1"/>
    <s v="2018-09-07"/>
    <n v="0"/>
    <s v="-"/>
    <n v="1"/>
    <n v="1"/>
    <n v="1"/>
    <n v="1"/>
    <n v="100"/>
    <n v="1"/>
    <n v="0"/>
    <n v="1"/>
    <n v="0"/>
    <n v="1"/>
    <n v="1"/>
    <s v="951973-"/>
    <n v="1"/>
  </r>
  <r>
    <n v="6"/>
    <x v="6"/>
    <n v="952354"/>
    <s v="2018-09-02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2354-"/>
    <n v="1"/>
  </r>
  <r>
    <n v="6"/>
    <x v="6"/>
    <n v="952523"/>
    <s v="2018-09-02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2523-"/>
    <n v="1"/>
  </r>
  <r>
    <n v="6"/>
    <x v="6"/>
    <n v="952574"/>
    <s v="2018-09-02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2574-"/>
    <n v="1"/>
  </r>
  <r>
    <n v="6"/>
    <x v="6"/>
    <n v="952688"/>
    <s v="2018-09-02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2688-"/>
    <n v="1"/>
  </r>
  <r>
    <n v="6"/>
    <x v="6"/>
    <n v="953134"/>
    <s v="2018-09-03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3134-"/>
    <n v="1"/>
  </r>
  <r>
    <n v="6"/>
    <x v="6"/>
    <n v="953168"/>
    <s v="2018-09-03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3168-"/>
    <n v="1"/>
  </r>
  <r>
    <n v="6"/>
    <x v="6"/>
    <n v="953170"/>
    <s v="2018-09-03"/>
    <x v="15"/>
    <s v="2018-09-03"/>
    <n v="1"/>
    <n v="1"/>
    <s v="2018-09-05"/>
    <n v="0"/>
    <s v="-"/>
    <n v="1"/>
    <n v="1"/>
    <n v="1"/>
    <n v="1"/>
    <n v="100"/>
    <n v="1"/>
    <n v="0"/>
    <n v="1"/>
    <n v="0"/>
    <n v="1"/>
    <n v="1"/>
    <s v="953170-"/>
    <n v="1"/>
  </r>
  <r>
    <n v="6"/>
    <x v="6"/>
    <n v="953321"/>
    <s v="2018-09-03"/>
    <x v="23"/>
    <s v="2018-09-04"/>
    <n v="1"/>
    <n v="1"/>
    <s v="2018-09-13"/>
    <n v="0"/>
    <s v="-"/>
    <n v="1"/>
    <n v="1"/>
    <n v="1"/>
    <n v="1"/>
    <n v="100"/>
    <n v="1"/>
    <n v="0"/>
    <n v="1"/>
    <n v="0"/>
    <n v="1"/>
    <n v="1"/>
    <s v="953321-"/>
    <n v="1"/>
  </r>
  <r>
    <n v="6"/>
    <x v="6"/>
    <n v="953988"/>
    <s v="2018-09-03"/>
    <x v="8"/>
    <s v="2018-09-04"/>
    <n v="1"/>
    <n v="1"/>
    <s v="2018-09-07"/>
    <n v="0"/>
    <s v="-"/>
    <n v="1"/>
    <n v="1"/>
    <n v="1"/>
    <n v="1"/>
    <n v="100"/>
    <n v="1"/>
    <n v="0"/>
    <n v="1"/>
    <n v="0"/>
    <n v="1"/>
    <n v="1"/>
    <s v="953988-"/>
    <n v="1"/>
  </r>
  <r>
    <n v="6"/>
    <x v="6"/>
    <n v="954516"/>
    <s v="2018-09-04"/>
    <x v="8"/>
    <s v="2018-09-05"/>
    <n v="1"/>
    <n v="1"/>
    <s v="2018-09-07"/>
    <n v="0"/>
    <s v="-"/>
    <n v="1"/>
    <n v="1"/>
    <n v="1"/>
    <n v="1"/>
    <n v="100"/>
    <n v="1"/>
    <n v="0"/>
    <n v="1"/>
    <n v="0"/>
    <n v="1"/>
    <n v="1"/>
    <s v="954516-"/>
    <n v="1"/>
  </r>
  <r>
    <n v="6"/>
    <x v="6"/>
    <n v="954593"/>
    <s v="2018-09-04"/>
    <x v="8"/>
    <s v="2018-09-05"/>
    <n v="1"/>
    <n v="1"/>
    <s v="2018-09-07"/>
    <n v="0"/>
    <s v="-"/>
    <n v="1"/>
    <n v="1"/>
    <n v="1"/>
    <n v="1"/>
    <n v="100"/>
    <n v="1"/>
    <n v="0"/>
    <n v="1"/>
    <n v="0"/>
    <n v="1"/>
    <n v="1"/>
    <s v="954593-"/>
    <n v="1"/>
  </r>
  <r>
    <n v="6"/>
    <x v="6"/>
    <n v="954630"/>
    <s v="2018-09-04"/>
    <x v="9"/>
    <s v="2018-09-05"/>
    <n v="1"/>
    <n v="1"/>
    <s v="2018-09-07"/>
    <n v="0"/>
    <s v="-"/>
    <n v="1"/>
    <n v="1"/>
    <n v="1"/>
    <n v="1"/>
    <n v="100"/>
    <n v="1"/>
    <n v="0"/>
    <n v="1"/>
    <n v="0"/>
    <n v="1"/>
    <n v="1"/>
    <s v="954630-"/>
    <n v="1"/>
  </r>
  <r>
    <n v="6"/>
    <x v="6"/>
    <n v="955136"/>
    <s v="2018-09-04"/>
    <x v="3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955136-"/>
    <n v="1"/>
  </r>
  <r>
    <n v="6"/>
    <x v="6"/>
    <n v="955843"/>
    <s v="2018-09-05"/>
    <x v="16"/>
    <s v="2018-09-06"/>
    <n v="1"/>
    <n v="1"/>
    <s v="2018-09-11"/>
    <n v="0"/>
    <s v="-"/>
    <n v="1"/>
    <n v="1"/>
    <n v="1"/>
    <n v="1"/>
    <n v="100"/>
    <n v="1"/>
    <n v="0"/>
    <n v="1"/>
    <n v="0"/>
    <n v="1"/>
    <n v="1"/>
    <s v="955843-"/>
    <n v="1"/>
  </r>
  <r>
    <n v="6"/>
    <x v="6"/>
    <n v="955941"/>
    <s v="2018-09-05"/>
    <x v="16"/>
    <s v="2018-09-06"/>
    <n v="1"/>
    <n v="1"/>
    <s v="2018-09-11"/>
    <n v="0"/>
    <s v="-"/>
    <n v="1"/>
    <n v="1"/>
    <n v="1"/>
    <n v="1"/>
    <n v="100"/>
    <n v="1"/>
    <n v="0"/>
    <n v="1"/>
    <n v="0"/>
    <n v="1"/>
    <n v="1"/>
    <s v="955941-"/>
    <n v="1"/>
  </r>
  <r>
    <n v="6"/>
    <x v="6"/>
    <n v="956197"/>
    <s v="2018-09-05"/>
    <x v="20"/>
    <s v="2018-09-06"/>
    <n v="1"/>
    <n v="1"/>
    <s v="2018-09-13"/>
    <n v="0"/>
    <s v="-"/>
    <n v="1"/>
    <n v="1"/>
    <n v="1"/>
    <n v="1"/>
    <n v="100"/>
    <n v="1"/>
    <n v="0"/>
    <n v="1"/>
    <n v="0"/>
    <n v="1"/>
    <n v="1"/>
    <s v="956197-"/>
    <n v="1"/>
  </r>
  <r>
    <n v="6"/>
    <x v="6"/>
    <n v="956259"/>
    <s v="2018-09-05"/>
    <x v="16"/>
    <s v="2018-09-06"/>
    <n v="1"/>
    <n v="1"/>
    <s v="2018-09-11"/>
    <n v="0"/>
    <s v="-"/>
    <n v="1"/>
    <n v="1"/>
    <n v="1"/>
    <n v="1"/>
    <n v="100"/>
    <n v="1"/>
    <n v="0"/>
    <n v="1"/>
    <n v="0"/>
    <n v="1"/>
    <n v="1"/>
    <s v="956259-"/>
    <n v="1"/>
  </r>
  <r>
    <n v="6"/>
    <x v="6"/>
    <n v="957132"/>
    <s v="2018-09-06"/>
    <x v="11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957132-"/>
    <n v="1"/>
  </r>
  <r>
    <n v="6"/>
    <x v="6"/>
    <n v="957134"/>
    <s v="2018-09-06"/>
    <x v="3"/>
    <s v="2018-09-07"/>
    <n v="1"/>
    <n v="1"/>
    <s v="2018-09-11"/>
    <n v="0"/>
    <s v="-"/>
    <n v="1"/>
    <n v="1"/>
    <n v="1"/>
    <n v="1"/>
    <n v="100"/>
    <n v="1"/>
    <n v="0"/>
    <n v="1"/>
    <n v="0"/>
    <n v="1"/>
    <n v="1"/>
    <s v="957134-"/>
    <n v="1"/>
  </r>
  <r>
    <n v="6"/>
    <x v="6"/>
    <n v="957386"/>
    <s v="2018-09-06"/>
    <x v="20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957386-"/>
    <n v="1"/>
  </r>
  <r>
    <n v="6"/>
    <x v="6"/>
    <n v="957807"/>
    <s v="2018-09-06"/>
    <x v="16"/>
    <s v="2018-09-07"/>
    <n v="1"/>
    <n v="1"/>
    <s v="2018-09-11"/>
    <n v="0"/>
    <s v="-"/>
    <n v="1"/>
    <n v="1"/>
    <n v="1"/>
    <n v="1"/>
    <n v="100"/>
    <n v="1"/>
    <n v="0"/>
    <n v="1"/>
    <n v="0"/>
    <n v="1"/>
    <n v="1"/>
    <s v="957807-"/>
    <n v="1"/>
  </r>
  <r>
    <n v="6"/>
    <x v="6"/>
    <n v="957894"/>
    <s v="2018-09-06"/>
    <x v="16"/>
    <s v="2018-09-07"/>
    <n v="1"/>
    <n v="1"/>
    <s v="2018-09-11"/>
    <n v="0"/>
    <s v="-"/>
    <n v="1"/>
    <n v="1"/>
    <n v="1"/>
    <n v="1"/>
    <n v="100"/>
    <n v="1"/>
    <n v="0"/>
    <n v="1"/>
    <n v="0"/>
    <n v="1"/>
    <n v="1"/>
    <s v="957894-"/>
    <n v="1"/>
  </r>
  <r>
    <n v="6"/>
    <x v="6"/>
    <n v="957912"/>
    <s v="2018-09-07"/>
    <x v="20"/>
    <s v="2018-09-07"/>
    <n v="1"/>
    <n v="1"/>
    <s v="2018-09-13"/>
    <n v="0"/>
    <s v="-"/>
    <n v="1"/>
    <n v="1"/>
    <n v="1"/>
    <n v="1"/>
    <n v="100"/>
    <n v="1"/>
    <n v="0"/>
    <n v="1"/>
    <n v="0"/>
    <n v="1"/>
    <n v="1"/>
    <s v="957912-"/>
    <n v="1"/>
  </r>
  <r>
    <n v="6"/>
    <x v="6"/>
    <n v="958100"/>
    <s v="2018-09-07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58100-"/>
    <n v="1"/>
  </r>
  <r>
    <n v="6"/>
    <x v="6"/>
    <n v="958102"/>
    <s v="2018-09-07"/>
    <x v="20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58102-"/>
    <n v="1"/>
  </r>
  <r>
    <n v="6"/>
    <x v="6"/>
    <n v="958139"/>
    <s v="2018-09-07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958139-"/>
    <n v="1"/>
  </r>
  <r>
    <n v="6"/>
    <x v="6"/>
    <n v="958545"/>
    <s v="2018-09-07"/>
    <x v="20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58545-"/>
    <n v="1"/>
  </r>
  <r>
    <n v="6"/>
    <x v="6"/>
    <n v="958636"/>
    <s v="2018-09-07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58636-"/>
    <n v="1"/>
  </r>
  <r>
    <n v="6"/>
    <x v="6"/>
    <n v="959110"/>
    <s v="2018-09-08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959110-"/>
    <n v="1"/>
  </r>
  <r>
    <n v="6"/>
    <x v="6"/>
    <n v="959337"/>
    <s v="2018-09-08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959337-"/>
    <n v="1"/>
  </r>
  <r>
    <n v="6"/>
    <x v="6"/>
    <n v="959744"/>
    <s v="2018-09-08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59744-"/>
    <n v="1"/>
  </r>
  <r>
    <n v="6"/>
    <x v="6"/>
    <n v="960036"/>
    <s v="2018-09-09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60036-"/>
    <n v="1"/>
  </r>
  <r>
    <n v="6"/>
    <x v="6"/>
    <n v="960049"/>
    <s v="2018-09-09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60049-"/>
    <n v="1"/>
  </r>
  <r>
    <n v="6"/>
    <x v="6"/>
    <n v="960444"/>
    <s v="2018-09-09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60444-"/>
    <n v="1"/>
  </r>
  <r>
    <n v="6"/>
    <x v="6"/>
    <n v="960447"/>
    <s v="2018-09-09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60447-"/>
    <n v="1"/>
  </r>
  <r>
    <n v="6"/>
    <x v="6"/>
    <n v="960575"/>
    <s v="2018-09-09"/>
    <x v="1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60575-"/>
    <n v="1"/>
  </r>
  <r>
    <n v="6"/>
    <x v="6"/>
    <n v="960809"/>
    <s v="2018-09-10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960809-"/>
    <n v="1"/>
  </r>
  <r>
    <n v="6"/>
    <x v="6"/>
    <n v="960871"/>
    <s v="2018-09-10"/>
    <x v="5"/>
    <s v="2018-09-12"/>
    <n v="5"/>
    <n v="3"/>
    <s v="2018-09-24"/>
    <n v="0"/>
    <s v="-"/>
    <n v="3"/>
    <n v="0"/>
    <n v="1"/>
    <n v="0"/>
    <n v="60"/>
    <n v="3"/>
    <n v="0"/>
    <n v="3"/>
    <n v="2"/>
    <n v="1"/>
    <n v="0"/>
    <s v="960871-"/>
    <n v="3"/>
  </r>
  <r>
    <n v="6"/>
    <x v="6"/>
    <n v="961491"/>
    <s v="2018-09-10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961491-"/>
    <n v="1"/>
  </r>
  <r>
    <n v="6"/>
    <x v="6"/>
    <n v="962976"/>
    <s v="2018-09-10"/>
    <x v="6"/>
    <s v="2018-09-11"/>
    <n v="1"/>
    <n v="1"/>
    <s v="2018-09-20"/>
    <n v="0"/>
    <s v="-"/>
    <n v="1"/>
    <n v="1"/>
    <n v="1"/>
    <n v="1"/>
    <n v="100"/>
    <n v="1"/>
    <n v="0"/>
    <n v="1"/>
    <n v="0"/>
    <n v="1"/>
    <n v="1"/>
    <s v="962976-"/>
    <n v="1"/>
  </r>
  <r>
    <n v="6"/>
    <x v="6"/>
    <n v="963627"/>
    <s v="2018-09-11"/>
    <x v="6"/>
    <s v="2018-09-12"/>
    <n v="2"/>
    <n v="2"/>
    <s v="2018-09-20"/>
    <n v="0"/>
    <s v="-"/>
    <n v="2"/>
    <n v="1"/>
    <n v="1"/>
    <n v="1"/>
    <n v="100"/>
    <n v="2"/>
    <n v="0"/>
    <n v="2"/>
    <n v="0"/>
    <n v="1"/>
    <n v="1"/>
    <s v="963627-"/>
    <n v="2"/>
  </r>
  <r>
    <n v="6"/>
    <x v="6"/>
    <n v="963951"/>
    <s v="2018-09-11"/>
    <x v="6"/>
    <s v="2018-09-12"/>
    <n v="1"/>
    <n v="1"/>
    <s v="2018-09-20"/>
    <n v="0"/>
    <s v="-"/>
    <n v="1"/>
    <n v="1"/>
    <n v="1"/>
    <n v="1"/>
    <n v="100"/>
    <n v="1"/>
    <n v="0"/>
    <n v="1"/>
    <n v="0"/>
    <n v="1"/>
    <n v="1"/>
    <s v="963951-"/>
    <n v="1"/>
  </r>
  <r>
    <n v="6"/>
    <x v="6"/>
    <n v="964103"/>
    <s v="2018-09-11"/>
    <x v="6"/>
    <s v="2018-09-12"/>
    <n v="1"/>
    <n v="1"/>
    <s v="2018-09-20"/>
    <n v="0"/>
    <s v="-"/>
    <n v="1"/>
    <n v="1"/>
    <n v="1"/>
    <n v="1"/>
    <n v="100"/>
    <n v="1"/>
    <n v="0"/>
    <n v="1"/>
    <n v="0"/>
    <n v="1"/>
    <n v="1"/>
    <s v="964103-"/>
    <n v="1"/>
  </r>
  <r>
    <n v="6"/>
    <x v="6"/>
    <n v="964165"/>
    <s v="2018-09-11"/>
    <x v="22"/>
    <s v="2018-09-12"/>
    <n v="1"/>
    <n v="1"/>
    <s v="2018-09-26"/>
    <n v="0"/>
    <s v="-"/>
    <n v="1"/>
    <n v="1"/>
    <n v="1"/>
    <n v="1"/>
    <n v="100"/>
    <n v="1"/>
    <n v="0"/>
    <n v="1"/>
    <n v="0"/>
    <n v="1"/>
    <n v="1"/>
    <s v="964165-"/>
    <n v="1"/>
  </r>
  <r>
    <n v="6"/>
    <x v="6"/>
    <n v="965297"/>
    <s v="2018-09-13"/>
    <x v="5"/>
    <s v="2018-09-13"/>
    <n v="1"/>
    <n v="2"/>
    <s v="2018-09-26"/>
    <n v="1"/>
    <s v="-"/>
    <n v="1"/>
    <n v="1"/>
    <n v="0"/>
    <n v="0"/>
    <n v="100"/>
    <n v="0"/>
    <n v="1"/>
    <n v="1"/>
    <n v="0"/>
    <n v="1"/>
    <n v="0"/>
    <s v="965297-"/>
    <n v="1"/>
  </r>
  <r>
    <n v="6"/>
    <x v="6"/>
    <n v="965346"/>
    <s v="2018-09-13"/>
    <x v="5"/>
    <s v="2018-09-13"/>
    <n v="1"/>
    <n v="1"/>
    <s v="2018-09-24"/>
    <n v="0"/>
    <s v="-"/>
    <n v="1"/>
    <n v="1"/>
    <n v="1"/>
    <n v="1"/>
    <n v="100"/>
    <n v="1"/>
    <n v="0"/>
    <n v="1"/>
    <n v="0"/>
    <n v="1"/>
    <n v="1"/>
    <s v="965346-"/>
    <n v="1"/>
  </r>
  <r>
    <n v="6"/>
    <x v="6"/>
    <n v="965568"/>
    <s v="2018-09-13"/>
    <x v="7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568-"/>
    <n v="1"/>
  </r>
  <r>
    <n v="6"/>
    <x v="6"/>
    <n v="965729"/>
    <s v="2018-09-13"/>
    <x v="7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729-"/>
    <n v="1"/>
  </r>
  <r>
    <n v="6"/>
    <x v="6"/>
    <n v="965735"/>
    <s v="2018-09-13"/>
    <x v="5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735-"/>
    <n v="1"/>
  </r>
  <r>
    <n v="6"/>
    <x v="6"/>
    <n v="965757"/>
    <s v="2018-09-13"/>
    <x v="7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757-"/>
    <n v="1"/>
  </r>
  <r>
    <n v="6"/>
    <x v="6"/>
    <n v="965758"/>
    <s v="2018-09-13"/>
    <x v="7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758-"/>
    <n v="1"/>
  </r>
  <r>
    <n v="6"/>
    <x v="6"/>
    <n v="965962"/>
    <s v="2018-09-13"/>
    <x v="5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962-"/>
    <n v="1"/>
  </r>
  <r>
    <n v="6"/>
    <x v="6"/>
    <n v="965995"/>
    <s v="2018-09-13"/>
    <x v="5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5995-"/>
    <n v="1"/>
  </r>
  <r>
    <n v="6"/>
    <x v="6"/>
    <n v="966076"/>
    <s v="2018-09-13"/>
    <x v="5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6076-"/>
    <n v="1"/>
  </r>
  <r>
    <n v="6"/>
    <x v="6"/>
    <n v="966290"/>
    <s v="2018-09-13"/>
    <x v="5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6290-"/>
    <n v="1"/>
  </r>
  <r>
    <n v="6"/>
    <x v="6"/>
    <n v="966452"/>
    <s v="2018-09-14"/>
    <x v="5"/>
    <s v="2018-09-14"/>
    <n v="1"/>
    <n v="1"/>
    <s v="2018-09-24"/>
    <n v="0"/>
    <s v="-"/>
    <n v="1"/>
    <n v="1"/>
    <n v="1"/>
    <n v="1"/>
    <n v="100"/>
    <n v="1"/>
    <n v="0"/>
    <n v="1"/>
    <n v="0"/>
    <n v="1"/>
    <n v="1"/>
    <s v="966452-"/>
    <n v="1"/>
  </r>
  <r>
    <n v="6"/>
    <x v="6"/>
    <n v="966584"/>
    <s v="2018-09-14"/>
    <x v="21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6584-"/>
    <n v="1"/>
  </r>
  <r>
    <n v="6"/>
    <x v="6"/>
    <n v="966866"/>
    <s v="2018-09-14"/>
    <x v="22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6866-"/>
    <n v="1"/>
  </r>
  <r>
    <n v="6"/>
    <x v="6"/>
    <n v="967119"/>
    <s v="2018-09-14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7119-"/>
    <n v="1"/>
  </r>
  <r>
    <n v="6"/>
    <x v="6"/>
    <n v="967221"/>
    <s v="2018-09-14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7221-"/>
    <n v="1"/>
  </r>
  <r>
    <n v="6"/>
    <x v="6"/>
    <n v="967227"/>
    <s v="2018-09-14"/>
    <x v="7"/>
    <s v="2018-09-20"/>
    <n v="2"/>
    <n v="2"/>
    <s v="2018-09-24"/>
    <n v="0"/>
    <s v="-"/>
    <n v="2"/>
    <n v="1"/>
    <n v="1"/>
    <n v="1"/>
    <n v="100"/>
    <n v="2"/>
    <n v="0"/>
    <n v="2"/>
    <n v="0"/>
    <n v="1"/>
    <n v="1"/>
    <s v="967227-"/>
    <n v="2"/>
  </r>
  <r>
    <n v="6"/>
    <x v="6"/>
    <n v="967383"/>
    <s v="2018-09-15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7383-"/>
    <n v="1"/>
  </r>
  <r>
    <n v="6"/>
    <x v="6"/>
    <n v="967633"/>
    <s v="2018-09-15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7633-"/>
    <n v="1"/>
  </r>
  <r>
    <n v="6"/>
    <x v="6"/>
    <n v="968048"/>
    <s v="2018-09-16"/>
    <x v="7"/>
    <s v="2018-09-20"/>
    <n v="1"/>
    <n v="0"/>
    <s v="1900-01-01"/>
    <n v="0"/>
    <s v="-"/>
    <n v="0"/>
    <n v="0"/>
    <n v="0"/>
    <n v="0"/>
    <n v="0"/>
    <n v="0"/>
    <n v="0"/>
    <n v="0"/>
    <n v="1"/>
    <n v="1"/>
    <n v="0"/>
    <s v="968048-"/>
    <n v="0"/>
  </r>
  <r>
    <n v="6"/>
    <x v="6"/>
    <n v="968249"/>
    <s v="2018-09-17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8249-"/>
    <n v="1"/>
  </r>
  <r>
    <n v="6"/>
    <x v="6"/>
    <n v="968651"/>
    <s v="2018-09-19"/>
    <x v="21"/>
    <s v="2018-09-20"/>
    <n v="1"/>
    <n v="1"/>
    <s v="2018-09-26"/>
    <n v="0"/>
    <s v="-"/>
    <n v="1"/>
    <n v="1"/>
    <n v="1"/>
    <n v="1"/>
    <n v="100"/>
    <n v="1"/>
    <n v="0"/>
    <n v="1"/>
    <n v="0"/>
    <n v="1"/>
    <n v="1"/>
    <s v="968651-"/>
    <n v="1"/>
  </r>
  <r>
    <n v="6"/>
    <x v="6"/>
    <n v="968785"/>
    <s v="2018-09-19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8785-"/>
    <n v="1"/>
  </r>
  <r>
    <n v="6"/>
    <x v="6"/>
    <n v="968792"/>
    <s v="2018-09-19"/>
    <x v="7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68792-"/>
    <n v="1"/>
  </r>
  <r>
    <n v="6"/>
    <x v="6"/>
    <n v="968858"/>
    <s v="2018-09-20"/>
    <x v="22"/>
    <s v="2018-09-20"/>
    <n v="1"/>
    <n v="0"/>
    <s v="1900-01-01"/>
    <n v="0"/>
    <s v="-"/>
    <n v="0"/>
    <n v="0"/>
    <n v="0"/>
    <n v="0"/>
    <n v="0"/>
    <n v="0"/>
    <n v="0"/>
    <n v="0"/>
    <n v="1"/>
    <n v="1"/>
    <n v="0"/>
    <s v="968858-"/>
    <n v="0"/>
  </r>
  <r>
    <n v="6"/>
    <x v="6"/>
    <n v="968941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8941-"/>
    <n v="1"/>
  </r>
  <r>
    <n v="6"/>
    <x v="6"/>
    <n v="969137"/>
    <s v="2018-09-20"/>
    <x v="21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137-"/>
    <n v="1"/>
  </r>
  <r>
    <n v="6"/>
    <x v="6"/>
    <n v="969459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459-"/>
    <n v="1"/>
  </r>
  <r>
    <n v="6"/>
    <x v="6"/>
    <n v="969596"/>
    <s v="2018-09-20"/>
    <x v="21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596-"/>
    <n v="1"/>
  </r>
  <r>
    <n v="6"/>
    <x v="6"/>
    <n v="969632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632-"/>
    <n v="1"/>
  </r>
  <r>
    <n v="6"/>
    <x v="6"/>
    <n v="969642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642-"/>
    <n v="1"/>
  </r>
  <r>
    <n v="6"/>
    <x v="6"/>
    <n v="969743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743-"/>
    <n v="1"/>
  </r>
  <r>
    <n v="6"/>
    <x v="6"/>
    <n v="969781"/>
    <s v="2018-09-20"/>
    <x v="22"/>
    <s v="2018-09-21"/>
    <n v="1"/>
    <n v="1"/>
    <s v="2018-09-26"/>
    <n v="0"/>
    <s v="-"/>
    <n v="1"/>
    <n v="1"/>
    <n v="1"/>
    <n v="1"/>
    <n v="100"/>
    <n v="1"/>
    <n v="0"/>
    <n v="1"/>
    <n v="0"/>
    <n v="1"/>
    <n v="1"/>
    <s v="969781-"/>
    <n v="1"/>
  </r>
  <r>
    <n v="6"/>
    <x v="6"/>
    <n v="969998"/>
    <s v="2018-09-21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69998-"/>
    <n v="1"/>
  </r>
  <r>
    <n v="6"/>
    <x v="6"/>
    <n v="970564"/>
    <s v="2018-09-21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0564-"/>
    <n v="1"/>
  </r>
  <r>
    <n v="6"/>
    <x v="6"/>
    <n v="970779"/>
    <s v="2018-09-21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0779-"/>
    <n v="1"/>
  </r>
  <r>
    <n v="6"/>
    <x v="6"/>
    <n v="970878"/>
    <s v="2018-09-21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0878-"/>
    <n v="1"/>
  </r>
  <r>
    <n v="6"/>
    <x v="6"/>
    <n v="971183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183-"/>
    <n v="1"/>
  </r>
  <r>
    <n v="6"/>
    <x v="6"/>
    <n v="971218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218-"/>
    <n v="1"/>
  </r>
  <r>
    <n v="6"/>
    <x v="6"/>
    <n v="971356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356-"/>
    <n v="1"/>
  </r>
  <r>
    <n v="6"/>
    <x v="6"/>
    <n v="971383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383-"/>
    <n v="1"/>
  </r>
  <r>
    <n v="6"/>
    <x v="6"/>
    <n v="971412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412-"/>
    <n v="1"/>
  </r>
  <r>
    <n v="6"/>
    <x v="6"/>
    <n v="971512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512-"/>
    <n v="1"/>
  </r>
  <r>
    <n v="6"/>
    <x v="6"/>
    <n v="971740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740-"/>
    <n v="1"/>
  </r>
  <r>
    <n v="6"/>
    <x v="6"/>
    <n v="971760"/>
    <s v="2018-09-22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760-"/>
    <n v="1"/>
  </r>
  <r>
    <n v="6"/>
    <x v="6"/>
    <n v="971857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857-"/>
    <n v="1"/>
  </r>
  <r>
    <n v="6"/>
    <x v="6"/>
    <n v="971932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932-"/>
    <n v="1"/>
  </r>
  <r>
    <n v="6"/>
    <x v="6"/>
    <n v="971947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1947-"/>
    <n v="1"/>
  </r>
  <r>
    <n v="6"/>
    <x v="6"/>
    <n v="972171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171-"/>
    <n v="1"/>
  </r>
  <r>
    <n v="6"/>
    <x v="6"/>
    <n v="972401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401-"/>
    <n v="1"/>
  </r>
  <r>
    <n v="6"/>
    <x v="6"/>
    <n v="972485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485-"/>
    <n v="1"/>
  </r>
  <r>
    <n v="6"/>
    <x v="6"/>
    <n v="972489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489-"/>
    <n v="1"/>
  </r>
  <r>
    <n v="6"/>
    <x v="6"/>
    <n v="972599"/>
    <s v="2018-09-23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599-"/>
    <n v="1"/>
  </r>
  <r>
    <n v="6"/>
    <x v="6"/>
    <n v="972606"/>
    <s v="2018-09-24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606-"/>
    <n v="1"/>
  </r>
  <r>
    <n v="6"/>
    <x v="6"/>
    <n v="972704"/>
    <s v="2018-09-24"/>
    <x v="21"/>
    <s v="2018-09-24"/>
    <n v="1"/>
    <n v="1"/>
    <s v="2018-09-26"/>
    <n v="0"/>
    <s v="-"/>
    <n v="1"/>
    <n v="1"/>
    <n v="1"/>
    <n v="1"/>
    <n v="100"/>
    <n v="1"/>
    <n v="0"/>
    <n v="1"/>
    <n v="0"/>
    <n v="1"/>
    <n v="1"/>
    <s v="972704-"/>
    <n v="1"/>
  </r>
  <r>
    <n v="6"/>
    <x v="6"/>
    <n v="973167"/>
    <s v="2018-09-24"/>
    <x v="21"/>
    <s v="2018-09-25"/>
    <n v="1"/>
    <n v="1"/>
    <s v="2018-09-26"/>
    <n v="0"/>
    <s v="-"/>
    <n v="1"/>
    <n v="1"/>
    <n v="1"/>
    <n v="1"/>
    <n v="100"/>
    <n v="1"/>
    <n v="0"/>
    <n v="1"/>
    <n v="0"/>
    <n v="1"/>
    <n v="1"/>
    <s v="973167-"/>
    <n v="1"/>
  </r>
  <r>
    <n v="6"/>
    <x v="6"/>
    <n v="973632"/>
    <s v="2018-09-25"/>
    <x v="21"/>
    <s v="2018-09-25"/>
    <n v="1"/>
    <n v="1"/>
    <s v="2018-09-26"/>
    <n v="0"/>
    <s v="-"/>
    <n v="1"/>
    <n v="1"/>
    <n v="1"/>
    <n v="1"/>
    <n v="100"/>
    <n v="1"/>
    <n v="0"/>
    <n v="1"/>
    <n v="0"/>
    <n v="1"/>
    <n v="1"/>
    <s v="973632-"/>
    <n v="1"/>
  </r>
  <r>
    <n v="6"/>
    <x v="6"/>
    <n v="973763"/>
    <s v="2018-09-25"/>
    <x v="21"/>
    <s v="2018-09-26"/>
    <n v="1"/>
    <n v="1"/>
    <s v="2018-09-28"/>
    <n v="0"/>
    <s v="-"/>
    <n v="1"/>
    <n v="1"/>
    <n v="0"/>
    <n v="0"/>
    <n v="100"/>
    <n v="1"/>
    <n v="0"/>
    <n v="1"/>
    <n v="0"/>
    <n v="1"/>
    <n v="0"/>
    <s v="973763-"/>
    <n v="1"/>
  </r>
  <r>
    <n v="7"/>
    <x v="7"/>
    <n v="438203"/>
    <s v="2018-08-27"/>
    <x v="20"/>
    <s v="2018-08-28"/>
    <n v="100"/>
    <n v="100"/>
    <s v="2018-08-31"/>
    <n v="0"/>
    <s v="-"/>
    <n v="100"/>
    <n v="1"/>
    <n v="1"/>
    <n v="1"/>
    <n v="100"/>
    <n v="100"/>
    <n v="0"/>
    <n v="100"/>
    <n v="0"/>
    <n v="1"/>
    <n v="1"/>
    <s v="438203-"/>
    <n v="100"/>
  </r>
  <r>
    <n v="8"/>
    <x v="8"/>
    <n v="1700540080"/>
    <s v="2018-08-30"/>
    <x v="15"/>
    <s v="2018-08-31"/>
    <n v="3"/>
    <n v="2"/>
    <s v="2018-09-04"/>
    <n v="0"/>
    <s v="-"/>
    <n v="2"/>
    <n v="0"/>
    <n v="1"/>
    <n v="0"/>
    <n v="66.666666666666657"/>
    <n v="2"/>
    <n v="0"/>
    <n v="2"/>
    <n v="1"/>
    <n v="1"/>
    <n v="0"/>
    <s v="1700540080-"/>
    <n v="2"/>
  </r>
  <r>
    <n v="8"/>
    <x v="8"/>
    <n v="4300420528"/>
    <s v="2018-08-27"/>
    <x v="17"/>
    <s v="2018-08-28"/>
    <n v="8"/>
    <n v="0"/>
    <s v="1900-01-01"/>
    <n v="0"/>
    <s v="-"/>
    <n v="0"/>
    <n v="0"/>
    <n v="0"/>
    <n v="0"/>
    <n v="0"/>
    <n v="0"/>
    <n v="0"/>
    <n v="0"/>
    <n v="8"/>
    <n v="1"/>
    <n v="0"/>
    <s v="4300420528-"/>
    <n v="0"/>
  </r>
  <r>
    <n v="8"/>
    <x v="8"/>
    <n v="4300420530"/>
    <s v="2018-08-31"/>
    <x v="25"/>
    <s v="2018-09-03"/>
    <n v="5"/>
    <n v="0"/>
    <s v="1900-01-01"/>
    <n v="0"/>
    <s v="-"/>
    <n v="0"/>
    <n v="0"/>
    <n v="0"/>
    <n v="0"/>
    <n v="0"/>
    <n v="0"/>
    <n v="0"/>
    <n v="0"/>
    <n v="5"/>
    <n v="1"/>
    <n v="0"/>
    <s v="4300420530-"/>
    <n v="0"/>
  </r>
  <r>
    <n v="8"/>
    <x v="8"/>
    <n v="4300420534"/>
    <s v="2018-09-07"/>
    <x v="26"/>
    <s v="2018-09-10"/>
    <n v="1"/>
    <n v="0"/>
    <s v="1900-01-01"/>
    <n v="0"/>
    <s v="-"/>
    <n v="0"/>
    <n v="0"/>
    <n v="0"/>
    <n v="0"/>
    <n v="0"/>
    <n v="0"/>
    <n v="0"/>
    <n v="0"/>
    <n v="1"/>
    <n v="1"/>
    <n v="0"/>
    <s v="4300420534-"/>
    <n v="0"/>
  </r>
  <r>
    <n v="8"/>
    <x v="8"/>
    <n v="4300420535"/>
    <s v="2018-09-07"/>
    <x v="26"/>
    <s v="2018-09-10"/>
    <n v="1"/>
    <n v="0"/>
    <s v="1900-01-01"/>
    <n v="0"/>
    <s v="-"/>
    <n v="0"/>
    <n v="0"/>
    <n v="0"/>
    <n v="0"/>
    <n v="0"/>
    <n v="0"/>
    <n v="0"/>
    <n v="0"/>
    <n v="1"/>
    <n v="1"/>
    <n v="0"/>
    <s v="4300420535-"/>
    <n v="0"/>
  </r>
  <r>
    <n v="8"/>
    <x v="8"/>
    <n v="4300420539"/>
    <s v="2018-09-16"/>
    <x v="24"/>
    <s v="2018-09-20"/>
    <n v="7"/>
    <n v="0"/>
    <s v="1900-01-01"/>
    <n v="0"/>
    <s v="-"/>
    <n v="0"/>
    <n v="0"/>
    <n v="0"/>
    <n v="0"/>
    <n v="0"/>
    <n v="0"/>
    <n v="0"/>
    <n v="0"/>
    <n v="7"/>
    <n v="1"/>
    <n v="0"/>
    <s v="4300420539-"/>
    <n v="0"/>
  </r>
  <r>
    <n v="8"/>
    <x v="8"/>
    <n v="4450422362"/>
    <s v="2018-08-27"/>
    <x v="13"/>
    <s v="2018-08-27"/>
    <n v="195"/>
    <n v="195"/>
    <s v="2018-08-29"/>
    <n v="0"/>
    <s v="-"/>
    <n v="195"/>
    <n v="1"/>
    <n v="1"/>
    <n v="1"/>
    <n v="100"/>
    <n v="195"/>
    <n v="0"/>
    <n v="195"/>
    <n v="0"/>
    <n v="1"/>
    <n v="1"/>
    <s v="4450422362-"/>
    <n v="195"/>
  </r>
  <r>
    <n v="8"/>
    <x v="8"/>
    <n v="4450422363"/>
    <s v="2018-08-24"/>
    <x v="2"/>
    <s v="2018-08-24"/>
    <n v="34"/>
    <n v="34"/>
    <s v="2018-08-28"/>
    <n v="0"/>
    <s v="-"/>
    <n v="34"/>
    <n v="1"/>
    <n v="1"/>
    <n v="1"/>
    <n v="100"/>
    <n v="34"/>
    <n v="0"/>
    <n v="34"/>
    <n v="0"/>
    <n v="1"/>
    <n v="1"/>
    <s v="4450422363-"/>
    <n v="34"/>
  </r>
  <r>
    <n v="8"/>
    <x v="8"/>
    <n v="4450422370"/>
    <s v="2018-08-27"/>
    <x v="13"/>
    <s v="2018-08-27"/>
    <n v="38"/>
    <n v="38"/>
    <s v="2018-08-30"/>
    <n v="0"/>
    <s v="-"/>
    <n v="38"/>
    <n v="1"/>
    <n v="1"/>
    <n v="1"/>
    <n v="100"/>
    <n v="38"/>
    <n v="0"/>
    <n v="38"/>
    <n v="0"/>
    <n v="1"/>
    <n v="1"/>
    <s v="4450422370-"/>
    <n v="38"/>
  </r>
  <r>
    <n v="8"/>
    <x v="8"/>
    <n v="4450422371"/>
    <s v="2018-08-27"/>
    <x v="0"/>
    <s v="2018-08-28"/>
    <n v="93"/>
    <n v="93"/>
    <s v="2018-08-30"/>
    <n v="0"/>
    <s v="-"/>
    <n v="93"/>
    <n v="1"/>
    <n v="1"/>
    <n v="1"/>
    <n v="100"/>
    <n v="93"/>
    <n v="0"/>
    <n v="93"/>
    <n v="0"/>
    <n v="1"/>
    <n v="1"/>
    <s v="4450422371-"/>
    <n v="93"/>
  </r>
  <r>
    <n v="8"/>
    <x v="8"/>
    <n v="4450422377"/>
    <s v="2018-08-30"/>
    <x v="15"/>
    <s v="2018-08-31"/>
    <n v="44"/>
    <n v="44"/>
    <s v="2018-09-05"/>
    <n v="0"/>
    <s v="-"/>
    <n v="44"/>
    <n v="1"/>
    <n v="1"/>
    <n v="1"/>
    <n v="100"/>
    <n v="44"/>
    <n v="0"/>
    <n v="44"/>
    <n v="0"/>
    <n v="1"/>
    <n v="1"/>
    <s v="4450422377-"/>
    <n v="44"/>
  </r>
  <r>
    <n v="8"/>
    <x v="8"/>
    <n v="4450422378"/>
    <s v="2018-08-30"/>
    <x v="15"/>
    <s v="2018-09-03"/>
    <n v="202"/>
    <n v="202"/>
    <s v="2018-09-05"/>
    <n v="0"/>
    <s v="-"/>
    <n v="202"/>
    <n v="1"/>
    <n v="1"/>
    <n v="1"/>
    <n v="100"/>
    <n v="202"/>
    <n v="0"/>
    <n v="202"/>
    <n v="0"/>
    <n v="1"/>
    <n v="1"/>
    <s v="4450422378-"/>
    <n v="202"/>
  </r>
  <r>
    <n v="8"/>
    <x v="8"/>
    <n v="4450422388"/>
    <s v="2018-09-03"/>
    <x v="9"/>
    <s v="2018-09-04"/>
    <n v="41"/>
    <n v="41"/>
    <s v="2018-09-06"/>
    <n v="0"/>
    <s v="-"/>
    <n v="41"/>
    <n v="1"/>
    <n v="1"/>
    <n v="1"/>
    <n v="100"/>
    <n v="41"/>
    <n v="0"/>
    <n v="41"/>
    <n v="0"/>
    <n v="1"/>
    <n v="1"/>
    <s v="4450422388-"/>
    <n v="41"/>
  </r>
  <r>
    <n v="8"/>
    <x v="8"/>
    <n v="4450422389"/>
    <s v="2018-09-03"/>
    <x v="9"/>
    <s v="2018-09-04"/>
    <n v="31"/>
    <n v="31"/>
    <s v="2018-09-06"/>
    <n v="0"/>
    <s v="-"/>
    <n v="31"/>
    <n v="1"/>
    <n v="1"/>
    <n v="1"/>
    <n v="100"/>
    <n v="31"/>
    <n v="0"/>
    <n v="31"/>
    <n v="0"/>
    <n v="1"/>
    <n v="1"/>
    <s v="4450422389-"/>
    <n v="31"/>
  </r>
  <r>
    <n v="8"/>
    <x v="8"/>
    <n v="4450422391"/>
    <s v="2018-09-06"/>
    <x v="20"/>
    <s v="2018-09-10"/>
    <n v="294"/>
    <n v="294"/>
    <s v="2018-09-14"/>
    <n v="6"/>
    <s v="-"/>
    <n v="288"/>
    <n v="0"/>
    <n v="1"/>
    <n v="0"/>
    <n v="97.959183673469383"/>
    <n v="288"/>
    <n v="0"/>
    <n v="282"/>
    <n v="12"/>
    <n v="1"/>
    <n v="0"/>
    <s v="4450422391-"/>
    <n v="288"/>
  </r>
  <r>
    <n v="8"/>
    <x v="8"/>
    <n v="4450422392"/>
    <s v="2018-09-06"/>
    <x v="11"/>
    <s v="2018-09-07"/>
    <n v="65"/>
    <n v="65"/>
    <s v="2018-09-12"/>
    <n v="0"/>
    <s v="-"/>
    <n v="65"/>
    <n v="1"/>
    <n v="1"/>
    <n v="1"/>
    <n v="100"/>
    <n v="65"/>
    <n v="0"/>
    <n v="65"/>
    <n v="0"/>
    <n v="1"/>
    <n v="1"/>
    <s v="4450422392-"/>
    <n v="65"/>
  </r>
  <r>
    <n v="8"/>
    <x v="8"/>
    <n v="4450422397"/>
    <s v="2018-09-10"/>
    <x v="23"/>
    <s v="2018-09-11"/>
    <n v="183"/>
    <n v="130"/>
    <s v="2018-09-14"/>
    <n v="2"/>
    <s v="-"/>
    <n v="128"/>
    <n v="0"/>
    <n v="1"/>
    <n v="0"/>
    <n v="69.945355191256837"/>
    <n v="128"/>
    <n v="0"/>
    <n v="126"/>
    <n v="57"/>
    <n v="1"/>
    <n v="0"/>
    <s v="4450422397-"/>
    <n v="128"/>
  </r>
  <r>
    <n v="8"/>
    <x v="8"/>
    <n v="4450422400"/>
    <s v="2018-09-13"/>
    <x v="10"/>
    <s v="2018-09-20"/>
    <n v="119"/>
    <n v="119"/>
    <s v="2018-09-21"/>
    <n v="0"/>
    <s v="-"/>
    <n v="119"/>
    <n v="1"/>
    <n v="1"/>
    <n v="1"/>
    <n v="100"/>
    <n v="119"/>
    <n v="0"/>
    <n v="119"/>
    <n v="0"/>
    <n v="1"/>
    <n v="1"/>
    <s v="4450422400-"/>
    <n v="119"/>
  </r>
  <r>
    <n v="8"/>
    <x v="8"/>
    <n v="4450422405"/>
    <s v="2018-09-17"/>
    <x v="5"/>
    <s v="2018-09-20"/>
    <n v="3"/>
    <n v="3"/>
    <s v="2018-09-24"/>
    <n v="0"/>
    <s v="-"/>
    <n v="3"/>
    <n v="1"/>
    <n v="1"/>
    <n v="1"/>
    <n v="100"/>
    <n v="3"/>
    <n v="0"/>
    <n v="3"/>
    <n v="0"/>
    <n v="1"/>
    <n v="1"/>
    <s v="4450422405-"/>
    <n v="3"/>
  </r>
  <r>
    <n v="8"/>
    <x v="8"/>
    <n v="4450422406"/>
    <s v="2018-09-17"/>
    <x v="5"/>
    <s v="2018-09-20"/>
    <n v="105"/>
    <n v="105"/>
    <s v="2018-09-24"/>
    <n v="0"/>
    <s v="-"/>
    <n v="105"/>
    <n v="1"/>
    <n v="1"/>
    <n v="1"/>
    <n v="100"/>
    <n v="105"/>
    <n v="0"/>
    <n v="105"/>
    <n v="0"/>
    <n v="1"/>
    <n v="1"/>
    <s v="4450422406-"/>
    <n v="105"/>
  </r>
  <r>
    <n v="8"/>
    <x v="8"/>
    <n v="4450422409"/>
    <s v="2018-09-20"/>
    <x v="21"/>
    <s v="2018-09-21"/>
    <n v="25"/>
    <n v="25"/>
    <s v="2018-09-27"/>
    <n v="0"/>
    <s v="-"/>
    <n v="25"/>
    <n v="1"/>
    <n v="1"/>
    <n v="1"/>
    <n v="100"/>
    <n v="25"/>
    <n v="0"/>
    <n v="25"/>
    <n v="0"/>
    <n v="1"/>
    <n v="1"/>
    <s v="4450422409-"/>
    <n v="25"/>
  </r>
  <r>
    <n v="8"/>
    <x v="8"/>
    <n v="4450422410"/>
    <s v="2018-09-20"/>
    <x v="21"/>
    <s v="2018-09-24"/>
    <n v="102"/>
    <n v="102"/>
    <s v="2018-09-27"/>
    <n v="0"/>
    <s v="-"/>
    <n v="102"/>
    <n v="1"/>
    <n v="1"/>
    <n v="1"/>
    <n v="100"/>
    <n v="102"/>
    <n v="0"/>
    <n v="102"/>
    <n v="0"/>
    <n v="1"/>
    <n v="1"/>
    <s v="4450422410-"/>
    <n v="102"/>
  </r>
  <r>
    <n v="8"/>
    <x v="8"/>
    <n v="6150420338"/>
    <s v="2018-09-06"/>
    <x v="20"/>
    <s v="2018-09-07"/>
    <n v="298"/>
    <n v="298"/>
    <s v="2018-09-13"/>
    <n v="0"/>
    <s v="-"/>
    <n v="298"/>
    <n v="1"/>
    <n v="1"/>
    <n v="1"/>
    <n v="100"/>
    <n v="298"/>
    <n v="0"/>
    <n v="298"/>
    <n v="0"/>
    <n v="1"/>
    <n v="1"/>
    <s v="6150420338-"/>
    <n v="298"/>
  </r>
  <r>
    <n v="8"/>
    <x v="8"/>
    <n v="9450544494"/>
    <s v="2018-08-24"/>
    <x v="13"/>
    <s v="2018-08-24"/>
    <n v="1"/>
    <n v="1"/>
    <s v="2018-08-31"/>
    <n v="1"/>
    <s v="-"/>
    <n v="0"/>
    <n v="0"/>
    <n v="0"/>
    <n v="0"/>
    <n v="0"/>
    <n v="0"/>
    <n v="0"/>
    <n v="-1"/>
    <n v="2"/>
    <n v="1"/>
    <n v="0"/>
    <s v="9450544494-"/>
    <n v="0"/>
  </r>
  <r>
    <n v="8"/>
    <x v="8"/>
    <n v="9450544593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593-"/>
    <n v="1"/>
  </r>
  <r>
    <n v="8"/>
    <x v="8"/>
    <n v="9450544679"/>
    <s v="2018-08-24"/>
    <x v="13"/>
    <s v="2018-08-24"/>
    <n v="2"/>
    <n v="2"/>
    <s v="2018-08-30"/>
    <n v="0"/>
    <s v="-"/>
    <n v="2"/>
    <n v="1"/>
    <n v="1"/>
    <n v="1"/>
    <n v="100"/>
    <n v="2"/>
    <n v="0"/>
    <n v="2"/>
    <n v="0"/>
    <n v="1"/>
    <n v="1"/>
    <s v="9450544679-"/>
    <n v="2"/>
  </r>
  <r>
    <n v="8"/>
    <x v="8"/>
    <n v="9450544734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34-"/>
    <n v="1"/>
  </r>
  <r>
    <n v="8"/>
    <x v="8"/>
    <n v="9450544749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49-"/>
    <n v="1"/>
  </r>
  <r>
    <n v="8"/>
    <x v="8"/>
    <n v="9450544750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50-"/>
    <n v="1"/>
  </r>
  <r>
    <n v="8"/>
    <x v="8"/>
    <n v="9450544751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51-"/>
    <n v="1"/>
  </r>
  <r>
    <n v="8"/>
    <x v="8"/>
    <n v="9450544752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52-"/>
    <n v="1"/>
  </r>
  <r>
    <n v="8"/>
    <x v="8"/>
    <n v="9450544757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57-"/>
    <n v="1"/>
  </r>
  <r>
    <n v="8"/>
    <x v="8"/>
    <n v="9450544790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90-"/>
    <n v="1"/>
  </r>
  <r>
    <n v="8"/>
    <x v="8"/>
    <n v="9450544797"/>
    <s v="2018-08-24"/>
    <x v="13"/>
    <s v="2018-08-24"/>
    <n v="1"/>
    <n v="1"/>
    <s v="2018-08-30"/>
    <n v="0"/>
    <s v="-"/>
    <n v="1"/>
    <n v="1"/>
    <n v="1"/>
    <n v="1"/>
    <n v="100"/>
    <n v="1"/>
    <n v="0"/>
    <n v="1"/>
    <n v="0"/>
    <n v="1"/>
    <n v="1"/>
    <s v="9450544797-"/>
    <n v="1"/>
  </r>
  <r>
    <n v="8"/>
    <x v="8"/>
    <n v="9450544804"/>
    <s v="2018-08-24"/>
    <x v="27"/>
    <s v="2018-08-27"/>
    <n v="101"/>
    <n v="85"/>
    <s v="2018-08-31"/>
    <n v="0"/>
    <s v="-"/>
    <n v="85"/>
    <n v="0"/>
    <n v="1"/>
    <n v="0"/>
    <n v="84.158415841584159"/>
    <n v="85"/>
    <n v="0"/>
    <n v="85"/>
    <n v="16"/>
    <n v="1"/>
    <n v="0"/>
    <s v="9450544804-"/>
    <n v="85"/>
  </r>
  <r>
    <n v="8"/>
    <x v="8"/>
    <n v="9450544931"/>
    <s v="2018-08-27"/>
    <x v="15"/>
    <s v="2018-08-28"/>
    <n v="1"/>
    <n v="1"/>
    <s v="2018-08-30"/>
    <n v="0"/>
    <s v="-"/>
    <n v="1"/>
    <n v="1"/>
    <n v="1"/>
    <n v="1"/>
    <n v="100"/>
    <n v="1"/>
    <n v="0"/>
    <n v="1"/>
    <n v="0"/>
    <n v="1"/>
    <n v="1"/>
    <s v="9450544931-"/>
    <n v="1"/>
  </r>
  <r>
    <n v="8"/>
    <x v="8"/>
    <n v="9450544934"/>
    <s v="2018-08-27"/>
    <x v="15"/>
    <s v="2018-08-28"/>
    <n v="1"/>
    <n v="1"/>
    <s v="2018-08-30"/>
    <n v="0"/>
    <s v="-"/>
    <n v="1"/>
    <n v="1"/>
    <n v="1"/>
    <n v="1"/>
    <n v="100"/>
    <n v="1"/>
    <n v="0"/>
    <n v="1"/>
    <n v="0"/>
    <n v="1"/>
    <n v="1"/>
    <s v="9450544934-"/>
    <n v="1"/>
  </r>
  <r>
    <n v="8"/>
    <x v="8"/>
    <n v="9450544940"/>
    <s v="2018-08-27"/>
    <x v="8"/>
    <s v="2018-08-28"/>
    <n v="1"/>
    <n v="1"/>
    <s v="2018-08-30"/>
    <n v="0"/>
    <s v="-"/>
    <n v="1"/>
    <n v="1"/>
    <n v="1"/>
    <n v="1"/>
    <n v="100"/>
    <n v="1"/>
    <n v="0"/>
    <n v="1"/>
    <n v="0"/>
    <n v="1"/>
    <n v="1"/>
    <s v="9450544940-"/>
    <n v="1"/>
  </r>
  <r>
    <n v="8"/>
    <x v="8"/>
    <n v="9450545030"/>
    <s v="2018-08-29"/>
    <x v="9"/>
    <s v="2018-08-30"/>
    <n v="1"/>
    <n v="1"/>
    <s v="2018-09-06"/>
    <n v="0"/>
    <s v="-"/>
    <n v="1"/>
    <n v="1"/>
    <n v="1"/>
    <n v="1"/>
    <n v="100"/>
    <n v="1"/>
    <n v="0"/>
    <n v="1"/>
    <n v="0"/>
    <n v="1"/>
    <n v="1"/>
    <s v="9450545030-"/>
    <n v="1"/>
  </r>
  <r>
    <n v="8"/>
    <x v="8"/>
    <n v="9450545071"/>
    <s v="2018-08-30"/>
    <x v="9"/>
    <s v="2018-08-31"/>
    <n v="1"/>
    <n v="1"/>
    <s v="2018-09-06"/>
    <n v="0"/>
    <s v="-"/>
    <n v="1"/>
    <n v="1"/>
    <n v="1"/>
    <n v="1"/>
    <n v="100"/>
    <n v="1"/>
    <n v="0"/>
    <n v="1"/>
    <n v="0"/>
    <n v="1"/>
    <n v="1"/>
    <s v="9450545071-"/>
    <n v="1"/>
  </r>
  <r>
    <n v="8"/>
    <x v="8"/>
    <n v="9450545093"/>
    <s v="2018-08-31"/>
    <x v="26"/>
    <s v="2018-09-03"/>
    <n v="2"/>
    <n v="2"/>
    <s v="2018-09-06"/>
    <n v="0"/>
    <s v="-"/>
    <n v="2"/>
    <n v="1"/>
    <n v="1"/>
    <n v="1"/>
    <n v="100"/>
    <n v="2"/>
    <n v="0"/>
    <n v="2"/>
    <n v="0"/>
    <n v="1"/>
    <n v="1"/>
    <s v="9450545093-"/>
    <n v="2"/>
  </r>
  <r>
    <n v="8"/>
    <x v="8"/>
    <n v="9450545111"/>
    <s v="2018-08-31"/>
    <x v="3"/>
    <s v="2018-09-03"/>
    <n v="1"/>
    <n v="1"/>
    <s v="2018-09-06"/>
    <n v="0"/>
    <s v="-"/>
    <n v="1"/>
    <n v="1"/>
    <n v="1"/>
    <n v="1"/>
    <n v="100"/>
    <n v="1"/>
    <n v="0"/>
    <n v="1"/>
    <n v="0"/>
    <n v="1"/>
    <n v="1"/>
    <s v="9450545111-"/>
    <n v="1"/>
  </r>
  <r>
    <n v="8"/>
    <x v="8"/>
    <n v="9450545116"/>
    <s v="2018-08-31"/>
    <x v="3"/>
    <s v="2018-09-03"/>
    <n v="1"/>
    <n v="1"/>
    <s v="2018-09-06"/>
    <n v="0"/>
    <s v="-"/>
    <n v="1"/>
    <n v="1"/>
    <n v="1"/>
    <n v="1"/>
    <n v="100"/>
    <n v="1"/>
    <n v="0"/>
    <n v="1"/>
    <n v="0"/>
    <n v="1"/>
    <n v="1"/>
    <s v="9450545116-"/>
    <n v="1"/>
  </r>
  <r>
    <n v="8"/>
    <x v="8"/>
    <n v="9450545117"/>
    <s v="2018-08-31"/>
    <x v="9"/>
    <s v="2018-09-03"/>
    <n v="1"/>
    <n v="1"/>
    <s v="2018-09-06"/>
    <n v="0"/>
    <s v="-"/>
    <n v="1"/>
    <n v="1"/>
    <n v="1"/>
    <n v="1"/>
    <n v="100"/>
    <n v="1"/>
    <n v="0"/>
    <n v="1"/>
    <n v="0"/>
    <n v="1"/>
    <n v="1"/>
    <s v="9450545117-"/>
    <n v="1"/>
  </r>
  <r>
    <n v="8"/>
    <x v="8"/>
    <n v="9450545182"/>
    <s v="2018-09-03"/>
    <x v="26"/>
    <s v="2018-09-04"/>
    <n v="2"/>
    <n v="2"/>
    <s v="2018-09-06"/>
    <n v="0"/>
    <s v="-"/>
    <n v="2"/>
    <n v="1"/>
    <n v="1"/>
    <n v="1"/>
    <n v="100"/>
    <n v="2"/>
    <n v="0"/>
    <n v="2"/>
    <n v="0"/>
    <n v="1"/>
    <n v="1"/>
    <s v="9450545182-"/>
    <n v="2"/>
  </r>
  <r>
    <n v="8"/>
    <x v="8"/>
    <n v="9450545210"/>
    <s v="2018-09-03"/>
    <x v="26"/>
    <s v="2018-09-04"/>
    <n v="1"/>
    <n v="1"/>
    <s v="2018-09-06"/>
    <n v="0"/>
    <s v="-"/>
    <n v="1"/>
    <n v="1"/>
    <n v="1"/>
    <n v="1"/>
    <n v="100"/>
    <n v="1"/>
    <n v="0"/>
    <n v="1"/>
    <n v="0"/>
    <n v="1"/>
    <n v="1"/>
    <s v="9450545210-"/>
    <n v="1"/>
  </r>
  <r>
    <n v="8"/>
    <x v="8"/>
    <n v="9450545244"/>
    <s v="2018-09-03"/>
    <x v="16"/>
    <s v="2018-09-04"/>
    <n v="2"/>
    <n v="2"/>
    <s v="2018-09-06"/>
    <n v="0"/>
    <s v="-"/>
    <n v="2"/>
    <n v="1"/>
    <n v="1"/>
    <n v="1"/>
    <n v="100"/>
    <n v="2"/>
    <n v="0"/>
    <n v="2"/>
    <n v="0"/>
    <n v="1"/>
    <n v="1"/>
    <s v="9450545244-"/>
    <n v="2"/>
  </r>
  <r>
    <n v="8"/>
    <x v="8"/>
    <n v="9450545280"/>
    <s v="2018-09-04"/>
    <x v="11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9450545280-"/>
    <n v="1"/>
  </r>
  <r>
    <n v="8"/>
    <x v="8"/>
    <n v="9450545291"/>
    <s v="2018-09-04"/>
    <x v="16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9450545291-"/>
    <n v="1"/>
  </r>
  <r>
    <n v="8"/>
    <x v="8"/>
    <n v="9450545296"/>
    <s v="2018-09-04"/>
    <x v="28"/>
    <s v="2018-09-05"/>
    <n v="1"/>
    <n v="1"/>
    <s v="2018-09-11"/>
    <n v="0"/>
    <s v="-"/>
    <n v="1"/>
    <n v="1"/>
    <n v="1"/>
    <n v="1"/>
    <n v="100"/>
    <n v="1"/>
    <n v="0"/>
    <n v="1"/>
    <n v="0"/>
    <n v="1"/>
    <n v="1"/>
    <s v="9450545296-"/>
    <n v="1"/>
  </r>
  <r>
    <n v="8"/>
    <x v="8"/>
    <n v="9450545322"/>
    <s v="2018-09-05"/>
    <x v="11"/>
    <s v="2018-09-06"/>
    <n v="1"/>
    <n v="1"/>
    <s v="2018-09-11"/>
    <n v="0"/>
    <s v="-"/>
    <n v="1"/>
    <n v="1"/>
    <n v="1"/>
    <n v="1"/>
    <n v="100"/>
    <n v="1"/>
    <n v="0"/>
    <n v="1"/>
    <n v="0"/>
    <n v="1"/>
    <n v="1"/>
    <s v="9450545322-"/>
    <n v="1"/>
  </r>
  <r>
    <n v="8"/>
    <x v="8"/>
    <n v="9450545344"/>
    <s v="2018-09-05"/>
    <x v="28"/>
    <s v="2018-09-06"/>
    <n v="1"/>
    <n v="1"/>
    <s v="2018-09-11"/>
    <n v="0"/>
    <s v="-"/>
    <n v="1"/>
    <n v="1"/>
    <n v="1"/>
    <n v="1"/>
    <n v="100"/>
    <n v="1"/>
    <n v="0"/>
    <n v="1"/>
    <n v="0"/>
    <n v="1"/>
    <n v="1"/>
    <s v="9450545344-"/>
    <n v="1"/>
  </r>
  <r>
    <n v="8"/>
    <x v="8"/>
    <n v="9450545377"/>
    <s v="2018-09-06"/>
    <x v="28"/>
    <s v="2018-09-07"/>
    <n v="1"/>
    <n v="1"/>
    <s v="2018-09-11"/>
    <n v="0"/>
    <s v="-"/>
    <n v="1"/>
    <n v="1"/>
    <n v="1"/>
    <n v="1"/>
    <n v="100"/>
    <n v="1"/>
    <n v="0"/>
    <n v="1"/>
    <n v="0"/>
    <n v="1"/>
    <n v="1"/>
    <s v="9450545377-"/>
    <n v="1"/>
  </r>
  <r>
    <n v="8"/>
    <x v="8"/>
    <n v="9450545443"/>
    <s v="2018-09-07"/>
    <x v="28"/>
    <s v="2018-09-10"/>
    <n v="1"/>
    <n v="1"/>
    <s v="2018-09-11"/>
    <n v="0"/>
    <s v="-"/>
    <n v="1"/>
    <n v="1"/>
    <n v="1"/>
    <n v="1"/>
    <n v="100"/>
    <n v="1"/>
    <n v="0"/>
    <n v="1"/>
    <n v="0"/>
    <n v="1"/>
    <n v="1"/>
    <s v="9450545443-"/>
    <n v="1"/>
  </r>
  <r>
    <n v="8"/>
    <x v="8"/>
    <n v="9450545444"/>
    <s v="2018-09-07"/>
    <x v="28"/>
    <s v="2018-09-10"/>
    <n v="1"/>
    <n v="1"/>
    <s v="2018-09-11"/>
    <n v="0"/>
    <s v="-"/>
    <n v="1"/>
    <n v="1"/>
    <n v="1"/>
    <n v="1"/>
    <n v="100"/>
    <n v="1"/>
    <n v="0"/>
    <n v="1"/>
    <n v="0"/>
    <n v="1"/>
    <n v="1"/>
    <s v="9450545444-"/>
    <n v="1"/>
  </r>
  <r>
    <n v="8"/>
    <x v="8"/>
    <n v="9450545506"/>
    <s v="2018-09-10"/>
    <x v="10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450545506-"/>
    <n v="1"/>
  </r>
  <r>
    <n v="8"/>
    <x v="8"/>
    <n v="9450545519"/>
    <s v="2018-09-10"/>
    <x v="6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450545519-"/>
    <n v="1"/>
  </r>
  <r>
    <n v="8"/>
    <x v="8"/>
    <n v="9450545531"/>
    <s v="2018-09-10"/>
    <x v="28"/>
    <s v="2018-09-11"/>
    <n v="1"/>
    <n v="2"/>
    <s v="2018-09-20"/>
    <n v="1"/>
    <s v="-"/>
    <n v="1"/>
    <n v="1"/>
    <n v="0"/>
    <n v="0"/>
    <n v="100"/>
    <n v="0"/>
    <n v="1"/>
    <n v="1"/>
    <n v="0"/>
    <n v="1"/>
    <n v="0"/>
    <s v="9450545531-"/>
    <n v="1"/>
  </r>
  <r>
    <n v="8"/>
    <x v="8"/>
    <n v="9450545535"/>
    <s v="2018-09-10"/>
    <x v="10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450545535-"/>
    <n v="1"/>
  </r>
  <r>
    <n v="8"/>
    <x v="8"/>
    <n v="9450545536"/>
    <s v="2018-09-10"/>
    <x v="21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450545536-"/>
    <n v="1"/>
  </r>
  <r>
    <n v="8"/>
    <x v="8"/>
    <n v="9450545537"/>
    <s v="2018-09-10"/>
    <x v="10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450545537-"/>
    <n v="1"/>
  </r>
  <r>
    <n v="8"/>
    <x v="8"/>
    <n v="9450545538"/>
    <s v="2018-09-10"/>
    <x v="6"/>
    <s v="2018-09-11"/>
    <n v="1"/>
    <n v="1"/>
    <s v="2018-09-13"/>
    <n v="0"/>
    <s v="-"/>
    <n v="1"/>
    <n v="1"/>
    <n v="1"/>
    <n v="1"/>
    <n v="100"/>
    <n v="1"/>
    <n v="0"/>
    <n v="1"/>
    <n v="0"/>
    <n v="1"/>
    <n v="1"/>
    <s v="9450545538-"/>
    <n v="1"/>
  </r>
  <r>
    <n v="8"/>
    <x v="8"/>
    <n v="9450545599"/>
    <s v="2018-09-11"/>
    <x v="29"/>
    <s v="2018-09-12"/>
    <n v="1"/>
    <n v="1"/>
    <s v="2018-09-13"/>
    <n v="0"/>
    <s v="-"/>
    <n v="1"/>
    <n v="1"/>
    <n v="1"/>
    <n v="1"/>
    <n v="100"/>
    <n v="1"/>
    <n v="0"/>
    <n v="1"/>
    <n v="0"/>
    <n v="1"/>
    <n v="1"/>
    <s v="9450545599-"/>
    <n v="1"/>
  </r>
  <r>
    <n v="8"/>
    <x v="8"/>
    <n v="9450545600"/>
    <s v="2018-09-11"/>
    <x v="29"/>
    <s v="2018-09-12"/>
    <n v="2"/>
    <n v="2"/>
    <s v="2018-09-13"/>
    <n v="0"/>
    <s v="-"/>
    <n v="2"/>
    <n v="1"/>
    <n v="1"/>
    <n v="1"/>
    <n v="100"/>
    <n v="2"/>
    <n v="0"/>
    <n v="2"/>
    <n v="0"/>
    <n v="1"/>
    <n v="1"/>
    <s v="9450545600-"/>
    <n v="2"/>
  </r>
  <r>
    <n v="8"/>
    <x v="8"/>
    <n v="9450545633"/>
    <s v="2018-09-12"/>
    <x v="28"/>
    <s v="2018-09-13"/>
    <n v="1"/>
    <n v="1"/>
    <s v="2018-09-13"/>
    <n v="0"/>
    <s v="-"/>
    <n v="1"/>
    <n v="1"/>
    <n v="1"/>
    <n v="1"/>
    <n v="100"/>
    <n v="1"/>
    <n v="0"/>
    <n v="1"/>
    <n v="0"/>
    <n v="1"/>
    <n v="1"/>
    <s v="9450545633-"/>
    <n v="1"/>
  </r>
  <r>
    <n v="8"/>
    <x v="8"/>
    <n v="9450545643"/>
    <s v="2018-09-12"/>
    <x v="29"/>
    <s v="2018-09-13"/>
    <n v="1"/>
    <n v="1"/>
    <s v="2018-09-13"/>
    <n v="0"/>
    <s v="-"/>
    <n v="1"/>
    <n v="1"/>
    <n v="1"/>
    <n v="1"/>
    <n v="100"/>
    <n v="1"/>
    <n v="0"/>
    <n v="1"/>
    <n v="0"/>
    <n v="1"/>
    <n v="1"/>
    <s v="9450545643-"/>
    <n v="1"/>
  </r>
  <r>
    <n v="8"/>
    <x v="8"/>
    <n v="9450545648"/>
    <s v="2018-09-12"/>
    <x v="10"/>
    <s v="2018-09-13"/>
    <n v="16"/>
    <n v="16"/>
    <s v="2018-09-20"/>
    <n v="0"/>
    <s v="-"/>
    <n v="16"/>
    <n v="1"/>
    <n v="1"/>
    <n v="1"/>
    <n v="100"/>
    <n v="16"/>
    <n v="0"/>
    <n v="16"/>
    <n v="0"/>
    <n v="1"/>
    <n v="1"/>
    <s v="9450545648-"/>
    <n v="16"/>
  </r>
  <r>
    <n v="8"/>
    <x v="8"/>
    <n v="9450545672"/>
    <s v="2018-09-13"/>
    <x v="10"/>
    <s v="2018-09-14"/>
    <n v="1"/>
    <n v="1"/>
    <s v="2018-09-20"/>
    <n v="0"/>
    <s v="-"/>
    <n v="1"/>
    <n v="1"/>
    <n v="1"/>
    <n v="1"/>
    <n v="100"/>
    <n v="1"/>
    <n v="0"/>
    <n v="1"/>
    <n v="0"/>
    <n v="1"/>
    <n v="1"/>
    <s v="9450545672-"/>
    <n v="1"/>
  </r>
  <r>
    <n v="8"/>
    <x v="8"/>
    <n v="9450545673"/>
    <s v="2018-09-13"/>
    <x v="28"/>
    <s v="2018-09-14"/>
    <n v="1"/>
    <n v="1"/>
    <s v="2018-09-20"/>
    <n v="0"/>
    <s v="-"/>
    <n v="1"/>
    <n v="1"/>
    <n v="0"/>
    <n v="0"/>
    <n v="100"/>
    <n v="1"/>
    <n v="0"/>
    <n v="1"/>
    <n v="0"/>
    <n v="1"/>
    <n v="0"/>
    <s v="9450545673-"/>
    <n v="1"/>
  </r>
  <r>
    <n v="8"/>
    <x v="8"/>
    <n v="9450545722"/>
    <s v="2018-09-14"/>
    <x v="21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450545722-"/>
    <n v="1"/>
  </r>
  <r>
    <n v="8"/>
    <x v="8"/>
    <n v="9450545739"/>
    <s v="2018-09-14"/>
    <x v="5"/>
    <s v="2018-09-20"/>
    <n v="1"/>
    <n v="1"/>
    <s v="2018-09-24"/>
    <n v="0"/>
    <s v="-"/>
    <n v="1"/>
    <n v="1"/>
    <n v="1"/>
    <n v="1"/>
    <n v="100"/>
    <n v="1"/>
    <n v="0"/>
    <n v="1"/>
    <n v="0"/>
    <n v="1"/>
    <n v="1"/>
    <s v="9450545739-"/>
    <n v="1"/>
  </r>
  <r>
    <n v="8"/>
    <x v="8"/>
    <n v="9450545918"/>
    <s v="2018-09-20"/>
    <x v="22"/>
    <s v="2018-09-21"/>
    <n v="1"/>
    <n v="1"/>
    <s v="2018-09-25"/>
    <n v="0"/>
    <s v="-"/>
    <n v="1"/>
    <n v="1"/>
    <n v="1"/>
    <n v="1"/>
    <n v="100"/>
    <n v="1"/>
    <n v="0"/>
    <n v="1"/>
    <n v="0"/>
    <n v="1"/>
    <n v="1"/>
    <s v="9450545918-"/>
    <n v="1"/>
  </r>
  <r>
    <n v="9"/>
    <x v="9"/>
    <n v="9175816"/>
    <s v="1900-01-01"/>
    <x v="13"/>
    <s v="1900-01-01"/>
    <n v="1"/>
    <n v="1"/>
    <s v="2018-08-03"/>
    <n v="0"/>
    <s v="-"/>
    <n v="1"/>
    <n v="1"/>
    <n v="1"/>
    <n v="1"/>
    <n v="100"/>
    <n v="1"/>
    <n v="0"/>
    <n v="1"/>
    <n v="0"/>
    <n v="1"/>
    <n v="1"/>
    <s v="9175816-"/>
    <n v="1"/>
  </r>
  <r>
    <n v="9"/>
    <x v="9"/>
    <n v="9176737"/>
    <s v="1900-01-01"/>
    <x v="14"/>
    <s v="1900-01-01"/>
    <n v="1"/>
    <n v="1"/>
    <s v="2018-08-03"/>
    <n v="0"/>
    <s v="-"/>
    <n v="1"/>
    <n v="1"/>
    <n v="1"/>
    <n v="1"/>
    <n v="100"/>
    <n v="1"/>
    <n v="0"/>
    <n v="1"/>
    <n v="0"/>
    <n v="1"/>
    <n v="1"/>
    <s v="9176737-"/>
    <n v="1"/>
  </r>
  <r>
    <n v="9"/>
    <x v="9"/>
    <n v="9179737"/>
    <s v="1900-01-01"/>
    <x v="15"/>
    <s v="1900-01-01"/>
    <n v="1"/>
    <n v="1"/>
    <s v="2018-08-07"/>
    <n v="0"/>
    <s v="-"/>
    <n v="1"/>
    <n v="1"/>
    <n v="1"/>
    <n v="1"/>
    <n v="100"/>
    <n v="1"/>
    <n v="0"/>
    <n v="1"/>
    <n v="0"/>
    <n v="1"/>
    <n v="1"/>
    <s v="9179737-"/>
    <n v="1"/>
  </r>
  <r>
    <n v="9"/>
    <x v="9"/>
    <n v="9179840"/>
    <s v="1900-01-01"/>
    <x v="15"/>
    <s v="1900-01-01"/>
    <n v="1"/>
    <n v="1"/>
    <s v="2018-08-31"/>
    <n v="0"/>
    <s v="-"/>
    <n v="1"/>
    <n v="1"/>
    <n v="1"/>
    <n v="1"/>
    <n v="100"/>
    <n v="1"/>
    <n v="0"/>
    <n v="1"/>
    <n v="0"/>
    <n v="1"/>
    <n v="1"/>
    <s v="9179840-"/>
    <n v="1"/>
  </r>
  <r>
    <n v="9"/>
    <x v="9"/>
    <n v="9180949"/>
    <s v="1900-01-01"/>
    <x v="27"/>
    <s v="1900-01-01"/>
    <n v="1"/>
    <n v="1"/>
    <s v="2018-08-13"/>
    <n v="0"/>
    <s v="-"/>
    <n v="1"/>
    <n v="1"/>
    <n v="1"/>
    <n v="1"/>
    <n v="100"/>
    <n v="1"/>
    <n v="0"/>
    <n v="1"/>
    <n v="0"/>
    <n v="1"/>
    <n v="1"/>
    <s v="9180949-"/>
    <n v="1"/>
  </r>
  <r>
    <n v="9"/>
    <x v="9"/>
    <n v="9181883"/>
    <s v="1900-01-01"/>
    <x v="26"/>
    <s v="1900-01-01"/>
    <n v="1"/>
    <n v="1"/>
    <s v="2018-08-17"/>
    <n v="0"/>
    <s v="-"/>
    <n v="1"/>
    <n v="1"/>
    <n v="1"/>
    <n v="1"/>
    <n v="100"/>
    <n v="1"/>
    <n v="0"/>
    <n v="1"/>
    <n v="0"/>
    <n v="1"/>
    <n v="1"/>
    <s v="9181883-"/>
    <n v="1"/>
  </r>
  <r>
    <n v="9"/>
    <x v="9"/>
    <n v="9182636"/>
    <s v="1900-01-01"/>
    <x v="3"/>
    <s v="1900-01-01"/>
    <n v="1"/>
    <n v="1"/>
    <s v="2018-08-17"/>
    <n v="0"/>
    <s v="-"/>
    <n v="1"/>
    <n v="1"/>
    <n v="1"/>
    <n v="1"/>
    <n v="100"/>
    <n v="1"/>
    <n v="0"/>
    <n v="1"/>
    <n v="0"/>
    <n v="1"/>
    <n v="1"/>
    <s v="9182636-"/>
    <n v="1"/>
  </r>
  <r>
    <n v="9"/>
    <x v="9"/>
    <n v="9189076"/>
    <s v="2018-08-23"/>
    <x v="29"/>
    <s v="2018-08-24"/>
    <n v="1"/>
    <n v="1"/>
    <s v="2018-08-29"/>
    <n v="0"/>
    <s v="-"/>
    <n v="1"/>
    <n v="1"/>
    <n v="1"/>
    <n v="1"/>
    <n v="100"/>
    <n v="1"/>
    <n v="0"/>
    <n v="1"/>
    <n v="0"/>
    <n v="1"/>
    <n v="1"/>
    <s v="9189076-"/>
    <n v="1"/>
  </r>
  <r>
    <n v="9"/>
    <x v="9"/>
    <n v="9195713"/>
    <s v="2018-09-03"/>
    <x v="15"/>
    <s v="2018-09-04"/>
    <n v="16"/>
    <n v="16"/>
    <s v="2018-09-10"/>
    <n v="0"/>
    <s v="-"/>
    <n v="16"/>
    <n v="1"/>
    <n v="0"/>
    <n v="0"/>
    <n v="100"/>
    <n v="16"/>
    <n v="0"/>
    <n v="16"/>
    <n v="0"/>
    <n v="1"/>
    <n v="0"/>
    <s v="9195713-"/>
    <n v="16"/>
  </r>
  <r>
    <n v="9"/>
    <x v="9"/>
    <n v="9197926"/>
    <s v="2018-09-05"/>
    <x v="16"/>
    <s v="2018-09-07"/>
    <n v="180"/>
    <n v="180"/>
    <s v="2018-09-11"/>
    <n v="0"/>
    <s v="-"/>
    <n v="180"/>
    <n v="1"/>
    <n v="1"/>
    <n v="1"/>
    <n v="100"/>
    <n v="180"/>
    <n v="0"/>
    <n v="180"/>
    <n v="0"/>
    <n v="1"/>
    <n v="1"/>
    <s v="9197926-"/>
    <n v="180"/>
  </r>
  <r>
    <n v="9"/>
    <x v="9"/>
    <n v="9197927"/>
    <s v="2018-09-05"/>
    <x v="16"/>
    <s v="2018-09-07"/>
    <n v="12"/>
    <n v="12"/>
    <s v="2018-09-12"/>
    <n v="0"/>
    <s v="-"/>
    <n v="12"/>
    <n v="1"/>
    <n v="1"/>
    <n v="1"/>
    <n v="100"/>
    <n v="12"/>
    <n v="0"/>
    <n v="12"/>
    <n v="0"/>
    <n v="1"/>
    <n v="1"/>
    <s v="9197927-"/>
    <n v="12"/>
  </r>
  <r>
    <n v="9"/>
    <x v="9"/>
    <n v="9198487"/>
    <s v="2018-09-06"/>
    <x v="11"/>
    <s v="2018-09-07"/>
    <n v="20"/>
    <n v="20"/>
    <s v="2018-09-13"/>
    <n v="0"/>
    <s v="-"/>
    <n v="20"/>
    <n v="1"/>
    <n v="1"/>
    <n v="1"/>
    <n v="100"/>
    <n v="20"/>
    <n v="0"/>
    <n v="20"/>
    <n v="0"/>
    <n v="1"/>
    <n v="1"/>
    <s v="9198487-"/>
    <n v="20"/>
  </r>
  <r>
    <n v="9"/>
    <x v="9"/>
    <n v="9204926"/>
    <s v="2018-09-20"/>
    <x v="7"/>
    <s v="2018-09-21"/>
    <n v="25"/>
    <n v="25"/>
    <s v="2018-09-25"/>
    <n v="0"/>
    <s v="-"/>
    <n v="25"/>
    <n v="1"/>
    <n v="1"/>
    <n v="1"/>
    <n v="100"/>
    <n v="25"/>
    <n v="0"/>
    <n v="25"/>
    <n v="0"/>
    <n v="1"/>
    <n v="1"/>
    <s v="9204926-"/>
    <n v="25"/>
  </r>
  <r>
    <n v="10"/>
    <x v="10"/>
    <n v="31"/>
    <s v="2018-08-29"/>
    <x v="14"/>
    <s v="2018-08-29"/>
    <n v="10"/>
    <n v="10"/>
    <s v="2018-08-31"/>
    <n v="0"/>
    <s v="-"/>
    <n v="10"/>
    <n v="1"/>
    <n v="1"/>
    <n v="1"/>
    <n v="100"/>
    <n v="10"/>
    <n v="0"/>
    <n v="10"/>
    <n v="0"/>
    <n v="1"/>
    <n v="1"/>
    <s v="31-"/>
    <n v="10"/>
  </r>
  <r>
    <n v="10"/>
    <x v="10"/>
    <n v="32"/>
    <s v="2018-08-29"/>
    <x v="14"/>
    <s v="2018-08-29"/>
    <n v="100"/>
    <n v="100"/>
    <s v="2018-08-31"/>
    <n v="0"/>
    <s v="-"/>
    <n v="100"/>
    <n v="1"/>
    <n v="1"/>
    <n v="1"/>
    <n v="100"/>
    <n v="100"/>
    <n v="0"/>
    <n v="100"/>
    <n v="0"/>
    <n v="1"/>
    <n v="1"/>
    <s v="32-"/>
    <n v="100"/>
  </r>
  <r>
    <n v="24"/>
    <x v="11"/>
    <n v="5096593"/>
    <s v="1900-01-01"/>
    <x v="14"/>
    <s v="1900-01-01"/>
    <n v="18"/>
    <n v="9"/>
    <s v="2018-08-16"/>
    <n v="0"/>
    <s v="-"/>
    <n v="9"/>
    <n v="0"/>
    <n v="1"/>
    <n v="0"/>
    <n v="50"/>
    <n v="9"/>
    <n v="0"/>
    <n v="9"/>
    <n v="9"/>
    <n v="1"/>
    <n v="0"/>
    <s v="5096593-"/>
    <n v="9"/>
  </r>
  <r>
    <n v="24"/>
    <x v="11"/>
    <n v="5096657"/>
    <s v="1900-01-01"/>
    <x v="14"/>
    <s v="1900-01-01"/>
    <n v="1"/>
    <n v="0"/>
    <s v="1900-01-01"/>
    <n v="0"/>
    <s v="-"/>
    <n v="0"/>
    <n v="0"/>
    <n v="0"/>
    <n v="0"/>
    <n v="0"/>
    <n v="0"/>
    <n v="0"/>
    <n v="0"/>
    <n v="1"/>
    <n v="1"/>
    <n v="0"/>
    <s v="5096657-"/>
    <n v="0"/>
  </r>
  <r>
    <n v="24"/>
    <x v="11"/>
    <n v="5096674"/>
    <s v="1900-01-01"/>
    <x v="14"/>
    <s v="1900-01-01"/>
    <n v="1"/>
    <n v="0"/>
    <s v="1900-01-01"/>
    <n v="0"/>
    <s v="-"/>
    <n v="0"/>
    <n v="0"/>
    <n v="0"/>
    <n v="0"/>
    <n v="0"/>
    <n v="0"/>
    <n v="0"/>
    <n v="0"/>
    <n v="1"/>
    <n v="1"/>
    <n v="0"/>
    <s v="5096674-"/>
    <n v="0"/>
  </r>
  <r>
    <n v="24"/>
    <x v="11"/>
    <n v="5097721"/>
    <s v="2018-08-14"/>
    <x v="12"/>
    <s v="2018-08-21"/>
    <n v="1"/>
    <n v="1"/>
    <s v="2018-08-27"/>
    <n v="0"/>
    <s v="-"/>
    <n v="1"/>
    <n v="1"/>
    <n v="1"/>
    <n v="1"/>
    <n v="100"/>
    <n v="1"/>
    <n v="0"/>
    <n v="1"/>
    <n v="0"/>
    <n v="1"/>
    <n v="1"/>
    <s v="5097721-"/>
    <n v="1"/>
  </r>
  <r>
    <n v="24"/>
    <x v="11"/>
    <n v="5098216"/>
    <s v="2018-08-17"/>
    <x v="12"/>
    <s v="2018-08-17"/>
    <n v="1"/>
    <n v="1"/>
    <s v="2018-08-27"/>
    <n v="0"/>
    <s v="-"/>
    <n v="1"/>
    <n v="1"/>
    <n v="1"/>
    <n v="1"/>
    <n v="100"/>
    <n v="1"/>
    <n v="0"/>
    <n v="1"/>
    <n v="0"/>
    <n v="1"/>
    <n v="1"/>
    <s v="5098216-"/>
    <n v="1"/>
  </r>
  <r>
    <n v="24"/>
    <x v="11"/>
    <n v="5098347"/>
    <s v="2018-08-17"/>
    <x v="13"/>
    <s v="2018-08-20"/>
    <n v="1"/>
    <n v="1"/>
    <s v="2018-08-29"/>
    <n v="0"/>
    <s v="-"/>
    <n v="1"/>
    <n v="1"/>
    <n v="1"/>
    <n v="1"/>
    <n v="100"/>
    <n v="1"/>
    <n v="0"/>
    <n v="1"/>
    <n v="0"/>
    <n v="1"/>
    <n v="1"/>
    <s v="5098347-"/>
    <n v="1"/>
  </r>
  <r>
    <n v="24"/>
    <x v="11"/>
    <n v="5098959"/>
    <s v="2018-08-20"/>
    <x v="12"/>
    <s v="2018-08-21"/>
    <n v="1"/>
    <n v="1"/>
    <s v="2018-08-27"/>
    <n v="0"/>
    <s v="-"/>
    <n v="1"/>
    <n v="1"/>
    <n v="1"/>
    <n v="1"/>
    <n v="100"/>
    <n v="1"/>
    <n v="0"/>
    <n v="1"/>
    <n v="0"/>
    <n v="1"/>
    <n v="1"/>
    <s v="5098959-"/>
    <n v="1"/>
  </r>
  <r>
    <n v="24"/>
    <x v="11"/>
    <n v="5098961"/>
    <s v="2018-08-20"/>
    <x v="0"/>
    <s v="2018-08-21"/>
    <n v="1"/>
    <n v="1"/>
    <s v="2018-08-31"/>
    <n v="0"/>
    <s v="-"/>
    <n v="1"/>
    <n v="1"/>
    <n v="1"/>
    <n v="1"/>
    <n v="100"/>
    <n v="1"/>
    <n v="0"/>
    <n v="1"/>
    <n v="0"/>
    <n v="1"/>
    <n v="1"/>
    <s v="5098961-"/>
    <n v="1"/>
  </r>
  <r>
    <n v="24"/>
    <x v="11"/>
    <n v="5098969"/>
    <s v="2018-08-21"/>
    <x v="17"/>
    <s v="2018-08-21"/>
    <n v="1"/>
    <n v="1"/>
    <s v="2018-08-29"/>
    <n v="0"/>
    <s v="-"/>
    <n v="1"/>
    <n v="1"/>
    <n v="1"/>
    <n v="1"/>
    <n v="100"/>
    <n v="1"/>
    <n v="0"/>
    <n v="1"/>
    <n v="0"/>
    <n v="1"/>
    <n v="1"/>
    <s v="5098969-"/>
    <n v="1"/>
  </r>
  <r>
    <n v="24"/>
    <x v="11"/>
    <n v="5099042"/>
    <s v="2018-08-21"/>
    <x v="12"/>
    <s v="2018-08-22"/>
    <n v="1"/>
    <n v="1"/>
    <s v="2018-08-27"/>
    <n v="0"/>
    <s v="-"/>
    <n v="1"/>
    <n v="1"/>
    <n v="1"/>
    <n v="1"/>
    <n v="100"/>
    <n v="1"/>
    <n v="0"/>
    <n v="1"/>
    <n v="0"/>
    <n v="1"/>
    <n v="1"/>
    <s v="5099042-"/>
    <n v="1"/>
  </r>
  <r>
    <n v="24"/>
    <x v="11"/>
    <n v="5099151"/>
    <s v="2018-08-21"/>
    <x v="17"/>
    <s v="2018-08-22"/>
    <n v="1"/>
    <n v="1"/>
    <s v="2018-08-29"/>
    <n v="0"/>
    <s v="-"/>
    <n v="1"/>
    <n v="1"/>
    <n v="1"/>
    <n v="1"/>
    <n v="100"/>
    <n v="1"/>
    <n v="0"/>
    <n v="1"/>
    <n v="0"/>
    <n v="1"/>
    <n v="1"/>
    <s v="5099151-"/>
    <n v="1"/>
  </r>
  <r>
    <n v="24"/>
    <x v="11"/>
    <n v="5099219"/>
    <s v="2018-08-21"/>
    <x v="2"/>
    <s v="2018-08-23"/>
    <n v="1"/>
    <n v="1"/>
    <s v="2018-08-27"/>
    <n v="0"/>
    <s v="-"/>
    <n v="1"/>
    <n v="1"/>
    <n v="1"/>
    <n v="1"/>
    <n v="100"/>
    <n v="1"/>
    <n v="0"/>
    <n v="1"/>
    <n v="0"/>
    <n v="1"/>
    <n v="1"/>
    <s v="5099219-"/>
    <n v="1"/>
  </r>
  <r>
    <n v="24"/>
    <x v="11"/>
    <n v="5099240"/>
    <s v="2018-08-22"/>
    <x v="2"/>
    <s v="2018-08-23"/>
    <n v="1"/>
    <n v="1"/>
    <s v="2018-08-27"/>
    <n v="0"/>
    <s v="-"/>
    <n v="1"/>
    <n v="1"/>
    <n v="1"/>
    <n v="1"/>
    <n v="100"/>
    <n v="1"/>
    <n v="0"/>
    <n v="1"/>
    <n v="0"/>
    <n v="1"/>
    <n v="1"/>
    <s v="5099240-"/>
    <n v="1"/>
  </r>
  <r>
    <n v="24"/>
    <x v="11"/>
    <n v="5099362"/>
    <s v="2018-08-22"/>
    <x v="13"/>
    <s v="2018-08-23"/>
    <n v="8"/>
    <n v="0"/>
    <s v="1900-01-01"/>
    <n v="0"/>
    <s v="-"/>
    <n v="0"/>
    <n v="0"/>
    <n v="0"/>
    <n v="0"/>
    <n v="0"/>
    <n v="0"/>
    <n v="0"/>
    <n v="0"/>
    <n v="8"/>
    <n v="1"/>
    <n v="0"/>
    <s v="5099362-"/>
    <n v="0"/>
  </r>
  <r>
    <n v="24"/>
    <x v="11"/>
    <n v="5099462"/>
    <s v="2018-08-23"/>
    <x v="14"/>
    <s v="2018-08-24"/>
    <n v="1097"/>
    <n v="990"/>
    <s v="2018-08-30"/>
    <n v="404"/>
    <s v="-"/>
    <n v="586"/>
    <n v="0"/>
    <n v="1"/>
    <n v="0"/>
    <n v="53.418413855970826"/>
    <n v="586"/>
    <n v="0"/>
    <n v="182"/>
    <n v="915"/>
    <n v="1"/>
    <n v="0"/>
    <s v="5099462-"/>
    <n v="586"/>
  </r>
  <r>
    <n v="24"/>
    <x v="11"/>
    <n v="5099481"/>
    <s v="2018-08-23"/>
    <x v="18"/>
    <s v="2018-08-24"/>
    <n v="2"/>
    <n v="0"/>
    <s v="1900-01-01"/>
    <n v="0"/>
    <s v="-"/>
    <n v="0"/>
    <n v="0"/>
    <n v="0"/>
    <n v="0"/>
    <n v="0"/>
    <n v="0"/>
    <n v="0"/>
    <n v="0"/>
    <n v="2"/>
    <n v="1"/>
    <n v="0"/>
    <s v="5099481-"/>
    <n v="0"/>
  </r>
  <r>
    <n v="24"/>
    <x v="11"/>
    <n v="5099718"/>
    <s v="2018-08-24"/>
    <x v="18"/>
    <s v="2018-08-27"/>
    <n v="1"/>
    <n v="1"/>
    <s v="2018-08-31"/>
    <n v="0"/>
    <s v="-"/>
    <n v="1"/>
    <n v="1"/>
    <n v="1"/>
    <n v="1"/>
    <n v="100"/>
    <n v="1"/>
    <n v="0"/>
    <n v="1"/>
    <n v="0"/>
    <n v="1"/>
    <n v="1"/>
    <s v="5099718-"/>
    <n v="1"/>
  </r>
  <r>
    <n v="24"/>
    <x v="11"/>
    <n v="5100233"/>
    <s v="2018-08-26"/>
    <x v="15"/>
    <s v="2018-08-31"/>
    <n v="1"/>
    <n v="1"/>
    <s v="2018-09-05"/>
    <n v="0"/>
    <s v="-"/>
    <n v="1"/>
    <n v="1"/>
    <n v="1"/>
    <n v="1"/>
    <n v="100"/>
    <n v="1"/>
    <n v="0"/>
    <n v="1"/>
    <n v="0"/>
    <n v="1"/>
    <n v="1"/>
    <s v="5100233-"/>
    <n v="1"/>
  </r>
  <r>
    <n v="24"/>
    <x v="11"/>
    <n v="5100902"/>
    <s v="2018-08-29"/>
    <x v="26"/>
    <s v="2018-08-30"/>
    <n v="30"/>
    <n v="0"/>
    <s v="1900-01-01"/>
    <n v="0"/>
    <s v="-"/>
    <n v="0"/>
    <n v="0"/>
    <n v="0"/>
    <n v="0"/>
    <n v="0"/>
    <n v="0"/>
    <n v="0"/>
    <n v="0"/>
    <n v="30"/>
    <n v="1"/>
    <n v="0"/>
    <s v="5100902-"/>
    <n v="0"/>
  </r>
  <r>
    <n v="24"/>
    <x v="11"/>
    <n v="5101013"/>
    <s v="2018-08-29"/>
    <x v="26"/>
    <s v="2018-08-30"/>
    <n v="30"/>
    <n v="30"/>
    <s v="2018-08-31"/>
    <n v="0"/>
    <s v="-"/>
    <n v="30"/>
    <n v="1"/>
    <n v="1"/>
    <n v="1"/>
    <n v="100"/>
    <n v="30"/>
    <n v="0"/>
    <n v="30"/>
    <n v="0"/>
    <n v="1"/>
    <n v="1"/>
    <s v="5101013-"/>
    <n v="30"/>
  </r>
  <r>
    <n v="24"/>
    <x v="11"/>
    <n v="5101084"/>
    <s v="2018-08-29"/>
    <x v="1"/>
    <s v="2018-08-30"/>
    <n v="1"/>
    <n v="1"/>
    <s v="2018-09-04"/>
    <n v="0"/>
    <s v="-"/>
    <n v="1"/>
    <n v="1"/>
    <n v="1"/>
    <n v="1"/>
    <n v="100"/>
    <n v="1"/>
    <n v="0"/>
    <n v="1"/>
    <n v="0"/>
    <n v="1"/>
    <n v="1"/>
    <s v="5101084-"/>
    <n v="1"/>
  </r>
  <r>
    <n v="24"/>
    <x v="11"/>
    <n v="5101219"/>
    <s v="2018-08-30"/>
    <x v="3"/>
    <s v="2018-08-31"/>
    <n v="1"/>
    <n v="1"/>
    <s v="2018-09-10"/>
    <n v="0"/>
    <s v="-"/>
    <n v="1"/>
    <n v="1"/>
    <n v="1"/>
    <n v="1"/>
    <n v="100"/>
    <n v="1"/>
    <n v="0"/>
    <n v="1"/>
    <n v="0"/>
    <n v="1"/>
    <n v="1"/>
    <s v="5101219-"/>
    <n v="1"/>
  </r>
  <r>
    <n v="24"/>
    <x v="11"/>
    <n v="5101343"/>
    <s v="2018-08-31"/>
    <x v="26"/>
    <s v="2018-09-03"/>
    <n v="1310"/>
    <n v="340"/>
    <s v="2018-09-05"/>
    <n v="0"/>
    <s v="-"/>
    <n v="340"/>
    <n v="0"/>
    <n v="1"/>
    <n v="0"/>
    <n v="25.954198473282442"/>
    <n v="340"/>
    <n v="0"/>
    <n v="340"/>
    <n v="970"/>
    <n v="1"/>
    <n v="0"/>
    <s v="5101343-"/>
    <n v="340"/>
  </r>
  <r>
    <n v="24"/>
    <x v="11"/>
    <n v="5101382"/>
    <s v="2018-08-31"/>
    <x v="27"/>
    <s v="2018-09-03"/>
    <n v="1"/>
    <n v="1"/>
    <s v="2018-09-04"/>
    <n v="0"/>
    <s v="-"/>
    <n v="1"/>
    <n v="1"/>
    <n v="1"/>
    <n v="1"/>
    <n v="100"/>
    <n v="1"/>
    <n v="0"/>
    <n v="1"/>
    <n v="0"/>
    <n v="1"/>
    <n v="1"/>
    <s v="5101382-"/>
    <n v="1"/>
  </r>
  <r>
    <n v="24"/>
    <x v="11"/>
    <n v="5101545"/>
    <s v="2018-08-3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5101545-"/>
    <n v="1"/>
  </r>
  <r>
    <n v="24"/>
    <x v="11"/>
    <n v="5101609"/>
    <s v="2018-09-01"/>
    <x v="7"/>
    <s v="2018-09-03"/>
    <n v="1"/>
    <n v="1"/>
    <s v="2018-09-25"/>
    <n v="0"/>
    <s v="-"/>
    <n v="1"/>
    <n v="1"/>
    <n v="1"/>
    <n v="1"/>
    <n v="100"/>
    <n v="1"/>
    <n v="0"/>
    <n v="1"/>
    <n v="0"/>
    <n v="1"/>
    <n v="1"/>
    <s v="5101609-"/>
    <n v="1"/>
  </r>
  <r>
    <n v="24"/>
    <x v="11"/>
    <n v="5101799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5101799-"/>
    <n v="1"/>
  </r>
  <r>
    <n v="24"/>
    <x v="11"/>
    <n v="5101844"/>
    <s v="2018-09-01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5101844-"/>
    <n v="1"/>
  </r>
  <r>
    <n v="24"/>
    <x v="11"/>
    <n v="5102039"/>
    <s v="2018-09-02"/>
    <x v="9"/>
    <s v="2018-09-03"/>
    <n v="1"/>
    <n v="1"/>
    <s v="2018-09-10"/>
    <n v="0"/>
    <s v="-"/>
    <n v="1"/>
    <n v="1"/>
    <n v="1"/>
    <n v="1"/>
    <n v="100"/>
    <n v="1"/>
    <n v="0"/>
    <n v="1"/>
    <n v="0"/>
    <n v="1"/>
    <n v="1"/>
    <s v="5102039-"/>
    <n v="1"/>
  </r>
  <r>
    <n v="24"/>
    <x v="11"/>
    <n v="5102070"/>
    <s v="2018-09-03"/>
    <x v="26"/>
    <s v="2018-09-04"/>
    <n v="400"/>
    <n v="200"/>
    <s v="2018-09-05"/>
    <n v="0"/>
    <s v="-"/>
    <n v="200"/>
    <n v="0"/>
    <n v="1"/>
    <n v="0"/>
    <n v="50"/>
    <n v="200"/>
    <n v="0"/>
    <n v="200"/>
    <n v="200"/>
    <n v="1"/>
    <n v="0"/>
    <s v="5102070-"/>
    <n v="200"/>
  </r>
  <r>
    <n v="24"/>
    <x v="11"/>
    <n v="5102329"/>
    <s v="2018-09-03"/>
    <x v="9"/>
    <s v="2018-09-04"/>
    <n v="1"/>
    <n v="1"/>
    <s v="2018-09-10"/>
    <n v="0"/>
    <s v="-"/>
    <n v="1"/>
    <n v="1"/>
    <n v="1"/>
    <n v="1"/>
    <n v="100"/>
    <n v="1"/>
    <n v="0"/>
    <n v="1"/>
    <n v="0"/>
    <n v="1"/>
    <n v="1"/>
    <s v="5102329-"/>
    <n v="1"/>
  </r>
  <r>
    <n v="24"/>
    <x v="11"/>
    <n v="5102384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384-"/>
    <n v="1"/>
  </r>
  <r>
    <n v="24"/>
    <x v="11"/>
    <n v="5102386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386-"/>
    <n v="1"/>
  </r>
  <r>
    <n v="24"/>
    <x v="11"/>
    <n v="5102503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503-"/>
    <n v="1"/>
  </r>
  <r>
    <n v="24"/>
    <x v="11"/>
    <n v="5102601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601-"/>
    <n v="1"/>
  </r>
  <r>
    <n v="24"/>
    <x v="11"/>
    <n v="5102640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640-"/>
    <n v="1"/>
  </r>
  <r>
    <n v="24"/>
    <x v="11"/>
    <n v="5102644"/>
    <s v="2018-09-04"/>
    <x v="9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644-"/>
    <n v="1"/>
  </r>
  <r>
    <n v="24"/>
    <x v="11"/>
    <n v="5102658"/>
    <s v="2018-09-04"/>
    <x v="10"/>
    <s v="2018-09-05"/>
    <n v="1"/>
    <n v="1"/>
    <s v="2018-09-21"/>
    <n v="0"/>
    <s v="-"/>
    <n v="1"/>
    <n v="1"/>
    <n v="1"/>
    <n v="1"/>
    <n v="100"/>
    <n v="1"/>
    <n v="0"/>
    <n v="1"/>
    <n v="0"/>
    <n v="1"/>
    <n v="1"/>
    <s v="5102658-"/>
    <n v="1"/>
  </r>
  <r>
    <n v="24"/>
    <x v="11"/>
    <n v="5102671"/>
    <s v="2018-09-04"/>
    <x v="3"/>
    <s v="2018-09-05"/>
    <n v="1"/>
    <n v="1"/>
    <s v="2018-09-10"/>
    <n v="0"/>
    <s v="-"/>
    <n v="1"/>
    <n v="1"/>
    <n v="1"/>
    <n v="1"/>
    <n v="100"/>
    <n v="1"/>
    <n v="0"/>
    <n v="1"/>
    <n v="0"/>
    <n v="1"/>
    <n v="1"/>
    <s v="5102671-"/>
    <n v="1"/>
  </r>
  <r>
    <n v="24"/>
    <x v="11"/>
    <n v="5102747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2747-"/>
    <n v="1"/>
  </r>
  <r>
    <n v="24"/>
    <x v="11"/>
    <n v="5102771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2771-"/>
    <n v="1"/>
  </r>
  <r>
    <n v="24"/>
    <x v="11"/>
    <n v="5102884"/>
    <s v="2018-09-05"/>
    <x v="22"/>
    <s v="2018-09-06"/>
    <n v="1"/>
    <n v="1"/>
    <s v="2018-09-25"/>
    <n v="0"/>
    <s v="-"/>
    <n v="1"/>
    <n v="1"/>
    <n v="1"/>
    <n v="1"/>
    <n v="100"/>
    <n v="1"/>
    <n v="0"/>
    <n v="1"/>
    <n v="0"/>
    <n v="1"/>
    <n v="1"/>
    <s v="5102884-"/>
    <n v="1"/>
  </r>
  <r>
    <n v="24"/>
    <x v="11"/>
    <n v="5102893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2893-"/>
    <n v="1"/>
  </r>
  <r>
    <n v="24"/>
    <x v="11"/>
    <n v="5103077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3077-"/>
    <n v="1"/>
  </r>
  <r>
    <n v="24"/>
    <x v="11"/>
    <n v="5103162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3162-"/>
    <n v="1"/>
  </r>
  <r>
    <n v="24"/>
    <x v="11"/>
    <n v="5103234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3234-"/>
    <n v="1"/>
  </r>
  <r>
    <n v="24"/>
    <x v="11"/>
    <n v="5103237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3237-"/>
    <n v="1"/>
  </r>
  <r>
    <n v="24"/>
    <x v="11"/>
    <n v="5103279"/>
    <s v="2018-09-05"/>
    <x v="3"/>
    <s v="2018-09-06"/>
    <n v="1"/>
    <n v="1"/>
    <s v="2018-09-10"/>
    <n v="0"/>
    <s v="-"/>
    <n v="1"/>
    <n v="1"/>
    <n v="1"/>
    <n v="1"/>
    <n v="100"/>
    <n v="1"/>
    <n v="0"/>
    <n v="1"/>
    <n v="0"/>
    <n v="1"/>
    <n v="1"/>
    <s v="5103279-"/>
    <n v="1"/>
  </r>
  <r>
    <n v="24"/>
    <x v="11"/>
    <n v="5103292"/>
    <s v="2018-09-05"/>
    <x v="7"/>
    <s v="2018-09-06"/>
    <n v="2"/>
    <n v="4"/>
    <s v="2018-10-01"/>
    <n v="2"/>
    <s v="-"/>
    <n v="2"/>
    <n v="1"/>
    <n v="0"/>
    <n v="0"/>
    <n v="100"/>
    <n v="0"/>
    <n v="2"/>
    <n v="2"/>
    <n v="0"/>
    <n v="1"/>
    <n v="0"/>
    <s v="5103292-"/>
    <n v="2"/>
  </r>
  <r>
    <n v="24"/>
    <x v="11"/>
    <n v="5103426"/>
    <s v="2018-09-06"/>
    <x v="7"/>
    <s v="2018-09-07"/>
    <n v="1"/>
    <n v="1"/>
    <s v="2018-09-25"/>
    <n v="0"/>
    <s v="-"/>
    <n v="1"/>
    <n v="1"/>
    <n v="1"/>
    <n v="1"/>
    <n v="100"/>
    <n v="1"/>
    <n v="0"/>
    <n v="1"/>
    <n v="0"/>
    <n v="1"/>
    <n v="1"/>
    <s v="5103426-"/>
    <n v="1"/>
  </r>
  <r>
    <n v="24"/>
    <x v="11"/>
    <n v="5103550"/>
    <s v="2018-09-06"/>
    <x v="30"/>
    <s v="2018-09-07"/>
    <n v="1810"/>
    <n v="1440"/>
    <s v="2018-09-15"/>
    <n v="1"/>
    <s v="-"/>
    <n v="1439"/>
    <n v="0"/>
    <n v="1"/>
    <n v="0"/>
    <n v="79.502762430939228"/>
    <n v="1439"/>
    <n v="0"/>
    <n v="1438"/>
    <n v="372"/>
    <n v="1"/>
    <n v="0"/>
    <s v="5103550-"/>
    <n v="1439"/>
  </r>
  <r>
    <n v="24"/>
    <x v="11"/>
    <n v="5103577"/>
    <s v="2018-09-07"/>
    <x v="7"/>
    <s v="2018-09-07"/>
    <n v="1"/>
    <n v="1"/>
    <s v="2018-09-25"/>
    <n v="0"/>
    <s v="-"/>
    <n v="1"/>
    <n v="1"/>
    <n v="1"/>
    <n v="1"/>
    <n v="100"/>
    <n v="1"/>
    <n v="0"/>
    <n v="1"/>
    <n v="0"/>
    <n v="1"/>
    <n v="1"/>
    <s v="5103577-"/>
    <n v="1"/>
  </r>
  <r>
    <n v="24"/>
    <x v="11"/>
    <n v="5103760"/>
    <s v="2018-09-07"/>
    <x v="22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3760-"/>
    <n v="1"/>
  </r>
  <r>
    <n v="24"/>
    <x v="11"/>
    <n v="5103776"/>
    <s v="2018-09-07"/>
    <x v="7"/>
    <s v="2018-09-10"/>
    <n v="1"/>
    <n v="0"/>
    <s v="1900-01-01"/>
    <n v="0"/>
    <s v="-"/>
    <n v="0"/>
    <n v="0"/>
    <n v="0"/>
    <n v="0"/>
    <n v="0"/>
    <n v="0"/>
    <n v="0"/>
    <n v="0"/>
    <n v="1"/>
    <n v="1"/>
    <n v="0"/>
    <s v="5103776-"/>
    <n v="0"/>
  </r>
  <r>
    <n v="24"/>
    <x v="11"/>
    <n v="5103799"/>
    <s v="2018-09-07"/>
    <x v="7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3799-"/>
    <n v="1"/>
  </r>
  <r>
    <n v="24"/>
    <x v="11"/>
    <n v="5103830"/>
    <s v="2018-09-07"/>
    <x v="7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3830-"/>
    <n v="1"/>
  </r>
  <r>
    <n v="24"/>
    <x v="11"/>
    <n v="5103832"/>
    <s v="2018-09-07"/>
    <x v="7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3832-"/>
    <n v="1"/>
  </r>
  <r>
    <n v="24"/>
    <x v="11"/>
    <n v="5103835"/>
    <s v="2018-09-08"/>
    <x v="22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3835-"/>
    <n v="1"/>
  </r>
  <r>
    <n v="24"/>
    <x v="11"/>
    <n v="5103895"/>
    <s v="2018-09-08"/>
    <x v="22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3895-"/>
    <n v="1"/>
  </r>
  <r>
    <n v="24"/>
    <x v="11"/>
    <n v="5104128"/>
    <s v="2018-09-09"/>
    <x v="7"/>
    <s v="2018-09-10"/>
    <n v="1"/>
    <n v="2"/>
    <s v="2018-10-01"/>
    <n v="1"/>
    <s v="-"/>
    <n v="1"/>
    <n v="1"/>
    <n v="0"/>
    <n v="0"/>
    <n v="100"/>
    <n v="0"/>
    <n v="1"/>
    <n v="1"/>
    <n v="0"/>
    <n v="1"/>
    <n v="0"/>
    <s v="5104128-"/>
    <n v="1"/>
  </r>
  <r>
    <n v="24"/>
    <x v="11"/>
    <n v="5104129"/>
    <s v="2018-09-09"/>
    <x v="7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4129-"/>
    <n v="1"/>
  </r>
  <r>
    <n v="24"/>
    <x v="11"/>
    <n v="5104187"/>
    <s v="2018-09-09"/>
    <x v="7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4187-"/>
    <n v="1"/>
  </r>
  <r>
    <n v="24"/>
    <x v="11"/>
    <n v="5104250"/>
    <s v="2018-09-09"/>
    <x v="22"/>
    <s v="2018-09-10"/>
    <n v="1"/>
    <n v="1"/>
    <s v="2018-09-25"/>
    <n v="0"/>
    <s v="-"/>
    <n v="1"/>
    <n v="1"/>
    <n v="1"/>
    <n v="1"/>
    <n v="100"/>
    <n v="1"/>
    <n v="0"/>
    <n v="1"/>
    <n v="0"/>
    <n v="1"/>
    <n v="1"/>
    <s v="5104250-"/>
    <n v="1"/>
  </r>
  <r>
    <n v="24"/>
    <x v="11"/>
    <n v="5104292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292-"/>
    <n v="1"/>
  </r>
  <r>
    <n v="24"/>
    <x v="11"/>
    <n v="5104346"/>
    <s v="2018-09-10"/>
    <x v="22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346-"/>
    <n v="1"/>
  </r>
  <r>
    <n v="24"/>
    <x v="11"/>
    <n v="5104451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451-"/>
    <n v="1"/>
  </r>
  <r>
    <n v="24"/>
    <x v="11"/>
    <n v="5104551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551-"/>
    <n v="1"/>
  </r>
  <r>
    <n v="24"/>
    <x v="11"/>
    <n v="5104553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553-"/>
    <n v="1"/>
  </r>
  <r>
    <n v="24"/>
    <x v="11"/>
    <n v="5104556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556-"/>
    <n v="1"/>
  </r>
  <r>
    <n v="24"/>
    <x v="11"/>
    <n v="5104573"/>
    <s v="2018-09-10"/>
    <x v="22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573-"/>
    <n v="1"/>
  </r>
  <r>
    <n v="24"/>
    <x v="11"/>
    <n v="5104590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590-"/>
    <n v="1"/>
  </r>
  <r>
    <n v="24"/>
    <x v="11"/>
    <n v="5104611"/>
    <s v="2018-09-10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611-"/>
    <n v="1"/>
  </r>
  <r>
    <n v="24"/>
    <x v="11"/>
    <n v="5104683"/>
    <s v="2018-09-11"/>
    <x v="7"/>
    <s v="2018-09-11"/>
    <n v="1"/>
    <n v="1"/>
    <s v="2018-09-25"/>
    <n v="0"/>
    <s v="-"/>
    <n v="1"/>
    <n v="1"/>
    <n v="1"/>
    <n v="1"/>
    <n v="100"/>
    <n v="1"/>
    <n v="0"/>
    <n v="1"/>
    <n v="0"/>
    <n v="1"/>
    <n v="1"/>
    <s v="5104683-"/>
    <n v="1"/>
  </r>
  <r>
    <n v="24"/>
    <x v="11"/>
    <n v="5104799"/>
    <s v="2018-09-11"/>
    <x v="22"/>
    <s v="2018-09-12"/>
    <n v="1"/>
    <n v="1"/>
    <s v="2018-09-25"/>
    <n v="0"/>
    <s v="-"/>
    <n v="1"/>
    <n v="1"/>
    <n v="1"/>
    <n v="1"/>
    <n v="100"/>
    <n v="1"/>
    <n v="0"/>
    <n v="1"/>
    <n v="0"/>
    <n v="1"/>
    <n v="1"/>
    <s v="5104799-"/>
    <n v="1"/>
  </r>
  <r>
    <n v="24"/>
    <x v="11"/>
    <n v="5104876"/>
    <s v="2018-09-11"/>
    <x v="7"/>
    <s v="2018-09-12"/>
    <n v="1"/>
    <n v="1"/>
    <s v="2018-09-25"/>
    <n v="0"/>
    <s v="-"/>
    <n v="1"/>
    <n v="1"/>
    <n v="1"/>
    <n v="1"/>
    <n v="100"/>
    <n v="1"/>
    <n v="0"/>
    <n v="1"/>
    <n v="0"/>
    <n v="1"/>
    <n v="1"/>
    <s v="5104876-"/>
    <n v="1"/>
  </r>
  <r>
    <n v="24"/>
    <x v="11"/>
    <n v="5104911"/>
    <s v="2018-09-11"/>
    <x v="22"/>
    <s v="2018-09-12"/>
    <n v="1"/>
    <n v="1"/>
    <s v="2018-09-25"/>
    <n v="0"/>
    <s v="-"/>
    <n v="1"/>
    <n v="1"/>
    <n v="1"/>
    <n v="1"/>
    <n v="100"/>
    <n v="1"/>
    <n v="0"/>
    <n v="1"/>
    <n v="0"/>
    <n v="1"/>
    <n v="1"/>
    <s v="5104911-"/>
    <n v="1"/>
  </r>
  <r>
    <n v="24"/>
    <x v="11"/>
    <n v="5104949"/>
    <s v="2018-09-11"/>
    <x v="7"/>
    <s v="2018-09-12"/>
    <n v="1"/>
    <n v="1"/>
    <s v="2018-09-25"/>
    <n v="0"/>
    <s v="-"/>
    <n v="1"/>
    <n v="1"/>
    <n v="1"/>
    <n v="1"/>
    <n v="100"/>
    <n v="1"/>
    <n v="0"/>
    <n v="1"/>
    <n v="0"/>
    <n v="1"/>
    <n v="1"/>
    <s v="5104949-"/>
    <n v="1"/>
  </r>
  <r>
    <n v="24"/>
    <x v="11"/>
    <n v="5105036"/>
    <s v="2018-09-12"/>
    <x v="7"/>
    <s v="2018-09-13"/>
    <n v="1"/>
    <n v="1"/>
    <s v="2018-09-25"/>
    <n v="0"/>
    <s v="-"/>
    <n v="1"/>
    <n v="1"/>
    <n v="1"/>
    <n v="1"/>
    <n v="100"/>
    <n v="1"/>
    <n v="0"/>
    <n v="1"/>
    <n v="0"/>
    <n v="1"/>
    <n v="1"/>
    <s v="5105036-"/>
    <n v="1"/>
  </r>
  <r>
    <n v="24"/>
    <x v="11"/>
    <n v="5105054"/>
    <s v="2018-09-12"/>
    <x v="29"/>
    <s v="2018-09-13"/>
    <n v="750"/>
    <n v="700"/>
    <s v="2018-09-21"/>
    <n v="0"/>
    <s v="-"/>
    <n v="700"/>
    <n v="0"/>
    <n v="1"/>
    <n v="0"/>
    <n v="93.333333333333329"/>
    <n v="700"/>
    <n v="0"/>
    <n v="700"/>
    <n v="50"/>
    <n v="1"/>
    <n v="0"/>
    <s v="5105054-"/>
    <n v="700"/>
  </r>
  <r>
    <n v="24"/>
    <x v="11"/>
    <n v="5105087"/>
    <s v="2018-09-12"/>
    <x v="22"/>
    <s v="2018-09-13"/>
    <n v="1"/>
    <n v="1"/>
    <s v="2018-09-25"/>
    <n v="0"/>
    <s v="-"/>
    <n v="1"/>
    <n v="1"/>
    <n v="1"/>
    <n v="1"/>
    <n v="100"/>
    <n v="1"/>
    <n v="0"/>
    <n v="1"/>
    <n v="0"/>
    <n v="1"/>
    <n v="1"/>
    <s v="5105087-"/>
    <n v="1"/>
  </r>
  <r>
    <n v="24"/>
    <x v="11"/>
    <n v="5105088"/>
    <s v="2018-09-12"/>
    <x v="7"/>
    <s v="2018-09-13"/>
    <n v="1"/>
    <n v="1"/>
    <s v="2018-09-25"/>
    <n v="0"/>
    <s v="-"/>
    <n v="1"/>
    <n v="1"/>
    <n v="1"/>
    <n v="1"/>
    <n v="100"/>
    <n v="1"/>
    <n v="0"/>
    <n v="1"/>
    <n v="0"/>
    <n v="1"/>
    <n v="1"/>
    <s v="5105088-"/>
    <n v="1"/>
  </r>
  <r>
    <n v="24"/>
    <x v="11"/>
    <n v="5105321"/>
    <s v="2018-09-13"/>
    <x v="22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5105321-"/>
    <n v="1"/>
  </r>
  <r>
    <n v="24"/>
    <x v="11"/>
    <n v="5105358"/>
    <s v="2018-09-13"/>
    <x v="22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5105358-"/>
    <n v="1"/>
  </r>
  <r>
    <n v="24"/>
    <x v="11"/>
    <n v="5105408"/>
    <s v="2018-09-13"/>
    <x v="22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5105408-"/>
    <n v="1"/>
  </r>
  <r>
    <n v="24"/>
    <x v="11"/>
    <n v="5105461"/>
    <s v="2018-09-13"/>
    <x v="22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5105461-"/>
    <n v="1"/>
  </r>
  <r>
    <n v="24"/>
    <x v="11"/>
    <n v="5105468"/>
    <s v="2018-09-13"/>
    <x v="7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5105468-"/>
    <n v="1"/>
  </r>
  <r>
    <n v="24"/>
    <x v="11"/>
    <n v="5105472"/>
    <s v="2018-09-13"/>
    <x v="22"/>
    <s v="2018-09-14"/>
    <n v="1"/>
    <n v="1"/>
    <s v="2018-09-25"/>
    <n v="0"/>
    <s v="-"/>
    <n v="1"/>
    <n v="1"/>
    <n v="1"/>
    <n v="1"/>
    <n v="100"/>
    <n v="1"/>
    <n v="0"/>
    <n v="1"/>
    <n v="0"/>
    <n v="1"/>
    <n v="1"/>
    <s v="5105472-"/>
    <n v="1"/>
  </r>
  <r>
    <n v="24"/>
    <x v="11"/>
    <n v="5105695"/>
    <s v="2018-09-14"/>
    <x v="22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5695-"/>
    <n v="1"/>
  </r>
  <r>
    <n v="24"/>
    <x v="11"/>
    <n v="5105709"/>
    <s v="2018-09-14"/>
    <x v="22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5709-"/>
    <n v="1"/>
  </r>
  <r>
    <n v="24"/>
    <x v="11"/>
    <n v="5105814"/>
    <s v="2018-09-15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5814-"/>
    <n v="1"/>
  </r>
  <r>
    <n v="24"/>
    <x v="11"/>
    <n v="5105916"/>
    <s v="2018-09-15"/>
    <x v="22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5916-"/>
    <n v="1"/>
  </r>
  <r>
    <n v="24"/>
    <x v="11"/>
    <n v="5105988"/>
    <s v="2018-09-16"/>
    <x v="6"/>
    <s v="2018-09-20"/>
    <n v="1"/>
    <n v="1"/>
    <s v="2018-09-21"/>
    <n v="0"/>
    <s v="-"/>
    <n v="1"/>
    <n v="1"/>
    <n v="0"/>
    <n v="0"/>
    <n v="100"/>
    <n v="1"/>
    <n v="0"/>
    <n v="1"/>
    <n v="0"/>
    <n v="1"/>
    <n v="0"/>
    <s v="5105988-"/>
    <n v="1"/>
  </r>
  <r>
    <n v="24"/>
    <x v="11"/>
    <n v="5106024"/>
    <s v="2018-09-17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6024-"/>
    <n v="1"/>
  </r>
  <r>
    <n v="24"/>
    <x v="11"/>
    <n v="5106057"/>
    <s v="2018-09-17"/>
    <x v="22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6057-"/>
    <n v="1"/>
  </r>
  <r>
    <n v="24"/>
    <x v="11"/>
    <n v="5106070"/>
    <s v="2018-09-17"/>
    <x v="7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6070-"/>
    <n v="1"/>
  </r>
  <r>
    <n v="24"/>
    <x v="11"/>
    <n v="5106113"/>
    <s v="2018-09-18"/>
    <x v="22"/>
    <s v="2018-09-20"/>
    <n v="1"/>
    <n v="1"/>
    <s v="2018-09-25"/>
    <n v="0"/>
    <s v="-"/>
    <n v="1"/>
    <n v="1"/>
    <n v="1"/>
    <n v="1"/>
    <n v="100"/>
    <n v="1"/>
    <n v="0"/>
    <n v="1"/>
    <n v="0"/>
    <n v="1"/>
    <n v="1"/>
    <s v="5106113-"/>
    <n v="1"/>
  </r>
  <r>
    <n v="24"/>
    <x v="11"/>
    <n v="5106348"/>
    <s v="2018-09-20"/>
    <x v="22"/>
    <s v="2018-09-21"/>
    <n v="1"/>
    <n v="1"/>
    <s v="2018-09-25"/>
    <n v="0"/>
    <s v="-"/>
    <n v="1"/>
    <n v="1"/>
    <n v="1"/>
    <n v="1"/>
    <n v="100"/>
    <n v="1"/>
    <n v="0"/>
    <n v="1"/>
    <n v="0"/>
    <n v="1"/>
    <n v="1"/>
    <s v="5106348-"/>
    <n v="1"/>
  </r>
  <r>
    <n v="24"/>
    <x v="11"/>
    <n v="5106558"/>
    <s v="2018-09-20"/>
    <x v="22"/>
    <s v="2018-09-21"/>
    <n v="1"/>
    <n v="1"/>
    <s v="2018-09-25"/>
    <n v="0"/>
    <s v="-"/>
    <n v="1"/>
    <n v="1"/>
    <n v="1"/>
    <n v="1"/>
    <n v="100"/>
    <n v="1"/>
    <n v="0"/>
    <n v="1"/>
    <n v="0"/>
    <n v="1"/>
    <n v="1"/>
    <s v="5106558-"/>
    <n v="1"/>
  </r>
  <r>
    <n v="3"/>
    <x v="2"/>
    <n v="50052132"/>
    <s v="2018-09-07"/>
    <x v="6"/>
    <s v="2018-09-10"/>
    <n v="1"/>
    <n v="2"/>
    <s v="2018-09-20"/>
    <n v="1"/>
    <s v="36090240"/>
    <n v="1"/>
    <n v="1"/>
    <n v="1"/>
    <n v="1"/>
    <n v="100"/>
    <n v="0"/>
    <n v="1"/>
    <n v="1"/>
    <n v="0"/>
    <n v="1"/>
    <n v="1"/>
    <s v="5005213236090240"/>
    <n v="1"/>
  </r>
  <r>
    <n v="3"/>
    <x v="2"/>
    <n v="50051498"/>
    <s v="2018-08-25"/>
    <x v="27"/>
    <s v="2018-08-27"/>
    <n v="1"/>
    <n v="1"/>
    <s v="2018-09-04"/>
    <n v="0"/>
    <s v="36163999"/>
    <n v="1"/>
    <n v="1"/>
    <n v="1"/>
    <n v="1"/>
    <n v="100"/>
    <n v="1"/>
    <n v="0"/>
    <n v="1"/>
    <n v="0"/>
    <n v="1"/>
    <n v="1"/>
    <s v="5005149836163999"/>
    <n v="1"/>
  </r>
  <r>
    <n v="3"/>
    <x v="2"/>
    <n v="50051991"/>
    <s v="2018-09-04"/>
    <x v="5"/>
    <s v="2018-09-05"/>
    <n v="1"/>
    <n v="3"/>
    <s v="2018-09-20"/>
    <n v="2"/>
    <s v="36164103"/>
    <n v="1"/>
    <n v="1"/>
    <n v="1"/>
    <n v="1"/>
    <n v="100"/>
    <n v="-1"/>
    <n v="2"/>
    <n v="1"/>
    <n v="0"/>
    <n v="1"/>
    <n v="1"/>
    <s v="5005199136164103"/>
    <n v="1"/>
  </r>
  <r>
    <n v="3"/>
    <x v="2"/>
    <n v="50052369"/>
    <s v="2018-09-13"/>
    <x v="21"/>
    <s v="2018-09-14"/>
    <n v="1"/>
    <n v="1"/>
    <s v="2018-09-24"/>
    <n v="0"/>
    <s v="36164176"/>
    <n v="1"/>
    <n v="1"/>
    <n v="1"/>
    <n v="1"/>
    <n v="100"/>
    <n v="1"/>
    <n v="0"/>
    <n v="1"/>
    <n v="0"/>
    <n v="1"/>
    <n v="1"/>
    <s v="5005236936164176"/>
    <n v="1"/>
  </r>
  <r>
    <n v="3"/>
    <x v="2"/>
    <n v="50051839"/>
    <s v="2018-09-01"/>
    <x v="3"/>
    <s v="2018-09-03"/>
    <n v="1"/>
    <n v="1"/>
    <s v="2018-09-06"/>
    <n v="0"/>
    <s v="36277470"/>
    <n v="1"/>
    <n v="1"/>
    <n v="1"/>
    <n v="1"/>
    <n v="100"/>
    <n v="1"/>
    <n v="0"/>
    <n v="1"/>
    <n v="0"/>
    <n v="1"/>
    <n v="1"/>
    <s v="5005183936277470"/>
    <n v="1"/>
  </r>
  <r>
    <n v="3"/>
    <x v="2"/>
    <n v="50051889"/>
    <s v="2018-09-02"/>
    <x v="16"/>
    <s v="2018-09-03"/>
    <n v="1"/>
    <n v="1"/>
    <s v="2018-09-06"/>
    <n v="0"/>
    <s v="36277505"/>
    <n v="1"/>
    <n v="1"/>
    <n v="1"/>
    <n v="1"/>
    <n v="100"/>
    <n v="1"/>
    <n v="0"/>
    <n v="1"/>
    <n v="0"/>
    <n v="1"/>
    <n v="1"/>
    <s v="5005188936277505"/>
    <n v="1"/>
  </r>
  <r>
    <n v="3"/>
    <x v="2"/>
    <n v="50051991"/>
    <s v="2018-09-04"/>
    <x v="6"/>
    <s v="2018-09-05"/>
    <n v="1"/>
    <n v="3"/>
    <s v="2018-09-20"/>
    <n v="2"/>
    <s v="36277538"/>
    <n v="1"/>
    <n v="1"/>
    <n v="1"/>
    <n v="1"/>
    <n v="100"/>
    <n v="-1"/>
    <n v="2"/>
    <n v="1"/>
    <n v="0"/>
    <n v="1"/>
    <n v="1"/>
    <s v="5005199136277538"/>
    <n v="1"/>
  </r>
  <r>
    <n v="3"/>
    <x v="2"/>
    <n v="50051311"/>
    <s v="2018-08-21"/>
    <x v="0"/>
    <s v="2018-08-22"/>
    <n v="1"/>
    <n v="1"/>
    <s v="2018-08-28"/>
    <n v="0"/>
    <s v="36312073"/>
    <n v="1"/>
    <n v="1"/>
    <n v="1"/>
    <n v="1"/>
    <n v="100"/>
    <n v="1"/>
    <n v="0"/>
    <n v="1"/>
    <n v="0"/>
    <n v="1"/>
    <n v="1"/>
    <s v="5005131136312073"/>
    <n v="1"/>
  </r>
  <r>
    <n v="3"/>
    <x v="2"/>
    <n v="50051795"/>
    <s v="2018-08-31"/>
    <x v="9"/>
    <s v="2018-09-03"/>
    <n v="1"/>
    <n v="1"/>
    <s v="2018-09-06"/>
    <n v="0"/>
    <s v="36312274"/>
    <n v="1"/>
    <n v="1"/>
    <n v="1"/>
    <n v="1"/>
    <n v="100"/>
    <n v="1"/>
    <n v="0"/>
    <n v="1"/>
    <n v="0"/>
    <n v="1"/>
    <n v="1"/>
    <s v="5005179536312274"/>
    <n v="1"/>
  </r>
  <r>
    <n v="3"/>
    <x v="2"/>
    <n v="50051839"/>
    <s v="2018-09-01"/>
    <x v="3"/>
    <s v="2018-09-03"/>
    <n v="1"/>
    <n v="1"/>
    <s v="2018-09-06"/>
    <n v="0"/>
    <s v="36350450"/>
    <n v="1"/>
    <n v="1"/>
    <n v="1"/>
    <n v="1"/>
    <n v="100"/>
    <n v="1"/>
    <n v="0"/>
    <n v="1"/>
    <n v="0"/>
    <n v="1"/>
    <n v="1"/>
    <s v="5005183936350450"/>
    <n v="1"/>
  </r>
  <r>
    <n v="3"/>
    <x v="2"/>
    <n v="50051260"/>
    <s v="2018-08-20"/>
    <x v="17"/>
    <s v="2018-08-21"/>
    <n v="1"/>
    <n v="1"/>
    <s v="2018-08-28"/>
    <n v="0"/>
    <s v="36356308"/>
    <n v="1"/>
    <n v="1"/>
    <n v="1"/>
    <n v="1"/>
    <n v="100"/>
    <n v="1"/>
    <n v="0"/>
    <n v="1"/>
    <n v="0"/>
    <n v="1"/>
    <n v="1"/>
    <s v="5005126036356308"/>
    <n v="1"/>
  </r>
  <r>
    <n v="3"/>
    <x v="2"/>
    <n v="50052171"/>
    <s v="2018-09-08"/>
    <x v="6"/>
    <s v="2018-09-10"/>
    <n v="1"/>
    <n v="2"/>
    <s v="2018-09-20"/>
    <n v="1"/>
    <s v="36813580"/>
    <n v="1"/>
    <n v="1"/>
    <n v="1"/>
    <n v="1"/>
    <n v="100"/>
    <n v="0"/>
    <n v="1"/>
    <n v="1"/>
    <n v="0"/>
    <n v="1"/>
    <n v="1"/>
    <s v="5005217136813580"/>
    <n v="1"/>
  </r>
  <r>
    <n v="3"/>
    <x v="2"/>
    <n v="50051098"/>
    <s v="2018-08-17"/>
    <x v="12"/>
    <s v="2018-08-20"/>
    <n v="1"/>
    <n v="1"/>
    <s v="2018-08-23"/>
    <n v="0"/>
    <s v="36975661"/>
    <n v="1"/>
    <n v="1"/>
    <n v="1"/>
    <n v="1"/>
    <n v="100"/>
    <n v="1"/>
    <n v="0"/>
    <n v="1"/>
    <n v="0"/>
    <n v="1"/>
    <n v="1"/>
    <s v="5005109836975661"/>
    <n v="1"/>
  </r>
  <r>
    <n v="3"/>
    <x v="2"/>
    <n v="50052369"/>
    <s v="2018-09-13"/>
    <x v="7"/>
    <s v="2018-09-14"/>
    <n v="1"/>
    <n v="0"/>
    <s v="1900-01-01"/>
    <n v="0"/>
    <s v="36978190"/>
    <n v="0"/>
    <n v="0"/>
    <n v="0"/>
    <n v="0"/>
    <n v="0"/>
    <n v="0"/>
    <n v="0"/>
    <n v="0"/>
    <n v="1"/>
    <n v="1"/>
    <n v="0"/>
    <s v="5005236936978190"/>
    <n v="0"/>
  </r>
  <r>
    <n v="3"/>
    <x v="2"/>
    <n v="50052250"/>
    <s v="2018-09-10"/>
    <x v="6"/>
    <s v="2018-09-11"/>
    <n v="1"/>
    <n v="1"/>
    <s v="2018-09-21"/>
    <n v="0"/>
    <s v="37190379"/>
    <n v="1"/>
    <n v="1"/>
    <n v="0"/>
    <n v="0"/>
    <n v="100"/>
    <n v="1"/>
    <n v="0"/>
    <n v="1"/>
    <n v="0"/>
    <n v="1"/>
    <n v="0"/>
    <s v="5005225037190379"/>
    <n v="1"/>
  </r>
  <r>
    <n v="3"/>
    <x v="2"/>
    <n v="50051410"/>
    <s v="2018-08-23"/>
    <x v="4"/>
    <s v="2018-08-24"/>
    <n v="1"/>
    <n v="1"/>
    <s v="2018-08-28"/>
    <n v="0"/>
    <s v="37363725"/>
    <n v="1"/>
    <n v="1"/>
    <n v="1"/>
    <n v="1"/>
    <n v="100"/>
    <n v="1"/>
    <n v="0"/>
    <n v="1"/>
    <n v="0"/>
    <n v="1"/>
    <n v="1"/>
    <s v="5005141037363725"/>
    <n v="1"/>
  </r>
  <r>
    <n v="3"/>
    <x v="2"/>
    <n v="50051498"/>
    <s v="2018-08-25"/>
    <x v="0"/>
    <s v="2018-08-27"/>
    <n v="1"/>
    <n v="1"/>
    <s v="2018-08-30"/>
    <n v="0"/>
    <s v="37363758"/>
    <n v="1"/>
    <n v="1"/>
    <n v="1"/>
    <n v="1"/>
    <n v="100"/>
    <n v="1"/>
    <n v="0"/>
    <n v="1"/>
    <n v="0"/>
    <n v="1"/>
    <n v="1"/>
    <s v="5005149837363758"/>
    <n v="1"/>
  </r>
  <r>
    <n v="3"/>
    <x v="2"/>
    <n v="50051991"/>
    <s v="2018-09-04"/>
    <x v="6"/>
    <s v="2018-09-05"/>
    <n v="1"/>
    <n v="3"/>
    <s v="2018-09-20"/>
    <n v="2"/>
    <s v="37364090"/>
    <n v="1"/>
    <n v="1"/>
    <n v="1"/>
    <n v="1"/>
    <n v="100"/>
    <n v="-1"/>
    <n v="2"/>
    <n v="1"/>
    <n v="0"/>
    <n v="1"/>
    <n v="1"/>
    <s v="5005199137364090"/>
    <n v="1"/>
  </r>
  <r>
    <n v="3"/>
    <x v="2"/>
    <n v="50052132"/>
    <s v="2018-09-07"/>
    <x v="6"/>
    <s v="2018-09-10"/>
    <n v="1"/>
    <n v="2"/>
    <s v="2018-09-20"/>
    <n v="1"/>
    <s v="37364135"/>
    <n v="1"/>
    <n v="1"/>
    <n v="1"/>
    <n v="1"/>
    <n v="100"/>
    <n v="0"/>
    <n v="1"/>
    <n v="1"/>
    <n v="0"/>
    <n v="1"/>
    <n v="1"/>
    <s v="5005213237364135"/>
    <n v="1"/>
  </r>
  <r>
    <n v="3"/>
    <x v="2"/>
    <n v="50052250"/>
    <s v="2018-09-10"/>
    <x v="6"/>
    <s v="2018-09-11"/>
    <n v="1"/>
    <n v="0"/>
    <s v="1900-01-01"/>
    <n v="0"/>
    <s v="37364256"/>
    <n v="0"/>
    <n v="0"/>
    <n v="0"/>
    <n v="0"/>
    <n v="0"/>
    <n v="0"/>
    <n v="0"/>
    <n v="0"/>
    <n v="1"/>
    <n v="1"/>
    <n v="0"/>
    <s v="5005225037364256"/>
    <n v="0"/>
  </r>
  <r>
    <n v="3"/>
    <x v="2"/>
    <n v="50052296"/>
    <s v="2018-09-11"/>
    <x v="5"/>
    <s v="2018-09-12"/>
    <n v="1"/>
    <n v="0"/>
    <s v="1900-01-01"/>
    <n v="0"/>
    <s v="37364272"/>
    <n v="0"/>
    <n v="0"/>
    <n v="0"/>
    <n v="0"/>
    <n v="0"/>
    <n v="0"/>
    <n v="0"/>
    <n v="0"/>
    <n v="1"/>
    <n v="1"/>
    <n v="0"/>
    <s v="5005229637364272"/>
    <n v="0"/>
  </r>
  <r>
    <n v="3"/>
    <x v="2"/>
    <n v="50052296"/>
    <s v="2018-09-11"/>
    <x v="5"/>
    <s v="2018-09-12"/>
    <n v="1"/>
    <n v="1"/>
    <s v="2018-09-21"/>
    <n v="0"/>
    <s v="37791438"/>
    <n v="1"/>
    <n v="1"/>
    <n v="1"/>
    <n v="1"/>
    <n v="100"/>
    <n v="1"/>
    <n v="0"/>
    <n v="1"/>
    <n v="0"/>
    <n v="1"/>
    <n v="1"/>
    <s v="5005229637791438"/>
    <n v="1"/>
  </r>
  <r>
    <n v="3"/>
    <x v="2"/>
    <n v="50050997"/>
    <s v="1900-01-01"/>
    <x v="17"/>
    <s v="1900-01-01"/>
    <n v="1"/>
    <n v="1"/>
    <s v="2018-08-23"/>
    <n v="0"/>
    <s v="38656597"/>
    <n v="1"/>
    <n v="1"/>
    <n v="1"/>
    <n v="1"/>
    <n v="100"/>
    <n v="1"/>
    <n v="0"/>
    <n v="1"/>
    <n v="0"/>
    <n v="1"/>
    <n v="1"/>
    <s v="5005099738656597"/>
    <n v="1"/>
  </r>
  <r>
    <n v="3"/>
    <x v="2"/>
    <n v="50051047"/>
    <s v="1900-01-01"/>
    <x v="12"/>
    <s v="2018-08-17"/>
    <n v="1"/>
    <n v="1"/>
    <s v="2018-08-23"/>
    <n v="0"/>
    <s v="38656919"/>
    <n v="1"/>
    <n v="1"/>
    <n v="1"/>
    <n v="1"/>
    <n v="100"/>
    <n v="1"/>
    <n v="0"/>
    <n v="1"/>
    <n v="0"/>
    <n v="1"/>
    <n v="1"/>
    <s v="5005104738656919"/>
    <n v="1"/>
  </r>
  <r>
    <n v="3"/>
    <x v="2"/>
    <n v="50051097"/>
    <s v="2018-08-17"/>
    <x v="12"/>
    <s v="2018-08-20"/>
    <n v="1"/>
    <n v="1"/>
    <s v="2018-08-23"/>
    <n v="0"/>
    <s v="38657162"/>
    <n v="1"/>
    <n v="1"/>
    <n v="1"/>
    <n v="1"/>
    <n v="100"/>
    <n v="1"/>
    <n v="0"/>
    <n v="1"/>
    <n v="0"/>
    <n v="1"/>
    <n v="1"/>
    <s v="5005109738657162"/>
    <n v="1"/>
  </r>
  <r>
    <n v="3"/>
    <x v="2"/>
    <n v="50051097"/>
    <s v="2018-08-17"/>
    <x v="17"/>
    <s v="2018-08-20"/>
    <n v="1"/>
    <n v="1"/>
    <s v="2018-08-28"/>
    <n v="0"/>
    <s v="38657250"/>
    <n v="1"/>
    <n v="1"/>
    <n v="1"/>
    <n v="1"/>
    <n v="100"/>
    <n v="1"/>
    <n v="0"/>
    <n v="1"/>
    <n v="0"/>
    <n v="1"/>
    <n v="1"/>
    <s v="5005109738657250"/>
    <n v="1"/>
  </r>
  <r>
    <n v="3"/>
    <x v="2"/>
    <n v="50051147"/>
    <s v="2018-08-18"/>
    <x v="2"/>
    <s v="2018-08-20"/>
    <n v="1"/>
    <n v="1"/>
    <s v="2018-08-28"/>
    <n v="0"/>
    <s v="38657480"/>
    <n v="1"/>
    <n v="1"/>
    <n v="1"/>
    <n v="1"/>
    <n v="100"/>
    <n v="1"/>
    <n v="0"/>
    <n v="1"/>
    <n v="0"/>
    <n v="1"/>
    <n v="1"/>
    <s v="5005114738657480"/>
    <n v="1"/>
  </r>
  <r>
    <n v="3"/>
    <x v="2"/>
    <n v="50051208"/>
    <s v="2018-08-19"/>
    <x v="2"/>
    <s v="2018-08-20"/>
    <n v="1"/>
    <n v="1"/>
    <s v="2018-08-28"/>
    <n v="0"/>
    <s v="38657980"/>
    <n v="1"/>
    <n v="1"/>
    <n v="1"/>
    <n v="1"/>
    <n v="100"/>
    <n v="1"/>
    <n v="0"/>
    <n v="1"/>
    <n v="0"/>
    <n v="1"/>
    <n v="1"/>
    <s v="5005120838657980"/>
    <n v="1"/>
  </r>
  <r>
    <n v="3"/>
    <x v="2"/>
    <n v="50051208"/>
    <s v="2018-08-19"/>
    <x v="14"/>
    <s v="2018-08-20"/>
    <n v="1"/>
    <n v="1"/>
    <s v="2018-08-28"/>
    <n v="0"/>
    <s v="38658010"/>
    <n v="1"/>
    <n v="1"/>
    <n v="1"/>
    <n v="1"/>
    <n v="100"/>
    <n v="1"/>
    <n v="0"/>
    <n v="1"/>
    <n v="0"/>
    <n v="1"/>
    <n v="1"/>
    <s v="5005120838658010"/>
    <n v="1"/>
  </r>
  <r>
    <n v="3"/>
    <x v="2"/>
    <n v="50051208"/>
    <s v="2018-08-19"/>
    <x v="17"/>
    <s v="2018-08-20"/>
    <n v="1"/>
    <n v="1"/>
    <s v="2018-08-28"/>
    <n v="0"/>
    <s v="38658012"/>
    <n v="1"/>
    <n v="1"/>
    <n v="1"/>
    <n v="1"/>
    <n v="100"/>
    <n v="1"/>
    <n v="0"/>
    <n v="1"/>
    <n v="0"/>
    <n v="1"/>
    <n v="1"/>
    <s v="5005120838658012"/>
    <n v="1"/>
  </r>
  <r>
    <n v="3"/>
    <x v="2"/>
    <n v="50051208"/>
    <s v="2018-08-19"/>
    <x v="14"/>
    <s v="2018-08-20"/>
    <n v="1"/>
    <n v="2"/>
    <s v="2018-08-30"/>
    <n v="1"/>
    <s v="38658092"/>
    <n v="1"/>
    <n v="1"/>
    <n v="1"/>
    <n v="1"/>
    <n v="100"/>
    <n v="0"/>
    <n v="1"/>
    <n v="1"/>
    <n v="0"/>
    <n v="1"/>
    <n v="1"/>
    <s v="5005120838658092"/>
    <n v="1"/>
  </r>
  <r>
    <n v="3"/>
    <x v="2"/>
    <n v="50051259"/>
    <s v="2018-08-20"/>
    <x v="14"/>
    <s v="2018-08-21"/>
    <n v="1"/>
    <n v="1"/>
    <s v="2018-08-28"/>
    <n v="0"/>
    <s v="38658258"/>
    <n v="1"/>
    <n v="1"/>
    <n v="1"/>
    <n v="1"/>
    <n v="100"/>
    <n v="1"/>
    <n v="0"/>
    <n v="1"/>
    <n v="0"/>
    <n v="1"/>
    <n v="1"/>
    <s v="5005125938658258"/>
    <n v="1"/>
  </r>
  <r>
    <n v="3"/>
    <x v="2"/>
    <n v="50051259"/>
    <s v="2018-08-20"/>
    <x v="17"/>
    <s v="2018-08-21"/>
    <n v="1"/>
    <n v="1"/>
    <s v="2018-08-28"/>
    <n v="0"/>
    <s v="38658395"/>
    <n v="1"/>
    <n v="1"/>
    <n v="1"/>
    <n v="1"/>
    <n v="100"/>
    <n v="1"/>
    <n v="0"/>
    <n v="1"/>
    <n v="0"/>
    <n v="1"/>
    <n v="1"/>
    <s v="5005125938658395"/>
    <n v="1"/>
  </r>
  <r>
    <n v="3"/>
    <x v="2"/>
    <n v="50051310"/>
    <s v="2018-08-21"/>
    <x v="0"/>
    <s v="2018-08-22"/>
    <n v="1"/>
    <n v="1"/>
    <s v="2018-08-28"/>
    <n v="0"/>
    <s v="38658843"/>
    <n v="1"/>
    <n v="1"/>
    <n v="1"/>
    <n v="1"/>
    <n v="100"/>
    <n v="1"/>
    <n v="0"/>
    <n v="1"/>
    <n v="0"/>
    <n v="1"/>
    <n v="1"/>
    <s v="5005131038658843"/>
    <n v="1"/>
  </r>
  <r>
    <n v="3"/>
    <x v="2"/>
    <n v="50051310"/>
    <s v="2018-08-21"/>
    <x v="4"/>
    <s v="2018-08-22"/>
    <n v="1"/>
    <n v="1"/>
    <s v="2018-08-28"/>
    <n v="0"/>
    <s v="38658853"/>
    <n v="1"/>
    <n v="1"/>
    <n v="1"/>
    <n v="1"/>
    <n v="100"/>
    <n v="1"/>
    <n v="0"/>
    <n v="1"/>
    <n v="0"/>
    <n v="1"/>
    <n v="1"/>
    <s v="5005131038658853"/>
    <n v="1"/>
  </r>
  <r>
    <n v="3"/>
    <x v="2"/>
    <n v="50051361"/>
    <s v="2018-08-22"/>
    <x v="14"/>
    <s v="2018-08-23"/>
    <n v="1"/>
    <n v="1"/>
    <s v="2018-08-28"/>
    <n v="0"/>
    <s v="38659016"/>
    <n v="1"/>
    <n v="1"/>
    <n v="1"/>
    <n v="1"/>
    <n v="100"/>
    <n v="1"/>
    <n v="0"/>
    <n v="1"/>
    <n v="0"/>
    <n v="1"/>
    <n v="1"/>
    <s v="5005136138659016"/>
    <n v="1"/>
  </r>
  <r>
    <n v="3"/>
    <x v="2"/>
    <n v="50051361"/>
    <s v="2018-08-22"/>
    <x v="8"/>
    <s v="2018-08-23"/>
    <n v="1"/>
    <n v="1"/>
    <s v="2018-08-28"/>
    <n v="0"/>
    <s v="38659045"/>
    <n v="1"/>
    <n v="1"/>
    <n v="1"/>
    <n v="1"/>
    <n v="100"/>
    <n v="1"/>
    <n v="0"/>
    <n v="1"/>
    <n v="0"/>
    <n v="1"/>
    <n v="1"/>
    <s v="5005136138659045"/>
    <n v="1"/>
  </r>
  <r>
    <n v="3"/>
    <x v="2"/>
    <n v="50051409"/>
    <s v="2018-08-23"/>
    <x v="18"/>
    <s v="2018-08-24"/>
    <n v="1"/>
    <n v="1"/>
    <s v="2018-08-28"/>
    <n v="0"/>
    <s v="38659306"/>
    <n v="1"/>
    <n v="1"/>
    <n v="1"/>
    <n v="1"/>
    <n v="100"/>
    <n v="1"/>
    <n v="0"/>
    <n v="1"/>
    <n v="0"/>
    <n v="1"/>
    <n v="1"/>
    <s v="5005140938659306"/>
    <n v="1"/>
  </r>
  <r>
    <n v="3"/>
    <x v="2"/>
    <n v="50051450"/>
    <s v="2018-08-24"/>
    <x v="1"/>
    <s v="2018-08-27"/>
    <n v="1"/>
    <n v="1"/>
    <s v="2018-08-30"/>
    <n v="0"/>
    <s v="38659572"/>
    <n v="1"/>
    <n v="1"/>
    <n v="1"/>
    <n v="1"/>
    <n v="100"/>
    <n v="1"/>
    <n v="0"/>
    <n v="1"/>
    <n v="0"/>
    <n v="1"/>
    <n v="1"/>
    <s v="5005145038659572"/>
    <n v="1"/>
  </r>
  <r>
    <n v="3"/>
    <x v="2"/>
    <n v="50051450"/>
    <s v="2018-08-24"/>
    <x v="25"/>
    <s v="2018-08-27"/>
    <n v="1"/>
    <n v="1"/>
    <s v="2018-08-30"/>
    <n v="0"/>
    <s v="38659635"/>
    <n v="1"/>
    <n v="1"/>
    <n v="1"/>
    <n v="1"/>
    <n v="100"/>
    <n v="1"/>
    <n v="0"/>
    <n v="1"/>
    <n v="0"/>
    <n v="1"/>
    <n v="1"/>
    <s v="5005145038659635"/>
    <n v="1"/>
  </r>
  <r>
    <n v="3"/>
    <x v="2"/>
    <n v="50051450"/>
    <s v="2018-08-24"/>
    <x v="1"/>
    <s v="2018-08-27"/>
    <n v="1"/>
    <n v="1"/>
    <s v="2018-08-30"/>
    <n v="0"/>
    <s v="38659684"/>
    <n v="1"/>
    <n v="1"/>
    <n v="1"/>
    <n v="1"/>
    <n v="100"/>
    <n v="1"/>
    <n v="0"/>
    <n v="1"/>
    <n v="0"/>
    <n v="1"/>
    <n v="1"/>
    <s v="5005145038659684"/>
    <n v="1"/>
  </r>
  <r>
    <n v="3"/>
    <x v="2"/>
    <n v="50051450"/>
    <s v="2018-08-24"/>
    <x v="27"/>
    <s v="2018-08-27"/>
    <n v="1"/>
    <n v="1"/>
    <s v="2018-09-04"/>
    <n v="0"/>
    <s v="38659723"/>
    <n v="1"/>
    <n v="1"/>
    <n v="1"/>
    <n v="1"/>
    <n v="100"/>
    <n v="1"/>
    <n v="0"/>
    <n v="1"/>
    <n v="0"/>
    <n v="1"/>
    <n v="1"/>
    <s v="5005145038659723"/>
    <n v="1"/>
  </r>
  <r>
    <n v="3"/>
    <x v="2"/>
    <n v="50051497"/>
    <s v="2018-08-25"/>
    <x v="27"/>
    <s v="2018-08-27"/>
    <n v="1"/>
    <n v="1"/>
    <s v="2018-09-04"/>
    <n v="0"/>
    <s v="38659804"/>
    <n v="1"/>
    <n v="1"/>
    <n v="1"/>
    <n v="1"/>
    <n v="100"/>
    <n v="1"/>
    <n v="0"/>
    <n v="1"/>
    <n v="0"/>
    <n v="1"/>
    <n v="1"/>
    <s v="5005149738659804"/>
    <n v="1"/>
  </r>
  <r>
    <n v="3"/>
    <x v="2"/>
    <n v="50051549"/>
    <s v="2018-08-26"/>
    <x v="1"/>
    <s v="2018-08-27"/>
    <n v="1"/>
    <n v="1"/>
    <s v="2018-08-30"/>
    <n v="0"/>
    <s v="38660194"/>
    <n v="1"/>
    <n v="1"/>
    <n v="1"/>
    <n v="1"/>
    <n v="100"/>
    <n v="1"/>
    <n v="0"/>
    <n v="1"/>
    <n v="0"/>
    <n v="1"/>
    <n v="1"/>
    <s v="5005154938660194"/>
    <n v="1"/>
  </r>
  <r>
    <n v="3"/>
    <x v="2"/>
    <n v="50051549"/>
    <s v="2018-08-26"/>
    <x v="1"/>
    <s v="2018-08-27"/>
    <n v="1"/>
    <n v="1"/>
    <s v="2018-08-30"/>
    <n v="0"/>
    <s v="38660303"/>
    <n v="1"/>
    <n v="1"/>
    <n v="1"/>
    <n v="1"/>
    <n v="100"/>
    <n v="1"/>
    <n v="0"/>
    <n v="1"/>
    <n v="0"/>
    <n v="1"/>
    <n v="1"/>
    <s v="5005154938660303"/>
    <n v="1"/>
  </r>
  <r>
    <n v="3"/>
    <x v="2"/>
    <n v="50051596"/>
    <s v="2018-08-27"/>
    <x v="15"/>
    <s v="2018-08-28"/>
    <n v="1"/>
    <n v="1"/>
    <s v="2018-09-04"/>
    <n v="0"/>
    <s v="38660420"/>
    <n v="1"/>
    <n v="1"/>
    <n v="1"/>
    <n v="1"/>
    <n v="100"/>
    <n v="1"/>
    <n v="0"/>
    <n v="1"/>
    <n v="0"/>
    <n v="1"/>
    <n v="1"/>
    <s v="5005159638660420"/>
    <n v="1"/>
  </r>
  <r>
    <n v="3"/>
    <x v="2"/>
    <n v="50051596"/>
    <s v="2018-08-27"/>
    <x v="15"/>
    <s v="2018-08-28"/>
    <n v="1"/>
    <n v="1"/>
    <s v="2018-09-04"/>
    <n v="0"/>
    <s v="38660549"/>
    <n v="1"/>
    <n v="1"/>
    <n v="1"/>
    <n v="1"/>
    <n v="100"/>
    <n v="1"/>
    <n v="0"/>
    <n v="1"/>
    <n v="0"/>
    <n v="1"/>
    <n v="1"/>
    <s v="5005159638660549"/>
    <n v="1"/>
  </r>
  <r>
    <n v="3"/>
    <x v="2"/>
    <n v="50051596"/>
    <s v="2018-08-27"/>
    <x v="15"/>
    <s v="2018-08-28"/>
    <n v="1"/>
    <n v="1"/>
    <s v="2018-09-04"/>
    <n v="0"/>
    <s v="38660594"/>
    <n v="1"/>
    <n v="1"/>
    <n v="1"/>
    <n v="1"/>
    <n v="100"/>
    <n v="1"/>
    <n v="0"/>
    <n v="1"/>
    <n v="0"/>
    <n v="1"/>
    <n v="1"/>
    <s v="5005159638660594"/>
    <n v="1"/>
  </r>
  <r>
    <n v="3"/>
    <x v="2"/>
    <n v="50051648"/>
    <s v="2018-08-28"/>
    <x v="27"/>
    <s v="2018-08-29"/>
    <n v="1"/>
    <n v="1"/>
    <s v="2018-09-04"/>
    <n v="0"/>
    <s v="38660826"/>
    <n v="1"/>
    <n v="1"/>
    <n v="1"/>
    <n v="1"/>
    <n v="100"/>
    <n v="1"/>
    <n v="0"/>
    <n v="1"/>
    <n v="0"/>
    <n v="1"/>
    <n v="1"/>
    <s v="5005164838660826"/>
    <n v="1"/>
  </r>
  <r>
    <n v="3"/>
    <x v="2"/>
    <n v="50051747"/>
    <s v="2018-08-30"/>
    <x v="11"/>
    <s v="2018-08-31"/>
    <n v="1"/>
    <n v="1"/>
    <s v="2018-09-04"/>
    <n v="0"/>
    <s v="38661550"/>
    <n v="1"/>
    <n v="1"/>
    <n v="1"/>
    <n v="1"/>
    <n v="100"/>
    <n v="1"/>
    <n v="0"/>
    <n v="1"/>
    <n v="0"/>
    <n v="1"/>
    <n v="1"/>
    <s v="5005174738661550"/>
    <n v="1"/>
  </r>
  <r>
    <n v="3"/>
    <x v="2"/>
    <n v="50051747"/>
    <s v="2018-08-30"/>
    <x v="9"/>
    <s v="2018-08-31"/>
    <n v="1"/>
    <n v="1"/>
    <s v="2018-09-04"/>
    <n v="0"/>
    <s v="38661636"/>
    <n v="1"/>
    <n v="1"/>
    <n v="1"/>
    <n v="1"/>
    <n v="100"/>
    <n v="1"/>
    <n v="0"/>
    <n v="1"/>
    <n v="0"/>
    <n v="1"/>
    <n v="1"/>
    <s v="5005174738661636"/>
    <n v="1"/>
  </r>
  <r>
    <n v="3"/>
    <x v="2"/>
    <n v="50051794"/>
    <s v="2018-08-31"/>
    <x v="6"/>
    <s v="2018-09-03"/>
    <n v="1"/>
    <n v="1"/>
    <s v="2018-09-06"/>
    <n v="0"/>
    <s v="38661787"/>
    <n v="1"/>
    <n v="1"/>
    <n v="1"/>
    <n v="1"/>
    <n v="100"/>
    <n v="1"/>
    <n v="0"/>
    <n v="1"/>
    <n v="0"/>
    <n v="1"/>
    <n v="1"/>
    <s v="5005179438661787"/>
    <n v="1"/>
  </r>
  <r>
    <n v="3"/>
    <x v="2"/>
    <n v="50051838"/>
    <s v="2018-09-01"/>
    <x v="3"/>
    <s v="2018-09-03"/>
    <n v="1"/>
    <n v="1"/>
    <s v="2018-09-06"/>
    <n v="0"/>
    <s v="38662020"/>
    <n v="1"/>
    <n v="1"/>
    <n v="1"/>
    <n v="1"/>
    <n v="100"/>
    <n v="1"/>
    <n v="0"/>
    <n v="1"/>
    <n v="0"/>
    <n v="1"/>
    <n v="1"/>
    <s v="5005183838662020"/>
    <n v="1"/>
  </r>
  <r>
    <n v="3"/>
    <x v="2"/>
    <n v="50051838"/>
    <s v="2018-09-01"/>
    <x v="7"/>
    <s v="2018-09-03"/>
    <n v="1"/>
    <n v="1"/>
    <s v="2018-09-06"/>
    <n v="0"/>
    <s v="38662101"/>
    <n v="1"/>
    <n v="1"/>
    <n v="1"/>
    <n v="1"/>
    <n v="100"/>
    <n v="1"/>
    <n v="0"/>
    <n v="1"/>
    <n v="0"/>
    <n v="1"/>
    <n v="1"/>
    <s v="5005183838662101"/>
    <n v="1"/>
  </r>
  <r>
    <n v="3"/>
    <x v="2"/>
    <n v="50051888"/>
    <s v="2018-09-02"/>
    <x v="3"/>
    <s v="2018-09-03"/>
    <n v="1"/>
    <n v="1"/>
    <s v="2018-09-06"/>
    <n v="0"/>
    <s v="38662439"/>
    <n v="1"/>
    <n v="1"/>
    <n v="1"/>
    <n v="1"/>
    <n v="100"/>
    <n v="1"/>
    <n v="0"/>
    <n v="1"/>
    <n v="0"/>
    <n v="1"/>
    <n v="1"/>
    <s v="5005188838662439"/>
    <n v="1"/>
  </r>
  <r>
    <n v="3"/>
    <x v="2"/>
    <n v="50051888"/>
    <s v="2018-09-02"/>
    <x v="16"/>
    <s v="2018-09-03"/>
    <n v="1"/>
    <n v="1"/>
    <s v="2018-09-06"/>
    <n v="0"/>
    <s v="38662502"/>
    <n v="1"/>
    <n v="1"/>
    <n v="1"/>
    <n v="1"/>
    <n v="100"/>
    <n v="1"/>
    <n v="0"/>
    <n v="1"/>
    <n v="0"/>
    <n v="1"/>
    <n v="1"/>
    <s v="5005188838662502"/>
    <n v="1"/>
  </r>
  <r>
    <n v="3"/>
    <x v="2"/>
    <n v="50051939"/>
    <s v="2018-09-03"/>
    <x v="11"/>
    <s v="2018-09-04"/>
    <n v="1"/>
    <n v="3"/>
    <s v="2018-09-20"/>
    <n v="2"/>
    <s v="38662903"/>
    <n v="1"/>
    <n v="1"/>
    <n v="0"/>
    <n v="0"/>
    <n v="100"/>
    <n v="-1"/>
    <n v="2"/>
    <n v="1"/>
    <n v="0"/>
    <n v="1"/>
    <n v="0"/>
    <s v="5005193938662903"/>
    <n v="1"/>
  </r>
  <r>
    <n v="3"/>
    <x v="2"/>
    <n v="50051990"/>
    <s v="2018-09-04"/>
    <x v="6"/>
    <s v="2018-09-05"/>
    <n v="1"/>
    <n v="3"/>
    <s v="2018-09-20"/>
    <n v="2"/>
    <s v="38663381"/>
    <n v="1"/>
    <n v="1"/>
    <n v="1"/>
    <n v="1"/>
    <n v="100"/>
    <n v="-1"/>
    <n v="2"/>
    <n v="1"/>
    <n v="0"/>
    <n v="1"/>
    <n v="1"/>
    <s v="5005199038663381"/>
    <n v="1"/>
  </r>
  <r>
    <n v="3"/>
    <x v="2"/>
    <n v="50051990"/>
    <s v="2018-09-04"/>
    <x v="6"/>
    <s v="2018-09-05"/>
    <n v="1"/>
    <n v="3"/>
    <s v="2018-09-20"/>
    <n v="2"/>
    <s v="38663386"/>
    <n v="1"/>
    <n v="1"/>
    <n v="1"/>
    <n v="1"/>
    <n v="100"/>
    <n v="-1"/>
    <n v="2"/>
    <n v="1"/>
    <n v="0"/>
    <n v="1"/>
    <n v="1"/>
    <s v="5005199038663386"/>
    <n v="1"/>
  </r>
  <r>
    <n v="3"/>
    <x v="2"/>
    <n v="50051990"/>
    <s v="2018-09-04"/>
    <x v="7"/>
    <s v="2018-09-05"/>
    <n v="1"/>
    <n v="3"/>
    <s v="2018-09-20"/>
    <n v="2"/>
    <s v="38663403"/>
    <n v="1"/>
    <n v="1"/>
    <n v="1"/>
    <n v="1"/>
    <n v="100"/>
    <n v="-1"/>
    <n v="2"/>
    <n v="1"/>
    <n v="0"/>
    <n v="1"/>
    <n v="1"/>
    <s v="5005199038663403"/>
    <n v="1"/>
  </r>
  <r>
    <n v="3"/>
    <x v="2"/>
    <n v="50052041"/>
    <s v="2018-09-05"/>
    <x v="6"/>
    <s v="2018-09-06"/>
    <n v="1"/>
    <n v="3"/>
    <s v="2018-09-20"/>
    <n v="2"/>
    <s v="38663455"/>
    <n v="1"/>
    <n v="1"/>
    <n v="1"/>
    <n v="1"/>
    <n v="100"/>
    <n v="-1"/>
    <n v="2"/>
    <n v="1"/>
    <n v="0"/>
    <n v="1"/>
    <n v="1"/>
    <s v="5005204138663455"/>
    <n v="1"/>
  </r>
  <r>
    <n v="3"/>
    <x v="2"/>
    <n v="50052041"/>
    <s v="2018-09-05"/>
    <x v="10"/>
    <s v="2018-09-06"/>
    <n v="1"/>
    <n v="4"/>
    <s v="2018-09-27"/>
    <n v="3"/>
    <s v="38663587"/>
    <n v="1"/>
    <n v="1"/>
    <n v="0"/>
    <n v="0"/>
    <n v="100"/>
    <n v="-2"/>
    <n v="3"/>
    <n v="1"/>
    <n v="0"/>
    <n v="1"/>
    <n v="0"/>
    <s v="5005204138663587"/>
    <n v="1"/>
  </r>
  <r>
    <n v="3"/>
    <x v="2"/>
    <n v="50052088"/>
    <s v="2018-09-06"/>
    <x v="6"/>
    <s v="2018-09-07"/>
    <n v="1"/>
    <n v="2"/>
    <s v="2018-09-20"/>
    <n v="1"/>
    <s v="38663780"/>
    <n v="1"/>
    <n v="1"/>
    <n v="1"/>
    <n v="1"/>
    <n v="100"/>
    <n v="0"/>
    <n v="1"/>
    <n v="1"/>
    <n v="0"/>
    <n v="1"/>
    <n v="1"/>
    <s v="5005208838663780"/>
    <n v="1"/>
  </r>
  <r>
    <n v="3"/>
    <x v="2"/>
    <n v="50052088"/>
    <s v="2018-09-06"/>
    <x v="7"/>
    <s v="2018-09-07"/>
    <n v="1"/>
    <n v="2"/>
    <s v="2018-09-20"/>
    <n v="1"/>
    <s v="38663978"/>
    <n v="1"/>
    <n v="1"/>
    <n v="1"/>
    <n v="1"/>
    <n v="100"/>
    <n v="0"/>
    <n v="1"/>
    <n v="1"/>
    <n v="0"/>
    <n v="1"/>
    <n v="1"/>
    <s v="5005208838663978"/>
    <n v="1"/>
  </r>
  <r>
    <n v="3"/>
    <x v="2"/>
    <n v="50052210"/>
    <s v="2018-09-09"/>
    <x v="7"/>
    <s v="2018-09-10"/>
    <n v="1"/>
    <n v="2"/>
    <s v="2018-09-20"/>
    <n v="1"/>
    <s v="38664568"/>
    <n v="1"/>
    <n v="1"/>
    <n v="1"/>
    <n v="1"/>
    <n v="100"/>
    <n v="0"/>
    <n v="1"/>
    <n v="1"/>
    <n v="0"/>
    <n v="1"/>
    <n v="1"/>
    <s v="5005221038664568"/>
    <n v="1"/>
  </r>
  <r>
    <n v="3"/>
    <x v="2"/>
    <n v="50052210"/>
    <s v="2018-09-09"/>
    <x v="21"/>
    <s v="2018-09-10"/>
    <n v="1"/>
    <n v="2"/>
    <s v="2018-09-20"/>
    <n v="1"/>
    <s v="38664717"/>
    <n v="1"/>
    <n v="1"/>
    <n v="1"/>
    <n v="1"/>
    <n v="100"/>
    <n v="0"/>
    <n v="1"/>
    <n v="1"/>
    <n v="0"/>
    <n v="1"/>
    <n v="1"/>
    <s v="5005221038664717"/>
    <n v="1"/>
  </r>
  <r>
    <n v="3"/>
    <x v="2"/>
    <n v="50052249"/>
    <s v="2018-09-10"/>
    <x v="6"/>
    <s v="2018-09-11"/>
    <n v="1"/>
    <n v="0"/>
    <s v="1900-01-01"/>
    <n v="0"/>
    <s v="38664853"/>
    <n v="0"/>
    <n v="0"/>
    <n v="0"/>
    <n v="0"/>
    <n v="0"/>
    <n v="0"/>
    <n v="0"/>
    <n v="0"/>
    <n v="1"/>
    <n v="1"/>
    <n v="0"/>
    <s v="5005224938664853"/>
    <n v="0"/>
  </r>
  <r>
    <n v="3"/>
    <x v="2"/>
    <n v="50052249"/>
    <s v="2018-09-10"/>
    <x v="10"/>
    <s v="2018-09-11"/>
    <n v="1"/>
    <n v="1"/>
    <s v="2018-09-21"/>
    <n v="0"/>
    <s v="38664986"/>
    <n v="1"/>
    <n v="1"/>
    <n v="1"/>
    <n v="1"/>
    <n v="100"/>
    <n v="1"/>
    <n v="0"/>
    <n v="1"/>
    <n v="0"/>
    <n v="1"/>
    <n v="1"/>
    <s v="5005224938664986"/>
    <n v="1"/>
  </r>
  <r>
    <n v="3"/>
    <x v="2"/>
    <n v="50052330"/>
    <s v="2018-09-12"/>
    <x v="5"/>
    <s v="2018-09-13"/>
    <n v="1"/>
    <n v="0"/>
    <s v="1900-01-01"/>
    <n v="0"/>
    <s v="38665387"/>
    <n v="0"/>
    <n v="0"/>
    <n v="0"/>
    <n v="0"/>
    <n v="0"/>
    <n v="0"/>
    <n v="0"/>
    <n v="0"/>
    <n v="1"/>
    <n v="1"/>
    <n v="0"/>
    <s v="5005233038665387"/>
    <n v="0"/>
  </r>
  <r>
    <n v="3"/>
    <x v="2"/>
    <n v="50052368"/>
    <s v="2018-09-13"/>
    <x v="5"/>
    <s v="2018-09-14"/>
    <n v="1"/>
    <n v="0"/>
    <s v="1900-01-01"/>
    <n v="0"/>
    <s v="38665507"/>
    <n v="0"/>
    <n v="0"/>
    <n v="0"/>
    <n v="0"/>
    <n v="0"/>
    <n v="0"/>
    <n v="0"/>
    <n v="0"/>
    <n v="1"/>
    <n v="1"/>
    <n v="0"/>
    <s v="5005236838665507"/>
    <n v="0"/>
  </r>
  <r>
    <n v="3"/>
    <x v="2"/>
    <n v="50052459"/>
    <s v="2018-09-16"/>
    <x v="22"/>
    <s v="2018-09-20"/>
    <n v="1"/>
    <n v="1"/>
    <s v="2018-09-24"/>
    <n v="0"/>
    <s v="38666031"/>
    <n v="1"/>
    <n v="1"/>
    <n v="1"/>
    <n v="1"/>
    <n v="100"/>
    <n v="1"/>
    <n v="0"/>
    <n v="1"/>
    <n v="0"/>
    <n v="1"/>
    <n v="1"/>
    <s v="5005245938666031"/>
    <n v="1"/>
  </r>
  <r>
    <n v="9"/>
    <x v="9"/>
    <n v="9199196"/>
    <s v="2018-09-07"/>
    <x v="20"/>
    <s v="2018-09-10"/>
    <n v="1"/>
    <n v="1"/>
    <s v="2018-09-24"/>
    <n v="1"/>
    <s v="0030121809075091013061"/>
    <n v="0"/>
    <n v="0"/>
    <n v="0"/>
    <n v="0"/>
    <n v="0"/>
    <n v="0"/>
    <n v="0"/>
    <n v="-1"/>
    <n v="2"/>
    <n v="1"/>
    <n v="0"/>
    <s v="91991960030121809075091013061"/>
    <n v="0"/>
  </r>
  <r>
    <n v="9"/>
    <x v="9"/>
    <n v="9179720"/>
    <s v="1900-01-01"/>
    <x v="17"/>
    <s v="1900-01-01"/>
    <n v="1"/>
    <n v="1"/>
    <s v="2018-08-29"/>
    <n v="0"/>
    <s v="0040331808069810015875"/>
    <n v="1"/>
    <n v="1"/>
    <n v="1"/>
    <n v="1"/>
    <n v="100"/>
    <n v="1"/>
    <n v="0"/>
    <n v="1"/>
    <n v="0"/>
    <n v="1"/>
    <n v="1"/>
    <s v="91797200040331808069810015875"/>
    <n v="1"/>
  </r>
  <r>
    <n v="9"/>
    <x v="9"/>
    <n v="9182783"/>
    <s v="1900-01-01"/>
    <x v="0"/>
    <s v="1900-01-01"/>
    <n v="1"/>
    <n v="1"/>
    <s v="2018-09-03"/>
    <n v="0"/>
    <s v="0040331808119920015924"/>
    <n v="1"/>
    <n v="1"/>
    <n v="1"/>
    <n v="1"/>
    <n v="100"/>
    <n v="1"/>
    <n v="0"/>
    <n v="1"/>
    <n v="0"/>
    <n v="1"/>
    <n v="1"/>
    <s v="91827830040331808119920015924"/>
    <n v="1"/>
  </r>
  <r>
    <n v="9"/>
    <x v="9"/>
    <n v="9187212"/>
    <s v="2018-08-20"/>
    <x v="0"/>
    <s v="2018-08-21"/>
    <n v="1"/>
    <n v="1"/>
    <s v="2018-09-03"/>
    <n v="0"/>
    <s v="0040331808200063015973"/>
    <n v="1"/>
    <n v="1"/>
    <n v="1"/>
    <n v="1"/>
    <n v="100"/>
    <n v="1"/>
    <n v="0"/>
    <n v="1"/>
    <n v="0"/>
    <n v="1"/>
    <n v="1"/>
    <s v="91872120040331808200063015973"/>
    <n v="1"/>
  </r>
  <r>
    <n v="9"/>
    <x v="9"/>
    <n v="9180795"/>
    <s v="1900-01-01"/>
    <x v="14"/>
    <s v="1900-01-01"/>
    <n v="1"/>
    <n v="1"/>
    <s v="2018-08-31"/>
    <n v="0"/>
    <s v="0040391808073520000537"/>
    <n v="1"/>
    <n v="1"/>
    <n v="1"/>
    <n v="1"/>
    <n v="100"/>
    <n v="1"/>
    <n v="0"/>
    <n v="1"/>
    <n v="0"/>
    <n v="1"/>
    <n v="1"/>
    <s v="91807950040391808073520000537"/>
    <n v="1"/>
  </r>
  <r>
    <n v="9"/>
    <x v="9"/>
    <n v="9184141"/>
    <s v="1900-01-01"/>
    <x v="8"/>
    <s v="1900-01-01"/>
    <n v="1"/>
    <n v="1"/>
    <s v="2018-09-07"/>
    <n v="0"/>
    <s v="0040391808143633000577"/>
    <n v="1"/>
    <n v="1"/>
    <n v="1"/>
    <n v="1"/>
    <n v="100"/>
    <n v="1"/>
    <n v="0"/>
    <n v="1"/>
    <n v="0"/>
    <n v="1"/>
    <n v="1"/>
    <s v="91841410040391808143633000577"/>
    <n v="1"/>
  </r>
  <r>
    <n v="9"/>
    <x v="9"/>
    <n v="9187962"/>
    <s v="2018-08-21"/>
    <x v="17"/>
    <s v="2018-08-22"/>
    <n v="1"/>
    <n v="1"/>
    <s v="2018-08-29"/>
    <n v="0"/>
    <s v="0040391808213755000623"/>
    <n v="1"/>
    <n v="1"/>
    <n v="1"/>
    <n v="1"/>
    <n v="100"/>
    <n v="1"/>
    <n v="0"/>
    <n v="1"/>
    <n v="0"/>
    <n v="1"/>
    <n v="1"/>
    <s v="91879620040391808213755000623"/>
    <n v="1"/>
  </r>
  <r>
    <n v="9"/>
    <x v="9"/>
    <n v="9194705"/>
    <s v="2018-09-01"/>
    <x v="8"/>
    <s v="2018-09-03"/>
    <n v="1"/>
    <n v="1"/>
    <s v="2018-09-07"/>
    <n v="0"/>
    <s v="0040391809013952000690"/>
    <n v="1"/>
    <n v="1"/>
    <n v="1"/>
    <n v="1"/>
    <n v="100"/>
    <n v="1"/>
    <n v="0"/>
    <n v="1"/>
    <n v="0"/>
    <n v="1"/>
    <n v="1"/>
    <s v="91947050040391809013952000690"/>
    <n v="1"/>
  </r>
  <r>
    <n v="9"/>
    <x v="9"/>
    <n v="9194705"/>
    <s v="2018-09-01"/>
    <x v="8"/>
    <s v="2018-09-03"/>
    <n v="1"/>
    <n v="1"/>
    <s v="2018-09-07"/>
    <n v="0"/>
    <s v="0040391809013952000691"/>
    <n v="1"/>
    <n v="1"/>
    <n v="1"/>
    <n v="1"/>
    <n v="100"/>
    <n v="1"/>
    <n v="0"/>
    <n v="1"/>
    <n v="0"/>
    <n v="1"/>
    <n v="1"/>
    <s v="91947050040391809013952000691"/>
    <n v="1"/>
  </r>
  <r>
    <n v="9"/>
    <x v="9"/>
    <n v="9205942"/>
    <s v="2018-09-21"/>
    <x v="22"/>
    <s v="2018-09-24"/>
    <n v="1"/>
    <n v="1"/>
    <s v="2018-09-26"/>
    <n v="0"/>
    <s v="0040391809214267000787"/>
    <n v="1"/>
    <n v="1"/>
    <n v="1"/>
    <n v="1"/>
    <n v="100"/>
    <n v="1"/>
    <n v="0"/>
    <n v="1"/>
    <n v="0"/>
    <n v="1"/>
    <n v="1"/>
    <s v="92059420040391809214267000787"/>
    <n v="1"/>
  </r>
  <r>
    <n v="9"/>
    <x v="9"/>
    <n v="9205273"/>
    <s v="2018-09-20"/>
    <x v="22"/>
    <s v="2018-09-21"/>
    <n v="1"/>
    <n v="1"/>
    <s v="2018-09-26"/>
    <n v="0"/>
    <s v="0070561809203948000921"/>
    <n v="1"/>
    <n v="1"/>
    <n v="1"/>
    <n v="1"/>
    <n v="100"/>
    <n v="1"/>
    <n v="0"/>
    <n v="1"/>
    <n v="0"/>
    <n v="1"/>
    <n v="1"/>
    <s v="92052730070561809203948000921"/>
    <n v="1"/>
  </r>
  <r>
    <n v="9"/>
    <x v="9"/>
    <n v="9187416"/>
    <s v="2018-08-20"/>
    <x v="12"/>
    <s v="2018-08-21"/>
    <n v="1"/>
    <n v="1"/>
    <s v="2018-08-27"/>
    <n v="0"/>
    <s v="0090051808200156002904"/>
    <n v="1"/>
    <n v="1"/>
    <n v="1"/>
    <n v="1"/>
    <n v="100"/>
    <n v="1"/>
    <n v="0"/>
    <n v="1"/>
    <n v="0"/>
    <n v="1"/>
    <n v="1"/>
    <s v="91874160090051808200156002904"/>
    <n v="1"/>
  </r>
  <r>
    <n v="9"/>
    <x v="9"/>
    <n v="9203291"/>
    <s v="2018-09-14"/>
    <x v="5"/>
    <s v="2018-09-20"/>
    <n v="1"/>
    <n v="0"/>
    <s v="1900-01-01"/>
    <n v="0"/>
    <s v="0090051809140573002942"/>
    <n v="0"/>
    <n v="0"/>
    <n v="0"/>
    <n v="0"/>
    <n v="0"/>
    <n v="0"/>
    <n v="0"/>
    <n v="0"/>
    <n v="1"/>
    <n v="1"/>
    <n v="0"/>
    <s v="92032910090051809140573002942"/>
    <n v="0"/>
  </r>
  <r>
    <n v="9"/>
    <x v="9"/>
    <n v="9189989"/>
    <s v="2018-08-25"/>
    <x v="0"/>
    <s v="2018-08-27"/>
    <n v="1"/>
    <n v="1"/>
    <s v="2018-09-03"/>
    <n v="0"/>
    <s v="0090091808258587011630"/>
    <n v="1"/>
    <n v="1"/>
    <n v="1"/>
    <n v="1"/>
    <n v="100"/>
    <n v="1"/>
    <n v="0"/>
    <n v="1"/>
    <n v="0"/>
    <n v="1"/>
    <n v="1"/>
    <s v="91899890090091808258587011630"/>
    <n v="1"/>
  </r>
  <r>
    <n v="9"/>
    <x v="9"/>
    <n v="9191186"/>
    <s v="2018-08-27"/>
    <x v="0"/>
    <s v="2018-08-28"/>
    <n v="1"/>
    <n v="1"/>
    <s v="2018-09-03"/>
    <n v="0"/>
    <s v="0090091808278647011632"/>
    <n v="1"/>
    <n v="1"/>
    <n v="1"/>
    <n v="1"/>
    <n v="100"/>
    <n v="1"/>
    <n v="0"/>
    <n v="1"/>
    <n v="0"/>
    <n v="1"/>
    <n v="1"/>
    <s v="91911860090091808278647011632"/>
    <n v="1"/>
  </r>
  <r>
    <n v="9"/>
    <x v="9"/>
    <n v="9181185"/>
    <s v="1900-01-01"/>
    <x v="14"/>
    <s v="1900-01-01"/>
    <n v="1"/>
    <n v="1"/>
    <s v="2018-08-31"/>
    <n v="0"/>
    <s v="0090231808081925018527"/>
    <n v="1"/>
    <n v="1"/>
    <n v="1"/>
    <n v="1"/>
    <n v="100"/>
    <n v="1"/>
    <n v="0"/>
    <n v="1"/>
    <n v="0"/>
    <n v="1"/>
    <n v="1"/>
    <s v="91811850090231808081925018527"/>
    <n v="1"/>
  </r>
  <r>
    <n v="9"/>
    <x v="9"/>
    <n v="9181783"/>
    <s v="1900-01-01"/>
    <x v="0"/>
    <s v="1900-01-01"/>
    <n v="1"/>
    <n v="1"/>
    <s v="2018-09-03"/>
    <n v="0"/>
    <s v="0100271808090678008188"/>
    <n v="1"/>
    <n v="1"/>
    <n v="1"/>
    <n v="1"/>
    <n v="100"/>
    <n v="1"/>
    <n v="0"/>
    <n v="1"/>
    <n v="0"/>
    <n v="1"/>
    <n v="1"/>
    <s v="91817830100271808090678008188"/>
    <n v="1"/>
  </r>
  <r>
    <n v="9"/>
    <x v="9"/>
    <n v="9189296"/>
    <s v="2018-08-23"/>
    <x v="17"/>
    <s v="2018-08-24"/>
    <n v="1"/>
    <n v="1"/>
    <s v="2018-08-29"/>
    <n v="0"/>
    <s v="0120951808239116049290"/>
    <n v="1"/>
    <n v="1"/>
    <n v="1"/>
    <n v="1"/>
    <n v="100"/>
    <n v="1"/>
    <n v="0"/>
    <n v="1"/>
    <n v="0"/>
    <n v="1"/>
    <n v="1"/>
    <s v="91892960120951808239116049290"/>
    <n v="1"/>
  </r>
  <r>
    <n v="9"/>
    <x v="9"/>
    <n v="9183199"/>
    <s v="1900-01-01"/>
    <x v="8"/>
    <s v="1900-01-01"/>
    <n v="1"/>
    <n v="1"/>
    <s v="2018-09-07"/>
    <n v="0"/>
    <s v="0140181808129943009857"/>
    <n v="1"/>
    <n v="1"/>
    <n v="1"/>
    <n v="1"/>
    <n v="100"/>
    <n v="1"/>
    <n v="0"/>
    <n v="1"/>
    <n v="0"/>
    <n v="1"/>
    <n v="1"/>
    <s v="91831990140181808129943009857"/>
    <n v="1"/>
  </r>
  <r>
    <n v="9"/>
    <x v="9"/>
    <n v="9192685"/>
    <s v="2018-08-29"/>
    <x v="18"/>
    <s v="2018-08-30"/>
    <n v="1"/>
    <n v="1"/>
    <s v="2018-09-05"/>
    <n v="0"/>
    <s v="0140181808290263009900"/>
    <n v="1"/>
    <n v="1"/>
    <n v="1"/>
    <n v="1"/>
    <n v="100"/>
    <n v="1"/>
    <n v="0"/>
    <n v="1"/>
    <n v="0"/>
    <n v="1"/>
    <n v="1"/>
    <s v="91926850140181808290263009900"/>
    <n v="1"/>
  </r>
  <r>
    <n v="9"/>
    <x v="9"/>
    <n v="9194469"/>
    <s v="2018-09-01"/>
    <x v="8"/>
    <s v="2018-09-03"/>
    <n v="1"/>
    <n v="1"/>
    <s v="2018-09-07"/>
    <n v="0"/>
    <s v="0140181809010340009906"/>
    <n v="1"/>
    <n v="1"/>
    <n v="1"/>
    <n v="1"/>
    <n v="100"/>
    <n v="1"/>
    <n v="0"/>
    <n v="1"/>
    <n v="0"/>
    <n v="1"/>
    <n v="1"/>
    <s v="91944690140181809010340009906"/>
    <n v="1"/>
  </r>
  <r>
    <n v="9"/>
    <x v="9"/>
    <n v="9203034"/>
    <s v="2018-09-13"/>
    <x v="22"/>
    <s v="2018-09-14"/>
    <n v="1"/>
    <n v="1"/>
    <s v="2018-09-26"/>
    <n v="0"/>
    <s v="0140181809130902009946"/>
    <n v="1"/>
    <n v="1"/>
    <n v="1"/>
    <n v="1"/>
    <n v="100"/>
    <n v="1"/>
    <n v="0"/>
    <n v="1"/>
    <n v="0"/>
    <n v="1"/>
    <n v="1"/>
    <s v="92030340140181809130902009946"/>
    <n v="1"/>
  </r>
  <r>
    <n v="9"/>
    <x v="9"/>
    <n v="9186487"/>
    <s v="2018-08-18"/>
    <x v="14"/>
    <s v="2018-08-20"/>
    <n v="1"/>
    <n v="1"/>
    <s v="2018-08-31"/>
    <n v="0"/>
    <s v="0140341808180920011570"/>
    <n v="1"/>
    <n v="1"/>
    <n v="1"/>
    <n v="1"/>
    <n v="100"/>
    <n v="1"/>
    <n v="0"/>
    <n v="1"/>
    <n v="0"/>
    <n v="1"/>
    <n v="1"/>
    <s v="91864870140341808180920011570"/>
    <n v="1"/>
  </r>
  <r>
    <n v="9"/>
    <x v="9"/>
    <n v="9194606"/>
    <s v="2018-09-01"/>
    <x v="8"/>
    <s v="2018-09-03"/>
    <n v="1"/>
    <n v="1"/>
    <s v="2018-09-07"/>
    <n v="0"/>
    <s v="0140341809011287011631"/>
    <n v="1"/>
    <n v="1"/>
    <n v="1"/>
    <n v="1"/>
    <n v="100"/>
    <n v="1"/>
    <n v="0"/>
    <n v="1"/>
    <n v="0"/>
    <n v="1"/>
    <n v="1"/>
    <s v="91946060140341809011287011631"/>
    <n v="1"/>
  </r>
  <r>
    <n v="9"/>
    <x v="9"/>
    <n v="9194606"/>
    <s v="2018-09-01"/>
    <x v="8"/>
    <s v="2018-09-03"/>
    <n v="1"/>
    <n v="1"/>
    <s v="2018-09-07"/>
    <n v="0"/>
    <s v="0140341809011287011632"/>
    <n v="1"/>
    <n v="1"/>
    <n v="1"/>
    <n v="1"/>
    <n v="100"/>
    <n v="1"/>
    <n v="0"/>
    <n v="1"/>
    <n v="0"/>
    <n v="1"/>
    <n v="1"/>
    <s v="91946060140341809011287011632"/>
    <n v="1"/>
  </r>
  <r>
    <n v="9"/>
    <x v="9"/>
    <n v="9184737"/>
    <s v="1900-01-01"/>
    <x v="8"/>
    <s v="1900-01-01"/>
    <n v="1"/>
    <n v="1"/>
    <s v="2018-09-07"/>
    <n v="0"/>
    <s v="0160331808159459016452"/>
    <n v="1"/>
    <n v="1"/>
    <n v="1"/>
    <n v="1"/>
    <n v="100"/>
    <n v="1"/>
    <n v="0"/>
    <n v="1"/>
    <n v="0"/>
    <n v="1"/>
    <n v="1"/>
    <s v="91847370160331808159459016452"/>
    <n v="1"/>
  </r>
  <r>
    <n v="9"/>
    <x v="9"/>
    <n v="9183199"/>
    <s v="1900-01-01"/>
    <x v="8"/>
    <s v="1900-01-01"/>
    <n v="1"/>
    <n v="1"/>
    <s v="2018-09-07"/>
    <n v="0"/>
    <s v="0180211808123398008015"/>
    <n v="1"/>
    <n v="1"/>
    <n v="1"/>
    <n v="1"/>
    <n v="100"/>
    <n v="1"/>
    <n v="0"/>
    <n v="1"/>
    <n v="0"/>
    <n v="1"/>
    <n v="1"/>
    <s v="91831990180211808123398008015"/>
    <n v="1"/>
  </r>
  <r>
    <n v="9"/>
    <x v="9"/>
    <n v="9189255"/>
    <s v="2018-08-23"/>
    <x v="12"/>
    <s v="2018-08-24"/>
    <n v="1"/>
    <n v="1"/>
    <s v="2018-08-27"/>
    <n v="0"/>
    <s v="0180211808233579008089"/>
    <n v="1"/>
    <n v="1"/>
    <n v="1"/>
    <n v="1"/>
    <n v="100"/>
    <n v="1"/>
    <n v="0"/>
    <n v="1"/>
    <n v="0"/>
    <n v="1"/>
    <n v="1"/>
    <s v="91892550180211808233579008089"/>
    <n v="1"/>
  </r>
  <r>
    <n v="9"/>
    <x v="9"/>
    <n v="9188368"/>
    <s v="2018-08-22"/>
    <x v="14"/>
    <s v="2018-08-23"/>
    <n v="1"/>
    <n v="1"/>
    <s v="2018-08-31"/>
    <n v="0"/>
    <s v="0180631808226900012147"/>
    <n v="1"/>
    <n v="1"/>
    <n v="1"/>
    <n v="1"/>
    <n v="100"/>
    <n v="1"/>
    <n v="0"/>
    <n v="1"/>
    <n v="0"/>
    <n v="1"/>
    <n v="1"/>
    <s v="91883680180631808226900012147"/>
    <n v="1"/>
  </r>
  <r>
    <n v="9"/>
    <x v="9"/>
    <n v="9194705"/>
    <s v="2018-09-01"/>
    <x v="8"/>
    <s v="2018-09-03"/>
    <n v="1"/>
    <n v="1"/>
    <s v="2018-09-07"/>
    <n v="0"/>
    <s v="0180631809017052012206"/>
    <n v="1"/>
    <n v="1"/>
    <n v="1"/>
    <n v="1"/>
    <n v="100"/>
    <n v="1"/>
    <n v="0"/>
    <n v="1"/>
    <n v="0"/>
    <n v="1"/>
    <n v="1"/>
    <s v="91947050180631809017052012206"/>
    <n v="1"/>
  </r>
  <r>
    <n v="9"/>
    <x v="9"/>
    <n v="9185897"/>
    <s v="2018-08-17"/>
    <x v="17"/>
    <s v="2018-08-20"/>
    <n v="1"/>
    <n v="1"/>
    <s v="2018-08-29"/>
    <n v="0"/>
    <s v="0180711808170665007049"/>
    <n v="1"/>
    <n v="1"/>
    <n v="1"/>
    <n v="1"/>
    <n v="100"/>
    <n v="1"/>
    <n v="0"/>
    <n v="1"/>
    <n v="0"/>
    <n v="1"/>
    <n v="1"/>
    <s v="91858970180711808170665007049"/>
    <n v="1"/>
  </r>
  <r>
    <n v="9"/>
    <x v="9"/>
    <n v="9200280"/>
    <s v="2018-09-09"/>
    <x v="22"/>
    <s v="2018-09-10"/>
    <n v="1"/>
    <n v="1"/>
    <s v="2018-09-26"/>
    <n v="0"/>
    <s v="0190451809093512011957"/>
    <n v="1"/>
    <n v="1"/>
    <n v="1"/>
    <n v="1"/>
    <n v="100"/>
    <n v="1"/>
    <n v="0"/>
    <n v="1"/>
    <n v="0"/>
    <n v="1"/>
    <n v="1"/>
    <s v="92002800190451809093512011957"/>
    <n v="1"/>
  </r>
  <r>
    <n v="9"/>
    <x v="9"/>
    <n v="9190500"/>
    <s v="2018-08-26"/>
    <x v="0"/>
    <s v="2018-08-27"/>
    <n v="1"/>
    <n v="1"/>
    <s v="2018-09-03"/>
    <n v="0"/>
    <s v="0220611808269220002192"/>
    <n v="1"/>
    <n v="1"/>
    <n v="1"/>
    <n v="1"/>
    <n v="100"/>
    <n v="1"/>
    <n v="0"/>
    <n v="1"/>
    <n v="0"/>
    <n v="1"/>
    <n v="1"/>
    <s v="91905000220611808269220002192"/>
    <n v="1"/>
  </r>
  <r>
    <n v="9"/>
    <x v="9"/>
    <n v="9179977"/>
    <s v="1900-01-01"/>
    <x v="8"/>
    <s v="1900-01-01"/>
    <n v="1"/>
    <n v="1"/>
    <s v="2018-09-07"/>
    <n v="0"/>
    <s v="0220731808065681010101"/>
    <n v="1"/>
    <n v="1"/>
    <n v="1"/>
    <n v="1"/>
    <n v="100"/>
    <n v="1"/>
    <n v="0"/>
    <n v="1"/>
    <n v="0"/>
    <n v="1"/>
    <n v="1"/>
    <s v="91799770220731808065681010101"/>
    <n v="1"/>
  </r>
  <r>
    <n v="9"/>
    <x v="9"/>
    <n v="9189618"/>
    <s v="2018-08-24"/>
    <x v="18"/>
    <s v="2018-08-27"/>
    <n v="1"/>
    <n v="1"/>
    <s v="2018-09-05"/>
    <n v="0"/>
    <s v="0220731808246443010330"/>
    <n v="1"/>
    <n v="1"/>
    <n v="1"/>
    <n v="1"/>
    <n v="100"/>
    <n v="1"/>
    <n v="0"/>
    <n v="1"/>
    <n v="0"/>
    <n v="1"/>
    <n v="1"/>
    <s v="91896180220731808246443010330"/>
    <n v="1"/>
  </r>
  <r>
    <n v="9"/>
    <x v="9"/>
    <n v="9189745"/>
    <s v="2018-08-24"/>
    <x v="14"/>
    <s v="2018-08-27"/>
    <n v="1"/>
    <n v="1"/>
    <s v="2018-08-31"/>
    <n v="0"/>
    <s v="0250041808247694007578"/>
    <n v="1"/>
    <n v="1"/>
    <n v="1"/>
    <n v="1"/>
    <n v="100"/>
    <n v="1"/>
    <n v="0"/>
    <n v="1"/>
    <n v="0"/>
    <n v="1"/>
    <n v="1"/>
    <s v="91897450250041808247694007578"/>
    <n v="1"/>
  </r>
  <r>
    <n v="9"/>
    <x v="9"/>
    <n v="9199724"/>
    <s v="2018-09-08"/>
    <x v="20"/>
    <s v="2018-09-10"/>
    <n v="1"/>
    <n v="1"/>
    <s v="2018-09-14"/>
    <n v="0"/>
    <s v="0250041809087975007636"/>
    <n v="1"/>
    <n v="1"/>
    <n v="1"/>
    <n v="1"/>
    <n v="100"/>
    <n v="1"/>
    <n v="0"/>
    <n v="1"/>
    <n v="0"/>
    <n v="1"/>
    <n v="1"/>
    <s v="91997240250041809087975007636"/>
    <n v="1"/>
  </r>
  <r>
    <n v="9"/>
    <x v="9"/>
    <n v="9194511"/>
    <s v="2018-09-01"/>
    <x v="8"/>
    <s v="2018-09-03"/>
    <n v="1"/>
    <n v="1"/>
    <s v="2018-09-07"/>
    <n v="0"/>
    <s v="0260351809011930006120"/>
    <n v="1"/>
    <n v="1"/>
    <n v="1"/>
    <n v="1"/>
    <n v="100"/>
    <n v="1"/>
    <n v="0"/>
    <n v="1"/>
    <n v="0"/>
    <n v="1"/>
    <n v="1"/>
    <s v="91945110260351809011930006120"/>
    <n v="1"/>
  </r>
  <r>
    <n v="9"/>
    <x v="9"/>
    <n v="9185855"/>
    <s v="2018-08-17"/>
    <x v="12"/>
    <s v="2018-08-20"/>
    <n v="1"/>
    <n v="1"/>
    <s v="2018-08-29"/>
    <n v="0"/>
    <s v="0260591808174337008712"/>
    <n v="1"/>
    <n v="1"/>
    <n v="0"/>
    <n v="0"/>
    <n v="100"/>
    <n v="1"/>
    <n v="0"/>
    <n v="1"/>
    <n v="0"/>
    <n v="1"/>
    <n v="0"/>
    <s v="91858550260591808174337008712"/>
    <n v="1"/>
  </r>
  <r>
    <n v="9"/>
    <x v="9"/>
    <n v="9194606"/>
    <s v="2018-09-01"/>
    <x v="20"/>
    <s v="2018-09-03"/>
    <n v="1"/>
    <n v="1"/>
    <s v="2018-09-14"/>
    <n v="0"/>
    <s v="0260591809014697008850"/>
    <n v="1"/>
    <n v="1"/>
    <n v="1"/>
    <n v="1"/>
    <n v="100"/>
    <n v="1"/>
    <n v="0"/>
    <n v="1"/>
    <n v="0"/>
    <n v="1"/>
    <n v="1"/>
    <s v="91946060260591809014697008850"/>
    <n v="1"/>
  </r>
  <r>
    <n v="9"/>
    <x v="9"/>
    <n v="9198446"/>
    <s v="2018-09-06"/>
    <x v="10"/>
    <s v="2018-09-07"/>
    <n v="1"/>
    <n v="1"/>
    <s v="2018-09-14"/>
    <n v="0"/>
    <s v="0260591809064846008917"/>
    <n v="1"/>
    <n v="1"/>
    <n v="1"/>
    <n v="1"/>
    <n v="100"/>
    <n v="1"/>
    <n v="0"/>
    <n v="1"/>
    <n v="0"/>
    <n v="1"/>
    <n v="1"/>
    <s v="91984460260591809064846008917"/>
    <n v="1"/>
  </r>
  <r>
    <n v="9"/>
    <x v="9"/>
    <n v="9199539"/>
    <s v="2018-09-07"/>
    <x v="20"/>
    <s v="2018-09-10"/>
    <n v="1"/>
    <n v="1"/>
    <s v="2018-09-14"/>
    <n v="0"/>
    <s v="0260591809074883008943"/>
    <n v="1"/>
    <n v="1"/>
    <n v="1"/>
    <n v="1"/>
    <n v="100"/>
    <n v="1"/>
    <n v="0"/>
    <n v="1"/>
    <n v="0"/>
    <n v="1"/>
    <n v="1"/>
    <s v="91995390260591809074883008943"/>
    <n v="1"/>
  </r>
  <r>
    <n v="9"/>
    <x v="9"/>
    <n v="9199767"/>
    <s v="2018-09-08"/>
    <x v="20"/>
    <s v="2018-09-10"/>
    <n v="1"/>
    <n v="1"/>
    <s v="2018-09-14"/>
    <n v="0"/>
    <s v="0260591809084899008949"/>
    <n v="1"/>
    <n v="1"/>
    <n v="1"/>
    <n v="1"/>
    <n v="100"/>
    <n v="1"/>
    <n v="0"/>
    <n v="1"/>
    <n v="0"/>
    <n v="1"/>
    <n v="1"/>
    <s v="91997670260591809084899008949"/>
    <n v="1"/>
  </r>
  <r>
    <n v="9"/>
    <x v="9"/>
    <n v="9186487"/>
    <s v="2018-08-18"/>
    <x v="14"/>
    <s v="2018-08-20"/>
    <n v="1"/>
    <n v="1"/>
    <s v="2018-08-31"/>
    <n v="0"/>
    <s v="0260601808189886013310"/>
    <n v="1"/>
    <n v="1"/>
    <n v="1"/>
    <n v="1"/>
    <n v="100"/>
    <n v="1"/>
    <n v="0"/>
    <n v="1"/>
    <n v="0"/>
    <n v="1"/>
    <n v="1"/>
    <s v="91864870260601808189886013310"/>
    <n v="1"/>
  </r>
  <r>
    <n v="9"/>
    <x v="9"/>
    <n v="9203626"/>
    <s v="2018-09-15"/>
    <x v="22"/>
    <s v="2018-09-20"/>
    <n v="1"/>
    <n v="1"/>
    <s v="2018-09-26"/>
    <n v="0"/>
    <s v="0260601809150146013385"/>
    <n v="1"/>
    <n v="1"/>
    <n v="1"/>
    <n v="1"/>
    <n v="100"/>
    <n v="1"/>
    <n v="0"/>
    <n v="1"/>
    <n v="0"/>
    <n v="1"/>
    <n v="1"/>
    <s v="92036260260601809150146013385"/>
    <n v="1"/>
  </r>
  <r>
    <n v="9"/>
    <x v="9"/>
    <n v="9188645"/>
    <s v="2018-08-22"/>
    <x v="18"/>
    <s v="2018-08-23"/>
    <n v="1"/>
    <n v="1"/>
    <s v="2018-09-05"/>
    <n v="0"/>
    <s v="0260751808225359008985"/>
    <n v="1"/>
    <n v="1"/>
    <n v="1"/>
    <n v="1"/>
    <n v="100"/>
    <n v="1"/>
    <n v="0"/>
    <n v="1"/>
    <n v="0"/>
    <n v="1"/>
    <n v="1"/>
    <s v="91886450260751808225359008985"/>
    <n v="1"/>
  </r>
  <r>
    <n v="9"/>
    <x v="9"/>
    <n v="9194172"/>
    <s v="2018-08-31"/>
    <x v="8"/>
    <s v="2018-09-03"/>
    <n v="1"/>
    <n v="1"/>
    <s v="2018-09-07"/>
    <n v="0"/>
    <s v="0260751808315783009080"/>
    <n v="1"/>
    <n v="1"/>
    <n v="1"/>
    <n v="1"/>
    <n v="100"/>
    <n v="1"/>
    <n v="0"/>
    <n v="1"/>
    <n v="0"/>
    <n v="1"/>
    <n v="1"/>
    <s v="91941720260751808315783009080"/>
    <n v="1"/>
  </r>
  <r>
    <n v="9"/>
    <x v="9"/>
    <n v="9181856"/>
    <s v="1900-01-01"/>
    <x v="14"/>
    <s v="1900-01-01"/>
    <n v="1"/>
    <n v="1"/>
    <s v="2018-08-31"/>
    <n v="0"/>
    <s v="0320101808094895004255"/>
    <n v="1"/>
    <n v="1"/>
    <n v="1"/>
    <n v="1"/>
    <n v="100"/>
    <n v="1"/>
    <n v="0"/>
    <n v="1"/>
    <n v="0"/>
    <n v="1"/>
    <n v="1"/>
    <s v="91818560320101808094895004255"/>
    <n v="1"/>
  </r>
  <r>
    <n v="9"/>
    <x v="9"/>
    <n v="9180363"/>
    <s v="1900-01-01"/>
    <x v="17"/>
    <s v="1900-01-01"/>
    <n v="1"/>
    <n v="1"/>
    <s v="2018-08-29"/>
    <n v="0"/>
    <s v="0320411808070773012776"/>
    <n v="1"/>
    <n v="1"/>
    <n v="1"/>
    <n v="1"/>
    <n v="100"/>
    <n v="1"/>
    <n v="0"/>
    <n v="1"/>
    <n v="0"/>
    <n v="1"/>
    <n v="1"/>
    <s v="91803630320411808070773012776"/>
    <n v="1"/>
  </r>
  <r>
    <n v="9"/>
    <x v="9"/>
    <n v="9195213"/>
    <s v="2018-09-02"/>
    <x v="9"/>
    <s v="2018-09-03"/>
    <n v="1"/>
    <n v="1"/>
    <s v="2018-09-10"/>
    <n v="0"/>
    <s v="0320651809025175012587"/>
    <n v="1"/>
    <n v="1"/>
    <n v="1"/>
    <n v="1"/>
    <n v="100"/>
    <n v="1"/>
    <n v="0"/>
    <n v="1"/>
    <n v="0"/>
    <n v="1"/>
    <n v="1"/>
    <s v="91952130320651809025175012587"/>
    <n v="1"/>
  </r>
  <r>
    <n v="9"/>
    <x v="9"/>
    <n v="9191186"/>
    <s v="2018-08-27"/>
    <x v="17"/>
    <s v="2018-08-28"/>
    <n v="1"/>
    <n v="1"/>
    <s v="2018-08-29"/>
    <n v="0"/>
    <s v="0320661808270453001591"/>
    <n v="1"/>
    <n v="1"/>
    <n v="1"/>
    <n v="1"/>
    <n v="100"/>
    <n v="1"/>
    <n v="0"/>
    <n v="1"/>
    <n v="0"/>
    <n v="1"/>
    <n v="1"/>
    <s v="91911860320661808270453001591"/>
    <n v="1"/>
  </r>
  <r>
    <n v="9"/>
    <x v="9"/>
    <n v="9199081"/>
    <s v="2018-09-07"/>
    <x v="9"/>
    <s v="2018-09-10"/>
    <n v="2"/>
    <n v="2"/>
    <s v="2018-09-12"/>
    <n v="0"/>
    <s v="0320661809070775001640"/>
    <n v="2"/>
    <n v="1"/>
    <n v="0"/>
    <n v="0"/>
    <n v="100"/>
    <n v="2"/>
    <n v="0"/>
    <n v="2"/>
    <n v="0"/>
    <n v="1"/>
    <n v="0"/>
    <s v="91990810320661809070775001640"/>
    <n v="2"/>
  </r>
  <r>
    <n v="9"/>
    <x v="9"/>
    <n v="9204396"/>
    <s v="2018-09-17"/>
    <x v="10"/>
    <s v="2018-09-20"/>
    <n v="1"/>
    <n v="1"/>
    <s v="2018-09-21"/>
    <n v="0"/>
    <s v="0320661809171065001683"/>
    <n v="1"/>
    <n v="1"/>
    <n v="1"/>
    <n v="1"/>
    <n v="100"/>
    <n v="1"/>
    <n v="0"/>
    <n v="1"/>
    <n v="0"/>
    <n v="1"/>
    <n v="1"/>
    <s v="92043960320661809171065001683"/>
    <n v="1"/>
  </r>
  <r>
    <n v="9"/>
    <x v="9"/>
    <n v="9205783"/>
    <s v="2018-09-21"/>
    <x v="22"/>
    <s v="2018-09-24"/>
    <n v="1"/>
    <n v="1"/>
    <s v="2018-09-26"/>
    <n v="0"/>
    <s v="0320661809211110001691"/>
    <n v="1"/>
    <n v="1"/>
    <n v="1"/>
    <n v="1"/>
    <n v="100"/>
    <n v="1"/>
    <n v="0"/>
    <n v="1"/>
    <n v="0"/>
    <n v="1"/>
    <n v="1"/>
    <s v="92057830320661809211110001691"/>
    <n v="1"/>
  </r>
  <r>
    <n v="9"/>
    <x v="9"/>
    <n v="9180795"/>
    <s v="1900-01-01"/>
    <x v="17"/>
    <s v="1900-01-01"/>
    <n v="1"/>
    <n v="1"/>
    <s v="2018-08-29"/>
    <n v="0"/>
    <s v="0390050000676148850101"/>
    <n v="1"/>
    <n v="1"/>
    <n v="1"/>
    <n v="1"/>
    <n v="100"/>
    <n v="1"/>
    <n v="0"/>
    <n v="1"/>
    <n v="0"/>
    <n v="1"/>
    <n v="1"/>
    <s v="91807950390050000676148850101"/>
    <n v="1"/>
  </r>
  <r>
    <n v="9"/>
    <x v="9"/>
    <n v="9181409"/>
    <s v="1900-01-01"/>
    <x v="14"/>
    <s v="1900-01-01"/>
    <n v="1"/>
    <n v="1"/>
    <s v="2018-08-31"/>
    <n v="0"/>
    <s v="0390050000676479520102"/>
    <n v="1"/>
    <n v="1"/>
    <n v="1"/>
    <n v="1"/>
    <n v="100"/>
    <n v="1"/>
    <n v="0"/>
    <n v="1"/>
    <n v="0"/>
    <n v="1"/>
    <n v="1"/>
    <s v="91814090390050000676479520102"/>
    <n v="1"/>
  </r>
  <r>
    <n v="9"/>
    <x v="9"/>
    <n v="9181934"/>
    <s v="1900-01-01"/>
    <x v="14"/>
    <s v="1900-01-01"/>
    <n v="1"/>
    <n v="1"/>
    <s v="2018-08-31"/>
    <n v="0"/>
    <s v="0390050000677318860102"/>
    <n v="1"/>
    <n v="1"/>
    <n v="1"/>
    <n v="1"/>
    <n v="100"/>
    <n v="1"/>
    <n v="0"/>
    <n v="1"/>
    <n v="0"/>
    <n v="1"/>
    <n v="1"/>
    <s v="91819340390050000677318860102"/>
    <n v="1"/>
  </r>
  <r>
    <n v="9"/>
    <x v="9"/>
    <n v="9182367"/>
    <s v="1900-01-01"/>
    <x v="12"/>
    <s v="1900-01-01"/>
    <n v="1"/>
    <n v="1"/>
    <s v="2018-08-27"/>
    <n v="0"/>
    <s v="0390050000677764950101"/>
    <n v="1"/>
    <n v="1"/>
    <n v="1"/>
    <n v="1"/>
    <n v="100"/>
    <n v="1"/>
    <n v="0"/>
    <n v="1"/>
    <n v="0"/>
    <n v="1"/>
    <n v="1"/>
    <s v="91823670390050000677764950101"/>
    <n v="1"/>
  </r>
  <r>
    <n v="9"/>
    <x v="9"/>
    <n v="9182743"/>
    <s v="1900-01-01"/>
    <x v="12"/>
    <s v="1900-01-01"/>
    <n v="1"/>
    <n v="1"/>
    <s v="2018-08-27"/>
    <n v="0"/>
    <s v="0390050000678211450102"/>
    <n v="1"/>
    <n v="1"/>
    <n v="1"/>
    <n v="1"/>
    <n v="100"/>
    <n v="1"/>
    <n v="0"/>
    <n v="1"/>
    <n v="0"/>
    <n v="1"/>
    <n v="1"/>
    <s v="91827430390050000678211450102"/>
    <n v="1"/>
  </r>
  <r>
    <n v="9"/>
    <x v="9"/>
    <n v="9183128"/>
    <s v="1900-01-01"/>
    <x v="12"/>
    <s v="1900-01-01"/>
    <n v="1"/>
    <n v="1"/>
    <s v="2018-08-27"/>
    <n v="0"/>
    <s v="0390050000678668680101"/>
    <n v="1"/>
    <n v="1"/>
    <n v="1"/>
    <n v="1"/>
    <n v="100"/>
    <n v="1"/>
    <n v="0"/>
    <n v="1"/>
    <n v="0"/>
    <n v="1"/>
    <n v="1"/>
    <s v="91831280390050000678668680101"/>
    <n v="1"/>
  </r>
  <r>
    <n v="9"/>
    <x v="9"/>
    <n v="9183169"/>
    <s v="1900-01-01"/>
    <x v="12"/>
    <s v="1900-01-01"/>
    <n v="1"/>
    <n v="1"/>
    <s v="2018-08-27"/>
    <n v="0"/>
    <s v="0390050000678672090102"/>
    <n v="1"/>
    <n v="1"/>
    <n v="1"/>
    <n v="1"/>
    <n v="100"/>
    <n v="1"/>
    <n v="0"/>
    <n v="1"/>
    <n v="0"/>
    <n v="1"/>
    <n v="1"/>
    <s v="91831690390050000678672090102"/>
    <n v="1"/>
  </r>
  <r>
    <n v="9"/>
    <x v="9"/>
    <n v="9190968"/>
    <s v="2018-08-27"/>
    <x v="0"/>
    <s v="2018-08-28"/>
    <n v="1"/>
    <n v="1"/>
    <s v="2018-09-03"/>
    <n v="0"/>
    <s v="0390050000678835840101"/>
    <n v="1"/>
    <n v="1"/>
    <n v="1"/>
    <n v="1"/>
    <n v="100"/>
    <n v="1"/>
    <n v="0"/>
    <n v="1"/>
    <n v="0"/>
    <n v="1"/>
    <n v="1"/>
    <s v="91909680390050000678835840101"/>
    <n v="1"/>
  </r>
  <r>
    <n v="9"/>
    <x v="9"/>
    <n v="9183759"/>
    <s v="1900-01-01"/>
    <x v="14"/>
    <s v="1900-01-01"/>
    <n v="1"/>
    <n v="1"/>
    <s v="2018-08-31"/>
    <n v="0"/>
    <s v="0390050000679180520101"/>
    <n v="1"/>
    <n v="1"/>
    <n v="1"/>
    <n v="1"/>
    <n v="100"/>
    <n v="1"/>
    <n v="0"/>
    <n v="1"/>
    <n v="0"/>
    <n v="1"/>
    <n v="1"/>
    <s v="91837590390050000679180520101"/>
    <n v="1"/>
  </r>
  <r>
    <n v="9"/>
    <x v="9"/>
    <n v="9183880"/>
    <s v="1900-01-01"/>
    <x v="12"/>
    <s v="1900-01-01"/>
    <n v="1"/>
    <n v="1"/>
    <s v="2018-08-27"/>
    <n v="0"/>
    <s v="0390050000679328120101"/>
    <n v="1"/>
    <n v="1"/>
    <n v="1"/>
    <n v="1"/>
    <n v="100"/>
    <n v="1"/>
    <n v="0"/>
    <n v="1"/>
    <n v="0"/>
    <n v="1"/>
    <n v="1"/>
    <s v="91838800390050000679328120101"/>
    <n v="1"/>
  </r>
  <r>
    <n v="9"/>
    <x v="9"/>
    <n v="9184436"/>
    <s v="1900-01-01"/>
    <x v="12"/>
    <s v="1900-01-01"/>
    <n v="1"/>
    <n v="1"/>
    <s v="2018-08-27"/>
    <n v="0"/>
    <s v="0390050000679811930101"/>
    <n v="1"/>
    <n v="1"/>
    <n v="1"/>
    <n v="1"/>
    <n v="100"/>
    <n v="1"/>
    <n v="0"/>
    <n v="1"/>
    <n v="0"/>
    <n v="1"/>
    <n v="1"/>
    <s v="91844360390050000679811930101"/>
    <n v="1"/>
  </r>
  <r>
    <n v="9"/>
    <x v="9"/>
    <n v="9184736"/>
    <s v="1900-01-01"/>
    <x v="12"/>
    <s v="1900-01-01"/>
    <n v="1"/>
    <n v="1"/>
    <s v="2018-08-27"/>
    <n v="0"/>
    <s v="0390050000680403030102"/>
    <n v="1"/>
    <n v="1"/>
    <n v="1"/>
    <n v="1"/>
    <n v="100"/>
    <n v="1"/>
    <n v="0"/>
    <n v="1"/>
    <n v="0"/>
    <n v="1"/>
    <n v="1"/>
    <s v="91847360390050000680403030102"/>
    <n v="1"/>
  </r>
  <r>
    <n v="9"/>
    <x v="9"/>
    <n v="9185165"/>
    <s v="1900-01-01"/>
    <x v="12"/>
    <s v="2018-08-17"/>
    <n v="1"/>
    <n v="1"/>
    <s v="2018-08-27"/>
    <n v="0"/>
    <s v="0390050000680667200103"/>
    <n v="1"/>
    <n v="1"/>
    <n v="1"/>
    <n v="1"/>
    <n v="100"/>
    <n v="1"/>
    <n v="0"/>
    <n v="1"/>
    <n v="0"/>
    <n v="1"/>
    <n v="1"/>
    <s v="91851650390050000680667200103"/>
    <n v="1"/>
  </r>
  <r>
    <n v="9"/>
    <x v="9"/>
    <n v="9185285"/>
    <s v="1900-01-01"/>
    <x v="12"/>
    <s v="2018-08-17"/>
    <n v="1"/>
    <n v="1"/>
    <s v="2018-08-29"/>
    <n v="0"/>
    <s v="0390050000683997860102"/>
    <n v="1"/>
    <n v="1"/>
    <n v="0"/>
    <n v="0"/>
    <n v="100"/>
    <n v="1"/>
    <n v="0"/>
    <n v="1"/>
    <n v="0"/>
    <n v="1"/>
    <n v="0"/>
    <s v="91852850390050000683997860102"/>
    <n v="1"/>
  </r>
  <r>
    <n v="9"/>
    <x v="9"/>
    <n v="9185362"/>
    <s v="1900-01-01"/>
    <x v="12"/>
    <s v="2018-08-17"/>
    <n v="1"/>
    <n v="1"/>
    <s v="2018-08-29"/>
    <n v="0"/>
    <s v="0390050000684049220102"/>
    <n v="1"/>
    <n v="1"/>
    <n v="0"/>
    <n v="0"/>
    <n v="100"/>
    <n v="1"/>
    <n v="0"/>
    <n v="1"/>
    <n v="0"/>
    <n v="1"/>
    <n v="0"/>
    <s v="91853620390050000684049220102"/>
    <n v="1"/>
  </r>
  <r>
    <n v="9"/>
    <x v="9"/>
    <n v="9185644"/>
    <s v="1900-01-01"/>
    <x v="17"/>
    <s v="2018-08-17"/>
    <n v="1"/>
    <n v="1"/>
    <s v="2018-08-29"/>
    <n v="0"/>
    <s v="0390050000684231500102"/>
    <n v="1"/>
    <n v="1"/>
    <n v="1"/>
    <n v="1"/>
    <n v="100"/>
    <n v="1"/>
    <n v="0"/>
    <n v="1"/>
    <n v="0"/>
    <n v="1"/>
    <n v="1"/>
    <s v="91856440390050000684231500102"/>
    <n v="1"/>
  </r>
  <r>
    <n v="9"/>
    <x v="9"/>
    <n v="9186055"/>
    <s v="2018-08-17"/>
    <x v="17"/>
    <s v="2018-08-20"/>
    <n v="1"/>
    <n v="1"/>
    <s v="2018-08-29"/>
    <n v="0"/>
    <s v="0390050000684582490101"/>
    <n v="1"/>
    <n v="1"/>
    <n v="1"/>
    <n v="1"/>
    <n v="100"/>
    <n v="1"/>
    <n v="0"/>
    <n v="1"/>
    <n v="0"/>
    <n v="1"/>
    <n v="1"/>
    <s v="91860550390050000684582490101"/>
    <n v="1"/>
  </r>
  <r>
    <n v="9"/>
    <x v="9"/>
    <n v="9186444"/>
    <s v="2018-08-18"/>
    <x v="14"/>
    <s v="2018-08-20"/>
    <n v="1"/>
    <n v="1"/>
    <s v="2018-08-31"/>
    <n v="0"/>
    <s v="0390050000684985780102"/>
    <n v="1"/>
    <n v="1"/>
    <n v="1"/>
    <n v="1"/>
    <n v="100"/>
    <n v="1"/>
    <n v="0"/>
    <n v="1"/>
    <n v="0"/>
    <n v="1"/>
    <n v="1"/>
    <s v="91864440390050000684985780102"/>
    <n v="1"/>
  </r>
  <r>
    <n v="9"/>
    <x v="9"/>
    <n v="9186762"/>
    <s v="2018-08-19"/>
    <x v="12"/>
    <s v="2018-08-20"/>
    <n v="1"/>
    <n v="1"/>
    <s v="2018-08-27"/>
    <n v="0"/>
    <s v="0390050000685231230101"/>
    <n v="1"/>
    <n v="1"/>
    <n v="1"/>
    <n v="1"/>
    <n v="100"/>
    <n v="1"/>
    <n v="0"/>
    <n v="1"/>
    <n v="0"/>
    <n v="1"/>
    <n v="1"/>
    <s v="91867620390050000685231230101"/>
    <n v="1"/>
  </r>
  <r>
    <n v="9"/>
    <x v="9"/>
    <n v="9186762"/>
    <s v="2018-08-19"/>
    <x v="12"/>
    <s v="2018-08-20"/>
    <n v="1"/>
    <n v="1"/>
    <s v="2018-08-27"/>
    <n v="0"/>
    <s v="0390050000685308350101"/>
    <n v="1"/>
    <n v="1"/>
    <n v="1"/>
    <n v="1"/>
    <n v="100"/>
    <n v="1"/>
    <n v="0"/>
    <n v="1"/>
    <n v="0"/>
    <n v="1"/>
    <n v="1"/>
    <s v="91867620390050000685308350101"/>
    <n v="1"/>
  </r>
  <r>
    <n v="9"/>
    <x v="9"/>
    <n v="9186889"/>
    <s v="2018-08-19"/>
    <x v="12"/>
    <s v="2018-08-20"/>
    <n v="1"/>
    <n v="1"/>
    <s v="2018-08-27"/>
    <n v="0"/>
    <s v="0390050000685365730101"/>
    <n v="1"/>
    <n v="1"/>
    <n v="1"/>
    <n v="1"/>
    <n v="100"/>
    <n v="1"/>
    <n v="0"/>
    <n v="1"/>
    <n v="0"/>
    <n v="1"/>
    <n v="1"/>
    <s v="91868890390050000685365730101"/>
    <n v="1"/>
  </r>
  <r>
    <n v="9"/>
    <x v="9"/>
    <n v="9186889"/>
    <s v="2018-08-19"/>
    <x v="17"/>
    <s v="2018-08-20"/>
    <n v="1"/>
    <n v="1"/>
    <s v="2018-08-29"/>
    <n v="0"/>
    <s v="0390050000685376050101"/>
    <n v="1"/>
    <n v="1"/>
    <n v="1"/>
    <n v="1"/>
    <n v="100"/>
    <n v="1"/>
    <n v="0"/>
    <n v="1"/>
    <n v="0"/>
    <n v="1"/>
    <n v="1"/>
    <s v="91868890390050000685376050101"/>
    <n v="1"/>
  </r>
  <r>
    <n v="9"/>
    <x v="9"/>
    <n v="9186889"/>
    <s v="2018-08-19"/>
    <x v="12"/>
    <s v="2018-08-20"/>
    <n v="1"/>
    <n v="1"/>
    <s v="2018-08-27"/>
    <n v="0"/>
    <s v="0390050000685381830101"/>
    <n v="1"/>
    <n v="1"/>
    <n v="1"/>
    <n v="1"/>
    <n v="100"/>
    <n v="1"/>
    <n v="0"/>
    <n v="1"/>
    <n v="0"/>
    <n v="1"/>
    <n v="1"/>
    <s v="91868890390050000685381830101"/>
    <n v="1"/>
  </r>
  <r>
    <n v="9"/>
    <x v="9"/>
    <n v="9186988"/>
    <s v="2018-08-19"/>
    <x v="12"/>
    <s v="2018-08-20"/>
    <n v="2"/>
    <n v="2"/>
    <s v="2018-08-27"/>
    <n v="0"/>
    <s v="0390050000685422840101"/>
    <n v="2"/>
    <n v="1"/>
    <n v="1"/>
    <n v="1"/>
    <n v="100"/>
    <n v="2"/>
    <n v="0"/>
    <n v="2"/>
    <n v="0"/>
    <n v="1"/>
    <n v="1"/>
    <s v="91869880390050000685422840101"/>
    <n v="2"/>
  </r>
  <r>
    <n v="9"/>
    <x v="9"/>
    <n v="9186988"/>
    <s v="2018-08-19"/>
    <x v="12"/>
    <s v="2018-08-20"/>
    <n v="1"/>
    <n v="1"/>
    <s v="2018-08-27"/>
    <n v="0"/>
    <s v="0390050000685441220101"/>
    <n v="1"/>
    <n v="1"/>
    <n v="1"/>
    <n v="1"/>
    <n v="100"/>
    <n v="1"/>
    <n v="0"/>
    <n v="1"/>
    <n v="0"/>
    <n v="1"/>
    <n v="1"/>
    <s v="91869880390050000685441220101"/>
    <n v="1"/>
  </r>
  <r>
    <n v="9"/>
    <x v="9"/>
    <n v="9187037"/>
    <s v="2018-08-20"/>
    <x v="17"/>
    <s v="2018-08-20"/>
    <n v="1"/>
    <n v="1"/>
    <s v="2018-08-29"/>
    <n v="0"/>
    <s v="0390050000685545090101"/>
    <n v="1"/>
    <n v="1"/>
    <n v="1"/>
    <n v="1"/>
    <n v="100"/>
    <n v="1"/>
    <n v="0"/>
    <n v="1"/>
    <n v="0"/>
    <n v="1"/>
    <n v="1"/>
    <s v="91870370390050000685545090101"/>
    <n v="1"/>
  </r>
  <r>
    <n v="9"/>
    <x v="9"/>
    <n v="9187211"/>
    <s v="2018-08-20"/>
    <x v="12"/>
    <s v="2018-08-21"/>
    <n v="1"/>
    <n v="1"/>
    <s v="2018-08-27"/>
    <n v="0"/>
    <s v="0390050000685667990101"/>
    <n v="1"/>
    <n v="1"/>
    <n v="1"/>
    <n v="1"/>
    <n v="100"/>
    <n v="1"/>
    <n v="0"/>
    <n v="1"/>
    <n v="0"/>
    <n v="1"/>
    <n v="1"/>
    <s v="91872110390050000685667990101"/>
    <n v="1"/>
  </r>
  <r>
    <n v="9"/>
    <x v="9"/>
    <n v="9187211"/>
    <s v="2018-08-20"/>
    <x v="12"/>
    <s v="2018-08-21"/>
    <n v="1"/>
    <n v="1"/>
    <s v="2018-08-27"/>
    <n v="0"/>
    <s v="0390050000685688830101"/>
    <n v="1"/>
    <n v="1"/>
    <n v="1"/>
    <n v="1"/>
    <n v="100"/>
    <n v="1"/>
    <n v="0"/>
    <n v="1"/>
    <n v="0"/>
    <n v="1"/>
    <n v="1"/>
    <s v="91872110390050000685688830101"/>
    <n v="1"/>
  </r>
  <r>
    <n v="9"/>
    <x v="9"/>
    <n v="9187253"/>
    <s v="2018-08-20"/>
    <x v="0"/>
    <s v="2018-08-21"/>
    <n v="1"/>
    <n v="1"/>
    <s v="2018-09-03"/>
    <n v="0"/>
    <s v="0390050000685717100102"/>
    <n v="1"/>
    <n v="1"/>
    <n v="1"/>
    <n v="1"/>
    <n v="100"/>
    <n v="1"/>
    <n v="0"/>
    <n v="1"/>
    <n v="0"/>
    <n v="1"/>
    <n v="1"/>
    <s v="91872530390050000685717100102"/>
    <n v="1"/>
  </r>
  <r>
    <n v="9"/>
    <x v="9"/>
    <n v="9187293"/>
    <s v="2018-08-20"/>
    <x v="17"/>
    <s v="2018-08-21"/>
    <n v="1"/>
    <n v="1"/>
    <s v="2018-08-29"/>
    <n v="0"/>
    <s v="0390050000685724160101"/>
    <n v="1"/>
    <n v="1"/>
    <n v="1"/>
    <n v="1"/>
    <n v="100"/>
    <n v="1"/>
    <n v="0"/>
    <n v="1"/>
    <n v="0"/>
    <n v="1"/>
    <n v="1"/>
    <s v="91872930390050000685724160101"/>
    <n v="1"/>
  </r>
  <r>
    <n v="9"/>
    <x v="9"/>
    <n v="9187293"/>
    <s v="2018-08-20"/>
    <x v="12"/>
    <s v="2018-08-21"/>
    <n v="1"/>
    <n v="1"/>
    <s v="2018-08-27"/>
    <n v="0"/>
    <s v="0390050000685752460101"/>
    <n v="1"/>
    <n v="1"/>
    <n v="1"/>
    <n v="1"/>
    <n v="100"/>
    <n v="1"/>
    <n v="0"/>
    <n v="1"/>
    <n v="0"/>
    <n v="1"/>
    <n v="1"/>
    <s v="91872930390050000685752460101"/>
    <n v="1"/>
  </r>
  <r>
    <n v="9"/>
    <x v="9"/>
    <n v="9187508"/>
    <s v="2018-08-20"/>
    <x v="17"/>
    <s v="2018-08-21"/>
    <n v="1"/>
    <n v="1"/>
    <s v="2018-08-29"/>
    <n v="0"/>
    <s v="0390050000685869280101"/>
    <n v="1"/>
    <n v="1"/>
    <n v="1"/>
    <n v="1"/>
    <n v="100"/>
    <n v="1"/>
    <n v="0"/>
    <n v="1"/>
    <n v="0"/>
    <n v="1"/>
    <n v="1"/>
    <s v="91875080390050000685869280101"/>
    <n v="1"/>
  </r>
  <r>
    <n v="9"/>
    <x v="9"/>
    <n v="9187552"/>
    <s v="2018-08-20"/>
    <x v="12"/>
    <s v="2018-08-21"/>
    <n v="2"/>
    <n v="2"/>
    <s v="2018-08-27"/>
    <n v="0"/>
    <s v="0390050000685898320101"/>
    <n v="2"/>
    <n v="1"/>
    <n v="1"/>
    <n v="1"/>
    <n v="100"/>
    <n v="2"/>
    <n v="0"/>
    <n v="2"/>
    <n v="0"/>
    <n v="1"/>
    <n v="1"/>
    <s v="91875520390050000685898320101"/>
    <n v="2"/>
  </r>
  <r>
    <n v="9"/>
    <x v="9"/>
    <n v="9187822"/>
    <s v="2018-08-21"/>
    <x v="17"/>
    <s v="2018-08-22"/>
    <n v="1"/>
    <n v="1"/>
    <s v="2018-08-29"/>
    <n v="0"/>
    <s v="0390050000685930820101"/>
    <n v="1"/>
    <n v="1"/>
    <n v="1"/>
    <n v="1"/>
    <n v="100"/>
    <n v="1"/>
    <n v="0"/>
    <n v="1"/>
    <n v="0"/>
    <n v="1"/>
    <n v="1"/>
    <s v="91878220390050000685930820101"/>
    <n v="1"/>
  </r>
  <r>
    <n v="9"/>
    <x v="9"/>
    <n v="9187591"/>
    <s v="2018-08-21"/>
    <x v="14"/>
    <s v="2018-08-21"/>
    <n v="1"/>
    <n v="1"/>
    <s v="2018-08-31"/>
    <n v="0"/>
    <s v="0390050000685972910101"/>
    <n v="1"/>
    <n v="1"/>
    <n v="1"/>
    <n v="1"/>
    <n v="100"/>
    <n v="1"/>
    <n v="0"/>
    <n v="1"/>
    <n v="0"/>
    <n v="1"/>
    <n v="1"/>
    <s v="91875910390050000685972910101"/>
    <n v="1"/>
  </r>
  <r>
    <n v="9"/>
    <x v="9"/>
    <n v="9187591"/>
    <s v="2018-08-21"/>
    <x v="12"/>
    <s v="2018-08-21"/>
    <n v="1"/>
    <n v="1"/>
    <s v="2018-08-27"/>
    <n v="0"/>
    <s v="0390050000685989090101"/>
    <n v="1"/>
    <n v="1"/>
    <n v="1"/>
    <n v="1"/>
    <n v="100"/>
    <n v="1"/>
    <n v="0"/>
    <n v="1"/>
    <n v="0"/>
    <n v="1"/>
    <n v="1"/>
    <s v="91875910390050000685989090101"/>
    <n v="1"/>
  </r>
  <r>
    <n v="9"/>
    <x v="9"/>
    <n v="9187591"/>
    <s v="2018-08-21"/>
    <x v="12"/>
    <s v="2018-08-21"/>
    <n v="1"/>
    <n v="1"/>
    <s v="2018-08-27"/>
    <n v="0"/>
    <s v="0390050000685993630106"/>
    <n v="1"/>
    <n v="1"/>
    <n v="1"/>
    <n v="1"/>
    <n v="100"/>
    <n v="1"/>
    <n v="0"/>
    <n v="1"/>
    <n v="0"/>
    <n v="1"/>
    <n v="1"/>
    <s v="91875910390050000685993630106"/>
    <n v="1"/>
  </r>
  <r>
    <n v="9"/>
    <x v="9"/>
    <n v="9187591"/>
    <s v="2018-08-21"/>
    <x v="17"/>
    <s v="2018-08-21"/>
    <n v="1"/>
    <n v="1"/>
    <s v="2018-08-29"/>
    <n v="0"/>
    <s v="0390050000686030320101"/>
    <n v="1"/>
    <n v="1"/>
    <n v="1"/>
    <n v="1"/>
    <n v="100"/>
    <n v="1"/>
    <n v="0"/>
    <n v="1"/>
    <n v="0"/>
    <n v="1"/>
    <n v="1"/>
    <s v="91875910390050000686030320101"/>
    <n v="1"/>
  </r>
  <r>
    <n v="9"/>
    <x v="9"/>
    <n v="9187661"/>
    <s v="2018-08-21"/>
    <x v="17"/>
    <s v="2018-08-22"/>
    <n v="1"/>
    <n v="1"/>
    <s v="2018-08-29"/>
    <n v="0"/>
    <s v="0390050000686060540101"/>
    <n v="1"/>
    <n v="1"/>
    <n v="1"/>
    <n v="1"/>
    <n v="100"/>
    <n v="1"/>
    <n v="0"/>
    <n v="1"/>
    <n v="0"/>
    <n v="1"/>
    <n v="1"/>
    <s v="91876610390050000686060540101"/>
    <n v="1"/>
  </r>
  <r>
    <n v="9"/>
    <x v="9"/>
    <n v="9187750"/>
    <s v="2018-08-21"/>
    <x v="17"/>
    <s v="2018-08-22"/>
    <n v="1"/>
    <n v="1"/>
    <s v="2018-08-29"/>
    <n v="0"/>
    <s v="0390050000686112020101"/>
    <n v="1"/>
    <n v="1"/>
    <n v="1"/>
    <n v="1"/>
    <n v="100"/>
    <n v="1"/>
    <n v="0"/>
    <n v="1"/>
    <n v="0"/>
    <n v="1"/>
    <n v="1"/>
    <s v="91877500390050000686112020101"/>
    <n v="1"/>
  </r>
  <r>
    <n v="9"/>
    <x v="9"/>
    <n v="9188002"/>
    <s v="2018-08-21"/>
    <x v="17"/>
    <s v="2018-08-22"/>
    <n v="1"/>
    <n v="1"/>
    <s v="2018-08-29"/>
    <n v="0"/>
    <s v="0390050000686214630101"/>
    <n v="1"/>
    <n v="1"/>
    <n v="1"/>
    <n v="1"/>
    <n v="100"/>
    <n v="1"/>
    <n v="0"/>
    <n v="1"/>
    <n v="0"/>
    <n v="1"/>
    <n v="1"/>
    <s v="91880020390050000686214630101"/>
    <n v="1"/>
  </r>
  <r>
    <n v="9"/>
    <x v="9"/>
    <n v="9188118"/>
    <s v="2018-08-21"/>
    <x v="17"/>
    <s v="2018-08-22"/>
    <n v="1"/>
    <n v="1"/>
    <s v="2018-08-29"/>
    <n v="0"/>
    <s v="0390050000686260870101"/>
    <n v="1"/>
    <n v="1"/>
    <n v="1"/>
    <n v="1"/>
    <n v="100"/>
    <n v="1"/>
    <n v="0"/>
    <n v="1"/>
    <n v="0"/>
    <n v="1"/>
    <n v="1"/>
    <s v="91881180390050000686260870101"/>
    <n v="1"/>
  </r>
  <r>
    <n v="9"/>
    <x v="9"/>
    <n v="9188118"/>
    <s v="2018-08-21"/>
    <x v="17"/>
    <s v="2018-08-22"/>
    <n v="1"/>
    <n v="1"/>
    <s v="2018-08-29"/>
    <n v="0"/>
    <s v="0390050000686265710101"/>
    <n v="1"/>
    <n v="1"/>
    <n v="1"/>
    <n v="1"/>
    <n v="100"/>
    <n v="1"/>
    <n v="0"/>
    <n v="1"/>
    <n v="0"/>
    <n v="1"/>
    <n v="1"/>
    <s v="91881180390050000686265710101"/>
    <n v="1"/>
  </r>
  <r>
    <n v="9"/>
    <x v="9"/>
    <n v="9188174"/>
    <s v="2018-08-21"/>
    <x v="17"/>
    <s v="2018-08-22"/>
    <n v="1"/>
    <n v="1"/>
    <s v="2018-08-29"/>
    <n v="0"/>
    <s v="0390050000686381630101"/>
    <n v="1"/>
    <n v="1"/>
    <n v="1"/>
    <n v="1"/>
    <n v="100"/>
    <n v="1"/>
    <n v="0"/>
    <n v="1"/>
    <n v="0"/>
    <n v="1"/>
    <n v="1"/>
    <s v="91881740390050000686381630101"/>
    <n v="1"/>
  </r>
  <r>
    <n v="9"/>
    <x v="9"/>
    <n v="9188174"/>
    <s v="2018-08-22"/>
    <x v="14"/>
    <s v="2018-08-22"/>
    <n v="1"/>
    <n v="1"/>
    <s v="2018-08-31"/>
    <n v="0"/>
    <s v="0390050000686411090101"/>
    <n v="1"/>
    <n v="1"/>
    <n v="1"/>
    <n v="1"/>
    <n v="100"/>
    <n v="1"/>
    <n v="0"/>
    <n v="1"/>
    <n v="0"/>
    <n v="1"/>
    <n v="1"/>
    <s v="91881740390050000686411090101"/>
    <n v="1"/>
  </r>
  <r>
    <n v="9"/>
    <x v="9"/>
    <n v="9188334"/>
    <s v="2018-08-22"/>
    <x v="17"/>
    <s v="2018-08-23"/>
    <n v="1"/>
    <n v="1"/>
    <s v="2018-08-29"/>
    <n v="0"/>
    <s v="0390050000689558690101"/>
    <n v="1"/>
    <n v="1"/>
    <n v="1"/>
    <n v="1"/>
    <n v="100"/>
    <n v="1"/>
    <n v="0"/>
    <n v="1"/>
    <n v="0"/>
    <n v="1"/>
    <n v="1"/>
    <s v="91883340390050000689558690101"/>
    <n v="1"/>
  </r>
  <r>
    <n v="9"/>
    <x v="9"/>
    <n v="9188334"/>
    <s v="2018-08-22"/>
    <x v="14"/>
    <s v="2018-08-23"/>
    <n v="1"/>
    <n v="1"/>
    <s v="2018-08-31"/>
    <n v="0"/>
    <s v="0390050000689596040101"/>
    <n v="1"/>
    <n v="1"/>
    <n v="1"/>
    <n v="1"/>
    <n v="100"/>
    <n v="1"/>
    <n v="0"/>
    <n v="1"/>
    <n v="0"/>
    <n v="1"/>
    <n v="1"/>
    <s v="91883340390050000689596040101"/>
    <n v="1"/>
  </r>
  <r>
    <n v="9"/>
    <x v="9"/>
    <n v="9188368"/>
    <s v="2018-08-22"/>
    <x v="14"/>
    <s v="2018-08-23"/>
    <n v="1"/>
    <n v="1"/>
    <s v="2018-08-31"/>
    <n v="0"/>
    <s v="0390050000689603780101"/>
    <n v="1"/>
    <n v="1"/>
    <n v="1"/>
    <n v="1"/>
    <n v="100"/>
    <n v="1"/>
    <n v="0"/>
    <n v="1"/>
    <n v="0"/>
    <n v="1"/>
    <n v="1"/>
    <s v="91883680390050000689603780101"/>
    <n v="1"/>
  </r>
  <r>
    <n v="9"/>
    <x v="9"/>
    <n v="9188460"/>
    <s v="2018-08-22"/>
    <x v="12"/>
    <s v="2018-08-23"/>
    <n v="1"/>
    <n v="1"/>
    <s v="2018-08-27"/>
    <n v="0"/>
    <s v="0390050000689672770103"/>
    <n v="1"/>
    <n v="1"/>
    <n v="1"/>
    <n v="1"/>
    <n v="100"/>
    <n v="1"/>
    <n v="0"/>
    <n v="1"/>
    <n v="0"/>
    <n v="1"/>
    <n v="1"/>
    <s v="91884600390050000689672770103"/>
    <n v="1"/>
  </r>
  <r>
    <n v="9"/>
    <x v="9"/>
    <n v="9188644"/>
    <s v="2018-08-22"/>
    <x v="17"/>
    <s v="2018-08-23"/>
    <n v="1"/>
    <n v="1"/>
    <s v="2018-08-29"/>
    <n v="0"/>
    <s v="0390050000689730190101"/>
    <n v="1"/>
    <n v="1"/>
    <n v="1"/>
    <n v="1"/>
    <n v="100"/>
    <n v="1"/>
    <n v="0"/>
    <n v="1"/>
    <n v="0"/>
    <n v="1"/>
    <n v="1"/>
    <s v="91886440390050000689730190101"/>
    <n v="1"/>
  </r>
  <r>
    <n v="9"/>
    <x v="9"/>
    <n v="9188762"/>
    <s v="2018-08-22"/>
    <x v="18"/>
    <s v="2018-08-23"/>
    <n v="1"/>
    <n v="1"/>
    <s v="2018-09-05"/>
    <n v="0"/>
    <s v="0390050000689836650102"/>
    <n v="1"/>
    <n v="1"/>
    <n v="1"/>
    <n v="1"/>
    <n v="100"/>
    <n v="1"/>
    <n v="0"/>
    <n v="1"/>
    <n v="0"/>
    <n v="1"/>
    <n v="1"/>
    <s v="91887620390050000689836650102"/>
    <n v="1"/>
  </r>
  <r>
    <n v="9"/>
    <x v="9"/>
    <n v="9188761"/>
    <s v="2018-08-22"/>
    <x v="17"/>
    <s v="2018-08-23"/>
    <n v="1"/>
    <n v="1"/>
    <s v="2018-08-29"/>
    <n v="0"/>
    <s v="0390050000689838260101"/>
    <n v="1"/>
    <n v="1"/>
    <n v="1"/>
    <n v="1"/>
    <n v="100"/>
    <n v="1"/>
    <n v="0"/>
    <n v="1"/>
    <n v="0"/>
    <n v="1"/>
    <n v="1"/>
    <s v="91887610390050000689838260101"/>
    <n v="1"/>
  </r>
  <r>
    <n v="9"/>
    <x v="9"/>
    <n v="9188773"/>
    <s v="2018-08-23"/>
    <x v="0"/>
    <s v="2018-08-23"/>
    <n v="1"/>
    <n v="1"/>
    <s v="2018-09-03"/>
    <n v="0"/>
    <s v="0390050000689918760101"/>
    <n v="1"/>
    <n v="1"/>
    <n v="1"/>
    <n v="1"/>
    <n v="100"/>
    <n v="1"/>
    <n v="0"/>
    <n v="1"/>
    <n v="0"/>
    <n v="1"/>
    <n v="1"/>
    <s v="91887730390050000689918760101"/>
    <n v="1"/>
  </r>
  <r>
    <n v="9"/>
    <x v="9"/>
    <n v="9188836"/>
    <s v="2018-08-23"/>
    <x v="0"/>
    <s v="2018-08-23"/>
    <n v="1"/>
    <n v="1"/>
    <s v="2018-09-03"/>
    <n v="0"/>
    <s v="0390050000689987710101"/>
    <n v="1"/>
    <n v="1"/>
    <n v="1"/>
    <n v="1"/>
    <n v="100"/>
    <n v="1"/>
    <n v="0"/>
    <n v="1"/>
    <n v="0"/>
    <n v="1"/>
    <n v="1"/>
    <s v="91888360390050000689987710101"/>
    <n v="1"/>
  </r>
  <r>
    <n v="9"/>
    <x v="9"/>
    <n v="9188858"/>
    <s v="2018-08-23"/>
    <x v="0"/>
    <s v="2018-08-24"/>
    <n v="1"/>
    <n v="1"/>
    <s v="2018-09-03"/>
    <n v="0"/>
    <s v="0390050000690092970101"/>
    <n v="1"/>
    <n v="1"/>
    <n v="1"/>
    <n v="1"/>
    <n v="100"/>
    <n v="1"/>
    <n v="0"/>
    <n v="1"/>
    <n v="0"/>
    <n v="1"/>
    <n v="1"/>
    <s v="91888580390050000690092970101"/>
    <n v="1"/>
  </r>
  <r>
    <n v="9"/>
    <x v="9"/>
    <n v="9188933"/>
    <s v="2018-08-23"/>
    <x v="17"/>
    <s v="2018-08-24"/>
    <n v="1"/>
    <n v="1"/>
    <s v="2018-08-29"/>
    <n v="0"/>
    <s v="0390050000690141000101"/>
    <n v="1"/>
    <n v="1"/>
    <n v="1"/>
    <n v="1"/>
    <n v="100"/>
    <n v="1"/>
    <n v="0"/>
    <n v="1"/>
    <n v="0"/>
    <n v="1"/>
    <n v="1"/>
    <s v="91889330390050000690141000101"/>
    <n v="1"/>
  </r>
  <r>
    <n v="9"/>
    <x v="9"/>
    <n v="9188972"/>
    <s v="2018-08-23"/>
    <x v="14"/>
    <s v="2018-08-24"/>
    <n v="1"/>
    <n v="1"/>
    <s v="2018-08-31"/>
    <n v="0"/>
    <s v="0390050000690206130101"/>
    <n v="1"/>
    <n v="1"/>
    <n v="1"/>
    <n v="1"/>
    <n v="100"/>
    <n v="1"/>
    <n v="0"/>
    <n v="1"/>
    <n v="0"/>
    <n v="1"/>
    <n v="1"/>
    <s v="91889720390050000690206130101"/>
    <n v="1"/>
  </r>
  <r>
    <n v="9"/>
    <x v="9"/>
    <n v="9189018"/>
    <s v="2018-08-23"/>
    <x v="17"/>
    <s v="2018-08-24"/>
    <n v="1"/>
    <n v="1"/>
    <s v="2018-08-29"/>
    <n v="0"/>
    <s v="0390050000690234440101"/>
    <n v="1"/>
    <n v="1"/>
    <n v="1"/>
    <n v="1"/>
    <n v="100"/>
    <n v="1"/>
    <n v="0"/>
    <n v="1"/>
    <n v="0"/>
    <n v="1"/>
    <n v="1"/>
    <s v="91890180390050000690234440101"/>
    <n v="1"/>
  </r>
  <r>
    <n v="9"/>
    <x v="9"/>
    <n v="9189123"/>
    <s v="2018-08-23"/>
    <x v="18"/>
    <s v="2018-08-24"/>
    <n v="1"/>
    <n v="1"/>
    <s v="2018-09-05"/>
    <n v="0"/>
    <s v="0390050000690350150102"/>
    <n v="1"/>
    <n v="1"/>
    <n v="1"/>
    <n v="1"/>
    <n v="100"/>
    <n v="1"/>
    <n v="0"/>
    <n v="1"/>
    <n v="0"/>
    <n v="1"/>
    <n v="1"/>
    <s v="91891230390050000690350150102"/>
    <n v="1"/>
  </r>
  <r>
    <n v="9"/>
    <x v="9"/>
    <n v="9189296"/>
    <s v="2018-08-23"/>
    <x v="17"/>
    <s v="2018-08-24"/>
    <n v="1"/>
    <n v="1"/>
    <s v="2018-08-29"/>
    <n v="0"/>
    <s v="0390050000690444630101"/>
    <n v="1"/>
    <n v="1"/>
    <n v="1"/>
    <n v="1"/>
    <n v="100"/>
    <n v="1"/>
    <n v="0"/>
    <n v="1"/>
    <n v="0"/>
    <n v="1"/>
    <n v="1"/>
    <s v="91892960390050000690444630101"/>
    <n v="1"/>
  </r>
  <r>
    <n v="9"/>
    <x v="9"/>
    <n v="9189296"/>
    <s v="2018-08-24"/>
    <x v="0"/>
    <s v="2018-08-24"/>
    <n v="1"/>
    <n v="1"/>
    <s v="2018-09-03"/>
    <n v="0"/>
    <s v="0390050000690490070105"/>
    <n v="1"/>
    <n v="1"/>
    <n v="1"/>
    <n v="1"/>
    <n v="100"/>
    <n v="1"/>
    <n v="0"/>
    <n v="1"/>
    <n v="0"/>
    <n v="1"/>
    <n v="1"/>
    <s v="91892960390050000690490070105"/>
    <n v="1"/>
  </r>
  <r>
    <n v="9"/>
    <x v="9"/>
    <n v="9189296"/>
    <s v="2018-08-24"/>
    <x v="17"/>
    <s v="2018-08-24"/>
    <n v="1"/>
    <n v="1"/>
    <s v="2018-08-29"/>
    <n v="0"/>
    <s v="0390050000690511680101"/>
    <n v="1"/>
    <n v="1"/>
    <n v="1"/>
    <n v="1"/>
    <n v="100"/>
    <n v="1"/>
    <n v="0"/>
    <n v="1"/>
    <n v="0"/>
    <n v="1"/>
    <n v="1"/>
    <s v="91892960390050000690511680101"/>
    <n v="1"/>
  </r>
  <r>
    <n v="9"/>
    <x v="9"/>
    <n v="9190215"/>
    <s v="2018-08-25"/>
    <x v="14"/>
    <s v="2018-08-27"/>
    <n v="1"/>
    <n v="1"/>
    <s v="2018-08-31"/>
    <n v="0"/>
    <s v="0390050000690584090101"/>
    <n v="1"/>
    <n v="1"/>
    <n v="1"/>
    <n v="1"/>
    <n v="100"/>
    <n v="1"/>
    <n v="0"/>
    <n v="1"/>
    <n v="0"/>
    <n v="1"/>
    <n v="1"/>
    <s v="91902150390050000690584090101"/>
    <n v="1"/>
  </r>
  <r>
    <n v="9"/>
    <x v="9"/>
    <n v="9189454"/>
    <s v="2018-08-24"/>
    <x v="0"/>
    <s v="2018-08-27"/>
    <n v="1"/>
    <n v="1"/>
    <s v="2018-09-03"/>
    <n v="0"/>
    <s v="0390050000690732330101"/>
    <n v="1"/>
    <n v="1"/>
    <n v="1"/>
    <n v="1"/>
    <n v="100"/>
    <n v="1"/>
    <n v="0"/>
    <n v="1"/>
    <n v="0"/>
    <n v="1"/>
    <n v="1"/>
    <s v="91894540390050000690732330101"/>
    <n v="1"/>
  </r>
  <r>
    <n v="9"/>
    <x v="9"/>
    <n v="9189454"/>
    <s v="2018-08-24"/>
    <x v="14"/>
    <s v="2018-08-27"/>
    <n v="1"/>
    <n v="1"/>
    <s v="2018-08-31"/>
    <n v="0"/>
    <s v="0390050000690735470101"/>
    <n v="1"/>
    <n v="1"/>
    <n v="1"/>
    <n v="1"/>
    <n v="100"/>
    <n v="1"/>
    <n v="0"/>
    <n v="1"/>
    <n v="0"/>
    <n v="1"/>
    <n v="1"/>
    <s v="91894540390050000690735470101"/>
    <n v="1"/>
  </r>
  <r>
    <n v="9"/>
    <x v="9"/>
    <n v="9189482"/>
    <s v="2018-08-24"/>
    <x v="14"/>
    <s v="2018-08-27"/>
    <n v="1"/>
    <n v="1"/>
    <s v="2018-08-31"/>
    <n v="0"/>
    <s v="0390050000690743060101"/>
    <n v="1"/>
    <n v="1"/>
    <n v="1"/>
    <n v="1"/>
    <n v="100"/>
    <n v="1"/>
    <n v="0"/>
    <n v="1"/>
    <n v="0"/>
    <n v="1"/>
    <n v="1"/>
    <s v="91894820390050000690743060101"/>
    <n v="1"/>
  </r>
  <r>
    <n v="9"/>
    <x v="9"/>
    <n v="9189539"/>
    <s v="2018-08-24"/>
    <x v="18"/>
    <s v="2018-08-27"/>
    <n v="1"/>
    <n v="1"/>
    <s v="2018-09-05"/>
    <n v="0"/>
    <s v="0390050000690818270101"/>
    <n v="1"/>
    <n v="1"/>
    <n v="1"/>
    <n v="1"/>
    <n v="100"/>
    <n v="1"/>
    <n v="0"/>
    <n v="1"/>
    <n v="0"/>
    <n v="1"/>
    <n v="1"/>
    <s v="91895390390050000690818270101"/>
    <n v="1"/>
  </r>
  <r>
    <n v="9"/>
    <x v="9"/>
    <n v="9189539"/>
    <s v="2018-08-24"/>
    <x v="0"/>
    <s v="2018-08-27"/>
    <n v="1"/>
    <n v="1"/>
    <s v="2018-09-03"/>
    <n v="0"/>
    <s v="0390050000690837380103"/>
    <n v="1"/>
    <n v="1"/>
    <n v="1"/>
    <n v="1"/>
    <n v="100"/>
    <n v="1"/>
    <n v="0"/>
    <n v="1"/>
    <n v="0"/>
    <n v="1"/>
    <n v="1"/>
    <s v="91895390390050000690837380103"/>
    <n v="1"/>
  </r>
  <r>
    <n v="9"/>
    <x v="9"/>
    <n v="9189711"/>
    <s v="2018-08-24"/>
    <x v="14"/>
    <s v="2018-08-27"/>
    <n v="1"/>
    <n v="1"/>
    <s v="2018-08-31"/>
    <n v="0"/>
    <s v="0390050000690928380101"/>
    <n v="1"/>
    <n v="1"/>
    <n v="1"/>
    <n v="1"/>
    <n v="100"/>
    <n v="1"/>
    <n v="0"/>
    <n v="1"/>
    <n v="0"/>
    <n v="1"/>
    <n v="1"/>
    <s v="91897110390050000690928380101"/>
    <n v="1"/>
  </r>
  <r>
    <n v="9"/>
    <x v="9"/>
    <n v="9189791"/>
    <s v="2018-08-24"/>
    <x v="14"/>
    <s v="2018-08-27"/>
    <n v="1"/>
    <n v="1"/>
    <s v="2018-08-31"/>
    <n v="0"/>
    <s v="0390050000690974210101"/>
    <n v="1"/>
    <n v="1"/>
    <n v="1"/>
    <n v="1"/>
    <n v="100"/>
    <n v="1"/>
    <n v="0"/>
    <n v="1"/>
    <n v="0"/>
    <n v="1"/>
    <n v="1"/>
    <s v="91897910390050000690974210101"/>
    <n v="1"/>
  </r>
  <r>
    <n v="9"/>
    <x v="9"/>
    <n v="9189841"/>
    <s v="2018-08-25"/>
    <x v="14"/>
    <s v="2018-08-27"/>
    <n v="1"/>
    <n v="1"/>
    <s v="2018-08-31"/>
    <n v="0"/>
    <s v="0390050000691010710101"/>
    <n v="1"/>
    <n v="1"/>
    <n v="1"/>
    <n v="1"/>
    <n v="100"/>
    <n v="1"/>
    <n v="0"/>
    <n v="1"/>
    <n v="0"/>
    <n v="1"/>
    <n v="1"/>
    <s v="91898410390050000691010710101"/>
    <n v="1"/>
  </r>
  <r>
    <n v="9"/>
    <x v="9"/>
    <n v="9189841"/>
    <s v="2018-08-25"/>
    <x v="14"/>
    <s v="2018-08-27"/>
    <n v="1"/>
    <n v="1"/>
    <s v="2018-08-31"/>
    <n v="0"/>
    <s v="0390050000691046030101"/>
    <n v="1"/>
    <n v="1"/>
    <n v="1"/>
    <n v="1"/>
    <n v="100"/>
    <n v="1"/>
    <n v="0"/>
    <n v="1"/>
    <n v="0"/>
    <n v="1"/>
    <n v="1"/>
    <s v="91898410390050000691046030101"/>
    <n v="1"/>
  </r>
  <r>
    <n v="9"/>
    <x v="9"/>
    <n v="9189841"/>
    <s v="2018-08-25"/>
    <x v="14"/>
    <s v="2018-08-27"/>
    <n v="1"/>
    <n v="1"/>
    <s v="2018-08-31"/>
    <n v="0"/>
    <s v="0390050000691046640103"/>
    <n v="1"/>
    <n v="1"/>
    <n v="1"/>
    <n v="1"/>
    <n v="100"/>
    <n v="1"/>
    <n v="0"/>
    <n v="1"/>
    <n v="0"/>
    <n v="1"/>
    <n v="1"/>
    <s v="91898410390050000691046640103"/>
    <n v="1"/>
  </r>
  <r>
    <n v="9"/>
    <x v="9"/>
    <n v="9189912"/>
    <s v="2018-08-25"/>
    <x v="14"/>
    <s v="2018-08-27"/>
    <n v="1"/>
    <n v="1"/>
    <s v="2018-08-31"/>
    <n v="0"/>
    <s v="0390050000691150200102"/>
    <n v="1"/>
    <n v="1"/>
    <n v="1"/>
    <n v="1"/>
    <n v="100"/>
    <n v="1"/>
    <n v="0"/>
    <n v="1"/>
    <n v="0"/>
    <n v="1"/>
    <n v="1"/>
    <s v="91899120390050000691150200102"/>
    <n v="1"/>
  </r>
  <r>
    <n v="9"/>
    <x v="9"/>
    <n v="9189969"/>
    <s v="2018-08-25"/>
    <x v="8"/>
    <s v="2018-08-27"/>
    <n v="1"/>
    <n v="1"/>
    <s v="2018-09-07"/>
    <n v="0"/>
    <s v="0390050000691210270101"/>
    <n v="1"/>
    <n v="1"/>
    <n v="1"/>
    <n v="1"/>
    <n v="100"/>
    <n v="1"/>
    <n v="0"/>
    <n v="1"/>
    <n v="0"/>
    <n v="1"/>
    <n v="1"/>
    <s v="91899690390050000691210270101"/>
    <n v="1"/>
  </r>
  <r>
    <n v="9"/>
    <x v="9"/>
    <n v="9189989"/>
    <s v="2018-08-25"/>
    <x v="14"/>
    <s v="2018-08-27"/>
    <n v="1"/>
    <n v="1"/>
    <s v="2018-08-31"/>
    <n v="0"/>
    <s v="0390050000691237610103"/>
    <n v="1"/>
    <n v="1"/>
    <n v="1"/>
    <n v="1"/>
    <n v="100"/>
    <n v="1"/>
    <n v="0"/>
    <n v="1"/>
    <n v="0"/>
    <n v="1"/>
    <n v="1"/>
    <s v="91899890390050000691237610103"/>
    <n v="1"/>
  </r>
  <r>
    <n v="9"/>
    <x v="9"/>
    <n v="9190054"/>
    <s v="2018-08-25"/>
    <x v="14"/>
    <s v="2018-08-27"/>
    <n v="1"/>
    <n v="1"/>
    <s v="2018-08-31"/>
    <n v="0"/>
    <s v="0390050000691294650101"/>
    <n v="1"/>
    <n v="1"/>
    <n v="1"/>
    <n v="1"/>
    <n v="100"/>
    <n v="1"/>
    <n v="0"/>
    <n v="1"/>
    <n v="0"/>
    <n v="1"/>
    <n v="1"/>
    <s v="91900540390050000691294650101"/>
    <n v="1"/>
  </r>
  <r>
    <n v="9"/>
    <x v="9"/>
    <n v="9190054"/>
    <s v="2018-08-25"/>
    <x v="8"/>
    <s v="2018-08-27"/>
    <n v="1"/>
    <n v="1"/>
    <s v="2018-09-07"/>
    <n v="0"/>
    <s v="0390050000691312730102"/>
    <n v="1"/>
    <n v="1"/>
    <n v="1"/>
    <n v="1"/>
    <n v="100"/>
    <n v="1"/>
    <n v="0"/>
    <n v="1"/>
    <n v="0"/>
    <n v="1"/>
    <n v="1"/>
    <s v="91900540390050000691312730102"/>
    <n v="1"/>
  </r>
  <r>
    <n v="9"/>
    <x v="9"/>
    <n v="9190115"/>
    <s v="2018-08-25"/>
    <x v="18"/>
    <s v="2018-08-27"/>
    <n v="1"/>
    <n v="1"/>
    <s v="2018-09-05"/>
    <n v="0"/>
    <s v="0390050000691333220101"/>
    <n v="1"/>
    <n v="1"/>
    <n v="1"/>
    <n v="1"/>
    <n v="100"/>
    <n v="1"/>
    <n v="0"/>
    <n v="1"/>
    <n v="0"/>
    <n v="1"/>
    <n v="1"/>
    <s v="91901150390050000691333220101"/>
    <n v="1"/>
  </r>
  <r>
    <n v="9"/>
    <x v="9"/>
    <n v="9190115"/>
    <s v="2018-08-25"/>
    <x v="14"/>
    <s v="2018-08-27"/>
    <n v="1"/>
    <n v="1"/>
    <s v="2018-08-31"/>
    <n v="0"/>
    <s v="0390050000691343200101"/>
    <n v="1"/>
    <n v="1"/>
    <n v="1"/>
    <n v="1"/>
    <n v="100"/>
    <n v="1"/>
    <n v="0"/>
    <n v="1"/>
    <n v="0"/>
    <n v="1"/>
    <n v="1"/>
    <s v="91901150390050000691343200101"/>
    <n v="1"/>
  </r>
  <r>
    <n v="9"/>
    <x v="9"/>
    <n v="9190150"/>
    <s v="2018-08-25"/>
    <x v="14"/>
    <s v="2018-08-27"/>
    <n v="1"/>
    <n v="1"/>
    <s v="2018-08-31"/>
    <n v="0"/>
    <s v="0390050000691345400101"/>
    <n v="1"/>
    <n v="1"/>
    <n v="1"/>
    <n v="1"/>
    <n v="100"/>
    <n v="1"/>
    <n v="0"/>
    <n v="1"/>
    <n v="0"/>
    <n v="1"/>
    <n v="1"/>
    <s v="91901500390050000691345400101"/>
    <n v="1"/>
  </r>
  <r>
    <n v="9"/>
    <x v="9"/>
    <n v="9190258"/>
    <s v="2018-08-25"/>
    <x v="14"/>
    <s v="2018-08-27"/>
    <n v="1"/>
    <n v="1"/>
    <s v="2018-08-31"/>
    <n v="0"/>
    <s v="0390050000691453590101"/>
    <n v="1"/>
    <n v="1"/>
    <n v="1"/>
    <n v="1"/>
    <n v="100"/>
    <n v="1"/>
    <n v="0"/>
    <n v="1"/>
    <n v="0"/>
    <n v="1"/>
    <n v="1"/>
    <s v="91902580390050000691453590101"/>
    <n v="1"/>
  </r>
  <r>
    <n v="9"/>
    <x v="9"/>
    <n v="9190309"/>
    <s v="2018-08-26"/>
    <x v="14"/>
    <s v="2018-08-27"/>
    <n v="1"/>
    <n v="1"/>
    <s v="2018-08-31"/>
    <n v="0"/>
    <s v="0390050000691525200101"/>
    <n v="1"/>
    <n v="1"/>
    <n v="1"/>
    <n v="1"/>
    <n v="100"/>
    <n v="1"/>
    <n v="0"/>
    <n v="1"/>
    <n v="0"/>
    <n v="1"/>
    <n v="1"/>
    <s v="91903090390050000691525200101"/>
    <n v="1"/>
  </r>
  <r>
    <n v="9"/>
    <x v="9"/>
    <n v="9190309"/>
    <s v="2018-08-26"/>
    <x v="14"/>
    <s v="2018-08-27"/>
    <n v="1"/>
    <n v="1"/>
    <s v="2018-08-31"/>
    <n v="0"/>
    <s v="0390050000691530760101"/>
    <n v="1"/>
    <n v="1"/>
    <n v="1"/>
    <n v="1"/>
    <n v="100"/>
    <n v="1"/>
    <n v="0"/>
    <n v="1"/>
    <n v="0"/>
    <n v="1"/>
    <n v="1"/>
    <s v="91903090390050000691530760101"/>
    <n v="1"/>
  </r>
  <r>
    <n v="9"/>
    <x v="9"/>
    <n v="9190425"/>
    <s v="2018-08-26"/>
    <x v="16"/>
    <s v="2018-08-27"/>
    <n v="1"/>
    <n v="1"/>
    <s v="2018-09-12"/>
    <n v="0"/>
    <s v="0390050000691700510101"/>
    <n v="1"/>
    <n v="1"/>
    <n v="1"/>
    <n v="1"/>
    <n v="100"/>
    <n v="1"/>
    <n v="0"/>
    <n v="1"/>
    <n v="0"/>
    <n v="1"/>
    <n v="1"/>
    <s v="91904250390050000691700510101"/>
    <n v="1"/>
  </r>
  <r>
    <n v="9"/>
    <x v="9"/>
    <n v="9190425"/>
    <s v="2018-08-26"/>
    <x v="0"/>
    <s v="2018-08-27"/>
    <n v="1"/>
    <n v="1"/>
    <s v="2018-09-03"/>
    <n v="0"/>
    <s v="0390050000691704320101"/>
    <n v="1"/>
    <n v="1"/>
    <n v="1"/>
    <n v="1"/>
    <n v="100"/>
    <n v="1"/>
    <n v="0"/>
    <n v="1"/>
    <n v="0"/>
    <n v="1"/>
    <n v="1"/>
    <s v="91904250390050000691704320101"/>
    <n v="1"/>
  </r>
  <r>
    <n v="9"/>
    <x v="9"/>
    <n v="9190458"/>
    <s v="2018-08-26"/>
    <x v="8"/>
    <s v="2018-08-27"/>
    <n v="1"/>
    <n v="1"/>
    <s v="2018-09-07"/>
    <n v="0"/>
    <s v="0390050000691727250103"/>
    <n v="1"/>
    <n v="1"/>
    <n v="1"/>
    <n v="1"/>
    <n v="100"/>
    <n v="1"/>
    <n v="0"/>
    <n v="1"/>
    <n v="0"/>
    <n v="1"/>
    <n v="1"/>
    <s v="91904580390050000691727250103"/>
    <n v="1"/>
  </r>
  <r>
    <n v="9"/>
    <x v="9"/>
    <n v="9190500"/>
    <s v="2018-08-26"/>
    <x v="0"/>
    <s v="2018-08-27"/>
    <n v="1"/>
    <n v="1"/>
    <s v="2018-09-03"/>
    <n v="0"/>
    <s v="0390050000691773760101"/>
    <n v="1"/>
    <n v="1"/>
    <n v="1"/>
    <n v="1"/>
    <n v="100"/>
    <n v="1"/>
    <n v="0"/>
    <n v="1"/>
    <n v="0"/>
    <n v="1"/>
    <n v="1"/>
    <s v="91905000390050000691773760101"/>
    <n v="1"/>
  </r>
  <r>
    <n v="9"/>
    <x v="9"/>
    <n v="9190558"/>
    <s v="2018-08-26"/>
    <x v="20"/>
    <s v="2018-08-27"/>
    <n v="1"/>
    <n v="1"/>
    <s v="2018-09-14"/>
    <n v="0"/>
    <s v="0390050000691801820101"/>
    <n v="1"/>
    <n v="1"/>
    <n v="1"/>
    <n v="1"/>
    <n v="100"/>
    <n v="1"/>
    <n v="0"/>
    <n v="1"/>
    <n v="0"/>
    <n v="1"/>
    <n v="1"/>
    <s v="91905580390050000691801820101"/>
    <n v="1"/>
  </r>
  <r>
    <n v="9"/>
    <x v="9"/>
    <n v="9190558"/>
    <s v="2018-08-26"/>
    <x v="0"/>
    <s v="2018-08-27"/>
    <n v="1"/>
    <n v="1"/>
    <s v="2018-09-03"/>
    <n v="0"/>
    <s v="0390050000691802710101"/>
    <n v="1"/>
    <n v="1"/>
    <n v="1"/>
    <n v="1"/>
    <n v="100"/>
    <n v="1"/>
    <n v="0"/>
    <n v="1"/>
    <n v="0"/>
    <n v="1"/>
    <n v="1"/>
    <s v="91905580390050000691802710101"/>
    <n v="1"/>
  </r>
  <r>
    <n v="9"/>
    <x v="9"/>
    <n v="9190635"/>
    <s v="2018-08-26"/>
    <x v="0"/>
    <s v="2018-08-27"/>
    <n v="1"/>
    <n v="1"/>
    <s v="2018-09-03"/>
    <n v="0"/>
    <s v="0390050000691878920101"/>
    <n v="1"/>
    <n v="1"/>
    <n v="1"/>
    <n v="1"/>
    <n v="100"/>
    <n v="1"/>
    <n v="0"/>
    <n v="1"/>
    <n v="0"/>
    <n v="1"/>
    <n v="1"/>
    <s v="91906350390050000691878920101"/>
    <n v="1"/>
  </r>
  <r>
    <n v="9"/>
    <x v="9"/>
    <n v="9190696"/>
    <s v="2018-08-26"/>
    <x v="8"/>
    <s v="2018-08-27"/>
    <n v="1"/>
    <n v="1"/>
    <s v="2018-09-07"/>
    <n v="0"/>
    <s v="0390050000691890900101"/>
    <n v="1"/>
    <n v="1"/>
    <n v="1"/>
    <n v="1"/>
    <n v="100"/>
    <n v="1"/>
    <n v="0"/>
    <n v="1"/>
    <n v="0"/>
    <n v="1"/>
    <n v="1"/>
    <s v="91906960390050000691890900101"/>
    <n v="1"/>
  </r>
  <r>
    <n v="9"/>
    <x v="9"/>
    <n v="9190696"/>
    <s v="2018-08-26"/>
    <x v="17"/>
    <s v="2018-08-27"/>
    <n v="1"/>
    <n v="1"/>
    <s v="2018-08-29"/>
    <n v="0"/>
    <s v="0390050000691916540102"/>
    <n v="1"/>
    <n v="1"/>
    <n v="1"/>
    <n v="1"/>
    <n v="100"/>
    <n v="1"/>
    <n v="0"/>
    <n v="1"/>
    <n v="0"/>
    <n v="1"/>
    <n v="1"/>
    <s v="91906960390050000691916540102"/>
    <n v="1"/>
  </r>
  <r>
    <n v="9"/>
    <x v="9"/>
    <n v="9190819"/>
    <s v="2018-08-26"/>
    <x v="0"/>
    <s v="2018-08-27"/>
    <n v="1"/>
    <n v="1"/>
    <s v="2018-09-03"/>
    <n v="0"/>
    <s v="0390050000691956960101"/>
    <n v="1"/>
    <n v="1"/>
    <n v="1"/>
    <n v="1"/>
    <n v="100"/>
    <n v="1"/>
    <n v="0"/>
    <n v="1"/>
    <n v="0"/>
    <n v="1"/>
    <n v="1"/>
    <s v="91908190390050000691956960101"/>
    <n v="1"/>
  </r>
  <r>
    <n v="9"/>
    <x v="9"/>
    <n v="9190767"/>
    <s v="2018-08-26"/>
    <x v="0"/>
    <s v="2018-08-27"/>
    <n v="1"/>
    <n v="1"/>
    <s v="2018-09-03"/>
    <n v="0"/>
    <s v="0390050000691957140101"/>
    <n v="1"/>
    <n v="1"/>
    <n v="1"/>
    <n v="1"/>
    <n v="100"/>
    <n v="1"/>
    <n v="0"/>
    <n v="1"/>
    <n v="0"/>
    <n v="1"/>
    <n v="1"/>
    <s v="91907670390050000691957140101"/>
    <n v="1"/>
  </r>
  <r>
    <n v="9"/>
    <x v="9"/>
    <n v="9190767"/>
    <s v="2018-08-26"/>
    <x v="0"/>
    <s v="2018-08-27"/>
    <n v="1"/>
    <n v="1"/>
    <s v="2018-09-03"/>
    <n v="0"/>
    <s v="0390050000691959110101"/>
    <n v="1"/>
    <n v="1"/>
    <n v="1"/>
    <n v="1"/>
    <n v="100"/>
    <n v="1"/>
    <n v="0"/>
    <n v="1"/>
    <n v="0"/>
    <n v="1"/>
    <n v="1"/>
    <s v="91907670390050000691959110101"/>
    <n v="1"/>
  </r>
  <r>
    <n v="9"/>
    <x v="9"/>
    <n v="9190819"/>
    <s v="2018-08-26"/>
    <x v="18"/>
    <s v="2018-08-27"/>
    <n v="1"/>
    <n v="1"/>
    <s v="2018-09-05"/>
    <n v="0"/>
    <s v="0390050000691963890101"/>
    <n v="1"/>
    <n v="1"/>
    <n v="1"/>
    <n v="1"/>
    <n v="100"/>
    <n v="1"/>
    <n v="0"/>
    <n v="1"/>
    <n v="0"/>
    <n v="1"/>
    <n v="1"/>
    <s v="91908190390050000691963890101"/>
    <n v="1"/>
  </r>
  <r>
    <n v="9"/>
    <x v="9"/>
    <n v="9191001"/>
    <s v="2018-08-27"/>
    <x v="18"/>
    <s v="2018-08-28"/>
    <n v="1"/>
    <n v="1"/>
    <s v="2018-09-05"/>
    <n v="0"/>
    <s v="0390050000692005530101"/>
    <n v="1"/>
    <n v="1"/>
    <n v="1"/>
    <n v="1"/>
    <n v="100"/>
    <n v="1"/>
    <n v="0"/>
    <n v="1"/>
    <n v="0"/>
    <n v="1"/>
    <n v="1"/>
    <s v="91910010390050000692005530101"/>
    <n v="1"/>
  </r>
  <r>
    <n v="9"/>
    <x v="9"/>
    <n v="9190935"/>
    <s v="2018-08-27"/>
    <x v="0"/>
    <s v="2018-08-28"/>
    <n v="1"/>
    <n v="0"/>
    <s v="1900-01-01"/>
    <n v="0"/>
    <s v="0390050000692052190101"/>
    <n v="0"/>
    <n v="0"/>
    <n v="0"/>
    <n v="0"/>
    <n v="0"/>
    <n v="0"/>
    <n v="0"/>
    <n v="0"/>
    <n v="1"/>
    <n v="1"/>
    <n v="0"/>
    <s v="91909350390050000692052190101"/>
    <n v="0"/>
  </r>
  <r>
    <n v="9"/>
    <x v="9"/>
    <n v="9190819"/>
    <s v="2018-08-27"/>
    <x v="8"/>
    <s v="2018-08-27"/>
    <n v="1"/>
    <n v="1"/>
    <s v="2018-09-07"/>
    <n v="0"/>
    <s v="0390050000692061470101"/>
    <n v="1"/>
    <n v="1"/>
    <n v="1"/>
    <n v="1"/>
    <n v="100"/>
    <n v="1"/>
    <n v="0"/>
    <n v="1"/>
    <n v="0"/>
    <n v="1"/>
    <n v="1"/>
    <s v="91908190390050000692061470101"/>
    <n v="1"/>
  </r>
  <r>
    <n v="9"/>
    <x v="9"/>
    <n v="9190819"/>
    <s v="2018-08-27"/>
    <x v="0"/>
    <s v="2018-08-27"/>
    <n v="1"/>
    <n v="1"/>
    <s v="2018-09-03"/>
    <n v="0"/>
    <s v="0390050000692064680101"/>
    <n v="1"/>
    <n v="1"/>
    <n v="1"/>
    <n v="1"/>
    <n v="100"/>
    <n v="1"/>
    <n v="0"/>
    <n v="1"/>
    <n v="0"/>
    <n v="1"/>
    <n v="1"/>
    <s v="91908190390050000692064680101"/>
    <n v="1"/>
  </r>
  <r>
    <n v="9"/>
    <x v="9"/>
    <n v="9190819"/>
    <s v="2018-08-27"/>
    <x v="0"/>
    <s v="2018-08-27"/>
    <n v="1"/>
    <n v="1"/>
    <s v="2018-09-03"/>
    <n v="0"/>
    <s v="0390050000692075080101"/>
    <n v="1"/>
    <n v="1"/>
    <n v="1"/>
    <n v="1"/>
    <n v="100"/>
    <n v="1"/>
    <n v="0"/>
    <n v="1"/>
    <n v="0"/>
    <n v="1"/>
    <n v="1"/>
    <s v="91908190390050000692075080101"/>
    <n v="1"/>
  </r>
  <r>
    <n v="9"/>
    <x v="9"/>
    <n v="9190819"/>
    <s v="2018-08-27"/>
    <x v="0"/>
    <s v="2018-08-27"/>
    <n v="1"/>
    <n v="1"/>
    <s v="2018-09-03"/>
    <n v="0"/>
    <s v="0390050000692089950101"/>
    <n v="1"/>
    <n v="1"/>
    <n v="1"/>
    <n v="1"/>
    <n v="100"/>
    <n v="1"/>
    <n v="0"/>
    <n v="1"/>
    <n v="0"/>
    <n v="1"/>
    <n v="1"/>
    <s v="91908190390050000692089950101"/>
    <n v="1"/>
  </r>
  <r>
    <n v="9"/>
    <x v="9"/>
    <n v="9190935"/>
    <s v="2018-08-27"/>
    <x v="0"/>
    <s v="2018-08-28"/>
    <n v="1"/>
    <n v="1"/>
    <s v="2018-09-03"/>
    <n v="0"/>
    <s v="0390050000692164270101"/>
    <n v="1"/>
    <n v="1"/>
    <n v="1"/>
    <n v="1"/>
    <n v="100"/>
    <n v="1"/>
    <n v="0"/>
    <n v="1"/>
    <n v="0"/>
    <n v="1"/>
    <n v="1"/>
    <s v="91909350390050000692164270101"/>
    <n v="1"/>
  </r>
  <r>
    <n v="9"/>
    <x v="9"/>
    <n v="9190935"/>
    <s v="2018-08-27"/>
    <x v="0"/>
    <s v="2018-08-28"/>
    <n v="2"/>
    <n v="2"/>
    <s v="2018-09-03"/>
    <n v="0"/>
    <s v="0390050000692170620101"/>
    <n v="2"/>
    <n v="1"/>
    <n v="1"/>
    <n v="1"/>
    <n v="100"/>
    <n v="2"/>
    <n v="0"/>
    <n v="2"/>
    <n v="0"/>
    <n v="1"/>
    <n v="1"/>
    <s v="91909350390050000692170620101"/>
    <n v="2"/>
  </r>
  <r>
    <n v="9"/>
    <x v="9"/>
    <n v="9190968"/>
    <s v="2018-08-27"/>
    <x v="0"/>
    <s v="2018-08-28"/>
    <n v="1"/>
    <n v="1"/>
    <s v="2018-09-03"/>
    <n v="0"/>
    <s v="0390050000692197710101"/>
    <n v="1"/>
    <n v="1"/>
    <n v="1"/>
    <n v="1"/>
    <n v="100"/>
    <n v="1"/>
    <n v="0"/>
    <n v="1"/>
    <n v="0"/>
    <n v="1"/>
    <n v="1"/>
    <s v="91909680390050000692197710101"/>
    <n v="1"/>
  </r>
  <r>
    <n v="9"/>
    <x v="9"/>
    <n v="9190968"/>
    <s v="2018-08-27"/>
    <x v="0"/>
    <s v="2018-08-28"/>
    <n v="1"/>
    <n v="1"/>
    <s v="2018-09-03"/>
    <n v="0"/>
    <s v="0390050000692241400101"/>
    <n v="1"/>
    <n v="1"/>
    <n v="1"/>
    <n v="1"/>
    <n v="100"/>
    <n v="1"/>
    <n v="0"/>
    <n v="1"/>
    <n v="0"/>
    <n v="1"/>
    <n v="1"/>
    <s v="91909680390050000692241400101"/>
    <n v="1"/>
  </r>
  <r>
    <n v="9"/>
    <x v="9"/>
    <n v="9191186"/>
    <s v="2018-08-27"/>
    <x v="0"/>
    <s v="2018-08-28"/>
    <n v="1"/>
    <n v="1"/>
    <s v="2018-09-03"/>
    <n v="0"/>
    <s v="0390050000692365060101"/>
    <n v="1"/>
    <n v="1"/>
    <n v="1"/>
    <n v="1"/>
    <n v="100"/>
    <n v="1"/>
    <n v="0"/>
    <n v="1"/>
    <n v="0"/>
    <n v="1"/>
    <n v="1"/>
    <s v="91911860390050000692365060101"/>
    <n v="1"/>
  </r>
  <r>
    <n v="9"/>
    <x v="9"/>
    <n v="9191186"/>
    <s v="2018-08-27"/>
    <x v="0"/>
    <s v="2018-08-28"/>
    <n v="1"/>
    <n v="1"/>
    <s v="2018-09-03"/>
    <n v="0"/>
    <s v="0390050000692391110101"/>
    <n v="1"/>
    <n v="1"/>
    <n v="1"/>
    <n v="1"/>
    <n v="100"/>
    <n v="1"/>
    <n v="0"/>
    <n v="1"/>
    <n v="0"/>
    <n v="1"/>
    <n v="1"/>
    <s v="91911860390050000692391110101"/>
    <n v="1"/>
  </r>
  <r>
    <n v="9"/>
    <x v="9"/>
    <n v="9191389"/>
    <s v="2018-08-27"/>
    <x v="0"/>
    <s v="2018-08-28"/>
    <n v="1"/>
    <n v="1"/>
    <s v="2018-09-03"/>
    <n v="0"/>
    <s v="0390050000692483660101"/>
    <n v="1"/>
    <n v="1"/>
    <n v="1"/>
    <n v="1"/>
    <n v="100"/>
    <n v="1"/>
    <n v="0"/>
    <n v="1"/>
    <n v="0"/>
    <n v="1"/>
    <n v="1"/>
    <s v="91913890390050000692483660101"/>
    <n v="1"/>
  </r>
  <r>
    <n v="9"/>
    <x v="9"/>
    <n v="9191325"/>
    <s v="2018-08-27"/>
    <x v="17"/>
    <s v="2018-08-28"/>
    <n v="1"/>
    <n v="1"/>
    <s v="2018-08-29"/>
    <n v="0"/>
    <s v="0390050000692491220101"/>
    <n v="1"/>
    <n v="1"/>
    <n v="1"/>
    <n v="1"/>
    <n v="100"/>
    <n v="1"/>
    <n v="0"/>
    <n v="1"/>
    <n v="0"/>
    <n v="1"/>
    <n v="1"/>
    <s v="91913250390050000692491220101"/>
    <n v="1"/>
  </r>
  <r>
    <n v="9"/>
    <x v="9"/>
    <n v="9191641"/>
    <s v="2018-08-28"/>
    <x v="0"/>
    <s v="2018-08-29"/>
    <n v="1"/>
    <n v="1"/>
    <s v="2018-09-03"/>
    <n v="0"/>
    <s v="0390050000692541910103"/>
    <n v="1"/>
    <n v="1"/>
    <n v="1"/>
    <n v="1"/>
    <n v="100"/>
    <n v="1"/>
    <n v="0"/>
    <n v="1"/>
    <n v="0"/>
    <n v="1"/>
    <n v="1"/>
    <s v="91916410390050000692541910103"/>
    <n v="1"/>
  </r>
  <r>
    <n v="9"/>
    <x v="9"/>
    <n v="9192431"/>
    <s v="2018-08-29"/>
    <x v="18"/>
    <s v="2018-08-30"/>
    <n v="1"/>
    <n v="1"/>
    <s v="2018-09-05"/>
    <n v="0"/>
    <s v="0390050000692734210103"/>
    <n v="1"/>
    <n v="1"/>
    <n v="1"/>
    <n v="1"/>
    <n v="100"/>
    <n v="1"/>
    <n v="0"/>
    <n v="1"/>
    <n v="0"/>
    <n v="1"/>
    <n v="1"/>
    <s v="91924310390050000692734210103"/>
    <n v="1"/>
  </r>
  <r>
    <n v="9"/>
    <x v="9"/>
    <n v="9191641"/>
    <s v="2018-08-28"/>
    <x v="18"/>
    <s v="2018-08-29"/>
    <n v="1"/>
    <n v="1"/>
    <s v="2018-09-05"/>
    <n v="0"/>
    <s v="0390050000692757300102"/>
    <n v="1"/>
    <n v="1"/>
    <n v="1"/>
    <n v="1"/>
    <n v="100"/>
    <n v="1"/>
    <n v="0"/>
    <n v="1"/>
    <n v="0"/>
    <n v="1"/>
    <n v="1"/>
    <s v="91916410390050000692757300102"/>
    <n v="1"/>
  </r>
  <r>
    <n v="9"/>
    <x v="9"/>
    <n v="9191718"/>
    <s v="2018-08-28"/>
    <x v="9"/>
    <s v="2018-08-29"/>
    <n v="1"/>
    <n v="1"/>
    <s v="2018-09-10"/>
    <n v="0"/>
    <s v="0390050000692897010101"/>
    <n v="1"/>
    <n v="1"/>
    <n v="1"/>
    <n v="1"/>
    <n v="100"/>
    <n v="1"/>
    <n v="0"/>
    <n v="1"/>
    <n v="0"/>
    <n v="1"/>
    <n v="1"/>
    <s v="91917180390050000692897010101"/>
    <n v="1"/>
  </r>
  <r>
    <n v="9"/>
    <x v="9"/>
    <n v="9191778"/>
    <s v="2018-08-28"/>
    <x v="8"/>
    <s v="2018-08-29"/>
    <n v="1"/>
    <n v="1"/>
    <s v="2018-09-07"/>
    <n v="0"/>
    <s v="0390050000692912600101"/>
    <n v="1"/>
    <n v="1"/>
    <n v="1"/>
    <n v="1"/>
    <n v="100"/>
    <n v="1"/>
    <n v="0"/>
    <n v="1"/>
    <n v="0"/>
    <n v="1"/>
    <n v="1"/>
    <s v="91917780390050000692912600101"/>
    <n v="1"/>
  </r>
  <r>
    <n v="9"/>
    <x v="9"/>
    <n v="9191778"/>
    <s v="2018-08-28"/>
    <x v="8"/>
    <s v="2018-08-29"/>
    <n v="1"/>
    <n v="1"/>
    <s v="2018-09-07"/>
    <n v="0"/>
    <s v="0390050000692918200101"/>
    <n v="1"/>
    <n v="1"/>
    <n v="1"/>
    <n v="1"/>
    <n v="100"/>
    <n v="1"/>
    <n v="0"/>
    <n v="1"/>
    <n v="0"/>
    <n v="1"/>
    <n v="1"/>
    <s v="91917780390050000692918200101"/>
    <n v="1"/>
  </r>
  <r>
    <n v="9"/>
    <x v="9"/>
    <n v="9191907"/>
    <s v="2018-08-28"/>
    <x v="18"/>
    <s v="2018-08-29"/>
    <n v="1"/>
    <n v="1"/>
    <s v="2018-09-05"/>
    <n v="0"/>
    <s v="0390050000692937940101"/>
    <n v="1"/>
    <n v="1"/>
    <n v="1"/>
    <n v="1"/>
    <n v="100"/>
    <n v="1"/>
    <n v="0"/>
    <n v="1"/>
    <n v="0"/>
    <n v="1"/>
    <n v="1"/>
    <s v="91919070390050000692937940101"/>
    <n v="1"/>
  </r>
  <r>
    <n v="9"/>
    <x v="9"/>
    <n v="9191962"/>
    <s v="2018-08-28"/>
    <x v="18"/>
    <s v="2018-08-29"/>
    <n v="1"/>
    <n v="1"/>
    <s v="2018-09-05"/>
    <n v="0"/>
    <s v="0390050000692995790101"/>
    <n v="1"/>
    <n v="1"/>
    <n v="1"/>
    <n v="1"/>
    <n v="100"/>
    <n v="1"/>
    <n v="0"/>
    <n v="1"/>
    <n v="0"/>
    <n v="1"/>
    <n v="1"/>
    <s v="91919620390050000692995790101"/>
    <n v="1"/>
  </r>
  <r>
    <n v="9"/>
    <x v="9"/>
    <n v="9192065"/>
    <s v="2018-08-28"/>
    <x v="18"/>
    <s v="2018-08-29"/>
    <n v="1"/>
    <n v="1"/>
    <s v="2018-09-05"/>
    <n v="0"/>
    <s v="0390050000693069770101"/>
    <n v="1"/>
    <n v="1"/>
    <n v="1"/>
    <n v="1"/>
    <n v="100"/>
    <n v="1"/>
    <n v="0"/>
    <n v="1"/>
    <n v="0"/>
    <n v="1"/>
    <n v="1"/>
    <s v="91920650390050000693069770101"/>
    <n v="1"/>
  </r>
  <r>
    <n v="9"/>
    <x v="9"/>
    <n v="9192245"/>
    <s v="2018-08-28"/>
    <x v="18"/>
    <s v="2018-08-29"/>
    <n v="1"/>
    <n v="1"/>
    <s v="2018-09-05"/>
    <n v="0"/>
    <s v="0390050000693122980101"/>
    <n v="1"/>
    <n v="1"/>
    <n v="1"/>
    <n v="1"/>
    <n v="100"/>
    <n v="1"/>
    <n v="0"/>
    <n v="1"/>
    <n v="0"/>
    <n v="1"/>
    <n v="1"/>
    <s v="91922450390050000693122980101"/>
    <n v="1"/>
  </r>
  <r>
    <n v="9"/>
    <x v="9"/>
    <n v="9192222"/>
    <s v="2018-08-28"/>
    <x v="18"/>
    <s v="2018-08-29"/>
    <n v="1"/>
    <n v="1"/>
    <s v="2018-09-05"/>
    <n v="0"/>
    <s v="0390050000693134950101"/>
    <n v="1"/>
    <n v="1"/>
    <n v="1"/>
    <n v="1"/>
    <n v="100"/>
    <n v="1"/>
    <n v="0"/>
    <n v="1"/>
    <n v="0"/>
    <n v="1"/>
    <n v="1"/>
    <s v="91922220390050000693134950101"/>
    <n v="1"/>
  </r>
  <r>
    <n v="9"/>
    <x v="9"/>
    <n v="9192245"/>
    <s v="2018-08-29"/>
    <x v="18"/>
    <s v="2018-08-29"/>
    <n v="1"/>
    <n v="1"/>
    <s v="2018-09-05"/>
    <n v="0"/>
    <s v="0390050000693191540101"/>
    <n v="1"/>
    <n v="1"/>
    <n v="1"/>
    <n v="1"/>
    <n v="100"/>
    <n v="1"/>
    <n v="0"/>
    <n v="1"/>
    <n v="0"/>
    <n v="1"/>
    <n v="1"/>
    <s v="91922450390050000693191540101"/>
    <n v="1"/>
  </r>
  <r>
    <n v="9"/>
    <x v="9"/>
    <n v="9192245"/>
    <s v="2018-08-29"/>
    <x v="5"/>
    <s v="2018-08-29"/>
    <n v="1"/>
    <n v="1"/>
    <s v="2018-09-24"/>
    <n v="0"/>
    <s v="0390050000693207240101"/>
    <n v="1"/>
    <n v="1"/>
    <n v="1"/>
    <n v="1"/>
    <n v="100"/>
    <n v="1"/>
    <n v="0"/>
    <n v="1"/>
    <n v="0"/>
    <n v="1"/>
    <n v="1"/>
    <s v="91922450390050000693207240101"/>
    <n v="1"/>
  </r>
  <r>
    <n v="9"/>
    <x v="9"/>
    <n v="9193124"/>
    <s v="2018-08-30"/>
    <x v="8"/>
    <s v="2018-08-31"/>
    <n v="1"/>
    <n v="1"/>
    <s v="2018-09-07"/>
    <n v="0"/>
    <s v="0390050000693238100101"/>
    <n v="1"/>
    <n v="1"/>
    <n v="1"/>
    <n v="1"/>
    <n v="100"/>
    <n v="1"/>
    <n v="0"/>
    <n v="1"/>
    <n v="0"/>
    <n v="1"/>
    <n v="1"/>
    <s v="91931240390050000693238100101"/>
    <n v="1"/>
  </r>
  <r>
    <n v="9"/>
    <x v="9"/>
    <n v="9192484"/>
    <s v="2018-08-29"/>
    <x v="18"/>
    <s v="2018-08-30"/>
    <n v="1"/>
    <n v="1"/>
    <s v="2018-09-05"/>
    <n v="0"/>
    <s v="0390050000693360580101"/>
    <n v="1"/>
    <n v="1"/>
    <n v="1"/>
    <n v="1"/>
    <n v="100"/>
    <n v="1"/>
    <n v="0"/>
    <n v="1"/>
    <n v="0"/>
    <n v="1"/>
    <n v="1"/>
    <s v="91924840390050000693360580101"/>
    <n v="1"/>
  </r>
  <r>
    <n v="9"/>
    <x v="9"/>
    <n v="9192484"/>
    <s v="2018-08-29"/>
    <x v="18"/>
    <s v="2018-08-30"/>
    <n v="1"/>
    <n v="1"/>
    <s v="2018-09-05"/>
    <n v="0"/>
    <s v="0390050000693492390101"/>
    <n v="1"/>
    <n v="1"/>
    <n v="1"/>
    <n v="1"/>
    <n v="100"/>
    <n v="1"/>
    <n v="0"/>
    <n v="1"/>
    <n v="0"/>
    <n v="1"/>
    <n v="1"/>
    <s v="91924840390050000693492390101"/>
    <n v="1"/>
  </r>
  <r>
    <n v="9"/>
    <x v="9"/>
    <n v="9192484"/>
    <s v="2018-08-29"/>
    <x v="8"/>
    <s v="2018-08-30"/>
    <n v="1"/>
    <n v="1"/>
    <s v="2018-09-07"/>
    <n v="0"/>
    <s v="0390050000693504280102"/>
    <n v="1"/>
    <n v="1"/>
    <n v="1"/>
    <n v="1"/>
    <n v="100"/>
    <n v="1"/>
    <n v="0"/>
    <n v="1"/>
    <n v="0"/>
    <n v="1"/>
    <n v="1"/>
    <s v="91924840390050000693504280102"/>
    <n v="1"/>
  </r>
  <r>
    <n v="9"/>
    <x v="9"/>
    <n v="9192624"/>
    <s v="2018-08-29"/>
    <x v="16"/>
    <s v="2018-08-30"/>
    <n v="1"/>
    <n v="1"/>
    <s v="2018-09-12"/>
    <n v="0"/>
    <s v="0390050000693544380101"/>
    <n v="1"/>
    <n v="1"/>
    <n v="1"/>
    <n v="1"/>
    <n v="100"/>
    <n v="1"/>
    <n v="0"/>
    <n v="1"/>
    <n v="0"/>
    <n v="1"/>
    <n v="1"/>
    <s v="91926240390050000693544380101"/>
    <n v="1"/>
  </r>
  <r>
    <n v="9"/>
    <x v="9"/>
    <n v="9192624"/>
    <s v="2018-08-29"/>
    <x v="18"/>
    <s v="2018-08-30"/>
    <n v="1"/>
    <n v="1"/>
    <s v="2018-09-05"/>
    <n v="0"/>
    <s v="0390050000693559760101"/>
    <n v="1"/>
    <n v="1"/>
    <n v="1"/>
    <n v="1"/>
    <n v="100"/>
    <n v="1"/>
    <n v="0"/>
    <n v="1"/>
    <n v="0"/>
    <n v="1"/>
    <n v="1"/>
    <s v="91926240390050000693559760101"/>
    <n v="1"/>
  </r>
  <r>
    <n v="9"/>
    <x v="9"/>
    <n v="9192685"/>
    <s v="2018-08-29"/>
    <x v="18"/>
    <s v="2018-08-30"/>
    <n v="1"/>
    <n v="1"/>
    <s v="2018-09-05"/>
    <n v="0"/>
    <s v="0390050000693581460101"/>
    <n v="1"/>
    <n v="1"/>
    <n v="1"/>
    <n v="1"/>
    <n v="100"/>
    <n v="1"/>
    <n v="0"/>
    <n v="1"/>
    <n v="0"/>
    <n v="1"/>
    <n v="1"/>
    <s v="91926850390050000693581460101"/>
    <n v="1"/>
  </r>
  <r>
    <n v="9"/>
    <x v="9"/>
    <n v="9192685"/>
    <s v="2018-08-29"/>
    <x v="8"/>
    <s v="2018-08-30"/>
    <n v="1"/>
    <n v="1"/>
    <s v="2018-09-07"/>
    <n v="0"/>
    <s v="0390050000693596560101"/>
    <n v="1"/>
    <n v="1"/>
    <n v="1"/>
    <n v="1"/>
    <n v="100"/>
    <n v="1"/>
    <n v="0"/>
    <n v="1"/>
    <n v="0"/>
    <n v="1"/>
    <n v="1"/>
    <s v="91926850390050000693596560101"/>
    <n v="1"/>
  </r>
  <r>
    <n v="9"/>
    <x v="9"/>
    <n v="9192740"/>
    <s v="2018-08-29"/>
    <x v="0"/>
    <s v="2018-08-30"/>
    <n v="1"/>
    <n v="1"/>
    <s v="2018-09-03"/>
    <n v="0"/>
    <s v="0390050000693629520101"/>
    <n v="1"/>
    <n v="1"/>
    <n v="1"/>
    <n v="1"/>
    <n v="100"/>
    <n v="1"/>
    <n v="0"/>
    <n v="1"/>
    <n v="0"/>
    <n v="1"/>
    <n v="1"/>
    <s v="91927400390050000693629520101"/>
    <n v="1"/>
  </r>
  <r>
    <n v="9"/>
    <x v="9"/>
    <n v="9192901"/>
    <s v="2018-08-29"/>
    <x v="18"/>
    <s v="2018-08-30"/>
    <n v="1"/>
    <n v="1"/>
    <s v="2018-09-05"/>
    <n v="0"/>
    <s v="0390050000693729160101"/>
    <n v="1"/>
    <n v="1"/>
    <n v="1"/>
    <n v="1"/>
    <n v="100"/>
    <n v="1"/>
    <n v="0"/>
    <n v="1"/>
    <n v="0"/>
    <n v="1"/>
    <n v="1"/>
    <s v="91929010390050000693729160101"/>
    <n v="1"/>
  </r>
  <r>
    <n v="9"/>
    <x v="9"/>
    <n v="9192942"/>
    <s v="2018-08-29"/>
    <x v="18"/>
    <s v="2018-08-30"/>
    <n v="1"/>
    <n v="1"/>
    <s v="2018-09-05"/>
    <n v="0"/>
    <s v="0390050000693733480101"/>
    <n v="1"/>
    <n v="1"/>
    <n v="1"/>
    <n v="1"/>
    <n v="100"/>
    <n v="1"/>
    <n v="0"/>
    <n v="1"/>
    <n v="0"/>
    <n v="1"/>
    <n v="1"/>
    <s v="91929420390050000693733480101"/>
    <n v="1"/>
  </r>
  <r>
    <n v="9"/>
    <x v="9"/>
    <n v="9192968"/>
    <s v="2018-08-30"/>
    <x v="18"/>
    <s v="2018-08-30"/>
    <n v="1"/>
    <n v="1"/>
    <s v="2018-09-05"/>
    <n v="0"/>
    <s v="0390050000693804760101"/>
    <n v="1"/>
    <n v="1"/>
    <n v="1"/>
    <n v="1"/>
    <n v="100"/>
    <n v="1"/>
    <n v="0"/>
    <n v="1"/>
    <n v="0"/>
    <n v="1"/>
    <n v="1"/>
    <s v="91929680390050000693804760101"/>
    <n v="1"/>
  </r>
  <r>
    <n v="9"/>
    <x v="9"/>
    <n v="9192968"/>
    <s v="2018-08-30"/>
    <x v="18"/>
    <s v="2018-08-30"/>
    <n v="1"/>
    <n v="1"/>
    <s v="2018-09-05"/>
    <n v="0"/>
    <s v="0390050000693832550101"/>
    <n v="1"/>
    <n v="1"/>
    <n v="1"/>
    <n v="1"/>
    <n v="100"/>
    <n v="1"/>
    <n v="0"/>
    <n v="1"/>
    <n v="0"/>
    <n v="1"/>
    <n v="1"/>
    <s v="91929680390050000693832550101"/>
    <n v="1"/>
  </r>
  <r>
    <n v="9"/>
    <x v="9"/>
    <n v="9192968"/>
    <s v="2018-08-30"/>
    <x v="16"/>
    <s v="2018-08-30"/>
    <n v="1"/>
    <n v="1"/>
    <s v="2018-09-12"/>
    <n v="0"/>
    <s v="0390050000693911100101"/>
    <n v="1"/>
    <n v="1"/>
    <n v="1"/>
    <n v="1"/>
    <n v="100"/>
    <n v="1"/>
    <n v="0"/>
    <n v="1"/>
    <n v="0"/>
    <n v="1"/>
    <n v="1"/>
    <s v="91929680390050000693911100101"/>
    <n v="1"/>
  </r>
  <r>
    <n v="9"/>
    <x v="9"/>
    <n v="9192968"/>
    <s v="2018-08-30"/>
    <x v="18"/>
    <s v="2018-08-30"/>
    <n v="1"/>
    <n v="1"/>
    <s v="2018-09-05"/>
    <n v="0"/>
    <s v="0390050000693912190101"/>
    <n v="1"/>
    <n v="1"/>
    <n v="1"/>
    <n v="1"/>
    <n v="100"/>
    <n v="1"/>
    <n v="0"/>
    <n v="1"/>
    <n v="0"/>
    <n v="1"/>
    <n v="1"/>
    <s v="91929680390050000693912190101"/>
    <n v="1"/>
  </r>
  <r>
    <n v="9"/>
    <x v="9"/>
    <n v="9197571"/>
    <s v="2018-09-05"/>
    <x v="20"/>
    <s v="2018-09-06"/>
    <n v="1"/>
    <n v="1"/>
    <s v="2018-09-14"/>
    <n v="0"/>
    <s v="0390050000693967000101"/>
    <n v="1"/>
    <n v="1"/>
    <n v="1"/>
    <n v="1"/>
    <n v="100"/>
    <n v="1"/>
    <n v="0"/>
    <n v="1"/>
    <n v="0"/>
    <n v="1"/>
    <n v="1"/>
    <s v="91975710390050000693967000101"/>
    <n v="1"/>
  </r>
  <r>
    <n v="9"/>
    <x v="9"/>
    <n v="9193160"/>
    <s v="2018-08-30"/>
    <x v="18"/>
    <s v="2018-08-31"/>
    <n v="1"/>
    <n v="1"/>
    <s v="2018-09-05"/>
    <n v="0"/>
    <s v="0390050000694012220103"/>
    <n v="1"/>
    <n v="1"/>
    <n v="1"/>
    <n v="1"/>
    <n v="100"/>
    <n v="1"/>
    <n v="0"/>
    <n v="1"/>
    <n v="0"/>
    <n v="1"/>
    <n v="1"/>
    <s v="91931600390050000694012220103"/>
    <n v="1"/>
  </r>
  <r>
    <n v="9"/>
    <x v="9"/>
    <n v="9193254"/>
    <s v="2018-08-30"/>
    <x v="18"/>
    <s v="2018-08-31"/>
    <n v="1"/>
    <n v="1"/>
    <s v="2018-09-05"/>
    <n v="0"/>
    <s v="0390050000694132500101"/>
    <n v="1"/>
    <n v="1"/>
    <n v="1"/>
    <n v="1"/>
    <n v="100"/>
    <n v="1"/>
    <n v="0"/>
    <n v="1"/>
    <n v="0"/>
    <n v="1"/>
    <n v="1"/>
    <s v="91932540390050000694132500101"/>
    <n v="1"/>
  </r>
  <r>
    <n v="9"/>
    <x v="9"/>
    <n v="9193403"/>
    <s v="2018-08-30"/>
    <x v="18"/>
    <s v="2018-08-31"/>
    <n v="1"/>
    <n v="1"/>
    <s v="2018-09-05"/>
    <n v="0"/>
    <s v="0390050000694220060101"/>
    <n v="1"/>
    <n v="1"/>
    <n v="1"/>
    <n v="1"/>
    <n v="100"/>
    <n v="1"/>
    <n v="0"/>
    <n v="1"/>
    <n v="0"/>
    <n v="1"/>
    <n v="1"/>
    <s v="91934030390050000694220060101"/>
    <n v="1"/>
  </r>
  <r>
    <n v="9"/>
    <x v="9"/>
    <n v="9193447"/>
    <s v="2018-08-30"/>
    <x v="9"/>
    <s v="2018-08-31"/>
    <n v="1"/>
    <n v="1"/>
    <s v="2018-09-10"/>
    <n v="0"/>
    <s v="0390050000694263390102"/>
    <n v="1"/>
    <n v="1"/>
    <n v="1"/>
    <n v="1"/>
    <n v="100"/>
    <n v="1"/>
    <n v="0"/>
    <n v="1"/>
    <n v="0"/>
    <n v="1"/>
    <n v="1"/>
    <s v="91934470390050000694263390102"/>
    <n v="1"/>
  </r>
  <r>
    <n v="9"/>
    <x v="9"/>
    <n v="9193553"/>
    <s v="2018-08-30"/>
    <x v="16"/>
    <s v="2018-08-31"/>
    <n v="1"/>
    <n v="1"/>
    <s v="2018-09-12"/>
    <n v="0"/>
    <s v="0390050000694331390101"/>
    <n v="1"/>
    <n v="1"/>
    <n v="1"/>
    <n v="1"/>
    <n v="100"/>
    <n v="1"/>
    <n v="0"/>
    <n v="1"/>
    <n v="0"/>
    <n v="1"/>
    <n v="1"/>
    <s v="91935530390050000694331390101"/>
    <n v="1"/>
  </r>
  <r>
    <n v="9"/>
    <x v="9"/>
    <n v="9193625"/>
    <s v="2018-08-31"/>
    <x v="9"/>
    <s v="2018-08-31"/>
    <n v="1"/>
    <n v="1"/>
    <s v="2018-09-10"/>
    <n v="0"/>
    <s v="0390050000694401040102"/>
    <n v="1"/>
    <n v="1"/>
    <n v="1"/>
    <n v="1"/>
    <n v="100"/>
    <n v="1"/>
    <n v="0"/>
    <n v="1"/>
    <n v="0"/>
    <n v="1"/>
    <n v="1"/>
    <s v="91936250390050000694401040102"/>
    <n v="1"/>
  </r>
  <r>
    <n v="9"/>
    <x v="9"/>
    <n v="9193936"/>
    <s v="2018-08-31"/>
    <x v="20"/>
    <s v="2018-09-03"/>
    <n v="1"/>
    <n v="1"/>
    <s v="2018-09-14"/>
    <n v="0"/>
    <s v="0390050000694513370104"/>
    <n v="1"/>
    <n v="1"/>
    <n v="1"/>
    <n v="1"/>
    <n v="100"/>
    <n v="1"/>
    <n v="0"/>
    <n v="1"/>
    <n v="0"/>
    <n v="1"/>
    <n v="1"/>
    <s v="91939360390050000694513370104"/>
    <n v="1"/>
  </r>
  <r>
    <n v="9"/>
    <x v="9"/>
    <n v="9193752"/>
    <s v="2018-08-31"/>
    <x v="8"/>
    <s v="2018-09-03"/>
    <n v="1"/>
    <n v="1"/>
    <s v="2018-09-07"/>
    <n v="0"/>
    <s v="0390050000694556430101"/>
    <n v="1"/>
    <n v="1"/>
    <n v="1"/>
    <n v="1"/>
    <n v="100"/>
    <n v="1"/>
    <n v="0"/>
    <n v="1"/>
    <n v="0"/>
    <n v="1"/>
    <n v="1"/>
    <s v="91937520390050000694556430101"/>
    <n v="1"/>
  </r>
  <r>
    <n v="9"/>
    <x v="9"/>
    <n v="9193752"/>
    <s v="2018-08-31"/>
    <x v="8"/>
    <s v="2018-09-03"/>
    <n v="1"/>
    <n v="1"/>
    <s v="2018-09-07"/>
    <n v="0"/>
    <s v="0390050000694556930102"/>
    <n v="1"/>
    <n v="1"/>
    <n v="1"/>
    <n v="1"/>
    <n v="100"/>
    <n v="1"/>
    <n v="0"/>
    <n v="1"/>
    <n v="0"/>
    <n v="1"/>
    <n v="1"/>
    <s v="91937520390050000694556930102"/>
    <n v="1"/>
  </r>
  <r>
    <n v="9"/>
    <x v="9"/>
    <n v="9193752"/>
    <s v="2018-08-31"/>
    <x v="9"/>
    <s v="2018-09-03"/>
    <n v="1"/>
    <n v="1"/>
    <s v="2018-09-10"/>
    <n v="0"/>
    <s v="0390050000694594210101"/>
    <n v="1"/>
    <n v="1"/>
    <n v="1"/>
    <n v="1"/>
    <n v="100"/>
    <n v="1"/>
    <n v="0"/>
    <n v="1"/>
    <n v="0"/>
    <n v="1"/>
    <n v="1"/>
    <s v="91937520390050000694594210101"/>
    <n v="1"/>
  </r>
  <r>
    <n v="9"/>
    <x v="9"/>
    <n v="9193779"/>
    <s v="2018-08-31"/>
    <x v="8"/>
    <s v="2018-09-03"/>
    <n v="1"/>
    <n v="1"/>
    <s v="2018-09-07"/>
    <n v="0"/>
    <s v="0390050000694622350101"/>
    <n v="1"/>
    <n v="1"/>
    <n v="1"/>
    <n v="1"/>
    <n v="100"/>
    <n v="1"/>
    <n v="0"/>
    <n v="1"/>
    <n v="0"/>
    <n v="1"/>
    <n v="1"/>
    <s v="91937790390050000694622350101"/>
    <n v="1"/>
  </r>
  <r>
    <n v="9"/>
    <x v="9"/>
    <n v="9193833"/>
    <s v="2018-08-31"/>
    <x v="8"/>
    <s v="2018-09-03"/>
    <n v="1"/>
    <n v="1"/>
    <s v="2018-09-07"/>
    <n v="0"/>
    <s v="0390050000694634810101"/>
    <n v="1"/>
    <n v="1"/>
    <n v="1"/>
    <n v="1"/>
    <n v="100"/>
    <n v="1"/>
    <n v="0"/>
    <n v="1"/>
    <n v="0"/>
    <n v="1"/>
    <n v="1"/>
    <s v="91938330390050000694634810101"/>
    <n v="1"/>
  </r>
  <r>
    <n v="9"/>
    <x v="9"/>
    <n v="9193873"/>
    <s v="2018-08-31"/>
    <x v="8"/>
    <s v="2018-09-03"/>
    <n v="1"/>
    <n v="1"/>
    <s v="2018-09-07"/>
    <n v="0"/>
    <s v="0390050000694671340101"/>
    <n v="1"/>
    <n v="1"/>
    <n v="1"/>
    <n v="1"/>
    <n v="100"/>
    <n v="1"/>
    <n v="0"/>
    <n v="1"/>
    <n v="0"/>
    <n v="1"/>
    <n v="1"/>
    <s v="91938730390050000694671340101"/>
    <n v="1"/>
  </r>
  <r>
    <n v="9"/>
    <x v="9"/>
    <n v="9193872"/>
    <s v="2018-08-31"/>
    <x v="8"/>
    <s v="2018-09-03"/>
    <n v="1"/>
    <n v="1"/>
    <s v="2018-09-07"/>
    <n v="0"/>
    <s v="0390050000694702060101"/>
    <n v="1"/>
    <n v="1"/>
    <n v="1"/>
    <n v="1"/>
    <n v="100"/>
    <n v="1"/>
    <n v="0"/>
    <n v="1"/>
    <n v="0"/>
    <n v="1"/>
    <n v="1"/>
    <s v="91938720390050000694702060101"/>
    <n v="1"/>
  </r>
  <r>
    <n v="9"/>
    <x v="9"/>
    <n v="9193936"/>
    <s v="2018-08-31"/>
    <x v="8"/>
    <s v="2018-09-03"/>
    <n v="1"/>
    <n v="1"/>
    <s v="2018-09-07"/>
    <n v="0"/>
    <s v="0390050000694703460101"/>
    <n v="1"/>
    <n v="1"/>
    <n v="1"/>
    <n v="1"/>
    <n v="100"/>
    <n v="1"/>
    <n v="0"/>
    <n v="1"/>
    <n v="0"/>
    <n v="1"/>
    <n v="1"/>
    <s v="91939360390050000694703460101"/>
    <n v="1"/>
  </r>
  <r>
    <n v="9"/>
    <x v="9"/>
    <n v="9193936"/>
    <s v="2018-08-31"/>
    <x v="8"/>
    <s v="2018-09-03"/>
    <n v="1"/>
    <n v="1"/>
    <s v="2018-09-07"/>
    <n v="0"/>
    <s v="0390050000694713660101"/>
    <n v="1"/>
    <n v="1"/>
    <n v="1"/>
    <n v="1"/>
    <n v="100"/>
    <n v="1"/>
    <n v="0"/>
    <n v="1"/>
    <n v="0"/>
    <n v="1"/>
    <n v="1"/>
    <s v="91939360390050000694713660101"/>
    <n v="1"/>
  </r>
  <r>
    <n v="9"/>
    <x v="9"/>
    <n v="9193999"/>
    <s v="2018-08-31"/>
    <x v="8"/>
    <s v="2018-09-03"/>
    <n v="1"/>
    <n v="1"/>
    <s v="2018-09-07"/>
    <n v="0"/>
    <s v="0390050000694753190101"/>
    <n v="1"/>
    <n v="1"/>
    <n v="1"/>
    <n v="1"/>
    <n v="100"/>
    <n v="1"/>
    <n v="0"/>
    <n v="1"/>
    <n v="0"/>
    <n v="1"/>
    <n v="1"/>
    <s v="91939990390050000694753190101"/>
    <n v="1"/>
  </r>
  <r>
    <n v="9"/>
    <x v="9"/>
    <n v="9193999"/>
    <s v="2018-08-31"/>
    <x v="9"/>
    <s v="2018-09-03"/>
    <n v="1"/>
    <n v="1"/>
    <s v="2018-09-10"/>
    <n v="0"/>
    <s v="0390050000694782760101"/>
    <n v="1"/>
    <n v="1"/>
    <n v="1"/>
    <n v="1"/>
    <n v="100"/>
    <n v="1"/>
    <n v="0"/>
    <n v="1"/>
    <n v="0"/>
    <n v="1"/>
    <n v="1"/>
    <s v="91939990390050000694782760101"/>
    <n v="1"/>
  </r>
  <r>
    <n v="9"/>
    <x v="9"/>
    <n v="9194295"/>
    <s v="2018-08-31"/>
    <x v="9"/>
    <s v="2018-09-03"/>
    <n v="1"/>
    <n v="1"/>
    <s v="2018-09-10"/>
    <n v="0"/>
    <s v="0390050000694941510101"/>
    <n v="1"/>
    <n v="1"/>
    <n v="1"/>
    <n v="1"/>
    <n v="100"/>
    <n v="1"/>
    <n v="0"/>
    <n v="1"/>
    <n v="0"/>
    <n v="1"/>
    <n v="1"/>
    <s v="91942950390050000694941510101"/>
    <n v="1"/>
  </r>
  <r>
    <n v="9"/>
    <x v="9"/>
    <n v="9194295"/>
    <s v="2018-09-01"/>
    <x v="16"/>
    <s v="2018-09-03"/>
    <n v="1"/>
    <n v="1"/>
    <s v="2018-09-12"/>
    <n v="0"/>
    <s v="0390050000694975740101"/>
    <n v="1"/>
    <n v="1"/>
    <n v="1"/>
    <n v="1"/>
    <n v="100"/>
    <n v="1"/>
    <n v="0"/>
    <n v="1"/>
    <n v="0"/>
    <n v="1"/>
    <n v="1"/>
    <s v="91942950390050000694975740101"/>
    <n v="1"/>
  </r>
  <r>
    <n v="9"/>
    <x v="9"/>
    <n v="9194295"/>
    <s v="2018-09-01"/>
    <x v="16"/>
    <s v="2018-09-03"/>
    <n v="1"/>
    <n v="1"/>
    <s v="2018-09-12"/>
    <n v="0"/>
    <s v="0390050000695002150102"/>
    <n v="1"/>
    <n v="1"/>
    <n v="1"/>
    <n v="1"/>
    <n v="100"/>
    <n v="1"/>
    <n v="0"/>
    <n v="1"/>
    <n v="0"/>
    <n v="1"/>
    <n v="1"/>
    <s v="91942950390050000695002150102"/>
    <n v="1"/>
  </r>
  <r>
    <n v="9"/>
    <x v="9"/>
    <n v="9200870"/>
    <s v="2018-09-10"/>
    <x v="5"/>
    <s v="2018-09-11"/>
    <n v="1"/>
    <n v="0"/>
    <s v="1900-01-01"/>
    <n v="0"/>
    <s v="0390050000695179450101"/>
    <n v="0"/>
    <n v="0"/>
    <n v="0"/>
    <n v="0"/>
    <n v="0"/>
    <n v="0"/>
    <n v="0"/>
    <n v="0"/>
    <n v="1"/>
    <n v="1"/>
    <n v="0"/>
    <s v="92008700390050000695179450101"/>
    <n v="0"/>
  </r>
  <r>
    <n v="9"/>
    <x v="9"/>
    <n v="9194511"/>
    <s v="2018-09-01"/>
    <x v="8"/>
    <s v="2018-09-03"/>
    <n v="1"/>
    <n v="1"/>
    <s v="2018-09-07"/>
    <n v="0"/>
    <s v="0390050000695239660102"/>
    <n v="1"/>
    <n v="1"/>
    <n v="1"/>
    <n v="1"/>
    <n v="100"/>
    <n v="1"/>
    <n v="0"/>
    <n v="1"/>
    <n v="0"/>
    <n v="1"/>
    <n v="1"/>
    <s v="91945110390050000695239660102"/>
    <n v="1"/>
  </r>
  <r>
    <n v="9"/>
    <x v="9"/>
    <n v="9194606"/>
    <s v="2018-09-01"/>
    <x v="8"/>
    <s v="2018-09-03"/>
    <n v="1"/>
    <n v="1"/>
    <s v="2018-09-07"/>
    <n v="0"/>
    <s v="0390050000695286990101"/>
    <n v="1"/>
    <n v="1"/>
    <n v="1"/>
    <n v="1"/>
    <n v="100"/>
    <n v="1"/>
    <n v="0"/>
    <n v="1"/>
    <n v="0"/>
    <n v="1"/>
    <n v="1"/>
    <s v="91946060390050000695286990101"/>
    <n v="1"/>
  </r>
  <r>
    <n v="9"/>
    <x v="9"/>
    <n v="9194606"/>
    <s v="2018-09-01"/>
    <x v="8"/>
    <s v="2018-09-03"/>
    <n v="1"/>
    <n v="1"/>
    <s v="2018-09-07"/>
    <n v="0"/>
    <s v="0390050000695287340101"/>
    <n v="1"/>
    <n v="1"/>
    <n v="1"/>
    <n v="1"/>
    <n v="100"/>
    <n v="1"/>
    <n v="0"/>
    <n v="1"/>
    <n v="0"/>
    <n v="1"/>
    <n v="1"/>
    <s v="91946060390050000695287340101"/>
    <n v="1"/>
  </r>
  <r>
    <n v="9"/>
    <x v="9"/>
    <n v="9194606"/>
    <s v="2018-09-01"/>
    <x v="8"/>
    <s v="2018-09-03"/>
    <n v="1"/>
    <n v="1"/>
    <s v="2018-09-07"/>
    <n v="0"/>
    <s v="0390050000695301370101"/>
    <n v="1"/>
    <n v="1"/>
    <n v="1"/>
    <n v="1"/>
    <n v="100"/>
    <n v="1"/>
    <n v="0"/>
    <n v="1"/>
    <n v="0"/>
    <n v="1"/>
    <n v="1"/>
    <s v="91946060390050000695301370101"/>
    <n v="1"/>
  </r>
  <r>
    <n v="9"/>
    <x v="9"/>
    <n v="9194652"/>
    <s v="2018-09-01"/>
    <x v="8"/>
    <s v="2018-09-03"/>
    <n v="1"/>
    <n v="1"/>
    <s v="2018-09-07"/>
    <n v="0"/>
    <s v="0390050000695316120101"/>
    <n v="1"/>
    <n v="1"/>
    <n v="1"/>
    <n v="1"/>
    <n v="100"/>
    <n v="1"/>
    <n v="0"/>
    <n v="1"/>
    <n v="0"/>
    <n v="1"/>
    <n v="1"/>
    <s v="91946520390050000695316120101"/>
    <n v="1"/>
  </r>
  <r>
    <n v="9"/>
    <x v="9"/>
    <n v="9194652"/>
    <s v="2018-09-01"/>
    <x v="8"/>
    <s v="2018-09-03"/>
    <n v="1"/>
    <n v="1"/>
    <s v="2018-09-07"/>
    <n v="0"/>
    <s v="0390050000695316440101"/>
    <n v="1"/>
    <n v="1"/>
    <n v="1"/>
    <n v="1"/>
    <n v="100"/>
    <n v="1"/>
    <n v="0"/>
    <n v="1"/>
    <n v="0"/>
    <n v="1"/>
    <n v="1"/>
    <s v="91946520390050000695316440101"/>
    <n v="1"/>
  </r>
  <r>
    <n v="9"/>
    <x v="9"/>
    <n v="9194823"/>
    <s v="2018-09-02"/>
    <x v="8"/>
    <s v="2018-09-03"/>
    <n v="1"/>
    <n v="1"/>
    <s v="2018-09-07"/>
    <n v="0"/>
    <s v="0390050000695352910101"/>
    <n v="1"/>
    <n v="1"/>
    <n v="1"/>
    <n v="1"/>
    <n v="100"/>
    <n v="1"/>
    <n v="0"/>
    <n v="1"/>
    <n v="0"/>
    <n v="1"/>
    <n v="1"/>
    <s v="91948230390050000695352910101"/>
    <n v="1"/>
  </r>
  <r>
    <n v="9"/>
    <x v="9"/>
    <n v="9194823"/>
    <s v="2018-09-01"/>
    <x v="8"/>
    <s v="2018-09-03"/>
    <n v="1"/>
    <n v="1"/>
    <s v="2018-09-07"/>
    <n v="0"/>
    <s v="0390050000695397680101"/>
    <n v="1"/>
    <n v="1"/>
    <n v="1"/>
    <n v="1"/>
    <n v="100"/>
    <n v="1"/>
    <n v="0"/>
    <n v="1"/>
    <n v="0"/>
    <n v="1"/>
    <n v="1"/>
    <s v="91948230390050000695397680101"/>
    <n v="1"/>
  </r>
  <r>
    <n v="9"/>
    <x v="9"/>
    <n v="9194823"/>
    <s v="2018-09-02"/>
    <x v="9"/>
    <s v="2018-09-03"/>
    <n v="1"/>
    <n v="1"/>
    <s v="2018-09-10"/>
    <n v="0"/>
    <s v="0390050000695539660101"/>
    <n v="1"/>
    <n v="1"/>
    <n v="1"/>
    <n v="1"/>
    <n v="100"/>
    <n v="1"/>
    <n v="0"/>
    <n v="1"/>
    <n v="0"/>
    <n v="1"/>
    <n v="1"/>
    <s v="91948230390050000695539660101"/>
    <n v="1"/>
  </r>
  <r>
    <n v="9"/>
    <x v="9"/>
    <n v="9195001"/>
    <s v="2018-09-02"/>
    <x v="9"/>
    <s v="2018-09-03"/>
    <n v="1"/>
    <n v="1"/>
    <s v="2018-09-10"/>
    <n v="0"/>
    <s v="0390050000695666520101"/>
    <n v="1"/>
    <n v="1"/>
    <n v="1"/>
    <n v="1"/>
    <n v="100"/>
    <n v="1"/>
    <n v="0"/>
    <n v="1"/>
    <n v="0"/>
    <n v="1"/>
    <n v="1"/>
    <s v="91950010390050000695666520101"/>
    <n v="1"/>
  </r>
  <r>
    <n v="9"/>
    <x v="9"/>
    <n v="9195052"/>
    <s v="2018-09-02"/>
    <x v="9"/>
    <s v="2018-09-03"/>
    <n v="1"/>
    <n v="1"/>
    <s v="2018-09-10"/>
    <n v="0"/>
    <s v="0390050000695673260101"/>
    <n v="1"/>
    <n v="1"/>
    <n v="1"/>
    <n v="1"/>
    <n v="100"/>
    <n v="1"/>
    <n v="0"/>
    <n v="1"/>
    <n v="0"/>
    <n v="1"/>
    <n v="1"/>
    <s v="91950520390050000695673260101"/>
    <n v="1"/>
  </r>
  <r>
    <n v="9"/>
    <x v="9"/>
    <n v="9195001"/>
    <s v="2018-09-02"/>
    <x v="9"/>
    <s v="2018-09-03"/>
    <n v="1"/>
    <n v="1"/>
    <s v="2018-09-10"/>
    <n v="0"/>
    <s v="0390050000695676990101"/>
    <n v="1"/>
    <n v="1"/>
    <n v="1"/>
    <n v="1"/>
    <n v="100"/>
    <n v="1"/>
    <n v="0"/>
    <n v="1"/>
    <n v="0"/>
    <n v="1"/>
    <n v="1"/>
    <s v="91950010390050000695676990101"/>
    <n v="1"/>
  </r>
  <r>
    <n v="9"/>
    <x v="9"/>
    <n v="9195052"/>
    <s v="2018-09-02"/>
    <x v="20"/>
    <s v="2018-09-03"/>
    <n v="1"/>
    <n v="1"/>
    <s v="2018-09-14"/>
    <n v="0"/>
    <s v="0390050000695691680101"/>
    <n v="1"/>
    <n v="1"/>
    <n v="1"/>
    <n v="1"/>
    <n v="100"/>
    <n v="1"/>
    <n v="0"/>
    <n v="1"/>
    <n v="0"/>
    <n v="1"/>
    <n v="1"/>
    <s v="91950520390050000695691680101"/>
    <n v="1"/>
  </r>
  <r>
    <n v="9"/>
    <x v="9"/>
    <n v="9195052"/>
    <s v="2018-09-02"/>
    <x v="9"/>
    <s v="2018-09-03"/>
    <n v="1"/>
    <n v="1"/>
    <s v="2018-09-10"/>
    <n v="0"/>
    <s v="0390050000695707000101"/>
    <n v="1"/>
    <n v="1"/>
    <n v="1"/>
    <n v="1"/>
    <n v="100"/>
    <n v="1"/>
    <n v="0"/>
    <n v="1"/>
    <n v="0"/>
    <n v="1"/>
    <n v="1"/>
    <s v="91950520390050000695707000101"/>
    <n v="1"/>
  </r>
  <r>
    <n v="9"/>
    <x v="9"/>
    <n v="9195424"/>
    <s v="2018-09-03"/>
    <x v="9"/>
    <s v="2018-09-03"/>
    <n v="1"/>
    <n v="1"/>
    <s v="2018-09-10"/>
    <n v="0"/>
    <s v="0390050000695712190101"/>
    <n v="1"/>
    <n v="1"/>
    <n v="1"/>
    <n v="1"/>
    <n v="100"/>
    <n v="1"/>
    <n v="0"/>
    <n v="1"/>
    <n v="0"/>
    <n v="1"/>
    <n v="1"/>
    <s v="91954240390050000695712190101"/>
    <n v="1"/>
  </r>
  <r>
    <n v="9"/>
    <x v="9"/>
    <n v="9195052"/>
    <s v="2018-09-02"/>
    <x v="20"/>
    <s v="2018-09-03"/>
    <n v="1"/>
    <n v="1"/>
    <s v="2018-09-14"/>
    <n v="0"/>
    <s v="0390050000695715320101"/>
    <n v="1"/>
    <n v="1"/>
    <n v="1"/>
    <n v="1"/>
    <n v="100"/>
    <n v="1"/>
    <n v="0"/>
    <n v="1"/>
    <n v="0"/>
    <n v="1"/>
    <n v="1"/>
    <s v="91950520390050000695715320101"/>
    <n v="1"/>
  </r>
  <r>
    <n v="9"/>
    <x v="9"/>
    <n v="9195052"/>
    <s v="2018-09-02"/>
    <x v="9"/>
    <s v="2018-09-03"/>
    <n v="1"/>
    <n v="1"/>
    <s v="2018-09-10"/>
    <n v="0"/>
    <s v="0390050000695716030101"/>
    <n v="1"/>
    <n v="1"/>
    <n v="1"/>
    <n v="1"/>
    <n v="100"/>
    <n v="1"/>
    <n v="0"/>
    <n v="1"/>
    <n v="0"/>
    <n v="1"/>
    <n v="1"/>
    <s v="91950520390050000695716030101"/>
    <n v="1"/>
  </r>
  <r>
    <n v="9"/>
    <x v="9"/>
    <n v="9195052"/>
    <s v="2018-09-02"/>
    <x v="9"/>
    <s v="2018-09-03"/>
    <n v="1"/>
    <n v="1"/>
    <s v="2018-09-10"/>
    <n v="0"/>
    <s v="0390050000695726470101"/>
    <n v="1"/>
    <n v="1"/>
    <n v="1"/>
    <n v="1"/>
    <n v="100"/>
    <n v="1"/>
    <n v="0"/>
    <n v="1"/>
    <n v="0"/>
    <n v="1"/>
    <n v="1"/>
    <s v="91950520390050000695726470101"/>
    <n v="1"/>
  </r>
  <r>
    <n v="9"/>
    <x v="9"/>
    <n v="9195110"/>
    <s v="2018-09-02"/>
    <x v="16"/>
    <s v="2018-09-03"/>
    <n v="1"/>
    <n v="1"/>
    <s v="2018-09-12"/>
    <n v="0"/>
    <s v="0390050000695733990101"/>
    <n v="1"/>
    <n v="1"/>
    <n v="1"/>
    <n v="1"/>
    <n v="100"/>
    <n v="1"/>
    <n v="0"/>
    <n v="1"/>
    <n v="0"/>
    <n v="1"/>
    <n v="1"/>
    <s v="91951100390050000695733990101"/>
    <n v="1"/>
  </r>
  <r>
    <n v="9"/>
    <x v="9"/>
    <n v="9195110"/>
    <s v="2018-09-02"/>
    <x v="9"/>
    <s v="2018-09-03"/>
    <n v="1"/>
    <n v="1"/>
    <s v="2018-09-10"/>
    <n v="0"/>
    <s v="0390050000695740350101"/>
    <n v="1"/>
    <n v="1"/>
    <n v="1"/>
    <n v="1"/>
    <n v="100"/>
    <n v="1"/>
    <n v="0"/>
    <n v="1"/>
    <n v="0"/>
    <n v="1"/>
    <n v="1"/>
    <s v="91951100390050000695740350101"/>
    <n v="1"/>
  </r>
  <r>
    <n v="9"/>
    <x v="9"/>
    <n v="9195424"/>
    <s v="2018-09-02"/>
    <x v="9"/>
    <s v="2018-09-03"/>
    <n v="1"/>
    <n v="1"/>
    <s v="2018-09-10"/>
    <n v="0"/>
    <s v="0390050000695768880101"/>
    <n v="1"/>
    <n v="1"/>
    <n v="1"/>
    <n v="1"/>
    <n v="100"/>
    <n v="1"/>
    <n v="0"/>
    <n v="1"/>
    <n v="0"/>
    <n v="1"/>
    <n v="1"/>
    <s v="91954240390050000695768880101"/>
    <n v="1"/>
  </r>
  <r>
    <n v="9"/>
    <x v="9"/>
    <n v="9195156"/>
    <s v="2018-09-02"/>
    <x v="20"/>
    <s v="2018-09-03"/>
    <n v="1"/>
    <n v="1"/>
    <s v="2018-09-14"/>
    <n v="0"/>
    <s v="0390050000695781060101"/>
    <n v="1"/>
    <n v="1"/>
    <n v="1"/>
    <n v="1"/>
    <n v="100"/>
    <n v="1"/>
    <n v="0"/>
    <n v="1"/>
    <n v="0"/>
    <n v="1"/>
    <n v="1"/>
    <s v="91951560390050000695781060101"/>
    <n v="1"/>
  </r>
  <r>
    <n v="9"/>
    <x v="9"/>
    <n v="9195790"/>
    <s v="2018-09-03"/>
    <x v="9"/>
    <s v="2018-09-04"/>
    <n v="1"/>
    <n v="1"/>
    <s v="2018-09-10"/>
    <n v="0"/>
    <s v="0390050000695823690101"/>
    <n v="1"/>
    <n v="1"/>
    <n v="1"/>
    <n v="1"/>
    <n v="100"/>
    <n v="1"/>
    <n v="0"/>
    <n v="1"/>
    <n v="0"/>
    <n v="1"/>
    <n v="1"/>
    <s v="91957900390050000695823690101"/>
    <n v="1"/>
  </r>
  <r>
    <n v="9"/>
    <x v="9"/>
    <n v="9195790"/>
    <s v="2018-09-03"/>
    <x v="9"/>
    <s v="2018-09-04"/>
    <n v="1"/>
    <n v="1"/>
    <s v="2018-09-10"/>
    <n v="0"/>
    <s v="0390050000695823740102"/>
    <n v="1"/>
    <n v="1"/>
    <n v="1"/>
    <n v="1"/>
    <n v="100"/>
    <n v="1"/>
    <n v="0"/>
    <n v="1"/>
    <n v="0"/>
    <n v="1"/>
    <n v="1"/>
    <s v="91957900390050000695823740102"/>
    <n v="1"/>
  </r>
  <r>
    <n v="9"/>
    <x v="9"/>
    <n v="9195265"/>
    <s v="2018-09-02"/>
    <x v="9"/>
    <s v="2018-09-03"/>
    <n v="1"/>
    <n v="1"/>
    <s v="2018-09-10"/>
    <n v="0"/>
    <s v="0390050000695823860101"/>
    <n v="1"/>
    <n v="1"/>
    <n v="1"/>
    <n v="1"/>
    <n v="100"/>
    <n v="1"/>
    <n v="0"/>
    <n v="1"/>
    <n v="0"/>
    <n v="1"/>
    <n v="1"/>
    <s v="91952650390050000695823860101"/>
    <n v="1"/>
  </r>
  <r>
    <n v="9"/>
    <x v="9"/>
    <n v="9195265"/>
    <s v="2018-09-02"/>
    <x v="9"/>
    <s v="2018-09-03"/>
    <n v="1"/>
    <n v="1"/>
    <s v="2018-09-10"/>
    <n v="0"/>
    <s v="0390050000695848890101"/>
    <n v="1"/>
    <n v="1"/>
    <n v="1"/>
    <n v="1"/>
    <n v="100"/>
    <n v="1"/>
    <n v="0"/>
    <n v="1"/>
    <n v="0"/>
    <n v="1"/>
    <n v="1"/>
    <s v="91952650390050000695848890101"/>
    <n v="1"/>
  </r>
  <r>
    <n v="9"/>
    <x v="9"/>
    <n v="9195424"/>
    <s v="2018-09-02"/>
    <x v="9"/>
    <s v="2018-09-03"/>
    <n v="1"/>
    <n v="1"/>
    <s v="2018-09-10"/>
    <n v="0"/>
    <s v="0390050000695857570101"/>
    <n v="1"/>
    <n v="1"/>
    <n v="1"/>
    <n v="1"/>
    <n v="100"/>
    <n v="1"/>
    <n v="0"/>
    <n v="1"/>
    <n v="0"/>
    <n v="1"/>
    <n v="1"/>
    <s v="91954240390050000695857570101"/>
    <n v="1"/>
  </r>
  <r>
    <n v="9"/>
    <x v="9"/>
    <n v="9195265"/>
    <s v="2018-09-02"/>
    <x v="20"/>
    <s v="2018-09-03"/>
    <n v="1"/>
    <n v="1"/>
    <s v="2018-09-14"/>
    <n v="0"/>
    <s v="0390050000695858770101"/>
    <n v="1"/>
    <n v="1"/>
    <n v="1"/>
    <n v="1"/>
    <n v="100"/>
    <n v="1"/>
    <n v="0"/>
    <n v="1"/>
    <n v="0"/>
    <n v="1"/>
    <n v="1"/>
    <s v="91952650390050000695858770101"/>
    <n v="1"/>
  </r>
  <r>
    <n v="9"/>
    <x v="9"/>
    <n v="9195265"/>
    <s v="2018-09-02"/>
    <x v="9"/>
    <s v="2018-09-03"/>
    <n v="1"/>
    <n v="1"/>
    <s v="2018-09-10"/>
    <n v="0"/>
    <s v="0390050000695862240101"/>
    <n v="1"/>
    <n v="1"/>
    <n v="1"/>
    <n v="1"/>
    <n v="100"/>
    <n v="1"/>
    <n v="0"/>
    <n v="1"/>
    <n v="0"/>
    <n v="1"/>
    <n v="1"/>
    <s v="91952650390050000695862240101"/>
    <n v="1"/>
  </r>
  <r>
    <n v="9"/>
    <x v="9"/>
    <n v="9195424"/>
    <s v="2018-09-02"/>
    <x v="9"/>
    <s v="2018-09-03"/>
    <n v="1"/>
    <n v="1"/>
    <s v="2018-09-10"/>
    <n v="0"/>
    <s v="0390050000695907820101"/>
    <n v="1"/>
    <n v="1"/>
    <n v="1"/>
    <n v="1"/>
    <n v="100"/>
    <n v="1"/>
    <n v="0"/>
    <n v="1"/>
    <n v="0"/>
    <n v="1"/>
    <n v="1"/>
    <s v="91954240390050000695907820101"/>
    <n v="1"/>
  </r>
  <r>
    <n v="9"/>
    <x v="9"/>
    <n v="9195424"/>
    <s v="2018-09-03"/>
    <x v="9"/>
    <s v="2018-09-03"/>
    <n v="1"/>
    <n v="1"/>
    <s v="2018-09-10"/>
    <n v="0"/>
    <s v="0390050000696032150102"/>
    <n v="1"/>
    <n v="1"/>
    <n v="1"/>
    <n v="1"/>
    <n v="100"/>
    <n v="1"/>
    <n v="0"/>
    <n v="1"/>
    <n v="0"/>
    <n v="1"/>
    <n v="1"/>
    <s v="91954240390050000696032150102"/>
    <n v="1"/>
  </r>
  <r>
    <n v="9"/>
    <x v="9"/>
    <n v="9195424"/>
    <s v="2018-09-03"/>
    <x v="9"/>
    <s v="2018-09-03"/>
    <n v="1"/>
    <n v="1"/>
    <s v="2018-09-10"/>
    <n v="0"/>
    <s v="0390050000696035430101"/>
    <n v="1"/>
    <n v="1"/>
    <n v="1"/>
    <n v="1"/>
    <n v="100"/>
    <n v="1"/>
    <n v="0"/>
    <n v="1"/>
    <n v="0"/>
    <n v="1"/>
    <n v="1"/>
    <s v="91954240390050000696035430101"/>
    <n v="1"/>
  </r>
  <r>
    <n v="9"/>
    <x v="9"/>
    <n v="9195542"/>
    <s v="2018-09-03"/>
    <x v="9"/>
    <s v="2018-09-04"/>
    <n v="1"/>
    <n v="1"/>
    <s v="2018-09-10"/>
    <n v="0"/>
    <s v="0390050000696040850101"/>
    <n v="1"/>
    <n v="1"/>
    <n v="1"/>
    <n v="1"/>
    <n v="100"/>
    <n v="1"/>
    <n v="0"/>
    <n v="1"/>
    <n v="0"/>
    <n v="1"/>
    <n v="1"/>
    <s v="91955420390050000696040850101"/>
    <n v="1"/>
  </r>
  <r>
    <n v="9"/>
    <x v="9"/>
    <n v="9195424"/>
    <s v="2018-09-03"/>
    <x v="9"/>
    <s v="2018-09-03"/>
    <n v="1"/>
    <n v="1"/>
    <s v="2018-09-10"/>
    <n v="0"/>
    <s v="0390050000696043400101"/>
    <n v="1"/>
    <n v="1"/>
    <n v="1"/>
    <n v="1"/>
    <n v="100"/>
    <n v="1"/>
    <n v="0"/>
    <n v="1"/>
    <n v="0"/>
    <n v="1"/>
    <n v="1"/>
    <s v="91954240390050000696043400101"/>
    <n v="1"/>
  </r>
  <r>
    <n v="9"/>
    <x v="9"/>
    <n v="9195542"/>
    <s v="2018-09-03"/>
    <x v="9"/>
    <s v="2018-09-04"/>
    <n v="1"/>
    <n v="1"/>
    <s v="2018-09-10"/>
    <n v="0"/>
    <s v="0390050000696080740101"/>
    <n v="1"/>
    <n v="1"/>
    <n v="1"/>
    <n v="1"/>
    <n v="100"/>
    <n v="1"/>
    <n v="0"/>
    <n v="1"/>
    <n v="0"/>
    <n v="1"/>
    <n v="1"/>
    <s v="91955420390050000696080740101"/>
    <n v="1"/>
  </r>
  <r>
    <n v="9"/>
    <x v="9"/>
    <n v="9195683"/>
    <s v="2018-09-03"/>
    <x v="9"/>
    <s v="2018-09-04"/>
    <n v="1"/>
    <n v="1"/>
    <s v="2018-09-10"/>
    <n v="0"/>
    <s v="0390050000696204820101"/>
    <n v="1"/>
    <n v="1"/>
    <n v="1"/>
    <n v="1"/>
    <n v="100"/>
    <n v="1"/>
    <n v="0"/>
    <n v="1"/>
    <n v="0"/>
    <n v="1"/>
    <n v="1"/>
    <s v="91956830390050000696204820101"/>
    <n v="1"/>
  </r>
  <r>
    <n v="9"/>
    <x v="9"/>
    <n v="9195790"/>
    <s v="2018-09-03"/>
    <x v="20"/>
    <s v="2018-09-04"/>
    <n v="1"/>
    <n v="1"/>
    <s v="2018-09-14"/>
    <n v="0"/>
    <s v="0390050000696290650101"/>
    <n v="1"/>
    <n v="1"/>
    <n v="1"/>
    <n v="1"/>
    <n v="100"/>
    <n v="1"/>
    <n v="0"/>
    <n v="1"/>
    <n v="0"/>
    <n v="1"/>
    <n v="1"/>
    <s v="91957900390050000696290650101"/>
    <n v="1"/>
  </r>
  <r>
    <n v="9"/>
    <x v="9"/>
    <n v="9195790"/>
    <s v="2018-09-03"/>
    <x v="9"/>
    <s v="2018-09-04"/>
    <n v="1"/>
    <n v="1"/>
    <s v="2018-09-10"/>
    <n v="0"/>
    <s v="0390050000696294610101"/>
    <n v="1"/>
    <n v="1"/>
    <n v="1"/>
    <n v="1"/>
    <n v="100"/>
    <n v="1"/>
    <n v="0"/>
    <n v="1"/>
    <n v="0"/>
    <n v="1"/>
    <n v="1"/>
    <s v="91957900390050000696294610101"/>
    <n v="1"/>
  </r>
  <r>
    <n v="9"/>
    <x v="9"/>
    <n v="9195790"/>
    <s v="2018-09-03"/>
    <x v="9"/>
    <s v="2018-09-04"/>
    <n v="1"/>
    <n v="1"/>
    <s v="2018-09-10"/>
    <n v="0"/>
    <s v="0390050000696314450101"/>
    <n v="1"/>
    <n v="1"/>
    <n v="1"/>
    <n v="1"/>
    <n v="100"/>
    <n v="1"/>
    <n v="0"/>
    <n v="1"/>
    <n v="0"/>
    <n v="1"/>
    <n v="1"/>
    <s v="91957900390050000696314450101"/>
    <n v="1"/>
  </r>
  <r>
    <n v="9"/>
    <x v="9"/>
    <n v="9195937"/>
    <s v="2018-09-03"/>
    <x v="9"/>
    <s v="2018-09-04"/>
    <n v="1"/>
    <n v="1"/>
    <s v="2018-09-10"/>
    <n v="0"/>
    <s v="0390050000696365930101"/>
    <n v="1"/>
    <n v="1"/>
    <n v="1"/>
    <n v="1"/>
    <n v="100"/>
    <n v="1"/>
    <n v="0"/>
    <n v="1"/>
    <n v="0"/>
    <n v="1"/>
    <n v="1"/>
    <s v="91959370390050000696365930101"/>
    <n v="1"/>
  </r>
  <r>
    <n v="9"/>
    <x v="9"/>
    <n v="9195937"/>
    <s v="2018-09-03"/>
    <x v="18"/>
    <s v="2018-09-04"/>
    <n v="1"/>
    <n v="1"/>
    <s v="2018-09-05"/>
    <n v="0"/>
    <s v="0390050000696397510101"/>
    <n v="1"/>
    <n v="1"/>
    <n v="1"/>
    <n v="1"/>
    <n v="100"/>
    <n v="1"/>
    <n v="0"/>
    <n v="1"/>
    <n v="0"/>
    <n v="1"/>
    <n v="1"/>
    <s v="91959370390050000696397510101"/>
    <n v="1"/>
  </r>
  <r>
    <n v="9"/>
    <x v="9"/>
    <n v="9196067"/>
    <s v="2018-09-03"/>
    <x v="9"/>
    <s v="2018-09-04"/>
    <n v="1"/>
    <n v="1"/>
    <s v="2018-09-10"/>
    <n v="0"/>
    <s v="0390050000696453130101"/>
    <n v="1"/>
    <n v="1"/>
    <n v="1"/>
    <n v="1"/>
    <n v="100"/>
    <n v="1"/>
    <n v="0"/>
    <n v="1"/>
    <n v="0"/>
    <n v="1"/>
    <n v="1"/>
    <s v="91960670390050000696453130101"/>
    <n v="1"/>
  </r>
  <r>
    <n v="9"/>
    <x v="9"/>
    <n v="9196067"/>
    <s v="2018-09-03"/>
    <x v="9"/>
    <s v="2018-09-04"/>
    <n v="1"/>
    <n v="1"/>
    <s v="2018-09-10"/>
    <n v="0"/>
    <s v="0390050000696468760101"/>
    <n v="1"/>
    <n v="1"/>
    <n v="1"/>
    <n v="1"/>
    <n v="100"/>
    <n v="1"/>
    <n v="0"/>
    <n v="1"/>
    <n v="0"/>
    <n v="1"/>
    <n v="1"/>
    <s v="91960670390050000696468760101"/>
    <n v="1"/>
  </r>
  <r>
    <n v="9"/>
    <x v="9"/>
    <n v="9196067"/>
    <s v="2018-09-03"/>
    <x v="9"/>
    <s v="2018-09-04"/>
    <n v="1"/>
    <n v="1"/>
    <s v="2018-09-10"/>
    <n v="0"/>
    <s v="0390050000696469470101"/>
    <n v="1"/>
    <n v="1"/>
    <n v="1"/>
    <n v="1"/>
    <n v="100"/>
    <n v="1"/>
    <n v="0"/>
    <n v="1"/>
    <n v="0"/>
    <n v="1"/>
    <n v="1"/>
    <s v="91960670390050000696469470101"/>
    <n v="1"/>
  </r>
  <r>
    <n v="9"/>
    <x v="9"/>
    <n v="9196174"/>
    <s v="2018-09-03"/>
    <x v="9"/>
    <s v="2018-09-04"/>
    <n v="1"/>
    <n v="1"/>
    <s v="2018-09-10"/>
    <n v="0"/>
    <s v="0390050000696483780101"/>
    <n v="1"/>
    <n v="1"/>
    <n v="1"/>
    <n v="1"/>
    <n v="100"/>
    <n v="1"/>
    <n v="0"/>
    <n v="1"/>
    <n v="0"/>
    <n v="1"/>
    <n v="1"/>
    <s v="91961740390050000696483780101"/>
    <n v="1"/>
  </r>
  <r>
    <n v="9"/>
    <x v="9"/>
    <n v="9196174"/>
    <s v="2018-09-03"/>
    <x v="9"/>
    <s v="2018-09-04"/>
    <n v="1"/>
    <n v="1"/>
    <s v="2018-09-10"/>
    <n v="0"/>
    <s v="0390050000696504570101"/>
    <n v="1"/>
    <n v="1"/>
    <n v="1"/>
    <n v="1"/>
    <n v="100"/>
    <n v="1"/>
    <n v="0"/>
    <n v="1"/>
    <n v="0"/>
    <n v="1"/>
    <n v="1"/>
    <s v="91961740390050000696504570101"/>
    <n v="1"/>
  </r>
  <r>
    <n v="9"/>
    <x v="9"/>
    <n v="9196249"/>
    <s v="2018-09-04"/>
    <x v="9"/>
    <s v="2018-09-04"/>
    <n v="1"/>
    <n v="1"/>
    <s v="2018-09-10"/>
    <n v="0"/>
    <s v="0390050000696572690101"/>
    <n v="1"/>
    <n v="1"/>
    <n v="1"/>
    <n v="1"/>
    <n v="100"/>
    <n v="1"/>
    <n v="0"/>
    <n v="1"/>
    <n v="0"/>
    <n v="1"/>
    <n v="1"/>
    <s v="91962490390050000696572690101"/>
    <n v="1"/>
  </r>
  <r>
    <n v="9"/>
    <x v="9"/>
    <n v="9196249"/>
    <s v="2018-09-04"/>
    <x v="16"/>
    <s v="2018-09-04"/>
    <n v="1"/>
    <n v="1"/>
    <s v="2018-09-12"/>
    <n v="0"/>
    <s v="0390050000696631480102"/>
    <n v="1"/>
    <n v="1"/>
    <n v="1"/>
    <n v="1"/>
    <n v="100"/>
    <n v="1"/>
    <n v="0"/>
    <n v="1"/>
    <n v="0"/>
    <n v="1"/>
    <n v="1"/>
    <s v="91962490390050000696631480102"/>
    <n v="1"/>
  </r>
  <r>
    <n v="9"/>
    <x v="9"/>
    <n v="9196249"/>
    <s v="2018-09-04"/>
    <x v="9"/>
    <s v="2018-09-04"/>
    <n v="1"/>
    <n v="1"/>
    <s v="2018-09-10"/>
    <n v="0"/>
    <s v="0390050000696633110101"/>
    <n v="1"/>
    <n v="1"/>
    <n v="1"/>
    <n v="1"/>
    <n v="100"/>
    <n v="1"/>
    <n v="0"/>
    <n v="1"/>
    <n v="0"/>
    <n v="1"/>
    <n v="1"/>
    <s v="91962490390050000696633110101"/>
    <n v="1"/>
  </r>
  <r>
    <n v="9"/>
    <x v="9"/>
    <n v="9196372"/>
    <s v="2018-09-04"/>
    <x v="16"/>
    <s v="2018-09-05"/>
    <n v="1"/>
    <n v="1"/>
    <s v="2018-09-12"/>
    <n v="0"/>
    <s v="0390050000696694300101"/>
    <n v="1"/>
    <n v="1"/>
    <n v="1"/>
    <n v="1"/>
    <n v="100"/>
    <n v="1"/>
    <n v="0"/>
    <n v="1"/>
    <n v="0"/>
    <n v="1"/>
    <n v="1"/>
    <s v="91963720390050000696694300101"/>
    <n v="1"/>
  </r>
  <r>
    <n v="9"/>
    <x v="9"/>
    <n v="9197134"/>
    <s v="2018-09-04"/>
    <x v="16"/>
    <s v="2018-09-05"/>
    <n v="1"/>
    <n v="1"/>
    <s v="2018-09-12"/>
    <n v="0"/>
    <s v="0390050000696758020101"/>
    <n v="1"/>
    <n v="1"/>
    <n v="1"/>
    <n v="1"/>
    <n v="100"/>
    <n v="1"/>
    <n v="0"/>
    <n v="1"/>
    <n v="0"/>
    <n v="1"/>
    <n v="1"/>
    <s v="91971340390050000696758020101"/>
    <n v="1"/>
  </r>
  <r>
    <n v="9"/>
    <x v="9"/>
    <n v="9196754"/>
    <s v="2018-09-04"/>
    <x v="9"/>
    <s v="2018-09-05"/>
    <n v="1"/>
    <n v="1"/>
    <s v="2018-09-10"/>
    <n v="0"/>
    <s v="0390050000696933010101"/>
    <n v="1"/>
    <n v="1"/>
    <n v="1"/>
    <n v="1"/>
    <n v="100"/>
    <n v="1"/>
    <n v="0"/>
    <n v="1"/>
    <n v="0"/>
    <n v="1"/>
    <n v="1"/>
    <s v="91967540390050000696933010101"/>
    <n v="1"/>
  </r>
  <r>
    <n v="9"/>
    <x v="9"/>
    <n v="9197008"/>
    <s v="2018-09-04"/>
    <x v="16"/>
    <s v="2018-09-05"/>
    <n v="1"/>
    <n v="1"/>
    <s v="2018-09-12"/>
    <n v="0"/>
    <s v="0390050000696975160101"/>
    <n v="1"/>
    <n v="1"/>
    <n v="1"/>
    <n v="1"/>
    <n v="100"/>
    <n v="1"/>
    <n v="0"/>
    <n v="1"/>
    <n v="0"/>
    <n v="1"/>
    <n v="1"/>
    <s v="91970080390050000696975160101"/>
    <n v="1"/>
  </r>
  <r>
    <n v="9"/>
    <x v="9"/>
    <n v="9197008"/>
    <s v="2018-09-04"/>
    <x v="10"/>
    <s v="2018-09-05"/>
    <n v="1"/>
    <n v="1"/>
    <s v="2018-09-14"/>
    <n v="0"/>
    <s v="0390050000697015070101"/>
    <n v="1"/>
    <n v="1"/>
    <n v="1"/>
    <n v="1"/>
    <n v="100"/>
    <n v="1"/>
    <n v="0"/>
    <n v="1"/>
    <n v="0"/>
    <n v="1"/>
    <n v="1"/>
    <s v="91970080390050000697015070101"/>
    <n v="1"/>
  </r>
  <r>
    <n v="9"/>
    <x v="9"/>
    <n v="9197076"/>
    <s v="2018-09-04"/>
    <x v="16"/>
    <s v="2018-09-05"/>
    <n v="1"/>
    <n v="1"/>
    <s v="2018-09-12"/>
    <n v="0"/>
    <s v="0390050000697022040101"/>
    <n v="1"/>
    <n v="1"/>
    <n v="1"/>
    <n v="1"/>
    <n v="100"/>
    <n v="1"/>
    <n v="0"/>
    <n v="1"/>
    <n v="0"/>
    <n v="1"/>
    <n v="1"/>
    <s v="91970760390050000697022040101"/>
    <n v="1"/>
  </r>
  <r>
    <n v="9"/>
    <x v="9"/>
    <n v="9197187"/>
    <s v="2018-09-04"/>
    <x v="16"/>
    <s v="2018-09-05"/>
    <n v="1"/>
    <n v="1"/>
    <s v="2018-09-12"/>
    <n v="0"/>
    <s v="0390050000697085190101"/>
    <n v="1"/>
    <n v="1"/>
    <n v="1"/>
    <n v="1"/>
    <n v="100"/>
    <n v="1"/>
    <n v="0"/>
    <n v="1"/>
    <n v="0"/>
    <n v="1"/>
    <n v="1"/>
    <s v="91971870390050000697085190101"/>
    <n v="1"/>
  </r>
  <r>
    <n v="9"/>
    <x v="9"/>
    <n v="9197240"/>
    <s v="2018-09-04"/>
    <x v="20"/>
    <s v="2018-09-05"/>
    <n v="1"/>
    <n v="1"/>
    <s v="2018-09-14"/>
    <n v="0"/>
    <s v="0390050000697099710101"/>
    <n v="1"/>
    <n v="1"/>
    <n v="1"/>
    <n v="1"/>
    <n v="100"/>
    <n v="1"/>
    <n v="0"/>
    <n v="1"/>
    <n v="0"/>
    <n v="1"/>
    <n v="1"/>
    <s v="91972400390050000697099710101"/>
    <n v="1"/>
  </r>
  <r>
    <n v="9"/>
    <x v="9"/>
    <n v="9197208"/>
    <s v="2018-09-04"/>
    <x v="8"/>
    <s v="2018-09-05"/>
    <n v="1"/>
    <n v="1"/>
    <s v="2018-09-07"/>
    <n v="0"/>
    <s v="0390050000697100120101"/>
    <n v="1"/>
    <n v="1"/>
    <n v="1"/>
    <n v="1"/>
    <n v="100"/>
    <n v="1"/>
    <n v="0"/>
    <n v="1"/>
    <n v="0"/>
    <n v="1"/>
    <n v="1"/>
    <s v="91972080390050000697100120101"/>
    <n v="1"/>
  </r>
  <r>
    <n v="9"/>
    <x v="9"/>
    <n v="9197240"/>
    <s v="2018-09-04"/>
    <x v="16"/>
    <s v="2018-09-05"/>
    <n v="1"/>
    <n v="1"/>
    <s v="2018-09-12"/>
    <n v="0"/>
    <s v="0390050000697105730101"/>
    <n v="1"/>
    <n v="1"/>
    <n v="1"/>
    <n v="1"/>
    <n v="100"/>
    <n v="1"/>
    <n v="0"/>
    <n v="1"/>
    <n v="0"/>
    <n v="1"/>
    <n v="1"/>
    <s v="91972400390050000697105730101"/>
    <n v="1"/>
  </r>
  <r>
    <n v="9"/>
    <x v="9"/>
    <n v="9197240"/>
    <s v="2018-09-04"/>
    <x v="16"/>
    <s v="2018-09-05"/>
    <n v="1"/>
    <n v="1"/>
    <s v="2018-09-12"/>
    <n v="0"/>
    <s v="0390050000697107070101"/>
    <n v="1"/>
    <n v="1"/>
    <n v="1"/>
    <n v="1"/>
    <n v="100"/>
    <n v="1"/>
    <n v="0"/>
    <n v="1"/>
    <n v="0"/>
    <n v="1"/>
    <n v="1"/>
    <s v="91972400390050000697107070101"/>
    <n v="1"/>
  </r>
  <r>
    <n v="9"/>
    <x v="9"/>
    <n v="9197273"/>
    <s v="2018-09-04"/>
    <x v="16"/>
    <s v="2018-09-05"/>
    <n v="1"/>
    <n v="1"/>
    <s v="2018-09-12"/>
    <n v="0"/>
    <s v="0390050000697114510101"/>
    <n v="1"/>
    <n v="1"/>
    <n v="1"/>
    <n v="1"/>
    <n v="100"/>
    <n v="1"/>
    <n v="0"/>
    <n v="1"/>
    <n v="0"/>
    <n v="1"/>
    <n v="1"/>
    <s v="91972730390050000697114510101"/>
    <n v="1"/>
  </r>
  <r>
    <n v="9"/>
    <x v="9"/>
    <n v="9197273"/>
    <s v="2018-09-04"/>
    <x v="16"/>
    <s v="2018-09-05"/>
    <n v="1"/>
    <n v="1"/>
    <s v="2018-09-12"/>
    <n v="0"/>
    <s v="0390050000697115460101"/>
    <n v="1"/>
    <n v="1"/>
    <n v="1"/>
    <n v="1"/>
    <n v="100"/>
    <n v="1"/>
    <n v="0"/>
    <n v="1"/>
    <n v="0"/>
    <n v="1"/>
    <n v="1"/>
    <s v="91972730390050000697115460101"/>
    <n v="1"/>
  </r>
  <r>
    <n v="9"/>
    <x v="9"/>
    <n v="9197273"/>
    <s v="2018-09-04"/>
    <x v="20"/>
    <s v="2018-09-05"/>
    <n v="1"/>
    <n v="1"/>
    <s v="2018-09-14"/>
    <n v="0"/>
    <s v="0390050000697134290101"/>
    <n v="1"/>
    <n v="1"/>
    <n v="1"/>
    <n v="1"/>
    <n v="100"/>
    <n v="1"/>
    <n v="0"/>
    <n v="1"/>
    <n v="0"/>
    <n v="1"/>
    <n v="1"/>
    <s v="91972730390050000697134290101"/>
    <n v="1"/>
  </r>
  <r>
    <n v="9"/>
    <x v="9"/>
    <n v="9197775"/>
    <s v="2018-09-05"/>
    <x v="20"/>
    <s v="2018-09-06"/>
    <n v="1"/>
    <n v="1"/>
    <s v="2018-09-14"/>
    <n v="0"/>
    <s v="0390050000697219240103"/>
    <n v="1"/>
    <n v="1"/>
    <n v="1"/>
    <n v="1"/>
    <n v="100"/>
    <n v="1"/>
    <n v="0"/>
    <n v="1"/>
    <n v="0"/>
    <n v="1"/>
    <n v="1"/>
    <s v="91977750390050000697219240103"/>
    <n v="1"/>
  </r>
  <r>
    <n v="9"/>
    <x v="9"/>
    <n v="9197392"/>
    <s v="2018-09-05"/>
    <x v="16"/>
    <s v="2018-09-06"/>
    <n v="1"/>
    <n v="1"/>
    <s v="2018-09-12"/>
    <n v="0"/>
    <s v="0390050000697254930101"/>
    <n v="1"/>
    <n v="1"/>
    <n v="1"/>
    <n v="1"/>
    <n v="100"/>
    <n v="1"/>
    <n v="0"/>
    <n v="1"/>
    <n v="0"/>
    <n v="1"/>
    <n v="1"/>
    <s v="91973920390050000697254930101"/>
    <n v="1"/>
  </r>
  <r>
    <n v="9"/>
    <x v="9"/>
    <n v="9197775"/>
    <s v="2018-09-05"/>
    <x v="5"/>
    <s v="2018-09-06"/>
    <n v="1"/>
    <n v="1"/>
    <s v="2018-09-24"/>
    <n v="0"/>
    <s v="0390050000697330370101"/>
    <n v="1"/>
    <n v="1"/>
    <n v="1"/>
    <n v="1"/>
    <n v="100"/>
    <n v="1"/>
    <n v="0"/>
    <n v="1"/>
    <n v="0"/>
    <n v="1"/>
    <n v="1"/>
    <s v="91977750390050000697330370101"/>
    <n v="1"/>
  </r>
  <r>
    <n v="9"/>
    <x v="9"/>
    <n v="9197495"/>
    <s v="2018-09-05"/>
    <x v="16"/>
    <s v="2018-09-06"/>
    <n v="1"/>
    <n v="1"/>
    <s v="2018-09-12"/>
    <n v="0"/>
    <s v="0390050000697573640101"/>
    <n v="1"/>
    <n v="1"/>
    <n v="1"/>
    <n v="1"/>
    <n v="100"/>
    <n v="1"/>
    <n v="0"/>
    <n v="1"/>
    <n v="0"/>
    <n v="1"/>
    <n v="1"/>
    <s v="91974950390050000697573640101"/>
    <n v="1"/>
  </r>
  <r>
    <n v="9"/>
    <x v="9"/>
    <n v="9197571"/>
    <s v="2018-09-05"/>
    <x v="16"/>
    <s v="2018-09-06"/>
    <n v="1"/>
    <n v="1"/>
    <s v="2018-09-12"/>
    <n v="0"/>
    <s v="0390050000697674880101"/>
    <n v="1"/>
    <n v="1"/>
    <n v="1"/>
    <n v="1"/>
    <n v="100"/>
    <n v="1"/>
    <n v="0"/>
    <n v="1"/>
    <n v="0"/>
    <n v="1"/>
    <n v="1"/>
    <s v="91975710390050000697674880101"/>
    <n v="1"/>
  </r>
  <r>
    <n v="9"/>
    <x v="9"/>
    <n v="9197571"/>
    <s v="2018-09-05"/>
    <x v="5"/>
    <s v="2018-09-06"/>
    <n v="1"/>
    <n v="1"/>
    <s v="2018-09-24"/>
    <n v="0"/>
    <s v="0390050000697758990101"/>
    <n v="1"/>
    <n v="1"/>
    <n v="1"/>
    <n v="1"/>
    <n v="100"/>
    <n v="1"/>
    <n v="0"/>
    <n v="1"/>
    <n v="0"/>
    <n v="1"/>
    <n v="1"/>
    <s v="91975710390050000697758990101"/>
    <n v="1"/>
  </r>
  <r>
    <n v="9"/>
    <x v="9"/>
    <n v="9197775"/>
    <s v="2018-09-05"/>
    <x v="16"/>
    <s v="2018-09-06"/>
    <n v="1"/>
    <n v="1"/>
    <s v="2018-09-12"/>
    <n v="0"/>
    <s v="0390050000697834900101"/>
    <n v="1"/>
    <n v="1"/>
    <n v="1"/>
    <n v="1"/>
    <n v="100"/>
    <n v="1"/>
    <n v="0"/>
    <n v="1"/>
    <n v="0"/>
    <n v="1"/>
    <n v="1"/>
    <s v="91977750390050000697834900101"/>
    <n v="1"/>
  </r>
  <r>
    <n v="9"/>
    <x v="9"/>
    <n v="9197775"/>
    <s v="2018-09-05"/>
    <x v="20"/>
    <s v="2018-09-06"/>
    <n v="1"/>
    <n v="1"/>
    <s v="2018-09-14"/>
    <n v="0"/>
    <s v="0390050000697850080101"/>
    <n v="1"/>
    <n v="1"/>
    <n v="1"/>
    <n v="1"/>
    <n v="100"/>
    <n v="1"/>
    <n v="0"/>
    <n v="1"/>
    <n v="0"/>
    <n v="1"/>
    <n v="1"/>
    <s v="91977750390050000697850080101"/>
    <n v="1"/>
  </r>
  <r>
    <n v="9"/>
    <x v="9"/>
    <n v="9197775"/>
    <s v="2018-09-05"/>
    <x v="16"/>
    <s v="2018-09-06"/>
    <n v="1"/>
    <n v="1"/>
    <s v="2018-09-12"/>
    <n v="0"/>
    <s v="0390050000697875570103"/>
    <n v="1"/>
    <n v="1"/>
    <n v="1"/>
    <n v="1"/>
    <n v="100"/>
    <n v="1"/>
    <n v="0"/>
    <n v="1"/>
    <n v="0"/>
    <n v="1"/>
    <n v="1"/>
    <s v="91977750390050000697875570103"/>
    <n v="1"/>
  </r>
  <r>
    <n v="9"/>
    <x v="9"/>
    <n v="9197943"/>
    <s v="2018-09-05"/>
    <x v="10"/>
    <s v="2018-09-06"/>
    <n v="1"/>
    <n v="1"/>
    <s v="2018-09-14"/>
    <n v="0"/>
    <s v="0390050000697905340101"/>
    <n v="1"/>
    <n v="1"/>
    <n v="1"/>
    <n v="1"/>
    <n v="100"/>
    <n v="1"/>
    <n v="0"/>
    <n v="1"/>
    <n v="0"/>
    <n v="1"/>
    <n v="1"/>
    <s v="91979430390050000697905340101"/>
    <n v="1"/>
  </r>
  <r>
    <n v="9"/>
    <x v="9"/>
    <n v="9197865"/>
    <s v="2018-09-05"/>
    <x v="16"/>
    <s v="2018-09-06"/>
    <n v="1"/>
    <n v="1"/>
    <s v="2018-09-12"/>
    <n v="0"/>
    <s v="0390050000697944130101"/>
    <n v="1"/>
    <n v="1"/>
    <n v="1"/>
    <n v="1"/>
    <n v="100"/>
    <n v="1"/>
    <n v="0"/>
    <n v="1"/>
    <n v="0"/>
    <n v="1"/>
    <n v="1"/>
    <s v="91978650390050000697944130101"/>
    <n v="1"/>
  </r>
  <r>
    <n v="9"/>
    <x v="9"/>
    <n v="9197943"/>
    <s v="2018-09-05"/>
    <x v="16"/>
    <s v="2018-09-06"/>
    <n v="1"/>
    <n v="1"/>
    <s v="2018-09-12"/>
    <n v="0"/>
    <s v="0390050000697993910101"/>
    <n v="1"/>
    <n v="1"/>
    <n v="1"/>
    <n v="1"/>
    <n v="100"/>
    <n v="1"/>
    <n v="0"/>
    <n v="1"/>
    <n v="0"/>
    <n v="1"/>
    <n v="1"/>
    <s v="91979430390050000697993910101"/>
    <n v="1"/>
  </r>
  <r>
    <n v="9"/>
    <x v="9"/>
    <n v="9198013"/>
    <s v="2018-09-05"/>
    <x v="16"/>
    <s v="2018-09-06"/>
    <n v="1"/>
    <n v="1"/>
    <s v="2018-09-12"/>
    <n v="0"/>
    <s v="0390050000697999230101"/>
    <n v="1"/>
    <n v="1"/>
    <n v="1"/>
    <n v="1"/>
    <n v="100"/>
    <n v="1"/>
    <n v="0"/>
    <n v="1"/>
    <n v="0"/>
    <n v="1"/>
    <n v="1"/>
    <s v="91980130390050000697999230101"/>
    <n v="1"/>
  </r>
  <r>
    <n v="9"/>
    <x v="9"/>
    <n v="9198060"/>
    <s v="2018-09-05"/>
    <x v="20"/>
    <s v="2018-09-06"/>
    <n v="1"/>
    <n v="1"/>
    <s v="2018-09-14"/>
    <n v="0"/>
    <s v="0390050000698106430101"/>
    <n v="1"/>
    <n v="1"/>
    <n v="1"/>
    <n v="1"/>
    <n v="100"/>
    <n v="1"/>
    <n v="0"/>
    <n v="1"/>
    <n v="0"/>
    <n v="1"/>
    <n v="1"/>
    <s v="91980600390050000698106430101"/>
    <n v="1"/>
  </r>
  <r>
    <n v="9"/>
    <x v="9"/>
    <n v="9198181"/>
    <s v="2018-09-06"/>
    <x v="16"/>
    <s v="2018-09-06"/>
    <n v="1"/>
    <n v="1"/>
    <s v="2018-09-12"/>
    <n v="0"/>
    <s v="0390050000698263730101"/>
    <n v="1"/>
    <n v="1"/>
    <n v="1"/>
    <n v="1"/>
    <n v="100"/>
    <n v="1"/>
    <n v="0"/>
    <n v="1"/>
    <n v="0"/>
    <n v="1"/>
    <n v="1"/>
    <s v="91981810390050000698263730101"/>
    <n v="1"/>
  </r>
  <r>
    <n v="9"/>
    <x v="9"/>
    <n v="9198181"/>
    <s v="2018-09-06"/>
    <x v="20"/>
    <s v="2018-09-06"/>
    <n v="1"/>
    <n v="1"/>
    <s v="2018-09-14"/>
    <n v="0"/>
    <s v="0390050000698359000101"/>
    <n v="1"/>
    <n v="1"/>
    <n v="1"/>
    <n v="1"/>
    <n v="100"/>
    <n v="1"/>
    <n v="0"/>
    <n v="1"/>
    <n v="0"/>
    <n v="1"/>
    <n v="1"/>
    <s v="91981810390050000698359000101"/>
    <n v="1"/>
  </r>
  <r>
    <n v="9"/>
    <x v="9"/>
    <n v="9198181"/>
    <s v="2018-09-06"/>
    <x v="16"/>
    <s v="2018-09-06"/>
    <n v="1"/>
    <n v="1"/>
    <s v="2018-09-12"/>
    <n v="0"/>
    <s v="0390050000698409420101"/>
    <n v="1"/>
    <n v="1"/>
    <n v="1"/>
    <n v="1"/>
    <n v="100"/>
    <n v="1"/>
    <n v="0"/>
    <n v="1"/>
    <n v="0"/>
    <n v="1"/>
    <n v="1"/>
    <s v="91981810390050000698409420101"/>
    <n v="1"/>
  </r>
  <r>
    <n v="9"/>
    <x v="9"/>
    <n v="9200323"/>
    <s v="2018-09-09"/>
    <x v="10"/>
    <s v="2018-09-10"/>
    <n v="1"/>
    <n v="1"/>
    <s v="2018-09-14"/>
    <n v="0"/>
    <s v="0390050000698484240102"/>
    <n v="1"/>
    <n v="1"/>
    <n v="1"/>
    <n v="1"/>
    <n v="100"/>
    <n v="1"/>
    <n v="0"/>
    <n v="1"/>
    <n v="0"/>
    <n v="1"/>
    <n v="1"/>
    <s v="92003230390050000698484240102"/>
    <n v="1"/>
  </r>
  <r>
    <n v="9"/>
    <x v="9"/>
    <n v="9198361"/>
    <s v="2018-09-06"/>
    <x v="16"/>
    <s v="2018-09-07"/>
    <n v="1"/>
    <n v="1"/>
    <s v="2018-09-12"/>
    <n v="0"/>
    <s v="0390050000700006020101"/>
    <n v="1"/>
    <n v="1"/>
    <n v="1"/>
    <n v="1"/>
    <n v="100"/>
    <n v="1"/>
    <n v="0"/>
    <n v="1"/>
    <n v="0"/>
    <n v="1"/>
    <n v="1"/>
    <s v="91983610390050000700006020101"/>
    <n v="1"/>
  </r>
  <r>
    <n v="9"/>
    <x v="9"/>
    <n v="9198529"/>
    <s v="2018-09-06"/>
    <x v="9"/>
    <s v="2018-09-07"/>
    <n v="1"/>
    <n v="1"/>
    <s v="2018-09-10"/>
    <n v="0"/>
    <s v="0390050000701277060102"/>
    <n v="1"/>
    <n v="1"/>
    <n v="1"/>
    <n v="1"/>
    <n v="100"/>
    <n v="1"/>
    <n v="0"/>
    <n v="1"/>
    <n v="0"/>
    <n v="1"/>
    <n v="1"/>
    <s v="91985290390050000701277060102"/>
    <n v="1"/>
  </r>
  <r>
    <n v="9"/>
    <x v="9"/>
    <n v="9198651"/>
    <s v="2018-09-06"/>
    <x v="16"/>
    <s v="2018-09-07"/>
    <n v="1"/>
    <n v="1"/>
    <s v="2018-09-12"/>
    <n v="0"/>
    <s v="0390050000701421280102"/>
    <n v="1"/>
    <n v="1"/>
    <n v="1"/>
    <n v="1"/>
    <n v="100"/>
    <n v="1"/>
    <n v="0"/>
    <n v="1"/>
    <n v="0"/>
    <n v="1"/>
    <n v="1"/>
    <s v="91986510390050000701421280102"/>
    <n v="1"/>
  </r>
  <r>
    <n v="9"/>
    <x v="9"/>
    <n v="9198650"/>
    <s v="2018-09-06"/>
    <x v="16"/>
    <s v="2018-09-07"/>
    <n v="1"/>
    <n v="1"/>
    <s v="2018-09-12"/>
    <n v="0"/>
    <s v="0390050000701439470102"/>
    <n v="1"/>
    <n v="1"/>
    <n v="1"/>
    <n v="1"/>
    <n v="100"/>
    <n v="1"/>
    <n v="0"/>
    <n v="1"/>
    <n v="0"/>
    <n v="1"/>
    <n v="1"/>
    <s v="91986500390050000701439470102"/>
    <n v="1"/>
  </r>
  <r>
    <n v="9"/>
    <x v="9"/>
    <n v="9198747"/>
    <s v="2018-09-06"/>
    <x v="16"/>
    <s v="2018-09-07"/>
    <n v="1"/>
    <n v="1"/>
    <s v="2018-09-12"/>
    <n v="0"/>
    <s v="0390050000701464610101"/>
    <n v="1"/>
    <n v="1"/>
    <n v="1"/>
    <n v="1"/>
    <n v="100"/>
    <n v="1"/>
    <n v="0"/>
    <n v="1"/>
    <n v="0"/>
    <n v="1"/>
    <n v="1"/>
    <s v="91987470390050000701464610101"/>
    <n v="1"/>
  </r>
  <r>
    <n v="9"/>
    <x v="9"/>
    <n v="9198789"/>
    <s v="2018-09-06"/>
    <x v="10"/>
    <s v="2018-09-07"/>
    <n v="1"/>
    <n v="1"/>
    <s v="2018-09-14"/>
    <n v="0"/>
    <s v="0390050000701482980101"/>
    <n v="1"/>
    <n v="1"/>
    <n v="1"/>
    <n v="1"/>
    <n v="100"/>
    <n v="1"/>
    <n v="0"/>
    <n v="1"/>
    <n v="0"/>
    <n v="1"/>
    <n v="1"/>
    <s v="91987890390050000701482980101"/>
    <n v="1"/>
  </r>
  <r>
    <n v="9"/>
    <x v="9"/>
    <n v="9198826"/>
    <s v="2018-09-06"/>
    <x v="16"/>
    <s v="2018-09-07"/>
    <n v="1"/>
    <n v="1"/>
    <s v="2018-09-12"/>
    <n v="0"/>
    <s v="0390050000701514700101"/>
    <n v="1"/>
    <n v="1"/>
    <n v="1"/>
    <n v="1"/>
    <n v="100"/>
    <n v="1"/>
    <n v="0"/>
    <n v="1"/>
    <n v="0"/>
    <n v="1"/>
    <n v="1"/>
    <s v="91988260390050000701514700101"/>
    <n v="1"/>
  </r>
  <r>
    <n v="9"/>
    <x v="9"/>
    <n v="9198903"/>
    <s v="2018-09-06"/>
    <x v="10"/>
    <s v="2018-09-07"/>
    <n v="1"/>
    <n v="1"/>
    <s v="2018-09-14"/>
    <n v="0"/>
    <s v="0390050000701560780101"/>
    <n v="1"/>
    <n v="1"/>
    <n v="1"/>
    <n v="1"/>
    <n v="100"/>
    <n v="1"/>
    <n v="0"/>
    <n v="1"/>
    <n v="0"/>
    <n v="1"/>
    <n v="1"/>
    <s v="91989030390050000701560780101"/>
    <n v="1"/>
  </r>
  <r>
    <n v="9"/>
    <x v="9"/>
    <n v="9198903"/>
    <s v="2018-09-06"/>
    <x v="16"/>
    <s v="2018-09-07"/>
    <n v="1"/>
    <n v="1"/>
    <s v="2018-09-12"/>
    <n v="0"/>
    <s v="0390050000701566460101"/>
    <n v="1"/>
    <n v="1"/>
    <n v="1"/>
    <n v="1"/>
    <n v="100"/>
    <n v="1"/>
    <n v="0"/>
    <n v="1"/>
    <n v="0"/>
    <n v="1"/>
    <n v="1"/>
    <s v="91989030390050000701566460101"/>
    <n v="1"/>
  </r>
  <r>
    <n v="9"/>
    <x v="9"/>
    <n v="9198903"/>
    <s v="2018-09-06"/>
    <x v="20"/>
    <s v="2018-09-07"/>
    <n v="1"/>
    <n v="1"/>
    <s v="2018-09-14"/>
    <n v="0"/>
    <s v="0390050000701571530101"/>
    <n v="1"/>
    <n v="1"/>
    <n v="1"/>
    <n v="1"/>
    <n v="100"/>
    <n v="1"/>
    <n v="0"/>
    <n v="1"/>
    <n v="0"/>
    <n v="1"/>
    <n v="1"/>
    <s v="91989030390050000701571530101"/>
    <n v="1"/>
  </r>
  <r>
    <n v="9"/>
    <x v="9"/>
    <n v="9198903"/>
    <s v="2018-09-07"/>
    <x v="10"/>
    <s v="2018-09-07"/>
    <n v="1"/>
    <n v="1"/>
    <s v="2018-09-14"/>
    <n v="0"/>
    <s v="0390050000701600390101"/>
    <n v="1"/>
    <n v="1"/>
    <n v="1"/>
    <n v="1"/>
    <n v="100"/>
    <n v="1"/>
    <n v="0"/>
    <n v="1"/>
    <n v="0"/>
    <n v="1"/>
    <n v="1"/>
    <s v="91989030390050000701600390101"/>
    <n v="1"/>
  </r>
  <r>
    <n v="9"/>
    <x v="9"/>
    <n v="9198903"/>
    <s v="2018-09-07"/>
    <x v="20"/>
    <s v="2018-09-07"/>
    <n v="1"/>
    <n v="1"/>
    <s v="2018-09-14"/>
    <n v="0"/>
    <s v="0390050000701605850101"/>
    <n v="1"/>
    <n v="1"/>
    <n v="1"/>
    <n v="1"/>
    <n v="100"/>
    <n v="1"/>
    <n v="0"/>
    <n v="1"/>
    <n v="0"/>
    <n v="1"/>
    <n v="1"/>
    <s v="91989030390050000701605850101"/>
    <n v="1"/>
  </r>
  <r>
    <n v="9"/>
    <x v="9"/>
    <n v="9198903"/>
    <s v="2018-09-07"/>
    <x v="20"/>
    <s v="2018-09-07"/>
    <n v="1"/>
    <n v="1"/>
    <s v="2018-09-14"/>
    <n v="0"/>
    <s v="0390050000701634210101"/>
    <n v="1"/>
    <n v="1"/>
    <n v="1"/>
    <n v="1"/>
    <n v="100"/>
    <n v="1"/>
    <n v="0"/>
    <n v="1"/>
    <n v="0"/>
    <n v="1"/>
    <n v="1"/>
    <s v="91989030390050000701634210101"/>
    <n v="1"/>
  </r>
  <r>
    <n v="9"/>
    <x v="9"/>
    <n v="9198903"/>
    <s v="2018-09-07"/>
    <x v="20"/>
    <s v="2018-09-07"/>
    <n v="1"/>
    <n v="1"/>
    <s v="2018-09-14"/>
    <n v="0"/>
    <s v="0390050000701668910101"/>
    <n v="1"/>
    <n v="1"/>
    <n v="1"/>
    <n v="1"/>
    <n v="100"/>
    <n v="1"/>
    <n v="0"/>
    <n v="1"/>
    <n v="0"/>
    <n v="1"/>
    <n v="1"/>
    <s v="91989030390050000701668910101"/>
    <n v="1"/>
  </r>
  <r>
    <n v="9"/>
    <x v="9"/>
    <n v="9198903"/>
    <s v="2018-09-07"/>
    <x v="20"/>
    <s v="2018-09-07"/>
    <n v="1"/>
    <n v="1"/>
    <s v="2018-09-14"/>
    <n v="0"/>
    <s v="0390050000701684740101"/>
    <n v="1"/>
    <n v="1"/>
    <n v="1"/>
    <n v="1"/>
    <n v="100"/>
    <n v="1"/>
    <n v="0"/>
    <n v="1"/>
    <n v="0"/>
    <n v="1"/>
    <n v="1"/>
    <s v="91989030390050000701684740101"/>
    <n v="1"/>
  </r>
  <r>
    <n v="9"/>
    <x v="9"/>
    <n v="9198903"/>
    <s v="2018-09-07"/>
    <x v="20"/>
    <s v="2018-09-07"/>
    <n v="1"/>
    <n v="1"/>
    <s v="2018-09-14"/>
    <n v="0"/>
    <s v="0390050000701723510101"/>
    <n v="1"/>
    <n v="1"/>
    <n v="1"/>
    <n v="1"/>
    <n v="100"/>
    <n v="1"/>
    <n v="0"/>
    <n v="1"/>
    <n v="0"/>
    <n v="1"/>
    <n v="1"/>
    <s v="91989030390050000701723510101"/>
    <n v="1"/>
  </r>
  <r>
    <n v="9"/>
    <x v="9"/>
    <n v="9199003"/>
    <s v="2018-09-07"/>
    <x v="10"/>
    <s v="2018-09-10"/>
    <n v="1"/>
    <n v="1"/>
    <s v="2018-09-14"/>
    <n v="0"/>
    <s v="0390050000701785390101"/>
    <n v="1"/>
    <n v="1"/>
    <n v="1"/>
    <n v="1"/>
    <n v="100"/>
    <n v="1"/>
    <n v="0"/>
    <n v="1"/>
    <n v="0"/>
    <n v="1"/>
    <n v="1"/>
    <s v="91990030390050000701785390101"/>
    <n v="1"/>
  </r>
  <r>
    <n v="9"/>
    <x v="9"/>
    <n v="9199081"/>
    <s v="2018-09-07"/>
    <x v="20"/>
    <s v="2018-09-10"/>
    <n v="1"/>
    <n v="1"/>
    <s v="2018-09-14"/>
    <n v="0"/>
    <s v="0390050000701859730101"/>
    <n v="1"/>
    <n v="1"/>
    <n v="1"/>
    <n v="1"/>
    <n v="100"/>
    <n v="1"/>
    <n v="0"/>
    <n v="1"/>
    <n v="0"/>
    <n v="1"/>
    <n v="1"/>
    <s v="91990810390050000701859730101"/>
    <n v="1"/>
  </r>
  <r>
    <n v="9"/>
    <x v="9"/>
    <n v="9199081"/>
    <s v="2018-09-07"/>
    <x v="9"/>
    <s v="2018-09-10"/>
    <n v="1"/>
    <n v="1"/>
    <s v="2018-09-12"/>
    <n v="0"/>
    <s v="0390050000701871280101"/>
    <n v="1"/>
    <n v="1"/>
    <n v="0"/>
    <n v="0"/>
    <n v="100"/>
    <n v="1"/>
    <n v="0"/>
    <n v="1"/>
    <n v="0"/>
    <n v="1"/>
    <n v="0"/>
    <s v="91990810390050000701871280101"/>
    <n v="1"/>
  </r>
  <r>
    <n v="9"/>
    <x v="9"/>
    <n v="9199368"/>
    <s v="2018-09-07"/>
    <x v="5"/>
    <s v="2018-09-10"/>
    <n v="1"/>
    <n v="1"/>
    <s v="2018-09-24"/>
    <n v="0"/>
    <s v="0390050000701925710101"/>
    <n v="1"/>
    <n v="1"/>
    <n v="1"/>
    <n v="1"/>
    <n v="100"/>
    <n v="1"/>
    <n v="0"/>
    <n v="1"/>
    <n v="0"/>
    <n v="1"/>
    <n v="1"/>
    <s v="91993680390050000701925710101"/>
    <n v="1"/>
  </r>
  <r>
    <n v="9"/>
    <x v="9"/>
    <n v="9199311"/>
    <s v="2018-09-07"/>
    <x v="20"/>
    <s v="2018-09-10"/>
    <n v="1"/>
    <n v="1"/>
    <s v="2018-09-14"/>
    <n v="0"/>
    <s v="0390050000702005960101"/>
    <n v="1"/>
    <n v="1"/>
    <n v="1"/>
    <n v="1"/>
    <n v="100"/>
    <n v="1"/>
    <n v="0"/>
    <n v="1"/>
    <n v="0"/>
    <n v="1"/>
    <n v="1"/>
    <s v="91993110390050000702005960101"/>
    <n v="1"/>
  </r>
  <r>
    <n v="9"/>
    <x v="9"/>
    <n v="9199427"/>
    <s v="2018-09-07"/>
    <x v="20"/>
    <s v="2018-09-10"/>
    <n v="1"/>
    <n v="1"/>
    <s v="2018-09-14"/>
    <n v="0"/>
    <s v="0390050000702055740101"/>
    <n v="1"/>
    <n v="1"/>
    <n v="1"/>
    <n v="1"/>
    <n v="100"/>
    <n v="1"/>
    <n v="0"/>
    <n v="1"/>
    <n v="0"/>
    <n v="1"/>
    <n v="1"/>
    <s v="91994270390050000702055740101"/>
    <n v="1"/>
  </r>
  <r>
    <n v="9"/>
    <x v="9"/>
    <n v="9199427"/>
    <s v="2018-09-07"/>
    <x v="10"/>
    <s v="2018-09-10"/>
    <n v="1"/>
    <n v="1"/>
    <s v="2018-09-14"/>
    <n v="0"/>
    <s v="0390050000702056550101"/>
    <n v="1"/>
    <n v="1"/>
    <n v="1"/>
    <n v="1"/>
    <n v="100"/>
    <n v="1"/>
    <n v="0"/>
    <n v="1"/>
    <n v="0"/>
    <n v="1"/>
    <n v="1"/>
    <s v="91994270390050000702056550101"/>
    <n v="1"/>
  </r>
  <r>
    <n v="9"/>
    <x v="9"/>
    <n v="9199368"/>
    <s v="2018-09-07"/>
    <x v="9"/>
    <s v="2018-09-10"/>
    <n v="1"/>
    <n v="1"/>
    <s v="2018-09-12"/>
    <n v="0"/>
    <s v="0390050000702072320101"/>
    <n v="1"/>
    <n v="1"/>
    <n v="0"/>
    <n v="0"/>
    <n v="100"/>
    <n v="1"/>
    <n v="0"/>
    <n v="1"/>
    <n v="0"/>
    <n v="1"/>
    <n v="0"/>
    <s v="91993680390050000702072320101"/>
    <n v="1"/>
  </r>
  <r>
    <n v="9"/>
    <x v="9"/>
    <n v="9199368"/>
    <s v="2018-09-07"/>
    <x v="20"/>
    <s v="2018-09-10"/>
    <n v="1"/>
    <n v="1"/>
    <s v="2018-09-14"/>
    <n v="0"/>
    <s v="0390050000702078270101"/>
    <n v="1"/>
    <n v="1"/>
    <n v="1"/>
    <n v="1"/>
    <n v="100"/>
    <n v="1"/>
    <n v="0"/>
    <n v="1"/>
    <n v="0"/>
    <n v="1"/>
    <n v="1"/>
    <s v="91993680390050000702078270101"/>
    <n v="1"/>
  </r>
  <r>
    <n v="9"/>
    <x v="9"/>
    <n v="9199427"/>
    <s v="2018-09-07"/>
    <x v="9"/>
    <s v="2018-09-10"/>
    <n v="1"/>
    <n v="1"/>
    <s v="2018-09-12"/>
    <n v="0"/>
    <s v="0390050000702087190101"/>
    <n v="1"/>
    <n v="1"/>
    <n v="0"/>
    <n v="0"/>
    <n v="100"/>
    <n v="1"/>
    <n v="0"/>
    <n v="1"/>
    <n v="0"/>
    <n v="1"/>
    <n v="0"/>
    <s v="91994270390050000702087190101"/>
    <n v="1"/>
  </r>
  <r>
    <n v="9"/>
    <x v="9"/>
    <n v="9199497"/>
    <s v="2018-09-07"/>
    <x v="9"/>
    <s v="2018-09-10"/>
    <n v="1"/>
    <n v="1"/>
    <s v="2018-09-12"/>
    <n v="0"/>
    <s v="0390050000702102400101"/>
    <n v="1"/>
    <n v="1"/>
    <n v="0"/>
    <n v="0"/>
    <n v="100"/>
    <n v="1"/>
    <n v="0"/>
    <n v="1"/>
    <n v="0"/>
    <n v="1"/>
    <n v="0"/>
    <s v="91994970390050000702102400101"/>
    <n v="1"/>
  </r>
  <r>
    <n v="9"/>
    <x v="9"/>
    <n v="9199640"/>
    <s v="2018-09-08"/>
    <x v="16"/>
    <s v="2018-09-10"/>
    <n v="1"/>
    <n v="1"/>
    <s v="2018-09-12"/>
    <n v="0"/>
    <s v="0390050000702163120101"/>
    <n v="1"/>
    <n v="1"/>
    <n v="1"/>
    <n v="1"/>
    <n v="100"/>
    <n v="1"/>
    <n v="0"/>
    <n v="1"/>
    <n v="0"/>
    <n v="1"/>
    <n v="1"/>
    <s v="91996400390050000702163120101"/>
    <n v="1"/>
  </r>
  <r>
    <n v="9"/>
    <x v="9"/>
    <n v="9199539"/>
    <s v="2018-09-08"/>
    <x v="20"/>
    <s v="2018-09-10"/>
    <n v="1"/>
    <n v="1"/>
    <s v="2018-09-14"/>
    <n v="0"/>
    <s v="0390050000702185600101"/>
    <n v="1"/>
    <n v="1"/>
    <n v="1"/>
    <n v="1"/>
    <n v="100"/>
    <n v="1"/>
    <n v="0"/>
    <n v="1"/>
    <n v="0"/>
    <n v="1"/>
    <n v="1"/>
    <s v="91995390390050000702185600101"/>
    <n v="1"/>
  </r>
  <r>
    <n v="9"/>
    <x v="9"/>
    <n v="9199539"/>
    <s v="2018-09-08"/>
    <x v="16"/>
    <s v="2018-09-10"/>
    <n v="1"/>
    <n v="1"/>
    <s v="2018-09-12"/>
    <n v="0"/>
    <s v="0390050000702186340101"/>
    <n v="1"/>
    <n v="1"/>
    <n v="1"/>
    <n v="1"/>
    <n v="100"/>
    <n v="1"/>
    <n v="0"/>
    <n v="1"/>
    <n v="0"/>
    <n v="1"/>
    <n v="1"/>
    <s v="91995390390050000702186340101"/>
    <n v="1"/>
  </r>
  <r>
    <n v="9"/>
    <x v="9"/>
    <n v="9199539"/>
    <s v="2018-09-08"/>
    <x v="16"/>
    <s v="2018-09-10"/>
    <n v="1"/>
    <n v="1"/>
    <s v="2018-09-12"/>
    <n v="0"/>
    <s v="0390050000702228150101"/>
    <n v="1"/>
    <n v="1"/>
    <n v="1"/>
    <n v="1"/>
    <n v="100"/>
    <n v="1"/>
    <n v="0"/>
    <n v="1"/>
    <n v="0"/>
    <n v="1"/>
    <n v="1"/>
    <s v="91995390390050000702228150101"/>
    <n v="1"/>
  </r>
  <r>
    <n v="9"/>
    <x v="9"/>
    <n v="9199539"/>
    <s v="2018-09-08"/>
    <x v="10"/>
    <s v="2018-09-10"/>
    <n v="1"/>
    <n v="1"/>
    <s v="2018-09-14"/>
    <n v="0"/>
    <s v="0390050000702261530101"/>
    <n v="1"/>
    <n v="1"/>
    <n v="1"/>
    <n v="1"/>
    <n v="100"/>
    <n v="1"/>
    <n v="0"/>
    <n v="1"/>
    <n v="0"/>
    <n v="1"/>
    <n v="1"/>
    <s v="91995390390050000702261530101"/>
    <n v="1"/>
  </r>
  <r>
    <n v="9"/>
    <x v="9"/>
    <n v="9199724"/>
    <s v="2018-09-08"/>
    <x v="20"/>
    <s v="2018-09-10"/>
    <n v="1"/>
    <n v="1"/>
    <s v="2018-09-14"/>
    <n v="0"/>
    <s v="0390050000702452600102"/>
    <n v="1"/>
    <n v="1"/>
    <n v="1"/>
    <n v="1"/>
    <n v="100"/>
    <n v="1"/>
    <n v="0"/>
    <n v="1"/>
    <n v="0"/>
    <n v="1"/>
    <n v="1"/>
    <s v="91997240390050000702452600102"/>
    <n v="1"/>
  </r>
  <r>
    <n v="9"/>
    <x v="9"/>
    <n v="9199724"/>
    <s v="2018-09-08"/>
    <x v="20"/>
    <s v="2018-09-10"/>
    <n v="1"/>
    <n v="1"/>
    <s v="2018-09-14"/>
    <n v="0"/>
    <s v="0390050000702461770101"/>
    <n v="1"/>
    <n v="1"/>
    <n v="1"/>
    <n v="1"/>
    <n v="100"/>
    <n v="1"/>
    <n v="0"/>
    <n v="1"/>
    <n v="0"/>
    <n v="1"/>
    <n v="1"/>
    <s v="91997240390050000702461770101"/>
    <n v="1"/>
  </r>
  <r>
    <n v="9"/>
    <x v="9"/>
    <n v="9199767"/>
    <s v="2018-09-08"/>
    <x v="20"/>
    <s v="2018-09-10"/>
    <n v="1"/>
    <n v="1"/>
    <s v="2018-09-14"/>
    <n v="0"/>
    <s v="0390050000702520460101"/>
    <n v="1"/>
    <n v="1"/>
    <n v="1"/>
    <n v="1"/>
    <n v="100"/>
    <n v="1"/>
    <n v="0"/>
    <n v="1"/>
    <n v="0"/>
    <n v="1"/>
    <n v="1"/>
    <s v="91997670390050000702520460101"/>
    <n v="1"/>
  </r>
  <r>
    <n v="9"/>
    <x v="9"/>
    <n v="9199849"/>
    <s v="2018-09-08"/>
    <x v="20"/>
    <s v="2018-09-10"/>
    <n v="1"/>
    <n v="1"/>
    <s v="2018-09-14"/>
    <n v="0"/>
    <s v="0390050000702570430101"/>
    <n v="1"/>
    <n v="1"/>
    <n v="1"/>
    <n v="1"/>
    <n v="100"/>
    <n v="1"/>
    <n v="0"/>
    <n v="1"/>
    <n v="0"/>
    <n v="1"/>
    <n v="1"/>
    <s v="91998490390050000702570430101"/>
    <n v="1"/>
  </r>
  <r>
    <n v="9"/>
    <x v="9"/>
    <n v="9199899"/>
    <s v="2018-09-08"/>
    <x v="20"/>
    <s v="2018-09-10"/>
    <n v="1"/>
    <n v="1"/>
    <s v="2018-09-14"/>
    <n v="0"/>
    <s v="0390050000702604870101"/>
    <n v="1"/>
    <n v="1"/>
    <n v="1"/>
    <n v="1"/>
    <n v="100"/>
    <n v="1"/>
    <n v="0"/>
    <n v="1"/>
    <n v="0"/>
    <n v="1"/>
    <n v="1"/>
    <s v="91998990390050000702604870101"/>
    <n v="1"/>
  </r>
  <r>
    <n v="9"/>
    <x v="9"/>
    <n v="9199936"/>
    <s v="2018-09-08"/>
    <x v="20"/>
    <s v="2018-09-10"/>
    <n v="1"/>
    <n v="1"/>
    <s v="2018-09-14"/>
    <n v="0"/>
    <s v="0390050000702628870101"/>
    <n v="1"/>
    <n v="1"/>
    <n v="1"/>
    <n v="1"/>
    <n v="100"/>
    <n v="1"/>
    <n v="0"/>
    <n v="1"/>
    <n v="0"/>
    <n v="1"/>
    <n v="1"/>
    <s v="91999360390050000702628870101"/>
    <n v="1"/>
  </r>
  <r>
    <n v="9"/>
    <x v="9"/>
    <n v="9200007"/>
    <s v="2018-09-08"/>
    <x v="20"/>
    <s v="2018-09-10"/>
    <n v="1"/>
    <n v="1"/>
    <s v="2018-09-14"/>
    <n v="0"/>
    <s v="0390050000702686580101"/>
    <n v="1"/>
    <n v="1"/>
    <n v="1"/>
    <n v="1"/>
    <n v="100"/>
    <n v="1"/>
    <n v="0"/>
    <n v="1"/>
    <n v="0"/>
    <n v="1"/>
    <n v="1"/>
    <s v="92000070390050000702686580101"/>
    <n v="1"/>
  </r>
  <r>
    <n v="9"/>
    <x v="9"/>
    <n v="9200116"/>
    <s v="2018-09-09"/>
    <x v="10"/>
    <s v="2018-09-10"/>
    <n v="1"/>
    <n v="1"/>
    <s v="2018-09-14"/>
    <n v="0"/>
    <s v="0390050000702810250102"/>
    <n v="1"/>
    <n v="1"/>
    <n v="1"/>
    <n v="1"/>
    <n v="100"/>
    <n v="1"/>
    <n v="0"/>
    <n v="1"/>
    <n v="0"/>
    <n v="1"/>
    <n v="1"/>
    <s v="92001160390050000702810250102"/>
    <n v="1"/>
  </r>
  <r>
    <n v="9"/>
    <x v="9"/>
    <n v="9200231"/>
    <s v="2018-09-09"/>
    <x v="5"/>
    <s v="2018-09-10"/>
    <n v="1"/>
    <n v="1"/>
    <s v="2018-09-24"/>
    <n v="0"/>
    <s v="0390050000702883430101"/>
    <n v="1"/>
    <n v="1"/>
    <n v="1"/>
    <n v="1"/>
    <n v="100"/>
    <n v="1"/>
    <n v="0"/>
    <n v="1"/>
    <n v="0"/>
    <n v="1"/>
    <n v="1"/>
    <s v="92002310390050000702883430101"/>
    <n v="1"/>
  </r>
  <r>
    <n v="9"/>
    <x v="9"/>
    <n v="9200076"/>
    <s v="2018-09-09"/>
    <x v="5"/>
    <s v="2018-09-10"/>
    <n v="1"/>
    <n v="1"/>
    <s v="2018-09-24"/>
    <n v="0"/>
    <s v="0390050000702886070101"/>
    <n v="1"/>
    <n v="1"/>
    <n v="1"/>
    <n v="1"/>
    <n v="100"/>
    <n v="1"/>
    <n v="0"/>
    <n v="1"/>
    <n v="0"/>
    <n v="1"/>
    <n v="1"/>
    <s v="92000760390050000702886070101"/>
    <n v="1"/>
  </r>
  <r>
    <n v="9"/>
    <x v="9"/>
    <n v="9200176"/>
    <s v="2018-09-09"/>
    <x v="5"/>
    <s v="2018-09-10"/>
    <n v="1"/>
    <n v="1"/>
    <s v="2018-09-24"/>
    <n v="0"/>
    <s v="0390050000703017610101"/>
    <n v="1"/>
    <n v="1"/>
    <n v="1"/>
    <n v="1"/>
    <n v="100"/>
    <n v="1"/>
    <n v="0"/>
    <n v="1"/>
    <n v="0"/>
    <n v="1"/>
    <n v="1"/>
    <s v="92001760390050000703017610101"/>
    <n v="1"/>
  </r>
  <r>
    <n v="9"/>
    <x v="9"/>
    <n v="9200176"/>
    <s v="2018-09-09"/>
    <x v="16"/>
    <s v="2018-09-10"/>
    <n v="1"/>
    <n v="1"/>
    <s v="2018-09-12"/>
    <n v="0"/>
    <s v="0390050000703046810101"/>
    <n v="1"/>
    <n v="1"/>
    <n v="1"/>
    <n v="1"/>
    <n v="100"/>
    <n v="1"/>
    <n v="0"/>
    <n v="1"/>
    <n v="0"/>
    <n v="1"/>
    <n v="1"/>
    <s v="92001760390050000703046810101"/>
    <n v="1"/>
  </r>
  <r>
    <n v="9"/>
    <x v="9"/>
    <n v="9200280"/>
    <s v="2018-09-09"/>
    <x v="16"/>
    <s v="2018-09-10"/>
    <n v="1"/>
    <n v="1"/>
    <s v="2018-09-12"/>
    <n v="0"/>
    <s v="0390050000703112350101"/>
    <n v="1"/>
    <n v="1"/>
    <n v="1"/>
    <n v="1"/>
    <n v="100"/>
    <n v="1"/>
    <n v="0"/>
    <n v="1"/>
    <n v="0"/>
    <n v="1"/>
    <n v="1"/>
    <s v="92002800390050000703112350101"/>
    <n v="1"/>
  </r>
  <r>
    <n v="9"/>
    <x v="9"/>
    <n v="9200499"/>
    <s v="2018-09-10"/>
    <x v="10"/>
    <s v="2018-09-10"/>
    <n v="1"/>
    <n v="1"/>
    <s v="2018-09-14"/>
    <n v="0"/>
    <s v="0390050000703114750101"/>
    <n v="1"/>
    <n v="1"/>
    <n v="1"/>
    <n v="1"/>
    <n v="100"/>
    <n v="1"/>
    <n v="0"/>
    <n v="1"/>
    <n v="0"/>
    <n v="1"/>
    <n v="1"/>
    <s v="92004990390050000703114750101"/>
    <n v="1"/>
  </r>
  <r>
    <n v="9"/>
    <x v="9"/>
    <n v="9200499"/>
    <s v="2018-09-09"/>
    <x v="16"/>
    <s v="2018-09-10"/>
    <n v="2"/>
    <n v="2"/>
    <s v="2018-09-12"/>
    <n v="0"/>
    <s v="0390050000703121550101"/>
    <n v="2"/>
    <n v="1"/>
    <n v="1"/>
    <n v="1"/>
    <n v="100"/>
    <n v="2"/>
    <n v="0"/>
    <n v="2"/>
    <n v="0"/>
    <n v="1"/>
    <n v="1"/>
    <s v="92004990390050000703121550101"/>
    <n v="2"/>
  </r>
  <r>
    <n v="9"/>
    <x v="9"/>
    <n v="9200371"/>
    <s v="2018-09-09"/>
    <x v="5"/>
    <s v="2018-09-10"/>
    <n v="1"/>
    <n v="1"/>
    <s v="2018-09-24"/>
    <n v="0"/>
    <s v="0390050000703173390102"/>
    <n v="1"/>
    <n v="1"/>
    <n v="1"/>
    <n v="1"/>
    <n v="100"/>
    <n v="1"/>
    <n v="0"/>
    <n v="1"/>
    <n v="0"/>
    <n v="1"/>
    <n v="1"/>
    <s v="92003710390050000703173390102"/>
    <n v="1"/>
  </r>
  <r>
    <n v="9"/>
    <x v="9"/>
    <n v="9200371"/>
    <s v="2018-09-09"/>
    <x v="10"/>
    <s v="2018-09-10"/>
    <n v="1"/>
    <n v="1"/>
    <s v="2018-09-14"/>
    <n v="0"/>
    <s v="0390050000703173780104"/>
    <n v="1"/>
    <n v="1"/>
    <n v="1"/>
    <n v="1"/>
    <n v="100"/>
    <n v="1"/>
    <n v="0"/>
    <n v="1"/>
    <n v="0"/>
    <n v="1"/>
    <n v="1"/>
    <s v="92003710390050000703173780104"/>
    <n v="1"/>
  </r>
  <r>
    <n v="9"/>
    <x v="9"/>
    <n v="9200371"/>
    <s v="2018-09-09"/>
    <x v="10"/>
    <s v="2018-09-10"/>
    <n v="1"/>
    <n v="1"/>
    <s v="2018-09-14"/>
    <n v="0"/>
    <s v="0390050000703199340101"/>
    <n v="1"/>
    <n v="1"/>
    <n v="1"/>
    <n v="1"/>
    <n v="100"/>
    <n v="1"/>
    <n v="0"/>
    <n v="1"/>
    <n v="0"/>
    <n v="1"/>
    <n v="1"/>
    <s v="92003710390050000703199340101"/>
    <n v="1"/>
  </r>
  <r>
    <n v="9"/>
    <x v="9"/>
    <n v="9200410"/>
    <s v="2018-09-09"/>
    <x v="10"/>
    <s v="2018-09-10"/>
    <n v="1"/>
    <n v="1"/>
    <s v="2018-09-14"/>
    <n v="0"/>
    <s v="0390050000703213670101"/>
    <n v="1"/>
    <n v="1"/>
    <n v="1"/>
    <n v="1"/>
    <n v="100"/>
    <n v="1"/>
    <n v="0"/>
    <n v="1"/>
    <n v="0"/>
    <n v="1"/>
    <n v="1"/>
    <s v="92004100390050000703213670101"/>
    <n v="1"/>
  </r>
  <r>
    <n v="9"/>
    <x v="9"/>
    <n v="9200371"/>
    <s v="2018-09-09"/>
    <x v="20"/>
    <s v="2018-09-10"/>
    <n v="1"/>
    <n v="1"/>
    <s v="2018-09-14"/>
    <n v="0"/>
    <s v="0390050000703214060101"/>
    <n v="1"/>
    <n v="1"/>
    <n v="1"/>
    <n v="1"/>
    <n v="100"/>
    <n v="1"/>
    <n v="0"/>
    <n v="1"/>
    <n v="0"/>
    <n v="1"/>
    <n v="1"/>
    <s v="92003710390050000703214060101"/>
    <n v="1"/>
  </r>
  <r>
    <n v="9"/>
    <x v="9"/>
    <n v="9200499"/>
    <s v="2018-09-09"/>
    <x v="16"/>
    <s v="2018-09-10"/>
    <n v="1"/>
    <n v="1"/>
    <s v="2018-09-12"/>
    <n v="0"/>
    <s v="0390050000703260980101"/>
    <n v="1"/>
    <n v="1"/>
    <n v="1"/>
    <n v="1"/>
    <n v="100"/>
    <n v="1"/>
    <n v="0"/>
    <n v="1"/>
    <n v="0"/>
    <n v="1"/>
    <n v="1"/>
    <s v="92004990390050000703260980101"/>
    <n v="1"/>
  </r>
  <r>
    <n v="9"/>
    <x v="9"/>
    <n v="9200870"/>
    <s v="2018-09-10"/>
    <x v="22"/>
    <s v="2018-09-11"/>
    <n v="1"/>
    <n v="1"/>
    <s v="2018-09-26"/>
    <n v="0"/>
    <s v="0390050000703320110101"/>
    <n v="1"/>
    <n v="1"/>
    <n v="1"/>
    <n v="1"/>
    <n v="100"/>
    <n v="1"/>
    <n v="0"/>
    <n v="1"/>
    <n v="0"/>
    <n v="1"/>
    <n v="1"/>
    <s v="92008700390050000703320110101"/>
    <n v="1"/>
  </r>
  <r>
    <n v="9"/>
    <x v="9"/>
    <n v="9200499"/>
    <s v="2018-09-10"/>
    <x v="10"/>
    <s v="2018-09-10"/>
    <n v="1"/>
    <n v="1"/>
    <s v="2018-09-14"/>
    <n v="0"/>
    <s v="0390050000703424070101"/>
    <n v="1"/>
    <n v="1"/>
    <n v="1"/>
    <n v="1"/>
    <n v="100"/>
    <n v="1"/>
    <n v="0"/>
    <n v="1"/>
    <n v="0"/>
    <n v="1"/>
    <n v="1"/>
    <s v="92004990390050000703424070101"/>
    <n v="1"/>
  </r>
  <r>
    <n v="9"/>
    <x v="9"/>
    <n v="9200661"/>
    <s v="2018-09-10"/>
    <x v="10"/>
    <s v="2018-09-11"/>
    <n v="1"/>
    <n v="1"/>
    <s v="2018-09-14"/>
    <n v="0"/>
    <s v="0390050000703577310102"/>
    <n v="1"/>
    <n v="1"/>
    <n v="1"/>
    <n v="1"/>
    <n v="100"/>
    <n v="1"/>
    <n v="0"/>
    <n v="1"/>
    <n v="0"/>
    <n v="1"/>
    <n v="1"/>
    <s v="92006610390050000703577310102"/>
    <n v="1"/>
  </r>
  <r>
    <n v="9"/>
    <x v="9"/>
    <n v="9200750"/>
    <s v="2018-09-10"/>
    <x v="10"/>
    <s v="2018-09-11"/>
    <n v="1"/>
    <n v="1"/>
    <s v="2018-09-14"/>
    <n v="0"/>
    <s v="0390050000703596000101"/>
    <n v="1"/>
    <n v="1"/>
    <n v="1"/>
    <n v="1"/>
    <n v="100"/>
    <n v="1"/>
    <n v="0"/>
    <n v="1"/>
    <n v="0"/>
    <n v="1"/>
    <n v="1"/>
    <s v="92007500390050000703596000101"/>
    <n v="1"/>
  </r>
  <r>
    <n v="9"/>
    <x v="9"/>
    <n v="9200702"/>
    <s v="2018-09-10"/>
    <x v="16"/>
    <s v="2018-09-11"/>
    <n v="1"/>
    <n v="1"/>
    <s v="2018-09-12"/>
    <n v="0"/>
    <s v="0390050000703634730101"/>
    <n v="1"/>
    <n v="1"/>
    <n v="1"/>
    <n v="1"/>
    <n v="100"/>
    <n v="1"/>
    <n v="0"/>
    <n v="1"/>
    <n v="0"/>
    <n v="1"/>
    <n v="1"/>
    <s v="92007020390050000703634730101"/>
    <n v="1"/>
  </r>
  <r>
    <n v="9"/>
    <x v="9"/>
    <n v="9200702"/>
    <s v="2018-09-10"/>
    <x v="10"/>
    <s v="2018-09-11"/>
    <n v="1"/>
    <n v="1"/>
    <s v="2018-09-14"/>
    <n v="0"/>
    <s v="0390050000703642670101"/>
    <n v="1"/>
    <n v="1"/>
    <n v="1"/>
    <n v="1"/>
    <n v="100"/>
    <n v="1"/>
    <n v="0"/>
    <n v="1"/>
    <n v="0"/>
    <n v="1"/>
    <n v="1"/>
    <s v="92007020390050000703642670101"/>
    <n v="1"/>
  </r>
  <r>
    <n v="9"/>
    <x v="9"/>
    <n v="9200870"/>
    <s v="2018-09-10"/>
    <x v="16"/>
    <s v="2018-09-11"/>
    <n v="1"/>
    <n v="1"/>
    <s v="2018-09-12"/>
    <n v="0"/>
    <s v="0390050000703702280101"/>
    <n v="1"/>
    <n v="1"/>
    <n v="1"/>
    <n v="1"/>
    <n v="100"/>
    <n v="1"/>
    <n v="0"/>
    <n v="1"/>
    <n v="0"/>
    <n v="1"/>
    <n v="1"/>
    <s v="92008700390050000703702280101"/>
    <n v="1"/>
  </r>
  <r>
    <n v="9"/>
    <x v="9"/>
    <n v="9201099"/>
    <s v="2018-09-10"/>
    <x v="16"/>
    <s v="2018-09-11"/>
    <n v="1"/>
    <n v="1"/>
    <s v="2018-09-12"/>
    <n v="0"/>
    <s v="0390050000703829640101"/>
    <n v="1"/>
    <n v="1"/>
    <n v="1"/>
    <n v="1"/>
    <n v="100"/>
    <n v="1"/>
    <n v="0"/>
    <n v="1"/>
    <n v="0"/>
    <n v="1"/>
    <n v="1"/>
    <s v="92010990390050000703829640101"/>
    <n v="1"/>
  </r>
  <r>
    <n v="9"/>
    <x v="9"/>
    <n v="9201143"/>
    <s v="2018-09-10"/>
    <x v="20"/>
    <s v="2018-09-11"/>
    <n v="1"/>
    <n v="1"/>
    <s v="2018-09-14"/>
    <n v="0"/>
    <s v="0390050000703881980101"/>
    <n v="1"/>
    <n v="1"/>
    <n v="1"/>
    <n v="1"/>
    <n v="100"/>
    <n v="1"/>
    <n v="0"/>
    <n v="1"/>
    <n v="0"/>
    <n v="1"/>
    <n v="1"/>
    <s v="92011430390050000703881980101"/>
    <n v="1"/>
  </r>
  <r>
    <n v="9"/>
    <x v="9"/>
    <n v="9201537"/>
    <s v="2018-09-11"/>
    <x v="16"/>
    <s v="2018-09-12"/>
    <n v="1"/>
    <n v="1"/>
    <s v="2018-09-14"/>
    <n v="0"/>
    <s v="0390050000704007130101"/>
    <n v="1"/>
    <n v="1"/>
    <n v="0"/>
    <n v="0"/>
    <n v="100"/>
    <n v="1"/>
    <n v="0"/>
    <n v="1"/>
    <n v="0"/>
    <n v="1"/>
    <n v="0"/>
    <s v="92015370390050000704007130101"/>
    <n v="1"/>
  </r>
  <r>
    <n v="9"/>
    <x v="9"/>
    <n v="9201252"/>
    <s v="2018-09-11"/>
    <x v="10"/>
    <s v="2018-09-11"/>
    <n v="1"/>
    <n v="1"/>
    <s v="2018-09-14"/>
    <n v="0"/>
    <s v="0390050000704008370101"/>
    <n v="1"/>
    <n v="1"/>
    <n v="1"/>
    <n v="1"/>
    <n v="100"/>
    <n v="1"/>
    <n v="0"/>
    <n v="1"/>
    <n v="0"/>
    <n v="1"/>
    <n v="1"/>
    <s v="92012520390050000704008370101"/>
    <n v="1"/>
  </r>
  <r>
    <n v="9"/>
    <x v="9"/>
    <n v="9201251"/>
    <s v="2018-09-11"/>
    <x v="16"/>
    <s v="2018-09-11"/>
    <n v="1"/>
    <n v="1"/>
    <s v="2018-09-12"/>
    <n v="0"/>
    <s v="0390050000704074140101"/>
    <n v="1"/>
    <n v="1"/>
    <n v="1"/>
    <n v="1"/>
    <n v="100"/>
    <n v="1"/>
    <n v="0"/>
    <n v="1"/>
    <n v="0"/>
    <n v="1"/>
    <n v="1"/>
    <s v="92012510390050000704074140101"/>
    <n v="1"/>
  </r>
  <r>
    <n v="9"/>
    <x v="9"/>
    <n v="9201251"/>
    <s v="2018-09-11"/>
    <x v="10"/>
    <s v="2018-09-11"/>
    <n v="1"/>
    <n v="1"/>
    <s v="2018-09-14"/>
    <n v="0"/>
    <s v="0390050000704086460101"/>
    <n v="1"/>
    <n v="1"/>
    <n v="1"/>
    <n v="1"/>
    <n v="100"/>
    <n v="1"/>
    <n v="0"/>
    <n v="1"/>
    <n v="0"/>
    <n v="1"/>
    <n v="1"/>
    <s v="92012510390050000704086460101"/>
    <n v="1"/>
  </r>
  <r>
    <n v="9"/>
    <x v="9"/>
    <n v="9201326"/>
    <s v="2018-09-11"/>
    <x v="20"/>
    <s v="2018-09-12"/>
    <n v="2"/>
    <n v="2"/>
    <s v="2018-09-14"/>
    <n v="0"/>
    <s v="0390050000704120690101"/>
    <n v="2"/>
    <n v="1"/>
    <n v="1"/>
    <n v="1"/>
    <n v="100"/>
    <n v="2"/>
    <n v="0"/>
    <n v="2"/>
    <n v="0"/>
    <n v="1"/>
    <n v="1"/>
    <s v="92013260390050000704120690101"/>
    <n v="2"/>
  </r>
  <r>
    <n v="9"/>
    <x v="9"/>
    <n v="9201479"/>
    <s v="2018-09-11"/>
    <x v="5"/>
    <s v="2018-09-12"/>
    <n v="1"/>
    <n v="1"/>
    <s v="2018-09-24"/>
    <n v="0"/>
    <s v="0390050000704263160101"/>
    <n v="1"/>
    <n v="1"/>
    <n v="1"/>
    <n v="1"/>
    <n v="100"/>
    <n v="1"/>
    <n v="0"/>
    <n v="1"/>
    <n v="0"/>
    <n v="1"/>
    <n v="1"/>
    <s v="92014790390050000704263160101"/>
    <n v="1"/>
  </r>
  <r>
    <n v="9"/>
    <x v="9"/>
    <n v="9201537"/>
    <s v="2018-09-11"/>
    <x v="20"/>
    <s v="2018-09-12"/>
    <n v="1"/>
    <n v="1"/>
    <s v="2018-09-14"/>
    <n v="0"/>
    <s v="0390050000704321250101"/>
    <n v="1"/>
    <n v="1"/>
    <n v="1"/>
    <n v="1"/>
    <n v="100"/>
    <n v="1"/>
    <n v="0"/>
    <n v="1"/>
    <n v="0"/>
    <n v="1"/>
    <n v="1"/>
    <s v="92015370390050000704321250101"/>
    <n v="1"/>
  </r>
  <r>
    <n v="9"/>
    <x v="9"/>
    <n v="9201667"/>
    <s v="2018-09-11"/>
    <x v="5"/>
    <s v="2018-09-12"/>
    <n v="1"/>
    <n v="1"/>
    <s v="2018-09-24"/>
    <n v="0"/>
    <s v="0390050000704459290102"/>
    <n v="1"/>
    <n v="1"/>
    <n v="1"/>
    <n v="1"/>
    <n v="100"/>
    <n v="1"/>
    <n v="0"/>
    <n v="1"/>
    <n v="0"/>
    <n v="1"/>
    <n v="1"/>
    <s v="92016670390050000704459290102"/>
    <n v="1"/>
  </r>
  <r>
    <n v="9"/>
    <x v="9"/>
    <n v="9201719"/>
    <s v="2018-09-11"/>
    <x v="10"/>
    <s v="2018-09-12"/>
    <n v="1"/>
    <n v="1"/>
    <s v="2018-09-14"/>
    <n v="0"/>
    <s v="0390050000704469800101"/>
    <n v="1"/>
    <n v="1"/>
    <n v="1"/>
    <n v="1"/>
    <n v="100"/>
    <n v="1"/>
    <n v="0"/>
    <n v="1"/>
    <n v="0"/>
    <n v="1"/>
    <n v="1"/>
    <s v="92017190390050000704469800101"/>
    <n v="1"/>
  </r>
  <r>
    <n v="9"/>
    <x v="9"/>
    <n v="9201767"/>
    <s v="2018-09-11"/>
    <x v="5"/>
    <s v="2018-09-12"/>
    <n v="1"/>
    <n v="1"/>
    <s v="2018-09-24"/>
    <n v="0"/>
    <s v="0390050000704512440101"/>
    <n v="1"/>
    <n v="1"/>
    <n v="1"/>
    <n v="1"/>
    <n v="100"/>
    <n v="1"/>
    <n v="0"/>
    <n v="1"/>
    <n v="0"/>
    <n v="1"/>
    <n v="1"/>
    <s v="92017670390050000704512440101"/>
    <n v="1"/>
  </r>
  <r>
    <n v="9"/>
    <x v="9"/>
    <n v="9201905"/>
    <s v="2018-09-11"/>
    <x v="20"/>
    <s v="2018-09-12"/>
    <n v="1"/>
    <n v="1"/>
    <s v="2018-09-14"/>
    <n v="0"/>
    <s v="0390050000704654800101"/>
    <n v="1"/>
    <n v="1"/>
    <n v="1"/>
    <n v="1"/>
    <n v="100"/>
    <n v="1"/>
    <n v="0"/>
    <n v="1"/>
    <n v="0"/>
    <n v="1"/>
    <n v="1"/>
    <s v="92019050390050000704654800101"/>
    <n v="1"/>
  </r>
  <r>
    <n v="9"/>
    <x v="9"/>
    <n v="9202002"/>
    <s v="2018-09-12"/>
    <x v="16"/>
    <s v="2018-09-13"/>
    <n v="1"/>
    <n v="1"/>
    <s v="2018-09-14"/>
    <n v="0"/>
    <s v="0390050000704690510101"/>
    <n v="1"/>
    <n v="1"/>
    <n v="0"/>
    <n v="0"/>
    <n v="100"/>
    <n v="1"/>
    <n v="0"/>
    <n v="1"/>
    <n v="0"/>
    <n v="1"/>
    <n v="0"/>
    <s v="92020020390050000704690510101"/>
    <n v="1"/>
  </r>
  <r>
    <n v="9"/>
    <x v="9"/>
    <n v="9201905"/>
    <s v="2018-09-12"/>
    <x v="16"/>
    <s v="2018-09-12"/>
    <n v="1"/>
    <n v="1"/>
    <s v="2018-09-14"/>
    <n v="0"/>
    <s v="0390050000704725230101"/>
    <n v="1"/>
    <n v="1"/>
    <n v="0"/>
    <n v="0"/>
    <n v="100"/>
    <n v="1"/>
    <n v="0"/>
    <n v="1"/>
    <n v="0"/>
    <n v="1"/>
    <n v="0"/>
    <s v="92019050390050000704725230101"/>
    <n v="1"/>
  </r>
  <r>
    <n v="9"/>
    <x v="9"/>
    <n v="9202247"/>
    <s v="2018-09-12"/>
    <x v="5"/>
    <s v="2018-09-13"/>
    <n v="1"/>
    <n v="1"/>
    <s v="2018-09-24"/>
    <n v="0"/>
    <s v="0390050000705091830102"/>
    <n v="1"/>
    <n v="1"/>
    <n v="1"/>
    <n v="1"/>
    <n v="100"/>
    <n v="1"/>
    <n v="0"/>
    <n v="1"/>
    <n v="0"/>
    <n v="1"/>
    <n v="1"/>
    <s v="92022470390050000705091830102"/>
    <n v="1"/>
  </r>
  <r>
    <n v="9"/>
    <x v="9"/>
    <n v="9202477"/>
    <s v="2018-09-12"/>
    <x v="20"/>
    <s v="2018-09-13"/>
    <n v="1"/>
    <n v="1"/>
    <s v="2018-09-14"/>
    <n v="0"/>
    <s v="0390050000705249390101"/>
    <n v="1"/>
    <n v="1"/>
    <n v="1"/>
    <n v="1"/>
    <n v="100"/>
    <n v="1"/>
    <n v="0"/>
    <n v="1"/>
    <n v="0"/>
    <n v="1"/>
    <n v="1"/>
    <s v="92024770390050000705249390101"/>
    <n v="1"/>
  </r>
  <r>
    <n v="9"/>
    <x v="9"/>
    <n v="9202694"/>
    <s v="2018-09-13"/>
    <x v="5"/>
    <s v="2018-09-14"/>
    <n v="1"/>
    <n v="1"/>
    <s v="2018-09-24"/>
    <n v="0"/>
    <s v="0390050000705366940102"/>
    <n v="1"/>
    <n v="1"/>
    <n v="1"/>
    <n v="1"/>
    <n v="100"/>
    <n v="1"/>
    <n v="0"/>
    <n v="1"/>
    <n v="0"/>
    <n v="1"/>
    <n v="1"/>
    <s v="92026940390050000705366940102"/>
    <n v="1"/>
  </r>
  <r>
    <n v="9"/>
    <x v="9"/>
    <n v="9202661"/>
    <s v="2018-09-13"/>
    <x v="10"/>
    <s v="2018-09-14"/>
    <n v="1"/>
    <n v="1"/>
    <s v="2018-09-21"/>
    <n v="0"/>
    <s v="0390050000705391160101"/>
    <n v="1"/>
    <n v="1"/>
    <n v="1"/>
    <n v="1"/>
    <n v="100"/>
    <n v="1"/>
    <n v="0"/>
    <n v="1"/>
    <n v="0"/>
    <n v="1"/>
    <n v="1"/>
    <s v="92026610390050000705391160101"/>
    <n v="1"/>
  </r>
  <r>
    <n v="9"/>
    <x v="9"/>
    <n v="9202565"/>
    <s v="2018-09-13"/>
    <x v="20"/>
    <s v="2018-09-13"/>
    <n v="1"/>
    <n v="1"/>
    <s v="2018-09-14"/>
    <n v="0"/>
    <s v="0390050000705438010101"/>
    <n v="1"/>
    <n v="1"/>
    <n v="1"/>
    <n v="1"/>
    <n v="100"/>
    <n v="1"/>
    <n v="0"/>
    <n v="1"/>
    <n v="0"/>
    <n v="1"/>
    <n v="1"/>
    <s v="92025650390050000705438010101"/>
    <n v="1"/>
  </r>
  <r>
    <n v="9"/>
    <x v="9"/>
    <n v="9202693"/>
    <s v="2018-09-13"/>
    <x v="20"/>
    <s v="2018-09-14"/>
    <n v="1"/>
    <n v="1"/>
    <s v="2018-09-21"/>
    <n v="0"/>
    <s v="0390050000705550600101"/>
    <n v="1"/>
    <n v="1"/>
    <n v="0"/>
    <n v="0"/>
    <n v="100"/>
    <n v="1"/>
    <n v="0"/>
    <n v="1"/>
    <n v="0"/>
    <n v="1"/>
    <n v="0"/>
    <s v="92026930390050000705550600101"/>
    <n v="1"/>
  </r>
  <r>
    <n v="9"/>
    <x v="9"/>
    <n v="9202764"/>
    <s v="2018-09-13"/>
    <x v="20"/>
    <s v="2018-09-14"/>
    <n v="1"/>
    <n v="1"/>
    <s v="2018-09-21"/>
    <n v="0"/>
    <s v="0390050000705582900101"/>
    <n v="1"/>
    <n v="1"/>
    <n v="0"/>
    <n v="0"/>
    <n v="100"/>
    <n v="1"/>
    <n v="0"/>
    <n v="1"/>
    <n v="0"/>
    <n v="1"/>
    <n v="0"/>
    <s v="92027640390050000705582900101"/>
    <n v="1"/>
  </r>
  <r>
    <n v="9"/>
    <x v="9"/>
    <n v="9202990"/>
    <s v="2018-09-13"/>
    <x v="22"/>
    <s v="2018-09-14"/>
    <n v="1"/>
    <n v="1"/>
    <s v="2018-09-26"/>
    <n v="0"/>
    <s v="0390050000705785030101"/>
    <n v="1"/>
    <n v="1"/>
    <n v="1"/>
    <n v="1"/>
    <n v="100"/>
    <n v="1"/>
    <n v="0"/>
    <n v="1"/>
    <n v="0"/>
    <n v="1"/>
    <n v="1"/>
    <s v="92029900390050000705785030101"/>
    <n v="1"/>
  </r>
  <r>
    <n v="9"/>
    <x v="9"/>
    <n v="9203107"/>
    <s v="2018-09-13"/>
    <x v="22"/>
    <s v="2018-09-14"/>
    <n v="1"/>
    <n v="1"/>
    <s v="2018-09-26"/>
    <n v="0"/>
    <s v="0390050000705844950101"/>
    <n v="1"/>
    <n v="1"/>
    <n v="1"/>
    <n v="1"/>
    <n v="100"/>
    <n v="1"/>
    <n v="0"/>
    <n v="1"/>
    <n v="0"/>
    <n v="1"/>
    <n v="1"/>
    <s v="92031070390050000705844950101"/>
    <n v="1"/>
  </r>
  <r>
    <n v="9"/>
    <x v="9"/>
    <n v="9203325"/>
    <s v="2018-09-14"/>
    <x v="5"/>
    <s v="2018-09-20"/>
    <n v="1"/>
    <n v="1"/>
    <s v="2018-09-24"/>
    <n v="0"/>
    <s v="0390050000705988130103"/>
    <n v="1"/>
    <n v="1"/>
    <n v="1"/>
    <n v="1"/>
    <n v="100"/>
    <n v="1"/>
    <n v="0"/>
    <n v="1"/>
    <n v="0"/>
    <n v="1"/>
    <n v="1"/>
    <s v="92033250390050000705988130103"/>
    <n v="1"/>
  </r>
  <r>
    <n v="9"/>
    <x v="9"/>
    <n v="9203264"/>
    <s v="2018-09-14"/>
    <x v="10"/>
    <s v="2018-09-20"/>
    <n v="1"/>
    <n v="1"/>
    <s v="2018-09-21"/>
    <n v="0"/>
    <s v="0390050000706078210101"/>
    <n v="1"/>
    <n v="1"/>
    <n v="1"/>
    <n v="1"/>
    <n v="100"/>
    <n v="1"/>
    <n v="0"/>
    <n v="1"/>
    <n v="0"/>
    <n v="1"/>
    <n v="1"/>
    <s v="92032640390050000706078210101"/>
    <n v="1"/>
  </r>
  <r>
    <n v="9"/>
    <x v="9"/>
    <n v="9203264"/>
    <s v="2018-09-14"/>
    <x v="22"/>
    <s v="2018-09-20"/>
    <n v="1"/>
    <n v="1"/>
    <s v="2018-09-26"/>
    <n v="0"/>
    <s v="0390050000706080530101"/>
    <n v="1"/>
    <n v="1"/>
    <n v="1"/>
    <n v="1"/>
    <n v="100"/>
    <n v="1"/>
    <n v="0"/>
    <n v="1"/>
    <n v="0"/>
    <n v="1"/>
    <n v="1"/>
    <s v="92032640390050000706080530101"/>
    <n v="1"/>
  </r>
  <r>
    <n v="9"/>
    <x v="9"/>
    <n v="9203441"/>
    <s v="2018-09-14"/>
    <x v="10"/>
    <s v="2018-09-20"/>
    <n v="1"/>
    <n v="1"/>
    <s v="2018-09-21"/>
    <n v="0"/>
    <s v="0390050000706133650101"/>
    <n v="1"/>
    <n v="1"/>
    <n v="1"/>
    <n v="1"/>
    <n v="100"/>
    <n v="1"/>
    <n v="0"/>
    <n v="1"/>
    <n v="0"/>
    <n v="1"/>
    <n v="1"/>
    <s v="92034410390050000706133650101"/>
    <n v="1"/>
  </r>
  <r>
    <n v="9"/>
    <x v="9"/>
    <n v="9203356"/>
    <s v="2018-09-14"/>
    <x v="10"/>
    <s v="2018-09-20"/>
    <n v="1"/>
    <n v="1"/>
    <s v="2018-09-21"/>
    <n v="0"/>
    <s v="0390050000706177670101"/>
    <n v="1"/>
    <n v="1"/>
    <n v="1"/>
    <n v="1"/>
    <n v="100"/>
    <n v="1"/>
    <n v="0"/>
    <n v="1"/>
    <n v="0"/>
    <n v="1"/>
    <n v="1"/>
    <s v="92033560390050000706177670101"/>
    <n v="1"/>
  </r>
  <r>
    <n v="9"/>
    <x v="9"/>
    <n v="9203406"/>
    <s v="2018-09-14"/>
    <x v="5"/>
    <s v="2018-09-20"/>
    <n v="1"/>
    <n v="1"/>
    <s v="2018-09-24"/>
    <n v="0"/>
    <s v="0390050000706219110101"/>
    <n v="1"/>
    <n v="1"/>
    <n v="1"/>
    <n v="1"/>
    <n v="100"/>
    <n v="1"/>
    <n v="0"/>
    <n v="1"/>
    <n v="0"/>
    <n v="1"/>
    <n v="1"/>
    <s v="92034060390050000706219110101"/>
    <n v="1"/>
  </r>
  <r>
    <n v="9"/>
    <x v="9"/>
    <n v="9203490"/>
    <s v="2018-09-14"/>
    <x v="5"/>
    <s v="2018-09-20"/>
    <n v="1"/>
    <n v="1"/>
    <s v="2018-09-24"/>
    <n v="0"/>
    <s v="0390050000706253050101"/>
    <n v="1"/>
    <n v="1"/>
    <n v="1"/>
    <n v="1"/>
    <n v="100"/>
    <n v="1"/>
    <n v="0"/>
    <n v="1"/>
    <n v="0"/>
    <n v="1"/>
    <n v="1"/>
    <s v="92034900390050000706253050101"/>
    <n v="1"/>
  </r>
  <r>
    <n v="9"/>
    <x v="9"/>
    <n v="9203556"/>
    <s v="2018-09-15"/>
    <x v="5"/>
    <s v="2018-09-20"/>
    <n v="2"/>
    <n v="2"/>
    <s v="2018-09-24"/>
    <n v="0"/>
    <s v="0390050000706373780101"/>
    <n v="2"/>
    <n v="1"/>
    <n v="1"/>
    <n v="1"/>
    <n v="100"/>
    <n v="2"/>
    <n v="0"/>
    <n v="2"/>
    <n v="0"/>
    <n v="1"/>
    <n v="1"/>
    <s v="92035560390050000706373780101"/>
    <n v="2"/>
  </r>
  <r>
    <n v="9"/>
    <x v="9"/>
    <n v="9203592"/>
    <s v="2018-09-15"/>
    <x v="5"/>
    <s v="2018-09-20"/>
    <n v="1"/>
    <n v="1"/>
    <s v="2018-09-24"/>
    <n v="0"/>
    <s v="0390050000706395810101"/>
    <n v="1"/>
    <n v="1"/>
    <n v="1"/>
    <n v="1"/>
    <n v="100"/>
    <n v="1"/>
    <n v="0"/>
    <n v="1"/>
    <n v="0"/>
    <n v="1"/>
    <n v="1"/>
    <s v="92035920390050000706395810101"/>
    <n v="1"/>
  </r>
  <r>
    <n v="9"/>
    <x v="9"/>
    <n v="9203746"/>
    <s v="2018-09-15"/>
    <x v="10"/>
    <s v="2018-09-20"/>
    <n v="1"/>
    <n v="1"/>
    <s v="2018-09-21"/>
    <n v="0"/>
    <s v="0390050000706591910101"/>
    <n v="1"/>
    <n v="1"/>
    <n v="1"/>
    <n v="1"/>
    <n v="100"/>
    <n v="1"/>
    <n v="0"/>
    <n v="1"/>
    <n v="0"/>
    <n v="1"/>
    <n v="1"/>
    <s v="92037460390050000706591910101"/>
    <n v="1"/>
  </r>
  <r>
    <n v="9"/>
    <x v="9"/>
    <n v="9203819"/>
    <s v="2018-09-15"/>
    <x v="22"/>
    <s v="2018-09-20"/>
    <n v="1"/>
    <n v="1"/>
    <s v="2018-09-26"/>
    <n v="0"/>
    <s v="0390050000706681600101"/>
    <n v="1"/>
    <n v="1"/>
    <n v="1"/>
    <n v="1"/>
    <n v="100"/>
    <n v="1"/>
    <n v="0"/>
    <n v="1"/>
    <n v="0"/>
    <n v="1"/>
    <n v="1"/>
    <s v="92038190390050000706681600101"/>
    <n v="1"/>
  </r>
  <r>
    <n v="9"/>
    <x v="9"/>
    <n v="9203879"/>
    <s v="2018-09-16"/>
    <x v="10"/>
    <s v="2018-09-20"/>
    <n v="1"/>
    <n v="1"/>
    <s v="2018-09-21"/>
    <n v="0"/>
    <s v="0390050000706699620101"/>
    <n v="1"/>
    <n v="1"/>
    <n v="1"/>
    <n v="1"/>
    <n v="100"/>
    <n v="1"/>
    <n v="0"/>
    <n v="1"/>
    <n v="0"/>
    <n v="1"/>
    <n v="1"/>
    <s v="92038790390050000706699620101"/>
    <n v="1"/>
  </r>
  <r>
    <n v="9"/>
    <x v="9"/>
    <n v="9203850"/>
    <s v="2018-09-16"/>
    <x v="10"/>
    <s v="2018-09-20"/>
    <n v="1"/>
    <n v="1"/>
    <s v="2018-09-21"/>
    <n v="0"/>
    <s v="0390050000706747350101"/>
    <n v="1"/>
    <n v="1"/>
    <n v="1"/>
    <n v="1"/>
    <n v="100"/>
    <n v="1"/>
    <n v="0"/>
    <n v="1"/>
    <n v="0"/>
    <n v="1"/>
    <n v="1"/>
    <s v="92038500390050000706747350101"/>
    <n v="1"/>
  </r>
  <r>
    <n v="9"/>
    <x v="9"/>
    <n v="9203971"/>
    <s v="2018-09-16"/>
    <x v="22"/>
    <s v="2018-09-20"/>
    <n v="1"/>
    <n v="1"/>
    <s v="2018-09-26"/>
    <n v="0"/>
    <s v="0390050000706843230101"/>
    <n v="1"/>
    <n v="1"/>
    <n v="1"/>
    <n v="1"/>
    <n v="100"/>
    <n v="1"/>
    <n v="0"/>
    <n v="1"/>
    <n v="0"/>
    <n v="1"/>
    <n v="1"/>
    <s v="92039710390050000706843230101"/>
    <n v="1"/>
  </r>
  <r>
    <n v="9"/>
    <x v="9"/>
    <n v="9203971"/>
    <s v="2018-09-16"/>
    <x v="22"/>
    <s v="2018-09-20"/>
    <n v="1"/>
    <n v="1"/>
    <s v="2018-09-26"/>
    <n v="0"/>
    <s v="0390050000706933980101"/>
    <n v="1"/>
    <n v="1"/>
    <n v="1"/>
    <n v="1"/>
    <n v="100"/>
    <n v="1"/>
    <n v="0"/>
    <n v="1"/>
    <n v="0"/>
    <n v="1"/>
    <n v="1"/>
    <s v="92039710390050000706933980101"/>
    <n v="1"/>
  </r>
  <r>
    <n v="9"/>
    <x v="9"/>
    <n v="9204006"/>
    <s v="2018-09-16"/>
    <x v="10"/>
    <s v="2018-09-20"/>
    <n v="1"/>
    <n v="1"/>
    <s v="2018-09-21"/>
    <n v="0"/>
    <s v="0390050000706963810101"/>
    <n v="1"/>
    <n v="1"/>
    <n v="1"/>
    <n v="1"/>
    <n v="100"/>
    <n v="1"/>
    <n v="0"/>
    <n v="1"/>
    <n v="0"/>
    <n v="1"/>
    <n v="1"/>
    <s v="92040060390050000706963810101"/>
    <n v="1"/>
  </r>
  <r>
    <n v="9"/>
    <x v="9"/>
    <n v="9204167"/>
    <s v="2018-09-16"/>
    <x v="22"/>
    <s v="2018-09-20"/>
    <n v="1"/>
    <n v="1"/>
    <s v="2018-09-26"/>
    <n v="0"/>
    <s v="0390050000706968560102"/>
    <n v="1"/>
    <n v="1"/>
    <n v="1"/>
    <n v="1"/>
    <n v="100"/>
    <n v="1"/>
    <n v="0"/>
    <n v="1"/>
    <n v="0"/>
    <n v="1"/>
    <n v="1"/>
    <s v="92041670390050000706968560102"/>
    <n v="1"/>
  </r>
  <r>
    <n v="9"/>
    <x v="9"/>
    <n v="9204006"/>
    <s v="2018-09-16"/>
    <x v="22"/>
    <s v="2018-09-20"/>
    <n v="1"/>
    <n v="1"/>
    <s v="2018-09-26"/>
    <n v="0"/>
    <s v="0390050000706974680101"/>
    <n v="1"/>
    <n v="1"/>
    <n v="1"/>
    <n v="1"/>
    <n v="100"/>
    <n v="1"/>
    <n v="0"/>
    <n v="1"/>
    <n v="0"/>
    <n v="1"/>
    <n v="1"/>
    <s v="92040060390050000706974680101"/>
    <n v="1"/>
  </r>
  <r>
    <n v="9"/>
    <x v="9"/>
    <n v="9204216"/>
    <s v="2018-09-17"/>
    <x v="10"/>
    <s v="2018-09-20"/>
    <n v="1"/>
    <n v="1"/>
    <s v="2018-09-21"/>
    <n v="0"/>
    <s v="0390050000707153870101"/>
    <n v="1"/>
    <n v="1"/>
    <n v="1"/>
    <n v="1"/>
    <n v="100"/>
    <n v="1"/>
    <n v="0"/>
    <n v="1"/>
    <n v="0"/>
    <n v="1"/>
    <n v="1"/>
    <s v="92042160390050000707153870101"/>
    <n v="1"/>
  </r>
  <r>
    <n v="9"/>
    <x v="9"/>
    <n v="9204433"/>
    <s v="2018-09-17"/>
    <x v="22"/>
    <s v="2018-09-20"/>
    <n v="1"/>
    <n v="1"/>
    <s v="2018-09-26"/>
    <n v="0"/>
    <s v="0390050000707393610103"/>
    <n v="1"/>
    <n v="1"/>
    <n v="1"/>
    <n v="1"/>
    <n v="100"/>
    <n v="1"/>
    <n v="0"/>
    <n v="1"/>
    <n v="0"/>
    <n v="1"/>
    <n v="1"/>
    <s v="92044330390050000707393610103"/>
    <n v="1"/>
  </r>
  <r>
    <n v="9"/>
    <x v="9"/>
    <n v="9204465"/>
    <s v="2018-09-18"/>
    <x v="10"/>
    <s v="2018-09-20"/>
    <n v="1"/>
    <n v="1"/>
    <s v="2018-09-21"/>
    <n v="0"/>
    <s v="0390050000707471210101"/>
    <n v="1"/>
    <n v="1"/>
    <n v="1"/>
    <n v="1"/>
    <n v="100"/>
    <n v="1"/>
    <n v="0"/>
    <n v="1"/>
    <n v="0"/>
    <n v="1"/>
    <n v="1"/>
    <s v="92044650390050000707471210101"/>
    <n v="1"/>
  </r>
  <r>
    <n v="9"/>
    <x v="9"/>
    <n v="9204556"/>
    <s v="2018-09-18"/>
    <x v="5"/>
    <s v="2018-09-20"/>
    <n v="1"/>
    <n v="1"/>
    <s v="2018-09-24"/>
    <n v="0"/>
    <s v="0390050000707686400102"/>
    <n v="1"/>
    <n v="1"/>
    <n v="1"/>
    <n v="1"/>
    <n v="100"/>
    <n v="1"/>
    <n v="0"/>
    <n v="1"/>
    <n v="0"/>
    <n v="1"/>
    <n v="1"/>
    <s v="92045560390050000707686400102"/>
    <n v="1"/>
  </r>
  <r>
    <n v="9"/>
    <x v="9"/>
    <n v="9204574"/>
    <s v="2018-09-18"/>
    <x v="10"/>
    <s v="2018-09-20"/>
    <n v="1"/>
    <n v="1"/>
    <s v="2018-09-21"/>
    <n v="0"/>
    <s v="0390050000707701800101"/>
    <n v="1"/>
    <n v="1"/>
    <n v="1"/>
    <n v="1"/>
    <n v="100"/>
    <n v="1"/>
    <n v="0"/>
    <n v="1"/>
    <n v="0"/>
    <n v="1"/>
    <n v="1"/>
    <s v="92045740390050000707701800101"/>
    <n v="1"/>
  </r>
  <r>
    <n v="9"/>
    <x v="9"/>
    <n v="9204773"/>
    <s v="2018-09-20"/>
    <x v="22"/>
    <s v="2018-09-21"/>
    <n v="1"/>
    <n v="1"/>
    <s v="2018-09-26"/>
    <n v="0"/>
    <s v="0390050000707719640101"/>
    <n v="1"/>
    <n v="1"/>
    <n v="1"/>
    <n v="1"/>
    <n v="100"/>
    <n v="1"/>
    <n v="0"/>
    <n v="1"/>
    <n v="0"/>
    <n v="1"/>
    <n v="1"/>
    <s v="92047730390050000707719640101"/>
    <n v="1"/>
  </r>
  <r>
    <n v="9"/>
    <x v="9"/>
    <n v="9204607"/>
    <s v="2018-09-18"/>
    <x v="10"/>
    <s v="2018-09-20"/>
    <n v="1"/>
    <n v="1"/>
    <s v="2018-09-21"/>
    <n v="0"/>
    <s v="0390050000707761910101"/>
    <n v="1"/>
    <n v="1"/>
    <n v="1"/>
    <n v="1"/>
    <n v="100"/>
    <n v="1"/>
    <n v="0"/>
    <n v="1"/>
    <n v="0"/>
    <n v="1"/>
    <n v="1"/>
    <s v="92046070390050000707761910101"/>
    <n v="1"/>
  </r>
  <r>
    <n v="9"/>
    <x v="9"/>
    <n v="9204708"/>
    <s v="2018-09-19"/>
    <x v="10"/>
    <s v="2018-09-20"/>
    <n v="1"/>
    <n v="1"/>
    <s v="2018-09-21"/>
    <n v="0"/>
    <s v="0390050000708057120101"/>
    <n v="1"/>
    <n v="1"/>
    <n v="1"/>
    <n v="1"/>
    <n v="100"/>
    <n v="1"/>
    <n v="0"/>
    <n v="1"/>
    <n v="0"/>
    <n v="1"/>
    <n v="1"/>
    <s v="92047080390050000708057120101"/>
    <n v="1"/>
  </r>
  <r>
    <n v="9"/>
    <x v="9"/>
    <n v="9204773"/>
    <s v="2018-09-19"/>
    <x v="22"/>
    <s v="2018-09-21"/>
    <n v="1"/>
    <n v="1"/>
    <s v="2018-09-26"/>
    <n v="0"/>
    <s v="0390050000708141220102"/>
    <n v="1"/>
    <n v="1"/>
    <n v="1"/>
    <n v="1"/>
    <n v="100"/>
    <n v="1"/>
    <n v="0"/>
    <n v="1"/>
    <n v="0"/>
    <n v="1"/>
    <n v="1"/>
    <s v="92047730390050000708141220102"/>
    <n v="1"/>
  </r>
  <r>
    <n v="9"/>
    <x v="9"/>
    <n v="9205448"/>
    <s v="2018-09-21"/>
    <x v="22"/>
    <s v="2018-09-21"/>
    <n v="1"/>
    <n v="1"/>
    <s v="2018-09-26"/>
    <n v="0"/>
    <s v="0390050000708159070101"/>
    <n v="1"/>
    <n v="1"/>
    <n v="1"/>
    <n v="1"/>
    <n v="100"/>
    <n v="1"/>
    <n v="0"/>
    <n v="1"/>
    <n v="0"/>
    <n v="1"/>
    <n v="1"/>
    <s v="92054480390050000708159070101"/>
    <n v="1"/>
  </r>
  <r>
    <n v="9"/>
    <x v="9"/>
    <n v="9204773"/>
    <s v="2018-09-20"/>
    <x v="22"/>
    <s v="2018-09-21"/>
    <n v="1"/>
    <n v="1"/>
    <s v="2018-09-26"/>
    <n v="0"/>
    <s v="0390050000708185990101"/>
    <n v="1"/>
    <n v="1"/>
    <n v="1"/>
    <n v="1"/>
    <n v="100"/>
    <n v="1"/>
    <n v="0"/>
    <n v="1"/>
    <n v="0"/>
    <n v="1"/>
    <n v="1"/>
    <s v="92047730390050000708185990101"/>
    <n v="1"/>
  </r>
  <r>
    <n v="9"/>
    <x v="9"/>
    <n v="9204870"/>
    <s v="2018-09-20"/>
    <x v="22"/>
    <s v="2018-09-21"/>
    <n v="1"/>
    <n v="1"/>
    <s v="2018-09-26"/>
    <n v="0"/>
    <s v="0390050000708305740101"/>
    <n v="1"/>
    <n v="1"/>
    <n v="1"/>
    <n v="1"/>
    <n v="100"/>
    <n v="1"/>
    <n v="0"/>
    <n v="1"/>
    <n v="0"/>
    <n v="1"/>
    <n v="1"/>
    <s v="92048700390050000708305740101"/>
    <n v="1"/>
  </r>
  <r>
    <n v="9"/>
    <x v="9"/>
    <n v="9205323"/>
    <s v="2018-09-20"/>
    <x v="22"/>
    <s v="2018-09-21"/>
    <n v="1"/>
    <n v="1"/>
    <s v="2018-09-26"/>
    <n v="0"/>
    <s v="0390050000708398760101"/>
    <n v="1"/>
    <n v="1"/>
    <n v="1"/>
    <n v="1"/>
    <n v="100"/>
    <n v="1"/>
    <n v="0"/>
    <n v="1"/>
    <n v="0"/>
    <n v="1"/>
    <n v="1"/>
    <s v="92053230390050000708398760101"/>
    <n v="1"/>
  </r>
  <r>
    <n v="9"/>
    <x v="9"/>
    <n v="9205127"/>
    <s v="2018-09-20"/>
    <x v="22"/>
    <s v="2018-09-21"/>
    <n v="1"/>
    <n v="1"/>
    <s v="2018-09-26"/>
    <n v="0"/>
    <s v="0390050000708442440103"/>
    <n v="1"/>
    <n v="1"/>
    <n v="1"/>
    <n v="1"/>
    <n v="100"/>
    <n v="1"/>
    <n v="0"/>
    <n v="1"/>
    <n v="0"/>
    <n v="1"/>
    <n v="1"/>
    <s v="92051270390050000708442440103"/>
    <n v="1"/>
  </r>
  <r>
    <n v="9"/>
    <x v="9"/>
    <n v="9205448"/>
    <s v="2018-09-20"/>
    <x v="22"/>
    <s v="2018-09-21"/>
    <n v="1"/>
    <n v="1"/>
    <s v="2018-09-26"/>
    <n v="0"/>
    <s v="0390050000708620470101"/>
    <n v="1"/>
    <n v="1"/>
    <n v="1"/>
    <n v="1"/>
    <n v="100"/>
    <n v="1"/>
    <n v="0"/>
    <n v="1"/>
    <n v="0"/>
    <n v="1"/>
    <n v="1"/>
    <s v="92054480390050000708620470101"/>
    <n v="1"/>
  </r>
  <r>
    <n v="9"/>
    <x v="9"/>
    <n v="9205650"/>
    <s v="2018-09-21"/>
    <x v="22"/>
    <s v="2018-09-24"/>
    <n v="1"/>
    <n v="1"/>
    <s v="2018-09-26"/>
    <n v="0"/>
    <s v="0390050000708816330101"/>
    <n v="1"/>
    <n v="1"/>
    <n v="1"/>
    <n v="1"/>
    <n v="100"/>
    <n v="1"/>
    <n v="0"/>
    <n v="1"/>
    <n v="0"/>
    <n v="1"/>
    <n v="1"/>
    <s v="92056500390050000708816330101"/>
    <n v="1"/>
  </r>
  <r>
    <n v="9"/>
    <x v="9"/>
    <n v="9205691"/>
    <s v="2018-09-21"/>
    <x v="22"/>
    <s v="2018-09-24"/>
    <n v="1"/>
    <n v="1"/>
    <s v="2018-09-26"/>
    <n v="0"/>
    <s v="0390050000708820210101"/>
    <n v="1"/>
    <n v="1"/>
    <n v="1"/>
    <n v="1"/>
    <n v="100"/>
    <n v="1"/>
    <n v="0"/>
    <n v="1"/>
    <n v="0"/>
    <n v="1"/>
    <n v="1"/>
    <s v="92056910390050000708820210101"/>
    <n v="1"/>
  </r>
  <r>
    <n v="9"/>
    <x v="9"/>
    <n v="9205691"/>
    <s v="2018-09-21"/>
    <x v="22"/>
    <s v="2018-09-24"/>
    <n v="1"/>
    <n v="1"/>
    <s v="2018-09-26"/>
    <n v="0"/>
    <s v="0390050000708840840101"/>
    <n v="1"/>
    <n v="1"/>
    <n v="1"/>
    <n v="1"/>
    <n v="100"/>
    <n v="1"/>
    <n v="0"/>
    <n v="1"/>
    <n v="0"/>
    <n v="1"/>
    <n v="1"/>
    <s v="92056910390050000708840840101"/>
    <n v="1"/>
  </r>
  <r>
    <n v="9"/>
    <x v="9"/>
    <n v="9205901"/>
    <s v="2018-09-21"/>
    <x v="22"/>
    <s v="2018-09-24"/>
    <n v="1"/>
    <n v="1"/>
    <s v="2018-09-26"/>
    <n v="0"/>
    <s v="0390050000708984030102"/>
    <n v="1"/>
    <n v="1"/>
    <n v="1"/>
    <n v="1"/>
    <n v="100"/>
    <n v="1"/>
    <n v="0"/>
    <n v="1"/>
    <n v="0"/>
    <n v="1"/>
    <n v="1"/>
    <s v="92059010390050000708984030102"/>
    <n v="1"/>
  </r>
  <r>
    <n v="9"/>
    <x v="9"/>
    <n v="9206012"/>
    <s v="2018-09-21"/>
    <x v="22"/>
    <s v="2018-09-24"/>
    <n v="1"/>
    <n v="1"/>
    <s v="2018-09-26"/>
    <n v="0"/>
    <s v="0390050000709027820101"/>
    <n v="1"/>
    <n v="1"/>
    <n v="1"/>
    <n v="1"/>
    <n v="100"/>
    <n v="1"/>
    <n v="0"/>
    <n v="1"/>
    <n v="0"/>
    <n v="1"/>
    <n v="1"/>
    <s v="92060120390050000709027820101"/>
    <n v="1"/>
  </r>
  <r>
    <n v="9"/>
    <x v="9"/>
    <n v="9206176"/>
    <s v="2018-09-22"/>
    <x v="22"/>
    <s v="2018-09-24"/>
    <n v="1"/>
    <n v="1"/>
    <s v="2018-09-26"/>
    <n v="0"/>
    <s v="0390050000709251710101"/>
    <n v="1"/>
    <n v="1"/>
    <n v="1"/>
    <n v="1"/>
    <n v="100"/>
    <n v="1"/>
    <n v="0"/>
    <n v="1"/>
    <n v="0"/>
    <n v="1"/>
    <n v="1"/>
    <s v="92061760390050000709251710101"/>
    <n v="1"/>
  </r>
  <r>
    <n v="9"/>
    <x v="9"/>
    <n v="9206176"/>
    <s v="2018-09-22"/>
    <x v="22"/>
    <s v="2018-09-24"/>
    <n v="1"/>
    <n v="1"/>
    <s v="2018-09-26"/>
    <n v="0"/>
    <s v="0390050000709252950101"/>
    <n v="1"/>
    <n v="1"/>
    <n v="1"/>
    <n v="1"/>
    <n v="100"/>
    <n v="1"/>
    <n v="0"/>
    <n v="1"/>
    <n v="0"/>
    <n v="1"/>
    <n v="1"/>
    <s v="92061760390050000709252950101"/>
    <n v="1"/>
  </r>
  <r>
    <n v="9"/>
    <x v="9"/>
    <n v="9206236"/>
    <s v="2018-09-22"/>
    <x v="22"/>
    <s v="2018-09-24"/>
    <n v="1"/>
    <n v="1"/>
    <s v="2018-09-26"/>
    <n v="0"/>
    <s v="0390050000709284840101"/>
    <n v="1"/>
    <n v="1"/>
    <n v="1"/>
    <n v="1"/>
    <n v="100"/>
    <n v="1"/>
    <n v="0"/>
    <n v="1"/>
    <n v="0"/>
    <n v="1"/>
    <n v="1"/>
    <s v="92062360390050000709284840101"/>
    <n v="1"/>
  </r>
  <r>
    <n v="9"/>
    <x v="9"/>
    <n v="9206490"/>
    <s v="2018-09-23"/>
    <x v="22"/>
    <s v="2018-09-24"/>
    <n v="1"/>
    <n v="1"/>
    <s v="2018-09-26"/>
    <n v="0"/>
    <s v="0390050000709468150101"/>
    <n v="1"/>
    <n v="1"/>
    <n v="1"/>
    <n v="1"/>
    <n v="100"/>
    <n v="1"/>
    <n v="0"/>
    <n v="1"/>
    <n v="0"/>
    <n v="1"/>
    <n v="1"/>
    <s v="92064900390050000709468150101"/>
    <n v="1"/>
  </r>
  <r>
    <n v="9"/>
    <x v="9"/>
    <n v="9206587"/>
    <s v="2018-09-23"/>
    <x v="22"/>
    <s v="2018-09-24"/>
    <n v="1"/>
    <n v="1"/>
    <s v="2018-09-26"/>
    <n v="0"/>
    <s v="0390050000709580450101"/>
    <n v="1"/>
    <n v="1"/>
    <n v="1"/>
    <n v="1"/>
    <n v="100"/>
    <n v="1"/>
    <n v="0"/>
    <n v="1"/>
    <n v="0"/>
    <n v="1"/>
    <n v="1"/>
    <s v="92065870390050000709580450101"/>
    <n v="1"/>
  </r>
  <r>
    <n v="9"/>
    <x v="9"/>
    <n v="9206802"/>
    <s v="2018-09-23"/>
    <x v="22"/>
    <s v="2018-09-24"/>
    <n v="1"/>
    <n v="1"/>
    <s v="2018-09-26"/>
    <n v="0"/>
    <s v="0390050000709706670101"/>
    <n v="1"/>
    <n v="1"/>
    <n v="1"/>
    <n v="1"/>
    <n v="100"/>
    <n v="1"/>
    <n v="0"/>
    <n v="1"/>
    <n v="0"/>
    <n v="1"/>
    <n v="1"/>
    <s v="92068020390050000709706670101"/>
    <n v="1"/>
  </r>
  <r>
    <n v="9"/>
    <x v="9"/>
    <n v="9207004"/>
    <s v="2018-09-24"/>
    <x v="22"/>
    <s v="2018-09-25"/>
    <n v="1"/>
    <n v="1"/>
    <s v="2018-09-26"/>
    <n v="0"/>
    <s v="0390050000709864620101"/>
    <n v="1"/>
    <n v="1"/>
    <n v="1"/>
    <n v="1"/>
    <n v="100"/>
    <n v="1"/>
    <n v="0"/>
    <n v="1"/>
    <n v="0"/>
    <n v="1"/>
    <n v="1"/>
    <s v="92070040390050000709864620101"/>
    <n v="1"/>
  </r>
  <r>
    <n v="9"/>
    <x v="9"/>
    <n v="9207142"/>
    <s v="2018-09-24"/>
    <x v="22"/>
    <s v="2018-09-25"/>
    <n v="1"/>
    <n v="1"/>
    <s v="2018-09-26"/>
    <n v="0"/>
    <s v="0390050000709955230101"/>
    <n v="1"/>
    <n v="1"/>
    <n v="1"/>
    <n v="1"/>
    <n v="100"/>
    <n v="1"/>
    <n v="0"/>
    <n v="1"/>
    <n v="0"/>
    <n v="1"/>
    <n v="1"/>
    <s v="92071420390050000709955230101"/>
    <n v="1"/>
  </r>
  <r>
    <n v="9"/>
    <x v="9"/>
    <n v="9207253"/>
    <s v="2018-09-24"/>
    <x v="22"/>
    <s v="2018-09-25"/>
    <n v="1"/>
    <n v="1"/>
    <s v="2018-09-26"/>
    <n v="0"/>
    <s v="0390050000709978000101"/>
    <n v="1"/>
    <n v="1"/>
    <n v="1"/>
    <n v="1"/>
    <n v="100"/>
    <n v="1"/>
    <n v="0"/>
    <n v="1"/>
    <n v="0"/>
    <n v="1"/>
    <n v="1"/>
    <s v="92072530390050000709978000101"/>
    <n v="1"/>
  </r>
  <r>
    <n v="9"/>
    <x v="9"/>
    <n v="9207209"/>
    <s v="2018-09-24"/>
    <x v="22"/>
    <s v="2018-09-25"/>
    <n v="1"/>
    <n v="1"/>
    <s v="2018-09-26"/>
    <n v="0"/>
    <s v="0390050000709989550101"/>
    <n v="1"/>
    <n v="1"/>
    <n v="1"/>
    <n v="1"/>
    <n v="100"/>
    <n v="1"/>
    <n v="0"/>
    <n v="1"/>
    <n v="0"/>
    <n v="1"/>
    <n v="1"/>
    <s v="92072090390050000709989550101"/>
    <n v="1"/>
  </r>
  <r>
    <n v="9"/>
    <x v="9"/>
    <n v="9207253"/>
    <s v="2018-09-24"/>
    <x v="22"/>
    <s v="2018-09-25"/>
    <n v="1"/>
    <n v="1"/>
    <s v="2018-09-26"/>
    <n v="0"/>
    <s v="0390050000710042090102"/>
    <n v="1"/>
    <n v="1"/>
    <n v="1"/>
    <n v="1"/>
    <n v="100"/>
    <n v="1"/>
    <n v="0"/>
    <n v="1"/>
    <n v="0"/>
    <n v="1"/>
    <n v="1"/>
    <s v="92072530390050000710042090102"/>
    <n v="1"/>
  </r>
  <r>
    <n v="9"/>
    <x v="9"/>
    <n v="9207431"/>
    <s v="2018-09-24"/>
    <x v="22"/>
    <s v="2018-09-25"/>
    <n v="1"/>
    <n v="1"/>
    <s v="2018-09-26"/>
    <n v="0"/>
    <s v="0390050000710176300101"/>
    <n v="1"/>
    <n v="1"/>
    <n v="1"/>
    <n v="1"/>
    <n v="100"/>
    <n v="1"/>
    <n v="0"/>
    <n v="1"/>
    <n v="0"/>
    <n v="1"/>
    <n v="1"/>
    <s v="92074310390050000710176300101"/>
    <n v="1"/>
  </r>
  <r>
    <n v="9"/>
    <x v="9"/>
    <n v="9208052"/>
    <s v="2018-09-25"/>
    <x v="22"/>
    <s v="2018-09-26"/>
    <n v="1"/>
    <n v="1"/>
    <s v="2018-09-28"/>
    <n v="0"/>
    <s v="0390050000710570400101"/>
    <n v="1"/>
    <n v="1"/>
    <n v="0"/>
    <n v="0"/>
    <n v="100"/>
    <n v="1"/>
    <n v="0"/>
    <n v="1"/>
    <n v="0"/>
    <n v="1"/>
    <n v="0"/>
    <s v="92080520390050000710570400101"/>
    <n v="1"/>
  </r>
  <r>
    <n v="9"/>
    <x v="9"/>
    <n v="9208324"/>
    <s v="2018-09-25"/>
    <x v="22"/>
    <s v="2018-09-26"/>
    <n v="1"/>
    <n v="1"/>
    <s v="2018-09-28"/>
    <n v="0"/>
    <s v="0390050000710671400101"/>
    <n v="1"/>
    <n v="1"/>
    <n v="0"/>
    <n v="0"/>
    <n v="100"/>
    <n v="1"/>
    <n v="0"/>
    <n v="1"/>
    <n v="0"/>
    <n v="1"/>
    <n v="0"/>
    <s v="92083240390050000710671400101"/>
    <n v="1"/>
  </r>
  <r>
    <n v="9"/>
    <x v="9"/>
    <n v="9208324"/>
    <s v="2018-09-25"/>
    <x v="22"/>
    <s v="2018-09-26"/>
    <n v="1"/>
    <n v="1"/>
    <s v="2018-09-28"/>
    <n v="0"/>
    <s v="0390050000710690270101"/>
    <n v="1"/>
    <n v="1"/>
    <n v="0"/>
    <n v="0"/>
    <n v="100"/>
    <n v="1"/>
    <n v="0"/>
    <n v="1"/>
    <n v="0"/>
    <n v="1"/>
    <n v="0"/>
    <s v="92083240390050000710690270101"/>
    <n v="1"/>
  </r>
  <r>
    <n v="9"/>
    <x v="9"/>
    <n v="9208445"/>
    <s v="2018-09-26"/>
    <x v="22"/>
    <s v="2018-09-27"/>
    <n v="1"/>
    <n v="1"/>
    <s v="2018-10-01"/>
    <n v="0"/>
    <s v="0390050000710705580101"/>
    <n v="1"/>
    <n v="1"/>
    <n v="0"/>
    <n v="0"/>
    <n v="100"/>
    <n v="1"/>
    <n v="0"/>
    <n v="1"/>
    <n v="0"/>
    <n v="1"/>
    <n v="0"/>
    <s v="92084450390050000710705580101"/>
    <n v="1"/>
  </r>
  <r>
    <n v="9"/>
    <x v="9"/>
    <n v="9208374"/>
    <s v="2018-09-25"/>
    <x v="22"/>
    <s v="2018-09-26"/>
    <n v="1"/>
    <n v="1"/>
    <s v="2018-09-28"/>
    <n v="0"/>
    <s v="0390050000710715510101"/>
    <n v="1"/>
    <n v="1"/>
    <n v="0"/>
    <n v="0"/>
    <n v="100"/>
    <n v="1"/>
    <n v="0"/>
    <n v="1"/>
    <n v="0"/>
    <n v="1"/>
    <n v="0"/>
    <s v="92083740390050000710715510101"/>
    <n v="1"/>
  </r>
  <r>
    <n v="9"/>
    <x v="9"/>
    <n v="9208374"/>
    <s v="2018-09-26"/>
    <x v="22"/>
    <s v="2018-09-26"/>
    <n v="1"/>
    <n v="1"/>
    <s v="2018-09-28"/>
    <n v="0"/>
    <s v="0390050000710768030101"/>
    <n v="1"/>
    <n v="1"/>
    <n v="0"/>
    <n v="0"/>
    <n v="100"/>
    <n v="1"/>
    <n v="0"/>
    <n v="1"/>
    <n v="0"/>
    <n v="1"/>
    <n v="0"/>
    <s v="92083740390050000710768030101"/>
    <n v="1"/>
  </r>
  <r>
    <n v="9"/>
    <x v="9"/>
    <n v="9192624"/>
    <s v="2018-08-29"/>
    <x v="14"/>
    <s v="2018-08-30"/>
    <n v="1"/>
    <n v="1"/>
    <s v="2018-08-31"/>
    <n v="0"/>
    <s v="0450451808297930013502"/>
    <n v="1"/>
    <n v="1"/>
    <n v="1"/>
    <n v="1"/>
    <n v="100"/>
    <n v="1"/>
    <n v="0"/>
    <n v="1"/>
    <n v="0"/>
    <n v="1"/>
    <n v="1"/>
    <s v="91926240450451808297930013502"/>
    <n v="1"/>
  </r>
  <r>
    <n v="9"/>
    <x v="9"/>
    <n v="9203479"/>
    <s v="2018-09-14"/>
    <x v="22"/>
    <s v="2018-09-20"/>
    <n v="1"/>
    <n v="1"/>
    <s v="2018-09-26"/>
    <n v="0"/>
    <s v="0450451809148287013601"/>
    <n v="1"/>
    <n v="1"/>
    <n v="1"/>
    <n v="1"/>
    <n v="100"/>
    <n v="1"/>
    <n v="0"/>
    <n v="1"/>
    <n v="0"/>
    <n v="1"/>
    <n v="1"/>
    <s v="92034790450451809148287013601"/>
    <n v="1"/>
  </r>
  <r>
    <n v="9"/>
    <x v="9"/>
    <n v="9203716"/>
    <s v="2018-09-15"/>
    <x v="22"/>
    <s v="2018-09-20"/>
    <n v="1"/>
    <n v="1"/>
    <s v="2018-09-26"/>
    <n v="0"/>
    <s v="0450451809158300013604"/>
    <n v="1"/>
    <n v="1"/>
    <n v="1"/>
    <n v="1"/>
    <n v="100"/>
    <n v="1"/>
    <n v="0"/>
    <n v="1"/>
    <n v="0"/>
    <n v="1"/>
    <n v="1"/>
    <s v="92037160450451809158300013604"/>
    <n v="1"/>
  </r>
  <r>
    <n v="9"/>
    <x v="9"/>
    <n v="9203716"/>
    <s v="2018-09-15"/>
    <x v="10"/>
    <s v="2018-09-20"/>
    <n v="1"/>
    <n v="1"/>
    <s v="2018-09-21"/>
    <n v="0"/>
    <s v="0450631809152368007840"/>
    <n v="1"/>
    <n v="1"/>
    <n v="1"/>
    <n v="1"/>
    <n v="100"/>
    <n v="1"/>
    <n v="0"/>
    <n v="1"/>
    <n v="0"/>
    <n v="1"/>
    <n v="1"/>
    <s v="92037160450631809152368007840"/>
    <n v="1"/>
  </r>
  <r>
    <n v="9"/>
    <x v="9"/>
    <n v="9179114"/>
    <s v="1900-01-01"/>
    <x v="12"/>
    <s v="1900-01-01"/>
    <n v="1"/>
    <n v="1"/>
    <s v="2018-08-29"/>
    <n v="0"/>
    <s v="0451001808041401009676"/>
    <n v="1"/>
    <n v="1"/>
    <n v="0"/>
    <n v="0"/>
    <n v="100"/>
    <n v="1"/>
    <n v="0"/>
    <n v="1"/>
    <n v="0"/>
    <n v="1"/>
    <n v="0"/>
    <s v="91791140451001808041401009676"/>
    <n v="1"/>
  </r>
  <r>
    <n v="9"/>
    <x v="9"/>
    <n v="9194172"/>
    <s v="2018-08-31"/>
    <x v="0"/>
    <s v="2018-09-03"/>
    <n v="1"/>
    <n v="1"/>
    <s v="2018-09-05"/>
    <n v="0"/>
    <s v="0451001808311936009816"/>
    <n v="1"/>
    <n v="1"/>
    <n v="0"/>
    <n v="0"/>
    <n v="100"/>
    <n v="1"/>
    <n v="0"/>
    <n v="1"/>
    <n v="0"/>
    <n v="1"/>
    <n v="0"/>
    <s v="91941720451001808311936009816"/>
    <n v="1"/>
  </r>
  <r>
    <n v="9"/>
    <x v="9"/>
    <n v="9189540"/>
    <s v="2018-08-24"/>
    <x v="8"/>
    <s v="2018-08-27"/>
    <n v="1"/>
    <n v="1"/>
    <s v="2018-09-07"/>
    <n v="0"/>
    <s v="0460531808243429003762"/>
    <n v="1"/>
    <n v="1"/>
    <n v="1"/>
    <n v="1"/>
    <n v="100"/>
    <n v="1"/>
    <n v="0"/>
    <n v="1"/>
    <n v="0"/>
    <n v="1"/>
    <n v="1"/>
    <s v="91895400460531808243429003762"/>
    <n v="1"/>
  </r>
  <r>
    <n v="9"/>
    <x v="9"/>
    <n v="9181455"/>
    <s v="1900-01-01"/>
    <x v="14"/>
    <s v="1900-01-01"/>
    <n v="1"/>
    <n v="1"/>
    <s v="2018-08-31"/>
    <n v="0"/>
    <s v="0490551808085592014777"/>
    <n v="1"/>
    <n v="1"/>
    <n v="1"/>
    <n v="1"/>
    <n v="100"/>
    <n v="1"/>
    <n v="0"/>
    <n v="1"/>
    <n v="0"/>
    <n v="1"/>
    <n v="1"/>
    <s v="91814550490551808085592014777"/>
    <n v="1"/>
  </r>
  <r>
    <n v="9"/>
    <x v="9"/>
    <n v="9186889"/>
    <s v="2018-08-19"/>
    <x v="12"/>
    <s v="2018-08-20"/>
    <n v="1"/>
    <n v="1"/>
    <s v="2018-08-27"/>
    <n v="0"/>
    <s v="0570731808199788010069"/>
    <n v="1"/>
    <n v="1"/>
    <n v="1"/>
    <n v="1"/>
    <n v="100"/>
    <n v="1"/>
    <n v="0"/>
    <n v="1"/>
    <n v="0"/>
    <n v="1"/>
    <n v="1"/>
    <s v="91868890570731808199788010069"/>
    <n v="1"/>
  </r>
  <r>
    <n v="9"/>
    <x v="9"/>
    <n v="9194705"/>
    <s v="2018-09-01"/>
    <x v="18"/>
    <s v="2018-09-03"/>
    <n v="1"/>
    <n v="1"/>
    <s v="2018-09-05"/>
    <n v="0"/>
    <s v="0570751809011174012726"/>
    <n v="1"/>
    <n v="1"/>
    <n v="1"/>
    <n v="1"/>
    <n v="100"/>
    <n v="1"/>
    <n v="0"/>
    <n v="1"/>
    <n v="0"/>
    <n v="1"/>
    <n v="1"/>
    <s v="91947050570751809011174012726"/>
    <n v="1"/>
  </r>
  <r>
    <n v="9"/>
    <x v="9"/>
    <n v="9200988"/>
    <s v="2018-09-10"/>
    <x v="10"/>
    <s v="2018-09-11"/>
    <n v="1"/>
    <n v="1"/>
    <s v="2018-09-14"/>
    <n v="0"/>
    <s v="0690261809103486001946"/>
    <n v="1"/>
    <n v="1"/>
    <n v="1"/>
    <n v="1"/>
    <n v="100"/>
    <n v="1"/>
    <n v="0"/>
    <n v="1"/>
    <n v="0"/>
    <n v="1"/>
    <n v="1"/>
    <s v="92009880690261809103486001946"/>
    <n v="1"/>
  </r>
  <r>
    <n v="9"/>
    <x v="9"/>
    <n v="9206363"/>
    <s v="2018-09-22"/>
    <x v="22"/>
    <s v="2018-09-24"/>
    <n v="1"/>
    <n v="1"/>
    <s v="2018-09-26"/>
    <n v="0"/>
    <s v="0760891809221621005994"/>
    <n v="1"/>
    <n v="1"/>
    <n v="1"/>
    <n v="1"/>
    <n v="100"/>
    <n v="1"/>
    <n v="0"/>
    <n v="1"/>
    <n v="0"/>
    <n v="1"/>
    <n v="1"/>
    <s v="92063630760891809221621005994"/>
    <n v="1"/>
  </r>
  <r>
    <n v="9"/>
    <x v="9"/>
    <n v="9195052"/>
    <s v="2018-09-02"/>
    <x v="9"/>
    <s v="2018-09-03"/>
    <n v="1"/>
    <n v="1"/>
    <s v="2018-09-10"/>
    <n v="0"/>
    <s v="0780651809023960009189"/>
    <n v="1"/>
    <n v="1"/>
    <n v="1"/>
    <n v="1"/>
    <n v="100"/>
    <n v="1"/>
    <n v="0"/>
    <n v="1"/>
    <n v="0"/>
    <n v="1"/>
    <n v="1"/>
    <s v="91950520780651809023960009189"/>
    <n v="1"/>
  </r>
  <r>
    <n v="9"/>
    <x v="9"/>
    <n v="9199427"/>
    <s v="2018-09-07"/>
    <x v="10"/>
    <s v="2018-09-11"/>
    <n v="1"/>
    <n v="1"/>
    <s v="2018-09-14"/>
    <n v="0"/>
    <s v="0780651809074107009217"/>
    <n v="1"/>
    <n v="1"/>
    <n v="1"/>
    <n v="1"/>
    <n v="100"/>
    <n v="1"/>
    <n v="0"/>
    <n v="1"/>
    <n v="0"/>
    <n v="1"/>
    <n v="1"/>
    <s v="91994270780651809074107009217"/>
    <n v="1"/>
  </r>
  <r>
    <n v="9"/>
    <x v="9"/>
    <n v="9187553"/>
    <s v="2018-08-20"/>
    <x v="0"/>
    <s v="2018-08-21"/>
    <n v="1"/>
    <n v="1"/>
    <s v="2018-09-03"/>
    <n v="0"/>
    <s v="0790161808206159008135"/>
    <n v="1"/>
    <n v="1"/>
    <n v="1"/>
    <n v="1"/>
    <n v="100"/>
    <n v="1"/>
    <n v="0"/>
    <n v="1"/>
    <n v="0"/>
    <n v="1"/>
    <n v="1"/>
    <s v="91875530790161808206159008135"/>
    <n v="1"/>
  </r>
  <r>
    <n v="9"/>
    <x v="9"/>
    <n v="9189746"/>
    <s v="2018-08-24"/>
    <x v="18"/>
    <s v="2018-08-27"/>
    <n v="1"/>
    <n v="1"/>
    <s v="2018-09-05"/>
    <n v="0"/>
    <s v="0790161808246283008153"/>
    <n v="1"/>
    <n v="1"/>
    <n v="1"/>
    <n v="1"/>
    <n v="100"/>
    <n v="1"/>
    <n v="0"/>
    <n v="1"/>
    <n v="0"/>
    <n v="1"/>
    <n v="1"/>
    <s v="91897460790161808246283008153"/>
    <n v="1"/>
  </r>
  <r>
    <n v="9"/>
    <x v="9"/>
    <n v="9205783"/>
    <s v="2018-09-21"/>
    <x v="22"/>
    <s v="2018-09-24"/>
    <n v="1"/>
    <n v="1"/>
    <s v="2018-09-26"/>
    <n v="0"/>
    <s v="0790161809217184008339"/>
    <n v="1"/>
    <n v="1"/>
    <n v="1"/>
    <n v="1"/>
    <n v="100"/>
    <n v="1"/>
    <n v="0"/>
    <n v="1"/>
    <n v="0"/>
    <n v="1"/>
    <n v="1"/>
    <s v="92057830790161809217184008339"/>
    <n v="1"/>
  </r>
  <r>
    <n v="9"/>
    <x v="9"/>
    <n v="9189539"/>
    <s v="2018-08-24"/>
    <x v="14"/>
    <s v="2018-08-27"/>
    <n v="1"/>
    <n v="1"/>
    <s v="2018-08-31"/>
    <n v="0"/>
    <s v="0790351808249672004560"/>
    <n v="1"/>
    <n v="1"/>
    <n v="1"/>
    <n v="1"/>
    <n v="100"/>
    <n v="1"/>
    <n v="0"/>
    <n v="1"/>
    <n v="0"/>
    <n v="1"/>
    <n v="1"/>
    <s v="91895390790351808249672004560"/>
    <n v="1"/>
  </r>
  <r>
    <n v="9"/>
    <x v="9"/>
    <n v="9184521"/>
    <s v="1900-01-01"/>
    <x v="18"/>
    <s v="1900-01-01"/>
    <n v="1"/>
    <n v="1"/>
    <s v="2018-09-05"/>
    <n v="0"/>
    <s v="0850021808146828006058"/>
    <n v="1"/>
    <n v="1"/>
    <n v="1"/>
    <n v="1"/>
    <n v="100"/>
    <n v="1"/>
    <n v="0"/>
    <n v="1"/>
    <n v="0"/>
    <n v="1"/>
    <n v="1"/>
    <s v="91845210850021808146828006058"/>
    <n v="1"/>
  </r>
  <r>
    <n v="9"/>
    <x v="9"/>
    <n v="9186487"/>
    <s v="2018-08-18"/>
    <x v="14"/>
    <s v="2018-08-20"/>
    <n v="1"/>
    <n v="1"/>
    <s v="2018-08-31"/>
    <n v="0"/>
    <s v="0850021808187028006074"/>
    <n v="1"/>
    <n v="1"/>
    <n v="1"/>
    <n v="1"/>
    <n v="100"/>
    <n v="1"/>
    <n v="0"/>
    <n v="1"/>
    <n v="0"/>
    <n v="1"/>
    <n v="1"/>
    <s v="91864870850021808187028006074"/>
    <n v="1"/>
  </r>
  <r>
    <n v="9"/>
    <x v="9"/>
    <n v="9180857"/>
    <s v="1900-01-01"/>
    <x v="17"/>
    <s v="1900-01-01"/>
    <n v="1"/>
    <n v="1"/>
    <s v="2018-08-29"/>
    <n v="0"/>
    <s v="0850311808071169002923"/>
    <n v="1"/>
    <n v="1"/>
    <n v="1"/>
    <n v="1"/>
    <n v="100"/>
    <n v="1"/>
    <n v="0"/>
    <n v="1"/>
    <n v="0"/>
    <n v="1"/>
    <n v="1"/>
    <s v="91808570850311808071169002923"/>
    <n v="1"/>
  </r>
  <r>
    <n v="9"/>
    <x v="9"/>
    <n v="9180448"/>
    <s v="1900-01-01"/>
    <x v="17"/>
    <s v="1900-01-01"/>
    <n v="1"/>
    <n v="1"/>
    <s v="2018-08-29"/>
    <n v="0"/>
    <s v="0880491808070456000176"/>
    <n v="1"/>
    <n v="1"/>
    <n v="1"/>
    <n v="1"/>
    <n v="100"/>
    <n v="1"/>
    <n v="0"/>
    <n v="1"/>
    <n v="0"/>
    <n v="1"/>
    <n v="1"/>
    <s v="91804480880491808070456000176"/>
    <n v="1"/>
  </r>
  <r>
    <n v="9"/>
    <x v="9"/>
    <n v="9184916"/>
    <s v="1900-01-01"/>
    <x v="8"/>
    <s v="1900-01-01"/>
    <n v="1"/>
    <n v="1"/>
    <s v="2018-09-07"/>
    <n v="0"/>
    <s v="0880501808153366017138"/>
    <n v="1"/>
    <n v="1"/>
    <n v="1"/>
    <n v="1"/>
    <n v="100"/>
    <n v="1"/>
    <n v="0"/>
    <n v="1"/>
    <n v="0"/>
    <n v="1"/>
    <n v="1"/>
    <s v="91849160880501808153366017138"/>
    <n v="1"/>
  </r>
  <r>
    <n v="9"/>
    <x v="9"/>
    <n v="9186763"/>
    <s v="2018-08-19"/>
    <x v="14"/>
    <s v="2018-08-20"/>
    <n v="1"/>
    <n v="1"/>
    <s v="2018-08-31"/>
    <n v="0"/>
    <s v="0880501808193465017157"/>
    <n v="1"/>
    <n v="1"/>
    <n v="1"/>
    <n v="1"/>
    <n v="100"/>
    <n v="1"/>
    <n v="0"/>
    <n v="1"/>
    <n v="0"/>
    <n v="1"/>
    <n v="1"/>
    <s v="91867630880501808193465017157"/>
    <n v="1"/>
  </r>
  <r>
    <n v="9"/>
    <x v="9"/>
    <n v="9187591"/>
    <s v="2018-08-20"/>
    <x v="17"/>
    <s v="2018-08-21"/>
    <n v="1"/>
    <n v="1"/>
    <s v="2018-08-29"/>
    <n v="0"/>
    <s v="0880501808203514017189"/>
    <n v="1"/>
    <n v="1"/>
    <n v="1"/>
    <n v="1"/>
    <n v="100"/>
    <n v="1"/>
    <n v="0"/>
    <n v="1"/>
    <n v="0"/>
    <n v="1"/>
    <n v="1"/>
    <s v="91875910880501808203514017189"/>
    <n v="1"/>
  </r>
  <r>
    <n v="9"/>
    <x v="9"/>
    <n v="9193873"/>
    <s v="2018-08-31"/>
    <x v="20"/>
    <s v="2018-09-03"/>
    <n v="1"/>
    <n v="1"/>
    <s v="2018-09-14"/>
    <n v="0"/>
    <s v="0880501808313740017239"/>
    <n v="1"/>
    <n v="1"/>
    <n v="1"/>
    <n v="1"/>
    <n v="100"/>
    <n v="1"/>
    <n v="0"/>
    <n v="1"/>
    <n v="0"/>
    <n v="1"/>
    <n v="1"/>
    <s v="91938730880501808313740017239"/>
    <n v="1"/>
  </r>
  <r>
    <n v="9"/>
    <x v="9"/>
    <n v="9194606"/>
    <s v="2018-09-01"/>
    <x v="8"/>
    <s v="2018-09-03"/>
    <n v="1"/>
    <n v="1"/>
    <s v="2018-09-07"/>
    <n v="0"/>
    <s v="0970151809012234010628"/>
    <n v="1"/>
    <n v="1"/>
    <n v="1"/>
    <n v="1"/>
    <n v="100"/>
    <n v="1"/>
    <n v="0"/>
    <n v="1"/>
    <n v="0"/>
    <n v="1"/>
    <n v="1"/>
    <s v="91946060970151809012234010628"/>
    <n v="1"/>
  </r>
  <r>
    <n v="9"/>
    <x v="9"/>
    <n v="9186941"/>
    <s v="2018-08-19"/>
    <x v="12"/>
    <s v="2018-08-20"/>
    <n v="1"/>
    <n v="1"/>
    <s v="2018-08-27"/>
    <n v="0"/>
    <s v="0980431808193007006406"/>
    <n v="1"/>
    <n v="1"/>
    <n v="1"/>
    <n v="1"/>
    <n v="100"/>
    <n v="1"/>
    <n v="0"/>
    <n v="1"/>
    <n v="0"/>
    <n v="1"/>
    <n v="1"/>
    <s v="91869410980431808193007006406"/>
    <n v="1"/>
  </r>
  <r>
    <n v="9"/>
    <x v="9"/>
    <n v="9186941"/>
    <s v="2018-08-19"/>
    <x v="12"/>
    <s v="2018-08-20"/>
    <n v="1"/>
    <n v="1"/>
    <s v="2018-08-27"/>
    <n v="0"/>
    <s v="0980431808193007006407"/>
    <n v="1"/>
    <n v="1"/>
    <n v="1"/>
    <n v="1"/>
    <n v="100"/>
    <n v="1"/>
    <n v="0"/>
    <n v="1"/>
    <n v="0"/>
    <n v="1"/>
    <n v="1"/>
    <s v="91869410980431808193007006407"/>
    <n v="1"/>
  </r>
  <r>
    <n v="9"/>
    <x v="9"/>
    <n v="9190635"/>
    <s v="2018-08-26"/>
    <x v="0"/>
    <s v="2018-08-27"/>
    <n v="1"/>
    <n v="1"/>
    <s v="2018-09-03"/>
    <n v="0"/>
    <s v="0980471808263978004532"/>
    <n v="1"/>
    <n v="1"/>
    <n v="1"/>
    <n v="1"/>
    <n v="100"/>
    <n v="1"/>
    <n v="0"/>
    <n v="1"/>
    <n v="0"/>
    <n v="1"/>
    <n v="1"/>
    <s v="91906350980471808263978004532"/>
    <n v="1"/>
  </r>
  <r>
    <n v="9"/>
    <x v="9"/>
    <n v="9198848"/>
    <s v="2018-09-06"/>
    <x v="20"/>
    <s v="2018-09-07"/>
    <n v="1"/>
    <n v="1"/>
    <s v="2018-09-14"/>
    <n v="0"/>
    <s v="0980471809064437004608"/>
    <n v="1"/>
    <n v="1"/>
    <n v="1"/>
    <n v="1"/>
    <n v="100"/>
    <n v="1"/>
    <n v="0"/>
    <n v="1"/>
    <n v="0"/>
    <n v="1"/>
    <n v="1"/>
    <s v="91988480980471809064437004608"/>
    <n v="1"/>
  </r>
  <r>
    <n v="9"/>
    <x v="9"/>
    <n v="9194760"/>
    <s v="2018-09-01"/>
    <x v="8"/>
    <s v="2018-09-03"/>
    <n v="1"/>
    <n v="1"/>
    <s v="2018-09-07"/>
    <n v="0"/>
    <s v="0980531809013660000993"/>
    <n v="1"/>
    <n v="1"/>
    <n v="1"/>
    <n v="1"/>
    <n v="100"/>
    <n v="1"/>
    <n v="0"/>
    <n v="1"/>
    <n v="0"/>
    <n v="1"/>
    <n v="1"/>
    <s v="91947600980531809013660000993"/>
    <n v="1"/>
  </r>
  <r>
    <n v="9"/>
    <x v="9"/>
    <n v="9186889"/>
    <s v="2018-08-19"/>
    <x v="12"/>
    <s v="2018-08-20"/>
    <n v="1"/>
    <n v="1"/>
    <s v="2018-08-27"/>
    <n v="0"/>
    <s v="0990301808194799000506"/>
    <n v="1"/>
    <n v="1"/>
    <n v="1"/>
    <n v="1"/>
    <n v="100"/>
    <n v="1"/>
    <n v="0"/>
    <n v="1"/>
    <n v="0"/>
    <n v="1"/>
    <n v="1"/>
    <s v="91868890990301808194799000506"/>
    <n v="1"/>
  </r>
  <r>
    <n v="9"/>
    <x v="9"/>
    <n v="9195001"/>
    <s v="2018-09-02"/>
    <x v="9"/>
    <s v="2018-09-03"/>
    <n v="1"/>
    <n v="1"/>
    <s v="2018-09-10"/>
    <n v="0"/>
    <s v="0990301809025096000577"/>
    <n v="1"/>
    <n v="1"/>
    <n v="1"/>
    <n v="1"/>
    <n v="100"/>
    <n v="1"/>
    <n v="0"/>
    <n v="1"/>
    <n v="0"/>
    <n v="1"/>
    <n v="1"/>
    <s v="91950010990301809025096000577"/>
    <n v="1"/>
  </r>
  <r>
    <n v="9"/>
    <x v="9"/>
    <n v="9184702"/>
    <s v="1900-01-01"/>
    <x v="8"/>
    <s v="1900-01-01"/>
    <n v="1"/>
    <n v="1"/>
    <s v="2018-09-07"/>
    <n v="0"/>
    <s v="0990341808154379000791"/>
    <n v="1"/>
    <n v="1"/>
    <n v="1"/>
    <n v="1"/>
    <n v="100"/>
    <n v="1"/>
    <n v="0"/>
    <n v="1"/>
    <n v="0"/>
    <n v="1"/>
    <n v="1"/>
    <s v="9184702099034180815437900079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0" cacheId="47" dataPosition="0" applyNumberFormats="0" applyBorderFormats="0" applyFontFormats="0" applyPatternFormats="0" applyAlignmentFormats="0" applyWidthHeightFormats="1" dataCaption="Valores" errorCaption="0" showError="1" updatedVersion="5" minRefreshableVersion="3" useAutoFormatting="1" rowGrandTotals="0" itemPrintTitles="1" createdVersion="5" indent="0" compact="0" compactData="0" multipleFieldFilters="0" chartFormat="21" rowHeaderCaption="Clientes">
  <location ref="AR1:AR32" firstHeaderRow="1" firstDataRow="1" firstDataCol="1"/>
  <pivotFields count="30">
    <pivotField compact="0" outline="0" showAll="0" defaultSubtotal="0"/>
    <pivotField compact="0" outline="0" showAll="0" defaultSubtotal="0">
      <items count="16">
        <item x="11"/>
        <item x="5"/>
        <item x="4"/>
        <item x="8"/>
        <item x="6"/>
        <item m="1" x="13"/>
        <item x="3"/>
        <item m="1" x="15"/>
        <item x="10"/>
        <item x="1"/>
        <item m="1" x="12"/>
        <item x="7"/>
        <item x="9"/>
        <item x="2"/>
        <item x="0"/>
        <item m="1" x="14"/>
      </items>
    </pivotField>
    <pivotField compact="0" outline="0" showAll="0" defaultSubtotal="0"/>
    <pivotField compact="0" outline="0" showAll="0" defaultSubtotal="0"/>
    <pivotField axis="axisRow" compact="0" outline="0" showAll="0" sortType="ascending" minSubtotal="1">
      <items count="98">
        <item m="1" x="78"/>
        <item m="1" x="83"/>
        <item m="1" x="88"/>
        <item m="1" x="91"/>
        <item m="1" x="96"/>
        <item m="1" x="36"/>
        <item m="1" x="41"/>
        <item m="1" x="45"/>
        <item m="1" x="51"/>
        <item m="1" x="46"/>
        <item m="1" x="52"/>
        <item m="1" x="60"/>
        <item m="1" x="67"/>
        <item m="1" x="73"/>
        <item m="1" x="79"/>
        <item m="1" x="84"/>
        <item m="1" x="92"/>
        <item m="1" x="31"/>
        <item m="1" x="94"/>
        <item m="1" x="33"/>
        <item m="1" x="38"/>
        <item m="1" x="43"/>
        <item m="1" x="48"/>
        <item m="1" x="55"/>
        <item m="1" x="63"/>
        <item m="1" x="69"/>
        <item m="1" x="75"/>
        <item m="1" x="81"/>
        <item m="1" x="77"/>
        <item m="1" x="57"/>
        <item m="1" x="49"/>
        <item m="1" x="58"/>
        <item m="1" x="65"/>
        <item m="1" x="71"/>
        <item m="1" x="85"/>
        <item m="1" x="89"/>
        <item m="1" x="93"/>
        <item m="1" x="32"/>
        <item m="1" x="37"/>
        <item m="1" x="42"/>
        <item m="1" x="47"/>
        <item m="1" x="53"/>
        <item m="1" x="61"/>
        <item m="1" x="56"/>
        <item m="1" x="64"/>
        <item m="1" x="70"/>
        <item m="1" x="76"/>
        <item m="1" x="82"/>
        <item m="1" x="86"/>
        <item m="1" x="90"/>
        <item m="1" x="95"/>
        <item m="1" x="34"/>
        <item m="1" x="39"/>
        <item m="1" x="35"/>
        <item m="1" x="40"/>
        <item m="1" x="44"/>
        <item m="1" x="50"/>
        <item m="1" x="59"/>
        <item m="1" x="66"/>
        <item m="1" x="72"/>
        <item x="12"/>
        <item x="2"/>
        <item x="17"/>
        <item x="13"/>
        <item x="14"/>
        <item x="4"/>
        <item x="25"/>
        <item x="0"/>
        <item x="1"/>
        <item x="18"/>
        <item x="15"/>
        <item x="8"/>
        <item x="27"/>
        <item x="26"/>
        <item x="9"/>
        <item x="3"/>
        <item x="16"/>
        <item x="11"/>
        <item x="20"/>
        <item x="30"/>
        <item x="23"/>
        <item x="24"/>
        <item x="28"/>
        <item x="6"/>
        <item x="10"/>
        <item x="19"/>
        <item x="29"/>
        <item x="5"/>
        <item x="7"/>
        <item x="22"/>
        <item x="21"/>
        <item m="1" x="87"/>
        <item m="1" x="54"/>
        <item m="1" x="62"/>
        <item m="1" x="68"/>
        <item m="1" x="74"/>
        <item m="1" x="80"/>
        <item t="min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1">
    <field x="4"/>
  </rowFields>
  <rowItems count="31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</rowItems>
  <colItems count="1">
    <i/>
  </colItems>
  <formats count="3">
    <format dxfId="56">
      <pivotArea field="1" type="button" dataOnly="0" labelOnly="1" outline="0"/>
    </format>
    <format dxfId="55">
      <pivotArea dataOnly="0" labelOnly="1" grandRow="1" outline="0" fieldPosition="0"/>
    </format>
    <format dxfId="54">
      <pivotArea dataOnly="0" labelOnly="1" grandRow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_CumplFecha" cacheId="47" dataPosition="0" applyNumberFormats="0" applyBorderFormats="0" applyFontFormats="0" applyPatternFormats="0" applyAlignmentFormats="0" applyWidthHeightFormats="1" dataCaption="Valores" errorCaption="0" showError="1" updatedVersion="5" minRefreshableVersion="3" useAutoFormatting="1" itemPrintTitles="1" createdVersion="5" indent="0" outline="1" outlineData="1" multipleFieldFilters="0" chartFormat="23" rowHeaderCaption="Clientes">
  <location ref="AO1:AP14" firstHeaderRow="1" firstDataRow="1" firstDataCol="1"/>
  <pivotFields count="30">
    <pivotField showAll="0" defaultSubtotal="0"/>
    <pivotField axis="axisRow" showAll="0" defaultSubtotal="0">
      <items count="16">
        <item x="11"/>
        <item x="5"/>
        <item x="4"/>
        <item x="8"/>
        <item x="6"/>
        <item m="1" x="13"/>
        <item x="3"/>
        <item m="1" x="15"/>
        <item x="10"/>
        <item x="1"/>
        <item m="1" x="12"/>
        <item x="7"/>
        <item x="9"/>
        <item x="2"/>
        <item x="0"/>
        <item m="1"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 % Cumpl Fecha" fld="26" baseField="1" baseItem="1" numFmtId="10"/>
  </dataFields>
  <formats count="9">
    <format dxfId="65">
      <pivotArea dataOnly="0" outline="0" fieldPosition="0">
        <references count="1">
          <reference field="4294967294" count="1">
            <x v="0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9">
      <pivotArea field="1" type="button" dataOnly="0" labelOnly="1" outline="0" axis="axisRow" fieldPosition="0"/>
    </format>
    <format dxfId="58">
      <pivotArea dataOnly="0" labelOnly="1" grandRow="1" outline="0" fieldPosition="0"/>
    </format>
    <format dxfId="57">
      <pivotArea dataOnly="0" labelOnly="1" grandRow="1" outline="0" fieldPosition="0"/>
    </format>
  </formats>
  <chartFormats count="1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CumplUnidades" cacheId="47" dataPosition="0" applyNumberFormats="0" applyBorderFormats="0" applyFontFormats="0" applyPatternFormats="0" applyAlignmentFormats="0" applyWidthHeightFormats="1" dataCaption="Valores" errorCaption="0" showError="1" updatedVersion="5" minRefreshableVersion="3" useAutoFormatting="1" itemPrintTitles="1" createdVersion="5" indent="0" outline="1" outlineData="1" multipleFieldFilters="0" chartFormat="28" rowHeaderCaption="Clientes">
  <location ref="AL1:AM14" firstHeaderRow="1" firstDataRow="1" firstDataCol="1"/>
  <pivotFields count="30">
    <pivotField showAll="0" defaultSubtotal="0"/>
    <pivotField axis="axisRow" showAll="0" defaultSubtotal="0">
      <items count="16">
        <item x="11"/>
        <item x="5"/>
        <item x="4"/>
        <item x="8"/>
        <item x="6"/>
        <item m="1" x="13"/>
        <item x="3"/>
        <item m="1" x="15"/>
        <item x="10"/>
        <item x="1"/>
        <item m="1" x="12"/>
        <item x="7"/>
        <item x="9"/>
        <item x="2"/>
        <item x="0"/>
        <item m="1"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% Cumplimiento" fld="24" baseField="1" baseItem="1" numFmtId="10"/>
  </dataFields>
  <formats count="9">
    <format dxfId="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dataOnly="0" outline="0" fieldPosition="0">
        <references count="1">
          <reference field="4294967294" count="1">
            <x v="0"/>
          </reference>
        </references>
      </pivotArea>
    </format>
    <format dxfId="68">
      <pivotArea field="1" type="button" dataOnly="0" labelOnly="1" outline="0" axis="axisRow" fieldPosition="0"/>
    </format>
    <format dxfId="67">
      <pivotArea dataOnly="0" labelOnly="1" grandRow="1" outline="0" fieldPosition="0"/>
    </format>
    <format dxfId="66">
      <pivotArea dataOnly="0" labelOnly="1" grandRow="1" outline="0" fieldPosition="0"/>
    </format>
  </formats>
  <chartFormats count="1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6" cacheId="47" dataPosition="0" applyNumberFormats="0" applyBorderFormats="0" applyFontFormats="0" applyPatternFormats="0" applyAlignmentFormats="0" applyWidthHeightFormats="1" dataCaption="Valores" errorCaption="0" showError="1" updatedVersion="5" minRefreshableVersion="3" useAutoFormatting="1" itemPrintTitles="1" createdVersion="5" indent="0" outline="1" outlineData="1" multipleFieldFilters="0" chartFormat="37" rowHeaderCaption="Clientes">
  <location ref="AF1:AJ14" firstHeaderRow="0" firstDataRow="1" firstDataCol="1"/>
  <pivotFields count="30">
    <pivotField showAll="0" defaultSubtotal="0"/>
    <pivotField axis="axisRow" showAll="0" defaultSubtotal="0">
      <items count="16">
        <item x="11"/>
        <item x="5"/>
        <item x="4"/>
        <item x="8"/>
        <item x="6"/>
        <item m="1" x="13"/>
        <item x="3"/>
        <item m="1" x="15"/>
        <item x="10"/>
        <item x="1"/>
        <item m="1" x="12"/>
        <item x="7"/>
        <item x="9"/>
        <item x="2"/>
        <item x="0"/>
        <item m="1" x="14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Unds." fld="6" baseField="1" baseItem="0" numFmtId="3"/>
    <dataField name="Cant Embarcada " fld="23" baseField="1" baseItem="3" numFmtId="3"/>
    <dataField name="Unds Devueltas" fld="9" baseField="1" baseItem="3" numFmtId="3"/>
    <dataField name="Unds Re embarcadas" fld="17" baseField="1" baseItem="3" numFmtId="3"/>
  </dataFields>
  <formats count="14">
    <format dxfId="88">
      <pivotArea outline="0" collapsedLevelsAreSubtotals="1" fieldPosition="0">
        <references count="1">
          <reference field="4294967294" count="3" selected="0">
            <x v="0"/>
            <x v="2"/>
            <x v="3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">
      <pivotArea outline="0" collapsedLevelsAreSubtotals="1" fieldPosition="0">
        <references count="1">
          <reference field="4294967294" count="3" selected="0">
            <x v="0"/>
            <x v="2"/>
            <x v="3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79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78">
      <pivotArea field="1" type="button" dataOnly="0" labelOnly="1" outline="0" axis="axisRow" fieldPosition="0"/>
    </format>
    <format dxfId="77">
      <pivotArea dataOnly="0" labelOnly="1" grandRow="1" outline="0" fieldPosition="0"/>
    </format>
    <format dxfId="76">
      <pivotArea dataOnly="0" labelOnly="1" grandRow="1" outline="0" fieldPosition="0"/>
    </format>
    <format dxfId="75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3" cacheId="47" dataPosition="0" applyNumberFormats="0" applyBorderFormats="0" applyFontFormats="0" applyPatternFormats="0" applyAlignmentFormats="0" applyWidthHeightFormats="1" dataCaption="Valores" errorCaption="0" showError="1" updatedVersion="5" minRefreshableVersion="3" useAutoFormatting="1" itemPrintTitles="1" createdVersion="5" indent="0" outline="1" outlineData="1" multipleFieldFilters="0" chartFormat="18" rowHeaderCaption="Clientes">
  <location ref="AC1:AD14" firstHeaderRow="1" firstDataRow="1" firstDataCol="1"/>
  <pivotFields count="30">
    <pivotField showAll="0" defaultSubtotal="0"/>
    <pivotField axis="axisRow" showAll="0" defaultSubtotal="0">
      <items count="16">
        <item x="11"/>
        <item x="5"/>
        <item x="4"/>
        <item x="8"/>
        <item x="6"/>
        <item m="1" x="13"/>
        <item x="3"/>
        <item m="1" x="15"/>
        <item x="10"/>
        <item x="1"/>
        <item m="1" x="12"/>
        <item x="7"/>
        <item x="9"/>
        <item x="2"/>
        <item x="0"/>
        <item m="1"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% Real de cumplimiento" fld="27" baseField="1" baseItem="0" numFmtId="10"/>
  </dataFields>
  <formats count="8"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1" count="0"/>
        </references>
      </pivotArea>
    </format>
    <format dxfId="91">
      <pivotArea field="1" type="button" dataOnly="0" labelOnly="1" outline="0" axis="axisRow" fieldPosition="0"/>
    </format>
    <format dxfId="90">
      <pivotArea dataOnly="0" labelOnly="1" grandRow="1" outline="0" fieldPosition="0"/>
    </format>
    <format dxfId="89">
      <pivotArea dataOnly="0" labelOnly="1" grandRow="1" outline="0" fieldPosition="0"/>
    </format>
  </formats>
  <chartFormats count="1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1" cacheId="47" dataPosition="0" applyNumberFormats="0" applyBorderFormats="0" applyFontFormats="0" applyPatternFormats="0" applyAlignmentFormats="0" applyWidthHeightFormats="1" dataCaption="Valores" errorCaption="0" showError="1" updatedVersion="5" minRefreshableVersion="3" useAutoFormatting="1" itemPrintTitles="1" createdVersion="5" indent="0" outline="1" outlineData="1" multipleFieldFilters="0" chartFormat="9" rowHeaderCaption="Clientes">
  <location ref="B43:O56" firstHeaderRow="0" firstDataRow="1" firstDataCol="1"/>
  <pivotFields count="30">
    <pivotField showAll="0" defaultSubtotal="0"/>
    <pivotField axis="axisRow" showAll="0" defaultSubtotal="0">
      <items count="16">
        <item x="11"/>
        <item x="5"/>
        <item x="4"/>
        <item x="8"/>
        <item x="6"/>
        <item m="1" x="13"/>
        <item x="3"/>
        <item m="1" x="15"/>
        <item x="10"/>
        <item x="1"/>
        <item m="1" x="12"/>
        <item x="7"/>
        <item x="9"/>
        <item x="2"/>
        <item x="0"/>
        <item m="1" x="14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 Contador Ventas" fld="22" subtotal="count" baseField="0" baseItem="0"/>
    <dataField name="Total Unds." fld="6" baseField="1" baseItem="0" numFmtId="3"/>
    <dataField name="Cant Embarcadas" fld="23" baseField="0" baseItem="0"/>
    <dataField name="Unds Devueltas" fld="9" baseField="1" baseItem="3" numFmtId="3"/>
    <dataField name=" % Devolución" fld="28" baseField="1" baseItem="0" numFmtId="10"/>
    <dataField name="Unds Re embarcadas" fld="17" baseField="1" baseItem="3" numFmtId="3"/>
    <dataField name=" Cumpl Unds Real" fld="18" baseField="1" baseItem="3" numFmtId="3"/>
    <dataField name="Pend Embarques" fld="29" baseField="0" baseItem="0" numFmtId="3"/>
    <dataField name="% Cumplimiento" fld="24" baseField="1" baseItem="1" numFmtId="10"/>
    <dataField name="Dentro del plazo" fld="13" baseField="0" baseItem="0"/>
    <dataField name="Fuera del plazo" fld="25" baseField="1" baseItem="0"/>
    <dataField name=" % Cumpl Fecha" fld="26" baseField="1" baseItem="1" numFmtId="10"/>
    <dataField name="% Real de cumplimiento" fld="27" baseField="1" baseItem="0" numFmtId="10"/>
  </dataFields>
  <formats count="68">
    <format dxfId="164">
      <pivotArea outline="0" collapsedLevelsAreSubtotals="1" fieldPosition="0">
        <references count="1">
          <reference field="4294967294" count="5" selected="0">
            <x v="1"/>
            <x v="3"/>
            <x v="5"/>
            <x v="6"/>
            <x v="8"/>
          </reference>
        </references>
      </pivotArea>
    </format>
    <format dxfId="163">
      <pivotArea dataOnly="0" labelOnly="1" outline="0" fieldPosition="0">
        <references count="1">
          <reference field="4294967294" count="5">
            <x v="1"/>
            <x v="3"/>
            <x v="5"/>
            <x v="6"/>
            <x v="8"/>
          </reference>
        </references>
      </pivotArea>
    </format>
    <format dxfId="1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0">
      <pivotArea outline="0" collapsedLevelsAreSubtotals="1" fieldPosition="0">
        <references count="1">
          <reference field="4294967294" count="5" selected="0">
            <x v="1"/>
            <x v="3"/>
            <x v="5"/>
            <x v="6"/>
            <x v="8"/>
          </reference>
        </references>
      </pivotArea>
    </format>
    <format dxfId="159">
      <pivotArea dataOnly="0" labelOnly="1" outline="0" fieldPosition="0">
        <references count="1">
          <reference field="4294967294" count="5">
            <x v="1"/>
            <x v="3"/>
            <x v="5"/>
            <x v="6"/>
            <x v="8"/>
          </reference>
        </references>
      </pivotArea>
    </format>
    <format dxfId="158">
      <pivotArea collapsedLevelsAreSubtotals="1" fieldPosition="0">
        <references count="2">
          <reference field="4294967294" count="1" selected="0">
            <x v="10"/>
          </reference>
          <reference field="1" count="0"/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55">
      <pivotArea dataOnly="0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53">
      <pivotArea outline="0" fieldPosition="0">
        <references count="1">
          <reference field="4294967294" count="1">
            <x v="8"/>
          </reference>
        </references>
      </pivotArea>
    </format>
    <format dxfId="152">
      <pivotArea outline="0" fieldPosition="0">
        <references count="1">
          <reference field="4294967294" count="1">
            <x v="11"/>
          </reference>
        </references>
      </pivotArea>
    </format>
    <format dxfId="151">
      <pivotArea outline="0" fieldPosition="0">
        <references count="1">
          <reference field="4294967294" count="1">
            <x v="12"/>
          </reference>
        </references>
      </pivotArea>
    </format>
    <format dxfId="150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4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48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47">
      <pivotArea collapsedLevelsAreSubtotals="1" fieldPosition="0">
        <references count="2">
          <reference field="4294967294" count="1" selected="0">
            <x v="12"/>
          </reference>
          <reference field="1" count="0"/>
        </references>
      </pivotArea>
    </format>
    <format dxfId="146">
      <pivotArea collapsedLevelsAreSubtotals="1" fieldPosition="0">
        <references count="2">
          <reference field="4294967294" count="1" selected="0">
            <x v="10"/>
          </reference>
          <reference field="1" count="0"/>
        </references>
      </pivotArea>
    </format>
    <format dxfId="145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144">
      <pivotArea dataOnly="0" labelOnly="1" outline="0" fieldPosition="0">
        <references count="1">
          <reference field="4294967294" count="4">
            <x v="3"/>
            <x v="4"/>
            <x v="5"/>
            <x v="6"/>
          </reference>
        </references>
      </pivotArea>
    </format>
    <format dxfId="14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42">
      <pivotArea outline="0" collapsedLevelsAreSubtotals="1" fieldPosition="0">
        <references count="1">
          <reference field="4294967294" count="3" selected="0">
            <x v="9"/>
            <x v="10"/>
            <x v="11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9">
      <pivotArea dataOnly="0" outline="0" fieldPosition="0">
        <references count="1">
          <reference field="4294967294" count="1">
            <x v="8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37">
      <pivotArea field="1" type="button" dataOnly="0" labelOnly="1" outline="0" axis="axisRow" fieldPosition="0"/>
    </format>
    <format dxfId="136">
      <pivotArea dataOnly="0" labelOnly="1" grandRow="1" outline="0" fieldPosition="0"/>
    </format>
    <format dxfId="135">
      <pivotArea dataOnly="0" labelOnly="1" grandRow="1" outline="0" fieldPosition="0"/>
    </format>
    <format dxfId="134">
      <pivotArea outline="0" fieldPosition="0">
        <references count="1">
          <reference field="4294967294" count="1">
            <x v="4"/>
          </reference>
        </references>
      </pivotArea>
    </format>
    <format dxfId="133">
      <pivotArea outline="0" collapsedLevelsAreSubtotals="1" fieldPosition="0">
        <references count="1">
          <reference field="4294967294" count="5" selected="0">
            <x v="3"/>
            <x v="4"/>
            <x v="5"/>
            <x v="6"/>
            <x v="8"/>
          </reference>
        </references>
      </pivotArea>
    </format>
    <format dxfId="132">
      <pivotArea dataOnly="0" labelOnly="1" outline="0" fieldPosition="0">
        <references count="1">
          <reference field="4294967294" count="5">
            <x v="3"/>
            <x v="4"/>
            <x v="5"/>
            <x v="6"/>
            <x v="8"/>
          </reference>
        </references>
      </pivotArea>
    </format>
    <format dxfId="131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130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129">
      <pivotArea collapsedLevelsAreSubtotals="1" fieldPosition="0">
        <references count="2">
          <reference field="4294967294" count="4" selected="0">
            <x v="3"/>
            <x v="4"/>
            <x v="5"/>
            <x v="6"/>
          </reference>
          <reference field="1" count="0"/>
        </references>
      </pivotArea>
    </format>
    <format dxfId="128">
      <pivotArea collapsedLevelsAreSubtotals="1" fieldPosition="0">
        <references count="2">
          <reference field="4294967294" count="1" selected="0">
            <x v="8"/>
          </reference>
          <reference field="1" count="0"/>
        </references>
      </pivotArea>
    </format>
    <format dxfId="127">
      <pivotArea collapsedLevelsAreSubtotals="1" fieldPosition="0">
        <references count="2">
          <reference field="4294967294" count="2" selected="0">
            <x v="9"/>
            <x v="10"/>
          </reference>
          <reference field="1" count="0"/>
        </references>
      </pivotArea>
    </format>
    <format dxfId="126">
      <pivotArea collapsedLevelsAreSubtotals="1" fieldPosition="0">
        <references count="2">
          <reference field="4294967294" count="2" selected="0">
            <x v="11"/>
            <x v="12"/>
          </reference>
          <reference field="1" count="0"/>
        </references>
      </pivotArea>
    </format>
    <format dxfId="125">
      <pivotArea collapsedLevelsAreSubtotals="1" fieldPosition="0">
        <references count="2">
          <reference field="4294967294" count="1" selected="0">
            <x v="8"/>
          </reference>
          <reference field="1" count="0"/>
        </references>
      </pivotArea>
    </format>
    <format dxfId="124">
      <pivotArea collapsedLevelsAreSubtotals="1" fieldPosition="0">
        <references count="2">
          <reference field="4294967294" count="2" selected="0">
            <x v="11"/>
            <x v="12"/>
          </reference>
          <reference field="1" count="0"/>
        </references>
      </pivotArea>
    </format>
    <format dxfId="123">
      <pivotArea field="1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21">
      <pivotArea grandRow="1"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7">
      <pivotArea grandRow="1" outline="0" collapsedLevelsAreSubtotals="1" fieldPosition="0"/>
    </format>
    <format dxfId="116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115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114">
      <pivotArea outline="0" collapsedLevelsAreSubtotals="1" fieldPosition="0">
        <references count="1">
          <reference field="4294967294" count="1" selected="0">
            <x v="11"/>
          </reference>
        </references>
      </pivotArea>
    </format>
    <format dxfId="113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0"/>
          </reference>
          <reference field="1" count="0"/>
        </references>
      </pivotArea>
    </format>
    <format dxfId="110">
      <pivotArea collapsedLevelsAreSubtotals="1" fieldPosition="0">
        <references count="2">
          <reference field="4294967294" count="1" selected="0">
            <x v="0"/>
          </reference>
          <reference field="1" count="0"/>
        </references>
      </pivotArea>
    </format>
    <format dxfId="1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06">
      <pivotArea collapsedLevelsAreSubtotals="1" fieldPosition="0">
        <references count="2">
          <reference field="4294967294" count="1" selected="0">
            <x v="2"/>
          </reference>
          <reference field="1" count="0"/>
        </references>
      </pivotArea>
    </format>
    <format dxfId="105">
      <pivotArea collapsedLevelsAreSubtotals="1" fieldPosition="0">
        <references count="2">
          <reference field="4294967294" count="1" selected="0">
            <x v="7"/>
          </reference>
          <reference field="1" count="0"/>
        </references>
      </pivotArea>
    </format>
    <format dxfId="104">
      <pivotArea dataOnly="0" outline="0" fieldPosition="0">
        <references count="1">
          <reference field="4294967294" count="1">
            <x v="7"/>
          </reference>
        </references>
      </pivotArea>
    </format>
    <format dxfId="10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6"/>
          </reference>
          <reference field="1" count="0"/>
        </references>
      </pivotArea>
    </format>
    <format dxfId="10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98">
      <pivotArea field="1" grandRow="1" outline="0" collapsedLevelsAreSubtotals="1" axis="axisRow" fieldPosition="0">
        <references count="1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7"/>
          </reference>
        </references>
      </pivotArea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1" cacheId="19" applyNumberFormats="0" applyBorderFormats="0" applyFontFormats="0" applyPatternFormats="0" applyAlignmentFormats="0" applyWidthHeightFormats="1" dataCaption="Valores" updatedVersion="5" minRefreshableVersion="3" showDrill="0" useAutoFormatting="1" itemPrintTitles="1" createdVersion="5" indent="0" compact="0" compactData="0" multipleFieldFilters="0" rowHeaderCaption="N° OC">
  <location ref="B6:P128" firstHeaderRow="0" firstDataRow="1" firstDataCol="7" rowPageCount="1" colPageCount="1"/>
  <pivotFields count="2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LIENTE" axis="axisPage" compact="0" outline="0" showAll="0" defaultSubtotal="0">
      <items count="12">
        <item x="9"/>
        <item x="3"/>
        <item x="2"/>
        <item x="1"/>
        <item x="6"/>
        <item x="4"/>
        <item x="7"/>
        <item x="0"/>
        <item x="5"/>
        <item x="8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° OC" axis="axisRow" compact="0" outline="0" showAll="0" defaultSubtotal="0">
      <items count="1188">
        <item x="436"/>
        <item x="391"/>
        <item x="431"/>
        <item x="4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3"/>
        <item x="434"/>
        <item x="435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INGRESO" axis="axisRow" compact="0" numFmtId="22" outline="0" showAll="0" defaultSubtotal="0">
      <items count="28">
        <item x="2"/>
        <item x="5"/>
        <item x="27"/>
        <item x="7"/>
        <item x="8"/>
        <item x="24"/>
        <item x="18"/>
        <item x="3"/>
        <item x="14"/>
        <item x="15"/>
        <item x="17"/>
        <item x="6"/>
        <item x="0"/>
        <item x="1"/>
        <item x="4"/>
        <item x="9"/>
        <item x="10"/>
        <item x="11"/>
        <item x="12"/>
        <item x="13"/>
        <item x="16"/>
        <item x="19"/>
        <item x="20"/>
        <item x="21"/>
        <item x="22"/>
        <item x="23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EMISION" axis="axisRow" compact="0" numFmtId="22" outline="0" showAll="0" defaultSubtotal="0">
      <items count="44">
        <item x="3"/>
        <item x="12"/>
        <item x="43"/>
        <item x="10"/>
        <item x="11"/>
        <item x="36"/>
        <item x="26"/>
        <item x="4"/>
        <item x="21"/>
        <item x="23"/>
        <item x="34"/>
        <item x="6"/>
        <item x="35"/>
        <item x="7"/>
        <item x="0"/>
        <item x="1"/>
        <item x="2"/>
        <item x="5"/>
        <item x="8"/>
        <item x="9"/>
        <item x="13"/>
        <item x="14"/>
        <item x="15"/>
        <item x="16"/>
        <item x="17"/>
        <item x="18"/>
        <item x="19"/>
        <item x="20"/>
        <item x="22"/>
        <item x="24"/>
        <item x="25"/>
        <item x="27"/>
        <item x="28"/>
        <item x="29"/>
        <item x="30"/>
        <item x="31"/>
        <item x="32"/>
        <item x="33"/>
        <item x="37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COMPROMISO" axis="axisRow" compact="0" numFmtId="22" outline="0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ODIGO" axis="axisRow" compact="0" outline="0" showAll="0" defaultSubtotal="0">
      <items count="218">
        <item x="60"/>
        <item x="2"/>
        <item x="64"/>
        <item x="32"/>
        <item x="87"/>
        <item x="80"/>
        <item x="69"/>
        <item x="4"/>
        <item x="17"/>
        <item x="137"/>
        <item x="107"/>
        <item x="73"/>
        <item x="6"/>
        <item x="49"/>
        <item x="57"/>
        <item x="18"/>
        <item x="9"/>
        <item x="11"/>
        <item x="46"/>
        <item x="37"/>
        <item x="125"/>
        <item x="108"/>
        <item x="110"/>
        <item x="82"/>
        <item x="58"/>
        <item x="27"/>
        <item x="50"/>
        <item x="55"/>
        <item x="83"/>
        <item x="3"/>
        <item x="44"/>
        <item x="45"/>
        <item x="90"/>
        <item x="34"/>
        <item x="68"/>
        <item x="92"/>
        <item x="5"/>
        <item x="8"/>
        <item x="7"/>
        <item x="14"/>
        <item x="28"/>
        <item x="56"/>
        <item x="96"/>
        <item x="101"/>
        <item x="84"/>
        <item x="115"/>
        <item x="111"/>
        <item x="24"/>
        <item x="181"/>
        <item x="40"/>
        <item x="53"/>
        <item x="94"/>
        <item x="10"/>
        <item x="77"/>
        <item x="19"/>
        <item x="20"/>
        <item x="22"/>
        <item x="23"/>
        <item x="25"/>
        <item x="21"/>
        <item x="63"/>
        <item x="1"/>
        <item x="142"/>
        <item x="188"/>
        <item x="189"/>
        <item x="194"/>
        <item x="190"/>
        <item x="176"/>
        <item x="191"/>
        <item x="72"/>
        <item x="195"/>
        <item x="88"/>
        <item x="212"/>
        <item x="213"/>
        <item x="215"/>
        <item x="95"/>
        <item x="159"/>
        <item x="29"/>
        <item x="150"/>
        <item x="154"/>
        <item x="15"/>
        <item x="13"/>
        <item x="156"/>
        <item x="67"/>
        <item x="135"/>
        <item x="202"/>
        <item x="162"/>
        <item x="30"/>
        <item x="51"/>
        <item x="16"/>
        <item x="93"/>
        <item x="100"/>
        <item x="134"/>
        <item x="76"/>
        <item x="118"/>
        <item x="86"/>
        <item x="36"/>
        <item x="99"/>
        <item x="146"/>
        <item x="143"/>
        <item x="97"/>
        <item x="164"/>
        <item x="144"/>
        <item x="152"/>
        <item x="207"/>
        <item x="173"/>
        <item x="106"/>
        <item x="149"/>
        <item x="123"/>
        <item x="42"/>
        <item x="184"/>
        <item x="175"/>
        <item x="39"/>
        <item x="148"/>
        <item x="12"/>
        <item x="145"/>
        <item x="168"/>
        <item x="33"/>
        <item x="193"/>
        <item x="200"/>
        <item x="155"/>
        <item x="183"/>
        <item x="169"/>
        <item x="0"/>
        <item x="26"/>
        <item x="31"/>
        <item x="35"/>
        <item x="38"/>
        <item x="41"/>
        <item x="43"/>
        <item x="47"/>
        <item x="48"/>
        <item x="52"/>
        <item x="54"/>
        <item x="59"/>
        <item x="61"/>
        <item x="62"/>
        <item x="65"/>
        <item x="66"/>
        <item x="70"/>
        <item x="71"/>
        <item x="74"/>
        <item x="75"/>
        <item x="78"/>
        <item x="79"/>
        <item x="81"/>
        <item x="85"/>
        <item x="89"/>
        <item x="91"/>
        <item x="98"/>
        <item x="102"/>
        <item x="103"/>
        <item x="104"/>
        <item x="105"/>
        <item x="109"/>
        <item x="112"/>
        <item x="113"/>
        <item x="114"/>
        <item x="116"/>
        <item x="117"/>
        <item x="119"/>
        <item x="120"/>
        <item x="121"/>
        <item x="122"/>
        <item x="124"/>
        <item x="126"/>
        <item x="127"/>
        <item x="128"/>
        <item x="129"/>
        <item x="130"/>
        <item x="131"/>
        <item x="132"/>
        <item x="133"/>
        <item x="136"/>
        <item x="138"/>
        <item x="139"/>
        <item x="140"/>
        <item x="141"/>
        <item x="147"/>
        <item x="151"/>
        <item x="153"/>
        <item x="157"/>
        <item x="158"/>
        <item x="160"/>
        <item x="161"/>
        <item x="163"/>
        <item x="165"/>
        <item x="166"/>
        <item x="167"/>
        <item x="170"/>
        <item x="171"/>
        <item x="172"/>
        <item x="174"/>
        <item x="177"/>
        <item x="178"/>
        <item x="179"/>
        <item x="180"/>
        <item x="182"/>
        <item x="185"/>
        <item x="186"/>
        <item x="187"/>
        <item x="192"/>
        <item x="196"/>
        <item x="197"/>
        <item x="198"/>
        <item x="199"/>
        <item x="201"/>
        <item x="203"/>
        <item x="204"/>
        <item x="205"/>
        <item x="206"/>
        <item x="208"/>
        <item x="209"/>
        <item x="210"/>
        <item x="211"/>
        <item x="214"/>
        <item x="216"/>
        <item x="2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CRIPCION" axis="axisRow" compact="0" outline="0" showAll="0" defaultSubtotal="0">
      <items count="218">
        <item x="60"/>
        <item x="58"/>
        <item x="83"/>
        <item x="107"/>
        <item x="108"/>
        <item x="17"/>
        <item x="80"/>
        <item x="69"/>
        <item x="87"/>
        <item x="4"/>
        <item x="2"/>
        <item x="34"/>
        <item x="110"/>
        <item x="46"/>
        <item x="37"/>
        <item x="44"/>
        <item x="27"/>
        <item x="50"/>
        <item x="137"/>
        <item x="7"/>
        <item x="8"/>
        <item x="55"/>
        <item x="18"/>
        <item x="9"/>
        <item x="32"/>
        <item x="125"/>
        <item x="6"/>
        <item x="49"/>
        <item x="45"/>
        <item x="68"/>
        <item x="64"/>
        <item x="90"/>
        <item x="92"/>
        <item x="5"/>
        <item x="82"/>
        <item x="11"/>
        <item x="57"/>
        <item x="73"/>
        <item x="3"/>
        <item x="14"/>
        <item x="28"/>
        <item x="56"/>
        <item x="96"/>
        <item x="101"/>
        <item x="84"/>
        <item x="115"/>
        <item x="111"/>
        <item x="24"/>
        <item x="181"/>
        <item x="40"/>
        <item x="53"/>
        <item x="94"/>
        <item x="10"/>
        <item x="77"/>
        <item x="19"/>
        <item x="20"/>
        <item x="22"/>
        <item x="23"/>
        <item x="25"/>
        <item x="21"/>
        <item x="63"/>
        <item x="1"/>
        <item x="142"/>
        <item x="188"/>
        <item x="189"/>
        <item x="194"/>
        <item x="190"/>
        <item x="176"/>
        <item x="191"/>
        <item x="72"/>
        <item x="195"/>
        <item x="88"/>
        <item x="212"/>
        <item x="213"/>
        <item x="215"/>
        <item x="95"/>
        <item x="159"/>
        <item x="29"/>
        <item x="150"/>
        <item x="154"/>
        <item x="15"/>
        <item x="13"/>
        <item x="156"/>
        <item x="67"/>
        <item x="135"/>
        <item x="202"/>
        <item x="162"/>
        <item x="30"/>
        <item x="51"/>
        <item x="16"/>
        <item x="93"/>
        <item x="100"/>
        <item x="134"/>
        <item x="76"/>
        <item x="118"/>
        <item x="86"/>
        <item x="36"/>
        <item x="99"/>
        <item x="146"/>
        <item x="143"/>
        <item x="97"/>
        <item x="164"/>
        <item x="144"/>
        <item x="152"/>
        <item x="207"/>
        <item x="173"/>
        <item x="106"/>
        <item x="149"/>
        <item x="123"/>
        <item x="42"/>
        <item x="184"/>
        <item x="175"/>
        <item x="39"/>
        <item x="148"/>
        <item x="12"/>
        <item x="145"/>
        <item x="168"/>
        <item x="33"/>
        <item x="193"/>
        <item x="200"/>
        <item x="155"/>
        <item x="183"/>
        <item x="169"/>
        <item x="0"/>
        <item x="26"/>
        <item x="31"/>
        <item x="35"/>
        <item x="38"/>
        <item x="41"/>
        <item x="43"/>
        <item x="47"/>
        <item x="48"/>
        <item x="52"/>
        <item x="54"/>
        <item x="59"/>
        <item x="61"/>
        <item x="62"/>
        <item x="65"/>
        <item x="66"/>
        <item x="70"/>
        <item x="71"/>
        <item x="74"/>
        <item x="75"/>
        <item x="78"/>
        <item x="79"/>
        <item x="81"/>
        <item x="85"/>
        <item x="89"/>
        <item x="91"/>
        <item x="98"/>
        <item x="102"/>
        <item x="103"/>
        <item x="104"/>
        <item x="105"/>
        <item x="109"/>
        <item x="112"/>
        <item x="113"/>
        <item x="114"/>
        <item x="116"/>
        <item x="117"/>
        <item x="119"/>
        <item x="120"/>
        <item x="121"/>
        <item x="122"/>
        <item x="124"/>
        <item x="126"/>
        <item x="127"/>
        <item x="128"/>
        <item x="129"/>
        <item x="130"/>
        <item x="131"/>
        <item x="132"/>
        <item x="133"/>
        <item x="136"/>
        <item x="138"/>
        <item x="139"/>
        <item x="140"/>
        <item x="141"/>
        <item x="147"/>
        <item x="151"/>
        <item x="153"/>
        <item x="157"/>
        <item x="158"/>
        <item x="160"/>
        <item x="161"/>
        <item x="163"/>
        <item x="165"/>
        <item x="166"/>
        <item x="167"/>
        <item x="170"/>
        <item x="171"/>
        <item x="172"/>
        <item x="174"/>
        <item x="177"/>
        <item x="178"/>
        <item x="179"/>
        <item x="180"/>
        <item x="182"/>
        <item x="185"/>
        <item x="186"/>
        <item x="187"/>
        <item x="192"/>
        <item x="196"/>
        <item x="197"/>
        <item x="198"/>
        <item x="199"/>
        <item x="201"/>
        <item x="203"/>
        <item x="204"/>
        <item x="205"/>
        <item x="206"/>
        <item x="208"/>
        <item x="209"/>
        <item x="210"/>
        <item x="211"/>
        <item x="214"/>
        <item x="216"/>
        <item x="2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FECHA EMBARQUE" axis="axisRow" compact="0" outline="0" showAll="0" defaultSubtotal="0">
      <items count="32">
        <item x="2"/>
        <item x="30"/>
        <item x="22"/>
        <item x="17"/>
        <item x="6"/>
        <item x="23"/>
        <item x="28"/>
        <item x="0"/>
        <item x="1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4"/>
        <item x="25"/>
        <item x="26"/>
        <item x="27"/>
        <item x="2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2"/>
    <field x="3"/>
    <field x="4"/>
    <field x="5"/>
    <field x="12"/>
    <field x="6"/>
    <field x="7"/>
  </rowFields>
  <rowItems count="122">
    <i>
      <x v="246"/>
      <x v="15"/>
      <x v="20"/>
      <x v="8"/>
      <x v="30"/>
      <x v="75"/>
      <x v="75"/>
    </i>
    <i r="5">
      <x v="94"/>
      <x v="94"/>
    </i>
    <i r="5">
      <x v="160"/>
      <x v="160"/>
    </i>
    <i r="5">
      <x v="161"/>
      <x v="161"/>
    </i>
    <i r="5">
      <x v="162"/>
      <x v="162"/>
    </i>
    <i r="5">
      <x v="163"/>
      <x v="163"/>
    </i>
    <i>
      <x v="247"/>
      <x v="15"/>
      <x v="20"/>
      <x v="8"/>
      <x/>
      <x v="163"/>
      <x v="163"/>
    </i>
    <i>
      <x v="248"/>
      <x v="15"/>
      <x v="20"/>
      <x v="8"/>
      <x/>
      <x v="163"/>
      <x v="163"/>
    </i>
    <i>
      <x v="249"/>
      <x v="22"/>
      <x v="41"/>
      <x v="11"/>
      <x v="18"/>
      <x v="108"/>
      <x v="108"/>
    </i>
    <i>
      <x v="250"/>
      <x v="27"/>
      <x v="33"/>
      <x v="11"/>
      <x v="18"/>
      <x v="61"/>
      <x v="61"/>
    </i>
    <i>
      <x v="251"/>
      <x v="21"/>
      <x v="33"/>
      <x v="19"/>
      <x v="16"/>
      <x v="12"/>
      <x v="26"/>
    </i>
    <i>
      <x v="252"/>
      <x v="22"/>
      <x v="35"/>
      <x v="11"/>
      <x v="18"/>
      <x v="164"/>
      <x v="164"/>
    </i>
    <i>
      <x v="253"/>
      <x v="22"/>
      <x v="35"/>
      <x v="12"/>
      <x v="17"/>
      <x v="164"/>
      <x v="164"/>
    </i>
    <i>
      <x v="254"/>
      <x v="22"/>
      <x v="42"/>
      <x v="10"/>
      <x v="16"/>
      <x v="164"/>
      <x v="164"/>
    </i>
    <i>
      <x v="255"/>
      <x v="23"/>
      <x v="42"/>
      <x v="11"/>
      <x v="18"/>
      <x v="164"/>
      <x v="164"/>
    </i>
    <i>
      <x v="256"/>
      <x v="23"/>
      <x v="42"/>
      <x v="10"/>
      <x v="16"/>
      <x v="20"/>
      <x v="25"/>
    </i>
    <i>
      <x v="257"/>
      <x v="24"/>
      <x v="42"/>
      <x v="20"/>
      <x v="18"/>
      <x v="164"/>
      <x v="164"/>
    </i>
    <i>
      <x v="258"/>
      <x v="24"/>
      <x v="21"/>
      <x v="20"/>
      <x v="18"/>
      <x v="164"/>
      <x v="164"/>
    </i>
    <i>
      <x v="259"/>
      <x v="24"/>
      <x v="21"/>
      <x v="19"/>
      <x/>
      <x v="160"/>
      <x v="160"/>
    </i>
    <i r="5">
      <x v="162"/>
      <x v="162"/>
    </i>
    <i>
      <x v="260"/>
      <x v="25"/>
      <x v="36"/>
      <x v="8"/>
      <x v="23"/>
      <x v="94"/>
      <x v="94"/>
    </i>
    <i r="5">
      <x v="160"/>
      <x v="160"/>
    </i>
    <i r="5">
      <x v="161"/>
      <x v="161"/>
    </i>
    <i r="5">
      <x v="162"/>
      <x v="162"/>
    </i>
    <i r="5">
      <x v="163"/>
      <x v="163"/>
    </i>
    <i>
      <x v="261"/>
      <x v="25"/>
      <x v="36"/>
      <x v="13"/>
      <x/>
      <x v="163"/>
      <x v="163"/>
    </i>
    <i>
      <x v="262"/>
      <x v="17"/>
      <x v="37"/>
      <x v="13"/>
      <x v="17"/>
      <x v="164"/>
      <x v="164"/>
    </i>
    <i>
      <x v="263"/>
      <x v="11"/>
      <x v="18"/>
      <x v="7"/>
      <x v="5"/>
      <x v="28"/>
      <x v="2"/>
    </i>
    <i>
      <x v="264"/>
      <x v="3"/>
      <x v="3"/>
      <x v="7"/>
      <x v="5"/>
      <x v="108"/>
      <x v="108"/>
    </i>
    <i>
      <x v="265"/>
      <x v="3"/>
      <x v="3"/>
      <x v="7"/>
      <x v="5"/>
      <x v="108"/>
      <x v="108"/>
    </i>
    <i>
      <x v="496"/>
      <x v="26"/>
      <x v="23"/>
      <x v="5"/>
      <x v="19"/>
      <x v="12"/>
      <x v="26"/>
    </i>
    <i>
      <x v="497"/>
      <x v="19"/>
      <x v="26"/>
      <x v="22"/>
      <x/>
      <x v="75"/>
      <x v="75"/>
    </i>
    <i>
      <x v="498"/>
      <x v="19"/>
      <x v="26"/>
      <x v="22"/>
      <x v="17"/>
      <x v="75"/>
      <x v="75"/>
    </i>
    <i>
      <x v="499"/>
      <x v="19"/>
      <x v="26"/>
      <x v="18"/>
      <x v="14"/>
      <x v="50"/>
      <x v="50"/>
    </i>
    <i>
      <x v="500"/>
      <x v="26"/>
      <x v="38"/>
      <x/>
      <x v="11"/>
      <x v="86"/>
      <x v="86"/>
    </i>
    <i>
      <x v="501"/>
      <x v="12"/>
      <x v="39"/>
      <x v="22"/>
      <x v="19"/>
      <x v="75"/>
      <x v="75"/>
    </i>
    <i r="5">
      <x v="94"/>
      <x v="94"/>
    </i>
    <i r="5">
      <x v="160"/>
      <x v="160"/>
    </i>
    <i r="5">
      <x v="162"/>
      <x v="162"/>
    </i>
    <i r="5">
      <x v="163"/>
      <x v="163"/>
    </i>
    <i r="5">
      <x v="185"/>
      <x v="185"/>
    </i>
    <i>
      <x v="502"/>
      <x v="12"/>
      <x v="39"/>
      <x v="23"/>
      <x v="14"/>
      <x v="18"/>
      <x v="13"/>
    </i>
    <i>
      <x v="503"/>
      <x v="12"/>
      <x v="39"/>
      <x v="4"/>
      <x v="11"/>
      <x v="108"/>
      <x v="108"/>
    </i>
    <i>
      <x v="504"/>
      <x v="12"/>
      <x v="14"/>
      <x v="17"/>
      <x v="5"/>
      <x v="108"/>
      <x v="108"/>
    </i>
    <i>
      <x v="505"/>
      <x v="12"/>
      <x v="14"/>
      <x v="4"/>
      <x v="11"/>
      <x v="50"/>
      <x v="50"/>
    </i>
    <i>
      <x v="506"/>
      <x v="12"/>
      <x v="14"/>
      <x v="4"/>
      <x v="11"/>
      <x v="108"/>
      <x v="108"/>
    </i>
    <i>
      <x v="507"/>
      <x v="12"/>
      <x v="15"/>
      <x v="4"/>
      <x v="11"/>
      <x v="108"/>
      <x v="108"/>
    </i>
    <i>
      <x v="508"/>
      <x v="13"/>
      <x v="16"/>
      <x v="22"/>
      <x v="19"/>
      <x v="161"/>
      <x v="161"/>
    </i>
    <i r="5">
      <x v="162"/>
      <x v="162"/>
    </i>
    <i>
      <x v="509"/>
      <x v="13"/>
      <x v="16"/>
      <x v="4"/>
      <x v="11"/>
      <x v="108"/>
      <x v="108"/>
    </i>
    <i>
      <x v="510"/>
      <x/>
      <x/>
      <x v="4"/>
      <x v="11"/>
      <x v="101"/>
      <x v="101"/>
    </i>
    <i>
      <x v="511"/>
      <x/>
      <x/>
      <x v="4"/>
      <x v="11"/>
      <x v="108"/>
      <x v="108"/>
    </i>
    <i>
      <x v="512"/>
      <x/>
      <x/>
      <x v="4"/>
      <x v="11"/>
      <x v="1"/>
      <x v="10"/>
    </i>
    <i>
      <x v="513"/>
      <x/>
      <x/>
      <x v="4"/>
      <x v="11"/>
      <x v="108"/>
      <x v="108"/>
    </i>
    <i>
      <x v="514"/>
      <x/>
      <x/>
      <x v="4"/>
      <x v="11"/>
      <x v="2"/>
      <x v="30"/>
    </i>
    <i>
      <x v="515"/>
      <x/>
      <x/>
      <x v="4"/>
      <x v="11"/>
      <x v="108"/>
      <x v="108"/>
    </i>
    <i>
      <x v="516"/>
      <x/>
      <x/>
      <x v="15"/>
      <x v="21"/>
      <x v="126"/>
      <x v="126"/>
    </i>
    <i>
      <x v="517"/>
      <x/>
      <x/>
      <x/>
      <x v="11"/>
      <x v="20"/>
      <x v="25"/>
    </i>
    <i>
      <x v="518"/>
      <x v="7"/>
      <x v="7"/>
      <x/>
      <x v="11"/>
      <x v="108"/>
      <x v="108"/>
    </i>
    <i>
      <x v="519"/>
      <x v="7"/>
      <x v="7"/>
      <x/>
      <x v="11"/>
      <x v="50"/>
      <x v="50"/>
    </i>
    <i>
      <x v="520"/>
      <x v="7"/>
      <x v="7"/>
      <x v="7"/>
      <x v="5"/>
      <x v="108"/>
      <x v="108"/>
    </i>
    <i>
      <x v="521"/>
      <x v="7"/>
      <x v="7"/>
      <x/>
      <x v="11"/>
      <x v="108"/>
      <x v="108"/>
    </i>
    <i>
      <x v="522"/>
      <x v="7"/>
      <x v="7"/>
      <x/>
      <x v="11"/>
      <x v="108"/>
      <x v="108"/>
    </i>
    <i>
      <x v="523"/>
      <x v="7"/>
      <x v="7"/>
      <x/>
      <x v="11"/>
      <x v="108"/>
      <x v="108"/>
    </i>
    <i>
      <x v="524"/>
      <x v="7"/>
      <x v="7"/>
      <x/>
      <x v="11"/>
      <x v="108"/>
      <x v="108"/>
    </i>
    <i>
      <x v="525"/>
      <x v="7"/>
      <x v="7"/>
      <x/>
      <x v="11"/>
      <x v="28"/>
      <x v="2"/>
    </i>
    <i>
      <x v="526"/>
      <x v="7"/>
      <x v="7"/>
      <x/>
      <x v="11"/>
      <x v="108"/>
      <x v="108"/>
    </i>
    <i>
      <x v="527"/>
      <x v="7"/>
      <x v="7"/>
      <x v="17"/>
      <x v="1"/>
      <x v="86"/>
      <x v="86"/>
    </i>
    <i>
      <x v="528"/>
      <x v="14"/>
      <x v="40"/>
      <x v="17"/>
      <x v="5"/>
      <x v="2"/>
      <x v="30"/>
    </i>
    <i>
      <x v="529"/>
      <x v="14"/>
      <x v="40"/>
      <x v="28"/>
      <x v="31"/>
      <x v="75"/>
      <x v="75"/>
    </i>
    <i r="5">
      <x v="94"/>
      <x v="94"/>
    </i>
    <i r="5">
      <x v="160"/>
      <x v="160"/>
    </i>
    <i r="5">
      <x v="161"/>
      <x v="161"/>
    </i>
    <i r="5">
      <x v="162"/>
      <x v="162"/>
    </i>
    <i r="5">
      <x v="163"/>
      <x v="163"/>
    </i>
    <i>
      <x v="530"/>
      <x v="14"/>
      <x v="27"/>
      <x v="17"/>
      <x v="5"/>
      <x v="108"/>
      <x v="108"/>
    </i>
    <i>
      <x v="531"/>
      <x v="8"/>
      <x v="27"/>
      <x v="7"/>
      <x v="5"/>
      <x v="164"/>
      <x v="164"/>
    </i>
    <i>
      <x v="532"/>
      <x v="8"/>
      <x v="27"/>
      <x v="17"/>
      <x/>
      <x v="1"/>
      <x v="10"/>
    </i>
    <i>
      <x v="533"/>
      <x v="8"/>
      <x v="27"/>
      <x v="17"/>
      <x v="5"/>
      <x v="108"/>
      <x v="108"/>
    </i>
    <i>
      <x v="534"/>
      <x v="8"/>
      <x v="27"/>
      <x v="17"/>
      <x v="5"/>
      <x v="108"/>
      <x v="108"/>
    </i>
    <i>
      <x v="535"/>
      <x v="8"/>
      <x v="27"/>
      <x v="17"/>
      <x v="5"/>
      <x v="108"/>
      <x v="108"/>
    </i>
    <i>
      <x v="536"/>
      <x v="8"/>
      <x v="8"/>
      <x v="7"/>
      <x v="5"/>
      <x v="108"/>
      <x v="108"/>
    </i>
    <i>
      <x v="537"/>
      <x v="8"/>
      <x v="8"/>
      <x v="7"/>
      <x v="5"/>
      <x v="164"/>
      <x v="164"/>
    </i>
    <i>
      <x v="538"/>
      <x v="8"/>
      <x v="28"/>
      <x v="17"/>
      <x v="1"/>
      <x v="164"/>
      <x v="164"/>
    </i>
    <i>
      <x v="539"/>
      <x v="8"/>
      <x v="28"/>
      <x v="17"/>
      <x v="5"/>
      <x v="86"/>
      <x v="86"/>
    </i>
    <i>
      <x v="540"/>
      <x v="8"/>
      <x v="28"/>
      <x v="17"/>
      <x v="5"/>
      <x v="108"/>
      <x v="108"/>
    </i>
    <i>
      <x v="541"/>
      <x v="8"/>
      <x v="28"/>
      <x v="7"/>
      <x v="5"/>
      <x v="108"/>
      <x v="108"/>
    </i>
    <i>
      <x v="542"/>
      <x v="9"/>
      <x v="9"/>
      <x v="17"/>
      <x v="5"/>
      <x v="108"/>
      <x v="108"/>
    </i>
    <i>
      <x v="543"/>
      <x v="9"/>
      <x v="9"/>
      <x v="7"/>
      <x v="5"/>
      <x v="108"/>
      <x v="108"/>
    </i>
    <i>
      <x v="544"/>
      <x v="9"/>
      <x v="9"/>
      <x v="17"/>
      <x v="5"/>
      <x v="108"/>
      <x v="108"/>
    </i>
    <i>
      <x v="545"/>
      <x v="9"/>
      <x v="9"/>
      <x v="17"/>
      <x v="5"/>
      <x v="108"/>
      <x v="108"/>
    </i>
    <i>
      <x v="546"/>
      <x v="9"/>
      <x v="9"/>
      <x v="17"/>
      <x v="5"/>
      <x v="108"/>
      <x v="108"/>
    </i>
    <i>
      <x v="547"/>
      <x v="9"/>
      <x v="9"/>
      <x v="17"/>
      <x v="5"/>
      <x v="108"/>
      <x v="108"/>
    </i>
    <i>
      <x v="548"/>
      <x v="9"/>
      <x v="9"/>
      <x v="7"/>
      <x v="5"/>
      <x v="164"/>
      <x v="164"/>
    </i>
    <i>
      <x v="549"/>
      <x v="9"/>
      <x v="9"/>
      <x v="17"/>
      <x v="5"/>
      <x v="108"/>
      <x v="108"/>
    </i>
    <i>
      <x v="550"/>
      <x v="9"/>
      <x v="9"/>
      <x v="17"/>
      <x v="5"/>
      <x v="164"/>
      <x v="164"/>
    </i>
    <i>
      <x v="551"/>
      <x v="9"/>
      <x v="29"/>
      <x v="17"/>
      <x v="5"/>
      <x v="108"/>
      <x v="108"/>
    </i>
    <i>
      <x v="552"/>
      <x v="20"/>
      <x v="29"/>
      <x v="7"/>
      <x v="5"/>
      <x v="19"/>
      <x v="14"/>
    </i>
    <i>
      <x v="553"/>
      <x v="20"/>
      <x v="29"/>
      <x v="17"/>
      <x v="5"/>
      <x v="108"/>
      <x v="108"/>
    </i>
    <i>
      <x v="554"/>
      <x v="20"/>
      <x v="29"/>
      <x v="7"/>
      <x v="5"/>
      <x v="108"/>
      <x v="108"/>
    </i>
    <i>
      <x v="555"/>
      <x v="20"/>
      <x v="29"/>
      <x v="17"/>
      <x v="5"/>
      <x v="108"/>
      <x v="108"/>
    </i>
    <i>
      <x v="556"/>
      <x v="10"/>
      <x v="30"/>
      <x v="17"/>
      <x v="5"/>
      <x v="2"/>
      <x v="30"/>
    </i>
    <i>
      <x v="557"/>
      <x v="10"/>
      <x v="30"/>
      <x v="24"/>
      <x v="21"/>
      <x v="75"/>
      <x v="75"/>
    </i>
    <i r="5">
      <x v="162"/>
      <x v="162"/>
    </i>
    <i r="5">
      <x v="185"/>
      <x v="185"/>
    </i>
    <i>
      <x v="558"/>
      <x v="10"/>
      <x v="30"/>
      <x v="7"/>
      <x v="5"/>
      <x v="108"/>
      <x v="108"/>
    </i>
    <i>
      <x v="559"/>
      <x v="10"/>
      <x v="30"/>
      <x v="17"/>
      <x v="5"/>
      <x v="91"/>
      <x v="91"/>
    </i>
    <i>
      <x v="560"/>
      <x v="6"/>
      <x v="6"/>
      <x v="7"/>
      <x v="5"/>
      <x v="108"/>
      <x v="108"/>
    </i>
    <i>
      <x v="561"/>
      <x v="6"/>
      <x v="6"/>
      <x v="7"/>
      <x v="5"/>
      <x v="108"/>
      <x v="108"/>
    </i>
    <i>
      <x v="562"/>
      <x v="6"/>
      <x v="6"/>
      <x v="7"/>
      <x v="5"/>
      <x v="108"/>
      <x v="108"/>
    </i>
    <i>
      <x v="563"/>
      <x v="6"/>
      <x v="6"/>
      <x v="7"/>
      <x v="5"/>
      <x v="2"/>
      <x v="30"/>
    </i>
    <i>
      <x v="564"/>
      <x v="6"/>
      <x v="6"/>
      <x v="17"/>
      <x v="5"/>
      <x v="91"/>
      <x v="91"/>
    </i>
    <i>
      <x v="565"/>
      <x v="6"/>
      <x v="6"/>
      <x v="7"/>
      <x v="5"/>
      <x v="108"/>
      <x v="108"/>
    </i>
    <i>
      <x v="566"/>
      <x v="11"/>
      <x v="31"/>
      <x v="7"/>
      <x v="5"/>
      <x v="86"/>
      <x v="86"/>
    </i>
    <i>
      <x v="567"/>
      <x v="11"/>
      <x v="31"/>
      <x v="7"/>
      <x v="5"/>
      <x v="108"/>
      <x v="108"/>
    </i>
    <i>
      <x v="568"/>
      <x v="11"/>
      <x v="17"/>
      <x v="17"/>
      <x v="5"/>
      <x v="186"/>
      <x v="186"/>
    </i>
    <i>
      <x v="569"/>
      <x v="11"/>
      <x v="17"/>
      <x v="7"/>
      <x v="5"/>
      <x v="108"/>
      <x v="108"/>
    </i>
    <i>
      <x v="570"/>
      <x v="11"/>
      <x v="11"/>
      <x v="26"/>
      <x v="21"/>
      <x v="126"/>
      <x v="126"/>
    </i>
    <i>
      <x v="571"/>
      <x v="11"/>
      <x v="13"/>
      <x v="17"/>
      <x v="5"/>
      <x v="91"/>
      <x v="91"/>
    </i>
    <i>
      <x v="572"/>
      <x v="11"/>
      <x v="13"/>
      <x v="7"/>
      <x v="5"/>
      <x v="108"/>
      <x v="108"/>
    </i>
    <i>
      <x v="573"/>
      <x v="11"/>
      <x v="13"/>
      <x v="17"/>
      <x v="5"/>
      <x v="2"/>
      <x v="30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1" item="0" hier="-1"/>
  </pageFields>
  <dataFields count="8">
    <dataField name="SOLICITADA" fld="8" baseField="7" baseItem="183" numFmtId="3"/>
    <dataField name="ENCONTRADA" fld="10" baseField="7" baseItem="183" numFmtId="3"/>
    <dataField name="EMBARCADA" fld="14" baseField="7" baseItem="27" numFmtId="3"/>
    <dataField name="DEVUELTA" fld="13" baseField="7" baseItem="183" numFmtId="3"/>
    <dataField name="REEMBARCADA" fld="15" baseField="7" baseItem="27" numFmtId="3"/>
    <dataField name="CUMP REAL UNDS" fld="16" baseField="7" baseItem="27" numFmtId="3"/>
    <dataField name="PENDIENTE" fld="26" baseField="0" baseItem="0" numFmtId="3"/>
    <dataField name="% CUMP UNDS" fld="25" baseField="7" baseItem="122" numFmtId="10"/>
  </dataFields>
  <formats count="21">
    <format dxfId="50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48">
      <pivotArea outline="0" fieldPosition="0">
        <references count="1">
          <reference field="4294967294" count="1">
            <x v="0"/>
          </reference>
        </references>
      </pivotArea>
    </format>
    <format dxfId="47">
      <pivotArea outline="0" fieldPosition="0">
        <references count="1">
          <reference field="4294967294" count="1">
            <x v="1"/>
          </reference>
        </references>
      </pivotArea>
    </format>
    <format dxfId="46">
      <pivotArea outline="0" fieldPosition="0">
        <references count="1">
          <reference field="4294967294" count="1">
            <x v="3"/>
          </reference>
        </references>
      </pivotArea>
    </format>
    <format dxfId="45">
      <pivotArea field="7" type="button" dataOnly="0" labelOnly="1" outline="0" axis="axisRow" fieldPosition="6"/>
    </format>
    <format dxfId="44">
      <pivotArea field="6" type="button" dataOnly="0" labelOnly="1" outline="0" axis="axisRow" fieldPosition="5"/>
    </format>
    <format dxfId="43">
      <pivotArea field="12" type="button" dataOnly="0" labelOnly="1" outline="0" axis="axisRow" fieldPosition="4"/>
    </format>
    <format dxfId="42">
      <pivotArea field="5" type="button" dataOnly="0" labelOnly="1" outline="0" axis="axisRow" fieldPosition="3"/>
    </format>
    <format dxfId="41">
      <pivotArea field="4" type="button" dataOnly="0" labelOnly="1" outline="0" axis="axisRow" fieldPosition="2"/>
    </format>
    <format dxfId="40">
      <pivotArea field="3" type="button" dataOnly="0" labelOnly="1" outline="0" axis="axisRow" fieldPosition="1"/>
    </format>
    <format dxfId="39">
      <pivotArea field="2" type="button" dataOnly="0" labelOnly="1" outline="0" axis="axisRow" fieldPosition="0"/>
    </format>
    <format dxfId="38">
      <pivotArea outline="0" fieldPosition="0">
        <references count="1">
          <reference field="4294967294" count="1"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outline="0" fieldPosition="0">
        <references count="1">
          <reference field="4294967294" count="1">
            <x v="4"/>
          </reference>
        </references>
      </pivotArea>
    </format>
    <format dxfId="34">
      <pivotArea outline="0" fieldPosition="0">
        <references count="1">
          <reference field="4294967294" count="1">
            <x v="5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31">
      <pivotArea outline="0" fieldPosition="0">
        <references count="1">
          <reference field="4294967294" count="1">
            <x v="7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6"/>
          </reference>
        </references>
      </pivotArea>
    </format>
  </formats>
  <conditionalFormats count="3">
    <conditionalFormat scope="data" priority="3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8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B6:G11" firstHeaderRow="0" firstDataRow="1" firstDataCol="4" rowPageCount="1" colPageCount="1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C" axis="axisPage" compact="0" outline="0" showAll="0" defaultSubtotal="0">
      <items count="1507">
        <item x="846"/>
        <item m="1" x="1227"/>
        <item x="331"/>
        <item x="1125"/>
        <item x="400"/>
        <item x="401"/>
        <item x="672"/>
        <item x="673"/>
        <item x="674"/>
        <item x="675"/>
        <item x="676"/>
        <item x="677"/>
        <item x="668"/>
        <item x="669"/>
        <item x="670"/>
        <item x="671"/>
        <item x="1123"/>
        <item x="1124"/>
        <item x="1011"/>
        <item x="1012"/>
        <item x="1013"/>
        <item x="1014"/>
        <item x="1015"/>
        <item x="1120"/>
        <item x="1008"/>
        <item x="1121"/>
        <item x="1009"/>
        <item x="1010"/>
        <item x="1122"/>
        <item x="353"/>
        <item x="347"/>
        <item x="348"/>
        <item x="349"/>
        <item x="350"/>
        <item x="351"/>
        <item x="352"/>
        <item x="346"/>
        <item x="437"/>
        <item x="438"/>
        <item x="439"/>
        <item x="440"/>
        <item x="441"/>
        <item x="431"/>
        <item x="432"/>
        <item x="433"/>
        <item x="434"/>
        <item x="435"/>
        <item x="436"/>
        <item x="425"/>
        <item x="426"/>
        <item x="427"/>
        <item x="428"/>
        <item x="429"/>
        <item x="430"/>
        <item x="420"/>
        <item x="421"/>
        <item x="422"/>
        <item x="423"/>
        <item x="424"/>
        <item x="837"/>
        <item x="699"/>
        <item x="840"/>
        <item m="1" x="1445"/>
        <item x="1104"/>
        <item x="1103"/>
        <item x="1098"/>
        <item x="1099"/>
        <item x="1100"/>
        <item x="1101"/>
        <item x="1102"/>
        <item x="1092"/>
        <item x="1093"/>
        <item x="1094"/>
        <item x="1095"/>
        <item x="1096"/>
        <item x="1097"/>
        <item x="978"/>
        <item x="979"/>
        <item x="980"/>
        <item x="1089"/>
        <item x="1090"/>
        <item x="1091"/>
        <item x="972"/>
        <item x="973"/>
        <item x="974"/>
        <item x="975"/>
        <item x="976"/>
        <item x="977"/>
        <item x="971"/>
        <item x="1119"/>
        <item x="127"/>
        <item x="128"/>
        <item x="129"/>
        <item x="827"/>
        <item x="822"/>
        <item x="823"/>
        <item x="824"/>
        <item x="825"/>
        <item x="826"/>
        <item x="687"/>
        <item x="688"/>
        <item x="821"/>
        <item x="991"/>
        <item x="992"/>
        <item x="993"/>
        <item x="986"/>
        <item x="987"/>
        <item x="988"/>
        <item x="989"/>
        <item x="990"/>
        <item x="417"/>
        <item x="418"/>
        <item x="159"/>
        <item x="160"/>
        <item x="165"/>
        <item x="166"/>
        <item x="161"/>
        <item x="330"/>
        <item m="1" x="1447"/>
        <item m="1" x="1482"/>
        <item x="167"/>
        <item x="168"/>
        <item x="169"/>
        <item x="683"/>
        <item x="170"/>
        <item x="164"/>
        <item x="162"/>
        <item x="163"/>
        <item x="156"/>
        <item x="157"/>
        <item x="158"/>
        <item x="327"/>
        <item x="328"/>
        <item x="173"/>
        <item x="329"/>
        <item x="321"/>
        <item x="322"/>
        <item x="174"/>
        <item x="323"/>
        <item x="324"/>
        <item x="175"/>
        <item x="325"/>
        <item x="326"/>
        <item x="177"/>
        <item x="176"/>
        <item x="171"/>
        <item x="334"/>
        <item x="172"/>
        <item x="335"/>
        <item x="336"/>
        <item x="339"/>
        <item x="332"/>
        <item x="337"/>
        <item x="338"/>
        <item x="333"/>
        <item x="340"/>
        <item x="836"/>
        <item m="1" x="1378"/>
        <item x="844"/>
        <item m="1" x="1434"/>
        <item x="412"/>
        <item m="1" x="1215"/>
        <item x="410"/>
        <item x="411"/>
        <item x="409"/>
        <item x="407"/>
        <item m="1" x="1284"/>
        <item x="375"/>
        <item x="408"/>
        <item x="376"/>
        <item x="382"/>
        <item x="379"/>
        <item m="1" x="1309"/>
        <item x="406"/>
        <item x="403"/>
        <item x="404"/>
        <item x="405"/>
        <item x="402"/>
        <item x="679"/>
        <item x="680"/>
        <item x="681"/>
        <item x="682"/>
        <item x="1135"/>
        <item x="1142"/>
        <item x="1143"/>
        <item x="1144"/>
        <item x="1149"/>
        <item x="1139"/>
        <item x="1140"/>
        <item x="1141"/>
        <item x="1150"/>
        <item x="1134"/>
        <item x="1147"/>
        <item x="1148"/>
        <item x="1133"/>
        <item m="1" x="1368"/>
        <item x="1145"/>
        <item x="1146"/>
        <item x="1138"/>
        <item x="416"/>
        <item x="414"/>
        <item x="415"/>
        <item x="419"/>
        <item x="354"/>
        <item x="355"/>
        <item x="356"/>
        <item m="1" x="1387"/>
        <item x="413"/>
        <item x="696"/>
        <item x="697"/>
        <item m="1" x="1383"/>
        <item x="690"/>
        <item x="691"/>
        <item x="692"/>
        <item x="693"/>
        <item m="1" x="1416"/>
        <item m="1" x="1395"/>
        <item x="694"/>
        <item x="695"/>
        <item m="1" x="1409"/>
        <item x="442"/>
        <item x="443"/>
        <item m="1" x="1429"/>
        <item m="1" x="1405"/>
        <item x="444"/>
        <item m="1" x="1441"/>
        <item x="689"/>
        <item m="1" x="1411"/>
        <item x="703"/>
        <item x="704"/>
        <item x="700"/>
        <item x="701"/>
        <item x="702"/>
        <item x="841"/>
        <item x="842"/>
        <item x="843"/>
        <item x="845"/>
        <item m="1" x="1458"/>
        <item m="1" x="1480"/>
        <item m="1" x="1493"/>
        <item m="1" x="1478"/>
        <item x="665"/>
        <item x="1005"/>
        <item x="1006"/>
        <item m="1" x="1255"/>
        <item m="1" x="1317"/>
        <item m="1" x="1297"/>
        <item x="1007"/>
        <item x="1000"/>
        <item x="1001"/>
        <item x="1002"/>
        <item x="698"/>
        <item x="1003"/>
        <item m="1" x="1372"/>
        <item m="1" x="1384"/>
        <item x="1004"/>
        <item x="995"/>
        <item x="996"/>
        <item x="997"/>
        <item m="1" x="1401"/>
        <item x="998"/>
        <item x="999"/>
        <item x="344"/>
        <item x="341"/>
        <item x="342"/>
        <item x="343"/>
        <item m="1" x="1460"/>
        <item m="1" x="1456"/>
        <item m="1" x="1463"/>
        <item m="1" x="1468"/>
        <item m="1" x="1506"/>
        <item m="1" x="1500"/>
        <item m="1" x="1498"/>
        <item m="1" x="1234"/>
        <item m="1" x="1250"/>
        <item m="1" x="1229"/>
        <item m="1" x="1246"/>
        <item m="1" x="1277"/>
        <item m="1" x="1285"/>
        <item m="1" x="1312"/>
        <item m="1" x="1291"/>
        <item m="1" x="1306"/>
        <item m="1" x="1321"/>
        <item m="1" x="1328"/>
        <item x="504"/>
        <item x="83"/>
        <item x="86"/>
        <item x="935"/>
        <item x="936"/>
        <item x="788"/>
        <item x="789"/>
        <item x="785"/>
        <item x="786"/>
        <item x="148"/>
        <item x="318"/>
        <item x="319"/>
        <item x="154"/>
        <item m="1" x="1304"/>
        <item x="155"/>
        <item x="152"/>
        <item x="153"/>
        <item x="707"/>
        <item x="708"/>
        <item x="657"/>
        <item x="653"/>
        <item x="315"/>
        <item x="316"/>
        <item x="828"/>
        <item x="312"/>
        <item x="313"/>
        <item x="314"/>
        <item x="686"/>
        <item x="984"/>
        <item x="833"/>
        <item x="834"/>
        <item x="835"/>
        <item x="981"/>
        <item x="982"/>
        <item x="983"/>
        <item x="829"/>
        <item x="830"/>
        <item x="831"/>
        <item x="832"/>
        <item x="705"/>
        <item x="706"/>
        <item x="1111"/>
        <item x="149"/>
        <item x="150"/>
        <item m="1" x="1181"/>
        <item x="345"/>
        <item x="662"/>
        <item x="1118"/>
        <item x="1116"/>
        <item x="1117"/>
        <item x="1113"/>
        <item x="1114"/>
        <item x="1115"/>
        <item x="131"/>
        <item x="130"/>
        <item x="135"/>
        <item x="136"/>
        <item x="137"/>
        <item x="133"/>
        <item x="134"/>
        <item x="138"/>
        <item x="139"/>
        <item x="140"/>
        <item x="141"/>
        <item x="317"/>
        <item x="320"/>
        <item x="387"/>
        <item x="388"/>
        <item x="389"/>
        <item x="390"/>
        <item x="395"/>
        <item x="396"/>
        <item x="391"/>
        <item x="392"/>
        <item x="393"/>
        <item x="394"/>
        <item x="398"/>
        <item x="399"/>
        <item x="659"/>
        <item x="145"/>
        <item x="147"/>
        <item x="664"/>
        <item x="663"/>
        <item x="666"/>
        <item x="667"/>
        <item x="678"/>
        <item x="985"/>
        <item x="994"/>
        <item x="1129"/>
        <item x="1126"/>
        <item x="1127"/>
        <item x="1130"/>
        <item x="1131"/>
        <item x="1132"/>
        <item x="1128"/>
        <item x="847"/>
        <item x="1136"/>
        <item x="1137"/>
        <item x="151"/>
        <item x="303"/>
        <item x="304"/>
        <item x="306"/>
        <item x="307"/>
        <item x="308"/>
        <item x="838"/>
        <item x="937"/>
        <item x="1067"/>
        <item x="648"/>
        <item x="1088"/>
        <item x="98"/>
        <item x="102"/>
        <item x="104"/>
        <item x="105"/>
        <item x="114"/>
        <item x="297"/>
        <item x="296"/>
        <item x="370"/>
        <item x="373"/>
        <item x="372"/>
        <item x="371"/>
        <item x="374"/>
        <item x="377"/>
        <item x="649"/>
        <item x="647"/>
        <item x="1169"/>
        <item x="505"/>
        <item x="87"/>
        <item x="84"/>
        <item x="537"/>
        <item x="772"/>
        <item x="380"/>
        <item x="644"/>
        <item x="643"/>
        <item x="381"/>
        <item x="654"/>
        <item x="655"/>
        <item x="656"/>
        <item x="658"/>
        <item x="787"/>
        <item x="801"/>
        <item x="802"/>
        <item x="803"/>
        <item x="804"/>
        <item x="805"/>
        <item x="800"/>
        <item x="811"/>
        <item x="806"/>
        <item x="807"/>
        <item x="808"/>
        <item x="809"/>
        <item x="810"/>
        <item x="814"/>
        <item x="958"/>
        <item x="959"/>
        <item x="960"/>
        <item x="963"/>
        <item x="962"/>
        <item x="967"/>
        <item x="968"/>
        <item x="964"/>
        <item x="966"/>
        <item x="970"/>
        <item x="1109"/>
        <item x="1110"/>
        <item x="1105"/>
        <item x="1106"/>
        <item x="1107"/>
        <item x="1108"/>
        <item m="1" x="1216"/>
        <item m="1" x="1217"/>
        <item m="1" x="1242"/>
        <item m="1" x="1252"/>
        <item m="1" x="1388"/>
        <item m="1" x="1205"/>
        <item m="1" x="1248"/>
        <item m="1" x="1261"/>
        <item m="1" x="1484"/>
        <item m="1" x="1352"/>
        <item m="1" x="1323"/>
        <item m="1" x="1390"/>
        <item m="1" x="1355"/>
        <item m="1" x="1299"/>
        <item m="1" x="1322"/>
        <item m="1" x="1256"/>
        <item m="1" x="1451"/>
        <item m="1" x="1470"/>
        <item m="1" x="1419"/>
        <item m="1" x="1207"/>
        <item m="1" x="1204"/>
        <item m="1" x="1393"/>
        <item m="1" x="1452"/>
        <item m="1" x="1426"/>
        <item m="1" x="1446"/>
        <item m="1" x="1418"/>
        <item m="1" x="1496"/>
        <item m="1" x="1483"/>
        <item m="1" x="1469"/>
        <item m="1" x="1433"/>
        <item m="1" x="1239"/>
        <item m="1" x="1214"/>
        <item m="1" x="1340"/>
        <item m="1" x="1288"/>
        <item m="1" x="1290"/>
        <item m="1" x="1329"/>
        <item m="1" x="1307"/>
        <item m="1" x="1310"/>
        <item m="1" x="1331"/>
        <item m="1" x="1238"/>
        <item m="1" x="1247"/>
        <item m="1" x="1258"/>
        <item m="1" x="1271"/>
        <item m="1" x="1192"/>
        <item m="1" x="1212"/>
        <item m="1" x="1224"/>
        <item m="1" x="1218"/>
        <item m="1" x="1324"/>
        <item m="1" x="1335"/>
        <item m="1" x="1356"/>
        <item m="1" x="1394"/>
        <item m="1" x="1209"/>
        <item m="1" x="1202"/>
        <item m="1" x="1230"/>
        <item m="1" x="1236"/>
        <item m="1" x="1240"/>
        <item m="1" x="1264"/>
        <item m="1" x="1298"/>
        <item m="1" x="1272"/>
        <item m="1" x="1311"/>
        <item m="1" x="1345"/>
        <item m="1" x="1348"/>
        <item m="1" x="1437"/>
        <item m="1" x="1397"/>
        <item m="1" x="1430"/>
        <item m="1" x="1420"/>
        <item m="1" x="1404"/>
        <item m="1" x="1421"/>
        <item m="1" x="1413"/>
        <item m="1" x="1332"/>
        <item m="1" x="1339"/>
        <item m="1" x="1341"/>
        <item m="1" x="1333"/>
        <item m="1" x="1381"/>
        <item m="1" x="1220"/>
        <item m="1" x="1417"/>
        <item m="1" x="1301"/>
        <item m="1" x="1427"/>
        <item m="1" x="1439"/>
        <item m="1" x="1243"/>
        <item m="1" x="1259"/>
        <item m="1" x="1479"/>
        <item m="1" x="1188"/>
        <item m="1" x="1201"/>
        <item m="1" x="1263"/>
        <item m="1" x="1265"/>
        <item m="1" x="1287"/>
        <item m="1" x="1292"/>
        <item m="1" x="1293"/>
        <item m="1" x="1477"/>
        <item m="1" x="1494"/>
        <item m="1" x="1313"/>
        <item m="1" x="1213"/>
        <item m="1" x="1476"/>
        <item m="1" x="1183"/>
        <item m="1" x="1505"/>
        <item m="1" x="1490"/>
        <item m="1" x="1473"/>
        <item m="1" x="1180"/>
        <item m="1" x="1497"/>
        <item m="1" x="1200"/>
        <item m="1" x="1186"/>
        <item m="1" x="1197"/>
        <item m="1" x="1504"/>
        <item m="1" x="1503"/>
        <item m="1" x="1488"/>
        <item m="1" x="1501"/>
        <item m="1" x="1179"/>
        <item m="1" x="1273"/>
        <item m="1" x="1276"/>
        <item m="1" x="1279"/>
        <item m="1" x="1260"/>
        <item m="1" x="1281"/>
        <item m="1" x="1269"/>
        <item m="1" x="1278"/>
        <item m="1" x="1222"/>
        <item m="1" x="1403"/>
        <item m="1" x="1241"/>
        <item m="1" x="1320"/>
        <item m="1" x="1379"/>
        <item m="1" x="1459"/>
        <item m="1" x="1231"/>
        <item m="1" x="1423"/>
        <item m="1" x="1270"/>
        <item m="1" x="1318"/>
        <item m="1" x="1308"/>
        <item m="1" x="1353"/>
        <item m="1" x="1364"/>
        <item m="1" x="1343"/>
        <item m="1" x="1327"/>
        <item m="1" x="1366"/>
        <item m="1" x="1337"/>
        <item m="1" x="1357"/>
        <item m="1" x="1358"/>
        <item m="1" x="1350"/>
        <item m="1" x="1319"/>
        <item m="1" x="1344"/>
        <item m="1" x="1499"/>
        <item m="1" x="1471"/>
        <item m="1" x="1294"/>
        <item m="1" x="1254"/>
        <item m="1" x="1305"/>
        <item m="1" x="1266"/>
        <item m="1" x="1380"/>
        <item m="1" x="1410"/>
        <item m="1" x="1415"/>
        <item m="1" x="1203"/>
        <item m="1" x="1237"/>
        <item m="1" x="1314"/>
        <item m="1" x="1349"/>
        <item m="1" x="1361"/>
        <item m="1" x="1185"/>
        <item m="1" x="1190"/>
        <item m="1" x="1232"/>
        <item m="1" x="1338"/>
        <item m="1" x="1316"/>
        <item m="1" x="1342"/>
        <item m="1" x="1359"/>
        <item m="1" x="1362"/>
        <item m="1" x="1282"/>
        <item m="1" x="1363"/>
        <item m="1" x="1336"/>
        <item m="1" x="1262"/>
        <item m="1" x="1268"/>
        <item m="1" x="1274"/>
        <item m="1" x="1184"/>
        <item m="1" x="1219"/>
        <item m="1" x="1444"/>
        <item m="1" x="1438"/>
        <item m="1" x="1472"/>
        <item m="1" x="1440"/>
        <item m="1" x="1462"/>
        <item m="1" x="1334"/>
        <item m="1" x="1365"/>
        <item m="1" x="1367"/>
        <item m="1" x="1371"/>
        <item m="1" x="1385"/>
        <item m="1" x="1373"/>
        <item m="1" x="1392"/>
        <item m="1" x="1453"/>
        <item m="1" x="1280"/>
        <item m="1" x="1422"/>
        <item m="1" x="1448"/>
        <item m="1" x="1191"/>
        <item m="1" x="1370"/>
        <item m="1" x="1211"/>
        <item m="1" x="1225"/>
        <item m="1" x="1221"/>
        <item m="1" x="1228"/>
        <item m="1" x="1223"/>
        <item m="1" x="1486"/>
        <item m="1" x="1189"/>
        <item m="1" x="1199"/>
        <item m="1" x="1195"/>
        <item m="1" x="1354"/>
        <item m="1" x="1315"/>
        <item m="1" x="1406"/>
        <item m="1" x="1326"/>
        <item m="1" x="1251"/>
        <item m="1" x="1193"/>
        <item m="1" x="1382"/>
        <item m="1" x="1296"/>
        <item m="1" x="1424"/>
        <item m="1" x="1432"/>
        <item m="1" x="1443"/>
        <item m="1" x="1450"/>
        <item m="1" x="1412"/>
        <item m="1" x="1425"/>
        <item m="1" x="1289"/>
        <item m="1" x="1330"/>
        <item m="1" x="1431"/>
        <item m="1" x="1369"/>
        <item m="1" x="1257"/>
        <item m="1" x="1466"/>
        <item m="1" x="1489"/>
        <item m="1" x="1187"/>
        <item m="1" x="1244"/>
        <item m="1" x="1245"/>
        <item m="1" x="1475"/>
        <item m="1" x="1487"/>
        <item m="1" x="1461"/>
        <item m="1" x="1474"/>
        <item m="1" x="1253"/>
        <item m="1" x="1182"/>
        <item m="1" x="1414"/>
        <item m="1" x="1275"/>
        <item m="1" x="1198"/>
        <item m="1" x="1408"/>
        <item m="1" x="1391"/>
        <item m="1" x="1267"/>
        <item m="1" x="1283"/>
        <item m="1" x="1194"/>
        <item m="1" x="1398"/>
        <item m="1" x="1347"/>
        <item m="1" x="1435"/>
        <item m="1" x="1467"/>
        <item m="1" x="1396"/>
        <item m="1" x="1400"/>
        <item m="1" x="1376"/>
        <item m="1" x="1389"/>
        <item m="1" x="1457"/>
        <item m="1" x="1465"/>
        <item m="1" x="1325"/>
        <item m="1" x="1442"/>
        <item m="1" x="1455"/>
        <item m="1" x="1464"/>
        <item m="1" x="1485"/>
        <item m="1" x="1377"/>
        <item m="1" x="1407"/>
        <item m="1" x="1386"/>
        <item m="1" x="1428"/>
        <item m="1" x="1449"/>
        <item m="1" x="1436"/>
        <item m="1" x="1399"/>
        <item m="1" x="1491"/>
        <item m="1" x="1481"/>
        <item m="1" x="1502"/>
        <item m="1" x="1249"/>
        <item m="1" x="1286"/>
        <item m="1" x="1303"/>
        <item m="1" x="1375"/>
        <item m="1" x="1454"/>
        <item m="1" x="1208"/>
        <item m="1" x="1233"/>
        <item m="1" x="1235"/>
        <item m="1" x="1295"/>
        <item m="1" x="1374"/>
        <item m="1" x="1302"/>
        <item m="1" x="1402"/>
        <item m="1" x="1300"/>
        <item m="1" x="1351"/>
        <item m="1" x="1360"/>
        <item m="1" x="1495"/>
        <item x="608"/>
        <item x="610"/>
        <item x="611"/>
        <item x="609"/>
        <item x="612"/>
        <item x="613"/>
        <item x="614"/>
        <item x="615"/>
        <item x="735"/>
        <item x="736"/>
        <item x="511"/>
        <item x="740"/>
        <item x="741"/>
        <item x="742"/>
        <item x="743"/>
        <item x="744"/>
        <item x="745"/>
        <item x="746"/>
        <item x="747"/>
        <item x="911"/>
        <item x="913"/>
        <item x="914"/>
        <item x="915"/>
        <item x="916"/>
        <item x="909"/>
        <item x="910"/>
        <item x="918"/>
        <item x="919"/>
        <item x="920"/>
        <item x="921"/>
        <item x="912"/>
        <item x="917"/>
        <item x="1016"/>
        <item x="224"/>
        <item x="1165"/>
        <item x="1166"/>
        <item x="1167"/>
        <item x="1163"/>
        <item x="1164"/>
        <item x="1168"/>
        <item x="60"/>
        <item x="212"/>
        <item x="61"/>
        <item x="62"/>
        <item x="217"/>
        <item x="214"/>
        <item x="472"/>
        <item x="471"/>
        <item x="218"/>
        <item x="219"/>
        <item x="220"/>
        <item x="221"/>
        <item x="222"/>
        <item x="223"/>
        <item x="227"/>
        <item x="230"/>
        <item x="228"/>
        <item x="225"/>
        <item x="226"/>
        <item x="229"/>
        <item x="474"/>
        <item x="473"/>
        <item x="475"/>
        <item x="477"/>
        <item x="476"/>
        <item x="478"/>
        <item x="479"/>
        <item x="480"/>
        <item x="481"/>
        <item x="483"/>
        <item x="484"/>
        <item x="482"/>
        <item x="491"/>
        <item x="490"/>
        <item x="487"/>
        <item x="488"/>
        <item x="489"/>
        <item x="485"/>
        <item x="486"/>
        <item x="493"/>
        <item x="492"/>
        <item x="494"/>
        <item x="495"/>
        <item x="496"/>
        <item x="576"/>
        <item x="577"/>
        <item x="578"/>
        <item x="922"/>
        <item x="923"/>
        <item x="924"/>
        <item x="925"/>
        <item x="523"/>
        <item x="926"/>
        <item x="1056"/>
        <item x="1057"/>
        <item x="525"/>
        <item x="524"/>
        <item x="1058"/>
        <item x="1059"/>
        <item x="1060"/>
        <item x="74"/>
        <item x="1061"/>
        <item x="1062"/>
        <item x="1063"/>
        <item x="76"/>
        <item x="589"/>
        <item x="714"/>
        <item x="715"/>
        <item x="590"/>
        <item x="591"/>
        <item x="592"/>
        <item x="717"/>
        <item x="716"/>
        <item x="718"/>
        <item x="719"/>
        <item x="720"/>
        <item x="721"/>
        <item x="730"/>
        <item x="728"/>
        <item x="722"/>
        <item x="723"/>
        <item x="724"/>
        <item x="729"/>
        <item x="725"/>
        <item x="726"/>
        <item x="727"/>
        <item x="733"/>
        <item x="731"/>
        <item x="732"/>
        <item x="510"/>
        <item x="80"/>
        <item x="81"/>
        <item x="89"/>
        <item x="90"/>
        <item x="260"/>
        <item x="262"/>
        <item x="263"/>
        <item x="276"/>
        <item x="280"/>
        <item x="257"/>
        <item x="252"/>
        <item x="532"/>
        <item x="535"/>
        <item x="628"/>
        <item x="632"/>
        <item x="630"/>
        <item x="776"/>
        <item x="1087"/>
        <item x="287"/>
        <item x="734"/>
        <item x="506"/>
        <item x="878"/>
        <item x="879"/>
        <item x="880"/>
        <item x="881"/>
        <item x="886"/>
        <item x="887"/>
        <item x="888"/>
        <item x="882"/>
        <item x="883"/>
        <item x="884"/>
        <item x="885"/>
        <item x="890"/>
        <item x="891"/>
        <item x="892"/>
        <item x="889"/>
        <item x="1038"/>
        <item x="1035"/>
        <item x="1036"/>
        <item x="1037"/>
        <item x="1039"/>
        <item x="1043"/>
        <item x="1044"/>
        <item x="1040"/>
        <item x="1041"/>
        <item x="1042"/>
        <item x="1046"/>
        <item x="1045"/>
        <item x="1047"/>
        <item x="1048"/>
        <item x="1051"/>
        <item x="1052"/>
        <item x="1049"/>
        <item x="1050"/>
        <item x="1054"/>
        <item x="64"/>
        <item x="65"/>
        <item x="1055"/>
        <item x="66"/>
        <item x="67"/>
        <item x="71"/>
        <item x="72"/>
        <item x="232"/>
        <item x="231"/>
        <item x="240"/>
        <item x="241"/>
        <item x="235"/>
        <item x="242"/>
        <item x="236"/>
        <item x="237"/>
        <item x="238"/>
        <item x="239"/>
        <item x="246"/>
        <item x="243"/>
        <item x="244"/>
        <item x="245"/>
        <item x="247"/>
        <item x="248"/>
        <item x="250"/>
        <item x="251"/>
        <item x="249"/>
        <item x="253"/>
        <item x="255"/>
        <item x="256"/>
        <item x="258"/>
        <item x="259"/>
        <item x="254"/>
        <item x="499"/>
        <item x="501"/>
        <item x="508"/>
        <item x="507"/>
        <item x="513"/>
        <item x="514"/>
        <item x="516"/>
        <item x="515"/>
        <item x="517"/>
        <item x="597"/>
        <item x="598"/>
        <item x="593"/>
        <item x="594"/>
        <item x="595"/>
        <item x="596"/>
        <item x="599"/>
        <item x="600"/>
        <item x="601"/>
        <item x="603"/>
        <item x="604"/>
        <item x="602"/>
        <item x="605"/>
        <item m="1" x="1196"/>
        <item m="1" x="1210"/>
        <item m="1" x="1206"/>
        <item m="1" x="1226"/>
        <item m="1" x="1492"/>
        <item m="1" x="13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3"/>
        <item x="68"/>
        <item x="69"/>
        <item x="70"/>
        <item x="73"/>
        <item x="75"/>
        <item x="77"/>
        <item x="78"/>
        <item x="79"/>
        <item x="82"/>
        <item x="85"/>
        <item x="88"/>
        <item x="91"/>
        <item x="92"/>
        <item x="93"/>
        <item x="94"/>
        <item x="95"/>
        <item x="96"/>
        <item x="97"/>
        <item x="99"/>
        <item x="100"/>
        <item x="101"/>
        <item x="103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32"/>
        <item x="142"/>
        <item x="143"/>
        <item x="144"/>
        <item x="146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3"/>
        <item x="215"/>
        <item x="216"/>
        <item x="233"/>
        <item x="234"/>
        <item x="261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7"/>
        <item x="278"/>
        <item x="279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8"/>
        <item x="299"/>
        <item x="300"/>
        <item x="301"/>
        <item x="302"/>
        <item x="305"/>
        <item x="309"/>
        <item x="310"/>
        <item x="311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8"/>
        <item x="383"/>
        <item x="384"/>
        <item x="385"/>
        <item x="386"/>
        <item x="397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97"/>
        <item x="498"/>
        <item x="500"/>
        <item x="502"/>
        <item x="503"/>
        <item x="509"/>
        <item x="512"/>
        <item x="518"/>
        <item x="519"/>
        <item x="520"/>
        <item x="521"/>
        <item x="522"/>
        <item x="526"/>
        <item x="527"/>
        <item x="528"/>
        <item x="529"/>
        <item x="530"/>
        <item x="531"/>
        <item x="533"/>
        <item x="534"/>
        <item x="536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9"/>
        <item x="580"/>
        <item x="581"/>
        <item x="582"/>
        <item x="583"/>
        <item x="584"/>
        <item x="585"/>
        <item x="586"/>
        <item x="587"/>
        <item x="588"/>
        <item x="606"/>
        <item x="607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9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5"/>
        <item x="646"/>
        <item x="650"/>
        <item x="651"/>
        <item x="652"/>
        <item x="660"/>
        <item x="661"/>
        <item x="684"/>
        <item x="685"/>
        <item x="709"/>
        <item x="710"/>
        <item x="711"/>
        <item x="712"/>
        <item x="713"/>
        <item x="737"/>
        <item x="738"/>
        <item x="739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7"/>
        <item x="778"/>
        <item x="779"/>
        <item x="780"/>
        <item x="781"/>
        <item x="782"/>
        <item x="783"/>
        <item x="784"/>
        <item x="790"/>
        <item x="791"/>
        <item x="792"/>
        <item x="793"/>
        <item x="794"/>
        <item x="795"/>
        <item x="796"/>
        <item x="797"/>
        <item x="798"/>
        <item x="799"/>
        <item x="812"/>
        <item x="813"/>
        <item x="815"/>
        <item x="816"/>
        <item x="817"/>
        <item x="818"/>
        <item x="819"/>
        <item x="820"/>
        <item x="839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27"/>
        <item x="928"/>
        <item x="929"/>
        <item x="930"/>
        <item x="931"/>
        <item x="932"/>
        <item x="933"/>
        <item x="934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61"/>
        <item x="965"/>
        <item x="969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53"/>
        <item x="1064"/>
        <item x="1065"/>
        <item x="1066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112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70"/>
        <item x="1171"/>
        <item x="1172"/>
        <item x="1173"/>
        <item x="1174"/>
        <item x="1175"/>
        <item x="1176"/>
        <item x="1177"/>
        <item x="11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ICKING" axis="axisRow" compact="0" outline="0" showAll="0" defaultSubtotal="0">
      <items count="499">
        <item x="377"/>
        <item m="1" x="440"/>
        <item x="157"/>
        <item x="24"/>
        <item x="337"/>
        <item x="385"/>
        <item x="386"/>
        <item x="120"/>
        <item x="121"/>
        <item x="225"/>
        <item m="1" x="422"/>
        <item x="230"/>
        <item x="344"/>
        <item x="346"/>
        <item x="348"/>
        <item x="390"/>
        <item x="42"/>
        <item x="52"/>
        <item x="106"/>
        <item x="108"/>
        <item x="125"/>
        <item x="126"/>
        <item x="127"/>
        <item x="238"/>
        <item x="240"/>
        <item x="242"/>
        <item x="243"/>
        <item x="244"/>
        <item x="246"/>
        <item x="247"/>
        <item x="294"/>
        <item x="295"/>
        <item x="350"/>
        <item x="352"/>
        <item m="1" x="454"/>
        <item x="353"/>
        <item x="395"/>
        <item x="396"/>
        <item x="397"/>
        <item x="398"/>
        <item x="399"/>
        <item x="53"/>
        <item x="55"/>
        <item x="56"/>
        <item x="57"/>
        <item x="58"/>
        <item x="59"/>
        <item x="60"/>
        <item x="110"/>
        <item m="1" x="448"/>
        <item m="1" x="458"/>
        <item x="111"/>
        <item x="112"/>
        <item x="113"/>
        <item x="114"/>
        <item m="1" x="450"/>
        <item x="115"/>
        <item x="116"/>
        <item x="117"/>
        <item x="128"/>
        <item x="129"/>
        <item x="130"/>
        <item m="1" x="495"/>
        <item x="131"/>
        <item x="132"/>
        <item x="248"/>
        <item m="1" x="461"/>
        <item m="1" x="474"/>
        <item m="1" x="486"/>
        <item x="249"/>
        <item m="1" x="421"/>
        <item x="250"/>
        <item x="251"/>
        <item x="252"/>
        <item x="253"/>
        <item m="1" x="443"/>
        <item x="254"/>
        <item x="255"/>
        <item x="256"/>
        <item x="257"/>
        <item x="296"/>
        <item x="297"/>
        <item m="1" x="446"/>
        <item x="298"/>
        <item x="300"/>
        <item x="301"/>
        <item x="302"/>
        <item x="303"/>
        <item m="1" x="437"/>
        <item x="304"/>
        <item x="305"/>
        <item x="391"/>
        <item x="394"/>
        <item x="43"/>
        <item x="45"/>
        <item x="46"/>
        <item x="47"/>
        <item x="107"/>
        <item x="109"/>
        <item x="122"/>
        <item x="124"/>
        <item x="231"/>
        <item x="232"/>
        <item x="233"/>
        <item x="236"/>
        <item x="49"/>
        <item x="51"/>
        <item x="237"/>
        <item x="239"/>
        <item x="241"/>
        <item x="349"/>
        <item x="351"/>
        <item x="54"/>
        <item x="103"/>
        <item x="104"/>
        <item x="338"/>
        <item x="341"/>
        <item x="389"/>
        <item x="29"/>
        <item x="32"/>
        <item x="33"/>
        <item x="38"/>
        <item x="39"/>
        <item x="100"/>
        <item x="118"/>
        <item x="119"/>
        <item x="410"/>
        <item x="266"/>
        <item x="271"/>
        <item x="169"/>
        <item x="276"/>
        <item x="281"/>
        <item x="287"/>
        <item x="288"/>
        <item x="291"/>
        <item x="343"/>
        <item x="345"/>
        <item x="347"/>
        <item m="1" x="460"/>
        <item m="1" x="463"/>
        <item m="1" x="482"/>
        <item m="1" x="492"/>
        <item m="1" x="476"/>
        <item m="1" x="488"/>
        <item m="1" x="498"/>
        <item m="1" x="424"/>
        <item m="1" x="497"/>
        <item m="1" x="423"/>
        <item m="1" x="442"/>
        <item m="1" x="453"/>
        <item m="1" x="464"/>
        <item m="1" x="412"/>
        <item m="1" x="465"/>
        <item m="1" x="477"/>
        <item m="1" x="413"/>
        <item m="1" x="425"/>
        <item m="1" x="433"/>
        <item m="1" x="444"/>
        <item m="1" x="455"/>
        <item m="1" x="466"/>
        <item m="1" x="434"/>
        <item m="1" x="467"/>
        <item m="1" x="479"/>
        <item m="1" x="414"/>
        <item m="1" x="427"/>
        <item m="1" x="478"/>
        <item m="1" x="426"/>
        <item m="1" x="435"/>
        <item m="1" x="445"/>
        <item m="1" x="456"/>
        <item m="1" x="489"/>
        <item m="1" x="447"/>
        <item m="1" x="468"/>
        <item m="1" x="480"/>
        <item m="1" x="415"/>
        <item m="1" x="428"/>
        <item m="1" x="470"/>
        <item m="1" x="491"/>
        <item m="1" x="417"/>
        <item m="1" x="429"/>
        <item m="1" x="436"/>
        <item m="1" x="493"/>
        <item m="1" x="457"/>
        <item m="1" x="469"/>
        <item m="1" x="481"/>
        <item m="1" x="490"/>
        <item m="1" x="416"/>
        <item m="1" x="449"/>
        <item m="1" x="459"/>
        <item m="1" x="471"/>
        <item m="1" x="418"/>
        <item m="1" x="451"/>
        <item m="1" x="472"/>
        <item m="1" x="483"/>
        <item m="1" x="494"/>
        <item m="1" x="419"/>
        <item m="1" x="431"/>
        <item m="1" x="439"/>
        <item m="1" x="452"/>
        <item m="1" x="473"/>
        <item m="1" x="485"/>
        <item m="1" x="420"/>
        <item m="1" x="432"/>
        <item m="1" x="441"/>
        <item m="1" x="462"/>
        <item m="1" x="475"/>
        <item m="1" x="487"/>
        <item x="207"/>
        <item x="208"/>
        <item x="209"/>
        <item x="210"/>
        <item x="211"/>
        <item x="267"/>
        <item x="268"/>
        <item x="269"/>
        <item x="272"/>
        <item x="273"/>
        <item x="330"/>
        <item x="354"/>
        <item x="403"/>
        <item x="408"/>
        <item x="409"/>
        <item x="9"/>
        <item x="10"/>
        <item x="66"/>
        <item x="146"/>
        <item x="147"/>
        <item x="148"/>
        <item x="149"/>
        <item x="150"/>
        <item x="151"/>
        <item x="191"/>
        <item x="192"/>
        <item x="193"/>
        <item x="331"/>
        <item x="332"/>
        <item x="333"/>
        <item x="334"/>
        <item x="17"/>
        <item x="19"/>
        <item x="199"/>
        <item x="200"/>
        <item x="261"/>
        <item x="262"/>
        <item x="263"/>
        <item x="264"/>
        <item x="265"/>
        <item x="21"/>
        <item x="22"/>
        <item x="25"/>
        <item x="26"/>
        <item x="77"/>
        <item x="79"/>
        <item x="80"/>
        <item x="84"/>
        <item x="86"/>
        <item x="87"/>
        <item x="163"/>
        <item x="164"/>
        <item x="166"/>
        <item x="168"/>
        <item x="217"/>
        <item x="218"/>
        <item x="220"/>
        <item x="221"/>
        <item x="279"/>
        <item x="282"/>
        <item x="388"/>
        <item x="88"/>
        <item x="321"/>
        <item x="322"/>
        <item x="323"/>
        <item x="370"/>
        <item x="371"/>
        <item x="373"/>
        <item x="374"/>
        <item x="375"/>
        <item x="376"/>
        <item x="379"/>
        <item x="11"/>
        <item x="12"/>
        <item x="15"/>
        <item x="16"/>
        <item x="67"/>
        <item x="70"/>
        <item x="71"/>
        <item x="72"/>
        <item x="73"/>
        <item x="74"/>
        <item x="75"/>
        <item x="76"/>
        <item x="154"/>
        <item x="155"/>
        <item x="158"/>
        <item x="159"/>
        <item x="160"/>
        <item x="161"/>
        <item x="201"/>
        <item x="202"/>
        <item x="203"/>
        <item x="204"/>
        <item x="205"/>
        <item m="1" x="430"/>
        <item m="1" x="438"/>
        <item x="306"/>
        <item m="1" x="484"/>
        <item m="1" x="496"/>
        <item x="0"/>
        <item x="1"/>
        <item x="2"/>
        <item x="3"/>
        <item x="4"/>
        <item x="5"/>
        <item x="6"/>
        <item x="7"/>
        <item x="8"/>
        <item x="13"/>
        <item x="14"/>
        <item x="18"/>
        <item x="20"/>
        <item x="23"/>
        <item x="27"/>
        <item x="28"/>
        <item x="30"/>
        <item x="31"/>
        <item x="34"/>
        <item x="35"/>
        <item x="36"/>
        <item x="37"/>
        <item x="40"/>
        <item x="41"/>
        <item x="44"/>
        <item x="48"/>
        <item x="50"/>
        <item x="61"/>
        <item x="62"/>
        <item x="63"/>
        <item x="64"/>
        <item x="65"/>
        <item x="68"/>
        <item x="69"/>
        <item x="78"/>
        <item x="81"/>
        <item x="82"/>
        <item x="83"/>
        <item x="85"/>
        <item x="89"/>
        <item x="90"/>
        <item x="91"/>
        <item x="92"/>
        <item x="93"/>
        <item x="94"/>
        <item x="95"/>
        <item x="96"/>
        <item x="97"/>
        <item x="98"/>
        <item x="99"/>
        <item x="101"/>
        <item x="102"/>
        <item x="105"/>
        <item x="123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52"/>
        <item x="153"/>
        <item x="156"/>
        <item x="162"/>
        <item x="165"/>
        <item x="167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4"/>
        <item x="195"/>
        <item x="196"/>
        <item x="197"/>
        <item x="198"/>
        <item x="206"/>
        <item x="212"/>
        <item x="213"/>
        <item x="214"/>
        <item x="215"/>
        <item x="216"/>
        <item x="219"/>
        <item x="222"/>
        <item x="223"/>
        <item x="224"/>
        <item x="226"/>
        <item x="227"/>
        <item x="228"/>
        <item x="229"/>
        <item x="234"/>
        <item x="235"/>
        <item x="245"/>
        <item x="258"/>
        <item x="259"/>
        <item x="260"/>
        <item x="270"/>
        <item x="274"/>
        <item x="275"/>
        <item x="277"/>
        <item x="278"/>
        <item x="280"/>
        <item x="283"/>
        <item x="284"/>
        <item x="285"/>
        <item x="286"/>
        <item x="289"/>
        <item x="290"/>
        <item x="292"/>
        <item x="293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4"/>
        <item x="325"/>
        <item x="326"/>
        <item x="327"/>
        <item x="328"/>
        <item x="329"/>
        <item x="335"/>
        <item x="336"/>
        <item x="339"/>
        <item x="340"/>
        <item x="342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2"/>
        <item x="378"/>
        <item x="380"/>
        <item x="381"/>
        <item x="382"/>
        <item x="383"/>
        <item x="384"/>
        <item x="387"/>
        <item x="392"/>
        <item x="393"/>
        <item x="400"/>
        <item x="401"/>
        <item x="402"/>
        <item x="404"/>
        <item x="405"/>
        <item x="406"/>
        <item x="407"/>
        <item x="4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ODIGO" axis="axisRow" compact="0" outline="0" showAll="0" defaultSubtotal="0">
      <items count="266">
        <item x="13"/>
        <item x="47"/>
        <item x="30"/>
        <item x="98"/>
        <item x="153"/>
        <item x="157"/>
        <item x="80"/>
        <item x="145"/>
        <item x="96"/>
        <item m="1" x="243"/>
        <item x="88"/>
        <item x="31"/>
        <item x="87"/>
        <item x="40"/>
        <item x="41"/>
        <item x="7"/>
        <item x="70"/>
        <item x="76"/>
        <item x="72"/>
        <item x="89"/>
        <item x="21"/>
        <item x="32"/>
        <item x="27"/>
        <item x="17"/>
        <item x="9"/>
        <item x="174"/>
        <item x="54"/>
        <item x="159"/>
        <item x="59"/>
        <item x="50"/>
        <item x="5"/>
        <item x="24"/>
        <item m="1" x="235"/>
        <item x="164"/>
        <item x="78"/>
        <item x="90"/>
        <item x="138"/>
        <item x="93"/>
        <item x="148"/>
        <item x="75"/>
        <item x="22"/>
        <item x="15"/>
        <item x="20"/>
        <item x="175"/>
        <item x="220"/>
        <item x="23"/>
        <item x="116"/>
        <item x="66"/>
        <item x="44"/>
        <item x="34"/>
        <item x="146"/>
        <item x="67"/>
        <item x="26"/>
        <item x="10"/>
        <item x="12"/>
        <item x="126"/>
        <item x="165"/>
        <item x="18"/>
        <item x="29"/>
        <item x="142"/>
        <item x="28"/>
        <item x="203"/>
        <item x="97"/>
        <item x="150"/>
        <item x="139"/>
        <item x="62"/>
        <item x="223"/>
        <item x="106"/>
        <item x="2"/>
        <item x="109"/>
        <item x="99"/>
        <item x="152"/>
        <item x="69"/>
        <item x="68"/>
        <item x="225"/>
        <item x="108"/>
        <item x="71"/>
        <item x="224"/>
        <item x="45"/>
        <item x="83"/>
        <item x="136"/>
        <item x="84"/>
        <item x="85"/>
        <item x="73"/>
        <item x="65"/>
        <item x="204"/>
        <item x="58"/>
        <item x="1"/>
        <item x="103"/>
        <item x="61"/>
        <item x="177"/>
        <item x="36"/>
        <item x="154"/>
        <item x="189"/>
        <item x="218"/>
        <item m="1" x="245"/>
        <item x="107"/>
        <item x="79"/>
        <item m="1" x="239"/>
        <item m="1" x="257"/>
        <item m="1" x="244"/>
        <item m="1" x="238"/>
        <item x="33"/>
        <item x="42"/>
        <item x="140"/>
        <item x="77"/>
        <item x="49"/>
        <item x="35"/>
        <item x="182"/>
        <item x="38"/>
        <item x="151"/>
        <item x="74"/>
        <item x="95"/>
        <item x="217"/>
        <item x="104"/>
        <item x="180"/>
        <item x="25"/>
        <item x="100"/>
        <item x="137"/>
        <item x="155"/>
        <item x="201"/>
        <item x="0"/>
        <item x="133"/>
        <item x="134"/>
        <item x="149"/>
        <item x="141"/>
        <item x="143"/>
        <item x="105"/>
        <item x="39"/>
        <item x="16"/>
        <item x="193"/>
        <item x="213"/>
        <item x="101"/>
        <item x="131"/>
        <item x="205"/>
        <item x="135"/>
        <item x="156"/>
        <item x="102"/>
        <item x="202"/>
        <item x="46"/>
        <item x="92"/>
        <item x="60"/>
        <item x="176"/>
        <item x="86"/>
        <item x="91"/>
        <item x="52"/>
        <item x="53"/>
        <item x="64"/>
        <item x="118"/>
        <item x="123"/>
        <item x="199"/>
        <item x="130"/>
        <item x="132"/>
        <item x="6"/>
        <item x="198"/>
        <item x="19"/>
        <item x="208"/>
        <item x="222"/>
        <item x="113"/>
        <item m="1" x="262"/>
        <item x="185"/>
        <item x="56"/>
        <item x="209"/>
        <item x="11"/>
        <item m="1" x="256"/>
        <item x="212"/>
        <item x="179"/>
        <item x="115"/>
        <item m="1" x="261"/>
        <item m="1" x="254"/>
        <item m="1" x="248"/>
        <item m="1" x="240"/>
        <item x="162"/>
        <item m="1" x="249"/>
        <item m="1" x="246"/>
        <item m="1" x="263"/>
        <item m="1" x="258"/>
        <item m="1" x="260"/>
        <item m="1" x="255"/>
        <item m="1" x="247"/>
        <item x="231"/>
        <item x="37"/>
        <item m="1" x="259"/>
        <item m="1" x="237"/>
        <item m="1" x="252"/>
        <item m="1" x="251"/>
        <item m="1" x="236"/>
        <item x="184"/>
        <item m="1" x="253"/>
        <item m="1" x="241"/>
        <item x="181"/>
        <item x="51"/>
        <item x="55"/>
        <item x="219"/>
        <item m="1" x="264"/>
        <item m="1" x="250"/>
        <item m="1" x="242"/>
        <item m="1" x="265"/>
        <item x="57"/>
        <item x="161"/>
        <item x="194"/>
        <item x="121"/>
        <item x="195"/>
        <item x="196"/>
        <item x="197"/>
        <item x="207"/>
        <item x="190"/>
        <item x="183"/>
        <item x="173"/>
        <item x="200"/>
        <item x="114"/>
        <item x="117"/>
        <item x="3"/>
        <item x="163"/>
        <item x="186"/>
        <item x="230"/>
        <item x="187"/>
        <item x="63"/>
        <item x="81"/>
        <item x="127"/>
        <item x="214"/>
        <item x="160"/>
        <item x="229"/>
        <item x="43"/>
        <item x="119"/>
        <item x="120"/>
        <item x="82"/>
        <item x="110"/>
        <item x="234"/>
        <item x="4"/>
        <item x="8"/>
        <item x="14"/>
        <item x="48"/>
        <item x="94"/>
        <item x="111"/>
        <item x="112"/>
        <item x="122"/>
        <item x="124"/>
        <item x="125"/>
        <item x="128"/>
        <item x="129"/>
        <item x="144"/>
        <item x="147"/>
        <item x="158"/>
        <item x="166"/>
        <item x="167"/>
        <item x="168"/>
        <item x="169"/>
        <item x="170"/>
        <item x="171"/>
        <item x="172"/>
        <item x="178"/>
        <item x="188"/>
        <item x="191"/>
        <item x="192"/>
        <item x="206"/>
        <item x="210"/>
        <item x="211"/>
        <item x="215"/>
        <item x="216"/>
        <item x="221"/>
        <item x="226"/>
        <item x="227"/>
        <item x="228"/>
        <item x="232"/>
        <item x="2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CRIPCION" axis="axisRow" compact="0" outline="0" showAll="0" defaultSubtotal="0">
      <items count="266">
        <item x="159"/>
        <item x="54"/>
        <item x="133"/>
        <item x="218"/>
        <item x="189"/>
        <item x="137"/>
        <item x="13"/>
        <item x="145"/>
        <item x="107"/>
        <item x="109"/>
        <item x="2"/>
        <item x="31"/>
        <item x="29"/>
        <item x="59"/>
        <item x="50"/>
        <item x="193"/>
        <item x="204"/>
        <item x="101"/>
        <item x="67"/>
        <item x="102"/>
        <item x="156"/>
        <item x="135"/>
        <item x="223"/>
        <item x="58"/>
        <item x="62"/>
        <item x="16"/>
        <item x="205"/>
        <item x="100"/>
        <item x="32"/>
        <item x="27"/>
        <item x="70"/>
        <item x="89"/>
        <item x="76"/>
        <item x="72"/>
        <item x="7"/>
        <item x="21"/>
        <item x="98"/>
        <item x="139"/>
        <item x="116"/>
        <item x="66"/>
        <item x="106"/>
        <item x="103"/>
        <item x="0"/>
        <item x="42"/>
        <item x="140"/>
        <item x="23"/>
        <item x="22"/>
        <item x="15"/>
        <item x="65"/>
        <item x="47"/>
        <item x="157"/>
        <item x="26"/>
        <item x="126"/>
        <item x="10"/>
        <item x="165"/>
        <item x="12"/>
        <item x="131"/>
        <item x="46"/>
        <item m="1" x="239"/>
        <item m="1" x="258"/>
        <item x="175"/>
        <item m="1" x="248"/>
        <item x="213"/>
        <item x="33"/>
        <item m="1" x="260"/>
        <item x="17"/>
        <item x="92"/>
        <item x="28"/>
        <item x="142"/>
        <item x="79"/>
        <item m="1" x="251"/>
        <item x="88"/>
        <item x="90"/>
        <item x="138"/>
        <item x="93"/>
        <item x="148"/>
        <item x="164"/>
        <item x="78"/>
        <item x="105"/>
        <item x="40"/>
        <item x="134"/>
        <item x="41"/>
        <item x="84"/>
        <item x="87"/>
        <item x="69"/>
        <item x="30"/>
        <item x="153"/>
        <item x="20"/>
        <item m="1" x="250"/>
        <item x="224"/>
        <item x="174"/>
        <item x="36"/>
        <item x="202"/>
        <item x="220"/>
        <item x="18"/>
        <item m="1" x="249"/>
        <item x="180"/>
        <item x="104"/>
        <item x="34"/>
        <item x="44"/>
        <item x="217"/>
        <item x="95"/>
        <item x="149"/>
        <item x="38"/>
        <item x="5"/>
        <item x="177"/>
        <item x="80"/>
        <item x="154"/>
        <item x="74"/>
        <item x="85"/>
        <item x="182"/>
        <item x="143"/>
        <item x="152"/>
        <item x="155"/>
        <item x="201"/>
        <item x="141"/>
        <item x="151"/>
        <item x="1"/>
        <item x="49"/>
        <item x="73"/>
        <item x="96"/>
        <item x="61"/>
        <item x="35"/>
        <item x="39"/>
        <item x="146"/>
        <item x="77"/>
        <item x="71"/>
        <item x="45"/>
        <item x="75"/>
        <item x="83"/>
        <item x="25"/>
        <item x="24"/>
        <item x="99"/>
        <item x="136"/>
        <item x="203"/>
        <item x="97"/>
        <item x="150"/>
        <item x="9"/>
        <item x="225"/>
        <item x="108"/>
        <item x="68"/>
        <item x="60"/>
        <item x="176"/>
        <item x="86"/>
        <item x="91"/>
        <item x="52"/>
        <item x="53"/>
        <item x="64"/>
        <item x="118"/>
        <item x="123"/>
        <item x="199"/>
        <item x="130"/>
        <item x="132"/>
        <item x="6"/>
        <item x="198"/>
        <item x="19"/>
        <item x="208"/>
        <item x="222"/>
        <item x="113"/>
        <item m="1" x="236"/>
        <item x="185"/>
        <item x="56"/>
        <item x="209"/>
        <item x="11"/>
        <item m="1" x="242"/>
        <item x="212"/>
        <item x="179"/>
        <item x="115"/>
        <item m="1" x="247"/>
        <item m="1" x="254"/>
        <item m="1" x="243"/>
        <item m="1" x="235"/>
        <item x="162"/>
        <item m="1" x="263"/>
        <item m="1" x="261"/>
        <item m="1" x="245"/>
        <item m="1" x="262"/>
        <item m="1" x="240"/>
        <item m="1" x="265"/>
        <item m="1" x="241"/>
        <item x="231"/>
        <item x="37"/>
        <item m="1" x="257"/>
        <item m="1" x="259"/>
        <item m="1" x="256"/>
        <item m="1" x="244"/>
        <item m="1" x="246"/>
        <item x="184"/>
        <item m="1" x="252"/>
        <item m="1" x="264"/>
        <item x="181"/>
        <item x="51"/>
        <item x="55"/>
        <item x="219"/>
        <item m="1" x="253"/>
        <item m="1" x="237"/>
        <item m="1" x="238"/>
        <item m="1" x="255"/>
        <item x="57"/>
        <item x="161"/>
        <item x="194"/>
        <item x="121"/>
        <item x="195"/>
        <item x="196"/>
        <item x="197"/>
        <item x="207"/>
        <item x="190"/>
        <item x="183"/>
        <item x="173"/>
        <item x="200"/>
        <item x="114"/>
        <item x="117"/>
        <item x="3"/>
        <item x="163"/>
        <item x="186"/>
        <item x="230"/>
        <item x="187"/>
        <item x="63"/>
        <item x="81"/>
        <item x="127"/>
        <item x="214"/>
        <item x="160"/>
        <item x="229"/>
        <item x="43"/>
        <item x="119"/>
        <item x="120"/>
        <item x="82"/>
        <item x="110"/>
        <item x="234"/>
        <item x="4"/>
        <item x="8"/>
        <item x="14"/>
        <item x="48"/>
        <item x="94"/>
        <item x="111"/>
        <item x="112"/>
        <item x="122"/>
        <item x="124"/>
        <item x="125"/>
        <item x="128"/>
        <item x="129"/>
        <item x="144"/>
        <item x="147"/>
        <item x="158"/>
        <item x="166"/>
        <item x="167"/>
        <item x="168"/>
        <item x="169"/>
        <item x="170"/>
        <item x="171"/>
        <item x="172"/>
        <item x="178"/>
        <item x="188"/>
        <item x="191"/>
        <item x="192"/>
        <item x="206"/>
        <item x="210"/>
        <item x="211"/>
        <item x="215"/>
        <item x="216"/>
        <item x="221"/>
        <item x="226"/>
        <item x="227"/>
        <item x="228"/>
        <item x="232"/>
        <item x="2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ODIGO UNICO" axis="axisRow" compact="0" outline="0" showAll="0" defaultSubtotal="0">
      <items count="1694">
        <item x="34"/>
        <item x="23"/>
        <item m="1" x="1589"/>
        <item x="81"/>
        <item x="1285"/>
        <item x="120"/>
        <item x="83"/>
        <item x="177"/>
        <item x="178"/>
        <item x="84"/>
        <item x="1288"/>
        <item x="176"/>
        <item x="769"/>
        <item x="409"/>
        <item x="1319"/>
        <item x="759"/>
        <item m="1" x="1521"/>
        <item x="488"/>
        <item x="478"/>
        <item x="1329"/>
        <item x="766"/>
        <item x="777"/>
        <item x="1192"/>
        <item x="1193"/>
        <item x="476"/>
        <item x="1262"/>
        <item x="468"/>
        <item m="1" x="1370"/>
        <item x="1264"/>
        <item x="475"/>
        <item x="1256"/>
        <item x="474"/>
        <item x="1257"/>
        <item x="1263"/>
        <item x="1258"/>
        <item x="442"/>
        <item x="473"/>
        <item x="1104"/>
        <item x="726"/>
        <item x="472"/>
        <item x="470"/>
        <item x="471"/>
        <item x="430"/>
        <item x="431"/>
        <item x="469"/>
        <item x="436"/>
        <item x="437"/>
        <item x="435"/>
        <item x="477"/>
        <item m="1" x="1654"/>
        <item x="1092"/>
        <item x="465"/>
        <item x="466"/>
        <item x="467"/>
        <item x="464"/>
        <item x="757"/>
        <item x="758"/>
        <item x="760"/>
        <item x="1320"/>
        <item x="1312"/>
        <item x="1331"/>
        <item x="1321"/>
        <item x="1316"/>
        <item x="1317"/>
        <item x="1318"/>
        <item x="1324"/>
        <item x="1325"/>
        <item x="1326"/>
        <item x="1310"/>
        <item x="1322"/>
        <item x="1327"/>
        <item m="1" x="1494"/>
        <item x="1323"/>
        <item x="486"/>
        <item x="1315"/>
        <item x="1332"/>
        <item x="481"/>
        <item x="482"/>
        <item x="480"/>
        <item x="483"/>
        <item x="487"/>
        <item x="484"/>
        <item x="410"/>
        <item x="408"/>
        <item m="1" x="1366"/>
        <item x="485"/>
        <item x="479"/>
        <item x="774"/>
        <item x="776"/>
        <item x="775"/>
        <item m="1" x="1544"/>
        <item x="768"/>
        <item x="770"/>
        <item m="1" x="1604"/>
        <item m="1" x="1455"/>
        <item m="1" x="1523"/>
        <item x="771"/>
        <item x="772"/>
        <item x="773"/>
        <item m="1" x="1466"/>
        <item x="793"/>
        <item x="789"/>
        <item x="778"/>
        <item m="1" x="1487"/>
        <item x="514"/>
        <item m="1" x="1407"/>
        <item x="515"/>
        <item x="779"/>
        <item x="765"/>
        <item x="795"/>
        <item x="796"/>
        <item x="786"/>
        <item x="787"/>
        <item x="794"/>
        <item x="791"/>
        <item x="783"/>
        <item x="782"/>
        <item x="792"/>
        <item x="797"/>
        <item x="784"/>
        <item x="788"/>
        <item x="790"/>
        <item x="785"/>
        <item x="946"/>
        <item x="948"/>
        <item x="947"/>
        <item x="951"/>
        <item x="952"/>
        <item x="950"/>
        <item x="949"/>
        <item m="1" x="1430"/>
        <item m="1" x="1535"/>
        <item m="1" x="1444"/>
        <item x="1328"/>
        <item x="1330"/>
        <item m="1" x="1677"/>
        <item x="1311"/>
        <item m="1" x="1676"/>
        <item x="513"/>
        <item x="767"/>
        <item m="1" x="1540"/>
        <item x="75"/>
        <item x="1301"/>
        <item x="462"/>
        <item x="463"/>
        <item x="750"/>
        <item x="752"/>
        <item x="754"/>
        <item x="751"/>
        <item x="753"/>
        <item x="746"/>
        <item x="755"/>
        <item x="747"/>
        <item x="748"/>
        <item x="1299"/>
        <item x="749"/>
        <item x="1300"/>
        <item x="1298"/>
        <item x="1146"/>
        <item x="1147"/>
        <item x="1148"/>
        <item x="1149"/>
        <item x="1296"/>
        <item x="1143"/>
        <item x="1297"/>
        <item x="1144"/>
        <item x="1145"/>
        <item x="407"/>
        <item x="401"/>
        <item x="402"/>
        <item x="403"/>
        <item x="404"/>
        <item x="405"/>
        <item x="406"/>
        <item x="400"/>
        <item x="508"/>
        <item x="509"/>
        <item x="503"/>
        <item x="510"/>
        <item x="511"/>
        <item x="512"/>
        <item x="502"/>
        <item x="504"/>
        <item x="505"/>
        <item x="506"/>
        <item x="507"/>
        <item x="496"/>
        <item x="499"/>
        <item x="498"/>
        <item x="500"/>
        <item x="501"/>
        <item x="491"/>
        <item x="492"/>
        <item x="493"/>
        <item x="494"/>
        <item x="495"/>
        <item x="942"/>
        <item x="781"/>
        <item x="945"/>
        <item m="1" x="1412"/>
        <item x="745"/>
        <item m="1" x="1629"/>
        <item m="1" x="1465"/>
        <item x="1142"/>
        <item x="1135"/>
        <item x="1136"/>
        <item x="1137"/>
        <item x="780"/>
        <item x="1138"/>
        <item m="1" x="1448"/>
        <item m="1" x="1620"/>
        <item x="1139"/>
        <item x="1130"/>
        <item x="1131"/>
        <item x="1132"/>
        <item m="1" x="1477"/>
        <item x="1133"/>
        <item x="1134"/>
        <item x="399"/>
        <item x="396"/>
        <item x="397"/>
        <item x="398"/>
        <item m="1" x="1600"/>
        <item m="1" x="1689"/>
        <item m="1" x="1685"/>
        <item m="1" x="1611"/>
        <item m="1" x="1502"/>
        <item m="1" x="1608"/>
        <item m="1" x="1364"/>
        <item m="1" x="1579"/>
        <item m="1" x="1378"/>
        <item m="1" x="1406"/>
        <item m="1" x="1462"/>
        <item m="1" x="1441"/>
        <item m="1" x="1422"/>
        <item m="1" x="1631"/>
        <item m="1" x="1416"/>
        <item m="1" x="1584"/>
        <item m="1" x="1630"/>
        <item m="1" x="1678"/>
        <item x="76"/>
        <item x="1150"/>
        <item x="497"/>
        <item x="1140"/>
        <item x="1141"/>
        <item m="1" x="1420"/>
        <item x="190"/>
        <item x="196"/>
        <item x="195"/>
        <item x="191"/>
        <item x="200"/>
        <item x="197"/>
        <item x="198"/>
        <item x="199"/>
        <item x="194"/>
        <item x="192"/>
        <item x="193"/>
        <item x="186"/>
        <item x="384"/>
        <item x="385"/>
        <item x="203"/>
        <item x="378"/>
        <item x="386"/>
        <item x="204"/>
        <item x="380"/>
        <item x="205"/>
        <item x="382"/>
        <item x="207"/>
        <item x="206"/>
        <item x="201"/>
        <item x="389"/>
        <item x="202"/>
        <item x="390"/>
        <item x="392"/>
        <item x="394"/>
        <item x="941"/>
        <item x="383"/>
        <item x="189"/>
        <item x="387"/>
        <item x="187"/>
        <item x="188"/>
        <item x="379"/>
        <item x="381"/>
        <item x="391"/>
        <item x="393"/>
        <item x="388"/>
        <item x="395"/>
        <item x="77"/>
        <item x="183"/>
        <item x="903"/>
        <item x="360"/>
        <item x="98"/>
        <item x="180"/>
        <item x="1063"/>
        <item x="1067"/>
        <item x="97"/>
        <item x="589"/>
        <item x="95"/>
        <item x="181"/>
        <item x="895"/>
        <item x="893"/>
        <item x="1064"/>
        <item x="901"/>
        <item x="172"/>
        <item x="179"/>
        <item x="100"/>
        <item x="94"/>
        <item x="173"/>
        <item x="99"/>
        <item x="1066"/>
        <item m="1" x="1397"/>
        <item x="174"/>
        <item x="376"/>
        <item x="182"/>
        <item x="902"/>
        <item x="588"/>
        <item x="1065"/>
        <item x="184"/>
        <item x="96"/>
        <item x="1061"/>
        <item x="894"/>
        <item x="1062"/>
        <item x="175"/>
        <item x="359"/>
        <item x="86"/>
        <item x="87"/>
        <item x="1058"/>
        <item x="1059"/>
        <item x="1060"/>
        <item x="899"/>
        <item x="900"/>
        <item x="896"/>
        <item x="897"/>
        <item x="375"/>
        <item x="185"/>
        <item x="152"/>
        <item x="155"/>
        <item x="154"/>
        <item x="1279"/>
        <item x="153"/>
        <item x="156"/>
        <item x="1128"/>
        <item x="938"/>
        <item x="1269"/>
        <item x="1111"/>
        <item x="1113"/>
        <item x="147"/>
        <item x="1271"/>
        <item x="1115"/>
        <item x="1112"/>
        <item x="1282"/>
        <item x="1277"/>
        <item x="1278"/>
        <item x="1280"/>
        <item x="1281"/>
        <item x="1272"/>
        <item x="1273"/>
        <item x="1274"/>
        <item x="1275"/>
        <item x="1276"/>
        <item x="1117"/>
        <item x="1118"/>
        <item x="1119"/>
        <item x="1268"/>
        <item x="1270"/>
        <item x="1114"/>
        <item x="1116"/>
        <item x="1110"/>
        <item x="1295"/>
        <item x="149"/>
        <item x="940"/>
        <item x="935"/>
        <item x="936"/>
        <item x="937"/>
        <item x="939"/>
        <item x="763"/>
        <item x="764"/>
        <item x="934"/>
        <item x="1126"/>
        <item x="1127"/>
        <item x="1121"/>
        <item x="1122"/>
        <item x="1123"/>
        <item x="1124"/>
        <item x="1125"/>
        <item x="489"/>
        <item x="490"/>
        <item x="1283"/>
        <item x="148"/>
        <item x="1294"/>
        <item x="1292"/>
        <item x="1293"/>
        <item x="1289"/>
        <item x="1290"/>
        <item x="1291"/>
        <item x="151"/>
        <item x="150"/>
        <item x="159"/>
        <item x="160"/>
        <item x="161"/>
        <item x="157"/>
        <item x="158"/>
        <item x="162"/>
        <item x="163"/>
        <item x="164"/>
        <item x="377"/>
        <item x="450"/>
        <item x="451"/>
        <item x="452"/>
        <item x="453"/>
        <item x="458"/>
        <item x="459"/>
        <item x="454"/>
        <item x="455"/>
        <item x="456"/>
        <item x="457"/>
        <item x="460"/>
        <item x="461"/>
        <item x="170"/>
        <item x="171"/>
        <item x="744"/>
        <item x="743"/>
        <item x="333"/>
        <item x="756"/>
        <item x="1120"/>
        <item x="1129"/>
        <item x="1306"/>
        <item x="1302"/>
        <item x="1303"/>
        <item x="1307"/>
        <item x="1308"/>
        <item x="1309"/>
        <item x="1304"/>
        <item x="1305"/>
        <item x="1313"/>
        <item x="1314"/>
        <item x="82"/>
        <item x="361"/>
        <item x="362"/>
        <item x="363"/>
        <item x="364"/>
        <item x="365"/>
        <item x="366"/>
        <item x="367"/>
        <item x="335"/>
        <item x="368"/>
        <item x="369"/>
        <item x="370"/>
        <item x="371"/>
        <item x="943"/>
        <item x="1235"/>
        <item x="1236"/>
        <item x="1237"/>
        <item x="1081"/>
        <item x="1251"/>
        <item x="117"/>
        <item x="119"/>
        <item x="129"/>
        <item x="135"/>
        <item x="136"/>
        <item x="137"/>
        <item x="138"/>
        <item x="139"/>
        <item x="140"/>
        <item x="424"/>
        <item x="427"/>
        <item x="426"/>
        <item x="425"/>
        <item x="428"/>
        <item x="429"/>
        <item x="432"/>
        <item x="433"/>
        <item x="738"/>
        <item x="739"/>
        <item x="737"/>
        <item x="732"/>
        <item x="733"/>
        <item x="833"/>
        <item x="834"/>
        <item x="835"/>
        <item x="836"/>
        <item x="837"/>
        <item x="838"/>
        <item x="590"/>
        <item x="591"/>
        <item x="101"/>
        <item x="88"/>
        <item x="89"/>
        <item x="90"/>
        <item x="91"/>
        <item x="631"/>
        <item x="700"/>
        <item x="701"/>
        <item x="702"/>
        <item x="703"/>
        <item x="832"/>
        <item x="891"/>
        <item x="438"/>
        <item x="439"/>
        <item x="440"/>
        <item x="734"/>
        <item x="727"/>
        <item x="728"/>
        <item x="729"/>
        <item x="730"/>
        <item x="731"/>
        <item x="441"/>
        <item x="740"/>
        <item x="741"/>
        <item x="742"/>
        <item x="898"/>
        <item x="915"/>
        <item x="916"/>
        <item x="917"/>
        <item x="918"/>
        <item x="919"/>
        <item x="914"/>
        <item x="925"/>
        <item x="920"/>
        <item x="921"/>
        <item x="922"/>
        <item x="923"/>
        <item x="924"/>
        <item x="927"/>
        <item x="1089"/>
        <item x="1090"/>
        <item x="1091"/>
        <item x="1095"/>
        <item x="1094"/>
        <item x="1100"/>
        <item x="1101"/>
        <item x="1102"/>
        <item x="1096"/>
        <item x="1098"/>
        <item x="1099"/>
        <item x="1103"/>
        <item x="1105"/>
        <item x="1109"/>
        <item x="1287"/>
        <item x="1284"/>
        <item x="831"/>
        <item x="1286"/>
        <item x="878"/>
        <item m="1" x="1607"/>
        <item m="1" x="1405"/>
        <item m="1" x="1538"/>
        <item m="1" x="1449"/>
        <item m="1" x="1468"/>
        <item m="1" x="1621"/>
        <item m="1" x="1681"/>
        <item m="1" x="1437"/>
        <item m="1" x="1636"/>
        <item m="1" x="1532"/>
        <item m="1" x="1547"/>
        <item m="1" x="1434"/>
        <item m="1" x="1379"/>
        <item m="1" x="1415"/>
        <item m="1" x="1651"/>
        <item m="1" x="1423"/>
        <item m="1" x="1596"/>
        <item m="1" x="1530"/>
        <item m="1" x="1478"/>
        <item m="1" x="1483"/>
        <item m="1" x="1474"/>
        <item m="1" x="1665"/>
        <item m="1" x="1534"/>
        <item m="1" x="1560"/>
        <item m="1" x="1643"/>
        <item m="1" x="1531"/>
        <item m="1" x="1548"/>
        <item m="1" x="1552"/>
        <item m="1" x="1403"/>
        <item m="1" x="1391"/>
        <item m="1" x="1524"/>
        <item m="1" x="1637"/>
        <item m="1" x="1536"/>
        <item m="1" x="1615"/>
        <item m="1" x="1380"/>
        <item m="1" x="1484"/>
        <item m="1" x="1509"/>
        <item m="1" x="1452"/>
        <item m="1" x="1442"/>
        <item m="1" x="1454"/>
        <item m="1" x="1580"/>
        <item m="1" x="1645"/>
        <item m="1" x="1581"/>
        <item m="1" x="1377"/>
        <item m="1" x="1467"/>
        <item m="1" x="1501"/>
        <item m="1" x="1489"/>
        <item m="1" x="1692"/>
        <item m="1" x="1667"/>
        <item m="1" x="1425"/>
        <item m="1" x="1684"/>
        <item m="1" x="1384"/>
        <item m="1" x="1491"/>
        <item m="1" x="1614"/>
        <item m="1" x="1374"/>
        <item m="1" x="1671"/>
        <item m="1" x="1517"/>
        <item m="1" x="1369"/>
        <item m="1" x="1593"/>
        <item m="1" x="1486"/>
        <item m="1" x="1359"/>
        <item m="1" x="1447"/>
        <item m="1" x="1457"/>
        <item m="1" x="1519"/>
        <item m="1" x="1660"/>
        <item m="1" x="1520"/>
        <item m="1" x="1371"/>
        <item m="1" x="1506"/>
        <item m="1" x="1510"/>
        <item m="1" x="1398"/>
        <item m="1" x="1445"/>
        <item m="1" x="1591"/>
        <item m="1" x="1372"/>
        <item m="1" x="1618"/>
        <item m="1" x="1394"/>
        <item m="1" x="1574"/>
        <item m="1" x="1482"/>
        <item m="1" x="1473"/>
        <item m="1" x="1392"/>
        <item m="1" x="1688"/>
        <item m="1" x="1565"/>
        <item m="1" x="1469"/>
        <item m="1" x="1541"/>
        <item m="1" x="1428"/>
        <item m="1" x="1543"/>
        <item m="1" x="1663"/>
        <item m="1" x="1458"/>
        <item m="1" x="1597"/>
        <item m="1" x="1537"/>
        <item m="1" x="1388"/>
        <item m="1" x="1382"/>
        <item m="1" x="1664"/>
        <item m="1" x="1642"/>
        <item m="1" x="1569"/>
        <item m="1" x="1399"/>
        <item m="1" x="1553"/>
        <item m="1" x="1507"/>
        <item m="1" x="1683"/>
        <item m="1" x="1393"/>
        <item m="1" x="1505"/>
        <item m="1" x="1571"/>
        <item m="1" x="1436"/>
        <item m="1" x="1588"/>
        <item m="1" x="1404"/>
        <item m="1" x="1652"/>
        <item m="1" x="1471"/>
        <item m="1" x="1435"/>
        <item m="1" x="1453"/>
        <item m="1" x="1498"/>
        <item m="1" x="1424"/>
        <item m="1" x="1640"/>
        <item m="1" x="1656"/>
        <item m="1" x="1567"/>
        <item m="1" x="1450"/>
        <item m="1" x="1570"/>
        <item m="1" x="1419"/>
        <item m="1" x="1413"/>
        <item m="1" x="1479"/>
        <item m="1" x="1549"/>
        <item m="1" x="1533"/>
        <item m="1" x="1426"/>
        <item m="1" x="1480"/>
        <item m="1" x="1641"/>
        <item m="1" x="1367"/>
        <item m="1" x="1396"/>
        <item m="1" x="1526"/>
        <item m="1" x="1682"/>
        <item m="1" x="1443"/>
        <item m="1" x="1456"/>
        <item m="1" x="1511"/>
        <item m="1" x="1592"/>
        <item m="1" x="1368"/>
        <item m="1" x="1612"/>
        <item m="1" x="1401"/>
        <item m="1" x="1559"/>
        <item m="1" x="1503"/>
        <item m="1" x="1625"/>
        <item m="1" x="1500"/>
        <item m="1" x="1639"/>
        <item m="1" x="1616"/>
        <item m="1" x="1670"/>
        <item m="1" x="1439"/>
        <item m="1" x="1563"/>
        <item m="1" x="1609"/>
        <item m="1" x="1493"/>
        <item m="1" x="1649"/>
        <item m="1" x="1572"/>
        <item m="1" x="1672"/>
        <item m="1" x="1470"/>
        <item m="1" x="1539"/>
        <item m="1" x="1626"/>
        <item m="1" x="1594"/>
        <item m="1" x="1446"/>
        <item m="1" x="1481"/>
        <item m="1" x="1508"/>
        <item m="1" x="1666"/>
        <item m="1" x="1693"/>
        <item m="1" x="1557"/>
        <item m="1" x="1496"/>
        <item m="1" x="1395"/>
        <item m="1" x="1363"/>
        <item m="1" x="1556"/>
        <item m="1" x="1687"/>
        <item m="1" x="1546"/>
        <item m="1" x="1578"/>
        <item m="1" x="1472"/>
        <item m="1" x="1585"/>
        <item m="1" x="1512"/>
        <item m="1" x="1528"/>
        <item m="1" x="1421"/>
        <item m="1" x="1387"/>
        <item m="1" x="1475"/>
        <item m="1" x="1562"/>
        <item m="1" x="1668"/>
        <item m="1" x="1522"/>
        <item m="1" x="1365"/>
        <item m="1" x="1550"/>
        <item m="1" x="1375"/>
        <item m="1" x="1440"/>
        <item m="1" x="1389"/>
        <item m="1" x="1431"/>
        <item m="1" x="1433"/>
        <item m="1" x="1632"/>
        <item m="1" x="1619"/>
        <item m="1" x="1504"/>
        <item m="1" x="1432"/>
        <item m="1" x="1515"/>
        <item m="1" x="1634"/>
        <item m="1" x="1513"/>
        <item m="1" x="1495"/>
        <item m="1" x="1464"/>
        <item m="1" x="1542"/>
        <item m="1" x="1518"/>
        <item m="1" x="1497"/>
        <item m="1" x="1599"/>
        <item m="1" x="1679"/>
        <item m="1" x="1427"/>
        <item m="1" x="1373"/>
        <item m="1" x="1558"/>
        <item m="1" x="1488"/>
        <item m="1" x="1653"/>
        <item m="1" x="1583"/>
        <item m="1" x="1598"/>
        <item m="1" x="1657"/>
        <item m="1" x="1690"/>
        <item m="1" x="1590"/>
        <item m="1" x="1647"/>
        <item m="1" x="1463"/>
        <item m="1" x="1686"/>
        <item m="1" x="1361"/>
        <item m="1" x="1659"/>
        <item m="1" x="1644"/>
        <item m="1" x="1551"/>
        <item m="1" x="1627"/>
        <item m="1" x="1606"/>
        <item m="1" x="1490"/>
        <item m="1" x="1383"/>
        <item m="1" x="1617"/>
        <item m="1" x="1566"/>
        <item m="1" x="1529"/>
        <item m="1" x="1646"/>
        <item m="1" x="1595"/>
        <item m="1" x="1582"/>
        <item m="1" x="1602"/>
        <item m="1" x="1669"/>
        <item m="1" x="1586"/>
        <item m="1" x="1408"/>
        <item m="1" x="1492"/>
        <item m="1" x="1525"/>
        <item m="1" x="1409"/>
        <item m="1" x="1485"/>
        <item m="1" x="1411"/>
        <item m="1" x="1545"/>
        <item m="1" x="1662"/>
        <item m="1" x="1675"/>
        <item m="1" x="1658"/>
        <item m="1" x="1635"/>
        <item m="1" x="1673"/>
        <item m="1" x="1655"/>
        <item m="1" x="1568"/>
        <item m="1" x="1613"/>
        <item m="1" x="1402"/>
        <item m="1" x="1555"/>
        <item m="1" x="1622"/>
        <item m="1" x="1605"/>
        <item m="1" x="1360"/>
        <item m="1" x="1561"/>
        <item m="1" x="1386"/>
        <item m="1" x="1376"/>
        <item m="1" x="1414"/>
        <item m="1" x="1587"/>
        <item m="1" x="1516"/>
        <item m="1" x="1691"/>
        <item m="1" x="1417"/>
        <item m="1" x="1438"/>
        <item m="1" x="1638"/>
        <item m="1" x="1451"/>
        <item m="1" x="1527"/>
        <item m="1" x="1650"/>
        <item m="1" x="1601"/>
        <item m="1" x="1499"/>
        <item m="1" x="1603"/>
        <item m="1" x="1577"/>
        <item m="1" x="1661"/>
        <item m="1" x="1575"/>
        <item m="1" x="1362"/>
        <item m="1" x="1554"/>
        <item m="1" x="1460"/>
        <item m="1" x="1459"/>
        <item m="1" x="1385"/>
        <item m="1" x="1476"/>
        <item m="1" x="1514"/>
        <item m="1" x="1573"/>
        <item m="1" x="1628"/>
        <item m="1" x="1429"/>
        <item m="1" x="1610"/>
        <item m="1" x="1633"/>
        <item m="1" x="1461"/>
        <item x="695"/>
        <item x="696"/>
        <item x="694"/>
        <item x="697"/>
        <item x="698"/>
        <item x="699"/>
        <item x="841"/>
        <item x="842"/>
        <item x="849"/>
        <item x="850"/>
        <item x="851"/>
        <item x="852"/>
        <item x="853"/>
        <item x="854"/>
        <item x="1025"/>
        <item x="1027"/>
        <item x="1028"/>
        <item x="1029"/>
        <item x="1030"/>
        <item x="1023"/>
        <item x="1024"/>
        <item x="1032"/>
        <item x="1033"/>
        <item x="1034"/>
        <item x="1035"/>
        <item x="1026"/>
        <item x="1031"/>
        <item x="1341"/>
        <item x="1342"/>
        <item x="1343"/>
        <item x="1352"/>
        <item x="1353"/>
        <item x="1354"/>
        <item x="1355"/>
        <item x="1356"/>
        <item x="1357"/>
        <item x="1358"/>
        <item x="1347"/>
        <item x="1348"/>
        <item x="1349"/>
        <item x="1350"/>
        <item x="1351"/>
        <item x="67"/>
        <item x="262"/>
        <item x="68"/>
        <item x="69"/>
        <item x="267"/>
        <item x="264"/>
        <item x="553"/>
        <item x="552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6"/>
        <item x="282"/>
        <item x="283"/>
        <item x="281"/>
        <item x="289"/>
        <item x="287"/>
        <item x="284"/>
        <item x="285"/>
        <item x="288"/>
        <item x="554"/>
        <item x="558"/>
        <item x="556"/>
        <item x="555"/>
        <item x="559"/>
        <item x="557"/>
        <item x="561"/>
        <item x="560"/>
        <item x="562"/>
        <item x="563"/>
        <item x="564"/>
        <item x="565"/>
        <item x="567"/>
        <item x="568"/>
        <item x="566"/>
        <item x="575"/>
        <item x="574"/>
        <item x="571"/>
        <item x="572"/>
        <item x="573"/>
        <item x="569"/>
        <item x="570"/>
        <item x="577"/>
        <item x="576"/>
        <item x="578"/>
        <item x="579"/>
        <item x="580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198"/>
        <item x="1199"/>
        <item x="1200"/>
        <item x="1213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30"/>
        <item x="1234"/>
        <item x="80"/>
        <item x="675"/>
        <item x="803"/>
        <item x="804"/>
        <item x="676"/>
        <item x="677"/>
        <item x="678"/>
        <item x="806"/>
        <item x="805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30"/>
        <item x="827"/>
        <item x="828"/>
        <item x="818"/>
        <item x="819"/>
        <item x="820"/>
        <item x="822"/>
        <item x="821"/>
        <item x="823"/>
        <item x="829"/>
        <item x="824"/>
        <item x="825"/>
        <item x="826"/>
        <item x="984"/>
        <item x="985"/>
        <item x="85"/>
        <item x="105"/>
        <item x="106"/>
        <item x="321"/>
        <item x="336"/>
        <item x="348"/>
        <item x="613"/>
        <item x="612"/>
        <item x="614"/>
        <item x="620"/>
        <item x="622"/>
        <item x="621"/>
        <item x="623"/>
        <item x="715"/>
        <item x="713"/>
        <item x="882"/>
        <item x="986"/>
        <item x="987"/>
        <item x="988"/>
        <item x="989"/>
        <item x="990"/>
        <item x="839"/>
        <item x="840"/>
        <item x="983"/>
        <item x="995"/>
        <item x="996"/>
        <item x="997"/>
        <item x="991"/>
        <item x="992"/>
        <item x="993"/>
        <item x="994"/>
        <item x="999"/>
        <item x="1000"/>
        <item x="1001"/>
        <item x="998"/>
        <item x="1179"/>
        <item x="1176"/>
        <item x="1177"/>
        <item x="1178"/>
        <item x="1183"/>
        <item x="1184"/>
        <item x="1180"/>
        <item x="1181"/>
        <item x="1182"/>
        <item x="1186"/>
        <item x="1185"/>
        <item x="1187"/>
        <item x="1188"/>
        <item x="1191"/>
        <item x="1194"/>
        <item x="1195"/>
        <item x="1189"/>
        <item x="1190"/>
        <item x="71"/>
        <item x="72"/>
        <item x="1197"/>
        <item x="73"/>
        <item x="74"/>
        <item x="78"/>
        <item x="297"/>
        <item x="298"/>
        <item x="292"/>
        <item x="299"/>
        <item x="293"/>
        <item x="294"/>
        <item x="295"/>
        <item x="296"/>
        <item x="303"/>
        <item x="300"/>
        <item x="301"/>
        <item x="302"/>
        <item x="304"/>
        <item x="305"/>
        <item x="307"/>
        <item x="308"/>
        <item x="306"/>
        <item x="309"/>
        <item x="310"/>
        <item x="314"/>
        <item x="315"/>
        <item x="316"/>
        <item x="317"/>
        <item x="318"/>
        <item x="319"/>
        <item x="320"/>
        <item x="582"/>
        <item x="311"/>
        <item x="312"/>
        <item x="313"/>
        <item x="584"/>
        <item x="583"/>
        <item x="585"/>
        <item x="586"/>
        <item x="596"/>
        <item x="597"/>
        <item x="599"/>
        <item x="600"/>
        <item x="592"/>
        <item x="593"/>
        <item x="594"/>
        <item x="595"/>
        <item x="602"/>
        <item x="604"/>
        <item x="603"/>
        <item x="605"/>
        <item x="683"/>
        <item x="684"/>
        <item x="679"/>
        <item x="680"/>
        <item x="681"/>
        <item x="682"/>
        <item x="685"/>
        <item x="686"/>
        <item x="687"/>
        <item x="689"/>
        <item x="690"/>
        <item x="688"/>
        <item x="691"/>
        <item m="1" x="1564"/>
        <item m="1" x="1680"/>
        <item m="1" x="1381"/>
        <item m="1" x="1390"/>
        <item m="1" x="1623"/>
        <item m="1" x="1648"/>
        <item m="1" x="1624"/>
        <item m="1" x="1418"/>
        <item m="1" x="1410"/>
        <item m="1" x="1400"/>
        <item m="1" x="1674"/>
        <item m="1" x="157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70"/>
        <item x="79"/>
        <item x="92"/>
        <item x="93"/>
        <item x="102"/>
        <item x="103"/>
        <item x="104"/>
        <item x="107"/>
        <item x="108"/>
        <item x="109"/>
        <item x="110"/>
        <item x="111"/>
        <item x="112"/>
        <item x="113"/>
        <item x="114"/>
        <item x="115"/>
        <item x="116"/>
        <item x="118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41"/>
        <item x="142"/>
        <item x="143"/>
        <item x="144"/>
        <item x="145"/>
        <item x="146"/>
        <item x="165"/>
        <item x="166"/>
        <item x="167"/>
        <item x="168"/>
        <item x="169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3"/>
        <item x="265"/>
        <item x="266"/>
        <item x="290"/>
        <item x="29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4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9"/>
        <item x="350"/>
        <item x="351"/>
        <item x="352"/>
        <item x="353"/>
        <item x="354"/>
        <item x="355"/>
        <item x="356"/>
        <item x="357"/>
        <item x="358"/>
        <item x="372"/>
        <item x="373"/>
        <item x="374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34"/>
        <item x="443"/>
        <item x="444"/>
        <item x="445"/>
        <item x="446"/>
        <item x="447"/>
        <item x="448"/>
        <item x="449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81"/>
        <item x="587"/>
        <item x="598"/>
        <item x="601"/>
        <item x="606"/>
        <item x="607"/>
        <item x="608"/>
        <item x="609"/>
        <item x="610"/>
        <item x="611"/>
        <item x="615"/>
        <item x="616"/>
        <item x="617"/>
        <item x="618"/>
        <item x="619"/>
        <item x="624"/>
        <item x="625"/>
        <item x="626"/>
        <item x="627"/>
        <item x="628"/>
        <item x="629"/>
        <item x="630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92"/>
        <item x="693"/>
        <item x="704"/>
        <item x="705"/>
        <item x="706"/>
        <item x="707"/>
        <item x="708"/>
        <item x="709"/>
        <item x="710"/>
        <item x="711"/>
        <item x="712"/>
        <item x="714"/>
        <item x="716"/>
        <item x="717"/>
        <item x="718"/>
        <item x="719"/>
        <item x="720"/>
        <item x="721"/>
        <item x="722"/>
        <item x="723"/>
        <item x="724"/>
        <item x="725"/>
        <item x="735"/>
        <item x="736"/>
        <item x="761"/>
        <item x="762"/>
        <item x="798"/>
        <item x="799"/>
        <item x="800"/>
        <item x="801"/>
        <item x="802"/>
        <item x="843"/>
        <item x="844"/>
        <item x="845"/>
        <item x="846"/>
        <item x="847"/>
        <item x="848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9"/>
        <item x="880"/>
        <item x="881"/>
        <item x="883"/>
        <item x="884"/>
        <item x="885"/>
        <item x="886"/>
        <item x="887"/>
        <item x="888"/>
        <item x="889"/>
        <item x="890"/>
        <item x="892"/>
        <item x="904"/>
        <item x="905"/>
        <item x="906"/>
        <item x="907"/>
        <item x="908"/>
        <item x="909"/>
        <item x="910"/>
        <item x="911"/>
        <item x="912"/>
        <item x="913"/>
        <item x="926"/>
        <item x="928"/>
        <item x="929"/>
        <item x="930"/>
        <item x="931"/>
        <item x="932"/>
        <item x="933"/>
        <item x="944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51"/>
        <item x="1052"/>
        <item x="1053"/>
        <item x="1054"/>
        <item x="1055"/>
        <item x="1056"/>
        <item x="105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2"/>
        <item x="1083"/>
        <item x="1084"/>
        <item x="1085"/>
        <item x="1086"/>
        <item x="1087"/>
        <item x="1088"/>
        <item x="1093"/>
        <item x="1097"/>
        <item x="1106"/>
        <item x="1107"/>
        <item x="1108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96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1"/>
        <item x="1232"/>
        <item x="1233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2"/>
        <item x="1253"/>
        <item x="1254"/>
        <item x="1255"/>
        <item x="1259"/>
        <item x="1260"/>
        <item x="1261"/>
        <item x="1265"/>
        <item x="1266"/>
        <item x="1267"/>
        <item x="1333"/>
        <item x="1334"/>
        <item x="1335"/>
        <item x="1336"/>
        <item x="1337"/>
        <item x="1338"/>
        <item x="1339"/>
        <item x="1340"/>
        <item x="1344"/>
        <item x="1345"/>
        <item x="13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"/>
    <field x="5"/>
    <field x="6"/>
    <field x="10"/>
  </rowFields>
  <rowItems count="5">
    <i>
      <x v="207"/>
      <x v="33"/>
      <x v="76"/>
      <x v="240"/>
    </i>
    <i r="1">
      <x v="35"/>
      <x v="72"/>
      <x v="287"/>
    </i>
    <i r="1">
      <x v="36"/>
      <x v="73"/>
      <x v="335"/>
    </i>
    <i r="1">
      <x v="199"/>
      <x v="199"/>
      <x v="14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725" hier="-1"/>
  </pageFields>
  <dataFields count="2">
    <dataField name="SOLICITADA" fld="11" baseField="10" baseItem="0" numFmtId="3"/>
    <dataField name="ENCONTRADA" fld="12" baseField="2" baseItem="0" numFmtId="3"/>
  </dataFields>
  <formats count="8">
    <format dxfId="29">
      <pivotArea field="2" type="button" dataOnly="0" labelOnly="1" outline="0" axis="axisRow" fieldPosition="0"/>
    </format>
    <format dxfId="28">
      <pivotArea field="5" type="button" dataOnly="0" labelOnly="1" outline="0" axis="axisRow" fieldPosition="1"/>
    </format>
    <format dxfId="27">
      <pivotArea field="6" type="button" dataOnly="0" labelOnly="1" outline="0" axis="axisRow" fieldPosition="2"/>
    </format>
    <format dxfId="26">
      <pivotArea field="10" type="button" dataOnly="0" labelOnly="1" outline="0" axis="axisRow" fieldPosition="3"/>
    </format>
    <format dxfId="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192.168.1.8_POSEIDONSQL APPFVT_01 tbl_detalle_fill_rate" connectionId="1" autoFormatId="16" applyNumberFormats="0" applyBorderFormats="0" applyFontFormats="0" applyPatternFormats="0" applyAlignmentFormats="0" applyWidthHeightFormats="0">
  <queryTableRefresh nextId="23" unboundColumnsRight="6">
    <queryTableFields count="20">
      <queryTableField id="1" name="car_codigo" tableColumnId="1"/>
      <queryTableField id="2" name="car_nombre" tableColumnId="2"/>
      <queryTableField id="3" name="con_ocnumero" tableColumnId="3"/>
      <queryTableField id="4" name="fecha_ingreso" tableColumnId="4"/>
      <queryTableField id="5" name="fecha_emision" tableColumnId="5"/>
      <queryTableField id="6" name="con_fechadespacho" tableColumnId="6"/>
      <queryTableField id="7" name="pro_codigointerno" tableColumnId="7"/>
      <queryTableField id="8" name="pro_nombre" tableColumnId="8"/>
      <queryTableField id="9" name="con_cantidad" tableColumnId="9"/>
      <queryTableField id="10" name="con_codigounico" tableColumnId="10"/>
      <queryTableField id="11" name="pic_cantidad_encontrada" tableColumnId="11"/>
      <queryTableField id="12" name="emb_cantidad" tableColumnId="12"/>
      <queryTableField id="13" name="emb_fechadespacho" tableColumnId="13"/>
      <queryTableField id="14" name="dev_cantidad" tableColumnId="14"/>
      <queryTableField id="16" dataBound="0" tableColumnId="15"/>
      <queryTableField id="17" dataBound="0" tableColumnId="16"/>
      <queryTableField id="18" dataBound="0" tableColumnId="17"/>
      <queryTableField id="19" dataBound="0" tableColumnId="18"/>
      <queryTableField id="20" dataBound="0" tableColumnId="19"/>
      <queryTableField id="22" dataBound="0" tableColumnId="21"/>
    </queryTableFields>
  </queryTableRefresh>
</queryTable>
</file>

<file path=xl/queryTables/queryTable2.xml><?xml version="1.0" encoding="utf-8"?>
<queryTable xmlns="http://schemas.openxmlformats.org/spreadsheetml/2006/main" name="192.168.1.8_POSEIDONSQL APPFVT_01 tblFillRateFechas" connectionId="3" autoFormatId="16" applyNumberFormats="0" applyBorderFormats="0" applyFontFormats="0" applyPatternFormats="0" applyAlignmentFormats="0" applyWidthHeightFormats="0">
  <queryTableRefresh nextId="25" unboundColumnsRight="13">
    <queryTableFields count="24">
      <queryTableField id="1" name="car_codigo" tableColumnId="1"/>
      <queryTableField id="2" name="car_nombre" tableColumnId="2"/>
      <queryTableField id="3" name="con_ocnumero" tableColumnId="3"/>
      <queryTableField id="4" name="fecha_emision" tableColumnId="4"/>
      <queryTableField id="5" name="con_fechadespacho" tableColumnId="5"/>
      <queryTableField id="6" name="fecha_ingreso" tableColumnId="6"/>
      <queryTableField id="7" name="cant_order" tableColumnId="7"/>
      <queryTableField id="8" name="emb_cantidad" tableColumnId="8"/>
      <queryTableField id="9" name="fecha_despacho" tableColumnId="9"/>
      <queryTableField id="10" name="dev_cantidad" tableColumnId="10"/>
      <queryTableField id="22" name="con_codigounico" tableColumnId="22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7" dataBound="0" tableColumnId="17"/>
      <queryTableField id="16" dataBound="0" tableColumnId="16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3" dataBound="0" tableColumnId="23"/>
      <queryTableField id="24" dataBound="0" tableColumnId="24"/>
    </queryTableFields>
  </queryTableRefresh>
</queryTable>
</file>

<file path=xl/queryTables/queryTable3.xml><?xml version="1.0" encoding="utf-8"?>
<queryTable xmlns="http://schemas.openxmlformats.org/spreadsheetml/2006/main" name="192.168.1.8_POSEIDONSQL APPFVT_01 tbl_picking_fill_rate" connectionId="2" autoFormatId="16" applyNumberFormats="0" applyBorderFormats="0" applyFontFormats="0" applyPatternFormats="0" applyAlignmentFormats="0" applyWidthHeightFormats="0">
  <queryTableRefresh nextId="14">
    <queryTableFields count="13">
      <queryTableField id="1" name="car_codigo" tableColumnId="1"/>
      <queryTableField id="2" name="oc_numero" tableColumnId="2"/>
      <queryTableField id="3" name="pic_codigo" tableColumnId="3"/>
      <queryTableField id="4" name="pic_fila" tableColumnId="4"/>
      <queryTableField id="5" name="pro_codigo" tableColumnId="5"/>
      <queryTableField id="6" name="pro_codigointerno" tableColumnId="6"/>
      <queryTableField id="7" name="nombre_producto" tableColumnId="7"/>
      <queryTableField id="8" name="pro_codigoori" tableColumnId="8"/>
      <queryTableField id="9" name="pro_codigointernoori" tableColumnId="9"/>
      <queryTableField id="10" name="nombre_productoori" tableColumnId="10"/>
      <queryTableField id="11" name="codigo_unico" tableColumnId="11"/>
      <queryTableField id="12" name="cantidad_solicitada" tableColumnId="12"/>
      <queryTableField id="13" name="cantidad_encontrada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__192.168.1.8_POSEIDONSQL_APPFVT_01_tbl_detalle_fill_rate" displayName="Tabla__192.168.1.8_POSEIDONSQL_APPFVT_01_tbl_detalle_fill_rate" ref="A1:T1682" tableType="queryTable" totalsRowShown="0">
  <autoFilter ref="A1:T1682"/>
  <tableColumns count="20">
    <tableColumn id="1" uniqueName="1" name="car_codigo" queryTableFieldId="1"/>
    <tableColumn id="2" uniqueName="2" name="car_nombre" queryTableFieldId="2"/>
    <tableColumn id="3" uniqueName="3" name="con_ocnumero" queryTableFieldId="3"/>
    <tableColumn id="4" uniqueName="4" name="fecha_ingreso" queryTableFieldId="4" dataDxfId="8"/>
    <tableColumn id="5" uniqueName="5" name="fecha_emision" queryTableFieldId="5" dataDxfId="7"/>
    <tableColumn id="6" uniqueName="6" name="con_fechadespacho" queryTableFieldId="6" dataDxfId="6"/>
    <tableColumn id="7" uniqueName="7" name="pro_codigointerno" queryTableFieldId="7"/>
    <tableColumn id="8" uniqueName="8" name="pro_nombre" queryTableFieldId="8"/>
    <tableColumn id="9" uniqueName="9" name="con_cantidad" queryTableFieldId="9"/>
    <tableColumn id="10" uniqueName="10" name="con_codigounico" queryTableFieldId="10"/>
    <tableColumn id="11" uniqueName="11" name="pic_cantidad_encontrada" queryTableFieldId="11"/>
    <tableColumn id="12" uniqueName="12" name="emb_cantidad" queryTableFieldId="12"/>
    <tableColumn id="13" uniqueName="13" name="emb_fechadespacho" queryTableFieldId="13"/>
    <tableColumn id="14" uniqueName="14" name="dev_cantidad" queryTableFieldId="14"/>
    <tableColumn id="15" uniqueName="15" name="Cant Embarcada" queryTableFieldId="16" dataDxfId="5">
      <calculatedColumnFormula>+Tabla__192.168.1.8_POSEIDONSQL_APPFVT_01_tbl_detalle_fill_rate[[#This Row],[emb_cantidad]]-Tabla__192.168.1.8_POSEIDONSQL_APPFVT_01_tbl_detalle_fill_rate[[#This Row],[dev_cantidad]]</calculatedColumnFormula>
    </tableColumn>
    <tableColumn id="16" uniqueName="16" name="Cant Reembarcada" queryTableFieldId="17" dataDxfId="4">
      <calculatedColumnFormula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calculatedColumnFormula>
    </tableColumn>
    <tableColumn id="17" uniqueName="17" name="Cumpl Real Unds" queryTableFieldId="18" dataDxfId="3">
      <calculatedColumnFormula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calculatedColumnFormula>
    </tableColumn>
    <tableColumn id="18" uniqueName="18" name="Pend Emb" queryTableFieldId="19" dataDxfId="2">
      <calculatedColumnFormula>+Tabla__192.168.1.8_POSEIDONSQL_APPFVT_01_tbl_detalle_fill_rate[[#This Row],[Cumpl Real Unds]]-Tabla__192.168.1.8_POSEIDONSQL_APPFVT_01_tbl_detalle_fill_rate[[#This Row],[Cant Embarcada]]</calculatedColumnFormula>
    </tableColumn>
    <tableColumn id="19" uniqueName="19" name="Cump Cant" queryTableFieldId="20" dataDxfId="1">
      <calculatedColumnFormula>+IF(Tabla__192.168.1.8_POSEIDONSQL_APPFVT_01_tbl_detalle_fill_rate[[#This Row],[Pend Emb]]&gt;0,1,0)</calculatedColumnFormula>
    </tableColumn>
    <tableColumn id="21" uniqueName="21" name="CumpFecha" queryTableFieldId="22" dataDxfId="0">
      <calculatedColumnFormula>+IF(Tabla__192.168.1.8_POSEIDONSQL_APPFVT_01_tbl_detalle_fill_rate[[#This Row],[con_fechadespacho]]&gt;=Tabla__192.168.1.8_POSEIDONSQL_APPFVT_01_tbl_detalle_fill_rate[[#This Row],[emb_fechadespacho]],1,0)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__192.168.1.8_POSEIDONSQL_APPFVT_01_tblFillRateFechas" displayName="Tabla__192.168.1.8_POSEIDONSQL_APPFVT_01_tblFillRateFechas" ref="A1:X1470" tableType="queryTable" totalsRowShown="0">
  <autoFilter ref="A1:X1470"/>
  <tableColumns count="24">
    <tableColumn id="1" uniqueName="1" name="car_codigo" queryTableFieldId="1"/>
    <tableColumn id="2" uniqueName="2" name="car_nombre" queryTableFieldId="2"/>
    <tableColumn id="3" uniqueName="3" name="con_ocnumero" queryTableFieldId="3"/>
    <tableColumn id="4" uniqueName="4" name="fecha_emision" queryTableFieldId="4"/>
    <tableColumn id="5" uniqueName="5" name="con_fechadespacho" queryTableFieldId="5"/>
    <tableColumn id="6" uniqueName="6" name="fecha_ingreso" queryTableFieldId="6"/>
    <tableColumn id="7" uniqueName="7" name="cant_order" queryTableFieldId="7"/>
    <tableColumn id="8" uniqueName="8" name="emb_cantidad" queryTableFieldId="8"/>
    <tableColumn id="9" uniqueName="9" name="fecha_despacho" queryTableFieldId="9"/>
    <tableColumn id="10" uniqueName="10" name="dev_cantidad" queryTableFieldId="10"/>
    <tableColumn id="22" uniqueName="22" name="con_codigounico" queryTableFieldId="22"/>
    <tableColumn id="11" uniqueName="11" name="Cant_Resultante" queryTableFieldId="11" dataDxfId="21">
      <calculatedColumnFormula>+Tabla__192.168.1.8_POSEIDONSQL_APPFVT_01_tblFillRateFechas[[#This Row],[emb_cantidad]]-Tabla__192.168.1.8_POSEIDONSQL_APPFVT_01_tblFillRateFechas[[#This Row],[dev_cantidad]]</calculatedColumnFormula>
    </tableColumn>
    <tableColumn id="12" uniqueName="12" name="Valida Cant" queryTableFieldId="12" dataDxfId="20">
      <calculatedColumnFormula>+IF(Tabla__192.168.1.8_POSEIDONSQL_APPFVT_01_tblFillRateFechas[[#This Row],[Cant_Resultante]]=Tabla__192.168.1.8_POSEIDONSQL_APPFVT_01_tblFillRateFechas[[#This Row],[cant_order]],1,0)</calculatedColumnFormula>
    </tableColumn>
    <tableColumn id="13" uniqueName="13" name="Valida Fec" queryTableFieldId="13" dataDxfId="19">
      <calculatedColumnFormula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calculatedColumnFormula>
    </tableColumn>
    <tableColumn id="14" uniqueName="14" name="Resultado" queryTableFieldId="14" dataDxfId="18">
      <calculatedColumnFormula>+IF(AND(Tabla__192.168.1.8_POSEIDONSQL_APPFVT_01_tblFillRateFechas[[#This Row],[Valida Cant]]=1,Tabla__192.168.1.8_POSEIDONSQL_APPFVT_01_tblFillRateFechas[[#This Row],[Valida Fec]]=1),1,0)</calculatedColumnFormula>
    </tableColumn>
    <tableColumn id="15" uniqueName="15" name="Cump Orden %" queryTableFieldId="15" dataDxfId="17">
      <calculatedColumnFormula>+(Tabla__192.168.1.8_POSEIDONSQL_APPFVT_01_tblFillRateFechas[[#This Row],[Cant_Resultante]]/Tabla__192.168.1.8_POSEIDONSQL_APPFVT_01_tblFillRateFechas[[#This Row],[cant_order]])*100</calculatedColumnFormula>
    </tableColumn>
    <tableColumn id="17" uniqueName="17" name="Unds Embarcadas" queryTableFieldId="17" dataDxfId="16">
      <calculatedColumnFormula>+(Tabla__192.168.1.8_POSEIDONSQL_APPFVT_01_tblFillRateFechas[[#This Row],[emb_cantidad]]-Tabla__192.168.1.8_POSEIDONSQL_APPFVT_01_tblFillRateFechas[[#This Row],[Rembarcada]])-Tabla__192.168.1.8_POSEIDONSQL_APPFVT_01_tblFillRateFechas[[#This Row],[dev_cantidad]]</calculatedColumnFormula>
    </tableColumn>
    <tableColumn id="16" uniqueName="16" name="Rembarcada" queryTableFieldId="16" dataDxfId="15">
      <calculatedColumnFormula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calculatedColumnFormula>
    </tableColumn>
    <tableColumn id="18" uniqueName="18" name="Cumpl Unds Real" queryTableFieldId="18" dataDxfId="14">
      <calculatedColumnFormula>+(Tabla__192.168.1.8_POSEIDONSQL_APPFVT_01_tblFillRateFechas[[#This Row],[Cant Embarcada]]-Tabla__192.168.1.8_POSEIDONSQL_APPFVT_01_tblFillRateFechas[[#This Row],[dev_cantidad]])+Tabla__192.168.1.8_POSEIDONSQL_APPFVT_01_tblFillRateFechas[[#This Row],[Rembarcada]]</calculatedColumnFormula>
    </tableColumn>
    <tableColumn id="19" uniqueName="19" name="Pend Embarque" queryTableFieldId="19" dataDxfId="13">
      <calculatedColumnFormula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calculatedColumnFormula>
    </tableColumn>
    <tableColumn id="20" uniqueName="20" name="Contador OC" queryTableFieldId="20" dataDxfId="12">
      <calculatedColumnFormula>+IF(Tabla__192.168.1.8_POSEIDONSQL_APPFVT_01_tblFillRateFechas[[#This Row],[cant_order]]&gt;0,1,0)</calculatedColumnFormula>
    </tableColumn>
    <tableColumn id="21" uniqueName="21" name="Cump Final" queryTableFieldId="21" dataDxfId="11">
      <calculatedColumnFormula>+IF(Tabla__192.168.1.8_POSEIDONSQL_APPFVT_01_tblFillRateFechas[[#This Row],[Resultado]]=1,1,0)</calculatedColumnFormula>
    </tableColumn>
    <tableColumn id="23" uniqueName="23" name="Contador Ventas" queryTableFieldId="23" dataDxfId="10">
      <calculatedColumnFormula>+Tabla__192.168.1.8_POSEIDONSQL_APPFVT_01_tblFillRateFechas[[#This Row],[con_ocnumero]]&amp;Tabla__192.168.1.8_POSEIDONSQL_APPFVT_01_tblFillRateFechas[[#This Row],[con_codigounico]]</calculatedColumnFormula>
    </tableColumn>
    <tableColumn id="24" uniqueName="24" name="Cant Embarcada" queryTableFieldId="24" dataDxfId="9">
      <calculatedColumnFormula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__192.168.1.8_POSEIDONSQL_APPFVT_01_tbl_picking_fill_rate" displayName="Tabla__192.168.1.8_POSEIDONSQL_APPFVT_01_tbl_picking_fill_rate" ref="A1:M1868" tableType="queryTable" totalsRowShown="0">
  <autoFilter ref="A1:M1868"/>
  <tableColumns count="13">
    <tableColumn id="1" uniqueName="1" name="car_codigo" queryTableFieldId="1"/>
    <tableColumn id="2" uniqueName="2" name="oc_numero" queryTableFieldId="2"/>
    <tableColumn id="3" uniqueName="3" name="pic_codigo" queryTableFieldId="3"/>
    <tableColumn id="4" uniqueName="4" name="pic_fila" queryTableFieldId="4"/>
    <tableColumn id="5" uniqueName="5" name="pro_codigo" queryTableFieldId="5"/>
    <tableColumn id="6" uniqueName="6" name="pro_codigointerno" queryTableFieldId="6"/>
    <tableColumn id="7" uniqueName="7" name="nombre_producto" queryTableFieldId="7"/>
    <tableColumn id="8" uniqueName="8" name="pro_codigoori" queryTableFieldId="8"/>
    <tableColumn id="9" uniqueName="9" name="pro_codigointernoori" queryTableFieldId="9"/>
    <tableColumn id="10" uniqueName="10" name="nombre_productoori" queryTableFieldId="10"/>
    <tableColumn id="11" uniqueName="11" name="codigo_unico" queryTableFieldId="11"/>
    <tableColumn id="12" uniqueName="12" name="cantidad_solicitada" queryTableFieldId="12"/>
    <tableColumn id="13" uniqueName="13" name="cantidad_encontrada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232"/>
  <sheetViews>
    <sheetView showGridLines="0" showRowColHeaders="0" tabSelected="1" zoomScale="80" zoomScaleNormal="80" workbookViewId="0">
      <selection activeCell="Q1" sqref="Q1:XFD1048576"/>
    </sheetView>
  </sheetViews>
  <sheetFormatPr baseColWidth="10" defaultColWidth="0" defaultRowHeight="15" zeroHeight="1" x14ac:dyDescent="0.25"/>
  <cols>
    <col min="1" max="1" width="2.5703125" customWidth="1"/>
    <col min="2" max="2" width="23.7109375" customWidth="1"/>
    <col min="3" max="3" width="16.28515625" customWidth="1"/>
    <col min="4" max="4" width="11.28515625" customWidth="1"/>
    <col min="5" max="5" width="16.42578125" bestFit="1" customWidth="1"/>
    <col min="6" max="6" width="15.140625" customWidth="1"/>
    <col min="7" max="7" width="13.7109375" customWidth="1"/>
    <col min="8" max="8" width="20" customWidth="1"/>
    <col min="9" max="9" width="16.7109375" customWidth="1"/>
    <col min="10" max="10" width="15.85546875" bestFit="1" customWidth="1"/>
    <col min="11" max="12" width="15.7109375" customWidth="1"/>
    <col min="13" max="13" width="14.5703125" customWidth="1"/>
    <col min="14" max="14" width="15.140625" customWidth="1"/>
    <col min="15" max="15" width="23" customWidth="1"/>
    <col min="16" max="16" width="2.5703125" customWidth="1"/>
    <col min="17" max="28" width="11.42578125" hidden="1"/>
    <col min="29" max="29" width="23.7109375" hidden="1"/>
    <col min="30" max="30" width="23" hidden="1"/>
    <col min="31" max="31" width="3.5703125" hidden="1"/>
    <col min="32" max="32" width="23.7109375" hidden="1"/>
    <col min="33" max="33" width="11.28515625" hidden="1"/>
    <col min="34" max="34" width="16" hidden="1"/>
    <col min="35" max="35" width="15.140625" hidden="1"/>
    <col min="36" max="36" width="20" hidden="1"/>
    <col min="37" max="37" width="3.5703125" hidden="1"/>
    <col min="38" max="38" width="23.7109375" hidden="1"/>
    <col min="39" max="39" width="15.7109375" hidden="1"/>
    <col min="40" max="40" width="3.5703125" hidden="1"/>
    <col min="41" max="41" width="23.7109375" hidden="1"/>
    <col min="42" max="42" width="15.140625" hidden="1"/>
    <col min="43" max="43" width="3.5703125" hidden="1"/>
    <col min="44" max="44" width="21.42578125" hidden="1"/>
    <col min="45" max="45" width="7" hidden="1"/>
    <col min="46" max="46" width="4.5703125" hidden="1"/>
    <col min="47" max="48" width="5.140625" hidden="1"/>
    <col min="49" max="50" width="5.5703125" hidden="1"/>
    <col min="51" max="52" width="5.28515625" hidden="1"/>
    <col min="53" max="53" width="17.7109375" hidden="1"/>
    <col min="54" max="55" width="17.85546875" hidden="1"/>
    <col min="56" max="56" width="18" hidden="1"/>
    <col min="57" max="57" width="60.140625" hidden="1"/>
    <col min="58" max="58" width="23" hidden="1"/>
    <col min="59" max="16384" width="11.42578125" hidden="1"/>
  </cols>
  <sheetData>
    <row r="1" spans="29:57" x14ac:dyDescent="0.25">
      <c r="AC1" s="18" t="s">
        <v>18</v>
      </c>
      <c r="AD1" t="s">
        <v>36</v>
      </c>
      <c r="AF1" s="18" t="s">
        <v>18</v>
      </c>
      <c r="AG1" s="8" t="s">
        <v>30</v>
      </c>
      <c r="AH1" t="s">
        <v>189</v>
      </c>
      <c r="AI1" s="7" t="s">
        <v>19</v>
      </c>
      <c r="AJ1" s="8" t="s">
        <v>22</v>
      </c>
      <c r="AL1" s="18" t="s">
        <v>18</v>
      </c>
      <c r="AM1" t="s">
        <v>26</v>
      </c>
      <c r="AO1" s="18" t="s">
        <v>18</v>
      </c>
      <c r="AP1" t="s">
        <v>28</v>
      </c>
      <c r="AR1" s="2" t="s">
        <v>4</v>
      </c>
      <c r="AS1" s="2"/>
      <c r="AT1" s="22" t="s">
        <v>38</v>
      </c>
      <c r="AU1" s="22" t="s">
        <v>39</v>
      </c>
      <c r="AV1" s="22"/>
      <c r="AW1" s="22" t="s">
        <v>40</v>
      </c>
      <c r="AX1" s="22" t="s">
        <v>41</v>
      </c>
      <c r="AY1" s="22" t="s">
        <v>42</v>
      </c>
      <c r="AZ1" s="22"/>
      <c r="BA1" s="22" t="s">
        <v>43</v>
      </c>
      <c r="BB1" s="22" t="s">
        <v>44</v>
      </c>
      <c r="BC1" s="22" t="s">
        <v>46</v>
      </c>
      <c r="BD1" s="22" t="s">
        <v>45</v>
      </c>
    </row>
    <row r="2" spans="29:57" x14ac:dyDescent="0.25">
      <c r="AC2" s="3" t="s">
        <v>54</v>
      </c>
      <c r="AD2" s="56">
        <v>0.84693877551020413</v>
      </c>
      <c r="AF2" s="3" t="s">
        <v>54</v>
      </c>
      <c r="AG2" s="9">
        <v>5544</v>
      </c>
      <c r="AH2" s="52">
        <v>3390</v>
      </c>
      <c r="AI2" s="6">
        <v>408</v>
      </c>
      <c r="AJ2" s="9">
        <v>3</v>
      </c>
      <c r="AL2" s="3" t="s">
        <v>54</v>
      </c>
      <c r="AM2" s="12">
        <v>0.53841991341991347</v>
      </c>
      <c r="AO2" s="3" t="s">
        <v>54</v>
      </c>
      <c r="AP2" s="20">
        <v>0.90816326530612246</v>
      </c>
      <c r="AR2" t="s">
        <v>1971</v>
      </c>
      <c r="AS2">
        <f>+IF(AR2="","",DAY(AR2))</f>
        <v>27</v>
      </c>
      <c r="AT2" s="1">
        <f>+IF(AS2="","",IF(LEN(AS2)&lt;2,"0"&amp;AS2,AS2))</f>
        <v>27</v>
      </c>
      <c r="AU2" s="1">
        <f>+IF(AR2="","",MONTH(AR2))</f>
        <v>8</v>
      </c>
      <c r="AV2" s="1">
        <f>+VALUE(IF(AS2="","",IF(LEN(AU2)&lt;2,"0"&amp;AU2,AU2)))</f>
        <v>8</v>
      </c>
      <c r="AW2" s="1">
        <f>+IF(AR2="","",YEAR(AR2))</f>
        <v>2018</v>
      </c>
      <c r="AX2">
        <f>+IF(LEN(MIN(AS:AS))&lt;2,AT2,AS2)</f>
        <v>27</v>
      </c>
      <c r="AY2" s="69">
        <f>+LOOKUP(100000000,AT2:AT500)</f>
        <v>27</v>
      </c>
      <c r="AZ2">
        <f>+IF(LEN(AY2)&lt;2,"0"&amp;AY2,AY2)</f>
        <v>27</v>
      </c>
      <c r="BA2">
        <f>+VLOOKUP(AX2,AT:AV,3,0)</f>
        <v>8</v>
      </c>
      <c r="BB2" s="69">
        <f>+LOOKUP(100000000,AV2:AV500)</f>
        <v>9</v>
      </c>
      <c r="BC2">
        <f>+VLOOKUP(AX2,AT:AW,4,0)</f>
        <v>2018</v>
      </c>
      <c r="BD2">
        <f>+VLOOKUP(AZ2,AT:AW,4,0)</f>
        <v>2018</v>
      </c>
      <c r="BE2" t="str">
        <f>+"FILL RATE - PERIODO DESDE "&amp;AX2&amp;"-"&amp;"0"&amp;BA2&amp;"-"&amp;BC2&amp;" AL "&amp;AZ2&amp;"-"&amp;"0"&amp;BB2&amp;"-"&amp;BD2</f>
        <v>FILL RATE - PERIODO DESDE 27-08-2018 AL 27-09-2018</v>
      </c>
    </row>
    <row r="3" spans="29:57" x14ac:dyDescent="0.25">
      <c r="AC3" s="3" t="s">
        <v>57</v>
      </c>
      <c r="AD3" s="57">
        <v>0.73333333333333328</v>
      </c>
      <c r="AF3" s="3" t="s">
        <v>57</v>
      </c>
      <c r="AG3" s="10">
        <v>1266</v>
      </c>
      <c r="AH3" s="52">
        <v>968</v>
      </c>
      <c r="AI3" s="4">
        <v>27</v>
      </c>
      <c r="AJ3" s="10">
        <v>10</v>
      </c>
      <c r="AL3" s="3" t="s">
        <v>57</v>
      </c>
      <c r="AM3" s="13">
        <v>0.75118483412322279</v>
      </c>
      <c r="AO3" s="3" t="s">
        <v>57</v>
      </c>
      <c r="AP3" s="15">
        <v>0.85</v>
      </c>
      <c r="AR3" t="s">
        <v>1965</v>
      </c>
      <c r="AS3">
        <f t="shared" ref="AS3:AS66" si="0">+IF(AR3="","",DAY(AR3))</f>
        <v>28</v>
      </c>
      <c r="AT3" s="1">
        <f t="shared" ref="AT3:AT66" si="1">+IF(AS3="","",IF(LEN(AS3)&lt;2,"0"&amp;AS3,AS3))</f>
        <v>28</v>
      </c>
      <c r="AU3" s="1">
        <f t="shared" ref="AU3:AU66" si="2">+IF(AR3="","",MONTH(AR3))</f>
        <v>8</v>
      </c>
      <c r="AV3" s="1">
        <f t="shared" ref="AV3:AV66" si="3">+VALUE(IF(AS3="","",IF(LEN(AU3)&lt;2,"0"&amp;AU3,AU3)))</f>
        <v>8</v>
      </c>
      <c r="AW3" s="1">
        <f t="shared" ref="AW3:AW66" si="4">+IF(AR3="","",YEAR(AR3))</f>
        <v>2018</v>
      </c>
      <c r="BE3" t="str">
        <f>+"FILL RATE DETALLE - PERIODO DESDE "&amp;AX2&amp;"-"&amp;"0"&amp;BA2&amp;"-"&amp;BC2&amp;" AL "&amp;AZ2&amp;"-"&amp;"0"&amp;BB2&amp;"-"&amp;BD2</f>
        <v>FILL RATE DETALLE - PERIODO DESDE 27-08-2018 AL 27-09-2018</v>
      </c>
    </row>
    <row r="4" spans="29:57" x14ac:dyDescent="0.25">
      <c r="AC4" s="3" t="s">
        <v>56</v>
      </c>
      <c r="AD4" s="57">
        <v>0.94140625</v>
      </c>
      <c r="AF4" s="3" t="s">
        <v>56</v>
      </c>
      <c r="AG4" s="10">
        <v>266</v>
      </c>
      <c r="AH4" s="52">
        <v>253</v>
      </c>
      <c r="AI4" s="4">
        <v>4</v>
      </c>
      <c r="AJ4" s="10">
        <v>1</v>
      </c>
      <c r="AL4" s="3" t="s">
        <v>56</v>
      </c>
      <c r="AM4" s="13">
        <v>0.93984962406015038</v>
      </c>
      <c r="AO4" s="3" t="s">
        <v>56</v>
      </c>
      <c r="AP4" s="15">
        <v>0.94921875</v>
      </c>
      <c r="AR4" t="s">
        <v>1980</v>
      </c>
      <c r="AS4">
        <f t="shared" si="0"/>
        <v>29</v>
      </c>
      <c r="AT4" s="1">
        <f t="shared" si="1"/>
        <v>29</v>
      </c>
      <c r="AU4" s="1">
        <f t="shared" si="2"/>
        <v>8</v>
      </c>
      <c r="AV4" s="1">
        <f t="shared" si="3"/>
        <v>8</v>
      </c>
      <c r="AW4" s="1">
        <f t="shared" si="4"/>
        <v>2018</v>
      </c>
      <c r="BE4" t="str">
        <f>+"FILL RATE PICKING - PERIODO DESDE "&amp;AX2&amp;"-"&amp;"0"&amp;BA2&amp;"-"&amp;BC2&amp;" AL "&amp;AZ2&amp;"-"&amp;"0"&amp;BB2&amp;"-"&amp;BD2</f>
        <v>FILL RATE PICKING - PERIODO DESDE 27-08-2018 AL 27-09-2018</v>
      </c>
    </row>
    <row r="5" spans="29:57" x14ac:dyDescent="0.25">
      <c r="AC5" s="3" t="s">
        <v>10</v>
      </c>
      <c r="AD5" s="57">
        <v>0.83333333333333337</v>
      </c>
      <c r="AF5" s="3" t="s">
        <v>10</v>
      </c>
      <c r="AG5" s="10">
        <v>2066</v>
      </c>
      <c r="AH5" s="52">
        <v>1965</v>
      </c>
      <c r="AI5" s="4">
        <v>10</v>
      </c>
      <c r="AJ5" s="10">
        <v>1</v>
      </c>
      <c r="AL5" s="3" t="s">
        <v>10</v>
      </c>
      <c r="AM5" s="13">
        <v>0.94675701839303006</v>
      </c>
      <c r="AO5" s="3" t="s">
        <v>10</v>
      </c>
      <c r="AP5" s="15">
        <v>0.88888888888888884</v>
      </c>
      <c r="AR5" t="s">
        <v>1977</v>
      </c>
      <c r="AS5">
        <f t="shared" si="0"/>
        <v>30</v>
      </c>
      <c r="AT5" s="1">
        <f t="shared" si="1"/>
        <v>30</v>
      </c>
      <c r="AU5" s="1">
        <f t="shared" si="2"/>
        <v>8</v>
      </c>
      <c r="AV5" s="1">
        <f t="shared" si="3"/>
        <v>8</v>
      </c>
      <c r="AW5" s="1">
        <f t="shared" si="4"/>
        <v>2018</v>
      </c>
    </row>
    <row r="6" spans="29:57" x14ac:dyDescent="0.25">
      <c r="AC6" s="3" t="s">
        <v>53</v>
      </c>
      <c r="AD6" s="57">
        <v>0.94078947368421051</v>
      </c>
      <c r="AF6" s="3" t="s">
        <v>53</v>
      </c>
      <c r="AG6" s="10">
        <v>178</v>
      </c>
      <c r="AH6" s="52">
        <v>160</v>
      </c>
      <c r="AI6" s="4">
        <v>1</v>
      </c>
      <c r="AJ6" s="10">
        <v>1</v>
      </c>
      <c r="AL6" s="3" t="s">
        <v>53</v>
      </c>
      <c r="AM6" s="13">
        <v>0.898876404494382</v>
      </c>
      <c r="AO6" s="3" t="s">
        <v>53</v>
      </c>
      <c r="AP6" s="15">
        <v>0.94736842105263153</v>
      </c>
      <c r="AR6" t="s">
        <v>1962</v>
      </c>
      <c r="AS6">
        <f t="shared" si="0"/>
        <v>31</v>
      </c>
      <c r="AT6" s="1">
        <f t="shared" si="1"/>
        <v>31</v>
      </c>
      <c r="AU6" s="1">
        <f t="shared" si="2"/>
        <v>8</v>
      </c>
      <c r="AV6" s="1">
        <f t="shared" si="3"/>
        <v>8</v>
      </c>
      <c r="AW6" s="1">
        <f t="shared" si="4"/>
        <v>2018</v>
      </c>
    </row>
    <row r="7" spans="29:57" x14ac:dyDescent="0.25">
      <c r="AC7" s="3" t="s">
        <v>55</v>
      </c>
      <c r="AD7" s="57">
        <v>0.8764044943820225</v>
      </c>
      <c r="AF7" s="3" t="s">
        <v>55</v>
      </c>
      <c r="AG7" s="10">
        <v>7106</v>
      </c>
      <c r="AH7" s="52">
        <v>1703</v>
      </c>
      <c r="AI7" s="4">
        <v>0</v>
      </c>
      <c r="AJ7" s="10">
        <v>0</v>
      </c>
      <c r="AL7" s="3" t="s">
        <v>55</v>
      </c>
      <c r="AM7" s="13">
        <v>0.23965662820151984</v>
      </c>
      <c r="AO7" s="3" t="s">
        <v>55</v>
      </c>
      <c r="AP7" s="15">
        <v>0.9213483146067416</v>
      </c>
      <c r="AR7" t="s">
        <v>1966</v>
      </c>
      <c r="AS7">
        <f t="shared" si="0"/>
        <v>1</v>
      </c>
      <c r="AT7" s="1" t="str">
        <f t="shared" si="1"/>
        <v>01</v>
      </c>
      <c r="AU7" s="1">
        <f t="shared" si="2"/>
        <v>9</v>
      </c>
      <c r="AV7" s="1">
        <f t="shared" si="3"/>
        <v>9</v>
      </c>
      <c r="AW7" s="1">
        <f t="shared" si="4"/>
        <v>2018</v>
      </c>
    </row>
    <row r="8" spans="29:57" x14ac:dyDescent="0.25">
      <c r="AC8" s="3" t="s">
        <v>1989</v>
      </c>
      <c r="AD8" s="57">
        <v>1</v>
      </c>
      <c r="AF8" s="3" t="s">
        <v>1989</v>
      </c>
      <c r="AG8" s="10">
        <v>110</v>
      </c>
      <c r="AH8" s="52">
        <v>110</v>
      </c>
      <c r="AI8" s="4">
        <v>0</v>
      </c>
      <c r="AJ8" s="10">
        <v>0</v>
      </c>
      <c r="AL8" s="3" t="s">
        <v>1989</v>
      </c>
      <c r="AM8" s="13">
        <v>1</v>
      </c>
      <c r="AO8" s="3" t="s">
        <v>1989</v>
      </c>
      <c r="AP8" s="15">
        <v>1</v>
      </c>
      <c r="AR8" t="s">
        <v>1973</v>
      </c>
      <c r="AS8">
        <f t="shared" si="0"/>
        <v>2</v>
      </c>
      <c r="AT8" s="1" t="str">
        <f t="shared" si="1"/>
        <v>02</v>
      </c>
      <c r="AU8" s="1">
        <f t="shared" si="2"/>
        <v>9</v>
      </c>
      <c r="AV8" s="1">
        <f t="shared" si="3"/>
        <v>9</v>
      </c>
      <c r="AW8" s="1">
        <f t="shared" si="4"/>
        <v>2018</v>
      </c>
    </row>
    <row r="9" spans="29:57" x14ac:dyDescent="0.25">
      <c r="AC9" s="3" t="s">
        <v>1964</v>
      </c>
      <c r="AD9" s="57">
        <v>1</v>
      </c>
      <c r="AF9" s="3" t="s">
        <v>1964</v>
      </c>
      <c r="AG9" s="10">
        <v>150</v>
      </c>
      <c r="AH9" s="52">
        <v>150</v>
      </c>
      <c r="AI9" s="4">
        <v>0</v>
      </c>
      <c r="AJ9" s="10">
        <v>0</v>
      </c>
      <c r="AL9" s="3" t="s">
        <v>1964</v>
      </c>
      <c r="AM9" s="13">
        <v>1</v>
      </c>
      <c r="AO9" s="3" t="s">
        <v>1964</v>
      </c>
      <c r="AP9" s="15">
        <v>1</v>
      </c>
      <c r="AR9" t="s">
        <v>1963</v>
      </c>
      <c r="AS9">
        <f t="shared" si="0"/>
        <v>3</v>
      </c>
      <c r="AT9" s="1" t="str">
        <f t="shared" si="1"/>
        <v>03</v>
      </c>
      <c r="AU9" s="1">
        <f t="shared" si="2"/>
        <v>9</v>
      </c>
      <c r="AV9" s="1">
        <f t="shared" si="3"/>
        <v>9</v>
      </c>
      <c r="AW9" s="1">
        <f t="shared" si="4"/>
        <v>2018</v>
      </c>
    </row>
    <row r="10" spans="29:57" x14ac:dyDescent="0.25">
      <c r="AC10" s="3" t="s">
        <v>424</v>
      </c>
      <c r="AD10" s="57">
        <v>1</v>
      </c>
      <c r="AF10" s="3" t="s">
        <v>424</v>
      </c>
      <c r="AG10" s="10">
        <v>100</v>
      </c>
      <c r="AH10" s="52">
        <v>100</v>
      </c>
      <c r="AI10" s="4">
        <v>0</v>
      </c>
      <c r="AJ10" s="10">
        <v>0</v>
      </c>
      <c r="AL10" s="3" t="s">
        <v>424</v>
      </c>
      <c r="AM10" s="13">
        <v>1</v>
      </c>
      <c r="AO10" s="3" t="s">
        <v>424</v>
      </c>
      <c r="AP10" s="15">
        <v>1</v>
      </c>
      <c r="AR10" t="s">
        <v>162</v>
      </c>
      <c r="AS10">
        <f t="shared" si="0"/>
        <v>4</v>
      </c>
      <c r="AT10" s="1" t="str">
        <f t="shared" si="1"/>
        <v>04</v>
      </c>
      <c r="AU10" s="1">
        <f t="shared" si="2"/>
        <v>9</v>
      </c>
      <c r="AV10" s="1">
        <f t="shared" si="3"/>
        <v>9</v>
      </c>
      <c r="AW10" s="1">
        <f t="shared" si="4"/>
        <v>2018</v>
      </c>
    </row>
    <row r="11" spans="29:57" x14ac:dyDescent="0.25">
      <c r="AC11" s="3" t="s">
        <v>48</v>
      </c>
      <c r="AD11" s="57">
        <v>0.94639175257731956</v>
      </c>
      <c r="AF11" s="3" t="s">
        <v>48</v>
      </c>
      <c r="AG11" s="10">
        <v>740</v>
      </c>
      <c r="AH11" s="52">
        <v>736</v>
      </c>
      <c r="AI11" s="4">
        <v>1</v>
      </c>
      <c r="AJ11" s="10">
        <v>0</v>
      </c>
      <c r="AL11" s="3" t="s">
        <v>48</v>
      </c>
      <c r="AM11" s="13">
        <v>0.9932432432432432</v>
      </c>
      <c r="AO11" s="3" t="s">
        <v>48</v>
      </c>
      <c r="AP11" s="15">
        <v>0.94639175257731956</v>
      </c>
      <c r="AR11" t="s">
        <v>160</v>
      </c>
      <c r="AS11">
        <f t="shared" si="0"/>
        <v>5</v>
      </c>
      <c r="AT11" s="1" t="str">
        <f t="shared" si="1"/>
        <v>05</v>
      </c>
      <c r="AU11" s="1">
        <f t="shared" si="2"/>
        <v>9</v>
      </c>
      <c r="AV11" s="1">
        <f t="shared" si="3"/>
        <v>9</v>
      </c>
      <c r="AW11" s="1">
        <f t="shared" si="4"/>
        <v>2018</v>
      </c>
    </row>
    <row r="12" spans="29:57" x14ac:dyDescent="0.25">
      <c r="AC12" s="3" t="s">
        <v>50</v>
      </c>
      <c r="AD12" s="57">
        <v>0.85185185185185186</v>
      </c>
      <c r="AF12" s="3" t="s">
        <v>50</v>
      </c>
      <c r="AG12" s="10">
        <v>174</v>
      </c>
      <c r="AH12" s="52">
        <v>156</v>
      </c>
      <c r="AI12" s="4">
        <v>70</v>
      </c>
      <c r="AJ12" s="10">
        <v>71</v>
      </c>
      <c r="AL12" s="3" t="s">
        <v>50</v>
      </c>
      <c r="AM12" s="13">
        <v>0.9022988505747126</v>
      </c>
      <c r="AO12" s="3" t="s">
        <v>50</v>
      </c>
      <c r="AP12" s="15">
        <v>0.87037037037037035</v>
      </c>
      <c r="AR12" t="s">
        <v>161</v>
      </c>
      <c r="AS12">
        <f t="shared" si="0"/>
        <v>6</v>
      </c>
      <c r="AT12" s="1" t="str">
        <f t="shared" si="1"/>
        <v>06</v>
      </c>
      <c r="AU12" s="1">
        <f t="shared" si="2"/>
        <v>9</v>
      </c>
      <c r="AV12" s="1">
        <f t="shared" si="3"/>
        <v>9</v>
      </c>
      <c r="AW12" s="1">
        <f t="shared" si="4"/>
        <v>2018</v>
      </c>
    </row>
    <row r="13" spans="29:57" x14ac:dyDescent="0.25">
      <c r="AC13" s="3" t="s">
        <v>1961</v>
      </c>
      <c r="AD13" s="57">
        <v>0</v>
      </c>
      <c r="AF13" s="3" t="s">
        <v>1961</v>
      </c>
      <c r="AG13" s="10">
        <v>109</v>
      </c>
      <c r="AH13" s="52">
        <v>94</v>
      </c>
      <c r="AI13" s="4">
        <v>0</v>
      </c>
      <c r="AJ13" s="10">
        <v>0</v>
      </c>
      <c r="AL13" s="3" t="s">
        <v>1961</v>
      </c>
      <c r="AM13" s="13">
        <v>0.86238532110091748</v>
      </c>
      <c r="AO13" s="3" t="s">
        <v>1961</v>
      </c>
      <c r="AP13" s="15">
        <v>0</v>
      </c>
      <c r="AR13" t="s">
        <v>1969</v>
      </c>
      <c r="AS13">
        <f t="shared" si="0"/>
        <v>7</v>
      </c>
      <c r="AT13" s="1" t="str">
        <f t="shared" si="1"/>
        <v>07</v>
      </c>
      <c r="AU13" s="1">
        <f t="shared" si="2"/>
        <v>9</v>
      </c>
      <c r="AV13" s="1">
        <f t="shared" si="3"/>
        <v>9</v>
      </c>
      <c r="AW13" s="1">
        <f t="shared" si="4"/>
        <v>2018</v>
      </c>
    </row>
    <row r="14" spans="29:57" x14ac:dyDescent="0.25">
      <c r="AC14" s="19" t="s">
        <v>17</v>
      </c>
      <c r="AD14" s="14">
        <v>0.90401633764465628</v>
      </c>
      <c r="AF14" s="19" t="s">
        <v>17</v>
      </c>
      <c r="AG14" s="11">
        <v>17809</v>
      </c>
      <c r="AH14" s="52">
        <v>9785</v>
      </c>
      <c r="AI14" s="5">
        <v>521</v>
      </c>
      <c r="AJ14" s="11">
        <v>87</v>
      </c>
      <c r="AL14" s="19" t="s">
        <v>17</v>
      </c>
      <c r="AM14" s="14">
        <v>0.5250715930147678</v>
      </c>
      <c r="AO14" s="19" t="s">
        <v>17</v>
      </c>
      <c r="AP14" s="16">
        <v>0.92511912865895163</v>
      </c>
      <c r="AR14" t="s">
        <v>428</v>
      </c>
      <c r="AS14">
        <f t="shared" si="0"/>
        <v>8</v>
      </c>
      <c r="AT14" s="1" t="str">
        <f t="shared" si="1"/>
        <v>08</v>
      </c>
      <c r="AU14" s="1">
        <f t="shared" si="2"/>
        <v>9</v>
      </c>
      <c r="AV14" s="1">
        <f t="shared" si="3"/>
        <v>9</v>
      </c>
      <c r="AW14" s="1">
        <f t="shared" si="4"/>
        <v>2018</v>
      </c>
    </row>
    <row r="15" spans="29:57" x14ac:dyDescent="0.25">
      <c r="AR15" t="s">
        <v>1982</v>
      </c>
      <c r="AS15">
        <f t="shared" si="0"/>
        <v>9</v>
      </c>
      <c r="AT15" s="1" t="str">
        <f t="shared" si="1"/>
        <v>09</v>
      </c>
      <c r="AU15" s="1">
        <f t="shared" si="2"/>
        <v>9</v>
      </c>
      <c r="AV15" s="1">
        <f t="shared" si="3"/>
        <v>9</v>
      </c>
      <c r="AW15" s="1">
        <f t="shared" si="4"/>
        <v>2018</v>
      </c>
    </row>
    <row r="16" spans="29:57" x14ac:dyDescent="0.25">
      <c r="AR16" t="s">
        <v>163</v>
      </c>
      <c r="AS16">
        <f t="shared" si="0"/>
        <v>10</v>
      </c>
      <c r="AT16" s="1">
        <f t="shared" si="1"/>
        <v>10</v>
      </c>
      <c r="AU16" s="1">
        <f t="shared" si="2"/>
        <v>9</v>
      </c>
      <c r="AV16" s="1">
        <f t="shared" si="3"/>
        <v>9</v>
      </c>
      <c r="AW16" s="1">
        <f t="shared" si="4"/>
        <v>2018</v>
      </c>
    </row>
    <row r="17" spans="44:49" x14ac:dyDescent="0.25">
      <c r="AR17" t="s">
        <v>429</v>
      </c>
      <c r="AS17">
        <f t="shared" si="0"/>
        <v>11</v>
      </c>
      <c r="AT17" s="1">
        <f t="shared" si="1"/>
        <v>11</v>
      </c>
      <c r="AU17" s="1">
        <f t="shared" si="2"/>
        <v>9</v>
      </c>
      <c r="AV17" s="1">
        <f t="shared" si="3"/>
        <v>9</v>
      </c>
      <c r="AW17" s="1">
        <f t="shared" si="4"/>
        <v>2018</v>
      </c>
    </row>
    <row r="18" spans="44:49" x14ac:dyDescent="0.25">
      <c r="AR18" t="s">
        <v>427</v>
      </c>
      <c r="AS18">
        <f t="shared" si="0"/>
        <v>12</v>
      </c>
      <c r="AT18" s="1">
        <f t="shared" si="1"/>
        <v>12</v>
      </c>
      <c r="AU18" s="1">
        <f t="shared" si="2"/>
        <v>9</v>
      </c>
      <c r="AV18" s="1">
        <f t="shared" si="3"/>
        <v>9</v>
      </c>
      <c r="AW18" s="1">
        <f t="shared" si="4"/>
        <v>2018</v>
      </c>
    </row>
    <row r="19" spans="44:49" x14ac:dyDescent="0.25">
      <c r="AR19" t="s">
        <v>425</v>
      </c>
      <c r="AS19">
        <f t="shared" si="0"/>
        <v>13</v>
      </c>
      <c r="AT19" s="1">
        <f t="shared" si="1"/>
        <v>13</v>
      </c>
      <c r="AU19" s="1">
        <f t="shared" si="2"/>
        <v>9</v>
      </c>
      <c r="AV19" s="1">
        <f t="shared" si="3"/>
        <v>9</v>
      </c>
      <c r="AW19" s="1">
        <f t="shared" si="4"/>
        <v>2018</v>
      </c>
    </row>
    <row r="20" spans="44:49" x14ac:dyDescent="0.25">
      <c r="AR20" t="s">
        <v>426</v>
      </c>
      <c r="AS20">
        <f t="shared" si="0"/>
        <v>14</v>
      </c>
      <c r="AT20" s="1">
        <f t="shared" si="1"/>
        <v>14</v>
      </c>
      <c r="AU20" s="1">
        <f t="shared" si="2"/>
        <v>9</v>
      </c>
      <c r="AV20" s="1">
        <f t="shared" si="3"/>
        <v>9</v>
      </c>
      <c r="AW20" s="1">
        <f t="shared" si="4"/>
        <v>2018</v>
      </c>
    </row>
    <row r="21" spans="44:49" x14ac:dyDescent="0.25">
      <c r="AR21" t="s">
        <v>430</v>
      </c>
      <c r="AS21">
        <f t="shared" si="0"/>
        <v>16</v>
      </c>
      <c r="AT21" s="1">
        <f t="shared" si="1"/>
        <v>16</v>
      </c>
      <c r="AU21" s="1">
        <f t="shared" si="2"/>
        <v>9</v>
      </c>
      <c r="AV21" s="1">
        <f t="shared" si="3"/>
        <v>9</v>
      </c>
      <c r="AW21" s="1">
        <f t="shared" si="4"/>
        <v>2018</v>
      </c>
    </row>
    <row r="22" spans="44:49" x14ac:dyDescent="0.25">
      <c r="AR22" t="s">
        <v>414</v>
      </c>
      <c r="AS22">
        <f t="shared" si="0"/>
        <v>17</v>
      </c>
      <c r="AT22" s="1">
        <f t="shared" si="1"/>
        <v>17</v>
      </c>
      <c r="AU22" s="1">
        <f t="shared" si="2"/>
        <v>9</v>
      </c>
      <c r="AV22" s="1">
        <f t="shared" si="3"/>
        <v>9</v>
      </c>
      <c r="AW22" s="1">
        <f t="shared" si="4"/>
        <v>2018</v>
      </c>
    </row>
    <row r="23" spans="44:49" x14ac:dyDescent="0.25">
      <c r="AR23" t="s">
        <v>1984</v>
      </c>
      <c r="AS23">
        <f t="shared" si="0"/>
        <v>18</v>
      </c>
      <c r="AT23" s="1">
        <f t="shared" si="1"/>
        <v>18</v>
      </c>
      <c r="AU23" s="1">
        <f t="shared" si="2"/>
        <v>9</v>
      </c>
      <c r="AV23" s="1">
        <f t="shared" si="3"/>
        <v>9</v>
      </c>
      <c r="AW23" s="1">
        <f t="shared" si="4"/>
        <v>2018</v>
      </c>
    </row>
    <row r="24" spans="44:49" x14ac:dyDescent="0.25">
      <c r="AR24" t="s">
        <v>1985</v>
      </c>
      <c r="AS24">
        <f t="shared" si="0"/>
        <v>19</v>
      </c>
      <c r="AT24" s="1">
        <f t="shared" si="1"/>
        <v>19</v>
      </c>
      <c r="AU24" s="1">
        <f t="shared" si="2"/>
        <v>9</v>
      </c>
      <c r="AV24" s="1">
        <f t="shared" si="3"/>
        <v>9</v>
      </c>
      <c r="AW24" s="1">
        <f t="shared" si="4"/>
        <v>2018</v>
      </c>
    </row>
    <row r="25" spans="44:49" x14ac:dyDescent="0.25">
      <c r="AR25" t="s">
        <v>415</v>
      </c>
      <c r="AS25">
        <f t="shared" si="0"/>
        <v>20</v>
      </c>
      <c r="AT25" s="1">
        <f t="shared" si="1"/>
        <v>20</v>
      </c>
      <c r="AU25" s="1">
        <f t="shared" si="2"/>
        <v>9</v>
      </c>
      <c r="AV25" s="1">
        <f t="shared" si="3"/>
        <v>9</v>
      </c>
      <c r="AW25" s="1">
        <f t="shared" si="4"/>
        <v>2018</v>
      </c>
    </row>
    <row r="26" spans="44:49" x14ac:dyDescent="0.25">
      <c r="AR26" t="s">
        <v>422</v>
      </c>
      <c r="AS26">
        <f t="shared" si="0"/>
        <v>21</v>
      </c>
      <c r="AT26" s="1">
        <f t="shared" si="1"/>
        <v>21</v>
      </c>
      <c r="AU26" s="1">
        <f t="shared" si="2"/>
        <v>9</v>
      </c>
      <c r="AV26" s="1">
        <f t="shared" si="3"/>
        <v>9</v>
      </c>
      <c r="AW26" s="1">
        <f t="shared" si="4"/>
        <v>2018</v>
      </c>
    </row>
    <row r="27" spans="44:49" x14ac:dyDescent="0.25">
      <c r="AR27" t="s">
        <v>417</v>
      </c>
      <c r="AS27">
        <f t="shared" si="0"/>
        <v>22</v>
      </c>
      <c r="AT27" s="1">
        <f t="shared" si="1"/>
        <v>22</v>
      </c>
      <c r="AU27" s="1">
        <f t="shared" si="2"/>
        <v>9</v>
      </c>
      <c r="AV27" s="1">
        <f t="shared" si="3"/>
        <v>9</v>
      </c>
      <c r="AW27" s="1">
        <f t="shared" si="4"/>
        <v>2018</v>
      </c>
    </row>
    <row r="28" spans="44:49" x14ac:dyDescent="0.25">
      <c r="AR28" t="s">
        <v>418</v>
      </c>
      <c r="AS28">
        <f t="shared" si="0"/>
        <v>23</v>
      </c>
      <c r="AT28" s="1">
        <f t="shared" si="1"/>
        <v>23</v>
      </c>
      <c r="AU28" s="1">
        <f t="shared" si="2"/>
        <v>9</v>
      </c>
      <c r="AV28" s="1">
        <f t="shared" si="3"/>
        <v>9</v>
      </c>
      <c r="AW28" s="1">
        <f t="shared" si="4"/>
        <v>2018</v>
      </c>
    </row>
    <row r="29" spans="44:49" x14ac:dyDescent="0.25">
      <c r="AR29" t="s">
        <v>416</v>
      </c>
      <c r="AS29">
        <f t="shared" si="0"/>
        <v>24</v>
      </c>
      <c r="AT29" s="1">
        <f t="shared" si="1"/>
        <v>24</v>
      </c>
      <c r="AU29" s="1">
        <f t="shared" si="2"/>
        <v>9</v>
      </c>
      <c r="AV29" s="1">
        <f t="shared" si="3"/>
        <v>9</v>
      </c>
      <c r="AW29" s="1">
        <f t="shared" si="4"/>
        <v>2018</v>
      </c>
    </row>
    <row r="30" spans="44:49" x14ac:dyDescent="0.25">
      <c r="AR30" t="s">
        <v>419</v>
      </c>
      <c r="AS30">
        <f t="shared" si="0"/>
        <v>25</v>
      </c>
      <c r="AT30" s="1">
        <f t="shared" si="1"/>
        <v>25</v>
      </c>
      <c r="AU30" s="1">
        <f t="shared" si="2"/>
        <v>9</v>
      </c>
      <c r="AV30" s="1">
        <f t="shared" si="3"/>
        <v>9</v>
      </c>
      <c r="AW30" s="1">
        <f t="shared" si="4"/>
        <v>2018</v>
      </c>
    </row>
    <row r="31" spans="44:49" x14ac:dyDescent="0.25">
      <c r="AR31" t="s">
        <v>420</v>
      </c>
      <c r="AS31">
        <f t="shared" si="0"/>
        <v>26</v>
      </c>
      <c r="AT31" s="1">
        <f t="shared" si="1"/>
        <v>26</v>
      </c>
      <c r="AU31" s="1">
        <f t="shared" si="2"/>
        <v>9</v>
      </c>
      <c r="AV31" s="1">
        <f t="shared" si="3"/>
        <v>9</v>
      </c>
      <c r="AW31" s="1">
        <f t="shared" si="4"/>
        <v>2018</v>
      </c>
    </row>
    <row r="32" spans="44:49" x14ac:dyDescent="0.25">
      <c r="AR32" t="s">
        <v>423</v>
      </c>
      <c r="AS32">
        <f t="shared" si="0"/>
        <v>27</v>
      </c>
      <c r="AT32" s="1">
        <f t="shared" si="1"/>
        <v>27</v>
      </c>
      <c r="AU32" s="1">
        <f t="shared" si="2"/>
        <v>9</v>
      </c>
      <c r="AV32" s="1">
        <f t="shared" si="3"/>
        <v>9</v>
      </c>
      <c r="AW32" s="1">
        <f t="shared" si="4"/>
        <v>2018</v>
      </c>
    </row>
    <row r="33" spans="2:49" x14ac:dyDescent="0.25">
      <c r="AS33" t="str">
        <f t="shared" si="0"/>
        <v/>
      </c>
      <c r="AT33" s="1" t="str">
        <f t="shared" si="1"/>
        <v/>
      </c>
      <c r="AU33" s="1" t="str">
        <f t="shared" si="2"/>
        <v/>
      </c>
      <c r="AV33" s="1" t="e">
        <f t="shared" si="3"/>
        <v>#VALUE!</v>
      </c>
      <c r="AW33" s="1" t="str">
        <f t="shared" si="4"/>
        <v/>
      </c>
    </row>
    <row r="34" spans="2:49" x14ac:dyDescent="0.25">
      <c r="AS34" t="str">
        <f t="shared" si="0"/>
        <v/>
      </c>
      <c r="AT34" s="1" t="str">
        <f t="shared" si="1"/>
        <v/>
      </c>
      <c r="AU34" s="1" t="str">
        <f t="shared" si="2"/>
        <v/>
      </c>
      <c r="AV34" s="1" t="e">
        <f t="shared" si="3"/>
        <v>#VALUE!</v>
      </c>
      <c r="AW34" s="1" t="str">
        <f t="shared" si="4"/>
        <v/>
      </c>
    </row>
    <row r="35" spans="2:49" x14ac:dyDescent="0.25">
      <c r="D35" s="21"/>
      <c r="E35" s="21"/>
      <c r="F35" s="21"/>
      <c r="G35" s="21"/>
      <c r="H35" s="21"/>
      <c r="I35" s="21"/>
      <c r="AS35" t="str">
        <f t="shared" si="0"/>
        <v/>
      </c>
      <c r="AT35" s="1" t="str">
        <f t="shared" si="1"/>
        <v/>
      </c>
      <c r="AU35" s="1" t="str">
        <f t="shared" si="2"/>
        <v/>
      </c>
      <c r="AV35" s="1" t="e">
        <f t="shared" si="3"/>
        <v>#VALUE!</v>
      </c>
      <c r="AW35" s="1" t="str">
        <f t="shared" si="4"/>
        <v/>
      </c>
    </row>
    <row r="36" spans="2:49" x14ac:dyDescent="0.25">
      <c r="AS36" t="str">
        <f t="shared" si="0"/>
        <v/>
      </c>
      <c r="AT36" s="1" t="str">
        <f t="shared" si="1"/>
        <v/>
      </c>
      <c r="AU36" s="1" t="str">
        <f t="shared" si="2"/>
        <v/>
      </c>
      <c r="AV36" s="1" t="e">
        <f t="shared" si="3"/>
        <v>#VALUE!</v>
      </c>
      <c r="AW36" s="1" t="str">
        <f t="shared" si="4"/>
        <v/>
      </c>
    </row>
    <row r="37" spans="2:49" x14ac:dyDescent="0.25">
      <c r="AS37" t="str">
        <f t="shared" si="0"/>
        <v/>
      </c>
      <c r="AT37" s="1" t="str">
        <f t="shared" si="1"/>
        <v/>
      </c>
      <c r="AU37" s="1" t="str">
        <f t="shared" si="2"/>
        <v/>
      </c>
      <c r="AV37" s="1" t="e">
        <f t="shared" si="3"/>
        <v>#VALUE!</v>
      </c>
      <c r="AW37" s="1" t="str">
        <f t="shared" si="4"/>
        <v/>
      </c>
    </row>
    <row r="38" spans="2:49" x14ac:dyDescent="0.25">
      <c r="AS38" t="str">
        <f t="shared" si="0"/>
        <v/>
      </c>
      <c r="AT38" s="1" t="str">
        <f t="shared" si="1"/>
        <v/>
      </c>
      <c r="AU38" s="1" t="str">
        <f t="shared" si="2"/>
        <v/>
      </c>
      <c r="AV38" s="1" t="e">
        <f t="shared" si="3"/>
        <v>#VALUE!</v>
      </c>
      <c r="AW38" s="1" t="str">
        <f t="shared" si="4"/>
        <v/>
      </c>
    </row>
    <row r="39" spans="2:49" x14ac:dyDescent="0.25">
      <c r="AS39" t="str">
        <f t="shared" si="0"/>
        <v/>
      </c>
      <c r="AT39" s="1" t="str">
        <f t="shared" si="1"/>
        <v/>
      </c>
      <c r="AU39" s="1" t="str">
        <f t="shared" si="2"/>
        <v/>
      </c>
      <c r="AV39" s="1" t="e">
        <f t="shared" si="3"/>
        <v>#VALUE!</v>
      </c>
      <c r="AW39" s="1" t="str">
        <f t="shared" si="4"/>
        <v/>
      </c>
    </row>
    <row r="40" spans="2:49" x14ac:dyDescent="0.25">
      <c r="AS40" t="str">
        <f t="shared" si="0"/>
        <v/>
      </c>
      <c r="AT40" s="1" t="str">
        <f t="shared" si="1"/>
        <v/>
      </c>
      <c r="AU40" s="1" t="str">
        <f t="shared" si="2"/>
        <v/>
      </c>
      <c r="AV40" s="1" t="e">
        <f t="shared" si="3"/>
        <v>#VALUE!</v>
      </c>
      <c r="AW40" s="1" t="str">
        <f t="shared" si="4"/>
        <v/>
      </c>
    </row>
    <row r="41" spans="2:49" x14ac:dyDescent="0.25">
      <c r="AS41" t="str">
        <f t="shared" si="0"/>
        <v/>
      </c>
      <c r="AT41" s="1" t="str">
        <f t="shared" si="1"/>
        <v/>
      </c>
      <c r="AU41" s="1" t="str">
        <f t="shared" si="2"/>
        <v/>
      </c>
      <c r="AV41" s="1" t="e">
        <f t="shared" si="3"/>
        <v>#VALUE!</v>
      </c>
      <c r="AW41" s="1" t="str">
        <f t="shared" si="4"/>
        <v/>
      </c>
    </row>
    <row r="42" spans="2:49" x14ac:dyDescent="0.25">
      <c r="C42" s="70" t="s">
        <v>29</v>
      </c>
      <c r="D42" s="71"/>
      <c r="E42" s="70" t="s">
        <v>31</v>
      </c>
      <c r="F42" s="71"/>
      <c r="G42" s="71"/>
      <c r="H42" s="71"/>
      <c r="I42" s="71"/>
      <c r="J42" s="71"/>
      <c r="K42" s="75"/>
      <c r="L42" s="72" t="s">
        <v>34</v>
      </c>
      <c r="M42" s="73"/>
      <c r="N42" s="74"/>
      <c r="O42" s="28"/>
      <c r="AS42" t="str">
        <f t="shared" si="0"/>
        <v/>
      </c>
      <c r="AT42" s="1" t="str">
        <f t="shared" si="1"/>
        <v/>
      </c>
      <c r="AU42" s="1" t="str">
        <f t="shared" si="2"/>
        <v/>
      </c>
      <c r="AV42" s="1" t="e">
        <f t="shared" si="3"/>
        <v>#VALUE!</v>
      </c>
      <c r="AW42" s="1" t="str">
        <f t="shared" si="4"/>
        <v/>
      </c>
    </row>
    <row r="43" spans="2:49" x14ac:dyDescent="0.25">
      <c r="B43" s="26" t="s">
        <v>18</v>
      </c>
      <c r="C43" s="67" t="s">
        <v>52</v>
      </c>
      <c r="D43" s="30" t="s">
        <v>30</v>
      </c>
      <c r="E43" s="60" t="s">
        <v>291</v>
      </c>
      <c r="F43" s="32" t="s">
        <v>19</v>
      </c>
      <c r="G43" s="31" t="s">
        <v>37</v>
      </c>
      <c r="H43" s="29" t="s">
        <v>22</v>
      </c>
      <c r="I43" s="32" t="s">
        <v>24</v>
      </c>
      <c r="J43" s="68" t="s">
        <v>292</v>
      </c>
      <c r="K43" s="39" t="s">
        <v>26</v>
      </c>
      <c r="L43" s="29" t="s">
        <v>32</v>
      </c>
      <c r="M43" s="33" t="s">
        <v>33</v>
      </c>
      <c r="N43" s="39" t="s">
        <v>28</v>
      </c>
      <c r="O43" s="30" t="s">
        <v>36</v>
      </c>
      <c r="AS43" t="str">
        <f t="shared" si="0"/>
        <v/>
      </c>
      <c r="AT43" s="1" t="str">
        <f t="shared" si="1"/>
        <v/>
      </c>
      <c r="AU43" s="1" t="str">
        <f t="shared" si="2"/>
        <v/>
      </c>
      <c r="AV43" s="1" t="e">
        <f t="shared" si="3"/>
        <v>#VALUE!</v>
      </c>
      <c r="AW43" s="1" t="str">
        <f t="shared" si="4"/>
        <v/>
      </c>
    </row>
    <row r="44" spans="2:49" x14ac:dyDescent="0.25">
      <c r="B44" s="3" t="s">
        <v>54</v>
      </c>
      <c r="C44" s="47">
        <v>98</v>
      </c>
      <c r="D44" s="65">
        <v>5544</v>
      </c>
      <c r="E44" s="64">
        <v>3390</v>
      </c>
      <c r="F44" s="42">
        <v>408</v>
      </c>
      <c r="G44" s="25">
        <v>0.10742496050552923</v>
      </c>
      <c r="H44" s="23">
        <v>3</v>
      </c>
      <c r="I44" s="42">
        <v>2985</v>
      </c>
      <c r="J44" s="63">
        <v>2559</v>
      </c>
      <c r="K44" s="44">
        <v>0.53841991341991347</v>
      </c>
      <c r="L44" s="23">
        <v>89</v>
      </c>
      <c r="M44" s="43">
        <v>9</v>
      </c>
      <c r="N44" s="44">
        <v>0.90816326530612246</v>
      </c>
      <c r="O44" s="58">
        <v>0.84693877551020413</v>
      </c>
      <c r="AS44" t="str">
        <f t="shared" si="0"/>
        <v/>
      </c>
      <c r="AT44" s="1" t="str">
        <f t="shared" si="1"/>
        <v/>
      </c>
      <c r="AU44" s="1" t="str">
        <f t="shared" si="2"/>
        <v/>
      </c>
      <c r="AV44" s="1" t="e">
        <f t="shared" si="3"/>
        <v>#VALUE!</v>
      </c>
      <c r="AW44" s="1" t="str">
        <f t="shared" si="4"/>
        <v/>
      </c>
    </row>
    <row r="45" spans="2:49" x14ac:dyDescent="0.25">
      <c r="B45" s="3" t="s">
        <v>57</v>
      </c>
      <c r="C45" s="47">
        <v>60</v>
      </c>
      <c r="D45" s="66">
        <v>1266</v>
      </c>
      <c r="E45" s="64">
        <v>968</v>
      </c>
      <c r="F45" s="45">
        <v>27</v>
      </c>
      <c r="G45" s="25">
        <v>2.7135678391959798E-2</v>
      </c>
      <c r="H45" s="24">
        <v>10</v>
      </c>
      <c r="I45" s="45">
        <v>951</v>
      </c>
      <c r="J45" s="63">
        <v>315</v>
      </c>
      <c r="K45" s="40">
        <v>0.75118483412322279</v>
      </c>
      <c r="L45" s="24">
        <v>51</v>
      </c>
      <c r="M45" s="46">
        <v>9</v>
      </c>
      <c r="N45" s="40">
        <v>0.85</v>
      </c>
      <c r="O45" s="59">
        <v>0.73333333333333328</v>
      </c>
      <c r="AS45" t="str">
        <f t="shared" si="0"/>
        <v/>
      </c>
      <c r="AT45" s="1" t="str">
        <f t="shared" si="1"/>
        <v/>
      </c>
      <c r="AU45" s="1" t="str">
        <f t="shared" si="2"/>
        <v/>
      </c>
      <c r="AV45" s="1" t="e">
        <f t="shared" si="3"/>
        <v>#VALUE!</v>
      </c>
      <c r="AW45" s="1" t="str">
        <f t="shared" si="4"/>
        <v/>
      </c>
    </row>
    <row r="46" spans="2:49" x14ac:dyDescent="0.25">
      <c r="B46" s="3" t="s">
        <v>56</v>
      </c>
      <c r="C46" s="47">
        <v>256</v>
      </c>
      <c r="D46" s="66">
        <v>266</v>
      </c>
      <c r="E46" s="64">
        <v>253</v>
      </c>
      <c r="F46" s="45">
        <v>4</v>
      </c>
      <c r="G46" s="25">
        <v>1.556420233463035E-2</v>
      </c>
      <c r="H46" s="24">
        <v>1</v>
      </c>
      <c r="I46" s="45">
        <v>250</v>
      </c>
      <c r="J46" s="63">
        <v>16</v>
      </c>
      <c r="K46" s="40">
        <v>0.93984962406015038</v>
      </c>
      <c r="L46" s="24">
        <v>243</v>
      </c>
      <c r="M46" s="46">
        <v>13</v>
      </c>
      <c r="N46" s="40">
        <v>0.94921875</v>
      </c>
      <c r="O46" s="59">
        <v>0.94140625</v>
      </c>
      <c r="AS46" t="str">
        <f t="shared" si="0"/>
        <v/>
      </c>
      <c r="AT46" s="1" t="str">
        <f t="shared" si="1"/>
        <v/>
      </c>
      <c r="AU46" s="1" t="str">
        <f t="shared" si="2"/>
        <v/>
      </c>
      <c r="AV46" s="1" t="e">
        <f t="shared" si="3"/>
        <v>#VALUE!</v>
      </c>
      <c r="AW46" s="1" t="str">
        <f t="shared" si="4"/>
        <v/>
      </c>
    </row>
    <row r="47" spans="2:49" x14ac:dyDescent="0.25">
      <c r="B47" s="3" t="s">
        <v>10</v>
      </c>
      <c r="C47" s="47">
        <v>72</v>
      </c>
      <c r="D47" s="66">
        <v>2066</v>
      </c>
      <c r="E47" s="64">
        <v>1965</v>
      </c>
      <c r="F47" s="45">
        <v>10</v>
      </c>
      <c r="G47" s="25">
        <v>5.0632911392405064E-3</v>
      </c>
      <c r="H47" s="24">
        <v>1</v>
      </c>
      <c r="I47" s="45">
        <v>1956</v>
      </c>
      <c r="J47" s="63">
        <v>110</v>
      </c>
      <c r="K47" s="40">
        <v>0.94675701839303006</v>
      </c>
      <c r="L47" s="24">
        <v>64</v>
      </c>
      <c r="M47" s="46">
        <v>8</v>
      </c>
      <c r="N47" s="40">
        <v>0.88888888888888884</v>
      </c>
      <c r="O47" s="59">
        <v>0.83333333333333337</v>
      </c>
      <c r="AS47" t="str">
        <f t="shared" si="0"/>
        <v/>
      </c>
      <c r="AT47" s="1" t="str">
        <f t="shared" si="1"/>
        <v/>
      </c>
      <c r="AU47" s="1" t="str">
        <f t="shared" si="2"/>
        <v/>
      </c>
      <c r="AV47" s="1" t="e">
        <f t="shared" si="3"/>
        <v>#VALUE!</v>
      </c>
      <c r="AW47" s="1" t="str">
        <f t="shared" si="4"/>
        <v/>
      </c>
    </row>
    <row r="48" spans="2:49" x14ac:dyDescent="0.25">
      <c r="B48" s="3" t="s">
        <v>53</v>
      </c>
      <c r="C48" s="47">
        <v>152</v>
      </c>
      <c r="D48" s="66">
        <v>178</v>
      </c>
      <c r="E48" s="64">
        <v>160</v>
      </c>
      <c r="F48" s="45">
        <v>1</v>
      </c>
      <c r="G48" s="25">
        <v>6.2111801242236021E-3</v>
      </c>
      <c r="H48" s="24">
        <v>1</v>
      </c>
      <c r="I48" s="45">
        <v>160</v>
      </c>
      <c r="J48" s="63">
        <v>18</v>
      </c>
      <c r="K48" s="40">
        <v>0.898876404494382</v>
      </c>
      <c r="L48" s="24">
        <v>144</v>
      </c>
      <c r="M48" s="46">
        <v>8</v>
      </c>
      <c r="N48" s="40">
        <v>0.94736842105263153</v>
      </c>
      <c r="O48" s="59">
        <v>0.94078947368421051</v>
      </c>
      <c r="AS48" t="str">
        <f t="shared" si="0"/>
        <v/>
      </c>
      <c r="AT48" s="1" t="str">
        <f t="shared" si="1"/>
        <v/>
      </c>
      <c r="AU48" s="1" t="str">
        <f t="shared" si="2"/>
        <v/>
      </c>
      <c r="AV48" s="1" t="e">
        <f t="shared" si="3"/>
        <v>#VALUE!</v>
      </c>
      <c r="AW48" s="1" t="str">
        <f t="shared" si="4"/>
        <v/>
      </c>
    </row>
    <row r="49" spans="2:49" x14ac:dyDescent="0.25">
      <c r="B49" s="3" t="s">
        <v>55</v>
      </c>
      <c r="C49" s="47">
        <v>178</v>
      </c>
      <c r="D49" s="66">
        <v>7106</v>
      </c>
      <c r="E49" s="64">
        <v>1703</v>
      </c>
      <c r="F49" s="45">
        <v>0</v>
      </c>
      <c r="G49" s="25">
        <v>0</v>
      </c>
      <c r="H49" s="24">
        <v>0</v>
      </c>
      <c r="I49" s="45">
        <v>1703</v>
      </c>
      <c r="J49" s="63">
        <v>5403</v>
      </c>
      <c r="K49" s="40">
        <v>0.23965662820151984</v>
      </c>
      <c r="L49" s="24">
        <v>164</v>
      </c>
      <c r="M49" s="46">
        <v>14</v>
      </c>
      <c r="N49" s="40">
        <v>0.9213483146067416</v>
      </c>
      <c r="O49" s="59">
        <v>0.8764044943820225</v>
      </c>
      <c r="AS49" t="str">
        <f t="shared" si="0"/>
        <v/>
      </c>
      <c r="AT49" s="1" t="str">
        <f t="shared" si="1"/>
        <v/>
      </c>
      <c r="AU49" s="1" t="str">
        <f t="shared" si="2"/>
        <v/>
      </c>
      <c r="AV49" s="1" t="e">
        <f t="shared" si="3"/>
        <v>#VALUE!</v>
      </c>
      <c r="AW49" s="1" t="str">
        <f t="shared" si="4"/>
        <v/>
      </c>
    </row>
    <row r="50" spans="2:49" x14ac:dyDescent="0.25">
      <c r="B50" s="3" t="s">
        <v>1989</v>
      </c>
      <c r="C50" s="47">
        <v>2</v>
      </c>
      <c r="D50" s="66">
        <v>110</v>
      </c>
      <c r="E50" s="64">
        <v>110</v>
      </c>
      <c r="F50" s="45">
        <v>0</v>
      </c>
      <c r="G50" s="25">
        <v>0</v>
      </c>
      <c r="H50" s="24">
        <v>0</v>
      </c>
      <c r="I50" s="45">
        <v>110</v>
      </c>
      <c r="J50" s="63">
        <v>0</v>
      </c>
      <c r="K50" s="40">
        <v>1</v>
      </c>
      <c r="L50" s="24">
        <v>2</v>
      </c>
      <c r="M50" s="46">
        <v>0</v>
      </c>
      <c r="N50" s="40">
        <v>1</v>
      </c>
      <c r="O50" s="59">
        <v>1</v>
      </c>
      <c r="AS50" t="str">
        <f t="shared" si="0"/>
        <v/>
      </c>
      <c r="AT50" s="1" t="str">
        <f t="shared" si="1"/>
        <v/>
      </c>
      <c r="AU50" s="1" t="str">
        <f t="shared" si="2"/>
        <v/>
      </c>
      <c r="AV50" s="1" t="e">
        <f t="shared" si="3"/>
        <v>#VALUE!</v>
      </c>
      <c r="AW50" s="1" t="str">
        <f t="shared" si="4"/>
        <v/>
      </c>
    </row>
    <row r="51" spans="2:49" x14ac:dyDescent="0.25">
      <c r="B51" s="3" t="s">
        <v>1964</v>
      </c>
      <c r="C51" s="47">
        <v>1</v>
      </c>
      <c r="D51" s="66">
        <v>150</v>
      </c>
      <c r="E51" s="64">
        <v>150</v>
      </c>
      <c r="F51" s="45">
        <v>0</v>
      </c>
      <c r="G51" s="25">
        <v>0</v>
      </c>
      <c r="H51" s="24">
        <v>0</v>
      </c>
      <c r="I51" s="45">
        <v>150</v>
      </c>
      <c r="J51" s="63">
        <v>0</v>
      </c>
      <c r="K51" s="40">
        <v>1</v>
      </c>
      <c r="L51" s="24">
        <v>1</v>
      </c>
      <c r="M51" s="46">
        <v>0</v>
      </c>
      <c r="N51" s="40">
        <v>1</v>
      </c>
      <c r="O51" s="59">
        <v>1</v>
      </c>
      <c r="AS51" t="str">
        <f t="shared" si="0"/>
        <v/>
      </c>
      <c r="AT51" s="1" t="str">
        <f t="shared" si="1"/>
        <v/>
      </c>
      <c r="AU51" s="1" t="str">
        <f t="shared" si="2"/>
        <v/>
      </c>
      <c r="AV51" s="1" t="e">
        <f t="shared" si="3"/>
        <v>#VALUE!</v>
      </c>
      <c r="AW51" s="1" t="str">
        <f t="shared" si="4"/>
        <v/>
      </c>
    </row>
    <row r="52" spans="2:49" x14ac:dyDescent="0.25">
      <c r="B52" s="3" t="s">
        <v>424</v>
      </c>
      <c r="C52" s="47">
        <v>1</v>
      </c>
      <c r="D52" s="66">
        <v>100</v>
      </c>
      <c r="E52" s="64">
        <v>100</v>
      </c>
      <c r="F52" s="45">
        <v>0</v>
      </c>
      <c r="G52" s="25">
        <v>0</v>
      </c>
      <c r="H52" s="24">
        <v>0</v>
      </c>
      <c r="I52" s="45">
        <v>100</v>
      </c>
      <c r="J52" s="63">
        <v>0</v>
      </c>
      <c r="K52" s="40">
        <v>1</v>
      </c>
      <c r="L52" s="24">
        <v>1</v>
      </c>
      <c r="M52" s="46">
        <v>0</v>
      </c>
      <c r="N52" s="40">
        <v>1</v>
      </c>
      <c r="O52" s="59">
        <v>1</v>
      </c>
      <c r="AS52" t="str">
        <f t="shared" si="0"/>
        <v/>
      </c>
      <c r="AT52" s="1" t="str">
        <f t="shared" si="1"/>
        <v/>
      </c>
      <c r="AU52" s="1" t="str">
        <f t="shared" si="2"/>
        <v/>
      </c>
      <c r="AV52" s="1" t="e">
        <f t="shared" si="3"/>
        <v>#VALUE!</v>
      </c>
      <c r="AW52" s="1" t="str">
        <f t="shared" si="4"/>
        <v/>
      </c>
    </row>
    <row r="53" spans="2:49" x14ac:dyDescent="0.25">
      <c r="B53" s="3" t="s">
        <v>48</v>
      </c>
      <c r="C53" s="47">
        <v>485</v>
      </c>
      <c r="D53" s="66">
        <v>740</v>
      </c>
      <c r="E53" s="64">
        <v>736</v>
      </c>
      <c r="F53" s="45">
        <v>1</v>
      </c>
      <c r="G53" s="25">
        <v>1.3568521031207597E-3</v>
      </c>
      <c r="H53" s="24">
        <v>0</v>
      </c>
      <c r="I53" s="45">
        <v>735</v>
      </c>
      <c r="J53" s="63">
        <v>5</v>
      </c>
      <c r="K53" s="40">
        <v>0.9932432432432432</v>
      </c>
      <c r="L53" s="24">
        <v>459</v>
      </c>
      <c r="M53" s="46">
        <v>26</v>
      </c>
      <c r="N53" s="40">
        <v>0.94639175257731956</v>
      </c>
      <c r="O53" s="59">
        <v>0.94639175257731956</v>
      </c>
      <c r="AS53" t="str">
        <f t="shared" si="0"/>
        <v/>
      </c>
      <c r="AT53" s="1" t="str">
        <f t="shared" si="1"/>
        <v/>
      </c>
      <c r="AU53" s="1" t="str">
        <f t="shared" si="2"/>
        <v/>
      </c>
      <c r="AV53" s="1" t="e">
        <f t="shared" si="3"/>
        <v>#VALUE!</v>
      </c>
      <c r="AW53" s="1" t="str">
        <f t="shared" si="4"/>
        <v/>
      </c>
    </row>
    <row r="54" spans="2:49" x14ac:dyDescent="0.25">
      <c r="B54" s="3" t="s">
        <v>50</v>
      </c>
      <c r="C54" s="47">
        <v>162</v>
      </c>
      <c r="D54" s="66">
        <v>174</v>
      </c>
      <c r="E54" s="64">
        <v>156</v>
      </c>
      <c r="F54" s="45">
        <v>70</v>
      </c>
      <c r="G54" s="25">
        <v>0.30973451327433627</v>
      </c>
      <c r="H54" s="24">
        <v>71</v>
      </c>
      <c r="I54" s="45">
        <v>157</v>
      </c>
      <c r="J54" s="63">
        <v>17</v>
      </c>
      <c r="K54" s="40">
        <v>0.9022988505747126</v>
      </c>
      <c r="L54" s="24">
        <v>141</v>
      </c>
      <c r="M54" s="46">
        <v>21</v>
      </c>
      <c r="N54" s="40">
        <v>0.87037037037037035</v>
      </c>
      <c r="O54" s="59">
        <v>0.85185185185185186</v>
      </c>
      <c r="AS54" t="str">
        <f t="shared" si="0"/>
        <v/>
      </c>
      <c r="AT54" s="1" t="str">
        <f t="shared" si="1"/>
        <v/>
      </c>
      <c r="AU54" s="1" t="str">
        <f t="shared" si="2"/>
        <v/>
      </c>
      <c r="AV54" s="1" t="e">
        <f t="shared" si="3"/>
        <v>#VALUE!</v>
      </c>
      <c r="AW54" s="1" t="str">
        <f t="shared" si="4"/>
        <v/>
      </c>
    </row>
    <row r="55" spans="2:49" x14ac:dyDescent="0.25">
      <c r="B55" s="3" t="s">
        <v>1961</v>
      </c>
      <c r="C55" s="47">
        <v>2</v>
      </c>
      <c r="D55" s="66">
        <v>109</v>
      </c>
      <c r="E55" s="64">
        <v>94</v>
      </c>
      <c r="F55" s="45">
        <v>0</v>
      </c>
      <c r="G55" s="25">
        <v>0</v>
      </c>
      <c r="H55" s="24">
        <v>0</v>
      </c>
      <c r="I55" s="45">
        <v>94</v>
      </c>
      <c r="J55" s="63">
        <v>15</v>
      </c>
      <c r="K55" s="40">
        <v>0.86238532110091748</v>
      </c>
      <c r="L55" s="24">
        <v>0</v>
      </c>
      <c r="M55" s="46">
        <v>2</v>
      </c>
      <c r="N55" s="40">
        <v>0</v>
      </c>
      <c r="O55" s="59">
        <v>0</v>
      </c>
      <c r="AS55" t="str">
        <f t="shared" si="0"/>
        <v/>
      </c>
      <c r="AT55" s="1" t="str">
        <f t="shared" si="1"/>
        <v/>
      </c>
      <c r="AU55" s="1" t="str">
        <f t="shared" si="2"/>
        <v/>
      </c>
      <c r="AV55" s="1" t="e">
        <f t="shared" si="3"/>
        <v>#VALUE!</v>
      </c>
      <c r="AW55" s="1" t="str">
        <f t="shared" si="4"/>
        <v/>
      </c>
    </row>
    <row r="56" spans="2:49" x14ac:dyDescent="0.25">
      <c r="B56" s="27" t="s">
        <v>17</v>
      </c>
      <c r="C56" s="34">
        <v>1469</v>
      </c>
      <c r="D56" s="35">
        <v>17809</v>
      </c>
      <c r="E56" s="38">
        <v>9785</v>
      </c>
      <c r="F56" s="61">
        <v>521</v>
      </c>
      <c r="G56" s="36">
        <v>5.0553075878129246E-2</v>
      </c>
      <c r="H56" s="62">
        <v>87</v>
      </c>
      <c r="I56" s="35">
        <v>9351</v>
      </c>
      <c r="J56" s="35">
        <v>8458</v>
      </c>
      <c r="K56" s="41">
        <v>0.5250715930147678</v>
      </c>
      <c r="L56" s="34">
        <v>1359</v>
      </c>
      <c r="M56" s="38">
        <v>110</v>
      </c>
      <c r="N56" s="41">
        <v>0.92511912865895163</v>
      </c>
      <c r="O56" s="37">
        <v>0.90401633764465628</v>
      </c>
      <c r="AS56" t="str">
        <f t="shared" si="0"/>
        <v/>
      </c>
      <c r="AT56" s="1" t="str">
        <f t="shared" si="1"/>
        <v/>
      </c>
      <c r="AU56" s="1" t="str">
        <f t="shared" si="2"/>
        <v/>
      </c>
      <c r="AV56" s="1" t="e">
        <f t="shared" si="3"/>
        <v>#VALUE!</v>
      </c>
      <c r="AW56" s="1" t="str">
        <f t="shared" si="4"/>
        <v/>
      </c>
    </row>
    <row r="57" spans="2:49" x14ac:dyDescent="0.25">
      <c r="AS57" t="str">
        <f t="shared" si="0"/>
        <v/>
      </c>
      <c r="AT57" s="1" t="str">
        <f t="shared" si="1"/>
        <v/>
      </c>
      <c r="AU57" s="1" t="str">
        <f t="shared" si="2"/>
        <v/>
      </c>
      <c r="AV57" s="1" t="e">
        <f t="shared" si="3"/>
        <v>#VALUE!</v>
      </c>
      <c r="AW57" s="1" t="str">
        <f t="shared" si="4"/>
        <v/>
      </c>
    </row>
    <row r="58" spans="2:49" x14ac:dyDescent="0.25">
      <c r="AS58" t="str">
        <f t="shared" si="0"/>
        <v/>
      </c>
      <c r="AT58" s="1" t="str">
        <f t="shared" si="1"/>
        <v/>
      </c>
      <c r="AU58" s="1" t="str">
        <f t="shared" si="2"/>
        <v/>
      </c>
      <c r="AV58" s="1" t="e">
        <f t="shared" si="3"/>
        <v>#VALUE!</v>
      </c>
      <c r="AW58" s="1" t="str">
        <f t="shared" si="4"/>
        <v/>
      </c>
    </row>
    <row r="59" spans="2:49" x14ac:dyDescent="0.25">
      <c r="AS59" t="str">
        <f t="shared" si="0"/>
        <v/>
      </c>
      <c r="AT59" s="1" t="str">
        <f t="shared" si="1"/>
        <v/>
      </c>
      <c r="AU59" s="1" t="str">
        <f t="shared" si="2"/>
        <v/>
      </c>
      <c r="AV59" s="1" t="e">
        <f t="shared" si="3"/>
        <v>#VALUE!</v>
      </c>
      <c r="AW59" s="1" t="str">
        <f t="shared" si="4"/>
        <v/>
      </c>
    </row>
    <row r="60" spans="2:49" x14ac:dyDescent="0.25">
      <c r="AS60" t="str">
        <f t="shared" si="0"/>
        <v/>
      </c>
      <c r="AT60" s="1" t="str">
        <f t="shared" si="1"/>
        <v/>
      </c>
      <c r="AU60" s="1" t="str">
        <f t="shared" si="2"/>
        <v/>
      </c>
      <c r="AV60" s="1" t="e">
        <f t="shared" si="3"/>
        <v>#VALUE!</v>
      </c>
      <c r="AW60" s="1" t="str">
        <f t="shared" si="4"/>
        <v/>
      </c>
    </row>
    <row r="61" spans="2:49" x14ac:dyDescent="0.25">
      <c r="AS61" t="str">
        <f t="shared" si="0"/>
        <v/>
      </c>
      <c r="AT61" s="1" t="str">
        <f t="shared" si="1"/>
        <v/>
      </c>
      <c r="AU61" s="1" t="str">
        <f t="shared" si="2"/>
        <v/>
      </c>
      <c r="AV61" s="1" t="e">
        <f t="shared" si="3"/>
        <v>#VALUE!</v>
      </c>
      <c r="AW61" s="1" t="str">
        <f t="shared" si="4"/>
        <v/>
      </c>
    </row>
    <row r="62" spans="2:49" x14ac:dyDescent="0.25">
      <c r="AS62" t="str">
        <f t="shared" si="0"/>
        <v/>
      </c>
      <c r="AT62" s="1" t="str">
        <f t="shared" si="1"/>
        <v/>
      </c>
      <c r="AU62" s="1" t="str">
        <f t="shared" si="2"/>
        <v/>
      </c>
      <c r="AV62" s="1" t="e">
        <f t="shared" si="3"/>
        <v>#VALUE!</v>
      </c>
      <c r="AW62" s="1" t="str">
        <f t="shared" si="4"/>
        <v/>
      </c>
    </row>
    <row r="63" spans="2:49" x14ac:dyDescent="0.25">
      <c r="AS63" t="str">
        <f t="shared" si="0"/>
        <v/>
      </c>
      <c r="AT63" s="1" t="str">
        <f t="shared" si="1"/>
        <v/>
      </c>
      <c r="AU63" s="1" t="str">
        <f t="shared" si="2"/>
        <v/>
      </c>
      <c r="AV63" s="1" t="e">
        <f t="shared" si="3"/>
        <v>#VALUE!</v>
      </c>
      <c r="AW63" s="1" t="str">
        <f t="shared" si="4"/>
        <v/>
      </c>
    </row>
    <row r="64" spans="2:49" x14ac:dyDescent="0.25">
      <c r="AS64" t="str">
        <f t="shared" si="0"/>
        <v/>
      </c>
      <c r="AT64" s="1" t="str">
        <f t="shared" si="1"/>
        <v/>
      </c>
      <c r="AU64" s="1" t="str">
        <f t="shared" si="2"/>
        <v/>
      </c>
      <c r="AV64" s="1" t="e">
        <f t="shared" si="3"/>
        <v>#VALUE!</v>
      </c>
      <c r="AW64" s="1" t="str">
        <f t="shared" si="4"/>
        <v/>
      </c>
    </row>
    <row r="65" spans="45:49" hidden="1" x14ac:dyDescent="0.25">
      <c r="AS65" t="str">
        <f t="shared" si="0"/>
        <v/>
      </c>
      <c r="AT65" s="1" t="str">
        <f t="shared" si="1"/>
        <v/>
      </c>
      <c r="AU65" s="1" t="str">
        <f t="shared" si="2"/>
        <v/>
      </c>
      <c r="AV65" s="1" t="e">
        <f t="shared" si="3"/>
        <v>#VALUE!</v>
      </c>
      <c r="AW65" s="1" t="str">
        <f t="shared" si="4"/>
        <v/>
      </c>
    </row>
    <row r="66" spans="45:49" hidden="1" x14ac:dyDescent="0.25">
      <c r="AS66" t="str">
        <f t="shared" si="0"/>
        <v/>
      </c>
      <c r="AT66" s="1" t="str">
        <f t="shared" si="1"/>
        <v/>
      </c>
      <c r="AU66" s="1" t="str">
        <f t="shared" si="2"/>
        <v/>
      </c>
      <c r="AV66" s="1" t="e">
        <f t="shared" si="3"/>
        <v>#VALUE!</v>
      </c>
      <c r="AW66" s="1" t="str">
        <f t="shared" si="4"/>
        <v/>
      </c>
    </row>
    <row r="67" spans="45:49" hidden="1" x14ac:dyDescent="0.25">
      <c r="AS67" t="str">
        <f t="shared" ref="AS67:AS130" si="5">+IF(AR67="","",DAY(AR67))</f>
        <v/>
      </c>
      <c r="AT67" s="1" t="str">
        <f t="shared" ref="AT67:AT130" si="6">+IF(AS67="","",IF(LEN(AS67)&lt;2,"0"&amp;AS67,AS67))</f>
        <v/>
      </c>
      <c r="AU67" s="1" t="str">
        <f t="shared" ref="AU67:AU130" si="7">+IF(AR67="","",MONTH(AR67))</f>
        <v/>
      </c>
      <c r="AV67" s="1" t="e">
        <f t="shared" ref="AV67:AV130" si="8">+VALUE(IF(AS67="","",IF(LEN(AU67)&lt;2,"0"&amp;AU67,AU67)))</f>
        <v>#VALUE!</v>
      </c>
      <c r="AW67" s="1" t="str">
        <f t="shared" ref="AW67:AW130" si="9">+IF(AR67="","",YEAR(AR67))</f>
        <v/>
      </c>
    </row>
    <row r="68" spans="45:49" hidden="1" x14ac:dyDescent="0.25">
      <c r="AS68" t="str">
        <f t="shared" si="5"/>
        <v/>
      </c>
      <c r="AT68" s="1" t="str">
        <f t="shared" si="6"/>
        <v/>
      </c>
      <c r="AU68" s="1" t="str">
        <f t="shared" si="7"/>
        <v/>
      </c>
      <c r="AV68" s="1" t="e">
        <f t="shared" si="8"/>
        <v>#VALUE!</v>
      </c>
      <c r="AW68" s="1" t="str">
        <f t="shared" si="9"/>
        <v/>
      </c>
    </row>
    <row r="69" spans="45:49" hidden="1" x14ac:dyDescent="0.25">
      <c r="AS69" t="str">
        <f t="shared" si="5"/>
        <v/>
      </c>
      <c r="AT69" s="1" t="str">
        <f t="shared" si="6"/>
        <v/>
      </c>
      <c r="AU69" s="1" t="str">
        <f t="shared" si="7"/>
        <v/>
      </c>
      <c r="AV69" s="1" t="e">
        <f t="shared" si="8"/>
        <v>#VALUE!</v>
      </c>
      <c r="AW69" s="1" t="str">
        <f t="shared" si="9"/>
        <v/>
      </c>
    </row>
    <row r="70" spans="45:49" hidden="1" x14ac:dyDescent="0.25">
      <c r="AS70" t="str">
        <f t="shared" si="5"/>
        <v/>
      </c>
      <c r="AT70" s="1" t="str">
        <f t="shared" si="6"/>
        <v/>
      </c>
      <c r="AU70" s="1" t="str">
        <f t="shared" si="7"/>
        <v/>
      </c>
      <c r="AV70" s="1" t="e">
        <f t="shared" si="8"/>
        <v>#VALUE!</v>
      </c>
      <c r="AW70" s="1" t="str">
        <f t="shared" si="9"/>
        <v/>
      </c>
    </row>
    <row r="71" spans="45:49" hidden="1" x14ac:dyDescent="0.25">
      <c r="AS71" t="str">
        <f t="shared" si="5"/>
        <v/>
      </c>
      <c r="AT71" s="1" t="str">
        <f t="shared" si="6"/>
        <v/>
      </c>
      <c r="AU71" s="1" t="str">
        <f t="shared" si="7"/>
        <v/>
      </c>
      <c r="AV71" s="1" t="e">
        <f t="shared" si="8"/>
        <v>#VALUE!</v>
      </c>
      <c r="AW71" s="1" t="str">
        <f t="shared" si="9"/>
        <v/>
      </c>
    </row>
    <row r="72" spans="45:49" hidden="1" x14ac:dyDescent="0.25">
      <c r="AS72" t="str">
        <f t="shared" si="5"/>
        <v/>
      </c>
      <c r="AT72" s="1" t="str">
        <f t="shared" si="6"/>
        <v/>
      </c>
      <c r="AU72" s="1" t="str">
        <f t="shared" si="7"/>
        <v/>
      </c>
      <c r="AV72" s="1" t="e">
        <f t="shared" si="8"/>
        <v>#VALUE!</v>
      </c>
      <c r="AW72" s="1" t="str">
        <f t="shared" si="9"/>
        <v/>
      </c>
    </row>
    <row r="73" spans="45:49" hidden="1" x14ac:dyDescent="0.25">
      <c r="AS73" t="str">
        <f t="shared" si="5"/>
        <v/>
      </c>
      <c r="AT73" s="1" t="str">
        <f t="shared" si="6"/>
        <v/>
      </c>
      <c r="AU73" s="1" t="str">
        <f t="shared" si="7"/>
        <v/>
      </c>
      <c r="AV73" s="1" t="e">
        <f t="shared" si="8"/>
        <v>#VALUE!</v>
      </c>
      <c r="AW73" s="1" t="str">
        <f t="shared" si="9"/>
        <v/>
      </c>
    </row>
    <row r="74" spans="45:49" hidden="1" x14ac:dyDescent="0.25">
      <c r="AS74" t="str">
        <f t="shared" si="5"/>
        <v/>
      </c>
      <c r="AT74" s="1" t="str">
        <f t="shared" si="6"/>
        <v/>
      </c>
      <c r="AU74" s="1" t="str">
        <f t="shared" si="7"/>
        <v/>
      </c>
      <c r="AV74" s="1" t="e">
        <f t="shared" si="8"/>
        <v>#VALUE!</v>
      </c>
      <c r="AW74" s="1" t="str">
        <f t="shared" si="9"/>
        <v/>
      </c>
    </row>
    <row r="75" spans="45:49" hidden="1" x14ac:dyDescent="0.25">
      <c r="AS75" t="str">
        <f t="shared" si="5"/>
        <v/>
      </c>
      <c r="AT75" s="1" t="str">
        <f t="shared" si="6"/>
        <v/>
      </c>
      <c r="AU75" s="1" t="str">
        <f t="shared" si="7"/>
        <v/>
      </c>
      <c r="AV75" s="1" t="e">
        <f t="shared" si="8"/>
        <v>#VALUE!</v>
      </c>
      <c r="AW75" s="1" t="str">
        <f t="shared" si="9"/>
        <v/>
      </c>
    </row>
    <row r="76" spans="45:49" hidden="1" x14ac:dyDescent="0.25">
      <c r="AS76" t="str">
        <f t="shared" si="5"/>
        <v/>
      </c>
      <c r="AT76" s="1" t="str">
        <f t="shared" si="6"/>
        <v/>
      </c>
      <c r="AU76" s="1" t="str">
        <f t="shared" si="7"/>
        <v/>
      </c>
      <c r="AV76" s="1" t="e">
        <f t="shared" si="8"/>
        <v>#VALUE!</v>
      </c>
      <c r="AW76" s="1" t="str">
        <f t="shared" si="9"/>
        <v/>
      </c>
    </row>
    <row r="77" spans="45:49" hidden="1" x14ac:dyDescent="0.25">
      <c r="AS77" t="str">
        <f t="shared" si="5"/>
        <v/>
      </c>
      <c r="AT77" s="1" t="str">
        <f t="shared" si="6"/>
        <v/>
      </c>
      <c r="AU77" s="1" t="str">
        <f t="shared" si="7"/>
        <v/>
      </c>
      <c r="AV77" s="1" t="e">
        <f t="shared" si="8"/>
        <v>#VALUE!</v>
      </c>
      <c r="AW77" s="1" t="str">
        <f t="shared" si="9"/>
        <v/>
      </c>
    </row>
    <row r="78" spans="45:49" hidden="1" x14ac:dyDescent="0.25">
      <c r="AS78" t="str">
        <f t="shared" si="5"/>
        <v/>
      </c>
      <c r="AT78" s="1" t="str">
        <f t="shared" si="6"/>
        <v/>
      </c>
      <c r="AU78" s="1" t="str">
        <f t="shared" si="7"/>
        <v/>
      </c>
      <c r="AV78" s="1" t="e">
        <f t="shared" si="8"/>
        <v>#VALUE!</v>
      </c>
      <c r="AW78" s="1" t="str">
        <f t="shared" si="9"/>
        <v/>
      </c>
    </row>
    <row r="79" spans="45:49" hidden="1" x14ac:dyDescent="0.25">
      <c r="AS79" t="str">
        <f t="shared" si="5"/>
        <v/>
      </c>
      <c r="AT79" s="1" t="str">
        <f t="shared" si="6"/>
        <v/>
      </c>
      <c r="AU79" s="1" t="str">
        <f t="shared" si="7"/>
        <v/>
      </c>
      <c r="AV79" s="1" t="e">
        <f t="shared" si="8"/>
        <v>#VALUE!</v>
      </c>
      <c r="AW79" s="1" t="str">
        <f t="shared" si="9"/>
        <v/>
      </c>
    </row>
    <row r="80" spans="45:49" hidden="1" x14ac:dyDescent="0.25">
      <c r="AS80" t="str">
        <f t="shared" si="5"/>
        <v/>
      </c>
      <c r="AT80" s="1" t="str">
        <f t="shared" si="6"/>
        <v/>
      </c>
      <c r="AU80" s="1" t="str">
        <f t="shared" si="7"/>
        <v/>
      </c>
      <c r="AV80" s="1" t="e">
        <f t="shared" si="8"/>
        <v>#VALUE!</v>
      </c>
      <c r="AW80" s="1" t="str">
        <f t="shared" si="9"/>
        <v/>
      </c>
    </row>
    <row r="81" spans="45:49" hidden="1" x14ac:dyDescent="0.25">
      <c r="AS81" t="str">
        <f t="shared" si="5"/>
        <v/>
      </c>
      <c r="AT81" s="1" t="str">
        <f t="shared" si="6"/>
        <v/>
      </c>
      <c r="AU81" s="1" t="str">
        <f t="shared" si="7"/>
        <v/>
      </c>
      <c r="AV81" s="1" t="e">
        <f t="shared" si="8"/>
        <v>#VALUE!</v>
      </c>
      <c r="AW81" s="1" t="str">
        <f t="shared" si="9"/>
        <v/>
      </c>
    </row>
    <row r="82" spans="45:49" hidden="1" x14ac:dyDescent="0.25">
      <c r="AS82" t="str">
        <f t="shared" si="5"/>
        <v/>
      </c>
      <c r="AT82" s="1" t="str">
        <f t="shared" si="6"/>
        <v/>
      </c>
      <c r="AU82" s="1" t="str">
        <f t="shared" si="7"/>
        <v/>
      </c>
      <c r="AV82" s="1" t="e">
        <f t="shared" si="8"/>
        <v>#VALUE!</v>
      </c>
      <c r="AW82" s="1" t="str">
        <f t="shared" si="9"/>
        <v/>
      </c>
    </row>
    <row r="83" spans="45:49" hidden="1" x14ac:dyDescent="0.25">
      <c r="AS83" t="str">
        <f t="shared" si="5"/>
        <v/>
      </c>
      <c r="AT83" s="1" t="str">
        <f t="shared" si="6"/>
        <v/>
      </c>
      <c r="AU83" s="1" t="str">
        <f t="shared" si="7"/>
        <v/>
      </c>
      <c r="AV83" s="1" t="e">
        <f t="shared" si="8"/>
        <v>#VALUE!</v>
      </c>
      <c r="AW83" s="1" t="str">
        <f t="shared" si="9"/>
        <v/>
      </c>
    </row>
    <row r="84" spans="45:49" hidden="1" x14ac:dyDescent="0.25">
      <c r="AS84" t="str">
        <f t="shared" si="5"/>
        <v/>
      </c>
      <c r="AT84" s="1" t="str">
        <f t="shared" si="6"/>
        <v/>
      </c>
      <c r="AU84" s="1" t="str">
        <f t="shared" si="7"/>
        <v/>
      </c>
      <c r="AV84" s="1" t="e">
        <f t="shared" si="8"/>
        <v>#VALUE!</v>
      </c>
      <c r="AW84" s="1" t="str">
        <f t="shared" si="9"/>
        <v/>
      </c>
    </row>
    <row r="85" spans="45:49" hidden="1" x14ac:dyDescent="0.25">
      <c r="AS85" t="str">
        <f t="shared" si="5"/>
        <v/>
      </c>
      <c r="AT85" s="1" t="str">
        <f t="shared" si="6"/>
        <v/>
      </c>
      <c r="AU85" s="1" t="str">
        <f t="shared" si="7"/>
        <v/>
      </c>
      <c r="AV85" s="1" t="e">
        <f t="shared" si="8"/>
        <v>#VALUE!</v>
      </c>
      <c r="AW85" s="1" t="str">
        <f t="shared" si="9"/>
        <v/>
      </c>
    </row>
    <row r="86" spans="45:49" hidden="1" x14ac:dyDescent="0.25">
      <c r="AS86" t="str">
        <f t="shared" si="5"/>
        <v/>
      </c>
      <c r="AT86" s="1" t="str">
        <f t="shared" si="6"/>
        <v/>
      </c>
      <c r="AU86" s="1" t="str">
        <f t="shared" si="7"/>
        <v/>
      </c>
      <c r="AV86" s="1" t="e">
        <f t="shared" si="8"/>
        <v>#VALUE!</v>
      </c>
      <c r="AW86" s="1" t="str">
        <f t="shared" si="9"/>
        <v/>
      </c>
    </row>
    <row r="87" spans="45:49" hidden="1" x14ac:dyDescent="0.25">
      <c r="AS87" t="str">
        <f t="shared" si="5"/>
        <v/>
      </c>
      <c r="AT87" s="1" t="str">
        <f t="shared" si="6"/>
        <v/>
      </c>
      <c r="AU87" s="1" t="str">
        <f t="shared" si="7"/>
        <v/>
      </c>
      <c r="AV87" s="1" t="e">
        <f t="shared" si="8"/>
        <v>#VALUE!</v>
      </c>
      <c r="AW87" s="1" t="str">
        <f t="shared" si="9"/>
        <v/>
      </c>
    </row>
    <row r="88" spans="45:49" hidden="1" x14ac:dyDescent="0.25">
      <c r="AS88" t="str">
        <f t="shared" si="5"/>
        <v/>
      </c>
      <c r="AT88" s="1" t="str">
        <f t="shared" si="6"/>
        <v/>
      </c>
      <c r="AU88" s="1" t="str">
        <f t="shared" si="7"/>
        <v/>
      </c>
      <c r="AV88" s="1" t="e">
        <f t="shared" si="8"/>
        <v>#VALUE!</v>
      </c>
      <c r="AW88" s="1" t="str">
        <f t="shared" si="9"/>
        <v/>
      </c>
    </row>
    <row r="89" spans="45:49" hidden="1" x14ac:dyDescent="0.25">
      <c r="AS89" t="str">
        <f t="shared" si="5"/>
        <v/>
      </c>
      <c r="AT89" s="1" t="str">
        <f t="shared" si="6"/>
        <v/>
      </c>
      <c r="AU89" s="1" t="str">
        <f t="shared" si="7"/>
        <v/>
      </c>
      <c r="AV89" s="1" t="e">
        <f t="shared" si="8"/>
        <v>#VALUE!</v>
      </c>
      <c r="AW89" s="1" t="str">
        <f t="shared" si="9"/>
        <v/>
      </c>
    </row>
    <row r="90" spans="45:49" hidden="1" x14ac:dyDescent="0.25">
      <c r="AS90" t="str">
        <f t="shared" si="5"/>
        <v/>
      </c>
      <c r="AT90" s="1" t="str">
        <f t="shared" si="6"/>
        <v/>
      </c>
      <c r="AU90" s="1" t="str">
        <f t="shared" si="7"/>
        <v/>
      </c>
      <c r="AV90" s="1" t="e">
        <f t="shared" si="8"/>
        <v>#VALUE!</v>
      </c>
      <c r="AW90" s="1" t="str">
        <f t="shared" si="9"/>
        <v/>
      </c>
    </row>
    <row r="91" spans="45:49" hidden="1" x14ac:dyDescent="0.25">
      <c r="AS91" t="str">
        <f t="shared" si="5"/>
        <v/>
      </c>
      <c r="AT91" s="1" t="str">
        <f t="shared" si="6"/>
        <v/>
      </c>
      <c r="AU91" s="1" t="str">
        <f t="shared" si="7"/>
        <v/>
      </c>
      <c r="AV91" s="1" t="e">
        <f t="shared" si="8"/>
        <v>#VALUE!</v>
      </c>
      <c r="AW91" s="1" t="str">
        <f t="shared" si="9"/>
        <v/>
      </c>
    </row>
    <row r="92" spans="45:49" hidden="1" x14ac:dyDescent="0.25">
      <c r="AS92" t="str">
        <f t="shared" si="5"/>
        <v/>
      </c>
      <c r="AT92" s="1" t="str">
        <f t="shared" si="6"/>
        <v/>
      </c>
      <c r="AU92" s="1" t="str">
        <f t="shared" si="7"/>
        <v/>
      </c>
      <c r="AV92" s="1" t="e">
        <f t="shared" si="8"/>
        <v>#VALUE!</v>
      </c>
      <c r="AW92" s="1" t="str">
        <f t="shared" si="9"/>
        <v/>
      </c>
    </row>
    <row r="93" spans="45:49" hidden="1" x14ac:dyDescent="0.25">
      <c r="AS93" t="str">
        <f t="shared" si="5"/>
        <v/>
      </c>
      <c r="AT93" s="1" t="str">
        <f t="shared" si="6"/>
        <v/>
      </c>
      <c r="AU93" s="1" t="str">
        <f t="shared" si="7"/>
        <v/>
      </c>
      <c r="AV93" s="1" t="e">
        <f t="shared" si="8"/>
        <v>#VALUE!</v>
      </c>
      <c r="AW93" s="1" t="str">
        <f t="shared" si="9"/>
        <v/>
      </c>
    </row>
    <row r="94" spans="45:49" hidden="1" x14ac:dyDescent="0.25">
      <c r="AS94" t="str">
        <f t="shared" si="5"/>
        <v/>
      </c>
      <c r="AT94" s="1" t="str">
        <f t="shared" si="6"/>
        <v/>
      </c>
      <c r="AU94" s="1" t="str">
        <f t="shared" si="7"/>
        <v/>
      </c>
      <c r="AV94" s="1" t="e">
        <f t="shared" si="8"/>
        <v>#VALUE!</v>
      </c>
      <c r="AW94" s="1" t="str">
        <f t="shared" si="9"/>
        <v/>
      </c>
    </row>
    <row r="95" spans="45:49" hidden="1" x14ac:dyDescent="0.25">
      <c r="AS95" t="str">
        <f t="shared" si="5"/>
        <v/>
      </c>
      <c r="AT95" s="1" t="str">
        <f t="shared" si="6"/>
        <v/>
      </c>
      <c r="AU95" s="1" t="str">
        <f t="shared" si="7"/>
        <v/>
      </c>
      <c r="AV95" s="1" t="e">
        <f t="shared" si="8"/>
        <v>#VALUE!</v>
      </c>
      <c r="AW95" s="1" t="str">
        <f t="shared" si="9"/>
        <v/>
      </c>
    </row>
    <row r="96" spans="45:49" hidden="1" x14ac:dyDescent="0.25">
      <c r="AS96" t="str">
        <f t="shared" si="5"/>
        <v/>
      </c>
      <c r="AT96" s="1" t="str">
        <f t="shared" si="6"/>
        <v/>
      </c>
      <c r="AU96" s="1" t="str">
        <f t="shared" si="7"/>
        <v/>
      </c>
      <c r="AV96" s="1" t="e">
        <f t="shared" si="8"/>
        <v>#VALUE!</v>
      </c>
      <c r="AW96" s="1" t="str">
        <f t="shared" si="9"/>
        <v/>
      </c>
    </row>
    <row r="97" spans="45:49" hidden="1" x14ac:dyDescent="0.25">
      <c r="AS97" t="str">
        <f t="shared" si="5"/>
        <v/>
      </c>
      <c r="AT97" s="1" t="str">
        <f t="shared" si="6"/>
        <v/>
      </c>
      <c r="AU97" s="1" t="str">
        <f t="shared" si="7"/>
        <v/>
      </c>
      <c r="AV97" s="1" t="e">
        <f t="shared" si="8"/>
        <v>#VALUE!</v>
      </c>
      <c r="AW97" s="1" t="str">
        <f t="shared" si="9"/>
        <v/>
      </c>
    </row>
    <row r="98" spans="45:49" hidden="1" x14ac:dyDescent="0.25">
      <c r="AS98" t="str">
        <f t="shared" si="5"/>
        <v/>
      </c>
      <c r="AT98" s="1" t="str">
        <f t="shared" si="6"/>
        <v/>
      </c>
      <c r="AU98" s="1" t="str">
        <f t="shared" si="7"/>
        <v/>
      </c>
      <c r="AV98" s="1" t="e">
        <f t="shared" si="8"/>
        <v>#VALUE!</v>
      </c>
      <c r="AW98" s="1" t="str">
        <f t="shared" si="9"/>
        <v/>
      </c>
    </row>
    <row r="99" spans="45:49" hidden="1" x14ac:dyDescent="0.25">
      <c r="AS99" t="str">
        <f t="shared" si="5"/>
        <v/>
      </c>
      <c r="AT99" s="1" t="str">
        <f t="shared" si="6"/>
        <v/>
      </c>
      <c r="AU99" s="1" t="str">
        <f t="shared" si="7"/>
        <v/>
      </c>
      <c r="AV99" s="1" t="e">
        <f t="shared" si="8"/>
        <v>#VALUE!</v>
      </c>
      <c r="AW99" s="1" t="str">
        <f t="shared" si="9"/>
        <v/>
      </c>
    </row>
    <row r="100" spans="45:49" hidden="1" x14ac:dyDescent="0.25">
      <c r="AS100" t="str">
        <f t="shared" si="5"/>
        <v/>
      </c>
      <c r="AT100" s="1" t="str">
        <f t="shared" si="6"/>
        <v/>
      </c>
      <c r="AU100" s="1" t="str">
        <f t="shared" si="7"/>
        <v/>
      </c>
      <c r="AV100" s="1" t="e">
        <f t="shared" si="8"/>
        <v>#VALUE!</v>
      </c>
      <c r="AW100" s="1" t="str">
        <f t="shared" si="9"/>
        <v/>
      </c>
    </row>
    <row r="101" spans="45:49" hidden="1" x14ac:dyDescent="0.25">
      <c r="AS101" t="str">
        <f t="shared" si="5"/>
        <v/>
      </c>
      <c r="AT101" s="1" t="str">
        <f t="shared" si="6"/>
        <v/>
      </c>
      <c r="AU101" s="1" t="str">
        <f t="shared" si="7"/>
        <v/>
      </c>
      <c r="AV101" s="1" t="e">
        <f t="shared" si="8"/>
        <v>#VALUE!</v>
      </c>
      <c r="AW101" s="1" t="str">
        <f t="shared" si="9"/>
        <v/>
      </c>
    </row>
    <row r="102" spans="45:49" hidden="1" x14ac:dyDescent="0.25">
      <c r="AS102" t="str">
        <f t="shared" si="5"/>
        <v/>
      </c>
      <c r="AT102" s="1" t="str">
        <f t="shared" si="6"/>
        <v/>
      </c>
      <c r="AU102" s="1" t="str">
        <f t="shared" si="7"/>
        <v/>
      </c>
      <c r="AV102" s="1" t="e">
        <f t="shared" si="8"/>
        <v>#VALUE!</v>
      </c>
      <c r="AW102" s="1" t="str">
        <f t="shared" si="9"/>
        <v/>
      </c>
    </row>
    <row r="103" spans="45:49" hidden="1" x14ac:dyDescent="0.25">
      <c r="AS103" t="str">
        <f t="shared" si="5"/>
        <v/>
      </c>
      <c r="AT103" s="1" t="str">
        <f t="shared" si="6"/>
        <v/>
      </c>
      <c r="AU103" s="1" t="str">
        <f t="shared" si="7"/>
        <v/>
      </c>
      <c r="AV103" s="1" t="e">
        <f t="shared" si="8"/>
        <v>#VALUE!</v>
      </c>
      <c r="AW103" s="1" t="str">
        <f t="shared" si="9"/>
        <v/>
      </c>
    </row>
    <row r="104" spans="45:49" hidden="1" x14ac:dyDescent="0.25">
      <c r="AS104" t="str">
        <f t="shared" si="5"/>
        <v/>
      </c>
      <c r="AT104" s="1" t="str">
        <f t="shared" si="6"/>
        <v/>
      </c>
      <c r="AU104" s="1" t="str">
        <f t="shared" si="7"/>
        <v/>
      </c>
      <c r="AV104" s="1" t="e">
        <f t="shared" si="8"/>
        <v>#VALUE!</v>
      </c>
      <c r="AW104" s="1" t="str">
        <f t="shared" si="9"/>
        <v/>
      </c>
    </row>
    <row r="105" spans="45:49" hidden="1" x14ac:dyDescent="0.25">
      <c r="AS105" t="str">
        <f t="shared" si="5"/>
        <v/>
      </c>
      <c r="AT105" s="1" t="str">
        <f t="shared" si="6"/>
        <v/>
      </c>
      <c r="AU105" s="1" t="str">
        <f t="shared" si="7"/>
        <v/>
      </c>
      <c r="AV105" s="1" t="e">
        <f t="shared" si="8"/>
        <v>#VALUE!</v>
      </c>
      <c r="AW105" s="1" t="str">
        <f t="shared" si="9"/>
        <v/>
      </c>
    </row>
    <row r="106" spans="45:49" hidden="1" x14ac:dyDescent="0.25">
      <c r="AS106" t="str">
        <f t="shared" si="5"/>
        <v/>
      </c>
      <c r="AT106" s="1" t="str">
        <f t="shared" si="6"/>
        <v/>
      </c>
      <c r="AU106" s="1" t="str">
        <f t="shared" si="7"/>
        <v/>
      </c>
      <c r="AV106" s="1" t="e">
        <f t="shared" si="8"/>
        <v>#VALUE!</v>
      </c>
      <c r="AW106" s="1" t="str">
        <f t="shared" si="9"/>
        <v/>
      </c>
    </row>
    <row r="107" spans="45:49" hidden="1" x14ac:dyDescent="0.25">
      <c r="AS107" t="str">
        <f t="shared" si="5"/>
        <v/>
      </c>
      <c r="AT107" s="1" t="str">
        <f t="shared" si="6"/>
        <v/>
      </c>
      <c r="AU107" s="1" t="str">
        <f t="shared" si="7"/>
        <v/>
      </c>
      <c r="AV107" s="1" t="e">
        <f t="shared" si="8"/>
        <v>#VALUE!</v>
      </c>
      <c r="AW107" s="1" t="str">
        <f t="shared" si="9"/>
        <v/>
      </c>
    </row>
    <row r="108" spans="45:49" hidden="1" x14ac:dyDescent="0.25">
      <c r="AS108" t="str">
        <f t="shared" si="5"/>
        <v/>
      </c>
      <c r="AT108" s="1" t="str">
        <f t="shared" si="6"/>
        <v/>
      </c>
      <c r="AU108" s="1" t="str">
        <f t="shared" si="7"/>
        <v/>
      </c>
      <c r="AV108" s="1" t="e">
        <f t="shared" si="8"/>
        <v>#VALUE!</v>
      </c>
      <c r="AW108" s="1" t="str">
        <f t="shared" si="9"/>
        <v/>
      </c>
    </row>
    <row r="109" spans="45:49" hidden="1" x14ac:dyDescent="0.25">
      <c r="AS109" t="str">
        <f t="shared" si="5"/>
        <v/>
      </c>
      <c r="AT109" s="1" t="str">
        <f t="shared" si="6"/>
        <v/>
      </c>
      <c r="AU109" s="1" t="str">
        <f t="shared" si="7"/>
        <v/>
      </c>
      <c r="AV109" s="1" t="e">
        <f t="shared" si="8"/>
        <v>#VALUE!</v>
      </c>
      <c r="AW109" s="1" t="str">
        <f t="shared" si="9"/>
        <v/>
      </c>
    </row>
    <row r="110" spans="45:49" hidden="1" x14ac:dyDescent="0.25">
      <c r="AS110" t="str">
        <f t="shared" si="5"/>
        <v/>
      </c>
      <c r="AT110" s="1" t="str">
        <f t="shared" si="6"/>
        <v/>
      </c>
      <c r="AU110" s="1" t="str">
        <f t="shared" si="7"/>
        <v/>
      </c>
      <c r="AV110" s="1" t="e">
        <f t="shared" si="8"/>
        <v>#VALUE!</v>
      </c>
      <c r="AW110" s="1" t="str">
        <f t="shared" si="9"/>
        <v/>
      </c>
    </row>
    <row r="111" spans="45:49" hidden="1" x14ac:dyDescent="0.25">
      <c r="AS111" t="str">
        <f t="shared" si="5"/>
        <v/>
      </c>
      <c r="AT111" s="1" t="str">
        <f t="shared" si="6"/>
        <v/>
      </c>
      <c r="AU111" s="1" t="str">
        <f t="shared" si="7"/>
        <v/>
      </c>
      <c r="AV111" s="1" t="e">
        <f t="shared" si="8"/>
        <v>#VALUE!</v>
      </c>
      <c r="AW111" s="1" t="str">
        <f t="shared" si="9"/>
        <v/>
      </c>
    </row>
    <row r="112" spans="45:49" hidden="1" x14ac:dyDescent="0.25">
      <c r="AS112" t="str">
        <f t="shared" si="5"/>
        <v/>
      </c>
      <c r="AT112" s="1" t="str">
        <f t="shared" si="6"/>
        <v/>
      </c>
      <c r="AU112" s="1" t="str">
        <f t="shared" si="7"/>
        <v/>
      </c>
      <c r="AV112" s="1" t="e">
        <f t="shared" si="8"/>
        <v>#VALUE!</v>
      </c>
      <c r="AW112" s="1" t="str">
        <f t="shared" si="9"/>
        <v/>
      </c>
    </row>
    <row r="113" spans="45:49" hidden="1" x14ac:dyDescent="0.25">
      <c r="AS113" t="str">
        <f t="shared" si="5"/>
        <v/>
      </c>
      <c r="AT113" s="1" t="str">
        <f t="shared" si="6"/>
        <v/>
      </c>
      <c r="AU113" s="1" t="str">
        <f t="shared" si="7"/>
        <v/>
      </c>
      <c r="AV113" s="1" t="e">
        <f t="shared" si="8"/>
        <v>#VALUE!</v>
      </c>
      <c r="AW113" s="1" t="str">
        <f t="shared" si="9"/>
        <v/>
      </c>
    </row>
    <row r="114" spans="45:49" hidden="1" x14ac:dyDescent="0.25">
      <c r="AS114" t="str">
        <f t="shared" si="5"/>
        <v/>
      </c>
      <c r="AT114" s="1" t="str">
        <f t="shared" si="6"/>
        <v/>
      </c>
      <c r="AU114" s="1" t="str">
        <f t="shared" si="7"/>
        <v/>
      </c>
      <c r="AV114" s="1" t="e">
        <f t="shared" si="8"/>
        <v>#VALUE!</v>
      </c>
      <c r="AW114" s="1" t="str">
        <f t="shared" si="9"/>
        <v/>
      </c>
    </row>
    <row r="115" spans="45:49" hidden="1" x14ac:dyDescent="0.25">
      <c r="AS115" t="str">
        <f t="shared" si="5"/>
        <v/>
      </c>
      <c r="AT115" s="1" t="str">
        <f t="shared" si="6"/>
        <v/>
      </c>
      <c r="AU115" s="1" t="str">
        <f t="shared" si="7"/>
        <v/>
      </c>
      <c r="AV115" s="1" t="e">
        <f t="shared" si="8"/>
        <v>#VALUE!</v>
      </c>
      <c r="AW115" s="1" t="str">
        <f t="shared" si="9"/>
        <v/>
      </c>
    </row>
    <row r="116" spans="45:49" hidden="1" x14ac:dyDescent="0.25">
      <c r="AS116" t="str">
        <f t="shared" si="5"/>
        <v/>
      </c>
      <c r="AT116" s="1" t="str">
        <f t="shared" si="6"/>
        <v/>
      </c>
      <c r="AU116" s="1" t="str">
        <f t="shared" si="7"/>
        <v/>
      </c>
      <c r="AV116" s="1" t="e">
        <f t="shared" si="8"/>
        <v>#VALUE!</v>
      </c>
      <c r="AW116" s="1" t="str">
        <f t="shared" si="9"/>
        <v/>
      </c>
    </row>
    <row r="117" spans="45:49" hidden="1" x14ac:dyDescent="0.25">
      <c r="AS117" t="str">
        <f t="shared" si="5"/>
        <v/>
      </c>
      <c r="AT117" s="1" t="str">
        <f t="shared" si="6"/>
        <v/>
      </c>
      <c r="AU117" s="1" t="str">
        <f t="shared" si="7"/>
        <v/>
      </c>
      <c r="AV117" s="1" t="e">
        <f t="shared" si="8"/>
        <v>#VALUE!</v>
      </c>
      <c r="AW117" s="1" t="str">
        <f t="shared" si="9"/>
        <v/>
      </c>
    </row>
    <row r="118" spans="45:49" hidden="1" x14ac:dyDescent="0.25">
      <c r="AS118" t="str">
        <f t="shared" si="5"/>
        <v/>
      </c>
      <c r="AT118" s="1" t="str">
        <f t="shared" si="6"/>
        <v/>
      </c>
      <c r="AU118" s="1" t="str">
        <f t="shared" si="7"/>
        <v/>
      </c>
      <c r="AV118" s="1" t="e">
        <f t="shared" si="8"/>
        <v>#VALUE!</v>
      </c>
      <c r="AW118" s="1" t="str">
        <f t="shared" si="9"/>
        <v/>
      </c>
    </row>
    <row r="119" spans="45:49" hidden="1" x14ac:dyDescent="0.25">
      <c r="AS119" t="str">
        <f t="shared" si="5"/>
        <v/>
      </c>
      <c r="AT119" s="1" t="str">
        <f t="shared" si="6"/>
        <v/>
      </c>
      <c r="AU119" s="1" t="str">
        <f t="shared" si="7"/>
        <v/>
      </c>
      <c r="AV119" s="1" t="e">
        <f t="shared" si="8"/>
        <v>#VALUE!</v>
      </c>
      <c r="AW119" s="1" t="str">
        <f t="shared" si="9"/>
        <v/>
      </c>
    </row>
    <row r="120" spans="45:49" hidden="1" x14ac:dyDescent="0.25">
      <c r="AS120" t="str">
        <f t="shared" si="5"/>
        <v/>
      </c>
      <c r="AT120" s="1" t="str">
        <f t="shared" si="6"/>
        <v/>
      </c>
      <c r="AU120" s="1" t="str">
        <f t="shared" si="7"/>
        <v/>
      </c>
      <c r="AV120" s="1" t="e">
        <f t="shared" si="8"/>
        <v>#VALUE!</v>
      </c>
      <c r="AW120" s="1" t="str">
        <f t="shared" si="9"/>
        <v/>
      </c>
    </row>
    <row r="121" spans="45:49" hidden="1" x14ac:dyDescent="0.25">
      <c r="AS121" t="str">
        <f t="shared" si="5"/>
        <v/>
      </c>
      <c r="AT121" s="1" t="str">
        <f t="shared" si="6"/>
        <v/>
      </c>
      <c r="AU121" s="1" t="str">
        <f t="shared" si="7"/>
        <v/>
      </c>
      <c r="AV121" s="1" t="e">
        <f t="shared" si="8"/>
        <v>#VALUE!</v>
      </c>
      <c r="AW121" s="1" t="str">
        <f t="shared" si="9"/>
        <v/>
      </c>
    </row>
    <row r="122" spans="45:49" hidden="1" x14ac:dyDescent="0.25">
      <c r="AS122" t="str">
        <f t="shared" si="5"/>
        <v/>
      </c>
      <c r="AT122" s="1" t="str">
        <f t="shared" si="6"/>
        <v/>
      </c>
      <c r="AU122" s="1" t="str">
        <f t="shared" si="7"/>
        <v/>
      </c>
      <c r="AV122" s="1" t="e">
        <f t="shared" si="8"/>
        <v>#VALUE!</v>
      </c>
      <c r="AW122" s="1" t="str">
        <f t="shared" si="9"/>
        <v/>
      </c>
    </row>
    <row r="123" spans="45:49" hidden="1" x14ac:dyDescent="0.25">
      <c r="AS123" t="str">
        <f t="shared" si="5"/>
        <v/>
      </c>
      <c r="AT123" s="1" t="str">
        <f t="shared" si="6"/>
        <v/>
      </c>
      <c r="AU123" s="1" t="str">
        <f t="shared" si="7"/>
        <v/>
      </c>
      <c r="AV123" s="1" t="e">
        <f t="shared" si="8"/>
        <v>#VALUE!</v>
      </c>
      <c r="AW123" s="1" t="str">
        <f t="shared" si="9"/>
        <v/>
      </c>
    </row>
    <row r="124" spans="45:49" hidden="1" x14ac:dyDescent="0.25">
      <c r="AS124" t="str">
        <f t="shared" si="5"/>
        <v/>
      </c>
      <c r="AT124" s="1" t="str">
        <f t="shared" si="6"/>
        <v/>
      </c>
      <c r="AU124" s="1" t="str">
        <f t="shared" si="7"/>
        <v/>
      </c>
      <c r="AV124" s="1" t="e">
        <f t="shared" si="8"/>
        <v>#VALUE!</v>
      </c>
      <c r="AW124" s="1" t="str">
        <f t="shared" si="9"/>
        <v/>
      </c>
    </row>
    <row r="125" spans="45:49" hidden="1" x14ac:dyDescent="0.25">
      <c r="AS125" t="str">
        <f t="shared" si="5"/>
        <v/>
      </c>
      <c r="AT125" s="1" t="str">
        <f t="shared" si="6"/>
        <v/>
      </c>
      <c r="AU125" s="1" t="str">
        <f t="shared" si="7"/>
        <v/>
      </c>
      <c r="AV125" s="1" t="e">
        <f t="shared" si="8"/>
        <v>#VALUE!</v>
      </c>
      <c r="AW125" s="1" t="str">
        <f t="shared" si="9"/>
        <v/>
      </c>
    </row>
    <row r="126" spans="45:49" hidden="1" x14ac:dyDescent="0.25">
      <c r="AS126" t="str">
        <f t="shared" si="5"/>
        <v/>
      </c>
      <c r="AT126" s="1" t="str">
        <f t="shared" si="6"/>
        <v/>
      </c>
      <c r="AU126" s="1" t="str">
        <f t="shared" si="7"/>
        <v/>
      </c>
      <c r="AV126" s="1" t="e">
        <f t="shared" si="8"/>
        <v>#VALUE!</v>
      </c>
      <c r="AW126" s="1" t="str">
        <f t="shared" si="9"/>
        <v/>
      </c>
    </row>
    <row r="127" spans="45:49" hidden="1" x14ac:dyDescent="0.25">
      <c r="AS127" t="str">
        <f t="shared" si="5"/>
        <v/>
      </c>
      <c r="AT127" s="1" t="str">
        <f t="shared" si="6"/>
        <v/>
      </c>
      <c r="AU127" s="1" t="str">
        <f t="shared" si="7"/>
        <v/>
      </c>
      <c r="AV127" s="1" t="e">
        <f t="shared" si="8"/>
        <v>#VALUE!</v>
      </c>
      <c r="AW127" s="1" t="str">
        <f t="shared" si="9"/>
        <v/>
      </c>
    </row>
    <row r="128" spans="45:49" hidden="1" x14ac:dyDescent="0.25">
      <c r="AS128" t="str">
        <f t="shared" si="5"/>
        <v/>
      </c>
      <c r="AT128" s="1" t="str">
        <f t="shared" si="6"/>
        <v/>
      </c>
      <c r="AU128" s="1" t="str">
        <f t="shared" si="7"/>
        <v/>
      </c>
      <c r="AV128" s="1" t="e">
        <f t="shared" si="8"/>
        <v>#VALUE!</v>
      </c>
      <c r="AW128" s="1" t="str">
        <f t="shared" si="9"/>
        <v/>
      </c>
    </row>
    <row r="129" spans="45:49" hidden="1" x14ac:dyDescent="0.25">
      <c r="AS129" t="str">
        <f t="shared" si="5"/>
        <v/>
      </c>
      <c r="AT129" s="1" t="str">
        <f t="shared" si="6"/>
        <v/>
      </c>
      <c r="AU129" s="1" t="str">
        <f t="shared" si="7"/>
        <v/>
      </c>
      <c r="AV129" s="1" t="e">
        <f t="shared" si="8"/>
        <v>#VALUE!</v>
      </c>
      <c r="AW129" s="1" t="str">
        <f t="shared" si="9"/>
        <v/>
      </c>
    </row>
    <row r="130" spans="45:49" hidden="1" x14ac:dyDescent="0.25">
      <c r="AS130" t="str">
        <f t="shared" si="5"/>
        <v/>
      </c>
      <c r="AT130" s="1" t="str">
        <f t="shared" si="6"/>
        <v/>
      </c>
      <c r="AU130" s="1" t="str">
        <f t="shared" si="7"/>
        <v/>
      </c>
      <c r="AV130" s="1" t="e">
        <f t="shared" si="8"/>
        <v>#VALUE!</v>
      </c>
      <c r="AW130" s="1" t="str">
        <f t="shared" si="9"/>
        <v/>
      </c>
    </row>
    <row r="131" spans="45:49" hidden="1" x14ac:dyDescent="0.25">
      <c r="AS131" t="str">
        <f t="shared" ref="AS131:AS194" si="10">+IF(AR131="","",DAY(AR131))</f>
        <v/>
      </c>
      <c r="AT131" s="1" t="str">
        <f t="shared" ref="AT131:AT194" si="11">+IF(AS131="","",IF(LEN(AS131)&lt;2,"0"&amp;AS131,AS131))</f>
        <v/>
      </c>
      <c r="AU131" s="1" t="str">
        <f t="shared" ref="AU131:AU194" si="12">+IF(AR131="","",MONTH(AR131))</f>
        <v/>
      </c>
      <c r="AV131" s="1" t="e">
        <f t="shared" ref="AV131:AV194" si="13">+VALUE(IF(AS131="","",IF(LEN(AU131)&lt;2,"0"&amp;AU131,AU131)))</f>
        <v>#VALUE!</v>
      </c>
      <c r="AW131" s="1" t="str">
        <f t="shared" ref="AW131:AW194" si="14">+IF(AR131="","",YEAR(AR131))</f>
        <v/>
      </c>
    </row>
    <row r="132" spans="45:49" hidden="1" x14ac:dyDescent="0.25">
      <c r="AS132" t="str">
        <f t="shared" si="10"/>
        <v/>
      </c>
      <c r="AT132" s="1" t="str">
        <f t="shared" si="11"/>
        <v/>
      </c>
      <c r="AU132" s="1" t="str">
        <f t="shared" si="12"/>
        <v/>
      </c>
      <c r="AV132" s="1" t="e">
        <f t="shared" si="13"/>
        <v>#VALUE!</v>
      </c>
      <c r="AW132" s="1" t="str">
        <f t="shared" si="14"/>
        <v/>
      </c>
    </row>
    <row r="133" spans="45:49" hidden="1" x14ac:dyDescent="0.25">
      <c r="AS133" t="str">
        <f t="shared" si="10"/>
        <v/>
      </c>
      <c r="AT133" s="1" t="str">
        <f t="shared" si="11"/>
        <v/>
      </c>
      <c r="AU133" s="1" t="str">
        <f t="shared" si="12"/>
        <v/>
      </c>
      <c r="AV133" s="1" t="e">
        <f t="shared" si="13"/>
        <v>#VALUE!</v>
      </c>
      <c r="AW133" s="1" t="str">
        <f t="shared" si="14"/>
        <v/>
      </c>
    </row>
    <row r="134" spans="45:49" hidden="1" x14ac:dyDescent="0.25">
      <c r="AS134" t="str">
        <f t="shared" si="10"/>
        <v/>
      </c>
      <c r="AT134" s="1" t="str">
        <f t="shared" si="11"/>
        <v/>
      </c>
      <c r="AU134" s="1" t="str">
        <f t="shared" si="12"/>
        <v/>
      </c>
      <c r="AV134" s="1" t="e">
        <f t="shared" si="13"/>
        <v>#VALUE!</v>
      </c>
      <c r="AW134" s="1" t="str">
        <f t="shared" si="14"/>
        <v/>
      </c>
    </row>
    <row r="135" spans="45:49" hidden="1" x14ac:dyDescent="0.25">
      <c r="AS135" t="str">
        <f t="shared" si="10"/>
        <v/>
      </c>
      <c r="AT135" s="1" t="str">
        <f t="shared" si="11"/>
        <v/>
      </c>
      <c r="AU135" s="1" t="str">
        <f t="shared" si="12"/>
        <v/>
      </c>
      <c r="AV135" s="1" t="e">
        <f t="shared" si="13"/>
        <v>#VALUE!</v>
      </c>
      <c r="AW135" s="1" t="str">
        <f t="shared" si="14"/>
        <v/>
      </c>
    </row>
    <row r="136" spans="45:49" hidden="1" x14ac:dyDescent="0.25">
      <c r="AS136" t="str">
        <f t="shared" si="10"/>
        <v/>
      </c>
      <c r="AT136" s="1" t="str">
        <f t="shared" si="11"/>
        <v/>
      </c>
      <c r="AU136" s="1" t="str">
        <f t="shared" si="12"/>
        <v/>
      </c>
      <c r="AV136" s="1" t="e">
        <f t="shared" si="13"/>
        <v>#VALUE!</v>
      </c>
      <c r="AW136" s="1" t="str">
        <f t="shared" si="14"/>
        <v/>
      </c>
    </row>
    <row r="137" spans="45:49" hidden="1" x14ac:dyDescent="0.25">
      <c r="AS137" t="str">
        <f t="shared" si="10"/>
        <v/>
      </c>
      <c r="AT137" s="1" t="str">
        <f t="shared" si="11"/>
        <v/>
      </c>
      <c r="AU137" s="1" t="str">
        <f t="shared" si="12"/>
        <v/>
      </c>
      <c r="AV137" s="1" t="e">
        <f t="shared" si="13"/>
        <v>#VALUE!</v>
      </c>
      <c r="AW137" s="1" t="str">
        <f t="shared" si="14"/>
        <v/>
      </c>
    </row>
    <row r="138" spans="45:49" hidden="1" x14ac:dyDescent="0.25">
      <c r="AS138" t="str">
        <f t="shared" si="10"/>
        <v/>
      </c>
      <c r="AT138" s="1" t="str">
        <f t="shared" si="11"/>
        <v/>
      </c>
      <c r="AU138" s="1" t="str">
        <f t="shared" si="12"/>
        <v/>
      </c>
      <c r="AV138" s="1" t="e">
        <f t="shared" si="13"/>
        <v>#VALUE!</v>
      </c>
      <c r="AW138" s="1" t="str">
        <f t="shared" si="14"/>
        <v/>
      </c>
    </row>
    <row r="139" spans="45:49" hidden="1" x14ac:dyDescent="0.25">
      <c r="AS139" t="str">
        <f t="shared" si="10"/>
        <v/>
      </c>
      <c r="AT139" s="1" t="str">
        <f t="shared" si="11"/>
        <v/>
      </c>
      <c r="AU139" s="1" t="str">
        <f t="shared" si="12"/>
        <v/>
      </c>
      <c r="AV139" s="1" t="e">
        <f t="shared" si="13"/>
        <v>#VALUE!</v>
      </c>
      <c r="AW139" s="1" t="str">
        <f t="shared" si="14"/>
        <v/>
      </c>
    </row>
    <row r="140" spans="45:49" hidden="1" x14ac:dyDescent="0.25">
      <c r="AS140" t="str">
        <f t="shared" si="10"/>
        <v/>
      </c>
      <c r="AT140" s="1" t="str">
        <f t="shared" si="11"/>
        <v/>
      </c>
      <c r="AU140" s="1" t="str">
        <f t="shared" si="12"/>
        <v/>
      </c>
      <c r="AV140" s="1" t="e">
        <f t="shared" si="13"/>
        <v>#VALUE!</v>
      </c>
      <c r="AW140" s="1" t="str">
        <f t="shared" si="14"/>
        <v/>
      </c>
    </row>
    <row r="141" spans="45:49" hidden="1" x14ac:dyDescent="0.25">
      <c r="AS141" t="str">
        <f t="shared" si="10"/>
        <v/>
      </c>
      <c r="AT141" s="1" t="str">
        <f t="shared" si="11"/>
        <v/>
      </c>
      <c r="AU141" s="1" t="str">
        <f t="shared" si="12"/>
        <v/>
      </c>
      <c r="AV141" s="1" t="e">
        <f t="shared" si="13"/>
        <v>#VALUE!</v>
      </c>
      <c r="AW141" s="1" t="str">
        <f t="shared" si="14"/>
        <v/>
      </c>
    </row>
    <row r="142" spans="45:49" hidden="1" x14ac:dyDescent="0.25">
      <c r="AS142" t="str">
        <f t="shared" si="10"/>
        <v/>
      </c>
      <c r="AT142" s="1" t="str">
        <f t="shared" si="11"/>
        <v/>
      </c>
      <c r="AU142" s="1" t="str">
        <f t="shared" si="12"/>
        <v/>
      </c>
      <c r="AV142" s="1" t="e">
        <f t="shared" si="13"/>
        <v>#VALUE!</v>
      </c>
      <c r="AW142" s="1" t="str">
        <f t="shared" si="14"/>
        <v/>
      </c>
    </row>
    <row r="143" spans="45:49" hidden="1" x14ac:dyDescent="0.25">
      <c r="AS143" t="str">
        <f t="shared" si="10"/>
        <v/>
      </c>
      <c r="AT143" s="1" t="str">
        <f t="shared" si="11"/>
        <v/>
      </c>
      <c r="AU143" s="1" t="str">
        <f t="shared" si="12"/>
        <v/>
      </c>
      <c r="AV143" s="1" t="e">
        <f t="shared" si="13"/>
        <v>#VALUE!</v>
      </c>
      <c r="AW143" s="1" t="str">
        <f t="shared" si="14"/>
        <v/>
      </c>
    </row>
    <row r="144" spans="45:49" hidden="1" x14ac:dyDescent="0.25">
      <c r="AS144" t="str">
        <f t="shared" si="10"/>
        <v/>
      </c>
      <c r="AT144" s="1" t="str">
        <f t="shared" si="11"/>
        <v/>
      </c>
      <c r="AU144" s="1" t="str">
        <f t="shared" si="12"/>
        <v/>
      </c>
      <c r="AV144" s="1" t="e">
        <f t="shared" si="13"/>
        <v>#VALUE!</v>
      </c>
      <c r="AW144" s="1" t="str">
        <f t="shared" si="14"/>
        <v/>
      </c>
    </row>
    <row r="145" spans="45:49" hidden="1" x14ac:dyDescent="0.25">
      <c r="AS145" t="str">
        <f t="shared" si="10"/>
        <v/>
      </c>
      <c r="AT145" s="1" t="str">
        <f t="shared" si="11"/>
        <v/>
      </c>
      <c r="AU145" s="1" t="str">
        <f t="shared" si="12"/>
        <v/>
      </c>
      <c r="AV145" s="1" t="e">
        <f t="shared" si="13"/>
        <v>#VALUE!</v>
      </c>
      <c r="AW145" s="1" t="str">
        <f t="shared" si="14"/>
        <v/>
      </c>
    </row>
    <row r="146" spans="45:49" hidden="1" x14ac:dyDescent="0.25">
      <c r="AS146" t="str">
        <f t="shared" si="10"/>
        <v/>
      </c>
      <c r="AT146" s="1" t="str">
        <f t="shared" si="11"/>
        <v/>
      </c>
      <c r="AU146" s="1" t="str">
        <f t="shared" si="12"/>
        <v/>
      </c>
      <c r="AV146" s="1" t="e">
        <f t="shared" si="13"/>
        <v>#VALUE!</v>
      </c>
      <c r="AW146" s="1" t="str">
        <f t="shared" si="14"/>
        <v/>
      </c>
    </row>
    <row r="147" spans="45:49" hidden="1" x14ac:dyDescent="0.25">
      <c r="AS147" t="str">
        <f t="shared" si="10"/>
        <v/>
      </c>
      <c r="AT147" s="1" t="str">
        <f t="shared" si="11"/>
        <v/>
      </c>
      <c r="AU147" s="1" t="str">
        <f t="shared" si="12"/>
        <v/>
      </c>
      <c r="AV147" s="1" t="e">
        <f t="shared" si="13"/>
        <v>#VALUE!</v>
      </c>
      <c r="AW147" s="1" t="str">
        <f t="shared" si="14"/>
        <v/>
      </c>
    </row>
    <row r="148" spans="45:49" hidden="1" x14ac:dyDescent="0.25">
      <c r="AS148" t="str">
        <f t="shared" si="10"/>
        <v/>
      </c>
      <c r="AT148" s="1" t="str">
        <f t="shared" si="11"/>
        <v/>
      </c>
      <c r="AU148" s="1" t="str">
        <f t="shared" si="12"/>
        <v/>
      </c>
      <c r="AV148" s="1" t="e">
        <f t="shared" si="13"/>
        <v>#VALUE!</v>
      </c>
      <c r="AW148" s="1" t="str">
        <f t="shared" si="14"/>
        <v/>
      </c>
    </row>
    <row r="149" spans="45:49" hidden="1" x14ac:dyDescent="0.25">
      <c r="AS149" t="str">
        <f t="shared" si="10"/>
        <v/>
      </c>
      <c r="AT149" s="1" t="str">
        <f t="shared" si="11"/>
        <v/>
      </c>
      <c r="AU149" s="1" t="str">
        <f t="shared" si="12"/>
        <v/>
      </c>
      <c r="AV149" s="1" t="e">
        <f t="shared" si="13"/>
        <v>#VALUE!</v>
      </c>
      <c r="AW149" s="1" t="str">
        <f t="shared" si="14"/>
        <v/>
      </c>
    </row>
    <row r="150" spans="45:49" hidden="1" x14ac:dyDescent="0.25">
      <c r="AS150" t="str">
        <f t="shared" si="10"/>
        <v/>
      </c>
      <c r="AT150" s="1" t="str">
        <f t="shared" si="11"/>
        <v/>
      </c>
      <c r="AU150" s="1" t="str">
        <f t="shared" si="12"/>
        <v/>
      </c>
      <c r="AV150" s="1" t="e">
        <f t="shared" si="13"/>
        <v>#VALUE!</v>
      </c>
      <c r="AW150" s="1" t="str">
        <f t="shared" si="14"/>
        <v/>
      </c>
    </row>
    <row r="151" spans="45:49" hidden="1" x14ac:dyDescent="0.25">
      <c r="AS151" t="str">
        <f t="shared" si="10"/>
        <v/>
      </c>
      <c r="AT151" s="1" t="str">
        <f t="shared" si="11"/>
        <v/>
      </c>
      <c r="AU151" s="1" t="str">
        <f t="shared" si="12"/>
        <v/>
      </c>
      <c r="AV151" s="1" t="e">
        <f t="shared" si="13"/>
        <v>#VALUE!</v>
      </c>
      <c r="AW151" s="1" t="str">
        <f t="shared" si="14"/>
        <v/>
      </c>
    </row>
    <row r="152" spans="45:49" hidden="1" x14ac:dyDescent="0.25">
      <c r="AS152" t="str">
        <f t="shared" si="10"/>
        <v/>
      </c>
      <c r="AT152" s="1" t="str">
        <f t="shared" si="11"/>
        <v/>
      </c>
      <c r="AU152" s="1" t="str">
        <f t="shared" si="12"/>
        <v/>
      </c>
      <c r="AV152" s="1" t="e">
        <f t="shared" si="13"/>
        <v>#VALUE!</v>
      </c>
      <c r="AW152" s="1" t="str">
        <f t="shared" si="14"/>
        <v/>
      </c>
    </row>
    <row r="153" spans="45:49" hidden="1" x14ac:dyDescent="0.25">
      <c r="AS153" t="str">
        <f t="shared" si="10"/>
        <v/>
      </c>
      <c r="AT153" s="1" t="str">
        <f t="shared" si="11"/>
        <v/>
      </c>
      <c r="AU153" s="1" t="str">
        <f t="shared" si="12"/>
        <v/>
      </c>
      <c r="AV153" s="1" t="e">
        <f t="shared" si="13"/>
        <v>#VALUE!</v>
      </c>
      <c r="AW153" s="1" t="str">
        <f t="shared" si="14"/>
        <v/>
      </c>
    </row>
    <row r="154" spans="45:49" hidden="1" x14ac:dyDescent="0.25">
      <c r="AS154" t="str">
        <f t="shared" si="10"/>
        <v/>
      </c>
      <c r="AT154" s="1" t="str">
        <f t="shared" si="11"/>
        <v/>
      </c>
      <c r="AU154" s="1" t="str">
        <f t="shared" si="12"/>
        <v/>
      </c>
      <c r="AV154" s="1" t="e">
        <f t="shared" si="13"/>
        <v>#VALUE!</v>
      </c>
      <c r="AW154" s="1" t="str">
        <f t="shared" si="14"/>
        <v/>
      </c>
    </row>
    <row r="155" spans="45:49" hidden="1" x14ac:dyDescent="0.25">
      <c r="AS155" t="str">
        <f t="shared" si="10"/>
        <v/>
      </c>
      <c r="AT155" s="1" t="str">
        <f t="shared" si="11"/>
        <v/>
      </c>
      <c r="AU155" s="1" t="str">
        <f t="shared" si="12"/>
        <v/>
      </c>
      <c r="AV155" s="1" t="e">
        <f t="shared" si="13"/>
        <v>#VALUE!</v>
      </c>
      <c r="AW155" s="1" t="str">
        <f t="shared" si="14"/>
        <v/>
      </c>
    </row>
    <row r="156" spans="45:49" hidden="1" x14ac:dyDescent="0.25">
      <c r="AS156" t="str">
        <f t="shared" si="10"/>
        <v/>
      </c>
      <c r="AT156" s="1" t="str">
        <f t="shared" si="11"/>
        <v/>
      </c>
      <c r="AU156" s="1" t="str">
        <f t="shared" si="12"/>
        <v/>
      </c>
      <c r="AV156" s="1" t="e">
        <f t="shared" si="13"/>
        <v>#VALUE!</v>
      </c>
      <c r="AW156" s="1" t="str">
        <f t="shared" si="14"/>
        <v/>
      </c>
    </row>
    <row r="157" spans="45:49" hidden="1" x14ac:dyDescent="0.25">
      <c r="AS157" t="str">
        <f t="shared" si="10"/>
        <v/>
      </c>
      <c r="AT157" s="1" t="str">
        <f t="shared" si="11"/>
        <v/>
      </c>
      <c r="AU157" s="1" t="str">
        <f t="shared" si="12"/>
        <v/>
      </c>
      <c r="AV157" s="1" t="e">
        <f t="shared" si="13"/>
        <v>#VALUE!</v>
      </c>
      <c r="AW157" s="1" t="str">
        <f t="shared" si="14"/>
        <v/>
      </c>
    </row>
    <row r="158" spans="45:49" hidden="1" x14ac:dyDescent="0.25">
      <c r="AS158" t="str">
        <f t="shared" si="10"/>
        <v/>
      </c>
      <c r="AT158" s="1" t="str">
        <f t="shared" si="11"/>
        <v/>
      </c>
      <c r="AU158" s="1" t="str">
        <f t="shared" si="12"/>
        <v/>
      </c>
      <c r="AV158" s="1" t="e">
        <f t="shared" si="13"/>
        <v>#VALUE!</v>
      </c>
      <c r="AW158" s="1" t="str">
        <f t="shared" si="14"/>
        <v/>
      </c>
    </row>
    <row r="159" spans="45:49" hidden="1" x14ac:dyDescent="0.25">
      <c r="AS159" t="str">
        <f t="shared" si="10"/>
        <v/>
      </c>
      <c r="AT159" s="1" t="str">
        <f t="shared" si="11"/>
        <v/>
      </c>
      <c r="AU159" s="1" t="str">
        <f t="shared" si="12"/>
        <v/>
      </c>
      <c r="AV159" s="1" t="e">
        <f t="shared" si="13"/>
        <v>#VALUE!</v>
      </c>
      <c r="AW159" s="1" t="str">
        <f t="shared" si="14"/>
        <v/>
      </c>
    </row>
    <row r="160" spans="45:49" hidden="1" x14ac:dyDescent="0.25">
      <c r="AS160" t="str">
        <f t="shared" si="10"/>
        <v/>
      </c>
      <c r="AT160" s="1" t="str">
        <f t="shared" si="11"/>
        <v/>
      </c>
      <c r="AU160" s="1" t="str">
        <f t="shared" si="12"/>
        <v/>
      </c>
      <c r="AV160" s="1" t="e">
        <f t="shared" si="13"/>
        <v>#VALUE!</v>
      </c>
      <c r="AW160" s="1" t="str">
        <f t="shared" si="14"/>
        <v/>
      </c>
    </row>
    <row r="161" spans="45:49" hidden="1" x14ac:dyDescent="0.25">
      <c r="AS161" t="str">
        <f t="shared" si="10"/>
        <v/>
      </c>
      <c r="AT161" s="1" t="str">
        <f t="shared" si="11"/>
        <v/>
      </c>
      <c r="AU161" s="1" t="str">
        <f t="shared" si="12"/>
        <v/>
      </c>
      <c r="AV161" s="1" t="e">
        <f t="shared" si="13"/>
        <v>#VALUE!</v>
      </c>
      <c r="AW161" s="1" t="str">
        <f t="shared" si="14"/>
        <v/>
      </c>
    </row>
    <row r="162" spans="45:49" hidden="1" x14ac:dyDescent="0.25">
      <c r="AS162" t="str">
        <f t="shared" si="10"/>
        <v/>
      </c>
      <c r="AT162" s="1" t="str">
        <f t="shared" si="11"/>
        <v/>
      </c>
      <c r="AU162" s="1" t="str">
        <f t="shared" si="12"/>
        <v/>
      </c>
      <c r="AV162" s="1" t="e">
        <f t="shared" si="13"/>
        <v>#VALUE!</v>
      </c>
      <c r="AW162" s="1" t="str">
        <f t="shared" si="14"/>
        <v/>
      </c>
    </row>
    <row r="163" spans="45:49" hidden="1" x14ac:dyDescent="0.25">
      <c r="AS163" t="str">
        <f t="shared" si="10"/>
        <v/>
      </c>
      <c r="AT163" s="1" t="str">
        <f t="shared" si="11"/>
        <v/>
      </c>
      <c r="AU163" s="1" t="str">
        <f t="shared" si="12"/>
        <v/>
      </c>
      <c r="AV163" s="1" t="e">
        <f t="shared" si="13"/>
        <v>#VALUE!</v>
      </c>
      <c r="AW163" s="1" t="str">
        <f t="shared" si="14"/>
        <v/>
      </c>
    </row>
    <row r="164" spans="45:49" hidden="1" x14ac:dyDescent="0.25">
      <c r="AS164" t="str">
        <f t="shared" si="10"/>
        <v/>
      </c>
      <c r="AT164" s="1" t="str">
        <f t="shared" si="11"/>
        <v/>
      </c>
      <c r="AU164" s="1" t="str">
        <f t="shared" si="12"/>
        <v/>
      </c>
      <c r="AV164" s="1" t="e">
        <f t="shared" si="13"/>
        <v>#VALUE!</v>
      </c>
      <c r="AW164" s="1" t="str">
        <f t="shared" si="14"/>
        <v/>
      </c>
    </row>
    <row r="165" spans="45:49" hidden="1" x14ac:dyDescent="0.25">
      <c r="AS165" t="str">
        <f t="shared" si="10"/>
        <v/>
      </c>
      <c r="AT165" s="1" t="str">
        <f t="shared" si="11"/>
        <v/>
      </c>
      <c r="AU165" s="1" t="str">
        <f t="shared" si="12"/>
        <v/>
      </c>
      <c r="AV165" s="1" t="e">
        <f t="shared" si="13"/>
        <v>#VALUE!</v>
      </c>
      <c r="AW165" s="1" t="str">
        <f t="shared" si="14"/>
        <v/>
      </c>
    </row>
    <row r="166" spans="45:49" hidden="1" x14ac:dyDescent="0.25">
      <c r="AS166" t="str">
        <f t="shared" si="10"/>
        <v/>
      </c>
      <c r="AT166" s="1" t="str">
        <f t="shared" si="11"/>
        <v/>
      </c>
      <c r="AU166" s="1" t="str">
        <f t="shared" si="12"/>
        <v/>
      </c>
      <c r="AV166" s="1" t="e">
        <f t="shared" si="13"/>
        <v>#VALUE!</v>
      </c>
      <c r="AW166" s="1" t="str">
        <f t="shared" si="14"/>
        <v/>
      </c>
    </row>
    <row r="167" spans="45:49" hidden="1" x14ac:dyDescent="0.25">
      <c r="AS167" t="str">
        <f t="shared" si="10"/>
        <v/>
      </c>
      <c r="AT167" s="1" t="str">
        <f t="shared" si="11"/>
        <v/>
      </c>
      <c r="AU167" s="1" t="str">
        <f t="shared" si="12"/>
        <v/>
      </c>
      <c r="AV167" s="1" t="e">
        <f t="shared" si="13"/>
        <v>#VALUE!</v>
      </c>
      <c r="AW167" s="1" t="str">
        <f t="shared" si="14"/>
        <v/>
      </c>
    </row>
    <row r="168" spans="45:49" hidden="1" x14ac:dyDescent="0.25">
      <c r="AS168" t="str">
        <f t="shared" si="10"/>
        <v/>
      </c>
      <c r="AT168" s="1" t="str">
        <f t="shared" si="11"/>
        <v/>
      </c>
      <c r="AU168" s="1" t="str">
        <f t="shared" si="12"/>
        <v/>
      </c>
      <c r="AV168" s="1" t="e">
        <f t="shared" si="13"/>
        <v>#VALUE!</v>
      </c>
      <c r="AW168" s="1" t="str">
        <f t="shared" si="14"/>
        <v/>
      </c>
    </row>
    <row r="169" spans="45:49" hidden="1" x14ac:dyDescent="0.25">
      <c r="AS169" t="str">
        <f t="shared" si="10"/>
        <v/>
      </c>
      <c r="AT169" s="1" t="str">
        <f t="shared" si="11"/>
        <v/>
      </c>
      <c r="AU169" s="1" t="str">
        <f t="shared" si="12"/>
        <v/>
      </c>
      <c r="AV169" s="1" t="e">
        <f t="shared" si="13"/>
        <v>#VALUE!</v>
      </c>
      <c r="AW169" s="1" t="str">
        <f t="shared" si="14"/>
        <v/>
      </c>
    </row>
    <row r="170" spans="45:49" hidden="1" x14ac:dyDescent="0.25">
      <c r="AS170" t="str">
        <f t="shared" si="10"/>
        <v/>
      </c>
      <c r="AT170" s="1" t="str">
        <f t="shared" si="11"/>
        <v/>
      </c>
      <c r="AU170" s="1" t="str">
        <f t="shared" si="12"/>
        <v/>
      </c>
      <c r="AV170" s="1" t="e">
        <f t="shared" si="13"/>
        <v>#VALUE!</v>
      </c>
      <c r="AW170" s="1" t="str">
        <f t="shared" si="14"/>
        <v/>
      </c>
    </row>
    <row r="171" spans="45:49" hidden="1" x14ac:dyDescent="0.25">
      <c r="AS171" t="str">
        <f t="shared" si="10"/>
        <v/>
      </c>
      <c r="AT171" s="1" t="str">
        <f t="shared" si="11"/>
        <v/>
      </c>
      <c r="AU171" s="1" t="str">
        <f t="shared" si="12"/>
        <v/>
      </c>
      <c r="AV171" s="1" t="e">
        <f t="shared" si="13"/>
        <v>#VALUE!</v>
      </c>
      <c r="AW171" s="1" t="str">
        <f t="shared" si="14"/>
        <v/>
      </c>
    </row>
    <row r="172" spans="45:49" hidden="1" x14ac:dyDescent="0.25">
      <c r="AS172" t="str">
        <f t="shared" si="10"/>
        <v/>
      </c>
      <c r="AT172" s="1" t="str">
        <f t="shared" si="11"/>
        <v/>
      </c>
      <c r="AU172" s="1" t="str">
        <f t="shared" si="12"/>
        <v/>
      </c>
      <c r="AV172" s="1" t="e">
        <f t="shared" si="13"/>
        <v>#VALUE!</v>
      </c>
      <c r="AW172" s="1" t="str">
        <f t="shared" si="14"/>
        <v/>
      </c>
    </row>
    <row r="173" spans="45:49" hidden="1" x14ac:dyDescent="0.25">
      <c r="AS173" t="str">
        <f t="shared" si="10"/>
        <v/>
      </c>
      <c r="AT173" s="1" t="str">
        <f t="shared" si="11"/>
        <v/>
      </c>
      <c r="AU173" s="1" t="str">
        <f t="shared" si="12"/>
        <v/>
      </c>
      <c r="AV173" s="1" t="e">
        <f t="shared" si="13"/>
        <v>#VALUE!</v>
      </c>
      <c r="AW173" s="1" t="str">
        <f t="shared" si="14"/>
        <v/>
      </c>
    </row>
    <row r="174" spans="45:49" hidden="1" x14ac:dyDescent="0.25">
      <c r="AS174" t="str">
        <f t="shared" si="10"/>
        <v/>
      </c>
      <c r="AT174" s="1" t="str">
        <f t="shared" si="11"/>
        <v/>
      </c>
      <c r="AU174" s="1" t="str">
        <f t="shared" si="12"/>
        <v/>
      </c>
      <c r="AV174" s="1" t="e">
        <f t="shared" si="13"/>
        <v>#VALUE!</v>
      </c>
      <c r="AW174" s="1" t="str">
        <f t="shared" si="14"/>
        <v/>
      </c>
    </row>
    <row r="175" spans="45:49" hidden="1" x14ac:dyDescent="0.25">
      <c r="AS175" t="str">
        <f t="shared" si="10"/>
        <v/>
      </c>
      <c r="AT175" s="1" t="str">
        <f t="shared" si="11"/>
        <v/>
      </c>
      <c r="AU175" s="1" t="str">
        <f t="shared" si="12"/>
        <v/>
      </c>
      <c r="AV175" s="1" t="e">
        <f t="shared" si="13"/>
        <v>#VALUE!</v>
      </c>
      <c r="AW175" s="1" t="str">
        <f t="shared" si="14"/>
        <v/>
      </c>
    </row>
    <row r="176" spans="45:49" hidden="1" x14ac:dyDescent="0.25">
      <c r="AS176" t="str">
        <f t="shared" si="10"/>
        <v/>
      </c>
      <c r="AT176" s="1" t="str">
        <f t="shared" si="11"/>
        <v/>
      </c>
      <c r="AU176" s="1" t="str">
        <f t="shared" si="12"/>
        <v/>
      </c>
      <c r="AV176" s="1" t="e">
        <f t="shared" si="13"/>
        <v>#VALUE!</v>
      </c>
      <c r="AW176" s="1" t="str">
        <f t="shared" si="14"/>
        <v/>
      </c>
    </row>
    <row r="177" spans="45:49" hidden="1" x14ac:dyDescent="0.25">
      <c r="AS177" t="str">
        <f t="shared" si="10"/>
        <v/>
      </c>
      <c r="AT177" s="1" t="str">
        <f t="shared" si="11"/>
        <v/>
      </c>
      <c r="AU177" s="1" t="str">
        <f t="shared" si="12"/>
        <v/>
      </c>
      <c r="AV177" s="1" t="e">
        <f t="shared" si="13"/>
        <v>#VALUE!</v>
      </c>
      <c r="AW177" s="1" t="str">
        <f t="shared" si="14"/>
        <v/>
      </c>
    </row>
    <row r="178" spans="45:49" hidden="1" x14ac:dyDescent="0.25">
      <c r="AS178" t="str">
        <f t="shared" si="10"/>
        <v/>
      </c>
      <c r="AT178" s="1" t="str">
        <f t="shared" si="11"/>
        <v/>
      </c>
      <c r="AU178" s="1" t="str">
        <f t="shared" si="12"/>
        <v/>
      </c>
      <c r="AV178" s="1" t="e">
        <f t="shared" si="13"/>
        <v>#VALUE!</v>
      </c>
      <c r="AW178" s="1" t="str">
        <f t="shared" si="14"/>
        <v/>
      </c>
    </row>
    <row r="179" spans="45:49" hidden="1" x14ac:dyDescent="0.25">
      <c r="AS179" t="str">
        <f t="shared" si="10"/>
        <v/>
      </c>
      <c r="AT179" s="1" t="str">
        <f t="shared" si="11"/>
        <v/>
      </c>
      <c r="AU179" s="1" t="str">
        <f t="shared" si="12"/>
        <v/>
      </c>
      <c r="AV179" s="1" t="e">
        <f t="shared" si="13"/>
        <v>#VALUE!</v>
      </c>
      <c r="AW179" s="1" t="str">
        <f t="shared" si="14"/>
        <v/>
      </c>
    </row>
    <row r="180" spans="45:49" hidden="1" x14ac:dyDescent="0.25">
      <c r="AS180" t="str">
        <f t="shared" si="10"/>
        <v/>
      </c>
      <c r="AT180" s="1" t="str">
        <f t="shared" si="11"/>
        <v/>
      </c>
      <c r="AU180" s="1" t="str">
        <f t="shared" si="12"/>
        <v/>
      </c>
      <c r="AV180" s="1" t="e">
        <f t="shared" si="13"/>
        <v>#VALUE!</v>
      </c>
      <c r="AW180" s="1" t="str">
        <f t="shared" si="14"/>
        <v/>
      </c>
    </row>
    <row r="181" spans="45:49" hidden="1" x14ac:dyDescent="0.25">
      <c r="AS181" t="str">
        <f t="shared" si="10"/>
        <v/>
      </c>
      <c r="AT181" s="1" t="str">
        <f t="shared" si="11"/>
        <v/>
      </c>
      <c r="AU181" s="1" t="str">
        <f t="shared" si="12"/>
        <v/>
      </c>
      <c r="AV181" s="1" t="e">
        <f t="shared" si="13"/>
        <v>#VALUE!</v>
      </c>
      <c r="AW181" s="1" t="str">
        <f t="shared" si="14"/>
        <v/>
      </c>
    </row>
    <row r="182" spans="45:49" hidden="1" x14ac:dyDescent="0.25">
      <c r="AS182" t="str">
        <f t="shared" si="10"/>
        <v/>
      </c>
      <c r="AT182" s="1" t="str">
        <f t="shared" si="11"/>
        <v/>
      </c>
      <c r="AU182" s="1" t="str">
        <f t="shared" si="12"/>
        <v/>
      </c>
      <c r="AV182" s="1" t="e">
        <f t="shared" si="13"/>
        <v>#VALUE!</v>
      </c>
      <c r="AW182" s="1" t="str">
        <f t="shared" si="14"/>
        <v/>
      </c>
    </row>
    <row r="183" spans="45:49" hidden="1" x14ac:dyDescent="0.25">
      <c r="AS183" t="str">
        <f t="shared" si="10"/>
        <v/>
      </c>
      <c r="AT183" s="1" t="str">
        <f t="shared" si="11"/>
        <v/>
      </c>
      <c r="AU183" s="1" t="str">
        <f t="shared" si="12"/>
        <v/>
      </c>
      <c r="AV183" s="1" t="e">
        <f t="shared" si="13"/>
        <v>#VALUE!</v>
      </c>
      <c r="AW183" s="1" t="str">
        <f t="shared" si="14"/>
        <v/>
      </c>
    </row>
    <row r="184" spans="45:49" hidden="1" x14ac:dyDescent="0.25">
      <c r="AS184" t="str">
        <f t="shared" si="10"/>
        <v/>
      </c>
      <c r="AT184" s="1" t="str">
        <f t="shared" si="11"/>
        <v/>
      </c>
      <c r="AU184" s="1" t="str">
        <f t="shared" si="12"/>
        <v/>
      </c>
      <c r="AV184" s="1" t="e">
        <f t="shared" si="13"/>
        <v>#VALUE!</v>
      </c>
      <c r="AW184" s="1" t="str">
        <f t="shared" si="14"/>
        <v/>
      </c>
    </row>
    <row r="185" spans="45:49" hidden="1" x14ac:dyDescent="0.25">
      <c r="AS185" t="str">
        <f t="shared" si="10"/>
        <v/>
      </c>
      <c r="AT185" s="1" t="str">
        <f t="shared" si="11"/>
        <v/>
      </c>
      <c r="AU185" s="1" t="str">
        <f t="shared" si="12"/>
        <v/>
      </c>
      <c r="AV185" s="1" t="e">
        <f t="shared" si="13"/>
        <v>#VALUE!</v>
      </c>
      <c r="AW185" s="1" t="str">
        <f t="shared" si="14"/>
        <v/>
      </c>
    </row>
    <row r="186" spans="45:49" hidden="1" x14ac:dyDescent="0.25">
      <c r="AS186" t="str">
        <f t="shared" si="10"/>
        <v/>
      </c>
      <c r="AT186" s="1" t="str">
        <f t="shared" si="11"/>
        <v/>
      </c>
      <c r="AU186" s="1" t="str">
        <f t="shared" si="12"/>
        <v/>
      </c>
      <c r="AV186" s="1" t="e">
        <f t="shared" si="13"/>
        <v>#VALUE!</v>
      </c>
      <c r="AW186" s="1" t="str">
        <f t="shared" si="14"/>
        <v/>
      </c>
    </row>
    <row r="187" spans="45:49" hidden="1" x14ac:dyDescent="0.25">
      <c r="AS187" t="str">
        <f t="shared" si="10"/>
        <v/>
      </c>
      <c r="AT187" s="1" t="str">
        <f t="shared" si="11"/>
        <v/>
      </c>
      <c r="AU187" s="1" t="str">
        <f t="shared" si="12"/>
        <v/>
      </c>
      <c r="AV187" s="1" t="e">
        <f t="shared" si="13"/>
        <v>#VALUE!</v>
      </c>
      <c r="AW187" s="1" t="str">
        <f t="shared" si="14"/>
        <v/>
      </c>
    </row>
    <row r="188" spans="45:49" hidden="1" x14ac:dyDescent="0.25">
      <c r="AS188" t="str">
        <f t="shared" si="10"/>
        <v/>
      </c>
      <c r="AT188" s="1" t="str">
        <f t="shared" si="11"/>
        <v/>
      </c>
      <c r="AU188" s="1" t="str">
        <f t="shared" si="12"/>
        <v/>
      </c>
      <c r="AV188" s="1" t="e">
        <f t="shared" si="13"/>
        <v>#VALUE!</v>
      </c>
      <c r="AW188" s="1" t="str">
        <f t="shared" si="14"/>
        <v/>
      </c>
    </row>
    <row r="189" spans="45:49" hidden="1" x14ac:dyDescent="0.25">
      <c r="AS189" t="str">
        <f t="shared" si="10"/>
        <v/>
      </c>
      <c r="AT189" s="1" t="str">
        <f t="shared" si="11"/>
        <v/>
      </c>
      <c r="AU189" s="1" t="str">
        <f t="shared" si="12"/>
        <v/>
      </c>
      <c r="AV189" s="1" t="e">
        <f t="shared" si="13"/>
        <v>#VALUE!</v>
      </c>
      <c r="AW189" s="1" t="str">
        <f t="shared" si="14"/>
        <v/>
      </c>
    </row>
    <row r="190" spans="45:49" hidden="1" x14ac:dyDescent="0.25">
      <c r="AS190" t="str">
        <f t="shared" si="10"/>
        <v/>
      </c>
      <c r="AT190" s="1" t="str">
        <f t="shared" si="11"/>
        <v/>
      </c>
      <c r="AU190" s="1" t="str">
        <f t="shared" si="12"/>
        <v/>
      </c>
      <c r="AV190" s="1" t="e">
        <f t="shared" si="13"/>
        <v>#VALUE!</v>
      </c>
      <c r="AW190" s="1" t="str">
        <f t="shared" si="14"/>
        <v/>
      </c>
    </row>
    <row r="191" spans="45:49" hidden="1" x14ac:dyDescent="0.25">
      <c r="AS191" t="str">
        <f t="shared" si="10"/>
        <v/>
      </c>
      <c r="AT191" s="1" t="str">
        <f t="shared" si="11"/>
        <v/>
      </c>
      <c r="AU191" s="1" t="str">
        <f t="shared" si="12"/>
        <v/>
      </c>
      <c r="AV191" s="1" t="e">
        <f t="shared" si="13"/>
        <v>#VALUE!</v>
      </c>
      <c r="AW191" s="1" t="str">
        <f t="shared" si="14"/>
        <v/>
      </c>
    </row>
    <row r="192" spans="45:49" hidden="1" x14ac:dyDescent="0.25">
      <c r="AS192" t="str">
        <f t="shared" si="10"/>
        <v/>
      </c>
      <c r="AT192" s="1" t="str">
        <f t="shared" si="11"/>
        <v/>
      </c>
      <c r="AU192" s="1" t="str">
        <f t="shared" si="12"/>
        <v/>
      </c>
      <c r="AV192" s="1" t="e">
        <f t="shared" si="13"/>
        <v>#VALUE!</v>
      </c>
      <c r="AW192" s="1" t="str">
        <f t="shared" si="14"/>
        <v/>
      </c>
    </row>
    <row r="193" spans="45:49" hidden="1" x14ac:dyDescent="0.25">
      <c r="AS193" t="str">
        <f t="shared" si="10"/>
        <v/>
      </c>
      <c r="AT193" s="1" t="str">
        <f t="shared" si="11"/>
        <v/>
      </c>
      <c r="AU193" s="1" t="str">
        <f t="shared" si="12"/>
        <v/>
      </c>
      <c r="AV193" s="1" t="e">
        <f t="shared" si="13"/>
        <v>#VALUE!</v>
      </c>
      <c r="AW193" s="1" t="str">
        <f t="shared" si="14"/>
        <v/>
      </c>
    </row>
    <row r="194" spans="45:49" hidden="1" x14ac:dyDescent="0.25">
      <c r="AS194" t="str">
        <f t="shared" si="10"/>
        <v/>
      </c>
      <c r="AT194" s="1" t="str">
        <f t="shared" si="11"/>
        <v/>
      </c>
      <c r="AU194" s="1" t="str">
        <f t="shared" si="12"/>
        <v/>
      </c>
      <c r="AV194" s="1" t="e">
        <f t="shared" si="13"/>
        <v>#VALUE!</v>
      </c>
      <c r="AW194" s="1" t="str">
        <f t="shared" si="14"/>
        <v/>
      </c>
    </row>
    <row r="195" spans="45:49" hidden="1" x14ac:dyDescent="0.25">
      <c r="AS195" t="str">
        <f t="shared" ref="AS195:AS232" si="15">+IF(AR195="","",DAY(AR195))</f>
        <v/>
      </c>
      <c r="AT195" s="1" t="str">
        <f t="shared" ref="AT195:AT232" si="16">+IF(AS195="","",IF(LEN(AS195)&lt;2,"0"&amp;AS195,AS195))</f>
        <v/>
      </c>
      <c r="AU195" s="1" t="str">
        <f t="shared" ref="AU195:AU232" si="17">+IF(AR195="","",MONTH(AR195))</f>
        <v/>
      </c>
      <c r="AV195" s="1" t="e">
        <f t="shared" ref="AV195:AV232" si="18">+VALUE(IF(AS195="","",IF(LEN(AU195)&lt;2,"0"&amp;AU195,AU195)))</f>
        <v>#VALUE!</v>
      </c>
      <c r="AW195" s="1" t="str">
        <f t="shared" ref="AW195:AW232" si="19">+IF(AR195="","",YEAR(AR195))</f>
        <v/>
      </c>
    </row>
    <row r="196" spans="45:49" hidden="1" x14ac:dyDescent="0.25">
      <c r="AS196" t="str">
        <f t="shared" si="15"/>
        <v/>
      </c>
      <c r="AT196" s="1" t="str">
        <f t="shared" si="16"/>
        <v/>
      </c>
      <c r="AU196" s="1" t="str">
        <f t="shared" si="17"/>
        <v/>
      </c>
      <c r="AV196" s="1" t="e">
        <f t="shared" si="18"/>
        <v>#VALUE!</v>
      </c>
      <c r="AW196" s="1" t="str">
        <f t="shared" si="19"/>
        <v/>
      </c>
    </row>
    <row r="197" spans="45:49" hidden="1" x14ac:dyDescent="0.25">
      <c r="AS197" t="str">
        <f t="shared" si="15"/>
        <v/>
      </c>
      <c r="AT197" s="1" t="str">
        <f t="shared" si="16"/>
        <v/>
      </c>
      <c r="AU197" s="1" t="str">
        <f t="shared" si="17"/>
        <v/>
      </c>
      <c r="AV197" s="1" t="e">
        <f t="shared" si="18"/>
        <v>#VALUE!</v>
      </c>
      <c r="AW197" s="1" t="str">
        <f t="shared" si="19"/>
        <v/>
      </c>
    </row>
    <row r="198" spans="45:49" hidden="1" x14ac:dyDescent="0.25">
      <c r="AS198" t="str">
        <f t="shared" si="15"/>
        <v/>
      </c>
      <c r="AT198" s="1" t="str">
        <f t="shared" si="16"/>
        <v/>
      </c>
      <c r="AU198" s="1" t="str">
        <f t="shared" si="17"/>
        <v/>
      </c>
      <c r="AV198" s="1" t="e">
        <f t="shared" si="18"/>
        <v>#VALUE!</v>
      </c>
      <c r="AW198" s="1" t="str">
        <f t="shared" si="19"/>
        <v/>
      </c>
    </row>
    <row r="199" spans="45:49" hidden="1" x14ac:dyDescent="0.25">
      <c r="AS199" t="str">
        <f t="shared" si="15"/>
        <v/>
      </c>
      <c r="AT199" s="1" t="str">
        <f t="shared" si="16"/>
        <v/>
      </c>
      <c r="AU199" s="1" t="str">
        <f t="shared" si="17"/>
        <v/>
      </c>
      <c r="AV199" s="1" t="e">
        <f t="shared" si="18"/>
        <v>#VALUE!</v>
      </c>
      <c r="AW199" s="1" t="str">
        <f t="shared" si="19"/>
        <v/>
      </c>
    </row>
    <row r="200" spans="45:49" hidden="1" x14ac:dyDescent="0.25">
      <c r="AS200" t="str">
        <f t="shared" si="15"/>
        <v/>
      </c>
      <c r="AT200" s="1" t="str">
        <f t="shared" si="16"/>
        <v/>
      </c>
      <c r="AU200" s="1" t="str">
        <f t="shared" si="17"/>
        <v/>
      </c>
      <c r="AV200" s="1" t="e">
        <f t="shared" si="18"/>
        <v>#VALUE!</v>
      </c>
      <c r="AW200" s="1" t="str">
        <f t="shared" si="19"/>
        <v/>
      </c>
    </row>
    <row r="201" spans="45:49" hidden="1" x14ac:dyDescent="0.25">
      <c r="AS201" t="str">
        <f t="shared" si="15"/>
        <v/>
      </c>
      <c r="AT201" s="1" t="str">
        <f t="shared" si="16"/>
        <v/>
      </c>
      <c r="AU201" s="1" t="str">
        <f t="shared" si="17"/>
        <v/>
      </c>
      <c r="AV201" s="1" t="e">
        <f t="shared" si="18"/>
        <v>#VALUE!</v>
      </c>
      <c r="AW201" s="1" t="str">
        <f t="shared" si="19"/>
        <v/>
      </c>
    </row>
    <row r="202" spans="45:49" hidden="1" x14ac:dyDescent="0.25">
      <c r="AS202" t="str">
        <f t="shared" si="15"/>
        <v/>
      </c>
      <c r="AT202" s="1" t="str">
        <f t="shared" si="16"/>
        <v/>
      </c>
      <c r="AU202" s="1" t="str">
        <f t="shared" si="17"/>
        <v/>
      </c>
      <c r="AV202" s="1" t="e">
        <f t="shared" si="18"/>
        <v>#VALUE!</v>
      </c>
      <c r="AW202" s="1" t="str">
        <f t="shared" si="19"/>
        <v/>
      </c>
    </row>
    <row r="203" spans="45:49" hidden="1" x14ac:dyDescent="0.25">
      <c r="AS203" t="str">
        <f t="shared" si="15"/>
        <v/>
      </c>
      <c r="AT203" s="1" t="str">
        <f t="shared" si="16"/>
        <v/>
      </c>
      <c r="AU203" s="1" t="str">
        <f t="shared" si="17"/>
        <v/>
      </c>
      <c r="AV203" s="1" t="e">
        <f t="shared" si="18"/>
        <v>#VALUE!</v>
      </c>
      <c r="AW203" s="1" t="str">
        <f t="shared" si="19"/>
        <v/>
      </c>
    </row>
    <row r="204" spans="45:49" hidden="1" x14ac:dyDescent="0.25">
      <c r="AS204" t="str">
        <f t="shared" si="15"/>
        <v/>
      </c>
      <c r="AT204" s="1" t="str">
        <f t="shared" si="16"/>
        <v/>
      </c>
      <c r="AU204" s="1" t="str">
        <f t="shared" si="17"/>
        <v/>
      </c>
      <c r="AV204" s="1" t="e">
        <f t="shared" si="18"/>
        <v>#VALUE!</v>
      </c>
      <c r="AW204" s="1" t="str">
        <f t="shared" si="19"/>
        <v/>
      </c>
    </row>
    <row r="205" spans="45:49" hidden="1" x14ac:dyDescent="0.25">
      <c r="AS205" t="str">
        <f t="shared" si="15"/>
        <v/>
      </c>
      <c r="AT205" s="1" t="str">
        <f t="shared" si="16"/>
        <v/>
      </c>
      <c r="AU205" s="1" t="str">
        <f t="shared" si="17"/>
        <v/>
      </c>
      <c r="AV205" s="1" t="e">
        <f t="shared" si="18"/>
        <v>#VALUE!</v>
      </c>
      <c r="AW205" s="1" t="str">
        <f t="shared" si="19"/>
        <v/>
      </c>
    </row>
    <row r="206" spans="45:49" hidden="1" x14ac:dyDescent="0.25">
      <c r="AS206" t="str">
        <f t="shared" si="15"/>
        <v/>
      </c>
      <c r="AT206" s="1" t="str">
        <f t="shared" si="16"/>
        <v/>
      </c>
      <c r="AU206" s="1" t="str">
        <f t="shared" si="17"/>
        <v/>
      </c>
      <c r="AV206" s="1" t="e">
        <f t="shared" si="18"/>
        <v>#VALUE!</v>
      </c>
      <c r="AW206" s="1" t="str">
        <f t="shared" si="19"/>
        <v/>
      </c>
    </row>
    <row r="207" spans="45:49" hidden="1" x14ac:dyDescent="0.25">
      <c r="AS207" t="str">
        <f t="shared" si="15"/>
        <v/>
      </c>
      <c r="AT207" s="1" t="str">
        <f t="shared" si="16"/>
        <v/>
      </c>
      <c r="AU207" s="1" t="str">
        <f t="shared" si="17"/>
        <v/>
      </c>
      <c r="AV207" s="1" t="e">
        <f t="shared" si="18"/>
        <v>#VALUE!</v>
      </c>
      <c r="AW207" s="1" t="str">
        <f t="shared" si="19"/>
        <v/>
      </c>
    </row>
    <row r="208" spans="45:49" hidden="1" x14ac:dyDescent="0.25">
      <c r="AS208" t="str">
        <f t="shared" si="15"/>
        <v/>
      </c>
      <c r="AT208" s="1" t="str">
        <f t="shared" si="16"/>
        <v/>
      </c>
      <c r="AU208" s="1" t="str">
        <f t="shared" si="17"/>
        <v/>
      </c>
      <c r="AV208" s="1" t="e">
        <f t="shared" si="18"/>
        <v>#VALUE!</v>
      </c>
      <c r="AW208" s="1" t="str">
        <f t="shared" si="19"/>
        <v/>
      </c>
    </row>
    <row r="209" spans="45:49" hidden="1" x14ac:dyDescent="0.25">
      <c r="AS209" t="str">
        <f t="shared" si="15"/>
        <v/>
      </c>
      <c r="AT209" s="1" t="str">
        <f t="shared" si="16"/>
        <v/>
      </c>
      <c r="AU209" s="1" t="str">
        <f t="shared" si="17"/>
        <v/>
      </c>
      <c r="AV209" s="1" t="e">
        <f t="shared" si="18"/>
        <v>#VALUE!</v>
      </c>
      <c r="AW209" s="1" t="str">
        <f t="shared" si="19"/>
        <v/>
      </c>
    </row>
    <row r="210" spans="45:49" hidden="1" x14ac:dyDescent="0.25">
      <c r="AS210" t="str">
        <f t="shared" si="15"/>
        <v/>
      </c>
      <c r="AT210" s="1" t="str">
        <f t="shared" si="16"/>
        <v/>
      </c>
      <c r="AU210" s="1" t="str">
        <f t="shared" si="17"/>
        <v/>
      </c>
      <c r="AV210" s="1" t="e">
        <f t="shared" si="18"/>
        <v>#VALUE!</v>
      </c>
      <c r="AW210" s="1" t="str">
        <f t="shared" si="19"/>
        <v/>
      </c>
    </row>
    <row r="211" spans="45:49" hidden="1" x14ac:dyDescent="0.25">
      <c r="AS211" t="str">
        <f t="shared" si="15"/>
        <v/>
      </c>
      <c r="AT211" s="1" t="str">
        <f t="shared" si="16"/>
        <v/>
      </c>
      <c r="AU211" s="1" t="str">
        <f t="shared" si="17"/>
        <v/>
      </c>
      <c r="AV211" s="1" t="e">
        <f t="shared" si="18"/>
        <v>#VALUE!</v>
      </c>
      <c r="AW211" s="1" t="str">
        <f t="shared" si="19"/>
        <v/>
      </c>
    </row>
    <row r="212" spans="45:49" hidden="1" x14ac:dyDescent="0.25">
      <c r="AS212" t="str">
        <f t="shared" si="15"/>
        <v/>
      </c>
      <c r="AT212" s="1" t="str">
        <f t="shared" si="16"/>
        <v/>
      </c>
      <c r="AU212" s="1" t="str">
        <f t="shared" si="17"/>
        <v/>
      </c>
      <c r="AV212" s="1" t="e">
        <f t="shared" si="18"/>
        <v>#VALUE!</v>
      </c>
      <c r="AW212" s="1" t="str">
        <f t="shared" si="19"/>
        <v/>
      </c>
    </row>
    <row r="213" spans="45:49" hidden="1" x14ac:dyDescent="0.25">
      <c r="AS213" t="str">
        <f t="shared" si="15"/>
        <v/>
      </c>
      <c r="AT213" s="1" t="str">
        <f t="shared" si="16"/>
        <v/>
      </c>
      <c r="AU213" s="1" t="str">
        <f t="shared" si="17"/>
        <v/>
      </c>
      <c r="AV213" s="1" t="e">
        <f t="shared" si="18"/>
        <v>#VALUE!</v>
      </c>
      <c r="AW213" s="1" t="str">
        <f t="shared" si="19"/>
        <v/>
      </c>
    </row>
    <row r="214" spans="45:49" hidden="1" x14ac:dyDescent="0.25">
      <c r="AS214" t="str">
        <f t="shared" si="15"/>
        <v/>
      </c>
      <c r="AT214" s="1" t="str">
        <f t="shared" si="16"/>
        <v/>
      </c>
      <c r="AU214" s="1" t="str">
        <f t="shared" si="17"/>
        <v/>
      </c>
      <c r="AV214" s="1" t="e">
        <f t="shared" si="18"/>
        <v>#VALUE!</v>
      </c>
      <c r="AW214" s="1" t="str">
        <f t="shared" si="19"/>
        <v/>
      </c>
    </row>
    <row r="215" spans="45:49" hidden="1" x14ac:dyDescent="0.25">
      <c r="AS215" t="str">
        <f t="shared" si="15"/>
        <v/>
      </c>
      <c r="AT215" s="1" t="str">
        <f t="shared" si="16"/>
        <v/>
      </c>
      <c r="AU215" s="1" t="str">
        <f t="shared" si="17"/>
        <v/>
      </c>
      <c r="AV215" s="1" t="e">
        <f t="shared" si="18"/>
        <v>#VALUE!</v>
      </c>
      <c r="AW215" s="1" t="str">
        <f t="shared" si="19"/>
        <v/>
      </c>
    </row>
    <row r="216" spans="45:49" hidden="1" x14ac:dyDescent="0.25">
      <c r="AS216" t="str">
        <f t="shared" si="15"/>
        <v/>
      </c>
      <c r="AT216" s="1" t="str">
        <f t="shared" si="16"/>
        <v/>
      </c>
      <c r="AU216" s="1" t="str">
        <f t="shared" si="17"/>
        <v/>
      </c>
      <c r="AV216" s="1" t="e">
        <f t="shared" si="18"/>
        <v>#VALUE!</v>
      </c>
      <c r="AW216" s="1" t="str">
        <f t="shared" si="19"/>
        <v/>
      </c>
    </row>
    <row r="217" spans="45:49" hidden="1" x14ac:dyDescent="0.25">
      <c r="AS217" t="str">
        <f t="shared" si="15"/>
        <v/>
      </c>
      <c r="AT217" s="1" t="str">
        <f t="shared" si="16"/>
        <v/>
      </c>
      <c r="AU217" s="1" t="str">
        <f t="shared" si="17"/>
        <v/>
      </c>
      <c r="AV217" s="1" t="e">
        <f t="shared" si="18"/>
        <v>#VALUE!</v>
      </c>
      <c r="AW217" s="1" t="str">
        <f t="shared" si="19"/>
        <v/>
      </c>
    </row>
    <row r="218" spans="45:49" hidden="1" x14ac:dyDescent="0.25">
      <c r="AS218" t="str">
        <f t="shared" si="15"/>
        <v/>
      </c>
      <c r="AT218" s="1" t="str">
        <f t="shared" si="16"/>
        <v/>
      </c>
      <c r="AU218" s="1" t="str">
        <f t="shared" si="17"/>
        <v/>
      </c>
      <c r="AV218" s="1" t="e">
        <f t="shared" si="18"/>
        <v>#VALUE!</v>
      </c>
      <c r="AW218" s="1" t="str">
        <f t="shared" si="19"/>
        <v/>
      </c>
    </row>
    <row r="219" spans="45:49" hidden="1" x14ac:dyDescent="0.25">
      <c r="AS219" t="str">
        <f t="shared" si="15"/>
        <v/>
      </c>
      <c r="AT219" s="1" t="str">
        <f t="shared" si="16"/>
        <v/>
      </c>
      <c r="AU219" s="1" t="str">
        <f t="shared" si="17"/>
        <v/>
      </c>
      <c r="AV219" s="1" t="e">
        <f t="shared" si="18"/>
        <v>#VALUE!</v>
      </c>
      <c r="AW219" s="1" t="str">
        <f t="shared" si="19"/>
        <v/>
      </c>
    </row>
    <row r="220" spans="45:49" hidden="1" x14ac:dyDescent="0.25">
      <c r="AS220" t="str">
        <f t="shared" si="15"/>
        <v/>
      </c>
      <c r="AT220" s="1" t="str">
        <f t="shared" si="16"/>
        <v/>
      </c>
      <c r="AU220" s="1" t="str">
        <f t="shared" si="17"/>
        <v/>
      </c>
      <c r="AV220" s="1" t="e">
        <f t="shared" si="18"/>
        <v>#VALUE!</v>
      </c>
      <c r="AW220" s="1" t="str">
        <f t="shared" si="19"/>
        <v/>
      </c>
    </row>
    <row r="221" spans="45:49" hidden="1" x14ac:dyDescent="0.25">
      <c r="AS221" t="str">
        <f t="shared" si="15"/>
        <v/>
      </c>
      <c r="AT221" s="1" t="str">
        <f t="shared" si="16"/>
        <v/>
      </c>
      <c r="AU221" s="1" t="str">
        <f t="shared" si="17"/>
        <v/>
      </c>
      <c r="AV221" s="1" t="e">
        <f t="shared" si="18"/>
        <v>#VALUE!</v>
      </c>
      <c r="AW221" s="1" t="str">
        <f t="shared" si="19"/>
        <v/>
      </c>
    </row>
    <row r="222" spans="45:49" hidden="1" x14ac:dyDescent="0.25">
      <c r="AS222" t="str">
        <f t="shared" si="15"/>
        <v/>
      </c>
      <c r="AT222" s="1" t="str">
        <f t="shared" si="16"/>
        <v/>
      </c>
      <c r="AU222" s="1" t="str">
        <f t="shared" si="17"/>
        <v/>
      </c>
      <c r="AV222" s="1" t="e">
        <f t="shared" si="18"/>
        <v>#VALUE!</v>
      </c>
      <c r="AW222" s="1" t="str">
        <f t="shared" si="19"/>
        <v/>
      </c>
    </row>
    <row r="223" spans="45:49" hidden="1" x14ac:dyDescent="0.25">
      <c r="AS223" t="str">
        <f t="shared" si="15"/>
        <v/>
      </c>
      <c r="AT223" s="1" t="str">
        <f t="shared" si="16"/>
        <v/>
      </c>
      <c r="AU223" s="1" t="str">
        <f t="shared" si="17"/>
        <v/>
      </c>
      <c r="AV223" s="1" t="e">
        <f t="shared" si="18"/>
        <v>#VALUE!</v>
      </c>
      <c r="AW223" s="1" t="str">
        <f t="shared" si="19"/>
        <v/>
      </c>
    </row>
    <row r="224" spans="45:49" hidden="1" x14ac:dyDescent="0.25">
      <c r="AS224" t="str">
        <f t="shared" si="15"/>
        <v/>
      </c>
      <c r="AT224" s="1" t="str">
        <f t="shared" si="16"/>
        <v/>
      </c>
      <c r="AU224" s="1" t="str">
        <f t="shared" si="17"/>
        <v/>
      </c>
      <c r="AV224" s="1" t="e">
        <f t="shared" si="18"/>
        <v>#VALUE!</v>
      </c>
      <c r="AW224" s="1" t="str">
        <f t="shared" si="19"/>
        <v/>
      </c>
    </row>
    <row r="225" spans="45:49" hidden="1" x14ac:dyDescent="0.25">
      <c r="AS225" t="str">
        <f t="shared" si="15"/>
        <v/>
      </c>
      <c r="AT225" s="1" t="str">
        <f t="shared" si="16"/>
        <v/>
      </c>
      <c r="AU225" s="1" t="str">
        <f t="shared" si="17"/>
        <v/>
      </c>
      <c r="AV225" s="1" t="e">
        <f t="shared" si="18"/>
        <v>#VALUE!</v>
      </c>
      <c r="AW225" s="1" t="str">
        <f t="shared" si="19"/>
        <v/>
      </c>
    </row>
    <row r="226" spans="45:49" hidden="1" x14ac:dyDescent="0.25">
      <c r="AS226" t="str">
        <f t="shared" si="15"/>
        <v/>
      </c>
      <c r="AT226" s="1" t="str">
        <f t="shared" si="16"/>
        <v/>
      </c>
      <c r="AU226" s="1" t="str">
        <f t="shared" si="17"/>
        <v/>
      </c>
      <c r="AV226" s="1" t="e">
        <f t="shared" si="18"/>
        <v>#VALUE!</v>
      </c>
      <c r="AW226" s="1" t="str">
        <f t="shared" si="19"/>
        <v/>
      </c>
    </row>
    <row r="227" spans="45:49" hidden="1" x14ac:dyDescent="0.25">
      <c r="AS227" t="str">
        <f t="shared" si="15"/>
        <v/>
      </c>
      <c r="AT227" s="1" t="str">
        <f t="shared" si="16"/>
        <v/>
      </c>
      <c r="AU227" s="1" t="str">
        <f t="shared" si="17"/>
        <v/>
      </c>
      <c r="AV227" s="1" t="e">
        <f t="shared" si="18"/>
        <v>#VALUE!</v>
      </c>
      <c r="AW227" s="1" t="str">
        <f t="shared" si="19"/>
        <v/>
      </c>
    </row>
    <row r="228" spans="45:49" hidden="1" x14ac:dyDescent="0.25">
      <c r="AS228" t="str">
        <f t="shared" si="15"/>
        <v/>
      </c>
      <c r="AT228" s="1" t="str">
        <f t="shared" si="16"/>
        <v/>
      </c>
      <c r="AU228" s="1" t="str">
        <f t="shared" si="17"/>
        <v/>
      </c>
      <c r="AV228" s="1" t="e">
        <f t="shared" si="18"/>
        <v>#VALUE!</v>
      </c>
      <c r="AW228" s="1" t="str">
        <f t="shared" si="19"/>
        <v/>
      </c>
    </row>
    <row r="229" spans="45:49" hidden="1" x14ac:dyDescent="0.25">
      <c r="AS229" t="str">
        <f t="shared" si="15"/>
        <v/>
      </c>
      <c r="AT229" s="1" t="str">
        <f t="shared" si="16"/>
        <v/>
      </c>
      <c r="AU229" s="1" t="str">
        <f t="shared" si="17"/>
        <v/>
      </c>
      <c r="AV229" s="1" t="e">
        <f t="shared" si="18"/>
        <v>#VALUE!</v>
      </c>
      <c r="AW229" s="1" t="str">
        <f t="shared" si="19"/>
        <v/>
      </c>
    </row>
    <row r="230" spans="45:49" hidden="1" x14ac:dyDescent="0.25">
      <c r="AS230" t="str">
        <f t="shared" si="15"/>
        <v/>
      </c>
      <c r="AT230" s="1" t="str">
        <f t="shared" si="16"/>
        <v/>
      </c>
      <c r="AU230" s="1" t="str">
        <f t="shared" si="17"/>
        <v/>
      </c>
      <c r="AV230" s="1" t="e">
        <f t="shared" si="18"/>
        <v>#VALUE!</v>
      </c>
      <c r="AW230" s="1" t="str">
        <f t="shared" si="19"/>
        <v/>
      </c>
    </row>
    <row r="231" spans="45:49" hidden="1" x14ac:dyDescent="0.25">
      <c r="AS231" t="str">
        <f t="shared" si="15"/>
        <v/>
      </c>
      <c r="AT231" s="1" t="str">
        <f t="shared" si="16"/>
        <v/>
      </c>
      <c r="AU231" s="1" t="str">
        <f t="shared" si="17"/>
        <v/>
      </c>
      <c r="AV231" s="1" t="e">
        <f t="shared" si="18"/>
        <v>#VALUE!</v>
      </c>
      <c r="AW231" s="1" t="str">
        <f t="shared" si="19"/>
        <v/>
      </c>
    </row>
    <row r="232" spans="45:49" hidden="1" x14ac:dyDescent="0.25">
      <c r="AS232" t="str">
        <f t="shared" si="15"/>
        <v/>
      </c>
      <c r="AT232" s="1" t="str">
        <f t="shared" si="16"/>
        <v/>
      </c>
      <c r="AU232" s="1" t="str">
        <f t="shared" si="17"/>
        <v/>
      </c>
      <c r="AV232" s="1" t="e">
        <f t="shared" si="18"/>
        <v>#VALUE!</v>
      </c>
      <c r="AW232" s="1" t="str">
        <f t="shared" si="19"/>
        <v/>
      </c>
    </row>
  </sheetData>
  <mergeCells count="3">
    <mergeCell ref="C42:D42"/>
    <mergeCell ref="L42:N42"/>
    <mergeCell ref="E42:K42"/>
  </mergeCell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28"/>
  <sheetViews>
    <sheetView showGridLines="0" showRowColHeaders="0" zoomScale="80" zoomScaleNormal="80" workbookViewId="0">
      <pane ySplit="6" topLeftCell="A7" activePane="bottomLeft" state="frozen"/>
      <selection pane="bottomLeft" activeCell="D6" sqref="D6"/>
    </sheetView>
  </sheetViews>
  <sheetFormatPr baseColWidth="10" defaultColWidth="0" defaultRowHeight="15" x14ac:dyDescent="0.25"/>
  <cols>
    <col min="1" max="1" width="6.5703125" customWidth="1"/>
    <col min="2" max="2" width="12.85546875" bestFit="1" customWidth="1"/>
    <col min="3" max="3" width="24.85546875" customWidth="1"/>
    <col min="4" max="4" width="18.42578125" bestFit="1" customWidth="1"/>
    <col min="5" max="5" width="23.5703125" bestFit="1" customWidth="1"/>
    <col min="6" max="6" width="21.28515625" bestFit="1" customWidth="1"/>
    <col min="7" max="7" width="11.42578125" bestFit="1" customWidth="1"/>
    <col min="8" max="8" width="55.28515625" customWidth="1"/>
    <col min="9" max="9" width="11.7109375" bestFit="1" customWidth="1"/>
    <col min="10" max="10" width="13.85546875" bestFit="1" customWidth="1"/>
    <col min="11" max="11" width="12.85546875" customWidth="1"/>
    <col min="12" max="12" width="10.7109375" customWidth="1"/>
    <col min="13" max="13" width="15.140625" bestFit="1" customWidth="1"/>
    <col min="14" max="14" width="17.7109375" customWidth="1"/>
    <col min="15" max="15" width="11.42578125" bestFit="1" customWidth="1"/>
    <col min="16" max="16" width="14.5703125" customWidth="1"/>
    <col min="17" max="17" width="16.5703125" customWidth="1"/>
    <col min="18" max="16384" width="11.42578125" hidden="1"/>
  </cols>
  <sheetData>
    <row r="1" spans="1:27" x14ac:dyDescent="0.25">
      <c r="A1" s="51" t="s">
        <v>54</v>
      </c>
      <c r="AA1" t="str">
        <f>+"CLIENTE :  "&amp;$A$1</f>
        <v>CLIENTE :  ABCDIN</v>
      </c>
    </row>
    <row r="2" spans="1:27" x14ac:dyDescent="0.25">
      <c r="A2" s="49"/>
    </row>
    <row r="4" spans="1:27" ht="15.75" thickBot="1" x14ac:dyDescent="0.3">
      <c r="B4" s="2" t="s">
        <v>58</v>
      </c>
      <c r="C4" t="s">
        <v>54</v>
      </c>
    </row>
    <row r="5" spans="1:27" x14ac:dyDescent="0.25">
      <c r="I5" s="76" t="s">
        <v>185</v>
      </c>
      <c r="J5" s="77"/>
      <c r="K5" s="77"/>
      <c r="L5" s="77"/>
      <c r="M5" s="77"/>
      <c r="N5" s="77"/>
      <c r="O5" s="77"/>
      <c r="P5" s="78"/>
    </row>
    <row r="6" spans="1:27" x14ac:dyDescent="0.25">
      <c r="B6" s="53" t="s">
        <v>175</v>
      </c>
      <c r="C6" s="53" t="s">
        <v>176</v>
      </c>
      <c r="D6" s="53" t="s">
        <v>177</v>
      </c>
      <c r="E6" s="53" t="s">
        <v>178</v>
      </c>
      <c r="F6" s="53" t="s">
        <v>179</v>
      </c>
      <c r="G6" s="53" t="s">
        <v>180</v>
      </c>
      <c r="H6" s="53" t="s">
        <v>181</v>
      </c>
      <c r="I6" s="50" t="s">
        <v>182</v>
      </c>
      <c r="J6" s="50" t="s">
        <v>183</v>
      </c>
      <c r="K6" s="53" t="s">
        <v>186</v>
      </c>
      <c r="L6" s="50" t="s">
        <v>184</v>
      </c>
      <c r="M6" s="53" t="s">
        <v>187</v>
      </c>
      <c r="N6" s="53" t="s">
        <v>192</v>
      </c>
      <c r="O6" s="53" t="s">
        <v>293</v>
      </c>
      <c r="P6" s="53" t="s">
        <v>195</v>
      </c>
    </row>
    <row r="7" spans="1:27" x14ac:dyDescent="0.25">
      <c r="B7">
        <v>5096593</v>
      </c>
      <c r="C7" s="48">
        <v>1</v>
      </c>
      <c r="D7" s="48">
        <v>1</v>
      </c>
      <c r="E7" s="48">
        <v>43343</v>
      </c>
      <c r="F7" t="s">
        <v>1990</v>
      </c>
      <c r="G7" t="s">
        <v>142</v>
      </c>
      <c r="H7" t="s">
        <v>143</v>
      </c>
      <c r="I7" s="52">
        <v>2</v>
      </c>
      <c r="J7" s="52">
        <v>2</v>
      </c>
      <c r="K7" s="52">
        <v>2</v>
      </c>
      <c r="L7" s="52">
        <v>0</v>
      </c>
      <c r="M7" s="52">
        <v>0</v>
      </c>
      <c r="N7" s="52">
        <v>2</v>
      </c>
      <c r="O7" s="52">
        <v>0</v>
      </c>
      <c r="P7" s="54">
        <v>1</v>
      </c>
    </row>
    <row r="8" spans="1:27" x14ac:dyDescent="0.25">
      <c r="B8">
        <v>5096593</v>
      </c>
      <c r="C8" s="48">
        <v>1</v>
      </c>
      <c r="D8" s="48">
        <v>1</v>
      </c>
      <c r="E8" s="48">
        <v>43343</v>
      </c>
      <c r="F8" t="s">
        <v>1990</v>
      </c>
      <c r="G8" t="s">
        <v>310</v>
      </c>
      <c r="H8" t="s">
        <v>311</v>
      </c>
      <c r="I8" s="52">
        <v>4</v>
      </c>
      <c r="J8" s="52">
        <v>4</v>
      </c>
      <c r="K8" s="52">
        <v>4</v>
      </c>
      <c r="L8" s="52">
        <v>0</v>
      </c>
      <c r="M8" s="52">
        <v>0</v>
      </c>
      <c r="N8" s="52">
        <v>4</v>
      </c>
      <c r="O8" s="52">
        <v>0</v>
      </c>
      <c r="P8" s="54">
        <v>1</v>
      </c>
    </row>
    <row r="9" spans="1:27" x14ac:dyDescent="0.25">
      <c r="B9">
        <v>5096593</v>
      </c>
      <c r="C9" s="48">
        <v>1</v>
      </c>
      <c r="D9" s="48">
        <v>1</v>
      </c>
      <c r="E9" s="48">
        <v>43343</v>
      </c>
      <c r="F9" t="s">
        <v>1990</v>
      </c>
      <c r="G9" t="s">
        <v>878</v>
      </c>
      <c r="H9" t="s">
        <v>879</v>
      </c>
      <c r="I9" s="52">
        <v>3</v>
      </c>
      <c r="J9" s="52">
        <v>3</v>
      </c>
      <c r="K9" s="52">
        <v>3</v>
      </c>
      <c r="L9" s="52">
        <v>0</v>
      </c>
      <c r="M9" s="52">
        <v>0</v>
      </c>
      <c r="N9" s="52">
        <v>3</v>
      </c>
      <c r="O9" s="52">
        <v>0</v>
      </c>
      <c r="P9" s="54">
        <v>1</v>
      </c>
    </row>
    <row r="10" spans="1:27" x14ac:dyDescent="0.25">
      <c r="B10">
        <v>5096593</v>
      </c>
      <c r="C10" s="48">
        <v>1</v>
      </c>
      <c r="D10" s="48">
        <v>1</v>
      </c>
      <c r="E10" s="48">
        <v>43343</v>
      </c>
      <c r="F10" t="s">
        <v>1990</v>
      </c>
      <c r="G10" t="s">
        <v>814</v>
      </c>
      <c r="H10" t="s">
        <v>815</v>
      </c>
      <c r="I10" s="52">
        <v>3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3</v>
      </c>
      <c r="P10" s="54">
        <v>0</v>
      </c>
    </row>
    <row r="11" spans="1:27" x14ac:dyDescent="0.25">
      <c r="B11">
        <v>5096593</v>
      </c>
      <c r="C11" s="48">
        <v>1</v>
      </c>
      <c r="D11" s="48">
        <v>1</v>
      </c>
      <c r="E11" s="48">
        <v>43343</v>
      </c>
      <c r="F11" t="s">
        <v>1990</v>
      </c>
      <c r="G11" t="s">
        <v>816</v>
      </c>
      <c r="H11" t="s">
        <v>817</v>
      </c>
      <c r="I11" s="52">
        <v>1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1</v>
      </c>
      <c r="P11" s="54">
        <v>0</v>
      </c>
    </row>
    <row r="12" spans="1:27" x14ac:dyDescent="0.25">
      <c r="B12">
        <v>5096593</v>
      </c>
      <c r="C12" s="48">
        <v>1</v>
      </c>
      <c r="D12" s="48">
        <v>1</v>
      </c>
      <c r="E12" s="48">
        <v>43343</v>
      </c>
      <c r="F12" t="s">
        <v>1990</v>
      </c>
      <c r="G12" t="s">
        <v>818</v>
      </c>
      <c r="H12" t="s">
        <v>819</v>
      </c>
      <c r="I12" s="52">
        <v>5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5</v>
      </c>
      <c r="P12" s="54">
        <v>0</v>
      </c>
    </row>
    <row r="13" spans="1:27" x14ac:dyDescent="0.25">
      <c r="B13">
        <v>5096657</v>
      </c>
      <c r="C13" s="48">
        <v>1</v>
      </c>
      <c r="D13" s="48">
        <v>1</v>
      </c>
      <c r="E13" s="48">
        <v>43343</v>
      </c>
      <c r="F13" t="s">
        <v>12</v>
      </c>
      <c r="G13" t="s">
        <v>818</v>
      </c>
      <c r="H13" t="s">
        <v>819</v>
      </c>
      <c r="I13" s="52">
        <v>1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1</v>
      </c>
      <c r="P13" s="54">
        <v>0</v>
      </c>
    </row>
    <row r="14" spans="1:27" x14ac:dyDescent="0.25">
      <c r="B14">
        <v>5096674</v>
      </c>
      <c r="C14" s="48">
        <v>1</v>
      </c>
      <c r="D14" s="48">
        <v>1</v>
      </c>
      <c r="E14" s="48">
        <v>43343</v>
      </c>
      <c r="F14" t="s">
        <v>12</v>
      </c>
      <c r="G14" t="s">
        <v>818</v>
      </c>
      <c r="H14" t="s">
        <v>819</v>
      </c>
      <c r="I14" s="52">
        <v>1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1</v>
      </c>
      <c r="P14" s="54">
        <v>0</v>
      </c>
    </row>
    <row r="15" spans="1:27" x14ac:dyDescent="0.25">
      <c r="B15">
        <v>5097721</v>
      </c>
      <c r="C15" s="48">
        <v>43333</v>
      </c>
      <c r="D15" s="48">
        <v>43326</v>
      </c>
      <c r="E15" s="48">
        <v>43339</v>
      </c>
      <c r="F15" t="s">
        <v>1971</v>
      </c>
      <c r="G15" t="s">
        <v>345</v>
      </c>
      <c r="H15" t="s">
        <v>346</v>
      </c>
      <c r="I15" s="52">
        <v>1</v>
      </c>
      <c r="J15" s="52">
        <v>1</v>
      </c>
      <c r="K15" s="52">
        <v>1</v>
      </c>
      <c r="L15" s="52">
        <v>0</v>
      </c>
      <c r="M15" s="52">
        <v>0</v>
      </c>
      <c r="N15" s="52">
        <v>1</v>
      </c>
      <c r="O15" s="52">
        <v>0</v>
      </c>
      <c r="P15" s="54">
        <v>1</v>
      </c>
    </row>
    <row r="16" spans="1:27" x14ac:dyDescent="0.25">
      <c r="B16">
        <v>5098216</v>
      </c>
      <c r="C16" s="48">
        <v>43329</v>
      </c>
      <c r="D16" s="48">
        <v>43329</v>
      </c>
      <c r="E16" s="48">
        <v>43339</v>
      </c>
      <c r="F16" t="s">
        <v>1971</v>
      </c>
      <c r="G16" t="s">
        <v>114</v>
      </c>
      <c r="H16" t="s">
        <v>115</v>
      </c>
      <c r="I16" s="52">
        <v>1</v>
      </c>
      <c r="J16" s="52">
        <v>1</v>
      </c>
      <c r="K16" s="52">
        <v>1</v>
      </c>
      <c r="L16" s="52">
        <v>0</v>
      </c>
      <c r="M16" s="52">
        <v>0</v>
      </c>
      <c r="N16" s="52">
        <v>1</v>
      </c>
      <c r="O16" s="52">
        <v>0</v>
      </c>
      <c r="P16" s="54">
        <v>1</v>
      </c>
    </row>
    <row r="17" spans="2:16" x14ac:dyDescent="0.25">
      <c r="B17">
        <v>5098347</v>
      </c>
      <c r="C17" s="48">
        <v>43332</v>
      </c>
      <c r="D17" s="48">
        <v>43329</v>
      </c>
      <c r="E17" s="48">
        <v>43342</v>
      </c>
      <c r="F17" t="s">
        <v>1980</v>
      </c>
      <c r="G17" t="s">
        <v>72</v>
      </c>
      <c r="H17" t="s">
        <v>73</v>
      </c>
      <c r="I17" s="52">
        <v>1</v>
      </c>
      <c r="J17" s="52">
        <v>1</v>
      </c>
      <c r="K17" s="52">
        <v>1</v>
      </c>
      <c r="L17" s="52">
        <v>0</v>
      </c>
      <c r="M17" s="52">
        <v>0</v>
      </c>
      <c r="N17" s="52">
        <v>1</v>
      </c>
      <c r="O17" s="52">
        <v>0</v>
      </c>
      <c r="P17" s="54">
        <v>1</v>
      </c>
    </row>
    <row r="18" spans="2:16" x14ac:dyDescent="0.25">
      <c r="B18">
        <v>5098959</v>
      </c>
      <c r="C18" s="48">
        <v>43333</v>
      </c>
      <c r="D18" s="48">
        <v>43332</v>
      </c>
      <c r="E18" s="48">
        <v>43339</v>
      </c>
      <c r="F18" t="s">
        <v>1971</v>
      </c>
      <c r="G18" t="s">
        <v>533</v>
      </c>
      <c r="H18" t="s">
        <v>534</v>
      </c>
      <c r="I18" s="52">
        <v>1</v>
      </c>
      <c r="J18" s="52">
        <v>1</v>
      </c>
      <c r="K18" s="52">
        <v>1</v>
      </c>
      <c r="L18" s="52">
        <v>0</v>
      </c>
      <c r="M18" s="52">
        <v>0</v>
      </c>
      <c r="N18" s="52">
        <v>1</v>
      </c>
      <c r="O18" s="52">
        <v>0</v>
      </c>
      <c r="P18" s="54">
        <v>1</v>
      </c>
    </row>
    <row r="19" spans="2:16" x14ac:dyDescent="0.25">
      <c r="B19">
        <v>5098961</v>
      </c>
      <c r="C19" s="48">
        <v>43333</v>
      </c>
      <c r="D19" s="48">
        <v>43332</v>
      </c>
      <c r="E19" s="48">
        <v>43346</v>
      </c>
      <c r="F19" t="s">
        <v>1962</v>
      </c>
      <c r="G19" t="s">
        <v>533</v>
      </c>
      <c r="H19" t="s">
        <v>534</v>
      </c>
      <c r="I19" s="52">
        <v>1</v>
      </c>
      <c r="J19" s="52">
        <v>1</v>
      </c>
      <c r="K19" s="52">
        <v>1</v>
      </c>
      <c r="L19" s="52">
        <v>0</v>
      </c>
      <c r="M19" s="52">
        <v>0</v>
      </c>
      <c r="N19" s="52">
        <v>1</v>
      </c>
      <c r="O19" s="52">
        <v>0</v>
      </c>
      <c r="P19" s="54">
        <v>1</v>
      </c>
    </row>
    <row r="20" spans="2:16" x14ac:dyDescent="0.25">
      <c r="B20">
        <v>5098969</v>
      </c>
      <c r="C20" s="48">
        <v>43333</v>
      </c>
      <c r="D20" s="48">
        <v>43333</v>
      </c>
      <c r="E20" s="48">
        <v>43341</v>
      </c>
      <c r="F20" t="s">
        <v>1980</v>
      </c>
      <c r="G20" t="s">
        <v>533</v>
      </c>
      <c r="H20" t="s">
        <v>534</v>
      </c>
      <c r="I20" s="52">
        <v>1</v>
      </c>
      <c r="J20" s="52">
        <v>1</v>
      </c>
      <c r="K20" s="52">
        <v>1</v>
      </c>
      <c r="L20" s="52">
        <v>0</v>
      </c>
      <c r="M20" s="52">
        <v>0</v>
      </c>
      <c r="N20" s="52">
        <v>1</v>
      </c>
      <c r="O20" s="52">
        <v>0</v>
      </c>
      <c r="P20" s="54">
        <v>1</v>
      </c>
    </row>
    <row r="21" spans="2:16" x14ac:dyDescent="0.25">
      <c r="B21">
        <v>5099042</v>
      </c>
      <c r="C21" s="48">
        <v>43334</v>
      </c>
      <c r="D21" s="48">
        <v>43333</v>
      </c>
      <c r="E21" s="48">
        <v>43339</v>
      </c>
      <c r="F21" t="s">
        <v>1971</v>
      </c>
      <c r="G21" t="s">
        <v>533</v>
      </c>
      <c r="H21" t="s">
        <v>534</v>
      </c>
      <c r="I21" s="52">
        <v>1</v>
      </c>
      <c r="J21" s="52">
        <v>1</v>
      </c>
      <c r="K21" s="52">
        <v>1</v>
      </c>
      <c r="L21" s="52">
        <v>0</v>
      </c>
      <c r="M21" s="52">
        <v>0</v>
      </c>
      <c r="N21" s="52">
        <v>1</v>
      </c>
      <c r="O21" s="52">
        <v>0</v>
      </c>
      <c r="P21" s="54">
        <v>1</v>
      </c>
    </row>
    <row r="22" spans="2:16" x14ac:dyDescent="0.25">
      <c r="B22">
        <v>5099151</v>
      </c>
      <c r="C22" s="48">
        <v>43334</v>
      </c>
      <c r="D22" s="48">
        <v>43333</v>
      </c>
      <c r="E22" s="48">
        <v>43341</v>
      </c>
      <c r="F22" t="s">
        <v>1980</v>
      </c>
      <c r="G22" t="s">
        <v>108</v>
      </c>
      <c r="H22" t="s">
        <v>109</v>
      </c>
      <c r="I22" s="52">
        <v>1</v>
      </c>
      <c r="J22" s="52">
        <v>1</v>
      </c>
      <c r="K22" s="52">
        <v>1</v>
      </c>
      <c r="L22" s="52">
        <v>0</v>
      </c>
      <c r="M22" s="52">
        <v>0</v>
      </c>
      <c r="N22" s="52">
        <v>1</v>
      </c>
      <c r="O22" s="52">
        <v>0</v>
      </c>
      <c r="P22" s="54">
        <v>1</v>
      </c>
    </row>
    <row r="23" spans="2:16" x14ac:dyDescent="0.25">
      <c r="B23">
        <v>5099219</v>
      </c>
      <c r="C23" s="48">
        <v>43335</v>
      </c>
      <c r="D23" s="48">
        <v>43333</v>
      </c>
      <c r="E23" s="48">
        <v>43340</v>
      </c>
      <c r="F23" t="s">
        <v>1971</v>
      </c>
      <c r="G23" t="s">
        <v>533</v>
      </c>
      <c r="H23" t="s">
        <v>534</v>
      </c>
      <c r="I23" s="52">
        <v>1</v>
      </c>
      <c r="J23" s="52">
        <v>1</v>
      </c>
      <c r="K23" s="52">
        <v>1</v>
      </c>
      <c r="L23" s="52">
        <v>0</v>
      </c>
      <c r="M23" s="52">
        <v>0</v>
      </c>
      <c r="N23" s="52">
        <v>1</v>
      </c>
      <c r="O23" s="52">
        <v>0</v>
      </c>
      <c r="P23" s="54">
        <v>1</v>
      </c>
    </row>
    <row r="24" spans="2:16" x14ac:dyDescent="0.25">
      <c r="B24">
        <v>5099240</v>
      </c>
      <c r="C24" s="48">
        <v>43335</v>
      </c>
      <c r="D24" s="48">
        <v>43334</v>
      </c>
      <c r="E24" s="48">
        <v>43340</v>
      </c>
      <c r="F24" t="s">
        <v>1971</v>
      </c>
      <c r="G24" t="s">
        <v>533</v>
      </c>
      <c r="H24" t="s">
        <v>534</v>
      </c>
      <c r="I24" s="52">
        <v>1</v>
      </c>
      <c r="J24" s="52">
        <v>1</v>
      </c>
      <c r="K24" s="52">
        <v>1</v>
      </c>
      <c r="L24" s="52">
        <v>0</v>
      </c>
      <c r="M24" s="52">
        <v>0</v>
      </c>
      <c r="N24" s="52">
        <v>1</v>
      </c>
      <c r="O24" s="52">
        <v>0</v>
      </c>
      <c r="P24" s="54">
        <v>1</v>
      </c>
    </row>
    <row r="25" spans="2:16" x14ac:dyDescent="0.25">
      <c r="B25">
        <v>5099362</v>
      </c>
      <c r="C25" s="48">
        <v>43335</v>
      </c>
      <c r="D25" s="48">
        <v>43334</v>
      </c>
      <c r="E25" s="48">
        <v>43342</v>
      </c>
      <c r="F25" t="s">
        <v>12</v>
      </c>
      <c r="G25" t="s">
        <v>878</v>
      </c>
      <c r="H25" t="s">
        <v>879</v>
      </c>
      <c r="I25" s="52">
        <v>6</v>
      </c>
      <c r="J25" s="52">
        <v>0</v>
      </c>
      <c r="K25" s="52">
        <v>0</v>
      </c>
      <c r="L25" s="52">
        <v>0</v>
      </c>
      <c r="M25" s="52">
        <v>0</v>
      </c>
      <c r="N25" s="52">
        <v>0</v>
      </c>
      <c r="O25" s="52">
        <v>6</v>
      </c>
      <c r="P25" s="54">
        <v>0</v>
      </c>
    </row>
    <row r="26" spans="2:16" x14ac:dyDescent="0.25">
      <c r="B26">
        <v>5099362</v>
      </c>
      <c r="C26" s="48">
        <v>43335</v>
      </c>
      <c r="D26" s="48">
        <v>43334</v>
      </c>
      <c r="E26" s="48">
        <v>43342</v>
      </c>
      <c r="F26" t="s">
        <v>12</v>
      </c>
      <c r="G26" t="s">
        <v>816</v>
      </c>
      <c r="H26" t="s">
        <v>817</v>
      </c>
      <c r="I26" s="52">
        <v>2</v>
      </c>
      <c r="J26" s="52">
        <v>0</v>
      </c>
      <c r="K26" s="52">
        <v>0</v>
      </c>
      <c r="L26" s="52">
        <v>0</v>
      </c>
      <c r="M26" s="52">
        <v>0</v>
      </c>
      <c r="N26" s="52">
        <v>0</v>
      </c>
      <c r="O26" s="52">
        <v>2</v>
      </c>
      <c r="P26" s="54">
        <v>0</v>
      </c>
    </row>
    <row r="27" spans="2:16" x14ac:dyDescent="0.25">
      <c r="B27">
        <v>5099462</v>
      </c>
      <c r="C27" s="48">
        <v>43336</v>
      </c>
      <c r="D27" s="48">
        <v>43335</v>
      </c>
      <c r="E27" s="48">
        <v>43343</v>
      </c>
      <c r="F27" t="s">
        <v>1977</v>
      </c>
      <c r="G27" t="s">
        <v>310</v>
      </c>
      <c r="H27" t="s">
        <v>311</v>
      </c>
      <c r="I27" s="52">
        <v>25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25</v>
      </c>
      <c r="P27" s="54">
        <v>0</v>
      </c>
    </row>
    <row r="28" spans="2:16" x14ac:dyDescent="0.25">
      <c r="B28">
        <v>5099462</v>
      </c>
      <c r="C28" s="48">
        <v>43336</v>
      </c>
      <c r="D28" s="48">
        <v>43335</v>
      </c>
      <c r="E28" s="48">
        <v>43343</v>
      </c>
      <c r="F28" t="s">
        <v>1977</v>
      </c>
      <c r="G28" t="s">
        <v>878</v>
      </c>
      <c r="H28" t="s">
        <v>879</v>
      </c>
      <c r="I28" s="52">
        <v>82</v>
      </c>
      <c r="J28" s="52">
        <v>0</v>
      </c>
      <c r="K28" s="52">
        <v>0</v>
      </c>
      <c r="L28" s="52">
        <v>0</v>
      </c>
      <c r="M28" s="52">
        <v>0</v>
      </c>
      <c r="N28" s="52">
        <v>0</v>
      </c>
      <c r="O28" s="52">
        <v>82</v>
      </c>
      <c r="P28" s="54">
        <v>0</v>
      </c>
    </row>
    <row r="29" spans="2:16" x14ac:dyDescent="0.25">
      <c r="B29">
        <v>5099462</v>
      </c>
      <c r="C29" s="48">
        <v>43336</v>
      </c>
      <c r="D29" s="48">
        <v>43335</v>
      </c>
      <c r="E29" s="48">
        <v>43343</v>
      </c>
      <c r="F29" t="s">
        <v>1977</v>
      </c>
      <c r="G29" t="s">
        <v>814</v>
      </c>
      <c r="H29" t="s">
        <v>815</v>
      </c>
      <c r="I29" s="52">
        <v>400</v>
      </c>
      <c r="J29" s="52">
        <v>400</v>
      </c>
      <c r="K29" s="52">
        <v>-3</v>
      </c>
      <c r="L29" s="52">
        <v>403</v>
      </c>
      <c r="M29" s="52">
        <v>0</v>
      </c>
      <c r="N29" s="52">
        <v>0</v>
      </c>
      <c r="O29" s="52">
        <v>400</v>
      </c>
      <c r="P29" s="54">
        <v>0</v>
      </c>
    </row>
    <row r="30" spans="2:16" x14ac:dyDescent="0.25">
      <c r="B30">
        <v>5099462</v>
      </c>
      <c r="C30" s="48">
        <v>43336</v>
      </c>
      <c r="D30" s="48">
        <v>43335</v>
      </c>
      <c r="E30" s="48">
        <v>43343</v>
      </c>
      <c r="F30" t="s">
        <v>1977</v>
      </c>
      <c r="G30" t="s">
        <v>816</v>
      </c>
      <c r="H30" t="s">
        <v>817</v>
      </c>
      <c r="I30" s="52">
        <v>250</v>
      </c>
      <c r="J30" s="52">
        <v>250</v>
      </c>
      <c r="K30" s="52">
        <v>250</v>
      </c>
      <c r="L30" s="52">
        <v>0</v>
      </c>
      <c r="M30" s="52">
        <v>0</v>
      </c>
      <c r="N30" s="52">
        <v>250</v>
      </c>
      <c r="O30" s="52">
        <v>0</v>
      </c>
      <c r="P30" s="54">
        <v>1</v>
      </c>
    </row>
    <row r="31" spans="2:16" x14ac:dyDescent="0.25">
      <c r="B31">
        <v>5099462</v>
      </c>
      <c r="C31" s="48">
        <v>43336</v>
      </c>
      <c r="D31" s="48">
        <v>43335</v>
      </c>
      <c r="E31" s="48">
        <v>43343</v>
      </c>
      <c r="F31" t="s">
        <v>1977</v>
      </c>
      <c r="G31" t="s">
        <v>818</v>
      </c>
      <c r="H31" t="s">
        <v>819</v>
      </c>
      <c r="I31" s="52">
        <v>340</v>
      </c>
      <c r="J31" s="52">
        <v>340</v>
      </c>
      <c r="K31" s="52">
        <v>339</v>
      </c>
      <c r="L31" s="52">
        <v>1</v>
      </c>
      <c r="M31" s="52">
        <v>0</v>
      </c>
      <c r="N31" s="52">
        <v>338</v>
      </c>
      <c r="O31" s="52">
        <v>2</v>
      </c>
      <c r="P31" s="54">
        <v>0.99411764705882355</v>
      </c>
    </row>
    <row r="32" spans="2:16" x14ac:dyDescent="0.25">
      <c r="B32">
        <v>5099481</v>
      </c>
      <c r="C32" s="48">
        <v>43336</v>
      </c>
      <c r="D32" s="48">
        <v>43335</v>
      </c>
      <c r="E32" s="48">
        <v>43348</v>
      </c>
      <c r="F32" t="s">
        <v>12</v>
      </c>
      <c r="G32" t="s">
        <v>818</v>
      </c>
      <c r="H32" t="s">
        <v>819</v>
      </c>
      <c r="I32" s="52">
        <v>2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2</v>
      </c>
      <c r="P32" s="54">
        <v>0</v>
      </c>
    </row>
    <row r="33" spans="2:16" x14ac:dyDescent="0.25">
      <c r="B33">
        <v>5099718</v>
      </c>
      <c r="C33" s="48">
        <v>43339</v>
      </c>
      <c r="D33" s="48">
        <v>43336</v>
      </c>
      <c r="E33" s="48">
        <v>43348</v>
      </c>
      <c r="F33" t="s">
        <v>1962</v>
      </c>
      <c r="G33" t="s">
        <v>533</v>
      </c>
      <c r="H33" t="s">
        <v>534</v>
      </c>
      <c r="I33" s="52">
        <v>1</v>
      </c>
      <c r="J33" s="52">
        <v>1</v>
      </c>
      <c r="K33" s="52">
        <v>1</v>
      </c>
      <c r="L33" s="52">
        <v>0</v>
      </c>
      <c r="M33" s="52">
        <v>0</v>
      </c>
      <c r="N33" s="52">
        <v>1</v>
      </c>
      <c r="O33" s="52">
        <v>0</v>
      </c>
      <c r="P33" s="54">
        <v>1</v>
      </c>
    </row>
    <row r="34" spans="2:16" x14ac:dyDescent="0.25">
      <c r="B34">
        <v>5106113</v>
      </c>
      <c r="C34" s="48">
        <v>43363</v>
      </c>
      <c r="D34" s="48">
        <v>43361</v>
      </c>
      <c r="E34" s="48">
        <v>43369</v>
      </c>
      <c r="F34" t="s">
        <v>419</v>
      </c>
      <c r="G34" t="s">
        <v>126</v>
      </c>
      <c r="H34" t="s">
        <v>127</v>
      </c>
      <c r="I34" s="52">
        <v>1</v>
      </c>
      <c r="J34" s="52">
        <v>1</v>
      </c>
      <c r="K34" s="52">
        <v>1</v>
      </c>
      <c r="L34" s="52">
        <v>0</v>
      </c>
      <c r="M34" s="52">
        <v>0</v>
      </c>
      <c r="N34" s="52">
        <v>1</v>
      </c>
      <c r="O34" s="52">
        <v>0</v>
      </c>
      <c r="P34" s="54">
        <v>1</v>
      </c>
    </row>
    <row r="35" spans="2:16" x14ac:dyDescent="0.25">
      <c r="B35">
        <v>5106348</v>
      </c>
      <c r="C35" s="48">
        <v>43364</v>
      </c>
      <c r="D35" s="48">
        <v>43363</v>
      </c>
      <c r="E35" s="48">
        <v>43369</v>
      </c>
      <c r="F35" t="s">
        <v>419</v>
      </c>
      <c r="G35" t="s">
        <v>345</v>
      </c>
      <c r="H35" t="s">
        <v>346</v>
      </c>
      <c r="I35" s="52">
        <v>1</v>
      </c>
      <c r="J35" s="52">
        <v>1</v>
      </c>
      <c r="K35" s="52">
        <v>1</v>
      </c>
      <c r="L35" s="52">
        <v>0</v>
      </c>
      <c r="M35" s="52">
        <v>0</v>
      </c>
      <c r="N35" s="52">
        <v>1</v>
      </c>
      <c r="O35" s="52">
        <v>0</v>
      </c>
      <c r="P35" s="54">
        <v>1</v>
      </c>
    </row>
    <row r="36" spans="2:16" x14ac:dyDescent="0.25">
      <c r="B36">
        <v>5106558</v>
      </c>
      <c r="C36" s="48">
        <v>43364</v>
      </c>
      <c r="D36" s="48">
        <v>43363</v>
      </c>
      <c r="E36" s="48">
        <v>43369</v>
      </c>
      <c r="F36" t="s">
        <v>419</v>
      </c>
      <c r="G36" t="s">
        <v>345</v>
      </c>
      <c r="H36" t="s">
        <v>346</v>
      </c>
      <c r="I36" s="52">
        <v>1</v>
      </c>
      <c r="J36" s="52">
        <v>1</v>
      </c>
      <c r="K36" s="52">
        <v>1</v>
      </c>
      <c r="L36" s="52">
        <v>0</v>
      </c>
      <c r="M36" s="52">
        <v>0</v>
      </c>
      <c r="N36" s="52">
        <v>1</v>
      </c>
      <c r="O36" s="52">
        <v>0</v>
      </c>
      <c r="P36" s="54">
        <v>1</v>
      </c>
    </row>
    <row r="37" spans="2:16" x14ac:dyDescent="0.25">
      <c r="B37">
        <v>5100233</v>
      </c>
      <c r="C37" s="48">
        <v>43343</v>
      </c>
      <c r="D37" s="48">
        <v>43338</v>
      </c>
      <c r="E37" s="48">
        <v>43349</v>
      </c>
      <c r="F37" t="s">
        <v>160</v>
      </c>
      <c r="G37" t="s">
        <v>72</v>
      </c>
      <c r="H37" t="s">
        <v>73</v>
      </c>
      <c r="I37" s="52">
        <v>1</v>
      </c>
      <c r="J37" s="52">
        <v>1</v>
      </c>
      <c r="K37" s="52">
        <v>1</v>
      </c>
      <c r="L37" s="52">
        <v>0</v>
      </c>
      <c r="M37" s="52">
        <v>0</v>
      </c>
      <c r="N37" s="52">
        <v>1</v>
      </c>
      <c r="O37" s="52">
        <v>0</v>
      </c>
      <c r="P37" s="54">
        <v>1</v>
      </c>
    </row>
    <row r="38" spans="2:16" x14ac:dyDescent="0.25">
      <c r="B38">
        <v>5100902</v>
      </c>
      <c r="C38" s="48">
        <v>43342</v>
      </c>
      <c r="D38" s="48">
        <v>43341</v>
      </c>
      <c r="E38" s="48">
        <v>43352</v>
      </c>
      <c r="F38" t="s">
        <v>12</v>
      </c>
      <c r="G38" t="s">
        <v>142</v>
      </c>
      <c r="H38" t="s">
        <v>143</v>
      </c>
      <c r="I38" s="52">
        <v>30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30</v>
      </c>
      <c r="P38" s="54">
        <v>0</v>
      </c>
    </row>
    <row r="39" spans="2:16" x14ac:dyDescent="0.25">
      <c r="B39">
        <v>5101013</v>
      </c>
      <c r="C39" s="48">
        <v>43342</v>
      </c>
      <c r="D39" s="48">
        <v>43341</v>
      </c>
      <c r="E39" s="48">
        <v>43352</v>
      </c>
      <c r="F39" t="s">
        <v>1962</v>
      </c>
      <c r="G39" t="s">
        <v>142</v>
      </c>
      <c r="H39" t="s">
        <v>143</v>
      </c>
      <c r="I39" s="52">
        <v>30</v>
      </c>
      <c r="J39" s="52">
        <v>30</v>
      </c>
      <c r="K39" s="52">
        <v>30</v>
      </c>
      <c r="L39" s="52">
        <v>0</v>
      </c>
      <c r="M39" s="52">
        <v>0</v>
      </c>
      <c r="N39" s="52">
        <v>30</v>
      </c>
      <c r="O39" s="52">
        <v>0</v>
      </c>
      <c r="P39" s="54">
        <v>1</v>
      </c>
    </row>
    <row r="40" spans="2:16" x14ac:dyDescent="0.25">
      <c r="B40">
        <v>5101084</v>
      </c>
      <c r="C40" s="48">
        <v>43342</v>
      </c>
      <c r="D40" s="48">
        <v>43341</v>
      </c>
      <c r="E40" s="48">
        <v>43347</v>
      </c>
      <c r="F40" t="s">
        <v>162</v>
      </c>
      <c r="G40" t="s">
        <v>232</v>
      </c>
      <c r="H40" t="s">
        <v>233</v>
      </c>
      <c r="I40" s="52">
        <v>1</v>
      </c>
      <c r="J40" s="52">
        <v>1</v>
      </c>
      <c r="K40" s="52">
        <v>1</v>
      </c>
      <c r="L40" s="52">
        <v>0</v>
      </c>
      <c r="M40" s="52">
        <v>0</v>
      </c>
      <c r="N40" s="52">
        <v>1</v>
      </c>
      <c r="O40" s="52">
        <v>0</v>
      </c>
      <c r="P40" s="54">
        <v>1</v>
      </c>
    </row>
    <row r="41" spans="2:16" x14ac:dyDescent="0.25">
      <c r="B41">
        <v>5101219</v>
      </c>
      <c r="C41" s="48">
        <v>43343</v>
      </c>
      <c r="D41" s="48">
        <v>43342</v>
      </c>
      <c r="E41" s="48">
        <v>43354</v>
      </c>
      <c r="F41" t="s">
        <v>163</v>
      </c>
      <c r="G41" t="s">
        <v>227</v>
      </c>
      <c r="H41" t="s">
        <v>228</v>
      </c>
      <c r="I41" s="52">
        <v>1</v>
      </c>
      <c r="J41" s="52">
        <v>1</v>
      </c>
      <c r="K41" s="52">
        <v>1</v>
      </c>
      <c r="L41" s="52">
        <v>0</v>
      </c>
      <c r="M41" s="52">
        <v>0</v>
      </c>
      <c r="N41" s="52">
        <v>1</v>
      </c>
      <c r="O41" s="52">
        <v>0</v>
      </c>
      <c r="P41" s="54">
        <v>1</v>
      </c>
    </row>
    <row r="42" spans="2:16" x14ac:dyDescent="0.25">
      <c r="B42">
        <v>5101343</v>
      </c>
      <c r="C42" s="48">
        <v>43346</v>
      </c>
      <c r="D42" s="48">
        <v>43343</v>
      </c>
      <c r="E42" s="48">
        <v>43352</v>
      </c>
      <c r="F42" t="s">
        <v>160</v>
      </c>
      <c r="G42" t="s">
        <v>142</v>
      </c>
      <c r="H42" t="s">
        <v>143</v>
      </c>
      <c r="I42" s="52">
        <v>90</v>
      </c>
      <c r="J42" s="52">
        <v>90</v>
      </c>
      <c r="K42" s="52">
        <v>90</v>
      </c>
      <c r="L42" s="52">
        <v>0</v>
      </c>
      <c r="M42" s="52">
        <v>0</v>
      </c>
      <c r="N42" s="52">
        <v>90</v>
      </c>
      <c r="O42" s="52">
        <v>0</v>
      </c>
      <c r="P42" s="54">
        <v>1</v>
      </c>
    </row>
    <row r="43" spans="2:16" x14ac:dyDescent="0.25">
      <c r="B43">
        <v>5101343</v>
      </c>
      <c r="C43" s="48">
        <v>43346</v>
      </c>
      <c r="D43" s="48">
        <v>43343</v>
      </c>
      <c r="E43" s="48">
        <v>43352</v>
      </c>
      <c r="F43" t="s">
        <v>160</v>
      </c>
      <c r="G43" t="s">
        <v>310</v>
      </c>
      <c r="H43" t="s">
        <v>311</v>
      </c>
      <c r="I43" s="52">
        <v>70</v>
      </c>
      <c r="J43" s="52">
        <v>70</v>
      </c>
      <c r="K43" s="52">
        <v>70</v>
      </c>
      <c r="L43" s="52">
        <v>0</v>
      </c>
      <c r="M43" s="52">
        <v>0</v>
      </c>
      <c r="N43" s="52">
        <v>70</v>
      </c>
      <c r="O43" s="52">
        <v>0</v>
      </c>
      <c r="P43" s="54">
        <v>1</v>
      </c>
    </row>
    <row r="44" spans="2:16" x14ac:dyDescent="0.25">
      <c r="B44">
        <v>5101343</v>
      </c>
      <c r="C44" s="48">
        <v>43346</v>
      </c>
      <c r="D44" s="48">
        <v>43343</v>
      </c>
      <c r="E44" s="48">
        <v>43352</v>
      </c>
      <c r="F44" t="s">
        <v>160</v>
      </c>
      <c r="G44" t="s">
        <v>878</v>
      </c>
      <c r="H44" t="s">
        <v>879</v>
      </c>
      <c r="I44" s="52">
        <v>250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250</v>
      </c>
      <c r="P44" s="54">
        <v>0</v>
      </c>
    </row>
    <row r="45" spans="2:16" x14ac:dyDescent="0.25">
      <c r="B45">
        <v>5101343</v>
      </c>
      <c r="C45" s="48">
        <v>43346</v>
      </c>
      <c r="D45" s="48">
        <v>43343</v>
      </c>
      <c r="E45" s="48">
        <v>43352</v>
      </c>
      <c r="F45" t="s">
        <v>160</v>
      </c>
      <c r="G45" t="s">
        <v>816</v>
      </c>
      <c r="H45" t="s">
        <v>817</v>
      </c>
      <c r="I45" s="52">
        <v>200</v>
      </c>
      <c r="J45" s="52">
        <v>80</v>
      </c>
      <c r="K45" s="52">
        <v>80</v>
      </c>
      <c r="L45" s="52">
        <v>0</v>
      </c>
      <c r="M45" s="52">
        <v>0</v>
      </c>
      <c r="N45" s="52">
        <v>80</v>
      </c>
      <c r="O45" s="52">
        <v>120</v>
      </c>
      <c r="P45" s="54">
        <v>0.4</v>
      </c>
    </row>
    <row r="46" spans="2:16" x14ac:dyDescent="0.25">
      <c r="B46">
        <v>5101343</v>
      </c>
      <c r="C46" s="48">
        <v>43346</v>
      </c>
      <c r="D46" s="48">
        <v>43343</v>
      </c>
      <c r="E46" s="48">
        <v>43352</v>
      </c>
      <c r="F46" t="s">
        <v>160</v>
      </c>
      <c r="G46" t="s">
        <v>818</v>
      </c>
      <c r="H46" t="s">
        <v>819</v>
      </c>
      <c r="I46" s="52">
        <v>100</v>
      </c>
      <c r="J46" s="52">
        <v>100</v>
      </c>
      <c r="K46" s="52">
        <v>100</v>
      </c>
      <c r="L46" s="52">
        <v>0</v>
      </c>
      <c r="M46" s="52">
        <v>0</v>
      </c>
      <c r="N46" s="52">
        <v>100</v>
      </c>
      <c r="O46" s="52">
        <v>0</v>
      </c>
      <c r="P46" s="54">
        <v>1</v>
      </c>
    </row>
    <row r="47" spans="2:16" x14ac:dyDescent="0.25">
      <c r="B47">
        <v>5101343</v>
      </c>
      <c r="C47" s="48">
        <v>43346</v>
      </c>
      <c r="D47" s="48">
        <v>43343</v>
      </c>
      <c r="E47" s="48">
        <v>43352</v>
      </c>
      <c r="F47" t="s">
        <v>160</v>
      </c>
      <c r="G47" t="s">
        <v>1327</v>
      </c>
      <c r="H47" t="s">
        <v>1328</v>
      </c>
      <c r="I47" s="52">
        <v>600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600</v>
      </c>
      <c r="P47" s="54">
        <v>0</v>
      </c>
    </row>
    <row r="48" spans="2:16" x14ac:dyDescent="0.25">
      <c r="B48">
        <v>5101382</v>
      </c>
      <c r="C48" s="48">
        <v>43346</v>
      </c>
      <c r="D48" s="48">
        <v>43343</v>
      </c>
      <c r="E48" s="48">
        <v>43351</v>
      </c>
      <c r="F48" t="s">
        <v>162</v>
      </c>
      <c r="G48" t="s">
        <v>104</v>
      </c>
      <c r="H48" t="s">
        <v>105</v>
      </c>
      <c r="I48" s="52">
        <v>1</v>
      </c>
      <c r="J48" s="52">
        <v>1</v>
      </c>
      <c r="K48" s="52">
        <v>1</v>
      </c>
      <c r="L48" s="52">
        <v>0</v>
      </c>
      <c r="M48" s="52">
        <v>0</v>
      </c>
      <c r="N48" s="52">
        <v>1</v>
      </c>
      <c r="O48" s="52">
        <v>0</v>
      </c>
      <c r="P48" s="54">
        <v>1</v>
      </c>
    </row>
    <row r="49" spans="2:16" x14ac:dyDescent="0.25">
      <c r="B49">
        <v>5101545</v>
      </c>
      <c r="C49" s="48">
        <v>43346</v>
      </c>
      <c r="D49" s="48">
        <v>43343</v>
      </c>
      <c r="E49" s="48">
        <v>43353</v>
      </c>
      <c r="F49" t="s">
        <v>163</v>
      </c>
      <c r="G49" t="s">
        <v>345</v>
      </c>
      <c r="H49" t="s">
        <v>346</v>
      </c>
      <c r="I49" s="52">
        <v>1</v>
      </c>
      <c r="J49" s="52">
        <v>1</v>
      </c>
      <c r="K49" s="52">
        <v>1</v>
      </c>
      <c r="L49" s="52">
        <v>0</v>
      </c>
      <c r="M49" s="52">
        <v>0</v>
      </c>
      <c r="N49" s="52">
        <v>1</v>
      </c>
      <c r="O49" s="52">
        <v>0</v>
      </c>
      <c r="P49" s="54">
        <v>1</v>
      </c>
    </row>
    <row r="50" spans="2:16" x14ac:dyDescent="0.25">
      <c r="B50">
        <v>5101609</v>
      </c>
      <c r="C50" s="48">
        <v>43346</v>
      </c>
      <c r="D50" s="48">
        <v>43344</v>
      </c>
      <c r="E50" s="48">
        <v>43368</v>
      </c>
      <c r="F50" t="s">
        <v>419</v>
      </c>
      <c r="G50" t="s">
        <v>345</v>
      </c>
      <c r="H50" t="s">
        <v>346</v>
      </c>
      <c r="I50" s="52">
        <v>1</v>
      </c>
      <c r="J50" s="52">
        <v>1</v>
      </c>
      <c r="K50" s="52">
        <v>1</v>
      </c>
      <c r="L50" s="52">
        <v>0</v>
      </c>
      <c r="M50" s="52">
        <v>0</v>
      </c>
      <c r="N50" s="52">
        <v>1</v>
      </c>
      <c r="O50" s="52">
        <v>0</v>
      </c>
      <c r="P50" s="54">
        <v>1</v>
      </c>
    </row>
    <row r="51" spans="2:16" x14ac:dyDescent="0.25">
      <c r="B51">
        <v>5101799</v>
      </c>
      <c r="C51" s="48">
        <v>43346</v>
      </c>
      <c r="D51" s="48">
        <v>43344</v>
      </c>
      <c r="E51" s="48">
        <v>43353</v>
      </c>
      <c r="F51" t="s">
        <v>163</v>
      </c>
      <c r="G51" t="s">
        <v>232</v>
      </c>
      <c r="H51" t="s">
        <v>233</v>
      </c>
      <c r="I51" s="52">
        <v>1</v>
      </c>
      <c r="J51" s="52">
        <v>1</v>
      </c>
      <c r="K51" s="52">
        <v>1</v>
      </c>
      <c r="L51" s="52">
        <v>0</v>
      </c>
      <c r="M51" s="52">
        <v>0</v>
      </c>
      <c r="N51" s="52">
        <v>1</v>
      </c>
      <c r="O51" s="52">
        <v>0</v>
      </c>
      <c r="P51" s="54">
        <v>1</v>
      </c>
    </row>
    <row r="52" spans="2:16" x14ac:dyDescent="0.25">
      <c r="B52">
        <v>5101844</v>
      </c>
      <c r="C52" s="48">
        <v>43346</v>
      </c>
      <c r="D52" s="48">
        <v>43344</v>
      </c>
      <c r="E52" s="48">
        <v>43353</v>
      </c>
      <c r="F52" t="s">
        <v>163</v>
      </c>
      <c r="G52" t="s">
        <v>345</v>
      </c>
      <c r="H52" t="s">
        <v>346</v>
      </c>
      <c r="I52" s="52">
        <v>1</v>
      </c>
      <c r="J52" s="52">
        <v>1</v>
      </c>
      <c r="K52" s="52">
        <v>1</v>
      </c>
      <c r="L52" s="52">
        <v>0</v>
      </c>
      <c r="M52" s="52">
        <v>0</v>
      </c>
      <c r="N52" s="52">
        <v>1</v>
      </c>
      <c r="O52" s="52">
        <v>0</v>
      </c>
      <c r="P52" s="54">
        <v>1</v>
      </c>
    </row>
    <row r="53" spans="2:16" x14ac:dyDescent="0.25">
      <c r="B53">
        <v>5102039</v>
      </c>
      <c r="C53" s="48">
        <v>43346</v>
      </c>
      <c r="D53" s="48">
        <v>43345</v>
      </c>
      <c r="E53" s="48">
        <v>43353</v>
      </c>
      <c r="F53" t="s">
        <v>163</v>
      </c>
      <c r="G53" t="s">
        <v>345</v>
      </c>
      <c r="H53" t="s">
        <v>346</v>
      </c>
      <c r="I53" s="52">
        <v>1</v>
      </c>
      <c r="J53" s="52">
        <v>1</v>
      </c>
      <c r="K53" s="52">
        <v>1</v>
      </c>
      <c r="L53" s="52">
        <v>0</v>
      </c>
      <c r="M53" s="52">
        <v>0</v>
      </c>
      <c r="N53" s="52">
        <v>1</v>
      </c>
      <c r="O53" s="52">
        <v>0</v>
      </c>
      <c r="P53" s="54">
        <v>1</v>
      </c>
    </row>
    <row r="54" spans="2:16" x14ac:dyDescent="0.25">
      <c r="B54">
        <v>5102070</v>
      </c>
      <c r="C54" s="48">
        <v>43347</v>
      </c>
      <c r="D54" s="48">
        <v>43346</v>
      </c>
      <c r="E54" s="48">
        <v>43352</v>
      </c>
      <c r="F54" t="s">
        <v>160</v>
      </c>
      <c r="G54" t="s">
        <v>814</v>
      </c>
      <c r="H54" t="s">
        <v>815</v>
      </c>
      <c r="I54" s="52">
        <v>200</v>
      </c>
      <c r="J54" s="52">
        <v>200</v>
      </c>
      <c r="K54" s="52">
        <v>200</v>
      </c>
      <c r="L54" s="52">
        <v>0</v>
      </c>
      <c r="M54" s="52">
        <v>0</v>
      </c>
      <c r="N54" s="52">
        <v>200</v>
      </c>
      <c r="O54" s="52">
        <v>0</v>
      </c>
      <c r="P54" s="54">
        <v>1</v>
      </c>
    </row>
    <row r="55" spans="2:16" x14ac:dyDescent="0.25">
      <c r="B55">
        <v>5102070</v>
      </c>
      <c r="C55" s="48">
        <v>43347</v>
      </c>
      <c r="D55" s="48">
        <v>43346</v>
      </c>
      <c r="E55" s="48">
        <v>43352</v>
      </c>
      <c r="F55" t="s">
        <v>160</v>
      </c>
      <c r="G55" t="s">
        <v>816</v>
      </c>
      <c r="H55" t="s">
        <v>817</v>
      </c>
      <c r="I55" s="52">
        <v>200</v>
      </c>
      <c r="J55" s="52">
        <v>0</v>
      </c>
      <c r="K55" s="52">
        <v>0</v>
      </c>
      <c r="L55" s="52">
        <v>0</v>
      </c>
      <c r="M55" s="52">
        <v>0</v>
      </c>
      <c r="N55" s="52">
        <v>0</v>
      </c>
      <c r="O55" s="52">
        <v>200</v>
      </c>
      <c r="P55" s="54">
        <v>0</v>
      </c>
    </row>
    <row r="56" spans="2:16" x14ac:dyDescent="0.25">
      <c r="B56">
        <v>5102329</v>
      </c>
      <c r="C56" s="48">
        <v>43347</v>
      </c>
      <c r="D56" s="48">
        <v>43346</v>
      </c>
      <c r="E56" s="48">
        <v>43353</v>
      </c>
      <c r="F56" t="s">
        <v>163</v>
      </c>
      <c r="G56" t="s">
        <v>345</v>
      </c>
      <c r="H56" t="s">
        <v>346</v>
      </c>
      <c r="I56" s="52">
        <v>1</v>
      </c>
      <c r="J56" s="52">
        <v>1</v>
      </c>
      <c r="K56" s="52">
        <v>1</v>
      </c>
      <c r="L56" s="52">
        <v>0</v>
      </c>
      <c r="M56" s="52">
        <v>0</v>
      </c>
      <c r="N56" s="52">
        <v>1</v>
      </c>
      <c r="O56" s="52">
        <v>0</v>
      </c>
      <c r="P56" s="54">
        <v>1</v>
      </c>
    </row>
    <row r="57" spans="2:16" x14ac:dyDescent="0.25">
      <c r="B57">
        <v>5102384</v>
      </c>
      <c r="C57" s="48">
        <v>43348</v>
      </c>
      <c r="D57" s="48">
        <v>43347</v>
      </c>
      <c r="E57" s="48">
        <v>43353</v>
      </c>
      <c r="F57" t="s">
        <v>163</v>
      </c>
      <c r="G57" t="s">
        <v>318</v>
      </c>
      <c r="H57" t="s">
        <v>319</v>
      </c>
      <c r="I57" s="52">
        <v>1</v>
      </c>
      <c r="J57" s="52">
        <v>1</v>
      </c>
      <c r="K57" s="52">
        <v>1</v>
      </c>
      <c r="L57" s="52">
        <v>0</v>
      </c>
      <c r="M57" s="52">
        <v>0</v>
      </c>
      <c r="N57" s="52">
        <v>1</v>
      </c>
      <c r="O57" s="52">
        <v>0</v>
      </c>
      <c r="P57" s="54">
        <v>1</v>
      </c>
    </row>
    <row r="58" spans="2:16" x14ac:dyDescent="0.25">
      <c r="B58">
        <v>5102386</v>
      </c>
      <c r="C58" s="48">
        <v>43348</v>
      </c>
      <c r="D58" s="48">
        <v>43347</v>
      </c>
      <c r="E58" s="48">
        <v>43353</v>
      </c>
      <c r="F58" t="s">
        <v>163</v>
      </c>
      <c r="G58" t="s">
        <v>345</v>
      </c>
      <c r="H58" t="s">
        <v>346</v>
      </c>
      <c r="I58" s="52">
        <v>1</v>
      </c>
      <c r="J58" s="52">
        <v>1</v>
      </c>
      <c r="K58" s="52">
        <v>1</v>
      </c>
      <c r="L58" s="52">
        <v>0</v>
      </c>
      <c r="M58" s="52">
        <v>0</v>
      </c>
      <c r="N58" s="52">
        <v>1</v>
      </c>
      <c r="O58" s="52">
        <v>0</v>
      </c>
      <c r="P58" s="54">
        <v>1</v>
      </c>
    </row>
    <row r="59" spans="2:16" x14ac:dyDescent="0.25">
      <c r="B59">
        <v>5102503</v>
      </c>
      <c r="C59" s="48">
        <v>43348</v>
      </c>
      <c r="D59" s="48">
        <v>43347</v>
      </c>
      <c r="E59" s="48">
        <v>43353</v>
      </c>
      <c r="F59" t="s">
        <v>163</v>
      </c>
      <c r="G59" t="s">
        <v>92</v>
      </c>
      <c r="H59" t="s">
        <v>93</v>
      </c>
      <c r="I59" s="52">
        <v>1</v>
      </c>
      <c r="J59" s="52">
        <v>1</v>
      </c>
      <c r="K59" s="52">
        <v>1</v>
      </c>
      <c r="L59" s="52">
        <v>0</v>
      </c>
      <c r="M59" s="52">
        <v>0</v>
      </c>
      <c r="N59" s="52">
        <v>1</v>
      </c>
      <c r="O59" s="52">
        <v>0</v>
      </c>
      <c r="P59" s="54">
        <v>1</v>
      </c>
    </row>
    <row r="60" spans="2:16" x14ac:dyDescent="0.25">
      <c r="B60">
        <v>5102601</v>
      </c>
      <c r="C60" s="48">
        <v>43348</v>
      </c>
      <c r="D60" s="48">
        <v>43347</v>
      </c>
      <c r="E60" s="48">
        <v>43353</v>
      </c>
      <c r="F60" t="s">
        <v>163</v>
      </c>
      <c r="G60" t="s">
        <v>345</v>
      </c>
      <c r="H60" t="s">
        <v>346</v>
      </c>
      <c r="I60" s="52">
        <v>1</v>
      </c>
      <c r="J60" s="52">
        <v>1</v>
      </c>
      <c r="K60" s="52">
        <v>1</v>
      </c>
      <c r="L60" s="52">
        <v>0</v>
      </c>
      <c r="M60" s="52">
        <v>0</v>
      </c>
      <c r="N60" s="52">
        <v>1</v>
      </c>
      <c r="O60" s="52">
        <v>0</v>
      </c>
      <c r="P60" s="54">
        <v>1</v>
      </c>
    </row>
    <row r="61" spans="2:16" x14ac:dyDescent="0.25">
      <c r="B61">
        <v>5102640</v>
      </c>
      <c r="C61" s="48">
        <v>43348</v>
      </c>
      <c r="D61" s="48">
        <v>43347</v>
      </c>
      <c r="E61" s="48">
        <v>43353</v>
      </c>
      <c r="F61" t="s">
        <v>163</v>
      </c>
      <c r="G61" t="s">
        <v>96</v>
      </c>
      <c r="H61" t="s">
        <v>97</v>
      </c>
      <c r="I61" s="52">
        <v>1</v>
      </c>
      <c r="J61" s="52">
        <v>1</v>
      </c>
      <c r="K61" s="52">
        <v>1</v>
      </c>
      <c r="L61" s="52">
        <v>0</v>
      </c>
      <c r="M61" s="52">
        <v>0</v>
      </c>
      <c r="N61" s="52">
        <v>1</v>
      </c>
      <c r="O61" s="52">
        <v>0</v>
      </c>
      <c r="P61" s="54">
        <v>1</v>
      </c>
    </row>
    <row r="62" spans="2:16" x14ac:dyDescent="0.25">
      <c r="B62">
        <v>5102644</v>
      </c>
      <c r="C62" s="48">
        <v>43348</v>
      </c>
      <c r="D62" s="48">
        <v>43347</v>
      </c>
      <c r="E62" s="48">
        <v>43353</v>
      </c>
      <c r="F62" t="s">
        <v>163</v>
      </c>
      <c r="G62" t="s">
        <v>345</v>
      </c>
      <c r="H62" t="s">
        <v>346</v>
      </c>
      <c r="I62" s="52">
        <v>1</v>
      </c>
      <c r="J62" s="52">
        <v>1</v>
      </c>
      <c r="K62" s="52">
        <v>1</v>
      </c>
      <c r="L62" s="52">
        <v>0</v>
      </c>
      <c r="M62" s="52">
        <v>0</v>
      </c>
      <c r="N62" s="52">
        <v>1</v>
      </c>
      <c r="O62" s="52">
        <v>0</v>
      </c>
      <c r="P62" s="54">
        <v>1</v>
      </c>
    </row>
    <row r="63" spans="2:16" x14ac:dyDescent="0.25">
      <c r="B63">
        <v>5102658</v>
      </c>
      <c r="C63" s="48">
        <v>43348</v>
      </c>
      <c r="D63" s="48">
        <v>43347</v>
      </c>
      <c r="E63" s="48">
        <v>43364</v>
      </c>
      <c r="F63" t="s">
        <v>422</v>
      </c>
      <c r="G63" t="s">
        <v>905</v>
      </c>
      <c r="H63" t="s">
        <v>906</v>
      </c>
      <c r="I63" s="52">
        <v>1</v>
      </c>
      <c r="J63" s="52">
        <v>1</v>
      </c>
      <c r="K63" s="52">
        <v>1</v>
      </c>
      <c r="L63" s="52">
        <v>0</v>
      </c>
      <c r="M63" s="52">
        <v>0</v>
      </c>
      <c r="N63" s="52">
        <v>1</v>
      </c>
      <c r="O63" s="52">
        <v>0</v>
      </c>
      <c r="P63" s="54">
        <v>1</v>
      </c>
    </row>
    <row r="64" spans="2:16" x14ac:dyDescent="0.25">
      <c r="B64">
        <v>5102671</v>
      </c>
      <c r="C64" s="48">
        <v>43348</v>
      </c>
      <c r="D64" s="48">
        <v>43347</v>
      </c>
      <c r="E64" s="48">
        <v>43354</v>
      </c>
      <c r="F64" t="s">
        <v>163</v>
      </c>
      <c r="G64" t="s">
        <v>108</v>
      </c>
      <c r="H64" t="s">
        <v>109</v>
      </c>
      <c r="I64" s="52">
        <v>1</v>
      </c>
      <c r="J64" s="52">
        <v>1</v>
      </c>
      <c r="K64" s="52">
        <v>1</v>
      </c>
      <c r="L64" s="52">
        <v>0</v>
      </c>
      <c r="M64" s="52">
        <v>0</v>
      </c>
      <c r="N64" s="52">
        <v>1</v>
      </c>
      <c r="O64" s="52">
        <v>0</v>
      </c>
      <c r="P64" s="54">
        <v>1</v>
      </c>
    </row>
    <row r="65" spans="2:16" x14ac:dyDescent="0.25">
      <c r="B65">
        <v>5102747</v>
      </c>
      <c r="C65" s="48">
        <v>43349</v>
      </c>
      <c r="D65" s="48">
        <v>43348</v>
      </c>
      <c r="E65" s="48">
        <v>43354</v>
      </c>
      <c r="F65" t="s">
        <v>163</v>
      </c>
      <c r="G65" t="s">
        <v>345</v>
      </c>
      <c r="H65" t="s">
        <v>346</v>
      </c>
      <c r="I65" s="52">
        <v>1</v>
      </c>
      <c r="J65" s="52">
        <v>1</v>
      </c>
      <c r="K65" s="52">
        <v>1</v>
      </c>
      <c r="L65" s="52">
        <v>0</v>
      </c>
      <c r="M65" s="52">
        <v>0</v>
      </c>
      <c r="N65" s="52">
        <v>1</v>
      </c>
      <c r="O65" s="52">
        <v>0</v>
      </c>
      <c r="P65" s="54">
        <v>1</v>
      </c>
    </row>
    <row r="66" spans="2:16" x14ac:dyDescent="0.25">
      <c r="B66">
        <v>5102771</v>
      </c>
      <c r="C66" s="48">
        <v>43349</v>
      </c>
      <c r="D66" s="48">
        <v>43348</v>
      </c>
      <c r="E66" s="48">
        <v>43354</v>
      </c>
      <c r="F66" t="s">
        <v>163</v>
      </c>
      <c r="G66" t="s">
        <v>232</v>
      </c>
      <c r="H66" t="s">
        <v>233</v>
      </c>
      <c r="I66" s="52">
        <v>1</v>
      </c>
      <c r="J66" s="52">
        <v>1</v>
      </c>
      <c r="K66" s="52">
        <v>1</v>
      </c>
      <c r="L66" s="52">
        <v>0</v>
      </c>
      <c r="M66" s="52">
        <v>0</v>
      </c>
      <c r="N66" s="52">
        <v>1</v>
      </c>
      <c r="O66" s="52">
        <v>0</v>
      </c>
      <c r="P66" s="54">
        <v>1</v>
      </c>
    </row>
    <row r="67" spans="2:16" x14ac:dyDescent="0.25">
      <c r="B67">
        <v>5102884</v>
      </c>
      <c r="C67" s="48">
        <v>43349</v>
      </c>
      <c r="D67" s="48">
        <v>43348</v>
      </c>
      <c r="E67" s="48">
        <v>43369</v>
      </c>
      <c r="F67" t="s">
        <v>419</v>
      </c>
      <c r="G67" t="s">
        <v>345</v>
      </c>
      <c r="H67" t="s">
        <v>346</v>
      </c>
      <c r="I67" s="52">
        <v>1</v>
      </c>
      <c r="J67" s="52">
        <v>1</v>
      </c>
      <c r="K67" s="52">
        <v>1</v>
      </c>
      <c r="L67" s="52">
        <v>0</v>
      </c>
      <c r="M67" s="52">
        <v>0</v>
      </c>
      <c r="N67" s="52">
        <v>1</v>
      </c>
      <c r="O67" s="52">
        <v>0</v>
      </c>
      <c r="P67" s="54">
        <v>1</v>
      </c>
    </row>
    <row r="68" spans="2:16" x14ac:dyDescent="0.25">
      <c r="B68">
        <v>5102893</v>
      </c>
      <c r="C68" s="48">
        <v>43349</v>
      </c>
      <c r="D68" s="48">
        <v>43348</v>
      </c>
      <c r="E68" s="48">
        <v>43354</v>
      </c>
      <c r="F68" t="s">
        <v>163</v>
      </c>
      <c r="G68" t="s">
        <v>345</v>
      </c>
      <c r="H68" t="s">
        <v>346</v>
      </c>
      <c r="I68" s="52">
        <v>1</v>
      </c>
      <c r="J68" s="52">
        <v>1</v>
      </c>
      <c r="K68" s="52">
        <v>1</v>
      </c>
      <c r="L68" s="52">
        <v>0</v>
      </c>
      <c r="M68" s="52">
        <v>0</v>
      </c>
      <c r="N68" s="52">
        <v>1</v>
      </c>
      <c r="O68" s="52">
        <v>0</v>
      </c>
      <c r="P68" s="54">
        <v>1</v>
      </c>
    </row>
    <row r="69" spans="2:16" x14ac:dyDescent="0.25">
      <c r="B69">
        <v>5103077</v>
      </c>
      <c r="C69" s="48">
        <v>43349</v>
      </c>
      <c r="D69" s="48">
        <v>43348</v>
      </c>
      <c r="E69" s="48">
        <v>43354</v>
      </c>
      <c r="F69" t="s">
        <v>163</v>
      </c>
      <c r="G69" t="s">
        <v>345</v>
      </c>
      <c r="H69" t="s">
        <v>346</v>
      </c>
      <c r="I69" s="52">
        <v>1</v>
      </c>
      <c r="J69" s="52">
        <v>1</v>
      </c>
      <c r="K69" s="52">
        <v>1</v>
      </c>
      <c r="L69" s="52">
        <v>0</v>
      </c>
      <c r="M69" s="52">
        <v>0</v>
      </c>
      <c r="N69" s="52">
        <v>1</v>
      </c>
      <c r="O69" s="52">
        <v>0</v>
      </c>
      <c r="P69" s="54">
        <v>1</v>
      </c>
    </row>
    <row r="70" spans="2:16" x14ac:dyDescent="0.25">
      <c r="B70">
        <v>5103162</v>
      </c>
      <c r="C70" s="48">
        <v>43349</v>
      </c>
      <c r="D70" s="48">
        <v>43348</v>
      </c>
      <c r="E70" s="48">
        <v>43354</v>
      </c>
      <c r="F70" t="s">
        <v>163</v>
      </c>
      <c r="G70" t="s">
        <v>345</v>
      </c>
      <c r="H70" t="s">
        <v>346</v>
      </c>
      <c r="I70" s="52">
        <v>1</v>
      </c>
      <c r="J70" s="52">
        <v>1</v>
      </c>
      <c r="K70" s="52">
        <v>1</v>
      </c>
      <c r="L70" s="52">
        <v>0</v>
      </c>
      <c r="M70" s="52">
        <v>0</v>
      </c>
      <c r="N70" s="52">
        <v>1</v>
      </c>
      <c r="O70" s="52">
        <v>0</v>
      </c>
      <c r="P70" s="54">
        <v>1</v>
      </c>
    </row>
    <row r="71" spans="2:16" x14ac:dyDescent="0.25">
      <c r="B71">
        <v>5103234</v>
      </c>
      <c r="C71" s="48">
        <v>43349</v>
      </c>
      <c r="D71" s="48">
        <v>43348</v>
      </c>
      <c r="E71" s="48">
        <v>43354</v>
      </c>
      <c r="F71" t="s">
        <v>163</v>
      </c>
      <c r="G71" t="s">
        <v>345</v>
      </c>
      <c r="H71" t="s">
        <v>346</v>
      </c>
      <c r="I71" s="52">
        <v>1</v>
      </c>
      <c r="J71" s="52">
        <v>1</v>
      </c>
      <c r="K71" s="52">
        <v>1</v>
      </c>
      <c r="L71" s="52">
        <v>0</v>
      </c>
      <c r="M71" s="52">
        <v>0</v>
      </c>
      <c r="N71" s="52">
        <v>1</v>
      </c>
      <c r="O71" s="52">
        <v>0</v>
      </c>
      <c r="P71" s="54">
        <v>1</v>
      </c>
    </row>
    <row r="72" spans="2:16" x14ac:dyDescent="0.25">
      <c r="B72">
        <v>5103237</v>
      </c>
      <c r="C72" s="48">
        <v>43349</v>
      </c>
      <c r="D72" s="48">
        <v>43348</v>
      </c>
      <c r="E72" s="48">
        <v>43354</v>
      </c>
      <c r="F72" t="s">
        <v>163</v>
      </c>
      <c r="G72" t="s">
        <v>126</v>
      </c>
      <c r="H72" t="s">
        <v>127</v>
      </c>
      <c r="I72" s="52">
        <v>1</v>
      </c>
      <c r="J72" s="52">
        <v>1</v>
      </c>
      <c r="K72" s="52">
        <v>1</v>
      </c>
      <c r="L72" s="52">
        <v>0</v>
      </c>
      <c r="M72" s="52">
        <v>0</v>
      </c>
      <c r="N72" s="52">
        <v>1</v>
      </c>
      <c r="O72" s="52">
        <v>0</v>
      </c>
      <c r="P72" s="54">
        <v>1</v>
      </c>
    </row>
    <row r="73" spans="2:16" x14ac:dyDescent="0.25">
      <c r="B73">
        <v>5103279</v>
      </c>
      <c r="C73" s="48">
        <v>43349</v>
      </c>
      <c r="D73" s="48">
        <v>43348</v>
      </c>
      <c r="E73" s="48">
        <v>43354</v>
      </c>
      <c r="F73" t="s">
        <v>163</v>
      </c>
      <c r="G73" t="s">
        <v>345</v>
      </c>
      <c r="H73" t="s">
        <v>346</v>
      </c>
      <c r="I73" s="52">
        <v>1</v>
      </c>
      <c r="J73" s="52">
        <v>1</v>
      </c>
      <c r="K73" s="52">
        <v>1</v>
      </c>
      <c r="L73" s="52">
        <v>0</v>
      </c>
      <c r="M73" s="52">
        <v>0</v>
      </c>
      <c r="N73" s="52">
        <v>1</v>
      </c>
      <c r="O73" s="52">
        <v>0</v>
      </c>
      <c r="P73" s="54">
        <v>1</v>
      </c>
    </row>
    <row r="74" spans="2:16" x14ac:dyDescent="0.25">
      <c r="B74">
        <v>5103292</v>
      </c>
      <c r="C74" s="48">
        <v>43349</v>
      </c>
      <c r="D74" s="48">
        <v>43348</v>
      </c>
      <c r="E74" s="48">
        <v>43368</v>
      </c>
      <c r="F74" t="s">
        <v>413</v>
      </c>
      <c r="G74" t="s">
        <v>227</v>
      </c>
      <c r="H74" t="s">
        <v>228</v>
      </c>
      <c r="I74" s="52">
        <v>2</v>
      </c>
      <c r="J74" s="52">
        <v>2</v>
      </c>
      <c r="K74" s="52">
        <v>2</v>
      </c>
      <c r="L74" s="52">
        <v>2</v>
      </c>
      <c r="M74" s="52">
        <v>2</v>
      </c>
      <c r="N74" s="52">
        <v>2</v>
      </c>
      <c r="O74" s="52">
        <v>0</v>
      </c>
      <c r="P74" s="54">
        <v>1</v>
      </c>
    </row>
    <row r="75" spans="2:16" x14ac:dyDescent="0.25">
      <c r="B75">
        <v>5103426</v>
      </c>
      <c r="C75" s="48">
        <v>43350</v>
      </c>
      <c r="D75" s="48">
        <v>43349</v>
      </c>
      <c r="E75" s="48">
        <v>43368</v>
      </c>
      <c r="F75" t="s">
        <v>419</v>
      </c>
      <c r="G75" t="s">
        <v>96</v>
      </c>
      <c r="H75" t="s">
        <v>97</v>
      </c>
      <c r="I75" s="52">
        <v>1</v>
      </c>
      <c r="J75" s="52">
        <v>1</v>
      </c>
      <c r="K75" s="52">
        <v>1</v>
      </c>
      <c r="L75" s="52">
        <v>0</v>
      </c>
      <c r="M75" s="52">
        <v>0</v>
      </c>
      <c r="N75" s="52">
        <v>1</v>
      </c>
      <c r="O75" s="52">
        <v>0</v>
      </c>
      <c r="P75" s="54">
        <v>1</v>
      </c>
    </row>
    <row r="76" spans="2:16" x14ac:dyDescent="0.25">
      <c r="B76">
        <v>5103550</v>
      </c>
      <c r="C76" s="48">
        <v>43350</v>
      </c>
      <c r="D76" s="48">
        <v>43349</v>
      </c>
      <c r="E76" s="48">
        <v>43359</v>
      </c>
      <c r="F76" t="s">
        <v>1983</v>
      </c>
      <c r="G76" t="s">
        <v>142</v>
      </c>
      <c r="H76" t="s">
        <v>143</v>
      </c>
      <c r="I76" s="52">
        <v>110</v>
      </c>
      <c r="J76" s="52">
        <v>110</v>
      </c>
      <c r="K76" s="52">
        <v>110</v>
      </c>
      <c r="L76" s="52">
        <v>0</v>
      </c>
      <c r="M76" s="52">
        <v>0</v>
      </c>
      <c r="N76" s="52">
        <v>110</v>
      </c>
      <c r="O76" s="52">
        <v>0</v>
      </c>
      <c r="P76" s="54">
        <v>1</v>
      </c>
    </row>
    <row r="77" spans="2:16" x14ac:dyDescent="0.25">
      <c r="B77">
        <v>5103550</v>
      </c>
      <c r="C77" s="48">
        <v>43350</v>
      </c>
      <c r="D77" s="48">
        <v>43349</v>
      </c>
      <c r="E77" s="48">
        <v>43359</v>
      </c>
      <c r="F77" t="s">
        <v>1983</v>
      </c>
      <c r="G77" t="s">
        <v>310</v>
      </c>
      <c r="H77" t="s">
        <v>311</v>
      </c>
      <c r="I77" s="52">
        <v>80</v>
      </c>
      <c r="J77" s="52">
        <v>80</v>
      </c>
      <c r="K77" s="52">
        <v>80</v>
      </c>
      <c r="L77" s="52">
        <v>0</v>
      </c>
      <c r="M77" s="52">
        <v>0</v>
      </c>
      <c r="N77" s="52">
        <v>80</v>
      </c>
      <c r="O77" s="52">
        <v>0</v>
      </c>
      <c r="P77" s="54">
        <v>1</v>
      </c>
    </row>
    <row r="78" spans="2:16" x14ac:dyDescent="0.25">
      <c r="B78">
        <v>5103550</v>
      </c>
      <c r="C78" s="48">
        <v>43350</v>
      </c>
      <c r="D78" s="48">
        <v>43349</v>
      </c>
      <c r="E78" s="48">
        <v>43359</v>
      </c>
      <c r="F78" t="s">
        <v>1983</v>
      </c>
      <c r="G78" t="s">
        <v>878</v>
      </c>
      <c r="H78" t="s">
        <v>879</v>
      </c>
      <c r="I78" s="52">
        <v>500</v>
      </c>
      <c r="J78" s="52">
        <v>500</v>
      </c>
      <c r="K78" s="52">
        <v>499</v>
      </c>
      <c r="L78" s="52">
        <v>1</v>
      </c>
      <c r="M78" s="52">
        <v>0</v>
      </c>
      <c r="N78" s="52">
        <v>498</v>
      </c>
      <c r="O78" s="52">
        <v>2</v>
      </c>
      <c r="P78" s="54">
        <v>0.996</v>
      </c>
    </row>
    <row r="79" spans="2:16" x14ac:dyDescent="0.25">
      <c r="B79">
        <v>5103550</v>
      </c>
      <c r="C79" s="48">
        <v>43350</v>
      </c>
      <c r="D79" s="48">
        <v>43349</v>
      </c>
      <c r="E79" s="48">
        <v>43359</v>
      </c>
      <c r="F79" t="s">
        <v>1983</v>
      </c>
      <c r="G79" t="s">
        <v>814</v>
      </c>
      <c r="H79" t="s">
        <v>815</v>
      </c>
      <c r="I79" s="52">
        <v>300</v>
      </c>
      <c r="J79" s="52">
        <v>300</v>
      </c>
      <c r="K79" s="52">
        <v>300</v>
      </c>
      <c r="L79" s="52">
        <v>0</v>
      </c>
      <c r="M79" s="52">
        <v>0</v>
      </c>
      <c r="N79" s="52">
        <v>300</v>
      </c>
      <c r="O79" s="52">
        <v>0</v>
      </c>
      <c r="P79" s="54">
        <v>1</v>
      </c>
    </row>
    <row r="80" spans="2:16" x14ac:dyDescent="0.25">
      <c r="B80">
        <v>5103550</v>
      </c>
      <c r="C80" s="48">
        <v>43350</v>
      </c>
      <c r="D80" s="48">
        <v>43349</v>
      </c>
      <c r="E80" s="48">
        <v>43359</v>
      </c>
      <c r="F80" t="s">
        <v>1983</v>
      </c>
      <c r="G80" t="s">
        <v>816</v>
      </c>
      <c r="H80" t="s">
        <v>817</v>
      </c>
      <c r="I80" s="52">
        <v>620</v>
      </c>
      <c r="J80" s="52">
        <v>250</v>
      </c>
      <c r="K80" s="52">
        <v>250</v>
      </c>
      <c r="L80" s="52">
        <v>0</v>
      </c>
      <c r="M80" s="52">
        <v>0</v>
      </c>
      <c r="N80" s="52">
        <v>250</v>
      </c>
      <c r="O80" s="52">
        <v>370</v>
      </c>
      <c r="P80" s="54">
        <v>0.40322580645161288</v>
      </c>
    </row>
    <row r="81" spans="2:16" x14ac:dyDescent="0.25">
      <c r="B81">
        <v>5103550</v>
      </c>
      <c r="C81" s="48">
        <v>43350</v>
      </c>
      <c r="D81" s="48">
        <v>43349</v>
      </c>
      <c r="E81" s="48">
        <v>43359</v>
      </c>
      <c r="F81" t="s">
        <v>1983</v>
      </c>
      <c r="G81" t="s">
        <v>818</v>
      </c>
      <c r="H81" t="s">
        <v>819</v>
      </c>
      <c r="I81" s="52">
        <v>200</v>
      </c>
      <c r="J81" s="52">
        <v>200</v>
      </c>
      <c r="K81" s="52">
        <v>200</v>
      </c>
      <c r="L81" s="52">
        <v>0</v>
      </c>
      <c r="M81" s="52">
        <v>0</v>
      </c>
      <c r="N81" s="52">
        <v>200</v>
      </c>
      <c r="O81" s="52">
        <v>0</v>
      </c>
      <c r="P81" s="54">
        <v>1</v>
      </c>
    </row>
    <row r="82" spans="2:16" x14ac:dyDescent="0.25">
      <c r="B82">
        <v>5103577</v>
      </c>
      <c r="C82" s="48">
        <v>43350</v>
      </c>
      <c r="D82" s="48">
        <v>43350</v>
      </c>
      <c r="E82" s="48">
        <v>43368</v>
      </c>
      <c r="F82" t="s">
        <v>419</v>
      </c>
      <c r="G82" t="s">
        <v>345</v>
      </c>
      <c r="H82" t="s">
        <v>346</v>
      </c>
      <c r="I82" s="52">
        <v>1</v>
      </c>
      <c r="J82" s="52">
        <v>1</v>
      </c>
      <c r="K82" s="52">
        <v>1</v>
      </c>
      <c r="L82" s="52">
        <v>0</v>
      </c>
      <c r="M82" s="52">
        <v>0</v>
      </c>
      <c r="N82" s="52">
        <v>1</v>
      </c>
      <c r="O82" s="52">
        <v>0</v>
      </c>
      <c r="P82" s="54">
        <v>1</v>
      </c>
    </row>
    <row r="83" spans="2:16" x14ac:dyDescent="0.25">
      <c r="B83">
        <v>5103760</v>
      </c>
      <c r="C83" s="48">
        <v>43353</v>
      </c>
      <c r="D83" s="48">
        <v>43350</v>
      </c>
      <c r="E83" s="48">
        <v>43369</v>
      </c>
      <c r="F83" t="s">
        <v>419</v>
      </c>
      <c r="G83" t="s">
        <v>533</v>
      </c>
      <c r="H83" t="s">
        <v>534</v>
      </c>
      <c r="I83" s="52">
        <v>1</v>
      </c>
      <c r="J83" s="52">
        <v>1</v>
      </c>
      <c r="K83" s="52">
        <v>1</v>
      </c>
      <c r="L83" s="52">
        <v>0</v>
      </c>
      <c r="M83" s="52">
        <v>0</v>
      </c>
      <c r="N83" s="52">
        <v>1</v>
      </c>
      <c r="O83" s="52">
        <v>0</v>
      </c>
      <c r="P83" s="54">
        <v>1</v>
      </c>
    </row>
    <row r="84" spans="2:16" x14ac:dyDescent="0.25">
      <c r="B84">
        <v>5103776</v>
      </c>
      <c r="C84" s="48">
        <v>43353</v>
      </c>
      <c r="D84" s="48">
        <v>43350</v>
      </c>
      <c r="E84" s="48">
        <v>43368</v>
      </c>
      <c r="F84" t="s">
        <v>12</v>
      </c>
      <c r="G84" t="s">
        <v>92</v>
      </c>
      <c r="H84" t="s">
        <v>93</v>
      </c>
      <c r="I84" s="52">
        <v>1</v>
      </c>
      <c r="J84" s="52">
        <v>0</v>
      </c>
      <c r="K84" s="52">
        <v>0</v>
      </c>
      <c r="L84" s="52">
        <v>0</v>
      </c>
      <c r="M84" s="52">
        <v>0</v>
      </c>
      <c r="N84" s="52">
        <v>0</v>
      </c>
      <c r="O84" s="52">
        <v>1</v>
      </c>
      <c r="P84" s="54">
        <v>0</v>
      </c>
    </row>
    <row r="85" spans="2:16" x14ac:dyDescent="0.25">
      <c r="B85">
        <v>5103799</v>
      </c>
      <c r="C85" s="48">
        <v>43353</v>
      </c>
      <c r="D85" s="48">
        <v>43350</v>
      </c>
      <c r="E85" s="48">
        <v>43368</v>
      </c>
      <c r="F85" t="s">
        <v>419</v>
      </c>
      <c r="G85" t="s">
        <v>345</v>
      </c>
      <c r="H85" t="s">
        <v>346</v>
      </c>
      <c r="I85" s="52">
        <v>1</v>
      </c>
      <c r="J85" s="52">
        <v>1</v>
      </c>
      <c r="K85" s="52">
        <v>1</v>
      </c>
      <c r="L85" s="52">
        <v>0</v>
      </c>
      <c r="M85" s="52">
        <v>0</v>
      </c>
      <c r="N85" s="52">
        <v>1</v>
      </c>
      <c r="O85" s="52">
        <v>0</v>
      </c>
      <c r="P85" s="54">
        <v>1</v>
      </c>
    </row>
    <row r="86" spans="2:16" x14ac:dyDescent="0.25">
      <c r="B86">
        <v>5103830</v>
      </c>
      <c r="C86" s="48">
        <v>43353</v>
      </c>
      <c r="D86" s="48">
        <v>43350</v>
      </c>
      <c r="E86" s="48">
        <v>43368</v>
      </c>
      <c r="F86" t="s">
        <v>419</v>
      </c>
      <c r="G86" t="s">
        <v>345</v>
      </c>
      <c r="H86" t="s">
        <v>346</v>
      </c>
      <c r="I86" s="52">
        <v>1</v>
      </c>
      <c r="J86" s="52">
        <v>1</v>
      </c>
      <c r="K86" s="52">
        <v>1</v>
      </c>
      <c r="L86" s="52">
        <v>0</v>
      </c>
      <c r="M86" s="52">
        <v>0</v>
      </c>
      <c r="N86" s="52">
        <v>1</v>
      </c>
      <c r="O86" s="52">
        <v>0</v>
      </c>
      <c r="P86" s="54">
        <v>1</v>
      </c>
    </row>
    <row r="87" spans="2:16" x14ac:dyDescent="0.25">
      <c r="B87">
        <v>5103832</v>
      </c>
      <c r="C87" s="48">
        <v>43353</v>
      </c>
      <c r="D87" s="48">
        <v>43350</v>
      </c>
      <c r="E87" s="48">
        <v>43368</v>
      </c>
      <c r="F87" t="s">
        <v>419</v>
      </c>
      <c r="G87" t="s">
        <v>345</v>
      </c>
      <c r="H87" t="s">
        <v>346</v>
      </c>
      <c r="I87" s="52">
        <v>1</v>
      </c>
      <c r="J87" s="52">
        <v>1</v>
      </c>
      <c r="K87" s="52">
        <v>1</v>
      </c>
      <c r="L87" s="52">
        <v>0</v>
      </c>
      <c r="M87" s="52">
        <v>0</v>
      </c>
      <c r="N87" s="52">
        <v>1</v>
      </c>
      <c r="O87" s="52">
        <v>0</v>
      </c>
      <c r="P87" s="54">
        <v>1</v>
      </c>
    </row>
    <row r="88" spans="2:16" x14ac:dyDescent="0.25">
      <c r="B88">
        <v>5103835</v>
      </c>
      <c r="C88" s="48">
        <v>43353</v>
      </c>
      <c r="D88" s="48">
        <v>43351</v>
      </c>
      <c r="E88" s="48">
        <v>43369</v>
      </c>
      <c r="F88" t="s">
        <v>419</v>
      </c>
      <c r="G88" t="s">
        <v>345</v>
      </c>
      <c r="H88" t="s">
        <v>346</v>
      </c>
      <c r="I88" s="52">
        <v>1</v>
      </c>
      <c r="J88" s="52">
        <v>1</v>
      </c>
      <c r="K88" s="52">
        <v>1</v>
      </c>
      <c r="L88" s="52">
        <v>0</v>
      </c>
      <c r="M88" s="52">
        <v>0</v>
      </c>
      <c r="N88" s="52">
        <v>1</v>
      </c>
      <c r="O88" s="52">
        <v>0</v>
      </c>
      <c r="P88" s="54">
        <v>1</v>
      </c>
    </row>
    <row r="89" spans="2:16" x14ac:dyDescent="0.25">
      <c r="B89">
        <v>5103895</v>
      </c>
      <c r="C89" s="48">
        <v>43353</v>
      </c>
      <c r="D89" s="48">
        <v>43351</v>
      </c>
      <c r="E89" s="48">
        <v>43369</v>
      </c>
      <c r="F89" t="s">
        <v>419</v>
      </c>
      <c r="G89" t="s">
        <v>533</v>
      </c>
      <c r="H89" t="s">
        <v>534</v>
      </c>
      <c r="I89" s="52">
        <v>1</v>
      </c>
      <c r="J89" s="52">
        <v>1</v>
      </c>
      <c r="K89" s="52">
        <v>1</v>
      </c>
      <c r="L89" s="52">
        <v>0</v>
      </c>
      <c r="M89" s="52">
        <v>0</v>
      </c>
      <c r="N89" s="52">
        <v>1</v>
      </c>
      <c r="O89" s="52">
        <v>0</v>
      </c>
      <c r="P89" s="54">
        <v>1</v>
      </c>
    </row>
    <row r="90" spans="2:16" x14ac:dyDescent="0.25">
      <c r="B90">
        <v>5104128</v>
      </c>
      <c r="C90" s="48">
        <v>43353</v>
      </c>
      <c r="D90" s="48">
        <v>43352</v>
      </c>
      <c r="E90" s="48">
        <v>43368</v>
      </c>
      <c r="F90" t="s">
        <v>413</v>
      </c>
      <c r="G90" t="s">
        <v>533</v>
      </c>
      <c r="H90" t="s">
        <v>534</v>
      </c>
      <c r="I90" s="52">
        <v>1</v>
      </c>
      <c r="J90" s="52">
        <v>1</v>
      </c>
      <c r="K90" s="52">
        <v>1</v>
      </c>
      <c r="L90" s="52">
        <v>1</v>
      </c>
      <c r="M90" s="52">
        <v>1</v>
      </c>
      <c r="N90" s="52">
        <v>1</v>
      </c>
      <c r="O90" s="52">
        <v>0</v>
      </c>
      <c r="P90" s="54">
        <v>1</v>
      </c>
    </row>
    <row r="91" spans="2:16" x14ac:dyDescent="0.25">
      <c r="B91">
        <v>5104129</v>
      </c>
      <c r="C91" s="48">
        <v>43353</v>
      </c>
      <c r="D91" s="48">
        <v>43352</v>
      </c>
      <c r="E91" s="48">
        <v>43368</v>
      </c>
      <c r="F91" t="s">
        <v>419</v>
      </c>
      <c r="G91" t="s">
        <v>227</v>
      </c>
      <c r="H91" t="s">
        <v>228</v>
      </c>
      <c r="I91" s="52">
        <v>1</v>
      </c>
      <c r="J91" s="52">
        <v>1</v>
      </c>
      <c r="K91" s="52">
        <v>1</v>
      </c>
      <c r="L91" s="52">
        <v>0</v>
      </c>
      <c r="M91" s="52">
        <v>0</v>
      </c>
      <c r="N91" s="52">
        <v>1</v>
      </c>
      <c r="O91" s="52">
        <v>0</v>
      </c>
      <c r="P91" s="54">
        <v>1</v>
      </c>
    </row>
    <row r="92" spans="2:16" x14ac:dyDescent="0.25">
      <c r="B92">
        <v>5104187</v>
      </c>
      <c r="C92" s="48">
        <v>43353</v>
      </c>
      <c r="D92" s="48">
        <v>43352</v>
      </c>
      <c r="E92" s="48">
        <v>43368</v>
      </c>
      <c r="F92" t="s">
        <v>419</v>
      </c>
      <c r="G92" t="s">
        <v>345</v>
      </c>
      <c r="H92" t="s">
        <v>346</v>
      </c>
      <c r="I92" s="52">
        <v>1</v>
      </c>
      <c r="J92" s="52">
        <v>1</v>
      </c>
      <c r="K92" s="52">
        <v>1</v>
      </c>
      <c r="L92" s="52">
        <v>0</v>
      </c>
      <c r="M92" s="52">
        <v>0</v>
      </c>
      <c r="N92" s="52">
        <v>1</v>
      </c>
      <c r="O92" s="52">
        <v>0</v>
      </c>
      <c r="P92" s="54">
        <v>1</v>
      </c>
    </row>
    <row r="93" spans="2:16" x14ac:dyDescent="0.25">
      <c r="B93">
        <v>5104250</v>
      </c>
      <c r="C93" s="48">
        <v>43353</v>
      </c>
      <c r="D93" s="48">
        <v>43352</v>
      </c>
      <c r="E93" s="48">
        <v>43369</v>
      </c>
      <c r="F93" t="s">
        <v>419</v>
      </c>
      <c r="G93" t="s">
        <v>345</v>
      </c>
      <c r="H93" t="s">
        <v>346</v>
      </c>
      <c r="I93" s="52">
        <v>1</v>
      </c>
      <c r="J93" s="52">
        <v>1</v>
      </c>
      <c r="K93" s="52">
        <v>1</v>
      </c>
      <c r="L93" s="52">
        <v>0</v>
      </c>
      <c r="M93" s="52">
        <v>0</v>
      </c>
      <c r="N93" s="52">
        <v>1</v>
      </c>
      <c r="O93" s="52">
        <v>0</v>
      </c>
      <c r="P93" s="54">
        <v>1</v>
      </c>
    </row>
    <row r="94" spans="2:16" x14ac:dyDescent="0.25">
      <c r="B94">
        <v>5104292</v>
      </c>
      <c r="C94" s="48">
        <v>43354</v>
      </c>
      <c r="D94" s="48">
        <v>43353</v>
      </c>
      <c r="E94" s="48">
        <v>43368</v>
      </c>
      <c r="F94" t="s">
        <v>419</v>
      </c>
      <c r="G94" t="s">
        <v>345</v>
      </c>
      <c r="H94" t="s">
        <v>346</v>
      </c>
      <c r="I94" s="52">
        <v>1</v>
      </c>
      <c r="J94" s="52">
        <v>1</v>
      </c>
      <c r="K94" s="52">
        <v>1</v>
      </c>
      <c r="L94" s="52">
        <v>0</v>
      </c>
      <c r="M94" s="52">
        <v>0</v>
      </c>
      <c r="N94" s="52">
        <v>1</v>
      </c>
      <c r="O94" s="52">
        <v>0</v>
      </c>
      <c r="P94" s="54">
        <v>1</v>
      </c>
    </row>
    <row r="95" spans="2:16" x14ac:dyDescent="0.25">
      <c r="B95">
        <v>5104346</v>
      </c>
      <c r="C95" s="48">
        <v>43354</v>
      </c>
      <c r="D95" s="48">
        <v>43353</v>
      </c>
      <c r="E95" s="48">
        <v>43369</v>
      </c>
      <c r="F95" t="s">
        <v>419</v>
      </c>
      <c r="G95" t="s">
        <v>345</v>
      </c>
      <c r="H95" t="s">
        <v>346</v>
      </c>
      <c r="I95" s="52">
        <v>1</v>
      </c>
      <c r="J95" s="52">
        <v>1</v>
      </c>
      <c r="K95" s="52">
        <v>1</v>
      </c>
      <c r="L95" s="52">
        <v>0</v>
      </c>
      <c r="M95" s="52">
        <v>0</v>
      </c>
      <c r="N95" s="52">
        <v>1</v>
      </c>
      <c r="O95" s="52">
        <v>0</v>
      </c>
      <c r="P95" s="54">
        <v>1</v>
      </c>
    </row>
    <row r="96" spans="2:16" x14ac:dyDescent="0.25">
      <c r="B96">
        <v>5104451</v>
      </c>
      <c r="C96" s="48">
        <v>43354</v>
      </c>
      <c r="D96" s="48">
        <v>43353</v>
      </c>
      <c r="E96" s="48">
        <v>43368</v>
      </c>
      <c r="F96" t="s">
        <v>419</v>
      </c>
      <c r="G96" t="s">
        <v>345</v>
      </c>
      <c r="H96" t="s">
        <v>346</v>
      </c>
      <c r="I96" s="52">
        <v>1</v>
      </c>
      <c r="J96" s="52">
        <v>1</v>
      </c>
      <c r="K96" s="52">
        <v>1</v>
      </c>
      <c r="L96" s="52">
        <v>0</v>
      </c>
      <c r="M96" s="52">
        <v>0</v>
      </c>
      <c r="N96" s="52">
        <v>1</v>
      </c>
      <c r="O96" s="52">
        <v>0</v>
      </c>
      <c r="P96" s="54">
        <v>1</v>
      </c>
    </row>
    <row r="97" spans="2:16" x14ac:dyDescent="0.25">
      <c r="B97">
        <v>5104551</v>
      </c>
      <c r="C97" s="48">
        <v>43354</v>
      </c>
      <c r="D97" s="48">
        <v>43353</v>
      </c>
      <c r="E97" s="48">
        <v>43368</v>
      </c>
      <c r="F97" t="s">
        <v>419</v>
      </c>
      <c r="G97" t="s">
        <v>345</v>
      </c>
      <c r="H97" t="s">
        <v>346</v>
      </c>
      <c r="I97" s="52">
        <v>1</v>
      </c>
      <c r="J97" s="52">
        <v>1</v>
      </c>
      <c r="K97" s="52">
        <v>1</v>
      </c>
      <c r="L97" s="52">
        <v>0</v>
      </c>
      <c r="M97" s="52">
        <v>0</v>
      </c>
      <c r="N97" s="52">
        <v>1</v>
      </c>
      <c r="O97" s="52">
        <v>0</v>
      </c>
      <c r="P97" s="54">
        <v>1</v>
      </c>
    </row>
    <row r="98" spans="2:16" x14ac:dyDescent="0.25">
      <c r="B98">
        <v>5104553</v>
      </c>
      <c r="C98" s="48">
        <v>43354</v>
      </c>
      <c r="D98" s="48">
        <v>43353</v>
      </c>
      <c r="E98" s="48">
        <v>43368</v>
      </c>
      <c r="F98" t="s">
        <v>419</v>
      </c>
      <c r="G98" t="s">
        <v>345</v>
      </c>
      <c r="H98" t="s">
        <v>346</v>
      </c>
      <c r="I98" s="52">
        <v>1</v>
      </c>
      <c r="J98" s="52">
        <v>1</v>
      </c>
      <c r="K98" s="52">
        <v>1</v>
      </c>
      <c r="L98" s="52">
        <v>0</v>
      </c>
      <c r="M98" s="52">
        <v>0</v>
      </c>
      <c r="N98" s="52">
        <v>1</v>
      </c>
      <c r="O98" s="52">
        <v>0</v>
      </c>
      <c r="P98" s="54">
        <v>1</v>
      </c>
    </row>
    <row r="99" spans="2:16" x14ac:dyDescent="0.25">
      <c r="B99">
        <v>5104556</v>
      </c>
      <c r="C99" s="48">
        <v>43354</v>
      </c>
      <c r="D99" s="48">
        <v>43353</v>
      </c>
      <c r="E99" s="48">
        <v>43368</v>
      </c>
      <c r="F99" t="s">
        <v>419</v>
      </c>
      <c r="G99" t="s">
        <v>345</v>
      </c>
      <c r="H99" t="s">
        <v>346</v>
      </c>
      <c r="I99" s="52">
        <v>1</v>
      </c>
      <c r="J99" s="52">
        <v>1</v>
      </c>
      <c r="K99" s="52">
        <v>1</v>
      </c>
      <c r="L99" s="52">
        <v>0</v>
      </c>
      <c r="M99" s="52">
        <v>0</v>
      </c>
      <c r="N99" s="52">
        <v>1</v>
      </c>
      <c r="O99" s="52">
        <v>0</v>
      </c>
      <c r="P99" s="54">
        <v>1</v>
      </c>
    </row>
    <row r="100" spans="2:16" x14ac:dyDescent="0.25">
      <c r="B100">
        <v>5104573</v>
      </c>
      <c r="C100" s="48">
        <v>43354</v>
      </c>
      <c r="D100" s="48">
        <v>43353</v>
      </c>
      <c r="E100" s="48">
        <v>43369</v>
      </c>
      <c r="F100" t="s">
        <v>419</v>
      </c>
      <c r="G100" t="s">
        <v>533</v>
      </c>
      <c r="H100" t="s">
        <v>534</v>
      </c>
      <c r="I100" s="52">
        <v>1</v>
      </c>
      <c r="J100" s="52">
        <v>1</v>
      </c>
      <c r="K100" s="52">
        <v>1</v>
      </c>
      <c r="L100" s="52">
        <v>0</v>
      </c>
      <c r="M100" s="52">
        <v>0</v>
      </c>
      <c r="N100" s="52">
        <v>1</v>
      </c>
      <c r="O100" s="52">
        <v>0</v>
      </c>
      <c r="P100" s="54">
        <v>1</v>
      </c>
    </row>
    <row r="101" spans="2:16" x14ac:dyDescent="0.25">
      <c r="B101">
        <v>5104590</v>
      </c>
      <c r="C101" s="48">
        <v>43354</v>
      </c>
      <c r="D101" s="48">
        <v>43353</v>
      </c>
      <c r="E101" s="48">
        <v>43368</v>
      </c>
      <c r="F101" t="s">
        <v>419</v>
      </c>
      <c r="G101" t="s">
        <v>345</v>
      </c>
      <c r="H101" t="s">
        <v>346</v>
      </c>
      <c r="I101" s="52">
        <v>1</v>
      </c>
      <c r="J101" s="52">
        <v>1</v>
      </c>
      <c r="K101" s="52">
        <v>1</v>
      </c>
      <c r="L101" s="52">
        <v>0</v>
      </c>
      <c r="M101" s="52">
        <v>0</v>
      </c>
      <c r="N101" s="52">
        <v>1</v>
      </c>
      <c r="O101" s="52">
        <v>0</v>
      </c>
      <c r="P101" s="54">
        <v>1</v>
      </c>
    </row>
    <row r="102" spans="2:16" x14ac:dyDescent="0.25">
      <c r="B102">
        <v>5104611</v>
      </c>
      <c r="C102" s="48">
        <v>43354</v>
      </c>
      <c r="D102" s="48">
        <v>43353</v>
      </c>
      <c r="E102" s="48">
        <v>43368</v>
      </c>
      <c r="F102" t="s">
        <v>419</v>
      </c>
      <c r="G102" t="s">
        <v>533</v>
      </c>
      <c r="H102" t="s">
        <v>534</v>
      </c>
      <c r="I102" s="52">
        <v>1</v>
      </c>
      <c r="J102" s="52">
        <v>1</v>
      </c>
      <c r="K102" s="52">
        <v>1</v>
      </c>
      <c r="L102" s="52">
        <v>0</v>
      </c>
      <c r="M102" s="52">
        <v>0</v>
      </c>
      <c r="N102" s="52">
        <v>1</v>
      </c>
      <c r="O102" s="52">
        <v>0</v>
      </c>
      <c r="P102" s="54">
        <v>1</v>
      </c>
    </row>
    <row r="103" spans="2:16" x14ac:dyDescent="0.25">
      <c r="B103">
        <v>5104683</v>
      </c>
      <c r="C103" s="48">
        <v>43354</v>
      </c>
      <c r="D103" s="48">
        <v>43354</v>
      </c>
      <c r="E103" s="48">
        <v>43368</v>
      </c>
      <c r="F103" t="s">
        <v>419</v>
      </c>
      <c r="G103" t="s">
        <v>345</v>
      </c>
      <c r="H103" t="s">
        <v>346</v>
      </c>
      <c r="I103" s="52">
        <v>1</v>
      </c>
      <c r="J103" s="52">
        <v>1</v>
      </c>
      <c r="K103" s="52">
        <v>1</v>
      </c>
      <c r="L103" s="52">
        <v>0</v>
      </c>
      <c r="M103" s="52">
        <v>0</v>
      </c>
      <c r="N103" s="52">
        <v>1</v>
      </c>
      <c r="O103" s="52">
        <v>0</v>
      </c>
      <c r="P103" s="54">
        <v>1</v>
      </c>
    </row>
    <row r="104" spans="2:16" x14ac:dyDescent="0.25">
      <c r="B104">
        <v>5104799</v>
      </c>
      <c r="C104" s="48">
        <v>43355</v>
      </c>
      <c r="D104" s="48">
        <v>43354</v>
      </c>
      <c r="E104" s="48">
        <v>43369</v>
      </c>
      <c r="F104" t="s">
        <v>419</v>
      </c>
      <c r="G104" t="s">
        <v>106</v>
      </c>
      <c r="H104" t="s">
        <v>107</v>
      </c>
      <c r="I104" s="52">
        <v>1</v>
      </c>
      <c r="J104" s="52">
        <v>1</v>
      </c>
      <c r="K104" s="52">
        <v>1</v>
      </c>
      <c r="L104" s="52">
        <v>0</v>
      </c>
      <c r="M104" s="52">
        <v>0</v>
      </c>
      <c r="N104" s="52">
        <v>1</v>
      </c>
      <c r="O104" s="52">
        <v>0</v>
      </c>
      <c r="P104" s="54">
        <v>1</v>
      </c>
    </row>
    <row r="105" spans="2:16" x14ac:dyDescent="0.25">
      <c r="B105">
        <v>5104876</v>
      </c>
      <c r="C105" s="48">
        <v>43355</v>
      </c>
      <c r="D105" s="48">
        <v>43354</v>
      </c>
      <c r="E105" s="48">
        <v>43368</v>
      </c>
      <c r="F105" t="s">
        <v>419</v>
      </c>
      <c r="G105" t="s">
        <v>345</v>
      </c>
      <c r="H105" t="s">
        <v>346</v>
      </c>
      <c r="I105" s="52">
        <v>1</v>
      </c>
      <c r="J105" s="52">
        <v>1</v>
      </c>
      <c r="K105" s="52">
        <v>1</v>
      </c>
      <c r="L105" s="52">
        <v>0</v>
      </c>
      <c r="M105" s="52">
        <v>0</v>
      </c>
      <c r="N105" s="52">
        <v>1</v>
      </c>
      <c r="O105" s="52">
        <v>0</v>
      </c>
      <c r="P105" s="54">
        <v>1</v>
      </c>
    </row>
    <row r="106" spans="2:16" x14ac:dyDescent="0.25">
      <c r="B106">
        <v>5104911</v>
      </c>
      <c r="C106" s="48">
        <v>43355</v>
      </c>
      <c r="D106" s="48">
        <v>43354</v>
      </c>
      <c r="E106" s="48">
        <v>43369</v>
      </c>
      <c r="F106" t="s">
        <v>419</v>
      </c>
      <c r="G106" t="s">
        <v>345</v>
      </c>
      <c r="H106" t="s">
        <v>346</v>
      </c>
      <c r="I106" s="52">
        <v>1</v>
      </c>
      <c r="J106" s="52">
        <v>1</v>
      </c>
      <c r="K106" s="52">
        <v>1</v>
      </c>
      <c r="L106" s="52">
        <v>0</v>
      </c>
      <c r="M106" s="52">
        <v>0</v>
      </c>
      <c r="N106" s="52">
        <v>1</v>
      </c>
      <c r="O106" s="52">
        <v>0</v>
      </c>
      <c r="P106" s="54">
        <v>1</v>
      </c>
    </row>
    <row r="107" spans="2:16" x14ac:dyDescent="0.25">
      <c r="B107">
        <v>5104949</v>
      </c>
      <c r="C107" s="48">
        <v>43355</v>
      </c>
      <c r="D107" s="48">
        <v>43354</v>
      </c>
      <c r="E107" s="48">
        <v>43368</v>
      </c>
      <c r="F107" t="s">
        <v>419</v>
      </c>
      <c r="G107" t="s">
        <v>345</v>
      </c>
      <c r="H107" t="s">
        <v>346</v>
      </c>
      <c r="I107" s="52">
        <v>1</v>
      </c>
      <c r="J107" s="52">
        <v>1</v>
      </c>
      <c r="K107" s="52">
        <v>1</v>
      </c>
      <c r="L107" s="52">
        <v>0</v>
      </c>
      <c r="M107" s="52">
        <v>0</v>
      </c>
      <c r="N107" s="52">
        <v>1</v>
      </c>
      <c r="O107" s="52">
        <v>0</v>
      </c>
      <c r="P107" s="54">
        <v>1</v>
      </c>
    </row>
    <row r="108" spans="2:16" x14ac:dyDescent="0.25">
      <c r="B108">
        <v>5105036</v>
      </c>
      <c r="C108" s="48">
        <v>43356</v>
      </c>
      <c r="D108" s="48">
        <v>43355</v>
      </c>
      <c r="E108" s="48">
        <v>43368</v>
      </c>
      <c r="F108" t="s">
        <v>419</v>
      </c>
      <c r="G108" t="s">
        <v>96</v>
      </c>
      <c r="H108" t="s">
        <v>97</v>
      </c>
      <c r="I108" s="52">
        <v>1</v>
      </c>
      <c r="J108" s="52">
        <v>1</v>
      </c>
      <c r="K108" s="52">
        <v>1</v>
      </c>
      <c r="L108" s="52">
        <v>0</v>
      </c>
      <c r="M108" s="52">
        <v>0</v>
      </c>
      <c r="N108" s="52">
        <v>1</v>
      </c>
      <c r="O108" s="52">
        <v>0</v>
      </c>
      <c r="P108" s="54">
        <v>1</v>
      </c>
    </row>
    <row r="109" spans="2:16" x14ac:dyDescent="0.25">
      <c r="B109">
        <v>5105054</v>
      </c>
      <c r="C109" s="48">
        <v>43356</v>
      </c>
      <c r="D109" s="48">
        <v>43355</v>
      </c>
      <c r="E109" s="48">
        <v>43366</v>
      </c>
      <c r="F109" t="s">
        <v>422</v>
      </c>
      <c r="G109" t="s">
        <v>142</v>
      </c>
      <c r="H109" t="s">
        <v>143</v>
      </c>
      <c r="I109" s="52">
        <v>100</v>
      </c>
      <c r="J109" s="52">
        <v>100</v>
      </c>
      <c r="K109" s="52">
        <v>100</v>
      </c>
      <c r="L109" s="52">
        <v>0</v>
      </c>
      <c r="M109" s="52">
        <v>0</v>
      </c>
      <c r="N109" s="52">
        <v>100</v>
      </c>
      <c r="O109" s="52">
        <v>0</v>
      </c>
      <c r="P109" s="54">
        <v>1</v>
      </c>
    </row>
    <row r="110" spans="2:16" x14ac:dyDescent="0.25">
      <c r="B110">
        <v>5105054</v>
      </c>
      <c r="C110" s="48">
        <v>43356</v>
      </c>
      <c r="D110" s="48">
        <v>43355</v>
      </c>
      <c r="E110" s="48">
        <v>43366</v>
      </c>
      <c r="F110" t="s">
        <v>422</v>
      </c>
      <c r="G110" t="s">
        <v>816</v>
      </c>
      <c r="H110" t="s">
        <v>817</v>
      </c>
      <c r="I110" s="52">
        <v>350</v>
      </c>
      <c r="J110" s="52">
        <v>350</v>
      </c>
      <c r="K110" s="52">
        <v>350</v>
      </c>
      <c r="L110" s="52">
        <v>0</v>
      </c>
      <c r="M110" s="52">
        <v>0</v>
      </c>
      <c r="N110" s="52">
        <v>350</v>
      </c>
      <c r="O110" s="52">
        <v>0</v>
      </c>
      <c r="P110" s="54">
        <v>1</v>
      </c>
    </row>
    <row r="111" spans="2:16" x14ac:dyDescent="0.25">
      <c r="B111">
        <v>5105054</v>
      </c>
      <c r="C111" s="48">
        <v>43356</v>
      </c>
      <c r="D111" s="48">
        <v>43355</v>
      </c>
      <c r="E111" s="48">
        <v>43366</v>
      </c>
      <c r="F111" t="s">
        <v>422</v>
      </c>
      <c r="G111" t="s">
        <v>1327</v>
      </c>
      <c r="H111" t="s">
        <v>1328</v>
      </c>
      <c r="I111" s="52">
        <v>300</v>
      </c>
      <c r="J111" s="52">
        <v>250</v>
      </c>
      <c r="K111" s="52">
        <v>250</v>
      </c>
      <c r="L111" s="52">
        <v>0</v>
      </c>
      <c r="M111" s="52">
        <v>0</v>
      </c>
      <c r="N111" s="52">
        <v>250</v>
      </c>
      <c r="O111" s="52">
        <v>50</v>
      </c>
      <c r="P111" s="54">
        <v>0.83333333333333337</v>
      </c>
    </row>
    <row r="112" spans="2:16" x14ac:dyDescent="0.25">
      <c r="B112">
        <v>5105087</v>
      </c>
      <c r="C112" s="48">
        <v>43356</v>
      </c>
      <c r="D112" s="48">
        <v>43355</v>
      </c>
      <c r="E112" s="48">
        <v>43369</v>
      </c>
      <c r="F112" t="s">
        <v>419</v>
      </c>
      <c r="G112" t="s">
        <v>345</v>
      </c>
      <c r="H112" t="s">
        <v>346</v>
      </c>
      <c r="I112" s="52">
        <v>1</v>
      </c>
      <c r="J112" s="52">
        <v>1</v>
      </c>
      <c r="K112" s="52">
        <v>1</v>
      </c>
      <c r="L112" s="52">
        <v>0</v>
      </c>
      <c r="M112" s="52">
        <v>0</v>
      </c>
      <c r="N112" s="52">
        <v>1</v>
      </c>
      <c r="O112" s="52">
        <v>0</v>
      </c>
      <c r="P112" s="54">
        <v>1</v>
      </c>
    </row>
    <row r="113" spans="2:16" x14ac:dyDescent="0.25">
      <c r="B113">
        <v>5105088</v>
      </c>
      <c r="C113" s="48">
        <v>43356</v>
      </c>
      <c r="D113" s="48">
        <v>43355</v>
      </c>
      <c r="E113" s="48">
        <v>43368</v>
      </c>
      <c r="F113" t="s">
        <v>419</v>
      </c>
      <c r="G113" t="s">
        <v>312</v>
      </c>
      <c r="H113" t="s">
        <v>313</v>
      </c>
      <c r="I113" s="52">
        <v>1</v>
      </c>
      <c r="J113" s="52">
        <v>1</v>
      </c>
      <c r="K113" s="52">
        <v>1</v>
      </c>
      <c r="L113" s="52">
        <v>0</v>
      </c>
      <c r="M113" s="52">
        <v>0</v>
      </c>
      <c r="N113" s="52">
        <v>1</v>
      </c>
      <c r="O113" s="52">
        <v>0</v>
      </c>
      <c r="P113" s="54">
        <v>1</v>
      </c>
    </row>
    <row r="114" spans="2:16" x14ac:dyDescent="0.25">
      <c r="B114">
        <v>5105321</v>
      </c>
      <c r="C114" s="48">
        <v>43357</v>
      </c>
      <c r="D114" s="48">
        <v>43356</v>
      </c>
      <c r="E114" s="48">
        <v>43369</v>
      </c>
      <c r="F114" t="s">
        <v>419</v>
      </c>
      <c r="G114" t="s">
        <v>345</v>
      </c>
      <c r="H114" t="s">
        <v>346</v>
      </c>
      <c r="I114" s="52">
        <v>1</v>
      </c>
      <c r="J114" s="52">
        <v>1</v>
      </c>
      <c r="K114" s="52">
        <v>1</v>
      </c>
      <c r="L114" s="52">
        <v>0</v>
      </c>
      <c r="M114" s="52">
        <v>0</v>
      </c>
      <c r="N114" s="52">
        <v>1</v>
      </c>
      <c r="O114" s="52">
        <v>0</v>
      </c>
      <c r="P114" s="54">
        <v>1</v>
      </c>
    </row>
    <row r="115" spans="2:16" x14ac:dyDescent="0.25">
      <c r="B115">
        <v>5105358</v>
      </c>
      <c r="C115" s="48">
        <v>43357</v>
      </c>
      <c r="D115" s="48">
        <v>43356</v>
      </c>
      <c r="E115" s="48">
        <v>43369</v>
      </c>
      <c r="F115" t="s">
        <v>419</v>
      </c>
      <c r="G115" t="s">
        <v>345</v>
      </c>
      <c r="H115" t="s">
        <v>346</v>
      </c>
      <c r="I115" s="52">
        <v>1</v>
      </c>
      <c r="J115" s="52">
        <v>1</v>
      </c>
      <c r="K115" s="52">
        <v>1</v>
      </c>
      <c r="L115" s="52">
        <v>0</v>
      </c>
      <c r="M115" s="52">
        <v>0</v>
      </c>
      <c r="N115" s="52">
        <v>1</v>
      </c>
      <c r="O115" s="52">
        <v>0</v>
      </c>
      <c r="P115" s="54">
        <v>1</v>
      </c>
    </row>
    <row r="116" spans="2:16" x14ac:dyDescent="0.25">
      <c r="B116">
        <v>5105408</v>
      </c>
      <c r="C116" s="48">
        <v>43357</v>
      </c>
      <c r="D116" s="48">
        <v>43356</v>
      </c>
      <c r="E116" s="48">
        <v>43369</v>
      </c>
      <c r="F116" t="s">
        <v>419</v>
      </c>
      <c r="G116" t="s">
        <v>345</v>
      </c>
      <c r="H116" t="s">
        <v>346</v>
      </c>
      <c r="I116" s="52">
        <v>1</v>
      </c>
      <c r="J116" s="52">
        <v>1</v>
      </c>
      <c r="K116" s="52">
        <v>1</v>
      </c>
      <c r="L116" s="52">
        <v>0</v>
      </c>
      <c r="M116" s="52">
        <v>0</v>
      </c>
      <c r="N116" s="52">
        <v>1</v>
      </c>
      <c r="O116" s="52">
        <v>0</v>
      </c>
      <c r="P116" s="54">
        <v>1</v>
      </c>
    </row>
    <row r="117" spans="2:16" x14ac:dyDescent="0.25">
      <c r="B117">
        <v>5105461</v>
      </c>
      <c r="C117" s="48">
        <v>43357</v>
      </c>
      <c r="D117" s="48">
        <v>43356</v>
      </c>
      <c r="E117" s="48">
        <v>43369</v>
      </c>
      <c r="F117" t="s">
        <v>419</v>
      </c>
      <c r="G117" t="s">
        <v>96</v>
      </c>
      <c r="H117" t="s">
        <v>97</v>
      </c>
      <c r="I117" s="52">
        <v>1</v>
      </c>
      <c r="J117" s="52">
        <v>1</v>
      </c>
      <c r="K117" s="52">
        <v>1</v>
      </c>
      <c r="L117" s="52">
        <v>0</v>
      </c>
      <c r="M117" s="52">
        <v>0</v>
      </c>
      <c r="N117" s="52">
        <v>1</v>
      </c>
      <c r="O117" s="52">
        <v>0</v>
      </c>
      <c r="P117" s="54">
        <v>1</v>
      </c>
    </row>
    <row r="118" spans="2:16" x14ac:dyDescent="0.25">
      <c r="B118">
        <v>5105468</v>
      </c>
      <c r="C118" s="48">
        <v>43357</v>
      </c>
      <c r="D118" s="48">
        <v>43356</v>
      </c>
      <c r="E118" s="48">
        <v>43368</v>
      </c>
      <c r="F118" t="s">
        <v>419</v>
      </c>
      <c r="G118" t="s">
        <v>312</v>
      </c>
      <c r="H118" t="s">
        <v>313</v>
      </c>
      <c r="I118" s="52">
        <v>1</v>
      </c>
      <c r="J118" s="52">
        <v>1</v>
      </c>
      <c r="K118" s="52">
        <v>1</v>
      </c>
      <c r="L118" s="52">
        <v>0</v>
      </c>
      <c r="M118" s="52">
        <v>0</v>
      </c>
      <c r="N118" s="52">
        <v>1</v>
      </c>
      <c r="O118" s="52">
        <v>0</v>
      </c>
      <c r="P118" s="54">
        <v>1</v>
      </c>
    </row>
    <row r="119" spans="2:16" x14ac:dyDescent="0.25">
      <c r="B119">
        <v>5105472</v>
      </c>
      <c r="C119" s="48">
        <v>43357</v>
      </c>
      <c r="D119" s="48">
        <v>43356</v>
      </c>
      <c r="E119" s="48">
        <v>43369</v>
      </c>
      <c r="F119" t="s">
        <v>419</v>
      </c>
      <c r="G119" t="s">
        <v>345</v>
      </c>
      <c r="H119" t="s">
        <v>346</v>
      </c>
      <c r="I119" s="52">
        <v>1</v>
      </c>
      <c r="J119" s="52">
        <v>1</v>
      </c>
      <c r="K119" s="52">
        <v>1</v>
      </c>
      <c r="L119" s="52">
        <v>0</v>
      </c>
      <c r="M119" s="52">
        <v>0</v>
      </c>
      <c r="N119" s="52">
        <v>1</v>
      </c>
      <c r="O119" s="52">
        <v>0</v>
      </c>
      <c r="P119" s="54">
        <v>1</v>
      </c>
    </row>
    <row r="120" spans="2:16" x14ac:dyDescent="0.25">
      <c r="B120">
        <v>5105695</v>
      </c>
      <c r="C120" s="48">
        <v>43363</v>
      </c>
      <c r="D120" s="48">
        <v>43357</v>
      </c>
      <c r="E120" s="48">
        <v>43369</v>
      </c>
      <c r="F120" t="s">
        <v>419</v>
      </c>
      <c r="G120" t="s">
        <v>227</v>
      </c>
      <c r="H120" t="s">
        <v>228</v>
      </c>
      <c r="I120" s="52">
        <v>1</v>
      </c>
      <c r="J120" s="52">
        <v>1</v>
      </c>
      <c r="K120" s="52">
        <v>1</v>
      </c>
      <c r="L120" s="52">
        <v>0</v>
      </c>
      <c r="M120" s="52">
        <v>0</v>
      </c>
      <c r="N120" s="52">
        <v>1</v>
      </c>
      <c r="O120" s="52">
        <v>0</v>
      </c>
      <c r="P120" s="54">
        <v>1</v>
      </c>
    </row>
    <row r="121" spans="2:16" x14ac:dyDescent="0.25">
      <c r="B121">
        <v>5105709</v>
      </c>
      <c r="C121" s="48">
        <v>43363</v>
      </c>
      <c r="D121" s="48">
        <v>43357</v>
      </c>
      <c r="E121" s="48">
        <v>43369</v>
      </c>
      <c r="F121" t="s">
        <v>419</v>
      </c>
      <c r="G121" t="s">
        <v>345</v>
      </c>
      <c r="H121" t="s">
        <v>346</v>
      </c>
      <c r="I121" s="52">
        <v>1</v>
      </c>
      <c r="J121" s="52">
        <v>1</v>
      </c>
      <c r="K121" s="52">
        <v>1</v>
      </c>
      <c r="L121" s="52">
        <v>0</v>
      </c>
      <c r="M121" s="52">
        <v>0</v>
      </c>
      <c r="N121" s="52">
        <v>1</v>
      </c>
      <c r="O121" s="52">
        <v>0</v>
      </c>
      <c r="P121" s="54">
        <v>1</v>
      </c>
    </row>
    <row r="122" spans="2:16" x14ac:dyDescent="0.25">
      <c r="B122">
        <v>5105814</v>
      </c>
      <c r="C122" s="48">
        <v>43363</v>
      </c>
      <c r="D122" s="48">
        <v>43358</v>
      </c>
      <c r="E122" s="48">
        <v>43368</v>
      </c>
      <c r="F122" t="s">
        <v>419</v>
      </c>
      <c r="G122" t="s">
        <v>1718</v>
      </c>
      <c r="H122" t="s">
        <v>1719</v>
      </c>
      <c r="I122" s="52">
        <v>1</v>
      </c>
      <c r="J122" s="52">
        <v>1</v>
      </c>
      <c r="K122" s="52">
        <v>1</v>
      </c>
      <c r="L122" s="52">
        <v>0</v>
      </c>
      <c r="M122" s="52">
        <v>0</v>
      </c>
      <c r="N122" s="52">
        <v>1</v>
      </c>
      <c r="O122" s="52">
        <v>0</v>
      </c>
      <c r="P122" s="54">
        <v>1</v>
      </c>
    </row>
    <row r="123" spans="2:16" x14ac:dyDescent="0.25">
      <c r="B123">
        <v>5105916</v>
      </c>
      <c r="C123" s="48">
        <v>43363</v>
      </c>
      <c r="D123" s="48">
        <v>43358</v>
      </c>
      <c r="E123" s="48">
        <v>43369</v>
      </c>
      <c r="F123" t="s">
        <v>419</v>
      </c>
      <c r="G123" t="s">
        <v>345</v>
      </c>
      <c r="H123" t="s">
        <v>346</v>
      </c>
      <c r="I123" s="52">
        <v>1</v>
      </c>
      <c r="J123" s="52">
        <v>1</v>
      </c>
      <c r="K123" s="52">
        <v>1</v>
      </c>
      <c r="L123" s="52">
        <v>0</v>
      </c>
      <c r="M123" s="52">
        <v>0</v>
      </c>
      <c r="N123" s="52">
        <v>1</v>
      </c>
      <c r="O123" s="52">
        <v>0</v>
      </c>
      <c r="P123" s="54">
        <v>1</v>
      </c>
    </row>
    <row r="124" spans="2:16" x14ac:dyDescent="0.25">
      <c r="B124">
        <v>5105988</v>
      </c>
      <c r="C124" s="48">
        <v>43363</v>
      </c>
      <c r="D124" s="48">
        <v>43359</v>
      </c>
      <c r="E124" s="48">
        <v>43363</v>
      </c>
      <c r="F124" t="s">
        <v>422</v>
      </c>
      <c r="G124" t="s">
        <v>905</v>
      </c>
      <c r="H124" t="s">
        <v>906</v>
      </c>
      <c r="I124" s="52">
        <v>1</v>
      </c>
      <c r="J124" s="52">
        <v>1</v>
      </c>
      <c r="K124" s="52">
        <v>1</v>
      </c>
      <c r="L124" s="52">
        <v>0</v>
      </c>
      <c r="M124" s="52">
        <v>0</v>
      </c>
      <c r="N124" s="52">
        <v>1</v>
      </c>
      <c r="O124" s="52">
        <v>0</v>
      </c>
      <c r="P124" s="54">
        <v>1</v>
      </c>
    </row>
    <row r="125" spans="2:16" x14ac:dyDescent="0.25">
      <c r="B125">
        <v>5106024</v>
      </c>
      <c r="C125" s="48">
        <v>43363</v>
      </c>
      <c r="D125" s="48">
        <v>43360</v>
      </c>
      <c r="E125" s="48">
        <v>43368</v>
      </c>
      <c r="F125" t="s">
        <v>419</v>
      </c>
      <c r="G125" t="s">
        <v>312</v>
      </c>
      <c r="H125" t="s">
        <v>313</v>
      </c>
      <c r="I125" s="52">
        <v>1</v>
      </c>
      <c r="J125" s="52">
        <v>1</v>
      </c>
      <c r="K125" s="52">
        <v>1</v>
      </c>
      <c r="L125" s="52">
        <v>0</v>
      </c>
      <c r="M125" s="52">
        <v>0</v>
      </c>
      <c r="N125" s="52">
        <v>1</v>
      </c>
      <c r="O125" s="52">
        <v>0</v>
      </c>
      <c r="P125" s="54">
        <v>1</v>
      </c>
    </row>
    <row r="126" spans="2:16" x14ac:dyDescent="0.25">
      <c r="B126">
        <v>5106057</v>
      </c>
      <c r="C126" s="48">
        <v>43363</v>
      </c>
      <c r="D126" s="48">
        <v>43360</v>
      </c>
      <c r="E126" s="48">
        <v>43369</v>
      </c>
      <c r="F126" t="s">
        <v>419</v>
      </c>
      <c r="G126" t="s">
        <v>345</v>
      </c>
      <c r="H126" t="s">
        <v>346</v>
      </c>
      <c r="I126" s="52">
        <v>1</v>
      </c>
      <c r="J126" s="52">
        <v>1</v>
      </c>
      <c r="K126" s="52">
        <v>1</v>
      </c>
      <c r="L126" s="52">
        <v>0</v>
      </c>
      <c r="M126" s="52">
        <v>0</v>
      </c>
      <c r="N126" s="52">
        <v>1</v>
      </c>
      <c r="O126" s="52">
        <v>0</v>
      </c>
      <c r="P126" s="54">
        <v>1</v>
      </c>
    </row>
    <row r="127" spans="2:16" x14ac:dyDescent="0.25">
      <c r="B127">
        <v>5106070</v>
      </c>
      <c r="C127" s="48">
        <v>43363</v>
      </c>
      <c r="D127" s="48">
        <v>43360</v>
      </c>
      <c r="E127" s="48">
        <v>43368</v>
      </c>
      <c r="F127" t="s">
        <v>419</v>
      </c>
      <c r="G127" t="s">
        <v>96</v>
      </c>
      <c r="H127" t="s">
        <v>97</v>
      </c>
      <c r="I127" s="52">
        <v>1</v>
      </c>
      <c r="J127" s="52">
        <v>1</v>
      </c>
      <c r="K127" s="52">
        <v>1</v>
      </c>
      <c r="L127" s="52">
        <v>0</v>
      </c>
      <c r="M127" s="52">
        <v>0</v>
      </c>
      <c r="N127" s="52">
        <v>1</v>
      </c>
      <c r="O127" s="52">
        <v>0</v>
      </c>
      <c r="P127" s="54">
        <v>1</v>
      </c>
    </row>
    <row r="128" spans="2:16" x14ac:dyDescent="0.25">
      <c r="B128" t="s">
        <v>17</v>
      </c>
      <c r="I128" s="52">
        <v>5544</v>
      </c>
      <c r="J128" s="52">
        <v>3795</v>
      </c>
      <c r="K128" s="52">
        <v>3390</v>
      </c>
      <c r="L128" s="52">
        <v>408</v>
      </c>
      <c r="M128" s="52">
        <v>3</v>
      </c>
      <c r="N128" s="52">
        <v>3391</v>
      </c>
      <c r="O128" s="52">
        <v>2153</v>
      </c>
      <c r="P128" s="54">
        <v>0.61165223665223667</v>
      </c>
    </row>
  </sheetData>
  <sheetProtection autoFilter="0" pivotTables="0"/>
  <mergeCells count="1">
    <mergeCell ref="I5:P5"/>
  </mergeCells>
  <conditionalFormatting pivot="1" sqref="P7:P128">
    <cfRule type="cellIs" dxfId="53" priority="3" operator="equal">
      <formula>100%</formula>
    </cfRule>
  </conditionalFormatting>
  <conditionalFormatting pivot="1" sqref="P7:P128">
    <cfRule type="cellIs" dxfId="52" priority="2" operator="between">
      <formula>0.8</formula>
      <formula>0.9999</formula>
    </cfRule>
  </conditionalFormatting>
  <conditionalFormatting pivot="1" sqref="P7:P128">
    <cfRule type="cellIs" dxfId="51" priority="1" operator="lessThan">
      <formula>0.8</formula>
    </cfRule>
  </conditionalFormatting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B11"/>
  <sheetViews>
    <sheetView showGridLines="0" showRowColHeaders="0" zoomScale="80" zoomScaleNormal="80" workbookViewId="0">
      <pane ySplit="6" topLeftCell="A7" activePane="bottomLeft" state="frozen"/>
      <selection pane="bottomLeft" activeCell="D7" sqref="D7"/>
    </sheetView>
  </sheetViews>
  <sheetFormatPr baseColWidth="10" defaultColWidth="0" defaultRowHeight="15" x14ac:dyDescent="0.25"/>
  <cols>
    <col min="1" max="1" width="6.5703125" customWidth="1"/>
    <col min="2" max="2" width="12.85546875" bestFit="1" customWidth="1"/>
    <col min="3" max="3" width="14.85546875" bestFit="1" customWidth="1"/>
    <col min="4" max="4" width="56.85546875" bestFit="1" customWidth="1"/>
    <col min="5" max="5" width="17.85546875" customWidth="1"/>
    <col min="6" max="6" width="11.7109375" customWidth="1"/>
    <col min="7" max="7" width="13.85546875" customWidth="1"/>
    <col min="8" max="8" width="11.42578125" customWidth="1"/>
    <col min="9" max="28" width="0" hidden="1" customWidth="1"/>
    <col min="29" max="16384" width="11.42578125" hidden="1"/>
  </cols>
  <sheetData>
    <row r="1" spans="2:28" x14ac:dyDescent="0.25">
      <c r="AA1" t="str">
        <f>+DETALLE!AA1&amp;"     "&amp;"OC : "&amp;AB1</f>
        <v>CLIENTE :  ABCDIN     OC : 5104126</v>
      </c>
      <c r="AB1">
        <v>5104126</v>
      </c>
    </row>
    <row r="4" spans="2:28" x14ac:dyDescent="0.25">
      <c r="B4" s="2" t="s">
        <v>221</v>
      </c>
      <c r="C4" s="3">
        <v>8668609</v>
      </c>
    </row>
    <row r="6" spans="2:28" x14ac:dyDescent="0.25">
      <c r="B6" s="53" t="s">
        <v>222</v>
      </c>
      <c r="C6" s="53" t="s">
        <v>180</v>
      </c>
      <c r="D6" s="53" t="s">
        <v>181</v>
      </c>
      <c r="E6" s="53" t="s">
        <v>220</v>
      </c>
      <c r="F6" s="53" t="s">
        <v>182</v>
      </c>
      <c r="G6" s="53" t="s">
        <v>183</v>
      </c>
    </row>
    <row r="7" spans="2:28" x14ac:dyDescent="0.25">
      <c r="B7">
        <v>6093</v>
      </c>
      <c r="C7" t="s">
        <v>1114</v>
      </c>
      <c r="D7" t="s">
        <v>1115</v>
      </c>
      <c r="E7" t="s">
        <v>154</v>
      </c>
      <c r="F7" s="52">
        <v>12</v>
      </c>
      <c r="G7" s="52">
        <v>12</v>
      </c>
    </row>
    <row r="8" spans="2:28" x14ac:dyDescent="0.25">
      <c r="B8">
        <v>6093</v>
      </c>
      <c r="C8" t="s">
        <v>98</v>
      </c>
      <c r="D8" t="s">
        <v>99</v>
      </c>
      <c r="E8" t="s">
        <v>153</v>
      </c>
      <c r="F8" s="52">
        <v>12</v>
      </c>
      <c r="G8" s="52">
        <v>12</v>
      </c>
    </row>
    <row r="9" spans="2:28" x14ac:dyDescent="0.25">
      <c r="B9">
        <v>6093</v>
      </c>
      <c r="C9" t="s">
        <v>242</v>
      </c>
      <c r="D9" t="s">
        <v>243</v>
      </c>
      <c r="E9" t="s">
        <v>155</v>
      </c>
      <c r="F9" s="52">
        <v>6</v>
      </c>
      <c r="G9" s="52">
        <v>6</v>
      </c>
    </row>
    <row r="10" spans="2:28" x14ac:dyDescent="0.25">
      <c r="B10">
        <v>6093</v>
      </c>
      <c r="C10" t="s">
        <v>72</v>
      </c>
      <c r="D10" t="s">
        <v>73</v>
      </c>
      <c r="E10" t="s">
        <v>152</v>
      </c>
      <c r="F10" s="52">
        <v>16</v>
      </c>
      <c r="G10" s="52">
        <v>16</v>
      </c>
    </row>
    <row r="11" spans="2:28" x14ac:dyDescent="0.25">
      <c r="B11" t="s">
        <v>17</v>
      </c>
      <c r="F11" s="52">
        <v>46</v>
      </c>
      <c r="G11" s="52">
        <v>46</v>
      </c>
    </row>
  </sheetData>
  <sheetProtection autoFilter="0" pivotTables="0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1682"/>
  <sheetViews>
    <sheetView topLeftCell="I1" zoomScale="80" zoomScaleNormal="80" workbookViewId="0">
      <pane ySplit="1" topLeftCell="A2" activePane="bottomLeft" state="frozen"/>
      <selection pane="bottomLeft" activeCell="R2" sqref="R2"/>
    </sheetView>
  </sheetViews>
  <sheetFormatPr baseColWidth="10" defaultRowHeight="15" x14ac:dyDescent="0.25"/>
  <cols>
    <col min="1" max="1" width="13.5703125" bestFit="1" customWidth="1"/>
    <col min="2" max="2" width="23.7109375" bestFit="1" customWidth="1"/>
    <col min="3" max="3" width="17" bestFit="1" customWidth="1"/>
    <col min="4" max="4" width="16.42578125" style="55" bestFit="1" customWidth="1"/>
    <col min="5" max="5" width="17" style="55" bestFit="1" customWidth="1"/>
    <col min="6" max="6" width="21.42578125" style="55" bestFit="1" customWidth="1"/>
    <col min="7" max="7" width="20" bestFit="1" customWidth="1"/>
    <col min="8" max="8" width="55.28515625" bestFit="1" customWidth="1"/>
    <col min="9" max="9" width="15.7109375" bestFit="1" customWidth="1"/>
    <col min="10" max="10" width="25.140625" bestFit="1" customWidth="1"/>
    <col min="11" max="11" width="26.42578125" bestFit="1" customWidth="1"/>
    <col min="12" max="12" width="16.5703125" bestFit="1" customWidth="1"/>
    <col min="13" max="13" width="22.28515625" style="55" bestFit="1" customWidth="1"/>
    <col min="14" max="14" width="15.85546875" bestFit="1" customWidth="1"/>
    <col min="15" max="15" width="18.42578125" bestFit="1" customWidth="1"/>
    <col min="16" max="16" width="20.85546875" bestFit="1" customWidth="1"/>
    <col min="17" max="17" width="19.140625" bestFit="1" customWidth="1"/>
    <col min="18" max="18" width="12.85546875" bestFit="1" customWidth="1"/>
    <col min="19" max="19" width="13.5703125" bestFit="1" customWidth="1"/>
    <col min="20" max="20" width="14.28515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s="55" t="s">
        <v>5</v>
      </c>
      <c r="E1" s="55" t="s">
        <v>3</v>
      </c>
      <c r="F1" s="55" t="s">
        <v>4</v>
      </c>
      <c r="G1" t="s">
        <v>59</v>
      </c>
      <c r="H1" t="s">
        <v>60</v>
      </c>
      <c r="I1" t="s">
        <v>61</v>
      </c>
      <c r="J1" t="s">
        <v>47</v>
      </c>
      <c r="K1" t="s">
        <v>150</v>
      </c>
      <c r="L1" t="s">
        <v>7</v>
      </c>
      <c r="M1" s="55" t="s">
        <v>151</v>
      </c>
      <c r="N1" t="s">
        <v>9</v>
      </c>
      <c r="O1" t="s">
        <v>188</v>
      </c>
      <c r="P1" t="s">
        <v>190</v>
      </c>
      <c r="Q1" t="s">
        <v>191</v>
      </c>
      <c r="R1" t="s">
        <v>193</v>
      </c>
      <c r="S1" t="s">
        <v>194</v>
      </c>
      <c r="T1" t="s">
        <v>196</v>
      </c>
    </row>
    <row r="2" spans="1:20" x14ac:dyDescent="0.25">
      <c r="A2">
        <v>1</v>
      </c>
      <c r="B2" t="s">
        <v>55</v>
      </c>
      <c r="C2">
        <v>8672328</v>
      </c>
      <c r="D2" s="48">
        <v>43346</v>
      </c>
      <c r="E2" s="48">
        <v>43344</v>
      </c>
      <c r="F2" s="48">
        <v>43354</v>
      </c>
      <c r="G2" t="s">
        <v>569</v>
      </c>
      <c r="H2" t="s">
        <v>570</v>
      </c>
      <c r="I2">
        <v>1</v>
      </c>
      <c r="J2" t="s">
        <v>571</v>
      </c>
      <c r="K2">
        <v>1</v>
      </c>
      <c r="L2">
        <v>1</v>
      </c>
      <c r="M2" t="s">
        <v>429</v>
      </c>
      <c r="N2">
        <v>0</v>
      </c>
      <c r="O2">
        <f>+Tabla__192.168.1.8_POSEIDONSQL_APPFVT_01_tbl_detalle_fill_rate[[#This Row],[emb_cantidad]]-Tabla__192.168.1.8_POSEIDONSQL_APPFVT_01_tbl_detalle_fill_rate[[#This Row],[dev_cantidad]]</f>
        <v>1</v>
      </c>
      <c r="P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" s="1">
        <f>+Tabla__192.168.1.8_POSEIDONSQL_APPFVT_01_tbl_detalle_fill_rate[[#This Row],[Cumpl Real Unds]]-Tabla__192.168.1.8_POSEIDONSQL_APPFVT_01_tbl_detalle_fill_rate[[#This Row],[Cant Embarcada]]</f>
        <v>0</v>
      </c>
      <c r="S2" s="1">
        <f>+IF(Tabla__192.168.1.8_POSEIDONSQL_APPFVT_01_tbl_detalle_fill_rate[[#This Row],[Pend Emb]]&gt;0,1,0)</f>
        <v>0</v>
      </c>
      <c r="T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" spans="1:20" x14ac:dyDescent="0.25">
      <c r="A3">
        <v>1</v>
      </c>
      <c r="B3" t="s">
        <v>55</v>
      </c>
      <c r="C3">
        <v>8672343</v>
      </c>
      <c r="D3" s="48">
        <v>43346</v>
      </c>
      <c r="E3" s="48">
        <v>43344</v>
      </c>
      <c r="F3" s="48">
        <v>43356</v>
      </c>
      <c r="G3" t="s">
        <v>114</v>
      </c>
      <c r="H3" t="s">
        <v>115</v>
      </c>
      <c r="I3">
        <v>1</v>
      </c>
      <c r="J3" t="s">
        <v>1294</v>
      </c>
      <c r="K3">
        <v>1</v>
      </c>
      <c r="L3">
        <v>1</v>
      </c>
      <c r="M3" t="s">
        <v>425</v>
      </c>
      <c r="N3">
        <v>0</v>
      </c>
      <c r="O3">
        <f>+Tabla__192.168.1.8_POSEIDONSQL_APPFVT_01_tbl_detalle_fill_rate[[#This Row],[emb_cantidad]]-Tabla__192.168.1.8_POSEIDONSQL_APPFVT_01_tbl_detalle_fill_rate[[#This Row],[dev_cantidad]]</f>
        <v>1</v>
      </c>
      <c r="P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" s="1">
        <f>+Tabla__192.168.1.8_POSEIDONSQL_APPFVT_01_tbl_detalle_fill_rate[[#This Row],[Cumpl Real Unds]]-Tabla__192.168.1.8_POSEIDONSQL_APPFVT_01_tbl_detalle_fill_rate[[#This Row],[Cant Embarcada]]</f>
        <v>0</v>
      </c>
      <c r="S3" s="1">
        <f>+IF(Tabla__192.168.1.8_POSEIDONSQL_APPFVT_01_tbl_detalle_fill_rate[[#This Row],[Pend Emb]]&gt;0,1,0)</f>
        <v>0</v>
      </c>
      <c r="T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" spans="1:20" x14ac:dyDescent="0.25">
      <c r="A4">
        <v>1</v>
      </c>
      <c r="B4" t="s">
        <v>55</v>
      </c>
      <c r="C4">
        <v>8672409</v>
      </c>
      <c r="D4" s="48">
        <v>43346</v>
      </c>
      <c r="E4" s="48">
        <v>43344</v>
      </c>
      <c r="F4" s="48">
        <v>43354</v>
      </c>
      <c r="G4" t="s">
        <v>92</v>
      </c>
      <c r="H4" t="s">
        <v>93</v>
      </c>
      <c r="I4">
        <v>1</v>
      </c>
      <c r="J4" t="s">
        <v>573</v>
      </c>
      <c r="K4">
        <v>1</v>
      </c>
      <c r="L4">
        <v>1</v>
      </c>
      <c r="M4" t="s">
        <v>429</v>
      </c>
      <c r="N4">
        <v>0</v>
      </c>
      <c r="O4">
        <f>+Tabla__192.168.1.8_POSEIDONSQL_APPFVT_01_tbl_detalle_fill_rate[[#This Row],[emb_cantidad]]-Tabla__192.168.1.8_POSEIDONSQL_APPFVT_01_tbl_detalle_fill_rate[[#This Row],[dev_cantidad]]</f>
        <v>1</v>
      </c>
      <c r="P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" s="1">
        <f>+Tabla__192.168.1.8_POSEIDONSQL_APPFVT_01_tbl_detalle_fill_rate[[#This Row],[Cumpl Real Unds]]-Tabla__192.168.1.8_POSEIDONSQL_APPFVT_01_tbl_detalle_fill_rate[[#This Row],[Cant Embarcada]]</f>
        <v>0</v>
      </c>
      <c r="S4" s="1">
        <f>+IF(Tabla__192.168.1.8_POSEIDONSQL_APPFVT_01_tbl_detalle_fill_rate[[#This Row],[Pend Emb]]&gt;0,1,0)</f>
        <v>0</v>
      </c>
      <c r="T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" spans="1:20" x14ac:dyDescent="0.25">
      <c r="A5">
        <v>1</v>
      </c>
      <c r="B5" t="s">
        <v>55</v>
      </c>
      <c r="C5">
        <v>8672638</v>
      </c>
      <c r="D5" s="48">
        <v>43346</v>
      </c>
      <c r="E5" s="48">
        <v>43344</v>
      </c>
      <c r="F5" s="48">
        <v>43354</v>
      </c>
      <c r="G5" t="s">
        <v>136</v>
      </c>
      <c r="H5" t="s">
        <v>137</v>
      </c>
      <c r="I5">
        <v>1</v>
      </c>
      <c r="J5" t="s">
        <v>572</v>
      </c>
      <c r="K5">
        <v>1</v>
      </c>
      <c r="L5">
        <v>1</v>
      </c>
      <c r="M5" t="s">
        <v>429</v>
      </c>
      <c r="N5">
        <v>0</v>
      </c>
      <c r="O5">
        <f>+Tabla__192.168.1.8_POSEIDONSQL_APPFVT_01_tbl_detalle_fill_rate[[#This Row],[emb_cantidad]]-Tabla__192.168.1.8_POSEIDONSQL_APPFVT_01_tbl_detalle_fill_rate[[#This Row],[dev_cantidad]]</f>
        <v>1</v>
      </c>
      <c r="P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" s="1">
        <f>+Tabla__192.168.1.8_POSEIDONSQL_APPFVT_01_tbl_detalle_fill_rate[[#This Row],[Cumpl Real Unds]]-Tabla__192.168.1.8_POSEIDONSQL_APPFVT_01_tbl_detalle_fill_rate[[#This Row],[Cant Embarcada]]</f>
        <v>0</v>
      </c>
      <c r="S5" s="1">
        <f>+IF(Tabla__192.168.1.8_POSEIDONSQL_APPFVT_01_tbl_detalle_fill_rate[[#This Row],[Pend Emb]]&gt;0,1,0)</f>
        <v>0</v>
      </c>
      <c r="T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" spans="1:20" x14ac:dyDescent="0.25">
      <c r="A6">
        <v>1</v>
      </c>
      <c r="B6" t="s">
        <v>55</v>
      </c>
      <c r="C6">
        <v>8672799</v>
      </c>
      <c r="D6" s="48">
        <v>43346</v>
      </c>
      <c r="E6" s="48">
        <v>43345</v>
      </c>
      <c r="F6" s="48">
        <v>43354</v>
      </c>
      <c r="G6" t="s">
        <v>92</v>
      </c>
      <c r="H6" t="s">
        <v>93</v>
      </c>
      <c r="I6">
        <v>1</v>
      </c>
      <c r="J6" t="s">
        <v>574</v>
      </c>
      <c r="K6">
        <v>1</v>
      </c>
      <c r="L6">
        <v>1</v>
      </c>
      <c r="M6" t="s">
        <v>429</v>
      </c>
      <c r="N6">
        <v>0</v>
      </c>
      <c r="O6">
        <f>+Tabla__192.168.1.8_POSEIDONSQL_APPFVT_01_tbl_detalle_fill_rate[[#This Row],[emb_cantidad]]-Tabla__192.168.1.8_POSEIDONSQL_APPFVT_01_tbl_detalle_fill_rate[[#This Row],[dev_cantidad]]</f>
        <v>1</v>
      </c>
      <c r="P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" s="1">
        <f>+Tabla__192.168.1.8_POSEIDONSQL_APPFVT_01_tbl_detalle_fill_rate[[#This Row],[Cumpl Real Unds]]-Tabla__192.168.1.8_POSEIDONSQL_APPFVT_01_tbl_detalle_fill_rate[[#This Row],[Cant Embarcada]]</f>
        <v>0</v>
      </c>
      <c r="S6" s="1">
        <f>+IF(Tabla__192.168.1.8_POSEIDONSQL_APPFVT_01_tbl_detalle_fill_rate[[#This Row],[Pend Emb]]&gt;0,1,0)</f>
        <v>0</v>
      </c>
      <c r="T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" spans="1:20" x14ac:dyDescent="0.25">
      <c r="A7">
        <v>1</v>
      </c>
      <c r="B7" t="s">
        <v>55</v>
      </c>
      <c r="C7">
        <v>8673146</v>
      </c>
      <c r="D7" s="48">
        <v>43346</v>
      </c>
      <c r="E7" s="48">
        <v>43345</v>
      </c>
      <c r="F7" s="48">
        <v>43354</v>
      </c>
      <c r="G7" t="s">
        <v>76</v>
      </c>
      <c r="H7" t="s">
        <v>77</v>
      </c>
      <c r="I7">
        <v>1</v>
      </c>
      <c r="J7" t="s">
        <v>575</v>
      </c>
      <c r="K7">
        <v>1</v>
      </c>
      <c r="L7">
        <v>1</v>
      </c>
      <c r="M7" t="s">
        <v>429</v>
      </c>
      <c r="N7">
        <v>0</v>
      </c>
      <c r="O7">
        <f>+Tabla__192.168.1.8_POSEIDONSQL_APPFVT_01_tbl_detalle_fill_rate[[#This Row],[emb_cantidad]]-Tabla__192.168.1.8_POSEIDONSQL_APPFVT_01_tbl_detalle_fill_rate[[#This Row],[dev_cantidad]]</f>
        <v>1</v>
      </c>
      <c r="P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" s="1">
        <f>+Tabla__192.168.1.8_POSEIDONSQL_APPFVT_01_tbl_detalle_fill_rate[[#This Row],[Cumpl Real Unds]]-Tabla__192.168.1.8_POSEIDONSQL_APPFVT_01_tbl_detalle_fill_rate[[#This Row],[Cant Embarcada]]</f>
        <v>0</v>
      </c>
      <c r="S7" s="1">
        <f>+IF(Tabla__192.168.1.8_POSEIDONSQL_APPFVT_01_tbl_detalle_fill_rate[[#This Row],[Pend Emb]]&gt;0,1,0)</f>
        <v>0</v>
      </c>
      <c r="T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" spans="1:20" x14ac:dyDescent="0.25">
      <c r="A8">
        <v>1</v>
      </c>
      <c r="B8" t="s">
        <v>55</v>
      </c>
      <c r="C8">
        <v>8673243</v>
      </c>
      <c r="D8" s="48">
        <v>43347</v>
      </c>
      <c r="E8" s="48">
        <v>43345</v>
      </c>
      <c r="F8" s="48">
        <v>43354</v>
      </c>
      <c r="G8" t="s">
        <v>136</v>
      </c>
      <c r="H8" t="s">
        <v>137</v>
      </c>
      <c r="I8">
        <v>1</v>
      </c>
      <c r="J8" t="s">
        <v>1289</v>
      </c>
      <c r="K8">
        <v>1</v>
      </c>
      <c r="L8">
        <v>1</v>
      </c>
      <c r="M8" t="s">
        <v>429</v>
      </c>
      <c r="N8">
        <v>0</v>
      </c>
      <c r="O8">
        <f>+Tabla__192.168.1.8_POSEIDONSQL_APPFVT_01_tbl_detalle_fill_rate[[#This Row],[emb_cantidad]]-Tabla__192.168.1.8_POSEIDONSQL_APPFVT_01_tbl_detalle_fill_rate[[#This Row],[dev_cantidad]]</f>
        <v>1</v>
      </c>
      <c r="P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" s="1">
        <f>+Tabla__192.168.1.8_POSEIDONSQL_APPFVT_01_tbl_detalle_fill_rate[[#This Row],[Cumpl Real Unds]]-Tabla__192.168.1.8_POSEIDONSQL_APPFVT_01_tbl_detalle_fill_rate[[#This Row],[Cant Embarcada]]</f>
        <v>0</v>
      </c>
      <c r="S8" s="1">
        <f>+IF(Tabla__192.168.1.8_POSEIDONSQL_APPFVT_01_tbl_detalle_fill_rate[[#This Row],[Pend Emb]]&gt;0,1,0)</f>
        <v>0</v>
      </c>
      <c r="T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" spans="1:20" x14ac:dyDescent="0.25">
      <c r="A9">
        <v>1</v>
      </c>
      <c r="B9" t="s">
        <v>55</v>
      </c>
      <c r="C9">
        <v>8673274</v>
      </c>
      <c r="D9" s="48">
        <v>43347</v>
      </c>
      <c r="E9" s="48">
        <v>43345</v>
      </c>
      <c r="F9" s="48">
        <v>43354</v>
      </c>
      <c r="G9" t="s">
        <v>146</v>
      </c>
      <c r="H9" t="s">
        <v>147</v>
      </c>
      <c r="I9">
        <v>1</v>
      </c>
      <c r="J9" t="s">
        <v>1286</v>
      </c>
      <c r="K9">
        <v>0</v>
      </c>
      <c r="L9">
        <v>0</v>
      </c>
      <c r="M9" t="s">
        <v>12</v>
      </c>
      <c r="N9">
        <v>0</v>
      </c>
      <c r="O9">
        <f>+Tabla__192.168.1.8_POSEIDONSQL_APPFVT_01_tbl_detalle_fill_rate[[#This Row],[emb_cantidad]]-Tabla__192.168.1.8_POSEIDONSQL_APPFVT_01_tbl_detalle_fill_rate[[#This Row],[dev_cantidad]]</f>
        <v>0</v>
      </c>
      <c r="P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" s="1">
        <f>+Tabla__192.168.1.8_POSEIDONSQL_APPFVT_01_tbl_detalle_fill_rate[[#This Row],[Cumpl Real Unds]]-Tabla__192.168.1.8_POSEIDONSQL_APPFVT_01_tbl_detalle_fill_rate[[#This Row],[Cant Embarcada]]</f>
        <v>0</v>
      </c>
      <c r="S9" s="1">
        <f>+IF(Tabla__192.168.1.8_POSEIDONSQL_APPFVT_01_tbl_detalle_fill_rate[[#This Row],[Pend Emb]]&gt;0,1,0)</f>
        <v>0</v>
      </c>
      <c r="T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" spans="1:20" x14ac:dyDescent="0.25">
      <c r="A10">
        <v>1</v>
      </c>
      <c r="B10" t="s">
        <v>55</v>
      </c>
      <c r="C10">
        <v>8673333</v>
      </c>
      <c r="D10" s="48">
        <v>43347</v>
      </c>
      <c r="E10" s="48">
        <v>43345</v>
      </c>
      <c r="F10" s="48">
        <v>43354</v>
      </c>
      <c r="G10" t="s">
        <v>136</v>
      </c>
      <c r="H10" t="s">
        <v>137</v>
      </c>
      <c r="I10">
        <v>1</v>
      </c>
      <c r="J10" t="s">
        <v>1290</v>
      </c>
      <c r="K10">
        <v>1</v>
      </c>
      <c r="L10">
        <v>1</v>
      </c>
      <c r="M10" t="s">
        <v>429</v>
      </c>
      <c r="N10">
        <v>0</v>
      </c>
      <c r="O10">
        <f>+Tabla__192.168.1.8_POSEIDONSQL_APPFVT_01_tbl_detalle_fill_rate[[#This Row],[emb_cantidad]]-Tabla__192.168.1.8_POSEIDONSQL_APPFVT_01_tbl_detalle_fill_rate[[#This Row],[dev_cantidad]]</f>
        <v>1</v>
      </c>
      <c r="P1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" s="1">
        <f>+Tabla__192.168.1.8_POSEIDONSQL_APPFVT_01_tbl_detalle_fill_rate[[#This Row],[Cumpl Real Unds]]-Tabla__192.168.1.8_POSEIDONSQL_APPFVT_01_tbl_detalle_fill_rate[[#This Row],[Cant Embarcada]]</f>
        <v>0</v>
      </c>
      <c r="S10" s="1">
        <f>+IF(Tabla__192.168.1.8_POSEIDONSQL_APPFVT_01_tbl_detalle_fill_rate[[#This Row],[Pend Emb]]&gt;0,1,0)</f>
        <v>0</v>
      </c>
      <c r="T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" spans="1:20" x14ac:dyDescent="0.25">
      <c r="A11">
        <v>1</v>
      </c>
      <c r="B11" t="s">
        <v>55</v>
      </c>
      <c r="C11">
        <v>8673363</v>
      </c>
      <c r="D11" s="48">
        <v>43347</v>
      </c>
      <c r="E11" s="48">
        <v>43345</v>
      </c>
      <c r="F11" s="48">
        <v>43354</v>
      </c>
      <c r="G11" t="s">
        <v>136</v>
      </c>
      <c r="H11" t="s">
        <v>137</v>
      </c>
      <c r="I11">
        <v>1</v>
      </c>
      <c r="J11" t="s">
        <v>1287</v>
      </c>
      <c r="K11">
        <v>1</v>
      </c>
      <c r="L11">
        <v>1</v>
      </c>
      <c r="M11" t="s">
        <v>429</v>
      </c>
      <c r="N11">
        <v>0</v>
      </c>
      <c r="O11">
        <f>+Tabla__192.168.1.8_POSEIDONSQL_APPFVT_01_tbl_detalle_fill_rate[[#This Row],[emb_cantidad]]-Tabla__192.168.1.8_POSEIDONSQL_APPFVT_01_tbl_detalle_fill_rate[[#This Row],[dev_cantidad]]</f>
        <v>1</v>
      </c>
      <c r="P1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" s="1">
        <f>+Tabla__192.168.1.8_POSEIDONSQL_APPFVT_01_tbl_detalle_fill_rate[[#This Row],[Cumpl Real Unds]]-Tabla__192.168.1.8_POSEIDONSQL_APPFVT_01_tbl_detalle_fill_rate[[#This Row],[Cant Embarcada]]</f>
        <v>0</v>
      </c>
      <c r="S11" s="1">
        <f>+IF(Tabla__192.168.1.8_POSEIDONSQL_APPFVT_01_tbl_detalle_fill_rate[[#This Row],[Pend Emb]]&gt;0,1,0)</f>
        <v>0</v>
      </c>
      <c r="T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" spans="1:20" x14ac:dyDescent="0.25">
      <c r="A12">
        <v>1</v>
      </c>
      <c r="B12" t="s">
        <v>55</v>
      </c>
      <c r="C12">
        <v>8674100</v>
      </c>
      <c r="D12" s="48">
        <v>43347</v>
      </c>
      <c r="E12" s="48">
        <v>43346</v>
      </c>
      <c r="F12" s="48">
        <v>43350</v>
      </c>
      <c r="G12" t="s">
        <v>72</v>
      </c>
      <c r="H12" t="s">
        <v>73</v>
      </c>
      <c r="I12">
        <v>48</v>
      </c>
      <c r="J12" t="s">
        <v>152</v>
      </c>
      <c r="K12">
        <v>48</v>
      </c>
      <c r="L12">
        <v>48</v>
      </c>
      <c r="M12" t="s">
        <v>1969</v>
      </c>
      <c r="N12">
        <v>0</v>
      </c>
      <c r="O12">
        <f>+Tabla__192.168.1.8_POSEIDONSQL_APPFVT_01_tbl_detalle_fill_rate[[#This Row],[emb_cantidad]]-Tabla__192.168.1.8_POSEIDONSQL_APPFVT_01_tbl_detalle_fill_rate[[#This Row],[dev_cantidad]]</f>
        <v>48</v>
      </c>
      <c r="P1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48</v>
      </c>
      <c r="R12" s="1">
        <f>+Tabla__192.168.1.8_POSEIDONSQL_APPFVT_01_tbl_detalle_fill_rate[[#This Row],[Cumpl Real Unds]]-Tabla__192.168.1.8_POSEIDONSQL_APPFVT_01_tbl_detalle_fill_rate[[#This Row],[Cant Embarcada]]</f>
        <v>0</v>
      </c>
      <c r="S12" s="1">
        <f>+IF(Tabla__192.168.1.8_POSEIDONSQL_APPFVT_01_tbl_detalle_fill_rate[[#This Row],[Pend Emb]]&gt;0,1,0)</f>
        <v>0</v>
      </c>
      <c r="T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" spans="1:20" x14ac:dyDescent="0.25">
      <c r="A13">
        <v>1</v>
      </c>
      <c r="B13" t="s">
        <v>55</v>
      </c>
      <c r="C13">
        <v>8674100</v>
      </c>
      <c r="D13" s="48">
        <v>43347</v>
      </c>
      <c r="E13" s="48">
        <v>43346</v>
      </c>
      <c r="F13" s="48">
        <v>43350</v>
      </c>
      <c r="G13" t="s">
        <v>148</v>
      </c>
      <c r="H13" t="s">
        <v>149</v>
      </c>
      <c r="I13">
        <v>54</v>
      </c>
      <c r="J13" t="s">
        <v>154</v>
      </c>
      <c r="K13">
        <v>54</v>
      </c>
      <c r="L13">
        <v>54</v>
      </c>
      <c r="M13" t="s">
        <v>1969</v>
      </c>
      <c r="N13">
        <v>0</v>
      </c>
      <c r="O13">
        <f>+Tabla__192.168.1.8_POSEIDONSQL_APPFVT_01_tbl_detalle_fill_rate[[#This Row],[emb_cantidad]]-Tabla__192.168.1.8_POSEIDONSQL_APPFVT_01_tbl_detalle_fill_rate[[#This Row],[dev_cantidad]]</f>
        <v>54</v>
      </c>
      <c r="P1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54</v>
      </c>
      <c r="R13" s="1">
        <f>+Tabla__192.168.1.8_POSEIDONSQL_APPFVT_01_tbl_detalle_fill_rate[[#This Row],[Cumpl Real Unds]]-Tabla__192.168.1.8_POSEIDONSQL_APPFVT_01_tbl_detalle_fill_rate[[#This Row],[Cant Embarcada]]</f>
        <v>0</v>
      </c>
      <c r="S13" s="1">
        <f>+IF(Tabla__192.168.1.8_POSEIDONSQL_APPFVT_01_tbl_detalle_fill_rate[[#This Row],[Pend Emb]]&gt;0,1,0)</f>
        <v>0</v>
      </c>
      <c r="T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" spans="1:20" x14ac:dyDescent="0.25">
      <c r="A14">
        <v>1</v>
      </c>
      <c r="B14" t="s">
        <v>55</v>
      </c>
      <c r="C14">
        <v>8674100</v>
      </c>
      <c r="D14" s="48">
        <v>43347</v>
      </c>
      <c r="E14" s="48">
        <v>43346</v>
      </c>
      <c r="F14" s="48">
        <v>43350</v>
      </c>
      <c r="G14" t="s">
        <v>157</v>
      </c>
      <c r="H14" t="s">
        <v>158</v>
      </c>
      <c r="I14">
        <v>6</v>
      </c>
      <c r="J14" t="s">
        <v>153</v>
      </c>
      <c r="K14">
        <v>6</v>
      </c>
      <c r="L14">
        <v>6</v>
      </c>
      <c r="M14" t="s">
        <v>1969</v>
      </c>
      <c r="N14">
        <v>0</v>
      </c>
      <c r="O14">
        <f>+Tabla__192.168.1.8_POSEIDONSQL_APPFVT_01_tbl_detalle_fill_rate[[#This Row],[emb_cantidad]]-Tabla__192.168.1.8_POSEIDONSQL_APPFVT_01_tbl_detalle_fill_rate[[#This Row],[dev_cantidad]]</f>
        <v>6</v>
      </c>
      <c r="P1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4" s="1">
        <f>+Tabla__192.168.1.8_POSEIDONSQL_APPFVT_01_tbl_detalle_fill_rate[[#This Row],[Cumpl Real Unds]]-Tabla__192.168.1.8_POSEIDONSQL_APPFVT_01_tbl_detalle_fill_rate[[#This Row],[Cant Embarcada]]</f>
        <v>0</v>
      </c>
      <c r="S14" s="1">
        <f>+IF(Tabla__192.168.1.8_POSEIDONSQL_APPFVT_01_tbl_detalle_fill_rate[[#This Row],[Pend Emb]]&gt;0,1,0)</f>
        <v>0</v>
      </c>
      <c r="T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" spans="1:20" x14ac:dyDescent="0.25">
      <c r="A15">
        <v>1</v>
      </c>
      <c r="B15" t="s">
        <v>55</v>
      </c>
      <c r="C15">
        <v>8674100</v>
      </c>
      <c r="D15" s="48">
        <v>43347</v>
      </c>
      <c r="E15" s="48">
        <v>43346</v>
      </c>
      <c r="F15" s="48">
        <v>43350</v>
      </c>
      <c r="G15" t="s">
        <v>100</v>
      </c>
      <c r="H15" t="s">
        <v>101</v>
      </c>
      <c r="I15">
        <v>6</v>
      </c>
      <c r="J15" t="s">
        <v>155</v>
      </c>
      <c r="K15">
        <v>6</v>
      </c>
      <c r="L15">
        <v>6</v>
      </c>
      <c r="M15" t="s">
        <v>1969</v>
      </c>
      <c r="N15">
        <v>0</v>
      </c>
      <c r="O15">
        <f>+Tabla__192.168.1.8_POSEIDONSQL_APPFVT_01_tbl_detalle_fill_rate[[#This Row],[emb_cantidad]]-Tabla__192.168.1.8_POSEIDONSQL_APPFVT_01_tbl_detalle_fill_rate[[#This Row],[dev_cantidad]]</f>
        <v>6</v>
      </c>
      <c r="P1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" s="1">
        <f>+Tabla__192.168.1.8_POSEIDONSQL_APPFVT_01_tbl_detalle_fill_rate[[#This Row],[Cumpl Real Unds]]-Tabla__192.168.1.8_POSEIDONSQL_APPFVT_01_tbl_detalle_fill_rate[[#This Row],[Cant Embarcada]]</f>
        <v>0</v>
      </c>
      <c r="S15" s="1">
        <f>+IF(Tabla__192.168.1.8_POSEIDONSQL_APPFVT_01_tbl_detalle_fill_rate[[#This Row],[Pend Emb]]&gt;0,1,0)</f>
        <v>0</v>
      </c>
      <c r="T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" spans="1:20" x14ac:dyDescent="0.25">
      <c r="A16">
        <v>1</v>
      </c>
      <c r="B16" t="s">
        <v>55</v>
      </c>
      <c r="C16">
        <v>8674100</v>
      </c>
      <c r="D16" s="48">
        <v>43347</v>
      </c>
      <c r="E16" s="48">
        <v>43346</v>
      </c>
      <c r="F16" s="48">
        <v>43350</v>
      </c>
      <c r="G16" t="s">
        <v>238</v>
      </c>
      <c r="H16" t="s">
        <v>239</v>
      </c>
      <c r="I16">
        <v>6</v>
      </c>
      <c r="J16" t="s">
        <v>156</v>
      </c>
      <c r="K16">
        <v>6</v>
      </c>
      <c r="L16">
        <v>6</v>
      </c>
      <c r="M16" t="s">
        <v>1969</v>
      </c>
      <c r="N16">
        <v>0</v>
      </c>
      <c r="O16">
        <f>+Tabla__192.168.1.8_POSEIDONSQL_APPFVT_01_tbl_detalle_fill_rate[[#This Row],[emb_cantidad]]-Tabla__192.168.1.8_POSEIDONSQL_APPFVT_01_tbl_detalle_fill_rate[[#This Row],[dev_cantidad]]</f>
        <v>6</v>
      </c>
      <c r="P1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" s="1">
        <f>+Tabla__192.168.1.8_POSEIDONSQL_APPFVT_01_tbl_detalle_fill_rate[[#This Row],[Cumpl Real Unds]]-Tabla__192.168.1.8_POSEIDONSQL_APPFVT_01_tbl_detalle_fill_rate[[#This Row],[Cant Embarcada]]</f>
        <v>0</v>
      </c>
      <c r="S16" s="1">
        <f>+IF(Tabla__192.168.1.8_POSEIDONSQL_APPFVT_01_tbl_detalle_fill_rate[[#This Row],[Pend Emb]]&gt;0,1,0)</f>
        <v>0</v>
      </c>
      <c r="T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" spans="1:20" x14ac:dyDescent="0.25">
      <c r="A17">
        <v>1</v>
      </c>
      <c r="B17" t="s">
        <v>55</v>
      </c>
      <c r="C17">
        <v>8674993</v>
      </c>
      <c r="D17" s="48">
        <v>43347</v>
      </c>
      <c r="E17" s="48">
        <v>43346</v>
      </c>
      <c r="F17" s="48">
        <v>43354</v>
      </c>
      <c r="G17" t="s">
        <v>136</v>
      </c>
      <c r="H17" t="s">
        <v>137</v>
      </c>
      <c r="I17">
        <v>1</v>
      </c>
      <c r="J17" t="s">
        <v>1288</v>
      </c>
      <c r="K17">
        <v>1</v>
      </c>
      <c r="L17">
        <v>1</v>
      </c>
      <c r="M17" t="s">
        <v>429</v>
      </c>
      <c r="N17">
        <v>0</v>
      </c>
      <c r="O17">
        <f>+Tabla__192.168.1.8_POSEIDONSQL_APPFVT_01_tbl_detalle_fill_rate[[#This Row],[emb_cantidad]]-Tabla__192.168.1.8_POSEIDONSQL_APPFVT_01_tbl_detalle_fill_rate[[#This Row],[dev_cantidad]]</f>
        <v>1</v>
      </c>
      <c r="P1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" s="1">
        <f>+Tabla__192.168.1.8_POSEIDONSQL_APPFVT_01_tbl_detalle_fill_rate[[#This Row],[Cumpl Real Unds]]-Tabla__192.168.1.8_POSEIDONSQL_APPFVT_01_tbl_detalle_fill_rate[[#This Row],[Cant Embarcada]]</f>
        <v>0</v>
      </c>
      <c r="S17" s="1">
        <f>+IF(Tabla__192.168.1.8_POSEIDONSQL_APPFVT_01_tbl_detalle_fill_rate[[#This Row],[Pend Emb]]&gt;0,1,0)</f>
        <v>0</v>
      </c>
      <c r="T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" spans="1:20" x14ac:dyDescent="0.25">
      <c r="A18">
        <v>1</v>
      </c>
      <c r="B18" t="s">
        <v>55</v>
      </c>
      <c r="C18">
        <v>8675131</v>
      </c>
      <c r="D18" s="48">
        <v>43347</v>
      </c>
      <c r="E18" s="48">
        <v>43346</v>
      </c>
      <c r="F18" s="48">
        <v>43356</v>
      </c>
      <c r="G18" t="s">
        <v>102</v>
      </c>
      <c r="H18" t="s">
        <v>103</v>
      </c>
      <c r="I18">
        <v>1</v>
      </c>
      <c r="J18" t="s">
        <v>1291</v>
      </c>
      <c r="K18">
        <v>1</v>
      </c>
      <c r="L18">
        <v>1</v>
      </c>
      <c r="M18" t="s">
        <v>425</v>
      </c>
      <c r="N18">
        <v>0</v>
      </c>
      <c r="O18">
        <f>+Tabla__192.168.1.8_POSEIDONSQL_APPFVT_01_tbl_detalle_fill_rate[[#This Row],[emb_cantidad]]-Tabla__192.168.1.8_POSEIDONSQL_APPFVT_01_tbl_detalle_fill_rate[[#This Row],[dev_cantidad]]</f>
        <v>1</v>
      </c>
      <c r="P1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" s="1">
        <f>+Tabla__192.168.1.8_POSEIDONSQL_APPFVT_01_tbl_detalle_fill_rate[[#This Row],[Cumpl Real Unds]]-Tabla__192.168.1.8_POSEIDONSQL_APPFVT_01_tbl_detalle_fill_rate[[#This Row],[Cant Embarcada]]</f>
        <v>0</v>
      </c>
      <c r="S18" s="1">
        <f>+IF(Tabla__192.168.1.8_POSEIDONSQL_APPFVT_01_tbl_detalle_fill_rate[[#This Row],[Pend Emb]]&gt;0,1,0)</f>
        <v>0</v>
      </c>
      <c r="T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" spans="1:20" x14ac:dyDescent="0.25">
      <c r="A19">
        <v>1</v>
      </c>
      <c r="B19" t="s">
        <v>55</v>
      </c>
      <c r="C19">
        <v>8675185</v>
      </c>
      <c r="D19" s="48">
        <v>43347</v>
      </c>
      <c r="E19" s="48">
        <v>43346</v>
      </c>
      <c r="F19" s="48">
        <v>43357</v>
      </c>
      <c r="G19" t="s">
        <v>157</v>
      </c>
      <c r="H19" t="s">
        <v>158</v>
      </c>
      <c r="I19">
        <v>12</v>
      </c>
      <c r="J19" t="s">
        <v>152</v>
      </c>
      <c r="K19">
        <v>12</v>
      </c>
      <c r="L19">
        <v>12</v>
      </c>
      <c r="M19" t="s">
        <v>161</v>
      </c>
      <c r="N19">
        <v>0</v>
      </c>
      <c r="O19">
        <f>+Tabla__192.168.1.8_POSEIDONSQL_APPFVT_01_tbl_detalle_fill_rate[[#This Row],[emb_cantidad]]-Tabla__192.168.1.8_POSEIDONSQL_APPFVT_01_tbl_detalle_fill_rate[[#This Row],[dev_cantidad]]</f>
        <v>12</v>
      </c>
      <c r="P1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9" s="1">
        <f>+Tabla__192.168.1.8_POSEIDONSQL_APPFVT_01_tbl_detalle_fill_rate[[#This Row],[Cumpl Real Unds]]-Tabla__192.168.1.8_POSEIDONSQL_APPFVT_01_tbl_detalle_fill_rate[[#This Row],[Cant Embarcada]]</f>
        <v>0</v>
      </c>
      <c r="S19" s="1">
        <f>+IF(Tabla__192.168.1.8_POSEIDONSQL_APPFVT_01_tbl_detalle_fill_rate[[#This Row],[Pend Emb]]&gt;0,1,0)</f>
        <v>0</v>
      </c>
      <c r="T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" spans="1:20" x14ac:dyDescent="0.25">
      <c r="A20">
        <v>1</v>
      </c>
      <c r="B20" t="s">
        <v>55</v>
      </c>
      <c r="C20">
        <v>8675185</v>
      </c>
      <c r="D20" s="48">
        <v>43347</v>
      </c>
      <c r="E20" s="48">
        <v>43346</v>
      </c>
      <c r="F20" s="48">
        <v>43357</v>
      </c>
      <c r="G20" t="s">
        <v>100</v>
      </c>
      <c r="H20" t="s">
        <v>101</v>
      </c>
      <c r="I20">
        <v>12</v>
      </c>
      <c r="J20" t="s">
        <v>154</v>
      </c>
      <c r="K20">
        <v>12</v>
      </c>
      <c r="L20">
        <v>12</v>
      </c>
      <c r="M20" t="s">
        <v>161</v>
      </c>
      <c r="N20">
        <v>0</v>
      </c>
      <c r="O20">
        <f>+Tabla__192.168.1.8_POSEIDONSQL_APPFVT_01_tbl_detalle_fill_rate[[#This Row],[emb_cantidad]]-Tabla__192.168.1.8_POSEIDONSQL_APPFVT_01_tbl_detalle_fill_rate[[#This Row],[dev_cantidad]]</f>
        <v>12</v>
      </c>
      <c r="P2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20" s="1">
        <f>+Tabla__192.168.1.8_POSEIDONSQL_APPFVT_01_tbl_detalle_fill_rate[[#This Row],[Cumpl Real Unds]]-Tabla__192.168.1.8_POSEIDONSQL_APPFVT_01_tbl_detalle_fill_rate[[#This Row],[Cant Embarcada]]</f>
        <v>0</v>
      </c>
      <c r="S20" s="1">
        <f>+IF(Tabla__192.168.1.8_POSEIDONSQL_APPFVT_01_tbl_detalle_fill_rate[[#This Row],[Pend Emb]]&gt;0,1,0)</f>
        <v>0</v>
      </c>
      <c r="T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" spans="1:20" x14ac:dyDescent="0.25">
      <c r="A21">
        <v>1</v>
      </c>
      <c r="B21" t="s">
        <v>55</v>
      </c>
      <c r="C21">
        <v>8675185</v>
      </c>
      <c r="D21" s="48">
        <v>43347</v>
      </c>
      <c r="E21" s="48">
        <v>43346</v>
      </c>
      <c r="F21" s="48">
        <v>43357</v>
      </c>
      <c r="G21" t="s">
        <v>238</v>
      </c>
      <c r="H21" t="s">
        <v>239</v>
      </c>
      <c r="I21">
        <v>6</v>
      </c>
      <c r="J21" t="s">
        <v>153</v>
      </c>
      <c r="K21">
        <v>6</v>
      </c>
      <c r="L21">
        <v>6</v>
      </c>
      <c r="M21" t="s">
        <v>161</v>
      </c>
      <c r="N21">
        <v>0</v>
      </c>
      <c r="O21">
        <f>+Tabla__192.168.1.8_POSEIDONSQL_APPFVT_01_tbl_detalle_fill_rate[[#This Row],[emb_cantidad]]-Tabla__192.168.1.8_POSEIDONSQL_APPFVT_01_tbl_detalle_fill_rate[[#This Row],[dev_cantidad]]</f>
        <v>6</v>
      </c>
      <c r="P2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21" s="1">
        <f>+Tabla__192.168.1.8_POSEIDONSQL_APPFVT_01_tbl_detalle_fill_rate[[#This Row],[Cumpl Real Unds]]-Tabla__192.168.1.8_POSEIDONSQL_APPFVT_01_tbl_detalle_fill_rate[[#This Row],[Cant Embarcada]]</f>
        <v>0</v>
      </c>
      <c r="S21" s="1">
        <f>+IF(Tabla__192.168.1.8_POSEIDONSQL_APPFVT_01_tbl_detalle_fill_rate[[#This Row],[Pend Emb]]&gt;0,1,0)</f>
        <v>0</v>
      </c>
      <c r="T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" spans="1:20" x14ac:dyDescent="0.25">
      <c r="A22">
        <v>1</v>
      </c>
      <c r="B22" t="s">
        <v>55</v>
      </c>
      <c r="C22">
        <v>8675190</v>
      </c>
      <c r="D22" s="48">
        <v>43347</v>
      </c>
      <c r="E22" s="48">
        <v>43346</v>
      </c>
      <c r="F22" s="48">
        <v>43357</v>
      </c>
      <c r="G22" t="s">
        <v>433</v>
      </c>
      <c r="H22" t="s">
        <v>434</v>
      </c>
      <c r="I22">
        <v>12</v>
      </c>
      <c r="J22" t="s">
        <v>152</v>
      </c>
      <c r="K22">
        <v>0</v>
      </c>
      <c r="L22">
        <v>0</v>
      </c>
      <c r="M22" t="s">
        <v>12</v>
      </c>
      <c r="N22">
        <v>0</v>
      </c>
      <c r="O22">
        <f>+Tabla__192.168.1.8_POSEIDONSQL_APPFVT_01_tbl_detalle_fill_rate[[#This Row],[emb_cantidad]]-Tabla__192.168.1.8_POSEIDONSQL_APPFVT_01_tbl_detalle_fill_rate[[#This Row],[dev_cantidad]]</f>
        <v>0</v>
      </c>
      <c r="P2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2" s="1">
        <f>+Tabla__192.168.1.8_POSEIDONSQL_APPFVT_01_tbl_detalle_fill_rate[[#This Row],[Cumpl Real Unds]]-Tabla__192.168.1.8_POSEIDONSQL_APPFVT_01_tbl_detalle_fill_rate[[#This Row],[Cant Embarcada]]</f>
        <v>0</v>
      </c>
      <c r="S22" s="1">
        <f>+IF(Tabla__192.168.1.8_POSEIDONSQL_APPFVT_01_tbl_detalle_fill_rate[[#This Row],[Pend Emb]]&gt;0,1,0)</f>
        <v>0</v>
      </c>
      <c r="T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" spans="1:20" x14ac:dyDescent="0.25">
      <c r="A23">
        <v>1</v>
      </c>
      <c r="B23" t="s">
        <v>55</v>
      </c>
      <c r="C23">
        <v>8675668</v>
      </c>
      <c r="D23" s="48">
        <v>43348</v>
      </c>
      <c r="E23" s="48">
        <v>43346</v>
      </c>
      <c r="F23" s="48">
        <v>43354</v>
      </c>
      <c r="G23" t="s">
        <v>387</v>
      </c>
      <c r="H23" t="s">
        <v>388</v>
      </c>
      <c r="I23">
        <v>1</v>
      </c>
      <c r="J23" t="s">
        <v>1843</v>
      </c>
      <c r="K23">
        <v>1</v>
      </c>
      <c r="L23">
        <v>1</v>
      </c>
      <c r="M23" t="s">
        <v>429</v>
      </c>
      <c r="N23">
        <v>0</v>
      </c>
      <c r="O23">
        <f>+Tabla__192.168.1.8_POSEIDONSQL_APPFVT_01_tbl_detalle_fill_rate[[#This Row],[emb_cantidad]]-Tabla__192.168.1.8_POSEIDONSQL_APPFVT_01_tbl_detalle_fill_rate[[#This Row],[dev_cantidad]]</f>
        <v>1</v>
      </c>
      <c r="P2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" s="1">
        <f>+Tabla__192.168.1.8_POSEIDONSQL_APPFVT_01_tbl_detalle_fill_rate[[#This Row],[Cumpl Real Unds]]-Tabla__192.168.1.8_POSEIDONSQL_APPFVT_01_tbl_detalle_fill_rate[[#This Row],[Cant Embarcada]]</f>
        <v>0</v>
      </c>
      <c r="S23" s="1">
        <f>+IF(Tabla__192.168.1.8_POSEIDONSQL_APPFVT_01_tbl_detalle_fill_rate[[#This Row],[Pend Emb]]&gt;0,1,0)</f>
        <v>0</v>
      </c>
      <c r="T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" spans="1:20" x14ac:dyDescent="0.25">
      <c r="A24">
        <v>1</v>
      </c>
      <c r="B24" t="s">
        <v>55</v>
      </c>
      <c r="C24">
        <v>8675715</v>
      </c>
      <c r="D24" s="48">
        <v>43348</v>
      </c>
      <c r="E24" s="48">
        <v>43346</v>
      </c>
      <c r="F24" s="48">
        <v>43354</v>
      </c>
      <c r="G24" t="s">
        <v>164</v>
      </c>
      <c r="H24" t="s">
        <v>165</v>
      </c>
      <c r="I24">
        <v>1</v>
      </c>
      <c r="J24" t="s">
        <v>1839</v>
      </c>
      <c r="K24">
        <v>1</v>
      </c>
      <c r="L24">
        <v>1</v>
      </c>
      <c r="M24" t="s">
        <v>429</v>
      </c>
      <c r="N24">
        <v>0</v>
      </c>
      <c r="O24">
        <f>+Tabla__192.168.1.8_POSEIDONSQL_APPFVT_01_tbl_detalle_fill_rate[[#This Row],[emb_cantidad]]-Tabla__192.168.1.8_POSEIDONSQL_APPFVT_01_tbl_detalle_fill_rate[[#This Row],[dev_cantidad]]</f>
        <v>1</v>
      </c>
      <c r="P2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" s="1">
        <f>+Tabla__192.168.1.8_POSEIDONSQL_APPFVT_01_tbl_detalle_fill_rate[[#This Row],[Cumpl Real Unds]]-Tabla__192.168.1.8_POSEIDONSQL_APPFVT_01_tbl_detalle_fill_rate[[#This Row],[Cant Embarcada]]</f>
        <v>0</v>
      </c>
      <c r="S24" s="1">
        <f>+IF(Tabla__192.168.1.8_POSEIDONSQL_APPFVT_01_tbl_detalle_fill_rate[[#This Row],[Pend Emb]]&gt;0,1,0)</f>
        <v>0</v>
      </c>
      <c r="T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" spans="1:20" x14ac:dyDescent="0.25">
      <c r="A25">
        <v>1</v>
      </c>
      <c r="B25" t="s">
        <v>55</v>
      </c>
      <c r="C25">
        <v>8675790</v>
      </c>
      <c r="D25" s="48">
        <v>43348</v>
      </c>
      <c r="E25" s="48">
        <v>43347</v>
      </c>
      <c r="F25" s="48">
        <v>43354</v>
      </c>
      <c r="G25" t="s">
        <v>92</v>
      </c>
      <c r="H25" t="s">
        <v>93</v>
      </c>
      <c r="I25">
        <v>1</v>
      </c>
      <c r="J25" t="s">
        <v>1840</v>
      </c>
      <c r="K25">
        <v>1</v>
      </c>
      <c r="L25">
        <v>1</v>
      </c>
      <c r="M25" t="s">
        <v>429</v>
      </c>
      <c r="N25">
        <v>0</v>
      </c>
      <c r="O25">
        <f>+Tabla__192.168.1.8_POSEIDONSQL_APPFVT_01_tbl_detalle_fill_rate[[#This Row],[emb_cantidad]]-Tabla__192.168.1.8_POSEIDONSQL_APPFVT_01_tbl_detalle_fill_rate[[#This Row],[dev_cantidad]]</f>
        <v>1</v>
      </c>
      <c r="P2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5" s="1">
        <f>+Tabla__192.168.1.8_POSEIDONSQL_APPFVT_01_tbl_detalle_fill_rate[[#This Row],[Cumpl Real Unds]]-Tabla__192.168.1.8_POSEIDONSQL_APPFVT_01_tbl_detalle_fill_rate[[#This Row],[Cant Embarcada]]</f>
        <v>0</v>
      </c>
      <c r="S25" s="1">
        <f>+IF(Tabla__192.168.1.8_POSEIDONSQL_APPFVT_01_tbl_detalle_fill_rate[[#This Row],[Pend Emb]]&gt;0,1,0)</f>
        <v>0</v>
      </c>
      <c r="T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" spans="1:20" x14ac:dyDescent="0.25">
      <c r="A26">
        <v>1</v>
      </c>
      <c r="B26" t="s">
        <v>55</v>
      </c>
      <c r="C26">
        <v>8675900</v>
      </c>
      <c r="D26" s="48">
        <v>43348</v>
      </c>
      <c r="E26" s="48">
        <v>43347</v>
      </c>
      <c r="F26" s="48">
        <v>43354</v>
      </c>
      <c r="G26" t="s">
        <v>397</v>
      </c>
      <c r="H26" t="s">
        <v>398</v>
      </c>
      <c r="I26">
        <v>1</v>
      </c>
      <c r="J26" t="s">
        <v>578</v>
      </c>
      <c r="K26">
        <v>1</v>
      </c>
      <c r="L26">
        <v>1</v>
      </c>
      <c r="M26" t="s">
        <v>429</v>
      </c>
      <c r="N26">
        <v>0</v>
      </c>
      <c r="O26">
        <f>+Tabla__192.168.1.8_POSEIDONSQL_APPFVT_01_tbl_detalle_fill_rate[[#This Row],[emb_cantidad]]-Tabla__192.168.1.8_POSEIDONSQL_APPFVT_01_tbl_detalle_fill_rate[[#This Row],[dev_cantidad]]</f>
        <v>1</v>
      </c>
      <c r="P2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6" s="1">
        <f>+Tabla__192.168.1.8_POSEIDONSQL_APPFVT_01_tbl_detalle_fill_rate[[#This Row],[Cumpl Real Unds]]-Tabla__192.168.1.8_POSEIDONSQL_APPFVT_01_tbl_detalle_fill_rate[[#This Row],[Cant Embarcada]]</f>
        <v>0</v>
      </c>
      <c r="S26" s="1">
        <f>+IF(Tabla__192.168.1.8_POSEIDONSQL_APPFVT_01_tbl_detalle_fill_rate[[#This Row],[Pend Emb]]&gt;0,1,0)</f>
        <v>0</v>
      </c>
      <c r="T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" spans="1:20" x14ac:dyDescent="0.25">
      <c r="A27">
        <v>1</v>
      </c>
      <c r="B27" t="s">
        <v>55</v>
      </c>
      <c r="C27">
        <v>8676006</v>
      </c>
      <c r="D27" s="48">
        <v>43348</v>
      </c>
      <c r="E27" s="48">
        <v>43347</v>
      </c>
      <c r="F27" s="48">
        <v>43354</v>
      </c>
      <c r="G27" t="s">
        <v>332</v>
      </c>
      <c r="H27" t="s">
        <v>333</v>
      </c>
      <c r="I27">
        <v>2</v>
      </c>
      <c r="J27" t="s">
        <v>1844</v>
      </c>
      <c r="K27">
        <v>2</v>
      </c>
      <c r="L27">
        <v>2</v>
      </c>
      <c r="M27" t="s">
        <v>429</v>
      </c>
      <c r="N27">
        <v>0</v>
      </c>
      <c r="O27">
        <f>+Tabla__192.168.1.8_POSEIDONSQL_APPFVT_01_tbl_detalle_fill_rate[[#This Row],[emb_cantidad]]-Tabla__192.168.1.8_POSEIDONSQL_APPFVT_01_tbl_detalle_fill_rate[[#This Row],[dev_cantidad]]</f>
        <v>2</v>
      </c>
      <c r="P2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27" s="1">
        <f>+Tabla__192.168.1.8_POSEIDONSQL_APPFVT_01_tbl_detalle_fill_rate[[#This Row],[Cumpl Real Unds]]-Tabla__192.168.1.8_POSEIDONSQL_APPFVT_01_tbl_detalle_fill_rate[[#This Row],[Cant Embarcada]]</f>
        <v>0</v>
      </c>
      <c r="S27" s="1">
        <f>+IF(Tabla__192.168.1.8_POSEIDONSQL_APPFVT_01_tbl_detalle_fill_rate[[#This Row],[Pend Emb]]&gt;0,1,0)</f>
        <v>0</v>
      </c>
      <c r="T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" spans="1:20" x14ac:dyDescent="0.25">
      <c r="A28">
        <v>1</v>
      </c>
      <c r="B28" t="s">
        <v>55</v>
      </c>
      <c r="C28">
        <v>8676560</v>
      </c>
      <c r="D28" s="48">
        <v>43348</v>
      </c>
      <c r="E28" s="48">
        <v>43347</v>
      </c>
      <c r="F28" s="48">
        <v>43356</v>
      </c>
      <c r="G28" t="s">
        <v>78</v>
      </c>
      <c r="H28" t="s">
        <v>79</v>
      </c>
      <c r="I28">
        <v>1</v>
      </c>
      <c r="J28" t="s">
        <v>610</v>
      </c>
      <c r="K28">
        <v>1</v>
      </c>
      <c r="L28">
        <v>1</v>
      </c>
      <c r="M28" t="s">
        <v>425</v>
      </c>
      <c r="N28">
        <v>0</v>
      </c>
      <c r="O28">
        <f>+Tabla__192.168.1.8_POSEIDONSQL_APPFVT_01_tbl_detalle_fill_rate[[#This Row],[emb_cantidad]]-Tabla__192.168.1.8_POSEIDONSQL_APPFVT_01_tbl_detalle_fill_rate[[#This Row],[dev_cantidad]]</f>
        <v>1</v>
      </c>
      <c r="P2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8" s="1">
        <f>+Tabla__192.168.1.8_POSEIDONSQL_APPFVT_01_tbl_detalle_fill_rate[[#This Row],[Cumpl Real Unds]]-Tabla__192.168.1.8_POSEIDONSQL_APPFVT_01_tbl_detalle_fill_rate[[#This Row],[Cant Embarcada]]</f>
        <v>0</v>
      </c>
      <c r="S28" s="1">
        <f>+IF(Tabla__192.168.1.8_POSEIDONSQL_APPFVT_01_tbl_detalle_fill_rate[[#This Row],[Pend Emb]]&gt;0,1,0)</f>
        <v>0</v>
      </c>
      <c r="T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" spans="1:20" x14ac:dyDescent="0.25">
      <c r="A29">
        <v>1</v>
      </c>
      <c r="B29" t="s">
        <v>55</v>
      </c>
      <c r="C29">
        <v>8676620</v>
      </c>
      <c r="D29" s="48">
        <v>43348</v>
      </c>
      <c r="E29" s="48">
        <v>43347</v>
      </c>
      <c r="F29" s="48">
        <v>43354</v>
      </c>
      <c r="G29" t="s">
        <v>92</v>
      </c>
      <c r="H29" t="s">
        <v>93</v>
      </c>
      <c r="I29">
        <v>1</v>
      </c>
      <c r="J29" t="s">
        <v>1841</v>
      </c>
      <c r="K29">
        <v>1</v>
      </c>
      <c r="L29">
        <v>1</v>
      </c>
      <c r="M29" t="s">
        <v>429</v>
      </c>
      <c r="N29">
        <v>0</v>
      </c>
      <c r="O29">
        <f>+Tabla__192.168.1.8_POSEIDONSQL_APPFVT_01_tbl_detalle_fill_rate[[#This Row],[emb_cantidad]]-Tabla__192.168.1.8_POSEIDONSQL_APPFVT_01_tbl_detalle_fill_rate[[#This Row],[dev_cantidad]]</f>
        <v>1</v>
      </c>
      <c r="P2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9" s="1">
        <f>+Tabla__192.168.1.8_POSEIDONSQL_APPFVT_01_tbl_detalle_fill_rate[[#This Row],[Cumpl Real Unds]]-Tabla__192.168.1.8_POSEIDONSQL_APPFVT_01_tbl_detalle_fill_rate[[#This Row],[Cant Embarcada]]</f>
        <v>0</v>
      </c>
      <c r="S29" s="1">
        <f>+IF(Tabla__192.168.1.8_POSEIDONSQL_APPFVT_01_tbl_detalle_fill_rate[[#This Row],[Pend Emb]]&gt;0,1,0)</f>
        <v>0</v>
      </c>
      <c r="T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" spans="1:20" x14ac:dyDescent="0.25">
      <c r="A30">
        <v>1</v>
      </c>
      <c r="B30" t="s">
        <v>55</v>
      </c>
      <c r="C30">
        <v>8676775</v>
      </c>
      <c r="D30" s="48">
        <v>43348</v>
      </c>
      <c r="E30" s="48">
        <v>43347</v>
      </c>
      <c r="F30" s="48">
        <v>43353</v>
      </c>
      <c r="G30" t="s">
        <v>72</v>
      </c>
      <c r="H30" t="s">
        <v>73</v>
      </c>
      <c r="I30">
        <v>36</v>
      </c>
      <c r="J30" t="s">
        <v>152</v>
      </c>
      <c r="K30">
        <v>36</v>
      </c>
      <c r="L30">
        <v>36</v>
      </c>
      <c r="M30" t="s">
        <v>163</v>
      </c>
      <c r="N30">
        <v>0</v>
      </c>
      <c r="O30">
        <f>+Tabla__192.168.1.8_POSEIDONSQL_APPFVT_01_tbl_detalle_fill_rate[[#This Row],[emb_cantidad]]-Tabla__192.168.1.8_POSEIDONSQL_APPFVT_01_tbl_detalle_fill_rate[[#This Row],[dev_cantidad]]</f>
        <v>36</v>
      </c>
      <c r="P3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36</v>
      </c>
      <c r="R30" s="1">
        <f>+Tabla__192.168.1.8_POSEIDONSQL_APPFVT_01_tbl_detalle_fill_rate[[#This Row],[Cumpl Real Unds]]-Tabla__192.168.1.8_POSEIDONSQL_APPFVT_01_tbl_detalle_fill_rate[[#This Row],[Cant Embarcada]]</f>
        <v>0</v>
      </c>
      <c r="S30" s="1">
        <f>+IF(Tabla__192.168.1.8_POSEIDONSQL_APPFVT_01_tbl_detalle_fill_rate[[#This Row],[Pend Emb]]&gt;0,1,0)</f>
        <v>0</v>
      </c>
      <c r="T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" spans="1:20" x14ac:dyDescent="0.25">
      <c r="A31">
        <v>1</v>
      </c>
      <c r="B31" t="s">
        <v>55</v>
      </c>
      <c r="C31">
        <v>8676775</v>
      </c>
      <c r="D31" s="48">
        <v>43348</v>
      </c>
      <c r="E31" s="48">
        <v>43347</v>
      </c>
      <c r="F31" s="48">
        <v>43353</v>
      </c>
      <c r="G31" t="s">
        <v>148</v>
      </c>
      <c r="H31" t="s">
        <v>149</v>
      </c>
      <c r="I31">
        <v>12</v>
      </c>
      <c r="J31" t="s">
        <v>154</v>
      </c>
      <c r="K31">
        <v>12</v>
      </c>
      <c r="L31">
        <v>12</v>
      </c>
      <c r="M31" t="s">
        <v>163</v>
      </c>
      <c r="N31">
        <v>0</v>
      </c>
      <c r="O31">
        <f>+Tabla__192.168.1.8_POSEIDONSQL_APPFVT_01_tbl_detalle_fill_rate[[#This Row],[emb_cantidad]]-Tabla__192.168.1.8_POSEIDONSQL_APPFVT_01_tbl_detalle_fill_rate[[#This Row],[dev_cantidad]]</f>
        <v>12</v>
      </c>
      <c r="P3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31" s="1">
        <f>+Tabla__192.168.1.8_POSEIDONSQL_APPFVT_01_tbl_detalle_fill_rate[[#This Row],[Cumpl Real Unds]]-Tabla__192.168.1.8_POSEIDONSQL_APPFVT_01_tbl_detalle_fill_rate[[#This Row],[Cant Embarcada]]</f>
        <v>0</v>
      </c>
      <c r="S31" s="1">
        <f>+IF(Tabla__192.168.1.8_POSEIDONSQL_APPFVT_01_tbl_detalle_fill_rate[[#This Row],[Pend Emb]]&gt;0,1,0)</f>
        <v>0</v>
      </c>
      <c r="T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" spans="1:20" x14ac:dyDescent="0.25">
      <c r="A32">
        <v>1</v>
      </c>
      <c r="B32" t="s">
        <v>55</v>
      </c>
      <c r="C32">
        <v>8676775</v>
      </c>
      <c r="D32" s="48">
        <v>43348</v>
      </c>
      <c r="E32" s="48">
        <v>43347</v>
      </c>
      <c r="F32" s="48">
        <v>43353</v>
      </c>
      <c r="G32" t="s">
        <v>98</v>
      </c>
      <c r="H32" t="s">
        <v>99</v>
      </c>
      <c r="I32">
        <v>6</v>
      </c>
      <c r="J32" t="s">
        <v>153</v>
      </c>
      <c r="K32">
        <v>6</v>
      </c>
      <c r="L32">
        <v>6</v>
      </c>
      <c r="M32" t="s">
        <v>163</v>
      </c>
      <c r="N32">
        <v>0</v>
      </c>
      <c r="O32">
        <f>+Tabla__192.168.1.8_POSEIDONSQL_APPFVT_01_tbl_detalle_fill_rate[[#This Row],[emb_cantidad]]-Tabla__192.168.1.8_POSEIDONSQL_APPFVT_01_tbl_detalle_fill_rate[[#This Row],[dev_cantidad]]</f>
        <v>6</v>
      </c>
      <c r="P3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32" s="1">
        <f>+Tabla__192.168.1.8_POSEIDONSQL_APPFVT_01_tbl_detalle_fill_rate[[#This Row],[Cumpl Real Unds]]-Tabla__192.168.1.8_POSEIDONSQL_APPFVT_01_tbl_detalle_fill_rate[[#This Row],[Cant Embarcada]]</f>
        <v>0</v>
      </c>
      <c r="S32" s="1">
        <f>+IF(Tabla__192.168.1.8_POSEIDONSQL_APPFVT_01_tbl_detalle_fill_rate[[#This Row],[Pend Emb]]&gt;0,1,0)</f>
        <v>0</v>
      </c>
      <c r="T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" spans="1:20" x14ac:dyDescent="0.25">
      <c r="A33">
        <v>1</v>
      </c>
      <c r="B33" t="s">
        <v>55</v>
      </c>
      <c r="C33">
        <v>8676775</v>
      </c>
      <c r="D33" s="48">
        <v>43348</v>
      </c>
      <c r="E33" s="48">
        <v>43347</v>
      </c>
      <c r="F33" s="48">
        <v>43353</v>
      </c>
      <c r="G33" t="s">
        <v>242</v>
      </c>
      <c r="H33" t="s">
        <v>243</v>
      </c>
      <c r="I33">
        <v>6</v>
      </c>
      <c r="J33" t="s">
        <v>155</v>
      </c>
      <c r="K33">
        <v>6</v>
      </c>
      <c r="L33">
        <v>6</v>
      </c>
      <c r="M33" t="s">
        <v>163</v>
      </c>
      <c r="N33">
        <v>0</v>
      </c>
      <c r="O33">
        <f>+Tabla__192.168.1.8_POSEIDONSQL_APPFVT_01_tbl_detalle_fill_rate[[#This Row],[emb_cantidad]]-Tabla__192.168.1.8_POSEIDONSQL_APPFVT_01_tbl_detalle_fill_rate[[#This Row],[dev_cantidad]]</f>
        <v>6</v>
      </c>
      <c r="P3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33" s="1">
        <f>+Tabla__192.168.1.8_POSEIDONSQL_APPFVT_01_tbl_detalle_fill_rate[[#This Row],[Cumpl Real Unds]]-Tabla__192.168.1.8_POSEIDONSQL_APPFVT_01_tbl_detalle_fill_rate[[#This Row],[Cant Embarcada]]</f>
        <v>0</v>
      </c>
      <c r="S33" s="1">
        <f>+IF(Tabla__192.168.1.8_POSEIDONSQL_APPFVT_01_tbl_detalle_fill_rate[[#This Row],[Pend Emb]]&gt;0,1,0)</f>
        <v>0</v>
      </c>
      <c r="T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" spans="1:20" x14ac:dyDescent="0.25">
      <c r="A34">
        <v>1</v>
      </c>
      <c r="B34" t="s">
        <v>55</v>
      </c>
      <c r="C34">
        <v>8676775</v>
      </c>
      <c r="D34" s="48">
        <v>43348</v>
      </c>
      <c r="E34" s="48">
        <v>43347</v>
      </c>
      <c r="F34" s="48">
        <v>43353</v>
      </c>
      <c r="G34" t="s">
        <v>100</v>
      </c>
      <c r="H34" t="s">
        <v>101</v>
      </c>
      <c r="I34">
        <v>6</v>
      </c>
      <c r="J34" t="s">
        <v>156</v>
      </c>
      <c r="K34">
        <v>6</v>
      </c>
      <c r="L34">
        <v>6</v>
      </c>
      <c r="M34" t="s">
        <v>163</v>
      </c>
      <c r="N34">
        <v>0</v>
      </c>
      <c r="O34">
        <f>+Tabla__192.168.1.8_POSEIDONSQL_APPFVT_01_tbl_detalle_fill_rate[[#This Row],[emb_cantidad]]-Tabla__192.168.1.8_POSEIDONSQL_APPFVT_01_tbl_detalle_fill_rate[[#This Row],[dev_cantidad]]</f>
        <v>6</v>
      </c>
      <c r="P3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34" s="1">
        <f>+Tabla__192.168.1.8_POSEIDONSQL_APPFVT_01_tbl_detalle_fill_rate[[#This Row],[Cumpl Real Unds]]-Tabla__192.168.1.8_POSEIDONSQL_APPFVT_01_tbl_detalle_fill_rate[[#This Row],[Cant Embarcada]]</f>
        <v>0</v>
      </c>
      <c r="S34" s="1">
        <f>+IF(Tabla__192.168.1.8_POSEIDONSQL_APPFVT_01_tbl_detalle_fill_rate[[#This Row],[Pend Emb]]&gt;0,1,0)</f>
        <v>0</v>
      </c>
      <c r="T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" spans="1:20" x14ac:dyDescent="0.25">
      <c r="A35">
        <v>1</v>
      </c>
      <c r="B35" t="s">
        <v>55</v>
      </c>
      <c r="C35">
        <v>8676865</v>
      </c>
      <c r="D35" s="48">
        <v>43347</v>
      </c>
      <c r="E35" s="48">
        <v>43347</v>
      </c>
      <c r="F35" s="48">
        <v>43349</v>
      </c>
      <c r="G35" t="s">
        <v>253</v>
      </c>
      <c r="H35" t="s">
        <v>254</v>
      </c>
      <c r="I35">
        <v>6</v>
      </c>
      <c r="J35" t="s">
        <v>153</v>
      </c>
      <c r="K35">
        <v>0</v>
      </c>
      <c r="L35">
        <v>0</v>
      </c>
      <c r="M35" t="s">
        <v>161</v>
      </c>
      <c r="N35">
        <v>0</v>
      </c>
      <c r="O35">
        <f>+Tabla__192.168.1.8_POSEIDONSQL_APPFVT_01_tbl_detalle_fill_rate[[#This Row],[emb_cantidad]]-Tabla__192.168.1.8_POSEIDONSQL_APPFVT_01_tbl_detalle_fill_rate[[#This Row],[dev_cantidad]]</f>
        <v>0</v>
      </c>
      <c r="P3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5" s="1">
        <f>+Tabla__192.168.1.8_POSEIDONSQL_APPFVT_01_tbl_detalle_fill_rate[[#This Row],[Cumpl Real Unds]]-Tabla__192.168.1.8_POSEIDONSQL_APPFVT_01_tbl_detalle_fill_rate[[#This Row],[Cant Embarcada]]</f>
        <v>0</v>
      </c>
      <c r="S35" s="1">
        <f>+IF(Tabla__192.168.1.8_POSEIDONSQL_APPFVT_01_tbl_detalle_fill_rate[[#This Row],[Pend Emb]]&gt;0,1,0)</f>
        <v>0</v>
      </c>
      <c r="T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" spans="1:20" x14ac:dyDescent="0.25">
      <c r="A36">
        <v>1</v>
      </c>
      <c r="B36" t="s">
        <v>55</v>
      </c>
      <c r="C36">
        <v>8676865</v>
      </c>
      <c r="D36" s="48">
        <v>43347</v>
      </c>
      <c r="E36" s="48">
        <v>43347</v>
      </c>
      <c r="F36" s="48">
        <v>43349</v>
      </c>
      <c r="G36" t="s">
        <v>273</v>
      </c>
      <c r="H36" t="s">
        <v>274</v>
      </c>
      <c r="I36">
        <v>6</v>
      </c>
      <c r="J36" t="s">
        <v>154</v>
      </c>
      <c r="K36">
        <v>0</v>
      </c>
      <c r="L36">
        <v>0</v>
      </c>
      <c r="M36" t="s">
        <v>161</v>
      </c>
      <c r="N36">
        <v>0</v>
      </c>
      <c r="O36">
        <f>+Tabla__192.168.1.8_POSEIDONSQL_APPFVT_01_tbl_detalle_fill_rate[[#This Row],[emb_cantidad]]-Tabla__192.168.1.8_POSEIDONSQL_APPFVT_01_tbl_detalle_fill_rate[[#This Row],[dev_cantidad]]</f>
        <v>0</v>
      </c>
      <c r="P3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6" s="1">
        <f>+Tabla__192.168.1.8_POSEIDONSQL_APPFVT_01_tbl_detalle_fill_rate[[#This Row],[Cumpl Real Unds]]-Tabla__192.168.1.8_POSEIDONSQL_APPFVT_01_tbl_detalle_fill_rate[[#This Row],[Cant Embarcada]]</f>
        <v>0</v>
      </c>
      <c r="S36" s="1">
        <f>+IF(Tabla__192.168.1.8_POSEIDONSQL_APPFVT_01_tbl_detalle_fill_rate[[#This Row],[Pend Emb]]&gt;0,1,0)</f>
        <v>0</v>
      </c>
      <c r="T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" spans="1:20" x14ac:dyDescent="0.25">
      <c r="A37">
        <v>1</v>
      </c>
      <c r="B37" t="s">
        <v>55</v>
      </c>
      <c r="C37">
        <v>8676865</v>
      </c>
      <c r="D37" s="48">
        <v>43347</v>
      </c>
      <c r="E37" s="48">
        <v>43347</v>
      </c>
      <c r="F37" s="48">
        <v>43349</v>
      </c>
      <c r="G37" t="s">
        <v>255</v>
      </c>
      <c r="H37" t="s">
        <v>256</v>
      </c>
      <c r="I37">
        <v>252</v>
      </c>
      <c r="J37" t="s">
        <v>152</v>
      </c>
      <c r="K37">
        <v>0</v>
      </c>
      <c r="L37">
        <v>0</v>
      </c>
      <c r="M37" t="s">
        <v>161</v>
      </c>
      <c r="N37">
        <v>0</v>
      </c>
      <c r="O37">
        <f>+Tabla__192.168.1.8_POSEIDONSQL_APPFVT_01_tbl_detalle_fill_rate[[#This Row],[emb_cantidad]]-Tabla__192.168.1.8_POSEIDONSQL_APPFVT_01_tbl_detalle_fill_rate[[#This Row],[dev_cantidad]]</f>
        <v>0</v>
      </c>
      <c r="P3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7" s="1">
        <f>+Tabla__192.168.1.8_POSEIDONSQL_APPFVT_01_tbl_detalle_fill_rate[[#This Row],[Cumpl Real Unds]]-Tabla__192.168.1.8_POSEIDONSQL_APPFVT_01_tbl_detalle_fill_rate[[#This Row],[Cant Embarcada]]</f>
        <v>0</v>
      </c>
      <c r="S37" s="1">
        <f>+IF(Tabla__192.168.1.8_POSEIDONSQL_APPFVT_01_tbl_detalle_fill_rate[[#This Row],[Pend Emb]]&gt;0,1,0)</f>
        <v>0</v>
      </c>
      <c r="T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" spans="1:20" x14ac:dyDescent="0.25">
      <c r="A38">
        <v>1</v>
      </c>
      <c r="B38" t="s">
        <v>55</v>
      </c>
      <c r="C38">
        <v>8676865</v>
      </c>
      <c r="D38" s="48">
        <v>43347</v>
      </c>
      <c r="E38" s="48">
        <v>43347</v>
      </c>
      <c r="F38" s="48">
        <v>43349</v>
      </c>
      <c r="G38" t="s">
        <v>247</v>
      </c>
      <c r="H38" t="s">
        <v>248</v>
      </c>
      <c r="I38">
        <v>960</v>
      </c>
      <c r="J38" t="s">
        <v>155</v>
      </c>
      <c r="K38">
        <v>0</v>
      </c>
      <c r="L38">
        <v>0</v>
      </c>
      <c r="M38" t="s">
        <v>161</v>
      </c>
      <c r="N38">
        <v>0</v>
      </c>
      <c r="O38">
        <f>+Tabla__192.168.1.8_POSEIDONSQL_APPFVT_01_tbl_detalle_fill_rate[[#This Row],[emb_cantidad]]-Tabla__192.168.1.8_POSEIDONSQL_APPFVT_01_tbl_detalle_fill_rate[[#This Row],[dev_cantidad]]</f>
        <v>0</v>
      </c>
      <c r="P3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8" s="1">
        <f>+Tabla__192.168.1.8_POSEIDONSQL_APPFVT_01_tbl_detalle_fill_rate[[#This Row],[Cumpl Real Unds]]-Tabla__192.168.1.8_POSEIDONSQL_APPFVT_01_tbl_detalle_fill_rate[[#This Row],[Cant Embarcada]]</f>
        <v>0</v>
      </c>
      <c r="S38" s="1">
        <f>+IF(Tabla__192.168.1.8_POSEIDONSQL_APPFVT_01_tbl_detalle_fill_rate[[#This Row],[Pend Emb]]&gt;0,1,0)</f>
        <v>0</v>
      </c>
      <c r="T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" spans="1:20" x14ac:dyDescent="0.25">
      <c r="A39">
        <v>1</v>
      </c>
      <c r="B39" t="s">
        <v>55</v>
      </c>
      <c r="C39">
        <v>8676865</v>
      </c>
      <c r="D39" s="48">
        <v>43347</v>
      </c>
      <c r="E39" s="48">
        <v>43347</v>
      </c>
      <c r="F39" s="48">
        <v>43349</v>
      </c>
      <c r="G39" t="s">
        <v>236</v>
      </c>
      <c r="H39" t="s">
        <v>237</v>
      </c>
      <c r="I39">
        <v>3</v>
      </c>
      <c r="J39" t="s">
        <v>156</v>
      </c>
      <c r="K39">
        <v>3</v>
      </c>
      <c r="L39">
        <v>3</v>
      </c>
      <c r="M39" t="s">
        <v>161</v>
      </c>
      <c r="N39">
        <v>0</v>
      </c>
      <c r="O39">
        <f>+Tabla__192.168.1.8_POSEIDONSQL_APPFVT_01_tbl_detalle_fill_rate[[#This Row],[emb_cantidad]]-Tabla__192.168.1.8_POSEIDONSQL_APPFVT_01_tbl_detalle_fill_rate[[#This Row],[dev_cantidad]]</f>
        <v>3</v>
      </c>
      <c r="P3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39" s="1">
        <f>+Tabla__192.168.1.8_POSEIDONSQL_APPFVT_01_tbl_detalle_fill_rate[[#This Row],[Cumpl Real Unds]]-Tabla__192.168.1.8_POSEIDONSQL_APPFVT_01_tbl_detalle_fill_rate[[#This Row],[Cant Embarcada]]</f>
        <v>0</v>
      </c>
      <c r="S39" s="1">
        <f>+IF(Tabla__192.168.1.8_POSEIDONSQL_APPFVT_01_tbl_detalle_fill_rate[[#This Row],[Pend Emb]]&gt;0,1,0)</f>
        <v>0</v>
      </c>
      <c r="T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" spans="1:20" x14ac:dyDescent="0.25">
      <c r="A40">
        <v>1</v>
      </c>
      <c r="B40" t="s">
        <v>55</v>
      </c>
      <c r="C40">
        <v>8676865</v>
      </c>
      <c r="D40" s="48">
        <v>43347</v>
      </c>
      <c r="E40" s="48">
        <v>43347</v>
      </c>
      <c r="F40" s="48">
        <v>43349</v>
      </c>
      <c r="G40" t="s">
        <v>249</v>
      </c>
      <c r="H40" t="s">
        <v>250</v>
      </c>
      <c r="I40">
        <v>14</v>
      </c>
      <c r="J40" t="s">
        <v>244</v>
      </c>
      <c r="K40">
        <v>0</v>
      </c>
      <c r="L40">
        <v>0</v>
      </c>
      <c r="M40" t="s">
        <v>161</v>
      </c>
      <c r="N40">
        <v>0</v>
      </c>
      <c r="O40">
        <f>+Tabla__192.168.1.8_POSEIDONSQL_APPFVT_01_tbl_detalle_fill_rate[[#This Row],[emb_cantidad]]-Tabla__192.168.1.8_POSEIDONSQL_APPFVT_01_tbl_detalle_fill_rate[[#This Row],[dev_cantidad]]</f>
        <v>0</v>
      </c>
      <c r="P4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40" s="1">
        <f>+Tabla__192.168.1.8_POSEIDONSQL_APPFVT_01_tbl_detalle_fill_rate[[#This Row],[Cumpl Real Unds]]-Tabla__192.168.1.8_POSEIDONSQL_APPFVT_01_tbl_detalle_fill_rate[[#This Row],[Cant Embarcada]]</f>
        <v>0</v>
      </c>
      <c r="S40" s="1">
        <f>+IF(Tabla__192.168.1.8_POSEIDONSQL_APPFVT_01_tbl_detalle_fill_rate[[#This Row],[Pend Emb]]&gt;0,1,0)</f>
        <v>0</v>
      </c>
      <c r="T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" spans="1:20" x14ac:dyDescent="0.25">
      <c r="A41">
        <v>1</v>
      </c>
      <c r="B41" t="s">
        <v>55</v>
      </c>
      <c r="C41">
        <v>8677166</v>
      </c>
      <c r="D41" s="48">
        <v>43348</v>
      </c>
      <c r="E41" s="48">
        <v>43347</v>
      </c>
      <c r="F41" s="48">
        <v>43354</v>
      </c>
      <c r="G41" t="s">
        <v>910</v>
      </c>
      <c r="H41" t="s">
        <v>911</v>
      </c>
      <c r="I41">
        <v>1</v>
      </c>
      <c r="J41" t="s">
        <v>1845</v>
      </c>
      <c r="K41">
        <v>1</v>
      </c>
      <c r="L41">
        <v>1</v>
      </c>
      <c r="M41" t="s">
        <v>429</v>
      </c>
      <c r="N41">
        <v>0</v>
      </c>
      <c r="O41">
        <f>+Tabla__192.168.1.8_POSEIDONSQL_APPFVT_01_tbl_detalle_fill_rate[[#This Row],[emb_cantidad]]-Tabla__192.168.1.8_POSEIDONSQL_APPFVT_01_tbl_detalle_fill_rate[[#This Row],[dev_cantidad]]</f>
        <v>1</v>
      </c>
      <c r="P4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" s="1">
        <f>+Tabla__192.168.1.8_POSEIDONSQL_APPFVT_01_tbl_detalle_fill_rate[[#This Row],[Cumpl Real Unds]]-Tabla__192.168.1.8_POSEIDONSQL_APPFVT_01_tbl_detalle_fill_rate[[#This Row],[Cant Embarcada]]</f>
        <v>0</v>
      </c>
      <c r="S41" s="1">
        <f>+IF(Tabla__192.168.1.8_POSEIDONSQL_APPFVT_01_tbl_detalle_fill_rate[[#This Row],[Pend Emb]]&gt;0,1,0)</f>
        <v>0</v>
      </c>
      <c r="T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" spans="1:20" x14ac:dyDescent="0.25">
      <c r="A42">
        <v>1</v>
      </c>
      <c r="B42" t="s">
        <v>55</v>
      </c>
      <c r="C42">
        <v>8677846</v>
      </c>
      <c r="D42" s="48">
        <v>43349</v>
      </c>
      <c r="E42" s="48">
        <v>43347</v>
      </c>
      <c r="F42" s="48">
        <v>43354</v>
      </c>
      <c r="G42" t="s">
        <v>92</v>
      </c>
      <c r="H42" t="s">
        <v>93</v>
      </c>
      <c r="I42">
        <v>1</v>
      </c>
      <c r="J42" t="s">
        <v>1842</v>
      </c>
      <c r="K42">
        <v>1</v>
      </c>
      <c r="L42">
        <v>1</v>
      </c>
      <c r="M42" t="s">
        <v>429</v>
      </c>
      <c r="N42">
        <v>0</v>
      </c>
      <c r="O42">
        <f>+Tabla__192.168.1.8_POSEIDONSQL_APPFVT_01_tbl_detalle_fill_rate[[#This Row],[emb_cantidad]]-Tabla__192.168.1.8_POSEIDONSQL_APPFVT_01_tbl_detalle_fill_rate[[#This Row],[dev_cantidad]]</f>
        <v>1</v>
      </c>
      <c r="P4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" s="1">
        <f>+Tabla__192.168.1.8_POSEIDONSQL_APPFVT_01_tbl_detalle_fill_rate[[#This Row],[Cumpl Real Unds]]-Tabla__192.168.1.8_POSEIDONSQL_APPFVT_01_tbl_detalle_fill_rate[[#This Row],[Cant Embarcada]]</f>
        <v>0</v>
      </c>
      <c r="S42" s="1">
        <f>+IF(Tabla__192.168.1.8_POSEIDONSQL_APPFVT_01_tbl_detalle_fill_rate[[#This Row],[Pend Emb]]&gt;0,1,0)</f>
        <v>0</v>
      </c>
      <c r="T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" spans="1:20" x14ac:dyDescent="0.25">
      <c r="A43">
        <v>1</v>
      </c>
      <c r="B43" t="s">
        <v>55</v>
      </c>
      <c r="C43">
        <v>8679273</v>
      </c>
      <c r="D43" s="48">
        <v>43349</v>
      </c>
      <c r="E43" s="48">
        <v>43348</v>
      </c>
      <c r="F43" s="48">
        <v>43354</v>
      </c>
      <c r="G43" t="s">
        <v>92</v>
      </c>
      <c r="H43" t="s">
        <v>93</v>
      </c>
      <c r="I43">
        <v>1</v>
      </c>
      <c r="J43" t="s">
        <v>1838</v>
      </c>
      <c r="K43">
        <v>0</v>
      </c>
      <c r="L43">
        <v>0</v>
      </c>
      <c r="M43" t="s">
        <v>12</v>
      </c>
      <c r="N43">
        <v>0</v>
      </c>
      <c r="O43">
        <f>+Tabla__192.168.1.8_POSEIDONSQL_APPFVT_01_tbl_detalle_fill_rate[[#This Row],[emb_cantidad]]-Tabla__192.168.1.8_POSEIDONSQL_APPFVT_01_tbl_detalle_fill_rate[[#This Row],[dev_cantidad]]</f>
        <v>0</v>
      </c>
      <c r="P4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43" s="1">
        <f>+Tabla__192.168.1.8_POSEIDONSQL_APPFVT_01_tbl_detalle_fill_rate[[#This Row],[Cumpl Real Unds]]-Tabla__192.168.1.8_POSEIDONSQL_APPFVT_01_tbl_detalle_fill_rate[[#This Row],[Cant Embarcada]]</f>
        <v>0</v>
      </c>
      <c r="S43" s="1">
        <f>+IF(Tabla__192.168.1.8_POSEIDONSQL_APPFVT_01_tbl_detalle_fill_rate[[#This Row],[Pend Emb]]&gt;0,1,0)</f>
        <v>0</v>
      </c>
      <c r="T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" spans="1:20" x14ac:dyDescent="0.25">
      <c r="A44">
        <v>1</v>
      </c>
      <c r="B44" t="s">
        <v>55</v>
      </c>
      <c r="C44">
        <v>8680080</v>
      </c>
      <c r="D44" s="48">
        <v>43350</v>
      </c>
      <c r="E44" s="48">
        <v>43348</v>
      </c>
      <c r="F44" s="48">
        <v>43356</v>
      </c>
      <c r="G44" t="s">
        <v>164</v>
      </c>
      <c r="H44" t="s">
        <v>165</v>
      </c>
      <c r="I44">
        <v>1</v>
      </c>
      <c r="J44" t="s">
        <v>607</v>
      </c>
      <c r="K44">
        <v>1</v>
      </c>
      <c r="L44">
        <v>1</v>
      </c>
      <c r="M44" t="s">
        <v>425</v>
      </c>
      <c r="N44">
        <v>0</v>
      </c>
      <c r="O44">
        <f>+Tabla__192.168.1.8_POSEIDONSQL_APPFVT_01_tbl_detalle_fill_rate[[#This Row],[emb_cantidad]]-Tabla__192.168.1.8_POSEIDONSQL_APPFVT_01_tbl_detalle_fill_rate[[#This Row],[dev_cantidad]]</f>
        <v>1</v>
      </c>
      <c r="P4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" s="1">
        <f>+Tabla__192.168.1.8_POSEIDONSQL_APPFVT_01_tbl_detalle_fill_rate[[#This Row],[Cumpl Real Unds]]-Tabla__192.168.1.8_POSEIDONSQL_APPFVT_01_tbl_detalle_fill_rate[[#This Row],[Cant Embarcada]]</f>
        <v>0</v>
      </c>
      <c r="S44" s="1">
        <f>+IF(Tabla__192.168.1.8_POSEIDONSQL_APPFVT_01_tbl_detalle_fill_rate[[#This Row],[Pend Emb]]&gt;0,1,0)</f>
        <v>0</v>
      </c>
      <c r="T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" spans="1:20" x14ac:dyDescent="0.25">
      <c r="A45">
        <v>1</v>
      </c>
      <c r="B45" t="s">
        <v>55</v>
      </c>
      <c r="C45">
        <v>8680106</v>
      </c>
      <c r="D45" s="48">
        <v>43350</v>
      </c>
      <c r="E45" s="48">
        <v>43348</v>
      </c>
      <c r="F45" s="48">
        <v>43356</v>
      </c>
      <c r="G45" t="s">
        <v>164</v>
      </c>
      <c r="H45" t="s">
        <v>165</v>
      </c>
      <c r="I45">
        <v>1</v>
      </c>
      <c r="J45" t="s">
        <v>608</v>
      </c>
      <c r="K45">
        <v>1</v>
      </c>
      <c r="L45">
        <v>1</v>
      </c>
      <c r="M45" t="s">
        <v>425</v>
      </c>
      <c r="N45">
        <v>0</v>
      </c>
      <c r="O45">
        <f>+Tabla__192.168.1.8_POSEIDONSQL_APPFVT_01_tbl_detalle_fill_rate[[#This Row],[emb_cantidad]]-Tabla__192.168.1.8_POSEIDONSQL_APPFVT_01_tbl_detalle_fill_rate[[#This Row],[dev_cantidad]]</f>
        <v>1</v>
      </c>
      <c r="P4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" s="1">
        <f>+Tabla__192.168.1.8_POSEIDONSQL_APPFVT_01_tbl_detalle_fill_rate[[#This Row],[Cumpl Real Unds]]-Tabla__192.168.1.8_POSEIDONSQL_APPFVT_01_tbl_detalle_fill_rate[[#This Row],[Cant Embarcada]]</f>
        <v>0</v>
      </c>
      <c r="S45" s="1">
        <f>+IF(Tabla__192.168.1.8_POSEIDONSQL_APPFVT_01_tbl_detalle_fill_rate[[#This Row],[Pend Emb]]&gt;0,1,0)</f>
        <v>0</v>
      </c>
      <c r="T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" spans="1:20" x14ac:dyDescent="0.25">
      <c r="A46">
        <v>1</v>
      </c>
      <c r="B46" t="s">
        <v>55</v>
      </c>
      <c r="C46">
        <v>8696231</v>
      </c>
      <c r="D46" s="48">
        <v>43369</v>
      </c>
      <c r="E46" s="48">
        <v>43358</v>
      </c>
      <c r="F46" s="48">
        <v>43370</v>
      </c>
      <c r="G46" t="s">
        <v>120</v>
      </c>
      <c r="H46" t="s">
        <v>121</v>
      </c>
      <c r="I46">
        <v>2</v>
      </c>
      <c r="J46" t="s">
        <v>900</v>
      </c>
      <c r="K46">
        <v>1</v>
      </c>
      <c r="L46">
        <v>1</v>
      </c>
      <c r="M46" t="s">
        <v>423</v>
      </c>
      <c r="N46">
        <v>0</v>
      </c>
      <c r="O46">
        <f>+Tabla__192.168.1.8_POSEIDONSQL_APPFVT_01_tbl_detalle_fill_rate[[#This Row],[emb_cantidad]]-Tabla__192.168.1.8_POSEIDONSQL_APPFVT_01_tbl_detalle_fill_rate[[#This Row],[dev_cantidad]]</f>
        <v>1</v>
      </c>
      <c r="P4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" s="1">
        <f>+Tabla__192.168.1.8_POSEIDONSQL_APPFVT_01_tbl_detalle_fill_rate[[#This Row],[Cumpl Real Unds]]-Tabla__192.168.1.8_POSEIDONSQL_APPFVT_01_tbl_detalle_fill_rate[[#This Row],[Cant Embarcada]]</f>
        <v>0</v>
      </c>
      <c r="S46" s="1">
        <f>+IF(Tabla__192.168.1.8_POSEIDONSQL_APPFVT_01_tbl_detalle_fill_rate[[#This Row],[Pend Emb]]&gt;0,1,0)</f>
        <v>0</v>
      </c>
      <c r="T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" spans="1:20" x14ac:dyDescent="0.25">
      <c r="A47">
        <v>1</v>
      </c>
      <c r="B47" t="s">
        <v>55</v>
      </c>
      <c r="C47">
        <v>8696245</v>
      </c>
      <c r="D47" s="48">
        <v>43363</v>
      </c>
      <c r="E47" s="48">
        <v>43358</v>
      </c>
      <c r="F47" s="48">
        <v>43370</v>
      </c>
      <c r="G47" t="s">
        <v>168</v>
      </c>
      <c r="H47" t="s">
        <v>169</v>
      </c>
      <c r="I47">
        <v>1</v>
      </c>
      <c r="J47" t="s">
        <v>892</v>
      </c>
      <c r="K47">
        <v>1</v>
      </c>
      <c r="L47">
        <v>1</v>
      </c>
      <c r="M47" t="s">
        <v>423</v>
      </c>
      <c r="N47">
        <v>0</v>
      </c>
      <c r="O47">
        <f>+Tabla__192.168.1.8_POSEIDONSQL_APPFVT_01_tbl_detalle_fill_rate[[#This Row],[emb_cantidad]]-Tabla__192.168.1.8_POSEIDONSQL_APPFVT_01_tbl_detalle_fill_rate[[#This Row],[dev_cantidad]]</f>
        <v>1</v>
      </c>
      <c r="P4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" s="1">
        <f>+Tabla__192.168.1.8_POSEIDONSQL_APPFVT_01_tbl_detalle_fill_rate[[#This Row],[Cumpl Real Unds]]-Tabla__192.168.1.8_POSEIDONSQL_APPFVT_01_tbl_detalle_fill_rate[[#This Row],[Cant Embarcada]]</f>
        <v>0</v>
      </c>
      <c r="S47" s="1">
        <f>+IF(Tabla__192.168.1.8_POSEIDONSQL_APPFVT_01_tbl_detalle_fill_rate[[#This Row],[Pend Emb]]&gt;0,1,0)</f>
        <v>0</v>
      </c>
      <c r="T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" spans="1:20" x14ac:dyDescent="0.25">
      <c r="A48">
        <v>1</v>
      </c>
      <c r="B48" t="s">
        <v>55</v>
      </c>
      <c r="C48">
        <v>8696308</v>
      </c>
      <c r="D48" s="48">
        <v>43363</v>
      </c>
      <c r="E48" s="48">
        <v>43359</v>
      </c>
      <c r="F48" s="48">
        <v>43370</v>
      </c>
      <c r="G48" t="s">
        <v>76</v>
      </c>
      <c r="H48" t="s">
        <v>77</v>
      </c>
      <c r="I48">
        <v>1</v>
      </c>
      <c r="J48" t="s">
        <v>893</v>
      </c>
      <c r="K48">
        <v>1</v>
      </c>
      <c r="L48">
        <v>1</v>
      </c>
      <c r="M48" t="s">
        <v>423</v>
      </c>
      <c r="N48">
        <v>0</v>
      </c>
      <c r="O48">
        <f>+Tabla__192.168.1.8_POSEIDONSQL_APPFVT_01_tbl_detalle_fill_rate[[#This Row],[emb_cantidad]]-Tabla__192.168.1.8_POSEIDONSQL_APPFVT_01_tbl_detalle_fill_rate[[#This Row],[dev_cantidad]]</f>
        <v>1</v>
      </c>
      <c r="P4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" s="1">
        <f>+Tabla__192.168.1.8_POSEIDONSQL_APPFVT_01_tbl_detalle_fill_rate[[#This Row],[Cumpl Real Unds]]-Tabla__192.168.1.8_POSEIDONSQL_APPFVT_01_tbl_detalle_fill_rate[[#This Row],[Cant Embarcada]]</f>
        <v>0</v>
      </c>
      <c r="S48" s="1">
        <f>+IF(Tabla__192.168.1.8_POSEIDONSQL_APPFVT_01_tbl_detalle_fill_rate[[#This Row],[Pend Emb]]&gt;0,1,0)</f>
        <v>0</v>
      </c>
      <c r="T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" spans="1:20" x14ac:dyDescent="0.25">
      <c r="A49">
        <v>1</v>
      </c>
      <c r="B49" t="s">
        <v>55</v>
      </c>
      <c r="C49">
        <v>8696400</v>
      </c>
      <c r="D49" s="48">
        <v>43363</v>
      </c>
      <c r="E49" s="48">
        <v>43359</v>
      </c>
      <c r="F49" s="48">
        <v>43370</v>
      </c>
      <c r="G49" t="s">
        <v>296</v>
      </c>
      <c r="H49" t="s">
        <v>297</v>
      </c>
      <c r="I49">
        <v>1</v>
      </c>
      <c r="J49" t="s">
        <v>680</v>
      </c>
      <c r="K49">
        <v>1</v>
      </c>
      <c r="L49">
        <v>1</v>
      </c>
      <c r="M49" t="s">
        <v>423</v>
      </c>
      <c r="N49">
        <v>0</v>
      </c>
      <c r="O49">
        <f>+Tabla__192.168.1.8_POSEIDONSQL_APPFVT_01_tbl_detalle_fill_rate[[#This Row],[emb_cantidad]]-Tabla__192.168.1.8_POSEIDONSQL_APPFVT_01_tbl_detalle_fill_rate[[#This Row],[dev_cantidad]]</f>
        <v>1</v>
      </c>
      <c r="P4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" s="1">
        <f>+Tabla__192.168.1.8_POSEIDONSQL_APPFVT_01_tbl_detalle_fill_rate[[#This Row],[Cumpl Real Unds]]-Tabla__192.168.1.8_POSEIDONSQL_APPFVT_01_tbl_detalle_fill_rate[[#This Row],[Cant Embarcada]]</f>
        <v>0</v>
      </c>
      <c r="S49" s="1">
        <f>+IF(Tabla__192.168.1.8_POSEIDONSQL_APPFVT_01_tbl_detalle_fill_rate[[#This Row],[Pend Emb]]&gt;0,1,0)</f>
        <v>0</v>
      </c>
      <c r="T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" spans="1:20" x14ac:dyDescent="0.25">
      <c r="A50">
        <v>1</v>
      </c>
      <c r="B50" t="s">
        <v>55</v>
      </c>
      <c r="C50">
        <v>8696416</v>
      </c>
      <c r="D50" s="48">
        <v>43363</v>
      </c>
      <c r="E50" s="48">
        <v>43359</v>
      </c>
      <c r="F50" s="48">
        <v>43370</v>
      </c>
      <c r="G50" t="s">
        <v>314</v>
      </c>
      <c r="H50" t="s">
        <v>315</v>
      </c>
      <c r="I50">
        <v>1</v>
      </c>
      <c r="J50" t="s">
        <v>894</v>
      </c>
      <c r="K50">
        <v>1</v>
      </c>
      <c r="L50">
        <v>1</v>
      </c>
      <c r="M50" t="s">
        <v>423</v>
      </c>
      <c r="N50">
        <v>0</v>
      </c>
      <c r="O50">
        <f>+Tabla__192.168.1.8_POSEIDONSQL_APPFVT_01_tbl_detalle_fill_rate[[#This Row],[emb_cantidad]]-Tabla__192.168.1.8_POSEIDONSQL_APPFVT_01_tbl_detalle_fill_rate[[#This Row],[dev_cantidad]]</f>
        <v>1</v>
      </c>
      <c r="P5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" s="1">
        <f>+Tabla__192.168.1.8_POSEIDONSQL_APPFVT_01_tbl_detalle_fill_rate[[#This Row],[Cumpl Real Unds]]-Tabla__192.168.1.8_POSEIDONSQL_APPFVT_01_tbl_detalle_fill_rate[[#This Row],[Cant Embarcada]]</f>
        <v>0</v>
      </c>
      <c r="S50" s="1">
        <f>+IF(Tabla__192.168.1.8_POSEIDONSQL_APPFVT_01_tbl_detalle_fill_rate[[#This Row],[Pend Emb]]&gt;0,1,0)</f>
        <v>0</v>
      </c>
      <c r="T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" spans="1:20" x14ac:dyDescent="0.25">
      <c r="A51">
        <v>1</v>
      </c>
      <c r="B51" t="s">
        <v>55</v>
      </c>
      <c r="C51">
        <v>8696486</v>
      </c>
      <c r="D51" s="48">
        <v>43363</v>
      </c>
      <c r="E51" s="48">
        <v>43359</v>
      </c>
      <c r="F51" s="48">
        <v>43370</v>
      </c>
      <c r="G51" t="s">
        <v>521</v>
      </c>
      <c r="H51" t="s">
        <v>522</v>
      </c>
      <c r="I51">
        <v>1</v>
      </c>
      <c r="J51" t="s">
        <v>895</v>
      </c>
      <c r="K51">
        <v>1</v>
      </c>
      <c r="L51">
        <v>1</v>
      </c>
      <c r="M51" t="s">
        <v>423</v>
      </c>
      <c r="N51">
        <v>0</v>
      </c>
      <c r="O51">
        <f>+Tabla__192.168.1.8_POSEIDONSQL_APPFVT_01_tbl_detalle_fill_rate[[#This Row],[emb_cantidad]]-Tabla__192.168.1.8_POSEIDONSQL_APPFVT_01_tbl_detalle_fill_rate[[#This Row],[dev_cantidad]]</f>
        <v>1</v>
      </c>
      <c r="P5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" s="1">
        <f>+Tabla__192.168.1.8_POSEIDONSQL_APPFVT_01_tbl_detalle_fill_rate[[#This Row],[Cumpl Real Unds]]-Tabla__192.168.1.8_POSEIDONSQL_APPFVT_01_tbl_detalle_fill_rate[[#This Row],[Cant Embarcada]]</f>
        <v>0</v>
      </c>
      <c r="S51" s="1">
        <f>+IF(Tabla__192.168.1.8_POSEIDONSQL_APPFVT_01_tbl_detalle_fill_rate[[#This Row],[Pend Emb]]&gt;0,1,0)</f>
        <v>0</v>
      </c>
      <c r="T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" spans="1:20" x14ac:dyDescent="0.25">
      <c r="A52">
        <v>1</v>
      </c>
      <c r="B52" t="s">
        <v>55</v>
      </c>
      <c r="C52">
        <v>8696583</v>
      </c>
      <c r="D52" s="48">
        <v>43363</v>
      </c>
      <c r="E52" s="48">
        <v>43360</v>
      </c>
      <c r="F52" s="48">
        <v>43370</v>
      </c>
      <c r="G52" t="s">
        <v>397</v>
      </c>
      <c r="H52" t="s">
        <v>398</v>
      </c>
      <c r="I52">
        <v>1</v>
      </c>
      <c r="J52" t="s">
        <v>681</v>
      </c>
      <c r="K52">
        <v>1</v>
      </c>
      <c r="L52">
        <v>1</v>
      </c>
      <c r="M52" t="s">
        <v>423</v>
      </c>
      <c r="N52">
        <v>0</v>
      </c>
      <c r="O52">
        <f>+Tabla__192.168.1.8_POSEIDONSQL_APPFVT_01_tbl_detalle_fill_rate[[#This Row],[emb_cantidad]]-Tabla__192.168.1.8_POSEIDONSQL_APPFVT_01_tbl_detalle_fill_rate[[#This Row],[dev_cantidad]]</f>
        <v>1</v>
      </c>
      <c r="P5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" s="1">
        <f>+Tabla__192.168.1.8_POSEIDONSQL_APPFVT_01_tbl_detalle_fill_rate[[#This Row],[Cumpl Real Unds]]-Tabla__192.168.1.8_POSEIDONSQL_APPFVT_01_tbl_detalle_fill_rate[[#This Row],[Cant Embarcada]]</f>
        <v>0</v>
      </c>
      <c r="S52" s="1">
        <f>+IF(Tabla__192.168.1.8_POSEIDONSQL_APPFVT_01_tbl_detalle_fill_rate[[#This Row],[Pend Emb]]&gt;0,1,0)</f>
        <v>0</v>
      </c>
      <c r="T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" spans="1:20" x14ac:dyDescent="0.25">
      <c r="A53">
        <v>1</v>
      </c>
      <c r="B53" t="s">
        <v>55</v>
      </c>
      <c r="C53">
        <v>8696710</v>
      </c>
      <c r="D53" s="48">
        <v>43363</v>
      </c>
      <c r="E53" s="48">
        <v>43360</v>
      </c>
      <c r="F53" s="48">
        <v>43370</v>
      </c>
      <c r="G53" t="s">
        <v>102</v>
      </c>
      <c r="H53" t="s">
        <v>103</v>
      </c>
      <c r="I53">
        <v>1</v>
      </c>
      <c r="J53" t="s">
        <v>896</v>
      </c>
      <c r="K53">
        <v>1</v>
      </c>
      <c r="L53">
        <v>1</v>
      </c>
      <c r="M53" t="s">
        <v>423</v>
      </c>
      <c r="N53">
        <v>0</v>
      </c>
      <c r="O53">
        <f>+Tabla__192.168.1.8_POSEIDONSQL_APPFVT_01_tbl_detalle_fill_rate[[#This Row],[emb_cantidad]]-Tabla__192.168.1.8_POSEIDONSQL_APPFVT_01_tbl_detalle_fill_rate[[#This Row],[dev_cantidad]]</f>
        <v>1</v>
      </c>
      <c r="P5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" s="1">
        <f>+Tabla__192.168.1.8_POSEIDONSQL_APPFVT_01_tbl_detalle_fill_rate[[#This Row],[Cumpl Real Unds]]-Tabla__192.168.1.8_POSEIDONSQL_APPFVT_01_tbl_detalle_fill_rate[[#This Row],[Cant Embarcada]]</f>
        <v>0</v>
      </c>
      <c r="S53" s="1">
        <f>+IF(Tabla__192.168.1.8_POSEIDONSQL_APPFVT_01_tbl_detalle_fill_rate[[#This Row],[Pend Emb]]&gt;0,1,0)</f>
        <v>0</v>
      </c>
      <c r="T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" spans="1:20" x14ac:dyDescent="0.25">
      <c r="A54">
        <v>1</v>
      </c>
      <c r="B54" t="s">
        <v>55</v>
      </c>
      <c r="C54">
        <v>8696717</v>
      </c>
      <c r="D54" s="48">
        <v>43363</v>
      </c>
      <c r="E54" s="48">
        <v>43360</v>
      </c>
      <c r="F54" s="48">
        <v>43370</v>
      </c>
      <c r="G54" t="s">
        <v>168</v>
      </c>
      <c r="H54" t="s">
        <v>169</v>
      </c>
      <c r="I54">
        <v>2</v>
      </c>
      <c r="J54" t="s">
        <v>897</v>
      </c>
      <c r="K54">
        <v>2</v>
      </c>
      <c r="L54">
        <v>2</v>
      </c>
      <c r="M54" t="s">
        <v>423</v>
      </c>
      <c r="N54">
        <v>0</v>
      </c>
      <c r="O54">
        <f>+Tabla__192.168.1.8_POSEIDONSQL_APPFVT_01_tbl_detalle_fill_rate[[#This Row],[emb_cantidad]]-Tabla__192.168.1.8_POSEIDONSQL_APPFVT_01_tbl_detalle_fill_rate[[#This Row],[dev_cantidad]]</f>
        <v>2</v>
      </c>
      <c r="P5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54" s="1">
        <f>+Tabla__192.168.1.8_POSEIDONSQL_APPFVT_01_tbl_detalle_fill_rate[[#This Row],[Cumpl Real Unds]]-Tabla__192.168.1.8_POSEIDONSQL_APPFVT_01_tbl_detalle_fill_rate[[#This Row],[Cant Embarcada]]</f>
        <v>0</v>
      </c>
      <c r="S54" s="1">
        <f>+IF(Tabla__192.168.1.8_POSEIDONSQL_APPFVT_01_tbl_detalle_fill_rate[[#This Row],[Pend Emb]]&gt;0,1,0)</f>
        <v>0</v>
      </c>
      <c r="T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" spans="1:20" x14ac:dyDescent="0.25">
      <c r="A55">
        <v>1</v>
      </c>
      <c r="B55" t="s">
        <v>55</v>
      </c>
      <c r="C55">
        <v>8696803</v>
      </c>
      <c r="D55" s="48">
        <v>43363</v>
      </c>
      <c r="E55" s="48">
        <v>43360</v>
      </c>
      <c r="F55" s="48">
        <v>43370</v>
      </c>
      <c r="G55" t="s">
        <v>70</v>
      </c>
      <c r="H55" t="s">
        <v>71</v>
      </c>
      <c r="I55">
        <v>1</v>
      </c>
      <c r="J55" t="s">
        <v>683</v>
      </c>
      <c r="K55">
        <v>1</v>
      </c>
      <c r="L55">
        <v>1</v>
      </c>
      <c r="M55" t="s">
        <v>423</v>
      </c>
      <c r="N55">
        <v>0</v>
      </c>
      <c r="O55">
        <f>+Tabla__192.168.1.8_POSEIDONSQL_APPFVT_01_tbl_detalle_fill_rate[[#This Row],[emb_cantidad]]-Tabla__192.168.1.8_POSEIDONSQL_APPFVT_01_tbl_detalle_fill_rate[[#This Row],[dev_cantidad]]</f>
        <v>1</v>
      </c>
      <c r="P5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" s="1">
        <f>+Tabla__192.168.1.8_POSEIDONSQL_APPFVT_01_tbl_detalle_fill_rate[[#This Row],[Cumpl Real Unds]]-Tabla__192.168.1.8_POSEIDONSQL_APPFVT_01_tbl_detalle_fill_rate[[#This Row],[Cant Embarcada]]</f>
        <v>0</v>
      </c>
      <c r="S55" s="1">
        <f>+IF(Tabla__192.168.1.8_POSEIDONSQL_APPFVT_01_tbl_detalle_fill_rate[[#This Row],[Pend Emb]]&gt;0,1,0)</f>
        <v>0</v>
      </c>
      <c r="T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" spans="1:20" x14ac:dyDescent="0.25">
      <c r="A56">
        <v>1</v>
      </c>
      <c r="B56" t="s">
        <v>55</v>
      </c>
      <c r="C56">
        <v>8696850</v>
      </c>
      <c r="D56" s="48">
        <v>43363</v>
      </c>
      <c r="E56" s="48">
        <v>43360</v>
      </c>
      <c r="F56" s="48">
        <v>43370</v>
      </c>
      <c r="G56" t="s">
        <v>296</v>
      </c>
      <c r="H56" t="s">
        <v>297</v>
      </c>
      <c r="I56">
        <v>1</v>
      </c>
      <c r="J56" t="s">
        <v>682</v>
      </c>
      <c r="K56">
        <v>1</v>
      </c>
      <c r="L56">
        <v>1</v>
      </c>
      <c r="M56" t="s">
        <v>423</v>
      </c>
      <c r="N56">
        <v>0</v>
      </c>
      <c r="O56">
        <f>+Tabla__192.168.1.8_POSEIDONSQL_APPFVT_01_tbl_detalle_fill_rate[[#This Row],[emb_cantidad]]-Tabla__192.168.1.8_POSEIDONSQL_APPFVT_01_tbl_detalle_fill_rate[[#This Row],[dev_cantidad]]</f>
        <v>1</v>
      </c>
      <c r="P5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" s="1">
        <f>+Tabla__192.168.1.8_POSEIDONSQL_APPFVT_01_tbl_detalle_fill_rate[[#This Row],[Cumpl Real Unds]]-Tabla__192.168.1.8_POSEIDONSQL_APPFVT_01_tbl_detalle_fill_rate[[#This Row],[Cant Embarcada]]</f>
        <v>0</v>
      </c>
      <c r="S56" s="1">
        <f>+IF(Tabla__192.168.1.8_POSEIDONSQL_APPFVT_01_tbl_detalle_fill_rate[[#This Row],[Pend Emb]]&gt;0,1,0)</f>
        <v>0</v>
      </c>
      <c r="T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" spans="1:20" x14ac:dyDescent="0.25">
      <c r="A57">
        <v>1</v>
      </c>
      <c r="B57" t="s">
        <v>55</v>
      </c>
      <c r="C57">
        <v>8696869</v>
      </c>
      <c r="D57" s="48">
        <v>43363</v>
      </c>
      <c r="E57" s="48">
        <v>43360</v>
      </c>
      <c r="F57" s="48">
        <v>43370</v>
      </c>
      <c r="G57" t="s">
        <v>296</v>
      </c>
      <c r="H57" t="s">
        <v>297</v>
      </c>
      <c r="I57">
        <v>1</v>
      </c>
      <c r="J57" t="s">
        <v>677</v>
      </c>
      <c r="K57">
        <v>1</v>
      </c>
      <c r="L57">
        <v>1</v>
      </c>
      <c r="M57" t="s">
        <v>423</v>
      </c>
      <c r="N57">
        <v>0</v>
      </c>
      <c r="O57">
        <f>+Tabla__192.168.1.8_POSEIDONSQL_APPFVT_01_tbl_detalle_fill_rate[[#This Row],[emb_cantidad]]-Tabla__192.168.1.8_POSEIDONSQL_APPFVT_01_tbl_detalle_fill_rate[[#This Row],[dev_cantidad]]</f>
        <v>1</v>
      </c>
      <c r="P5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" s="1">
        <f>+Tabla__192.168.1.8_POSEIDONSQL_APPFVT_01_tbl_detalle_fill_rate[[#This Row],[Cumpl Real Unds]]-Tabla__192.168.1.8_POSEIDONSQL_APPFVT_01_tbl_detalle_fill_rate[[#This Row],[Cant Embarcada]]</f>
        <v>0</v>
      </c>
      <c r="S57" s="1">
        <f>+IF(Tabla__192.168.1.8_POSEIDONSQL_APPFVT_01_tbl_detalle_fill_rate[[#This Row],[Pend Emb]]&gt;0,1,0)</f>
        <v>0</v>
      </c>
      <c r="T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" spans="1:20" x14ac:dyDescent="0.25">
      <c r="A58">
        <v>1</v>
      </c>
      <c r="B58" t="s">
        <v>55</v>
      </c>
      <c r="C58">
        <v>8696968</v>
      </c>
      <c r="D58" s="48">
        <v>43363</v>
      </c>
      <c r="E58" s="48">
        <v>43361</v>
      </c>
      <c r="F58" s="48">
        <v>43370</v>
      </c>
      <c r="G58" t="s">
        <v>326</v>
      </c>
      <c r="H58" t="s">
        <v>327</v>
      </c>
      <c r="I58">
        <v>1</v>
      </c>
      <c r="J58" t="s">
        <v>903</v>
      </c>
      <c r="K58">
        <v>1</v>
      </c>
      <c r="L58">
        <v>1</v>
      </c>
      <c r="M58" t="s">
        <v>423</v>
      </c>
      <c r="N58">
        <v>0</v>
      </c>
      <c r="O58">
        <f>+Tabla__192.168.1.8_POSEIDONSQL_APPFVT_01_tbl_detalle_fill_rate[[#This Row],[emb_cantidad]]-Tabla__192.168.1.8_POSEIDONSQL_APPFVT_01_tbl_detalle_fill_rate[[#This Row],[dev_cantidad]]</f>
        <v>1</v>
      </c>
      <c r="P5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" s="1">
        <f>+Tabla__192.168.1.8_POSEIDONSQL_APPFVT_01_tbl_detalle_fill_rate[[#This Row],[Cumpl Real Unds]]-Tabla__192.168.1.8_POSEIDONSQL_APPFVT_01_tbl_detalle_fill_rate[[#This Row],[Cant Embarcada]]</f>
        <v>0</v>
      </c>
      <c r="S58" s="1">
        <f>+IF(Tabla__192.168.1.8_POSEIDONSQL_APPFVT_01_tbl_detalle_fill_rate[[#This Row],[Pend Emb]]&gt;0,1,0)</f>
        <v>0</v>
      </c>
      <c r="T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" spans="1:20" x14ac:dyDescent="0.25">
      <c r="A59">
        <v>1</v>
      </c>
      <c r="B59" t="s">
        <v>55</v>
      </c>
      <c r="C59">
        <v>8697026</v>
      </c>
      <c r="D59" s="48">
        <v>43363</v>
      </c>
      <c r="E59" s="48">
        <v>43362</v>
      </c>
      <c r="F59" s="48">
        <v>43370</v>
      </c>
      <c r="G59" t="s">
        <v>138</v>
      </c>
      <c r="H59" t="s">
        <v>139</v>
      </c>
      <c r="I59">
        <v>1</v>
      </c>
      <c r="J59" t="s">
        <v>678</v>
      </c>
      <c r="K59">
        <v>1</v>
      </c>
      <c r="L59">
        <v>1</v>
      </c>
      <c r="M59" t="s">
        <v>423</v>
      </c>
      <c r="N59">
        <v>0</v>
      </c>
      <c r="O59">
        <f>+Tabla__192.168.1.8_POSEIDONSQL_APPFVT_01_tbl_detalle_fill_rate[[#This Row],[emb_cantidad]]-Tabla__192.168.1.8_POSEIDONSQL_APPFVT_01_tbl_detalle_fill_rate[[#This Row],[dev_cantidad]]</f>
        <v>1</v>
      </c>
      <c r="P5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" s="1">
        <f>+Tabla__192.168.1.8_POSEIDONSQL_APPFVT_01_tbl_detalle_fill_rate[[#This Row],[Cumpl Real Unds]]-Tabla__192.168.1.8_POSEIDONSQL_APPFVT_01_tbl_detalle_fill_rate[[#This Row],[Cant Embarcada]]</f>
        <v>0</v>
      </c>
      <c r="S59" s="1">
        <f>+IF(Tabla__192.168.1.8_POSEIDONSQL_APPFVT_01_tbl_detalle_fill_rate[[#This Row],[Pend Emb]]&gt;0,1,0)</f>
        <v>0</v>
      </c>
      <c r="T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" spans="1:20" x14ac:dyDescent="0.25">
      <c r="A60">
        <v>1</v>
      </c>
      <c r="B60" t="s">
        <v>55</v>
      </c>
      <c r="C60">
        <v>8697121</v>
      </c>
      <c r="D60" s="48">
        <v>43364</v>
      </c>
      <c r="E60" s="48">
        <v>43362</v>
      </c>
      <c r="F60" s="48">
        <v>43370</v>
      </c>
      <c r="G60" t="s">
        <v>146</v>
      </c>
      <c r="H60" t="s">
        <v>147</v>
      </c>
      <c r="I60">
        <v>1</v>
      </c>
      <c r="J60" t="s">
        <v>904</v>
      </c>
      <c r="K60">
        <v>1</v>
      </c>
      <c r="L60">
        <v>1</v>
      </c>
      <c r="M60" t="s">
        <v>423</v>
      </c>
      <c r="N60">
        <v>0</v>
      </c>
      <c r="O60">
        <f>+Tabla__192.168.1.8_POSEIDONSQL_APPFVT_01_tbl_detalle_fill_rate[[#This Row],[emb_cantidad]]-Tabla__192.168.1.8_POSEIDONSQL_APPFVT_01_tbl_detalle_fill_rate[[#This Row],[dev_cantidad]]</f>
        <v>1</v>
      </c>
      <c r="P6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" s="1">
        <f>+Tabla__192.168.1.8_POSEIDONSQL_APPFVT_01_tbl_detalle_fill_rate[[#This Row],[Cumpl Real Unds]]-Tabla__192.168.1.8_POSEIDONSQL_APPFVT_01_tbl_detalle_fill_rate[[#This Row],[Cant Embarcada]]</f>
        <v>0</v>
      </c>
      <c r="S60" s="1">
        <f>+IF(Tabla__192.168.1.8_POSEIDONSQL_APPFVT_01_tbl_detalle_fill_rate[[#This Row],[Pend Emb]]&gt;0,1,0)</f>
        <v>0</v>
      </c>
      <c r="T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" spans="1:20" x14ac:dyDescent="0.25">
      <c r="A61">
        <v>1</v>
      </c>
      <c r="B61" t="s">
        <v>55</v>
      </c>
      <c r="C61">
        <v>8697449</v>
      </c>
      <c r="D61" s="48">
        <v>43364</v>
      </c>
      <c r="E61" s="48">
        <v>43363</v>
      </c>
      <c r="F61" s="48">
        <v>43370</v>
      </c>
      <c r="G61" t="s">
        <v>905</v>
      </c>
      <c r="H61" t="s">
        <v>906</v>
      </c>
      <c r="I61">
        <v>1</v>
      </c>
      <c r="J61" t="s">
        <v>907</v>
      </c>
      <c r="K61">
        <v>1</v>
      </c>
      <c r="L61">
        <v>1</v>
      </c>
      <c r="M61" t="s">
        <v>423</v>
      </c>
      <c r="N61">
        <v>0</v>
      </c>
      <c r="O61">
        <f>+Tabla__192.168.1.8_POSEIDONSQL_APPFVT_01_tbl_detalle_fill_rate[[#This Row],[emb_cantidad]]-Tabla__192.168.1.8_POSEIDONSQL_APPFVT_01_tbl_detalle_fill_rate[[#This Row],[dev_cantidad]]</f>
        <v>1</v>
      </c>
      <c r="P6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" s="1">
        <f>+Tabla__192.168.1.8_POSEIDONSQL_APPFVT_01_tbl_detalle_fill_rate[[#This Row],[Cumpl Real Unds]]-Tabla__192.168.1.8_POSEIDONSQL_APPFVT_01_tbl_detalle_fill_rate[[#This Row],[Cant Embarcada]]</f>
        <v>0</v>
      </c>
      <c r="S61" s="1">
        <f>+IF(Tabla__192.168.1.8_POSEIDONSQL_APPFVT_01_tbl_detalle_fill_rate[[#This Row],[Pend Emb]]&gt;0,1,0)</f>
        <v>0</v>
      </c>
      <c r="T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" spans="1:20" x14ac:dyDescent="0.25">
      <c r="A62">
        <v>1</v>
      </c>
      <c r="B62" t="s">
        <v>55</v>
      </c>
      <c r="C62">
        <v>8697480</v>
      </c>
      <c r="D62" s="48">
        <v>43364</v>
      </c>
      <c r="E62" s="48">
        <v>43363</v>
      </c>
      <c r="F62" s="48">
        <v>43370</v>
      </c>
      <c r="G62" t="s">
        <v>910</v>
      </c>
      <c r="H62" t="s">
        <v>911</v>
      </c>
      <c r="I62">
        <v>1</v>
      </c>
      <c r="J62" t="s">
        <v>912</v>
      </c>
      <c r="K62">
        <v>1</v>
      </c>
      <c r="L62">
        <v>1</v>
      </c>
      <c r="M62" t="s">
        <v>423</v>
      </c>
      <c r="N62">
        <v>0</v>
      </c>
      <c r="O62">
        <f>+Tabla__192.168.1.8_POSEIDONSQL_APPFVT_01_tbl_detalle_fill_rate[[#This Row],[emb_cantidad]]-Tabla__192.168.1.8_POSEIDONSQL_APPFVT_01_tbl_detalle_fill_rate[[#This Row],[dev_cantidad]]</f>
        <v>1</v>
      </c>
      <c r="P6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" s="1">
        <f>+Tabla__192.168.1.8_POSEIDONSQL_APPFVT_01_tbl_detalle_fill_rate[[#This Row],[Cumpl Real Unds]]-Tabla__192.168.1.8_POSEIDONSQL_APPFVT_01_tbl_detalle_fill_rate[[#This Row],[Cant Embarcada]]</f>
        <v>0</v>
      </c>
      <c r="S62" s="1">
        <f>+IF(Tabla__192.168.1.8_POSEIDONSQL_APPFVT_01_tbl_detalle_fill_rate[[#This Row],[Pend Emb]]&gt;0,1,0)</f>
        <v>0</v>
      </c>
      <c r="T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" spans="1:20" x14ac:dyDescent="0.25">
      <c r="A63">
        <v>1</v>
      </c>
      <c r="B63" t="s">
        <v>55</v>
      </c>
      <c r="C63">
        <v>8698177</v>
      </c>
      <c r="D63" s="48">
        <v>43364</v>
      </c>
      <c r="E63" s="48">
        <v>43363</v>
      </c>
      <c r="F63" s="48">
        <v>43369</v>
      </c>
      <c r="G63" t="s">
        <v>72</v>
      </c>
      <c r="H63" t="s">
        <v>73</v>
      </c>
      <c r="I63">
        <v>24</v>
      </c>
      <c r="J63" t="s">
        <v>152</v>
      </c>
      <c r="K63">
        <v>24</v>
      </c>
      <c r="L63">
        <v>24</v>
      </c>
      <c r="M63" t="s">
        <v>420</v>
      </c>
      <c r="N63">
        <v>0</v>
      </c>
      <c r="O63">
        <f>+Tabla__192.168.1.8_POSEIDONSQL_APPFVT_01_tbl_detalle_fill_rate[[#This Row],[emb_cantidad]]-Tabla__192.168.1.8_POSEIDONSQL_APPFVT_01_tbl_detalle_fill_rate[[#This Row],[dev_cantidad]]</f>
        <v>24</v>
      </c>
      <c r="P6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63" s="1">
        <f>+Tabla__192.168.1.8_POSEIDONSQL_APPFVT_01_tbl_detalle_fill_rate[[#This Row],[Cumpl Real Unds]]-Tabla__192.168.1.8_POSEIDONSQL_APPFVT_01_tbl_detalle_fill_rate[[#This Row],[Cant Embarcada]]</f>
        <v>0</v>
      </c>
      <c r="S63" s="1">
        <f>+IF(Tabla__192.168.1.8_POSEIDONSQL_APPFVT_01_tbl_detalle_fill_rate[[#This Row],[Pend Emb]]&gt;0,1,0)</f>
        <v>0</v>
      </c>
      <c r="T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" spans="1:20" x14ac:dyDescent="0.25">
      <c r="A64">
        <v>1</v>
      </c>
      <c r="B64" t="s">
        <v>55</v>
      </c>
      <c r="C64">
        <v>8698177</v>
      </c>
      <c r="D64" s="48">
        <v>43364</v>
      </c>
      <c r="E64" s="48">
        <v>43363</v>
      </c>
      <c r="F64" s="48">
        <v>43369</v>
      </c>
      <c r="G64" t="s">
        <v>242</v>
      </c>
      <c r="H64" t="s">
        <v>243</v>
      </c>
      <c r="I64">
        <v>6</v>
      </c>
      <c r="J64" t="s">
        <v>153</v>
      </c>
      <c r="K64">
        <v>6</v>
      </c>
      <c r="L64">
        <v>6</v>
      </c>
      <c r="M64" t="s">
        <v>420</v>
      </c>
      <c r="N64">
        <v>0</v>
      </c>
      <c r="O64">
        <f>+Tabla__192.168.1.8_POSEIDONSQL_APPFVT_01_tbl_detalle_fill_rate[[#This Row],[emb_cantidad]]-Tabla__192.168.1.8_POSEIDONSQL_APPFVT_01_tbl_detalle_fill_rate[[#This Row],[dev_cantidad]]</f>
        <v>6</v>
      </c>
      <c r="P6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64" s="1">
        <f>+Tabla__192.168.1.8_POSEIDONSQL_APPFVT_01_tbl_detalle_fill_rate[[#This Row],[Cumpl Real Unds]]-Tabla__192.168.1.8_POSEIDONSQL_APPFVT_01_tbl_detalle_fill_rate[[#This Row],[Cant Embarcada]]</f>
        <v>0</v>
      </c>
      <c r="S64" s="1">
        <f>+IF(Tabla__192.168.1.8_POSEIDONSQL_APPFVT_01_tbl_detalle_fill_rate[[#This Row],[Pend Emb]]&gt;0,1,0)</f>
        <v>0</v>
      </c>
      <c r="T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" spans="1:20" x14ac:dyDescent="0.25">
      <c r="A65">
        <v>1</v>
      </c>
      <c r="B65" t="s">
        <v>55</v>
      </c>
      <c r="C65">
        <v>8698177</v>
      </c>
      <c r="D65" s="48">
        <v>43364</v>
      </c>
      <c r="E65" s="48">
        <v>43363</v>
      </c>
      <c r="F65" s="48">
        <v>43369</v>
      </c>
      <c r="G65" t="s">
        <v>100</v>
      </c>
      <c r="H65" t="s">
        <v>101</v>
      </c>
      <c r="I65">
        <v>6</v>
      </c>
      <c r="J65" t="s">
        <v>155</v>
      </c>
      <c r="K65">
        <v>6</v>
      </c>
      <c r="L65">
        <v>6</v>
      </c>
      <c r="M65" t="s">
        <v>420</v>
      </c>
      <c r="N65">
        <v>0</v>
      </c>
      <c r="O65">
        <f>+Tabla__192.168.1.8_POSEIDONSQL_APPFVT_01_tbl_detalle_fill_rate[[#This Row],[emb_cantidad]]-Tabla__192.168.1.8_POSEIDONSQL_APPFVT_01_tbl_detalle_fill_rate[[#This Row],[dev_cantidad]]</f>
        <v>6</v>
      </c>
      <c r="P6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65" s="1">
        <f>+Tabla__192.168.1.8_POSEIDONSQL_APPFVT_01_tbl_detalle_fill_rate[[#This Row],[Cumpl Real Unds]]-Tabla__192.168.1.8_POSEIDONSQL_APPFVT_01_tbl_detalle_fill_rate[[#This Row],[Cant Embarcada]]</f>
        <v>0</v>
      </c>
      <c r="S65" s="1">
        <f>+IF(Tabla__192.168.1.8_POSEIDONSQL_APPFVT_01_tbl_detalle_fill_rate[[#This Row],[Pend Emb]]&gt;0,1,0)</f>
        <v>0</v>
      </c>
      <c r="T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" spans="1:20" x14ac:dyDescent="0.25">
      <c r="A66">
        <v>1</v>
      </c>
      <c r="B66" t="s">
        <v>55</v>
      </c>
      <c r="C66">
        <v>8698177</v>
      </c>
      <c r="D66" s="48">
        <v>43364</v>
      </c>
      <c r="E66" s="48">
        <v>43363</v>
      </c>
      <c r="F66" s="48">
        <v>43369</v>
      </c>
      <c r="G66" t="s">
        <v>148</v>
      </c>
      <c r="H66" t="s">
        <v>149</v>
      </c>
      <c r="I66">
        <v>12</v>
      </c>
      <c r="J66" t="s">
        <v>154</v>
      </c>
      <c r="K66">
        <v>12</v>
      </c>
      <c r="L66">
        <v>12</v>
      </c>
      <c r="M66" t="s">
        <v>420</v>
      </c>
      <c r="N66">
        <v>0</v>
      </c>
      <c r="O66">
        <f>+Tabla__192.168.1.8_POSEIDONSQL_APPFVT_01_tbl_detalle_fill_rate[[#This Row],[emb_cantidad]]-Tabla__192.168.1.8_POSEIDONSQL_APPFVT_01_tbl_detalle_fill_rate[[#This Row],[dev_cantidad]]</f>
        <v>12</v>
      </c>
      <c r="P6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66" s="1">
        <f>+Tabla__192.168.1.8_POSEIDONSQL_APPFVT_01_tbl_detalle_fill_rate[[#This Row],[Cumpl Real Unds]]-Tabla__192.168.1.8_POSEIDONSQL_APPFVT_01_tbl_detalle_fill_rate[[#This Row],[Cant Embarcada]]</f>
        <v>0</v>
      </c>
      <c r="S66" s="1">
        <f>+IF(Tabla__192.168.1.8_POSEIDONSQL_APPFVT_01_tbl_detalle_fill_rate[[#This Row],[Pend Emb]]&gt;0,1,0)</f>
        <v>0</v>
      </c>
      <c r="T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" spans="1:20" x14ac:dyDescent="0.25">
      <c r="A67">
        <v>1</v>
      </c>
      <c r="B67" t="s">
        <v>55</v>
      </c>
      <c r="C67">
        <v>8698329</v>
      </c>
      <c r="D67" s="48">
        <v>43364</v>
      </c>
      <c r="E67" s="48">
        <v>43363</v>
      </c>
      <c r="F67" s="48">
        <v>43370</v>
      </c>
      <c r="G67" t="s">
        <v>349</v>
      </c>
      <c r="H67" t="s">
        <v>350</v>
      </c>
      <c r="I67">
        <v>1</v>
      </c>
      <c r="J67" t="s">
        <v>908</v>
      </c>
      <c r="K67">
        <v>1</v>
      </c>
      <c r="L67">
        <v>1</v>
      </c>
      <c r="M67" t="s">
        <v>423</v>
      </c>
      <c r="N67">
        <v>0</v>
      </c>
      <c r="O67">
        <f>+Tabla__192.168.1.8_POSEIDONSQL_APPFVT_01_tbl_detalle_fill_rate[[#This Row],[emb_cantidad]]-Tabla__192.168.1.8_POSEIDONSQL_APPFVT_01_tbl_detalle_fill_rate[[#This Row],[dev_cantidad]]</f>
        <v>1</v>
      </c>
      <c r="P6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" s="1">
        <f>+Tabla__192.168.1.8_POSEIDONSQL_APPFVT_01_tbl_detalle_fill_rate[[#This Row],[Cumpl Real Unds]]-Tabla__192.168.1.8_POSEIDONSQL_APPFVT_01_tbl_detalle_fill_rate[[#This Row],[Cant Embarcada]]</f>
        <v>0</v>
      </c>
      <c r="S67" s="1">
        <f>+IF(Tabla__192.168.1.8_POSEIDONSQL_APPFVT_01_tbl_detalle_fill_rate[[#This Row],[Pend Emb]]&gt;0,1,0)</f>
        <v>0</v>
      </c>
      <c r="T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" spans="1:20" x14ac:dyDescent="0.25">
      <c r="A68">
        <v>1</v>
      </c>
      <c r="B68" t="s">
        <v>55</v>
      </c>
      <c r="C68">
        <v>8698686</v>
      </c>
      <c r="D68" s="48">
        <v>43364</v>
      </c>
      <c r="E68" s="48">
        <v>43363</v>
      </c>
      <c r="F68" s="48">
        <v>43370</v>
      </c>
      <c r="G68" t="s">
        <v>106</v>
      </c>
      <c r="H68" t="s">
        <v>107</v>
      </c>
      <c r="I68">
        <v>1</v>
      </c>
      <c r="J68" t="s">
        <v>909</v>
      </c>
      <c r="K68">
        <v>1</v>
      </c>
      <c r="L68">
        <v>1</v>
      </c>
      <c r="M68" t="s">
        <v>423</v>
      </c>
      <c r="N68">
        <v>0</v>
      </c>
      <c r="O68">
        <f>+Tabla__192.168.1.8_POSEIDONSQL_APPFVT_01_tbl_detalle_fill_rate[[#This Row],[emb_cantidad]]-Tabla__192.168.1.8_POSEIDONSQL_APPFVT_01_tbl_detalle_fill_rate[[#This Row],[dev_cantidad]]</f>
        <v>1</v>
      </c>
      <c r="P6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" s="1">
        <f>+Tabla__192.168.1.8_POSEIDONSQL_APPFVT_01_tbl_detalle_fill_rate[[#This Row],[Cumpl Real Unds]]-Tabla__192.168.1.8_POSEIDONSQL_APPFVT_01_tbl_detalle_fill_rate[[#This Row],[Cant Embarcada]]</f>
        <v>0</v>
      </c>
      <c r="S68" s="1">
        <f>+IF(Tabla__192.168.1.8_POSEIDONSQL_APPFVT_01_tbl_detalle_fill_rate[[#This Row],[Pend Emb]]&gt;0,1,0)</f>
        <v>0</v>
      </c>
      <c r="T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" spans="1:20" x14ac:dyDescent="0.25">
      <c r="A69">
        <v>1</v>
      </c>
      <c r="B69" t="s">
        <v>55</v>
      </c>
      <c r="C69">
        <v>8698983</v>
      </c>
      <c r="D69" s="48">
        <v>43364</v>
      </c>
      <c r="E69" s="48">
        <v>43363</v>
      </c>
      <c r="F69" s="48">
        <v>43370</v>
      </c>
      <c r="G69" t="s">
        <v>521</v>
      </c>
      <c r="H69" t="s">
        <v>522</v>
      </c>
      <c r="I69">
        <v>1</v>
      </c>
      <c r="J69" t="s">
        <v>902</v>
      </c>
      <c r="K69">
        <v>1</v>
      </c>
      <c r="L69">
        <v>1</v>
      </c>
      <c r="M69" t="s">
        <v>423</v>
      </c>
      <c r="N69">
        <v>0</v>
      </c>
      <c r="O69">
        <f>+Tabla__192.168.1.8_POSEIDONSQL_APPFVT_01_tbl_detalle_fill_rate[[#This Row],[emb_cantidad]]-Tabla__192.168.1.8_POSEIDONSQL_APPFVT_01_tbl_detalle_fill_rate[[#This Row],[dev_cantidad]]</f>
        <v>1</v>
      </c>
      <c r="P6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9" s="1">
        <f>+Tabla__192.168.1.8_POSEIDONSQL_APPFVT_01_tbl_detalle_fill_rate[[#This Row],[Cumpl Real Unds]]-Tabla__192.168.1.8_POSEIDONSQL_APPFVT_01_tbl_detalle_fill_rate[[#This Row],[Cant Embarcada]]</f>
        <v>0</v>
      </c>
      <c r="S69" s="1">
        <f>+IF(Tabla__192.168.1.8_POSEIDONSQL_APPFVT_01_tbl_detalle_fill_rate[[#This Row],[Pend Emb]]&gt;0,1,0)</f>
        <v>0</v>
      </c>
      <c r="T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" spans="1:20" x14ac:dyDescent="0.25">
      <c r="A70">
        <v>1</v>
      </c>
      <c r="B70" t="s">
        <v>55</v>
      </c>
      <c r="C70">
        <v>8698989</v>
      </c>
      <c r="D70" s="48">
        <v>43364</v>
      </c>
      <c r="E70" s="48">
        <v>43363</v>
      </c>
      <c r="F70" s="48">
        <v>43370</v>
      </c>
      <c r="G70" t="s">
        <v>668</v>
      </c>
      <c r="H70" t="s">
        <v>669</v>
      </c>
      <c r="I70">
        <v>1</v>
      </c>
      <c r="J70" t="s">
        <v>913</v>
      </c>
      <c r="K70">
        <v>0</v>
      </c>
      <c r="L70">
        <v>0</v>
      </c>
      <c r="M70" t="s">
        <v>12</v>
      </c>
      <c r="N70">
        <v>0</v>
      </c>
      <c r="O70">
        <f>+Tabla__192.168.1.8_POSEIDONSQL_APPFVT_01_tbl_detalle_fill_rate[[#This Row],[emb_cantidad]]-Tabla__192.168.1.8_POSEIDONSQL_APPFVT_01_tbl_detalle_fill_rate[[#This Row],[dev_cantidad]]</f>
        <v>0</v>
      </c>
      <c r="P7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0" s="1">
        <f>+Tabla__192.168.1.8_POSEIDONSQL_APPFVT_01_tbl_detalle_fill_rate[[#This Row],[Cumpl Real Unds]]-Tabla__192.168.1.8_POSEIDONSQL_APPFVT_01_tbl_detalle_fill_rate[[#This Row],[Cant Embarcada]]</f>
        <v>0</v>
      </c>
      <c r="S70" s="1">
        <f>+IF(Tabla__192.168.1.8_POSEIDONSQL_APPFVT_01_tbl_detalle_fill_rate[[#This Row],[Pend Emb]]&gt;0,1,0)</f>
        <v>0</v>
      </c>
      <c r="T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" spans="1:20" x14ac:dyDescent="0.25">
      <c r="A71">
        <v>1</v>
      </c>
      <c r="B71" t="s">
        <v>55</v>
      </c>
      <c r="C71">
        <v>8699381</v>
      </c>
      <c r="D71" s="48">
        <v>43367</v>
      </c>
      <c r="E71" s="48">
        <v>43364</v>
      </c>
      <c r="F71" s="48">
        <v>43370</v>
      </c>
      <c r="G71" t="s">
        <v>355</v>
      </c>
      <c r="H71" t="s">
        <v>356</v>
      </c>
      <c r="I71">
        <v>1</v>
      </c>
      <c r="J71" t="s">
        <v>1526</v>
      </c>
      <c r="K71">
        <v>1</v>
      </c>
      <c r="L71">
        <v>1</v>
      </c>
      <c r="M71" t="s">
        <v>423</v>
      </c>
      <c r="N71">
        <v>0</v>
      </c>
      <c r="O71">
        <f>+Tabla__192.168.1.8_POSEIDONSQL_APPFVT_01_tbl_detalle_fill_rate[[#This Row],[emb_cantidad]]-Tabla__192.168.1.8_POSEIDONSQL_APPFVT_01_tbl_detalle_fill_rate[[#This Row],[dev_cantidad]]</f>
        <v>1</v>
      </c>
      <c r="P7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" s="1">
        <f>+Tabla__192.168.1.8_POSEIDONSQL_APPFVT_01_tbl_detalle_fill_rate[[#This Row],[Cumpl Real Unds]]-Tabla__192.168.1.8_POSEIDONSQL_APPFVT_01_tbl_detalle_fill_rate[[#This Row],[Cant Embarcada]]</f>
        <v>0</v>
      </c>
      <c r="S71" s="1">
        <f>+IF(Tabla__192.168.1.8_POSEIDONSQL_APPFVT_01_tbl_detalle_fill_rate[[#This Row],[Pend Emb]]&gt;0,1,0)</f>
        <v>0</v>
      </c>
      <c r="T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" spans="1:20" x14ac:dyDescent="0.25">
      <c r="A72">
        <v>1</v>
      </c>
      <c r="B72" t="s">
        <v>55</v>
      </c>
      <c r="C72">
        <v>8706137</v>
      </c>
      <c r="D72" s="48">
        <v>43369</v>
      </c>
      <c r="E72" s="48">
        <v>43368</v>
      </c>
      <c r="F72" s="48">
        <v>43370</v>
      </c>
      <c r="G72" t="s">
        <v>253</v>
      </c>
      <c r="H72" t="s">
        <v>254</v>
      </c>
      <c r="I72">
        <v>30</v>
      </c>
      <c r="J72" t="s">
        <v>154</v>
      </c>
      <c r="K72">
        <v>0</v>
      </c>
      <c r="L72">
        <v>0</v>
      </c>
      <c r="M72" t="s">
        <v>423</v>
      </c>
      <c r="N72">
        <v>0</v>
      </c>
      <c r="O72">
        <f>+Tabla__192.168.1.8_POSEIDONSQL_APPFVT_01_tbl_detalle_fill_rate[[#This Row],[emb_cantidad]]-Tabla__192.168.1.8_POSEIDONSQL_APPFVT_01_tbl_detalle_fill_rate[[#This Row],[dev_cantidad]]</f>
        <v>0</v>
      </c>
      <c r="P7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2" s="1">
        <f>+Tabla__192.168.1.8_POSEIDONSQL_APPFVT_01_tbl_detalle_fill_rate[[#This Row],[Cumpl Real Unds]]-Tabla__192.168.1.8_POSEIDONSQL_APPFVT_01_tbl_detalle_fill_rate[[#This Row],[Cant Embarcada]]</f>
        <v>0</v>
      </c>
      <c r="S72" s="1">
        <f>+IF(Tabla__192.168.1.8_POSEIDONSQL_APPFVT_01_tbl_detalle_fill_rate[[#This Row],[Pend Emb]]&gt;0,1,0)</f>
        <v>0</v>
      </c>
      <c r="T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" spans="1:20" x14ac:dyDescent="0.25">
      <c r="A73">
        <v>1</v>
      </c>
      <c r="B73" t="s">
        <v>55</v>
      </c>
      <c r="C73">
        <v>8706137</v>
      </c>
      <c r="D73" s="48">
        <v>43369</v>
      </c>
      <c r="E73" s="48">
        <v>43368</v>
      </c>
      <c r="F73" s="48">
        <v>43370</v>
      </c>
      <c r="G73" t="s">
        <v>255</v>
      </c>
      <c r="H73" t="s">
        <v>256</v>
      </c>
      <c r="I73">
        <v>106</v>
      </c>
      <c r="J73" t="s">
        <v>152</v>
      </c>
      <c r="K73">
        <v>100</v>
      </c>
      <c r="L73">
        <v>100</v>
      </c>
      <c r="M73" t="s">
        <v>423</v>
      </c>
      <c r="N73">
        <v>0</v>
      </c>
      <c r="O73">
        <f>+Tabla__192.168.1.8_POSEIDONSQL_APPFVT_01_tbl_detalle_fill_rate[[#This Row],[emb_cantidad]]-Tabla__192.168.1.8_POSEIDONSQL_APPFVT_01_tbl_detalle_fill_rate[[#This Row],[dev_cantidad]]</f>
        <v>100</v>
      </c>
      <c r="P7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100</v>
      </c>
      <c r="R73" s="1">
        <f>+Tabla__192.168.1.8_POSEIDONSQL_APPFVT_01_tbl_detalle_fill_rate[[#This Row],[Cumpl Real Unds]]-Tabla__192.168.1.8_POSEIDONSQL_APPFVT_01_tbl_detalle_fill_rate[[#This Row],[Cant Embarcada]]</f>
        <v>0</v>
      </c>
      <c r="S73" s="1">
        <f>+IF(Tabla__192.168.1.8_POSEIDONSQL_APPFVT_01_tbl_detalle_fill_rate[[#This Row],[Pend Emb]]&gt;0,1,0)</f>
        <v>0</v>
      </c>
      <c r="T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" spans="1:20" x14ac:dyDescent="0.25">
      <c r="A74">
        <v>1</v>
      </c>
      <c r="B74" t="s">
        <v>55</v>
      </c>
      <c r="C74">
        <v>8706137</v>
      </c>
      <c r="D74" s="48">
        <v>43369</v>
      </c>
      <c r="E74" s="48">
        <v>43368</v>
      </c>
      <c r="F74" s="48">
        <v>43370</v>
      </c>
      <c r="G74" t="s">
        <v>240</v>
      </c>
      <c r="H74" t="s">
        <v>241</v>
      </c>
      <c r="I74">
        <v>15</v>
      </c>
      <c r="J74" t="s">
        <v>410</v>
      </c>
      <c r="K74">
        <v>15</v>
      </c>
      <c r="L74">
        <v>15</v>
      </c>
      <c r="M74" t="s">
        <v>423</v>
      </c>
      <c r="N74">
        <v>0</v>
      </c>
      <c r="O74">
        <f>+Tabla__192.168.1.8_POSEIDONSQL_APPFVT_01_tbl_detalle_fill_rate[[#This Row],[emb_cantidad]]-Tabla__192.168.1.8_POSEIDONSQL_APPFVT_01_tbl_detalle_fill_rate[[#This Row],[dev_cantidad]]</f>
        <v>15</v>
      </c>
      <c r="P7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74" s="1">
        <f>+Tabla__192.168.1.8_POSEIDONSQL_APPFVT_01_tbl_detalle_fill_rate[[#This Row],[Cumpl Real Unds]]-Tabla__192.168.1.8_POSEIDONSQL_APPFVT_01_tbl_detalle_fill_rate[[#This Row],[Cant Embarcada]]</f>
        <v>0</v>
      </c>
      <c r="S74" s="1">
        <f>+IF(Tabla__192.168.1.8_POSEIDONSQL_APPFVT_01_tbl_detalle_fill_rate[[#This Row],[Pend Emb]]&gt;0,1,0)</f>
        <v>0</v>
      </c>
      <c r="T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" spans="1:20" x14ac:dyDescent="0.25">
      <c r="A75">
        <v>1</v>
      </c>
      <c r="B75" t="s">
        <v>55</v>
      </c>
      <c r="C75">
        <v>8706137</v>
      </c>
      <c r="D75" s="48">
        <v>43369</v>
      </c>
      <c r="E75" s="48">
        <v>43368</v>
      </c>
      <c r="F75" s="48">
        <v>43370</v>
      </c>
      <c r="G75" t="s">
        <v>529</v>
      </c>
      <c r="H75" t="s">
        <v>530</v>
      </c>
      <c r="I75">
        <v>105</v>
      </c>
      <c r="J75" t="s">
        <v>156</v>
      </c>
      <c r="K75">
        <v>0</v>
      </c>
      <c r="L75">
        <v>0</v>
      </c>
      <c r="M75" t="s">
        <v>423</v>
      </c>
      <c r="N75">
        <v>0</v>
      </c>
      <c r="O75">
        <f>+Tabla__192.168.1.8_POSEIDONSQL_APPFVT_01_tbl_detalle_fill_rate[[#This Row],[emb_cantidad]]-Tabla__192.168.1.8_POSEIDONSQL_APPFVT_01_tbl_detalle_fill_rate[[#This Row],[dev_cantidad]]</f>
        <v>0</v>
      </c>
      <c r="P7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5" s="1">
        <f>+Tabla__192.168.1.8_POSEIDONSQL_APPFVT_01_tbl_detalle_fill_rate[[#This Row],[Cumpl Real Unds]]-Tabla__192.168.1.8_POSEIDONSQL_APPFVT_01_tbl_detalle_fill_rate[[#This Row],[Cant Embarcada]]</f>
        <v>0</v>
      </c>
      <c r="S75" s="1">
        <f>+IF(Tabla__192.168.1.8_POSEIDONSQL_APPFVT_01_tbl_detalle_fill_rate[[#This Row],[Pend Emb]]&gt;0,1,0)</f>
        <v>0</v>
      </c>
      <c r="T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" spans="1:20" x14ac:dyDescent="0.25">
      <c r="A76">
        <v>1</v>
      </c>
      <c r="B76" t="s">
        <v>55</v>
      </c>
      <c r="C76">
        <v>8706137</v>
      </c>
      <c r="D76" s="48">
        <v>43369</v>
      </c>
      <c r="E76" s="48">
        <v>43368</v>
      </c>
      <c r="F76" s="48">
        <v>43370</v>
      </c>
      <c r="G76" t="s">
        <v>247</v>
      </c>
      <c r="H76" t="s">
        <v>248</v>
      </c>
      <c r="I76">
        <v>860</v>
      </c>
      <c r="J76" t="s">
        <v>155</v>
      </c>
      <c r="K76">
        <v>0</v>
      </c>
      <c r="L76">
        <v>0</v>
      </c>
      <c r="M76" t="s">
        <v>423</v>
      </c>
      <c r="N76">
        <v>0</v>
      </c>
      <c r="O76">
        <f>+Tabla__192.168.1.8_POSEIDONSQL_APPFVT_01_tbl_detalle_fill_rate[[#This Row],[emb_cantidad]]-Tabla__192.168.1.8_POSEIDONSQL_APPFVT_01_tbl_detalle_fill_rate[[#This Row],[dev_cantidad]]</f>
        <v>0</v>
      </c>
      <c r="P7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6" s="1">
        <f>+Tabla__192.168.1.8_POSEIDONSQL_APPFVT_01_tbl_detalle_fill_rate[[#This Row],[Cumpl Real Unds]]-Tabla__192.168.1.8_POSEIDONSQL_APPFVT_01_tbl_detalle_fill_rate[[#This Row],[Cant Embarcada]]</f>
        <v>0</v>
      </c>
      <c r="S76" s="1">
        <f>+IF(Tabla__192.168.1.8_POSEIDONSQL_APPFVT_01_tbl_detalle_fill_rate[[#This Row],[Pend Emb]]&gt;0,1,0)</f>
        <v>0</v>
      </c>
      <c r="T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" spans="1:20" x14ac:dyDescent="0.25">
      <c r="A77">
        <v>1</v>
      </c>
      <c r="B77" t="s">
        <v>55</v>
      </c>
      <c r="C77">
        <v>8706137</v>
      </c>
      <c r="D77" s="48">
        <v>43369</v>
      </c>
      <c r="E77" s="48">
        <v>43368</v>
      </c>
      <c r="F77" s="48">
        <v>43370</v>
      </c>
      <c r="G77" t="s">
        <v>408</v>
      </c>
      <c r="H77" t="s">
        <v>409</v>
      </c>
      <c r="I77">
        <v>828</v>
      </c>
      <c r="J77" t="s">
        <v>153</v>
      </c>
      <c r="K77">
        <v>0</v>
      </c>
      <c r="L77">
        <v>0</v>
      </c>
      <c r="M77" t="s">
        <v>423</v>
      </c>
      <c r="N77">
        <v>0</v>
      </c>
      <c r="O77">
        <f>+Tabla__192.168.1.8_POSEIDONSQL_APPFVT_01_tbl_detalle_fill_rate[[#This Row],[emb_cantidad]]-Tabla__192.168.1.8_POSEIDONSQL_APPFVT_01_tbl_detalle_fill_rate[[#This Row],[dev_cantidad]]</f>
        <v>0</v>
      </c>
      <c r="P7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7" s="1">
        <f>+Tabla__192.168.1.8_POSEIDONSQL_APPFVT_01_tbl_detalle_fill_rate[[#This Row],[Cumpl Real Unds]]-Tabla__192.168.1.8_POSEIDONSQL_APPFVT_01_tbl_detalle_fill_rate[[#This Row],[Cant Embarcada]]</f>
        <v>0</v>
      </c>
      <c r="S77" s="1">
        <f>+IF(Tabla__192.168.1.8_POSEIDONSQL_APPFVT_01_tbl_detalle_fill_rate[[#This Row],[Pend Emb]]&gt;0,1,0)</f>
        <v>0</v>
      </c>
      <c r="T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" spans="1:20" x14ac:dyDescent="0.25">
      <c r="A78">
        <v>1</v>
      </c>
      <c r="B78" t="s">
        <v>55</v>
      </c>
      <c r="C78">
        <v>8706137</v>
      </c>
      <c r="D78" s="48">
        <v>43369</v>
      </c>
      <c r="E78" s="48">
        <v>43368</v>
      </c>
      <c r="F78" s="48">
        <v>43370</v>
      </c>
      <c r="G78" t="s">
        <v>618</v>
      </c>
      <c r="H78" t="s">
        <v>619</v>
      </c>
      <c r="I78">
        <v>16</v>
      </c>
      <c r="J78" t="s">
        <v>244</v>
      </c>
      <c r="K78">
        <v>0</v>
      </c>
      <c r="L78">
        <v>0</v>
      </c>
      <c r="M78" t="s">
        <v>423</v>
      </c>
      <c r="N78">
        <v>0</v>
      </c>
      <c r="O78">
        <f>+Tabla__192.168.1.8_POSEIDONSQL_APPFVT_01_tbl_detalle_fill_rate[[#This Row],[emb_cantidad]]-Tabla__192.168.1.8_POSEIDONSQL_APPFVT_01_tbl_detalle_fill_rate[[#This Row],[dev_cantidad]]</f>
        <v>0</v>
      </c>
      <c r="P7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8" s="1">
        <f>+Tabla__192.168.1.8_POSEIDONSQL_APPFVT_01_tbl_detalle_fill_rate[[#This Row],[Cumpl Real Unds]]-Tabla__192.168.1.8_POSEIDONSQL_APPFVT_01_tbl_detalle_fill_rate[[#This Row],[Cant Embarcada]]</f>
        <v>0</v>
      </c>
      <c r="S78" s="1">
        <f>+IF(Tabla__192.168.1.8_POSEIDONSQL_APPFVT_01_tbl_detalle_fill_rate[[#This Row],[Pend Emb]]&gt;0,1,0)</f>
        <v>0</v>
      </c>
      <c r="T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" spans="1:20" x14ac:dyDescent="0.25">
      <c r="A79">
        <v>1</v>
      </c>
      <c r="B79" t="s">
        <v>55</v>
      </c>
      <c r="C79">
        <v>8706137</v>
      </c>
      <c r="D79" s="48">
        <v>43369</v>
      </c>
      <c r="E79" s="48">
        <v>43368</v>
      </c>
      <c r="F79" s="48">
        <v>43370</v>
      </c>
      <c r="G79" t="s">
        <v>249</v>
      </c>
      <c r="H79" t="s">
        <v>250</v>
      </c>
      <c r="I79">
        <v>40</v>
      </c>
      <c r="J79" t="s">
        <v>407</v>
      </c>
      <c r="K79">
        <v>0</v>
      </c>
      <c r="L79">
        <v>0</v>
      </c>
      <c r="M79" t="s">
        <v>423</v>
      </c>
      <c r="N79">
        <v>0</v>
      </c>
      <c r="O79">
        <f>+Tabla__192.168.1.8_POSEIDONSQL_APPFVT_01_tbl_detalle_fill_rate[[#This Row],[emb_cantidad]]-Tabla__192.168.1.8_POSEIDONSQL_APPFVT_01_tbl_detalle_fill_rate[[#This Row],[dev_cantidad]]</f>
        <v>0</v>
      </c>
      <c r="P7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9" s="1">
        <f>+Tabla__192.168.1.8_POSEIDONSQL_APPFVT_01_tbl_detalle_fill_rate[[#This Row],[Cumpl Real Unds]]-Tabla__192.168.1.8_POSEIDONSQL_APPFVT_01_tbl_detalle_fill_rate[[#This Row],[Cant Embarcada]]</f>
        <v>0</v>
      </c>
      <c r="S79" s="1">
        <f>+IF(Tabla__192.168.1.8_POSEIDONSQL_APPFVT_01_tbl_detalle_fill_rate[[#This Row],[Pend Emb]]&gt;0,1,0)</f>
        <v>0</v>
      </c>
      <c r="T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" spans="1:20" x14ac:dyDescent="0.25">
      <c r="A80">
        <v>3</v>
      </c>
      <c r="B80" t="s">
        <v>50</v>
      </c>
      <c r="C80">
        <v>342963</v>
      </c>
      <c r="D80" s="48">
        <v>1</v>
      </c>
      <c r="E80" s="48">
        <v>1</v>
      </c>
      <c r="F80" s="48">
        <v>43343</v>
      </c>
      <c r="G80" t="s">
        <v>92</v>
      </c>
      <c r="H80" t="s">
        <v>93</v>
      </c>
      <c r="I80">
        <v>10</v>
      </c>
      <c r="J80" t="s">
        <v>49</v>
      </c>
      <c r="K80">
        <v>3</v>
      </c>
      <c r="L80">
        <v>3</v>
      </c>
      <c r="M80" t="s">
        <v>1978</v>
      </c>
      <c r="N80">
        <v>0</v>
      </c>
      <c r="O80">
        <f>+Tabla__192.168.1.8_POSEIDONSQL_APPFVT_01_tbl_detalle_fill_rate[[#This Row],[emb_cantidad]]-Tabla__192.168.1.8_POSEIDONSQL_APPFVT_01_tbl_detalle_fill_rate[[#This Row],[dev_cantidad]]</f>
        <v>3</v>
      </c>
      <c r="P8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80" s="1">
        <f>+Tabla__192.168.1.8_POSEIDONSQL_APPFVT_01_tbl_detalle_fill_rate[[#This Row],[Cumpl Real Unds]]-Tabla__192.168.1.8_POSEIDONSQL_APPFVT_01_tbl_detalle_fill_rate[[#This Row],[Cant Embarcada]]</f>
        <v>0</v>
      </c>
      <c r="S80" s="1">
        <f>+IF(Tabla__192.168.1.8_POSEIDONSQL_APPFVT_01_tbl_detalle_fill_rate[[#This Row],[Pend Emb]]&gt;0,1,0)</f>
        <v>0</v>
      </c>
      <c r="T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" spans="1:20" x14ac:dyDescent="0.25">
      <c r="A81">
        <v>3</v>
      </c>
      <c r="B81" t="s">
        <v>50</v>
      </c>
      <c r="C81">
        <v>342963</v>
      </c>
      <c r="D81" s="48">
        <v>1</v>
      </c>
      <c r="E81" s="48">
        <v>1</v>
      </c>
      <c r="F81" s="48">
        <v>43343</v>
      </c>
      <c r="G81" t="s">
        <v>132</v>
      </c>
      <c r="H81" t="s">
        <v>133</v>
      </c>
      <c r="I81">
        <v>2</v>
      </c>
      <c r="J81" t="s">
        <v>49</v>
      </c>
      <c r="K81">
        <v>2</v>
      </c>
      <c r="L81">
        <v>2</v>
      </c>
      <c r="M81" t="s">
        <v>1978</v>
      </c>
      <c r="N81">
        <v>0</v>
      </c>
      <c r="O81">
        <f>+Tabla__192.168.1.8_POSEIDONSQL_APPFVT_01_tbl_detalle_fill_rate[[#This Row],[emb_cantidad]]-Tabla__192.168.1.8_POSEIDONSQL_APPFVT_01_tbl_detalle_fill_rate[[#This Row],[dev_cantidad]]</f>
        <v>2</v>
      </c>
      <c r="P8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81" s="1">
        <f>+Tabla__192.168.1.8_POSEIDONSQL_APPFVT_01_tbl_detalle_fill_rate[[#This Row],[Cumpl Real Unds]]-Tabla__192.168.1.8_POSEIDONSQL_APPFVT_01_tbl_detalle_fill_rate[[#This Row],[Cant Embarcada]]</f>
        <v>0</v>
      </c>
      <c r="S81" s="1">
        <f>+IF(Tabla__192.168.1.8_POSEIDONSQL_APPFVT_01_tbl_detalle_fill_rate[[#This Row],[Pend Emb]]&gt;0,1,0)</f>
        <v>0</v>
      </c>
      <c r="T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" spans="1:20" x14ac:dyDescent="0.25">
      <c r="A82">
        <v>3</v>
      </c>
      <c r="B82" t="s">
        <v>50</v>
      </c>
      <c r="C82">
        <v>342963</v>
      </c>
      <c r="D82" s="48">
        <v>1</v>
      </c>
      <c r="E82" s="48">
        <v>1</v>
      </c>
      <c r="F82" s="48">
        <v>43343</v>
      </c>
      <c r="G82" t="s">
        <v>134</v>
      </c>
      <c r="H82" t="s">
        <v>135</v>
      </c>
      <c r="I82">
        <v>1</v>
      </c>
      <c r="J82" t="s">
        <v>49</v>
      </c>
      <c r="K82">
        <v>1</v>
      </c>
      <c r="L82">
        <v>1</v>
      </c>
      <c r="M82" t="s">
        <v>1978</v>
      </c>
      <c r="N82">
        <v>0</v>
      </c>
      <c r="O82">
        <f>+Tabla__192.168.1.8_POSEIDONSQL_APPFVT_01_tbl_detalle_fill_rate[[#This Row],[emb_cantidad]]-Tabla__192.168.1.8_POSEIDONSQL_APPFVT_01_tbl_detalle_fill_rate[[#This Row],[dev_cantidad]]</f>
        <v>1</v>
      </c>
      <c r="P8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" s="1">
        <f>+Tabla__192.168.1.8_POSEIDONSQL_APPFVT_01_tbl_detalle_fill_rate[[#This Row],[Cumpl Real Unds]]-Tabla__192.168.1.8_POSEIDONSQL_APPFVT_01_tbl_detalle_fill_rate[[#This Row],[Cant Embarcada]]</f>
        <v>0</v>
      </c>
      <c r="S82" s="1">
        <f>+IF(Tabla__192.168.1.8_POSEIDONSQL_APPFVT_01_tbl_detalle_fill_rate[[#This Row],[Pend Emb]]&gt;0,1,0)</f>
        <v>0</v>
      </c>
      <c r="T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" spans="1:20" x14ac:dyDescent="0.25">
      <c r="A83">
        <v>3</v>
      </c>
      <c r="B83" t="s">
        <v>50</v>
      </c>
      <c r="C83">
        <v>343685</v>
      </c>
      <c r="D83" s="48">
        <v>43341</v>
      </c>
      <c r="E83" s="48">
        <v>43334</v>
      </c>
      <c r="F83" s="48">
        <v>43350</v>
      </c>
      <c r="G83" t="s">
        <v>92</v>
      </c>
      <c r="H83" t="s">
        <v>93</v>
      </c>
      <c r="I83">
        <v>1</v>
      </c>
      <c r="J83" t="s">
        <v>49</v>
      </c>
      <c r="K83">
        <v>1</v>
      </c>
      <c r="L83">
        <v>1</v>
      </c>
      <c r="M83" t="s">
        <v>162</v>
      </c>
      <c r="N83">
        <v>0</v>
      </c>
      <c r="O83">
        <f>+Tabla__192.168.1.8_POSEIDONSQL_APPFVT_01_tbl_detalle_fill_rate[[#This Row],[emb_cantidad]]-Tabla__192.168.1.8_POSEIDONSQL_APPFVT_01_tbl_detalle_fill_rate[[#This Row],[dev_cantidad]]</f>
        <v>1</v>
      </c>
      <c r="P8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" s="1">
        <f>+Tabla__192.168.1.8_POSEIDONSQL_APPFVT_01_tbl_detalle_fill_rate[[#This Row],[Cumpl Real Unds]]-Tabla__192.168.1.8_POSEIDONSQL_APPFVT_01_tbl_detalle_fill_rate[[#This Row],[Cant Embarcada]]</f>
        <v>0</v>
      </c>
      <c r="S83" s="1">
        <f>+IF(Tabla__192.168.1.8_POSEIDONSQL_APPFVT_01_tbl_detalle_fill_rate[[#This Row],[Pend Emb]]&gt;0,1,0)</f>
        <v>0</v>
      </c>
      <c r="T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" spans="1:20" x14ac:dyDescent="0.25">
      <c r="A84">
        <v>3</v>
      </c>
      <c r="B84" t="s">
        <v>50</v>
      </c>
      <c r="C84">
        <v>344357</v>
      </c>
      <c r="D84" s="48">
        <v>43349</v>
      </c>
      <c r="E84" s="48">
        <v>43347</v>
      </c>
      <c r="F84" s="48">
        <v>43365</v>
      </c>
      <c r="G84" t="s">
        <v>104</v>
      </c>
      <c r="H84" t="s">
        <v>105</v>
      </c>
      <c r="I84">
        <v>1</v>
      </c>
      <c r="J84" t="s">
        <v>49</v>
      </c>
      <c r="K84">
        <v>1</v>
      </c>
      <c r="L84">
        <v>3</v>
      </c>
      <c r="M84" t="s">
        <v>415</v>
      </c>
      <c r="N84">
        <v>2</v>
      </c>
      <c r="O84">
        <f>+Tabla__192.168.1.8_POSEIDONSQL_APPFVT_01_tbl_detalle_fill_rate[[#This Row],[emb_cantidad]]-Tabla__192.168.1.8_POSEIDONSQL_APPFVT_01_tbl_detalle_fill_rate[[#This Row],[dev_cantidad]]</f>
        <v>1</v>
      </c>
      <c r="P8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8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" s="1">
        <f>+Tabla__192.168.1.8_POSEIDONSQL_APPFVT_01_tbl_detalle_fill_rate[[#This Row],[Cumpl Real Unds]]-Tabla__192.168.1.8_POSEIDONSQL_APPFVT_01_tbl_detalle_fill_rate[[#This Row],[Cant Embarcada]]</f>
        <v>0</v>
      </c>
      <c r="S84" s="1">
        <f>+IF(Tabla__192.168.1.8_POSEIDONSQL_APPFVT_01_tbl_detalle_fill_rate[[#This Row],[Pend Emb]]&gt;0,1,0)</f>
        <v>0</v>
      </c>
      <c r="T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" spans="1:20" x14ac:dyDescent="0.25">
      <c r="A85">
        <v>4</v>
      </c>
      <c r="B85" t="s">
        <v>56</v>
      </c>
      <c r="C85">
        <v>9581972</v>
      </c>
      <c r="D85" s="48">
        <v>1</v>
      </c>
      <c r="E85" s="48">
        <v>1</v>
      </c>
      <c r="F85" s="48">
        <v>43341</v>
      </c>
      <c r="G85" t="s">
        <v>446</v>
      </c>
      <c r="H85" t="s">
        <v>447</v>
      </c>
      <c r="I85">
        <v>1</v>
      </c>
      <c r="J85" t="s">
        <v>448</v>
      </c>
      <c r="K85">
        <v>1</v>
      </c>
      <c r="L85">
        <v>1</v>
      </c>
      <c r="M85" t="s">
        <v>1980</v>
      </c>
      <c r="N85">
        <v>0</v>
      </c>
      <c r="O85">
        <f>+Tabla__192.168.1.8_POSEIDONSQL_APPFVT_01_tbl_detalle_fill_rate[[#This Row],[emb_cantidad]]-Tabla__192.168.1.8_POSEIDONSQL_APPFVT_01_tbl_detalle_fill_rate[[#This Row],[dev_cantidad]]</f>
        <v>1</v>
      </c>
      <c r="P8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" s="1">
        <f>+Tabla__192.168.1.8_POSEIDONSQL_APPFVT_01_tbl_detalle_fill_rate[[#This Row],[Cumpl Real Unds]]-Tabla__192.168.1.8_POSEIDONSQL_APPFVT_01_tbl_detalle_fill_rate[[#This Row],[Cant Embarcada]]</f>
        <v>0</v>
      </c>
      <c r="S85" s="1">
        <f>+IF(Tabla__192.168.1.8_POSEIDONSQL_APPFVT_01_tbl_detalle_fill_rate[[#This Row],[Pend Emb]]&gt;0,1,0)</f>
        <v>0</v>
      </c>
      <c r="T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" spans="1:20" x14ac:dyDescent="0.25">
      <c r="A86">
        <v>4</v>
      </c>
      <c r="B86" t="s">
        <v>56</v>
      </c>
      <c r="C86">
        <v>9582365</v>
      </c>
      <c r="D86" s="48">
        <v>1</v>
      </c>
      <c r="E86" s="48">
        <v>1</v>
      </c>
      <c r="F86" s="48">
        <v>43350</v>
      </c>
      <c r="G86" t="s">
        <v>251</v>
      </c>
      <c r="H86" t="s">
        <v>252</v>
      </c>
      <c r="I86">
        <v>1</v>
      </c>
      <c r="J86" t="s">
        <v>1110</v>
      </c>
      <c r="K86">
        <v>1</v>
      </c>
      <c r="L86">
        <v>1</v>
      </c>
      <c r="M86" t="s">
        <v>1962</v>
      </c>
      <c r="N86">
        <v>0</v>
      </c>
      <c r="O86">
        <f>+Tabla__192.168.1.8_POSEIDONSQL_APPFVT_01_tbl_detalle_fill_rate[[#This Row],[emb_cantidad]]-Tabla__192.168.1.8_POSEIDONSQL_APPFVT_01_tbl_detalle_fill_rate[[#This Row],[dev_cantidad]]</f>
        <v>1</v>
      </c>
      <c r="P8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" s="1">
        <f>+Tabla__192.168.1.8_POSEIDONSQL_APPFVT_01_tbl_detalle_fill_rate[[#This Row],[Cumpl Real Unds]]-Tabla__192.168.1.8_POSEIDONSQL_APPFVT_01_tbl_detalle_fill_rate[[#This Row],[Cant Embarcada]]</f>
        <v>0</v>
      </c>
      <c r="S86" s="1">
        <f>+IF(Tabla__192.168.1.8_POSEIDONSQL_APPFVT_01_tbl_detalle_fill_rate[[#This Row],[Pend Emb]]&gt;0,1,0)</f>
        <v>0</v>
      </c>
      <c r="T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" spans="1:20" x14ac:dyDescent="0.25">
      <c r="A87">
        <v>4</v>
      </c>
      <c r="B87" t="s">
        <v>56</v>
      </c>
      <c r="C87">
        <v>9586021</v>
      </c>
      <c r="D87" s="48">
        <v>1</v>
      </c>
      <c r="E87" s="48">
        <v>1</v>
      </c>
      <c r="F87" s="48">
        <v>43350</v>
      </c>
      <c r="G87" t="s">
        <v>90</v>
      </c>
      <c r="H87" t="s">
        <v>91</v>
      </c>
      <c r="I87">
        <v>1</v>
      </c>
      <c r="J87" t="s">
        <v>1111</v>
      </c>
      <c r="K87">
        <v>1</v>
      </c>
      <c r="L87">
        <v>1</v>
      </c>
      <c r="M87" t="s">
        <v>1962</v>
      </c>
      <c r="N87">
        <v>0</v>
      </c>
      <c r="O87">
        <f>+Tabla__192.168.1.8_POSEIDONSQL_APPFVT_01_tbl_detalle_fill_rate[[#This Row],[emb_cantidad]]-Tabla__192.168.1.8_POSEIDONSQL_APPFVT_01_tbl_detalle_fill_rate[[#This Row],[dev_cantidad]]</f>
        <v>1</v>
      </c>
      <c r="P8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" s="1">
        <f>+Tabla__192.168.1.8_POSEIDONSQL_APPFVT_01_tbl_detalle_fill_rate[[#This Row],[Cumpl Real Unds]]-Tabla__192.168.1.8_POSEIDONSQL_APPFVT_01_tbl_detalle_fill_rate[[#This Row],[Cant Embarcada]]</f>
        <v>0</v>
      </c>
      <c r="S87" s="1">
        <f>+IF(Tabla__192.168.1.8_POSEIDONSQL_APPFVT_01_tbl_detalle_fill_rate[[#This Row],[Pend Emb]]&gt;0,1,0)</f>
        <v>0</v>
      </c>
      <c r="T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" spans="1:20" x14ac:dyDescent="0.25">
      <c r="A88">
        <v>4</v>
      </c>
      <c r="B88" t="s">
        <v>56</v>
      </c>
      <c r="C88">
        <v>9591330</v>
      </c>
      <c r="D88" s="48">
        <v>1</v>
      </c>
      <c r="E88" s="48">
        <v>1</v>
      </c>
      <c r="F88" s="48">
        <v>43339</v>
      </c>
      <c r="G88" t="s">
        <v>122</v>
      </c>
      <c r="H88" t="s">
        <v>123</v>
      </c>
      <c r="I88">
        <v>1</v>
      </c>
      <c r="J88" t="s">
        <v>1760</v>
      </c>
      <c r="K88">
        <v>1</v>
      </c>
      <c r="L88">
        <v>1</v>
      </c>
      <c r="M88" t="s">
        <v>1971</v>
      </c>
      <c r="N88">
        <v>0</v>
      </c>
      <c r="O88">
        <f>+Tabla__192.168.1.8_POSEIDONSQL_APPFVT_01_tbl_detalle_fill_rate[[#This Row],[emb_cantidad]]-Tabla__192.168.1.8_POSEIDONSQL_APPFVT_01_tbl_detalle_fill_rate[[#This Row],[dev_cantidad]]</f>
        <v>1</v>
      </c>
      <c r="P8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" s="1">
        <f>+Tabla__192.168.1.8_POSEIDONSQL_APPFVT_01_tbl_detalle_fill_rate[[#This Row],[Cumpl Real Unds]]-Tabla__192.168.1.8_POSEIDONSQL_APPFVT_01_tbl_detalle_fill_rate[[#This Row],[Cant Embarcada]]</f>
        <v>0</v>
      </c>
      <c r="S88" s="1">
        <f>+IF(Tabla__192.168.1.8_POSEIDONSQL_APPFVT_01_tbl_detalle_fill_rate[[#This Row],[Pend Emb]]&gt;0,1,0)</f>
        <v>0</v>
      </c>
      <c r="T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" spans="1:20" x14ac:dyDescent="0.25">
      <c r="A89">
        <v>4</v>
      </c>
      <c r="B89" t="s">
        <v>56</v>
      </c>
      <c r="C89">
        <v>9592937</v>
      </c>
      <c r="D89" s="48">
        <v>1</v>
      </c>
      <c r="E89" s="48">
        <v>1</v>
      </c>
      <c r="F89" s="48">
        <v>43339</v>
      </c>
      <c r="G89" t="s">
        <v>120</v>
      </c>
      <c r="H89" t="s">
        <v>121</v>
      </c>
      <c r="I89">
        <v>1</v>
      </c>
      <c r="J89" t="s">
        <v>1761</v>
      </c>
      <c r="K89">
        <v>1</v>
      </c>
      <c r="L89">
        <v>1</v>
      </c>
      <c r="M89" t="s">
        <v>1971</v>
      </c>
      <c r="N89">
        <v>0</v>
      </c>
      <c r="O89">
        <f>+Tabla__192.168.1.8_POSEIDONSQL_APPFVT_01_tbl_detalle_fill_rate[[#This Row],[emb_cantidad]]-Tabla__192.168.1.8_POSEIDONSQL_APPFVT_01_tbl_detalle_fill_rate[[#This Row],[dev_cantidad]]</f>
        <v>1</v>
      </c>
      <c r="P8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" s="1">
        <f>+Tabla__192.168.1.8_POSEIDONSQL_APPFVT_01_tbl_detalle_fill_rate[[#This Row],[Cumpl Real Unds]]-Tabla__192.168.1.8_POSEIDONSQL_APPFVT_01_tbl_detalle_fill_rate[[#This Row],[Cant Embarcada]]</f>
        <v>0</v>
      </c>
      <c r="S89" s="1">
        <f>+IF(Tabla__192.168.1.8_POSEIDONSQL_APPFVT_01_tbl_detalle_fill_rate[[#This Row],[Pend Emb]]&gt;0,1,0)</f>
        <v>0</v>
      </c>
      <c r="T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" spans="1:20" x14ac:dyDescent="0.25">
      <c r="A90">
        <v>4</v>
      </c>
      <c r="B90" t="s">
        <v>56</v>
      </c>
      <c r="C90">
        <v>9595736</v>
      </c>
      <c r="D90" s="48">
        <v>1</v>
      </c>
      <c r="E90" s="48">
        <v>1</v>
      </c>
      <c r="F90" s="48">
        <v>43343</v>
      </c>
      <c r="G90" t="s">
        <v>347</v>
      </c>
      <c r="H90" t="s">
        <v>348</v>
      </c>
      <c r="I90">
        <v>1</v>
      </c>
      <c r="J90" t="s">
        <v>464</v>
      </c>
      <c r="K90">
        <v>1</v>
      </c>
      <c r="L90">
        <v>1</v>
      </c>
      <c r="M90" t="s">
        <v>1962</v>
      </c>
      <c r="N90">
        <v>0</v>
      </c>
      <c r="O90">
        <f>+Tabla__192.168.1.8_POSEIDONSQL_APPFVT_01_tbl_detalle_fill_rate[[#This Row],[emb_cantidad]]-Tabla__192.168.1.8_POSEIDONSQL_APPFVT_01_tbl_detalle_fill_rate[[#This Row],[dev_cantidad]]</f>
        <v>1</v>
      </c>
      <c r="P9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" s="1">
        <f>+Tabla__192.168.1.8_POSEIDONSQL_APPFVT_01_tbl_detalle_fill_rate[[#This Row],[Cumpl Real Unds]]-Tabla__192.168.1.8_POSEIDONSQL_APPFVT_01_tbl_detalle_fill_rate[[#This Row],[Cant Embarcada]]</f>
        <v>0</v>
      </c>
      <c r="S90" s="1">
        <f>+IF(Tabla__192.168.1.8_POSEIDONSQL_APPFVT_01_tbl_detalle_fill_rate[[#This Row],[Pend Emb]]&gt;0,1,0)</f>
        <v>0</v>
      </c>
      <c r="T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" spans="1:20" x14ac:dyDescent="0.25">
      <c r="A91">
        <v>4</v>
      </c>
      <c r="B91" t="s">
        <v>56</v>
      </c>
      <c r="C91">
        <v>9595770</v>
      </c>
      <c r="D91" s="48">
        <v>1</v>
      </c>
      <c r="E91" s="48">
        <v>1</v>
      </c>
      <c r="F91" s="48">
        <v>43343</v>
      </c>
      <c r="G91" t="s">
        <v>122</v>
      </c>
      <c r="H91" t="s">
        <v>123</v>
      </c>
      <c r="I91">
        <v>1</v>
      </c>
      <c r="J91" t="s">
        <v>468</v>
      </c>
      <c r="K91">
        <v>1</v>
      </c>
      <c r="L91">
        <v>1</v>
      </c>
      <c r="M91" t="s">
        <v>1962</v>
      </c>
      <c r="N91">
        <v>0</v>
      </c>
      <c r="O91">
        <f>+Tabla__192.168.1.8_POSEIDONSQL_APPFVT_01_tbl_detalle_fill_rate[[#This Row],[emb_cantidad]]-Tabla__192.168.1.8_POSEIDONSQL_APPFVT_01_tbl_detalle_fill_rate[[#This Row],[dev_cantidad]]</f>
        <v>1</v>
      </c>
      <c r="P9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" s="1">
        <f>+Tabla__192.168.1.8_POSEIDONSQL_APPFVT_01_tbl_detalle_fill_rate[[#This Row],[Cumpl Real Unds]]-Tabla__192.168.1.8_POSEIDONSQL_APPFVT_01_tbl_detalle_fill_rate[[#This Row],[Cant Embarcada]]</f>
        <v>0</v>
      </c>
      <c r="S91" s="1">
        <f>+IF(Tabla__192.168.1.8_POSEIDONSQL_APPFVT_01_tbl_detalle_fill_rate[[#This Row],[Pend Emb]]&gt;0,1,0)</f>
        <v>0</v>
      </c>
      <c r="T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" spans="1:20" x14ac:dyDescent="0.25">
      <c r="A92">
        <v>4</v>
      </c>
      <c r="B92" t="s">
        <v>56</v>
      </c>
      <c r="C92">
        <v>9626706</v>
      </c>
      <c r="D92" s="48">
        <v>43339</v>
      </c>
      <c r="E92" s="48">
        <v>43337</v>
      </c>
      <c r="F92" s="48">
        <v>43346</v>
      </c>
      <c r="G92" t="s">
        <v>1099</v>
      </c>
      <c r="H92" t="s">
        <v>1100</v>
      </c>
      <c r="I92">
        <v>1</v>
      </c>
      <c r="J92" t="s">
        <v>1101</v>
      </c>
      <c r="K92">
        <v>1</v>
      </c>
      <c r="L92">
        <v>1</v>
      </c>
      <c r="M92" t="s">
        <v>1962</v>
      </c>
      <c r="N92">
        <v>0</v>
      </c>
      <c r="O92">
        <f>+Tabla__192.168.1.8_POSEIDONSQL_APPFVT_01_tbl_detalle_fill_rate[[#This Row],[emb_cantidad]]-Tabla__192.168.1.8_POSEIDONSQL_APPFVT_01_tbl_detalle_fill_rate[[#This Row],[dev_cantidad]]</f>
        <v>1</v>
      </c>
      <c r="P9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" s="1">
        <f>+Tabla__192.168.1.8_POSEIDONSQL_APPFVT_01_tbl_detalle_fill_rate[[#This Row],[Cumpl Real Unds]]-Tabla__192.168.1.8_POSEIDONSQL_APPFVT_01_tbl_detalle_fill_rate[[#This Row],[Cant Embarcada]]</f>
        <v>0</v>
      </c>
      <c r="S92" s="1">
        <f>+IF(Tabla__192.168.1.8_POSEIDONSQL_APPFVT_01_tbl_detalle_fill_rate[[#This Row],[Pend Emb]]&gt;0,1,0)</f>
        <v>0</v>
      </c>
      <c r="T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" spans="1:20" x14ac:dyDescent="0.25">
      <c r="A93">
        <v>4</v>
      </c>
      <c r="B93" t="s">
        <v>56</v>
      </c>
      <c r="C93">
        <v>9626844</v>
      </c>
      <c r="D93" s="48">
        <v>43339</v>
      </c>
      <c r="E93" s="48">
        <v>43337</v>
      </c>
      <c r="F93" s="48">
        <v>43343</v>
      </c>
      <c r="G93" t="s">
        <v>232</v>
      </c>
      <c r="H93" t="s">
        <v>233</v>
      </c>
      <c r="I93">
        <v>1</v>
      </c>
      <c r="J93" t="s">
        <v>492</v>
      </c>
      <c r="K93">
        <v>1</v>
      </c>
      <c r="L93">
        <v>1</v>
      </c>
      <c r="M93" t="s">
        <v>1962</v>
      </c>
      <c r="N93">
        <v>0</v>
      </c>
      <c r="O93">
        <f>+Tabla__192.168.1.8_POSEIDONSQL_APPFVT_01_tbl_detalle_fill_rate[[#This Row],[emb_cantidad]]-Tabla__192.168.1.8_POSEIDONSQL_APPFVT_01_tbl_detalle_fill_rate[[#This Row],[dev_cantidad]]</f>
        <v>1</v>
      </c>
      <c r="P9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3" s="1">
        <f>+Tabla__192.168.1.8_POSEIDONSQL_APPFVT_01_tbl_detalle_fill_rate[[#This Row],[Cumpl Real Unds]]-Tabla__192.168.1.8_POSEIDONSQL_APPFVT_01_tbl_detalle_fill_rate[[#This Row],[Cant Embarcada]]</f>
        <v>0</v>
      </c>
      <c r="S93" s="1">
        <f>+IF(Tabla__192.168.1.8_POSEIDONSQL_APPFVT_01_tbl_detalle_fill_rate[[#This Row],[Pend Emb]]&gt;0,1,0)</f>
        <v>0</v>
      </c>
      <c r="T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" spans="1:20" x14ac:dyDescent="0.25">
      <c r="A94">
        <v>4</v>
      </c>
      <c r="B94" t="s">
        <v>56</v>
      </c>
      <c r="C94">
        <v>9626848</v>
      </c>
      <c r="D94" s="48">
        <v>43339</v>
      </c>
      <c r="E94" s="48">
        <v>43337</v>
      </c>
      <c r="F94" s="48">
        <v>43343</v>
      </c>
      <c r="G94" t="s">
        <v>446</v>
      </c>
      <c r="H94" t="s">
        <v>447</v>
      </c>
      <c r="I94">
        <v>1</v>
      </c>
      <c r="J94" t="s">
        <v>493</v>
      </c>
      <c r="K94">
        <v>1</v>
      </c>
      <c r="L94">
        <v>1</v>
      </c>
      <c r="M94" t="s">
        <v>1962</v>
      </c>
      <c r="N94">
        <v>0</v>
      </c>
      <c r="O94">
        <f>+Tabla__192.168.1.8_POSEIDONSQL_APPFVT_01_tbl_detalle_fill_rate[[#This Row],[emb_cantidad]]-Tabla__192.168.1.8_POSEIDONSQL_APPFVT_01_tbl_detalle_fill_rate[[#This Row],[dev_cantidad]]</f>
        <v>1</v>
      </c>
      <c r="P9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" s="1">
        <f>+Tabla__192.168.1.8_POSEIDONSQL_APPFVT_01_tbl_detalle_fill_rate[[#This Row],[Cumpl Real Unds]]-Tabla__192.168.1.8_POSEIDONSQL_APPFVT_01_tbl_detalle_fill_rate[[#This Row],[Cant Embarcada]]</f>
        <v>0</v>
      </c>
      <c r="S94" s="1">
        <f>+IF(Tabla__192.168.1.8_POSEIDONSQL_APPFVT_01_tbl_detalle_fill_rate[[#This Row],[Pend Emb]]&gt;0,1,0)</f>
        <v>0</v>
      </c>
      <c r="T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" spans="1:20" x14ac:dyDescent="0.25">
      <c r="A95">
        <v>4</v>
      </c>
      <c r="B95" t="s">
        <v>56</v>
      </c>
      <c r="C95">
        <v>9627244</v>
      </c>
      <c r="D95" s="48">
        <v>43339</v>
      </c>
      <c r="E95" s="48">
        <v>43337</v>
      </c>
      <c r="F95" s="48">
        <v>43346</v>
      </c>
      <c r="G95" t="s">
        <v>90</v>
      </c>
      <c r="H95" t="s">
        <v>91</v>
      </c>
      <c r="I95">
        <v>1</v>
      </c>
      <c r="J95" t="s">
        <v>1102</v>
      </c>
      <c r="K95">
        <v>1</v>
      </c>
      <c r="L95">
        <v>1</v>
      </c>
      <c r="M95" t="s">
        <v>1962</v>
      </c>
      <c r="N95">
        <v>0</v>
      </c>
      <c r="O95">
        <f>+Tabla__192.168.1.8_POSEIDONSQL_APPFVT_01_tbl_detalle_fill_rate[[#This Row],[emb_cantidad]]-Tabla__192.168.1.8_POSEIDONSQL_APPFVT_01_tbl_detalle_fill_rate[[#This Row],[dev_cantidad]]</f>
        <v>1</v>
      </c>
      <c r="P9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" s="1">
        <f>+Tabla__192.168.1.8_POSEIDONSQL_APPFVT_01_tbl_detalle_fill_rate[[#This Row],[Cumpl Real Unds]]-Tabla__192.168.1.8_POSEIDONSQL_APPFVT_01_tbl_detalle_fill_rate[[#This Row],[Cant Embarcada]]</f>
        <v>0</v>
      </c>
      <c r="S95" s="1">
        <f>+IF(Tabla__192.168.1.8_POSEIDONSQL_APPFVT_01_tbl_detalle_fill_rate[[#This Row],[Pend Emb]]&gt;0,1,0)</f>
        <v>0</v>
      </c>
      <c r="T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" spans="1:20" x14ac:dyDescent="0.25">
      <c r="A96">
        <v>4</v>
      </c>
      <c r="B96" t="s">
        <v>56</v>
      </c>
      <c r="C96">
        <v>9627652</v>
      </c>
      <c r="D96" s="48">
        <v>43339</v>
      </c>
      <c r="E96" s="48">
        <v>43337</v>
      </c>
      <c r="F96" s="48">
        <v>43343</v>
      </c>
      <c r="G96" t="s">
        <v>90</v>
      </c>
      <c r="H96" t="s">
        <v>91</v>
      </c>
      <c r="I96">
        <v>1</v>
      </c>
      <c r="J96" t="s">
        <v>494</v>
      </c>
      <c r="K96">
        <v>1</v>
      </c>
      <c r="L96">
        <v>1</v>
      </c>
      <c r="M96" t="s">
        <v>1962</v>
      </c>
      <c r="N96">
        <v>0</v>
      </c>
      <c r="O96">
        <f>+Tabla__192.168.1.8_POSEIDONSQL_APPFVT_01_tbl_detalle_fill_rate[[#This Row],[emb_cantidad]]-Tabla__192.168.1.8_POSEIDONSQL_APPFVT_01_tbl_detalle_fill_rate[[#This Row],[dev_cantidad]]</f>
        <v>1</v>
      </c>
      <c r="P9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" s="1">
        <f>+Tabla__192.168.1.8_POSEIDONSQL_APPFVT_01_tbl_detalle_fill_rate[[#This Row],[Cumpl Real Unds]]-Tabla__192.168.1.8_POSEIDONSQL_APPFVT_01_tbl_detalle_fill_rate[[#This Row],[Cant Embarcada]]</f>
        <v>0</v>
      </c>
      <c r="S96" s="1">
        <f>+IF(Tabla__192.168.1.8_POSEIDONSQL_APPFVT_01_tbl_detalle_fill_rate[[#This Row],[Pend Emb]]&gt;0,1,0)</f>
        <v>0</v>
      </c>
      <c r="T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" spans="1:20" x14ac:dyDescent="0.25">
      <c r="A97">
        <v>4</v>
      </c>
      <c r="B97" t="s">
        <v>56</v>
      </c>
      <c r="C97">
        <v>9628204</v>
      </c>
      <c r="D97" s="48">
        <v>43339</v>
      </c>
      <c r="E97" s="48">
        <v>43338</v>
      </c>
      <c r="F97" s="48">
        <v>43343</v>
      </c>
      <c r="G97" t="s">
        <v>78</v>
      </c>
      <c r="H97" t="s">
        <v>79</v>
      </c>
      <c r="I97">
        <v>1</v>
      </c>
      <c r="J97" t="s">
        <v>485</v>
      </c>
      <c r="K97">
        <v>1</v>
      </c>
      <c r="L97">
        <v>1</v>
      </c>
      <c r="M97" t="s">
        <v>1962</v>
      </c>
      <c r="N97">
        <v>0</v>
      </c>
      <c r="O97">
        <f>+Tabla__192.168.1.8_POSEIDONSQL_APPFVT_01_tbl_detalle_fill_rate[[#This Row],[emb_cantidad]]-Tabla__192.168.1.8_POSEIDONSQL_APPFVT_01_tbl_detalle_fill_rate[[#This Row],[dev_cantidad]]</f>
        <v>1</v>
      </c>
      <c r="P9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" s="1">
        <f>+Tabla__192.168.1.8_POSEIDONSQL_APPFVT_01_tbl_detalle_fill_rate[[#This Row],[Cumpl Real Unds]]-Tabla__192.168.1.8_POSEIDONSQL_APPFVT_01_tbl_detalle_fill_rate[[#This Row],[Cant Embarcada]]</f>
        <v>0</v>
      </c>
      <c r="S97" s="1">
        <f>+IF(Tabla__192.168.1.8_POSEIDONSQL_APPFVT_01_tbl_detalle_fill_rate[[#This Row],[Pend Emb]]&gt;0,1,0)</f>
        <v>0</v>
      </c>
      <c r="T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" spans="1:20" x14ac:dyDescent="0.25">
      <c r="A98">
        <v>4</v>
      </c>
      <c r="B98" t="s">
        <v>56</v>
      </c>
      <c r="C98">
        <v>9628354</v>
      </c>
      <c r="D98" s="48">
        <v>43339</v>
      </c>
      <c r="E98" s="48">
        <v>43338</v>
      </c>
      <c r="F98" s="48">
        <v>43343</v>
      </c>
      <c r="G98" t="s">
        <v>461</v>
      </c>
      <c r="H98" t="s">
        <v>462</v>
      </c>
      <c r="I98">
        <v>1</v>
      </c>
      <c r="J98" t="s">
        <v>486</v>
      </c>
      <c r="K98">
        <v>1</v>
      </c>
      <c r="L98">
        <v>1</v>
      </c>
      <c r="M98" t="s">
        <v>1962</v>
      </c>
      <c r="N98">
        <v>0</v>
      </c>
      <c r="O98">
        <f>+Tabla__192.168.1.8_POSEIDONSQL_APPFVT_01_tbl_detalle_fill_rate[[#This Row],[emb_cantidad]]-Tabla__192.168.1.8_POSEIDONSQL_APPFVT_01_tbl_detalle_fill_rate[[#This Row],[dev_cantidad]]</f>
        <v>1</v>
      </c>
      <c r="P9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8" s="1">
        <f>+Tabla__192.168.1.8_POSEIDONSQL_APPFVT_01_tbl_detalle_fill_rate[[#This Row],[Cumpl Real Unds]]-Tabla__192.168.1.8_POSEIDONSQL_APPFVT_01_tbl_detalle_fill_rate[[#This Row],[Cant Embarcada]]</f>
        <v>0</v>
      </c>
      <c r="S98" s="1">
        <f>+IF(Tabla__192.168.1.8_POSEIDONSQL_APPFVT_01_tbl_detalle_fill_rate[[#This Row],[Pend Emb]]&gt;0,1,0)</f>
        <v>0</v>
      </c>
      <c r="T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" spans="1:20" x14ac:dyDescent="0.25">
      <c r="A99">
        <v>4</v>
      </c>
      <c r="B99" t="s">
        <v>56</v>
      </c>
      <c r="C99">
        <v>9628551</v>
      </c>
      <c r="D99" s="48">
        <v>43339</v>
      </c>
      <c r="E99" s="48">
        <v>43338</v>
      </c>
      <c r="F99" s="48">
        <v>43343</v>
      </c>
      <c r="G99" t="s">
        <v>90</v>
      </c>
      <c r="H99" t="s">
        <v>91</v>
      </c>
      <c r="I99">
        <v>1</v>
      </c>
      <c r="J99" t="s">
        <v>487</v>
      </c>
      <c r="K99">
        <v>1</v>
      </c>
      <c r="L99">
        <v>1</v>
      </c>
      <c r="M99" t="s">
        <v>1962</v>
      </c>
      <c r="N99">
        <v>0</v>
      </c>
      <c r="O99">
        <f>+Tabla__192.168.1.8_POSEIDONSQL_APPFVT_01_tbl_detalle_fill_rate[[#This Row],[emb_cantidad]]-Tabla__192.168.1.8_POSEIDONSQL_APPFVT_01_tbl_detalle_fill_rate[[#This Row],[dev_cantidad]]</f>
        <v>1</v>
      </c>
      <c r="P9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" s="1">
        <f>+Tabla__192.168.1.8_POSEIDONSQL_APPFVT_01_tbl_detalle_fill_rate[[#This Row],[Cumpl Real Unds]]-Tabla__192.168.1.8_POSEIDONSQL_APPFVT_01_tbl_detalle_fill_rate[[#This Row],[Cant Embarcada]]</f>
        <v>0</v>
      </c>
      <c r="S99" s="1">
        <f>+IF(Tabla__192.168.1.8_POSEIDONSQL_APPFVT_01_tbl_detalle_fill_rate[[#This Row],[Pend Emb]]&gt;0,1,0)</f>
        <v>0</v>
      </c>
      <c r="T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" spans="1:20" x14ac:dyDescent="0.25">
      <c r="A100">
        <v>4</v>
      </c>
      <c r="B100" t="s">
        <v>56</v>
      </c>
      <c r="C100">
        <v>9629074</v>
      </c>
      <c r="D100" s="48">
        <v>43339</v>
      </c>
      <c r="E100" s="48">
        <v>43338</v>
      </c>
      <c r="F100" s="48">
        <v>43343</v>
      </c>
      <c r="G100" t="s">
        <v>104</v>
      </c>
      <c r="H100" t="s">
        <v>105</v>
      </c>
      <c r="I100">
        <v>1</v>
      </c>
      <c r="J100" t="s">
        <v>488</v>
      </c>
      <c r="K100">
        <v>1</v>
      </c>
      <c r="L100">
        <v>1</v>
      </c>
      <c r="M100" t="s">
        <v>1962</v>
      </c>
      <c r="N100">
        <v>0</v>
      </c>
      <c r="O100">
        <f>+Tabla__192.168.1.8_POSEIDONSQL_APPFVT_01_tbl_detalle_fill_rate[[#This Row],[emb_cantidad]]-Tabla__192.168.1.8_POSEIDONSQL_APPFVT_01_tbl_detalle_fill_rate[[#This Row],[dev_cantidad]]</f>
        <v>1</v>
      </c>
      <c r="P10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" s="1">
        <f>+Tabla__192.168.1.8_POSEIDONSQL_APPFVT_01_tbl_detalle_fill_rate[[#This Row],[Cumpl Real Unds]]-Tabla__192.168.1.8_POSEIDONSQL_APPFVT_01_tbl_detalle_fill_rate[[#This Row],[Cant Embarcada]]</f>
        <v>0</v>
      </c>
      <c r="S100" s="1">
        <f>+IF(Tabla__192.168.1.8_POSEIDONSQL_APPFVT_01_tbl_detalle_fill_rate[[#This Row],[Pend Emb]]&gt;0,1,0)</f>
        <v>0</v>
      </c>
      <c r="T1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" spans="1:20" x14ac:dyDescent="0.25">
      <c r="A101">
        <v>4</v>
      </c>
      <c r="B101" t="s">
        <v>56</v>
      </c>
      <c r="C101">
        <v>9629309</v>
      </c>
      <c r="D101" s="48">
        <v>43339</v>
      </c>
      <c r="E101" s="48">
        <v>43338</v>
      </c>
      <c r="F101" s="48">
        <v>43343</v>
      </c>
      <c r="G101" t="s">
        <v>124</v>
      </c>
      <c r="H101" t="s">
        <v>125</v>
      </c>
      <c r="I101">
        <v>1</v>
      </c>
      <c r="J101" t="s">
        <v>489</v>
      </c>
      <c r="K101">
        <v>1</v>
      </c>
      <c r="L101">
        <v>1</v>
      </c>
      <c r="M101" t="s">
        <v>1962</v>
      </c>
      <c r="N101">
        <v>0</v>
      </c>
      <c r="O101">
        <f>+Tabla__192.168.1.8_POSEIDONSQL_APPFVT_01_tbl_detalle_fill_rate[[#This Row],[emb_cantidad]]-Tabla__192.168.1.8_POSEIDONSQL_APPFVT_01_tbl_detalle_fill_rate[[#This Row],[dev_cantidad]]</f>
        <v>1</v>
      </c>
      <c r="P10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1" s="1">
        <f>+Tabla__192.168.1.8_POSEIDONSQL_APPFVT_01_tbl_detalle_fill_rate[[#This Row],[Cumpl Real Unds]]-Tabla__192.168.1.8_POSEIDONSQL_APPFVT_01_tbl_detalle_fill_rate[[#This Row],[Cant Embarcada]]</f>
        <v>0</v>
      </c>
      <c r="S101" s="1">
        <f>+IF(Tabla__192.168.1.8_POSEIDONSQL_APPFVT_01_tbl_detalle_fill_rate[[#This Row],[Pend Emb]]&gt;0,1,0)</f>
        <v>0</v>
      </c>
      <c r="T1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" spans="1:20" x14ac:dyDescent="0.25">
      <c r="A102">
        <v>4</v>
      </c>
      <c r="B102" t="s">
        <v>56</v>
      </c>
      <c r="C102">
        <v>9630124</v>
      </c>
      <c r="D102" s="48">
        <v>43339</v>
      </c>
      <c r="E102" s="48">
        <v>43339</v>
      </c>
      <c r="F102" s="48">
        <v>43343</v>
      </c>
      <c r="G102" t="s">
        <v>170</v>
      </c>
      <c r="H102" t="s">
        <v>171</v>
      </c>
      <c r="I102">
        <v>1</v>
      </c>
      <c r="J102" t="s">
        <v>490</v>
      </c>
      <c r="K102">
        <v>1</v>
      </c>
      <c r="L102">
        <v>1</v>
      </c>
      <c r="M102" t="s">
        <v>1962</v>
      </c>
      <c r="N102">
        <v>0</v>
      </c>
      <c r="O102">
        <f>+Tabla__192.168.1.8_POSEIDONSQL_APPFVT_01_tbl_detalle_fill_rate[[#This Row],[emb_cantidad]]-Tabla__192.168.1.8_POSEIDONSQL_APPFVT_01_tbl_detalle_fill_rate[[#This Row],[dev_cantidad]]</f>
        <v>1</v>
      </c>
      <c r="P10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" s="1">
        <f>+Tabla__192.168.1.8_POSEIDONSQL_APPFVT_01_tbl_detalle_fill_rate[[#This Row],[Cumpl Real Unds]]-Tabla__192.168.1.8_POSEIDONSQL_APPFVT_01_tbl_detalle_fill_rate[[#This Row],[Cant Embarcada]]</f>
        <v>0</v>
      </c>
      <c r="S102" s="1">
        <f>+IF(Tabla__192.168.1.8_POSEIDONSQL_APPFVT_01_tbl_detalle_fill_rate[[#This Row],[Pend Emb]]&gt;0,1,0)</f>
        <v>0</v>
      </c>
      <c r="T1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" spans="1:20" x14ac:dyDescent="0.25">
      <c r="A103">
        <v>4</v>
      </c>
      <c r="B103" t="s">
        <v>56</v>
      </c>
      <c r="C103">
        <v>9630175</v>
      </c>
      <c r="D103" s="48">
        <v>43339</v>
      </c>
      <c r="E103" s="48">
        <v>43339</v>
      </c>
      <c r="F103" s="48">
        <v>43343</v>
      </c>
      <c r="G103" t="s">
        <v>120</v>
      </c>
      <c r="H103" t="s">
        <v>121</v>
      </c>
      <c r="I103">
        <v>1</v>
      </c>
      <c r="J103" t="s">
        <v>483</v>
      </c>
      <c r="K103">
        <v>1</v>
      </c>
      <c r="L103">
        <v>1</v>
      </c>
      <c r="M103" t="s">
        <v>1962</v>
      </c>
      <c r="N103">
        <v>0</v>
      </c>
      <c r="O103">
        <f>+Tabla__192.168.1.8_POSEIDONSQL_APPFVT_01_tbl_detalle_fill_rate[[#This Row],[emb_cantidad]]-Tabla__192.168.1.8_POSEIDONSQL_APPFVT_01_tbl_detalle_fill_rate[[#This Row],[dev_cantidad]]</f>
        <v>1</v>
      </c>
      <c r="P10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" s="1">
        <f>+Tabla__192.168.1.8_POSEIDONSQL_APPFVT_01_tbl_detalle_fill_rate[[#This Row],[Cumpl Real Unds]]-Tabla__192.168.1.8_POSEIDONSQL_APPFVT_01_tbl_detalle_fill_rate[[#This Row],[Cant Embarcada]]</f>
        <v>0</v>
      </c>
      <c r="S103" s="1">
        <f>+IF(Tabla__192.168.1.8_POSEIDONSQL_APPFVT_01_tbl_detalle_fill_rate[[#This Row],[Pend Emb]]&gt;0,1,0)</f>
        <v>0</v>
      </c>
      <c r="T1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" spans="1:20" x14ac:dyDescent="0.25">
      <c r="A104">
        <v>4</v>
      </c>
      <c r="B104" t="s">
        <v>56</v>
      </c>
      <c r="C104">
        <v>9630226</v>
      </c>
      <c r="D104" s="48">
        <v>43339</v>
      </c>
      <c r="E104" s="48">
        <v>43339</v>
      </c>
      <c r="F104" s="48">
        <v>43343</v>
      </c>
      <c r="G104" t="s">
        <v>76</v>
      </c>
      <c r="H104" t="s">
        <v>77</v>
      </c>
      <c r="I104">
        <v>1</v>
      </c>
      <c r="J104" t="s">
        <v>484</v>
      </c>
      <c r="K104">
        <v>1</v>
      </c>
      <c r="L104">
        <v>1</v>
      </c>
      <c r="M104" t="s">
        <v>1962</v>
      </c>
      <c r="N104">
        <v>0</v>
      </c>
      <c r="O104">
        <f>+Tabla__192.168.1.8_POSEIDONSQL_APPFVT_01_tbl_detalle_fill_rate[[#This Row],[emb_cantidad]]-Tabla__192.168.1.8_POSEIDONSQL_APPFVT_01_tbl_detalle_fill_rate[[#This Row],[dev_cantidad]]</f>
        <v>1</v>
      </c>
      <c r="P10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" s="1">
        <f>+Tabla__192.168.1.8_POSEIDONSQL_APPFVT_01_tbl_detalle_fill_rate[[#This Row],[Cumpl Real Unds]]-Tabla__192.168.1.8_POSEIDONSQL_APPFVT_01_tbl_detalle_fill_rate[[#This Row],[Cant Embarcada]]</f>
        <v>0</v>
      </c>
      <c r="S104" s="1">
        <f>+IF(Tabla__192.168.1.8_POSEIDONSQL_APPFVT_01_tbl_detalle_fill_rate[[#This Row],[Pend Emb]]&gt;0,1,0)</f>
        <v>0</v>
      </c>
      <c r="T1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" spans="1:20" x14ac:dyDescent="0.25">
      <c r="A105">
        <v>4</v>
      </c>
      <c r="B105" t="s">
        <v>56</v>
      </c>
      <c r="C105">
        <v>9631247</v>
      </c>
      <c r="D105" s="48">
        <v>43340</v>
      </c>
      <c r="E105" s="48">
        <v>43339</v>
      </c>
      <c r="F105" s="48">
        <v>43350</v>
      </c>
      <c r="G105" t="s">
        <v>94</v>
      </c>
      <c r="H105" t="s">
        <v>95</v>
      </c>
      <c r="I105">
        <v>1</v>
      </c>
      <c r="J105" t="s">
        <v>1383</v>
      </c>
      <c r="K105">
        <v>1</v>
      </c>
      <c r="L105">
        <v>1</v>
      </c>
      <c r="M105" t="s">
        <v>1962</v>
      </c>
      <c r="N105">
        <v>0</v>
      </c>
      <c r="O105">
        <f>+Tabla__192.168.1.8_POSEIDONSQL_APPFVT_01_tbl_detalle_fill_rate[[#This Row],[emb_cantidad]]-Tabla__192.168.1.8_POSEIDONSQL_APPFVT_01_tbl_detalle_fill_rate[[#This Row],[dev_cantidad]]</f>
        <v>1</v>
      </c>
      <c r="P10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" s="1">
        <f>+Tabla__192.168.1.8_POSEIDONSQL_APPFVT_01_tbl_detalle_fill_rate[[#This Row],[Cumpl Real Unds]]-Tabla__192.168.1.8_POSEIDONSQL_APPFVT_01_tbl_detalle_fill_rate[[#This Row],[Cant Embarcada]]</f>
        <v>0</v>
      </c>
      <c r="S105" s="1">
        <f>+IF(Tabla__192.168.1.8_POSEIDONSQL_APPFVT_01_tbl_detalle_fill_rate[[#This Row],[Pend Emb]]&gt;0,1,0)</f>
        <v>0</v>
      </c>
      <c r="T1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" spans="1:20" x14ac:dyDescent="0.25">
      <c r="A106">
        <v>4</v>
      </c>
      <c r="B106" t="s">
        <v>56</v>
      </c>
      <c r="C106">
        <v>9631389</v>
      </c>
      <c r="D106" s="48">
        <v>43340</v>
      </c>
      <c r="E106" s="48">
        <v>43339</v>
      </c>
      <c r="F106" s="48">
        <v>43343</v>
      </c>
      <c r="G106" t="s">
        <v>118</v>
      </c>
      <c r="H106" t="s">
        <v>119</v>
      </c>
      <c r="I106">
        <v>1</v>
      </c>
      <c r="J106" t="s">
        <v>1234</v>
      </c>
      <c r="K106">
        <v>1</v>
      </c>
      <c r="L106">
        <v>1</v>
      </c>
      <c r="M106" t="s">
        <v>1962</v>
      </c>
      <c r="N106">
        <v>0</v>
      </c>
      <c r="O106">
        <f>+Tabla__192.168.1.8_POSEIDONSQL_APPFVT_01_tbl_detalle_fill_rate[[#This Row],[emb_cantidad]]-Tabla__192.168.1.8_POSEIDONSQL_APPFVT_01_tbl_detalle_fill_rate[[#This Row],[dev_cantidad]]</f>
        <v>1</v>
      </c>
      <c r="P10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" s="1">
        <f>+Tabla__192.168.1.8_POSEIDONSQL_APPFVT_01_tbl_detalle_fill_rate[[#This Row],[Cumpl Real Unds]]-Tabla__192.168.1.8_POSEIDONSQL_APPFVT_01_tbl_detalle_fill_rate[[#This Row],[Cant Embarcada]]</f>
        <v>0</v>
      </c>
      <c r="S106" s="1">
        <f>+IF(Tabla__192.168.1.8_POSEIDONSQL_APPFVT_01_tbl_detalle_fill_rate[[#This Row],[Pend Emb]]&gt;0,1,0)</f>
        <v>0</v>
      </c>
      <c r="T1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" spans="1:20" x14ac:dyDescent="0.25">
      <c r="A107">
        <v>4</v>
      </c>
      <c r="B107" t="s">
        <v>56</v>
      </c>
      <c r="C107">
        <v>9631838</v>
      </c>
      <c r="D107" s="48">
        <v>43340</v>
      </c>
      <c r="E107" s="48">
        <v>43339</v>
      </c>
      <c r="F107" s="48">
        <v>43343</v>
      </c>
      <c r="G107" t="s">
        <v>461</v>
      </c>
      <c r="H107" t="s">
        <v>462</v>
      </c>
      <c r="I107">
        <v>1</v>
      </c>
      <c r="J107" t="s">
        <v>1235</v>
      </c>
      <c r="K107">
        <v>1</v>
      </c>
      <c r="L107">
        <v>1</v>
      </c>
      <c r="M107" t="s">
        <v>1962</v>
      </c>
      <c r="N107">
        <v>0</v>
      </c>
      <c r="O107">
        <f>+Tabla__192.168.1.8_POSEIDONSQL_APPFVT_01_tbl_detalle_fill_rate[[#This Row],[emb_cantidad]]-Tabla__192.168.1.8_POSEIDONSQL_APPFVT_01_tbl_detalle_fill_rate[[#This Row],[dev_cantidad]]</f>
        <v>1</v>
      </c>
      <c r="P10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" s="1">
        <f>+Tabla__192.168.1.8_POSEIDONSQL_APPFVT_01_tbl_detalle_fill_rate[[#This Row],[Cumpl Real Unds]]-Tabla__192.168.1.8_POSEIDONSQL_APPFVT_01_tbl_detalle_fill_rate[[#This Row],[Cant Embarcada]]</f>
        <v>0</v>
      </c>
      <c r="S107" s="1">
        <f>+IF(Tabla__192.168.1.8_POSEIDONSQL_APPFVT_01_tbl_detalle_fill_rate[[#This Row],[Pend Emb]]&gt;0,1,0)</f>
        <v>0</v>
      </c>
      <c r="T1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" spans="1:20" x14ac:dyDescent="0.25">
      <c r="A108">
        <v>4</v>
      </c>
      <c r="B108" t="s">
        <v>56</v>
      </c>
      <c r="C108">
        <v>9632357</v>
      </c>
      <c r="D108" s="48">
        <v>43340</v>
      </c>
      <c r="E108" s="48">
        <v>43339</v>
      </c>
      <c r="F108" s="48">
        <v>43346</v>
      </c>
      <c r="G108" t="s">
        <v>538</v>
      </c>
      <c r="H108" t="s">
        <v>539</v>
      </c>
      <c r="I108">
        <v>1</v>
      </c>
      <c r="J108" t="s">
        <v>1381</v>
      </c>
      <c r="K108">
        <v>1</v>
      </c>
      <c r="L108">
        <v>1</v>
      </c>
      <c r="M108" t="s">
        <v>1962</v>
      </c>
      <c r="N108">
        <v>0</v>
      </c>
      <c r="O108">
        <f>+Tabla__192.168.1.8_POSEIDONSQL_APPFVT_01_tbl_detalle_fill_rate[[#This Row],[emb_cantidad]]-Tabla__192.168.1.8_POSEIDONSQL_APPFVT_01_tbl_detalle_fill_rate[[#This Row],[dev_cantidad]]</f>
        <v>1</v>
      </c>
      <c r="P10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" s="1">
        <f>+Tabla__192.168.1.8_POSEIDONSQL_APPFVT_01_tbl_detalle_fill_rate[[#This Row],[Cumpl Real Unds]]-Tabla__192.168.1.8_POSEIDONSQL_APPFVT_01_tbl_detalle_fill_rate[[#This Row],[Cant Embarcada]]</f>
        <v>0</v>
      </c>
      <c r="S108" s="1">
        <f>+IF(Tabla__192.168.1.8_POSEIDONSQL_APPFVT_01_tbl_detalle_fill_rate[[#This Row],[Pend Emb]]&gt;0,1,0)</f>
        <v>0</v>
      </c>
      <c r="T1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" spans="1:20" x14ac:dyDescent="0.25">
      <c r="A109">
        <v>4</v>
      </c>
      <c r="B109" t="s">
        <v>56</v>
      </c>
      <c r="C109">
        <v>9632788</v>
      </c>
      <c r="D109" s="48">
        <v>43340</v>
      </c>
      <c r="E109" s="48">
        <v>43339</v>
      </c>
      <c r="F109" s="48">
        <v>43346</v>
      </c>
      <c r="G109" t="s">
        <v>62</v>
      </c>
      <c r="H109" t="s">
        <v>63</v>
      </c>
      <c r="I109">
        <v>1</v>
      </c>
      <c r="J109" t="s">
        <v>1242</v>
      </c>
      <c r="K109">
        <v>1</v>
      </c>
      <c r="L109">
        <v>1</v>
      </c>
      <c r="M109" t="s">
        <v>1962</v>
      </c>
      <c r="N109">
        <v>0</v>
      </c>
      <c r="O109">
        <f>+Tabla__192.168.1.8_POSEIDONSQL_APPFVT_01_tbl_detalle_fill_rate[[#This Row],[emb_cantidad]]-Tabla__192.168.1.8_POSEIDONSQL_APPFVT_01_tbl_detalle_fill_rate[[#This Row],[dev_cantidad]]</f>
        <v>1</v>
      </c>
      <c r="P10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" s="1">
        <f>+Tabla__192.168.1.8_POSEIDONSQL_APPFVT_01_tbl_detalle_fill_rate[[#This Row],[Cumpl Real Unds]]-Tabla__192.168.1.8_POSEIDONSQL_APPFVT_01_tbl_detalle_fill_rate[[#This Row],[Cant Embarcada]]</f>
        <v>0</v>
      </c>
      <c r="S109" s="1">
        <f>+IF(Tabla__192.168.1.8_POSEIDONSQL_APPFVT_01_tbl_detalle_fill_rate[[#This Row],[Pend Emb]]&gt;0,1,0)</f>
        <v>0</v>
      </c>
      <c r="T1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" spans="1:20" x14ac:dyDescent="0.25">
      <c r="A110">
        <v>4</v>
      </c>
      <c r="B110" t="s">
        <v>56</v>
      </c>
      <c r="C110">
        <v>9632855</v>
      </c>
      <c r="D110" s="48">
        <v>43340</v>
      </c>
      <c r="E110" s="48">
        <v>43339</v>
      </c>
      <c r="F110" s="48">
        <v>43346</v>
      </c>
      <c r="G110" t="s">
        <v>124</v>
      </c>
      <c r="H110" t="s">
        <v>125</v>
      </c>
      <c r="I110">
        <v>1</v>
      </c>
      <c r="J110" t="s">
        <v>1243</v>
      </c>
      <c r="K110">
        <v>1</v>
      </c>
      <c r="L110">
        <v>1</v>
      </c>
      <c r="M110" t="s">
        <v>1962</v>
      </c>
      <c r="N110">
        <v>0</v>
      </c>
      <c r="O110">
        <f>+Tabla__192.168.1.8_POSEIDONSQL_APPFVT_01_tbl_detalle_fill_rate[[#This Row],[emb_cantidad]]-Tabla__192.168.1.8_POSEIDONSQL_APPFVT_01_tbl_detalle_fill_rate[[#This Row],[dev_cantidad]]</f>
        <v>1</v>
      </c>
      <c r="P11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" s="1">
        <f>+Tabla__192.168.1.8_POSEIDONSQL_APPFVT_01_tbl_detalle_fill_rate[[#This Row],[Cumpl Real Unds]]-Tabla__192.168.1.8_POSEIDONSQL_APPFVT_01_tbl_detalle_fill_rate[[#This Row],[Cant Embarcada]]</f>
        <v>0</v>
      </c>
      <c r="S110" s="1">
        <f>+IF(Tabla__192.168.1.8_POSEIDONSQL_APPFVT_01_tbl_detalle_fill_rate[[#This Row],[Pend Emb]]&gt;0,1,0)</f>
        <v>0</v>
      </c>
      <c r="T1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" spans="1:20" x14ac:dyDescent="0.25">
      <c r="A111">
        <v>4</v>
      </c>
      <c r="B111" t="s">
        <v>56</v>
      </c>
      <c r="C111">
        <v>9633498</v>
      </c>
      <c r="D111" s="48">
        <v>43340</v>
      </c>
      <c r="E111" s="48">
        <v>43339</v>
      </c>
      <c r="F111" s="48">
        <v>43350</v>
      </c>
      <c r="G111" t="s">
        <v>106</v>
      </c>
      <c r="H111" t="s">
        <v>107</v>
      </c>
      <c r="I111">
        <v>1</v>
      </c>
      <c r="J111" t="s">
        <v>1382</v>
      </c>
      <c r="K111">
        <v>1</v>
      </c>
      <c r="L111">
        <v>1</v>
      </c>
      <c r="M111" t="s">
        <v>1962</v>
      </c>
      <c r="N111">
        <v>0</v>
      </c>
      <c r="O111">
        <f>+Tabla__192.168.1.8_POSEIDONSQL_APPFVT_01_tbl_detalle_fill_rate[[#This Row],[emb_cantidad]]-Tabla__192.168.1.8_POSEIDONSQL_APPFVT_01_tbl_detalle_fill_rate[[#This Row],[dev_cantidad]]</f>
        <v>1</v>
      </c>
      <c r="P11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" s="1">
        <f>+Tabla__192.168.1.8_POSEIDONSQL_APPFVT_01_tbl_detalle_fill_rate[[#This Row],[Cumpl Real Unds]]-Tabla__192.168.1.8_POSEIDONSQL_APPFVT_01_tbl_detalle_fill_rate[[#This Row],[Cant Embarcada]]</f>
        <v>0</v>
      </c>
      <c r="S111" s="1">
        <f>+IF(Tabla__192.168.1.8_POSEIDONSQL_APPFVT_01_tbl_detalle_fill_rate[[#This Row],[Pend Emb]]&gt;0,1,0)</f>
        <v>0</v>
      </c>
      <c r="T1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" spans="1:20" x14ac:dyDescent="0.25">
      <c r="A112">
        <v>4</v>
      </c>
      <c r="B112" t="s">
        <v>56</v>
      </c>
      <c r="C112">
        <v>9633603</v>
      </c>
      <c r="D112" s="48">
        <v>43340</v>
      </c>
      <c r="E112" s="48">
        <v>43339</v>
      </c>
      <c r="F112" s="48">
        <v>43346</v>
      </c>
      <c r="G112" t="s">
        <v>90</v>
      </c>
      <c r="H112" t="s">
        <v>91</v>
      </c>
      <c r="I112">
        <v>1</v>
      </c>
      <c r="J112" t="s">
        <v>1244</v>
      </c>
      <c r="K112">
        <v>1</v>
      </c>
      <c r="L112">
        <v>1</v>
      </c>
      <c r="M112" t="s">
        <v>1962</v>
      </c>
      <c r="N112">
        <v>0</v>
      </c>
      <c r="O112">
        <f>+Tabla__192.168.1.8_POSEIDONSQL_APPFVT_01_tbl_detalle_fill_rate[[#This Row],[emb_cantidad]]-Tabla__192.168.1.8_POSEIDONSQL_APPFVT_01_tbl_detalle_fill_rate[[#This Row],[dev_cantidad]]</f>
        <v>1</v>
      </c>
      <c r="P11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" s="1">
        <f>+Tabla__192.168.1.8_POSEIDONSQL_APPFVT_01_tbl_detalle_fill_rate[[#This Row],[Cumpl Real Unds]]-Tabla__192.168.1.8_POSEIDONSQL_APPFVT_01_tbl_detalle_fill_rate[[#This Row],[Cant Embarcada]]</f>
        <v>0</v>
      </c>
      <c r="S112" s="1">
        <f>+IF(Tabla__192.168.1.8_POSEIDONSQL_APPFVT_01_tbl_detalle_fill_rate[[#This Row],[Pend Emb]]&gt;0,1,0)</f>
        <v>0</v>
      </c>
      <c r="T1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" spans="1:20" x14ac:dyDescent="0.25">
      <c r="A113">
        <v>4</v>
      </c>
      <c r="B113" t="s">
        <v>56</v>
      </c>
      <c r="C113">
        <v>9633748</v>
      </c>
      <c r="D113" s="48">
        <v>43340</v>
      </c>
      <c r="E113" s="48">
        <v>43340</v>
      </c>
      <c r="F113" s="48">
        <v>43346</v>
      </c>
      <c r="G113" t="s">
        <v>168</v>
      </c>
      <c r="H113" t="s">
        <v>169</v>
      </c>
      <c r="I113">
        <v>1</v>
      </c>
      <c r="J113" t="s">
        <v>1380</v>
      </c>
      <c r="K113">
        <v>1</v>
      </c>
      <c r="L113">
        <v>1</v>
      </c>
      <c r="M113" t="s">
        <v>1962</v>
      </c>
      <c r="N113">
        <v>0</v>
      </c>
      <c r="O113">
        <f>+Tabla__192.168.1.8_POSEIDONSQL_APPFVT_01_tbl_detalle_fill_rate[[#This Row],[emb_cantidad]]-Tabla__192.168.1.8_POSEIDONSQL_APPFVT_01_tbl_detalle_fill_rate[[#This Row],[dev_cantidad]]</f>
        <v>1</v>
      </c>
      <c r="P11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" s="1">
        <f>+Tabla__192.168.1.8_POSEIDONSQL_APPFVT_01_tbl_detalle_fill_rate[[#This Row],[Cumpl Real Unds]]-Tabla__192.168.1.8_POSEIDONSQL_APPFVT_01_tbl_detalle_fill_rate[[#This Row],[Cant Embarcada]]</f>
        <v>0</v>
      </c>
      <c r="S113" s="1">
        <f>+IF(Tabla__192.168.1.8_POSEIDONSQL_APPFVT_01_tbl_detalle_fill_rate[[#This Row],[Pend Emb]]&gt;0,1,0)</f>
        <v>0</v>
      </c>
      <c r="T1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" spans="1:20" x14ac:dyDescent="0.25">
      <c r="A114">
        <v>4</v>
      </c>
      <c r="B114" t="s">
        <v>56</v>
      </c>
      <c r="C114">
        <v>9634054</v>
      </c>
      <c r="D114" s="48">
        <v>43340</v>
      </c>
      <c r="E114" s="48">
        <v>43340</v>
      </c>
      <c r="F114" s="48">
        <v>43346</v>
      </c>
      <c r="G114" t="s">
        <v>70</v>
      </c>
      <c r="H114" t="s">
        <v>71</v>
      </c>
      <c r="I114">
        <v>1</v>
      </c>
      <c r="J114" t="s">
        <v>1775</v>
      </c>
      <c r="K114">
        <v>1</v>
      </c>
      <c r="L114">
        <v>1</v>
      </c>
      <c r="M114" t="s">
        <v>1962</v>
      </c>
      <c r="N114">
        <v>0</v>
      </c>
      <c r="O114">
        <f>+Tabla__192.168.1.8_POSEIDONSQL_APPFVT_01_tbl_detalle_fill_rate[[#This Row],[emb_cantidad]]-Tabla__192.168.1.8_POSEIDONSQL_APPFVT_01_tbl_detalle_fill_rate[[#This Row],[dev_cantidad]]</f>
        <v>1</v>
      </c>
      <c r="P11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" s="1">
        <f>+Tabla__192.168.1.8_POSEIDONSQL_APPFVT_01_tbl_detalle_fill_rate[[#This Row],[Cumpl Real Unds]]-Tabla__192.168.1.8_POSEIDONSQL_APPFVT_01_tbl_detalle_fill_rate[[#This Row],[Cant Embarcada]]</f>
        <v>0</v>
      </c>
      <c r="S114" s="1">
        <f>+IF(Tabla__192.168.1.8_POSEIDONSQL_APPFVT_01_tbl_detalle_fill_rate[[#This Row],[Pend Emb]]&gt;0,1,0)</f>
        <v>0</v>
      </c>
      <c r="T1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" spans="1:20" x14ac:dyDescent="0.25">
      <c r="A115">
        <v>4</v>
      </c>
      <c r="B115" t="s">
        <v>56</v>
      </c>
      <c r="C115">
        <v>9634158</v>
      </c>
      <c r="D115" s="48">
        <v>43340</v>
      </c>
      <c r="E115" s="48">
        <v>43340</v>
      </c>
      <c r="F115" s="48">
        <v>43350</v>
      </c>
      <c r="G115" t="s">
        <v>120</v>
      </c>
      <c r="H115" t="s">
        <v>121</v>
      </c>
      <c r="I115">
        <v>1</v>
      </c>
      <c r="J115" t="s">
        <v>1772</v>
      </c>
      <c r="K115">
        <v>1</v>
      </c>
      <c r="L115">
        <v>1</v>
      </c>
      <c r="M115" t="s">
        <v>1962</v>
      </c>
      <c r="N115">
        <v>0</v>
      </c>
      <c r="O115">
        <f>+Tabla__192.168.1.8_POSEIDONSQL_APPFVT_01_tbl_detalle_fill_rate[[#This Row],[emb_cantidad]]-Tabla__192.168.1.8_POSEIDONSQL_APPFVT_01_tbl_detalle_fill_rate[[#This Row],[dev_cantidad]]</f>
        <v>1</v>
      </c>
      <c r="P11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" s="1">
        <f>+Tabla__192.168.1.8_POSEIDONSQL_APPFVT_01_tbl_detalle_fill_rate[[#This Row],[Cumpl Real Unds]]-Tabla__192.168.1.8_POSEIDONSQL_APPFVT_01_tbl_detalle_fill_rate[[#This Row],[Cant Embarcada]]</f>
        <v>0</v>
      </c>
      <c r="S115" s="1">
        <f>+IF(Tabla__192.168.1.8_POSEIDONSQL_APPFVT_01_tbl_detalle_fill_rate[[#This Row],[Pend Emb]]&gt;0,1,0)</f>
        <v>0</v>
      </c>
      <c r="T1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" spans="1:20" x14ac:dyDescent="0.25">
      <c r="A116">
        <v>4</v>
      </c>
      <c r="B116" t="s">
        <v>56</v>
      </c>
      <c r="C116">
        <v>9634514</v>
      </c>
      <c r="D116" s="48">
        <v>43340</v>
      </c>
      <c r="E116" s="48">
        <v>43340</v>
      </c>
      <c r="F116" s="48">
        <v>43346</v>
      </c>
      <c r="G116" t="s">
        <v>118</v>
      </c>
      <c r="H116" t="s">
        <v>119</v>
      </c>
      <c r="I116">
        <v>1</v>
      </c>
      <c r="J116" t="s">
        <v>1773</v>
      </c>
      <c r="K116">
        <v>1</v>
      </c>
      <c r="L116">
        <v>1</v>
      </c>
      <c r="M116" t="s">
        <v>1962</v>
      </c>
      <c r="N116">
        <v>0</v>
      </c>
      <c r="O116">
        <f>+Tabla__192.168.1.8_POSEIDONSQL_APPFVT_01_tbl_detalle_fill_rate[[#This Row],[emb_cantidad]]-Tabla__192.168.1.8_POSEIDONSQL_APPFVT_01_tbl_detalle_fill_rate[[#This Row],[dev_cantidad]]</f>
        <v>1</v>
      </c>
      <c r="P11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" s="1">
        <f>+Tabla__192.168.1.8_POSEIDONSQL_APPFVT_01_tbl_detalle_fill_rate[[#This Row],[Cumpl Real Unds]]-Tabla__192.168.1.8_POSEIDONSQL_APPFVT_01_tbl_detalle_fill_rate[[#This Row],[Cant Embarcada]]</f>
        <v>0</v>
      </c>
      <c r="S116" s="1">
        <f>+IF(Tabla__192.168.1.8_POSEIDONSQL_APPFVT_01_tbl_detalle_fill_rate[[#This Row],[Pend Emb]]&gt;0,1,0)</f>
        <v>0</v>
      </c>
      <c r="T1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" spans="1:20" x14ac:dyDescent="0.25">
      <c r="A117">
        <v>4</v>
      </c>
      <c r="B117" t="s">
        <v>56</v>
      </c>
      <c r="C117">
        <v>9634774</v>
      </c>
      <c r="D117" s="48">
        <v>43340</v>
      </c>
      <c r="E117" s="48">
        <v>43340</v>
      </c>
      <c r="F117" s="48">
        <v>43348</v>
      </c>
      <c r="G117" t="s">
        <v>70</v>
      </c>
      <c r="H117" t="s">
        <v>71</v>
      </c>
      <c r="I117">
        <v>1</v>
      </c>
      <c r="J117" t="s">
        <v>1774</v>
      </c>
      <c r="K117">
        <v>1</v>
      </c>
      <c r="L117">
        <v>1</v>
      </c>
      <c r="M117" t="s">
        <v>1962</v>
      </c>
      <c r="N117">
        <v>0</v>
      </c>
      <c r="O117">
        <f>+Tabla__192.168.1.8_POSEIDONSQL_APPFVT_01_tbl_detalle_fill_rate[[#This Row],[emb_cantidad]]-Tabla__192.168.1.8_POSEIDONSQL_APPFVT_01_tbl_detalle_fill_rate[[#This Row],[dev_cantidad]]</f>
        <v>1</v>
      </c>
      <c r="P11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" s="1">
        <f>+Tabla__192.168.1.8_POSEIDONSQL_APPFVT_01_tbl_detalle_fill_rate[[#This Row],[Cumpl Real Unds]]-Tabla__192.168.1.8_POSEIDONSQL_APPFVT_01_tbl_detalle_fill_rate[[#This Row],[Cant Embarcada]]</f>
        <v>0</v>
      </c>
      <c r="S117" s="1">
        <f>+IF(Tabla__192.168.1.8_POSEIDONSQL_APPFVT_01_tbl_detalle_fill_rate[[#This Row],[Pend Emb]]&gt;0,1,0)</f>
        <v>0</v>
      </c>
      <c r="T1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" spans="1:20" x14ac:dyDescent="0.25">
      <c r="A118">
        <v>4</v>
      </c>
      <c r="B118" t="s">
        <v>56</v>
      </c>
      <c r="C118">
        <v>9635303</v>
      </c>
      <c r="D118" s="48">
        <v>43340</v>
      </c>
      <c r="E118" s="48">
        <v>43340</v>
      </c>
      <c r="F118" s="48">
        <v>43348</v>
      </c>
      <c r="G118" t="s">
        <v>543</v>
      </c>
      <c r="H118" t="s">
        <v>544</v>
      </c>
      <c r="I118">
        <v>1</v>
      </c>
      <c r="J118" t="s">
        <v>545</v>
      </c>
      <c r="K118">
        <v>0</v>
      </c>
      <c r="L118">
        <v>0</v>
      </c>
      <c r="M118" t="s">
        <v>12</v>
      </c>
      <c r="N118">
        <v>0</v>
      </c>
      <c r="O118">
        <f>+Tabla__192.168.1.8_POSEIDONSQL_APPFVT_01_tbl_detalle_fill_rate[[#This Row],[emb_cantidad]]-Tabla__192.168.1.8_POSEIDONSQL_APPFVT_01_tbl_detalle_fill_rate[[#This Row],[dev_cantidad]]</f>
        <v>0</v>
      </c>
      <c r="P11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18" s="1">
        <f>+Tabla__192.168.1.8_POSEIDONSQL_APPFVT_01_tbl_detalle_fill_rate[[#This Row],[Cumpl Real Unds]]-Tabla__192.168.1.8_POSEIDONSQL_APPFVT_01_tbl_detalle_fill_rate[[#This Row],[Cant Embarcada]]</f>
        <v>0</v>
      </c>
      <c r="S118" s="1">
        <f>+IF(Tabla__192.168.1.8_POSEIDONSQL_APPFVT_01_tbl_detalle_fill_rate[[#This Row],[Pend Emb]]&gt;0,1,0)</f>
        <v>0</v>
      </c>
      <c r="T1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" spans="1:20" x14ac:dyDescent="0.25">
      <c r="A119">
        <v>4</v>
      </c>
      <c r="B119" t="s">
        <v>56</v>
      </c>
      <c r="C119">
        <v>9635714</v>
      </c>
      <c r="D119" s="48">
        <v>43341</v>
      </c>
      <c r="E119" s="48">
        <v>43340</v>
      </c>
      <c r="F119" s="48">
        <v>43348</v>
      </c>
      <c r="G119" t="s">
        <v>78</v>
      </c>
      <c r="H119" t="s">
        <v>79</v>
      </c>
      <c r="I119">
        <v>1</v>
      </c>
      <c r="J119" t="s">
        <v>1782</v>
      </c>
      <c r="K119">
        <v>1</v>
      </c>
      <c r="L119">
        <v>1</v>
      </c>
      <c r="M119" t="s">
        <v>160</v>
      </c>
      <c r="N119">
        <v>0</v>
      </c>
      <c r="O119">
        <f>+Tabla__192.168.1.8_POSEIDONSQL_APPFVT_01_tbl_detalle_fill_rate[[#This Row],[emb_cantidad]]-Tabla__192.168.1.8_POSEIDONSQL_APPFVT_01_tbl_detalle_fill_rate[[#This Row],[dev_cantidad]]</f>
        <v>1</v>
      </c>
      <c r="P11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" s="1">
        <f>+Tabla__192.168.1.8_POSEIDONSQL_APPFVT_01_tbl_detalle_fill_rate[[#This Row],[Cumpl Real Unds]]-Tabla__192.168.1.8_POSEIDONSQL_APPFVT_01_tbl_detalle_fill_rate[[#This Row],[Cant Embarcada]]</f>
        <v>0</v>
      </c>
      <c r="S119" s="1">
        <f>+IF(Tabla__192.168.1.8_POSEIDONSQL_APPFVT_01_tbl_detalle_fill_rate[[#This Row],[Pend Emb]]&gt;0,1,0)</f>
        <v>0</v>
      </c>
      <c r="T1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" spans="1:20" x14ac:dyDescent="0.25">
      <c r="A120">
        <v>4</v>
      </c>
      <c r="B120" t="s">
        <v>56</v>
      </c>
      <c r="C120">
        <v>9635976</v>
      </c>
      <c r="D120" s="48">
        <v>43341</v>
      </c>
      <c r="E120" s="48">
        <v>43340</v>
      </c>
      <c r="F120" s="48">
        <v>43350</v>
      </c>
      <c r="G120" t="s">
        <v>62</v>
      </c>
      <c r="H120" t="s">
        <v>63</v>
      </c>
      <c r="I120">
        <v>1</v>
      </c>
      <c r="J120" t="s">
        <v>1784</v>
      </c>
      <c r="K120">
        <v>1</v>
      </c>
      <c r="L120">
        <v>1</v>
      </c>
      <c r="M120" t="s">
        <v>1969</v>
      </c>
      <c r="N120">
        <v>0</v>
      </c>
      <c r="O120">
        <f>+Tabla__192.168.1.8_POSEIDONSQL_APPFVT_01_tbl_detalle_fill_rate[[#This Row],[emb_cantidad]]-Tabla__192.168.1.8_POSEIDONSQL_APPFVT_01_tbl_detalle_fill_rate[[#This Row],[dev_cantidad]]</f>
        <v>1</v>
      </c>
      <c r="P12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" s="1">
        <f>+Tabla__192.168.1.8_POSEIDONSQL_APPFVT_01_tbl_detalle_fill_rate[[#This Row],[Cumpl Real Unds]]-Tabla__192.168.1.8_POSEIDONSQL_APPFVT_01_tbl_detalle_fill_rate[[#This Row],[Cant Embarcada]]</f>
        <v>0</v>
      </c>
      <c r="S120" s="1">
        <f>+IF(Tabla__192.168.1.8_POSEIDONSQL_APPFVT_01_tbl_detalle_fill_rate[[#This Row],[Pend Emb]]&gt;0,1,0)</f>
        <v>0</v>
      </c>
      <c r="T1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" spans="1:20" x14ac:dyDescent="0.25">
      <c r="A121">
        <v>4</v>
      </c>
      <c r="B121" t="s">
        <v>56</v>
      </c>
      <c r="C121">
        <v>9636363</v>
      </c>
      <c r="D121" s="48">
        <v>43341</v>
      </c>
      <c r="E121" s="48">
        <v>43340</v>
      </c>
      <c r="F121" s="48">
        <v>43348</v>
      </c>
      <c r="G121" t="s">
        <v>1776</v>
      </c>
      <c r="H121" t="s">
        <v>1777</v>
      </c>
      <c r="I121">
        <v>1</v>
      </c>
      <c r="J121" t="s">
        <v>1778</v>
      </c>
      <c r="K121">
        <v>1</v>
      </c>
      <c r="L121">
        <v>1</v>
      </c>
      <c r="M121" t="s">
        <v>160</v>
      </c>
      <c r="N121">
        <v>0</v>
      </c>
      <c r="O121">
        <f>+Tabla__192.168.1.8_POSEIDONSQL_APPFVT_01_tbl_detalle_fill_rate[[#This Row],[emb_cantidad]]-Tabla__192.168.1.8_POSEIDONSQL_APPFVT_01_tbl_detalle_fill_rate[[#This Row],[dev_cantidad]]</f>
        <v>1</v>
      </c>
      <c r="P12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" s="1">
        <f>+Tabla__192.168.1.8_POSEIDONSQL_APPFVT_01_tbl_detalle_fill_rate[[#This Row],[Cumpl Real Unds]]-Tabla__192.168.1.8_POSEIDONSQL_APPFVT_01_tbl_detalle_fill_rate[[#This Row],[Cant Embarcada]]</f>
        <v>0</v>
      </c>
      <c r="S121" s="1">
        <f>+IF(Tabla__192.168.1.8_POSEIDONSQL_APPFVT_01_tbl_detalle_fill_rate[[#This Row],[Pend Emb]]&gt;0,1,0)</f>
        <v>0</v>
      </c>
      <c r="T1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" spans="1:20" x14ac:dyDescent="0.25">
      <c r="A122">
        <v>4</v>
      </c>
      <c r="B122" t="s">
        <v>56</v>
      </c>
      <c r="C122">
        <v>9636387</v>
      </c>
      <c r="D122" s="48">
        <v>43341</v>
      </c>
      <c r="E122" s="48">
        <v>43340</v>
      </c>
      <c r="F122" s="48">
        <v>43348</v>
      </c>
      <c r="G122" t="s">
        <v>124</v>
      </c>
      <c r="H122" t="s">
        <v>125</v>
      </c>
      <c r="I122">
        <v>1</v>
      </c>
      <c r="J122" t="s">
        <v>1779</v>
      </c>
      <c r="K122">
        <v>1</v>
      </c>
      <c r="L122">
        <v>1</v>
      </c>
      <c r="M122" t="s">
        <v>160</v>
      </c>
      <c r="N122">
        <v>0</v>
      </c>
      <c r="O122">
        <f>+Tabla__192.168.1.8_POSEIDONSQL_APPFVT_01_tbl_detalle_fill_rate[[#This Row],[emb_cantidad]]-Tabla__192.168.1.8_POSEIDONSQL_APPFVT_01_tbl_detalle_fill_rate[[#This Row],[dev_cantidad]]</f>
        <v>1</v>
      </c>
      <c r="P12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" s="1">
        <f>+Tabla__192.168.1.8_POSEIDONSQL_APPFVT_01_tbl_detalle_fill_rate[[#This Row],[Cumpl Real Unds]]-Tabla__192.168.1.8_POSEIDONSQL_APPFVT_01_tbl_detalle_fill_rate[[#This Row],[Cant Embarcada]]</f>
        <v>0</v>
      </c>
      <c r="S122" s="1">
        <f>+IF(Tabla__192.168.1.8_POSEIDONSQL_APPFVT_01_tbl_detalle_fill_rate[[#This Row],[Pend Emb]]&gt;0,1,0)</f>
        <v>0</v>
      </c>
      <c r="T1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" spans="1:20" x14ac:dyDescent="0.25">
      <c r="A123">
        <v>4</v>
      </c>
      <c r="B123" t="s">
        <v>56</v>
      </c>
      <c r="C123">
        <v>9636412</v>
      </c>
      <c r="D123" s="48">
        <v>43341</v>
      </c>
      <c r="E123" s="48">
        <v>43340</v>
      </c>
      <c r="F123" s="48">
        <v>43350</v>
      </c>
      <c r="G123" t="s">
        <v>118</v>
      </c>
      <c r="H123" t="s">
        <v>119</v>
      </c>
      <c r="I123">
        <v>1</v>
      </c>
      <c r="J123" t="s">
        <v>1783</v>
      </c>
      <c r="K123">
        <v>1</v>
      </c>
      <c r="L123">
        <v>1</v>
      </c>
      <c r="M123" t="s">
        <v>1969</v>
      </c>
      <c r="N123">
        <v>0</v>
      </c>
      <c r="O123">
        <f>+Tabla__192.168.1.8_POSEIDONSQL_APPFVT_01_tbl_detalle_fill_rate[[#This Row],[emb_cantidad]]-Tabla__192.168.1.8_POSEIDONSQL_APPFVT_01_tbl_detalle_fill_rate[[#This Row],[dev_cantidad]]</f>
        <v>1</v>
      </c>
      <c r="P12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" s="1">
        <f>+Tabla__192.168.1.8_POSEIDONSQL_APPFVT_01_tbl_detalle_fill_rate[[#This Row],[Cumpl Real Unds]]-Tabla__192.168.1.8_POSEIDONSQL_APPFVT_01_tbl_detalle_fill_rate[[#This Row],[Cant Embarcada]]</f>
        <v>0</v>
      </c>
      <c r="S123" s="1">
        <f>+IF(Tabla__192.168.1.8_POSEIDONSQL_APPFVT_01_tbl_detalle_fill_rate[[#This Row],[Pend Emb]]&gt;0,1,0)</f>
        <v>0</v>
      </c>
      <c r="T1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" spans="1:20" x14ac:dyDescent="0.25">
      <c r="A124">
        <v>4</v>
      </c>
      <c r="B124" t="s">
        <v>56</v>
      </c>
      <c r="C124">
        <v>9636573</v>
      </c>
      <c r="D124" s="48">
        <v>43341</v>
      </c>
      <c r="E124" s="48">
        <v>43341</v>
      </c>
      <c r="F124" s="48">
        <v>43348</v>
      </c>
      <c r="G124" t="s">
        <v>269</v>
      </c>
      <c r="H124" t="s">
        <v>270</v>
      </c>
      <c r="I124">
        <v>1</v>
      </c>
      <c r="J124" t="s">
        <v>1780</v>
      </c>
      <c r="K124">
        <v>1</v>
      </c>
      <c r="L124">
        <v>1</v>
      </c>
      <c r="M124" t="s">
        <v>160</v>
      </c>
      <c r="N124">
        <v>0</v>
      </c>
      <c r="O124">
        <f>+Tabla__192.168.1.8_POSEIDONSQL_APPFVT_01_tbl_detalle_fill_rate[[#This Row],[emb_cantidad]]-Tabla__192.168.1.8_POSEIDONSQL_APPFVT_01_tbl_detalle_fill_rate[[#This Row],[dev_cantidad]]</f>
        <v>1</v>
      </c>
      <c r="P12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" s="1">
        <f>+Tabla__192.168.1.8_POSEIDONSQL_APPFVT_01_tbl_detalle_fill_rate[[#This Row],[Cumpl Real Unds]]-Tabla__192.168.1.8_POSEIDONSQL_APPFVT_01_tbl_detalle_fill_rate[[#This Row],[Cant Embarcada]]</f>
        <v>0</v>
      </c>
      <c r="S124" s="1">
        <f>+IF(Tabla__192.168.1.8_POSEIDONSQL_APPFVT_01_tbl_detalle_fill_rate[[#This Row],[Pend Emb]]&gt;0,1,0)</f>
        <v>0</v>
      </c>
      <c r="T1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" spans="1:20" x14ac:dyDescent="0.25">
      <c r="A125">
        <v>4</v>
      </c>
      <c r="B125" t="s">
        <v>56</v>
      </c>
      <c r="C125">
        <v>9636698</v>
      </c>
      <c r="D125" s="48">
        <v>43341</v>
      </c>
      <c r="E125" s="48">
        <v>43341</v>
      </c>
      <c r="F125" s="48">
        <v>43348</v>
      </c>
      <c r="G125" t="s">
        <v>70</v>
      </c>
      <c r="H125" t="s">
        <v>71</v>
      </c>
      <c r="I125">
        <v>1</v>
      </c>
      <c r="J125" t="s">
        <v>1781</v>
      </c>
      <c r="K125">
        <v>1</v>
      </c>
      <c r="L125">
        <v>1</v>
      </c>
      <c r="M125" t="s">
        <v>160</v>
      </c>
      <c r="N125">
        <v>0</v>
      </c>
      <c r="O125">
        <f>+Tabla__192.168.1.8_POSEIDONSQL_APPFVT_01_tbl_detalle_fill_rate[[#This Row],[emb_cantidad]]-Tabla__192.168.1.8_POSEIDONSQL_APPFVT_01_tbl_detalle_fill_rate[[#This Row],[dev_cantidad]]</f>
        <v>1</v>
      </c>
      <c r="P12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" s="1">
        <f>+Tabla__192.168.1.8_POSEIDONSQL_APPFVT_01_tbl_detalle_fill_rate[[#This Row],[Cumpl Real Unds]]-Tabla__192.168.1.8_POSEIDONSQL_APPFVT_01_tbl_detalle_fill_rate[[#This Row],[Cant Embarcada]]</f>
        <v>0</v>
      </c>
      <c r="S125" s="1">
        <f>+IF(Tabla__192.168.1.8_POSEIDONSQL_APPFVT_01_tbl_detalle_fill_rate[[#This Row],[Pend Emb]]&gt;0,1,0)</f>
        <v>0</v>
      </c>
      <c r="T1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" spans="1:20" x14ac:dyDescent="0.25">
      <c r="A126">
        <v>4</v>
      </c>
      <c r="B126" t="s">
        <v>56</v>
      </c>
      <c r="C126">
        <v>9637568</v>
      </c>
      <c r="D126" s="48">
        <v>43342</v>
      </c>
      <c r="E126" s="48">
        <v>43341</v>
      </c>
      <c r="F126" s="48">
        <v>43348</v>
      </c>
      <c r="G126" t="s">
        <v>96</v>
      </c>
      <c r="H126" t="s">
        <v>97</v>
      </c>
      <c r="I126">
        <v>1</v>
      </c>
      <c r="J126" t="s">
        <v>787</v>
      </c>
      <c r="K126">
        <v>0</v>
      </c>
      <c r="L126">
        <v>0</v>
      </c>
      <c r="M126" t="s">
        <v>12</v>
      </c>
      <c r="N126">
        <v>0</v>
      </c>
      <c r="O126">
        <f>+Tabla__192.168.1.8_POSEIDONSQL_APPFVT_01_tbl_detalle_fill_rate[[#This Row],[emb_cantidad]]-Tabla__192.168.1.8_POSEIDONSQL_APPFVT_01_tbl_detalle_fill_rate[[#This Row],[dev_cantidad]]</f>
        <v>0</v>
      </c>
      <c r="P12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26" s="1">
        <f>+Tabla__192.168.1.8_POSEIDONSQL_APPFVT_01_tbl_detalle_fill_rate[[#This Row],[Cumpl Real Unds]]-Tabla__192.168.1.8_POSEIDONSQL_APPFVT_01_tbl_detalle_fill_rate[[#This Row],[Cant Embarcada]]</f>
        <v>0</v>
      </c>
      <c r="S126" s="1">
        <f>+IF(Tabla__192.168.1.8_POSEIDONSQL_APPFVT_01_tbl_detalle_fill_rate[[#This Row],[Pend Emb]]&gt;0,1,0)</f>
        <v>0</v>
      </c>
      <c r="T1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" spans="1:20" x14ac:dyDescent="0.25">
      <c r="A127">
        <v>4</v>
      </c>
      <c r="B127" t="s">
        <v>56</v>
      </c>
      <c r="C127">
        <v>9637725</v>
      </c>
      <c r="D127" s="48">
        <v>43342</v>
      </c>
      <c r="E127" s="48">
        <v>43341</v>
      </c>
      <c r="F127" s="48">
        <v>43348</v>
      </c>
      <c r="G127" t="s">
        <v>120</v>
      </c>
      <c r="H127" t="s">
        <v>121</v>
      </c>
      <c r="I127">
        <v>1</v>
      </c>
      <c r="J127" t="s">
        <v>779</v>
      </c>
      <c r="K127">
        <v>1</v>
      </c>
      <c r="L127">
        <v>1</v>
      </c>
      <c r="M127" t="s">
        <v>160</v>
      </c>
      <c r="N127">
        <v>0</v>
      </c>
      <c r="O127">
        <f>+Tabla__192.168.1.8_POSEIDONSQL_APPFVT_01_tbl_detalle_fill_rate[[#This Row],[emb_cantidad]]-Tabla__192.168.1.8_POSEIDONSQL_APPFVT_01_tbl_detalle_fill_rate[[#This Row],[dev_cantidad]]</f>
        <v>1</v>
      </c>
      <c r="P12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" s="1">
        <f>+Tabla__192.168.1.8_POSEIDONSQL_APPFVT_01_tbl_detalle_fill_rate[[#This Row],[Cumpl Real Unds]]-Tabla__192.168.1.8_POSEIDONSQL_APPFVT_01_tbl_detalle_fill_rate[[#This Row],[Cant Embarcada]]</f>
        <v>0</v>
      </c>
      <c r="S127" s="1">
        <f>+IF(Tabla__192.168.1.8_POSEIDONSQL_APPFVT_01_tbl_detalle_fill_rate[[#This Row],[Pend Emb]]&gt;0,1,0)</f>
        <v>0</v>
      </c>
      <c r="T1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" spans="1:20" x14ac:dyDescent="0.25">
      <c r="A128">
        <v>4</v>
      </c>
      <c r="B128" t="s">
        <v>56</v>
      </c>
      <c r="C128">
        <v>9638095</v>
      </c>
      <c r="D128" s="48">
        <v>43342</v>
      </c>
      <c r="E128" s="48">
        <v>43341</v>
      </c>
      <c r="F128" s="48">
        <v>43348</v>
      </c>
      <c r="G128" t="s">
        <v>780</v>
      </c>
      <c r="H128" t="s">
        <v>781</v>
      </c>
      <c r="I128">
        <v>1</v>
      </c>
      <c r="J128" t="s">
        <v>782</v>
      </c>
      <c r="K128">
        <v>1</v>
      </c>
      <c r="L128">
        <v>1</v>
      </c>
      <c r="M128" t="s">
        <v>160</v>
      </c>
      <c r="N128">
        <v>0</v>
      </c>
      <c r="O128">
        <f>+Tabla__192.168.1.8_POSEIDONSQL_APPFVT_01_tbl_detalle_fill_rate[[#This Row],[emb_cantidad]]-Tabla__192.168.1.8_POSEIDONSQL_APPFVT_01_tbl_detalle_fill_rate[[#This Row],[dev_cantidad]]</f>
        <v>1</v>
      </c>
      <c r="P12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8" s="1">
        <f>+Tabla__192.168.1.8_POSEIDONSQL_APPFVT_01_tbl_detalle_fill_rate[[#This Row],[Cumpl Real Unds]]-Tabla__192.168.1.8_POSEIDONSQL_APPFVT_01_tbl_detalle_fill_rate[[#This Row],[Cant Embarcada]]</f>
        <v>0</v>
      </c>
      <c r="S128" s="1">
        <f>+IF(Tabla__192.168.1.8_POSEIDONSQL_APPFVT_01_tbl_detalle_fill_rate[[#This Row],[Pend Emb]]&gt;0,1,0)</f>
        <v>0</v>
      </c>
      <c r="T1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" spans="1:20" x14ac:dyDescent="0.25">
      <c r="A129">
        <v>4</v>
      </c>
      <c r="B129" t="s">
        <v>56</v>
      </c>
      <c r="C129">
        <v>9638457</v>
      </c>
      <c r="D129" s="48">
        <v>43342</v>
      </c>
      <c r="E129" s="48">
        <v>43341</v>
      </c>
      <c r="F129" s="48">
        <v>43348</v>
      </c>
      <c r="G129" t="s">
        <v>122</v>
      </c>
      <c r="H129" t="s">
        <v>123</v>
      </c>
      <c r="I129">
        <v>1</v>
      </c>
      <c r="J129" t="s">
        <v>783</v>
      </c>
      <c r="K129">
        <v>1</v>
      </c>
      <c r="L129">
        <v>1</v>
      </c>
      <c r="M129" t="s">
        <v>160</v>
      </c>
      <c r="N129">
        <v>0</v>
      </c>
      <c r="O129">
        <f>+Tabla__192.168.1.8_POSEIDONSQL_APPFVT_01_tbl_detalle_fill_rate[[#This Row],[emb_cantidad]]-Tabla__192.168.1.8_POSEIDONSQL_APPFVT_01_tbl_detalle_fill_rate[[#This Row],[dev_cantidad]]</f>
        <v>1</v>
      </c>
      <c r="P12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" s="1">
        <f>+Tabla__192.168.1.8_POSEIDONSQL_APPFVT_01_tbl_detalle_fill_rate[[#This Row],[Cumpl Real Unds]]-Tabla__192.168.1.8_POSEIDONSQL_APPFVT_01_tbl_detalle_fill_rate[[#This Row],[Cant Embarcada]]</f>
        <v>0</v>
      </c>
      <c r="S129" s="1">
        <f>+IF(Tabla__192.168.1.8_POSEIDONSQL_APPFVT_01_tbl_detalle_fill_rate[[#This Row],[Pend Emb]]&gt;0,1,0)</f>
        <v>0</v>
      </c>
      <c r="T1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" spans="1:20" x14ac:dyDescent="0.25">
      <c r="A130">
        <v>4</v>
      </c>
      <c r="B130" t="s">
        <v>56</v>
      </c>
      <c r="C130">
        <v>9638505</v>
      </c>
      <c r="D130" s="48">
        <v>43342</v>
      </c>
      <c r="E130" s="48">
        <v>43341</v>
      </c>
      <c r="F130" s="48">
        <v>43348</v>
      </c>
      <c r="G130" t="s">
        <v>118</v>
      </c>
      <c r="H130" t="s">
        <v>119</v>
      </c>
      <c r="I130">
        <v>1</v>
      </c>
      <c r="J130" t="s">
        <v>784</v>
      </c>
      <c r="K130">
        <v>1</v>
      </c>
      <c r="L130">
        <v>1</v>
      </c>
      <c r="M130" t="s">
        <v>160</v>
      </c>
      <c r="N130">
        <v>0</v>
      </c>
      <c r="O130">
        <f>+Tabla__192.168.1.8_POSEIDONSQL_APPFVT_01_tbl_detalle_fill_rate[[#This Row],[emb_cantidad]]-Tabla__192.168.1.8_POSEIDONSQL_APPFVT_01_tbl_detalle_fill_rate[[#This Row],[dev_cantidad]]</f>
        <v>1</v>
      </c>
      <c r="P13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0" s="1">
        <f>+Tabla__192.168.1.8_POSEIDONSQL_APPFVT_01_tbl_detalle_fill_rate[[#This Row],[Cumpl Real Unds]]-Tabla__192.168.1.8_POSEIDONSQL_APPFVT_01_tbl_detalle_fill_rate[[#This Row],[Cant Embarcada]]</f>
        <v>0</v>
      </c>
      <c r="S130" s="1">
        <f>+IF(Tabla__192.168.1.8_POSEIDONSQL_APPFVT_01_tbl_detalle_fill_rate[[#This Row],[Pend Emb]]&gt;0,1,0)</f>
        <v>0</v>
      </c>
      <c r="T1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" spans="1:20" x14ac:dyDescent="0.25">
      <c r="A131">
        <v>4</v>
      </c>
      <c r="B131" t="s">
        <v>56</v>
      </c>
      <c r="C131">
        <v>9666693</v>
      </c>
      <c r="D131" s="48">
        <v>43353</v>
      </c>
      <c r="E131" s="48">
        <v>43350</v>
      </c>
      <c r="F131" s="48">
        <v>43357</v>
      </c>
      <c r="G131" t="s">
        <v>90</v>
      </c>
      <c r="H131" t="s">
        <v>91</v>
      </c>
      <c r="I131">
        <v>1</v>
      </c>
      <c r="J131" t="s">
        <v>936</v>
      </c>
      <c r="K131">
        <v>1</v>
      </c>
      <c r="L131">
        <v>1</v>
      </c>
      <c r="M131" t="s">
        <v>426</v>
      </c>
      <c r="N131">
        <v>0</v>
      </c>
      <c r="O131">
        <f>+Tabla__192.168.1.8_POSEIDONSQL_APPFVT_01_tbl_detalle_fill_rate[[#This Row],[emb_cantidad]]-Tabla__192.168.1.8_POSEIDONSQL_APPFVT_01_tbl_detalle_fill_rate[[#This Row],[dev_cantidad]]</f>
        <v>1</v>
      </c>
      <c r="P13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" s="1">
        <f>+Tabla__192.168.1.8_POSEIDONSQL_APPFVT_01_tbl_detalle_fill_rate[[#This Row],[Cumpl Real Unds]]-Tabla__192.168.1.8_POSEIDONSQL_APPFVT_01_tbl_detalle_fill_rate[[#This Row],[Cant Embarcada]]</f>
        <v>0</v>
      </c>
      <c r="S131" s="1">
        <f>+IF(Tabla__192.168.1.8_POSEIDONSQL_APPFVT_01_tbl_detalle_fill_rate[[#This Row],[Pend Emb]]&gt;0,1,0)</f>
        <v>0</v>
      </c>
      <c r="T1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" spans="1:20" x14ac:dyDescent="0.25">
      <c r="A132">
        <v>4</v>
      </c>
      <c r="B132" t="s">
        <v>56</v>
      </c>
      <c r="C132">
        <v>9667129</v>
      </c>
      <c r="D132" s="48">
        <v>43353</v>
      </c>
      <c r="E132" s="48">
        <v>43350</v>
      </c>
      <c r="F132" s="48">
        <v>43357</v>
      </c>
      <c r="G132" t="s">
        <v>76</v>
      </c>
      <c r="H132" t="s">
        <v>77</v>
      </c>
      <c r="I132">
        <v>1</v>
      </c>
      <c r="J132" t="s">
        <v>937</v>
      </c>
      <c r="K132">
        <v>1</v>
      </c>
      <c r="L132">
        <v>1</v>
      </c>
      <c r="M132" t="s">
        <v>426</v>
      </c>
      <c r="N132">
        <v>0</v>
      </c>
      <c r="O132">
        <f>+Tabla__192.168.1.8_POSEIDONSQL_APPFVT_01_tbl_detalle_fill_rate[[#This Row],[emb_cantidad]]-Tabla__192.168.1.8_POSEIDONSQL_APPFVT_01_tbl_detalle_fill_rate[[#This Row],[dev_cantidad]]</f>
        <v>1</v>
      </c>
      <c r="P13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2" s="1">
        <f>+Tabla__192.168.1.8_POSEIDONSQL_APPFVT_01_tbl_detalle_fill_rate[[#This Row],[Cumpl Real Unds]]-Tabla__192.168.1.8_POSEIDONSQL_APPFVT_01_tbl_detalle_fill_rate[[#This Row],[Cant Embarcada]]</f>
        <v>0</v>
      </c>
      <c r="S132" s="1">
        <f>+IF(Tabla__192.168.1.8_POSEIDONSQL_APPFVT_01_tbl_detalle_fill_rate[[#This Row],[Pend Emb]]&gt;0,1,0)</f>
        <v>0</v>
      </c>
      <c r="T1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" spans="1:20" x14ac:dyDescent="0.25">
      <c r="A133">
        <v>4</v>
      </c>
      <c r="B133" t="s">
        <v>56</v>
      </c>
      <c r="C133">
        <v>9667340</v>
      </c>
      <c r="D133" s="48">
        <v>43353</v>
      </c>
      <c r="E133" s="48">
        <v>43351</v>
      </c>
      <c r="F133" s="48">
        <v>43361</v>
      </c>
      <c r="G133" t="s">
        <v>780</v>
      </c>
      <c r="H133" t="s">
        <v>781</v>
      </c>
      <c r="I133">
        <v>1</v>
      </c>
      <c r="J133" t="s">
        <v>948</v>
      </c>
      <c r="K133">
        <v>1</v>
      </c>
      <c r="L133">
        <v>1</v>
      </c>
      <c r="M133" t="s">
        <v>426</v>
      </c>
      <c r="N133">
        <v>0</v>
      </c>
      <c r="O133">
        <f>+Tabla__192.168.1.8_POSEIDONSQL_APPFVT_01_tbl_detalle_fill_rate[[#This Row],[emb_cantidad]]-Tabla__192.168.1.8_POSEIDONSQL_APPFVT_01_tbl_detalle_fill_rate[[#This Row],[dev_cantidad]]</f>
        <v>1</v>
      </c>
      <c r="P13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3" s="1">
        <f>+Tabla__192.168.1.8_POSEIDONSQL_APPFVT_01_tbl_detalle_fill_rate[[#This Row],[Cumpl Real Unds]]-Tabla__192.168.1.8_POSEIDONSQL_APPFVT_01_tbl_detalle_fill_rate[[#This Row],[Cant Embarcada]]</f>
        <v>0</v>
      </c>
      <c r="S133" s="1">
        <f>+IF(Tabla__192.168.1.8_POSEIDONSQL_APPFVT_01_tbl_detalle_fill_rate[[#This Row],[Pend Emb]]&gt;0,1,0)</f>
        <v>0</v>
      </c>
      <c r="T1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" spans="1:20" x14ac:dyDescent="0.25">
      <c r="A134">
        <v>4</v>
      </c>
      <c r="B134" t="s">
        <v>56</v>
      </c>
      <c r="C134">
        <v>9667613</v>
      </c>
      <c r="D134" s="48">
        <v>43353</v>
      </c>
      <c r="E134" s="48">
        <v>43351</v>
      </c>
      <c r="F134" s="48">
        <v>43357</v>
      </c>
      <c r="G134" t="s">
        <v>938</v>
      </c>
      <c r="H134" t="s">
        <v>939</v>
      </c>
      <c r="I134">
        <v>1</v>
      </c>
      <c r="J134" t="s">
        <v>940</v>
      </c>
      <c r="K134">
        <v>1</v>
      </c>
      <c r="L134">
        <v>1</v>
      </c>
      <c r="M134" t="s">
        <v>426</v>
      </c>
      <c r="N134">
        <v>0</v>
      </c>
      <c r="O134">
        <f>+Tabla__192.168.1.8_POSEIDONSQL_APPFVT_01_tbl_detalle_fill_rate[[#This Row],[emb_cantidad]]-Tabla__192.168.1.8_POSEIDONSQL_APPFVT_01_tbl_detalle_fill_rate[[#This Row],[dev_cantidad]]</f>
        <v>1</v>
      </c>
      <c r="P13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4" s="1">
        <f>+Tabla__192.168.1.8_POSEIDONSQL_APPFVT_01_tbl_detalle_fill_rate[[#This Row],[Cumpl Real Unds]]-Tabla__192.168.1.8_POSEIDONSQL_APPFVT_01_tbl_detalle_fill_rate[[#This Row],[Cant Embarcada]]</f>
        <v>0</v>
      </c>
      <c r="S134" s="1">
        <f>+IF(Tabla__192.168.1.8_POSEIDONSQL_APPFVT_01_tbl_detalle_fill_rate[[#This Row],[Pend Emb]]&gt;0,1,0)</f>
        <v>0</v>
      </c>
      <c r="T1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" spans="1:20" x14ac:dyDescent="0.25">
      <c r="A135">
        <v>4</v>
      </c>
      <c r="B135" t="s">
        <v>56</v>
      </c>
      <c r="C135">
        <v>9667986</v>
      </c>
      <c r="D135" s="48">
        <v>43353</v>
      </c>
      <c r="E135" s="48">
        <v>43351</v>
      </c>
      <c r="F135" s="48">
        <v>43357</v>
      </c>
      <c r="G135" t="s">
        <v>401</v>
      </c>
      <c r="H135" t="s">
        <v>402</v>
      </c>
      <c r="I135">
        <v>1</v>
      </c>
      <c r="J135" t="s">
        <v>941</v>
      </c>
      <c r="K135">
        <v>1</v>
      </c>
      <c r="L135">
        <v>1</v>
      </c>
      <c r="M135" t="s">
        <v>426</v>
      </c>
      <c r="N135">
        <v>0</v>
      </c>
      <c r="O135">
        <f>+Tabla__192.168.1.8_POSEIDONSQL_APPFVT_01_tbl_detalle_fill_rate[[#This Row],[emb_cantidad]]-Tabla__192.168.1.8_POSEIDONSQL_APPFVT_01_tbl_detalle_fill_rate[[#This Row],[dev_cantidad]]</f>
        <v>1</v>
      </c>
      <c r="P13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5" s="1">
        <f>+Tabla__192.168.1.8_POSEIDONSQL_APPFVT_01_tbl_detalle_fill_rate[[#This Row],[Cumpl Real Unds]]-Tabla__192.168.1.8_POSEIDONSQL_APPFVT_01_tbl_detalle_fill_rate[[#This Row],[Cant Embarcada]]</f>
        <v>0</v>
      </c>
      <c r="S135" s="1">
        <f>+IF(Tabla__192.168.1.8_POSEIDONSQL_APPFVT_01_tbl_detalle_fill_rate[[#This Row],[Pend Emb]]&gt;0,1,0)</f>
        <v>0</v>
      </c>
      <c r="T1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" spans="1:20" x14ac:dyDescent="0.25">
      <c r="A136">
        <v>4</v>
      </c>
      <c r="B136" t="s">
        <v>56</v>
      </c>
      <c r="C136">
        <v>9668333</v>
      </c>
      <c r="D136" s="48">
        <v>43353</v>
      </c>
      <c r="E136" s="48">
        <v>43351</v>
      </c>
      <c r="F136" s="48">
        <v>43353</v>
      </c>
      <c r="G136" t="s">
        <v>461</v>
      </c>
      <c r="H136" t="s">
        <v>462</v>
      </c>
      <c r="I136">
        <v>1</v>
      </c>
      <c r="J136" t="s">
        <v>1514</v>
      </c>
      <c r="K136">
        <v>1</v>
      </c>
      <c r="L136">
        <v>1</v>
      </c>
      <c r="M136" t="s">
        <v>426</v>
      </c>
      <c r="N136">
        <v>0</v>
      </c>
      <c r="O136">
        <f>+Tabla__192.168.1.8_POSEIDONSQL_APPFVT_01_tbl_detalle_fill_rate[[#This Row],[emb_cantidad]]-Tabla__192.168.1.8_POSEIDONSQL_APPFVT_01_tbl_detalle_fill_rate[[#This Row],[dev_cantidad]]</f>
        <v>1</v>
      </c>
      <c r="P13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" s="1">
        <f>+Tabla__192.168.1.8_POSEIDONSQL_APPFVT_01_tbl_detalle_fill_rate[[#This Row],[Cumpl Real Unds]]-Tabla__192.168.1.8_POSEIDONSQL_APPFVT_01_tbl_detalle_fill_rate[[#This Row],[Cant Embarcada]]</f>
        <v>0</v>
      </c>
      <c r="S136" s="1">
        <f>+IF(Tabla__192.168.1.8_POSEIDONSQL_APPFVT_01_tbl_detalle_fill_rate[[#This Row],[Pend Emb]]&gt;0,1,0)</f>
        <v>0</v>
      </c>
      <c r="T1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" spans="1:20" x14ac:dyDescent="0.25">
      <c r="A137">
        <v>4</v>
      </c>
      <c r="B137" t="s">
        <v>56</v>
      </c>
      <c r="C137">
        <v>9668594</v>
      </c>
      <c r="D137" s="48">
        <v>43353</v>
      </c>
      <c r="E137" s="48">
        <v>43351</v>
      </c>
      <c r="F137" s="48">
        <v>43357</v>
      </c>
      <c r="G137" t="s">
        <v>120</v>
      </c>
      <c r="H137" t="s">
        <v>121</v>
      </c>
      <c r="I137">
        <v>1</v>
      </c>
      <c r="J137" t="s">
        <v>929</v>
      </c>
      <c r="K137">
        <v>1</v>
      </c>
      <c r="L137">
        <v>1</v>
      </c>
      <c r="M137" t="s">
        <v>426</v>
      </c>
      <c r="N137">
        <v>0</v>
      </c>
      <c r="O137">
        <f>+Tabla__192.168.1.8_POSEIDONSQL_APPFVT_01_tbl_detalle_fill_rate[[#This Row],[emb_cantidad]]-Tabla__192.168.1.8_POSEIDONSQL_APPFVT_01_tbl_detalle_fill_rate[[#This Row],[dev_cantidad]]</f>
        <v>1</v>
      </c>
      <c r="P13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" s="1">
        <f>+Tabla__192.168.1.8_POSEIDONSQL_APPFVT_01_tbl_detalle_fill_rate[[#This Row],[Cumpl Real Unds]]-Tabla__192.168.1.8_POSEIDONSQL_APPFVT_01_tbl_detalle_fill_rate[[#This Row],[Cant Embarcada]]</f>
        <v>0</v>
      </c>
      <c r="S137" s="1">
        <f>+IF(Tabla__192.168.1.8_POSEIDONSQL_APPFVT_01_tbl_detalle_fill_rate[[#This Row],[Pend Emb]]&gt;0,1,0)</f>
        <v>0</v>
      </c>
      <c r="T1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" spans="1:20" x14ac:dyDescent="0.25">
      <c r="A138">
        <v>4</v>
      </c>
      <c r="B138" t="s">
        <v>56</v>
      </c>
      <c r="C138">
        <v>9669177</v>
      </c>
      <c r="D138" s="48">
        <v>43353</v>
      </c>
      <c r="E138" s="48">
        <v>43351</v>
      </c>
      <c r="F138" s="48">
        <v>43364</v>
      </c>
      <c r="G138" t="s">
        <v>140</v>
      </c>
      <c r="H138" t="s">
        <v>141</v>
      </c>
      <c r="I138">
        <v>1</v>
      </c>
      <c r="J138" t="s">
        <v>949</v>
      </c>
      <c r="K138">
        <v>0</v>
      </c>
      <c r="L138">
        <v>0</v>
      </c>
      <c r="M138" t="s">
        <v>12</v>
      </c>
      <c r="N138">
        <v>0</v>
      </c>
      <c r="O138">
        <f>+Tabla__192.168.1.8_POSEIDONSQL_APPFVT_01_tbl_detalle_fill_rate[[#This Row],[emb_cantidad]]-Tabla__192.168.1.8_POSEIDONSQL_APPFVT_01_tbl_detalle_fill_rate[[#This Row],[dev_cantidad]]</f>
        <v>0</v>
      </c>
      <c r="P13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8" s="1">
        <f>+Tabla__192.168.1.8_POSEIDONSQL_APPFVT_01_tbl_detalle_fill_rate[[#This Row],[Cumpl Real Unds]]-Tabla__192.168.1.8_POSEIDONSQL_APPFVT_01_tbl_detalle_fill_rate[[#This Row],[Cant Embarcada]]</f>
        <v>0</v>
      </c>
      <c r="S138" s="1">
        <f>+IF(Tabla__192.168.1.8_POSEIDONSQL_APPFVT_01_tbl_detalle_fill_rate[[#This Row],[Pend Emb]]&gt;0,1,0)</f>
        <v>0</v>
      </c>
      <c r="T1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" spans="1:20" x14ac:dyDescent="0.25">
      <c r="A139">
        <v>4</v>
      </c>
      <c r="B139" t="s">
        <v>56</v>
      </c>
      <c r="C139">
        <v>9669214</v>
      </c>
      <c r="D139" s="48">
        <v>43353</v>
      </c>
      <c r="E139" s="48">
        <v>43351</v>
      </c>
      <c r="F139" s="48">
        <v>43357</v>
      </c>
      <c r="G139" t="s">
        <v>90</v>
      </c>
      <c r="H139" t="s">
        <v>91</v>
      </c>
      <c r="I139">
        <v>1</v>
      </c>
      <c r="J139" t="s">
        <v>930</v>
      </c>
      <c r="K139">
        <v>1</v>
      </c>
      <c r="L139">
        <v>1</v>
      </c>
      <c r="M139" t="s">
        <v>426</v>
      </c>
      <c r="N139">
        <v>0</v>
      </c>
      <c r="O139">
        <f>+Tabla__192.168.1.8_POSEIDONSQL_APPFVT_01_tbl_detalle_fill_rate[[#This Row],[emb_cantidad]]-Tabla__192.168.1.8_POSEIDONSQL_APPFVT_01_tbl_detalle_fill_rate[[#This Row],[dev_cantidad]]</f>
        <v>1</v>
      </c>
      <c r="P13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" s="1">
        <f>+Tabla__192.168.1.8_POSEIDONSQL_APPFVT_01_tbl_detalle_fill_rate[[#This Row],[Cumpl Real Unds]]-Tabla__192.168.1.8_POSEIDONSQL_APPFVT_01_tbl_detalle_fill_rate[[#This Row],[Cant Embarcada]]</f>
        <v>0</v>
      </c>
      <c r="S139" s="1">
        <f>+IF(Tabla__192.168.1.8_POSEIDONSQL_APPFVT_01_tbl_detalle_fill_rate[[#This Row],[Pend Emb]]&gt;0,1,0)</f>
        <v>0</v>
      </c>
      <c r="T1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" spans="1:20" x14ac:dyDescent="0.25">
      <c r="A140">
        <v>4</v>
      </c>
      <c r="B140" t="s">
        <v>56</v>
      </c>
      <c r="C140">
        <v>9669234</v>
      </c>
      <c r="D140" s="48">
        <v>43353</v>
      </c>
      <c r="E140" s="48">
        <v>43351</v>
      </c>
      <c r="F140" s="48">
        <v>43357</v>
      </c>
      <c r="G140" t="s">
        <v>74</v>
      </c>
      <c r="H140" t="s">
        <v>75</v>
      </c>
      <c r="I140">
        <v>1</v>
      </c>
      <c r="J140" t="s">
        <v>931</v>
      </c>
      <c r="K140">
        <v>1</v>
      </c>
      <c r="L140">
        <v>1</v>
      </c>
      <c r="M140" t="s">
        <v>426</v>
      </c>
      <c r="N140">
        <v>0</v>
      </c>
      <c r="O140">
        <f>+Tabla__192.168.1.8_POSEIDONSQL_APPFVT_01_tbl_detalle_fill_rate[[#This Row],[emb_cantidad]]-Tabla__192.168.1.8_POSEIDONSQL_APPFVT_01_tbl_detalle_fill_rate[[#This Row],[dev_cantidad]]</f>
        <v>1</v>
      </c>
      <c r="P14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" s="1">
        <f>+Tabla__192.168.1.8_POSEIDONSQL_APPFVT_01_tbl_detalle_fill_rate[[#This Row],[Cumpl Real Unds]]-Tabla__192.168.1.8_POSEIDONSQL_APPFVT_01_tbl_detalle_fill_rate[[#This Row],[Cant Embarcada]]</f>
        <v>0</v>
      </c>
      <c r="S140" s="1">
        <f>+IF(Tabla__192.168.1.8_POSEIDONSQL_APPFVT_01_tbl_detalle_fill_rate[[#This Row],[Pend Emb]]&gt;0,1,0)</f>
        <v>0</v>
      </c>
      <c r="T1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" spans="1:20" x14ac:dyDescent="0.25">
      <c r="A141">
        <v>4</v>
      </c>
      <c r="B141" t="s">
        <v>56</v>
      </c>
      <c r="C141">
        <v>9669286</v>
      </c>
      <c r="D141" s="48">
        <v>43353</v>
      </c>
      <c r="E141" s="48">
        <v>43351</v>
      </c>
      <c r="F141" s="48">
        <v>43357</v>
      </c>
      <c r="G141" t="s">
        <v>170</v>
      </c>
      <c r="H141" t="s">
        <v>171</v>
      </c>
      <c r="I141">
        <v>1</v>
      </c>
      <c r="J141" t="s">
        <v>932</v>
      </c>
      <c r="K141">
        <v>1</v>
      </c>
      <c r="L141">
        <v>1</v>
      </c>
      <c r="M141" t="s">
        <v>426</v>
      </c>
      <c r="N141">
        <v>0</v>
      </c>
      <c r="O141">
        <f>+Tabla__192.168.1.8_POSEIDONSQL_APPFVT_01_tbl_detalle_fill_rate[[#This Row],[emb_cantidad]]-Tabla__192.168.1.8_POSEIDONSQL_APPFVT_01_tbl_detalle_fill_rate[[#This Row],[dev_cantidad]]</f>
        <v>1</v>
      </c>
      <c r="P14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" s="1">
        <f>+Tabla__192.168.1.8_POSEIDONSQL_APPFVT_01_tbl_detalle_fill_rate[[#This Row],[Cumpl Real Unds]]-Tabla__192.168.1.8_POSEIDONSQL_APPFVT_01_tbl_detalle_fill_rate[[#This Row],[Cant Embarcada]]</f>
        <v>0</v>
      </c>
      <c r="S141" s="1">
        <f>+IF(Tabla__192.168.1.8_POSEIDONSQL_APPFVT_01_tbl_detalle_fill_rate[[#This Row],[Pend Emb]]&gt;0,1,0)</f>
        <v>0</v>
      </c>
      <c r="T1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" spans="1:20" x14ac:dyDescent="0.25">
      <c r="A142">
        <v>4</v>
      </c>
      <c r="B142" t="s">
        <v>56</v>
      </c>
      <c r="C142">
        <v>9669293</v>
      </c>
      <c r="D142" s="48">
        <v>43353</v>
      </c>
      <c r="E142" s="48">
        <v>43351</v>
      </c>
      <c r="F142" s="48">
        <v>43357</v>
      </c>
      <c r="G142" t="s">
        <v>933</v>
      </c>
      <c r="H142" t="s">
        <v>934</v>
      </c>
      <c r="I142">
        <v>1</v>
      </c>
      <c r="J142" t="s">
        <v>935</v>
      </c>
      <c r="K142">
        <v>1</v>
      </c>
      <c r="L142">
        <v>1</v>
      </c>
      <c r="M142" t="s">
        <v>426</v>
      </c>
      <c r="N142">
        <v>0</v>
      </c>
      <c r="O142">
        <f>+Tabla__192.168.1.8_POSEIDONSQL_APPFVT_01_tbl_detalle_fill_rate[[#This Row],[emb_cantidad]]-Tabla__192.168.1.8_POSEIDONSQL_APPFVT_01_tbl_detalle_fill_rate[[#This Row],[dev_cantidad]]</f>
        <v>1</v>
      </c>
      <c r="P14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" s="1">
        <f>+Tabla__192.168.1.8_POSEIDONSQL_APPFVT_01_tbl_detalle_fill_rate[[#This Row],[Cumpl Real Unds]]-Tabla__192.168.1.8_POSEIDONSQL_APPFVT_01_tbl_detalle_fill_rate[[#This Row],[Cant Embarcada]]</f>
        <v>0</v>
      </c>
      <c r="S142" s="1">
        <f>+IF(Tabla__192.168.1.8_POSEIDONSQL_APPFVT_01_tbl_detalle_fill_rate[[#This Row],[Pend Emb]]&gt;0,1,0)</f>
        <v>0</v>
      </c>
      <c r="T1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" spans="1:20" x14ac:dyDescent="0.25">
      <c r="A143">
        <v>4</v>
      </c>
      <c r="B143" t="s">
        <v>56</v>
      </c>
      <c r="C143">
        <v>9669393</v>
      </c>
      <c r="D143" s="48">
        <v>43353</v>
      </c>
      <c r="E143" s="48">
        <v>43352</v>
      </c>
      <c r="F143" s="48">
        <v>43357</v>
      </c>
      <c r="G143" t="s">
        <v>860</v>
      </c>
      <c r="H143" t="s">
        <v>861</v>
      </c>
      <c r="I143">
        <v>1</v>
      </c>
      <c r="J143" t="s">
        <v>862</v>
      </c>
      <c r="K143">
        <v>1</v>
      </c>
      <c r="L143">
        <v>1</v>
      </c>
      <c r="M143" t="s">
        <v>426</v>
      </c>
      <c r="N143">
        <v>0</v>
      </c>
      <c r="O143">
        <f>+Tabla__192.168.1.8_POSEIDONSQL_APPFVT_01_tbl_detalle_fill_rate[[#This Row],[emb_cantidad]]-Tabla__192.168.1.8_POSEIDONSQL_APPFVT_01_tbl_detalle_fill_rate[[#This Row],[dev_cantidad]]</f>
        <v>1</v>
      </c>
      <c r="P14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" s="1">
        <f>+Tabla__192.168.1.8_POSEIDONSQL_APPFVT_01_tbl_detalle_fill_rate[[#This Row],[Cumpl Real Unds]]-Tabla__192.168.1.8_POSEIDONSQL_APPFVT_01_tbl_detalle_fill_rate[[#This Row],[Cant Embarcada]]</f>
        <v>0</v>
      </c>
      <c r="S143" s="1">
        <f>+IF(Tabla__192.168.1.8_POSEIDONSQL_APPFVT_01_tbl_detalle_fill_rate[[#This Row],[Pend Emb]]&gt;0,1,0)</f>
        <v>0</v>
      </c>
      <c r="T1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" spans="1:20" x14ac:dyDescent="0.25">
      <c r="A144">
        <v>4</v>
      </c>
      <c r="B144" t="s">
        <v>56</v>
      </c>
      <c r="C144">
        <v>9669579</v>
      </c>
      <c r="D144" s="48">
        <v>43353</v>
      </c>
      <c r="E144" s="48">
        <v>43352</v>
      </c>
      <c r="F144" s="48">
        <v>43357</v>
      </c>
      <c r="G144" t="s">
        <v>285</v>
      </c>
      <c r="H144" t="s">
        <v>286</v>
      </c>
      <c r="I144">
        <v>1</v>
      </c>
      <c r="J144" t="s">
        <v>863</v>
      </c>
      <c r="K144">
        <v>1</v>
      </c>
      <c r="L144">
        <v>1</v>
      </c>
      <c r="M144" t="s">
        <v>426</v>
      </c>
      <c r="N144">
        <v>0</v>
      </c>
      <c r="O144">
        <f>+Tabla__192.168.1.8_POSEIDONSQL_APPFVT_01_tbl_detalle_fill_rate[[#This Row],[emb_cantidad]]-Tabla__192.168.1.8_POSEIDONSQL_APPFVT_01_tbl_detalle_fill_rate[[#This Row],[dev_cantidad]]</f>
        <v>1</v>
      </c>
      <c r="P14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" s="1">
        <f>+Tabla__192.168.1.8_POSEIDONSQL_APPFVT_01_tbl_detalle_fill_rate[[#This Row],[Cumpl Real Unds]]-Tabla__192.168.1.8_POSEIDONSQL_APPFVT_01_tbl_detalle_fill_rate[[#This Row],[Cant Embarcada]]</f>
        <v>0</v>
      </c>
      <c r="S144" s="1">
        <f>+IF(Tabla__192.168.1.8_POSEIDONSQL_APPFVT_01_tbl_detalle_fill_rate[[#This Row],[Pend Emb]]&gt;0,1,0)</f>
        <v>0</v>
      </c>
      <c r="T1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" spans="1:20" x14ac:dyDescent="0.25">
      <c r="A145">
        <v>4</v>
      </c>
      <c r="B145" t="s">
        <v>56</v>
      </c>
      <c r="C145">
        <v>9670157</v>
      </c>
      <c r="D145" s="48">
        <v>43353</v>
      </c>
      <c r="E145" s="48">
        <v>43352</v>
      </c>
      <c r="F145" s="48">
        <v>43357</v>
      </c>
      <c r="G145" t="s">
        <v>102</v>
      </c>
      <c r="H145" t="s">
        <v>103</v>
      </c>
      <c r="I145">
        <v>1</v>
      </c>
      <c r="J145" t="s">
        <v>864</v>
      </c>
      <c r="K145">
        <v>1</v>
      </c>
      <c r="L145">
        <v>1</v>
      </c>
      <c r="M145" t="s">
        <v>426</v>
      </c>
      <c r="N145">
        <v>0</v>
      </c>
      <c r="O145">
        <f>+Tabla__192.168.1.8_POSEIDONSQL_APPFVT_01_tbl_detalle_fill_rate[[#This Row],[emb_cantidad]]-Tabla__192.168.1.8_POSEIDONSQL_APPFVT_01_tbl_detalle_fill_rate[[#This Row],[dev_cantidad]]</f>
        <v>1</v>
      </c>
      <c r="P14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" s="1">
        <f>+Tabla__192.168.1.8_POSEIDONSQL_APPFVT_01_tbl_detalle_fill_rate[[#This Row],[Cumpl Real Unds]]-Tabla__192.168.1.8_POSEIDONSQL_APPFVT_01_tbl_detalle_fill_rate[[#This Row],[Cant Embarcada]]</f>
        <v>0</v>
      </c>
      <c r="S145" s="1">
        <f>+IF(Tabla__192.168.1.8_POSEIDONSQL_APPFVT_01_tbl_detalle_fill_rate[[#This Row],[Pend Emb]]&gt;0,1,0)</f>
        <v>0</v>
      </c>
      <c r="T1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" spans="1:20" x14ac:dyDescent="0.25">
      <c r="A146">
        <v>4</v>
      </c>
      <c r="B146" t="s">
        <v>56</v>
      </c>
      <c r="C146">
        <v>9670925</v>
      </c>
      <c r="D146" s="48">
        <v>43353</v>
      </c>
      <c r="E146" s="48">
        <v>43352</v>
      </c>
      <c r="F146" s="48">
        <v>43357</v>
      </c>
      <c r="G146" t="s">
        <v>92</v>
      </c>
      <c r="H146" t="s">
        <v>93</v>
      </c>
      <c r="I146">
        <v>1</v>
      </c>
      <c r="J146" t="s">
        <v>865</v>
      </c>
      <c r="K146">
        <v>1</v>
      </c>
      <c r="L146">
        <v>1</v>
      </c>
      <c r="M146" t="s">
        <v>426</v>
      </c>
      <c r="N146">
        <v>0</v>
      </c>
      <c r="O146">
        <f>+Tabla__192.168.1.8_POSEIDONSQL_APPFVT_01_tbl_detalle_fill_rate[[#This Row],[emb_cantidad]]-Tabla__192.168.1.8_POSEIDONSQL_APPFVT_01_tbl_detalle_fill_rate[[#This Row],[dev_cantidad]]</f>
        <v>1</v>
      </c>
      <c r="P14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" s="1">
        <f>+Tabla__192.168.1.8_POSEIDONSQL_APPFVT_01_tbl_detalle_fill_rate[[#This Row],[Cumpl Real Unds]]-Tabla__192.168.1.8_POSEIDONSQL_APPFVT_01_tbl_detalle_fill_rate[[#This Row],[Cant Embarcada]]</f>
        <v>0</v>
      </c>
      <c r="S146" s="1">
        <f>+IF(Tabla__192.168.1.8_POSEIDONSQL_APPFVT_01_tbl_detalle_fill_rate[[#This Row],[Pend Emb]]&gt;0,1,0)</f>
        <v>0</v>
      </c>
      <c r="T1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" spans="1:20" x14ac:dyDescent="0.25">
      <c r="A147">
        <v>4</v>
      </c>
      <c r="B147" t="s">
        <v>56</v>
      </c>
      <c r="C147">
        <v>9671287</v>
      </c>
      <c r="D147" s="48">
        <v>43353</v>
      </c>
      <c r="E147" s="48">
        <v>43352</v>
      </c>
      <c r="F147" s="48">
        <v>43357</v>
      </c>
      <c r="G147" t="s">
        <v>96</v>
      </c>
      <c r="H147" t="s">
        <v>97</v>
      </c>
      <c r="I147">
        <v>1</v>
      </c>
      <c r="J147" t="s">
        <v>866</v>
      </c>
      <c r="K147">
        <v>1</v>
      </c>
      <c r="L147">
        <v>1</v>
      </c>
      <c r="M147" t="s">
        <v>426</v>
      </c>
      <c r="N147">
        <v>0</v>
      </c>
      <c r="O147">
        <f>+Tabla__192.168.1.8_POSEIDONSQL_APPFVT_01_tbl_detalle_fill_rate[[#This Row],[emb_cantidad]]-Tabla__192.168.1.8_POSEIDONSQL_APPFVT_01_tbl_detalle_fill_rate[[#This Row],[dev_cantidad]]</f>
        <v>1</v>
      </c>
      <c r="P14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" s="1">
        <f>+Tabla__192.168.1.8_POSEIDONSQL_APPFVT_01_tbl_detalle_fill_rate[[#This Row],[Cumpl Real Unds]]-Tabla__192.168.1.8_POSEIDONSQL_APPFVT_01_tbl_detalle_fill_rate[[#This Row],[Cant Embarcada]]</f>
        <v>0</v>
      </c>
      <c r="S147" s="1">
        <f>+IF(Tabla__192.168.1.8_POSEIDONSQL_APPFVT_01_tbl_detalle_fill_rate[[#This Row],[Pend Emb]]&gt;0,1,0)</f>
        <v>0</v>
      </c>
      <c r="T1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" spans="1:20" x14ac:dyDescent="0.25">
      <c r="A148">
        <v>4</v>
      </c>
      <c r="B148" t="s">
        <v>56</v>
      </c>
      <c r="C148">
        <v>9672639</v>
      </c>
      <c r="D148" s="48">
        <v>43354</v>
      </c>
      <c r="E148" s="48">
        <v>43353</v>
      </c>
      <c r="F148" s="48">
        <v>43357</v>
      </c>
      <c r="G148" t="s">
        <v>285</v>
      </c>
      <c r="H148" t="s">
        <v>286</v>
      </c>
      <c r="I148">
        <v>1</v>
      </c>
      <c r="J148" t="s">
        <v>1678</v>
      </c>
      <c r="K148">
        <v>1</v>
      </c>
      <c r="L148">
        <v>1</v>
      </c>
      <c r="M148" t="s">
        <v>426</v>
      </c>
      <c r="N148">
        <v>0</v>
      </c>
      <c r="O148">
        <f>+Tabla__192.168.1.8_POSEIDONSQL_APPFVT_01_tbl_detalle_fill_rate[[#This Row],[emb_cantidad]]-Tabla__192.168.1.8_POSEIDONSQL_APPFVT_01_tbl_detalle_fill_rate[[#This Row],[dev_cantidad]]</f>
        <v>1</v>
      </c>
      <c r="P14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" s="1">
        <f>+Tabla__192.168.1.8_POSEIDONSQL_APPFVT_01_tbl_detalle_fill_rate[[#This Row],[Cumpl Real Unds]]-Tabla__192.168.1.8_POSEIDONSQL_APPFVT_01_tbl_detalle_fill_rate[[#This Row],[Cant Embarcada]]</f>
        <v>0</v>
      </c>
      <c r="S148" s="1">
        <f>+IF(Tabla__192.168.1.8_POSEIDONSQL_APPFVT_01_tbl_detalle_fill_rate[[#This Row],[Pend Emb]]&gt;0,1,0)</f>
        <v>0</v>
      </c>
      <c r="T1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" spans="1:20" x14ac:dyDescent="0.25">
      <c r="A149">
        <v>4</v>
      </c>
      <c r="B149" t="s">
        <v>56</v>
      </c>
      <c r="C149">
        <v>9672960</v>
      </c>
      <c r="D149" s="48">
        <v>43354</v>
      </c>
      <c r="E149" s="48">
        <v>43353</v>
      </c>
      <c r="F149" s="48">
        <v>43357</v>
      </c>
      <c r="G149" t="s">
        <v>74</v>
      </c>
      <c r="H149" t="s">
        <v>75</v>
      </c>
      <c r="I149">
        <v>1</v>
      </c>
      <c r="J149" t="s">
        <v>1677</v>
      </c>
      <c r="K149">
        <v>1</v>
      </c>
      <c r="L149">
        <v>1</v>
      </c>
      <c r="M149" t="s">
        <v>426</v>
      </c>
      <c r="N149">
        <v>0</v>
      </c>
      <c r="O149">
        <f>+Tabla__192.168.1.8_POSEIDONSQL_APPFVT_01_tbl_detalle_fill_rate[[#This Row],[emb_cantidad]]-Tabla__192.168.1.8_POSEIDONSQL_APPFVT_01_tbl_detalle_fill_rate[[#This Row],[dev_cantidad]]</f>
        <v>1</v>
      </c>
      <c r="P14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" s="1">
        <f>+Tabla__192.168.1.8_POSEIDONSQL_APPFVT_01_tbl_detalle_fill_rate[[#This Row],[Cumpl Real Unds]]-Tabla__192.168.1.8_POSEIDONSQL_APPFVT_01_tbl_detalle_fill_rate[[#This Row],[Cant Embarcada]]</f>
        <v>0</v>
      </c>
      <c r="S149" s="1">
        <f>+IF(Tabla__192.168.1.8_POSEIDONSQL_APPFVT_01_tbl_detalle_fill_rate[[#This Row],[Pend Emb]]&gt;0,1,0)</f>
        <v>0</v>
      </c>
      <c r="T1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" spans="1:20" x14ac:dyDescent="0.25">
      <c r="A150">
        <v>4</v>
      </c>
      <c r="B150" t="s">
        <v>56</v>
      </c>
      <c r="C150">
        <v>9673781</v>
      </c>
      <c r="D150" s="48">
        <v>43354</v>
      </c>
      <c r="E150" s="48">
        <v>43353</v>
      </c>
      <c r="F150" s="48">
        <v>43364</v>
      </c>
      <c r="G150" t="s">
        <v>74</v>
      </c>
      <c r="H150" t="s">
        <v>75</v>
      </c>
      <c r="I150">
        <v>1</v>
      </c>
      <c r="J150" t="s">
        <v>1679</v>
      </c>
      <c r="K150">
        <v>1</v>
      </c>
      <c r="L150">
        <v>1</v>
      </c>
      <c r="M150" t="s">
        <v>422</v>
      </c>
      <c r="N150">
        <v>0</v>
      </c>
      <c r="O150">
        <f>+Tabla__192.168.1.8_POSEIDONSQL_APPFVT_01_tbl_detalle_fill_rate[[#This Row],[emb_cantidad]]-Tabla__192.168.1.8_POSEIDONSQL_APPFVT_01_tbl_detalle_fill_rate[[#This Row],[dev_cantidad]]</f>
        <v>1</v>
      </c>
      <c r="P15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0" s="1">
        <f>+Tabla__192.168.1.8_POSEIDONSQL_APPFVT_01_tbl_detalle_fill_rate[[#This Row],[Cumpl Real Unds]]-Tabla__192.168.1.8_POSEIDONSQL_APPFVT_01_tbl_detalle_fill_rate[[#This Row],[Cant Embarcada]]</f>
        <v>0</v>
      </c>
      <c r="S150" s="1">
        <f>+IF(Tabla__192.168.1.8_POSEIDONSQL_APPFVT_01_tbl_detalle_fill_rate[[#This Row],[Pend Emb]]&gt;0,1,0)</f>
        <v>0</v>
      </c>
      <c r="T1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" spans="1:20" x14ac:dyDescent="0.25">
      <c r="A151">
        <v>4</v>
      </c>
      <c r="B151" t="s">
        <v>56</v>
      </c>
      <c r="C151">
        <v>9674290</v>
      </c>
      <c r="D151" s="48">
        <v>43354</v>
      </c>
      <c r="E151" s="48">
        <v>43353</v>
      </c>
      <c r="F151" s="48">
        <v>43364</v>
      </c>
      <c r="G151" t="s">
        <v>90</v>
      </c>
      <c r="H151" t="s">
        <v>91</v>
      </c>
      <c r="I151">
        <v>1</v>
      </c>
      <c r="J151" t="s">
        <v>1680</v>
      </c>
      <c r="K151">
        <v>1</v>
      </c>
      <c r="L151">
        <v>1</v>
      </c>
      <c r="M151" t="s">
        <v>422</v>
      </c>
      <c r="N151">
        <v>0</v>
      </c>
      <c r="O151">
        <f>+Tabla__192.168.1.8_POSEIDONSQL_APPFVT_01_tbl_detalle_fill_rate[[#This Row],[emb_cantidad]]-Tabla__192.168.1.8_POSEIDONSQL_APPFVT_01_tbl_detalle_fill_rate[[#This Row],[dev_cantidad]]</f>
        <v>1</v>
      </c>
      <c r="P15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1" s="1">
        <f>+Tabla__192.168.1.8_POSEIDONSQL_APPFVT_01_tbl_detalle_fill_rate[[#This Row],[Cumpl Real Unds]]-Tabla__192.168.1.8_POSEIDONSQL_APPFVT_01_tbl_detalle_fill_rate[[#This Row],[Cant Embarcada]]</f>
        <v>0</v>
      </c>
      <c r="S151" s="1">
        <f>+IF(Tabla__192.168.1.8_POSEIDONSQL_APPFVT_01_tbl_detalle_fill_rate[[#This Row],[Pend Emb]]&gt;0,1,0)</f>
        <v>0</v>
      </c>
      <c r="T1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" spans="1:20" x14ac:dyDescent="0.25">
      <c r="A152">
        <v>4</v>
      </c>
      <c r="B152" t="s">
        <v>56</v>
      </c>
      <c r="C152">
        <v>9674742</v>
      </c>
      <c r="D152" s="48">
        <v>43354</v>
      </c>
      <c r="E152" s="48">
        <v>43353</v>
      </c>
      <c r="F152" s="48">
        <v>43364</v>
      </c>
      <c r="G152" t="s">
        <v>170</v>
      </c>
      <c r="H152" t="s">
        <v>171</v>
      </c>
      <c r="I152">
        <v>1</v>
      </c>
      <c r="J152" t="s">
        <v>1681</v>
      </c>
      <c r="K152">
        <v>1</v>
      </c>
      <c r="L152">
        <v>1</v>
      </c>
      <c r="M152" t="s">
        <v>422</v>
      </c>
      <c r="N152">
        <v>0</v>
      </c>
      <c r="O152">
        <f>+Tabla__192.168.1.8_POSEIDONSQL_APPFVT_01_tbl_detalle_fill_rate[[#This Row],[emb_cantidad]]-Tabla__192.168.1.8_POSEIDONSQL_APPFVT_01_tbl_detalle_fill_rate[[#This Row],[dev_cantidad]]</f>
        <v>1</v>
      </c>
      <c r="P15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2" s="1">
        <f>+Tabla__192.168.1.8_POSEIDONSQL_APPFVT_01_tbl_detalle_fill_rate[[#This Row],[Cumpl Real Unds]]-Tabla__192.168.1.8_POSEIDONSQL_APPFVT_01_tbl_detalle_fill_rate[[#This Row],[Cant Embarcada]]</f>
        <v>0</v>
      </c>
      <c r="S152" s="1">
        <f>+IF(Tabla__192.168.1.8_POSEIDONSQL_APPFVT_01_tbl_detalle_fill_rate[[#This Row],[Pend Emb]]&gt;0,1,0)</f>
        <v>0</v>
      </c>
      <c r="T1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" spans="1:20" x14ac:dyDescent="0.25">
      <c r="A153">
        <v>4</v>
      </c>
      <c r="B153" t="s">
        <v>56</v>
      </c>
      <c r="C153">
        <v>9675309</v>
      </c>
      <c r="D153" s="48">
        <v>43355</v>
      </c>
      <c r="E153" s="48">
        <v>43354</v>
      </c>
      <c r="F153" s="48">
        <v>43364</v>
      </c>
      <c r="G153" t="s">
        <v>74</v>
      </c>
      <c r="H153" t="s">
        <v>75</v>
      </c>
      <c r="I153">
        <v>1</v>
      </c>
      <c r="J153" t="s">
        <v>625</v>
      </c>
      <c r="K153">
        <v>1</v>
      </c>
      <c r="L153">
        <v>1</v>
      </c>
      <c r="M153" t="s">
        <v>422</v>
      </c>
      <c r="N153">
        <v>0</v>
      </c>
      <c r="O153">
        <f>+Tabla__192.168.1.8_POSEIDONSQL_APPFVT_01_tbl_detalle_fill_rate[[#This Row],[emb_cantidad]]-Tabla__192.168.1.8_POSEIDONSQL_APPFVT_01_tbl_detalle_fill_rate[[#This Row],[dev_cantidad]]</f>
        <v>1</v>
      </c>
      <c r="P15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" s="1">
        <f>+Tabla__192.168.1.8_POSEIDONSQL_APPFVT_01_tbl_detalle_fill_rate[[#This Row],[Cumpl Real Unds]]-Tabla__192.168.1.8_POSEIDONSQL_APPFVT_01_tbl_detalle_fill_rate[[#This Row],[Cant Embarcada]]</f>
        <v>0</v>
      </c>
      <c r="S153" s="1">
        <f>+IF(Tabla__192.168.1.8_POSEIDONSQL_APPFVT_01_tbl_detalle_fill_rate[[#This Row],[Pend Emb]]&gt;0,1,0)</f>
        <v>0</v>
      </c>
      <c r="T1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" spans="1:20" x14ac:dyDescent="0.25">
      <c r="A154">
        <v>4</v>
      </c>
      <c r="B154" t="s">
        <v>56</v>
      </c>
      <c r="C154">
        <v>9676310</v>
      </c>
      <c r="D154" s="48">
        <v>43355</v>
      </c>
      <c r="E154" s="48">
        <v>43354</v>
      </c>
      <c r="F154" s="48">
        <v>43364</v>
      </c>
      <c r="G154" t="s">
        <v>64</v>
      </c>
      <c r="H154" t="s">
        <v>65</v>
      </c>
      <c r="I154">
        <v>1</v>
      </c>
      <c r="J154" t="s">
        <v>626</v>
      </c>
      <c r="K154">
        <v>1</v>
      </c>
      <c r="L154">
        <v>1</v>
      </c>
      <c r="M154" t="s">
        <v>422</v>
      </c>
      <c r="N154">
        <v>0</v>
      </c>
      <c r="O154">
        <f>+Tabla__192.168.1.8_POSEIDONSQL_APPFVT_01_tbl_detalle_fill_rate[[#This Row],[emb_cantidad]]-Tabla__192.168.1.8_POSEIDONSQL_APPFVT_01_tbl_detalle_fill_rate[[#This Row],[dev_cantidad]]</f>
        <v>1</v>
      </c>
      <c r="P15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4" s="1">
        <f>+Tabla__192.168.1.8_POSEIDONSQL_APPFVT_01_tbl_detalle_fill_rate[[#This Row],[Cumpl Real Unds]]-Tabla__192.168.1.8_POSEIDONSQL_APPFVT_01_tbl_detalle_fill_rate[[#This Row],[Cant Embarcada]]</f>
        <v>0</v>
      </c>
      <c r="S154" s="1">
        <f>+IF(Tabla__192.168.1.8_POSEIDONSQL_APPFVT_01_tbl_detalle_fill_rate[[#This Row],[Pend Emb]]&gt;0,1,0)</f>
        <v>0</v>
      </c>
      <c r="T1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" spans="1:20" x14ac:dyDescent="0.25">
      <c r="A155">
        <v>4</v>
      </c>
      <c r="B155" t="s">
        <v>56</v>
      </c>
      <c r="C155">
        <v>9676707</v>
      </c>
      <c r="D155" s="48">
        <v>43355</v>
      </c>
      <c r="E155" s="48">
        <v>43354</v>
      </c>
      <c r="F155" s="48">
        <v>43364</v>
      </c>
      <c r="G155" t="s">
        <v>273</v>
      </c>
      <c r="H155" t="s">
        <v>274</v>
      </c>
      <c r="I155">
        <v>1</v>
      </c>
      <c r="J155" t="s">
        <v>620</v>
      </c>
      <c r="K155">
        <v>1</v>
      </c>
      <c r="L155">
        <v>1</v>
      </c>
      <c r="M155" t="s">
        <v>422</v>
      </c>
      <c r="N155">
        <v>0</v>
      </c>
      <c r="O155">
        <f>+Tabla__192.168.1.8_POSEIDONSQL_APPFVT_01_tbl_detalle_fill_rate[[#This Row],[emb_cantidad]]-Tabla__192.168.1.8_POSEIDONSQL_APPFVT_01_tbl_detalle_fill_rate[[#This Row],[dev_cantidad]]</f>
        <v>1</v>
      </c>
      <c r="P15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" s="1">
        <f>+Tabla__192.168.1.8_POSEIDONSQL_APPFVT_01_tbl_detalle_fill_rate[[#This Row],[Cumpl Real Unds]]-Tabla__192.168.1.8_POSEIDONSQL_APPFVT_01_tbl_detalle_fill_rate[[#This Row],[Cant Embarcada]]</f>
        <v>0</v>
      </c>
      <c r="S155" s="1">
        <f>+IF(Tabla__192.168.1.8_POSEIDONSQL_APPFVT_01_tbl_detalle_fill_rate[[#This Row],[Pend Emb]]&gt;0,1,0)</f>
        <v>0</v>
      </c>
      <c r="T1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" spans="1:20" x14ac:dyDescent="0.25">
      <c r="A156">
        <v>4</v>
      </c>
      <c r="B156" t="s">
        <v>56</v>
      </c>
      <c r="C156">
        <v>9676715</v>
      </c>
      <c r="D156" s="48">
        <v>43355</v>
      </c>
      <c r="E156" s="48">
        <v>43354</v>
      </c>
      <c r="F156" s="48">
        <v>43364</v>
      </c>
      <c r="G156" t="s">
        <v>389</v>
      </c>
      <c r="H156" t="s">
        <v>390</v>
      </c>
      <c r="I156">
        <v>1</v>
      </c>
      <c r="J156" t="s">
        <v>621</v>
      </c>
      <c r="K156">
        <v>1</v>
      </c>
      <c r="L156">
        <v>1</v>
      </c>
      <c r="M156" t="s">
        <v>422</v>
      </c>
      <c r="N156">
        <v>0</v>
      </c>
      <c r="O156">
        <f>+Tabla__192.168.1.8_POSEIDONSQL_APPFVT_01_tbl_detalle_fill_rate[[#This Row],[emb_cantidad]]-Tabla__192.168.1.8_POSEIDONSQL_APPFVT_01_tbl_detalle_fill_rate[[#This Row],[dev_cantidad]]</f>
        <v>1</v>
      </c>
      <c r="P15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" s="1">
        <f>+Tabla__192.168.1.8_POSEIDONSQL_APPFVT_01_tbl_detalle_fill_rate[[#This Row],[Cumpl Real Unds]]-Tabla__192.168.1.8_POSEIDONSQL_APPFVT_01_tbl_detalle_fill_rate[[#This Row],[Cant Embarcada]]</f>
        <v>0</v>
      </c>
      <c r="S156" s="1">
        <f>+IF(Tabla__192.168.1.8_POSEIDONSQL_APPFVT_01_tbl_detalle_fill_rate[[#This Row],[Pend Emb]]&gt;0,1,0)</f>
        <v>0</v>
      </c>
      <c r="T1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" spans="1:20" x14ac:dyDescent="0.25">
      <c r="A157">
        <v>4</v>
      </c>
      <c r="B157" t="s">
        <v>56</v>
      </c>
      <c r="C157">
        <v>9677140</v>
      </c>
      <c r="D157" s="48">
        <v>43355</v>
      </c>
      <c r="E157" s="48">
        <v>43354</v>
      </c>
      <c r="F157" s="48">
        <v>43364</v>
      </c>
      <c r="G157" t="s">
        <v>622</v>
      </c>
      <c r="H157" t="s">
        <v>623</v>
      </c>
      <c r="I157">
        <v>1</v>
      </c>
      <c r="J157" t="s">
        <v>624</v>
      </c>
      <c r="K157">
        <v>1</v>
      </c>
      <c r="L157">
        <v>1</v>
      </c>
      <c r="M157" t="s">
        <v>422</v>
      </c>
      <c r="N157">
        <v>0</v>
      </c>
      <c r="O157">
        <f>+Tabla__192.168.1.8_POSEIDONSQL_APPFVT_01_tbl_detalle_fill_rate[[#This Row],[emb_cantidad]]-Tabla__192.168.1.8_POSEIDONSQL_APPFVT_01_tbl_detalle_fill_rate[[#This Row],[dev_cantidad]]</f>
        <v>1</v>
      </c>
      <c r="P15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7" s="1">
        <f>+Tabla__192.168.1.8_POSEIDONSQL_APPFVT_01_tbl_detalle_fill_rate[[#This Row],[Cumpl Real Unds]]-Tabla__192.168.1.8_POSEIDONSQL_APPFVT_01_tbl_detalle_fill_rate[[#This Row],[Cant Embarcada]]</f>
        <v>0</v>
      </c>
      <c r="S157" s="1">
        <f>+IF(Tabla__192.168.1.8_POSEIDONSQL_APPFVT_01_tbl_detalle_fill_rate[[#This Row],[Pend Emb]]&gt;0,1,0)</f>
        <v>0</v>
      </c>
      <c r="T1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" spans="1:20" x14ac:dyDescent="0.25">
      <c r="A158">
        <v>4</v>
      </c>
      <c r="B158" t="s">
        <v>56</v>
      </c>
      <c r="C158">
        <v>9678415</v>
      </c>
      <c r="D158" s="48">
        <v>43356</v>
      </c>
      <c r="E158" s="48">
        <v>43355</v>
      </c>
      <c r="F158" s="48">
        <v>43364</v>
      </c>
      <c r="G158" t="s">
        <v>118</v>
      </c>
      <c r="H158" t="s">
        <v>119</v>
      </c>
      <c r="I158">
        <v>1</v>
      </c>
      <c r="J158" t="s">
        <v>984</v>
      </c>
      <c r="K158">
        <v>1</v>
      </c>
      <c r="L158">
        <v>1</v>
      </c>
      <c r="M158" t="s">
        <v>422</v>
      </c>
      <c r="N158">
        <v>0</v>
      </c>
      <c r="O158">
        <f>+Tabla__192.168.1.8_POSEIDONSQL_APPFVT_01_tbl_detalle_fill_rate[[#This Row],[emb_cantidad]]-Tabla__192.168.1.8_POSEIDONSQL_APPFVT_01_tbl_detalle_fill_rate[[#This Row],[dev_cantidad]]</f>
        <v>1</v>
      </c>
      <c r="P15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" s="1">
        <f>+Tabla__192.168.1.8_POSEIDONSQL_APPFVT_01_tbl_detalle_fill_rate[[#This Row],[Cumpl Real Unds]]-Tabla__192.168.1.8_POSEIDONSQL_APPFVT_01_tbl_detalle_fill_rate[[#This Row],[Cant Embarcada]]</f>
        <v>0</v>
      </c>
      <c r="S158" s="1">
        <f>+IF(Tabla__192.168.1.8_POSEIDONSQL_APPFVT_01_tbl_detalle_fill_rate[[#This Row],[Pend Emb]]&gt;0,1,0)</f>
        <v>0</v>
      </c>
      <c r="T1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" spans="1:20" x14ac:dyDescent="0.25">
      <c r="A159">
        <v>4</v>
      </c>
      <c r="B159" t="s">
        <v>56</v>
      </c>
      <c r="C159">
        <v>9679359</v>
      </c>
      <c r="D159" s="48">
        <v>43356</v>
      </c>
      <c r="E159" s="48">
        <v>43355</v>
      </c>
      <c r="F159" s="48">
        <v>43364</v>
      </c>
      <c r="G159" t="s">
        <v>76</v>
      </c>
      <c r="H159" t="s">
        <v>77</v>
      </c>
      <c r="I159">
        <v>1</v>
      </c>
      <c r="J159" t="s">
        <v>985</v>
      </c>
      <c r="K159">
        <v>1</v>
      </c>
      <c r="L159">
        <v>1</v>
      </c>
      <c r="M159" t="s">
        <v>422</v>
      </c>
      <c r="N159">
        <v>0</v>
      </c>
      <c r="O159">
        <f>+Tabla__192.168.1.8_POSEIDONSQL_APPFVT_01_tbl_detalle_fill_rate[[#This Row],[emb_cantidad]]-Tabla__192.168.1.8_POSEIDONSQL_APPFVT_01_tbl_detalle_fill_rate[[#This Row],[dev_cantidad]]</f>
        <v>1</v>
      </c>
      <c r="P15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" s="1">
        <f>+Tabla__192.168.1.8_POSEIDONSQL_APPFVT_01_tbl_detalle_fill_rate[[#This Row],[Cumpl Real Unds]]-Tabla__192.168.1.8_POSEIDONSQL_APPFVT_01_tbl_detalle_fill_rate[[#This Row],[Cant Embarcada]]</f>
        <v>0</v>
      </c>
      <c r="S159" s="1">
        <f>+IF(Tabla__192.168.1.8_POSEIDONSQL_APPFVT_01_tbl_detalle_fill_rate[[#This Row],[Pend Emb]]&gt;0,1,0)</f>
        <v>0</v>
      </c>
      <c r="T1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" spans="1:20" x14ac:dyDescent="0.25">
      <c r="A160">
        <v>4</v>
      </c>
      <c r="B160" t="s">
        <v>56</v>
      </c>
      <c r="C160">
        <v>9680277</v>
      </c>
      <c r="D160" s="48">
        <v>43357</v>
      </c>
      <c r="E160" s="48">
        <v>43356</v>
      </c>
      <c r="F160" s="48">
        <v>43364</v>
      </c>
      <c r="G160" t="s">
        <v>92</v>
      </c>
      <c r="H160" t="s">
        <v>93</v>
      </c>
      <c r="I160">
        <v>1</v>
      </c>
      <c r="J160" t="s">
        <v>1332</v>
      </c>
      <c r="K160">
        <v>1</v>
      </c>
      <c r="L160">
        <v>1</v>
      </c>
      <c r="M160" t="s">
        <v>422</v>
      </c>
      <c r="N160">
        <v>0</v>
      </c>
      <c r="O160">
        <f>+Tabla__192.168.1.8_POSEIDONSQL_APPFVT_01_tbl_detalle_fill_rate[[#This Row],[emb_cantidad]]-Tabla__192.168.1.8_POSEIDONSQL_APPFVT_01_tbl_detalle_fill_rate[[#This Row],[dev_cantidad]]</f>
        <v>1</v>
      </c>
      <c r="P16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0" s="1">
        <f>+Tabla__192.168.1.8_POSEIDONSQL_APPFVT_01_tbl_detalle_fill_rate[[#This Row],[Cumpl Real Unds]]-Tabla__192.168.1.8_POSEIDONSQL_APPFVT_01_tbl_detalle_fill_rate[[#This Row],[Cant Embarcada]]</f>
        <v>0</v>
      </c>
      <c r="S160" s="1">
        <f>+IF(Tabla__192.168.1.8_POSEIDONSQL_APPFVT_01_tbl_detalle_fill_rate[[#This Row],[Pend Emb]]&gt;0,1,0)</f>
        <v>0</v>
      </c>
      <c r="T1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" spans="1:20" x14ac:dyDescent="0.25">
      <c r="A161">
        <v>4</v>
      </c>
      <c r="B161" t="s">
        <v>56</v>
      </c>
      <c r="C161">
        <v>9680277</v>
      </c>
      <c r="D161" s="48">
        <v>43357</v>
      </c>
      <c r="E161" s="48">
        <v>43356</v>
      </c>
      <c r="F161" s="48">
        <v>43364</v>
      </c>
      <c r="G161" t="s">
        <v>860</v>
      </c>
      <c r="H161" t="s">
        <v>861</v>
      </c>
      <c r="I161">
        <v>1</v>
      </c>
      <c r="J161" t="s">
        <v>1332</v>
      </c>
      <c r="K161">
        <v>1</v>
      </c>
      <c r="L161">
        <v>1</v>
      </c>
      <c r="M161" t="s">
        <v>422</v>
      </c>
      <c r="N161">
        <v>0</v>
      </c>
      <c r="O161">
        <f>+Tabla__192.168.1.8_POSEIDONSQL_APPFVT_01_tbl_detalle_fill_rate[[#This Row],[emb_cantidad]]-Tabla__192.168.1.8_POSEIDONSQL_APPFVT_01_tbl_detalle_fill_rate[[#This Row],[dev_cantidad]]</f>
        <v>1</v>
      </c>
      <c r="P16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1" s="1">
        <f>+Tabla__192.168.1.8_POSEIDONSQL_APPFVT_01_tbl_detalle_fill_rate[[#This Row],[Cumpl Real Unds]]-Tabla__192.168.1.8_POSEIDONSQL_APPFVT_01_tbl_detalle_fill_rate[[#This Row],[Cant Embarcada]]</f>
        <v>0</v>
      </c>
      <c r="S161" s="1">
        <f>+IF(Tabla__192.168.1.8_POSEIDONSQL_APPFVT_01_tbl_detalle_fill_rate[[#This Row],[Pend Emb]]&gt;0,1,0)</f>
        <v>0</v>
      </c>
      <c r="T1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" spans="1:20" x14ac:dyDescent="0.25">
      <c r="A162">
        <v>4</v>
      </c>
      <c r="B162" t="s">
        <v>56</v>
      </c>
      <c r="C162">
        <v>9680826</v>
      </c>
      <c r="D162" s="48">
        <v>43357</v>
      </c>
      <c r="E162" s="48">
        <v>43356</v>
      </c>
      <c r="F162" s="48">
        <v>43364</v>
      </c>
      <c r="G162" t="s">
        <v>70</v>
      </c>
      <c r="H162" t="s">
        <v>71</v>
      </c>
      <c r="I162">
        <v>1</v>
      </c>
      <c r="J162" t="s">
        <v>1331</v>
      </c>
      <c r="K162">
        <v>1</v>
      </c>
      <c r="L162">
        <v>1</v>
      </c>
      <c r="M162" t="s">
        <v>422</v>
      </c>
      <c r="N162">
        <v>0</v>
      </c>
      <c r="O162">
        <f>+Tabla__192.168.1.8_POSEIDONSQL_APPFVT_01_tbl_detalle_fill_rate[[#This Row],[emb_cantidad]]-Tabla__192.168.1.8_POSEIDONSQL_APPFVT_01_tbl_detalle_fill_rate[[#This Row],[dev_cantidad]]</f>
        <v>1</v>
      </c>
      <c r="P16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2" s="1">
        <f>+Tabla__192.168.1.8_POSEIDONSQL_APPFVT_01_tbl_detalle_fill_rate[[#This Row],[Cumpl Real Unds]]-Tabla__192.168.1.8_POSEIDONSQL_APPFVT_01_tbl_detalle_fill_rate[[#This Row],[Cant Embarcada]]</f>
        <v>0</v>
      </c>
      <c r="S162" s="1">
        <f>+IF(Tabla__192.168.1.8_POSEIDONSQL_APPFVT_01_tbl_detalle_fill_rate[[#This Row],[Pend Emb]]&gt;0,1,0)</f>
        <v>0</v>
      </c>
      <c r="T1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" spans="1:20" x14ac:dyDescent="0.25">
      <c r="A163">
        <v>4</v>
      </c>
      <c r="B163" t="s">
        <v>56</v>
      </c>
      <c r="C163">
        <v>9681009</v>
      </c>
      <c r="D163" s="48">
        <v>43357</v>
      </c>
      <c r="E163" s="48">
        <v>43356</v>
      </c>
      <c r="F163" s="48">
        <v>43367</v>
      </c>
      <c r="G163" t="s">
        <v>308</v>
      </c>
      <c r="H163" t="s">
        <v>309</v>
      </c>
      <c r="I163">
        <v>1</v>
      </c>
      <c r="J163" t="s">
        <v>1333</v>
      </c>
      <c r="K163">
        <v>1</v>
      </c>
      <c r="L163">
        <v>1</v>
      </c>
      <c r="M163" t="s">
        <v>422</v>
      </c>
      <c r="N163">
        <v>0</v>
      </c>
      <c r="O163">
        <f>+Tabla__192.168.1.8_POSEIDONSQL_APPFVT_01_tbl_detalle_fill_rate[[#This Row],[emb_cantidad]]-Tabla__192.168.1.8_POSEIDONSQL_APPFVT_01_tbl_detalle_fill_rate[[#This Row],[dev_cantidad]]</f>
        <v>1</v>
      </c>
      <c r="P16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" s="1">
        <f>+Tabla__192.168.1.8_POSEIDONSQL_APPFVT_01_tbl_detalle_fill_rate[[#This Row],[Cumpl Real Unds]]-Tabla__192.168.1.8_POSEIDONSQL_APPFVT_01_tbl_detalle_fill_rate[[#This Row],[Cant Embarcada]]</f>
        <v>0</v>
      </c>
      <c r="S163" s="1">
        <f>+IF(Tabla__192.168.1.8_POSEIDONSQL_APPFVT_01_tbl_detalle_fill_rate[[#This Row],[Pend Emb]]&gt;0,1,0)</f>
        <v>0</v>
      </c>
      <c r="T1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" spans="1:20" x14ac:dyDescent="0.25">
      <c r="A164">
        <v>4</v>
      </c>
      <c r="B164" t="s">
        <v>56</v>
      </c>
      <c r="C164">
        <v>9681826</v>
      </c>
      <c r="D164" s="48">
        <v>43357</v>
      </c>
      <c r="E164" s="48">
        <v>43356</v>
      </c>
      <c r="F164" s="48">
        <v>43369</v>
      </c>
      <c r="G164" t="s">
        <v>90</v>
      </c>
      <c r="H164" t="s">
        <v>91</v>
      </c>
      <c r="I164">
        <v>1</v>
      </c>
      <c r="J164" t="s">
        <v>1732</v>
      </c>
      <c r="K164">
        <v>1</v>
      </c>
      <c r="L164">
        <v>1</v>
      </c>
      <c r="M164" t="s">
        <v>420</v>
      </c>
      <c r="N164">
        <v>0</v>
      </c>
      <c r="O164">
        <f>+Tabla__192.168.1.8_POSEIDONSQL_APPFVT_01_tbl_detalle_fill_rate[[#This Row],[emb_cantidad]]-Tabla__192.168.1.8_POSEIDONSQL_APPFVT_01_tbl_detalle_fill_rate[[#This Row],[dev_cantidad]]</f>
        <v>1</v>
      </c>
      <c r="P16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" s="1">
        <f>+Tabla__192.168.1.8_POSEIDONSQL_APPFVT_01_tbl_detalle_fill_rate[[#This Row],[Cumpl Real Unds]]-Tabla__192.168.1.8_POSEIDONSQL_APPFVT_01_tbl_detalle_fill_rate[[#This Row],[Cant Embarcada]]</f>
        <v>0</v>
      </c>
      <c r="S164" s="1">
        <f>+IF(Tabla__192.168.1.8_POSEIDONSQL_APPFVT_01_tbl_detalle_fill_rate[[#This Row],[Pend Emb]]&gt;0,1,0)</f>
        <v>0</v>
      </c>
      <c r="T1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" spans="1:20" x14ac:dyDescent="0.25">
      <c r="A165">
        <v>4</v>
      </c>
      <c r="B165" t="s">
        <v>56</v>
      </c>
      <c r="C165">
        <v>9682546</v>
      </c>
      <c r="D165" s="48">
        <v>43363</v>
      </c>
      <c r="E165" s="48">
        <v>43357</v>
      </c>
      <c r="F165" s="48">
        <v>43364</v>
      </c>
      <c r="G165" t="s">
        <v>78</v>
      </c>
      <c r="H165" t="s">
        <v>79</v>
      </c>
      <c r="I165">
        <v>1</v>
      </c>
      <c r="J165" t="s">
        <v>1721</v>
      </c>
      <c r="K165">
        <v>1</v>
      </c>
      <c r="L165">
        <v>1</v>
      </c>
      <c r="M165" t="s">
        <v>422</v>
      </c>
      <c r="N165">
        <v>0</v>
      </c>
      <c r="O165">
        <f>+Tabla__192.168.1.8_POSEIDONSQL_APPFVT_01_tbl_detalle_fill_rate[[#This Row],[emb_cantidad]]-Tabla__192.168.1.8_POSEIDONSQL_APPFVT_01_tbl_detalle_fill_rate[[#This Row],[dev_cantidad]]</f>
        <v>1</v>
      </c>
      <c r="P16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5" s="1">
        <f>+Tabla__192.168.1.8_POSEIDONSQL_APPFVT_01_tbl_detalle_fill_rate[[#This Row],[Cumpl Real Unds]]-Tabla__192.168.1.8_POSEIDONSQL_APPFVT_01_tbl_detalle_fill_rate[[#This Row],[Cant Embarcada]]</f>
        <v>0</v>
      </c>
      <c r="S165" s="1">
        <f>+IF(Tabla__192.168.1.8_POSEIDONSQL_APPFVT_01_tbl_detalle_fill_rate[[#This Row],[Pend Emb]]&gt;0,1,0)</f>
        <v>0</v>
      </c>
      <c r="T1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" spans="1:20" x14ac:dyDescent="0.25">
      <c r="A166">
        <v>4</v>
      </c>
      <c r="B166" t="s">
        <v>56</v>
      </c>
      <c r="C166">
        <v>9682598</v>
      </c>
      <c r="D166" s="48">
        <v>43363</v>
      </c>
      <c r="E166" s="48">
        <v>43357</v>
      </c>
      <c r="F166" s="48">
        <v>43369</v>
      </c>
      <c r="G166" t="s">
        <v>122</v>
      </c>
      <c r="H166" t="s">
        <v>123</v>
      </c>
      <c r="I166">
        <v>1</v>
      </c>
      <c r="J166" t="s">
        <v>1733</v>
      </c>
      <c r="K166">
        <v>0</v>
      </c>
      <c r="L166">
        <v>0</v>
      </c>
      <c r="M166" t="s">
        <v>12</v>
      </c>
      <c r="N166">
        <v>0</v>
      </c>
      <c r="O166">
        <f>+Tabla__192.168.1.8_POSEIDONSQL_APPFVT_01_tbl_detalle_fill_rate[[#This Row],[emb_cantidad]]-Tabla__192.168.1.8_POSEIDONSQL_APPFVT_01_tbl_detalle_fill_rate[[#This Row],[dev_cantidad]]</f>
        <v>0</v>
      </c>
      <c r="P16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6" s="1">
        <f>+Tabla__192.168.1.8_POSEIDONSQL_APPFVT_01_tbl_detalle_fill_rate[[#This Row],[Cumpl Real Unds]]-Tabla__192.168.1.8_POSEIDONSQL_APPFVT_01_tbl_detalle_fill_rate[[#This Row],[Cant Embarcada]]</f>
        <v>0</v>
      </c>
      <c r="S166" s="1">
        <f>+IF(Tabla__192.168.1.8_POSEIDONSQL_APPFVT_01_tbl_detalle_fill_rate[[#This Row],[Pend Emb]]&gt;0,1,0)</f>
        <v>0</v>
      </c>
      <c r="T1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" spans="1:20" x14ac:dyDescent="0.25">
      <c r="A167">
        <v>4</v>
      </c>
      <c r="B167" t="s">
        <v>56</v>
      </c>
      <c r="C167">
        <v>9685237</v>
      </c>
      <c r="D167" s="48">
        <v>43363</v>
      </c>
      <c r="E167" s="48">
        <v>43359</v>
      </c>
      <c r="F167" s="48">
        <v>43369</v>
      </c>
      <c r="G167" t="s">
        <v>90</v>
      </c>
      <c r="H167" t="s">
        <v>91</v>
      </c>
      <c r="I167">
        <v>1</v>
      </c>
      <c r="J167" t="s">
        <v>1734</v>
      </c>
      <c r="K167">
        <v>1</v>
      </c>
      <c r="L167">
        <v>1</v>
      </c>
      <c r="M167" t="s">
        <v>420</v>
      </c>
      <c r="N167">
        <v>0</v>
      </c>
      <c r="O167">
        <f>+Tabla__192.168.1.8_POSEIDONSQL_APPFVT_01_tbl_detalle_fill_rate[[#This Row],[emb_cantidad]]-Tabla__192.168.1.8_POSEIDONSQL_APPFVT_01_tbl_detalle_fill_rate[[#This Row],[dev_cantidad]]</f>
        <v>1</v>
      </c>
      <c r="P16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7" s="1">
        <f>+Tabla__192.168.1.8_POSEIDONSQL_APPFVT_01_tbl_detalle_fill_rate[[#This Row],[Cumpl Real Unds]]-Tabla__192.168.1.8_POSEIDONSQL_APPFVT_01_tbl_detalle_fill_rate[[#This Row],[Cant Embarcada]]</f>
        <v>0</v>
      </c>
      <c r="S167" s="1">
        <f>+IF(Tabla__192.168.1.8_POSEIDONSQL_APPFVT_01_tbl_detalle_fill_rate[[#This Row],[Pend Emb]]&gt;0,1,0)</f>
        <v>0</v>
      </c>
      <c r="T1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8" spans="1:20" x14ac:dyDescent="0.25">
      <c r="A168">
        <v>4</v>
      </c>
      <c r="B168" t="s">
        <v>56</v>
      </c>
      <c r="C168">
        <v>9685449</v>
      </c>
      <c r="D168" s="48">
        <v>43363</v>
      </c>
      <c r="E168" s="48">
        <v>43359</v>
      </c>
      <c r="F168" s="48">
        <v>43369</v>
      </c>
      <c r="G168" t="s">
        <v>140</v>
      </c>
      <c r="H168" t="s">
        <v>141</v>
      </c>
      <c r="I168">
        <v>1</v>
      </c>
      <c r="J168" t="s">
        <v>1727</v>
      </c>
      <c r="K168">
        <v>1</v>
      </c>
      <c r="L168">
        <v>1</v>
      </c>
      <c r="M168" t="s">
        <v>420</v>
      </c>
      <c r="N168">
        <v>0</v>
      </c>
      <c r="O168">
        <f>+Tabla__192.168.1.8_POSEIDONSQL_APPFVT_01_tbl_detalle_fill_rate[[#This Row],[emb_cantidad]]-Tabla__192.168.1.8_POSEIDONSQL_APPFVT_01_tbl_detalle_fill_rate[[#This Row],[dev_cantidad]]</f>
        <v>1</v>
      </c>
      <c r="P16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8" s="1">
        <f>+Tabla__192.168.1.8_POSEIDONSQL_APPFVT_01_tbl_detalle_fill_rate[[#This Row],[Cumpl Real Unds]]-Tabla__192.168.1.8_POSEIDONSQL_APPFVT_01_tbl_detalle_fill_rate[[#This Row],[Cant Embarcada]]</f>
        <v>0</v>
      </c>
      <c r="S168" s="1">
        <f>+IF(Tabla__192.168.1.8_POSEIDONSQL_APPFVT_01_tbl_detalle_fill_rate[[#This Row],[Pend Emb]]&gt;0,1,0)</f>
        <v>0</v>
      </c>
      <c r="T1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9" spans="1:20" x14ac:dyDescent="0.25">
      <c r="A169">
        <v>4</v>
      </c>
      <c r="B169" t="s">
        <v>56</v>
      </c>
      <c r="C169">
        <v>9685926</v>
      </c>
      <c r="D169" s="48">
        <v>43363</v>
      </c>
      <c r="E169" s="48">
        <v>43359</v>
      </c>
      <c r="F169" s="48">
        <v>43369</v>
      </c>
      <c r="G169" t="s">
        <v>62</v>
      </c>
      <c r="H169" t="s">
        <v>63</v>
      </c>
      <c r="I169">
        <v>1</v>
      </c>
      <c r="J169" t="s">
        <v>1728</v>
      </c>
      <c r="K169">
        <v>1</v>
      </c>
      <c r="L169">
        <v>1</v>
      </c>
      <c r="M169" t="s">
        <v>420</v>
      </c>
      <c r="N169">
        <v>0</v>
      </c>
      <c r="O169">
        <f>+Tabla__192.168.1.8_POSEIDONSQL_APPFVT_01_tbl_detalle_fill_rate[[#This Row],[emb_cantidad]]-Tabla__192.168.1.8_POSEIDONSQL_APPFVT_01_tbl_detalle_fill_rate[[#This Row],[dev_cantidad]]</f>
        <v>1</v>
      </c>
      <c r="P16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9" s="1">
        <f>+Tabla__192.168.1.8_POSEIDONSQL_APPFVT_01_tbl_detalle_fill_rate[[#This Row],[Cumpl Real Unds]]-Tabla__192.168.1.8_POSEIDONSQL_APPFVT_01_tbl_detalle_fill_rate[[#This Row],[Cant Embarcada]]</f>
        <v>0</v>
      </c>
      <c r="S169" s="1">
        <f>+IF(Tabla__192.168.1.8_POSEIDONSQL_APPFVT_01_tbl_detalle_fill_rate[[#This Row],[Pend Emb]]&gt;0,1,0)</f>
        <v>0</v>
      </c>
      <c r="T1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0" spans="1:20" x14ac:dyDescent="0.25">
      <c r="A170">
        <v>4</v>
      </c>
      <c r="B170" t="s">
        <v>56</v>
      </c>
      <c r="C170">
        <v>9686854</v>
      </c>
      <c r="D170" s="48">
        <v>43363</v>
      </c>
      <c r="E170" s="48">
        <v>43360</v>
      </c>
      <c r="F170" s="48">
        <v>43369</v>
      </c>
      <c r="G170" t="s">
        <v>90</v>
      </c>
      <c r="H170" t="s">
        <v>91</v>
      </c>
      <c r="I170">
        <v>1</v>
      </c>
      <c r="J170" t="s">
        <v>1729</v>
      </c>
      <c r="K170">
        <v>1</v>
      </c>
      <c r="L170">
        <v>1</v>
      </c>
      <c r="M170" t="s">
        <v>420</v>
      </c>
      <c r="N170">
        <v>0</v>
      </c>
      <c r="O170">
        <f>+Tabla__192.168.1.8_POSEIDONSQL_APPFVT_01_tbl_detalle_fill_rate[[#This Row],[emb_cantidad]]-Tabla__192.168.1.8_POSEIDONSQL_APPFVT_01_tbl_detalle_fill_rate[[#This Row],[dev_cantidad]]</f>
        <v>1</v>
      </c>
      <c r="P17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0" s="1">
        <f>+Tabla__192.168.1.8_POSEIDONSQL_APPFVT_01_tbl_detalle_fill_rate[[#This Row],[Cumpl Real Unds]]-Tabla__192.168.1.8_POSEIDONSQL_APPFVT_01_tbl_detalle_fill_rate[[#This Row],[Cant Embarcada]]</f>
        <v>0</v>
      </c>
      <c r="S170" s="1">
        <f>+IF(Tabla__192.168.1.8_POSEIDONSQL_APPFVT_01_tbl_detalle_fill_rate[[#This Row],[Pend Emb]]&gt;0,1,0)</f>
        <v>0</v>
      </c>
      <c r="T1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1" spans="1:20" x14ac:dyDescent="0.25">
      <c r="A171">
        <v>5</v>
      </c>
      <c r="B171" t="s">
        <v>57</v>
      </c>
      <c r="C171">
        <v>6504047237</v>
      </c>
      <c r="D171" s="48">
        <v>43356</v>
      </c>
      <c r="E171" s="48">
        <v>43355</v>
      </c>
      <c r="F171" s="48">
        <v>43367</v>
      </c>
      <c r="G171" t="s">
        <v>229</v>
      </c>
      <c r="H171" t="s">
        <v>230</v>
      </c>
      <c r="I171">
        <v>1</v>
      </c>
      <c r="J171" t="s">
        <v>49</v>
      </c>
      <c r="K171">
        <v>1</v>
      </c>
      <c r="L171">
        <v>1</v>
      </c>
      <c r="M171" t="s">
        <v>422</v>
      </c>
      <c r="N171">
        <v>0</v>
      </c>
      <c r="O171">
        <f>+Tabla__192.168.1.8_POSEIDONSQL_APPFVT_01_tbl_detalle_fill_rate[[#This Row],[emb_cantidad]]-Tabla__192.168.1.8_POSEIDONSQL_APPFVT_01_tbl_detalle_fill_rate[[#This Row],[dev_cantidad]]</f>
        <v>1</v>
      </c>
      <c r="P17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1" s="1">
        <f>+Tabla__192.168.1.8_POSEIDONSQL_APPFVT_01_tbl_detalle_fill_rate[[#This Row],[Cumpl Real Unds]]-Tabla__192.168.1.8_POSEIDONSQL_APPFVT_01_tbl_detalle_fill_rate[[#This Row],[Cant Embarcada]]</f>
        <v>0</v>
      </c>
      <c r="S171" s="1">
        <f>+IF(Tabla__192.168.1.8_POSEIDONSQL_APPFVT_01_tbl_detalle_fill_rate[[#This Row],[Pend Emb]]&gt;0,1,0)</f>
        <v>0</v>
      </c>
      <c r="T1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2" spans="1:20" x14ac:dyDescent="0.25">
      <c r="A172">
        <v>5</v>
      </c>
      <c r="B172" t="s">
        <v>57</v>
      </c>
      <c r="C172">
        <v>6504047313</v>
      </c>
      <c r="D172" s="48">
        <v>43356</v>
      </c>
      <c r="E172" s="48">
        <v>43355</v>
      </c>
      <c r="F172" s="48">
        <v>43368</v>
      </c>
      <c r="G172" t="s">
        <v>1994</v>
      </c>
      <c r="H172" t="s">
        <v>1995</v>
      </c>
      <c r="I172">
        <v>6</v>
      </c>
      <c r="J172" t="s">
        <v>49</v>
      </c>
      <c r="K172">
        <v>0</v>
      </c>
      <c r="L172">
        <v>0</v>
      </c>
      <c r="M172" t="s">
        <v>12</v>
      </c>
      <c r="N172">
        <v>0</v>
      </c>
      <c r="O172">
        <f>+Tabla__192.168.1.8_POSEIDONSQL_APPFVT_01_tbl_detalle_fill_rate[[#This Row],[emb_cantidad]]-Tabla__192.168.1.8_POSEIDONSQL_APPFVT_01_tbl_detalle_fill_rate[[#This Row],[dev_cantidad]]</f>
        <v>0</v>
      </c>
      <c r="P17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72" s="1">
        <f>+Tabla__192.168.1.8_POSEIDONSQL_APPFVT_01_tbl_detalle_fill_rate[[#This Row],[Cumpl Real Unds]]-Tabla__192.168.1.8_POSEIDONSQL_APPFVT_01_tbl_detalle_fill_rate[[#This Row],[Cant Embarcada]]</f>
        <v>0</v>
      </c>
      <c r="S172" s="1">
        <f>+IF(Tabla__192.168.1.8_POSEIDONSQL_APPFVT_01_tbl_detalle_fill_rate[[#This Row],[Pend Emb]]&gt;0,1,0)</f>
        <v>0</v>
      </c>
      <c r="T1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3" spans="1:20" x14ac:dyDescent="0.25">
      <c r="A173">
        <v>5</v>
      </c>
      <c r="B173" t="s">
        <v>57</v>
      </c>
      <c r="C173">
        <v>6504047313</v>
      </c>
      <c r="D173" s="48">
        <v>43356</v>
      </c>
      <c r="E173" s="48">
        <v>43355</v>
      </c>
      <c r="F173" s="48">
        <v>43368</v>
      </c>
      <c r="G173" t="s">
        <v>1996</v>
      </c>
      <c r="H173" t="s">
        <v>1997</v>
      </c>
      <c r="I173">
        <v>6</v>
      </c>
      <c r="J173" t="s">
        <v>49</v>
      </c>
      <c r="K173">
        <v>0</v>
      </c>
      <c r="L173">
        <v>0</v>
      </c>
      <c r="M173" t="s">
        <v>12</v>
      </c>
      <c r="N173">
        <v>0</v>
      </c>
      <c r="O173">
        <f>+Tabla__192.168.1.8_POSEIDONSQL_APPFVT_01_tbl_detalle_fill_rate[[#This Row],[emb_cantidad]]-Tabla__192.168.1.8_POSEIDONSQL_APPFVT_01_tbl_detalle_fill_rate[[#This Row],[dev_cantidad]]</f>
        <v>0</v>
      </c>
      <c r="P17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73" s="1">
        <f>+Tabla__192.168.1.8_POSEIDONSQL_APPFVT_01_tbl_detalle_fill_rate[[#This Row],[Cumpl Real Unds]]-Tabla__192.168.1.8_POSEIDONSQL_APPFVT_01_tbl_detalle_fill_rate[[#This Row],[Cant Embarcada]]</f>
        <v>0</v>
      </c>
      <c r="S173" s="1">
        <f>+IF(Tabla__192.168.1.8_POSEIDONSQL_APPFVT_01_tbl_detalle_fill_rate[[#This Row],[Pend Emb]]&gt;0,1,0)</f>
        <v>0</v>
      </c>
      <c r="T1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4" spans="1:20" x14ac:dyDescent="0.25">
      <c r="A174">
        <v>5</v>
      </c>
      <c r="B174" t="s">
        <v>57</v>
      </c>
      <c r="C174">
        <v>6504048568</v>
      </c>
      <c r="D174" s="48">
        <v>43357</v>
      </c>
      <c r="E174" s="48">
        <v>43356</v>
      </c>
      <c r="F174" s="48">
        <v>43367</v>
      </c>
      <c r="G174" t="s">
        <v>68</v>
      </c>
      <c r="H174" t="s">
        <v>69</v>
      </c>
      <c r="I174">
        <v>1</v>
      </c>
      <c r="J174" t="s">
        <v>49</v>
      </c>
      <c r="K174">
        <v>1</v>
      </c>
      <c r="L174">
        <v>1</v>
      </c>
      <c r="M174" t="s">
        <v>422</v>
      </c>
      <c r="N174">
        <v>0</v>
      </c>
      <c r="O174">
        <f>+Tabla__192.168.1.8_POSEIDONSQL_APPFVT_01_tbl_detalle_fill_rate[[#This Row],[emb_cantidad]]-Tabla__192.168.1.8_POSEIDONSQL_APPFVT_01_tbl_detalle_fill_rate[[#This Row],[dev_cantidad]]</f>
        <v>1</v>
      </c>
      <c r="P17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4" s="1">
        <f>+Tabla__192.168.1.8_POSEIDONSQL_APPFVT_01_tbl_detalle_fill_rate[[#This Row],[Cumpl Real Unds]]-Tabla__192.168.1.8_POSEIDONSQL_APPFVT_01_tbl_detalle_fill_rate[[#This Row],[Cant Embarcada]]</f>
        <v>0</v>
      </c>
      <c r="S174" s="1">
        <f>+IF(Tabla__192.168.1.8_POSEIDONSQL_APPFVT_01_tbl_detalle_fill_rate[[#This Row],[Pend Emb]]&gt;0,1,0)</f>
        <v>0</v>
      </c>
      <c r="T1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5" spans="1:20" x14ac:dyDescent="0.25">
      <c r="A175">
        <v>5</v>
      </c>
      <c r="B175" t="s">
        <v>57</v>
      </c>
      <c r="C175">
        <v>6504049872</v>
      </c>
      <c r="D175" s="48">
        <v>43363</v>
      </c>
      <c r="E175" s="48">
        <v>43358</v>
      </c>
      <c r="F175" s="48">
        <v>43367</v>
      </c>
      <c r="G175" t="s">
        <v>1371</v>
      </c>
      <c r="H175" t="s">
        <v>1372</v>
      </c>
      <c r="I175">
        <v>1</v>
      </c>
      <c r="J175" t="s">
        <v>49</v>
      </c>
      <c r="K175">
        <v>1</v>
      </c>
      <c r="L175">
        <v>1</v>
      </c>
      <c r="M175" t="s">
        <v>416</v>
      </c>
      <c r="N175">
        <v>0</v>
      </c>
      <c r="O175">
        <f>+Tabla__192.168.1.8_POSEIDONSQL_APPFVT_01_tbl_detalle_fill_rate[[#This Row],[emb_cantidad]]-Tabla__192.168.1.8_POSEIDONSQL_APPFVT_01_tbl_detalle_fill_rate[[#This Row],[dev_cantidad]]</f>
        <v>1</v>
      </c>
      <c r="P17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5" s="1">
        <f>+Tabla__192.168.1.8_POSEIDONSQL_APPFVT_01_tbl_detalle_fill_rate[[#This Row],[Cumpl Real Unds]]-Tabla__192.168.1.8_POSEIDONSQL_APPFVT_01_tbl_detalle_fill_rate[[#This Row],[Cant Embarcada]]</f>
        <v>0</v>
      </c>
      <c r="S175" s="1">
        <f>+IF(Tabla__192.168.1.8_POSEIDONSQL_APPFVT_01_tbl_detalle_fill_rate[[#This Row],[Pend Emb]]&gt;0,1,0)</f>
        <v>0</v>
      </c>
      <c r="T1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6" spans="1:20" x14ac:dyDescent="0.25">
      <c r="A176">
        <v>5</v>
      </c>
      <c r="B176" t="s">
        <v>57</v>
      </c>
      <c r="C176">
        <v>6504049925</v>
      </c>
      <c r="D176" s="48">
        <v>43363</v>
      </c>
      <c r="E176" s="48">
        <v>43357</v>
      </c>
      <c r="F176" s="48">
        <v>43367</v>
      </c>
      <c r="G176" t="s">
        <v>164</v>
      </c>
      <c r="H176" t="s">
        <v>165</v>
      </c>
      <c r="I176">
        <v>1</v>
      </c>
      <c r="J176" t="s">
        <v>49</v>
      </c>
      <c r="K176">
        <v>1</v>
      </c>
      <c r="L176">
        <v>1</v>
      </c>
      <c r="M176" t="s">
        <v>416</v>
      </c>
      <c r="N176">
        <v>0</v>
      </c>
      <c r="O176">
        <f>+Tabla__192.168.1.8_POSEIDONSQL_APPFVT_01_tbl_detalle_fill_rate[[#This Row],[emb_cantidad]]-Tabla__192.168.1.8_POSEIDONSQL_APPFVT_01_tbl_detalle_fill_rate[[#This Row],[dev_cantidad]]</f>
        <v>1</v>
      </c>
      <c r="P17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6" s="1">
        <f>+Tabla__192.168.1.8_POSEIDONSQL_APPFVT_01_tbl_detalle_fill_rate[[#This Row],[Cumpl Real Unds]]-Tabla__192.168.1.8_POSEIDONSQL_APPFVT_01_tbl_detalle_fill_rate[[#This Row],[Cant Embarcada]]</f>
        <v>0</v>
      </c>
      <c r="S176" s="1">
        <f>+IF(Tabla__192.168.1.8_POSEIDONSQL_APPFVT_01_tbl_detalle_fill_rate[[#This Row],[Pend Emb]]&gt;0,1,0)</f>
        <v>0</v>
      </c>
      <c r="T1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7" spans="1:20" x14ac:dyDescent="0.25">
      <c r="A177">
        <v>5</v>
      </c>
      <c r="B177" t="s">
        <v>57</v>
      </c>
      <c r="C177">
        <v>6504049936</v>
      </c>
      <c r="D177" s="48">
        <v>43363</v>
      </c>
      <c r="E177" s="48">
        <v>43357</v>
      </c>
      <c r="F177" s="48">
        <v>43367</v>
      </c>
      <c r="G177" t="s">
        <v>116</v>
      </c>
      <c r="H177" t="s">
        <v>117</v>
      </c>
      <c r="I177">
        <v>1</v>
      </c>
      <c r="J177" t="s">
        <v>49</v>
      </c>
      <c r="K177">
        <v>1</v>
      </c>
      <c r="L177">
        <v>1</v>
      </c>
      <c r="M177" t="s">
        <v>416</v>
      </c>
      <c r="N177">
        <v>0</v>
      </c>
      <c r="O177">
        <f>+Tabla__192.168.1.8_POSEIDONSQL_APPFVT_01_tbl_detalle_fill_rate[[#This Row],[emb_cantidad]]-Tabla__192.168.1.8_POSEIDONSQL_APPFVT_01_tbl_detalle_fill_rate[[#This Row],[dev_cantidad]]</f>
        <v>1</v>
      </c>
      <c r="P17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7" s="1">
        <f>+Tabla__192.168.1.8_POSEIDONSQL_APPFVT_01_tbl_detalle_fill_rate[[#This Row],[Cumpl Real Unds]]-Tabla__192.168.1.8_POSEIDONSQL_APPFVT_01_tbl_detalle_fill_rate[[#This Row],[Cant Embarcada]]</f>
        <v>0</v>
      </c>
      <c r="S177" s="1">
        <f>+IF(Tabla__192.168.1.8_POSEIDONSQL_APPFVT_01_tbl_detalle_fill_rate[[#This Row],[Pend Emb]]&gt;0,1,0)</f>
        <v>0</v>
      </c>
      <c r="T1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8" spans="1:20" x14ac:dyDescent="0.25">
      <c r="A178">
        <v>5</v>
      </c>
      <c r="B178" t="s">
        <v>57</v>
      </c>
      <c r="C178">
        <v>6504049944</v>
      </c>
      <c r="D178" s="48">
        <v>43363</v>
      </c>
      <c r="E178" s="48">
        <v>43357</v>
      </c>
      <c r="F178" s="48">
        <v>43367</v>
      </c>
      <c r="G178" t="s">
        <v>1371</v>
      </c>
      <c r="H178" t="s">
        <v>1372</v>
      </c>
      <c r="I178">
        <v>1</v>
      </c>
      <c r="J178" t="s">
        <v>49</v>
      </c>
      <c r="K178">
        <v>1</v>
      </c>
      <c r="L178">
        <v>1</v>
      </c>
      <c r="M178" t="s">
        <v>416</v>
      </c>
      <c r="N178">
        <v>0</v>
      </c>
      <c r="O178">
        <f>+Tabla__192.168.1.8_POSEIDONSQL_APPFVT_01_tbl_detalle_fill_rate[[#This Row],[emb_cantidad]]-Tabla__192.168.1.8_POSEIDONSQL_APPFVT_01_tbl_detalle_fill_rate[[#This Row],[dev_cantidad]]</f>
        <v>1</v>
      </c>
      <c r="P178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8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8" s="1">
        <f>+Tabla__192.168.1.8_POSEIDONSQL_APPFVT_01_tbl_detalle_fill_rate[[#This Row],[Cumpl Real Unds]]-Tabla__192.168.1.8_POSEIDONSQL_APPFVT_01_tbl_detalle_fill_rate[[#This Row],[Cant Embarcada]]</f>
        <v>0</v>
      </c>
      <c r="S178" s="1">
        <f>+IF(Tabla__192.168.1.8_POSEIDONSQL_APPFVT_01_tbl_detalle_fill_rate[[#This Row],[Pend Emb]]&gt;0,1,0)</f>
        <v>0</v>
      </c>
      <c r="T1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79" spans="1:20" x14ac:dyDescent="0.25">
      <c r="A179">
        <v>5</v>
      </c>
      <c r="B179" t="s">
        <v>57</v>
      </c>
      <c r="C179">
        <v>6504050671</v>
      </c>
      <c r="D179" s="48">
        <v>43363</v>
      </c>
      <c r="E179" s="48">
        <v>43358</v>
      </c>
      <c r="F179" s="48">
        <v>43369</v>
      </c>
      <c r="G179" t="s">
        <v>168</v>
      </c>
      <c r="H179" t="s">
        <v>169</v>
      </c>
      <c r="I179">
        <v>1</v>
      </c>
      <c r="J179" t="s">
        <v>49</v>
      </c>
      <c r="K179">
        <v>1</v>
      </c>
      <c r="L179">
        <v>1</v>
      </c>
      <c r="M179" t="s">
        <v>416</v>
      </c>
      <c r="N179">
        <v>0</v>
      </c>
      <c r="O179">
        <f>+Tabla__192.168.1.8_POSEIDONSQL_APPFVT_01_tbl_detalle_fill_rate[[#This Row],[emb_cantidad]]-Tabla__192.168.1.8_POSEIDONSQL_APPFVT_01_tbl_detalle_fill_rate[[#This Row],[dev_cantidad]]</f>
        <v>1</v>
      </c>
      <c r="P179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79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79" s="1">
        <f>+Tabla__192.168.1.8_POSEIDONSQL_APPFVT_01_tbl_detalle_fill_rate[[#This Row],[Cumpl Real Unds]]-Tabla__192.168.1.8_POSEIDONSQL_APPFVT_01_tbl_detalle_fill_rate[[#This Row],[Cant Embarcada]]</f>
        <v>0</v>
      </c>
      <c r="S179" s="1">
        <f>+IF(Tabla__192.168.1.8_POSEIDONSQL_APPFVT_01_tbl_detalle_fill_rate[[#This Row],[Pend Emb]]&gt;0,1,0)</f>
        <v>0</v>
      </c>
      <c r="T1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0" spans="1:20" x14ac:dyDescent="0.25">
      <c r="A180">
        <v>5</v>
      </c>
      <c r="B180" t="s">
        <v>57</v>
      </c>
      <c r="C180">
        <v>6504050678</v>
      </c>
      <c r="D180" s="48">
        <v>43363</v>
      </c>
      <c r="E180" s="48">
        <v>43358</v>
      </c>
      <c r="F180" s="48">
        <v>43369</v>
      </c>
      <c r="G180" t="s">
        <v>126</v>
      </c>
      <c r="H180" t="s">
        <v>127</v>
      </c>
      <c r="I180">
        <v>1</v>
      </c>
      <c r="J180" t="s">
        <v>49</v>
      </c>
      <c r="K180">
        <v>1</v>
      </c>
      <c r="L180">
        <v>1</v>
      </c>
      <c r="M180" t="s">
        <v>416</v>
      </c>
      <c r="N180">
        <v>0</v>
      </c>
      <c r="O180">
        <f>+Tabla__192.168.1.8_POSEIDONSQL_APPFVT_01_tbl_detalle_fill_rate[[#This Row],[emb_cantidad]]-Tabla__192.168.1.8_POSEIDONSQL_APPFVT_01_tbl_detalle_fill_rate[[#This Row],[dev_cantidad]]</f>
        <v>1</v>
      </c>
      <c r="P180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0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0" s="1">
        <f>+Tabla__192.168.1.8_POSEIDONSQL_APPFVT_01_tbl_detalle_fill_rate[[#This Row],[Cumpl Real Unds]]-Tabla__192.168.1.8_POSEIDONSQL_APPFVT_01_tbl_detalle_fill_rate[[#This Row],[Cant Embarcada]]</f>
        <v>0</v>
      </c>
      <c r="S180" s="1">
        <f>+IF(Tabla__192.168.1.8_POSEIDONSQL_APPFVT_01_tbl_detalle_fill_rate[[#This Row],[Pend Emb]]&gt;0,1,0)</f>
        <v>0</v>
      </c>
      <c r="T1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1" spans="1:20" x14ac:dyDescent="0.25">
      <c r="A181">
        <v>5</v>
      </c>
      <c r="B181" t="s">
        <v>57</v>
      </c>
      <c r="C181">
        <v>6504050686</v>
      </c>
      <c r="D181" s="48">
        <v>43363</v>
      </c>
      <c r="E181" s="48">
        <v>43358</v>
      </c>
      <c r="F181" s="48">
        <v>43369</v>
      </c>
      <c r="G181" t="s">
        <v>197</v>
      </c>
      <c r="H181" t="s">
        <v>198</v>
      </c>
      <c r="I181">
        <v>1</v>
      </c>
      <c r="J181" t="s">
        <v>49</v>
      </c>
      <c r="K181">
        <v>1</v>
      </c>
      <c r="L181">
        <v>1</v>
      </c>
      <c r="M181" t="s">
        <v>416</v>
      </c>
      <c r="N181">
        <v>0</v>
      </c>
      <c r="O181">
        <f>+Tabla__192.168.1.8_POSEIDONSQL_APPFVT_01_tbl_detalle_fill_rate[[#This Row],[emb_cantidad]]-Tabla__192.168.1.8_POSEIDONSQL_APPFVT_01_tbl_detalle_fill_rate[[#This Row],[dev_cantidad]]</f>
        <v>1</v>
      </c>
      <c r="P18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1" s="1">
        <f>+Tabla__192.168.1.8_POSEIDONSQL_APPFVT_01_tbl_detalle_fill_rate[[#This Row],[Cumpl Real Unds]]-Tabla__192.168.1.8_POSEIDONSQL_APPFVT_01_tbl_detalle_fill_rate[[#This Row],[Cant Embarcada]]</f>
        <v>0</v>
      </c>
      <c r="S181" s="1">
        <f>+IF(Tabla__192.168.1.8_POSEIDONSQL_APPFVT_01_tbl_detalle_fill_rate[[#This Row],[Pend Emb]]&gt;0,1,0)</f>
        <v>0</v>
      </c>
      <c r="T1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2" spans="1:20" x14ac:dyDescent="0.25">
      <c r="A182">
        <v>5</v>
      </c>
      <c r="B182" t="s">
        <v>57</v>
      </c>
      <c r="C182">
        <v>6504050754</v>
      </c>
      <c r="D182" s="48">
        <v>43363</v>
      </c>
      <c r="E182" s="48">
        <v>43360</v>
      </c>
      <c r="F182" s="48">
        <v>43369</v>
      </c>
      <c r="G182" t="s">
        <v>1158</v>
      </c>
      <c r="H182" t="s">
        <v>1159</v>
      </c>
      <c r="I182">
        <v>1</v>
      </c>
      <c r="J182" t="s">
        <v>49</v>
      </c>
      <c r="K182">
        <v>1</v>
      </c>
      <c r="L182">
        <v>1</v>
      </c>
      <c r="M182" t="s">
        <v>416</v>
      </c>
      <c r="N182">
        <v>0</v>
      </c>
      <c r="O182">
        <f>+Tabla__192.168.1.8_POSEIDONSQL_APPFVT_01_tbl_detalle_fill_rate[[#This Row],[emb_cantidad]]-Tabla__192.168.1.8_POSEIDONSQL_APPFVT_01_tbl_detalle_fill_rate[[#This Row],[dev_cantidad]]</f>
        <v>1</v>
      </c>
      <c r="P182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2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2" s="1">
        <f>+Tabla__192.168.1.8_POSEIDONSQL_APPFVT_01_tbl_detalle_fill_rate[[#This Row],[Cumpl Real Unds]]-Tabla__192.168.1.8_POSEIDONSQL_APPFVT_01_tbl_detalle_fill_rate[[#This Row],[Cant Embarcada]]</f>
        <v>0</v>
      </c>
      <c r="S182" s="1">
        <f>+IF(Tabla__192.168.1.8_POSEIDONSQL_APPFVT_01_tbl_detalle_fill_rate[[#This Row],[Pend Emb]]&gt;0,1,0)</f>
        <v>0</v>
      </c>
      <c r="T1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3" spans="1:20" x14ac:dyDescent="0.25">
      <c r="A183">
        <v>5</v>
      </c>
      <c r="B183" t="s">
        <v>57</v>
      </c>
      <c r="C183">
        <v>6504050775</v>
      </c>
      <c r="D183" s="48">
        <v>43363</v>
      </c>
      <c r="E183" s="48">
        <v>43360</v>
      </c>
      <c r="F183" s="48">
        <v>43369</v>
      </c>
      <c r="G183" t="s">
        <v>1371</v>
      </c>
      <c r="H183" t="s">
        <v>1372</v>
      </c>
      <c r="I183">
        <v>1</v>
      </c>
      <c r="J183" t="s">
        <v>49</v>
      </c>
      <c r="K183">
        <v>1</v>
      </c>
      <c r="L183">
        <v>1</v>
      </c>
      <c r="M183" t="s">
        <v>416</v>
      </c>
      <c r="N183">
        <v>0</v>
      </c>
      <c r="O183">
        <f>+Tabla__192.168.1.8_POSEIDONSQL_APPFVT_01_tbl_detalle_fill_rate[[#This Row],[emb_cantidad]]-Tabla__192.168.1.8_POSEIDONSQL_APPFVT_01_tbl_detalle_fill_rate[[#This Row],[dev_cantidad]]</f>
        <v>1</v>
      </c>
      <c r="P183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3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3" s="1">
        <f>+Tabla__192.168.1.8_POSEIDONSQL_APPFVT_01_tbl_detalle_fill_rate[[#This Row],[Cumpl Real Unds]]-Tabla__192.168.1.8_POSEIDONSQL_APPFVT_01_tbl_detalle_fill_rate[[#This Row],[Cant Embarcada]]</f>
        <v>0</v>
      </c>
      <c r="S183" s="1">
        <f>+IF(Tabla__192.168.1.8_POSEIDONSQL_APPFVT_01_tbl_detalle_fill_rate[[#This Row],[Pend Emb]]&gt;0,1,0)</f>
        <v>0</v>
      </c>
      <c r="T1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4" spans="1:20" x14ac:dyDescent="0.25">
      <c r="A184">
        <v>5</v>
      </c>
      <c r="B184" t="s">
        <v>57</v>
      </c>
      <c r="C184">
        <v>6504050782</v>
      </c>
      <c r="D184" s="48">
        <v>43363</v>
      </c>
      <c r="E184" s="48">
        <v>43360</v>
      </c>
      <c r="F184" s="48">
        <v>43369</v>
      </c>
      <c r="G184" t="s">
        <v>304</v>
      </c>
      <c r="H184" t="s">
        <v>305</v>
      </c>
      <c r="I184">
        <v>1</v>
      </c>
      <c r="J184" t="s">
        <v>49</v>
      </c>
      <c r="K184">
        <v>1</v>
      </c>
      <c r="L184">
        <v>1</v>
      </c>
      <c r="M184" t="s">
        <v>416</v>
      </c>
      <c r="N184">
        <v>0</v>
      </c>
      <c r="O184">
        <f>+Tabla__192.168.1.8_POSEIDONSQL_APPFVT_01_tbl_detalle_fill_rate[[#This Row],[emb_cantidad]]-Tabla__192.168.1.8_POSEIDONSQL_APPFVT_01_tbl_detalle_fill_rate[[#This Row],[dev_cantidad]]</f>
        <v>1</v>
      </c>
      <c r="P184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4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4" s="1">
        <f>+Tabla__192.168.1.8_POSEIDONSQL_APPFVT_01_tbl_detalle_fill_rate[[#This Row],[Cumpl Real Unds]]-Tabla__192.168.1.8_POSEIDONSQL_APPFVT_01_tbl_detalle_fill_rate[[#This Row],[Cant Embarcada]]</f>
        <v>0</v>
      </c>
      <c r="S184" s="1">
        <f>+IF(Tabla__192.168.1.8_POSEIDONSQL_APPFVT_01_tbl_detalle_fill_rate[[#This Row],[Pend Emb]]&gt;0,1,0)</f>
        <v>0</v>
      </c>
      <c r="T1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5" spans="1:20" x14ac:dyDescent="0.25">
      <c r="A185">
        <v>5</v>
      </c>
      <c r="B185" t="s">
        <v>57</v>
      </c>
      <c r="C185">
        <v>6504054469</v>
      </c>
      <c r="D185" s="48">
        <v>43363</v>
      </c>
      <c r="E185" s="48">
        <v>43361</v>
      </c>
      <c r="F185" s="48">
        <v>43369</v>
      </c>
      <c r="G185" t="s">
        <v>68</v>
      </c>
      <c r="H185" t="s">
        <v>69</v>
      </c>
      <c r="I185">
        <v>1</v>
      </c>
      <c r="J185" t="s">
        <v>49</v>
      </c>
      <c r="K185">
        <v>1</v>
      </c>
      <c r="L185">
        <v>1</v>
      </c>
      <c r="M185" t="s">
        <v>416</v>
      </c>
      <c r="N185">
        <v>0</v>
      </c>
      <c r="O185">
        <f>+Tabla__192.168.1.8_POSEIDONSQL_APPFVT_01_tbl_detalle_fill_rate[[#This Row],[emb_cantidad]]-Tabla__192.168.1.8_POSEIDONSQL_APPFVT_01_tbl_detalle_fill_rate[[#This Row],[dev_cantidad]]</f>
        <v>1</v>
      </c>
      <c r="P185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5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5" s="1">
        <f>+Tabla__192.168.1.8_POSEIDONSQL_APPFVT_01_tbl_detalle_fill_rate[[#This Row],[Cumpl Real Unds]]-Tabla__192.168.1.8_POSEIDONSQL_APPFVT_01_tbl_detalle_fill_rate[[#This Row],[Cant Embarcada]]</f>
        <v>0</v>
      </c>
      <c r="S185" s="1">
        <f>+IF(Tabla__192.168.1.8_POSEIDONSQL_APPFVT_01_tbl_detalle_fill_rate[[#This Row],[Pend Emb]]&gt;0,1,0)</f>
        <v>0</v>
      </c>
      <c r="T1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6" spans="1:20" x14ac:dyDescent="0.25">
      <c r="A186">
        <v>5</v>
      </c>
      <c r="B186" t="s">
        <v>57</v>
      </c>
      <c r="C186">
        <v>6504056267</v>
      </c>
      <c r="D186" s="48">
        <v>43364</v>
      </c>
      <c r="E186" s="48">
        <v>43363</v>
      </c>
      <c r="F186" s="48">
        <v>43369</v>
      </c>
      <c r="G186" t="s">
        <v>1371</v>
      </c>
      <c r="H186" t="s">
        <v>1372</v>
      </c>
      <c r="I186">
        <v>1</v>
      </c>
      <c r="J186" t="s">
        <v>49</v>
      </c>
      <c r="K186">
        <v>1</v>
      </c>
      <c r="L186">
        <v>1</v>
      </c>
      <c r="M186" t="s">
        <v>420</v>
      </c>
      <c r="N186">
        <v>0</v>
      </c>
      <c r="O186">
        <f>+Tabla__192.168.1.8_POSEIDONSQL_APPFVT_01_tbl_detalle_fill_rate[[#This Row],[emb_cantidad]]-Tabla__192.168.1.8_POSEIDONSQL_APPFVT_01_tbl_detalle_fill_rate[[#This Row],[dev_cantidad]]</f>
        <v>1</v>
      </c>
      <c r="P186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6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6" s="1">
        <f>+Tabla__192.168.1.8_POSEIDONSQL_APPFVT_01_tbl_detalle_fill_rate[[#This Row],[Cumpl Real Unds]]-Tabla__192.168.1.8_POSEIDONSQL_APPFVT_01_tbl_detalle_fill_rate[[#This Row],[Cant Embarcada]]</f>
        <v>0</v>
      </c>
      <c r="S186" s="1">
        <f>+IF(Tabla__192.168.1.8_POSEIDONSQL_APPFVT_01_tbl_detalle_fill_rate[[#This Row],[Pend Emb]]&gt;0,1,0)</f>
        <v>0</v>
      </c>
      <c r="T1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7" spans="1:20" x14ac:dyDescent="0.25">
      <c r="A187">
        <v>5</v>
      </c>
      <c r="B187" t="s">
        <v>57</v>
      </c>
      <c r="C187">
        <v>6504056282</v>
      </c>
      <c r="D187" s="48">
        <v>43364</v>
      </c>
      <c r="E187" s="48">
        <v>43363</v>
      </c>
      <c r="F187" s="48">
        <v>43369</v>
      </c>
      <c r="G187" t="s">
        <v>66</v>
      </c>
      <c r="H187" t="s">
        <v>67</v>
      </c>
      <c r="I187">
        <v>1</v>
      </c>
      <c r="J187" t="s">
        <v>49</v>
      </c>
      <c r="K187">
        <v>1</v>
      </c>
      <c r="L187">
        <v>1</v>
      </c>
      <c r="M187" t="s">
        <v>420</v>
      </c>
      <c r="N187">
        <v>0</v>
      </c>
      <c r="O187">
        <f>+Tabla__192.168.1.8_POSEIDONSQL_APPFVT_01_tbl_detalle_fill_rate[[#This Row],[emb_cantidad]]-Tabla__192.168.1.8_POSEIDONSQL_APPFVT_01_tbl_detalle_fill_rate[[#This Row],[dev_cantidad]]</f>
        <v>1</v>
      </c>
      <c r="P187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7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87" s="1">
        <f>+Tabla__192.168.1.8_POSEIDONSQL_APPFVT_01_tbl_detalle_fill_rate[[#This Row],[Cumpl Real Unds]]-Tabla__192.168.1.8_POSEIDONSQL_APPFVT_01_tbl_detalle_fill_rate[[#This Row],[Cant Embarcada]]</f>
        <v>0</v>
      </c>
      <c r="S187" s="1">
        <f>+IF(Tabla__192.168.1.8_POSEIDONSQL_APPFVT_01_tbl_detalle_fill_rate[[#This Row],[Pend Emb]]&gt;0,1,0)</f>
        <v>0</v>
      </c>
      <c r="T1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8" spans="1:20" x14ac:dyDescent="0.25">
      <c r="A188">
        <v>6</v>
      </c>
      <c r="B188" t="s">
        <v>53</v>
      </c>
      <c r="C188">
        <v>930455</v>
      </c>
      <c r="D188" s="48">
        <v>43332</v>
      </c>
      <c r="E188" s="48">
        <v>43325</v>
      </c>
      <c r="F188" s="48">
        <v>43339</v>
      </c>
      <c r="G188" t="s">
        <v>289</v>
      </c>
      <c r="H188" t="s">
        <v>290</v>
      </c>
      <c r="I188">
        <v>1</v>
      </c>
      <c r="J188" t="s">
        <v>159</v>
      </c>
      <c r="K188">
        <v>0</v>
      </c>
      <c r="L188">
        <v>0</v>
      </c>
      <c r="M188" t="s">
        <v>12</v>
      </c>
      <c r="N188">
        <v>0</v>
      </c>
      <c r="O188" s="1">
        <f>+Tabla__192.168.1.8_POSEIDONSQL_APPFVT_01_tbl_detalle_fill_rate[[#This Row],[emb_cantidad]]-Tabla__192.168.1.8_POSEIDONSQL_APPFVT_01_tbl_detalle_fill_rate[[#This Row],[dev_cantidad]]</f>
        <v>0</v>
      </c>
      <c r="P1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88" s="1">
        <f>+Tabla__192.168.1.8_POSEIDONSQL_APPFVT_01_tbl_detalle_fill_rate[[#This Row],[Cumpl Real Unds]]-Tabla__192.168.1.8_POSEIDONSQL_APPFVT_01_tbl_detalle_fill_rate[[#This Row],[Cant Embarcada]]</f>
        <v>0</v>
      </c>
      <c r="S188" s="1">
        <f>+IF(Tabla__192.168.1.8_POSEIDONSQL_APPFVT_01_tbl_detalle_fill_rate[[#This Row],[Pend Emb]]&gt;0,1,0)</f>
        <v>0</v>
      </c>
      <c r="T1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89" spans="1:20" x14ac:dyDescent="0.25">
      <c r="A189">
        <v>6</v>
      </c>
      <c r="B189" t="s">
        <v>53</v>
      </c>
      <c r="C189">
        <v>930455</v>
      </c>
      <c r="D189" s="48">
        <v>43332</v>
      </c>
      <c r="E189" s="48">
        <v>43325</v>
      </c>
      <c r="F189" s="48">
        <v>43339</v>
      </c>
      <c r="G189" t="s">
        <v>134</v>
      </c>
      <c r="H189" t="s">
        <v>135</v>
      </c>
      <c r="I189">
        <v>2</v>
      </c>
      <c r="J189" t="s">
        <v>159</v>
      </c>
      <c r="K189">
        <v>0</v>
      </c>
      <c r="L189">
        <v>0</v>
      </c>
      <c r="M189" t="s">
        <v>12</v>
      </c>
      <c r="N189">
        <v>0</v>
      </c>
      <c r="O189" s="1">
        <f>+Tabla__192.168.1.8_POSEIDONSQL_APPFVT_01_tbl_detalle_fill_rate[[#This Row],[emb_cantidad]]-Tabla__192.168.1.8_POSEIDONSQL_APPFVT_01_tbl_detalle_fill_rate[[#This Row],[dev_cantidad]]</f>
        <v>0</v>
      </c>
      <c r="P1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89" s="1">
        <f>+Tabla__192.168.1.8_POSEIDONSQL_APPFVT_01_tbl_detalle_fill_rate[[#This Row],[Cumpl Real Unds]]-Tabla__192.168.1.8_POSEIDONSQL_APPFVT_01_tbl_detalle_fill_rate[[#This Row],[Cant Embarcada]]</f>
        <v>0</v>
      </c>
      <c r="S189" s="1">
        <f>+IF(Tabla__192.168.1.8_POSEIDONSQL_APPFVT_01_tbl_detalle_fill_rate[[#This Row],[Pend Emb]]&gt;0,1,0)</f>
        <v>0</v>
      </c>
      <c r="T1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0" spans="1:20" x14ac:dyDescent="0.25">
      <c r="A190">
        <v>6</v>
      </c>
      <c r="B190" t="s">
        <v>53</v>
      </c>
      <c r="C190">
        <v>935237</v>
      </c>
      <c r="D190" s="48">
        <v>43332</v>
      </c>
      <c r="E190" s="48">
        <v>43329</v>
      </c>
      <c r="F190" s="48">
        <v>43343</v>
      </c>
      <c r="G190" t="s">
        <v>92</v>
      </c>
      <c r="H190" t="s">
        <v>93</v>
      </c>
      <c r="I190">
        <v>3</v>
      </c>
      <c r="J190" t="s">
        <v>159</v>
      </c>
      <c r="K190">
        <v>0</v>
      </c>
      <c r="L190">
        <v>0</v>
      </c>
      <c r="M190" t="s">
        <v>12</v>
      </c>
      <c r="N190">
        <v>0</v>
      </c>
      <c r="O190" s="1">
        <f>+Tabla__192.168.1.8_POSEIDONSQL_APPFVT_01_tbl_detalle_fill_rate[[#This Row],[emb_cantidad]]-Tabla__192.168.1.8_POSEIDONSQL_APPFVT_01_tbl_detalle_fill_rate[[#This Row],[dev_cantidad]]</f>
        <v>0</v>
      </c>
      <c r="P1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90" s="1">
        <f>+Tabla__192.168.1.8_POSEIDONSQL_APPFVT_01_tbl_detalle_fill_rate[[#This Row],[Cumpl Real Unds]]-Tabla__192.168.1.8_POSEIDONSQL_APPFVT_01_tbl_detalle_fill_rate[[#This Row],[Cant Embarcada]]</f>
        <v>0</v>
      </c>
      <c r="S190" s="1">
        <f>+IF(Tabla__192.168.1.8_POSEIDONSQL_APPFVT_01_tbl_detalle_fill_rate[[#This Row],[Pend Emb]]&gt;0,1,0)</f>
        <v>0</v>
      </c>
      <c r="T1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1" spans="1:20" x14ac:dyDescent="0.25">
      <c r="A191">
        <v>6</v>
      </c>
      <c r="B191" t="s">
        <v>53</v>
      </c>
      <c r="C191">
        <v>935237</v>
      </c>
      <c r="D191" s="48">
        <v>43332</v>
      </c>
      <c r="E191" s="48">
        <v>43329</v>
      </c>
      <c r="F191" s="48">
        <v>43343</v>
      </c>
      <c r="G191" t="s">
        <v>289</v>
      </c>
      <c r="H191" t="s">
        <v>290</v>
      </c>
      <c r="I191">
        <v>2</v>
      </c>
      <c r="J191" t="s">
        <v>159</v>
      </c>
      <c r="K191">
        <v>0</v>
      </c>
      <c r="L191">
        <v>0</v>
      </c>
      <c r="M191" t="s">
        <v>12</v>
      </c>
      <c r="N191">
        <v>0</v>
      </c>
      <c r="O191" s="1">
        <f>+Tabla__192.168.1.8_POSEIDONSQL_APPFVT_01_tbl_detalle_fill_rate[[#This Row],[emb_cantidad]]-Tabla__192.168.1.8_POSEIDONSQL_APPFVT_01_tbl_detalle_fill_rate[[#This Row],[dev_cantidad]]</f>
        <v>0</v>
      </c>
      <c r="P1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91" s="1">
        <f>+Tabla__192.168.1.8_POSEIDONSQL_APPFVT_01_tbl_detalle_fill_rate[[#This Row],[Cumpl Real Unds]]-Tabla__192.168.1.8_POSEIDONSQL_APPFVT_01_tbl_detalle_fill_rate[[#This Row],[Cant Embarcada]]</f>
        <v>0</v>
      </c>
      <c r="S191" s="1">
        <f>+IF(Tabla__192.168.1.8_POSEIDONSQL_APPFVT_01_tbl_detalle_fill_rate[[#This Row],[Pend Emb]]&gt;0,1,0)</f>
        <v>0</v>
      </c>
      <c r="T1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2" spans="1:20" x14ac:dyDescent="0.25">
      <c r="A192">
        <v>6</v>
      </c>
      <c r="B192" t="s">
        <v>53</v>
      </c>
      <c r="C192">
        <v>935237</v>
      </c>
      <c r="D192" s="48">
        <v>43332</v>
      </c>
      <c r="E192" s="48">
        <v>43329</v>
      </c>
      <c r="F192" s="48">
        <v>43343</v>
      </c>
      <c r="G192" t="s">
        <v>106</v>
      </c>
      <c r="H192" t="s">
        <v>107</v>
      </c>
      <c r="I192">
        <v>2</v>
      </c>
      <c r="J192" t="s">
        <v>159</v>
      </c>
      <c r="K192">
        <v>0</v>
      </c>
      <c r="L192">
        <v>0</v>
      </c>
      <c r="M192" t="s">
        <v>12</v>
      </c>
      <c r="N192">
        <v>0</v>
      </c>
      <c r="O192" s="1">
        <f>+Tabla__192.168.1.8_POSEIDONSQL_APPFVT_01_tbl_detalle_fill_rate[[#This Row],[emb_cantidad]]-Tabla__192.168.1.8_POSEIDONSQL_APPFVT_01_tbl_detalle_fill_rate[[#This Row],[dev_cantidad]]</f>
        <v>0</v>
      </c>
      <c r="P1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92" s="1">
        <f>+Tabla__192.168.1.8_POSEIDONSQL_APPFVT_01_tbl_detalle_fill_rate[[#This Row],[Cumpl Real Unds]]-Tabla__192.168.1.8_POSEIDONSQL_APPFVT_01_tbl_detalle_fill_rate[[#This Row],[Cant Embarcada]]</f>
        <v>0</v>
      </c>
      <c r="S192" s="1">
        <f>+IF(Tabla__192.168.1.8_POSEIDONSQL_APPFVT_01_tbl_detalle_fill_rate[[#This Row],[Pend Emb]]&gt;0,1,0)</f>
        <v>0</v>
      </c>
      <c r="T1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3" spans="1:20" x14ac:dyDescent="0.25">
      <c r="A193">
        <v>6</v>
      </c>
      <c r="B193" t="s">
        <v>53</v>
      </c>
      <c r="C193">
        <v>936427</v>
      </c>
      <c r="D193" s="48">
        <v>43332</v>
      </c>
      <c r="E193" s="48">
        <v>43330</v>
      </c>
      <c r="F193" s="48">
        <v>43347</v>
      </c>
      <c r="G193" t="s">
        <v>446</v>
      </c>
      <c r="H193" t="s">
        <v>447</v>
      </c>
      <c r="I193">
        <v>1</v>
      </c>
      <c r="J193" t="s">
        <v>1093</v>
      </c>
      <c r="K193">
        <v>1</v>
      </c>
      <c r="L193">
        <v>1</v>
      </c>
      <c r="M193" t="s">
        <v>1963</v>
      </c>
      <c r="N193">
        <v>0</v>
      </c>
      <c r="O193" s="1">
        <f>+Tabla__192.168.1.8_POSEIDONSQL_APPFVT_01_tbl_detalle_fill_rate[[#This Row],[emb_cantidad]]-Tabla__192.168.1.8_POSEIDONSQL_APPFVT_01_tbl_detalle_fill_rate[[#This Row],[dev_cantidad]]</f>
        <v>1</v>
      </c>
      <c r="P1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93" s="1">
        <f>+Tabla__192.168.1.8_POSEIDONSQL_APPFVT_01_tbl_detalle_fill_rate[[#This Row],[Cumpl Real Unds]]-Tabla__192.168.1.8_POSEIDONSQL_APPFVT_01_tbl_detalle_fill_rate[[#This Row],[Cant Embarcada]]</f>
        <v>0</v>
      </c>
      <c r="S193" s="1">
        <f>+IF(Tabla__192.168.1.8_POSEIDONSQL_APPFVT_01_tbl_detalle_fill_rate[[#This Row],[Pend Emb]]&gt;0,1,0)</f>
        <v>0</v>
      </c>
      <c r="T1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4" spans="1:20" x14ac:dyDescent="0.25">
      <c r="A194">
        <v>6</v>
      </c>
      <c r="B194" t="s">
        <v>53</v>
      </c>
      <c r="C194">
        <v>937969</v>
      </c>
      <c r="D194" s="48">
        <v>43333</v>
      </c>
      <c r="E194" s="48">
        <v>43332</v>
      </c>
      <c r="F194" s="48">
        <v>43346</v>
      </c>
      <c r="G194" t="s">
        <v>92</v>
      </c>
      <c r="H194" t="s">
        <v>93</v>
      </c>
      <c r="I194">
        <v>1</v>
      </c>
      <c r="J194" t="s">
        <v>159</v>
      </c>
      <c r="K194">
        <v>0</v>
      </c>
      <c r="L194">
        <v>0</v>
      </c>
      <c r="M194" t="s">
        <v>12</v>
      </c>
      <c r="N194">
        <v>0</v>
      </c>
      <c r="O194" s="1">
        <f>+Tabla__192.168.1.8_POSEIDONSQL_APPFVT_01_tbl_detalle_fill_rate[[#This Row],[emb_cantidad]]-Tabla__192.168.1.8_POSEIDONSQL_APPFVT_01_tbl_detalle_fill_rate[[#This Row],[dev_cantidad]]</f>
        <v>0</v>
      </c>
      <c r="P1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94" s="1">
        <f>+Tabla__192.168.1.8_POSEIDONSQL_APPFVT_01_tbl_detalle_fill_rate[[#This Row],[Cumpl Real Unds]]-Tabla__192.168.1.8_POSEIDONSQL_APPFVT_01_tbl_detalle_fill_rate[[#This Row],[Cant Embarcada]]</f>
        <v>0</v>
      </c>
      <c r="S194" s="1">
        <f>+IF(Tabla__192.168.1.8_POSEIDONSQL_APPFVT_01_tbl_detalle_fill_rate[[#This Row],[Pend Emb]]&gt;0,1,0)</f>
        <v>0</v>
      </c>
      <c r="T1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5" spans="1:20" x14ac:dyDescent="0.25">
      <c r="A195">
        <v>6</v>
      </c>
      <c r="B195" t="s">
        <v>53</v>
      </c>
      <c r="C195">
        <v>937969</v>
      </c>
      <c r="D195" s="48">
        <v>43333</v>
      </c>
      <c r="E195" s="48">
        <v>43332</v>
      </c>
      <c r="F195" s="48">
        <v>43346</v>
      </c>
      <c r="G195" t="s">
        <v>289</v>
      </c>
      <c r="H195" t="s">
        <v>290</v>
      </c>
      <c r="I195">
        <v>1</v>
      </c>
      <c r="J195" t="s">
        <v>159</v>
      </c>
      <c r="K195">
        <v>0</v>
      </c>
      <c r="L195">
        <v>0</v>
      </c>
      <c r="M195" t="s">
        <v>12</v>
      </c>
      <c r="N195">
        <v>0</v>
      </c>
      <c r="O195" s="1">
        <f>+Tabla__192.168.1.8_POSEIDONSQL_APPFVT_01_tbl_detalle_fill_rate[[#This Row],[emb_cantidad]]-Tabla__192.168.1.8_POSEIDONSQL_APPFVT_01_tbl_detalle_fill_rate[[#This Row],[dev_cantidad]]</f>
        <v>0</v>
      </c>
      <c r="P1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95" s="1">
        <f>+Tabla__192.168.1.8_POSEIDONSQL_APPFVT_01_tbl_detalle_fill_rate[[#This Row],[Cumpl Real Unds]]-Tabla__192.168.1.8_POSEIDONSQL_APPFVT_01_tbl_detalle_fill_rate[[#This Row],[Cant Embarcada]]</f>
        <v>0</v>
      </c>
      <c r="S195" s="1">
        <f>+IF(Tabla__192.168.1.8_POSEIDONSQL_APPFVT_01_tbl_detalle_fill_rate[[#This Row],[Pend Emb]]&gt;0,1,0)</f>
        <v>0</v>
      </c>
      <c r="T1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6" spans="1:20" x14ac:dyDescent="0.25">
      <c r="A196">
        <v>6</v>
      </c>
      <c r="B196" t="s">
        <v>53</v>
      </c>
      <c r="C196">
        <v>938585</v>
      </c>
      <c r="D196" s="48">
        <v>43333</v>
      </c>
      <c r="E196" s="48">
        <v>43332</v>
      </c>
      <c r="F196" s="48">
        <v>43342</v>
      </c>
      <c r="G196" t="s">
        <v>96</v>
      </c>
      <c r="H196" t="s">
        <v>97</v>
      </c>
      <c r="I196">
        <v>1</v>
      </c>
      <c r="J196" t="s">
        <v>1205</v>
      </c>
      <c r="K196">
        <v>1</v>
      </c>
      <c r="L196">
        <v>1</v>
      </c>
      <c r="M196" t="s">
        <v>1977</v>
      </c>
      <c r="N196">
        <v>0</v>
      </c>
      <c r="O196" s="1">
        <f>+Tabla__192.168.1.8_POSEIDONSQL_APPFVT_01_tbl_detalle_fill_rate[[#This Row],[emb_cantidad]]-Tabla__192.168.1.8_POSEIDONSQL_APPFVT_01_tbl_detalle_fill_rate[[#This Row],[dev_cantidad]]</f>
        <v>1</v>
      </c>
      <c r="P1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96" s="1">
        <f>+Tabla__192.168.1.8_POSEIDONSQL_APPFVT_01_tbl_detalle_fill_rate[[#This Row],[Cumpl Real Unds]]-Tabla__192.168.1.8_POSEIDONSQL_APPFVT_01_tbl_detalle_fill_rate[[#This Row],[Cant Embarcada]]</f>
        <v>0</v>
      </c>
      <c r="S196" s="1">
        <f>+IF(Tabla__192.168.1.8_POSEIDONSQL_APPFVT_01_tbl_detalle_fill_rate[[#This Row],[Pend Emb]]&gt;0,1,0)</f>
        <v>0</v>
      </c>
      <c r="T1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7" spans="1:20" x14ac:dyDescent="0.25">
      <c r="A197">
        <v>6</v>
      </c>
      <c r="B197" t="s">
        <v>53</v>
      </c>
      <c r="C197">
        <v>938696</v>
      </c>
      <c r="D197" s="48">
        <v>43333</v>
      </c>
      <c r="E197" s="48">
        <v>43332</v>
      </c>
      <c r="F197" s="48">
        <v>43341</v>
      </c>
      <c r="G197" t="s">
        <v>1202</v>
      </c>
      <c r="H197" t="s">
        <v>1203</v>
      </c>
      <c r="I197">
        <v>1</v>
      </c>
      <c r="J197" t="s">
        <v>1204</v>
      </c>
      <c r="K197">
        <v>1</v>
      </c>
      <c r="L197">
        <v>1</v>
      </c>
      <c r="M197" t="s">
        <v>1965</v>
      </c>
      <c r="N197">
        <v>0</v>
      </c>
      <c r="O197" s="1">
        <f>+Tabla__192.168.1.8_POSEIDONSQL_APPFVT_01_tbl_detalle_fill_rate[[#This Row],[emb_cantidad]]-Tabla__192.168.1.8_POSEIDONSQL_APPFVT_01_tbl_detalle_fill_rate[[#This Row],[dev_cantidad]]</f>
        <v>1</v>
      </c>
      <c r="P1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97" s="1">
        <f>+Tabla__192.168.1.8_POSEIDONSQL_APPFVT_01_tbl_detalle_fill_rate[[#This Row],[Cumpl Real Unds]]-Tabla__192.168.1.8_POSEIDONSQL_APPFVT_01_tbl_detalle_fill_rate[[#This Row],[Cant Embarcada]]</f>
        <v>0</v>
      </c>
      <c r="S197" s="1">
        <f>+IF(Tabla__192.168.1.8_POSEIDONSQL_APPFVT_01_tbl_detalle_fill_rate[[#This Row],[Pend Emb]]&gt;0,1,0)</f>
        <v>0</v>
      </c>
      <c r="T1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8" spans="1:20" x14ac:dyDescent="0.25">
      <c r="A198">
        <v>6</v>
      </c>
      <c r="B198" t="s">
        <v>53</v>
      </c>
      <c r="C198">
        <v>940140</v>
      </c>
      <c r="D198" s="48">
        <v>43334</v>
      </c>
      <c r="E198" s="48">
        <v>43334</v>
      </c>
      <c r="F198" s="48">
        <v>43339</v>
      </c>
      <c r="G198" t="s">
        <v>128</v>
      </c>
      <c r="H198" t="s">
        <v>129</v>
      </c>
      <c r="I198">
        <v>1</v>
      </c>
      <c r="J198" t="s">
        <v>1201</v>
      </c>
      <c r="K198">
        <v>1</v>
      </c>
      <c r="L198">
        <v>1</v>
      </c>
      <c r="M198" t="s">
        <v>1967</v>
      </c>
      <c r="N198">
        <v>0</v>
      </c>
      <c r="O198" s="1">
        <f>+Tabla__192.168.1.8_POSEIDONSQL_APPFVT_01_tbl_detalle_fill_rate[[#This Row],[emb_cantidad]]-Tabla__192.168.1.8_POSEIDONSQL_APPFVT_01_tbl_detalle_fill_rate[[#This Row],[dev_cantidad]]</f>
        <v>1</v>
      </c>
      <c r="P1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98" s="1">
        <f>+Tabla__192.168.1.8_POSEIDONSQL_APPFVT_01_tbl_detalle_fill_rate[[#This Row],[Cumpl Real Unds]]-Tabla__192.168.1.8_POSEIDONSQL_APPFVT_01_tbl_detalle_fill_rate[[#This Row],[Cant Embarcada]]</f>
        <v>0</v>
      </c>
      <c r="S198" s="1">
        <f>+IF(Tabla__192.168.1.8_POSEIDONSQL_APPFVT_01_tbl_detalle_fill_rate[[#This Row],[Pend Emb]]&gt;0,1,0)</f>
        <v>0</v>
      </c>
      <c r="T1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99" spans="1:20" x14ac:dyDescent="0.25">
      <c r="A199">
        <v>6</v>
      </c>
      <c r="B199" t="s">
        <v>53</v>
      </c>
      <c r="C199">
        <v>940670</v>
      </c>
      <c r="D199" s="48">
        <v>43335</v>
      </c>
      <c r="E199" s="48">
        <v>43334</v>
      </c>
      <c r="F199" s="48">
        <v>43341</v>
      </c>
      <c r="G199" t="s">
        <v>96</v>
      </c>
      <c r="H199" t="s">
        <v>97</v>
      </c>
      <c r="I199">
        <v>1</v>
      </c>
      <c r="J199" t="s">
        <v>1545</v>
      </c>
      <c r="K199">
        <v>1</v>
      </c>
      <c r="L199">
        <v>1</v>
      </c>
      <c r="M199" t="s">
        <v>1965</v>
      </c>
      <c r="N199">
        <v>0</v>
      </c>
      <c r="O199" s="1">
        <f>+Tabla__192.168.1.8_POSEIDONSQL_APPFVT_01_tbl_detalle_fill_rate[[#This Row],[emb_cantidad]]-Tabla__192.168.1.8_POSEIDONSQL_APPFVT_01_tbl_detalle_fill_rate[[#This Row],[dev_cantidad]]</f>
        <v>1</v>
      </c>
      <c r="P1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99" s="1">
        <f>+Tabla__192.168.1.8_POSEIDONSQL_APPFVT_01_tbl_detalle_fill_rate[[#This Row],[Cumpl Real Unds]]-Tabla__192.168.1.8_POSEIDONSQL_APPFVT_01_tbl_detalle_fill_rate[[#This Row],[Cant Embarcada]]</f>
        <v>0</v>
      </c>
      <c r="S199" s="1">
        <f>+IF(Tabla__192.168.1.8_POSEIDONSQL_APPFVT_01_tbl_detalle_fill_rate[[#This Row],[Pend Emb]]&gt;0,1,0)</f>
        <v>0</v>
      </c>
      <c r="T1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0" spans="1:20" x14ac:dyDescent="0.25">
      <c r="A200">
        <v>6</v>
      </c>
      <c r="B200" t="s">
        <v>53</v>
      </c>
      <c r="C200">
        <v>940958</v>
      </c>
      <c r="D200" s="48">
        <v>43335</v>
      </c>
      <c r="E200" s="48">
        <v>43334</v>
      </c>
      <c r="F200" s="48">
        <v>43340</v>
      </c>
      <c r="G200" t="s">
        <v>355</v>
      </c>
      <c r="H200" t="s">
        <v>356</v>
      </c>
      <c r="I200">
        <v>1</v>
      </c>
      <c r="J200" t="s">
        <v>1546</v>
      </c>
      <c r="K200">
        <v>1</v>
      </c>
      <c r="L200">
        <v>1</v>
      </c>
      <c r="M200" t="s">
        <v>1965</v>
      </c>
      <c r="N200">
        <v>0</v>
      </c>
      <c r="O200" s="1">
        <f>+Tabla__192.168.1.8_POSEIDONSQL_APPFVT_01_tbl_detalle_fill_rate[[#This Row],[emb_cantidad]]-Tabla__192.168.1.8_POSEIDONSQL_APPFVT_01_tbl_detalle_fill_rate[[#This Row],[dev_cantidad]]</f>
        <v>1</v>
      </c>
      <c r="P2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0" s="1">
        <f>+Tabla__192.168.1.8_POSEIDONSQL_APPFVT_01_tbl_detalle_fill_rate[[#This Row],[Cumpl Real Unds]]-Tabla__192.168.1.8_POSEIDONSQL_APPFVT_01_tbl_detalle_fill_rate[[#This Row],[Cant Embarcada]]</f>
        <v>0</v>
      </c>
      <c r="S200" s="1">
        <f>+IF(Tabla__192.168.1.8_POSEIDONSQL_APPFVT_01_tbl_detalle_fill_rate[[#This Row],[Pend Emb]]&gt;0,1,0)</f>
        <v>0</v>
      </c>
      <c r="T2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1" spans="1:20" x14ac:dyDescent="0.25">
      <c r="A201">
        <v>6</v>
      </c>
      <c r="B201" t="s">
        <v>53</v>
      </c>
      <c r="C201">
        <v>941708</v>
      </c>
      <c r="D201" s="48">
        <v>43336</v>
      </c>
      <c r="E201" s="48">
        <v>43335</v>
      </c>
      <c r="F201" s="48">
        <v>43342</v>
      </c>
      <c r="G201" t="s">
        <v>106</v>
      </c>
      <c r="H201" t="s">
        <v>107</v>
      </c>
      <c r="I201">
        <v>1</v>
      </c>
      <c r="J201" t="s">
        <v>1938</v>
      </c>
      <c r="K201">
        <v>1</v>
      </c>
      <c r="L201">
        <v>1</v>
      </c>
      <c r="M201" t="s">
        <v>1977</v>
      </c>
      <c r="N201">
        <v>0</v>
      </c>
      <c r="O201" s="1">
        <f>+Tabla__192.168.1.8_POSEIDONSQL_APPFVT_01_tbl_detalle_fill_rate[[#This Row],[emb_cantidad]]-Tabla__192.168.1.8_POSEIDONSQL_APPFVT_01_tbl_detalle_fill_rate[[#This Row],[dev_cantidad]]</f>
        <v>1</v>
      </c>
      <c r="P2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1" s="1">
        <f>+Tabla__192.168.1.8_POSEIDONSQL_APPFVT_01_tbl_detalle_fill_rate[[#This Row],[Cumpl Real Unds]]-Tabla__192.168.1.8_POSEIDONSQL_APPFVT_01_tbl_detalle_fill_rate[[#This Row],[Cant Embarcada]]</f>
        <v>0</v>
      </c>
      <c r="S201" s="1">
        <f>+IF(Tabla__192.168.1.8_POSEIDONSQL_APPFVT_01_tbl_detalle_fill_rate[[#This Row],[Pend Emb]]&gt;0,1,0)</f>
        <v>0</v>
      </c>
      <c r="T2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2" spans="1:20" x14ac:dyDescent="0.25">
      <c r="A202">
        <v>6</v>
      </c>
      <c r="B202" t="s">
        <v>53</v>
      </c>
      <c r="C202">
        <v>941962</v>
      </c>
      <c r="D202" s="48">
        <v>43336</v>
      </c>
      <c r="E202" s="48">
        <v>43335</v>
      </c>
      <c r="F202" s="48">
        <v>43341</v>
      </c>
      <c r="G202" t="s">
        <v>736</v>
      </c>
      <c r="H202" t="s">
        <v>737</v>
      </c>
      <c r="I202">
        <v>1</v>
      </c>
      <c r="J202" t="s">
        <v>1937</v>
      </c>
      <c r="K202">
        <v>1</v>
      </c>
      <c r="L202">
        <v>1</v>
      </c>
      <c r="M202" t="s">
        <v>1965</v>
      </c>
      <c r="N202">
        <v>0</v>
      </c>
      <c r="O202" s="1">
        <f>+Tabla__192.168.1.8_POSEIDONSQL_APPFVT_01_tbl_detalle_fill_rate[[#This Row],[emb_cantidad]]-Tabla__192.168.1.8_POSEIDONSQL_APPFVT_01_tbl_detalle_fill_rate[[#This Row],[dev_cantidad]]</f>
        <v>1</v>
      </c>
      <c r="P2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2" s="1">
        <f>+Tabla__192.168.1.8_POSEIDONSQL_APPFVT_01_tbl_detalle_fill_rate[[#This Row],[Cumpl Real Unds]]-Tabla__192.168.1.8_POSEIDONSQL_APPFVT_01_tbl_detalle_fill_rate[[#This Row],[Cant Embarcada]]</f>
        <v>0</v>
      </c>
      <c r="S202" s="1">
        <f>+IF(Tabla__192.168.1.8_POSEIDONSQL_APPFVT_01_tbl_detalle_fill_rate[[#This Row],[Pend Emb]]&gt;0,1,0)</f>
        <v>0</v>
      </c>
      <c r="T2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3" spans="1:20" x14ac:dyDescent="0.25">
      <c r="A203">
        <v>6</v>
      </c>
      <c r="B203" t="s">
        <v>53</v>
      </c>
      <c r="C203">
        <v>942065</v>
      </c>
      <c r="D203" s="48">
        <v>43339</v>
      </c>
      <c r="E203" s="48">
        <v>43336</v>
      </c>
      <c r="F203" s="48">
        <v>43342</v>
      </c>
      <c r="G203" t="s">
        <v>144</v>
      </c>
      <c r="H203" t="s">
        <v>145</v>
      </c>
      <c r="I203">
        <v>1</v>
      </c>
      <c r="J203" t="s">
        <v>516</v>
      </c>
      <c r="K203">
        <v>1</v>
      </c>
      <c r="L203">
        <v>1</v>
      </c>
      <c r="M203" t="s">
        <v>1977</v>
      </c>
      <c r="N203">
        <v>0</v>
      </c>
      <c r="O203" s="1">
        <f>+Tabla__192.168.1.8_POSEIDONSQL_APPFVT_01_tbl_detalle_fill_rate[[#This Row],[emb_cantidad]]-Tabla__192.168.1.8_POSEIDONSQL_APPFVT_01_tbl_detalle_fill_rate[[#This Row],[dev_cantidad]]</f>
        <v>1</v>
      </c>
      <c r="P2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3" s="1">
        <f>+Tabla__192.168.1.8_POSEIDONSQL_APPFVT_01_tbl_detalle_fill_rate[[#This Row],[Cumpl Real Unds]]-Tabla__192.168.1.8_POSEIDONSQL_APPFVT_01_tbl_detalle_fill_rate[[#This Row],[Cant Embarcada]]</f>
        <v>0</v>
      </c>
      <c r="S203" s="1">
        <f>+IF(Tabla__192.168.1.8_POSEIDONSQL_APPFVT_01_tbl_detalle_fill_rate[[#This Row],[Pend Emb]]&gt;0,1,0)</f>
        <v>0</v>
      </c>
      <c r="T2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4" spans="1:20" x14ac:dyDescent="0.25">
      <c r="A204">
        <v>6</v>
      </c>
      <c r="B204" t="s">
        <v>53</v>
      </c>
      <c r="C204">
        <v>942253</v>
      </c>
      <c r="D204" s="48">
        <v>43339</v>
      </c>
      <c r="E204" s="48">
        <v>43336</v>
      </c>
      <c r="F204" s="48">
        <v>43348</v>
      </c>
      <c r="G204" t="s">
        <v>116</v>
      </c>
      <c r="H204" t="s">
        <v>117</v>
      </c>
      <c r="I204">
        <v>1</v>
      </c>
      <c r="J204" t="s">
        <v>1097</v>
      </c>
      <c r="K204">
        <v>1</v>
      </c>
      <c r="L204">
        <v>1</v>
      </c>
      <c r="M204" t="s">
        <v>160</v>
      </c>
      <c r="N204">
        <v>0</v>
      </c>
      <c r="O204" s="1">
        <f>+Tabla__192.168.1.8_POSEIDONSQL_APPFVT_01_tbl_detalle_fill_rate[[#This Row],[emb_cantidad]]-Tabla__192.168.1.8_POSEIDONSQL_APPFVT_01_tbl_detalle_fill_rate[[#This Row],[dev_cantidad]]</f>
        <v>1</v>
      </c>
      <c r="P2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4" s="1">
        <f>+Tabla__192.168.1.8_POSEIDONSQL_APPFVT_01_tbl_detalle_fill_rate[[#This Row],[Cumpl Real Unds]]-Tabla__192.168.1.8_POSEIDONSQL_APPFVT_01_tbl_detalle_fill_rate[[#This Row],[Cant Embarcada]]</f>
        <v>0</v>
      </c>
      <c r="S204" s="1">
        <f>+IF(Tabla__192.168.1.8_POSEIDONSQL_APPFVT_01_tbl_detalle_fill_rate[[#This Row],[Pend Emb]]&gt;0,1,0)</f>
        <v>0</v>
      </c>
      <c r="T2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5" spans="1:20" x14ac:dyDescent="0.25">
      <c r="A205">
        <v>6</v>
      </c>
      <c r="B205" t="s">
        <v>53</v>
      </c>
      <c r="C205">
        <v>942615</v>
      </c>
      <c r="D205" s="48">
        <v>43339</v>
      </c>
      <c r="E205" s="48">
        <v>43336</v>
      </c>
      <c r="F205" s="48">
        <v>43343</v>
      </c>
      <c r="G205" t="s">
        <v>289</v>
      </c>
      <c r="H205" t="s">
        <v>290</v>
      </c>
      <c r="I205">
        <v>1</v>
      </c>
      <c r="J205" t="s">
        <v>512</v>
      </c>
      <c r="K205">
        <v>1</v>
      </c>
      <c r="L205">
        <v>1</v>
      </c>
      <c r="M205" t="s">
        <v>1977</v>
      </c>
      <c r="N205">
        <v>0</v>
      </c>
      <c r="O205" s="1">
        <f>+Tabla__192.168.1.8_POSEIDONSQL_APPFVT_01_tbl_detalle_fill_rate[[#This Row],[emb_cantidad]]-Tabla__192.168.1.8_POSEIDONSQL_APPFVT_01_tbl_detalle_fill_rate[[#This Row],[dev_cantidad]]</f>
        <v>1</v>
      </c>
      <c r="P2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5" s="1">
        <f>+Tabla__192.168.1.8_POSEIDONSQL_APPFVT_01_tbl_detalle_fill_rate[[#This Row],[Cumpl Real Unds]]-Tabla__192.168.1.8_POSEIDONSQL_APPFVT_01_tbl_detalle_fill_rate[[#This Row],[Cant Embarcada]]</f>
        <v>0</v>
      </c>
      <c r="S205" s="1">
        <f>+IF(Tabla__192.168.1.8_POSEIDONSQL_APPFVT_01_tbl_detalle_fill_rate[[#This Row],[Pend Emb]]&gt;0,1,0)</f>
        <v>0</v>
      </c>
      <c r="T2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6" spans="1:20" x14ac:dyDescent="0.25">
      <c r="A206">
        <v>6</v>
      </c>
      <c r="B206" t="s">
        <v>53</v>
      </c>
      <c r="C206">
        <v>942674</v>
      </c>
      <c r="D206" s="48">
        <v>43339</v>
      </c>
      <c r="E206" s="48">
        <v>43336</v>
      </c>
      <c r="F206" s="48">
        <v>43342</v>
      </c>
      <c r="G206" t="s">
        <v>366</v>
      </c>
      <c r="H206" t="s">
        <v>367</v>
      </c>
      <c r="I206">
        <v>1</v>
      </c>
      <c r="J206" t="s">
        <v>513</v>
      </c>
      <c r="K206">
        <v>1</v>
      </c>
      <c r="L206">
        <v>1</v>
      </c>
      <c r="M206" t="s">
        <v>1977</v>
      </c>
      <c r="N206">
        <v>0</v>
      </c>
      <c r="O206" s="1">
        <f>+Tabla__192.168.1.8_POSEIDONSQL_APPFVT_01_tbl_detalle_fill_rate[[#This Row],[emb_cantidad]]-Tabla__192.168.1.8_POSEIDONSQL_APPFVT_01_tbl_detalle_fill_rate[[#This Row],[dev_cantidad]]</f>
        <v>1</v>
      </c>
      <c r="P2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6" s="1">
        <f>+Tabla__192.168.1.8_POSEIDONSQL_APPFVT_01_tbl_detalle_fill_rate[[#This Row],[Cumpl Real Unds]]-Tabla__192.168.1.8_POSEIDONSQL_APPFVT_01_tbl_detalle_fill_rate[[#This Row],[Cant Embarcada]]</f>
        <v>0</v>
      </c>
      <c r="S206" s="1">
        <f>+IF(Tabla__192.168.1.8_POSEIDONSQL_APPFVT_01_tbl_detalle_fill_rate[[#This Row],[Pend Emb]]&gt;0,1,0)</f>
        <v>0</v>
      </c>
      <c r="T2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7" spans="1:20" x14ac:dyDescent="0.25">
      <c r="A207">
        <v>6</v>
      </c>
      <c r="B207" t="s">
        <v>53</v>
      </c>
      <c r="C207">
        <v>943115</v>
      </c>
      <c r="D207" s="48">
        <v>43339</v>
      </c>
      <c r="E207" s="48">
        <v>43337</v>
      </c>
      <c r="F207" s="48">
        <v>43342</v>
      </c>
      <c r="G207" t="s">
        <v>387</v>
      </c>
      <c r="H207" t="s">
        <v>388</v>
      </c>
      <c r="I207">
        <v>1</v>
      </c>
      <c r="J207" t="s">
        <v>514</v>
      </c>
      <c r="K207">
        <v>1</v>
      </c>
      <c r="L207">
        <v>1</v>
      </c>
      <c r="M207" t="s">
        <v>1977</v>
      </c>
      <c r="N207">
        <v>0</v>
      </c>
      <c r="O207" s="1">
        <f>+Tabla__192.168.1.8_POSEIDONSQL_APPFVT_01_tbl_detalle_fill_rate[[#This Row],[emb_cantidad]]-Tabla__192.168.1.8_POSEIDONSQL_APPFVT_01_tbl_detalle_fill_rate[[#This Row],[dev_cantidad]]</f>
        <v>1</v>
      </c>
      <c r="P2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7" s="1">
        <f>+Tabla__192.168.1.8_POSEIDONSQL_APPFVT_01_tbl_detalle_fill_rate[[#This Row],[Cumpl Real Unds]]-Tabla__192.168.1.8_POSEIDONSQL_APPFVT_01_tbl_detalle_fill_rate[[#This Row],[Cant Embarcada]]</f>
        <v>0</v>
      </c>
      <c r="S207" s="1">
        <f>+IF(Tabla__192.168.1.8_POSEIDONSQL_APPFVT_01_tbl_detalle_fill_rate[[#This Row],[Pend Emb]]&gt;0,1,0)</f>
        <v>0</v>
      </c>
      <c r="T2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8" spans="1:20" x14ac:dyDescent="0.25">
      <c r="A208">
        <v>6</v>
      </c>
      <c r="B208" t="s">
        <v>53</v>
      </c>
      <c r="C208">
        <v>943143</v>
      </c>
      <c r="D208" s="48">
        <v>43339</v>
      </c>
      <c r="E208" s="48">
        <v>43337</v>
      </c>
      <c r="F208" s="48">
        <v>43348</v>
      </c>
      <c r="G208" t="s">
        <v>234</v>
      </c>
      <c r="H208" t="s">
        <v>235</v>
      </c>
      <c r="I208">
        <v>4</v>
      </c>
      <c r="J208" t="s">
        <v>1098</v>
      </c>
      <c r="K208">
        <v>4</v>
      </c>
      <c r="L208">
        <v>4</v>
      </c>
      <c r="M208" t="s">
        <v>160</v>
      </c>
      <c r="N208">
        <v>0</v>
      </c>
      <c r="O208" s="1">
        <f>+Tabla__192.168.1.8_POSEIDONSQL_APPFVT_01_tbl_detalle_fill_rate[[#This Row],[emb_cantidad]]-Tabla__192.168.1.8_POSEIDONSQL_APPFVT_01_tbl_detalle_fill_rate[[#This Row],[dev_cantidad]]</f>
        <v>4</v>
      </c>
      <c r="P2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208" s="1">
        <f>+Tabla__192.168.1.8_POSEIDONSQL_APPFVT_01_tbl_detalle_fill_rate[[#This Row],[Cumpl Real Unds]]-Tabla__192.168.1.8_POSEIDONSQL_APPFVT_01_tbl_detalle_fill_rate[[#This Row],[Cant Embarcada]]</f>
        <v>0</v>
      </c>
      <c r="S208" s="1">
        <f>+IF(Tabla__192.168.1.8_POSEIDONSQL_APPFVT_01_tbl_detalle_fill_rate[[#This Row],[Pend Emb]]&gt;0,1,0)</f>
        <v>0</v>
      </c>
      <c r="T2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09" spans="1:20" x14ac:dyDescent="0.25">
      <c r="A209">
        <v>6</v>
      </c>
      <c r="B209" t="s">
        <v>53</v>
      </c>
      <c r="C209">
        <v>943150</v>
      </c>
      <c r="D209" s="48">
        <v>43339</v>
      </c>
      <c r="E209" s="48">
        <v>43337</v>
      </c>
      <c r="F209" s="48">
        <v>43342</v>
      </c>
      <c r="G209" t="s">
        <v>64</v>
      </c>
      <c r="H209" t="s">
        <v>65</v>
      </c>
      <c r="I209">
        <v>1</v>
      </c>
      <c r="J209" t="s">
        <v>515</v>
      </c>
      <c r="K209">
        <v>1</v>
      </c>
      <c r="L209">
        <v>1</v>
      </c>
      <c r="M209" t="s">
        <v>1977</v>
      </c>
      <c r="N209">
        <v>0</v>
      </c>
      <c r="O209" s="1">
        <f>+Tabla__192.168.1.8_POSEIDONSQL_APPFVT_01_tbl_detalle_fill_rate[[#This Row],[emb_cantidad]]-Tabla__192.168.1.8_POSEIDONSQL_APPFVT_01_tbl_detalle_fill_rate[[#This Row],[dev_cantidad]]</f>
        <v>1</v>
      </c>
      <c r="P2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09" s="1">
        <f>+Tabla__192.168.1.8_POSEIDONSQL_APPFVT_01_tbl_detalle_fill_rate[[#This Row],[Cumpl Real Unds]]-Tabla__192.168.1.8_POSEIDONSQL_APPFVT_01_tbl_detalle_fill_rate[[#This Row],[Cant Embarcada]]</f>
        <v>0</v>
      </c>
      <c r="S209" s="1">
        <f>+IF(Tabla__192.168.1.8_POSEIDONSQL_APPFVT_01_tbl_detalle_fill_rate[[#This Row],[Pend Emb]]&gt;0,1,0)</f>
        <v>0</v>
      </c>
      <c r="T2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0" spans="1:20" x14ac:dyDescent="0.25">
      <c r="A210">
        <v>6</v>
      </c>
      <c r="B210" t="s">
        <v>53</v>
      </c>
      <c r="C210">
        <v>943928</v>
      </c>
      <c r="D210" s="48">
        <v>43339</v>
      </c>
      <c r="E210" s="48">
        <v>43338</v>
      </c>
      <c r="F210" s="48">
        <v>43342</v>
      </c>
      <c r="G210" t="s">
        <v>62</v>
      </c>
      <c r="H210" t="s">
        <v>63</v>
      </c>
      <c r="I210">
        <v>1</v>
      </c>
      <c r="J210" t="s">
        <v>509</v>
      </c>
      <c r="K210">
        <v>1</v>
      </c>
      <c r="L210">
        <v>1</v>
      </c>
      <c r="M210" t="s">
        <v>1977</v>
      </c>
      <c r="N210">
        <v>0</v>
      </c>
      <c r="O210" s="1">
        <f>+Tabla__192.168.1.8_POSEIDONSQL_APPFVT_01_tbl_detalle_fill_rate[[#This Row],[emb_cantidad]]-Tabla__192.168.1.8_POSEIDONSQL_APPFVT_01_tbl_detalle_fill_rate[[#This Row],[dev_cantidad]]</f>
        <v>1</v>
      </c>
      <c r="P2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0" s="1">
        <f>+Tabla__192.168.1.8_POSEIDONSQL_APPFVT_01_tbl_detalle_fill_rate[[#This Row],[Cumpl Real Unds]]-Tabla__192.168.1.8_POSEIDONSQL_APPFVT_01_tbl_detalle_fill_rate[[#This Row],[Cant Embarcada]]</f>
        <v>0</v>
      </c>
      <c r="S210" s="1">
        <f>+IF(Tabla__192.168.1.8_POSEIDONSQL_APPFVT_01_tbl_detalle_fill_rate[[#This Row],[Pend Emb]]&gt;0,1,0)</f>
        <v>0</v>
      </c>
      <c r="T2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1" spans="1:20" x14ac:dyDescent="0.25">
      <c r="A211">
        <v>6</v>
      </c>
      <c r="B211" t="s">
        <v>53</v>
      </c>
      <c r="C211">
        <v>944181</v>
      </c>
      <c r="D211" s="48">
        <v>43339</v>
      </c>
      <c r="E211" s="48">
        <v>43338</v>
      </c>
      <c r="F211" s="48">
        <v>43342</v>
      </c>
      <c r="G211" t="s">
        <v>366</v>
      </c>
      <c r="H211" t="s">
        <v>367</v>
      </c>
      <c r="I211">
        <v>2</v>
      </c>
      <c r="J211" t="s">
        <v>510</v>
      </c>
      <c r="K211">
        <v>2</v>
      </c>
      <c r="L211">
        <v>2</v>
      </c>
      <c r="M211" t="s">
        <v>1977</v>
      </c>
      <c r="N211">
        <v>0</v>
      </c>
      <c r="O211" s="1">
        <f>+Tabla__192.168.1.8_POSEIDONSQL_APPFVT_01_tbl_detalle_fill_rate[[#This Row],[emb_cantidad]]-Tabla__192.168.1.8_POSEIDONSQL_APPFVT_01_tbl_detalle_fill_rate[[#This Row],[dev_cantidad]]</f>
        <v>2</v>
      </c>
      <c r="P2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211" s="1">
        <f>+Tabla__192.168.1.8_POSEIDONSQL_APPFVT_01_tbl_detalle_fill_rate[[#This Row],[Cumpl Real Unds]]-Tabla__192.168.1.8_POSEIDONSQL_APPFVT_01_tbl_detalle_fill_rate[[#This Row],[Cant Embarcada]]</f>
        <v>0</v>
      </c>
      <c r="S211" s="1">
        <f>+IF(Tabla__192.168.1.8_POSEIDONSQL_APPFVT_01_tbl_detalle_fill_rate[[#This Row],[Pend Emb]]&gt;0,1,0)</f>
        <v>0</v>
      </c>
      <c r="T2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2" spans="1:20" x14ac:dyDescent="0.25">
      <c r="A212">
        <v>6</v>
      </c>
      <c r="B212" t="s">
        <v>53</v>
      </c>
      <c r="C212">
        <v>944319</v>
      </c>
      <c r="D212" s="48">
        <v>43339</v>
      </c>
      <c r="E212" s="48">
        <v>43338</v>
      </c>
      <c r="F212" s="48">
        <v>43348</v>
      </c>
      <c r="G212" t="s">
        <v>94</v>
      </c>
      <c r="H212" t="s">
        <v>95</v>
      </c>
      <c r="I212">
        <v>1</v>
      </c>
      <c r="J212" t="s">
        <v>1096</v>
      </c>
      <c r="K212">
        <v>1</v>
      </c>
      <c r="L212">
        <v>1</v>
      </c>
      <c r="M212" t="s">
        <v>160</v>
      </c>
      <c r="N212">
        <v>0</v>
      </c>
      <c r="O212" s="1">
        <f>+Tabla__192.168.1.8_POSEIDONSQL_APPFVT_01_tbl_detalle_fill_rate[[#This Row],[emb_cantidad]]-Tabla__192.168.1.8_POSEIDONSQL_APPFVT_01_tbl_detalle_fill_rate[[#This Row],[dev_cantidad]]</f>
        <v>1</v>
      </c>
      <c r="P2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2" s="1">
        <f>+Tabla__192.168.1.8_POSEIDONSQL_APPFVT_01_tbl_detalle_fill_rate[[#This Row],[Cumpl Real Unds]]-Tabla__192.168.1.8_POSEIDONSQL_APPFVT_01_tbl_detalle_fill_rate[[#This Row],[Cant Embarcada]]</f>
        <v>0</v>
      </c>
      <c r="S212" s="1">
        <f>+IF(Tabla__192.168.1.8_POSEIDONSQL_APPFVT_01_tbl_detalle_fill_rate[[#This Row],[Pend Emb]]&gt;0,1,0)</f>
        <v>0</v>
      </c>
      <c r="T2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3" spans="1:20" x14ac:dyDescent="0.25">
      <c r="A213">
        <v>6</v>
      </c>
      <c r="B213" t="s">
        <v>53</v>
      </c>
      <c r="C213">
        <v>944649</v>
      </c>
      <c r="D213" s="48">
        <v>43339</v>
      </c>
      <c r="E213" s="48">
        <v>43338</v>
      </c>
      <c r="F213" s="48">
        <v>43342</v>
      </c>
      <c r="G213" t="s">
        <v>142</v>
      </c>
      <c r="H213" t="s">
        <v>143</v>
      </c>
      <c r="I213">
        <v>1</v>
      </c>
      <c r="J213" t="s">
        <v>511</v>
      </c>
      <c r="K213">
        <v>1</v>
      </c>
      <c r="L213">
        <v>1</v>
      </c>
      <c r="M213" t="s">
        <v>1977</v>
      </c>
      <c r="N213">
        <v>0</v>
      </c>
      <c r="O213" s="1">
        <f>+Tabla__192.168.1.8_POSEIDONSQL_APPFVT_01_tbl_detalle_fill_rate[[#This Row],[emb_cantidad]]-Tabla__192.168.1.8_POSEIDONSQL_APPFVT_01_tbl_detalle_fill_rate[[#This Row],[dev_cantidad]]</f>
        <v>1</v>
      </c>
      <c r="P2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3" s="1">
        <f>+Tabla__192.168.1.8_POSEIDONSQL_APPFVT_01_tbl_detalle_fill_rate[[#This Row],[Cumpl Real Unds]]-Tabla__192.168.1.8_POSEIDONSQL_APPFVT_01_tbl_detalle_fill_rate[[#This Row],[Cant Embarcada]]</f>
        <v>0</v>
      </c>
      <c r="S213" s="1">
        <f>+IF(Tabla__192.168.1.8_POSEIDONSQL_APPFVT_01_tbl_detalle_fill_rate[[#This Row],[Pend Emb]]&gt;0,1,0)</f>
        <v>0</v>
      </c>
      <c r="T2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4" spans="1:20" x14ac:dyDescent="0.25">
      <c r="A214">
        <v>6</v>
      </c>
      <c r="B214" t="s">
        <v>53</v>
      </c>
      <c r="C214">
        <v>944705</v>
      </c>
      <c r="D214" s="48">
        <v>43339</v>
      </c>
      <c r="E214" s="48">
        <v>43338</v>
      </c>
      <c r="F214" s="48">
        <v>43346</v>
      </c>
      <c r="G214" t="s">
        <v>74</v>
      </c>
      <c r="H214" t="s">
        <v>75</v>
      </c>
      <c r="I214">
        <v>1</v>
      </c>
      <c r="J214" t="s">
        <v>1094</v>
      </c>
      <c r="K214">
        <v>1</v>
      </c>
      <c r="L214">
        <v>1</v>
      </c>
      <c r="M214" t="s">
        <v>1963</v>
      </c>
      <c r="N214">
        <v>0</v>
      </c>
      <c r="O214" s="1">
        <f>+Tabla__192.168.1.8_POSEIDONSQL_APPFVT_01_tbl_detalle_fill_rate[[#This Row],[emb_cantidad]]-Tabla__192.168.1.8_POSEIDONSQL_APPFVT_01_tbl_detalle_fill_rate[[#This Row],[dev_cantidad]]</f>
        <v>1</v>
      </c>
      <c r="P2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4" s="1">
        <f>+Tabla__192.168.1.8_POSEIDONSQL_APPFVT_01_tbl_detalle_fill_rate[[#This Row],[Cumpl Real Unds]]-Tabla__192.168.1.8_POSEIDONSQL_APPFVT_01_tbl_detalle_fill_rate[[#This Row],[Cant Embarcada]]</f>
        <v>0</v>
      </c>
      <c r="S214" s="1">
        <f>+IF(Tabla__192.168.1.8_POSEIDONSQL_APPFVT_01_tbl_detalle_fill_rate[[#This Row],[Pend Emb]]&gt;0,1,0)</f>
        <v>0</v>
      </c>
      <c r="T2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5" spans="1:20" x14ac:dyDescent="0.25">
      <c r="A215">
        <v>6</v>
      </c>
      <c r="B215" t="s">
        <v>53</v>
      </c>
      <c r="C215">
        <v>944882</v>
      </c>
      <c r="D215" s="48">
        <v>43339</v>
      </c>
      <c r="E215" s="48">
        <v>43339</v>
      </c>
      <c r="F215" s="48">
        <v>43346</v>
      </c>
      <c r="G215" t="s">
        <v>201</v>
      </c>
      <c r="H215" t="s">
        <v>202</v>
      </c>
      <c r="I215">
        <v>1</v>
      </c>
      <c r="J215" t="s">
        <v>1095</v>
      </c>
      <c r="K215">
        <v>1</v>
      </c>
      <c r="L215">
        <v>1</v>
      </c>
      <c r="M215" t="s">
        <v>1963</v>
      </c>
      <c r="N215">
        <v>0</v>
      </c>
      <c r="O215" s="1">
        <f>+Tabla__192.168.1.8_POSEIDONSQL_APPFVT_01_tbl_detalle_fill_rate[[#This Row],[emb_cantidad]]-Tabla__192.168.1.8_POSEIDONSQL_APPFVT_01_tbl_detalle_fill_rate[[#This Row],[dev_cantidad]]</f>
        <v>1</v>
      </c>
      <c r="P2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5" s="1">
        <f>+Tabla__192.168.1.8_POSEIDONSQL_APPFVT_01_tbl_detalle_fill_rate[[#This Row],[Cumpl Real Unds]]-Tabla__192.168.1.8_POSEIDONSQL_APPFVT_01_tbl_detalle_fill_rate[[#This Row],[Cant Embarcada]]</f>
        <v>0</v>
      </c>
      <c r="S215" s="1">
        <f>+IF(Tabla__192.168.1.8_POSEIDONSQL_APPFVT_01_tbl_detalle_fill_rate[[#This Row],[Pend Emb]]&gt;0,1,0)</f>
        <v>0</v>
      </c>
      <c r="T2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6" spans="1:20" x14ac:dyDescent="0.25">
      <c r="A216">
        <v>6</v>
      </c>
      <c r="B216" t="s">
        <v>53</v>
      </c>
      <c r="C216">
        <v>944883</v>
      </c>
      <c r="D216" s="48">
        <v>43339</v>
      </c>
      <c r="E216" s="48">
        <v>43339</v>
      </c>
      <c r="F216" s="48">
        <v>43342</v>
      </c>
      <c r="G216" t="s">
        <v>62</v>
      </c>
      <c r="H216" t="s">
        <v>63</v>
      </c>
      <c r="I216">
        <v>1</v>
      </c>
      <c r="J216" t="s">
        <v>507</v>
      </c>
      <c r="K216">
        <v>1</v>
      </c>
      <c r="L216">
        <v>1</v>
      </c>
      <c r="M216" t="s">
        <v>1977</v>
      </c>
      <c r="N216">
        <v>0</v>
      </c>
      <c r="O216" s="1">
        <f>+Tabla__192.168.1.8_POSEIDONSQL_APPFVT_01_tbl_detalle_fill_rate[[#This Row],[emb_cantidad]]-Tabla__192.168.1.8_POSEIDONSQL_APPFVT_01_tbl_detalle_fill_rate[[#This Row],[dev_cantidad]]</f>
        <v>1</v>
      </c>
      <c r="P2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6" s="1">
        <f>+Tabla__192.168.1.8_POSEIDONSQL_APPFVT_01_tbl_detalle_fill_rate[[#This Row],[Cumpl Real Unds]]-Tabla__192.168.1.8_POSEIDONSQL_APPFVT_01_tbl_detalle_fill_rate[[#This Row],[Cant Embarcada]]</f>
        <v>0</v>
      </c>
      <c r="S216" s="1">
        <f>+IF(Tabla__192.168.1.8_POSEIDONSQL_APPFVT_01_tbl_detalle_fill_rate[[#This Row],[Pend Emb]]&gt;0,1,0)</f>
        <v>0</v>
      </c>
      <c r="T2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7" spans="1:20" x14ac:dyDescent="0.25">
      <c r="A217">
        <v>6</v>
      </c>
      <c r="B217" t="s">
        <v>53</v>
      </c>
      <c r="C217">
        <v>944887</v>
      </c>
      <c r="D217" s="48">
        <v>43339</v>
      </c>
      <c r="E217" s="48">
        <v>43339</v>
      </c>
      <c r="F217" s="48">
        <v>43342</v>
      </c>
      <c r="G217" t="s">
        <v>144</v>
      </c>
      <c r="H217" t="s">
        <v>145</v>
      </c>
      <c r="I217">
        <v>1</v>
      </c>
      <c r="J217" t="s">
        <v>508</v>
      </c>
      <c r="K217">
        <v>1</v>
      </c>
      <c r="L217">
        <v>1</v>
      </c>
      <c r="M217" t="s">
        <v>1977</v>
      </c>
      <c r="N217">
        <v>0</v>
      </c>
      <c r="O217" s="1">
        <f>+Tabla__192.168.1.8_POSEIDONSQL_APPFVT_01_tbl_detalle_fill_rate[[#This Row],[emb_cantidad]]-Tabla__192.168.1.8_POSEIDONSQL_APPFVT_01_tbl_detalle_fill_rate[[#This Row],[dev_cantidad]]</f>
        <v>1</v>
      </c>
      <c r="P2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17" s="1">
        <f>+Tabla__192.168.1.8_POSEIDONSQL_APPFVT_01_tbl_detalle_fill_rate[[#This Row],[Cumpl Real Unds]]-Tabla__192.168.1.8_POSEIDONSQL_APPFVT_01_tbl_detalle_fill_rate[[#This Row],[Cant Embarcada]]</f>
        <v>0</v>
      </c>
      <c r="S217" s="1">
        <f>+IF(Tabla__192.168.1.8_POSEIDONSQL_APPFVT_01_tbl_detalle_fill_rate[[#This Row],[Pend Emb]]&gt;0,1,0)</f>
        <v>0</v>
      </c>
      <c r="T2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8" spans="1:20" x14ac:dyDescent="0.25">
      <c r="A218">
        <v>6</v>
      </c>
      <c r="B218" t="s">
        <v>53</v>
      </c>
      <c r="C218">
        <v>944980</v>
      </c>
      <c r="D218" s="48">
        <v>43339</v>
      </c>
      <c r="E218" s="48">
        <v>43339</v>
      </c>
      <c r="F218" s="48">
        <v>43353</v>
      </c>
      <c r="G218" t="s">
        <v>289</v>
      </c>
      <c r="H218" t="s">
        <v>290</v>
      </c>
      <c r="I218">
        <v>1</v>
      </c>
      <c r="J218" t="s">
        <v>159</v>
      </c>
      <c r="K218">
        <v>0</v>
      </c>
      <c r="L218">
        <v>0</v>
      </c>
      <c r="M218" t="s">
        <v>12</v>
      </c>
      <c r="N218">
        <v>0</v>
      </c>
      <c r="O218" s="1">
        <f>+Tabla__192.168.1.8_POSEIDONSQL_APPFVT_01_tbl_detalle_fill_rate[[#This Row],[emb_cantidad]]-Tabla__192.168.1.8_POSEIDONSQL_APPFVT_01_tbl_detalle_fill_rate[[#This Row],[dev_cantidad]]</f>
        <v>0</v>
      </c>
      <c r="P2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18" s="1">
        <f>+Tabla__192.168.1.8_POSEIDONSQL_APPFVT_01_tbl_detalle_fill_rate[[#This Row],[Cumpl Real Unds]]-Tabla__192.168.1.8_POSEIDONSQL_APPFVT_01_tbl_detalle_fill_rate[[#This Row],[Cant Embarcada]]</f>
        <v>0</v>
      </c>
      <c r="S218" s="1">
        <f>+IF(Tabla__192.168.1.8_POSEIDONSQL_APPFVT_01_tbl_detalle_fill_rate[[#This Row],[Pend Emb]]&gt;0,1,0)</f>
        <v>0</v>
      </c>
      <c r="T2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19" spans="1:20" x14ac:dyDescent="0.25">
      <c r="A219">
        <v>6</v>
      </c>
      <c r="B219" t="s">
        <v>53</v>
      </c>
      <c r="C219">
        <v>944980</v>
      </c>
      <c r="D219" s="48">
        <v>43339</v>
      </c>
      <c r="E219" s="48">
        <v>43339</v>
      </c>
      <c r="F219" s="48">
        <v>43353</v>
      </c>
      <c r="G219" t="s">
        <v>134</v>
      </c>
      <c r="H219" t="s">
        <v>135</v>
      </c>
      <c r="I219">
        <v>1</v>
      </c>
      <c r="J219" t="s">
        <v>159</v>
      </c>
      <c r="K219">
        <v>0</v>
      </c>
      <c r="L219">
        <v>0</v>
      </c>
      <c r="M219" t="s">
        <v>12</v>
      </c>
      <c r="N219">
        <v>0</v>
      </c>
      <c r="O219" s="1">
        <f>+Tabla__192.168.1.8_POSEIDONSQL_APPFVT_01_tbl_detalle_fill_rate[[#This Row],[emb_cantidad]]-Tabla__192.168.1.8_POSEIDONSQL_APPFVT_01_tbl_detalle_fill_rate[[#This Row],[dev_cantidad]]</f>
        <v>0</v>
      </c>
      <c r="P2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19" s="1">
        <f>+Tabla__192.168.1.8_POSEIDONSQL_APPFVT_01_tbl_detalle_fill_rate[[#This Row],[Cumpl Real Unds]]-Tabla__192.168.1.8_POSEIDONSQL_APPFVT_01_tbl_detalle_fill_rate[[#This Row],[Cant Embarcada]]</f>
        <v>0</v>
      </c>
      <c r="S219" s="1">
        <f>+IF(Tabla__192.168.1.8_POSEIDONSQL_APPFVT_01_tbl_detalle_fill_rate[[#This Row],[Pend Emb]]&gt;0,1,0)</f>
        <v>0</v>
      </c>
      <c r="T2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0" spans="1:20" x14ac:dyDescent="0.25">
      <c r="A220">
        <v>6</v>
      </c>
      <c r="B220" t="s">
        <v>53</v>
      </c>
      <c r="C220">
        <v>945141</v>
      </c>
      <c r="D220" s="48">
        <v>43340</v>
      </c>
      <c r="E220" s="48">
        <v>43339</v>
      </c>
      <c r="F220" s="48">
        <v>43343</v>
      </c>
      <c r="G220" t="s">
        <v>94</v>
      </c>
      <c r="H220" t="s">
        <v>95</v>
      </c>
      <c r="I220">
        <v>1</v>
      </c>
      <c r="J220" t="s">
        <v>1237</v>
      </c>
      <c r="K220">
        <v>1</v>
      </c>
      <c r="L220">
        <v>1</v>
      </c>
      <c r="M220" t="s">
        <v>1977</v>
      </c>
      <c r="N220">
        <v>0</v>
      </c>
      <c r="O220" s="1">
        <f>+Tabla__192.168.1.8_POSEIDONSQL_APPFVT_01_tbl_detalle_fill_rate[[#This Row],[emb_cantidad]]-Tabla__192.168.1.8_POSEIDONSQL_APPFVT_01_tbl_detalle_fill_rate[[#This Row],[dev_cantidad]]</f>
        <v>1</v>
      </c>
      <c r="P2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0" s="1">
        <f>+Tabla__192.168.1.8_POSEIDONSQL_APPFVT_01_tbl_detalle_fill_rate[[#This Row],[Cumpl Real Unds]]-Tabla__192.168.1.8_POSEIDONSQL_APPFVT_01_tbl_detalle_fill_rate[[#This Row],[Cant Embarcada]]</f>
        <v>0</v>
      </c>
      <c r="S220" s="1">
        <f>+IF(Tabla__192.168.1.8_POSEIDONSQL_APPFVT_01_tbl_detalle_fill_rate[[#This Row],[Pend Emb]]&gt;0,1,0)</f>
        <v>0</v>
      </c>
      <c r="T2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1" spans="1:20" x14ac:dyDescent="0.25">
      <c r="A221">
        <v>6</v>
      </c>
      <c r="B221" t="s">
        <v>53</v>
      </c>
      <c r="C221">
        <v>945696</v>
      </c>
      <c r="D221" s="48">
        <v>43340</v>
      </c>
      <c r="E221" s="48">
        <v>43339</v>
      </c>
      <c r="F221" s="48">
        <v>43343</v>
      </c>
      <c r="G221" t="s">
        <v>146</v>
      </c>
      <c r="H221" t="s">
        <v>147</v>
      </c>
      <c r="I221">
        <v>1</v>
      </c>
      <c r="J221" t="s">
        <v>1238</v>
      </c>
      <c r="K221">
        <v>1</v>
      </c>
      <c r="L221">
        <v>1</v>
      </c>
      <c r="M221" t="s">
        <v>1977</v>
      </c>
      <c r="N221">
        <v>0</v>
      </c>
      <c r="O221" s="1">
        <f>+Tabla__192.168.1.8_POSEIDONSQL_APPFVT_01_tbl_detalle_fill_rate[[#This Row],[emb_cantidad]]-Tabla__192.168.1.8_POSEIDONSQL_APPFVT_01_tbl_detalle_fill_rate[[#This Row],[dev_cantidad]]</f>
        <v>1</v>
      </c>
      <c r="P2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1" s="1">
        <f>+Tabla__192.168.1.8_POSEIDONSQL_APPFVT_01_tbl_detalle_fill_rate[[#This Row],[Cumpl Real Unds]]-Tabla__192.168.1.8_POSEIDONSQL_APPFVT_01_tbl_detalle_fill_rate[[#This Row],[Cant Embarcada]]</f>
        <v>0</v>
      </c>
      <c r="S221" s="1">
        <f>+IF(Tabla__192.168.1.8_POSEIDONSQL_APPFVT_01_tbl_detalle_fill_rate[[#This Row],[Pend Emb]]&gt;0,1,0)</f>
        <v>0</v>
      </c>
      <c r="T2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2" spans="1:20" x14ac:dyDescent="0.25">
      <c r="A222">
        <v>6</v>
      </c>
      <c r="B222" t="s">
        <v>53</v>
      </c>
      <c r="C222">
        <v>946014</v>
      </c>
      <c r="D222" s="48">
        <v>43340</v>
      </c>
      <c r="E222" s="48">
        <v>43339</v>
      </c>
      <c r="F222" s="48">
        <v>43343</v>
      </c>
      <c r="G222" t="s">
        <v>366</v>
      </c>
      <c r="H222" t="s">
        <v>367</v>
      </c>
      <c r="I222">
        <v>2</v>
      </c>
      <c r="J222" t="s">
        <v>1239</v>
      </c>
      <c r="K222">
        <v>2</v>
      </c>
      <c r="L222">
        <v>2</v>
      </c>
      <c r="M222" t="s">
        <v>1977</v>
      </c>
      <c r="N222">
        <v>0</v>
      </c>
      <c r="O222" s="1">
        <f>+Tabla__192.168.1.8_POSEIDONSQL_APPFVT_01_tbl_detalle_fill_rate[[#This Row],[emb_cantidad]]-Tabla__192.168.1.8_POSEIDONSQL_APPFVT_01_tbl_detalle_fill_rate[[#This Row],[dev_cantidad]]</f>
        <v>2</v>
      </c>
      <c r="P2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222" s="1">
        <f>+Tabla__192.168.1.8_POSEIDONSQL_APPFVT_01_tbl_detalle_fill_rate[[#This Row],[Cumpl Real Unds]]-Tabla__192.168.1.8_POSEIDONSQL_APPFVT_01_tbl_detalle_fill_rate[[#This Row],[Cant Embarcada]]</f>
        <v>0</v>
      </c>
      <c r="S222" s="1">
        <f>+IF(Tabla__192.168.1.8_POSEIDONSQL_APPFVT_01_tbl_detalle_fill_rate[[#This Row],[Pend Emb]]&gt;0,1,0)</f>
        <v>0</v>
      </c>
      <c r="T2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3" spans="1:20" x14ac:dyDescent="0.25">
      <c r="A223">
        <v>6</v>
      </c>
      <c r="B223" t="s">
        <v>53</v>
      </c>
      <c r="C223">
        <v>946126</v>
      </c>
      <c r="D223" s="48">
        <v>43340</v>
      </c>
      <c r="E223" s="48">
        <v>43340</v>
      </c>
      <c r="F223" s="48">
        <v>43343</v>
      </c>
      <c r="G223" t="s">
        <v>304</v>
      </c>
      <c r="H223" t="s">
        <v>305</v>
      </c>
      <c r="I223">
        <v>1</v>
      </c>
      <c r="J223" t="s">
        <v>1236</v>
      </c>
      <c r="K223">
        <v>1</v>
      </c>
      <c r="L223">
        <v>1</v>
      </c>
      <c r="M223" t="s">
        <v>1977</v>
      </c>
      <c r="N223">
        <v>0</v>
      </c>
      <c r="O223" s="1">
        <f>+Tabla__192.168.1.8_POSEIDONSQL_APPFVT_01_tbl_detalle_fill_rate[[#This Row],[emb_cantidad]]-Tabla__192.168.1.8_POSEIDONSQL_APPFVT_01_tbl_detalle_fill_rate[[#This Row],[dev_cantidad]]</f>
        <v>1</v>
      </c>
      <c r="P2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3" s="1">
        <f>+Tabla__192.168.1.8_POSEIDONSQL_APPFVT_01_tbl_detalle_fill_rate[[#This Row],[Cumpl Real Unds]]-Tabla__192.168.1.8_POSEIDONSQL_APPFVT_01_tbl_detalle_fill_rate[[#This Row],[Cant Embarcada]]</f>
        <v>0</v>
      </c>
      <c r="S223" s="1">
        <f>+IF(Tabla__192.168.1.8_POSEIDONSQL_APPFVT_01_tbl_detalle_fill_rate[[#This Row],[Pend Emb]]&gt;0,1,0)</f>
        <v>0</v>
      </c>
      <c r="T2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4" spans="1:20" x14ac:dyDescent="0.25">
      <c r="A224">
        <v>6</v>
      </c>
      <c r="B224" t="s">
        <v>53</v>
      </c>
      <c r="C224">
        <v>969998</v>
      </c>
      <c r="D224" s="48">
        <v>43367</v>
      </c>
      <c r="E224" s="48">
        <v>43364</v>
      </c>
      <c r="F224" s="48">
        <v>43370</v>
      </c>
      <c r="G224" t="s">
        <v>322</v>
      </c>
      <c r="H224" t="s">
        <v>323</v>
      </c>
      <c r="I224">
        <v>1</v>
      </c>
      <c r="J224" t="s">
        <v>1032</v>
      </c>
      <c r="K224">
        <v>1</v>
      </c>
      <c r="L224">
        <v>1</v>
      </c>
      <c r="M224" t="s">
        <v>420</v>
      </c>
      <c r="N224">
        <v>0</v>
      </c>
      <c r="O224" s="1">
        <f>+Tabla__192.168.1.8_POSEIDONSQL_APPFVT_01_tbl_detalle_fill_rate[[#This Row],[emb_cantidad]]-Tabla__192.168.1.8_POSEIDONSQL_APPFVT_01_tbl_detalle_fill_rate[[#This Row],[dev_cantidad]]</f>
        <v>1</v>
      </c>
      <c r="P2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4" s="1">
        <f>+Tabla__192.168.1.8_POSEIDONSQL_APPFVT_01_tbl_detalle_fill_rate[[#This Row],[Cumpl Real Unds]]-Tabla__192.168.1.8_POSEIDONSQL_APPFVT_01_tbl_detalle_fill_rate[[#This Row],[Cant Embarcada]]</f>
        <v>0</v>
      </c>
      <c r="S224" s="1">
        <f>+IF(Tabla__192.168.1.8_POSEIDONSQL_APPFVT_01_tbl_detalle_fill_rate[[#This Row],[Pend Emb]]&gt;0,1,0)</f>
        <v>0</v>
      </c>
      <c r="T2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5" spans="1:20" x14ac:dyDescent="0.25">
      <c r="A225">
        <v>6</v>
      </c>
      <c r="B225" t="s">
        <v>53</v>
      </c>
      <c r="C225">
        <v>970564</v>
      </c>
      <c r="D225" s="48">
        <v>43367</v>
      </c>
      <c r="E225" s="48">
        <v>43364</v>
      </c>
      <c r="F225" s="48">
        <v>43370</v>
      </c>
      <c r="G225" t="s">
        <v>74</v>
      </c>
      <c r="H225" t="s">
        <v>75</v>
      </c>
      <c r="I225">
        <v>1</v>
      </c>
      <c r="J225" t="s">
        <v>1033</v>
      </c>
      <c r="K225">
        <v>1</v>
      </c>
      <c r="L225">
        <v>1</v>
      </c>
      <c r="M225" t="s">
        <v>420</v>
      </c>
      <c r="N225">
        <v>0</v>
      </c>
      <c r="O225" s="1">
        <f>+Tabla__192.168.1.8_POSEIDONSQL_APPFVT_01_tbl_detalle_fill_rate[[#This Row],[emb_cantidad]]-Tabla__192.168.1.8_POSEIDONSQL_APPFVT_01_tbl_detalle_fill_rate[[#This Row],[dev_cantidad]]</f>
        <v>1</v>
      </c>
      <c r="P2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5" s="1">
        <f>+Tabla__192.168.1.8_POSEIDONSQL_APPFVT_01_tbl_detalle_fill_rate[[#This Row],[Cumpl Real Unds]]-Tabla__192.168.1.8_POSEIDONSQL_APPFVT_01_tbl_detalle_fill_rate[[#This Row],[Cant Embarcada]]</f>
        <v>0</v>
      </c>
      <c r="S225" s="1">
        <f>+IF(Tabla__192.168.1.8_POSEIDONSQL_APPFVT_01_tbl_detalle_fill_rate[[#This Row],[Pend Emb]]&gt;0,1,0)</f>
        <v>0</v>
      </c>
      <c r="T2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6" spans="1:20" x14ac:dyDescent="0.25">
      <c r="A226">
        <v>6</v>
      </c>
      <c r="B226" t="s">
        <v>53</v>
      </c>
      <c r="C226">
        <v>970779</v>
      </c>
      <c r="D226" s="48">
        <v>43367</v>
      </c>
      <c r="E226" s="48">
        <v>43364</v>
      </c>
      <c r="F226" s="48">
        <v>43370</v>
      </c>
      <c r="G226" t="s">
        <v>132</v>
      </c>
      <c r="H226" t="s">
        <v>133</v>
      </c>
      <c r="I226">
        <v>1</v>
      </c>
      <c r="J226" t="s">
        <v>1034</v>
      </c>
      <c r="K226">
        <v>1</v>
      </c>
      <c r="L226">
        <v>1</v>
      </c>
      <c r="M226" t="s">
        <v>420</v>
      </c>
      <c r="N226">
        <v>0</v>
      </c>
      <c r="O226" s="1">
        <f>+Tabla__192.168.1.8_POSEIDONSQL_APPFVT_01_tbl_detalle_fill_rate[[#This Row],[emb_cantidad]]-Tabla__192.168.1.8_POSEIDONSQL_APPFVT_01_tbl_detalle_fill_rate[[#This Row],[dev_cantidad]]</f>
        <v>1</v>
      </c>
      <c r="P2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6" s="1">
        <f>+Tabla__192.168.1.8_POSEIDONSQL_APPFVT_01_tbl_detalle_fill_rate[[#This Row],[Cumpl Real Unds]]-Tabla__192.168.1.8_POSEIDONSQL_APPFVT_01_tbl_detalle_fill_rate[[#This Row],[Cant Embarcada]]</f>
        <v>0</v>
      </c>
      <c r="S226" s="1">
        <f>+IF(Tabla__192.168.1.8_POSEIDONSQL_APPFVT_01_tbl_detalle_fill_rate[[#This Row],[Pend Emb]]&gt;0,1,0)</f>
        <v>0</v>
      </c>
      <c r="T2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7" spans="1:20" x14ac:dyDescent="0.25">
      <c r="A227">
        <v>6</v>
      </c>
      <c r="B227" t="s">
        <v>53</v>
      </c>
      <c r="C227">
        <v>970878</v>
      </c>
      <c r="D227" s="48">
        <v>43367</v>
      </c>
      <c r="E227" s="48">
        <v>43364</v>
      </c>
      <c r="F227" s="48">
        <v>43370</v>
      </c>
      <c r="G227" t="s">
        <v>314</v>
      </c>
      <c r="H227" t="s">
        <v>315</v>
      </c>
      <c r="I227">
        <v>1</v>
      </c>
      <c r="J227" t="s">
        <v>1035</v>
      </c>
      <c r="K227">
        <v>1</v>
      </c>
      <c r="L227">
        <v>1</v>
      </c>
      <c r="M227" t="s">
        <v>420</v>
      </c>
      <c r="N227">
        <v>0</v>
      </c>
      <c r="O227" s="1">
        <f>+Tabla__192.168.1.8_POSEIDONSQL_APPFVT_01_tbl_detalle_fill_rate[[#This Row],[emb_cantidad]]-Tabla__192.168.1.8_POSEIDONSQL_APPFVT_01_tbl_detalle_fill_rate[[#This Row],[dev_cantidad]]</f>
        <v>1</v>
      </c>
      <c r="P2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7" s="1">
        <f>+Tabla__192.168.1.8_POSEIDONSQL_APPFVT_01_tbl_detalle_fill_rate[[#This Row],[Cumpl Real Unds]]-Tabla__192.168.1.8_POSEIDONSQL_APPFVT_01_tbl_detalle_fill_rate[[#This Row],[Cant Embarcada]]</f>
        <v>0</v>
      </c>
      <c r="S227" s="1">
        <f>+IF(Tabla__192.168.1.8_POSEIDONSQL_APPFVT_01_tbl_detalle_fill_rate[[#This Row],[Pend Emb]]&gt;0,1,0)</f>
        <v>0</v>
      </c>
      <c r="T2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8" spans="1:20" x14ac:dyDescent="0.25">
      <c r="A228">
        <v>6</v>
      </c>
      <c r="B228" t="s">
        <v>53</v>
      </c>
      <c r="C228">
        <v>971183</v>
      </c>
      <c r="D228" s="48">
        <v>43367</v>
      </c>
      <c r="E228" s="48">
        <v>43365</v>
      </c>
      <c r="F228" s="48">
        <v>43370</v>
      </c>
      <c r="G228" t="s">
        <v>366</v>
      </c>
      <c r="H228" t="s">
        <v>367</v>
      </c>
      <c r="I228">
        <v>1</v>
      </c>
      <c r="J228" t="s">
        <v>1036</v>
      </c>
      <c r="K228">
        <v>1</v>
      </c>
      <c r="L228">
        <v>1</v>
      </c>
      <c r="M228" t="s">
        <v>420</v>
      </c>
      <c r="N228">
        <v>0</v>
      </c>
      <c r="O228" s="1">
        <f>+Tabla__192.168.1.8_POSEIDONSQL_APPFVT_01_tbl_detalle_fill_rate[[#This Row],[emb_cantidad]]-Tabla__192.168.1.8_POSEIDONSQL_APPFVT_01_tbl_detalle_fill_rate[[#This Row],[dev_cantidad]]</f>
        <v>1</v>
      </c>
      <c r="P2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8" s="1">
        <f>+Tabla__192.168.1.8_POSEIDONSQL_APPFVT_01_tbl_detalle_fill_rate[[#This Row],[Cumpl Real Unds]]-Tabla__192.168.1.8_POSEIDONSQL_APPFVT_01_tbl_detalle_fill_rate[[#This Row],[Cant Embarcada]]</f>
        <v>0</v>
      </c>
      <c r="S228" s="1">
        <f>+IF(Tabla__192.168.1.8_POSEIDONSQL_APPFVT_01_tbl_detalle_fill_rate[[#This Row],[Pend Emb]]&gt;0,1,0)</f>
        <v>0</v>
      </c>
      <c r="T2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29" spans="1:20" x14ac:dyDescent="0.25">
      <c r="A229">
        <v>6</v>
      </c>
      <c r="B229" t="s">
        <v>53</v>
      </c>
      <c r="C229">
        <v>971218</v>
      </c>
      <c r="D229" s="48">
        <v>43367</v>
      </c>
      <c r="E229" s="48">
        <v>43365</v>
      </c>
      <c r="F229" s="48">
        <v>43370</v>
      </c>
      <c r="G229" t="s">
        <v>74</v>
      </c>
      <c r="H229" t="s">
        <v>75</v>
      </c>
      <c r="I229">
        <v>1</v>
      </c>
      <c r="J229" t="s">
        <v>1026</v>
      </c>
      <c r="K229">
        <v>1</v>
      </c>
      <c r="L229">
        <v>1</v>
      </c>
      <c r="M229" t="s">
        <v>420</v>
      </c>
      <c r="N229">
        <v>0</v>
      </c>
      <c r="O229" s="1">
        <f>+Tabla__192.168.1.8_POSEIDONSQL_APPFVT_01_tbl_detalle_fill_rate[[#This Row],[emb_cantidad]]-Tabla__192.168.1.8_POSEIDONSQL_APPFVT_01_tbl_detalle_fill_rate[[#This Row],[dev_cantidad]]</f>
        <v>1</v>
      </c>
      <c r="P2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29" s="1">
        <f>+Tabla__192.168.1.8_POSEIDONSQL_APPFVT_01_tbl_detalle_fill_rate[[#This Row],[Cumpl Real Unds]]-Tabla__192.168.1.8_POSEIDONSQL_APPFVT_01_tbl_detalle_fill_rate[[#This Row],[Cant Embarcada]]</f>
        <v>0</v>
      </c>
      <c r="S229" s="1">
        <f>+IF(Tabla__192.168.1.8_POSEIDONSQL_APPFVT_01_tbl_detalle_fill_rate[[#This Row],[Pend Emb]]&gt;0,1,0)</f>
        <v>0</v>
      </c>
      <c r="T2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0" spans="1:20" x14ac:dyDescent="0.25">
      <c r="A230">
        <v>6</v>
      </c>
      <c r="B230" t="s">
        <v>53</v>
      </c>
      <c r="C230">
        <v>971356</v>
      </c>
      <c r="D230" s="48">
        <v>43367</v>
      </c>
      <c r="E230" s="48">
        <v>43365</v>
      </c>
      <c r="F230" s="48">
        <v>43370</v>
      </c>
      <c r="G230" t="s">
        <v>94</v>
      </c>
      <c r="H230" t="s">
        <v>95</v>
      </c>
      <c r="I230">
        <v>1</v>
      </c>
      <c r="J230" t="s">
        <v>1027</v>
      </c>
      <c r="K230">
        <v>1</v>
      </c>
      <c r="L230">
        <v>1</v>
      </c>
      <c r="M230" t="s">
        <v>420</v>
      </c>
      <c r="N230">
        <v>0</v>
      </c>
      <c r="O230" s="1">
        <f>+Tabla__192.168.1.8_POSEIDONSQL_APPFVT_01_tbl_detalle_fill_rate[[#This Row],[emb_cantidad]]-Tabla__192.168.1.8_POSEIDONSQL_APPFVT_01_tbl_detalle_fill_rate[[#This Row],[dev_cantidad]]</f>
        <v>1</v>
      </c>
      <c r="P2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0" s="1">
        <f>+Tabla__192.168.1.8_POSEIDONSQL_APPFVT_01_tbl_detalle_fill_rate[[#This Row],[Cumpl Real Unds]]-Tabla__192.168.1.8_POSEIDONSQL_APPFVT_01_tbl_detalle_fill_rate[[#This Row],[Cant Embarcada]]</f>
        <v>0</v>
      </c>
      <c r="S230" s="1">
        <f>+IF(Tabla__192.168.1.8_POSEIDONSQL_APPFVT_01_tbl_detalle_fill_rate[[#This Row],[Pend Emb]]&gt;0,1,0)</f>
        <v>0</v>
      </c>
      <c r="T2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1" spans="1:20" x14ac:dyDescent="0.25">
      <c r="A231">
        <v>6</v>
      </c>
      <c r="B231" t="s">
        <v>53</v>
      </c>
      <c r="C231">
        <v>971383</v>
      </c>
      <c r="D231" s="48">
        <v>43367</v>
      </c>
      <c r="E231" s="48">
        <v>43365</v>
      </c>
      <c r="F231" s="48">
        <v>43370</v>
      </c>
      <c r="G231" t="s">
        <v>363</v>
      </c>
      <c r="H231" t="s">
        <v>364</v>
      </c>
      <c r="I231">
        <v>1</v>
      </c>
      <c r="J231" t="s">
        <v>1028</v>
      </c>
      <c r="K231">
        <v>1</v>
      </c>
      <c r="L231">
        <v>1</v>
      </c>
      <c r="M231" t="s">
        <v>420</v>
      </c>
      <c r="N231">
        <v>0</v>
      </c>
      <c r="O231" s="1">
        <f>+Tabla__192.168.1.8_POSEIDONSQL_APPFVT_01_tbl_detalle_fill_rate[[#This Row],[emb_cantidad]]-Tabla__192.168.1.8_POSEIDONSQL_APPFVT_01_tbl_detalle_fill_rate[[#This Row],[dev_cantidad]]</f>
        <v>1</v>
      </c>
      <c r="P2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1" s="1">
        <f>+Tabla__192.168.1.8_POSEIDONSQL_APPFVT_01_tbl_detalle_fill_rate[[#This Row],[Cumpl Real Unds]]-Tabla__192.168.1.8_POSEIDONSQL_APPFVT_01_tbl_detalle_fill_rate[[#This Row],[Cant Embarcada]]</f>
        <v>0</v>
      </c>
      <c r="S231" s="1">
        <f>+IF(Tabla__192.168.1.8_POSEIDONSQL_APPFVT_01_tbl_detalle_fill_rate[[#This Row],[Pend Emb]]&gt;0,1,0)</f>
        <v>0</v>
      </c>
      <c r="T2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2" spans="1:20" x14ac:dyDescent="0.25">
      <c r="A232">
        <v>6</v>
      </c>
      <c r="B232" t="s">
        <v>53</v>
      </c>
      <c r="C232">
        <v>971412</v>
      </c>
      <c r="D232" s="48">
        <v>43367</v>
      </c>
      <c r="E232" s="48">
        <v>43365</v>
      </c>
      <c r="F232" s="48">
        <v>43370</v>
      </c>
      <c r="G232" t="s">
        <v>90</v>
      </c>
      <c r="H232" t="s">
        <v>91</v>
      </c>
      <c r="I232">
        <v>1</v>
      </c>
      <c r="J232" t="s">
        <v>1029</v>
      </c>
      <c r="K232">
        <v>1</v>
      </c>
      <c r="L232">
        <v>1</v>
      </c>
      <c r="M232" t="s">
        <v>420</v>
      </c>
      <c r="N232">
        <v>0</v>
      </c>
      <c r="O232" s="1">
        <f>+Tabla__192.168.1.8_POSEIDONSQL_APPFVT_01_tbl_detalle_fill_rate[[#This Row],[emb_cantidad]]-Tabla__192.168.1.8_POSEIDONSQL_APPFVT_01_tbl_detalle_fill_rate[[#This Row],[dev_cantidad]]</f>
        <v>1</v>
      </c>
      <c r="P2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2" s="1">
        <f>+Tabla__192.168.1.8_POSEIDONSQL_APPFVT_01_tbl_detalle_fill_rate[[#This Row],[Cumpl Real Unds]]-Tabla__192.168.1.8_POSEIDONSQL_APPFVT_01_tbl_detalle_fill_rate[[#This Row],[Cant Embarcada]]</f>
        <v>0</v>
      </c>
      <c r="S232" s="1">
        <f>+IF(Tabla__192.168.1.8_POSEIDONSQL_APPFVT_01_tbl_detalle_fill_rate[[#This Row],[Pend Emb]]&gt;0,1,0)</f>
        <v>0</v>
      </c>
      <c r="T2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3" spans="1:20" x14ac:dyDescent="0.25">
      <c r="A233">
        <v>6</v>
      </c>
      <c r="B233" t="s">
        <v>53</v>
      </c>
      <c r="C233">
        <v>971512</v>
      </c>
      <c r="D233" s="48">
        <v>43367</v>
      </c>
      <c r="E233" s="48">
        <v>43365</v>
      </c>
      <c r="F233" s="48">
        <v>43370</v>
      </c>
      <c r="G233" t="s">
        <v>90</v>
      </c>
      <c r="H233" t="s">
        <v>91</v>
      </c>
      <c r="I233">
        <v>1</v>
      </c>
      <c r="J233" t="s">
        <v>1030</v>
      </c>
      <c r="K233">
        <v>1</v>
      </c>
      <c r="L233">
        <v>1</v>
      </c>
      <c r="M233" t="s">
        <v>420</v>
      </c>
      <c r="N233">
        <v>0</v>
      </c>
      <c r="O233" s="1">
        <f>+Tabla__192.168.1.8_POSEIDONSQL_APPFVT_01_tbl_detalle_fill_rate[[#This Row],[emb_cantidad]]-Tabla__192.168.1.8_POSEIDONSQL_APPFVT_01_tbl_detalle_fill_rate[[#This Row],[dev_cantidad]]</f>
        <v>1</v>
      </c>
      <c r="P2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3" s="1">
        <f>+Tabla__192.168.1.8_POSEIDONSQL_APPFVT_01_tbl_detalle_fill_rate[[#This Row],[Cumpl Real Unds]]-Tabla__192.168.1.8_POSEIDONSQL_APPFVT_01_tbl_detalle_fill_rate[[#This Row],[Cant Embarcada]]</f>
        <v>0</v>
      </c>
      <c r="S233" s="1">
        <f>+IF(Tabla__192.168.1.8_POSEIDONSQL_APPFVT_01_tbl_detalle_fill_rate[[#This Row],[Pend Emb]]&gt;0,1,0)</f>
        <v>0</v>
      </c>
      <c r="T2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4" spans="1:20" x14ac:dyDescent="0.25">
      <c r="A234">
        <v>6</v>
      </c>
      <c r="B234" t="s">
        <v>53</v>
      </c>
      <c r="C234">
        <v>971740</v>
      </c>
      <c r="D234" s="48">
        <v>43367</v>
      </c>
      <c r="E234" s="48">
        <v>43365</v>
      </c>
      <c r="F234" s="48">
        <v>43370</v>
      </c>
      <c r="G234" t="s">
        <v>70</v>
      </c>
      <c r="H234" t="s">
        <v>71</v>
      </c>
      <c r="I234">
        <v>1</v>
      </c>
      <c r="J234" t="s">
        <v>1031</v>
      </c>
      <c r="K234">
        <v>1</v>
      </c>
      <c r="L234">
        <v>1</v>
      </c>
      <c r="M234" t="s">
        <v>420</v>
      </c>
      <c r="N234">
        <v>0</v>
      </c>
      <c r="O234" s="1">
        <f>+Tabla__192.168.1.8_POSEIDONSQL_APPFVT_01_tbl_detalle_fill_rate[[#This Row],[emb_cantidad]]-Tabla__192.168.1.8_POSEIDONSQL_APPFVT_01_tbl_detalle_fill_rate[[#This Row],[dev_cantidad]]</f>
        <v>1</v>
      </c>
      <c r="P2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4" s="1">
        <f>+Tabla__192.168.1.8_POSEIDONSQL_APPFVT_01_tbl_detalle_fill_rate[[#This Row],[Cumpl Real Unds]]-Tabla__192.168.1.8_POSEIDONSQL_APPFVT_01_tbl_detalle_fill_rate[[#This Row],[Cant Embarcada]]</f>
        <v>0</v>
      </c>
      <c r="S234" s="1">
        <f>+IF(Tabla__192.168.1.8_POSEIDONSQL_APPFVT_01_tbl_detalle_fill_rate[[#This Row],[Pend Emb]]&gt;0,1,0)</f>
        <v>0</v>
      </c>
      <c r="T2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5" spans="1:20" x14ac:dyDescent="0.25">
      <c r="A235">
        <v>6</v>
      </c>
      <c r="B235" t="s">
        <v>53</v>
      </c>
      <c r="C235">
        <v>971760</v>
      </c>
      <c r="D235" s="48">
        <v>43367</v>
      </c>
      <c r="E235" s="48">
        <v>43365</v>
      </c>
      <c r="F235" s="48">
        <v>43370</v>
      </c>
      <c r="G235" t="s">
        <v>164</v>
      </c>
      <c r="H235" t="s">
        <v>165</v>
      </c>
      <c r="I235">
        <v>1</v>
      </c>
      <c r="J235" t="s">
        <v>1020</v>
      </c>
      <c r="K235">
        <v>1</v>
      </c>
      <c r="L235">
        <v>1</v>
      </c>
      <c r="M235" t="s">
        <v>420</v>
      </c>
      <c r="N235">
        <v>0</v>
      </c>
      <c r="O235" s="1">
        <f>+Tabla__192.168.1.8_POSEIDONSQL_APPFVT_01_tbl_detalle_fill_rate[[#This Row],[emb_cantidad]]-Tabla__192.168.1.8_POSEIDONSQL_APPFVT_01_tbl_detalle_fill_rate[[#This Row],[dev_cantidad]]</f>
        <v>1</v>
      </c>
      <c r="P2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5" s="1">
        <f>+Tabla__192.168.1.8_POSEIDONSQL_APPFVT_01_tbl_detalle_fill_rate[[#This Row],[Cumpl Real Unds]]-Tabla__192.168.1.8_POSEIDONSQL_APPFVT_01_tbl_detalle_fill_rate[[#This Row],[Cant Embarcada]]</f>
        <v>0</v>
      </c>
      <c r="S235" s="1">
        <f>+IF(Tabla__192.168.1.8_POSEIDONSQL_APPFVT_01_tbl_detalle_fill_rate[[#This Row],[Pend Emb]]&gt;0,1,0)</f>
        <v>0</v>
      </c>
      <c r="T2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6" spans="1:20" x14ac:dyDescent="0.25">
      <c r="A236">
        <v>6</v>
      </c>
      <c r="B236" t="s">
        <v>53</v>
      </c>
      <c r="C236">
        <v>971857</v>
      </c>
      <c r="D236" s="48">
        <v>43367</v>
      </c>
      <c r="E236" s="48">
        <v>43366</v>
      </c>
      <c r="F236" s="48">
        <v>43370</v>
      </c>
      <c r="G236" t="s">
        <v>330</v>
      </c>
      <c r="H236" t="s">
        <v>331</v>
      </c>
      <c r="I236">
        <v>1</v>
      </c>
      <c r="J236" t="s">
        <v>1021</v>
      </c>
      <c r="K236">
        <v>1</v>
      </c>
      <c r="L236">
        <v>1</v>
      </c>
      <c r="M236" t="s">
        <v>420</v>
      </c>
      <c r="N236">
        <v>0</v>
      </c>
      <c r="O236" s="1">
        <f>+Tabla__192.168.1.8_POSEIDONSQL_APPFVT_01_tbl_detalle_fill_rate[[#This Row],[emb_cantidad]]-Tabla__192.168.1.8_POSEIDONSQL_APPFVT_01_tbl_detalle_fill_rate[[#This Row],[dev_cantidad]]</f>
        <v>1</v>
      </c>
      <c r="P2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6" s="1">
        <f>+Tabla__192.168.1.8_POSEIDONSQL_APPFVT_01_tbl_detalle_fill_rate[[#This Row],[Cumpl Real Unds]]-Tabla__192.168.1.8_POSEIDONSQL_APPFVT_01_tbl_detalle_fill_rate[[#This Row],[Cant Embarcada]]</f>
        <v>0</v>
      </c>
      <c r="S236" s="1">
        <f>+IF(Tabla__192.168.1.8_POSEIDONSQL_APPFVT_01_tbl_detalle_fill_rate[[#This Row],[Pend Emb]]&gt;0,1,0)</f>
        <v>0</v>
      </c>
      <c r="T2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7" spans="1:20" x14ac:dyDescent="0.25">
      <c r="A237">
        <v>6</v>
      </c>
      <c r="B237" t="s">
        <v>53</v>
      </c>
      <c r="C237">
        <v>971932</v>
      </c>
      <c r="D237" s="48">
        <v>43367</v>
      </c>
      <c r="E237" s="48">
        <v>43366</v>
      </c>
      <c r="F237" s="48">
        <v>43370</v>
      </c>
      <c r="G237" t="s">
        <v>128</v>
      </c>
      <c r="H237" t="s">
        <v>129</v>
      </c>
      <c r="I237">
        <v>1</v>
      </c>
      <c r="J237" t="s">
        <v>1022</v>
      </c>
      <c r="K237">
        <v>1</v>
      </c>
      <c r="L237">
        <v>1</v>
      </c>
      <c r="M237" t="s">
        <v>420</v>
      </c>
      <c r="N237">
        <v>0</v>
      </c>
      <c r="O237" s="1">
        <f>+Tabla__192.168.1.8_POSEIDONSQL_APPFVT_01_tbl_detalle_fill_rate[[#This Row],[emb_cantidad]]-Tabla__192.168.1.8_POSEIDONSQL_APPFVT_01_tbl_detalle_fill_rate[[#This Row],[dev_cantidad]]</f>
        <v>1</v>
      </c>
      <c r="P2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7" s="1">
        <f>+Tabla__192.168.1.8_POSEIDONSQL_APPFVT_01_tbl_detalle_fill_rate[[#This Row],[Cumpl Real Unds]]-Tabla__192.168.1.8_POSEIDONSQL_APPFVT_01_tbl_detalle_fill_rate[[#This Row],[Cant Embarcada]]</f>
        <v>0</v>
      </c>
      <c r="S237" s="1">
        <f>+IF(Tabla__192.168.1.8_POSEIDONSQL_APPFVT_01_tbl_detalle_fill_rate[[#This Row],[Pend Emb]]&gt;0,1,0)</f>
        <v>0</v>
      </c>
      <c r="T2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8" spans="1:20" x14ac:dyDescent="0.25">
      <c r="A238">
        <v>6</v>
      </c>
      <c r="B238" t="s">
        <v>53</v>
      </c>
      <c r="C238">
        <v>971947</v>
      </c>
      <c r="D238" s="48">
        <v>43367</v>
      </c>
      <c r="E238" s="48">
        <v>43366</v>
      </c>
      <c r="F238" s="48">
        <v>43370</v>
      </c>
      <c r="G238" t="s">
        <v>94</v>
      </c>
      <c r="H238" t="s">
        <v>95</v>
      </c>
      <c r="I238">
        <v>1</v>
      </c>
      <c r="J238" t="s">
        <v>1023</v>
      </c>
      <c r="K238">
        <v>1</v>
      </c>
      <c r="L238">
        <v>1</v>
      </c>
      <c r="M238" t="s">
        <v>420</v>
      </c>
      <c r="N238">
        <v>0</v>
      </c>
      <c r="O238" s="1">
        <f>+Tabla__192.168.1.8_POSEIDONSQL_APPFVT_01_tbl_detalle_fill_rate[[#This Row],[emb_cantidad]]-Tabla__192.168.1.8_POSEIDONSQL_APPFVT_01_tbl_detalle_fill_rate[[#This Row],[dev_cantidad]]</f>
        <v>1</v>
      </c>
      <c r="P2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8" s="1">
        <f>+Tabla__192.168.1.8_POSEIDONSQL_APPFVT_01_tbl_detalle_fill_rate[[#This Row],[Cumpl Real Unds]]-Tabla__192.168.1.8_POSEIDONSQL_APPFVT_01_tbl_detalle_fill_rate[[#This Row],[Cant Embarcada]]</f>
        <v>0</v>
      </c>
      <c r="S238" s="1">
        <f>+IF(Tabla__192.168.1.8_POSEIDONSQL_APPFVT_01_tbl_detalle_fill_rate[[#This Row],[Pend Emb]]&gt;0,1,0)</f>
        <v>0</v>
      </c>
      <c r="T2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39" spans="1:20" x14ac:dyDescent="0.25">
      <c r="A239">
        <v>6</v>
      </c>
      <c r="B239" t="s">
        <v>53</v>
      </c>
      <c r="C239">
        <v>972171</v>
      </c>
      <c r="D239" s="48">
        <v>43367</v>
      </c>
      <c r="E239" s="48">
        <v>43366</v>
      </c>
      <c r="F239" s="48">
        <v>43370</v>
      </c>
      <c r="G239" t="s">
        <v>366</v>
      </c>
      <c r="H239" t="s">
        <v>367</v>
      </c>
      <c r="I239">
        <v>1</v>
      </c>
      <c r="J239" t="s">
        <v>1024</v>
      </c>
      <c r="K239">
        <v>1</v>
      </c>
      <c r="L239">
        <v>1</v>
      </c>
      <c r="M239" t="s">
        <v>420</v>
      </c>
      <c r="N239">
        <v>0</v>
      </c>
      <c r="O239" s="1">
        <f>+Tabla__192.168.1.8_POSEIDONSQL_APPFVT_01_tbl_detalle_fill_rate[[#This Row],[emb_cantidad]]-Tabla__192.168.1.8_POSEIDONSQL_APPFVT_01_tbl_detalle_fill_rate[[#This Row],[dev_cantidad]]</f>
        <v>1</v>
      </c>
      <c r="P2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39" s="1">
        <f>+Tabla__192.168.1.8_POSEIDONSQL_APPFVT_01_tbl_detalle_fill_rate[[#This Row],[Cumpl Real Unds]]-Tabla__192.168.1.8_POSEIDONSQL_APPFVT_01_tbl_detalle_fill_rate[[#This Row],[Cant Embarcada]]</f>
        <v>0</v>
      </c>
      <c r="S239" s="1">
        <f>+IF(Tabla__192.168.1.8_POSEIDONSQL_APPFVT_01_tbl_detalle_fill_rate[[#This Row],[Pend Emb]]&gt;0,1,0)</f>
        <v>0</v>
      </c>
      <c r="T2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0" spans="1:20" x14ac:dyDescent="0.25">
      <c r="A240">
        <v>6</v>
      </c>
      <c r="B240" t="s">
        <v>53</v>
      </c>
      <c r="C240">
        <v>972401</v>
      </c>
      <c r="D240" s="48">
        <v>43367</v>
      </c>
      <c r="E240" s="48">
        <v>43366</v>
      </c>
      <c r="F240" s="48">
        <v>43370</v>
      </c>
      <c r="G240" t="s">
        <v>355</v>
      </c>
      <c r="H240" t="s">
        <v>356</v>
      </c>
      <c r="I240">
        <v>1</v>
      </c>
      <c r="J240" t="s">
        <v>1025</v>
      </c>
      <c r="K240">
        <v>1</v>
      </c>
      <c r="L240">
        <v>1</v>
      </c>
      <c r="M240" t="s">
        <v>420</v>
      </c>
      <c r="N240">
        <v>0</v>
      </c>
      <c r="O240" s="1">
        <f>+Tabla__192.168.1.8_POSEIDONSQL_APPFVT_01_tbl_detalle_fill_rate[[#This Row],[emb_cantidad]]-Tabla__192.168.1.8_POSEIDONSQL_APPFVT_01_tbl_detalle_fill_rate[[#This Row],[dev_cantidad]]</f>
        <v>1</v>
      </c>
      <c r="P2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0" s="1">
        <f>+Tabla__192.168.1.8_POSEIDONSQL_APPFVT_01_tbl_detalle_fill_rate[[#This Row],[Cumpl Real Unds]]-Tabla__192.168.1.8_POSEIDONSQL_APPFVT_01_tbl_detalle_fill_rate[[#This Row],[Cant Embarcada]]</f>
        <v>0</v>
      </c>
      <c r="S240" s="1">
        <f>+IF(Tabla__192.168.1.8_POSEIDONSQL_APPFVT_01_tbl_detalle_fill_rate[[#This Row],[Pend Emb]]&gt;0,1,0)</f>
        <v>0</v>
      </c>
      <c r="T2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1" spans="1:20" x14ac:dyDescent="0.25">
      <c r="A241">
        <v>6</v>
      </c>
      <c r="B241" t="s">
        <v>53</v>
      </c>
      <c r="C241">
        <v>972485</v>
      </c>
      <c r="D241" s="48">
        <v>43367</v>
      </c>
      <c r="E241" s="48">
        <v>43366</v>
      </c>
      <c r="F241" s="48">
        <v>43370</v>
      </c>
      <c r="G241" t="s">
        <v>312</v>
      </c>
      <c r="H241" t="s">
        <v>313</v>
      </c>
      <c r="I241">
        <v>1</v>
      </c>
      <c r="J241" t="s">
        <v>1015</v>
      </c>
      <c r="K241">
        <v>1</v>
      </c>
      <c r="L241">
        <v>1</v>
      </c>
      <c r="M241" t="s">
        <v>420</v>
      </c>
      <c r="N241">
        <v>0</v>
      </c>
      <c r="O241" s="1">
        <f>+Tabla__192.168.1.8_POSEIDONSQL_APPFVT_01_tbl_detalle_fill_rate[[#This Row],[emb_cantidad]]-Tabla__192.168.1.8_POSEIDONSQL_APPFVT_01_tbl_detalle_fill_rate[[#This Row],[dev_cantidad]]</f>
        <v>1</v>
      </c>
      <c r="P2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1" s="1">
        <f>+Tabla__192.168.1.8_POSEIDONSQL_APPFVT_01_tbl_detalle_fill_rate[[#This Row],[Cumpl Real Unds]]-Tabla__192.168.1.8_POSEIDONSQL_APPFVT_01_tbl_detalle_fill_rate[[#This Row],[Cant Embarcada]]</f>
        <v>0</v>
      </c>
      <c r="S241" s="1">
        <f>+IF(Tabla__192.168.1.8_POSEIDONSQL_APPFVT_01_tbl_detalle_fill_rate[[#This Row],[Pend Emb]]&gt;0,1,0)</f>
        <v>0</v>
      </c>
      <c r="T2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2" spans="1:20" x14ac:dyDescent="0.25">
      <c r="A242">
        <v>6</v>
      </c>
      <c r="B242" t="s">
        <v>53</v>
      </c>
      <c r="C242">
        <v>972489</v>
      </c>
      <c r="D242" s="48">
        <v>43367</v>
      </c>
      <c r="E242" s="48">
        <v>43366</v>
      </c>
      <c r="F242" s="48">
        <v>43370</v>
      </c>
      <c r="G242" t="s">
        <v>62</v>
      </c>
      <c r="H242" t="s">
        <v>63</v>
      </c>
      <c r="I242">
        <v>1</v>
      </c>
      <c r="J242" t="s">
        <v>1016</v>
      </c>
      <c r="K242">
        <v>1</v>
      </c>
      <c r="L242">
        <v>1</v>
      </c>
      <c r="M242" t="s">
        <v>420</v>
      </c>
      <c r="N242">
        <v>0</v>
      </c>
      <c r="O242" s="1">
        <f>+Tabla__192.168.1.8_POSEIDONSQL_APPFVT_01_tbl_detalle_fill_rate[[#This Row],[emb_cantidad]]-Tabla__192.168.1.8_POSEIDONSQL_APPFVT_01_tbl_detalle_fill_rate[[#This Row],[dev_cantidad]]</f>
        <v>1</v>
      </c>
      <c r="P2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2" s="1">
        <f>+Tabla__192.168.1.8_POSEIDONSQL_APPFVT_01_tbl_detalle_fill_rate[[#This Row],[Cumpl Real Unds]]-Tabla__192.168.1.8_POSEIDONSQL_APPFVT_01_tbl_detalle_fill_rate[[#This Row],[Cant Embarcada]]</f>
        <v>0</v>
      </c>
      <c r="S242" s="1">
        <f>+IF(Tabla__192.168.1.8_POSEIDONSQL_APPFVT_01_tbl_detalle_fill_rate[[#This Row],[Pend Emb]]&gt;0,1,0)</f>
        <v>0</v>
      </c>
      <c r="T2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3" spans="1:20" x14ac:dyDescent="0.25">
      <c r="A243">
        <v>6</v>
      </c>
      <c r="B243" t="s">
        <v>53</v>
      </c>
      <c r="C243">
        <v>972599</v>
      </c>
      <c r="D243" s="48">
        <v>43367</v>
      </c>
      <c r="E243" s="48">
        <v>43366</v>
      </c>
      <c r="F243" s="48">
        <v>43370</v>
      </c>
      <c r="G243" t="s">
        <v>144</v>
      </c>
      <c r="H243" t="s">
        <v>145</v>
      </c>
      <c r="I243">
        <v>1</v>
      </c>
      <c r="J243" t="s">
        <v>1017</v>
      </c>
      <c r="K243">
        <v>1</v>
      </c>
      <c r="L243">
        <v>1</v>
      </c>
      <c r="M243" t="s">
        <v>420</v>
      </c>
      <c r="N243">
        <v>0</v>
      </c>
      <c r="O243" s="1">
        <f>+Tabla__192.168.1.8_POSEIDONSQL_APPFVT_01_tbl_detalle_fill_rate[[#This Row],[emb_cantidad]]-Tabla__192.168.1.8_POSEIDONSQL_APPFVT_01_tbl_detalle_fill_rate[[#This Row],[dev_cantidad]]</f>
        <v>1</v>
      </c>
      <c r="P2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3" s="1">
        <f>+Tabla__192.168.1.8_POSEIDONSQL_APPFVT_01_tbl_detalle_fill_rate[[#This Row],[Cumpl Real Unds]]-Tabla__192.168.1.8_POSEIDONSQL_APPFVT_01_tbl_detalle_fill_rate[[#This Row],[Cant Embarcada]]</f>
        <v>0</v>
      </c>
      <c r="S243" s="1">
        <f>+IF(Tabla__192.168.1.8_POSEIDONSQL_APPFVT_01_tbl_detalle_fill_rate[[#This Row],[Pend Emb]]&gt;0,1,0)</f>
        <v>0</v>
      </c>
      <c r="T2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4" spans="1:20" x14ac:dyDescent="0.25">
      <c r="A244">
        <v>6</v>
      </c>
      <c r="B244" t="s">
        <v>53</v>
      </c>
      <c r="C244">
        <v>972606</v>
      </c>
      <c r="D244" s="48">
        <v>43367</v>
      </c>
      <c r="E244" s="48">
        <v>43367</v>
      </c>
      <c r="F244" s="48">
        <v>43370</v>
      </c>
      <c r="G244" t="s">
        <v>74</v>
      </c>
      <c r="H244" t="s">
        <v>75</v>
      </c>
      <c r="I244">
        <v>1</v>
      </c>
      <c r="J244" t="s">
        <v>1018</v>
      </c>
      <c r="K244">
        <v>1</v>
      </c>
      <c r="L244">
        <v>1</v>
      </c>
      <c r="M244" t="s">
        <v>420</v>
      </c>
      <c r="N244">
        <v>0</v>
      </c>
      <c r="O244" s="1">
        <f>+Tabla__192.168.1.8_POSEIDONSQL_APPFVT_01_tbl_detalle_fill_rate[[#This Row],[emb_cantidad]]-Tabla__192.168.1.8_POSEIDONSQL_APPFVT_01_tbl_detalle_fill_rate[[#This Row],[dev_cantidad]]</f>
        <v>1</v>
      </c>
      <c r="P2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4" s="1">
        <f>+Tabla__192.168.1.8_POSEIDONSQL_APPFVT_01_tbl_detalle_fill_rate[[#This Row],[Cumpl Real Unds]]-Tabla__192.168.1.8_POSEIDONSQL_APPFVT_01_tbl_detalle_fill_rate[[#This Row],[Cant Embarcada]]</f>
        <v>0</v>
      </c>
      <c r="S244" s="1">
        <f>+IF(Tabla__192.168.1.8_POSEIDONSQL_APPFVT_01_tbl_detalle_fill_rate[[#This Row],[Pend Emb]]&gt;0,1,0)</f>
        <v>0</v>
      </c>
      <c r="T2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5" spans="1:20" x14ac:dyDescent="0.25">
      <c r="A245">
        <v>6</v>
      </c>
      <c r="B245" t="s">
        <v>53</v>
      </c>
      <c r="C245">
        <v>972704</v>
      </c>
      <c r="D245" s="48">
        <v>43367</v>
      </c>
      <c r="E245" s="48">
        <v>43367</v>
      </c>
      <c r="F245" s="48">
        <v>43370</v>
      </c>
      <c r="G245" t="s">
        <v>74</v>
      </c>
      <c r="H245" t="s">
        <v>75</v>
      </c>
      <c r="I245">
        <v>1</v>
      </c>
      <c r="J245" t="s">
        <v>1019</v>
      </c>
      <c r="K245">
        <v>1</v>
      </c>
      <c r="L245">
        <v>1</v>
      </c>
      <c r="M245" t="s">
        <v>420</v>
      </c>
      <c r="N245">
        <v>0</v>
      </c>
      <c r="O245" s="1">
        <f>+Tabla__192.168.1.8_POSEIDONSQL_APPFVT_01_tbl_detalle_fill_rate[[#This Row],[emb_cantidad]]-Tabla__192.168.1.8_POSEIDONSQL_APPFVT_01_tbl_detalle_fill_rate[[#This Row],[dev_cantidad]]</f>
        <v>1</v>
      </c>
      <c r="P2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5" s="1">
        <f>+Tabla__192.168.1.8_POSEIDONSQL_APPFVT_01_tbl_detalle_fill_rate[[#This Row],[Cumpl Real Unds]]-Tabla__192.168.1.8_POSEIDONSQL_APPFVT_01_tbl_detalle_fill_rate[[#This Row],[Cant Embarcada]]</f>
        <v>0</v>
      </c>
      <c r="S245" s="1">
        <f>+IF(Tabla__192.168.1.8_POSEIDONSQL_APPFVT_01_tbl_detalle_fill_rate[[#This Row],[Pend Emb]]&gt;0,1,0)</f>
        <v>0</v>
      </c>
      <c r="T2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6" spans="1:20" x14ac:dyDescent="0.25">
      <c r="A246">
        <v>6</v>
      </c>
      <c r="B246" t="s">
        <v>53</v>
      </c>
      <c r="C246">
        <v>973167</v>
      </c>
      <c r="D246" s="48">
        <v>43368</v>
      </c>
      <c r="E246" s="48">
        <v>43367</v>
      </c>
      <c r="F246" s="48">
        <v>43370</v>
      </c>
      <c r="G246" t="s">
        <v>201</v>
      </c>
      <c r="H246" t="s">
        <v>202</v>
      </c>
      <c r="I246">
        <v>1</v>
      </c>
      <c r="J246" t="s">
        <v>1527</v>
      </c>
      <c r="K246">
        <v>1</v>
      </c>
      <c r="L246">
        <v>1</v>
      </c>
      <c r="M246" t="s">
        <v>420</v>
      </c>
      <c r="N246">
        <v>0</v>
      </c>
      <c r="O246" s="1">
        <f>+Tabla__192.168.1.8_POSEIDONSQL_APPFVT_01_tbl_detalle_fill_rate[[#This Row],[emb_cantidad]]-Tabla__192.168.1.8_POSEIDONSQL_APPFVT_01_tbl_detalle_fill_rate[[#This Row],[dev_cantidad]]</f>
        <v>1</v>
      </c>
      <c r="P2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6" s="1">
        <f>+Tabla__192.168.1.8_POSEIDONSQL_APPFVT_01_tbl_detalle_fill_rate[[#This Row],[Cumpl Real Unds]]-Tabla__192.168.1.8_POSEIDONSQL_APPFVT_01_tbl_detalle_fill_rate[[#This Row],[Cant Embarcada]]</f>
        <v>0</v>
      </c>
      <c r="S246" s="1">
        <f>+IF(Tabla__192.168.1.8_POSEIDONSQL_APPFVT_01_tbl_detalle_fill_rate[[#This Row],[Pend Emb]]&gt;0,1,0)</f>
        <v>0</v>
      </c>
      <c r="T2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7" spans="1:20" x14ac:dyDescent="0.25">
      <c r="A247">
        <v>6</v>
      </c>
      <c r="B247" t="s">
        <v>53</v>
      </c>
      <c r="C247">
        <v>973632</v>
      </c>
      <c r="D247" s="48">
        <v>43368</v>
      </c>
      <c r="E247" s="48">
        <v>43368</v>
      </c>
      <c r="F247" s="48">
        <v>43370</v>
      </c>
      <c r="G247" t="s">
        <v>308</v>
      </c>
      <c r="H247" t="s">
        <v>309</v>
      </c>
      <c r="I247">
        <v>1</v>
      </c>
      <c r="J247" t="s">
        <v>1367</v>
      </c>
      <c r="K247">
        <v>1</v>
      </c>
      <c r="L247">
        <v>1</v>
      </c>
      <c r="M247" t="s">
        <v>420</v>
      </c>
      <c r="N247">
        <v>0</v>
      </c>
      <c r="O247" s="1">
        <f>+Tabla__192.168.1.8_POSEIDONSQL_APPFVT_01_tbl_detalle_fill_rate[[#This Row],[emb_cantidad]]-Tabla__192.168.1.8_POSEIDONSQL_APPFVT_01_tbl_detalle_fill_rate[[#This Row],[dev_cantidad]]</f>
        <v>1</v>
      </c>
      <c r="P2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7" s="1">
        <f>+Tabla__192.168.1.8_POSEIDONSQL_APPFVT_01_tbl_detalle_fill_rate[[#This Row],[Cumpl Real Unds]]-Tabla__192.168.1.8_POSEIDONSQL_APPFVT_01_tbl_detalle_fill_rate[[#This Row],[Cant Embarcada]]</f>
        <v>0</v>
      </c>
      <c r="S247" s="1">
        <f>+IF(Tabla__192.168.1.8_POSEIDONSQL_APPFVT_01_tbl_detalle_fill_rate[[#This Row],[Pend Emb]]&gt;0,1,0)</f>
        <v>0</v>
      </c>
      <c r="T2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8" spans="1:20" x14ac:dyDescent="0.25">
      <c r="A248">
        <v>6</v>
      </c>
      <c r="B248" t="s">
        <v>53</v>
      </c>
      <c r="C248">
        <v>973763</v>
      </c>
      <c r="D248" s="48">
        <v>43369</v>
      </c>
      <c r="E248" s="48">
        <v>43368</v>
      </c>
      <c r="F248" s="48">
        <v>43370</v>
      </c>
      <c r="G248" t="s">
        <v>203</v>
      </c>
      <c r="H248" t="s">
        <v>204</v>
      </c>
      <c r="I248">
        <v>1</v>
      </c>
      <c r="J248" t="s">
        <v>1530</v>
      </c>
      <c r="K248">
        <v>1</v>
      </c>
      <c r="L248">
        <v>1</v>
      </c>
      <c r="M248" t="s">
        <v>421</v>
      </c>
      <c r="N248">
        <v>0</v>
      </c>
      <c r="O248" s="1">
        <f>+Tabla__192.168.1.8_POSEIDONSQL_APPFVT_01_tbl_detalle_fill_rate[[#This Row],[emb_cantidad]]-Tabla__192.168.1.8_POSEIDONSQL_APPFVT_01_tbl_detalle_fill_rate[[#This Row],[dev_cantidad]]</f>
        <v>1</v>
      </c>
      <c r="P2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48" s="1">
        <f>+Tabla__192.168.1.8_POSEIDONSQL_APPFVT_01_tbl_detalle_fill_rate[[#This Row],[Cumpl Real Unds]]-Tabla__192.168.1.8_POSEIDONSQL_APPFVT_01_tbl_detalle_fill_rate[[#This Row],[Cant Embarcada]]</f>
        <v>0</v>
      </c>
      <c r="S248" s="1">
        <f>+IF(Tabla__192.168.1.8_POSEIDONSQL_APPFVT_01_tbl_detalle_fill_rate[[#This Row],[Pend Emb]]&gt;0,1,0)</f>
        <v>0</v>
      </c>
      <c r="T2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49" spans="1:20" x14ac:dyDescent="0.25">
      <c r="A249">
        <v>7</v>
      </c>
      <c r="B249" t="s">
        <v>424</v>
      </c>
      <c r="C249">
        <v>438203</v>
      </c>
      <c r="D249" s="48">
        <v>43340</v>
      </c>
      <c r="E249" s="48">
        <v>43339</v>
      </c>
      <c r="F249" s="48">
        <v>43357</v>
      </c>
      <c r="G249" t="s">
        <v>94</v>
      </c>
      <c r="H249" t="s">
        <v>95</v>
      </c>
      <c r="I249">
        <v>100</v>
      </c>
      <c r="J249" t="s">
        <v>49</v>
      </c>
      <c r="K249">
        <v>100</v>
      </c>
      <c r="L249">
        <v>100</v>
      </c>
      <c r="M249" t="s">
        <v>1962</v>
      </c>
      <c r="N249">
        <v>0</v>
      </c>
      <c r="O249" s="1">
        <f>+Tabla__192.168.1.8_POSEIDONSQL_APPFVT_01_tbl_detalle_fill_rate[[#This Row],[emb_cantidad]]-Tabla__192.168.1.8_POSEIDONSQL_APPFVT_01_tbl_detalle_fill_rate[[#This Row],[dev_cantidad]]</f>
        <v>100</v>
      </c>
      <c r="P2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100</v>
      </c>
      <c r="R249" s="1">
        <f>+Tabla__192.168.1.8_POSEIDONSQL_APPFVT_01_tbl_detalle_fill_rate[[#This Row],[Cumpl Real Unds]]-Tabla__192.168.1.8_POSEIDONSQL_APPFVT_01_tbl_detalle_fill_rate[[#This Row],[Cant Embarcada]]</f>
        <v>0</v>
      </c>
      <c r="S249" s="1">
        <f>+IF(Tabla__192.168.1.8_POSEIDONSQL_APPFVT_01_tbl_detalle_fill_rate[[#This Row],[Pend Emb]]&gt;0,1,0)</f>
        <v>0</v>
      </c>
      <c r="T2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0" spans="1:20" x14ac:dyDescent="0.25">
      <c r="A250">
        <v>8</v>
      </c>
      <c r="B250" t="s">
        <v>10</v>
      </c>
      <c r="C250">
        <v>1700540080</v>
      </c>
      <c r="D250" s="48">
        <v>43343</v>
      </c>
      <c r="E250" s="48">
        <v>43342</v>
      </c>
      <c r="F250" s="48">
        <v>43349</v>
      </c>
      <c r="G250" t="s">
        <v>1418</v>
      </c>
      <c r="H250" t="s">
        <v>1419</v>
      </c>
      <c r="I250">
        <v>2</v>
      </c>
      <c r="J250" t="s">
        <v>1420</v>
      </c>
      <c r="K250">
        <v>2</v>
      </c>
      <c r="L250">
        <v>2</v>
      </c>
      <c r="M250" t="s">
        <v>162</v>
      </c>
      <c r="N250">
        <v>0</v>
      </c>
      <c r="O250" s="1">
        <f>+Tabla__192.168.1.8_POSEIDONSQL_APPFVT_01_tbl_detalle_fill_rate[[#This Row],[emb_cantidad]]-Tabla__192.168.1.8_POSEIDONSQL_APPFVT_01_tbl_detalle_fill_rate[[#This Row],[dev_cantidad]]</f>
        <v>2</v>
      </c>
      <c r="P2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250" s="1">
        <f>+Tabla__192.168.1.8_POSEIDONSQL_APPFVT_01_tbl_detalle_fill_rate[[#This Row],[Cumpl Real Unds]]-Tabla__192.168.1.8_POSEIDONSQL_APPFVT_01_tbl_detalle_fill_rate[[#This Row],[Cant Embarcada]]</f>
        <v>0</v>
      </c>
      <c r="S250" s="1">
        <f>+IF(Tabla__192.168.1.8_POSEIDONSQL_APPFVT_01_tbl_detalle_fill_rate[[#This Row],[Pend Emb]]&gt;0,1,0)</f>
        <v>0</v>
      </c>
      <c r="T2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1" spans="1:20" x14ac:dyDescent="0.25">
      <c r="A251">
        <v>8</v>
      </c>
      <c r="B251" t="s">
        <v>10</v>
      </c>
      <c r="C251">
        <v>1700540080</v>
      </c>
      <c r="D251" s="48">
        <v>43343</v>
      </c>
      <c r="E251" s="48">
        <v>43342</v>
      </c>
      <c r="F251" s="48">
        <v>43349</v>
      </c>
      <c r="G251" t="s">
        <v>1421</v>
      </c>
      <c r="H251" t="s">
        <v>1422</v>
      </c>
      <c r="I251">
        <v>1</v>
      </c>
      <c r="J251" t="s">
        <v>1423</v>
      </c>
      <c r="K251">
        <v>0</v>
      </c>
      <c r="L251">
        <v>0</v>
      </c>
      <c r="M251" t="s">
        <v>162</v>
      </c>
      <c r="N251">
        <v>0</v>
      </c>
      <c r="O251" s="1">
        <f>+Tabla__192.168.1.8_POSEIDONSQL_APPFVT_01_tbl_detalle_fill_rate[[#This Row],[emb_cantidad]]-Tabla__192.168.1.8_POSEIDONSQL_APPFVT_01_tbl_detalle_fill_rate[[#This Row],[dev_cantidad]]</f>
        <v>0</v>
      </c>
      <c r="P2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1" s="1">
        <f>+Tabla__192.168.1.8_POSEIDONSQL_APPFVT_01_tbl_detalle_fill_rate[[#This Row],[Cumpl Real Unds]]-Tabla__192.168.1.8_POSEIDONSQL_APPFVT_01_tbl_detalle_fill_rate[[#This Row],[Cant Embarcada]]</f>
        <v>0</v>
      </c>
      <c r="S251" s="1">
        <f>+IF(Tabla__192.168.1.8_POSEIDONSQL_APPFVT_01_tbl_detalle_fill_rate[[#This Row],[Pend Emb]]&gt;0,1,0)</f>
        <v>0</v>
      </c>
      <c r="T2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2" spans="1:20" x14ac:dyDescent="0.25">
      <c r="A252">
        <v>8</v>
      </c>
      <c r="B252" t="s">
        <v>10</v>
      </c>
      <c r="C252">
        <v>4300420528</v>
      </c>
      <c r="D252" s="48">
        <v>43340</v>
      </c>
      <c r="E252" s="48">
        <v>43339</v>
      </c>
      <c r="F252" s="48">
        <v>43341</v>
      </c>
      <c r="G252" t="s">
        <v>1998</v>
      </c>
      <c r="H252" t="s">
        <v>1999</v>
      </c>
      <c r="I252">
        <v>4</v>
      </c>
      <c r="J252" t="s">
        <v>2000</v>
      </c>
      <c r="K252">
        <v>0</v>
      </c>
      <c r="L252">
        <v>0</v>
      </c>
      <c r="M252" t="s">
        <v>12</v>
      </c>
      <c r="N252">
        <v>0</v>
      </c>
      <c r="O252" s="1">
        <f>+Tabla__192.168.1.8_POSEIDONSQL_APPFVT_01_tbl_detalle_fill_rate[[#This Row],[emb_cantidad]]-Tabla__192.168.1.8_POSEIDONSQL_APPFVT_01_tbl_detalle_fill_rate[[#This Row],[dev_cantidad]]</f>
        <v>0</v>
      </c>
      <c r="P2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2" s="1">
        <f>+Tabla__192.168.1.8_POSEIDONSQL_APPFVT_01_tbl_detalle_fill_rate[[#This Row],[Cumpl Real Unds]]-Tabla__192.168.1.8_POSEIDONSQL_APPFVT_01_tbl_detalle_fill_rate[[#This Row],[Cant Embarcada]]</f>
        <v>0</v>
      </c>
      <c r="S252" s="1">
        <f>+IF(Tabla__192.168.1.8_POSEIDONSQL_APPFVT_01_tbl_detalle_fill_rate[[#This Row],[Pend Emb]]&gt;0,1,0)</f>
        <v>0</v>
      </c>
      <c r="T2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3" spans="1:20" x14ac:dyDescent="0.25">
      <c r="A253">
        <v>8</v>
      </c>
      <c r="B253" t="s">
        <v>10</v>
      </c>
      <c r="C253">
        <v>4300420528</v>
      </c>
      <c r="D253" s="48">
        <v>43340</v>
      </c>
      <c r="E253" s="48">
        <v>43339</v>
      </c>
      <c r="F253" s="48">
        <v>43341</v>
      </c>
      <c r="G253" t="s">
        <v>2001</v>
      </c>
      <c r="H253" t="s">
        <v>2002</v>
      </c>
      <c r="I253">
        <v>4</v>
      </c>
      <c r="J253" t="s">
        <v>2003</v>
      </c>
      <c r="K253">
        <v>0</v>
      </c>
      <c r="L253">
        <v>0</v>
      </c>
      <c r="M253" t="s">
        <v>12</v>
      </c>
      <c r="N253">
        <v>0</v>
      </c>
      <c r="O253" s="1">
        <f>+Tabla__192.168.1.8_POSEIDONSQL_APPFVT_01_tbl_detalle_fill_rate[[#This Row],[emb_cantidad]]-Tabla__192.168.1.8_POSEIDONSQL_APPFVT_01_tbl_detalle_fill_rate[[#This Row],[dev_cantidad]]</f>
        <v>0</v>
      </c>
      <c r="P2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3" s="1">
        <f>+Tabla__192.168.1.8_POSEIDONSQL_APPFVT_01_tbl_detalle_fill_rate[[#This Row],[Cumpl Real Unds]]-Tabla__192.168.1.8_POSEIDONSQL_APPFVT_01_tbl_detalle_fill_rate[[#This Row],[Cant Embarcada]]</f>
        <v>0</v>
      </c>
      <c r="S253" s="1">
        <f>+IF(Tabla__192.168.1.8_POSEIDONSQL_APPFVT_01_tbl_detalle_fill_rate[[#This Row],[Pend Emb]]&gt;0,1,0)</f>
        <v>0</v>
      </c>
      <c r="T2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4" spans="1:20" x14ac:dyDescent="0.25">
      <c r="A254">
        <v>8</v>
      </c>
      <c r="B254" t="s">
        <v>10</v>
      </c>
      <c r="C254">
        <v>4300420530</v>
      </c>
      <c r="D254" s="48">
        <v>43346</v>
      </c>
      <c r="E254" s="48">
        <v>43343</v>
      </c>
      <c r="F254" s="48">
        <v>43345</v>
      </c>
      <c r="G254" t="s">
        <v>1998</v>
      </c>
      <c r="H254" t="s">
        <v>1999</v>
      </c>
      <c r="I254">
        <v>2</v>
      </c>
      <c r="J254" t="s">
        <v>2000</v>
      </c>
      <c r="K254">
        <v>0</v>
      </c>
      <c r="L254">
        <v>0</v>
      </c>
      <c r="M254" t="s">
        <v>12</v>
      </c>
      <c r="N254">
        <v>0</v>
      </c>
      <c r="O254" s="1">
        <f>+Tabla__192.168.1.8_POSEIDONSQL_APPFVT_01_tbl_detalle_fill_rate[[#This Row],[emb_cantidad]]-Tabla__192.168.1.8_POSEIDONSQL_APPFVT_01_tbl_detalle_fill_rate[[#This Row],[dev_cantidad]]</f>
        <v>0</v>
      </c>
      <c r="P2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4" s="1">
        <f>+Tabla__192.168.1.8_POSEIDONSQL_APPFVT_01_tbl_detalle_fill_rate[[#This Row],[Cumpl Real Unds]]-Tabla__192.168.1.8_POSEIDONSQL_APPFVT_01_tbl_detalle_fill_rate[[#This Row],[Cant Embarcada]]</f>
        <v>0</v>
      </c>
      <c r="S254" s="1">
        <f>+IF(Tabla__192.168.1.8_POSEIDONSQL_APPFVT_01_tbl_detalle_fill_rate[[#This Row],[Pend Emb]]&gt;0,1,0)</f>
        <v>0</v>
      </c>
      <c r="T2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5" spans="1:20" x14ac:dyDescent="0.25">
      <c r="A255">
        <v>8</v>
      </c>
      <c r="B255" t="s">
        <v>10</v>
      </c>
      <c r="C255">
        <v>4300420530</v>
      </c>
      <c r="D255" s="48">
        <v>43346</v>
      </c>
      <c r="E255" s="48">
        <v>43343</v>
      </c>
      <c r="F255" s="48">
        <v>43345</v>
      </c>
      <c r="G255" t="s">
        <v>384</v>
      </c>
      <c r="H255" t="s">
        <v>385</v>
      </c>
      <c r="I255">
        <v>3</v>
      </c>
      <c r="J255" t="s">
        <v>386</v>
      </c>
      <c r="K255">
        <v>0</v>
      </c>
      <c r="L255">
        <v>0</v>
      </c>
      <c r="M255" t="s">
        <v>12</v>
      </c>
      <c r="N255">
        <v>0</v>
      </c>
      <c r="O255" s="1">
        <f>+Tabla__192.168.1.8_POSEIDONSQL_APPFVT_01_tbl_detalle_fill_rate[[#This Row],[emb_cantidad]]-Tabla__192.168.1.8_POSEIDONSQL_APPFVT_01_tbl_detalle_fill_rate[[#This Row],[dev_cantidad]]</f>
        <v>0</v>
      </c>
      <c r="P2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5" s="1">
        <f>+Tabla__192.168.1.8_POSEIDONSQL_APPFVT_01_tbl_detalle_fill_rate[[#This Row],[Cumpl Real Unds]]-Tabla__192.168.1.8_POSEIDONSQL_APPFVT_01_tbl_detalle_fill_rate[[#This Row],[Cant Embarcada]]</f>
        <v>0</v>
      </c>
      <c r="S255" s="1">
        <f>+IF(Tabla__192.168.1.8_POSEIDONSQL_APPFVT_01_tbl_detalle_fill_rate[[#This Row],[Pend Emb]]&gt;0,1,0)</f>
        <v>0</v>
      </c>
      <c r="T2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6" spans="1:20" x14ac:dyDescent="0.25">
      <c r="A256">
        <v>8</v>
      </c>
      <c r="B256" t="s">
        <v>10</v>
      </c>
      <c r="C256">
        <v>4300420534</v>
      </c>
      <c r="D256" s="48">
        <v>43353</v>
      </c>
      <c r="E256" s="48">
        <v>43350</v>
      </c>
      <c r="F256" s="48">
        <v>43352</v>
      </c>
      <c r="G256" t="s">
        <v>2001</v>
      </c>
      <c r="H256" t="s">
        <v>2002</v>
      </c>
      <c r="I256">
        <v>1</v>
      </c>
      <c r="J256" t="s">
        <v>2003</v>
      </c>
      <c r="K256">
        <v>0</v>
      </c>
      <c r="L256">
        <v>0</v>
      </c>
      <c r="M256" t="s">
        <v>12</v>
      </c>
      <c r="N256">
        <v>0</v>
      </c>
      <c r="O256" s="1">
        <f>+Tabla__192.168.1.8_POSEIDONSQL_APPFVT_01_tbl_detalle_fill_rate[[#This Row],[emb_cantidad]]-Tabla__192.168.1.8_POSEIDONSQL_APPFVT_01_tbl_detalle_fill_rate[[#This Row],[dev_cantidad]]</f>
        <v>0</v>
      </c>
      <c r="P2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6" s="1">
        <f>+Tabla__192.168.1.8_POSEIDONSQL_APPFVT_01_tbl_detalle_fill_rate[[#This Row],[Cumpl Real Unds]]-Tabla__192.168.1.8_POSEIDONSQL_APPFVT_01_tbl_detalle_fill_rate[[#This Row],[Cant Embarcada]]</f>
        <v>0</v>
      </c>
      <c r="S256" s="1">
        <f>+IF(Tabla__192.168.1.8_POSEIDONSQL_APPFVT_01_tbl_detalle_fill_rate[[#This Row],[Pend Emb]]&gt;0,1,0)</f>
        <v>0</v>
      </c>
      <c r="T2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7" spans="1:20" x14ac:dyDescent="0.25">
      <c r="A257">
        <v>8</v>
      </c>
      <c r="B257" t="s">
        <v>10</v>
      </c>
      <c r="C257">
        <v>4300420535</v>
      </c>
      <c r="D257" s="48">
        <v>43353</v>
      </c>
      <c r="E257" s="48">
        <v>43350</v>
      </c>
      <c r="F257" s="48">
        <v>43352</v>
      </c>
      <c r="G257" t="s">
        <v>2001</v>
      </c>
      <c r="H257" t="s">
        <v>2002</v>
      </c>
      <c r="I257">
        <v>1</v>
      </c>
      <c r="J257" t="s">
        <v>2003</v>
      </c>
      <c r="K257">
        <v>0</v>
      </c>
      <c r="L257">
        <v>0</v>
      </c>
      <c r="M257" t="s">
        <v>12</v>
      </c>
      <c r="N257">
        <v>0</v>
      </c>
      <c r="O257" s="1">
        <f>+Tabla__192.168.1.8_POSEIDONSQL_APPFVT_01_tbl_detalle_fill_rate[[#This Row],[emb_cantidad]]-Tabla__192.168.1.8_POSEIDONSQL_APPFVT_01_tbl_detalle_fill_rate[[#This Row],[dev_cantidad]]</f>
        <v>0</v>
      </c>
      <c r="P2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7" s="1">
        <f>+Tabla__192.168.1.8_POSEIDONSQL_APPFVT_01_tbl_detalle_fill_rate[[#This Row],[Cumpl Real Unds]]-Tabla__192.168.1.8_POSEIDONSQL_APPFVT_01_tbl_detalle_fill_rate[[#This Row],[Cant Embarcada]]</f>
        <v>0</v>
      </c>
      <c r="S257" s="1">
        <f>+IF(Tabla__192.168.1.8_POSEIDONSQL_APPFVT_01_tbl_detalle_fill_rate[[#This Row],[Pend Emb]]&gt;0,1,0)</f>
        <v>0</v>
      </c>
      <c r="T2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8" spans="1:20" x14ac:dyDescent="0.25">
      <c r="A258">
        <v>8</v>
      </c>
      <c r="B258" t="s">
        <v>10</v>
      </c>
      <c r="C258">
        <v>4300420539</v>
      </c>
      <c r="D258" s="48">
        <v>43363</v>
      </c>
      <c r="E258" s="48">
        <v>43359</v>
      </c>
      <c r="F258" s="48">
        <v>43361</v>
      </c>
      <c r="G258" t="s">
        <v>1998</v>
      </c>
      <c r="H258" t="s">
        <v>1999</v>
      </c>
      <c r="I258">
        <v>1</v>
      </c>
      <c r="J258" t="s">
        <v>2000</v>
      </c>
      <c r="K258">
        <v>0</v>
      </c>
      <c r="L258">
        <v>0</v>
      </c>
      <c r="M258" t="s">
        <v>12</v>
      </c>
      <c r="N258">
        <v>0</v>
      </c>
      <c r="O258" s="1">
        <f>+Tabla__192.168.1.8_POSEIDONSQL_APPFVT_01_tbl_detalle_fill_rate[[#This Row],[emb_cantidad]]-Tabla__192.168.1.8_POSEIDONSQL_APPFVT_01_tbl_detalle_fill_rate[[#This Row],[dev_cantidad]]</f>
        <v>0</v>
      </c>
      <c r="P2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8" s="1">
        <f>+Tabla__192.168.1.8_POSEIDONSQL_APPFVT_01_tbl_detalle_fill_rate[[#This Row],[Cumpl Real Unds]]-Tabla__192.168.1.8_POSEIDONSQL_APPFVT_01_tbl_detalle_fill_rate[[#This Row],[Cant Embarcada]]</f>
        <v>0</v>
      </c>
      <c r="S258" s="1">
        <f>+IF(Tabla__192.168.1.8_POSEIDONSQL_APPFVT_01_tbl_detalle_fill_rate[[#This Row],[Pend Emb]]&gt;0,1,0)</f>
        <v>0</v>
      </c>
      <c r="T2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59" spans="1:20" x14ac:dyDescent="0.25">
      <c r="A259">
        <v>8</v>
      </c>
      <c r="B259" t="s">
        <v>10</v>
      </c>
      <c r="C259">
        <v>4300420539</v>
      </c>
      <c r="D259" s="48">
        <v>43363</v>
      </c>
      <c r="E259" s="48">
        <v>43359</v>
      </c>
      <c r="F259" s="48">
        <v>43361</v>
      </c>
      <c r="G259" t="s">
        <v>384</v>
      </c>
      <c r="H259" t="s">
        <v>385</v>
      </c>
      <c r="I259">
        <v>6</v>
      </c>
      <c r="J259" t="s">
        <v>386</v>
      </c>
      <c r="K259">
        <v>0</v>
      </c>
      <c r="L259">
        <v>0</v>
      </c>
      <c r="M259" t="s">
        <v>12</v>
      </c>
      <c r="N259">
        <v>0</v>
      </c>
      <c r="O259" s="1">
        <f>+Tabla__192.168.1.8_POSEIDONSQL_APPFVT_01_tbl_detalle_fill_rate[[#This Row],[emb_cantidad]]-Tabla__192.168.1.8_POSEIDONSQL_APPFVT_01_tbl_detalle_fill_rate[[#This Row],[dev_cantidad]]</f>
        <v>0</v>
      </c>
      <c r="P2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259" s="1">
        <f>+Tabla__192.168.1.8_POSEIDONSQL_APPFVT_01_tbl_detalle_fill_rate[[#This Row],[Cumpl Real Unds]]-Tabla__192.168.1.8_POSEIDONSQL_APPFVT_01_tbl_detalle_fill_rate[[#This Row],[Cant Embarcada]]</f>
        <v>0</v>
      </c>
      <c r="S259" s="1">
        <f>+IF(Tabla__192.168.1.8_POSEIDONSQL_APPFVT_01_tbl_detalle_fill_rate[[#This Row],[Pend Emb]]&gt;0,1,0)</f>
        <v>0</v>
      </c>
      <c r="T2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0" spans="1:20" x14ac:dyDescent="0.25">
      <c r="A260">
        <v>8</v>
      </c>
      <c r="B260" t="s">
        <v>10</v>
      </c>
      <c r="C260">
        <v>4450422362</v>
      </c>
      <c r="D260" s="48">
        <v>43339</v>
      </c>
      <c r="E260" s="48">
        <v>43339</v>
      </c>
      <c r="F260" s="48">
        <v>43342</v>
      </c>
      <c r="G260" t="s">
        <v>538</v>
      </c>
      <c r="H260" t="s">
        <v>539</v>
      </c>
      <c r="I260">
        <v>62</v>
      </c>
      <c r="J260" t="s">
        <v>49</v>
      </c>
      <c r="K260">
        <v>62</v>
      </c>
      <c r="L260">
        <v>62</v>
      </c>
      <c r="M260" t="s">
        <v>1980</v>
      </c>
      <c r="N260">
        <v>0</v>
      </c>
      <c r="O260" s="1">
        <f>+Tabla__192.168.1.8_POSEIDONSQL_APPFVT_01_tbl_detalle_fill_rate[[#This Row],[emb_cantidad]]-Tabla__192.168.1.8_POSEIDONSQL_APPFVT_01_tbl_detalle_fill_rate[[#This Row],[dev_cantidad]]</f>
        <v>62</v>
      </c>
      <c r="P2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62</v>
      </c>
      <c r="R260" s="1">
        <f>+Tabla__192.168.1.8_POSEIDONSQL_APPFVT_01_tbl_detalle_fill_rate[[#This Row],[Cumpl Real Unds]]-Tabla__192.168.1.8_POSEIDONSQL_APPFVT_01_tbl_detalle_fill_rate[[#This Row],[Cant Embarcada]]</f>
        <v>0</v>
      </c>
      <c r="S260" s="1">
        <f>+IF(Tabla__192.168.1.8_POSEIDONSQL_APPFVT_01_tbl_detalle_fill_rate[[#This Row],[Pend Emb]]&gt;0,1,0)</f>
        <v>0</v>
      </c>
      <c r="T2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1" spans="1:20" x14ac:dyDescent="0.25">
      <c r="A261">
        <v>8</v>
      </c>
      <c r="B261" t="s">
        <v>10</v>
      </c>
      <c r="C261">
        <v>4450422362</v>
      </c>
      <c r="D261" s="48">
        <v>43339</v>
      </c>
      <c r="E261" s="48">
        <v>43339</v>
      </c>
      <c r="F261" s="48">
        <v>43342</v>
      </c>
      <c r="G261" t="s">
        <v>82</v>
      </c>
      <c r="H261" t="s">
        <v>83</v>
      </c>
      <c r="I261">
        <v>30</v>
      </c>
      <c r="J261" t="s">
        <v>49</v>
      </c>
      <c r="K261">
        <v>30</v>
      </c>
      <c r="L261">
        <v>30</v>
      </c>
      <c r="M261" t="s">
        <v>1980</v>
      </c>
      <c r="N261">
        <v>0</v>
      </c>
      <c r="O261" s="1">
        <f>+Tabla__192.168.1.8_POSEIDONSQL_APPFVT_01_tbl_detalle_fill_rate[[#This Row],[emb_cantidad]]-Tabla__192.168.1.8_POSEIDONSQL_APPFVT_01_tbl_detalle_fill_rate[[#This Row],[dev_cantidad]]</f>
        <v>30</v>
      </c>
      <c r="P2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261" s="1">
        <f>+Tabla__192.168.1.8_POSEIDONSQL_APPFVT_01_tbl_detalle_fill_rate[[#This Row],[Cumpl Real Unds]]-Tabla__192.168.1.8_POSEIDONSQL_APPFVT_01_tbl_detalle_fill_rate[[#This Row],[Cant Embarcada]]</f>
        <v>0</v>
      </c>
      <c r="S261" s="1">
        <f>+IF(Tabla__192.168.1.8_POSEIDONSQL_APPFVT_01_tbl_detalle_fill_rate[[#This Row],[Pend Emb]]&gt;0,1,0)</f>
        <v>0</v>
      </c>
      <c r="T2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2" spans="1:20" x14ac:dyDescent="0.25">
      <c r="A262">
        <v>8</v>
      </c>
      <c r="B262" t="s">
        <v>10</v>
      </c>
      <c r="C262">
        <v>4450422362</v>
      </c>
      <c r="D262" s="48">
        <v>43339</v>
      </c>
      <c r="E262" s="48">
        <v>43339</v>
      </c>
      <c r="F262" s="48">
        <v>43342</v>
      </c>
      <c r="G262" t="s">
        <v>110</v>
      </c>
      <c r="H262" t="s">
        <v>111</v>
      </c>
      <c r="I262">
        <v>63</v>
      </c>
      <c r="J262" t="s">
        <v>49</v>
      </c>
      <c r="K262">
        <v>63</v>
      </c>
      <c r="L262">
        <v>63</v>
      </c>
      <c r="M262" t="s">
        <v>1980</v>
      </c>
      <c r="N262">
        <v>0</v>
      </c>
      <c r="O262" s="1">
        <f>+Tabla__192.168.1.8_POSEIDONSQL_APPFVT_01_tbl_detalle_fill_rate[[#This Row],[emb_cantidad]]-Tabla__192.168.1.8_POSEIDONSQL_APPFVT_01_tbl_detalle_fill_rate[[#This Row],[dev_cantidad]]</f>
        <v>63</v>
      </c>
      <c r="P2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63</v>
      </c>
      <c r="R262" s="1">
        <f>+Tabla__192.168.1.8_POSEIDONSQL_APPFVT_01_tbl_detalle_fill_rate[[#This Row],[Cumpl Real Unds]]-Tabla__192.168.1.8_POSEIDONSQL_APPFVT_01_tbl_detalle_fill_rate[[#This Row],[Cant Embarcada]]</f>
        <v>0</v>
      </c>
      <c r="S262" s="1">
        <f>+IF(Tabla__192.168.1.8_POSEIDONSQL_APPFVT_01_tbl_detalle_fill_rate[[#This Row],[Pend Emb]]&gt;0,1,0)</f>
        <v>0</v>
      </c>
      <c r="T2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3" spans="1:20" x14ac:dyDescent="0.25">
      <c r="A263">
        <v>8</v>
      </c>
      <c r="B263" t="s">
        <v>10</v>
      </c>
      <c r="C263">
        <v>4450422362</v>
      </c>
      <c r="D263" s="48">
        <v>43339</v>
      </c>
      <c r="E263" s="48">
        <v>43339</v>
      </c>
      <c r="F263" s="48">
        <v>43342</v>
      </c>
      <c r="G263" t="s">
        <v>384</v>
      </c>
      <c r="H263" t="s">
        <v>385</v>
      </c>
      <c r="I263">
        <v>40</v>
      </c>
      <c r="J263" t="s">
        <v>49</v>
      </c>
      <c r="K263">
        <v>40</v>
      </c>
      <c r="L263">
        <v>40</v>
      </c>
      <c r="M263" t="s">
        <v>1980</v>
      </c>
      <c r="N263">
        <v>0</v>
      </c>
      <c r="O263" s="1">
        <f>+Tabla__192.168.1.8_POSEIDONSQL_APPFVT_01_tbl_detalle_fill_rate[[#This Row],[emb_cantidad]]-Tabla__192.168.1.8_POSEIDONSQL_APPFVT_01_tbl_detalle_fill_rate[[#This Row],[dev_cantidad]]</f>
        <v>40</v>
      </c>
      <c r="P2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40</v>
      </c>
      <c r="R263" s="1">
        <f>+Tabla__192.168.1.8_POSEIDONSQL_APPFVT_01_tbl_detalle_fill_rate[[#This Row],[Cumpl Real Unds]]-Tabla__192.168.1.8_POSEIDONSQL_APPFVT_01_tbl_detalle_fill_rate[[#This Row],[Cant Embarcada]]</f>
        <v>0</v>
      </c>
      <c r="S263" s="1">
        <f>+IF(Tabla__192.168.1.8_POSEIDONSQL_APPFVT_01_tbl_detalle_fill_rate[[#This Row],[Pend Emb]]&gt;0,1,0)</f>
        <v>0</v>
      </c>
      <c r="T2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4" spans="1:20" x14ac:dyDescent="0.25">
      <c r="A264">
        <v>8</v>
      </c>
      <c r="B264" t="s">
        <v>10</v>
      </c>
      <c r="C264">
        <v>4450422363</v>
      </c>
      <c r="D264" s="48">
        <v>43336</v>
      </c>
      <c r="E264" s="48">
        <v>43336</v>
      </c>
      <c r="F264" s="48">
        <v>43340</v>
      </c>
      <c r="G264" t="s">
        <v>134</v>
      </c>
      <c r="H264" t="s">
        <v>135</v>
      </c>
      <c r="I264">
        <v>34</v>
      </c>
      <c r="J264" t="s">
        <v>49</v>
      </c>
      <c r="K264">
        <v>34</v>
      </c>
      <c r="L264">
        <v>34</v>
      </c>
      <c r="M264" t="s">
        <v>1965</v>
      </c>
      <c r="N264">
        <v>0</v>
      </c>
      <c r="O264" s="1">
        <f>+Tabla__192.168.1.8_POSEIDONSQL_APPFVT_01_tbl_detalle_fill_rate[[#This Row],[emb_cantidad]]-Tabla__192.168.1.8_POSEIDONSQL_APPFVT_01_tbl_detalle_fill_rate[[#This Row],[dev_cantidad]]</f>
        <v>34</v>
      </c>
      <c r="P2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34</v>
      </c>
      <c r="R264" s="1">
        <f>+Tabla__192.168.1.8_POSEIDONSQL_APPFVT_01_tbl_detalle_fill_rate[[#This Row],[Cumpl Real Unds]]-Tabla__192.168.1.8_POSEIDONSQL_APPFVT_01_tbl_detalle_fill_rate[[#This Row],[Cant Embarcada]]</f>
        <v>0</v>
      </c>
      <c r="S264" s="1">
        <f>+IF(Tabla__192.168.1.8_POSEIDONSQL_APPFVT_01_tbl_detalle_fill_rate[[#This Row],[Pend Emb]]&gt;0,1,0)</f>
        <v>0</v>
      </c>
      <c r="T2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5" spans="1:20" x14ac:dyDescent="0.25">
      <c r="A265">
        <v>8</v>
      </c>
      <c r="B265" t="s">
        <v>10</v>
      </c>
      <c r="C265">
        <v>4450422370</v>
      </c>
      <c r="D265" s="48">
        <v>43339</v>
      </c>
      <c r="E265" s="48">
        <v>43339</v>
      </c>
      <c r="F265" s="48">
        <v>43342</v>
      </c>
      <c r="G265" t="s">
        <v>134</v>
      </c>
      <c r="H265" t="s">
        <v>135</v>
      </c>
      <c r="I265">
        <v>38</v>
      </c>
      <c r="J265" t="s">
        <v>49</v>
      </c>
      <c r="K265">
        <v>38</v>
      </c>
      <c r="L265">
        <v>38</v>
      </c>
      <c r="M265" t="s">
        <v>1977</v>
      </c>
      <c r="N265">
        <v>0</v>
      </c>
      <c r="O265" s="1">
        <f>+Tabla__192.168.1.8_POSEIDONSQL_APPFVT_01_tbl_detalle_fill_rate[[#This Row],[emb_cantidad]]-Tabla__192.168.1.8_POSEIDONSQL_APPFVT_01_tbl_detalle_fill_rate[[#This Row],[dev_cantidad]]</f>
        <v>38</v>
      </c>
      <c r="P2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38</v>
      </c>
      <c r="R265" s="1">
        <f>+Tabla__192.168.1.8_POSEIDONSQL_APPFVT_01_tbl_detalle_fill_rate[[#This Row],[Cumpl Real Unds]]-Tabla__192.168.1.8_POSEIDONSQL_APPFVT_01_tbl_detalle_fill_rate[[#This Row],[Cant Embarcada]]</f>
        <v>0</v>
      </c>
      <c r="S265" s="1">
        <f>+IF(Tabla__192.168.1.8_POSEIDONSQL_APPFVT_01_tbl_detalle_fill_rate[[#This Row],[Pend Emb]]&gt;0,1,0)</f>
        <v>0</v>
      </c>
      <c r="T2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6" spans="1:20" x14ac:dyDescent="0.25">
      <c r="A266">
        <v>8</v>
      </c>
      <c r="B266" t="s">
        <v>10</v>
      </c>
      <c r="C266">
        <v>4450422371</v>
      </c>
      <c r="D266" s="48">
        <v>43340</v>
      </c>
      <c r="E266" s="48">
        <v>43339</v>
      </c>
      <c r="F266" s="48">
        <v>43346</v>
      </c>
      <c r="G266" t="s">
        <v>82</v>
      </c>
      <c r="H266" t="s">
        <v>83</v>
      </c>
      <c r="I266">
        <v>26</v>
      </c>
      <c r="J266" t="s">
        <v>172</v>
      </c>
      <c r="K266">
        <v>26</v>
      </c>
      <c r="L266">
        <v>26</v>
      </c>
      <c r="M266" t="s">
        <v>1977</v>
      </c>
      <c r="N266">
        <v>0</v>
      </c>
      <c r="O266" s="1">
        <f>+Tabla__192.168.1.8_POSEIDONSQL_APPFVT_01_tbl_detalle_fill_rate[[#This Row],[emb_cantidad]]-Tabla__192.168.1.8_POSEIDONSQL_APPFVT_01_tbl_detalle_fill_rate[[#This Row],[dev_cantidad]]</f>
        <v>26</v>
      </c>
      <c r="P2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26</v>
      </c>
      <c r="R266" s="1">
        <f>+Tabla__192.168.1.8_POSEIDONSQL_APPFVT_01_tbl_detalle_fill_rate[[#This Row],[Cumpl Real Unds]]-Tabla__192.168.1.8_POSEIDONSQL_APPFVT_01_tbl_detalle_fill_rate[[#This Row],[Cant Embarcada]]</f>
        <v>0</v>
      </c>
      <c r="S266" s="1">
        <f>+IF(Tabla__192.168.1.8_POSEIDONSQL_APPFVT_01_tbl_detalle_fill_rate[[#This Row],[Pend Emb]]&gt;0,1,0)</f>
        <v>0</v>
      </c>
      <c r="T2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7" spans="1:20" x14ac:dyDescent="0.25">
      <c r="A267">
        <v>8</v>
      </c>
      <c r="B267" t="s">
        <v>10</v>
      </c>
      <c r="C267">
        <v>4450422371</v>
      </c>
      <c r="D267" s="48">
        <v>43340</v>
      </c>
      <c r="E267" s="48">
        <v>43339</v>
      </c>
      <c r="F267" s="48">
        <v>43346</v>
      </c>
      <c r="G267" t="s">
        <v>110</v>
      </c>
      <c r="H267" t="s">
        <v>111</v>
      </c>
      <c r="I267">
        <v>67</v>
      </c>
      <c r="J267" t="s">
        <v>173</v>
      </c>
      <c r="K267">
        <v>67</v>
      </c>
      <c r="L267">
        <v>67</v>
      </c>
      <c r="M267" t="s">
        <v>1977</v>
      </c>
      <c r="N267">
        <v>0</v>
      </c>
      <c r="O267" s="1">
        <f>+Tabla__192.168.1.8_POSEIDONSQL_APPFVT_01_tbl_detalle_fill_rate[[#This Row],[emb_cantidad]]-Tabla__192.168.1.8_POSEIDONSQL_APPFVT_01_tbl_detalle_fill_rate[[#This Row],[dev_cantidad]]</f>
        <v>67</v>
      </c>
      <c r="P2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67</v>
      </c>
      <c r="R267" s="1">
        <f>+Tabla__192.168.1.8_POSEIDONSQL_APPFVT_01_tbl_detalle_fill_rate[[#This Row],[Cumpl Real Unds]]-Tabla__192.168.1.8_POSEIDONSQL_APPFVT_01_tbl_detalle_fill_rate[[#This Row],[Cant Embarcada]]</f>
        <v>0</v>
      </c>
      <c r="S267" s="1">
        <f>+IF(Tabla__192.168.1.8_POSEIDONSQL_APPFVT_01_tbl_detalle_fill_rate[[#This Row],[Pend Emb]]&gt;0,1,0)</f>
        <v>0</v>
      </c>
      <c r="T2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8" spans="1:20" x14ac:dyDescent="0.25">
      <c r="A268">
        <v>8</v>
      </c>
      <c r="B268" t="s">
        <v>10</v>
      </c>
      <c r="C268">
        <v>4450422377</v>
      </c>
      <c r="D268" s="48">
        <v>43343</v>
      </c>
      <c r="E268" s="48">
        <v>43342</v>
      </c>
      <c r="F268" s="48">
        <v>43349</v>
      </c>
      <c r="G268" t="s">
        <v>134</v>
      </c>
      <c r="H268" t="s">
        <v>135</v>
      </c>
      <c r="I268">
        <v>44</v>
      </c>
      <c r="J268" t="s">
        <v>231</v>
      </c>
      <c r="K268">
        <v>44</v>
      </c>
      <c r="L268">
        <v>44</v>
      </c>
      <c r="M268" t="s">
        <v>160</v>
      </c>
      <c r="N268">
        <v>0</v>
      </c>
      <c r="O268" s="1">
        <f>+Tabla__192.168.1.8_POSEIDONSQL_APPFVT_01_tbl_detalle_fill_rate[[#This Row],[emb_cantidad]]-Tabla__192.168.1.8_POSEIDONSQL_APPFVT_01_tbl_detalle_fill_rate[[#This Row],[dev_cantidad]]</f>
        <v>44</v>
      </c>
      <c r="P2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44</v>
      </c>
      <c r="R268" s="1">
        <f>+Tabla__192.168.1.8_POSEIDONSQL_APPFVT_01_tbl_detalle_fill_rate[[#This Row],[Cumpl Real Unds]]-Tabla__192.168.1.8_POSEIDONSQL_APPFVT_01_tbl_detalle_fill_rate[[#This Row],[Cant Embarcada]]</f>
        <v>0</v>
      </c>
      <c r="S268" s="1">
        <f>+IF(Tabla__192.168.1.8_POSEIDONSQL_APPFVT_01_tbl_detalle_fill_rate[[#This Row],[Pend Emb]]&gt;0,1,0)</f>
        <v>0</v>
      </c>
      <c r="T2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69" spans="1:20" x14ac:dyDescent="0.25">
      <c r="A269">
        <v>8</v>
      </c>
      <c r="B269" t="s">
        <v>10</v>
      </c>
      <c r="C269">
        <v>4450422378</v>
      </c>
      <c r="D269" s="48">
        <v>43346</v>
      </c>
      <c r="E269" s="48">
        <v>43342</v>
      </c>
      <c r="F269" s="48">
        <v>43349</v>
      </c>
      <c r="G269" t="s">
        <v>538</v>
      </c>
      <c r="H269" t="s">
        <v>539</v>
      </c>
      <c r="I269">
        <v>23</v>
      </c>
      <c r="J269" t="s">
        <v>540</v>
      </c>
      <c r="K269">
        <v>23</v>
      </c>
      <c r="L269">
        <v>23</v>
      </c>
      <c r="M269" t="s">
        <v>160</v>
      </c>
      <c r="N269">
        <v>0</v>
      </c>
      <c r="O269" s="1">
        <f>+Tabla__192.168.1.8_POSEIDONSQL_APPFVT_01_tbl_detalle_fill_rate[[#This Row],[emb_cantidad]]-Tabla__192.168.1.8_POSEIDONSQL_APPFVT_01_tbl_detalle_fill_rate[[#This Row],[dev_cantidad]]</f>
        <v>23</v>
      </c>
      <c r="P2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23</v>
      </c>
      <c r="R269" s="1">
        <f>+Tabla__192.168.1.8_POSEIDONSQL_APPFVT_01_tbl_detalle_fill_rate[[#This Row],[Cumpl Real Unds]]-Tabla__192.168.1.8_POSEIDONSQL_APPFVT_01_tbl_detalle_fill_rate[[#This Row],[Cant Embarcada]]</f>
        <v>0</v>
      </c>
      <c r="S269" s="1">
        <f>+IF(Tabla__192.168.1.8_POSEIDONSQL_APPFVT_01_tbl_detalle_fill_rate[[#This Row],[Pend Emb]]&gt;0,1,0)</f>
        <v>0</v>
      </c>
      <c r="T2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0" spans="1:20" x14ac:dyDescent="0.25">
      <c r="A270">
        <v>8</v>
      </c>
      <c r="B270" t="s">
        <v>10</v>
      </c>
      <c r="C270">
        <v>4450422378</v>
      </c>
      <c r="D270" s="48">
        <v>43346</v>
      </c>
      <c r="E270" s="48">
        <v>43342</v>
      </c>
      <c r="F270" s="48">
        <v>43349</v>
      </c>
      <c r="G270" t="s">
        <v>82</v>
      </c>
      <c r="H270" t="s">
        <v>83</v>
      </c>
      <c r="I270">
        <v>55</v>
      </c>
      <c r="J270" t="s">
        <v>172</v>
      </c>
      <c r="K270">
        <v>55</v>
      </c>
      <c r="L270">
        <v>55</v>
      </c>
      <c r="M270" t="s">
        <v>160</v>
      </c>
      <c r="N270">
        <v>0</v>
      </c>
      <c r="O270" s="1">
        <f>+Tabla__192.168.1.8_POSEIDONSQL_APPFVT_01_tbl_detalle_fill_rate[[#This Row],[emb_cantidad]]-Tabla__192.168.1.8_POSEIDONSQL_APPFVT_01_tbl_detalle_fill_rate[[#This Row],[dev_cantidad]]</f>
        <v>55</v>
      </c>
      <c r="P2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55</v>
      </c>
      <c r="R270" s="1">
        <f>+Tabla__192.168.1.8_POSEIDONSQL_APPFVT_01_tbl_detalle_fill_rate[[#This Row],[Cumpl Real Unds]]-Tabla__192.168.1.8_POSEIDONSQL_APPFVT_01_tbl_detalle_fill_rate[[#This Row],[Cant Embarcada]]</f>
        <v>0</v>
      </c>
      <c r="S270" s="1">
        <f>+IF(Tabla__192.168.1.8_POSEIDONSQL_APPFVT_01_tbl_detalle_fill_rate[[#This Row],[Pend Emb]]&gt;0,1,0)</f>
        <v>0</v>
      </c>
      <c r="T2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1" spans="1:20" x14ac:dyDescent="0.25">
      <c r="A271">
        <v>8</v>
      </c>
      <c r="B271" t="s">
        <v>10</v>
      </c>
      <c r="C271">
        <v>4450422378</v>
      </c>
      <c r="D271" s="48">
        <v>43346</v>
      </c>
      <c r="E271" s="48">
        <v>43342</v>
      </c>
      <c r="F271" s="48">
        <v>43349</v>
      </c>
      <c r="G271" t="s">
        <v>110</v>
      </c>
      <c r="H271" t="s">
        <v>111</v>
      </c>
      <c r="I271">
        <v>102</v>
      </c>
      <c r="J271" t="s">
        <v>173</v>
      </c>
      <c r="K271">
        <v>102</v>
      </c>
      <c r="L271">
        <v>102</v>
      </c>
      <c r="M271" t="s">
        <v>160</v>
      </c>
      <c r="N271">
        <v>0</v>
      </c>
      <c r="O271" s="1">
        <f>+Tabla__192.168.1.8_POSEIDONSQL_APPFVT_01_tbl_detalle_fill_rate[[#This Row],[emb_cantidad]]-Tabla__192.168.1.8_POSEIDONSQL_APPFVT_01_tbl_detalle_fill_rate[[#This Row],[dev_cantidad]]</f>
        <v>102</v>
      </c>
      <c r="P2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102</v>
      </c>
      <c r="R271" s="1">
        <f>+Tabla__192.168.1.8_POSEIDONSQL_APPFVT_01_tbl_detalle_fill_rate[[#This Row],[Cumpl Real Unds]]-Tabla__192.168.1.8_POSEIDONSQL_APPFVT_01_tbl_detalle_fill_rate[[#This Row],[Cant Embarcada]]</f>
        <v>0</v>
      </c>
      <c r="S271" s="1">
        <f>+IF(Tabla__192.168.1.8_POSEIDONSQL_APPFVT_01_tbl_detalle_fill_rate[[#This Row],[Pend Emb]]&gt;0,1,0)</f>
        <v>0</v>
      </c>
      <c r="T2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2" spans="1:20" x14ac:dyDescent="0.25">
      <c r="A272">
        <v>8</v>
      </c>
      <c r="B272" t="s">
        <v>10</v>
      </c>
      <c r="C272">
        <v>9450545918</v>
      </c>
      <c r="D272" s="48">
        <v>43364</v>
      </c>
      <c r="E272" s="48">
        <v>43363</v>
      </c>
      <c r="F272" s="48">
        <v>43369</v>
      </c>
      <c r="G272" t="s">
        <v>203</v>
      </c>
      <c r="H272" t="s">
        <v>204</v>
      </c>
      <c r="I272">
        <v>1</v>
      </c>
      <c r="J272" t="s">
        <v>359</v>
      </c>
      <c r="K272">
        <v>1</v>
      </c>
      <c r="L272">
        <v>1</v>
      </c>
      <c r="M272" t="s">
        <v>419</v>
      </c>
      <c r="N272">
        <v>0</v>
      </c>
      <c r="O272" s="1">
        <f>+Tabla__192.168.1.8_POSEIDONSQL_APPFVT_01_tbl_detalle_fill_rate[[#This Row],[emb_cantidad]]-Tabla__192.168.1.8_POSEIDONSQL_APPFVT_01_tbl_detalle_fill_rate[[#This Row],[dev_cantidad]]</f>
        <v>1</v>
      </c>
      <c r="P2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2" s="1">
        <f>+Tabla__192.168.1.8_POSEIDONSQL_APPFVT_01_tbl_detalle_fill_rate[[#This Row],[Cumpl Real Unds]]-Tabla__192.168.1.8_POSEIDONSQL_APPFVT_01_tbl_detalle_fill_rate[[#This Row],[Cant Embarcada]]</f>
        <v>0</v>
      </c>
      <c r="S272" s="1">
        <f>+IF(Tabla__192.168.1.8_POSEIDONSQL_APPFVT_01_tbl_detalle_fill_rate[[#This Row],[Pend Emb]]&gt;0,1,0)</f>
        <v>0</v>
      </c>
      <c r="T2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3" spans="1:20" x14ac:dyDescent="0.25">
      <c r="A273">
        <v>9</v>
      </c>
      <c r="B273" t="s">
        <v>48</v>
      </c>
      <c r="C273">
        <v>9175816</v>
      </c>
      <c r="D273" s="48">
        <v>1</v>
      </c>
      <c r="E273" s="48">
        <v>1</v>
      </c>
      <c r="F273" s="48">
        <v>43342</v>
      </c>
      <c r="G273" t="s">
        <v>446</v>
      </c>
      <c r="H273" t="s">
        <v>447</v>
      </c>
      <c r="I273">
        <v>1</v>
      </c>
      <c r="J273" t="s">
        <v>49</v>
      </c>
      <c r="K273">
        <v>1</v>
      </c>
      <c r="L273">
        <v>1</v>
      </c>
      <c r="M273" t="s">
        <v>1987</v>
      </c>
      <c r="N273">
        <v>0</v>
      </c>
      <c r="O273" s="1">
        <f>+Tabla__192.168.1.8_POSEIDONSQL_APPFVT_01_tbl_detalle_fill_rate[[#This Row],[emb_cantidad]]-Tabla__192.168.1.8_POSEIDONSQL_APPFVT_01_tbl_detalle_fill_rate[[#This Row],[dev_cantidad]]</f>
        <v>1</v>
      </c>
      <c r="P2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3" s="1">
        <f>+Tabla__192.168.1.8_POSEIDONSQL_APPFVT_01_tbl_detalle_fill_rate[[#This Row],[Cumpl Real Unds]]-Tabla__192.168.1.8_POSEIDONSQL_APPFVT_01_tbl_detalle_fill_rate[[#This Row],[Cant Embarcada]]</f>
        <v>0</v>
      </c>
      <c r="S273" s="1">
        <f>+IF(Tabla__192.168.1.8_POSEIDONSQL_APPFVT_01_tbl_detalle_fill_rate[[#This Row],[Pend Emb]]&gt;0,1,0)</f>
        <v>0</v>
      </c>
      <c r="T2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4" spans="1:20" x14ac:dyDescent="0.25">
      <c r="A274">
        <v>9</v>
      </c>
      <c r="B274" t="s">
        <v>48</v>
      </c>
      <c r="C274">
        <v>9176737</v>
      </c>
      <c r="D274" s="48">
        <v>1</v>
      </c>
      <c r="E274" s="48">
        <v>1</v>
      </c>
      <c r="F274" s="48">
        <v>43343</v>
      </c>
      <c r="G274" t="s">
        <v>1329</v>
      </c>
      <c r="H274" t="s">
        <v>1330</v>
      </c>
      <c r="I274">
        <v>1</v>
      </c>
      <c r="J274" t="s">
        <v>49</v>
      </c>
      <c r="K274">
        <v>1</v>
      </c>
      <c r="L274">
        <v>1</v>
      </c>
      <c r="M274" t="s">
        <v>1987</v>
      </c>
      <c r="N274">
        <v>0</v>
      </c>
      <c r="O274" s="1">
        <f>+Tabla__192.168.1.8_POSEIDONSQL_APPFVT_01_tbl_detalle_fill_rate[[#This Row],[emb_cantidad]]-Tabla__192.168.1.8_POSEIDONSQL_APPFVT_01_tbl_detalle_fill_rate[[#This Row],[dev_cantidad]]</f>
        <v>1</v>
      </c>
      <c r="P2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4" s="1">
        <f>+Tabla__192.168.1.8_POSEIDONSQL_APPFVT_01_tbl_detalle_fill_rate[[#This Row],[Cumpl Real Unds]]-Tabla__192.168.1.8_POSEIDONSQL_APPFVT_01_tbl_detalle_fill_rate[[#This Row],[Cant Embarcada]]</f>
        <v>0</v>
      </c>
      <c r="S274" s="1">
        <f>+IF(Tabla__192.168.1.8_POSEIDONSQL_APPFVT_01_tbl_detalle_fill_rate[[#This Row],[Pend Emb]]&gt;0,1,0)</f>
        <v>0</v>
      </c>
      <c r="T2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5" spans="1:20" x14ac:dyDescent="0.25">
      <c r="A275">
        <v>9</v>
      </c>
      <c r="B275" t="s">
        <v>48</v>
      </c>
      <c r="C275">
        <v>9179737</v>
      </c>
      <c r="D275" s="48">
        <v>1</v>
      </c>
      <c r="E275" s="48">
        <v>1</v>
      </c>
      <c r="F275" s="48">
        <v>43349</v>
      </c>
      <c r="G275" t="s">
        <v>1329</v>
      </c>
      <c r="H275" t="s">
        <v>1330</v>
      </c>
      <c r="I275">
        <v>1</v>
      </c>
      <c r="J275" t="s">
        <v>49</v>
      </c>
      <c r="K275">
        <v>1</v>
      </c>
      <c r="L275">
        <v>1</v>
      </c>
      <c r="M275" t="s">
        <v>1988</v>
      </c>
      <c r="N275">
        <v>0</v>
      </c>
      <c r="O275" s="1">
        <f>+Tabla__192.168.1.8_POSEIDONSQL_APPFVT_01_tbl_detalle_fill_rate[[#This Row],[emb_cantidad]]-Tabla__192.168.1.8_POSEIDONSQL_APPFVT_01_tbl_detalle_fill_rate[[#This Row],[dev_cantidad]]</f>
        <v>1</v>
      </c>
      <c r="P2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5" s="1">
        <f>+Tabla__192.168.1.8_POSEIDONSQL_APPFVT_01_tbl_detalle_fill_rate[[#This Row],[Cumpl Real Unds]]-Tabla__192.168.1.8_POSEIDONSQL_APPFVT_01_tbl_detalle_fill_rate[[#This Row],[Cant Embarcada]]</f>
        <v>0</v>
      </c>
      <c r="S275" s="1">
        <f>+IF(Tabla__192.168.1.8_POSEIDONSQL_APPFVT_01_tbl_detalle_fill_rate[[#This Row],[Pend Emb]]&gt;0,1,0)</f>
        <v>0</v>
      </c>
      <c r="T2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6" spans="1:20" x14ac:dyDescent="0.25">
      <c r="A276">
        <v>9</v>
      </c>
      <c r="B276" t="s">
        <v>48</v>
      </c>
      <c r="C276">
        <v>9179840</v>
      </c>
      <c r="D276" s="48">
        <v>1</v>
      </c>
      <c r="E276" s="48">
        <v>1</v>
      </c>
      <c r="F276" s="48">
        <v>43349</v>
      </c>
      <c r="G276" t="s">
        <v>240</v>
      </c>
      <c r="H276" t="s">
        <v>241</v>
      </c>
      <c r="I276">
        <v>1</v>
      </c>
      <c r="J276" t="s">
        <v>49</v>
      </c>
      <c r="K276">
        <v>1</v>
      </c>
      <c r="L276">
        <v>1</v>
      </c>
      <c r="M276" t="s">
        <v>1962</v>
      </c>
      <c r="N276">
        <v>0</v>
      </c>
      <c r="O276" s="1">
        <f>+Tabla__192.168.1.8_POSEIDONSQL_APPFVT_01_tbl_detalle_fill_rate[[#This Row],[emb_cantidad]]-Tabla__192.168.1.8_POSEIDONSQL_APPFVT_01_tbl_detalle_fill_rate[[#This Row],[dev_cantidad]]</f>
        <v>1</v>
      </c>
      <c r="P2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6" s="1">
        <f>+Tabla__192.168.1.8_POSEIDONSQL_APPFVT_01_tbl_detalle_fill_rate[[#This Row],[Cumpl Real Unds]]-Tabla__192.168.1.8_POSEIDONSQL_APPFVT_01_tbl_detalle_fill_rate[[#This Row],[Cant Embarcada]]</f>
        <v>0</v>
      </c>
      <c r="S276" s="1">
        <f>+IF(Tabla__192.168.1.8_POSEIDONSQL_APPFVT_01_tbl_detalle_fill_rate[[#This Row],[Pend Emb]]&gt;0,1,0)</f>
        <v>0</v>
      </c>
      <c r="T2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7" spans="1:20" x14ac:dyDescent="0.25">
      <c r="A277">
        <v>9</v>
      </c>
      <c r="B277" t="s">
        <v>48</v>
      </c>
      <c r="C277">
        <v>9180949</v>
      </c>
      <c r="D277" s="48">
        <v>1</v>
      </c>
      <c r="E277" s="48">
        <v>1</v>
      </c>
      <c r="F277" s="48">
        <v>43351</v>
      </c>
      <c r="G277" t="s">
        <v>112</v>
      </c>
      <c r="H277" t="s">
        <v>113</v>
      </c>
      <c r="I277">
        <v>1</v>
      </c>
      <c r="J277" t="s">
        <v>49</v>
      </c>
      <c r="K277">
        <v>1</v>
      </c>
      <c r="L277">
        <v>1</v>
      </c>
      <c r="M277" t="s">
        <v>1986</v>
      </c>
      <c r="N277">
        <v>0</v>
      </c>
      <c r="O277" s="1">
        <f>+Tabla__192.168.1.8_POSEIDONSQL_APPFVT_01_tbl_detalle_fill_rate[[#This Row],[emb_cantidad]]-Tabla__192.168.1.8_POSEIDONSQL_APPFVT_01_tbl_detalle_fill_rate[[#This Row],[dev_cantidad]]</f>
        <v>1</v>
      </c>
      <c r="P2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7" s="1">
        <f>+Tabla__192.168.1.8_POSEIDONSQL_APPFVT_01_tbl_detalle_fill_rate[[#This Row],[Cumpl Real Unds]]-Tabla__192.168.1.8_POSEIDONSQL_APPFVT_01_tbl_detalle_fill_rate[[#This Row],[Cant Embarcada]]</f>
        <v>0</v>
      </c>
      <c r="S277" s="1">
        <f>+IF(Tabla__192.168.1.8_POSEIDONSQL_APPFVT_01_tbl_detalle_fill_rate[[#This Row],[Pend Emb]]&gt;0,1,0)</f>
        <v>0</v>
      </c>
      <c r="T2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8" spans="1:20" x14ac:dyDescent="0.25">
      <c r="A278">
        <v>9</v>
      </c>
      <c r="B278" t="s">
        <v>48</v>
      </c>
      <c r="C278">
        <v>9181883</v>
      </c>
      <c r="D278" s="48">
        <v>1</v>
      </c>
      <c r="E278" s="48">
        <v>1</v>
      </c>
      <c r="F278" s="48">
        <v>43352</v>
      </c>
      <c r="G278" t="s">
        <v>223</v>
      </c>
      <c r="H278" t="s">
        <v>224</v>
      </c>
      <c r="I278">
        <v>1</v>
      </c>
      <c r="J278" t="s">
        <v>49</v>
      </c>
      <c r="K278">
        <v>1</v>
      </c>
      <c r="L278">
        <v>1</v>
      </c>
      <c r="M278" t="s">
        <v>1972</v>
      </c>
      <c r="N278">
        <v>0</v>
      </c>
      <c r="O278" s="1">
        <f>+Tabla__192.168.1.8_POSEIDONSQL_APPFVT_01_tbl_detalle_fill_rate[[#This Row],[emb_cantidad]]-Tabla__192.168.1.8_POSEIDONSQL_APPFVT_01_tbl_detalle_fill_rate[[#This Row],[dev_cantidad]]</f>
        <v>1</v>
      </c>
      <c r="P2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8" s="1">
        <f>+Tabla__192.168.1.8_POSEIDONSQL_APPFVT_01_tbl_detalle_fill_rate[[#This Row],[Cumpl Real Unds]]-Tabla__192.168.1.8_POSEIDONSQL_APPFVT_01_tbl_detalle_fill_rate[[#This Row],[Cant Embarcada]]</f>
        <v>0</v>
      </c>
      <c r="S278" s="1">
        <f>+IF(Tabla__192.168.1.8_POSEIDONSQL_APPFVT_01_tbl_detalle_fill_rate[[#This Row],[Pend Emb]]&gt;0,1,0)</f>
        <v>0</v>
      </c>
      <c r="T2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79" spans="1:20" x14ac:dyDescent="0.25">
      <c r="A279">
        <v>9</v>
      </c>
      <c r="B279" t="s">
        <v>48</v>
      </c>
      <c r="C279">
        <v>9182636</v>
      </c>
      <c r="D279" s="48">
        <v>1</v>
      </c>
      <c r="E279" s="48">
        <v>1</v>
      </c>
      <c r="F279" s="48">
        <v>43354</v>
      </c>
      <c r="G279" t="s">
        <v>92</v>
      </c>
      <c r="H279" t="s">
        <v>93</v>
      </c>
      <c r="I279">
        <v>1</v>
      </c>
      <c r="J279" t="s">
        <v>49</v>
      </c>
      <c r="K279">
        <v>1</v>
      </c>
      <c r="L279">
        <v>1</v>
      </c>
      <c r="M279" t="s">
        <v>1972</v>
      </c>
      <c r="N279">
        <v>0</v>
      </c>
      <c r="O279" s="1">
        <f>+Tabla__192.168.1.8_POSEIDONSQL_APPFVT_01_tbl_detalle_fill_rate[[#This Row],[emb_cantidad]]-Tabla__192.168.1.8_POSEIDONSQL_APPFVT_01_tbl_detalle_fill_rate[[#This Row],[dev_cantidad]]</f>
        <v>1</v>
      </c>
      <c r="P2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79" s="1">
        <f>+Tabla__192.168.1.8_POSEIDONSQL_APPFVT_01_tbl_detalle_fill_rate[[#This Row],[Cumpl Real Unds]]-Tabla__192.168.1.8_POSEIDONSQL_APPFVT_01_tbl_detalle_fill_rate[[#This Row],[Cant Embarcada]]</f>
        <v>0</v>
      </c>
      <c r="S279" s="1">
        <f>+IF(Tabla__192.168.1.8_POSEIDONSQL_APPFVT_01_tbl_detalle_fill_rate[[#This Row],[Pend Emb]]&gt;0,1,0)</f>
        <v>0</v>
      </c>
      <c r="T2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0" spans="1:20" x14ac:dyDescent="0.25">
      <c r="A280">
        <v>9</v>
      </c>
      <c r="B280" t="s">
        <v>48</v>
      </c>
      <c r="C280">
        <v>9189076</v>
      </c>
      <c r="D280" s="48">
        <v>43336</v>
      </c>
      <c r="E280" s="48">
        <v>43335</v>
      </c>
      <c r="F280" s="48">
        <v>43366</v>
      </c>
      <c r="G280" t="s">
        <v>114</v>
      </c>
      <c r="H280" t="s">
        <v>115</v>
      </c>
      <c r="I280">
        <v>1</v>
      </c>
      <c r="J280" t="s">
        <v>49</v>
      </c>
      <c r="K280">
        <v>1</v>
      </c>
      <c r="L280">
        <v>1</v>
      </c>
      <c r="M280" t="s">
        <v>1980</v>
      </c>
      <c r="N280">
        <v>0</v>
      </c>
      <c r="O280" s="1">
        <f>+Tabla__192.168.1.8_POSEIDONSQL_APPFVT_01_tbl_detalle_fill_rate[[#This Row],[emb_cantidad]]-Tabla__192.168.1.8_POSEIDONSQL_APPFVT_01_tbl_detalle_fill_rate[[#This Row],[dev_cantidad]]</f>
        <v>1</v>
      </c>
      <c r="P2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280" s="1">
        <f>+Tabla__192.168.1.8_POSEIDONSQL_APPFVT_01_tbl_detalle_fill_rate[[#This Row],[Cumpl Real Unds]]-Tabla__192.168.1.8_POSEIDONSQL_APPFVT_01_tbl_detalle_fill_rate[[#This Row],[Cant Embarcada]]</f>
        <v>0</v>
      </c>
      <c r="S280" s="1">
        <f>+IF(Tabla__192.168.1.8_POSEIDONSQL_APPFVT_01_tbl_detalle_fill_rate[[#This Row],[Pend Emb]]&gt;0,1,0)</f>
        <v>0</v>
      </c>
      <c r="T2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1" spans="1:20" x14ac:dyDescent="0.25">
      <c r="A281">
        <v>9</v>
      </c>
      <c r="B281" t="s">
        <v>48</v>
      </c>
      <c r="C281">
        <v>9195713</v>
      </c>
      <c r="D281" s="48">
        <v>43347</v>
      </c>
      <c r="E281" s="48">
        <v>43346</v>
      </c>
      <c r="F281" s="48">
        <v>43349</v>
      </c>
      <c r="G281" t="s">
        <v>240</v>
      </c>
      <c r="H281" t="s">
        <v>241</v>
      </c>
      <c r="I281">
        <v>16</v>
      </c>
      <c r="J281" t="s">
        <v>49</v>
      </c>
      <c r="K281">
        <v>16</v>
      </c>
      <c r="L281">
        <v>16</v>
      </c>
      <c r="M281" t="s">
        <v>163</v>
      </c>
      <c r="N281">
        <v>0</v>
      </c>
      <c r="O281" s="1">
        <f>+Tabla__192.168.1.8_POSEIDONSQL_APPFVT_01_tbl_detalle_fill_rate[[#This Row],[emb_cantidad]]-Tabla__192.168.1.8_POSEIDONSQL_APPFVT_01_tbl_detalle_fill_rate[[#This Row],[dev_cantidad]]</f>
        <v>16</v>
      </c>
      <c r="P2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16</v>
      </c>
      <c r="R281" s="1">
        <f>+Tabla__192.168.1.8_POSEIDONSQL_APPFVT_01_tbl_detalle_fill_rate[[#This Row],[Cumpl Real Unds]]-Tabla__192.168.1.8_POSEIDONSQL_APPFVT_01_tbl_detalle_fill_rate[[#This Row],[Cant Embarcada]]</f>
        <v>0</v>
      </c>
      <c r="S281" s="1">
        <f>+IF(Tabla__192.168.1.8_POSEIDONSQL_APPFVT_01_tbl_detalle_fill_rate[[#This Row],[Pend Emb]]&gt;0,1,0)</f>
        <v>0</v>
      </c>
      <c r="T2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2" spans="1:20" x14ac:dyDescent="0.25">
      <c r="A282">
        <v>9</v>
      </c>
      <c r="B282" t="s">
        <v>48</v>
      </c>
      <c r="C282">
        <v>9197926</v>
      </c>
      <c r="D282" s="48">
        <v>43350</v>
      </c>
      <c r="E282" s="48">
        <v>43348</v>
      </c>
      <c r="F282" s="48">
        <v>43355</v>
      </c>
      <c r="G282" t="s">
        <v>854</v>
      </c>
      <c r="H282" t="s">
        <v>855</v>
      </c>
      <c r="I282">
        <v>180</v>
      </c>
      <c r="J282" t="s">
        <v>49</v>
      </c>
      <c r="K282">
        <v>180</v>
      </c>
      <c r="L282">
        <v>180</v>
      </c>
      <c r="M282" t="s">
        <v>429</v>
      </c>
      <c r="N282">
        <v>0</v>
      </c>
      <c r="O282" s="1">
        <f>+Tabla__192.168.1.8_POSEIDONSQL_APPFVT_01_tbl_detalle_fill_rate[[#This Row],[emb_cantidad]]-Tabla__192.168.1.8_POSEIDONSQL_APPFVT_01_tbl_detalle_fill_rate[[#This Row],[dev_cantidad]]</f>
        <v>180</v>
      </c>
      <c r="P2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180</v>
      </c>
      <c r="R282" s="1">
        <f>+Tabla__192.168.1.8_POSEIDONSQL_APPFVT_01_tbl_detalle_fill_rate[[#This Row],[Cumpl Real Unds]]-Tabla__192.168.1.8_POSEIDONSQL_APPFVT_01_tbl_detalle_fill_rate[[#This Row],[Cant Embarcada]]</f>
        <v>0</v>
      </c>
      <c r="S282" s="1">
        <f>+IF(Tabla__192.168.1.8_POSEIDONSQL_APPFVT_01_tbl_detalle_fill_rate[[#This Row],[Pend Emb]]&gt;0,1,0)</f>
        <v>0</v>
      </c>
      <c r="T2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3" spans="1:20" x14ac:dyDescent="0.25">
      <c r="A283">
        <v>9</v>
      </c>
      <c r="B283" t="s">
        <v>48</v>
      </c>
      <c r="C283">
        <v>9197927</v>
      </c>
      <c r="D283" s="48">
        <v>43350</v>
      </c>
      <c r="E283" s="48">
        <v>43348</v>
      </c>
      <c r="F283" s="48">
        <v>43355</v>
      </c>
      <c r="G283" t="s">
        <v>854</v>
      </c>
      <c r="H283" t="s">
        <v>855</v>
      </c>
      <c r="I283">
        <v>12</v>
      </c>
      <c r="J283" t="s">
        <v>49</v>
      </c>
      <c r="K283">
        <v>12</v>
      </c>
      <c r="L283">
        <v>12</v>
      </c>
      <c r="M283" t="s">
        <v>427</v>
      </c>
      <c r="N283">
        <v>0</v>
      </c>
      <c r="O283" s="1">
        <f>+Tabla__192.168.1.8_POSEIDONSQL_APPFVT_01_tbl_detalle_fill_rate[[#This Row],[emb_cantidad]]-Tabla__192.168.1.8_POSEIDONSQL_APPFVT_01_tbl_detalle_fill_rate[[#This Row],[dev_cantidad]]</f>
        <v>12</v>
      </c>
      <c r="P2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283" s="1">
        <f>+Tabla__192.168.1.8_POSEIDONSQL_APPFVT_01_tbl_detalle_fill_rate[[#This Row],[Cumpl Real Unds]]-Tabla__192.168.1.8_POSEIDONSQL_APPFVT_01_tbl_detalle_fill_rate[[#This Row],[Cant Embarcada]]</f>
        <v>0</v>
      </c>
      <c r="S283" s="1">
        <f>+IF(Tabla__192.168.1.8_POSEIDONSQL_APPFVT_01_tbl_detalle_fill_rate[[#This Row],[Pend Emb]]&gt;0,1,0)</f>
        <v>0</v>
      </c>
      <c r="T2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4" spans="1:20" x14ac:dyDescent="0.25">
      <c r="A284">
        <v>9</v>
      </c>
      <c r="B284" t="s">
        <v>48</v>
      </c>
      <c r="C284">
        <v>9198487</v>
      </c>
      <c r="D284" s="48">
        <v>43350</v>
      </c>
      <c r="E284" s="48">
        <v>43349</v>
      </c>
      <c r="F284" s="48">
        <v>43356</v>
      </c>
      <c r="G284" t="s">
        <v>240</v>
      </c>
      <c r="H284" t="s">
        <v>241</v>
      </c>
      <c r="I284">
        <v>20</v>
      </c>
      <c r="J284" t="s">
        <v>49</v>
      </c>
      <c r="K284">
        <v>20</v>
      </c>
      <c r="L284">
        <v>20</v>
      </c>
      <c r="M284" t="s">
        <v>425</v>
      </c>
      <c r="N284">
        <v>0</v>
      </c>
      <c r="O284" s="1">
        <f>+Tabla__192.168.1.8_POSEIDONSQL_APPFVT_01_tbl_detalle_fill_rate[[#This Row],[emb_cantidad]]-Tabla__192.168.1.8_POSEIDONSQL_APPFVT_01_tbl_detalle_fill_rate[[#This Row],[dev_cantidad]]</f>
        <v>20</v>
      </c>
      <c r="P2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20</v>
      </c>
      <c r="R284" s="1">
        <f>+Tabla__192.168.1.8_POSEIDONSQL_APPFVT_01_tbl_detalle_fill_rate[[#This Row],[Cumpl Real Unds]]-Tabla__192.168.1.8_POSEIDONSQL_APPFVT_01_tbl_detalle_fill_rate[[#This Row],[Cant Embarcada]]</f>
        <v>0</v>
      </c>
      <c r="S284" s="1">
        <f>+IF(Tabla__192.168.1.8_POSEIDONSQL_APPFVT_01_tbl_detalle_fill_rate[[#This Row],[Pend Emb]]&gt;0,1,0)</f>
        <v>0</v>
      </c>
      <c r="T2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5" spans="1:20" x14ac:dyDescent="0.25">
      <c r="A285">
        <v>9</v>
      </c>
      <c r="B285" t="s">
        <v>48</v>
      </c>
      <c r="C285">
        <v>9204926</v>
      </c>
      <c r="D285" s="48">
        <v>43364</v>
      </c>
      <c r="E285" s="48">
        <v>43363</v>
      </c>
      <c r="F285" s="48">
        <v>43368</v>
      </c>
      <c r="G285" t="s">
        <v>240</v>
      </c>
      <c r="H285" t="s">
        <v>241</v>
      </c>
      <c r="I285">
        <v>25</v>
      </c>
      <c r="J285" t="s">
        <v>49</v>
      </c>
      <c r="K285">
        <v>25</v>
      </c>
      <c r="L285">
        <v>25</v>
      </c>
      <c r="M285" t="s">
        <v>419</v>
      </c>
      <c r="N285">
        <v>0</v>
      </c>
      <c r="O285" s="1">
        <f>+Tabla__192.168.1.8_POSEIDONSQL_APPFVT_01_tbl_detalle_fill_rate[[#This Row],[emb_cantidad]]-Tabla__192.168.1.8_POSEIDONSQL_APPFVT_01_tbl_detalle_fill_rate[[#This Row],[dev_cantidad]]</f>
        <v>25</v>
      </c>
      <c r="P2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25</v>
      </c>
      <c r="R285" s="1">
        <f>+Tabla__192.168.1.8_POSEIDONSQL_APPFVT_01_tbl_detalle_fill_rate[[#This Row],[Cumpl Real Unds]]-Tabla__192.168.1.8_POSEIDONSQL_APPFVT_01_tbl_detalle_fill_rate[[#This Row],[Cant Embarcada]]</f>
        <v>0</v>
      </c>
      <c r="S285" s="1">
        <f>+IF(Tabla__192.168.1.8_POSEIDONSQL_APPFVT_01_tbl_detalle_fill_rate[[#This Row],[Pend Emb]]&gt;0,1,0)</f>
        <v>0</v>
      </c>
      <c r="T2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6" spans="1:20" x14ac:dyDescent="0.25">
      <c r="A286">
        <v>10</v>
      </c>
      <c r="B286" t="s">
        <v>1989</v>
      </c>
      <c r="C286">
        <v>31</v>
      </c>
      <c r="D286" s="48">
        <v>43341</v>
      </c>
      <c r="E286" s="48">
        <v>43341</v>
      </c>
      <c r="F286" s="48">
        <v>43343</v>
      </c>
      <c r="G286" t="s">
        <v>84</v>
      </c>
      <c r="H286" t="s">
        <v>85</v>
      </c>
      <c r="I286">
        <v>5</v>
      </c>
      <c r="J286" t="s">
        <v>49</v>
      </c>
      <c r="K286">
        <v>5</v>
      </c>
      <c r="L286">
        <v>5</v>
      </c>
      <c r="M286" t="s">
        <v>1962</v>
      </c>
      <c r="N286">
        <v>0</v>
      </c>
      <c r="O286" s="1">
        <f>+Tabla__192.168.1.8_POSEIDONSQL_APPFVT_01_tbl_detalle_fill_rate[[#This Row],[emb_cantidad]]-Tabla__192.168.1.8_POSEIDONSQL_APPFVT_01_tbl_detalle_fill_rate[[#This Row],[dev_cantidad]]</f>
        <v>5</v>
      </c>
      <c r="P2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286" s="1">
        <f>+Tabla__192.168.1.8_POSEIDONSQL_APPFVT_01_tbl_detalle_fill_rate[[#This Row],[Cumpl Real Unds]]-Tabla__192.168.1.8_POSEIDONSQL_APPFVT_01_tbl_detalle_fill_rate[[#This Row],[Cant Embarcada]]</f>
        <v>0</v>
      </c>
      <c r="S286" s="1">
        <f>+IF(Tabla__192.168.1.8_POSEIDONSQL_APPFVT_01_tbl_detalle_fill_rate[[#This Row],[Pend Emb]]&gt;0,1,0)</f>
        <v>0</v>
      </c>
      <c r="T2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7" spans="1:20" x14ac:dyDescent="0.25">
      <c r="A287">
        <v>10</v>
      </c>
      <c r="B287" t="s">
        <v>1989</v>
      </c>
      <c r="C287">
        <v>31</v>
      </c>
      <c r="D287" s="48">
        <v>43341</v>
      </c>
      <c r="E287" s="48">
        <v>43341</v>
      </c>
      <c r="F287" s="48">
        <v>43343</v>
      </c>
      <c r="G287" t="s">
        <v>232</v>
      </c>
      <c r="H287" t="s">
        <v>233</v>
      </c>
      <c r="I287">
        <v>5</v>
      </c>
      <c r="J287" t="s">
        <v>49</v>
      </c>
      <c r="K287">
        <v>5</v>
      </c>
      <c r="L287">
        <v>5</v>
      </c>
      <c r="M287" t="s">
        <v>1962</v>
      </c>
      <c r="N287">
        <v>0</v>
      </c>
      <c r="O287" s="1">
        <f>+Tabla__192.168.1.8_POSEIDONSQL_APPFVT_01_tbl_detalle_fill_rate[[#This Row],[emb_cantidad]]-Tabla__192.168.1.8_POSEIDONSQL_APPFVT_01_tbl_detalle_fill_rate[[#This Row],[dev_cantidad]]</f>
        <v>5</v>
      </c>
      <c r="P2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287" s="1">
        <f>+Tabla__192.168.1.8_POSEIDONSQL_APPFVT_01_tbl_detalle_fill_rate[[#This Row],[Cumpl Real Unds]]-Tabla__192.168.1.8_POSEIDONSQL_APPFVT_01_tbl_detalle_fill_rate[[#This Row],[Cant Embarcada]]</f>
        <v>0</v>
      </c>
      <c r="S287" s="1">
        <f>+IF(Tabla__192.168.1.8_POSEIDONSQL_APPFVT_01_tbl_detalle_fill_rate[[#This Row],[Pend Emb]]&gt;0,1,0)</f>
        <v>0</v>
      </c>
      <c r="T2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8" spans="1:20" x14ac:dyDescent="0.25">
      <c r="A288">
        <v>10</v>
      </c>
      <c r="B288" t="s">
        <v>1989</v>
      </c>
      <c r="C288">
        <v>32</v>
      </c>
      <c r="D288" s="48">
        <v>43341</v>
      </c>
      <c r="E288" s="48">
        <v>43341</v>
      </c>
      <c r="F288" s="48">
        <v>43343</v>
      </c>
      <c r="G288" t="s">
        <v>84</v>
      </c>
      <c r="H288" t="s">
        <v>85</v>
      </c>
      <c r="I288">
        <v>15</v>
      </c>
      <c r="J288" t="s">
        <v>49</v>
      </c>
      <c r="K288">
        <v>15</v>
      </c>
      <c r="L288">
        <v>15</v>
      </c>
      <c r="M288" t="s">
        <v>1962</v>
      </c>
      <c r="N288">
        <v>0</v>
      </c>
      <c r="O288" s="1">
        <f>+Tabla__192.168.1.8_POSEIDONSQL_APPFVT_01_tbl_detalle_fill_rate[[#This Row],[emb_cantidad]]-Tabla__192.168.1.8_POSEIDONSQL_APPFVT_01_tbl_detalle_fill_rate[[#This Row],[dev_cantidad]]</f>
        <v>15</v>
      </c>
      <c r="P2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288" s="1">
        <f>+Tabla__192.168.1.8_POSEIDONSQL_APPFVT_01_tbl_detalle_fill_rate[[#This Row],[Cumpl Real Unds]]-Tabla__192.168.1.8_POSEIDONSQL_APPFVT_01_tbl_detalle_fill_rate[[#This Row],[Cant Embarcada]]</f>
        <v>0</v>
      </c>
      <c r="S288" s="1">
        <f>+IF(Tabla__192.168.1.8_POSEIDONSQL_APPFVT_01_tbl_detalle_fill_rate[[#This Row],[Pend Emb]]&gt;0,1,0)</f>
        <v>0</v>
      </c>
      <c r="T2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89" spans="1:20" x14ac:dyDescent="0.25">
      <c r="A289">
        <v>10</v>
      </c>
      <c r="B289" t="s">
        <v>1989</v>
      </c>
      <c r="C289">
        <v>32</v>
      </c>
      <c r="D289" s="48">
        <v>43341</v>
      </c>
      <c r="E289" s="48">
        <v>43341</v>
      </c>
      <c r="F289" s="48">
        <v>43343</v>
      </c>
      <c r="G289" t="s">
        <v>86</v>
      </c>
      <c r="H289" t="s">
        <v>87</v>
      </c>
      <c r="I289">
        <v>8</v>
      </c>
      <c r="J289" t="s">
        <v>49</v>
      </c>
      <c r="K289">
        <v>8</v>
      </c>
      <c r="L289">
        <v>8</v>
      </c>
      <c r="M289" t="s">
        <v>1962</v>
      </c>
      <c r="N289">
        <v>0</v>
      </c>
      <c r="O289" s="1">
        <f>+Tabla__192.168.1.8_POSEIDONSQL_APPFVT_01_tbl_detalle_fill_rate[[#This Row],[emb_cantidad]]-Tabla__192.168.1.8_POSEIDONSQL_APPFVT_01_tbl_detalle_fill_rate[[#This Row],[dev_cantidad]]</f>
        <v>8</v>
      </c>
      <c r="P2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289" s="1">
        <f>+Tabla__192.168.1.8_POSEIDONSQL_APPFVT_01_tbl_detalle_fill_rate[[#This Row],[Cumpl Real Unds]]-Tabla__192.168.1.8_POSEIDONSQL_APPFVT_01_tbl_detalle_fill_rate[[#This Row],[Cant Embarcada]]</f>
        <v>0</v>
      </c>
      <c r="S289" s="1">
        <f>+IF(Tabla__192.168.1.8_POSEIDONSQL_APPFVT_01_tbl_detalle_fill_rate[[#This Row],[Pend Emb]]&gt;0,1,0)</f>
        <v>0</v>
      </c>
      <c r="T2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0" spans="1:20" x14ac:dyDescent="0.25">
      <c r="A290">
        <v>10</v>
      </c>
      <c r="B290" t="s">
        <v>1989</v>
      </c>
      <c r="C290">
        <v>32</v>
      </c>
      <c r="D290" s="48">
        <v>43341</v>
      </c>
      <c r="E290" s="48">
        <v>43341</v>
      </c>
      <c r="F290" s="48">
        <v>43343</v>
      </c>
      <c r="G290" t="s">
        <v>104</v>
      </c>
      <c r="H290" t="s">
        <v>105</v>
      </c>
      <c r="I290">
        <v>8</v>
      </c>
      <c r="J290" t="s">
        <v>49</v>
      </c>
      <c r="K290">
        <v>8</v>
      </c>
      <c r="L290">
        <v>8</v>
      </c>
      <c r="M290" t="s">
        <v>1962</v>
      </c>
      <c r="N290">
        <v>0</v>
      </c>
      <c r="O290" s="1">
        <f>+Tabla__192.168.1.8_POSEIDONSQL_APPFVT_01_tbl_detalle_fill_rate[[#This Row],[emb_cantidad]]-Tabla__192.168.1.8_POSEIDONSQL_APPFVT_01_tbl_detalle_fill_rate[[#This Row],[dev_cantidad]]</f>
        <v>8</v>
      </c>
      <c r="P2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290" s="1">
        <f>+Tabla__192.168.1.8_POSEIDONSQL_APPFVT_01_tbl_detalle_fill_rate[[#This Row],[Cumpl Real Unds]]-Tabla__192.168.1.8_POSEIDONSQL_APPFVT_01_tbl_detalle_fill_rate[[#This Row],[Cant Embarcada]]</f>
        <v>0</v>
      </c>
      <c r="S290" s="1">
        <f>+IF(Tabla__192.168.1.8_POSEIDONSQL_APPFVT_01_tbl_detalle_fill_rate[[#This Row],[Pend Emb]]&gt;0,1,0)</f>
        <v>0</v>
      </c>
      <c r="T2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1" spans="1:20" x14ac:dyDescent="0.25">
      <c r="A291">
        <v>10</v>
      </c>
      <c r="B291" t="s">
        <v>1989</v>
      </c>
      <c r="C291">
        <v>32</v>
      </c>
      <c r="D291" s="48">
        <v>43341</v>
      </c>
      <c r="E291" s="48">
        <v>43341</v>
      </c>
      <c r="F291" s="48">
        <v>43343</v>
      </c>
      <c r="G291" t="s">
        <v>106</v>
      </c>
      <c r="H291" t="s">
        <v>107</v>
      </c>
      <c r="I291">
        <v>8</v>
      </c>
      <c r="J291" t="s">
        <v>49</v>
      </c>
      <c r="K291">
        <v>8</v>
      </c>
      <c r="L291">
        <v>8</v>
      </c>
      <c r="M291" t="s">
        <v>1962</v>
      </c>
      <c r="N291">
        <v>0</v>
      </c>
      <c r="O291" s="1">
        <f>+Tabla__192.168.1.8_POSEIDONSQL_APPFVT_01_tbl_detalle_fill_rate[[#This Row],[emb_cantidad]]-Tabla__192.168.1.8_POSEIDONSQL_APPFVT_01_tbl_detalle_fill_rate[[#This Row],[dev_cantidad]]</f>
        <v>8</v>
      </c>
      <c r="P2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291" s="1">
        <f>+Tabla__192.168.1.8_POSEIDONSQL_APPFVT_01_tbl_detalle_fill_rate[[#This Row],[Cumpl Real Unds]]-Tabla__192.168.1.8_POSEIDONSQL_APPFVT_01_tbl_detalle_fill_rate[[#This Row],[Cant Embarcada]]</f>
        <v>0</v>
      </c>
      <c r="S291" s="1">
        <f>+IF(Tabla__192.168.1.8_POSEIDONSQL_APPFVT_01_tbl_detalle_fill_rate[[#This Row],[Pend Emb]]&gt;0,1,0)</f>
        <v>0</v>
      </c>
      <c r="T2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2" spans="1:20" x14ac:dyDescent="0.25">
      <c r="A292">
        <v>10</v>
      </c>
      <c r="B292" t="s">
        <v>1989</v>
      </c>
      <c r="C292">
        <v>32</v>
      </c>
      <c r="D292" s="48">
        <v>43341</v>
      </c>
      <c r="E292" s="48">
        <v>43341</v>
      </c>
      <c r="F292" s="48">
        <v>43343</v>
      </c>
      <c r="G292" t="s">
        <v>112</v>
      </c>
      <c r="H292" t="s">
        <v>113</v>
      </c>
      <c r="I292">
        <v>8</v>
      </c>
      <c r="J292" t="s">
        <v>49</v>
      </c>
      <c r="K292">
        <v>8</v>
      </c>
      <c r="L292">
        <v>8</v>
      </c>
      <c r="M292" t="s">
        <v>1962</v>
      </c>
      <c r="N292">
        <v>0</v>
      </c>
      <c r="O292" s="1">
        <f>+Tabla__192.168.1.8_POSEIDONSQL_APPFVT_01_tbl_detalle_fill_rate[[#This Row],[emb_cantidad]]-Tabla__192.168.1.8_POSEIDONSQL_APPFVT_01_tbl_detalle_fill_rate[[#This Row],[dev_cantidad]]</f>
        <v>8</v>
      </c>
      <c r="P2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292" s="1">
        <f>+Tabla__192.168.1.8_POSEIDONSQL_APPFVT_01_tbl_detalle_fill_rate[[#This Row],[Cumpl Real Unds]]-Tabla__192.168.1.8_POSEIDONSQL_APPFVT_01_tbl_detalle_fill_rate[[#This Row],[Cant Embarcada]]</f>
        <v>0</v>
      </c>
      <c r="S292" s="1">
        <f>+IF(Tabla__192.168.1.8_POSEIDONSQL_APPFVT_01_tbl_detalle_fill_rate[[#This Row],[Pend Emb]]&gt;0,1,0)</f>
        <v>0</v>
      </c>
      <c r="T2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3" spans="1:20" x14ac:dyDescent="0.25">
      <c r="A293">
        <v>10</v>
      </c>
      <c r="B293" t="s">
        <v>1989</v>
      </c>
      <c r="C293">
        <v>32</v>
      </c>
      <c r="D293" s="48">
        <v>43341</v>
      </c>
      <c r="E293" s="48">
        <v>43341</v>
      </c>
      <c r="F293" s="48">
        <v>43343</v>
      </c>
      <c r="G293" t="s">
        <v>232</v>
      </c>
      <c r="H293" t="s">
        <v>233</v>
      </c>
      <c r="I293">
        <v>15</v>
      </c>
      <c r="J293" t="s">
        <v>49</v>
      </c>
      <c r="K293">
        <v>15</v>
      </c>
      <c r="L293">
        <v>15</v>
      </c>
      <c r="M293" t="s">
        <v>1962</v>
      </c>
      <c r="N293">
        <v>0</v>
      </c>
      <c r="O293" s="1">
        <f>+Tabla__192.168.1.8_POSEIDONSQL_APPFVT_01_tbl_detalle_fill_rate[[#This Row],[emb_cantidad]]-Tabla__192.168.1.8_POSEIDONSQL_APPFVT_01_tbl_detalle_fill_rate[[#This Row],[dev_cantidad]]</f>
        <v>15</v>
      </c>
      <c r="P2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293" s="1">
        <f>+Tabla__192.168.1.8_POSEIDONSQL_APPFVT_01_tbl_detalle_fill_rate[[#This Row],[Cumpl Real Unds]]-Tabla__192.168.1.8_POSEIDONSQL_APPFVT_01_tbl_detalle_fill_rate[[#This Row],[Cant Embarcada]]</f>
        <v>0</v>
      </c>
      <c r="S293" s="1">
        <f>+IF(Tabla__192.168.1.8_POSEIDONSQL_APPFVT_01_tbl_detalle_fill_rate[[#This Row],[Pend Emb]]&gt;0,1,0)</f>
        <v>0</v>
      </c>
      <c r="T2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4" spans="1:20" x14ac:dyDescent="0.25">
      <c r="A294">
        <v>10</v>
      </c>
      <c r="B294" t="s">
        <v>1989</v>
      </c>
      <c r="C294">
        <v>32</v>
      </c>
      <c r="D294" s="48">
        <v>43341</v>
      </c>
      <c r="E294" s="48">
        <v>43341</v>
      </c>
      <c r="F294" s="48">
        <v>43343</v>
      </c>
      <c r="G294" t="s">
        <v>199</v>
      </c>
      <c r="H294" t="s">
        <v>200</v>
      </c>
      <c r="I294">
        <v>15</v>
      </c>
      <c r="J294" t="s">
        <v>49</v>
      </c>
      <c r="K294">
        <v>15</v>
      </c>
      <c r="L294">
        <v>15</v>
      </c>
      <c r="M294" t="s">
        <v>1962</v>
      </c>
      <c r="N294">
        <v>0</v>
      </c>
      <c r="O294" s="1">
        <f>+Tabla__192.168.1.8_POSEIDONSQL_APPFVT_01_tbl_detalle_fill_rate[[#This Row],[emb_cantidad]]-Tabla__192.168.1.8_POSEIDONSQL_APPFVT_01_tbl_detalle_fill_rate[[#This Row],[dev_cantidad]]</f>
        <v>15</v>
      </c>
      <c r="P2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294" s="1">
        <f>+Tabla__192.168.1.8_POSEIDONSQL_APPFVT_01_tbl_detalle_fill_rate[[#This Row],[Cumpl Real Unds]]-Tabla__192.168.1.8_POSEIDONSQL_APPFVT_01_tbl_detalle_fill_rate[[#This Row],[Cant Embarcada]]</f>
        <v>0</v>
      </c>
      <c r="S294" s="1">
        <f>+IF(Tabla__192.168.1.8_POSEIDONSQL_APPFVT_01_tbl_detalle_fill_rate[[#This Row],[Pend Emb]]&gt;0,1,0)</f>
        <v>0</v>
      </c>
      <c r="T2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5" spans="1:20" x14ac:dyDescent="0.25">
      <c r="A295">
        <v>10</v>
      </c>
      <c r="B295" t="s">
        <v>1989</v>
      </c>
      <c r="C295">
        <v>32</v>
      </c>
      <c r="D295" s="48">
        <v>43341</v>
      </c>
      <c r="E295" s="48">
        <v>43341</v>
      </c>
      <c r="F295" s="48">
        <v>43343</v>
      </c>
      <c r="G295" t="s">
        <v>531</v>
      </c>
      <c r="H295" t="s">
        <v>532</v>
      </c>
      <c r="I295">
        <v>5</v>
      </c>
      <c r="J295" t="s">
        <v>49</v>
      </c>
      <c r="K295">
        <v>5</v>
      </c>
      <c r="L295">
        <v>5</v>
      </c>
      <c r="M295" t="s">
        <v>1962</v>
      </c>
      <c r="N295">
        <v>0</v>
      </c>
      <c r="O295" s="1">
        <f>+Tabla__192.168.1.8_POSEIDONSQL_APPFVT_01_tbl_detalle_fill_rate[[#This Row],[emb_cantidad]]-Tabla__192.168.1.8_POSEIDONSQL_APPFVT_01_tbl_detalle_fill_rate[[#This Row],[dev_cantidad]]</f>
        <v>5</v>
      </c>
      <c r="P2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295" s="1">
        <f>+Tabla__192.168.1.8_POSEIDONSQL_APPFVT_01_tbl_detalle_fill_rate[[#This Row],[Cumpl Real Unds]]-Tabla__192.168.1.8_POSEIDONSQL_APPFVT_01_tbl_detalle_fill_rate[[#This Row],[Cant Embarcada]]</f>
        <v>0</v>
      </c>
      <c r="S295" s="1">
        <f>+IF(Tabla__192.168.1.8_POSEIDONSQL_APPFVT_01_tbl_detalle_fill_rate[[#This Row],[Pend Emb]]&gt;0,1,0)</f>
        <v>0</v>
      </c>
      <c r="T2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6" spans="1:20" x14ac:dyDescent="0.25">
      <c r="A296">
        <v>10</v>
      </c>
      <c r="B296" t="s">
        <v>1989</v>
      </c>
      <c r="C296">
        <v>32</v>
      </c>
      <c r="D296" s="48">
        <v>43341</v>
      </c>
      <c r="E296" s="48">
        <v>43341</v>
      </c>
      <c r="F296" s="48">
        <v>43343</v>
      </c>
      <c r="G296" t="s">
        <v>140</v>
      </c>
      <c r="H296" t="s">
        <v>141</v>
      </c>
      <c r="I296">
        <v>8</v>
      </c>
      <c r="J296" t="s">
        <v>49</v>
      </c>
      <c r="K296">
        <v>8</v>
      </c>
      <c r="L296">
        <v>8</v>
      </c>
      <c r="M296" t="s">
        <v>1962</v>
      </c>
      <c r="N296">
        <v>0</v>
      </c>
      <c r="O296" s="1">
        <f>+Tabla__192.168.1.8_POSEIDONSQL_APPFVT_01_tbl_detalle_fill_rate[[#This Row],[emb_cantidad]]-Tabla__192.168.1.8_POSEIDONSQL_APPFVT_01_tbl_detalle_fill_rate[[#This Row],[dev_cantidad]]</f>
        <v>8</v>
      </c>
      <c r="P2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296" s="1">
        <f>+Tabla__192.168.1.8_POSEIDONSQL_APPFVT_01_tbl_detalle_fill_rate[[#This Row],[Cumpl Real Unds]]-Tabla__192.168.1.8_POSEIDONSQL_APPFVT_01_tbl_detalle_fill_rate[[#This Row],[Cant Embarcada]]</f>
        <v>0</v>
      </c>
      <c r="S296" s="1">
        <f>+IF(Tabla__192.168.1.8_POSEIDONSQL_APPFVT_01_tbl_detalle_fill_rate[[#This Row],[Pend Emb]]&gt;0,1,0)</f>
        <v>0</v>
      </c>
      <c r="T2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7" spans="1:20" x14ac:dyDescent="0.25">
      <c r="A297">
        <v>10</v>
      </c>
      <c r="B297" t="s">
        <v>1989</v>
      </c>
      <c r="C297">
        <v>32</v>
      </c>
      <c r="D297" s="48">
        <v>43341</v>
      </c>
      <c r="E297" s="48">
        <v>43341</v>
      </c>
      <c r="F297" s="48">
        <v>43343</v>
      </c>
      <c r="G297" t="s">
        <v>436</v>
      </c>
      <c r="H297" t="s">
        <v>437</v>
      </c>
      <c r="I297">
        <v>10</v>
      </c>
      <c r="J297" t="s">
        <v>49</v>
      </c>
      <c r="K297">
        <v>10</v>
      </c>
      <c r="L297">
        <v>10</v>
      </c>
      <c r="M297" t="s">
        <v>1962</v>
      </c>
      <c r="N297">
        <v>0</v>
      </c>
      <c r="O297" s="1">
        <f>+Tabla__192.168.1.8_POSEIDONSQL_APPFVT_01_tbl_detalle_fill_rate[[#This Row],[emb_cantidad]]-Tabla__192.168.1.8_POSEIDONSQL_APPFVT_01_tbl_detalle_fill_rate[[#This Row],[dev_cantidad]]</f>
        <v>10</v>
      </c>
      <c r="P2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297" s="1">
        <f>+Tabla__192.168.1.8_POSEIDONSQL_APPFVT_01_tbl_detalle_fill_rate[[#This Row],[Cumpl Real Unds]]-Tabla__192.168.1.8_POSEIDONSQL_APPFVT_01_tbl_detalle_fill_rate[[#This Row],[Cant Embarcada]]</f>
        <v>0</v>
      </c>
      <c r="S297" s="1">
        <f>+IF(Tabla__192.168.1.8_POSEIDONSQL_APPFVT_01_tbl_detalle_fill_rate[[#This Row],[Pend Emb]]&gt;0,1,0)</f>
        <v>0</v>
      </c>
      <c r="T2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8" spans="1:20" x14ac:dyDescent="0.25">
      <c r="A298">
        <v>24</v>
      </c>
      <c r="B298" t="s">
        <v>54</v>
      </c>
      <c r="C298">
        <v>5096593</v>
      </c>
      <c r="D298" s="48">
        <v>1</v>
      </c>
      <c r="E298" s="48">
        <v>1</v>
      </c>
      <c r="F298" s="48">
        <v>43343</v>
      </c>
      <c r="G298" t="s">
        <v>310</v>
      </c>
      <c r="H298" t="s">
        <v>311</v>
      </c>
      <c r="I298">
        <v>4</v>
      </c>
      <c r="J298" t="s">
        <v>49</v>
      </c>
      <c r="K298">
        <v>4</v>
      </c>
      <c r="L298">
        <v>4</v>
      </c>
      <c r="M298" t="s">
        <v>1990</v>
      </c>
      <c r="N298">
        <v>0</v>
      </c>
      <c r="O298" s="1">
        <f>+Tabla__192.168.1.8_POSEIDONSQL_APPFVT_01_tbl_detalle_fill_rate[[#This Row],[emb_cantidad]]-Tabla__192.168.1.8_POSEIDONSQL_APPFVT_01_tbl_detalle_fill_rate[[#This Row],[dev_cantidad]]</f>
        <v>4</v>
      </c>
      <c r="P2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298" s="1">
        <f>+Tabla__192.168.1.8_POSEIDONSQL_APPFVT_01_tbl_detalle_fill_rate[[#This Row],[Cumpl Real Unds]]-Tabla__192.168.1.8_POSEIDONSQL_APPFVT_01_tbl_detalle_fill_rate[[#This Row],[Cant Embarcada]]</f>
        <v>0</v>
      </c>
      <c r="S298" s="1">
        <f>+IF(Tabla__192.168.1.8_POSEIDONSQL_APPFVT_01_tbl_detalle_fill_rate[[#This Row],[Pend Emb]]&gt;0,1,0)</f>
        <v>0</v>
      </c>
      <c r="T2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299" spans="1:20" x14ac:dyDescent="0.25">
      <c r="A299">
        <v>24</v>
      </c>
      <c r="B299" t="s">
        <v>54</v>
      </c>
      <c r="C299">
        <v>5096593</v>
      </c>
      <c r="D299" s="48">
        <v>1</v>
      </c>
      <c r="E299" s="48">
        <v>1</v>
      </c>
      <c r="F299" s="48">
        <v>43343</v>
      </c>
      <c r="G299" t="s">
        <v>878</v>
      </c>
      <c r="H299" t="s">
        <v>879</v>
      </c>
      <c r="I299">
        <v>3</v>
      </c>
      <c r="J299" t="s">
        <v>49</v>
      </c>
      <c r="K299">
        <v>3</v>
      </c>
      <c r="L299">
        <v>3</v>
      </c>
      <c r="M299" t="s">
        <v>1990</v>
      </c>
      <c r="N299">
        <v>0</v>
      </c>
      <c r="O299" s="1">
        <f>+Tabla__192.168.1.8_POSEIDONSQL_APPFVT_01_tbl_detalle_fill_rate[[#This Row],[emb_cantidad]]-Tabla__192.168.1.8_POSEIDONSQL_APPFVT_01_tbl_detalle_fill_rate[[#This Row],[dev_cantidad]]</f>
        <v>3</v>
      </c>
      <c r="P2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2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299" s="1">
        <f>+Tabla__192.168.1.8_POSEIDONSQL_APPFVT_01_tbl_detalle_fill_rate[[#This Row],[Cumpl Real Unds]]-Tabla__192.168.1.8_POSEIDONSQL_APPFVT_01_tbl_detalle_fill_rate[[#This Row],[Cant Embarcada]]</f>
        <v>0</v>
      </c>
      <c r="S299" s="1">
        <f>+IF(Tabla__192.168.1.8_POSEIDONSQL_APPFVT_01_tbl_detalle_fill_rate[[#This Row],[Pend Emb]]&gt;0,1,0)</f>
        <v>0</v>
      </c>
      <c r="T2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0" spans="1:20" x14ac:dyDescent="0.25">
      <c r="A300">
        <v>24</v>
      </c>
      <c r="B300" t="s">
        <v>54</v>
      </c>
      <c r="C300">
        <v>5096593</v>
      </c>
      <c r="D300" s="48">
        <v>1</v>
      </c>
      <c r="E300" s="48">
        <v>1</v>
      </c>
      <c r="F300" s="48">
        <v>43343</v>
      </c>
      <c r="G300" t="s">
        <v>814</v>
      </c>
      <c r="H300" t="s">
        <v>815</v>
      </c>
      <c r="I300">
        <v>3</v>
      </c>
      <c r="J300" t="s">
        <v>49</v>
      </c>
      <c r="K300">
        <v>0</v>
      </c>
      <c r="L300">
        <v>0</v>
      </c>
      <c r="M300" t="s">
        <v>1990</v>
      </c>
      <c r="N300">
        <v>0</v>
      </c>
      <c r="O300" s="1">
        <f>+Tabla__192.168.1.8_POSEIDONSQL_APPFVT_01_tbl_detalle_fill_rate[[#This Row],[emb_cantidad]]-Tabla__192.168.1.8_POSEIDONSQL_APPFVT_01_tbl_detalle_fill_rate[[#This Row],[dev_cantidad]]</f>
        <v>0</v>
      </c>
      <c r="P3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00" s="1">
        <f>+Tabla__192.168.1.8_POSEIDONSQL_APPFVT_01_tbl_detalle_fill_rate[[#This Row],[Cumpl Real Unds]]-Tabla__192.168.1.8_POSEIDONSQL_APPFVT_01_tbl_detalle_fill_rate[[#This Row],[Cant Embarcada]]</f>
        <v>0</v>
      </c>
      <c r="S300" s="1">
        <f>+IF(Tabla__192.168.1.8_POSEIDONSQL_APPFVT_01_tbl_detalle_fill_rate[[#This Row],[Pend Emb]]&gt;0,1,0)</f>
        <v>0</v>
      </c>
      <c r="T3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1" spans="1:20" x14ac:dyDescent="0.25">
      <c r="A301">
        <v>24</v>
      </c>
      <c r="B301" t="s">
        <v>54</v>
      </c>
      <c r="C301">
        <v>5096593</v>
      </c>
      <c r="D301" s="48">
        <v>1</v>
      </c>
      <c r="E301" s="48">
        <v>1</v>
      </c>
      <c r="F301" s="48">
        <v>43343</v>
      </c>
      <c r="G301" t="s">
        <v>816</v>
      </c>
      <c r="H301" t="s">
        <v>817</v>
      </c>
      <c r="I301">
        <v>1</v>
      </c>
      <c r="J301" t="s">
        <v>49</v>
      </c>
      <c r="K301">
        <v>0</v>
      </c>
      <c r="L301">
        <v>0</v>
      </c>
      <c r="M301" t="s">
        <v>1990</v>
      </c>
      <c r="N301">
        <v>0</v>
      </c>
      <c r="O301" s="1">
        <f>+Tabla__192.168.1.8_POSEIDONSQL_APPFVT_01_tbl_detalle_fill_rate[[#This Row],[emb_cantidad]]-Tabla__192.168.1.8_POSEIDONSQL_APPFVT_01_tbl_detalle_fill_rate[[#This Row],[dev_cantidad]]</f>
        <v>0</v>
      </c>
      <c r="P3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01" s="1">
        <f>+Tabla__192.168.1.8_POSEIDONSQL_APPFVT_01_tbl_detalle_fill_rate[[#This Row],[Cumpl Real Unds]]-Tabla__192.168.1.8_POSEIDONSQL_APPFVT_01_tbl_detalle_fill_rate[[#This Row],[Cant Embarcada]]</f>
        <v>0</v>
      </c>
      <c r="S301" s="1">
        <f>+IF(Tabla__192.168.1.8_POSEIDONSQL_APPFVT_01_tbl_detalle_fill_rate[[#This Row],[Pend Emb]]&gt;0,1,0)</f>
        <v>0</v>
      </c>
      <c r="T3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2" spans="1:20" x14ac:dyDescent="0.25">
      <c r="A302">
        <v>24</v>
      </c>
      <c r="B302" t="s">
        <v>54</v>
      </c>
      <c r="C302">
        <v>5096593</v>
      </c>
      <c r="D302" s="48">
        <v>1</v>
      </c>
      <c r="E302" s="48">
        <v>1</v>
      </c>
      <c r="F302" s="48">
        <v>43343</v>
      </c>
      <c r="G302" t="s">
        <v>818</v>
      </c>
      <c r="H302" t="s">
        <v>819</v>
      </c>
      <c r="I302">
        <v>5</v>
      </c>
      <c r="J302" t="s">
        <v>49</v>
      </c>
      <c r="K302">
        <v>0</v>
      </c>
      <c r="L302">
        <v>0</v>
      </c>
      <c r="M302" t="s">
        <v>1990</v>
      </c>
      <c r="N302">
        <v>0</v>
      </c>
      <c r="O302" s="1">
        <f>+Tabla__192.168.1.8_POSEIDONSQL_APPFVT_01_tbl_detalle_fill_rate[[#This Row],[emb_cantidad]]-Tabla__192.168.1.8_POSEIDONSQL_APPFVT_01_tbl_detalle_fill_rate[[#This Row],[dev_cantidad]]</f>
        <v>0</v>
      </c>
      <c r="P3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02" s="1">
        <f>+Tabla__192.168.1.8_POSEIDONSQL_APPFVT_01_tbl_detalle_fill_rate[[#This Row],[Cumpl Real Unds]]-Tabla__192.168.1.8_POSEIDONSQL_APPFVT_01_tbl_detalle_fill_rate[[#This Row],[Cant Embarcada]]</f>
        <v>0</v>
      </c>
      <c r="S302" s="1">
        <f>+IF(Tabla__192.168.1.8_POSEIDONSQL_APPFVT_01_tbl_detalle_fill_rate[[#This Row],[Pend Emb]]&gt;0,1,0)</f>
        <v>0</v>
      </c>
      <c r="T3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3" spans="1:20" x14ac:dyDescent="0.25">
      <c r="A303">
        <v>24</v>
      </c>
      <c r="B303" t="s">
        <v>54</v>
      </c>
      <c r="C303">
        <v>5096593</v>
      </c>
      <c r="D303" s="48">
        <v>1</v>
      </c>
      <c r="E303" s="48">
        <v>1</v>
      </c>
      <c r="F303" s="48">
        <v>43343</v>
      </c>
      <c r="G303" t="s">
        <v>142</v>
      </c>
      <c r="H303" t="s">
        <v>143</v>
      </c>
      <c r="I303">
        <v>2</v>
      </c>
      <c r="J303" t="s">
        <v>49</v>
      </c>
      <c r="K303">
        <v>2</v>
      </c>
      <c r="L303">
        <v>2</v>
      </c>
      <c r="M303" t="s">
        <v>1990</v>
      </c>
      <c r="N303">
        <v>0</v>
      </c>
      <c r="O303" s="1">
        <f>+Tabla__192.168.1.8_POSEIDONSQL_APPFVT_01_tbl_detalle_fill_rate[[#This Row],[emb_cantidad]]-Tabla__192.168.1.8_POSEIDONSQL_APPFVT_01_tbl_detalle_fill_rate[[#This Row],[dev_cantidad]]</f>
        <v>2</v>
      </c>
      <c r="P3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303" s="1">
        <f>+Tabla__192.168.1.8_POSEIDONSQL_APPFVT_01_tbl_detalle_fill_rate[[#This Row],[Cumpl Real Unds]]-Tabla__192.168.1.8_POSEIDONSQL_APPFVT_01_tbl_detalle_fill_rate[[#This Row],[Cant Embarcada]]</f>
        <v>0</v>
      </c>
      <c r="S303" s="1">
        <f>+IF(Tabla__192.168.1.8_POSEIDONSQL_APPFVT_01_tbl_detalle_fill_rate[[#This Row],[Pend Emb]]&gt;0,1,0)</f>
        <v>0</v>
      </c>
      <c r="T3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4" spans="1:20" x14ac:dyDescent="0.25">
      <c r="A304">
        <v>24</v>
      </c>
      <c r="B304" t="s">
        <v>54</v>
      </c>
      <c r="C304">
        <v>5096657</v>
      </c>
      <c r="D304" s="48">
        <v>1</v>
      </c>
      <c r="E304" s="48">
        <v>1</v>
      </c>
      <c r="F304" s="48">
        <v>43343</v>
      </c>
      <c r="G304" t="s">
        <v>818</v>
      </c>
      <c r="H304" t="s">
        <v>819</v>
      </c>
      <c r="I304">
        <v>1</v>
      </c>
      <c r="J304" t="s">
        <v>49</v>
      </c>
      <c r="K304">
        <v>0</v>
      </c>
      <c r="L304">
        <v>0</v>
      </c>
      <c r="M304" t="s">
        <v>12</v>
      </c>
      <c r="N304">
        <v>0</v>
      </c>
      <c r="O304" s="1">
        <f>+Tabla__192.168.1.8_POSEIDONSQL_APPFVT_01_tbl_detalle_fill_rate[[#This Row],[emb_cantidad]]-Tabla__192.168.1.8_POSEIDONSQL_APPFVT_01_tbl_detalle_fill_rate[[#This Row],[dev_cantidad]]</f>
        <v>0</v>
      </c>
      <c r="P3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04" s="1">
        <f>+Tabla__192.168.1.8_POSEIDONSQL_APPFVT_01_tbl_detalle_fill_rate[[#This Row],[Cumpl Real Unds]]-Tabla__192.168.1.8_POSEIDONSQL_APPFVT_01_tbl_detalle_fill_rate[[#This Row],[Cant Embarcada]]</f>
        <v>0</v>
      </c>
      <c r="S304" s="1">
        <f>+IF(Tabla__192.168.1.8_POSEIDONSQL_APPFVT_01_tbl_detalle_fill_rate[[#This Row],[Pend Emb]]&gt;0,1,0)</f>
        <v>0</v>
      </c>
      <c r="T3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5" spans="1:20" x14ac:dyDescent="0.25">
      <c r="A305">
        <v>24</v>
      </c>
      <c r="B305" t="s">
        <v>54</v>
      </c>
      <c r="C305">
        <v>5096674</v>
      </c>
      <c r="D305" s="48">
        <v>1</v>
      </c>
      <c r="E305" s="48">
        <v>1</v>
      </c>
      <c r="F305" s="48">
        <v>43343</v>
      </c>
      <c r="G305" t="s">
        <v>818</v>
      </c>
      <c r="H305" t="s">
        <v>819</v>
      </c>
      <c r="I305">
        <v>1</v>
      </c>
      <c r="J305" t="s">
        <v>49</v>
      </c>
      <c r="K305">
        <v>0</v>
      </c>
      <c r="L305">
        <v>0</v>
      </c>
      <c r="M305" t="s">
        <v>12</v>
      </c>
      <c r="N305">
        <v>0</v>
      </c>
      <c r="O305" s="1">
        <f>+Tabla__192.168.1.8_POSEIDONSQL_APPFVT_01_tbl_detalle_fill_rate[[#This Row],[emb_cantidad]]-Tabla__192.168.1.8_POSEIDONSQL_APPFVT_01_tbl_detalle_fill_rate[[#This Row],[dev_cantidad]]</f>
        <v>0</v>
      </c>
      <c r="P3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05" s="1">
        <f>+Tabla__192.168.1.8_POSEIDONSQL_APPFVT_01_tbl_detalle_fill_rate[[#This Row],[Cumpl Real Unds]]-Tabla__192.168.1.8_POSEIDONSQL_APPFVT_01_tbl_detalle_fill_rate[[#This Row],[Cant Embarcada]]</f>
        <v>0</v>
      </c>
      <c r="S305" s="1">
        <f>+IF(Tabla__192.168.1.8_POSEIDONSQL_APPFVT_01_tbl_detalle_fill_rate[[#This Row],[Pend Emb]]&gt;0,1,0)</f>
        <v>0</v>
      </c>
      <c r="T3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6" spans="1:20" x14ac:dyDescent="0.25">
      <c r="A306">
        <v>24</v>
      </c>
      <c r="B306" t="s">
        <v>54</v>
      </c>
      <c r="C306">
        <v>5097721</v>
      </c>
      <c r="D306" s="48">
        <v>43333</v>
      </c>
      <c r="E306" s="48">
        <v>43326</v>
      </c>
      <c r="F306" s="48">
        <v>43339</v>
      </c>
      <c r="G306" t="s">
        <v>345</v>
      </c>
      <c r="H306" t="s">
        <v>346</v>
      </c>
      <c r="I306">
        <v>1</v>
      </c>
      <c r="J306" t="s">
        <v>1077</v>
      </c>
      <c r="K306">
        <v>1</v>
      </c>
      <c r="L306">
        <v>1</v>
      </c>
      <c r="M306" t="s">
        <v>1971</v>
      </c>
      <c r="N306">
        <v>0</v>
      </c>
      <c r="O306" s="1">
        <f>+Tabla__192.168.1.8_POSEIDONSQL_APPFVT_01_tbl_detalle_fill_rate[[#This Row],[emb_cantidad]]-Tabla__192.168.1.8_POSEIDONSQL_APPFVT_01_tbl_detalle_fill_rate[[#This Row],[dev_cantidad]]</f>
        <v>1</v>
      </c>
      <c r="P3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06" s="1">
        <f>+Tabla__192.168.1.8_POSEIDONSQL_APPFVT_01_tbl_detalle_fill_rate[[#This Row],[Cumpl Real Unds]]-Tabla__192.168.1.8_POSEIDONSQL_APPFVT_01_tbl_detalle_fill_rate[[#This Row],[Cant Embarcada]]</f>
        <v>0</v>
      </c>
      <c r="S306" s="1">
        <f>+IF(Tabla__192.168.1.8_POSEIDONSQL_APPFVT_01_tbl_detalle_fill_rate[[#This Row],[Pend Emb]]&gt;0,1,0)</f>
        <v>0</v>
      </c>
      <c r="T3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7" spans="1:20" x14ac:dyDescent="0.25">
      <c r="A307">
        <v>24</v>
      </c>
      <c r="B307" t="s">
        <v>54</v>
      </c>
      <c r="C307">
        <v>5098216</v>
      </c>
      <c r="D307" s="48">
        <v>43329</v>
      </c>
      <c r="E307" s="48">
        <v>43329</v>
      </c>
      <c r="F307" s="48">
        <v>43339</v>
      </c>
      <c r="G307" t="s">
        <v>114</v>
      </c>
      <c r="H307" t="s">
        <v>115</v>
      </c>
      <c r="I307">
        <v>1</v>
      </c>
      <c r="J307" t="s">
        <v>1078</v>
      </c>
      <c r="K307">
        <v>1</v>
      </c>
      <c r="L307">
        <v>1</v>
      </c>
      <c r="M307" t="s">
        <v>1971</v>
      </c>
      <c r="N307">
        <v>0</v>
      </c>
      <c r="O307" s="1">
        <f>+Tabla__192.168.1.8_POSEIDONSQL_APPFVT_01_tbl_detalle_fill_rate[[#This Row],[emb_cantidad]]-Tabla__192.168.1.8_POSEIDONSQL_APPFVT_01_tbl_detalle_fill_rate[[#This Row],[dev_cantidad]]</f>
        <v>1</v>
      </c>
      <c r="P3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07" s="1">
        <f>+Tabla__192.168.1.8_POSEIDONSQL_APPFVT_01_tbl_detalle_fill_rate[[#This Row],[Cumpl Real Unds]]-Tabla__192.168.1.8_POSEIDONSQL_APPFVT_01_tbl_detalle_fill_rate[[#This Row],[Cant Embarcada]]</f>
        <v>0</v>
      </c>
      <c r="S307" s="1">
        <f>+IF(Tabla__192.168.1.8_POSEIDONSQL_APPFVT_01_tbl_detalle_fill_rate[[#This Row],[Pend Emb]]&gt;0,1,0)</f>
        <v>0</v>
      </c>
      <c r="T3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8" spans="1:20" x14ac:dyDescent="0.25">
      <c r="A308">
        <v>24</v>
      </c>
      <c r="B308" t="s">
        <v>54</v>
      </c>
      <c r="C308">
        <v>5098347</v>
      </c>
      <c r="D308" s="48">
        <v>43332</v>
      </c>
      <c r="E308" s="48">
        <v>43329</v>
      </c>
      <c r="F308" s="48">
        <v>43342</v>
      </c>
      <c r="G308" t="s">
        <v>72</v>
      </c>
      <c r="H308" t="s">
        <v>73</v>
      </c>
      <c r="I308">
        <v>1</v>
      </c>
      <c r="J308" t="s">
        <v>1074</v>
      </c>
      <c r="K308">
        <v>1</v>
      </c>
      <c r="L308">
        <v>1</v>
      </c>
      <c r="M308" t="s">
        <v>1980</v>
      </c>
      <c r="N308">
        <v>0</v>
      </c>
      <c r="O308" s="1">
        <f>+Tabla__192.168.1.8_POSEIDONSQL_APPFVT_01_tbl_detalle_fill_rate[[#This Row],[emb_cantidad]]-Tabla__192.168.1.8_POSEIDONSQL_APPFVT_01_tbl_detalle_fill_rate[[#This Row],[dev_cantidad]]</f>
        <v>1</v>
      </c>
      <c r="P3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08" s="1">
        <f>+Tabla__192.168.1.8_POSEIDONSQL_APPFVT_01_tbl_detalle_fill_rate[[#This Row],[Cumpl Real Unds]]-Tabla__192.168.1.8_POSEIDONSQL_APPFVT_01_tbl_detalle_fill_rate[[#This Row],[Cant Embarcada]]</f>
        <v>0</v>
      </c>
      <c r="S308" s="1">
        <f>+IF(Tabla__192.168.1.8_POSEIDONSQL_APPFVT_01_tbl_detalle_fill_rate[[#This Row],[Pend Emb]]&gt;0,1,0)</f>
        <v>0</v>
      </c>
      <c r="T3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09" spans="1:20" x14ac:dyDescent="0.25">
      <c r="A309">
        <v>24</v>
      </c>
      <c r="B309" t="s">
        <v>54</v>
      </c>
      <c r="C309">
        <v>5098959</v>
      </c>
      <c r="D309" s="48">
        <v>43333</v>
      </c>
      <c r="E309" s="48">
        <v>43332</v>
      </c>
      <c r="F309" s="48">
        <v>43339</v>
      </c>
      <c r="G309" t="s">
        <v>533</v>
      </c>
      <c r="H309" t="s">
        <v>534</v>
      </c>
      <c r="I309">
        <v>1</v>
      </c>
      <c r="J309" t="s">
        <v>1079</v>
      </c>
      <c r="K309">
        <v>1</v>
      </c>
      <c r="L309">
        <v>1</v>
      </c>
      <c r="M309" t="s">
        <v>1971</v>
      </c>
      <c r="N309">
        <v>0</v>
      </c>
      <c r="O309" s="1">
        <f>+Tabla__192.168.1.8_POSEIDONSQL_APPFVT_01_tbl_detalle_fill_rate[[#This Row],[emb_cantidad]]-Tabla__192.168.1.8_POSEIDONSQL_APPFVT_01_tbl_detalle_fill_rate[[#This Row],[dev_cantidad]]</f>
        <v>1</v>
      </c>
      <c r="P3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09" s="1">
        <f>+Tabla__192.168.1.8_POSEIDONSQL_APPFVT_01_tbl_detalle_fill_rate[[#This Row],[Cumpl Real Unds]]-Tabla__192.168.1.8_POSEIDONSQL_APPFVT_01_tbl_detalle_fill_rate[[#This Row],[Cant Embarcada]]</f>
        <v>0</v>
      </c>
      <c r="S309" s="1">
        <f>+IF(Tabla__192.168.1.8_POSEIDONSQL_APPFVT_01_tbl_detalle_fill_rate[[#This Row],[Pend Emb]]&gt;0,1,0)</f>
        <v>0</v>
      </c>
      <c r="T3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0" spans="1:20" x14ac:dyDescent="0.25">
      <c r="A310">
        <v>24</v>
      </c>
      <c r="B310" t="s">
        <v>54</v>
      </c>
      <c r="C310">
        <v>5098961</v>
      </c>
      <c r="D310" s="48">
        <v>43333</v>
      </c>
      <c r="E310" s="48">
        <v>43332</v>
      </c>
      <c r="F310" s="48">
        <v>43346</v>
      </c>
      <c r="G310" t="s">
        <v>533</v>
      </c>
      <c r="H310" t="s">
        <v>534</v>
      </c>
      <c r="I310">
        <v>1</v>
      </c>
      <c r="J310" t="s">
        <v>535</v>
      </c>
      <c r="K310">
        <v>1</v>
      </c>
      <c r="L310">
        <v>1</v>
      </c>
      <c r="M310" t="s">
        <v>1962</v>
      </c>
      <c r="N310">
        <v>0</v>
      </c>
      <c r="O310" s="1">
        <f>+Tabla__192.168.1.8_POSEIDONSQL_APPFVT_01_tbl_detalle_fill_rate[[#This Row],[emb_cantidad]]-Tabla__192.168.1.8_POSEIDONSQL_APPFVT_01_tbl_detalle_fill_rate[[#This Row],[dev_cantidad]]</f>
        <v>1</v>
      </c>
      <c r="P3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10" s="1">
        <f>+Tabla__192.168.1.8_POSEIDONSQL_APPFVT_01_tbl_detalle_fill_rate[[#This Row],[Cumpl Real Unds]]-Tabla__192.168.1.8_POSEIDONSQL_APPFVT_01_tbl_detalle_fill_rate[[#This Row],[Cant Embarcada]]</f>
        <v>0</v>
      </c>
      <c r="S310" s="1">
        <f>+IF(Tabla__192.168.1.8_POSEIDONSQL_APPFVT_01_tbl_detalle_fill_rate[[#This Row],[Pend Emb]]&gt;0,1,0)</f>
        <v>0</v>
      </c>
      <c r="T3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1" spans="1:20" x14ac:dyDescent="0.25">
      <c r="A311">
        <v>24</v>
      </c>
      <c r="B311" t="s">
        <v>54</v>
      </c>
      <c r="C311">
        <v>5098969</v>
      </c>
      <c r="D311" s="48">
        <v>43333</v>
      </c>
      <c r="E311" s="48">
        <v>43333</v>
      </c>
      <c r="F311" s="48">
        <v>43341</v>
      </c>
      <c r="G311" t="s">
        <v>533</v>
      </c>
      <c r="H311" t="s">
        <v>534</v>
      </c>
      <c r="I311">
        <v>1</v>
      </c>
      <c r="J311" t="s">
        <v>1075</v>
      </c>
      <c r="K311">
        <v>1</v>
      </c>
      <c r="L311">
        <v>1</v>
      </c>
      <c r="M311" t="s">
        <v>1980</v>
      </c>
      <c r="N311">
        <v>0</v>
      </c>
      <c r="O311" s="1">
        <f>+Tabla__192.168.1.8_POSEIDONSQL_APPFVT_01_tbl_detalle_fill_rate[[#This Row],[emb_cantidad]]-Tabla__192.168.1.8_POSEIDONSQL_APPFVT_01_tbl_detalle_fill_rate[[#This Row],[dev_cantidad]]</f>
        <v>1</v>
      </c>
      <c r="P3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11" s="1">
        <f>+Tabla__192.168.1.8_POSEIDONSQL_APPFVT_01_tbl_detalle_fill_rate[[#This Row],[Cumpl Real Unds]]-Tabla__192.168.1.8_POSEIDONSQL_APPFVT_01_tbl_detalle_fill_rate[[#This Row],[Cant Embarcada]]</f>
        <v>0</v>
      </c>
      <c r="S311" s="1">
        <f>+IF(Tabla__192.168.1.8_POSEIDONSQL_APPFVT_01_tbl_detalle_fill_rate[[#This Row],[Pend Emb]]&gt;0,1,0)</f>
        <v>0</v>
      </c>
      <c r="T3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2" spans="1:20" x14ac:dyDescent="0.25">
      <c r="A312">
        <v>24</v>
      </c>
      <c r="B312" t="s">
        <v>54</v>
      </c>
      <c r="C312">
        <v>5099042</v>
      </c>
      <c r="D312" s="48">
        <v>43334</v>
      </c>
      <c r="E312" s="48">
        <v>43333</v>
      </c>
      <c r="F312" s="48">
        <v>43339</v>
      </c>
      <c r="G312" t="s">
        <v>533</v>
      </c>
      <c r="H312" t="s">
        <v>534</v>
      </c>
      <c r="I312">
        <v>1</v>
      </c>
      <c r="J312" t="s">
        <v>1375</v>
      </c>
      <c r="K312">
        <v>1</v>
      </c>
      <c r="L312">
        <v>1</v>
      </c>
      <c r="M312" t="s">
        <v>1971</v>
      </c>
      <c r="N312">
        <v>0</v>
      </c>
      <c r="O312" s="1">
        <f>+Tabla__192.168.1.8_POSEIDONSQL_APPFVT_01_tbl_detalle_fill_rate[[#This Row],[emb_cantidad]]-Tabla__192.168.1.8_POSEIDONSQL_APPFVT_01_tbl_detalle_fill_rate[[#This Row],[dev_cantidad]]</f>
        <v>1</v>
      </c>
      <c r="P3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12" s="1">
        <f>+Tabla__192.168.1.8_POSEIDONSQL_APPFVT_01_tbl_detalle_fill_rate[[#This Row],[Cumpl Real Unds]]-Tabla__192.168.1.8_POSEIDONSQL_APPFVT_01_tbl_detalle_fill_rate[[#This Row],[Cant Embarcada]]</f>
        <v>0</v>
      </c>
      <c r="S312" s="1">
        <f>+IF(Tabla__192.168.1.8_POSEIDONSQL_APPFVT_01_tbl_detalle_fill_rate[[#This Row],[Pend Emb]]&gt;0,1,0)</f>
        <v>0</v>
      </c>
      <c r="T3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3" spans="1:20" x14ac:dyDescent="0.25">
      <c r="A313">
        <v>24</v>
      </c>
      <c r="B313" t="s">
        <v>54</v>
      </c>
      <c r="C313">
        <v>5099151</v>
      </c>
      <c r="D313" s="48">
        <v>43334</v>
      </c>
      <c r="E313" s="48">
        <v>43333</v>
      </c>
      <c r="F313" s="48">
        <v>43341</v>
      </c>
      <c r="G313" t="s">
        <v>108</v>
      </c>
      <c r="H313" t="s">
        <v>109</v>
      </c>
      <c r="I313">
        <v>1</v>
      </c>
      <c r="J313" t="s">
        <v>1376</v>
      </c>
      <c r="K313">
        <v>1</v>
      </c>
      <c r="L313">
        <v>1</v>
      </c>
      <c r="M313" t="s">
        <v>1980</v>
      </c>
      <c r="N313">
        <v>0</v>
      </c>
      <c r="O313" s="1">
        <f>+Tabla__192.168.1.8_POSEIDONSQL_APPFVT_01_tbl_detalle_fill_rate[[#This Row],[emb_cantidad]]-Tabla__192.168.1.8_POSEIDONSQL_APPFVT_01_tbl_detalle_fill_rate[[#This Row],[dev_cantidad]]</f>
        <v>1</v>
      </c>
      <c r="P3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13" s="1">
        <f>+Tabla__192.168.1.8_POSEIDONSQL_APPFVT_01_tbl_detalle_fill_rate[[#This Row],[Cumpl Real Unds]]-Tabla__192.168.1.8_POSEIDONSQL_APPFVT_01_tbl_detalle_fill_rate[[#This Row],[Cant Embarcada]]</f>
        <v>0</v>
      </c>
      <c r="S313" s="1">
        <f>+IF(Tabla__192.168.1.8_POSEIDONSQL_APPFVT_01_tbl_detalle_fill_rate[[#This Row],[Pend Emb]]&gt;0,1,0)</f>
        <v>0</v>
      </c>
      <c r="T3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4" spans="1:20" x14ac:dyDescent="0.25">
      <c r="A314">
        <v>24</v>
      </c>
      <c r="B314" t="s">
        <v>54</v>
      </c>
      <c r="C314">
        <v>5099219</v>
      </c>
      <c r="D314" s="48">
        <v>43335</v>
      </c>
      <c r="E314" s="48">
        <v>43333</v>
      </c>
      <c r="F314" s="48">
        <v>43340</v>
      </c>
      <c r="G314" t="s">
        <v>533</v>
      </c>
      <c r="H314" t="s">
        <v>534</v>
      </c>
      <c r="I314">
        <v>1</v>
      </c>
      <c r="J314" t="s">
        <v>1555</v>
      </c>
      <c r="K314">
        <v>1</v>
      </c>
      <c r="L314">
        <v>1</v>
      </c>
      <c r="M314" t="s">
        <v>1971</v>
      </c>
      <c r="N314">
        <v>0</v>
      </c>
      <c r="O314" s="1">
        <f>+Tabla__192.168.1.8_POSEIDONSQL_APPFVT_01_tbl_detalle_fill_rate[[#This Row],[emb_cantidad]]-Tabla__192.168.1.8_POSEIDONSQL_APPFVT_01_tbl_detalle_fill_rate[[#This Row],[dev_cantidad]]</f>
        <v>1</v>
      </c>
      <c r="P3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14" s="1">
        <f>+Tabla__192.168.1.8_POSEIDONSQL_APPFVT_01_tbl_detalle_fill_rate[[#This Row],[Cumpl Real Unds]]-Tabla__192.168.1.8_POSEIDONSQL_APPFVT_01_tbl_detalle_fill_rate[[#This Row],[Cant Embarcada]]</f>
        <v>0</v>
      </c>
      <c r="S314" s="1">
        <f>+IF(Tabla__192.168.1.8_POSEIDONSQL_APPFVT_01_tbl_detalle_fill_rate[[#This Row],[Pend Emb]]&gt;0,1,0)</f>
        <v>0</v>
      </c>
      <c r="T3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5" spans="1:20" x14ac:dyDescent="0.25">
      <c r="A315">
        <v>24</v>
      </c>
      <c r="B315" t="s">
        <v>54</v>
      </c>
      <c r="C315">
        <v>5099240</v>
      </c>
      <c r="D315" s="48">
        <v>43335</v>
      </c>
      <c r="E315" s="48">
        <v>43334</v>
      </c>
      <c r="F315" s="48">
        <v>43340</v>
      </c>
      <c r="G315" t="s">
        <v>533</v>
      </c>
      <c r="H315" t="s">
        <v>534</v>
      </c>
      <c r="I315">
        <v>1</v>
      </c>
      <c r="J315" t="s">
        <v>1554</v>
      </c>
      <c r="K315">
        <v>1</v>
      </c>
      <c r="L315">
        <v>1</v>
      </c>
      <c r="M315" t="s">
        <v>1971</v>
      </c>
      <c r="N315">
        <v>0</v>
      </c>
      <c r="O315" s="1">
        <f>+Tabla__192.168.1.8_POSEIDONSQL_APPFVT_01_tbl_detalle_fill_rate[[#This Row],[emb_cantidad]]-Tabla__192.168.1.8_POSEIDONSQL_APPFVT_01_tbl_detalle_fill_rate[[#This Row],[dev_cantidad]]</f>
        <v>1</v>
      </c>
      <c r="P3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15" s="1">
        <f>+Tabla__192.168.1.8_POSEIDONSQL_APPFVT_01_tbl_detalle_fill_rate[[#This Row],[Cumpl Real Unds]]-Tabla__192.168.1.8_POSEIDONSQL_APPFVT_01_tbl_detalle_fill_rate[[#This Row],[Cant Embarcada]]</f>
        <v>0</v>
      </c>
      <c r="S315" s="1">
        <f>+IF(Tabla__192.168.1.8_POSEIDONSQL_APPFVT_01_tbl_detalle_fill_rate[[#This Row],[Pend Emb]]&gt;0,1,0)</f>
        <v>0</v>
      </c>
      <c r="T3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6" spans="1:20" x14ac:dyDescent="0.25">
      <c r="A316">
        <v>24</v>
      </c>
      <c r="B316" t="s">
        <v>54</v>
      </c>
      <c r="C316">
        <v>5099362</v>
      </c>
      <c r="D316" s="48">
        <v>43335</v>
      </c>
      <c r="E316" s="48">
        <v>43334</v>
      </c>
      <c r="F316" s="48">
        <v>43342</v>
      </c>
      <c r="G316" t="s">
        <v>816</v>
      </c>
      <c r="H316" t="s">
        <v>817</v>
      </c>
      <c r="I316">
        <v>2</v>
      </c>
      <c r="J316" t="s">
        <v>49</v>
      </c>
      <c r="K316">
        <v>0</v>
      </c>
      <c r="L316">
        <v>0</v>
      </c>
      <c r="M316" t="s">
        <v>12</v>
      </c>
      <c r="N316">
        <v>0</v>
      </c>
      <c r="O316" s="1">
        <f>+Tabla__192.168.1.8_POSEIDONSQL_APPFVT_01_tbl_detalle_fill_rate[[#This Row],[emb_cantidad]]-Tabla__192.168.1.8_POSEIDONSQL_APPFVT_01_tbl_detalle_fill_rate[[#This Row],[dev_cantidad]]</f>
        <v>0</v>
      </c>
      <c r="P3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16" s="1">
        <f>+Tabla__192.168.1.8_POSEIDONSQL_APPFVT_01_tbl_detalle_fill_rate[[#This Row],[Cumpl Real Unds]]-Tabla__192.168.1.8_POSEIDONSQL_APPFVT_01_tbl_detalle_fill_rate[[#This Row],[Cant Embarcada]]</f>
        <v>0</v>
      </c>
      <c r="S316" s="1">
        <f>+IF(Tabla__192.168.1.8_POSEIDONSQL_APPFVT_01_tbl_detalle_fill_rate[[#This Row],[Pend Emb]]&gt;0,1,0)</f>
        <v>0</v>
      </c>
      <c r="T3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7" spans="1:20" x14ac:dyDescent="0.25">
      <c r="A317">
        <v>24</v>
      </c>
      <c r="B317" t="s">
        <v>54</v>
      </c>
      <c r="C317">
        <v>5099362</v>
      </c>
      <c r="D317" s="48">
        <v>43335</v>
      </c>
      <c r="E317" s="48">
        <v>43334</v>
      </c>
      <c r="F317" s="48">
        <v>43342</v>
      </c>
      <c r="G317" t="s">
        <v>878</v>
      </c>
      <c r="H317" t="s">
        <v>879</v>
      </c>
      <c r="I317">
        <v>6</v>
      </c>
      <c r="J317" t="s">
        <v>49</v>
      </c>
      <c r="K317">
        <v>0</v>
      </c>
      <c r="L317">
        <v>0</v>
      </c>
      <c r="M317" t="s">
        <v>12</v>
      </c>
      <c r="N317">
        <v>0</v>
      </c>
      <c r="O317" s="1">
        <f>+Tabla__192.168.1.8_POSEIDONSQL_APPFVT_01_tbl_detalle_fill_rate[[#This Row],[emb_cantidad]]-Tabla__192.168.1.8_POSEIDONSQL_APPFVT_01_tbl_detalle_fill_rate[[#This Row],[dev_cantidad]]</f>
        <v>0</v>
      </c>
      <c r="P3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17" s="1">
        <f>+Tabla__192.168.1.8_POSEIDONSQL_APPFVT_01_tbl_detalle_fill_rate[[#This Row],[Cumpl Real Unds]]-Tabla__192.168.1.8_POSEIDONSQL_APPFVT_01_tbl_detalle_fill_rate[[#This Row],[Cant Embarcada]]</f>
        <v>0</v>
      </c>
      <c r="S317" s="1">
        <f>+IF(Tabla__192.168.1.8_POSEIDONSQL_APPFVT_01_tbl_detalle_fill_rate[[#This Row],[Pend Emb]]&gt;0,1,0)</f>
        <v>0</v>
      </c>
      <c r="T3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8" spans="1:20" x14ac:dyDescent="0.25">
      <c r="A318">
        <v>24</v>
      </c>
      <c r="B318" t="s">
        <v>54</v>
      </c>
      <c r="C318">
        <v>5099462</v>
      </c>
      <c r="D318" s="48">
        <v>43336</v>
      </c>
      <c r="E318" s="48">
        <v>43335</v>
      </c>
      <c r="F318" s="48">
        <v>43343</v>
      </c>
      <c r="G318" t="s">
        <v>310</v>
      </c>
      <c r="H318" t="s">
        <v>311</v>
      </c>
      <c r="I318">
        <v>25</v>
      </c>
      <c r="J318" t="s">
        <v>49</v>
      </c>
      <c r="K318">
        <v>0</v>
      </c>
      <c r="L318">
        <v>0</v>
      </c>
      <c r="M318" t="s">
        <v>1977</v>
      </c>
      <c r="N318">
        <v>0</v>
      </c>
      <c r="O318" s="1">
        <f>+Tabla__192.168.1.8_POSEIDONSQL_APPFVT_01_tbl_detalle_fill_rate[[#This Row],[emb_cantidad]]-Tabla__192.168.1.8_POSEIDONSQL_APPFVT_01_tbl_detalle_fill_rate[[#This Row],[dev_cantidad]]</f>
        <v>0</v>
      </c>
      <c r="P3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18" s="1">
        <f>+Tabla__192.168.1.8_POSEIDONSQL_APPFVT_01_tbl_detalle_fill_rate[[#This Row],[Cumpl Real Unds]]-Tabla__192.168.1.8_POSEIDONSQL_APPFVT_01_tbl_detalle_fill_rate[[#This Row],[Cant Embarcada]]</f>
        <v>0</v>
      </c>
      <c r="S318" s="1">
        <f>+IF(Tabla__192.168.1.8_POSEIDONSQL_APPFVT_01_tbl_detalle_fill_rate[[#This Row],[Pend Emb]]&gt;0,1,0)</f>
        <v>0</v>
      </c>
      <c r="T3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19" spans="1:20" x14ac:dyDescent="0.25">
      <c r="A319">
        <v>24</v>
      </c>
      <c r="B319" t="s">
        <v>54</v>
      </c>
      <c r="C319">
        <v>5099462</v>
      </c>
      <c r="D319" s="48">
        <v>43336</v>
      </c>
      <c r="E319" s="48">
        <v>43335</v>
      </c>
      <c r="F319" s="48">
        <v>43343</v>
      </c>
      <c r="G319" t="s">
        <v>814</v>
      </c>
      <c r="H319" t="s">
        <v>815</v>
      </c>
      <c r="I319">
        <v>400</v>
      </c>
      <c r="J319" t="s">
        <v>49</v>
      </c>
      <c r="K319">
        <v>400</v>
      </c>
      <c r="L319">
        <v>400</v>
      </c>
      <c r="M319" t="s">
        <v>1977</v>
      </c>
      <c r="N319">
        <v>403</v>
      </c>
      <c r="O319" s="1">
        <f>+Tabla__192.168.1.8_POSEIDONSQL_APPFVT_01_tbl_detalle_fill_rate[[#This Row],[emb_cantidad]]-Tabla__192.168.1.8_POSEIDONSQL_APPFVT_01_tbl_detalle_fill_rate[[#This Row],[dev_cantidad]]</f>
        <v>-3</v>
      </c>
      <c r="P3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19" s="1">
        <f>+Tabla__192.168.1.8_POSEIDONSQL_APPFVT_01_tbl_detalle_fill_rate[[#This Row],[Cumpl Real Unds]]-Tabla__192.168.1.8_POSEIDONSQL_APPFVT_01_tbl_detalle_fill_rate[[#This Row],[Cant Embarcada]]</f>
        <v>3</v>
      </c>
      <c r="S319" s="1">
        <f>+IF(Tabla__192.168.1.8_POSEIDONSQL_APPFVT_01_tbl_detalle_fill_rate[[#This Row],[Pend Emb]]&gt;0,1,0)</f>
        <v>1</v>
      </c>
      <c r="T3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0" spans="1:20" x14ac:dyDescent="0.25">
      <c r="A320">
        <v>24</v>
      </c>
      <c r="B320" t="s">
        <v>54</v>
      </c>
      <c r="C320">
        <v>5099462</v>
      </c>
      <c r="D320" s="48">
        <v>43336</v>
      </c>
      <c r="E320" s="48">
        <v>43335</v>
      </c>
      <c r="F320" s="48">
        <v>43343</v>
      </c>
      <c r="G320" t="s">
        <v>816</v>
      </c>
      <c r="H320" t="s">
        <v>817</v>
      </c>
      <c r="I320">
        <v>250</v>
      </c>
      <c r="J320" t="s">
        <v>49</v>
      </c>
      <c r="K320">
        <v>250</v>
      </c>
      <c r="L320">
        <v>250</v>
      </c>
      <c r="M320" t="s">
        <v>1977</v>
      </c>
      <c r="N320">
        <v>0</v>
      </c>
      <c r="O320" s="1">
        <f>+Tabla__192.168.1.8_POSEIDONSQL_APPFVT_01_tbl_detalle_fill_rate[[#This Row],[emb_cantidad]]-Tabla__192.168.1.8_POSEIDONSQL_APPFVT_01_tbl_detalle_fill_rate[[#This Row],[dev_cantidad]]</f>
        <v>250</v>
      </c>
      <c r="P3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250</v>
      </c>
      <c r="R320" s="1">
        <f>+Tabla__192.168.1.8_POSEIDONSQL_APPFVT_01_tbl_detalle_fill_rate[[#This Row],[Cumpl Real Unds]]-Tabla__192.168.1.8_POSEIDONSQL_APPFVT_01_tbl_detalle_fill_rate[[#This Row],[Cant Embarcada]]</f>
        <v>0</v>
      </c>
      <c r="S320" s="1">
        <f>+IF(Tabla__192.168.1.8_POSEIDONSQL_APPFVT_01_tbl_detalle_fill_rate[[#This Row],[Pend Emb]]&gt;0,1,0)</f>
        <v>0</v>
      </c>
      <c r="T3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1" spans="1:20" x14ac:dyDescent="0.25">
      <c r="A321">
        <v>24</v>
      </c>
      <c r="B321" t="s">
        <v>54</v>
      </c>
      <c r="C321">
        <v>5099462</v>
      </c>
      <c r="D321" s="48">
        <v>43336</v>
      </c>
      <c r="E321" s="48">
        <v>43335</v>
      </c>
      <c r="F321" s="48">
        <v>43343</v>
      </c>
      <c r="G321" t="s">
        <v>818</v>
      </c>
      <c r="H321" t="s">
        <v>819</v>
      </c>
      <c r="I321">
        <v>340</v>
      </c>
      <c r="J321" t="s">
        <v>49</v>
      </c>
      <c r="K321">
        <v>340</v>
      </c>
      <c r="L321">
        <v>340</v>
      </c>
      <c r="M321" t="s">
        <v>1977</v>
      </c>
      <c r="N321">
        <v>1</v>
      </c>
      <c r="O321" s="1">
        <f>+Tabla__192.168.1.8_POSEIDONSQL_APPFVT_01_tbl_detalle_fill_rate[[#This Row],[emb_cantidad]]-Tabla__192.168.1.8_POSEIDONSQL_APPFVT_01_tbl_detalle_fill_rate[[#This Row],[dev_cantidad]]</f>
        <v>339</v>
      </c>
      <c r="P3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338</v>
      </c>
      <c r="R321" s="1">
        <f>+Tabla__192.168.1.8_POSEIDONSQL_APPFVT_01_tbl_detalle_fill_rate[[#This Row],[Cumpl Real Unds]]-Tabla__192.168.1.8_POSEIDONSQL_APPFVT_01_tbl_detalle_fill_rate[[#This Row],[Cant Embarcada]]</f>
        <v>-1</v>
      </c>
      <c r="S321" s="1">
        <f>+IF(Tabla__192.168.1.8_POSEIDONSQL_APPFVT_01_tbl_detalle_fill_rate[[#This Row],[Pend Emb]]&gt;0,1,0)</f>
        <v>0</v>
      </c>
      <c r="T3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2" spans="1:20" x14ac:dyDescent="0.25">
      <c r="A322">
        <v>24</v>
      </c>
      <c r="B322" t="s">
        <v>54</v>
      </c>
      <c r="C322">
        <v>5099462</v>
      </c>
      <c r="D322" s="48">
        <v>43336</v>
      </c>
      <c r="E322" s="48">
        <v>43335</v>
      </c>
      <c r="F322" s="48">
        <v>43343</v>
      </c>
      <c r="G322" t="s">
        <v>878</v>
      </c>
      <c r="H322" t="s">
        <v>879</v>
      </c>
      <c r="I322">
        <v>82</v>
      </c>
      <c r="J322" t="s">
        <v>49</v>
      </c>
      <c r="K322">
        <v>0</v>
      </c>
      <c r="L322">
        <v>0</v>
      </c>
      <c r="M322" t="s">
        <v>1977</v>
      </c>
      <c r="N322">
        <v>0</v>
      </c>
      <c r="O322" s="1">
        <f>+Tabla__192.168.1.8_POSEIDONSQL_APPFVT_01_tbl_detalle_fill_rate[[#This Row],[emb_cantidad]]-Tabla__192.168.1.8_POSEIDONSQL_APPFVT_01_tbl_detalle_fill_rate[[#This Row],[dev_cantidad]]</f>
        <v>0</v>
      </c>
      <c r="P3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22" s="1">
        <f>+Tabla__192.168.1.8_POSEIDONSQL_APPFVT_01_tbl_detalle_fill_rate[[#This Row],[Cumpl Real Unds]]-Tabla__192.168.1.8_POSEIDONSQL_APPFVT_01_tbl_detalle_fill_rate[[#This Row],[Cant Embarcada]]</f>
        <v>0</v>
      </c>
      <c r="S322" s="1">
        <f>+IF(Tabla__192.168.1.8_POSEIDONSQL_APPFVT_01_tbl_detalle_fill_rate[[#This Row],[Pend Emb]]&gt;0,1,0)</f>
        <v>0</v>
      </c>
      <c r="T3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3" spans="1:20" x14ac:dyDescent="0.25">
      <c r="A323">
        <v>24</v>
      </c>
      <c r="B323" t="s">
        <v>54</v>
      </c>
      <c r="C323">
        <v>5099481</v>
      </c>
      <c r="D323" s="48">
        <v>43336</v>
      </c>
      <c r="E323" s="48">
        <v>43335</v>
      </c>
      <c r="F323" s="48">
        <v>43348</v>
      </c>
      <c r="G323" t="s">
        <v>818</v>
      </c>
      <c r="H323" t="s">
        <v>819</v>
      </c>
      <c r="I323">
        <v>2</v>
      </c>
      <c r="J323" t="s">
        <v>49</v>
      </c>
      <c r="K323">
        <v>0</v>
      </c>
      <c r="L323">
        <v>0</v>
      </c>
      <c r="M323" t="s">
        <v>12</v>
      </c>
      <c r="N323">
        <v>0</v>
      </c>
      <c r="O323" s="1">
        <f>+Tabla__192.168.1.8_POSEIDONSQL_APPFVT_01_tbl_detalle_fill_rate[[#This Row],[emb_cantidad]]-Tabla__192.168.1.8_POSEIDONSQL_APPFVT_01_tbl_detalle_fill_rate[[#This Row],[dev_cantidad]]</f>
        <v>0</v>
      </c>
      <c r="P3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23" s="1">
        <f>+Tabla__192.168.1.8_POSEIDONSQL_APPFVT_01_tbl_detalle_fill_rate[[#This Row],[Cumpl Real Unds]]-Tabla__192.168.1.8_POSEIDONSQL_APPFVT_01_tbl_detalle_fill_rate[[#This Row],[Cant Embarcada]]</f>
        <v>0</v>
      </c>
      <c r="S323" s="1">
        <f>+IF(Tabla__192.168.1.8_POSEIDONSQL_APPFVT_01_tbl_detalle_fill_rate[[#This Row],[Pend Emb]]&gt;0,1,0)</f>
        <v>0</v>
      </c>
      <c r="T3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4" spans="1:20" x14ac:dyDescent="0.25">
      <c r="A324">
        <v>24</v>
      </c>
      <c r="B324" t="s">
        <v>54</v>
      </c>
      <c r="C324">
        <v>5099718</v>
      </c>
      <c r="D324" s="48">
        <v>43339</v>
      </c>
      <c r="E324" s="48">
        <v>43336</v>
      </c>
      <c r="F324" s="48">
        <v>43348</v>
      </c>
      <c r="G324" t="s">
        <v>533</v>
      </c>
      <c r="H324" t="s">
        <v>534</v>
      </c>
      <c r="I324">
        <v>1</v>
      </c>
      <c r="J324" t="s">
        <v>49</v>
      </c>
      <c r="K324">
        <v>1</v>
      </c>
      <c r="L324">
        <v>1</v>
      </c>
      <c r="M324" t="s">
        <v>1962</v>
      </c>
      <c r="N324">
        <v>0</v>
      </c>
      <c r="O324" s="1">
        <f>+Tabla__192.168.1.8_POSEIDONSQL_APPFVT_01_tbl_detalle_fill_rate[[#This Row],[emb_cantidad]]-Tabla__192.168.1.8_POSEIDONSQL_APPFVT_01_tbl_detalle_fill_rate[[#This Row],[dev_cantidad]]</f>
        <v>1</v>
      </c>
      <c r="P3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24" s="1">
        <f>+Tabla__192.168.1.8_POSEIDONSQL_APPFVT_01_tbl_detalle_fill_rate[[#This Row],[Cumpl Real Unds]]-Tabla__192.168.1.8_POSEIDONSQL_APPFVT_01_tbl_detalle_fill_rate[[#This Row],[Cant Embarcada]]</f>
        <v>0</v>
      </c>
      <c r="S324" s="1">
        <f>+IF(Tabla__192.168.1.8_POSEIDONSQL_APPFVT_01_tbl_detalle_fill_rate[[#This Row],[Pend Emb]]&gt;0,1,0)</f>
        <v>0</v>
      </c>
      <c r="T3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5" spans="1:20" x14ac:dyDescent="0.25">
      <c r="A325">
        <v>24</v>
      </c>
      <c r="B325" t="s">
        <v>54</v>
      </c>
      <c r="C325">
        <v>5106113</v>
      </c>
      <c r="D325" s="48">
        <v>43363</v>
      </c>
      <c r="E325" s="48">
        <v>43361</v>
      </c>
      <c r="F325" s="48">
        <v>43369</v>
      </c>
      <c r="G325" t="s">
        <v>126</v>
      </c>
      <c r="H325" t="s">
        <v>127</v>
      </c>
      <c r="I325">
        <v>1</v>
      </c>
      <c r="J325" t="s">
        <v>1715</v>
      </c>
      <c r="K325">
        <v>1</v>
      </c>
      <c r="L325">
        <v>1</v>
      </c>
      <c r="M325" t="s">
        <v>419</v>
      </c>
      <c r="N325">
        <v>0</v>
      </c>
      <c r="O325" s="1">
        <f>+Tabla__192.168.1.8_POSEIDONSQL_APPFVT_01_tbl_detalle_fill_rate[[#This Row],[emb_cantidad]]-Tabla__192.168.1.8_POSEIDONSQL_APPFVT_01_tbl_detalle_fill_rate[[#This Row],[dev_cantidad]]</f>
        <v>1</v>
      </c>
      <c r="P3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25" s="1">
        <f>+Tabla__192.168.1.8_POSEIDONSQL_APPFVT_01_tbl_detalle_fill_rate[[#This Row],[Cumpl Real Unds]]-Tabla__192.168.1.8_POSEIDONSQL_APPFVT_01_tbl_detalle_fill_rate[[#This Row],[Cant Embarcada]]</f>
        <v>0</v>
      </c>
      <c r="S325" s="1">
        <f>+IF(Tabla__192.168.1.8_POSEIDONSQL_APPFVT_01_tbl_detalle_fill_rate[[#This Row],[Pend Emb]]&gt;0,1,0)</f>
        <v>0</v>
      </c>
      <c r="T3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6" spans="1:20" x14ac:dyDescent="0.25">
      <c r="A326">
        <v>24</v>
      </c>
      <c r="B326" t="s">
        <v>54</v>
      </c>
      <c r="C326">
        <v>5106348</v>
      </c>
      <c r="D326" s="48">
        <v>43364</v>
      </c>
      <c r="E326" s="48">
        <v>43363</v>
      </c>
      <c r="F326" s="48">
        <v>43369</v>
      </c>
      <c r="G326" t="s">
        <v>345</v>
      </c>
      <c r="H326" t="s">
        <v>346</v>
      </c>
      <c r="I326">
        <v>1</v>
      </c>
      <c r="J326" t="s">
        <v>1013</v>
      </c>
      <c r="K326">
        <v>1</v>
      </c>
      <c r="L326">
        <v>1</v>
      </c>
      <c r="M326" t="s">
        <v>419</v>
      </c>
      <c r="N326">
        <v>0</v>
      </c>
      <c r="O326" s="1">
        <f>+Tabla__192.168.1.8_POSEIDONSQL_APPFVT_01_tbl_detalle_fill_rate[[#This Row],[emb_cantidad]]-Tabla__192.168.1.8_POSEIDONSQL_APPFVT_01_tbl_detalle_fill_rate[[#This Row],[dev_cantidad]]</f>
        <v>1</v>
      </c>
      <c r="P3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26" s="1">
        <f>+Tabla__192.168.1.8_POSEIDONSQL_APPFVT_01_tbl_detalle_fill_rate[[#This Row],[Cumpl Real Unds]]-Tabla__192.168.1.8_POSEIDONSQL_APPFVT_01_tbl_detalle_fill_rate[[#This Row],[Cant Embarcada]]</f>
        <v>0</v>
      </c>
      <c r="S326" s="1">
        <f>+IF(Tabla__192.168.1.8_POSEIDONSQL_APPFVT_01_tbl_detalle_fill_rate[[#This Row],[Pend Emb]]&gt;0,1,0)</f>
        <v>0</v>
      </c>
      <c r="T3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7" spans="1:20" x14ac:dyDescent="0.25">
      <c r="A327">
        <v>24</v>
      </c>
      <c r="B327" t="s">
        <v>54</v>
      </c>
      <c r="C327">
        <v>5106558</v>
      </c>
      <c r="D327" s="48">
        <v>43364</v>
      </c>
      <c r="E327" s="48">
        <v>43363</v>
      </c>
      <c r="F327" s="48">
        <v>43369</v>
      </c>
      <c r="G327" t="s">
        <v>345</v>
      </c>
      <c r="H327" t="s">
        <v>346</v>
      </c>
      <c r="I327">
        <v>1</v>
      </c>
      <c r="J327" t="s">
        <v>1014</v>
      </c>
      <c r="K327">
        <v>1</v>
      </c>
      <c r="L327">
        <v>1</v>
      </c>
      <c r="M327" t="s">
        <v>419</v>
      </c>
      <c r="N327">
        <v>0</v>
      </c>
      <c r="O327" s="1">
        <f>+Tabla__192.168.1.8_POSEIDONSQL_APPFVT_01_tbl_detalle_fill_rate[[#This Row],[emb_cantidad]]-Tabla__192.168.1.8_POSEIDONSQL_APPFVT_01_tbl_detalle_fill_rate[[#This Row],[dev_cantidad]]</f>
        <v>1</v>
      </c>
      <c r="P3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27" s="1">
        <f>+Tabla__192.168.1.8_POSEIDONSQL_APPFVT_01_tbl_detalle_fill_rate[[#This Row],[Cumpl Real Unds]]-Tabla__192.168.1.8_POSEIDONSQL_APPFVT_01_tbl_detalle_fill_rate[[#This Row],[Cant Embarcada]]</f>
        <v>0</v>
      </c>
      <c r="S327" s="1">
        <f>+IF(Tabla__192.168.1.8_POSEIDONSQL_APPFVT_01_tbl_detalle_fill_rate[[#This Row],[Pend Emb]]&gt;0,1,0)</f>
        <v>0</v>
      </c>
      <c r="T3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8" spans="1:20" x14ac:dyDescent="0.25">
      <c r="A328">
        <v>25</v>
      </c>
      <c r="B328" t="s">
        <v>1961</v>
      </c>
      <c r="C328">
        <v>10</v>
      </c>
      <c r="D328" s="48">
        <v>43343</v>
      </c>
      <c r="E328" s="48">
        <v>43343</v>
      </c>
      <c r="F328" s="48">
        <v>43346</v>
      </c>
      <c r="G328" t="s">
        <v>1274</v>
      </c>
      <c r="H328" t="s">
        <v>1275</v>
      </c>
      <c r="I328">
        <v>1</v>
      </c>
      <c r="J328" t="s">
        <v>49</v>
      </c>
      <c r="K328">
        <v>0</v>
      </c>
      <c r="L328">
        <v>0</v>
      </c>
      <c r="M328" t="s">
        <v>160</v>
      </c>
      <c r="N328">
        <v>0</v>
      </c>
      <c r="O328" s="1">
        <f>+Tabla__192.168.1.8_POSEIDONSQL_APPFVT_01_tbl_detalle_fill_rate[[#This Row],[emb_cantidad]]-Tabla__192.168.1.8_POSEIDONSQL_APPFVT_01_tbl_detalle_fill_rate[[#This Row],[dev_cantidad]]</f>
        <v>0</v>
      </c>
      <c r="P3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28" s="1">
        <f>+Tabla__192.168.1.8_POSEIDONSQL_APPFVT_01_tbl_detalle_fill_rate[[#This Row],[Cumpl Real Unds]]-Tabla__192.168.1.8_POSEIDONSQL_APPFVT_01_tbl_detalle_fill_rate[[#This Row],[Cant Embarcada]]</f>
        <v>0</v>
      </c>
      <c r="S328" s="1">
        <f>+IF(Tabla__192.168.1.8_POSEIDONSQL_APPFVT_01_tbl_detalle_fill_rate[[#This Row],[Pend Emb]]&gt;0,1,0)</f>
        <v>0</v>
      </c>
      <c r="T3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29" spans="1:20" x14ac:dyDescent="0.25">
      <c r="A329">
        <v>25</v>
      </c>
      <c r="B329" t="s">
        <v>1961</v>
      </c>
      <c r="C329">
        <v>10</v>
      </c>
      <c r="D329" s="48">
        <v>43343</v>
      </c>
      <c r="E329" s="48">
        <v>43343</v>
      </c>
      <c r="F329" s="48">
        <v>43346</v>
      </c>
      <c r="G329" t="s">
        <v>811</v>
      </c>
      <c r="H329" t="s">
        <v>812</v>
      </c>
      <c r="I329">
        <v>49</v>
      </c>
      <c r="J329" t="s">
        <v>49</v>
      </c>
      <c r="K329">
        <v>49</v>
      </c>
      <c r="L329">
        <v>49</v>
      </c>
      <c r="M329" t="s">
        <v>160</v>
      </c>
      <c r="N329">
        <v>0</v>
      </c>
      <c r="O329" s="1">
        <f>+Tabla__192.168.1.8_POSEIDONSQL_APPFVT_01_tbl_detalle_fill_rate[[#This Row],[emb_cantidad]]-Tabla__192.168.1.8_POSEIDONSQL_APPFVT_01_tbl_detalle_fill_rate[[#This Row],[dev_cantidad]]</f>
        <v>49</v>
      </c>
      <c r="P3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49</v>
      </c>
      <c r="R329" s="1">
        <f>+Tabla__192.168.1.8_POSEIDONSQL_APPFVT_01_tbl_detalle_fill_rate[[#This Row],[Cumpl Real Unds]]-Tabla__192.168.1.8_POSEIDONSQL_APPFVT_01_tbl_detalle_fill_rate[[#This Row],[Cant Embarcada]]</f>
        <v>0</v>
      </c>
      <c r="S329" s="1">
        <f>+IF(Tabla__192.168.1.8_POSEIDONSQL_APPFVT_01_tbl_detalle_fill_rate[[#This Row],[Pend Emb]]&gt;0,1,0)</f>
        <v>0</v>
      </c>
      <c r="T3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0" spans="1:20" x14ac:dyDescent="0.25">
      <c r="A330">
        <v>25</v>
      </c>
      <c r="B330" t="s">
        <v>1961</v>
      </c>
      <c r="C330">
        <v>10</v>
      </c>
      <c r="D330" s="48">
        <v>43343</v>
      </c>
      <c r="E330" s="48">
        <v>43343</v>
      </c>
      <c r="F330" s="48">
        <v>43346</v>
      </c>
      <c r="G330" t="s">
        <v>1276</v>
      </c>
      <c r="H330" t="s">
        <v>1277</v>
      </c>
      <c r="I330">
        <v>15</v>
      </c>
      <c r="J330" t="s">
        <v>49</v>
      </c>
      <c r="K330">
        <v>15</v>
      </c>
      <c r="L330">
        <v>15</v>
      </c>
      <c r="M330" t="s">
        <v>160</v>
      </c>
      <c r="N330">
        <v>0</v>
      </c>
      <c r="O330" s="1">
        <f>+Tabla__192.168.1.8_POSEIDONSQL_APPFVT_01_tbl_detalle_fill_rate[[#This Row],[emb_cantidad]]-Tabla__192.168.1.8_POSEIDONSQL_APPFVT_01_tbl_detalle_fill_rate[[#This Row],[dev_cantidad]]</f>
        <v>15</v>
      </c>
      <c r="P3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330" s="1">
        <f>+Tabla__192.168.1.8_POSEIDONSQL_APPFVT_01_tbl_detalle_fill_rate[[#This Row],[Cumpl Real Unds]]-Tabla__192.168.1.8_POSEIDONSQL_APPFVT_01_tbl_detalle_fill_rate[[#This Row],[Cant Embarcada]]</f>
        <v>0</v>
      </c>
      <c r="S330" s="1">
        <f>+IF(Tabla__192.168.1.8_POSEIDONSQL_APPFVT_01_tbl_detalle_fill_rate[[#This Row],[Pend Emb]]&gt;0,1,0)</f>
        <v>0</v>
      </c>
      <c r="T3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1" spans="1:20" x14ac:dyDescent="0.25">
      <c r="A331">
        <v>25</v>
      </c>
      <c r="B331" t="s">
        <v>1961</v>
      </c>
      <c r="C331">
        <v>10</v>
      </c>
      <c r="D331" s="48">
        <v>43343</v>
      </c>
      <c r="E331" s="48">
        <v>43343</v>
      </c>
      <c r="F331" s="48">
        <v>43346</v>
      </c>
      <c r="G331" t="s">
        <v>1278</v>
      </c>
      <c r="H331" t="s">
        <v>1279</v>
      </c>
      <c r="I331">
        <v>15</v>
      </c>
      <c r="J331" t="s">
        <v>49</v>
      </c>
      <c r="K331">
        <v>15</v>
      </c>
      <c r="L331">
        <v>15</v>
      </c>
      <c r="M331" t="s">
        <v>160</v>
      </c>
      <c r="N331">
        <v>0</v>
      </c>
      <c r="O331" s="1">
        <f>+Tabla__192.168.1.8_POSEIDONSQL_APPFVT_01_tbl_detalle_fill_rate[[#This Row],[emb_cantidad]]-Tabla__192.168.1.8_POSEIDONSQL_APPFVT_01_tbl_detalle_fill_rate[[#This Row],[dev_cantidad]]</f>
        <v>15</v>
      </c>
      <c r="P3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331" s="1">
        <f>+Tabla__192.168.1.8_POSEIDONSQL_APPFVT_01_tbl_detalle_fill_rate[[#This Row],[Cumpl Real Unds]]-Tabla__192.168.1.8_POSEIDONSQL_APPFVT_01_tbl_detalle_fill_rate[[#This Row],[Cant Embarcada]]</f>
        <v>0</v>
      </c>
      <c r="S331" s="1">
        <f>+IF(Tabla__192.168.1.8_POSEIDONSQL_APPFVT_01_tbl_detalle_fill_rate[[#This Row],[Pend Emb]]&gt;0,1,0)</f>
        <v>0</v>
      </c>
      <c r="T3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2" spans="1:20" x14ac:dyDescent="0.25">
      <c r="A332">
        <v>25</v>
      </c>
      <c r="B332" t="s">
        <v>1961</v>
      </c>
      <c r="C332">
        <v>10</v>
      </c>
      <c r="D332" s="48">
        <v>43343</v>
      </c>
      <c r="E332" s="48">
        <v>43343</v>
      </c>
      <c r="F332" s="48">
        <v>43346</v>
      </c>
      <c r="G332" t="s">
        <v>1280</v>
      </c>
      <c r="H332" t="s">
        <v>1281</v>
      </c>
      <c r="I332">
        <v>15</v>
      </c>
      <c r="J332" t="s">
        <v>49</v>
      </c>
      <c r="K332">
        <v>15</v>
      </c>
      <c r="L332">
        <v>15</v>
      </c>
      <c r="M332" t="s">
        <v>160</v>
      </c>
      <c r="N332">
        <v>0</v>
      </c>
      <c r="O332" s="1">
        <f>+Tabla__192.168.1.8_POSEIDONSQL_APPFVT_01_tbl_detalle_fill_rate[[#This Row],[emb_cantidad]]-Tabla__192.168.1.8_POSEIDONSQL_APPFVT_01_tbl_detalle_fill_rate[[#This Row],[dev_cantidad]]</f>
        <v>15</v>
      </c>
      <c r="P3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332" s="1">
        <f>+Tabla__192.168.1.8_POSEIDONSQL_APPFVT_01_tbl_detalle_fill_rate[[#This Row],[Cumpl Real Unds]]-Tabla__192.168.1.8_POSEIDONSQL_APPFVT_01_tbl_detalle_fill_rate[[#This Row],[Cant Embarcada]]</f>
        <v>0</v>
      </c>
      <c r="S332" s="1">
        <f>+IF(Tabla__192.168.1.8_POSEIDONSQL_APPFVT_01_tbl_detalle_fill_rate[[#This Row],[Pend Emb]]&gt;0,1,0)</f>
        <v>0</v>
      </c>
      <c r="T3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3" spans="1:20" x14ac:dyDescent="0.25">
      <c r="A333">
        <v>25</v>
      </c>
      <c r="B333" t="s">
        <v>1961</v>
      </c>
      <c r="C333">
        <v>11</v>
      </c>
      <c r="D333" s="48">
        <v>43347</v>
      </c>
      <c r="E333" s="48">
        <v>43347</v>
      </c>
      <c r="F333" s="48">
        <v>43347</v>
      </c>
      <c r="G333" t="s">
        <v>811</v>
      </c>
      <c r="H333" t="s">
        <v>812</v>
      </c>
      <c r="I333">
        <v>14</v>
      </c>
      <c r="J333" t="s">
        <v>49</v>
      </c>
      <c r="K333">
        <v>0</v>
      </c>
      <c r="L333">
        <v>0</v>
      </c>
      <c r="M333" t="s">
        <v>12</v>
      </c>
      <c r="N333">
        <v>0</v>
      </c>
      <c r="O333" s="1">
        <f>+Tabla__192.168.1.8_POSEIDONSQL_APPFVT_01_tbl_detalle_fill_rate[[#This Row],[emb_cantidad]]-Tabla__192.168.1.8_POSEIDONSQL_APPFVT_01_tbl_detalle_fill_rate[[#This Row],[dev_cantidad]]</f>
        <v>0</v>
      </c>
      <c r="P3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33" s="1">
        <f>+Tabla__192.168.1.8_POSEIDONSQL_APPFVT_01_tbl_detalle_fill_rate[[#This Row],[Cumpl Real Unds]]-Tabla__192.168.1.8_POSEIDONSQL_APPFVT_01_tbl_detalle_fill_rate[[#This Row],[Cant Embarcada]]</f>
        <v>0</v>
      </c>
      <c r="S333" s="1">
        <f>+IF(Tabla__192.168.1.8_POSEIDONSQL_APPFVT_01_tbl_detalle_fill_rate[[#This Row],[Pend Emb]]&gt;0,1,0)</f>
        <v>0</v>
      </c>
      <c r="T3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4" spans="1:20" x14ac:dyDescent="0.25">
      <c r="A334">
        <v>89</v>
      </c>
      <c r="B334" t="s">
        <v>1964</v>
      </c>
      <c r="C334">
        <v>896</v>
      </c>
      <c r="D334" s="48">
        <v>43340</v>
      </c>
      <c r="E334" s="48">
        <v>43340</v>
      </c>
      <c r="F334" s="48">
        <v>43340</v>
      </c>
      <c r="G334" t="s">
        <v>1231</v>
      </c>
      <c r="H334" t="s">
        <v>1232</v>
      </c>
      <c r="I334">
        <v>150</v>
      </c>
      <c r="J334" t="s">
        <v>49</v>
      </c>
      <c r="K334">
        <v>150</v>
      </c>
      <c r="L334">
        <v>150</v>
      </c>
      <c r="M334" t="s">
        <v>1965</v>
      </c>
      <c r="N334">
        <v>0</v>
      </c>
      <c r="O334" s="1">
        <f>+Tabla__192.168.1.8_POSEIDONSQL_APPFVT_01_tbl_detalle_fill_rate[[#This Row],[emb_cantidad]]-Tabla__192.168.1.8_POSEIDONSQL_APPFVT_01_tbl_detalle_fill_rate[[#This Row],[dev_cantidad]]</f>
        <v>150</v>
      </c>
      <c r="P3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150</v>
      </c>
      <c r="R334" s="1">
        <f>+Tabla__192.168.1.8_POSEIDONSQL_APPFVT_01_tbl_detalle_fill_rate[[#This Row],[Cumpl Real Unds]]-Tabla__192.168.1.8_POSEIDONSQL_APPFVT_01_tbl_detalle_fill_rate[[#This Row],[Cant Embarcada]]</f>
        <v>0</v>
      </c>
      <c r="S334" s="1">
        <f>+IF(Tabla__192.168.1.8_POSEIDONSQL_APPFVT_01_tbl_detalle_fill_rate[[#This Row],[Pend Emb]]&gt;0,1,0)</f>
        <v>0</v>
      </c>
      <c r="T3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5" spans="1:20" x14ac:dyDescent="0.25">
      <c r="A335">
        <v>3</v>
      </c>
      <c r="B335" t="s">
        <v>50</v>
      </c>
      <c r="C335">
        <v>50051940</v>
      </c>
      <c r="D335" s="48">
        <v>43347</v>
      </c>
      <c r="E335" s="48">
        <v>43346</v>
      </c>
      <c r="F335" s="48">
        <v>43363</v>
      </c>
      <c r="G335" t="s">
        <v>92</v>
      </c>
      <c r="H335" t="s">
        <v>93</v>
      </c>
      <c r="I335">
        <v>1</v>
      </c>
      <c r="J335" t="s">
        <v>1285</v>
      </c>
      <c r="K335">
        <v>1</v>
      </c>
      <c r="L335">
        <v>3</v>
      </c>
      <c r="M335" t="s">
        <v>415</v>
      </c>
      <c r="N335">
        <v>2</v>
      </c>
      <c r="O335" s="1">
        <f>+Tabla__192.168.1.8_POSEIDONSQL_APPFVT_01_tbl_detalle_fill_rate[[#This Row],[emb_cantidad]]-Tabla__192.168.1.8_POSEIDONSQL_APPFVT_01_tbl_detalle_fill_rate[[#This Row],[dev_cantidad]]</f>
        <v>1</v>
      </c>
      <c r="P3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35" s="1">
        <f>+Tabla__192.168.1.8_POSEIDONSQL_APPFVT_01_tbl_detalle_fill_rate[[#This Row],[Cumpl Real Unds]]-Tabla__192.168.1.8_POSEIDONSQL_APPFVT_01_tbl_detalle_fill_rate[[#This Row],[Cant Embarcada]]</f>
        <v>0</v>
      </c>
      <c r="S335" s="1">
        <f>+IF(Tabla__192.168.1.8_POSEIDONSQL_APPFVT_01_tbl_detalle_fill_rate[[#This Row],[Pend Emb]]&gt;0,1,0)</f>
        <v>0</v>
      </c>
      <c r="T3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6" spans="1:20" x14ac:dyDescent="0.25">
      <c r="A336">
        <v>3</v>
      </c>
      <c r="B336" t="s">
        <v>50</v>
      </c>
      <c r="C336">
        <v>50051940</v>
      </c>
      <c r="D336" s="48">
        <v>43347</v>
      </c>
      <c r="E336" s="48">
        <v>43346</v>
      </c>
      <c r="F336" s="48">
        <v>43356</v>
      </c>
      <c r="G336" t="s">
        <v>134</v>
      </c>
      <c r="H336" t="s">
        <v>135</v>
      </c>
      <c r="I336">
        <v>1</v>
      </c>
      <c r="J336" t="s">
        <v>1283</v>
      </c>
      <c r="K336">
        <v>1</v>
      </c>
      <c r="L336">
        <v>3</v>
      </c>
      <c r="M336" t="s">
        <v>415</v>
      </c>
      <c r="N336">
        <v>2</v>
      </c>
      <c r="O336" s="1">
        <f>+Tabla__192.168.1.8_POSEIDONSQL_APPFVT_01_tbl_detalle_fill_rate[[#This Row],[emb_cantidad]]-Tabla__192.168.1.8_POSEIDONSQL_APPFVT_01_tbl_detalle_fill_rate[[#This Row],[dev_cantidad]]</f>
        <v>1</v>
      </c>
      <c r="P3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36" s="1">
        <f>+Tabla__192.168.1.8_POSEIDONSQL_APPFVT_01_tbl_detalle_fill_rate[[#This Row],[Cumpl Real Unds]]-Tabla__192.168.1.8_POSEIDONSQL_APPFVT_01_tbl_detalle_fill_rate[[#This Row],[Cant Embarcada]]</f>
        <v>0</v>
      </c>
      <c r="S336" s="1">
        <f>+IF(Tabla__192.168.1.8_POSEIDONSQL_APPFVT_01_tbl_detalle_fill_rate[[#This Row],[Pend Emb]]&gt;0,1,0)</f>
        <v>0</v>
      </c>
      <c r="T3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7" spans="1:20" x14ac:dyDescent="0.25">
      <c r="A337">
        <v>3</v>
      </c>
      <c r="B337" t="s">
        <v>50</v>
      </c>
      <c r="C337">
        <v>50051990</v>
      </c>
      <c r="D337" s="48">
        <v>43348</v>
      </c>
      <c r="E337" s="48">
        <v>43347</v>
      </c>
      <c r="F337" s="48">
        <v>43368</v>
      </c>
      <c r="G337" t="s">
        <v>92</v>
      </c>
      <c r="H337" t="s">
        <v>93</v>
      </c>
      <c r="I337">
        <v>1</v>
      </c>
      <c r="J337" t="s">
        <v>1650</v>
      </c>
      <c r="K337">
        <v>1</v>
      </c>
      <c r="L337">
        <v>3</v>
      </c>
      <c r="M337" t="s">
        <v>415</v>
      </c>
      <c r="N337">
        <v>2</v>
      </c>
      <c r="O337" s="1">
        <f>+Tabla__192.168.1.8_POSEIDONSQL_APPFVT_01_tbl_detalle_fill_rate[[#This Row],[emb_cantidad]]-Tabla__192.168.1.8_POSEIDONSQL_APPFVT_01_tbl_detalle_fill_rate[[#This Row],[dev_cantidad]]</f>
        <v>1</v>
      </c>
      <c r="P3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37" s="1">
        <f>+Tabla__192.168.1.8_POSEIDONSQL_APPFVT_01_tbl_detalle_fill_rate[[#This Row],[Cumpl Real Unds]]-Tabla__192.168.1.8_POSEIDONSQL_APPFVT_01_tbl_detalle_fill_rate[[#This Row],[Cant Embarcada]]</f>
        <v>0</v>
      </c>
      <c r="S337" s="1">
        <f>+IF(Tabla__192.168.1.8_POSEIDONSQL_APPFVT_01_tbl_detalle_fill_rate[[#This Row],[Pend Emb]]&gt;0,1,0)</f>
        <v>0</v>
      </c>
      <c r="T3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8" spans="1:20" x14ac:dyDescent="0.25">
      <c r="A338">
        <v>3</v>
      </c>
      <c r="B338" t="s">
        <v>50</v>
      </c>
      <c r="C338">
        <v>50051990</v>
      </c>
      <c r="D338" s="48">
        <v>43348</v>
      </c>
      <c r="E338" s="48">
        <v>43347</v>
      </c>
      <c r="F338" s="48">
        <v>43363</v>
      </c>
      <c r="G338" t="s">
        <v>1646</v>
      </c>
      <c r="H338" t="s">
        <v>1647</v>
      </c>
      <c r="I338">
        <v>1</v>
      </c>
      <c r="J338" t="s">
        <v>1648</v>
      </c>
      <c r="K338">
        <v>1</v>
      </c>
      <c r="L338">
        <v>3</v>
      </c>
      <c r="M338" t="s">
        <v>415</v>
      </c>
      <c r="N338">
        <v>2</v>
      </c>
      <c r="O338" s="1">
        <f>+Tabla__192.168.1.8_POSEIDONSQL_APPFVT_01_tbl_detalle_fill_rate[[#This Row],[emb_cantidad]]-Tabla__192.168.1.8_POSEIDONSQL_APPFVT_01_tbl_detalle_fill_rate[[#This Row],[dev_cantidad]]</f>
        <v>1</v>
      </c>
      <c r="P3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38" s="1">
        <f>+Tabla__192.168.1.8_POSEIDONSQL_APPFVT_01_tbl_detalle_fill_rate[[#This Row],[Cumpl Real Unds]]-Tabla__192.168.1.8_POSEIDONSQL_APPFVT_01_tbl_detalle_fill_rate[[#This Row],[Cant Embarcada]]</f>
        <v>0</v>
      </c>
      <c r="S338" s="1">
        <f>+IF(Tabla__192.168.1.8_POSEIDONSQL_APPFVT_01_tbl_detalle_fill_rate[[#This Row],[Pend Emb]]&gt;0,1,0)</f>
        <v>0</v>
      </c>
      <c r="T3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39" spans="1:20" x14ac:dyDescent="0.25">
      <c r="A339">
        <v>3</v>
      </c>
      <c r="B339" t="s">
        <v>50</v>
      </c>
      <c r="C339">
        <v>50051990</v>
      </c>
      <c r="D339" s="48">
        <v>43348</v>
      </c>
      <c r="E339" s="48">
        <v>43347</v>
      </c>
      <c r="F339" s="48">
        <v>43363</v>
      </c>
      <c r="G339" t="s">
        <v>134</v>
      </c>
      <c r="H339" t="s">
        <v>135</v>
      </c>
      <c r="I339">
        <v>1</v>
      </c>
      <c r="J339" t="s">
        <v>1649</v>
      </c>
      <c r="K339">
        <v>1</v>
      </c>
      <c r="L339">
        <v>3</v>
      </c>
      <c r="M339" t="s">
        <v>415</v>
      </c>
      <c r="N339">
        <v>2</v>
      </c>
      <c r="O339" s="1">
        <f>+Tabla__192.168.1.8_POSEIDONSQL_APPFVT_01_tbl_detalle_fill_rate[[#This Row],[emb_cantidad]]-Tabla__192.168.1.8_POSEIDONSQL_APPFVT_01_tbl_detalle_fill_rate[[#This Row],[dev_cantidad]]</f>
        <v>1</v>
      </c>
      <c r="P3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39" s="1">
        <f>+Tabla__192.168.1.8_POSEIDONSQL_APPFVT_01_tbl_detalle_fill_rate[[#This Row],[Cumpl Real Unds]]-Tabla__192.168.1.8_POSEIDONSQL_APPFVT_01_tbl_detalle_fill_rate[[#This Row],[Cant Embarcada]]</f>
        <v>0</v>
      </c>
      <c r="S339" s="1">
        <f>+IF(Tabla__192.168.1.8_POSEIDONSQL_APPFVT_01_tbl_detalle_fill_rate[[#This Row],[Pend Emb]]&gt;0,1,0)</f>
        <v>0</v>
      </c>
      <c r="T3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0" spans="1:20" x14ac:dyDescent="0.25">
      <c r="A340">
        <v>3</v>
      </c>
      <c r="B340" t="s">
        <v>50</v>
      </c>
      <c r="C340">
        <v>50051991</v>
      </c>
      <c r="D340" s="48">
        <v>43348</v>
      </c>
      <c r="E340" s="48">
        <v>43347</v>
      </c>
      <c r="F340" s="48">
        <v>43363</v>
      </c>
      <c r="G340" t="s">
        <v>92</v>
      </c>
      <c r="H340" t="s">
        <v>93</v>
      </c>
      <c r="I340">
        <v>1</v>
      </c>
      <c r="J340" t="s">
        <v>1651</v>
      </c>
      <c r="K340">
        <v>1</v>
      </c>
      <c r="L340">
        <v>3</v>
      </c>
      <c r="M340" t="s">
        <v>415</v>
      </c>
      <c r="N340">
        <v>2</v>
      </c>
      <c r="O340" s="1">
        <f>+Tabla__192.168.1.8_POSEIDONSQL_APPFVT_01_tbl_detalle_fill_rate[[#This Row],[emb_cantidad]]-Tabla__192.168.1.8_POSEIDONSQL_APPFVT_01_tbl_detalle_fill_rate[[#This Row],[dev_cantidad]]</f>
        <v>1</v>
      </c>
      <c r="P3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0" s="1">
        <f>+Tabla__192.168.1.8_POSEIDONSQL_APPFVT_01_tbl_detalle_fill_rate[[#This Row],[Cumpl Real Unds]]-Tabla__192.168.1.8_POSEIDONSQL_APPFVT_01_tbl_detalle_fill_rate[[#This Row],[Cant Embarcada]]</f>
        <v>0</v>
      </c>
      <c r="S340" s="1">
        <f>+IF(Tabla__192.168.1.8_POSEIDONSQL_APPFVT_01_tbl_detalle_fill_rate[[#This Row],[Pend Emb]]&gt;0,1,0)</f>
        <v>0</v>
      </c>
      <c r="T3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1" spans="1:20" x14ac:dyDescent="0.25">
      <c r="A341">
        <v>3</v>
      </c>
      <c r="B341" t="s">
        <v>50</v>
      </c>
      <c r="C341">
        <v>50051991</v>
      </c>
      <c r="D341" s="48">
        <v>43348</v>
      </c>
      <c r="E341" s="48">
        <v>43347</v>
      </c>
      <c r="F341" s="48">
        <v>43363</v>
      </c>
      <c r="G341" t="s">
        <v>92</v>
      </c>
      <c r="H341" t="s">
        <v>93</v>
      </c>
      <c r="I341">
        <v>1</v>
      </c>
      <c r="J341" t="s">
        <v>1652</v>
      </c>
      <c r="K341">
        <v>1</v>
      </c>
      <c r="L341">
        <v>3</v>
      </c>
      <c r="M341" t="s">
        <v>415</v>
      </c>
      <c r="N341">
        <v>2</v>
      </c>
      <c r="O341" s="1">
        <f>+Tabla__192.168.1.8_POSEIDONSQL_APPFVT_01_tbl_detalle_fill_rate[[#This Row],[emb_cantidad]]-Tabla__192.168.1.8_POSEIDONSQL_APPFVT_01_tbl_detalle_fill_rate[[#This Row],[dev_cantidad]]</f>
        <v>1</v>
      </c>
      <c r="P3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1" s="1">
        <f>+Tabla__192.168.1.8_POSEIDONSQL_APPFVT_01_tbl_detalle_fill_rate[[#This Row],[Cumpl Real Unds]]-Tabla__192.168.1.8_POSEIDONSQL_APPFVT_01_tbl_detalle_fill_rate[[#This Row],[Cant Embarcada]]</f>
        <v>0</v>
      </c>
      <c r="S341" s="1">
        <f>+IF(Tabla__192.168.1.8_POSEIDONSQL_APPFVT_01_tbl_detalle_fill_rate[[#This Row],[Pend Emb]]&gt;0,1,0)</f>
        <v>0</v>
      </c>
      <c r="T3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2" spans="1:20" x14ac:dyDescent="0.25">
      <c r="A342">
        <v>3</v>
      </c>
      <c r="B342" t="s">
        <v>50</v>
      </c>
      <c r="C342">
        <v>50051991</v>
      </c>
      <c r="D342" s="48">
        <v>43348</v>
      </c>
      <c r="E342" s="48">
        <v>43347</v>
      </c>
      <c r="F342" s="48">
        <v>43363</v>
      </c>
      <c r="G342" t="s">
        <v>104</v>
      </c>
      <c r="H342" t="s">
        <v>105</v>
      </c>
      <c r="I342">
        <v>1</v>
      </c>
      <c r="J342" t="s">
        <v>1653</v>
      </c>
      <c r="K342">
        <v>1</v>
      </c>
      <c r="L342">
        <v>3</v>
      </c>
      <c r="M342" t="s">
        <v>415</v>
      </c>
      <c r="N342">
        <v>2</v>
      </c>
      <c r="O342" s="1">
        <f>+Tabla__192.168.1.8_POSEIDONSQL_APPFVT_01_tbl_detalle_fill_rate[[#This Row],[emb_cantidad]]-Tabla__192.168.1.8_POSEIDONSQL_APPFVT_01_tbl_detalle_fill_rate[[#This Row],[dev_cantidad]]</f>
        <v>1</v>
      </c>
      <c r="P3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2" s="1">
        <f>+Tabla__192.168.1.8_POSEIDONSQL_APPFVT_01_tbl_detalle_fill_rate[[#This Row],[Cumpl Real Unds]]-Tabla__192.168.1.8_POSEIDONSQL_APPFVT_01_tbl_detalle_fill_rate[[#This Row],[Cant Embarcada]]</f>
        <v>0</v>
      </c>
      <c r="S342" s="1">
        <f>+IF(Tabla__192.168.1.8_POSEIDONSQL_APPFVT_01_tbl_detalle_fill_rate[[#This Row],[Pend Emb]]&gt;0,1,0)</f>
        <v>0</v>
      </c>
      <c r="T3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3" spans="1:20" x14ac:dyDescent="0.25">
      <c r="A343">
        <v>3</v>
      </c>
      <c r="B343" t="s">
        <v>50</v>
      </c>
      <c r="C343">
        <v>50051991</v>
      </c>
      <c r="D343" s="48">
        <v>43348</v>
      </c>
      <c r="E343" s="48">
        <v>43347</v>
      </c>
      <c r="F343" s="48">
        <v>43367</v>
      </c>
      <c r="G343" t="s">
        <v>112</v>
      </c>
      <c r="H343" t="s">
        <v>113</v>
      </c>
      <c r="I343">
        <v>1</v>
      </c>
      <c r="J343" t="s">
        <v>1655</v>
      </c>
      <c r="K343">
        <v>1</v>
      </c>
      <c r="L343">
        <v>3</v>
      </c>
      <c r="M343" t="s">
        <v>415</v>
      </c>
      <c r="N343">
        <v>2</v>
      </c>
      <c r="O343" s="1">
        <f>+Tabla__192.168.1.8_POSEIDONSQL_APPFVT_01_tbl_detalle_fill_rate[[#This Row],[emb_cantidad]]-Tabla__192.168.1.8_POSEIDONSQL_APPFVT_01_tbl_detalle_fill_rate[[#This Row],[dev_cantidad]]</f>
        <v>1</v>
      </c>
      <c r="P3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3" s="1">
        <f>+Tabla__192.168.1.8_POSEIDONSQL_APPFVT_01_tbl_detalle_fill_rate[[#This Row],[Cumpl Real Unds]]-Tabla__192.168.1.8_POSEIDONSQL_APPFVT_01_tbl_detalle_fill_rate[[#This Row],[Cant Embarcada]]</f>
        <v>0</v>
      </c>
      <c r="S343" s="1">
        <f>+IF(Tabla__192.168.1.8_POSEIDONSQL_APPFVT_01_tbl_detalle_fill_rate[[#This Row],[Pend Emb]]&gt;0,1,0)</f>
        <v>0</v>
      </c>
      <c r="T3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4" spans="1:20" x14ac:dyDescent="0.25">
      <c r="A344">
        <v>3</v>
      </c>
      <c r="B344" t="s">
        <v>50</v>
      </c>
      <c r="C344">
        <v>50051991</v>
      </c>
      <c r="D344" s="48">
        <v>43348</v>
      </c>
      <c r="E344" s="48">
        <v>43347</v>
      </c>
      <c r="F344" s="48">
        <v>43367</v>
      </c>
      <c r="G344" t="s">
        <v>471</v>
      </c>
      <c r="H344" t="s">
        <v>472</v>
      </c>
      <c r="I344">
        <v>1</v>
      </c>
      <c r="J344" t="s">
        <v>1656</v>
      </c>
      <c r="K344">
        <v>1</v>
      </c>
      <c r="L344">
        <v>3</v>
      </c>
      <c r="M344" t="s">
        <v>415</v>
      </c>
      <c r="N344">
        <v>2</v>
      </c>
      <c r="O344" s="1">
        <f>+Tabla__192.168.1.8_POSEIDONSQL_APPFVT_01_tbl_detalle_fill_rate[[#This Row],[emb_cantidad]]-Tabla__192.168.1.8_POSEIDONSQL_APPFVT_01_tbl_detalle_fill_rate[[#This Row],[dev_cantidad]]</f>
        <v>1</v>
      </c>
      <c r="P3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4" s="1">
        <f>+Tabla__192.168.1.8_POSEIDONSQL_APPFVT_01_tbl_detalle_fill_rate[[#This Row],[Cumpl Real Unds]]-Tabla__192.168.1.8_POSEIDONSQL_APPFVT_01_tbl_detalle_fill_rate[[#This Row],[Cant Embarcada]]</f>
        <v>0</v>
      </c>
      <c r="S344" s="1">
        <f>+IF(Tabla__192.168.1.8_POSEIDONSQL_APPFVT_01_tbl_detalle_fill_rate[[#This Row],[Pend Emb]]&gt;0,1,0)</f>
        <v>0</v>
      </c>
      <c r="T3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5" spans="1:20" x14ac:dyDescent="0.25">
      <c r="A345">
        <v>3</v>
      </c>
      <c r="B345" t="s">
        <v>50</v>
      </c>
      <c r="C345">
        <v>50051991</v>
      </c>
      <c r="D345" s="48">
        <v>43348</v>
      </c>
      <c r="E345" s="48">
        <v>43347</v>
      </c>
      <c r="F345" s="48">
        <v>43368</v>
      </c>
      <c r="G345" t="s">
        <v>132</v>
      </c>
      <c r="H345" t="s">
        <v>133</v>
      </c>
      <c r="I345">
        <v>1</v>
      </c>
      <c r="J345" t="s">
        <v>1657</v>
      </c>
      <c r="K345">
        <v>1</v>
      </c>
      <c r="L345">
        <v>3</v>
      </c>
      <c r="M345" t="s">
        <v>415</v>
      </c>
      <c r="N345">
        <v>2</v>
      </c>
      <c r="O345" s="1">
        <f>+Tabla__192.168.1.8_POSEIDONSQL_APPFVT_01_tbl_detalle_fill_rate[[#This Row],[emb_cantidad]]-Tabla__192.168.1.8_POSEIDONSQL_APPFVT_01_tbl_detalle_fill_rate[[#This Row],[dev_cantidad]]</f>
        <v>1</v>
      </c>
      <c r="P3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5" s="1">
        <f>+Tabla__192.168.1.8_POSEIDONSQL_APPFVT_01_tbl_detalle_fill_rate[[#This Row],[Cumpl Real Unds]]-Tabla__192.168.1.8_POSEIDONSQL_APPFVT_01_tbl_detalle_fill_rate[[#This Row],[Cant Embarcada]]</f>
        <v>0</v>
      </c>
      <c r="S345" s="1">
        <f>+IF(Tabla__192.168.1.8_POSEIDONSQL_APPFVT_01_tbl_detalle_fill_rate[[#This Row],[Pend Emb]]&gt;0,1,0)</f>
        <v>0</v>
      </c>
      <c r="T3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6" spans="1:20" x14ac:dyDescent="0.25">
      <c r="A346">
        <v>3</v>
      </c>
      <c r="B346" t="s">
        <v>50</v>
      </c>
      <c r="C346">
        <v>50051991</v>
      </c>
      <c r="D346" s="48">
        <v>43348</v>
      </c>
      <c r="E346" s="48">
        <v>43347</v>
      </c>
      <c r="F346" s="48">
        <v>43363</v>
      </c>
      <c r="G346" t="s">
        <v>132</v>
      </c>
      <c r="H346" t="s">
        <v>133</v>
      </c>
      <c r="I346">
        <v>1</v>
      </c>
      <c r="J346" t="s">
        <v>1654</v>
      </c>
      <c r="K346">
        <v>1</v>
      </c>
      <c r="L346">
        <v>3</v>
      </c>
      <c r="M346" t="s">
        <v>415</v>
      </c>
      <c r="N346">
        <v>2</v>
      </c>
      <c r="O346" s="1">
        <f>+Tabla__192.168.1.8_POSEIDONSQL_APPFVT_01_tbl_detalle_fill_rate[[#This Row],[emb_cantidad]]-Tabla__192.168.1.8_POSEIDONSQL_APPFVT_01_tbl_detalle_fill_rate[[#This Row],[dev_cantidad]]</f>
        <v>1</v>
      </c>
      <c r="P3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6" s="1">
        <f>+Tabla__192.168.1.8_POSEIDONSQL_APPFVT_01_tbl_detalle_fill_rate[[#This Row],[Cumpl Real Unds]]-Tabla__192.168.1.8_POSEIDONSQL_APPFVT_01_tbl_detalle_fill_rate[[#This Row],[Cant Embarcada]]</f>
        <v>0</v>
      </c>
      <c r="S346" s="1">
        <f>+IF(Tabla__192.168.1.8_POSEIDONSQL_APPFVT_01_tbl_detalle_fill_rate[[#This Row],[Pend Emb]]&gt;0,1,0)</f>
        <v>0</v>
      </c>
      <c r="T3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7" spans="1:20" x14ac:dyDescent="0.25">
      <c r="A347">
        <v>3</v>
      </c>
      <c r="B347" t="s">
        <v>50</v>
      </c>
      <c r="C347">
        <v>50052041</v>
      </c>
      <c r="D347" s="48">
        <v>43349</v>
      </c>
      <c r="E347" s="48">
        <v>43348</v>
      </c>
      <c r="F347" s="48">
        <v>43363</v>
      </c>
      <c r="G347" t="s">
        <v>62</v>
      </c>
      <c r="H347" t="s">
        <v>63</v>
      </c>
      <c r="I347">
        <v>1</v>
      </c>
      <c r="J347" t="s">
        <v>1671</v>
      </c>
      <c r="K347">
        <v>1</v>
      </c>
      <c r="L347">
        <v>3</v>
      </c>
      <c r="M347" t="s">
        <v>415</v>
      </c>
      <c r="N347">
        <v>2</v>
      </c>
      <c r="O347" s="1">
        <f>+Tabla__192.168.1.8_POSEIDONSQL_APPFVT_01_tbl_detalle_fill_rate[[#This Row],[emb_cantidad]]-Tabla__192.168.1.8_POSEIDONSQL_APPFVT_01_tbl_detalle_fill_rate[[#This Row],[dev_cantidad]]</f>
        <v>1</v>
      </c>
      <c r="P3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7" s="1">
        <f>+Tabla__192.168.1.8_POSEIDONSQL_APPFVT_01_tbl_detalle_fill_rate[[#This Row],[Cumpl Real Unds]]-Tabla__192.168.1.8_POSEIDONSQL_APPFVT_01_tbl_detalle_fill_rate[[#This Row],[Cant Embarcada]]</f>
        <v>0</v>
      </c>
      <c r="S347" s="1">
        <f>+IF(Tabla__192.168.1.8_POSEIDONSQL_APPFVT_01_tbl_detalle_fill_rate[[#This Row],[Pend Emb]]&gt;0,1,0)</f>
        <v>0</v>
      </c>
      <c r="T3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8" spans="1:20" x14ac:dyDescent="0.25">
      <c r="A348">
        <v>3</v>
      </c>
      <c r="B348" t="s">
        <v>50</v>
      </c>
      <c r="C348">
        <v>50052041</v>
      </c>
      <c r="D348" s="48">
        <v>43349</v>
      </c>
      <c r="E348" s="48">
        <v>43348</v>
      </c>
      <c r="F348" s="48">
        <v>43364</v>
      </c>
      <c r="G348" t="s">
        <v>199</v>
      </c>
      <c r="H348" t="s">
        <v>200</v>
      </c>
      <c r="I348">
        <v>1</v>
      </c>
      <c r="J348" t="s">
        <v>1528</v>
      </c>
      <c r="K348">
        <v>2</v>
      </c>
      <c r="L348">
        <v>4</v>
      </c>
      <c r="M348" t="s">
        <v>423</v>
      </c>
      <c r="N348">
        <v>3</v>
      </c>
      <c r="O348" s="1">
        <f>+Tabla__192.168.1.8_POSEIDONSQL_APPFVT_01_tbl_detalle_fill_rate[[#This Row],[emb_cantidad]]-Tabla__192.168.1.8_POSEIDONSQL_APPFVT_01_tbl_detalle_fill_rate[[#This Row],[dev_cantidad]]</f>
        <v>1</v>
      </c>
      <c r="P3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3</v>
      </c>
      <c r="Q3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8" s="1">
        <f>+Tabla__192.168.1.8_POSEIDONSQL_APPFVT_01_tbl_detalle_fill_rate[[#This Row],[Cumpl Real Unds]]-Tabla__192.168.1.8_POSEIDONSQL_APPFVT_01_tbl_detalle_fill_rate[[#This Row],[Cant Embarcada]]</f>
        <v>0</v>
      </c>
      <c r="S348" s="1">
        <f>+IF(Tabla__192.168.1.8_POSEIDONSQL_APPFVT_01_tbl_detalle_fill_rate[[#This Row],[Pend Emb]]&gt;0,1,0)</f>
        <v>0</v>
      </c>
      <c r="T3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49" spans="1:20" x14ac:dyDescent="0.25">
      <c r="A349">
        <v>3</v>
      </c>
      <c r="B349" t="s">
        <v>50</v>
      </c>
      <c r="C349">
        <v>50052042</v>
      </c>
      <c r="D349" s="48">
        <v>43349</v>
      </c>
      <c r="E349" s="48">
        <v>43348</v>
      </c>
      <c r="F349" s="48">
        <v>43363</v>
      </c>
      <c r="G349" t="s">
        <v>92</v>
      </c>
      <c r="H349" t="s">
        <v>93</v>
      </c>
      <c r="I349">
        <v>1</v>
      </c>
      <c r="J349" t="s">
        <v>1835</v>
      </c>
      <c r="K349">
        <v>1</v>
      </c>
      <c r="L349">
        <v>3</v>
      </c>
      <c r="M349" t="s">
        <v>415</v>
      </c>
      <c r="N349">
        <v>2</v>
      </c>
      <c r="O349" s="1">
        <f>+Tabla__192.168.1.8_POSEIDONSQL_APPFVT_01_tbl_detalle_fill_rate[[#This Row],[emb_cantidad]]-Tabla__192.168.1.8_POSEIDONSQL_APPFVT_01_tbl_detalle_fill_rate[[#This Row],[dev_cantidad]]</f>
        <v>1</v>
      </c>
      <c r="P3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49" s="1">
        <f>+Tabla__192.168.1.8_POSEIDONSQL_APPFVT_01_tbl_detalle_fill_rate[[#This Row],[Cumpl Real Unds]]-Tabla__192.168.1.8_POSEIDONSQL_APPFVT_01_tbl_detalle_fill_rate[[#This Row],[Cant Embarcada]]</f>
        <v>0</v>
      </c>
      <c r="S349" s="1">
        <f>+IF(Tabla__192.168.1.8_POSEIDONSQL_APPFVT_01_tbl_detalle_fill_rate[[#This Row],[Pend Emb]]&gt;0,1,0)</f>
        <v>0</v>
      </c>
      <c r="T3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0" spans="1:20" x14ac:dyDescent="0.25">
      <c r="A350">
        <v>3</v>
      </c>
      <c r="B350" t="s">
        <v>50</v>
      </c>
      <c r="C350">
        <v>50052042</v>
      </c>
      <c r="D350" s="48">
        <v>43349</v>
      </c>
      <c r="E350" s="48">
        <v>43348</v>
      </c>
      <c r="F350" s="48">
        <v>43363</v>
      </c>
      <c r="G350" t="s">
        <v>92</v>
      </c>
      <c r="H350" t="s">
        <v>93</v>
      </c>
      <c r="I350">
        <v>1</v>
      </c>
      <c r="J350" t="s">
        <v>1836</v>
      </c>
      <c r="K350">
        <v>1</v>
      </c>
      <c r="L350">
        <v>3</v>
      </c>
      <c r="M350" t="s">
        <v>415</v>
      </c>
      <c r="N350">
        <v>2</v>
      </c>
      <c r="O350" s="1">
        <f>+Tabla__192.168.1.8_POSEIDONSQL_APPFVT_01_tbl_detalle_fill_rate[[#This Row],[emb_cantidad]]-Tabla__192.168.1.8_POSEIDONSQL_APPFVT_01_tbl_detalle_fill_rate[[#This Row],[dev_cantidad]]</f>
        <v>1</v>
      </c>
      <c r="P3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0" s="1">
        <f>+Tabla__192.168.1.8_POSEIDONSQL_APPFVT_01_tbl_detalle_fill_rate[[#This Row],[Cumpl Real Unds]]-Tabla__192.168.1.8_POSEIDONSQL_APPFVT_01_tbl_detalle_fill_rate[[#This Row],[Cant Embarcada]]</f>
        <v>0</v>
      </c>
      <c r="S350" s="1">
        <f>+IF(Tabla__192.168.1.8_POSEIDONSQL_APPFVT_01_tbl_detalle_fill_rate[[#This Row],[Pend Emb]]&gt;0,1,0)</f>
        <v>0</v>
      </c>
      <c r="T3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1" spans="1:20" x14ac:dyDescent="0.25">
      <c r="A351">
        <v>3</v>
      </c>
      <c r="B351" t="s">
        <v>50</v>
      </c>
      <c r="C351">
        <v>50052042</v>
      </c>
      <c r="D351" s="48">
        <v>43349</v>
      </c>
      <c r="E351" s="48">
        <v>43348</v>
      </c>
      <c r="F351" s="48">
        <v>43363</v>
      </c>
      <c r="G351" t="s">
        <v>112</v>
      </c>
      <c r="H351" t="s">
        <v>113</v>
      </c>
      <c r="I351">
        <v>1</v>
      </c>
      <c r="J351" t="s">
        <v>1837</v>
      </c>
      <c r="K351">
        <v>1</v>
      </c>
      <c r="L351">
        <v>3</v>
      </c>
      <c r="M351" t="s">
        <v>415</v>
      </c>
      <c r="N351">
        <v>2</v>
      </c>
      <c r="O351" s="1">
        <f>+Tabla__192.168.1.8_POSEIDONSQL_APPFVT_01_tbl_detalle_fill_rate[[#This Row],[emb_cantidad]]-Tabla__192.168.1.8_POSEIDONSQL_APPFVT_01_tbl_detalle_fill_rate[[#This Row],[dev_cantidad]]</f>
        <v>1</v>
      </c>
      <c r="P3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3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1" s="1">
        <f>+Tabla__192.168.1.8_POSEIDONSQL_APPFVT_01_tbl_detalle_fill_rate[[#This Row],[Cumpl Real Unds]]-Tabla__192.168.1.8_POSEIDONSQL_APPFVT_01_tbl_detalle_fill_rate[[#This Row],[Cant Embarcada]]</f>
        <v>0</v>
      </c>
      <c r="S351" s="1">
        <f>+IF(Tabla__192.168.1.8_POSEIDONSQL_APPFVT_01_tbl_detalle_fill_rate[[#This Row],[Pend Emb]]&gt;0,1,0)</f>
        <v>0</v>
      </c>
      <c r="T3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2" spans="1:20" x14ac:dyDescent="0.25">
      <c r="A352">
        <v>3</v>
      </c>
      <c r="B352" t="s">
        <v>50</v>
      </c>
      <c r="C352">
        <v>50052088</v>
      </c>
      <c r="D352" s="48">
        <v>43350</v>
      </c>
      <c r="E352" s="48">
        <v>43349</v>
      </c>
      <c r="F352" s="48">
        <v>43363</v>
      </c>
      <c r="G352" t="s">
        <v>114</v>
      </c>
      <c r="H352" t="s">
        <v>115</v>
      </c>
      <c r="I352">
        <v>1</v>
      </c>
      <c r="J352" t="s">
        <v>1479</v>
      </c>
      <c r="K352">
        <v>1</v>
      </c>
      <c r="L352">
        <v>2</v>
      </c>
      <c r="M352" t="s">
        <v>415</v>
      </c>
      <c r="N352">
        <v>1</v>
      </c>
      <c r="O352" s="1">
        <f>+Tabla__192.168.1.8_POSEIDONSQL_APPFVT_01_tbl_detalle_fill_rate[[#This Row],[emb_cantidad]]-Tabla__192.168.1.8_POSEIDONSQL_APPFVT_01_tbl_detalle_fill_rate[[#This Row],[dev_cantidad]]</f>
        <v>1</v>
      </c>
      <c r="P3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2" s="1">
        <f>+Tabla__192.168.1.8_POSEIDONSQL_APPFVT_01_tbl_detalle_fill_rate[[#This Row],[Cumpl Real Unds]]-Tabla__192.168.1.8_POSEIDONSQL_APPFVT_01_tbl_detalle_fill_rate[[#This Row],[Cant Embarcada]]</f>
        <v>0</v>
      </c>
      <c r="S352" s="1">
        <f>+IF(Tabla__192.168.1.8_POSEIDONSQL_APPFVT_01_tbl_detalle_fill_rate[[#This Row],[Pend Emb]]&gt;0,1,0)</f>
        <v>0</v>
      </c>
      <c r="T3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3" spans="1:20" x14ac:dyDescent="0.25">
      <c r="A353">
        <v>3</v>
      </c>
      <c r="B353" t="s">
        <v>50</v>
      </c>
      <c r="C353">
        <v>50052088</v>
      </c>
      <c r="D353" s="48">
        <v>43350</v>
      </c>
      <c r="E353" s="48">
        <v>43349</v>
      </c>
      <c r="F353" s="48">
        <v>43368</v>
      </c>
      <c r="G353" t="s">
        <v>134</v>
      </c>
      <c r="H353" t="s">
        <v>135</v>
      </c>
      <c r="I353">
        <v>1</v>
      </c>
      <c r="J353" t="s">
        <v>1480</v>
      </c>
      <c r="K353">
        <v>1</v>
      </c>
      <c r="L353">
        <v>2</v>
      </c>
      <c r="M353" t="s">
        <v>415</v>
      </c>
      <c r="N353">
        <v>1</v>
      </c>
      <c r="O353" s="1">
        <f>+Tabla__192.168.1.8_POSEIDONSQL_APPFVT_01_tbl_detalle_fill_rate[[#This Row],[emb_cantidad]]-Tabla__192.168.1.8_POSEIDONSQL_APPFVT_01_tbl_detalle_fill_rate[[#This Row],[dev_cantidad]]</f>
        <v>1</v>
      </c>
      <c r="P3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3" s="1">
        <f>+Tabla__192.168.1.8_POSEIDONSQL_APPFVT_01_tbl_detalle_fill_rate[[#This Row],[Cumpl Real Unds]]-Tabla__192.168.1.8_POSEIDONSQL_APPFVT_01_tbl_detalle_fill_rate[[#This Row],[Cant Embarcada]]</f>
        <v>0</v>
      </c>
      <c r="S353" s="1">
        <f>+IF(Tabla__192.168.1.8_POSEIDONSQL_APPFVT_01_tbl_detalle_fill_rate[[#This Row],[Pend Emb]]&gt;0,1,0)</f>
        <v>0</v>
      </c>
      <c r="T3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4" spans="1:20" x14ac:dyDescent="0.25">
      <c r="A354">
        <v>3</v>
      </c>
      <c r="B354" t="s">
        <v>50</v>
      </c>
      <c r="C354">
        <v>50052089</v>
      </c>
      <c r="D354" s="48">
        <v>43350</v>
      </c>
      <c r="E354" s="48">
        <v>43349</v>
      </c>
      <c r="F354" s="48">
        <v>43368</v>
      </c>
      <c r="G354" t="s">
        <v>92</v>
      </c>
      <c r="H354" t="s">
        <v>93</v>
      </c>
      <c r="I354">
        <v>1</v>
      </c>
      <c r="J354" t="s">
        <v>1483</v>
      </c>
      <c r="K354">
        <v>1</v>
      </c>
      <c r="L354">
        <v>2</v>
      </c>
      <c r="M354" t="s">
        <v>415</v>
      </c>
      <c r="N354">
        <v>1</v>
      </c>
      <c r="O354" s="1">
        <f>+Tabla__192.168.1.8_POSEIDONSQL_APPFVT_01_tbl_detalle_fill_rate[[#This Row],[emb_cantidad]]-Tabla__192.168.1.8_POSEIDONSQL_APPFVT_01_tbl_detalle_fill_rate[[#This Row],[dev_cantidad]]</f>
        <v>1</v>
      </c>
      <c r="P3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4" s="1">
        <f>+Tabla__192.168.1.8_POSEIDONSQL_APPFVT_01_tbl_detalle_fill_rate[[#This Row],[Cumpl Real Unds]]-Tabla__192.168.1.8_POSEIDONSQL_APPFVT_01_tbl_detalle_fill_rate[[#This Row],[Cant Embarcada]]</f>
        <v>0</v>
      </c>
      <c r="S354" s="1">
        <f>+IF(Tabla__192.168.1.8_POSEIDONSQL_APPFVT_01_tbl_detalle_fill_rate[[#This Row],[Pend Emb]]&gt;0,1,0)</f>
        <v>0</v>
      </c>
      <c r="T3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5" spans="1:20" x14ac:dyDescent="0.25">
      <c r="A355">
        <v>3</v>
      </c>
      <c r="B355" t="s">
        <v>50</v>
      </c>
      <c r="C355">
        <v>50052089</v>
      </c>
      <c r="D355" s="48">
        <v>43350</v>
      </c>
      <c r="E355" s="48">
        <v>43349</v>
      </c>
      <c r="F355" s="48">
        <v>43363</v>
      </c>
      <c r="G355" t="s">
        <v>92</v>
      </c>
      <c r="H355" t="s">
        <v>93</v>
      </c>
      <c r="I355">
        <v>1</v>
      </c>
      <c r="J355" t="s">
        <v>1481</v>
      </c>
      <c r="K355">
        <v>1</v>
      </c>
      <c r="L355">
        <v>2</v>
      </c>
      <c r="M355" t="s">
        <v>415</v>
      </c>
      <c r="N355">
        <v>1</v>
      </c>
      <c r="O355" s="1">
        <f>+Tabla__192.168.1.8_POSEIDONSQL_APPFVT_01_tbl_detalle_fill_rate[[#This Row],[emb_cantidad]]-Tabla__192.168.1.8_POSEIDONSQL_APPFVT_01_tbl_detalle_fill_rate[[#This Row],[dev_cantidad]]</f>
        <v>1</v>
      </c>
      <c r="P3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5" s="1">
        <f>+Tabla__192.168.1.8_POSEIDONSQL_APPFVT_01_tbl_detalle_fill_rate[[#This Row],[Cumpl Real Unds]]-Tabla__192.168.1.8_POSEIDONSQL_APPFVT_01_tbl_detalle_fill_rate[[#This Row],[Cant Embarcada]]</f>
        <v>0</v>
      </c>
      <c r="S355" s="1">
        <f>+IF(Tabla__192.168.1.8_POSEIDONSQL_APPFVT_01_tbl_detalle_fill_rate[[#This Row],[Pend Emb]]&gt;0,1,0)</f>
        <v>0</v>
      </c>
      <c r="T3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6" spans="1:20" x14ac:dyDescent="0.25">
      <c r="A356">
        <v>3</v>
      </c>
      <c r="B356" t="s">
        <v>50</v>
      </c>
      <c r="C356">
        <v>50052089</v>
      </c>
      <c r="D356" s="48">
        <v>43350</v>
      </c>
      <c r="E356" s="48">
        <v>43349</v>
      </c>
      <c r="F356" s="48">
        <v>43363</v>
      </c>
      <c r="G356" t="s">
        <v>92</v>
      </c>
      <c r="H356" t="s">
        <v>93</v>
      </c>
      <c r="I356">
        <v>1</v>
      </c>
      <c r="J356" t="s">
        <v>1482</v>
      </c>
      <c r="K356">
        <v>1</v>
      </c>
      <c r="L356">
        <v>2</v>
      </c>
      <c r="M356" t="s">
        <v>415</v>
      </c>
      <c r="N356">
        <v>1</v>
      </c>
      <c r="O356" s="1">
        <f>+Tabla__192.168.1.8_POSEIDONSQL_APPFVT_01_tbl_detalle_fill_rate[[#This Row],[emb_cantidad]]-Tabla__192.168.1.8_POSEIDONSQL_APPFVT_01_tbl_detalle_fill_rate[[#This Row],[dev_cantidad]]</f>
        <v>1</v>
      </c>
      <c r="P3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6" s="1">
        <f>+Tabla__192.168.1.8_POSEIDONSQL_APPFVT_01_tbl_detalle_fill_rate[[#This Row],[Cumpl Real Unds]]-Tabla__192.168.1.8_POSEIDONSQL_APPFVT_01_tbl_detalle_fill_rate[[#This Row],[Cant Embarcada]]</f>
        <v>0</v>
      </c>
      <c r="S356" s="1">
        <f>+IF(Tabla__192.168.1.8_POSEIDONSQL_APPFVT_01_tbl_detalle_fill_rate[[#This Row],[Pend Emb]]&gt;0,1,0)</f>
        <v>0</v>
      </c>
      <c r="T3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7" spans="1:20" x14ac:dyDescent="0.25">
      <c r="A357">
        <v>3</v>
      </c>
      <c r="B357" t="s">
        <v>50</v>
      </c>
      <c r="C357">
        <v>50052132</v>
      </c>
      <c r="D357" s="48">
        <v>43353</v>
      </c>
      <c r="E357" s="48">
        <v>43350</v>
      </c>
      <c r="F357" s="48">
        <v>43363</v>
      </c>
      <c r="G357" t="s">
        <v>84</v>
      </c>
      <c r="H357" t="s">
        <v>85</v>
      </c>
      <c r="I357">
        <v>1</v>
      </c>
      <c r="J357" t="s">
        <v>1324</v>
      </c>
      <c r="K357">
        <v>1</v>
      </c>
      <c r="L357">
        <v>2</v>
      </c>
      <c r="M357" t="s">
        <v>415</v>
      </c>
      <c r="N357">
        <v>1</v>
      </c>
      <c r="O357" s="1">
        <f>+Tabla__192.168.1.8_POSEIDONSQL_APPFVT_01_tbl_detalle_fill_rate[[#This Row],[emb_cantidad]]-Tabla__192.168.1.8_POSEIDONSQL_APPFVT_01_tbl_detalle_fill_rate[[#This Row],[dev_cantidad]]</f>
        <v>1</v>
      </c>
      <c r="P3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7" s="1">
        <f>+Tabla__192.168.1.8_POSEIDONSQL_APPFVT_01_tbl_detalle_fill_rate[[#This Row],[Cumpl Real Unds]]-Tabla__192.168.1.8_POSEIDONSQL_APPFVT_01_tbl_detalle_fill_rate[[#This Row],[Cant Embarcada]]</f>
        <v>0</v>
      </c>
      <c r="S357" s="1">
        <f>+IF(Tabla__192.168.1.8_POSEIDONSQL_APPFVT_01_tbl_detalle_fill_rate[[#This Row],[Pend Emb]]&gt;0,1,0)</f>
        <v>0</v>
      </c>
      <c r="T3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8" spans="1:20" x14ac:dyDescent="0.25">
      <c r="A358">
        <v>3</v>
      </c>
      <c r="B358" t="s">
        <v>50</v>
      </c>
      <c r="C358">
        <v>50052132</v>
      </c>
      <c r="D358" s="48">
        <v>43353</v>
      </c>
      <c r="E358" s="48">
        <v>43350</v>
      </c>
      <c r="F358" s="48">
        <v>43363</v>
      </c>
      <c r="G358" t="s">
        <v>92</v>
      </c>
      <c r="H358" t="s">
        <v>93</v>
      </c>
      <c r="I358">
        <v>1</v>
      </c>
      <c r="J358" t="s">
        <v>1325</v>
      </c>
      <c r="K358">
        <v>1</v>
      </c>
      <c r="L358">
        <v>2</v>
      </c>
      <c r="M358" t="s">
        <v>415</v>
      </c>
      <c r="N358">
        <v>1</v>
      </c>
      <c r="O358" s="1">
        <f>+Tabla__192.168.1.8_POSEIDONSQL_APPFVT_01_tbl_detalle_fill_rate[[#This Row],[emb_cantidad]]-Tabla__192.168.1.8_POSEIDONSQL_APPFVT_01_tbl_detalle_fill_rate[[#This Row],[dev_cantidad]]</f>
        <v>1</v>
      </c>
      <c r="P3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8" s="1">
        <f>+Tabla__192.168.1.8_POSEIDONSQL_APPFVT_01_tbl_detalle_fill_rate[[#This Row],[Cumpl Real Unds]]-Tabla__192.168.1.8_POSEIDONSQL_APPFVT_01_tbl_detalle_fill_rate[[#This Row],[Cant Embarcada]]</f>
        <v>0</v>
      </c>
      <c r="S358" s="1">
        <f>+IF(Tabla__192.168.1.8_POSEIDONSQL_APPFVT_01_tbl_detalle_fill_rate[[#This Row],[Pend Emb]]&gt;0,1,0)</f>
        <v>0</v>
      </c>
      <c r="T3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59" spans="1:20" x14ac:dyDescent="0.25">
      <c r="A359">
        <v>3</v>
      </c>
      <c r="B359" t="s">
        <v>50</v>
      </c>
      <c r="C359">
        <v>50052132</v>
      </c>
      <c r="D359" s="48">
        <v>43353</v>
      </c>
      <c r="E359" s="48">
        <v>43350</v>
      </c>
      <c r="F359" s="48">
        <v>43363</v>
      </c>
      <c r="G359" t="s">
        <v>92</v>
      </c>
      <c r="H359" t="s">
        <v>93</v>
      </c>
      <c r="I359">
        <v>1</v>
      </c>
      <c r="J359" t="s">
        <v>1326</v>
      </c>
      <c r="K359">
        <v>1</v>
      </c>
      <c r="L359">
        <v>2</v>
      </c>
      <c r="M359" t="s">
        <v>415</v>
      </c>
      <c r="N359">
        <v>1</v>
      </c>
      <c r="O359" s="1">
        <f>+Tabla__192.168.1.8_POSEIDONSQL_APPFVT_01_tbl_detalle_fill_rate[[#This Row],[emb_cantidad]]-Tabla__192.168.1.8_POSEIDONSQL_APPFVT_01_tbl_detalle_fill_rate[[#This Row],[dev_cantidad]]</f>
        <v>1</v>
      </c>
      <c r="P3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59" s="1">
        <f>+Tabla__192.168.1.8_POSEIDONSQL_APPFVT_01_tbl_detalle_fill_rate[[#This Row],[Cumpl Real Unds]]-Tabla__192.168.1.8_POSEIDONSQL_APPFVT_01_tbl_detalle_fill_rate[[#This Row],[Cant Embarcada]]</f>
        <v>0</v>
      </c>
      <c r="S359" s="1">
        <f>+IF(Tabla__192.168.1.8_POSEIDONSQL_APPFVT_01_tbl_detalle_fill_rate[[#This Row],[Pend Emb]]&gt;0,1,0)</f>
        <v>0</v>
      </c>
      <c r="T3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0" spans="1:20" x14ac:dyDescent="0.25">
      <c r="A360">
        <v>3</v>
      </c>
      <c r="B360" t="s">
        <v>50</v>
      </c>
      <c r="C360">
        <v>50052171</v>
      </c>
      <c r="D360" s="48">
        <v>43353</v>
      </c>
      <c r="E360" s="48">
        <v>43351</v>
      </c>
      <c r="F360" s="48">
        <v>43368</v>
      </c>
      <c r="G360" t="s">
        <v>92</v>
      </c>
      <c r="H360" t="s">
        <v>93</v>
      </c>
      <c r="I360">
        <v>1</v>
      </c>
      <c r="J360" t="s">
        <v>1475</v>
      </c>
      <c r="K360">
        <v>1</v>
      </c>
      <c r="L360">
        <v>2</v>
      </c>
      <c r="M360" t="s">
        <v>415</v>
      </c>
      <c r="N360">
        <v>1</v>
      </c>
      <c r="O360" s="1">
        <f>+Tabla__192.168.1.8_POSEIDONSQL_APPFVT_01_tbl_detalle_fill_rate[[#This Row],[emb_cantidad]]-Tabla__192.168.1.8_POSEIDONSQL_APPFVT_01_tbl_detalle_fill_rate[[#This Row],[dev_cantidad]]</f>
        <v>1</v>
      </c>
      <c r="P3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0" s="1">
        <f>+Tabla__192.168.1.8_POSEIDONSQL_APPFVT_01_tbl_detalle_fill_rate[[#This Row],[Cumpl Real Unds]]-Tabla__192.168.1.8_POSEIDONSQL_APPFVT_01_tbl_detalle_fill_rate[[#This Row],[Cant Embarcada]]</f>
        <v>0</v>
      </c>
      <c r="S360" s="1">
        <f>+IF(Tabla__192.168.1.8_POSEIDONSQL_APPFVT_01_tbl_detalle_fill_rate[[#This Row],[Pend Emb]]&gt;0,1,0)</f>
        <v>0</v>
      </c>
      <c r="T3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1" spans="1:20" x14ac:dyDescent="0.25">
      <c r="A361">
        <v>3</v>
      </c>
      <c r="B361" t="s">
        <v>50</v>
      </c>
      <c r="C361">
        <v>50052171</v>
      </c>
      <c r="D361" s="48">
        <v>43353</v>
      </c>
      <c r="E361" s="48">
        <v>43351</v>
      </c>
      <c r="F361" s="48">
        <v>43363</v>
      </c>
      <c r="G361" t="s">
        <v>92</v>
      </c>
      <c r="H361" t="s">
        <v>93</v>
      </c>
      <c r="I361">
        <v>1</v>
      </c>
      <c r="J361" t="s">
        <v>1473</v>
      </c>
      <c r="K361">
        <v>1</v>
      </c>
      <c r="L361">
        <v>2</v>
      </c>
      <c r="M361" t="s">
        <v>415</v>
      </c>
      <c r="N361">
        <v>1</v>
      </c>
      <c r="O361" s="1">
        <f>+Tabla__192.168.1.8_POSEIDONSQL_APPFVT_01_tbl_detalle_fill_rate[[#This Row],[emb_cantidad]]-Tabla__192.168.1.8_POSEIDONSQL_APPFVT_01_tbl_detalle_fill_rate[[#This Row],[dev_cantidad]]</f>
        <v>1</v>
      </c>
      <c r="P3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1" s="1">
        <f>+Tabla__192.168.1.8_POSEIDONSQL_APPFVT_01_tbl_detalle_fill_rate[[#This Row],[Cumpl Real Unds]]-Tabla__192.168.1.8_POSEIDONSQL_APPFVT_01_tbl_detalle_fill_rate[[#This Row],[Cant Embarcada]]</f>
        <v>0</v>
      </c>
      <c r="S361" s="1">
        <f>+IF(Tabla__192.168.1.8_POSEIDONSQL_APPFVT_01_tbl_detalle_fill_rate[[#This Row],[Pend Emb]]&gt;0,1,0)</f>
        <v>0</v>
      </c>
      <c r="T3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2" spans="1:20" x14ac:dyDescent="0.25">
      <c r="A362">
        <v>3</v>
      </c>
      <c r="B362" t="s">
        <v>50</v>
      </c>
      <c r="C362">
        <v>50052171</v>
      </c>
      <c r="D362" s="48">
        <v>43353</v>
      </c>
      <c r="E362" s="48">
        <v>43351</v>
      </c>
      <c r="F362" s="48">
        <v>43363</v>
      </c>
      <c r="G362" t="s">
        <v>92</v>
      </c>
      <c r="H362" t="s">
        <v>93</v>
      </c>
      <c r="I362">
        <v>1</v>
      </c>
      <c r="J362" t="s">
        <v>1474</v>
      </c>
      <c r="K362">
        <v>1</v>
      </c>
      <c r="L362">
        <v>2</v>
      </c>
      <c r="M362" t="s">
        <v>415</v>
      </c>
      <c r="N362">
        <v>1</v>
      </c>
      <c r="O362" s="1">
        <f>+Tabla__192.168.1.8_POSEIDONSQL_APPFVT_01_tbl_detalle_fill_rate[[#This Row],[emb_cantidad]]-Tabla__192.168.1.8_POSEIDONSQL_APPFVT_01_tbl_detalle_fill_rate[[#This Row],[dev_cantidad]]</f>
        <v>1</v>
      </c>
      <c r="P3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2" s="1">
        <f>+Tabla__192.168.1.8_POSEIDONSQL_APPFVT_01_tbl_detalle_fill_rate[[#This Row],[Cumpl Real Unds]]-Tabla__192.168.1.8_POSEIDONSQL_APPFVT_01_tbl_detalle_fill_rate[[#This Row],[Cant Embarcada]]</f>
        <v>0</v>
      </c>
      <c r="S362" s="1">
        <f>+IF(Tabla__192.168.1.8_POSEIDONSQL_APPFVT_01_tbl_detalle_fill_rate[[#This Row],[Pend Emb]]&gt;0,1,0)</f>
        <v>0</v>
      </c>
      <c r="T3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3" spans="1:20" x14ac:dyDescent="0.25">
      <c r="A363">
        <v>3</v>
      </c>
      <c r="B363" t="s">
        <v>50</v>
      </c>
      <c r="C363">
        <v>50052210</v>
      </c>
      <c r="D363" s="48">
        <v>43353</v>
      </c>
      <c r="E363" s="48">
        <v>43352</v>
      </c>
      <c r="F363" s="48">
        <v>43370</v>
      </c>
      <c r="G363" t="s">
        <v>92</v>
      </c>
      <c r="H363" t="s">
        <v>93</v>
      </c>
      <c r="I363">
        <v>1</v>
      </c>
      <c r="J363" t="s">
        <v>1477</v>
      </c>
      <c r="K363">
        <v>1</v>
      </c>
      <c r="L363">
        <v>2</v>
      </c>
      <c r="M363" t="s">
        <v>415</v>
      </c>
      <c r="N363">
        <v>1</v>
      </c>
      <c r="O363" s="1">
        <f>+Tabla__192.168.1.8_POSEIDONSQL_APPFVT_01_tbl_detalle_fill_rate[[#This Row],[emb_cantidad]]-Tabla__192.168.1.8_POSEIDONSQL_APPFVT_01_tbl_detalle_fill_rate[[#This Row],[dev_cantidad]]</f>
        <v>1</v>
      </c>
      <c r="P3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3" s="1">
        <f>+Tabla__192.168.1.8_POSEIDONSQL_APPFVT_01_tbl_detalle_fill_rate[[#This Row],[Cumpl Real Unds]]-Tabla__192.168.1.8_POSEIDONSQL_APPFVT_01_tbl_detalle_fill_rate[[#This Row],[Cant Embarcada]]</f>
        <v>0</v>
      </c>
      <c r="S363" s="1">
        <f>+IF(Tabla__192.168.1.8_POSEIDONSQL_APPFVT_01_tbl_detalle_fill_rate[[#This Row],[Pend Emb]]&gt;0,1,0)</f>
        <v>0</v>
      </c>
      <c r="T3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4" spans="1:20" x14ac:dyDescent="0.25">
      <c r="A364">
        <v>3</v>
      </c>
      <c r="B364" t="s">
        <v>50</v>
      </c>
      <c r="C364">
        <v>50052210</v>
      </c>
      <c r="D364" s="48">
        <v>43353</v>
      </c>
      <c r="E364" s="48">
        <v>43352</v>
      </c>
      <c r="F364" s="48">
        <v>43368</v>
      </c>
      <c r="G364" t="s">
        <v>306</v>
      </c>
      <c r="H364" t="s">
        <v>307</v>
      </c>
      <c r="I364">
        <v>1</v>
      </c>
      <c r="J364" t="s">
        <v>1476</v>
      </c>
      <c r="K364">
        <v>1</v>
      </c>
      <c r="L364">
        <v>2</v>
      </c>
      <c r="M364" t="s">
        <v>415</v>
      </c>
      <c r="N364">
        <v>1</v>
      </c>
      <c r="O364" s="1">
        <f>+Tabla__192.168.1.8_POSEIDONSQL_APPFVT_01_tbl_detalle_fill_rate[[#This Row],[emb_cantidad]]-Tabla__192.168.1.8_POSEIDONSQL_APPFVT_01_tbl_detalle_fill_rate[[#This Row],[dev_cantidad]]</f>
        <v>1</v>
      </c>
      <c r="P3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4" s="1">
        <f>+Tabla__192.168.1.8_POSEIDONSQL_APPFVT_01_tbl_detalle_fill_rate[[#This Row],[Cumpl Real Unds]]-Tabla__192.168.1.8_POSEIDONSQL_APPFVT_01_tbl_detalle_fill_rate[[#This Row],[Cant Embarcada]]</f>
        <v>0</v>
      </c>
      <c r="S364" s="1">
        <f>+IF(Tabla__192.168.1.8_POSEIDONSQL_APPFVT_01_tbl_detalle_fill_rate[[#This Row],[Pend Emb]]&gt;0,1,0)</f>
        <v>0</v>
      </c>
      <c r="T3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5" spans="1:20" x14ac:dyDescent="0.25">
      <c r="A365">
        <v>3</v>
      </c>
      <c r="B365" t="s">
        <v>50</v>
      </c>
      <c r="C365">
        <v>50052211</v>
      </c>
      <c r="D365" s="48">
        <v>43353</v>
      </c>
      <c r="E365" s="48">
        <v>43352</v>
      </c>
      <c r="F365" s="48">
        <v>43363</v>
      </c>
      <c r="G365" t="s">
        <v>92</v>
      </c>
      <c r="H365" t="s">
        <v>93</v>
      </c>
      <c r="I365">
        <v>1</v>
      </c>
      <c r="J365" t="s">
        <v>1478</v>
      </c>
      <c r="K365">
        <v>1</v>
      </c>
      <c r="L365">
        <v>2</v>
      </c>
      <c r="M365" t="s">
        <v>415</v>
      </c>
      <c r="N365">
        <v>1</v>
      </c>
      <c r="O365" s="1">
        <f>+Tabla__192.168.1.8_POSEIDONSQL_APPFVT_01_tbl_detalle_fill_rate[[#This Row],[emb_cantidad]]-Tabla__192.168.1.8_POSEIDONSQL_APPFVT_01_tbl_detalle_fill_rate[[#This Row],[dev_cantidad]]</f>
        <v>1</v>
      </c>
      <c r="P3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3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5" s="1">
        <f>+Tabla__192.168.1.8_POSEIDONSQL_APPFVT_01_tbl_detalle_fill_rate[[#This Row],[Cumpl Real Unds]]-Tabla__192.168.1.8_POSEIDONSQL_APPFVT_01_tbl_detalle_fill_rate[[#This Row],[Cant Embarcada]]</f>
        <v>0</v>
      </c>
      <c r="S365" s="1">
        <f>+IF(Tabla__192.168.1.8_POSEIDONSQL_APPFVT_01_tbl_detalle_fill_rate[[#This Row],[Pend Emb]]&gt;0,1,0)</f>
        <v>0</v>
      </c>
      <c r="T3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6" spans="1:20" x14ac:dyDescent="0.25">
      <c r="A366">
        <v>3</v>
      </c>
      <c r="B366" t="s">
        <v>50</v>
      </c>
      <c r="C366">
        <v>50052249</v>
      </c>
      <c r="D366" s="48">
        <v>43354</v>
      </c>
      <c r="E366" s="48">
        <v>43353</v>
      </c>
      <c r="F366" s="48">
        <v>43364</v>
      </c>
      <c r="G366" t="s">
        <v>62</v>
      </c>
      <c r="H366" t="s">
        <v>63</v>
      </c>
      <c r="I366">
        <v>1</v>
      </c>
      <c r="J366" t="s">
        <v>870</v>
      </c>
      <c r="K366">
        <v>1</v>
      </c>
      <c r="L366">
        <v>1</v>
      </c>
      <c r="M366" t="s">
        <v>422</v>
      </c>
      <c r="N366">
        <v>0</v>
      </c>
      <c r="O366" s="1">
        <f>+Tabla__192.168.1.8_POSEIDONSQL_APPFVT_01_tbl_detalle_fill_rate[[#This Row],[emb_cantidad]]-Tabla__192.168.1.8_POSEIDONSQL_APPFVT_01_tbl_detalle_fill_rate[[#This Row],[dev_cantidad]]</f>
        <v>1</v>
      </c>
      <c r="P3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6" s="1">
        <f>+Tabla__192.168.1.8_POSEIDONSQL_APPFVT_01_tbl_detalle_fill_rate[[#This Row],[Cumpl Real Unds]]-Tabla__192.168.1.8_POSEIDONSQL_APPFVT_01_tbl_detalle_fill_rate[[#This Row],[Cant Embarcada]]</f>
        <v>0</v>
      </c>
      <c r="S366" s="1">
        <f>+IF(Tabla__192.168.1.8_POSEIDONSQL_APPFVT_01_tbl_detalle_fill_rate[[#This Row],[Pend Emb]]&gt;0,1,0)</f>
        <v>0</v>
      </c>
      <c r="T3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7" spans="1:20" x14ac:dyDescent="0.25">
      <c r="A367">
        <v>3</v>
      </c>
      <c r="B367" t="s">
        <v>50</v>
      </c>
      <c r="C367">
        <v>50052249</v>
      </c>
      <c r="D367" s="48">
        <v>43354</v>
      </c>
      <c r="E367" s="48">
        <v>43353</v>
      </c>
      <c r="F367" s="48">
        <v>43363</v>
      </c>
      <c r="G367" t="s">
        <v>92</v>
      </c>
      <c r="H367" t="s">
        <v>93</v>
      </c>
      <c r="I367">
        <v>1</v>
      </c>
      <c r="J367" t="s">
        <v>869</v>
      </c>
      <c r="K367">
        <v>0</v>
      </c>
      <c r="L367">
        <v>0</v>
      </c>
      <c r="M367" t="s">
        <v>12</v>
      </c>
      <c r="N367">
        <v>0</v>
      </c>
      <c r="O367" s="1">
        <f>+Tabla__192.168.1.8_POSEIDONSQL_APPFVT_01_tbl_detalle_fill_rate[[#This Row],[emb_cantidad]]-Tabla__192.168.1.8_POSEIDONSQL_APPFVT_01_tbl_detalle_fill_rate[[#This Row],[dev_cantidad]]</f>
        <v>0</v>
      </c>
      <c r="P3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67" s="1">
        <f>+Tabla__192.168.1.8_POSEIDONSQL_APPFVT_01_tbl_detalle_fill_rate[[#This Row],[Cumpl Real Unds]]-Tabla__192.168.1.8_POSEIDONSQL_APPFVT_01_tbl_detalle_fill_rate[[#This Row],[Cant Embarcada]]</f>
        <v>0</v>
      </c>
      <c r="S367" s="1">
        <f>+IF(Tabla__192.168.1.8_POSEIDONSQL_APPFVT_01_tbl_detalle_fill_rate[[#This Row],[Pend Emb]]&gt;0,1,0)</f>
        <v>0</v>
      </c>
      <c r="T3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8" spans="1:20" x14ac:dyDescent="0.25">
      <c r="A368">
        <v>3</v>
      </c>
      <c r="B368" t="s">
        <v>50</v>
      </c>
      <c r="C368">
        <v>50052250</v>
      </c>
      <c r="D368" s="48">
        <v>43354</v>
      </c>
      <c r="E368" s="48">
        <v>43353</v>
      </c>
      <c r="F368" s="48">
        <v>43364</v>
      </c>
      <c r="G368" t="s">
        <v>84</v>
      </c>
      <c r="H368" t="s">
        <v>85</v>
      </c>
      <c r="I368">
        <v>1</v>
      </c>
      <c r="J368" t="s">
        <v>875</v>
      </c>
      <c r="K368">
        <v>1</v>
      </c>
      <c r="L368">
        <v>1</v>
      </c>
      <c r="M368" t="s">
        <v>422</v>
      </c>
      <c r="N368">
        <v>0</v>
      </c>
      <c r="O368" s="1">
        <f>+Tabla__192.168.1.8_POSEIDONSQL_APPFVT_01_tbl_detalle_fill_rate[[#This Row],[emb_cantidad]]-Tabla__192.168.1.8_POSEIDONSQL_APPFVT_01_tbl_detalle_fill_rate[[#This Row],[dev_cantidad]]</f>
        <v>1</v>
      </c>
      <c r="P3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68" s="1">
        <f>+Tabla__192.168.1.8_POSEIDONSQL_APPFVT_01_tbl_detalle_fill_rate[[#This Row],[Cumpl Real Unds]]-Tabla__192.168.1.8_POSEIDONSQL_APPFVT_01_tbl_detalle_fill_rate[[#This Row],[Cant Embarcada]]</f>
        <v>0</v>
      </c>
      <c r="S368" s="1">
        <f>+IF(Tabla__192.168.1.8_POSEIDONSQL_APPFVT_01_tbl_detalle_fill_rate[[#This Row],[Pend Emb]]&gt;0,1,0)</f>
        <v>0</v>
      </c>
      <c r="T3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69" spans="1:20" x14ac:dyDescent="0.25">
      <c r="A369">
        <v>3</v>
      </c>
      <c r="B369" t="s">
        <v>50</v>
      </c>
      <c r="C369">
        <v>50052250</v>
      </c>
      <c r="D369" s="48">
        <v>43354</v>
      </c>
      <c r="E369" s="48">
        <v>43353</v>
      </c>
      <c r="F369" s="48">
        <v>43363</v>
      </c>
      <c r="G369" t="s">
        <v>92</v>
      </c>
      <c r="H369" t="s">
        <v>93</v>
      </c>
      <c r="I369">
        <v>1</v>
      </c>
      <c r="J369" t="s">
        <v>871</v>
      </c>
      <c r="K369">
        <v>0</v>
      </c>
      <c r="L369">
        <v>0</v>
      </c>
      <c r="M369" t="s">
        <v>12</v>
      </c>
      <c r="N369">
        <v>0</v>
      </c>
      <c r="O369" s="1">
        <f>+Tabla__192.168.1.8_POSEIDONSQL_APPFVT_01_tbl_detalle_fill_rate[[#This Row],[emb_cantidad]]-Tabla__192.168.1.8_POSEIDONSQL_APPFVT_01_tbl_detalle_fill_rate[[#This Row],[dev_cantidad]]</f>
        <v>0</v>
      </c>
      <c r="P3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69" s="1">
        <f>+Tabla__192.168.1.8_POSEIDONSQL_APPFVT_01_tbl_detalle_fill_rate[[#This Row],[Cumpl Real Unds]]-Tabla__192.168.1.8_POSEIDONSQL_APPFVT_01_tbl_detalle_fill_rate[[#This Row],[Cant Embarcada]]</f>
        <v>0</v>
      </c>
      <c r="S369" s="1">
        <f>+IF(Tabla__192.168.1.8_POSEIDONSQL_APPFVT_01_tbl_detalle_fill_rate[[#This Row],[Pend Emb]]&gt;0,1,0)</f>
        <v>0</v>
      </c>
      <c r="T3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0" spans="1:20" x14ac:dyDescent="0.25">
      <c r="A370">
        <v>3</v>
      </c>
      <c r="B370" t="s">
        <v>50</v>
      </c>
      <c r="C370">
        <v>50052250</v>
      </c>
      <c r="D370" s="48">
        <v>43354</v>
      </c>
      <c r="E370" s="48">
        <v>43353</v>
      </c>
      <c r="F370" s="48">
        <v>43363</v>
      </c>
      <c r="G370" t="s">
        <v>92</v>
      </c>
      <c r="H370" t="s">
        <v>93</v>
      </c>
      <c r="I370">
        <v>1</v>
      </c>
      <c r="J370" t="s">
        <v>872</v>
      </c>
      <c r="K370">
        <v>0</v>
      </c>
      <c r="L370">
        <v>0</v>
      </c>
      <c r="M370" t="s">
        <v>12</v>
      </c>
      <c r="N370">
        <v>0</v>
      </c>
      <c r="O370" s="1">
        <f>+Tabla__192.168.1.8_POSEIDONSQL_APPFVT_01_tbl_detalle_fill_rate[[#This Row],[emb_cantidad]]-Tabla__192.168.1.8_POSEIDONSQL_APPFVT_01_tbl_detalle_fill_rate[[#This Row],[dev_cantidad]]</f>
        <v>0</v>
      </c>
      <c r="P3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70" s="1">
        <f>+Tabla__192.168.1.8_POSEIDONSQL_APPFVT_01_tbl_detalle_fill_rate[[#This Row],[Cumpl Real Unds]]-Tabla__192.168.1.8_POSEIDONSQL_APPFVT_01_tbl_detalle_fill_rate[[#This Row],[Cant Embarcada]]</f>
        <v>0</v>
      </c>
      <c r="S370" s="1">
        <f>+IF(Tabla__192.168.1.8_POSEIDONSQL_APPFVT_01_tbl_detalle_fill_rate[[#This Row],[Pend Emb]]&gt;0,1,0)</f>
        <v>0</v>
      </c>
      <c r="T3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1" spans="1:20" x14ac:dyDescent="0.25">
      <c r="A371">
        <v>3</v>
      </c>
      <c r="B371" t="s">
        <v>50</v>
      </c>
      <c r="C371">
        <v>50052250</v>
      </c>
      <c r="D371" s="48">
        <v>43354</v>
      </c>
      <c r="E371" s="48">
        <v>43353</v>
      </c>
      <c r="F371" s="48">
        <v>43363</v>
      </c>
      <c r="G371" t="s">
        <v>104</v>
      </c>
      <c r="H371" t="s">
        <v>105</v>
      </c>
      <c r="I371">
        <v>1</v>
      </c>
      <c r="J371" t="s">
        <v>873</v>
      </c>
      <c r="K371">
        <v>1</v>
      </c>
      <c r="L371">
        <v>1</v>
      </c>
      <c r="M371" t="s">
        <v>422</v>
      </c>
      <c r="N371">
        <v>0</v>
      </c>
      <c r="O371" s="1">
        <f>+Tabla__192.168.1.8_POSEIDONSQL_APPFVT_01_tbl_detalle_fill_rate[[#This Row],[emb_cantidad]]-Tabla__192.168.1.8_POSEIDONSQL_APPFVT_01_tbl_detalle_fill_rate[[#This Row],[dev_cantidad]]</f>
        <v>1</v>
      </c>
      <c r="P3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1" s="1">
        <f>+Tabla__192.168.1.8_POSEIDONSQL_APPFVT_01_tbl_detalle_fill_rate[[#This Row],[Cumpl Real Unds]]-Tabla__192.168.1.8_POSEIDONSQL_APPFVT_01_tbl_detalle_fill_rate[[#This Row],[Cant Embarcada]]</f>
        <v>0</v>
      </c>
      <c r="S371" s="1">
        <f>+IF(Tabla__192.168.1.8_POSEIDONSQL_APPFVT_01_tbl_detalle_fill_rate[[#This Row],[Pend Emb]]&gt;0,1,0)</f>
        <v>0</v>
      </c>
      <c r="T3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2" spans="1:20" x14ac:dyDescent="0.25">
      <c r="A372">
        <v>3</v>
      </c>
      <c r="B372" t="s">
        <v>50</v>
      </c>
      <c r="C372">
        <v>50052250</v>
      </c>
      <c r="D372" s="48">
        <v>43354</v>
      </c>
      <c r="E372" s="48">
        <v>43353</v>
      </c>
      <c r="F372" s="48">
        <v>43363</v>
      </c>
      <c r="G372" t="s">
        <v>104</v>
      </c>
      <c r="H372" t="s">
        <v>105</v>
      </c>
      <c r="I372">
        <v>1</v>
      </c>
      <c r="J372" t="s">
        <v>874</v>
      </c>
      <c r="K372">
        <v>1</v>
      </c>
      <c r="L372">
        <v>1</v>
      </c>
      <c r="M372" t="s">
        <v>422</v>
      </c>
      <c r="N372">
        <v>0</v>
      </c>
      <c r="O372" s="1">
        <f>+Tabla__192.168.1.8_POSEIDONSQL_APPFVT_01_tbl_detalle_fill_rate[[#This Row],[emb_cantidad]]-Tabla__192.168.1.8_POSEIDONSQL_APPFVT_01_tbl_detalle_fill_rate[[#This Row],[dev_cantidad]]</f>
        <v>1</v>
      </c>
      <c r="P3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2" s="1">
        <f>+Tabla__192.168.1.8_POSEIDONSQL_APPFVT_01_tbl_detalle_fill_rate[[#This Row],[Cumpl Real Unds]]-Tabla__192.168.1.8_POSEIDONSQL_APPFVT_01_tbl_detalle_fill_rate[[#This Row],[Cant Embarcada]]</f>
        <v>0</v>
      </c>
      <c r="S372" s="1">
        <f>+IF(Tabla__192.168.1.8_POSEIDONSQL_APPFVT_01_tbl_detalle_fill_rate[[#This Row],[Pend Emb]]&gt;0,1,0)</f>
        <v>0</v>
      </c>
      <c r="T3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3" spans="1:20" x14ac:dyDescent="0.25">
      <c r="A373">
        <v>3</v>
      </c>
      <c r="B373" t="s">
        <v>50</v>
      </c>
      <c r="C373">
        <v>50052296</v>
      </c>
      <c r="D373" s="48">
        <v>43355</v>
      </c>
      <c r="E373" s="48">
        <v>43354</v>
      </c>
      <c r="F373" s="48">
        <v>43364</v>
      </c>
      <c r="G373" t="s">
        <v>92</v>
      </c>
      <c r="H373" t="s">
        <v>93</v>
      </c>
      <c r="I373">
        <v>1</v>
      </c>
      <c r="J373" t="s">
        <v>645</v>
      </c>
      <c r="K373">
        <v>0</v>
      </c>
      <c r="L373">
        <v>0</v>
      </c>
      <c r="M373" t="s">
        <v>12</v>
      </c>
      <c r="N373">
        <v>0</v>
      </c>
      <c r="O373" s="1">
        <f>+Tabla__192.168.1.8_POSEIDONSQL_APPFVT_01_tbl_detalle_fill_rate[[#This Row],[emb_cantidad]]-Tabla__192.168.1.8_POSEIDONSQL_APPFVT_01_tbl_detalle_fill_rate[[#This Row],[dev_cantidad]]</f>
        <v>0</v>
      </c>
      <c r="P3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373" s="1">
        <f>+Tabla__192.168.1.8_POSEIDONSQL_APPFVT_01_tbl_detalle_fill_rate[[#This Row],[Cumpl Real Unds]]-Tabla__192.168.1.8_POSEIDONSQL_APPFVT_01_tbl_detalle_fill_rate[[#This Row],[Cant Embarcada]]</f>
        <v>0</v>
      </c>
      <c r="S373" s="1">
        <f>+IF(Tabla__192.168.1.8_POSEIDONSQL_APPFVT_01_tbl_detalle_fill_rate[[#This Row],[Pend Emb]]&gt;0,1,0)</f>
        <v>0</v>
      </c>
      <c r="T3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4" spans="1:20" x14ac:dyDescent="0.25">
      <c r="A374">
        <v>9</v>
      </c>
      <c r="B374" t="s">
        <v>48</v>
      </c>
      <c r="C374">
        <v>9185362</v>
      </c>
      <c r="D374" s="48">
        <v>43329</v>
      </c>
      <c r="E374" s="48">
        <v>1</v>
      </c>
      <c r="F374" s="48">
        <v>43339</v>
      </c>
      <c r="G374" t="s">
        <v>240</v>
      </c>
      <c r="H374" t="s">
        <v>241</v>
      </c>
      <c r="I374">
        <v>1</v>
      </c>
      <c r="J374" t="s">
        <v>686</v>
      </c>
      <c r="K374">
        <v>1</v>
      </c>
      <c r="L374">
        <v>1</v>
      </c>
      <c r="M374" t="s">
        <v>1980</v>
      </c>
      <c r="N374">
        <v>0</v>
      </c>
      <c r="O374" s="1">
        <f>+Tabla__192.168.1.8_POSEIDONSQL_APPFVT_01_tbl_detalle_fill_rate[[#This Row],[emb_cantidad]]-Tabla__192.168.1.8_POSEIDONSQL_APPFVT_01_tbl_detalle_fill_rate[[#This Row],[dev_cantidad]]</f>
        <v>1</v>
      </c>
      <c r="P3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4" s="1">
        <f>+Tabla__192.168.1.8_POSEIDONSQL_APPFVT_01_tbl_detalle_fill_rate[[#This Row],[Cumpl Real Unds]]-Tabla__192.168.1.8_POSEIDONSQL_APPFVT_01_tbl_detalle_fill_rate[[#This Row],[Cant Embarcada]]</f>
        <v>0</v>
      </c>
      <c r="S374" s="1">
        <f>+IF(Tabla__192.168.1.8_POSEIDONSQL_APPFVT_01_tbl_detalle_fill_rate[[#This Row],[Pend Emb]]&gt;0,1,0)</f>
        <v>0</v>
      </c>
      <c r="T3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5" spans="1:20" x14ac:dyDescent="0.25">
      <c r="A375">
        <v>9</v>
      </c>
      <c r="B375" t="s">
        <v>48</v>
      </c>
      <c r="C375">
        <v>9185644</v>
      </c>
      <c r="D375" s="48">
        <v>43329</v>
      </c>
      <c r="E375" s="48">
        <v>1</v>
      </c>
      <c r="F375" s="48">
        <v>43341</v>
      </c>
      <c r="G375" t="s">
        <v>92</v>
      </c>
      <c r="H375" t="s">
        <v>93</v>
      </c>
      <c r="I375">
        <v>1</v>
      </c>
      <c r="J375" t="s">
        <v>692</v>
      </c>
      <c r="K375">
        <v>1</v>
      </c>
      <c r="L375">
        <v>1</v>
      </c>
      <c r="M375" t="s">
        <v>1980</v>
      </c>
      <c r="N375">
        <v>0</v>
      </c>
      <c r="O375" s="1">
        <f>+Tabla__192.168.1.8_POSEIDONSQL_APPFVT_01_tbl_detalle_fill_rate[[#This Row],[emb_cantidad]]-Tabla__192.168.1.8_POSEIDONSQL_APPFVT_01_tbl_detalle_fill_rate[[#This Row],[dev_cantidad]]</f>
        <v>1</v>
      </c>
      <c r="P3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5" s="1">
        <f>+Tabla__192.168.1.8_POSEIDONSQL_APPFVT_01_tbl_detalle_fill_rate[[#This Row],[Cumpl Real Unds]]-Tabla__192.168.1.8_POSEIDONSQL_APPFVT_01_tbl_detalle_fill_rate[[#This Row],[Cant Embarcada]]</f>
        <v>0</v>
      </c>
      <c r="S375" s="1">
        <f>+IF(Tabla__192.168.1.8_POSEIDONSQL_APPFVT_01_tbl_detalle_fill_rate[[#This Row],[Pend Emb]]&gt;0,1,0)</f>
        <v>0</v>
      </c>
      <c r="T3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6" spans="1:20" x14ac:dyDescent="0.25">
      <c r="A376">
        <v>9</v>
      </c>
      <c r="B376" t="s">
        <v>48</v>
      </c>
      <c r="C376">
        <v>9185855</v>
      </c>
      <c r="D376" s="48">
        <v>43332</v>
      </c>
      <c r="E376" s="48">
        <v>43329</v>
      </c>
      <c r="F376" s="48">
        <v>43339</v>
      </c>
      <c r="G376" t="s">
        <v>240</v>
      </c>
      <c r="H376" t="s">
        <v>241</v>
      </c>
      <c r="I376">
        <v>1</v>
      </c>
      <c r="J376" t="s">
        <v>687</v>
      </c>
      <c r="K376">
        <v>1</v>
      </c>
      <c r="L376">
        <v>1</v>
      </c>
      <c r="M376" t="s">
        <v>1980</v>
      </c>
      <c r="N376">
        <v>0</v>
      </c>
      <c r="O376" s="1">
        <f>+Tabla__192.168.1.8_POSEIDONSQL_APPFVT_01_tbl_detalle_fill_rate[[#This Row],[emb_cantidad]]-Tabla__192.168.1.8_POSEIDONSQL_APPFVT_01_tbl_detalle_fill_rate[[#This Row],[dev_cantidad]]</f>
        <v>1</v>
      </c>
      <c r="P3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6" s="1">
        <f>+Tabla__192.168.1.8_POSEIDONSQL_APPFVT_01_tbl_detalle_fill_rate[[#This Row],[Cumpl Real Unds]]-Tabla__192.168.1.8_POSEIDONSQL_APPFVT_01_tbl_detalle_fill_rate[[#This Row],[Cant Embarcada]]</f>
        <v>0</v>
      </c>
      <c r="S376" s="1">
        <f>+IF(Tabla__192.168.1.8_POSEIDONSQL_APPFVT_01_tbl_detalle_fill_rate[[#This Row],[Pend Emb]]&gt;0,1,0)</f>
        <v>0</v>
      </c>
      <c r="T3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7" spans="1:20" x14ac:dyDescent="0.25">
      <c r="A377">
        <v>9</v>
      </c>
      <c r="B377" t="s">
        <v>48</v>
      </c>
      <c r="C377">
        <v>9185897</v>
      </c>
      <c r="D377" s="48">
        <v>43332</v>
      </c>
      <c r="E377" s="48">
        <v>43329</v>
      </c>
      <c r="F377" s="48">
        <v>43341</v>
      </c>
      <c r="G377" t="s">
        <v>240</v>
      </c>
      <c r="H377" t="s">
        <v>241</v>
      </c>
      <c r="I377">
        <v>1</v>
      </c>
      <c r="J377" t="s">
        <v>693</v>
      </c>
      <c r="K377">
        <v>1</v>
      </c>
      <c r="L377">
        <v>1</v>
      </c>
      <c r="M377" t="s">
        <v>1980</v>
      </c>
      <c r="N377">
        <v>0</v>
      </c>
      <c r="O377" s="1">
        <f>+Tabla__192.168.1.8_POSEIDONSQL_APPFVT_01_tbl_detalle_fill_rate[[#This Row],[emb_cantidad]]-Tabla__192.168.1.8_POSEIDONSQL_APPFVT_01_tbl_detalle_fill_rate[[#This Row],[dev_cantidad]]</f>
        <v>1</v>
      </c>
      <c r="P3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7" s="1">
        <f>+Tabla__192.168.1.8_POSEIDONSQL_APPFVT_01_tbl_detalle_fill_rate[[#This Row],[Cumpl Real Unds]]-Tabla__192.168.1.8_POSEIDONSQL_APPFVT_01_tbl_detalle_fill_rate[[#This Row],[Cant Embarcada]]</f>
        <v>0</v>
      </c>
      <c r="S377" s="1">
        <f>+IF(Tabla__192.168.1.8_POSEIDONSQL_APPFVT_01_tbl_detalle_fill_rate[[#This Row],[Pend Emb]]&gt;0,1,0)</f>
        <v>0</v>
      </c>
      <c r="T3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8" spans="1:20" x14ac:dyDescent="0.25">
      <c r="A378">
        <v>9</v>
      </c>
      <c r="B378" t="s">
        <v>48</v>
      </c>
      <c r="C378">
        <v>9186055</v>
      </c>
      <c r="D378" s="48">
        <v>43332</v>
      </c>
      <c r="E378" s="48">
        <v>43329</v>
      </c>
      <c r="F378" s="48">
        <v>43341</v>
      </c>
      <c r="G378" t="s">
        <v>403</v>
      </c>
      <c r="H378" t="s">
        <v>404</v>
      </c>
      <c r="I378">
        <v>1</v>
      </c>
      <c r="J378" t="s">
        <v>694</v>
      </c>
      <c r="K378">
        <v>1</v>
      </c>
      <c r="L378">
        <v>1</v>
      </c>
      <c r="M378" t="s">
        <v>1980</v>
      </c>
      <c r="N378">
        <v>0</v>
      </c>
      <c r="O378" s="1">
        <f>+Tabla__192.168.1.8_POSEIDONSQL_APPFVT_01_tbl_detalle_fill_rate[[#This Row],[emb_cantidad]]-Tabla__192.168.1.8_POSEIDONSQL_APPFVT_01_tbl_detalle_fill_rate[[#This Row],[dev_cantidad]]</f>
        <v>1</v>
      </c>
      <c r="P3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8" s="1">
        <f>+Tabla__192.168.1.8_POSEIDONSQL_APPFVT_01_tbl_detalle_fill_rate[[#This Row],[Cumpl Real Unds]]-Tabla__192.168.1.8_POSEIDONSQL_APPFVT_01_tbl_detalle_fill_rate[[#This Row],[Cant Embarcada]]</f>
        <v>0</v>
      </c>
      <c r="S378" s="1">
        <f>+IF(Tabla__192.168.1.8_POSEIDONSQL_APPFVT_01_tbl_detalle_fill_rate[[#This Row],[Pend Emb]]&gt;0,1,0)</f>
        <v>0</v>
      </c>
      <c r="T3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79" spans="1:20" x14ac:dyDescent="0.25">
      <c r="A379">
        <v>9</v>
      </c>
      <c r="B379" t="s">
        <v>48</v>
      </c>
      <c r="C379">
        <v>9186444</v>
      </c>
      <c r="D379" s="48">
        <v>43332</v>
      </c>
      <c r="E379" s="48">
        <v>43330</v>
      </c>
      <c r="F379" s="48">
        <v>43343</v>
      </c>
      <c r="G379" t="s">
        <v>240</v>
      </c>
      <c r="H379" t="s">
        <v>241</v>
      </c>
      <c r="I379">
        <v>1</v>
      </c>
      <c r="J379" t="s">
        <v>699</v>
      </c>
      <c r="K379">
        <v>1</v>
      </c>
      <c r="L379">
        <v>1</v>
      </c>
      <c r="M379" t="s">
        <v>1962</v>
      </c>
      <c r="N379">
        <v>0</v>
      </c>
      <c r="O379" s="1">
        <f>+Tabla__192.168.1.8_POSEIDONSQL_APPFVT_01_tbl_detalle_fill_rate[[#This Row],[emb_cantidad]]-Tabla__192.168.1.8_POSEIDONSQL_APPFVT_01_tbl_detalle_fill_rate[[#This Row],[dev_cantidad]]</f>
        <v>1</v>
      </c>
      <c r="P3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79" s="1">
        <f>+Tabla__192.168.1.8_POSEIDONSQL_APPFVT_01_tbl_detalle_fill_rate[[#This Row],[Cumpl Real Unds]]-Tabla__192.168.1.8_POSEIDONSQL_APPFVT_01_tbl_detalle_fill_rate[[#This Row],[Cant Embarcada]]</f>
        <v>0</v>
      </c>
      <c r="S379" s="1">
        <f>+IF(Tabla__192.168.1.8_POSEIDONSQL_APPFVT_01_tbl_detalle_fill_rate[[#This Row],[Pend Emb]]&gt;0,1,0)</f>
        <v>0</v>
      </c>
      <c r="T3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0" spans="1:20" x14ac:dyDescent="0.25">
      <c r="A380">
        <v>9</v>
      </c>
      <c r="B380" t="s">
        <v>48</v>
      </c>
      <c r="C380">
        <v>9186487</v>
      </c>
      <c r="D380" s="48">
        <v>43332</v>
      </c>
      <c r="E380" s="48">
        <v>43330</v>
      </c>
      <c r="F380" s="48">
        <v>43343</v>
      </c>
      <c r="G380" t="s">
        <v>240</v>
      </c>
      <c r="H380" t="s">
        <v>241</v>
      </c>
      <c r="I380">
        <v>1</v>
      </c>
      <c r="J380" t="s">
        <v>700</v>
      </c>
      <c r="K380">
        <v>1</v>
      </c>
      <c r="L380">
        <v>1</v>
      </c>
      <c r="M380" t="s">
        <v>1962</v>
      </c>
      <c r="N380">
        <v>0</v>
      </c>
      <c r="O380" s="1">
        <f>+Tabla__192.168.1.8_POSEIDONSQL_APPFVT_01_tbl_detalle_fill_rate[[#This Row],[emb_cantidad]]-Tabla__192.168.1.8_POSEIDONSQL_APPFVT_01_tbl_detalle_fill_rate[[#This Row],[dev_cantidad]]</f>
        <v>1</v>
      </c>
      <c r="P3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0" s="1">
        <f>+Tabla__192.168.1.8_POSEIDONSQL_APPFVT_01_tbl_detalle_fill_rate[[#This Row],[Cumpl Real Unds]]-Tabla__192.168.1.8_POSEIDONSQL_APPFVT_01_tbl_detalle_fill_rate[[#This Row],[Cant Embarcada]]</f>
        <v>0</v>
      </c>
      <c r="S380" s="1">
        <f>+IF(Tabla__192.168.1.8_POSEIDONSQL_APPFVT_01_tbl_detalle_fill_rate[[#This Row],[Pend Emb]]&gt;0,1,0)</f>
        <v>0</v>
      </c>
      <c r="T3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1" spans="1:20" x14ac:dyDescent="0.25">
      <c r="A381">
        <v>9</v>
      </c>
      <c r="B381" t="s">
        <v>48</v>
      </c>
      <c r="C381">
        <v>9186487</v>
      </c>
      <c r="D381" s="48">
        <v>43332</v>
      </c>
      <c r="E381" s="48">
        <v>43330</v>
      </c>
      <c r="F381" s="48">
        <v>43343</v>
      </c>
      <c r="G381" t="s">
        <v>240</v>
      </c>
      <c r="H381" t="s">
        <v>241</v>
      </c>
      <c r="I381">
        <v>1</v>
      </c>
      <c r="J381" t="s">
        <v>701</v>
      </c>
      <c r="K381">
        <v>1</v>
      </c>
      <c r="L381">
        <v>1</v>
      </c>
      <c r="M381" t="s">
        <v>1962</v>
      </c>
      <c r="N381">
        <v>0</v>
      </c>
      <c r="O381" s="1">
        <f>+Tabla__192.168.1.8_POSEIDONSQL_APPFVT_01_tbl_detalle_fill_rate[[#This Row],[emb_cantidad]]-Tabla__192.168.1.8_POSEIDONSQL_APPFVT_01_tbl_detalle_fill_rate[[#This Row],[dev_cantidad]]</f>
        <v>1</v>
      </c>
      <c r="P3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1" s="1">
        <f>+Tabla__192.168.1.8_POSEIDONSQL_APPFVT_01_tbl_detalle_fill_rate[[#This Row],[Cumpl Real Unds]]-Tabla__192.168.1.8_POSEIDONSQL_APPFVT_01_tbl_detalle_fill_rate[[#This Row],[Cant Embarcada]]</f>
        <v>0</v>
      </c>
      <c r="S381" s="1">
        <f>+IF(Tabla__192.168.1.8_POSEIDONSQL_APPFVT_01_tbl_detalle_fill_rate[[#This Row],[Pend Emb]]&gt;0,1,0)</f>
        <v>0</v>
      </c>
      <c r="T3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2" spans="1:20" x14ac:dyDescent="0.25">
      <c r="A382">
        <v>9</v>
      </c>
      <c r="B382" t="s">
        <v>48</v>
      </c>
      <c r="C382">
        <v>9186487</v>
      </c>
      <c r="D382" s="48">
        <v>43332</v>
      </c>
      <c r="E382" s="48">
        <v>43330</v>
      </c>
      <c r="F382" s="48">
        <v>43343</v>
      </c>
      <c r="G382" t="s">
        <v>240</v>
      </c>
      <c r="H382" t="s">
        <v>241</v>
      </c>
      <c r="I382">
        <v>1</v>
      </c>
      <c r="J382" t="s">
        <v>702</v>
      </c>
      <c r="K382">
        <v>1</v>
      </c>
      <c r="L382">
        <v>1</v>
      </c>
      <c r="M382" t="s">
        <v>1962</v>
      </c>
      <c r="N382">
        <v>0</v>
      </c>
      <c r="O382" s="1">
        <f>+Tabla__192.168.1.8_POSEIDONSQL_APPFVT_01_tbl_detalle_fill_rate[[#This Row],[emb_cantidad]]-Tabla__192.168.1.8_POSEIDONSQL_APPFVT_01_tbl_detalle_fill_rate[[#This Row],[dev_cantidad]]</f>
        <v>1</v>
      </c>
      <c r="P3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2" s="1">
        <f>+Tabla__192.168.1.8_POSEIDONSQL_APPFVT_01_tbl_detalle_fill_rate[[#This Row],[Cumpl Real Unds]]-Tabla__192.168.1.8_POSEIDONSQL_APPFVT_01_tbl_detalle_fill_rate[[#This Row],[Cant Embarcada]]</f>
        <v>0</v>
      </c>
      <c r="S382" s="1">
        <f>+IF(Tabla__192.168.1.8_POSEIDONSQL_APPFVT_01_tbl_detalle_fill_rate[[#This Row],[Pend Emb]]&gt;0,1,0)</f>
        <v>0</v>
      </c>
      <c r="T3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3" spans="1:20" x14ac:dyDescent="0.25">
      <c r="A383">
        <v>9</v>
      </c>
      <c r="B383" t="s">
        <v>48</v>
      </c>
      <c r="C383">
        <v>9186762</v>
      </c>
      <c r="D383" s="48">
        <v>43332</v>
      </c>
      <c r="E383" s="48">
        <v>43331</v>
      </c>
      <c r="F383" s="48">
        <v>43339</v>
      </c>
      <c r="G383" t="s">
        <v>474</v>
      </c>
      <c r="H383" t="s">
        <v>475</v>
      </c>
      <c r="I383">
        <v>1</v>
      </c>
      <c r="J383" t="s">
        <v>476</v>
      </c>
      <c r="K383">
        <v>1</v>
      </c>
      <c r="L383">
        <v>1</v>
      </c>
      <c r="M383" t="s">
        <v>1971</v>
      </c>
      <c r="N383">
        <v>0</v>
      </c>
      <c r="O383" s="1">
        <f>+Tabla__192.168.1.8_POSEIDONSQL_APPFVT_01_tbl_detalle_fill_rate[[#This Row],[emb_cantidad]]-Tabla__192.168.1.8_POSEIDONSQL_APPFVT_01_tbl_detalle_fill_rate[[#This Row],[dev_cantidad]]</f>
        <v>1</v>
      </c>
      <c r="P3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3" s="1">
        <f>+Tabla__192.168.1.8_POSEIDONSQL_APPFVT_01_tbl_detalle_fill_rate[[#This Row],[Cumpl Real Unds]]-Tabla__192.168.1.8_POSEIDONSQL_APPFVT_01_tbl_detalle_fill_rate[[#This Row],[Cant Embarcada]]</f>
        <v>0</v>
      </c>
      <c r="S383" s="1">
        <f>+IF(Tabla__192.168.1.8_POSEIDONSQL_APPFVT_01_tbl_detalle_fill_rate[[#This Row],[Pend Emb]]&gt;0,1,0)</f>
        <v>0</v>
      </c>
      <c r="T3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4" spans="1:20" x14ac:dyDescent="0.25">
      <c r="A384">
        <v>9</v>
      </c>
      <c r="B384" t="s">
        <v>48</v>
      </c>
      <c r="C384">
        <v>9186762</v>
      </c>
      <c r="D384" s="48">
        <v>43332</v>
      </c>
      <c r="E384" s="48">
        <v>43331</v>
      </c>
      <c r="F384" s="48">
        <v>43339</v>
      </c>
      <c r="G384" t="s">
        <v>108</v>
      </c>
      <c r="H384" t="s">
        <v>109</v>
      </c>
      <c r="I384">
        <v>1</v>
      </c>
      <c r="J384" t="s">
        <v>477</v>
      </c>
      <c r="K384">
        <v>1</v>
      </c>
      <c r="L384">
        <v>1</v>
      </c>
      <c r="M384" t="s">
        <v>1971</v>
      </c>
      <c r="N384">
        <v>0</v>
      </c>
      <c r="O384" s="1">
        <f>+Tabla__192.168.1.8_POSEIDONSQL_APPFVT_01_tbl_detalle_fill_rate[[#This Row],[emb_cantidad]]-Tabla__192.168.1.8_POSEIDONSQL_APPFVT_01_tbl_detalle_fill_rate[[#This Row],[dev_cantidad]]</f>
        <v>1</v>
      </c>
      <c r="P3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4" s="1">
        <f>+Tabla__192.168.1.8_POSEIDONSQL_APPFVT_01_tbl_detalle_fill_rate[[#This Row],[Cumpl Real Unds]]-Tabla__192.168.1.8_POSEIDONSQL_APPFVT_01_tbl_detalle_fill_rate[[#This Row],[Cant Embarcada]]</f>
        <v>0</v>
      </c>
      <c r="S384" s="1">
        <f>+IF(Tabla__192.168.1.8_POSEIDONSQL_APPFVT_01_tbl_detalle_fill_rate[[#This Row],[Pend Emb]]&gt;0,1,0)</f>
        <v>0</v>
      </c>
      <c r="T3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5" spans="1:20" x14ac:dyDescent="0.25">
      <c r="A385">
        <v>9</v>
      </c>
      <c r="B385" t="s">
        <v>48</v>
      </c>
      <c r="C385">
        <v>9186763</v>
      </c>
      <c r="D385" s="48">
        <v>43332</v>
      </c>
      <c r="E385" s="48">
        <v>43331</v>
      </c>
      <c r="F385" s="48">
        <v>43343</v>
      </c>
      <c r="G385" t="s">
        <v>240</v>
      </c>
      <c r="H385" t="s">
        <v>241</v>
      </c>
      <c r="I385">
        <v>1</v>
      </c>
      <c r="J385" t="s">
        <v>703</v>
      </c>
      <c r="K385">
        <v>1</v>
      </c>
      <c r="L385">
        <v>1</v>
      </c>
      <c r="M385" t="s">
        <v>1962</v>
      </c>
      <c r="N385">
        <v>0</v>
      </c>
      <c r="O385" s="1">
        <f>+Tabla__192.168.1.8_POSEIDONSQL_APPFVT_01_tbl_detalle_fill_rate[[#This Row],[emb_cantidad]]-Tabla__192.168.1.8_POSEIDONSQL_APPFVT_01_tbl_detalle_fill_rate[[#This Row],[dev_cantidad]]</f>
        <v>1</v>
      </c>
      <c r="P3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5" s="1">
        <f>+Tabla__192.168.1.8_POSEIDONSQL_APPFVT_01_tbl_detalle_fill_rate[[#This Row],[Cumpl Real Unds]]-Tabla__192.168.1.8_POSEIDONSQL_APPFVT_01_tbl_detalle_fill_rate[[#This Row],[Cant Embarcada]]</f>
        <v>0</v>
      </c>
      <c r="S385" s="1">
        <f>+IF(Tabla__192.168.1.8_POSEIDONSQL_APPFVT_01_tbl_detalle_fill_rate[[#This Row],[Pend Emb]]&gt;0,1,0)</f>
        <v>0</v>
      </c>
      <c r="T3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6" spans="1:20" x14ac:dyDescent="0.25">
      <c r="A386">
        <v>9</v>
      </c>
      <c r="B386" t="s">
        <v>48</v>
      </c>
      <c r="C386">
        <v>9186889</v>
      </c>
      <c r="D386" s="48">
        <v>43332</v>
      </c>
      <c r="E386" s="48">
        <v>43331</v>
      </c>
      <c r="F386" s="48">
        <v>43341</v>
      </c>
      <c r="G386" t="s">
        <v>62</v>
      </c>
      <c r="H386" t="s">
        <v>63</v>
      </c>
      <c r="I386">
        <v>1</v>
      </c>
      <c r="J386" t="s">
        <v>691</v>
      </c>
      <c r="K386">
        <v>1</v>
      </c>
      <c r="L386">
        <v>1</v>
      </c>
      <c r="M386" t="s">
        <v>1980</v>
      </c>
      <c r="N386">
        <v>0</v>
      </c>
      <c r="O386" s="1">
        <f>+Tabla__192.168.1.8_POSEIDONSQL_APPFVT_01_tbl_detalle_fill_rate[[#This Row],[emb_cantidad]]-Tabla__192.168.1.8_POSEIDONSQL_APPFVT_01_tbl_detalle_fill_rate[[#This Row],[dev_cantidad]]</f>
        <v>1</v>
      </c>
      <c r="P3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6" s="1">
        <f>+Tabla__192.168.1.8_POSEIDONSQL_APPFVT_01_tbl_detalle_fill_rate[[#This Row],[Cumpl Real Unds]]-Tabla__192.168.1.8_POSEIDONSQL_APPFVT_01_tbl_detalle_fill_rate[[#This Row],[Cant Embarcada]]</f>
        <v>0</v>
      </c>
      <c r="S386" s="1">
        <f>+IF(Tabla__192.168.1.8_POSEIDONSQL_APPFVT_01_tbl_detalle_fill_rate[[#This Row],[Pend Emb]]&gt;0,1,0)</f>
        <v>0</v>
      </c>
      <c r="T3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7" spans="1:20" x14ac:dyDescent="0.25">
      <c r="A387">
        <v>9</v>
      </c>
      <c r="B387" t="s">
        <v>48</v>
      </c>
      <c r="C387">
        <v>9186889</v>
      </c>
      <c r="D387" s="48">
        <v>43332</v>
      </c>
      <c r="E387" s="48">
        <v>43331</v>
      </c>
      <c r="F387" s="48">
        <v>43339</v>
      </c>
      <c r="G387" t="s">
        <v>76</v>
      </c>
      <c r="H387" t="s">
        <v>77</v>
      </c>
      <c r="I387">
        <v>1</v>
      </c>
      <c r="J387" t="s">
        <v>478</v>
      </c>
      <c r="K387">
        <v>1</v>
      </c>
      <c r="L387">
        <v>1</v>
      </c>
      <c r="M387" t="s">
        <v>1971</v>
      </c>
      <c r="N387">
        <v>0</v>
      </c>
      <c r="O387" s="1">
        <f>+Tabla__192.168.1.8_POSEIDONSQL_APPFVT_01_tbl_detalle_fill_rate[[#This Row],[emb_cantidad]]-Tabla__192.168.1.8_POSEIDONSQL_APPFVT_01_tbl_detalle_fill_rate[[#This Row],[dev_cantidad]]</f>
        <v>1</v>
      </c>
      <c r="P3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7" s="1">
        <f>+Tabla__192.168.1.8_POSEIDONSQL_APPFVT_01_tbl_detalle_fill_rate[[#This Row],[Cumpl Real Unds]]-Tabla__192.168.1.8_POSEIDONSQL_APPFVT_01_tbl_detalle_fill_rate[[#This Row],[Cant Embarcada]]</f>
        <v>0</v>
      </c>
      <c r="S387" s="1">
        <f>+IF(Tabla__192.168.1.8_POSEIDONSQL_APPFVT_01_tbl_detalle_fill_rate[[#This Row],[Pend Emb]]&gt;0,1,0)</f>
        <v>0</v>
      </c>
      <c r="T3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8" spans="1:20" x14ac:dyDescent="0.25">
      <c r="A388">
        <v>9</v>
      </c>
      <c r="B388" t="s">
        <v>48</v>
      </c>
      <c r="C388">
        <v>9186889</v>
      </c>
      <c r="D388" s="48">
        <v>43332</v>
      </c>
      <c r="E388" s="48">
        <v>43331</v>
      </c>
      <c r="F388" s="48">
        <v>43339</v>
      </c>
      <c r="G388" t="s">
        <v>92</v>
      </c>
      <c r="H388" t="s">
        <v>93</v>
      </c>
      <c r="I388">
        <v>1</v>
      </c>
      <c r="J388" t="s">
        <v>480</v>
      </c>
      <c r="K388">
        <v>1</v>
      </c>
      <c r="L388">
        <v>1</v>
      </c>
      <c r="M388" t="s">
        <v>1971</v>
      </c>
      <c r="N388">
        <v>0</v>
      </c>
      <c r="O388" s="1">
        <f>+Tabla__192.168.1.8_POSEIDONSQL_APPFVT_01_tbl_detalle_fill_rate[[#This Row],[emb_cantidad]]-Tabla__192.168.1.8_POSEIDONSQL_APPFVT_01_tbl_detalle_fill_rate[[#This Row],[dev_cantidad]]</f>
        <v>1</v>
      </c>
      <c r="P3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8" s="1">
        <f>+Tabla__192.168.1.8_POSEIDONSQL_APPFVT_01_tbl_detalle_fill_rate[[#This Row],[Cumpl Real Unds]]-Tabla__192.168.1.8_POSEIDONSQL_APPFVT_01_tbl_detalle_fill_rate[[#This Row],[Cant Embarcada]]</f>
        <v>0</v>
      </c>
      <c r="S388" s="1">
        <f>+IF(Tabla__192.168.1.8_POSEIDONSQL_APPFVT_01_tbl_detalle_fill_rate[[#This Row],[Pend Emb]]&gt;0,1,0)</f>
        <v>0</v>
      </c>
      <c r="T3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89" spans="1:20" x14ac:dyDescent="0.25">
      <c r="A389">
        <v>9</v>
      </c>
      <c r="B389" t="s">
        <v>48</v>
      </c>
      <c r="C389">
        <v>9186889</v>
      </c>
      <c r="D389" s="48">
        <v>43332</v>
      </c>
      <c r="E389" s="48">
        <v>43331</v>
      </c>
      <c r="F389" s="48">
        <v>43339</v>
      </c>
      <c r="G389" t="s">
        <v>104</v>
      </c>
      <c r="H389" t="s">
        <v>105</v>
      </c>
      <c r="I389">
        <v>1</v>
      </c>
      <c r="J389" t="s">
        <v>479</v>
      </c>
      <c r="K389">
        <v>1</v>
      </c>
      <c r="L389">
        <v>1</v>
      </c>
      <c r="M389" t="s">
        <v>1971</v>
      </c>
      <c r="N389">
        <v>0</v>
      </c>
      <c r="O389" s="1">
        <f>+Tabla__192.168.1.8_POSEIDONSQL_APPFVT_01_tbl_detalle_fill_rate[[#This Row],[emb_cantidad]]-Tabla__192.168.1.8_POSEIDONSQL_APPFVT_01_tbl_detalle_fill_rate[[#This Row],[dev_cantidad]]</f>
        <v>1</v>
      </c>
      <c r="P3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89" s="1">
        <f>+Tabla__192.168.1.8_POSEIDONSQL_APPFVT_01_tbl_detalle_fill_rate[[#This Row],[Cumpl Real Unds]]-Tabla__192.168.1.8_POSEIDONSQL_APPFVT_01_tbl_detalle_fill_rate[[#This Row],[Cant Embarcada]]</f>
        <v>0</v>
      </c>
      <c r="S389" s="1">
        <f>+IF(Tabla__192.168.1.8_POSEIDONSQL_APPFVT_01_tbl_detalle_fill_rate[[#This Row],[Pend Emb]]&gt;0,1,0)</f>
        <v>0</v>
      </c>
      <c r="T3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0" spans="1:20" x14ac:dyDescent="0.25">
      <c r="A390">
        <v>9</v>
      </c>
      <c r="B390" t="s">
        <v>48</v>
      </c>
      <c r="C390">
        <v>9186889</v>
      </c>
      <c r="D390" s="48">
        <v>43332</v>
      </c>
      <c r="E390" s="48">
        <v>43331</v>
      </c>
      <c r="F390" s="48">
        <v>43339</v>
      </c>
      <c r="G390" t="s">
        <v>106</v>
      </c>
      <c r="H390" t="s">
        <v>107</v>
      </c>
      <c r="I390">
        <v>1</v>
      </c>
      <c r="J390" t="s">
        <v>481</v>
      </c>
      <c r="K390">
        <v>1</v>
      </c>
      <c r="L390">
        <v>1</v>
      </c>
      <c r="M390" t="s">
        <v>1971</v>
      </c>
      <c r="N390">
        <v>0</v>
      </c>
      <c r="O390" s="1">
        <f>+Tabla__192.168.1.8_POSEIDONSQL_APPFVT_01_tbl_detalle_fill_rate[[#This Row],[emb_cantidad]]-Tabla__192.168.1.8_POSEIDONSQL_APPFVT_01_tbl_detalle_fill_rate[[#This Row],[dev_cantidad]]</f>
        <v>1</v>
      </c>
      <c r="P3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0" s="1">
        <f>+Tabla__192.168.1.8_POSEIDONSQL_APPFVT_01_tbl_detalle_fill_rate[[#This Row],[Cumpl Real Unds]]-Tabla__192.168.1.8_POSEIDONSQL_APPFVT_01_tbl_detalle_fill_rate[[#This Row],[Cant Embarcada]]</f>
        <v>0</v>
      </c>
      <c r="S390" s="1">
        <f>+IF(Tabla__192.168.1.8_POSEIDONSQL_APPFVT_01_tbl_detalle_fill_rate[[#This Row],[Pend Emb]]&gt;0,1,0)</f>
        <v>0</v>
      </c>
      <c r="T3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1" spans="1:20" x14ac:dyDescent="0.25">
      <c r="A391">
        <v>9</v>
      </c>
      <c r="B391" t="s">
        <v>48</v>
      </c>
      <c r="C391">
        <v>9186941</v>
      </c>
      <c r="D391" s="48">
        <v>43332</v>
      </c>
      <c r="E391" s="48">
        <v>43331</v>
      </c>
      <c r="F391" s="48">
        <v>43339</v>
      </c>
      <c r="G391" t="s">
        <v>112</v>
      </c>
      <c r="H391" t="s">
        <v>113</v>
      </c>
      <c r="I391">
        <v>1</v>
      </c>
      <c r="J391" t="s">
        <v>482</v>
      </c>
      <c r="K391">
        <v>1</v>
      </c>
      <c r="L391">
        <v>1</v>
      </c>
      <c r="M391" t="s">
        <v>1971</v>
      </c>
      <c r="N391">
        <v>0</v>
      </c>
      <c r="O391" s="1">
        <f>+Tabla__192.168.1.8_POSEIDONSQL_APPFVT_01_tbl_detalle_fill_rate[[#This Row],[emb_cantidad]]-Tabla__192.168.1.8_POSEIDONSQL_APPFVT_01_tbl_detalle_fill_rate[[#This Row],[dev_cantidad]]</f>
        <v>1</v>
      </c>
      <c r="P3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1" s="1">
        <f>+Tabla__192.168.1.8_POSEIDONSQL_APPFVT_01_tbl_detalle_fill_rate[[#This Row],[Cumpl Real Unds]]-Tabla__192.168.1.8_POSEIDONSQL_APPFVT_01_tbl_detalle_fill_rate[[#This Row],[Cant Embarcada]]</f>
        <v>0</v>
      </c>
      <c r="S391" s="1">
        <f>+IF(Tabla__192.168.1.8_POSEIDONSQL_APPFVT_01_tbl_detalle_fill_rate[[#This Row],[Pend Emb]]&gt;0,1,0)</f>
        <v>0</v>
      </c>
      <c r="T3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2" spans="1:20" x14ac:dyDescent="0.25">
      <c r="A392">
        <v>9</v>
      </c>
      <c r="B392" t="s">
        <v>48</v>
      </c>
      <c r="C392">
        <v>9186941</v>
      </c>
      <c r="D392" s="48">
        <v>43332</v>
      </c>
      <c r="E392" s="48">
        <v>43331</v>
      </c>
      <c r="F392" s="48">
        <v>43339</v>
      </c>
      <c r="G392" t="s">
        <v>112</v>
      </c>
      <c r="H392" t="s">
        <v>113</v>
      </c>
      <c r="I392">
        <v>1</v>
      </c>
      <c r="J392" t="s">
        <v>684</v>
      </c>
      <c r="K392">
        <v>1</v>
      </c>
      <c r="L392">
        <v>1</v>
      </c>
      <c r="M392" t="s">
        <v>1971</v>
      </c>
      <c r="N392">
        <v>0</v>
      </c>
      <c r="O392" s="1">
        <f>+Tabla__192.168.1.8_POSEIDONSQL_APPFVT_01_tbl_detalle_fill_rate[[#This Row],[emb_cantidad]]-Tabla__192.168.1.8_POSEIDONSQL_APPFVT_01_tbl_detalle_fill_rate[[#This Row],[dev_cantidad]]</f>
        <v>1</v>
      </c>
      <c r="P3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2" s="1">
        <f>+Tabla__192.168.1.8_POSEIDONSQL_APPFVT_01_tbl_detalle_fill_rate[[#This Row],[Cumpl Real Unds]]-Tabla__192.168.1.8_POSEIDONSQL_APPFVT_01_tbl_detalle_fill_rate[[#This Row],[Cant Embarcada]]</f>
        <v>0</v>
      </c>
      <c r="S392" s="1">
        <f>+IF(Tabla__192.168.1.8_POSEIDONSQL_APPFVT_01_tbl_detalle_fill_rate[[#This Row],[Pend Emb]]&gt;0,1,0)</f>
        <v>0</v>
      </c>
      <c r="T3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3" spans="1:20" x14ac:dyDescent="0.25">
      <c r="A393">
        <v>9</v>
      </c>
      <c r="B393" t="s">
        <v>48</v>
      </c>
      <c r="C393">
        <v>9186988</v>
      </c>
      <c r="D393" s="48">
        <v>43332</v>
      </c>
      <c r="E393" s="48">
        <v>43331</v>
      </c>
      <c r="F393" s="48">
        <v>43339</v>
      </c>
      <c r="G393" t="s">
        <v>80</v>
      </c>
      <c r="H393" t="s">
        <v>81</v>
      </c>
      <c r="I393">
        <v>1</v>
      </c>
      <c r="J393" t="s">
        <v>470</v>
      </c>
      <c r="K393">
        <v>1</v>
      </c>
      <c r="L393">
        <v>1</v>
      </c>
      <c r="M393" t="s">
        <v>1971</v>
      </c>
      <c r="N393">
        <v>0</v>
      </c>
      <c r="O393" s="1">
        <f>+Tabla__192.168.1.8_POSEIDONSQL_APPFVT_01_tbl_detalle_fill_rate[[#This Row],[emb_cantidad]]-Tabla__192.168.1.8_POSEIDONSQL_APPFVT_01_tbl_detalle_fill_rate[[#This Row],[dev_cantidad]]</f>
        <v>1</v>
      </c>
      <c r="P3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3" s="1">
        <f>+Tabla__192.168.1.8_POSEIDONSQL_APPFVT_01_tbl_detalle_fill_rate[[#This Row],[Cumpl Real Unds]]-Tabla__192.168.1.8_POSEIDONSQL_APPFVT_01_tbl_detalle_fill_rate[[#This Row],[Cant Embarcada]]</f>
        <v>0</v>
      </c>
      <c r="S393" s="1">
        <f>+IF(Tabla__192.168.1.8_POSEIDONSQL_APPFVT_01_tbl_detalle_fill_rate[[#This Row],[Pend Emb]]&gt;0,1,0)</f>
        <v>0</v>
      </c>
      <c r="T3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4" spans="1:20" x14ac:dyDescent="0.25">
      <c r="A394">
        <v>9</v>
      </c>
      <c r="B394" t="s">
        <v>48</v>
      </c>
      <c r="C394">
        <v>9186988</v>
      </c>
      <c r="D394" s="48">
        <v>43332</v>
      </c>
      <c r="E394" s="48">
        <v>43331</v>
      </c>
      <c r="F394" s="48">
        <v>43339</v>
      </c>
      <c r="G394" t="s">
        <v>471</v>
      </c>
      <c r="H394" t="s">
        <v>472</v>
      </c>
      <c r="I394">
        <v>2</v>
      </c>
      <c r="J394" t="s">
        <v>473</v>
      </c>
      <c r="K394">
        <v>2</v>
      </c>
      <c r="L394">
        <v>2</v>
      </c>
      <c r="M394" t="s">
        <v>1971</v>
      </c>
      <c r="N394">
        <v>0</v>
      </c>
      <c r="O394" s="1">
        <f>+Tabla__192.168.1.8_POSEIDONSQL_APPFVT_01_tbl_detalle_fill_rate[[#This Row],[emb_cantidad]]-Tabla__192.168.1.8_POSEIDONSQL_APPFVT_01_tbl_detalle_fill_rate[[#This Row],[dev_cantidad]]</f>
        <v>2</v>
      </c>
      <c r="P3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394" s="1">
        <f>+Tabla__192.168.1.8_POSEIDONSQL_APPFVT_01_tbl_detalle_fill_rate[[#This Row],[Cumpl Real Unds]]-Tabla__192.168.1.8_POSEIDONSQL_APPFVT_01_tbl_detalle_fill_rate[[#This Row],[Cant Embarcada]]</f>
        <v>0</v>
      </c>
      <c r="S394" s="1">
        <f>+IF(Tabla__192.168.1.8_POSEIDONSQL_APPFVT_01_tbl_detalle_fill_rate[[#This Row],[Pend Emb]]&gt;0,1,0)</f>
        <v>0</v>
      </c>
      <c r="T3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5" spans="1:20" x14ac:dyDescent="0.25">
      <c r="A395">
        <v>9</v>
      </c>
      <c r="B395" t="s">
        <v>48</v>
      </c>
      <c r="C395">
        <v>9187037</v>
      </c>
      <c r="D395" s="48">
        <v>43332</v>
      </c>
      <c r="E395" s="48">
        <v>43332</v>
      </c>
      <c r="F395" s="48">
        <v>43341</v>
      </c>
      <c r="G395" t="s">
        <v>112</v>
      </c>
      <c r="H395" t="s">
        <v>113</v>
      </c>
      <c r="I395">
        <v>1</v>
      </c>
      <c r="J395" t="s">
        <v>690</v>
      </c>
      <c r="K395">
        <v>1</v>
      </c>
      <c r="L395">
        <v>1</v>
      </c>
      <c r="M395" t="s">
        <v>1980</v>
      </c>
      <c r="N395">
        <v>0</v>
      </c>
      <c r="O395" s="1">
        <f>+Tabla__192.168.1.8_POSEIDONSQL_APPFVT_01_tbl_detalle_fill_rate[[#This Row],[emb_cantidad]]-Tabla__192.168.1.8_POSEIDONSQL_APPFVT_01_tbl_detalle_fill_rate[[#This Row],[dev_cantidad]]</f>
        <v>1</v>
      </c>
      <c r="P3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5" s="1">
        <f>+Tabla__192.168.1.8_POSEIDONSQL_APPFVT_01_tbl_detalle_fill_rate[[#This Row],[Cumpl Real Unds]]-Tabla__192.168.1.8_POSEIDONSQL_APPFVT_01_tbl_detalle_fill_rate[[#This Row],[Cant Embarcada]]</f>
        <v>0</v>
      </c>
      <c r="S395" s="1">
        <f>+IF(Tabla__192.168.1.8_POSEIDONSQL_APPFVT_01_tbl_detalle_fill_rate[[#This Row],[Pend Emb]]&gt;0,1,0)</f>
        <v>0</v>
      </c>
      <c r="T3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6" spans="1:20" x14ac:dyDescent="0.25">
      <c r="A396">
        <v>9</v>
      </c>
      <c r="B396" t="s">
        <v>48</v>
      </c>
      <c r="C396">
        <v>9187211</v>
      </c>
      <c r="D396" s="48">
        <v>43333</v>
      </c>
      <c r="E396" s="48">
        <v>43332</v>
      </c>
      <c r="F396" s="48">
        <v>43339</v>
      </c>
      <c r="G396" t="s">
        <v>533</v>
      </c>
      <c r="H396" t="s">
        <v>534</v>
      </c>
      <c r="I396">
        <v>1</v>
      </c>
      <c r="J396" t="s">
        <v>1058</v>
      </c>
      <c r="K396">
        <v>1</v>
      </c>
      <c r="L396">
        <v>1</v>
      </c>
      <c r="M396" t="s">
        <v>1971</v>
      </c>
      <c r="N396">
        <v>0</v>
      </c>
      <c r="O396" s="1">
        <f>+Tabla__192.168.1.8_POSEIDONSQL_APPFVT_01_tbl_detalle_fill_rate[[#This Row],[emb_cantidad]]-Tabla__192.168.1.8_POSEIDONSQL_APPFVT_01_tbl_detalle_fill_rate[[#This Row],[dev_cantidad]]</f>
        <v>1</v>
      </c>
      <c r="P3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6" s="1">
        <f>+Tabla__192.168.1.8_POSEIDONSQL_APPFVT_01_tbl_detalle_fill_rate[[#This Row],[Cumpl Real Unds]]-Tabla__192.168.1.8_POSEIDONSQL_APPFVT_01_tbl_detalle_fill_rate[[#This Row],[Cant Embarcada]]</f>
        <v>0</v>
      </c>
      <c r="S396" s="1">
        <f>+IF(Tabla__192.168.1.8_POSEIDONSQL_APPFVT_01_tbl_detalle_fill_rate[[#This Row],[Pend Emb]]&gt;0,1,0)</f>
        <v>0</v>
      </c>
      <c r="T3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7" spans="1:20" x14ac:dyDescent="0.25">
      <c r="A397">
        <v>9</v>
      </c>
      <c r="B397" t="s">
        <v>48</v>
      </c>
      <c r="C397">
        <v>9187211</v>
      </c>
      <c r="D397" s="48">
        <v>43333</v>
      </c>
      <c r="E397" s="48">
        <v>43332</v>
      </c>
      <c r="F397" s="48">
        <v>43339</v>
      </c>
      <c r="G397" t="s">
        <v>116</v>
      </c>
      <c r="H397" t="s">
        <v>117</v>
      </c>
      <c r="I397">
        <v>1</v>
      </c>
      <c r="J397" t="s">
        <v>1057</v>
      </c>
      <c r="K397">
        <v>1</v>
      </c>
      <c r="L397">
        <v>1</v>
      </c>
      <c r="M397" t="s">
        <v>1971</v>
      </c>
      <c r="N397">
        <v>0</v>
      </c>
      <c r="O397" s="1">
        <f>+Tabla__192.168.1.8_POSEIDONSQL_APPFVT_01_tbl_detalle_fill_rate[[#This Row],[emb_cantidad]]-Tabla__192.168.1.8_POSEIDONSQL_APPFVT_01_tbl_detalle_fill_rate[[#This Row],[dev_cantidad]]</f>
        <v>1</v>
      </c>
      <c r="P3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7" s="1">
        <f>+Tabla__192.168.1.8_POSEIDONSQL_APPFVT_01_tbl_detalle_fill_rate[[#This Row],[Cumpl Real Unds]]-Tabla__192.168.1.8_POSEIDONSQL_APPFVT_01_tbl_detalle_fill_rate[[#This Row],[Cant Embarcada]]</f>
        <v>0</v>
      </c>
      <c r="S397" s="1">
        <f>+IF(Tabla__192.168.1.8_POSEIDONSQL_APPFVT_01_tbl_detalle_fill_rate[[#This Row],[Pend Emb]]&gt;0,1,0)</f>
        <v>0</v>
      </c>
      <c r="T3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8" spans="1:20" x14ac:dyDescent="0.25">
      <c r="A398">
        <v>9</v>
      </c>
      <c r="B398" t="s">
        <v>48</v>
      </c>
      <c r="C398">
        <v>9187212</v>
      </c>
      <c r="D398" s="48">
        <v>43333</v>
      </c>
      <c r="E398" s="48">
        <v>43332</v>
      </c>
      <c r="F398" s="48">
        <v>43346</v>
      </c>
      <c r="G398" t="s">
        <v>240</v>
      </c>
      <c r="H398" t="s">
        <v>241</v>
      </c>
      <c r="I398">
        <v>1</v>
      </c>
      <c r="J398" t="s">
        <v>772</v>
      </c>
      <c r="K398">
        <v>1</v>
      </c>
      <c r="L398">
        <v>1</v>
      </c>
      <c r="M398" t="s">
        <v>1963</v>
      </c>
      <c r="N398">
        <v>0</v>
      </c>
      <c r="O398" s="1">
        <f>+Tabla__192.168.1.8_POSEIDONSQL_APPFVT_01_tbl_detalle_fill_rate[[#This Row],[emb_cantidad]]-Tabla__192.168.1.8_POSEIDONSQL_APPFVT_01_tbl_detalle_fill_rate[[#This Row],[dev_cantidad]]</f>
        <v>1</v>
      </c>
      <c r="P3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8" s="1">
        <f>+Tabla__192.168.1.8_POSEIDONSQL_APPFVT_01_tbl_detalle_fill_rate[[#This Row],[Cumpl Real Unds]]-Tabla__192.168.1.8_POSEIDONSQL_APPFVT_01_tbl_detalle_fill_rate[[#This Row],[Cant Embarcada]]</f>
        <v>0</v>
      </c>
      <c r="S398" s="1">
        <f>+IF(Tabla__192.168.1.8_POSEIDONSQL_APPFVT_01_tbl_detalle_fill_rate[[#This Row],[Pend Emb]]&gt;0,1,0)</f>
        <v>0</v>
      </c>
      <c r="T3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399" spans="1:20" x14ac:dyDescent="0.25">
      <c r="A399">
        <v>9</v>
      </c>
      <c r="B399" t="s">
        <v>48</v>
      </c>
      <c r="C399">
        <v>9187253</v>
      </c>
      <c r="D399" s="48">
        <v>43333</v>
      </c>
      <c r="E399" s="48">
        <v>43332</v>
      </c>
      <c r="F399" s="48">
        <v>43346</v>
      </c>
      <c r="G399" t="s">
        <v>240</v>
      </c>
      <c r="H399" t="s">
        <v>241</v>
      </c>
      <c r="I399">
        <v>1</v>
      </c>
      <c r="J399" t="s">
        <v>773</v>
      </c>
      <c r="K399">
        <v>1</v>
      </c>
      <c r="L399">
        <v>1</v>
      </c>
      <c r="M399" t="s">
        <v>1963</v>
      </c>
      <c r="N399">
        <v>0</v>
      </c>
      <c r="O399" s="1">
        <f>+Tabla__192.168.1.8_POSEIDONSQL_APPFVT_01_tbl_detalle_fill_rate[[#This Row],[emb_cantidad]]-Tabla__192.168.1.8_POSEIDONSQL_APPFVT_01_tbl_detalle_fill_rate[[#This Row],[dev_cantidad]]</f>
        <v>1</v>
      </c>
      <c r="P3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3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399" s="1">
        <f>+Tabla__192.168.1.8_POSEIDONSQL_APPFVT_01_tbl_detalle_fill_rate[[#This Row],[Cumpl Real Unds]]-Tabla__192.168.1.8_POSEIDONSQL_APPFVT_01_tbl_detalle_fill_rate[[#This Row],[Cant Embarcada]]</f>
        <v>0</v>
      </c>
      <c r="S399" s="1">
        <f>+IF(Tabla__192.168.1.8_POSEIDONSQL_APPFVT_01_tbl_detalle_fill_rate[[#This Row],[Pend Emb]]&gt;0,1,0)</f>
        <v>0</v>
      </c>
      <c r="T3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0" spans="1:20" x14ac:dyDescent="0.25">
      <c r="A400">
        <v>9</v>
      </c>
      <c r="B400" t="s">
        <v>48</v>
      </c>
      <c r="C400">
        <v>9187293</v>
      </c>
      <c r="D400" s="48">
        <v>43333</v>
      </c>
      <c r="E400" s="48">
        <v>43332</v>
      </c>
      <c r="F400" s="48">
        <v>43341</v>
      </c>
      <c r="G400" t="s">
        <v>533</v>
      </c>
      <c r="H400" t="s">
        <v>534</v>
      </c>
      <c r="I400">
        <v>1</v>
      </c>
      <c r="J400" t="s">
        <v>1065</v>
      </c>
      <c r="K400">
        <v>1</v>
      </c>
      <c r="L400">
        <v>1</v>
      </c>
      <c r="M400" t="s">
        <v>1980</v>
      </c>
      <c r="N400">
        <v>0</v>
      </c>
      <c r="O400" s="1">
        <f>+Tabla__192.168.1.8_POSEIDONSQL_APPFVT_01_tbl_detalle_fill_rate[[#This Row],[emb_cantidad]]-Tabla__192.168.1.8_POSEIDONSQL_APPFVT_01_tbl_detalle_fill_rate[[#This Row],[dev_cantidad]]</f>
        <v>1</v>
      </c>
      <c r="P4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0" s="1">
        <f>+Tabla__192.168.1.8_POSEIDONSQL_APPFVT_01_tbl_detalle_fill_rate[[#This Row],[Cumpl Real Unds]]-Tabla__192.168.1.8_POSEIDONSQL_APPFVT_01_tbl_detalle_fill_rate[[#This Row],[Cant Embarcada]]</f>
        <v>0</v>
      </c>
      <c r="S400" s="1">
        <f>+IF(Tabla__192.168.1.8_POSEIDONSQL_APPFVT_01_tbl_detalle_fill_rate[[#This Row],[Pend Emb]]&gt;0,1,0)</f>
        <v>0</v>
      </c>
      <c r="T4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1" spans="1:20" x14ac:dyDescent="0.25">
      <c r="A401">
        <v>9</v>
      </c>
      <c r="B401" t="s">
        <v>48</v>
      </c>
      <c r="C401">
        <v>9187293</v>
      </c>
      <c r="D401" s="48">
        <v>43333</v>
      </c>
      <c r="E401" s="48">
        <v>43332</v>
      </c>
      <c r="F401" s="48">
        <v>43339</v>
      </c>
      <c r="G401" t="s">
        <v>104</v>
      </c>
      <c r="H401" t="s">
        <v>105</v>
      </c>
      <c r="I401">
        <v>1</v>
      </c>
      <c r="J401" t="s">
        <v>1059</v>
      </c>
      <c r="K401">
        <v>1</v>
      </c>
      <c r="L401">
        <v>1</v>
      </c>
      <c r="M401" t="s">
        <v>1971</v>
      </c>
      <c r="N401">
        <v>0</v>
      </c>
      <c r="O401" s="1">
        <f>+Tabla__192.168.1.8_POSEIDONSQL_APPFVT_01_tbl_detalle_fill_rate[[#This Row],[emb_cantidad]]-Tabla__192.168.1.8_POSEIDONSQL_APPFVT_01_tbl_detalle_fill_rate[[#This Row],[dev_cantidad]]</f>
        <v>1</v>
      </c>
      <c r="P4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1" s="1">
        <f>+Tabla__192.168.1.8_POSEIDONSQL_APPFVT_01_tbl_detalle_fill_rate[[#This Row],[Cumpl Real Unds]]-Tabla__192.168.1.8_POSEIDONSQL_APPFVT_01_tbl_detalle_fill_rate[[#This Row],[Cant Embarcada]]</f>
        <v>0</v>
      </c>
      <c r="S401" s="1">
        <f>+IF(Tabla__192.168.1.8_POSEIDONSQL_APPFVT_01_tbl_detalle_fill_rate[[#This Row],[Pend Emb]]&gt;0,1,0)</f>
        <v>0</v>
      </c>
      <c r="T4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2" spans="1:20" x14ac:dyDescent="0.25">
      <c r="A402">
        <v>9</v>
      </c>
      <c r="B402" t="s">
        <v>48</v>
      </c>
      <c r="C402">
        <v>9187416</v>
      </c>
      <c r="D402" s="48">
        <v>43333</v>
      </c>
      <c r="E402" s="48">
        <v>43332</v>
      </c>
      <c r="F402" s="48">
        <v>43339</v>
      </c>
      <c r="G402" t="s">
        <v>1051</v>
      </c>
      <c r="H402" t="s">
        <v>1052</v>
      </c>
      <c r="I402">
        <v>1</v>
      </c>
      <c r="J402" t="s">
        <v>1053</v>
      </c>
      <c r="K402">
        <v>1</v>
      </c>
      <c r="L402">
        <v>1</v>
      </c>
      <c r="M402" t="s">
        <v>1971</v>
      </c>
      <c r="N402">
        <v>0</v>
      </c>
      <c r="O402" s="1">
        <f>+Tabla__192.168.1.8_POSEIDONSQL_APPFVT_01_tbl_detalle_fill_rate[[#This Row],[emb_cantidad]]-Tabla__192.168.1.8_POSEIDONSQL_APPFVT_01_tbl_detalle_fill_rate[[#This Row],[dev_cantidad]]</f>
        <v>1</v>
      </c>
      <c r="P4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2" s="1">
        <f>+Tabla__192.168.1.8_POSEIDONSQL_APPFVT_01_tbl_detalle_fill_rate[[#This Row],[Cumpl Real Unds]]-Tabla__192.168.1.8_POSEIDONSQL_APPFVT_01_tbl_detalle_fill_rate[[#This Row],[Cant Embarcada]]</f>
        <v>0</v>
      </c>
      <c r="S402" s="1">
        <f>+IF(Tabla__192.168.1.8_POSEIDONSQL_APPFVT_01_tbl_detalle_fill_rate[[#This Row],[Pend Emb]]&gt;0,1,0)</f>
        <v>0</v>
      </c>
      <c r="T4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3" spans="1:20" x14ac:dyDescent="0.25">
      <c r="A403">
        <v>9</v>
      </c>
      <c r="B403" t="s">
        <v>48</v>
      </c>
      <c r="C403">
        <v>9187508</v>
      </c>
      <c r="D403" s="48">
        <v>43333</v>
      </c>
      <c r="E403" s="48">
        <v>43332</v>
      </c>
      <c r="F403" s="48">
        <v>43341</v>
      </c>
      <c r="G403" t="s">
        <v>62</v>
      </c>
      <c r="H403" t="s">
        <v>63</v>
      </c>
      <c r="I403">
        <v>1</v>
      </c>
      <c r="J403" t="s">
        <v>1060</v>
      </c>
      <c r="K403">
        <v>1</v>
      </c>
      <c r="L403">
        <v>1</v>
      </c>
      <c r="M403" t="s">
        <v>1980</v>
      </c>
      <c r="N403">
        <v>0</v>
      </c>
      <c r="O403" s="1">
        <f>+Tabla__192.168.1.8_POSEIDONSQL_APPFVT_01_tbl_detalle_fill_rate[[#This Row],[emb_cantidad]]-Tabla__192.168.1.8_POSEIDONSQL_APPFVT_01_tbl_detalle_fill_rate[[#This Row],[dev_cantidad]]</f>
        <v>1</v>
      </c>
      <c r="P4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3" s="1">
        <f>+Tabla__192.168.1.8_POSEIDONSQL_APPFVT_01_tbl_detalle_fill_rate[[#This Row],[Cumpl Real Unds]]-Tabla__192.168.1.8_POSEIDONSQL_APPFVT_01_tbl_detalle_fill_rate[[#This Row],[Cant Embarcada]]</f>
        <v>0</v>
      </c>
      <c r="S403" s="1">
        <f>+IF(Tabla__192.168.1.8_POSEIDONSQL_APPFVT_01_tbl_detalle_fill_rate[[#This Row],[Pend Emb]]&gt;0,1,0)</f>
        <v>0</v>
      </c>
      <c r="T4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4" spans="1:20" x14ac:dyDescent="0.25">
      <c r="A404">
        <v>9</v>
      </c>
      <c r="B404" t="s">
        <v>48</v>
      </c>
      <c r="C404">
        <v>9187552</v>
      </c>
      <c r="D404" s="48">
        <v>43333</v>
      </c>
      <c r="E404" s="48">
        <v>43332</v>
      </c>
      <c r="F404" s="48">
        <v>43339</v>
      </c>
      <c r="G404" t="s">
        <v>112</v>
      </c>
      <c r="H404" t="s">
        <v>113</v>
      </c>
      <c r="I404">
        <v>2</v>
      </c>
      <c r="J404" t="s">
        <v>1054</v>
      </c>
      <c r="K404">
        <v>2</v>
      </c>
      <c r="L404">
        <v>2</v>
      </c>
      <c r="M404" t="s">
        <v>1971</v>
      </c>
      <c r="N404">
        <v>0</v>
      </c>
      <c r="O404" s="1">
        <f>+Tabla__192.168.1.8_POSEIDONSQL_APPFVT_01_tbl_detalle_fill_rate[[#This Row],[emb_cantidad]]-Tabla__192.168.1.8_POSEIDONSQL_APPFVT_01_tbl_detalle_fill_rate[[#This Row],[dev_cantidad]]</f>
        <v>2</v>
      </c>
      <c r="P4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404" s="1">
        <f>+Tabla__192.168.1.8_POSEIDONSQL_APPFVT_01_tbl_detalle_fill_rate[[#This Row],[Cumpl Real Unds]]-Tabla__192.168.1.8_POSEIDONSQL_APPFVT_01_tbl_detalle_fill_rate[[#This Row],[Cant Embarcada]]</f>
        <v>0</v>
      </c>
      <c r="S404" s="1">
        <f>+IF(Tabla__192.168.1.8_POSEIDONSQL_APPFVT_01_tbl_detalle_fill_rate[[#This Row],[Pend Emb]]&gt;0,1,0)</f>
        <v>0</v>
      </c>
      <c r="T4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5" spans="1:20" x14ac:dyDescent="0.25">
      <c r="A405">
        <v>9</v>
      </c>
      <c r="B405" t="s">
        <v>48</v>
      </c>
      <c r="C405">
        <v>9187553</v>
      </c>
      <c r="D405" s="48">
        <v>43333</v>
      </c>
      <c r="E405" s="48">
        <v>43332</v>
      </c>
      <c r="F405" s="48">
        <v>43346</v>
      </c>
      <c r="G405" t="s">
        <v>240</v>
      </c>
      <c r="H405" t="s">
        <v>241</v>
      </c>
      <c r="I405">
        <v>1</v>
      </c>
      <c r="J405" t="s">
        <v>771</v>
      </c>
      <c r="K405">
        <v>1</v>
      </c>
      <c r="L405">
        <v>1</v>
      </c>
      <c r="M405" t="s">
        <v>1963</v>
      </c>
      <c r="N405">
        <v>0</v>
      </c>
      <c r="O405" s="1">
        <f>+Tabla__192.168.1.8_POSEIDONSQL_APPFVT_01_tbl_detalle_fill_rate[[#This Row],[emb_cantidad]]-Tabla__192.168.1.8_POSEIDONSQL_APPFVT_01_tbl_detalle_fill_rate[[#This Row],[dev_cantidad]]</f>
        <v>1</v>
      </c>
      <c r="P4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5" s="1">
        <f>+Tabla__192.168.1.8_POSEIDONSQL_APPFVT_01_tbl_detalle_fill_rate[[#This Row],[Cumpl Real Unds]]-Tabla__192.168.1.8_POSEIDONSQL_APPFVT_01_tbl_detalle_fill_rate[[#This Row],[Cant Embarcada]]</f>
        <v>0</v>
      </c>
      <c r="S405" s="1">
        <f>+IF(Tabla__192.168.1.8_POSEIDONSQL_APPFVT_01_tbl_detalle_fill_rate[[#This Row],[Pend Emb]]&gt;0,1,0)</f>
        <v>0</v>
      </c>
      <c r="T4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6" spans="1:20" x14ac:dyDescent="0.25">
      <c r="A406">
        <v>9</v>
      </c>
      <c r="B406" t="s">
        <v>48</v>
      </c>
      <c r="C406">
        <v>9187591</v>
      </c>
      <c r="D406" s="48">
        <v>43333</v>
      </c>
      <c r="E406" s="48">
        <v>43333</v>
      </c>
      <c r="F406" s="48">
        <v>43343</v>
      </c>
      <c r="G406" t="s">
        <v>62</v>
      </c>
      <c r="H406" t="s">
        <v>63</v>
      </c>
      <c r="I406">
        <v>1</v>
      </c>
      <c r="J406" t="s">
        <v>1215</v>
      </c>
      <c r="K406">
        <v>1</v>
      </c>
      <c r="L406">
        <v>1</v>
      </c>
      <c r="M406" t="s">
        <v>1962</v>
      </c>
      <c r="N406">
        <v>0</v>
      </c>
      <c r="O406" s="1">
        <f>+Tabla__192.168.1.8_POSEIDONSQL_APPFVT_01_tbl_detalle_fill_rate[[#This Row],[emb_cantidad]]-Tabla__192.168.1.8_POSEIDONSQL_APPFVT_01_tbl_detalle_fill_rate[[#This Row],[dev_cantidad]]</f>
        <v>1</v>
      </c>
      <c r="P4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6" s="1">
        <f>+Tabla__192.168.1.8_POSEIDONSQL_APPFVT_01_tbl_detalle_fill_rate[[#This Row],[Cumpl Real Unds]]-Tabla__192.168.1.8_POSEIDONSQL_APPFVT_01_tbl_detalle_fill_rate[[#This Row],[Cant Embarcada]]</f>
        <v>0</v>
      </c>
      <c r="S406" s="1">
        <f>+IF(Tabla__192.168.1.8_POSEIDONSQL_APPFVT_01_tbl_detalle_fill_rate[[#This Row],[Pend Emb]]&gt;0,1,0)</f>
        <v>0</v>
      </c>
      <c r="T4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7" spans="1:20" x14ac:dyDescent="0.25">
      <c r="A407">
        <v>9</v>
      </c>
      <c r="B407" t="s">
        <v>48</v>
      </c>
      <c r="C407">
        <v>9187591</v>
      </c>
      <c r="D407" s="48">
        <v>43333</v>
      </c>
      <c r="E407" s="48">
        <v>43333</v>
      </c>
      <c r="F407" s="48">
        <v>43341</v>
      </c>
      <c r="G407" t="s">
        <v>1062</v>
      </c>
      <c r="H407" t="s">
        <v>1063</v>
      </c>
      <c r="I407">
        <v>1</v>
      </c>
      <c r="J407" t="s">
        <v>1064</v>
      </c>
      <c r="K407">
        <v>1</v>
      </c>
      <c r="L407">
        <v>1</v>
      </c>
      <c r="M407" t="s">
        <v>1980</v>
      </c>
      <c r="N407">
        <v>0</v>
      </c>
      <c r="O407" s="1">
        <f>+Tabla__192.168.1.8_POSEIDONSQL_APPFVT_01_tbl_detalle_fill_rate[[#This Row],[emb_cantidad]]-Tabla__192.168.1.8_POSEIDONSQL_APPFVT_01_tbl_detalle_fill_rate[[#This Row],[dev_cantidad]]</f>
        <v>1</v>
      </c>
      <c r="P4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7" s="1">
        <f>+Tabla__192.168.1.8_POSEIDONSQL_APPFVT_01_tbl_detalle_fill_rate[[#This Row],[Cumpl Real Unds]]-Tabla__192.168.1.8_POSEIDONSQL_APPFVT_01_tbl_detalle_fill_rate[[#This Row],[Cant Embarcada]]</f>
        <v>0</v>
      </c>
      <c r="S407" s="1">
        <f>+IF(Tabla__192.168.1.8_POSEIDONSQL_APPFVT_01_tbl_detalle_fill_rate[[#This Row],[Pend Emb]]&gt;0,1,0)</f>
        <v>0</v>
      </c>
      <c r="T4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8" spans="1:20" x14ac:dyDescent="0.25">
      <c r="A408">
        <v>9</v>
      </c>
      <c r="B408" t="s">
        <v>48</v>
      </c>
      <c r="C408">
        <v>9187591</v>
      </c>
      <c r="D408" s="48">
        <v>43333</v>
      </c>
      <c r="E408" s="48">
        <v>43333</v>
      </c>
      <c r="F408" s="48">
        <v>43339</v>
      </c>
      <c r="G408" t="s">
        <v>80</v>
      </c>
      <c r="H408" t="s">
        <v>81</v>
      </c>
      <c r="I408">
        <v>1</v>
      </c>
      <c r="J408" t="s">
        <v>1056</v>
      </c>
      <c r="K408">
        <v>1</v>
      </c>
      <c r="L408">
        <v>1</v>
      </c>
      <c r="M408" t="s">
        <v>1971</v>
      </c>
      <c r="N408">
        <v>0</v>
      </c>
      <c r="O408" s="1">
        <f>+Tabla__192.168.1.8_POSEIDONSQL_APPFVT_01_tbl_detalle_fill_rate[[#This Row],[emb_cantidad]]-Tabla__192.168.1.8_POSEIDONSQL_APPFVT_01_tbl_detalle_fill_rate[[#This Row],[dev_cantidad]]</f>
        <v>1</v>
      </c>
      <c r="P4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8" s="1">
        <f>+Tabla__192.168.1.8_POSEIDONSQL_APPFVT_01_tbl_detalle_fill_rate[[#This Row],[Cumpl Real Unds]]-Tabla__192.168.1.8_POSEIDONSQL_APPFVT_01_tbl_detalle_fill_rate[[#This Row],[Cant Embarcada]]</f>
        <v>0</v>
      </c>
      <c r="S408" s="1">
        <f>+IF(Tabla__192.168.1.8_POSEIDONSQL_APPFVT_01_tbl_detalle_fill_rate[[#This Row],[Pend Emb]]&gt;0,1,0)</f>
        <v>0</v>
      </c>
      <c r="T4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09" spans="1:20" x14ac:dyDescent="0.25">
      <c r="A409">
        <v>9</v>
      </c>
      <c r="B409" t="s">
        <v>48</v>
      </c>
      <c r="C409">
        <v>9187591</v>
      </c>
      <c r="D409" s="48">
        <v>43333</v>
      </c>
      <c r="E409" s="48">
        <v>43332</v>
      </c>
      <c r="F409" s="48">
        <v>43341</v>
      </c>
      <c r="G409" t="s">
        <v>92</v>
      </c>
      <c r="H409" t="s">
        <v>93</v>
      </c>
      <c r="I409">
        <v>1</v>
      </c>
      <c r="J409" t="s">
        <v>1061</v>
      </c>
      <c r="K409">
        <v>1</v>
      </c>
      <c r="L409">
        <v>1</v>
      </c>
      <c r="M409" t="s">
        <v>1980</v>
      </c>
      <c r="N409">
        <v>0</v>
      </c>
      <c r="O409" s="1">
        <f>+Tabla__192.168.1.8_POSEIDONSQL_APPFVT_01_tbl_detalle_fill_rate[[#This Row],[emb_cantidad]]-Tabla__192.168.1.8_POSEIDONSQL_APPFVT_01_tbl_detalle_fill_rate[[#This Row],[dev_cantidad]]</f>
        <v>1</v>
      </c>
      <c r="P4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09" s="1">
        <f>+Tabla__192.168.1.8_POSEIDONSQL_APPFVT_01_tbl_detalle_fill_rate[[#This Row],[Cumpl Real Unds]]-Tabla__192.168.1.8_POSEIDONSQL_APPFVT_01_tbl_detalle_fill_rate[[#This Row],[Cant Embarcada]]</f>
        <v>0</v>
      </c>
      <c r="S409" s="1">
        <f>+IF(Tabla__192.168.1.8_POSEIDONSQL_APPFVT_01_tbl_detalle_fill_rate[[#This Row],[Pend Emb]]&gt;0,1,0)</f>
        <v>0</v>
      </c>
      <c r="T4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0" spans="1:20" x14ac:dyDescent="0.25">
      <c r="A410">
        <v>9</v>
      </c>
      <c r="B410" t="s">
        <v>48</v>
      </c>
      <c r="C410">
        <v>9187591</v>
      </c>
      <c r="D410" s="48">
        <v>43333</v>
      </c>
      <c r="E410" s="48">
        <v>43333</v>
      </c>
      <c r="F410" s="48">
        <v>43339</v>
      </c>
      <c r="G410" t="s">
        <v>108</v>
      </c>
      <c r="H410" t="s">
        <v>109</v>
      </c>
      <c r="I410">
        <v>1</v>
      </c>
      <c r="J410" t="s">
        <v>1055</v>
      </c>
      <c r="K410">
        <v>1</v>
      </c>
      <c r="L410">
        <v>1</v>
      </c>
      <c r="M410" t="s">
        <v>1971</v>
      </c>
      <c r="N410">
        <v>0</v>
      </c>
      <c r="O410" s="1">
        <f>+Tabla__192.168.1.8_POSEIDONSQL_APPFVT_01_tbl_detalle_fill_rate[[#This Row],[emb_cantidad]]-Tabla__192.168.1.8_POSEIDONSQL_APPFVT_01_tbl_detalle_fill_rate[[#This Row],[dev_cantidad]]</f>
        <v>1</v>
      </c>
      <c r="P4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0" s="1">
        <f>+Tabla__192.168.1.8_POSEIDONSQL_APPFVT_01_tbl_detalle_fill_rate[[#This Row],[Cumpl Real Unds]]-Tabla__192.168.1.8_POSEIDONSQL_APPFVT_01_tbl_detalle_fill_rate[[#This Row],[Cant Embarcada]]</f>
        <v>0</v>
      </c>
      <c r="S410" s="1">
        <f>+IF(Tabla__192.168.1.8_POSEIDONSQL_APPFVT_01_tbl_detalle_fill_rate[[#This Row],[Pend Emb]]&gt;0,1,0)</f>
        <v>0</v>
      </c>
      <c r="T4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1" spans="1:20" x14ac:dyDescent="0.25">
      <c r="A411">
        <v>9</v>
      </c>
      <c r="B411" t="s">
        <v>48</v>
      </c>
      <c r="C411">
        <v>9187661</v>
      </c>
      <c r="D411" s="48">
        <v>43334</v>
      </c>
      <c r="E411" s="48">
        <v>43333</v>
      </c>
      <c r="F411" s="48">
        <v>43341</v>
      </c>
      <c r="G411" t="s">
        <v>106</v>
      </c>
      <c r="H411" t="s">
        <v>107</v>
      </c>
      <c r="I411">
        <v>1</v>
      </c>
      <c r="J411" t="s">
        <v>1213</v>
      </c>
      <c r="K411">
        <v>1</v>
      </c>
      <c r="L411">
        <v>1</v>
      </c>
      <c r="M411" t="s">
        <v>1980</v>
      </c>
      <c r="N411">
        <v>0</v>
      </c>
      <c r="O411" s="1">
        <f>+Tabla__192.168.1.8_POSEIDONSQL_APPFVT_01_tbl_detalle_fill_rate[[#This Row],[emb_cantidad]]-Tabla__192.168.1.8_POSEIDONSQL_APPFVT_01_tbl_detalle_fill_rate[[#This Row],[dev_cantidad]]</f>
        <v>1</v>
      </c>
      <c r="P4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1" s="1">
        <f>+Tabla__192.168.1.8_POSEIDONSQL_APPFVT_01_tbl_detalle_fill_rate[[#This Row],[Cumpl Real Unds]]-Tabla__192.168.1.8_POSEIDONSQL_APPFVT_01_tbl_detalle_fill_rate[[#This Row],[Cant Embarcada]]</f>
        <v>0</v>
      </c>
      <c r="S411" s="1">
        <f>+IF(Tabla__192.168.1.8_POSEIDONSQL_APPFVT_01_tbl_detalle_fill_rate[[#This Row],[Pend Emb]]&gt;0,1,0)</f>
        <v>0</v>
      </c>
      <c r="T4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2" spans="1:20" x14ac:dyDescent="0.25">
      <c r="A412">
        <v>9</v>
      </c>
      <c r="B412" t="s">
        <v>48</v>
      </c>
      <c r="C412">
        <v>9187750</v>
      </c>
      <c r="D412" s="48">
        <v>43334</v>
      </c>
      <c r="E412" s="48">
        <v>43333</v>
      </c>
      <c r="F412" s="48">
        <v>43341</v>
      </c>
      <c r="G412" t="s">
        <v>68</v>
      </c>
      <c r="H412" t="s">
        <v>69</v>
      </c>
      <c r="I412">
        <v>1</v>
      </c>
      <c r="J412" t="s">
        <v>1206</v>
      </c>
      <c r="K412">
        <v>1</v>
      </c>
      <c r="L412">
        <v>1</v>
      </c>
      <c r="M412" t="s">
        <v>1980</v>
      </c>
      <c r="N412">
        <v>0</v>
      </c>
      <c r="O412" s="1">
        <f>+Tabla__192.168.1.8_POSEIDONSQL_APPFVT_01_tbl_detalle_fill_rate[[#This Row],[emb_cantidad]]-Tabla__192.168.1.8_POSEIDONSQL_APPFVT_01_tbl_detalle_fill_rate[[#This Row],[dev_cantidad]]</f>
        <v>1</v>
      </c>
      <c r="P4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2" s="1">
        <f>+Tabla__192.168.1.8_POSEIDONSQL_APPFVT_01_tbl_detalle_fill_rate[[#This Row],[Cumpl Real Unds]]-Tabla__192.168.1.8_POSEIDONSQL_APPFVT_01_tbl_detalle_fill_rate[[#This Row],[Cant Embarcada]]</f>
        <v>0</v>
      </c>
      <c r="S412" s="1">
        <f>+IF(Tabla__192.168.1.8_POSEIDONSQL_APPFVT_01_tbl_detalle_fill_rate[[#This Row],[Pend Emb]]&gt;0,1,0)</f>
        <v>0</v>
      </c>
      <c r="T4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3" spans="1:20" x14ac:dyDescent="0.25">
      <c r="A413">
        <v>9</v>
      </c>
      <c r="B413" t="s">
        <v>48</v>
      </c>
      <c r="C413">
        <v>9187822</v>
      </c>
      <c r="D413" s="48">
        <v>43334</v>
      </c>
      <c r="E413" s="48">
        <v>43333</v>
      </c>
      <c r="F413" s="48">
        <v>43341</v>
      </c>
      <c r="G413" t="s">
        <v>108</v>
      </c>
      <c r="H413" t="s">
        <v>109</v>
      </c>
      <c r="I413">
        <v>1</v>
      </c>
      <c r="J413" t="s">
        <v>1207</v>
      </c>
      <c r="K413">
        <v>1</v>
      </c>
      <c r="L413">
        <v>1</v>
      </c>
      <c r="M413" t="s">
        <v>1980</v>
      </c>
      <c r="N413">
        <v>0</v>
      </c>
      <c r="O413" s="1">
        <f>+Tabla__192.168.1.8_POSEIDONSQL_APPFVT_01_tbl_detalle_fill_rate[[#This Row],[emb_cantidad]]-Tabla__192.168.1.8_POSEIDONSQL_APPFVT_01_tbl_detalle_fill_rate[[#This Row],[dev_cantidad]]</f>
        <v>1</v>
      </c>
      <c r="P4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3" s="1">
        <f>+Tabla__192.168.1.8_POSEIDONSQL_APPFVT_01_tbl_detalle_fill_rate[[#This Row],[Cumpl Real Unds]]-Tabla__192.168.1.8_POSEIDONSQL_APPFVT_01_tbl_detalle_fill_rate[[#This Row],[Cant Embarcada]]</f>
        <v>0</v>
      </c>
      <c r="S413" s="1">
        <f>+IF(Tabla__192.168.1.8_POSEIDONSQL_APPFVT_01_tbl_detalle_fill_rate[[#This Row],[Pend Emb]]&gt;0,1,0)</f>
        <v>0</v>
      </c>
      <c r="T4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4" spans="1:20" x14ac:dyDescent="0.25">
      <c r="A414">
        <v>9</v>
      </c>
      <c r="B414" t="s">
        <v>48</v>
      </c>
      <c r="C414">
        <v>9187962</v>
      </c>
      <c r="D414" s="48">
        <v>43334</v>
      </c>
      <c r="E414" s="48">
        <v>43333</v>
      </c>
      <c r="F414" s="48">
        <v>43341</v>
      </c>
      <c r="G414" t="s">
        <v>106</v>
      </c>
      <c r="H414" t="s">
        <v>107</v>
      </c>
      <c r="I414">
        <v>1</v>
      </c>
      <c r="J414" t="s">
        <v>1208</v>
      </c>
      <c r="K414">
        <v>1</v>
      </c>
      <c r="L414">
        <v>1</v>
      </c>
      <c r="M414" t="s">
        <v>1980</v>
      </c>
      <c r="N414">
        <v>0</v>
      </c>
      <c r="O414" s="1">
        <f>+Tabla__192.168.1.8_POSEIDONSQL_APPFVT_01_tbl_detalle_fill_rate[[#This Row],[emb_cantidad]]-Tabla__192.168.1.8_POSEIDONSQL_APPFVT_01_tbl_detalle_fill_rate[[#This Row],[dev_cantidad]]</f>
        <v>1</v>
      </c>
      <c r="P4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4" s="1">
        <f>+Tabla__192.168.1.8_POSEIDONSQL_APPFVT_01_tbl_detalle_fill_rate[[#This Row],[Cumpl Real Unds]]-Tabla__192.168.1.8_POSEIDONSQL_APPFVT_01_tbl_detalle_fill_rate[[#This Row],[Cant Embarcada]]</f>
        <v>0</v>
      </c>
      <c r="S414" s="1">
        <f>+IF(Tabla__192.168.1.8_POSEIDONSQL_APPFVT_01_tbl_detalle_fill_rate[[#This Row],[Pend Emb]]&gt;0,1,0)</f>
        <v>0</v>
      </c>
      <c r="T4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5" spans="1:20" x14ac:dyDescent="0.25">
      <c r="A415">
        <v>9</v>
      </c>
      <c r="B415" t="s">
        <v>48</v>
      </c>
      <c r="C415">
        <v>9188002</v>
      </c>
      <c r="D415" s="48">
        <v>43334</v>
      </c>
      <c r="E415" s="48">
        <v>43333</v>
      </c>
      <c r="F415" s="48">
        <v>43341</v>
      </c>
      <c r="G415" t="s">
        <v>108</v>
      </c>
      <c r="H415" t="s">
        <v>109</v>
      </c>
      <c r="I415">
        <v>1</v>
      </c>
      <c r="J415" t="s">
        <v>1209</v>
      </c>
      <c r="K415">
        <v>1</v>
      </c>
      <c r="L415">
        <v>1</v>
      </c>
      <c r="M415" t="s">
        <v>1980</v>
      </c>
      <c r="N415">
        <v>0</v>
      </c>
      <c r="O415" s="1">
        <f>+Tabla__192.168.1.8_POSEIDONSQL_APPFVT_01_tbl_detalle_fill_rate[[#This Row],[emb_cantidad]]-Tabla__192.168.1.8_POSEIDONSQL_APPFVT_01_tbl_detalle_fill_rate[[#This Row],[dev_cantidad]]</f>
        <v>1</v>
      </c>
      <c r="P4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5" s="1">
        <f>+Tabla__192.168.1.8_POSEIDONSQL_APPFVT_01_tbl_detalle_fill_rate[[#This Row],[Cumpl Real Unds]]-Tabla__192.168.1.8_POSEIDONSQL_APPFVT_01_tbl_detalle_fill_rate[[#This Row],[Cant Embarcada]]</f>
        <v>0</v>
      </c>
      <c r="S415" s="1">
        <f>+IF(Tabla__192.168.1.8_POSEIDONSQL_APPFVT_01_tbl_detalle_fill_rate[[#This Row],[Pend Emb]]&gt;0,1,0)</f>
        <v>0</v>
      </c>
      <c r="T4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6" spans="1:20" x14ac:dyDescent="0.25">
      <c r="A416">
        <v>9</v>
      </c>
      <c r="B416" t="s">
        <v>48</v>
      </c>
      <c r="C416">
        <v>9188118</v>
      </c>
      <c r="D416" s="48">
        <v>43334</v>
      </c>
      <c r="E416" s="48">
        <v>43333</v>
      </c>
      <c r="F416" s="48">
        <v>43341</v>
      </c>
      <c r="G416" t="s">
        <v>92</v>
      </c>
      <c r="H416" t="s">
        <v>93</v>
      </c>
      <c r="I416">
        <v>1</v>
      </c>
      <c r="J416" t="s">
        <v>1211</v>
      </c>
      <c r="K416">
        <v>1</v>
      </c>
      <c r="L416">
        <v>1</v>
      </c>
      <c r="M416" t="s">
        <v>1980</v>
      </c>
      <c r="N416">
        <v>0</v>
      </c>
      <c r="O416" s="1">
        <f>+Tabla__192.168.1.8_POSEIDONSQL_APPFVT_01_tbl_detalle_fill_rate[[#This Row],[emb_cantidad]]-Tabla__192.168.1.8_POSEIDONSQL_APPFVT_01_tbl_detalle_fill_rate[[#This Row],[dev_cantidad]]</f>
        <v>1</v>
      </c>
      <c r="P4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6" s="1">
        <f>+Tabla__192.168.1.8_POSEIDONSQL_APPFVT_01_tbl_detalle_fill_rate[[#This Row],[Cumpl Real Unds]]-Tabla__192.168.1.8_POSEIDONSQL_APPFVT_01_tbl_detalle_fill_rate[[#This Row],[Cant Embarcada]]</f>
        <v>0</v>
      </c>
      <c r="S416" s="1">
        <f>+IF(Tabla__192.168.1.8_POSEIDONSQL_APPFVT_01_tbl_detalle_fill_rate[[#This Row],[Pend Emb]]&gt;0,1,0)</f>
        <v>0</v>
      </c>
      <c r="T4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7" spans="1:20" x14ac:dyDescent="0.25">
      <c r="A417">
        <v>9</v>
      </c>
      <c r="B417" t="s">
        <v>48</v>
      </c>
      <c r="C417">
        <v>9188118</v>
      </c>
      <c r="D417" s="48">
        <v>43334</v>
      </c>
      <c r="E417" s="48">
        <v>43333</v>
      </c>
      <c r="F417" s="48">
        <v>43341</v>
      </c>
      <c r="G417" t="s">
        <v>114</v>
      </c>
      <c r="H417" t="s">
        <v>115</v>
      </c>
      <c r="I417">
        <v>1</v>
      </c>
      <c r="J417" t="s">
        <v>1210</v>
      </c>
      <c r="K417">
        <v>1</v>
      </c>
      <c r="L417">
        <v>1</v>
      </c>
      <c r="M417" t="s">
        <v>1980</v>
      </c>
      <c r="N417">
        <v>0</v>
      </c>
      <c r="O417" s="1">
        <f>+Tabla__192.168.1.8_POSEIDONSQL_APPFVT_01_tbl_detalle_fill_rate[[#This Row],[emb_cantidad]]-Tabla__192.168.1.8_POSEIDONSQL_APPFVT_01_tbl_detalle_fill_rate[[#This Row],[dev_cantidad]]</f>
        <v>1</v>
      </c>
      <c r="P4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7" s="1">
        <f>+Tabla__192.168.1.8_POSEIDONSQL_APPFVT_01_tbl_detalle_fill_rate[[#This Row],[Cumpl Real Unds]]-Tabla__192.168.1.8_POSEIDONSQL_APPFVT_01_tbl_detalle_fill_rate[[#This Row],[Cant Embarcada]]</f>
        <v>0</v>
      </c>
      <c r="S417" s="1">
        <f>+IF(Tabla__192.168.1.8_POSEIDONSQL_APPFVT_01_tbl_detalle_fill_rate[[#This Row],[Pend Emb]]&gt;0,1,0)</f>
        <v>0</v>
      </c>
      <c r="T4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8" spans="1:20" x14ac:dyDescent="0.25">
      <c r="A418">
        <v>9</v>
      </c>
      <c r="B418" t="s">
        <v>48</v>
      </c>
      <c r="C418">
        <v>9191718</v>
      </c>
      <c r="D418" s="48">
        <v>43341</v>
      </c>
      <c r="E418" s="48">
        <v>43340</v>
      </c>
      <c r="F418" s="48">
        <v>43353</v>
      </c>
      <c r="G418" t="s">
        <v>642</v>
      </c>
      <c r="H418" t="s">
        <v>643</v>
      </c>
      <c r="I418">
        <v>1</v>
      </c>
      <c r="J418" t="s">
        <v>1794</v>
      </c>
      <c r="K418">
        <v>1</v>
      </c>
      <c r="L418">
        <v>1</v>
      </c>
      <c r="M418" t="s">
        <v>163</v>
      </c>
      <c r="N418">
        <v>0</v>
      </c>
      <c r="O418" s="1">
        <f>+Tabla__192.168.1.8_POSEIDONSQL_APPFVT_01_tbl_detalle_fill_rate[[#This Row],[emb_cantidad]]-Tabla__192.168.1.8_POSEIDONSQL_APPFVT_01_tbl_detalle_fill_rate[[#This Row],[dev_cantidad]]</f>
        <v>1</v>
      </c>
      <c r="P4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8" s="1">
        <f>+Tabla__192.168.1.8_POSEIDONSQL_APPFVT_01_tbl_detalle_fill_rate[[#This Row],[Cumpl Real Unds]]-Tabla__192.168.1.8_POSEIDONSQL_APPFVT_01_tbl_detalle_fill_rate[[#This Row],[Cant Embarcada]]</f>
        <v>0</v>
      </c>
      <c r="S418" s="1">
        <f>+IF(Tabla__192.168.1.8_POSEIDONSQL_APPFVT_01_tbl_detalle_fill_rate[[#This Row],[Pend Emb]]&gt;0,1,0)</f>
        <v>0</v>
      </c>
      <c r="T4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19" spans="1:20" x14ac:dyDescent="0.25">
      <c r="A419">
        <v>9</v>
      </c>
      <c r="B419" t="s">
        <v>48</v>
      </c>
      <c r="C419">
        <v>9191778</v>
      </c>
      <c r="D419" s="48">
        <v>43341</v>
      </c>
      <c r="E419" s="48">
        <v>43340</v>
      </c>
      <c r="F419" s="48">
        <v>43350</v>
      </c>
      <c r="G419" t="s">
        <v>92</v>
      </c>
      <c r="H419" t="s">
        <v>93</v>
      </c>
      <c r="I419">
        <v>1</v>
      </c>
      <c r="J419" t="s">
        <v>1121</v>
      </c>
      <c r="K419">
        <v>1</v>
      </c>
      <c r="L419">
        <v>1</v>
      </c>
      <c r="M419" t="s">
        <v>1969</v>
      </c>
      <c r="N419">
        <v>0</v>
      </c>
      <c r="O419" s="1">
        <f>+Tabla__192.168.1.8_POSEIDONSQL_APPFVT_01_tbl_detalle_fill_rate[[#This Row],[emb_cantidad]]-Tabla__192.168.1.8_POSEIDONSQL_APPFVT_01_tbl_detalle_fill_rate[[#This Row],[dev_cantidad]]</f>
        <v>1</v>
      </c>
      <c r="P4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19" s="1">
        <f>+Tabla__192.168.1.8_POSEIDONSQL_APPFVT_01_tbl_detalle_fill_rate[[#This Row],[Cumpl Real Unds]]-Tabla__192.168.1.8_POSEIDONSQL_APPFVT_01_tbl_detalle_fill_rate[[#This Row],[Cant Embarcada]]</f>
        <v>0</v>
      </c>
      <c r="S419" s="1">
        <f>+IF(Tabla__192.168.1.8_POSEIDONSQL_APPFVT_01_tbl_detalle_fill_rate[[#This Row],[Pend Emb]]&gt;0,1,0)</f>
        <v>0</v>
      </c>
      <c r="T4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0" spans="1:20" x14ac:dyDescent="0.25">
      <c r="A420">
        <v>9</v>
      </c>
      <c r="B420" t="s">
        <v>48</v>
      </c>
      <c r="C420">
        <v>9191778</v>
      </c>
      <c r="D420" s="48">
        <v>43341</v>
      </c>
      <c r="E420" s="48">
        <v>43340</v>
      </c>
      <c r="F420" s="48">
        <v>43350</v>
      </c>
      <c r="G420" t="s">
        <v>269</v>
      </c>
      <c r="H420" t="s">
        <v>270</v>
      </c>
      <c r="I420">
        <v>1</v>
      </c>
      <c r="J420" t="s">
        <v>1122</v>
      </c>
      <c r="K420">
        <v>1</v>
      </c>
      <c r="L420">
        <v>1</v>
      </c>
      <c r="M420" t="s">
        <v>1969</v>
      </c>
      <c r="N420">
        <v>0</v>
      </c>
      <c r="O420" s="1">
        <f>+Tabla__192.168.1.8_POSEIDONSQL_APPFVT_01_tbl_detalle_fill_rate[[#This Row],[emb_cantidad]]-Tabla__192.168.1.8_POSEIDONSQL_APPFVT_01_tbl_detalle_fill_rate[[#This Row],[dev_cantidad]]</f>
        <v>1</v>
      </c>
      <c r="P4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0" s="1">
        <f>+Tabla__192.168.1.8_POSEIDONSQL_APPFVT_01_tbl_detalle_fill_rate[[#This Row],[Cumpl Real Unds]]-Tabla__192.168.1.8_POSEIDONSQL_APPFVT_01_tbl_detalle_fill_rate[[#This Row],[Cant Embarcada]]</f>
        <v>0</v>
      </c>
      <c r="S420" s="1">
        <f>+IF(Tabla__192.168.1.8_POSEIDONSQL_APPFVT_01_tbl_detalle_fill_rate[[#This Row],[Pend Emb]]&gt;0,1,0)</f>
        <v>0</v>
      </c>
      <c r="T4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1" spans="1:20" x14ac:dyDescent="0.25">
      <c r="A421">
        <v>9</v>
      </c>
      <c r="B421" t="s">
        <v>48</v>
      </c>
      <c r="C421">
        <v>9191907</v>
      </c>
      <c r="D421" s="48">
        <v>43341</v>
      </c>
      <c r="E421" s="48">
        <v>43340</v>
      </c>
      <c r="F421" s="48">
        <v>43348</v>
      </c>
      <c r="G421" t="s">
        <v>114</v>
      </c>
      <c r="H421" t="s">
        <v>115</v>
      </c>
      <c r="I421">
        <v>1</v>
      </c>
      <c r="J421" t="s">
        <v>1793</v>
      </c>
      <c r="K421">
        <v>1</v>
      </c>
      <c r="L421">
        <v>1</v>
      </c>
      <c r="M421" t="s">
        <v>160</v>
      </c>
      <c r="N421">
        <v>0</v>
      </c>
      <c r="O421" s="1">
        <f>+Tabla__192.168.1.8_POSEIDONSQL_APPFVT_01_tbl_detalle_fill_rate[[#This Row],[emb_cantidad]]-Tabla__192.168.1.8_POSEIDONSQL_APPFVT_01_tbl_detalle_fill_rate[[#This Row],[dev_cantidad]]</f>
        <v>1</v>
      </c>
      <c r="P4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1" s="1">
        <f>+Tabla__192.168.1.8_POSEIDONSQL_APPFVT_01_tbl_detalle_fill_rate[[#This Row],[Cumpl Real Unds]]-Tabla__192.168.1.8_POSEIDONSQL_APPFVT_01_tbl_detalle_fill_rate[[#This Row],[Cant Embarcada]]</f>
        <v>0</v>
      </c>
      <c r="S421" s="1">
        <f>+IF(Tabla__192.168.1.8_POSEIDONSQL_APPFVT_01_tbl_detalle_fill_rate[[#This Row],[Pend Emb]]&gt;0,1,0)</f>
        <v>0</v>
      </c>
      <c r="T4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2" spans="1:20" x14ac:dyDescent="0.25">
      <c r="A422">
        <v>9</v>
      </c>
      <c r="B422" t="s">
        <v>48</v>
      </c>
      <c r="C422">
        <v>9191962</v>
      </c>
      <c r="D422" s="48">
        <v>43341</v>
      </c>
      <c r="E422" s="48">
        <v>43340</v>
      </c>
      <c r="F422" s="48">
        <v>43348</v>
      </c>
      <c r="G422" t="s">
        <v>92</v>
      </c>
      <c r="H422" t="s">
        <v>93</v>
      </c>
      <c r="I422">
        <v>1</v>
      </c>
      <c r="J422" t="s">
        <v>1787</v>
      </c>
      <c r="K422">
        <v>1</v>
      </c>
      <c r="L422">
        <v>1</v>
      </c>
      <c r="M422" t="s">
        <v>160</v>
      </c>
      <c r="N422">
        <v>0</v>
      </c>
      <c r="O422" s="1">
        <f>+Tabla__192.168.1.8_POSEIDONSQL_APPFVT_01_tbl_detalle_fill_rate[[#This Row],[emb_cantidad]]-Tabla__192.168.1.8_POSEIDONSQL_APPFVT_01_tbl_detalle_fill_rate[[#This Row],[dev_cantidad]]</f>
        <v>1</v>
      </c>
      <c r="P4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2" s="1">
        <f>+Tabla__192.168.1.8_POSEIDONSQL_APPFVT_01_tbl_detalle_fill_rate[[#This Row],[Cumpl Real Unds]]-Tabla__192.168.1.8_POSEIDONSQL_APPFVT_01_tbl_detalle_fill_rate[[#This Row],[Cant Embarcada]]</f>
        <v>0</v>
      </c>
      <c r="S422" s="1">
        <f>+IF(Tabla__192.168.1.8_POSEIDONSQL_APPFVT_01_tbl_detalle_fill_rate[[#This Row],[Pend Emb]]&gt;0,1,0)</f>
        <v>0</v>
      </c>
      <c r="T4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3" spans="1:20" x14ac:dyDescent="0.25">
      <c r="A423">
        <v>9</v>
      </c>
      <c r="B423" t="s">
        <v>48</v>
      </c>
      <c r="C423">
        <v>9192065</v>
      </c>
      <c r="D423" s="48">
        <v>43341</v>
      </c>
      <c r="E423" s="48">
        <v>43340</v>
      </c>
      <c r="F423" s="48">
        <v>43348</v>
      </c>
      <c r="G423" t="s">
        <v>70</v>
      </c>
      <c r="H423" t="s">
        <v>71</v>
      </c>
      <c r="I423">
        <v>1</v>
      </c>
      <c r="J423" t="s">
        <v>1788</v>
      </c>
      <c r="K423">
        <v>1</v>
      </c>
      <c r="L423">
        <v>1</v>
      </c>
      <c r="M423" t="s">
        <v>160</v>
      </c>
      <c r="N423">
        <v>0</v>
      </c>
      <c r="O423" s="1">
        <f>+Tabla__192.168.1.8_POSEIDONSQL_APPFVT_01_tbl_detalle_fill_rate[[#This Row],[emb_cantidad]]-Tabla__192.168.1.8_POSEIDONSQL_APPFVT_01_tbl_detalle_fill_rate[[#This Row],[dev_cantidad]]</f>
        <v>1</v>
      </c>
      <c r="P4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3" s="1">
        <f>+Tabla__192.168.1.8_POSEIDONSQL_APPFVT_01_tbl_detalle_fill_rate[[#This Row],[Cumpl Real Unds]]-Tabla__192.168.1.8_POSEIDONSQL_APPFVT_01_tbl_detalle_fill_rate[[#This Row],[Cant Embarcada]]</f>
        <v>0</v>
      </c>
      <c r="S423" s="1">
        <f>+IF(Tabla__192.168.1.8_POSEIDONSQL_APPFVT_01_tbl_detalle_fill_rate[[#This Row],[Pend Emb]]&gt;0,1,0)</f>
        <v>0</v>
      </c>
      <c r="T4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4" spans="1:20" x14ac:dyDescent="0.25">
      <c r="A424">
        <v>9</v>
      </c>
      <c r="B424" t="s">
        <v>48</v>
      </c>
      <c r="C424">
        <v>9192222</v>
      </c>
      <c r="D424" s="48">
        <v>43341</v>
      </c>
      <c r="E424" s="48">
        <v>43340</v>
      </c>
      <c r="F424" s="48">
        <v>43348</v>
      </c>
      <c r="G424" t="s">
        <v>84</v>
      </c>
      <c r="H424" t="s">
        <v>85</v>
      </c>
      <c r="I424">
        <v>1</v>
      </c>
      <c r="J424" t="s">
        <v>1789</v>
      </c>
      <c r="K424">
        <v>1</v>
      </c>
      <c r="L424">
        <v>1</v>
      </c>
      <c r="M424" t="s">
        <v>160</v>
      </c>
      <c r="N424">
        <v>0</v>
      </c>
      <c r="O424" s="1">
        <f>+Tabla__192.168.1.8_POSEIDONSQL_APPFVT_01_tbl_detalle_fill_rate[[#This Row],[emb_cantidad]]-Tabla__192.168.1.8_POSEIDONSQL_APPFVT_01_tbl_detalle_fill_rate[[#This Row],[dev_cantidad]]</f>
        <v>1</v>
      </c>
      <c r="P4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4" s="1">
        <f>+Tabla__192.168.1.8_POSEIDONSQL_APPFVT_01_tbl_detalle_fill_rate[[#This Row],[Cumpl Real Unds]]-Tabla__192.168.1.8_POSEIDONSQL_APPFVT_01_tbl_detalle_fill_rate[[#This Row],[Cant Embarcada]]</f>
        <v>0</v>
      </c>
      <c r="S424" s="1">
        <f>+IF(Tabla__192.168.1.8_POSEIDONSQL_APPFVT_01_tbl_detalle_fill_rate[[#This Row],[Pend Emb]]&gt;0,1,0)</f>
        <v>0</v>
      </c>
      <c r="T4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5" spans="1:20" x14ac:dyDescent="0.25">
      <c r="A425">
        <v>9</v>
      </c>
      <c r="B425" t="s">
        <v>48</v>
      </c>
      <c r="C425">
        <v>9192245</v>
      </c>
      <c r="D425" s="48">
        <v>43341</v>
      </c>
      <c r="E425" s="48">
        <v>43340</v>
      </c>
      <c r="F425" s="48">
        <v>43348</v>
      </c>
      <c r="G425" t="s">
        <v>533</v>
      </c>
      <c r="H425" t="s">
        <v>534</v>
      </c>
      <c r="I425">
        <v>1</v>
      </c>
      <c r="J425" t="s">
        <v>1790</v>
      </c>
      <c r="K425">
        <v>1</v>
      </c>
      <c r="L425">
        <v>1</v>
      </c>
      <c r="M425" t="s">
        <v>160</v>
      </c>
      <c r="N425">
        <v>0</v>
      </c>
      <c r="O425" s="1">
        <f>+Tabla__192.168.1.8_POSEIDONSQL_APPFVT_01_tbl_detalle_fill_rate[[#This Row],[emb_cantidad]]-Tabla__192.168.1.8_POSEIDONSQL_APPFVT_01_tbl_detalle_fill_rate[[#This Row],[dev_cantidad]]</f>
        <v>1</v>
      </c>
      <c r="P4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5" s="1">
        <f>+Tabla__192.168.1.8_POSEIDONSQL_APPFVT_01_tbl_detalle_fill_rate[[#This Row],[Cumpl Real Unds]]-Tabla__192.168.1.8_POSEIDONSQL_APPFVT_01_tbl_detalle_fill_rate[[#This Row],[Cant Embarcada]]</f>
        <v>0</v>
      </c>
      <c r="S425" s="1">
        <f>+IF(Tabla__192.168.1.8_POSEIDONSQL_APPFVT_01_tbl_detalle_fill_rate[[#This Row],[Pend Emb]]&gt;0,1,0)</f>
        <v>0</v>
      </c>
      <c r="T4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6" spans="1:20" x14ac:dyDescent="0.25">
      <c r="A426">
        <v>9</v>
      </c>
      <c r="B426" t="s">
        <v>48</v>
      </c>
      <c r="C426">
        <v>9192245</v>
      </c>
      <c r="D426" s="48">
        <v>43341</v>
      </c>
      <c r="E426" s="48">
        <v>43341</v>
      </c>
      <c r="F426" s="48">
        <v>43348</v>
      </c>
      <c r="G426" t="s">
        <v>80</v>
      </c>
      <c r="H426" t="s">
        <v>81</v>
      </c>
      <c r="I426">
        <v>1</v>
      </c>
      <c r="J426" t="s">
        <v>1791</v>
      </c>
      <c r="K426">
        <v>1</v>
      </c>
      <c r="L426">
        <v>1</v>
      </c>
      <c r="M426" t="s">
        <v>160</v>
      </c>
      <c r="N426">
        <v>0</v>
      </c>
      <c r="O426" s="1">
        <f>+Tabla__192.168.1.8_POSEIDONSQL_APPFVT_01_tbl_detalle_fill_rate[[#This Row],[emb_cantidad]]-Tabla__192.168.1.8_POSEIDONSQL_APPFVT_01_tbl_detalle_fill_rate[[#This Row],[dev_cantidad]]</f>
        <v>1</v>
      </c>
      <c r="P4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6" s="1">
        <f>+Tabla__192.168.1.8_POSEIDONSQL_APPFVT_01_tbl_detalle_fill_rate[[#This Row],[Cumpl Real Unds]]-Tabla__192.168.1.8_POSEIDONSQL_APPFVT_01_tbl_detalle_fill_rate[[#This Row],[Cant Embarcada]]</f>
        <v>0</v>
      </c>
      <c r="S426" s="1">
        <f>+IF(Tabla__192.168.1.8_POSEIDONSQL_APPFVT_01_tbl_detalle_fill_rate[[#This Row],[Pend Emb]]&gt;0,1,0)</f>
        <v>0</v>
      </c>
      <c r="T4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7" spans="1:20" x14ac:dyDescent="0.25">
      <c r="A427">
        <v>9</v>
      </c>
      <c r="B427" t="s">
        <v>48</v>
      </c>
      <c r="C427">
        <v>9192245</v>
      </c>
      <c r="D427" s="48">
        <v>43341</v>
      </c>
      <c r="E427" s="48">
        <v>43341</v>
      </c>
      <c r="F427" s="48">
        <v>43367</v>
      </c>
      <c r="G427" t="s">
        <v>251</v>
      </c>
      <c r="H427" t="s">
        <v>252</v>
      </c>
      <c r="I427">
        <v>1</v>
      </c>
      <c r="J427" t="s">
        <v>1000</v>
      </c>
      <c r="K427">
        <v>1</v>
      </c>
      <c r="L427">
        <v>1</v>
      </c>
      <c r="M427" t="s">
        <v>416</v>
      </c>
      <c r="N427">
        <v>0</v>
      </c>
      <c r="O427" s="1">
        <f>+Tabla__192.168.1.8_POSEIDONSQL_APPFVT_01_tbl_detalle_fill_rate[[#This Row],[emb_cantidad]]-Tabla__192.168.1.8_POSEIDONSQL_APPFVT_01_tbl_detalle_fill_rate[[#This Row],[dev_cantidad]]</f>
        <v>1</v>
      </c>
      <c r="P4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7" s="1">
        <f>+Tabla__192.168.1.8_POSEIDONSQL_APPFVT_01_tbl_detalle_fill_rate[[#This Row],[Cumpl Real Unds]]-Tabla__192.168.1.8_POSEIDONSQL_APPFVT_01_tbl_detalle_fill_rate[[#This Row],[Cant Embarcada]]</f>
        <v>0</v>
      </c>
      <c r="S427" s="1">
        <f>+IF(Tabla__192.168.1.8_POSEIDONSQL_APPFVT_01_tbl_detalle_fill_rate[[#This Row],[Pend Emb]]&gt;0,1,0)</f>
        <v>0</v>
      </c>
      <c r="T4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8" spans="1:20" x14ac:dyDescent="0.25">
      <c r="A428">
        <v>9</v>
      </c>
      <c r="B428" t="s">
        <v>48</v>
      </c>
      <c r="C428">
        <v>9192431</v>
      </c>
      <c r="D428" s="48">
        <v>43342</v>
      </c>
      <c r="E428" s="48">
        <v>43341</v>
      </c>
      <c r="F428" s="48">
        <v>43348</v>
      </c>
      <c r="G428" t="s">
        <v>240</v>
      </c>
      <c r="H428" t="s">
        <v>241</v>
      </c>
      <c r="I428">
        <v>1</v>
      </c>
      <c r="J428" t="s">
        <v>809</v>
      </c>
      <c r="K428">
        <v>1</v>
      </c>
      <c r="L428">
        <v>1</v>
      </c>
      <c r="M428" t="s">
        <v>160</v>
      </c>
      <c r="N428">
        <v>0</v>
      </c>
      <c r="O428" s="1">
        <f>+Tabla__192.168.1.8_POSEIDONSQL_APPFVT_01_tbl_detalle_fill_rate[[#This Row],[emb_cantidad]]-Tabla__192.168.1.8_POSEIDONSQL_APPFVT_01_tbl_detalle_fill_rate[[#This Row],[dev_cantidad]]</f>
        <v>1</v>
      </c>
      <c r="P4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8" s="1">
        <f>+Tabla__192.168.1.8_POSEIDONSQL_APPFVT_01_tbl_detalle_fill_rate[[#This Row],[Cumpl Real Unds]]-Tabla__192.168.1.8_POSEIDONSQL_APPFVT_01_tbl_detalle_fill_rate[[#This Row],[Cant Embarcada]]</f>
        <v>0</v>
      </c>
      <c r="S428" s="1">
        <f>+IF(Tabla__192.168.1.8_POSEIDONSQL_APPFVT_01_tbl_detalle_fill_rate[[#This Row],[Pend Emb]]&gt;0,1,0)</f>
        <v>0</v>
      </c>
      <c r="T4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29" spans="1:20" x14ac:dyDescent="0.25">
      <c r="A429">
        <v>9</v>
      </c>
      <c r="B429" t="s">
        <v>48</v>
      </c>
      <c r="C429">
        <v>9192484</v>
      </c>
      <c r="D429" s="48">
        <v>43342</v>
      </c>
      <c r="E429" s="48">
        <v>43341</v>
      </c>
      <c r="F429" s="48">
        <v>43350</v>
      </c>
      <c r="G429" t="s">
        <v>140</v>
      </c>
      <c r="H429" t="s">
        <v>141</v>
      </c>
      <c r="I429">
        <v>1</v>
      </c>
      <c r="J429" t="s">
        <v>1120</v>
      </c>
      <c r="K429">
        <v>1</v>
      </c>
      <c r="L429">
        <v>1</v>
      </c>
      <c r="M429" t="s">
        <v>1969</v>
      </c>
      <c r="N429">
        <v>0</v>
      </c>
      <c r="O429" s="1">
        <f>+Tabla__192.168.1.8_POSEIDONSQL_APPFVT_01_tbl_detalle_fill_rate[[#This Row],[emb_cantidad]]-Tabla__192.168.1.8_POSEIDONSQL_APPFVT_01_tbl_detalle_fill_rate[[#This Row],[dev_cantidad]]</f>
        <v>1</v>
      </c>
      <c r="P4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29" s="1">
        <f>+Tabla__192.168.1.8_POSEIDONSQL_APPFVT_01_tbl_detalle_fill_rate[[#This Row],[Cumpl Real Unds]]-Tabla__192.168.1.8_POSEIDONSQL_APPFVT_01_tbl_detalle_fill_rate[[#This Row],[Cant Embarcada]]</f>
        <v>0</v>
      </c>
      <c r="S429" s="1">
        <f>+IF(Tabla__192.168.1.8_POSEIDONSQL_APPFVT_01_tbl_detalle_fill_rate[[#This Row],[Pend Emb]]&gt;0,1,0)</f>
        <v>0</v>
      </c>
      <c r="T4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0" spans="1:20" x14ac:dyDescent="0.25">
      <c r="A430">
        <v>9</v>
      </c>
      <c r="B430" t="s">
        <v>48</v>
      </c>
      <c r="C430">
        <v>9192484</v>
      </c>
      <c r="D430" s="48">
        <v>43342</v>
      </c>
      <c r="E430" s="48">
        <v>43341</v>
      </c>
      <c r="F430" s="48">
        <v>43348</v>
      </c>
      <c r="G430" t="s">
        <v>92</v>
      </c>
      <c r="H430" t="s">
        <v>93</v>
      </c>
      <c r="I430">
        <v>1</v>
      </c>
      <c r="J430" t="s">
        <v>810</v>
      </c>
      <c r="K430">
        <v>1</v>
      </c>
      <c r="L430">
        <v>1</v>
      </c>
      <c r="M430" t="s">
        <v>160</v>
      </c>
      <c r="N430">
        <v>0</v>
      </c>
      <c r="O430" s="1">
        <f>+Tabla__192.168.1.8_POSEIDONSQL_APPFVT_01_tbl_detalle_fill_rate[[#This Row],[emb_cantidad]]-Tabla__192.168.1.8_POSEIDONSQL_APPFVT_01_tbl_detalle_fill_rate[[#This Row],[dev_cantidad]]</f>
        <v>1</v>
      </c>
      <c r="P4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0" s="1">
        <f>+Tabla__192.168.1.8_POSEIDONSQL_APPFVT_01_tbl_detalle_fill_rate[[#This Row],[Cumpl Real Unds]]-Tabla__192.168.1.8_POSEIDONSQL_APPFVT_01_tbl_detalle_fill_rate[[#This Row],[Cant Embarcada]]</f>
        <v>0</v>
      </c>
      <c r="S430" s="1">
        <f>+IF(Tabla__192.168.1.8_POSEIDONSQL_APPFVT_01_tbl_detalle_fill_rate[[#This Row],[Pend Emb]]&gt;0,1,0)</f>
        <v>0</v>
      </c>
      <c r="T4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1" spans="1:20" x14ac:dyDescent="0.25">
      <c r="A431">
        <v>9</v>
      </c>
      <c r="B431" t="s">
        <v>48</v>
      </c>
      <c r="C431">
        <v>9192484</v>
      </c>
      <c r="D431" s="48">
        <v>43342</v>
      </c>
      <c r="E431" s="48">
        <v>43341</v>
      </c>
      <c r="F431" s="48">
        <v>43348</v>
      </c>
      <c r="G431" t="s">
        <v>1116</v>
      </c>
      <c r="H431" t="s">
        <v>1117</v>
      </c>
      <c r="I431">
        <v>1</v>
      </c>
      <c r="J431" t="s">
        <v>1118</v>
      </c>
      <c r="K431">
        <v>1</v>
      </c>
      <c r="L431">
        <v>1</v>
      </c>
      <c r="M431" t="s">
        <v>160</v>
      </c>
      <c r="N431">
        <v>0</v>
      </c>
      <c r="O431" s="1">
        <f>+Tabla__192.168.1.8_POSEIDONSQL_APPFVT_01_tbl_detalle_fill_rate[[#This Row],[emb_cantidad]]-Tabla__192.168.1.8_POSEIDONSQL_APPFVT_01_tbl_detalle_fill_rate[[#This Row],[dev_cantidad]]</f>
        <v>1</v>
      </c>
      <c r="P4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1" s="1">
        <f>+Tabla__192.168.1.8_POSEIDONSQL_APPFVT_01_tbl_detalle_fill_rate[[#This Row],[Cumpl Real Unds]]-Tabla__192.168.1.8_POSEIDONSQL_APPFVT_01_tbl_detalle_fill_rate[[#This Row],[Cant Embarcada]]</f>
        <v>0</v>
      </c>
      <c r="S431" s="1">
        <f>+IF(Tabla__192.168.1.8_POSEIDONSQL_APPFVT_01_tbl_detalle_fill_rate[[#This Row],[Pend Emb]]&gt;0,1,0)</f>
        <v>0</v>
      </c>
      <c r="T4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2" spans="1:20" x14ac:dyDescent="0.25">
      <c r="A432">
        <v>9</v>
      </c>
      <c r="B432" t="s">
        <v>48</v>
      </c>
      <c r="C432">
        <v>9192624</v>
      </c>
      <c r="D432" s="48">
        <v>43342</v>
      </c>
      <c r="E432" s="48">
        <v>43341</v>
      </c>
      <c r="F432" s="48">
        <v>43348</v>
      </c>
      <c r="G432" t="s">
        <v>92</v>
      </c>
      <c r="H432" t="s">
        <v>93</v>
      </c>
      <c r="I432">
        <v>1</v>
      </c>
      <c r="J432" t="s">
        <v>801</v>
      </c>
      <c r="K432">
        <v>1</v>
      </c>
      <c r="L432">
        <v>1</v>
      </c>
      <c r="M432" t="s">
        <v>160</v>
      </c>
      <c r="N432">
        <v>0</v>
      </c>
      <c r="O432" s="1">
        <f>+Tabla__192.168.1.8_POSEIDONSQL_APPFVT_01_tbl_detalle_fill_rate[[#This Row],[emb_cantidad]]-Tabla__192.168.1.8_POSEIDONSQL_APPFVT_01_tbl_detalle_fill_rate[[#This Row],[dev_cantidad]]</f>
        <v>1</v>
      </c>
      <c r="P4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2" s="1">
        <f>+Tabla__192.168.1.8_POSEIDONSQL_APPFVT_01_tbl_detalle_fill_rate[[#This Row],[Cumpl Real Unds]]-Tabla__192.168.1.8_POSEIDONSQL_APPFVT_01_tbl_detalle_fill_rate[[#This Row],[Cant Embarcada]]</f>
        <v>0</v>
      </c>
      <c r="S432" s="1">
        <f>+IF(Tabla__192.168.1.8_POSEIDONSQL_APPFVT_01_tbl_detalle_fill_rate[[#This Row],[Pend Emb]]&gt;0,1,0)</f>
        <v>0</v>
      </c>
      <c r="T4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3" spans="1:20" x14ac:dyDescent="0.25">
      <c r="A433">
        <v>9</v>
      </c>
      <c r="B433" t="s">
        <v>48</v>
      </c>
      <c r="C433">
        <v>9192624</v>
      </c>
      <c r="D433" s="48">
        <v>43342</v>
      </c>
      <c r="E433" s="48">
        <v>43341</v>
      </c>
      <c r="F433" s="48">
        <v>43355</v>
      </c>
      <c r="G433" t="s">
        <v>461</v>
      </c>
      <c r="H433" t="s">
        <v>462</v>
      </c>
      <c r="I433">
        <v>1</v>
      </c>
      <c r="J433" t="s">
        <v>1168</v>
      </c>
      <c r="K433">
        <v>1</v>
      </c>
      <c r="L433">
        <v>1</v>
      </c>
      <c r="M433" t="s">
        <v>427</v>
      </c>
      <c r="N433">
        <v>0</v>
      </c>
      <c r="O433" s="1">
        <f>+Tabla__192.168.1.8_POSEIDONSQL_APPFVT_01_tbl_detalle_fill_rate[[#This Row],[emb_cantidad]]-Tabla__192.168.1.8_POSEIDONSQL_APPFVT_01_tbl_detalle_fill_rate[[#This Row],[dev_cantidad]]</f>
        <v>1</v>
      </c>
      <c r="P4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3" s="1">
        <f>+Tabla__192.168.1.8_POSEIDONSQL_APPFVT_01_tbl_detalle_fill_rate[[#This Row],[Cumpl Real Unds]]-Tabla__192.168.1.8_POSEIDONSQL_APPFVT_01_tbl_detalle_fill_rate[[#This Row],[Cant Embarcada]]</f>
        <v>0</v>
      </c>
      <c r="S433" s="1">
        <f>+IF(Tabla__192.168.1.8_POSEIDONSQL_APPFVT_01_tbl_detalle_fill_rate[[#This Row],[Pend Emb]]&gt;0,1,0)</f>
        <v>0</v>
      </c>
      <c r="T4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4" spans="1:20" x14ac:dyDescent="0.25">
      <c r="A434">
        <v>9</v>
      </c>
      <c r="B434" t="s">
        <v>48</v>
      </c>
      <c r="C434">
        <v>9192624</v>
      </c>
      <c r="D434" s="48">
        <v>43342</v>
      </c>
      <c r="E434" s="48">
        <v>43341</v>
      </c>
      <c r="F434" s="48">
        <v>43343</v>
      </c>
      <c r="G434" t="s">
        <v>146</v>
      </c>
      <c r="H434" t="s">
        <v>147</v>
      </c>
      <c r="I434">
        <v>1</v>
      </c>
      <c r="J434" t="s">
        <v>799</v>
      </c>
      <c r="K434">
        <v>1</v>
      </c>
      <c r="L434">
        <v>1</v>
      </c>
      <c r="M434" t="s">
        <v>1962</v>
      </c>
      <c r="N434">
        <v>0</v>
      </c>
      <c r="O434" s="1">
        <f>+Tabla__192.168.1.8_POSEIDONSQL_APPFVT_01_tbl_detalle_fill_rate[[#This Row],[emb_cantidad]]-Tabla__192.168.1.8_POSEIDONSQL_APPFVT_01_tbl_detalle_fill_rate[[#This Row],[dev_cantidad]]</f>
        <v>1</v>
      </c>
      <c r="P4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4" s="1">
        <f>+Tabla__192.168.1.8_POSEIDONSQL_APPFVT_01_tbl_detalle_fill_rate[[#This Row],[Cumpl Real Unds]]-Tabla__192.168.1.8_POSEIDONSQL_APPFVT_01_tbl_detalle_fill_rate[[#This Row],[Cant Embarcada]]</f>
        <v>0</v>
      </c>
      <c r="S434" s="1">
        <f>+IF(Tabla__192.168.1.8_POSEIDONSQL_APPFVT_01_tbl_detalle_fill_rate[[#This Row],[Pend Emb]]&gt;0,1,0)</f>
        <v>0</v>
      </c>
      <c r="T4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5" spans="1:20" x14ac:dyDescent="0.25">
      <c r="A435">
        <v>9</v>
      </c>
      <c r="B435" t="s">
        <v>48</v>
      </c>
      <c r="C435">
        <v>9192685</v>
      </c>
      <c r="D435" s="48">
        <v>43342</v>
      </c>
      <c r="E435" s="48">
        <v>43341</v>
      </c>
      <c r="F435" s="48">
        <v>43350</v>
      </c>
      <c r="G435" t="s">
        <v>74</v>
      </c>
      <c r="H435" t="s">
        <v>75</v>
      </c>
      <c r="I435">
        <v>1</v>
      </c>
      <c r="J435" t="s">
        <v>1119</v>
      </c>
      <c r="K435">
        <v>1</v>
      </c>
      <c r="L435">
        <v>1</v>
      </c>
      <c r="M435" t="s">
        <v>1969</v>
      </c>
      <c r="N435">
        <v>0</v>
      </c>
      <c r="O435" s="1">
        <f>+Tabla__192.168.1.8_POSEIDONSQL_APPFVT_01_tbl_detalle_fill_rate[[#This Row],[emb_cantidad]]-Tabla__192.168.1.8_POSEIDONSQL_APPFVT_01_tbl_detalle_fill_rate[[#This Row],[dev_cantidad]]</f>
        <v>1</v>
      </c>
      <c r="P4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5" s="1">
        <f>+Tabla__192.168.1.8_POSEIDONSQL_APPFVT_01_tbl_detalle_fill_rate[[#This Row],[Cumpl Real Unds]]-Tabla__192.168.1.8_POSEIDONSQL_APPFVT_01_tbl_detalle_fill_rate[[#This Row],[Cant Embarcada]]</f>
        <v>0</v>
      </c>
      <c r="S435" s="1">
        <f>+IF(Tabla__192.168.1.8_POSEIDONSQL_APPFVT_01_tbl_detalle_fill_rate[[#This Row],[Pend Emb]]&gt;0,1,0)</f>
        <v>0</v>
      </c>
      <c r="T4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6" spans="1:20" x14ac:dyDescent="0.25">
      <c r="A436">
        <v>9</v>
      </c>
      <c r="B436" t="s">
        <v>48</v>
      </c>
      <c r="C436">
        <v>9192685</v>
      </c>
      <c r="D436" s="48">
        <v>43342</v>
      </c>
      <c r="E436" s="48">
        <v>43341</v>
      </c>
      <c r="F436" s="48">
        <v>43348</v>
      </c>
      <c r="G436" t="s">
        <v>104</v>
      </c>
      <c r="H436" t="s">
        <v>105</v>
      </c>
      <c r="I436">
        <v>1</v>
      </c>
      <c r="J436" t="s">
        <v>802</v>
      </c>
      <c r="K436">
        <v>1</v>
      </c>
      <c r="L436">
        <v>1</v>
      </c>
      <c r="M436" t="s">
        <v>160</v>
      </c>
      <c r="N436">
        <v>0</v>
      </c>
      <c r="O436" s="1">
        <f>+Tabla__192.168.1.8_POSEIDONSQL_APPFVT_01_tbl_detalle_fill_rate[[#This Row],[emb_cantidad]]-Tabla__192.168.1.8_POSEIDONSQL_APPFVT_01_tbl_detalle_fill_rate[[#This Row],[dev_cantidad]]</f>
        <v>1</v>
      </c>
      <c r="P4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6" s="1">
        <f>+Tabla__192.168.1.8_POSEIDONSQL_APPFVT_01_tbl_detalle_fill_rate[[#This Row],[Cumpl Real Unds]]-Tabla__192.168.1.8_POSEIDONSQL_APPFVT_01_tbl_detalle_fill_rate[[#This Row],[Cant Embarcada]]</f>
        <v>0</v>
      </c>
      <c r="S436" s="1">
        <f>+IF(Tabla__192.168.1.8_POSEIDONSQL_APPFVT_01_tbl_detalle_fill_rate[[#This Row],[Pend Emb]]&gt;0,1,0)</f>
        <v>0</v>
      </c>
      <c r="T4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7" spans="1:20" x14ac:dyDescent="0.25">
      <c r="A437">
        <v>9</v>
      </c>
      <c r="B437" t="s">
        <v>48</v>
      </c>
      <c r="C437">
        <v>9192685</v>
      </c>
      <c r="D437" s="48">
        <v>43342</v>
      </c>
      <c r="E437" s="48">
        <v>43341</v>
      </c>
      <c r="F437" s="48">
        <v>43348</v>
      </c>
      <c r="G437" t="s">
        <v>106</v>
      </c>
      <c r="H437" t="s">
        <v>107</v>
      </c>
      <c r="I437">
        <v>1</v>
      </c>
      <c r="J437" t="s">
        <v>803</v>
      </c>
      <c r="K437">
        <v>1</v>
      </c>
      <c r="L437">
        <v>1</v>
      </c>
      <c r="M437" t="s">
        <v>160</v>
      </c>
      <c r="N437">
        <v>0</v>
      </c>
      <c r="O437" s="1">
        <f>+Tabla__192.168.1.8_POSEIDONSQL_APPFVT_01_tbl_detalle_fill_rate[[#This Row],[emb_cantidad]]-Tabla__192.168.1.8_POSEIDONSQL_APPFVT_01_tbl_detalle_fill_rate[[#This Row],[dev_cantidad]]</f>
        <v>1</v>
      </c>
      <c r="P4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7" s="1">
        <f>+Tabla__192.168.1.8_POSEIDONSQL_APPFVT_01_tbl_detalle_fill_rate[[#This Row],[Cumpl Real Unds]]-Tabla__192.168.1.8_POSEIDONSQL_APPFVT_01_tbl_detalle_fill_rate[[#This Row],[Cant Embarcada]]</f>
        <v>0</v>
      </c>
      <c r="S437" s="1">
        <f>+IF(Tabla__192.168.1.8_POSEIDONSQL_APPFVT_01_tbl_detalle_fill_rate[[#This Row],[Pend Emb]]&gt;0,1,0)</f>
        <v>0</v>
      </c>
      <c r="T4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8" spans="1:20" x14ac:dyDescent="0.25">
      <c r="A438">
        <v>9</v>
      </c>
      <c r="B438" t="s">
        <v>48</v>
      </c>
      <c r="C438">
        <v>9192740</v>
      </c>
      <c r="D438" s="48">
        <v>43342</v>
      </c>
      <c r="E438" s="48">
        <v>43341</v>
      </c>
      <c r="F438" s="48">
        <v>43346</v>
      </c>
      <c r="G438" t="s">
        <v>104</v>
      </c>
      <c r="H438" t="s">
        <v>105</v>
      </c>
      <c r="I438">
        <v>1</v>
      </c>
      <c r="J438" t="s">
        <v>800</v>
      </c>
      <c r="K438">
        <v>1</v>
      </c>
      <c r="L438">
        <v>1</v>
      </c>
      <c r="M438" t="s">
        <v>1963</v>
      </c>
      <c r="N438">
        <v>0</v>
      </c>
      <c r="O438" s="1">
        <f>+Tabla__192.168.1.8_POSEIDONSQL_APPFVT_01_tbl_detalle_fill_rate[[#This Row],[emb_cantidad]]-Tabla__192.168.1.8_POSEIDONSQL_APPFVT_01_tbl_detalle_fill_rate[[#This Row],[dev_cantidad]]</f>
        <v>1</v>
      </c>
      <c r="P4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8" s="1">
        <f>+Tabla__192.168.1.8_POSEIDONSQL_APPFVT_01_tbl_detalle_fill_rate[[#This Row],[Cumpl Real Unds]]-Tabla__192.168.1.8_POSEIDONSQL_APPFVT_01_tbl_detalle_fill_rate[[#This Row],[Cant Embarcada]]</f>
        <v>0</v>
      </c>
      <c r="S438" s="1">
        <f>+IF(Tabla__192.168.1.8_POSEIDONSQL_APPFVT_01_tbl_detalle_fill_rate[[#This Row],[Pend Emb]]&gt;0,1,0)</f>
        <v>0</v>
      </c>
      <c r="T4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39" spans="1:20" x14ac:dyDescent="0.25">
      <c r="A439">
        <v>9</v>
      </c>
      <c r="B439" t="s">
        <v>48</v>
      </c>
      <c r="C439">
        <v>9192901</v>
      </c>
      <c r="D439" s="48">
        <v>43342</v>
      </c>
      <c r="E439" s="48">
        <v>43341</v>
      </c>
      <c r="F439" s="48">
        <v>43348</v>
      </c>
      <c r="G439" t="s">
        <v>259</v>
      </c>
      <c r="H439" t="s">
        <v>260</v>
      </c>
      <c r="I439">
        <v>1</v>
      </c>
      <c r="J439" t="s">
        <v>804</v>
      </c>
      <c r="K439">
        <v>1</v>
      </c>
      <c r="L439">
        <v>1</v>
      </c>
      <c r="M439" t="s">
        <v>160</v>
      </c>
      <c r="N439">
        <v>0</v>
      </c>
      <c r="O439" s="1">
        <f>+Tabla__192.168.1.8_POSEIDONSQL_APPFVT_01_tbl_detalle_fill_rate[[#This Row],[emb_cantidad]]-Tabla__192.168.1.8_POSEIDONSQL_APPFVT_01_tbl_detalle_fill_rate[[#This Row],[dev_cantidad]]</f>
        <v>1</v>
      </c>
      <c r="P4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39" s="1">
        <f>+Tabla__192.168.1.8_POSEIDONSQL_APPFVT_01_tbl_detalle_fill_rate[[#This Row],[Cumpl Real Unds]]-Tabla__192.168.1.8_POSEIDONSQL_APPFVT_01_tbl_detalle_fill_rate[[#This Row],[Cant Embarcada]]</f>
        <v>0</v>
      </c>
      <c r="S439" s="1">
        <f>+IF(Tabla__192.168.1.8_POSEIDONSQL_APPFVT_01_tbl_detalle_fill_rate[[#This Row],[Pend Emb]]&gt;0,1,0)</f>
        <v>0</v>
      </c>
      <c r="T4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0" spans="1:20" x14ac:dyDescent="0.25">
      <c r="A440">
        <v>9</v>
      </c>
      <c r="B440" t="s">
        <v>48</v>
      </c>
      <c r="C440">
        <v>9192942</v>
      </c>
      <c r="D440" s="48">
        <v>43342</v>
      </c>
      <c r="E440" s="48">
        <v>43341</v>
      </c>
      <c r="F440" s="48">
        <v>43348</v>
      </c>
      <c r="G440" t="s">
        <v>92</v>
      </c>
      <c r="H440" t="s">
        <v>93</v>
      </c>
      <c r="I440">
        <v>1</v>
      </c>
      <c r="J440" t="s">
        <v>805</v>
      </c>
      <c r="K440">
        <v>1</v>
      </c>
      <c r="L440">
        <v>1</v>
      </c>
      <c r="M440" t="s">
        <v>160</v>
      </c>
      <c r="N440">
        <v>0</v>
      </c>
      <c r="O440" s="1">
        <f>+Tabla__192.168.1.8_POSEIDONSQL_APPFVT_01_tbl_detalle_fill_rate[[#This Row],[emb_cantidad]]-Tabla__192.168.1.8_POSEIDONSQL_APPFVT_01_tbl_detalle_fill_rate[[#This Row],[dev_cantidad]]</f>
        <v>1</v>
      </c>
      <c r="P4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0" s="1">
        <f>+Tabla__192.168.1.8_POSEIDONSQL_APPFVT_01_tbl_detalle_fill_rate[[#This Row],[Cumpl Real Unds]]-Tabla__192.168.1.8_POSEIDONSQL_APPFVT_01_tbl_detalle_fill_rate[[#This Row],[Cant Embarcada]]</f>
        <v>0</v>
      </c>
      <c r="S440" s="1">
        <f>+IF(Tabla__192.168.1.8_POSEIDONSQL_APPFVT_01_tbl_detalle_fill_rate[[#This Row],[Pend Emb]]&gt;0,1,0)</f>
        <v>0</v>
      </c>
      <c r="T4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1" spans="1:20" x14ac:dyDescent="0.25">
      <c r="A441">
        <v>9</v>
      </c>
      <c r="B441" t="s">
        <v>48</v>
      </c>
      <c r="C441">
        <v>9192968</v>
      </c>
      <c r="D441" s="48">
        <v>43342</v>
      </c>
      <c r="E441" s="48">
        <v>43342</v>
      </c>
      <c r="F441" s="48">
        <v>43348</v>
      </c>
      <c r="G441" t="s">
        <v>104</v>
      </c>
      <c r="H441" t="s">
        <v>105</v>
      </c>
      <c r="I441">
        <v>1</v>
      </c>
      <c r="J441" t="s">
        <v>806</v>
      </c>
      <c r="K441">
        <v>1</v>
      </c>
      <c r="L441">
        <v>1</v>
      </c>
      <c r="M441" t="s">
        <v>160</v>
      </c>
      <c r="N441">
        <v>0</v>
      </c>
      <c r="O441" s="1">
        <f>+Tabla__192.168.1.8_POSEIDONSQL_APPFVT_01_tbl_detalle_fill_rate[[#This Row],[emb_cantidad]]-Tabla__192.168.1.8_POSEIDONSQL_APPFVT_01_tbl_detalle_fill_rate[[#This Row],[dev_cantidad]]</f>
        <v>1</v>
      </c>
      <c r="P4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1" s="1">
        <f>+Tabla__192.168.1.8_POSEIDONSQL_APPFVT_01_tbl_detalle_fill_rate[[#This Row],[Cumpl Real Unds]]-Tabla__192.168.1.8_POSEIDONSQL_APPFVT_01_tbl_detalle_fill_rate[[#This Row],[Cant Embarcada]]</f>
        <v>0</v>
      </c>
      <c r="S441" s="1">
        <f>+IF(Tabla__192.168.1.8_POSEIDONSQL_APPFVT_01_tbl_detalle_fill_rate[[#This Row],[Pend Emb]]&gt;0,1,0)</f>
        <v>0</v>
      </c>
      <c r="T4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2" spans="1:20" x14ac:dyDescent="0.25">
      <c r="A442">
        <v>9</v>
      </c>
      <c r="B442" t="s">
        <v>48</v>
      </c>
      <c r="C442">
        <v>9192968</v>
      </c>
      <c r="D442" s="48">
        <v>43342</v>
      </c>
      <c r="E442" s="48">
        <v>43342</v>
      </c>
      <c r="F442" s="48">
        <v>43348</v>
      </c>
      <c r="G442" t="s">
        <v>104</v>
      </c>
      <c r="H442" t="s">
        <v>105</v>
      </c>
      <c r="I442">
        <v>1</v>
      </c>
      <c r="J442" t="s">
        <v>807</v>
      </c>
      <c r="K442">
        <v>1</v>
      </c>
      <c r="L442">
        <v>1</v>
      </c>
      <c r="M442" t="s">
        <v>160</v>
      </c>
      <c r="N442">
        <v>0</v>
      </c>
      <c r="O442" s="1">
        <f>+Tabla__192.168.1.8_POSEIDONSQL_APPFVT_01_tbl_detalle_fill_rate[[#This Row],[emb_cantidad]]-Tabla__192.168.1.8_POSEIDONSQL_APPFVT_01_tbl_detalle_fill_rate[[#This Row],[dev_cantidad]]</f>
        <v>1</v>
      </c>
      <c r="P4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2" s="1">
        <f>+Tabla__192.168.1.8_POSEIDONSQL_APPFVT_01_tbl_detalle_fill_rate[[#This Row],[Cumpl Real Unds]]-Tabla__192.168.1.8_POSEIDONSQL_APPFVT_01_tbl_detalle_fill_rate[[#This Row],[Cant Embarcada]]</f>
        <v>0</v>
      </c>
      <c r="S442" s="1">
        <f>+IF(Tabla__192.168.1.8_POSEIDONSQL_APPFVT_01_tbl_detalle_fill_rate[[#This Row],[Pend Emb]]&gt;0,1,0)</f>
        <v>0</v>
      </c>
      <c r="T4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3" spans="1:20" x14ac:dyDescent="0.25">
      <c r="A443">
        <v>9</v>
      </c>
      <c r="B443" t="s">
        <v>48</v>
      </c>
      <c r="C443">
        <v>9192968</v>
      </c>
      <c r="D443" s="48">
        <v>43342</v>
      </c>
      <c r="E443" s="48">
        <v>43342</v>
      </c>
      <c r="F443" s="48">
        <v>43355</v>
      </c>
      <c r="G443" t="s">
        <v>120</v>
      </c>
      <c r="H443" t="s">
        <v>121</v>
      </c>
      <c r="I443">
        <v>1</v>
      </c>
      <c r="J443" t="s">
        <v>1169</v>
      </c>
      <c r="K443">
        <v>1</v>
      </c>
      <c r="L443">
        <v>1</v>
      </c>
      <c r="M443" t="s">
        <v>427</v>
      </c>
      <c r="N443">
        <v>0</v>
      </c>
      <c r="O443" s="1">
        <f>+Tabla__192.168.1.8_POSEIDONSQL_APPFVT_01_tbl_detalle_fill_rate[[#This Row],[emb_cantidad]]-Tabla__192.168.1.8_POSEIDONSQL_APPFVT_01_tbl_detalle_fill_rate[[#This Row],[dev_cantidad]]</f>
        <v>1</v>
      </c>
      <c r="P4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3" s="1">
        <f>+Tabla__192.168.1.8_POSEIDONSQL_APPFVT_01_tbl_detalle_fill_rate[[#This Row],[Cumpl Real Unds]]-Tabla__192.168.1.8_POSEIDONSQL_APPFVT_01_tbl_detalle_fill_rate[[#This Row],[Cant Embarcada]]</f>
        <v>0</v>
      </c>
      <c r="S443" s="1">
        <f>+IF(Tabla__192.168.1.8_POSEIDONSQL_APPFVT_01_tbl_detalle_fill_rate[[#This Row],[Pend Emb]]&gt;0,1,0)</f>
        <v>0</v>
      </c>
      <c r="T4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4" spans="1:20" x14ac:dyDescent="0.25">
      <c r="A444">
        <v>9</v>
      </c>
      <c r="B444" t="s">
        <v>48</v>
      </c>
      <c r="C444">
        <v>9192968</v>
      </c>
      <c r="D444" s="48">
        <v>43342</v>
      </c>
      <c r="E444" s="48">
        <v>43342</v>
      </c>
      <c r="F444" s="48">
        <v>43348</v>
      </c>
      <c r="G444" t="s">
        <v>269</v>
      </c>
      <c r="H444" t="s">
        <v>270</v>
      </c>
      <c r="I444">
        <v>1</v>
      </c>
      <c r="J444" t="s">
        <v>808</v>
      </c>
      <c r="K444">
        <v>1</v>
      </c>
      <c r="L444">
        <v>1</v>
      </c>
      <c r="M444" t="s">
        <v>160</v>
      </c>
      <c r="N444">
        <v>0</v>
      </c>
      <c r="O444" s="1">
        <f>+Tabla__192.168.1.8_POSEIDONSQL_APPFVT_01_tbl_detalle_fill_rate[[#This Row],[emb_cantidad]]-Tabla__192.168.1.8_POSEIDONSQL_APPFVT_01_tbl_detalle_fill_rate[[#This Row],[dev_cantidad]]</f>
        <v>1</v>
      </c>
      <c r="P4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4" s="1">
        <f>+Tabla__192.168.1.8_POSEIDONSQL_APPFVT_01_tbl_detalle_fill_rate[[#This Row],[Cumpl Real Unds]]-Tabla__192.168.1.8_POSEIDONSQL_APPFVT_01_tbl_detalle_fill_rate[[#This Row],[Cant Embarcada]]</f>
        <v>0</v>
      </c>
      <c r="S444" s="1">
        <f>+IF(Tabla__192.168.1.8_POSEIDONSQL_APPFVT_01_tbl_detalle_fill_rate[[#This Row],[Pend Emb]]&gt;0,1,0)</f>
        <v>0</v>
      </c>
      <c r="T4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5" spans="1:20" x14ac:dyDescent="0.25">
      <c r="A445">
        <v>9</v>
      </c>
      <c r="B445" t="s">
        <v>48</v>
      </c>
      <c r="C445">
        <v>9193124</v>
      </c>
      <c r="D445" s="48">
        <v>43343</v>
      </c>
      <c r="E445" s="48">
        <v>43342</v>
      </c>
      <c r="F445" s="48">
        <v>43350</v>
      </c>
      <c r="G445" t="s">
        <v>80</v>
      </c>
      <c r="H445" t="s">
        <v>81</v>
      </c>
      <c r="I445">
        <v>1</v>
      </c>
      <c r="J445" t="s">
        <v>1265</v>
      </c>
      <c r="K445">
        <v>1</v>
      </c>
      <c r="L445">
        <v>1</v>
      </c>
      <c r="M445" t="s">
        <v>1969</v>
      </c>
      <c r="N445">
        <v>0</v>
      </c>
      <c r="O445" s="1">
        <f>+Tabla__192.168.1.8_POSEIDONSQL_APPFVT_01_tbl_detalle_fill_rate[[#This Row],[emb_cantidad]]-Tabla__192.168.1.8_POSEIDONSQL_APPFVT_01_tbl_detalle_fill_rate[[#This Row],[dev_cantidad]]</f>
        <v>1</v>
      </c>
      <c r="P4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5" s="1">
        <f>+Tabla__192.168.1.8_POSEIDONSQL_APPFVT_01_tbl_detalle_fill_rate[[#This Row],[Cumpl Real Unds]]-Tabla__192.168.1.8_POSEIDONSQL_APPFVT_01_tbl_detalle_fill_rate[[#This Row],[Cant Embarcada]]</f>
        <v>0</v>
      </c>
      <c r="S445" s="1">
        <f>+IF(Tabla__192.168.1.8_POSEIDONSQL_APPFVT_01_tbl_detalle_fill_rate[[#This Row],[Pend Emb]]&gt;0,1,0)</f>
        <v>0</v>
      </c>
      <c r="T4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6" spans="1:20" x14ac:dyDescent="0.25">
      <c r="A446">
        <v>9</v>
      </c>
      <c r="B446" t="s">
        <v>48</v>
      </c>
      <c r="C446">
        <v>9193160</v>
      </c>
      <c r="D446" s="48">
        <v>43343</v>
      </c>
      <c r="E446" s="48">
        <v>43342</v>
      </c>
      <c r="F446" s="48">
        <v>43348</v>
      </c>
      <c r="G446" t="s">
        <v>622</v>
      </c>
      <c r="H446" t="s">
        <v>623</v>
      </c>
      <c r="I446">
        <v>1</v>
      </c>
      <c r="J446" t="s">
        <v>1262</v>
      </c>
      <c r="K446">
        <v>1</v>
      </c>
      <c r="L446">
        <v>1</v>
      </c>
      <c r="M446" t="s">
        <v>160</v>
      </c>
      <c r="N446">
        <v>0</v>
      </c>
      <c r="O446" s="1">
        <f>+Tabla__192.168.1.8_POSEIDONSQL_APPFVT_01_tbl_detalle_fill_rate[[#This Row],[emb_cantidad]]-Tabla__192.168.1.8_POSEIDONSQL_APPFVT_01_tbl_detalle_fill_rate[[#This Row],[dev_cantidad]]</f>
        <v>1</v>
      </c>
      <c r="P4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6" s="1">
        <f>+Tabla__192.168.1.8_POSEIDONSQL_APPFVT_01_tbl_detalle_fill_rate[[#This Row],[Cumpl Real Unds]]-Tabla__192.168.1.8_POSEIDONSQL_APPFVT_01_tbl_detalle_fill_rate[[#This Row],[Cant Embarcada]]</f>
        <v>0</v>
      </c>
      <c r="S446" s="1">
        <f>+IF(Tabla__192.168.1.8_POSEIDONSQL_APPFVT_01_tbl_detalle_fill_rate[[#This Row],[Pend Emb]]&gt;0,1,0)</f>
        <v>0</v>
      </c>
      <c r="T4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7" spans="1:20" x14ac:dyDescent="0.25">
      <c r="A447">
        <v>9</v>
      </c>
      <c r="B447" t="s">
        <v>48</v>
      </c>
      <c r="C447">
        <v>9193254</v>
      </c>
      <c r="D447" s="48">
        <v>43343</v>
      </c>
      <c r="E447" s="48">
        <v>43342</v>
      </c>
      <c r="F447" s="48">
        <v>43348</v>
      </c>
      <c r="G447" t="s">
        <v>168</v>
      </c>
      <c r="H447" t="s">
        <v>169</v>
      </c>
      <c r="I447">
        <v>1</v>
      </c>
      <c r="J447" t="s">
        <v>1263</v>
      </c>
      <c r="K447">
        <v>1</v>
      </c>
      <c r="L447">
        <v>1</v>
      </c>
      <c r="M447" t="s">
        <v>160</v>
      </c>
      <c r="N447">
        <v>0</v>
      </c>
      <c r="O447" s="1">
        <f>+Tabla__192.168.1.8_POSEIDONSQL_APPFVT_01_tbl_detalle_fill_rate[[#This Row],[emb_cantidad]]-Tabla__192.168.1.8_POSEIDONSQL_APPFVT_01_tbl_detalle_fill_rate[[#This Row],[dev_cantidad]]</f>
        <v>1</v>
      </c>
      <c r="P4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7" s="1">
        <f>+Tabla__192.168.1.8_POSEIDONSQL_APPFVT_01_tbl_detalle_fill_rate[[#This Row],[Cumpl Real Unds]]-Tabla__192.168.1.8_POSEIDONSQL_APPFVT_01_tbl_detalle_fill_rate[[#This Row],[Cant Embarcada]]</f>
        <v>0</v>
      </c>
      <c r="S447" s="1">
        <f>+IF(Tabla__192.168.1.8_POSEIDONSQL_APPFVT_01_tbl_detalle_fill_rate[[#This Row],[Pend Emb]]&gt;0,1,0)</f>
        <v>0</v>
      </c>
      <c r="T4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8" spans="1:20" x14ac:dyDescent="0.25">
      <c r="A448">
        <v>9</v>
      </c>
      <c r="B448" t="s">
        <v>48</v>
      </c>
      <c r="C448">
        <v>9193403</v>
      </c>
      <c r="D448" s="48">
        <v>43343</v>
      </c>
      <c r="E448" s="48">
        <v>43342</v>
      </c>
      <c r="F448" s="48">
        <v>43348</v>
      </c>
      <c r="G448" t="s">
        <v>96</v>
      </c>
      <c r="H448" t="s">
        <v>97</v>
      </c>
      <c r="I448">
        <v>1</v>
      </c>
      <c r="J448" t="s">
        <v>1264</v>
      </c>
      <c r="K448">
        <v>1</v>
      </c>
      <c r="L448">
        <v>1</v>
      </c>
      <c r="M448" t="s">
        <v>160</v>
      </c>
      <c r="N448">
        <v>0</v>
      </c>
      <c r="O448" s="1">
        <f>+Tabla__192.168.1.8_POSEIDONSQL_APPFVT_01_tbl_detalle_fill_rate[[#This Row],[emb_cantidad]]-Tabla__192.168.1.8_POSEIDONSQL_APPFVT_01_tbl_detalle_fill_rate[[#This Row],[dev_cantidad]]</f>
        <v>1</v>
      </c>
      <c r="P4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8" s="1">
        <f>+Tabla__192.168.1.8_POSEIDONSQL_APPFVT_01_tbl_detalle_fill_rate[[#This Row],[Cumpl Real Unds]]-Tabla__192.168.1.8_POSEIDONSQL_APPFVT_01_tbl_detalle_fill_rate[[#This Row],[Cant Embarcada]]</f>
        <v>0</v>
      </c>
      <c r="S448" s="1">
        <f>+IF(Tabla__192.168.1.8_POSEIDONSQL_APPFVT_01_tbl_detalle_fill_rate[[#This Row],[Pend Emb]]&gt;0,1,0)</f>
        <v>0</v>
      </c>
      <c r="T4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49" spans="1:20" x14ac:dyDescent="0.25">
      <c r="A449">
        <v>9</v>
      </c>
      <c r="B449" t="s">
        <v>48</v>
      </c>
      <c r="C449">
        <v>9193447</v>
      </c>
      <c r="D449" s="48">
        <v>43343</v>
      </c>
      <c r="E449" s="48">
        <v>43342</v>
      </c>
      <c r="F449" s="48">
        <v>43353</v>
      </c>
      <c r="G449" t="s">
        <v>62</v>
      </c>
      <c r="H449" t="s">
        <v>63</v>
      </c>
      <c r="I449">
        <v>1</v>
      </c>
      <c r="J449" t="s">
        <v>1267</v>
      </c>
      <c r="K449">
        <v>1</v>
      </c>
      <c r="L449">
        <v>1</v>
      </c>
      <c r="M449" t="s">
        <v>163</v>
      </c>
      <c r="N449">
        <v>0</v>
      </c>
      <c r="O449" s="1">
        <f>+Tabla__192.168.1.8_POSEIDONSQL_APPFVT_01_tbl_detalle_fill_rate[[#This Row],[emb_cantidad]]-Tabla__192.168.1.8_POSEIDONSQL_APPFVT_01_tbl_detalle_fill_rate[[#This Row],[dev_cantidad]]</f>
        <v>1</v>
      </c>
      <c r="P4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49" s="1">
        <f>+Tabla__192.168.1.8_POSEIDONSQL_APPFVT_01_tbl_detalle_fill_rate[[#This Row],[Cumpl Real Unds]]-Tabla__192.168.1.8_POSEIDONSQL_APPFVT_01_tbl_detalle_fill_rate[[#This Row],[Cant Embarcada]]</f>
        <v>0</v>
      </c>
      <c r="S449" s="1">
        <f>+IF(Tabla__192.168.1.8_POSEIDONSQL_APPFVT_01_tbl_detalle_fill_rate[[#This Row],[Pend Emb]]&gt;0,1,0)</f>
        <v>0</v>
      </c>
      <c r="T4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0" spans="1:20" x14ac:dyDescent="0.25">
      <c r="A450">
        <v>9</v>
      </c>
      <c r="B450" t="s">
        <v>48</v>
      </c>
      <c r="C450">
        <v>9193553</v>
      </c>
      <c r="D450" s="48">
        <v>43343</v>
      </c>
      <c r="E450" s="48">
        <v>43342</v>
      </c>
      <c r="F450" s="48">
        <v>43355</v>
      </c>
      <c r="G450" t="s">
        <v>120</v>
      </c>
      <c r="H450" t="s">
        <v>121</v>
      </c>
      <c r="I450">
        <v>1</v>
      </c>
      <c r="J450" t="s">
        <v>1167</v>
      </c>
      <c r="K450">
        <v>1</v>
      </c>
      <c r="L450">
        <v>1</v>
      </c>
      <c r="M450" t="s">
        <v>427</v>
      </c>
      <c r="N450">
        <v>0</v>
      </c>
      <c r="O450" s="1">
        <f>+Tabla__192.168.1.8_POSEIDONSQL_APPFVT_01_tbl_detalle_fill_rate[[#This Row],[emb_cantidad]]-Tabla__192.168.1.8_POSEIDONSQL_APPFVT_01_tbl_detalle_fill_rate[[#This Row],[dev_cantidad]]</f>
        <v>1</v>
      </c>
      <c r="P4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0" s="1">
        <f>+Tabla__192.168.1.8_POSEIDONSQL_APPFVT_01_tbl_detalle_fill_rate[[#This Row],[Cumpl Real Unds]]-Tabla__192.168.1.8_POSEIDONSQL_APPFVT_01_tbl_detalle_fill_rate[[#This Row],[Cant Embarcada]]</f>
        <v>0</v>
      </c>
      <c r="S450" s="1">
        <f>+IF(Tabla__192.168.1.8_POSEIDONSQL_APPFVT_01_tbl_detalle_fill_rate[[#This Row],[Pend Emb]]&gt;0,1,0)</f>
        <v>0</v>
      </c>
      <c r="T4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1" spans="1:20" x14ac:dyDescent="0.25">
      <c r="A451">
        <v>9</v>
      </c>
      <c r="B451" t="s">
        <v>48</v>
      </c>
      <c r="C451">
        <v>9193625</v>
      </c>
      <c r="D451" s="48">
        <v>43343</v>
      </c>
      <c r="E451" s="48">
        <v>43343</v>
      </c>
      <c r="F451" s="48">
        <v>43353</v>
      </c>
      <c r="G451" t="s">
        <v>92</v>
      </c>
      <c r="H451" t="s">
        <v>93</v>
      </c>
      <c r="I451">
        <v>1</v>
      </c>
      <c r="J451" t="s">
        <v>1266</v>
      </c>
      <c r="K451">
        <v>1</v>
      </c>
      <c r="L451">
        <v>1</v>
      </c>
      <c r="M451" t="s">
        <v>163</v>
      </c>
      <c r="N451">
        <v>0</v>
      </c>
      <c r="O451" s="1">
        <f>+Tabla__192.168.1.8_POSEIDONSQL_APPFVT_01_tbl_detalle_fill_rate[[#This Row],[emb_cantidad]]-Tabla__192.168.1.8_POSEIDONSQL_APPFVT_01_tbl_detalle_fill_rate[[#This Row],[dev_cantidad]]</f>
        <v>1</v>
      </c>
      <c r="P4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1" s="1">
        <f>+Tabla__192.168.1.8_POSEIDONSQL_APPFVT_01_tbl_detalle_fill_rate[[#This Row],[Cumpl Real Unds]]-Tabla__192.168.1.8_POSEIDONSQL_APPFVT_01_tbl_detalle_fill_rate[[#This Row],[Cant Embarcada]]</f>
        <v>0</v>
      </c>
      <c r="S451" s="1">
        <f>+IF(Tabla__192.168.1.8_POSEIDONSQL_APPFVT_01_tbl_detalle_fill_rate[[#This Row],[Pend Emb]]&gt;0,1,0)</f>
        <v>0</v>
      </c>
      <c r="T4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2" spans="1:20" x14ac:dyDescent="0.25">
      <c r="A452">
        <v>9</v>
      </c>
      <c r="B452" t="s">
        <v>48</v>
      </c>
      <c r="C452">
        <v>9193752</v>
      </c>
      <c r="D452" s="48">
        <v>43346</v>
      </c>
      <c r="E452" s="48">
        <v>43343</v>
      </c>
      <c r="F452" s="48">
        <v>43353</v>
      </c>
      <c r="G452" t="s">
        <v>62</v>
      </c>
      <c r="H452" t="s">
        <v>63</v>
      </c>
      <c r="I452">
        <v>1</v>
      </c>
      <c r="J452" t="s">
        <v>537</v>
      </c>
      <c r="K452">
        <v>1</v>
      </c>
      <c r="L452">
        <v>1</v>
      </c>
      <c r="M452" t="s">
        <v>163</v>
      </c>
      <c r="N452">
        <v>0</v>
      </c>
      <c r="O452" s="1">
        <f>+Tabla__192.168.1.8_POSEIDONSQL_APPFVT_01_tbl_detalle_fill_rate[[#This Row],[emb_cantidad]]-Tabla__192.168.1.8_POSEIDONSQL_APPFVT_01_tbl_detalle_fill_rate[[#This Row],[dev_cantidad]]</f>
        <v>1</v>
      </c>
      <c r="P4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2" s="1">
        <f>+Tabla__192.168.1.8_POSEIDONSQL_APPFVT_01_tbl_detalle_fill_rate[[#This Row],[Cumpl Real Unds]]-Tabla__192.168.1.8_POSEIDONSQL_APPFVT_01_tbl_detalle_fill_rate[[#This Row],[Cant Embarcada]]</f>
        <v>0</v>
      </c>
      <c r="S452" s="1">
        <f>+IF(Tabla__192.168.1.8_POSEIDONSQL_APPFVT_01_tbl_detalle_fill_rate[[#This Row],[Pend Emb]]&gt;0,1,0)</f>
        <v>0</v>
      </c>
      <c r="T4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3" spans="1:20" x14ac:dyDescent="0.25">
      <c r="A453">
        <v>9</v>
      </c>
      <c r="B453" t="s">
        <v>48</v>
      </c>
      <c r="C453">
        <v>9193752</v>
      </c>
      <c r="D453" s="48">
        <v>43346</v>
      </c>
      <c r="E453" s="48">
        <v>43343</v>
      </c>
      <c r="F453" s="48">
        <v>43350</v>
      </c>
      <c r="G453" t="s">
        <v>74</v>
      </c>
      <c r="H453" t="s">
        <v>75</v>
      </c>
      <c r="I453">
        <v>1</v>
      </c>
      <c r="J453" t="s">
        <v>1806</v>
      </c>
      <c r="K453">
        <v>1</v>
      </c>
      <c r="L453">
        <v>1</v>
      </c>
      <c r="M453" t="s">
        <v>1969</v>
      </c>
      <c r="N453">
        <v>0</v>
      </c>
      <c r="O453" s="1">
        <f>+Tabla__192.168.1.8_POSEIDONSQL_APPFVT_01_tbl_detalle_fill_rate[[#This Row],[emb_cantidad]]-Tabla__192.168.1.8_POSEIDONSQL_APPFVT_01_tbl_detalle_fill_rate[[#This Row],[dev_cantidad]]</f>
        <v>1</v>
      </c>
      <c r="P4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3" s="1">
        <f>+Tabla__192.168.1.8_POSEIDONSQL_APPFVT_01_tbl_detalle_fill_rate[[#This Row],[Cumpl Real Unds]]-Tabla__192.168.1.8_POSEIDONSQL_APPFVT_01_tbl_detalle_fill_rate[[#This Row],[Cant Embarcada]]</f>
        <v>0</v>
      </c>
      <c r="S453" s="1">
        <f>+IF(Tabla__192.168.1.8_POSEIDONSQL_APPFVT_01_tbl_detalle_fill_rate[[#This Row],[Pend Emb]]&gt;0,1,0)</f>
        <v>0</v>
      </c>
      <c r="T4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4" spans="1:20" x14ac:dyDescent="0.25">
      <c r="A454">
        <v>9</v>
      </c>
      <c r="B454" t="s">
        <v>48</v>
      </c>
      <c r="C454">
        <v>9193752</v>
      </c>
      <c r="D454" s="48">
        <v>43346</v>
      </c>
      <c r="E454" s="48">
        <v>43343</v>
      </c>
      <c r="F454" s="48">
        <v>43350</v>
      </c>
      <c r="G454" t="s">
        <v>78</v>
      </c>
      <c r="H454" t="s">
        <v>79</v>
      </c>
      <c r="I454">
        <v>1</v>
      </c>
      <c r="J454" t="s">
        <v>1807</v>
      </c>
      <c r="K454">
        <v>1</v>
      </c>
      <c r="L454">
        <v>1</v>
      </c>
      <c r="M454" t="s">
        <v>1969</v>
      </c>
      <c r="N454">
        <v>0</v>
      </c>
      <c r="O454" s="1">
        <f>+Tabla__192.168.1.8_POSEIDONSQL_APPFVT_01_tbl_detalle_fill_rate[[#This Row],[emb_cantidad]]-Tabla__192.168.1.8_POSEIDONSQL_APPFVT_01_tbl_detalle_fill_rate[[#This Row],[dev_cantidad]]</f>
        <v>1</v>
      </c>
      <c r="P4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4" s="1">
        <f>+Tabla__192.168.1.8_POSEIDONSQL_APPFVT_01_tbl_detalle_fill_rate[[#This Row],[Cumpl Real Unds]]-Tabla__192.168.1.8_POSEIDONSQL_APPFVT_01_tbl_detalle_fill_rate[[#This Row],[Cant Embarcada]]</f>
        <v>0</v>
      </c>
      <c r="S454" s="1">
        <f>+IF(Tabla__192.168.1.8_POSEIDONSQL_APPFVT_01_tbl_detalle_fill_rate[[#This Row],[Pend Emb]]&gt;0,1,0)</f>
        <v>0</v>
      </c>
      <c r="T4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5" spans="1:20" x14ac:dyDescent="0.25">
      <c r="A455">
        <v>9</v>
      </c>
      <c r="B455" t="s">
        <v>48</v>
      </c>
      <c r="C455">
        <v>9193779</v>
      </c>
      <c r="D455" s="48">
        <v>43346</v>
      </c>
      <c r="E455" s="48">
        <v>43343</v>
      </c>
      <c r="F455" s="48">
        <v>43350</v>
      </c>
      <c r="G455" t="s">
        <v>168</v>
      </c>
      <c r="H455" t="s">
        <v>169</v>
      </c>
      <c r="I455">
        <v>1</v>
      </c>
      <c r="J455" t="s">
        <v>1808</v>
      </c>
      <c r="K455">
        <v>1</v>
      </c>
      <c r="L455">
        <v>1</v>
      </c>
      <c r="M455" t="s">
        <v>1969</v>
      </c>
      <c r="N455">
        <v>0</v>
      </c>
      <c r="O455" s="1">
        <f>+Tabla__192.168.1.8_POSEIDONSQL_APPFVT_01_tbl_detalle_fill_rate[[#This Row],[emb_cantidad]]-Tabla__192.168.1.8_POSEIDONSQL_APPFVT_01_tbl_detalle_fill_rate[[#This Row],[dev_cantidad]]</f>
        <v>1</v>
      </c>
      <c r="P4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5" s="1">
        <f>+Tabla__192.168.1.8_POSEIDONSQL_APPFVT_01_tbl_detalle_fill_rate[[#This Row],[Cumpl Real Unds]]-Tabla__192.168.1.8_POSEIDONSQL_APPFVT_01_tbl_detalle_fill_rate[[#This Row],[Cant Embarcada]]</f>
        <v>0</v>
      </c>
      <c r="S455" s="1">
        <f>+IF(Tabla__192.168.1.8_POSEIDONSQL_APPFVT_01_tbl_detalle_fill_rate[[#This Row],[Pend Emb]]&gt;0,1,0)</f>
        <v>0</v>
      </c>
      <c r="T4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6" spans="1:20" x14ac:dyDescent="0.25">
      <c r="A456">
        <v>9</v>
      </c>
      <c r="B456" t="s">
        <v>48</v>
      </c>
      <c r="C456">
        <v>9193833</v>
      </c>
      <c r="D456" s="48">
        <v>43346</v>
      </c>
      <c r="E456" s="48">
        <v>43343</v>
      </c>
      <c r="F456" s="48">
        <v>43350</v>
      </c>
      <c r="G456" t="s">
        <v>68</v>
      </c>
      <c r="H456" t="s">
        <v>69</v>
      </c>
      <c r="I456">
        <v>1</v>
      </c>
      <c r="J456" t="s">
        <v>1809</v>
      </c>
      <c r="K456">
        <v>1</v>
      </c>
      <c r="L456">
        <v>1</v>
      </c>
      <c r="M456" t="s">
        <v>1969</v>
      </c>
      <c r="N456">
        <v>0</v>
      </c>
      <c r="O456" s="1">
        <f>+Tabla__192.168.1.8_POSEIDONSQL_APPFVT_01_tbl_detalle_fill_rate[[#This Row],[emb_cantidad]]-Tabla__192.168.1.8_POSEIDONSQL_APPFVT_01_tbl_detalle_fill_rate[[#This Row],[dev_cantidad]]</f>
        <v>1</v>
      </c>
      <c r="P4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6" s="1">
        <f>+Tabla__192.168.1.8_POSEIDONSQL_APPFVT_01_tbl_detalle_fill_rate[[#This Row],[Cumpl Real Unds]]-Tabla__192.168.1.8_POSEIDONSQL_APPFVT_01_tbl_detalle_fill_rate[[#This Row],[Cant Embarcada]]</f>
        <v>0</v>
      </c>
      <c r="S456" s="1">
        <f>+IF(Tabla__192.168.1.8_POSEIDONSQL_APPFVT_01_tbl_detalle_fill_rate[[#This Row],[Pend Emb]]&gt;0,1,0)</f>
        <v>0</v>
      </c>
      <c r="T4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7" spans="1:20" x14ac:dyDescent="0.25">
      <c r="A457">
        <v>9</v>
      </c>
      <c r="B457" t="s">
        <v>48</v>
      </c>
      <c r="C457">
        <v>9193872</v>
      </c>
      <c r="D457" s="48">
        <v>43346</v>
      </c>
      <c r="E457" s="48">
        <v>43343</v>
      </c>
      <c r="F457" s="48">
        <v>43350</v>
      </c>
      <c r="G457" t="s">
        <v>104</v>
      </c>
      <c r="H457" t="s">
        <v>105</v>
      </c>
      <c r="I457">
        <v>1</v>
      </c>
      <c r="J457" t="s">
        <v>1810</v>
      </c>
      <c r="K457">
        <v>1</v>
      </c>
      <c r="L457">
        <v>1</v>
      </c>
      <c r="M457" t="s">
        <v>1969</v>
      </c>
      <c r="N457">
        <v>0</v>
      </c>
      <c r="O457" s="1">
        <f>+Tabla__192.168.1.8_POSEIDONSQL_APPFVT_01_tbl_detalle_fill_rate[[#This Row],[emb_cantidad]]-Tabla__192.168.1.8_POSEIDONSQL_APPFVT_01_tbl_detalle_fill_rate[[#This Row],[dev_cantidad]]</f>
        <v>1</v>
      </c>
      <c r="P4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7" s="1">
        <f>+Tabla__192.168.1.8_POSEIDONSQL_APPFVT_01_tbl_detalle_fill_rate[[#This Row],[Cumpl Real Unds]]-Tabla__192.168.1.8_POSEIDONSQL_APPFVT_01_tbl_detalle_fill_rate[[#This Row],[Cant Embarcada]]</f>
        <v>0</v>
      </c>
      <c r="S457" s="1">
        <f>+IF(Tabla__192.168.1.8_POSEIDONSQL_APPFVT_01_tbl_detalle_fill_rate[[#This Row],[Pend Emb]]&gt;0,1,0)</f>
        <v>0</v>
      </c>
      <c r="T4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8" spans="1:20" x14ac:dyDescent="0.25">
      <c r="A458">
        <v>9</v>
      </c>
      <c r="B458" t="s">
        <v>48</v>
      </c>
      <c r="C458">
        <v>9193873</v>
      </c>
      <c r="D458" s="48">
        <v>43346</v>
      </c>
      <c r="E458" s="48">
        <v>43343</v>
      </c>
      <c r="F458" s="48">
        <v>43350</v>
      </c>
      <c r="G458" t="s">
        <v>240</v>
      </c>
      <c r="H458" t="s">
        <v>241</v>
      </c>
      <c r="I458">
        <v>1</v>
      </c>
      <c r="J458" t="s">
        <v>1811</v>
      </c>
      <c r="K458">
        <v>1</v>
      </c>
      <c r="L458">
        <v>1</v>
      </c>
      <c r="M458" t="s">
        <v>1969</v>
      </c>
      <c r="N458">
        <v>0</v>
      </c>
      <c r="O458" s="1">
        <f>+Tabla__192.168.1.8_POSEIDONSQL_APPFVT_01_tbl_detalle_fill_rate[[#This Row],[emb_cantidad]]-Tabla__192.168.1.8_POSEIDONSQL_APPFVT_01_tbl_detalle_fill_rate[[#This Row],[dev_cantidad]]</f>
        <v>1</v>
      </c>
      <c r="P4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8" s="1">
        <f>+Tabla__192.168.1.8_POSEIDONSQL_APPFVT_01_tbl_detalle_fill_rate[[#This Row],[Cumpl Real Unds]]-Tabla__192.168.1.8_POSEIDONSQL_APPFVT_01_tbl_detalle_fill_rate[[#This Row],[Cant Embarcada]]</f>
        <v>0</v>
      </c>
      <c r="S458" s="1">
        <f>+IF(Tabla__192.168.1.8_POSEIDONSQL_APPFVT_01_tbl_detalle_fill_rate[[#This Row],[Pend Emb]]&gt;0,1,0)</f>
        <v>0</v>
      </c>
      <c r="T4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59" spans="1:20" x14ac:dyDescent="0.25">
      <c r="A459">
        <v>9</v>
      </c>
      <c r="B459" t="s">
        <v>48</v>
      </c>
      <c r="C459">
        <v>9193873</v>
      </c>
      <c r="D459" s="48">
        <v>43346</v>
      </c>
      <c r="E459" s="48">
        <v>43343</v>
      </c>
      <c r="F459" s="48">
        <v>43357</v>
      </c>
      <c r="G459" t="s">
        <v>240</v>
      </c>
      <c r="H459" t="s">
        <v>241</v>
      </c>
      <c r="I459">
        <v>1</v>
      </c>
      <c r="J459" t="s">
        <v>1178</v>
      </c>
      <c r="K459">
        <v>1</v>
      </c>
      <c r="L459">
        <v>1</v>
      </c>
      <c r="M459" t="s">
        <v>426</v>
      </c>
      <c r="N459">
        <v>0</v>
      </c>
      <c r="O459" s="1">
        <f>+Tabla__192.168.1.8_POSEIDONSQL_APPFVT_01_tbl_detalle_fill_rate[[#This Row],[emb_cantidad]]-Tabla__192.168.1.8_POSEIDONSQL_APPFVT_01_tbl_detalle_fill_rate[[#This Row],[dev_cantidad]]</f>
        <v>1</v>
      </c>
      <c r="P4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59" s="1">
        <f>+Tabla__192.168.1.8_POSEIDONSQL_APPFVT_01_tbl_detalle_fill_rate[[#This Row],[Cumpl Real Unds]]-Tabla__192.168.1.8_POSEIDONSQL_APPFVT_01_tbl_detalle_fill_rate[[#This Row],[Cant Embarcada]]</f>
        <v>0</v>
      </c>
      <c r="S459" s="1">
        <f>+IF(Tabla__192.168.1.8_POSEIDONSQL_APPFVT_01_tbl_detalle_fill_rate[[#This Row],[Pend Emb]]&gt;0,1,0)</f>
        <v>0</v>
      </c>
      <c r="T4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0" spans="1:20" x14ac:dyDescent="0.25">
      <c r="A460">
        <v>9</v>
      </c>
      <c r="B460" t="s">
        <v>48</v>
      </c>
      <c r="C460">
        <v>9193936</v>
      </c>
      <c r="D460" s="48">
        <v>43346</v>
      </c>
      <c r="E460" s="48">
        <v>43343</v>
      </c>
      <c r="F460" s="48">
        <v>43350</v>
      </c>
      <c r="G460" t="s">
        <v>66</v>
      </c>
      <c r="H460" t="s">
        <v>67</v>
      </c>
      <c r="I460">
        <v>1</v>
      </c>
      <c r="J460" t="s">
        <v>1800</v>
      </c>
      <c r="K460">
        <v>1</v>
      </c>
      <c r="L460">
        <v>1</v>
      </c>
      <c r="M460" t="s">
        <v>1969</v>
      </c>
      <c r="N460">
        <v>0</v>
      </c>
      <c r="O460" s="1">
        <f>+Tabla__192.168.1.8_POSEIDONSQL_APPFVT_01_tbl_detalle_fill_rate[[#This Row],[emb_cantidad]]-Tabla__192.168.1.8_POSEIDONSQL_APPFVT_01_tbl_detalle_fill_rate[[#This Row],[dev_cantidad]]</f>
        <v>1</v>
      </c>
      <c r="P4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0" s="1">
        <f>+Tabla__192.168.1.8_POSEIDONSQL_APPFVT_01_tbl_detalle_fill_rate[[#This Row],[Cumpl Real Unds]]-Tabla__192.168.1.8_POSEIDONSQL_APPFVT_01_tbl_detalle_fill_rate[[#This Row],[Cant Embarcada]]</f>
        <v>0</v>
      </c>
      <c r="S460" s="1">
        <f>+IF(Tabla__192.168.1.8_POSEIDONSQL_APPFVT_01_tbl_detalle_fill_rate[[#This Row],[Pend Emb]]&gt;0,1,0)</f>
        <v>0</v>
      </c>
      <c r="T4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1" spans="1:20" x14ac:dyDescent="0.25">
      <c r="A461">
        <v>9</v>
      </c>
      <c r="B461" t="s">
        <v>48</v>
      </c>
      <c r="C461">
        <v>9197273</v>
      </c>
      <c r="D461" s="48">
        <v>43348</v>
      </c>
      <c r="E461" s="48">
        <v>43347</v>
      </c>
      <c r="F461" s="48">
        <v>43355</v>
      </c>
      <c r="G461" t="s">
        <v>92</v>
      </c>
      <c r="H461" t="s">
        <v>93</v>
      </c>
      <c r="I461">
        <v>1</v>
      </c>
      <c r="J461" t="s">
        <v>1468</v>
      </c>
      <c r="K461">
        <v>1</v>
      </c>
      <c r="L461">
        <v>1</v>
      </c>
      <c r="M461" t="s">
        <v>427</v>
      </c>
      <c r="N461">
        <v>0</v>
      </c>
      <c r="O461" s="1">
        <f>+Tabla__192.168.1.8_POSEIDONSQL_APPFVT_01_tbl_detalle_fill_rate[[#This Row],[emb_cantidad]]-Tabla__192.168.1.8_POSEIDONSQL_APPFVT_01_tbl_detalle_fill_rate[[#This Row],[dev_cantidad]]</f>
        <v>1</v>
      </c>
      <c r="P4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1" s="1">
        <f>+Tabla__192.168.1.8_POSEIDONSQL_APPFVT_01_tbl_detalle_fill_rate[[#This Row],[Cumpl Real Unds]]-Tabla__192.168.1.8_POSEIDONSQL_APPFVT_01_tbl_detalle_fill_rate[[#This Row],[Cant Embarcada]]</f>
        <v>0</v>
      </c>
      <c r="S461" s="1">
        <f>+IF(Tabla__192.168.1.8_POSEIDONSQL_APPFVT_01_tbl_detalle_fill_rate[[#This Row],[Pend Emb]]&gt;0,1,0)</f>
        <v>0</v>
      </c>
      <c r="T4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2" spans="1:20" x14ac:dyDescent="0.25">
      <c r="A462">
        <v>9</v>
      </c>
      <c r="B462" t="s">
        <v>48</v>
      </c>
      <c r="C462">
        <v>9197392</v>
      </c>
      <c r="D462" s="48">
        <v>43349</v>
      </c>
      <c r="E462" s="48">
        <v>43348</v>
      </c>
      <c r="F462" s="48">
        <v>43355</v>
      </c>
      <c r="G462" t="s">
        <v>92</v>
      </c>
      <c r="H462" t="s">
        <v>93</v>
      </c>
      <c r="I462">
        <v>1</v>
      </c>
      <c r="J462" t="s">
        <v>1859</v>
      </c>
      <c r="K462">
        <v>1</v>
      </c>
      <c r="L462">
        <v>1</v>
      </c>
      <c r="M462" t="s">
        <v>427</v>
      </c>
      <c r="N462">
        <v>0</v>
      </c>
      <c r="O462" s="1">
        <f>+Tabla__192.168.1.8_POSEIDONSQL_APPFVT_01_tbl_detalle_fill_rate[[#This Row],[emb_cantidad]]-Tabla__192.168.1.8_POSEIDONSQL_APPFVT_01_tbl_detalle_fill_rate[[#This Row],[dev_cantidad]]</f>
        <v>1</v>
      </c>
      <c r="P4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2" s="1">
        <f>+Tabla__192.168.1.8_POSEIDONSQL_APPFVT_01_tbl_detalle_fill_rate[[#This Row],[Cumpl Real Unds]]-Tabla__192.168.1.8_POSEIDONSQL_APPFVT_01_tbl_detalle_fill_rate[[#This Row],[Cant Embarcada]]</f>
        <v>0</v>
      </c>
      <c r="S462" s="1">
        <f>+IF(Tabla__192.168.1.8_POSEIDONSQL_APPFVT_01_tbl_detalle_fill_rate[[#This Row],[Pend Emb]]&gt;0,1,0)</f>
        <v>0</v>
      </c>
      <c r="T4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3" spans="1:20" x14ac:dyDescent="0.25">
      <c r="A463">
        <v>9</v>
      </c>
      <c r="B463" t="s">
        <v>48</v>
      </c>
      <c r="C463">
        <v>9197495</v>
      </c>
      <c r="D463" s="48">
        <v>43349</v>
      </c>
      <c r="E463" s="48">
        <v>43348</v>
      </c>
      <c r="F463" s="48">
        <v>43355</v>
      </c>
      <c r="G463" t="s">
        <v>96</v>
      </c>
      <c r="H463" t="s">
        <v>97</v>
      </c>
      <c r="I463">
        <v>1</v>
      </c>
      <c r="J463" t="s">
        <v>1855</v>
      </c>
      <c r="K463">
        <v>1</v>
      </c>
      <c r="L463">
        <v>1</v>
      </c>
      <c r="M463" t="s">
        <v>427</v>
      </c>
      <c r="N463">
        <v>0</v>
      </c>
      <c r="O463" s="1">
        <f>+Tabla__192.168.1.8_POSEIDONSQL_APPFVT_01_tbl_detalle_fill_rate[[#This Row],[emb_cantidad]]-Tabla__192.168.1.8_POSEIDONSQL_APPFVT_01_tbl_detalle_fill_rate[[#This Row],[dev_cantidad]]</f>
        <v>1</v>
      </c>
      <c r="P4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3" s="1">
        <f>+Tabla__192.168.1.8_POSEIDONSQL_APPFVT_01_tbl_detalle_fill_rate[[#This Row],[Cumpl Real Unds]]-Tabla__192.168.1.8_POSEIDONSQL_APPFVT_01_tbl_detalle_fill_rate[[#This Row],[Cant Embarcada]]</f>
        <v>0</v>
      </c>
      <c r="S463" s="1">
        <f>+IF(Tabla__192.168.1.8_POSEIDONSQL_APPFVT_01_tbl_detalle_fill_rate[[#This Row],[Pend Emb]]&gt;0,1,0)</f>
        <v>0</v>
      </c>
      <c r="T4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4" spans="1:20" x14ac:dyDescent="0.25">
      <c r="A464">
        <v>9</v>
      </c>
      <c r="B464" t="s">
        <v>48</v>
      </c>
      <c r="C464">
        <v>9197571</v>
      </c>
      <c r="D464" s="48">
        <v>43349</v>
      </c>
      <c r="E464" s="48">
        <v>43348</v>
      </c>
      <c r="F464" s="48">
        <v>43357</v>
      </c>
      <c r="G464" t="s">
        <v>164</v>
      </c>
      <c r="H464" t="s">
        <v>165</v>
      </c>
      <c r="I464">
        <v>1</v>
      </c>
      <c r="J464" t="s">
        <v>1862</v>
      </c>
      <c r="K464">
        <v>1</v>
      </c>
      <c r="L464">
        <v>1</v>
      </c>
      <c r="M464" t="s">
        <v>426</v>
      </c>
      <c r="N464">
        <v>0</v>
      </c>
      <c r="O464" s="1">
        <f>+Tabla__192.168.1.8_POSEIDONSQL_APPFVT_01_tbl_detalle_fill_rate[[#This Row],[emb_cantidad]]-Tabla__192.168.1.8_POSEIDONSQL_APPFVT_01_tbl_detalle_fill_rate[[#This Row],[dev_cantidad]]</f>
        <v>1</v>
      </c>
      <c r="P4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4" s="1">
        <f>+Tabla__192.168.1.8_POSEIDONSQL_APPFVT_01_tbl_detalle_fill_rate[[#This Row],[Cumpl Real Unds]]-Tabla__192.168.1.8_POSEIDONSQL_APPFVT_01_tbl_detalle_fill_rate[[#This Row],[Cant Embarcada]]</f>
        <v>0</v>
      </c>
      <c r="S464" s="1">
        <f>+IF(Tabla__192.168.1.8_POSEIDONSQL_APPFVT_01_tbl_detalle_fill_rate[[#This Row],[Pend Emb]]&gt;0,1,0)</f>
        <v>0</v>
      </c>
      <c r="T4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5" spans="1:20" x14ac:dyDescent="0.25">
      <c r="A465">
        <v>9</v>
      </c>
      <c r="B465" t="s">
        <v>48</v>
      </c>
      <c r="C465">
        <v>9197571</v>
      </c>
      <c r="D465" s="48">
        <v>43349</v>
      </c>
      <c r="E465" s="48">
        <v>43348</v>
      </c>
      <c r="F465" s="48">
        <v>43355</v>
      </c>
      <c r="G465" t="s">
        <v>80</v>
      </c>
      <c r="H465" t="s">
        <v>81</v>
      </c>
      <c r="I465">
        <v>1</v>
      </c>
      <c r="J465" t="s">
        <v>1856</v>
      </c>
      <c r="K465">
        <v>1</v>
      </c>
      <c r="L465">
        <v>1</v>
      </c>
      <c r="M465" t="s">
        <v>427</v>
      </c>
      <c r="N465">
        <v>0</v>
      </c>
      <c r="O465" s="1">
        <f>+Tabla__192.168.1.8_POSEIDONSQL_APPFVT_01_tbl_detalle_fill_rate[[#This Row],[emb_cantidad]]-Tabla__192.168.1.8_POSEIDONSQL_APPFVT_01_tbl_detalle_fill_rate[[#This Row],[dev_cantidad]]</f>
        <v>1</v>
      </c>
      <c r="P4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5" s="1">
        <f>+Tabla__192.168.1.8_POSEIDONSQL_APPFVT_01_tbl_detalle_fill_rate[[#This Row],[Cumpl Real Unds]]-Tabla__192.168.1.8_POSEIDONSQL_APPFVT_01_tbl_detalle_fill_rate[[#This Row],[Cant Embarcada]]</f>
        <v>0</v>
      </c>
      <c r="S465" s="1">
        <f>+IF(Tabla__192.168.1.8_POSEIDONSQL_APPFVT_01_tbl_detalle_fill_rate[[#This Row],[Pend Emb]]&gt;0,1,0)</f>
        <v>0</v>
      </c>
      <c r="T4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6" spans="1:20" x14ac:dyDescent="0.25">
      <c r="A466">
        <v>9</v>
      </c>
      <c r="B466" t="s">
        <v>48</v>
      </c>
      <c r="C466">
        <v>9197571</v>
      </c>
      <c r="D466" s="48">
        <v>43349</v>
      </c>
      <c r="E466" s="48">
        <v>43348</v>
      </c>
      <c r="F466" s="48">
        <v>43367</v>
      </c>
      <c r="G466" t="s">
        <v>642</v>
      </c>
      <c r="H466" t="s">
        <v>643</v>
      </c>
      <c r="I466">
        <v>1</v>
      </c>
      <c r="J466" t="s">
        <v>998</v>
      </c>
      <c r="K466">
        <v>1</v>
      </c>
      <c r="L466">
        <v>1</v>
      </c>
      <c r="M466" t="s">
        <v>416</v>
      </c>
      <c r="N466">
        <v>0</v>
      </c>
      <c r="O466" s="1">
        <f>+Tabla__192.168.1.8_POSEIDONSQL_APPFVT_01_tbl_detalle_fill_rate[[#This Row],[emb_cantidad]]-Tabla__192.168.1.8_POSEIDONSQL_APPFVT_01_tbl_detalle_fill_rate[[#This Row],[dev_cantidad]]</f>
        <v>1</v>
      </c>
      <c r="P4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6" s="1">
        <f>+Tabla__192.168.1.8_POSEIDONSQL_APPFVT_01_tbl_detalle_fill_rate[[#This Row],[Cumpl Real Unds]]-Tabla__192.168.1.8_POSEIDONSQL_APPFVT_01_tbl_detalle_fill_rate[[#This Row],[Cant Embarcada]]</f>
        <v>0</v>
      </c>
      <c r="S466" s="1">
        <f>+IF(Tabla__192.168.1.8_POSEIDONSQL_APPFVT_01_tbl_detalle_fill_rate[[#This Row],[Pend Emb]]&gt;0,1,0)</f>
        <v>0</v>
      </c>
      <c r="T4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7" spans="1:20" x14ac:dyDescent="0.25">
      <c r="A467">
        <v>9</v>
      </c>
      <c r="B467" t="s">
        <v>48</v>
      </c>
      <c r="C467">
        <v>9197775</v>
      </c>
      <c r="D467" s="48">
        <v>43349</v>
      </c>
      <c r="E467" s="48">
        <v>43348</v>
      </c>
      <c r="F467" s="48">
        <v>43357</v>
      </c>
      <c r="G467" t="s">
        <v>322</v>
      </c>
      <c r="H467" t="s">
        <v>323</v>
      </c>
      <c r="I467">
        <v>1</v>
      </c>
      <c r="J467" t="s">
        <v>1863</v>
      </c>
      <c r="K467">
        <v>1</v>
      </c>
      <c r="L467">
        <v>1</v>
      </c>
      <c r="M467" t="s">
        <v>426</v>
      </c>
      <c r="N467">
        <v>0</v>
      </c>
      <c r="O467" s="1">
        <f>+Tabla__192.168.1.8_POSEIDONSQL_APPFVT_01_tbl_detalle_fill_rate[[#This Row],[emb_cantidad]]-Tabla__192.168.1.8_POSEIDONSQL_APPFVT_01_tbl_detalle_fill_rate[[#This Row],[dev_cantidad]]</f>
        <v>1</v>
      </c>
      <c r="P4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7" s="1">
        <f>+Tabla__192.168.1.8_POSEIDONSQL_APPFVT_01_tbl_detalle_fill_rate[[#This Row],[Cumpl Real Unds]]-Tabla__192.168.1.8_POSEIDONSQL_APPFVT_01_tbl_detalle_fill_rate[[#This Row],[Cant Embarcada]]</f>
        <v>0</v>
      </c>
      <c r="S467" s="1">
        <f>+IF(Tabla__192.168.1.8_POSEIDONSQL_APPFVT_01_tbl_detalle_fill_rate[[#This Row],[Pend Emb]]&gt;0,1,0)</f>
        <v>0</v>
      </c>
      <c r="T4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8" spans="1:20" x14ac:dyDescent="0.25">
      <c r="A468">
        <v>9</v>
      </c>
      <c r="B468" t="s">
        <v>48</v>
      </c>
      <c r="C468">
        <v>9197775</v>
      </c>
      <c r="D468" s="48">
        <v>43349</v>
      </c>
      <c r="E468" s="48">
        <v>43348</v>
      </c>
      <c r="F468" s="48">
        <v>43355</v>
      </c>
      <c r="G468" t="s">
        <v>90</v>
      </c>
      <c r="H468" t="s">
        <v>91</v>
      </c>
      <c r="I468">
        <v>1</v>
      </c>
      <c r="J468" t="s">
        <v>1858</v>
      </c>
      <c r="K468">
        <v>1</v>
      </c>
      <c r="L468">
        <v>1</v>
      </c>
      <c r="M468" t="s">
        <v>427</v>
      </c>
      <c r="N468">
        <v>0</v>
      </c>
      <c r="O468" s="1">
        <f>+Tabla__192.168.1.8_POSEIDONSQL_APPFVT_01_tbl_detalle_fill_rate[[#This Row],[emb_cantidad]]-Tabla__192.168.1.8_POSEIDONSQL_APPFVT_01_tbl_detalle_fill_rate[[#This Row],[dev_cantidad]]</f>
        <v>1</v>
      </c>
      <c r="P4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8" s="1">
        <f>+Tabla__192.168.1.8_POSEIDONSQL_APPFVT_01_tbl_detalle_fill_rate[[#This Row],[Cumpl Real Unds]]-Tabla__192.168.1.8_POSEIDONSQL_APPFVT_01_tbl_detalle_fill_rate[[#This Row],[Cant Embarcada]]</f>
        <v>0</v>
      </c>
      <c r="S468" s="1">
        <f>+IF(Tabla__192.168.1.8_POSEIDONSQL_APPFVT_01_tbl_detalle_fill_rate[[#This Row],[Pend Emb]]&gt;0,1,0)</f>
        <v>0</v>
      </c>
      <c r="T4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69" spans="1:20" x14ac:dyDescent="0.25">
      <c r="A469">
        <v>9</v>
      </c>
      <c r="B469" t="s">
        <v>48</v>
      </c>
      <c r="C469">
        <v>9197775</v>
      </c>
      <c r="D469" s="48">
        <v>43349</v>
      </c>
      <c r="E469" s="48">
        <v>43348</v>
      </c>
      <c r="F469" s="48">
        <v>43357</v>
      </c>
      <c r="G469" t="s">
        <v>104</v>
      </c>
      <c r="H469" t="s">
        <v>105</v>
      </c>
      <c r="I469">
        <v>1</v>
      </c>
      <c r="J469" t="s">
        <v>1864</v>
      </c>
      <c r="K469">
        <v>1</v>
      </c>
      <c r="L469">
        <v>1</v>
      </c>
      <c r="M469" t="s">
        <v>426</v>
      </c>
      <c r="N469">
        <v>0</v>
      </c>
      <c r="O469" s="1">
        <f>+Tabla__192.168.1.8_POSEIDONSQL_APPFVT_01_tbl_detalle_fill_rate[[#This Row],[emb_cantidad]]-Tabla__192.168.1.8_POSEIDONSQL_APPFVT_01_tbl_detalle_fill_rate[[#This Row],[dev_cantidad]]</f>
        <v>1</v>
      </c>
      <c r="P4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69" s="1">
        <f>+Tabla__192.168.1.8_POSEIDONSQL_APPFVT_01_tbl_detalle_fill_rate[[#This Row],[Cumpl Real Unds]]-Tabla__192.168.1.8_POSEIDONSQL_APPFVT_01_tbl_detalle_fill_rate[[#This Row],[Cant Embarcada]]</f>
        <v>0</v>
      </c>
      <c r="S469" s="1">
        <f>+IF(Tabla__192.168.1.8_POSEIDONSQL_APPFVT_01_tbl_detalle_fill_rate[[#This Row],[Pend Emb]]&gt;0,1,0)</f>
        <v>0</v>
      </c>
      <c r="T4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0" spans="1:20" x14ac:dyDescent="0.25">
      <c r="A470">
        <v>9</v>
      </c>
      <c r="B470" t="s">
        <v>48</v>
      </c>
      <c r="C470">
        <v>9197775</v>
      </c>
      <c r="D470" s="48">
        <v>43349</v>
      </c>
      <c r="E470" s="48">
        <v>43348</v>
      </c>
      <c r="F470" s="48">
        <v>43355</v>
      </c>
      <c r="G470" t="s">
        <v>104</v>
      </c>
      <c r="H470" t="s">
        <v>105</v>
      </c>
      <c r="I470">
        <v>1</v>
      </c>
      <c r="J470" t="s">
        <v>1857</v>
      </c>
      <c r="K470">
        <v>1</v>
      </c>
      <c r="L470">
        <v>1</v>
      </c>
      <c r="M470" t="s">
        <v>427</v>
      </c>
      <c r="N470">
        <v>0</v>
      </c>
      <c r="O470" s="1">
        <f>+Tabla__192.168.1.8_POSEIDONSQL_APPFVT_01_tbl_detalle_fill_rate[[#This Row],[emb_cantidad]]-Tabla__192.168.1.8_POSEIDONSQL_APPFVT_01_tbl_detalle_fill_rate[[#This Row],[dev_cantidad]]</f>
        <v>1</v>
      </c>
      <c r="P4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0" s="1">
        <f>+Tabla__192.168.1.8_POSEIDONSQL_APPFVT_01_tbl_detalle_fill_rate[[#This Row],[Cumpl Real Unds]]-Tabla__192.168.1.8_POSEIDONSQL_APPFVT_01_tbl_detalle_fill_rate[[#This Row],[Cant Embarcada]]</f>
        <v>0</v>
      </c>
      <c r="S470" s="1">
        <f>+IF(Tabla__192.168.1.8_POSEIDONSQL_APPFVT_01_tbl_detalle_fill_rate[[#This Row],[Pend Emb]]&gt;0,1,0)</f>
        <v>0</v>
      </c>
      <c r="T4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1" spans="1:20" x14ac:dyDescent="0.25">
      <c r="A471">
        <v>9</v>
      </c>
      <c r="B471" t="s">
        <v>48</v>
      </c>
      <c r="C471">
        <v>9197775</v>
      </c>
      <c r="D471" s="48">
        <v>43349</v>
      </c>
      <c r="E471" s="48">
        <v>43348</v>
      </c>
      <c r="F471" s="48">
        <v>43367</v>
      </c>
      <c r="G471" t="s">
        <v>122</v>
      </c>
      <c r="H471" t="s">
        <v>123</v>
      </c>
      <c r="I471">
        <v>1</v>
      </c>
      <c r="J471" t="s">
        <v>999</v>
      </c>
      <c r="K471">
        <v>1</v>
      </c>
      <c r="L471">
        <v>1</v>
      </c>
      <c r="M471" t="s">
        <v>416</v>
      </c>
      <c r="N471">
        <v>0</v>
      </c>
      <c r="O471" s="1">
        <f>+Tabla__192.168.1.8_POSEIDONSQL_APPFVT_01_tbl_detalle_fill_rate[[#This Row],[emb_cantidad]]-Tabla__192.168.1.8_POSEIDONSQL_APPFVT_01_tbl_detalle_fill_rate[[#This Row],[dev_cantidad]]</f>
        <v>1</v>
      </c>
      <c r="P4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1" s="1">
        <f>+Tabla__192.168.1.8_POSEIDONSQL_APPFVT_01_tbl_detalle_fill_rate[[#This Row],[Cumpl Real Unds]]-Tabla__192.168.1.8_POSEIDONSQL_APPFVT_01_tbl_detalle_fill_rate[[#This Row],[Cant Embarcada]]</f>
        <v>0</v>
      </c>
      <c r="S471" s="1">
        <f>+IF(Tabla__192.168.1.8_POSEIDONSQL_APPFVT_01_tbl_detalle_fill_rate[[#This Row],[Pend Emb]]&gt;0,1,0)</f>
        <v>0</v>
      </c>
      <c r="T4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2" spans="1:20" x14ac:dyDescent="0.25">
      <c r="A472">
        <v>9</v>
      </c>
      <c r="B472" t="s">
        <v>48</v>
      </c>
      <c r="C472">
        <v>9197865</v>
      </c>
      <c r="D472" s="48">
        <v>43349</v>
      </c>
      <c r="E472" s="48">
        <v>43348</v>
      </c>
      <c r="F472" s="48">
        <v>43355</v>
      </c>
      <c r="G472" t="s">
        <v>229</v>
      </c>
      <c r="H472" t="s">
        <v>230</v>
      </c>
      <c r="I472">
        <v>1</v>
      </c>
      <c r="J472" t="s">
        <v>1867</v>
      </c>
      <c r="K472">
        <v>1</v>
      </c>
      <c r="L472">
        <v>1</v>
      </c>
      <c r="M472" t="s">
        <v>427</v>
      </c>
      <c r="N472">
        <v>0</v>
      </c>
      <c r="O472" s="1">
        <f>+Tabla__192.168.1.8_POSEIDONSQL_APPFVT_01_tbl_detalle_fill_rate[[#This Row],[emb_cantidad]]-Tabla__192.168.1.8_POSEIDONSQL_APPFVT_01_tbl_detalle_fill_rate[[#This Row],[dev_cantidad]]</f>
        <v>1</v>
      </c>
      <c r="P4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2" s="1">
        <f>+Tabla__192.168.1.8_POSEIDONSQL_APPFVT_01_tbl_detalle_fill_rate[[#This Row],[Cumpl Real Unds]]-Tabla__192.168.1.8_POSEIDONSQL_APPFVT_01_tbl_detalle_fill_rate[[#This Row],[Cant Embarcada]]</f>
        <v>0</v>
      </c>
      <c r="S472" s="1">
        <f>+IF(Tabla__192.168.1.8_POSEIDONSQL_APPFVT_01_tbl_detalle_fill_rate[[#This Row],[Pend Emb]]&gt;0,1,0)</f>
        <v>0</v>
      </c>
      <c r="T4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3" spans="1:20" x14ac:dyDescent="0.25">
      <c r="A473">
        <v>9</v>
      </c>
      <c r="B473" t="s">
        <v>48</v>
      </c>
      <c r="C473">
        <v>9197943</v>
      </c>
      <c r="D473" s="48">
        <v>43349</v>
      </c>
      <c r="E473" s="48">
        <v>43348</v>
      </c>
      <c r="F473" s="48">
        <v>43364</v>
      </c>
      <c r="G473" t="s">
        <v>70</v>
      </c>
      <c r="H473" t="s">
        <v>71</v>
      </c>
      <c r="I473">
        <v>1</v>
      </c>
      <c r="J473" t="s">
        <v>1320</v>
      </c>
      <c r="K473">
        <v>1</v>
      </c>
      <c r="L473">
        <v>1</v>
      </c>
      <c r="M473" t="s">
        <v>426</v>
      </c>
      <c r="N473">
        <v>0</v>
      </c>
      <c r="O473" s="1">
        <f>+Tabla__192.168.1.8_POSEIDONSQL_APPFVT_01_tbl_detalle_fill_rate[[#This Row],[emb_cantidad]]-Tabla__192.168.1.8_POSEIDONSQL_APPFVT_01_tbl_detalle_fill_rate[[#This Row],[dev_cantidad]]</f>
        <v>1</v>
      </c>
      <c r="P4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3" s="1">
        <f>+Tabla__192.168.1.8_POSEIDONSQL_APPFVT_01_tbl_detalle_fill_rate[[#This Row],[Cumpl Real Unds]]-Tabla__192.168.1.8_POSEIDONSQL_APPFVT_01_tbl_detalle_fill_rate[[#This Row],[Cant Embarcada]]</f>
        <v>0</v>
      </c>
      <c r="S473" s="1">
        <f>+IF(Tabla__192.168.1.8_POSEIDONSQL_APPFVT_01_tbl_detalle_fill_rate[[#This Row],[Pend Emb]]&gt;0,1,0)</f>
        <v>0</v>
      </c>
      <c r="T4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4" spans="1:20" x14ac:dyDescent="0.25">
      <c r="A474">
        <v>9</v>
      </c>
      <c r="B474" t="s">
        <v>48</v>
      </c>
      <c r="C474">
        <v>9197943</v>
      </c>
      <c r="D474" s="48">
        <v>43349</v>
      </c>
      <c r="E474" s="48">
        <v>43348</v>
      </c>
      <c r="F474" s="48">
        <v>43355</v>
      </c>
      <c r="G474" t="s">
        <v>96</v>
      </c>
      <c r="H474" t="s">
        <v>97</v>
      </c>
      <c r="I474">
        <v>1</v>
      </c>
      <c r="J474" t="s">
        <v>1851</v>
      </c>
      <c r="K474">
        <v>1</v>
      </c>
      <c r="L474">
        <v>1</v>
      </c>
      <c r="M474" t="s">
        <v>427</v>
      </c>
      <c r="N474">
        <v>0</v>
      </c>
      <c r="O474" s="1">
        <f>+Tabla__192.168.1.8_POSEIDONSQL_APPFVT_01_tbl_detalle_fill_rate[[#This Row],[emb_cantidad]]-Tabla__192.168.1.8_POSEIDONSQL_APPFVT_01_tbl_detalle_fill_rate[[#This Row],[dev_cantidad]]</f>
        <v>1</v>
      </c>
      <c r="P4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4" s="1">
        <f>+Tabla__192.168.1.8_POSEIDONSQL_APPFVT_01_tbl_detalle_fill_rate[[#This Row],[Cumpl Real Unds]]-Tabla__192.168.1.8_POSEIDONSQL_APPFVT_01_tbl_detalle_fill_rate[[#This Row],[Cant Embarcada]]</f>
        <v>0</v>
      </c>
      <c r="S474" s="1">
        <f>+IF(Tabla__192.168.1.8_POSEIDONSQL_APPFVT_01_tbl_detalle_fill_rate[[#This Row],[Pend Emb]]&gt;0,1,0)</f>
        <v>0</v>
      </c>
      <c r="T4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5" spans="1:20" x14ac:dyDescent="0.25">
      <c r="A475">
        <v>9</v>
      </c>
      <c r="B475" t="s">
        <v>48</v>
      </c>
      <c r="C475">
        <v>9198013</v>
      </c>
      <c r="D475" s="48">
        <v>43349</v>
      </c>
      <c r="E475" s="48">
        <v>43348</v>
      </c>
      <c r="F475" s="48">
        <v>43355</v>
      </c>
      <c r="G475" t="s">
        <v>86</v>
      </c>
      <c r="H475" t="s">
        <v>87</v>
      </c>
      <c r="I475">
        <v>1</v>
      </c>
      <c r="J475" t="s">
        <v>1852</v>
      </c>
      <c r="K475">
        <v>1</v>
      </c>
      <c r="L475">
        <v>1</v>
      </c>
      <c r="M475" t="s">
        <v>427</v>
      </c>
      <c r="N475">
        <v>0</v>
      </c>
      <c r="O475" s="1">
        <f>+Tabla__192.168.1.8_POSEIDONSQL_APPFVT_01_tbl_detalle_fill_rate[[#This Row],[emb_cantidad]]-Tabla__192.168.1.8_POSEIDONSQL_APPFVT_01_tbl_detalle_fill_rate[[#This Row],[dev_cantidad]]</f>
        <v>1</v>
      </c>
      <c r="P4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5" s="1">
        <f>+Tabla__192.168.1.8_POSEIDONSQL_APPFVT_01_tbl_detalle_fill_rate[[#This Row],[Cumpl Real Unds]]-Tabla__192.168.1.8_POSEIDONSQL_APPFVT_01_tbl_detalle_fill_rate[[#This Row],[Cant Embarcada]]</f>
        <v>0</v>
      </c>
      <c r="S475" s="1">
        <f>+IF(Tabla__192.168.1.8_POSEIDONSQL_APPFVT_01_tbl_detalle_fill_rate[[#This Row],[Pend Emb]]&gt;0,1,0)</f>
        <v>0</v>
      </c>
      <c r="T4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6" spans="1:20" x14ac:dyDescent="0.25">
      <c r="A476">
        <v>9</v>
      </c>
      <c r="B476" t="s">
        <v>48</v>
      </c>
      <c r="C476">
        <v>9198060</v>
      </c>
      <c r="D476" s="48">
        <v>43349</v>
      </c>
      <c r="E476" s="48">
        <v>43348</v>
      </c>
      <c r="F476" s="48">
        <v>43357</v>
      </c>
      <c r="G476" t="s">
        <v>90</v>
      </c>
      <c r="H476" t="s">
        <v>91</v>
      </c>
      <c r="I476">
        <v>1</v>
      </c>
      <c r="J476" t="s">
        <v>1860</v>
      </c>
      <c r="K476">
        <v>1</v>
      </c>
      <c r="L476">
        <v>1</v>
      </c>
      <c r="M476" t="s">
        <v>426</v>
      </c>
      <c r="N476">
        <v>0</v>
      </c>
      <c r="O476" s="1">
        <f>+Tabla__192.168.1.8_POSEIDONSQL_APPFVT_01_tbl_detalle_fill_rate[[#This Row],[emb_cantidad]]-Tabla__192.168.1.8_POSEIDONSQL_APPFVT_01_tbl_detalle_fill_rate[[#This Row],[dev_cantidad]]</f>
        <v>1</v>
      </c>
      <c r="P4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6" s="1">
        <f>+Tabla__192.168.1.8_POSEIDONSQL_APPFVT_01_tbl_detalle_fill_rate[[#This Row],[Cumpl Real Unds]]-Tabla__192.168.1.8_POSEIDONSQL_APPFVT_01_tbl_detalle_fill_rate[[#This Row],[Cant Embarcada]]</f>
        <v>0</v>
      </c>
      <c r="S476" s="1">
        <f>+IF(Tabla__192.168.1.8_POSEIDONSQL_APPFVT_01_tbl_detalle_fill_rate[[#This Row],[Pend Emb]]&gt;0,1,0)</f>
        <v>0</v>
      </c>
      <c r="T4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7" spans="1:20" x14ac:dyDescent="0.25">
      <c r="A477">
        <v>9</v>
      </c>
      <c r="B477" t="s">
        <v>48</v>
      </c>
      <c r="C477">
        <v>9198181</v>
      </c>
      <c r="D477" s="48">
        <v>43349</v>
      </c>
      <c r="E477" s="48">
        <v>43349</v>
      </c>
      <c r="F477" s="48">
        <v>43355</v>
      </c>
      <c r="G477" t="s">
        <v>322</v>
      </c>
      <c r="H477" t="s">
        <v>323</v>
      </c>
      <c r="I477">
        <v>1</v>
      </c>
      <c r="J477" t="s">
        <v>1854</v>
      </c>
      <c r="K477">
        <v>1</v>
      </c>
      <c r="L477">
        <v>1</v>
      </c>
      <c r="M477" t="s">
        <v>427</v>
      </c>
      <c r="N477">
        <v>0</v>
      </c>
      <c r="O477" s="1">
        <f>+Tabla__192.168.1.8_POSEIDONSQL_APPFVT_01_tbl_detalle_fill_rate[[#This Row],[emb_cantidad]]-Tabla__192.168.1.8_POSEIDONSQL_APPFVT_01_tbl_detalle_fill_rate[[#This Row],[dev_cantidad]]</f>
        <v>1</v>
      </c>
      <c r="P4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7" s="1">
        <f>+Tabla__192.168.1.8_POSEIDONSQL_APPFVT_01_tbl_detalle_fill_rate[[#This Row],[Cumpl Real Unds]]-Tabla__192.168.1.8_POSEIDONSQL_APPFVT_01_tbl_detalle_fill_rate[[#This Row],[Cant Embarcada]]</f>
        <v>0</v>
      </c>
      <c r="S477" s="1">
        <f>+IF(Tabla__192.168.1.8_POSEIDONSQL_APPFVT_01_tbl_detalle_fill_rate[[#This Row],[Pend Emb]]&gt;0,1,0)</f>
        <v>0</v>
      </c>
      <c r="T4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8" spans="1:20" x14ac:dyDescent="0.25">
      <c r="A478">
        <v>9</v>
      </c>
      <c r="B478" t="s">
        <v>48</v>
      </c>
      <c r="C478">
        <v>9198181</v>
      </c>
      <c r="D478" s="48">
        <v>43349</v>
      </c>
      <c r="E478" s="48">
        <v>43349</v>
      </c>
      <c r="F478" s="48">
        <v>43357</v>
      </c>
      <c r="G478" t="s">
        <v>92</v>
      </c>
      <c r="H478" t="s">
        <v>93</v>
      </c>
      <c r="I478">
        <v>1</v>
      </c>
      <c r="J478" t="s">
        <v>1861</v>
      </c>
      <c r="K478">
        <v>1</v>
      </c>
      <c r="L478">
        <v>1</v>
      </c>
      <c r="M478" t="s">
        <v>426</v>
      </c>
      <c r="N478">
        <v>0</v>
      </c>
      <c r="O478" s="1">
        <f>+Tabla__192.168.1.8_POSEIDONSQL_APPFVT_01_tbl_detalle_fill_rate[[#This Row],[emb_cantidad]]-Tabla__192.168.1.8_POSEIDONSQL_APPFVT_01_tbl_detalle_fill_rate[[#This Row],[dev_cantidad]]</f>
        <v>1</v>
      </c>
      <c r="P4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8" s="1">
        <f>+Tabla__192.168.1.8_POSEIDONSQL_APPFVT_01_tbl_detalle_fill_rate[[#This Row],[Cumpl Real Unds]]-Tabla__192.168.1.8_POSEIDONSQL_APPFVT_01_tbl_detalle_fill_rate[[#This Row],[Cant Embarcada]]</f>
        <v>0</v>
      </c>
      <c r="S478" s="1">
        <f>+IF(Tabla__192.168.1.8_POSEIDONSQL_APPFVT_01_tbl_detalle_fill_rate[[#This Row],[Pend Emb]]&gt;0,1,0)</f>
        <v>0</v>
      </c>
      <c r="T4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79" spans="1:20" x14ac:dyDescent="0.25">
      <c r="A479">
        <v>9</v>
      </c>
      <c r="B479" t="s">
        <v>48</v>
      </c>
      <c r="C479">
        <v>9198181</v>
      </c>
      <c r="D479" s="48">
        <v>43349</v>
      </c>
      <c r="E479" s="48">
        <v>43349</v>
      </c>
      <c r="F479" s="48">
        <v>43355</v>
      </c>
      <c r="G479" t="s">
        <v>92</v>
      </c>
      <c r="H479" t="s">
        <v>93</v>
      </c>
      <c r="I479">
        <v>1</v>
      </c>
      <c r="J479" t="s">
        <v>1853</v>
      </c>
      <c r="K479">
        <v>1</v>
      </c>
      <c r="L479">
        <v>1</v>
      </c>
      <c r="M479" t="s">
        <v>427</v>
      </c>
      <c r="N479">
        <v>0</v>
      </c>
      <c r="O479" s="1">
        <f>+Tabla__192.168.1.8_POSEIDONSQL_APPFVT_01_tbl_detalle_fill_rate[[#This Row],[emb_cantidad]]-Tabla__192.168.1.8_POSEIDONSQL_APPFVT_01_tbl_detalle_fill_rate[[#This Row],[dev_cantidad]]</f>
        <v>1</v>
      </c>
      <c r="P4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79" s="1">
        <f>+Tabla__192.168.1.8_POSEIDONSQL_APPFVT_01_tbl_detalle_fill_rate[[#This Row],[Cumpl Real Unds]]-Tabla__192.168.1.8_POSEIDONSQL_APPFVT_01_tbl_detalle_fill_rate[[#This Row],[Cant Embarcada]]</f>
        <v>0</v>
      </c>
      <c r="S479" s="1">
        <f>+IF(Tabla__192.168.1.8_POSEIDONSQL_APPFVT_01_tbl_detalle_fill_rate[[#This Row],[Pend Emb]]&gt;0,1,0)</f>
        <v>0</v>
      </c>
      <c r="T4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0" spans="1:20" x14ac:dyDescent="0.25">
      <c r="A480">
        <v>9</v>
      </c>
      <c r="B480" t="s">
        <v>48</v>
      </c>
      <c r="C480">
        <v>9198361</v>
      </c>
      <c r="D480" s="48">
        <v>43350</v>
      </c>
      <c r="E480" s="48">
        <v>43349</v>
      </c>
      <c r="F480" s="48">
        <v>43355</v>
      </c>
      <c r="G480" t="s">
        <v>106</v>
      </c>
      <c r="H480" t="s">
        <v>107</v>
      </c>
      <c r="I480">
        <v>1</v>
      </c>
      <c r="J480" t="s">
        <v>597</v>
      </c>
      <c r="K480">
        <v>1</v>
      </c>
      <c r="L480">
        <v>1</v>
      </c>
      <c r="M480" t="s">
        <v>427</v>
      </c>
      <c r="N480">
        <v>0</v>
      </c>
      <c r="O480" s="1">
        <f>+Tabla__192.168.1.8_POSEIDONSQL_APPFVT_01_tbl_detalle_fill_rate[[#This Row],[emb_cantidad]]-Tabla__192.168.1.8_POSEIDONSQL_APPFVT_01_tbl_detalle_fill_rate[[#This Row],[dev_cantidad]]</f>
        <v>1</v>
      </c>
      <c r="P4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0" s="1">
        <f>+Tabla__192.168.1.8_POSEIDONSQL_APPFVT_01_tbl_detalle_fill_rate[[#This Row],[Cumpl Real Unds]]-Tabla__192.168.1.8_POSEIDONSQL_APPFVT_01_tbl_detalle_fill_rate[[#This Row],[Cant Embarcada]]</f>
        <v>0</v>
      </c>
      <c r="S480" s="1">
        <f>+IF(Tabla__192.168.1.8_POSEIDONSQL_APPFVT_01_tbl_detalle_fill_rate[[#This Row],[Pend Emb]]&gt;0,1,0)</f>
        <v>0</v>
      </c>
      <c r="T4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1" spans="1:20" x14ac:dyDescent="0.25">
      <c r="A481">
        <v>9</v>
      </c>
      <c r="B481" t="s">
        <v>48</v>
      </c>
      <c r="C481">
        <v>9198446</v>
      </c>
      <c r="D481" s="48">
        <v>43350</v>
      </c>
      <c r="E481" s="48">
        <v>43349</v>
      </c>
      <c r="F481" s="48">
        <v>43364</v>
      </c>
      <c r="G481" t="s">
        <v>62</v>
      </c>
      <c r="H481" t="s">
        <v>63</v>
      </c>
      <c r="I481">
        <v>1</v>
      </c>
      <c r="J481" t="s">
        <v>1321</v>
      </c>
      <c r="K481">
        <v>1</v>
      </c>
      <c r="L481">
        <v>1</v>
      </c>
      <c r="M481" t="s">
        <v>426</v>
      </c>
      <c r="N481">
        <v>0</v>
      </c>
      <c r="O481" s="1">
        <f>+Tabla__192.168.1.8_POSEIDONSQL_APPFVT_01_tbl_detalle_fill_rate[[#This Row],[emb_cantidad]]-Tabla__192.168.1.8_POSEIDONSQL_APPFVT_01_tbl_detalle_fill_rate[[#This Row],[dev_cantidad]]</f>
        <v>1</v>
      </c>
      <c r="P4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1" s="1">
        <f>+Tabla__192.168.1.8_POSEIDONSQL_APPFVT_01_tbl_detalle_fill_rate[[#This Row],[Cumpl Real Unds]]-Tabla__192.168.1.8_POSEIDONSQL_APPFVT_01_tbl_detalle_fill_rate[[#This Row],[Cant Embarcada]]</f>
        <v>0</v>
      </c>
      <c r="S481" s="1">
        <f>+IF(Tabla__192.168.1.8_POSEIDONSQL_APPFVT_01_tbl_detalle_fill_rate[[#This Row],[Pend Emb]]&gt;0,1,0)</f>
        <v>0</v>
      </c>
      <c r="T4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2" spans="1:20" x14ac:dyDescent="0.25">
      <c r="A482">
        <v>9</v>
      </c>
      <c r="B482" t="s">
        <v>48</v>
      </c>
      <c r="C482">
        <v>9198529</v>
      </c>
      <c r="D482" s="48">
        <v>43350</v>
      </c>
      <c r="E482" s="48">
        <v>43349</v>
      </c>
      <c r="F482" s="48">
        <v>43353</v>
      </c>
      <c r="G482" t="s">
        <v>146</v>
      </c>
      <c r="H482" t="s">
        <v>147</v>
      </c>
      <c r="I482">
        <v>1</v>
      </c>
      <c r="J482" t="s">
        <v>591</v>
      </c>
      <c r="K482">
        <v>1</v>
      </c>
      <c r="L482">
        <v>1</v>
      </c>
      <c r="M482" t="s">
        <v>163</v>
      </c>
      <c r="N482">
        <v>0</v>
      </c>
      <c r="O482" s="1">
        <f>+Tabla__192.168.1.8_POSEIDONSQL_APPFVT_01_tbl_detalle_fill_rate[[#This Row],[emb_cantidad]]-Tabla__192.168.1.8_POSEIDONSQL_APPFVT_01_tbl_detalle_fill_rate[[#This Row],[dev_cantidad]]</f>
        <v>1</v>
      </c>
      <c r="P4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2" s="1">
        <f>+Tabla__192.168.1.8_POSEIDONSQL_APPFVT_01_tbl_detalle_fill_rate[[#This Row],[Cumpl Real Unds]]-Tabla__192.168.1.8_POSEIDONSQL_APPFVT_01_tbl_detalle_fill_rate[[#This Row],[Cant Embarcada]]</f>
        <v>0</v>
      </c>
      <c r="S482" s="1">
        <f>+IF(Tabla__192.168.1.8_POSEIDONSQL_APPFVT_01_tbl_detalle_fill_rate[[#This Row],[Pend Emb]]&gt;0,1,0)</f>
        <v>0</v>
      </c>
      <c r="T4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3" spans="1:20" x14ac:dyDescent="0.25">
      <c r="A483">
        <v>9</v>
      </c>
      <c r="B483" t="s">
        <v>48</v>
      </c>
      <c r="C483">
        <v>9198650</v>
      </c>
      <c r="D483" s="48">
        <v>43350</v>
      </c>
      <c r="E483" s="48">
        <v>43349</v>
      </c>
      <c r="F483" s="48">
        <v>43355</v>
      </c>
      <c r="G483" t="s">
        <v>112</v>
      </c>
      <c r="H483" t="s">
        <v>113</v>
      </c>
      <c r="I483">
        <v>1</v>
      </c>
      <c r="J483" t="s">
        <v>594</v>
      </c>
      <c r="K483">
        <v>1</v>
      </c>
      <c r="L483">
        <v>1</v>
      </c>
      <c r="M483" t="s">
        <v>427</v>
      </c>
      <c r="N483">
        <v>0</v>
      </c>
      <c r="O483" s="1">
        <f>+Tabla__192.168.1.8_POSEIDONSQL_APPFVT_01_tbl_detalle_fill_rate[[#This Row],[emb_cantidad]]-Tabla__192.168.1.8_POSEIDONSQL_APPFVT_01_tbl_detalle_fill_rate[[#This Row],[dev_cantidad]]</f>
        <v>1</v>
      </c>
      <c r="P4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3" s="1">
        <f>+Tabla__192.168.1.8_POSEIDONSQL_APPFVT_01_tbl_detalle_fill_rate[[#This Row],[Cumpl Real Unds]]-Tabla__192.168.1.8_POSEIDONSQL_APPFVT_01_tbl_detalle_fill_rate[[#This Row],[Cant Embarcada]]</f>
        <v>0</v>
      </c>
      <c r="S483" s="1">
        <f>+IF(Tabla__192.168.1.8_POSEIDONSQL_APPFVT_01_tbl_detalle_fill_rate[[#This Row],[Pend Emb]]&gt;0,1,0)</f>
        <v>0</v>
      </c>
      <c r="T4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4" spans="1:20" x14ac:dyDescent="0.25">
      <c r="A484">
        <v>9</v>
      </c>
      <c r="B484" t="s">
        <v>48</v>
      </c>
      <c r="C484">
        <v>9198651</v>
      </c>
      <c r="D484" s="48">
        <v>43350</v>
      </c>
      <c r="E484" s="48">
        <v>43349</v>
      </c>
      <c r="F484" s="48">
        <v>43355</v>
      </c>
      <c r="G484" t="s">
        <v>102</v>
      </c>
      <c r="H484" t="s">
        <v>103</v>
      </c>
      <c r="I484">
        <v>1</v>
      </c>
      <c r="J484" t="s">
        <v>595</v>
      </c>
      <c r="K484">
        <v>1</v>
      </c>
      <c r="L484">
        <v>1</v>
      </c>
      <c r="M484" t="s">
        <v>427</v>
      </c>
      <c r="N484">
        <v>0</v>
      </c>
      <c r="O484" s="1">
        <f>+Tabla__192.168.1.8_POSEIDONSQL_APPFVT_01_tbl_detalle_fill_rate[[#This Row],[emb_cantidad]]-Tabla__192.168.1.8_POSEIDONSQL_APPFVT_01_tbl_detalle_fill_rate[[#This Row],[dev_cantidad]]</f>
        <v>1</v>
      </c>
      <c r="P4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4" s="1">
        <f>+Tabla__192.168.1.8_POSEIDONSQL_APPFVT_01_tbl_detalle_fill_rate[[#This Row],[Cumpl Real Unds]]-Tabla__192.168.1.8_POSEIDONSQL_APPFVT_01_tbl_detalle_fill_rate[[#This Row],[Cant Embarcada]]</f>
        <v>0</v>
      </c>
      <c r="S484" s="1">
        <f>+IF(Tabla__192.168.1.8_POSEIDONSQL_APPFVT_01_tbl_detalle_fill_rate[[#This Row],[Pend Emb]]&gt;0,1,0)</f>
        <v>0</v>
      </c>
      <c r="T4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5" spans="1:20" x14ac:dyDescent="0.25">
      <c r="A485">
        <v>9</v>
      </c>
      <c r="B485" t="s">
        <v>48</v>
      </c>
      <c r="C485">
        <v>9198747</v>
      </c>
      <c r="D485" s="48">
        <v>43350</v>
      </c>
      <c r="E485" s="48">
        <v>43349</v>
      </c>
      <c r="F485" s="48">
        <v>43355</v>
      </c>
      <c r="G485" t="s">
        <v>86</v>
      </c>
      <c r="H485" t="s">
        <v>87</v>
      </c>
      <c r="I485">
        <v>1</v>
      </c>
      <c r="J485" t="s">
        <v>596</v>
      </c>
      <c r="K485">
        <v>1</v>
      </c>
      <c r="L485">
        <v>1</v>
      </c>
      <c r="M485" t="s">
        <v>427</v>
      </c>
      <c r="N485">
        <v>0</v>
      </c>
      <c r="O485" s="1">
        <f>+Tabla__192.168.1.8_POSEIDONSQL_APPFVT_01_tbl_detalle_fill_rate[[#This Row],[emb_cantidad]]-Tabla__192.168.1.8_POSEIDONSQL_APPFVT_01_tbl_detalle_fill_rate[[#This Row],[dev_cantidad]]</f>
        <v>1</v>
      </c>
      <c r="P4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5" s="1">
        <f>+Tabla__192.168.1.8_POSEIDONSQL_APPFVT_01_tbl_detalle_fill_rate[[#This Row],[Cumpl Real Unds]]-Tabla__192.168.1.8_POSEIDONSQL_APPFVT_01_tbl_detalle_fill_rate[[#This Row],[Cant Embarcada]]</f>
        <v>0</v>
      </c>
      <c r="S485" s="1">
        <f>+IF(Tabla__192.168.1.8_POSEIDONSQL_APPFVT_01_tbl_detalle_fill_rate[[#This Row],[Pend Emb]]&gt;0,1,0)</f>
        <v>0</v>
      </c>
      <c r="T4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6" spans="1:20" x14ac:dyDescent="0.25">
      <c r="A486">
        <v>9</v>
      </c>
      <c r="B486" t="s">
        <v>48</v>
      </c>
      <c r="C486">
        <v>9198789</v>
      </c>
      <c r="D486" s="48">
        <v>43350</v>
      </c>
      <c r="E486" s="48">
        <v>43349</v>
      </c>
      <c r="F486" s="48">
        <v>43364</v>
      </c>
      <c r="G486" t="s">
        <v>62</v>
      </c>
      <c r="H486" t="s">
        <v>63</v>
      </c>
      <c r="I486">
        <v>1</v>
      </c>
      <c r="J486" t="s">
        <v>1319</v>
      </c>
      <c r="K486">
        <v>1</v>
      </c>
      <c r="L486">
        <v>1</v>
      </c>
      <c r="M486" t="s">
        <v>426</v>
      </c>
      <c r="N486">
        <v>0</v>
      </c>
      <c r="O486" s="1">
        <f>+Tabla__192.168.1.8_POSEIDONSQL_APPFVT_01_tbl_detalle_fill_rate[[#This Row],[emb_cantidad]]-Tabla__192.168.1.8_POSEIDONSQL_APPFVT_01_tbl_detalle_fill_rate[[#This Row],[dev_cantidad]]</f>
        <v>1</v>
      </c>
      <c r="P4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6" s="1">
        <f>+Tabla__192.168.1.8_POSEIDONSQL_APPFVT_01_tbl_detalle_fill_rate[[#This Row],[Cumpl Real Unds]]-Tabla__192.168.1.8_POSEIDONSQL_APPFVT_01_tbl_detalle_fill_rate[[#This Row],[Cant Embarcada]]</f>
        <v>0</v>
      </c>
      <c r="S486" s="1">
        <f>+IF(Tabla__192.168.1.8_POSEIDONSQL_APPFVT_01_tbl_detalle_fill_rate[[#This Row],[Pend Emb]]&gt;0,1,0)</f>
        <v>0</v>
      </c>
      <c r="T4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7" spans="1:20" x14ac:dyDescent="0.25">
      <c r="A487">
        <v>9</v>
      </c>
      <c r="B487" t="s">
        <v>48</v>
      </c>
      <c r="C487">
        <v>9198826</v>
      </c>
      <c r="D487" s="48">
        <v>43350</v>
      </c>
      <c r="E487" s="48">
        <v>43349</v>
      </c>
      <c r="F487" s="48">
        <v>43355</v>
      </c>
      <c r="G487" t="s">
        <v>128</v>
      </c>
      <c r="H487" t="s">
        <v>129</v>
      </c>
      <c r="I487">
        <v>1</v>
      </c>
      <c r="J487" t="s">
        <v>592</v>
      </c>
      <c r="K487">
        <v>1</v>
      </c>
      <c r="L487">
        <v>1</v>
      </c>
      <c r="M487" t="s">
        <v>427</v>
      </c>
      <c r="N487">
        <v>0</v>
      </c>
      <c r="O487" s="1">
        <f>+Tabla__192.168.1.8_POSEIDONSQL_APPFVT_01_tbl_detalle_fill_rate[[#This Row],[emb_cantidad]]-Tabla__192.168.1.8_POSEIDONSQL_APPFVT_01_tbl_detalle_fill_rate[[#This Row],[dev_cantidad]]</f>
        <v>1</v>
      </c>
      <c r="P4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7" s="1">
        <f>+Tabla__192.168.1.8_POSEIDONSQL_APPFVT_01_tbl_detalle_fill_rate[[#This Row],[Cumpl Real Unds]]-Tabla__192.168.1.8_POSEIDONSQL_APPFVT_01_tbl_detalle_fill_rate[[#This Row],[Cant Embarcada]]</f>
        <v>0</v>
      </c>
      <c r="S487" s="1">
        <f>+IF(Tabla__192.168.1.8_POSEIDONSQL_APPFVT_01_tbl_detalle_fill_rate[[#This Row],[Pend Emb]]&gt;0,1,0)</f>
        <v>0</v>
      </c>
      <c r="T4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8" spans="1:20" x14ac:dyDescent="0.25">
      <c r="A488">
        <v>9</v>
      </c>
      <c r="B488" t="s">
        <v>48</v>
      </c>
      <c r="C488">
        <v>9198848</v>
      </c>
      <c r="D488" s="48">
        <v>43350</v>
      </c>
      <c r="E488" s="48">
        <v>43349</v>
      </c>
      <c r="F488" s="48">
        <v>43357</v>
      </c>
      <c r="G488" t="s">
        <v>112</v>
      </c>
      <c r="H488" t="s">
        <v>113</v>
      </c>
      <c r="I488">
        <v>1</v>
      </c>
      <c r="J488" t="s">
        <v>598</v>
      </c>
      <c r="K488">
        <v>1</v>
      </c>
      <c r="L488">
        <v>1</v>
      </c>
      <c r="M488" t="s">
        <v>426</v>
      </c>
      <c r="N488">
        <v>0</v>
      </c>
      <c r="O488" s="1">
        <f>+Tabla__192.168.1.8_POSEIDONSQL_APPFVT_01_tbl_detalle_fill_rate[[#This Row],[emb_cantidad]]-Tabla__192.168.1.8_POSEIDONSQL_APPFVT_01_tbl_detalle_fill_rate[[#This Row],[dev_cantidad]]</f>
        <v>1</v>
      </c>
      <c r="P4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8" s="1">
        <f>+Tabla__192.168.1.8_POSEIDONSQL_APPFVT_01_tbl_detalle_fill_rate[[#This Row],[Cumpl Real Unds]]-Tabla__192.168.1.8_POSEIDONSQL_APPFVT_01_tbl_detalle_fill_rate[[#This Row],[Cant Embarcada]]</f>
        <v>0</v>
      </c>
      <c r="S488" s="1">
        <f>+IF(Tabla__192.168.1.8_POSEIDONSQL_APPFVT_01_tbl_detalle_fill_rate[[#This Row],[Pend Emb]]&gt;0,1,0)</f>
        <v>0</v>
      </c>
      <c r="T4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89" spans="1:20" x14ac:dyDescent="0.25">
      <c r="A489">
        <v>9</v>
      </c>
      <c r="B489" t="s">
        <v>48</v>
      </c>
      <c r="C489">
        <v>9198903</v>
      </c>
      <c r="D489" s="48">
        <v>43350</v>
      </c>
      <c r="E489" s="48">
        <v>43349</v>
      </c>
      <c r="F489" s="48">
        <v>43364</v>
      </c>
      <c r="G489" t="s">
        <v>62</v>
      </c>
      <c r="H489" t="s">
        <v>63</v>
      </c>
      <c r="I489">
        <v>1</v>
      </c>
      <c r="J489" t="s">
        <v>1314</v>
      </c>
      <c r="K489">
        <v>1</v>
      </c>
      <c r="L489">
        <v>1</v>
      </c>
      <c r="M489" t="s">
        <v>426</v>
      </c>
      <c r="N489">
        <v>0</v>
      </c>
      <c r="O489" s="1">
        <f>+Tabla__192.168.1.8_POSEIDONSQL_APPFVT_01_tbl_detalle_fill_rate[[#This Row],[emb_cantidad]]-Tabla__192.168.1.8_POSEIDONSQL_APPFVT_01_tbl_detalle_fill_rate[[#This Row],[dev_cantidad]]</f>
        <v>1</v>
      </c>
      <c r="P4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89" s="1">
        <f>+Tabla__192.168.1.8_POSEIDONSQL_APPFVT_01_tbl_detalle_fill_rate[[#This Row],[Cumpl Real Unds]]-Tabla__192.168.1.8_POSEIDONSQL_APPFVT_01_tbl_detalle_fill_rate[[#This Row],[Cant Embarcada]]</f>
        <v>0</v>
      </c>
      <c r="S489" s="1">
        <f>+IF(Tabla__192.168.1.8_POSEIDONSQL_APPFVT_01_tbl_detalle_fill_rate[[#This Row],[Pend Emb]]&gt;0,1,0)</f>
        <v>0</v>
      </c>
      <c r="T4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0" spans="1:20" x14ac:dyDescent="0.25">
      <c r="A490">
        <v>9</v>
      </c>
      <c r="B490" t="s">
        <v>48</v>
      </c>
      <c r="C490">
        <v>9198903</v>
      </c>
      <c r="D490" s="48">
        <v>43350</v>
      </c>
      <c r="E490" s="48">
        <v>43350</v>
      </c>
      <c r="F490" s="48">
        <v>43364</v>
      </c>
      <c r="G490" t="s">
        <v>62</v>
      </c>
      <c r="H490" t="s">
        <v>63</v>
      </c>
      <c r="I490">
        <v>1</v>
      </c>
      <c r="J490" t="s">
        <v>1315</v>
      </c>
      <c r="K490">
        <v>1</v>
      </c>
      <c r="L490">
        <v>1</v>
      </c>
      <c r="M490" t="s">
        <v>426</v>
      </c>
      <c r="N490">
        <v>0</v>
      </c>
      <c r="O490" s="1">
        <f>+Tabla__192.168.1.8_POSEIDONSQL_APPFVT_01_tbl_detalle_fill_rate[[#This Row],[emb_cantidad]]-Tabla__192.168.1.8_POSEIDONSQL_APPFVT_01_tbl_detalle_fill_rate[[#This Row],[dev_cantidad]]</f>
        <v>1</v>
      </c>
      <c r="P4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0" s="1">
        <f>+Tabla__192.168.1.8_POSEIDONSQL_APPFVT_01_tbl_detalle_fill_rate[[#This Row],[Cumpl Real Unds]]-Tabla__192.168.1.8_POSEIDONSQL_APPFVT_01_tbl_detalle_fill_rate[[#This Row],[Cant Embarcada]]</f>
        <v>0</v>
      </c>
      <c r="S490" s="1">
        <f>+IF(Tabla__192.168.1.8_POSEIDONSQL_APPFVT_01_tbl_detalle_fill_rate[[#This Row],[Pend Emb]]&gt;0,1,0)</f>
        <v>0</v>
      </c>
      <c r="T4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1" spans="1:20" x14ac:dyDescent="0.25">
      <c r="A491">
        <v>9</v>
      </c>
      <c r="B491" t="s">
        <v>48</v>
      </c>
      <c r="C491">
        <v>9198903</v>
      </c>
      <c r="D491" s="48">
        <v>43350</v>
      </c>
      <c r="E491" s="48">
        <v>43350</v>
      </c>
      <c r="F491" s="48">
        <v>43357</v>
      </c>
      <c r="G491" t="s">
        <v>76</v>
      </c>
      <c r="H491" t="s">
        <v>77</v>
      </c>
      <c r="I491">
        <v>1</v>
      </c>
      <c r="J491" t="s">
        <v>600</v>
      </c>
      <c r="K491">
        <v>1</v>
      </c>
      <c r="L491">
        <v>1</v>
      </c>
      <c r="M491" t="s">
        <v>426</v>
      </c>
      <c r="N491">
        <v>0</v>
      </c>
      <c r="O491" s="1">
        <f>+Tabla__192.168.1.8_POSEIDONSQL_APPFVT_01_tbl_detalle_fill_rate[[#This Row],[emb_cantidad]]-Tabla__192.168.1.8_POSEIDONSQL_APPFVT_01_tbl_detalle_fill_rate[[#This Row],[dev_cantidad]]</f>
        <v>1</v>
      </c>
      <c r="P4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1" s="1">
        <f>+Tabla__192.168.1.8_POSEIDONSQL_APPFVT_01_tbl_detalle_fill_rate[[#This Row],[Cumpl Real Unds]]-Tabla__192.168.1.8_POSEIDONSQL_APPFVT_01_tbl_detalle_fill_rate[[#This Row],[Cant Embarcada]]</f>
        <v>0</v>
      </c>
      <c r="S491" s="1">
        <f>+IF(Tabla__192.168.1.8_POSEIDONSQL_APPFVT_01_tbl_detalle_fill_rate[[#This Row],[Pend Emb]]&gt;0,1,0)</f>
        <v>0</v>
      </c>
      <c r="T4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2" spans="1:20" x14ac:dyDescent="0.25">
      <c r="A492">
        <v>9</v>
      </c>
      <c r="B492" t="s">
        <v>48</v>
      </c>
      <c r="C492">
        <v>9198903</v>
      </c>
      <c r="D492" s="48">
        <v>43350</v>
      </c>
      <c r="E492" s="48">
        <v>43349</v>
      </c>
      <c r="F492" s="48">
        <v>43357</v>
      </c>
      <c r="G492" t="s">
        <v>92</v>
      </c>
      <c r="H492" t="s">
        <v>93</v>
      </c>
      <c r="I492">
        <v>1</v>
      </c>
      <c r="J492" t="s">
        <v>603</v>
      </c>
      <c r="K492">
        <v>1</v>
      </c>
      <c r="L492">
        <v>1</v>
      </c>
      <c r="M492" t="s">
        <v>426</v>
      </c>
      <c r="N492">
        <v>0</v>
      </c>
      <c r="O492" s="1">
        <f>+Tabla__192.168.1.8_POSEIDONSQL_APPFVT_01_tbl_detalle_fill_rate[[#This Row],[emb_cantidad]]-Tabla__192.168.1.8_POSEIDONSQL_APPFVT_01_tbl_detalle_fill_rate[[#This Row],[dev_cantidad]]</f>
        <v>1</v>
      </c>
      <c r="P4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2" s="1">
        <f>+Tabla__192.168.1.8_POSEIDONSQL_APPFVT_01_tbl_detalle_fill_rate[[#This Row],[Cumpl Real Unds]]-Tabla__192.168.1.8_POSEIDONSQL_APPFVT_01_tbl_detalle_fill_rate[[#This Row],[Cant Embarcada]]</f>
        <v>0</v>
      </c>
      <c r="S492" s="1">
        <f>+IF(Tabla__192.168.1.8_POSEIDONSQL_APPFVT_01_tbl_detalle_fill_rate[[#This Row],[Pend Emb]]&gt;0,1,0)</f>
        <v>0</v>
      </c>
      <c r="T4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3" spans="1:20" x14ac:dyDescent="0.25">
      <c r="A493">
        <v>9</v>
      </c>
      <c r="B493" t="s">
        <v>48</v>
      </c>
      <c r="C493">
        <v>9198903</v>
      </c>
      <c r="D493" s="48">
        <v>43350</v>
      </c>
      <c r="E493" s="48">
        <v>43350</v>
      </c>
      <c r="F493" s="48">
        <v>43357</v>
      </c>
      <c r="G493" t="s">
        <v>92</v>
      </c>
      <c r="H493" t="s">
        <v>93</v>
      </c>
      <c r="I493">
        <v>1</v>
      </c>
      <c r="J493" t="s">
        <v>599</v>
      </c>
      <c r="K493">
        <v>1</v>
      </c>
      <c r="L493">
        <v>1</v>
      </c>
      <c r="M493" t="s">
        <v>426</v>
      </c>
      <c r="N493">
        <v>0</v>
      </c>
      <c r="O493" s="1">
        <f>+Tabla__192.168.1.8_POSEIDONSQL_APPFVT_01_tbl_detalle_fill_rate[[#This Row],[emb_cantidad]]-Tabla__192.168.1.8_POSEIDONSQL_APPFVT_01_tbl_detalle_fill_rate[[#This Row],[dev_cantidad]]</f>
        <v>1</v>
      </c>
      <c r="P4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3" s="1">
        <f>+Tabla__192.168.1.8_POSEIDONSQL_APPFVT_01_tbl_detalle_fill_rate[[#This Row],[Cumpl Real Unds]]-Tabla__192.168.1.8_POSEIDONSQL_APPFVT_01_tbl_detalle_fill_rate[[#This Row],[Cant Embarcada]]</f>
        <v>0</v>
      </c>
      <c r="S493" s="1">
        <f>+IF(Tabla__192.168.1.8_POSEIDONSQL_APPFVT_01_tbl_detalle_fill_rate[[#This Row],[Pend Emb]]&gt;0,1,0)</f>
        <v>0</v>
      </c>
      <c r="T4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4" spans="1:20" x14ac:dyDescent="0.25">
      <c r="A494">
        <v>9</v>
      </c>
      <c r="B494" t="s">
        <v>48</v>
      </c>
      <c r="C494">
        <v>9198903</v>
      </c>
      <c r="D494" s="48">
        <v>43350</v>
      </c>
      <c r="E494" s="48">
        <v>43350</v>
      </c>
      <c r="F494" s="48">
        <v>43357</v>
      </c>
      <c r="G494" t="s">
        <v>92</v>
      </c>
      <c r="H494" t="s">
        <v>93</v>
      </c>
      <c r="I494">
        <v>1</v>
      </c>
      <c r="J494" t="s">
        <v>604</v>
      </c>
      <c r="K494">
        <v>1</v>
      </c>
      <c r="L494">
        <v>1</v>
      </c>
      <c r="M494" t="s">
        <v>426</v>
      </c>
      <c r="N494">
        <v>0</v>
      </c>
      <c r="O494" s="1">
        <f>+Tabla__192.168.1.8_POSEIDONSQL_APPFVT_01_tbl_detalle_fill_rate[[#This Row],[emb_cantidad]]-Tabla__192.168.1.8_POSEIDONSQL_APPFVT_01_tbl_detalle_fill_rate[[#This Row],[dev_cantidad]]</f>
        <v>1</v>
      </c>
      <c r="P4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4" s="1">
        <f>+Tabla__192.168.1.8_POSEIDONSQL_APPFVT_01_tbl_detalle_fill_rate[[#This Row],[Cumpl Real Unds]]-Tabla__192.168.1.8_POSEIDONSQL_APPFVT_01_tbl_detalle_fill_rate[[#This Row],[Cant Embarcada]]</f>
        <v>0</v>
      </c>
      <c r="S494" s="1">
        <f>+IF(Tabla__192.168.1.8_POSEIDONSQL_APPFVT_01_tbl_detalle_fill_rate[[#This Row],[Pend Emb]]&gt;0,1,0)</f>
        <v>0</v>
      </c>
      <c r="T4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5" spans="1:20" x14ac:dyDescent="0.25">
      <c r="A495">
        <v>9</v>
      </c>
      <c r="B495" t="s">
        <v>48</v>
      </c>
      <c r="C495">
        <v>9198903</v>
      </c>
      <c r="D495" s="48">
        <v>43350</v>
      </c>
      <c r="E495" s="48">
        <v>43349</v>
      </c>
      <c r="F495" s="48">
        <v>43355</v>
      </c>
      <c r="G495" t="s">
        <v>108</v>
      </c>
      <c r="H495" t="s">
        <v>109</v>
      </c>
      <c r="I495">
        <v>1</v>
      </c>
      <c r="J495" t="s">
        <v>593</v>
      </c>
      <c r="K495">
        <v>1</v>
      </c>
      <c r="L495">
        <v>1</v>
      </c>
      <c r="M495" t="s">
        <v>427</v>
      </c>
      <c r="N495">
        <v>0</v>
      </c>
      <c r="O495" s="1">
        <f>+Tabla__192.168.1.8_POSEIDONSQL_APPFVT_01_tbl_detalle_fill_rate[[#This Row],[emb_cantidad]]-Tabla__192.168.1.8_POSEIDONSQL_APPFVT_01_tbl_detalle_fill_rate[[#This Row],[dev_cantidad]]</f>
        <v>1</v>
      </c>
      <c r="P4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5" s="1">
        <f>+Tabla__192.168.1.8_POSEIDONSQL_APPFVT_01_tbl_detalle_fill_rate[[#This Row],[Cumpl Real Unds]]-Tabla__192.168.1.8_POSEIDONSQL_APPFVT_01_tbl_detalle_fill_rate[[#This Row],[Cant Embarcada]]</f>
        <v>0</v>
      </c>
      <c r="S495" s="1">
        <f>+IF(Tabla__192.168.1.8_POSEIDONSQL_APPFVT_01_tbl_detalle_fill_rate[[#This Row],[Pend Emb]]&gt;0,1,0)</f>
        <v>0</v>
      </c>
      <c r="T4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6" spans="1:20" x14ac:dyDescent="0.25">
      <c r="A496">
        <v>9</v>
      </c>
      <c r="B496" t="s">
        <v>48</v>
      </c>
      <c r="C496">
        <v>9198903</v>
      </c>
      <c r="D496" s="48">
        <v>43350</v>
      </c>
      <c r="E496" s="48">
        <v>43350</v>
      </c>
      <c r="F496" s="48">
        <v>43357</v>
      </c>
      <c r="G496" t="s">
        <v>112</v>
      </c>
      <c r="H496" t="s">
        <v>113</v>
      </c>
      <c r="I496">
        <v>1</v>
      </c>
      <c r="J496" t="s">
        <v>601</v>
      </c>
      <c r="K496">
        <v>1</v>
      </c>
      <c r="L496">
        <v>1</v>
      </c>
      <c r="M496" t="s">
        <v>426</v>
      </c>
      <c r="N496">
        <v>0</v>
      </c>
      <c r="O496" s="1">
        <f>+Tabla__192.168.1.8_POSEIDONSQL_APPFVT_01_tbl_detalle_fill_rate[[#This Row],[emb_cantidad]]-Tabla__192.168.1.8_POSEIDONSQL_APPFVT_01_tbl_detalle_fill_rate[[#This Row],[dev_cantidad]]</f>
        <v>1</v>
      </c>
      <c r="P4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6" s="1">
        <f>+Tabla__192.168.1.8_POSEIDONSQL_APPFVT_01_tbl_detalle_fill_rate[[#This Row],[Cumpl Real Unds]]-Tabla__192.168.1.8_POSEIDONSQL_APPFVT_01_tbl_detalle_fill_rate[[#This Row],[Cant Embarcada]]</f>
        <v>0</v>
      </c>
      <c r="S496" s="1">
        <f>+IF(Tabla__192.168.1.8_POSEIDONSQL_APPFVT_01_tbl_detalle_fill_rate[[#This Row],[Pend Emb]]&gt;0,1,0)</f>
        <v>0</v>
      </c>
      <c r="T4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7" spans="1:20" x14ac:dyDescent="0.25">
      <c r="A497">
        <v>9</v>
      </c>
      <c r="B497" t="s">
        <v>48</v>
      </c>
      <c r="C497">
        <v>9198903</v>
      </c>
      <c r="D497" s="48">
        <v>43350</v>
      </c>
      <c r="E497" s="48">
        <v>43350</v>
      </c>
      <c r="F497" s="48">
        <v>43357</v>
      </c>
      <c r="G497" t="s">
        <v>146</v>
      </c>
      <c r="H497" t="s">
        <v>147</v>
      </c>
      <c r="I497">
        <v>1</v>
      </c>
      <c r="J497" t="s">
        <v>602</v>
      </c>
      <c r="K497">
        <v>1</v>
      </c>
      <c r="L497">
        <v>1</v>
      </c>
      <c r="M497" t="s">
        <v>426</v>
      </c>
      <c r="N497">
        <v>0</v>
      </c>
      <c r="O497" s="1">
        <f>+Tabla__192.168.1.8_POSEIDONSQL_APPFVT_01_tbl_detalle_fill_rate[[#This Row],[emb_cantidad]]-Tabla__192.168.1.8_POSEIDONSQL_APPFVT_01_tbl_detalle_fill_rate[[#This Row],[dev_cantidad]]</f>
        <v>1</v>
      </c>
      <c r="P4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7" s="1">
        <f>+Tabla__192.168.1.8_POSEIDONSQL_APPFVT_01_tbl_detalle_fill_rate[[#This Row],[Cumpl Real Unds]]-Tabla__192.168.1.8_POSEIDONSQL_APPFVT_01_tbl_detalle_fill_rate[[#This Row],[Cant Embarcada]]</f>
        <v>0</v>
      </c>
      <c r="S497" s="1">
        <f>+IF(Tabla__192.168.1.8_POSEIDONSQL_APPFVT_01_tbl_detalle_fill_rate[[#This Row],[Pend Emb]]&gt;0,1,0)</f>
        <v>0</v>
      </c>
      <c r="T4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8" spans="1:20" x14ac:dyDescent="0.25">
      <c r="A498">
        <v>9</v>
      </c>
      <c r="B498" t="s">
        <v>48</v>
      </c>
      <c r="C498">
        <v>9199003</v>
      </c>
      <c r="D498" s="48">
        <v>43353</v>
      </c>
      <c r="E498" s="48">
        <v>43350</v>
      </c>
      <c r="F498" s="48">
        <v>43364</v>
      </c>
      <c r="G498" t="s">
        <v>62</v>
      </c>
      <c r="H498" t="s">
        <v>63</v>
      </c>
      <c r="I498">
        <v>1</v>
      </c>
      <c r="J498" t="s">
        <v>1316</v>
      </c>
      <c r="K498">
        <v>1</v>
      </c>
      <c r="L498">
        <v>1</v>
      </c>
      <c r="M498" t="s">
        <v>426</v>
      </c>
      <c r="N498">
        <v>0</v>
      </c>
      <c r="O498" s="1">
        <f>+Tabla__192.168.1.8_POSEIDONSQL_APPFVT_01_tbl_detalle_fill_rate[[#This Row],[emb_cantidad]]-Tabla__192.168.1.8_POSEIDONSQL_APPFVT_01_tbl_detalle_fill_rate[[#This Row],[dev_cantidad]]</f>
        <v>1</v>
      </c>
      <c r="P4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8" s="1">
        <f>+Tabla__192.168.1.8_POSEIDONSQL_APPFVT_01_tbl_detalle_fill_rate[[#This Row],[Cumpl Real Unds]]-Tabla__192.168.1.8_POSEIDONSQL_APPFVT_01_tbl_detalle_fill_rate[[#This Row],[Cant Embarcada]]</f>
        <v>0</v>
      </c>
      <c r="S498" s="1">
        <f>+IF(Tabla__192.168.1.8_POSEIDONSQL_APPFVT_01_tbl_detalle_fill_rate[[#This Row],[Pend Emb]]&gt;0,1,0)</f>
        <v>0</v>
      </c>
      <c r="T4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499" spans="1:20" x14ac:dyDescent="0.25">
      <c r="A499">
        <v>9</v>
      </c>
      <c r="B499" t="s">
        <v>48</v>
      </c>
      <c r="C499">
        <v>9199081</v>
      </c>
      <c r="D499" s="48">
        <v>43353</v>
      </c>
      <c r="E499" s="48">
        <v>43350</v>
      </c>
      <c r="F499" s="48">
        <v>43357</v>
      </c>
      <c r="G499" t="s">
        <v>70</v>
      </c>
      <c r="H499" t="s">
        <v>71</v>
      </c>
      <c r="I499">
        <v>1</v>
      </c>
      <c r="J499" t="s">
        <v>1317</v>
      </c>
      <c r="K499">
        <v>1</v>
      </c>
      <c r="L499">
        <v>1</v>
      </c>
      <c r="M499" t="s">
        <v>426</v>
      </c>
      <c r="N499">
        <v>0</v>
      </c>
      <c r="O499" s="1">
        <f>+Tabla__192.168.1.8_POSEIDONSQL_APPFVT_01_tbl_detalle_fill_rate[[#This Row],[emb_cantidad]]-Tabla__192.168.1.8_POSEIDONSQL_APPFVT_01_tbl_detalle_fill_rate[[#This Row],[dev_cantidad]]</f>
        <v>1</v>
      </c>
      <c r="P4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4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499" s="1">
        <f>+Tabla__192.168.1.8_POSEIDONSQL_APPFVT_01_tbl_detalle_fill_rate[[#This Row],[Cumpl Real Unds]]-Tabla__192.168.1.8_POSEIDONSQL_APPFVT_01_tbl_detalle_fill_rate[[#This Row],[Cant Embarcada]]</f>
        <v>0</v>
      </c>
      <c r="S499" s="1">
        <f>+IF(Tabla__192.168.1.8_POSEIDONSQL_APPFVT_01_tbl_detalle_fill_rate[[#This Row],[Pend Emb]]&gt;0,1,0)</f>
        <v>0</v>
      </c>
      <c r="T4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0" spans="1:20" x14ac:dyDescent="0.25">
      <c r="A500">
        <v>9</v>
      </c>
      <c r="B500" t="s">
        <v>48</v>
      </c>
      <c r="C500">
        <v>9199081</v>
      </c>
      <c r="D500" s="48">
        <v>43353</v>
      </c>
      <c r="E500" s="48">
        <v>43350</v>
      </c>
      <c r="F500" s="48">
        <v>43353</v>
      </c>
      <c r="G500" t="s">
        <v>128</v>
      </c>
      <c r="H500" t="s">
        <v>129</v>
      </c>
      <c r="I500">
        <v>1</v>
      </c>
      <c r="J500" t="s">
        <v>1697</v>
      </c>
      <c r="K500">
        <v>1</v>
      </c>
      <c r="L500">
        <v>1</v>
      </c>
      <c r="M500" t="s">
        <v>427</v>
      </c>
      <c r="N500">
        <v>0</v>
      </c>
      <c r="O500" s="1">
        <f>+Tabla__192.168.1.8_POSEIDONSQL_APPFVT_01_tbl_detalle_fill_rate[[#This Row],[emb_cantidad]]-Tabla__192.168.1.8_POSEIDONSQL_APPFVT_01_tbl_detalle_fill_rate[[#This Row],[dev_cantidad]]</f>
        <v>1</v>
      </c>
      <c r="P5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0" s="1">
        <f>+Tabla__192.168.1.8_POSEIDONSQL_APPFVT_01_tbl_detalle_fill_rate[[#This Row],[Cumpl Real Unds]]-Tabla__192.168.1.8_POSEIDONSQL_APPFVT_01_tbl_detalle_fill_rate[[#This Row],[Cant Embarcada]]</f>
        <v>0</v>
      </c>
      <c r="S500" s="1">
        <f>+IF(Tabla__192.168.1.8_POSEIDONSQL_APPFVT_01_tbl_detalle_fill_rate[[#This Row],[Pend Emb]]&gt;0,1,0)</f>
        <v>0</v>
      </c>
      <c r="T5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1" spans="1:20" x14ac:dyDescent="0.25">
      <c r="A501">
        <v>9</v>
      </c>
      <c r="B501" t="s">
        <v>48</v>
      </c>
      <c r="C501">
        <v>9199081</v>
      </c>
      <c r="D501" s="48">
        <v>43353</v>
      </c>
      <c r="E501" s="48">
        <v>43350</v>
      </c>
      <c r="F501" s="48">
        <v>43353</v>
      </c>
      <c r="G501" t="s">
        <v>146</v>
      </c>
      <c r="H501" t="s">
        <v>147</v>
      </c>
      <c r="I501">
        <v>2</v>
      </c>
      <c r="J501" t="s">
        <v>1698</v>
      </c>
      <c r="K501">
        <v>2</v>
      </c>
      <c r="L501">
        <v>2</v>
      </c>
      <c r="M501" t="s">
        <v>427</v>
      </c>
      <c r="N501">
        <v>0</v>
      </c>
      <c r="O501" s="1">
        <f>+Tabla__192.168.1.8_POSEIDONSQL_APPFVT_01_tbl_detalle_fill_rate[[#This Row],[emb_cantidad]]-Tabla__192.168.1.8_POSEIDONSQL_APPFVT_01_tbl_detalle_fill_rate[[#This Row],[dev_cantidad]]</f>
        <v>2</v>
      </c>
      <c r="P5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501" s="1">
        <f>+Tabla__192.168.1.8_POSEIDONSQL_APPFVT_01_tbl_detalle_fill_rate[[#This Row],[Cumpl Real Unds]]-Tabla__192.168.1.8_POSEIDONSQL_APPFVT_01_tbl_detalle_fill_rate[[#This Row],[Cant Embarcada]]</f>
        <v>0</v>
      </c>
      <c r="S501" s="1">
        <f>+IF(Tabla__192.168.1.8_POSEIDONSQL_APPFVT_01_tbl_detalle_fill_rate[[#This Row],[Pend Emb]]&gt;0,1,0)</f>
        <v>0</v>
      </c>
      <c r="T5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2" spans="1:20" x14ac:dyDescent="0.25">
      <c r="A502">
        <v>9</v>
      </c>
      <c r="B502" t="s">
        <v>48</v>
      </c>
      <c r="C502">
        <v>9199196</v>
      </c>
      <c r="D502" s="48">
        <v>43353</v>
      </c>
      <c r="E502" s="48">
        <v>43350</v>
      </c>
      <c r="F502" s="48">
        <v>43357</v>
      </c>
      <c r="G502" t="s">
        <v>92</v>
      </c>
      <c r="H502" t="s">
        <v>93</v>
      </c>
      <c r="I502">
        <v>1</v>
      </c>
      <c r="J502" t="s">
        <v>1318</v>
      </c>
      <c r="K502">
        <v>1</v>
      </c>
      <c r="L502">
        <v>1</v>
      </c>
      <c r="M502" t="s">
        <v>416</v>
      </c>
      <c r="N502">
        <v>1</v>
      </c>
      <c r="O502" s="1">
        <f>+Tabla__192.168.1.8_POSEIDONSQL_APPFVT_01_tbl_detalle_fill_rate[[#This Row],[emb_cantidad]]-Tabla__192.168.1.8_POSEIDONSQL_APPFVT_01_tbl_detalle_fill_rate[[#This Row],[dev_cantidad]]</f>
        <v>0</v>
      </c>
      <c r="P5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502" s="1">
        <f>+Tabla__192.168.1.8_POSEIDONSQL_APPFVT_01_tbl_detalle_fill_rate[[#This Row],[Cumpl Real Unds]]-Tabla__192.168.1.8_POSEIDONSQL_APPFVT_01_tbl_detalle_fill_rate[[#This Row],[Cant Embarcada]]</f>
        <v>0</v>
      </c>
      <c r="S502" s="1">
        <f>+IF(Tabla__192.168.1.8_POSEIDONSQL_APPFVT_01_tbl_detalle_fill_rate[[#This Row],[Pend Emb]]&gt;0,1,0)</f>
        <v>0</v>
      </c>
      <c r="T5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3" spans="1:20" x14ac:dyDescent="0.25">
      <c r="A503">
        <v>9</v>
      </c>
      <c r="B503" t="s">
        <v>48</v>
      </c>
      <c r="C503">
        <v>9203716</v>
      </c>
      <c r="D503" s="48">
        <v>43363</v>
      </c>
      <c r="E503" s="48">
        <v>43358</v>
      </c>
      <c r="F503" s="48">
        <v>43369</v>
      </c>
      <c r="G503" t="s">
        <v>106</v>
      </c>
      <c r="H503" t="s">
        <v>107</v>
      </c>
      <c r="I503">
        <v>1</v>
      </c>
      <c r="J503" t="s">
        <v>1930</v>
      </c>
      <c r="K503">
        <v>1</v>
      </c>
      <c r="L503">
        <v>1</v>
      </c>
      <c r="M503" t="s">
        <v>420</v>
      </c>
      <c r="N503">
        <v>0</v>
      </c>
      <c r="O503" s="1">
        <f>+Tabla__192.168.1.8_POSEIDONSQL_APPFVT_01_tbl_detalle_fill_rate[[#This Row],[emb_cantidad]]-Tabla__192.168.1.8_POSEIDONSQL_APPFVT_01_tbl_detalle_fill_rate[[#This Row],[dev_cantidad]]</f>
        <v>1</v>
      </c>
      <c r="P5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3" s="1">
        <f>+Tabla__192.168.1.8_POSEIDONSQL_APPFVT_01_tbl_detalle_fill_rate[[#This Row],[Cumpl Real Unds]]-Tabla__192.168.1.8_POSEIDONSQL_APPFVT_01_tbl_detalle_fill_rate[[#This Row],[Cant Embarcada]]</f>
        <v>0</v>
      </c>
      <c r="S503" s="1">
        <f>+IF(Tabla__192.168.1.8_POSEIDONSQL_APPFVT_01_tbl_detalle_fill_rate[[#This Row],[Pend Emb]]&gt;0,1,0)</f>
        <v>0</v>
      </c>
      <c r="T5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4" spans="1:20" x14ac:dyDescent="0.25">
      <c r="A504">
        <v>9</v>
      </c>
      <c r="B504" t="s">
        <v>48</v>
      </c>
      <c r="C504">
        <v>9203716</v>
      </c>
      <c r="D504" s="48">
        <v>43363</v>
      </c>
      <c r="E504" s="48">
        <v>43358</v>
      </c>
      <c r="F504" s="48">
        <v>43364</v>
      </c>
      <c r="G504" t="s">
        <v>146</v>
      </c>
      <c r="H504" t="s">
        <v>147</v>
      </c>
      <c r="I504">
        <v>1</v>
      </c>
      <c r="J504" t="s">
        <v>1911</v>
      </c>
      <c r="K504">
        <v>1</v>
      </c>
      <c r="L504">
        <v>1</v>
      </c>
      <c r="M504" t="s">
        <v>422</v>
      </c>
      <c r="N504">
        <v>0</v>
      </c>
      <c r="O504" s="1">
        <f>+Tabla__192.168.1.8_POSEIDONSQL_APPFVT_01_tbl_detalle_fill_rate[[#This Row],[emb_cantidad]]-Tabla__192.168.1.8_POSEIDONSQL_APPFVT_01_tbl_detalle_fill_rate[[#This Row],[dev_cantidad]]</f>
        <v>1</v>
      </c>
      <c r="P5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4" s="1">
        <f>+Tabla__192.168.1.8_POSEIDONSQL_APPFVT_01_tbl_detalle_fill_rate[[#This Row],[Cumpl Real Unds]]-Tabla__192.168.1.8_POSEIDONSQL_APPFVT_01_tbl_detalle_fill_rate[[#This Row],[Cant Embarcada]]</f>
        <v>0</v>
      </c>
      <c r="S504" s="1">
        <f>+IF(Tabla__192.168.1.8_POSEIDONSQL_APPFVT_01_tbl_detalle_fill_rate[[#This Row],[Pend Emb]]&gt;0,1,0)</f>
        <v>0</v>
      </c>
      <c r="T5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5" spans="1:20" x14ac:dyDescent="0.25">
      <c r="A505">
        <v>9</v>
      </c>
      <c r="B505" t="s">
        <v>48</v>
      </c>
      <c r="C505">
        <v>9203746</v>
      </c>
      <c r="D505" s="48">
        <v>43363</v>
      </c>
      <c r="E505" s="48">
        <v>43358</v>
      </c>
      <c r="F505" s="48">
        <v>43364</v>
      </c>
      <c r="G505" t="s">
        <v>349</v>
      </c>
      <c r="H505" t="s">
        <v>350</v>
      </c>
      <c r="I505">
        <v>1</v>
      </c>
      <c r="J505" t="s">
        <v>1907</v>
      </c>
      <c r="K505">
        <v>1</v>
      </c>
      <c r="L505">
        <v>1</v>
      </c>
      <c r="M505" t="s">
        <v>422</v>
      </c>
      <c r="N505">
        <v>0</v>
      </c>
      <c r="O505" s="1">
        <f>+Tabla__192.168.1.8_POSEIDONSQL_APPFVT_01_tbl_detalle_fill_rate[[#This Row],[emb_cantidad]]-Tabla__192.168.1.8_POSEIDONSQL_APPFVT_01_tbl_detalle_fill_rate[[#This Row],[dev_cantidad]]</f>
        <v>1</v>
      </c>
      <c r="P5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5" s="1">
        <f>+Tabla__192.168.1.8_POSEIDONSQL_APPFVT_01_tbl_detalle_fill_rate[[#This Row],[Cumpl Real Unds]]-Tabla__192.168.1.8_POSEIDONSQL_APPFVT_01_tbl_detalle_fill_rate[[#This Row],[Cant Embarcada]]</f>
        <v>0</v>
      </c>
      <c r="S505" s="1">
        <f>+IF(Tabla__192.168.1.8_POSEIDONSQL_APPFVT_01_tbl_detalle_fill_rate[[#This Row],[Pend Emb]]&gt;0,1,0)</f>
        <v>0</v>
      </c>
      <c r="T5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6" spans="1:20" x14ac:dyDescent="0.25">
      <c r="A506">
        <v>9</v>
      </c>
      <c r="B506" t="s">
        <v>48</v>
      </c>
      <c r="C506">
        <v>9203819</v>
      </c>
      <c r="D506" s="48">
        <v>43363</v>
      </c>
      <c r="E506" s="48">
        <v>43358</v>
      </c>
      <c r="F506" s="48">
        <v>43369</v>
      </c>
      <c r="G506" t="s">
        <v>78</v>
      </c>
      <c r="H506" t="s">
        <v>79</v>
      </c>
      <c r="I506">
        <v>1</v>
      </c>
      <c r="J506" t="s">
        <v>1924</v>
      </c>
      <c r="K506">
        <v>1</v>
      </c>
      <c r="L506">
        <v>1</v>
      </c>
      <c r="M506" t="s">
        <v>420</v>
      </c>
      <c r="N506">
        <v>0</v>
      </c>
      <c r="O506" s="1">
        <f>+Tabla__192.168.1.8_POSEIDONSQL_APPFVT_01_tbl_detalle_fill_rate[[#This Row],[emb_cantidad]]-Tabla__192.168.1.8_POSEIDONSQL_APPFVT_01_tbl_detalle_fill_rate[[#This Row],[dev_cantidad]]</f>
        <v>1</v>
      </c>
      <c r="P5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6" s="1">
        <f>+Tabla__192.168.1.8_POSEIDONSQL_APPFVT_01_tbl_detalle_fill_rate[[#This Row],[Cumpl Real Unds]]-Tabla__192.168.1.8_POSEIDONSQL_APPFVT_01_tbl_detalle_fill_rate[[#This Row],[Cant Embarcada]]</f>
        <v>0</v>
      </c>
      <c r="S506" s="1">
        <f>+IF(Tabla__192.168.1.8_POSEIDONSQL_APPFVT_01_tbl_detalle_fill_rate[[#This Row],[Pend Emb]]&gt;0,1,0)</f>
        <v>0</v>
      </c>
      <c r="T5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7" spans="1:20" x14ac:dyDescent="0.25">
      <c r="A507">
        <v>9</v>
      </c>
      <c r="B507" t="s">
        <v>48</v>
      </c>
      <c r="C507">
        <v>9203850</v>
      </c>
      <c r="D507" s="48">
        <v>43363</v>
      </c>
      <c r="E507" s="48">
        <v>43359</v>
      </c>
      <c r="F507" s="48">
        <v>43364</v>
      </c>
      <c r="G507" t="s">
        <v>302</v>
      </c>
      <c r="H507" t="s">
        <v>303</v>
      </c>
      <c r="I507">
        <v>1</v>
      </c>
      <c r="J507" t="s">
        <v>1908</v>
      </c>
      <c r="K507">
        <v>1</v>
      </c>
      <c r="L507">
        <v>1</v>
      </c>
      <c r="M507" t="s">
        <v>422</v>
      </c>
      <c r="N507">
        <v>0</v>
      </c>
      <c r="O507" s="1">
        <f>+Tabla__192.168.1.8_POSEIDONSQL_APPFVT_01_tbl_detalle_fill_rate[[#This Row],[emb_cantidad]]-Tabla__192.168.1.8_POSEIDONSQL_APPFVT_01_tbl_detalle_fill_rate[[#This Row],[dev_cantidad]]</f>
        <v>1</v>
      </c>
      <c r="P5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7" s="1">
        <f>+Tabla__192.168.1.8_POSEIDONSQL_APPFVT_01_tbl_detalle_fill_rate[[#This Row],[Cumpl Real Unds]]-Tabla__192.168.1.8_POSEIDONSQL_APPFVT_01_tbl_detalle_fill_rate[[#This Row],[Cant Embarcada]]</f>
        <v>0</v>
      </c>
      <c r="S507" s="1">
        <f>+IF(Tabla__192.168.1.8_POSEIDONSQL_APPFVT_01_tbl_detalle_fill_rate[[#This Row],[Pend Emb]]&gt;0,1,0)</f>
        <v>0</v>
      </c>
      <c r="T5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8" spans="1:20" x14ac:dyDescent="0.25">
      <c r="A508">
        <v>9</v>
      </c>
      <c r="B508" t="s">
        <v>48</v>
      </c>
      <c r="C508">
        <v>9203879</v>
      </c>
      <c r="D508" s="48">
        <v>43363</v>
      </c>
      <c r="E508" s="48">
        <v>43359</v>
      </c>
      <c r="F508" s="48">
        <v>43364</v>
      </c>
      <c r="G508" t="s">
        <v>326</v>
      </c>
      <c r="H508" t="s">
        <v>327</v>
      </c>
      <c r="I508">
        <v>1</v>
      </c>
      <c r="J508" t="s">
        <v>1909</v>
      </c>
      <c r="K508">
        <v>1</v>
      </c>
      <c r="L508">
        <v>1</v>
      </c>
      <c r="M508" t="s">
        <v>422</v>
      </c>
      <c r="N508">
        <v>0</v>
      </c>
      <c r="O508" s="1">
        <f>+Tabla__192.168.1.8_POSEIDONSQL_APPFVT_01_tbl_detalle_fill_rate[[#This Row],[emb_cantidad]]-Tabla__192.168.1.8_POSEIDONSQL_APPFVT_01_tbl_detalle_fill_rate[[#This Row],[dev_cantidad]]</f>
        <v>1</v>
      </c>
      <c r="P5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8" s="1">
        <f>+Tabla__192.168.1.8_POSEIDONSQL_APPFVT_01_tbl_detalle_fill_rate[[#This Row],[Cumpl Real Unds]]-Tabla__192.168.1.8_POSEIDONSQL_APPFVT_01_tbl_detalle_fill_rate[[#This Row],[Cant Embarcada]]</f>
        <v>0</v>
      </c>
      <c r="S508" s="1">
        <f>+IF(Tabla__192.168.1.8_POSEIDONSQL_APPFVT_01_tbl_detalle_fill_rate[[#This Row],[Pend Emb]]&gt;0,1,0)</f>
        <v>0</v>
      </c>
      <c r="T5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09" spans="1:20" x14ac:dyDescent="0.25">
      <c r="A509">
        <v>9</v>
      </c>
      <c r="B509" t="s">
        <v>48</v>
      </c>
      <c r="C509">
        <v>9203971</v>
      </c>
      <c r="D509" s="48">
        <v>43363</v>
      </c>
      <c r="E509" s="48">
        <v>43359</v>
      </c>
      <c r="F509" s="48">
        <v>43369</v>
      </c>
      <c r="G509" t="s">
        <v>96</v>
      </c>
      <c r="H509" t="s">
        <v>97</v>
      </c>
      <c r="I509">
        <v>1</v>
      </c>
      <c r="J509" t="s">
        <v>1926</v>
      </c>
      <c r="K509">
        <v>1</v>
      </c>
      <c r="L509">
        <v>1</v>
      </c>
      <c r="M509" t="s">
        <v>420</v>
      </c>
      <c r="N509">
        <v>0</v>
      </c>
      <c r="O509" s="1">
        <f>+Tabla__192.168.1.8_POSEIDONSQL_APPFVT_01_tbl_detalle_fill_rate[[#This Row],[emb_cantidad]]-Tabla__192.168.1.8_POSEIDONSQL_APPFVT_01_tbl_detalle_fill_rate[[#This Row],[dev_cantidad]]</f>
        <v>1</v>
      </c>
      <c r="P5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09" s="1">
        <f>+Tabla__192.168.1.8_POSEIDONSQL_APPFVT_01_tbl_detalle_fill_rate[[#This Row],[Cumpl Real Unds]]-Tabla__192.168.1.8_POSEIDONSQL_APPFVT_01_tbl_detalle_fill_rate[[#This Row],[Cant Embarcada]]</f>
        <v>0</v>
      </c>
      <c r="S509" s="1">
        <f>+IF(Tabla__192.168.1.8_POSEIDONSQL_APPFVT_01_tbl_detalle_fill_rate[[#This Row],[Pend Emb]]&gt;0,1,0)</f>
        <v>0</v>
      </c>
      <c r="T5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0" spans="1:20" x14ac:dyDescent="0.25">
      <c r="A510">
        <v>9</v>
      </c>
      <c r="B510" t="s">
        <v>48</v>
      </c>
      <c r="C510">
        <v>9203971</v>
      </c>
      <c r="D510" s="48">
        <v>43363</v>
      </c>
      <c r="E510" s="48">
        <v>43359</v>
      </c>
      <c r="F510" s="48">
        <v>43369</v>
      </c>
      <c r="G510" t="s">
        <v>223</v>
      </c>
      <c r="H510" t="s">
        <v>224</v>
      </c>
      <c r="I510">
        <v>1</v>
      </c>
      <c r="J510" t="s">
        <v>1925</v>
      </c>
      <c r="K510">
        <v>1</v>
      </c>
      <c r="L510">
        <v>1</v>
      </c>
      <c r="M510" t="s">
        <v>420</v>
      </c>
      <c r="N510">
        <v>0</v>
      </c>
      <c r="O510" s="1">
        <f>+Tabla__192.168.1.8_POSEIDONSQL_APPFVT_01_tbl_detalle_fill_rate[[#This Row],[emb_cantidad]]-Tabla__192.168.1.8_POSEIDONSQL_APPFVT_01_tbl_detalle_fill_rate[[#This Row],[dev_cantidad]]</f>
        <v>1</v>
      </c>
      <c r="P5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0" s="1">
        <f>+Tabla__192.168.1.8_POSEIDONSQL_APPFVT_01_tbl_detalle_fill_rate[[#This Row],[Cumpl Real Unds]]-Tabla__192.168.1.8_POSEIDONSQL_APPFVT_01_tbl_detalle_fill_rate[[#This Row],[Cant Embarcada]]</f>
        <v>0</v>
      </c>
      <c r="S510" s="1">
        <f>+IF(Tabla__192.168.1.8_POSEIDONSQL_APPFVT_01_tbl_detalle_fill_rate[[#This Row],[Pend Emb]]&gt;0,1,0)</f>
        <v>0</v>
      </c>
      <c r="T5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1" spans="1:20" x14ac:dyDescent="0.25">
      <c r="A511">
        <v>9</v>
      </c>
      <c r="B511" t="s">
        <v>48</v>
      </c>
      <c r="C511">
        <v>9204006</v>
      </c>
      <c r="D511" s="48">
        <v>43363</v>
      </c>
      <c r="E511" s="48">
        <v>43359</v>
      </c>
      <c r="F511" s="48">
        <v>43369</v>
      </c>
      <c r="G511" t="s">
        <v>322</v>
      </c>
      <c r="H511" t="s">
        <v>323</v>
      </c>
      <c r="I511">
        <v>1</v>
      </c>
      <c r="J511" t="s">
        <v>1927</v>
      </c>
      <c r="K511">
        <v>1</v>
      </c>
      <c r="L511">
        <v>1</v>
      </c>
      <c r="M511" t="s">
        <v>420</v>
      </c>
      <c r="N511">
        <v>0</v>
      </c>
      <c r="O511" s="1">
        <f>+Tabla__192.168.1.8_POSEIDONSQL_APPFVT_01_tbl_detalle_fill_rate[[#This Row],[emb_cantidad]]-Tabla__192.168.1.8_POSEIDONSQL_APPFVT_01_tbl_detalle_fill_rate[[#This Row],[dev_cantidad]]</f>
        <v>1</v>
      </c>
      <c r="P5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1" s="1">
        <f>+Tabla__192.168.1.8_POSEIDONSQL_APPFVT_01_tbl_detalle_fill_rate[[#This Row],[Cumpl Real Unds]]-Tabla__192.168.1.8_POSEIDONSQL_APPFVT_01_tbl_detalle_fill_rate[[#This Row],[Cant Embarcada]]</f>
        <v>0</v>
      </c>
      <c r="S511" s="1">
        <f>+IF(Tabla__192.168.1.8_POSEIDONSQL_APPFVT_01_tbl_detalle_fill_rate[[#This Row],[Pend Emb]]&gt;0,1,0)</f>
        <v>0</v>
      </c>
      <c r="T5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2" spans="1:20" x14ac:dyDescent="0.25">
      <c r="A512">
        <v>9</v>
      </c>
      <c r="B512" t="s">
        <v>48</v>
      </c>
      <c r="C512">
        <v>9204006</v>
      </c>
      <c r="D512" s="48">
        <v>43363</v>
      </c>
      <c r="E512" s="48">
        <v>43359</v>
      </c>
      <c r="F512" s="48">
        <v>43364</v>
      </c>
      <c r="G512" t="s">
        <v>351</v>
      </c>
      <c r="H512" t="s">
        <v>352</v>
      </c>
      <c r="I512">
        <v>1</v>
      </c>
      <c r="J512" t="s">
        <v>1910</v>
      </c>
      <c r="K512">
        <v>1</v>
      </c>
      <c r="L512">
        <v>1</v>
      </c>
      <c r="M512" t="s">
        <v>422</v>
      </c>
      <c r="N512">
        <v>0</v>
      </c>
      <c r="O512" s="1">
        <f>+Tabla__192.168.1.8_POSEIDONSQL_APPFVT_01_tbl_detalle_fill_rate[[#This Row],[emb_cantidad]]-Tabla__192.168.1.8_POSEIDONSQL_APPFVT_01_tbl_detalle_fill_rate[[#This Row],[dev_cantidad]]</f>
        <v>1</v>
      </c>
      <c r="P5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2" s="1">
        <f>+Tabla__192.168.1.8_POSEIDONSQL_APPFVT_01_tbl_detalle_fill_rate[[#This Row],[Cumpl Real Unds]]-Tabla__192.168.1.8_POSEIDONSQL_APPFVT_01_tbl_detalle_fill_rate[[#This Row],[Cant Embarcada]]</f>
        <v>0</v>
      </c>
      <c r="S512" s="1">
        <f>+IF(Tabla__192.168.1.8_POSEIDONSQL_APPFVT_01_tbl_detalle_fill_rate[[#This Row],[Pend Emb]]&gt;0,1,0)</f>
        <v>0</v>
      </c>
      <c r="T5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3" spans="1:20" x14ac:dyDescent="0.25">
      <c r="A513">
        <v>9</v>
      </c>
      <c r="B513" t="s">
        <v>48</v>
      </c>
      <c r="C513">
        <v>9204167</v>
      </c>
      <c r="D513" s="48">
        <v>43363</v>
      </c>
      <c r="E513" s="48">
        <v>43359</v>
      </c>
      <c r="F513" s="48">
        <v>43369</v>
      </c>
      <c r="G513" t="s">
        <v>164</v>
      </c>
      <c r="H513" t="s">
        <v>165</v>
      </c>
      <c r="I513">
        <v>1</v>
      </c>
      <c r="J513" t="s">
        <v>1922</v>
      </c>
      <c r="K513">
        <v>1</v>
      </c>
      <c r="L513">
        <v>1</v>
      </c>
      <c r="M513" t="s">
        <v>420</v>
      </c>
      <c r="N513">
        <v>0</v>
      </c>
      <c r="O513" s="1">
        <f>+Tabla__192.168.1.8_POSEIDONSQL_APPFVT_01_tbl_detalle_fill_rate[[#This Row],[emb_cantidad]]-Tabla__192.168.1.8_POSEIDONSQL_APPFVT_01_tbl_detalle_fill_rate[[#This Row],[dev_cantidad]]</f>
        <v>1</v>
      </c>
      <c r="P5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3" s="1">
        <f>+Tabla__192.168.1.8_POSEIDONSQL_APPFVT_01_tbl_detalle_fill_rate[[#This Row],[Cumpl Real Unds]]-Tabla__192.168.1.8_POSEIDONSQL_APPFVT_01_tbl_detalle_fill_rate[[#This Row],[Cant Embarcada]]</f>
        <v>0</v>
      </c>
      <c r="S513" s="1">
        <f>+IF(Tabla__192.168.1.8_POSEIDONSQL_APPFVT_01_tbl_detalle_fill_rate[[#This Row],[Pend Emb]]&gt;0,1,0)</f>
        <v>0</v>
      </c>
      <c r="T5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4" spans="1:20" x14ac:dyDescent="0.25">
      <c r="A514">
        <v>9</v>
      </c>
      <c r="B514" t="s">
        <v>48</v>
      </c>
      <c r="C514">
        <v>9204216</v>
      </c>
      <c r="D514" s="48">
        <v>43363</v>
      </c>
      <c r="E514" s="48">
        <v>43360</v>
      </c>
      <c r="F514" s="48">
        <v>43364</v>
      </c>
      <c r="G514" t="s">
        <v>124</v>
      </c>
      <c r="H514" t="s">
        <v>125</v>
      </c>
      <c r="I514">
        <v>1</v>
      </c>
      <c r="J514" t="s">
        <v>1904</v>
      </c>
      <c r="K514">
        <v>1</v>
      </c>
      <c r="L514">
        <v>1</v>
      </c>
      <c r="M514" t="s">
        <v>422</v>
      </c>
      <c r="N514">
        <v>0</v>
      </c>
      <c r="O514" s="1">
        <f>+Tabla__192.168.1.8_POSEIDONSQL_APPFVT_01_tbl_detalle_fill_rate[[#This Row],[emb_cantidad]]-Tabla__192.168.1.8_POSEIDONSQL_APPFVT_01_tbl_detalle_fill_rate[[#This Row],[dev_cantidad]]</f>
        <v>1</v>
      </c>
      <c r="P5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4" s="1">
        <f>+Tabla__192.168.1.8_POSEIDONSQL_APPFVT_01_tbl_detalle_fill_rate[[#This Row],[Cumpl Real Unds]]-Tabla__192.168.1.8_POSEIDONSQL_APPFVT_01_tbl_detalle_fill_rate[[#This Row],[Cant Embarcada]]</f>
        <v>0</v>
      </c>
      <c r="S514" s="1">
        <f>+IF(Tabla__192.168.1.8_POSEIDONSQL_APPFVT_01_tbl_detalle_fill_rate[[#This Row],[Pend Emb]]&gt;0,1,0)</f>
        <v>0</v>
      </c>
      <c r="T5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5" spans="1:20" x14ac:dyDescent="0.25">
      <c r="A515">
        <v>9</v>
      </c>
      <c r="B515" t="s">
        <v>48</v>
      </c>
      <c r="C515">
        <v>9204396</v>
      </c>
      <c r="D515" s="48">
        <v>43363</v>
      </c>
      <c r="E515" s="48">
        <v>43360</v>
      </c>
      <c r="F515" s="48">
        <v>43364</v>
      </c>
      <c r="G515" t="s">
        <v>146</v>
      </c>
      <c r="H515" t="s">
        <v>147</v>
      </c>
      <c r="I515">
        <v>1</v>
      </c>
      <c r="J515" t="s">
        <v>1905</v>
      </c>
      <c r="K515">
        <v>1</v>
      </c>
      <c r="L515">
        <v>1</v>
      </c>
      <c r="M515" t="s">
        <v>422</v>
      </c>
      <c r="N515">
        <v>0</v>
      </c>
      <c r="O515" s="1">
        <f>+Tabla__192.168.1.8_POSEIDONSQL_APPFVT_01_tbl_detalle_fill_rate[[#This Row],[emb_cantidad]]-Tabla__192.168.1.8_POSEIDONSQL_APPFVT_01_tbl_detalle_fill_rate[[#This Row],[dev_cantidad]]</f>
        <v>1</v>
      </c>
      <c r="P5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5" s="1">
        <f>+Tabla__192.168.1.8_POSEIDONSQL_APPFVT_01_tbl_detalle_fill_rate[[#This Row],[Cumpl Real Unds]]-Tabla__192.168.1.8_POSEIDONSQL_APPFVT_01_tbl_detalle_fill_rate[[#This Row],[Cant Embarcada]]</f>
        <v>0</v>
      </c>
      <c r="S515" s="1">
        <f>+IF(Tabla__192.168.1.8_POSEIDONSQL_APPFVT_01_tbl_detalle_fill_rate[[#This Row],[Pend Emb]]&gt;0,1,0)</f>
        <v>0</v>
      </c>
      <c r="T5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6" spans="1:20" x14ac:dyDescent="0.25">
      <c r="A516">
        <v>9</v>
      </c>
      <c r="B516" t="s">
        <v>48</v>
      </c>
      <c r="C516">
        <v>9204433</v>
      </c>
      <c r="D516" s="48">
        <v>43363</v>
      </c>
      <c r="E516" s="48">
        <v>43360</v>
      </c>
      <c r="F516" s="48">
        <v>43369</v>
      </c>
      <c r="G516" t="s">
        <v>94</v>
      </c>
      <c r="H516" t="s">
        <v>95</v>
      </c>
      <c r="I516">
        <v>1</v>
      </c>
      <c r="J516" t="s">
        <v>1923</v>
      </c>
      <c r="K516">
        <v>1</v>
      </c>
      <c r="L516">
        <v>1</v>
      </c>
      <c r="M516" t="s">
        <v>420</v>
      </c>
      <c r="N516">
        <v>0</v>
      </c>
      <c r="O516" s="1">
        <f>+Tabla__192.168.1.8_POSEIDONSQL_APPFVT_01_tbl_detalle_fill_rate[[#This Row],[emb_cantidad]]-Tabla__192.168.1.8_POSEIDONSQL_APPFVT_01_tbl_detalle_fill_rate[[#This Row],[dev_cantidad]]</f>
        <v>1</v>
      </c>
      <c r="P5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6" s="1">
        <f>+Tabla__192.168.1.8_POSEIDONSQL_APPFVT_01_tbl_detalle_fill_rate[[#This Row],[Cumpl Real Unds]]-Tabla__192.168.1.8_POSEIDONSQL_APPFVT_01_tbl_detalle_fill_rate[[#This Row],[Cant Embarcada]]</f>
        <v>0</v>
      </c>
      <c r="S516" s="1">
        <f>+IF(Tabla__192.168.1.8_POSEIDONSQL_APPFVT_01_tbl_detalle_fill_rate[[#This Row],[Pend Emb]]&gt;0,1,0)</f>
        <v>0</v>
      </c>
      <c r="T5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7" spans="1:20" x14ac:dyDescent="0.25">
      <c r="A517">
        <v>9</v>
      </c>
      <c r="B517" t="s">
        <v>48</v>
      </c>
      <c r="C517">
        <v>9204465</v>
      </c>
      <c r="D517" s="48">
        <v>43363</v>
      </c>
      <c r="E517" s="48">
        <v>43361</v>
      </c>
      <c r="F517" s="48">
        <v>43364</v>
      </c>
      <c r="G517" t="s">
        <v>355</v>
      </c>
      <c r="H517" t="s">
        <v>356</v>
      </c>
      <c r="I517">
        <v>1</v>
      </c>
      <c r="J517" t="s">
        <v>1906</v>
      </c>
      <c r="K517">
        <v>1</v>
      </c>
      <c r="L517">
        <v>1</v>
      </c>
      <c r="M517" t="s">
        <v>422</v>
      </c>
      <c r="N517">
        <v>0</v>
      </c>
      <c r="O517" s="1">
        <f>+Tabla__192.168.1.8_POSEIDONSQL_APPFVT_01_tbl_detalle_fill_rate[[#This Row],[emb_cantidad]]-Tabla__192.168.1.8_POSEIDONSQL_APPFVT_01_tbl_detalle_fill_rate[[#This Row],[dev_cantidad]]</f>
        <v>1</v>
      </c>
      <c r="P5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7" s="1">
        <f>+Tabla__192.168.1.8_POSEIDONSQL_APPFVT_01_tbl_detalle_fill_rate[[#This Row],[Cumpl Real Unds]]-Tabla__192.168.1.8_POSEIDONSQL_APPFVT_01_tbl_detalle_fill_rate[[#This Row],[Cant Embarcada]]</f>
        <v>0</v>
      </c>
      <c r="S517" s="1">
        <f>+IF(Tabla__192.168.1.8_POSEIDONSQL_APPFVT_01_tbl_detalle_fill_rate[[#This Row],[Pend Emb]]&gt;0,1,0)</f>
        <v>0</v>
      </c>
      <c r="T5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8" spans="1:20" x14ac:dyDescent="0.25">
      <c r="A518">
        <v>9</v>
      </c>
      <c r="B518" t="s">
        <v>48</v>
      </c>
      <c r="C518">
        <v>9204556</v>
      </c>
      <c r="D518" s="48">
        <v>43363</v>
      </c>
      <c r="E518" s="48">
        <v>43361</v>
      </c>
      <c r="F518" s="48">
        <v>43367</v>
      </c>
      <c r="G518" t="s">
        <v>387</v>
      </c>
      <c r="H518" t="s">
        <v>388</v>
      </c>
      <c r="I518">
        <v>1</v>
      </c>
      <c r="J518" t="s">
        <v>1915</v>
      </c>
      <c r="K518">
        <v>1</v>
      </c>
      <c r="L518">
        <v>1</v>
      </c>
      <c r="M518" t="s">
        <v>416</v>
      </c>
      <c r="N518">
        <v>0</v>
      </c>
      <c r="O518" s="1">
        <f>+Tabla__192.168.1.8_POSEIDONSQL_APPFVT_01_tbl_detalle_fill_rate[[#This Row],[emb_cantidad]]-Tabla__192.168.1.8_POSEIDONSQL_APPFVT_01_tbl_detalle_fill_rate[[#This Row],[dev_cantidad]]</f>
        <v>1</v>
      </c>
      <c r="P5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8" s="1">
        <f>+Tabla__192.168.1.8_POSEIDONSQL_APPFVT_01_tbl_detalle_fill_rate[[#This Row],[Cumpl Real Unds]]-Tabla__192.168.1.8_POSEIDONSQL_APPFVT_01_tbl_detalle_fill_rate[[#This Row],[Cant Embarcada]]</f>
        <v>0</v>
      </c>
      <c r="S518" s="1">
        <f>+IF(Tabla__192.168.1.8_POSEIDONSQL_APPFVT_01_tbl_detalle_fill_rate[[#This Row],[Pend Emb]]&gt;0,1,0)</f>
        <v>0</v>
      </c>
      <c r="T5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19" spans="1:20" x14ac:dyDescent="0.25">
      <c r="A519">
        <v>9</v>
      </c>
      <c r="B519" t="s">
        <v>48</v>
      </c>
      <c r="C519">
        <v>9204574</v>
      </c>
      <c r="D519" s="48">
        <v>43363</v>
      </c>
      <c r="E519" s="48">
        <v>43361</v>
      </c>
      <c r="F519" s="48">
        <v>43364</v>
      </c>
      <c r="G519" t="s">
        <v>351</v>
      </c>
      <c r="H519" t="s">
        <v>352</v>
      </c>
      <c r="I519">
        <v>1</v>
      </c>
      <c r="J519" t="s">
        <v>1932</v>
      </c>
      <c r="K519">
        <v>1</v>
      </c>
      <c r="L519">
        <v>1</v>
      </c>
      <c r="M519" t="s">
        <v>422</v>
      </c>
      <c r="N519">
        <v>0</v>
      </c>
      <c r="O519" s="1">
        <f>+Tabla__192.168.1.8_POSEIDONSQL_APPFVT_01_tbl_detalle_fill_rate[[#This Row],[emb_cantidad]]-Tabla__192.168.1.8_POSEIDONSQL_APPFVT_01_tbl_detalle_fill_rate[[#This Row],[dev_cantidad]]</f>
        <v>1</v>
      </c>
      <c r="P5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19" s="1">
        <f>+Tabla__192.168.1.8_POSEIDONSQL_APPFVT_01_tbl_detalle_fill_rate[[#This Row],[Cumpl Real Unds]]-Tabla__192.168.1.8_POSEIDONSQL_APPFVT_01_tbl_detalle_fill_rate[[#This Row],[Cant Embarcada]]</f>
        <v>0</v>
      </c>
      <c r="S519" s="1">
        <f>+IF(Tabla__192.168.1.8_POSEIDONSQL_APPFVT_01_tbl_detalle_fill_rate[[#This Row],[Pend Emb]]&gt;0,1,0)</f>
        <v>0</v>
      </c>
      <c r="T5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0" spans="1:20" x14ac:dyDescent="0.25">
      <c r="A520">
        <v>9</v>
      </c>
      <c r="B520" t="s">
        <v>48</v>
      </c>
      <c r="C520">
        <v>9204607</v>
      </c>
      <c r="D520" s="48">
        <v>43363</v>
      </c>
      <c r="E520" s="48">
        <v>43361</v>
      </c>
      <c r="F520" s="48">
        <v>43364</v>
      </c>
      <c r="G520" t="s">
        <v>124</v>
      </c>
      <c r="H520" t="s">
        <v>125</v>
      </c>
      <c r="I520">
        <v>1</v>
      </c>
      <c r="J520" t="s">
        <v>1902</v>
      </c>
      <c r="K520">
        <v>1</v>
      </c>
      <c r="L520">
        <v>1</v>
      </c>
      <c r="M520" t="s">
        <v>422</v>
      </c>
      <c r="N520">
        <v>0</v>
      </c>
      <c r="O520" s="1">
        <f>+Tabla__192.168.1.8_POSEIDONSQL_APPFVT_01_tbl_detalle_fill_rate[[#This Row],[emb_cantidad]]-Tabla__192.168.1.8_POSEIDONSQL_APPFVT_01_tbl_detalle_fill_rate[[#This Row],[dev_cantidad]]</f>
        <v>1</v>
      </c>
      <c r="P5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0" s="1">
        <f>+Tabla__192.168.1.8_POSEIDONSQL_APPFVT_01_tbl_detalle_fill_rate[[#This Row],[Cumpl Real Unds]]-Tabla__192.168.1.8_POSEIDONSQL_APPFVT_01_tbl_detalle_fill_rate[[#This Row],[Cant Embarcada]]</f>
        <v>0</v>
      </c>
      <c r="S520" s="1">
        <f>+IF(Tabla__192.168.1.8_POSEIDONSQL_APPFVT_01_tbl_detalle_fill_rate[[#This Row],[Pend Emb]]&gt;0,1,0)</f>
        <v>0</v>
      </c>
      <c r="T5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1" spans="1:20" x14ac:dyDescent="0.25">
      <c r="A521">
        <v>9</v>
      </c>
      <c r="B521" t="s">
        <v>48</v>
      </c>
      <c r="C521">
        <v>9204708</v>
      </c>
      <c r="D521" s="48">
        <v>43363</v>
      </c>
      <c r="E521" s="48">
        <v>43362</v>
      </c>
      <c r="F521" s="48">
        <v>43364</v>
      </c>
      <c r="G521" t="s">
        <v>366</v>
      </c>
      <c r="H521" t="s">
        <v>367</v>
      </c>
      <c r="I521">
        <v>1</v>
      </c>
      <c r="J521" t="s">
        <v>1903</v>
      </c>
      <c r="K521">
        <v>1</v>
      </c>
      <c r="L521">
        <v>1</v>
      </c>
      <c r="M521" t="s">
        <v>422</v>
      </c>
      <c r="N521">
        <v>0</v>
      </c>
      <c r="O521" s="1">
        <f>+Tabla__192.168.1.8_POSEIDONSQL_APPFVT_01_tbl_detalle_fill_rate[[#This Row],[emb_cantidad]]-Tabla__192.168.1.8_POSEIDONSQL_APPFVT_01_tbl_detalle_fill_rate[[#This Row],[dev_cantidad]]</f>
        <v>1</v>
      </c>
      <c r="P5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1" s="1">
        <f>+Tabla__192.168.1.8_POSEIDONSQL_APPFVT_01_tbl_detalle_fill_rate[[#This Row],[Cumpl Real Unds]]-Tabla__192.168.1.8_POSEIDONSQL_APPFVT_01_tbl_detalle_fill_rate[[#This Row],[Cant Embarcada]]</f>
        <v>0</v>
      </c>
      <c r="S521" s="1">
        <f>+IF(Tabla__192.168.1.8_POSEIDONSQL_APPFVT_01_tbl_detalle_fill_rate[[#This Row],[Pend Emb]]&gt;0,1,0)</f>
        <v>0</v>
      </c>
      <c r="T5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2" spans="1:20" x14ac:dyDescent="0.25">
      <c r="A522">
        <v>9</v>
      </c>
      <c r="B522" t="s">
        <v>48</v>
      </c>
      <c r="C522">
        <v>9204773</v>
      </c>
      <c r="D522" s="48">
        <v>43364</v>
      </c>
      <c r="E522" s="48">
        <v>43363</v>
      </c>
      <c r="F522" s="48">
        <v>43369</v>
      </c>
      <c r="G522" t="s">
        <v>96</v>
      </c>
      <c r="H522" t="s">
        <v>97</v>
      </c>
      <c r="I522">
        <v>1</v>
      </c>
      <c r="J522" t="s">
        <v>1005</v>
      </c>
      <c r="K522">
        <v>1</v>
      </c>
      <c r="L522">
        <v>1</v>
      </c>
      <c r="M522" t="s">
        <v>420</v>
      </c>
      <c r="N522">
        <v>0</v>
      </c>
      <c r="O522" s="1">
        <f>+Tabla__192.168.1.8_POSEIDONSQL_APPFVT_01_tbl_detalle_fill_rate[[#This Row],[emb_cantidad]]-Tabla__192.168.1.8_POSEIDONSQL_APPFVT_01_tbl_detalle_fill_rate[[#This Row],[dev_cantidad]]</f>
        <v>1</v>
      </c>
      <c r="P5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2" s="1">
        <f>+Tabla__192.168.1.8_POSEIDONSQL_APPFVT_01_tbl_detalle_fill_rate[[#This Row],[Cumpl Real Unds]]-Tabla__192.168.1.8_POSEIDONSQL_APPFVT_01_tbl_detalle_fill_rate[[#This Row],[Cant Embarcada]]</f>
        <v>0</v>
      </c>
      <c r="S522" s="1">
        <f>+IF(Tabla__192.168.1.8_POSEIDONSQL_APPFVT_01_tbl_detalle_fill_rate[[#This Row],[Pend Emb]]&gt;0,1,0)</f>
        <v>0</v>
      </c>
      <c r="T5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3" spans="1:20" x14ac:dyDescent="0.25">
      <c r="A523">
        <v>9</v>
      </c>
      <c r="B523" t="s">
        <v>48</v>
      </c>
      <c r="C523">
        <v>9204773</v>
      </c>
      <c r="D523" s="48">
        <v>43364</v>
      </c>
      <c r="E523" s="48">
        <v>43363</v>
      </c>
      <c r="F523" s="48">
        <v>43369</v>
      </c>
      <c r="G523" t="s">
        <v>108</v>
      </c>
      <c r="H523" t="s">
        <v>109</v>
      </c>
      <c r="I523">
        <v>1</v>
      </c>
      <c r="J523" t="s">
        <v>1007</v>
      </c>
      <c r="K523">
        <v>1</v>
      </c>
      <c r="L523">
        <v>1</v>
      </c>
      <c r="M523" t="s">
        <v>420</v>
      </c>
      <c r="N523">
        <v>0</v>
      </c>
      <c r="O523" s="1">
        <f>+Tabla__192.168.1.8_POSEIDONSQL_APPFVT_01_tbl_detalle_fill_rate[[#This Row],[emb_cantidad]]-Tabla__192.168.1.8_POSEIDONSQL_APPFVT_01_tbl_detalle_fill_rate[[#This Row],[dev_cantidad]]</f>
        <v>1</v>
      </c>
      <c r="P5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3" s="1">
        <f>+Tabla__192.168.1.8_POSEIDONSQL_APPFVT_01_tbl_detalle_fill_rate[[#This Row],[Cumpl Real Unds]]-Tabla__192.168.1.8_POSEIDONSQL_APPFVT_01_tbl_detalle_fill_rate[[#This Row],[Cant Embarcada]]</f>
        <v>0</v>
      </c>
      <c r="S523" s="1">
        <f>+IF(Tabla__192.168.1.8_POSEIDONSQL_APPFVT_01_tbl_detalle_fill_rate[[#This Row],[Pend Emb]]&gt;0,1,0)</f>
        <v>0</v>
      </c>
      <c r="T5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4" spans="1:20" x14ac:dyDescent="0.25">
      <c r="A524">
        <v>9</v>
      </c>
      <c r="B524" t="s">
        <v>48</v>
      </c>
      <c r="C524">
        <v>9204773</v>
      </c>
      <c r="D524" s="48">
        <v>43364</v>
      </c>
      <c r="E524" s="48">
        <v>43362</v>
      </c>
      <c r="F524" s="48">
        <v>43369</v>
      </c>
      <c r="G524" t="s">
        <v>236</v>
      </c>
      <c r="H524" t="s">
        <v>237</v>
      </c>
      <c r="I524">
        <v>1</v>
      </c>
      <c r="J524" t="s">
        <v>1006</v>
      </c>
      <c r="K524">
        <v>1</v>
      </c>
      <c r="L524">
        <v>1</v>
      </c>
      <c r="M524" t="s">
        <v>420</v>
      </c>
      <c r="N524">
        <v>0</v>
      </c>
      <c r="O524" s="1">
        <f>+Tabla__192.168.1.8_POSEIDONSQL_APPFVT_01_tbl_detalle_fill_rate[[#This Row],[emb_cantidad]]-Tabla__192.168.1.8_POSEIDONSQL_APPFVT_01_tbl_detalle_fill_rate[[#This Row],[dev_cantidad]]</f>
        <v>1</v>
      </c>
      <c r="P5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4" s="1">
        <f>+Tabla__192.168.1.8_POSEIDONSQL_APPFVT_01_tbl_detalle_fill_rate[[#This Row],[Cumpl Real Unds]]-Tabla__192.168.1.8_POSEIDONSQL_APPFVT_01_tbl_detalle_fill_rate[[#This Row],[Cant Embarcada]]</f>
        <v>0</v>
      </c>
      <c r="S524" s="1">
        <f>+IF(Tabla__192.168.1.8_POSEIDONSQL_APPFVT_01_tbl_detalle_fill_rate[[#This Row],[Pend Emb]]&gt;0,1,0)</f>
        <v>0</v>
      </c>
      <c r="T5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5" spans="1:20" x14ac:dyDescent="0.25">
      <c r="A525">
        <v>9</v>
      </c>
      <c r="B525" t="s">
        <v>48</v>
      </c>
      <c r="C525">
        <v>9204870</v>
      </c>
      <c r="D525" s="48">
        <v>43364</v>
      </c>
      <c r="E525" s="48">
        <v>43363</v>
      </c>
      <c r="F525" s="48">
        <v>43369</v>
      </c>
      <c r="G525" t="s">
        <v>86</v>
      </c>
      <c r="H525" t="s">
        <v>87</v>
      </c>
      <c r="I525">
        <v>1</v>
      </c>
      <c r="J525" t="s">
        <v>1008</v>
      </c>
      <c r="K525">
        <v>1</v>
      </c>
      <c r="L525">
        <v>1</v>
      </c>
      <c r="M525" t="s">
        <v>420</v>
      </c>
      <c r="N525">
        <v>0</v>
      </c>
      <c r="O525" s="1">
        <f>+Tabla__192.168.1.8_POSEIDONSQL_APPFVT_01_tbl_detalle_fill_rate[[#This Row],[emb_cantidad]]-Tabla__192.168.1.8_POSEIDONSQL_APPFVT_01_tbl_detalle_fill_rate[[#This Row],[dev_cantidad]]</f>
        <v>1</v>
      </c>
      <c r="P5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5" s="1">
        <f>+Tabla__192.168.1.8_POSEIDONSQL_APPFVT_01_tbl_detalle_fill_rate[[#This Row],[Cumpl Real Unds]]-Tabla__192.168.1.8_POSEIDONSQL_APPFVT_01_tbl_detalle_fill_rate[[#This Row],[Cant Embarcada]]</f>
        <v>0</v>
      </c>
      <c r="S525" s="1">
        <f>+IF(Tabla__192.168.1.8_POSEIDONSQL_APPFVT_01_tbl_detalle_fill_rate[[#This Row],[Pend Emb]]&gt;0,1,0)</f>
        <v>0</v>
      </c>
      <c r="T5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6" spans="1:20" x14ac:dyDescent="0.25">
      <c r="A526">
        <v>9</v>
      </c>
      <c r="B526" t="s">
        <v>48</v>
      </c>
      <c r="C526">
        <v>9205127</v>
      </c>
      <c r="D526" s="48">
        <v>43364</v>
      </c>
      <c r="E526" s="48">
        <v>43363</v>
      </c>
      <c r="F526" s="48">
        <v>43369</v>
      </c>
      <c r="G526" t="s">
        <v>166</v>
      </c>
      <c r="H526" t="s">
        <v>167</v>
      </c>
      <c r="I526">
        <v>1</v>
      </c>
      <c r="J526" t="s">
        <v>926</v>
      </c>
      <c r="K526">
        <v>1</v>
      </c>
      <c r="L526">
        <v>1</v>
      </c>
      <c r="M526" t="s">
        <v>420</v>
      </c>
      <c r="N526">
        <v>0</v>
      </c>
      <c r="O526" s="1">
        <f>+Tabla__192.168.1.8_POSEIDONSQL_APPFVT_01_tbl_detalle_fill_rate[[#This Row],[emb_cantidad]]-Tabla__192.168.1.8_POSEIDONSQL_APPFVT_01_tbl_detalle_fill_rate[[#This Row],[dev_cantidad]]</f>
        <v>1</v>
      </c>
      <c r="P5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6" s="1">
        <f>+Tabla__192.168.1.8_POSEIDONSQL_APPFVT_01_tbl_detalle_fill_rate[[#This Row],[Cumpl Real Unds]]-Tabla__192.168.1.8_POSEIDONSQL_APPFVT_01_tbl_detalle_fill_rate[[#This Row],[Cant Embarcada]]</f>
        <v>0</v>
      </c>
      <c r="S526" s="1">
        <f>+IF(Tabla__192.168.1.8_POSEIDONSQL_APPFVT_01_tbl_detalle_fill_rate[[#This Row],[Pend Emb]]&gt;0,1,0)</f>
        <v>0</v>
      </c>
      <c r="T5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7" spans="1:20" x14ac:dyDescent="0.25">
      <c r="A527">
        <v>9</v>
      </c>
      <c r="B527" t="s">
        <v>48</v>
      </c>
      <c r="C527">
        <v>9205273</v>
      </c>
      <c r="D527" s="48">
        <v>43364</v>
      </c>
      <c r="E527" s="48">
        <v>43363</v>
      </c>
      <c r="F527" s="48">
        <v>43369</v>
      </c>
      <c r="G527" t="s">
        <v>78</v>
      </c>
      <c r="H527" t="s">
        <v>79</v>
      </c>
      <c r="I527">
        <v>1</v>
      </c>
      <c r="J527" t="s">
        <v>927</v>
      </c>
      <c r="K527">
        <v>1</v>
      </c>
      <c r="L527">
        <v>1</v>
      </c>
      <c r="M527" t="s">
        <v>420</v>
      </c>
      <c r="N527">
        <v>0</v>
      </c>
      <c r="O527" s="1">
        <f>+Tabla__192.168.1.8_POSEIDONSQL_APPFVT_01_tbl_detalle_fill_rate[[#This Row],[emb_cantidad]]-Tabla__192.168.1.8_POSEIDONSQL_APPFVT_01_tbl_detalle_fill_rate[[#This Row],[dev_cantidad]]</f>
        <v>1</v>
      </c>
      <c r="P5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7" s="1">
        <f>+Tabla__192.168.1.8_POSEIDONSQL_APPFVT_01_tbl_detalle_fill_rate[[#This Row],[Cumpl Real Unds]]-Tabla__192.168.1.8_POSEIDONSQL_APPFVT_01_tbl_detalle_fill_rate[[#This Row],[Cant Embarcada]]</f>
        <v>0</v>
      </c>
      <c r="S527" s="1">
        <f>+IF(Tabla__192.168.1.8_POSEIDONSQL_APPFVT_01_tbl_detalle_fill_rate[[#This Row],[Pend Emb]]&gt;0,1,0)</f>
        <v>0</v>
      </c>
      <c r="T5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8" spans="1:20" x14ac:dyDescent="0.25">
      <c r="A528">
        <v>9</v>
      </c>
      <c r="B528" t="s">
        <v>48</v>
      </c>
      <c r="C528">
        <v>9205323</v>
      </c>
      <c r="D528" s="48">
        <v>43364</v>
      </c>
      <c r="E528" s="48">
        <v>43363</v>
      </c>
      <c r="F528" s="48">
        <v>43369</v>
      </c>
      <c r="G528" t="s">
        <v>70</v>
      </c>
      <c r="H528" t="s">
        <v>71</v>
      </c>
      <c r="I528">
        <v>1</v>
      </c>
      <c r="J528" t="s">
        <v>928</v>
      </c>
      <c r="K528">
        <v>1</v>
      </c>
      <c r="L528">
        <v>1</v>
      </c>
      <c r="M528" t="s">
        <v>420</v>
      </c>
      <c r="N528">
        <v>0</v>
      </c>
      <c r="O528" s="1">
        <f>+Tabla__192.168.1.8_POSEIDONSQL_APPFVT_01_tbl_detalle_fill_rate[[#This Row],[emb_cantidad]]-Tabla__192.168.1.8_POSEIDONSQL_APPFVT_01_tbl_detalle_fill_rate[[#This Row],[dev_cantidad]]</f>
        <v>1</v>
      </c>
      <c r="P5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8" s="1">
        <f>+Tabla__192.168.1.8_POSEIDONSQL_APPFVT_01_tbl_detalle_fill_rate[[#This Row],[Cumpl Real Unds]]-Tabla__192.168.1.8_POSEIDONSQL_APPFVT_01_tbl_detalle_fill_rate[[#This Row],[Cant Embarcada]]</f>
        <v>0</v>
      </c>
      <c r="S528" s="1">
        <f>+IF(Tabla__192.168.1.8_POSEIDONSQL_APPFVT_01_tbl_detalle_fill_rate[[#This Row],[Pend Emb]]&gt;0,1,0)</f>
        <v>0</v>
      </c>
      <c r="T5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29" spans="1:20" x14ac:dyDescent="0.25">
      <c r="A529">
        <v>9</v>
      </c>
      <c r="B529" t="s">
        <v>48</v>
      </c>
      <c r="C529">
        <v>9205448</v>
      </c>
      <c r="D529" s="48">
        <v>43364</v>
      </c>
      <c r="E529" s="48">
        <v>43363</v>
      </c>
      <c r="F529" s="48">
        <v>43369</v>
      </c>
      <c r="G529" t="s">
        <v>86</v>
      </c>
      <c r="H529" t="s">
        <v>87</v>
      </c>
      <c r="I529">
        <v>1</v>
      </c>
      <c r="J529" t="s">
        <v>1003</v>
      </c>
      <c r="K529">
        <v>1</v>
      </c>
      <c r="L529">
        <v>1</v>
      </c>
      <c r="M529" t="s">
        <v>420</v>
      </c>
      <c r="N529">
        <v>0</v>
      </c>
      <c r="O529" s="1">
        <f>+Tabla__192.168.1.8_POSEIDONSQL_APPFVT_01_tbl_detalle_fill_rate[[#This Row],[emb_cantidad]]-Tabla__192.168.1.8_POSEIDONSQL_APPFVT_01_tbl_detalle_fill_rate[[#This Row],[dev_cantidad]]</f>
        <v>1</v>
      </c>
      <c r="P5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29" s="1">
        <f>+Tabla__192.168.1.8_POSEIDONSQL_APPFVT_01_tbl_detalle_fill_rate[[#This Row],[Cumpl Real Unds]]-Tabla__192.168.1.8_POSEIDONSQL_APPFVT_01_tbl_detalle_fill_rate[[#This Row],[Cant Embarcada]]</f>
        <v>0</v>
      </c>
      <c r="S529" s="1">
        <f>+IF(Tabla__192.168.1.8_POSEIDONSQL_APPFVT_01_tbl_detalle_fill_rate[[#This Row],[Pend Emb]]&gt;0,1,0)</f>
        <v>0</v>
      </c>
      <c r="T5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0" spans="1:20" x14ac:dyDescent="0.25">
      <c r="A530">
        <v>9</v>
      </c>
      <c r="B530" t="s">
        <v>48</v>
      </c>
      <c r="C530">
        <v>9205448</v>
      </c>
      <c r="D530" s="48">
        <v>43364</v>
      </c>
      <c r="E530" s="48">
        <v>43364</v>
      </c>
      <c r="F530" s="48">
        <v>43369</v>
      </c>
      <c r="G530" t="s">
        <v>96</v>
      </c>
      <c r="H530" t="s">
        <v>97</v>
      </c>
      <c r="I530">
        <v>1</v>
      </c>
      <c r="J530" t="s">
        <v>1004</v>
      </c>
      <c r="K530">
        <v>1</v>
      </c>
      <c r="L530">
        <v>1</v>
      </c>
      <c r="M530" t="s">
        <v>420</v>
      </c>
      <c r="N530">
        <v>0</v>
      </c>
      <c r="O530" s="1">
        <f>+Tabla__192.168.1.8_POSEIDONSQL_APPFVT_01_tbl_detalle_fill_rate[[#This Row],[emb_cantidad]]-Tabla__192.168.1.8_POSEIDONSQL_APPFVT_01_tbl_detalle_fill_rate[[#This Row],[dev_cantidad]]</f>
        <v>1</v>
      </c>
      <c r="P5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0" s="1">
        <f>+Tabla__192.168.1.8_POSEIDONSQL_APPFVT_01_tbl_detalle_fill_rate[[#This Row],[Cumpl Real Unds]]-Tabla__192.168.1.8_POSEIDONSQL_APPFVT_01_tbl_detalle_fill_rate[[#This Row],[Cant Embarcada]]</f>
        <v>0</v>
      </c>
      <c r="S530" s="1">
        <f>+IF(Tabla__192.168.1.8_POSEIDONSQL_APPFVT_01_tbl_detalle_fill_rate[[#This Row],[Pend Emb]]&gt;0,1,0)</f>
        <v>0</v>
      </c>
      <c r="T5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1" spans="1:20" x14ac:dyDescent="0.25">
      <c r="A531">
        <v>9</v>
      </c>
      <c r="B531" t="s">
        <v>48</v>
      </c>
      <c r="C531">
        <v>9205650</v>
      </c>
      <c r="D531" s="48">
        <v>43367</v>
      </c>
      <c r="E531" s="48">
        <v>43364</v>
      </c>
      <c r="F531" s="48">
        <v>43369</v>
      </c>
      <c r="G531" t="s">
        <v>74</v>
      </c>
      <c r="H531" t="s">
        <v>75</v>
      </c>
      <c r="I531">
        <v>1</v>
      </c>
      <c r="J531" t="s">
        <v>1361</v>
      </c>
      <c r="K531">
        <v>1</v>
      </c>
      <c r="L531">
        <v>1</v>
      </c>
      <c r="M531" t="s">
        <v>420</v>
      </c>
      <c r="N531">
        <v>0</v>
      </c>
      <c r="O531" s="1">
        <f>+Tabla__192.168.1.8_POSEIDONSQL_APPFVT_01_tbl_detalle_fill_rate[[#This Row],[emb_cantidad]]-Tabla__192.168.1.8_POSEIDONSQL_APPFVT_01_tbl_detalle_fill_rate[[#This Row],[dev_cantidad]]</f>
        <v>1</v>
      </c>
      <c r="P5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1" s="1">
        <f>+Tabla__192.168.1.8_POSEIDONSQL_APPFVT_01_tbl_detalle_fill_rate[[#This Row],[Cumpl Real Unds]]-Tabla__192.168.1.8_POSEIDONSQL_APPFVT_01_tbl_detalle_fill_rate[[#This Row],[Cant Embarcada]]</f>
        <v>0</v>
      </c>
      <c r="S531" s="1">
        <f>+IF(Tabla__192.168.1.8_POSEIDONSQL_APPFVT_01_tbl_detalle_fill_rate[[#This Row],[Pend Emb]]&gt;0,1,0)</f>
        <v>0</v>
      </c>
      <c r="T5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2" spans="1:20" x14ac:dyDescent="0.25">
      <c r="A532">
        <v>9</v>
      </c>
      <c r="B532" t="s">
        <v>48</v>
      </c>
      <c r="C532">
        <v>9205691</v>
      </c>
      <c r="D532" s="48">
        <v>43367</v>
      </c>
      <c r="E532" s="48">
        <v>43364</v>
      </c>
      <c r="F532" s="48">
        <v>43369</v>
      </c>
      <c r="G532" t="s">
        <v>80</v>
      </c>
      <c r="H532" t="s">
        <v>81</v>
      </c>
      <c r="I532">
        <v>1</v>
      </c>
      <c r="J532" t="s">
        <v>1362</v>
      </c>
      <c r="K532">
        <v>1</v>
      </c>
      <c r="L532">
        <v>1</v>
      </c>
      <c r="M532" t="s">
        <v>420</v>
      </c>
      <c r="N532">
        <v>0</v>
      </c>
      <c r="O532" s="1">
        <f>+Tabla__192.168.1.8_POSEIDONSQL_APPFVT_01_tbl_detalle_fill_rate[[#This Row],[emb_cantidad]]-Tabla__192.168.1.8_POSEIDONSQL_APPFVT_01_tbl_detalle_fill_rate[[#This Row],[dev_cantidad]]</f>
        <v>1</v>
      </c>
      <c r="P5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2" s="1">
        <f>+Tabla__192.168.1.8_POSEIDONSQL_APPFVT_01_tbl_detalle_fill_rate[[#This Row],[Cumpl Real Unds]]-Tabla__192.168.1.8_POSEIDONSQL_APPFVT_01_tbl_detalle_fill_rate[[#This Row],[Cant Embarcada]]</f>
        <v>0</v>
      </c>
      <c r="S532" s="1">
        <f>+IF(Tabla__192.168.1.8_POSEIDONSQL_APPFVT_01_tbl_detalle_fill_rate[[#This Row],[Pend Emb]]&gt;0,1,0)</f>
        <v>0</v>
      </c>
      <c r="T5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3" spans="1:20" x14ac:dyDescent="0.25">
      <c r="A533">
        <v>9</v>
      </c>
      <c r="B533" t="s">
        <v>48</v>
      </c>
      <c r="C533">
        <v>9205691</v>
      </c>
      <c r="D533" s="48">
        <v>43367</v>
      </c>
      <c r="E533" s="48">
        <v>43364</v>
      </c>
      <c r="F533" s="48">
        <v>43369</v>
      </c>
      <c r="G533" t="s">
        <v>234</v>
      </c>
      <c r="H533" t="s">
        <v>235</v>
      </c>
      <c r="I533">
        <v>1</v>
      </c>
      <c r="J533" t="s">
        <v>1363</v>
      </c>
      <c r="K533">
        <v>1</v>
      </c>
      <c r="L533">
        <v>1</v>
      </c>
      <c r="M533" t="s">
        <v>420</v>
      </c>
      <c r="N533">
        <v>0</v>
      </c>
      <c r="O533" s="1">
        <f>+Tabla__192.168.1.8_POSEIDONSQL_APPFVT_01_tbl_detalle_fill_rate[[#This Row],[emb_cantidad]]-Tabla__192.168.1.8_POSEIDONSQL_APPFVT_01_tbl_detalle_fill_rate[[#This Row],[dev_cantidad]]</f>
        <v>1</v>
      </c>
      <c r="P5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3" s="1">
        <f>+Tabla__192.168.1.8_POSEIDONSQL_APPFVT_01_tbl_detalle_fill_rate[[#This Row],[Cumpl Real Unds]]-Tabla__192.168.1.8_POSEIDONSQL_APPFVT_01_tbl_detalle_fill_rate[[#This Row],[Cant Embarcada]]</f>
        <v>0</v>
      </c>
      <c r="S533" s="1">
        <f>+IF(Tabla__192.168.1.8_POSEIDONSQL_APPFVT_01_tbl_detalle_fill_rate[[#This Row],[Pend Emb]]&gt;0,1,0)</f>
        <v>0</v>
      </c>
      <c r="T5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4" spans="1:20" x14ac:dyDescent="0.25">
      <c r="A534">
        <v>9</v>
      </c>
      <c r="B534" t="s">
        <v>48</v>
      </c>
      <c r="C534">
        <v>9205783</v>
      </c>
      <c r="D534" s="48">
        <v>43367</v>
      </c>
      <c r="E534" s="48">
        <v>43364</v>
      </c>
      <c r="F534" s="48">
        <v>43369</v>
      </c>
      <c r="G534" t="s">
        <v>106</v>
      </c>
      <c r="H534" t="s">
        <v>107</v>
      </c>
      <c r="I534">
        <v>1</v>
      </c>
      <c r="J534" t="s">
        <v>1353</v>
      </c>
      <c r="K534">
        <v>1</v>
      </c>
      <c r="L534">
        <v>1</v>
      </c>
      <c r="M534" t="s">
        <v>420</v>
      </c>
      <c r="N534">
        <v>0</v>
      </c>
      <c r="O534" s="1">
        <f>+Tabla__192.168.1.8_POSEIDONSQL_APPFVT_01_tbl_detalle_fill_rate[[#This Row],[emb_cantidad]]-Tabla__192.168.1.8_POSEIDONSQL_APPFVT_01_tbl_detalle_fill_rate[[#This Row],[dev_cantidad]]</f>
        <v>1</v>
      </c>
      <c r="P5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4" s="1">
        <f>+Tabla__192.168.1.8_POSEIDONSQL_APPFVT_01_tbl_detalle_fill_rate[[#This Row],[Cumpl Real Unds]]-Tabla__192.168.1.8_POSEIDONSQL_APPFVT_01_tbl_detalle_fill_rate[[#This Row],[Cant Embarcada]]</f>
        <v>0</v>
      </c>
      <c r="S534" s="1">
        <f>+IF(Tabla__192.168.1.8_POSEIDONSQL_APPFVT_01_tbl_detalle_fill_rate[[#This Row],[Pend Emb]]&gt;0,1,0)</f>
        <v>0</v>
      </c>
      <c r="T5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5" spans="1:20" x14ac:dyDescent="0.25">
      <c r="A535">
        <v>9</v>
      </c>
      <c r="B535" t="s">
        <v>48</v>
      </c>
      <c r="C535">
        <v>9205783</v>
      </c>
      <c r="D535" s="48">
        <v>43367</v>
      </c>
      <c r="E535" s="48">
        <v>43364</v>
      </c>
      <c r="F535" s="48">
        <v>43369</v>
      </c>
      <c r="G535" t="s">
        <v>106</v>
      </c>
      <c r="H535" t="s">
        <v>107</v>
      </c>
      <c r="I535">
        <v>1</v>
      </c>
      <c r="J535" t="s">
        <v>1354</v>
      </c>
      <c r="K535">
        <v>1</v>
      </c>
      <c r="L535">
        <v>1</v>
      </c>
      <c r="M535" t="s">
        <v>420</v>
      </c>
      <c r="N535">
        <v>0</v>
      </c>
      <c r="O535" s="1">
        <f>+Tabla__192.168.1.8_POSEIDONSQL_APPFVT_01_tbl_detalle_fill_rate[[#This Row],[emb_cantidad]]-Tabla__192.168.1.8_POSEIDONSQL_APPFVT_01_tbl_detalle_fill_rate[[#This Row],[dev_cantidad]]</f>
        <v>1</v>
      </c>
      <c r="P5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5" s="1">
        <f>+Tabla__192.168.1.8_POSEIDONSQL_APPFVT_01_tbl_detalle_fill_rate[[#This Row],[Cumpl Real Unds]]-Tabla__192.168.1.8_POSEIDONSQL_APPFVT_01_tbl_detalle_fill_rate[[#This Row],[Cant Embarcada]]</f>
        <v>0</v>
      </c>
      <c r="S535" s="1">
        <f>+IF(Tabla__192.168.1.8_POSEIDONSQL_APPFVT_01_tbl_detalle_fill_rate[[#This Row],[Pend Emb]]&gt;0,1,0)</f>
        <v>0</v>
      </c>
      <c r="T5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6" spans="1:20" x14ac:dyDescent="0.25">
      <c r="A536">
        <v>9</v>
      </c>
      <c r="B536" t="s">
        <v>48</v>
      </c>
      <c r="C536">
        <v>9205901</v>
      </c>
      <c r="D536" s="48">
        <v>43367</v>
      </c>
      <c r="E536" s="48">
        <v>43364</v>
      </c>
      <c r="F536" s="48">
        <v>43369</v>
      </c>
      <c r="G536" t="s">
        <v>86</v>
      </c>
      <c r="H536" t="s">
        <v>87</v>
      </c>
      <c r="I536">
        <v>1</v>
      </c>
      <c r="J536" t="s">
        <v>1355</v>
      </c>
      <c r="K536">
        <v>1</v>
      </c>
      <c r="L536">
        <v>1</v>
      </c>
      <c r="M536" t="s">
        <v>420</v>
      </c>
      <c r="N536">
        <v>0</v>
      </c>
      <c r="O536" s="1">
        <f>+Tabla__192.168.1.8_POSEIDONSQL_APPFVT_01_tbl_detalle_fill_rate[[#This Row],[emb_cantidad]]-Tabla__192.168.1.8_POSEIDONSQL_APPFVT_01_tbl_detalle_fill_rate[[#This Row],[dev_cantidad]]</f>
        <v>1</v>
      </c>
      <c r="P5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6" s="1">
        <f>+Tabla__192.168.1.8_POSEIDONSQL_APPFVT_01_tbl_detalle_fill_rate[[#This Row],[Cumpl Real Unds]]-Tabla__192.168.1.8_POSEIDONSQL_APPFVT_01_tbl_detalle_fill_rate[[#This Row],[Cant Embarcada]]</f>
        <v>0</v>
      </c>
      <c r="S536" s="1">
        <f>+IF(Tabla__192.168.1.8_POSEIDONSQL_APPFVT_01_tbl_detalle_fill_rate[[#This Row],[Pend Emb]]&gt;0,1,0)</f>
        <v>0</v>
      </c>
      <c r="T5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7" spans="1:20" x14ac:dyDescent="0.25">
      <c r="A537">
        <v>9</v>
      </c>
      <c r="B537" t="s">
        <v>48</v>
      </c>
      <c r="C537">
        <v>9205942</v>
      </c>
      <c r="D537" s="48">
        <v>43367</v>
      </c>
      <c r="E537" s="48">
        <v>43364</v>
      </c>
      <c r="F537" s="48">
        <v>43369</v>
      </c>
      <c r="G537" t="s">
        <v>106</v>
      </c>
      <c r="H537" t="s">
        <v>107</v>
      </c>
      <c r="I537">
        <v>1</v>
      </c>
      <c r="J537" t="s">
        <v>1356</v>
      </c>
      <c r="K537">
        <v>1</v>
      </c>
      <c r="L537">
        <v>1</v>
      </c>
      <c r="M537" t="s">
        <v>420</v>
      </c>
      <c r="N537">
        <v>0</v>
      </c>
      <c r="O537" s="1">
        <f>+Tabla__192.168.1.8_POSEIDONSQL_APPFVT_01_tbl_detalle_fill_rate[[#This Row],[emb_cantidad]]-Tabla__192.168.1.8_POSEIDONSQL_APPFVT_01_tbl_detalle_fill_rate[[#This Row],[dev_cantidad]]</f>
        <v>1</v>
      </c>
      <c r="P5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7" s="1">
        <f>+Tabla__192.168.1.8_POSEIDONSQL_APPFVT_01_tbl_detalle_fill_rate[[#This Row],[Cumpl Real Unds]]-Tabla__192.168.1.8_POSEIDONSQL_APPFVT_01_tbl_detalle_fill_rate[[#This Row],[Cant Embarcada]]</f>
        <v>0</v>
      </c>
      <c r="S537" s="1">
        <f>+IF(Tabla__192.168.1.8_POSEIDONSQL_APPFVT_01_tbl_detalle_fill_rate[[#This Row],[Pend Emb]]&gt;0,1,0)</f>
        <v>0</v>
      </c>
      <c r="T5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8" spans="1:20" x14ac:dyDescent="0.25">
      <c r="A538">
        <v>9</v>
      </c>
      <c r="B538" t="s">
        <v>48</v>
      </c>
      <c r="C538">
        <v>9206012</v>
      </c>
      <c r="D538" s="48">
        <v>43367</v>
      </c>
      <c r="E538" s="48">
        <v>43364</v>
      </c>
      <c r="F538" s="48">
        <v>43369</v>
      </c>
      <c r="G538" t="s">
        <v>96</v>
      </c>
      <c r="H538" t="s">
        <v>97</v>
      </c>
      <c r="I538">
        <v>1</v>
      </c>
      <c r="J538" t="s">
        <v>1357</v>
      </c>
      <c r="K538">
        <v>1</v>
      </c>
      <c r="L538">
        <v>1</v>
      </c>
      <c r="M538" t="s">
        <v>420</v>
      </c>
      <c r="N538">
        <v>0</v>
      </c>
      <c r="O538" s="1">
        <f>+Tabla__192.168.1.8_POSEIDONSQL_APPFVT_01_tbl_detalle_fill_rate[[#This Row],[emb_cantidad]]-Tabla__192.168.1.8_POSEIDONSQL_APPFVT_01_tbl_detalle_fill_rate[[#This Row],[dev_cantidad]]</f>
        <v>1</v>
      </c>
      <c r="P5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8" s="1">
        <f>+Tabla__192.168.1.8_POSEIDONSQL_APPFVT_01_tbl_detalle_fill_rate[[#This Row],[Cumpl Real Unds]]-Tabla__192.168.1.8_POSEIDONSQL_APPFVT_01_tbl_detalle_fill_rate[[#This Row],[Cant Embarcada]]</f>
        <v>0</v>
      </c>
      <c r="S538" s="1">
        <f>+IF(Tabla__192.168.1.8_POSEIDONSQL_APPFVT_01_tbl_detalle_fill_rate[[#This Row],[Pend Emb]]&gt;0,1,0)</f>
        <v>0</v>
      </c>
      <c r="T5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39" spans="1:20" x14ac:dyDescent="0.25">
      <c r="A539">
        <v>9</v>
      </c>
      <c r="B539" t="s">
        <v>48</v>
      </c>
      <c r="C539">
        <v>9206176</v>
      </c>
      <c r="D539" s="48">
        <v>43367</v>
      </c>
      <c r="E539" s="48">
        <v>43365</v>
      </c>
      <c r="F539" s="48">
        <v>43369</v>
      </c>
      <c r="G539" t="s">
        <v>144</v>
      </c>
      <c r="H539" t="s">
        <v>145</v>
      </c>
      <c r="I539">
        <v>1</v>
      </c>
      <c r="J539" t="s">
        <v>1358</v>
      </c>
      <c r="K539">
        <v>1</v>
      </c>
      <c r="L539">
        <v>1</v>
      </c>
      <c r="M539" t="s">
        <v>420</v>
      </c>
      <c r="N539">
        <v>0</v>
      </c>
      <c r="O539" s="1">
        <f>+Tabla__192.168.1.8_POSEIDONSQL_APPFVT_01_tbl_detalle_fill_rate[[#This Row],[emb_cantidad]]-Tabla__192.168.1.8_POSEIDONSQL_APPFVT_01_tbl_detalle_fill_rate[[#This Row],[dev_cantidad]]</f>
        <v>1</v>
      </c>
      <c r="P5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39" s="1">
        <f>+Tabla__192.168.1.8_POSEIDONSQL_APPFVT_01_tbl_detalle_fill_rate[[#This Row],[Cumpl Real Unds]]-Tabla__192.168.1.8_POSEIDONSQL_APPFVT_01_tbl_detalle_fill_rate[[#This Row],[Cant Embarcada]]</f>
        <v>0</v>
      </c>
      <c r="S539" s="1">
        <f>+IF(Tabla__192.168.1.8_POSEIDONSQL_APPFVT_01_tbl_detalle_fill_rate[[#This Row],[Pend Emb]]&gt;0,1,0)</f>
        <v>0</v>
      </c>
      <c r="T5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0" spans="1:20" x14ac:dyDescent="0.25">
      <c r="A540">
        <v>9</v>
      </c>
      <c r="B540" t="s">
        <v>48</v>
      </c>
      <c r="C540">
        <v>9206176</v>
      </c>
      <c r="D540" s="48">
        <v>43367</v>
      </c>
      <c r="E540" s="48">
        <v>43365</v>
      </c>
      <c r="F540" s="48">
        <v>43369</v>
      </c>
      <c r="G540" t="s">
        <v>316</v>
      </c>
      <c r="H540" t="s">
        <v>317</v>
      </c>
      <c r="I540">
        <v>1</v>
      </c>
      <c r="J540" t="s">
        <v>1359</v>
      </c>
      <c r="K540">
        <v>1</v>
      </c>
      <c r="L540">
        <v>1</v>
      </c>
      <c r="M540" t="s">
        <v>420</v>
      </c>
      <c r="N540">
        <v>0</v>
      </c>
      <c r="O540" s="1">
        <f>+Tabla__192.168.1.8_POSEIDONSQL_APPFVT_01_tbl_detalle_fill_rate[[#This Row],[emb_cantidad]]-Tabla__192.168.1.8_POSEIDONSQL_APPFVT_01_tbl_detalle_fill_rate[[#This Row],[dev_cantidad]]</f>
        <v>1</v>
      </c>
      <c r="P5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0" s="1">
        <f>+Tabla__192.168.1.8_POSEIDONSQL_APPFVT_01_tbl_detalle_fill_rate[[#This Row],[Cumpl Real Unds]]-Tabla__192.168.1.8_POSEIDONSQL_APPFVT_01_tbl_detalle_fill_rate[[#This Row],[Cant Embarcada]]</f>
        <v>0</v>
      </c>
      <c r="S540" s="1">
        <f>+IF(Tabla__192.168.1.8_POSEIDONSQL_APPFVT_01_tbl_detalle_fill_rate[[#This Row],[Pend Emb]]&gt;0,1,0)</f>
        <v>0</v>
      </c>
      <c r="T5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1" spans="1:20" x14ac:dyDescent="0.25">
      <c r="A541">
        <v>9</v>
      </c>
      <c r="B541" t="s">
        <v>48</v>
      </c>
      <c r="C541">
        <v>9206236</v>
      </c>
      <c r="D541" s="48">
        <v>43367</v>
      </c>
      <c r="E541" s="48">
        <v>43365</v>
      </c>
      <c r="F541" s="48">
        <v>43369</v>
      </c>
      <c r="G541" t="s">
        <v>349</v>
      </c>
      <c r="H541" t="s">
        <v>350</v>
      </c>
      <c r="I541">
        <v>1</v>
      </c>
      <c r="J541" t="s">
        <v>1360</v>
      </c>
      <c r="K541">
        <v>1</v>
      </c>
      <c r="L541">
        <v>1</v>
      </c>
      <c r="M541" t="s">
        <v>420</v>
      </c>
      <c r="N541">
        <v>0</v>
      </c>
      <c r="O541" s="1">
        <f>+Tabla__192.168.1.8_POSEIDONSQL_APPFVT_01_tbl_detalle_fill_rate[[#This Row],[emb_cantidad]]-Tabla__192.168.1.8_POSEIDONSQL_APPFVT_01_tbl_detalle_fill_rate[[#This Row],[dev_cantidad]]</f>
        <v>1</v>
      </c>
      <c r="P5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1" s="1">
        <f>+Tabla__192.168.1.8_POSEIDONSQL_APPFVT_01_tbl_detalle_fill_rate[[#This Row],[Cumpl Real Unds]]-Tabla__192.168.1.8_POSEIDONSQL_APPFVT_01_tbl_detalle_fill_rate[[#This Row],[Cant Embarcada]]</f>
        <v>0</v>
      </c>
      <c r="S541" s="1">
        <f>+IF(Tabla__192.168.1.8_POSEIDONSQL_APPFVT_01_tbl_detalle_fill_rate[[#This Row],[Pend Emb]]&gt;0,1,0)</f>
        <v>0</v>
      </c>
      <c r="T5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2" spans="1:20" x14ac:dyDescent="0.25">
      <c r="A542">
        <v>9</v>
      </c>
      <c r="B542" t="s">
        <v>48</v>
      </c>
      <c r="C542">
        <v>9206363</v>
      </c>
      <c r="D542" s="48">
        <v>43367</v>
      </c>
      <c r="E542" s="48">
        <v>43365</v>
      </c>
      <c r="F542" s="48">
        <v>43369</v>
      </c>
      <c r="G542" t="s">
        <v>146</v>
      </c>
      <c r="H542" t="s">
        <v>147</v>
      </c>
      <c r="I542">
        <v>1</v>
      </c>
      <c r="J542" t="s">
        <v>1037</v>
      </c>
      <c r="K542">
        <v>1</v>
      </c>
      <c r="L542">
        <v>1</v>
      </c>
      <c r="M542" t="s">
        <v>420</v>
      </c>
      <c r="N542">
        <v>0</v>
      </c>
      <c r="O542" s="1">
        <f>+Tabla__192.168.1.8_POSEIDONSQL_APPFVT_01_tbl_detalle_fill_rate[[#This Row],[emb_cantidad]]-Tabla__192.168.1.8_POSEIDONSQL_APPFVT_01_tbl_detalle_fill_rate[[#This Row],[dev_cantidad]]</f>
        <v>1</v>
      </c>
      <c r="P5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2" s="1">
        <f>+Tabla__192.168.1.8_POSEIDONSQL_APPFVT_01_tbl_detalle_fill_rate[[#This Row],[Cumpl Real Unds]]-Tabla__192.168.1.8_POSEIDONSQL_APPFVT_01_tbl_detalle_fill_rate[[#This Row],[Cant Embarcada]]</f>
        <v>0</v>
      </c>
      <c r="S542" s="1">
        <f>+IF(Tabla__192.168.1.8_POSEIDONSQL_APPFVT_01_tbl_detalle_fill_rate[[#This Row],[Pend Emb]]&gt;0,1,0)</f>
        <v>0</v>
      </c>
      <c r="T5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3" spans="1:20" x14ac:dyDescent="0.25">
      <c r="A543">
        <v>9</v>
      </c>
      <c r="B543" t="s">
        <v>48</v>
      </c>
      <c r="C543">
        <v>9206490</v>
      </c>
      <c r="D543" s="48">
        <v>43367</v>
      </c>
      <c r="E543" s="48">
        <v>43366</v>
      </c>
      <c r="F543" s="48">
        <v>43369</v>
      </c>
      <c r="G543" t="s">
        <v>399</v>
      </c>
      <c r="H543" t="s">
        <v>400</v>
      </c>
      <c r="I543">
        <v>1</v>
      </c>
      <c r="J543" t="s">
        <v>1038</v>
      </c>
      <c r="K543">
        <v>1</v>
      </c>
      <c r="L543">
        <v>1</v>
      </c>
      <c r="M543" t="s">
        <v>420</v>
      </c>
      <c r="N543">
        <v>0</v>
      </c>
      <c r="O543" s="1">
        <f>+Tabla__192.168.1.8_POSEIDONSQL_APPFVT_01_tbl_detalle_fill_rate[[#This Row],[emb_cantidad]]-Tabla__192.168.1.8_POSEIDONSQL_APPFVT_01_tbl_detalle_fill_rate[[#This Row],[dev_cantidad]]</f>
        <v>1</v>
      </c>
      <c r="P5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3" s="1">
        <f>+Tabla__192.168.1.8_POSEIDONSQL_APPFVT_01_tbl_detalle_fill_rate[[#This Row],[Cumpl Real Unds]]-Tabla__192.168.1.8_POSEIDONSQL_APPFVT_01_tbl_detalle_fill_rate[[#This Row],[Cant Embarcada]]</f>
        <v>0</v>
      </c>
      <c r="S543" s="1">
        <f>+IF(Tabla__192.168.1.8_POSEIDONSQL_APPFVT_01_tbl_detalle_fill_rate[[#This Row],[Pend Emb]]&gt;0,1,0)</f>
        <v>0</v>
      </c>
      <c r="T5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4" spans="1:20" x14ac:dyDescent="0.25">
      <c r="A544">
        <v>9</v>
      </c>
      <c r="B544" t="s">
        <v>48</v>
      </c>
      <c r="C544">
        <v>9206587</v>
      </c>
      <c r="D544" s="48">
        <v>43367</v>
      </c>
      <c r="E544" s="48">
        <v>43366</v>
      </c>
      <c r="F544" s="48">
        <v>43369</v>
      </c>
      <c r="G544" t="s">
        <v>245</v>
      </c>
      <c r="H544" t="s">
        <v>246</v>
      </c>
      <c r="I544">
        <v>1</v>
      </c>
      <c r="J544" t="s">
        <v>1039</v>
      </c>
      <c r="K544">
        <v>1</v>
      </c>
      <c r="L544">
        <v>1</v>
      </c>
      <c r="M544" t="s">
        <v>420</v>
      </c>
      <c r="N544">
        <v>0</v>
      </c>
      <c r="O544" s="1">
        <f>+Tabla__192.168.1.8_POSEIDONSQL_APPFVT_01_tbl_detalle_fill_rate[[#This Row],[emb_cantidad]]-Tabla__192.168.1.8_POSEIDONSQL_APPFVT_01_tbl_detalle_fill_rate[[#This Row],[dev_cantidad]]</f>
        <v>1</v>
      </c>
      <c r="P5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4" s="1">
        <f>+Tabla__192.168.1.8_POSEIDONSQL_APPFVT_01_tbl_detalle_fill_rate[[#This Row],[Cumpl Real Unds]]-Tabla__192.168.1.8_POSEIDONSQL_APPFVT_01_tbl_detalle_fill_rate[[#This Row],[Cant Embarcada]]</f>
        <v>0</v>
      </c>
      <c r="S544" s="1">
        <f>+IF(Tabla__192.168.1.8_POSEIDONSQL_APPFVT_01_tbl_detalle_fill_rate[[#This Row],[Pend Emb]]&gt;0,1,0)</f>
        <v>0</v>
      </c>
      <c r="T5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5" spans="1:20" x14ac:dyDescent="0.25">
      <c r="A545">
        <v>9</v>
      </c>
      <c r="B545" t="s">
        <v>48</v>
      </c>
      <c r="C545">
        <v>9206802</v>
      </c>
      <c r="D545" s="48">
        <v>43367</v>
      </c>
      <c r="E545" s="48">
        <v>43366</v>
      </c>
      <c r="F545" s="48">
        <v>43369</v>
      </c>
      <c r="G545" t="s">
        <v>146</v>
      </c>
      <c r="H545" t="s">
        <v>147</v>
      </c>
      <c r="I545">
        <v>1</v>
      </c>
      <c r="J545" t="s">
        <v>360</v>
      </c>
      <c r="K545">
        <v>1</v>
      </c>
      <c r="L545">
        <v>1</v>
      </c>
      <c r="M545" t="s">
        <v>420</v>
      </c>
      <c r="N545">
        <v>0</v>
      </c>
      <c r="O545" s="1">
        <f>+Tabla__192.168.1.8_POSEIDONSQL_APPFVT_01_tbl_detalle_fill_rate[[#This Row],[emb_cantidad]]-Tabla__192.168.1.8_POSEIDONSQL_APPFVT_01_tbl_detalle_fill_rate[[#This Row],[dev_cantidad]]</f>
        <v>1</v>
      </c>
      <c r="P5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5" s="1">
        <f>+Tabla__192.168.1.8_POSEIDONSQL_APPFVT_01_tbl_detalle_fill_rate[[#This Row],[Cumpl Real Unds]]-Tabla__192.168.1.8_POSEIDONSQL_APPFVT_01_tbl_detalle_fill_rate[[#This Row],[Cant Embarcada]]</f>
        <v>0</v>
      </c>
      <c r="S545" s="1">
        <f>+IF(Tabla__192.168.1.8_POSEIDONSQL_APPFVT_01_tbl_detalle_fill_rate[[#This Row],[Pend Emb]]&gt;0,1,0)</f>
        <v>0</v>
      </c>
      <c r="T5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6" spans="1:20" x14ac:dyDescent="0.25">
      <c r="A546">
        <v>9</v>
      </c>
      <c r="B546" t="s">
        <v>48</v>
      </c>
      <c r="C546">
        <v>9200702</v>
      </c>
      <c r="D546" s="48">
        <v>43354</v>
      </c>
      <c r="E546" s="48">
        <v>43353</v>
      </c>
      <c r="F546" s="48">
        <v>43355</v>
      </c>
      <c r="G546" t="s">
        <v>124</v>
      </c>
      <c r="H546" t="s">
        <v>125</v>
      </c>
      <c r="I546">
        <v>1</v>
      </c>
      <c r="J546" t="s">
        <v>1685</v>
      </c>
      <c r="K546">
        <v>1</v>
      </c>
      <c r="L546">
        <v>1</v>
      </c>
      <c r="M546" t="s">
        <v>427</v>
      </c>
      <c r="N546">
        <v>0</v>
      </c>
      <c r="O546" s="1">
        <f>+Tabla__192.168.1.8_POSEIDONSQL_APPFVT_01_tbl_detalle_fill_rate[[#This Row],[emb_cantidad]]-Tabla__192.168.1.8_POSEIDONSQL_APPFVT_01_tbl_detalle_fill_rate[[#This Row],[dev_cantidad]]</f>
        <v>1</v>
      </c>
      <c r="P5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6" s="1">
        <f>+Tabla__192.168.1.8_POSEIDONSQL_APPFVT_01_tbl_detalle_fill_rate[[#This Row],[Cumpl Real Unds]]-Tabla__192.168.1.8_POSEIDONSQL_APPFVT_01_tbl_detalle_fill_rate[[#This Row],[Cant Embarcada]]</f>
        <v>0</v>
      </c>
      <c r="S546" s="1">
        <f>+IF(Tabla__192.168.1.8_POSEIDONSQL_APPFVT_01_tbl_detalle_fill_rate[[#This Row],[Pend Emb]]&gt;0,1,0)</f>
        <v>0</v>
      </c>
      <c r="T5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7" spans="1:20" x14ac:dyDescent="0.25">
      <c r="A547">
        <v>9</v>
      </c>
      <c r="B547" t="s">
        <v>48</v>
      </c>
      <c r="C547">
        <v>9200750</v>
      </c>
      <c r="D547" s="48">
        <v>43354</v>
      </c>
      <c r="E547" s="48">
        <v>43353</v>
      </c>
      <c r="F547" s="48">
        <v>43364</v>
      </c>
      <c r="G547" t="s">
        <v>275</v>
      </c>
      <c r="H547" t="s">
        <v>276</v>
      </c>
      <c r="I547">
        <v>1</v>
      </c>
      <c r="J547" t="s">
        <v>1692</v>
      </c>
      <c r="K547">
        <v>1</v>
      </c>
      <c r="L547">
        <v>1</v>
      </c>
      <c r="M547" t="s">
        <v>426</v>
      </c>
      <c r="N547">
        <v>0</v>
      </c>
      <c r="O547" s="1">
        <f>+Tabla__192.168.1.8_POSEIDONSQL_APPFVT_01_tbl_detalle_fill_rate[[#This Row],[emb_cantidad]]-Tabla__192.168.1.8_POSEIDONSQL_APPFVT_01_tbl_detalle_fill_rate[[#This Row],[dev_cantidad]]</f>
        <v>1</v>
      </c>
      <c r="P5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7" s="1">
        <f>+Tabla__192.168.1.8_POSEIDONSQL_APPFVT_01_tbl_detalle_fill_rate[[#This Row],[Cumpl Real Unds]]-Tabla__192.168.1.8_POSEIDONSQL_APPFVT_01_tbl_detalle_fill_rate[[#This Row],[Cant Embarcada]]</f>
        <v>0</v>
      </c>
      <c r="S547" s="1">
        <f>+IF(Tabla__192.168.1.8_POSEIDONSQL_APPFVT_01_tbl_detalle_fill_rate[[#This Row],[Pend Emb]]&gt;0,1,0)</f>
        <v>0</v>
      </c>
      <c r="T5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8" spans="1:20" x14ac:dyDescent="0.25">
      <c r="A548">
        <v>9</v>
      </c>
      <c r="B548" t="s">
        <v>48</v>
      </c>
      <c r="C548">
        <v>9200870</v>
      </c>
      <c r="D548" s="48">
        <v>43354</v>
      </c>
      <c r="E548" s="48">
        <v>43353</v>
      </c>
      <c r="F548" s="48">
        <v>43367</v>
      </c>
      <c r="G548" t="s">
        <v>92</v>
      </c>
      <c r="H548" t="s">
        <v>93</v>
      </c>
      <c r="I548">
        <v>1</v>
      </c>
      <c r="J548" t="s">
        <v>992</v>
      </c>
      <c r="K548">
        <v>0</v>
      </c>
      <c r="L548">
        <v>0</v>
      </c>
      <c r="M548" t="s">
        <v>12</v>
      </c>
      <c r="N548">
        <v>0</v>
      </c>
      <c r="O548" s="1">
        <f>+Tabla__192.168.1.8_POSEIDONSQL_APPFVT_01_tbl_detalle_fill_rate[[#This Row],[emb_cantidad]]-Tabla__192.168.1.8_POSEIDONSQL_APPFVT_01_tbl_detalle_fill_rate[[#This Row],[dev_cantidad]]</f>
        <v>0</v>
      </c>
      <c r="P5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548" s="1">
        <f>+Tabla__192.168.1.8_POSEIDONSQL_APPFVT_01_tbl_detalle_fill_rate[[#This Row],[Cumpl Real Unds]]-Tabla__192.168.1.8_POSEIDONSQL_APPFVT_01_tbl_detalle_fill_rate[[#This Row],[Cant Embarcada]]</f>
        <v>0</v>
      </c>
      <c r="S548" s="1">
        <f>+IF(Tabla__192.168.1.8_POSEIDONSQL_APPFVT_01_tbl_detalle_fill_rate[[#This Row],[Pend Emb]]&gt;0,1,0)</f>
        <v>0</v>
      </c>
      <c r="T5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49" spans="1:20" x14ac:dyDescent="0.25">
      <c r="A549">
        <v>9</v>
      </c>
      <c r="B549" t="s">
        <v>48</v>
      </c>
      <c r="C549">
        <v>9200870</v>
      </c>
      <c r="D549" s="48">
        <v>43354</v>
      </c>
      <c r="E549" s="48">
        <v>43353</v>
      </c>
      <c r="F549" s="48">
        <v>43369</v>
      </c>
      <c r="G549" t="s">
        <v>140</v>
      </c>
      <c r="H549" t="s">
        <v>141</v>
      </c>
      <c r="I549">
        <v>1</v>
      </c>
      <c r="J549" t="s">
        <v>1001</v>
      </c>
      <c r="K549">
        <v>1</v>
      </c>
      <c r="L549">
        <v>1</v>
      </c>
      <c r="M549" t="s">
        <v>420</v>
      </c>
      <c r="N549">
        <v>0</v>
      </c>
      <c r="O549" s="1">
        <f>+Tabla__192.168.1.8_POSEIDONSQL_APPFVT_01_tbl_detalle_fill_rate[[#This Row],[emb_cantidad]]-Tabla__192.168.1.8_POSEIDONSQL_APPFVT_01_tbl_detalle_fill_rate[[#This Row],[dev_cantidad]]</f>
        <v>1</v>
      </c>
      <c r="P5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49" s="1">
        <f>+Tabla__192.168.1.8_POSEIDONSQL_APPFVT_01_tbl_detalle_fill_rate[[#This Row],[Cumpl Real Unds]]-Tabla__192.168.1.8_POSEIDONSQL_APPFVT_01_tbl_detalle_fill_rate[[#This Row],[Cant Embarcada]]</f>
        <v>0</v>
      </c>
      <c r="S549" s="1">
        <f>+IF(Tabla__192.168.1.8_POSEIDONSQL_APPFVT_01_tbl_detalle_fill_rate[[#This Row],[Pend Emb]]&gt;0,1,0)</f>
        <v>0</v>
      </c>
      <c r="T5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0" spans="1:20" x14ac:dyDescent="0.25">
      <c r="A550">
        <v>9</v>
      </c>
      <c r="B550" t="s">
        <v>48</v>
      </c>
      <c r="C550">
        <v>9200870</v>
      </c>
      <c r="D550" s="48">
        <v>43354</v>
      </c>
      <c r="E550" s="48">
        <v>43353</v>
      </c>
      <c r="F550" s="48">
        <v>43355</v>
      </c>
      <c r="G550" t="s">
        <v>298</v>
      </c>
      <c r="H550" t="s">
        <v>299</v>
      </c>
      <c r="I550">
        <v>1</v>
      </c>
      <c r="J550" t="s">
        <v>1682</v>
      </c>
      <c r="K550">
        <v>1</v>
      </c>
      <c r="L550">
        <v>1</v>
      </c>
      <c r="M550" t="s">
        <v>427</v>
      </c>
      <c r="N550">
        <v>0</v>
      </c>
      <c r="O550" s="1">
        <f>+Tabla__192.168.1.8_POSEIDONSQL_APPFVT_01_tbl_detalle_fill_rate[[#This Row],[emb_cantidad]]-Tabla__192.168.1.8_POSEIDONSQL_APPFVT_01_tbl_detalle_fill_rate[[#This Row],[dev_cantidad]]</f>
        <v>1</v>
      </c>
      <c r="P5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0" s="1">
        <f>+Tabla__192.168.1.8_POSEIDONSQL_APPFVT_01_tbl_detalle_fill_rate[[#This Row],[Cumpl Real Unds]]-Tabla__192.168.1.8_POSEIDONSQL_APPFVT_01_tbl_detalle_fill_rate[[#This Row],[Cant Embarcada]]</f>
        <v>0</v>
      </c>
      <c r="S550" s="1">
        <f>+IF(Tabla__192.168.1.8_POSEIDONSQL_APPFVT_01_tbl_detalle_fill_rate[[#This Row],[Pend Emb]]&gt;0,1,0)</f>
        <v>0</v>
      </c>
      <c r="T5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1" spans="1:20" x14ac:dyDescent="0.25">
      <c r="A551">
        <v>9</v>
      </c>
      <c r="B551" t="s">
        <v>48</v>
      </c>
      <c r="C551">
        <v>9200988</v>
      </c>
      <c r="D551" s="48">
        <v>43354</v>
      </c>
      <c r="E551" s="48">
        <v>43353</v>
      </c>
      <c r="F551" s="48">
        <v>43364</v>
      </c>
      <c r="G551" t="s">
        <v>106</v>
      </c>
      <c r="H551" t="s">
        <v>107</v>
      </c>
      <c r="I551">
        <v>1</v>
      </c>
      <c r="J551" t="s">
        <v>1686</v>
      </c>
      <c r="K551">
        <v>1</v>
      </c>
      <c r="L551">
        <v>1</v>
      </c>
      <c r="M551" t="s">
        <v>426</v>
      </c>
      <c r="N551">
        <v>0</v>
      </c>
      <c r="O551" s="1">
        <f>+Tabla__192.168.1.8_POSEIDONSQL_APPFVT_01_tbl_detalle_fill_rate[[#This Row],[emb_cantidad]]-Tabla__192.168.1.8_POSEIDONSQL_APPFVT_01_tbl_detalle_fill_rate[[#This Row],[dev_cantidad]]</f>
        <v>1</v>
      </c>
      <c r="P5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1" s="1">
        <f>+Tabla__192.168.1.8_POSEIDONSQL_APPFVT_01_tbl_detalle_fill_rate[[#This Row],[Cumpl Real Unds]]-Tabla__192.168.1.8_POSEIDONSQL_APPFVT_01_tbl_detalle_fill_rate[[#This Row],[Cant Embarcada]]</f>
        <v>0</v>
      </c>
      <c r="S551" s="1">
        <f>+IF(Tabla__192.168.1.8_POSEIDONSQL_APPFVT_01_tbl_detalle_fill_rate[[#This Row],[Pend Emb]]&gt;0,1,0)</f>
        <v>0</v>
      </c>
      <c r="T5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2" spans="1:20" x14ac:dyDescent="0.25">
      <c r="A552">
        <v>9</v>
      </c>
      <c r="B552" t="s">
        <v>48</v>
      </c>
      <c r="C552">
        <v>9201099</v>
      </c>
      <c r="D552" s="48">
        <v>43354</v>
      </c>
      <c r="E552" s="48">
        <v>43353</v>
      </c>
      <c r="F552" s="48">
        <v>43355</v>
      </c>
      <c r="G552" t="s">
        <v>302</v>
      </c>
      <c r="H552" t="s">
        <v>303</v>
      </c>
      <c r="I552">
        <v>1</v>
      </c>
      <c r="J552" t="s">
        <v>1683</v>
      </c>
      <c r="K552">
        <v>1</v>
      </c>
      <c r="L552">
        <v>1</v>
      </c>
      <c r="M552" t="s">
        <v>427</v>
      </c>
      <c r="N552">
        <v>0</v>
      </c>
      <c r="O552" s="1">
        <f>+Tabla__192.168.1.8_POSEIDONSQL_APPFVT_01_tbl_detalle_fill_rate[[#This Row],[emb_cantidad]]-Tabla__192.168.1.8_POSEIDONSQL_APPFVT_01_tbl_detalle_fill_rate[[#This Row],[dev_cantidad]]</f>
        <v>1</v>
      </c>
      <c r="P5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2" s="1">
        <f>+Tabla__192.168.1.8_POSEIDONSQL_APPFVT_01_tbl_detalle_fill_rate[[#This Row],[Cumpl Real Unds]]-Tabla__192.168.1.8_POSEIDONSQL_APPFVT_01_tbl_detalle_fill_rate[[#This Row],[Cant Embarcada]]</f>
        <v>0</v>
      </c>
      <c r="S552" s="1">
        <f>+IF(Tabla__192.168.1.8_POSEIDONSQL_APPFVT_01_tbl_detalle_fill_rate[[#This Row],[Pend Emb]]&gt;0,1,0)</f>
        <v>0</v>
      </c>
      <c r="T5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3" spans="1:20" x14ac:dyDescent="0.25">
      <c r="A553">
        <v>9</v>
      </c>
      <c r="B553" t="s">
        <v>48</v>
      </c>
      <c r="C553">
        <v>9201143</v>
      </c>
      <c r="D553" s="48">
        <v>43354</v>
      </c>
      <c r="E553" s="48">
        <v>43353</v>
      </c>
      <c r="F553" s="48">
        <v>43357</v>
      </c>
      <c r="G553" t="s">
        <v>166</v>
      </c>
      <c r="H553" t="s">
        <v>167</v>
      </c>
      <c r="I553">
        <v>1</v>
      </c>
      <c r="J553" t="s">
        <v>1687</v>
      </c>
      <c r="K553">
        <v>1</v>
      </c>
      <c r="L553">
        <v>1</v>
      </c>
      <c r="M553" t="s">
        <v>426</v>
      </c>
      <c r="N553">
        <v>0</v>
      </c>
      <c r="O553" s="1">
        <f>+Tabla__192.168.1.8_POSEIDONSQL_APPFVT_01_tbl_detalle_fill_rate[[#This Row],[emb_cantidad]]-Tabla__192.168.1.8_POSEIDONSQL_APPFVT_01_tbl_detalle_fill_rate[[#This Row],[dev_cantidad]]</f>
        <v>1</v>
      </c>
      <c r="P5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3" s="1">
        <f>+Tabla__192.168.1.8_POSEIDONSQL_APPFVT_01_tbl_detalle_fill_rate[[#This Row],[Cumpl Real Unds]]-Tabla__192.168.1.8_POSEIDONSQL_APPFVT_01_tbl_detalle_fill_rate[[#This Row],[Cant Embarcada]]</f>
        <v>0</v>
      </c>
      <c r="S553" s="1">
        <f>+IF(Tabla__192.168.1.8_POSEIDONSQL_APPFVT_01_tbl_detalle_fill_rate[[#This Row],[Pend Emb]]&gt;0,1,0)</f>
        <v>0</v>
      </c>
      <c r="T5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4" spans="1:20" x14ac:dyDescent="0.25">
      <c r="A554">
        <v>9</v>
      </c>
      <c r="B554" t="s">
        <v>48</v>
      </c>
      <c r="C554">
        <v>9201251</v>
      </c>
      <c r="D554" s="48">
        <v>43354</v>
      </c>
      <c r="E554" s="48">
        <v>43354</v>
      </c>
      <c r="F554" s="48">
        <v>43355</v>
      </c>
      <c r="G554" t="s">
        <v>304</v>
      </c>
      <c r="H554" t="s">
        <v>305</v>
      </c>
      <c r="I554">
        <v>1</v>
      </c>
      <c r="J554" t="s">
        <v>1684</v>
      </c>
      <c r="K554">
        <v>1</v>
      </c>
      <c r="L554">
        <v>1</v>
      </c>
      <c r="M554" t="s">
        <v>427</v>
      </c>
      <c r="N554">
        <v>0</v>
      </c>
      <c r="O554" s="1">
        <f>+Tabla__192.168.1.8_POSEIDONSQL_APPFVT_01_tbl_detalle_fill_rate[[#This Row],[emb_cantidad]]-Tabla__192.168.1.8_POSEIDONSQL_APPFVT_01_tbl_detalle_fill_rate[[#This Row],[dev_cantidad]]</f>
        <v>1</v>
      </c>
      <c r="P5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4" s="1">
        <f>+Tabla__192.168.1.8_POSEIDONSQL_APPFVT_01_tbl_detalle_fill_rate[[#This Row],[Cumpl Real Unds]]-Tabla__192.168.1.8_POSEIDONSQL_APPFVT_01_tbl_detalle_fill_rate[[#This Row],[Cant Embarcada]]</f>
        <v>0</v>
      </c>
      <c r="S554" s="1">
        <f>+IF(Tabla__192.168.1.8_POSEIDONSQL_APPFVT_01_tbl_detalle_fill_rate[[#This Row],[Pend Emb]]&gt;0,1,0)</f>
        <v>0</v>
      </c>
      <c r="T5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5" spans="1:20" x14ac:dyDescent="0.25">
      <c r="A555">
        <v>9</v>
      </c>
      <c r="B555" t="s">
        <v>48</v>
      </c>
      <c r="C555">
        <v>9201251</v>
      </c>
      <c r="D555" s="48">
        <v>43354</v>
      </c>
      <c r="E555" s="48">
        <v>43354</v>
      </c>
      <c r="F555" s="48">
        <v>43364</v>
      </c>
      <c r="G555" t="s">
        <v>144</v>
      </c>
      <c r="H555" t="s">
        <v>145</v>
      </c>
      <c r="I555">
        <v>1</v>
      </c>
      <c r="J555" t="s">
        <v>1688</v>
      </c>
      <c r="K555">
        <v>1</v>
      </c>
      <c r="L555">
        <v>1</v>
      </c>
      <c r="M555" t="s">
        <v>426</v>
      </c>
      <c r="N555">
        <v>0</v>
      </c>
      <c r="O555" s="1">
        <f>+Tabla__192.168.1.8_POSEIDONSQL_APPFVT_01_tbl_detalle_fill_rate[[#This Row],[emb_cantidad]]-Tabla__192.168.1.8_POSEIDONSQL_APPFVT_01_tbl_detalle_fill_rate[[#This Row],[dev_cantidad]]</f>
        <v>1</v>
      </c>
      <c r="P5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5" s="1">
        <f>+Tabla__192.168.1.8_POSEIDONSQL_APPFVT_01_tbl_detalle_fill_rate[[#This Row],[Cumpl Real Unds]]-Tabla__192.168.1.8_POSEIDONSQL_APPFVT_01_tbl_detalle_fill_rate[[#This Row],[Cant Embarcada]]</f>
        <v>0</v>
      </c>
      <c r="S555" s="1">
        <f>+IF(Tabla__192.168.1.8_POSEIDONSQL_APPFVT_01_tbl_detalle_fill_rate[[#This Row],[Pend Emb]]&gt;0,1,0)</f>
        <v>0</v>
      </c>
      <c r="T5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6" spans="1:20" x14ac:dyDescent="0.25">
      <c r="A556">
        <v>9</v>
      </c>
      <c r="B556" t="s">
        <v>48</v>
      </c>
      <c r="C556">
        <v>9201252</v>
      </c>
      <c r="D556" s="48">
        <v>43354</v>
      </c>
      <c r="E556" s="48">
        <v>43354</v>
      </c>
      <c r="F556" s="48">
        <v>43364</v>
      </c>
      <c r="G556" t="s">
        <v>94</v>
      </c>
      <c r="H556" t="s">
        <v>95</v>
      </c>
      <c r="I556">
        <v>1</v>
      </c>
      <c r="J556" t="s">
        <v>1689</v>
      </c>
      <c r="K556">
        <v>1</v>
      </c>
      <c r="L556">
        <v>1</v>
      </c>
      <c r="M556" t="s">
        <v>426</v>
      </c>
      <c r="N556">
        <v>0</v>
      </c>
      <c r="O556" s="1">
        <f>+Tabla__192.168.1.8_POSEIDONSQL_APPFVT_01_tbl_detalle_fill_rate[[#This Row],[emb_cantidad]]-Tabla__192.168.1.8_POSEIDONSQL_APPFVT_01_tbl_detalle_fill_rate[[#This Row],[dev_cantidad]]</f>
        <v>1</v>
      </c>
      <c r="P5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6" s="1">
        <f>+Tabla__192.168.1.8_POSEIDONSQL_APPFVT_01_tbl_detalle_fill_rate[[#This Row],[Cumpl Real Unds]]-Tabla__192.168.1.8_POSEIDONSQL_APPFVT_01_tbl_detalle_fill_rate[[#This Row],[Cant Embarcada]]</f>
        <v>0</v>
      </c>
      <c r="S556" s="1">
        <f>+IF(Tabla__192.168.1.8_POSEIDONSQL_APPFVT_01_tbl_detalle_fill_rate[[#This Row],[Pend Emb]]&gt;0,1,0)</f>
        <v>0</v>
      </c>
      <c r="T5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7" spans="1:20" x14ac:dyDescent="0.25">
      <c r="A557">
        <v>9</v>
      </c>
      <c r="B557" t="s">
        <v>48</v>
      </c>
      <c r="C557">
        <v>9201326</v>
      </c>
      <c r="D557" s="48">
        <v>43355</v>
      </c>
      <c r="E557" s="48">
        <v>43354</v>
      </c>
      <c r="F557" s="48">
        <v>43357</v>
      </c>
      <c r="G557" t="s">
        <v>637</v>
      </c>
      <c r="H557" t="s">
        <v>638</v>
      </c>
      <c r="I557">
        <v>2</v>
      </c>
      <c r="J557" t="s">
        <v>639</v>
      </c>
      <c r="K557">
        <v>2</v>
      </c>
      <c r="L557">
        <v>2</v>
      </c>
      <c r="M557" t="s">
        <v>426</v>
      </c>
      <c r="N557">
        <v>0</v>
      </c>
      <c r="O557" s="1">
        <f>+Tabla__192.168.1.8_POSEIDONSQL_APPFVT_01_tbl_detalle_fill_rate[[#This Row],[emb_cantidad]]-Tabla__192.168.1.8_POSEIDONSQL_APPFVT_01_tbl_detalle_fill_rate[[#This Row],[dev_cantidad]]</f>
        <v>2</v>
      </c>
      <c r="P5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557" s="1">
        <f>+Tabla__192.168.1.8_POSEIDONSQL_APPFVT_01_tbl_detalle_fill_rate[[#This Row],[Cumpl Real Unds]]-Tabla__192.168.1.8_POSEIDONSQL_APPFVT_01_tbl_detalle_fill_rate[[#This Row],[Cant Embarcada]]</f>
        <v>0</v>
      </c>
      <c r="S557" s="1">
        <f>+IF(Tabla__192.168.1.8_POSEIDONSQL_APPFVT_01_tbl_detalle_fill_rate[[#This Row],[Pend Emb]]&gt;0,1,0)</f>
        <v>0</v>
      </c>
      <c r="T5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8" spans="1:20" x14ac:dyDescent="0.25">
      <c r="A558">
        <v>9</v>
      </c>
      <c r="B558" t="s">
        <v>48</v>
      </c>
      <c r="C558">
        <v>9201479</v>
      </c>
      <c r="D558" s="48">
        <v>43355</v>
      </c>
      <c r="E558" s="48">
        <v>43354</v>
      </c>
      <c r="F558" s="48">
        <v>43367</v>
      </c>
      <c r="G558" t="s">
        <v>112</v>
      </c>
      <c r="H558" t="s">
        <v>113</v>
      </c>
      <c r="I558">
        <v>1</v>
      </c>
      <c r="J558" t="s">
        <v>989</v>
      </c>
      <c r="K558">
        <v>1</v>
      </c>
      <c r="L558">
        <v>1</v>
      </c>
      <c r="M558" t="s">
        <v>416</v>
      </c>
      <c r="N558">
        <v>0</v>
      </c>
      <c r="O558" s="1">
        <f>+Tabla__192.168.1.8_POSEIDONSQL_APPFVT_01_tbl_detalle_fill_rate[[#This Row],[emb_cantidad]]-Tabla__192.168.1.8_POSEIDONSQL_APPFVT_01_tbl_detalle_fill_rate[[#This Row],[dev_cantidad]]</f>
        <v>1</v>
      </c>
      <c r="P5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8" s="1">
        <f>+Tabla__192.168.1.8_POSEIDONSQL_APPFVT_01_tbl_detalle_fill_rate[[#This Row],[Cumpl Real Unds]]-Tabla__192.168.1.8_POSEIDONSQL_APPFVT_01_tbl_detalle_fill_rate[[#This Row],[Cant Embarcada]]</f>
        <v>0</v>
      </c>
      <c r="S558" s="1">
        <f>+IF(Tabla__192.168.1.8_POSEIDONSQL_APPFVT_01_tbl_detalle_fill_rate[[#This Row],[Pend Emb]]&gt;0,1,0)</f>
        <v>0</v>
      </c>
      <c r="T5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59" spans="1:20" x14ac:dyDescent="0.25">
      <c r="A559">
        <v>9</v>
      </c>
      <c r="B559" t="s">
        <v>48</v>
      </c>
      <c r="C559">
        <v>9201537</v>
      </c>
      <c r="D559" s="48">
        <v>43355</v>
      </c>
      <c r="E559" s="48">
        <v>43354</v>
      </c>
      <c r="F559" s="48">
        <v>43357</v>
      </c>
      <c r="G559" t="s">
        <v>353</v>
      </c>
      <c r="H559" t="s">
        <v>354</v>
      </c>
      <c r="I559">
        <v>1</v>
      </c>
      <c r="J559" t="s">
        <v>640</v>
      </c>
      <c r="K559">
        <v>1</v>
      </c>
      <c r="L559">
        <v>1</v>
      </c>
      <c r="M559" t="s">
        <v>426</v>
      </c>
      <c r="N559">
        <v>0</v>
      </c>
      <c r="O559" s="1">
        <f>+Tabla__192.168.1.8_POSEIDONSQL_APPFVT_01_tbl_detalle_fill_rate[[#This Row],[emb_cantidad]]-Tabla__192.168.1.8_POSEIDONSQL_APPFVT_01_tbl_detalle_fill_rate[[#This Row],[dev_cantidad]]</f>
        <v>1</v>
      </c>
      <c r="P5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59" s="1">
        <f>+Tabla__192.168.1.8_POSEIDONSQL_APPFVT_01_tbl_detalle_fill_rate[[#This Row],[Cumpl Real Unds]]-Tabla__192.168.1.8_POSEIDONSQL_APPFVT_01_tbl_detalle_fill_rate[[#This Row],[Cant Embarcada]]</f>
        <v>0</v>
      </c>
      <c r="S559" s="1">
        <f>+IF(Tabla__192.168.1.8_POSEIDONSQL_APPFVT_01_tbl_detalle_fill_rate[[#This Row],[Pend Emb]]&gt;0,1,0)</f>
        <v>0</v>
      </c>
      <c r="T5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0" spans="1:20" x14ac:dyDescent="0.25">
      <c r="A560">
        <v>9</v>
      </c>
      <c r="B560" t="s">
        <v>48</v>
      </c>
      <c r="C560">
        <v>9201537</v>
      </c>
      <c r="D560" s="48">
        <v>43355</v>
      </c>
      <c r="E560" s="48">
        <v>43354</v>
      </c>
      <c r="F560" s="48">
        <v>43355</v>
      </c>
      <c r="G560" t="s">
        <v>633</v>
      </c>
      <c r="H560" t="s">
        <v>634</v>
      </c>
      <c r="I560">
        <v>1</v>
      </c>
      <c r="J560" t="s">
        <v>635</v>
      </c>
      <c r="K560">
        <v>1</v>
      </c>
      <c r="L560">
        <v>1</v>
      </c>
      <c r="M560" t="s">
        <v>426</v>
      </c>
      <c r="N560">
        <v>0</v>
      </c>
      <c r="O560" s="1">
        <f>+Tabla__192.168.1.8_POSEIDONSQL_APPFVT_01_tbl_detalle_fill_rate[[#This Row],[emb_cantidad]]-Tabla__192.168.1.8_POSEIDONSQL_APPFVT_01_tbl_detalle_fill_rate[[#This Row],[dev_cantidad]]</f>
        <v>1</v>
      </c>
      <c r="P5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0" s="1">
        <f>+Tabla__192.168.1.8_POSEIDONSQL_APPFVT_01_tbl_detalle_fill_rate[[#This Row],[Cumpl Real Unds]]-Tabla__192.168.1.8_POSEIDONSQL_APPFVT_01_tbl_detalle_fill_rate[[#This Row],[Cant Embarcada]]</f>
        <v>0</v>
      </c>
      <c r="S560" s="1">
        <f>+IF(Tabla__192.168.1.8_POSEIDONSQL_APPFVT_01_tbl_detalle_fill_rate[[#This Row],[Pend Emb]]&gt;0,1,0)</f>
        <v>0</v>
      </c>
      <c r="T5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1" spans="1:20" x14ac:dyDescent="0.25">
      <c r="A561">
        <v>9</v>
      </c>
      <c r="B561" t="s">
        <v>48</v>
      </c>
      <c r="C561">
        <v>9201667</v>
      </c>
      <c r="D561" s="48">
        <v>43355</v>
      </c>
      <c r="E561" s="48">
        <v>43354</v>
      </c>
      <c r="F561" s="48">
        <v>43367</v>
      </c>
      <c r="G561" t="s">
        <v>104</v>
      </c>
      <c r="H561" t="s">
        <v>105</v>
      </c>
      <c r="I561">
        <v>1</v>
      </c>
      <c r="J561" t="s">
        <v>990</v>
      </c>
      <c r="K561">
        <v>1</v>
      </c>
      <c r="L561">
        <v>1</v>
      </c>
      <c r="M561" t="s">
        <v>416</v>
      </c>
      <c r="N561">
        <v>0</v>
      </c>
      <c r="O561" s="1">
        <f>+Tabla__192.168.1.8_POSEIDONSQL_APPFVT_01_tbl_detalle_fill_rate[[#This Row],[emb_cantidad]]-Tabla__192.168.1.8_POSEIDONSQL_APPFVT_01_tbl_detalle_fill_rate[[#This Row],[dev_cantidad]]</f>
        <v>1</v>
      </c>
      <c r="P5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1" s="1">
        <f>+Tabla__192.168.1.8_POSEIDONSQL_APPFVT_01_tbl_detalle_fill_rate[[#This Row],[Cumpl Real Unds]]-Tabla__192.168.1.8_POSEIDONSQL_APPFVT_01_tbl_detalle_fill_rate[[#This Row],[Cant Embarcada]]</f>
        <v>0</v>
      </c>
      <c r="S561" s="1">
        <f>+IF(Tabla__192.168.1.8_POSEIDONSQL_APPFVT_01_tbl_detalle_fill_rate[[#This Row],[Pend Emb]]&gt;0,1,0)</f>
        <v>0</v>
      </c>
      <c r="T5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2" spans="1:20" x14ac:dyDescent="0.25">
      <c r="A562">
        <v>9</v>
      </c>
      <c r="B562" t="s">
        <v>48</v>
      </c>
      <c r="C562">
        <v>9201719</v>
      </c>
      <c r="D562" s="48">
        <v>43355</v>
      </c>
      <c r="E562" s="48">
        <v>43354</v>
      </c>
      <c r="F562" s="48">
        <v>43364</v>
      </c>
      <c r="G562" t="s">
        <v>96</v>
      </c>
      <c r="H562" t="s">
        <v>97</v>
      </c>
      <c r="I562">
        <v>1</v>
      </c>
      <c r="J562" t="s">
        <v>641</v>
      </c>
      <c r="K562">
        <v>1</v>
      </c>
      <c r="L562">
        <v>1</v>
      </c>
      <c r="M562" t="s">
        <v>426</v>
      </c>
      <c r="N562">
        <v>0</v>
      </c>
      <c r="O562" s="1">
        <f>+Tabla__192.168.1.8_POSEIDONSQL_APPFVT_01_tbl_detalle_fill_rate[[#This Row],[emb_cantidad]]-Tabla__192.168.1.8_POSEIDONSQL_APPFVT_01_tbl_detalle_fill_rate[[#This Row],[dev_cantidad]]</f>
        <v>1</v>
      </c>
      <c r="P5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2" s="1">
        <f>+Tabla__192.168.1.8_POSEIDONSQL_APPFVT_01_tbl_detalle_fill_rate[[#This Row],[Cumpl Real Unds]]-Tabla__192.168.1.8_POSEIDONSQL_APPFVT_01_tbl_detalle_fill_rate[[#This Row],[Cant Embarcada]]</f>
        <v>0</v>
      </c>
      <c r="S562" s="1">
        <f>+IF(Tabla__192.168.1.8_POSEIDONSQL_APPFVT_01_tbl_detalle_fill_rate[[#This Row],[Pend Emb]]&gt;0,1,0)</f>
        <v>0</v>
      </c>
      <c r="T5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3" spans="1:20" x14ac:dyDescent="0.25">
      <c r="A563">
        <v>9</v>
      </c>
      <c r="B563" t="s">
        <v>48</v>
      </c>
      <c r="C563">
        <v>9201767</v>
      </c>
      <c r="D563" s="48">
        <v>43355</v>
      </c>
      <c r="E563" s="48">
        <v>43354</v>
      </c>
      <c r="F563" s="48">
        <v>43367</v>
      </c>
      <c r="G563" t="s">
        <v>298</v>
      </c>
      <c r="H563" t="s">
        <v>299</v>
      </c>
      <c r="I563">
        <v>1</v>
      </c>
      <c r="J563" t="s">
        <v>991</v>
      </c>
      <c r="K563">
        <v>1</v>
      </c>
      <c r="L563">
        <v>1</v>
      </c>
      <c r="M563" t="s">
        <v>416</v>
      </c>
      <c r="N563">
        <v>0</v>
      </c>
      <c r="O563" s="1">
        <f>+Tabla__192.168.1.8_POSEIDONSQL_APPFVT_01_tbl_detalle_fill_rate[[#This Row],[emb_cantidad]]-Tabla__192.168.1.8_POSEIDONSQL_APPFVT_01_tbl_detalle_fill_rate[[#This Row],[dev_cantidad]]</f>
        <v>1</v>
      </c>
      <c r="P5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3" s="1">
        <f>+Tabla__192.168.1.8_POSEIDONSQL_APPFVT_01_tbl_detalle_fill_rate[[#This Row],[Cumpl Real Unds]]-Tabla__192.168.1.8_POSEIDONSQL_APPFVT_01_tbl_detalle_fill_rate[[#This Row],[Cant Embarcada]]</f>
        <v>0</v>
      </c>
      <c r="S563" s="1">
        <f>+IF(Tabla__192.168.1.8_POSEIDONSQL_APPFVT_01_tbl_detalle_fill_rate[[#This Row],[Pend Emb]]&gt;0,1,0)</f>
        <v>0</v>
      </c>
      <c r="T5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4" spans="1:20" x14ac:dyDescent="0.25">
      <c r="A564">
        <v>9</v>
      </c>
      <c r="B564" t="s">
        <v>48</v>
      </c>
      <c r="C564">
        <v>9201905</v>
      </c>
      <c r="D564" s="48">
        <v>43355</v>
      </c>
      <c r="E564" s="48">
        <v>43354</v>
      </c>
      <c r="F564" s="48">
        <v>43357</v>
      </c>
      <c r="G564" t="s">
        <v>128</v>
      </c>
      <c r="H564" t="s">
        <v>129</v>
      </c>
      <c r="I564">
        <v>1</v>
      </c>
      <c r="J564" t="s">
        <v>636</v>
      </c>
      <c r="K564">
        <v>1</v>
      </c>
      <c r="L564">
        <v>1</v>
      </c>
      <c r="M564" t="s">
        <v>426</v>
      </c>
      <c r="N564">
        <v>0</v>
      </c>
      <c r="O564" s="1">
        <f>+Tabla__192.168.1.8_POSEIDONSQL_APPFVT_01_tbl_detalle_fill_rate[[#This Row],[emb_cantidad]]-Tabla__192.168.1.8_POSEIDONSQL_APPFVT_01_tbl_detalle_fill_rate[[#This Row],[dev_cantidad]]</f>
        <v>1</v>
      </c>
      <c r="P5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4" s="1">
        <f>+Tabla__192.168.1.8_POSEIDONSQL_APPFVT_01_tbl_detalle_fill_rate[[#This Row],[Cumpl Real Unds]]-Tabla__192.168.1.8_POSEIDONSQL_APPFVT_01_tbl_detalle_fill_rate[[#This Row],[Cant Embarcada]]</f>
        <v>0</v>
      </c>
      <c r="S564" s="1">
        <f>+IF(Tabla__192.168.1.8_POSEIDONSQL_APPFVT_01_tbl_detalle_fill_rate[[#This Row],[Pend Emb]]&gt;0,1,0)</f>
        <v>0</v>
      </c>
      <c r="T5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5" spans="1:20" x14ac:dyDescent="0.25">
      <c r="A565">
        <v>9</v>
      </c>
      <c r="B565" t="s">
        <v>48</v>
      </c>
      <c r="C565">
        <v>9201905</v>
      </c>
      <c r="D565" s="48">
        <v>43355</v>
      </c>
      <c r="E565" s="48">
        <v>43355</v>
      </c>
      <c r="F565" s="48">
        <v>43355</v>
      </c>
      <c r="G565" t="s">
        <v>128</v>
      </c>
      <c r="H565" t="s">
        <v>129</v>
      </c>
      <c r="I565">
        <v>1</v>
      </c>
      <c r="J565" t="s">
        <v>632</v>
      </c>
      <c r="K565">
        <v>1</v>
      </c>
      <c r="L565">
        <v>1</v>
      </c>
      <c r="M565" t="s">
        <v>426</v>
      </c>
      <c r="N565">
        <v>0</v>
      </c>
      <c r="O565" s="1">
        <f>+Tabla__192.168.1.8_POSEIDONSQL_APPFVT_01_tbl_detalle_fill_rate[[#This Row],[emb_cantidad]]-Tabla__192.168.1.8_POSEIDONSQL_APPFVT_01_tbl_detalle_fill_rate[[#This Row],[dev_cantidad]]</f>
        <v>1</v>
      </c>
      <c r="P5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5" s="1">
        <f>+Tabla__192.168.1.8_POSEIDONSQL_APPFVT_01_tbl_detalle_fill_rate[[#This Row],[Cumpl Real Unds]]-Tabla__192.168.1.8_POSEIDONSQL_APPFVT_01_tbl_detalle_fill_rate[[#This Row],[Cant Embarcada]]</f>
        <v>0</v>
      </c>
      <c r="S565" s="1">
        <f>+IF(Tabla__192.168.1.8_POSEIDONSQL_APPFVT_01_tbl_detalle_fill_rate[[#This Row],[Pend Emb]]&gt;0,1,0)</f>
        <v>0</v>
      </c>
      <c r="T5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6" spans="1:20" x14ac:dyDescent="0.25">
      <c r="A566">
        <v>9</v>
      </c>
      <c r="B566" t="s">
        <v>48</v>
      </c>
      <c r="C566">
        <v>9202002</v>
      </c>
      <c r="D566" s="48">
        <v>43356</v>
      </c>
      <c r="E566" s="48">
        <v>43355</v>
      </c>
      <c r="F566" s="48">
        <v>43355</v>
      </c>
      <c r="G566" t="s">
        <v>130</v>
      </c>
      <c r="H566" t="s">
        <v>131</v>
      </c>
      <c r="I566">
        <v>1</v>
      </c>
      <c r="J566" t="s">
        <v>886</v>
      </c>
      <c r="K566">
        <v>1</v>
      </c>
      <c r="L566">
        <v>1</v>
      </c>
      <c r="M566" t="s">
        <v>426</v>
      </c>
      <c r="N566">
        <v>0</v>
      </c>
      <c r="O566" s="1">
        <f>+Tabla__192.168.1.8_POSEIDONSQL_APPFVT_01_tbl_detalle_fill_rate[[#This Row],[emb_cantidad]]-Tabla__192.168.1.8_POSEIDONSQL_APPFVT_01_tbl_detalle_fill_rate[[#This Row],[dev_cantidad]]</f>
        <v>1</v>
      </c>
      <c r="P5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6" s="1">
        <f>+Tabla__192.168.1.8_POSEIDONSQL_APPFVT_01_tbl_detalle_fill_rate[[#This Row],[Cumpl Real Unds]]-Tabla__192.168.1.8_POSEIDONSQL_APPFVT_01_tbl_detalle_fill_rate[[#This Row],[Cant Embarcada]]</f>
        <v>0</v>
      </c>
      <c r="S566" s="1">
        <f>+IF(Tabla__192.168.1.8_POSEIDONSQL_APPFVT_01_tbl_detalle_fill_rate[[#This Row],[Pend Emb]]&gt;0,1,0)</f>
        <v>0</v>
      </c>
      <c r="T5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7" spans="1:20" x14ac:dyDescent="0.25">
      <c r="A567">
        <v>9</v>
      </c>
      <c r="B567" t="s">
        <v>48</v>
      </c>
      <c r="C567">
        <v>9202247</v>
      </c>
      <c r="D567" s="48">
        <v>43356</v>
      </c>
      <c r="E567" s="48">
        <v>43355</v>
      </c>
      <c r="F567" s="48">
        <v>43367</v>
      </c>
      <c r="G567" t="s">
        <v>146</v>
      </c>
      <c r="H567" t="s">
        <v>147</v>
      </c>
      <c r="I567">
        <v>1</v>
      </c>
      <c r="J567" t="s">
        <v>988</v>
      </c>
      <c r="K567">
        <v>1</v>
      </c>
      <c r="L567">
        <v>1</v>
      </c>
      <c r="M567" t="s">
        <v>416</v>
      </c>
      <c r="N567">
        <v>0</v>
      </c>
      <c r="O567" s="1">
        <f>+Tabla__192.168.1.8_POSEIDONSQL_APPFVT_01_tbl_detalle_fill_rate[[#This Row],[emb_cantidad]]-Tabla__192.168.1.8_POSEIDONSQL_APPFVT_01_tbl_detalle_fill_rate[[#This Row],[dev_cantidad]]</f>
        <v>1</v>
      </c>
      <c r="P5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7" s="1">
        <f>+Tabla__192.168.1.8_POSEIDONSQL_APPFVT_01_tbl_detalle_fill_rate[[#This Row],[Cumpl Real Unds]]-Tabla__192.168.1.8_POSEIDONSQL_APPFVT_01_tbl_detalle_fill_rate[[#This Row],[Cant Embarcada]]</f>
        <v>0</v>
      </c>
      <c r="S567" s="1">
        <f>+IF(Tabla__192.168.1.8_POSEIDONSQL_APPFVT_01_tbl_detalle_fill_rate[[#This Row],[Pend Emb]]&gt;0,1,0)</f>
        <v>0</v>
      </c>
      <c r="T5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8" spans="1:20" x14ac:dyDescent="0.25">
      <c r="A568">
        <v>9</v>
      </c>
      <c r="B568" t="s">
        <v>48</v>
      </c>
      <c r="C568">
        <v>9202477</v>
      </c>
      <c r="D568" s="48">
        <v>43356</v>
      </c>
      <c r="E568" s="48">
        <v>43355</v>
      </c>
      <c r="F568" s="48">
        <v>43357</v>
      </c>
      <c r="G568" t="s">
        <v>118</v>
      </c>
      <c r="H568" t="s">
        <v>119</v>
      </c>
      <c r="I568">
        <v>1</v>
      </c>
      <c r="J568" t="s">
        <v>887</v>
      </c>
      <c r="K568">
        <v>1</v>
      </c>
      <c r="L568">
        <v>1</v>
      </c>
      <c r="M568" t="s">
        <v>426</v>
      </c>
      <c r="N568">
        <v>0</v>
      </c>
      <c r="O568" s="1">
        <f>+Tabla__192.168.1.8_POSEIDONSQL_APPFVT_01_tbl_detalle_fill_rate[[#This Row],[emb_cantidad]]-Tabla__192.168.1.8_POSEIDONSQL_APPFVT_01_tbl_detalle_fill_rate[[#This Row],[dev_cantidad]]</f>
        <v>1</v>
      </c>
      <c r="P5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8" s="1">
        <f>+Tabla__192.168.1.8_POSEIDONSQL_APPFVT_01_tbl_detalle_fill_rate[[#This Row],[Cumpl Real Unds]]-Tabla__192.168.1.8_POSEIDONSQL_APPFVT_01_tbl_detalle_fill_rate[[#This Row],[Cant Embarcada]]</f>
        <v>0</v>
      </c>
      <c r="S568" s="1">
        <f>+IF(Tabla__192.168.1.8_POSEIDONSQL_APPFVT_01_tbl_detalle_fill_rate[[#This Row],[Pend Emb]]&gt;0,1,0)</f>
        <v>0</v>
      </c>
      <c r="T5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69" spans="1:20" x14ac:dyDescent="0.25">
      <c r="A569">
        <v>9</v>
      </c>
      <c r="B569" t="s">
        <v>48</v>
      </c>
      <c r="C569">
        <v>9202565</v>
      </c>
      <c r="D569" s="48">
        <v>43356</v>
      </c>
      <c r="E569" s="48">
        <v>43356</v>
      </c>
      <c r="F569" s="48">
        <v>43357</v>
      </c>
      <c r="G569" t="s">
        <v>326</v>
      </c>
      <c r="H569" t="s">
        <v>327</v>
      </c>
      <c r="I569">
        <v>1</v>
      </c>
      <c r="J569" t="s">
        <v>888</v>
      </c>
      <c r="K569">
        <v>1</v>
      </c>
      <c r="L569">
        <v>1</v>
      </c>
      <c r="M569" t="s">
        <v>426</v>
      </c>
      <c r="N569">
        <v>0</v>
      </c>
      <c r="O569" s="1">
        <f>+Tabla__192.168.1.8_POSEIDONSQL_APPFVT_01_tbl_detalle_fill_rate[[#This Row],[emb_cantidad]]-Tabla__192.168.1.8_POSEIDONSQL_APPFVT_01_tbl_detalle_fill_rate[[#This Row],[dev_cantidad]]</f>
        <v>1</v>
      </c>
      <c r="P5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69" s="1">
        <f>+Tabla__192.168.1.8_POSEIDONSQL_APPFVT_01_tbl_detalle_fill_rate[[#This Row],[Cumpl Real Unds]]-Tabla__192.168.1.8_POSEIDONSQL_APPFVT_01_tbl_detalle_fill_rate[[#This Row],[Cant Embarcada]]</f>
        <v>0</v>
      </c>
      <c r="S569" s="1">
        <f>+IF(Tabla__192.168.1.8_POSEIDONSQL_APPFVT_01_tbl_detalle_fill_rate[[#This Row],[Pend Emb]]&gt;0,1,0)</f>
        <v>0</v>
      </c>
      <c r="T5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0" spans="1:20" x14ac:dyDescent="0.25">
      <c r="A570">
        <v>9</v>
      </c>
      <c r="B570" t="s">
        <v>48</v>
      </c>
      <c r="C570">
        <v>9202661</v>
      </c>
      <c r="D570" s="48">
        <v>43357</v>
      </c>
      <c r="E570" s="48">
        <v>43356</v>
      </c>
      <c r="F570" s="48">
        <v>43364</v>
      </c>
      <c r="G570" t="s">
        <v>338</v>
      </c>
      <c r="H570" t="s">
        <v>339</v>
      </c>
      <c r="I570">
        <v>1</v>
      </c>
      <c r="J570" t="s">
        <v>1344</v>
      </c>
      <c r="K570">
        <v>1</v>
      </c>
      <c r="L570">
        <v>1</v>
      </c>
      <c r="M570" t="s">
        <v>422</v>
      </c>
      <c r="N570">
        <v>0</v>
      </c>
      <c r="O570" s="1">
        <f>+Tabla__192.168.1.8_POSEIDONSQL_APPFVT_01_tbl_detalle_fill_rate[[#This Row],[emb_cantidad]]-Tabla__192.168.1.8_POSEIDONSQL_APPFVT_01_tbl_detalle_fill_rate[[#This Row],[dev_cantidad]]</f>
        <v>1</v>
      </c>
      <c r="P5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0" s="1">
        <f>+Tabla__192.168.1.8_POSEIDONSQL_APPFVT_01_tbl_detalle_fill_rate[[#This Row],[Cumpl Real Unds]]-Tabla__192.168.1.8_POSEIDONSQL_APPFVT_01_tbl_detalle_fill_rate[[#This Row],[Cant Embarcada]]</f>
        <v>0</v>
      </c>
      <c r="S570" s="1">
        <f>+IF(Tabla__192.168.1.8_POSEIDONSQL_APPFVT_01_tbl_detalle_fill_rate[[#This Row],[Pend Emb]]&gt;0,1,0)</f>
        <v>0</v>
      </c>
      <c r="T5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1" spans="1:20" x14ac:dyDescent="0.25">
      <c r="A571">
        <v>9</v>
      </c>
      <c r="B571" t="s">
        <v>48</v>
      </c>
      <c r="C571">
        <v>9202693</v>
      </c>
      <c r="D571" s="48">
        <v>43357</v>
      </c>
      <c r="E571" s="48">
        <v>43356</v>
      </c>
      <c r="F571" s="48">
        <v>43357</v>
      </c>
      <c r="G571" t="s">
        <v>236</v>
      </c>
      <c r="H571" t="s">
        <v>237</v>
      </c>
      <c r="I571">
        <v>1</v>
      </c>
      <c r="J571" t="s">
        <v>1349</v>
      </c>
      <c r="K571">
        <v>1</v>
      </c>
      <c r="L571">
        <v>1</v>
      </c>
      <c r="M571" t="s">
        <v>422</v>
      </c>
      <c r="N571">
        <v>0</v>
      </c>
      <c r="O571" s="1">
        <f>+Tabla__192.168.1.8_POSEIDONSQL_APPFVT_01_tbl_detalle_fill_rate[[#This Row],[emb_cantidad]]-Tabla__192.168.1.8_POSEIDONSQL_APPFVT_01_tbl_detalle_fill_rate[[#This Row],[dev_cantidad]]</f>
        <v>1</v>
      </c>
      <c r="P5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1" s="1">
        <f>+Tabla__192.168.1.8_POSEIDONSQL_APPFVT_01_tbl_detalle_fill_rate[[#This Row],[Cumpl Real Unds]]-Tabla__192.168.1.8_POSEIDONSQL_APPFVT_01_tbl_detalle_fill_rate[[#This Row],[Cant Embarcada]]</f>
        <v>0</v>
      </c>
      <c r="S571" s="1">
        <f>+IF(Tabla__192.168.1.8_POSEIDONSQL_APPFVT_01_tbl_detalle_fill_rate[[#This Row],[Pend Emb]]&gt;0,1,0)</f>
        <v>0</v>
      </c>
      <c r="T5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2" spans="1:20" x14ac:dyDescent="0.25">
      <c r="A572">
        <v>9</v>
      </c>
      <c r="B572" t="s">
        <v>48</v>
      </c>
      <c r="C572">
        <v>9202694</v>
      </c>
      <c r="D572" s="48">
        <v>43357</v>
      </c>
      <c r="E572" s="48">
        <v>43356</v>
      </c>
      <c r="F572" s="48">
        <v>43367</v>
      </c>
      <c r="G572" t="s">
        <v>102</v>
      </c>
      <c r="H572" t="s">
        <v>103</v>
      </c>
      <c r="I572">
        <v>1</v>
      </c>
      <c r="J572" t="s">
        <v>1345</v>
      </c>
      <c r="K572">
        <v>1</v>
      </c>
      <c r="L572">
        <v>1</v>
      </c>
      <c r="M572" t="s">
        <v>416</v>
      </c>
      <c r="N572">
        <v>0</v>
      </c>
      <c r="O572" s="1">
        <f>+Tabla__192.168.1.8_POSEIDONSQL_APPFVT_01_tbl_detalle_fill_rate[[#This Row],[emb_cantidad]]-Tabla__192.168.1.8_POSEIDONSQL_APPFVT_01_tbl_detalle_fill_rate[[#This Row],[dev_cantidad]]</f>
        <v>1</v>
      </c>
      <c r="P5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2" s="1">
        <f>+Tabla__192.168.1.8_POSEIDONSQL_APPFVT_01_tbl_detalle_fill_rate[[#This Row],[Cumpl Real Unds]]-Tabla__192.168.1.8_POSEIDONSQL_APPFVT_01_tbl_detalle_fill_rate[[#This Row],[Cant Embarcada]]</f>
        <v>0</v>
      </c>
      <c r="S572" s="1">
        <f>+IF(Tabla__192.168.1.8_POSEIDONSQL_APPFVT_01_tbl_detalle_fill_rate[[#This Row],[Pend Emb]]&gt;0,1,0)</f>
        <v>0</v>
      </c>
      <c r="T5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3" spans="1:20" x14ac:dyDescent="0.25">
      <c r="A573">
        <v>9</v>
      </c>
      <c r="B573" t="s">
        <v>48</v>
      </c>
      <c r="C573">
        <v>9202764</v>
      </c>
      <c r="D573" s="48">
        <v>43357</v>
      </c>
      <c r="E573" s="48">
        <v>43356</v>
      </c>
      <c r="F573" s="48">
        <v>43357</v>
      </c>
      <c r="G573" t="s">
        <v>326</v>
      </c>
      <c r="H573" t="s">
        <v>327</v>
      </c>
      <c r="I573">
        <v>1</v>
      </c>
      <c r="J573" t="s">
        <v>1350</v>
      </c>
      <c r="K573">
        <v>1</v>
      </c>
      <c r="L573">
        <v>1</v>
      </c>
      <c r="M573" t="s">
        <v>422</v>
      </c>
      <c r="N573">
        <v>0</v>
      </c>
      <c r="O573" s="1">
        <f>+Tabla__192.168.1.8_POSEIDONSQL_APPFVT_01_tbl_detalle_fill_rate[[#This Row],[emb_cantidad]]-Tabla__192.168.1.8_POSEIDONSQL_APPFVT_01_tbl_detalle_fill_rate[[#This Row],[dev_cantidad]]</f>
        <v>1</v>
      </c>
      <c r="P5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3" s="1">
        <f>+Tabla__192.168.1.8_POSEIDONSQL_APPFVT_01_tbl_detalle_fill_rate[[#This Row],[Cumpl Real Unds]]-Tabla__192.168.1.8_POSEIDONSQL_APPFVT_01_tbl_detalle_fill_rate[[#This Row],[Cant Embarcada]]</f>
        <v>0</v>
      </c>
      <c r="S573" s="1">
        <f>+IF(Tabla__192.168.1.8_POSEIDONSQL_APPFVT_01_tbl_detalle_fill_rate[[#This Row],[Pend Emb]]&gt;0,1,0)</f>
        <v>0</v>
      </c>
      <c r="T5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4" spans="1:20" x14ac:dyDescent="0.25">
      <c r="A574">
        <v>9</v>
      </c>
      <c r="B574" t="s">
        <v>48</v>
      </c>
      <c r="C574">
        <v>9202990</v>
      </c>
      <c r="D574" s="48">
        <v>43357</v>
      </c>
      <c r="E574" s="48">
        <v>43356</v>
      </c>
      <c r="F574" s="48">
        <v>43369</v>
      </c>
      <c r="G574" t="s">
        <v>76</v>
      </c>
      <c r="H574" t="s">
        <v>77</v>
      </c>
      <c r="I574">
        <v>1</v>
      </c>
      <c r="J574" t="s">
        <v>1346</v>
      </c>
      <c r="K574">
        <v>1</v>
      </c>
      <c r="L574">
        <v>1</v>
      </c>
      <c r="M574" t="s">
        <v>420</v>
      </c>
      <c r="N574">
        <v>0</v>
      </c>
      <c r="O574" s="1">
        <f>+Tabla__192.168.1.8_POSEIDONSQL_APPFVT_01_tbl_detalle_fill_rate[[#This Row],[emb_cantidad]]-Tabla__192.168.1.8_POSEIDONSQL_APPFVT_01_tbl_detalle_fill_rate[[#This Row],[dev_cantidad]]</f>
        <v>1</v>
      </c>
      <c r="P5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4" s="1">
        <f>+Tabla__192.168.1.8_POSEIDONSQL_APPFVT_01_tbl_detalle_fill_rate[[#This Row],[Cumpl Real Unds]]-Tabla__192.168.1.8_POSEIDONSQL_APPFVT_01_tbl_detalle_fill_rate[[#This Row],[Cant Embarcada]]</f>
        <v>0</v>
      </c>
      <c r="S574" s="1">
        <f>+IF(Tabla__192.168.1.8_POSEIDONSQL_APPFVT_01_tbl_detalle_fill_rate[[#This Row],[Pend Emb]]&gt;0,1,0)</f>
        <v>0</v>
      </c>
      <c r="T5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5" spans="1:20" x14ac:dyDescent="0.25">
      <c r="A575">
        <v>9</v>
      </c>
      <c r="B575" t="s">
        <v>48</v>
      </c>
      <c r="C575">
        <v>9203034</v>
      </c>
      <c r="D575" s="48">
        <v>43357</v>
      </c>
      <c r="E575" s="48">
        <v>43356</v>
      </c>
      <c r="F575" s="48">
        <v>43369</v>
      </c>
      <c r="G575" t="s">
        <v>106</v>
      </c>
      <c r="H575" t="s">
        <v>107</v>
      </c>
      <c r="I575">
        <v>1</v>
      </c>
      <c r="J575" t="s">
        <v>1347</v>
      </c>
      <c r="K575">
        <v>1</v>
      </c>
      <c r="L575">
        <v>1</v>
      </c>
      <c r="M575" t="s">
        <v>420</v>
      </c>
      <c r="N575">
        <v>0</v>
      </c>
      <c r="O575" s="1">
        <f>+Tabla__192.168.1.8_POSEIDONSQL_APPFVT_01_tbl_detalle_fill_rate[[#This Row],[emb_cantidad]]-Tabla__192.168.1.8_POSEIDONSQL_APPFVT_01_tbl_detalle_fill_rate[[#This Row],[dev_cantidad]]</f>
        <v>1</v>
      </c>
      <c r="P5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5" s="1">
        <f>+Tabla__192.168.1.8_POSEIDONSQL_APPFVT_01_tbl_detalle_fill_rate[[#This Row],[Cumpl Real Unds]]-Tabla__192.168.1.8_POSEIDONSQL_APPFVT_01_tbl_detalle_fill_rate[[#This Row],[Cant Embarcada]]</f>
        <v>0</v>
      </c>
      <c r="S575" s="1">
        <f>+IF(Tabla__192.168.1.8_POSEIDONSQL_APPFVT_01_tbl_detalle_fill_rate[[#This Row],[Pend Emb]]&gt;0,1,0)</f>
        <v>0</v>
      </c>
      <c r="T5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6" spans="1:20" x14ac:dyDescent="0.25">
      <c r="A576">
        <v>9</v>
      </c>
      <c r="B576" t="s">
        <v>48</v>
      </c>
      <c r="C576">
        <v>9203107</v>
      </c>
      <c r="D576" s="48">
        <v>43357</v>
      </c>
      <c r="E576" s="48">
        <v>43356</v>
      </c>
      <c r="F576" s="48">
        <v>43369</v>
      </c>
      <c r="G576" t="s">
        <v>80</v>
      </c>
      <c r="H576" t="s">
        <v>81</v>
      </c>
      <c r="I576">
        <v>1</v>
      </c>
      <c r="J576" t="s">
        <v>1348</v>
      </c>
      <c r="K576">
        <v>1</v>
      </c>
      <c r="L576">
        <v>1</v>
      </c>
      <c r="M576" t="s">
        <v>420</v>
      </c>
      <c r="N576">
        <v>0</v>
      </c>
      <c r="O576" s="1">
        <f>+Tabla__192.168.1.8_POSEIDONSQL_APPFVT_01_tbl_detalle_fill_rate[[#This Row],[emb_cantidad]]-Tabla__192.168.1.8_POSEIDONSQL_APPFVT_01_tbl_detalle_fill_rate[[#This Row],[dev_cantidad]]</f>
        <v>1</v>
      </c>
      <c r="P5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6" s="1">
        <f>+Tabla__192.168.1.8_POSEIDONSQL_APPFVT_01_tbl_detalle_fill_rate[[#This Row],[Cumpl Real Unds]]-Tabla__192.168.1.8_POSEIDONSQL_APPFVT_01_tbl_detalle_fill_rate[[#This Row],[Cant Embarcada]]</f>
        <v>0</v>
      </c>
      <c r="S576" s="1">
        <f>+IF(Tabla__192.168.1.8_POSEIDONSQL_APPFVT_01_tbl_detalle_fill_rate[[#This Row],[Pend Emb]]&gt;0,1,0)</f>
        <v>0</v>
      </c>
      <c r="T5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7" spans="1:20" x14ac:dyDescent="0.25">
      <c r="A577">
        <v>9</v>
      </c>
      <c r="B577" t="s">
        <v>48</v>
      </c>
      <c r="C577">
        <v>9203264</v>
      </c>
      <c r="D577" s="48">
        <v>43363</v>
      </c>
      <c r="E577" s="48">
        <v>43357</v>
      </c>
      <c r="F577" s="48">
        <v>43369</v>
      </c>
      <c r="G577" t="s">
        <v>389</v>
      </c>
      <c r="H577" t="s">
        <v>390</v>
      </c>
      <c r="I577">
        <v>1</v>
      </c>
      <c r="J577" t="s">
        <v>1931</v>
      </c>
      <c r="K577">
        <v>1</v>
      </c>
      <c r="L577">
        <v>1</v>
      </c>
      <c r="M577" t="s">
        <v>420</v>
      </c>
      <c r="N577">
        <v>0</v>
      </c>
      <c r="O577" s="1">
        <f>+Tabla__192.168.1.8_POSEIDONSQL_APPFVT_01_tbl_detalle_fill_rate[[#This Row],[emb_cantidad]]-Tabla__192.168.1.8_POSEIDONSQL_APPFVT_01_tbl_detalle_fill_rate[[#This Row],[dev_cantidad]]</f>
        <v>1</v>
      </c>
      <c r="P5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7" s="1">
        <f>+Tabla__192.168.1.8_POSEIDONSQL_APPFVT_01_tbl_detalle_fill_rate[[#This Row],[Cumpl Real Unds]]-Tabla__192.168.1.8_POSEIDONSQL_APPFVT_01_tbl_detalle_fill_rate[[#This Row],[Cant Embarcada]]</f>
        <v>0</v>
      </c>
      <c r="S577" s="1">
        <f>+IF(Tabla__192.168.1.8_POSEIDONSQL_APPFVT_01_tbl_detalle_fill_rate[[#This Row],[Pend Emb]]&gt;0,1,0)</f>
        <v>0</v>
      </c>
      <c r="T5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8" spans="1:20" x14ac:dyDescent="0.25">
      <c r="A578">
        <v>9</v>
      </c>
      <c r="B578" t="s">
        <v>48</v>
      </c>
      <c r="C578">
        <v>9203264</v>
      </c>
      <c r="D578" s="48">
        <v>43363</v>
      </c>
      <c r="E578" s="48">
        <v>43357</v>
      </c>
      <c r="F578" s="48">
        <v>43364</v>
      </c>
      <c r="G578" t="s">
        <v>144</v>
      </c>
      <c r="H578" t="s">
        <v>145</v>
      </c>
      <c r="I578">
        <v>1</v>
      </c>
      <c r="J578" t="s">
        <v>1912</v>
      </c>
      <c r="K578">
        <v>1</v>
      </c>
      <c r="L578">
        <v>1</v>
      </c>
      <c r="M578" t="s">
        <v>422</v>
      </c>
      <c r="N578">
        <v>0</v>
      </c>
      <c r="O578" s="1">
        <f>+Tabla__192.168.1.8_POSEIDONSQL_APPFVT_01_tbl_detalle_fill_rate[[#This Row],[emb_cantidad]]-Tabla__192.168.1.8_POSEIDONSQL_APPFVT_01_tbl_detalle_fill_rate[[#This Row],[dev_cantidad]]</f>
        <v>1</v>
      </c>
      <c r="P5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78" s="1">
        <f>+Tabla__192.168.1.8_POSEIDONSQL_APPFVT_01_tbl_detalle_fill_rate[[#This Row],[Cumpl Real Unds]]-Tabla__192.168.1.8_POSEIDONSQL_APPFVT_01_tbl_detalle_fill_rate[[#This Row],[Cant Embarcada]]</f>
        <v>0</v>
      </c>
      <c r="S578" s="1">
        <f>+IF(Tabla__192.168.1.8_POSEIDONSQL_APPFVT_01_tbl_detalle_fill_rate[[#This Row],[Pend Emb]]&gt;0,1,0)</f>
        <v>0</v>
      </c>
      <c r="T5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79" spans="1:20" x14ac:dyDescent="0.25">
      <c r="A579">
        <v>9</v>
      </c>
      <c r="B579" t="s">
        <v>48</v>
      </c>
      <c r="C579">
        <v>9203291</v>
      </c>
      <c r="D579" s="48">
        <v>43363</v>
      </c>
      <c r="E579" s="48">
        <v>43357</v>
      </c>
      <c r="F579" s="48">
        <v>43367</v>
      </c>
      <c r="G579" t="s">
        <v>1051</v>
      </c>
      <c r="H579" t="s">
        <v>1052</v>
      </c>
      <c r="I579">
        <v>1</v>
      </c>
      <c r="J579" t="s">
        <v>1919</v>
      </c>
      <c r="K579">
        <v>0</v>
      </c>
      <c r="L579">
        <v>0</v>
      </c>
      <c r="M579" t="s">
        <v>12</v>
      </c>
      <c r="N579">
        <v>0</v>
      </c>
      <c r="O579" s="1">
        <f>+Tabla__192.168.1.8_POSEIDONSQL_APPFVT_01_tbl_detalle_fill_rate[[#This Row],[emb_cantidad]]-Tabla__192.168.1.8_POSEIDONSQL_APPFVT_01_tbl_detalle_fill_rate[[#This Row],[dev_cantidad]]</f>
        <v>0</v>
      </c>
      <c r="P5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579" s="1">
        <f>+Tabla__192.168.1.8_POSEIDONSQL_APPFVT_01_tbl_detalle_fill_rate[[#This Row],[Cumpl Real Unds]]-Tabla__192.168.1.8_POSEIDONSQL_APPFVT_01_tbl_detalle_fill_rate[[#This Row],[Cant Embarcada]]</f>
        <v>0</v>
      </c>
      <c r="S579" s="1">
        <f>+IF(Tabla__192.168.1.8_POSEIDONSQL_APPFVT_01_tbl_detalle_fill_rate[[#This Row],[Pend Emb]]&gt;0,1,0)</f>
        <v>0</v>
      </c>
      <c r="T5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0" spans="1:20" x14ac:dyDescent="0.25">
      <c r="A580">
        <v>9</v>
      </c>
      <c r="B580" t="s">
        <v>48</v>
      </c>
      <c r="C580">
        <v>9203325</v>
      </c>
      <c r="D580" s="48">
        <v>43363</v>
      </c>
      <c r="E580" s="48">
        <v>43357</v>
      </c>
      <c r="F580" s="48">
        <v>43367</v>
      </c>
      <c r="G580" t="s">
        <v>86</v>
      </c>
      <c r="H580" t="s">
        <v>87</v>
      </c>
      <c r="I580">
        <v>1</v>
      </c>
      <c r="J580" t="s">
        <v>1920</v>
      </c>
      <c r="K580">
        <v>1</v>
      </c>
      <c r="L580">
        <v>1</v>
      </c>
      <c r="M580" t="s">
        <v>416</v>
      </c>
      <c r="N580">
        <v>0</v>
      </c>
      <c r="O580" s="1">
        <f>+Tabla__192.168.1.8_POSEIDONSQL_APPFVT_01_tbl_detalle_fill_rate[[#This Row],[emb_cantidad]]-Tabla__192.168.1.8_POSEIDONSQL_APPFVT_01_tbl_detalle_fill_rate[[#This Row],[dev_cantidad]]</f>
        <v>1</v>
      </c>
      <c r="P5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0" s="1">
        <f>+Tabla__192.168.1.8_POSEIDONSQL_APPFVT_01_tbl_detalle_fill_rate[[#This Row],[Cumpl Real Unds]]-Tabla__192.168.1.8_POSEIDONSQL_APPFVT_01_tbl_detalle_fill_rate[[#This Row],[Cant Embarcada]]</f>
        <v>0</v>
      </c>
      <c r="S580" s="1">
        <f>+IF(Tabla__192.168.1.8_POSEIDONSQL_APPFVT_01_tbl_detalle_fill_rate[[#This Row],[Pend Emb]]&gt;0,1,0)</f>
        <v>0</v>
      </c>
      <c r="T5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1" spans="1:20" x14ac:dyDescent="0.25">
      <c r="A581">
        <v>9</v>
      </c>
      <c r="B581" t="s">
        <v>48</v>
      </c>
      <c r="C581">
        <v>9203356</v>
      </c>
      <c r="D581" s="48">
        <v>43363</v>
      </c>
      <c r="E581" s="48">
        <v>43357</v>
      </c>
      <c r="F581" s="48">
        <v>43364</v>
      </c>
      <c r="G581" t="s">
        <v>146</v>
      </c>
      <c r="H581" t="s">
        <v>147</v>
      </c>
      <c r="I581">
        <v>1</v>
      </c>
      <c r="J581" t="s">
        <v>1913</v>
      </c>
      <c r="K581">
        <v>1</v>
      </c>
      <c r="L581">
        <v>1</v>
      </c>
      <c r="M581" t="s">
        <v>422</v>
      </c>
      <c r="N581">
        <v>0</v>
      </c>
      <c r="O581" s="1">
        <f>+Tabla__192.168.1.8_POSEIDONSQL_APPFVT_01_tbl_detalle_fill_rate[[#This Row],[emb_cantidad]]-Tabla__192.168.1.8_POSEIDONSQL_APPFVT_01_tbl_detalle_fill_rate[[#This Row],[dev_cantidad]]</f>
        <v>1</v>
      </c>
      <c r="P5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1" s="1">
        <f>+Tabla__192.168.1.8_POSEIDONSQL_APPFVT_01_tbl_detalle_fill_rate[[#This Row],[Cumpl Real Unds]]-Tabla__192.168.1.8_POSEIDONSQL_APPFVT_01_tbl_detalle_fill_rate[[#This Row],[Cant Embarcada]]</f>
        <v>0</v>
      </c>
      <c r="S581" s="1">
        <f>+IF(Tabla__192.168.1.8_POSEIDONSQL_APPFVT_01_tbl_detalle_fill_rate[[#This Row],[Pend Emb]]&gt;0,1,0)</f>
        <v>0</v>
      </c>
      <c r="T5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2" spans="1:20" x14ac:dyDescent="0.25">
      <c r="A582">
        <v>9</v>
      </c>
      <c r="B582" t="s">
        <v>48</v>
      </c>
      <c r="C582">
        <v>9203406</v>
      </c>
      <c r="D582" s="48">
        <v>43363</v>
      </c>
      <c r="E582" s="48">
        <v>43357</v>
      </c>
      <c r="F582" s="48">
        <v>43367</v>
      </c>
      <c r="G582" t="s">
        <v>116</v>
      </c>
      <c r="H582" t="s">
        <v>117</v>
      </c>
      <c r="I582">
        <v>1</v>
      </c>
      <c r="J582" t="s">
        <v>1921</v>
      </c>
      <c r="K582">
        <v>1</v>
      </c>
      <c r="L582">
        <v>1</v>
      </c>
      <c r="M582" t="s">
        <v>416</v>
      </c>
      <c r="N582">
        <v>0</v>
      </c>
      <c r="O582" s="1">
        <f>+Tabla__192.168.1.8_POSEIDONSQL_APPFVT_01_tbl_detalle_fill_rate[[#This Row],[emb_cantidad]]-Tabla__192.168.1.8_POSEIDONSQL_APPFVT_01_tbl_detalle_fill_rate[[#This Row],[dev_cantidad]]</f>
        <v>1</v>
      </c>
      <c r="P5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2" s="1">
        <f>+Tabla__192.168.1.8_POSEIDONSQL_APPFVT_01_tbl_detalle_fill_rate[[#This Row],[Cumpl Real Unds]]-Tabla__192.168.1.8_POSEIDONSQL_APPFVT_01_tbl_detalle_fill_rate[[#This Row],[Cant Embarcada]]</f>
        <v>0</v>
      </c>
      <c r="S582" s="1">
        <f>+IF(Tabla__192.168.1.8_POSEIDONSQL_APPFVT_01_tbl_detalle_fill_rate[[#This Row],[Pend Emb]]&gt;0,1,0)</f>
        <v>0</v>
      </c>
      <c r="T5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3" spans="1:20" x14ac:dyDescent="0.25">
      <c r="A583">
        <v>9</v>
      </c>
      <c r="B583" t="s">
        <v>48</v>
      </c>
      <c r="C583">
        <v>9203441</v>
      </c>
      <c r="D583" s="48">
        <v>43363</v>
      </c>
      <c r="E583" s="48">
        <v>43357</v>
      </c>
      <c r="F583" s="48">
        <v>43364</v>
      </c>
      <c r="G583" t="s">
        <v>349</v>
      </c>
      <c r="H583" t="s">
        <v>350</v>
      </c>
      <c r="I583">
        <v>1</v>
      </c>
      <c r="J583" t="s">
        <v>1914</v>
      </c>
      <c r="K583">
        <v>1</v>
      </c>
      <c r="L583">
        <v>1</v>
      </c>
      <c r="M583" t="s">
        <v>422</v>
      </c>
      <c r="N583">
        <v>0</v>
      </c>
      <c r="O583" s="1">
        <f>+Tabla__192.168.1.8_POSEIDONSQL_APPFVT_01_tbl_detalle_fill_rate[[#This Row],[emb_cantidad]]-Tabla__192.168.1.8_POSEIDONSQL_APPFVT_01_tbl_detalle_fill_rate[[#This Row],[dev_cantidad]]</f>
        <v>1</v>
      </c>
      <c r="P5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3" s="1">
        <f>+Tabla__192.168.1.8_POSEIDONSQL_APPFVT_01_tbl_detalle_fill_rate[[#This Row],[Cumpl Real Unds]]-Tabla__192.168.1.8_POSEIDONSQL_APPFVT_01_tbl_detalle_fill_rate[[#This Row],[Cant Embarcada]]</f>
        <v>0</v>
      </c>
      <c r="S583" s="1">
        <f>+IF(Tabla__192.168.1.8_POSEIDONSQL_APPFVT_01_tbl_detalle_fill_rate[[#This Row],[Pend Emb]]&gt;0,1,0)</f>
        <v>0</v>
      </c>
      <c r="T5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4" spans="1:20" x14ac:dyDescent="0.25">
      <c r="A584">
        <v>9</v>
      </c>
      <c r="B584" t="s">
        <v>48</v>
      </c>
      <c r="C584">
        <v>9203479</v>
      </c>
      <c r="D584" s="48">
        <v>43363</v>
      </c>
      <c r="E584" s="48">
        <v>43357</v>
      </c>
      <c r="F584" s="48">
        <v>43369</v>
      </c>
      <c r="G584" t="s">
        <v>62</v>
      </c>
      <c r="H584" t="s">
        <v>63</v>
      </c>
      <c r="I584">
        <v>1</v>
      </c>
      <c r="J584" t="s">
        <v>1928</v>
      </c>
      <c r="K584">
        <v>1</v>
      </c>
      <c r="L584">
        <v>1</v>
      </c>
      <c r="M584" t="s">
        <v>420</v>
      </c>
      <c r="N584">
        <v>0</v>
      </c>
      <c r="O584" s="1">
        <f>+Tabla__192.168.1.8_POSEIDONSQL_APPFVT_01_tbl_detalle_fill_rate[[#This Row],[emb_cantidad]]-Tabla__192.168.1.8_POSEIDONSQL_APPFVT_01_tbl_detalle_fill_rate[[#This Row],[dev_cantidad]]</f>
        <v>1</v>
      </c>
      <c r="P5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4" s="1">
        <f>+Tabla__192.168.1.8_POSEIDONSQL_APPFVT_01_tbl_detalle_fill_rate[[#This Row],[Cumpl Real Unds]]-Tabla__192.168.1.8_POSEIDONSQL_APPFVT_01_tbl_detalle_fill_rate[[#This Row],[Cant Embarcada]]</f>
        <v>0</v>
      </c>
      <c r="S584" s="1">
        <f>+IF(Tabla__192.168.1.8_POSEIDONSQL_APPFVT_01_tbl_detalle_fill_rate[[#This Row],[Pend Emb]]&gt;0,1,0)</f>
        <v>0</v>
      </c>
      <c r="T5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5" spans="1:20" x14ac:dyDescent="0.25">
      <c r="A585">
        <v>9</v>
      </c>
      <c r="B585" t="s">
        <v>48</v>
      </c>
      <c r="C585">
        <v>9203490</v>
      </c>
      <c r="D585" s="48">
        <v>43363</v>
      </c>
      <c r="E585" s="48">
        <v>43357</v>
      </c>
      <c r="F585" s="48">
        <v>43367</v>
      </c>
      <c r="G585" t="s">
        <v>78</v>
      </c>
      <c r="H585" t="s">
        <v>79</v>
      </c>
      <c r="I585">
        <v>1</v>
      </c>
      <c r="J585" t="s">
        <v>1916</v>
      </c>
      <c r="K585">
        <v>1</v>
      </c>
      <c r="L585">
        <v>1</v>
      </c>
      <c r="M585" t="s">
        <v>416</v>
      </c>
      <c r="N585">
        <v>0</v>
      </c>
      <c r="O585" s="1">
        <f>+Tabla__192.168.1.8_POSEIDONSQL_APPFVT_01_tbl_detalle_fill_rate[[#This Row],[emb_cantidad]]-Tabla__192.168.1.8_POSEIDONSQL_APPFVT_01_tbl_detalle_fill_rate[[#This Row],[dev_cantidad]]</f>
        <v>1</v>
      </c>
      <c r="P5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5" s="1">
        <f>+Tabla__192.168.1.8_POSEIDONSQL_APPFVT_01_tbl_detalle_fill_rate[[#This Row],[Cumpl Real Unds]]-Tabla__192.168.1.8_POSEIDONSQL_APPFVT_01_tbl_detalle_fill_rate[[#This Row],[Cant Embarcada]]</f>
        <v>0</v>
      </c>
      <c r="S585" s="1">
        <f>+IF(Tabla__192.168.1.8_POSEIDONSQL_APPFVT_01_tbl_detalle_fill_rate[[#This Row],[Pend Emb]]&gt;0,1,0)</f>
        <v>0</v>
      </c>
      <c r="T5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6" spans="1:20" x14ac:dyDescent="0.25">
      <c r="A586">
        <v>9</v>
      </c>
      <c r="B586" t="s">
        <v>48</v>
      </c>
      <c r="C586">
        <v>9203556</v>
      </c>
      <c r="D586" s="48">
        <v>43363</v>
      </c>
      <c r="E586" s="48">
        <v>43358</v>
      </c>
      <c r="F586" s="48">
        <v>43367</v>
      </c>
      <c r="G586" t="s">
        <v>140</v>
      </c>
      <c r="H586" t="s">
        <v>141</v>
      </c>
      <c r="I586">
        <v>2</v>
      </c>
      <c r="J586" t="s">
        <v>1917</v>
      </c>
      <c r="K586">
        <v>2</v>
      </c>
      <c r="L586">
        <v>2</v>
      </c>
      <c r="M586" t="s">
        <v>416</v>
      </c>
      <c r="N586">
        <v>0</v>
      </c>
      <c r="O586" s="1">
        <f>+Tabla__192.168.1.8_POSEIDONSQL_APPFVT_01_tbl_detalle_fill_rate[[#This Row],[emb_cantidad]]-Tabla__192.168.1.8_POSEIDONSQL_APPFVT_01_tbl_detalle_fill_rate[[#This Row],[dev_cantidad]]</f>
        <v>2</v>
      </c>
      <c r="P5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586" s="1">
        <f>+Tabla__192.168.1.8_POSEIDONSQL_APPFVT_01_tbl_detalle_fill_rate[[#This Row],[Cumpl Real Unds]]-Tabla__192.168.1.8_POSEIDONSQL_APPFVT_01_tbl_detalle_fill_rate[[#This Row],[Cant Embarcada]]</f>
        <v>0</v>
      </c>
      <c r="S586" s="1">
        <f>+IF(Tabla__192.168.1.8_POSEIDONSQL_APPFVT_01_tbl_detalle_fill_rate[[#This Row],[Pend Emb]]&gt;0,1,0)</f>
        <v>0</v>
      </c>
      <c r="T5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7" spans="1:20" x14ac:dyDescent="0.25">
      <c r="A587">
        <v>9</v>
      </c>
      <c r="B587" t="s">
        <v>48</v>
      </c>
      <c r="C587">
        <v>9203592</v>
      </c>
      <c r="D587" s="48">
        <v>43363</v>
      </c>
      <c r="E587" s="48">
        <v>43358</v>
      </c>
      <c r="F587" s="48">
        <v>43367</v>
      </c>
      <c r="G587" t="s">
        <v>326</v>
      </c>
      <c r="H587" t="s">
        <v>327</v>
      </c>
      <c r="I587">
        <v>1</v>
      </c>
      <c r="J587" t="s">
        <v>1918</v>
      </c>
      <c r="K587">
        <v>1</v>
      </c>
      <c r="L587">
        <v>1</v>
      </c>
      <c r="M587" t="s">
        <v>416</v>
      </c>
      <c r="N587">
        <v>0</v>
      </c>
      <c r="O587" s="1">
        <f>+Tabla__192.168.1.8_POSEIDONSQL_APPFVT_01_tbl_detalle_fill_rate[[#This Row],[emb_cantidad]]-Tabla__192.168.1.8_POSEIDONSQL_APPFVT_01_tbl_detalle_fill_rate[[#This Row],[dev_cantidad]]</f>
        <v>1</v>
      </c>
      <c r="P5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7" s="1">
        <f>+Tabla__192.168.1.8_POSEIDONSQL_APPFVT_01_tbl_detalle_fill_rate[[#This Row],[Cumpl Real Unds]]-Tabla__192.168.1.8_POSEIDONSQL_APPFVT_01_tbl_detalle_fill_rate[[#This Row],[Cant Embarcada]]</f>
        <v>0</v>
      </c>
      <c r="S587" s="1">
        <f>+IF(Tabla__192.168.1.8_POSEIDONSQL_APPFVT_01_tbl_detalle_fill_rate[[#This Row],[Pend Emb]]&gt;0,1,0)</f>
        <v>0</v>
      </c>
      <c r="T5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8" spans="1:20" x14ac:dyDescent="0.25">
      <c r="A588">
        <v>9</v>
      </c>
      <c r="B588" t="s">
        <v>48</v>
      </c>
      <c r="C588">
        <v>9203626</v>
      </c>
      <c r="D588" s="48">
        <v>43363</v>
      </c>
      <c r="E588" s="48">
        <v>43358</v>
      </c>
      <c r="F588" s="48">
        <v>43369</v>
      </c>
      <c r="G588" t="s">
        <v>62</v>
      </c>
      <c r="H588" t="s">
        <v>63</v>
      </c>
      <c r="I588">
        <v>1</v>
      </c>
      <c r="J588" t="s">
        <v>1929</v>
      </c>
      <c r="K588">
        <v>1</v>
      </c>
      <c r="L588">
        <v>1</v>
      </c>
      <c r="M588" t="s">
        <v>420</v>
      </c>
      <c r="N588">
        <v>0</v>
      </c>
      <c r="O588" s="1">
        <f>+Tabla__192.168.1.8_POSEIDONSQL_APPFVT_01_tbl_detalle_fill_rate[[#This Row],[emb_cantidad]]-Tabla__192.168.1.8_POSEIDONSQL_APPFVT_01_tbl_detalle_fill_rate[[#This Row],[dev_cantidad]]</f>
        <v>1</v>
      </c>
      <c r="P5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8" s="1">
        <f>+Tabla__192.168.1.8_POSEIDONSQL_APPFVT_01_tbl_detalle_fill_rate[[#This Row],[Cumpl Real Unds]]-Tabla__192.168.1.8_POSEIDONSQL_APPFVT_01_tbl_detalle_fill_rate[[#This Row],[Cant Embarcada]]</f>
        <v>0</v>
      </c>
      <c r="S588" s="1">
        <f>+IF(Tabla__192.168.1.8_POSEIDONSQL_APPFVT_01_tbl_detalle_fill_rate[[#This Row],[Pend Emb]]&gt;0,1,0)</f>
        <v>0</v>
      </c>
      <c r="T5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89" spans="1:20" x14ac:dyDescent="0.25">
      <c r="A589">
        <v>9</v>
      </c>
      <c r="B589" t="s">
        <v>48</v>
      </c>
      <c r="C589">
        <v>9207004</v>
      </c>
      <c r="D589" s="48">
        <v>43368</v>
      </c>
      <c r="E589" s="48">
        <v>43367</v>
      </c>
      <c r="F589" s="48">
        <v>43369</v>
      </c>
      <c r="G589" t="s">
        <v>130</v>
      </c>
      <c r="H589" t="s">
        <v>131</v>
      </c>
      <c r="I589">
        <v>1</v>
      </c>
      <c r="J589" t="s">
        <v>1369</v>
      </c>
      <c r="K589">
        <v>1</v>
      </c>
      <c r="L589">
        <v>1</v>
      </c>
      <c r="M589" t="s">
        <v>420</v>
      </c>
      <c r="N589">
        <v>0</v>
      </c>
      <c r="O589" s="1">
        <f>+Tabla__192.168.1.8_POSEIDONSQL_APPFVT_01_tbl_detalle_fill_rate[[#This Row],[emb_cantidad]]-Tabla__192.168.1.8_POSEIDONSQL_APPFVT_01_tbl_detalle_fill_rate[[#This Row],[dev_cantidad]]</f>
        <v>1</v>
      </c>
      <c r="P5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89" s="1">
        <f>+Tabla__192.168.1.8_POSEIDONSQL_APPFVT_01_tbl_detalle_fill_rate[[#This Row],[Cumpl Real Unds]]-Tabla__192.168.1.8_POSEIDONSQL_APPFVT_01_tbl_detalle_fill_rate[[#This Row],[Cant Embarcada]]</f>
        <v>0</v>
      </c>
      <c r="S589" s="1">
        <f>+IF(Tabla__192.168.1.8_POSEIDONSQL_APPFVT_01_tbl_detalle_fill_rate[[#This Row],[Pend Emb]]&gt;0,1,0)</f>
        <v>0</v>
      </c>
      <c r="T5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0" spans="1:20" x14ac:dyDescent="0.25">
      <c r="A590">
        <v>9</v>
      </c>
      <c r="B590" t="s">
        <v>48</v>
      </c>
      <c r="C590">
        <v>9207142</v>
      </c>
      <c r="D590" s="48">
        <v>43368</v>
      </c>
      <c r="E590" s="48">
        <v>43367</v>
      </c>
      <c r="F590" s="48">
        <v>43369</v>
      </c>
      <c r="G590" t="s">
        <v>334</v>
      </c>
      <c r="H590" t="s">
        <v>335</v>
      </c>
      <c r="I590">
        <v>1</v>
      </c>
      <c r="J590" t="s">
        <v>1370</v>
      </c>
      <c r="K590">
        <v>1</v>
      </c>
      <c r="L590">
        <v>1</v>
      </c>
      <c r="M590" t="s">
        <v>420</v>
      </c>
      <c r="N590">
        <v>0</v>
      </c>
      <c r="O590" s="1">
        <f>+Tabla__192.168.1.8_POSEIDONSQL_APPFVT_01_tbl_detalle_fill_rate[[#This Row],[emb_cantidad]]-Tabla__192.168.1.8_POSEIDONSQL_APPFVT_01_tbl_detalle_fill_rate[[#This Row],[dev_cantidad]]</f>
        <v>1</v>
      </c>
      <c r="P5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0" s="1">
        <f>+Tabla__192.168.1.8_POSEIDONSQL_APPFVT_01_tbl_detalle_fill_rate[[#This Row],[Cumpl Real Unds]]-Tabla__192.168.1.8_POSEIDONSQL_APPFVT_01_tbl_detalle_fill_rate[[#This Row],[Cant Embarcada]]</f>
        <v>0</v>
      </c>
      <c r="S590" s="1">
        <f>+IF(Tabla__192.168.1.8_POSEIDONSQL_APPFVT_01_tbl_detalle_fill_rate[[#This Row],[Pend Emb]]&gt;0,1,0)</f>
        <v>0</v>
      </c>
      <c r="T5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1" spans="1:20" x14ac:dyDescent="0.25">
      <c r="A591">
        <v>9</v>
      </c>
      <c r="B591" t="s">
        <v>48</v>
      </c>
      <c r="C591">
        <v>9207209</v>
      </c>
      <c r="D591" s="48">
        <v>43368</v>
      </c>
      <c r="E591" s="48">
        <v>43367</v>
      </c>
      <c r="F591" s="48">
        <v>43369</v>
      </c>
      <c r="G591" t="s">
        <v>302</v>
      </c>
      <c r="H591" t="s">
        <v>303</v>
      </c>
      <c r="I591">
        <v>1</v>
      </c>
      <c r="J591" t="s">
        <v>362</v>
      </c>
      <c r="K591">
        <v>1</v>
      </c>
      <c r="L591">
        <v>1</v>
      </c>
      <c r="M591" t="s">
        <v>420</v>
      </c>
      <c r="N591">
        <v>0</v>
      </c>
      <c r="O591" s="1">
        <f>+Tabla__192.168.1.8_POSEIDONSQL_APPFVT_01_tbl_detalle_fill_rate[[#This Row],[emb_cantidad]]-Tabla__192.168.1.8_POSEIDONSQL_APPFVT_01_tbl_detalle_fill_rate[[#This Row],[dev_cantidad]]</f>
        <v>1</v>
      </c>
      <c r="P5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1" s="1">
        <f>+Tabla__192.168.1.8_POSEIDONSQL_APPFVT_01_tbl_detalle_fill_rate[[#This Row],[Cumpl Real Unds]]-Tabla__192.168.1.8_POSEIDONSQL_APPFVT_01_tbl_detalle_fill_rate[[#This Row],[Cant Embarcada]]</f>
        <v>0</v>
      </c>
      <c r="S591" s="1">
        <f>+IF(Tabla__192.168.1.8_POSEIDONSQL_APPFVT_01_tbl_detalle_fill_rate[[#This Row],[Pend Emb]]&gt;0,1,0)</f>
        <v>0</v>
      </c>
      <c r="T5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2" spans="1:20" x14ac:dyDescent="0.25">
      <c r="A592">
        <v>9</v>
      </c>
      <c r="B592" t="s">
        <v>48</v>
      </c>
      <c r="C592">
        <v>9207253</v>
      </c>
      <c r="D592" s="48">
        <v>43368</v>
      </c>
      <c r="E592" s="48">
        <v>43367</v>
      </c>
      <c r="F592" s="48">
        <v>43369</v>
      </c>
      <c r="G592" t="s">
        <v>366</v>
      </c>
      <c r="H592" t="s">
        <v>367</v>
      </c>
      <c r="I592">
        <v>1</v>
      </c>
      <c r="J592" t="s">
        <v>368</v>
      </c>
      <c r="K592">
        <v>1</v>
      </c>
      <c r="L592">
        <v>1</v>
      </c>
      <c r="M592" t="s">
        <v>420</v>
      </c>
      <c r="N592">
        <v>0</v>
      </c>
      <c r="O592" s="1">
        <f>+Tabla__192.168.1.8_POSEIDONSQL_APPFVT_01_tbl_detalle_fill_rate[[#This Row],[emb_cantidad]]-Tabla__192.168.1.8_POSEIDONSQL_APPFVT_01_tbl_detalle_fill_rate[[#This Row],[dev_cantidad]]</f>
        <v>1</v>
      </c>
      <c r="P5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2" s="1">
        <f>+Tabla__192.168.1.8_POSEIDONSQL_APPFVT_01_tbl_detalle_fill_rate[[#This Row],[Cumpl Real Unds]]-Tabla__192.168.1.8_POSEIDONSQL_APPFVT_01_tbl_detalle_fill_rate[[#This Row],[Cant Embarcada]]</f>
        <v>0</v>
      </c>
      <c r="S592" s="1">
        <f>+IF(Tabla__192.168.1.8_POSEIDONSQL_APPFVT_01_tbl_detalle_fill_rate[[#This Row],[Pend Emb]]&gt;0,1,0)</f>
        <v>0</v>
      </c>
      <c r="T5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3" spans="1:20" x14ac:dyDescent="0.25">
      <c r="A593">
        <v>9</v>
      </c>
      <c r="B593" t="s">
        <v>48</v>
      </c>
      <c r="C593">
        <v>9207253</v>
      </c>
      <c r="D593" s="48">
        <v>43368</v>
      </c>
      <c r="E593" s="48">
        <v>43367</v>
      </c>
      <c r="F593" s="48">
        <v>43369</v>
      </c>
      <c r="G593" t="s">
        <v>363</v>
      </c>
      <c r="H593" t="s">
        <v>364</v>
      </c>
      <c r="I593">
        <v>1</v>
      </c>
      <c r="J593" t="s">
        <v>365</v>
      </c>
      <c r="K593">
        <v>1</v>
      </c>
      <c r="L593">
        <v>1</v>
      </c>
      <c r="M593" t="s">
        <v>420</v>
      </c>
      <c r="N593">
        <v>0</v>
      </c>
      <c r="O593" s="1">
        <f>+Tabla__192.168.1.8_POSEIDONSQL_APPFVT_01_tbl_detalle_fill_rate[[#This Row],[emb_cantidad]]-Tabla__192.168.1.8_POSEIDONSQL_APPFVT_01_tbl_detalle_fill_rate[[#This Row],[dev_cantidad]]</f>
        <v>1</v>
      </c>
      <c r="P5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3" s="1">
        <f>+Tabla__192.168.1.8_POSEIDONSQL_APPFVT_01_tbl_detalle_fill_rate[[#This Row],[Cumpl Real Unds]]-Tabla__192.168.1.8_POSEIDONSQL_APPFVT_01_tbl_detalle_fill_rate[[#This Row],[Cant Embarcada]]</f>
        <v>0</v>
      </c>
      <c r="S593" s="1">
        <f>+IF(Tabla__192.168.1.8_POSEIDONSQL_APPFVT_01_tbl_detalle_fill_rate[[#This Row],[Pend Emb]]&gt;0,1,0)</f>
        <v>0</v>
      </c>
      <c r="T5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4" spans="1:20" x14ac:dyDescent="0.25">
      <c r="A594">
        <v>9</v>
      </c>
      <c r="B594" t="s">
        <v>48</v>
      </c>
      <c r="C594">
        <v>9207431</v>
      </c>
      <c r="D594" s="48">
        <v>43368</v>
      </c>
      <c r="E594" s="48">
        <v>43367</v>
      </c>
      <c r="F594" s="48">
        <v>43369</v>
      </c>
      <c r="G594" t="s">
        <v>128</v>
      </c>
      <c r="H594" t="s">
        <v>129</v>
      </c>
      <c r="I594">
        <v>1</v>
      </c>
      <c r="J594" t="s">
        <v>1368</v>
      </c>
      <c r="K594">
        <v>1</v>
      </c>
      <c r="L594">
        <v>1</v>
      </c>
      <c r="M594" t="s">
        <v>420</v>
      </c>
      <c r="N594">
        <v>0</v>
      </c>
      <c r="O594" s="1">
        <f>+Tabla__192.168.1.8_POSEIDONSQL_APPFVT_01_tbl_detalle_fill_rate[[#This Row],[emb_cantidad]]-Tabla__192.168.1.8_POSEIDONSQL_APPFVT_01_tbl_detalle_fill_rate[[#This Row],[dev_cantidad]]</f>
        <v>1</v>
      </c>
      <c r="P5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4" s="1">
        <f>+Tabla__192.168.1.8_POSEIDONSQL_APPFVT_01_tbl_detalle_fill_rate[[#This Row],[Cumpl Real Unds]]-Tabla__192.168.1.8_POSEIDONSQL_APPFVT_01_tbl_detalle_fill_rate[[#This Row],[Cant Embarcada]]</f>
        <v>0</v>
      </c>
      <c r="S594" s="1">
        <f>+IF(Tabla__192.168.1.8_POSEIDONSQL_APPFVT_01_tbl_detalle_fill_rate[[#This Row],[Pend Emb]]&gt;0,1,0)</f>
        <v>0</v>
      </c>
      <c r="T5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5" spans="1:20" x14ac:dyDescent="0.25">
      <c r="A595">
        <v>9</v>
      </c>
      <c r="B595" t="s">
        <v>48</v>
      </c>
      <c r="C595">
        <v>9208052</v>
      </c>
      <c r="D595" s="48">
        <v>43369</v>
      </c>
      <c r="E595" s="48">
        <v>43368</v>
      </c>
      <c r="F595" s="48">
        <v>43369</v>
      </c>
      <c r="G595" t="s">
        <v>144</v>
      </c>
      <c r="H595" t="s">
        <v>145</v>
      </c>
      <c r="I595">
        <v>1</v>
      </c>
      <c r="J595" t="s">
        <v>1531</v>
      </c>
      <c r="K595">
        <v>1</v>
      </c>
      <c r="L595">
        <v>1</v>
      </c>
      <c r="M595" t="s">
        <v>421</v>
      </c>
      <c r="N595">
        <v>0</v>
      </c>
      <c r="O595" s="1">
        <f>+Tabla__192.168.1.8_POSEIDONSQL_APPFVT_01_tbl_detalle_fill_rate[[#This Row],[emb_cantidad]]-Tabla__192.168.1.8_POSEIDONSQL_APPFVT_01_tbl_detalle_fill_rate[[#This Row],[dev_cantidad]]</f>
        <v>1</v>
      </c>
      <c r="P5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5" s="1">
        <f>+Tabla__192.168.1.8_POSEIDONSQL_APPFVT_01_tbl_detalle_fill_rate[[#This Row],[Cumpl Real Unds]]-Tabla__192.168.1.8_POSEIDONSQL_APPFVT_01_tbl_detalle_fill_rate[[#This Row],[Cant Embarcada]]</f>
        <v>0</v>
      </c>
      <c r="S595" s="1">
        <f>+IF(Tabla__192.168.1.8_POSEIDONSQL_APPFVT_01_tbl_detalle_fill_rate[[#This Row],[Pend Emb]]&gt;0,1,0)</f>
        <v>0</v>
      </c>
      <c r="T5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6" spans="1:20" x14ac:dyDescent="0.25">
      <c r="A596">
        <v>9</v>
      </c>
      <c r="B596" t="s">
        <v>48</v>
      </c>
      <c r="C596">
        <v>9208324</v>
      </c>
      <c r="D596" s="48">
        <v>43369</v>
      </c>
      <c r="E596" s="48">
        <v>43368</v>
      </c>
      <c r="F596" s="48">
        <v>43369</v>
      </c>
      <c r="G596" t="s">
        <v>146</v>
      </c>
      <c r="H596" t="s">
        <v>147</v>
      </c>
      <c r="I596">
        <v>1</v>
      </c>
      <c r="J596" t="s">
        <v>1533</v>
      </c>
      <c r="K596">
        <v>1</v>
      </c>
      <c r="L596">
        <v>1</v>
      </c>
      <c r="M596" t="s">
        <v>421</v>
      </c>
      <c r="N596">
        <v>0</v>
      </c>
      <c r="O596" s="1">
        <f>+Tabla__192.168.1.8_POSEIDONSQL_APPFVT_01_tbl_detalle_fill_rate[[#This Row],[emb_cantidad]]-Tabla__192.168.1.8_POSEIDONSQL_APPFVT_01_tbl_detalle_fill_rate[[#This Row],[dev_cantidad]]</f>
        <v>1</v>
      </c>
      <c r="P5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6" s="1">
        <f>+Tabla__192.168.1.8_POSEIDONSQL_APPFVT_01_tbl_detalle_fill_rate[[#This Row],[Cumpl Real Unds]]-Tabla__192.168.1.8_POSEIDONSQL_APPFVT_01_tbl_detalle_fill_rate[[#This Row],[Cant Embarcada]]</f>
        <v>0</v>
      </c>
      <c r="S596" s="1">
        <f>+IF(Tabla__192.168.1.8_POSEIDONSQL_APPFVT_01_tbl_detalle_fill_rate[[#This Row],[Pend Emb]]&gt;0,1,0)</f>
        <v>0</v>
      </c>
      <c r="T5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7" spans="1:20" x14ac:dyDescent="0.25">
      <c r="A597">
        <v>9</v>
      </c>
      <c r="B597" t="s">
        <v>48</v>
      </c>
      <c r="C597">
        <v>9208324</v>
      </c>
      <c r="D597" s="48">
        <v>43369</v>
      </c>
      <c r="E597" s="48">
        <v>43368</v>
      </c>
      <c r="F597" s="48">
        <v>43369</v>
      </c>
      <c r="G597" t="s">
        <v>355</v>
      </c>
      <c r="H597" t="s">
        <v>356</v>
      </c>
      <c r="I597">
        <v>1</v>
      </c>
      <c r="J597" t="s">
        <v>1532</v>
      </c>
      <c r="K597">
        <v>1</v>
      </c>
      <c r="L597">
        <v>1</v>
      </c>
      <c r="M597" t="s">
        <v>421</v>
      </c>
      <c r="N597">
        <v>0</v>
      </c>
      <c r="O597" s="1">
        <f>+Tabla__192.168.1.8_POSEIDONSQL_APPFVT_01_tbl_detalle_fill_rate[[#This Row],[emb_cantidad]]-Tabla__192.168.1.8_POSEIDONSQL_APPFVT_01_tbl_detalle_fill_rate[[#This Row],[dev_cantidad]]</f>
        <v>1</v>
      </c>
      <c r="P5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7" s="1">
        <f>+Tabla__192.168.1.8_POSEIDONSQL_APPFVT_01_tbl_detalle_fill_rate[[#This Row],[Cumpl Real Unds]]-Tabla__192.168.1.8_POSEIDONSQL_APPFVT_01_tbl_detalle_fill_rate[[#This Row],[Cant Embarcada]]</f>
        <v>0</v>
      </c>
      <c r="S597" s="1">
        <f>+IF(Tabla__192.168.1.8_POSEIDONSQL_APPFVT_01_tbl_detalle_fill_rate[[#This Row],[Pend Emb]]&gt;0,1,0)</f>
        <v>0</v>
      </c>
      <c r="T5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8" spans="1:20" x14ac:dyDescent="0.25">
      <c r="A598">
        <v>9</v>
      </c>
      <c r="B598" t="s">
        <v>48</v>
      </c>
      <c r="C598">
        <v>9208374</v>
      </c>
      <c r="D598" s="48">
        <v>43369</v>
      </c>
      <c r="E598" s="48">
        <v>43369</v>
      </c>
      <c r="F598" s="48">
        <v>43369</v>
      </c>
      <c r="G598" t="s">
        <v>391</v>
      </c>
      <c r="H598" t="s">
        <v>392</v>
      </c>
      <c r="I598">
        <v>1</v>
      </c>
      <c r="J598" t="s">
        <v>393</v>
      </c>
      <c r="K598">
        <v>1</v>
      </c>
      <c r="L598">
        <v>1</v>
      </c>
      <c r="M598" t="s">
        <v>421</v>
      </c>
      <c r="N598">
        <v>0</v>
      </c>
      <c r="O598" s="1">
        <f>+Tabla__192.168.1.8_POSEIDONSQL_APPFVT_01_tbl_detalle_fill_rate[[#This Row],[emb_cantidad]]-Tabla__192.168.1.8_POSEIDONSQL_APPFVT_01_tbl_detalle_fill_rate[[#This Row],[dev_cantidad]]</f>
        <v>1</v>
      </c>
      <c r="P5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8" s="1">
        <f>+Tabla__192.168.1.8_POSEIDONSQL_APPFVT_01_tbl_detalle_fill_rate[[#This Row],[Cumpl Real Unds]]-Tabla__192.168.1.8_POSEIDONSQL_APPFVT_01_tbl_detalle_fill_rate[[#This Row],[Cant Embarcada]]</f>
        <v>0</v>
      </c>
      <c r="S598" s="1">
        <f>+IF(Tabla__192.168.1.8_POSEIDONSQL_APPFVT_01_tbl_detalle_fill_rate[[#This Row],[Pend Emb]]&gt;0,1,0)</f>
        <v>0</v>
      </c>
      <c r="T5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599" spans="1:20" x14ac:dyDescent="0.25">
      <c r="A599">
        <v>9</v>
      </c>
      <c r="B599" t="s">
        <v>48</v>
      </c>
      <c r="C599">
        <v>9208374</v>
      </c>
      <c r="D599" s="48">
        <v>43369</v>
      </c>
      <c r="E599" s="48">
        <v>43368</v>
      </c>
      <c r="F599" s="48">
        <v>43369</v>
      </c>
      <c r="G599" t="s">
        <v>298</v>
      </c>
      <c r="H599" t="s">
        <v>299</v>
      </c>
      <c r="I599">
        <v>1</v>
      </c>
      <c r="J599" t="s">
        <v>394</v>
      </c>
      <c r="K599">
        <v>1</v>
      </c>
      <c r="L599">
        <v>1</v>
      </c>
      <c r="M599" t="s">
        <v>421</v>
      </c>
      <c r="N599">
        <v>0</v>
      </c>
      <c r="O599" s="1">
        <f>+Tabla__192.168.1.8_POSEIDONSQL_APPFVT_01_tbl_detalle_fill_rate[[#This Row],[emb_cantidad]]-Tabla__192.168.1.8_POSEIDONSQL_APPFVT_01_tbl_detalle_fill_rate[[#This Row],[dev_cantidad]]</f>
        <v>1</v>
      </c>
      <c r="P5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5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599" s="1">
        <f>+Tabla__192.168.1.8_POSEIDONSQL_APPFVT_01_tbl_detalle_fill_rate[[#This Row],[Cumpl Real Unds]]-Tabla__192.168.1.8_POSEIDONSQL_APPFVT_01_tbl_detalle_fill_rate[[#This Row],[Cant Embarcada]]</f>
        <v>0</v>
      </c>
      <c r="S599" s="1">
        <f>+IF(Tabla__192.168.1.8_POSEIDONSQL_APPFVT_01_tbl_detalle_fill_rate[[#This Row],[Pend Emb]]&gt;0,1,0)</f>
        <v>0</v>
      </c>
      <c r="T5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0" spans="1:20" x14ac:dyDescent="0.25">
      <c r="A600">
        <v>9</v>
      </c>
      <c r="B600" t="s">
        <v>48</v>
      </c>
      <c r="C600">
        <v>9208445</v>
      </c>
      <c r="D600" s="48">
        <v>43370</v>
      </c>
      <c r="E600" s="48">
        <v>43369</v>
      </c>
      <c r="F600" s="48">
        <v>43369</v>
      </c>
      <c r="G600" t="s">
        <v>245</v>
      </c>
      <c r="H600" t="s">
        <v>246</v>
      </c>
      <c r="I600">
        <v>1</v>
      </c>
      <c r="J600" t="s">
        <v>1534</v>
      </c>
      <c r="K600">
        <v>1</v>
      </c>
      <c r="L600">
        <v>1</v>
      </c>
      <c r="M600" t="s">
        <v>413</v>
      </c>
      <c r="N600">
        <v>0</v>
      </c>
      <c r="O600" s="1">
        <f>+Tabla__192.168.1.8_POSEIDONSQL_APPFVT_01_tbl_detalle_fill_rate[[#This Row],[emb_cantidad]]-Tabla__192.168.1.8_POSEIDONSQL_APPFVT_01_tbl_detalle_fill_rate[[#This Row],[dev_cantidad]]</f>
        <v>1</v>
      </c>
      <c r="P6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0" s="1">
        <f>+Tabla__192.168.1.8_POSEIDONSQL_APPFVT_01_tbl_detalle_fill_rate[[#This Row],[Cumpl Real Unds]]-Tabla__192.168.1.8_POSEIDONSQL_APPFVT_01_tbl_detalle_fill_rate[[#This Row],[Cant Embarcada]]</f>
        <v>0</v>
      </c>
      <c r="S600" s="1">
        <f>+IF(Tabla__192.168.1.8_POSEIDONSQL_APPFVT_01_tbl_detalle_fill_rate[[#This Row],[Pend Emb]]&gt;0,1,0)</f>
        <v>0</v>
      </c>
      <c r="T6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1" spans="1:20" x14ac:dyDescent="0.25">
      <c r="A601">
        <v>9</v>
      </c>
      <c r="B601" t="s">
        <v>48</v>
      </c>
      <c r="C601">
        <v>9190054</v>
      </c>
      <c r="D601" s="48">
        <v>43339</v>
      </c>
      <c r="E601" s="48">
        <v>43337</v>
      </c>
      <c r="F601" s="48">
        <v>43350</v>
      </c>
      <c r="G601" t="s">
        <v>533</v>
      </c>
      <c r="H601" t="s">
        <v>534</v>
      </c>
      <c r="I601">
        <v>1</v>
      </c>
      <c r="J601" t="s">
        <v>1398</v>
      </c>
      <c r="K601">
        <v>1</v>
      </c>
      <c r="L601">
        <v>1</v>
      </c>
      <c r="M601" t="s">
        <v>1969</v>
      </c>
      <c r="N601">
        <v>0</v>
      </c>
      <c r="O601" s="1">
        <f>+Tabla__192.168.1.8_POSEIDONSQL_APPFVT_01_tbl_detalle_fill_rate[[#This Row],[emb_cantidad]]-Tabla__192.168.1.8_POSEIDONSQL_APPFVT_01_tbl_detalle_fill_rate[[#This Row],[dev_cantidad]]</f>
        <v>1</v>
      </c>
      <c r="P6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1" s="1">
        <f>+Tabla__192.168.1.8_POSEIDONSQL_APPFVT_01_tbl_detalle_fill_rate[[#This Row],[Cumpl Real Unds]]-Tabla__192.168.1.8_POSEIDONSQL_APPFVT_01_tbl_detalle_fill_rate[[#This Row],[Cant Embarcada]]</f>
        <v>0</v>
      </c>
      <c r="S601" s="1">
        <f>+IF(Tabla__192.168.1.8_POSEIDONSQL_APPFVT_01_tbl_detalle_fill_rate[[#This Row],[Pend Emb]]&gt;0,1,0)</f>
        <v>0</v>
      </c>
      <c r="T6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2" spans="1:20" x14ac:dyDescent="0.25">
      <c r="A602">
        <v>9</v>
      </c>
      <c r="B602" t="s">
        <v>48</v>
      </c>
      <c r="C602">
        <v>9190115</v>
      </c>
      <c r="D602" s="48">
        <v>43339</v>
      </c>
      <c r="E602" s="48">
        <v>43337</v>
      </c>
      <c r="F602" s="48">
        <v>43343</v>
      </c>
      <c r="G602" t="s">
        <v>70</v>
      </c>
      <c r="H602" t="s">
        <v>71</v>
      </c>
      <c r="I602">
        <v>1</v>
      </c>
      <c r="J602" t="s">
        <v>519</v>
      </c>
      <c r="K602">
        <v>1</v>
      </c>
      <c r="L602">
        <v>1</v>
      </c>
      <c r="M602" t="s">
        <v>1962</v>
      </c>
      <c r="N602">
        <v>0</v>
      </c>
      <c r="O602" s="1">
        <f>+Tabla__192.168.1.8_POSEIDONSQL_APPFVT_01_tbl_detalle_fill_rate[[#This Row],[emb_cantidad]]-Tabla__192.168.1.8_POSEIDONSQL_APPFVT_01_tbl_detalle_fill_rate[[#This Row],[dev_cantidad]]</f>
        <v>1</v>
      </c>
      <c r="P6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2" s="1">
        <f>+Tabla__192.168.1.8_POSEIDONSQL_APPFVT_01_tbl_detalle_fill_rate[[#This Row],[Cumpl Real Unds]]-Tabla__192.168.1.8_POSEIDONSQL_APPFVT_01_tbl_detalle_fill_rate[[#This Row],[Cant Embarcada]]</f>
        <v>0</v>
      </c>
      <c r="S602" s="1">
        <f>+IF(Tabla__192.168.1.8_POSEIDONSQL_APPFVT_01_tbl_detalle_fill_rate[[#This Row],[Pend Emb]]&gt;0,1,0)</f>
        <v>0</v>
      </c>
      <c r="T6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3" spans="1:20" x14ac:dyDescent="0.25">
      <c r="A603">
        <v>9</v>
      </c>
      <c r="B603" t="s">
        <v>48</v>
      </c>
      <c r="C603">
        <v>9190115</v>
      </c>
      <c r="D603" s="48">
        <v>43339</v>
      </c>
      <c r="E603" s="48">
        <v>43337</v>
      </c>
      <c r="F603" s="48">
        <v>43348</v>
      </c>
      <c r="G603" t="s">
        <v>114</v>
      </c>
      <c r="H603" t="s">
        <v>115</v>
      </c>
      <c r="I603">
        <v>1</v>
      </c>
      <c r="J603" t="s">
        <v>1085</v>
      </c>
      <c r="K603">
        <v>1</v>
      </c>
      <c r="L603">
        <v>1</v>
      </c>
      <c r="M603" t="s">
        <v>160</v>
      </c>
      <c r="N603">
        <v>0</v>
      </c>
      <c r="O603" s="1">
        <f>+Tabla__192.168.1.8_POSEIDONSQL_APPFVT_01_tbl_detalle_fill_rate[[#This Row],[emb_cantidad]]-Tabla__192.168.1.8_POSEIDONSQL_APPFVT_01_tbl_detalle_fill_rate[[#This Row],[dev_cantidad]]</f>
        <v>1</v>
      </c>
      <c r="P6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3" s="1">
        <f>+Tabla__192.168.1.8_POSEIDONSQL_APPFVT_01_tbl_detalle_fill_rate[[#This Row],[Cumpl Real Unds]]-Tabla__192.168.1.8_POSEIDONSQL_APPFVT_01_tbl_detalle_fill_rate[[#This Row],[Cant Embarcada]]</f>
        <v>0</v>
      </c>
      <c r="S603" s="1">
        <f>+IF(Tabla__192.168.1.8_POSEIDONSQL_APPFVT_01_tbl_detalle_fill_rate[[#This Row],[Pend Emb]]&gt;0,1,0)</f>
        <v>0</v>
      </c>
      <c r="T6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4" spans="1:20" x14ac:dyDescent="0.25">
      <c r="A604">
        <v>9</v>
      </c>
      <c r="B604" t="s">
        <v>48</v>
      </c>
      <c r="C604">
        <v>9190150</v>
      </c>
      <c r="D604" s="48">
        <v>43339</v>
      </c>
      <c r="E604" s="48">
        <v>43337</v>
      </c>
      <c r="F604" s="48">
        <v>43343</v>
      </c>
      <c r="G604" t="s">
        <v>146</v>
      </c>
      <c r="H604" t="s">
        <v>147</v>
      </c>
      <c r="I604">
        <v>1</v>
      </c>
      <c r="J604" t="s">
        <v>520</v>
      </c>
      <c r="K604">
        <v>1</v>
      </c>
      <c r="L604">
        <v>1</v>
      </c>
      <c r="M604" t="s">
        <v>1962</v>
      </c>
      <c r="N604">
        <v>0</v>
      </c>
      <c r="O604" s="1">
        <f>+Tabla__192.168.1.8_POSEIDONSQL_APPFVT_01_tbl_detalle_fill_rate[[#This Row],[emb_cantidad]]-Tabla__192.168.1.8_POSEIDONSQL_APPFVT_01_tbl_detalle_fill_rate[[#This Row],[dev_cantidad]]</f>
        <v>1</v>
      </c>
      <c r="P6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4" s="1">
        <f>+Tabla__192.168.1.8_POSEIDONSQL_APPFVT_01_tbl_detalle_fill_rate[[#This Row],[Cumpl Real Unds]]-Tabla__192.168.1.8_POSEIDONSQL_APPFVT_01_tbl_detalle_fill_rate[[#This Row],[Cant Embarcada]]</f>
        <v>0</v>
      </c>
      <c r="S604" s="1">
        <f>+IF(Tabla__192.168.1.8_POSEIDONSQL_APPFVT_01_tbl_detalle_fill_rate[[#This Row],[Pend Emb]]&gt;0,1,0)</f>
        <v>0</v>
      </c>
      <c r="T6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5" spans="1:20" x14ac:dyDescent="0.25">
      <c r="A605">
        <v>9</v>
      </c>
      <c r="B605" t="s">
        <v>48</v>
      </c>
      <c r="C605">
        <v>9190215</v>
      </c>
      <c r="D605" s="48">
        <v>43339</v>
      </c>
      <c r="E605" s="48">
        <v>43337</v>
      </c>
      <c r="F605" s="48">
        <v>43343</v>
      </c>
      <c r="G605" t="s">
        <v>68</v>
      </c>
      <c r="H605" t="s">
        <v>69</v>
      </c>
      <c r="I605">
        <v>1</v>
      </c>
      <c r="J605" t="s">
        <v>733</v>
      </c>
      <c r="K605">
        <v>1</v>
      </c>
      <c r="L605">
        <v>1</v>
      </c>
      <c r="M605" t="s">
        <v>1962</v>
      </c>
      <c r="N605">
        <v>0</v>
      </c>
      <c r="O605" s="1">
        <f>+Tabla__192.168.1.8_POSEIDONSQL_APPFVT_01_tbl_detalle_fill_rate[[#This Row],[emb_cantidad]]-Tabla__192.168.1.8_POSEIDONSQL_APPFVT_01_tbl_detalle_fill_rate[[#This Row],[dev_cantidad]]</f>
        <v>1</v>
      </c>
      <c r="P6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5" s="1">
        <f>+Tabla__192.168.1.8_POSEIDONSQL_APPFVT_01_tbl_detalle_fill_rate[[#This Row],[Cumpl Real Unds]]-Tabla__192.168.1.8_POSEIDONSQL_APPFVT_01_tbl_detalle_fill_rate[[#This Row],[Cant Embarcada]]</f>
        <v>0</v>
      </c>
      <c r="S605" s="1">
        <f>+IF(Tabla__192.168.1.8_POSEIDONSQL_APPFVT_01_tbl_detalle_fill_rate[[#This Row],[Pend Emb]]&gt;0,1,0)</f>
        <v>0</v>
      </c>
      <c r="T6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6" spans="1:20" x14ac:dyDescent="0.25">
      <c r="A606">
        <v>9</v>
      </c>
      <c r="B606" t="s">
        <v>48</v>
      </c>
      <c r="C606">
        <v>9190258</v>
      </c>
      <c r="D606" s="48">
        <v>43339</v>
      </c>
      <c r="E606" s="48">
        <v>43337</v>
      </c>
      <c r="F606" s="48">
        <v>43343</v>
      </c>
      <c r="G606" t="s">
        <v>76</v>
      </c>
      <c r="H606" t="s">
        <v>77</v>
      </c>
      <c r="I606">
        <v>1</v>
      </c>
      <c r="J606" t="s">
        <v>734</v>
      </c>
      <c r="K606">
        <v>1</v>
      </c>
      <c r="L606">
        <v>1</v>
      </c>
      <c r="M606" t="s">
        <v>1962</v>
      </c>
      <c r="N606">
        <v>0</v>
      </c>
      <c r="O606" s="1">
        <f>+Tabla__192.168.1.8_POSEIDONSQL_APPFVT_01_tbl_detalle_fill_rate[[#This Row],[emb_cantidad]]-Tabla__192.168.1.8_POSEIDONSQL_APPFVT_01_tbl_detalle_fill_rate[[#This Row],[dev_cantidad]]</f>
        <v>1</v>
      </c>
      <c r="P6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6" s="1">
        <f>+Tabla__192.168.1.8_POSEIDONSQL_APPFVT_01_tbl_detalle_fill_rate[[#This Row],[Cumpl Real Unds]]-Tabla__192.168.1.8_POSEIDONSQL_APPFVT_01_tbl_detalle_fill_rate[[#This Row],[Cant Embarcada]]</f>
        <v>0</v>
      </c>
      <c r="S606" s="1">
        <f>+IF(Tabla__192.168.1.8_POSEIDONSQL_APPFVT_01_tbl_detalle_fill_rate[[#This Row],[Pend Emb]]&gt;0,1,0)</f>
        <v>0</v>
      </c>
      <c r="T6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7" spans="1:20" x14ac:dyDescent="0.25">
      <c r="A607">
        <v>9</v>
      </c>
      <c r="B607" t="s">
        <v>48</v>
      </c>
      <c r="C607">
        <v>9190309</v>
      </c>
      <c r="D607" s="48">
        <v>43339</v>
      </c>
      <c r="E607" s="48">
        <v>43338</v>
      </c>
      <c r="F607" s="48">
        <v>43343</v>
      </c>
      <c r="G607" t="s">
        <v>736</v>
      </c>
      <c r="H607" t="s">
        <v>737</v>
      </c>
      <c r="I607">
        <v>1</v>
      </c>
      <c r="J607" t="s">
        <v>738</v>
      </c>
      <c r="K607">
        <v>1</v>
      </c>
      <c r="L607">
        <v>1</v>
      </c>
      <c r="M607" t="s">
        <v>1962</v>
      </c>
      <c r="N607">
        <v>0</v>
      </c>
      <c r="O607" s="1">
        <f>+Tabla__192.168.1.8_POSEIDONSQL_APPFVT_01_tbl_detalle_fill_rate[[#This Row],[emb_cantidad]]-Tabla__192.168.1.8_POSEIDONSQL_APPFVT_01_tbl_detalle_fill_rate[[#This Row],[dev_cantidad]]</f>
        <v>1</v>
      </c>
      <c r="P6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7" s="1">
        <f>+Tabla__192.168.1.8_POSEIDONSQL_APPFVT_01_tbl_detalle_fill_rate[[#This Row],[Cumpl Real Unds]]-Tabla__192.168.1.8_POSEIDONSQL_APPFVT_01_tbl_detalle_fill_rate[[#This Row],[Cant Embarcada]]</f>
        <v>0</v>
      </c>
      <c r="S607" s="1">
        <f>+IF(Tabla__192.168.1.8_POSEIDONSQL_APPFVT_01_tbl_detalle_fill_rate[[#This Row],[Pend Emb]]&gt;0,1,0)</f>
        <v>0</v>
      </c>
      <c r="T6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8" spans="1:20" x14ac:dyDescent="0.25">
      <c r="A608">
        <v>9</v>
      </c>
      <c r="B608" t="s">
        <v>48</v>
      </c>
      <c r="C608">
        <v>9190309</v>
      </c>
      <c r="D608" s="48">
        <v>43339</v>
      </c>
      <c r="E608" s="48">
        <v>43338</v>
      </c>
      <c r="F608" s="48">
        <v>43343</v>
      </c>
      <c r="G608" t="s">
        <v>259</v>
      </c>
      <c r="H608" t="s">
        <v>260</v>
      </c>
      <c r="I608">
        <v>1</v>
      </c>
      <c r="J608" t="s">
        <v>735</v>
      </c>
      <c r="K608">
        <v>1</v>
      </c>
      <c r="L608">
        <v>1</v>
      </c>
      <c r="M608" t="s">
        <v>1962</v>
      </c>
      <c r="N608">
        <v>0</v>
      </c>
      <c r="O608" s="1">
        <f>+Tabla__192.168.1.8_POSEIDONSQL_APPFVT_01_tbl_detalle_fill_rate[[#This Row],[emb_cantidad]]-Tabla__192.168.1.8_POSEIDONSQL_APPFVT_01_tbl_detalle_fill_rate[[#This Row],[dev_cantidad]]</f>
        <v>1</v>
      </c>
      <c r="P6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8" s="1">
        <f>+Tabla__192.168.1.8_POSEIDONSQL_APPFVT_01_tbl_detalle_fill_rate[[#This Row],[Cumpl Real Unds]]-Tabla__192.168.1.8_POSEIDONSQL_APPFVT_01_tbl_detalle_fill_rate[[#This Row],[Cant Embarcada]]</f>
        <v>0</v>
      </c>
      <c r="S608" s="1">
        <f>+IF(Tabla__192.168.1.8_POSEIDONSQL_APPFVT_01_tbl_detalle_fill_rate[[#This Row],[Pend Emb]]&gt;0,1,0)</f>
        <v>0</v>
      </c>
      <c r="T6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09" spans="1:20" x14ac:dyDescent="0.25">
      <c r="A609">
        <v>9</v>
      </c>
      <c r="B609" t="s">
        <v>48</v>
      </c>
      <c r="C609">
        <v>9190425</v>
      </c>
      <c r="D609" s="48">
        <v>43339</v>
      </c>
      <c r="E609" s="48">
        <v>43338</v>
      </c>
      <c r="F609" s="48">
        <v>43355</v>
      </c>
      <c r="G609" t="s">
        <v>104</v>
      </c>
      <c r="H609" t="s">
        <v>105</v>
      </c>
      <c r="I609">
        <v>1</v>
      </c>
      <c r="J609" t="s">
        <v>1170</v>
      </c>
      <c r="K609">
        <v>1</v>
      </c>
      <c r="L609">
        <v>1</v>
      </c>
      <c r="M609" t="s">
        <v>427</v>
      </c>
      <c r="N609">
        <v>0</v>
      </c>
      <c r="O609" s="1">
        <f>+Tabla__192.168.1.8_POSEIDONSQL_APPFVT_01_tbl_detalle_fill_rate[[#This Row],[emb_cantidad]]-Tabla__192.168.1.8_POSEIDONSQL_APPFVT_01_tbl_detalle_fill_rate[[#This Row],[dev_cantidad]]</f>
        <v>1</v>
      </c>
      <c r="P6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09" s="1">
        <f>+Tabla__192.168.1.8_POSEIDONSQL_APPFVT_01_tbl_detalle_fill_rate[[#This Row],[Cumpl Real Unds]]-Tabla__192.168.1.8_POSEIDONSQL_APPFVT_01_tbl_detalle_fill_rate[[#This Row],[Cant Embarcada]]</f>
        <v>0</v>
      </c>
      <c r="S609" s="1">
        <f>+IF(Tabla__192.168.1.8_POSEIDONSQL_APPFVT_01_tbl_detalle_fill_rate[[#This Row],[Pend Emb]]&gt;0,1,0)</f>
        <v>0</v>
      </c>
      <c r="T6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0" spans="1:20" x14ac:dyDescent="0.25">
      <c r="A610">
        <v>9</v>
      </c>
      <c r="B610" t="s">
        <v>48</v>
      </c>
      <c r="C610">
        <v>9190425</v>
      </c>
      <c r="D610" s="48">
        <v>43339</v>
      </c>
      <c r="E610" s="48">
        <v>43338</v>
      </c>
      <c r="F610" s="48">
        <v>43346</v>
      </c>
      <c r="G610" t="s">
        <v>104</v>
      </c>
      <c r="H610" t="s">
        <v>105</v>
      </c>
      <c r="I610">
        <v>1</v>
      </c>
      <c r="J610" t="s">
        <v>756</v>
      </c>
      <c r="K610">
        <v>1</v>
      </c>
      <c r="L610">
        <v>1</v>
      </c>
      <c r="M610" t="s">
        <v>1963</v>
      </c>
      <c r="N610">
        <v>0</v>
      </c>
      <c r="O610" s="1">
        <f>+Tabla__192.168.1.8_POSEIDONSQL_APPFVT_01_tbl_detalle_fill_rate[[#This Row],[emb_cantidad]]-Tabla__192.168.1.8_POSEIDONSQL_APPFVT_01_tbl_detalle_fill_rate[[#This Row],[dev_cantidad]]</f>
        <v>1</v>
      </c>
      <c r="P6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0" s="1">
        <f>+Tabla__192.168.1.8_POSEIDONSQL_APPFVT_01_tbl_detalle_fill_rate[[#This Row],[Cumpl Real Unds]]-Tabla__192.168.1.8_POSEIDONSQL_APPFVT_01_tbl_detalle_fill_rate[[#This Row],[Cant Embarcada]]</f>
        <v>0</v>
      </c>
      <c r="S610" s="1">
        <f>+IF(Tabla__192.168.1.8_POSEIDONSQL_APPFVT_01_tbl_detalle_fill_rate[[#This Row],[Pend Emb]]&gt;0,1,0)</f>
        <v>0</v>
      </c>
      <c r="T6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1" spans="1:20" x14ac:dyDescent="0.25">
      <c r="A611">
        <v>9</v>
      </c>
      <c r="B611" t="s">
        <v>48</v>
      </c>
      <c r="C611">
        <v>9190458</v>
      </c>
      <c r="D611" s="48">
        <v>43339</v>
      </c>
      <c r="E611" s="48">
        <v>43338</v>
      </c>
      <c r="F611" s="48">
        <v>43350</v>
      </c>
      <c r="G611" t="s">
        <v>86</v>
      </c>
      <c r="H611" t="s">
        <v>87</v>
      </c>
      <c r="I611">
        <v>1</v>
      </c>
      <c r="J611" t="s">
        <v>1396</v>
      </c>
      <c r="K611">
        <v>1</v>
      </c>
      <c r="L611">
        <v>1</v>
      </c>
      <c r="M611" t="s">
        <v>1969</v>
      </c>
      <c r="N611">
        <v>0</v>
      </c>
      <c r="O611" s="1">
        <f>+Tabla__192.168.1.8_POSEIDONSQL_APPFVT_01_tbl_detalle_fill_rate[[#This Row],[emb_cantidad]]-Tabla__192.168.1.8_POSEIDONSQL_APPFVT_01_tbl_detalle_fill_rate[[#This Row],[dev_cantidad]]</f>
        <v>1</v>
      </c>
      <c r="P6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1" s="1">
        <f>+Tabla__192.168.1.8_POSEIDONSQL_APPFVT_01_tbl_detalle_fill_rate[[#This Row],[Cumpl Real Unds]]-Tabla__192.168.1.8_POSEIDONSQL_APPFVT_01_tbl_detalle_fill_rate[[#This Row],[Cant Embarcada]]</f>
        <v>0</v>
      </c>
      <c r="S611" s="1">
        <f>+IF(Tabla__192.168.1.8_POSEIDONSQL_APPFVT_01_tbl_detalle_fill_rate[[#This Row],[Pend Emb]]&gt;0,1,0)</f>
        <v>0</v>
      </c>
      <c r="T6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2" spans="1:20" x14ac:dyDescent="0.25">
      <c r="A612">
        <v>9</v>
      </c>
      <c r="B612" t="s">
        <v>48</v>
      </c>
      <c r="C612">
        <v>9190500</v>
      </c>
      <c r="D612" s="48">
        <v>43339</v>
      </c>
      <c r="E612" s="48">
        <v>43338</v>
      </c>
      <c r="F612" s="48">
        <v>43346</v>
      </c>
      <c r="G612" t="s">
        <v>96</v>
      </c>
      <c r="H612" t="s">
        <v>97</v>
      </c>
      <c r="I612">
        <v>1</v>
      </c>
      <c r="J612" t="s">
        <v>758</v>
      </c>
      <c r="K612">
        <v>1</v>
      </c>
      <c r="L612">
        <v>1</v>
      </c>
      <c r="M612" t="s">
        <v>1963</v>
      </c>
      <c r="N612">
        <v>0</v>
      </c>
      <c r="O612" s="1">
        <f>+Tabla__192.168.1.8_POSEIDONSQL_APPFVT_01_tbl_detalle_fill_rate[[#This Row],[emb_cantidad]]-Tabla__192.168.1.8_POSEIDONSQL_APPFVT_01_tbl_detalle_fill_rate[[#This Row],[dev_cantidad]]</f>
        <v>1</v>
      </c>
      <c r="P6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2" s="1">
        <f>+Tabla__192.168.1.8_POSEIDONSQL_APPFVT_01_tbl_detalle_fill_rate[[#This Row],[Cumpl Real Unds]]-Tabla__192.168.1.8_POSEIDONSQL_APPFVT_01_tbl_detalle_fill_rate[[#This Row],[Cant Embarcada]]</f>
        <v>0</v>
      </c>
      <c r="S612" s="1">
        <f>+IF(Tabla__192.168.1.8_POSEIDONSQL_APPFVT_01_tbl_detalle_fill_rate[[#This Row],[Pend Emb]]&gt;0,1,0)</f>
        <v>0</v>
      </c>
      <c r="T6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3" spans="1:20" x14ac:dyDescent="0.25">
      <c r="A613">
        <v>9</v>
      </c>
      <c r="B613" t="s">
        <v>48</v>
      </c>
      <c r="C613">
        <v>9190500</v>
      </c>
      <c r="D613" s="48">
        <v>43339</v>
      </c>
      <c r="E613" s="48">
        <v>43338</v>
      </c>
      <c r="F613" s="48">
        <v>43346</v>
      </c>
      <c r="G613" t="s">
        <v>114</v>
      </c>
      <c r="H613" t="s">
        <v>115</v>
      </c>
      <c r="I613">
        <v>1</v>
      </c>
      <c r="J613" t="s">
        <v>757</v>
      </c>
      <c r="K613">
        <v>1</v>
      </c>
      <c r="L613">
        <v>1</v>
      </c>
      <c r="M613" t="s">
        <v>1963</v>
      </c>
      <c r="N613">
        <v>0</v>
      </c>
      <c r="O613" s="1">
        <f>+Tabla__192.168.1.8_POSEIDONSQL_APPFVT_01_tbl_detalle_fill_rate[[#This Row],[emb_cantidad]]-Tabla__192.168.1.8_POSEIDONSQL_APPFVT_01_tbl_detalle_fill_rate[[#This Row],[dev_cantidad]]</f>
        <v>1</v>
      </c>
      <c r="P6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3" s="1">
        <f>+Tabla__192.168.1.8_POSEIDONSQL_APPFVT_01_tbl_detalle_fill_rate[[#This Row],[Cumpl Real Unds]]-Tabla__192.168.1.8_POSEIDONSQL_APPFVT_01_tbl_detalle_fill_rate[[#This Row],[Cant Embarcada]]</f>
        <v>0</v>
      </c>
      <c r="S613" s="1">
        <f>+IF(Tabla__192.168.1.8_POSEIDONSQL_APPFVT_01_tbl_detalle_fill_rate[[#This Row],[Pend Emb]]&gt;0,1,0)</f>
        <v>0</v>
      </c>
      <c r="T6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4" spans="1:20" x14ac:dyDescent="0.25">
      <c r="A614">
        <v>9</v>
      </c>
      <c r="B614" t="s">
        <v>48</v>
      </c>
      <c r="C614">
        <v>9190558</v>
      </c>
      <c r="D614" s="48">
        <v>43339</v>
      </c>
      <c r="E614" s="48">
        <v>43338</v>
      </c>
      <c r="F614" s="48">
        <v>43357</v>
      </c>
      <c r="G614" t="s">
        <v>106</v>
      </c>
      <c r="H614" t="s">
        <v>107</v>
      </c>
      <c r="I614">
        <v>1</v>
      </c>
      <c r="J614" t="s">
        <v>1179</v>
      </c>
      <c r="K614">
        <v>1</v>
      </c>
      <c r="L614">
        <v>1</v>
      </c>
      <c r="M614" t="s">
        <v>426</v>
      </c>
      <c r="N614">
        <v>0</v>
      </c>
      <c r="O614" s="1">
        <f>+Tabla__192.168.1.8_POSEIDONSQL_APPFVT_01_tbl_detalle_fill_rate[[#This Row],[emb_cantidad]]-Tabla__192.168.1.8_POSEIDONSQL_APPFVT_01_tbl_detalle_fill_rate[[#This Row],[dev_cantidad]]</f>
        <v>1</v>
      </c>
      <c r="P6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4" s="1">
        <f>+Tabla__192.168.1.8_POSEIDONSQL_APPFVT_01_tbl_detalle_fill_rate[[#This Row],[Cumpl Real Unds]]-Tabla__192.168.1.8_POSEIDONSQL_APPFVT_01_tbl_detalle_fill_rate[[#This Row],[Cant Embarcada]]</f>
        <v>0</v>
      </c>
      <c r="S614" s="1">
        <f>+IF(Tabla__192.168.1.8_POSEIDONSQL_APPFVT_01_tbl_detalle_fill_rate[[#This Row],[Pend Emb]]&gt;0,1,0)</f>
        <v>0</v>
      </c>
      <c r="T6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5" spans="1:20" x14ac:dyDescent="0.25">
      <c r="A615">
        <v>9</v>
      </c>
      <c r="B615" t="s">
        <v>48</v>
      </c>
      <c r="C615">
        <v>9190558</v>
      </c>
      <c r="D615" s="48">
        <v>43339</v>
      </c>
      <c r="E615" s="48">
        <v>43338</v>
      </c>
      <c r="F615" s="48">
        <v>43346</v>
      </c>
      <c r="G615" t="s">
        <v>759</v>
      </c>
      <c r="H615" t="s">
        <v>760</v>
      </c>
      <c r="I615">
        <v>1</v>
      </c>
      <c r="J615" t="s">
        <v>761</v>
      </c>
      <c r="K615">
        <v>1</v>
      </c>
      <c r="L615">
        <v>1</v>
      </c>
      <c r="M615" t="s">
        <v>1963</v>
      </c>
      <c r="N615">
        <v>0</v>
      </c>
      <c r="O615" s="1">
        <f>+Tabla__192.168.1.8_POSEIDONSQL_APPFVT_01_tbl_detalle_fill_rate[[#This Row],[emb_cantidad]]-Tabla__192.168.1.8_POSEIDONSQL_APPFVT_01_tbl_detalle_fill_rate[[#This Row],[dev_cantidad]]</f>
        <v>1</v>
      </c>
      <c r="P6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5" s="1">
        <f>+Tabla__192.168.1.8_POSEIDONSQL_APPFVT_01_tbl_detalle_fill_rate[[#This Row],[Cumpl Real Unds]]-Tabla__192.168.1.8_POSEIDONSQL_APPFVT_01_tbl_detalle_fill_rate[[#This Row],[Cant Embarcada]]</f>
        <v>0</v>
      </c>
      <c r="S615" s="1">
        <f>+IF(Tabla__192.168.1.8_POSEIDONSQL_APPFVT_01_tbl_detalle_fill_rate[[#This Row],[Pend Emb]]&gt;0,1,0)</f>
        <v>0</v>
      </c>
      <c r="T6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6" spans="1:20" x14ac:dyDescent="0.25">
      <c r="A616">
        <v>9</v>
      </c>
      <c r="B616" t="s">
        <v>48</v>
      </c>
      <c r="C616">
        <v>9190635</v>
      </c>
      <c r="D616" s="48">
        <v>43339</v>
      </c>
      <c r="E616" s="48">
        <v>43338</v>
      </c>
      <c r="F616" s="48">
        <v>43346</v>
      </c>
      <c r="G616" t="s">
        <v>80</v>
      </c>
      <c r="H616" t="s">
        <v>81</v>
      </c>
      <c r="I616">
        <v>1</v>
      </c>
      <c r="J616" t="s">
        <v>762</v>
      </c>
      <c r="K616">
        <v>1</v>
      </c>
      <c r="L616">
        <v>1</v>
      </c>
      <c r="M616" t="s">
        <v>1963</v>
      </c>
      <c r="N616">
        <v>0</v>
      </c>
      <c r="O616" s="1">
        <f>+Tabla__192.168.1.8_POSEIDONSQL_APPFVT_01_tbl_detalle_fill_rate[[#This Row],[emb_cantidad]]-Tabla__192.168.1.8_POSEIDONSQL_APPFVT_01_tbl_detalle_fill_rate[[#This Row],[dev_cantidad]]</f>
        <v>1</v>
      </c>
      <c r="P6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6" s="1">
        <f>+Tabla__192.168.1.8_POSEIDONSQL_APPFVT_01_tbl_detalle_fill_rate[[#This Row],[Cumpl Real Unds]]-Tabla__192.168.1.8_POSEIDONSQL_APPFVT_01_tbl_detalle_fill_rate[[#This Row],[Cant Embarcada]]</f>
        <v>0</v>
      </c>
      <c r="S616" s="1">
        <f>+IF(Tabla__192.168.1.8_POSEIDONSQL_APPFVT_01_tbl_detalle_fill_rate[[#This Row],[Pend Emb]]&gt;0,1,0)</f>
        <v>0</v>
      </c>
      <c r="T6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7" spans="1:20" x14ac:dyDescent="0.25">
      <c r="A617">
        <v>9</v>
      </c>
      <c r="B617" t="s">
        <v>48</v>
      </c>
      <c r="C617">
        <v>9190635</v>
      </c>
      <c r="D617" s="48">
        <v>43339</v>
      </c>
      <c r="E617" s="48">
        <v>43338</v>
      </c>
      <c r="F617" s="48">
        <v>43346</v>
      </c>
      <c r="G617" t="s">
        <v>106</v>
      </c>
      <c r="H617" t="s">
        <v>107</v>
      </c>
      <c r="I617">
        <v>1</v>
      </c>
      <c r="J617" t="s">
        <v>763</v>
      </c>
      <c r="K617">
        <v>1</v>
      </c>
      <c r="L617">
        <v>1</v>
      </c>
      <c r="M617" t="s">
        <v>1963</v>
      </c>
      <c r="N617">
        <v>0</v>
      </c>
      <c r="O617" s="1">
        <f>+Tabla__192.168.1.8_POSEIDONSQL_APPFVT_01_tbl_detalle_fill_rate[[#This Row],[emb_cantidad]]-Tabla__192.168.1.8_POSEIDONSQL_APPFVT_01_tbl_detalle_fill_rate[[#This Row],[dev_cantidad]]</f>
        <v>1</v>
      </c>
      <c r="P6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7" s="1">
        <f>+Tabla__192.168.1.8_POSEIDONSQL_APPFVT_01_tbl_detalle_fill_rate[[#This Row],[Cumpl Real Unds]]-Tabla__192.168.1.8_POSEIDONSQL_APPFVT_01_tbl_detalle_fill_rate[[#This Row],[Cant Embarcada]]</f>
        <v>0</v>
      </c>
      <c r="S617" s="1">
        <f>+IF(Tabla__192.168.1.8_POSEIDONSQL_APPFVT_01_tbl_detalle_fill_rate[[#This Row],[Pend Emb]]&gt;0,1,0)</f>
        <v>0</v>
      </c>
      <c r="T6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8" spans="1:20" x14ac:dyDescent="0.25">
      <c r="A618">
        <v>9</v>
      </c>
      <c r="B618" t="s">
        <v>48</v>
      </c>
      <c r="C618">
        <v>9190696</v>
      </c>
      <c r="D618" s="48">
        <v>43339</v>
      </c>
      <c r="E618" s="48">
        <v>43338</v>
      </c>
      <c r="F618" s="48">
        <v>43350</v>
      </c>
      <c r="G618" t="s">
        <v>80</v>
      </c>
      <c r="H618" t="s">
        <v>81</v>
      </c>
      <c r="I618">
        <v>1</v>
      </c>
      <c r="J618" t="s">
        <v>1397</v>
      </c>
      <c r="K618">
        <v>1</v>
      </c>
      <c r="L618">
        <v>1</v>
      </c>
      <c r="M618" t="s">
        <v>1969</v>
      </c>
      <c r="N618">
        <v>0</v>
      </c>
      <c r="O618" s="1">
        <f>+Tabla__192.168.1.8_POSEIDONSQL_APPFVT_01_tbl_detalle_fill_rate[[#This Row],[emb_cantidad]]-Tabla__192.168.1.8_POSEIDONSQL_APPFVT_01_tbl_detalle_fill_rate[[#This Row],[dev_cantidad]]</f>
        <v>1</v>
      </c>
      <c r="P6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8" s="1">
        <f>+Tabla__192.168.1.8_POSEIDONSQL_APPFVT_01_tbl_detalle_fill_rate[[#This Row],[Cumpl Real Unds]]-Tabla__192.168.1.8_POSEIDONSQL_APPFVT_01_tbl_detalle_fill_rate[[#This Row],[Cant Embarcada]]</f>
        <v>0</v>
      </c>
      <c r="S618" s="1">
        <f>+IF(Tabla__192.168.1.8_POSEIDONSQL_APPFVT_01_tbl_detalle_fill_rate[[#This Row],[Pend Emb]]&gt;0,1,0)</f>
        <v>0</v>
      </c>
      <c r="T6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19" spans="1:20" x14ac:dyDescent="0.25">
      <c r="A619">
        <v>9</v>
      </c>
      <c r="B619" t="s">
        <v>48</v>
      </c>
      <c r="C619">
        <v>9190696</v>
      </c>
      <c r="D619" s="48">
        <v>43339</v>
      </c>
      <c r="E619" s="48">
        <v>43338</v>
      </c>
      <c r="F619" s="48">
        <v>43341</v>
      </c>
      <c r="G619" t="s">
        <v>146</v>
      </c>
      <c r="H619" t="s">
        <v>147</v>
      </c>
      <c r="I619">
        <v>1</v>
      </c>
      <c r="J619" t="s">
        <v>517</v>
      </c>
      <c r="K619">
        <v>1</v>
      </c>
      <c r="L619">
        <v>1</v>
      </c>
      <c r="M619" t="s">
        <v>1980</v>
      </c>
      <c r="N619">
        <v>0</v>
      </c>
      <c r="O619" s="1">
        <f>+Tabla__192.168.1.8_POSEIDONSQL_APPFVT_01_tbl_detalle_fill_rate[[#This Row],[emb_cantidad]]-Tabla__192.168.1.8_POSEIDONSQL_APPFVT_01_tbl_detalle_fill_rate[[#This Row],[dev_cantidad]]</f>
        <v>1</v>
      </c>
      <c r="P6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19" s="1">
        <f>+Tabla__192.168.1.8_POSEIDONSQL_APPFVT_01_tbl_detalle_fill_rate[[#This Row],[Cumpl Real Unds]]-Tabla__192.168.1.8_POSEIDONSQL_APPFVT_01_tbl_detalle_fill_rate[[#This Row],[Cant Embarcada]]</f>
        <v>0</v>
      </c>
      <c r="S619" s="1">
        <f>+IF(Tabla__192.168.1.8_POSEIDONSQL_APPFVT_01_tbl_detalle_fill_rate[[#This Row],[Pend Emb]]&gt;0,1,0)</f>
        <v>0</v>
      </c>
      <c r="T6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0" spans="1:20" x14ac:dyDescent="0.25">
      <c r="A620">
        <v>9</v>
      </c>
      <c r="B620" t="s">
        <v>48</v>
      </c>
      <c r="C620">
        <v>9190767</v>
      </c>
      <c r="D620" s="48">
        <v>43339</v>
      </c>
      <c r="E620" s="48">
        <v>43338</v>
      </c>
      <c r="F620" s="48">
        <v>43346</v>
      </c>
      <c r="G620" t="s">
        <v>259</v>
      </c>
      <c r="H620" t="s">
        <v>260</v>
      </c>
      <c r="I620">
        <v>1</v>
      </c>
      <c r="J620" t="s">
        <v>751</v>
      </c>
      <c r="K620">
        <v>1</v>
      </c>
      <c r="L620">
        <v>1</v>
      </c>
      <c r="M620" t="s">
        <v>1963</v>
      </c>
      <c r="N620">
        <v>0</v>
      </c>
      <c r="O620" s="1">
        <f>+Tabla__192.168.1.8_POSEIDONSQL_APPFVT_01_tbl_detalle_fill_rate[[#This Row],[emb_cantidad]]-Tabla__192.168.1.8_POSEIDONSQL_APPFVT_01_tbl_detalle_fill_rate[[#This Row],[dev_cantidad]]</f>
        <v>1</v>
      </c>
      <c r="P6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0" s="1">
        <f>+Tabla__192.168.1.8_POSEIDONSQL_APPFVT_01_tbl_detalle_fill_rate[[#This Row],[Cumpl Real Unds]]-Tabla__192.168.1.8_POSEIDONSQL_APPFVT_01_tbl_detalle_fill_rate[[#This Row],[Cant Embarcada]]</f>
        <v>0</v>
      </c>
      <c r="S620" s="1">
        <f>+IF(Tabla__192.168.1.8_POSEIDONSQL_APPFVT_01_tbl_detalle_fill_rate[[#This Row],[Pend Emb]]&gt;0,1,0)</f>
        <v>0</v>
      </c>
      <c r="T6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1" spans="1:20" x14ac:dyDescent="0.25">
      <c r="A621">
        <v>9</v>
      </c>
      <c r="B621" t="s">
        <v>48</v>
      </c>
      <c r="C621">
        <v>9190767</v>
      </c>
      <c r="D621" s="48">
        <v>43339</v>
      </c>
      <c r="E621" s="48">
        <v>43338</v>
      </c>
      <c r="F621" s="48">
        <v>43346</v>
      </c>
      <c r="G621" t="s">
        <v>112</v>
      </c>
      <c r="H621" t="s">
        <v>113</v>
      </c>
      <c r="I621">
        <v>1</v>
      </c>
      <c r="J621" t="s">
        <v>750</v>
      </c>
      <c r="K621">
        <v>1</v>
      </c>
      <c r="L621">
        <v>1</v>
      </c>
      <c r="M621" t="s">
        <v>1963</v>
      </c>
      <c r="N621">
        <v>0</v>
      </c>
      <c r="O621" s="1">
        <f>+Tabla__192.168.1.8_POSEIDONSQL_APPFVT_01_tbl_detalle_fill_rate[[#This Row],[emb_cantidad]]-Tabla__192.168.1.8_POSEIDONSQL_APPFVT_01_tbl_detalle_fill_rate[[#This Row],[dev_cantidad]]</f>
        <v>1</v>
      </c>
      <c r="P6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1" s="1">
        <f>+Tabla__192.168.1.8_POSEIDONSQL_APPFVT_01_tbl_detalle_fill_rate[[#This Row],[Cumpl Real Unds]]-Tabla__192.168.1.8_POSEIDONSQL_APPFVT_01_tbl_detalle_fill_rate[[#This Row],[Cant Embarcada]]</f>
        <v>0</v>
      </c>
      <c r="S621" s="1">
        <f>+IF(Tabla__192.168.1.8_POSEIDONSQL_APPFVT_01_tbl_detalle_fill_rate[[#This Row],[Pend Emb]]&gt;0,1,0)</f>
        <v>0</v>
      </c>
      <c r="T6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2" spans="1:20" x14ac:dyDescent="0.25">
      <c r="A622">
        <v>9</v>
      </c>
      <c r="B622" t="s">
        <v>48</v>
      </c>
      <c r="C622">
        <v>9190819</v>
      </c>
      <c r="D622" s="48">
        <v>43339</v>
      </c>
      <c r="E622" s="48">
        <v>43339</v>
      </c>
      <c r="F622" s="48">
        <v>43346</v>
      </c>
      <c r="G622" t="s">
        <v>70</v>
      </c>
      <c r="H622" t="s">
        <v>71</v>
      </c>
      <c r="I622">
        <v>1</v>
      </c>
      <c r="J622" t="s">
        <v>753</v>
      </c>
      <c r="K622">
        <v>1</v>
      </c>
      <c r="L622">
        <v>1</v>
      </c>
      <c r="M622" t="s">
        <v>1963</v>
      </c>
      <c r="N622">
        <v>0</v>
      </c>
      <c r="O622" s="1">
        <f>+Tabla__192.168.1.8_POSEIDONSQL_APPFVT_01_tbl_detalle_fill_rate[[#This Row],[emb_cantidad]]-Tabla__192.168.1.8_POSEIDONSQL_APPFVT_01_tbl_detalle_fill_rate[[#This Row],[dev_cantidad]]</f>
        <v>1</v>
      </c>
      <c r="P6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2" s="1">
        <f>+Tabla__192.168.1.8_POSEIDONSQL_APPFVT_01_tbl_detalle_fill_rate[[#This Row],[Cumpl Real Unds]]-Tabla__192.168.1.8_POSEIDONSQL_APPFVT_01_tbl_detalle_fill_rate[[#This Row],[Cant Embarcada]]</f>
        <v>0</v>
      </c>
      <c r="S622" s="1">
        <f>+IF(Tabla__192.168.1.8_POSEIDONSQL_APPFVT_01_tbl_detalle_fill_rate[[#This Row],[Pend Emb]]&gt;0,1,0)</f>
        <v>0</v>
      </c>
      <c r="T6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3" spans="1:20" x14ac:dyDescent="0.25">
      <c r="A623">
        <v>9</v>
      </c>
      <c r="B623" t="s">
        <v>48</v>
      </c>
      <c r="C623">
        <v>9190819</v>
      </c>
      <c r="D623" s="48">
        <v>43339</v>
      </c>
      <c r="E623" s="48">
        <v>43339</v>
      </c>
      <c r="F623" s="48">
        <v>43350</v>
      </c>
      <c r="G623" t="s">
        <v>92</v>
      </c>
      <c r="H623" t="s">
        <v>93</v>
      </c>
      <c r="I623">
        <v>1</v>
      </c>
      <c r="J623" t="s">
        <v>1395</v>
      </c>
      <c r="K623">
        <v>1</v>
      </c>
      <c r="L623">
        <v>1</v>
      </c>
      <c r="M623" t="s">
        <v>1969</v>
      </c>
      <c r="N623">
        <v>0</v>
      </c>
      <c r="O623" s="1">
        <f>+Tabla__192.168.1.8_POSEIDONSQL_APPFVT_01_tbl_detalle_fill_rate[[#This Row],[emb_cantidad]]-Tabla__192.168.1.8_POSEIDONSQL_APPFVT_01_tbl_detalle_fill_rate[[#This Row],[dev_cantidad]]</f>
        <v>1</v>
      </c>
      <c r="P6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3" s="1">
        <f>+Tabla__192.168.1.8_POSEIDONSQL_APPFVT_01_tbl_detalle_fill_rate[[#This Row],[Cumpl Real Unds]]-Tabla__192.168.1.8_POSEIDONSQL_APPFVT_01_tbl_detalle_fill_rate[[#This Row],[Cant Embarcada]]</f>
        <v>0</v>
      </c>
      <c r="S623" s="1">
        <f>+IF(Tabla__192.168.1.8_POSEIDONSQL_APPFVT_01_tbl_detalle_fill_rate[[#This Row],[Pend Emb]]&gt;0,1,0)</f>
        <v>0</v>
      </c>
      <c r="T6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4" spans="1:20" x14ac:dyDescent="0.25">
      <c r="A624">
        <v>9</v>
      </c>
      <c r="B624" t="s">
        <v>48</v>
      </c>
      <c r="C624">
        <v>9190819</v>
      </c>
      <c r="D624" s="48">
        <v>43339</v>
      </c>
      <c r="E624" s="48">
        <v>43338</v>
      </c>
      <c r="F624" s="48">
        <v>43346</v>
      </c>
      <c r="G624" t="s">
        <v>96</v>
      </c>
      <c r="H624" t="s">
        <v>97</v>
      </c>
      <c r="I624">
        <v>1</v>
      </c>
      <c r="J624" t="s">
        <v>752</v>
      </c>
      <c r="K624">
        <v>1</v>
      </c>
      <c r="L624">
        <v>1</v>
      </c>
      <c r="M624" t="s">
        <v>1963</v>
      </c>
      <c r="N624">
        <v>0</v>
      </c>
      <c r="O624" s="1">
        <f>+Tabla__192.168.1.8_POSEIDONSQL_APPFVT_01_tbl_detalle_fill_rate[[#This Row],[emb_cantidad]]-Tabla__192.168.1.8_POSEIDONSQL_APPFVT_01_tbl_detalle_fill_rate[[#This Row],[dev_cantidad]]</f>
        <v>1</v>
      </c>
      <c r="P6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4" s="1">
        <f>+Tabla__192.168.1.8_POSEIDONSQL_APPFVT_01_tbl_detalle_fill_rate[[#This Row],[Cumpl Real Unds]]-Tabla__192.168.1.8_POSEIDONSQL_APPFVT_01_tbl_detalle_fill_rate[[#This Row],[Cant Embarcada]]</f>
        <v>0</v>
      </c>
      <c r="S624" s="1">
        <f>+IF(Tabla__192.168.1.8_POSEIDONSQL_APPFVT_01_tbl_detalle_fill_rate[[#This Row],[Pend Emb]]&gt;0,1,0)</f>
        <v>0</v>
      </c>
      <c r="T6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5" spans="1:20" x14ac:dyDescent="0.25">
      <c r="A625">
        <v>9</v>
      </c>
      <c r="B625" t="s">
        <v>48</v>
      </c>
      <c r="C625">
        <v>9190819</v>
      </c>
      <c r="D625" s="48">
        <v>43339</v>
      </c>
      <c r="E625" s="48">
        <v>43339</v>
      </c>
      <c r="F625" s="48">
        <v>43346</v>
      </c>
      <c r="G625" t="s">
        <v>96</v>
      </c>
      <c r="H625" t="s">
        <v>97</v>
      </c>
      <c r="I625">
        <v>1</v>
      </c>
      <c r="J625" t="s">
        <v>755</v>
      </c>
      <c r="K625">
        <v>1</v>
      </c>
      <c r="L625">
        <v>1</v>
      </c>
      <c r="M625" t="s">
        <v>1963</v>
      </c>
      <c r="N625">
        <v>0</v>
      </c>
      <c r="O625" s="1">
        <f>+Tabla__192.168.1.8_POSEIDONSQL_APPFVT_01_tbl_detalle_fill_rate[[#This Row],[emb_cantidad]]-Tabla__192.168.1.8_POSEIDONSQL_APPFVT_01_tbl_detalle_fill_rate[[#This Row],[dev_cantidad]]</f>
        <v>1</v>
      </c>
      <c r="P6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5" s="1">
        <f>+Tabla__192.168.1.8_POSEIDONSQL_APPFVT_01_tbl_detalle_fill_rate[[#This Row],[Cumpl Real Unds]]-Tabla__192.168.1.8_POSEIDONSQL_APPFVT_01_tbl_detalle_fill_rate[[#This Row],[Cant Embarcada]]</f>
        <v>0</v>
      </c>
      <c r="S625" s="1">
        <f>+IF(Tabla__192.168.1.8_POSEIDONSQL_APPFVT_01_tbl_detalle_fill_rate[[#This Row],[Pend Emb]]&gt;0,1,0)</f>
        <v>0</v>
      </c>
      <c r="T6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6" spans="1:20" x14ac:dyDescent="0.25">
      <c r="A626">
        <v>9</v>
      </c>
      <c r="B626" t="s">
        <v>48</v>
      </c>
      <c r="C626">
        <v>9190819</v>
      </c>
      <c r="D626" s="48">
        <v>43339</v>
      </c>
      <c r="E626" s="48">
        <v>43338</v>
      </c>
      <c r="F626" s="48">
        <v>43348</v>
      </c>
      <c r="G626" t="s">
        <v>261</v>
      </c>
      <c r="H626" t="s">
        <v>262</v>
      </c>
      <c r="I626">
        <v>1</v>
      </c>
      <c r="J626" t="s">
        <v>1084</v>
      </c>
      <c r="K626">
        <v>1</v>
      </c>
      <c r="L626">
        <v>1</v>
      </c>
      <c r="M626" t="s">
        <v>160</v>
      </c>
      <c r="N626">
        <v>0</v>
      </c>
      <c r="O626" s="1">
        <f>+Tabla__192.168.1.8_POSEIDONSQL_APPFVT_01_tbl_detalle_fill_rate[[#This Row],[emb_cantidad]]-Tabla__192.168.1.8_POSEIDONSQL_APPFVT_01_tbl_detalle_fill_rate[[#This Row],[dev_cantidad]]</f>
        <v>1</v>
      </c>
      <c r="P6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6" s="1">
        <f>+Tabla__192.168.1.8_POSEIDONSQL_APPFVT_01_tbl_detalle_fill_rate[[#This Row],[Cumpl Real Unds]]-Tabla__192.168.1.8_POSEIDONSQL_APPFVT_01_tbl_detalle_fill_rate[[#This Row],[Cant Embarcada]]</f>
        <v>0</v>
      </c>
      <c r="S626" s="1">
        <f>+IF(Tabla__192.168.1.8_POSEIDONSQL_APPFVT_01_tbl_detalle_fill_rate[[#This Row],[Pend Emb]]&gt;0,1,0)</f>
        <v>0</v>
      </c>
      <c r="T6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7" spans="1:20" x14ac:dyDescent="0.25">
      <c r="A627">
        <v>9</v>
      </c>
      <c r="B627" t="s">
        <v>48</v>
      </c>
      <c r="C627">
        <v>9190819</v>
      </c>
      <c r="D627" s="48">
        <v>43339</v>
      </c>
      <c r="E627" s="48">
        <v>43339</v>
      </c>
      <c r="F627" s="48">
        <v>43346</v>
      </c>
      <c r="G627" t="s">
        <v>108</v>
      </c>
      <c r="H627" t="s">
        <v>109</v>
      </c>
      <c r="I627">
        <v>1</v>
      </c>
      <c r="J627" t="s">
        <v>754</v>
      </c>
      <c r="K627">
        <v>1</v>
      </c>
      <c r="L627">
        <v>1</v>
      </c>
      <c r="M627" t="s">
        <v>1963</v>
      </c>
      <c r="N627">
        <v>0</v>
      </c>
      <c r="O627" s="1">
        <f>+Tabla__192.168.1.8_POSEIDONSQL_APPFVT_01_tbl_detalle_fill_rate[[#This Row],[emb_cantidad]]-Tabla__192.168.1.8_POSEIDONSQL_APPFVT_01_tbl_detalle_fill_rate[[#This Row],[dev_cantidad]]</f>
        <v>1</v>
      </c>
      <c r="P6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7" s="1">
        <f>+Tabla__192.168.1.8_POSEIDONSQL_APPFVT_01_tbl_detalle_fill_rate[[#This Row],[Cumpl Real Unds]]-Tabla__192.168.1.8_POSEIDONSQL_APPFVT_01_tbl_detalle_fill_rate[[#This Row],[Cant Embarcada]]</f>
        <v>0</v>
      </c>
      <c r="S627" s="1">
        <f>+IF(Tabla__192.168.1.8_POSEIDONSQL_APPFVT_01_tbl_detalle_fill_rate[[#This Row],[Pend Emb]]&gt;0,1,0)</f>
        <v>0</v>
      </c>
      <c r="T6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8" spans="1:20" x14ac:dyDescent="0.25">
      <c r="A628">
        <v>9</v>
      </c>
      <c r="B628" t="s">
        <v>48</v>
      </c>
      <c r="C628">
        <v>9190935</v>
      </c>
      <c r="D628" s="48">
        <v>43340</v>
      </c>
      <c r="E628" s="48">
        <v>43339</v>
      </c>
      <c r="F628" s="48">
        <v>43346</v>
      </c>
      <c r="G628" t="s">
        <v>736</v>
      </c>
      <c r="H628" t="s">
        <v>737</v>
      </c>
      <c r="I628">
        <v>1</v>
      </c>
      <c r="J628" t="s">
        <v>1385</v>
      </c>
      <c r="K628">
        <v>0</v>
      </c>
      <c r="L628">
        <v>0</v>
      </c>
      <c r="M628" t="s">
        <v>12</v>
      </c>
      <c r="N628">
        <v>0</v>
      </c>
      <c r="O628" s="1">
        <f>+Tabla__192.168.1.8_POSEIDONSQL_APPFVT_01_tbl_detalle_fill_rate[[#This Row],[emb_cantidad]]-Tabla__192.168.1.8_POSEIDONSQL_APPFVT_01_tbl_detalle_fill_rate[[#This Row],[dev_cantidad]]</f>
        <v>0</v>
      </c>
      <c r="P6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628" s="1">
        <f>+Tabla__192.168.1.8_POSEIDONSQL_APPFVT_01_tbl_detalle_fill_rate[[#This Row],[Cumpl Real Unds]]-Tabla__192.168.1.8_POSEIDONSQL_APPFVT_01_tbl_detalle_fill_rate[[#This Row],[Cant Embarcada]]</f>
        <v>0</v>
      </c>
      <c r="S628" s="1">
        <f>+IF(Tabla__192.168.1.8_POSEIDONSQL_APPFVT_01_tbl_detalle_fill_rate[[#This Row],[Pend Emb]]&gt;0,1,0)</f>
        <v>0</v>
      </c>
      <c r="T6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29" spans="1:20" x14ac:dyDescent="0.25">
      <c r="A629">
        <v>9</v>
      </c>
      <c r="B629" t="s">
        <v>48</v>
      </c>
      <c r="C629">
        <v>9190935</v>
      </c>
      <c r="D629" s="48">
        <v>43340</v>
      </c>
      <c r="E629" s="48">
        <v>43339</v>
      </c>
      <c r="F629" s="48">
        <v>43346</v>
      </c>
      <c r="G629" t="s">
        <v>108</v>
      </c>
      <c r="H629" t="s">
        <v>109</v>
      </c>
      <c r="I629">
        <v>1</v>
      </c>
      <c r="J629" t="s">
        <v>1387</v>
      </c>
      <c r="K629">
        <v>1</v>
      </c>
      <c r="L629">
        <v>1</v>
      </c>
      <c r="M629" t="s">
        <v>1963</v>
      </c>
      <c r="N629">
        <v>0</v>
      </c>
      <c r="O629" s="1">
        <f>+Tabla__192.168.1.8_POSEIDONSQL_APPFVT_01_tbl_detalle_fill_rate[[#This Row],[emb_cantidad]]-Tabla__192.168.1.8_POSEIDONSQL_APPFVT_01_tbl_detalle_fill_rate[[#This Row],[dev_cantidad]]</f>
        <v>1</v>
      </c>
      <c r="P6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29" s="1">
        <f>+Tabla__192.168.1.8_POSEIDONSQL_APPFVT_01_tbl_detalle_fill_rate[[#This Row],[Cumpl Real Unds]]-Tabla__192.168.1.8_POSEIDONSQL_APPFVT_01_tbl_detalle_fill_rate[[#This Row],[Cant Embarcada]]</f>
        <v>0</v>
      </c>
      <c r="S629" s="1">
        <f>+IF(Tabla__192.168.1.8_POSEIDONSQL_APPFVT_01_tbl_detalle_fill_rate[[#This Row],[Pend Emb]]&gt;0,1,0)</f>
        <v>0</v>
      </c>
      <c r="T6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0" spans="1:20" x14ac:dyDescent="0.25">
      <c r="A630">
        <v>9</v>
      </c>
      <c r="B630" t="s">
        <v>48</v>
      </c>
      <c r="C630">
        <v>9190935</v>
      </c>
      <c r="D630" s="48">
        <v>43340</v>
      </c>
      <c r="E630" s="48">
        <v>43339</v>
      </c>
      <c r="F630" s="48">
        <v>43346</v>
      </c>
      <c r="G630" t="s">
        <v>259</v>
      </c>
      <c r="H630" t="s">
        <v>260</v>
      </c>
      <c r="I630">
        <v>2</v>
      </c>
      <c r="J630" t="s">
        <v>1386</v>
      </c>
      <c r="K630">
        <v>2</v>
      </c>
      <c r="L630">
        <v>2</v>
      </c>
      <c r="M630" t="s">
        <v>1963</v>
      </c>
      <c r="N630">
        <v>0</v>
      </c>
      <c r="O630" s="1">
        <f>+Tabla__192.168.1.8_POSEIDONSQL_APPFVT_01_tbl_detalle_fill_rate[[#This Row],[emb_cantidad]]-Tabla__192.168.1.8_POSEIDONSQL_APPFVT_01_tbl_detalle_fill_rate[[#This Row],[dev_cantidad]]</f>
        <v>2</v>
      </c>
      <c r="P6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630" s="1">
        <f>+Tabla__192.168.1.8_POSEIDONSQL_APPFVT_01_tbl_detalle_fill_rate[[#This Row],[Cumpl Real Unds]]-Tabla__192.168.1.8_POSEIDONSQL_APPFVT_01_tbl_detalle_fill_rate[[#This Row],[Cant Embarcada]]</f>
        <v>0</v>
      </c>
      <c r="S630" s="1">
        <f>+IF(Tabla__192.168.1.8_POSEIDONSQL_APPFVT_01_tbl_detalle_fill_rate[[#This Row],[Pend Emb]]&gt;0,1,0)</f>
        <v>0</v>
      </c>
      <c r="T6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1" spans="1:20" x14ac:dyDescent="0.25">
      <c r="A631">
        <v>9</v>
      </c>
      <c r="B631" t="s">
        <v>48</v>
      </c>
      <c r="C631">
        <v>9190968</v>
      </c>
      <c r="D631" s="48">
        <v>43340</v>
      </c>
      <c r="E631" s="48">
        <v>43339</v>
      </c>
      <c r="F631" s="48">
        <v>43346</v>
      </c>
      <c r="G631" t="s">
        <v>70</v>
      </c>
      <c r="H631" t="s">
        <v>71</v>
      </c>
      <c r="I631">
        <v>1</v>
      </c>
      <c r="J631" t="s">
        <v>1388</v>
      </c>
      <c r="K631">
        <v>1</v>
      </c>
      <c r="L631">
        <v>1</v>
      </c>
      <c r="M631" t="s">
        <v>1963</v>
      </c>
      <c r="N631">
        <v>0</v>
      </c>
      <c r="O631" s="1">
        <f>+Tabla__192.168.1.8_POSEIDONSQL_APPFVT_01_tbl_detalle_fill_rate[[#This Row],[emb_cantidad]]-Tabla__192.168.1.8_POSEIDONSQL_APPFVT_01_tbl_detalle_fill_rate[[#This Row],[dev_cantidad]]</f>
        <v>1</v>
      </c>
      <c r="P6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1" s="1">
        <f>+Tabla__192.168.1.8_POSEIDONSQL_APPFVT_01_tbl_detalle_fill_rate[[#This Row],[Cumpl Real Unds]]-Tabla__192.168.1.8_POSEIDONSQL_APPFVT_01_tbl_detalle_fill_rate[[#This Row],[Cant Embarcada]]</f>
        <v>0</v>
      </c>
      <c r="S631" s="1">
        <f>+IF(Tabla__192.168.1.8_POSEIDONSQL_APPFVT_01_tbl_detalle_fill_rate[[#This Row],[Pend Emb]]&gt;0,1,0)</f>
        <v>0</v>
      </c>
      <c r="T6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2" spans="1:20" x14ac:dyDescent="0.25">
      <c r="A632">
        <v>9</v>
      </c>
      <c r="B632" t="s">
        <v>48</v>
      </c>
      <c r="C632">
        <v>9190968</v>
      </c>
      <c r="D632" s="48">
        <v>43340</v>
      </c>
      <c r="E632" s="48">
        <v>43339</v>
      </c>
      <c r="F632" s="48">
        <v>43346</v>
      </c>
      <c r="G632" t="s">
        <v>736</v>
      </c>
      <c r="H632" t="s">
        <v>737</v>
      </c>
      <c r="I632">
        <v>1</v>
      </c>
      <c r="J632" t="s">
        <v>1389</v>
      </c>
      <c r="K632">
        <v>1</v>
      </c>
      <c r="L632">
        <v>1</v>
      </c>
      <c r="M632" t="s">
        <v>1963</v>
      </c>
      <c r="N632">
        <v>0</v>
      </c>
      <c r="O632" s="1">
        <f>+Tabla__192.168.1.8_POSEIDONSQL_APPFVT_01_tbl_detalle_fill_rate[[#This Row],[emb_cantidad]]-Tabla__192.168.1.8_POSEIDONSQL_APPFVT_01_tbl_detalle_fill_rate[[#This Row],[dev_cantidad]]</f>
        <v>1</v>
      </c>
      <c r="P6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2" s="1">
        <f>+Tabla__192.168.1.8_POSEIDONSQL_APPFVT_01_tbl_detalle_fill_rate[[#This Row],[Cumpl Real Unds]]-Tabla__192.168.1.8_POSEIDONSQL_APPFVT_01_tbl_detalle_fill_rate[[#This Row],[Cant Embarcada]]</f>
        <v>0</v>
      </c>
      <c r="S632" s="1">
        <f>+IF(Tabla__192.168.1.8_POSEIDONSQL_APPFVT_01_tbl_detalle_fill_rate[[#This Row],[Pend Emb]]&gt;0,1,0)</f>
        <v>0</v>
      </c>
      <c r="T6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3" spans="1:20" x14ac:dyDescent="0.25">
      <c r="A633">
        <v>9</v>
      </c>
      <c r="B633" t="s">
        <v>48</v>
      </c>
      <c r="C633">
        <v>9190968</v>
      </c>
      <c r="D633" s="48">
        <v>43340</v>
      </c>
      <c r="E633" s="48">
        <v>43339</v>
      </c>
      <c r="F633" s="48">
        <v>43346</v>
      </c>
      <c r="G633" t="s">
        <v>104</v>
      </c>
      <c r="H633" t="s">
        <v>105</v>
      </c>
      <c r="I633">
        <v>1</v>
      </c>
      <c r="J633" t="s">
        <v>1390</v>
      </c>
      <c r="K633">
        <v>1</v>
      </c>
      <c r="L633">
        <v>1</v>
      </c>
      <c r="M633" t="s">
        <v>1963</v>
      </c>
      <c r="N633">
        <v>0</v>
      </c>
      <c r="O633" s="1">
        <f>+Tabla__192.168.1.8_POSEIDONSQL_APPFVT_01_tbl_detalle_fill_rate[[#This Row],[emb_cantidad]]-Tabla__192.168.1.8_POSEIDONSQL_APPFVT_01_tbl_detalle_fill_rate[[#This Row],[dev_cantidad]]</f>
        <v>1</v>
      </c>
      <c r="P6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3" s="1">
        <f>+Tabla__192.168.1.8_POSEIDONSQL_APPFVT_01_tbl_detalle_fill_rate[[#This Row],[Cumpl Real Unds]]-Tabla__192.168.1.8_POSEIDONSQL_APPFVT_01_tbl_detalle_fill_rate[[#This Row],[Cant Embarcada]]</f>
        <v>0</v>
      </c>
      <c r="S633" s="1">
        <f>+IF(Tabla__192.168.1.8_POSEIDONSQL_APPFVT_01_tbl_detalle_fill_rate[[#This Row],[Pend Emb]]&gt;0,1,0)</f>
        <v>0</v>
      </c>
      <c r="T6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4" spans="1:20" x14ac:dyDescent="0.25">
      <c r="A634">
        <v>9</v>
      </c>
      <c r="B634" t="s">
        <v>48</v>
      </c>
      <c r="C634">
        <v>9191001</v>
      </c>
      <c r="D634" s="48">
        <v>43340</v>
      </c>
      <c r="E634" s="48">
        <v>43339</v>
      </c>
      <c r="F634" s="48">
        <v>43348</v>
      </c>
      <c r="G634" t="s">
        <v>446</v>
      </c>
      <c r="H634" t="s">
        <v>447</v>
      </c>
      <c r="I634">
        <v>1</v>
      </c>
      <c r="J634" t="s">
        <v>1394</v>
      </c>
      <c r="K634">
        <v>1</v>
      </c>
      <c r="L634">
        <v>1</v>
      </c>
      <c r="M634" t="s">
        <v>160</v>
      </c>
      <c r="N634">
        <v>0</v>
      </c>
      <c r="O634" s="1">
        <f>+Tabla__192.168.1.8_POSEIDONSQL_APPFVT_01_tbl_detalle_fill_rate[[#This Row],[emb_cantidad]]-Tabla__192.168.1.8_POSEIDONSQL_APPFVT_01_tbl_detalle_fill_rate[[#This Row],[dev_cantidad]]</f>
        <v>1</v>
      </c>
      <c r="P6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4" s="1">
        <f>+Tabla__192.168.1.8_POSEIDONSQL_APPFVT_01_tbl_detalle_fill_rate[[#This Row],[Cumpl Real Unds]]-Tabla__192.168.1.8_POSEIDONSQL_APPFVT_01_tbl_detalle_fill_rate[[#This Row],[Cant Embarcada]]</f>
        <v>0</v>
      </c>
      <c r="S634" s="1">
        <f>+IF(Tabla__192.168.1.8_POSEIDONSQL_APPFVT_01_tbl_detalle_fill_rate[[#This Row],[Pend Emb]]&gt;0,1,0)</f>
        <v>0</v>
      </c>
      <c r="T6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5" spans="1:20" x14ac:dyDescent="0.25">
      <c r="A635">
        <v>9</v>
      </c>
      <c r="B635" t="s">
        <v>48</v>
      </c>
      <c r="C635">
        <v>9191186</v>
      </c>
      <c r="D635" s="48">
        <v>43340</v>
      </c>
      <c r="E635" s="48">
        <v>43339</v>
      </c>
      <c r="F635" s="48">
        <v>43346</v>
      </c>
      <c r="G635" t="s">
        <v>80</v>
      </c>
      <c r="H635" t="s">
        <v>81</v>
      </c>
      <c r="I635">
        <v>1</v>
      </c>
      <c r="J635" t="s">
        <v>1391</v>
      </c>
      <c r="K635">
        <v>1</v>
      </c>
      <c r="L635">
        <v>1</v>
      </c>
      <c r="M635" t="s">
        <v>1963</v>
      </c>
      <c r="N635">
        <v>0</v>
      </c>
      <c r="O635" s="1">
        <f>+Tabla__192.168.1.8_POSEIDONSQL_APPFVT_01_tbl_detalle_fill_rate[[#This Row],[emb_cantidad]]-Tabla__192.168.1.8_POSEIDONSQL_APPFVT_01_tbl_detalle_fill_rate[[#This Row],[dev_cantidad]]</f>
        <v>1</v>
      </c>
      <c r="P6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5" s="1">
        <f>+Tabla__192.168.1.8_POSEIDONSQL_APPFVT_01_tbl_detalle_fill_rate[[#This Row],[Cumpl Real Unds]]-Tabla__192.168.1.8_POSEIDONSQL_APPFVT_01_tbl_detalle_fill_rate[[#This Row],[Cant Embarcada]]</f>
        <v>0</v>
      </c>
      <c r="S635" s="1">
        <f>+IF(Tabla__192.168.1.8_POSEIDONSQL_APPFVT_01_tbl_detalle_fill_rate[[#This Row],[Pend Emb]]&gt;0,1,0)</f>
        <v>0</v>
      </c>
      <c r="T6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6" spans="1:20" x14ac:dyDescent="0.25">
      <c r="A636">
        <v>9</v>
      </c>
      <c r="B636" t="s">
        <v>48</v>
      </c>
      <c r="C636">
        <v>9191186</v>
      </c>
      <c r="D636" s="48">
        <v>43340</v>
      </c>
      <c r="E636" s="48">
        <v>43339</v>
      </c>
      <c r="F636" s="48">
        <v>43346</v>
      </c>
      <c r="G636" t="s">
        <v>106</v>
      </c>
      <c r="H636" t="s">
        <v>107</v>
      </c>
      <c r="I636">
        <v>1</v>
      </c>
      <c r="J636" t="s">
        <v>1393</v>
      </c>
      <c r="K636">
        <v>1</v>
      </c>
      <c r="L636">
        <v>1</v>
      </c>
      <c r="M636" t="s">
        <v>1963</v>
      </c>
      <c r="N636">
        <v>0</v>
      </c>
      <c r="O636" s="1">
        <f>+Tabla__192.168.1.8_POSEIDONSQL_APPFVT_01_tbl_detalle_fill_rate[[#This Row],[emb_cantidad]]-Tabla__192.168.1.8_POSEIDONSQL_APPFVT_01_tbl_detalle_fill_rate[[#This Row],[dev_cantidad]]</f>
        <v>1</v>
      </c>
      <c r="P6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6" s="1">
        <f>+Tabla__192.168.1.8_POSEIDONSQL_APPFVT_01_tbl_detalle_fill_rate[[#This Row],[Cumpl Real Unds]]-Tabla__192.168.1.8_POSEIDONSQL_APPFVT_01_tbl_detalle_fill_rate[[#This Row],[Cant Embarcada]]</f>
        <v>0</v>
      </c>
      <c r="S636" s="1">
        <f>+IF(Tabla__192.168.1.8_POSEIDONSQL_APPFVT_01_tbl_detalle_fill_rate[[#This Row],[Pend Emb]]&gt;0,1,0)</f>
        <v>0</v>
      </c>
      <c r="T6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7" spans="1:20" x14ac:dyDescent="0.25">
      <c r="A637">
        <v>9</v>
      </c>
      <c r="B637" t="s">
        <v>48</v>
      </c>
      <c r="C637">
        <v>9191186</v>
      </c>
      <c r="D637" s="48">
        <v>43340</v>
      </c>
      <c r="E637" s="48">
        <v>43339</v>
      </c>
      <c r="F637" s="48">
        <v>43346</v>
      </c>
      <c r="G637" t="s">
        <v>114</v>
      </c>
      <c r="H637" t="s">
        <v>115</v>
      </c>
      <c r="I637">
        <v>1</v>
      </c>
      <c r="J637" t="s">
        <v>1392</v>
      </c>
      <c r="K637">
        <v>1</v>
      </c>
      <c r="L637">
        <v>1</v>
      </c>
      <c r="M637" t="s">
        <v>1963</v>
      </c>
      <c r="N637">
        <v>0</v>
      </c>
      <c r="O637" s="1">
        <f>+Tabla__192.168.1.8_POSEIDONSQL_APPFVT_01_tbl_detalle_fill_rate[[#This Row],[emb_cantidad]]-Tabla__192.168.1.8_POSEIDONSQL_APPFVT_01_tbl_detalle_fill_rate[[#This Row],[dev_cantidad]]</f>
        <v>1</v>
      </c>
      <c r="P6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7" s="1">
        <f>+Tabla__192.168.1.8_POSEIDONSQL_APPFVT_01_tbl_detalle_fill_rate[[#This Row],[Cumpl Real Unds]]-Tabla__192.168.1.8_POSEIDONSQL_APPFVT_01_tbl_detalle_fill_rate[[#This Row],[Cant Embarcada]]</f>
        <v>0</v>
      </c>
      <c r="S637" s="1">
        <f>+IF(Tabla__192.168.1.8_POSEIDONSQL_APPFVT_01_tbl_detalle_fill_rate[[#This Row],[Pend Emb]]&gt;0,1,0)</f>
        <v>0</v>
      </c>
      <c r="T6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8" spans="1:20" x14ac:dyDescent="0.25">
      <c r="A638">
        <v>9</v>
      </c>
      <c r="B638" t="s">
        <v>48</v>
      </c>
      <c r="C638">
        <v>9191186</v>
      </c>
      <c r="D638" s="48">
        <v>43340</v>
      </c>
      <c r="E638" s="48">
        <v>43339</v>
      </c>
      <c r="F638" s="48">
        <v>43341</v>
      </c>
      <c r="G638" t="s">
        <v>146</v>
      </c>
      <c r="H638" t="s">
        <v>147</v>
      </c>
      <c r="I638">
        <v>1</v>
      </c>
      <c r="J638" t="s">
        <v>1241</v>
      </c>
      <c r="K638">
        <v>1</v>
      </c>
      <c r="L638">
        <v>1</v>
      </c>
      <c r="M638" t="s">
        <v>1980</v>
      </c>
      <c r="N638">
        <v>0</v>
      </c>
      <c r="O638" s="1">
        <f>+Tabla__192.168.1.8_POSEIDONSQL_APPFVT_01_tbl_detalle_fill_rate[[#This Row],[emb_cantidad]]-Tabla__192.168.1.8_POSEIDONSQL_APPFVT_01_tbl_detalle_fill_rate[[#This Row],[dev_cantidad]]</f>
        <v>1</v>
      </c>
      <c r="P6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8" s="1">
        <f>+Tabla__192.168.1.8_POSEIDONSQL_APPFVT_01_tbl_detalle_fill_rate[[#This Row],[Cumpl Real Unds]]-Tabla__192.168.1.8_POSEIDONSQL_APPFVT_01_tbl_detalle_fill_rate[[#This Row],[Cant Embarcada]]</f>
        <v>0</v>
      </c>
      <c r="S638" s="1">
        <f>+IF(Tabla__192.168.1.8_POSEIDONSQL_APPFVT_01_tbl_detalle_fill_rate[[#This Row],[Pend Emb]]&gt;0,1,0)</f>
        <v>0</v>
      </c>
      <c r="T6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39" spans="1:20" x14ac:dyDescent="0.25">
      <c r="A639">
        <v>9</v>
      </c>
      <c r="B639" t="s">
        <v>48</v>
      </c>
      <c r="C639">
        <v>9191325</v>
      </c>
      <c r="D639" s="48">
        <v>43340</v>
      </c>
      <c r="E639" s="48">
        <v>43339</v>
      </c>
      <c r="F639" s="48">
        <v>43341</v>
      </c>
      <c r="G639" t="s">
        <v>146</v>
      </c>
      <c r="H639" t="s">
        <v>147</v>
      </c>
      <c r="I639">
        <v>1</v>
      </c>
      <c r="J639" t="s">
        <v>1240</v>
      </c>
      <c r="K639">
        <v>1</v>
      </c>
      <c r="L639">
        <v>1</v>
      </c>
      <c r="M639" t="s">
        <v>1980</v>
      </c>
      <c r="N639">
        <v>0</v>
      </c>
      <c r="O639" s="1">
        <f>+Tabla__192.168.1.8_POSEIDONSQL_APPFVT_01_tbl_detalle_fill_rate[[#This Row],[emb_cantidad]]-Tabla__192.168.1.8_POSEIDONSQL_APPFVT_01_tbl_detalle_fill_rate[[#This Row],[dev_cantidad]]</f>
        <v>1</v>
      </c>
      <c r="P6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39" s="1">
        <f>+Tabla__192.168.1.8_POSEIDONSQL_APPFVT_01_tbl_detalle_fill_rate[[#This Row],[Cumpl Real Unds]]-Tabla__192.168.1.8_POSEIDONSQL_APPFVT_01_tbl_detalle_fill_rate[[#This Row],[Cant Embarcada]]</f>
        <v>0</v>
      </c>
      <c r="S639" s="1">
        <f>+IF(Tabla__192.168.1.8_POSEIDONSQL_APPFVT_01_tbl_detalle_fill_rate[[#This Row],[Pend Emb]]&gt;0,1,0)</f>
        <v>0</v>
      </c>
      <c r="T6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0" spans="1:20" x14ac:dyDescent="0.25">
      <c r="A640">
        <v>9</v>
      </c>
      <c r="B640" t="s">
        <v>48</v>
      </c>
      <c r="C640">
        <v>9191389</v>
      </c>
      <c r="D640" s="48">
        <v>43340</v>
      </c>
      <c r="E640" s="48">
        <v>43339</v>
      </c>
      <c r="F640" s="48">
        <v>43346</v>
      </c>
      <c r="G640" t="s">
        <v>269</v>
      </c>
      <c r="H640" t="s">
        <v>270</v>
      </c>
      <c r="I640">
        <v>1</v>
      </c>
      <c r="J640" t="s">
        <v>1384</v>
      </c>
      <c r="K640">
        <v>1</v>
      </c>
      <c r="L640">
        <v>1</v>
      </c>
      <c r="M640" t="s">
        <v>1963</v>
      </c>
      <c r="N640">
        <v>0</v>
      </c>
      <c r="O640" s="1">
        <f>+Tabla__192.168.1.8_POSEIDONSQL_APPFVT_01_tbl_detalle_fill_rate[[#This Row],[emb_cantidad]]-Tabla__192.168.1.8_POSEIDONSQL_APPFVT_01_tbl_detalle_fill_rate[[#This Row],[dev_cantidad]]</f>
        <v>1</v>
      </c>
      <c r="P6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40" s="1">
        <f>+Tabla__192.168.1.8_POSEIDONSQL_APPFVT_01_tbl_detalle_fill_rate[[#This Row],[Cumpl Real Unds]]-Tabla__192.168.1.8_POSEIDONSQL_APPFVT_01_tbl_detalle_fill_rate[[#This Row],[Cant Embarcada]]</f>
        <v>0</v>
      </c>
      <c r="S640" s="1">
        <f>+IF(Tabla__192.168.1.8_POSEIDONSQL_APPFVT_01_tbl_detalle_fill_rate[[#This Row],[Pend Emb]]&gt;0,1,0)</f>
        <v>0</v>
      </c>
      <c r="T6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1" spans="1:20" x14ac:dyDescent="0.25">
      <c r="A641">
        <v>9</v>
      </c>
      <c r="B641" t="s">
        <v>48</v>
      </c>
      <c r="C641">
        <v>9191641</v>
      </c>
      <c r="D641" s="48">
        <v>43341</v>
      </c>
      <c r="E641" s="48">
        <v>43340</v>
      </c>
      <c r="F641" s="48">
        <v>43348</v>
      </c>
      <c r="G641" t="s">
        <v>96</v>
      </c>
      <c r="H641" t="s">
        <v>97</v>
      </c>
      <c r="I641">
        <v>1</v>
      </c>
      <c r="J641" t="s">
        <v>1792</v>
      </c>
      <c r="K641">
        <v>1</v>
      </c>
      <c r="L641">
        <v>1</v>
      </c>
      <c r="M641" t="s">
        <v>160</v>
      </c>
      <c r="N641">
        <v>0</v>
      </c>
      <c r="O641" s="1">
        <f>+Tabla__192.168.1.8_POSEIDONSQL_APPFVT_01_tbl_detalle_fill_rate[[#This Row],[emb_cantidad]]-Tabla__192.168.1.8_POSEIDONSQL_APPFVT_01_tbl_detalle_fill_rate[[#This Row],[dev_cantidad]]</f>
        <v>1</v>
      </c>
      <c r="P6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41" s="1">
        <f>+Tabla__192.168.1.8_POSEIDONSQL_APPFVT_01_tbl_detalle_fill_rate[[#This Row],[Cumpl Real Unds]]-Tabla__192.168.1.8_POSEIDONSQL_APPFVT_01_tbl_detalle_fill_rate[[#This Row],[Cant Embarcada]]</f>
        <v>0</v>
      </c>
      <c r="S641" s="1">
        <f>+IF(Tabla__192.168.1.8_POSEIDONSQL_APPFVT_01_tbl_detalle_fill_rate[[#This Row],[Pend Emb]]&gt;0,1,0)</f>
        <v>0</v>
      </c>
      <c r="T6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2" spans="1:20" x14ac:dyDescent="0.25">
      <c r="A642">
        <v>9</v>
      </c>
      <c r="B642" t="s">
        <v>48</v>
      </c>
      <c r="C642">
        <v>9191641</v>
      </c>
      <c r="D642" s="48">
        <v>43341</v>
      </c>
      <c r="E642" s="48">
        <v>43340</v>
      </c>
      <c r="F642" s="48">
        <v>43346</v>
      </c>
      <c r="G642" t="s">
        <v>114</v>
      </c>
      <c r="H642" t="s">
        <v>115</v>
      </c>
      <c r="I642">
        <v>1</v>
      </c>
      <c r="J642" t="s">
        <v>1786</v>
      </c>
      <c r="K642">
        <v>1</v>
      </c>
      <c r="L642">
        <v>1</v>
      </c>
      <c r="M642" t="s">
        <v>1963</v>
      </c>
      <c r="N642">
        <v>0</v>
      </c>
      <c r="O642" s="1">
        <f>+Tabla__192.168.1.8_POSEIDONSQL_APPFVT_01_tbl_detalle_fill_rate[[#This Row],[emb_cantidad]]-Tabla__192.168.1.8_POSEIDONSQL_APPFVT_01_tbl_detalle_fill_rate[[#This Row],[dev_cantidad]]</f>
        <v>1</v>
      </c>
      <c r="P6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42" s="1">
        <f>+Tabla__192.168.1.8_POSEIDONSQL_APPFVT_01_tbl_detalle_fill_rate[[#This Row],[Cumpl Real Unds]]-Tabla__192.168.1.8_POSEIDONSQL_APPFVT_01_tbl_detalle_fill_rate[[#This Row],[Cant Embarcada]]</f>
        <v>0</v>
      </c>
      <c r="S642" s="1">
        <f>+IF(Tabla__192.168.1.8_POSEIDONSQL_APPFVT_01_tbl_detalle_fill_rate[[#This Row],[Pend Emb]]&gt;0,1,0)</f>
        <v>0</v>
      </c>
      <c r="T6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3" spans="1:20" x14ac:dyDescent="0.25">
      <c r="A643">
        <v>8</v>
      </c>
      <c r="B643" t="s">
        <v>10</v>
      </c>
      <c r="C643">
        <v>9450544804</v>
      </c>
      <c r="D643" s="48">
        <v>43339</v>
      </c>
      <c r="E643" s="48">
        <v>43336</v>
      </c>
      <c r="F643" s="48">
        <v>43351</v>
      </c>
      <c r="G643" t="s">
        <v>1590</v>
      </c>
      <c r="H643" t="s">
        <v>1591</v>
      </c>
      <c r="I643">
        <v>20</v>
      </c>
      <c r="J643" t="s">
        <v>1592</v>
      </c>
      <c r="K643">
        <v>20</v>
      </c>
      <c r="L643">
        <v>20</v>
      </c>
      <c r="M643" t="s">
        <v>1962</v>
      </c>
      <c r="N643">
        <v>0</v>
      </c>
      <c r="O643" s="1">
        <f>+Tabla__192.168.1.8_POSEIDONSQL_APPFVT_01_tbl_detalle_fill_rate[[#This Row],[emb_cantidad]]-Tabla__192.168.1.8_POSEIDONSQL_APPFVT_01_tbl_detalle_fill_rate[[#This Row],[dev_cantidad]]</f>
        <v>20</v>
      </c>
      <c r="P6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20</v>
      </c>
      <c r="R643" s="1">
        <f>+Tabla__192.168.1.8_POSEIDONSQL_APPFVT_01_tbl_detalle_fill_rate[[#This Row],[Cumpl Real Unds]]-Tabla__192.168.1.8_POSEIDONSQL_APPFVT_01_tbl_detalle_fill_rate[[#This Row],[Cant Embarcada]]</f>
        <v>0</v>
      </c>
      <c r="S643" s="1">
        <f>+IF(Tabla__192.168.1.8_POSEIDONSQL_APPFVT_01_tbl_detalle_fill_rate[[#This Row],[Pend Emb]]&gt;0,1,0)</f>
        <v>0</v>
      </c>
      <c r="T6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4" spans="1:20" x14ac:dyDescent="0.25">
      <c r="A644">
        <v>8</v>
      </c>
      <c r="B644" t="s">
        <v>10</v>
      </c>
      <c r="C644">
        <v>9450544804</v>
      </c>
      <c r="D644" s="48">
        <v>43339</v>
      </c>
      <c r="E644" s="48">
        <v>43336</v>
      </c>
      <c r="F644" s="48">
        <v>43351</v>
      </c>
      <c r="G644" t="s">
        <v>236</v>
      </c>
      <c r="H644" t="s">
        <v>237</v>
      </c>
      <c r="I644">
        <v>10</v>
      </c>
      <c r="J644" t="s">
        <v>1596</v>
      </c>
      <c r="K644">
        <v>10</v>
      </c>
      <c r="L644">
        <v>10</v>
      </c>
      <c r="M644" t="s">
        <v>1962</v>
      </c>
      <c r="N644">
        <v>0</v>
      </c>
      <c r="O644" s="1">
        <f>+Tabla__192.168.1.8_POSEIDONSQL_APPFVT_01_tbl_detalle_fill_rate[[#This Row],[emb_cantidad]]-Tabla__192.168.1.8_POSEIDONSQL_APPFVT_01_tbl_detalle_fill_rate[[#This Row],[dev_cantidad]]</f>
        <v>10</v>
      </c>
      <c r="P6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644" s="1">
        <f>+Tabla__192.168.1.8_POSEIDONSQL_APPFVT_01_tbl_detalle_fill_rate[[#This Row],[Cumpl Real Unds]]-Tabla__192.168.1.8_POSEIDONSQL_APPFVT_01_tbl_detalle_fill_rate[[#This Row],[Cant Embarcada]]</f>
        <v>0</v>
      </c>
      <c r="S644" s="1">
        <f>+IF(Tabla__192.168.1.8_POSEIDONSQL_APPFVT_01_tbl_detalle_fill_rate[[#This Row],[Pend Emb]]&gt;0,1,0)</f>
        <v>0</v>
      </c>
      <c r="T6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5" spans="1:20" x14ac:dyDescent="0.25">
      <c r="A645">
        <v>8</v>
      </c>
      <c r="B645" t="s">
        <v>10</v>
      </c>
      <c r="C645">
        <v>9450544804</v>
      </c>
      <c r="D645" s="48">
        <v>43339</v>
      </c>
      <c r="E645" s="48">
        <v>43336</v>
      </c>
      <c r="F645" s="48">
        <v>43351</v>
      </c>
      <c r="G645" t="s">
        <v>387</v>
      </c>
      <c r="H645" t="s">
        <v>388</v>
      </c>
      <c r="I645">
        <v>5</v>
      </c>
      <c r="J645" t="s">
        <v>1595</v>
      </c>
      <c r="K645">
        <v>5</v>
      </c>
      <c r="L645">
        <v>5</v>
      </c>
      <c r="M645" t="s">
        <v>1962</v>
      </c>
      <c r="N645">
        <v>0</v>
      </c>
      <c r="O645" s="1">
        <f>+Tabla__192.168.1.8_POSEIDONSQL_APPFVT_01_tbl_detalle_fill_rate[[#This Row],[emb_cantidad]]-Tabla__192.168.1.8_POSEIDONSQL_APPFVT_01_tbl_detalle_fill_rate[[#This Row],[dev_cantidad]]</f>
        <v>5</v>
      </c>
      <c r="P6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645" s="1">
        <f>+Tabla__192.168.1.8_POSEIDONSQL_APPFVT_01_tbl_detalle_fill_rate[[#This Row],[Cumpl Real Unds]]-Tabla__192.168.1.8_POSEIDONSQL_APPFVT_01_tbl_detalle_fill_rate[[#This Row],[Cant Embarcada]]</f>
        <v>0</v>
      </c>
      <c r="S645" s="1">
        <f>+IF(Tabla__192.168.1.8_POSEIDONSQL_APPFVT_01_tbl_detalle_fill_rate[[#This Row],[Pend Emb]]&gt;0,1,0)</f>
        <v>0</v>
      </c>
      <c r="T6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6" spans="1:20" x14ac:dyDescent="0.25">
      <c r="A646">
        <v>8</v>
      </c>
      <c r="B646" t="s">
        <v>10</v>
      </c>
      <c r="C646">
        <v>9450544804</v>
      </c>
      <c r="D646" s="48">
        <v>43339</v>
      </c>
      <c r="E646" s="48">
        <v>43336</v>
      </c>
      <c r="F646" s="48">
        <v>43351</v>
      </c>
      <c r="G646" t="s">
        <v>399</v>
      </c>
      <c r="H646" t="s">
        <v>400</v>
      </c>
      <c r="I646">
        <v>5</v>
      </c>
      <c r="J646" t="s">
        <v>1597</v>
      </c>
      <c r="K646">
        <v>0</v>
      </c>
      <c r="L646">
        <v>0</v>
      </c>
      <c r="M646" t="s">
        <v>1962</v>
      </c>
      <c r="N646">
        <v>0</v>
      </c>
      <c r="O646" s="1">
        <f>+Tabla__192.168.1.8_POSEIDONSQL_APPFVT_01_tbl_detalle_fill_rate[[#This Row],[emb_cantidad]]-Tabla__192.168.1.8_POSEIDONSQL_APPFVT_01_tbl_detalle_fill_rate[[#This Row],[dev_cantidad]]</f>
        <v>0</v>
      </c>
      <c r="P6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646" s="1">
        <f>+Tabla__192.168.1.8_POSEIDONSQL_APPFVT_01_tbl_detalle_fill_rate[[#This Row],[Cumpl Real Unds]]-Tabla__192.168.1.8_POSEIDONSQL_APPFVT_01_tbl_detalle_fill_rate[[#This Row],[Cant Embarcada]]</f>
        <v>0</v>
      </c>
      <c r="S646" s="1">
        <f>+IF(Tabla__192.168.1.8_POSEIDONSQL_APPFVT_01_tbl_detalle_fill_rate[[#This Row],[Pend Emb]]&gt;0,1,0)</f>
        <v>0</v>
      </c>
      <c r="T6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7" spans="1:20" x14ac:dyDescent="0.25">
      <c r="A647">
        <v>8</v>
      </c>
      <c r="B647" t="s">
        <v>10</v>
      </c>
      <c r="C647">
        <v>9450544804</v>
      </c>
      <c r="D647" s="48">
        <v>43339</v>
      </c>
      <c r="E647" s="48">
        <v>43336</v>
      </c>
      <c r="F647" s="48">
        <v>43351</v>
      </c>
      <c r="G647" t="s">
        <v>391</v>
      </c>
      <c r="H647" t="s">
        <v>392</v>
      </c>
      <c r="I647">
        <v>5</v>
      </c>
      <c r="J647" t="s">
        <v>1598</v>
      </c>
      <c r="K647">
        <v>0</v>
      </c>
      <c r="L647">
        <v>0</v>
      </c>
      <c r="M647" t="s">
        <v>1962</v>
      </c>
      <c r="N647">
        <v>0</v>
      </c>
      <c r="O647" s="1">
        <f>+Tabla__192.168.1.8_POSEIDONSQL_APPFVT_01_tbl_detalle_fill_rate[[#This Row],[emb_cantidad]]-Tabla__192.168.1.8_POSEIDONSQL_APPFVT_01_tbl_detalle_fill_rate[[#This Row],[dev_cantidad]]</f>
        <v>0</v>
      </c>
      <c r="P6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647" s="1">
        <f>+Tabla__192.168.1.8_POSEIDONSQL_APPFVT_01_tbl_detalle_fill_rate[[#This Row],[Cumpl Real Unds]]-Tabla__192.168.1.8_POSEIDONSQL_APPFVT_01_tbl_detalle_fill_rate[[#This Row],[Cant Embarcada]]</f>
        <v>0</v>
      </c>
      <c r="S647" s="1">
        <f>+IF(Tabla__192.168.1.8_POSEIDONSQL_APPFVT_01_tbl_detalle_fill_rate[[#This Row],[Pend Emb]]&gt;0,1,0)</f>
        <v>0</v>
      </c>
      <c r="T6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8" spans="1:20" x14ac:dyDescent="0.25">
      <c r="A648">
        <v>8</v>
      </c>
      <c r="B648" t="s">
        <v>10</v>
      </c>
      <c r="C648">
        <v>9450544931</v>
      </c>
      <c r="D648" s="48">
        <v>43340</v>
      </c>
      <c r="E648" s="48">
        <v>43339</v>
      </c>
      <c r="F648" s="48">
        <v>43349</v>
      </c>
      <c r="G648" t="s">
        <v>108</v>
      </c>
      <c r="H648" t="s">
        <v>109</v>
      </c>
      <c r="I648">
        <v>1</v>
      </c>
      <c r="J648" t="s">
        <v>1409</v>
      </c>
      <c r="K648">
        <v>1</v>
      </c>
      <c r="L648">
        <v>1</v>
      </c>
      <c r="M648" t="s">
        <v>1977</v>
      </c>
      <c r="N648">
        <v>0</v>
      </c>
      <c r="O648" s="1">
        <f>+Tabla__192.168.1.8_POSEIDONSQL_APPFVT_01_tbl_detalle_fill_rate[[#This Row],[emb_cantidad]]-Tabla__192.168.1.8_POSEIDONSQL_APPFVT_01_tbl_detalle_fill_rate[[#This Row],[dev_cantidad]]</f>
        <v>1</v>
      </c>
      <c r="P6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48" s="1">
        <f>+Tabla__192.168.1.8_POSEIDONSQL_APPFVT_01_tbl_detalle_fill_rate[[#This Row],[Cumpl Real Unds]]-Tabla__192.168.1.8_POSEIDONSQL_APPFVT_01_tbl_detalle_fill_rate[[#This Row],[Cant Embarcada]]</f>
        <v>0</v>
      </c>
      <c r="S648" s="1">
        <f>+IF(Tabla__192.168.1.8_POSEIDONSQL_APPFVT_01_tbl_detalle_fill_rate[[#This Row],[Pend Emb]]&gt;0,1,0)</f>
        <v>0</v>
      </c>
      <c r="T6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49" spans="1:20" x14ac:dyDescent="0.25">
      <c r="A649">
        <v>8</v>
      </c>
      <c r="B649" t="s">
        <v>10</v>
      </c>
      <c r="C649">
        <v>9450544934</v>
      </c>
      <c r="D649" s="48">
        <v>43340</v>
      </c>
      <c r="E649" s="48">
        <v>43339</v>
      </c>
      <c r="F649" s="48">
        <v>43349</v>
      </c>
      <c r="G649" t="s">
        <v>126</v>
      </c>
      <c r="H649" t="s">
        <v>127</v>
      </c>
      <c r="I649">
        <v>1</v>
      </c>
      <c r="J649" t="s">
        <v>835</v>
      </c>
      <c r="K649">
        <v>1</v>
      </c>
      <c r="L649">
        <v>1</v>
      </c>
      <c r="M649" t="s">
        <v>1977</v>
      </c>
      <c r="N649">
        <v>0</v>
      </c>
      <c r="O649" s="1">
        <f>+Tabla__192.168.1.8_POSEIDONSQL_APPFVT_01_tbl_detalle_fill_rate[[#This Row],[emb_cantidad]]-Tabla__192.168.1.8_POSEIDONSQL_APPFVT_01_tbl_detalle_fill_rate[[#This Row],[dev_cantidad]]</f>
        <v>1</v>
      </c>
      <c r="P6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49" s="1">
        <f>+Tabla__192.168.1.8_POSEIDONSQL_APPFVT_01_tbl_detalle_fill_rate[[#This Row],[Cumpl Real Unds]]-Tabla__192.168.1.8_POSEIDONSQL_APPFVT_01_tbl_detalle_fill_rate[[#This Row],[Cant Embarcada]]</f>
        <v>0</v>
      </c>
      <c r="S649" s="1">
        <f>+IF(Tabla__192.168.1.8_POSEIDONSQL_APPFVT_01_tbl_detalle_fill_rate[[#This Row],[Pend Emb]]&gt;0,1,0)</f>
        <v>0</v>
      </c>
      <c r="T6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0" spans="1:20" x14ac:dyDescent="0.25">
      <c r="A650">
        <v>8</v>
      </c>
      <c r="B650" t="s">
        <v>10</v>
      </c>
      <c r="C650">
        <v>9450544940</v>
      </c>
      <c r="D650" s="48">
        <v>43340</v>
      </c>
      <c r="E650" s="48">
        <v>43339</v>
      </c>
      <c r="F650" s="48">
        <v>43350</v>
      </c>
      <c r="G650" t="s">
        <v>122</v>
      </c>
      <c r="H650" t="s">
        <v>123</v>
      </c>
      <c r="I650">
        <v>1</v>
      </c>
      <c r="J650" t="s">
        <v>1408</v>
      </c>
      <c r="K650">
        <v>1</v>
      </c>
      <c r="L650">
        <v>1</v>
      </c>
      <c r="M650" t="s">
        <v>1977</v>
      </c>
      <c r="N650">
        <v>0</v>
      </c>
      <c r="O650" s="1">
        <f>+Tabla__192.168.1.8_POSEIDONSQL_APPFVT_01_tbl_detalle_fill_rate[[#This Row],[emb_cantidad]]-Tabla__192.168.1.8_POSEIDONSQL_APPFVT_01_tbl_detalle_fill_rate[[#This Row],[dev_cantidad]]</f>
        <v>1</v>
      </c>
      <c r="P6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0" s="1">
        <f>+Tabla__192.168.1.8_POSEIDONSQL_APPFVT_01_tbl_detalle_fill_rate[[#This Row],[Cumpl Real Unds]]-Tabla__192.168.1.8_POSEIDONSQL_APPFVT_01_tbl_detalle_fill_rate[[#This Row],[Cant Embarcada]]</f>
        <v>0</v>
      </c>
      <c r="S650" s="1">
        <f>+IF(Tabla__192.168.1.8_POSEIDONSQL_APPFVT_01_tbl_detalle_fill_rate[[#This Row],[Pend Emb]]&gt;0,1,0)</f>
        <v>0</v>
      </c>
      <c r="T6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1" spans="1:20" x14ac:dyDescent="0.25">
      <c r="A651">
        <v>8</v>
      </c>
      <c r="B651" t="s">
        <v>10</v>
      </c>
      <c r="C651">
        <v>9450545030</v>
      </c>
      <c r="D651" s="48">
        <v>43342</v>
      </c>
      <c r="E651" s="48">
        <v>43341</v>
      </c>
      <c r="F651" s="48">
        <v>43353</v>
      </c>
      <c r="G651" t="s">
        <v>232</v>
      </c>
      <c r="H651" t="s">
        <v>233</v>
      </c>
      <c r="I651">
        <v>1</v>
      </c>
      <c r="J651" t="s">
        <v>1606</v>
      </c>
      <c r="K651">
        <v>1</v>
      </c>
      <c r="L651">
        <v>1</v>
      </c>
      <c r="M651" t="s">
        <v>161</v>
      </c>
      <c r="N651">
        <v>0</v>
      </c>
      <c r="O651" s="1">
        <f>+Tabla__192.168.1.8_POSEIDONSQL_APPFVT_01_tbl_detalle_fill_rate[[#This Row],[emb_cantidad]]-Tabla__192.168.1.8_POSEIDONSQL_APPFVT_01_tbl_detalle_fill_rate[[#This Row],[dev_cantidad]]</f>
        <v>1</v>
      </c>
      <c r="P6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1" s="1">
        <f>+Tabla__192.168.1.8_POSEIDONSQL_APPFVT_01_tbl_detalle_fill_rate[[#This Row],[Cumpl Real Unds]]-Tabla__192.168.1.8_POSEIDONSQL_APPFVT_01_tbl_detalle_fill_rate[[#This Row],[Cant Embarcada]]</f>
        <v>0</v>
      </c>
      <c r="S651" s="1">
        <f>+IF(Tabla__192.168.1.8_POSEIDONSQL_APPFVT_01_tbl_detalle_fill_rate[[#This Row],[Pend Emb]]&gt;0,1,0)</f>
        <v>0</v>
      </c>
      <c r="T6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2" spans="1:20" x14ac:dyDescent="0.25">
      <c r="A652">
        <v>8</v>
      </c>
      <c r="B652" t="s">
        <v>10</v>
      </c>
      <c r="C652">
        <v>9450545071</v>
      </c>
      <c r="D652" s="48">
        <v>43343</v>
      </c>
      <c r="E652" s="48">
        <v>43342</v>
      </c>
      <c r="F652" s="48">
        <v>43353</v>
      </c>
      <c r="G652" t="s">
        <v>96</v>
      </c>
      <c r="H652" t="s">
        <v>97</v>
      </c>
      <c r="I652">
        <v>1</v>
      </c>
      <c r="J652" t="s">
        <v>1607</v>
      </c>
      <c r="K652">
        <v>1</v>
      </c>
      <c r="L652">
        <v>1</v>
      </c>
      <c r="M652" t="s">
        <v>161</v>
      </c>
      <c r="N652">
        <v>0</v>
      </c>
      <c r="O652" s="1">
        <f>+Tabla__192.168.1.8_POSEIDONSQL_APPFVT_01_tbl_detalle_fill_rate[[#This Row],[emb_cantidad]]-Tabla__192.168.1.8_POSEIDONSQL_APPFVT_01_tbl_detalle_fill_rate[[#This Row],[dev_cantidad]]</f>
        <v>1</v>
      </c>
      <c r="P6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2" s="1">
        <f>+Tabla__192.168.1.8_POSEIDONSQL_APPFVT_01_tbl_detalle_fill_rate[[#This Row],[Cumpl Real Unds]]-Tabla__192.168.1.8_POSEIDONSQL_APPFVT_01_tbl_detalle_fill_rate[[#This Row],[Cant Embarcada]]</f>
        <v>0</v>
      </c>
      <c r="S652" s="1">
        <f>+IF(Tabla__192.168.1.8_POSEIDONSQL_APPFVT_01_tbl_detalle_fill_rate[[#This Row],[Pend Emb]]&gt;0,1,0)</f>
        <v>0</v>
      </c>
      <c r="T6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3" spans="1:20" x14ac:dyDescent="0.25">
      <c r="A653">
        <v>8</v>
      </c>
      <c r="B653" t="s">
        <v>10</v>
      </c>
      <c r="C653">
        <v>9450545093</v>
      </c>
      <c r="D653" s="48">
        <v>43346</v>
      </c>
      <c r="E653" s="48">
        <v>43343</v>
      </c>
      <c r="F653" s="48">
        <v>43352</v>
      </c>
      <c r="G653" t="s">
        <v>164</v>
      </c>
      <c r="H653" t="s">
        <v>165</v>
      </c>
      <c r="I653">
        <v>2</v>
      </c>
      <c r="J653" t="s">
        <v>1608</v>
      </c>
      <c r="K653">
        <v>2</v>
      </c>
      <c r="L653">
        <v>2</v>
      </c>
      <c r="M653" t="s">
        <v>161</v>
      </c>
      <c r="N653">
        <v>0</v>
      </c>
      <c r="O653" s="1">
        <f>+Tabla__192.168.1.8_POSEIDONSQL_APPFVT_01_tbl_detalle_fill_rate[[#This Row],[emb_cantidad]]-Tabla__192.168.1.8_POSEIDONSQL_APPFVT_01_tbl_detalle_fill_rate[[#This Row],[dev_cantidad]]</f>
        <v>2</v>
      </c>
      <c r="P6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653" s="1">
        <f>+Tabla__192.168.1.8_POSEIDONSQL_APPFVT_01_tbl_detalle_fill_rate[[#This Row],[Cumpl Real Unds]]-Tabla__192.168.1.8_POSEIDONSQL_APPFVT_01_tbl_detalle_fill_rate[[#This Row],[Cant Embarcada]]</f>
        <v>0</v>
      </c>
      <c r="S653" s="1">
        <f>+IF(Tabla__192.168.1.8_POSEIDONSQL_APPFVT_01_tbl_detalle_fill_rate[[#This Row],[Pend Emb]]&gt;0,1,0)</f>
        <v>0</v>
      </c>
      <c r="T6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4" spans="1:20" x14ac:dyDescent="0.25">
      <c r="A654">
        <v>8</v>
      </c>
      <c r="B654" t="s">
        <v>10</v>
      </c>
      <c r="C654">
        <v>9450545111</v>
      </c>
      <c r="D654" s="48">
        <v>43346</v>
      </c>
      <c r="E654" s="48">
        <v>43343</v>
      </c>
      <c r="F654" s="48">
        <v>43354</v>
      </c>
      <c r="G654" t="s">
        <v>96</v>
      </c>
      <c r="H654" t="s">
        <v>97</v>
      </c>
      <c r="I654">
        <v>1</v>
      </c>
      <c r="J654" t="s">
        <v>1607</v>
      </c>
      <c r="K654">
        <v>1</v>
      </c>
      <c r="L654">
        <v>1</v>
      </c>
      <c r="M654" t="s">
        <v>161</v>
      </c>
      <c r="N654">
        <v>0</v>
      </c>
      <c r="O654" s="1">
        <f>+Tabla__192.168.1.8_POSEIDONSQL_APPFVT_01_tbl_detalle_fill_rate[[#This Row],[emb_cantidad]]-Tabla__192.168.1.8_POSEIDONSQL_APPFVT_01_tbl_detalle_fill_rate[[#This Row],[dev_cantidad]]</f>
        <v>1</v>
      </c>
      <c r="P6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4" s="1">
        <f>+Tabla__192.168.1.8_POSEIDONSQL_APPFVT_01_tbl_detalle_fill_rate[[#This Row],[Cumpl Real Unds]]-Tabla__192.168.1.8_POSEIDONSQL_APPFVT_01_tbl_detalle_fill_rate[[#This Row],[Cant Embarcada]]</f>
        <v>0</v>
      </c>
      <c r="S654" s="1">
        <f>+IF(Tabla__192.168.1.8_POSEIDONSQL_APPFVT_01_tbl_detalle_fill_rate[[#This Row],[Pend Emb]]&gt;0,1,0)</f>
        <v>0</v>
      </c>
      <c r="T6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5" spans="1:20" x14ac:dyDescent="0.25">
      <c r="A655">
        <v>8</v>
      </c>
      <c r="B655" t="s">
        <v>10</v>
      </c>
      <c r="C655">
        <v>9450545116</v>
      </c>
      <c r="D655" s="48">
        <v>43346</v>
      </c>
      <c r="E655" s="48">
        <v>43343</v>
      </c>
      <c r="F655" s="48">
        <v>43354</v>
      </c>
      <c r="G655" t="s">
        <v>102</v>
      </c>
      <c r="H655" t="s">
        <v>103</v>
      </c>
      <c r="I655">
        <v>1</v>
      </c>
      <c r="J655" t="s">
        <v>616</v>
      </c>
      <c r="K655">
        <v>1</v>
      </c>
      <c r="L655">
        <v>1</v>
      </c>
      <c r="M655" t="s">
        <v>161</v>
      </c>
      <c r="N655">
        <v>0</v>
      </c>
      <c r="O655" s="1">
        <f>+Tabla__192.168.1.8_POSEIDONSQL_APPFVT_01_tbl_detalle_fill_rate[[#This Row],[emb_cantidad]]-Tabla__192.168.1.8_POSEIDONSQL_APPFVT_01_tbl_detalle_fill_rate[[#This Row],[dev_cantidad]]</f>
        <v>1</v>
      </c>
      <c r="P6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5" s="1">
        <f>+Tabla__192.168.1.8_POSEIDONSQL_APPFVT_01_tbl_detalle_fill_rate[[#This Row],[Cumpl Real Unds]]-Tabla__192.168.1.8_POSEIDONSQL_APPFVT_01_tbl_detalle_fill_rate[[#This Row],[Cant Embarcada]]</f>
        <v>0</v>
      </c>
      <c r="S655" s="1">
        <f>+IF(Tabla__192.168.1.8_POSEIDONSQL_APPFVT_01_tbl_detalle_fill_rate[[#This Row],[Pend Emb]]&gt;0,1,0)</f>
        <v>0</v>
      </c>
      <c r="T6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6" spans="1:20" x14ac:dyDescent="0.25">
      <c r="A656">
        <v>8</v>
      </c>
      <c r="B656" t="s">
        <v>10</v>
      </c>
      <c r="C656">
        <v>9450545117</v>
      </c>
      <c r="D656" s="48">
        <v>43346</v>
      </c>
      <c r="E656" s="48">
        <v>43343</v>
      </c>
      <c r="F656" s="48">
        <v>43353</v>
      </c>
      <c r="G656" t="s">
        <v>126</v>
      </c>
      <c r="H656" t="s">
        <v>127</v>
      </c>
      <c r="I656">
        <v>1</v>
      </c>
      <c r="J656" t="s">
        <v>835</v>
      </c>
      <c r="K656">
        <v>1</v>
      </c>
      <c r="L656">
        <v>1</v>
      </c>
      <c r="M656" t="s">
        <v>161</v>
      </c>
      <c r="N656">
        <v>0</v>
      </c>
      <c r="O656" s="1">
        <f>+Tabla__192.168.1.8_POSEIDONSQL_APPFVT_01_tbl_detalle_fill_rate[[#This Row],[emb_cantidad]]-Tabla__192.168.1.8_POSEIDONSQL_APPFVT_01_tbl_detalle_fill_rate[[#This Row],[dev_cantidad]]</f>
        <v>1</v>
      </c>
      <c r="P6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6" s="1">
        <f>+Tabla__192.168.1.8_POSEIDONSQL_APPFVT_01_tbl_detalle_fill_rate[[#This Row],[Cumpl Real Unds]]-Tabla__192.168.1.8_POSEIDONSQL_APPFVT_01_tbl_detalle_fill_rate[[#This Row],[Cant Embarcada]]</f>
        <v>0</v>
      </c>
      <c r="S656" s="1">
        <f>+IF(Tabla__192.168.1.8_POSEIDONSQL_APPFVT_01_tbl_detalle_fill_rate[[#This Row],[Pend Emb]]&gt;0,1,0)</f>
        <v>0</v>
      </c>
      <c r="T6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7" spans="1:20" x14ac:dyDescent="0.25">
      <c r="A657">
        <v>8</v>
      </c>
      <c r="B657" t="s">
        <v>10</v>
      </c>
      <c r="C657">
        <v>9450545182</v>
      </c>
      <c r="D657" s="48">
        <v>43347</v>
      </c>
      <c r="E657" s="48">
        <v>43346</v>
      </c>
      <c r="F657" s="48">
        <v>43352</v>
      </c>
      <c r="G657" t="s">
        <v>322</v>
      </c>
      <c r="H657" t="s">
        <v>323</v>
      </c>
      <c r="I657">
        <v>2</v>
      </c>
      <c r="J657" t="s">
        <v>582</v>
      </c>
      <c r="K657">
        <v>2</v>
      </c>
      <c r="L657">
        <v>2</v>
      </c>
      <c r="M657" t="s">
        <v>161</v>
      </c>
      <c r="N657">
        <v>0</v>
      </c>
      <c r="O657" s="1">
        <f>+Tabla__192.168.1.8_POSEIDONSQL_APPFVT_01_tbl_detalle_fill_rate[[#This Row],[emb_cantidad]]-Tabla__192.168.1.8_POSEIDONSQL_APPFVT_01_tbl_detalle_fill_rate[[#This Row],[dev_cantidad]]</f>
        <v>2</v>
      </c>
      <c r="P6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657" s="1">
        <f>+Tabla__192.168.1.8_POSEIDONSQL_APPFVT_01_tbl_detalle_fill_rate[[#This Row],[Cumpl Real Unds]]-Tabla__192.168.1.8_POSEIDONSQL_APPFVT_01_tbl_detalle_fill_rate[[#This Row],[Cant Embarcada]]</f>
        <v>0</v>
      </c>
      <c r="S657" s="1">
        <f>+IF(Tabla__192.168.1.8_POSEIDONSQL_APPFVT_01_tbl_detalle_fill_rate[[#This Row],[Pend Emb]]&gt;0,1,0)</f>
        <v>0</v>
      </c>
      <c r="T6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8" spans="1:20" x14ac:dyDescent="0.25">
      <c r="A658">
        <v>8</v>
      </c>
      <c r="B658" t="s">
        <v>10</v>
      </c>
      <c r="C658">
        <v>9450545210</v>
      </c>
      <c r="D658" s="48">
        <v>43347</v>
      </c>
      <c r="E658" s="48">
        <v>43346</v>
      </c>
      <c r="F658" s="48">
        <v>43352</v>
      </c>
      <c r="G658" t="s">
        <v>80</v>
      </c>
      <c r="H658" t="s">
        <v>81</v>
      </c>
      <c r="I658">
        <v>1</v>
      </c>
      <c r="J658" t="s">
        <v>833</v>
      </c>
      <c r="K658">
        <v>1</v>
      </c>
      <c r="L658">
        <v>1</v>
      </c>
      <c r="M658" t="s">
        <v>161</v>
      </c>
      <c r="N658">
        <v>0</v>
      </c>
      <c r="O658" s="1">
        <f>+Tabla__192.168.1.8_POSEIDONSQL_APPFVT_01_tbl_detalle_fill_rate[[#This Row],[emb_cantidad]]-Tabla__192.168.1.8_POSEIDONSQL_APPFVT_01_tbl_detalle_fill_rate[[#This Row],[dev_cantidad]]</f>
        <v>1</v>
      </c>
      <c r="P6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8" s="1">
        <f>+Tabla__192.168.1.8_POSEIDONSQL_APPFVT_01_tbl_detalle_fill_rate[[#This Row],[Cumpl Real Unds]]-Tabla__192.168.1.8_POSEIDONSQL_APPFVT_01_tbl_detalle_fill_rate[[#This Row],[Cant Embarcada]]</f>
        <v>0</v>
      </c>
      <c r="S658" s="1">
        <f>+IF(Tabla__192.168.1.8_POSEIDONSQL_APPFVT_01_tbl_detalle_fill_rate[[#This Row],[Pend Emb]]&gt;0,1,0)</f>
        <v>0</v>
      </c>
      <c r="T6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59" spans="1:20" x14ac:dyDescent="0.25">
      <c r="A659">
        <v>8</v>
      </c>
      <c r="B659" t="s">
        <v>10</v>
      </c>
      <c r="C659">
        <v>9450545244</v>
      </c>
      <c r="D659" s="48">
        <v>43347</v>
      </c>
      <c r="E659" s="48">
        <v>43346</v>
      </c>
      <c r="F659" s="48">
        <v>43355</v>
      </c>
      <c r="G659" t="s">
        <v>338</v>
      </c>
      <c r="H659" t="s">
        <v>339</v>
      </c>
      <c r="I659">
        <v>1</v>
      </c>
      <c r="J659" t="s">
        <v>834</v>
      </c>
      <c r="K659">
        <v>1</v>
      </c>
      <c r="L659">
        <v>1</v>
      </c>
      <c r="M659" t="s">
        <v>161</v>
      </c>
      <c r="N659">
        <v>0</v>
      </c>
      <c r="O659" s="1">
        <f>+Tabla__192.168.1.8_POSEIDONSQL_APPFVT_01_tbl_detalle_fill_rate[[#This Row],[emb_cantidad]]-Tabla__192.168.1.8_POSEIDONSQL_APPFVT_01_tbl_detalle_fill_rate[[#This Row],[dev_cantidad]]</f>
        <v>1</v>
      </c>
      <c r="P6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59" s="1">
        <f>+Tabla__192.168.1.8_POSEIDONSQL_APPFVT_01_tbl_detalle_fill_rate[[#This Row],[Cumpl Real Unds]]-Tabla__192.168.1.8_POSEIDONSQL_APPFVT_01_tbl_detalle_fill_rate[[#This Row],[Cant Embarcada]]</f>
        <v>0</v>
      </c>
      <c r="S659" s="1">
        <f>+IF(Tabla__192.168.1.8_POSEIDONSQL_APPFVT_01_tbl_detalle_fill_rate[[#This Row],[Pend Emb]]&gt;0,1,0)</f>
        <v>0</v>
      </c>
      <c r="T6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0" spans="1:20" x14ac:dyDescent="0.25">
      <c r="A660">
        <v>8</v>
      </c>
      <c r="B660" t="s">
        <v>10</v>
      </c>
      <c r="C660">
        <v>9450545244</v>
      </c>
      <c r="D660" s="48">
        <v>43347</v>
      </c>
      <c r="E660" s="48">
        <v>43346</v>
      </c>
      <c r="F660" s="48">
        <v>43355</v>
      </c>
      <c r="G660" t="s">
        <v>126</v>
      </c>
      <c r="H660" t="s">
        <v>127</v>
      </c>
      <c r="I660">
        <v>1</v>
      </c>
      <c r="J660" t="s">
        <v>835</v>
      </c>
      <c r="K660">
        <v>1</v>
      </c>
      <c r="L660">
        <v>1</v>
      </c>
      <c r="M660" t="s">
        <v>161</v>
      </c>
      <c r="N660">
        <v>0</v>
      </c>
      <c r="O660" s="1">
        <f>+Tabla__192.168.1.8_POSEIDONSQL_APPFVT_01_tbl_detalle_fill_rate[[#This Row],[emb_cantidad]]-Tabla__192.168.1.8_POSEIDONSQL_APPFVT_01_tbl_detalle_fill_rate[[#This Row],[dev_cantidad]]</f>
        <v>1</v>
      </c>
      <c r="P6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0" s="1">
        <f>+Tabla__192.168.1.8_POSEIDONSQL_APPFVT_01_tbl_detalle_fill_rate[[#This Row],[Cumpl Real Unds]]-Tabla__192.168.1.8_POSEIDONSQL_APPFVT_01_tbl_detalle_fill_rate[[#This Row],[Cant Embarcada]]</f>
        <v>0</v>
      </c>
      <c r="S660" s="1">
        <f>+IF(Tabla__192.168.1.8_POSEIDONSQL_APPFVT_01_tbl_detalle_fill_rate[[#This Row],[Pend Emb]]&gt;0,1,0)</f>
        <v>0</v>
      </c>
      <c r="T6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1" spans="1:20" x14ac:dyDescent="0.25">
      <c r="A661">
        <v>8</v>
      </c>
      <c r="B661" t="s">
        <v>10</v>
      </c>
      <c r="C661">
        <v>9450545280</v>
      </c>
      <c r="D661" s="48">
        <v>43348</v>
      </c>
      <c r="E661" s="48">
        <v>43347</v>
      </c>
      <c r="F661" s="48">
        <v>43356</v>
      </c>
      <c r="G661" t="s">
        <v>66</v>
      </c>
      <c r="H661" t="s">
        <v>67</v>
      </c>
      <c r="I661">
        <v>1</v>
      </c>
      <c r="J661" t="s">
        <v>1459</v>
      </c>
      <c r="K661">
        <v>1</v>
      </c>
      <c r="L661">
        <v>1</v>
      </c>
      <c r="M661" t="s">
        <v>429</v>
      </c>
      <c r="N661">
        <v>0</v>
      </c>
      <c r="O661" s="1">
        <f>+Tabla__192.168.1.8_POSEIDONSQL_APPFVT_01_tbl_detalle_fill_rate[[#This Row],[emb_cantidad]]-Tabla__192.168.1.8_POSEIDONSQL_APPFVT_01_tbl_detalle_fill_rate[[#This Row],[dev_cantidad]]</f>
        <v>1</v>
      </c>
      <c r="P6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1" s="1">
        <f>+Tabla__192.168.1.8_POSEIDONSQL_APPFVT_01_tbl_detalle_fill_rate[[#This Row],[Cumpl Real Unds]]-Tabla__192.168.1.8_POSEIDONSQL_APPFVT_01_tbl_detalle_fill_rate[[#This Row],[Cant Embarcada]]</f>
        <v>0</v>
      </c>
      <c r="S661" s="1">
        <f>+IF(Tabla__192.168.1.8_POSEIDONSQL_APPFVT_01_tbl_detalle_fill_rate[[#This Row],[Pend Emb]]&gt;0,1,0)</f>
        <v>0</v>
      </c>
      <c r="T6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2" spans="1:20" x14ac:dyDescent="0.25">
      <c r="A662">
        <v>8</v>
      </c>
      <c r="B662" t="s">
        <v>10</v>
      </c>
      <c r="C662">
        <v>9450545291</v>
      </c>
      <c r="D662" s="48">
        <v>43348</v>
      </c>
      <c r="E662" s="48">
        <v>43347</v>
      </c>
      <c r="F662" s="48">
        <v>43355</v>
      </c>
      <c r="G662" t="s">
        <v>168</v>
      </c>
      <c r="H662" t="s">
        <v>169</v>
      </c>
      <c r="I662">
        <v>1</v>
      </c>
      <c r="J662" t="s">
        <v>357</v>
      </c>
      <c r="K662">
        <v>1</v>
      </c>
      <c r="L662">
        <v>1</v>
      </c>
      <c r="M662" t="s">
        <v>429</v>
      </c>
      <c r="N662">
        <v>0</v>
      </c>
      <c r="O662" s="1">
        <f>+Tabla__192.168.1.8_POSEIDONSQL_APPFVT_01_tbl_detalle_fill_rate[[#This Row],[emb_cantidad]]-Tabla__192.168.1.8_POSEIDONSQL_APPFVT_01_tbl_detalle_fill_rate[[#This Row],[dev_cantidad]]</f>
        <v>1</v>
      </c>
      <c r="P6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2" s="1">
        <f>+Tabla__192.168.1.8_POSEIDONSQL_APPFVT_01_tbl_detalle_fill_rate[[#This Row],[Cumpl Real Unds]]-Tabla__192.168.1.8_POSEIDONSQL_APPFVT_01_tbl_detalle_fill_rate[[#This Row],[Cant Embarcada]]</f>
        <v>0</v>
      </c>
      <c r="S662" s="1">
        <f>+IF(Tabla__192.168.1.8_POSEIDONSQL_APPFVT_01_tbl_detalle_fill_rate[[#This Row],[Pend Emb]]&gt;0,1,0)</f>
        <v>0</v>
      </c>
      <c r="T6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3" spans="1:20" x14ac:dyDescent="0.25">
      <c r="A663">
        <v>8</v>
      </c>
      <c r="B663" t="s">
        <v>10</v>
      </c>
      <c r="C663">
        <v>9450545296</v>
      </c>
      <c r="D663" s="48">
        <v>43348</v>
      </c>
      <c r="E663" s="48">
        <v>43347</v>
      </c>
      <c r="F663" s="48">
        <v>43362</v>
      </c>
      <c r="G663" t="s">
        <v>108</v>
      </c>
      <c r="H663" t="s">
        <v>109</v>
      </c>
      <c r="I663">
        <v>1</v>
      </c>
      <c r="J663" t="s">
        <v>1409</v>
      </c>
      <c r="K663">
        <v>1</v>
      </c>
      <c r="L663">
        <v>1</v>
      </c>
      <c r="M663" t="s">
        <v>429</v>
      </c>
      <c r="N663">
        <v>0</v>
      </c>
      <c r="O663" s="1">
        <f>+Tabla__192.168.1.8_POSEIDONSQL_APPFVT_01_tbl_detalle_fill_rate[[#This Row],[emb_cantidad]]-Tabla__192.168.1.8_POSEIDONSQL_APPFVT_01_tbl_detalle_fill_rate[[#This Row],[dev_cantidad]]</f>
        <v>1</v>
      </c>
      <c r="P6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3" s="1">
        <f>+Tabla__192.168.1.8_POSEIDONSQL_APPFVT_01_tbl_detalle_fill_rate[[#This Row],[Cumpl Real Unds]]-Tabla__192.168.1.8_POSEIDONSQL_APPFVT_01_tbl_detalle_fill_rate[[#This Row],[Cant Embarcada]]</f>
        <v>0</v>
      </c>
      <c r="S663" s="1">
        <f>+IF(Tabla__192.168.1.8_POSEIDONSQL_APPFVT_01_tbl_detalle_fill_rate[[#This Row],[Pend Emb]]&gt;0,1,0)</f>
        <v>0</v>
      </c>
      <c r="T6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4" spans="1:20" x14ac:dyDescent="0.25">
      <c r="A664">
        <v>8</v>
      </c>
      <c r="B664" t="s">
        <v>10</v>
      </c>
      <c r="C664">
        <v>9450545322</v>
      </c>
      <c r="D664" s="48">
        <v>43349</v>
      </c>
      <c r="E664" s="48">
        <v>43348</v>
      </c>
      <c r="F664" s="48">
        <v>43356</v>
      </c>
      <c r="G664" t="s">
        <v>322</v>
      </c>
      <c r="H664" t="s">
        <v>323</v>
      </c>
      <c r="I664">
        <v>1</v>
      </c>
      <c r="J664" t="s">
        <v>582</v>
      </c>
      <c r="K664">
        <v>1</v>
      </c>
      <c r="L664">
        <v>1</v>
      </c>
      <c r="M664" t="s">
        <v>429</v>
      </c>
      <c r="N664">
        <v>0</v>
      </c>
      <c r="O664" s="1">
        <f>+Tabla__192.168.1.8_POSEIDONSQL_APPFVT_01_tbl_detalle_fill_rate[[#This Row],[emb_cantidad]]-Tabla__192.168.1.8_POSEIDONSQL_APPFVT_01_tbl_detalle_fill_rate[[#This Row],[dev_cantidad]]</f>
        <v>1</v>
      </c>
      <c r="P6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4" s="1">
        <f>+Tabla__192.168.1.8_POSEIDONSQL_APPFVT_01_tbl_detalle_fill_rate[[#This Row],[Cumpl Real Unds]]-Tabla__192.168.1.8_POSEIDONSQL_APPFVT_01_tbl_detalle_fill_rate[[#This Row],[Cant Embarcada]]</f>
        <v>0</v>
      </c>
      <c r="S664" s="1">
        <f>+IF(Tabla__192.168.1.8_POSEIDONSQL_APPFVT_01_tbl_detalle_fill_rate[[#This Row],[Pend Emb]]&gt;0,1,0)</f>
        <v>0</v>
      </c>
      <c r="T6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5" spans="1:20" x14ac:dyDescent="0.25">
      <c r="A665">
        <v>8</v>
      </c>
      <c r="B665" t="s">
        <v>10</v>
      </c>
      <c r="C665">
        <v>9450545344</v>
      </c>
      <c r="D665" s="48">
        <v>43349</v>
      </c>
      <c r="E665" s="48">
        <v>43348</v>
      </c>
      <c r="F665" s="48">
        <v>43362</v>
      </c>
      <c r="G665" t="s">
        <v>120</v>
      </c>
      <c r="H665" t="s">
        <v>121</v>
      </c>
      <c r="I665">
        <v>1</v>
      </c>
      <c r="J665" t="s">
        <v>583</v>
      </c>
      <c r="K665">
        <v>1</v>
      </c>
      <c r="L665">
        <v>1</v>
      </c>
      <c r="M665" t="s">
        <v>429</v>
      </c>
      <c r="N665">
        <v>0</v>
      </c>
      <c r="O665" s="1">
        <f>+Tabla__192.168.1.8_POSEIDONSQL_APPFVT_01_tbl_detalle_fill_rate[[#This Row],[emb_cantidad]]-Tabla__192.168.1.8_POSEIDONSQL_APPFVT_01_tbl_detalle_fill_rate[[#This Row],[dev_cantidad]]</f>
        <v>1</v>
      </c>
      <c r="P6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5" s="1">
        <f>+Tabla__192.168.1.8_POSEIDONSQL_APPFVT_01_tbl_detalle_fill_rate[[#This Row],[Cumpl Real Unds]]-Tabla__192.168.1.8_POSEIDONSQL_APPFVT_01_tbl_detalle_fill_rate[[#This Row],[Cant Embarcada]]</f>
        <v>0</v>
      </c>
      <c r="S665" s="1">
        <f>+IF(Tabla__192.168.1.8_POSEIDONSQL_APPFVT_01_tbl_detalle_fill_rate[[#This Row],[Pend Emb]]&gt;0,1,0)</f>
        <v>0</v>
      </c>
      <c r="T6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6" spans="1:20" x14ac:dyDescent="0.25">
      <c r="A666">
        <v>8</v>
      </c>
      <c r="B666" t="s">
        <v>10</v>
      </c>
      <c r="C666">
        <v>9450545377</v>
      </c>
      <c r="D666" s="48">
        <v>43350</v>
      </c>
      <c r="E666" s="48">
        <v>43349</v>
      </c>
      <c r="F666" s="48">
        <v>43362</v>
      </c>
      <c r="G666" t="s">
        <v>78</v>
      </c>
      <c r="H666" t="s">
        <v>79</v>
      </c>
      <c r="I666">
        <v>1</v>
      </c>
      <c r="J666" t="s">
        <v>584</v>
      </c>
      <c r="K666">
        <v>1</v>
      </c>
      <c r="L666">
        <v>1</v>
      </c>
      <c r="M666" t="s">
        <v>429</v>
      </c>
      <c r="N666">
        <v>0</v>
      </c>
      <c r="O666" s="1">
        <f>+Tabla__192.168.1.8_POSEIDONSQL_APPFVT_01_tbl_detalle_fill_rate[[#This Row],[emb_cantidad]]-Tabla__192.168.1.8_POSEIDONSQL_APPFVT_01_tbl_detalle_fill_rate[[#This Row],[dev_cantidad]]</f>
        <v>1</v>
      </c>
      <c r="P6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6" s="1">
        <f>+Tabla__192.168.1.8_POSEIDONSQL_APPFVT_01_tbl_detalle_fill_rate[[#This Row],[Cumpl Real Unds]]-Tabla__192.168.1.8_POSEIDONSQL_APPFVT_01_tbl_detalle_fill_rate[[#This Row],[Cant Embarcada]]</f>
        <v>0</v>
      </c>
      <c r="S666" s="1">
        <f>+IF(Tabla__192.168.1.8_POSEIDONSQL_APPFVT_01_tbl_detalle_fill_rate[[#This Row],[Pend Emb]]&gt;0,1,0)</f>
        <v>0</v>
      </c>
      <c r="T6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7" spans="1:20" x14ac:dyDescent="0.25">
      <c r="A667">
        <v>8</v>
      </c>
      <c r="B667" t="s">
        <v>10</v>
      </c>
      <c r="C667">
        <v>9450545443</v>
      </c>
      <c r="D667" s="48">
        <v>43353</v>
      </c>
      <c r="E667" s="48">
        <v>43350</v>
      </c>
      <c r="F667" s="48">
        <v>43362</v>
      </c>
      <c r="G667" t="s">
        <v>102</v>
      </c>
      <c r="H667" t="s">
        <v>103</v>
      </c>
      <c r="I667">
        <v>1</v>
      </c>
      <c r="J667" t="s">
        <v>616</v>
      </c>
      <c r="K667">
        <v>1</v>
      </c>
      <c r="L667">
        <v>1</v>
      </c>
      <c r="M667" t="s">
        <v>429</v>
      </c>
      <c r="N667">
        <v>0</v>
      </c>
      <c r="O667" s="1">
        <f>+Tabla__192.168.1.8_POSEIDONSQL_APPFVT_01_tbl_detalle_fill_rate[[#This Row],[emb_cantidad]]-Tabla__192.168.1.8_POSEIDONSQL_APPFVT_01_tbl_detalle_fill_rate[[#This Row],[dev_cantidad]]</f>
        <v>1</v>
      </c>
      <c r="P6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7" s="1">
        <f>+Tabla__192.168.1.8_POSEIDONSQL_APPFVT_01_tbl_detalle_fill_rate[[#This Row],[Cumpl Real Unds]]-Tabla__192.168.1.8_POSEIDONSQL_APPFVT_01_tbl_detalle_fill_rate[[#This Row],[Cant Embarcada]]</f>
        <v>0</v>
      </c>
      <c r="S667" s="1">
        <f>+IF(Tabla__192.168.1.8_POSEIDONSQL_APPFVT_01_tbl_detalle_fill_rate[[#This Row],[Pend Emb]]&gt;0,1,0)</f>
        <v>0</v>
      </c>
      <c r="T6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8" spans="1:20" x14ac:dyDescent="0.25">
      <c r="A668">
        <v>8</v>
      </c>
      <c r="B668" t="s">
        <v>10</v>
      </c>
      <c r="C668">
        <v>9450545444</v>
      </c>
      <c r="D668" s="48">
        <v>43353</v>
      </c>
      <c r="E668" s="48">
        <v>43350</v>
      </c>
      <c r="F668" s="48">
        <v>43362</v>
      </c>
      <c r="G668" t="s">
        <v>102</v>
      </c>
      <c r="H668" t="s">
        <v>103</v>
      </c>
      <c r="I668">
        <v>1</v>
      </c>
      <c r="J668" t="s">
        <v>616</v>
      </c>
      <c r="K668">
        <v>1</v>
      </c>
      <c r="L668">
        <v>1</v>
      </c>
      <c r="M668" t="s">
        <v>429</v>
      </c>
      <c r="N668">
        <v>0</v>
      </c>
      <c r="O668" s="1">
        <f>+Tabla__192.168.1.8_POSEIDONSQL_APPFVT_01_tbl_detalle_fill_rate[[#This Row],[emb_cantidad]]-Tabla__192.168.1.8_POSEIDONSQL_APPFVT_01_tbl_detalle_fill_rate[[#This Row],[dev_cantidad]]</f>
        <v>1</v>
      </c>
      <c r="P6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8" s="1">
        <f>+Tabla__192.168.1.8_POSEIDONSQL_APPFVT_01_tbl_detalle_fill_rate[[#This Row],[Cumpl Real Unds]]-Tabla__192.168.1.8_POSEIDONSQL_APPFVT_01_tbl_detalle_fill_rate[[#This Row],[Cant Embarcada]]</f>
        <v>0</v>
      </c>
      <c r="S668" s="1">
        <f>+IF(Tabla__192.168.1.8_POSEIDONSQL_APPFVT_01_tbl_detalle_fill_rate[[#This Row],[Pend Emb]]&gt;0,1,0)</f>
        <v>0</v>
      </c>
      <c r="T6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69" spans="1:20" x14ac:dyDescent="0.25">
      <c r="A669">
        <v>8</v>
      </c>
      <c r="B669" t="s">
        <v>10</v>
      </c>
      <c r="C669">
        <v>9450545506</v>
      </c>
      <c r="D669" s="48">
        <v>43354</v>
      </c>
      <c r="E669" s="48">
        <v>43353</v>
      </c>
      <c r="F669" s="48">
        <v>43364</v>
      </c>
      <c r="G669" t="s">
        <v>74</v>
      </c>
      <c r="H669" t="s">
        <v>75</v>
      </c>
      <c r="I669">
        <v>1</v>
      </c>
      <c r="J669" t="s">
        <v>1884</v>
      </c>
      <c r="K669">
        <v>1</v>
      </c>
      <c r="L669">
        <v>1</v>
      </c>
      <c r="M669" t="s">
        <v>425</v>
      </c>
      <c r="N669">
        <v>0</v>
      </c>
      <c r="O669" s="1">
        <f>+Tabla__192.168.1.8_POSEIDONSQL_APPFVT_01_tbl_detalle_fill_rate[[#This Row],[emb_cantidad]]-Tabla__192.168.1.8_POSEIDONSQL_APPFVT_01_tbl_detalle_fill_rate[[#This Row],[dev_cantidad]]</f>
        <v>1</v>
      </c>
      <c r="P6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69" s="1">
        <f>+Tabla__192.168.1.8_POSEIDONSQL_APPFVT_01_tbl_detalle_fill_rate[[#This Row],[Cumpl Real Unds]]-Tabla__192.168.1.8_POSEIDONSQL_APPFVT_01_tbl_detalle_fill_rate[[#This Row],[Cant Embarcada]]</f>
        <v>0</v>
      </c>
      <c r="S669" s="1">
        <f>+IF(Tabla__192.168.1.8_POSEIDONSQL_APPFVT_01_tbl_detalle_fill_rate[[#This Row],[Pend Emb]]&gt;0,1,0)</f>
        <v>0</v>
      </c>
      <c r="T6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0" spans="1:20" x14ac:dyDescent="0.25">
      <c r="A670">
        <v>8</v>
      </c>
      <c r="B670" t="s">
        <v>10</v>
      </c>
      <c r="C670">
        <v>9450545519</v>
      </c>
      <c r="D670" s="48">
        <v>43354</v>
      </c>
      <c r="E670" s="48">
        <v>43353</v>
      </c>
      <c r="F670" s="48">
        <v>43363</v>
      </c>
      <c r="G670" t="s">
        <v>104</v>
      </c>
      <c r="H670" t="s">
        <v>105</v>
      </c>
      <c r="I670">
        <v>1</v>
      </c>
      <c r="J670" t="s">
        <v>1885</v>
      </c>
      <c r="K670">
        <v>1</v>
      </c>
      <c r="L670">
        <v>1</v>
      </c>
      <c r="M670" t="s">
        <v>425</v>
      </c>
      <c r="N670">
        <v>0</v>
      </c>
      <c r="O670" s="1">
        <f>+Tabla__192.168.1.8_POSEIDONSQL_APPFVT_01_tbl_detalle_fill_rate[[#This Row],[emb_cantidad]]-Tabla__192.168.1.8_POSEIDONSQL_APPFVT_01_tbl_detalle_fill_rate[[#This Row],[dev_cantidad]]</f>
        <v>1</v>
      </c>
      <c r="P6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0" s="1">
        <f>+Tabla__192.168.1.8_POSEIDONSQL_APPFVT_01_tbl_detalle_fill_rate[[#This Row],[Cumpl Real Unds]]-Tabla__192.168.1.8_POSEIDONSQL_APPFVT_01_tbl_detalle_fill_rate[[#This Row],[Cant Embarcada]]</f>
        <v>0</v>
      </c>
      <c r="S670" s="1">
        <f>+IF(Tabla__192.168.1.8_POSEIDONSQL_APPFVT_01_tbl_detalle_fill_rate[[#This Row],[Pend Emb]]&gt;0,1,0)</f>
        <v>0</v>
      </c>
      <c r="T6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1" spans="1:20" x14ac:dyDescent="0.25">
      <c r="A671">
        <v>8</v>
      </c>
      <c r="B671" t="s">
        <v>10</v>
      </c>
      <c r="C671">
        <v>9450545531</v>
      </c>
      <c r="D671" s="48">
        <v>43354</v>
      </c>
      <c r="E671" s="48">
        <v>43353</v>
      </c>
      <c r="F671" s="48">
        <v>43362</v>
      </c>
      <c r="G671" t="s">
        <v>259</v>
      </c>
      <c r="H671" t="s">
        <v>260</v>
      </c>
      <c r="I671">
        <v>1</v>
      </c>
      <c r="J671" t="s">
        <v>358</v>
      </c>
      <c r="K671">
        <v>1</v>
      </c>
      <c r="L671">
        <v>2</v>
      </c>
      <c r="M671" t="s">
        <v>415</v>
      </c>
      <c r="N671">
        <v>1</v>
      </c>
      <c r="O671" s="1">
        <f>+Tabla__192.168.1.8_POSEIDONSQL_APPFVT_01_tbl_detalle_fill_rate[[#This Row],[emb_cantidad]]-Tabla__192.168.1.8_POSEIDONSQL_APPFVT_01_tbl_detalle_fill_rate[[#This Row],[dev_cantidad]]</f>
        <v>1</v>
      </c>
      <c r="P6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6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1" s="1">
        <f>+Tabla__192.168.1.8_POSEIDONSQL_APPFVT_01_tbl_detalle_fill_rate[[#This Row],[Cumpl Real Unds]]-Tabla__192.168.1.8_POSEIDONSQL_APPFVT_01_tbl_detalle_fill_rate[[#This Row],[Cant Embarcada]]</f>
        <v>0</v>
      </c>
      <c r="S671" s="1">
        <f>+IF(Tabla__192.168.1.8_POSEIDONSQL_APPFVT_01_tbl_detalle_fill_rate[[#This Row],[Pend Emb]]&gt;0,1,0)</f>
        <v>0</v>
      </c>
      <c r="T6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2" spans="1:20" x14ac:dyDescent="0.25">
      <c r="A672">
        <v>8</v>
      </c>
      <c r="B672" t="s">
        <v>10</v>
      </c>
      <c r="C672">
        <v>9450545535</v>
      </c>
      <c r="D672" s="48">
        <v>43354</v>
      </c>
      <c r="E672" s="48">
        <v>43353</v>
      </c>
      <c r="F672" s="48">
        <v>43364</v>
      </c>
      <c r="G672" t="s">
        <v>118</v>
      </c>
      <c r="H672" t="s">
        <v>119</v>
      </c>
      <c r="I672">
        <v>1</v>
      </c>
      <c r="J672" t="s">
        <v>1886</v>
      </c>
      <c r="K672">
        <v>1</v>
      </c>
      <c r="L672">
        <v>1</v>
      </c>
      <c r="M672" t="s">
        <v>425</v>
      </c>
      <c r="N672">
        <v>0</v>
      </c>
      <c r="O672" s="1">
        <f>+Tabla__192.168.1.8_POSEIDONSQL_APPFVT_01_tbl_detalle_fill_rate[[#This Row],[emb_cantidad]]-Tabla__192.168.1.8_POSEIDONSQL_APPFVT_01_tbl_detalle_fill_rate[[#This Row],[dev_cantidad]]</f>
        <v>1</v>
      </c>
      <c r="P6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2" s="1">
        <f>+Tabla__192.168.1.8_POSEIDONSQL_APPFVT_01_tbl_detalle_fill_rate[[#This Row],[Cumpl Real Unds]]-Tabla__192.168.1.8_POSEIDONSQL_APPFVT_01_tbl_detalle_fill_rate[[#This Row],[Cant Embarcada]]</f>
        <v>0</v>
      </c>
      <c r="S672" s="1">
        <f>+IF(Tabla__192.168.1.8_POSEIDONSQL_APPFVT_01_tbl_detalle_fill_rate[[#This Row],[Pend Emb]]&gt;0,1,0)</f>
        <v>0</v>
      </c>
      <c r="T6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3" spans="1:20" x14ac:dyDescent="0.25">
      <c r="A673">
        <v>8</v>
      </c>
      <c r="B673" t="s">
        <v>10</v>
      </c>
      <c r="C673">
        <v>9450545536</v>
      </c>
      <c r="D673" s="48">
        <v>43354</v>
      </c>
      <c r="E673" s="48">
        <v>43353</v>
      </c>
      <c r="F673" s="48">
        <v>43370</v>
      </c>
      <c r="G673" t="s">
        <v>118</v>
      </c>
      <c r="H673" t="s">
        <v>119</v>
      </c>
      <c r="I673">
        <v>1</v>
      </c>
      <c r="J673" t="s">
        <v>1886</v>
      </c>
      <c r="K673">
        <v>1</v>
      </c>
      <c r="L673">
        <v>1</v>
      </c>
      <c r="M673" t="s">
        <v>425</v>
      </c>
      <c r="N673">
        <v>0</v>
      </c>
      <c r="O673" s="1">
        <f>+Tabla__192.168.1.8_POSEIDONSQL_APPFVT_01_tbl_detalle_fill_rate[[#This Row],[emb_cantidad]]-Tabla__192.168.1.8_POSEIDONSQL_APPFVT_01_tbl_detalle_fill_rate[[#This Row],[dev_cantidad]]</f>
        <v>1</v>
      </c>
      <c r="P6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3" s="1">
        <f>+Tabla__192.168.1.8_POSEIDONSQL_APPFVT_01_tbl_detalle_fill_rate[[#This Row],[Cumpl Real Unds]]-Tabla__192.168.1.8_POSEIDONSQL_APPFVT_01_tbl_detalle_fill_rate[[#This Row],[Cant Embarcada]]</f>
        <v>0</v>
      </c>
      <c r="S673" s="1">
        <f>+IF(Tabla__192.168.1.8_POSEIDONSQL_APPFVT_01_tbl_detalle_fill_rate[[#This Row],[Pend Emb]]&gt;0,1,0)</f>
        <v>0</v>
      </c>
      <c r="T6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4" spans="1:20" x14ac:dyDescent="0.25">
      <c r="A674">
        <v>8</v>
      </c>
      <c r="B674" t="s">
        <v>10</v>
      </c>
      <c r="C674">
        <v>9450545537</v>
      </c>
      <c r="D674" s="48">
        <v>43354</v>
      </c>
      <c r="E674" s="48">
        <v>43353</v>
      </c>
      <c r="F674" s="48">
        <v>43364</v>
      </c>
      <c r="G674" t="s">
        <v>461</v>
      </c>
      <c r="H674" t="s">
        <v>462</v>
      </c>
      <c r="I674">
        <v>1</v>
      </c>
      <c r="J674" t="s">
        <v>1883</v>
      </c>
      <c r="K674">
        <v>1</v>
      </c>
      <c r="L674">
        <v>1</v>
      </c>
      <c r="M674" t="s">
        <v>425</v>
      </c>
      <c r="N674">
        <v>0</v>
      </c>
      <c r="O674" s="1">
        <f>+Tabla__192.168.1.8_POSEIDONSQL_APPFVT_01_tbl_detalle_fill_rate[[#This Row],[emb_cantidad]]-Tabla__192.168.1.8_POSEIDONSQL_APPFVT_01_tbl_detalle_fill_rate[[#This Row],[dev_cantidad]]</f>
        <v>1</v>
      </c>
      <c r="P6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4" s="1">
        <f>+Tabla__192.168.1.8_POSEIDONSQL_APPFVT_01_tbl_detalle_fill_rate[[#This Row],[Cumpl Real Unds]]-Tabla__192.168.1.8_POSEIDONSQL_APPFVT_01_tbl_detalle_fill_rate[[#This Row],[Cant Embarcada]]</f>
        <v>0</v>
      </c>
      <c r="S674" s="1">
        <f>+IF(Tabla__192.168.1.8_POSEIDONSQL_APPFVT_01_tbl_detalle_fill_rate[[#This Row],[Pend Emb]]&gt;0,1,0)</f>
        <v>0</v>
      </c>
      <c r="T6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5" spans="1:20" x14ac:dyDescent="0.25">
      <c r="A675">
        <v>8</v>
      </c>
      <c r="B675" t="s">
        <v>10</v>
      </c>
      <c r="C675">
        <v>9450545538</v>
      </c>
      <c r="D675" s="48">
        <v>43354</v>
      </c>
      <c r="E675" s="48">
        <v>43353</v>
      </c>
      <c r="F675" s="48">
        <v>43363</v>
      </c>
      <c r="G675" t="s">
        <v>122</v>
      </c>
      <c r="H675" t="s">
        <v>123</v>
      </c>
      <c r="I675">
        <v>1</v>
      </c>
      <c r="J675" t="s">
        <v>1408</v>
      </c>
      <c r="K675">
        <v>1</v>
      </c>
      <c r="L675">
        <v>1</v>
      </c>
      <c r="M675" t="s">
        <v>425</v>
      </c>
      <c r="N675">
        <v>0</v>
      </c>
      <c r="O675" s="1">
        <f>+Tabla__192.168.1.8_POSEIDONSQL_APPFVT_01_tbl_detalle_fill_rate[[#This Row],[emb_cantidad]]-Tabla__192.168.1.8_POSEIDONSQL_APPFVT_01_tbl_detalle_fill_rate[[#This Row],[dev_cantidad]]</f>
        <v>1</v>
      </c>
      <c r="P6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5" s="1">
        <f>+Tabla__192.168.1.8_POSEIDONSQL_APPFVT_01_tbl_detalle_fill_rate[[#This Row],[Cumpl Real Unds]]-Tabla__192.168.1.8_POSEIDONSQL_APPFVT_01_tbl_detalle_fill_rate[[#This Row],[Cant Embarcada]]</f>
        <v>0</v>
      </c>
      <c r="S675" s="1">
        <f>+IF(Tabla__192.168.1.8_POSEIDONSQL_APPFVT_01_tbl_detalle_fill_rate[[#This Row],[Pend Emb]]&gt;0,1,0)</f>
        <v>0</v>
      </c>
      <c r="T6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6" spans="1:20" x14ac:dyDescent="0.25">
      <c r="A676">
        <v>8</v>
      </c>
      <c r="B676" t="s">
        <v>10</v>
      </c>
      <c r="C676">
        <v>9450545599</v>
      </c>
      <c r="D676" s="48">
        <v>43355</v>
      </c>
      <c r="E676" s="48">
        <v>43354</v>
      </c>
      <c r="F676" s="48">
        <v>43366</v>
      </c>
      <c r="G676" t="s">
        <v>102</v>
      </c>
      <c r="H676" t="s">
        <v>103</v>
      </c>
      <c r="I676">
        <v>1</v>
      </c>
      <c r="J676" t="s">
        <v>616</v>
      </c>
      <c r="K676">
        <v>1</v>
      </c>
      <c r="L676">
        <v>1</v>
      </c>
      <c r="M676" t="s">
        <v>425</v>
      </c>
      <c r="N676">
        <v>0</v>
      </c>
      <c r="O676" s="1">
        <f>+Tabla__192.168.1.8_POSEIDONSQL_APPFVT_01_tbl_detalle_fill_rate[[#This Row],[emb_cantidad]]-Tabla__192.168.1.8_POSEIDONSQL_APPFVT_01_tbl_detalle_fill_rate[[#This Row],[dev_cantidad]]</f>
        <v>1</v>
      </c>
      <c r="P6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6" s="1">
        <f>+Tabla__192.168.1.8_POSEIDONSQL_APPFVT_01_tbl_detalle_fill_rate[[#This Row],[Cumpl Real Unds]]-Tabla__192.168.1.8_POSEIDONSQL_APPFVT_01_tbl_detalle_fill_rate[[#This Row],[Cant Embarcada]]</f>
        <v>0</v>
      </c>
      <c r="S676" s="1">
        <f>+IF(Tabla__192.168.1.8_POSEIDONSQL_APPFVT_01_tbl_detalle_fill_rate[[#This Row],[Pend Emb]]&gt;0,1,0)</f>
        <v>0</v>
      </c>
      <c r="T6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7" spans="1:20" x14ac:dyDescent="0.25">
      <c r="A677">
        <v>8</v>
      </c>
      <c r="B677" t="s">
        <v>10</v>
      </c>
      <c r="C677">
        <v>9450545600</v>
      </c>
      <c r="D677" s="48">
        <v>43355</v>
      </c>
      <c r="E677" s="48">
        <v>43354</v>
      </c>
      <c r="F677" s="48">
        <v>43366</v>
      </c>
      <c r="G677" t="s">
        <v>533</v>
      </c>
      <c r="H677" t="s">
        <v>534</v>
      </c>
      <c r="I677">
        <v>1</v>
      </c>
      <c r="J677" t="s">
        <v>617</v>
      </c>
      <c r="K677">
        <v>1</v>
      </c>
      <c r="L677">
        <v>1</v>
      </c>
      <c r="M677" t="s">
        <v>425</v>
      </c>
      <c r="N677">
        <v>0</v>
      </c>
      <c r="O677" s="1">
        <f>+Tabla__192.168.1.8_POSEIDONSQL_APPFVT_01_tbl_detalle_fill_rate[[#This Row],[emb_cantidad]]-Tabla__192.168.1.8_POSEIDONSQL_APPFVT_01_tbl_detalle_fill_rate[[#This Row],[dev_cantidad]]</f>
        <v>1</v>
      </c>
      <c r="P6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7" s="1">
        <f>+Tabla__192.168.1.8_POSEIDONSQL_APPFVT_01_tbl_detalle_fill_rate[[#This Row],[Cumpl Real Unds]]-Tabla__192.168.1.8_POSEIDONSQL_APPFVT_01_tbl_detalle_fill_rate[[#This Row],[Cant Embarcada]]</f>
        <v>0</v>
      </c>
      <c r="S677" s="1">
        <f>+IF(Tabla__192.168.1.8_POSEIDONSQL_APPFVT_01_tbl_detalle_fill_rate[[#This Row],[Pend Emb]]&gt;0,1,0)</f>
        <v>0</v>
      </c>
      <c r="T6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8" spans="1:20" x14ac:dyDescent="0.25">
      <c r="A678">
        <v>8</v>
      </c>
      <c r="B678" t="s">
        <v>10</v>
      </c>
      <c r="C678">
        <v>9450545600</v>
      </c>
      <c r="D678" s="48">
        <v>43355</v>
      </c>
      <c r="E678" s="48">
        <v>43354</v>
      </c>
      <c r="F678" s="48">
        <v>43366</v>
      </c>
      <c r="G678" t="s">
        <v>102</v>
      </c>
      <c r="H678" t="s">
        <v>103</v>
      </c>
      <c r="I678">
        <v>1</v>
      </c>
      <c r="J678" t="s">
        <v>616</v>
      </c>
      <c r="K678">
        <v>1</v>
      </c>
      <c r="L678">
        <v>1</v>
      </c>
      <c r="M678" t="s">
        <v>425</v>
      </c>
      <c r="N678">
        <v>0</v>
      </c>
      <c r="O678" s="1">
        <f>+Tabla__192.168.1.8_POSEIDONSQL_APPFVT_01_tbl_detalle_fill_rate[[#This Row],[emb_cantidad]]-Tabla__192.168.1.8_POSEIDONSQL_APPFVT_01_tbl_detalle_fill_rate[[#This Row],[dev_cantidad]]</f>
        <v>1</v>
      </c>
      <c r="P6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8" s="1">
        <f>+Tabla__192.168.1.8_POSEIDONSQL_APPFVT_01_tbl_detalle_fill_rate[[#This Row],[Cumpl Real Unds]]-Tabla__192.168.1.8_POSEIDONSQL_APPFVT_01_tbl_detalle_fill_rate[[#This Row],[Cant Embarcada]]</f>
        <v>0</v>
      </c>
      <c r="S678" s="1">
        <f>+IF(Tabla__192.168.1.8_POSEIDONSQL_APPFVT_01_tbl_detalle_fill_rate[[#This Row],[Pend Emb]]&gt;0,1,0)</f>
        <v>0</v>
      </c>
      <c r="T6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79" spans="1:20" x14ac:dyDescent="0.25">
      <c r="A679">
        <v>8</v>
      </c>
      <c r="B679" t="s">
        <v>10</v>
      </c>
      <c r="C679">
        <v>9450545633</v>
      </c>
      <c r="D679" s="48">
        <v>43356</v>
      </c>
      <c r="E679" s="48">
        <v>43355</v>
      </c>
      <c r="F679" s="48">
        <v>43362</v>
      </c>
      <c r="G679" t="s">
        <v>80</v>
      </c>
      <c r="H679" t="s">
        <v>81</v>
      </c>
      <c r="I679">
        <v>1</v>
      </c>
      <c r="J679" t="s">
        <v>833</v>
      </c>
      <c r="K679">
        <v>1</v>
      </c>
      <c r="L679">
        <v>1</v>
      </c>
      <c r="M679" t="s">
        <v>425</v>
      </c>
      <c r="N679">
        <v>0</v>
      </c>
      <c r="O679" s="1">
        <f>+Tabla__192.168.1.8_POSEIDONSQL_APPFVT_01_tbl_detalle_fill_rate[[#This Row],[emb_cantidad]]-Tabla__192.168.1.8_POSEIDONSQL_APPFVT_01_tbl_detalle_fill_rate[[#This Row],[dev_cantidad]]</f>
        <v>1</v>
      </c>
      <c r="P6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79" s="1">
        <f>+Tabla__192.168.1.8_POSEIDONSQL_APPFVT_01_tbl_detalle_fill_rate[[#This Row],[Cumpl Real Unds]]-Tabla__192.168.1.8_POSEIDONSQL_APPFVT_01_tbl_detalle_fill_rate[[#This Row],[Cant Embarcada]]</f>
        <v>0</v>
      </c>
      <c r="S679" s="1">
        <f>+IF(Tabla__192.168.1.8_POSEIDONSQL_APPFVT_01_tbl_detalle_fill_rate[[#This Row],[Pend Emb]]&gt;0,1,0)</f>
        <v>0</v>
      </c>
      <c r="T6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0" spans="1:20" x14ac:dyDescent="0.25">
      <c r="A680">
        <v>8</v>
      </c>
      <c r="B680" t="s">
        <v>10</v>
      </c>
      <c r="C680">
        <v>9450545643</v>
      </c>
      <c r="D680" s="48">
        <v>43356</v>
      </c>
      <c r="E680" s="48">
        <v>43355</v>
      </c>
      <c r="F680" s="48">
        <v>43366</v>
      </c>
      <c r="G680" t="s">
        <v>126</v>
      </c>
      <c r="H680" t="s">
        <v>127</v>
      </c>
      <c r="I680">
        <v>1</v>
      </c>
      <c r="J680" t="s">
        <v>835</v>
      </c>
      <c r="K680">
        <v>1</v>
      </c>
      <c r="L680">
        <v>1</v>
      </c>
      <c r="M680" t="s">
        <v>425</v>
      </c>
      <c r="N680">
        <v>0</v>
      </c>
      <c r="O680" s="1">
        <f>+Tabla__192.168.1.8_POSEIDONSQL_APPFVT_01_tbl_detalle_fill_rate[[#This Row],[emb_cantidad]]-Tabla__192.168.1.8_POSEIDONSQL_APPFVT_01_tbl_detalle_fill_rate[[#This Row],[dev_cantidad]]</f>
        <v>1</v>
      </c>
      <c r="P6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0" s="1">
        <f>+Tabla__192.168.1.8_POSEIDONSQL_APPFVT_01_tbl_detalle_fill_rate[[#This Row],[Cumpl Real Unds]]-Tabla__192.168.1.8_POSEIDONSQL_APPFVT_01_tbl_detalle_fill_rate[[#This Row],[Cant Embarcada]]</f>
        <v>0</v>
      </c>
      <c r="S680" s="1">
        <f>+IF(Tabla__192.168.1.8_POSEIDONSQL_APPFVT_01_tbl_detalle_fill_rate[[#This Row],[Pend Emb]]&gt;0,1,0)</f>
        <v>0</v>
      </c>
      <c r="T6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1" spans="1:20" x14ac:dyDescent="0.25">
      <c r="A681">
        <v>8</v>
      </c>
      <c r="B681" t="s">
        <v>10</v>
      </c>
      <c r="C681">
        <v>9450545648</v>
      </c>
      <c r="D681" s="48">
        <v>43356</v>
      </c>
      <c r="E681" s="48">
        <v>43355</v>
      </c>
      <c r="F681" s="48">
        <v>43364</v>
      </c>
      <c r="G681" t="s">
        <v>880</v>
      </c>
      <c r="H681" t="s">
        <v>881</v>
      </c>
      <c r="I681">
        <v>4</v>
      </c>
      <c r="J681" t="s">
        <v>882</v>
      </c>
      <c r="K681">
        <v>4</v>
      </c>
      <c r="L681">
        <v>4</v>
      </c>
      <c r="M681" t="s">
        <v>415</v>
      </c>
      <c r="N681">
        <v>0</v>
      </c>
      <c r="O681" s="1">
        <f>+Tabla__192.168.1.8_POSEIDONSQL_APPFVT_01_tbl_detalle_fill_rate[[#This Row],[emb_cantidad]]-Tabla__192.168.1.8_POSEIDONSQL_APPFVT_01_tbl_detalle_fill_rate[[#This Row],[dev_cantidad]]</f>
        <v>4</v>
      </c>
      <c r="P6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681" s="1">
        <f>+Tabla__192.168.1.8_POSEIDONSQL_APPFVT_01_tbl_detalle_fill_rate[[#This Row],[Cumpl Real Unds]]-Tabla__192.168.1.8_POSEIDONSQL_APPFVT_01_tbl_detalle_fill_rate[[#This Row],[Cant Embarcada]]</f>
        <v>0</v>
      </c>
      <c r="S681" s="1">
        <f>+IF(Tabla__192.168.1.8_POSEIDONSQL_APPFVT_01_tbl_detalle_fill_rate[[#This Row],[Pend Emb]]&gt;0,1,0)</f>
        <v>0</v>
      </c>
      <c r="T6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2" spans="1:20" x14ac:dyDescent="0.25">
      <c r="A682">
        <v>8</v>
      </c>
      <c r="B682" t="s">
        <v>10</v>
      </c>
      <c r="C682">
        <v>9450545648</v>
      </c>
      <c r="D682" s="48">
        <v>43356</v>
      </c>
      <c r="E682" s="48">
        <v>43355</v>
      </c>
      <c r="F682" s="48">
        <v>43364</v>
      </c>
      <c r="G682" t="s">
        <v>296</v>
      </c>
      <c r="H682" t="s">
        <v>297</v>
      </c>
      <c r="I682">
        <v>2</v>
      </c>
      <c r="J682" t="s">
        <v>883</v>
      </c>
      <c r="K682">
        <v>2</v>
      </c>
      <c r="L682">
        <v>2</v>
      </c>
      <c r="M682" t="s">
        <v>415</v>
      </c>
      <c r="N682">
        <v>0</v>
      </c>
      <c r="O682" s="1">
        <f>+Tabla__192.168.1.8_POSEIDONSQL_APPFVT_01_tbl_detalle_fill_rate[[#This Row],[emb_cantidad]]-Tabla__192.168.1.8_POSEIDONSQL_APPFVT_01_tbl_detalle_fill_rate[[#This Row],[dev_cantidad]]</f>
        <v>2</v>
      </c>
      <c r="P6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682" s="1">
        <f>+Tabla__192.168.1.8_POSEIDONSQL_APPFVT_01_tbl_detalle_fill_rate[[#This Row],[Cumpl Real Unds]]-Tabla__192.168.1.8_POSEIDONSQL_APPFVT_01_tbl_detalle_fill_rate[[#This Row],[Cant Embarcada]]</f>
        <v>0</v>
      </c>
      <c r="S682" s="1">
        <f>+IF(Tabla__192.168.1.8_POSEIDONSQL_APPFVT_01_tbl_detalle_fill_rate[[#This Row],[Pend Emb]]&gt;0,1,0)</f>
        <v>0</v>
      </c>
      <c r="T6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3" spans="1:20" x14ac:dyDescent="0.25">
      <c r="A683">
        <v>8</v>
      </c>
      <c r="B683" t="s">
        <v>10</v>
      </c>
      <c r="C683">
        <v>9450545648</v>
      </c>
      <c r="D683" s="48">
        <v>43356</v>
      </c>
      <c r="E683" s="48">
        <v>43355</v>
      </c>
      <c r="F683" s="48">
        <v>43364</v>
      </c>
      <c r="G683" t="s">
        <v>399</v>
      </c>
      <c r="H683" t="s">
        <v>400</v>
      </c>
      <c r="I683">
        <v>5</v>
      </c>
      <c r="J683" t="s">
        <v>884</v>
      </c>
      <c r="K683">
        <v>5</v>
      </c>
      <c r="L683">
        <v>5</v>
      </c>
      <c r="M683" t="s">
        <v>415</v>
      </c>
      <c r="N683">
        <v>0</v>
      </c>
      <c r="O683" s="1">
        <f>+Tabla__192.168.1.8_POSEIDONSQL_APPFVT_01_tbl_detalle_fill_rate[[#This Row],[emb_cantidad]]-Tabla__192.168.1.8_POSEIDONSQL_APPFVT_01_tbl_detalle_fill_rate[[#This Row],[dev_cantidad]]</f>
        <v>5</v>
      </c>
      <c r="P6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683" s="1">
        <f>+Tabla__192.168.1.8_POSEIDONSQL_APPFVT_01_tbl_detalle_fill_rate[[#This Row],[Cumpl Real Unds]]-Tabla__192.168.1.8_POSEIDONSQL_APPFVT_01_tbl_detalle_fill_rate[[#This Row],[Cant Embarcada]]</f>
        <v>0</v>
      </c>
      <c r="S683" s="1">
        <f>+IF(Tabla__192.168.1.8_POSEIDONSQL_APPFVT_01_tbl_detalle_fill_rate[[#This Row],[Pend Emb]]&gt;0,1,0)</f>
        <v>0</v>
      </c>
      <c r="T6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4" spans="1:20" x14ac:dyDescent="0.25">
      <c r="A684">
        <v>8</v>
      </c>
      <c r="B684" t="s">
        <v>10</v>
      </c>
      <c r="C684">
        <v>9450545648</v>
      </c>
      <c r="D684" s="48">
        <v>43356</v>
      </c>
      <c r="E684" s="48">
        <v>43355</v>
      </c>
      <c r="F684" s="48">
        <v>43364</v>
      </c>
      <c r="G684" t="s">
        <v>391</v>
      </c>
      <c r="H684" t="s">
        <v>392</v>
      </c>
      <c r="I684">
        <v>5</v>
      </c>
      <c r="J684" t="s">
        <v>885</v>
      </c>
      <c r="K684">
        <v>5</v>
      </c>
      <c r="L684">
        <v>5</v>
      </c>
      <c r="M684" t="s">
        <v>415</v>
      </c>
      <c r="N684">
        <v>0</v>
      </c>
      <c r="O684" s="1">
        <f>+Tabla__192.168.1.8_POSEIDONSQL_APPFVT_01_tbl_detalle_fill_rate[[#This Row],[emb_cantidad]]-Tabla__192.168.1.8_POSEIDONSQL_APPFVT_01_tbl_detalle_fill_rate[[#This Row],[dev_cantidad]]</f>
        <v>5</v>
      </c>
      <c r="P6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684" s="1">
        <f>+Tabla__192.168.1.8_POSEIDONSQL_APPFVT_01_tbl_detalle_fill_rate[[#This Row],[Cumpl Real Unds]]-Tabla__192.168.1.8_POSEIDONSQL_APPFVT_01_tbl_detalle_fill_rate[[#This Row],[Cant Embarcada]]</f>
        <v>0</v>
      </c>
      <c r="S684" s="1">
        <f>+IF(Tabla__192.168.1.8_POSEIDONSQL_APPFVT_01_tbl_detalle_fill_rate[[#This Row],[Pend Emb]]&gt;0,1,0)</f>
        <v>0</v>
      </c>
      <c r="T6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5" spans="1:20" x14ac:dyDescent="0.25">
      <c r="A685">
        <v>8</v>
      </c>
      <c r="B685" t="s">
        <v>10</v>
      </c>
      <c r="C685">
        <v>9450545672</v>
      </c>
      <c r="D685" s="48">
        <v>43357</v>
      </c>
      <c r="E685" s="48">
        <v>43356</v>
      </c>
      <c r="F685" s="48">
        <v>43364</v>
      </c>
      <c r="G685" t="s">
        <v>78</v>
      </c>
      <c r="H685" t="s">
        <v>79</v>
      </c>
      <c r="I685">
        <v>1</v>
      </c>
      <c r="J685" t="s">
        <v>584</v>
      </c>
      <c r="K685">
        <v>1</v>
      </c>
      <c r="L685">
        <v>1</v>
      </c>
      <c r="M685" t="s">
        <v>415</v>
      </c>
      <c r="N685">
        <v>0</v>
      </c>
      <c r="O685" s="1">
        <f>+Tabla__192.168.1.8_POSEIDONSQL_APPFVT_01_tbl_detalle_fill_rate[[#This Row],[emb_cantidad]]-Tabla__192.168.1.8_POSEIDONSQL_APPFVT_01_tbl_detalle_fill_rate[[#This Row],[dev_cantidad]]</f>
        <v>1</v>
      </c>
      <c r="P6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5" s="1">
        <f>+Tabla__192.168.1.8_POSEIDONSQL_APPFVT_01_tbl_detalle_fill_rate[[#This Row],[Cumpl Real Unds]]-Tabla__192.168.1.8_POSEIDONSQL_APPFVT_01_tbl_detalle_fill_rate[[#This Row],[Cant Embarcada]]</f>
        <v>0</v>
      </c>
      <c r="S685" s="1">
        <f>+IF(Tabla__192.168.1.8_POSEIDONSQL_APPFVT_01_tbl_detalle_fill_rate[[#This Row],[Pend Emb]]&gt;0,1,0)</f>
        <v>0</v>
      </c>
      <c r="T6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6" spans="1:20" x14ac:dyDescent="0.25">
      <c r="A686">
        <v>8</v>
      </c>
      <c r="B686" t="s">
        <v>10</v>
      </c>
      <c r="C686">
        <v>9450545673</v>
      </c>
      <c r="D686" s="48">
        <v>43357</v>
      </c>
      <c r="E686" s="48">
        <v>43356</v>
      </c>
      <c r="F686" s="48">
        <v>43362</v>
      </c>
      <c r="G686" t="s">
        <v>80</v>
      </c>
      <c r="H686" t="s">
        <v>81</v>
      </c>
      <c r="I686">
        <v>1</v>
      </c>
      <c r="J686" t="s">
        <v>833</v>
      </c>
      <c r="K686">
        <v>1</v>
      </c>
      <c r="L686">
        <v>1</v>
      </c>
      <c r="M686" t="s">
        <v>415</v>
      </c>
      <c r="N686">
        <v>0</v>
      </c>
      <c r="O686" s="1">
        <f>+Tabla__192.168.1.8_POSEIDONSQL_APPFVT_01_tbl_detalle_fill_rate[[#This Row],[emb_cantidad]]-Tabla__192.168.1.8_POSEIDONSQL_APPFVT_01_tbl_detalle_fill_rate[[#This Row],[dev_cantidad]]</f>
        <v>1</v>
      </c>
      <c r="P6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6" s="1">
        <f>+Tabla__192.168.1.8_POSEIDONSQL_APPFVT_01_tbl_detalle_fill_rate[[#This Row],[Cumpl Real Unds]]-Tabla__192.168.1.8_POSEIDONSQL_APPFVT_01_tbl_detalle_fill_rate[[#This Row],[Cant Embarcada]]</f>
        <v>0</v>
      </c>
      <c r="S686" s="1">
        <f>+IF(Tabla__192.168.1.8_POSEIDONSQL_APPFVT_01_tbl_detalle_fill_rate[[#This Row],[Pend Emb]]&gt;0,1,0)</f>
        <v>0</v>
      </c>
      <c r="T6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7" spans="1:20" x14ac:dyDescent="0.25">
      <c r="A687">
        <v>8</v>
      </c>
      <c r="B687" t="s">
        <v>10</v>
      </c>
      <c r="C687">
        <v>9450545722</v>
      </c>
      <c r="D687" s="48">
        <v>43363</v>
      </c>
      <c r="E687" s="48">
        <v>43357</v>
      </c>
      <c r="F687" s="48">
        <v>43370</v>
      </c>
      <c r="G687" t="s">
        <v>78</v>
      </c>
      <c r="H687" t="s">
        <v>79</v>
      </c>
      <c r="I687">
        <v>1</v>
      </c>
      <c r="J687" t="s">
        <v>584</v>
      </c>
      <c r="K687">
        <v>1</v>
      </c>
      <c r="L687">
        <v>1</v>
      </c>
      <c r="M687" t="s">
        <v>416</v>
      </c>
      <c r="N687">
        <v>0</v>
      </c>
      <c r="O687" s="1">
        <f>+Tabla__192.168.1.8_POSEIDONSQL_APPFVT_01_tbl_detalle_fill_rate[[#This Row],[emb_cantidad]]-Tabla__192.168.1.8_POSEIDONSQL_APPFVT_01_tbl_detalle_fill_rate[[#This Row],[dev_cantidad]]</f>
        <v>1</v>
      </c>
      <c r="P6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7" s="1">
        <f>+Tabla__192.168.1.8_POSEIDONSQL_APPFVT_01_tbl_detalle_fill_rate[[#This Row],[Cumpl Real Unds]]-Tabla__192.168.1.8_POSEIDONSQL_APPFVT_01_tbl_detalle_fill_rate[[#This Row],[Cant Embarcada]]</f>
        <v>0</v>
      </c>
      <c r="S687" s="1">
        <f>+IF(Tabla__192.168.1.8_POSEIDONSQL_APPFVT_01_tbl_detalle_fill_rate[[#This Row],[Pend Emb]]&gt;0,1,0)</f>
        <v>0</v>
      </c>
      <c r="T6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8" spans="1:20" x14ac:dyDescent="0.25">
      <c r="A688">
        <v>8</v>
      </c>
      <c r="B688" t="s">
        <v>10</v>
      </c>
      <c r="C688">
        <v>9450545739</v>
      </c>
      <c r="D688" s="48">
        <v>43363</v>
      </c>
      <c r="E688" s="48">
        <v>43357</v>
      </c>
      <c r="F688" s="48">
        <v>43367</v>
      </c>
      <c r="G688" t="s">
        <v>203</v>
      </c>
      <c r="H688" t="s">
        <v>204</v>
      </c>
      <c r="I688">
        <v>1</v>
      </c>
      <c r="J688" t="s">
        <v>359</v>
      </c>
      <c r="K688">
        <v>1</v>
      </c>
      <c r="L688">
        <v>1</v>
      </c>
      <c r="M688" t="s">
        <v>416</v>
      </c>
      <c r="N688">
        <v>0</v>
      </c>
      <c r="O688" s="1">
        <f>+Tabla__192.168.1.8_POSEIDONSQL_APPFVT_01_tbl_detalle_fill_rate[[#This Row],[emb_cantidad]]-Tabla__192.168.1.8_POSEIDONSQL_APPFVT_01_tbl_detalle_fill_rate[[#This Row],[dev_cantidad]]</f>
        <v>1</v>
      </c>
      <c r="P6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8" s="1">
        <f>+Tabla__192.168.1.8_POSEIDONSQL_APPFVT_01_tbl_detalle_fill_rate[[#This Row],[Cumpl Real Unds]]-Tabla__192.168.1.8_POSEIDONSQL_APPFVT_01_tbl_detalle_fill_rate[[#This Row],[Cant Embarcada]]</f>
        <v>0</v>
      </c>
      <c r="S688" s="1">
        <f>+IF(Tabla__192.168.1.8_POSEIDONSQL_APPFVT_01_tbl_detalle_fill_rate[[#This Row],[Pend Emb]]&gt;0,1,0)</f>
        <v>0</v>
      </c>
      <c r="T6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89" spans="1:20" x14ac:dyDescent="0.25">
      <c r="A689">
        <v>24</v>
      </c>
      <c r="B689" t="s">
        <v>54</v>
      </c>
      <c r="C689">
        <v>5100233</v>
      </c>
      <c r="D689" s="48">
        <v>43343</v>
      </c>
      <c r="E689" s="48">
        <v>43338</v>
      </c>
      <c r="F689" s="48">
        <v>43349</v>
      </c>
      <c r="G689" t="s">
        <v>72</v>
      </c>
      <c r="H689" t="s">
        <v>73</v>
      </c>
      <c r="I689">
        <v>1</v>
      </c>
      <c r="J689" t="s">
        <v>1273</v>
      </c>
      <c r="K689">
        <v>1</v>
      </c>
      <c r="L689">
        <v>1</v>
      </c>
      <c r="M689" t="s">
        <v>160</v>
      </c>
      <c r="N689">
        <v>0</v>
      </c>
      <c r="O689" s="1">
        <f>+Tabla__192.168.1.8_POSEIDONSQL_APPFVT_01_tbl_detalle_fill_rate[[#This Row],[emb_cantidad]]-Tabla__192.168.1.8_POSEIDONSQL_APPFVT_01_tbl_detalle_fill_rate[[#This Row],[dev_cantidad]]</f>
        <v>1</v>
      </c>
      <c r="P6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89" s="1">
        <f>+Tabla__192.168.1.8_POSEIDONSQL_APPFVT_01_tbl_detalle_fill_rate[[#This Row],[Cumpl Real Unds]]-Tabla__192.168.1.8_POSEIDONSQL_APPFVT_01_tbl_detalle_fill_rate[[#This Row],[Cant Embarcada]]</f>
        <v>0</v>
      </c>
      <c r="S689" s="1">
        <f>+IF(Tabla__192.168.1.8_POSEIDONSQL_APPFVT_01_tbl_detalle_fill_rate[[#This Row],[Pend Emb]]&gt;0,1,0)</f>
        <v>0</v>
      </c>
      <c r="T6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0" spans="1:20" x14ac:dyDescent="0.25">
      <c r="A690">
        <v>24</v>
      </c>
      <c r="B690" t="s">
        <v>54</v>
      </c>
      <c r="C690">
        <v>5100902</v>
      </c>
      <c r="D690" s="48">
        <v>43342</v>
      </c>
      <c r="E690" s="48">
        <v>43341</v>
      </c>
      <c r="F690" s="48">
        <v>43352</v>
      </c>
      <c r="G690" t="s">
        <v>142</v>
      </c>
      <c r="H690" t="s">
        <v>143</v>
      </c>
      <c r="I690">
        <v>30</v>
      </c>
      <c r="J690" t="s">
        <v>49</v>
      </c>
      <c r="K690">
        <v>0</v>
      </c>
      <c r="L690">
        <v>0</v>
      </c>
      <c r="M690" t="s">
        <v>12</v>
      </c>
      <c r="N690">
        <v>0</v>
      </c>
      <c r="O690" s="1">
        <f>+Tabla__192.168.1.8_POSEIDONSQL_APPFVT_01_tbl_detalle_fill_rate[[#This Row],[emb_cantidad]]-Tabla__192.168.1.8_POSEIDONSQL_APPFVT_01_tbl_detalle_fill_rate[[#This Row],[dev_cantidad]]</f>
        <v>0</v>
      </c>
      <c r="P6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690" s="1">
        <f>+Tabla__192.168.1.8_POSEIDONSQL_APPFVT_01_tbl_detalle_fill_rate[[#This Row],[Cumpl Real Unds]]-Tabla__192.168.1.8_POSEIDONSQL_APPFVT_01_tbl_detalle_fill_rate[[#This Row],[Cant Embarcada]]</f>
        <v>0</v>
      </c>
      <c r="S690" s="1">
        <f>+IF(Tabla__192.168.1.8_POSEIDONSQL_APPFVT_01_tbl_detalle_fill_rate[[#This Row],[Pend Emb]]&gt;0,1,0)</f>
        <v>0</v>
      </c>
      <c r="T6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1" spans="1:20" x14ac:dyDescent="0.25">
      <c r="A691">
        <v>24</v>
      </c>
      <c r="B691" t="s">
        <v>54</v>
      </c>
      <c r="C691">
        <v>5101013</v>
      </c>
      <c r="D691" s="48">
        <v>43342</v>
      </c>
      <c r="E691" s="48">
        <v>43341</v>
      </c>
      <c r="F691" s="48">
        <v>43352</v>
      </c>
      <c r="G691" t="s">
        <v>142</v>
      </c>
      <c r="H691" t="s">
        <v>143</v>
      </c>
      <c r="I691">
        <v>30</v>
      </c>
      <c r="J691" t="s">
        <v>49</v>
      </c>
      <c r="K691">
        <v>30</v>
      </c>
      <c r="L691">
        <v>30</v>
      </c>
      <c r="M691" t="s">
        <v>1962</v>
      </c>
      <c r="N691">
        <v>0</v>
      </c>
      <c r="O691" s="1">
        <f>+Tabla__192.168.1.8_POSEIDONSQL_APPFVT_01_tbl_detalle_fill_rate[[#This Row],[emb_cantidad]]-Tabla__192.168.1.8_POSEIDONSQL_APPFVT_01_tbl_detalle_fill_rate[[#This Row],[dev_cantidad]]</f>
        <v>30</v>
      </c>
      <c r="P6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691" s="1">
        <f>+Tabla__192.168.1.8_POSEIDONSQL_APPFVT_01_tbl_detalle_fill_rate[[#This Row],[Cumpl Real Unds]]-Tabla__192.168.1.8_POSEIDONSQL_APPFVT_01_tbl_detalle_fill_rate[[#This Row],[Cant Embarcada]]</f>
        <v>0</v>
      </c>
      <c r="S691" s="1">
        <f>+IF(Tabla__192.168.1.8_POSEIDONSQL_APPFVT_01_tbl_detalle_fill_rate[[#This Row],[Pend Emb]]&gt;0,1,0)</f>
        <v>0</v>
      </c>
      <c r="T6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2" spans="1:20" x14ac:dyDescent="0.25">
      <c r="A692">
        <v>24</v>
      </c>
      <c r="B692" t="s">
        <v>54</v>
      </c>
      <c r="C692">
        <v>5101084</v>
      </c>
      <c r="D692" s="48">
        <v>43342</v>
      </c>
      <c r="E692" s="48">
        <v>43341</v>
      </c>
      <c r="F692" s="48">
        <v>43347</v>
      </c>
      <c r="G692" t="s">
        <v>232</v>
      </c>
      <c r="H692" t="s">
        <v>233</v>
      </c>
      <c r="I692">
        <v>1</v>
      </c>
      <c r="J692" t="s">
        <v>1145</v>
      </c>
      <c r="K692">
        <v>1</v>
      </c>
      <c r="L692">
        <v>1</v>
      </c>
      <c r="M692" t="s">
        <v>162</v>
      </c>
      <c r="N692">
        <v>0</v>
      </c>
      <c r="O692" s="1">
        <f>+Tabla__192.168.1.8_POSEIDONSQL_APPFVT_01_tbl_detalle_fill_rate[[#This Row],[emb_cantidad]]-Tabla__192.168.1.8_POSEIDONSQL_APPFVT_01_tbl_detalle_fill_rate[[#This Row],[dev_cantidad]]</f>
        <v>1</v>
      </c>
      <c r="P6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92" s="1">
        <f>+Tabla__192.168.1.8_POSEIDONSQL_APPFVT_01_tbl_detalle_fill_rate[[#This Row],[Cumpl Real Unds]]-Tabla__192.168.1.8_POSEIDONSQL_APPFVT_01_tbl_detalle_fill_rate[[#This Row],[Cant Embarcada]]</f>
        <v>0</v>
      </c>
      <c r="S692" s="1">
        <f>+IF(Tabla__192.168.1.8_POSEIDONSQL_APPFVT_01_tbl_detalle_fill_rate[[#This Row],[Pend Emb]]&gt;0,1,0)</f>
        <v>0</v>
      </c>
      <c r="T6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3" spans="1:20" x14ac:dyDescent="0.25">
      <c r="A693">
        <v>24</v>
      </c>
      <c r="B693" t="s">
        <v>54</v>
      </c>
      <c r="C693">
        <v>5101219</v>
      </c>
      <c r="D693" s="48">
        <v>43343</v>
      </c>
      <c r="E693" s="48">
        <v>43342</v>
      </c>
      <c r="F693" s="48">
        <v>43354</v>
      </c>
      <c r="G693" t="s">
        <v>227</v>
      </c>
      <c r="H693" t="s">
        <v>228</v>
      </c>
      <c r="I693">
        <v>1</v>
      </c>
      <c r="J693" t="s">
        <v>1185</v>
      </c>
      <c r="K693">
        <v>1</v>
      </c>
      <c r="L693">
        <v>1</v>
      </c>
      <c r="M693" t="s">
        <v>163</v>
      </c>
      <c r="N693">
        <v>0</v>
      </c>
      <c r="O693" s="1">
        <f>+Tabla__192.168.1.8_POSEIDONSQL_APPFVT_01_tbl_detalle_fill_rate[[#This Row],[emb_cantidad]]-Tabla__192.168.1.8_POSEIDONSQL_APPFVT_01_tbl_detalle_fill_rate[[#This Row],[dev_cantidad]]</f>
        <v>1</v>
      </c>
      <c r="P6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693" s="1">
        <f>+Tabla__192.168.1.8_POSEIDONSQL_APPFVT_01_tbl_detalle_fill_rate[[#This Row],[Cumpl Real Unds]]-Tabla__192.168.1.8_POSEIDONSQL_APPFVT_01_tbl_detalle_fill_rate[[#This Row],[Cant Embarcada]]</f>
        <v>0</v>
      </c>
      <c r="S693" s="1">
        <f>+IF(Tabla__192.168.1.8_POSEIDONSQL_APPFVT_01_tbl_detalle_fill_rate[[#This Row],[Pend Emb]]&gt;0,1,0)</f>
        <v>0</v>
      </c>
      <c r="T6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4" spans="1:20" x14ac:dyDescent="0.25">
      <c r="A694">
        <v>24</v>
      </c>
      <c r="B694" t="s">
        <v>54</v>
      </c>
      <c r="C694">
        <v>5101343</v>
      </c>
      <c r="D694" s="48">
        <v>43346</v>
      </c>
      <c r="E694" s="48">
        <v>43343</v>
      </c>
      <c r="F694" s="48">
        <v>43352</v>
      </c>
      <c r="G694" t="s">
        <v>310</v>
      </c>
      <c r="H694" t="s">
        <v>311</v>
      </c>
      <c r="I694">
        <v>70</v>
      </c>
      <c r="J694" t="s">
        <v>49</v>
      </c>
      <c r="K694">
        <v>70</v>
      </c>
      <c r="L694">
        <v>70</v>
      </c>
      <c r="M694" t="s">
        <v>160</v>
      </c>
      <c r="N694">
        <v>0</v>
      </c>
      <c r="O694" s="1">
        <f>+Tabla__192.168.1.8_POSEIDONSQL_APPFVT_01_tbl_detalle_fill_rate[[#This Row],[emb_cantidad]]-Tabla__192.168.1.8_POSEIDONSQL_APPFVT_01_tbl_detalle_fill_rate[[#This Row],[dev_cantidad]]</f>
        <v>70</v>
      </c>
      <c r="P6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70</v>
      </c>
      <c r="R694" s="1">
        <f>+Tabla__192.168.1.8_POSEIDONSQL_APPFVT_01_tbl_detalle_fill_rate[[#This Row],[Cumpl Real Unds]]-Tabla__192.168.1.8_POSEIDONSQL_APPFVT_01_tbl_detalle_fill_rate[[#This Row],[Cant Embarcada]]</f>
        <v>0</v>
      </c>
      <c r="S694" s="1">
        <f>+IF(Tabla__192.168.1.8_POSEIDONSQL_APPFVT_01_tbl_detalle_fill_rate[[#This Row],[Pend Emb]]&gt;0,1,0)</f>
        <v>0</v>
      </c>
      <c r="T6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5" spans="1:20" x14ac:dyDescent="0.25">
      <c r="A695">
        <v>24</v>
      </c>
      <c r="B695" t="s">
        <v>54</v>
      </c>
      <c r="C695">
        <v>5101343</v>
      </c>
      <c r="D695" s="48">
        <v>43346</v>
      </c>
      <c r="E695" s="48">
        <v>43343</v>
      </c>
      <c r="F695" s="48">
        <v>43352</v>
      </c>
      <c r="G695" t="s">
        <v>816</v>
      </c>
      <c r="H695" t="s">
        <v>817</v>
      </c>
      <c r="I695">
        <v>200</v>
      </c>
      <c r="J695" t="s">
        <v>49</v>
      </c>
      <c r="K695">
        <v>80</v>
      </c>
      <c r="L695">
        <v>80</v>
      </c>
      <c r="M695" t="s">
        <v>160</v>
      </c>
      <c r="N695">
        <v>0</v>
      </c>
      <c r="O695" s="1">
        <f>+Tabla__192.168.1.8_POSEIDONSQL_APPFVT_01_tbl_detalle_fill_rate[[#This Row],[emb_cantidad]]-Tabla__192.168.1.8_POSEIDONSQL_APPFVT_01_tbl_detalle_fill_rate[[#This Row],[dev_cantidad]]</f>
        <v>80</v>
      </c>
      <c r="P6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80</v>
      </c>
      <c r="R695" s="1">
        <f>+Tabla__192.168.1.8_POSEIDONSQL_APPFVT_01_tbl_detalle_fill_rate[[#This Row],[Cumpl Real Unds]]-Tabla__192.168.1.8_POSEIDONSQL_APPFVT_01_tbl_detalle_fill_rate[[#This Row],[Cant Embarcada]]</f>
        <v>0</v>
      </c>
      <c r="S695" s="1">
        <f>+IF(Tabla__192.168.1.8_POSEIDONSQL_APPFVT_01_tbl_detalle_fill_rate[[#This Row],[Pend Emb]]&gt;0,1,0)</f>
        <v>0</v>
      </c>
      <c r="T6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6" spans="1:20" x14ac:dyDescent="0.25">
      <c r="A696">
        <v>24</v>
      </c>
      <c r="B696" t="s">
        <v>54</v>
      </c>
      <c r="C696">
        <v>5101343</v>
      </c>
      <c r="D696" s="48">
        <v>43346</v>
      </c>
      <c r="E696" s="48">
        <v>43343</v>
      </c>
      <c r="F696" s="48">
        <v>43352</v>
      </c>
      <c r="G696" t="s">
        <v>1327</v>
      </c>
      <c r="H696" t="s">
        <v>1328</v>
      </c>
      <c r="I696">
        <v>600</v>
      </c>
      <c r="J696" t="s">
        <v>49</v>
      </c>
      <c r="K696">
        <v>0</v>
      </c>
      <c r="L696">
        <v>0</v>
      </c>
      <c r="M696" t="s">
        <v>160</v>
      </c>
      <c r="N696">
        <v>0</v>
      </c>
      <c r="O696" s="1">
        <f>+Tabla__192.168.1.8_POSEIDONSQL_APPFVT_01_tbl_detalle_fill_rate[[#This Row],[emb_cantidad]]-Tabla__192.168.1.8_POSEIDONSQL_APPFVT_01_tbl_detalle_fill_rate[[#This Row],[dev_cantidad]]</f>
        <v>0</v>
      </c>
      <c r="P6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696" s="1">
        <f>+Tabla__192.168.1.8_POSEIDONSQL_APPFVT_01_tbl_detalle_fill_rate[[#This Row],[Cumpl Real Unds]]-Tabla__192.168.1.8_POSEIDONSQL_APPFVT_01_tbl_detalle_fill_rate[[#This Row],[Cant Embarcada]]</f>
        <v>0</v>
      </c>
      <c r="S696" s="1">
        <f>+IF(Tabla__192.168.1.8_POSEIDONSQL_APPFVT_01_tbl_detalle_fill_rate[[#This Row],[Pend Emb]]&gt;0,1,0)</f>
        <v>0</v>
      </c>
      <c r="T6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7" spans="1:20" x14ac:dyDescent="0.25">
      <c r="A697">
        <v>24</v>
      </c>
      <c r="B697" t="s">
        <v>54</v>
      </c>
      <c r="C697">
        <v>5101343</v>
      </c>
      <c r="D697" s="48">
        <v>43346</v>
      </c>
      <c r="E697" s="48">
        <v>43343</v>
      </c>
      <c r="F697" s="48">
        <v>43352</v>
      </c>
      <c r="G697" t="s">
        <v>818</v>
      </c>
      <c r="H697" t="s">
        <v>819</v>
      </c>
      <c r="I697">
        <v>100</v>
      </c>
      <c r="J697" t="s">
        <v>49</v>
      </c>
      <c r="K697">
        <v>100</v>
      </c>
      <c r="L697">
        <v>100</v>
      </c>
      <c r="M697" t="s">
        <v>160</v>
      </c>
      <c r="N697">
        <v>0</v>
      </c>
      <c r="O697" s="1">
        <f>+Tabla__192.168.1.8_POSEIDONSQL_APPFVT_01_tbl_detalle_fill_rate[[#This Row],[emb_cantidad]]-Tabla__192.168.1.8_POSEIDONSQL_APPFVT_01_tbl_detalle_fill_rate[[#This Row],[dev_cantidad]]</f>
        <v>100</v>
      </c>
      <c r="P6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100</v>
      </c>
      <c r="R697" s="1">
        <f>+Tabla__192.168.1.8_POSEIDONSQL_APPFVT_01_tbl_detalle_fill_rate[[#This Row],[Cumpl Real Unds]]-Tabla__192.168.1.8_POSEIDONSQL_APPFVT_01_tbl_detalle_fill_rate[[#This Row],[Cant Embarcada]]</f>
        <v>0</v>
      </c>
      <c r="S697" s="1">
        <f>+IF(Tabla__192.168.1.8_POSEIDONSQL_APPFVT_01_tbl_detalle_fill_rate[[#This Row],[Pend Emb]]&gt;0,1,0)</f>
        <v>0</v>
      </c>
      <c r="T6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8" spans="1:20" x14ac:dyDescent="0.25">
      <c r="A698">
        <v>24</v>
      </c>
      <c r="B698" t="s">
        <v>54</v>
      </c>
      <c r="C698">
        <v>5101343</v>
      </c>
      <c r="D698" s="48">
        <v>43346</v>
      </c>
      <c r="E698" s="48">
        <v>43343</v>
      </c>
      <c r="F698" s="48">
        <v>43352</v>
      </c>
      <c r="G698" t="s">
        <v>142</v>
      </c>
      <c r="H698" t="s">
        <v>143</v>
      </c>
      <c r="I698">
        <v>90</v>
      </c>
      <c r="J698" t="s">
        <v>49</v>
      </c>
      <c r="K698">
        <v>90</v>
      </c>
      <c r="L698">
        <v>90</v>
      </c>
      <c r="M698" t="s">
        <v>160</v>
      </c>
      <c r="N698">
        <v>0</v>
      </c>
      <c r="O698" s="1">
        <f>+Tabla__192.168.1.8_POSEIDONSQL_APPFVT_01_tbl_detalle_fill_rate[[#This Row],[emb_cantidad]]-Tabla__192.168.1.8_POSEIDONSQL_APPFVT_01_tbl_detalle_fill_rate[[#This Row],[dev_cantidad]]</f>
        <v>90</v>
      </c>
      <c r="P6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90</v>
      </c>
      <c r="R698" s="1">
        <f>+Tabla__192.168.1.8_POSEIDONSQL_APPFVT_01_tbl_detalle_fill_rate[[#This Row],[Cumpl Real Unds]]-Tabla__192.168.1.8_POSEIDONSQL_APPFVT_01_tbl_detalle_fill_rate[[#This Row],[Cant Embarcada]]</f>
        <v>0</v>
      </c>
      <c r="S698" s="1">
        <f>+IF(Tabla__192.168.1.8_POSEIDONSQL_APPFVT_01_tbl_detalle_fill_rate[[#This Row],[Pend Emb]]&gt;0,1,0)</f>
        <v>0</v>
      </c>
      <c r="T6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699" spans="1:20" x14ac:dyDescent="0.25">
      <c r="A699">
        <v>24</v>
      </c>
      <c r="B699" t="s">
        <v>54</v>
      </c>
      <c r="C699">
        <v>5101343</v>
      </c>
      <c r="D699" s="48">
        <v>43346</v>
      </c>
      <c r="E699" s="48">
        <v>43343</v>
      </c>
      <c r="F699" s="48">
        <v>43352</v>
      </c>
      <c r="G699" t="s">
        <v>878</v>
      </c>
      <c r="H699" t="s">
        <v>879</v>
      </c>
      <c r="I699">
        <v>250</v>
      </c>
      <c r="J699" t="s">
        <v>49</v>
      </c>
      <c r="K699">
        <v>0</v>
      </c>
      <c r="L699">
        <v>0</v>
      </c>
      <c r="M699" t="s">
        <v>160</v>
      </c>
      <c r="N699">
        <v>0</v>
      </c>
      <c r="O699" s="1">
        <f>+Tabla__192.168.1.8_POSEIDONSQL_APPFVT_01_tbl_detalle_fill_rate[[#This Row],[emb_cantidad]]-Tabla__192.168.1.8_POSEIDONSQL_APPFVT_01_tbl_detalle_fill_rate[[#This Row],[dev_cantidad]]</f>
        <v>0</v>
      </c>
      <c r="P6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6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699" s="1">
        <f>+Tabla__192.168.1.8_POSEIDONSQL_APPFVT_01_tbl_detalle_fill_rate[[#This Row],[Cumpl Real Unds]]-Tabla__192.168.1.8_POSEIDONSQL_APPFVT_01_tbl_detalle_fill_rate[[#This Row],[Cant Embarcada]]</f>
        <v>0</v>
      </c>
      <c r="S699" s="1">
        <f>+IF(Tabla__192.168.1.8_POSEIDONSQL_APPFVT_01_tbl_detalle_fill_rate[[#This Row],[Pend Emb]]&gt;0,1,0)</f>
        <v>0</v>
      </c>
      <c r="T6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0" spans="1:20" x14ac:dyDescent="0.25">
      <c r="A700">
        <v>24</v>
      </c>
      <c r="B700" t="s">
        <v>54</v>
      </c>
      <c r="C700">
        <v>5101382</v>
      </c>
      <c r="D700" s="48">
        <v>43346</v>
      </c>
      <c r="E700" s="48">
        <v>43343</v>
      </c>
      <c r="F700" s="48">
        <v>43351</v>
      </c>
      <c r="G700" t="s">
        <v>104</v>
      </c>
      <c r="H700" t="s">
        <v>105</v>
      </c>
      <c r="I700">
        <v>1</v>
      </c>
      <c r="J700" t="s">
        <v>49</v>
      </c>
      <c r="K700">
        <v>1</v>
      </c>
      <c r="L700">
        <v>1</v>
      </c>
      <c r="M700" t="s">
        <v>162</v>
      </c>
      <c r="N700">
        <v>0</v>
      </c>
      <c r="O700" s="1">
        <f>+Tabla__192.168.1.8_POSEIDONSQL_APPFVT_01_tbl_detalle_fill_rate[[#This Row],[emb_cantidad]]-Tabla__192.168.1.8_POSEIDONSQL_APPFVT_01_tbl_detalle_fill_rate[[#This Row],[dev_cantidad]]</f>
        <v>1</v>
      </c>
      <c r="P7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0" s="1">
        <f>+Tabla__192.168.1.8_POSEIDONSQL_APPFVT_01_tbl_detalle_fill_rate[[#This Row],[Cumpl Real Unds]]-Tabla__192.168.1.8_POSEIDONSQL_APPFVT_01_tbl_detalle_fill_rate[[#This Row],[Cant Embarcada]]</f>
        <v>0</v>
      </c>
      <c r="S700" s="1">
        <f>+IF(Tabla__192.168.1.8_POSEIDONSQL_APPFVT_01_tbl_detalle_fill_rate[[#This Row],[Pend Emb]]&gt;0,1,0)</f>
        <v>0</v>
      </c>
      <c r="T7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1" spans="1:20" x14ac:dyDescent="0.25">
      <c r="A701">
        <v>24</v>
      </c>
      <c r="B701" t="s">
        <v>54</v>
      </c>
      <c r="C701">
        <v>5101545</v>
      </c>
      <c r="D701" s="48">
        <v>43346</v>
      </c>
      <c r="E701" s="48">
        <v>43343</v>
      </c>
      <c r="F701" s="48">
        <v>43353</v>
      </c>
      <c r="G701" t="s">
        <v>345</v>
      </c>
      <c r="H701" t="s">
        <v>346</v>
      </c>
      <c r="I701">
        <v>1</v>
      </c>
      <c r="J701" t="s">
        <v>1181</v>
      </c>
      <c r="K701">
        <v>1</v>
      </c>
      <c r="L701">
        <v>1</v>
      </c>
      <c r="M701" t="s">
        <v>163</v>
      </c>
      <c r="N701">
        <v>0</v>
      </c>
      <c r="O701" s="1">
        <f>+Tabla__192.168.1.8_POSEIDONSQL_APPFVT_01_tbl_detalle_fill_rate[[#This Row],[emb_cantidad]]-Tabla__192.168.1.8_POSEIDONSQL_APPFVT_01_tbl_detalle_fill_rate[[#This Row],[dev_cantidad]]</f>
        <v>1</v>
      </c>
      <c r="P7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1" s="1">
        <f>+Tabla__192.168.1.8_POSEIDONSQL_APPFVT_01_tbl_detalle_fill_rate[[#This Row],[Cumpl Real Unds]]-Tabla__192.168.1.8_POSEIDONSQL_APPFVT_01_tbl_detalle_fill_rate[[#This Row],[Cant Embarcada]]</f>
        <v>0</v>
      </c>
      <c r="S701" s="1">
        <f>+IF(Tabla__192.168.1.8_POSEIDONSQL_APPFVT_01_tbl_detalle_fill_rate[[#This Row],[Pend Emb]]&gt;0,1,0)</f>
        <v>0</v>
      </c>
      <c r="T7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2" spans="1:20" x14ac:dyDescent="0.25">
      <c r="A702">
        <v>24</v>
      </c>
      <c r="B702" t="s">
        <v>54</v>
      </c>
      <c r="C702">
        <v>5101609</v>
      </c>
      <c r="D702" s="48">
        <v>43346</v>
      </c>
      <c r="E702" s="48">
        <v>43344</v>
      </c>
      <c r="F702" s="48">
        <v>43368</v>
      </c>
      <c r="G702" t="s">
        <v>345</v>
      </c>
      <c r="H702" t="s">
        <v>346</v>
      </c>
      <c r="I702">
        <v>1</v>
      </c>
      <c r="J702" t="s">
        <v>1882</v>
      </c>
      <c r="K702">
        <v>1</v>
      </c>
      <c r="L702">
        <v>1</v>
      </c>
      <c r="M702" t="s">
        <v>419</v>
      </c>
      <c r="N702">
        <v>0</v>
      </c>
      <c r="O702" s="1">
        <f>+Tabla__192.168.1.8_POSEIDONSQL_APPFVT_01_tbl_detalle_fill_rate[[#This Row],[emb_cantidad]]-Tabla__192.168.1.8_POSEIDONSQL_APPFVT_01_tbl_detalle_fill_rate[[#This Row],[dev_cantidad]]</f>
        <v>1</v>
      </c>
      <c r="P7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2" s="1">
        <f>+Tabla__192.168.1.8_POSEIDONSQL_APPFVT_01_tbl_detalle_fill_rate[[#This Row],[Cumpl Real Unds]]-Tabla__192.168.1.8_POSEIDONSQL_APPFVT_01_tbl_detalle_fill_rate[[#This Row],[Cant Embarcada]]</f>
        <v>0</v>
      </c>
      <c r="S702" s="1">
        <f>+IF(Tabla__192.168.1.8_POSEIDONSQL_APPFVT_01_tbl_detalle_fill_rate[[#This Row],[Pend Emb]]&gt;0,1,0)</f>
        <v>0</v>
      </c>
      <c r="T7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3" spans="1:20" x14ac:dyDescent="0.25">
      <c r="A703">
        <v>24</v>
      </c>
      <c r="B703" t="s">
        <v>54</v>
      </c>
      <c r="C703">
        <v>5101799</v>
      </c>
      <c r="D703" s="48">
        <v>43346</v>
      </c>
      <c r="E703" s="48">
        <v>43344</v>
      </c>
      <c r="F703" s="48">
        <v>43353</v>
      </c>
      <c r="G703" t="s">
        <v>232</v>
      </c>
      <c r="H703" t="s">
        <v>233</v>
      </c>
      <c r="I703">
        <v>1</v>
      </c>
      <c r="J703" t="s">
        <v>1182</v>
      </c>
      <c r="K703">
        <v>1</v>
      </c>
      <c r="L703">
        <v>1</v>
      </c>
      <c r="M703" t="s">
        <v>163</v>
      </c>
      <c r="N703">
        <v>0</v>
      </c>
      <c r="O703" s="1">
        <f>+Tabla__192.168.1.8_POSEIDONSQL_APPFVT_01_tbl_detalle_fill_rate[[#This Row],[emb_cantidad]]-Tabla__192.168.1.8_POSEIDONSQL_APPFVT_01_tbl_detalle_fill_rate[[#This Row],[dev_cantidad]]</f>
        <v>1</v>
      </c>
      <c r="P7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3" s="1">
        <f>+Tabla__192.168.1.8_POSEIDONSQL_APPFVT_01_tbl_detalle_fill_rate[[#This Row],[Cumpl Real Unds]]-Tabla__192.168.1.8_POSEIDONSQL_APPFVT_01_tbl_detalle_fill_rate[[#This Row],[Cant Embarcada]]</f>
        <v>0</v>
      </c>
      <c r="S703" s="1">
        <f>+IF(Tabla__192.168.1.8_POSEIDONSQL_APPFVT_01_tbl_detalle_fill_rate[[#This Row],[Pend Emb]]&gt;0,1,0)</f>
        <v>0</v>
      </c>
      <c r="T7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4" spans="1:20" x14ac:dyDescent="0.25">
      <c r="A704">
        <v>24</v>
      </c>
      <c r="B704" t="s">
        <v>54</v>
      </c>
      <c r="C704">
        <v>5101844</v>
      </c>
      <c r="D704" s="48">
        <v>43346</v>
      </c>
      <c r="E704" s="48">
        <v>43344</v>
      </c>
      <c r="F704" s="48">
        <v>43353</v>
      </c>
      <c r="G704" t="s">
        <v>345</v>
      </c>
      <c r="H704" t="s">
        <v>346</v>
      </c>
      <c r="I704">
        <v>1</v>
      </c>
      <c r="J704" t="s">
        <v>1183</v>
      </c>
      <c r="K704">
        <v>1</v>
      </c>
      <c r="L704">
        <v>1</v>
      </c>
      <c r="M704" t="s">
        <v>163</v>
      </c>
      <c r="N704">
        <v>0</v>
      </c>
      <c r="O704" s="1">
        <f>+Tabla__192.168.1.8_POSEIDONSQL_APPFVT_01_tbl_detalle_fill_rate[[#This Row],[emb_cantidad]]-Tabla__192.168.1.8_POSEIDONSQL_APPFVT_01_tbl_detalle_fill_rate[[#This Row],[dev_cantidad]]</f>
        <v>1</v>
      </c>
      <c r="P7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4" s="1">
        <f>+Tabla__192.168.1.8_POSEIDONSQL_APPFVT_01_tbl_detalle_fill_rate[[#This Row],[Cumpl Real Unds]]-Tabla__192.168.1.8_POSEIDONSQL_APPFVT_01_tbl_detalle_fill_rate[[#This Row],[Cant Embarcada]]</f>
        <v>0</v>
      </c>
      <c r="S704" s="1">
        <f>+IF(Tabla__192.168.1.8_POSEIDONSQL_APPFVT_01_tbl_detalle_fill_rate[[#This Row],[Pend Emb]]&gt;0,1,0)</f>
        <v>0</v>
      </c>
      <c r="T7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5" spans="1:20" x14ac:dyDescent="0.25">
      <c r="A705">
        <v>24</v>
      </c>
      <c r="B705" t="s">
        <v>54</v>
      </c>
      <c r="C705">
        <v>5102039</v>
      </c>
      <c r="D705" s="48">
        <v>43346</v>
      </c>
      <c r="E705" s="48">
        <v>43345</v>
      </c>
      <c r="F705" s="48">
        <v>43353</v>
      </c>
      <c r="G705" t="s">
        <v>345</v>
      </c>
      <c r="H705" t="s">
        <v>346</v>
      </c>
      <c r="I705">
        <v>1</v>
      </c>
      <c r="J705" t="s">
        <v>1184</v>
      </c>
      <c r="K705">
        <v>1</v>
      </c>
      <c r="L705">
        <v>1</v>
      </c>
      <c r="M705" t="s">
        <v>163</v>
      </c>
      <c r="N705">
        <v>0</v>
      </c>
      <c r="O705" s="1">
        <f>+Tabla__192.168.1.8_POSEIDONSQL_APPFVT_01_tbl_detalle_fill_rate[[#This Row],[emb_cantidad]]-Tabla__192.168.1.8_POSEIDONSQL_APPFVT_01_tbl_detalle_fill_rate[[#This Row],[dev_cantidad]]</f>
        <v>1</v>
      </c>
      <c r="P7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5" s="1">
        <f>+Tabla__192.168.1.8_POSEIDONSQL_APPFVT_01_tbl_detalle_fill_rate[[#This Row],[Cumpl Real Unds]]-Tabla__192.168.1.8_POSEIDONSQL_APPFVT_01_tbl_detalle_fill_rate[[#This Row],[Cant Embarcada]]</f>
        <v>0</v>
      </c>
      <c r="S705" s="1">
        <f>+IF(Tabla__192.168.1.8_POSEIDONSQL_APPFVT_01_tbl_detalle_fill_rate[[#This Row],[Pend Emb]]&gt;0,1,0)</f>
        <v>0</v>
      </c>
      <c r="T7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6" spans="1:20" x14ac:dyDescent="0.25">
      <c r="A706">
        <v>24</v>
      </c>
      <c r="B706" t="s">
        <v>54</v>
      </c>
      <c r="C706">
        <v>5102070</v>
      </c>
      <c r="D706" s="48">
        <v>43347</v>
      </c>
      <c r="E706" s="48">
        <v>43346</v>
      </c>
      <c r="F706" s="48">
        <v>43352</v>
      </c>
      <c r="G706" t="s">
        <v>814</v>
      </c>
      <c r="H706" t="s">
        <v>815</v>
      </c>
      <c r="I706">
        <v>200</v>
      </c>
      <c r="J706" t="s">
        <v>49</v>
      </c>
      <c r="K706">
        <v>200</v>
      </c>
      <c r="L706">
        <v>200</v>
      </c>
      <c r="M706" t="s">
        <v>160</v>
      </c>
      <c r="N706">
        <v>0</v>
      </c>
      <c r="O706" s="1">
        <f>+Tabla__192.168.1.8_POSEIDONSQL_APPFVT_01_tbl_detalle_fill_rate[[#This Row],[emb_cantidad]]-Tabla__192.168.1.8_POSEIDONSQL_APPFVT_01_tbl_detalle_fill_rate[[#This Row],[dev_cantidad]]</f>
        <v>200</v>
      </c>
      <c r="P7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200</v>
      </c>
      <c r="R706" s="1">
        <f>+Tabla__192.168.1.8_POSEIDONSQL_APPFVT_01_tbl_detalle_fill_rate[[#This Row],[Cumpl Real Unds]]-Tabla__192.168.1.8_POSEIDONSQL_APPFVT_01_tbl_detalle_fill_rate[[#This Row],[Cant Embarcada]]</f>
        <v>0</v>
      </c>
      <c r="S706" s="1">
        <f>+IF(Tabla__192.168.1.8_POSEIDONSQL_APPFVT_01_tbl_detalle_fill_rate[[#This Row],[Pend Emb]]&gt;0,1,0)</f>
        <v>0</v>
      </c>
      <c r="T7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7" spans="1:20" x14ac:dyDescent="0.25">
      <c r="A707">
        <v>24</v>
      </c>
      <c r="B707" t="s">
        <v>54</v>
      </c>
      <c r="C707">
        <v>5102070</v>
      </c>
      <c r="D707" s="48">
        <v>43347</v>
      </c>
      <c r="E707" s="48">
        <v>43346</v>
      </c>
      <c r="F707" s="48">
        <v>43352</v>
      </c>
      <c r="G707" t="s">
        <v>816</v>
      </c>
      <c r="H707" t="s">
        <v>817</v>
      </c>
      <c r="I707">
        <v>200</v>
      </c>
      <c r="J707" t="s">
        <v>49</v>
      </c>
      <c r="K707">
        <v>0</v>
      </c>
      <c r="L707">
        <v>0</v>
      </c>
      <c r="M707" t="s">
        <v>160</v>
      </c>
      <c r="N707">
        <v>0</v>
      </c>
      <c r="O707" s="1">
        <f>+Tabla__192.168.1.8_POSEIDONSQL_APPFVT_01_tbl_detalle_fill_rate[[#This Row],[emb_cantidad]]-Tabla__192.168.1.8_POSEIDONSQL_APPFVT_01_tbl_detalle_fill_rate[[#This Row],[dev_cantidad]]</f>
        <v>0</v>
      </c>
      <c r="P7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07" s="1">
        <f>+Tabla__192.168.1.8_POSEIDONSQL_APPFVT_01_tbl_detalle_fill_rate[[#This Row],[Cumpl Real Unds]]-Tabla__192.168.1.8_POSEIDONSQL_APPFVT_01_tbl_detalle_fill_rate[[#This Row],[Cant Embarcada]]</f>
        <v>0</v>
      </c>
      <c r="S707" s="1">
        <f>+IF(Tabla__192.168.1.8_POSEIDONSQL_APPFVT_01_tbl_detalle_fill_rate[[#This Row],[Pend Emb]]&gt;0,1,0)</f>
        <v>0</v>
      </c>
      <c r="T7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8" spans="1:20" x14ac:dyDescent="0.25">
      <c r="A708">
        <v>24</v>
      </c>
      <c r="B708" t="s">
        <v>54</v>
      </c>
      <c r="C708">
        <v>5102329</v>
      </c>
      <c r="D708" s="48">
        <v>43347</v>
      </c>
      <c r="E708" s="48">
        <v>43346</v>
      </c>
      <c r="F708" s="48">
        <v>43353</v>
      </c>
      <c r="G708" t="s">
        <v>345</v>
      </c>
      <c r="H708" t="s">
        <v>346</v>
      </c>
      <c r="I708">
        <v>1</v>
      </c>
      <c r="J708" t="s">
        <v>1180</v>
      </c>
      <c r="K708">
        <v>1</v>
      </c>
      <c r="L708">
        <v>1</v>
      </c>
      <c r="M708" t="s">
        <v>163</v>
      </c>
      <c r="N708">
        <v>0</v>
      </c>
      <c r="O708" s="1">
        <f>+Tabla__192.168.1.8_POSEIDONSQL_APPFVT_01_tbl_detalle_fill_rate[[#This Row],[emb_cantidad]]-Tabla__192.168.1.8_POSEIDONSQL_APPFVT_01_tbl_detalle_fill_rate[[#This Row],[dev_cantidad]]</f>
        <v>1</v>
      </c>
      <c r="P7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8" s="1">
        <f>+Tabla__192.168.1.8_POSEIDONSQL_APPFVT_01_tbl_detalle_fill_rate[[#This Row],[Cumpl Real Unds]]-Tabla__192.168.1.8_POSEIDONSQL_APPFVT_01_tbl_detalle_fill_rate[[#This Row],[Cant Embarcada]]</f>
        <v>0</v>
      </c>
      <c r="S708" s="1">
        <f>+IF(Tabla__192.168.1.8_POSEIDONSQL_APPFVT_01_tbl_detalle_fill_rate[[#This Row],[Pend Emb]]&gt;0,1,0)</f>
        <v>0</v>
      </c>
      <c r="T7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09" spans="1:20" x14ac:dyDescent="0.25">
      <c r="A709">
        <v>24</v>
      </c>
      <c r="B709" t="s">
        <v>54</v>
      </c>
      <c r="C709">
        <v>5102384</v>
      </c>
      <c r="D709" s="48">
        <v>43348</v>
      </c>
      <c r="E709" s="48">
        <v>43347</v>
      </c>
      <c r="F709" s="48">
        <v>43353</v>
      </c>
      <c r="G709" t="s">
        <v>318</v>
      </c>
      <c r="H709" t="s">
        <v>319</v>
      </c>
      <c r="I709">
        <v>1</v>
      </c>
      <c r="J709" t="s">
        <v>1641</v>
      </c>
      <c r="K709">
        <v>1</v>
      </c>
      <c r="L709">
        <v>1</v>
      </c>
      <c r="M709" t="s">
        <v>163</v>
      </c>
      <c r="N709">
        <v>0</v>
      </c>
      <c r="O709" s="1">
        <f>+Tabla__192.168.1.8_POSEIDONSQL_APPFVT_01_tbl_detalle_fill_rate[[#This Row],[emb_cantidad]]-Tabla__192.168.1.8_POSEIDONSQL_APPFVT_01_tbl_detalle_fill_rate[[#This Row],[dev_cantidad]]</f>
        <v>1</v>
      </c>
      <c r="P7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09" s="1">
        <f>+Tabla__192.168.1.8_POSEIDONSQL_APPFVT_01_tbl_detalle_fill_rate[[#This Row],[Cumpl Real Unds]]-Tabla__192.168.1.8_POSEIDONSQL_APPFVT_01_tbl_detalle_fill_rate[[#This Row],[Cant Embarcada]]</f>
        <v>0</v>
      </c>
      <c r="S709" s="1">
        <f>+IF(Tabla__192.168.1.8_POSEIDONSQL_APPFVT_01_tbl_detalle_fill_rate[[#This Row],[Pend Emb]]&gt;0,1,0)</f>
        <v>0</v>
      </c>
      <c r="T7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0" spans="1:20" x14ac:dyDescent="0.25">
      <c r="A710">
        <v>24</v>
      </c>
      <c r="B710" t="s">
        <v>54</v>
      </c>
      <c r="C710">
        <v>5102386</v>
      </c>
      <c r="D710" s="48">
        <v>43348</v>
      </c>
      <c r="E710" s="48">
        <v>43347</v>
      </c>
      <c r="F710" s="48">
        <v>43353</v>
      </c>
      <c r="G710" t="s">
        <v>345</v>
      </c>
      <c r="H710" t="s">
        <v>346</v>
      </c>
      <c r="I710">
        <v>1</v>
      </c>
      <c r="J710" t="s">
        <v>1642</v>
      </c>
      <c r="K710">
        <v>1</v>
      </c>
      <c r="L710">
        <v>1</v>
      </c>
      <c r="M710" t="s">
        <v>163</v>
      </c>
      <c r="N710">
        <v>0</v>
      </c>
      <c r="O710" s="1">
        <f>+Tabla__192.168.1.8_POSEIDONSQL_APPFVT_01_tbl_detalle_fill_rate[[#This Row],[emb_cantidad]]-Tabla__192.168.1.8_POSEIDONSQL_APPFVT_01_tbl_detalle_fill_rate[[#This Row],[dev_cantidad]]</f>
        <v>1</v>
      </c>
      <c r="P7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0" s="1">
        <f>+Tabla__192.168.1.8_POSEIDONSQL_APPFVT_01_tbl_detalle_fill_rate[[#This Row],[Cumpl Real Unds]]-Tabla__192.168.1.8_POSEIDONSQL_APPFVT_01_tbl_detalle_fill_rate[[#This Row],[Cant Embarcada]]</f>
        <v>0</v>
      </c>
      <c r="S710" s="1">
        <f>+IF(Tabla__192.168.1.8_POSEIDONSQL_APPFVT_01_tbl_detalle_fill_rate[[#This Row],[Pend Emb]]&gt;0,1,0)</f>
        <v>0</v>
      </c>
      <c r="T7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1" spans="1:20" x14ac:dyDescent="0.25">
      <c r="A711">
        <v>24</v>
      </c>
      <c r="B711" t="s">
        <v>54</v>
      </c>
      <c r="C711">
        <v>5102503</v>
      </c>
      <c r="D711" s="48">
        <v>43348</v>
      </c>
      <c r="E711" s="48">
        <v>43347</v>
      </c>
      <c r="F711" s="48">
        <v>43353</v>
      </c>
      <c r="G711" t="s">
        <v>92</v>
      </c>
      <c r="H711" t="s">
        <v>93</v>
      </c>
      <c r="I711">
        <v>1</v>
      </c>
      <c r="J711" t="s">
        <v>1643</v>
      </c>
      <c r="K711">
        <v>1</v>
      </c>
      <c r="L711">
        <v>1</v>
      </c>
      <c r="M711" t="s">
        <v>163</v>
      </c>
      <c r="N711">
        <v>0</v>
      </c>
      <c r="O711" s="1">
        <f>+Tabla__192.168.1.8_POSEIDONSQL_APPFVT_01_tbl_detalle_fill_rate[[#This Row],[emb_cantidad]]-Tabla__192.168.1.8_POSEIDONSQL_APPFVT_01_tbl_detalle_fill_rate[[#This Row],[dev_cantidad]]</f>
        <v>1</v>
      </c>
      <c r="P7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1" s="1">
        <f>+Tabla__192.168.1.8_POSEIDONSQL_APPFVT_01_tbl_detalle_fill_rate[[#This Row],[Cumpl Real Unds]]-Tabla__192.168.1.8_POSEIDONSQL_APPFVT_01_tbl_detalle_fill_rate[[#This Row],[Cant Embarcada]]</f>
        <v>0</v>
      </c>
      <c r="S711" s="1">
        <f>+IF(Tabla__192.168.1.8_POSEIDONSQL_APPFVT_01_tbl_detalle_fill_rate[[#This Row],[Pend Emb]]&gt;0,1,0)</f>
        <v>0</v>
      </c>
      <c r="T7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2" spans="1:20" x14ac:dyDescent="0.25">
      <c r="A712">
        <v>24</v>
      </c>
      <c r="B712" t="s">
        <v>54</v>
      </c>
      <c r="C712">
        <v>5102601</v>
      </c>
      <c r="D712" s="48">
        <v>43348</v>
      </c>
      <c r="E712" s="48">
        <v>43347</v>
      </c>
      <c r="F712" s="48">
        <v>43353</v>
      </c>
      <c r="G712" t="s">
        <v>345</v>
      </c>
      <c r="H712" t="s">
        <v>346</v>
      </c>
      <c r="I712">
        <v>1</v>
      </c>
      <c r="J712" t="s">
        <v>1644</v>
      </c>
      <c r="K712">
        <v>1</v>
      </c>
      <c r="L712">
        <v>1</v>
      </c>
      <c r="M712" t="s">
        <v>163</v>
      </c>
      <c r="N712">
        <v>0</v>
      </c>
      <c r="O712" s="1">
        <f>+Tabla__192.168.1.8_POSEIDONSQL_APPFVT_01_tbl_detalle_fill_rate[[#This Row],[emb_cantidad]]-Tabla__192.168.1.8_POSEIDONSQL_APPFVT_01_tbl_detalle_fill_rate[[#This Row],[dev_cantidad]]</f>
        <v>1</v>
      </c>
      <c r="P7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2" s="1">
        <f>+Tabla__192.168.1.8_POSEIDONSQL_APPFVT_01_tbl_detalle_fill_rate[[#This Row],[Cumpl Real Unds]]-Tabla__192.168.1.8_POSEIDONSQL_APPFVT_01_tbl_detalle_fill_rate[[#This Row],[Cant Embarcada]]</f>
        <v>0</v>
      </c>
      <c r="S712" s="1">
        <f>+IF(Tabla__192.168.1.8_POSEIDONSQL_APPFVT_01_tbl_detalle_fill_rate[[#This Row],[Pend Emb]]&gt;0,1,0)</f>
        <v>0</v>
      </c>
      <c r="T7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3" spans="1:20" x14ac:dyDescent="0.25">
      <c r="A713">
        <v>24</v>
      </c>
      <c r="B713" t="s">
        <v>54</v>
      </c>
      <c r="C713">
        <v>5102640</v>
      </c>
      <c r="D713" s="48">
        <v>43348</v>
      </c>
      <c r="E713" s="48">
        <v>43347</v>
      </c>
      <c r="F713" s="48">
        <v>43353</v>
      </c>
      <c r="G713" t="s">
        <v>96</v>
      </c>
      <c r="H713" t="s">
        <v>97</v>
      </c>
      <c r="I713">
        <v>1</v>
      </c>
      <c r="J713" t="s">
        <v>1645</v>
      </c>
      <c r="K713">
        <v>1</v>
      </c>
      <c r="L713">
        <v>1</v>
      </c>
      <c r="M713" t="s">
        <v>163</v>
      </c>
      <c r="N713">
        <v>0</v>
      </c>
      <c r="O713" s="1">
        <f>+Tabla__192.168.1.8_POSEIDONSQL_APPFVT_01_tbl_detalle_fill_rate[[#This Row],[emb_cantidad]]-Tabla__192.168.1.8_POSEIDONSQL_APPFVT_01_tbl_detalle_fill_rate[[#This Row],[dev_cantidad]]</f>
        <v>1</v>
      </c>
      <c r="P7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3" s="1">
        <f>+Tabla__192.168.1.8_POSEIDONSQL_APPFVT_01_tbl_detalle_fill_rate[[#This Row],[Cumpl Real Unds]]-Tabla__192.168.1.8_POSEIDONSQL_APPFVT_01_tbl_detalle_fill_rate[[#This Row],[Cant Embarcada]]</f>
        <v>0</v>
      </c>
      <c r="S713" s="1">
        <f>+IF(Tabla__192.168.1.8_POSEIDONSQL_APPFVT_01_tbl_detalle_fill_rate[[#This Row],[Pend Emb]]&gt;0,1,0)</f>
        <v>0</v>
      </c>
      <c r="T7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4" spans="1:20" x14ac:dyDescent="0.25">
      <c r="A714">
        <v>24</v>
      </c>
      <c r="B714" t="s">
        <v>54</v>
      </c>
      <c r="C714">
        <v>5102644</v>
      </c>
      <c r="D714" s="48">
        <v>43348</v>
      </c>
      <c r="E714" s="48">
        <v>43347</v>
      </c>
      <c r="F714" s="48">
        <v>43353</v>
      </c>
      <c r="G714" t="s">
        <v>345</v>
      </c>
      <c r="H714" t="s">
        <v>346</v>
      </c>
      <c r="I714">
        <v>1</v>
      </c>
      <c r="J714" t="s">
        <v>1639</v>
      </c>
      <c r="K714">
        <v>1</v>
      </c>
      <c r="L714">
        <v>1</v>
      </c>
      <c r="M714" t="s">
        <v>163</v>
      </c>
      <c r="N714">
        <v>0</v>
      </c>
      <c r="O714" s="1">
        <f>+Tabla__192.168.1.8_POSEIDONSQL_APPFVT_01_tbl_detalle_fill_rate[[#This Row],[emb_cantidad]]-Tabla__192.168.1.8_POSEIDONSQL_APPFVT_01_tbl_detalle_fill_rate[[#This Row],[dev_cantidad]]</f>
        <v>1</v>
      </c>
      <c r="P7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4" s="1">
        <f>+Tabla__192.168.1.8_POSEIDONSQL_APPFVT_01_tbl_detalle_fill_rate[[#This Row],[Cumpl Real Unds]]-Tabla__192.168.1.8_POSEIDONSQL_APPFVT_01_tbl_detalle_fill_rate[[#This Row],[Cant Embarcada]]</f>
        <v>0</v>
      </c>
      <c r="S714" s="1">
        <f>+IF(Tabla__192.168.1.8_POSEIDONSQL_APPFVT_01_tbl_detalle_fill_rate[[#This Row],[Pend Emb]]&gt;0,1,0)</f>
        <v>0</v>
      </c>
      <c r="T7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5" spans="1:20" x14ac:dyDescent="0.25">
      <c r="A715">
        <v>24</v>
      </c>
      <c r="B715" t="s">
        <v>54</v>
      </c>
      <c r="C715">
        <v>5102658</v>
      </c>
      <c r="D715" s="48">
        <v>43348</v>
      </c>
      <c r="E715" s="48">
        <v>43347</v>
      </c>
      <c r="F715" s="48">
        <v>43364</v>
      </c>
      <c r="G715" t="s">
        <v>905</v>
      </c>
      <c r="H715" t="s">
        <v>906</v>
      </c>
      <c r="I715">
        <v>1</v>
      </c>
      <c r="J715" t="s">
        <v>1699</v>
      </c>
      <c r="K715">
        <v>1</v>
      </c>
      <c r="L715">
        <v>1</v>
      </c>
      <c r="M715" t="s">
        <v>422</v>
      </c>
      <c r="N715">
        <v>0</v>
      </c>
      <c r="O715" s="1">
        <f>+Tabla__192.168.1.8_POSEIDONSQL_APPFVT_01_tbl_detalle_fill_rate[[#This Row],[emb_cantidad]]-Tabla__192.168.1.8_POSEIDONSQL_APPFVT_01_tbl_detalle_fill_rate[[#This Row],[dev_cantidad]]</f>
        <v>1</v>
      </c>
      <c r="P7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5" s="1">
        <f>+Tabla__192.168.1.8_POSEIDONSQL_APPFVT_01_tbl_detalle_fill_rate[[#This Row],[Cumpl Real Unds]]-Tabla__192.168.1.8_POSEIDONSQL_APPFVT_01_tbl_detalle_fill_rate[[#This Row],[Cant Embarcada]]</f>
        <v>0</v>
      </c>
      <c r="S715" s="1">
        <f>+IF(Tabla__192.168.1.8_POSEIDONSQL_APPFVT_01_tbl_detalle_fill_rate[[#This Row],[Pend Emb]]&gt;0,1,0)</f>
        <v>0</v>
      </c>
      <c r="T7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6" spans="1:20" x14ac:dyDescent="0.25">
      <c r="A716">
        <v>24</v>
      </c>
      <c r="B716" t="s">
        <v>54</v>
      </c>
      <c r="C716">
        <v>5102671</v>
      </c>
      <c r="D716" s="48">
        <v>43348</v>
      </c>
      <c r="E716" s="48">
        <v>43347</v>
      </c>
      <c r="F716" s="48">
        <v>43354</v>
      </c>
      <c r="G716" t="s">
        <v>108</v>
      </c>
      <c r="H716" t="s">
        <v>109</v>
      </c>
      <c r="I716">
        <v>1</v>
      </c>
      <c r="J716" t="s">
        <v>1640</v>
      </c>
      <c r="K716">
        <v>1</v>
      </c>
      <c r="L716">
        <v>1</v>
      </c>
      <c r="M716" t="s">
        <v>163</v>
      </c>
      <c r="N716">
        <v>0</v>
      </c>
      <c r="O716" s="1">
        <f>+Tabla__192.168.1.8_POSEIDONSQL_APPFVT_01_tbl_detalle_fill_rate[[#This Row],[emb_cantidad]]-Tabla__192.168.1.8_POSEIDONSQL_APPFVT_01_tbl_detalle_fill_rate[[#This Row],[dev_cantidad]]</f>
        <v>1</v>
      </c>
      <c r="P7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6" s="1">
        <f>+Tabla__192.168.1.8_POSEIDONSQL_APPFVT_01_tbl_detalle_fill_rate[[#This Row],[Cumpl Real Unds]]-Tabla__192.168.1.8_POSEIDONSQL_APPFVT_01_tbl_detalle_fill_rate[[#This Row],[Cant Embarcada]]</f>
        <v>0</v>
      </c>
      <c r="S716" s="1">
        <f>+IF(Tabla__192.168.1.8_POSEIDONSQL_APPFVT_01_tbl_detalle_fill_rate[[#This Row],[Pend Emb]]&gt;0,1,0)</f>
        <v>0</v>
      </c>
      <c r="T7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7" spans="1:20" x14ac:dyDescent="0.25">
      <c r="A717">
        <v>24</v>
      </c>
      <c r="B717" t="s">
        <v>54</v>
      </c>
      <c r="C717">
        <v>5102747</v>
      </c>
      <c r="D717" s="48">
        <v>43349</v>
      </c>
      <c r="E717" s="48">
        <v>43348</v>
      </c>
      <c r="F717" s="48">
        <v>43354</v>
      </c>
      <c r="G717" t="s">
        <v>345</v>
      </c>
      <c r="H717" t="s">
        <v>346</v>
      </c>
      <c r="I717">
        <v>1</v>
      </c>
      <c r="J717" t="s">
        <v>1669</v>
      </c>
      <c r="K717">
        <v>1</v>
      </c>
      <c r="L717">
        <v>1</v>
      </c>
      <c r="M717" t="s">
        <v>163</v>
      </c>
      <c r="N717">
        <v>0</v>
      </c>
      <c r="O717" s="1">
        <f>+Tabla__192.168.1.8_POSEIDONSQL_APPFVT_01_tbl_detalle_fill_rate[[#This Row],[emb_cantidad]]-Tabla__192.168.1.8_POSEIDONSQL_APPFVT_01_tbl_detalle_fill_rate[[#This Row],[dev_cantidad]]</f>
        <v>1</v>
      </c>
      <c r="P7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7" s="1">
        <f>+Tabla__192.168.1.8_POSEIDONSQL_APPFVT_01_tbl_detalle_fill_rate[[#This Row],[Cumpl Real Unds]]-Tabla__192.168.1.8_POSEIDONSQL_APPFVT_01_tbl_detalle_fill_rate[[#This Row],[Cant Embarcada]]</f>
        <v>0</v>
      </c>
      <c r="S717" s="1">
        <f>+IF(Tabla__192.168.1.8_POSEIDONSQL_APPFVT_01_tbl_detalle_fill_rate[[#This Row],[Pend Emb]]&gt;0,1,0)</f>
        <v>0</v>
      </c>
      <c r="T7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8" spans="1:20" x14ac:dyDescent="0.25">
      <c r="A718">
        <v>24</v>
      </c>
      <c r="B718" t="s">
        <v>54</v>
      </c>
      <c r="C718">
        <v>5102771</v>
      </c>
      <c r="D718" s="48">
        <v>43349</v>
      </c>
      <c r="E718" s="48">
        <v>43348</v>
      </c>
      <c r="F718" s="48">
        <v>43354</v>
      </c>
      <c r="G718" t="s">
        <v>232</v>
      </c>
      <c r="H718" t="s">
        <v>233</v>
      </c>
      <c r="I718">
        <v>1</v>
      </c>
      <c r="J718" t="s">
        <v>1670</v>
      </c>
      <c r="K718">
        <v>1</v>
      </c>
      <c r="L718">
        <v>1</v>
      </c>
      <c r="M718" t="s">
        <v>163</v>
      </c>
      <c r="N718">
        <v>0</v>
      </c>
      <c r="O718" s="1">
        <f>+Tabla__192.168.1.8_POSEIDONSQL_APPFVT_01_tbl_detalle_fill_rate[[#This Row],[emb_cantidad]]-Tabla__192.168.1.8_POSEIDONSQL_APPFVT_01_tbl_detalle_fill_rate[[#This Row],[dev_cantidad]]</f>
        <v>1</v>
      </c>
      <c r="P7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8" s="1">
        <f>+Tabla__192.168.1.8_POSEIDONSQL_APPFVT_01_tbl_detalle_fill_rate[[#This Row],[Cumpl Real Unds]]-Tabla__192.168.1.8_POSEIDONSQL_APPFVT_01_tbl_detalle_fill_rate[[#This Row],[Cant Embarcada]]</f>
        <v>0</v>
      </c>
      <c r="S718" s="1">
        <f>+IF(Tabla__192.168.1.8_POSEIDONSQL_APPFVT_01_tbl_detalle_fill_rate[[#This Row],[Pend Emb]]&gt;0,1,0)</f>
        <v>0</v>
      </c>
      <c r="T7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19" spans="1:20" x14ac:dyDescent="0.25">
      <c r="A719">
        <v>24</v>
      </c>
      <c r="B719" t="s">
        <v>54</v>
      </c>
      <c r="C719">
        <v>5102884</v>
      </c>
      <c r="D719" s="48">
        <v>43349</v>
      </c>
      <c r="E719" s="48">
        <v>43348</v>
      </c>
      <c r="F719" s="48">
        <v>43369</v>
      </c>
      <c r="G719" t="s">
        <v>345</v>
      </c>
      <c r="H719" t="s">
        <v>346</v>
      </c>
      <c r="I719">
        <v>1</v>
      </c>
      <c r="J719" t="s">
        <v>1881</v>
      </c>
      <c r="K719">
        <v>1</v>
      </c>
      <c r="L719">
        <v>1</v>
      </c>
      <c r="M719" t="s">
        <v>419</v>
      </c>
      <c r="N719">
        <v>0</v>
      </c>
      <c r="O719" s="1">
        <f>+Tabla__192.168.1.8_POSEIDONSQL_APPFVT_01_tbl_detalle_fill_rate[[#This Row],[emb_cantidad]]-Tabla__192.168.1.8_POSEIDONSQL_APPFVT_01_tbl_detalle_fill_rate[[#This Row],[dev_cantidad]]</f>
        <v>1</v>
      </c>
      <c r="P7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19" s="1">
        <f>+Tabla__192.168.1.8_POSEIDONSQL_APPFVT_01_tbl_detalle_fill_rate[[#This Row],[Cumpl Real Unds]]-Tabla__192.168.1.8_POSEIDONSQL_APPFVT_01_tbl_detalle_fill_rate[[#This Row],[Cant Embarcada]]</f>
        <v>0</v>
      </c>
      <c r="S719" s="1">
        <f>+IF(Tabla__192.168.1.8_POSEIDONSQL_APPFVT_01_tbl_detalle_fill_rate[[#This Row],[Pend Emb]]&gt;0,1,0)</f>
        <v>0</v>
      </c>
      <c r="T7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0" spans="1:20" x14ac:dyDescent="0.25">
      <c r="A720">
        <v>24</v>
      </c>
      <c r="B720" t="s">
        <v>54</v>
      </c>
      <c r="C720">
        <v>5102893</v>
      </c>
      <c r="D720" s="48">
        <v>43349</v>
      </c>
      <c r="E720" s="48">
        <v>43348</v>
      </c>
      <c r="F720" s="48">
        <v>43354</v>
      </c>
      <c r="G720" t="s">
        <v>345</v>
      </c>
      <c r="H720" t="s">
        <v>346</v>
      </c>
      <c r="I720">
        <v>1</v>
      </c>
      <c r="J720" t="s">
        <v>1663</v>
      </c>
      <c r="K720">
        <v>1</v>
      </c>
      <c r="L720">
        <v>1</v>
      </c>
      <c r="M720" t="s">
        <v>163</v>
      </c>
      <c r="N720">
        <v>0</v>
      </c>
      <c r="O720" s="1">
        <f>+Tabla__192.168.1.8_POSEIDONSQL_APPFVT_01_tbl_detalle_fill_rate[[#This Row],[emb_cantidad]]-Tabla__192.168.1.8_POSEIDONSQL_APPFVT_01_tbl_detalle_fill_rate[[#This Row],[dev_cantidad]]</f>
        <v>1</v>
      </c>
      <c r="P7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0" s="1">
        <f>+Tabla__192.168.1.8_POSEIDONSQL_APPFVT_01_tbl_detalle_fill_rate[[#This Row],[Cumpl Real Unds]]-Tabla__192.168.1.8_POSEIDONSQL_APPFVT_01_tbl_detalle_fill_rate[[#This Row],[Cant Embarcada]]</f>
        <v>0</v>
      </c>
      <c r="S720" s="1">
        <f>+IF(Tabla__192.168.1.8_POSEIDONSQL_APPFVT_01_tbl_detalle_fill_rate[[#This Row],[Pend Emb]]&gt;0,1,0)</f>
        <v>0</v>
      </c>
      <c r="T7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1" spans="1:20" x14ac:dyDescent="0.25">
      <c r="A721">
        <v>24</v>
      </c>
      <c r="B721" t="s">
        <v>54</v>
      </c>
      <c r="C721">
        <v>5103077</v>
      </c>
      <c r="D721" s="48">
        <v>43349</v>
      </c>
      <c r="E721" s="48">
        <v>43348</v>
      </c>
      <c r="F721" s="48">
        <v>43354</v>
      </c>
      <c r="G721" t="s">
        <v>345</v>
      </c>
      <c r="H721" t="s">
        <v>346</v>
      </c>
      <c r="I721">
        <v>1</v>
      </c>
      <c r="J721" t="s">
        <v>1664</v>
      </c>
      <c r="K721">
        <v>1</v>
      </c>
      <c r="L721">
        <v>1</v>
      </c>
      <c r="M721" t="s">
        <v>163</v>
      </c>
      <c r="N721">
        <v>0</v>
      </c>
      <c r="O721" s="1">
        <f>+Tabla__192.168.1.8_POSEIDONSQL_APPFVT_01_tbl_detalle_fill_rate[[#This Row],[emb_cantidad]]-Tabla__192.168.1.8_POSEIDONSQL_APPFVT_01_tbl_detalle_fill_rate[[#This Row],[dev_cantidad]]</f>
        <v>1</v>
      </c>
      <c r="P7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1" s="1">
        <f>+Tabla__192.168.1.8_POSEIDONSQL_APPFVT_01_tbl_detalle_fill_rate[[#This Row],[Cumpl Real Unds]]-Tabla__192.168.1.8_POSEIDONSQL_APPFVT_01_tbl_detalle_fill_rate[[#This Row],[Cant Embarcada]]</f>
        <v>0</v>
      </c>
      <c r="S721" s="1">
        <f>+IF(Tabla__192.168.1.8_POSEIDONSQL_APPFVT_01_tbl_detalle_fill_rate[[#This Row],[Pend Emb]]&gt;0,1,0)</f>
        <v>0</v>
      </c>
      <c r="T7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2" spans="1:20" x14ac:dyDescent="0.25">
      <c r="A722">
        <v>24</v>
      </c>
      <c r="B722" t="s">
        <v>54</v>
      </c>
      <c r="C722">
        <v>5103162</v>
      </c>
      <c r="D722" s="48">
        <v>43349</v>
      </c>
      <c r="E722" s="48">
        <v>43348</v>
      </c>
      <c r="F722" s="48">
        <v>43354</v>
      </c>
      <c r="G722" t="s">
        <v>345</v>
      </c>
      <c r="H722" t="s">
        <v>346</v>
      </c>
      <c r="I722">
        <v>1</v>
      </c>
      <c r="J722" t="s">
        <v>1665</v>
      </c>
      <c r="K722">
        <v>1</v>
      </c>
      <c r="L722">
        <v>1</v>
      </c>
      <c r="M722" t="s">
        <v>163</v>
      </c>
      <c r="N722">
        <v>0</v>
      </c>
      <c r="O722" s="1">
        <f>+Tabla__192.168.1.8_POSEIDONSQL_APPFVT_01_tbl_detalle_fill_rate[[#This Row],[emb_cantidad]]-Tabla__192.168.1.8_POSEIDONSQL_APPFVT_01_tbl_detalle_fill_rate[[#This Row],[dev_cantidad]]</f>
        <v>1</v>
      </c>
      <c r="P7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2" s="1">
        <f>+Tabla__192.168.1.8_POSEIDONSQL_APPFVT_01_tbl_detalle_fill_rate[[#This Row],[Cumpl Real Unds]]-Tabla__192.168.1.8_POSEIDONSQL_APPFVT_01_tbl_detalle_fill_rate[[#This Row],[Cant Embarcada]]</f>
        <v>0</v>
      </c>
      <c r="S722" s="1">
        <f>+IF(Tabla__192.168.1.8_POSEIDONSQL_APPFVT_01_tbl_detalle_fill_rate[[#This Row],[Pend Emb]]&gt;0,1,0)</f>
        <v>0</v>
      </c>
      <c r="T7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3" spans="1:20" x14ac:dyDescent="0.25">
      <c r="A723">
        <v>24</v>
      </c>
      <c r="B723" t="s">
        <v>54</v>
      </c>
      <c r="C723">
        <v>5103234</v>
      </c>
      <c r="D723" s="48">
        <v>43349</v>
      </c>
      <c r="E723" s="48">
        <v>43348</v>
      </c>
      <c r="F723" s="48">
        <v>43354</v>
      </c>
      <c r="G723" t="s">
        <v>345</v>
      </c>
      <c r="H723" t="s">
        <v>346</v>
      </c>
      <c r="I723">
        <v>1</v>
      </c>
      <c r="J723" t="s">
        <v>1666</v>
      </c>
      <c r="K723">
        <v>1</v>
      </c>
      <c r="L723">
        <v>1</v>
      </c>
      <c r="M723" t="s">
        <v>163</v>
      </c>
      <c r="N723">
        <v>0</v>
      </c>
      <c r="O723" s="1">
        <f>+Tabla__192.168.1.8_POSEIDONSQL_APPFVT_01_tbl_detalle_fill_rate[[#This Row],[emb_cantidad]]-Tabla__192.168.1.8_POSEIDONSQL_APPFVT_01_tbl_detalle_fill_rate[[#This Row],[dev_cantidad]]</f>
        <v>1</v>
      </c>
      <c r="P7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3" s="1">
        <f>+Tabla__192.168.1.8_POSEIDONSQL_APPFVT_01_tbl_detalle_fill_rate[[#This Row],[Cumpl Real Unds]]-Tabla__192.168.1.8_POSEIDONSQL_APPFVT_01_tbl_detalle_fill_rate[[#This Row],[Cant Embarcada]]</f>
        <v>0</v>
      </c>
      <c r="S723" s="1">
        <f>+IF(Tabla__192.168.1.8_POSEIDONSQL_APPFVT_01_tbl_detalle_fill_rate[[#This Row],[Pend Emb]]&gt;0,1,0)</f>
        <v>0</v>
      </c>
      <c r="T7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4" spans="1:20" x14ac:dyDescent="0.25">
      <c r="A724">
        <v>24</v>
      </c>
      <c r="B724" t="s">
        <v>54</v>
      </c>
      <c r="C724">
        <v>5103237</v>
      </c>
      <c r="D724" s="48">
        <v>43349</v>
      </c>
      <c r="E724" s="48">
        <v>43348</v>
      </c>
      <c r="F724" s="48">
        <v>43354</v>
      </c>
      <c r="G724" t="s">
        <v>126</v>
      </c>
      <c r="H724" t="s">
        <v>127</v>
      </c>
      <c r="I724">
        <v>1</v>
      </c>
      <c r="J724" t="s">
        <v>1667</v>
      </c>
      <c r="K724">
        <v>1</v>
      </c>
      <c r="L724">
        <v>1</v>
      </c>
      <c r="M724" t="s">
        <v>163</v>
      </c>
      <c r="N724">
        <v>0</v>
      </c>
      <c r="O724" s="1">
        <f>+Tabla__192.168.1.8_POSEIDONSQL_APPFVT_01_tbl_detalle_fill_rate[[#This Row],[emb_cantidad]]-Tabla__192.168.1.8_POSEIDONSQL_APPFVT_01_tbl_detalle_fill_rate[[#This Row],[dev_cantidad]]</f>
        <v>1</v>
      </c>
      <c r="P7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4" s="1">
        <f>+Tabla__192.168.1.8_POSEIDONSQL_APPFVT_01_tbl_detalle_fill_rate[[#This Row],[Cumpl Real Unds]]-Tabla__192.168.1.8_POSEIDONSQL_APPFVT_01_tbl_detalle_fill_rate[[#This Row],[Cant Embarcada]]</f>
        <v>0</v>
      </c>
      <c r="S724" s="1">
        <f>+IF(Tabla__192.168.1.8_POSEIDONSQL_APPFVT_01_tbl_detalle_fill_rate[[#This Row],[Pend Emb]]&gt;0,1,0)</f>
        <v>0</v>
      </c>
      <c r="T7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5" spans="1:20" x14ac:dyDescent="0.25">
      <c r="A725">
        <v>24</v>
      </c>
      <c r="B725" t="s">
        <v>54</v>
      </c>
      <c r="C725">
        <v>5103279</v>
      </c>
      <c r="D725" s="48">
        <v>43349</v>
      </c>
      <c r="E725" s="48">
        <v>43348</v>
      </c>
      <c r="F725" s="48">
        <v>43354</v>
      </c>
      <c r="G725" t="s">
        <v>345</v>
      </c>
      <c r="H725" t="s">
        <v>346</v>
      </c>
      <c r="I725">
        <v>1</v>
      </c>
      <c r="J725" t="s">
        <v>1668</v>
      </c>
      <c r="K725">
        <v>1</v>
      </c>
      <c r="L725">
        <v>1</v>
      </c>
      <c r="M725" t="s">
        <v>163</v>
      </c>
      <c r="N725">
        <v>0</v>
      </c>
      <c r="O725" s="1">
        <f>+Tabla__192.168.1.8_POSEIDONSQL_APPFVT_01_tbl_detalle_fill_rate[[#This Row],[emb_cantidad]]-Tabla__192.168.1.8_POSEIDONSQL_APPFVT_01_tbl_detalle_fill_rate[[#This Row],[dev_cantidad]]</f>
        <v>1</v>
      </c>
      <c r="P7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5" s="1">
        <f>+Tabla__192.168.1.8_POSEIDONSQL_APPFVT_01_tbl_detalle_fill_rate[[#This Row],[Cumpl Real Unds]]-Tabla__192.168.1.8_POSEIDONSQL_APPFVT_01_tbl_detalle_fill_rate[[#This Row],[Cant Embarcada]]</f>
        <v>0</v>
      </c>
      <c r="S725" s="1">
        <f>+IF(Tabla__192.168.1.8_POSEIDONSQL_APPFVT_01_tbl_detalle_fill_rate[[#This Row],[Pend Emb]]&gt;0,1,0)</f>
        <v>0</v>
      </c>
      <c r="T7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6" spans="1:20" x14ac:dyDescent="0.25">
      <c r="A726">
        <v>24</v>
      </c>
      <c r="B726" t="s">
        <v>54</v>
      </c>
      <c r="C726">
        <v>5103292</v>
      </c>
      <c r="D726" s="48">
        <v>43349</v>
      </c>
      <c r="E726" s="48">
        <v>43348</v>
      </c>
      <c r="F726" s="48">
        <v>43368</v>
      </c>
      <c r="G726" t="s">
        <v>227</v>
      </c>
      <c r="H726" t="s">
        <v>228</v>
      </c>
      <c r="I726">
        <v>2</v>
      </c>
      <c r="J726" t="s">
        <v>1877</v>
      </c>
      <c r="K726">
        <v>2</v>
      </c>
      <c r="L726">
        <v>4</v>
      </c>
      <c r="M726" t="s">
        <v>413</v>
      </c>
      <c r="N726">
        <v>2</v>
      </c>
      <c r="O726" s="1">
        <f>+Tabla__192.168.1.8_POSEIDONSQL_APPFVT_01_tbl_detalle_fill_rate[[#This Row],[emb_cantidad]]-Tabla__192.168.1.8_POSEIDONSQL_APPFVT_01_tbl_detalle_fill_rate[[#This Row],[dev_cantidad]]</f>
        <v>2</v>
      </c>
      <c r="P7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7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726" s="1">
        <f>+Tabla__192.168.1.8_POSEIDONSQL_APPFVT_01_tbl_detalle_fill_rate[[#This Row],[Cumpl Real Unds]]-Tabla__192.168.1.8_POSEIDONSQL_APPFVT_01_tbl_detalle_fill_rate[[#This Row],[Cant Embarcada]]</f>
        <v>0</v>
      </c>
      <c r="S726" s="1">
        <f>+IF(Tabla__192.168.1.8_POSEIDONSQL_APPFVT_01_tbl_detalle_fill_rate[[#This Row],[Pend Emb]]&gt;0,1,0)</f>
        <v>0</v>
      </c>
      <c r="T7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7" spans="1:20" x14ac:dyDescent="0.25">
      <c r="A727">
        <v>24</v>
      </c>
      <c r="B727" t="s">
        <v>54</v>
      </c>
      <c r="C727">
        <v>5103426</v>
      </c>
      <c r="D727" s="48">
        <v>43350</v>
      </c>
      <c r="E727" s="48">
        <v>43349</v>
      </c>
      <c r="F727" s="48">
        <v>43368</v>
      </c>
      <c r="G727" t="s">
        <v>96</v>
      </c>
      <c r="H727" t="s">
        <v>97</v>
      </c>
      <c r="I727">
        <v>1</v>
      </c>
      <c r="J727" t="s">
        <v>1878</v>
      </c>
      <c r="K727">
        <v>1</v>
      </c>
      <c r="L727">
        <v>1</v>
      </c>
      <c r="M727" t="s">
        <v>419</v>
      </c>
      <c r="N727">
        <v>0</v>
      </c>
      <c r="O727" s="1">
        <f>+Tabla__192.168.1.8_POSEIDONSQL_APPFVT_01_tbl_detalle_fill_rate[[#This Row],[emb_cantidad]]-Tabla__192.168.1.8_POSEIDONSQL_APPFVT_01_tbl_detalle_fill_rate[[#This Row],[dev_cantidad]]</f>
        <v>1</v>
      </c>
      <c r="P7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27" s="1">
        <f>+Tabla__192.168.1.8_POSEIDONSQL_APPFVT_01_tbl_detalle_fill_rate[[#This Row],[Cumpl Real Unds]]-Tabla__192.168.1.8_POSEIDONSQL_APPFVT_01_tbl_detalle_fill_rate[[#This Row],[Cant Embarcada]]</f>
        <v>0</v>
      </c>
      <c r="S727" s="1">
        <f>+IF(Tabla__192.168.1.8_POSEIDONSQL_APPFVT_01_tbl_detalle_fill_rate[[#This Row],[Pend Emb]]&gt;0,1,0)</f>
        <v>0</v>
      </c>
      <c r="T7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8" spans="1:20" x14ac:dyDescent="0.25">
      <c r="A728">
        <v>24</v>
      </c>
      <c r="B728" t="s">
        <v>54</v>
      </c>
      <c r="C728">
        <v>5103550</v>
      </c>
      <c r="D728" s="48">
        <v>43350</v>
      </c>
      <c r="E728" s="48">
        <v>43349</v>
      </c>
      <c r="F728" s="48">
        <v>43359</v>
      </c>
      <c r="G728" t="s">
        <v>310</v>
      </c>
      <c r="H728" t="s">
        <v>311</v>
      </c>
      <c r="I728">
        <v>80</v>
      </c>
      <c r="J728" t="s">
        <v>49</v>
      </c>
      <c r="K728">
        <v>80</v>
      </c>
      <c r="L728">
        <v>80</v>
      </c>
      <c r="M728" t="s">
        <v>1983</v>
      </c>
      <c r="N728">
        <v>0</v>
      </c>
      <c r="O728" s="1">
        <f>+Tabla__192.168.1.8_POSEIDONSQL_APPFVT_01_tbl_detalle_fill_rate[[#This Row],[emb_cantidad]]-Tabla__192.168.1.8_POSEIDONSQL_APPFVT_01_tbl_detalle_fill_rate[[#This Row],[dev_cantidad]]</f>
        <v>80</v>
      </c>
      <c r="P7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80</v>
      </c>
      <c r="R728" s="1">
        <f>+Tabla__192.168.1.8_POSEIDONSQL_APPFVT_01_tbl_detalle_fill_rate[[#This Row],[Cumpl Real Unds]]-Tabla__192.168.1.8_POSEIDONSQL_APPFVT_01_tbl_detalle_fill_rate[[#This Row],[Cant Embarcada]]</f>
        <v>0</v>
      </c>
      <c r="S728" s="1">
        <f>+IF(Tabla__192.168.1.8_POSEIDONSQL_APPFVT_01_tbl_detalle_fill_rate[[#This Row],[Pend Emb]]&gt;0,1,0)</f>
        <v>0</v>
      </c>
      <c r="T7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29" spans="1:20" x14ac:dyDescent="0.25">
      <c r="A729">
        <v>24</v>
      </c>
      <c r="B729" t="s">
        <v>54</v>
      </c>
      <c r="C729">
        <v>5103550</v>
      </c>
      <c r="D729" s="48">
        <v>43350</v>
      </c>
      <c r="E729" s="48">
        <v>43349</v>
      </c>
      <c r="F729" s="48">
        <v>43359</v>
      </c>
      <c r="G729" t="s">
        <v>878</v>
      </c>
      <c r="H729" t="s">
        <v>879</v>
      </c>
      <c r="I729">
        <v>500</v>
      </c>
      <c r="J729" t="s">
        <v>49</v>
      </c>
      <c r="K729">
        <v>500</v>
      </c>
      <c r="L729">
        <v>500</v>
      </c>
      <c r="M729" t="s">
        <v>1983</v>
      </c>
      <c r="N729">
        <v>1</v>
      </c>
      <c r="O729" s="1">
        <f>+Tabla__192.168.1.8_POSEIDONSQL_APPFVT_01_tbl_detalle_fill_rate[[#This Row],[emb_cantidad]]-Tabla__192.168.1.8_POSEIDONSQL_APPFVT_01_tbl_detalle_fill_rate[[#This Row],[dev_cantidad]]</f>
        <v>499</v>
      </c>
      <c r="P7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498</v>
      </c>
      <c r="R729" s="1">
        <f>+Tabla__192.168.1.8_POSEIDONSQL_APPFVT_01_tbl_detalle_fill_rate[[#This Row],[Cumpl Real Unds]]-Tabla__192.168.1.8_POSEIDONSQL_APPFVT_01_tbl_detalle_fill_rate[[#This Row],[Cant Embarcada]]</f>
        <v>-1</v>
      </c>
      <c r="S729" s="1">
        <f>+IF(Tabla__192.168.1.8_POSEIDONSQL_APPFVT_01_tbl_detalle_fill_rate[[#This Row],[Pend Emb]]&gt;0,1,0)</f>
        <v>0</v>
      </c>
      <c r="T7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0" spans="1:20" x14ac:dyDescent="0.25">
      <c r="A730">
        <v>24</v>
      </c>
      <c r="B730" t="s">
        <v>54</v>
      </c>
      <c r="C730">
        <v>5103550</v>
      </c>
      <c r="D730" s="48">
        <v>43350</v>
      </c>
      <c r="E730" s="48">
        <v>43349</v>
      </c>
      <c r="F730" s="48">
        <v>43359</v>
      </c>
      <c r="G730" t="s">
        <v>814</v>
      </c>
      <c r="H730" t="s">
        <v>815</v>
      </c>
      <c r="I730">
        <v>300</v>
      </c>
      <c r="J730" t="s">
        <v>49</v>
      </c>
      <c r="K730">
        <v>300</v>
      </c>
      <c r="L730">
        <v>300</v>
      </c>
      <c r="M730" t="s">
        <v>1983</v>
      </c>
      <c r="N730">
        <v>0</v>
      </c>
      <c r="O730" s="1">
        <f>+Tabla__192.168.1.8_POSEIDONSQL_APPFVT_01_tbl_detalle_fill_rate[[#This Row],[emb_cantidad]]-Tabla__192.168.1.8_POSEIDONSQL_APPFVT_01_tbl_detalle_fill_rate[[#This Row],[dev_cantidad]]</f>
        <v>300</v>
      </c>
      <c r="P7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300</v>
      </c>
      <c r="R730" s="1">
        <f>+Tabla__192.168.1.8_POSEIDONSQL_APPFVT_01_tbl_detalle_fill_rate[[#This Row],[Cumpl Real Unds]]-Tabla__192.168.1.8_POSEIDONSQL_APPFVT_01_tbl_detalle_fill_rate[[#This Row],[Cant Embarcada]]</f>
        <v>0</v>
      </c>
      <c r="S730" s="1">
        <f>+IF(Tabla__192.168.1.8_POSEIDONSQL_APPFVT_01_tbl_detalle_fill_rate[[#This Row],[Pend Emb]]&gt;0,1,0)</f>
        <v>0</v>
      </c>
      <c r="T7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1" spans="1:20" x14ac:dyDescent="0.25">
      <c r="A731">
        <v>24</v>
      </c>
      <c r="B731" t="s">
        <v>54</v>
      </c>
      <c r="C731">
        <v>5103550</v>
      </c>
      <c r="D731" s="48">
        <v>43350</v>
      </c>
      <c r="E731" s="48">
        <v>43349</v>
      </c>
      <c r="F731" s="48">
        <v>43359</v>
      </c>
      <c r="G731" t="s">
        <v>816</v>
      </c>
      <c r="H731" t="s">
        <v>817</v>
      </c>
      <c r="I731">
        <v>620</v>
      </c>
      <c r="J731" t="s">
        <v>49</v>
      </c>
      <c r="K731">
        <v>250</v>
      </c>
      <c r="L731">
        <v>250</v>
      </c>
      <c r="M731" t="s">
        <v>1983</v>
      </c>
      <c r="N731">
        <v>0</v>
      </c>
      <c r="O731" s="1">
        <f>+Tabla__192.168.1.8_POSEIDONSQL_APPFVT_01_tbl_detalle_fill_rate[[#This Row],[emb_cantidad]]-Tabla__192.168.1.8_POSEIDONSQL_APPFVT_01_tbl_detalle_fill_rate[[#This Row],[dev_cantidad]]</f>
        <v>250</v>
      </c>
      <c r="P7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250</v>
      </c>
      <c r="R731" s="1">
        <f>+Tabla__192.168.1.8_POSEIDONSQL_APPFVT_01_tbl_detalle_fill_rate[[#This Row],[Cumpl Real Unds]]-Tabla__192.168.1.8_POSEIDONSQL_APPFVT_01_tbl_detalle_fill_rate[[#This Row],[Cant Embarcada]]</f>
        <v>0</v>
      </c>
      <c r="S731" s="1">
        <f>+IF(Tabla__192.168.1.8_POSEIDONSQL_APPFVT_01_tbl_detalle_fill_rate[[#This Row],[Pend Emb]]&gt;0,1,0)</f>
        <v>0</v>
      </c>
      <c r="T7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2" spans="1:20" x14ac:dyDescent="0.25">
      <c r="A732">
        <v>24</v>
      </c>
      <c r="B732" t="s">
        <v>54</v>
      </c>
      <c r="C732">
        <v>5103550</v>
      </c>
      <c r="D732" s="48">
        <v>43350</v>
      </c>
      <c r="E732" s="48">
        <v>43349</v>
      </c>
      <c r="F732" s="48">
        <v>43359</v>
      </c>
      <c r="G732" t="s">
        <v>818</v>
      </c>
      <c r="H732" t="s">
        <v>819</v>
      </c>
      <c r="I732">
        <v>200</v>
      </c>
      <c r="J732" t="s">
        <v>49</v>
      </c>
      <c r="K732">
        <v>200</v>
      </c>
      <c r="L732">
        <v>200</v>
      </c>
      <c r="M732" t="s">
        <v>1983</v>
      </c>
      <c r="N732">
        <v>0</v>
      </c>
      <c r="O732" s="1">
        <f>+Tabla__192.168.1.8_POSEIDONSQL_APPFVT_01_tbl_detalle_fill_rate[[#This Row],[emb_cantidad]]-Tabla__192.168.1.8_POSEIDONSQL_APPFVT_01_tbl_detalle_fill_rate[[#This Row],[dev_cantidad]]</f>
        <v>200</v>
      </c>
      <c r="P7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200</v>
      </c>
      <c r="R732" s="1">
        <f>+Tabla__192.168.1.8_POSEIDONSQL_APPFVT_01_tbl_detalle_fill_rate[[#This Row],[Cumpl Real Unds]]-Tabla__192.168.1.8_POSEIDONSQL_APPFVT_01_tbl_detalle_fill_rate[[#This Row],[Cant Embarcada]]</f>
        <v>0</v>
      </c>
      <c r="S732" s="1">
        <f>+IF(Tabla__192.168.1.8_POSEIDONSQL_APPFVT_01_tbl_detalle_fill_rate[[#This Row],[Pend Emb]]&gt;0,1,0)</f>
        <v>0</v>
      </c>
      <c r="T7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3" spans="1:20" x14ac:dyDescent="0.25">
      <c r="A733">
        <v>24</v>
      </c>
      <c r="B733" t="s">
        <v>54</v>
      </c>
      <c r="C733">
        <v>5103550</v>
      </c>
      <c r="D733" s="48">
        <v>43350</v>
      </c>
      <c r="E733" s="48">
        <v>43349</v>
      </c>
      <c r="F733" s="48">
        <v>43359</v>
      </c>
      <c r="G733" t="s">
        <v>142</v>
      </c>
      <c r="H733" t="s">
        <v>143</v>
      </c>
      <c r="I733">
        <v>110</v>
      </c>
      <c r="J733" t="s">
        <v>49</v>
      </c>
      <c r="K733">
        <v>110</v>
      </c>
      <c r="L733">
        <v>110</v>
      </c>
      <c r="M733" t="s">
        <v>1983</v>
      </c>
      <c r="N733">
        <v>0</v>
      </c>
      <c r="O733" s="1">
        <f>+Tabla__192.168.1.8_POSEIDONSQL_APPFVT_01_tbl_detalle_fill_rate[[#This Row],[emb_cantidad]]-Tabla__192.168.1.8_POSEIDONSQL_APPFVT_01_tbl_detalle_fill_rate[[#This Row],[dev_cantidad]]</f>
        <v>110</v>
      </c>
      <c r="P7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110</v>
      </c>
      <c r="R733" s="1">
        <f>+Tabla__192.168.1.8_POSEIDONSQL_APPFVT_01_tbl_detalle_fill_rate[[#This Row],[Cumpl Real Unds]]-Tabla__192.168.1.8_POSEIDONSQL_APPFVT_01_tbl_detalle_fill_rate[[#This Row],[Cant Embarcada]]</f>
        <v>0</v>
      </c>
      <c r="S733" s="1">
        <f>+IF(Tabla__192.168.1.8_POSEIDONSQL_APPFVT_01_tbl_detalle_fill_rate[[#This Row],[Pend Emb]]&gt;0,1,0)</f>
        <v>0</v>
      </c>
      <c r="T7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4" spans="1:20" x14ac:dyDescent="0.25">
      <c r="A734">
        <v>24</v>
      </c>
      <c r="B734" t="s">
        <v>54</v>
      </c>
      <c r="C734">
        <v>5103577</v>
      </c>
      <c r="D734" s="48">
        <v>43350</v>
      </c>
      <c r="E734" s="48">
        <v>43350</v>
      </c>
      <c r="F734" s="48">
        <v>43368</v>
      </c>
      <c r="G734" t="s">
        <v>345</v>
      </c>
      <c r="H734" t="s">
        <v>346</v>
      </c>
      <c r="I734">
        <v>1</v>
      </c>
      <c r="J734" t="s">
        <v>1879</v>
      </c>
      <c r="K734">
        <v>1</v>
      </c>
      <c r="L734">
        <v>1</v>
      </c>
      <c r="M734" t="s">
        <v>419</v>
      </c>
      <c r="N734">
        <v>0</v>
      </c>
      <c r="O734" s="1">
        <f>+Tabla__192.168.1.8_POSEIDONSQL_APPFVT_01_tbl_detalle_fill_rate[[#This Row],[emb_cantidad]]-Tabla__192.168.1.8_POSEIDONSQL_APPFVT_01_tbl_detalle_fill_rate[[#This Row],[dev_cantidad]]</f>
        <v>1</v>
      </c>
      <c r="P7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34" s="1">
        <f>+Tabla__192.168.1.8_POSEIDONSQL_APPFVT_01_tbl_detalle_fill_rate[[#This Row],[Cumpl Real Unds]]-Tabla__192.168.1.8_POSEIDONSQL_APPFVT_01_tbl_detalle_fill_rate[[#This Row],[Cant Embarcada]]</f>
        <v>0</v>
      </c>
      <c r="S734" s="1">
        <f>+IF(Tabla__192.168.1.8_POSEIDONSQL_APPFVT_01_tbl_detalle_fill_rate[[#This Row],[Pend Emb]]&gt;0,1,0)</f>
        <v>0</v>
      </c>
      <c r="T7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5" spans="1:20" x14ac:dyDescent="0.25">
      <c r="A735">
        <v>24</v>
      </c>
      <c r="B735" t="s">
        <v>54</v>
      </c>
      <c r="C735">
        <v>5103760</v>
      </c>
      <c r="D735" s="48">
        <v>43353</v>
      </c>
      <c r="E735" s="48">
        <v>43350</v>
      </c>
      <c r="F735" s="48">
        <v>43369</v>
      </c>
      <c r="G735" t="s">
        <v>533</v>
      </c>
      <c r="H735" t="s">
        <v>534</v>
      </c>
      <c r="I735">
        <v>1</v>
      </c>
      <c r="J735" t="s">
        <v>1880</v>
      </c>
      <c r="K735">
        <v>1</v>
      </c>
      <c r="L735">
        <v>1</v>
      </c>
      <c r="M735" t="s">
        <v>419</v>
      </c>
      <c r="N735">
        <v>0</v>
      </c>
      <c r="O735" s="1">
        <f>+Tabla__192.168.1.8_POSEIDONSQL_APPFVT_01_tbl_detalle_fill_rate[[#This Row],[emb_cantidad]]-Tabla__192.168.1.8_POSEIDONSQL_APPFVT_01_tbl_detalle_fill_rate[[#This Row],[dev_cantidad]]</f>
        <v>1</v>
      </c>
      <c r="P7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35" s="1">
        <f>+Tabla__192.168.1.8_POSEIDONSQL_APPFVT_01_tbl_detalle_fill_rate[[#This Row],[Cumpl Real Unds]]-Tabla__192.168.1.8_POSEIDONSQL_APPFVT_01_tbl_detalle_fill_rate[[#This Row],[Cant Embarcada]]</f>
        <v>0</v>
      </c>
      <c r="S735" s="1">
        <f>+IF(Tabla__192.168.1.8_POSEIDONSQL_APPFVT_01_tbl_detalle_fill_rate[[#This Row],[Pend Emb]]&gt;0,1,0)</f>
        <v>0</v>
      </c>
      <c r="T7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6" spans="1:20" x14ac:dyDescent="0.25">
      <c r="A736">
        <v>24</v>
      </c>
      <c r="B736" t="s">
        <v>54</v>
      </c>
      <c r="C736">
        <v>5103776</v>
      </c>
      <c r="D736" s="48">
        <v>43353</v>
      </c>
      <c r="E736" s="48">
        <v>43350</v>
      </c>
      <c r="F736" s="48">
        <v>43368</v>
      </c>
      <c r="G736" t="s">
        <v>92</v>
      </c>
      <c r="H736" t="s">
        <v>93</v>
      </c>
      <c r="I736">
        <v>1</v>
      </c>
      <c r="J736" t="s">
        <v>435</v>
      </c>
      <c r="K736">
        <v>0</v>
      </c>
      <c r="L736">
        <v>0</v>
      </c>
      <c r="M736" t="s">
        <v>12</v>
      </c>
      <c r="N736">
        <v>0</v>
      </c>
      <c r="O736" s="1">
        <f>+Tabla__192.168.1.8_POSEIDONSQL_APPFVT_01_tbl_detalle_fill_rate[[#This Row],[emb_cantidad]]-Tabla__192.168.1.8_POSEIDONSQL_APPFVT_01_tbl_detalle_fill_rate[[#This Row],[dev_cantidad]]</f>
        <v>0</v>
      </c>
      <c r="P7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736" s="1">
        <f>+Tabla__192.168.1.8_POSEIDONSQL_APPFVT_01_tbl_detalle_fill_rate[[#This Row],[Cumpl Real Unds]]-Tabla__192.168.1.8_POSEIDONSQL_APPFVT_01_tbl_detalle_fill_rate[[#This Row],[Cant Embarcada]]</f>
        <v>0</v>
      </c>
      <c r="S736" s="1">
        <f>+IF(Tabla__192.168.1.8_POSEIDONSQL_APPFVT_01_tbl_detalle_fill_rate[[#This Row],[Pend Emb]]&gt;0,1,0)</f>
        <v>0</v>
      </c>
      <c r="T7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7" spans="1:20" x14ac:dyDescent="0.25">
      <c r="A737">
        <v>24</v>
      </c>
      <c r="B737" t="s">
        <v>54</v>
      </c>
      <c r="C737">
        <v>5103799</v>
      </c>
      <c r="D737" s="48">
        <v>43353</v>
      </c>
      <c r="E737" s="48">
        <v>43350</v>
      </c>
      <c r="F737" s="48">
        <v>43368</v>
      </c>
      <c r="G737" t="s">
        <v>345</v>
      </c>
      <c r="H737" t="s">
        <v>346</v>
      </c>
      <c r="I737">
        <v>1</v>
      </c>
      <c r="J737" t="s">
        <v>1871</v>
      </c>
      <c r="K737">
        <v>1</v>
      </c>
      <c r="L737">
        <v>1</v>
      </c>
      <c r="M737" t="s">
        <v>419</v>
      </c>
      <c r="N737">
        <v>0</v>
      </c>
      <c r="O737" s="1">
        <f>+Tabla__192.168.1.8_POSEIDONSQL_APPFVT_01_tbl_detalle_fill_rate[[#This Row],[emb_cantidad]]-Tabla__192.168.1.8_POSEIDONSQL_APPFVT_01_tbl_detalle_fill_rate[[#This Row],[dev_cantidad]]</f>
        <v>1</v>
      </c>
      <c r="P7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37" s="1">
        <f>+Tabla__192.168.1.8_POSEIDONSQL_APPFVT_01_tbl_detalle_fill_rate[[#This Row],[Cumpl Real Unds]]-Tabla__192.168.1.8_POSEIDONSQL_APPFVT_01_tbl_detalle_fill_rate[[#This Row],[Cant Embarcada]]</f>
        <v>0</v>
      </c>
      <c r="S737" s="1">
        <f>+IF(Tabla__192.168.1.8_POSEIDONSQL_APPFVT_01_tbl_detalle_fill_rate[[#This Row],[Pend Emb]]&gt;0,1,0)</f>
        <v>0</v>
      </c>
      <c r="T7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8" spans="1:20" x14ac:dyDescent="0.25">
      <c r="A738">
        <v>24</v>
      </c>
      <c r="B738" t="s">
        <v>54</v>
      </c>
      <c r="C738">
        <v>5103830</v>
      </c>
      <c r="D738" s="48">
        <v>43353</v>
      </c>
      <c r="E738" s="48">
        <v>43350</v>
      </c>
      <c r="F738" s="48">
        <v>43368</v>
      </c>
      <c r="G738" t="s">
        <v>345</v>
      </c>
      <c r="H738" t="s">
        <v>346</v>
      </c>
      <c r="I738">
        <v>1</v>
      </c>
      <c r="J738" t="s">
        <v>1872</v>
      </c>
      <c r="K738">
        <v>1</v>
      </c>
      <c r="L738">
        <v>1</v>
      </c>
      <c r="M738" t="s">
        <v>419</v>
      </c>
      <c r="N738">
        <v>0</v>
      </c>
      <c r="O738" s="1">
        <f>+Tabla__192.168.1.8_POSEIDONSQL_APPFVT_01_tbl_detalle_fill_rate[[#This Row],[emb_cantidad]]-Tabla__192.168.1.8_POSEIDONSQL_APPFVT_01_tbl_detalle_fill_rate[[#This Row],[dev_cantidad]]</f>
        <v>1</v>
      </c>
      <c r="P7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38" s="1">
        <f>+Tabla__192.168.1.8_POSEIDONSQL_APPFVT_01_tbl_detalle_fill_rate[[#This Row],[Cumpl Real Unds]]-Tabla__192.168.1.8_POSEIDONSQL_APPFVT_01_tbl_detalle_fill_rate[[#This Row],[Cant Embarcada]]</f>
        <v>0</v>
      </c>
      <c r="S738" s="1">
        <f>+IF(Tabla__192.168.1.8_POSEIDONSQL_APPFVT_01_tbl_detalle_fill_rate[[#This Row],[Pend Emb]]&gt;0,1,0)</f>
        <v>0</v>
      </c>
      <c r="T7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39" spans="1:20" x14ac:dyDescent="0.25">
      <c r="A739">
        <v>24</v>
      </c>
      <c r="B739" t="s">
        <v>54</v>
      </c>
      <c r="C739">
        <v>5103832</v>
      </c>
      <c r="D739" s="48">
        <v>43353</v>
      </c>
      <c r="E739" s="48">
        <v>43350</v>
      </c>
      <c r="F739" s="48">
        <v>43368</v>
      </c>
      <c r="G739" t="s">
        <v>345</v>
      </c>
      <c r="H739" t="s">
        <v>346</v>
      </c>
      <c r="I739">
        <v>1</v>
      </c>
      <c r="J739" t="s">
        <v>1873</v>
      </c>
      <c r="K739">
        <v>1</v>
      </c>
      <c r="L739">
        <v>1</v>
      </c>
      <c r="M739" t="s">
        <v>419</v>
      </c>
      <c r="N739">
        <v>0</v>
      </c>
      <c r="O739" s="1">
        <f>+Tabla__192.168.1.8_POSEIDONSQL_APPFVT_01_tbl_detalle_fill_rate[[#This Row],[emb_cantidad]]-Tabla__192.168.1.8_POSEIDONSQL_APPFVT_01_tbl_detalle_fill_rate[[#This Row],[dev_cantidad]]</f>
        <v>1</v>
      </c>
      <c r="P7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39" s="1">
        <f>+Tabla__192.168.1.8_POSEIDONSQL_APPFVT_01_tbl_detalle_fill_rate[[#This Row],[Cumpl Real Unds]]-Tabla__192.168.1.8_POSEIDONSQL_APPFVT_01_tbl_detalle_fill_rate[[#This Row],[Cant Embarcada]]</f>
        <v>0</v>
      </c>
      <c r="S739" s="1">
        <f>+IF(Tabla__192.168.1.8_POSEIDONSQL_APPFVT_01_tbl_detalle_fill_rate[[#This Row],[Pend Emb]]&gt;0,1,0)</f>
        <v>0</v>
      </c>
      <c r="T7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0" spans="1:20" x14ac:dyDescent="0.25">
      <c r="A740">
        <v>24</v>
      </c>
      <c r="B740" t="s">
        <v>54</v>
      </c>
      <c r="C740">
        <v>5103835</v>
      </c>
      <c r="D740" s="48">
        <v>43353</v>
      </c>
      <c r="E740" s="48">
        <v>43351</v>
      </c>
      <c r="F740" s="48">
        <v>43369</v>
      </c>
      <c r="G740" t="s">
        <v>345</v>
      </c>
      <c r="H740" t="s">
        <v>346</v>
      </c>
      <c r="I740">
        <v>1</v>
      </c>
      <c r="J740" t="s">
        <v>1874</v>
      </c>
      <c r="K740">
        <v>1</v>
      </c>
      <c r="L740">
        <v>1</v>
      </c>
      <c r="M740" t="s">
        <v>419</v>
      </c>
      <c r="N740">
        <v>0</v>
      </c>
      <c r="O740" s="1">
        <f>+Tabla__192.168.1.8_POSEIDONSQL_APPFVT_01_tbl_detalle_fill_rate[[#This Row],[emb_cantidad]]-Tabla__192.168.1.8_POSEIDONSQL_APPFVT_01_tbl_detalle_fill_rate[[#This Row],[dev_cantidad]]</f>
        <v>1</v>
      </c>
      <c r="P7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0" s="1">
        <f>+Tabla__192.168.1.8_POSEIDONSQL_APPFVT_01_tbl_detalle_fill_rate[[#This Row],[Cumpl Real Unds]]-Tabla__192.168.1.8_POSEIDONSQL_APPFVT_01_tbl_detalle_fill_rate[[#This Row],[Cant Embarcada]]</f>
        <v>0</v>
      </c>
      <c r="S740" s="1">
        <f>+IF(Tabla__192.168.1.8_POSEIDONSQL_APPFVT_01_tbl_detalle_fill_rate[[#This Row],[Pend Emb]]&gt;0,1,0)</f>
        <v>0</v>
      </c>
      <c r="T7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1" spans="1:20" x14ac:dyDescent="0.25">
      <c r="A741">
        <v>24</v>
      </c>
      <c r="B741" t="s">
        <v>54</v>
      </c>
      <c r="C741">
        <v>5103895</v>
      </c>
      <c r="D741" s="48">
        <v>43353</v>
      </c>
      <c r="E741" s="48">
        <v>43351</v>
      </c>
      <c r="F741" s="48">
        <v>43369</v>
      </c>
      <c r="G741" t="s">
        <v>533</v>
      </c>
      <c r="H741" t="s">
        <v>534</v>
      </c>
      <c r="I741">
        <v>1</v>
      </c>
      <c r="J741" t="s">
        <v>1875</v>
      </c>
      <c r="K741">
        <v>1</v>
      </c>
      <c r="L741">
        <v>1</v>
      </c>
      <c r="M741" t="s">
        <v>419</v>
      </c>
      <c r="N741">
        <v>0</v>
      </c>
      <c r="O741" s="1">
        <f>+Tabla__192.168.1.8_POSEIDONSQL_APPFVT_01_tbl_detalle_fill_rate[[#This Row],[emb_cantidad]]-Tabla__192.168.1.8_POSEIDONSQL_APPFVT_01_tbl_detalle_fill_rate[[#This Row],[dev_cantidad]]</f>
        <v>1</v>
      </c>
      <c r="P7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1" s="1">
        <f>+Tabla__192.168.1.8_POSEIDONSQL_APPFVT_01_tbl_detalle_fill_rate[[#This Row],[Cumpl Real Unds]]-Tabla__192.168.1.8_POSEIDONSQL_APPFVT_01_tbl_detalle_fill_rate[[#This Row],[Cant Embarcada]]</f>
        <v>0</v>
      </c>
      <c r="S741" s="1">
        <f>+IF(Tabla__192.168.1.8_POSEIDONSQL_APPFVT_01_tbl_detalle_fill_rate[[#This Row],[Pend Emb]]&gt;0,1,0)</f>
        <v>0</v>
      </c>
      <c r="T7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2" spans="1:20" x14ac:dyDescent="0.25">
      <c r="A742">
        <v>24</v>
      </c>
      <c r="B742" t="s">
        <v>54</v>
      </c>
      <c r="C742">
        <v>5104128</v>
      </c>
      <c r="D742" s="48">
        <v>43353</v>
      </c>
      <c r="E742" s="48">
        <v>43352</v>
      </c>
      <c r="F742" s="48">
        <v>43368</v>
      </c>
      <c r="G742" t="s">
        <v>533</v>
      </c>
      <c r="H742" t="s">
        <v>534</v>
      </c>
      <c r="I742">
        <v>1</v>
      </c>
      <c r="J742" t="s">
        <v>1876</v>
      </c>
      <c r="K742">
        <v>1</v>
      </c>
      <c r="L742">
        <v>2</v>
      </c>
      <c r="M742" t="s">
        <v>413</v>
      </c>
      <c r="N742">
        <v>1</v>
      </c>
      <c r="O742" s="1">
        <f>+Tabla__192.168.1.8_POSEIDONSQL_APPFVT_01_tbl_detalle_fill_rate[[#This Row],[emb_cantidad]]-Tabla__192.168.1.8_POSEIDONSQL_APPFVT_01_tbl_detalle_fill_rate[[#This Row],[dev_cantidad]]</f>
        <v>1</v>
      </c>
      <c r="P7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7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2" s="1">
        <f>+Tabla__192.168.1.8_POSEIDONSQL_APPFVT_01_tbl_detalle_fill_rate[[#This Row],[Cumpl Real Unds]]-Tabla__192.168.1.8_POSEIDONSQL_APPFVT_01_tbl_detalle_fill_rate[[#This Row],[Cant Embarcada]]</f>
        <v>0</v>
      </c>
      <c r="S742" s="1">
        <f>+IF(Tabla__192.168.1.8_POSEIDONSQL_APPFVT_01_tbl_detalle_fill_rate[[#This Row],[Pend Emb]]&gt;0,1,0)</f>
        <v>0</v>
      </c>
      <c r="T7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3" spans="1:20" x14ac:dyDescent="0.25">
      <c r="A743">
        <v>24</v>
      </c>
      <c r="B743" t="s">
        <v>54</v>
      </c>
      <c r="C743">
        <v>5104129</v>
      </c>
      <c r="D743" s="48">
        <v>43353</v>
      </c>
      <c r="E743" s="48">
        <v>43352</v>
      </c>
      <c r="F743" s="48">
        <v>43368</v>
      </c>
      <c r="G743" t="s">
        <v>227</v>
      </c>
      <c r="H743" t="s">
        <v>228</v>
      </c>
      <c r="I743">
        <v>1</v>
      </c>
      <c r="J743" t="s">
        <v>1707</v>
      </c>
      <c r="K743">
        <v>1</v>
      </c>
      <c r="L743">
        <v>1</v>
      </c>
      <c r="M743" t="s">
        <v>419</v>
      </c>
      <c r="N743">
        <v>0</v>
      </c>
      <c r="O743" s="1">
        <f>+Tabla__192.168.1.8_POSEIDONSQL_APPFVT_01_tbl_detalle_fill_rate[[#This Row],[emb_cantidad]]-Tabla__192.168.1.8_POSEIDONSQL_APPFVT_01_tbl_detalle_fill_rate[[#This Row],[dev_cantidad]]</f>
        <v>1</v>
      </c>
      <c r="P7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3" s="1">
        <f>+Tabla__192.168.1.8_POSEIDONSQL_APPFVT_01_tbl_detalle_fill_rate[[#This Row],[Cumpl Real Unds]]-Tabla__192.168.1.8_POSEIDONSQL_APPFVT_01_tbl_detalle_fill_rate[[#This Row],[Cant Embarcada]]</f>
        <v>0</v>
      </c>
      <c r="S743" s="1">
        <f>+IF(Tabla__192.168.1.8_POSEIDONSQL_APPFVT_01_tbl_detalle_fill_rate[[#This Row],[Pend Emb]]&gt;0,1,0)</f>
        <v>0</v>
      </c>
      <c r="T7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4" spans="1:20" x14ac:dyDescent="0.25">
      <c r="A744">
        <v>24</v>
      </c>
      <c r="B744" t="s">
        <v>54</v>
      </c>
      <c r="C744">
        <v>5104187</v>
      </c>
      <c r="D744" s="48">
        <v>43353</v>
      </c>
      <c r="E744" s="48">
        <v>43352</v>
      </c>
      <c r="F744" s="48">
        <v>43368</v>
      </c>
      <c r="G744" t="s">
        <v>345</v>
      </c>
      <c r="H744" t="s">
        <v>346</v>
      </c>
      <c r="I744">
        <v>1</v>
      </c>
      <c r="J744" t="s">
        <v>1708</v>
      </c>
      <c r="K744">
        <v>1</v>
      </c>
      <c r="L744">
        <v>1</v>
      </c>
      <c r="M744" t="s">
        <v>419</v>
      </c>
      <c r="N744">
        <v>0</v>
      </c>
      <c r="O744" s="1">
        <f>+Tabla__192.168.1.8_POSEIDONSQL_APPFVT_01_tbl_detalle_fill_rate[[#This Row],[emb_cantidad]]-Tabla__192.168.1.8_POSEIDONSQL_APPFVT_01_tbl_detalle_fill_rate[[#This Row],[dev_cantidad]]</f>
        <v>1</v>
      </c>
      <c r="P7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4" s="1">
        <f>+Tabla__192.168.1.8_POSEIDONSQL_APPFVT_01_tbl_detalle_fill_rate[[#This Row],[Cumpl Real Unds]]-Tabla__192.168.1.8_POSEIDONSQL_APPFVT_01_tbl_detalle_fill_rate[[#This Row],[Cant Embarcada]]</f>
        <v>0</v>
      </c>
      <c r="S744" s="1">
        <f>+IF(Tabla__192.168.1.8_POSEIDONSQL_APPFVT_01_tbl_detalle_fill_rate[[#This Row],[Pend Emb]]&gt;0,1,0)</f>
        <v>0</v>
      </c>
      <c r="T7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5" spans="1:20" x14ac:dyDescent="0.25">
      <c r="A745">
        <v>24</v>
      </c>
      <c r="B745" t="s">
        <v>54</v>
      </c>
      <c r="C745">
        <v>5104250</v>
      </c>
      <c r="D745" s="48">
        <v>43353</v>
      </c>
      <c r="E745" s="48">
        <v>43352</v>
      </c>
      <c r="F745" s="48">
        <v>43369</v>
      </c>
      <c r="G745" t="s">
        <v>345</v>
      </c>
      <c r="H745" t="s">
        <v>346</v>
      </c>
      <c r="I745">
        <v>1</v>
      </c>
      <c r="J745" t="s">
        <v>1709</v>
      </c>
      <c r="K745">
        <v>1</v>
      </c>
      <c r="L745">
        <v>1</v>
      </c>
      <c r="M745" t="s">
        <v>419</v>
      </c>
      <c r="N745">
        <v>0</v>
      </c>
      <c r="O745" s="1">
        <f>+Tabla__192.168.1.8_POSEIDONSQL_APPFVT_01_tbl_detalle_fill_rate[[#This Row],[emb_cantidad]]-Tabla__192.168.1.8_POSEIDONSQL_APPFVT_01_tbl_detalle_fill_rate[[#This Row],[dev_cantidad]]</f>
        <v>1</v>
      </c>
      <c r="P7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5" s="1">
        <f>+Tabla__192.168.1.8_POSEIDONSQL_APPFVT_01_tbl_detalle_fill_rate[[#This Row],[Cumpl Real Unds]]-Tabla__192.168.1.8_POSEIDONSQL_APPFVT_01_tbl_detalle_fill_rate[[#This Row],[Cant Embarcada]]</f>
        <v>0</v>
      </c>
      <c r="S745" s="1">
        <f>+IF(Tabla__192.168.1.8_POSEIDONSQL_APPFVT_01_tbl_detalle_fill_rate[[#This Row],[Pend Emb]]&gt;0,1,0)</f>
        <v>0</v>
      </c>
      <c r="T7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6" spans="1:20" x14ac:dyDescent="0.25">
      <c r="A746">
        <v>24</v>
      </c>
      <c r="B746" t="s">
        <v>54</v>
      </c>
      <c r="C746">
        <v>5104292</v>
      </c>
      <c r="D746" s="48">
        <v>43354</v>
      </c>
      <c r="E746" s="48">
        <v>43353</v>
      </c>
      <c r="F746" s="48">
        <v>43368</v>
      </c>
      <c r="G746" t="s">
        <v>345</v>
      </c>
      <c r="H746" t="s">
        <v>346</v>
      </c>
      <c r="I746">
        <v>1</v>
      </c>
      <c r="J746" t="s">
        <v>1868</v>
      </c>
      <c r="K746">
        <v>1</v>
      </c>
      <c r="L746">
        <v>1</v>
      </c>
      <c r="M746" t="s">
        <v>419</v>
      </c>
      <c r="N746">
        <v>0</v>
      </c>
      <c r="O746" s="1">
        <f>+Tabla__192.168.1.8_POSEIDONSQL_APPFVT_01_tbl_detalle_fill_rate[[#This Row],[emb_cantidad]]-Tabla__192.168.1.8_POSEIDONSQL_APPFVT_01_tbl_detalle_fill_rate[[#This Row],[dev_cantidad]]</f>
        <v>1</v>
      </c>
      <c r="P7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6" s="1">
        <f>+Tabla__192.168.1.8_POSEIDONSQL_APPFVT_01_tbl_detalle_fill_rate[[#This Row],[Cumpl Real Unds]]-Tabla__192.168.1.8_POSEIDONSQL_APPFVT_01_tbl_detalle_fill_rate[[#This Row],[Cant Embarcada]]</f>
        <v>0</v>
      </c>
      <c r="S746" s="1">
        <f>+IF(Tabla__192.168.1.8_POSEIDONSQL_APPFVT_01_tbl_detalle_fill_rate[[#This Row],[Pend Emb]]&gt;0,1,0)</f>
        <v>0</v>
      </c>
      <c r="T7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7" spans="1:20" x14ac:dyDescent="0.25">
      <c r="A747">
        <v>24</v>
      </c>
      <c r="B747" t="s">
        <v>54</v>
      </c>
      <c r="C747">
        <v>5104346</v>
      </c>
      <c r="D747" s="48">
        <v>43354</v>
      </c>
      <c r="E747" s="48">
        <v>43353</v>
      </c>
      <c r="F747" s="48">
        <v>43369</v>
      </c>
      <c r="G747" t="s">
        <v>345</v>
      </c>
      <c r="H747" t="s">
        <v>346</v>
      </c>
      <c r="I747">
        <v>1</v>
      </c>
      <c r="J747" t="s">
        <v>1869</v>
      </c>
      <c r="K747">
        <v>1</v>
      </c>
      <c r="L747">
        <v>1</v>
      </c>
      <c r="M747" t="s">
        <v>419</v>
      </c>
      <c r="N747">
        <v>0</v>
      </c>
      <c r="O747" s="1">
        <f>+Tabla__192.168.1.8_POSEIDONSQL_APPFVT_01_tbl_detalle_fill_rate[[#This Row],[emb_cantidad]]-Tabla__192.168.1.8_POSEIDONSQL_APPFVT_01_tbl_detalle_fill_rate[[#This Row],[dev_cantidad]]</f>
        <v>1</v>
      </c>
      <c r="P7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7" s="1">
        <f>+Tabla__192.168.1.8_POSEIDONSQL_APPFVT_01_tbl_detalle_fill_rate[[#This Row],[Cumpl Real Unds]]-Tabla__192.168.1.8_POSEIDONSQL_APPFVT_01_tbl_detalle_fill_rate[[#This Row],[Cant Embarcada]]</f>
        <v>0</v>
      </c>
      <c r="S747" s="1">
        <f>+IF(Tabla__192.168.1.8_POSEIDONSQL_APPFVT_01_tbl_detalle_fill_rate[[#This Row],[Pend Emb]]&gt;0,1,0)</f>
        <v>0</v>
      </c>
      <c r="T7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8" spans="1:20" x14ac:dyDescent="0.25">
      <c r="A748">
        <v>24</v>
      </c>
      <c r="B748" t="s">
        <v>54</v>
      </c>
      <c r="C748">
        <v>5104451</v>
      </c>
      <c r="D748" s="48">
        <v>43354</v>
      </c>
      <c r="E748" s="48">
        <v>43353</v>
      </c>
      <c r="F748" s="48">
        <v>43368</v>
      </c>
      <c r="G748" t="s">
        <v>345</v>
      </c>
      <c r="H748" t="s">
        <v>346</v>
      </c>
      <c r="I748">
        <v>1</v>
      </c>
      <c r="J748" t="s">
        <v>1870</v>
      </c>
      <c r="K748">
        <v>1</v>
      </c>
      <c r="L748">
        <v>1</v>
      </c>
      <c r="M748" t="s">
        <v>419</v>
      </c>
      <c r="N748">
        <v>0</v>
      </c>
      <c r="O748" s="1">
        <f>+Tabla__192.168.1.8_POSEIDONSQL_APPFVT_01_tbl_detalle_fill_rate[[#This Row],[emb_cantidad]]-Tabla__192.168.1.8_POSEIDONSQL_APPFVT_01_tbl_detalle_fill_rate[[#This Row],[dev_cantidad]]</f>
        <v>1</v>
      </c>
      <c r="P7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8" s="1">
        <f>+Tabla__192.168.1.8_POSEIDONSQL_APPFVT_01_tbl_detalle_fill_rate[[#This Row],[Cumpl Real Unds]]-Tabla__192.168.1.8_POSEIDONSQL_APPFVT_01_tbl_detalle_fill_rate[[#This Row],[Cant Embarcada]]</f>
        <v>0</v>
      </c>
      <c r="S748" s="1">
        <f>+IF(Tabla__192.168.1.8_POSEIDONSQL_APPFVT_01_tbl_detalle_fill_rate[[#This Row],[Pend Emb]]&gt;0,1,0)</f>
        <v>0</v>
      </c>
      <c r="T7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49" spans="1:20" x14ac:dyDescent="0.25">
      <c r="A749">
        <v>24</v>
      </c>
      <c r="B749" t="s">
        <v>54</v>
      </c>
      <c r="C749">
        <v>5104551</v>
      </c>
      <c r="D749" s="48">
        <v>43354</v>
      </c>
      <c r="E749" s="48">
        <v>43353</v>
      </c>
      <c r="F749" s="48">
        <v>43368</v>
      </c>
      <c r="G749" t="s">
        <v>345</v>
      </c>
      <c r="H749" t="s">
        <v>346</v>
      </c>
      <c r="I749">
        <v>1</v>
      </c>
      <c r="J749" t="s">
        <v>1701</v>
      </c>
      <c r="K749">
        <v>1</v>
      </c>
      <c r="L749">
        <v>1</v>
      </c>
      <c r="M749" t="s">
        <v>419</v>
      </c>
      <c r="N749">
        <v>0</v>
      </c>
      <c r="O749" s="1">
        <f>+Tabla__192.168.1.8_POSEIDONSQL_APPFVT_01_tbl_detalle_fill_rate[[#This Row],[emb_cantidad]]-Tabla__192.168.1.8_POSEIDONSQL_APPFVT_01_tbl_detalle_fill_rate[[#This Row],[dev_cantidad]]</f>
        <v>1</v>
      </c>
      <c r="P7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49" s="1">
        <f>+Tabla__192.168.1.8_POSEIDONSQL_APPFVT_01_tbl_detalle_fill_rate[[#This Row],[Cumpl Real Unds]]-Tabla__192.168.1.8_POSEIDONSQL_APPFVT_01_tbl_detalle_fill_rate[[#This Row],[Cant Embarcada]]</f>
        <v>0</v>
      </c>
      <c r="S749" s="1">
        <f>+IF(Tabla__192.168.1.8_POSEIDONSQL_APPFVT_01_tbl_detalle_fill_rate[[#This Row],[Pend Emb]]&gt;0,1,0)</f>
        <v>0</v>
      </c>
      <c r="T7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0" spans="1:20" x14ac:dyDescent="0.25">
      <c r="A750">
        <v>24</v>
      </c>
      <c r="B750" t="s">
        <v>54</v>
      </c>
      <c r="C750">
        <v>5104553</v>
      </c>
      <c r="D750" s="48">
        <v>43354</v>
      </c>
      <c r="E750" s="48">
        <v>43353</v>
      </c>
      <c r="F750" s="48">
        <v>43368</v>
      </c>
      <c r="G750" t="s">
        <v>345</v>
      </c>
      <c r="H750" t="s">
        <v>346</v>
      </c>
      <c r="I750">
        <v>1</v>
      </c>
      <c r="J750" t="s">
        <v>1702</v>
      </c>
      <c r="K750">
        <v>1</v>
      </c>
      <c r="L750">
        <v>1</v>
      </c>
      <c r="M750" t="s">
        <v>419</v>
      </c>
      <c r="N750">
        <v>0</v>
      </c>
      <c r="O750" s="1">
        <f>+Tabla__192.168.1.8_POSEIDONSQL_APPFVT_01_tbl_detalle_fill_rate[[#This Row],[emb_cantidad]]-Tabla__192.168.1.8_POSEIDONSQL_APPFVT_01_tbl_detalle_fill_rate[[#This Row],[dev_cantidad]]</f>
        <v>1</v>
      </c>
      <c r="P7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0" s="1">
        <f>+Tabla__192.168.1.8_POSEIDONSQL_APPFVT_01_tbl_detalle_fill_rate[[#This Row],[Cumpl Real Unds]]-Tabla__192.168.1.8_POSEIDONSQL_APPFVT_01_tbl_detalle_fill_rate[[#This Row],[Cant Embarcada]]</f>
        <v>0</v>
      </c>
      <c r="S750" s="1">
        <f>+IF(Tabla__192.168.1.8_POSEIDONSQL_APPFVT_01_tbl_detalle_fill_rate[[#This Row],[Pend Emb]]&gt;0,1,0)</f>
        <v>0</v>
      </c>
      <c r="T7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1" spans="1:20" x14ac:dyDescent="0.25">
      <c r="A751">
        <v>24</v>
      </c>
      <c r="B751" t="s">
        <v>54</v>
      </c>
      <c r="C751">
        <v>5104556</v>
      </c>
      <c r="D751" s="48">
        <v>43354</v>
      </c>
      <c r="E751" s="48">
        <v>43353</v>
      </c>
      <c r="F751" s="48">
        <v>43368</v>
      </c>
      <c r="G751" t="s">
        <v>345</v>
      </c>
      <c r="H751" t="s">
        <v>346</v>
      </c>
      <c r="I751">
        <v>1</v>
      </c>
      <c r="J751" t="s">
        <v>1703</v>
      </c>
      <c r="K751">
        <v>1</v>
      </c>
      <c r="L751">
        <v>1</v>
      </c>
      <c r="M751" t="s">
        <v>419</v>
      </c>
      <c r="N751">
        <v>0</v>
      </c>
      <c r="O751" s="1">
        <f>+Tabla__192.168.1.8_POSEIDONSQL_APPFVT_01_tbl_detalle_fill_rate[[#This Row],[emb_cantidad]]-Tabla__192.168.1.8_POSEIDONSQL_APPFVT_01_tbl_detalle_fill_rate[[#This Row],[dev_cantidad]]</f>
        <v>1</v>
      </c>
      <c r="P7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1" s="1">
        <f>+Tabla__192.168.1.8_POSEIDONSQL_APPFVT_01_tbl_detalle_fill_rate[[#This Row],[Cumpl Real Unds]]-Tabla__192.168.1.8_POSEIDONSQL_APPFVT_01_tbl_detalle_fill_rate[[#This Row],[Cant Embarcada]]</f>
        <v>0</v>
      </c>
      <c r="S751" s="1">
        <f>+IF(Tabla__192.168.1.8_POSEIDONSQL_APPFVT_01_tbl_detalle_fill_rate[[#This Row],[Pend Emb]]&gt;0,1,0)</f>
        <v>0</v>
      </c>
      <c r="T7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2" spans="1:20" x14ac:dyDescent="0.25">
      <c r="A752">
        <v>24</v>
      </c>
      <c r="B752" t="s">
        <v>54</v>
      </c>
      <c r="C752">
        <v>5104573</v>
      </c>
      <c r="D752" s="48">
        <v>43354</v>
      </c>
      <c r="E752" s="48">
        <v>43353</v>
      </c>
      <c r="F752" s="48">
        <v>43369</v>
      </c>
      <c r="G752" t="s">
        <v>533</v>
      </c>
      <c r="H752" t="s">
        <v>534</v>
      </c>
      <c r="I752">
        <v>1</v>
      </c>
      <c r="J752" t="s">
        <v>1704</v>
      </c>
      <c r="K752">
        <v>1</v>
      </c>
      <c r="L752">
        <v>1</v>
      </c>
      <c r="M752" t="s">
        <v>419</v>
      </c>
      <c r="N752">
        <v>0</v>
      </c>
      <c r="O752" s="1">
        <f>+Tabla__192.168.1.8_POSEIDONSQL_APPFVT_01_tbl_detalle_fill_rate[[#This Row],[emb_cantidad]]-Tabla__192.168.1.8_POSEIDONSQL_APPFVT_01_tbl_detalle_fill_rate[[#This Row],[dev_cantidad]]</f>
        <v>1</v>
      </c>
      <c r="P7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2" s="1">
        <f>+Tabla__192.168.1.8_POSEIDONSQL_APPFVT_01_tbl_detalle_fill_rate[[#This Row],[Cumpl Real Unds]]-Tabla__192.168.1.8_POSEIDONSQL_APPFVT_01_tbl_detalle_fill_rate[[#This Row],[Cant Embarcada]]</f>
        <v>0</v>
      </c>
      <c r="S752" s="1">
        <f>+IF(Tabla__192.168.1.8_POSEIDONSQL_APPFVT_01_tbl_detalle_fill_rate[[#This Row],[Pend Emb]]&gt;0,1,0)</f>
        <v>0</v>
      </c>
      <c r="T7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3" spans="1:20" x14ac:dyDescent="0.25">
      <c r="A753">
        <v>24</v>
      </c>
      <c r="B753" t="s">
        <v>54</v>
      </c>
      <c r="C753">
        <v>5104590</v>
      </c>
      <c r="D753" s="48">
        <v>43354</v>
      </c>
      <c r="E753" s="48">
        <v>43353</v>
      </c>
      <c r="F753" s="48">
        <v>43368</v>
      </c>
      <c r="G753" t="s">
        <v>345</v>
      </c>
      <c r="H753" t="s">
        <v>346</v>
      </c>
      <c r="I753">
        <v>1</v>
      </c>
      <c r="J753" t="s">
        <v>1705</v>
      </c>
      <c r="K753">
        <v>1</v>
      </c>
      <c r="L753">
        <v>1</v>
      </c>
      <c r="M753" t="s">
        <v>419</v>
      </c>
      <c r="N753">
        <v>0</v>
      </c>
      <c r="O753" s="1">
        <f>+Tabla__192.168.1.8_POSEIDONSQL_APPFVT_01_tbl_detalle_fill_rate[[#This Row],[emb_cantidad]]-Tabla__192.168.1.8_POSEIDONSQL_APPFVT_01_tbl_detalle_fill_rate[[#This Row],[dev_cantidad]]</f>
        <v>1</v>
      </c>
      <c r="P7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3" s="1">
        <f>+Tabla__192.168.1.8_POSEIDONSQL_APPFVT_01_tbl_detalle_fill_rate[[#This Row],[Cumpl Real Unds]]-Tabla__192.168.1.8_POSEIDONSQL_APPFVT_01_tbl_detalle_fill_rate[[#This Row],[Cant Embarcada]]</f>
        <v>0</v>
      </c>
      <c r="S753" s="1">
        <f>+IF(Tabla__192.168.1.8_POSEIDONSQL_APPFVT_01_tbl_detalle_fill_rate[[#This Row],[Pend Emb]]&gt;0,1,0)</f>
        <v>0</v>
      </c>
      <c r="T7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4" spans="1:20" x14ac:dyDescent="0.25">
      <c r="A754">
        <v>24</v>
      </c>
      <c r="B754" t="s">
        <v>54</v>
      </c>
      <c r="C754">
        <v>5104611</v>
      </c>
      <c r="D754" s="48">
        <v>43354</v>
      </c>
      <c r="E754" s="48">
        <v>43353</v>
      </c>
      <c r="F754" s="48">
        <v>43368</v>
      </c>
      <c r="G754" t="s">
        <v>533</v>
      </c>
      <c r="H754" t="s">
        <v>534</v>
      </c>
      <c r="I754">
        <v>1</v>
      </c>
      <c r="J754" t="s">
        <v>1706</v>
      </c>
      <c r="K754">
        <v>1</v>
      </c>
      <c r="L754">
        <v>1</v>
      </c>
      <c r="M754" t="s">
        <v>419</v>
      </c>
      <c r="N754">
        <v>0</v>
      </c>
      <c r="O754" s="1">
        <f>+Tabla__192.168.1.8_POSEIDONSQL_APPFVT_01_tbl_detalle_fill_rate[[#This Row],[emb_cantidad]]-Tabla__192.168.1.8_POSEIDONSQL_APPFVT_01_tbl_detalle_fill_rate[[#This Row],[dev_cantidad]]</f>
        <v>1</v>
      </c>
      <c r="P7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4" s="1">
        <f>+Tabla__192.168.1.8_POSEIDONSQL_APPFVT_01_tbl_detalle_fill_rate[[#This Row],[Cumpl Real Unds]]-Tabla__192.168.1.8_POSEIDONSQL_APPFVT_01_tbl_detalle_fill_rate[[#This Row],[Cant Embarcada]]</f>
        <v>0</v>
      </c>
      <c r="S754" s="1">
        <f>+IF(Tabla__192.168.1.8_POSEIDONSQL_APPFVT_01_tbl_detalle_fill_rate[[#This Row],[Pend Emb]]&gt;0,1,0)</f>
        <v>0</v>
      </c>
      <c r="T7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5" spans="1:20" x14ac:dyDescent="0.25">
      <c r="A755">
        <v>24</v>
      </c>
      <c r="B755" t="s">
        <v>54</v>
      </c>
      <c r="C755">
        <v>5104683</v>
      </c>
      <c r="D755" s="48">
        <v>43354</v>
      </c>
      <c r="E755" s="48">
        <v>43354</v>
      </c>
      <c r="F755" s="48">
        <v>43368</v>
      </c>
      <c r="G755" t="s">
        <v>345</v>
      </c>
      <c r="H755" t="s">
        <v>346</v>
      </c>
      <c r="I755">
        <v>1</v>
      </c>
      <c r="J755" t="s">
        <v>1700</v>
      </c>
      <c r="K755">
        <v>1</v>
      </c>
      <c r="L755">
        <v>1</v>
      </c>
      <c r="M755" t="s">
        <v>419</v>
      </c>
      <c r="N755">
        <v>0</v>
      </c>
      <c r="O755" s="1">
        <f>+Tabla__192.168.1.8_POSEIDONSQL_APPFVT_01_tbl_detalle_fill_rate[[#This Row],[emb_cantidad]]-Tabla__192.168.1.8_POSEIDONSQL_APPFVT_01_tbl_detalle_fill_rate[[#This Row],[dev_cantidad]]</f>
        <v>1</v>
      </c>
      <c r="P7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5" s="1">
        <f>+Tabla__192.168.1.8_POSEIDONSQL_APPFVT_01_tbl_detalle_fill_rate[[#This Row],[Cumpl Real Unds]]-Tabla__192.168.1.8_POSEIDONSQL_APPFVT_01_tbl_detalle_fill_rate[[#This Row],[Cant Embarcada]]</f>
        <v>0</v>
      </c>
      <c r="S755" s="1">
        <f>+IF(Tabla__192.168.1.8_POSEIDONSQL_APPFVT_01_tbl_detalle_fill_rate[[#This Row],[Pend Emb]]&gt;0,1,0)</f>
        <v>0</v>
      </c>
      <c r="T7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6" spans="1:20" x14ac:dyDescent="0.25">
      <c r="A756">
        <v>24</v>
      </c>
      <c r="B756" t="s">
        <v>54</v>
      </c>
      <c r="C756">
        <v>5104799</v>
      </c>
      <c r="D756" s="48">
        <v>43355</v>
      </c>
      <c r="E756" s="48">
        <v>43354</v>
      </c>
      <c r="F756" s="48">
        <v>43369</v>
      </c>
      <c r="G756" t="s">
        <v>106</v>
      </c>
      <c r="H756" t="s">
        <v>107</v>
      </c>
      <c r="I756">
        <v>1</v>
      </c>
      <c r="J756" t="s">
        <v>1895</v>
      </c>
      <c r="K756">
        <v>1</v>
      </c>
      <c r="L756">
        <v>1</v>
      </c>
      <c r="M756" t="s">
        <v>419</v>
      </c>
      <c r="N756">
        <v>0</v>
      </c>
      <c r="O756" s="1">
        <f>+Tabla__192.168.1.8_POSEIDONSQL_APPFVT_01_tbl_detalle_fill_rate[[#This Row],[emb_cantidad]]-Tabla__192.168.1.8_POSEIDONSQL_APPFVT_01_tbl_detalle_fill_rate[[#This Row],[dev_cantidad]]</f>
        <v>1</v>
      </c>
      <c r="P7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6" s="1">
        <f>+Tabla__192.168.1.8_POSEIDONSQL_APPFVT_01_tbl_detalle_fill_rate[[#This Row],[Cumpl Real Unds]]-Tabla__192.168.1.8_POSEIDONSQL_APPFVT_01_tbl_detalle_fill_rate[[#This Row],[Cant Embarcada]]</f>
        <v>0</v>
      </c>
      <c r="S756" s="1">
        <f>+IF(Tabla__192.168.1.8_POSEIDONSQL_APPFVT_01_tbl_detalle_fill_rate[[#This Row],[Pend Emb]]&gt;0,1,0)</f>
        <v>0</v>
      </c>
      <c r="T7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7" spans="1:20" x14ac:dyDescent="0.25">
      <c r="A757">
        <v>24</v>
      </c>
      <c r="B757" t="s">
        <v>54</v>
      </c>
      <c r="C757">
        <v>5104876</v>
      </c>
      <c r="D757" s="48">
        <v>43355</v>
      </c>
      <c r="E757" s="48">
        <v>43354</v>
      </c>
      <c r="F757" s="48">
        <v>43368</v>
      </c>
      <c r="G757" t="s">
        <v>345</v>
      </c>
      <c r="H757" t="s">
        <v>346</v>
      </c>
      <c r="I757">
        <v>1</v>
      </c>
      <c r="J757" t="s">
        <v>613</v>
      </c>
      <c r="K757">
        <v>1</v>
      </c>
      <c r="L757">
        <v>1</v>
      </c>
      <c r="M757" t="s">
        <v>419</v>
      </c>
      <c r="N757">
        <v>0</v>
      </c>
      <c r="O757" s="1">
        <f>+Tabla__192.168.1.8_POSEIDONSQL_APPFVT_01_tbl_detalle_fill_rate[[#This Row],[emb_cantidad]]-Tabla__192.168.1.8_POSEIDONSQL_APPFVT_01_tbl_detalle_fill_rate[[#This Row],[dev_cantidad]]</f>
        <v>1</v>
      </c>
      <c r="P7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7" s="1">
        <f>+Tabla__192.168.1.8_POSEIDONSQL_APPFVT_01_tbl_detalle_fill_rate[[#This Row],[Cumpl Real Unds]]-Tabla__192.168.1.8_POSEIDONSQL_APPFVT_01_tbl_detalle_fill_rate[[#This Row],[Cant Embarcada]]</f>
        <v>0</v>
      </c>
      <c r="S757" s="1">
        <f>+IF(Tabla__192.168.1.8_POSEIDONSQL_APPFVT_01_tbl_detalle_fill_rate[[#This Row],[Pend Emb]]&gt;0,1,0)</f>
        <v>0</v>
      </c>
      <c r="T7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8" spans="1:20" x14ac:dyDescent="0.25">
      <c r="A758">
        <v>24</v>
      </c>
      <c r="B758" t="s">
        <v>54</v>
      </c>
      <c r="C758">
        <v>5104911</v>
      </c>
      <c r="D758" s="48">
        <v>43355</v>
      </c>
      <c r="E758" s="48">
        <v>43354</v>
      </c>
      <c r="F758" s="48">
        <v>43369</v>
      </c>
      <c r="G758" t="s">
        <v>345</v>
      </c>
      <c r="H758" t="s">
        <v>346</v>
      </c>
      <c r="I758">
        <v>1</v>
      </c>
      <c r="J758" t="s">
        <v>614</v>
      </c>
      <c r="K758">
        <v>1</v>
      </c>
      <c r="L758">
        <v>1</v>
      </c>
      <c r="M758" t="s">
        <v>419</v>
      </c>
      <c r="N758">
        <v>0</v>
      </c>
      <c r="O758" s="1">
        <f>+Tabla__192.168.1.8_POSEIDONSQL_APPFVT_01_tbl_detalle_fill_rate[[#This Row],[emb_cantidad]]-Tabla__192.168.1.8_POSEIDONSQL_APPFVT_01_tbl_detalle_fill_rate[[#This Row],[dev_cantidad]]</f>
        <v>1</v>
      </c>
      <c r="P7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8" s="1">
        <f>+Tabla__192.168.1.8_POSEIDONSQL_APPFVT_01_tbl_detalle_fill_rate[[#This Row],[Cumpl Real Unds]]-Tabla__192.168.1.8_POSEIDONSQL_APPFVT_01_tbl_detalle_fill_rate[[#This Row],[Cant Embarcada]]</f>
        <v>0</v>
      </c>
      <c r="S758" s="1">
        <f>+IF(Tabla__192.168.1.8_POSEIDONSQL_APPFVT_01_tbl_detalle_fill_rate[[#This Row],[Pend Emb]]&gt;0,1,0)</f>
        <v>0</v>
      </c>
      <c r="T7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59" spans="1:20" x14ac:dyDescent="0.25">
      <c r="A759">
        <v>24</v>
      </c>
      <c r="B759" t="s">
        <v>54</v>
      </c>
      <c r="C759">
        <v>5104949</v>
      </c>
      <c r="D759" s="48">
        <v>43355</v>
      </c>
      <c r="E759" s="48">
        <v>43354</v>
      </c>
      <c r="F759" s="48">
        <v>43368</v>
      </c>
      <c r="G759" t="s">
        <v>345</v>
      </c>
      <c r="H759" t="s">
        <v>346</v>
      </c>
      <c r="I759">
        <v>1</v>
      </c>
      <c r="J759" t="s">
        <v>615</v>
      </c>
      <c r="K759">
        <v>1</v>
      </c>
      <c r="L759">
        <v>1</v>
      </c>
      <c r="M759" t="s">
        <v>419</v>
      </c>
      <c r="N759">
        <v>0</v>
      </c>
      <c r="O759" s="1">
        <f>+Tabla__192.168.1.8_POSEIDONSQL_APPFVT_01_tbl_detalle_fill_rate[[#This Row],[emb_cantidad]]-Tabla__192.168.1.8_POSEIDONSQL_APPFVT_01_tbl_detalle_fill_rate[[#This Row],[dev_cantidad]]</f>
        <v>1</v>
      </c>
      <c r="P7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59" s="1">
        <f>+Tabla__192.168.1.8_POSEIDONSQL_APPFVT_01_tbl_detalle_fill_rate[[#This Row],[Cumpl Real Unds]]-Tabla__192.168.1.8_POSEIDONSQL_APPFVT_01_tbl_detalle_fill_rate[[#This Row],[Cant Embarcada]]</f>
        <v>0</v>
      </c>
      <c r="S759" s="1">
        <f>+IF(Tabla__192.168.1.8_POSEIDONSQL_APPFVT_01_tbl_detalle_fill_rate[[#This Row],[Pend Emb]]&gt;0,1,0)</f>
        <v>0</v>
      </c>
      <c r="T7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0" spans="1:20" x14ac:dyDescent="0.25">
      <c r="A760">
        <v>24</v>
      </c>
      <c r="B760" t="s">
        <v>54</v>
      </c>
      <c r="C760">
        <v>5105036</v>
      </c>
      <c r="D760" s="48">
        <v>43356</v>
      </c>
      <c r="E760" s="48">
        <v>43355</v>
      </c>
      <c r="F760" s="48">
        <v>43368</v>
      </c>
      <c r="G760" t="s">
        <v>96</v>
      </c>
      <c r="H760" t="s">
        <v>97</v>
      </c>
      <c r="I760">
        <v>1</v>
      </c>
      <c r="J760" t="s">
        <v>1525</v>
      </c>
      <c r="K760">
        <v>1</v>
      </c>
      <c r="L760">
        <v>1</v>
      </c>
      <c r="M760" t="s">
        <v>419</v>
      </c>
      <c r="N760">
        <v>0</v>
      </c>
      <c r="O760" s="1">
        <f>+Tabla__192.168.1.8_POSEIDONSQL_APPFVT_01_tbl_detalle_fill_rate[[#This Row],[emb_cantidad]]-Tabla__192.168.1.8_POSEIDONSQL_APPFVT_01_tbl_detalle_fill_rate[[#This Row],[dev_cantidad]]</f>
        <v>1</v>
      </c>
      <c r="P7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0" s="1">
        <f>+Tabla__192.168.1.8_POSEIDONSQL_APPFVT_01_tbl_detalle_fill_rate[[#This Row],[Cumpl Real Unds]]-Tabla__192.168.1.8_POSEIDONSQL_APPFVT_01_tbl_detalle_fill_rate[[#This Row],[Cant Embarcada]]</f>
        <v>0</v>
      </c>
      <c r="S760" s="1">
        <f>+IF(Tabla__192.168.1.8_POSEIDONSQL_APPFVT_01_tbl_detalle_fill_rate[[#This Row],[Pend Emb]]&gt;0,1,0)</f>
        <v>0</v>
      </c>
      <c r="T7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1" spans="1:20" x14ac:dyDescent="0.25">
      <c r="A761">
        <v>24</v>
      </c>
      <c r="B761" t="s">
        <v>54</v>
      </c>
      <c r="C761">
        <v>5105054</v>
      </c>
      <c r="D761" s="48">
        <v>43356</v>
      </c>
      <c r="E761" s="48">
        <v>43355</v>
      </c>
      <c r="F761" s="48">
        <v>43366</v>
      </c>
      <c r="G761" t="s">
        <v>816</v>
      </c>
      <c r="H761" t="s">
        <v>817</v>
      </c>
      <c r="I761">
        <v>350</v>
      </c>
      <c r="J761" t="s">
        <v>49</v>
      </c>
      <c r="K761">
        <v>350</v>
      </c>
      <c r="L761">
        <v>350</v>
      </c>
      <c r="M761" t="s">
        <v>422</v>
      </c>
      <c r="N761">
        <v>0</v>
      </c>
      <c r="O761" s="1">
        <f>+Tabla__192.168.1.8_POSEIDONSQL_APPFVT_01_tbl_detalle_fill_rate[[#This Row],[emb_cantidad]]-Tabla__192.168.1.8_POSEIDONSQL_APPFVT_01_tbl_detalle_fill_rate[[#This Row],[dev_cantidad]]</f>
        <v>350</v>
      </c>
      <c r="P7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350</v>
      </c>
      <c r="R761" s="1">
        <f>+Tabla__192.168.1.8_POSEIDONSQL_APPFVT_01_tbl_detalle_fill_rate[[#This Row],[Cumpl Real Unds]]-Tabla__192.168.1.8_POSEIDONSQL_APPFVT_01_tbl_detalle_fill_rate[[#This Row],[Cant Embarcada]]</f>
        <v>0</v>
      </c>
      <c r="S761" s="1">
        <f>+IF(Tabla__192.168.1.8_POSEIDONSQL_APPFVT_01_tbl_detalle_fill_rate[[#This Row],[Pend Emb]]&gt;0,1,0)</f>
        <v>0</v>
      </c>
      <c r="T7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2" spans="1:20" x14ac:dyDescent="0.25">
      <c r="A762">
        <v>24</v>
      </c>
      <c r="B762" t="s">
        <v>54</v>
      </c>
      <c r="C762">
        <v>5105054</v>
      </c>
      <c r="D762" s="48">
        <v>43356</v>
      </c>
      <c r="E762" s="48">
        <v>43355</v>
      </c>
      <c r="F762" s="48">
        <v>43366</v>
      </c>
      <c r="G762" t="s">
        <v>1327</v>
      </c>
      <c r="H762" t="s">
        <v>1328</v>
      </c>
      <c r="I762">
        <v>300</v>
      </c>
      <c r="J762" t="s">
        <v>49</v>
      </c>
      <c r="K762">
        <v>250</v>
      </c>
      <c r="L762">
        <v>250</v>
      </c>
      <c r="M762" t="s">
        <v>422</v>
      </c>
      <c r="N762">
        <v>0</v>
      </c>
      <c r="O762" s="1">
        <f>+Tabla__192.168.1.8_POSEIDONSQL_APPFVT_01_tbl_detalle_fill_rate[[#This Row],[emb_cantidad]]-Tabla__192.168.1.8_POSEIDONSQL_APPFVT_01_tbl_detalle_fill_rate[[#This Row],[dev_cantidad]]</f>
        <v>250</v>
      </c>
      <c r="P7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250</v>
      </c>
      <c r="R762" s="1">
        <f>+Tabla__192.168.1.8_POSEIDONSQL_APPFVT_01_tbl_detalle_fill_rate[[#This Row],[Cumpl Real Unds]]-Tabla__192.168.1.8_POSEIDONSQL_APPFVT_01_tbl_detalle_fill_rate[[#This Row],[Cant Embarcada]]</f>
        <v>0</v>
      </c>
      <c r="S762" s="1">
        <f>+IF(Tabla__192.168.1.8_POSEIDONSQL_APPFVT_01_tbl_detalle_fill_rate[[#This Row],[Pend Emb]]&gt;0,1,0)</f>
        <v>0</v>
      </c>
      <c r="T7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3" spans="1:20" x14ac:dyDescent="0.25">
      <c r="A763">
        <v>24</v>
      </c>
      <c r="B763" t="s">
        <v>54</v>
      </c>
      <c r="C763">
        <v>5105054</v>
      </c>
      <c r="D763" s="48">
        <v>43356</v>
      </c>
      <c r="E763" s="48">
        <v>43355</v>
      </c>
      <c r="F763" s="48">
        <v>43366</v>
      </c>
      <c r="G763" t="s">
        <v>142</v>
      </c>
      <c r="H763" t="s">
        <v>143</v>
      </c>
      <c r="I763">
        <v>100</v>
      </c>
      <c r="J763" t="s">
        <v>49</v>
      </c>
      <c r="K763">
        <v>100</v>
      </c>
      <c r="L763">
        <v>100</v>
      </c>
      <c r="M763" t="s">
        <v>422</v>
      </c>
      <c r="N763">
        <v>0</v>
      </c>
      <c r="O763" s="1">
        <f>+Tabla__192.168.1.8_POSEIDONSQL_APPFVT_01_tbl_detalle_fill_rate[[#This Row],[emb_cantidad]]-Tabla__192.168.1.8_POSEIDONSQL_APPFVT_01_tbl_detalle_fill_rate[[#This Row],[dev_cantidad]]</f>
        <v>100</v>
      </c>
      <c r="P7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100</v>
      </c>
      <c r="R763" s="1">
        <f>+Tabla__192.168.1.8_POSEIDONSQL_APPFVT_01_tbl_detalle_fill_rate[[#This Row],[Cumpl Real Unds]]-Tabla__192.168.1.8_POSEIDONSQL_APPFVT_01_tbl_detalle_fill_rate[[#This Row],[Cant Embarcada]]</f>
        <v>0</v>
      </c>
      <c r="S763" s="1">
        <f>+IF(Tabla__192.168.1.8_POSEIDONSQL_APPFVT_01_tbl_detalle_fill_rate[[#This Row],[Pend Emb]]&gt;0,1,0)</f>
        <v>0</v>
      </c>
      <c r="T7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4" spans="1:20" x14ac:dyDescent="0.25">
      <c r="A764">
        <v>24</v>
      </c>
      <c r="B764" t="s">
        <v>54</v>
      </c>
      <c r="C764">
        <v>5105087</v>
      </c>
      <c r="D764" s="48">
        <v>43356</v>
      </c>
      <c r="E764" s="48">
        <v>43355</v>
      </c>
      <c r="F764" s="48">
        <v>43369</v>
      </c>
      <c r="G764" t="s">
        <v>345</v>
      </c>
      <c r="H764" t="s">
        <v>346</v>
      </c>
      <c r="I764">
        <v>1</v>
      </c>
      <c r="J764" t="s">
        <v>1521</v>
      </c>
      <c r="K764">
        <v>1</v>
      </c>
      <c r="L764">
        <v>1</v>
      </c>
      <c r="M764" t="s">
        <v>419</v>
      </c>
      <c r="N764">
        <v>0</v>
      </c>
      <c r="O764" s="1">
        <f>+Tabla__192.168.1.8_POSEIDONSQL_APPFVT_01_tbl_detalle_fill_rate[[#This Row],[emb_cantidad]]-Tabla__192.168.1.8_POSEIDONSQL_APPFVT_01_tbl_detalle_fill_rate[[#This Row],[dev_cantidad]]</f>
        <v>1</v>
      </c>
      <c r="P7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4" s="1">
        <f>+Tabla__192.168.1.8_POSEIDONSQL_APPFVT_01_tbl_detalle_fill_rate[[#This Row],[Cumpl Real Unds]]-Tabla__192.168.1.8_POSEIDONSQL_APPFVT_01_tbl_detalle_fill_rate[[#This Row],[Cant Embarcada]]</f>
        <v>0</v>
      </c>
      <c r="S764" s="1">
        <f>+IF(Tabla__192.168.1.8_POSEIDONSQL_APPFVT_01_tbl_detalle_fill_rate[[#This Row],[Pend Emb]]&gt;0,1,0)</f>
        <v>0</v>
      </c>
      <c r="T7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5" spans="1:20" x14ac:dyDescent="0.25">
      <c r="A765">
        <v>24</v>
      </c>
      <c r="B765" t="s">
        <v>54</v>
      </c>
      <c r="C765">
        <v>5105088</v>
      </c>
      <c r="D765" s="48">
        <v>43356</v>
      </c>
      <c r="E765" s="48">
        <v>43355</v>
      </c>
      <c r="F765" s="48">
        <v>43368</v>
      </c>
      <c r="G765" t="s">
        <v>312</v>
      </c>
      <c r="H765" t="s">
        <v>313</v>
      </c>
      <c r="I765">
        <v>1</v>
      </c>
      <c r="J765" t="s">
        <v>396</v>
      </c>
      <c r="K765">
        <v>1</v>
      </c>
      <c r="L765">
        <v>1</v>
      </c>
      <c r="M765" t="s">
        <v>419</v>
      </c>
      <c r="N765">
        <v>0</v>
      </c>
      <c r="O765" s="1">
        <f>+Tabla__192.168.1.8_POSEIDONSQL_APPFVT_01_tbl_detalle_fill_rate[[#This Row],[emb_cantidad]]-Tabla__192.168.1.8_POSEIDONSQL_APPFVT_01_tbl_detalle_fill_rate[[#This Row],[dev_cantidad]]</f>
        <v>1</v>
      </c>
      <c r="P7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5" s="1">
        <f>+Tabla__192.168.1.8_POSEIDONSQL_APPFVT_01_tbl_detalle_fill_rate[[#This Row],[Cumpl Real Unds]]-Tabla__192.168.1.8_POSEIDONSQL_APPFVT_01_tbl_detalle_fill_rate[[#This Row],[Cant Embarcada]]</f>
        <v>0</v>
      </c>
      <c r="S765" s="1">
        <f>+IF(Tabla__192.168.1.8_POSEIDONSQL_APPFVT_01_tbl_detalle_fill_rate[[#This Row],[Pend Emb]]&gt;0,1,0)</f>
        <v>0</v>
      </c>
      <c r="T7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6" spans="1:20" x14ac:dyDescent="0.25">
      <c r="A766">
        <v>24</v>
      </c>
      <c r="B766" t="s">
        <v>54</v>
      </c>
      <c r="C766">
        <v>5105321</v>
      </c>
      <c r="D766" s="48">
        <v>43357</v>
      </c>
      <c r="E766" s="48">
        <v>43356</v>
      </c>
      <c r="F766" s="48">
        <v>43369</v>
      </c>
      <c r="G766" t="s">
        <v>345</v>
      </c>
      <c r="H766" t="s">
        <v>346</v>
      </c>
      <c r="I766">
        <v>1</v>
      </c>
      <c r="J766" t="s">
        <v>1522</v>
      </c>
      <c r="K766">
        <v>1</v>
      </c>
      <c r="L766">
        <v>1</v>
      </c>
      <c r="M766" t="s">
        <v>419</v>
      </c>
      <c r="N766">
        <v>0</v>
      </c>
      <c r="O766" s="1">
        <f>+Tabla__192.168.1.8_POSEIDONSQL_APPFVT_01_tbl_detalle_fill_rate[[#This Row],[emb_cantidad]]-Tabla__192.168.1.8_POSEIDONSQL_APPFVT_01_tbl_detalle_fill_rate[[#This Row],[dev_cantidad]]</f>
        <v>1</v>
      </c>
      <c r="P7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6" s="1">
        <f>+Tabla__192.168.1.8_POSEIDONSQL_APPFVT_01_tbl_detalle_fill_rate[[#This Row],[Cumpl Real Unds]]-Tabla__192.168.1.8_POSEIDONSQL_APPFVT_01_tbl_detalle_fill_rate[[#This Row],[Cant Embarcada]]</f>
        <v>0</v>
      </c>
      <c r="S766" s="1">
        <f>+IF(Tabla__192.168.1.8_POSEIDONSQL_APPFVT_01_tbl_detalle_fill_rate[[#This Row],[Pend Emb]]&gt;0,1,0)</f>
        <v>0</v>
      </c>
      <c r="T7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7" spans="1:20" x14ac:dyDescent="0.25">
      <c r="A767">
        <v>24</v>
      </c>
      <c r="B767" t="s">
        <v>54</v>
      </c>
      <c r="C767">
        <v>5105358</v>
      </c>
      <c r="D767" s="48">
        <v>43357</v>
      </c>
      <c r="E767" s="48">
        <v>43356</v>
      </c>
      <c r="F767" s="48">
        <v>43369</v>
      </c>
      <c r="G767" t="s">
        <v>345</v>
      </c>
      <c r="H767" t="s">
        <v>346</v>
      </c>
      <c r="I767">
        <v>1</v>
      </c>
      <c r="J767" t="s">
        <v>1523</v>
      </c>
      <c r="K767">
        <v>1</v>
      </c>
      <c r="L767">
        <v>1</v>
      </c>
      <c r="M767" t="s">
        <v>419</v>
      </c>
      <c r="N767">
        <v>0</v>
      </c>
      <c r="O767" s="1">
        <f>+Tabla__192.168.1.8_POSEIDONSQL_APPFVT_01_tbl_detalle_fill_rate[[#This Row],[emb_cantidad]]-Tabla__192.168.1.8_POSEIDONSQL_APPFVT_01_tbl_detalle_fill_rate[[#This Row],[dev_cantidad]]</f>
        <v>1</v>
      </c>
      <c r="P7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7" s="1">
        <f>+Tabla__192.168.1.8_POSEIDONSQL_APPFVT_01_tbl_detalle_fill_rate[[#This Row],[Cumpl Real Unds]]-Tabla__192.168.1.8_POSEIDONSQL_APPFVT_01_tbl_detalle_fill_rate[[#This Row],[Cant Embarcada]]</f>
        <v>0</v>
      </c>
      <c r="S767" s="1">
        <f>+IF(Tabla__192.168.1.8_POSEIDONSQL_APPFVT_01_tbl_detalle_fill_rate[[#This Row],[Pend Emb]]&gt;0,1,0)</f>
        <v>0</v>
      </c>
      <c r="T7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8" spans="1:20" x14ac:dyDescent="0.25">
      <c r="A768">
        <v>24</v>
      </c>
      <c r="B768" t="s">
        <v>54</v>
      </c>
      <c r="C768">
        <v>5105408</v>
      </c>
      <c r="D768" s="48">
        <v>43357</v>
      </c>
      <c r="E768" s="48">
        <v>43356</v>
      </c>
      <c r="F768" s="48">
        <v>43369</v>
      </c>
      <c r="G768" t="s">
        <v>345</v>
      </c>
      <c r="H768" t="s">
        <v>346</v>
      </c>
      <c r="I768">
        <v>1</v>
      </c>
      <c r="J768" t="s">
        <v>1524</v>
      </c>
      <c r="K768">
        <v>1</v>
      </c>
      <c r="L768">
        <v>1</v>
      </c>
      <c r="M768" t="s">
        <v>419</v>
      </c>
      <c r="N768">
        <v>0</v>
      </c>
      <c r="O768" s="1">
        <f>+Tabla__192.168.1.8_POSEIDONSQL_APPFVT_01_tbl_detalle_fill_rate[[#This Row],[emb_cantidad]]-Tabla__192.168.1.8_POSEIDONSQL_APPFVT_01_tbl_detalle_fill_rate[[#This Row],[dev_cantidad]]</f>
        <v>1</v>
      </c>
      <c r="P7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8" s="1">
        <f>+Tabla__192.168.1.8_POSEIDONSQL_APPFVT_01_tbl_detalle_fill_rate[[#This Row],[Cumpl Real Unds]]-Tabla__192.168.1.8_POSEIDONSQL_APPFVT_01_tbl_detalle_fill_rate[[#This Row],[Cant Embarcada]]</f>
        <v>0</v>
      </c>
      <c r="S768" s="1">
        <f>+IF(Tabla__192.168.1.8_POSEIDONSQL_APPFVT_01_tbl_detalle_fill_rate[[#This Row],[Pend Emb]]&gt;0,1,0)</f>
        <v>0</v>
      </c>
      <c r="T7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69" spans="1:20" x14ac:dyDescent="0.25">
      <c r="A769">
        <v>24</v>
      </c>
      <c r="B769" t="s">
        <v>54</v>
      </c>
      <c r="C769">
        <v>5105461</v>
      </c>
      <c r="D769" s="48">
        <v>43357</v>
      </c>
      <c r="E769" s="48">
        <v>43356</v>
      </c>
      <c r="F769" s="48">
        <v>43369</v>
      </c>
      <c r="G769" t="s">
        <v>96</v>
      </c>
      <c r="H769" t="s">
        <v>97</v>
      </c>
      <c r="I769">
        <v>1</v>
      </c>
      <c r="J769" t="s">
        <v>1351</v>
      </c>
      <c r="K769">
        <v>1</v>
      </c>
      <c r="L769">
        <v>1</v>
      </c>
      <c r="M769" t="s">
        <v>419</v>
      </c>
      <c r="N769">
        <v>0</v>
      </c>
      <c r="O769" s="1">
        <f>+Tabla__192.168.1.8_POSEIDONSQL_APPFVT_01_tbl_detalle_fill_rate[[#This Row],[emb_cantidad]]-Tabla__192.168.1.8_POSEIDONSQL_APPFVT_01_tbl_detalle_fill_rate[[#This Row],[dev_cantidad]]</f>
        <v>1</v>
      </c>
      <c r="P7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69" s="1">
        <f>+Tabla__192.168.1.8_POSEIDONSQL_APPFVT_01_tbl_detalle_fill_rate[[#This Row],[Cumpl Real Unds]]-Tabla__192.168.1.8_POSEIDONSQL_APPFVT_01_tbl_detalle_fill_rate[[#This Row],[Cant Embarcada]]</f>
        <v>0</v>
      </c>
      <c r="S769" s="1">
        <f>+IF(Tabla__192.168.1.8_POSEIDONSQL_APPFVT_01_tbl_detalle_fill_rate[[#This Row],[Pend Emb]]&gt;0,1,0)</f>
        <v>0</v>
      </c>
      <c r="T7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0" spans="1:20" x14ac:dyDescent="0.25">
      <c r="A770">
        <v>24</v>
      </c>
      <c r="B770" t="s">
        <v>54</v>
      </c>
      <c r="C770">
        <v>5105468</v>
      </c>
      <c r="D770" s="48">
        <v>43357</v>
      </c>
      <c r="E770" s="48">
        <v>43356</v>
      </c>
      <c r="F770" s="48">
        <v>43368</v>
      </c>
      <c r="G770" t="s">
        <v>312</v>
      </c>
      <c r="H770" t="s">
        <v>313</v>
      </c>
      <c r="I770">
        <v>1</v>
      </c>
      <c r="J770" t="s">
        <v>1352</v>
      </c>
      <c r="K770">
        <v>1</v>
      </c>
      <c r="L770">
        <v>1</v>
      </c>
      <c r="M770" t="s">
        <v>419</v>
      </c>
      <c r="N770">
        <v>0</v>
      </c>
      <c r="O770" s="1">
        <f>+Tabla__192.168.1.8_POSEIDONSQL_APPFVT_01_tbl_detalle_fill_rate[[#This Row],[emb_cantidad]]-Tabla__192.168.1.8_POSEIDONSQL_APPFVT_01_tbl_detalle_fill_rate[[#This Row],[dev_cantidad]]</f>
        <v>1</v>
      </c>
      <c r="P7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0" s="1">
        <f>+Tabla__192.168.1.8_POSEIDONSQL_APPFVT_01_tbl_detalle_fill_rate[[#This Row],[Cumpl Real Unds]]-Tabla__192.168.1.8_POSEIDONSQL_APPFVT_01_tbl_detalle_fill_rate[[#This Row],[Cant Embarcada]]</f>
        <v>0</v>
      </c>
      <c r="S770" s="1">
        <f>+IF(Tabla__192.168.1.8_POSEIDONSQL_APPFVT_01_tbl_detalle_fill_rate[[#This Row],[Pend Emb]]&gt;0,1,0)</f>
        <v>0</v>
      </c>
      <c r="T7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1" spans="1:20" x14ac:dyDescent="0.25">
      <c r="A771">
        <v>24</v>
      </c>
      <c r="B771" t="s">
        <v>54</v>
      </c>
      <c r="C771">
        <v>5105472</v>
      </c>
      <c r="D771" s="48">
        <v>43357</v>
      </c>
      <c r="E771" s="48">
        <v>43356</v>
      </c>
      <c r="F771" s="48">
        <v>43369</v>
      </c>
      <c r="G771" t="s">
        <v>345</v>
      </c>
      <c r="H771" t="s">
        <v>346</v>
      </c>
      <c r="I771">
        <v>1</v>
      </c>
      <c r="J771" t="s">
        <v>1520</v>
      </c>
      <c r="K771">
        <v>1</v>
      </c>
      <c r="L771">
        <v>1</v>
      </c>
      <c r="M771" t="s">
        <v>419</v>
      </c>
      <c r="N771">
        <v>0</v>
      </c>
      <c r="O771" s="1">
        <f>+Tabla__192.168.1.8_POSEIDONSQL_APPFVT_01_tbl_detalle_fill_rate[[#This Row],[emb_cantidad]]-Tabla__192.168.1.8_POSEIDONSQL_APPFVT_01_tbl_detalle_fill_rate[[#This Row],[dev_cantidad]]</f>
        <v>1</v>
      </c>
      <c r="P7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1" s="1">
        <f>+Tabla__192.168.1.8_POSEIDONSQL_APPFVT_01_tbl_detalle_fill_rate[[#This Row],[Cumpl Real Unds]]-Tabla__192.168.1.8_POSEIDONSQL_APPFVT_01_tbl_detalle_fill_rate[[#This Row],[Cant Embarcada]]</f>
        <v>0</v>
      </c>
      <c r="S771" s="1">
        <f>+IF(Tabla__192.168.1.8_POSEIDONSQL_APPFVT_01_tbl_detalle_fill_rate[[#This Row],[Pend Emb]]&gt;0,1,0)</f>
        <v>0</v>
      </c>
      <c r="T7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2" spans="1:20" x14ac:dyDescent="0.25">
      <c r="A772">
        <v>24</v>
      </c>
      <c r="B772" t="s">
        <v>54</v>
      </c>
      <c r="C772">
        <v>5105695</v>
      </c>
      <c r="D772" s="48">
        <v>43363</v>
      </c>
      <c r="E772" s="48">
        <v>43357</v>
      </c>
      <c r="F772" s="48">
        <v>43369</v>
      </c>
      <c r="G772" t="s">
        <v>227</v>
      </c>
      <c r="H772" t="s">
        <v>228</v>
      </c>
      <c r="I772">
        <v>1</v>
      </c>
      <c r="J772" t="s">
        <v>1716</v>
      </c>
      <c r="K772">
        <v>1</v>
      </c>
      <c r="L772">
        <v>1</v>
      </c>
      <c r="M772" t="s">
        <v>419</v>
      </c>
      <c r="N772">
        <v>0</v>
      </c>
      <c r="O772" s="1">
        <f>+Tabla__192.168.1.8_POSEIDONSQL_APPFVT_01_tbl_detalle_fill_rate[[#This Row],[emb_cantidad]]-Tabla__192.168.1.8_POSEIDONSQL_APPFVT_01_tbl_detalle_fill_rate[[#This Row],[dev_cantidad]]</f>
        <v>1</v>
      </c>
      <c r="P7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2" s="1">
        <f>+Tabla__192.168.1.8_POSEIDONSQL_APPFVT_01_tbl_detalle_fill_rate[[#This Row],[Cumpl Real Unds]]-Tabla__192.168.1.8_POSEIDONSQL_APPFVT_01_tbl_detalle_fill_rate[[#This Row],[Cant Embarcada]]</f>
        <v>0</v>
      </c>
      <c r="S772" s="1">
        <f>+IF(Tabla__192.168.1.8_POSEIDONSQL_APPFVT_01_tbl_detalle_fill_rate[[#This Row],[Pend Emb]]&gt;0,1,0)</f>
        <v>0</v>
      </c>
      <c r="T7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3" spans="1:20" x14ac:dyDescent="0.25">
      <c r="A773">
        <v>24</v>
      </c>
      <c r="B773" t="s">
        <v>54</v>
      </c>
      <c r="C773">
        <v>5105709</v>
      </c>
      <c r="D773" s="48">
        <v>43363</v>
      </c>
      <c r="E773" s="48">
        <v>43357</v>
      </c>
      <c r="F773" s="48">
        <v>43369</v>
      </c>
      <c r="G773" t="s">
        <v>345</v>
      </c>
      <c r="H773" t="s">
        <v>346</v>
      </c>
      <c r="I773">
        <v>1</v>
      </c>
      <c r="J773" t="s">
        <v>1717</v>
      </c>
      <c r="K773">
        <v>1</v>
      </c>
      <c r="L773">
        <v>1</v>
      </c>
      <c r="M773" t="s">
        <v>419</v>
      </c>
      <c r="N773">
        <v>0</v>
      </c>
      <c r="O773" s="1">
        <f>+Tabla__192.168.1.8_POSEIDONSQL_APPFVT_01_tbl_detalle_fill_rate[[#This Row],[emb_cantidad]]-Tabla__192.168.1.8_POSEIDONSQL_APPFVT_01_tbl_detalle_fill_rate[[#This Row],[dev_cantidad]]</f>
        <v>1</v>
      </c>
      <c r="P7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3" s="1">
        <f>+Tabla__192.168.1.8_POSEIDONSQL_APPFVT_01_tbl_detalle_fill_rate[[#This Row],[Cumpl Real Unds]]-Tabla__192.168.1.8_POSEIDONSQL_APPFVT_01_tbl_detalle_fill_rate[[#This Row],[Cant Embarcada]]</f>
        <v>0</v>
      </c>
      <c r="S773" s="1">
        <f>+IF(Tabla__192.168.1.8_POSEIDONSQL_APPFVT_01_tbl_detalle_fill_rate[[#This Row],[Pend Emb]]&gt;0,1,0)</f>
        <v>0</v>
      </c>
      <c r="T7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4" spans="1:20" x14ac:dyDescent="0.25">
      <c r="A774">
        <v>24</v>
      </c>
      <c r="B774" t="s">
        <v>54</v>
      </c>
      <c r="C774">
        <v>5105814</v>
      </c>
      <c r="D774" s="48">
        <v>43363</v>
      </c>
      <c r="E774" s="48">
        <v>43358</v>
      </c>
      <c r="F774" s="48">
        <v>43368</v>
      </c>
      <c r="G774" t="s">
        <v>1718</v>
      </c>
      <c r="H774" t="s">
        <v>1719</v>
      </c>
      <c r="I774">
        <v>1</v>
      </c>
      <c r="J774" t="s">
        <v>1720</v>
      </c>
      <c r="K774">
        <v>1</v>
      </c>
      <c r="L774">
        <v>1</v>
      </c>
      <c r="M774" t="s">
        <v>419</v>
      </c>
      <c r="N774">
        <v>0</v>
      </c>
      <c r="O774" s="1">
        <f>+Tabla__192.168.1.8_POSEIDONSQL_APPFVT_01_tbl_detalle_fill_rate[[#This Row],[emb_cantidad]]-Tabla__192.168.1.8_POSEIDONSQL_APPFVT_01_tbl_detalle_fill_rate[[#This Row],[dev_cantidad]]</f>
        <v>1</v>
      </c>
      <c r="P7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4" s="1">
        <f>+Tabla__192.168.1.8_POSEIDONSQL_APPFVT_01_tbl_detalle_fill_rate[[#This Row],[Cumpl Real Unds]]-Tabla__192.168.1.8_POSEIDONSQL_APPFVT_01_tbl_detalle_fill_rate[[#This Row],[Cant Embarcada]]</f>
        <v>0</v>
      </c>
      <c r="S774" s="1">
        <f>+IF(Tabla__192.168.1.8_POSEIDONSQL_APPFVT_01_tbl_detalle_fill_rate[[#This Row],[Pend Emb]]&gt;0,1,0)</f>
        <v>0</v>
      </c>
      <c r="T7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5" spans="1:20" x14ac:dyDescent="0.25">
      <c r="A775">
        <v>24</v>
      </c>
      <c r="B775" t="s">
        <v>54</v>
      </c>
      <c r="C775">
        <v>5105916</v>
      </c>
      <c r="D775" s="48">
        <v>43363</v>
      </c>
      <c r="E775" s="48">
        <v>43358</v>
      </c>
      <c r="F775" s="48">
        <v>43369</v>
      </c>
      <c r="G775" t="s">
        <v>345</v>
      </c>
      <c r="H775" t="s">
        <v>346</v>
      </c>
      <c r="I775">
        <v>1</v>
      </c>
      <c r="J775" t="s">
        <v>1711</v>
      </c>
      <c r="K775">
        <v>1</v>
      </c>
      <c r="L775">
        <v>1</v>
      </c>
      <c r="M775" t="s">
        <v>419</v>
      </c>
      <c r="N775">
        <v>0</v>
      </c>
      <c r="O775" s="1">
        <f>+Tabla__192.168.1.8_POSEIDONSQL_APPFVT_01_tbl_detalle_fill_rate[[#This Row],[emb_cantidad]]-Tabla__192.168.1.8_POSEIDONSQL_APPFVT_01_tbl_detalle_fill_rate[[#This Row],[dev_cantidad]]</f>
        <v>1</v>
      </c>
      <c r="P7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5" s="1">
        <f>+Tabla__192.168.1.8_POSEIDONSQL_APPFVT_01_tbl_detalle_fill_rate[[#This Row],[Cumpl Real Unds]]-Tabla__192.168.1.8_POSEIDONSQL_APPFVT_01_tbl_detalle_fill_rate[[#This Row],[Cant Embarcada]]</f>
        <v>0</v>
      </c>
      <c r="S775" s="1">
        <f>+IF(Tabla__192.168.1.8_POSEIDONSQL_APPFVT_01_tbl_detalle_fill_rate[[#This Row],[Pend Emb]]&gt;0,1,0)</f>
        <v>0</v>
      </c>
      <c r="T7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6" spans="1:20" x14ac:dyDescent="0.25">
      <c r="A776">
        <v>24</v>
      </c>
      <c r="B776" t="s">
        <v>54</v>
      </c>
      <c r="C776">
        <v>5105988</v>
      </c>
      <c r="D776" s="48">
        <v>43363</v>
      </c>
      <c r="E776" s="48">
        <v>43359</v>
      </c>
      <c r="F776" s="48">
        <v>43363</v>
      </c>
      <c r="G776" t="s">
        <v>905</v>
      </c>
      <c r="H776" t="s">
        <v>906</v>
      </c>
      <c r="I776">
        <v>1</v>
      </c>
      <c r="J776" t="s">
        <v>1710</v>
      </c>
      <c r="K776">
        <v>1</v>
      </c>
      <c r="L776">
        <v>1</v>
      </c>
      <c r="M776" t="s">
        <v>422</v>
      </c>
      <c r="N776">
        <v>0</v>
      </c>
      <c r="O776" s="1">
        <f>+Tabla__192.168.1.8_POSEIDONSQL_APPFVT_01_tbl_detalle_fill_rate[[#This Row],[emb_cantidad]]-Tabla__192.168.1.8_POSEIDONSQL_APPFVT_01_tbl_detalle_fill_rate[[#This Row],[dev_cantidad]]</f>
        <v>1</v>
      </c>
      <c r="P7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6" s="1">
        <f>+Tabla__192.168.1.8_POSEIDONSQL_APPFVT_01_tbl_detalle_fill_rate[[#This Row],[Cumpl Real Unds]]-Tabla__192.168.1.8_POSEIDONSQL_APPFVT_01_tbl_detalle_fill_rate[[#This Row],[Cant Embarcada]]</f>
        <v>0</v>
      </c>
      <c r="S776" s="1">
        <f>+IF(Tabla__192.168.1.8_POSEIDONSQL_APPFVT_01_tbl_detalle_fill_rate[[#This Row],[Pend Emb]]&gt;0,1,0)</f>
        <v>0</v>
      </c>
      <c r="T7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7" spans="1:20" x14ac:dyDescent="0.25">
      <c r="A777">
        <v>24</v>
      </c>
      <c r="B777" t="s">
        <v>54</v>
      </c>
      <c r="C777">
        <v>5106024</v>
      </c>
      <c r="D777" s="48">
        <v>43363</v>
      </c>
      <c r="E777" s="48">
        <v>43360</v>
      </c>
      <c r="F777" s="48">
        <v>43368</v>
      </c>
      <c r="G777" t="s">
        <v>312</v>
      </c>
      <c r="H777" t="s">
        <v>313</v>
      </c>
      <c r="I777">
        <v>1</v>
      </c>
      <c r="J777" t="s">
        <v>1712</v>
      </c>
      <c r="K777">
        <v>1</v>
      </c>
      <c r="L777">
        <v>1</v>
      </c>
      <c r="M777" t="s">
        <v>419</v>
      </c>
      <c r="N777">
        <v>0</v>
      </c>
      <c r="O777" s="1">
        <f>+Tabla__192.168.1.8_POSEIDONSQL_APPFVT_01_tbl_detalle_fill_rate[[#This Row],[emb_cantidad]]-Tabla__192.168.1.8_POSEIDONSQL_APPFVT_01_tbl_detalle_fill_rate[[#This Row],[dev_cantidad]]</f>
        <v>1</v>
      </c>
      <c r="P7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7" s="1">
        <f>+Tabla__192.168.1.8_POSEIDONSQL_APPFVT_01_tbl_detalle_fill_rate[[#This Row],[Cumpl Real Unds]]-Tabla__192.168.1.8_POSEIDONSQL_APPFVT_01_tbl_detalle_fill_rate[[#This Row],[Cant Embarcada]]</f>
        <v>0</v>
      </c>
      <c r="S777" s="1">
        <f>+IF(Tabla__192.168.1.8_POSEIDONSQL_APPFVT_01_tbl_detalle_fill_rate[[#This Row],[Pend Emb]]&gt;0,1,0)</f>
        <v>0</v>
      </c>
      <c r="T7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8" spans="1:20" x14ac:dyDescent="0.25">
      <c r="A778">
        <v>24</v>
      </c>
      <c r="B778" t="s">
        <v>54</v>
      </c>
      <c r="C778">
        <v>5106057</v>
      </c>
      <c r="D778" s="48">
        <v>43363</v>
      </c>
      <c r="E778" s="48">
        <v>43360</v>
      </c>
      <c r="F778" s="48">
        <v>43369</v>
      </c>
      <c r="G778" t="s">
        <v>345</v>
      </c>
      <c r="H778" t="s">
        <v>346</v>
      </c>
      <c r="I778">
        <v>1</v>
      </c>
      <c r="J778" t="s">
        <v>1713</v>
      </c>
      <c r="K778">
        <v>1</v>
      </c>
      <c r="L778">
        <v>1</v>
      </c>
      <c r="M778" t="s">
        <v>419</v>
      </c>
      <c r="N778">
        <v>0</v>
      </c>
      <c r="O778" s="1">
        <f>+Tabla__192.168.1.8_POSEIDONSQL_APPFVT_01_tbl_detalle_fill_rate[[#This Row],[emb_cantidad]]-Tabla__192.168.1.8_POSEIDONSQL_APPFVT_01_tbl_detalle_fill_rate[[#This Row],[dev_cantidad]]</f>
        <v>1</v>
      </c>
      <c r="P7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8" s="1">
        <f>+Tabla__192.168.1.8_POSEIDONSQL_APPFVT_01_tbl_detalle_fill_rate[[#This Row],[Cumpl Real Unds]]-Tabla__192.168.1.8_POSEIDONSQL_APPFVT_01_tbl_detalle_fill_rate[[#This Row],[Cant Embarcada]]</f>
        <v>0</v>
      </c>
      <c r="S778" s="1">
        <f>+IF(Tabla__192.168.1.8_POSEIDONSQL_APPFVT_01_tbl_detalle_fill_rate[[#This Row],[Pend Emb]]&gt;0,1,0)</f>
        <v>0</v>
      </c>
      <c r="T7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79" spans="1:20" x14ac:dyDescent="0.25">
      <c r="A779">
        <v>24</v>
      </c>
      <c r="B779" t="s">
        <v>54</v>
      </c>
      <c r="C779">
        <v>5106070</v>
      </c>
      <c r="D779" s="48">
        <v>43363</v>
      </c>
      <c r="E779" s="48">
        <v>43360</v>
      </c>
      <c r="F779" s="48">
        <v>43368</v>
      </c>
      <c r="G779" t="s">
        <v>96</v>
      </c>
      <c r="H779" t="s">
        <v>97</v>
      </c>
      <c r="I779">
        <v>1</v>
      </c>
      <c r="J779" t="s">
        <v>1714</v>
      </c>
      <c r="K779">
        <v>1</v>
      </c>
      <c r="L779">
        <v>1</v>
      </c>
      <c r="M779" t="s">
        <v>419</v>
      </c>
      <c r="N779">
        <v>0</v>
      </c>
      <c r="O779" s="1">
        <f>+Tabla__192.168.1.8_POSEIDONSQL_APPFVT_01_tbl_detalle_fill_rate[[#This Row],[emb_cantidad]]-Tabla__192.168.1.8_POSEIDONSQL_APPFVT_01_tbl_detalle_fill_rate[[#This Row],[dev_cantidad]]</f>
        <v>1</v>
      </c>
      <c r="P7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79" s="1">
        <f>+Tabla__192.168.1.8_POSEIDONSQL_APPFVT_01_tbl_detalle_fill_rate[[#This Row],[Cumpl Real Unds]]-Tabla__192.168.1.8_POSEIDONSQL_APPFVT_01_tbl_detalle_fill_rate[[#This Row],[Cant Embarcada]]</f>
        <v>0</v>
      </c>
      <c r="S779" s="1">
        <f>+IF(Tabla__192.168.1.8_POSEIDONSQL_APPFVT_01_tbl_detalle_fill_rate[[#This Row],[Pend Emb]]&gt;0,1,0)</f>
        <v>0</v>
      </c>
      <c r="T7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0" spans="1:20" x14ac:dyDescent="0.25">
      <c r="A780">
        <v>3</v>
      </c>
      <c r="B780" t="s">
        <v>50</v>
      </c>
      <c r="C780">
        <v>50050997</v>
      </c>
      <c r="D780" s="48">
        <v>1</v>
      </c>
      <c r="E780" s="48">
        <v>1</v>
      </c>
      <c r="F780" s="48">
        <v>43341</v>
      </c>
      <c r="G780" t="s">
        <v>104</v>
      </c>
      <c r="H780" t="s">
        <v>105</v>
      </c>
      <c r="I780">
        <v>1</v>
      </c>
      <c r="J780" t="s">
        <v>1770</v>
      </c>
      <c r="K780">
        <v>1</v>
      </c>
      <c r="L780">
        <v>1</v>
      </c>
      <c r="M780" t="s">
        <v>1967</v>
      </c>
      <c r="N780">
        <v>0</v>
      </c>
      <c r="O780" s="1">
        <f>+Tabla__192.168.1.8_POSEIDONSQL_APPFVT_01_tbl_detalle_fill_rate[[#This Row],[emb_cantidad]]-Tabla__192.168.1.8_POSEIDONSQL_APPFVT_01_tbl_detalle_fill_rate[[#This Row],[dev_cantidad]]</f>
        <v>1</v>
      </c>
      <c r="P7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0" s="1">
        <f>+Tabla__192.168.1.8_POSEIDONSQL_APPFVT_01_tbl_detalle_fill_rate[[#This Row],[Cumpl Real Unds]]-Tabla__192.168.1.8_POSEIDONSQL_APPFVT_01_tbl_detalle_fill_rate[[#This Row],[Cant Embarcada]]</f>
        <v>0</v>
      </c>
      <c r="S780" s="1">
        <f>+IF(Tabla__192.168.1.8_POSEIDONSQL_APPFVT_01_tbl_detalle_fill_rate[[#This Row],[Pend Emb]]&gt;0,1,0)</f>
        <v>0</v>
      </c>
      <c r="T7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1" spans="1:20" x14ac:dyDescent="0.25">
      <c r="A781">
        <v>3</v>
      </c>
      <c r="B781" t="s">
        <v>50</v>
      </c>
      <c r="C781">
        <v>50050998</v>
      </c>
      <c r="D781" s="48">
        <v>1</v>
      </c>
      <c r="E781" s="48">
        <v>1</v>
      </c>
      <c r="F781" s="48">
        <v>43341</v>
      </c>
      <c r="G781" t="s">
        <v>92</v>
      </c>
      <c r="H781" t="s">
        <v>93</v>
      </c>
      <c r="I781">
        <v>1</v>
      </c>
      <c r="J781" t="s">
        <v>441</v>
      </c>
      <c r="K781">
        <v>1</v>
      </c>
      <c r="L781">
        <v>1</v>
      </c>
      <c r="M781" t="s">
        <v>1967</v>
      </c>
      <c r="N781">
        <v>0</v>
      </c>
      <c r="O781" s="1">
        <f>+Tabla__192.168.1.8_POSEIDONSQL_APPFVT_01_tbl_detalle_fill_rate[[#This Row],[emb_cantidad]]-Tabla__192.168.1.8_POSEIDONSQL_APPFVT_01_tbl_detalle_fill_rate[[#This Row],[dev_cantidad]]</f>
        <v>1</v>
      </c>
      <c r="P7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1" s="1">
        <f>+Tabla__192.168.1.8_POSEIDONSQL_APPFVT_01_tbl_detalle_fill_rate[[#This Row],[Cumpl Real Unds]]-Tabla__192.168.1.8_POSEIDONSQL_APPFVT_01_tbl_detalle_fill_rate[[#This Row],[Cant Embarcada]]</f>
        <v>0</v>
      </c>
      <c r="S781" s="1">
        <f>+IF(Tabla__192.168.1.8_POSEIDONSQL_APPFVT_01_tbl_detalle_fill_rate[[#This Row],[Pend Emb]]&gt;0,1,0)</f>
        <v>0</v>
      </c>
      <c r="T7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2" spans="1:20" x14ac:dyDescent="0.25">
      <c r="A782">
        <v>3</v>
      </c>
      <c r="B782" t="s">
        <v>50</v>
      </c>
      <c r="C782">
        <v>50050998</v>
      </c>
      <c r="D782" s="48">
        <v>1</v>
      </c>
      <c r="E782" s="48">
        <v>1</v>
      </c>
      <c r="F782" s="48">
        <v>43339</v>
      </c>
      <c r="G782" t="s">
        <v>134</v>
      </c>
      <c r="H782" t="s">
        <v>135</v>
      </c>
      <c r="I782">
        <v>1</v>
      </c>
      <c r="J782" t="s">
        <v>440</v>
      </c>
      <c r="K782">
        <v>1</v>
      </c>
      <c r="L782">
        <v>1</v>
      </c>
      <c r="M782" t="s">
        <v>1967</v>
      </c>
      <c r="N782">
        <v>0</v>
      </c>
      <c r="O782" s="1">
        <f>+Tabla__192.168.1.8_POSEIDONSQL_APPFVT_01_tbl_detalle_fill_rate[[#This Row],[emb_cantidad]]-Tabla__192.168.1.8_POSEIDONSQL_APPFVT_01_tbl_detalle_fill_rate[[#This Row],[dev_cantidad]]</f>
        <v>1</v>
      </c>
      <c r="P7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2" s="1">
        <f>+Tabla__192.168.1.8_POSEIDONSQL_APPFVT_01_tbl_detalle_fill_rate[[#This Row],[Cumpl Real Unds]]-Tabla__192.168.1.8_POSEIDONSQL_APPFVT_01_tbl_detalle_fill_rate[[#This Row],[Cant Embarcada]]</f>
        <v>0</v>
      </c>
      <c r="S782" s="1">
        <f>+IF(Tabla__192.168.1.8_POSEIDONSQL_APPFVT_01_tbl_detalle_fill_rate[[#This Row],[Pend Emb]]&gt;0,1,0)</f>
        <v>0</v>
      </c>
      <c r="T7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3" spans="1:20" x14ac:dyDescent="0.25">
      <c r="A783">
        <v>3</v>
      </c>
      <c r="B783" t="s">
        <v>50</v>
      </c>
      <c r="C783">
        <v>50051047</v>
      </c>
      <c r="D783" s="48">
        <v>43329</v>
      </c>
      <c r="E783" s="48">
        <v>1</v>
      </c>
      <c r="F783" s="48">
        <v>43339</v>
      </c>
      <c r="G783" t="s">
        <v>92</v>
      </c>
      <c r="H783" t="s">
        <v>93</v>
      </c>
      <c r="I783">
        <v>1</v>
      </c>
      <c r="J783" t="s">
        <v>443</v>
      </c>
      <c r="K783">
        <v>1</v>
      </c>
      <c r="L783">
        <v>1</v>
      </c>
      <c r="M783" t="s">
        <v>1967</v>
      </c>
      <c r="N783">
        <v>0</v>
      </c>
      <c r="O783" s="1">
        <f>+Tabla__192.168.1.8_POSEIDONSQL_APPFVT_01_tbl_detalle_fill_rate[[#This Row],[emb_cantidad]]-Tabla__192.168.1.8_POSEIDONSQL_APPFVT_01_tbl_detalle_fill_rate[[#This Row],[dev_cantidad]]</f>
        <v>1</v>
      </c>
      <c r="P7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3" s="1">
        <f>+Tabla__192.168.1.8_POSEIDONSQL_APPFVT_01_tbl_detalle_fill_rate[[#This Row],[Cumpl Real Unds]]-Tabla__192.168.1.8_POSEIDONSQL_APPFVT_01_tbl_detalle_fill_rate[[#This Row],[Cant Embarcada]]</f>
        <v>0</v>
      </c>
      <c r="S783" s="1">
        <f>+IF(Tabla__192.168.1.8_POSEIDONSQL_APPFVT_01_tbl_detalle_fill_rate[[#This Row],[Pend Emb]]&gt;0,1,0)</f>
        <v>0</v>
      </c>
      <c r="T7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4" spans="1:20" x14ac:dyDescent="0.25">
      <c r="A784">
        <v>3</v>
      </c>
      <c r="B784" t="s">
        <v>50</v>
      </c>
      <c r="C784">
        <v>50051048</v>
      </c>
      <c r="D784" s="48">
        <v>43329</v>
      </c>
      <c r="E784" s="48">
        <v>1</v>
      </c>
      <c r="F784" s="48">
        <v>43339</v>
      </c>
      <c r="G784" t="s">
        <v>92</v>
      </c>
      <c r="H784" t="s">
        <v>93</v>
      </c>
      <c r="I784">
        <v>1</v>
      </c>
      <c r="J784" t="s">
        <v>445</v>
      </c>
      <c r="K784">
        <v>1</v>
      </c>
      <c r="L784">
        <v>1</v>
      </c>
      <c r="M784" t="s">
        <v>1967</v>
      </c>
      <c r="N784">
        <v>0</v>
      </c>
      <c r="O784" s="1">
        <f>+Tabla__192.168.1.8_POSEIDONSQL_APPFVT_01_tbl_detalle_fill_rate[[#This Row],[emb_cantidad]]-Tabla__192.168.1.8_POSEIDONSQL_APPFVT_01_tbl_detalle_fill_rate[[#This Row],[dev_cantidad]]</f>
        <v>1</v>
      </c>
      <c r="P7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4" s="1">
        <f>+Tabla__192.168.1.8_POSEIDONSQL_APPFVT_01_tbl_detalle_fill_rate[[#This Row],[Cumpl Real Unds]]-Tabla__192.168.1.8_POSEIDONSQL_APPFVT_01_tbl_detalle_fill_rate[[#This Row],[Cant Embarcada]]</f>
        <v>0</v>
      </c>
      <c r="S784" s="1">
        <f>+IF(Tabla__192.168.1.8_POSEIDONSQL_APPFVT_01_tbl_detalle_fill_rate[[#This Row],[Pend Emb]]&gt;0,1,0)</f>
        <v>0</v>
      </c>
      <c r="T7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5" spans="1:20" x14ac:dyDescent="0.25">
      <c r="A785">
        <v>3</v>
      </c>
      <c r="B785" t="s">
        <v>50</v>
      </c>
      <c r="C785">
        <v>50051097</v>
      </c>
      <c r="D785" s="48">
        <v>43332</v>
      </c>
      <c r="E785" s="48">
        <v>43329</v>
      </c>
      <c r="F785" s="48">
        <v>43341</v>
      </c>
      <c r="G785" t="s">
        <v>92</v>
      </c>
      <c r="H785" t="s">
        <v>93</v>
      </c>
      <c r="I785">
        <v>1</v>
      </c>
      <c r="J785" t="s">
        <v>730</v>
      </c>
      <c r="K785">
        <v>1</v>
      </c>
      <c r="L785">
        <v>1</v>
      </c>
      <c r="M785" t="s">
        <v>1965</v>
      </c>
      <c r="N785">
        <v>0</v>
      </c>
      <c r="O785" s="1">
        <f>+Tabla__192.168.1.8_POSEIDONSQL_APPFVT_01_tbl_detalle_fill_rate[[#This Row],[emb_cantidad]]-Tabla__192.168.1.8_POSEIDONSQL_APPFVT_01_tbl_detalle_fill_rate[[#This Row],[dev_cantidad]]</f>
        <v>1</v>
      </c>
      <c r="P7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5" s="1">
        <f>+Tabla__192.168.1.8_POSEIDONSQL_APPFVT_01_tbl_detalle_fill_rate[[#This Row],[Cumpl Real Unds]]-Tabla__192.168.1.8_POSEIDONSQL_APPFVT_01_tbl_detalle_fill_rate[[#This Row],[Cant Embarcada]]</f>
        <v>0</v>
      </c>
      <c r="S785" s="1">
        <f>+IF(Tabla__192.168.1.8_POSEIDONSQL_APPFVT_01_tbl_detalle_fill_rate[[#This Row],[Pend Emb]]&gt;0,1,0)</f>
        <v>0</v>
      </c>
      <c r="T7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6" spans="1:20" x14ac:dyDescent="0.25">
      <c r="A786">
        <v>3</v>
      </c>
      <c r="B786" t="s">
        <v>50</v>
      </c>
      <c r="C786">
        <v>50051097</v>
      </c>
      <c r="D786" s="48">
        <v>43332</v>
      </c>
      <c r="E786" s="48">
        <v>43329</v>
      </c>
      <c r="F786" s="48">
        <v>43339</v>
      </c>
      <c r="G786" t="s">
        <v>134</v>
      </c>
      <c r="H786" t="s">
        <v>135</v>
      </c>
      <c r="I786">
        <v>1</v>
      </c>
      <c r="J786" t="s">
        <v>711</v>
      </c>
      <c r="K786">
        <v>1</v>
      </c>
      <c r="L786">
        <v>1</v>
      </c>
      <c r="M786" t="s">
        <v>1967</v>
      </c>
      <c r="N786">
        <v>0</v>
      </c>
      <c r="O786" s="1">
        <f>+Tabla__192.168.1.8_POSEIDONSQL_APPFVT_01_tbl_detalle_fill_rate[[#This Row],[emb_cantidad]]-Tabla__192.168.1.8_POSEIDONSQL_APPFVT_01_tbl_detalle_fill_rate[[#This Row],[dev_cantidad]]</f>
        <v>1</v>
      </c>
      <c r="P7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6" s="1">
        <f>+Tabla__192.168.1.8_POSEIDONSQL_APPFVT_01_tbl_detalle_fill_rate[[#This Row],[Cumpl Real Unds]]-Tabla__192.168.1.8_POSEIDONSQL_APPFVT_01_tbl_detalle_fill_rate[[#This Row],[Cant Embarcada]]</f>
        <v>0</v>
      </c>
      <c r="S786" s="1">
        <f>+IF(Tabla__192.168.1.8_POSEIDONSQL_APPFVT_01_tbl_detalle_fill_rate[[#This Row],[Pend Emb]]&gt;0,1,0)</f>
        <v>0</v>
      </c>
      <c r="T7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7" spans="1:20" x14ac:dyDescent="0.25">
      <c r="A787">
        <v>3</v>
      </c>
      <c r="B787" t="s">
        <v>50</v>
      </c>
      <c r="C787">
        <v>50051098</v>
      </c>
      <c r="D787" s="48">
        <v>43332</v>
      </c>
      <c r="E787" s="48">
        <v>43329</v>
      </c>
      <c r="F787" s="48">
        <v>43340</v>
      </c>
      <c r="G787" t="s">
        <v>84</v>
      </c>
      <c r="H787" t="s">
        <v>85</v>
      </c>
      <c r="I787">
        <v>1</v>
      </c>
      <c r="J787" t="s">
        <v>731</v>
      </c>
      <c r="K787">
        <v>1</v>
      </c>
      <c r="L787">
        <v>1</v>
      </c>
      <c r="M787" t="s">
        <v>1967</v>
      </c>
      <c r="N787">
        <v>0</v>
      </c>
      <c r="O787" s="1">
        <f>+Tabla__192.168.1.8_POSEIDONSQL_APPFVT_01_tbl_detalle_fill_rate[[#This Row],[emb_cantidad]]-Tabla__192.168.1.8_POSEIDONSQL_APPFVT_01_tbl_detalle_fill_rate[[#This Row],[dev_cantidad]]</f>
        <v>1</v>
      </c>
      <c r="P7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7" s="1">
        <f>+Tabla__192.168.1.8_POSEIDONSQL_APPFVT_01_tbl_detalle_fill_rate[[#This Row],[Cumpl Real Unds]]-Tabla__192.168.1.8_POSEIDONSQL_APPFVT_01_tbl_detalle_fill_rate[[#This Row],[Cant Embarcada]]</f>
        <v>0</v>
      </c>
      <c r="S787" s="1">
        <f>+IF(Tabla__192.168.1.8_POSEIDONSQL_APPFVT_01_tbl_detalle_fill_rate[[#This Row],[Pend Emb]]&gt;0,1,0)</f>
        <v>0</v>
      </c>
      <c r="T7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8" spans="1:20" x14ac:dyDescent="0.25">
      <c r="A788">
        <v>3</v>
      </c>
      <c r="B788" t="s">
        <v>50</v>
      </c>
      <c r="C788">
        <v>50051098</v>
      </c>
      <c r="D788" s="48">
        <v>43332</v>
      </c>
      <c r="E788" s="48">
        <v>43329</v>
      </c>
      <c r="F788" s="48">
        <v>43339</v>
      </c>
      <c r="G788" t="s">
        <v>104</v>
      </c>
      <c r="H788" t="s">
        <v>105</v>
      </c>
      <c r="I788">
        <v>1</v>
      </c>
      <c r="J788" t="s">
        <v>712</v>
      </c>
      <c r="K788">
        <v>1</v>
      </c>
      <c r="L788">
        <v>1</v>
      </c>
      <c r="M788" t="s">
        <v>1967</v>
      </c>
      <c r="N788">
        <v>0</v>
      </c>
      <c r="O788" s="1">
        <f>+Tabla__192.168.1.8_POSEIDONSQL_APPFVT_01_tbl_detalle_fill_rate[[#This Row],[emb_cantidad]]-Tabla__192.168.1.8_POSEIDONSQL_APPFVT_01_tbl_detalle_fill_rate[[#This Row],[dev_cantidad]]</f>
        <v>1</v>
      </c>
      <c r="P7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8" s="1">
        <f>+Tabla__192.168.1.8_POSEIDONSQL_APPFVT_01_tbl_detalle_fill_rate[[#This Row],[Cumpl Real Unds]]-Tabla__192.168.1.8_POSEIDONSQL_APPFVT_01_tbl_detalle_fill_rate[[#This Row],[Cant Embarcada]]</f>
        <v>0</v>
      </c>
      <c r="S788" s="1">
        <f>+IF(Tabla__192.168.1.8_POSEIDONSQL_APPFVT_01_tbl_detalle_fill_rate[[#This Row],[Pend Emb]]&gt;0,1,0)</f>
        <v>0</v>
      </c>
      <c r="T7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89" spans="1:20" x14ac:dyDescent="0.25">
      <c r="A789">
        <v>3</v>
      </c>
      <c r="B789" t="s">
        <v>50</v>
      </c>
      <c r="C789">
        <v>50051098</v>
      </c>
      <c r="D789" s="48">
        <v>43332</v>
      </c>
      <c r="E789" s="48">
        <v>43329</v>
      </c>
      <c r="F789" s="48">
        <v>43341</v>
      </c>
      <c r="G789" t="s">
        <v>557</v>
      </c>
      <c r="H789" t="s">
        <v>558</v>
      </c>
      <c r="I789">
        <v>1</v>
      </c>
      <c r="J789" t="s">
        <v>732</v>
      </c>
      <c r="K789">
        <v>1</v>
      </c>
      <c r="L789">
        <v>1</v>
      </c>
      <c r="M789" t="s">
        <v>1965</v>
      </c>
      <c r="N789">
        <v>0</v>
      </c>
      <c r="O789" s="1">
        <f>+Tabla__192.168.1.8_POSEIDONSQL_APPFVT_01_tbl_detalle_fill_rate[[#This Row],[emb_cantidad]]-Tabla__192.168.1.8_POSEIDONSQL_APPFVT_01_tbl_detalle_fill_rate[[#This Row],[dev_cantidad]]</f>
        <v>1</v>
      </c>
      <c r="P7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89" s="1">
        <f>+Tabla__192.168.1.8_POSEIDONSQL_APPFVT_01_tbl_detalle_fill_rate[[#This Row],[Cumpl Real Unds]]-Tabla__192.168.1.8_POSEIDONSQL_APPFVT_01_tbl_detalle_fill_rate[[#This Row],[Cant Embarcada]]</f>
        <v>0</v>
      </c>
      <c r="S789" s="1">
        <f>+IF(Tabla__192.168.1.8_POSEIDONSQL_APPFVT_01_tbl_detalle_fill_rate[[#This Row],[Pend Emb]]&gt;0,1,0)</f>
        <v>0</v>
      </c>
      <c r="T7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0" spans="1:20" x14ac:dyDescent="0.25">
      <c r="A790">
        <v>3</v>
      </c>
      <c r="B790" t="s">
        <v>50</v>
      </c>
      <c r="C790">
        <v>50051147</v>
      </c>
      <c r="D790" s="48">
        <v>43332</v>
      </c>
      <c r="E790" s="48">
        <v>43330</v>
      </c>
      <c r="F790" s="48">
        <v>43340</v>
      </c>
      <c r="G790" t="s">
        <v>92</v>
      </c>
      <c r="H790" t="s">
        <v>93</v>
      </c>
      <c r="I790">
        <v>1</v>
      </c>
      <c r="J790" t="s">
        <v>1040</v>
      </c>
      <c r="K790">
        <v>1</v>
      </c>
      <c r="L790">
        <v>1</v>
      </c>
      <c r="M790" t="s">
        <v>1965</v>
      </c>
      <c r="N790">
        <v>0</v>
      </c>
      <c r="O790" s="1">
        <f>+Tabla__192.168.1.8_POSEIDONSQL_APPFVT_01_tbl_detalle_fill_rate[[#This Row],[emb_cantidad]]-Tabla__192.168.1.8_POSEIDONSQL_APPFVT_01_tbl_detalle_fill_rate[[#This Row],[dev_cantidad]]</f>
        <v>1</v>
      </c>
      <c r="P7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0" s="1">
        <f>+Tabla__192.168.1.8_POSEIDONSQL_APPFVT_01_tbl_detalle_fill_rate[[#This Row],[Cumpl Real Unds]]-Tabla__192.168.1.8_POSEIDONSQL_APPFVT_01_tbl_detalle_fill_rate[[#This Row],[Cant Embarcada]]</f>
        <v>0</v>
      </c>
      <c r="S790" s="1">
        <f>+IF(Tabla__192.168.1.8_POSEIDONSQL_APPFVT_01_tbl_detalle_fill_rate[[#This Row],[Pend Emb]]&gt;0,1,0)</f>
        <v>0</v>
      </c>
      <c r="T7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1" spans="1:20" x14ac:dyDescent="0.25">
      <c r="A791">
        <v>3</v>
      </c>
      <c r="B791" t="s">
        <v>50</v>
      </c>
      <c r="C791">
        <v>50051148</v>
      </c>
      <c r="D791" s="48">
        <v>43332</v>
      </c>
      <c r="E791" s="48">
        <v>43330</v>
      </c>
      <c r="F791" s="48">
        <v>43342</v>
      </c>
      <c r="G791" t="s">
        <v>92</v>
      </c>
      <c r="H791" t="s">
        <v>93</v>
      </c>
      <c r="I791">
        <v>1</v>
      </c>
      <c r="J791" t="s">
        <v>1041</v>
      </c>
      <c r="K791">
        <v>1</v>
      </c>
      <c r="L791">
        <v>2</v>
      </c>
      <c r="M791" t="s">
        <v>1965</v>
      </c>
      <c r="N791">
        <v>1</v>
      </c>
      <c r="O791" s="1">
        <f>+Tabla__192.168.1.8_POSEIDONSQL_APPFVT_01_tbl_detalle_fill_rate[[#This Row],[emb_cantidad]]-Tabla__192.168.1.8_POSEIDONSQL_APPFVT_01_tbl_detalle_fill_rate[[#This Row],[dev_cantidad]]</f>
        <v>1</v>
      </c>
      <c r="P7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7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1" s="1">
        <f>+Tabla__192.168.1.8_POSEIDONSQL_APPFVT_01_tbl_detalle_fill_rate[[#This Row],[Cumpl Real Unds]]-Tabla__192.168.1.8_POSEIDONSQL_APPFVT_01_tbl_detalle_fill_rate[[#This Row],[Cant Embarcada]]</f>
        <v>0</v>
      </c>
      <c r="S791" s="1">
        <f>+IF(Tabla__192.168.1.8_POSEIDONSQL_APPFVT_01_tbl_detalle_fill_rate[[#This Row],[Pend Emb]]&gt;0,1,0)</f>
        <v>0</v>
      </c>
      <c r="T7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2" spans="1:20" x14ac:dyDescent="0.25">
      <c r="A792">
        <v>3</v>
      </c>
      <c r="B792" t="s">
        <v>50</v>
      </c>
      <c r="C792">
        <v>50051148</v>
      </c>
      <c r="D792" s="48">
        <v>43332</v>
      </c>
      <c r="E792" s="48">
        <v>43330</v>
      </c>
      <c r="F792" s="48">
        <v>43339</v>
      </c>
      <c r="G792" t="s">
        <v>92</v>
      </c>
      <c r="H792" t="s">
        <v>93</v>
      </c>
      <c r="I792">
        <v>1</v>
      </c>
      <c r="J792" t="s">
        <v>713</v>
      </c>
      <c r="K792">
        <v>1</v>
      </c>
      <c r="L792">
        <v>1</v>
      </c>
      <c r="M792" t="s">
        <v>1967</v>
      </c>
      <c r="N792">
        <v>0</v>
      </c>
      <c r="O792" s="1">
        <f>+Tabla__192.168.1.8_POSEIDONSQL_APPFVT_01_tbl_detalle_fill_rate[[#This Row],[emb_cantidad]]-Tabla__192.168.1.8_POSEIDONSQL_APPFVT_01_tbl_detalle_fill_rate[[#This Row],[dev_cantidad]]</f>
        <v>1</v>
      </c>
      <c r="P7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2" s="1">
        <f>+Tabla__192.168.1.8_POSEIDONSQL_APPFVT_01_tbl_detalle_fill_rate[[#This Row],[Cumpl Real Unds]]-Tabla__192.168.1.8_POSEIDONSQL_APPFVT_01_tbl_detalle_fill_rate[[#This Row],[Cant Embarcada]]</f>
        <v>0</v>
      </c>
      <c r="S792" s="1">
        <f>+IF(Tabla__192.168.1.8_POSEIDONSQL_APPFVT_01_tbl_detalle_fill_rate[[#This Row],[Pend Emb]]&gt;0,1,0)</f>
        <v>0</v>
      </c>
      <c r="T7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3" spans="1:20" x14ac:dyDescent="0.25">
      <c r="A793">
        <v>3</v>
      </c>
      <c r="B793" t="s">
        <v>50</v>
      </c>
      <c r="C793">
        <v>50051148</v>
      </c>
      <c r="D793" s="48">
        <v>43332</v>
      </c>
      <c r="E793" s="48">
        <v>43330</v>
      </c>
      <c r="F793" s="48">
        <v>43339</v>
      </c>
      <c r="G793" t="s">
        <v>92</v>
      </c>
      <c r="H793" t="s">
        <v>93</v>
      </c>
      <c r="I793">
        <v>1</v>
      </c>
      <c r="J793" t="s">
        <v>714</v>
      </c>
      <c r="K793">
        <v>1</v>
      </c>
      <c r="L793">
        <v>1</v>
      </c>
      <c r="M793" t="s">
        <v>1967</v>
      </c>
      <c r="N793">
        <v>0</v>
      </c>
      <c r="O793" s="1">
        <f>+Tabla__192.168.1.8_POSEIDONSQL_APPFVT_01_tbl_detalle_fill_rate[[#This Row],[emb_cantidad]]-Tabla__192.168.1.8_POSEIDONSQL_APPFVT_01_tbl_detalle_fill_rate[[#This Row],[dev_cantidad]]</f>
        <v>1</v>
      </c>
      <c r="P7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3" s="1">
        <f>+Tabla__192.168.1.8_POSEIDONSQL_APPFVT_01_tbl_detalle_fill_rate[[#This Row],[Cumpl Real Unds]]-Tabla__192.168.1.8_POSEIDONSQL_APPFVT_01_tbl_detalle_fill_rate[[#This Row],[Cant Embarcada]]</f>
        <v>0</v>
      </c>
      <c r="S793" s="1">
        <f>+IF(Tabla__192.168.1.8_POSEIDONSQL_APPFVT_01_tbl_detalle_fill_rate[[#This Row],[Pend Emb]]&gt;0,1,0)</f>
        <v>0</v>
      </c>
      <c r="T7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4" spans="1:20" x14ac:dyDescent="0.25">
      <c r="A794">
        <v>3</v>
      </c>
      <c r="B794" t="s">
        <v>50</v>
      </c>
      <c r="C794">
        <v>50051148</v>
      </c>
      <c r="D794" s="48">
        <v>43332</v>
      </c>
      <c r="E794" s="48">
        <v>43330</v>
      </c>
      <c r="F794" s="48">
        <v>43339</v>
      </c>
      <c r="G794" t="s">
        <v>92</v>
      </c>
      <c r="H794" t="s">
        <v>93</v>
      </c>
      <c r="I794">
        <v>1</v>
      </c>
      <c r="J794" t="s">
        <v>715</v>
      </c>
      <c r="K794">
        <v>1</v>
      </c>
      <c r="L794">
        <v>1</v>
      </c>
      <c r="M794" t="s">
        <v>1967</v>
      </c>
      <c r="N794">
        <v>0</v>
      </c>
      <c r="O794" s="1">
        <f>+Tabla__192.168.1.8_POSEIDONSQL_APPFVT_01_tbl_detalle_fill_rate[[#This Row],[emb_cantidad]]-Tabla__192.168.1.8_POSEIDONSQL_APPFVT_01_tbl_detalle_fill_rate[[#This Row],[dev_cantidad]]</f>
        <v>1</v>
      </c>
      <c r="P7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4" s="1">
        <f>+Tabla__192.168.1.8_POSEIDONSQL_APPFVT_01_tbl_detalle_fill_rate[[#This Row],[Cumpl Real Unds]]-Tabla__192.168.1.8_POSEIDONSQL_APPFVT_01_tbl_detalle_fill_rate[[#This Row],[Cant Embarcada]]</f>
        <v>0</v>
      </c>
      <c r="S794" s="1">
        <f>+IF(Tabla__192.168.1.8_POSEIDONSQL_APPFVT_01_tbl_detalle_fill_rate[[#This Row],[Pend Emb]]&gt;0,1,0)</f>
        <v>0</v>
      </c>
      <c r="T7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5" spans="1:20" x14ac:dyDescent="0.25">
      <c r="A795">
        <v>3</v>
      </c>
      <c r="B795" t="s">
        <v>50</v>
      </c>
      <c r="C795">
        <v>50051148</v>
      </c>
      <c r="D795" s="48">
        <v>43332</v>
      </c>
      <c r="E795" s="48">
        <v>43330</v>
      </c>
      <c r="F795" s="48">
        <v>43343</v>
      </c>
      <c r="G795" t="s">
        <v>92</v>
      </c>
      <c r="H795" t="s">
        <v>93</v>
      </c>
      <c r="I795">
        <v>1</v>
      </c>
      <c r="J795" t="s">
        <v>1042</v>
      </c>
      <c r="K795">
        <v>1</v>
      </c>
      <c r="L795">
        <v>2</v>
      </c>
      <c r="M795" t="s">
        <v>1965</v>
      </c>
      <c r="N795">
        <v>1</v>
      </c>
      <c r="O795" s="1">
        <f>+Tabla__192.168.1.8_POSEIDONSQL_APPFVT_01_tbl_detalle_fill_rate[[#This Row],[emb_cantidad]]-Tabla__192.168.1.8_POSEIDONSQL_APPFVT_01_tbl_detalle_fill_rate[[#This Row],[dev_cantidad]]</f>
        <v>1</v>
      </c>
      <c r="P7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7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5" s="1">
        <f>+Tabla__192.168.1.8_POSEIDONSQL_APPFVT_01_tbl_detalle_fill_rate[[#This Row],[Cumpl Real Unds]]-Tabla__192.168.1.8_POSEIDONSQL_APPFVT_01_tbl_detalle_fill_rate[[#This Row],[Cant Embarcada]]</f>
        <v>0</v>
      </c>
      <c r="S795" s="1">
        <f>+IF(Tabla__192.168.1.8_POSEIDONSQL_APPFVT_01_tbl_detalle_fill_rate[[#This Row],[Pend Emb]]&gt;0,1,0)</f>
        <v>0</v>
      </c>
      <c r="T7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6" spans="1:20" x14ac:dyDescent="0.25">
      <c r="A796">
        <v>3</v>
      </c>
      <c r="B796" t="s">
        <v>50</v>
      </c>
      <c r="C796">
        <v>50051148</v>
      </c>
      <c r="D796" s="48">
        <v>43332</v>
      </c>
      <c r="E796" s="48">
        <v>43330</v>
      </c>
      <c r="F796" s="48">
        <v>43339</v>
      </c>
      <c r="G796" t="s">
        <v>134</v>
      </c>
      <c r="H796" t="s">
        <v>135</v>
      </c>
      <c r="I796">
        <v>1</v>
      </c>
      <c r="J796" t="s">
        <v>716</v>
      </c>
      <c r="K796">
        <v>1</v>
      </c>
      <c r="L796">
        <v>1</v>
      </c>
      <c r="M796" t="s">
        <v>1967</v>
      </c>
      <c r="N796">
        <v>0</v>
      </c>
      <c r="O796" s="1">
        <f>+Tabla__192.168.1.8_POSEIDONSQL_APPFVT_01_tbl_detalle_fill_rate[[#This Row],[emb_cantidad]]-Tabla__192.168.1.8_POSEIDONSQL_APPFVT_01_tbl_detalle_fill_rate[[#This Row],[dev_cantidad]]</f>
        <v>1</v>
      </c>
      <c r="P7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6" s="1">
        <f>+Tabla__192.168.1.8_POSEIDONSQL_APPFVT_01_tbl_detalle_fill_rate[[#This Row],[Cumpl Real Unds]]-Tabla__192.168.1.8_POSEIDONSQL_APPFVT_01_tbl_detalle_fill_rate[[#This Row],[Cant Embarcada]]</f>
        <v>0</v>
      </c>
      <c r="S796" s="1">
        <f>+IF(Tabla__192.168.1.8_POSEIDONSQL_APPFVT_01_tbl_detalle_fill_rate[[#This Row],[Pend Emb]]&gt;0,1,0)</f>
        <v>0</v>
      </c>
      <c r="T7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7" spans="1:20" x14ac:dyDescent="0.25">
      <c r="A797">
        <v>3</v>
      </c>
      <c r="B797" t="s">
        <v>50</v>
      </c>
      <c r="C797">
        <v>50051148</v>
      </c>
      <c r="D797" s="48">
        <v>43332</v>
      </c>
      <c r="E797" s="48">
        <v>43330</v>
      </c>
      <c r="F797" s="48">
        <v>43343</v>
      </c>
      <c r="G797" t="s">
        <v>134</v>
      </c>
      <c r="H797" t="s">
        <v>135</v>
      </c>
      <c r="I797">
        <v>1</v>
      </c>
      <c r="J797" t="s">
        <v>1043</v>
      </c>
      <c r="K797">
        <v>2</v>
      </c>
      <c r="L797">
        <v>4</v>
      </c>
      <c r="M797" t="s">
        <v>1965</v>
      </c>
      <c r="N797">
        <v>2</v>
      </c>
      <c r="O797" s="1">
        <f>+Tabla__192.168.1.8_POSEIDONSQL_APPFVT_01_tbl_detalle_fill_rate[[#This Row],[emb_cantidad]]-Tabla__192.168.1.8_POSEIDONSQL_APPFVT_01_tbl_detalle_fill_rate[[#This Row],[dev_cantidad]]</f>
        <v>2</v>
      </c>
      <c r="P7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3</v>
      </c>
      <c r="Q7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797" s="1">
        <f>+Tabla__192.168.1.8_POSEIDONSQL_APPFVT_01_tbl_detalle_fill_rate[[#This Row],[Cumpl Real Unds]]-Tabla__192.168.1.8_POSEIDONSQL_APPFVT_01_tbl_detalle_fill_rate[[#This Row],[Cant Embarcada]]</f>
        <v>1</v>
      </c>
      <c r="S797" s="1">
        <f>+IF(Tabla__192.168.1.8_POSEIDONSQL_APPFVT_01_tbl_detalle_fill_rate[[#This Row],[Pend Emb]]&gt;0,1,0)</f>
        <v>1</v>
      </c>
      <c r="T7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8" spans="1:20" x14ac:dyDescent="0.25">
      <c r="A798">
        <v>3</v>
      </c>
      <c r="B798" t="s">
        <v>50</v>
      </c>
      <c r="C798">
        <v>50051208</v>
      </c>
      <c r="D798" s="48">
        <v>43332</v>
      </c>
      <c r="E798" s="48">
        <v>43331</v>
      </c>
      <c r="F798" s="48">
        <v>43340</v>
      </c>
      <c r="G798" t="s">
        <v>62</v>
      </c>
      <c r="H798" t="s">
        <v>63</v>
      </c>
      <c r="I798">
        <v>1</v>
      </c>
      <c r="J798" t="s">
        <v>1044</v>
      </c>
      <c r="K798">
        <v>1</v>
      </c>
      <c r="L798">
        <v>1</v>
      </c>
      <c r="M798" t="s">
        <v>1965</v>
      </c>
      <c r="N798">
        <v>0</v>
      </c>
      <c r="O798" s="1">
        <f>+Tabla__192.168.1.8_POSEIDONSQL_APPFVT_01_tbl_detalle_fill_rate[[#This Row],[emb_cantidad]]-Tabla__192.168.1.8_POSEIDONSQL_APPFVT_01_tbl_detalle_fill_rate[[#This Row],[dev_cantidad]]</f>
        <v>1</v>
      </c>
      <c r="P7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8" s="1">
        <f>+Tabla__192.168.1.8_POSEIDONSQL_APPFVT_01_tbl_detalle_fill_rate[[#This Row],[Cumpl Real Unds]]-Tabla__192.168.1.8_POSEIDONSQL_APPFVT_01_tbl_detalle_fill_rate[[#This Row],[Cant Embarcada]]</f>
        <v>0</v>
      </c>
      <c r="S798" s="1">
        <f>+IF(Tabla__192.168.1.8_POSEIDONSQL_APPFVT_01_tbl_detalle_fill_rate[[#This Row],[Pend Emb]]&gt;0,1,0)</f>
        <v>0</v>
      </c>
      <c r="T7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799" spans="1:20" x14ac:dyDescent="0.25">
      <c r="A799">
        <v>3</v>
      </c>
      <c r="B799" t="s">
        <v>50</v>
      </c>
      <c r="C799">
        <v>50051208</v>
      </c>
      <c r="D799" s="48">
        <v>43332</v>
      </c>
      <c r="E799" s="48">
        <v>43331</v>
      </c>
      <c r="F799" s="48">
        <v>43343</v>
      </c>
      <c r="G799" t="s">
        <v>92</v>
      </c>
      <c r="H799" t="s">
        <v>93</v>
      </c>
      <c r="I799">
        <v>1</v>
      </c>
      <c r="J799" t="s">
        <v>1046</v>
      </c>
      <c r="K799">
        <v>1</v>
      </c>
      <c r="L799">
        <v>1</v>
      </c>
      <c r="M799" t="s">
        <v>1965</v>
      </c>
      <c r="N799">
        <v>0</v>
      </c>
      <c r="O799" s="1">
        <f>+Tabla__192.168.1.8_POSEIDONSQL_APPFVT_01_tbl_detalle_fill_rate[[#This Row],[emb_cantidad]]-Tabla__192.168.1.8_POSEIDONSQL_APPFVT_01_tbl_detalle_fill_rate[[#This Row],[dev_cantidad]]</f>
        <v>1</v>
      </c>
      <c r="P7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7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799" s="1">
        <f>+Tabla__192.168.1.8_POSEIDONSQL_APPFVT_01_tbl_detalle_fill_rate[[#This Row],[Cumpl Real Unds]]-Tabla__192.168.1.8_POSEIDONSQL_APPFVT_01_tbl_detalle_fill_rate[[#This Row],[Cant Embarcada]]</f>
        <v>0</v>
      </c>
      <c r="S799" s="1">
        <f>+IF(Tabla__192.168.1.8_POSEIDONSQL_APPFVT_01_tbl_detalle_fill_rate[[#This Row],[Pend Emb]]&gt;0,1,0)</f>
        <v>0</v>
      </c>
      <c r="T7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0" spans="1:20" x14ac:dyDescent="0.25">
      <c r="A800">
        <v>3</v>
      </c>
      <c r="B800" t="s">
        <v>50</v>
      </c>
      <c r="C800">
        <v>50051208</v>
      </c>
      <c r="D800" s="48">
        <v>43332</v>
      </c>
      <c r="E800" s="48">
        <v>43331</v>
      </c>
      <c r="F800" s="48">
        <v>43343</v>
      </c>
      <c r="G800" t="s">
        <v>92</v>
      </c>
      <c r="H800" t="s">
        <v>93</v>
      </c>
      <c r="I800">
        <v>1</v>
      </c>
      <c r="J800" t="s">
        <v>776</v>
      </c>
      <c r="K800">
        <v>2</v>
      </c>
      <c r="L800">
        <v>2</v>
      </c>
      <c r="M800" t="s">
        <v>1977</v>
      </c>
      <c r="N800">
        <v>1</v>
      </c>
      <c r="O800" s="1">
        <f>+Tabla__192.168.1.8_POSEIDONSQL_APPFVT_01_tbl_detalle_fill_rate[[#This Row],[emb_cantidad]]-Tabla__192.168.1.8_POSEIDONSQL_APPFVT_01_tbl_detalle_fill_rate[[#This Row],[dev_cantidad]]</f>
        <v>1</v>
      </c>
      <c r="P8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0" s="1">
        <f>+Tabla__192.168.1.8_POSEIDONSQL_APPFVT_01_tbl_detalle_fill_rate[[#This Row],[Cumpl Real Unds]]-Tabla__192.168.1.8_POSEIDONSQL_APPFVT_01_tbl_detalle_fill_rate[[#This Row],[Cant Embarcada]]</f>
        <v>0</v>
      </c>
      <c r="S800" s="1">
        <f>+IF(Tabla__192.168.1.8_POSEIDONSQL_APPFVT_01_tbl_detalle_fill_rate[[#This Row],[Pend Emb]]&gt;0,1,0)</f>
        <v>0</v>
      </c>
      <c r="T8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1" spans="1:20" x14ac:dyDescent="0.25">
      <c r="A801">
        <v>3</v>
      </c>
      <c r="B801" t="s">
        <v>50</v>
      </c>
      <c r="C801">
        <v>50051208</v>
      </c>
      <c r="D801" s="48">
        <v>43332</v>
      </c>
      <c r="E801" s="48">
        <v>43331</v>
      </c>
      <c r="F801" s="48">
        <v>43341</v>
      </c>
      <c r="G801" t="s">
        <v>134</v>
      </c>
      <c r="H801" t="s">
        <v>135</v>
      </c>
      <c r="I801">
        <v>1</v>
      </c>
      <c r="J801" t="s">
        <v>1045</v>
      </c>
      <c r="K801">
        <v>1</v>
      </c>
      <c r="L801">
        <v>1</v>
      </c>
      <c r="M801" t="s">
        <v>1965</v>
      </c>
      <c r="N801">
        <v>0</v>
      </c>
      <c r="O801" s="1">
        <f>+Tabla__192.168.1.8_POSEIDONSQL_APPFVT_01_tbl_detalle_fill_rate[[#This Row],[emb_cantidad]]-Tabla__192.168.1.8_POSEIDONSQL_APPFVT_01_tbl_detalle_fill_rate[[#This Row],[dev_cantidad]]</f>
        <v>1</v>
      </c>
      <c r="P8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1" s="1">
        <f>+Tabla__192.168.1.8_POSEIDONSQL_APPFVT_01_tbl_detalle_fill_rate[[#This Row],[Cumpl Real Unds]]-Tabla__192.168.1.8_POSEIDONSQL_APPFVT_01_tbl_detalle_fill_rate[[#This Row],[Cant Embarcada]]</f>
        <v>0</v>
      </c>
      <c r="S801" s="1">
        <f>+IF(Tabla__192.168.1.8_POSEIDONSQL_APPFVT_01_tbl_detalle_fill_rate[[#This Row],[Pend Emb]]&gt;0,1,0)</f>
        <v>0</v>
      </c>
      <c r="T8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2" spans="1:20" x14ac:dyDescent="0.25">
      <c r="A802">
        <v>3</v>
      </c>
      <c r="B802" t="s">
        <v>50</v>
      </c>
      <c r="C802">
        <v>50051209</v>
      </c>
      <c r="D802" s="48">
        <v>43332</v>
      </c>
      <c r="E802" s="48">
        <v>43331</v>
      </c>
      <c r="F802" s="48">
        <v>43340</v>
      </c>
      <c r="G802" t="s">
        <v>92</v>
      </c>
      <c r="H802" t="s">
        <v>93</v>
      </c>
      <c r="I802">
        <v>1</v>
      </c>
      <c r="J802" t="s">
        <v>720</v>
      </c>
      <c r="K802">
        <v>1</v>
      </c>
      <c r="L802">
        <v>1</v>
      </c>
      <c r="M802" t="s">
        <v>1967</v>
      </c>
      <c r="N802">
        <v>0</v>
      </c>
      <c r="O802" s="1">
        <f>+Tabla__192.168.1.8_POSEIDONSQL_APPFVT_01_tbl_detalle_fill_rate[[#This Row],[emb_cantidad]]-Tabla__192.168.1.8_POSEIDONSQL_APPFVT_01_tbl_detalle_fill_rate[[#This Row],[dev_cantidad]]</f>
        <v>1</v>
      </c>
      <c r="P8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2" s="1">
        <f>+Tabla__192.168.1.8_POSEIDONSQL_APPFVT_01_tbl_detalle_fill_rate[[#This Row],[Cumpl Real Unds]]-Tabla__192.168.1.8_POSEIDONSQL_APPFVT_01_tbl_detalle_fill_rate[[#This Row],[Cant Embarcada]]</f>
        <v>0</v>
      </c>
      <c r="S802" s="1">
        <f>+IF(Tabla__192.168.1.8_POSEIDONSQL_APPFVT_01_tbl_detalle_fill_rate[[#This Row],[Pend Emb]]&gt;0,1,0)</f>
        <v>0</v>
      </c>
      <c r="T8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3" spans="1:20" x14ac:dyDescent="0.25">
      <c r="A803">
        <v>3</v>
      </c>
      <c r="B803" t="s">
        <v>50</v>
      </c>
      <c r="C803">
        <v>50051209</v>
      </c>
      <c r="D803" s="48">
        <v>43332</v>
      </c>
      <c r="E803" s="48">
        <v>43331</v>
      </c>
      <c r="F803" s="48">
        <v>43344</v>
      </c>
      <c r="G803" t="s">
        <v>92</v>
      </c>
      <c r="H803" t="s">
        <v>93</v>
      </c>
      <c r="I803">
        <v>1</v>
      </c>
      <c r="J803" t="s">
        <v>725</v>
      </c>
      <c r="K803">
        <v>1</v>
      </c>
      <c r="L803">
        <v>2</v>
      </c>
      <c r="M803" t="s">
        <v>1965</v>
      </c>
      <c r="N803">
        <v>1</v>
      </c>
      <c r="O803" s="1">
        <f>+Tabla__192.168.1.8_POSEIDONSQL_APPFVT_01_tbl_detalle_fill_rate[[#This Row],[emb_cantidad]]-Tabla__192.168.1.8_POSEIDONSQL_APPFVT_01_tbl_detalle_fill_rate[[#This Row],[dev_cantidad]]</f>
        <v>1</v>
      </c>
      <c r="P8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3" s="1">
        <f>+Tabla__192.168.1.8_POSEIDONSQL_APPFVT_01_tbl_detalle_fill_rate[[#This Row],[Cumpl Real Unds]]-Tabla__192.168.1.8_POSEIDONSQL_APPFVT_01_tbl_detalle_fill_rate[[#This Row],[Cant Embarcada]]</f>
        <v>0</v>
      </c>
      <c r="S803" s="1">
        <f>+IF(Tabla__192.168.1.8_POSEIDONSQL_APPFVT_01_tbl_detalle_fill_rate[[#This Row],[Pend Emb]]&gt;0,1,0)</f>
        <v>0</v>
      </c>
      <c r="T8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4" spans="1:20" x14ac:dyDescent="0.25">
      <c r="A804">
        <v>3</v>
      </c>
      <c r="B804" t="s">
        <v>50</v>
      </c>
      <c r="C804">
        <v>50051209</v>
      </c>
      <c r="D804" s="48">
        <v>43332</v>
      </c>
      <c r="E804" s="48">
        <v>43331</v>
      </c>
      <c r="F804" s="48">
        <v>43343</v>
      </c>
      <c r="G804" t="s">
        <v>92</v>
      </c>
      <c r="H804" t="s">
        <v>93</v>
      </c>
      <c r="I804">
        <v>1</v>
      </c>
      <c r="J804" t="s">
        <v>721</v>
      </c>
      <c r="K804">
        <v>1</v>
      </c>
      <c r="L804">
        <v>2</v>
      </c>
      <c r="M804" t="s">
        <v>1965</v>
      </c>
      <c r="N804">
        <v>1</v>
      </c>
      <c r="O804" s="1">
        <f>+Tabla__192.168.1.8_POSEIDONSQL_APPFVT_01_tbl_detalle_fill_rate[[#This Row],[emb_cantidad]]-Tabla__192.168.1.8_POSEIDONSQL_APPFVT_01_tbl_detalle_fill_rate[[#This Row],[dev_cantidad]]</f>
        <v>1</v>
      </c>
      <c r="P8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4" s="1">
        <f>+Tabla__192.168.1.8_POSEIDONSQL_APPFVT_01_tbl_detalle_fill_rate[[#This Row],[Cumpl Real Unds]]-Tabla__192.168.1.8_POSEIDONSQL_APPFVT_01_tbl_detalle_fill_rate[[#This Row],[Cant Embarcada]]</f>
        <v>0</v>
      </c>
      <c r="S804" s="1">
        <f>+IF(Tabla__192.168.1.8_POSEIDONSQL_APPFVT_01_tbl_detalle_fill_rate[[#This Row],[Pend Emb]]&gt;0,1,0)</f>
        <v>0</v>
      </c>
      <c r="T8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5" spans="1:20" x14ac:dyDescent="0.25">
      <c r="A805">
        <v>3</v>
      </c>
      <c r="B805" t="s">
        <v>50</v>
      </c>
      <c r="C805">
        <v>50051209</v>
      </c>
      <c r="D805" s="48">
        <v>43332</v>
      </c>
      <c r="E805" s="48">
        <v>43331</v>
      </c>
      <c r="F805" s="48">
        <v>43343</v>
      </c>
      <c r="G805" t="s">
        <v>722</v>
      </c>
      <c r="H805" t="s">
        <v>723</v>
      </c>
      <c r="I805">
        <v>1</v>
      </c>
      <c r="J805" t="s">
        <v>724</v>
      </c>
      <c r="K805">
        <v>1</v>
      </c>
      <c r="L805">
        <v>2</v>
      </c>
      <c r="M805" t="s">
        <v>1965</v>
      </c>
      <c r="N805">
        <v>1</v>
      </c>
      <c r="O805" s="1">
        <f>+Tabla__192.168.1.8_POSEIDONSQL_APPFVT_01_tbl_detalle_fill_rate[[#This Row],[emb_cantidad]]-Tabla__192.168.1.8_POSEIDONSQL_APPFVT_01_tbl_detalle_fill_rate[[#This Row],[dev_cantidad]]</f>
        <v>1</v>
      </c>
      <c r="P8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5" s="1">
        <f>+Tabla__192.168.1.8_POSEIDONSQL_APPFVT_01_tbl_detalle_fill_rate[[#This Row],[Cumpl Real Unds]]-Tabla__192.168.1.8_POSEIDONSQL_APPFVT_01_tbl_detalle_fill_rate[[#This Row],[Cant Embarcada]]</f>
        <v>0</v>
      </c>
      <c r="S805" s="1">
        <f>+IF(Tabla__192.168.1.8_POSEIDONSQL_APPFVT_01_tbl_detalle_fill_rate[[#This Row],[Pend Emb]]&gt;0,1,0)</f>
        <v>0</v>
      </c>
      <c r="T8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6" spans="1:20" x14ac:dyDescent="0.25">
      <c r="A806">
        <v>3</v>
      </c>
      <c r="B806" t="s">
        <v>50</v>
      </c>
      <c r="C806">
        <v>50051259</v>
      </c>
      <c r="D806" s="48">
        <v>43333</v>
      </c>
      <c r="E806" s="48">
        <v>43332</v>
      </c>
      <c r="F806" s="48">
        <v>43343</v>
      </c>
      <c r="G806" t="s">
        <v>92</v>
      </c>
      <c r="H806" t="s">
        <v>93</v>
      </c>
      <c r="I806">
        <v>1</v>
      </c>
      <c r="J806" t="s">
        <v>727</v>
      </c>
      <c r="K806">
        <v>1</v>
      </c>
      <c r="L806">
        <v>1</v>
      </c>
      <c r="M806" t="s">
        <v>1965</v>
      </c>
      <c r="N806">
        <v>0</v>
      </c>
      <c r="O806" s="1">
        <f>+Tabla__192.168.1.8_POSEIDONSQL_APPFVT_01_tbl_detalle_fill_rate[[#This Row],[emb_cantidad]]-Tabla__192.168.1.8_POSEIDONSQL_APPFVT_01_tbl_detalle_fill_rate[[#This Row],[dev_cantidad]]</f>
        <v>1</v>
      </c>
      <c r="P8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6" s="1">
        <f>+Tabla__192.168.1.8_POSEIDONSQL_APPFVT_01_tbl_detalle_fill_rate[[#This Row],[Cumpl Real Unds]]-Tabla__192.168.1.8_POSEIDONSQL_APPFVT_01_tbl_detalle_fill_rate[[#This Row],[Cant Embarcada]]</f>
        <v>0</v>
      </c>
      <c r="S806" s="1">
        <f>+IF(Tabla__192.168.1.8_POSEIDONSQL_APPFVT_01_tbl_detalle_fill_rate[[#This Row],[Pend Emb]]&gt;0,1,0)</f>
        <v>0</v>
      </c>
      <c r="T8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7" spans="1:20" x14ac:dyDescent="0.25">
      <c r="A807">
        <v>3</v>
      </c>
      <c r="B807" t="s">
        <v>50</v>
      </c>
      <c r="C807">
        <v>50051259</v>
      </c>
      <c r="D807" s="48">
        <v>43333</v>
      </c>
      <c r="E807" s="48">
        <v>43332</v>
      </c>
      <c r="F807" s="48">
        <v>43341</v>
      </c>
      <c r="G807" t="s">
        <v>92</v>
      </c>
      <c r="H807" t="s">
        <v>93</v>
      </c>
      <c r="I807">
        <v>1</v>
      </c>
      <c r="J807" t="s">
        <v>726</v>
      </c>
      <c r="K807">
        <v>1</v>
      </c>
      <c r="L807">
        <v>1</v>
      </c>
      <c r="M807" t="s">
        <v>1965</v>
      </c>
      <c r="N807">
        <v>0</v>
      </c>
      <c r="O807" s="1">
        <f>+Tabla__192.168.1.8_POSEIDONSQL_APPFVT_01_tbl_detalle_fill_rate[[#This Row],[emb_cantidad]]-Tabla__192.168.1.8_POSEIDONSQL_APPFVT_01_tbl_detalle_fill_rate[[#This Row],[dev_cantidad]]</f>
        <v>1</v>
      </c>
      <c r="P8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7" s="1">
        <f>+Tabla__192.168.1.8_POSEIDONSQL_APPFVT_01_tbl_detalle_fill_rate[[#This Row],[Cumpl Real Unds]]-Tabla__192.168.1.8_POSEIDONSQL_APPFVT_01_tbl_detalle_fill_rate[[#This Row],[Cant Embarcada]]</f>
        <v>0</v>
      </c>
      <c r="S807" s="1">
        <f>+IF(Tabla__192.168.1.8_POSEIDONSQL_APPFVT_01_tbl_detalle_fill_rate[[#This Row],[Pend Emb]]&gt;0,1,0)</f>
        <v>0</v>
      </c>
      <c r="T8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8" spans="1:20" x14ac:dyDescent="0.25">
      <c r="A808">
        <v>3</v>
      </c>
      <c r="B808" t="s">
        <v>50</v>
      </c>
      <c r="C808">
        <v>50051260</v>
      </c>
      <c r="D808" s="48">
        <v>43333</v>
      </c>
      <c r="E808" s="48">
        <v>43332</v>
      </c>
      <c r="F808" s="48">
        <v>43344</v>
      </c>
      <c r="G808" t="s">
        <v>92</v>
      </c>
      <c r="H808" t="s">
        <v>93</v>
      </c>
      <c r="I808">
        <v>1</v>
      </c>
      <c r="J808" t="s">
        <v>729</v>
      </c>
      <c r="K808">
        <v>1</v>
      </c>
      <c r="L808">
        <v>2</v>
      </c>
      <c r="M808" t="s">
        <v>1965</v>
      </c>
      <c r="N808">
        <v>1</v>
      </c>
      <c r="O808" s="1">
        <f>+Tabla__192.168.1.8_POSEIDONSQL_APPFVT_01_tbl_detalle_fill_rate[[#This Row],[emb_cantidad]]-Tabla__192.168.1.8_POSEIDONSQL_APPFVT_01_tbl_detalle_fill_rate[[#This Row],[dev_cantidad]]</f>
        <v>1</v>
      </c>
      <c r="P8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8" s="1">
        <f>+Tabla__192.168.1.8_POSEIDONSQL_APPFVT_01_tbl_detalle_fill_rate[[#This Row],[Cumpl Real Unds]]-Tabla__192.168.1.8_POSEIDONSQL_APPFVT_01_tbl_detalle_fill_rate[[#This Row],[Cant Embarcada]]</f>
        <v>0</v>
      </c>
      <c r="S808" s="1">
        <f>+IF(Tabla__192.168.1.8_POSEIDONSQL_APPFVT_01_tbl_detalle_fill_rate[[#This Row],[Pend Emb]]&gt;0,1,0)</f>
        <v>0</v>
      </c>
      <c r="T8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09" spans="1:20" x14ac:dyDescent="0.25">
      <c r="A809">
        <v>3</v>
      </c>
      <c r="B809" t="s">
        <v>50</v>
      </c>
      <c r="C809">
        <v>50051260</v>
      </c>
      <c r="D809" s="48">
        <v>43333</v>
      </c>
      <c r="E809" s="48">
        <v>43332</v>
      </c>
      <c r="F809" s="48">
        <v>43341</v>
      </c>
      <c r="G809" t="s">
        <v>92</v>
      </c>
      <c r="H809" t="s">
        <v>93</v>
      </c>
      <c r="I809">
        <v>1</v>
      </c>
      <c r="J809" t="s">
        <v>728</v>
      </c>
      <c r="K809">
        <v>1</v>
      </c>
      <c r="L809">
        <v>1</v>
      </c>
      <c r="M809" t="s">
        <v>1965</v>
      </c>
      <c r="N809">
        <v>0</v>
      </c>
      <c r="O809" s="1">
        <f>+Tabla__192.168.1.8_POSEIDONSQL_APPFVT_01_tbl_detalle_fill_rate[[#This Row],[emb_cantidad]]-Tabla__192.168.1.8_POSEIDONSQL_APPFVT_01_tbl_detalle_fill_rate[[#This Row],[dev_cantidad]]</f>
        <v>1</v>
      </c>
      <c r="P8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09" s="1">
        <f>+Tabla__192.168.1.8_POSEIDONSQL_APPFVT_01_tbl_detalle_fill_rate[[#This Row],[Cumpl Real Unds]]-Tabla__192.168.1.8_POSEIDONSQL_APPFVT_01_tbl_detalle_fill_rate[[#This Row],[Cant Embarcada]]</f>
        <v>0</v>
      </c>
      <c r="S809" s="1">
        <f>+IF(Tabla__192.168.1.8_POSEIDONSQL_APPFVT_01_tbl_detalle_fill_rate[[#This Row],[Pend Emb]]&gt;0,1,0)</f>
        <v>0</v>
      </c>
      <c r="T8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0" spans="1:20" x14ac:dyDescent="0.25">
      <c r="A810">
        <v>3</v>
      </c>
      <c r="B810" t="s">
        <v>50</v>
      </c>
      <c r="C810">
        <v>50051310</v>
      </c>
      <c r="D810" s="48">
        <v>43334</v>
      </c>
      <c r="E810" s="48">
        <v>43333</v>
      </c>
      <c r="F810" s="48">
        <v>43346</v>
      </c>
      <c r="G810" t="s">
        <v>104</v>
      </c>
      <c r="H810" t="s">
        <v>105</v>
      </c>
      <c r="I810">
        <v>1</v>
      </c>
      <c r="J810" t="s">
        <v>1953</v>
      </c>
      <c r="K810">
        <v>1</v>
      </c>
      <c r="L810">
        <v>1</v>
      </c>
      <c r="M810" t="s">
        <v>1965</v>
      </c>
      <c r="N810">
        <v>0</v>
      </c>
      <c r="O810" s="1">
        <f>+Tabla__192.168.1.8_POSEIDONSQL_APPFVT_01_tbl_detalle_fill_rate[[#This Row],[emb_cantidad]]-Tabla__192.168.1.8_POSEIDONSQL_APPFVT_01_tbl_detalle_fill_rate[[#This Row],[dev_cantidad]]</f>
        <v>1</v>
      </c>
      <c r="P8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0" s="1">
        <f>+Tabla__192.168.1.8_POSEIDONSQL_APPFVT_01_tbl_detalle_fill_rate[[#This Row],[Cumpl Real Unds]]-Tabla__192.168.1.8_POSEIDONSQL_APPFVT_01_tbl_detalle_fill_rate[[#This Row],[Cant Embarcada]]</f>
        <v>0</v>
      </c>
      <c r="S810" s="1">
        <f>+IF(Tabla__192.168.1.8_POSEIDONSQL_APPFVT_01_tbl_detalle_fill_rate[[#This Row],[Pend Emb]]&gt;0,1,0)</f>
        <v>0</v>
      </c>
      <c r="T8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1" spans="1:20" x14ac:dyDescent="0.25">
      <c r="A811">
        <v>3</v>
      </c>
      <c r="B811" t="s">
        <v>50</v>
      </c>
      <c r="C811">
        <v>50051310</v>
      </c>
      <c r="D811" s="48">
        <v>43334</v>
      </c>
      <c r="E811" s="48">
        <v>43333</v>
      </c>
      <c r="F811" s="48">
        <v>43344</v>
      </c>
      <c r="G811" t="s">
        <v>134</v>
      </c>
      <c r="H811" t="s">
        <v>135</v>
      </c>
      <c r="I811">
        <v>1</v>
      </c>
      <c r="J811" t="s">
        <v>1952</v>
      </c>
      <c r="K811">
        <v>1</v>
      </c>
      <c r="L811">
        <v>1</v>
      </c>
      <c r="M811" t="s">
        <v>1965</v>
      </c>
      <c r="N811">
        <v>0</v>
      </c>
      <c r="O811" s="1">
        <f>+Tabla__192.168.1.8_POSEIDONSQL_APPFVT_01_tbl_detalle_fill_rate[[#This Row],[emb_cantidad]]-Tabla__192.168.1.8_POSEIDONSQL_APPFVT_01_tbl_detalle_fill_rate[[#This Row],[dev_cantidad]]</f>
        <v>1</v>
      </c>
      <c r="P8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1" s="1">
        <f>+Tabla__192.168.1.8_POSEIDONSQL_APPFVT_01_tbl_detalle_fill_rate[[#This Row],[Cumpl Real Unds]]-Tabla__192.168.1.8_POSEIDONSQL_APPFVT_01_tbl_detalle_fill_rate[[#This Row],[Cant Embarcada]]</f>
        <v>0</v>
      </c>
      <c r="S811" s="1">
        <f>+IF(Tabla__192.168.1.8_POSEIDONSQL_APPFVT_01_tbl_detalle_fill_rate[[#This Row],[Pend Emb]]&gt;0,1,0)</f>
        <v>0</v>
      </c>
      <c r="T8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2" spans="1:20" x14ac:dyDescent="0.25">
      <c r="A812">
        <v>3</v>
      </c>
      <c r="B812" t="s">
        <v>50</v>
      </c>
      <c r="C812">
        <v>50051311</v>
      </c>
      <c r="D812" s="48">
        <v>43334</v>
      </c>
      <c r="E812" s="48">
        <v>43333</v>
      </c>
      <c r="F812" s="48">
        <v>43346</v>
      </c>
      <c r="G812" t="s">
        <v>92</v>
      </c>
      <c r="H812" t="s">
        <v>93</v>
      </c>
      <c r="I812">
        <v>1</v>
      </c>
      <c r="J812" t="s">
        <v>1955</v>
      </c>
      <c r="K812">
        <v>1</v>
      </c>
      <c r="L812">
        <v>1</v>
      </c>
      <c r="M812" t="s">
        <v>1965</v>
      </c>
      <c r="N812">
        <v>0</v>
      </c>
      <c r="O812" s="1">
        <f>+Tabla__192.168.1.8_POSEIDONSQL_APPFVT_01_tbl_detalle_fill_rate[[#This Row],[emb_cantidad]]-Tabla__192.168.1.8_POSEIDONSQL_APPFVT_01_tbl_detalle_fill_rate[[#This Row],[dev_cantidad]]</f>
        <v>1</v>
      </c>
      <c r="P8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2" s="1">
        <f>+Tabla__192.168.1.8_POSEIDONSQL_APPFVT_01_tbl_detalle_fill_rate[[#This Row],[Cumpl Real Unds]]-Tabla__192.168.1.8_POSEIDONSQL_APPFVT_01_tbl_detalle_fill_rate[[#This Row],[Cant Embarcada]]</f>
        <v>0</v>
      </c>
      <c r="S812" s="1">
        <f>+IF(Tabla__192.168.1.8_POSEIDONSQL_APPFVT_01_tbl_detalle_fill_rate[[#This Row],[Pend Emb]]&gt;0,1,0)</f>
        <v>0</v>
      </c>
      <c r="T8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3" spans="1:20" x14ac:dyDescent="0.25">
      <c r="A813">
        <v>3</v>
      </c>
      <c r="B813" t="s">
        <v>50</v>
      </c>
      <c r="C813">
        <v>50051311</v>
      </c>
      <c r="D813" s="48">
        <v>43334</v>
      </c>
      <c r="E813" s="48">
        <v>43333</v>
      </c>
      <c r="F813" s="48">
        <v>43346</v>
      </c>
      <c r="G813" t="s">
        <v>92</v>
      </c>
      <c r="H813" t="s">
        <v>93</v>
      </c>
      <c r="I813">
        <v>1</v>
      </c>
      <c r="J813" t="s">
        <v>1956</v>
      </c>
      <c r="K813">
        <v>1</v>
      </c>
      <c r="L813">
        <v>1</v>
      </c>
      <c r="M813" t="s">
        <v>1965</v>
      </c>
      <c r="N813">
        <v>0</v>
      </c>
      <c r="O813" s="1">
        <f>+Tabla__192.168.1.8_POSEIDONSQL_APPFVT_01_tbl_detalle_fill_rate[[#This Row],[emb_cantidad]]-Tabla__192.168.1.8_POSEIDONSQL_APPFVT_01_tbl_detalle_fill_rate[[#This Row],[dev_cantidad]]</f>
        <v>1</v>
      </c>
      <c r="P8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3" s="1">
        <f>+Tabla__192.168.1.8_POSEIDONSQL_APPFVT_01_tbl_detalle_fill_rate[[#This Row],[Cumpl Real Unds]]-Tabla__192.168.1.8_POSEIDONSQL_APPFVT_01_tbl_detalle_fill_rate[[#This Row],[Cant Embarcada]]</f>
        <v>0</v>
      </c>
      <c r="S813" s="1">
        <f>+IF(Tabla__192.168.1.8_POSEIDONSQL_APPFVT_01_tbl_detalle_fill_rate[[#This Row],[Pend Emb]]&gt;0,1,0)</f>
        <v>0</v>
      </c>
      <c r="T8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4" spans="1:20" x14ac:dyDescent="0.25">
      <c r="A814">
        <v>3</v>
      </c>
      <c r="B814" t="s">
        <v>50</v>
      </c>
      <c r="C814">
        <v>50051311</v>
      </c>
      <c r="D814" s="48">
        <v>43334</v>
      </c>
      <c r="E814" s="48">
        <v>43333</v>
      </c>
      <c r="F814" s="48">
        <v>43343</v>
      </c>
      <c r="G814" t="s">
        <v>134</v>
      </c>
      <c r="H814" t="s">
        <v>135</v>
      </c>
      <c r="I814">
        <v>1</v>
      </c>
      <c r="J814" t="s">
        <v>1954</v>
      </c>
      <c r="K814">
        <v>1</v>
      </c>
      <c r="L814">
        <v>1</v>
      </c>
      <c r="M814" t="s">
        <v>1965</v>
      </c>
      <c r="N814">
        <v>0</v>
      </c>
      <c r="O814" s="1">
        <f>+Tabla__192.168.1.8_POSEIDONSQL_APPFVT_01_tbl_detalle_fill_rate[[#This Row],[emb_cantidad]]-Tabla__192.168.1.8_POSEIDONSQL_APPFVT_01_tbl_detalle_fill_rate[[#This Row],[dev_cantidad]]</f>
        <v>1</v>
      </c>
      <c r="P8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4" s="1">
        <f>+Tabla__192.168.1.8_POSEIDONSQL_APPFVT_01_tbl_detalle_fill_rate[[#This Row],[Cumpl Real Unds]]-Tabla__192.168.1.8_POSEIDONSQL_APPFVT_01_tbl_detalle_fill_rate[[#This Row],[Cant Embarcada]]</f>
        <v>0</v>
      </c>
      <c r="S814" s="1">
        <f>+IF(Tabla__192.168.1.8_POSEIDONSQL_APPFVT_01_tbl_detalle_fill_rate[[#This Row],[Pend Emb]]&gt;0,1,0)</f>
        <v>0</v>
      </c>
      <c r="T8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5" spans="1:20" x14ac:dyDescent="0.25">
      <c r="A815">
        <v>3</v>
      </c>
      <c r="B815" t="s">
        <v>50</v>
      </c>
      <c r="C815">
        <v>50051361</v>
      </c>
      <c r="D815" s="48">
        <v>43335</v>
      </c>
      <c r="E815" s="48">
        <v>43334</v>
      </c>
      <c r="F815" s="48">
        <v>43343</v>
      </c>
      <c r="G815" t="s">
        <v>130</v>
      </c>
      <c r="H815" t="s">
        <v>131</v>
      </c>
      <c r="I815">
        <v>1</v>
      </c>
      <c r="J815" t="s">
        <v>1957</v>
      </c>
      <c r="K815">
        <v>1</v>
      </c>
      <c r="L815">
        <v>1</v>
      </c>
      <c r="M815" t="s">
        <v>1965</v>
      </c>
      <c r="N815">
        <v>0</v>
      </c>
      <c r="O815" s="1">
        <f>+Tabla__192.168.1.8_POSEIDONSQL_APPFVT_01_tbl_detalle_fill_rate[[#This Row],[emb_cantidad]]-Tabla__192.168.1.8_POSEIDONSQL_APPFVT_01_tbl_detalle_fill_rate[[#This Row],[dev_cantidad]]</f>
        <v>1</v>
      </c>
      <c r="P8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5" s="1">
        <f>+Tabla__192.168.1.8_POSEIDONSQL_APPFVT_01_tbl_detalle_fill_rate[[#This Row],[Cumpl Real Unds]]-Tabla__192.168.1.8_POSEIDONSQL_APPFVT_01_tbl_detalle_fill_rate[[#This Row],[Cant Embarcada]]</f>
        <v>0</v>
      </c>
      <c r="S815" s="1">
        <f>+IF(Tabla__192.168.1.8_POSEIDONSQL_APPFVT_01_tbl_detalle_fill_rate[[#This Row],[Pend Emb]]&gt;0,1,0)</f>
        <v>0</v>
      </c>
      <c r="T8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6" spans="1:20" x14ac:dyDescent="0.25">
      <c r="A816">
        <v>3</v>
      </c>
      <c r="B816" t="s">
        <v>50</v>
      </c>
      <c r="C816">
        <v>50051361</v>
      </c>
      <c r="D816" s="48">
        <v>43335</v>
      </c>
      <c r="E816" s="48">
        <v>43334</v>
      </c>
      <c r="F816" s="48">
        <v>43350</v>
      </c>
      <c r="G816" t="s">
        <v>132</v>
      </c>
      <c r="H816" t="s">
        <v>133</v>
      </c>
      <c r="I816">
        <v>1</v>
      </c>
      <c r="J816" t="s">
        <v>1958</v>
      </c>
      <c r="K816">
        <v>1</v>
      </c>
      <c r="L816">
        <v>1</v>
      </c>
      <c r="M816" t="s">
        <v>1965</v>
      </c>
      <c r="N816">
        <v>0</v>
      </c>
      <c r="O816" s="1">
        <f>+Tabla__192.168.1.8_POSEIDONSQL_APPFVT_01_tbl_detalle_fill_rate[[#This Row],[emb_cantidad]]-Tabla__192.168.1.8_POSEIDONSQL_APPFVT_01_tbl_detalle_fill_rate[[#This Row],[dev_cantidad]]</f>
        <v>1</v>
      </c>
      <c r="P8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6" s="1">
        <f>+Tabla__192.168.1.8_POSEIDONSQL_APPFVT_01_tbl_detalle_fill_rate[[#This Row],[Cumpl Real Unds]]-Tabla__192.168.1.8_POSEIDONSQL_APPFVT_01_tbl_detalle_fill_rate[[#This Row],[Cant Embarcada]]</f>
        <v>0</v>
      </c>
      <c r="S816" s="1">
        <f>+IF(Tabla__192.168.1.8_POSEIDONSQL_APPFVT_01_tbl_detalle_fill_rate[[#This Row],[Pend Emb]]&gt;0,1,0)</f>
        <v>0</v>
      </c>
      <c r="T8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7" spans="1:20" x14ac:dyDescent="0.25">
      <c r="A817">
        <v>3</v>
      </c>
      <c r="B817" t="s">
        <v>50</v>
      </c>
      <c r="C817">
        <v>50051362</v>
      </c>
      <c r="D817" s="48">
        <v>43335</v>
      </c>
      <c r="E817" s="48">
        <v>43334</v>
      </c>
      <c r="F817" s="48">
        <v>43343</v>
      </c>
      <c r="G817" t="s">
        <v>92</v>
      </c>
      <c r="H817" t="s">
        <v>93</v>
      </c>
      <c r="I817">
        <v>1</v>
      </c>
      <c r="J817" t="s">
        <v>1946</v>
      </c>
      <c r="K817">
        <v>1</v>
      </c>
      <c r="L817">
        <v>1</v>
      </c>
      <c r="M817" t="s">
        <v>1965</v>
      </c>
      <c r="N817">
        <v>0</v>
      </c>
      <c r="O817" s="1">
        <f>+Tabla__192.168.1.8_POSEIDONSQL_APPFVT_01_tbl_detalle_fill_rate[[#This Row],[emb_cantidad]]-Tabla__192.168.1.8_POSEIDONSQL_APPFVT_01_tbl_detalle_fill_rate[[#This Row],[dev_cantidad]]</f>
        <v>1</v>
      </c>
      <c r="P8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7" s="1">
        <f>+Tabla__192.168.1.8_POSEIDONSQL_APPFVT_01_tbl_detalle_fill_rate[[#This Row],[Cumpl Real Unds]]-Tabla__192.168.1.8_POSEIDONSQL_APPFVT_01_tbl_detalle_fill_rate[[#This Row],[Cant Embarcada]]</f>
        <v>0</v>
      </c>
      <c r="S817" s="1">
        <f>+IF(Tabla__192.168.1.8_POSEIDONSQL_APPFVT_01_tbl_detalle_fill_rate[[#This Row],[Pend Emb]]&gt;0,1,0)</f>
        <v>0</v>
      </c>
      <c r="T8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8" spans="1:20" x14ac:dyDescent="0.25">
      <c r="A818">
        <v>3</v>
      </c>
      <c r="B818" t="s">
        <v>50</v>
      </c>
      <c r="C818">
        <v>50051409</v>
      </c>
      <c r="D818" s="48">
        <v>43336</v>
      </c>
      <c r="E818" s="48">
        <v>43335</v>
      </c>
      <c r="F818" s="48">
        <v>43348</v>
      </c>
      <c r="G818" t="s">
        <v>92</v>
      </c>
      <c r="H818" t="s">
        <v>93</v>
      </c>
      <c r="I818">
        <v>1</v>
      </c>
      <c r="J818" t="s">
        <v>1947</v>
      </c>
      <c r="K818">
        <v>1</v>
      </c>
      <c r="L818">
        <v>1</v>
      </c>
      <c r="M818" t="s">
        <v>1965</v>
      </c>
      <c r="N818">
        <v>0</v>
      </c>
      <c r="O818" s="1">
        <f>+Tabla__192.168.1.8_POSEIDONSQL_APPFVT_01_tbl_detalle_fill_rate[[#This Row],[emb_cantidad]]-Tabla__192.168.1.8_POSEIDONSQL_APPFVT_01_tbl_detalle_fill_rate[[#This Row],[dev_cantidad]]</f>
        <v>1</v>
      </c>
      <c r="P8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8" s="1">
        <f>+Tabla__192.168.1.8_POSEIDONSQL_APPFVT_01_tbl_detalle_fill_rate[[#This Row],[Cumpl Real Unds]]-Tabla__192.168.1.8_POSEIDONSQL_APPFVT_01_tbl_detalle_fill_rate[[#This Row],[Cant Embarcada]]</f>
        <v>0</v>
      </c>
      <c r="S818" s="1">
        <f>+IF(Tabla__192.168.1.8_POSEIDONSQL_APPFVT_01_tbl_detalle_fill_rate[[#This Row],[Pend Emb]]&gt;0,1,0)</f>
        <v>0</v>
      </c>
      <c r="T8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19" spans="1:20" x14ac:dyDescent="0.25">
      <c r="A819">
        <v>3</v>
      </c>
      <c r="B819" t="s">
        <v>50</v>
      </c>
      <c r="C819">
        <v>50051410</v>
      </c>
      <c r="D819" s="48">
        <v>43336</v>
      </c>
      <c r="E819" s="48">
        <v>43335</v>
      </c>
      <c r="F819" s="48">
        <v>43344</v>
      </c>
      <c r="G819" t="s">
        <v>84</v>
      </c>
      <c r="H819" t="s">
        <v>85</v>
      </c>
      <c r="I819">
        <v>1</v>
      </c>
      <c r="J819" t="s">
        <v>1948</v>
      </c>
      <c r="K819">
        <v>1</v>
      </c>
      <c r="L819">
        <v>1</v>
      </c>
      <c r="M819" t="s">
        <v>1965</v>
      </c>
      <c r="N819">
        <v>0</v>
      </c>
      <c r="O819" s="1">
        <f>+Tabla__192.168.1.8_POSEIDONSQL_APPFVT_01_tbl_detalle_fill_rate[[#This Row],[emb_cantidad]]-Tabla__192.168.1.8_POSEIDONSQL_APPFVT_01_tbl_detalle_fill_rate[[#This Row],[dev_cantidad]]</f>
        <v>1</v>
      </c>
      <c r="P8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19" s="1">
        <f>+Tabla__192.168.1.8_POSEIDONSQL_APPFVT_01_tbl_detalle_fill_rate[[#This Row],[Cumpl Real Unds]]-Tabla__192.168.1.8_POSEIDONSQL_APPFVT_01_tbl_detalle_fill_rate[[#This Row],[Cant Embarcada]]</f>
        <v>0</v>
      </c>
      <c r="S819" s="1">
        <f>+IF(Tabla__192.168.1.8_POSEIDONSQL_APPFVT_01_tbl_detalle_fill_rate[[#This Row],[Pend Emb]]&gt;0,1,0)</f>
        <v>0</v>
      </c>
      <c r="T8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0" spans="1:20" x14ac:dyDescent="0.25">
      <c r="A820">
        <v>3</v>
      </c>
      <c r="B820" t="s">
        <v>50</v>
      </c>
      <c r="C820">
        <v>50051410</v>
      </c>
      <c r="D820" s="48">
        <v>43336</v>
      </c>
      <c r="E820" s="48">
        <v>43335</v>
      </c>
      <c r="F820" s="48">
        <v>43344</v>
      </c>
      <c r="G820" t="s">
        <v>84</v>
      </c>
      <c r="H820" t="s">
        <v>85</v>
      </c>
      <c r="I820">
        <v>1</v>
      </c>
      <c r="J820" t="s">
        <v>1949</v>
      </c>
      <c r="K820">
        <v>1</v>
      </c>
      <c r="L820">
        <v>1</v>
      </c>
      <c r="M820" t="s">
        <v>1965</v>
      </c>
      <c r="N820">
        <v>0</v>
      </c>
      <c r="O820" s="1">
        <f>+Tabla__192.168.1.8_POSEIDONSQL_APPFVT_01_tbl_detalle_fill_rate[[#This Row],[emb_cantidad]]-Tabla__192.168.1.8_POSEIDONSQL_APPFVT_01_tbl_detalle_fill_rate[[#This Row],[dev_cantidad]]</f>
        <v>1</v>
      </c>
      <c r="P8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0" s="1">
        <f>+Tabla__192.168.1.8_POSEIDONSQL_APPFVT_01_tbl_detalle_fill_rate[[#This Row],[Cumpl Real Unds]]-Tabla__192.168.1.8_POSEIDONSQL_APPFVT_01_tbl_detalle_fill_rate[[#This Row],[Cant Embarcada]]</f>
        <v>0</v>
      </c>
      <c r="S820" s="1">
        <f>+IF(Tabla__192.168.1.8_POSEIDONSQL_APPFVT_01_tbl_detalle_fill_rate[[#This Row],[Pend Emb]]&gt;0,1,0)</f>
        <v>0</v>
      </c>
      <c r="T8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1" spans="1:20" x14ac:dyDescent="0.25">
      <c r="A821">
        <v>3</v>
      </c>
      <c r="B821" t="s">
        <v>50</v>
      </c>
      <c r="C821">
        <v>50051410</v>
      </c>
      <c r="D821" s="48">
        <v>43336</v>
      </c>
      <c r="E821" s="48">
        <v>43335</v>
      </c>
      <c r="F821" s="48">
        <v>43344</v>
      </c>
      <c r="G821" t="s">
        <v>92</v>
      </c>
      <c r="H821" t="s">
        <v>93</v>
      </c>
      <c r="I821">
        <v>1</v>
      </c>
      <c r="J821" t="s">
        <v>1950</v>
      </c>
      <c r="K821">
        <v>1</v>
      </c>
      <c r="L821">
        <v>1</v>
      </c>
      <c r="M821" t="s">
        <v>1965</v>
      </c>
      <c r="N821">
        <v>0</v>
      </c>
      <c r="O821" s="1">
        <f>+Tabla__192.168.1.8_POSEIDONSQL_APPFVT_01_tbl_detalle_fill_rate[[#This Row],[emb_cantidad]]-Tabla__192.168.1.8_POSEIDONSQL_APPFVT_01_tbl_detalle_fill_rate[[#This Row],[dev_cantidad]]</f>
        <v>1</v>
      </c>
      <c r="P8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1" s="1">
        <f>+Tabla__192.168.1.8_POSEIDONSQL_APPFVT_01_tbl_detalle_fill_rate[[#This Row],[Cumpl Real Unds]]-Tabla__192.168.1.8_POSEIDONSQL_APPFVT_01_tbl_detalle_fill_rate[[#This Row],[Cant Embarcada]]</f>
        <v>0</v>
      </c>
      <c r="S821" s="1">
        <f>+IF(Tabla__192.168.1.8_POSEIDONSQL_APPFVT_01_tbl_detalle_fill_rate[[#This Row],[Pend Emb]]&gt;0,1,0)</f>
        <v>0</v>
      </c>
      <c r="T8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2" spans="1:20" x14ac:dyDescent="0.25">
      <c r="A822">
        <v>3</v>
      </c>
      <c r="B822" t="s">
        <v>50</v>
      </c>
      <c r="C822">
        <v>50051410</v>
      </c>
      <c r="D822" s="48">
        <v>43336</v>
      </c>
      <c r="E822" s="48">
        <v>43335</v>
      </c>
      <c r="F822" s="48">
        <v>43348</v>
      </c>
      <c r="G822" t="s">
        <v>134</v>
      </c>
      <c r="H822" t="s">
        <v>135</v>
      </c>
      <c r="I822">
        <v>1</v>
      </c>
      <c r="J822" t="s">
        <v>1951</v>
      </c>
      <c r="K822">
        <v>1</v>
      </c>
      <c r="L822">
        <v>1</v>
      </c>
      <c r="M822" t="s">
        <v>1965</v>
      </c>
      <c r="N822">
        <v>0</v>
      </c>
      <c r="O822" s="1">
        <f>+Tabla__192.168.1.8_POSEIDONSQL_APPFVT_01_tbl_detalle_fill_rate[[#This Row],[emb_cantidad]]-Tabla__192.168.1.8_POSEIDONSQL_APPFVT_01_tbl_detalle_fill_rate[[#This Row],[dev_cantidad]]</f>
        <v>1</v>
      </c>
      <c r="P8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2" s="1">
        <f>+Tabla__192.168.1.8_POSEIDONSQL_APPFVT_01_tbl_detalle_fill_rate[[#This Row],[Cumpl Real Unds]]-Tabla__192.168.1.8_POSEIDONSQL_APPFVT_01_tbl_detalle_fill_rate[[#This Row],[Cant Embarcada]]</f>
        <v>0</v>
      </c>
      <c r="S822" s="1">
        <f>+IF(Tabla__192.168.1.8_POSEIDONSQL_APPFVT_01_tbl_detalle_fill_rate[[#This Row],[Pend Emb]]&gt;0,1,0)</f>
        <v>0</v>
      </c>
      <c r="T8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3" spans="1:20" x14ac:dyDescent="0.25">
      <c r="A823">
        <v>3</v>
      </c>
      <c r="B823" t="s">
        <v>50</v>
      </c>
      <c r="C823">
        <v>50051450</v>
      </c>
      <c r="D823" s="48">
        <v>43339</v>
      </c>
      <c r="E823" s="48">
        <v>43336</v>
      </c>
      <c r="F823" s="48">
        <v>43345</v>
      </c>
      <c r="G823" t="s">
        <v>62</v>
      </c>
      <c r="H823" t="s">
        <v>63</v>
      </c>
      <c r="I823">
        <v>1</v>
      </c>
      <c r="J823" t="s">
        <v>1566</v>
      </c>
      <c r="K823">
        <v>1</v>
      </c>
      <c r="L823">
        <v>1</v>
      </c>
      <c r="M823" t="s">
        <v>1977</v>
      </c>
      <c r="N823">
        <v>0</v>
      </c>
      <c r="O823" s="1">
        <f>+Tabla__192.168.1.8_POSEIDONSQL_APPFVT_01_tbl_detalle_fill_rate[[#This Row],[emb_cantidad]]-Tabla__192.168.1.8_POSEIDONSQL_APPFVT_01_tbl_detalle_fill_rate[[#This Row],[dev_cantidad]]</f>
        <v>1</v>
      </c>
      <c r="P8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3" s="1">
        <f>+Tabla__192.168.1.8_POSEIDONSQL_APPFVT_01_tbl_detalle_fill_rate[[#This Row],[Cumpl Real Unds]]-Tabla__192.168.1.8_POSEIDONSQL_APPFVT_01_tbl_detalle_fill_rate[[#This Row],[Cant Embarcada]]</f>
        <v>0</v>
      </c>
      <c r="S823" s="1">
        <f>+IF(Tabla__192.168.1.8_POSEIDONSQL_APPFVT_01_tbl_detalle_fill_rate[[#This Row],[Pend Emb]]&gt;0,1,0)</f>
        <v>0</v>
      </c>
      <c r="T8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4" spans="1:20" x14ac:dyDescent="0.25">
      <c r="A824">
        <v>3</v>
      </c>
      <c r="B824" t="s">
        <v>50</v>
      </c>
      <c r="C824">
        <v>50051450</v>
      </c>
      <c r="D824" s="48">
        <v>43339</v>
      </c>
      <c r="E824" s="48">
        <v>43336</v>
      </c>
      <c r="F824" s="48">
        <v>43347</v>
      </c>
      <c r="G824" t="s">
        <v>62</v>
      </c>
      <c r="H824" t="s">
        <v>63</v>
      </c>
      <c r="I824">
        <v>1</v>
      </c>
      <c r="J824" t="s">
        <v>1567</v>
      </c>
      <c r="K824">
        <v>1</v>
      </c>
      <c r="L824">
        <v>1</v>
      </c>
      <c r="M824" t="s">
        <v>1977</v>
      </c>
      <c r="N824">
        <v>0</v>
      </c>
      <c r="O824" s="1">
        <f>+Tabla__192.168.1.8_POSEIDONSQL_APPFVT_01_tbl_detalle_fill_rate[[#This Row],[emb_cantidad]]-Tabla__192.168.1.8_POSEIDONSQL_APPFVT_01_tbl_detalle_fill_rate[[#This Row],[dev_cantidad]]</f>
        <v>1</v>
      </c>
      <c r="P8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4" s="1">
        <f>+Tabla__192.168.1.8_POSEIDONSQL_APPFVT_01_tbl_detalle_fill_rate[[#This Row],[Cumpl Real Unds]]-Tabla__192.168.1.8_POSEIDONSQL_APPFVT_01_tbl_detalle_fill_rate[[#This Row],[Cant Embarcada]]</f>
        <v>0</v>
      </c>
      <c r="S824" s="1">
        <f>+IF(Tabla__192.168.1.8_POSEIDONSQL_APPFVT_01_tbl_detalle_fill_rate[[#This Row],[Pend Emb]]&gt;0,1,0)</f>
        <v>0</v>
      </c>
      <c r="T8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5" spans="1:20" x14ac:dyDescent="0.25">
      <c r="A825">
        <v>3</v>
      </c>
      <c r="B825" t="s">
        <v>50</v>
      </c>
      <c r="C825">
        <v>50051450</v>
      </c>
      <c r="D825" s="48">
        <v>43339</v>
      </c>
      <c r="E825" s="48">
        <v>43336</v>
      </c>
      <c r="F825" s="48">
        <v>43347</v>
      </c>
      <c r="G825" t="s">
        <v>92</v>
      </c>
      <c r="H825" t="s">
        <v>93</v>
      </c>
      <c r="I825">
        <v>1</v>
      </c>
      <c r="J825" t="s">
        <v>1568</v>
      </c>
      <c r="K825">
        <v>1</v>
      </c>
      <c r="L825">
        <v>1</v>
      </c>
      <c r="M825" t="s">
        <v>1977</v>
      </c>
      <c r="N825">
        <v>0</v>
      </c>
      <c r="O825" s="1">
        <f>+Tabla__192.168.1.8_POSEIDONSQL_APPFVT_01_tbl_detalle_fill_rate[[#This Row],[emb_cantidad]]-Tabla__192.168.1.8_POSEIDONSQL_APPFVT_01_tbl_detalle_fill_rate[[#This Row],[dev_cantidad]]</f>
        <v>1</v>
      </c>
      <c r="P8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5" s="1">
        <f>+Tabla__192.168.1.8_POSEIDONSQL_APPFVT_01_tbl_detalle_fill_rate[[#This Row],[Cumpl Real Unds]]-Tabla__192.168.1.8_POSEIDONSQL_APPFVT_01_tbl_detalle_fill_rate[[#This Row],[Cant Embarcada]]</f>
        <v>0</v>
      </c>
      <c r="S825" s="1">
        <f>+IF(Tabla__192.168.1.8_POSEIDONSQL_APPFVT_01_tbl_detalle_fill_rate[[#This Row],[Pend Emb]]&gt;0,1,0)</f>
        <v>0</v>
      </c>
      <c r="T8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6" spans="1:20" x14ac:dyDescent="0.25">
      <c r="A826">
        <v>3</v>
      </c>
      <c r="B826" t="s">
        <v>50</v>
      </c>
      <c r="C826">
        <v>50051450</v>
      </c>
      <c r="D826" s="48">
        <v>43339</v>
      </c>
      <c r="E826" s="48">
        <v>43336</v>
      </c>
      <c r="F826" s="48">
        <v>43351</v>
      </c>
      <c r="G826" t="s">
        <v>104</v>
      </c>
      <c r="H826" t="s">
        <v>105</v>
      </c>
      <c r="I826">
        <v>1</v>
      </c>
      <c r="J826" t="s">
        <v>1139</v>
      </c>
      <c r="K826">
        <v>1</v>
      </c>
      <c r="L826">
        <v>1</v>
      </c>
      <c r="M826" t="s">
        <v>162</v>
      </c>
      <c r="N826">
        <v>0</v>
      </c>
      <c r="O826" s="1">
        <f>+Tabla__192.168.1.8_POSEIDONSQL_APPFVT_01_tbl_detalle_fill_rate[[#This Row],[emb_cantidad]]-Tabla__192.168.1.8_POSEIDONSQL_APPFVT_01_tbl_detalle_fill_rate[[#This Row],[dev_cantidad]]</f>
        <v>1</v>
      </c>
      <c r="P8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6" s="1">
        <f>+Tabla__192.168.1.8_POSEIDONSQL_APPFVT_01_tbl_detalle_fill_rate[[#This Row],[Cumpl Real Unds]]-Tabla__192.168.1.8_POSEIDONSQL_APPFVT_01_tbl_detalle_fill_rate[[#This Row],[Cant Embarcada]]</f>
        <v>0</v>
      </c>
      <c r="S826" s="1">
        <f>+IF(Tabla__192.168.1.8_POSEIDONSQL_APPFVT_01_tbl_detalle_fill_rate[[#This Row],[Pend Emb]]&gt;0,1,0)</f>
        <v>0</v>
      </c>
      <c r="T8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7" spans="1:20" x14ac:dyDescent="0.25">
      <c r="A827">
        <v>3</v>
      </c>
      <c r="B827" t="s">
        <v>50</v>
      </c>
      <c r="C827">
        <v>50051451</v>
      </c>
      <c r="D827" s="48">
        <v>43339</v>
      </c>
      <c r="E827" s="48">
        <v>43336</v>
      </c>
      <c r="F827" s="48">
        <v>43347</v>
      </c>
      <c r="G827" t="s">
        <v>92</v>
      </c>
      <c r="H827" t="s">
        <v>93</v>
      </c>
      <c r="I827">
        <v>1</v>
      </c>
      <c r="J827" t="s">
        <v>1571</v>
      </c>
      <c r="K827">
        <v>1</v>
      </c>
      <c r="L827">
        <v>1</v>
      </c>
      <c r="M827" t="s">
        <v>1977</v>
      </c>
      <c r="N827">
        <v>0</v>
      </c>
      <c r="O827" s="1">
        <f>+Tabla__192.168.1.8_POSEIDONSQL_APPFVT_01_tbl_detalle_fill_rate[[#This Row],[emb_cantidad]]-Tabla__192.168.1.8_POSEIDONSQL_APPFVT_01_tbl_detalle_fill_rate[[#This Row],[dev_cantidad]]</f>
        <v>1</v>
      </c>
      <c r="P8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7" s="1">
        <f>+Tabla__192.168.1.8_POSEIDONSQL_APPFVT_01_tbl_detalle_fill_rate[[#This Row],[Cumpl Real Unds]]-Tabla__192.168.1.8_POSEIDONSQL_APPFVT_01_tbl_detalle_fill_rate[[#This Row],[Cant Embarcada]]</f>
        <v>0</v>
      </c>
      <c r="S827" s="1">
        <f>+IF(Tabla__192.168.1.8_POSEIDONSQL_APPFVT_01_tbl_detalle_fill_rate[[#This Row],[Pend Emb]]&gt;0,1,0)</f>
        <v>0</v>
      </c>
      <c r="T8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8" spans="1:20" x14ac:dyDescent="0.25">
      <c r="A828">
        <v>3</v>
      </c>
      <c r="B828" t="s">
        <v>50</v>
      </c>
      <c r="C828">
        <v>50051451</v>
      </c>
      <c r="D828" s="48">
        <v>43339</v>
      </c>
      <c r="E828" s="48">
        <v>43336</v>
      </c>
      <c r="F828" s="48">
        <v>43346</v>
      </c>
      <c r="G828" t="s">
        <v>92</v>
      </c>
      <c r="H828" t="s">
        <v>93</v>
      </c>
      <c r="I828">
        <v>1</v>
      </c>
      <c r="J828" t="s">
        <v>1569</v>
      </c>
      <c r="K828">
        <v>1</v>
      </c>
      <c r="L828">
        <v>1</v>
      </c>
      <c r="M828" t="s">
        <v>1977</v>
      </c>
      <c r="N828">
        <v>0</v>
      </c>
      <c r="O828" s="1">
        <f>+Tabla__192.168.1.8_POSEIDONSQL_APPFVT_01_tbl_detalle_fill_rate[[#This Row],[emb_cantidad]]-Tabla__192.168.1.8_POSEIDONSQL_APPFVT_01_tbl_detalle_fill_rate[[#This Row],[dev_cantidad]]</f>
        <v>1</v>
      </c>
      <c r="P8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8" s="1">
        <f>+Tabla__192.168.1.8_POSEIDONSQL_APPFVT_01_tbl_detalle_fill_rate[[#This Row],[Cumpl Real Unds]]-Tabla__192.168.1.8_POSEIDONSQL_APPFVT_01_tbl_detalle_fill_rate[[#This Row],[Cant Embarcada]]</f>
        <v>0</v>
      </c>
      <c r="S828" s="1">
        <f>+IF(Tabla__192.168.1.8_POSEIDONSQL_APPFVT_01_tbl_detalle_fill_rate[[#This Row],[Pend Emb]]&gt;0,1,0)</f>
        <v>0</v>
      </c>
      <c r="T8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29" spans="1:20" x14ac:dyDescent="0.25">
      <c r="A829">
        <v>3</v>
      </c>
      <c r="B829" t="s">
        <v>50</v>
      </c>
      <c r="C829">
        <v>50051451</v>
      </c>
      <c r="D829" s="48">
        <v>43339</v>
      </c>
      <c r="E829" s="48">
        <v>43336</v>
      </c>
      <c r="F829" s="48">
        <v>43346</v>
      </c>
      <c r="G829" t="s">
        <v>92</v>
      </c>
      <c r="H829" t="s">
        <v>93</v>
      </c>
      <c r="I829">
        <v>1</v>
      </c>
      <c r="J829" t="s">
        <v>1570</v>
      </c>
      <c r="K829">
        <v>1</v>
      </c>
      <c r="L829">
        <v>1</v>
      </c>
      <c r="M829" t="s">
        <v>1977</v>
      </c>
      <c r="N829">
        <v>0</v>
      </c>
      <c r="O829" s="1">
        <f>+Tabla__192.168.1.8_POSEIDONSQL_APPFVT_01_tbl_detalle_fill_rate[[#This Row],[emb_cantidad]]-Tabla__192.168.1.8_POSEIDONSQL_APPFVT_01_tbl_detalle_fill_rate[[#This Row],[dev_cantidad]]</f>
        <v>1</v>
      </c>
      <c r="P8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29" s="1">
        <f>+Tabla__192.168.1.8_POSEIDONSQL_APPFVT_01_tbl_detalle_fill_rate[[#This Row],[Cumpl Real Unds]]-Tabla__192.168.1.8_POSEIDONSQL_APPFVT_01_tbl_detalle_fill_rate[[#This Row],[Cant Embarcada]]</f>
        <v>0</v>
      </c>
      <c r="S829" s="1">
        <f>+IF(Tabla__192.168.1.8_POSEIDONSQL_APPFVT_01_tbl_detalle_fill_rate[[#This Row],[Pend Emb]]&gt;0,1,0)</f>
        <v>0</v>
      </c>
      <c r="T8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0" spans="1:20" x14ac:dyDescent="0.25">
      <c r="A830">
        <v>3</v>
      </c>
      <c r="B830" t="s">
        <v>50</v>
      </c>
      <c r="C830">
        <v>50051451</v>
      </c>
      <c r="D830" s="48">
        <v>43339</v>
      </c>
      <c r="E830" s="48">
        <v>43336</v>
      </c>
      <c r="F830" s="48">
        <v>43348</v>
      </c>
      <c r="G830" t="s">
        <v>92</v>
      </c>
      <c r="H830" t="s">
        <v>93</v>
      </c>
      <c r="I830">
        <v>1</v>
      </c>
      <c r="J830" t="s">
        <v>1572</v>
      </c>
      <c r="K830">
        <v>1</v>
      </c>
      <c r="L830">
        <v>1</v>
      </c>
      <c r="M830" t="s">
        <v>1977</v>
      </c>
      <c r="N830">
        <v>0</v>
      </c>
      <c r="O830" s="1">
        <f>+Tabla__192.168.1.8_POSEIDONSQL_APPFVT_01_tbl_detalle_fill_rate[[#This Row],[emb_cantidad]]-Tabla__192.168.1.8_POSEIDONSQL_APPFVT_01_tbl_detalle_fill_rate[[#This Row],[dev_cantidad]]</f>
        <v>1</v>
      </c>
      <c r="P8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0" s="1">
        <f>+Tabla__192.168.1.8_POSEIDONSQL_APPFVT_01_tbl_detalle_fill_rate[[#This Row],[Cumpl Real Unds]]-Tabla__192.168.1.8_POSEIDONSQL_APPFVT_01_tbl_detalle_fill_rate[[#This Row],[Cant Embarcada]]</f>
        <v>0</v>
      </c>
      <c r="S830" s="1">
        <f>+IF(Tabla__192.168.1.8_POSEIDONSQL_APPFVT_01_tbl_detalle_fill_rate[[#This Row],[Pend Emb]]&gt;0,1,0)</f>
        <v>0</v>
      </c>
      <c r="T8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1" spans="1:20" x14ac:dyDescent="0.25">
      <c r="A831">
        <v>3</v>
      </c>
      <c r="B831" t="s">
        <v>50</v>
      </c>
      <c r="C831">
        <v>50051451</v>
      </c>
      <c r="D831" s="48">
        <v>43339</v>
      </c>
      <c r="E831" s="48">
        <v>43336</v>
      </c>
      <c r="F831" s="48">
        <v>43349</v>
      </c>
      <c r="G831" t="s">
        <v>92</v>
      </c>
      <c r="H831" t="s">
        <v>93</v>
      </c>
      <c r="I831">
        <v>1</v>
      </c>
      <c r="J831" t="s">
        <v>1140</v>
      </c>
      <c r="K831">
        <v>1</v>
      </c>
      <c r="L831">
        <v>1</v>
      </c>
      <c r="M831" t="s">
        <v>162</v>
      </c>
      <c r="N831">
        <v>0</v>
      </c>
      <c r="O831" s="1">
        <f>+Tabla__192.168.1.8_POSEIDONSQL_APPFVT_01_tbl_detalle_fill_rate[[#This Row],[emb_cantidad]]-Tabla__192.168.1.8_POSEIDONSQL_APPFVT_01_tbl_detalle_fill_rate[[#This Row],[dev_cantidad]]</f>
        <v>1</v>
      </c>
      <c r="P8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1" s="1">
        <f>+Tabla__192.168.1.8_POSEIDONSQL_APPFVT_01_tbl_detalle_fill_rate[[#This Row],[Cumpl Real Unds]]-Tabla__192.168.1.8_POSEIDONSQL_APPFVT_01_tbl_detalle_fill_rate[[#This Row],[Cant Embarcada]]</f>
        <v>0</v>
      </c>
      <c r="S831" s="1">
        <f>+IF(Tabla__192.168.1.8_POSEIDONSQL_APPFVT_01_tbl_detalle_fill_rate[[#This Row],[Pend Emb]]&gt;0,1,0)</f>
        <v>0</v>
      </c>
      <c r="T8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2" spans="1:20" x14ac:dyDescent="0.25">
      <c r="A832">
        <v>3</v>
      </c>
      <c r="B832" t="s">
        <v>50</v>
      </c>
      <c r="C832">
        <v>50051451</v>
      </c>
      <c r="D832" s="48">
        <v>43339</v>
      </c>
      <c r="E832" s="48">
        <v>43336</v>
      </c>
      <c r="F832" s="48">
        <v>43346</v>
      </c>
      <c r="G832" t="s">
        <v>114</v>
      </c>
      <c r="H832" t="s">
        <v>115</v>
      </c>
      <c r="I832">
        <v>1</v>
      </c>
      <c r="J832" t="s">
        <v>1430</v>
      </c>
      <c r="K832">
        <v>2</v>
      </c>
      <c r="L832">
        <v>2</v>
      </c>
      <c r="M832" t="s">
        <v>162</v>
      </c>
      <c r="N832">
        <v>1</v>
      </c>
      <c r="O832" s="1">
        <f>+Tabla__192.168.1.8_POSEIDONSQL_APPFVT_01_tbl_detalle_fill_rate[[#This Row],[emb_cantidad]]-Tabla__192.168.1.8_POSEIDONSQL_APPFVT_01_tbl_detalle_fill_rate[[#This Row],[dev_cantidad]]</f>
        <v>1</v>
      </c>
      <c r="P8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2" s="1">
        <f>+Tabla__192.168.1.8_POSEIDONSQL_APPFVT_01_tbl_detalle_fill_rate[[#This Row],[Cumpl Real Unds]]-Tabla__192.168.1.8_POSEIDONSQL_APPFVT_01_tbl_detalle_fill_rate[[#This Row],[Cant Embarcada]]</f>
        <v>0</v>
      </c>
      <c r="S832" s="1">
        <f>+IF(Tabla__192.168.1.8_POSEIDONSQL_APPFVT_01_tbl_detalle_fill_rate[[#This Row],[Pend Emb]]&gt;0,1,0)</f>
        <v>0</v>
      </c>
      <c r="T8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3" spans="1:20" x14ac:dyDescent="0.25">
      <c r="A833">
        <v>3</v>
      </c>
      <c r="B833" t="s">
        <v>50</v>
      </c>
      <c r="C833">
        <v>50051497</v>
      </c>
      <c r="D833" s="48">
        <v>43339</v>
      </c>
      <c r="E833" s="48">
        <v>43337</v>
      </c>
      <c r="F833" s="48">
        <v>43351</v>
      </c>
      <c r="G833" t="s">
        <v>86</v>
      </c>
      <c r="H833" t="s">
        <v>87</v>
      </c>
      <c r="I833">
        <v>1</v>
      </c>
      <c r="J833" t="s">
        <v>1141</v>
      </c>
      <c r="K833">
        <v>1</v>
      </c>
      <c r="L833">
        <v>1</v>
      </c>
      <c r="M833" t="s">
        <v>162</v>
      </c>
      <c r="N833">
        <v>0</v>
      </c>
      <c r="O833" s="1">
        <f>+Tabla__192.168.1.8_POSEIDONSQL_APPFVT_01_tbl_detalle_fill_rate[[#This Row],[emb_cantidad]]-Tabla__192.168.1.8_POSEIDONSQL_APPFVT_01_tbl_detalle_fill_rate[[#This Row],[dev_cantidad]]</f>
        <v>1</v>
      </c>
      <c r="P8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3" s="1">
        <f>+Tabla__192.168.1.8_POSEIDONSQL_APPFVT_01_tbl_detalle_fill_rate[[#This Row],[Cumpl Real Unds]]-Tabla__192.168.1.8_POSEIDONSQL_APPFVT_01_tbl_detalle_fill_rate[[#This Row],[Cant Embarcada]]</f>
        <v>0</v>
      </c>
      <c r="S833" s="1">
        <f>+IF(Tabla__192.168.1.8_POSEIDONSQL_APPFVT_01_tbl_detalle_fill_rate[[#This Row],[Pend Emb]]&gt;0,1,0)</f>
        <v>0</v>
      </c>
      <c r="T8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4" spans="1:20" x14ac:dyDescent="0.25">
      <c r="A834">
        <v>3</v>
      </c>
      <c r="B834" t="s">
        <v>50</v>
      </c>
      <c r="C834">
        <v>50051498</v>
      </c>
      <c r="D834" s="48">
        <v>43339</v>
      </c>
      <c r="E834" s="48">
        <v>43337</v>
      </c>
      <c r="F834" s="48">
        <v>43348</v>
      </c>
      <c r="G834" t="s">
        <v>92</v>
      </c>
      <c r="H834" t="s">
        <v>93</v>
      </c>
      <c r="I834">
        <v>1</v>
      </c>
      <c r="J834" t="s">
        <v>1414</v>
      </c>
      <c r="K834">
        <v>1</v>
      </c>
      <c r="L834">
        <v>1</v>
      </c>
      <c r="M834" t="s">
        <v>1977</v>
      </c>
      <c r="N834">
        <v>1</v>
      </c>
      <c r="O834" s="1">
        <f>+Tabla__192.168.1.8_POSEIDONSQL_APPFVT_01_tbl_detalle_fill_rate[[#This Row],[emb_cantidad]]-Tabla__192.168.1.8_POSEIDONSQL_APPFVT_01_tbl_detalle_fill_rate[[#This Row],[dev_cantidad]]</f>
        <v>0</v>
      </c>
      <c r="P8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834" s="1">
        <f>+Tabla__192.168.1.8_POSEIDONSQL_APPFVT_01_tbl_detalle_fill_rate[[#This Row],[Cumpl Real Unds]]-Tabla__192.168.1.8_POSEIDONSQL_APPFVT_01_tbl_detalle_fill_rate[[#This Row],[Cant Embarcada]]</f>
        <v>0</v>
      </c>
      <c r="S834" s="1">
        <f>+IF(Tabla__192.168.1.8_POSEIDONSQL_APPFVT_01_tbl_detalle_fill_rate[[#This Row],[Pend Emb]]&gt;0,1,0)</f>
        <v>0</v>
      </c>
      <c r="T8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5" spans="1:20" x14ac:dyDescent="0.25">
      <c r="A835">
        <v>3</v>
      </c>
      <c r="B835" t="s">
        <v>50</v>
      </c>
      <c r="C835">
        <v>50051498</v>
      </c>
      <c r="D835" s="48">
        <v>43339</v>
      </c>
      <c r="E835" s="48">
        <v>43337</v>
      </c>
      <c r="F835" s="48">
        <v>43346</v>
      </c>
      <c r="G835" t="s">
        <v>92</v>
      </c>
      <c r="H835" t="s">
        <v>93</v>
      </c>
      <c r="I835">
        <v>1</v>
      </c>
      <c r="J835" t="s">
        <v>1410</v>
      </c>
      <c r="K835">
        <v>2</v>
      </c>
      <c r="L835">
        <v>2</v>
      </c>
      <c r="M835" t="s">
        <v>162</v>
      </c>
      <c r="N835">
        <v>0</v>
      </c>
      <c r="O835" s="1">
        <f>+Tabla__192.168.1.8_POSEIDONSQL_APPFVT_01_tbl_detalle_fill_rate[[#This Row],[emb_cantidad]]-Tabla__192.168.1.8_POSEIDONSQL_APPFVT_01_tbl_detalle_fill_rate[[#This Row],[dev_cantidad]]</f>
        <v>2</v>
      </c>
      <c r="P8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8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835" s="1">
        <f>+Tabla__192.168.1.8_POSEIDONSQL_APPFVT_01_tbl_detalle_fill_rate[[#This Row],[Cumpl Real Unds]]-Tabla__192.168.1.8_POSEIDONSQL_APPFVT_01_tbl_detalle_fill_rate[[#This Row],[Cant Embarcada]]</f>
        <v>1</v>
      </c>
      <c r="S835" s="1">
        <f>+IF(Tabla__192.168.1.8_POSEIDONSQL_APPFVT_01_tbl_detalle_fill_rate[[#This Row],[Pend Emb]]&gt;0,1,0)</f>
        <v>1</v>
      </c>
      <c r="T8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6" spans="1:20" x14ac:dyDescent="0.25">
      <c r="A836">
        <v>3</v>
      </c>
      <c r="B836" t="s">
        <v>50</v>
      </c>
      <c r="C836">
        <v>50051498</v>
      </c>
      <c r="D836" s="48">
        <v>43339</v>
      </c>
      <c r="E836" s="48">
        <v>43337</v>
      </c>
      <c r="F836" s="48">
        <v>43346</v>
      </c>
      <c r="G836" t="s">
        <v>92</v>
      </c>
      <c r="H836" t="s">
        <v>93</v>
      </c>
      <c r="I836">
        <v>1</v>
      </c>
      <c r="J836" t="s">
        <v>1411</v>
      </c>
      <c r="K836">
        <v>1</v>
      </c>
      <c r="L836">
        <v>1</v>
      </c>
      <c r="M836" t="s">
        <v>1977</v>
      </c>
      <c r="N836">
        <v>0</v>
      </c>
      <c r="O836" s="1">
        <f>+Tabla__192.168.1.8_POSEIDONSQL_APPFVT_01_tbl_detalle_fill_rate[[#This Row],[emb_cantidad]]-Tabla__192.168.1.8_POSEIDONSQL_APPFVT_01_tbl_detalle_fill_rate[[#This Row],[dev_cantidad]]</f>
        <v>1</v>
      </c>
      <c r="P8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6" s="1">
        <f>+Tabla__192.168.1.8_POSEIDONSQL_APPFVT_01_tbl_detalle_fill_rate[[#This Row],[Cumpl Real Unds]]-Tabla__192.168.1.8_POSEIDONSQL_APPFVT_01_tbl_detalle_fill_rate[[#This Row],[Cant Embarcada]]</f>
        <v>0</v>
      </c>
      <c r="S836" s="1">
        <f>+IF(Tabla__192.168.1.8_POSEIDONSQL_APPFVT_01_tbl_detalle_fill_rate[[#This Row],[Pend Emb]]&gt;0,1,0)</f>
        <v>0</v>
      </c>
      <c r="T8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7" spans="1:20" x14ac:dyDescent="0.25">
      <c r="A837">
        <v>3</v>
      </c>
      <c r="B837" t="s">
        <v>50</v>
      </c>
      <c r="C837">
        <v>50051498</v>
      </c>
      <c r="D837" s="48">
        <v>43339</v>
      </c>
      <c r="E837" s="48">
        <v>43337</v>
      </c>
      <c r="F837" s="48">
        <v>43348</v>
      </c>
      <c r="G837" t="s">
        <v>104</v>
      </c>
      <c r="H837" t="s">
        <v>105</v>
      </c>
      <c r="I837">
        <v>1</v>
      </c>
      <c r="J837" t="s">
        <v>1415</v>
      </c>
      <c r="K837">
        <v>1</v>
      </c>
      <c r="L837">
        <v>1</v>
      </c>
      <c r="M837" t="s">
        <v>1977</v>
      </c>
      <c r="N837">
        <v>0</v>
      </c>
      <c r="O837" s="1">
        <f>+Tabla__192.168.1.8_POSEIDONSQL_APPFVT_01_tbl_detalle_fill_rate[[#This Row],[emb_cantidad]]-Tabla__192.168.1.8_POSEIDONSQL_APPFVT_01_tbl_detalle_fill_rate[[#This Row],[dev_cantidad]]</f>
        <v>1</v>
      </c>
      <c r="P8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7" s="1">
        <f>+Tabla__192.168.1.8_POSEIDONSQL_APPFVT_01_tbl_detalle_fill_rate[[#This Row],[Cumpl Real Unds]]-Tabla__192.168.1.8_POSEIDONSQL_APPFVT_01_tbl_detalle_fill_rate[[#This Row],[Cant Embarcada]]</f>
        <v>0</v>
      </c>
      <c r="S837" s="1">
        <f>+IF(Tabla__192.168.1.8_POSEIDONSQL_APPFVT_01_tbl_detalle_fill_rate[[#This Row],[Pend Emb]]&gt;0,1,0)</f>
        <v>0</v>
      </c>
      <c r="T8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8" spans="1:20" x14ac:dyDescent="0.25">
      <c r="A838">
        <v>3</v>
      </c>
      <c r="B838" t="s">
        <v>50</v>
      </c>
      <c r="C838">
        <v>50051498</v>
      </c>
      <c r="D838" s="48">
        <v>43339</v>
      </c>
      <c r="E838" s="48">
        <v>43337</v>
      </c>
      <c r="F838" s="48">
        <v>43351</v>
      </c>
      <c r="G838" t="s">
        <v>104</v>
      </c>
      <c r="H838" t="s">
        <v>105</v>
      </c>
      <c r="I838">
        <v>1</v>
      </c>
      <c r="J838" t="s">
        <v>1130</v>
      </c>
      <c r="K838">
        <v>1</v>
      </c>
      <c r="L838">
        <v>1</v>
      </c>
      <c r="M838" t="s">
        <v>162</v>
      </c>
      <c r="N838">
        <v>0</v>
      </c>
      <c r="O838" s="1">
        <f>+Tabla__192.168.1.8_POSEIDONSQL_APPFVT_01_tbl_detalle_fill_rate[[#This Row],[emb_cantidad]]-Tabla__192.168.1.8_POSEIDONSQL_APPFVT_01_tbl_detalle_fill_rate[[#This Row],[dev_cantidad]]</f>
        <v>1</v>
      </c>
      <c r="P8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8" s="1">
        <f>+Tabla__192.168.1.8_POSEIDONSQL_APPFVT_01_tbl_detalle_fill_rate[[#This Row],[Cumpl Real Unds]]-Tabla__192.168.1.8_POSEIDONSQL_APPFVT_01_tbl_detalle_fill_rate[[#This Row],[Cant Embarcada]]</f>
        <v>0</v>
      </c>
      <c r="S838" s="1">
        <f>+IF(Tabla__192.168.1.8_POSEIDONSQL_APPFVT_01_tbl_detalle_fill_rate[[#This Row],[Pend Emb]]&gt;0,1,0)</f>
        <v>0</v>
      </c>
      <c r="T8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39" spans="1:20" x14ac:dyDescent="0.25">
      <c r="A839">
        <v>3</v>
      </c>
      <c r="B839" t="s">
        <v>50</v>
      </c>
      <c r="C839">
        <v>50051498</v>
      </c>
      <c r="D839" s="48">
        <v>43339</v>
      </c>
      <c r="E839" s="48">
        <v>43337</v>
      </c>
      <c r="F839" s="48">
        <v>43346</v>
      </c>
      <c r="G839" t="s">
        <v>199</v>
      </c>
      <c r="H839" t="s">
        <v>200</v>
      </c>
      <c r="I839">
        <v>1</v>
      </c>
      <c r="J839" t="s">
        <v>1412</v>
      </c>
      <c r="K839">
        <v>1</v>
      </c>
      <c r="L839">
        <v>1</v>
      </c>
      <c r="M839" t="s">
        <v>1977</v>
      </c>
      <c r="N839">
        <v>0</v>
      </c>
      <c r="O839" s="1">
        <f>+Tabla__192.168.1.8_POSEIDONSQL_APPFVT_01_tbl_detalle_fill_rate[[#This Row],[emb_cantidad]]-Tabla__192.168.1.8_POSEIDONSQL_APPFVT_01_tbl_detalle_fill_rate[[#This Row],[dev_cantidad]]</f>
        <v>1</v>
      </c>
      <c r="P8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39" s="1">
        <f>+Tabla__192.168.1.8_POSEIDONSQL_APPFVT_01_tbl_detalle_fill_rate[[#This Row],[Cumpl Real Unds]]-Tabla__192.168.1.8_POSEIDONSQL_APPFVT_01_tbl_detalle_fill_rate[[#This Row],[Cant Embarcada]]</f>
        <v>0</v>
      </c>
      <c r="S839" s="1">
        <f>+IF(Tabla__192.168.1.8_POSEIDONSQL_APPFVT_01_tbl_detalle_fill_rate[[#This Row],[Pend Emb]]&gt;0,1,0)</f>
        <v>0</v>
      </c>
      <c r="T8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0" spans="1:20" x14ac:dyDescent="0.25">
      <c r="A840">
        <v>3</v>
      </c>
      <c r="B840" t="s">
        <v>50</v>
      </c>
      <c r="C840">
        <v>50051498</v>
      </c>
      <c r="D840" s="48">
        <v>43339</v>
      </c>
      <c r="E840" s="48">
        <v>43337</v>
      </c>
      <c r="F840" s="48">
        <v>43365</v>
      </c>
      <c r="G840" t="s">
        <v>132</v>
      </c>
      <c r="H840" t="s">
        <v>133</v>
      </c>
      <c r="I840">
        <v>1</v>
      </c>
      <c r="J840" t="s">
        <v>1131</v>
      </c>
      <c r="K840">
        <v>1</v>
      </c>
      <c r="L840">
        <v>1</v>
      </c>
      <c r="M840" t="s">
        <v>162</v>
      </c>
      <c r="N840">
        <v>0</v>
      </c>
      <c r="O840" s="1">
        <f>+Tabla__192.168.1.8_POSEIDONSQL_APPFVT_01_tbl_detalle_fill_rate[[#This Row],[emb_cantidad]]-Tabla__192.168.1.8_POSEIDONSQL_APPFVT_01_tbl_detalle_fill_rate[[#This Row],[dev_cantidad]]</f>
        <v>1</v>
      </c>
      <c r="P8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0" s="1">
        <f>+Tabla__192.168.1.8_POSEIDONSQL_APPFVT_01_tbl_detalle_fill_rate[[#This Row],[Cumpl Real Unds]]-Tabla__192.168.1.8_POSEIDONSQL_APPFVT_01_tbl_detalle_fill_rate[[#This Row],[Cant Embarcada]]</f>
        <v>0</v>
      </c>
      <c r="S840" s="1">
        <f>+IF(Tabla__192.168.1.8_POSEIDONSQL_APPFVT_01_tbl_detalle_fill_rate[[#This Row],[Pend Emb]]&gt;0,1,0)</f>
        <v>0</v>
      </c>
      <c r="T8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1" spans="1:20" x14ac:dyDescent="0.25">
      <c r="A841">
        <v>3</v>
      </c>
      <c r="B841" t="s">
        <v>50</v>
      </c>
      <c r="C841">
        <v>50051498</v>
      </c>
      <c r="D841" s="48">
        <v>43339</v>
      </c>
      <c r="E841" s="48">
        <v>43337</v>
      </c>
      <c r="F841" s="48">
        <v>43346</v>
      </c>
      <c r="G841" t="s">
        <v>134</v>
      </c>
      <c r="H841" t="s">
        <v>135</v>
      </c>
      <c r="I841">
        <v>1</v>
      </c>
      <c r="J841" t="s">
        <v>1413</v>
      </c>
      <c r="K841">
        <v>1</v>
      </c>
      <c r="L841">
        <v>1</v>
      </c>
      <c r="M841" t="s">
        <v>1977</v>
      </c>
      <c r="N841">
        <v>0</v>
      </c>
      <c r="O841" s="1">
        <f>+Tabla__192.168.1.8_POSEIDONSQL_APPFVT_01_tbl_detalle_fill_rate[[#This Row],[emb_cantidad]]-Tabla__192.168.1.8_POSEIDONSQL_APPFVT_01_tbl_detalle_fill_rate[[#This Row],[dev_cantidad]]</f>
        <v>1</v>
      </c>
      <c r="P8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1" s="1">
        <f>+Tabla__192.168.1.8_POSEIDONSQL_APPFVT_01_tbl_detalle_fill_rate[[#This Row],[Cumpl Real Unds]]-Tabla__192.168.1.8_POSEIDONSQL_APPFVT_01_tbl_detalle_fill_rate[[#This Row],[Cant Embarcada]]</f>
        <v>0</v>
      </c>
      <c r="S841" s="1">
        <f>+IF(Tabla__192.168.1.8_POSEIDONSQL_APPFVT_01_tbl_detalle_fill_rate[[#This Row],[Pend Emb]]&gt;0,1,0)</f>
        <v>0</v>
      </c>
      <c r="T8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2" spans="1:20" x14ac:dyDescent="0.25">
      <c r="A842">
        <v>3</v>
      </c>
      <c r="B842" t="s">
        <v>50</v>
      </c>
      <c r="C842">
        <v>50051549</v>
      </c>
      <c r="D842" s="48">
        <v>43339</v>
      </c>
      <c r="E842" s="48">
        <v>43338</v>
      </c>
      <c r="F842" s="48">
        <v>43347</v>
      </c>
      <c r="G842" t="s">
        <v>92</v>
      </c>
      <c r="H842" t="s">
        <v>93</v>
      </c>
      <c r="I842">
        <v>1</v>
      </c>
      <c r="J842" t="s">
        <v>1416</v>
      </c>
      <c r="K842">
        <v>1</v>
      </c>
      <c r="L842">
        <v>1</v>
      </c>
      <c r="M842" t="s">
        <v>1977</v>
      </c>
      <c r="N842">
        <v>0</v>
      </c>
      <c r="O842" s="1">
        <f>+Tabla__192.168.1.8_POSEIDONSQL_APPFVT_01_tbl_detalle_fill_rate[[#This Row],[emb_cantidad]]-Tabla__192.168.1.8_POSEIDONSQL_APPFVT_01_tbl_detalle_fill_rate[[#This Row],[dev_cantidad]]</f>
        <v>1</v>
      </c>
      <c r="P8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2" s="1">
        <f>+Tabla__192.168.1.8_POSEIDONSQL_APPFVT_01_tbl_detalle_fill_rate[[#This Row],[Cumpl Real Unds]]-Tabla__192.168.1.8_POSEIDONSQL_APPFVT_01_tbl_detalle_fill_rate[[#This Row],[Cant Embarcada]]</f>
        <v>0</v>
      </c>
      <c r="S842" s="1">
        <f>+IF(Tabla__192.168.1.8_POSEIDONSQL_APPFVT_01_tbl_detalle_fill_rate[[#This Row],[Pend Emb]]&gt;0,1,0)</f>
        <v>0</v>
      </c>
      <c r="T8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3" spans="1:20" x14ac:dyDescent="0.25">
      <c r="A843">
        <v>3</v>
      </c>
      <c r="B843" t="s">
        <v>50</v>
      </c>
      <c r="C843">
        <v>50051549</v>
      </c>
      <c r="D843" s="48">
        <v>43339</v>
      </c>
      <c r="E843" s="48">
        <v>43338</v>
      </c>
      <c r="F843" s="48">
        <v>43347</v>
      </c>
      <c r="G843" t="s">
        <v>622</v>
      </c>
      <c r="H843" t="s">
        <v>623</v>
      </c>
      <c r="I843">
        <v>1</v>
      </c>
      <c r="J843" t="s">
        <v>1417</v>
      </c>
      <c r="K843">
        <v>1</v>
      </c>
      <c r="L843">
        <v>1</v>
      </c>
      <c r="M843" t="s">
        <v>1977</v>
      </c>
      <c r="N843">
        <v>0</v>
      </c>
      <c r="O843" s="1">
        <f>+Tabla__192.168.1.8_POSEIDONSQL_APPFVT_01_tbl_detalle_fill_rate[[#This Row],[emb_cantidad]]-Tabla__192.168.1.8_POSEIDONSQL_APPFVT_01_tbl_detalle_fill_rate[[#This Row],[dev_cantidad]]</f>
        <v>1</v>
      </c>
      <c r="P8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3" s="1">
        <f>+Tabla__192.168.1.8_POSEIDONSQL_APPFVT_01_tbl_detalle_fill_rate[[#This Row],[Cumpl Real Unds]]-Tabla__192.168.1.8_POSEIDONSQL_APPFVT_01_tbl_detalle_fill_rate[[#This Row],[Cant Embarcada]]</f>
        <v>0</v>
      </c>
      <c r="S843" s="1">
        <f>+IF(Tabla__192.168.1.8_POSEIDONSQL_APPFVT_01_tbl_detalle_fill_rate[[#This Row],[Pend Emb]]&gt;0,1,0)</f>
        <v>0</v>
      </c>
      <c r="T8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4" spans="1:20" x14ac:dyDescent="0.25">
      <c r="A844">
        <v>3</v>
      </c>
      <c r="B844" t="s">
        <v>50</v>
      </c>
      <c r="C844">
        <v>50051550</v>
      </c>
      <c r="D844" s="48">
        <v>43339</v>
      </c>
      <c r="E844" s="48">
        <v>43338</v>
      </c>
      <c r="F844" s="48">
        <v>43347</v>
      </c>
      <c r="G844" t="s">
        <v>84</v>
      </c>
      <c r="H844" t="s">
        <v>85</v>
      </c>
      <c r="I844">
        <v>1</v>
      </c>
      <c r="J844" t="s">
        <v>1565</v>
      </c>
      <c r="K844">
        <v>1</v>
      </c>
      <c r="L844">
        <v>1</v>
      </c>
      <c r="M844" t="s">
        <v>1977</v>
      </c>
      <c r="N844">
        <v>0</v>
      </c>
      <c r="O844" s="1">
        <f>+Tabla__192.168.1.8_POSEIDONSQL_APPFVT_01_tbl_detalle_fill_rate[[#This Row],[emb_cantidad]]-Tabla__192.168.1.8_POSEIDONSQL_APPFVT_01_tbl_detalle_fill_rate[[#This Row],[dev_cantidad]]</f>
        <v>1</v>
      </c>
      <c r="P8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4" s="1">
        <f>+Tabla__192.168.1.8_POSEIDONSQL_APPFVT_01_tbl_detalle_fill_rate[[#This Row],[Cumpl Real Unds]]-Tabla__192.168.1.8_POSEIDONSQL_APPFVT_01_tbl_detalle_fill_rate[[#This Row],[Cant Embarcada]]</f>
        <v>0</v>
      </c>
      <c r="S844" s="1">
        <f>+IF(Tabla__192.168.1.8_POSEIDONSQL_APPFVT_01_tbl_detalle_fill_rate[[#This Row],[Pend Emb]]&gt;0,1,0)</f>
        <v>0</v>
      </c>
      <c r="T8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5" spans="1:20" x14ac:dyDescent="0.25">
      <c r="A845">
        <v>3</v>
      </c>
      <c r="B845" t="s">
        <v>50</v>
      </c>
      <c r="C845">
        <v>50051550</v>
      </c>
      <c r="D845" s="48">
        <v>43339</v>
      </c>
      <c r="E845" s="48">
        <v>43338</v>
      </c>
      <c r="F845" s="48">
        <v>43350</v>
      </c>
      <c r="G845" t="s">
        <v>132</v>
      </c>
      <c r="H845" t="s">
        <v>133</v>
      </c>
      <c r="I845">
        <v>1</v>
      </c>
      <c r="J845" t="s">
        <v>1132</v>
      </c>
      <c r="K845">
        <v>1</v>
      </c>
      <c r="L845">
        <v>1</v>
      </c>
      <c r="M845" t="s">
        <v>162</v>
      </c>
      <c r="N845">
        <v>0</v>
      </c>
      <c r="O845" s="1">
        <f>+Tabla__192.168.1.8_POSEIDONSQL_APPFVT_01_tbl_detalle_fill_rate[[#This Row],[emb_cantidad]]-Tabla__192.168.1.8_POSEIDONSQL_APPFVT_01_tbl_detalle_fill_rate[[#This Row],[dev_cantidad]]</f>
        <v>1</v>
      </c>
      <c r="P8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5" s="1">
        <f>+Tabla__192.168.1.8_POSEIDONSQL_APPFVT_01_tbl_detalle_fill_rate[[#This Row],[Cumpl Real Unds]]-Tabla__192.168.1.8_POSEIDONSQL_APPFVT_01_tbl_detalle_fill_rate[[#This Row],[Cant Embarcada]]</f>
        <v>0</v>
      </c>
      <c r="S845" s="1">
        <f>+IF(Tabla__192.168.1.8_POSEIDONSQL_APPFVT_01_tbl_detalle_fill_rate[[#This Row],[Pend Emb]]&gt;0,1,0)</f>
        <v>0</v>
      </c>
      <c r="T8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6" spans="1:20" x14ac:dyDescent="0.25">
      <c r="A846">
        <v>3</v>
      </c>
      <c r="B846" t="s">
        <v>50</v>
      </c>
      <c r="C846">
        <v>50051596</v>
      </c>
      <c r="D846" s="48">
        <v>43340</v>
      </c>
      <c r="E846" s="48">
        <v>43339</v>
      </c>
      <c r="F846" s="48">
        <v>43349</v>
      </c>
      <c r="G846" t="s">
        <v>84</v>
      </c>
      <c r="H846" t="s">
        <v>85</v>
      </c>
      <c r="I846">
        <v>1</v>
      </c>
      <c r="J846" t="s">
        <v>1134</v>
      </c>
      <c r="K846">
        <v>1</v>
      </c>
      <c r="L846">
        <v>1</v>
      </c>
      <c r="M846" t="s">
        <v>162</v>
      </c>
      <c r="N846">
        <v>0</v>
      </c>
      <c r="O846" s="1">
        <f>+Tabla__192.168.1.8_POSEIDONSQL_APPFVT_01_tbl_detalle_fill_rate[[#This Row],[emb_cantidad]]-Tabla__192.168.1.8_POSEIDONSQL_APPFVT_01_tbl_detalle_fill_rate[[#This Row],[dev_cantidad]]</f>
        <v>1</v>
      </c>
      <c r="P8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6" s="1">
        <f>+Tabla__192.168.1.8_POSEIDONSQL_APPFVT_01_tbl_detalle_fill_rate[[#This Row],[Cumpl Real Unds]]-Tabla__192.168.1.8_POSEIDONSQL_APPFVT_01_tbl_detalle_fill_rate[[#This Row],[Cant Embarcada]]</f>
        <v>0</v>
      </c>
      <c r="S846" s="1">
        <f>+IF(Tabla__192.168.1.8_POSEIDONSQL_APPFVT_01_tbl_detalle_fill_rate[[#This Row],[Pend Emb]]&gt;0,1,0)</f>
        <v>0</v>
      </c>
      <c r="T8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7" spans="1:20" x14ac:dyDescent="0.25">
      <c r="A847">
        <v>3</v>
      </c>
      <c r="B847" t="s">
        <v>50</v>
      </c>
      <c r="C847">
        <v>50051596</v>
      </c>
      <c r="D847" s="48">
        <v>43340</v>
      </c>
      <c r="E847" s="48">
        <v>43339</v>
      </c>
      <c r="F847" s="48">
        <v>43349</v>
      </c>
      <c r="G847" t="s">
        <v>92</v>
      </c>
      <c r="H847" t="s">
        <v>93</v>
      </c>
      <c r="I847">
        <v>1</v>
      </c>
      <c r="J847" t="s">
        <v>1133</v>
      </c>
      <c r="K847">
        <v>1</v>
      </c>
      <c r="L847">
        <v>1</v>
      </c>
      <c r="M847" t="s">
        <v>162</v>
      </c>
      <c r="N847">
        <v>0</v>
      </c>
      <c r="O847" s="1">
        <f>+Tabla__192.168.1.8_POSEIDONSQL_APPFVT_01_tbl_detalle_fill_rate[[#This Row],[emb_cantidad]]-Tabla__192.168.1.8_POSEIDONSQL_APPFVT_01_tbl_detalle_fill_rate[[#This Row],[dev_cantidad]]</f>
        <v>1</v>
      </c>
      <c r="P8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7" s="1">
        <f>+Tabla__192.168.1.8_POSEIDONSQL_APPFVT_01_tbl_detalle_fill_rate[[#This Row],[Cumpl Real Unds]]-Tabla__192.168.1.8_POSEIDONSQL_APPFVT_01_tbl_detalle_fill_rate[[#This Row],[Cant Embarcada]]</f>
        <v>0</v>
      </c>
      <c r="S847" s="1">
        <f>+IF(Tabla__192.168.1.8_POSEIDONSQL_APPFVT_01_tbl_detalle_fill_rate[[#This Row],[Pend Emb]]&gt;0,1,0)</f>
        <v>0</v>
      </c>
      <c r="T8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8" spans="1:20" x14ac:dyDescent="0.25">
      <c r="A848">
        <v>3</v>
      </c>
      <c r="B848" t="s">
        <v>50</v>
      </c>
      <c r="C848">
        <v>50051596</v>
      </c>
      <c r="D848" s="48">
        <v>43340</v>
      </c>
      <c r="E848" s="48">
        <v>43339</v>
      </c>
      <c r="F848" s="48">
        <v>43349</v>
      </c>
      <c r="G848" t="s">
        <v>92</v>
      </c>
      <c r="H848" t="s">
        <v>93</v>
      </c>
      <c r="I848">
        <v>1</v>
      </c>
      <c r="J848" t="s">
        <v>1135</v>
      </c>
      <c r="K848">
        <v>1</v>
      </c>
      <c r="L848">
        <v>1</v>
      </c>
      <c r="M848" t="s">
        <v>162</v>
      </c>
      <c r="N848">
        <v>0</v>
      </c>
      <c r="O848" s="1">
        <f>+Tabla__192.168.1.8_POSEIDONSQL_APPFVT_01_tbl_detalle_fill_rate[[#This Row],[emb_cantidad]]-Tabla__192.168.1.8_POSEIDONSQL_APPFVT_01_tbl_detalle_fill_rate[[#This Row],[dev_cantidad]]</f>
        <v>1</v>
      </c>
      <c r="P8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8" s="1">
        <f>+Tabla__192.168.1.8_POSEIDONSQL_APPFVT_01_tbl_detalle_fill_rate[[#This Row],[Cumpl Real Unds]]-Tabla__192.168.1.8_POSEIDONSQL_APPFVT_01_tbl_detalle_fill_rate[[#This Row],[Cant Embarcada]]</f>
        <v>0</v>
      </c>
      <c r="S848" s="1">
        <f>+IF(Tabla__192.168.1.8_POSEIDONSQL_APPFVT_01_tbl_detalle_fill_rate[[#This Row],[Pend Emb]]&gt;0,1,0)</f>
        <v>0</v>
      </c>
      <c r="T8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49" spans="1:20" x14ac:dyDescent="0.25">
      <c r="A849">
        <v>3</v>
      </c>
      <c r="B849" t="s">
        <v>50</v>
      </c>
      <c r="C849">
        <v>50051597</v>
      </c>
      <c r="D849" s="48">
        <v>43340</v>
      </c>
      <c r="E849" s="48">
        <v>43339</v>
      </c>
      <c r="F849" s="48">
        <v>43349</v>
      </c>
      <c r="G849" t="s">
        <v>92</v>
      </c>
      <c r="H849" t="s">
        <v>93</v>
      </c>
      <c r="I849">
        <v>1</v>
      </c>
      <c r="J849" t="s">
        <v>1136</v>
      </c>
      <c r="K849">
        <v>1</v>
      </c>
      <c r="L849">
        <v>1</v>
      </c>
      <c r="M849" t="s">
        <v>162</v>
      </c>
      <c r="N849">
        <v>0</v>
      </c>
      <c r="O849" s="1">
        <f>+Tabla__192.168.1.8_POSEIDONSQL_APPFVT_01_tbl_detalle_fill_rate[[#This Row],[emb_cantidad]]-Tabla__192.168.1.8_POSEIDONSQL_APPFVT_01_tbl_detalle_fill_rate[[#This Row],[dev_cantidad]]</f>
        <v>1</v>
      </c>
      <c r="P8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49" s="1">
        <f>+Tabla__192.168.1.8_POSEIDONSQL_APPFVT_01_tbl_detalle_fill_rate[[#This Row],[Cumpl Real Unds]]-Tabla__192.168.1.8_POSEIDONSQL_APPFVT_01_tbl_detalle_fill_rate[[#This Row],[Cant Embarcada]]</f>
        <v>0</v>
      </c>
      <c r="S849" s="1">
        <f>+IF(Tabla__192.168.1.8_POSEIDONSQL_APPFVT_01_tbl_detalle_fill_rate[[#This Row],[Pend Emb]]&gt;0,1,0)</f>
        <v>0</v>
      </c>
      <c r="T8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0" spans="1:20" x14ac:dyDescent="0.25">
      <c r="A850">
        <v>3</v>
      </c>
      <c r="B850" t="s">
        <v>50</v>
      </c>
      <c r="C850">
        <v>50051597</v>
      </c>
      <c r="D850" s="48">
        <v>43340</v>
      </c>
      <c r="E850" s="48">
        <v>43339</v>
      </c>
      <c r="F850" s="48">
        <v>43349</v>
      </c>
      <c r="G850" t="s">
        <v>134</v>
      </c>
      <c r="H850" t="s">
        <v>135</v>
      </c>
      <c r="I850">
        <v>1</v>
      </c>
      <c r="J850" t="s">
        <v>1137</v>
      </c>
      <c r="K850">
        <v>1</v>
      </c>
      <c r="L850">
        <v>1</v>
      </c>
      <c r="M850" t="s">
        <v>162</v>
      </c>
      <c r="N850">
        <v>0</v>
      </c>
      <c r="O850" s="1">
        <f>+Tabla__192.168.1.8_POSEIDONSQL_APPFVT_01_tbl_detalle_fill_rate[[#This Row],[emb_cantidad]]-Tabla__192.168.1.8_POSEIDONSQL_APPFVT_01_tbl_detalle_fill_rate[[#This Row],[dev_cantidad]]</f>
        <v>1</v>
      </c>
      <c r="P8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0" s="1">
        <f>+Tabla__192.168.1.8_POSEIDONSQL_APPFVT_01_tbl_detalle_fill_rate[[#This Row],[Cumpl Real Unds]]-Tabla__192.168.1.8_POSEIDONSQL_APPFVT_01_tbl_detalle_fill_rate[[#This Row],[Cant Embarcada]]</f>
        <v>0</v>
      </c>
      <c r="S850" s="1">
        <f>+IF(Tabla__192.168.1.8_POSEIDONSQL_APPFVT_01_tbl_detalle_fill_rate[[#This Row],[Pend Emb]]&gt;0,1,0)</f>
        <v>0</v>
      </c>
      <c r="T8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1" spans="1:20" x14ac:dyDescent="0.25">
      <c r="A851">
        <v>3</v>
      </c>
      <c r="B851" t="s">
        <v>50</v>
      </c>
      <c r="C851">
        <v>50051648</v>
      </c>
      <c r="D851" s="48">
        <v>43341</v>
      </c>
      <c r="E851" s="48">
        <v>43340</v>
      </c>
      <c r="F851" s="48">
        <v>43351</v>
      </c>
      <c r="G851" t="s">
        <v>134</v>
      </c>
      <c r="H851" t="s">
        <v>135</v>
      </c>
      <c r="I851">
        <v>1</v>
      </c>
      <c r="J851" t="s">
        <v>1138</v>
      </c>
      <c r="K851">
        <v>1</v>
      </c>
      <c r="L851">
        <v>1</v>
      </c>
      <c r="M851" t="s">
        <v>162</v>
      </c>
      <c r="N851">
        <v>0</v>
      </c>
      <c r="O851" s="1">
        <f>+Tabla__192.168.1.8_POSEIDONSQL_APPFVT_01_tbl_detalle_fill_rate[[#This Row],[emb_cantidad]]-Tabla__192.168.1.8_POSEIDONSQL_APPFVT_01_tbl_detalle_fill_rate[[#This Row],[dev_cantidad]]</f>
        <v>1</v>
      </c>
      <c r="P8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1" s="1">
        <f>+Tabla__192.168.1.8_POSEIDONSQL_APPFVT_01_tbl_detalle_fill_rate[[#This Row],[Cumpl Real Unds]]-Tabla__192.168.1.8_POSEIDONSQL_APPFVT_01_tbl_detalle_fill_rate[[#This Row],[Cant Embarcada]]</f>
        <v>0</v>
      </c>
      <c r="S851" s="1">
        <f>+IF(Tabla__192.168.1.8_POSEIDONSQL_APPFVT_01_tbl_detalle_fill_rate[[#This Row],[Pend Emb]]&gt;0,1,0)</f>
        <v>0</v>
      </c>
      <c r="T8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2" spans="1:20" x14ac:dyDescent="0.25">
      <c r="A852">
        <v>3</v>
      </c>
      <c r="B852" t="s">
        <v>50</v>
      </c>
      <c r="C852">
        <v>50051649</v>
      </c>
      <c r="D852" s="48">
        <v>43341</v>
      </c>
      <c r="E852" s="48">
        <v>43340</v>
      </c>
      <c r="F852" s="48">
        <v>43353</v>
      </c>
      <c r="G852" t="s">
        <v>92</v>
      </c>
      <c r="H852" t="s">
        <v>93</v>
      </c>
      <c r="I852">
        <v>1</v>
      </c>
      <c r="J852" t="s">
        <v>1127</v>
      </c>
      <c r="K852">
        <v>1</v>
      </c>
      <c r="L852">
        <v>1</v>
      </c>
      <c r="M852" t="s">
        <v>162</v>
      </c>
      <c r="N852">
        <v>0</v>
      </c>
      <c r="O852" s="1">
        <f>+Tabla__192.168.1.8_POSEIDONSQL_APPFVT_01_tbl_detalle_fill_rate[[#This Row],[emb_cantidad]]-Tabla__192.168.1.8_POSEIDONSQL_APPFVT_01_tbl_detalle_fill_rate[[#This Row],[dev_cantidad]]</f>
        <v>1</v>
      </c>
      <c r="P8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2" s="1">
        <f>+Tabla__192.168.1.8_POSEIDONSQL_APPFVT_01_tbl_detalle_fill_rate[[#This Row],[Cumpl Real Unds]]-Tabla__192.168.1.8_POSEIDONSQL_APPFVT_01_tbl_detalle_fill_rate[[#This Row],[Cant Embarcada]]</f>
        <v>0</v>
      </c>
      <c r="S852" s="1">
        <f>+IF(Tabla__192.168.1.8_POSEIDONSQL_APPFVT_01_tbl_detalle_fill_rate[[#This Row],[Pend Emb]]&gt;0,1,0)</f>
        <v>0</v>
      </c>
      <c r="T8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3" spans="1:20" x14ac:dyDescent="0.25">
      <c r="A853">
        <v>3</v>
      </c>
      <c r="B853" t="s">
        <v>50</v>
      </c>
      <c r="C853">
        <v>50051696</v>
      </c>
      <c r="D853" s="48">
        <v>43342</v>
      </c>
      <c r="E853" s="48">
        <v>43341</v>
      </c>
      <c r="F853" s="48">
        <v>43363</v>
      </c>
      <c r="G853" t="s">
        <v>104</v>
      </c>
      <c r="H853" t="s">
        <v>105</v>
      </c>
      <c r="I853">
        <v>1</v>
      </c>
      <c r="J853" t="s">
        <v>1128</v>
      </c>
      <c r="K853">
        <v>1</v>
      </c>
      <c r="L853">
        <v>1</v>
      </c>
      <c r="M853" t="s">
        <v>162</v>
      </c>
      <c r="N853">
        <v>0</v>
      </c>
      <c r="O853" s="1">
        <f>+Tabla__192.168.1.8_POSEIDONSQL_APPFVT_01_tbl_detalle_fill_rate[[#This Row],[emb_cantidad]]-Tabla__192.168.1.8_POSEIDONSQL_APPFVT_01_tbl_detalle_fill_rate[[#This Row],[dev_cantidad]]</f>
        <v>1</v>
      </c>
      <c r="P8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3" s="1">
        <f>+Tabla__192.168.1.8_POSEIDONSQL_APPFVT_01_tbl_detalle_fill_rate[[#This Row],[Cumpl Real Unds]]-Tabla__192.168.1.8_POSEIDONSQL_APPFVT_01_tbl_detalle_fill_rate[[#This Row],[Cant Embarcada]]</f>
        <v>0</v>
      </c>
      <c r="S853" s="1">
        <f>+IF(Tabla__192.168.1.8_POSEIDONSQL_APPFVT_01_tbl_detalle_fill_rate[[#This Row],[Pend Emb]]&gt;0,1,0)</f>
        <v>0</v>
      </c>
      <c r="T8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4" spans="1:20" x14ac:dyDescent="0.25">
      <c r="A854">
        <v>3</v>
      </c>
      <c r="B854" t="s">
        <v>50</v>
      </c>
      <c r="C854">
        <v>50051696</v>
      </c>
      <c r="D854" s="48">
        <v>43342</v>
      </c>
      <c r="E854" s="48">
        <v>43341</v>
      </c>
      <c r="F854" s="48">
        <v>43367</v>
      </c>
      <c r="G854" t="s">
        <v>134</v>
      </c>
      <c r="H854" t="s">
        <v>135</v>
      </c>
      <c r="I854">
        <v>1</v>
      </c>
      <c r="J854" t="s">
        <v>1129</v>
      </c>
      <c r="K854">
        <v>1</v>
      </c>
      <c r="L854">
        <v>1</v>
      </c>
      <c r="M854" t="s">
        <v>162</v>
      </c>
      <c r="N854">
        <v>0</v>
      </c>
      <c r="O854" s="1">
        <f>+Tabla__192.168.1.8_POSEIDONSQL_APPFVT_01_tbl_detalle_fill_rate[[#This Row],[emb_cantidad]]-Tabla__192.168.1.8_POSEIDONSQL_APPFVT_01_tbl_detalle_fill_rate[[#This Row],[dev_cantidad]]</f>
        <v>1</v>
      </c>
      <c r="P8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4" s="1">
        <f>+Tabla__192.168.1.8_POSEIDONSQL_APPFVT_01_tbl_detalle_fill_rate[[#This Row],[Cumpl Real Unds]]-Tabla__192.168.1.8_POSEIDONSQL_APPFVT_01_tbl_detalle_fill_rate[[#This Row],[Cant Embarcada]]</f>
        <v>0</v>
      </c>
      <c r="S854" s="1">
        <f>+IF(Tabla__192.168.1.8_POSEIDONSQL_APPFVT_01_tbl_detalle_fill_rate[[#This Row],[Pend Emb]]&gt;0,1,0)</f>
        <v>0</v>
      </c>
      <c r="T8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5" spans="1:20" x14ac:dyDescent="0.25">
      <c r="A855">
        <v>3</v>
      </c>
      <c r="B855" t="s">
        <v>50</v>
      </c>
      <c r="C855">
        <v>50051747</v>
      </c>
      <c r="D855" s="48">
        <v>43343</v>
      </c>
      <c r="E855" s="48">
        <v>43342</v>
      </c>
      <c r="F855" s="48">
        <v>43356</v>
      </c>
      <c r="G855" t="s">
        <v>92</v>
      </c>
      <c r="H855" t="s">
        <v>93</v>
      </c>
      <c r="I855">
        <v>1</v>
      </c>
      <c r="J855" t="s">
        <v>1425</v>
      </c>
      <c r="K855">
        <v>1</v>
      </c>
      <c r="L855">
        <v>1</v>
      </c>
      <c r="M855" t="s">
        <v>162</v>
      </c>
      <c r="N855">
        <v>0</v>
      </c>
      <c r="O855" s="1">
        <f>+Tabla__192.168.1.8_POSEIDONSQL_APPFVT_01_tbl_detalle_fill_rate[[#This Row],[emb_cantidad]]-Tabla__192.168.1.8_POSEIDONSQL_APPFVT_01_tbl_detalle_fill_rate[[#This Row],[dev_cantidad]]</f>
        <v>1</v>
      </c>
      <c r="P8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5" s="1">
        <f>+Tabla__192.168.1.8_POSEIDONSQL_APPFVT_01_tbl_detalle_fill_rate[[#This Row],[Cumpl Real Unds]]-Tabla__192.168.1.8_POSEIDONSQL_APPFVT_01_tbl_detalle_fill_rate[[#This Row],[Cant Embarcada]]</f>
        <v>0</v>
      </c>
      <c r="S855" s="1">
        <f>+IF(Tabla__192.168.1.8_POSEIDONSQL_APPFVT_01_tbl_detalle_fill_rate[[#This Row],[Pend Emb]]&gt;0,1,0)</f>
        <v>0</v>
      </c>
      <c r="T8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6" spans="1:20" x14ac:dyDescent="0.25">
      <c r="A856">
        <v>3</v>
      </c>
      <c r="B856" t="s">
        <v>50</v>
      </c>
      <c r="C856">
        <v>50051747</v>
      </c>
      <c r="D856" s="48">
        <v>43343</v>
      </c>
      <c r="E856" s="48">
        <v>43342</v>
      </c>
      <c r="F856" s="48">
        <v>43353</v>
      </c>
      <c r="G856" t="s">
        <v>92</v>
      </c>
      <c r="H856" t="s">
        <v>93</v>
      </c>
      <c r="I856">
        <v>1</v>
      </c>
      <c r="J856" t="s">
        <v>1424</v>
      </c>
      <c r="K856">
        <v>1</v>
      </c>
      <c r="L856">
        <v>1</v>
      </c>
      <c r="M856" t="s">
        <v>162</v>
      </c>
      <c r="N856">
        <v>0</v>
      </c>
      <c r="O856" s="1">
        <f>+Tabla__192.168.1.8_POSEIDONSQL_APPFVT_01_tbl_detalle_fill_rate[[#This Row],[emb_cantidad]]-Tabla__192.168.1.8_POSEIDONSQL_APPFVT_01_tbl_detalle_fill_rate[[#This Row],[dev_cantidad]]</f>
        <v>1</v>
      </c>
      <c r="P8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6" s="1">
        <f>+Tabla__192.168.1.8_POSEIDONSQL_APPFVT_01_tbl_detalle_fill_rate[[#This Row],[Cumpl Real Unds]]-Tabla__192.168.1.8_POSEIDONSQL_APPFVT_01_tbl_detalle_fill_rate[[#This Row],[Cant Embarcada]]</f>
        <v>0</v>
      </c>
      <c r="S856" s="1">
        <f>+IF(Tabla__192.168.1.8_POSEIDONSQL_APPFVT_01_tbl_detalle_fill_rate[[#This Row],[Pend Emb]]&gt;0,1,0)</f>
        <v>0</v>
      </c>
      <c r="T8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7" spans="1:20" x14ac:dyDescent="0.25">
      <c r="A857">
        <v>3</v>
      </c>
      <c r="B857" t="s">
        <v>50</v>
      </c>
      <c r="C857">
        <v>50051748</v>
      </c>
      <c r="D857" s="48">
        <v>43343</v>
      </c>
      <c r="E857" s="48">
        <v>43342</v>
      </c>
      <c r="F857" s="48">
        <v>43353</v>
      </c>
      <c r="G857" t="s">
        <v>92</v>
      </c>
      <c r="H857" t="s">
        <v>93</v>
      </c>
      <c r="I857">
        <v>1</v>
      </c>
      <c r="J857" t="s">
        <v>1426</v>
      </c>
      <c r="K857">
        <v>1</v>
      </c>
      <c r="L857">
        <v>1</v>
      </c>
      <c r="M857" t="s">
        <v>162</v>
      </c>
      <c r="N857">
        <v>0</v>
      </c>
      <c r="O857" s="1">
        <f>+Tabla__192.168.1.8_POSEIDONSQL_APPFVT_01_tbl_detalle_fill_rate[[#This Row],[emb_cantidad]]-Tabla__192.168.1.8_POSEIDONSQL_APPFVT_01_tbl_detalle_fill_rate[[#This Row],[dev_cantidad]]</f>
        <v>1</v>
      </c>
      <c r="P8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7" s="1">
        <f>+Tabla__192.168.1.8_POSEIDONSQL_APPFVT_01_tbl_detalle_fill_rate[[#This Row],[Cumpl Real Unds]]-Tabla__192.168.1.8_POSEIDONSQL_APPFVT_01_tbl_detalle_fill_rate[[#This Row],[Cant Embarcada]]</f>
        <v>0</v>
      </c>
      <c r="S857" s="1">
        <f>+IF(Tabla__192.168.1.8_POSEIDONSQL_APPFVT_01_tbl_detalle_fill_rate[[#This Row],[Pend Emb]]&gt;0,1,0)</f>
        <v>0</v>
      </c>
      <c r="T8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8" spans="1:20" x14ac:dyDescent="0.25">
      <c r="A858">
        <v>3</v>
      </c>
      <c r="B858" t="s">
        <v>50</v>
      </c>
      <c r="C858">
        <v>50051748</v>
      </c>
      <c r="D858" s="48">
        <v>43343</v>
      </c>
      <c r="E858" s="48">
        <v>43342</v>
      </c>
      <c r="F858" s="48">
        <v>43353</v>
      </c>
      <c r="G858" t="s">
        <v>92</v>
      </c>
      <c r="H858" t="s">
        <v>93</v>
      </c>
      <c r="I858">
        <v>1</v>
      </c>
      <c r="J858" t="s">
        <v>1427</v>
      </c>
      <c r="K858">
        <v>1</v>
      </c>
      <c r="L858">
        <v>1</v>
      </c>
      <c r="M858" t="s">
        <v>162</v>
      </c>
      <c r="N858">
        <v>0</v>
      </c>
      <c r="O858" s="1">
        <f>+Tabla__192.168.1.8_POSEIDONSQL_APPFVT_01_tbl_detalle_fill_rate[[#This Row],[emb_cantidad]]-Tabla__192.168.1.8_POSEIDONSQL_APPFVT_01_tbl_detalle_fill_rate[[#This Row],[dev_cantidad]]</f>
        <v>1</v>
      </c>
      <c r="P8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8" s="1">
        <f>+Tabla__192.168.1.8_POSEIDONSQL_APPFVT_01_tbl_detalle_fill_rate[[#This Row],[Cumpl Real Unds]]-Tabla__192.168.1.8_POSEIDONSQL_APPFVT_01_tbl_detalle_fill_rate[[#This Row],[Cant Embarcada]]</f>
        <v>0</v>
      </c>
      <c r="S858" s="1">
        <f>+IF(Tabla__192.168.1.8_POSEIDONSQL_APPFVT_01_tbl_detalle_fill_rate[[#This Row],[Pend Emb]]&gt;0,1,0)</f>
        <v>0</v>
      </c>
      <c r="T8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59" spans="1:20" x14ac:dyDescent="0.25">
      <c r="A859">
        <v>3</v>
      </c>
      <c r="B859" t="s">
        <v>50</v>
      </c>
      <c r="C859">
        <v>50051748</v>
      </c>
      <c r="D859" s="48">
        <v>43343</v>
      </c>
      <c r="E859" s="48">
        <v>43342</v>
      </c>
      <c r="F859" s="48">
        <v>43353</v>
      </c>
      <c r="G859" t="s">
        <v>92</v>
      </c>
      <c r="H859" t="s">
        <v>93</v>
      </c>
      <c r="I859">
        <v>1</v>
      </c>
      <c r="J859" t="s">
        <v>1428</v>
      </c>
      <c r="K859">
        <v>1</v>
      </c>
      <c r="L859">
        <v>1</v>
      </c>
      <c r="M859" t="s">
        <v>162</v>
      </c>
      <c r="N859">
        <v>0</v>
      </c>
      <c r="O859" s="1">
        <f>+Tabla__192.168.1.8_POSEIDONSQL_APPFVT_01_tbl_detalle_fill_rate[[#This Row],[emb_cantidad]]-Tabla__192.168.1.8_POSEIDONSQL_APPFVT_01_tbl_detalle_fill_rate[[#This Row],[dev_cantidad]]</f>
        <v>1</v>
      </c>
      <c r="P8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59" s="1">
        <f>+Tabla__192.168.1.8_POSEIDONSQL_APPFVT_01_tbl_detalle_fill_rate[[#This Row],[Cumpl Real Unds]]-Tabla__192.168.1.8_POSEIDONSQL_APPFVT_01_tbl_detalle_fill_rate[[#This Row],[Cant Embarcada]]</f>
        <v>0</v>
      </c>
      <c r="S859" s="1">
        <f>+IF(Tabla__192.168.1.8_POSEIDONSQL_APPFVT_01_tbl_detalle_fill_rate[[#This Row],[Pend Emb]]&gt;0,1,0)</f>
        <v>0</v>
      </c>
      <c r="T8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0" spans="1:20" x14ac:dyDescent="0.25">
      <c r="A860">
        <v>3</v>
      </c>
      <c r="B860" t="s">
        <v>50</v>
      </c>
      <c r="C860">
        <v>50051748</v>
      </c>
      <c r="D860" s="48">
        <v>43343</v>
      </c>
      <c r="E860" s="48">
        <v>43342</v>
      </c>
      <c r="F860" s="48">
        <v>43353</v>
      </c>
      <c r="G860" t="s">
        <v>114</v>
      </c>
      <c r="H860" t="s">
        <v>115</v>
      </c>
      <c r="I860">
        <v>1</v>
      </c>
      <c r="J860" t="s">
        <v>1429</v>
      </c>
      <c r="K860">
        <v>1</v>
      </c>
      <c r="L860">
        <v>1</v>
      </c>
      <c r="M860" t="s">
        <v>162</v>
      </c>
      <c r="N860">
        <v>0</v>
      </c>
      <c r="O860" s="1">
        <f>+Tabla__192.168.1.8_POSEIDONSQL_APPFVT_01_tbl_detalle_fill_rate[[#This Row],[emb_cantidad]]-Tabla__192.168.1.8_POSEIDONSQL_APPFVT_01_tbl_detalle_fill_rate[[#This Row],[dev_cantidad]]</f>
        <v>1</v>
      </c>
      <c r="P8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0" s="1">
        <f>+Tabla__192.168.1.8_POSEIDONSQL_APPFVT_01_tbl_detalle_fill_rate[[#This Row],[Cumpl Real Unds]]-Tabla__192.168.1.8_POSEIDONSQL_APPFVT_01_tbl_detalle_fill_rate[[#This Row],[Cant Embarcada]]</f>
        <v>0</v>
      </c>
      <c r="S860" s="1">
        <f>+IF(Tabla__192.168.1.8_POSEIDONSQL_APPFVT_01_tbl_detalle_fill_rate[[#This Row],[Pend Emb]]&gt;0,1,0)</f>
        <v>0</v>
      </c>
      <c r="T8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1" spans="1:20" x14ac:dyDescent="0.25">
      <c r="A861">
        <v>3</v>
      </c>
      <c r="B861" t="s">
        <v>50</v>
      </c>
      <c r="C861">
        <v>50051794</v>
      </c>
      <c r="D861" s="48">
        <v>43346</v>
      </c>
      <c r="E861" s="48">
        <v>43343</v>
      </c>
      <c r="F861" s="48">
        <v>43363</v>
      </c>
      <c r="G861" t="s">
        <v>118</v>
      </c>
      <c r="H861" t="s">
        <v>119</v>
      </c>
      <c r="I861">
        <v>1</v>
      </c>
      <c r="J861" t="s">
        <v>563</v>
      </c>
      <c r="K861">
        <v>1</v>
      </c>
      <c r="L861">
        <v>1</v>
      </c>
      <c r="M861" t="s">
        <v>161</v>
      </c>
      <c r="N861">
        <v>0</v>
      </c>
      <c r="O861" s="1">
        <f>+Tabla__192.168.1.8_POSEIDONSQL_APPFVT_01_tbl_detalle_fill_rate[[#This Row],[emb_cantidad]]-Tabla__192.168.1.8_POSEIDONSQL_APPFVT_01_tbl_detalle_fill_rate[[#This Row],[dev_cantidad]]</f>
        <v>1</v>
      </c>
      <c r="P8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1" s="1">
        <f>+Tabla__192.168.1.8_POSEIDONSQL_APPFVT_01_tbl_detalle_fill_rate[[#This Row],[Cumpl Real Unds]]-Tabla__192.168.1.8_POSEIDONSQL_APPFVT_01_tbl_detalle_fill_rate[[#This Row],[Cant Embarcada]]</f>
        <v>0</v>
      </c>
      <c r="S861" s="1">
        <f>+IF(Tabla__192.168.1.8_POSEIDONSQL_APPFVT_01_tbl_detalle_fill_rate[[#This Row],[Pend Emb]]&gt;0,1,0)</f>
        <v>0</v>
      </c>
      <c r="T8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2" spans="1:20" x14ac:dyDescent="0.25">
      <c r="A862">
        <v>3</v>
      </c>
      <c r="B862" t="s">
        <v>50</v>
      </c>
      <c r="C862">
        <v>50051795</v>
      </c>
      <c r="D862" s="48">
        <v>43346</v>
      </c>
      <c r="E862" s="48">
        <v>43343</v>
      </c>
      <c r="F862" s="48">
        <v>43353</v>
      </c>
      <c r="G862" t="s">
        <v>92</v>
      </c>
      <c r="H862" t="s">
        <v>93</v>
      </c>
      <c r="I862">
        <v>1</v>
      </c>
      <c r="J862" t="s">
        <v>564</v>
      </c>
      <c r="K862">
        <v>1</v>
      </c>
      <c r="L862">
        <v>1</v>
      </c>
      <c r="M862" t="s">
        <v>161</v>
      </c>
      <c r="N862">
        <v>0</v>
      </c>
      <c r="O862" s="1">
        <f>+Tabla__192.168.1.8_POSEIDONSQL_APPFVT_01_tbl_detalle_fill_rate[[#This Row],[emb_cantidad]]-Tabla__192.168.1.8_POSEIDONSQL_APPFVT_01_tbl_detalle_fill_rate[[#This Row],[dev_cantidad]]</f>
        <v>1</v>
      </c>
      <c r="P8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2" s="1">
        <f>+Tabla__192.168.1.8_POSEIDONSQL_APPFVT_01_tbl_detalle_fill_rate[[#This Row],[Cumpl Real Unds]]-Tabla__192.168.1.8_POSEIDONSQL_APPFVT_01_tbl_detalle_fill_rate[[#This Row],[Cant Embarcada]]</f>
        <v>0</v>
      </c>
      <c r="S862" s="1">
        <f>+IF(Tabla__192.168.1.8_POSEIDONSQL_APPFVT_01_tbl_detalle_fill_rate[[#This Row],[Pend Emb]]&gt;0,1,0)</f>
        <v>0</v>
      </c>
      <c r="T8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3" spans="1:20" x14ac:dyDescent="0.25">
      <c r="A863">
        <v>3</v>
      </c>
      <c r="B863" t="s">
        <v>50</v>
      </c>
      <c r="C863">
        <v>50051795</v>
      </c>
      <c r="D863" s="48">
        <v>43346</v>
      </c>
      <c r="E863" s="48">
        <v>43343</v>
      </c>
      <c r="F863" s="48">
        <v>43353</v>
      </c>
      <c r="G863" t="s">
        <v>104</v>
      </c>
      <c r="H863" t="s">
        <v>105</v>
      </c>
      <c r="I863">
        <v>1</v>
      </c>
      <c r="J863" t="s">
        <v>565</v>
      </c>
      <c r="K863">
        <v>1</v>
      </c>
      <c r="L863">
        <v>1</v>
      </c>
      <c r="M863" t="s">
        <v>161</v>
      </c>
      <c r="N863">
        <v>0</v>
      </c>
      <c r="O863" s="1">
        <f>+Tabla__192.168.1.8_POSEIDONSQL_APPFVT_01_tbl_detalle_fill_rate[[#This Row],[emb_cantidad]]-Tabla__192.168.1.8_POSEIDONSQL_APPFVT_01_tbl_detalle_fill_rate[[#This Row],[dev_cantidad]]</f>
        <v>1</v>
      </c>
      <c r="P8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3" s="1">
        <f>+Tabla__192.168.1.8_POSEIDONSQL_APPFVT_01_tbl_detalle_fill_rate[[#This Row],[Cumpl Real Unds]]-Tabla__192.168.1.8_POSEIDONSQL_APPFVT_01_tbl_detalle_fill_rate[[#This Row],[Cant Embarcada]]</f>
        <v>0</v>
      </c>
      <c r="S863" s="1">
        <f>+IF(Tabla__192.168.1.8_POSEIDONSQL_APPFVT_01_tbl_detalle_fill_rate[[#This Row],[Pend Emb]]&gt;0,1,0)</f>
        <v>0</v>
      </c>
      <c r="T8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4" spans="1:20" x14ac:dyDescent="0.25">
      <c r="A864">
        <v>3</v>
      </c>
      <c r="B864" t="s">
        <v>50</v>
      </c>
      <c r="C864">
        <v>50051795</v>
      </c>
      <c r="D864" s="48">
        <v>43346</v>
      </c>
      <c r="E864" s="48">
        <v>43343</v>
      </c>
      <c r="F864" s="48">
        <v>43353</v>
      </c>
      <c r="G864" t="s">
        <v>134</v>
      </c>
      <c r="H864" t="s">
        <v>135</v>
      </c>
      <c r="I864">
        <v>1</v>
      </c>
      <c r="J864" t="s">
        <v>566</v>
      </c>
      <c r="K864">
        <v>1</v>
      </c>
      <c r="L864">
        <v>1</v>
      </c>
      <c r="M864" t="s">
        <v>161</v>
      </c>
      <c r="N864">
        <v>0</v>
      </c>
      <c r="O864" s="1">
        <f>+Tabla__192.168.1.8_POSEIDONSQL_APPFVT_01_tbl_detalle_fill_rate[[#This Row],[emb_cantidad]]-Tabla__192.168.1.8_POSEIDONSQL_APPFVT_01_tbl_detalle_fill_rate[[#This Row],[dev_cantidad]]</f>
        <v>1</v>
      </c>
      <c r="P8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4" s="1">
        <f>+Tabla__192.168.1.8_POSEIDONSQL_APPFVT_01_tbl_detalle_fill_rate[[#This Row],[Cumpl Real Unds]]-Tabla__192.168.1.8_POSEIDONSQL_APPFVT_01_tbl_detalle_fill_rate[[#This Row],[Cant Embarcada]]</f>
        <v>0</v>
      </c>
      <c r="S864" s="1">
        <f>+IF(Tabla__192.168.1.8_POSEIDONSQL_APPFVT_01_tbl_detalle_fill_rate[[#This Row],[Pend Emb]]&gt;0,1,0)</f>
        <v>0</v>
      </c>
      <c r="T8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5" spans="1:20" x14ac:dyDescent="0.25">
      <c r="A865">
        <v>3</v>
      </c>
      <c r="B865" t="s">
        <v>50</v>
      </c>
      <c r="C865">
        <v>50051838</v>
      </c>
      <c r="D865" s="48">
        <v>43346</v>
      </c>
      <c r="E865" s="48">
        <v>43344</v>
      </c>
      <c r="F865" s="48">
        <v>43368</v>
      </c>
      <c r="G865" t="s">
        <v>112</v>
      </c>
      <c r="H865" t="s">
        <v>113</v>
      </c>
      <c r="I865">
        <v>1</v>
      </c>
      <c r="J865" t="s">
        <v>547</v>
      </c>
      <c r="K865">
        <v>1</v>
      </c>
      <c r="L865">
        <v>1</v>
      </c>
      <c r="M865" t="s">
        <v>161</v>
      </c>
      <c r="N865">
        <v>0</v>
      </c>
      <c r="O865" s="1">
        <f>+Tabla__192.168.1.8_POSEIDONSQL_APPFVT_01_tbl_detalle_fill_rate[[#This Row],[emb_cantidad]]-Tabla__192.168.1.8_POSEIDONSQL_APPFVT_01_tbl_detalle_fill_rate[[#This Row],[dev_cantidad]]</f>
        <v>1</v>
      </c>
      <c r="P8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5" s="1">
        <f>+Tabla__192.168.1.8_POSEIDONSQL_APPFVT_01_tbl_detalle_fill_rate[[#This Row],[Cumpl Real Unds]]-Tabla__192.168.1.8_POSEIDONSQL_APPFVT_01_tbl_detalle_fill_rate[[#This Row],[Cant Embarcada]]</f>
        <v>0</v>
      </c>
      <c r="S865" s="1">
        <f>+IF(Tabla__192.168.1.8_POSEIDONSQL_APPFVT_01_tbl_detalle_fill_rate[[#This Row],[Pend Emb]]&gt;0,1,0)</f>
        <v>0</v>
      </c>
      <c r="T8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6" spans="1:20" x14ac:dyDescent="0.25">
      <c r="A866">
        <v>3</v>
      </c>
      <c r="B866" t="s">
        <v>50</v>
      </c>
      <c r="C866">
        <v>50051838</v>
      </c>
      <c r="D866" s="48">
        <v>43346</v>
      </c>
      <c r="E866" s="48">
        <v>43344</v>
      </c>
      <c r="F866" s="48">
        <v>43354</v>
      </c>
      <c r="G866" t="s">
        <v>134</v>
      </c>
      <c r="H866" t="s">
        <v>135</v>
      </c>
      <c r="I866">
        <v>1</v>
      </c>
      <c r="J866" t="s">
        <v>546</v>
      </c>
      <c r="K866">
        <v>1</v>
      </c>
      <c r="L866">
        <v>1</v>
      </c>
      <c r="M866" t="s">
        <v>161</v>
      </c>
      <c r="N866">
        <v>0</v>
      </c>
      <c r="O866" s="1">
        <f>+Tabla__192.168.1.8_POSEIDONSQL_APPFVT_01_tbl_detalle_fill_rate[[#This Row],[emb_cantidad]]-Tabla__192.168.1.8_POSEIDONSQL_APPFVT_01_tbl_detalle_fill_rate[[#This Row],[dev_cantidad]]</f>
        <v>1</v>
      </c>
      <c r="P8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6" s="1">
        <f>+Tabla__192.168.1.8_POSEIDONSQL_APPFVT_01_tbl_detalle_fill_rate[[#This Row],[Cumpl Real Unds]]-Tabla__192.168.1.8_POSEIDONSQL_APPFVT_01_tbl_detalle_fill_rate[[#This Row],[Cant Embarcada]]</f>
        <v>0</v>
      </c>
      <c r="S866" s="1">
        <f>+IF(Tabla__192.168.1.8_POSEIDONSQL_APPFVT_01_tbl_detalle_fill_rate[[#This Row],[Pend Emb]]&gt;0,1,0)</f>
        <v>0</v>
      </c>
      <c r="T8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7" spans="1:20" x14ac:dyDescent="0.25">
      <c r="A867">
        <v>3</v>
      </c>
      <c r="B867" t="s">
        <v>50</v>
      </c>
      <c r="C867">
        <v>50051839</v>
      </c>
      <c r="D867" s="48">
        <v>43346</v>
      </c>
      <c r="E867" s="48">
        <v>43344</v>
      </c>
      <c r="F867" s="48">
        <v>43354</v>
      </c>
      <c r="G867" t="s">
        <v>84</v>
      </c>
      <c r="H867" t="s">
        <v>85</v>
      </c>
      <c r="I867">
        <v>1</v>
      </c>
      <c r="J867" t="s">
        <v>548</v>
      </c>
      <c r="K867">
        <v>1</v>
      </c>
      <c r="L867">
        <v>1</v>
      </c>
      <c r="M867" t="s">
        <v>161</v>
      </c>
      <c r="N867">
        <v>0</v>
      </c>
      <c r="O867" s="1">
        <f>+Tabla__192.168.1.8_POSEIDONSQL_APPFVT_01_tbl_detalle_fill_rate[[#This Row],[emb_cantidad]]-Tabla__192.168.1.8_POSEIDONSQL_APPFVT_01_tbl_detalle_fill_rate[[#This Row],[dev_cantidad]]</f>
        <v>1</v>
      </c>
      <c r="P8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7" s="1">
        <f>+Tabla__192.168.1.8_POSEIDONSQL_APPFVT_01_tbl_detalle_fill_rate[[#This Row],[Cumpl Real Unds]]-Tabla__192.168.1.8_POSEIDONSQL_APPFVT_01_tbl_detalle_fill_rate[[#This Row],[Cant Embarcada]]</f>
        <v>0</v>
      </c>
      <c r="S867" s="1">
        <f>+IF(Tabla__192.168.1.8_POSEIDONSQL_APPFVT_01_tbl_detalle_fill_rate[[#This Row],[Pend Emb]]&gt;0,1,0)</f>
        <v>0</v>
      </c>
      <c r="T8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8" spans="1:20" x14ac:dyDescent="0.25">
      <c r="A868">
        <v>3</v>
      </c>
      <c r="B868" t="s">
        <v>50</v>
      </c>
      <c r="C868">
        <v>50051839</v>
      </c>
      <c r="D868" s="48">
        <v>43346</v>
      </c>
      <c r="E868" s="48">
        <v>43344</v>
      </c>
      <c r="F868" s="48">
        <v>43363</v>
      </c>
      <c r="G868" t="s">
        <v>92</v>
      </c>
      <c r="H868" t="s">
        <v>93</v>
      </c>
      <c r="I868">
        <v>1</v>
      </c>
      <c r="J868" t="s">
        <v>551</v>
      </c>
      <c r="K868">
        <v>1</v>
      </c>
      <c r="L868">
        <v>1</v>
      </c>
      <c r="M868" t="s">
        <v>161</v>
      </c>
      <c r="N868">
        <v>0</v>
      </c>
      <c r="O868" s="1">
        <f>+Tabla__192.168.1.8_POSEIDONSQL_APPFVT_01_tbl_detalle_fill_rate[[#This Row],[emb_cantidad]]-Tabla__192.168.1.8_POSEIDONSQL_APPFVT_01_tbl_detalle_fill_rate[[#This Row],[dev_cantidad]]</f>
        <v>1</v>
      </c>
      <c r="P8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8" s="1">
        <f>+Tabla__192.168.1.8_POSEIDONSQL_APPFVT_01_tbl_detalle_fill_rate[[#This Row],[Cumpl Real Unds]]-Tabla__192.168.1.8_POSEIDONSQL_APPFVT_01_tbl_detalle_fill_rate[[#This Row],[Cant Embarcada]]</f>
        <v>0</v>
      </c>
      <c r="S868" s="1">
        <f>+IF(Tabla__192.168.1.8_POSEIDONSQL_APPFVT_01_tbl_detalle_fill_rate[[#This Row],[Pend Emb]]&gt;0,1,0)</f>
        <v>0</v>
      </c>
      <c r="T8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69" spans="1:20" x14ac:dyDescent="0.25">
      <c r="A869">
        <v>3</v>
      </c>
      <c r="B869" t="s">
        <v>50</v>
      </c>
      <c r="C869">
        <v>50051839</v>
      </c>
      <c r="D869" s="48">
        <v>43346</v>
      </c>
      <c r="E869" s="48">
        <v>43344</v>
      </c>
      <c r="F869" s="48">
        <v>43354</v>
      </c>
      <c r="G869" t="s">
        <v>132</v>
      </c>
      <c r="H869" t="s">
        <v>133</v>
      </c>
      <c r="I869">
        <v>1</v>
      </c>
      <c r="J869" t="s">
        <v>549</v>
      </c>
      <c r="K869">
        <v>1</v>
      </c>
      <c r="L869">
        <v>1</v>
      </c>
      <c r="M869" t="s">
        <v>161</v>
      </c>
      <c r="N869">
        <v>0</v>
      </c>
      <c r="O869" s="1">
        <f>+Tabla__192.168.1.8_POSEIDONSQL_APPFVT_01_tbl_detalle_fill_rate[[#This Row],[emb_cantidad]]-Tabla__192.168.1.8_POSEIDONSQL_APPFVT_01_tbl_detalle_fill_rate[[#This Row],[dev_cantidad]]</f>
        <v>1</v>
      </c>
      <c r="P8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69" s="1">
        <f>+Tabla__192.168.1.8_POSEIDONSQL_APPFVT_01_tbl_detalle_fill_rate[[#This Row],[Cumpl Real Unds]]-Tabla__192.168.1.8_POSEIDONSQL_APPFVT_01_tbl_detalle_fill_rate[[#This Row],[Cant Embarcada]]</f>
        <v>0</v>
      </c>
      <c r="S869" s="1">
        <f>+IF(Tabla__192.168.1.8_POSEIDONSQL_APPFVT_01_tbl_detalle_fill_rate[[#This Row],[Pend Emb]]&gt;0,1,0)</f>
        <v>0</v>
      </c>
      <c r="T8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0" spans="1:20" x14ac:dyDescent="0.25">
      <c r="A870">
        <v>3</v>
      </c>
      <c r="B870" t="s">
        <v>50</v>
      </c>
      <c r="C870">
        <v>50051839</v>
      </c>
      <c r="D870" s="48">
        <v>43346</v>
      </c>
      <c r="E870" s="48">
        <v>43344</v>
      </c>
      <c r="F870" s="48">
        <v>43354</v>
      </c>
      <c r="G870" t="s">
        <v>134</v>
      </c>
      <c r="H870" t="s">
        <v>135</v>
      </c>
      <c r="I870">
        <v>1</v>
      </c>
      <c r="J870" t="s">
        <v>550</v>
      </c>
      <c r="K870">
        <v>1</v>
      </c>
      <c r="L870">
        <v>1</v>
      </c>
      <c r="M870" t="s">
        <v>161</v>
      </c>
      <c r="N870">
        <v>0</v>
      </c>
      <c r="O870" s="1">
        <f>+Tabla__192.168.1.8_POSEIDONSQL_APPFVT_01_tbl_detalle_fill_rate[[#This Row],[emb_cantidad]]-Tabla__192.168.1.8_POSEIDONSQL_APPFVT_01_tbl_detalle_fill_rate[[#This Row],[dev_cantidad]]</f>
        <v>1</v>
      </c>
      <c r="P8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0" s="1">
        <f>+Tabla__192.168.1.8_POSEIDONSQL_APPFVT_01_tbl_detalle_fill_rate[[#This Row],[Cumpl Real Unds]]-Tabla__192.168.1.8_POSEIDONSQL_APPFVT_01_tbl_detalle_fill_rate[[#This Row],[Cant Embarcada]]</f>
        <v>0</v>
      </c>
      <c r="S870" s="1">
        <f>+IF(Tabla__192.168.1.8_POSEIDONSQL_APPFVT_01_tbl_detalle_fill_rate[[#This Row],[Pend Emb]]&gt;0,1,0)</f>
        <v>0</v>
      </c>
      <c r="T8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1" spans="1:20" x14ac:dyDescent="0.25">
      <c r="A871">
        <v>3</v>
      </c>
      <c r="B871" t="s">
        <v>50</v>
      </c>
      <c r="C871">
        <v>50051888</v>
      </c>
      <c r="D871" s="48">
        <v>43346</v>
      </c>
      <c r="E871" s="48">
        <v>43345</v>
      </c>
      <c r="F871" s="48">
        <v>43354</v>
      </c>
      <c r="G871" t="s">
        <v>92</v>
      </c>
      <c r="H871" t="s">
        <v>93</v>
      </c>
      <c r="I871">
        <v>1</v>
      </c>
      <c r="J871" t="s">
        <v>552</v>
      </c>
      <c r="K871">
        <v>1</v>
      </c>
      <c r="L871">
        <v>1</v>
      </c>
      <c r="M871" t="s">
        <v>161</v>
      </c>
      <c r="N871">
        <v>0</v>
      </c>
      <c r="O871" s="1">
        <f>+Tabla__192.168.1.8_POSEIDONSQL_APPFVT_01_tbl_detalle_fill_rate[[#This Row],[emb_cantidad]]-Tabla__192.168.1.8_POSEIDONSQL_APPFVT_01_tbl_detalle_fill_rate[[#This Row],[dev_cantidad]]</f>
        <v>1</v>
      </c>
      <c r="P8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1" s="1">
        <f>+Tabla__192.168.1.8_POSEIDONSQL_APPFVT_01_tbl_detalle_fill_rate[[#This Row],[Cumpl Real Unds]]-Tabla__192.168.1.8_POSEIDONSQL_APPFVT_01_tbl_detalle_fill_rate[[#This Row],[Cant Embarcada]]</f>
        <v>0</v>
      </c>
      <c r="S871" s="1">
        <f>+IF(Tabla__192.168.1.8_POSEIDONSQL_APPFVT_01_tbl_detalle_fill_rate[[#This Row],[Pend Emb]]&gt;0,1,0)</f>
        <v>0</v>
      </c>
      <c r="T8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2" spans="1:20" x14ac:dyDescent="0.25">
      <c r="A872">
        <v>3</v>
      </c>
      <c r="B872" t="s">
        <v>50</v>
      </c>
      <c r="C872">
        <v>50051888</v>
      </c>
      <c r="D872" s="48">
        <v>43346</v>
      </c>
      <c r="E872" s="48">
        <v>43345</v>
      </c>
      <c r="F872" s="48">
        <v>43355</v>
      </c>
      <c r="G872" t="s">
        <v>92</v>
      </c>
      <c r="H872" t="s">
        <v>93</v>
      </c>
      <c r="I872">
        <v>1</v>
      </c>
      <c r="J872" t="s">
        <v>553</v>
      </c>
      <c r="K872">
        <v>1</v>
      </c>
      <c r="L872">
        <v>1</v>
      </c>
      <c r="M872" t="s">
        <v>161</v>
      </c>
      <c r="N872">
        <v>0</v>
      </c>
      <c r="O872" s="1">
        <f>+Tabla__192.168.1.8_POSEIDONSQL_APPFVT_01_tbl_detalle_fill_rate[[#This Row],[emb_cantidad]]-Tabla__192.168.1.8_POSEIDONSQL_APPFVT_01_tbl_detalle_fill_rate[[#This Row],[dev_cantidad]]</f>
        <v>1</v>
      </c>
      <c r="P8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2" s="1">
        <f>+Tabla__192.168.1.8_POSEIDONSQL_APPFVT_01_tbl_detalle_fill_rate[[#This Row],[Cumpl Real Unds]]-Tabla__192.168.1.8_POSEIDONSQL_APPFVT_01_tbl_detalle_fill_rate[[#This Row],[Cant Embarcada]]</f>
        <v>0</v>
      </c>
      <c r="S872" s="1">
        <f>+IF(Tabla__192.168.1.8_POSEIDONSQL_APPFVT_01_tbl_detalle_fill_rate[[#This Row],[Pend Emb]]&gt;0,1,0)</f>
        <v>0</v>
      </c>
      <c r="T8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3" spans="1:20" x14ac:dyDescent="0.25">
      <c r="A873">
        <v>3</v>
      </c>
      <c r="B873" t="s">
        <v>50</v>
      </c>
      <c r="C873">
        <v>50051889</v>
      </c>
      <c r="D873" s="48">
        <v>43346</v>
      </c>
      <c r="E873" s="48">
        <v>43345</v>
      </c>
      <c r="F873" s="48">
        <v>43355</v>
      </c>
      <c r="G873" t="s">
        <v>84</v>
      </c>
      <c r="H873" t="s">
        <v>85</v>
      </c>
      <c r="I873">
        <v>1</v>
      </c>
      <c r="J873" t="s">
        <v>554</v>
      </c>
      <c r="K873">
        <v>1</v>
      </c>
      <c r="L873">
        <v>1</v>
      </c>
      <c r="M873" t="s">
        <v>161</v>
      </c>
      <c r="N873">
        <v>0</v>
      </c>
      <c r="O873" s="1">
        <f>+Tabla__192.168.1.8_POSEIDONSQL_APPFVT_01_tbl_detalle_fill_rate[[#This Row],[emb_cantidad]]-Tabla__192.168.1.8_POSEIDONSQL_APPFVT_01_tbl_detalle_fill_rate[[#This Row],[dev_cantidad]]</f>
        <v>1</v>
      </c>
      <c r="P8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3" s="1">
        <f>+Tabla__192.168.1.8_POSEIDONSQL_APPFVT_01_tbl_detalle_fill_rate[[#This Row],[Cumpl Real Unds]]-Tabla__192.168.1.8_POSEIDONSQL_APPFVT_01_tbl_detalle_fill_rate[[#This Row],[Cant Embarcada]]</f>
        <v>0</v>
      </c>
      <c r="S873" s="1">
        <f>+IF(Tabla__192.168.1.8_POSEIDONSQL_APPFVT_01_tbl_detalle_fill_rate[[#This Row],[Pend Emb]]&gt;0,1,0)</f>
        <v>0</v>
      </c>
      <c r="T8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4" spans="1:20" x14ac:dyDescent="0.25">
      <c r="A874">
        <v>3</v>
      </c>
      <c r="B874" t="s">
        <v>50</v>
      </c>
      <c r="C874">
        <v>50051889</v>
      </c>
      <c r="D874" s="48">
        <v>43346</v>
      </c>
      <c r="E874" s="48">
        <v>43345</v>
      </c>
      <c r="F874" s="48">
        <v>43363</v>
      </c>
      <c r="G874" t="s">
        <v>92</v>
      </c>
      <c r="H874" t="s">
        <v>93</v>
      </c>
      <c r="I874">
        <v>1</v>
      </c>
      <c r="J874" t="s">
        <v>560</v>
      </c>
      <c r="K874">
        <v>1</v>
      </c>
      <c r="L874">
        <v>1</v>
      </c>
      <c r="M874" t="s">
        <v>161</v>
      </c>
      <c r="N874">
        <v>0</v>
      </c>
      <c r="O874" s="1">
        <f>+Tabla__192.168.1.8_POSEIDONSQL_APPFVT_01_tbl_detalle_fill_rate[[#This Row],[emb_cantidad]]-Tabla__192.168.1.8_POSEIDONSQL_APPFVT_01_tbl_detalle_fill_rate[[#This Row],[dev_cantidad]]</f>
        <v>1</v>
      </c>
      <c r="P8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4" s="1">
        <f>+Tabla__192.168.1.8_POSEIDONSQL_APPFVT_01_tbl_detalle_fill_rate[[#This Row],[Cumpl Real Unds]]-Tabla__192.168.1.8_POSEIDONSQL_APPFVT_01_tbl_detalle_fill_rate[[#This Row],[Cant Embarcada]]</f>
        <v>0</v>
      </c>
      <c r="S874" s="1">
        <f>+IF(Tabla__192.168.1.8_POSEIDONSQL_APPFVT_01_tbl_detalle_fill_rate[[#This Row],[Pend Emb]]&gt;0,1,0)</f>
        <v>0</v>
      </c>
      <c r="T8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5" spans="1:20" x14ac:dyDescent="0.25">
      <c r="A875">
        <v>3</v>
      </c>
      <c r="B875" t="s">
        <v>50</v>
      </c>
      <c r="C875">
        <v>50051889</v>
      </c>
      <c r="D875" s="48">
        <v>43346</v>
      </c>
      <c r="E875" s="48">
        <v>43345</v>
      </c>
      <c r="F875" s="48">
        <v>43355</v>
      </c>
      <c r="G875" t="s">
        <v>92</v>
      </c>
      <c r="H875" t="s">
        <v>93</v>
      </c>
      <c r="I875">
        <v>1</v>
      </c>
      <c r="J875" t="s">
        <v>555</v>
      </c>
      <c r="K875">
        <v>1</v>
      </c>
      <c r="L875">
        <v>1</v>
      </c>
      <c r="M875" t="s">
        <v>161</v>
      </c>
      <c r="N875">
        <v>0</v>
      </c>
      <c r="O875" s="1">
        <f>+Tabla__192.168.1.8_POSEIDONSQL_APPFVT_01_tbl_detalle_fill_rate[[#This Row],[emb_cantidad]]-Tabla__192.168.1.8_POSEIDONSQL_APPFVT_01_tbl_detalle_fill_rate[[#This Row],[dev_cantidad]]</f>
        <v>1</v>
      </c>
      <c r="P8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5" s="1">
        <f>+Tabla__192.168.1.8_POSEIDONSQL_APPFVT_01_tbl_detalle_fill_rate[[#This Row],[Cumpl Real Unds]]-Tabla__192.168.1.8_POSEIDONSQL_APPFVT_01_tbl_detalle_fill_rate[[#This Row],[Cant Embarcada]]</f>
        <v>0</v>
      </c>
      <c r="S875" s="1">
        <f>+IF(Tabla__192.168.1.8_POSEIDONSQL_APPFVT_01_tbl_detalle_fill_rate[[#This Row],[Pend Emb]]&gt;0,1,0)</f>
        <v>0</v>
      </c>
      <c r="T8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6" spans="1:20" x14ac:dyDescent="0.25">
      <c r="A876">
        <v>3</v>
      </c>
      <c r="B876" t="s">
        <v>50</v>
      </c>
      <c r="C876">
        <v>50051889</v>
      </c>
      <c r="D876" s="48">
        <v>43346</v>
      </c>
      <c r="E876" s="48">
        <v>43345</v>
      </c>
      <c r="F876" s="48">
        <v>43364</v>
      </c>
      <c r="G876" t="s">
        <v>92</v>
      </c>
      <c r="H876" t="s">
        <v>93</v>
      </c>
      <c r="I876">
        <v>1</v>
      </c>
      <c r="J876" t="s">
        <v>561</v>
      </c>
      <c r="K876">
        <v>1</v>
      </c>
      <c r="L876">
        <v>1</v>
      </c>
      <c r="M876" t="s">
        <v>161</v>
      </c>
      <c r="N876">
        <v>0</v>
      </c>
      <c r="O876" s="1">
        <f>+Tabla__192.168.1.8_POSEIDONSQL_APPFVT_01_tbl_detalle_fill_rate[[#This Row],[emb_cantidad]]-Tabla__192.168.1.8_POSEIDONSQL_APPFVT_01_tbl_detalle_fill_rate[[#This Row],[dev_cantidad]]</f>
        <v>1</v>
      </c>
      <c r="P8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6" s="1">
        <f>+Tabla__192.168.1.8_POSEIDONSQL_APPFVT_01_tbl_detalle_fill_rate[[#This Row],[Cumpl Real Unds]]-Tabla__192.168.1.8_POSEIDONSQL_APPFVT_01_tbl_detalle_fill_rate[[#This Row],[Cant Embarcada]]</f>
        <v>0</v>
      </c>
      <c r="S876" s="1">
        <f>+IF(Tabla__192.168.1.8_POSEIDONSQL_APPFVT_01_tbl_detalle_fill_rate[[#This Row],[Pend Emb]]&gt;0,1,0)</f>
        <v>0</v>
      </c>
      <c r="T8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7" spans="1:20" x14ac:dyDescent="0.25">
      <c r="A877">
        <v>3</v>
      </c>
      <c r="B877" t="s">
        <v>50</v>
      </c>
      <c r="C877">
        <v>50051889</v>
      </c>
      <c r="D877" s="48">
        <v>43346</v>
      </c>
      <c r="E877" s="48">
        <v>43345</v>
      </c>
      <c r="F877" s="48">
        <v>43355</v>
      </c>
      <c r="G877" t="s">
        <v>92</v>
      </c>
      <c r="H877" t="s">
        <v>93</v>
      </c>
      <c r="I877">
        <v>1</v>
      </c>
      <c r="J877" t="s">
        <v>556</v>
      </c>
      <c r="K877">
        <v>1</v>
      </c>
      <c r="L877">
        <v>1</v>
      </c>
      <c r="M877" t="s">
        <v>161</v>
      </c>
      <c r="N877">
        <v>0</v>
      </c>
      <c r="O877" s="1">
        <f>+Tabla__192.168.1.8_POSEIDONSQL_APPFVT_01_tbl_detalle_fill_rate[[#This Row],[emb_cantidad]]-Tabla__192.168.1.8_POSEIDONSQL_APPFVT_01_tbl_detalle_fill_rate[[#This Row],[dev_cantidad]]</f>
        <v>1</v>
      </c>
      <c r="P8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7" s="1">
        <f>+Tabla__192.168.1.8_POSEIDONSQL_APPFVT_01_tbl_detalle_fill_rate[[#This Row],[Cumpl Real Unds]]-Tabla__192.168.1.8_POSEIDONSQL_APPFVT_01_tbl_detalle_fill_rate[[#This Row],[Cant Embarcada]]</f>
        <v>0</v>
      </c>
      <c r="S877" s="1">
        <f>+IF(Tabla__192.168.1.8_POSEIDONSQL_APPFVT_01_tbl_detalle_fill_rate[[#This Row],[Pend Emb]]&gt;0,1,0)</f>
        <v>0</v>
      </c>
      <c r="T8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8" spans="1:20" x14ac:dyDescent="0.25">
      <c r="A878">
        <v>3</v>
      </c>
      <c r="B878" t="s">
        <v>50</v>
      </c>
      <c r="C878">
        <v>50051889</v>
      </c>
      <c r="D878" s="48">
        <v>43346</v>
      </c>
      <c r="E878" s="48">
        <v>43345</v>
      </c>
      <c r="F878" s="48">
        <v>43355</v>
      </c>
      <c r="G878" t="s">
        <v>557</v>
      </c>
      <c r="H878" t="s">
        <v>558</v>
      </c>
      <c r="I878">
        <v>1</v>
      </c>
      <c r="J878" t="s">
        <v>559</v>
      </c>
      <c r="K878">
        <v>1</v>
      </c>
      <c r="L878">
        <v>1</v>
      </c>
      <c r="M878" t="s">
        <v>161</v>
      </c>
      <c r="N878">
        <v>0</v>
      </c>
      <c r="O878" s="1">
        <f>+Tabla__192.168.1.8_POSEIDONSQL_APPFVT_01_tbl_detalle_fill_rate[[#This Row],[emb_cantidad]]-Tabla__192.168.1.8_POSEIDONSQL_APPFVT_01_tbl_detalle_fill_rate[[#This Row],[dev_cantidad]]</f>
        <v>1</v>
      </c>
      <c r="P8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8" s="1">
        <f>+Tabla__192.168.1.8_POSEIDONSQL_APPFVT_01_tbl_detalle_fill_rate[[#This Row],[Cumpl Real Unds]]-Tabla__192.168.1.8_POSEIDONSQL_APPFVT_01_tbl_detalle_fill_rate[[#This Row],[Cant Embarcada]]</f>
        <v>0</v>
      </c>
      <c r="S878" s="1">
        <f>+IF(Tabla__192.168.1.8_POSEIDONSQL_APPFVT_01_tbl_detalle_fill_rate[[#This Row],[Pend Emb]]&gt;0,1,0)</f>
        <v>0</v>
      </c>
      <c r="T8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79" spans="1:20" x14ac:dyDescent="0.25">
      <c r="A879">
        <v>3</v>
      </c>
      <c r="B879" t="s">
        <v>50</v>
      </c>
      <c r="C879">
        <v>50051889</v>
      </c>
      <c r="D879" s="48">
        <v>43346</v>
      </c>
      <c r="E879" s="48">
        <v>43345</v>
      </c>
      <c r="F879" s="48">
        <v>43367</v>
      </c>
      <c r="G879" t="s">
        <v>134</v>
      </c>
      <c r="H879" t="s">
        <v>135</v>
      </c>
      <c r="I879">
        <v>1</v>
      </c>
      <c r="J879" t="s">
        <v>562</v>
      </c>
      <c r="K879">
        <v>1</v>
      </c>
      <c r="L879">
        <v>1</v>
      </c>
      <c r="M879" t="s">
        <v>161</v>
      </c>
      <c r="N879">
        <v>0</v>
      </c>
      <c r="O879" s="1">
        <f>+Tabla__192.168.1.8_POSEIDONSQL_APPFVT_01_tbl_detalle_fill_rate[[#This Row],[emb_cantidad]]-Tabla__192.168.1.8_POSEIDONSQL_APPFVT_01_tbl_detalle_fill_rate[[#This Row],[dev_cantidad]]</f>
        <v>1</v>
      </c>
      <c r="P8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79" s="1">
        <f>+Tabla__192.168.1.8_POSEIDONSQL_APPFVT_01_tbl_detalle_fill_rate[[#This Row],[Cumpl Real Unds]]-Tabla__192.168.1.8_POSEIDONSQL_APPFVT_01_tbl_detalle_fill_rate[[#This Row],[Cant Embarcada]]</f>
        <v>0</v>
      </c>
      <c r="S879" s="1">
        <f>+IF(Tabla__192.168.1.8_POSEIDONSQL_APPFVT_01_tbl_detalle_fill_rate[[#This Row],[Pend Emb]]&gt;0,1,0)</f>
        <v>0</v>
      </c>
      <c r="T8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0" spans="1:20" x14ac:dyDescent="0.25">
      <c r="A880">
        <v>3</v>
      </c>
      <c r="B880" t="s">
        <v>50</v>
      </c>
      <c r="C880">
        <v>50051939</v>
      </c>
      <c r="D880" s="48">
        <v>43347</v>
      </c>
      <c r="E880" s="48">
        <v>43346</v>
      </c>
      <c r="F880" s="48">
        <v>43356</v>
      </c>
      <c r="G880" t="s">
        <v>306</v>
      </c>
      <c r="H880" t="s">
        <v>307</v>
      </c>
      <c r="I880">
        <v>1</v>
      </c>
      <c r="J880" t="s">
        <v>1186</v>
      </c>
      <c r="K880">
        <v>1</v>
      </c>
      <c r="L880">
        <v>3</v>
      </c>
      <c r="M880" t="s">
        <v>415</v>
      </c>
      <c r="N880">
        <v>2</v>
      </c>
      <c r="O880" s="1">
        <f>+Tabla__192.168.1.8_POSEIDONSQL_APPFVT_01_tbl_detalle_fill_rate[[#This Row],[emb_cantidad]]-Tabla__192.168.1.8_POSEIDONSQL_APPFVT_01_tbl_detalle_fill_rate[[#This Row],[dev_cantidad]]</f>
        <v>1</v>
      </c>
      <c r="P8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8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0" s="1">
        <f>+Tabla__192.168.1.8_POSEIDONSQL_APPFVT_01_tbl_detalle_fill_rate[[#This Row],[Cumpl Real Unds]]-Tabla__192.168.1.8_POSEIDONSQL_APPFVT_01_tbl_detalle_fill_rate[[#This Row],[Cant Embarcada]]</f>
        <v>0</v>
      </c>
      <c r="S880" s="1">
        <f>+IF(Tabla__192.168.1.8_POSEIDONSQL_APPFVT_01_tbl_detalle_fill_rate[[#This Row],[Pend Emb]]&gt;0,1,0)</f>
        <v>0</v>
      </c>
      <c r="T8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1" spans="1:20" x14ac:dyDescent="0.25">
      <c r="A881">
        <v>3</v>
      </c>
      <c r="B881" t="s">
        <v>50</v>
      </c>
      <c r="C881">
        <v>50051940</v>
      </c>
      <c r="D881" s="48">
        <v>43347</v>
      </c>
      <c r="E881" s="48">
        <v>43346</v>
      </c>
      <c r="F881" s="48">
        <v>43363</v>
      </c>
      <c r="G881" t="s">
        <v>92</v>
      </c>
      <c r="H881" t="s">
        <v>93</v>
      </c>
      <c r="I881">
        <v>1</v>
      </c>
      <c r="J881" t="s">
        <v>1284</v>
      </c>
      <c r="K881">
        <v>1</v>
      </c>
      <c r="L881">
        <v>3</v>
      </c>
      <c r="M881" t="s">
        <v>415</v>
      </c>
      <c r="N881">
        <v>2</v>
      </c>
      <c r="O881" s="1">
        <f>+Tabla__192.168.1.8_POSEIDONSQL_APPFVT_01_tbl_detalle_fill_rate[[#This Row],[emb_cantidad]]-Tabla__192.168.1.8_POSEIDONSQL_APPFVT_01_tbl_detalle_fill_rate[[#This Row],[dev_cantidad]]</f>
        <v>1</v>
      </c>
      <c r="P8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8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1" s="1">
        <f>+Tabla__192.168.1.8_POSEIDONSQL_APPFVT_01_tbl_detalle_fill_rate[[#This Row],[Cumpl Real Unds]]-Tabla__192.168.1.8_POSEIDONSQL_APPFVT_01_tbl_detalle_fill_rate[[#This Row],[Cant Embarcada]]</f>
        <v>0</v>
      </c>
      <c r="S881" s="1">
        <f>+IF(Tabla__192.168.1.8_POSEIDONSQL_APPFVT_01_tbl_detalle_fill_rate[[#This Row],[Pend Emb]]&gt;0,1,0)</f>
        <v>0</v>
      </c>
      <c r="T8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2" spans="1:20" x14ac:dyDescent="0.25">
      <c r="A882">
        <v>3</v>
      </c>
      <c r="B882" t="s">
        <v>50</v>
      </c>
      <c r="C882">
        <v>50051940</v>
      </c>
      <c r="D882" s="48">
        <v>43347</v>
      </c>
      <c r="E882" s="48">
        <v>43346</v>
      </c>
      <c r="F882" s="48">
        <v>43356</v>
      </c>
      <c r="G882" t="s">
        <v>92</v>
      </c>
      <c r="H882" t="s">
        <v>93</v>
      </c>
      <c r="I882">
        <v>1</v>
      </c>
      <c r="J882" t="s">
        <v>1187</v>
      </c>
      <c r="K882">
        <v>1</v>
      </c>
      <c r="L882">
        <v>3</v>
      </c>
      <c r="M882" t="s">
        <v>415</v>
      </c>
      <c r="N882">
        <v>2</v>
      </c>
      <c r="O882" s="1">
        <f>+Tabla__192.168.1.8_POSEIDONSQL_APPFVT_01_tbl_detalle_fill_rate[[#This Row],[emb_cantidad]]-Tabla__192.168.1.8_POSEIDONSQL_APPFVT_01_tbl_detalle_fill_rate[[#This Row],[dev_cantidad]]</f>
        <v>1</v>
      </c>
      <c r="P8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8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2" s="1">
        <f>+Tabla__192.168.1.8_POSEIDONSQL_APPFVT_01_tbl_detalle_fill_rate[[#This Row],[Cumpl Real Unds]]-Tabla__192.168.1.8_POSEIDONSQL_APPFVT_01_tbl_detalle_fill_rate[[#This Row],[Cant Embarcada]]</f>
        <v>0</v>
      </c>
      <c r="S882" s="1">
        <f>+IF(Tabla__192.168.1.8_POSEIDONSQL_APPFVT_01_tbl_detalle_fill_rate[[#This Row],[Pend Emb]]&gt;0,1,0)</f>
        <v>0</v>
      </c>
      <c r="T8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3" spans="1:20" x14ac:dyDescent="0.25">
      <c r="A883">
        <v>3</v>
      </c>
      <c r="B883" t="s">
        <v>50</v>
      </c>
      <c r="C883">
        <v>50051940</v>
      </c>
      <c r="D883" s="48">
        <v>43347</v>
      </c>
      <c r="E883" s="48">
        <v>43346</v>
      </c>
      <c r="F883" s="48">
        <v>43356</v>
      </c>
      <c r="G883" t="s">
        <v>92</v>
      </c>
      <c r="H883" t="s">
        <v>93</v>
      </c>
      <c r="I883">
        <v>1</v>
      </c>
      <c r="J883" t="s">
        <v>1282</v>
      </c>
      <c r="K883">
        <v>1</v>
      </c>
      <c r="L883">
        <v>3</v>
      </c>
      <c r="M883" t="s">
        <v>415</v>
      </c>
      <c r="N883">
        <v>2</v>
      </c>
      <c r="O883" s="1">
        <f>+Tabla__192.168.1.8_POSEIDONSQL_APPFVT_01_tbl_detalle_fill_rate[[#This Row],[emb_cantidad]]-Tabla__192.168.1.8_POSEIDONSQL_APPFVT_01_tbl_detalle_fill_rate[[#This Row],[dev_cantidad]]</f>
        <v>1</v>
      </c>
      <c r="P8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2</v>
      </c>
      <c r="Q8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3" s="1">
        <f>+Tabla__192.168.1.8_POSEIDONSQL_APPFVT_01_tbl_detalle_fill_rate[[#This Row],[Cumpl Real Unds]]-Tabla__192.168.1.8_POSEIDONSQL_APPFVT_01_tbl_detalle_fill_rate[[#This Row],[Cant Embarcada]]</f>
        <v>0</v>
      </c>
      <c r="S883" s="1">
        <f>+IF(Tabla__192.168.1.8_POSEIDONSQL_APPFVT_01_tbl_detalle_fill_rate[[#This Row],[Pend Emb]]&gt;0,1,0)</f>
        <v>0</v>
      </c>
      <c r="T8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4" spans="1:20" x14ac:dyDescent="0.25">
      <c r="A884">
        <v>9</v>
      </c>
      <c r="B884" t="s">
        <v>48</v>
      </c>
      <c r="C884">
        <v>9188174</v>
      </c>
      <c r="D884" s="48">
        <v>43334</v>
      </c>
      <c r="E884" s="48">
        <v>43334</v>
      </c>
      <c r="F884" s="48">
        <v>43343</v>
      </c>
      <c r="G884" t="s">
        <v>62</v>
      </c>
      <c r="H884" t="s">
        <v>63</v>
      </c>
      <c r="I884">
        <v>1</v>
      </c>
      <c r="J884" t="s">
        <v>1214</v>
      </c>
      <c r="K884">
        <v>1</v>
      </c>
      <c r="L884">
        <v>1</v>
      </c>
      <c r="M884" t="s">
        <v>1962</v>
      </c>
      <c r="N884">
        <v>0</v>
      </c>
      <c r="O884" s="1">
        <f>+Tabla__192.168.1.8_POSEIDONSQL_APPFVT_01_tbl_detalle_fill_rate[[#This Row],[emb_cantidad]]-Tabla__192.168.1.8_POSEIDONSQL_APPFVT_01_tbl_detalle_fill_rate[[#This Row],[dev_cantidad]]</f>
        <v>1</v>
      </c>
      <c r="P8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4" s="1">
        <f>+Tabla__192.168.1.8_POSEIDONSQL_APPFVT_01_tbl_detalle_fill_rate[[#This Row],[Cumpl Real Unds]]-Tabla__192.168.1.8_POSEIDONSQL_APPFVT_01_tbl_detalle_fill_rate[[#This Row],[Cant Embarcada]]</f>
        <v>0</v>
      </c>
      <c r="S884" s="1">
        <f>+IF(Tabla__192.168.1.8_POSEIDONSQL_APPFVT_01_tbl_detalle_fill_rate[[#This Row],[Pend Emb]]&gt;0,1,0)</f>
        <v>0</v>
      </c>
      <c r="T8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5" spans="1:20" x14ac:dyDescent="0.25">
      <c r="A885">
        <v>9</v>
      </c>
      <c r="B885" t="s">
        <v>48</v>
      </c>
      <c r="C885">
        <v>9188174</v>
      </c>
      <c r="D885" s="48">
        <v>43334</v>
      </c>
      <c r="E885" s="48">
        <v>43333</v>
      </c>
      <c r="F885" s="48">
        <v>43341</v>
      </c>
      <c r="G885" t="s">
        <v>86</v>
      </c>
      <c r="H885" t="s">
        <v>87</v>
      </c>
      <c r="I885">
        <v>1</v>
      </c>
      <c r="J885" t="s">
        <v>1212</v>
      </c>
      <c r="K885">
        <v>1</v>
      </c>
      <c r="L885">
        <v>1</v>
      </c>
      <c r="M885" t="s">
        <v>1980</v>
      </c>
      <c r="N885">
        <v>0</v>
      </c>
      <c r="O885" s="1">
        <f>+Tabla__192.168.1.8_POSEIDONSQL_APPFVT_01_tbl_detalle_fill_rate[[#This Row],[emb_cantidad]]-Tabla__192.168.1.8_POSEIDONSQL_APPFVT_01_tbl_detalle_fill_rate[[#This Row],[dev_cantidad]]</f>
        <v>1</v>
      </c>
      <c r="P8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5" s="1">
        <f>+Tabla__192.168.1.8_POSEIDONSQL_APPFVT_01_tbl_detalle_fill_rate[[#This Row],[Cumpl Real Unds]]-Tabla__192.168.1.8_POSEIDONSQL_APPFVT_01_tbl_detalle_fill_rate[[#This Row],[Cant Embarcada]]</f>
        <v>0</v>
      </c>
      <c r="S885" s="1">
        <f>+IF(Tabla__192.168.1.8_POSEIDONSQL_APPFVT_01_tbl_detalle_fill_rate[[#This Row],[Pend Emb]]&gt;0,1,0)</f>
        <v>0</v>
      </c>
      <c r="T8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6" spans="1:20" x14ac:dyDescent="0.25">
      <c r="A886">
        <v>9</v>
      </c>
      <c r="B886" t="s">
        <v>48</v>
      </c>
      <c r="C886">
        <v>9188334</v>
      </c>
      <c r="D886" s="48">
        <v>43335</v>
      </c>
      <c r="E886" s="48">
        <v>43334</v>
      </c>
      <c r="F886" s="48">
        <v>43341</v>
      </c>
      <c r="G886" t="s">
        <v>108</v>
      </c>
      <c r="H886" t="s">
        <v>109</v>
      </c>
      <c r="I886">
        <v>1</v>
      </c>
      <c r="J886" t="s">
        <v>1548</v>
      </c>
      <c r="K886">
        <v>1</v>
      </c>
      <c r="L886">
        <v>1</v>
      </c>
      <c r="M886" t="s">
        <v>1980</v>
      </c>
      <c r="N886">
        <v>0</v>
      </c>
      <c r="O886" s="1">
        <f>+Tabla__192.168.1.8_POSEIDONSQL_APPFVT_01_tbl_detalle_fill_rate[[#This Row],[emb_cantidad]]-Tabla__192.168.1.8_POSEIDONSQL_APPFVT_01_tbl_detalle_fill_rate[[#This Row],[dev_cantidad]]</f>
        <v>1</v>
      </c>
      <c r="P8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6" s="1">
        <f>+Tabla__192.168.1.8_POSEIDONSQL_APPFVT_01_tbl_detalle_fill_rate[[#This Row],[Cumpl Real Unds]]-Tabla__192.168.1.8_POSEIDONSQL_APPFVT_01_tbl_detalle_fill_rate[[#This Row],[Cant Embarcada]]</f>
        <v>0</v>
      </c>
      <c r="S886" s="1">
        <f>+IF(Tabla__192.168.1.8_POSEIDONSQL_APPFVT_01_tbl_detalle_fill_rate[[#This Row],[Pend Emb]]&gt;0,1,0)</f>
        <v>0</v>
      </c>
      <c r="T8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7" spans="1:20" x14ac:dyDescent="0.25">
      <c r="A887">
        <v>9</v>
      </c>
      <c r="B887" t="s">
        <v>48</v>
      </c>
      <c r="C887">
        <v>9188334</v>
      </c>
      <c r="D887" s="48">
        <v>43335</v>
      </c>
      <c r="E887" s="48">
        <v>43334</v>
      </c>
      <c r="F887" s="48">
        <v>43343</v>
      </c>
      <c r="G887" t="s">
        <v>108</v>
      </c>
      <c r="H887" t="s">
        <v>109</v>
      </c>
      <c r="I887">
        <v>1</v>
      </c>
      <c r="J887" t="s">
        <v>1551</v>
      </c>
      <c r="K887">
        <v>1</v>
      </c>
      <c r="L887">
        <v>1</v>
      </c>
      <c r="M887" t="s">
        <v>1962</v>
      </c>
      <c r="N887">
        <v>0</v>
      </c>
      <c r="O887" s="1">
        <f>+Tabla__192.168.1.8_POSEIDONSQL_APPFVT_01_tbl_detalle_fill_rate[[#This Row],[emb_cantidad]]-Tabla__192.168.1.8_POSEIDONSQL_APPFVT_01_tbl_detalle_fill_rate[[#This Row],[dev_cantidad]]</f>
        <v>1</v>
      </c>
      <c r="P8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7" s="1">
        <f>+Tabla__192.168.1.8_POSEIDONSQL_APPFVT_01_tbl_detalle_fill_rate[[#This Row],[Cumpl Real Unds]]-Tabla__192.168.1.8_POSEIDONSQL_APPFVT_01_tbl_detalle_fill_rate[[#This Row],[Cant Embarcada]]</f>
        <v>0</v>
      </c>
      <c r="S887" s="1">
        <f>+IF(Tabla__192.168.1.8_POSEIDONSQL_APPFVT_01_tbl_detalle_fill_rate[[#This Row],[Pend Emb]]&gt;0,1,0)</f>
        <v>0</v>
      </c>
      <c r="T8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8" spans="1:20" x14ac:dyDescent="0.25">
      <c r="A888">
        <v>9</v>
      </c>
      <c r="B888" t="s">
        <v>48</v>
      </c>
      <c r="C888">
        <v>9188368</v>
      </c>
      <c r="D888" s="48">
        <v>43335</v>
      </c>
      <c r="E888" s="48">
        <v>43334</v>
      </c>
      <c r="F888" s="48">
        <v>43343</v>
      </c>
      <c r="G888" t="s">
        <v>62</v>
      </c>
      <c r="H888" t="s">
        <v>63</v>
      </c>
      <c r="I888">
        <v>1</v>
      </c>
      <c r="J888" t="s">
        <v>1552</v>
      </c>
      <c r="K888">
        <v>1</v>
      </c>
      <c r="L888">
        <v>1</v>
      </c>
      <c r="M888" t="s">
        <v>1962</v>
      </c>
      <c r="N888">
        <v>0</v>
      </c>
      <c r="O888" s="1">
        <f>+Tabla__192.168.1.8_POSEIDONSQL_APPFVT_01_tbl_detalle_fill_rate[[#This Row],[emb_cantidad]]-Tabla__192.168.1.8_POSEIDONSQL_APPFVT_01_tbl_detalle_fill_rate[[#This Row],[dev_cantidad]]</f>
        <v>1</v>
      </c>
      <c r="P8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8" s="1">
        <f>+Tabla__192.168.1.8_POSEIDONSQL_APPFVT_01_tbl_detalle_fill_rate[[#This Row],[Cumpl Real Unds]]-Tabla__192.168.1.8_POSEIDONSQL_APPFVT_01_tbl_detalle_fill_rate[[#This Row],[Cant Embarcada]]</f>
        <v>0</v>
      </c>
      <c r="S888" s="1">
        <f>+IF(Tabla__192.168.1.8_POSEIDONSQL_APPFVT_01_tbl_detalle_fill_rate[[#This Row],[Pend Emb]]&gt;0,1,0)</f>
        <v>0</v>
      </c>
      <c r="T8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89" spans="1:20" x14ac:dyDescent="0.25">
      <c r="A889">
        <v>9</v>
      </c>
      <c r="B889" t="s">
        <v>48</v>
      </c>
      <c r="C889">
        <v>9188368</v>
      </c>
      <c r="D889" s="48">
        <v>43335</v>
      </c>
      <c r="E889" s="48">
        <v>43334</v>
      </c>
      <c r="F889" s="48">
        <v>43343</v>
      </c>
      <c r="G889" t="s">
        <v>62</v>
      </c>
      <c r="H889" t="s">
        <v>63</v>
      </c>
      <c r="I889">
        <v>1</v>
      </c>
      <c r="J889" t="s">
        <v>1553</v>
      </c>
      <c r="K889">
        <v>1</v>
      </c>
      <c r="L889">
        <v>1</v>
      </c>
      <c r="M889" t="s">
        <v>1962</v>
      </c>
      <c r="N889">
        <v>0</v>
      </c>
      <c r="O889" s="1">
        <f>+Tabla__192.168.1.8_POSEIDONSQL_APPFVT_01_tbl_detalle_fill_rate[[#This Row],[emb_cantidad]]-Tabla__192.168.1.8_POSEIDONSQL_APPFVT_01_tbl_detalle_fill_rate[[#This Row],[dev_cantidad]]</f>
        <v>1</v>
      </c>
      <c r="P8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89" s="1">
        <f>+Tabla__192.168.1.8_POSEIDONSQL_APPFVT_01_tbl_detalle_fill_rate[[#This Row],[Cumpl Real Unds]]-Tabla__192.168.1.8_POSEIDONSQL_APPFVT_01_tbl_detalle_fill_rate[[#This Row],[Cant Embarcada]]</f>
        <v>0</v>
      </c>
      <c r="S889" s="1">
        <f>+IF(Tabla__192.168.1.8_POSEIDONSQL_APPFVT_01_tbl_detalle_fill_rate[[#This Row],[Pend Emb]]&gt;0,1,0)</f>
        <v>0</v>
      </c>
      <c r="T8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0" spans="1:20" x14ac:dyDescent="0.25">
      <c r="A890">
        <v>9</v>
      </c>
      <c r="B890" t="s">
        <v>48</v>
      </c>
      <c r="C890">
        <v>9188460</v>
      </c>
      <c r="D890" s="48">
        <v>43335</v>
      </c>
      <c r="E890" s="48">
        <v>43334</v>
      </c>
      <c r="F890" s="48">
        <v>43339</v>
      </c>
      <c r="G890" t="s">
        <v>316</v>
      </c>
      <c r="H890" t="s">
        <v>317</v>
      </c>
      <c r="I890">
        <v>1</v>
      </c>
      <c r="J890" t="s">
        <v>1547</v>
      </c>
      <c r="K890">
        <v>1</v>
      </c>
      <c r="L890">
        <v>1</v>
      </c>
      <c r="M890" t="s">
        <v>1971</v>
      </c>
      <c r="N890">
        <v>0</v>
      </c>
      <c r="O890" s="1">
        <f>+Tabla__192.168.1.8_POSEIDONSQL_APPFVT_01_tbl_detalle_fill_rate[[#This Row],[emb_cantidad]]-Tabla__192.168.1.8_POSEIDONSQL_APPFVT_01_tbl_detalle_fill_rate[[#This Row],[dev_cantidad]]</f>
        <v>1</v>
      </c>
      <c r="P8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0" s="1">
        <f>+Tabla__192.168.1.8_POSEIDONSQL_APPFVT_01_tbl_detalle_fill_rate[[#This Row],[Cumpl Real Unds]]-Tabla__192.168.1.8_POSEIDONSQL_APPFVT_01_tbl_detalle_fill_rate[[#This Row],[Cant Embarcada]]</f>
        <v>0</v>
      </c>
      <c r="S890" s="1">
        <f>+IF(Tabla__192.168.1.8_POSEIDONSQL_APPFVT_01_tbl_detalle_fill_rate[[#This Row],[Pend Emb]]&gt;0,1,0)</f>
        <v>0</v>
      </c>
      <c r="T8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1" spans="1:20" x14ac:dyDescent="0.25">
      <c r="A891">
        <v>9</v>
      </c>
      <c r="B891" t="s">
        <v>48</v>
      </c>
      <c r="C891">
        <v>9188644</v>
      </c>
      <c r="D891" s="48">
        <v>43335</v>
      </c>
      <c r="E891" s="48">
        <v>43334</v>
      </c>
      <c r="F891" s="48">
        <v>43341</v>
      </c>
      <c r="G891" t="s">
        <v>92</v>
      </c>
      <c r="H891" t="s">
        <v>93</v>
      </c>
      <c r="I891">
        <v>1</v>
      </c>
      <c r="J891" t="s">
        <v>1549</v>
      </c>
      <c r="K891">
        <v>1</v>
      </c>
      <c r="L891">
        <v>1</v>
      </c>
      <c r="M891" t="s">
        <v>1980</v>
      </c>
      <c r="N891">
        <v>0</v>
      </c>
      <c r="O891" s="1">
        <f>+Tabla__192.168.1.8_POSEIDONSQL_APPFVT_01_tbl_detalle_fill_rate[[#This Row],[emb_cantidad]]-Tabla__192.168.1.8_POSEIDONSQL_APPFVT_01_tbl_detalle_fill_rate[[#This Row],[dev_cantidad]]</f>
        <v>1</v>
      </c>
      <c r="P8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1" s="1">
        <f>+Tabla__192.168.1.8_POSEIDONSQL_APPFVT_01_tbl_detalle_fill_rate[[#This Row],[Cumpl Real Unds]]-Tabla__192.168.1.8_POSEIDONSQL_APPFVT_01_tbl_detalle_fill_rate[[#This Row],[Cant Embarcada]]</f>
        <v>0</v>
      </c>
      <c r="S891" s="1">
        <f>+IF(Tabla__192.168.1.8_POSEIDONSQL_APPFVT_01_tbl_detalle_fill_rate[[#This Row],[Pend Emb]]&gt;0,1,0)</f>
        <v>0</v>
      </c>
      <c r="T8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2" spans="1:20" x14ac:dyDescent="0.25">
      <c r="A892">
        <v>9</v>
      </c>
      <c r="B892" t="s">
        <v>48</v>
      </c>
      <c r="C892">
        <v>9188645</v>
      </c>
      <c r="D892" s="48">
        <v>43335</v>
      </c>
      <c r="E892" s="48">
        <v>43334</v>
      </c>
      <c r="F892" s="48">
        <v>43348</v>
      </c>
      <c r="G892" t="s">
        <v>240</v>
      </c>
      <c r="H892" t="s">
        <v>241</v>
      </c>
      <c r="I892">
        <v>1</v>
      </c>
      <c r="J892" t="s">
        <v>1091</v>
      </c>
      <c r="K892">
        <v>1</v>
      </c>
      <c r="L892">
        <v>1</v>
      </c>
      <c r="M892" t="s">
        <v>160</v>
      </c>
      <c r="N892">
        <v>0</v>
      </c>
      <c r="O892" s="1">
        <f>+Tabla__192.168.1.8_POSEIDONSQL_APPFVT_01_tbl_detalle_fill_rate[[#This Row],[emb_cantidad]]-Tabla__192.168.1.8_POSEIDONSQL_APPFVT_01_tbl_detalle_fill_rate[[#This Row],[dev_cantidad]]</f>
        <v>1</v>
      </c>
      <c r="P8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2" s="1">
        <f>+Tabla__192.168.1.8_POSEIDONSQL_APPFVT_01_tbl_detalle_fill_rate[[#This Row],[Cumpl Real Unds]]-Tabla__192.168.1.8_POSEIDONSQL_APPFVT_01_tbl_detalle_fill_rate[[#This Row],[Cant Embarcada]]</f>
        <v>0</v>
      </c>
      <c r="S892" s="1">
        <f>+IF(Tabla__192.168.1.8_POSEIDONSQL_APPFVT_01_tbl_detalle_fill_rate[[#This Row],[Pend Emb]]&gt;0,1,0)</f>
        <v>0</v>
      </c>
      <c r="T8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3" spans="1:20" x14ac:dyDescent="0.25">
      <c r="A893">
        <v>9</v>
      </c>
      <c r="B893" t="s">
        <v>48</v>
      </c>
      <c r="C893">
        <v>9188761</v>
      </c>
      <c r="D893" s="48">
        <v>43335</v>
      </c>
      <c r="E893" s="48">
        <v>43334</v>
      </c>
      <c r="F893" s="48">
        <v>43341</v>
      </c>
      <c r="G893" t="s">
        <v>104</v>
      </c>
      <c r="H893" t="s">
        <v>105</v>
      </c>
      <c r="I893">
        <v>1</v>
      </c>
      <c r="J893" t="s">
        <v>1550</v>
      </c>
      <c r="K893">
        <v>1</v>
      </c>
      <c r="L893">
        <v>1</v>
      </c>
      <c r="M893" t="s">
        <v>1980</v>
      </c>
      <c r="N893">
        <v>0</v>
      </c>
      <c r="O893" s="1">
        <f>+Tabla__192.168.1.8_POSEIDONSQL_APPFVT_01_tbl_detalle_fill_rate[[#This Row],[emb_cantidad]]-Tabla__192.168.1.8_POSEIDONSQL_APPFVT_01_tbl_detalle_fill_rate[[#This Row],[dev_cantidad]]</f>
        <v>1</v>
      </c>
      <c r="P8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3" s="1">
        <f>+Tabla__192.168.1.8_POSEIDONSQL_APPFVT_01_tbl_detalle_fill_rate[[#This Row],[Cumpl Real Unds]]-Tabla__192.168.1.8_POSEIDONSQL_APPFVT_01_tbl_detalle_fill_rate[[#This Row],[Cant Embarcada]]</f>
        <v>0</v>
      </c>
      <c r="S893" s="1">
        <f>+IF(Tabla__192.168.1.8_POSEIDONSQL_APPFVT_01_tbl_detalle_fill_rate[[#This Row],[Pend Emb]]&gt;0,1,0)</f>
        <v>0</v>
      </c>
      <c r="T8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4" spans="1:20" x14ac:dyDescent="0.25">
      <c r="A894">
        <v>9</v>
      </c>
      <c r="B894" t="s">
        <v>48</v>
      </c>
      <c r="C894">
        <v>9188762</v>
      </c>
      <c r="D894" s="48">
        <v>43335</v>
      </c>
      <c r="E894" s="48">
        <v>43334</v>
      </c>
      <c r="F894" s="48">
        <v>43348</v>
      </c>
      <c r="G894" t="s">
        <v>240</v>
      </c>
      <c r="H894" t="s">
        <v>241</v>
      </c>
      <c r="I894">
        <v>1</v>
      </c>
      <c r="J894" t="s">
        <v>1090</v>
      </c>
      <c r="K894">
        <v>1</v>
      </c>
      <c r="L894">
        <v>1</v>
      </c>
      <c r="M894" t="s">
        <v>160</v>
      </c>
      <c r="N894">
        <v>0</v>
      </c>
      <c r="O894" s="1">
        <f>+Tabla__192.168.1.8_POSEIDONSQL_APPFVT_01_tbl_detalle_fill_rate[[#This Row],[emb_cantidad]]-Tabla__192.168.1.8_POSEIDONSQL_APPFVT_01_tbl_detalle_fill_rate[[#This Row],[dev_cantidad]]</f>
        <v>1</v>
      </c>
      <c r="P8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4" s="1">
        <f>+Tabla__192.168.1.8_POSEIDONSQL_APPFVT_01_tbl_detalle_fill_rate[[#This Row],[Cumpl Real Unds]]-Tabla__192.168.1.8_POSEIDONSQL_APPFVT_01_tbl_detalle_fill_rate[[#This Row],[Cant Embarcada]]</f>
        <v>0</v>
      </c>
      <c r="S894" s="1">
        <f>+IF(Tabla__192.168.1.8_POSEIDONSQL_APPFVT_01_tbl_detalle_fill_rate[[#This Row],[Pend Emb]]&gt;0,1,0)</f>
        <v>0</v>
      </c>
      <c r="T8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5" spans="1:20" x14ac:dyDescent="0.25">
      <c r="A895">
        <v>9</v>
      </c>
      <c r="B895" t="s">
        <v>48</v>
      </c>
      <c r="C895">
        <v>9188773</v>
      </c>
      <c r="D895" s="48">
        <v>43335</v>
      </c>
      <c r="E895" s="48">
        <v>43335</v>
      </c>
      <c r="F895" s="48">
        <v>43346</v>
      </c>
      <c r="G895" t="s">
        <v>62</v>
      </c>
      <c r="H895" t="s">
        <v>63</v>
      </c>
      <c r="I895">
        <v>1</v>
      </c>
      <c r="J895" t="s">
        <v>768</v>
      </c>
      <c r="K895">
        <v>1</v>
      </c>
      <c r="L895">
        <v>1</v>
      </c>
      <c r="M895" t="s">
        <v>1963</v>
      </c>
      <c r="N895">
        <v>0</v>
      </c>
      <c r="O895" s="1">
        <f>+Tabla__192.168.1.8_POSEIDONSQL_APPFVT_01_tbl_detalle_fill_rate[[#This Row],[emb_cantidad]]-Tabla__192.168.1.8_POSEIDONSQL_APPFVT_01_tbl_detalle_fill_rate[[#This Row],[dev_cantidad]]</f>
        <v>1</v>
      </c>
      <c r="P8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5" s="1">
        <f>+Tabla__192.168.1.8_POSEIDONSQL_APPFVT_01_tbl_detalle_fill_rate[[#This Row],[Cumpl Real Unds]]-Tabla__192.168.1.8_POSEIDONSQL_APPFVT_01_tbl_detalle_fill_rate[[#This Row],[Cant Embarcada]]</f>
        <v>0</v>
      </c>
      <c r="S895" s="1">
        <f>+IF(Tabla__192.168.1.8_POSEIDONSQL_APPFVT_01_tbl_detalle_fill_rate[[#This Row],[Pend Emb]]&gt;0,1,0)</f>
        <v>0</v>
      </c>
      <c r="T8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6" spans="1:20" x14ac:dyDescent="0.25">
      <c r="A896">
        <v>9</v>
      </c>
      <c r="B896" t="s">
        <v>48</v>
      </c>
      <c r="C896">
        <v>9188836</v>
      </c>
      <c r="D896" s="48">
        <v>43335</v>
      </c>
      <c r="E896" s="48">
        <v>43335</v>
      </c>
      <c r="F896" s="48">
        <v>43346</v>
      </c>
      <c r="G896" t="s">
        <v>62</v>
      </c>
      <c r="H896" t="s">
        <v>63</v>
      </c>
      <c r="I896">
        <v>1</v>
      </c>
      <c r="J896" t="s">
        <v>769</v>
      </c>
      <c r="K896">
        <v>1</v>
      </c>
      <c r="L896">
        <v>1</v>
      </c>
      <c r="M896" t="s">
        <v>1963</v>
      </c>
      <c r="N896">
        <v>0</v>
      </c>
      <c r="O896" s="1">
        <f>+Tabla__192.168.1.8_POSEIDONSQL_APPFVT_01_tbl_detalle_fill_rate[[#This Row],[emb_cantidad]]-Tabla__192.168.1.8_POSEIDONSQL_APPFVT_01_tbl_detalle_fill_rate[[#This Row],[dev_cantidad]]</f>
        <v>1</v>
      </c>
      <c r="P8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6" s="1">
        <f>+Tabla__192.168.1.8_POSEIDONSQL_APPFVT_01_tbl_detalle_fill_rate[[#This Row],[Cumpl Real Unds]]-Tabla__192.168.1.8_POSEIDONSQL_APPFVT_01_tbl_detalle_fill_rate[[#This Row],[Cant Embarcada]]</f>
        <v>0</v>
      </c>
      <c r="S896" s="1">
        <f>+IF(Tabla__192.168.1.8_POSEIDONSQL_APPFVT_01_tbl_detalle_fill_rate[[#This Row],[Pend Emb]]&gt;0,1,0)</f>
        <v>0</v>
      </c>
      <c r="T8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7" spans="1:20" x14ac:dyDescent="0.25">
      <c r="A897">
        <v>9</v>
      </c>
      <c r="B897" t="s">
        <v>48</v>
      </c>
      <c r="C897">
        <v>9188858</v>
      </c>
      <c r="D897" s="48">
        <v>43336</v>
      </c>
      <c r="E897" s="48">
        <v>43335</v>
      </c>
      <c r="F897" s="48">
        <v>43346</v>
      </c>
      <c r="G897" t="s">
        <v>62</v>
      </c>
      <c r="H897" t="s">
        <v>63</v>
      </c>
      <c r="I897">
        <v>1</v>
      </c>
      <c r="J897" t="s">
        <v>770</v>
      </c>
      <c r="K897">
        <v>1</v>
      </c>
      <c r="L897">
        <v>1</v>
      </c>
      <c r="M897" t="s">
        <v>1963</v>
      </c>
      <c r="N897">
        <v>0</v>
      </c>
      <c r="O897" s="1">
        <f>+Tabla__192.168.1.8_POSEIDONSQL_APPFVT_01_tbl_detalle_fill_rate[[#This Row],[emb_cantidad]]-Tabla__192.168.1.8_POSEIDONSQL_APPFVT_01_tbl_detalle_fill_rate[[#This Row],[dev_cantidad]]</f>
        <v>1</v>
      </c>
      <c r="P8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7" s="1">
        <f>+Tabla__192.168.1.8_POSEIDONSQL_APPFVT_01_tbl_detalle_fill_rate[[#This Row],[Cumpl Real Unds]]-Tabla__192.168.1.8_POSEIDONSQL_APPFVT_01_tbl_detalle_fill_rate[[#This Row],[Cant Embarcada]]</f>
        <v>0</v>
      </c>
      <c r="S897" s="1">
        <f>+IF(Tabla__192.168.1.8_POSEIDONSQL_APPFVT_01_tbl_detalle_fill_rate[[#This Row],[Pend Emb]]&gt;0,1,0)</f>
        <v>0</v>
      </c>
      <c r="T8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8" spans="1:20" x14ac:dyDescent="0.25">
      <c r="A898">
        <v>9</v>
      </c>
      <c r="B898" t="s">
        <v>48</v>
      </c>
      <c r="C898">
        <v>9188933</v>
      </c>
      <c r="D898" s="48">
        <v>43336</v>
      </c>
      <c r="E898" s="48">
        <v>43335</v>
      </c>
      <c r="F898" s="48">
        <v>43341</v>
      </c>
      <c r="G898" t="s">
        <v>112</v>
      </c>
      <c r="H898" t="s">
        <v>113</v>
      </c>
      <c r="I898">
        <v>1</v>
      </c>
      <c r="J898" t="s">
        <v>1944</v>
      </c>
      <c r="K898">
        <v>1</v>
      </c>
      <c r="L898">
        <v>1</v>
      </c>
      <c r="M898" t="s">
        <v>1980</v>
      </c>
      <c r="N898">
        <v>0</v>
      </c>
      <c r="O898" s="1">
        <f>+Tabla__192.168.1.8_POSEIDONSQL_APPFVT_01_tbl_detalle_fill_rate[[#This Row],[emb_cantidad]]-Tabla__192.168.1.8_POSEIDONSQL_APPFVT_01_tbl_detalle_fill_rate[[#This Row],[dev_cantidad]]</f>
        <v>1</v>
      </c>
      <c r="P8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8" s="1">
        <f>+Tabla__192.168.1.8_POSEIDONSQL_APPFVT_01_tbl_detalle_fill_rate[[#This Row],[Cumpl Real Unds]]-Tabla__192.168.1.8_POSEIDONSQL_APPFVT_01_tbl_detalle_fill_rate[[#This Row],[Cant Embarcada]]</f>
        <v>0</v>
      </c>
      <c r="S898" s="1">
        <f>+IF(Tabla__192.168.1.8_POSEIDONSQL_APPFVT_01_tbl_detalle_fill_rate[[#This Row],[Pend Emb]]&gt;0,1,0)</f>
        <v>0</v>
      </c>
      <c r="T8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899" spans="1:20" x14ac:dyDescent="0.25">
      <c r="A899">
        <v>9</v>
      </c>
      <c r="B899" t="s">
        <v>48</v>
      </c>
      <c r="C899">
        <v>9188972</v>
      </c>
      <c r="D899" s="48">
        <v>43336</v>
      </c>
      <c r="E899" s="48">
        <v>43335</v>
      </c>
      <c r="F899" s="48">
        <v>43343</v>
      </c>
      <c r="G899" t="s">
        <v>108</v>
      </c>
      <c r="H899" t="s">
        <v>109</v>
      </c>
      <c r="I899">
        <v>1</v>
      </c>
      <c r="J899" t="s">
        <v>1945</v>
      </c>
      <c r="K899">
        <v>1</v>
      </c>
      <c r="L899">
        <v>1</v>
      </c>
      <c r="M899" t="s">
        <v>1962</v>
      </c>
      <c r="N899">
        <v>0</v>
      </c>
      <c r="O899" s="1">
        <f>+Tabla__192.168.1.8_POSEIDONSQL_APPFVT_01_tbl_detalle_fill_rate[[#This Row],[emb_cantidad]]-Tabla__192.168.1.8_POSEIDONSQL_APPFVT_01_tbl_detalle_fill_rate[[#This Row],[dev_cantidad]]</f>
        <v>1</v>
      </c>
      <c r="P8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8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899" s="1">
        <f>+Tabla__192.168.1.8_POSEIDONSQL_APPFVT_01_tbl_detalle_fill_rate[[#This Row],[Cumpl Real Unds]]-Tabla__192.168.1.8_POSEIDONSQL_APPFVT_01_tbl_detalle_fill_rate[[#This Row],[Cant Embarcada]]</f>
        <v>0</v>
      </c>
      <c r="S899" s="1">
        <f>+IF(Tabla__192.168.1.8_POSEIDONSQL_APPFVT_01_tbl_detalle_fill_rate[[#This Row],[Pend Emb]]&gt;0,1,0)</f>
        <v>0</v>
      </c>
      <c r="T8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0" spans="1:20" x14ac:dyDescent="0.25">
      <c r="A900">
        <v>9</v>
      </c>
      <c r="B900" t="s">
        <v>48</v>
      </c>
      <c r="C900">
        <v>9189018</v>
      </c>
      <c r="D900" s="48">
        <v>43336</v>
      </c>
      <c r="E900" s="48">
        <v>43335</v>
      </c>
      <c r="F900" s="48">
        <v>43341</v>
      </c>
      <c r="G900" t="s">
        <v>96</v>
      </c>
      <c r="H900" t="s">
        <v>97</v>
      </c>
      <c r="I900">
        <v>1</v>
      </c>
      <c r="J900" t="s">
        <v>1940</v>
      </c>
      <c r="K900">
        <v>1</v>
      </c>
      <c r="L900">
        <v>1</v>
      </c>
      <c r="M900" t="s">
        <v>1980</v>
      </c>
      <c r="N900">
        <v>0</v>
      </c>
      <c r="O900" s="1">
        <f>+Tabla__192.168.1.8_POSEIDONSQL_APPFVT_01_tbl_detalle_fill_rate[[#This Row],[emb_cantidad]]-Tabla__192.168.1.8_POSEIDONSQL_APPFVT_01_tbl_detalle_fill_rate[[#This Row],[dev_cantidad]]</f>
        <v>1</v>
      </c>
      <c r="P9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0" s="1">
        <f>+Tabla__192.168.1.8_POSEIDONSQL_APPFVT_01_tbl_detalle_fill_rate[[#This Row],[Cumpl Real Unds]]-Tabla__192.168.1.8_POSEIDONSQL_APPFVT_01_tbl_detalle_fill_rate[[#This Row],[Cant Embarcada]]</f>
        <v>0</v>
      </c>
      <c r="S900" s="1">
        <f>+IF(Tabla__192.168.1.8_POSEIDONSQL_APPFVT_01_tbl_detalle_fill_rate[[#This Row],[Pend Emb]]&gt;0,1,0)</f>
        <v>0</v>
      </c>
      <c r="T9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1" spans="1:20" x14ac:dyDescent="0.25">
      <c r="A901">
        <v>9</v>
      </c>
      <c r="B901" t="s">
        <v>48</v>
      </c>
      <c r="C901">
        <v>9189123</v>
      </c>
      <c r="D901" s="48">
        <v>43336</v>
      </c>
      <c r="E901" s="48">
        <v>43335</v>
      </c>
      <c r="F901" s="48">
        <v>43348</v>
      </c>
      <c r="G901" t="s">
        <v>259</v>
      </c>
      <c r="H901" t="s">
        <v>260</v>
      </c>
      <c r="I901">
        <v>1</v>
      </c>
      <c r="J901" t="s">
        <v>1089</v>
      </c>
      <c r="K901">
        <v>1</v>
      </c>
      <c r="L901">
        <v>1</v>
      </c>
      <c r="M901" t="s">
        <v>160</v>
      </c>
      <c r="N901">
        <v>0</v>
      </c>
      <c r="O901" s="1">
        <f>+Tabla__192.168.1.8_POSEIDONSQL_APPFVT_01_tbl_detalle_fill_rate[[#This Row],[emb_cantidad]]-Tabla__192.168.1.8_POSEIDONSQL_APPFVT_01_tbl_detalle_fill_rate[[#This Row],[dev_cantidad]]</f>
        <v>1</v>
      </c>
      <c r="P9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1" s="1">
        <f>+Tabla__192.168.1.8_POSEIDONSQL_APPFVT_01_tbl_detalle_fill_rate[[#This Row],[Cumpl Real Unds]]-Tabla__192.168.1.8_POSEIDONSQL_APPFVT_01_tbl_detalle_fill_rate[[#This Row],[Cant Embarcada]]</f>
        <v>0</v>
      </c>
      <c r="S901" s="1">
        <f>+IF(Tabla__192.168.1.8_POSEIDONSQL_APPFVT_01_tbl_detalle_fill_rate[[#This Row],[Pend Emb]]&gt;0,1,0)</f>
        <v>0</v>
      </c>
      <c r="T9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2" spans="1:20" x14ac:dyDescent="0.25">
      <c r="A902">
        <v>9</v>
      </c>
      <c r="B902" t="s">
        <v>48</v>
      </c>
      <c r="C902">
        <v>9189255</v>
      </c>
      <c r="D902" s="48">
        <v>43336</v>
      </c>
      <c r="E902" s="48">
        <v>43335</v>
      </c>
      <c r="F902" s="48">
        <v>43339</v>
      </c>
      <c r="G902" t="s">
        <v>146</v>
      </c>
      <c r="H902" t="s">
        <v>147</v>
      </c>
      <c r="I902">
        <v>1</v>
      </c>
      <c r="J902" t="s">
        <v>1939</v>
      </c>
      <c r="K902">
        <v>1</v>
      </c>
      <c r="L902">
        <v>1</v>
      </c>
      <c r="M902" t="s">
        <v>1971</v>
      </c>
      <c r="N902">
        <v>0</v>
      </c>
      <c r="O902" s="1">
        <f>+Tabla__192.168.1.8_POSEIDONSQL_APPFVT_01_tbl_detalle_fill_rate[[#This Row],[emb_cantidad]]-Tabla__192.168.1.8_POSEIDONSQL_APPFVT_01_tbl_detalle_fill_rate[[#This Row],[dev_cantidad]]</f>
        <v>1</v>
      </c>
      <c r="P9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2" s="1">
        <f>+Tabla__192.168.1.8_POSEIDONSQL_APPFVT_01_tbl_detalle_fill_rate[[#This Row],[Cumpl Real Unds]]-Tabla__192.168.1.8_POSEIDONSQL_APPFVT_01_tbl_detalle_fill_rate[[#This Row],[Cant Embarcada]]</f>
        <v>0</v>
      </c>
      <c r="S902" s="1">
        <f>+IF(Tabla__192.168.1.8_POSEIDONSQL_APPFVT_01_tbl_detalle_fill_rate[[#This Row],[Pend Emb]]&gt;0,1,0)</f>
        <v>0</v>
      </c>
      <c r="T9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3" spans="1:20" x14ac:dyDescent="0.25">
      <c r="A903">
        <v>9</v>
      </c>
      <c r="B903" t="s">
        <v>48</v>
      </c>
      <c r="C903">
        <v>9189296</v>
      </c>
      <c r="D903" s="48">
        <v>43336</v>
      </c>
      <c r="E903" s="48">
        <v>43335</v>
      </c>
      <c r="F903" s="48">
        <v>43341</v>
      </c>
      <c r="G903" t="s">
        <v>736</v>
      </c>
      <c r="H903" t="s">
        <v>737</v>
      </c>
      <c r="I903">
        <v>1</v>
      </c>
      <c r="J903" t="s">
        <v>1942</v>
      </c>
      <c r="K903">
        <v>1</v>
      </c>
      <c r="L903">
        <v>1</v>
      </c>
      <c r="M903" t="s">
        <v>1980</v>
      </c>
      <c r="N903">
        <v>0</v>
      </c>
      <c r="O903" s="1">
        <f>+Tabla__192.168.1.8_POSEIDONSQL_APPFVT_01_tbl_detalle_fill_rate[[#This Row],[emb_cantidad]]-Tabla__192.168.1.8_POSEIDONSQL_APPFVT_01_tbl_detalle_fill_rate[[#This Row],[dev_cantidad]]</f>
        <v>1</v>
      </c>
      <c r="P9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3" s="1">
        <f>+Tabla__192.168.1.8_POSEIDONSQL_APPFVT_01_tbl_detalle_fill_rate[[#This Row],[Cumpl Real Unds]]-Tabla__192.168.1.8_POSEIDONSQL_APPFVT_01_tbl_detalle_fill_rate[[#This Row],[Cant Embarcada]]</f>
        <v>0</v>
      </c>
      <c r="S903" s="1">
        <f>+IF(Tabla__192.168.1.8_POSEIDONSQL_APPFVT_01_tbl_detalle_fill_rate[[#This Row],[Pend Emb]]&gt;0,1,0)</f>
        <v>0</v>
      </c>
      <c r="T9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4" spans="1:20" x14ac:dyDescent="0.25">
      <c r="A904">
        <v>9</v>
      </c>
      <c r="B904" t="s">
        <v>48</v>
      </c>
      <c r="C904">
        <v>9189296</v>
      </c>
      <c r="D904" s="48">
        <v>43336</v>
      </c>
      <c r="E904" s="48">
        <v>43336</v>
      </c>
      <c r="F904" s="48">
        <v>43341</v>
      </c>
      <c r="G904" t="s">
        <v>736</v>
      </c>
      <c r="H904" t="s">
        <v>737</v>
      </c>
      <c r="I904">
        <v>1</v>
      </c>
      <c r="J904" t="s">
        <v>1943</v>
      </c>
      <c r="K904">
        <v>1</v>
      </c>
      <c r="L904">
        <v>1</v>
      </c>
      <c r="M904" t="s">
        <v>1980</v>
      </c>
      <c r="N904">
        <v>0</v>
      </c>
      <c r="O904" s="1">
        <f>+Tabla__192.168.1.8_POSEIDONSQL_APPFVT_01_tbl_detalle_fill_rate[[#This Row],[emb_cantidad]]-Tabla__192.168.1.8_POSEIDONSQL_APPFVT_01_tbl_detalle_fill_rate[[#This Row],[dev_cantidad]]</f>
        <v>1</v>
      </c>
      <c r="P9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4" s="1">
        <f>+Tabla__192.168.1.8_POSEIDONSQL_APPFVT_01_tbl_detalle_fill_rate[[#This Row],[Cumpl Real Unds]]-Tabla__192.168.1.8_POSEIDONSQL_APPFVT_01_tbl_detalle_fill_rate[[#This Row],[Cant Embarcada]]</f>
        <v>0</v>
      </c>
      <c r="S904" s="1">
        <f>+IF(Tabla__192.168.1.8_POSEIDONSQL_APPFVT_01_tbl_detalle_fill_rate[[#This Row],[Pend Emb]]&gt;0,1,0)</f>
        <v>0</v>
      </c>
      <c r="T9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5" spans="1:20" x14ac:dyDescent="0.25">
      <c r="A905">
        <v>9</v>
      </c>
      <c r="B905" t="s">
        <v>48</v>
      </c>
      <c r="C905">
        <v>9189296</v>
      </c>
      <c r="D905" s="48">
        <v>43336</v>
      </c>
      <c r="E905" s="48">
        <v>43335</v>
      </c>
      <c r="F905" s="48">
        <v>43341</v>
      </c>
      <c r="G905" t="s">
        <v>96</v>
      </c>
      <c r="H905" t="s">
        <v>97</v>
      </c>
      <c r="I905">
        <v>1</v>
      </c>
      <c r="J905" t="s">
        <v>1941</v>
      </c>
      <c r="K905">
        <v>1</v>
      </c>
      <c r="L905">
        <v>1</v>
      </c>
      <c r="M905" t="s">
        <v>1980</v>
      </c>
      <c r="N905">
        <v>0</v>
      </c>
      <c r="O905" s="1">
        <f>+Tabla__192.168.1.8_POSEIDONSQL_APPFVT_01_tbl_detalle_fill_rate[[#This Row],[emb_cantidad]]-Tabla__192.168.1.8_POSEIDONSQL_APPFVT_01_tbl_detalle_fill_rate[[#This Row],[dev_cantidad]]</f>
        <v>1</v>
      </c>
      <c r="P9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5" s="1">
        <f>+Tabla__192.168.1.8_POSEIDONSQL_APPFVT_01_tbl_detalle_fill_rate[[#This Row],[Cumpl Real Unds]]-Tabla__192.168.1.8_POSEIDONSQL_APPFVT_01_tbl_detalle_fill_rate[[#This Row],[Cant Embarcada]]</f>
        <v>0</v>
      </c>
      <c r="S905" s="1">
        <f>+IF(Tabla__192.168.1.8_POSEIDONSQL_APPFVT_01_tbl_detalle_fill_rate[[#This Row],[Pend Emb]]&gt;0,1,0)</f>
        <v>0</v>
      </c>
      <c r="T9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6" spans="1:20" x14ac:dyDescent="0.25">
      <c r="A906">
        <v>9</v>
      </c>
      <c r="B906" t="s">
        <v>48</v>
      </c>
      <c r="C906">
        <v>9189296</v>
      </c>
      <c r="D906" s="48">
        <v>43336</v>
      </c>
      <c r="E906" s="48">
        <v>43336</v>
      </c>
      <c r="F906" s="48">
        <v>43346</v>
      </c>
      <c r="G906" t="s">
        <v>471</v>
      </c>
      <c r="H906" t="s">
        <v>472</v>
      </c>
      <c r="I906">
        <v>1</v>
      </c>
      <c r="J906" t="s">
        <v>766</v>
      </c>
      <c r="K906">
        <v>1</v>
      </c>
      <c r="L906">
        <v>1</v>
      </c>
      <c r="M906" t="s">
        <v>1963</v>
      </c>
      <c r="N906">
        <v>0</v>
      </c>
      <c r="O906" s="1">
        <f>+Tabla__192.168.1.8_POSEIDONSQL_APPFVT_01_tbl_detalle_fill_rate[[#This Row],[emb_cantidad]]-Tabla__192.168.1.8_POSEIDONSQL_APPFVT_01_tbl_detalle_fill_rate[[#This Row],[dev_cantidad]]</f>
        <v>1</v>
      </c>
      <c r="P9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6" s="1">
        <f>+Tabla__192.168.1.8_POSEIDONSQL_APPFVT_01_tbl_detalle_fill_rate[[#This Row],[Cumpl Real Unds]]-Tabla__192.168.1.8_POSEIDONSQL_APPFVT_01_tbl_detalle_fill_rate[[#This Row],[Cant Embarcada]]</f>
        <v>0</v>
      </c>
      <c r="S906" s="1">
        <f>+IF(Tabla__192.168.1.8_POSEIDONSQL_APPFVT_01_tbl_detalle_fill_rate[[#This Row],[Pend Emb]]&gt;0,1,0)</f>
        <v>0</v>
      </c>
      <c r="T9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7" spans="1:20" x14ac:dyDescent="0.25">
      <c r="A907">
        <v>9</v>
      </c>
      <c r="B907" t="s">
        <v>48</v>
      </c>
      <c r="C907">
        <v>9189454</v>
      </c>
      <c r="D907" s="48">
        <v>43339</v>
      </c>
      <c r="E907" s="48">
        <v>43336</v>
      </c>
      <c r="F907" s="48">
        <v>43346</v>
      </c>
      <c r="G907" t="s">
        <v>62</v>
      </c>
      <c r="H907" t="s">
        <v>63</v>
      </c>
      <c r="I907">
        <v>1</v>
      </c>
      <c r="J907" t="s">
        <v>767</v>
      </c>
      <c r="K907">
        <v>1</v>
      </c>
      <c r="L907">
        <v>1</v>
      </c>
      <c r="M907" t="s">
        <v>1963</v>
      </c>
      <c r="N907">
        <v>0</v>
      </c>
      <c r="O907" s="1">
        <f>+Tabla__192.168.1.8_POSEIDONSQL_APPFVT_01_tbl_detalle_fill_rate[[#This Row],[emb_cantidad]]-Tabla__192.168.1.8_POSEIDONSQL_APPFVT_01_tbl_detalle_fill_rate[[#This Row],[dev_cantidad]]</f>
        <v>1</v>
      </c>
      <c r="P9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7" s="1">
        <f>+Tabla__192.168.1.8_POSEIDONSQL_APPFVT_01_tbl_detalle_fill_rate[[#This Row],[Cumpl Real Unds]]-Tabla__192.168.1.8_POSEIDONSQL_APPFVT_01_tbl_detalle_fill_rate[[#This Row],[Cant Embarcada]]</f>
        <v>0</v>
      </c>
      <c r="S907" s="1">
        <f>+IF(Tabla__192.168.1.8_POSEIDONSQL_APPFVT_01_tbl_detalle_fill_rate[[#This Row],[Pend Emb]]&gt;0,1,0)</f>
        <v>0</v>
      </c>
      <c r="T9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8" spans="1:20" x14ac:dyDescent="0.25">
      <c r="A908">
        <v>9</v>
      </c>
      <c r="B908" t="s">
        <v>48</v>
      </c>
      <c r="C908">
        <v>9189454</v>
      </c>
      <c r="D908" s="48">
        <v>43339</v>
      </c>
      <c r="E908" s="48">
        <v>43336</v>
      </c>
      <c r="F908" s="48">
        <v>43343</v>
      </c>
      <c r="G908" t="s">
        <v>96</v>
      </c>
      <c r="H908" t="s">
        <v>97</v>
      </c>
      <c r="I908">
        <v>1</v>
      </c>
      <c r="J908" t="s">
        <v>749</v>
      </c>
      <c r="K908">
        <v>1</v>
      </c>
      <c r="L908">
        <v>1</v>
      </c>
      <c r="M908" t="s">
        <v>1962</v>
      </c>
      <c r="N908">
        <v>0</v>
      </c>
      <c r="O908" s="1">
        <f>+Tabla__192.168.1.8_POSEIDONSQL_APPFVT_01_tbl_detalle_fill_rate[[#This Row],[emb_cantidad]]-Tabla__192.168.1.8_POSEIDONSQL_APPFVT_01_tbl_detalle_fill_rate[[#This Row],[dev_cantidad]]</f>
        <v>1</v>
      </c>
      <c r="P9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8" s="1">
        <f>+Tabla__192.168.1.8_POSEIDONSQL_APPFVT_01_tbl_detalle_fill_rate[[#This Row],[Cumpl Real Unds]]-Tabla__192.168.1.8_POSEIDONSQL_APPFVT_01_tbl_detalle_fill_rate[[#This Row],[Cant Embarcada]]</f>
        <v>0</v>
      </c>
      <c r="S908" s="1">
        <f>+IF(Tabla__192.168.1.8_POSEIDONSQL_APPFVT_01_tbl_detalle_fill_rate[[#This Row],[Pend Emb]]&gt;0,1,0)</f>
        <v>0</v>
      </c>
      <c r="T9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09" spans="1:20" x14ac:dyDescent="0.25">
      <c r="A909">
        <v>9</v>
      </c>
      <c r="B909" t="s">
        <v>48</v>
      </c>
      <c r="C909">
        <v>9189482</v>
      </c>
      <c r="D909" s="48">
        <v>43339</v>
      </c>
      <c r="E909" s="48">
        <v>43336</v>
      </c>
      <c r="F909" s="48">
        <v>43343</v>
      </c>
      <c r="G909" t="s">
        <v>96</v>
      </c>
      <c r="H909" t="s">
        <v>97</v>
      </c>
      <c r="I909">
        <v>1</v>
      </c>
      <c r="J909" t="s">
        <v>745</v>
      </c>
      <c r="K909">
        <v>1</v>
      </c>
      <c r="L909">
        <v>1</v>
      </c>
      <c r="M909" t="s">
        <v>1962</v>
      </c>
      <c r="N909">
        <v>0</v>
      </c>
      <c r="O909" s="1">
        <f>+Tabla__192.168.1.8_POSEIDONSQL_APPFVT_01_tbl_detalle_fill_rate[[#This Row],[emb_cantidad]]-Tabla__192.168.1.8_POSEIDONSQL_APPFVT_01_tbl_detalle_fill_rate[[#This Row],[dev_cantidad]]</f>
        <v>1</v>
      </c>
      <c r="P9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09" s="1">
        <f>+Tabla__192.168.1.8_POSEIDONSQL_APPFVT_01_tbl_detalle_fill_rate[[#This Row],[Cumpl Real Unds]]-Tabla__192.168.1.8_POSEIDONSQL_APPFVT_01_tbl_detalle_fill_rate[[#This Row],[Cant Embarcada]]</f>
        <v>0</v>
      </c>
      <c r="S909" s="1">
        <f>+IF(Tabla__192.168.1.8_POSEIDONSQL_APPFVT_01_tbl_detalle_fill_rate[[#This Row],[Pend Emb]]&gt;0,1,0)</f>
        <v>0</v>
      </c>
      <c r="T9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0" spans="1:20" x14ac:dyDescent="0.25">
      <c r="A910">
        <v>9</v>
      </c>
      <c r="B910" t="s">
        <v>48</v>
      </c>
      <c r="C910">
        <v>9189539</v>
      </c>
      <c r="D910" s="48">
        <v>43339</v>
      </c>
      <c r="E910" s="48">
        <v>43336</v>
      </c>
      <c r="F910" s="48">
        <v>43343</v>
      </c>
      <c r="G910" t="s">
        <v>106</v>
      </c>
      <c r="H910" t="s">
        <v>107</v>
      </c>
      <c r="I910">
        <v>1</v>
      </c>
      <c r="J910" t="s">
        <v>746</v>
      </c>
      <c r="K910">
        <v>1</v>
      </c>
      <c r="L910">
        <v>1</v>
      </c>
      <c r="M910" t="s">
        <v>1962</v>
      </c>
      <c r="N910">
        <v>0</v>
      </c>
      <c r="O910" s="1">
        <f>+Tabla__192.168.1.8_POSEIDONSQL_APPFVT_01_tbl_detalle_fill_rate[[#This Row],[emb_cantidad]]-Tabla__192.168.1.8_POSEIDONSQL_APPFVT_01_tbl_detalle_fill_rate[[#This Row],[dev_cantidad]]</f>
        <v>1</v>
      </c>
      <c r="P9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0" s="1">
        <f>+Tabla__192.168.1.8_POSEIDONSQL_APPFVT_01_tbl_detalle_fill_rate[[#This Row],[Cumpl Real Unds]]-Tabla__192.168.1.8_POSEIDONSQL_APPFVT_01_tbl_detalle_fill_rate[[#This Row],[Cant Embarcada]]</f>
        <v>0</v>
      </c>
      <c r="S910" s="1">
        <f>+IF(Tabla__192.168.1.8_POSEIDONSQL_APPFVT_01_tbl_detalle_fill_rate[[#This Row],[Pend Emb]]&gt;0,1,0)</f>
        <v>0</v>
      </c>
      <c r="T9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1" spans="1:20" x14ac:dyDescent="0.25">
      <c r="A911">
        <v>9</v>
      </c>
      <c r="B911" t="s">
        <v>48</v>
      </c>
      <c r="C911">
        <v>9189539</v>
      </c>
      <c r="D911" s="48">
        <v>43339</v>
      </c>
      <c r="E911" s="48">
        <v>43336</v>
      </c>
      <c r="F911" s="48">
        <v>43348</v>
      </c>
      <c r="G911" t="s">
        <v>122</v>
      </c>
      <c r="H911" t="s">
        <v>123</v>
      </c>
      <c r="I911">
        <v>1</v>
      </c>
      <c r="J911" t="s">
        <v>1087</v>
      </c>
      <c r="K911">
        <v>1</v>
      </c>
      <c r="L911">
        <v>1</v>
      </c>
      <c r="M911" t="s">
        <v>160</v>
      </c>
      <c r="N911">
        <v>0</v>
      </c>
      <c r="O911" s="1">
        <f>+Tabla__192.168.1.8_POSEIDONSQL_APPFVT_01_tbl_detalle_fill_rate[[#This Row],[emb_cantidad]]-Tabla__192.168.1.8_POSEIDONSQL_APPFVT_01_tbl_detalle_fill_rate[[#This Row],[dev_cantidad]]</f>
        <v>1</v>
      </c>
      <c r="P9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1" s="1">
        <f>+Tabla__192.168.1.8_POSEIDONSQL_APPFVT_01_tbl_detalle_fill_rate[[#This Row],[Cumpl Real Unds]]-Tabla__192.168.1.8_POSEIDONSQL_APPFVT_01_tbl_detalle_fill_rate[[#This Row],[Cant Embarcada]]</f>
        <v>0</v>
      </c>
      <c r="S911" s="1">
        <f>+IF(Tabla__192.168.1.8_POSEIDONSQL_APPFVT_01_tbl_detalle_fill_rate[[#This Row],[Pend Emb]]&gt;0,1,0)</f>
        <v>0</v>
      </c>
      <c r="T9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2" spans="1:20" x14ac:dyDescent="0.25">
      <c r="A912">
        <v>9</v>
      </c>
      <c r="B912" t="s">
        <v>48</v>
      </c>
      <c r="C912">
        <v>9189539</v>
      </c>
      <c r="D912" s="48">
        <v>43339</v>
      </c>
      <c r="E912" s="48">
        <v>43336</v>
      </c>
      <c r="F912" s="48">
        <v>43346</v>
      </c>
      <c r="G912" t="s">
        <v>146</v>
      </c>
      <c r="H912" t="s">
        <v>147</v>
      </c>
      <c r="I912">
        <v>1</v>
      </c>
      <c r="J912" t="s">
        <v>765</v>
      </c>
      <c r="K912">
        <v>1</v>
      </c>
      <c r="L912">
        <v>1</v>
      </c>
      <c r="M912" t="s">
        <v>1963</v>
      </c>
      <c r="N912">
        <v>0</v>
      </c>
      <c r="O912" s="1">
        <f>+Tabla__192.168.1.8_POSEIDONSQL_APPFVT_01_tbl_detalle_fill_rate[[#This Row],[emb_cantidad]]-Tabla__192.168.1.8_POSEIDONSQL_APPFVT_01_tbl_detalle_fill_rate[[#This Row],[dev_cantidad]]</f>
        <v>1</v>
      </c>
      <c r="P9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2" s="1">
        <f>+Tabla__192.168.1.8_POSEIDONSQL_APPFVT_01_tbl_detalle_fill_rate[[#This Row],[Cumpl Real Unds]]-Tabla__192.168.1.8_POSEIDONSQL_APPFVT_01_tbl_detalle_fill_rate[[#This Row],[Cant Embarcada]]</f>
        <v>0</v>
      </c>
      <c r="S912" s="1">
        <f>+IF(Tabla__192.168.1.8_POSEIDONSQL_APPFVT_01_tbl_detalle_fill_rate[[#This Row],[Pend Emb]]&gt;0,1,0)</f>
        <v>0</v>
      </c>
      <c r="T9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3" spans="1:20" x14ac:dyDescent="0.25">
      <c r="A913">
        <v>9</v>
      </c>
      <c r="B913" t="s">
        <v>48</v>
      </c>
      <c r="C913">
        <v>9189540</v>
      </c>
      <c r="D913" s="48">
        <v>43339</v>
      </c>
      <c r="E913" s="48">
        <v>43336</v>
      </c>
      <c r="F913" s="48">
        <v>43350</v>
      </c>
      <c r="G913" t="s">
        <v>240</v>
      </c>
      <c r="H913" t="s">
        <v>241</v>
      </c>
      <c r="I913">
        <v>1</v>
      </c>
      <c r="J913" t="s">
        <v>1400</v>
      </c>
      <c r="K913">
        <v>1</v>
      </c>
      <c r="L913">
        <v>1</v>
      </c>
      <c r="M913" t="s">
        <v>1969</v>
      </c>
      <c r="N913">
        <v>0</v>
      </c>
      <c r="O913" s="1">
        <f>+Tabla__192.168.1.8_POSEIDONSQL_APPFVT_01_tbl_detalle_fill_rate[[#This Row],[emb_cantidad]]-Tabla__192.168.1.8_POSEIDONSQL_APPFVT_01_tbl_detalle_fill_rate[[#This Row],[dev_cantidad]]</f>
        <v>1</v>
      </c>
      <c r="P9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3" s="1">
        <f>+Tabla__192.168.1.8_POSEIDONSQL_APPFVT_01_tbl_detalle_fill_rate[[#This Row],[Cumpl Real Unds]]-Tabla__192.168.1.8_POSEIDONSQL_APPFVT_01_tbl_detalle_fill_rate[[#This Row],[Cant Embarcada]]</f>
        <v>0</v>
      </c>
      <c r="S913" s="1">
        <f>+IF(Tabla__192.168.1.8_POSEIDONSQL_APPFVT_01_tbl_detalle_fill_rate[[#This Row],[Pend Emb]]&gt;0,1,0)</f>
        <v>0</v>
      </c>
      <c r="T9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4" spans="1:20" x14ac:dyDescent="0.25">
      <c r="A914">
        <v>9</v>
      </c>
      <c r="B914" t="s">
        <v>48</v>
      </c>
      <c r="C914">
        <v>9189618</v>
      </c>
      <c r="D914" s="48">
        <v>43339</v>
      </c>
      <c r="E914" s="48">
        <v>43336</v>
      </c>
      <c r="F914" s="48">
        <v>43348</v>
      </c>
      <c r="G914" t="s">
        <v>240</v>
      </c>
      <c r="H914" t="s">
        <v>241</v>
      </c>
      <c r="I914">
        <v>1</v>
      </c>
      <c r="J914" t="s">
        <v>1088</v>
      </c>
      <c r="K914">
        <v>1</v>
      </c>
      <c r="L914">
        <v>1</v>
      </c>
      <c r="M914" t="s">
        <v>160</v>
      </c>
      <c r="N914">
        <v>0</v>
      </c>
      <c r="O914" s="1">
        <f>+Tabla__192.168.1.8_POSEIDONSQL_APPFVT_01_tbl_detalle_fill_rate[[#This Row],[emb_cantidad]]-Tabla__192.168.1.8_POSEIDONSQL_APPFVT_01_tbl_detalle_fill_rate[[#This Row],[dev_cantidad]]</f>
        <v>1</v>
      </c>
      <c r="P9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4" s="1">
        <f>+Tabla__192.168.1.8_POSEIDONSQL_APPFVT_01_tbl_detalle_fill_rate[[#This Row],[Cumpl Real Unds]]-Tabla__192.168.1.8_POSEIDONSQL_APPFVT_01_tbl_detalle_fill_rate[[#This Row],[Cant Embarcada]]</f>
        <v>0</v>
      </c>
      <c r="S914" s="1">
        <f>+IF(Tabla__192.168.1.8_POSEIDONSQL_APPFVT_01_tbl_detalle_fill_rate[[#This Row],[Pend Emb]]&gt;0,1,0)</f>
        <v>0</v>
      </c>
      <c r="T9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5" spans="1:20" x14ac:dyDescent="0.25">
      <c r="A915">
        <v>9</v>
      </c>
      <c r="B915" t="s">
        <v>48</v>
      </c>
      <c r="C915">
        <v>9189711</v>
      </c>
      <c r="D915" s="48">
        <v>43339</v>
      </c>
      <c r="E915" s="48">
        <v>43336</v>
      </c>
      <c r="F915" s="48">
        <v>43343</v>
      </c>
      <c r="G915" t="s">
        <v>328</v>
      </c>
      <c r="H915" t="s">
        <v>329</v>
      </c>
      <c r="I915">
        <v>1</v>
      </c>
      <c r="J915" t="s">
        <v>747</v>
      </c>
      <c r="K915">
        <v>1</v>
      </c>
      <c r="L915">
        <v>1</v>
      </c>
      <c r="M915" t="s">
        <v>1962</v>
      </c>
      <c r="N915">
        <v>0</v>
      </c>
      <c r="O915" s="1">
        <f>+Tabla__192.168.1.8_POSEIDONSQL_APPFVT_01_tbl_detalle_fill_rate[[#This Row],[emb_cantidad]]-Tabla__192.168.1.8_POSEIDONSQL_APPFVT_01_tbl_detalle_fill_rate[[#This Row],[dev_cantidad]]</f>
        <v>1</v>
      </c>
      <c r="P9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5" s="1">
        <f>+Tabla__192.168.1.8_POSEIDONSQL_APPFVT_01_tbl_detalle_fill_rate[[#This Row],[Cumpl Real Unds]]-Tabla__192.168.1.8_POSEIDONSQL_APPFVT_01_tbl_detalle_fill_rate[[#This Row],[Cant Embarcada]]</f>
        <v>0</v>
      </c>
      <c r="S915" s="1">
        <f>+IF(Tabla__192.168.1.8_POSEIDONSQL_APPFVT_01_tbl_detalle_fill_rate[[#This Row],[Pend Emb]]&gt;0,1,0)</f>
        <v>0</v>
      </c>
      <c r="T9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6" spans="1:20" x14ac:dyDescent="0.25">
      <c r="A916">
        <v>9</v>
      </c>
      <c r="B916" t="s">
        <v>48</v>
      </c>
      <c r="C916">
        <v>9189745</v>
      </c>
      <c r="D916" s="48">
        <v>43339</v>
      </c>
      <c r="E916" s="48">
        <v>43336</v>
      </c>
      <c r="F916" s="48">
        <v>43343</v>
      </c>
      <c r="G916" t="s">
        <v>92</v>
      </c>
      <c r="H916" t="s">
        <v>93</v>
      </c>
      <c r="I916">
        <v>1</v>
      </c>
      <c r="J916" t="s">
        <v>748</v>
      </c>
      <c r="K916">
        <v>1</v>
      </c>
      <c r="L916">
        <v>1</v>
      </c>
      <c r="M916" t="s">
        <v>1962</v>
      </c>
      <c r="N916">
        <v>0</v>
      </c>
      <c r="O916" s="1">
        <f>+Tabla__192.168.1.8_POSEIDONSQL_APPFVT_01_tbl_detalle_fill_rate[[#This Row],[emb_cantidad]]-Tabla__192.168.1.8_POSEIDONSQL_APPFVT_01_tbl_detalle_fill_rate[[#This Row],[dev_cantidad]]</f>
        <v>1</v>
      </c>
      <c r="P9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6" s="1">
        <f>+Tabla__192.168.1.8_POSEIDONSQL_APPFVT_01_tbl_detalle_fill_rate[[#This Row],[Cumpl Real Unds]]-Tabla__192.168.1.8_POSEIDONSQL_APPFVT_01_tbl_detalle_fill_rate[[#This Row],[Cant Embarcada]]</f>
        <v>0</v>
      </c>
      <c r="S916" s="1">
        <f>+IF(Tabla__192.168.1.8_POSEIDONSQL_APPFVT_01_tbl_detalle_fill_rate[[#This Row],[Pend Emb]]&gt;0,1,0)</f>
        <v>0</v>
      </c>
      <c r="T9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7" spans="1:20" x14ac:dyDescent="0.25">
      <c r="A917">
        <v>9</v>
      </c>
      <c r="B917" t="s">
        <v>48</v>
      </c>
      <c r="C917">
        <v>9189746</v>
      </c>
      <c r="D917" s="48">
        <v>43339</v>
      </c>
      <c r="E917" s="48">
        <v>43336</v>
      </c>
      <c r="F917" s="48">
        <v>43348</v>
      </c>
      <c r="G917" t="s">
        <v>240</v>
      </c>
      <c r="H917" t="s">
        <v>241</v>
      </c>
      <c r="I917">
        <v>1</v>
      </c>
      <c r="J917" t="s">
        <v>1086</v>
      </c>
      <c r="K917">
        <v>1</v>
      </c>
      <c r="L917">
        <v>1</v>
      </c>
      <c r="M917" t="s">
        <v>160</v>
      </c>
      <c r="N917">
        <v>0</v>
      </c>
      <c r="O917" s="1">
        <f>+Tabla__192.168.1.8_POSEIDONSQL_APPFVT_01_tbl_detalle_fill_rate[[#This Row],[emb_cantidad]]-Tabla__192.168.1.8_POSEIDONSQL_APPFVT_01_tbl_detalle_fill_rate[[#This Row],[dev_cantidad]]</f>
        <v>1</v>
      </c>
      <c r="P9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7" s="1">
        <f>+Tabla__192.168.1.8_POSEIDONSQL_APPFVT_01_tbl_detalle_fill_rate[[#This Row],[Cumpl Real Unds]]-Tabla__192.168.1.8_POSEIDONSQL_APPFVT_01_tbl_detalle_fill_rate[[#This Row],[Cant Embarcada]]</f>
        <v>0</v>
      </c>
      <c r="S917" s="1">
        <f>+IF(Tabla__192.168.1.8_POSEIDONSQL_APPFVT_01_tbl_detalle_fill_rate[[#This Row],[Pend Emb]]&gt;0,1,0)</f>
        <v>0</v>
      </c>
      <c r="T9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8" spans="1:20" x14ac:dyDescent="0.25">
      <c r="A918">
        <v>9</v>
      </c>
      <c r="B918" t="s">
        <v>48</v>
      </c>
      <c r="C918">
        <v>9189791</v>
      </c>
      <c r="D918" s="48">
        <v>43339</v>
      </c>
      <c r="E918" s="48">
        <v>43336</v>
      </c>
      <c r="F918" s="48">
        <v>43343</v>
      </c>
      <c r="G918" t="s">
        <v>446</v>
      </c>
      <c r="H918" t="s">
        <v>447</v>
      </c>
      <c r="I918">
        <v>1</v>
      </c>
      <c r="J918" t="s">
        <v>739</v>
      </c>
      <c r="K918">
        <v>1</v>
      </c>
      <c r="L918">
        <v>1</v>
      </c>
      <c r="M918" t="s">
        <v>1962</v>
      </c>
      <c r="N918">
        <v>0</v>
      </c>
      <c r="O918" s="1">
        <f>+Tabla__192.168.1.8_POSEIDONSQL_APPFVT_01_tbl_detalle_fill_rate[[#This Row],[emb_cantidad]]-Tabla__192.168.1.8_POSEIDONSQL_APPFVT_01_tbl_detalle_fill_rate[[#This Row],[dev_cantidad]]</f>
        <v>1</v>
      </c>
      <c r="P9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8" s="1">
        <f>+Tabla__192.168.1.8_POSEIDONSQL_APPFVT_01_tbl_detalle_fill_rate[[#This Row],[Cumpl Real Unds]]-Tabla__192.168.1.8_POSEIDONSQL_APPFVT_01_tbl_detalle_fill_rate[[#This Row],[Cant Embarcada]]</f>
        <v>0</v>
      </c>
      <c r="S918" s="1">
        <f>+IF(Tabla__192.168.1.8_POSEIDONSQL_APPFVT_01_tbl_detalle_fill_rate[[#This Row],[Pend Emb]]&gt;0,1,0)</f>
        <v>0</v>
      </c>
      <c r="T9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19" spans="1:20" x14ac:dyDescent="0.25">
      <c r="A919">
        <v>9</v>
      </c>
      <c r="B919" t="s">
        <v>48</v>
      </c>
      <c r="C919">
        <v>9189841</v>
      </c>
      <c r="D919" s="48">
        <v>43339</v>
      </c>
      <c r="E919" s="48">
        <v>43337</v>
      </c>
      <c r="F919" s="48">
        <v>43343</v>
      </c>
      <c r="G919" t="s">
        <v>96</v>
      </c>
      <c r="H919" t="s">
        <v>97</v>
      </c>
      <c r="I919">
        <v>1</v>
      </c>
      <c r="J919" t="s">
        <v>740</v>
      </c>
      <c r="K919">
        <v>1</v>
      </c>
      <c r="L919">
        <v>1</v>
      </c>
      <c r="M919" t="s">
        <v>1962</v>
      </c>
      <c r="N919">
        <v>0</v>
      </c>
      <c r="O919" s="1">
        <f>+Tabla__192.168.1.8_POSEIDONSQL_APPFVT_01_tbl_detalle_fill_rate[[#This Row],[emb_cantidad]]-Tabla__192.168.1.8_POSEIDONSQL_APPFVT_01_tbl_detalle_fill_rate[[#This Row],[dev_cantidad]]</f>
        <v>1</v>
      </c>
      <c r="P9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19" s="1">
        <f>+Tabla__192.168.1.8_POSEIDONSQL_APPFVT_01_tbl_detalle_fill_rate[[#This Row],[Cumpl Real Unds]]-Tabla__192.168.1.8_POSEIDONSQL_APPFVT_01_tbl_detalle_fill_rate[[#This Row],[Cant Embarcada]]</f>
        <v>0</v>
      </c>
      <c r="S919" s="1">
        <f>+IF(Tabla__192.168.1.8_POSEIDONSQL_APPFVT_01_tbl_detalle_fill_rate[[#This Row],[Pend Emb]]&gt;0,1,0)</f>
        <v>0</v>
      </c>
      <c r="T9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0" spans="1:20" x14ac:dyDescent="0.25">
      <c r="A920">
        <v>9</v>
      </c>
      <c r="B920" t="s">
        <v>48</v>
      </c>
      <c r="C920">
        <v>9189841</v>
      </c>
      <c r="D920" s="48">
        <v>43339</v>
      </c>
      <c r="E920" s="48">
        <v>43337</v>
      </c>
      <c r="F920" s="48">
        <v>43343</v>
      </c>
      <c r="G920" t="s">
        <v>96</v>
      </c>
      <c r="H920" t="s">
        <v>97</v>
      </c>
      <c r="I920">
        <v>1</v>
      </c>
      <c r="J920" t="s">
        <v>742</v>
      </c>
      <c r="K920">
        <v>1</v>
      </c>
      <c r="L920">
        <v>1</v>
      </c>
      <c r="M920" t="s">
        <v>1962</v>
      </c>
      <c r="N920">
        <v>0</v>
      </c>
      <c r="O920" s="1">
        <f>+Tabla__192.168.1.8_POSEIDONSQL_APPFVT_01_tbl_detalle_fill_rate[[#This Row],[emb_cantidad]]-Tabla__192.168.1.8_POSEIDONSQL_APPFVT_01_tbl_detalle_fill_rate[[#This Row],[dev_cantidad]]</f>
        <v>1</v>
      </c>
      <c r="P9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0" s="1">
        <f>+Tabla__192.168.1.8_POSEIDONSQL_APPFVT_01_tbl_detalle_fill_rate[[#This Row],[Cumpl Real Unds]]-Tabla__192.168.1.8_POSEIDONSQL_APPFVT_01_tbl_detalle_fill_rate[[#This Row],[Cant Embarcada]]</f>
        <v>0</v>
      </c>
      <c r="S920" s="1">
        <f>+IF(Tabla__192.168.1.8_POSEIDONSQL_APPFVT_01_tbl_detalle_fill_rate[[#This Row],[Pend Emb]]&gt;0,1,0)</f>
        <v>0</v>
      </c>
      <c r="T9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1" spans="1:20" x14ac:dyDescent="0.25">
      <c r="A921">
        <v>9</v>
      </c>
      <c r="B921" t="s">
        <v>48</v>
      </c>
      <c r="C921">
        <v>9189841</v>
      </c>
      <c r="D921" s="48">
        <v>43339</v>
      </c>
      <c r="E921" s="48">
        <v>43337</v>
      </c>
      <c r="F921" s="48">
        <v>43343</v>
      </c>
      <c r="G921" t="s">
        <v>108</v>
      </c>
      <c r="H921" t="s">
        <v>109</v>
      </c>
      <c r="I921">
        <v>1</v>
      </c>
      <c r="J921" t="s">
        <v>741</v>
      </c>
      <c r="K921">
        <v>1</v>
      </c>
      <c r="L921">
        <v>1</v>
      </c>
      <c r="M921" t="s">
        <v>1962</v>
      </c>
      <c r="N921">
        <v>0</v>
      </c>
      <c r="O921" s="1">
        <f>+Tabla__192.168.1.8_POSEIDONSQL_APPFVT_01_tbl_detalle_fill_rate[[#This Row],[emb_cantidad]]-Tabla__192.168.1.8_POSEIDONSQL_APPFVT_01_tbl_detalle_fill_rate[[#This Row],[dev_cantidad]]</f>
        <v>1</v>
      </c>
      <c r="P9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1" s="1">
        <f>+Tabla__192.168.1.8_POSEIDONSQL_APPFVT_01_tbl_detalle_fill_rate[[#This Row],[Cumpl Real Unds]]-Tabla__192.168.1.8_POSEIDONSQL_APPFVT_01_tbl_detalle_fill_rate[[#This Row],[Cant Embarcada]]</f>
        <v>0</v>
      </c>
      <c r="S921" s="1">
        <f>+IF(Tabla__192.168.1.8_POSEIDONSQL_APPFVT_01_tbl_detalle_fill_rate[[#This Row],[Pend Emb]]&gt;0,1,0)</f>
        <v>0</v>
      </c>
      <c r="T9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2" spans="1:20" x14ac:dyDescent="0.25">
      <c r="A922">
        <v>9</v>
      </c>
      <c r="B922" t="s">
        <v>48</v>
      </c>
      <c r="C922">
        <v>9189912</v>
      </c>
      <c r="D922" s="48">
        <v>43339</v>
      </c>
      <c r="E922" s="48">
        <v>43337</v>
      </c>
      <c r="F922" s="48">
        <v>43343</v>
      </c>
      <c r="G922" t="s">
        <v>80</v>
      </c>
      <c r="H922" t="s">
        <v>81</v>
      </c>
      <c r="I922">
        <v>1</v>
      </c>
      <c r="J922" t="s">
        <v>743</v>
      </c>
      <c r="K922">
        <v>1</v>
      </c>
      <c r="L922">
        <v>1</v>
      </c>
      <c r="M922" t="s">
        <v>1962</v>
      </c>
      <c r="N922">
        <v>0</v>
      </c>
      <c r="O922" s="1">
        <f>+Tabla__192.168.1.8_POSEIDONSQL_APPFVT_01_tbl_detalle_fill_rate[[#This Row],[emb_cantidad]]-Tabla__192.168.1.8_POSEIDONSQL_APPFVT_01_tbl_detalle_fill_rate[[#This Row],[dev_cantidad]]</f>
        <v>1</v>
      </c>
      <c r="P9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2" s="1">
        <f>+Tabla__192.168.1.8_POSEIDONSQL_APPFVT_01_tbl_detalle_fill_rate[[#This Row],[Cumpl Real Unds]]-Tabla__192.168.1.8_POSEIDONSQL_APPFVT_01_tbl_detalle_fill_rate[[#This Row],[Cant Embarcada]]</f>
        <v>0</v>
      </c>
      <c r="S922" s="1">
        <f>+IF(Tabla__192.168.1.8_POSEIDONSQL_APPFVT_01_tbl_detalle_fill_rate[[#This Row],[Pend Emb]]&gt;0,1,0)</f>
        <v>0</v>
      </c>
      <c r="T9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3" spans="1:20" x14ac:dyDescent="0.25">
      <c r="A923">
        <v>9</v>
      </c>
      <c r="B923" t="s">
        <v>48</v>
      </c>
      <c r="C923">
        <v>9189969</v>
      </c>
      <c r="D923" s="48">
        <v>43339</v>
      </c>
      <c r="E923" s="48">
        <v>43337</v>
      </c>
      <c r="F923" s="48">
        <v>43350</v>
      </c>
      <c r="G923" t="s">
        <v>240</v>
      </c>
      <c r="H923" t="s">
        <v>241</v>
      </c>
      <c r="I923">
        <v>1</v>
      </c>
      <c r="J923" t="s">
        <v>1399</v>
      </c>
      <c r="K923">
        <v>1</v>
      </c>
      <c r="L923">
        <v>1</v>
      </c>
      <c r="M923" t="s">
        <v>1969</v>
      </c>
      <c r="N923">
        <v>0</v>
      </c>
      <c r="O923" s="1">
        <f>+Tabla__192.168.1.8_POSEIDONSQL_APPFVT_01_tbl_detalle_fill_rate[[#This Row],[emb_cantidad]]-Tabla__192.168.1.8_POSEIDONSQL_APPFVT_01_tbl_detalle_fill_rate[[#This Row],[dev_cantidad]]</f>
        <v>1</v>
      </c>
      <c r="P9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3" s="1">
        <f>+Tabla__192.168.1.8_POSEIDONSQL_APPFVT_01_tbl_detalle_fill_rate[[#This Row],[Cumpl Real Unds]]-Tabla__192.168.1.8_POSEIDONSQL_APPFVT_01_tbl_detalle_fill_rate[[#This Row],[Cant Embarcada]]</f>
        <v>0</v>
      </c>
      <c r="S923" s="1">
        <f>+IF(Tabla__192.168.1.8_POSEIDONSQL_APPFVT_01_tbl_detalle_fill_rate[[#This Row],[Pend Emb]]&gt;0,1,0)</f>
        <v>0</v>
      </c>
      <c r="T9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4" spans="1:20" x14ac:dyDescent="0.25">
      <c r="A924">
        <v>9</v>
      </c>
      <c r="B924" t="s">
        <v>48</v>
      </c>
      <c r="C924">
        <v>9189989</v>
      </c>
      <c r="D924" s="48">
        <v>43339</v>
      </c>
      <c r="E924" s="48">
        <v>43337</v>
      </c>
      <c r="F924" s="48">
        <v>43343</v>
      </c>
      <c r="G924" t="s">
        <v>92</v>
      </c>
      <c r="H924" t="s">
        <v>93</v>
      </c>
      <c r="I924">
        <v>1</v>
      </c>
      <c r="J924" t="s">
        <v>744</v>
      </c>
      <c r="K924">
        <v>1</v>
      </c>
      <c r="L924">
        <v>1</v>
      </c>
      <c r="M924" t="s">
        <v>1962</v>
      </c>
      <c r="N924">
        <v>0</v>
      </c>
      <c r="O924" s="1">
        <f>+Tabla__192.168.1.8_POSEIDONSQL_APPFVT_01_tbl_detalle_fill_rate[[#This Row],[emb_cantidad]]-Tabla__192.168.1.8_POSEIDONSQL_APPFVT_01_tbl_detalle_fill_rate[[#This Row],[dev_cantidad]]</f>
        <v>1</v>
      </c>
      <c r="P9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4" s="1">
        <f>+Tabla__192.168.1.8_POSEIDONSQL_APPFVT_01_tbl_detalle_fill_rate[[#This Row],[Cumpl Real Unds]]-Tabla__192.168.1.8_POSEIDONSQL_APPFVT_01_tbl_detalle_fill_rate[[#This Row],[Cant Embarcada]]</f>
        <v>0</v>
      </c>
      <c r="S924" s="1">
        <f>+IF(Tabla__192.168.1.8_POSEIDONSQL_APPFVT_01_tbl_detalle_fill_rate[[#This Row],[Pend Emb]]&gt;0,1,0)</f>
        <v>0</v>
      </c>
      <c r="T9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5" spans="1:20" x14ac:dyDescent="0.25">
      <c r="A925">
        <v>9</v>
      </c>
      <c r="B925" t="s">
        <v>48</v>
      </c>
      <c r="C925">
        <v>9189989</v>
      </c>
      <c r="D925" s="48">
        <v>43339</v>
      </c>
      <c r="E925" s="48">
        <v>43337</v>
      </c>
      <c r="F925" s="48">
        <v>43346</v>
      </c>
      <c r="G925" t="s">
        <v>112</v>
      </c>
      <c r="H925" t="s">
        <v>113</v>
      </c>
      <c r="I925">
        <v>1</v>
      </c>
      <c r="J925" t="s">
        <v>764</v>
      </c>
      <c r="K925">
        <v>1</v>
      </c>
      <c r="L925">
        <v>1</v>
      </c>
      <c r="M925" t="s">
        <v>1963</v>
      </c>
      <c r="N925">
        <v>0</v>
      </c>
      <c r="O925" s="1">
        <f>+Tabla__192.168.1.8_POSEIDONSQL_APPFVT_01_tbl_detalle_fill_rate[[#This Row],[emb_cantidad]]-Tabla__192.168.1.8_POSEIDONSQL_APPFVT_01_tbl_detalle_fill_rate[[#This Row],[dev_cantidad]]</f>
        <v>1</v>
      </c>
      <c r="P9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5" s="1">
        <f>+Tabla__192.168.1.8_POSEIDONSQL_APPFVT_01_tbl_detalle_fill_rate[[#This Row],[Cumpl Real Unds]]-Tabla__192.168.1.8_POSEIDONSQL_APPFVT_01_tbl_detalle_fill_rate[[#This Row],[Cant Embarcada]]</f>
        <v>0</v>
      </c>
      <c r="S925" s="1">
        <f>+IF(Tabla__192.168.1.8_POSEIDONSQL_APPFVT_01_tbl_detalle_fill_rate[[#This Row],[Pend Emb]]&gt;0,1,0)</f>
        <v>0</v>
      </c>
      <c r="T9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6" spans="1:20" x14ac:dyDescent="0.25">
      <c r="A926">
        <v>9</v>
      </c>
      <c r="B926" t="s">
        <v>48</v>
      </c>
      <c r="C926">
        <v>9190054</v>
      </c>
      <c r="D926" s="48">
        <v>43339</v>
      </c>
      <c r="E926" s="48">
        <v>43337</v>
      </c>
      <c r="F926" s="48">
        <v>43343</v>
      </c>
      <c r="G926" t="s">
        <v>70</v>
      </c>
      <c r="H926" t="s">
        <v>71</v>
      </c>
      <c r="I926">
        <v>1</v>
      </c>
      <c r="J926" t="s">
        <v>518</v>
      </c>
      <c r="K926">
        <v>1</v>
      </c>
      <c r="L926">
        <v>1</v>
      </c>
      <c r="M926" t="s">
        <v>1962</v>
      </c>
      <c r="N926">
        <v>0</v>
      </c>
      <c r="O926" s="1">
        <f>+Tabla__192.168.1.8_POSEIDONSQL_APPFVT_01_tbl_detalle_fill_rate[[#This Row],[emb_cantidad]]-Tabla__192.168.1.8_POSEIDONSQL_APPFVT_01_tbl_detalle_fill_rate[[#This Row],[dev_cantidad]]</f>
        <v>1</v>
      </c>
      <c r="P9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26" s="1">
        <f>+Tabla__192.168.1.8_POSEIDONSQL_APPFVT_01_tbl_detalle_fill_rate[[#This Row],[Cumpl Real Unds]]-Tabla__192.168.1.8_POSEIDONSQL_APPFVT_01_tbl_detalle_fill_rate[[#This Row],[Cant Embarcada]]</f>
        <v>0</v>
      </c>
      <c r="S926" s="1">
        <f>+IF(Tabla__192.168.1.8_POSEIDONSQL_APPFVT_01_tbl_detalle_fill_rate[[#This Row],[Pend Emb]]&gt;0,1,0)</f>
        <v>0</v>
      </c>
      <c r="T9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7" spans="1:20" x14ac:dyDescent="0.25">
      <c r="A927">
        <v>3</v>
      </c>
      <c r="B927" t="s">
        <v>50</v>
      </c>
      <c r="C927">
        <v>50052296</v>
      </c>
      <c r="D927" s="48">
        <v>43355</v>
      </c>
      <c r="E927" s="48">
        <v>43354</v>
      </c>
      <c r="F927" s="48">
        <v>43364</v>
      </c>
      <c r="G927" t="s">
        <v>92</v>
      </c>
      <c r="H927" t="s">
        <v>93</v>
      </c>
      <c r="I927">
        <v>1</v>
      </c>
      <c r="J927" t="s">
        <v>646</v>
      </c>
      <c r="K927">
        <v>0</v>
      </c>
      <c r="L927">
        <v>0</v>
      </c>
      <c r="M927" t="s">
        <v>12</v>
      </c>
      <c r="N927">
        <v>0</v>
      </c>
      <c r="O927" s="1">
        <f>+Tabla__192.168.1.8_POSEIDONSQL_APPFVT_01_tbl_detalle_fill_rate[[#This Row],[emb_cantidad]]-Tabla__192.168.1.8_POSEIDONSQL_APPFVT_01_tbl_detalle_fill_rate[[#This Row],[dev_cantidad]]</f>
        <v>0</v>
      </c>
      <c r="P9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27" s="1">
        <f>+Tabla__192.168.1.8_POSEIDONSQL_APPFVT_01_tbl_detalle_fill_rate[[#This Row],[Cumpl Real Unds]]-Tabla__192.168.1.8_POSEIDONSQL_APPFVT_01_tbl_detalle_fill_rate[[#This Row],[Cant Embarcada]]</f>
        <v>0</v>
      </c>
      <c r="S927" s="1">
        <f>+IF(Tabla__192.168.1.8_POSEIDONSQL_APPFVT_01_tbl_detalle_fill_rate[[#This Row],[Pend Emb]]&gt;0,1,0)</f>
        <v>0</v>
      </c>
      <c r="T9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8" spans="1:20" x14ac:dyDescent="0.25">
      <c r="A928">
        <v>3</v>
      </c>
      <c r="B928" t="s">
        <v>50</v>
      </c>
      <c r="C928">
        <v>50052296</v>
      </c>
      <c r="D928" s="48">
        <v>43355</v>
      </c>
      <c r="E928" s="48">
        <v>43354</v>
      </c>
      <c r="F928" s="48">
        <v>43364</v>
      </c>
      <c r="G928" t="s">
        <v>92</v>
      </c>
      <c r="H928" t="s">
        <v>93</v>
      </c>
      <c r="I928">
        <v>1</v>
      </c>
      <c r="J928" t="s">
        <v>647</v>
      </c>
      <c r="K928">
        <v>0</v>
      </c>
      <c r="L928">
        <v>0</v>
      </c>
      <c r="M928" t="s">
        <v>12</v>
      </c>
      <c r="N928">
        <v>0</v>
      </c>
      <c r="O928" s="1">
        <f>+Tabla__192.168.1.8_POSEIDONSQL_APPFVT_01_tbl_detalle_fill_rate[[#This Row],[emb_cantidad]]-Tabla__192.168.1.8_POSEIDONSQL_APPFVT_01_tbl_detalle_fill_rate[[#This Row],[dev_cantidad]]</f>
        <v>0</v>
      </c>
      <c r="P9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28" s="1">
        <f>+Tabla__192.168.1.8_POSEIDONSQL_APPFVT_01_tbl_detalle_fill_rate[[#This Row],[Cumpl Real Unds]]-Tabla__192.168.1.8_POSEIDONSQL_APPFVT_01_tbl_detalle_fill_rate[[#This Row],[Cant Embarcada]]</f>
        <v>0</v>
      </c>
      <c r="S928" s="1">
        <f>+IF(Tabla__192.168.1.8_POSEIDONSQL_APPFVT_01_tbl_detalle_fill_rate[[#This Row],[Pend Emb]]&gt;0,1,0)</f>
        <v>0</v>
      </c>
      <c r="T9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29" spans="1:20" x14ac:dyDescent="0.25">
      <c r="A929">
        <v>3</v>
      </c>
      <c r="B929" t="s">
        <v>50</v>
      </c>
      <c r="C929">
        <v>50052296</v>
      </c>
      <c r="D929" s="48">
        <v>43355</v>
      </c>
      <c r="E929" s="48">
        <v>43354</v>
      </c>
      <c r="F929" s="48">
        <v>43367</v>
      </c>
      <c r="G929" t="s">
        <v>92</v>
      </c>
      <c r="H929" t="s">
        <v>93</v>
      </c>
      <c r="I929">
        <v>1</v>
      </c>
      <c r="J929" t="s">
        <v>648</v>
      </c>
      <c r="K929">
        <v>0</v>
      </c>
      <c r="L929">
        <v>0</v>
      </c>
      <c r="M929" t="s">
        <v>12</v>
      </c>
      <c r="N929">
        <v>0</v>
      </c>
      <c r="O929" s="1">
        <f>+Tabla__192.168.1.8_POSEIDONSQL_APPFVT_01_tbl_detalle_fill_rate[[#This Row],[emb_cantidad]]-Tabla__192.168.1.8_POSEIDONSQL_APPFVT_01_tbl_detalle_fill_rate[[#This Row],[dev_cantidad]]</f>
        <v>0</v>
      </c>
      <c r="P9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29" s="1">
        <f>+Tabla__192.168.1.8_POSEIDONSQL_APPFVT_01_tbl_detalle_fill_rate[[#This Row],[Cumpl Real Unds]]-Tabla__192.168.1.8_POSEIDONSQL_APPFVT_01_tbl_detalle_fill_rate[[#This Row],[Cant Embarcada]]</f>
        <v>0</v>
      </c>
      <c r="S929" s="1">
        <f>+IF(Tabla__192.168.1.8_POSEIDONSQL_APPFVT_01_tbl_detalle_fill_rate[[#This Row],[Pend Emb]]&gt;0,1,0)</f>
        <v>0</v>
      </c>
      <c r="T9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0" spans="1:20" x14ac:dyDescent="0.25">
      <c r="A930">
        <v>3</v>
      </c>
      <c r="B930" t="s">
        <v>50</v>
      </c>
      <c r="C930">
        <v>50052296</v>
      </c>
      <c r="D930" s="48">
        <v>43355</v>
      </c>
      <c r="E930" s="48">
        <v>43354</v>
      </c>
      <c r="F930" s="48">
        <v>43368</v>
      </c>
      <c r="G930" t="s">
        <v>132</v>
      </c>
      <c r="H930" t="s">
        <v>133</v>
      </c>
      <c r="I930">
        <v>1</v>
      </c>
      <c r="J930" t="s">
        <v>868</v>
      </c>
      <c r="K930">
        <v>1</v>
      </c>
      <c r="L930">
        <v>1</v>
      </c>
      <c r="M930" t="s">
        <v>422</v>
      </c>
      <c r="N930">
        <v>0</v>
      </c>
      <c r="O930" s="1">
        <f>+Tabla__192.168.1.8_POSEIDONSQL_APPFVT_01_tbl_detalle_fill_rate[[#This Row],[emb_cantidad]]-Tabla__192.168.1.8_POSEIDONSQL_APPFVT_01_tbl_detalle_fill_rate[[#This Row],[dev_cantidad]]</f>
        <v>1</v>
      </c>
      <c r="P9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30" s="1">
        <f>+Tabla__192.168.1.8_POSEIDONSQL_APPFVT_01_tbl_detalle_fill_rate[[#This Row],[Cumpl Real Unds]]-Tabla__192.168.1.8_POSEIDONSQL_APPFVT_01_tbl_detalle_fill_rate[[#This Row],[Cant Embarcada]]</f>
        <v>0</v>
      </c>
      <c r="S930" s="1">
        <f>+IF(Tabla__192.168.1.8_POSEIDONSQL_APPFVT_01_tbl_detalle_fill_rate[[#This Row],[Pend Emb]]&gt;0,1,0)</f>
        <v>0</v>
      </c>
      <c r="T9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1" spans="1:20" x14ac:dyDescent="0.25">
      <c r="A931">
        <v>3</v>
      </c>
      <c r="B931" t="s">
        <v>50</v>
      </c>
      <c r="C931">
        <v>50052296</v>
      </c>
      <c r="D931" s="48">
        <v>43355</v>
      </c>
      <c r="E931" s="48">
        <v>43354</v>
      </c>
      <c r="F931" s="48">
        <v>43367</v>
      </c>
      <c r="G931" t="s">
        <v>134</v>
      </c>
      <c r="H931" t="s">
        <v>135</v>
      </c>
      <c r="I931">
        <v>1</v>
      </c>
      <c r="J931" t="s">
        <v>867</v>
      </c>
      <c r="K931">
        <v>1</v>
      </c>
      <c r="L931">
        <v>1</v>
      </c>
      <c r="M931" t="s">
        <v>422</v>
      </c>
      <c r="N931">
        <v>0</v>
      </c>
      <c r="O931" s="1">
        <f>+Tabla__192.168.1.8_POSEIDONSQL_APPFVT_01_tbl_detalle_fill_rate[[#This Row],[emb_cantidad]]-Tabla__192.168.1.8_POSEIDONSQL_APPFVT_01_tbl_detalle_fill_rate[[#This Row],[dev_cantidad]]</f>
        <v>1</v>
      </c>
      <c r="P9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31" s="1">
        <f>+Tabla__192.168.1.8_POSEIDONSQL_APPFVT_01_tbl_detalle_fill_rate[[#This Row],[Cumpl Real Unds]]-Tabla__192.168.1.8_POSEIDONSQL_APPFVT_01_tbl_detalle_fill_rate[[#This Row],[Cant Embarcada]]</f>
        <v>0</v>
      </c>
      <c r="S931" s="1">
        <f>+IF(Tabla__192.168.1.8_POSEIDONSQL_APPFVT_01_tbl_detalle_fill_rate[[#This Row],[Pend Emb]]&gt;0,1,0)</f>
        <v>0</v>
      </c>
      <c r="T9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2" spans="1:20" x14ac:dyDescent="0.25">
      <c r="A932">
        <v>3</v>
      </c>
      <c r="B932" t="s">
        <v>50</v>
      </c>
      <c r="C932">
        <v>50052330</v>
      </c>
      <c r="D932" s="48">
        <v>43356</v>
      </c>
      <c r="E932" s="48">
        <v>43355</v>
      </c>
      <c r="F932" s="48">
        <v>43367</v>
      </c>
      <c r="G932" t="s">
        <v>92</v>
      </c>
      <c r="H932" t="s">
        <v>93</v>
      </c>
      <c r="I932">
        <v>1</v>
      </c>
      <c r="J932" t="s">
        <v>889</v>
      </c>
      <c r="K932">
        <v>0</v>
      </c>
      <c r="L932">
        <v>0</v>
      </c>
      <c r="M932" t="s">
        <v>12</v>
      </c>
      <c r="N932">
        <v>0</v>
      </c>
      <c r="O932" s="1">
        <f>+Tabla__192.168.1.8_POSEIDONSQL_APPFVT_01_tbl_detalle_fill_rate[[#This Row],[emb_cantidad]]-Tabla__192.168.1.8_POSEIDONSQL_APPFVT_01_tbl_detalle_fill_rate[[#This Row],[dev_cantidad]]</f>
        <v>0</v>
      </c>
      <c r="P9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32" s="1">
        <f>+Tabla__192.168.1.8_POSEIDONSQL_APPFVT_01_tbl_detalle_fill_rate[[#This Row],[Cumpl Real Unds]]-Tabla__192.168.1.8_POSEIDONSQL_APPFVT_01_tbl_detalle_fill_rate[[#This Row],[Cant Embarcada]]</f>
        <v>0</v>
      </c>
      <c r="S932" s="1">
        <f>+IF(Tabla__192.168.1.8_POSEIDONSQL_APPFVT_01_tbl_detalle_fill_rate[[#This Row],[Pend Emb]]&gt;0,1,0)</f>
        <v>0</v>
      </c>
      <c r="T9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3" spans="1:20" x14ac:dyDescent="0.25">
      <c r="A933">
        <v>3</v>
      </c>
      <c r="B933" t="s">
        <v>50</v>
      </c>
      <c r="C933">
        <v>50052331</v>
      </c>
      <c r="D933" s="48">
        <v>43356</v>
      </c>
      <c r="E933" s="48">
        <v>43355</v>
      </c>
      <c r="F933" s="48">
        <v>43367</v>
      </c>
      <c r="G933" t="s">
        <v>92</v>
      </c>
      <c r="H933" t="s">
        <v>93</v>
      </c>
      <c r="I933">
        <v>1</v>
      </c>
      <c r="J933" t="s">
        <v>890</v>
      </c>
      <c r="K933">
        <v>0</v>
      </c>
      <c r="L933">
        <v>0</v>
      </c>
      <c r="M933" t="s">
        <v>12</v>
      </c>
      <c r="N933">
        <v>0</v>
      </c>
      <c r="O933" s="1">
        <f>+Tabla__192.168.1.8_POSEIDONSQL_APPFVT_01_tbl_detalle_fill_rate[[#This Row],[emb_cantidad]]-Tabla__192.168.1.8_POSEIDONSQL_APPFVT_01_tbl_detalle_fill_rate[[#This Row],[dev_cantidad]]</f>
        <v>0</v>
      </c>
      <c r="P9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33" s="1">
        <f>+Tabla__192.168.1.8_POSEIDONSQL_APPFVT_01_tbl_detalle_fill_rate[[#This Row],[Cumpl Real Unds]]-Tabla__192.168.1.8_POSEIDONSQL_APPFVT_01_tbl_detalle_fill_rate[[#This Row],[Cant Embarcada]]</f>
        <v>0</v>
      </c>
      <c r="S933" s="1">
        <f>+IF(Tabla__192.168.1.8_POSEIDONSQL_APPFVT_01_tbl_detalle_fill_rate[[#This Row],[Pend Emb]]&gt;0,1,0)</f>
        <v>0</v>
      </c>
      <c r="T9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4" spans="1:20" x14ac:dyDescent="0.25">
      <c r="A934">
        <v>3</v>
      </c>
      <c r="B934" t="s">
        <v>50</v>
      </c>
      <c r="C934">
        <v>50052368</v>
      </c>
      <c r="D934" s="48">
        <v>43357</v>
      </c>
      <c r="E934" s="48">
        <v>43356</v>
      </c>
      <c r="F934" s="48">
        <v>43367</v>
      </c>
      <c r="G934" t="s">
        <v>92</v>
      </c>
      <c r="H934" t="s">
        <v>93</v>
      </c>
      <c r="I934">
        <v>1</v>
      </c>
      <c r="J934" t="s">
        <v>1993</v>
      </c>
      <c r="K934">
        <v>0</v>
      </c>
      <c r="L934">
        <v>0</v>
      </c>
      <c r="M934" t="s">
        <v>12</v>
      </c>
      <c r="N934">
        <v>0</v>
      </c>
      <c r="O934" s="1">
        <f>+Tabla__192.168.1.8_POSEIDONSQL_APPFVT_01_tbl_detalle_fill_rate[[#This Row],[emb_cantidad]]-Tabla__192.168.1.8_POSEIDONSQL_APPFVT_01_tbl_detalle_fill_rate[[#This Row],[dev_cantidad]]</f>
        <v>0</v>
      </c>
      <c r="P9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34" s="1">
        <f>+Tabla__192.168.1.8_POSEIDONSQL_APPFVT_01_tbl_detalle_fill_rate[[#This Row],[Cumpl Real Unds]]-Tabla__192.168.1.8_POSEIDONSQL_APPFVT_01_tbl_detalle_fill_rate[[#This Row],[Cant Embarcada]]</f>
        <v>0</v>
      </c>
      <c r="S934" s="1">
        <f>+IF(Tabla__192.168.1.8_POSEIDONSQL_APPFVT_01_tbl_detalle_fill_rate[[#This Row],[Pend Emb]]&gt;0,1,0)</f>
        <v>0</v>
      </c>
      <c r="T9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5" spans="1:20" x14ac:dyDescent="0.25">
      <c r="A935">
        <v>3</v>
      </c>
      <c r="B935" t="s">
        <v>50</v>
      </c>
      <c r="C935">
        <v>50052369</v>
      </c>
      <c r="D935" s="48">
        <v>43357</v>
      </c>
      <c r="E935" s="48">
        <v>43356</v>
      </c>
      <c r="F935" s="48">
        <v>43367</v>
      </c>
      <c r="G935" t="s">
        <v>62</v>
      </c>
      <c r="H935" t="s">
        <v>63</v>
      </c>
      <c r="I935">
        <v>1</v>
      </c>
      <c r="J935" t="s">
        <v>651</v>
      </c>
      <c r="K935">
        <v>1</v>
      </c>
      <c r="L935">
        <v>1</v>
      </c>
      <c r="M935" t="s">
        <v>416</v>
      </c>
      <c r="N935">
        <v>0</v>
      </c>
      <c r="O935" s="1">
        <f>+Tabla__192.168.1.8_POSEIDONSQL_APPFVT_01_tbl_detalle_fill_rate[[#This Row],[emb_cantidad]]-Tabla__192.168.1.8_POSEIDONSQL_APPFVT_01_tbl_detalle_fill_rate[[#This Row],[dev_cantidad]]</f>
        <v>1</v>
      </c>
      <c r="P9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35" s="1">
        <f>+Tabla__192.168.1.8_POSEIDONSQL_APPFVT_01_tbl_detalle_fill_rate[[#This Row],[Cumpl Real Unds]]-Tabla__192.168.1.8_POSEIDONSQL_APPFVT_01_tbl_detalle_fill_rate[[#This Row],[Cant Embarcada]]</f>
        <v>0</v>
      </c>
      <c r="S935" s="1">
        <f>+IF(Tabla__192.168.1.8_POSEIDONSQL_APPFVT_01_tbl_detalle_fill_rate[[#This Row],[Pend Emb]]&gt;0,1,0)</f>
        <v>0</v>
      </c>
      <c r="T9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6" spans="1:20" x14ac:dyDescent="0.25">
      <c r="A936">
        <v>3</v>
      </c>
      <c r="B936" t="s">
        <v>50</v>
      </c>
      <c r="C936">
        <v>50052369</v>
      </c>
      <c r="D936" s="48">
        <v>43357</v>
      </c>
      <c r="E936" s="48">
        <v>43356</v>
      </c>
      <c r="F936" s="48">
        <v>43367</v>
      </c>
      <c r="G936" t="s">
        <v>84</v>
      </c>
      <c r="H936" t="s">
        <v>85</v>
      </c>
      <c r="I936">
        <v>1</v>
      </c>
      <c r="J936" t="s">
        <v>652</v>
      </c>
      <c r="K936">
        <v>1</v>
      </c>
      <c r="L936">
        <v>1</v>
      </c>
      <c r="M936" t="s">
        <v>416</v>
      </c>
      <c r="N936">
        <v>0</v>
      </c>
      <c r="O936" s="1">
        <f>+Tabla__192.168.1.8_POSEIDONSQL_APPFVT_01_tbl_detalle_fill_rate[[#This Row],[emb_cantidad]]-Tabla__192.168.1.8_POSEIDONSQL_APPFVT_01_tbl_detalle_fill_rate[[#This Row],[dev_cantidad]]</f>
        <v>1</v>
      </c>
      <c r="P9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36" s="1">
        <f>+Tabla__192.168.1.8_POSEIDONSQL_APPFVT_01_tbl_detalle_fill_rate[[#This Row],[Cumpl Real Unds]]-Tabla__192.168.1.8_POSEIDONSQL_APPFVT_01_tbl_detalle_fill_rate[[#This Row],[Cant Embarcada]]</f>
        <v>0</v>
      </c>
      <c r="S936" s="1">
        <f>+IF(Tabla__192.168.1.8_POSEIDONSQL_APPFVT_01_tbl_detalle_fill_rate[[#This Row],[Pend Emb]]&gt;0,1,0)</f>
        <v>0</v>
      </c>
      <c r="T9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7" spans="1:20" x14ac:dyDescent="0.25">
      <c r="A937">
        <v>3</v>
      </c>
      <c r="B937" t="s">
        <v>50</v>
      </c>
      <c r="C937">
        <v>50052369</v>
      </c>
      <c r="D937" s="48">
        <v>43357</v>
      </c>
      <c r="E937" s="48">
        <v>43356</v>
      </c>
      <c r="F937" s="48">
        <v>43367</v>
      </c>
      <c r="G937" t="s">
        <v>84</v>
      </c>
      <c r="H937" t="s">
        <v>85</v>
      </c>
      <c r="I937">
        <v>1</v>
      </c>
      <c r="J937" t="s">
        <v>653</v>
      </c>
      <c r="K937">
        <v>1</v>
      </c>
      <c r="L937">
        <v>1</v>
      </c>
      <c r="M937" t="s">
        <v>416</v>
      </c>
      <c r="N937">
        <v>0</v>
      </c>
      <c r="O937" s="1">
        <f>+Tabla__192.168.1.8_POSEIDONSQL_APPFVT_01_tbl_detalle_fill_rate[[#This Row],[emb_cantidad]]-Tabla__192.168.1.8_POSEIDONSQL_APPFVT_01_tbl_detalle_fill_rate[[#This Row],[dev_cantidad]]</f>
        <v>1</v>
      </c>
      <c r="P9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37" s="1">
        <f>+Tabla__192.168.1.8_POSEIDONSQL_APPFVT_01_tbl_detalle_fill_rate[[#This Row],[Cumpl Real Unds]]-Tabla__192.168.1.8_POSEIDONSQL_APPFVT_01_tbl_detalle_fill_rate[[#This Row],[Cant Embarcada]]</f>
        <v>0</v>
      </c>
      <c r="S937" s="1">
        <f>+IF(Tabla__192.168.1.8_POSEIDONSQL_APPFVT_01_tbl_detalle_fill_rate[[#This Row],[Pend Emb]]&gt;0,1,0)</f>
        <v>0</v>
      </c>
      <c r="T9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8" spans="1:20" x14ac:dyDescent="0.25">
      <c r="A938">
        <v>3</v>
      </c>
      <c r="B938" t="s">
        <v>50</v>
      </c>
      <c r="C938">
        <v>50052369</v>
      </c>
      <c r="D938" s="48">
        <v>43357</v>
      </c>
      <c r="E938" s="48">
        <v>43356</v>
      </c>
      <c r="F938" s="48">
        <v>43367</v>
      </c>
      <c r="G938" t="s">
        <v>92</v>
      </c>
      <c r="H938" t="s">
        <v>93</v>
      </c>
      <c r="I938">
        <v>1</v>
      </c>
      <c r="J938" t="s">
        <v>654</v>
      </c>
      <c r="K938">
        <v>0</v>
      </c>
      <c r="L938">
        <v>0</v>
      </c>
      <c r="M938" t="s">
        <v>12</v>
      </c>
      <c r="N938">
        <v>0</v>
      </c>
      <c r="O938" s="1">
        <f>+Tabla__192.168.1.8_POSEIDONSQL_APPFVT_01_tbl_detalle_fill_rate[[#This Row],[emb_cantidad]]-Tabla__192.168.1.8_POSEIDONSQL_APPFVT_01_tbl_detalle_fill_rate[[#This Row],[dev_cantidad]]</f>
        <v>0</v>
      </c>
      <c r="P9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38" s="1">
        <f>+Tabla__192.168.1.8_POSEIDONSQL_APPFVT_01_tbl_detalle_fill_rate[[#This Row],[Cumpl Real Unds]]-Tabla__192.168.1.8_POSEIDONSQL_APPFVT_01_tbl_detalle_fill_rate[[#This Row],[Cant Embarcada]]</f>
        <v>0</v>
      </c>
      <c r="S938" s="1">
        <f>+IF(Tabla__192.168.1.8_POSEIDONSQL_APPFVT_01_tbl_detalle_fill_rate[[#This Row],[Pend Emb]]&gt;0,1,0)</f>
        <v>0</v>
      </c>
      <c r="T9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39" spans="1:20" x14ac:dyDescent="0.25">
      <c r="A939">
        <v>3</v>
      </c>
      <c r="B939" t="s">
        <v>50</v>
      </c>
      <c r="C939">
        <v>50052369</v>
      </c>
      <c r="D939" s="48">
        <v>43357</v>
      </c>
      <c r="E939" s="48">
        <v>43356</v>
      </c>
      <c r="F939" s="48">
        <v>43368</v>
      </c>
      <c r="G939" t="s">
        <v>92</v>
      </c>
      <c r="H939" t="s">
        <v>93</v>
      </c>
      <c r="I939">
        <v>1</v>
      </c>
      <c r="J939" t="s">
        <v>1992</v>
      </c>
      <c r="K939">
        <v>0</v>
      </c>
      <c r="L939">
        <v>0</v>
      </c>
      <c r="M939" t="s">
        <v>12</v>
      </c>
      <c r="N939">
        <v>0</v>
      </c>
      <c r="O939" s="1">
        <f>+Tabla__192.168.1.8_POSEIDONSQL_APPFVT_01_tbl_detalle_fill_rate[[#This Row],[emb_cantidad]]-Tabla__192.168.1.8_POSEIDONSQL_APPFVT_01_tbl_detalle_fill_rate[[#This Row],[dev_cantidad]]</f>
        <v>0</v>
      </c>
      <c r="P9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39" s="1">
        <f>+Tabla__192.168.1.8_POSEIDONSQL_APPFVT_01_tbl_detalle_fill_rate[[#This Row],[Cumpl Real Unds]]-Tabla__192.168.1.8_POSEIDONSQL_APPFVT_01_tbl_detalle_fill_rate[[#This Row],[Cant Embarcada]]</f>
        <v>0</v>
      </c>
      <c r="S939" s="1">
        <f>+IF(Tabla__192.168.1.8_POSEIDONSQL_APPFVT_01_tbl_detalle_fill_rate[[#This Row],[Pend Emb]]&gt;0,1,0)</f>
        <v>0</v>
      </c>
      <c r="T9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0" spans="1:20" x14ac:dyDescent="0.25">
      <c r="A940">
        <v>3</v>
      </c>
      <c r="B940" t="s">
        <v>50</v>
      </c>
      <c r="C940">
        <v>50052369</v>
      </c>
      <c r="D940" s="48">
        <v>43357</v>
      </c>
      <c r="E940" s="48">
        <v>43356</v>
      </c>
      <c r="F940" s="48">
        <v>43367</v>
      </c>
      <c r="G940" t="s">
        <v>134</v>
      </c>
      <c r="H940" t="s">
        <v>135</v>
      </c>
      <c r="I940">
        <v>1</v>
      </c>
      <c r="J940" t="s">
        <v>655</v>
      </c>
      <c r="K940">
        <v>1</v>
      </c>
      <c r="L940">
        <v>1</v>
      </c>
      <c r="M940" t="s">
        <v>416</v>
      </c>
      <c r="N940">
        <v>0</v>
      </c>
      <c r="O940" s="1">
        <f>+Tabla__192.168.1.8_POSEIDONSQL_APPFVT_01_tbl_detalle_fill_rate[[#This Row],[emb_cantidad]]-Tabla__192.168.1.8_POSEIDONSQL_APPFVT_01_tbl_detalle_fill_rate[[#This Row],[dev_cantidad]]</f>
        <v>1</v>
      </c>
      <c r="P9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0" s="1">
        <f>+Tabla__192.168.1.8_POSEIDONSQL_APPFVT_01_tbl_detalle_fill_rate[[#This Row],[Cumpl Real Unds]]-Tabla__192.168.1.8_POSEIDONSQL_APPFVT_01_tbl_detalle_fill_rate[[#This Row],[Cant Embarcada]]</f>
        <v>0</v>
      </c>
      <c r="S940" s="1">
        <f>+IF(Tabla__192.168.1.8_POSEIDONSQL_APPFVT_01_tbl_detalle_fill_rate[[#This Row],[Pend Emb]]&gt;0,1,0)</f>
        <v>0</v>
      </c>
      <c r="T9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1" spans="1:20" x14ac:dyDescent="0.25">
      <c r="A941">
        <v>3</v>
      </c>
      <c r="B941" t="s">
        <v>50</v>
      </c>
      <c r="C941">
        <v>50052369</v>
      </c>
      <c r="D941" s="48">
        <v>43357</v>
      </c>
      <c r="E941" s="48">
        <v>43356</v>
      </c>
      <c r="F941" s="48">
        <v>43370</v>
      </c>
      <c r="G941" t="s">
        <v>134</v>
      </c>
      <c r="H941" t="s">
        <v>135</v>
      </c>
      <c r="I941">
        <v>1</v>
      </c>
      <c r="J941" t="s">
        <v>656</v>
      </c>
      <c r="K941">
        <v>1</v>
      </c>
      <c r="L941">
        <v>1</v>
      </c>
      <c r="M941" t="s">
        <v>416</v>
      </c>
      <c r="N941">
        <v>0</v>
      </c>
      <c r="O941" s="1">
        <f>+Tabla__192.168.1.8_POSEIDONSQL_APPFVT_01_tbl_detalle_fill_rate[[#This Row],[emb_cantidad]]-Tabla__192.168.1.8_POSEIDONSQL_APPFVT_01_tbl_detalle_fill_rate[[#This Row],[dev_cantidad]]</f>
        <v>1</v>
      </c>
      <c r="P9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1" s="1">
        <f>+Tabla__192.168.1.8_POSEIDONSQL_APPFVT_01_tbl_detalle_fill_rate[[#This Row],[Cumpl Real Unds]]-Tabla__192.168.1.8_POSEIDONSQL_APPFVT_01_tbl_detalle_fill_rate[[#This Row],[Cant Embarcada]]</f>
        <v>0</v>
      </c>
      <c r="S941" s="1">
        <f>+IF(Tabla__192.168.1.8_POSEIDONSQL_APPFVT_01_tbl_detalle_fill_rate[[#This Row],[Pend Emb]]&gt;0,1,0)</f>
        <v>0</v>
      </c>
      <c r="T9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2" spans="1:20" x14ac:dyDescent="0.25">
      <c r="A942">
        <v>3</v>
      </c>
      <c r="B942" t="s">
        <v>50</v>
      </c>
      <c r="C942">
        <v>50052459</v>
      </c>
      <c r="D942" s="48">
        <v>43363</v>
      </c>
      <c r="E942" s="48">
        <v>43359</v>
      </c>
      <c r="F942" s="48">
        <v>43369</v>
      </c>
      <c r="G942" t="s">
        <v>130</v>
      </c>
      <c r="H942" t="s">
        <v>131</v>
      </c>
      <c r="I942">
        <v>1</v>
      </c>
      <c r="J942" t="s">
        <v>657</v>
      </c>
      <c r="K942">
        <v>1</v>
      </c>
      <c r="L942">
        <v>1</v>
      </c>
      <c r="M942" t="s">
        <v>416</v>
      </c>
      <c r="N942">
        <v>0</v>
      </c>
      <c r="O942" s="1">
        <f>+Tabla__192.168.1.8_POSEIDONSQL_APPFVT_01_tbl_detalle_fill_rate[[#This Row],[emb_cantidad]]-Tabla__192.168.1.8_POSEIDONSQL_APPFVT_01_tbl_detalle_fill_rate[[#This Row],[dev_cantidad]]</f>
        <v>1</v>
      </c>
      <c r="P9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2" s="1">
        <f>+Tabla__192.168.1.8_POSEIDONSQL_APPFVT_01_tbl_detalle_fill_rate[[#This Row],[Cumpl Real Unds]]-Tabla__192.168.1.8_POSEIDONSQL_APPFVT_01_tbl_detalle_fill_rate[[#This Row],[Cant Embarcada]]</f>
        <v>0</v>
      </c>
      <c r="S942" s="1">
        <f>+IF(Tabla__192.168.1.8_POSEIDONSQL_APPFVT_01_tbl_detalle_fill_rate[[#This Row],[Pend Emb]]&gt;0,1,0)</f>
        <v>0</v>
      </c>
      <c r="T9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3" spans="1:20" x14ac:dyDescent="0.25">
      <c r="A943">
        <v>9</v>
      </c>
      <c r="B943" t="s">
        <v>48</v>
      </c>
      <c r="C943">
        <v>9179114</v>
      </c>
      <c r="D943" s="48">
        <v>1</v>
      </c>
      <c r="E943" s="48">
        <v>1</v>
      </c>
      <c r="F943" s="48">
        <v>43339</v>
      </c>
      <c r="G943" t="s">
        <v>240</v>
      </c>
      <c r="H943" t="s">
        <v>241</v>
      </c>
      <c r="I943">
        <v>1</v>
      </c>
      <c r="J943" t="s">
        <v>1113</v>
      </c>
      <c r="K943">
        <v>1</v>
      </c>
      <c r="L943">
        <v>1</v>
      </c>
      <c r="M943" t="s">
        <v>1980</v>
      </c>
      <c r="N943">
        <v>0</v>
      </c>
      <c r="O943" s="1">
        <f>+Tabla__192.168.1.8_POSEIDONSQL_APPFVT_01_tbl_detalle_fill_rate[[#This Row],[emb_cantidad]]-Tabla__192.168.1.8_POSEIDONSQL_APPFVT_01_tbl_detalle_fill_rate[[#This Row],[dev_cantidad]]</f>
        <v>1</v>
      </c>
      <c r="P9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3" s="1">
        <f>+Tabla__192.168.1.8_POSEIDONSQL_APPFVT_01_tbl_detalle_fill_rate[[#This Row],[Cumpl Real Unds]]-Tabla__192.168.1.8_POSEIDONSQL_APPFVT_01_tbl_detalle_fill_rate[[#This Row],[Cant Embarcada]]</f>
        <v>0</v>
      </c>
      <c r="S943" s="1">
        <f>+IF(Tabla__192.168.1.8_POSEIDONSQL_APPFVT_01_tbl_detalle_fill_rate[[#This Row],[Pend Emb]]&gt;0,1,0)</f>
        <v>0</v>
      </c>
      <c r="T9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4" spans="1:20" x14ac:dyDescent="0.25">
      <c r="A944">
        <v>9</v>
      </c>
      <c r="B944" t="s">
        <v>48</v>
      </c>
      <c r="C944">
        <v>9179720</v>
      </c>
      <c r="D944" s="48">
        <v>1</v>
      </c>
      <c r="E944" s="48">
        <v>1</v>
      </c>
      <c r="F944" s="48">
        <v>43341</v>
      </c>
      <c r="G944" t="s">
        <v>240</v>
      </c>
      <c r="H944" t="s">
        <v>241</v>
      </c>
      <c r="I944">
        <v>1</v>
      </c>
      <c r="J944" t="s">
        <v>689</v>
      </c>
      <c r="K944">
        <v>1</v>
      </c>
      <c r="L944">
        <v>1</v>
      </c>
      <c r="M944" t="s">
        <v>1980</v>
      </c>
      <c r="N944">
        <v>0</v>
      </c>
      <c r="O944" s="1">
        <f>+Tabla__192.168.1.8_POSEIDONSQL_APPFVT_01_tbl_detalle_fill_rate[[#This Row],[emb_cantidad]]-Tabla__192.168.1.8_POSEIDONSQL_APPFVT_01_tbl_detalle_fill_rate[[#This Row],[dev_cantidad]]</f>
        <v>1</v>
      </c>
      <c r="P9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4" s="1">
        <f>+Tabla__192.168.1.8_POSEIDONSQL_APPFVT_01_tbl_detalle_fill_rate[[#This Row],[Cumpl Real Unds]]-Tabla__192.168.1.8_POSEIDONSQL_APPFVT_01_tbl_detalle_fill_rate[[#This Row],[Cant Embarcada]]</f>
        <v>0</v>
      </c>
      <c r="S944" s="1">
        <f>+IF(Tabla__192.168.1.8_POSEIDONSQL_APPFVT_01_tbl_detalle_fill_rate[[#This Row],[Pend Emb]]&gt;0,1,0)</f>
        <v>0</v>
      </c>
      <c r="T9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5" spans="1:20" x14ac:dyDescent="0.25">
      <c r="A945">
        <v>9</v>
      </c>
      <c r="B945" t="s">
        <v>48</v>
      </c>
      <c r="C945">
        <v>9179977</v>
      </c>
      <c r="D945" s="48">
        <v>1</v>
      </c>
      <c r="E945" s="48">
        <v>1</v>
      </c>
      <c r="F945" s="48">
        <v>43350</v>
      </c>
      <c r="G945" t="s">
        <v>240</v>
      </c>
      <c r="H945" t="s">
        <v>241</v>
      </c>
      <c r="I945">
        <v>1</v>
      </c>
      <c r="J945" t="s">
        <v>1407</v>
      </c>
      <c r="K945">
        <v>1</v>
      </c>
      <c r="L945">
        <v>1</v>
      </c>
      <c r="M945" t="s">
        <v>1969</v>
      </c>
      <c r="N945">
        <v>0</v>
      </c>
      <c r="O945" s="1">
        <f>+Tabla__192.168.1.8_POSEIDONSQL_APPFVT_01_tbl_detalle_fill_rate[[#This Row],[emb_cantidad]]-Tabla__192.168.1.8_POSEIDONSQL_APPFVT_01_tbl_detalle_fill_rate[[#This Row],[dev_cantidad]]</f>
        <v>1</v>
      </c>
      <c r="P9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5" s="1">
        <f>+Tabla__192.168.1.8_POSEIDONSQL_APPFVT_01_tbl_detalle_fill_rate[[#This Row],[Cumpl Real Unds]]-Tabla__192.168.1.8_POSEIDONSQL_APPFVT_01_tbl_detalle_fill_rate[[#This Row],[Cant Embarcada]]</f>
        <v>0</v>
      </c>
      <c r="S945" s="1">
        <f>+IF(Tabla__192.168.1.8_POSEIDONSQL_APPFVT_01_tbl_detalle_fill_rate[[#This Row],[Pend Emb]]&gt;0,1,0)</f>
        <v>0</v>
      </c>
      <c r="T9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6" spans="1:20" x14ac:dyDescent="0.25">
      <c r="A946">
        <v>9</v>
      </c>
      <c r="B946" t="s">
        <v>48</v>
      </c>
      <c r="C946">
        <v>9180363</v>
      </c>
      <c r="D946" s="48">
        <v>1</v>
      </c>
      <c r="E946" s="48">
        <v>1</v>
      </c>
      <c r="F946" s="48">
        <v>43341</v>
      </c>
      <c r="G946" t="s">
        <v>240</v>
      </c>
      <c r="H946" t="s">
        <v>241</v>
      </c>
      <c r="I946">
        <v>1</v>
      </c>
      <c r="J946" t="s">
        <v>695</v>
      </c>
      <c r="K946">
        <v>1</v>
      </c>
      <c r="L946">
        <v>1</v>
      </c>
      <c r="M946" t="s">
        <v>1980</v>
      </c>
      <c r="N946">
        <v>0</v>
      </c>
      <c r="O946" s="1">
        <f>+Tabla__192.168.1.8_POSEIDONSQL_APPFVT_01_tbl_detalle_fill_rate[[#This Row],[emb_cantidad]]-Tabla__192.168.1.8_POSEIDONSQL_APPFVT_01_tbl_detalle_fill_rate[[#This Row],[dev_cantidad]]</f>
        <v>1</v>
      </c>
      <c r="P9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6" s="1">
        <f>+Tabla__192.168.1.8_POSEIDONSQL_APPFVT_01_tbl_detalle_fill_rate[[#This Row],[Cumpl Real Unds]]-Tabla__192.168.1.8_POSEIDONSQL_APPFVT_01_tbl_detalle_fill_rate[[#This Row],[Cant Embarcada]]</f>
        <v>0</v>
      </c>
      <c r="S946" s="1">
        <f>+IF(Tabla__192.168.1.8_POSEIDONSQL_APPFVT_01_tbl_detalle_fill_rate[[#This Row],[Pend Emb]]&gt;0,1,0)</f>
        <v>0</v>
      </c>
      <c r="T9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7" spans="1:20" x14ac:dyDescent="0.25">
      <c r="A947">
        <v>9</v>
      </c>
      <c r="B947" t="s">
        <v>48</v>
      </c>
      <c r="C947">
        <v>9180448</v>
      </c>
      <c r="D947" s="48">
        <v>1</v>
      </c>
      <c r="E947" s="48">
        <v>1</v>
      </c>
      <c r="F947" s="48">
        <v>43341</v>
      </c>
      <c r="G947" t="s">
        <v>240</v>
      </c>
      <c r="H947" t="s">
        <v>241</v>
      </c>
      <c r="I947">
        <v>1</v>
      </c>
      <c r="J947" t="s">
        <v>696</v>
      </c>
      <c r="K947">
        <v>1</v>
      </c>
      <c r="L947">
        <v>1</v>
      </c>
      <c r="M947" t="s">
        <v>1980</v>
      </c>
      <c r="N947">
        <v>0</v>
      </c>
      <c r="O947" s="1">
        <f>+Tabla__192.168.1.8_POSEIDONSQL_APPFVT_01_tbl_detalle_fill_rate[[#This Row],[emb_cantidad]]-Tabla__192.168.1.8_POSEIDONSQL_APPFVT_01_tbl_detalle_fill_rate[[#This Row],[dev_cantidad]]</f>
        <v>1</v>
      </c>
      <c r="P9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7" s="1">
        <f>+Tabla__192.168.1.8_POSEIDONSQL_APPFVT_01_tbl_detalle_fill_rate[[#This Row],[Cumpl Real Unds]]-Tabla__192.168.1.8_POSEIDONSQL_APPFVT_01_tbl_detalle_fill_rate[[#This Row],[Cant Embarcada]]</f>
        <v>0</v>
      </c>
      <c r="S947" s="1">
        <f>+IF(Tabla__192.168.1.8_POSEIDONSQL_APPFVT_01_tbl_detalle_fill_rate[[#This Row],[Pend Emb]]&gt;0,1,0)</f>
        <v>0</v>
      </c>
      <c r="T9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8" spans="1:20" x14ac:dyDescent="0.25">
      <c r="A948">
        <v>9</v>
      </c>
      <c r="B948" t="s">
        <v>48</v>
      </c>
      <c r="C948">
        <v>9180795</v>
      </c>
      <c r="D948" s="48">
        <v>1</v>
      </c>
      <c r="E948" s="48">
        <v>1</v>
      </c>
      <c r="F948" s="48">
        <v>43343</v>
      </c>
      <c r="G948" t="s">
        <v>240</v>
      </c>
      <c r="H948" t="s">
        <v>241</v>
      </c>
      <c r="I948">
        <v>1</v>
      </c>
      <c r="J948" t="s">
        <v>710</v>
      </c>
      <c r="K948">
        <v>1</v>
      </c>
      <c r="L948">
        <v>1</v>
      </c>
      <c r="M948" t="s">
        <v>1962</v>
      </c>
      <c r="N948">
        <v>0</v>
      </c>
      <c r="O948" s="1">
        <f>+Tabla__192.168.1.8_POSEIDONSQL_APPFVT_01_tbl_detalle_fill_rate[[#This Row],[emb_cantidad]]-Tabla__192.168.1.8_POSEIDONSQL_APPFVT_01_tbl_detalle_fill_rate[[#This Row],[dev_cantidad]]</f>
        <v>1</v>
      </c>
      <c r="P9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8" s="1">
        <f>+Tabla__192.168.1.8_POSEIDONSQL_APPFVT_01_tbl_detalle_fill_rate[[#This Row],[Cumpl Real Unds]]-Tabla__192.168.1.8_POSEIDONSQL_APPFVT_01_tbl_detalle_fill_rate[[#This Row],[Cant Embarcada]]</f>
        <v>0</v>
      </c>
      <c r="S948" s="1">
        <f>+IF(Tabla__192.168.1.8_POSEIDONSQL_APPFVT_01_tbl_detalle_fill_rate[[#This Row],[Pend Emb]]&gt;0,1,0)</f>
        <v>0</v>
      </c>
      <c r="T9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49" spans="1:20" x14ac:dyDescent="0.25">
      <c r="A949">
        <v>9</v>
      </c>
      <c r="B949" t="s">
        <v>48</v>
      </c>
      <c r="C949">
        <v>9180795</v>
      </c>
      <c r="D949" s="48">
        <v>1</v>
      </c>
      <c r="E949" s="48">
        <v>1</v>
      </c>
      <c r="F949" s="48">
        <v>43341</v>
      </c>
      <c r="G949" t="s">
        <v>240</v>
      </c>
      <c r="H949" t="s">
        <v>241</v>
      </c>
      <c r="I949">
        <v>1</v>
      </c>
      <c r="J949" t="s">
        <v>697</v>
      </c>
      <c r="K949">
        <v>1</v>
      </c>
      <c r="L949">
        <v>1</v>
      </c>
      <c r="M949" t="s">
        <v>1980</v>
      </c>
      <c r="N949">
        <v>0</v>
      </c>
      <c r="O949" s="1">
        <f>+Tabla__192.168.1.8_POSEIDONSQL_APPFVT_01_tbl_detalle_fill_rate[[#This Row],[emb_cantidad]]-Tabla__192.168.1.8_POSEIDONSQL_APPFVT_01_tbl_detalle_fill_rate[[#This Row],[dev_cantidad]]</f>
        <v>1</v>
      </c>
      <c r="P9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49" s="1">
        <f>+Tabla__192.168.1.8_POSEIDONSQL_APPFVT_01_tbl_detalle_fill_rate[[#This Row],[Cumpl Real Unds]]-Tabla__192.168.1.8_POSEIDONSQL_APPFVT_01_tbl_detalle_fill_rate[[#This Row],[Cant Embarcada]]</f>
        <v>0</v>
      </c>
      <c r="S949" s="1">
        <f>+IF(Tabla__192.168.1.8_POSEIDONSQL_APPFVT_01_tbl_detalle_fill_rate[[#This Row],[Pend Emb]]&gt;0,1,0)</f>
        <v>0</v>
      </c>
      <c r="T9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0" spans="1:20" x14ac:dyDescent="0.25">
      <c r="A950">
        <v>9</v>
      </c>
      <c r="B950" t="s">
        <v>48</v>
      </c>
      <c r="C950">
        <v>9180857</v>
      </c>
      <c r="D950" s="48">
        <v>1</v>
      </c>
      <c r="E950" s="48">
        <v>1</v>
      </c>
      <c r="F950" s="48">
        <v>43341</v>
      </c>
      <c r="G950" t="s">
        <v>240</v>
      </c>
      <c r="H950" t="s">
        <v>241</v>
      </c>
      <c r="I950">
        <v>1</v>
      </c>
      <c r="J950" t="s">
        <v>698</v>
      </c>
      <c r="K950">
        <v>1</v>
      </c>
      <c r="L950">
        <v>1</v>
      </c>
      <c r="M950" t="s">
        <v>1980</v>
      </c>
      <c r="N950">
        <v>0</v>
      </c>
      <c r="O950" s="1">
        <f>+Tabla__192.168.1.8_POSEIDONSQL_APPFVT_01_tbl_detalle_fill_rate[[#This Row],[emb_cantidad]]-Tabla__192.168.1.8_POSEIDONSQL_APPFVT_01_tbl_detalle_fill_rate[[#This Row],[dev_cantidad]]</f>
        <v>1</v>
      </c>
      <c r="P9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0" s="1">
        <f>+Tabla__192.168.1.8_POSEIDONSQL_APPFVT_01_tbl_detalle_fill_rate[[#This Row],[Cumpl Real Unds]]-Tabla__192.168.1.8_POSEIDONSQL_APPFVT_01_tbl_detalle_fill_rate[[#This Row],[Cant Embarcada]]</f>
        <v>0</v>
      </c>
      <c r="S950" s="1">
        <f>+IF(Tabla__192.168.1.8_POSEIDONSQL_APPFVT_01_tbl_detalle_fill_rate[[#This Row],[Pend Emb]]&gt;0,1,0)</f>
        <v>0</v>
      </c>
      <c r="T9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1" spans="1:20" x14ac:dyDescent="0.25">
      <c r="A951">
        <v>9</v>
      </c>
      <c r="B951" t="s">
        <v>48</v>
      </c>
      <c r="C951">
        <v>9181185</v>
      </c>
      <c r="D951" s="48">
        <v>1</v>
      </c>
      <c r="E951" s="48">
        <v>1</v>
      </c>
      <c r="F951" s="48">
        <v>43343</v>
      </c>
      <c r="G951" t="s">
        <v>240</v>
      </c>
      <c r="H951" t="s">
        <v>241</v>
      </c>
      <c r="I951">
        <v>1</v>
      </c>
      <c r="J951" t="s">
        <v>706</v>
      </c>
      <c r="K951">
        <v>1</v>
      </c>
      <c r="L951">
        <v>1</v>
      </c>
      <c r="M951" t="s">
        <v>1962</v>
      </c>
      <c r="N951">
        <v>0</v>
      </c>
      <c r="O951" s="1">
        <f>+Tabla__192.168.1.8_POSEIDONSQL_APPFVT_01_tbl_detalle_fill_rate[[#This Row],[emb_cantidad]]-Tabla__192.168.1.8_POSEIDONSQL_APPFVT_01_tbl_detalle_fill_rate[[#This Row],[dev_cantidad]]</f>
        <v>1</v>
      </c>
      <c r="P9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1" s="1">
        <f>+Tabla__192.168.1.8_POSEIDONSQL_APPFVT_01_tbl_detalle_fill_rate[[#This Row],[Cumpl Real Unds]]-Tabla__192.168.1.8_POSEIDONSQL_APPFVT_01_tbl_detalle_fill_rate[[#This Row],[Cant Embarcada]]</f>
        <v>0</v>
      </c>
      <c r="S951" s="1">
        <f>+IF(Tabla__192.168.1.8_POSEIDONSQL_APPFVT_01_tbl_detalle_fill_rate[[#This Row],[Pend Emb]]&gt;0,1,0)</f>
        <v>0</v>
      </c>
      <c r="T9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2" spans="1:20" x14ac:dyDescent="0.25">
      <c r="A952">
        <v>9</v>
      </c>
      <c r="B952" t="s">
        <v>48</v>
      </c>
      <c r="C952">
        <v>9181409</v>
      </c>
      <c r="D952" s="48">
        <v>1</v>
      </c>
      <c r="E952" s="48">
        <v>1</v>
      </c>
      <c r="F952" s="48">
        <v>43343</v>
      </c>
      <c r="G952" t="s">
        <v>240</v>
      </c>
      <c r="H952" t="s">
        <v>241</v>
      </c>
      <c r="I952">
        <v>1</v>
      </c>
      <c r="J952" t="s">
        <v>707</v>
      </c>
      <c r="K952">
        <v>1</v>
      </c>
      <c r="L952">
        <v>1</v>
      </c>
      <c r="M952" t="s">
        <v>1962</v>
      </c>
      <c r="N952">
        <v>0</v>
      </c>
      <c r="O952" s="1">
        <f>+Tabla__192.168.1.8_POSEIDONSQL_APPFVT_01_tbl_detalle_fill_rate[[#This Row],[emb_cantidad]]-Tabla__192.168.1.8_POSEIDONSQL_APPFVT_01_tbl_detalle_fill_rate[[#This Row],[dev_cantidad]]</f>
        <v>1</v>
      </c>
      <c r="P9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2" s="1">
        <f>+Tabla__192.168.1.8_POSEIDONSQL_APPFVT_01_tbl_detalle_fill_rate[[#This Row],[Cumpl Real Unds]]-Tabla__192.168.1.8_POSEIDONSQL_APPFVT_01_tbl_detalle_fill_rate[[#This Row],[Cant Embarcada]]</f>
        <v>0</v>
      </c>
      <c r="S952" s="1">
        <f>+IF(Tabla__192.168.1.8_POSEIDONSQL_APPFVT_01_tbl_detalle_fill_rate[[#This Row],[Pend Emb]]&gt;0,1,0)</f>
        <v>0</v>
      </c>
      <c r="T9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3" spans="1:20" x14ac:dyDescent="0.25">
      <c r="A953">
        <v>9</v>
      </c>
      <c r="B953" t="s">
        <v>48</v>
      </c>
      <c r="C953">
        <v>9181455</v>
      </c>
      <c r="D953" s="48">
        <v>1</v>
      </c>
      <c r="E953" s="48">
        <v>1</v>
      </c>
      <c r="F953" s="48">
        <v>43343</v>
      </c>
      <c r="G953" t="s">
        <v>240</v>
      </c>
      <c r="H953" t="s">
        <v>241</v>
      </c>
      <c r="I953">
        <v>1</v>
      </c>
      <c r="J953" t="s">
        <v>708</v>
      </c>
      <c r="K953">
        <v>1</v>
      </c>
      <c r="L953">
        <v>1</v>
      </c>
      <c r="M953" t="s">
        <v>1962</v>
      </c>
      <c r="N953">
        <v>0</v>
      </c>
      <c r="O953" s="1">
        <f>+Tabla__192.168.1.8_POSEIDONSQL_APPFVT_01_tbl_detalle_fill_rate[[#This Row],[emb_cantidad]]-Tabla__192.168.1.8_POSEIDONSQL_APPFVT_01_tbl_detalle_fill_rate[[#This Row],[dev_cantidad]]</f>
        <v>1</v>
      </c>
      <c r="P9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3" s="1">
        <f>+Tabla__192.168.1.8_POSEIDONSQL_APPFVT_01_tbl_detalle_fill_rate[[#This Row],[Cumpl Real Unds]]-Tabla__192.168.1.8_POSEIDONSQL_APPFVT_01_tbl_detalle_fill_rate[[#This Row],[Cant Embarcada]]</f>
        <v>0</v>
      </c>
      <c r="S953" s="1">
        <f>+IF(Tabla__192.168.1.8_POSEIDONSQL_APPFVT_01_tbl_detalle_fill_rate[[#This Row],[Pend Emb]]&gt;0,1,0)</f>
        <v>0</v>
      </c>
      <c r="T9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4" spans="1:20" x14ac:dyDescent="0.25">
      <c r="A954">
        <v>9</v>
      </c>
      <c r="B954" t="s">
        <v>48</v>
      </c>
      <c r="C954">
        <v>9181783</v>
      </c>
      <c r="D954" s="48">
        <v>1</v>
      </c>
      <c r="E954" s="48">
        <v>1</v>
      </c>
      <c r="F954" s="48">
        <v>43346</v>
      </c>
      <c r="G954" t="s">
        <v>240</v>
      </c>
      <c r="H954" t="s">
        <v>241</v>
      </c>
      <c r="I954">
        <v>1</v>
      </c>
      <c r="J954" t="s">
        <v>1083</v>
      </c>
      <c r="K954">
        <v>1</v>
      </c>
      <c r="L954">
        <v>1</v>
      </c>
      <c r="M954" t="s">
        <v>1963</v>
      </c>
      <c r="N954">
        <v>0</v>
      </c>
      <c r="O954" s="1">
        <f>+Tabla__192.168.1.8_POSEIDONSQL_APPFVT_01_tbl_detalle_fill_rate[[#This Row],[emb_cantidad]]-Tabla__192.168.1.8_POSEIDONSQL_APPFVT_01_tbl_detalle_fill_rate[[#This Row],[dev_cantidad]]</f>
        <v>1</v>
      </c>
      <c r="P9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4" s="1">
        <f>+Tabla__192.168.1.8_POSEIDONSQL_APPFVT_01_tbl_detalle_fill_rate[[#This Row],[Cumpl Real Unds]]-Tabla__192.168.1.8_POSEIDONSQL_APPFVT_01_tbl_detalle_fill_rate[[#This Row],[Cant Embarcada]]</f>
        <v>0</v>
      </c>
      <c r="S954" s="1">
        <f>+IF(Tabla__192.168.1.8_POSEIDONSQL_APPFVT_01_tbl_detalle_fill_rate[[#This Row],[Pend Emb]]&gt;0,1,0)</f>
        <v>0</v>
      </c>
      <c r="T9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5" spans="1:20" x14ac:dyDescent="0.25">
      <c r="A955">
        <v>9</v>
      </c>
      <c r="B955" t="s">
        <v>48</v>
      </c>
      <c r="C955">
        <v>9181856</v>
      </c>
      <c r="D955" s="48">
        <v>1</v>
      </c>
      <c r="E955" s="48">
        <v>1</v>
      </c>
      <c r="F955" s="48">
        <v>43343</v>
      </c>
      <c r="G955" t="s">
        <v>240</v>
      </c>
      <c r="H955" t="s">
        <v>241</v>
      </c>
      <c r="I955">
        <v>1</v>
      </c>
      <c r="J955" t="s">
        <v>709</v>
      </c>
      <c r="K955">
        <v>1</v>
      </c>
      <c r="L955">
        <v>1</v>
      </c>
      <c r="M955" t="s">
        <v>1962</v>
      </c>
      <c r="N955">
        <v>0</v>
      </c>
      <c r="O955" s="1">
        <f>+Tabla__192.168.1.8_POSEIDONSQL_APPFVT_01_tbl_detalle_fill_rate[[#This Row],[emb_cantidad]]-Tabla__192.168.1.8_POSEIDONSQL_APPFVT_01_tbl_detalle_fill_rate[[#This Row],[dev_cantidad]]</f>
        <v>1</v>
      </c>
      <c r="P9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5" s="1">
        <f>+Tabla__192.168.1.8_POSEIDONSQL_APPFVT_01_tbl_detalle_fill_rate[[#This Row],[Cumpl Real Unds]]-Tabla__192.168.1.8_POSEIDONSQL_APPFVT_01_tbl_detalle_fill_rate[[#This Row],[Cant Embarcada]]</f>
        <v>0</v>
      </c>
      <c r="S955" s="1">
        <f>+IF(Tabla__192.168.1.8_POSEIDONSQL_APPFVT_01_tbl_detalle_fill_rate[[#This Row],[Pend Emb]]&gt;0,1,0)</f>
        <v>0</v>
      </c>
      <c r="T9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6" spans="1:20" x14ac:dyDescent="0.25">
      <c r="A956">
        <v>9</v>
      </c>
      <c r="B956" t="s">
        <v>48</v>
      </c>
      <c r="C956">
        <v>9181934</v>
      </c>
      <c r="D956" s="48">
        <v>1</v>
      </c>
      <c r="E956" s="48">
        <v>1</v>
      </c>
      <c r="F956" s="48">
        <v>43343</v>
      </c>
      <c r="G956" t="s">
        <v>240</v>
      </c>
      <c r="H956" t="s">
        <v>241</v>
      </c>
      <c r="I956">
        <v>1</v>
      </c>
      <c r="J956" t="s">
        <v>705</v>
      </c>
      <c r="K956">
        <v>1</v>
      </c>
      <c r="L956">
        <v>1</v>
      </c>
      <c r="M956" t="s">
        <v>1962</v>
      </c>
      <c r="N956">
        <v>0</v>
      </c>
      <c r="O956" s="1">
        <f>+Tabla__192.168.1.8_POSEIDONSQL_APPFVT_01_tbl_detalle_fill_rate[[#This Row],[emb_cantidad]]-Tabla__192.168.1.8_POSEIDONSQL_APPFVT_01_tbl_detalle_fill_rate[[#This Row],[dev_cantidad]]</f>
        <v>1</v>
      </c>
      <c r="P9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6" s="1">
        <f>+Tabla__192.168.1.8_POSEIDONSQL_APPFVT_01_tbl_detalle_fill_rate[[#This Row],[Cumpl Real Unds]]-Tabla__192.168.1.8_POSEIDONSQL_APPFVT_01_tbl_detalle_fill_rate[[#This Row],[Cant Embarcada]]</f>
        <v>0</v>
      </c>
      <c r="S956" s="1">
        <f>+IF(Tabla__192.168.1.8_POSEIDONSQL_APPFVT_01_tbl_detalle_fill_rate[[#This Row],[Pend Emb]]&gt;0,1,0)</f>
        <v>0</v>
      </c>
      <c r="T9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7" spans="1:20" x14ac:dyDescent="0.25">
      <c r="A957">
        <v>9</v>
      </c>
      <c r="B957" t="s">
        <v>48</v>
      </c>
      <c r="C957">
        <v>9182367</v>
      </c>
      <c r="D957" s="48">
        <v>1</v>
      </c>
      <c r="E957" s="48">
        <v>1</v>
      </c>
      <c r="F957" s="48">
        <v>43339</v>
      </c>
      <c r="G957" t="s">
        <v>234</v>
      </c>
      <c r="H957" t="s">
        <v>235</v>
      </c>
      <c r="I957">
        <v>1</v>
      </c>
      <c r="J957" t="s">
        <v>1745</v>
      </c>
      <c r="K957">
        <v>1</v>
      </c>
      <c r="L957">
        <v>1</v>
      </c>
      <c r="M957" t="s">
        <v>1971</v>
      </c>
      <c r="N957">
        <v>0</v>
      </c>
      <c r="O957" s="1">
        <f>+Tabla__192.168.1.8_POSEIDONSQL_APPFVT_01_tbl_detalle_fill_rate[[#This Row],[emb_cantidad]]-Tabla__192.168.1.8_POSEIDONSQL_APPFVT_01_tbl_detalle_fill_rate[[#This Row],[dev_cantidad]]</f>
        <v>1</v>
      </c>
      <c r="P9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7" s="1">
        <f>+Tabla__192.168.1.8_POSEIDONSQL_APPFVT_01_tbl_detalle_fill_rate[[#This Row],[Cumpl Real Unds]]-Tabla__192.168.1.8_POSEIDONSQL_APPFVT_01_tbl_detalle_fill_rate[[#This Row],[Cant Embarcada]]</f>
        <v>0</v>
      </c>
      <c r="S957" s="1">
        <f>+IF(Tabla__192.168.1.8_POSEIDONSQL_APPFVT_01_tbl_detalle_fill_rate[[#This Row],[Pend Emb]]&gt;0,1,0)</f>
        <v>0</v>
      </c>
      <c r="T9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8" spans="1:20" x14ac:dyDescent="0.25">
      <c r="A958">
        <v>9</v>
      </c>
      <c r="B958" t="s">
        <v>48</v>
      </c>
      <c r="C958">
        <v>9182743</v>
      </c>
      <c r="D958" s="48">
        <v>1</v>
      </c>
      <c r="E958" s="48">
        <v>1</v>
      </c>
      <c r="F958" s="48">
        <v>43339</v>
      </c>
      <c r="G958" t="s">
        <v>736</v>
      </c>
      <c r="H958" t="s">
        <v>737</v>
      </c>
      <c r="I958">
        <v>1</v>
      </c>
      <c r="J958" t="s">
        <v>1746</v>
      </c>
      <c r="K958">
        <v>1</v>
      </c>
      <c r="L958">
        <v>1</v>
      </c>
      <c r="M958" t="s">
        <v>1971</v>
      </c>
      <c r="N958">
        <v>0</v>
      </c>
      <c r="O958" s="1">
        <f>+Tabla__192.168.1.8_POSEIDONSQL_APPFVT_01_tbl_detalle_fill_rate[[#This Row],[emb_cantidad]]-Tabla__192.168.1.8_POSEIDONSQL_APPFVT_01_tbl_detalle_fill_rate[[#This Row],[dev_cantidad]]</f>
        <v>1</v>
      </c>
      <c r="P9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8" s="1">
        <f>+Tabla__192.168.1.8_POSEIDONSQL_APPFVT_01_tbl_detalle_fill_rate[[#This Row],[Cumpl Real Unds]]-Tabla__192.168.1.8_POSEIDONSQL_APPFVT_01_tbl_detalle_fill_rate[[#This Row],[Cant Embarcada]]</f>
        <v>0</v>
      </c>
      <c r="S958" s="1">
        <f>+IF(Tabla__192.168.1.8_POSEIDONSQL_APPFVT_01_tbl_detalle_fill_rate[[#This Row],[Pend Emb]]&gt;0,1,0)</f>
        <v>0</v>
      </c>
      <c r="T9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59" spans="1:20" x14ac:dyDescent="0.25">
      <c r="A959">
        <v>9</v>
      </c>
      <c r="B959" t="s">
        <v>48</v>
      </c>
      <c r="C959">
        <v>9182783</v>
      </c>
      <c r="D959" s="48">
        <v>1</v>
      </c>
      <c r="E959" s="48">
        <v>1</v>
      </c>
      <c r="F959" s="48">
        <v>43346</v>
      </c>
      <c r="G959" t="s">
        <v>240</v>
      </c>
      <c r="H959" t="s">
        <v>241</v>
      </c>
      <c r="I959">
        <v>1</v>
      </c>
      <c r="J959" t="s">
        <v>1082</v>
      </c>
      <c r="K959">
        <v>1</v>
      </c>
      <c r="L959">
        <v>1</v>
      </c>
      <c r="M959" t="s">
        <v>1963</v>
      </c>
      <c r="N959">
        <v>0</v>
      </c>
      <c r="O959" s="1">
        <f>+Tabla__192.168.1.8_POSEIDONSQL_APPFVT_01_tbl_detalle_fill_rate[[#This Row],[emb_cantidad]]-Tabla__192.168.1.8_POSEIDONSQL_APPFVT_01_tbl_detalle_fill_rate[[#This Row],[dev_cantidad]]</f>
        <v>1</v>
      </c>
      <c r="P9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59" s="1">
        <f>+Tabla__192.168.1.8_POSEIDONSQL_APPFVT_01_tbl_detalle_fill_rate[[#This Row],[Cumpl Real Unds]]-Tabla__192.168.1.8_POSEIDONSQL_APPFVT_01_tbl_detalle_fill_rate[[#This Row],[Cant Embarcada]]</f>
        <v>0</v>
      </c>
      <c r="S959" s="1">
        <f>+IF(Tabla__192.168.1.8_POSEIDONSQL_APPFVT_01_tbl_detalle_fill_rate[[#This Row],[Pend Emb]]&gt;0,1,0)</f>
        <v>0</v>
      </c>
      <c r="T9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0" spans="1:20" x14ac:dyDescent="0.25">
      <c r="A960">
        <v>9</v>
      </c>
      <c r="B960" t="s">
        <v>48</v>
      </c>
      <c r="C960">
        <v>9183128</v>
      </c>
      <c r="D960" s="48">
        <v>1</v>
      </c>
      <c r="E960" s="48">
        <v>1</v>
      </c>
      <c r="F960" s="48">
        <v>43339</v>
      </c>
      <c r="G960" t="s">
        <v>62</v>
      </c>
      <c r="H960" t="s">
        <v>63</v>
      </c>
      <c r="I960">
        <v>1</v>
      </c>
      <c r="J960" t="s">
        <v>1747</v>
      </c>
      <c r="K960">
        <v>1</v>
      </c>
      <c r="L960">
        <v>1</v>
      </c>
      <c r="M960" t="s">
        <v>1971</v>
      </c>
      <c r="N960">
        <v>0</v>
      </c>
      <c r="O960" s="1">
        <f>+Tabla__192.168.1.8_POSEIDONSQL_APPFVT_01_tbl_detalle_fill_rate[[#This Row],[emb_cantidad]]-Tabla__192.168.1.8_POSEIDONSQL_APPFVT_01_tbl_detalle_fill_rate[[#This Row],[dev_cantidad]]</f>
        <v>1</v>
      </c>
      <c r="P9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0" s="1">
        <f>+Tabla__192.168.1.8_POSEIDONSQL_APPFVT_01_tbl_detalle_fill_rate[[#This Row],[Cumpl Real Unds]]-Tabla__192.168.1.8_POSEIDONSQL_APPFVT_01_tbl_detalle_fill_rate[[#This Row],[Cant Embarcada]]</f>
        <v>0</v>
      </c>
      <c r="S960" s="1">
        <f>+IF(Tabla__192.168.1.8_POSEIDONSQL_APPFVT_01_tbl_detalle_fill_rate[[#This Row],[Pend Emb]]&gt;0,1,0)</f>
        <v>0</v>
      </c>
      <c r="T9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1" spans="1:20" x14ac:dyDescent="0.25">
      <c r="A961">
        <v>9</v>
      </c>
      <c r="B961" t="s">
        <v>48</v>
      </c>
      <c r="C961">
        <v>9183169</v>
      </c>
      <c r="D961" s="48">
        <v>1</v>
      </c>
      <c r="E961" s="48">
        <v>1</v>
      </c>
      <c r="F961" s="48">
        <v>43339</v>
      </c>
      <c r="G961" t="s">
        <v>96</v>
      </c>
      <c r="H961" t="s">
        <v>97</v>
      </c>
      <c r="I961">
        <v>1</v>
      </c>
      <c r="J961" t="s">
        <v>1744</v>
      </c>
      <c r="K961">
        <v>1</v>
      </c>
      <c r="L961">
        <v>1</v>
      </c>
      <c r="M961" t="s">
        <v>1971</v>
      </c>
      <c r="N961">
        <v>0</v>
      </c>
      <c r="O961" s="1">
        <f>+Tabla__192.168.1.8_POSEIDONSQL_APPFVT_01_tbl_detalle_fill_rate[[#This Row],[emb_cantidad]]-Tabla__192.168.1.8_POSEIDONSQL_APPFVT_01_tbl_detalle_fill_rate[[#This Row],[dev_cantidad]]</f>
        <v>1</v>
      </c>
      <c r="P9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1" s="1">
        <f>+Tabla__192.168.1.8_POSEIDONSQL_APPFVT_01_tbl_detalle_fill_rate[[#This Row],[Cumpl Real Unds]]-Tabla__192.168.1.8_POSEIDONSQL_APPFVT_01_tbl_detalle_fill_rate[[#This Row],[Cant Embarcada]]</f>
        <v>0</v>
      </c>
      <c r="S961" s="1">
        <f>+IF(Tabla__192.168.1.8_POSEIDONSQL_APPFVT_01_tbl_detalle_fill_rate[[#This Row],[Pend Emb]]&gt;0,1,0)</f>
        <v>0</v>
      </c>
      <c r="T9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2" spans="1:20" x14ac:dyDescent="0.25">
      <c r="A962">
        <v>9</v>
      </c>
      <c r="B962" t="s">
        <v>48</v>
      </c>
      <c r="C962">
        <v>9183199</v>
      </c>
      <c r="D962" s="48">
        <v>1</v>
      </c>
      <c r="E962" s="48">
        <v>1</v>
      </c>
      <c r="F962" s="48">
        <v>43350</v>
      </c>
      <c r="G962" t="s">
        <v>240</v>
      </c>
      <c r="H962" t="s">
        <v>241</v>
      </c>
      <c r="I962">
        <v>1</v>
      </c>
      <c r="J962" t="s">
        <v>1404</v>
      </c>
      <c r="K962">
        <v>1</v>
      </c>
      <c r="L962">
        <v>1</v>
      </c>
      <c r="M962" t="s">
        <v>1969</v>
      </c>
      <c r="N962">
        <v>0</v>
      </c>
      <c r="O962" s="1">
        <f>+Tabla__192.168.1.8_POSEIDONSQL_APPFVT_01_tbl_detalle_fill_rate[[#This Row],[emb_cantidad]]-Tabla__192.168.1.8_POSEIDONSQL_APPFVT_01_tbl_detalle_fill_rate[[#This Row],[dev_cantidad]]</f>
        <v>1</v>
      </c>
      <c r="P9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2" s="1">
        <f>+Tabla__192.168.1.8_POSEIDONSQL_APPFVT_01_tbl_detalle_fill_rate[[#This Row],[Cumpl Real Unds]]-Tabla__192.168.1.8_POSEIDONSQL_APPFVT_01_tbl_detalle_fill_rate[[#This Row],[Cant Embarcada]]</f>
        <v>0</v>
      </c>
      <c r="S962" s="1">
        <f>+IF(Tabla__192.168.1.8_POSEIDONSQL_APPFVT_01_tbl_detalle_fill_rate[[#This Row],[Pend Emb]]&gt;0,1,0)</f>
        <v>0</v>
      </c>
      <c r="T9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3" spans="1:20" x14ac:dyDescent="0.25">
      <c r="A963">
        <v>9</v>
      </c>
      <c r="B963" t="s">
        <v>48</v>
      </c>
      <c r="C963">
        <v>9183199</v>
      </c>
      <c r="D963" s="48">
        <v>1</v>
      </c>
      <c r="E963" s="48">
        <v>1</v>
      </c>
      <c r="F963" s="48">
        <v>43350</v>
      </c>
      <c r="G963" t="s">
        <v>240</v>
      </c>
      <c r="H963" t="s">
        <v>241</v>
      </c>
      <c r="I963">
        <v>1</v>
      </c>
      <c r="J963" t="s">
        <v>1405</v>
      </c>
      <c r="K963">
        <v>1</v>
      </c>
      <c r="L963">
        <v>1</v>
      </c>
      <c r="M963" t="s">
        <v>1969</v>
      </c>
      <c r="N963">
        <v>0</v>
      </c>
      <c r="O963" s="1">
        <f>+Tabla__192.168.1.8_POSEIDONSQL_APPFVT_01_tbl_detalle_fill_rate[[#This Row],[emb_cantidad]]-Tabla__192.168.1.8_POSEIDONSQL_APPFVT_01_tbl_detalle_fill_rate[[#This Row],[dev_cantidad]]</f>
        <v>1</v>
      </c>
      <c r="P9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3" s="1">
        <f>+Tabla__192.168.1.8_POSEIDONSQL_APPFVT_01_tbl_detalle_fill_rate[[#This Row],[Cumpl Real Unds]]-Tabla__192.168.1.8_POSEIDONSQL_APPFVT_01_tbl_detalle_fill_rate[[#This Row],[Cant Embarcada]]</f>
        <v>0</v>
      </c>
      <c r="S963" s="1">
        <f>+IF(Tabla__192.168.1.8_POSEIDONSQL_APPFVT_01_tbl_detalle_fill_rate[[#This Row],[Pend Emb]]&gt;0,1,0)</f>
        <v>0</v>
      </c>
      <c r="T9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4" spans="1:20" x14ac:dyDescent="0.25">
      <c r="A964">
        <v>9</v>
      </c>
      <c r="B964" t="s">
        <v>48</v>
      </c>
      <c r="C964">
        <v>9183759</v>
      </c>
      <c r="D964" s="48">
        <v>1</v>
      </c>
      <c r="E964" s="48">
        <v>1</v>
      </c>
      <c r="F964" s="48">
        <v>43343</v>
      </c>
      <c r="G964" t="s">
        <v>62</v>
      </c>
      <c r="H964" t="s">
        <v>63</v>
      </c>
      <c r="I964">
        <v>1</v>
      </c>
      <c r="J964" t="s">
        <v>704</v>
      </c>
      <c r="K964">
        <v>1</v>
      </c>
      <c r="L964">
        <v>1</v>
      </c>
      <c r="M964" t="s">
        <v>1962</v>
      </c>
      <c r="N964">
        <v>0</v>
      </c>
      <c r="O964" s="1">
        <f>+Tabla__192.168.1.8_POSEIDONSQL_APPFVT_01_tbl_detalle_fill_rate[[#This Row],[emb_cantidad]]-Tabla__192.168.1.8_POSEIDONSQL_APPFVT_01_tbl_detalle_fill_rate[[#This Row],[dev_cantidad]]</f>
        <v>1</v>
      </c>
      <c r="P9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4" s="1">
        <f>+Tabla__192.168.1.8_POSEIDONSQL_APPFVT_01_tbl_detalle_fill_rate[[#This Row],[Cumpl Real Unds]]-Tabla__192.168.1.8_POSEIDONSQL_APPFVT_01_tbl_detalle_fill_rate[[#This Row],[Cant Embarcada]]</f>
        <v>0</v>
      </c>
      <c r="S964" s="1">
        <f>+IF(Tabla__192.168.1.8_POSEIDONSQL_APPFVT_01_tbl_detalle_fill_rate[[#This Row],[Pend Emb]]&gt;0,1,0)</f>
        <v>0</v>
      </c>
      <c r="T9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5" spans="1:20" x14ac:dyDescent="0.25">
      <c r="A965">
        <v>9</v>
      </c>
      <c r="B965" t="s">
        <v>48</v>
      </c>
      <c r="C965">
        <v>9183880</v>
      </c>
      <c r="D965" s="48">
        <v>1</v>
      </c>
      <c r="E965" s="48">
        <v>1</v>
      </c>
      <c r="F965" s="48">
        <v>43339</v>
      </c>
      <c r="G965" t="s">
        <v>342</v>
      </c>
      <c r="H965" t="s">
        <v>343</v>
      </c>
      <c r="I965">
        <v>1</v>
      </c>
      <c r="J965" t="s">
        <v>1754</v>
      </c>
      <c r="K965">
        <v>1</v>
      </c>
      <c r="L965">
        <v>1</v>
      </c>
      <c r="M965" t="s">
        <v>1971</v>
      </c>
      <c r="N965">
        <v>0</v>
      </c>
      <c r="O965" s="1">
        <f>+Tabla__192.168.1.8_POSEIDONSQL_APPFVT_01_tbl_detalle_fill_rate[[#This Row],[emb_cantidad]]-Tabla__192.168.1.8_POSEIDONSQL_APPFVT_01_tbl_detalle_fill_rate[[#This Row],[dev_cantidad]]</f>
        <v>1</v>
      </c>
      <c r="P9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5" s="1">
        <f>+Tabla__192.168.1.8_POSEIDONSQL_APPFVT_01_tbl_detalle_fill_rate[[#This Row],[Cumpl Real Unds]]-Tabla__192.168.1.8_POSEIDONSQL_APPFVT_01_tbl_detalle_fill_rate[[#This Row],[Cant Embarcada]]</f>
        <v>0</v>
      </c>
      <c r="S965" s="1">
        <f>+IF(Tabla__192.168.1.8_POSEIDONSQL_APPFVT_01_tbl_detalle_fill_rate[[#This Row],[Pend Emb]]&gt;0,1,0)</f>
        <v>0</v>
      </c>
      <c r="T9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6" spans="1:20" x14ac:dyDescent="0.25">
      <c r="A966">
        <v>9</v>
      </c>
      <c r="B966" t="s">
        <v>48</v>
      </c>
      <c r="C966">
        <v>9184141</v>
      </c>
      <c r="D966" s="48">
        <v>1</v>
      </c>
      <c r="E966" s="48">
        <v>1</v>
      </c>
      <c r="F966" s="48">
        <v>43350</v>
      </c>
      <c r="G966" t="s">
        <v>240</v>
      </c>
      <c r="H966" t="s">
        <v>241</v>
      </c>
      <c r="I966">
        <v>1</v>
      </c>
      <c r="J966" t="s">
        <v>1406</v>
      </c>
      <c r="K966">
        <v>1</v>
      </c>
      <c r="L966">
        <v>1</v>
      </c>
      <c r="M966" t="s">
        <v>1969</v>
      </c>
      <c r="N966">
        <v>0</v>
      </c>
      <c r="O966" s="1">
        <f>+Tabla__192.168.1.8_POSEIDONSQL_APPFVT_01_tbl_detalle_fill_rate[[#This Row],[emb_cantidad]]-Tabla__192.168.1.8_POSEIDONSQL_APPFVT_01_tbl_detalle_fill_rate[[#This Row],[dev_cantidad]]</f>
        <v>1</v>
      </c>
      <c r="P9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6" s="1">
        <f>+Tabla__192.168.1.8_POSEIDONSQL_APPFVT_01_tbl_detalle_fill_rate[[#This Row],[Cumpl Real Unds]]-Tabla__192.168.1.8_POSEIDONSQL_APPFVT_01_tbl_detalle_fill_rate[[#This Row],[Cant Embarcada]]</f>
        <v>0</v>
      </c>
      <c r="S966" s="1">
        <f>+IF(Tabla__192.168.1.8_POSEIDONSQL_APPFVT_01_tbl_detalle_fill_rate[[#This Row],[Pend Emb]]&gt;0,1,0)</f>
        <v>0</v>
      </c>
      <c r="T9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7" spans="1:20" x14ac:dyDescent="0.25">
      <c r="A967">
        <v>9</v>
      </c>
      <c r="B967" t="s">
        <v>48</v>
      </c>
      <c r="C967">
        <v>9184436</v>
      </c>
      <c r="D967" s="48">
        <v>1</v>
      </c>
      <c r="E967" s="48">
        <v>1</v>
      </c>
      <c r="F967" s="48">
        <v>43339</v>
      </c>
      <c r="G967" t="s">
        <v>1646</v>
      </c>
      <c r="H967" t="s">
        <v>1647</v>
      </c>
      <c r="I967">
        <v>1</v>
      </c>
      <c r="J967" t="s">
        <v>1759</v>
      </c>
      <c r="K967">
        <v>1</v>
      </c>
      <c r="L967">
        <v>1</v>
      </c>
      <c r="M967" t="s">
        <v>1971</v>
      </c>
      <c r="N967">
        <v>0</v>
      </c>
      <c r="O967" s="1">
        <f>+Tabla__192.168.1.8_POSEIDONSQL_APPFVT_01_tbl_detalle_fill_rate[[#This Row],[emb_cantidad]]-Tabla__192.168.1.8_POSEIDONSQL_APPFVT_01_tbl_detalle_fill_rate[[#This Row],[dev_cantidad]]</f>
        <v>1</v>
      </c>
      <c r="P9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7" s="1">
        <f>+Tabla__192.168.1.8_POSEIDONSQL_APPFVT_01_tbl_detalle_fill_rate[[#This Row],[Cumpl Real Unds]]-Tabla__192.168.1.8_POSEIDONSQL_APPFVT_01_tbl_detalle_fill_rate[[#This Row],[Cant Embarcada]]</f>
        <v>0</v>
      </c>
      <c r="S967" s="1">
        <f>+IF(Tabla__192.168.1.8_POSEIDONSQL_APPFVT_01_tbl_detalle_fill_rate[[#This Row],[Pend Emb]]&gt;0,1,0)</f>
        <v>0</v>
      </c>
      <c r="T9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8" spans="1:20" x14ac:dyDescent="0.25">
      <c r="A968">
        <v>9</v>
      </c>
      <c r="B968" t="s">
        <v>48</v>
      </c>
      <c r="C968">
        <v>9184521</v>
      </c>
      <c r="D968" s="48">
        <v>1</v>
      </c>
      <c r="E968" s="48">
        <v>1</v>
      </c>
      <c r="F968" s="48">
        <v>43348</v>
      </c>
      <c r="G968" t="s">
        <v>240</v>
      </c>
      <c r="H968" t="s">
        <v>241</v>
      </c>
      <c r="I968">
        <v>1</v>
      </c>
      <c r="J968" t="s">
        <v>1092</v>
      </c>
      <c r="K968">
        <v>1</v>
      </c>
      <c r="L968">
        <v>1</v>
      </c>
      <c r="M968" t="s">
        <v>160</v>
      </c>
      <c r="N968">
        <v>0</v>
      </c>
      <c r="O968" s="1">
        <f>+Tabla__192.168.1.8_POSEIDONSQL_APPFVT_01_tbl_detalle_fill_rate[[#This Row],[emb_cantidad]]-Tabla__192.168.1.8_POSEIDONSQL_APPFVT_01_tbl_detalle_fill_rate[[#This Row],[dev_cantidad]]</f>
        <v>1</v>
      </c>
      <c r="P9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8" s="1">
        <f>+Tabla__192.168.1.8_POSEIDONSQL_APPFVT_01_tbl_detalle_fill_rate[[#This Row],[Cumpl Real Unds]]-Tabla__192.168.1.8_POSEIDONSQL_APPFVT_01_tbl_detalle_fill_rate[[#This Row],[Cant Embarcada]]</f>
        <v>0</v>
      </c>
      <c r="S968" s="1">
        <f>+IF(Tabla__192.168.1.8_POSEIDONSQL_APPFVT_01_tbl_detalle_fill_rate[[#This Row],[Pend Emb]]&gt;0,1,0)</f>
        <v>0</v>
      </c>
      <c r="T9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69" spans="1:20" x14ac:dyDescent="0.25">
      <c r="A969">
        <v>9</v>
      </c>
      <c r="B969" t="s">
        <v>48</v>
      </c>
      <c r="C969">
        <v>9184702</v>
      </c>
      <c r="D969" s="48">
        <v>1</v>
      </c>
      <c r="E969" s="48">
        <v>1</v>
      </c>
      <c r="F969" s="48">
        <v>43350</v>
      </c>
      <c r="G969" t="s">
        <v>106</v>
      </c>
      <c r="H969" t="s">
        <v>107</v>
      </c>
      <c r="I969">
        <v>1</v>
      </c>
      <c r="J969" t="s">
        <v>1401</v>
      </c>
      <c r="K969">
        <v>1</v>
      </c>
      <c r="L969">
        <v>1</v>
      </c>
      <c r="M969" t="s">
        <v>1969</v>
      </c>
      <c r="N969">
        <v>0</v>
      </c>
      <c r="O969" s="1">
        <f>+Tabla__192.168.1.8_POSEIDONSQL_APPFVT_01_tbl_detalle_fill_rate[[#This Row],[emb_cantidad]]-Tabla__192.168.1.8_POSEIDONSQL_APPFVT_01_tbl_detalle_fill_rate[[#This Row],[dev_cantidad]]</f>
        <v>1</v>
      </c>
      <c r="P9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69" s="1">
        <f>+Tabla__192.168.1.8_POSEIDONSQL_APPFVT_01_tbl_detalle_fill_rate[[#This Row],[Cumpl Real Unds]]-Tabla__192.168.1.8_POSEIDONSQL_APPFVT_01_tbl_detalle_fill_rate[[#This Row],[Cant Embarcada]]</f>
        <v>0</v>
      </c>
      <c r="S969" s="1">
        <f>+IF(Tabla__192.168.1.8_POSEIDONSQL_APPFVT_01_tbl_detalle_fill_rate[[#This Row],[Pend Emb]]&gt;0,1,0)</f>
        <v>0</v>
      </c>
      <c r="T9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0" spans="1:20" x14ac:dyDescent="0.25">
      <c r="A970">
        <v>9</v>
      </c>
      <c r="B970" t="s">
        <v>48</v>
      </c>
      <c r="C970">
        <v>9184736</v>
      </c>
      <c r="D970" s="48">
        <v>1</v>
      </c>
      <c r="E970" s="48">
        <v>1</v>
      </c>
      <c r="F970" s="48">
        <v>43339</v>
      </c>
      <c r="G970" t="s">
        <v>108</v>
      </c>
      <c r="H970" t="s">
        <v>109</v>
      </c>
      <c r="I970">
        <v>1</v>
      </c>
      <c r="J970" t="s">
        <v>1758</v>
      </c>
      <c r="K970">
        <v>1</v>
      </c>
      <c r="L970">
        <v>1</v>
      </c>
      <c r="M970" t="s">
        <v>1971</v>
      </c>
      <c r="N970">
        <v>0</v>
      </c>
      <c r="O970" s="1">
        <f>+Tabla__192.168.1.8_POSEIDONSQL_APPFVT_01_tbl_detalle_fill_rate[[#This Row],[emb_cantidad]]-Tabla__192.168.1.8_POSEIDONSQL_APPFVT_01_tbl_detalle_fill_rate[[#This Row],[dev_cantidad]]</f>
        <v>1</v>
      </c>
      <c r="P9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0" s="1">
        <f>+Tabla__192.168.1.8_POSEIDONSQL_APPFVT_01_tbl_detalle_fill_rate[[#This Row],[Cumpl Real Unds]]-Tabla__192.168.1.8_POSEIDONSQL_APPFVT_01_tbl_detalle_fill_rate[[#This Row],[Cant Embarcada]]</f>
        <v>0</v>
      </c>
      <c r="S970" s="1">
        <f>+IF(Tabla__192.168.1.8_POSEIDONSQL_APPFVT_01_tbl_detalle_fill_rate[[#This Row],[Pend Emb]]&gt;0,1,0)</f>
        <v>0</v>
      </c>
      <c r="T9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1" spans="1:20" x14ac:dyDescent="0.25">
      <c r="A971">
        <v>9</v>
      </c>
      <c r="B971" t="s">
        <v>48</v>
      </c>
      <c r="C971">
        <v>9184737</v>
      </c>
      <c r="D971" s="48">
        <v>1</v>
      </c>
      <c r="E971" s="48">
        <v>1</v>
      </c>
      <c r="F971" s="48">
        <v>43350</v>
      </c>
      <c r="G971" t="s">
        <v>240</v>
      </c>
      <c r="H971" t="s">
        <v>241</v>
      </c>
      <c r="I971">
        <v>1</v>
      </c>
      <c r="J971" t="s">
        <v>1402</v>
      </c>
      <c r="K971">
        <v>1</v>
      </c>
      <c r="L971">
        <v>1</v>
      </c>
      <c r="M971" t="s">
        <v>1969</v>
      </c>
      <c r="N971">
        <v>0</v>
      </c>
      <c r="O971" s="1">
        <f>+Tabla__192.168.1.8_POSEIDONSQL_APPFVT_01_tbl_detalle_fill_rate[[#This Row],[emb_cantidad]]-Tabla__192.168.1.8_POSEIDONSQL_APPFVT_01_tbl_detalle_fill_rate[[#This Row],[dev_cantidad]]</f>
        <v>1</v>
      </c>
      <c r="P9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1" s="1">
        <f>+Tabla__192.168.1.8_POSEIDONSQL_APPFVT_01_tbl_detalle_fill_rate[[#This Row],[Cumpl Real Unds]]-Tabla__192.168.1.8_POSEIDONSQL_APPFVT_01_tbl_detalle_fill_rate[[#This Row],[Cant Embarcada]]</f>
        <v>0</v>
      </c>
      <c r="S971" s="1">
        <f>+IF(Tabla__192.168.1.8_POSEIDONSQL_APPFVT_01_tbl_detalle_fill_rate[[#This Row],[Pend Emb]]&gt;0,1,0)</f>
        <v>0</v>
      </c>
      <c r="T9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2" spans="1:20" x14ac:dyDescent="0.25">
      <c r="A972">
        <v>9</v>
      </c>
      <c r="B972" t="s">
        <v>48</v>
      </c>
      <c r="C972">
        <v>9184916</v>
      </c>
      <c r="D972" s="48">
        <v>1</v>
      </c>
      <c r="E972" s="48">
        <v>1</v>
      </c>
      <c r="F972" s="48">
        <v>43350</v>
      </c>
      <c r="G972" t="s">
        <v>240</v>
      </c>
      <c r="H972" t="s">
        <v>241</v>
      </c>
      <c r="I972">
        <v>1</v>
      </c>
      <c r="J972" t="s">
        <v>1403</v>
      </c>
      <c r="K972">
        <v>1</v>
      </c>
      <c r="L972">
        <v>1</v>
      </c>
      <c r="M972" t="s">
        <v>1969</v>
      </c>
      <c r="N972">
        <v>0</v>
      </c>
      <c r="O972" s="1">
        <f>+Tabla__192.168.1.8_POSEIDONSQL_APPFVT_01_tbl_detalle_fill_rate[[#This Row],[emb_cantidad]]-Tabla__192.168.1.8_POSEIDONSQL_APPFVT_01_tbl_detalle_fill_rate[[#This Row],[dev_cantidad]]</f>
        <v>1</v>
      </c>
      <c r="P9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2" s="1">
        <f>+Tabla__192.168.1.8_POSEIDONSQL_APPFVT_01_tbl_detalle_fill_rate[[#This Row],[Cumpl Real Unds]]-Tabla__192.168.1.8_POSEIDONSQL_APPFVT_01_tbl_detalle_fill_rate[[#This Row],[Cant Embarcada]]</f>
        <v>0</v>
      </c>
      <c r="S972" s="1">
        <f>+IF(Tabla__192.168.1.8_POSEIDONSQL_APPFVT_01_tbl_detalle_fill_rate[[#This Row],[Pend Emb]]&gt;0,1,0)</f>
        <v>0</v>
      </c>
      <c r="T9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3" spans="1:20" x14ac:dyDescent="0.25">
      <c r="A973">
        <v>9</v>
      </c>
      <c r="B973" t="s">
        <v>48</v>
      </c>
      <c r="C973">
        <v>9185165</v>
      </c>
      <c r="D973" s="48">
        <v>43329</v>
      </c>
      <c r="E973" s="48">
        <v>1</v>
      </c>
      <c r="F973" s="48">
        <v>43339</v>
      </c>
      <c r="G973" t="s">
        <v>108</v>
      </c>
      <c r="H973" t="s">
        <v>109</v>
      </c>
      <c r="I973">
        <v>1</v>
      </c>
      <c r="J973" t="s">
        <v>688</v>
      </c>
      <c r="K973">
        <v>1</v>
      </c>
      <c r="L973">
        <v>1</v>
      </c>
      <c r="M973" t="s">
        <v>1971</v>
      </c>
      <c r="N973">
        <v>0</v>
      </c>
      <c r="O973" s="1">
        <f>+Tabla__192.168.1.8_POSEIDONSQL_APPFVT_01_tbl_detalle_fill_rate[[#This Row],[emb_cantidad]]-Tabla__192.168.1.8_POSEIDONSQL_APPFVT_01_tbl_detalle_fill_rate[[#This Row],[dev_cantidad]]</f>
        <v>1</v>
      </c>
      <c r="P9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3" s="1">
        <f>+Tabla__192.168.1.8_POSEIDONSQL_APPFVT_01_tbl_detalle_fill_rate[[#This Row],[Cumpl Real Unds]]-Tabla__192.168.1.8_POSEIDONSQL_APPFVT_01_tbl_detalle_fill_rate[[#This Row],[Cant Embarcada]]</f>
        <v>0</v>
      </c>
      <c r="S973" s="1">
        <f>+IF(Tabla__192.168.1.8_POSEIDONSQL_APPFVT_01_tbl_detalle_fill_rate[[#This Row],[Pend Emb]]&gt;0,1,0)</f>
        <v>0</v>
      </c>
      <c r="T9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4" spans="1:20" x14ac:dyDescent="0.25">
      <c r="A974">
        <v>9</v>
      </c>
      <c r="B974" t="s">
        <v>48</v>
      </c>
      <c r="C974">
        <v>9185285</v>
      </c>
      <c r="D974" s="48">
        <v>43329</v>
      </c>
      <c r="E974" s="48">
        <v>1</v>
      </c>
      <c r="F974" s="48">
        <v>43339</v>
      </c>
      <c r="G974" t="s">
        <v>240</v>
      </c>
      <c r="H974" t="s">
        <v>241</v>
      </c>
      <c r="I974">
        <v>1</v>
      </c>
      <c r="J974" t="s">
        <v>685</v>
      </c>
      <c r="K974">
        <v>1</v>
      </c>
      <c r="L974">
        <v>1</v>
      </c>
      <c r="M974" t="s">
        <v>1980</v>
      </c>
      <c r="N974">
        <v>0</v>
      </c>
      <c r="O974" s="1">
        <f>+Tabla__192.168.1.8_POSEIDONSQL_APPFVT_01_tbl_detalle_fill_rate[[#This Row],[emb_cantidad]]-Tabla__192.168.1.8_POSEIDONSQL_APPFVT_01_tbl_detalle_fill_rate[[#This Row],[dev_cantidad]]</f>
        <v>1</v>
      </c>
      <c r="P9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4" s="1">
        <f>+Tabla__192.168.1.8_POSEIDONSQL_APPFVT_01_tbl_detalle_fill_rate[[#This Row],[Cumpl Real Unds]]-Tabla__192.168.1.8_POSEIDONSQL_APPFVT_01_tbl_detalle_fill_rate[[#This Row],[Cant Embarcada]]</f>
        <v>0</v>
      </c>
      <c r="S974" s="1">
        <f>+IF(Tabla__192.168.1.8_POSEIDONSQL_APPFVT_01_tbl_detalle_fill_rate[[#This Row],[Pend Emb]]&gt;0,1,0)</f>
        <v>0</v>
      </c>
      <c r="T9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5" spans="1:20" x14ac:dyDescent="0.25">
      <c r="A975">
        <v>1</v>
      </c>
      <c r="B975" t="s">
        <v>55</v>
      </c>
      <c r="C975">
        <v>8680421</v>
      </c>
      <c r="D975" s="48">
        <v>43350</v>
      </c>
      <c r="E975" s="48">
        <v>43349</v>
      </c>
      <c r="F975" s="48">
        <v>43356</v>
      </c>
      <c r="G975" t="s">
        <v>164</v>
      </c>
      <c r="H975" t="s">
        <v>165</v>
      </c>
      <c r="I975">
        <v>1</v>
      </c>
      <c r="J975" t="s">
        <v>609</v>
      </c>
      <c r="K975">
        <v>1</v>
      </c>
      <c r="L975">
        <v>1</v>
      </c>
      <c r="M975" t="s">
        <v>425</v>
      </c>
      <c r="N975">
        <v>0</v>
      </c>
      <c r="O975" s="1">
        <f>+Tabla__192.168.1.8_POSEIDONSQL_APPFVT_01_tbl_detalle_fill_rate[[#This Row],[emb_cantidad]]-Tabla__192.168.1.8_POSEIDONSQL_APPFVT_01_tbl_detalle_fill_rate[[#This Row],[dev_cantidad]]</f>
        <v>1</v>
      </c>
      <c r="P9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5" s="1">
        <f>+Tabla__192.168.1.8_POSEIDONSQL_APPFVT_01_tbl_detalle_fill_rate[[#This Row],[Cumpl Real Unds]]-Tabla__192.168.1.8_POSEIDONSQL_APPFVT_01_tbl_detalle_fill_rate[[#This Row],[Cant Embarcada]]</f>
        <v>0</v>
      </c>
      <c r="S975" s="1">
        <f>+IF(Tabla__192.168.1.8_POSEIDONSQL_APPFVT_01_tbl_detalle_fill_rate[[#This Row],[Pend Emb]]&gt;0,1,0)</f>
        <v>0</v>
      </c>
      <c r="T9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6" spans="1:20" x14ac:dyDescent="0.25">
      <c r="A976">
        <v>1</v>
      </c>
      <c r="B976" t="s">
        <v>55</v>
      </c>
      <c r="C976">
        <v>8680428</v>
      </c>
      <c r="D976" s="48">
        <v>43350</v>
      </c>
      <c r="E976" s="48">
        <v>43349</v>
      </c>
      <c r="F976" s="48">
        <v>43354</v>
      </c>
      <c r="G976" t="s">
        <v>66</v>
      </c>
      <c r="H976" t="s">
        <v>67</v>
      </c>
      <c r="I976">
        <v>1</v>
      </c>
      <c r="J976" t="s">
        <v>587</v>
      </c>
      <c r="K976">
        <v>1</v>
      </c>
      <c r="L976">
        <v>1</v>
      </c>
      <c r="M976" t="s">
        <v>429</v>
      </c>
      <c r="N976">
        <v>0</v>
      </c>
      <c r="O976" s="1">
        <f>+Tabla__192.168.1.8_POSEIDONSQL_APPFVT_01_tbl_detalle_fill_rate[[#This Row],[emb_cantidad]]-Tabla__192.168.1.8_POSEIDONSQL_APPFVT_01_tbl_detalle_fill_rate[[#This Row],[dev_cantidad]]</f>
        <v>1</v>
      </c>
      <c r="P9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76" s="1">
        <f>+Tabla__192.168.1.8_POSEIDONSQL_APPFVT_01_tbl_detalle_fill_rate[[#This Row],[Cumpl Real Unds]]-Tabla__192.168.1.8_POSEIDONSQL_APPFVT_01_tbl_detalle_fill_rate[[#This Row],[Cant Embarcada]]</f>
        <v>0</v>
      </c>
      <c r="S976" s="1">
        <f>+IF(Tabla__192.168.1.8_POSEIDONSQL_APPFVT_01_tbl_detalle_fill_rate[[#This Row],[Pend Emb]]&gt;0,1,0)</f>
        <v>0</v>
      </c>
      <c r="T9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7" spans="1:20" x14ac:dyDescent="0.25">
      <c r="A977">
        <v>1</v>
      </c>
      <c r="B977" t="s">
        <v>55</v>
      </c>
      <c r="C977">
        <v>8680466</v>
      </c>
      <c r="D977" s="48">
        <v>43349</v>
      </c>
      <c r="E977" s="48">
        <v>43349</v>
      </c>
      <c r="F977" s="48">
        <v>43363</v>
      </c>
      <c r="G977" t="s">
        <v>68</v>
      </c>
      <c r="H977" t="s">
        <v>69</v>
      </c>
      <c r="I977">
        <v>30</v>
      </c>
      <c r="J977" t="s">
        <v>152</v>
      </c>
      <c r="K977">
        <v>30</v>
      </c>
      <c r="L977">
        <v>30</v>
      </c>
      <c r="M977" t="s">
        <v>163</v>
      </c>
      <c r="N977">
        <v>0</v>
      </c>
      <c r="O977" s="1">
        <f>+Tabla__192.168.1.8_POSEIDONSQL_APPFVT_01_tbl_detalle_fill_rate[[#This Row],[emb_cantidad]]-Tabla__192.168.1.8_POSEIDONSQL_APPFVT_01_tbl_detalle_fill_rate[[#This Row],[dev_cantidad]]</f>
        <v>30</v>
      </c>
      <c r="P9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977" s="1">
        <f>+Tabla__192.168.1.8_POSEIDONSQL_APPFVT_01_tbl_detalle_fill_rate[[#This Row],[Cumpl Real Unds]]-Tabla__192.168.1.8_POSEIDONSQL_APPFVT_01_tbl_detalle_fill_rate[[#This Row],[Cant Embarcada]]</f>
        <v>0</v>
      </c>
      <c r="S977" s="1">
        <f>+IF(Tabla__192.168.1.8_POSEIDONSQL_APPFVT_01_tbl_detalle_fill_rate[[#This Row],[Pend Emb]]&gt;0,1,0)</f>
        <v>0</v>
      </c>
      <c r="T9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8" spans="1:20" x14ac:dyDescent="0.25">
      <c r="A978">
        <v>1</v>
      </c>
      <c r="B978" t="s">
        <v>55</v>
      </c>
      <c r="C978">
        <v>8680543</v>
      </c>
      <c r="D978" s="48">
        <v>43350</v>
      </c>
      <c r="E978" s="48">
        <v>43349</v>
      </c>
      <c r="F978" s="48">
        <v>43356</v>
      </c>
      <c r="G978" t="s">
        <v>1487</v>
      </c>
      <c r="H978" t="s">
        <v>1488</v>
      </c>
      <c r="I978">
        <v>1</v>
      </c>
      <c r="J978" t="s">
        <v>1489</v>
      </c>
      <c r="K978">
        <v>0</v>
      </c>
      <c r="L978">
        <v>0</v>
      </c>
      <c r="M978" t="s">
        <v>12</v>
      </c>
      <c r="N978">
        <v>0</v>
      </c>
      <c r="O978" s="1">
        <f>+Tabla__192.168.1.8_POSEIDONSQL_APPFVT_01_tbl_detalle_fill_rate[[#This Row],[emb_cantidad]]-Tabla__192.168.1.8_POSEIDONSQL_APPFVT_01_tbl_detalle_fill_rate[[#This Row],[dev_cantidad]]</f>
        <v>0</v>
      </c>
      <c r="P9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78" s="1">
        <f>+Tabla__192.168.1.8_POSEIDONSQL_APPFVT_01_tbl_detalle_fill_rate[[#This Row],[Cumpl Real Unds]]-Tabla__192.168.1.8_POSEIDONSQL_APPFVT_01_tbl_detalle_fill_rate[[#This Row],[Cant Embarcada]]</f>
        <v>0</v>
      </c>
      <c r="S978" s="1">
        <f>+IF(Tabla__192.168.1.8_POSEIDONSQL_APPFVT_01_tbl_detalle_fill_rate[[#This Row],[Pend Emb]]&gt;0,1,0)</f>
        <v>0</v>
      </c>
      <c r="T9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79" spans="1:20" x14ac:dyDescent="0.25">
      <c r="A979">
        <v>1</v>
      </c>
      <c r="B979" t="s">
        <v>55</v>
      </c>
      <c r="C979">
        <v>8681169</v>
      </c>
      <c r="D979" s="48">
        <v>43350</v>
      </c>
      <c r="E979" s="48">
        <v>43349</v>
      </c>
      <c r="F979" s="48">
        <v>43355</v>
      </c>
      <c r="G979" t="s">
        <v>72</v>
      </c>
      <c r="H979" t="s">
        <v>73</v>
      </c>
      <c r="I979">
        <v>12</v>
      </c>
      <c r="J979" t="s">
        <v>152</v>
      </c>
      <c r="K979">
        <v>12</v>
      </c>
      <c r="L979">
        <v>12</v>
      </c>
      <c r="M979" t="s">
        <v>427</v>
      </c>
      <c r="N979">
        <v>0</v>
      </c>
      <c r="O979" s="1">
        <f>+Tabla__192.168.1.8_POSEIDONSQL_APPFVT_01_tbl_detalle_fill_rate[[#This Row],[emb_cantidad]]-Tabla__192.168.1.8_POSEIDONSQL_APPFVT_01_tbl_detalle_fill_rate[[#This Row],[dev_cantidad]]</f>
        <v>12</v>
      </c>
      <c r="P9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979" s="1">
        <f>+Tabla__192.168.1.8_POSEIDONSQL_APPFVT_01_tbl_detalle_fill_rate[[#This Row],[Cumpl Real Unds]]-Tabla__192.168.1.8_POSEIDONSQL_APPFVT_01_tbl_detalle_fill_rate[[#This Row],[Cant Embarcada]]</f>
        <v>0</v>
      </c>
      <c r="S979" s="1">
        <f>+IF(Tabla__192.168.1.8_POSEIDONSQL_APPFVT_01_tbl_detalle_fill_rate[[#This Row],[Pend Emb]]&gt;0,1,0)</f>
        <v>0</v>
      </c>
      <c r="T9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0" spans="1:20" x14ac:dyDescent="0.25">
      <c r="A980">
        <v>1</v>
      </c>
      <c r="B980" t="s">
        <v>55</v>
      </c>
      <c r="C980">
        <v>8681169</v>
      </c>
      <c r="D980" s="48">
        <v>43350</v>
      </c>
      <c r="E980" s="48">
        <v>43349</v>
      </c>
      <c r="F980" s="48">
        <v>43355</v>
      </c>
      <c r="G980" t="s">
        <v>157</v>
      </c>
      <c r="H980" t="s">
        <v>158</v>
      </c>
      <c r="I980">
        <v>12</v>
      </c>
      <c r="J980" t="s">
        <v>153</v>
      </c>
      <c r="K980">
        <v>12</v>
      </c>
      <c r="L980">
        <v>12</v>
      </c>
      <c r="M980" t="s">
        <v>427</v>
      </c>
      <c r="N980">
        <v>0</v>
      </c>
      <c r="O980" s="1">
        <f>+Tabla__192.168.1.8_POSEIDONSQL_APPFVT_01_tbl_detalle_fill_rate[[#This Row],[emb_cantidad]]-Tabla__192.168.1.8_POSEIDONSQL_APPFVT_01_tbl_detalle_fill_rate[[#This Row],[dev_cantidad]]</f>
        <v>12</v>
      </c>
      <c r="P9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980" s="1">
        <f>+Tabla__192.168.1.8_POSEIDONSQL_APPFVT_01_tbl_detalle_fill_rate[[#This Row],[Cumpl Real Unds]]-Tabla__192.168.1.8_POSEIDONSQL_APPFVT_01_tbl_detalle_fill_rate[[#This Row],[Cant Embarcada]]</f>
        <v>0</v>
      </c>
      <c r="S980" s="1">
        <f>+IF(Tabla__192.168.1.8_POSEIDONSQL_APPFVT_01_tbl_detalle_fill_rate[[#This Row],[Pend Emb]]&gt;0,1,0)</f>
        <v>0</v>
      </c>
      <c r="T9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1" spans="1:20" x14ac:dyDescent="0.25">
      <c r="A981">
        <v>1</v>
      </c>
      <c r="B981" t="s">
        <v>55</v>
      </c>
      <c r="C981">
        <v>8681169</v>
      </c>
      <c r="D981" s="48">
        <v>43350</v>
      </c>
      <c r="E981" s="48">
        <v>43349</v>
      </c>
      <c r="F981" s="48">
        <v>43355</v>
      </c>
      <c r="G981" t="s">
        <v>98</v>
      </c>
      <c r="H981" t="s">
        <v>99</v>
      </c>
      <c r="I981">
        <v>6</v>
      </c>
      <c r="J981" t="s">
        <v>155</v>
      </c>
      <c r="K981">
        <v>6</v>
      </c>
      <c r="L981">
        <v>6</v>
      </c>
      <c r="M981" t="s">
        <v>427</v>
      </c>
      <c r="N981">
        <v>0</v>
      </c>
      <c r="O981" s="1">
        <f>+Tabla__192.168.1.8_POSEIDONSQL_APPFVT_01_tbl_detalle_fill_rate[[#This Row],[emb_cantidad]]-Tabla__192.168.1.8_POSEIDONSQL_APPFVT_01_tbl_detalle_fill_rate[[#This Row],[dev_cantidad]]</f>
        <v>6</v>
      </c>
      <c r="P9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981" s="1">
        <f>+Tabla__192.168.1.8_POSEIDONSQL_APPFVT_01_tbl_detalle_fill_rate[[#This Row],[Cumpl Real Unds]]-Tabla__192.168.1.8_POSEIDONSQL_APPFVT_01_tbl_detalle_fill_rate[[#This Row],[Cant Embarcada]]</f>
        <v>0</v>
      </c>
      <c r="S981" s="1">
        <f>+IF(Tabla__192.168.1.8_POSEIDONSQL_APPFVT_01_tbl_detalle_fill_rate[[#This Row],[Pend Emb]]&gt;0,1,0)</f>
        <v>0</v>
      </c>
      <c r="T9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2" spans="1:20" x14ac:dyDescent="0.25">
      <c r="A982">
        <v>1</v>
      </c>
      <c r="B982" t="s">
        <v>55</v>
      </c>
      <c r="C982">
        <v>8681169</v>
      </c>
      <c r="D982" s="48">
        <v>43350</v>
      </c>
      <c r="E982" s="48">
        <v>43349</v>
      </c>
      <c r="F982" s="48">
        <v>43355</v>
      </c>
      <c r="G982" t="s">
        <v>100</v>
      </c>
      <c r="H982" t="s">
        <v>101</v>
      </c>
      <c r="I982">
        <v>6</v>
      </c>
      <c r="J982" t="s">
        <v>156</v>
      </c>
      <c r="K982">
        <v>6</v>
      </c>
      <c r="L982">
        <v>6</v>
      </c>
      <c r="M982" t="s">
        <v>427</v>
      </c>
      <c r="N982">
        <v>0</v>
      </c>
      <c r="O982" s="1">
        <f>+Tabla__192.168.1.8_POSEIDONSQL_APPFVT_01_tbl_detalle_fill_rate[[#This Row],[emb_cantidad]]-Tabla__192.168.1.8_POSEIDONSQL_APPFVT_01_tbl_detalle_fill_rate[[#This Row],[dev_cantidad]]</f>
        <v>6</v>
      </c>
      <c r="P9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982" s="1">
        <f>+Tabla__192.168.1.8_POSEIDONSQL_APPFVT_01_tbl_detalle_fill_rate[[#This Row],[Cumpl Real Unds]]-Tabla__192.168.1.8_POSEIDONSQL_APPFVT_01_tbl_detalle_fill_rate[[#This Row],[Cant Embarcada]]</f>
        <v>0</v>
      </c>
      <c r="S982" s="1">
        <f>+IF(Tabla__192.168.1.8_POSEIDONSQL_APPFVT_01_tbl_detalle_fill_rate[[#This Row],[Pend Emb]]&gt;0,1,0)</f>
        <v>0</v>
      </c>
      <c r="T9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3" spans="1:20" x14ac:dyDescent="0.25">
      <c r="A983">
        <v>1</v>
      </c>
      <c r="B983" t="s">
        <v>55</v>
      </c>
      <c r="C983">
        <v>8681169</v>
      </c>
      <c r="D983" s="48">
        <v>43350</v>
      </c>
      <c r="E983" s="48">
        <v>43349</v>
      </c>
      <c r="F983" s="48">
        <v>43355</v>
      </c>
      <c r="G983" t="s">
        <v>148</v>
      </c>
      <c r="H983" t="s">
        <v>149</v>
      </c>
      <c r="I983">
        <v>24</v>
      </c>
      <c r="J983" t="s">
        <v>154</v>
      </c>
      <c r="K983">
        <v>24</v>
      </c>
      <c r="L983">
        <v>24</v>
      </c>
      <c r="M983" t="s">
        <v>427</v>
      </c>
      <c r="N983">
        <v>0</v>
      </c>
      <c r="O983" s="1">
        <f>+Tabla__192.168.1.8_POSEIDONSQL_APPFVT_01_tbl_detalle_fill_rate[[#This Row],[emb_cantidad]]-Tabla__192.168.1.8_POSEIDONSQL_APPFVT_01_tbl_detalle_fill_rate[[#This Row],[dev_cantidad]]</f>
        <v>24</v>
      </c>
      <c r="P9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983" s="1">
        <f>+Tabla__192.168.1.8_POSEIDONSQL_APPFVT_01_tbl_detalle_fill_rate[[#This Row],[Cumpl Real Unds]]-Tabla__192.168.1.8_POSEIDONSQL_APPFVT_01_tbl_detalle_fill_rate[[#This Row],[Cant Embarcada]]</f>
        <v>0</v>
      </c>
      <c r="S983" s="1">
        <f>+IF(Tabla__192.168.1.8_POSEIDONSQL_APPFVT_01_tbl_detalle_fill_rate[[#This Row],[Pend Emb]]&gt;0,1,0)</f>
        <v>0</v>
      </c>
      <c r="T9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4" spans="1:20" x14ac:dyDescent="0.25">
      <c r="A984">
        <v>1</v>
      </c>
      <c r="B984" t="s">
        <v>55</v>
      </c>
      <c r="C984">
        <v>8681567</v>
      </c>
      <c r="D984" s="48">
        <v>43350</v>
      </c>
      <c r="E984" s="48">
        <v>43349</v>
      </c>
      <c r="F984" s="48">
        <v>43356</v>
      </c>
      <c r="G984" t="s">
        <v>164</v>
      </c>
      <c r="H984" t="s">
        <v>165</v>
      </c>
      <c r="I984">
        <v>2</v>
      </c>
      <c r="J984" t="s">
        <v>605</v>
      </c>
      <c r="K984">
        <v>2</v>
      </c>
      <c r="L984">
        <v>2</v>
      </c>
      <c r="M984" t="s">
        <v>425</v>
      </c>
      <c r="N984">
        <v>0</v>
      </c>
      <c r="O984" s="1">
        <f>+Tabla__192.168.1.8_POSEIDONSQL_APPFVT_01_tbl_detalle_fill_rate[[#This Row],[emb_cantidad]]-Tabla__192.168.1.8_POSEIDONSQL_APPFVT_01_tbl_detalle_fill_rate[[#This Row],[dev_cantidad]]</f>
        <v>2</v>
      </c>
      <c r="P9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984" s="1">
        <f>+Tabla__192.168.1.8_POSEIDONSQL_APPFVT_01_tbl_detalle_fill_rate[[#This Row],[Cumpl Real Unds]]-Tabla__192.168.1.8_POSEIDONSQL_APPFVT_01_tbl_detalle_fill_rate[[#This Row],[Cant Embarcada]]</f>
        <v>0</v>
      </c>
      <c r="S984" s="1">
        <f>+IF(Tabla__192.168.1.8_POSEIDONSQL_APPFVT_01_tbl_detalle_fill_rate[[#This Row],[Pend Emb]]&gt;0,1,0)</f>
        <v>0</v>
      </c>
      <c r="T9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5" spans="1:20" x14ac:dyDescent="0.25">
      <c r="A985">
        <v>1</v>
      </c>
      <c r="B985" t="s">
        <v>55</v>
      </c>
      <c r="C985">
        <v>8681664</v>
      </c>
      <c r="D985" s="48">
        <v>43350</v>
      </c>
      <c r="E985" s="48">
        <v>43349</v>
      </c>
      <c r="F985" s="48">
        <v>43356</v>
      </c>
      <c r="G985" t="s">
        <v>128</v>
      </c>
      <c r="H985" t="s">
        <v>129</v>
      </c>
      <c r="I985">
        <v>1</v>
      </c>
      <c r="J985" t="s">
        <v>1490</v>
      </c>
      <c r="K985">
        <v>1</v>
      </c>
      <c r="L985">
        <v>1</v>
      </c>
      <c r="M985" t="s">
        <v>425</v>
      </c>
      <c r="N985">
        <v>0</v>
      </c>
      <c r="O985" s="1">
        <f>+Tabla__192.168.1.8_POSEIDONSQL_APPFVT_01_tbl_detalle_fill_rate[[#This Row],[emb_cantidad]]-Tabla__192.168.1.8_POSEIDONSQL_APPFVT_01_tbl_detalle_fill_rate[[#This Row],[dev_cantidad]]</f>
        <v>1</v>
      </c>
      <c r="P9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85" s="1">
        <f>+Tabla__192.168.1.8_POSEIDONSQL_APPFVT_01_tbl_detalle_fill_rate[[#This Row],[Cumpl Real Unds]]-Tabla__192.168.1.8_POSEIDONSQL_APPFVT_01_tbl_detalle_fill_rate[[#This Row],[Cant Embarcada]]</f>
        <v>0</v>
      </c>
      <c r="S985" s="1">
        <f>+IF(Tabla__192.168.1.8_POSEIDONSQL_APPFVT_01_tbl_detalle_fill_rate[[#This Row],[Pend Emb]]&gt;0,1,0)</f>
        <v>0</v>
      </c>
      <c r="T9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6" spans="1:20" x14ac:dyDescent="0.25">
      <c r="A986">
        <v>1</v>
      </c>
      <c r="B986" t="s">
        <v>55</v>
      </c>
      <c r="C986">
        <v>8681776</v>
      </c>
      <c r="D986" s="48">
        <v>43350</v>
      </c>
      <c r="E986" s="48">
        <v>43349</v>
      </c>
      <c r="F986" s="48">
        <v>43356</v>
      </c>
      <c r="G986" t="s">
        <v>76</v>
      </c>
      <c r="H986" t="s">
        <v>77</v>
      </c>
      <c r="I986">
        <v>1</v>
      </c>
      <c r="J986" t="s">
        <v>606</v>
      </c>
      <c r="K986">
        <v>1</v>
      </c>
      <c r="L986">
        <v>1</v>
      </c>
      <c r="M986" t="s">
        <v>425</v>
      </c>
      <c r="N986">
        <v>0</v>
      </c>
      <c r="O986" s="1">
        <f>+Tabla__192.168.1.8_POSEIDONSQL_APPFVT_01_tbl_detalle_fill_rate[[#This Row],[emb_cantidad]]-Tabla__192.168.1.8_POSEIDONSQL_APPFVT_01_tbl_detalle_fill_rate[[#This Row],[dev_cantidad]]</f>
        <v>1</v>
      </c>
      <c r="P9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86" s="1">
        <f>+Tabla__192.168.1.8_POSEIDONSQL_APPFVT_01_tbl_detalle_fill_rate[[#This Row],[Cumpl Real Unds]]-Tabla__192.168.1.8_POSEIDONSQL_APPFVT_01_tbl_detalle_fill_rate[[#This Row],[Cant Embarcada]]</f>
        <v>0</v>
      </c>
      <c r="S986" s="1">
        <f>+IF(Tabla__192.168.1.8_POSEIDONSQL_APPFVT_01_tbl_detalle_fill_rate[[#This Row],[Pend Emb]]&gt;0,1,0)</f>
        <v>0</v>
      </c>
      <c r="T9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7" spans="1:20" x14ac:dyDescent="0.25">
      <c r="A987">
        <v>1</v>
      </c>
      <c r="B987" t="s">
        <v>55</v>
      </c>
      <c r="C987">
        <v>8682194</v>
      </c>
      <c r="D987" s="48">
        <v>43353</v>
      </c>
      <c r="E987" s="48">
        <v>43349</v>
      </c>
      <c r="F987" s="48">
        <v>43356</v>
      </c>
      <c r="G987" t="s">
        <v>146</v>
      </c>
      <c r="H987" t="s">
        <v>147</v>
      </c>
      <c r="I987">
        <v>1</v>
      </c>
      <c r="J987" t="s">
        <v>1494</v>
      </c>
      <c r="K987">
        <v>1</v>
      </c>
      <c r="L987">
        <v>1</v>
      </c>
      <c r="M987" t="s">
        <v>425</v>
      </c>
      <c r="N987">
        <v>0</v>
      </c>
      <c r="O987" s="1">
        <f>+Tabla__192.168.1.8_POSEIDONSQL_APPFVT_01_tbl_detalle_fill_rate[[#This Row],[emb_cantidad]]-Tabla__192.168.1.8_POSEIDONSQL_APPFVT_01_tbl_detalle_fill_rate[[#This Row],[dev_cantidad]]</f>
        <v>1</v>
      </c>
      <c r="P9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87" s="1">
        <f>+Tabla__192.168.1.8_POSEIDONSQL_APPFVT_01_tbl_detalle_fill_rate[[#This Row],[Cumpl Real Unds]]-Tabla__192.168.1.8_POSEIDONSQL_APPFVT_01_tbl_detalle_fill_rate[[#This Row],[Cant Embarcada]]</f>
        <v>0</v>
      </c>
      <c r="S987" s="1">
        <f>+IF(Tabla__192.168.1.8_POSEIDONSQL_APPFVT_01_tbl_detalle_fill_rate[[#This Row],[Pend Emb]]&gt;0,1,0)</f>
        <v>0</v>
      </c>
      <c r="T9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8" spans="1:20" x14ac:dyDescent="0.25">
      <c r="A988">
        <v>1</v>
      </c>
      <c r="B988" t="s">
        <v>55</v>
      </c>
      <c r="C988">
        <v>8682211</v>
      </c>
      <c r="D988" s="48">
        <v>43353</v>
      </c>
      <c r="E988" s="48">
        <v>43349</v>
      </c>
      <c r="F988" s="48">
        <v>43356</v>
      </c>
      <c r="G988" t="s">
        <v>128</v>
      </c>
      <c r="H988" t="s">
        <v>129</v>
      </c>
      <c r="I988">
        <v>1</v>
      </c>
      <c r="J988" t="s">
        <v>1491</v>
      </c>
      <c r="K988">
        <v>0</v>
      </c>
      <c r="L988">
        <v>0</v>
      </c>
      <c r="M988" t="s">
        <v>12</v>
      </c>
      <c r="N988">
        <v>0</v>
      </c>
      <c r="O988" s="1">
        <f>+Tabla__192.168.1.8_POSEIDONSQL_APPFVT_01_tbl_detalle_fill_rate[[#This Row],[emb_cantidad]]-Tabla__192.168.1.8_POSEIDONSQL_APPFVT_01_tbl_detalle_fill_rate[[#This Row],[dev_cantidad]]</f>
        <v>0</v>
      </c>
      <c r="P9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88" s="1">
        <f>+Tabla__192.168.1.8_POSEIDONSQL_APPFVT_01_tbl_detalle_fill_rate[[#This Row],[Cumpl Real Unds]]-Tabla__192.168.1.8_POSEIDONSQL_APPFVT_01_tbl_detalle_fill_rate[[#This Row],[Cant Embarcada]]</f>
        <v>0</v>
      </c>
      <c r="S988" s="1">
        <f>+IF(Tabla__192.168.1.8_POSEIDONSQL_APPFVT_01_tbl_detalle_fill_rate[[#This Row],[Pend Emb]]&gt;0,1,0)</f>
        <v>0</v>
      </c>
      <c r="T9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89" spans="1:20" x14ac:dyDescent="0.25">
      <c r="A989">
        <v>1</v>
      </c>
      <c r="B989" t="s">
        <v>55</v>
      </c>
      <c r="C989">
        <v>8682211</v>
      </c>
      <c r="D989" s="48">
        <v>43353</v>
      </c>
      <c r="E989" s="48">
        <v>43349</v>
      </c>
      <c r="F989" s="48">
        <v>43356</v>
      </c>
      <c r="G989" t="s">
        <v>668</v>
      </c>
      <c r="H989" t="s">
        <v>669</v>
      </c>
      <c r="I989">
        <v>1</v>
      </c>
      <c r="J989" t="s">
        <v>1491</v>
      </c>
      <c r="K989">
        <v>0</v>
      </c>
      <c r="L989">
        <v>0</v>
      </c>
      <c r="M989" t="s">
        <v>12</v>
      </c>
      <c r="N989">
        <v>0</v>
      </c>
      <c r="O989" s="1">
        <f>+Tabla__192.168.1.8_POSEIDONSQL_APPFVT_01_tbl_detalle_fill_rate[[#This Row],[emb_cantidad]]-Tabla__192.168.1.8_POSEIDONSQL_APPFVT_01_tbl_detalle_fill_rate[[#This Row],[dev_cantidad]]</f>
        <v>0</v>
      </c>
      <c r="P9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89" s="1">
        <f>+Tabla__192.168.1.8_POSEIDONSQL_APPFVT_01_tbl_detalle_fill_rate[[#This Row],[Cumpl Real Unds]]-Tabla__192.168.1.8_POSEIDONSQL_APPFVT_01_tbl_detalle_fill_rate[[#This Row],[Cant Embarcada]]</f>
        <v>0</v>
      </c>
      <c r="S989" s="1">
        <f>+IF(Tabla__192.168.1.8_POSEIDONSQL_APPFVT_01_tbl_detalle_fill_rate[[#This Row],[Pend Emb]]&gt;0,1,0)</f>
        <v>0</v>
      </c>
      <c r="T9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0" spans="1:20" x14ac:dyDescent="0.25">
      <c r="A990">
        <v>1</v>
      </c>
      <c r="B990" t="s">
        <v>55</v>
      </c>
      <c r="C990">
        <v>8682247</v>
      </c>
      <c r="D990" s="48">
        <v>43353</v>
      </c>
      <c r="E990" s="48">
        <v>43350</v>
      </c>
      <c r="F990" s="48">
        <v>43356</v>
      </c>
      <c r="G990" t="s">
        <v>118</v>
      </c>
      <c r="H990" t="s">
        <v>119</v>
      </c>
      <c r="I990">
        <v>1</v>
      </c>
      <c r="J990" t="s">
        <v>1495</v>
      </c>
      <c r="K990">
        <v>1</v>
      </c>
      <c r="L990">
        <v>1</v>
      </c>
      <c r="M990" t="s">
        <v>425</v>
      </c>
      <c r="N990">
        <v>0</v>
      </c>
      <c r="O990" s="1">
        <f>+Tabla__192.168.1.8_POSEIDONSQL_APPFVT_01_tbl_detalle_fill_rate[[#This Row],[emb_cantidad]]-Tabla__192.168.1.8_POSEIDONSQL_APPFVT_01_tbl_detalle_fill_rate[[#This Row],[dev_cantidad]]</f>
        <v>1</v>
      </c>
      <c r="P9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0" s="1">
        <f>+Tabla__192.168.1.8_POSEIDONSQL_APPFVT_01_tbl_detalle_fill_rate[[#This Row],[Cumpl Real Unds]]-Tabla__192.168.1.8_POSEIDONSQL_APPFVT_01_tbl_detalle_fill_rate[[#This Row],[Cant Embarcada]]</f>
        <v>0</v>
      </c>
      <c r="S990" s="1">
        <f>+IF(Tabla__192.168.1.8_POSEIDONSQL_APPFVT_01_tbl_detalle_fill_rate[[#This Row],[Pend Emb]]&gt;0,1,0)</f>
        <v>0</v>
      </c>
      <c r="T9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1" spans="1:20" x14ac:dyDescent="0.25">
      <c r="A991">
        <v>1</v>
      </c>
      <c r="B991" t="s">
        <v>55</v>
      </c>
      <c r="C991">
        <v>8682431</v>
      </c>
      <c r="D991" s="48">
        <v>43353</v>
      </c>
      <c r="E991" s="48">
        <v>43350</v>
      </c>
      <c r="F991" s="48">
        <v>43356</v>
      </c>
      <c r="G991" t="s">
        <v>92</v>
      </c>
      <c r="H991" t="s">
        <v>93</v>
      </c>
      <c r="I991">
        <v>1</v>
      </c>
      <c r="J991" t="s">
        <v>1496</v>
      </c>
      <c r="K991">
        <v>1</v>
      </c>
      <c r="L991">
        <v>1</v>
      </c>
      <c r="M991" t="s">
        <v>425</v>
      </c>
      <c r="N991">
        <v>0</v>
      </c>
      <c r="O991" s="1">
        <f>+Tabla__192.168.1.8_POSEIDONSQL_APPFVT_01_tbl_detalle_fill_rate[[#This Row],[emb_cantidad]]-Tabla__192.168.1.8_POSEIDONSQL_APPFVT_01_tbl_detalle_fill_rate[[#This Row],[dev_cantidad]]</f>
        <v>1</v>
      </c>
      <c r="P9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1" s="1">
        <f>+Tabla__192.168.1.8_POSEIDONSQL_APPFVT_01_tbl_detalle_fill_rate[[#This Row],[Cumpl Real Unds]]-Tabla__192.168.1.8_POSEIDONSQL_APPFVT_01_tbl_detalle_fill_rate[[#This Row],[Cant Embarcada]]</f>
        <v>0</v>
      </c>
      <c r="S991" s="1">
        <f>+IF(Tabla__192.168.1.8_POSEIDONSQL_APPFVT_01_tbl_detalle_fill_rate[[#This Row],[Pend Emb]]&gt;0,1,0)</f>
        <v>0</v>
      </c>
      <c r="T9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2" spans="1:20" x14ac:dyDescent="0.25">
      <c r="A992">
        <v>1</v>
      </c>
      <c r="B992" t="s">
        <v>55</v>
      </c>
      <c r="C992">
        <v>8682442</v>
      </c>
      <c r="D992" s="48">
        <v>43353</v>
      </c>
      <c r="E992" s="48">
        <v>43350</v>
      </c>
      <c r="F992" s="48">
        <v>43356</v>
      </c>
      <c r="G992" t="s">
        <v>76</v>
      </c>
      <c r="H992" t="s">
        <v>77</v>
      </c>
      <c r="I992">
        <v>1</v>
      </c>
      <c r="J992" t="s">
        <v>1497</v>
      </c>
      <c r="K992">
        <v>1</v>
      </c>
      <c r="L992">
        <v>1</v>
      </c>
      <c r="M992" t="s">
        <v>425</v>
      </c>
      <c r="N992">
        <v>0</v>
      </c>
      <c r="O992" s="1">
        <f>+Tabla__192.168.1.8_POSEIDONSQL_APPFVT_01_tbl_detalle_fill_rate[[#This Row],[emb_cantidad]]-Tabla__192.168.1.8_POSEIDONSQL_APPFVT_01_tbl_detalle_fill_rate[[#This Row],[dev_cantidad]]</f>
        <v>1</v>
      </c>
      <c r="P9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2" s="1">
        <f>+Tabla__192.168.1.8_POSEIDONSQL_APPFVT_01_tbl_detalle_fill_rate[[#This Row],[Cumpl Real Unds]]-Tabla__192.168.1.8_POSEIDONSQL_APPFVT_01_tbl_detalle_fill_rate[[#This Row],[Cant Embarcada]]</f>
        <v>0</v>
      </c>
      <c r="S992" s="1">
        <f>+IF(Tabla__192.168.1.8_POSEIDONSQL_APPFVT_01_tbl_detalle_fill_rate[[#This Row],[Pend Emb]]&gt;0,1,0)</f>
        <v>0</v>
      </c>
      <c r="T9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3" spans="1:20" x14ac:dyDescent="0.25">
      <c r="A993">
        <v>1</v>
      </c>
      <c r="B993" t="s">
        <v>55</v>
      </c>
      <c r="C993">
        <v>8682616</v>
      </c>
      <c r="D993" s="48">
        <v>43353</v>
      </c>
      <c r="E993" s="48">
        <v>43350</v>
      </c>
      <c r="F993" s="48">
        <v>43356</v>
      </c>
      <c r="G993" t="s">
        <v>128</v>
      </c>
      <c r="H993" t="s">
        <v>129</v>
      </c>
      <c r="I993">
        <v>1</v>
      </c>
      <c r="J993" t="s">
        <v>1492</v>
      </c>
      <c r="K993">
        <v>1</v>
      </c>
      <c r="L993">
        <v>1</v>
      </c>
      <c r="M993" t="s">
        <v>425</v>
      </c>
      <c r="N993">
        <v>0</v>
      </c>
      <c r="O993" s="1">
        <f>+Tabla__192.168.1.8_POSEIDONSQL_APPFVT_01_tbl_detalle_fill_rate[[#This Row],[emb_cantidad]]-Tabla__192.168.1.8_POSEIDONSQL_APPFVT_01_tbl_detalle_fill_rate[[#This Row],[dev_cantidad]]</f>
        <v>1</v>
      </c>
      <c r="P9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3" s="1">
        <f>+Tabla__192.168.1.8_POSEIDONSQL_APPFVT_01_tbl_detalle_fill_rate[[#This Row],[Cumpl Real Unds]]-Tabla__192.168.1.8_POSEIDONSQL_APPFVT_01_tbl_detalle_fill_rate[[#This Row],[Cant Embarcada]]</f>
        <v>0</v>
      </c>
      <c r="S993" s="1">
        <f>+IF(Tabla__192.168.1.8_POSEIDONSQL_APPFVT_01_tbl_detalle_fill_rate[[#This Row],[Pend Emb]]&gt;0,1,0)</f>
        <v>0</v>
      </c>
      <c r="T9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4" spans="1:20" x14ac:dyDescent="0.25">
      <c r="A994">
        <v>1</v>
      </c>
      <c r="B994" t="s">
        <v>55</v>
      </c>
      <c r="C994">
        <v>8683620</v>
      </c>
      <c r="D994" s="48">
        <v>43353</v>
      </c>
      <c r="E994" s="48">
        <v>43350</v>
      </c>
      <c r="F994" s="48">
        <v>43356</v>
      </c>
      <c r="G994" t="s">
        <v>668</v>
      </c>
      <c r="H994" t="s">
        <v>669</v>
      </c>
      <c r="I994">
        <v>1</v>
      </c>
      <c r="J994" t="s">
        <v>1512</v>
      </c>
      <c r="K994">
        <v>0</v>
      </c>
      <c r="L994">
        <v>0</v>
      </c>
      <c r="M994" t="s">
        <v>12</v>
      </c>
      <c r="N994">
        <v>0</v>
      </c>
      <c r="O994" s="1">
        <f>+Tabla__192.168.1.8_POSEIDONSQL_APPFVT_01_tbl_detalle_fill_rate[[#This Row],[emb_cantidad]]-Tabla__192.168.1.8_POSEIDONSQL_APPFVT_01_tbl_detalle_fill_rate[[#This Row],[dev_cantidad]]</f>
        <v>0</v>
      </c>
      <c r="P9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994" s="1">
        <f>+Tabla__192.168.1.8_POSEIDONSQL_APPFVT_01_tbl_detalle_fill_rate[[#This Row],[Cumpl Real Unds]]-Tabla__192.168.1.8_POSEIDONSQL_APPFVT_01_tbl_detalle_fill_rate[[#This Row],[Cant Embarcada]]</f>
        <v>0</v>
      </c>
      <c r="S994" s="1">
        <f>+IF(Tabla__192.168.1.8_POSEIDONSQL_APPFVT_01_tbl_detalle_fill_rate[[#This Row],[Pend Emb]]&gt;0,1,0)</f>
        <v>0</v>
      </c>
      <c r="T9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5" spans="1:20" x14ac:dyDescent="0.25">
      <c r="A995">
        <v>1</v>
      </c>
      <c r="B995" t="s">
        <v>55</v>
      </c>
      <c r="C995">
        <v>8683637</v>
      </c>
      <c r="D995" s="48">
        <v>43353</v>
      </c>
      <c r="E995" s="48">
        <v>43350</v>
      </c>
      <c r="F995" s="48">
        <v>43356</v>
      </c>
      <c r="G995" t="s">
        <v>96</v>
      </c>
      <c r="H995" t="s">
        <v>97</v>
      </c>
      <c r="I995">
        <v>1</v>
      </c>
      <c r="J995" t="s">
        <v>1493</v>
      </c>
      <c r="K995">
        <v>1</v>
      </c>
      <c r="L995">
        <v>1</v>
      </c>
      <c r="M995" t="s">
        <v>425</v>
      </c>
      <c r="N995">
        <v>0</v>
      </c>
      <c r="O995" s="1">
        <f>+Tabla__192.168.1.8_POSEIDONSQL_APPFVT_01_tbl_detalle_fill_rate[[#This Row],[emb_cantidad]]-Tabla__192.168.1.8_POSEIDONSQL_APPFVT_01_tbl_detalle_fill_rate[[#This Row],[dev_cantidad]]</f>
        <v>1</v>
      </c>
      <c r="P9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5" s="1">
        <f>+Tabla__192.168.1.8_POSEIDONSQL_APPFVT_01_tbl_detalle_fill_rate[[#This Row],[Cumpl Real Unds]]-Tabla__192.168.1.8_POSEIDONSQL_APPFVT_01_tbl_detalle_fill_rate[[#This Row],[Cant Embarcada]]</f>
        <v>0</v>
      </c>
      <c r="S995" s="1">
        <f>+IF(Tabla__192.168.1.8_POSEIDONSQL_APPFVT_01_tbl_detalle_fill_rate[[#This Row],[Pend Emb]]&gt;0,1,0)</f>
        <v>0</v>
      </c>
      <c r="T9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6" spans="1:20" x14ac:dyDescent="0.25">
      <c r="A996">
        <v>1</v>
      </c>
      <c r="B996" t="s">
        <v>55</v>
      </c>
      <c r="C996">
        <v>8684241</v>
      </c>
      <c r="D996" s="48">
        <v>43353</v>
      </c>
      <c r="E996" s="48">
        <v>43350</v>
      </c>
      <c r="F996" s="48">
        <v>43363</v>
      </c>
      <c r="G996" t="s">
        <v>164</v>
      </c>
      <c r="H996" t="s">
        <v>165</v>
      </c>
      <c r="I996">
        <v>1</v>
      </c>
      <c r="J996" t="s">
        <v>1499</v>
      </c>
      <c r="K996">
        <v>1</v>
      </c>
      <c r="L996">
        <v>1</v>
      </c>
      <c r="M996" t="s">
        <v>415</v>
      </c>
      <c r="N996">
        <v>0</v>
      </c>
      <c r="O996" s="1">
        <f>+Tabla__192.168.1.8_POSEIDONSQL_APPFVT_01_tbl_detalle_fill_rate[[#This Row],[emb_cantidad]]-Tabla__192.168.1.8_POSEIDONSQL_APPFVT_01_tbl_detalle_fill_rate[[#This Row],[dev_cantidad]]</f>
        <v>1</v>
      </c>
      <c r="P9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6" s="1">
        <f>+Tabla__192.168.1.8_POSEIDONSQL_APPFVT_01_tbl_detalle_fill_rate[[#This Row],[Cumpl Real Unds]]-Tabla__192.168.1.8_POSEIDONSQL_APPFVT_01_tbl_detalle_fill_rate[[#This Row],[Cant Embarcada]]</f>
        <v>0</v>
      </c>
      <c r="S996" s="1">
        <f>+IF(Tabla__192.168.1.8_POSEIDONSQL_APPFVT_01_tbl_detalle_fill_rate[[#This Row],[Pend Emb]]&gt;0,1,0)</f>
        <v>0</v>
      </c>
      <c r="T9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7" spans="1:20" x14ac:dyDescent="0.25">
      <c r="A997">
        <v>1</v>
      </c>
      <c r="B997" t="s">
        <v>55</v>
      </c>
      <c r="C997">
        <v>8684658</v>
      </c>
      <c r="D997" s="48">
        <v>43353</v>
      </c>
      <c r="E997" s="48">
        <v>43351</v>
      </c>
      <c r="F997" s="48">
        <v>43363</v>
      </c>
      <c r="G997" t="s">
        <v>166</v>
      </c>
      <c r="H997" t="s">
        <v>167</v>
      </c>
      <c r="I997">
        <v>1</v>
      </c>
      <c r="J997" t="s">
        <v>1513</v>
      </c>
      <c r="K997">
        <v>1</v>
      </c>
      <c r="L997">
        <v>1</v>
      </c>
      <c r="M997" t="s">
        <v>415</v>
      </c>
      <c r="N997">
        <v>0</v>
      </c>
      <c r="O997" s="1">
        <f>+Tabla__192.168.1.8_POSEIDONSQL_APPFVT_01_tbl_detalle_fill_rate[[#This Row],[emb_cantidad]]-Tabla__192.168.1.8_POSEIDONSQL_APPFVT_01_tbl_detalle_fill_rate[[#This Row],[dev_cantidad]]</f>
        <v>1</v>
      </c>
      <c r="P9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7" s="1">
        <f>+Tabla__192.168.1.8_POSEIDONSQL_APPFVT_01_tbl_detalle_fill_rate[[#This Row],[Cumpl Real Unds]]-Tabla__192.168.1.8_POSEIDONSQL_APPFVT_01_tbl_detalle_fill_rate[[#This Row],[Cant Embarcada]]</f>
        <v>0</v>
      </c>
      <c r="S997" s="1">
        <f>+IF(Tabla__192.168.1.8_POSEIDONSQL_APPFVT_01_tbl_detalle_fill_rate[[#This Row],[Pend Emb]]&gt;0,1,0)</f>
        <v>0</v>
      </c>
      <c r="T9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8" spans="1:20" x14ac:dyDescent="0.25">
      <c r="A998">
        <v>1</v>
      </c>
      <c r="B998" t="s">
        <v>55</v>
      </c>
      <c r="C998">
        <v>8684715</v>
      </c>
      <c r="D998" s="48">
        <v>43353</v>
      </c>
      <c r="E998" s="48">
        <v>43351</v>
      </c>
      <c r="F998" s="48">
        <v>43363</v>
      </c>
      <c r="G998" t="s">
        <v>168</v>
      </c>
      <c r="H998" t="s">
        <v>169</v>
      </c>
      <c r="I998">
        <v>1</v>
      </c>
      <c r="J998" t="s">
        <v>1500</v>
      </c>
      <c r="K998">
        <v>1</v>
      </c>
      <c r="L998">
        <v>1</v>
      </c>
      <c r="M998" t="s">
        <v>415</v>
      </c>
      <c r="N998">
        <v>0</v>
      </c>
      <c r="O998" s="1">
        <f>+Tabla__192.168.1.8_POSEIDONSQL_APPFVT_01_tbl_detalle_fill_rate[[#This Row],[emb_cantidad]]-Tabla__192.168.1.8_POSEIDONSQL_APPFVT_01_tbl_detalle_fill_rate[[#This Row],[dev_cantidad]]</f>
        <v>1</v>
      </c>
      <c r="P9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8" s="1">
        <f>+Tabla__192.168.1.8_POSEIDONSQL_APPFVT_01_tbl_detalle_fill_rate[[#This Row],[Cumpl Real Unds]]-Tabla__192.168.1.8_POSEIDONSQL_APPFVT_01_tbl_detalle_fill_rate[[#This Row],[Cant Embarcada]]</f>
        <v>0</v>
      </c>
      <c r="S998" s="1">
        <f>+IF(Tabla__192.168.1.8_POSEIDONSQL_APPFVT_01_tbl_detalle_fill_rate[[#This Row],[Pend Emb]]&gt;0,1,0)</f>
        <v>0</v>
      </c>
      <c r="T9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999" spans="1:20" x14ac:dyDescent="0.25">
      <c r="A999">
        <v>1</v>
      </c>
      <c r="B999" t="s">
        <v>55</v>
      </c>
      <c r="C999">
        <v>8684729</v>
      </c>
      <c r="D999" s="48">
        <v>43353</v>
      </c>
      <c r="E999" s="48">
        <v>43351</v>
      </c>
      <c r="F999" s="48">
        <v>43363</v>
      </c>
      <c r="G999" t="s">
        <v>296</v>
      </c>
      <c r="H999" t="s">
        <v>297</v>
      </c>
      <c r="I999">
        <v>1</v>
      </c>
      <c r="J999" t="s">
        <v>1504</v>
      </c>
      <c r="K999">
        <v>1</v>
      </c>
      <c r="L999">
        <v>1</v>
      </c>
      <c r="M999" t="s">
        <v>415</v>
      </c>
      <c r="N999">
        <v>0</v>
      </c>
      <c r="O999" s="1">
        <f>+Tabla__192.168.1.8_POSEIDONSQL_APPFVT_01_tbl_detalle_fill_rate[[#This Row],[emb_cantidad]]-Tabla__192.168.1.8_POSEIDONSQL_APPFVT_01_tbl_detalle_fill_rate[[#This Row],[dev_cantidad]]</f>
        <v>1</v>
      </c>
      <c r="P9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9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999" s="1">
        <f>+Tabla__192.168.1.8_POSEIDONSQL_APPFVT_01_tbl_detalle_fill_rate[[#This Row],[Cumpl Real Unds]]-Tabla__192.168.1.8_POSEIDONSQL_APPFVT_01_tbl_detalle_fill_rate[[#This Row],[Cant Embarcada]]</f>
        <v>0</v>
      </c>
      <c r="S999" s="1">
        <f>+IF(Tabla__192.168.1.8_POSEIDONSQL_APPFVT_01_tbl_detalle_fill_rate[[#This Row],[Pend Emb]]&gt;0,1,0)</f>
        <v>0</v>
      </c>
      <c r="T9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0" spans="1:20" x14ac:dyDescent="0.25">
      <c r="A1000">
        <v>1</v>
      </c>
      <c r="B1000" t="s">
        <v>55</v>
      </c>
      <c r="C1000">
        <v>8684744</v>
      </c>
      <c r="D1000" s="48">
        <v>43353</v>
      </c>
      <c r="E1000" s="48">
        <v>43351</v>
      </c>
      <c r="F1000" s="48">
        <v>43363</v>
      </c>
      <c r="G1000" t="s">
        <v>128</v>
      </c>
      <c r="H1000" t="s">
        <v>129</v>
      </c>
      <c r="I1000">
        <v>1</v>
      </c>
      <c r="J1000" t="s">
        <v>1505</v>
      </c>
      <c r="K1000">
        <v>1</v>
      </c>
      <c r="L1000">
        <v>1</v>
      </c>
      <c r="M1000" t="s">
        <v>415</v>
      </c>
      <c r="N1000">
        <v>0</v>
      </c>
      <c r="O1000" s="1">
        <f>+Tabla__192.168.1.8_POSEIDONSQL_APPFVT_01_tbl_detalle_fill_rate[[#This Row],[emb_cantidad]]-Tabla__192.168.1.8_POSEIDONSQL_APPFVT_01_tbl_detalle_fill_rate[[#This Row],[dev_cantidad]]</f>
        <v>1</v>
      </c>
      <c r="P10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0" s="1">
        <f>+Tabla__192.168.1.8_POSEIDONSQL_APPFVT_01_tbl_detalle_fill_rate[[#This Row],[Cumpl Real Unds]]-Tabla__192.168.1.8_POSEIDONSQL_APPFVT_01_tbl_detalle_fill_rate[[#This Row],[Cant Embarcada]]</f>
        <v>0</v>
      </c>
      <c r="S1000" s="1">
        <f>+IF(Tabla__192.168.1.8_POSEIDONSQL_APPFVT_01_tbl_detalle_fill_rate[[#This Row],[Pend Emb]]&gt;0,1,0)</f>
        <v>0</v>
      </c>
      <c r="T10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1" spans="1:20" x14ac:dyDescent="0.25">
      <c r="A1001">
        <v>1</v>
      </c>
      <c r="B1001" t="s">
        <v>55</v>
      </c>
      <c r="C1001">
        <v>8684766</v>
      </c>
      <c r="D1001" s="48">
        <v>43353</v>
      </c>
      <c r="E1001" s="48">
        <v>43351</v>
      </c>
      <c r="F1001" s="48">
        <v>43363</v>
      </c>
      <c r="G1001" t="s">
        <v>136</v>
      </c>
      <c r="H1001" t="s">
        <v>137</v>
      </c>
      <c r="I1001">
        <v>1</v>
      </c>
      <c r="J1001" t="s">
        <v>1506</v>
      </c>
      <c r="K1001">
        <v>1</v>
      </c>
      <c r="L1001">
        <v>1</v>
      </c>
      <c r="M1001" t="s">
        <v>415</v>
      </c>
      <c r="N1001">
        <v>0</v>
      </c>
      <c r="O1001" s="1">
        <f>+Tabla__192.168.1.8_POSEIDONSQL_APPFVT_01_tbl_detalle_fill_rate[[#This Row],[emb_cantidad]]-Tabla__192.168.1.8_POSEIDONSQL_APPFVT_01_tbl_detalle_fill_rate[[#This Row],[dev_cantidad]]</f>
        <v>1</v>
      </c>
      <c r="P10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1" s="1">
        <f>+Tabla__192.168.1.8_POSEIDONSQL_APPFVT_01_tbl_detalle_fill_rate[[#This Row],[Cumpl Real Unds]]-Tabla__192.168.1.8_POSEIDONSQL_APPFVT_01_tbl_detalle_fill_rate[[#This Row],[Cant Embarcada]]</f>
        <v>0</v>
      </c>
      <c r="S1001" s="1">
        <f>+IF(Tabla__192.168.1.8_POSEIDONSQL_APPFVT_01_tbl_detalle_fill_rate[[#This Row],[Pend Emb]]&gt;0,1,0)</f>
        <v>0</v>
      </c>
      <c r="T10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2" spans="1:20" x14ac:dyDescent="0.25">
      <c r="A1002">
        <v>1</v>
      </c>
      <c r="B1002" t="s">
        <v>55</v>
      </c>
      <c r="C1002">
        <v>8684826</v>
      </c>
      <c r="D1002" s="48">
        <v>43353</v>
      </c>
      <c r="E1002" s="48">
        <v>43351</v>
      </c>
      <c r="F1002" s="48">
        <v>43363</v>
      </c>
      <c r="G1002" t="s">
        <v>146</v>
      </c>
      <c r="H1002" t="s">
        <v>147</v>
      </c>
      <c r="I1002">
        <v>1</v>
      </c>
      <c r="J1002" t="s">
        <v>1501</v>
      </c>
      <c r="K1002">
        <v>1</v>
      </c>
      <c r="L1002">
        <v>1</v>
      </c>
      <c r="M1002" t="s">
        <v>415</v>
      </c>
      <c r="N1002">
        <v>0</v>
      </c>
      <c r="O1002" s="1">
        <f>+Tabla__192.168.1.8_POSEIDONSQL_APPFVT_01_tbl_detalle_fill_rate[[#This Row],[emb_cantidad]]-Tabla__192.168.1.8_POSEIDONSQL_APPFVT_01_tbl_detalle_fill_rate[[#This Row],[dev_cantidad]]</f>
        <v>1</v>
      </c>
      <c r="P10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2" s="1">
        <f>+Tabla__192.168.1.8_POSEIDONSQL_APPFVT_01_tbl_detalle_fill_rate[[#This Row],[Cumpl Real Unds]]-Tabla__192.168.1.8_POSEIDONSQL_APPFVT_01_tbl_detalle_fill_rate[[#This Row],[Cant Embarcada]]</f>
        <v>0</v>
      </c>
      <c r="S1002" s="1">
        <f>+IF(Tabla__192.168.1.8_POSEIDONSQL_APPFVT_01_tbl_detalle_fill_rate[[#This Row],[Pend Emb]]&gt;0,1,0)</f>
        <v>0</v>
      </c>
      <c r="T10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3" spans="1:20" x14ac:dyDescent="0.25">
      <c r="A1003">
        <v>1</v>
      </c>
      <c r="B1003" t="s">
        <v>55</v>
      </c>
      <c r="C1003">
        <v>8685017</v>
      </c>
      <c r="D1003" s="48">
        <v>43353</v>
      </c>
      <c r="E1003" s="48">
        <v>43352</v>
      </c>
      <c r="F1003" s="48">
        <v>43363</v>
      </c>
      <c r="G1003" t="s">
        <v>138</v>
      </c>
      <c r="H1003" t="s">
        <v>139</v>
      </c>
      <c r="I1003">
        <v>1</v>
      </c>
      <c r="J1003" t="s">
        <v>1507</v>
      </c>
      <c r="K1003">
        <v>1</v>
      </c>
      <c r="L1003">
        <v>1</v>
      </c>
      <c r="M1003" t="s">
        <v>415</v>
      </c>
      <c r="N1003">
        <v>0</v>
      </c>
      <c r="O1003" s="1">
        <f>+Tabla__192.168.1.8_POSEIDONSQL_APPFVT_01_tbl_detalle_fill_rate[[#This Row],[emb_cantidad]]-Tabla__192.168.1.8_POSEIDONSQL_APPFVT_01_tbl_detalle_fill_rate[[#This Row],[dev_cantidad]]</f>
        <v>1</v>
      </c>
      <c r="P10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3" s="1">
        <f>+Tabla__192.168.1.8_POSEIDONSQL_APPFVT_01_tbl_detalle_fill_rate[[#This Row],[Cumpl Real Unds]]-Tabla__192.168.1.8_POSEIDONSQL_APPFVT_01_tbl_detalle_fill_rate[[#This Row],[Cant Embarcada]]</f>
        <v>0</v>
      </c>
      <c r="S1003" s="1">
        <f>+IF(Tabla__192.168.1.8_POSEIDONSQL_APPFVT_01_tbl_detalle_fill_rate[[#This Row],[Pend Emb]]&gt;0,1,0)</f>
        <v>0</v>
      </c>
      <c r="T10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4" spans="1:20" x14ac:dyDescent="0.25">
      <c r="A1004">
        <v>1</v>
      </c>
      <c r="B1004" t="s">
        <v>55</v>
      </c>
      <c r="C1004">
        <v>8685153</v>
      </c>
      <c r="D1004" s="48">
        <v>43353</v>
      </c>
      <c r="E1004" s="48">
        <v>43352</v>
      </c>
      <c r="F1004" s="48">
        <v>43363</v>
      </c>
      <c r="G1004" t="s">
        <v>1421</v>
      </c>
      <c r="H1004" t="s">
        <v>1422</v>
      </c>
      <c r="I1004">
        <v>1</v>
      </c>
      <c r="J1004" t="s">
        <v>1508</v>
      </c>
      <c r="K1004">
        <v>1</v>
      </c>
      <c r="L1004">
        <v>1</v>
      </c>
      <c r="M1004" t="s">
        <v>415</v>
      </c>
      <c r="N1004">
        <v>0</v>
      </c>
      <c r="O1004" s="1">
        <f>+Tabla__192.168.1.8_POSEIDONSQL_APPFVT_01_tbl_detalle_fill_rate[[#This Row],[emb_cantidad]]-Tabla__192.168.1.8_POSEIDONSQL_APPFVT_01_tbl_detalle_fill_rate[[#This Row],[dev_cantidad]]</f>
        <v>1</v>
      </c>
      <c r="P10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4" s="1">
        <f>+Tabla__192.168.1.8_POSEIDONSQL_APPFVT_01_tbl_detalle_fill_rate[[#This Row],[Cumpl Real Unds]]-Tabla__192.168.1.8_POSEIDONSQL_APPFVT_01_tbl_detalle_fill_rate[[#This Row],[Cant Embarcada]]</f>
        <v>0</v>
      </c>
      <c r="S1004" s="1">
        <f>+IF(Tabla__192.168.1.8_POSEIDONSQL_APPFVT_01_tbl_detalle_fill_rate[[#This Row],[Pend Emb]]&gt;0,1,0)</f>
        <v>0</v>
      </c>
      <c r="T10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5" spans="1:20" x14ac:dyDescent="0.25">
      <c r="A1005">
        <v>1</v>
      </c>
      <c r="B1005" t="s">
        <v>55</v>
      </c>
      <c r="C1005">
        <v>8685305</v>
      </c>
      <c r="D1005" s="48">
        <v>43353</v>
      </c>
      <c r="E1005" s="48">
        <v>43352</v>
      </c>
      <c r="F1005" s="48">
        <v>43363</v>
      </c>
      <c r="G1005" t="s">
        <v>146</v>
      </c>
      <c r="H1005" t="s">
        <v>147</v>
      </c>
      <c r="I1005">
        <v>1</v>
      </c>
      <c r="J1005" t="s">
        <v>1502</v>
      </c>
      <c r="K1005">
        <v>1</v>
      </c>
      <c r="L1005">
        <v>1</v>
      </c>
      <c r="M1005" t="s">
        <v>415</v>
      </c>
      <c r="N1005">
        <v>0</v>
      </c>
      <c r="O1005" s="1">
        <f>+Tabla__192.168.1.8_POSEIDONSQL_APPFVT_01_tbl_detalle_fill_rate[[#This Row],[emb_cantidad]]-Tabla__192.168.1.8_POSEIDONSQL_APPFVT_01_tbl_detalle_fill_rate[[#This Row],[dev_cantidad]]</f>
        <v>1</v>
      </c>
      <c r="P10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5" s="1">
        <f>+Tabla__192.168.1.8_POSEIDONSQL_APPFVT_01_tbl_detalle_fill_rate[[#This Row],[Cumpl Real Unds]]-Tabla__192.168.1.8_POSEIDONSQL_APPFVT_01_tbl_detalle_fill_rate[[#This Row],[Cant Embarcada]]</f>
        <v>0</v>
      </c>
      <c r="S1005" s="1">
        <f>+IF(Tabla__192.168.1.8_POSEIDONSQL_APPFVT_01_tbl_detalle_fill_rate[[#This Row],[Pend Emb]]&gt;0,1,0)</f>
        <v>0</v>
      </c>
      <c r="T10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6" spans="1:20" x14ac:dyDescent="0.25">
      <c r="A1006">
        <v>1</v>
      </c>
      <c r="B1006" t="s">
        <v>55</v>
      </c>
      <c r="C1006">
        <v>8685307</v>
      </c>
      <c r="D1006" s="48">
        <v>43353</v>
      </c>
      <c r="E1006" s="48">
        <v>43352</v>
      </c>
      <c r="F1006" s="48">
        <v>43363</v>
      </c>
      <c r="G1006" t="s">
        <v>474</v>
      </c>
      <c r="H1006" t="s">
        <v>475</v>
      </c>
      <c r="I1006">
        <v>1</v>
      </c>
      <c r="J1006" t="s">
        <v>1503</v>
      </c>
      <c r="K1006">
        <v>1</v>
      </c>
      <c r="L1006">
        <v>1</v>
      </c>
      <c r="M1006" t="s">
        <v>415</v>
      </c>
      <c r="N1006">
        <v>0</v>
      </c>
      <c r="O1006" s="1">
        <f>+Tabla__192.168.1.8_POSEIDONSQL_APPFVT_01_tbl_detalle_fill_rate[[#This Row],[emb_cantidad]]-Tabla__192.168.1.8_POSEIDONSQL_APPFVT_01_tbl_detalle_fill_rate[[#This Row],[dev_cantidad]]</f>
        <v>1</v>
      </c>
      <c r="P10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6" s="1">
        <f>+Tabla__192.168.1.8_POSEIDONSQL_APPFVT_01_tbl_detalle_fill_rate[[#This Row],[Cumpl Real Unds]]-Tabla__192.168.1.8_POSEIDONSQL_APPFVT_01_tbl_detalle_fill_rate[[#This Row],[Cant Embarcada]]</f>
        <v>0</v>
      </c>
      <c r="S1006" s="1">
        <f>+IF(Tabla__192.168.1.8_POSEIDONSQL_APPFVT_01_tbl_detalle_fill_rate[[#This Row],[Pend Emb]]&gt;0,1,0)</f>
        <v>0</v>
      </c>
      <c r="T10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7" spans="1:20" x14ac:dyDescent="0.25">
      <c r="A1007">
        <v>1</v>
      </c>
      <c r="B1007" t="s">
        <v>55</v>
      </c>
      <c r="C1007">
        <v>8685310</v>
      </c>
      <c r="D1007" s="48">
        <v>43353</v>
      </c>
      <c r="E1007" s="48">
        <v>43352</v>
      </c>
      <c r="F1007" s="48">
        <v>43363</v>
      </c>
      <c r="G1007" t="s">
        <v>92</v>
      </c>
      <c r="H1007" t="s">
        <v>93</v>
      </c>
      <c r="I1007">
        <v>1</v>
      </c>
      <c r="J1007" t="s">
        <v>1498</v>
      </c>
      <c r="K1007">
        <v>1</v>
      </c>
      <c r="L1007">
        <v>1</v>
      </c>
      <c r="M1007" t="s">
        <v>415</v>
      </c>
      <c r="N1007">
        <v>0</v>
      </c>
      <c r="O1007" s="1">
        <f>+Tabla__192.168.1.8_POSEIDONSQL_APPFVT_01_tbl_detalle_fill_rate[[#This Row],[emb_cantidad]]-Tabla__192.168.1.8_POSEIDONSQL_APPFVT_01_tbl_detalle_fill_rate[[#This Row],[dev_cantidad]]</f>
        <v>1</v>
      </c>
      <c r="P10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7" s="1">
        <f>+Tabla__192.168.1.8_POSEIDONSQL_APPFVT_01_tbl_detalle_fill_rate[[#This Row],[Cumpl Real Unds]]-Tabla__192.168.1.8_POSEIDONSQL_APPFVT_01_tbl_detalle_fill_rate[[#This Row],[Cant Embarcada]]</f>
        <v>0</v>
      </c>
      <c r="S1007" s="1">
        <f>+IF(Tabla__192.168.1.8_POSEIDONSQL_APPFVT_01_tbl_detalle_fill_rate[[#This Row],[Pend Emb]]&gt;0,1,0)</f>
        <v>0</v>
      </c>
      <c r="T10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8" spans="1:20" x14ac:dyDescent="0.25">
      <c r="A1008">
        <v>1</v>
      </c>
      <c r="B1008" t="s">
        <v>55</v>
      </c>
      <c r="C1008">
        <v>8685410</v>
      </c>
      <c r="D1008" s="48">
        <v>43354</v>
      </c>
      <c r="E1008" s="48">
        <v>43352</v>
      </c>
      <c r="F1008" s="48">
        <v>43363</v>
      </c>
      <c r="G1008" t="s">
        <v>203</v>
      </c>
      <c r="H1008" t="s">
        <v>204</v>
      </c>
      <c r="I1008">
        <v>1</v>
      </c>
      <c r="J1008" t="s">
        <v>983</v>
      </c>
      <c r="K1008">
        <v>1</v>
      </c>
      <c r="L1008">
        <v>1</v>
      </c>
      <c r="M1008" t="s">
        <v>415</v>
      </c>
      <c r="N1008">
        <v>0</v>
      </c>
      <c r="O1008" s="1">
        <f>+Tabla__192.168.1.8_POSEIDONSQL_APPFVT_01_tbl_detalle_fill_rate[[#This Row],[emb_cantidad]]-Tabla__192.168.1.8_POSEIDONSQL_APPFVT_01_tbl_detalle_fill_rate[[#This Row],[dev_cantidad]]</f>
        <v>1</v>
      </c>
      <c r="P10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8" s="1">
        <f>+Tabla__192.168.1.8_POSEIDONSQL_APPFVT_01_tbl_detalle_fill_rate[[#This Row],[Cumpl Real Unds]]-Tabla__192.168.1.8_POSEIDONSQL_APPFVT_01_tbl_detalle_fill_rate[[#This Row],[Cant Embarcada]]</f>
        <v>0</v>
      </c>
      <c r="S1008" s="1">
        <f>+IF(Tabla__192.168.1.8_POSEIDONSQL_APPFVT_01_tbl_detalle_fill_rate[[#This Row],[Pend Emb]]&gt;0,1,0)</f>
        <v>0</v>
      </c>
      <c r="T10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09" spans="1:20" x14ac:dyDescent="0.25">
      <c r="A1009">
        <v>1</v>
      </c>
      <c r="B1009" t="s">
        <v>55</v>
      </c>
      <c r="C1009">
        <v>8685449</v>
      </c>
      <c r="D1009" s="48">
        <v>43354</v>
      </c>
      <c r="E1009" s="48">
        <v>43352</v>
      </c>
      <c r="F1009" s="48">
        <v>43363</v>
      </c>
      <c r="G1009" t="s">
        <v>92</v>
      </c>
      <c r="H1009" t="s">
        <v>93</v>
      </c>
      <c r="I1009">
        <v>1</v>
      </c>
      <c r="J1009" t="s">
        <v>891</v>
      </c>
      <c r="K1009">
        <v>1</v>
      </c>
      <c r="L1009">
        <v>1</v>
      </c>
      <c r="M1009" t="s">
        <v>415</v>
      </c>
      <c r="N1009">
        <v>0</v>
      </c>
      <c r="O1009" s="1">
        <f>+Tabla__192.168.1.8_POSEIDONSQL_APPFVT_01_tbl_detalle_fill_rate[[#This Row],[emb_cantidad]]-Tabla__192.168.1.8_POSEIDONSQL_APPFVT_01_tbl_detalle_fill_rate[[#This Row],[dev_cantidad]]</f>
        <v>1</v>
      </c>
      <c r="P10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09" s="1">
        <f>+Tabla__192.168.1.8_POSEIDONSQL_APPFVT_01_tbl_detalle_fill_rate[[#This Row],[Cumpl Real Unds]]-Tabla__192.168.1.8_POSEIDONSQL_APPFVT_01_tbl_detalle_fill_rate[[#This Row],[Cant Embarcada]]</f>
        <v>0</v>
      </c>
      <c r="S1009" s="1">
        <f>+IF(Tabla__192.168.1.8_POSEIDONSQL_APPFVT_01_tbl_detalle_fill_rate[[#This Row],[Pend Emb]]&gt;0,1,0)</f>
        <v>0</v>
      </c>
      <c r="T10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0" spans="1:20" x14ac:dyDescent="0.25">
      <c r="A1010">
        <v>1</v>
      </c>
      <c r="B1010" t="s">
        <v>55</v>
      </c>
      <c r="C1010">
        <v>8685500</v>
      </c>
      <c r="D1010" s="48">
        <v>43354</v>
      </c>
      <c r="E1010" s="48">
        <v>43352</v>
      </c>
      <c r="F1010" s="48">
        <v>43363</v>
      </c>
      <c r="G1010" t="s">
        <v>76</v>
      </c>
      <c r="H1010" t="s">
        <v>77</v>
      </c>
      <c r="I1010">
        <v>1</v>
      </c>
      <c r="J1010" t="s">
        <v>974</v>
      </c>
      <c r="K1010">
        <v>1</v>
      </c>
      <c r="L1010">
        <v>1</v>
      </c>
      <c r="M1010" t="s">
        <v>415</v>
      </c>
      <c r="N1010">
        <v>0</v>
      </c>
      <c r="O1010" s="1">
        <f>+Tabla__192.168.1.8_POSEIDONSQL_APPFVT_01_tbl_detalle_fill_rate[[#This Row],[emb_cantidad]]-Tabla__192.168.1.8_POSEIDONSQL_APPFVT_01_tbl_detalle_fill_rate[[#This Row],[dev_cantidad]]</f>
        <v>1</v>
      </c>
      <c r="P10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10" s="1">
        <f>+Tabla__192.168.1.8_POSEIDONSQL_APPFVT_01_tbl_detalle_fill_rate[[#This Row],[Cumpl Real Unds]]-Tabla__192.168.1.8_POSEIDONSQL_APPFVT_01_tbl_detalle_fill_rate[[#This Row],[Cant Embarcada]]</f>
        <v>0</v>
      </c>
      <c r="S1010" s="1">
        <f>+IF(Tabla__192.168.1.8_POSEIDONSQL_APPFVT_01_tbl_detalle_fill_rate[[#This Row],[Pend Emb]]&gt;0,1,0)</f>
        <v>0</v>
      </c>
      <c r="T10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1" spans="1:20" x14ac:dyDescent="0.25">
      <c r="A1011">
        <v>1</v>
      </c>
      <c r="B1011" t="s">
        <v>55</v>
      </c>
      <c r="C1011">
        <v>8685505</v>
      </c>
      <c r="D1011" s="48">
        <v>43354</v>
      </c>
      <c r="E1011" s="48">
        <v>43352</v>
      </c>
      <c r="F1011" s="48">
        <v>43363</v>
      </c>
      <c r="G1011" t="s">
        <v>668</v>
      </c>
      <c r="H1011" t="s">
        <v>669</v>
      </c>
      <c r="I1011">
        <v>1</v>
      </c>
      <c r="J1011" t="s">
        <v>978</v>
      </c>
      <c r="K1011">
        <v>0</v>
      </c>
      <c r="L1011">
        <v>0</v>
      </c>
      <c r="M1011" t="s">
        <v>12</v>
      </c>
      <c r="N1011">
        <v>0</v>
      </c>
      <c r="O1011" s="1">
        <f>+Tabla__192.168.1.8_POSEIDONSQL_APPFVT_01_tbl_detalle_fill_rate[[#This Row],[emb_cantidad]]-Tabla__192.168.1.8_POSEIDONSQL_APPFVT_01_tbl_detalle_fill_rate[[#This Row],[dev_cantidad]]</f>
        <v>0</v>
      </c>
      <c r="P10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011" s="1">
        <f>+Tabla__192.168.1.8_POSEIDONSQL_APPFVT_01_tbl_detalle_fill_rate[[#This Row],[Cumpl Real Unds]]-Tabla__192.168.1.8_POSEIDONSQL_APPFVT_01_tbl_detalle_fill_rate[[#This Row],[Cant Embarcada]]</f>
        <v>0</v>
      </c>
      <c r="S1011" s="1">
        <f>+IF(Tabla__192.168.1.8_POSEIDONSQL_APPFVT_01_tbl_detalle_fill_rate[[#This Row],[Pend Emb]]&gt;0,1,0)</f>
        <v>0</v>
      </c>
      <c r="T10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2" spans="1:20" x14ac:dyDescent="0.25">
      <c r="A1012">
        <v>1</v>
      </c>
      <c r="B1012" t="s">
        <v>55</v>
      </c>
      <c r="C1012">
        <v>8685731</v>
      </c>
      <c r="D1012" s="48">
        <v>43354</v>
      </c>
      <c r="E1012" s="48">
        <v>43353</v>
      </c>
      <c r="F1012" s="48">
        <v>43363</v>
      </c>
      <c r="G1012" t="s">
        <v>201</v>
      </c>
      <c r="H1012" t="s">
        <v>202</v>
      </c>
      <c r="I1012">
        <v>1</v>
      </c>
      <c r="J1012" t="s">
        <v>979</v>
      </c>
      <c r="K1012">
        <v>1</v>
      </c>
      <c r="L1012">
        <v>1</v>
      </c>
      <c r="M1012" t="s">
        <v>415</v>
      </c>
      <c r="N1012">
        <v>0</v>
      </c>
      <c r="O1012" s="1">
        <f>+Tabla__192.168.1.8_POSEIDONSQL_APPFVT_01_tbl_detalle_fill_rate[[#This Row],[emb_cantidad]]-Tabla__192.168.1.8_POSEIDONSQL_APPFVT_01_tbl_detalle_fill_rate[[#This Row],[dev_cantidad]]</f>
        <v>1</v>
      </c>
      <c r="P10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12" s="1">
        <f>+Tabla__192.168.1.8_POSEIDONSQL_APPFVT_01_tbl_detalle_fill_rate[[#This Row],[Cumpl Real Unds]]-Tabla__192.168.1.8_POSEIDONSQL_APPFVT_01_tbl_detalle_fill_rate[[#This Row],[Cant Embarcada]]</f>
        <v>0</v>
      </c>
      <c r="S1012" s="1">
        <f>+IF(Tabla__192.168.1.8_POSEIDONSQL_APPFVT_01_tbl_detalle_fill_rate[[#This Row],[Pend Emb]]&gt;0,1,0)</f>
        <v>0</v>
      </c>
      <c r="T10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3" spans="1:20" x14ac:dyDescent="0.25">
      <c r="A1013">
        <v>1</v>
      </c>
      <c r="B1013" t="s">
        <v>55</v>
      </c>
      <c r="C1013">
        <v>8685912</v>
      </c>
      <c r="D1013" s="48">
        <v>43354</v>
      </c>
      <c r="E1013" s="48">
        <v>43353</v>
      </c>
      <c r="F1013" s="48">
        <v>43363</v>
      </c>
      <c r="G1013" t="s">
        <v>136</v>
      </c>
      <c r="H1013" t="s">
        <v>137</v>
      </c>
      <c r="I1013">
        <v>1</v>
      </c>
      <c r="J1013" t="s">
        <v>980</v>
      </c>
      <c r="K1013">
        <v>1</v>
      </c>
      <c r="L1013">
        <v>1</v>
      </c>
      <c r="M1013" t="s">
        <v>415</v>
      </c>
      <c r="N1013">
        <v>0</v>
      </c>
      <c r="O1013" s="1">
        <f>+Tabla__192.168.1.8_POSEIDONSQL_APPFVT_01_tbl_detalle_fill_rate[[#This Row],[emb_cantidad]]-Tabla__192.168.1.8_POSEIDONSQL_APPFVT_01_tbl_detalle_fill_rate[[#This Row],[dev_cantidad]]</f>
        <v>1</v>
      </c>
      <c r="P10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13" s="1">
        <f>+Tabla__192.168.1.8_POSEIDONSQL_APPFVT_01_tbl_detalle_fill_rate[[#This Row],[Cumpl Real Unds]]-Tabla__192.168.1.8_POSEIDONSQL_APPFVT_01_tbl_detalle_fill_rate[[#This Row],[Cant Embarcada]]</f>
        <v>0</v>
      </c>
      <c r="S1013" s="1">
        <f>+IF(Tabla__192.168.1.8_POSEIDONSQL_APPFVT_01_tbl_detalle_fill_rate[[#This Row],[Pend Emb]]&gt;0,1,0)</f>
        <v>0</v>
      </c>
      <c r="T10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4" spans="1:20" x14ac:dyDescent="0.25">
      <c r="A1014">
        <v>1</v>
      </c>
      <c r="B1014" t="s">
        <v>55</v>
      </c>
      <c r="C1014">
        <v>8686410</v>
      </c>
      <c r="D1014" s="48">
        <v>43354</v>
      </c>
      <c r="E1014" s="48">
        <v>43353</v>
      </c>
      <c r="F1014" s="48">
        <v>43357</v>
      </c>
      <c r="G1014" t="s">
        <v>72</v>
      </c>
      <c r="H1014" t="s">
        <v>73</v>
      </c>
      <c r="I1014">
        <v>128</v>
      </c>
      <c r="J1014" t="s">
        <v>152</v>
      </c>
      <c r="K1014">
        <v>128</v>
      </c>
      <c r="L1014">
        <v>128</v>
      </c>
      <c r="M1014" t="s">
        <v>426</v>
      </c>
      <c r="N1014">
        <v>0</v>
      </c>
      <c r="O1014" s="1">
        <f>+Tabla__192.168.1.8_POSEIDONSQL_APPFVT_01_tbl_detalle_fill_rate[[#This Row],[emb_cantidad]]-Tabla__192.168.1.8_POSEIDONSQL_APPFVT_01_tbl_detalle_fill_rate[[#This Row],[dev_cantidad]]</f>
        <v>128</v>
      </c>
      <c r="P10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128</v>
      </c>
      <c r="R1014" s="1">
        <f>+Tabla__192.168.1.8_POSEIDONSQL_APPFVT_01_tbl_detalle_fill_rate[[#This Row],[Cumpl Real Unds]]-Tabla__192.168.1.8_POSEIDONSQL_APPFVT_01_tbl_detalle_fill_rate[[#This Row],[Cant Embarcada]]</f>
        <v>0</v>
      </c>
      <c r="S1014" s="1">
        <f>+IF(Tabla__192.168.1.8_POSEIDONSQL_APPFVT_01_tbl_detalle_fill_rate[[#This Row],[Pend Emb]]&gt;0,1,0)</f>
        <v>0</v>
      </c>
      <c r="T10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5" spans="1:20" x14ac:dyDescent="0.25">
      <c r="A1015">
        <v>1</v>
      </c>
      <c r="B1015" t="s">
        <v>55</v>
      </c>
      <c r="C1015">
        <v>8686410</v>
      </c>
      <c r="D1015" s="48">
        <v>43354</v>
      </c>
      <c r="E1015" s="48">
        <v>43353</v>
      </c>
      <c r="F1015" s="48">
        <v>43357</v>
      </c>
      <c r="G1015" t="s">
        <v>98</v>
      </c>
      <c r="H1015" t="s">
        <v>99</v>
      </c>
      <c r="I1015">
        <v>6</v>
      </c>
      <c r="J1015" t="s">
        <v>155</v>
      </c>
      <c r="K1015">
        <v>6</v>
      </c>
      <c r="L1015">
        <v>6</v>
      </c>
      <c r="M1015" t="s">
        <v>426</v>
      </c>
      <c r="N1015">
        <v>0</v>
      </c>
      <c r="O1015" s="1">
        <f>+Tabla__192.168.1.8_POSEIDONSQL_APPFVT_01_tbl_detalle_fill_rate[[#This Row],[emb_cantidad]]-Tabla__192.168.1.8_POSEIDONSQL_APPFVT_01_tbl_detalle_fill_rate[[#This Row],[dev_cantidad]]</f>
        <v>6</v>
      </c>
      <c r="P10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015" s="1">
        <f>+Tabla__192.168.1.8_POSEIDONSQL_APPFVT_01_tbl_detalle_fill_rate[[#This Row],[Cumpl Real Unds]]-Tabla__192.168.1.8_POSEIDONSQL_APPFVT_01_tbl_detalle_fill_rate[[#This Row],[Cant Embarcada]]</f>
        <v>0</v>
      </c>
      <c r="S1015" s="1">
        <f>+IF(Tabla__192.168.1.8_POSEIDONSQL_APPFVT_01_tbl_detalle_fill_rate[[#This Row],[Pend Emb]]&gt;0,1,0)</f>
        <v>0</v>
      </c>
      <c r="T10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6" spans="1:20" x14ac:dyDescent="0.25">
      <c r="A1016">
        <v>1</v>
      </c>
      <c r="B1016" t="s">
        <v>55</v>
      </c>
      <c r="C1016">
        <v>8686410</v>
      </c>
      <c r="D1016" s="48">
        <v>43354</v>
      </c>
      <c r="E1016" s="48">
        <v>43353</v>
      </c>
      <c r="F1016" s="48">
        <v>43357</v>
      </c>
      <c r="G1016" t="s">
        <v>242</v>
      </c>
      <c r="H1016" t="s">
        <v>243</v>
      </c>
      <c r="I1016">
        <v>12</v>
      </c>
      <c r="J1016" t="s">
        <v>156</v>
      </c>
      <c r="K1016">
        <v>12</v>
      </c>
      <c r="L1016">
        <v>12</v>
      </c>
      <c r="M1016" t="s">
        <v>426</v>
      </c>
      <c r="N1016">
        <v>0</v>
      </c>
      <c r="O1016" s="1">
        <f>+Tabla__192.168.1.8_POSEIDONSQL_APPFVT_01_tbl_detalle_fill_rate[[#This Row],[emb_cantidad]]-Tabla__192.168.1.8_POSEIDONSQL_APPFVT_01_tbl_detalle_fill_rate[[#This Row],[dev_cantidad]]</f>
        <v>12</v>
      </c>
      <c r="P10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016" s="1">
        <f>+Tabla__192.168.1.8_POSEIDONSQL_APPFVT_01_tbl_detalle_fill_rate[[#This Row],[Cumpl Real Unds]]-Tabla__192.168.1.8_POSEIDONSQL_APPFVT_01_tbl_detalle_fill_rate[[#This Row],[Cant Embarcada]]</f>
        <v>0</v>
      </c>
      <c r="S1016" s="1">
        <f>+IF(Tabla__192.168.1.8_POSEIDONSQL_APPFVT_01_tbl_detalle_fill_rate[[#This Row],[Pend Emb]]&gt;0,1,0)</f>
        <v>0</v>
      </c>
      <c r="T10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7" spans="1:20" x14ac:dyDescent="0.25">
      <c r="A1017">
        <v>1</v>
      </c>
      <c r="B1017" t="s">
        <v>55</v>
      </c>
      <c r="C1017">
        <v>8686410</v>
      </c>
      <c r="D1017" s="48">
        <v>43354</v>
      </c>
      <c r="E1017" s="48">
        <v>43353</v>
      </c>
      <c r="F1017" s="48">
        <v>43357</v>
      </c>
      <c r="G1017" t="s">
        <v>100</v>
      </c>
      <c r="H1017" t="s">
        <v>101</v>
      </c>
      <c r="I1017">
        <v>36</v>
      </c>
      <c r="J1017" t="s">
        <v>244</v>
      </c>
      <c r="K1017">
        <v>36</v>
      </c>
      <c r="L1017">
        <v>36</v>
      </c>
      <c r="M1017" t="s">
        <v>426</v>
      </c>
      <c r="N1017">
        <v>0</v>
      </c>
      <c r="O1017" s="1">
        <f>+Tabla__192.168.1.8_POSEIDONSQL_APPFVT_01_tbl_detalle_fill_rate[[#This Row],[emb_cantidad]]-Tabla__192.168.1.8_POSEIDONSQL_APPFVT_01_tbl_detalle_fill_rate[[#This Row],[dev_cantidad]]</f>
        <v>36</v>
      </c>
      <c r="P10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36</v>
      </c>
      <c r="R1017" s="1">
        <f>+Tabla__192.168.1.8_POSEIDONSQL_APPFVT_01_tbl_detalle_fill_rate[[#This Row],[Cumpl Real Unds]]-Tabla__192.168.1.8_POSEIDONSQL_APPFVT_01_tbl_detalle_fill_rate[[#This Row],[Cant Embarcada]]</f>
        <v>0</v>
      </c>
      <c r="S1017" s="1">
        <f>+IF(Tabla__192.168.1.8_POSEIDONSQL_APPFVT_01_tbl_detalle_fill_rate[[#This Row],[Pend Emb]]&gt;0,1,0)</f>
        <v>0</v>
      </c>
      <c r="T10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8" spans="1:20" x14ac:dyDescent="0.25">
      <c r="A1018">
        <v>1</v>
      </c>
      <c r="B1018" t="s">
        <v>55</v>
      </c>
      <c r="C1018">
        <v>8686410</v>
      </c>
      <c r="D1018" s="48">
        <v>43354</v>
      </c>
      <c r="E1018" s="48">
        <v>43353</v>
      </c>
      <c r="F1018" s="48">
        <v>43357</v>
      </c>
      <c r="G1018" t="s">
        <v>238</v>
      </c>
      <c r="H1018" t="s">
        <v>239</v>
      </c>
      <c r="I1018">
        <v>42</v>
      </c>
      <c r="J1018" t="s">
        <v>410</v>
      </c>
      <c r="K1018">
        <v>42</v>
      </c>
      <c r="L1018">
        <v>42</v>
      </c>
      <c r="M1018" t="s">
        <v>426</v>
      </c>
      <c r="N1018">
        <v>0</v>
      </c>
      <c r="O1018" s="1">
        <f>+Tabla__192.168.1.8_POSEIDONSQL_APPFVT_01_tbl_detalle_fill_rate[[#This Row],[emb_cantidad]]-Tabla__192.168.1.8_POSEIDONSQL_APPFVT_01_tbl_detalle_fill_rate[[#This Row],[dev_cantidad]]</f>
        <v>42</v>
      </c>
      <c r="P10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42</v>
      </c>
      <c r="R1018" s="1">
        <f>+Tabla__192.168.1.8_POSEIDONSQL_APPFVT_01_tbl_detalle_fill_rate[[#This Row],[Cumpl Real Unds]]-Tabla__192.168.1.8_POSEIDONSQL_APPFVT_01_tbl_detalle_fill_rate[[#This Row],[Cant Embarcada]]</f>
        <v>0</v>
      </c>
      <c r="S1018" s="1">
        <f>+IF(Tabla__192.168.1.8_POSEIDONSQL_APPFVT_01_tbl_detalle_fill_rate[[#This Row],[Pend Emb]]&gt;0,1,0)</f>
        <v>0</v>
      </c>
      <c r="T10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19" spans="1:20" x14ac:dyDescent="0.25">
      <c r="A1019">
        <v>4</v>
      </c>
      <c r="B1019" t="s">
        <v>56</v>
      </c>
      <c r="C1019">
        <v>9596357</v>
      </c>
      <c r="D1019" s="48">
        <v>1</v>
      </c>
      <c r="E1019" s="48">
        <v>1</v>
      </c>
      <c r="F1019" s="48">
        <v>43341</v>
      </c>
      <c r="G1019" t="s">
        <v>66</v>
      </c>
      <c r="H1019" t="s">
        <v>67</v>
      </c>
      <c r="I1019">
        <v>1</v>
      </c>
      <c r="J1019" t="s">
        <v>457</v>
      </c>
      <c r="K1019">
        <v>1</v>
      </c>
      <c r="L1019">
        <v>1</v>
      </c>
      <c r="M1019" t="s">
        <v>1980</v>
      </c>
      <c r="N1019">
        <v>0</v>
      </c>
      <c r="O1019" s="1">
        <f>+Tabla__192.168.1.8_POSEIDONSQL_APPFVT_01_tbl_detalle_fill_rate[[#This Row],[emb_cantidad]]-Tabla__192.168.1.8_POSEIDONSQL_APPFVT_01_tbl_detalle_fill_rate[[#This Row],[dev_cantidad]]</f>
        <v>1</v>
      </c>
      <c r="P10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19" s="1">
        <f>+Tabla__192.168.1.8_POSEIDONSQL_APPFVT_01_tbl_detalle_fill_rate[[#This Row],[Cumpl Real Unds]]-Tabla__192.168.1.8_POSEIDONSQL_APPFVT_01_tbl_detalle_fill_rate[[#This Row],[Cant Embarcada]]</f>
        <v>0</v>
      </c>
      <c r="S1019" s="1">
        <f>+IF(Tabla__192.168.1.8_POSEIDONSQL_APPFVT_01_tbl_detalle_fill_rate[[#This Row],[Pend Emb]]&gt;0,1,0)</f>
        <v>0</v>
      </c>
      <c r="T10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0" spans="1:20" x14ac:dyDescent="0.25">
      <c r="A1020">
        <v>4</v>
      </c>
      <c r="B1020" t="s">
        <v>56</v>
      </c>
      <c r="C1020">
        <v>9597665</v>
      </c>
      <c r="D1020" s="48">
        <v>1</v>
      </c>
      <c r="E1020" s="48">
        <v>1</v>
      </c>
      <c r="F1020" s="48">
        <v>43341</v>
      </c>
      <c r="G1020" t="s">
        <v>64</v>
      </c>
      <c r="H1020" t="s">
        <v>65</v>
      </c>
      <c r="I1020">
        <v>1</v>
      </c>
      <c r="J1020" t="s">
        <v>460</v>
      </c>
      <c r="K1020">
        <v>1</v>
      </c>
      <c r="L1020">
        <v>1</v>
      </c>
      <c r="M1020" t="s">
        <v>1980</v>
      </c>
      <c r="N1020">
        <v>0</v>
      </c>
      <c r="O1020" s="1">
        <f>+Tabla__192.168.1.8_POSEIDONSQL_APPFVT_01_tbl_detalle_fill_rate[[#This Row],[emb_cantidad]]-Tabla__192.168.1.8_POSEIDONSQL_APPFVT_01_tbl_detalle_fill_rate[[#This Row],[dev_cantidad]]</f>
        <v>1</v>
      </c>
      <c r="P10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0" s="1">
        <f>+Tabla__192.168.1.8_POSEIDONSQL_APPFVT_01_tbl_detalle_fill_rate[[#This Row],[Cumpl Real Unds]]-Tabla__192.168.1.8_POSEIDONSQL_APPFVT_01_tbl_detalle_fill_rate[[#This Row],[Cant Embarcada]]</f>
        <v>0</v>
      </c>
      <c r="S1020" s="1">
        <f>+IF(Tabla__192.168.1.8_POSEIDONSQL_APPFVT_01_tbl_detalle_fill_rate[[#This Row],[Pend Emb]]&gt;0,1,0)</f>
        <v>0</v>
      </c>
      <c r="T10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1" spans="1:20" x14ac:dyDescent="0.25">
      <c r="A1021">
        <v>4</v>
      </c>
      <c r="B1021" t="s">
        <v>56</v>
      </c>
      <c r="C1021">
        <v>9597665</v>
      </c>
      <c r="D1021" s="48">
        <v>1</v>
      </c>
      <c r="E1021" s="48">
        <v>1</v>
      </c>
      <c r="F1021" s="48">
        <v>43341</v>
      </c>
      <c r="G1021" t="s">
        <v>458</v>
      </c>
      <c r="H1021" t="s">
        <v>459</v>
      </c>
      <c r="I1021">
        <v>1</v>
      </c>
      <c r="J1021" t="s">
        <v>460</v>
      </c>
      <c r="K1021">
        <v>1</v>
      </c>
      <c r="L1021">
        <v>1</v>
      </c>
      <c r="M1021" t="s">
        <v>1980</v>
      </c>
      <c r="N1021">
        <v>0</v>
      </c>
      <c r="O1021" s="1">
        <f>+Tabla__192.168.1.8_POSEIDONSQL_APPFVT_01_tbl_detalle_fill_rate[[#This Row],[emb_cantidad]]-Tabla__192.168.1.8_POSEIDONSQL_APPFVT_01_tbl_detalle_fill_rate[[#This Row],[dev_cantidad]]</f>
        <v>1</v>
      </c>
      <c r="P10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1" s="1">
        <f>+Tabla__192.168.1.8_POSEIDONSQL_APPFVT_01_tbl_detalle_fill_rate[[#This Row],[Cumpl Real Unds]]-Tabla__192.168.1.8_POSEIDONSQL_APPFVT_01_tbl_detalle_fill_rate[[#This Row],[Cant Embarcada]]</f>
        <v>0</v>
      </c>
      <c r="S1021" s="1">
        <f>+IF(Tabla__192.168.1.8_POSEIDONSQL_APPFVT_01_tbl_detalle_fill_rate[[#This Row],[Pend Emb]]&gt;0,1,0)</f>
        <v>0</v>
      </c>
      <c r="T10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2" spans="1:20" x14ac:dyDescent="0.25">
      <c r="A1022">
        <v>4</v>
      </c>
      <c r="B1022" t="s">
        <v>56</v>
      </c>
      <c r="C1022">
        <v>9598302</v>
      </c>
      <c r="D1022" s="48">
        <v>1</v>
      </c>
      <c r="E1022" s="48">
        <v>1</v>
      </c>
      <c r="F1022" s="48">
        <v>43341</v>
      </c>
      <c r="G1022" t="s">
        <v>461</v>
      </c>
      <c r="H1022" t="s">
        <v>462</v>
      </c>
      <c r="I1022">
        <v>1</v>
      </c>
      <c r="J1022" t="s">
        <v>463</v>
      </c>
      <c r="K1022">
        <v>1</v>
      </c>
      <c r="L1022">
        <v>1</v>
      </c>
      <c r="M1022" t="s">
        <v>1980</v>
      </c>
      <c r="N1022">
        <v>0</v>
      </c>
      <c r="O1022" s="1">
        <f>+Tabla__192.168.1.8_POSEIDONSQL_APPFVT_01_tbl_detalle_fill_rate[[#This Row],[emb_cantidad]]-Tabla__192.168.1.8_POSEIDONSQL_APPFVT_01_tbl_detalle_fill_rate[[#This Row],[dev_cantidad]]</f>
        <v>1</v>
      </c>
      <c r="P10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2" s="1">
        <f>+Tabla__192.168.1.8_POSEIDONSQL_APPFVT_01_tbl_detalle_fill_rate[[#This Row],[Cumpl Real Unds]]-Tabla__192.168.1.8_POSEIDONSQL_APPFVT_01_tbl_detalle_fill_rate[[#This Row],[Cant Embarcada]]</f>
        <v>0</v>
      </c>
      <c r="S1022" s="1">
        <f>+IF(Tabla__192.168.1.8_POSEIDONSQL_APPFVT_01_tbl_detalle_fill_rate[[#This Row],[Pend Emb]]&gt;0,1,0)</f>
        <v>0</v>
      </c>
      <c r="T10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3" spans="1:20" x14ac:dyDescent="0.25">
      <c r="A1023">
        <v>4</v>
      </c>
      <c r="B1023" t="s">
        <v>56</v>
      </c>
      <c r="C1023">
        <v>9599649</v>
      </c>
      <c r="D1023" s="48">
        <v>1</v>
      </c>
      <c r="E1023" s="48">
        <v>1</v>
      </c>
      <c r="F1023" s="48">
        <v>43339</v>
      </c>
      <c r="G1023" t="s">
        <v>62</v>
      </c>
      <c r="H1023" t="s">
        <v>63</v>
      </c>
      <c r="I1023">
        <v>1</v>
      </c>
      <c r="J1023" t="s">
        <v>1763</v>
      </c>
      <c r="K1023">
        <v>1</v>
      </c>
      <c r="L1023">
        <v>1</v>
      </c>
      <c r="M1023" t="s">
        <v>1971</v>
      </c>
      <c r="N1023">
        <v>0</v>
      </c>
      <c r="O1023" s="1">
        <f>+Tabla__192.168.1.8_POSEIDONSQL_APPFVT_01_tbl_detalle_fill_rate[[#This Row],[emb_cantidad]]-Tabla__192.168.1.8_POSEIDONSQL_APPFVT_01_tbl_detalle_fill_rate[[#This Row],[dev_cantidad]]</f>
        <v>1</v>
      </c>
      <c r="P10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3" s="1">
        <f>+Tabla__192.168.1.8_POSEIDONSQL_APPFVT_01_tbl_detalle_fill_rate[[#This Row],[Cumpl Real Unds]]-Tabla__192.168.1.8_POSEIDONSQL_APPFVT_01_tbl_detalle_fill_rate[[#This Row],[Cant Embarcada]]</f>
        <v>0</v>
      </c>
      <c r="S1023" s="1">
        <f>+IF(Tabla__192.168.1.8_POSEIDONSQL_APPFVT_01_tbl_detalle_fill_rate[[#This Row],[Pend Emb]]&gt;0,1,0)</f>
        <v>0</v>
      </c>
      <c r="T10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4" spans="1:20" x14ac:dyDescent="0.25">
      <c r="A1024">
        <v>4</v>
      </c>
      <c r="B1024" t="s">
        <v>56</v>
      </c>
      <c r="C1024">
        <v>9600190</v>
      </c>
      <c r="D1024" s="48">
        <v>1</v>
      </c>
      <c r="E1024" s="48">
        <v>1</v>
      </c>
      <c r="F1024" s="48">
        <v>43339</v>
      </c>
      <c r="G1024" t="s">
        <v>80</v>
      </c>
      <c r="H1024" t="s">
        <v>81</v>
      </c>
      <c r="I1024">
        <v>1</v>
      </c>
      <c r="J1024" t="s">
        <v>1764</v>
      </c>
      <c r="K1024">
        <v>1</v>
      </c>
      <c r="L1024">
        <v>1</v>
      </c>
      <c r="M1024" t="s">
        <v>1971</v>
      </c>
      <c r="N1024">
        <v>0</v>
      </c>
      <c r="O1024" s="1">
        <f>+Tabla__192.168.1.8_POSEIDONSQL_APPFVT_01_tbl_detalle_fill_rate[[#This Row],[emb_cantidad]]-Tabla__192.168.1.8_POSEIDONSQL_APPFVT_01_tbl_detalle_fill_rate[[#This Row],[dev_cantidad]]</f>
        <v>1</v>
      </c>
      <c r="P10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4" s="1">
        <f>+Tabla__192.168.1.8_POSEIDONSQL_APPFVT_01_tbl_detalle_fill_rate[[#This Row],[Cumpl Real Unds]]-Tabla__192.168.1.8_POSEIDONSQL_APPFVT_01_tbl_detalle_fill_rate[[#This Row],[Cant Embarcada]]</f>
        <v>0</v>
      </c>
      <c r="S1024" s="1">
        <f>+IF(Tabla__192.168.1.8_POSEIDONSQL_APPFVT_01_tbl_detalle_fill_rate[[#This Row],[Pend Emb]]&gt;0,1,0)</f>
        <v>0</v>
      </c>
      <c r="T10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5" spans="1:20" x14ac:dyDescent="0.25">
      <c r="A1025">
        <v>4</v>
      </c>
      <c r="B1025" t="s">
        <v>56</v>
      </c>
      <c r="C1025">
        <v>9600224</v>
      </c>
      <c r="D1025" s="48">
        <v>1</v>
      </c>
      <c r="E1025" s="48">
        <v>1</v>
      </c>
      <c r="F1025" s="48">
        <v>43339</v>
      </c>
      <c r="G1025" t="s">
        <v>66</v>
      </c>
      <c r="H1025" t="s">
        <v>67</v>
      </c>
      <c r="I1025">
        <v>1</v>
      </c>
      <c r="J1025" t="s">
        <v>1762</v>
      </c>
      <c r="K1025">
        <v>1</v>
      </c>
      <c r="L1025">
        <v>1</v>
      </c>
      <c r="M1025" t="s">
        <v>1971</v>
      </c>
      <c r="N1025">
        <v>0</v>
      </c>
      <c r="O1025" s="1">
        <f>+Tabla__192.168.1.8_POSEIDONSQL_APPFVT_01_tbl_detalle_fill_rate[[#This Row],[emb_cantidad]]-Tabla__192.168.1.8_POSEIDONSQL_APPFVT_01_tbl_detalle_fill_rate[[#This Row],[dev_cantidad]]</f>
        <v>1</v>
      </c>
      <c r="P10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5" s="1">
        <f>+Tabla__192.168.1.8_POSEIDONSQL_APPFVT_01_tbl_detalle_fill_rate[[#This Row],[Cumpl Real Unds]]-Tabla__192.168.1.8_POSEIDONSQL_APPFVT_01_tbl_detalle_fill_rate[[#This Row],[Cant Embarcada]]</f>
        <v>0</v>
      </c>
      <c r="S1025" s="1">
        <f>+IF(Tabla__192.168.1.8_POSEIDONSQL_APPFVT_01_tbl_detalle_fill_rate[[#This Row],[Pend Emb]]&gt;0,1,0)</f>
        <v>0</v>
      </c>
      <c r="T10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6" spans="1:20" x14ac:dyDescent="0.25">
      <c r="A1026">
        <v>4</v>
      </c>
      <c r="B1026" t="s">
        <v>56</v>
      </c>
      <c r="C1026">
        <v>9600628</v>
      </c>
      <c r="D1026" s="48">
        <v>1</v>
      </c>
      <c r="E1026" s="48">
        <v>1</v>
      </c>
      <c r="F1026" s="48">
        <v>43343</v>
      </c>
      <c r="G1026" t="s">
        <v>122</v>
      </c>
      <c r="H1026" t="s">
        <v>123</v>
      </c>
      <c r="I1026">
        <v>1</v>
      </c>
      <c r="J1026" t="s">
        <v>465</v>
      </c>
      <c r="K1026">
        <v>1</v>
      </c>
      <c r="L1026">
        <v>1</v>
      </c>
      <c r="M1026" t="s">
        <v>1962</v>
      </c>
      <c r="N1026">
        <v>0</v>
      </c>
      <c r="O1026" s="1">
        <f>+Tabla__192.168.1.8_POSEIDONSQL_APPFVT_01_tbl_detalle_fill_rate[[#This Row],[emb_cantidad]]-Tabla__192.168.1.8_POSEIDONSQL_APPFVT_01_tbl_detalle_fill_rate[[#This Row],[dev_cantidad]]</f>
        <v>1</v>
      </c>
      <c r="P10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6" s="1">
        <f>+Tabla__192.168.1.8_POSEIDONSQL_APPFVT_01_tbl_detalle_fill_rate[[#This Row],[Cumpl Real Unds]]-Tabla__192.168.1.8_POSEIDONSQL_APPFVT_01_tbl_detalle_fill_rate[[#This Row],[Cant Embarcada]]</f>
        <v>0</v>
      </c>
      <c r="S1026" s="1">
        <f>+IF(Tabla__192.168.1.8_POSEIDONSQL_APPFVT_01_tbl_detalle_fill_rate[[#This Row],[Pend Emb]]&gt;0,1,0)</f>
        <v>0</v>
      </c>
      <c r="T10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7" spans="1:20" x14ac:dyDescent="0.25">
      <c r="A1027">
        <v>4</v>
      </c>
      <c r="B1027" t="s">
        <v>56</v>
      </c>
      <c r="C1027">
        <v>9600902</v>
      </c>
      <c r="D1027" s="48">
        <v>1</v>
      </c>
      <c r="E1027" s="48">
        <v>1</v>
      </c>
      <c r="F1027" s="48">
        <v>43343</v>
      </c>
      <c r="G1027" t="s">
        <v>122</v>
      </c>
      <c r="H1027" t="s">
        <v>123</v>
      </c>
      <c r="I1027">
        <v>1</v>
      </c>
      <c r="J1027" t="s">
        <v>466</v>
      </c>
      <c r="K1027">
        <v>1</v>
      </c>
      <c r="L1027">
        <v>1</v>
      </c>
      <c r="M1027" t="s">
        <v>1962</v>
      </c>
      <c r="N1027">
        <v>0</v>
      </c>
      <c r="O1027" s="1">
        <f>+Tabla__192.168.1.8_POSEIDONSQL_APPFVT_01_tbl_detalle_fill_rate[[#This Row],[emb_cantidad]]-Tabla__192.168.1.8_POSEIDONSQL_APPFVT_01_tbl_detalle_fill_rate[[#This Row],[dev_cantidad]]</f>
        <v>1</v>
      </c>
      <c r="P10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7" s="1">
        <f>+Tabla__192.168.1.8_POSEIDONSQL_APPFVT_01_tbl_detalle_fill_rate[[#This Row],[Cumpl Real Unds]]-Tabla__192.168.1.8_POSEIDONSQL_APPFVT_01_tbl_detalle_fill_rate[[#This Row],[Cant Embarcada]]</f>
        <v>0</v>
      </c>
      <c r="S1027" s="1">
        <f>+IF(Tabla__192.168.1.8_POSEIDONSQL_APPFVT_01_tbl_detalle_fill_rate[[#This Row],[Pend Emb]]&gt;0,1,0)</f>
        <v>0</v>
      </c>
      <c r="T10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8" spans="1:20" x14ac:dyDescent="0.25">
      <c r="A1028">
        <v>4</v>
      </c>
      <c r="B1028" t="s">
        <v>56</v>
      </c>
      <c r="C1028">
        <v>9601995</v>
      </c>
      <c r="D1028" s="48">
        <v>1</v>
      </c>
      <c r="E1028" s="48">
        <v>1</v>
      </c>
      <c r="F1028" s="48">
        <v>43343</v>
      </c>
      <c r="G1028" t="s">
        <v>62</v>
      </c>
      <c r="H1028" t="s">
        <v>63</v>
      </c>
      <c r="I1028">
        <v>1</v>
      </c>
      <c r="J1028" t="s">
        <v>467</v>
      </c>
      <c r="K1028">
        <v>1</v>
      </c>
      <c r="L1028">
        <v>1</v>
      </c>
      <c r="M1028" t="s">
        <v>1962</v>
      </c>
      <c r="N1028">
        <v>0</v>
      </c>
      <c r="O1028" s="1">
        <f>+Tabla__192.168.1.8_POSEIDONSQL_APPFVT_01_tbl_detalle_fill_rate[[#This Row],[emb_cantidad]]-Tabla__192.168.1.8_POSEIDONSQL_APPFVT_01_tbl_detalle_fill_rate[[#This Row],[dev_cantidad]]</f>
        <v>1</v>
      </c>
      <c r="P10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8" s="1">
        <f>+Tabla__192.168.1.8_POSEIDONSQL_APPFVT_01_tbl_detalle_fill_rate[[#This Row],[Cumpl Real Unds]]-Tabla__192.168.1.8_POSEIDONSQL_APPFVT_01_tbl_detalle_fill_rate[[#This Row],[Cant Embarcada]]</f>
        <v>0</v>
      </c>
      <c r="S1028" s="1">
        <f>+IF(Tabla__192.168.1.8_POSEIDONSQL_APPFVT_01_tbl_detalle_fill_rate[[#This Row],[Pend Emb]]&gt;0,1,0)</f>
        <v>0</v>
      </c>
      <c r="T10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29" spans="1:20" x14ac:dyDescent="0.25">
      <c r="A1029">
        <v>4</v>
      </c>
      <c r="B1029" t="s">
        <v>56</v>
      </c>
      <c r="C1029">
        <v>9604950</v>
      </c>
      <c r="D1029" s="48">
        <v>43329</v>
      </c>
      <c r="E1029" s="48">
        <v>1</v>
      </c>
      <c r="F1029" s="48">
        <v>43341</v>
      </c>
      <c r="G1029" t="s">
        <v>66</v>
      </c>
      <c r="H1029" t="s">
        <v>67</v>
      </c>
      <c r="I1029">
        <v>1</v>
      </c>
      <c r="J1029" t="s">
        <v>455</v>
      </c>
      <c r="K1029">
        <v>1</v>
      </c>
      <c r="L1029">
        <v>1</v>
      </c>
      <c r="M1029" t="s">
        <v>1980</v>
      </c>
      <c r="N1029">
        <v>0</v>
      </c>
      <c r="O1029" s="1">
        <f>+Tabla__192.168.1.8_POSEIDONSQL_APPFVT_01_tbl_detalle_fill_rate[[#This Row],[emb_cantidad]]-Tabla__192.168.1.8_POSEIDONSQL_APPFVT_01_tbl_detalle_fill_rate[[#This Row],[dev_cantidad]]</f>
        <v>1</v>
      </c>
      <c r="P10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29" s="1">
        <f>+Tabla__192.168.1.8_POSEIDONSQL_APPFVT_01_tbl_detalle_fill_rate[[#This Row],[Cumpl Real Unds]]-Tabla__192.168.1.8_POSEIDONSQL_APPFVT_01_tbl_detalle_fill_rate[[#This Row],[Cant Embarcada]]</f>
        <v>0</v>
      </c>
      <c r="S1029" s="1">
        <f>+IF(Tabla__192.168.1.8_POSEIDONSQL_APPFVT_01_tbl_detalle_fill_rate[[#This Row],[Pend Emb]]&gt;0,1,0)</f>
        <v>0</v>
      </c>
      <c r="T10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0" spans="1:20" x14ac:dyDescent="0.25">
      <c r="A1030">
        <v>4</v>
      </c>
      <c r="B1030" t="s">
        <v>56</v>
      </c>
      <c r="C1030">
        <v>9608491</v>
      </c>
      <c r="D1030" s="48">
        <v>43332</v>
      </c>
      <c r="E1030" s="48">
        <v>43330</v>
      </c>
      <c r="F1030" s="48">
        <v>43341</v>
      </c>
      <c r="G1030" t="s">
        <v>90</v>
      </c>
      <c r="H1030" t="s">
        <v>91</v>
      </c>
      <c r="I1030">
        <v>1</v>
      </c>
      <c r="J1030" t="s">
        <v>456</v>
      </c>
      <c r="K1030">
        <v>1</v>
      </c>
      <c r="L1030">
        <v>1</v>
      </c>
      <c r="M1030" t="s">
        <v>1980</v>
      </c>
      <c r="N1030">
        <v>0</v>
      </c>
      <c r="O1030" s="1">
        <f>+Tabla__192.168.1.8_POSEIDONSQL_APPFVT_01_tbl_detalle_fill_rate[[#This Row],[emb_cantidad]]-Tabla__192.168.1.8_POSEIDONSQL_APPFVT_01_tbl_detalle_fill_rate[[#This Row],[dev_cantidad]]</f>
        <v>1</v>
      </c>
      <c r="P10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0" s="1">
        <f>+Tabla__192.168.1.8_POSEIDONSQL_APPFVT_01_tbl_detalle_fill_rate[[#This Row],[Cumpl Real Unds]]-Tabla__192.168.1.8_POSEIDONSQL_APPFVT_01_tbl_detalle_fill_rate[[#This Row],[Cant Embarcada]]</f>
        <v>0</v>
      </c>
      <c r="S1030" s="1">
        <f>+IF(Tabla__192.168.1.8_POSEIDONSQL_APPFVT_01_tbl_detalle_fill_rate[[#This Row],[Pend Emb]]&gt;0,1,0)</f>
        <v>0</v>
      </c>
      <c r="T10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1" spans="1:20" x14ac:dyDescent="0.25">
      <c r="A1031">
        <v>4</v>
      </c>
      <c r="B1031" t="s">
        <v>56</v>
      </c>
      <c r="C1031">
        <v>9609066</v>
      </c>
      <c r="D1031" s="48">
        <v>43332</v>
      </c>
      <c r="E1031" s="48">
        <v>43330</v>
      </c>
      <c r="F1031" s="48">
        <v>43341</v>
      </c>
      <c r="G1031" t="s">
        <v>449</v>
      </c>
      <c r="H1031" t="s">
        <v>450</v>
      </c>
      <c r="I1031">
        <v>1</v>
      </c>
      <c r="J1031" t="s">
        <v>451</v>
      </c>
      <c r="K1031">
        <v>1</v>
      </c>
      <c r="L1031">
        <v>1</v>
      </c>
      <c r="M1031" t="s">
        <v>1980</v>
      </c>
      <c r="N1031">
        <v>0</v>
      </c>
      <c r="O1031" s="1">
        <f>+Tabla__192.168.1.8_POSEIDONSQL_APPFVT_01_tbl_detalle_fill_rate[[#This Row],[emb_cantidad]]-Tabla__192.168.1.8_POSEIDONSQL_APPFVT_01_tbl_detalle_fill_rate[[#This Row],[dev_cantidad]]</f>
        <v>1</v>
      </c>
      <c r="P10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1" s="1">
        <f>+Tabla__192.168.1.8_POSEIDONSQL_APPFVT_01_tbl_detalle_fill_rate[[#This Row],[Cumpl Real Unds]]-Tabla__192.168.1.8_POSEIDONSQL_APPFVT_01_tbl_detalle_fill_rate[[#This Row],[Cant Embarcada]]</f>
        <v>0</v>
      </c>
      <c r="S1031" s="1">
        <f>+IF(Tabla__192.168.1.8_POSEIDONSQL_APPFVT_01_tbl_detalle_fill_rate[[#This Row],[Pend Emb]]&gt;0,1,0)</f>
        <v>0</v>
      </c>
      <c r="T10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2" spans="1:20" x14ac:dyDescent="0.25">
      <c r="A1032">
        <v>4</v>
      </c>
      <c r="B1032" t="s">
        <v>56</v>
      </c>
      <c r="C1032">
        <v>9609069</v>
      </c>
      <c r="D1032" s="48">
        <v>43332</v>
      </c>
      <c r="E1032" s="48">
        <v>43330</v>
      </c>
      <c r="F1032" s="48">
        <v>43355</v>
      </c>
      <c r="G1032" t="s">
        <v>372</v>
      </c>
      <c r="H1032" t="s">
        <v>373</v>
      </c>
      <c r="I1032">
        <v>2</v>
      </c>
      <c r="J1032" t="s">
        <v>1600</v>
      </c>
      <c r="K1032">
        <v>2</v>
      </c>
      <c r="L1032">
        <v>2</v>
      </c>
      <c r="M1032" t="s">
        <v>1962</v>
      </c>
      <c r="N1032">
        <v>0</v>
      </c>
      <c r="O1032" s="1">
        <f>+Tabla__192.168.1.8_POSEIDONSQL_APPFVT_01_tbl_detalle_fill_rate[[#This Row],[emb_cantidad]]-Tabla__192.168.1.8_POSEIDONSQL_APPFVT_01_tbl_detalle_fill_rate[[#This Row],[dev_cantidad]]</f>
        <v>2</v>
      </c>
      <c r="P10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032" s="1">
        <f>+Tabla__192.168.1.8_POSEIDONSQL_APPFVT_01_tbl_detalle_fill_rate[[#This Row],[Cumpl Real Unds]]-Tabla__192.168.1.8_POSEIDONSQL_APPFVT_01_tbl_detalle_fill_rate[[#This Row],[Cant Embarcada]]</f>
        <v>0</v>
      </c>
      <c r="S1032" s="1">
        <f>+IF(Tabla__192.168.1.8_POSEIDONSQL_APPFVT_01_tbl_detalle_fill_rate[[#This Row],[Pend Emb]]&gt;0,1,0)</f>
        <v>0</v>
      </c>
      <c r="T10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3" spans="1:20" x14ac:dyDescent="0.25">
      <c r="A1033">
        <v>4</v>
      </c>
      <c r="B1033" t="s">
        <v>56</v>
      </c>
      <c r="C1033">
        <v>9610000</v>
      </c>
      <c r="D1033" s="48">
        <v>43332</v>
      </c>
      <c r="E1033" s="48">
        <v>43331</v>
      </c>
      <c r="F1033" s="48">
        <v>43341</v>
      </c>
      <c r="G1033" t="s">
        <v>90</v>
      </c>
      <c r="H1033" t="s">
        <v>91</v>
      </c>
      <c r="I1033">
        <v>1</v>
      </c>
      <c r="J1033" t="s">
        <v>452</v>
      </c>
      <c r="K1033">
        <v>1</v>
      </c>
      <c r="L1033">
        <v>1</v>
      </c>
      <c r="M1033" t="s">
        <v>1980</v>
      </c>
      <c r="N1033">
        <v>0</v>
      </c>
      <c r="O1033" s="1">
        <f>+Tabla__192.168.1.8_POSEIDONSQL_APPFVT_01_tbl_detalle_fill_rate[[#This Row],[emb_cantidad]]-Tabla__192.168.1.8_POSEIDONSQL_APPFVT_01_tbl_detalle_fill_rate[[#This Row],[dev_cantidad]]</f>
        <v>1</v>
      </c>
      <c r="P10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3" s="1">
        <f>+Tabla__192.168.1.8_POSEIDONSQL_APPFVT_01_tbl_detalle_fill_rate[[#This Row],[Cumpl Real Unds]]-Tabla__192.168.1.8_POSEIDONSQL_APPFVT_01_tbl_detalle_fill_rate[[#This Row],[Cant Embarcada]]</f>
        <v>0</v>
      </c>
      <c r="S1033" s="1">
        <f>+IF(Tabla__192.168.1.8_POSEIDONSQL_APPFVT_01_tbl_detalle_fill_rate[[#This Row],[Pend Emb]]&gt;0,1,0)</f>
        <v>0</v>
      </c>
      <c r="T10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4" spans="1:20" x14ac:dyDescent="0.25">
      <c r="A1034">
        <v>4</v>
      </c>
      <c r="B1034" t="s">
        <v>56</v>
      </c>
      <c r="C1034">
        <v>9610052</v>
      </c>
      <c r="D1034" s="48">
        <v>43332</v>
      </c>
      <c r="E1034" s="48">
        <v>43331</v>
      </c>
      <c r="F1034" s="48">
        <v>43341</v>
      </c>
      <c r="G1034" t="s">
        <v>269</v>
      </c>
      <c r="H1034" t="s">
        <v>270</v>
      </c>
      <c r="I1034">
        <v>1</v>
      </c>
      <c r="J1034" t="s">
        <v>453</v>
      </c>
      <c r="K1034">
        <v>1</v>
      </c>
      <c r="L1034">
        <v>1</v>
      </c>
      <c r="M1034" t="s">
        <v>1980</v>
      </c>
      <c r="N1034">
        <v>0</v>
      </c>
      <c r="O1034" s="1">
        <f>+Tabla__192.168.1.8_POSEIDONSQL_APPFVT_01_tbl_detalle_fill_rate[[#This Row],[emb_cantidad]]-Tabla__192.168.1.8_POSEIDONSQL_APPFVT_01_tbl_detalle_fill_rate[[#This Row],[dev_cantidad]]</f>
        <v>1</v>
      </c>
      <c r="P10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4" s="1">
        <f>+Tabla__192.168.1.8_POSEIDONSQL_APPFVT_01_tbl_detalle_fill_rate[[#This Row],[Cumpl Real Unds]]-Tabla__192.168.1.8_POSEIDONSQL_APPFVT_01_tbl_detalle_fill_rate[[#This Row],[Cant Embarcada]]</f>
        <v>0</v>
      </c>
      <c r="S1034" s="1">
        <f>+IF(Tabla__192.168.1.8_POSEIDONSQL_APPFVT_01_tbl_detalle_fill_rate[[#This Row],[Pend Emb]]&gt;0,1,0)</f>
        <v>0</v>
      </c>
      <c r="T10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5" spans="1:20" x14ac:dyDescent="0.25">
      <c r="A1035">
        <v>4</v>
      </c>
      <c r="B1035" t="s">
        <v>56</v>
      </c>
      <c r="C1035">
        <v>9612153</v>
      </c>
      <c r="D1035" s="48">
        <v>43332</v>
      </c>
      <c r="E1035" s="48">
        <v>43332</v>
      </c>
      <c r="F1035" s="48">
        <v>43341</v>
      </c>
      <c r="G1035" t="s">
        <v>90</v>
      </c>
      <c r="H1035" t="s">
        <v>91</v>
      </c>
      <c r="I1035">
        <v>1</v>
      </c>
      <c r="J1035" t="s">
        <v>454</v>
      </c>
      <c r="K1035">
        <v>1</v>
      </c>
      <c r="L1035">
        <v>1</v>
      </c>
      <c r="M1035" t="s">
        <v>1980</v>
      </c>
      <c r="N1035">
        <v>0</v>
      </c>
      <c r="O1035" s="1">
        <f>+Tabla__192.168.1.8_POSEIDONSQL_APPFVT_01_tbl_detalle_fill_rate[[#This Row],[emb_cantidad]]-Tabla__192.168.1.8_POSEIDONSQL_APPFVT_01_tbl_detalle_fill_rate[[#This Row],[dev_cantidad]]</f>
        <v>1</v>
      </c>
      <c r="P10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5" s="1">
        <f>+Tabla__192.168.1.8_POSEIDONSQL_APPFVT_01_tbl_detalle_fill_rate[[#This Row],[Cumpl Real Unds]]-Tabla__192.168.1.8_POSEIDONSQL_APPFVT_01_tbl_detalle_fill_rate[[#This Row],[Cant Embarcada]]</f>
        <v>0</v>
      </c>
      <c r="S1035" s="1">
        <f>+IF(Tabla__192.168.1.8_POSEIDONSQL_APPFVT_01_tbl_detalle_fill_rate[[#This Row],[Pend Emb]]&gt;0,1,0)</f>
        <v>0</v>
      </c>
      <c r="T10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6" spans="1:20" x14ac:dyDescent="0.25">
      <c r="A1036">
        <v>4</v>
      </c>
      <c r="B1036" t="s">
        <v>56</v>
      </c>
      <c r="C1036">
        <v>9613046</v>
      </c>
      <c r="D1036" s="48">
        <v>43333</v>
      </c>
      <c r="E1036" s="48">
        <v>43332</v>
      </c>
      <c r="F1036" s="48">
        <v>43341</v>
      </c>
      <c r="G1036" t="s">
        <v>90</v>
      </c>
      <c r="H1036" t="s">
        <v>91</v>
      </c>
      <c r="I1036">
        <v>1</v>
      </c>
      <c r="J1036" t="s">
        <v>1048</v>
      </c>
      <c r="K1036">
        <v>1</v>
      </c>
      <c r="L1036">
        <v>1</v>
      </c>
      <c r="M1036" t="s">
        <v>1980</v>
      </c>
      <c r="N1036">
        <v>0</v>
      </c>
      <c r="O1036" s="1">
        <f>+Tabla__192.168.1.8_POSEIDONSQL_APPFVT_01_tbl_detalle_fill_rate[[#This Row],[emb_cantidad]]-Tabla__192.168.1.8_POSEIDONSQL_APPFVT_01_tbl_detalle_fill_rate[[#This Row],[dev_cantidad]]</f>
        <v>1</v>
      </c>
      <c r="P10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6" s="1">
        <f>+Tabla__192.168.1.8_POSEIDONSQL_APPFVT_01_tbl_detalle_fill_rate[[#This Row],[Cumpl Real Unds]]-Tabla__192.168.1.8_POSEIDONSQL_APPFVT_01_tbl_detalle_fill_rate[[#This Row],[Cant Embarcada]]</f>
        <v>0</v>
      </c>
      <c r="S1036" s="1">
        <f>+IF(Tabla__192.168.1.8_POSEIDONSQL_APPFVT_01_tbl_detalle_fill_rate[[#This Row],[Pend Emb]]&gt;0,1,0)</f>
        <v>0</v>
      </c>
      <c r="T10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7" spans="1:20" x14ac:dyDescent="0.25">
      <c r="A1037">
        <v>4</v>
      </c>
      <c r="B1037" t="s">
        <v>56</v>
      </c>
      <c r="C1037">
        <v>9613392</v>
      </c>
      <c r="D1037" s="48">
        <v>43333</v>
      </c>
      <c r="E1037" s="48">
        <v>43332</v>
      </c>
      <c r="F1037" s="48">
        <v>43343</v>
      </c>
      <c r="G1037" t="s">
        <v>543</v>
      </c>
      <c r="H1037" t="s">
        <v>544</v>
      </c>
      <c r="I1037">
        <v>1</v>
      </c>
      <c r="J1037" t="s">
        <v>1049</v>
      </c>
      <c r="K1037">
        <v>0</v>
      </c>
      <c r="L1037">
        <v>0</v>
      </c>
      <c r="M1037" t="s">
        <v>12</v>
      </c>
      <c r="N1037">
        <v>0</v>
      </c>
      <c r="O1037" s="1">
        <f>+Tabla__192.168.1.8_POSEIDONSQL_APPFVT_01_tbl_detalle_fill_rate[[#This Row],[emb_cantidad]]-Tabla__192.168.1.8_POSEIDONSQL_APPFVT_01_tbl_detalle_fill_rate[[#This Row],[dev_cantidad]]</f>
        <v>0</v>
      </c>
      <c r="P10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037" s="1">
        <f>+Tabla__192.168.1.8_POSEIDONSQL_APPFVT_01_tbl_detalle_fill_rate[[#This Row],[Cumpl Real Unds]]-Tabla__192.168.1.8_POSEIDONSQL_APPFVT_01_tbl_detalle_fill_rate[[#This Row],[Cant Embarcada]]</f>
        <v>0</v>
      </c>
      <c r="S1037" s="1">
        <f>+IF(Tabla__192.168.1.8_POSEIDONSQL_APPFVT_01_tbl_detalle_fill_rate[[#This Row],[Pend Emb]]&gt;0,1,0)</f>
        <v>0</v>
      </c>
      <c r="T10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8" spans="1:20" x14ac:dyDescent="0.25">
      <c r="A1038">
        <v>4</v>
      </c>
      <c r="B1038" t="s">
        <v>56</v>
      </c>
      <c r="C1038">
        <v>9613561</v>
      </c>
      <c r="D1038" s="48">
        <v>43333</v>
      </c>
      <c r="E1038" s="48">
        <v>43332</v>
      </c>
      <c r="F1038" s="48">
        <v>43348</v>
      </c>
      <c r="G1038" t="s">
        <v>122</v>
      </c>
      <c r="H1038" t="s">
        <v>123</v>
      </c>
      <c r="I1038">
        <v>1</v>
      </c>
      <c r="J1038" t="s">
        <v>1109</v>
      </c>
      <c r="K1038">
        <v>1</v>
      </c>
      <c r="L1038">
        <v>1</v>
      </c>
      <c r="M1038" t="s">
        <v>1962</v>
      </c>
      <c r="N1038">
        <v>0</v>
      </c>
      <c r="O1038" s="1">
        <f>+Tabla__192.168.1.8_POSEIDONSQL_APPFVT_01_tbl_detalle_fill_rate[[#This Row],[emb_cantidad]]-Tabla__192.168.1.8_POSEIDONSQL_APPFVT_01_tbl_detalle_fill_rate[[#This Row],[dev_cantidad]]</f>
        <v>1</v>
      </c>
      <c r="P10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8" s="1">
        <f>+Tabla__192.168.1.8_POSEIDONSQL_APPFVT_01_tbl_detalle_fill_rate[[#This Row],[Cumpl Real Unds]]-Tabla__192.168.1.8_POSEIDONSQL_APPFVT_01_tbl_detalle_fill_rate[[#This Row],[Cant Embarcada]]</f>
        <v>0</v>
      </c>
      <c r="S1038" s="1">
        <f>+IF(Tabla__192.168.1.8_POSEIDONSQL_APPFVT_01_tbl_detalle_fill_rate[[#This Row],[Pend Emb]]&gt;0,1,0)</f>
        <v>0</v>
      </c>
      <c r="T10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39" spans="1:20" x14ac:dyDescent="0.25">
      <c r="A1039">
        <v>4</v>
      </c>
      <c r="B1039" t="s">
        <v>56</v>
      </c>
      <c r="C1039">
        <v>9613676</v>
      </c>
      <c r="D1039" s="48">
        <v>43333</v>
      </c>
      <c r="E1039" s="48">
        <v>43332</v>
      </c>
      <c r="F1039" s="48">
        <v>43343</v>
      </c>
      <c r="G1039" t="s">
        <v>259</v>
      </c>
      <c r="H1039" t="s">
        <v>260</v>
      </c>
      <c r="I1039">
        <v>1</v>
      </c>
      <c r="J1039" t="s">
        <v>1050</v>
      </c>
      <c r="K1039">
        <v>1</v>
      </c>
      <c r="L1039">
        <v>1</v>
      </c>
      <c r="M1039" t="s">
        <v>1962</v>
      </c>
      <c r="N1039">
        <v>0</v>
      </c>
      <c r="O1039" s="1">
        <f>+Tabla__192.168.1.8_POSEIDONSQL_APPFVT_01_tbl_detalle_fill_rate[[#This Row],[emb_cantidad]]-Tabla__192.168.1.8_POSEIDONSQL_APPFVT_01_tbl_detalle_fill_rate[[#This Row],[dev_cantidad]]</f>
        <v>1</v>
      </c>
      <c r="P10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39" s="1">
        <f>+Tabla__192.168.1.8_POSEIDONSQL_APPFVT_01_tbl_detalle_fill_rate[[#This Row],[Cumpl Real Unds]]-Tabla__192.168.1.8_POSEIDONSQL_APPFVT_01_tbl_detalle_fill_rate[[#This Row],[Cant Embarcada]]</f>
        <v>0</v>
      </c>
      <c r="S1039" s="1">
        <f>+IF(Tabla__192.168.1.8_POSEIDONSQL_APPFVT_01_tbl_detalle_fill_rate[[#This Row],[Pend Emb]]&gt;0,1,0)</f>
        <v>0</v>
      </c>
      <c r="T10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0" spans="1:20" x14ac:dyDescent="0.25">
      <c r="A1040">
        <v>4</v>
      </c>
      <c r="B1040" t="s">
        <v>56</v>
      </c>
      <c r="C1040">
        <v>9615050</v>
      </c>
      <c r="D1040" s="48">
        <v>43333</v>
      </c>
      <c r="E1040" s="48">
        <v>43332</v>
      </c>
      <c r="F1040" s="48">
        <v>43339</v>
      </c>
      <c r="G1040" t="s">
        <v>259</v>
      </c>
      <c r="H1040" t="s">
        <v>260</v>
      </c>
      <c r="I1040">
        <v>2</v>
      </c>
      <c r="J1040" t="s">
        <v>1047</v>
      </c>
      <c r="K1040">
        <v>2</v>
      </c>
      <c r="L1040">
        <v>2</v>
      </c>
      <c r="M1040" t="s">
        <v>1971</v>
      </c>
      <c r="N1040">
        <v>1</v>
      </c>
      <c r="O1040" s="1">
        <f>+Tabla__192.168.1.8_POSEIDONSQL_APPFVT_01_tbl_detalle_fill_rate[[#This Row],[emb_cantidad]]-Tabla__192.168.1.8_POSEIDONSQL_APPFVT_01_tbl_detalle_fill_rate[[#This Row],[dev_cantidad]]</f>
        <v>1</v>
      </c>
      <c r="P10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040" s="1">
        <f>+Tabla__192.168.1.8_POSEIDONSQL_APPFVT_01_tbl_detalle_fill_rate[[#This Row],[Cumpl Real Unds]]-Tabla__192.168.1.8_POSEIDONSQL_APPFVT_01_tbl_detalle_fill_rate[[#This Row],[Cant Embarcada]]</f>
        <v>-1</v>
      </c>
      <c r="S1040" s="1">
        <f>+IF(Tabla__192.168.1.8_POSEIDONSQL_APPFVT_01_tbl_detalle_fill_rate[[#This Row],[Pend Emb]]&gt;0,1,0)</f>
        <v>0</v>
      </c>
      <c r="T10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1" spans="1:20" x14ac:dyDescent="0.25">
      <c r="A1041">
        <v>4</v>
      </c>
      <c r="B1041" t="s">
        <v>56</v>
      </c>
      <c r="C1041">
        <v>9615373</v>
      </c>
      <c r="D1041" s="48">
        <v>43334</v>
      </c>
      <c r="E1041" s="48">
        <v>43333</v>
      </c>
      <c r="F1041" s="48">
        <v>43341</v>
      </c>
      <c r="G1041" t="s">
        <v>372</v>
      </c>
      <c r="H1041" t="s">
        <v>373</v>
      </c>
      <c r="I1041">
        <v>2</v>
      </c>
      <c r="J1041" t="s">
        <v>1197</v>
      </c>
      <c r="K1041">
        <v>2</v>
      </c>
      <c r="L1041">
        <v>2</v>
      </c>
      <c r="M1041" t="s">
        <v>1980</v>
      </c>
      <c r="N1041">
        <v>0</v>
      </c>
      <c r="O1041" s="1">
        <f>+Tabla__192.168.1.8_POSEIDONSQL_APPFVT_01_tbl_detalle_fill_rate[[#This Row],[emb_cantidad]]-Tabla__192.168.1.8_POSEIDONSQL_APPFVT_01_tbl_detalle_fill_rate[[#This Row],[dev_cantidad]]</f>
        <v>2</v>
      </c>
      <c r="P10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041" s="1">
        <f>+Tabla__192.168.1.8_POSEIDONSQL_APPFVT_01_tbl_detalle_fill_rate[[#This Row],[Cumpl Real Unds]]-Tabla__192.168.1.8_POSEIDONSQL_APPFVT_01_tbl_detalle_fill_rate[[#This Row],[Cant Embarcada]]</f>
        <v>0</v>
      </c>
      <c r="S1041" s="1">
        <f>+IF(Tabla__192.168.1.8_POSEIDONSQL_APPFVT_01_tbl_detalle_fill_rate[[#This Row],[Pend Emb]]&gt;0,1,0)</f>
        <v>0</v>
      </c>
      <c r="T10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2" spans="1:20" x14ac:dyDescent="0.25">
      <c r="A1042">
        <v>4</v>
      </c>
      <c r="B1042" t="s">
        <v>56</v>
      </c>
      <c r="C1042">
        <v>9615458</v>
      </c>
      <c r="D1042" s="48">
        <v>43334</v>
      </c>
      <c r="E1042" s="48">
        <v>43333</v>
      </c>
      <c r="F1042" s="48">
        <v>43350</v>
      </c>
      <c r="G1042" t="s">
        <v>120</v>
      </c>
      <c r="H1042" t="s">
        <v>121</v>
      </c>
      <c r="I1042">
        <v>1</v>
      </c>
      <c r="J1042" t="s">
        <v>1112</v>
      </c>
      <c r="K1042">
        <v>1</v>
      </c>
      <c r="L1042">
        <v>1</v>
      </c>
      <c r="M1042" t="s">
        <v>1962</v>
      </c>
      <c r="N1042">
        <v>0</v>
      </c>
      <c r="O1042" s="1">
        <f>+Tabla__192.168.1.8_POSEIDONSQL_APPFVT_01_tbl_detalle_fill_rate[[#This Row],[emb_cantidad]]-Tabla__192.168.1.8_POSEIDONSQL_APPFVT_01_tbl_detalle_fill_rate[[#This Row],[dev_cantidad]]</f>
        <v>1</v>
      </c>
      <c r="P10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2" s="1">
        <f>+Tabla__192.168.1.8_POSEIDONSQL_APPFVT_01_tbl_detalle_fill_rate[[#This Row],[Cumpl Real Unds]]-Tabla__192.168.1.8_POSEIDONSQL_APPFVT_01_tbl_detalle_fill_rate[[#This Row],[Cant Embarcada]]</f>
        <v>0</v>
      </c>
      <c r="S1042" s="1">
        <f>+IF(Tabla__192.168.1.8_POSEIDONSQL_APPFVT_01_tbl_detalle_fill_rate[[#This Row],[Pend Emb]]&gt;0,1,0)</f>
        <v>0</v>
      </c>
      <c r="T10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3" spans="1:20" x14ac:dyDescent="0.25">
      <c r="A1043">
        <v>4</v>
      </c>
      <c r="B1043" t="s">
        <v>56</v>
      </c>
      <c r="C1043">
        <v>9615555</v>
      </c>
      <c r="D1043" s="48">
        <v>43334</v>
      </c>
      <c r="E1043" s="48">
        <v>43333</v>
      </c>
      <c r="F1043" s="48">
        <v>43346</v>
      </c>
      <c r="G1043" t="s">
        <v>62</v>
      </c>
      <c r="H1043" t="s">
        <v>63</v>
      </c>
      <c r="I1043">
        <v>1</v>
      </c>
      <c r="J1043" t="s">
        <v>1107</v>
      </c>
      <c r="K1043">
        <v>1</v>
      </c>
      <c r="L1043">
        <v>1</v>
      </c>
      <c r="M1043" t="s">
        <v>1962</v>
      </c>
      <c r="N1043">
        <v>0</v>
      </c>
      <c r="O1043" s="1">
        <f>+Tabla__192.168.1.8_POSEIDONSQL_APPFVT_01_tbl_detalle_fill_rate[[#This Row],[emb_cantidad]]-Tabla__192.168.1.8_POSEIDONSQL_APPFVT_01_tbl_detalle_fill_rate[[#This Row],[dev_cantidad]]</f>
        <v>1</v>
      </c>
      <c r="P10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3" s="1">
        <f>+Tabla__192.168.1.8_POSEIDONSQL_APPFVT_01_tbl_detalle_fill_rate[[#This Row],[Cumpl Real Unds]]-Tabla__192.168.1.8_POSEIDONSQL_APPFVT_01_tbl_detalle_fill_rate[[#This Row],[Cant Embarcada]]</f>
        <v>0</v>
      </c>
      <c r="S1043" s="1">
        <f>+IF(Tabla__192.168.1.8_POSEIDONSQL_APPFVT_01_tbl_detalle_fill_rate[[#This Row],[Pend Emb]]&gt;0,1,0)</f>
        <v>0</v>
      </c>
      <c r="T10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4" spans="1:20" x14ac:dyDescent="0.25">
      <c r="A1044">
        <v>4</v>
      </c>
      <c r="B1044" t="s">
        <v>56</v>
      </c>
      <c r="C1044">
        <v>9615589</v>
      </c>
      <c r="D1044" s="48">
        <v>43334</v>
      </c>
      <c r="E1044" s="48">
        <v>43333</v>
      </c>
      <c r="F1044" s="48">
        <v>43339</v>
      </c>
      <c r="G1044" t="s">
        <v>64</v>
      </c>
      <c r="H1044" t="s">
        <v>65</v>
      </c>
      <c r="I1044">
        <v>1</v>
      </c>
      <c r="J1044" t="s">
        <v>1080</v>
      </c>
      <c r="K1044">
        <v>1</v>
      </c>
      <c r="L1044">
        <v>1</v>
      </c>
      <c r="M1044" t="s">
        <v>1971</v>
      </c>
      <c r="N1044">
        <v>0</v>
      </c>
      <c r="O1044" s="1">
        <f>+Tabla__192.168.1.8_POSEIDONSQL_APPFVT_01_tbl_detalle_fill_rate[[#This Row],[emb_cantidad]]-Tabla__192.168.1.8_POSEIDONSQL_APPFVT_01_tbl_detalle_fill_rate[[#This Row],[dev_cantidad]]</f>
        <v>1</v>
      </c>
      <c r="P10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4" s="1">
        <f>+Tabla__192.168.1.8_POSEIDONSQL_APPFVT_01_tbl_detalle_fill_rate[[#This Row],[Cumpl Real Unds]]-Tabla__192.168.1.8_POSEIDONSQL_APPFVT_01_tbl_detalle_fill_rate[[#This Row],[Cant Embarcada]]</f>
        <v>0</v>
      </c>
      <c r="S1044" s="1">
        <f>+IF(Tabla__192.168.1.8_POSEIDONSQL_APPFVT_01_tbl_detalle_fill_rate[[#This Row],[Pend Emb]]&gt;0,1,0)</f>
        <v>0</v>
      </c>
      <c r="T10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5" spans="1:20" x14ac:dyDescent="0.25">
      <c r="A1045">
        <v>4</v>
      </c>
      <c r="B1045" t="s">
        <v>56</v>
      </c>
      <c r="C1045">
        <v>9615941</v>
      </c>
      <c r="D1045" s="48">
        <v>43334</v>
      </c>
      <c r="E1045" s="48">
        <v>43333</v>
      </c>
      <c r="F1045" s="48">
        <v>43339</v>
      </c>
      <c r="G1045" t="s">
        <v>62</v>
      </c>
      <c r="H1045" t="s">
        <v>63</v>
      </c>
      <c r="I1045">
        <v>1</v>
      </c>
      <c r="J1045" t="s">
        <v>1081</v>
      </c>
      <c r="K1045">
        <v>1</v>
      </c>
      <c r="L1045">
        <v>1</v>
      </c>
      <c r="M1045" t="s">
        <v>1971</v>
      </c>
      <c r="N1045">
        <v>0</v>
      </c>
      <c r="O1045" s="1">
        <f>+Tabla__192.168.1.8_POSEIDONSQL_APPFVT_01_tbl_detalle_fill_rate[[#This Row],[emb_cantidad]]-Tabla__192.168.1.8_POSEIDONSQL_APPFVT_01_tbl_detalle_fill_rate[[#This Row],[dev_cantidad]]</f>
        <v>1</v>
      </c>
      <c r="P10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5" s="1">
        <f>+Tabla__192.168.1.8_POSEIDONSQL_APPFVT_01_tbl_detalle_fill_rate[[#This Row],[Cumpl Real Unds]]-Tabla__192.168.1.8_POSEIDONSQL_APPFVT_01_tbl_detalle_fill_rate[[#This Row],[Cant Embarcada]]</f>
        <v>0</v>
      </c>
      <c r="S1045" s="1">
        <f>+IF(Tabla__192.168.1.8_POSEIDONSQL_APPFVT_01_tbl_detalle_fill_rate[[#This Row],[Pend Emb]]&gt;0,1,0)</f>
        <v>0</v>
      </c>
      <c r="T10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6" spans="1:20" x14ac:dyDescent="0.25">
      <c r="A1046">
        <v>4</v>
      </c>
      <c r="B1046" t="s">
        <v>56</v>
      </c>
      <c r="C1046">
        <v>9615948</v>
      </c>
      <c r="D1046" s="48">
        <v>43334</v>
      </c>
      <c r="E1046" s="48">
        <v>43333</v>
      </c>
      <c r="F1046" s="48">
        <v>43339</v>
      </c>
      <c r="G1046" t="s">
        <v>66</v>
      </c>
      <c r="H1046" t="s">
        <v>67</v>
      </c>
      <c r="I1046">
        <v>1</v>
      </c>
      <c r="J1046" t="s">
        <v>1188</v>
      </c>
      <c r="K1046">
        <v>1</v>
      </c>
      <c r="L1046">
        <v>1</v>
      </c>
      <c r="M1046" t="s">
        <v>1971</v>
      </c>
      <c r="N1046">
        <v>0</v>
      </c>
      <c r="O1046" s="1">
        <f>+Tabla__192.168.1.8_POSEIDONSQL_APPFVT_01_tbl_detalle_fill_rate[[#This Row],[emb_cantidad]]-Tabla__192.168.1.8_POSEIDONSQL_APPFVT_01_tbl_detalle_fill_rate[[#This Row],[dev_cantidad]]</f>
        <v>1</v>
      </c>
      <c r="P10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6" s="1">
        <f>+Tabla__192.168.1.8_POSEIDONSQL_APPFVT_01_tbl_detalle_fill_rate[[#This Row],[Cumpl Real Unds]]-Tabla__192.168.1.8_POSEIDONSQL_APPFVT_01_tbl_detalle_fill_rate[[#This Row],[Cant Embarcada]]</f>
        <v>0</v>
      </c>
      <c r="S1046" s="1">
        <f>+IF(Tabla__192.168.1.8_POSEIDONSQL_APPFVT_01_tbl_detalle_fill_rate[[#This Row],[Pend Emb]]&gt;0,1,0)</f>
        <v>0</v>
      </c>
      <c r="T10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7" spans="1:20" x14ac:dyDescent="0.25">
      <c r="A1047">
        <v>4</v>
      </c>
      <c r="B1047" t="s">
        <v>56</v>
      </c>
      <c r="C1047">
        <v>9616539</v>
      </c>
      <c r="D1047" s="48">
        <v>43334</v>
      </c>
      <c r="E1047" s="48">
        <v>43333</v>
      </c>
      <c r="F1047" s="48">
        <v>43341</v>
      </c>
      <c r="G1047" t="s">
        <v>74</v>
      </c>
      <c r="H1047" t="s">
        <v>75</v>
      </c>
      <c r="I1047">
        <v>1</v>
      </c>
      <c r="J1047" t="s">
        <v>1195</v>
      </c>
      <c r="K1047">
        <v>1</v>
      </c>
      <c r="L1047">
        <v>1</v>
      </c>
      <c r="M1047" t="s">
        <v>1980</v>
      </c>
      <c r="N1047">
        <v>0</v>
      </c>
      <c r="O1047" s="1">
        <f>+Tabla__192.168.1.8_POSEIDONSQL_APPFVT_01_tbl_detalle_fill_rate[[#This Row],[emb_cantidad]]-Tabla__192.168.1.8_POSEIDONSQL_APPFVT_01_tbl_detalle_fill_rate[[#This Row],[dev_cantidad]]</f>
        <v>1</v>
      </c>
      <c r="P10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7" s="1">
        <f>+Tabla__192.168.1.8_POSEIDONSQL_APPFVT_01_tbl_detalle_fill_rate[[#This Row],[Cumpl Real Unds]]-Tabla__192.168.1.8_POSEIDONSQL_APPFVT_01_tbl_detalle_fill_rate[[#This Row],[Cant Embarcada]]</f>
        <v>0</v>
      </c>
      <c r="S1047" s="1">
        <f>+IF(Tabla__192.168.1.8_POSEIDONSQL_APPFVT_01_tbl_detalle_fill_rate[[#This Row],[Pend Emb]]&gt;0,1,0)</f>
        <v>0</v>
      </c>
      <c r="T10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8" spans="1:20" x14ac:dyDescent="0.25">
      <c r="A1048">
        <v>4</v>
      </c>
      <c r="B1048" t="s">
        <v>56</v>
      </c>
      <c r="C1048">
        <v>9616623</v>
      </c>
      <c r="D1048" s="48">
        <v>43334</v>
      </c>
      <c r="E1048" s="48">
        <v>43333</v>
      </c>
      <c r="F1048" s="48">
        <v>43341</v>
      </c>
      <c r="G1048" t="s">
        <v>1146</v>
      </c>
      <c r="H1048" t="s">
        <v>1147</v>
      </c>
      <c r="I1048">
        <v>1</v>
      </c>
      <c r="J1048" t="s">
        <v>1196</v>
      </c>
      <c r="K1048">
        <v>1</v>
      </c>
      <c r="L1048">
        <v>1</v>
      </c>
      <c r="M1048" t="s">
        <v>1980</v>
      </c>
      <c r="N1048">
        <v>0</v>
      </c>
      <c r="O1048" s="1">
        <f>+Tabla__192.168.1.8_POSEIDONSQL_APPFVT_01_tbl_detalle_fill_rate[[#This Row],[emb_cantidad]]-Tabla__192.168.1.8_POSEIDONSQL_APPFVT_01_tbl_detalle_fill_rate[[#This Row],[dev_cantidad]]</f>
        <v>1</v>
      </c>
      <c r="P10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8" s="1">
        <f>+Tabla__192.168.1.8_POSEIDONSQL_APPFVT_01_tbl_detalle_fill_rate[[#This Row],[Cumpl Real Unds]]-Tabla__192.168.1.8_POSEIDONSQL_APPFVT_01_tbl_detalle_fill_rate[[#This Row],[Cant Embarcada]]</f>
        <v>0</v>
      </c>
      <c r="S1048" s="1">
        <f>+IF(Tabla__192.168.1.8_POSEIDONSQL_APPFVT_01_tbl_detalle_fill_rate[[#This Row],[Pend Emb]]&gt;0,1,0)</f>
        <v>0</v>
      </c>
      <c r="T10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49" spans="1:20" x14ac:dyDescent="0.25">
      <c r="A1049">
        <v>4</v>
      </c>
      <c r="B1049" t="s">
        <v>56</v>
      </c>
      <c r="C1049">
        <v>9616744</v>
      </c>
      <c r="D1049" s="48">
        <v>43334</v>
      </c>
      <c r="E1049" s="48">
        <v>43333</v>
      </c>
      <c r="F1049" s="48">
        <v>43341</v>
      </c>
      <c r="G1049" t="s">
        <v>120</v>
      </c>
      <c r="H1049" t="s">
        <v>121</v>
      </c>
      <c r="I1049">
        <v>1</v>
      </c>
      <c r="J1049" t="s">
        <v>1192</v>
      </c>
      <c r="K1049">
        <v>1</v>
      </c>
      <c r="L1049">
        <v>1</v>
      </c>
      <c r="M1049" t="s">
        <v>1980</v>
      </c>
      <c r="N1049">
        <v>0</v>
      </c>
      <c r="O1049" s="1">
        <f>+Tabla__192.168.1.8_POSEIDONSQL_APPFVT_01_tbl_detalle_fill_rate[[#This Row],[emb_cantidad]]-Tabla__192.168.1.8_POSEIDONSQL_APPFVT_01_tbl_detalle_fill_rate[[#This Row],[dev_cantidad]]</f>
        <v>1</v>
      </c>
      <c r="P10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49" s="1">
        <f>+Tabla__192.168.1.8_POSEIDONSQL_APPFVT_01_tbl_detalle_fill_rate[[#This Row],[Cumpl Real Unds]]-Tabla__192.168.1.8_POSEIDONSQL_APPFVT_01_tbl_detalle_fill_rate[[#This Row],[Cant Embarcada]]</f>
        <v>0</v>
      </c>
      <c r="S1049" s="1">
        <f>+IF(Tabla__192.168.1.8_POSEIDONSQL_APPFVT_01_tbl_detalle_fill_rate[[#This Row],[Pend Emb]]&gt;0,1,0)</f>
        <v>0</v>
      </c>
      <c r="T10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0" spans="1:20" x14ac:dyDescent="0.25">
      <c r="A1050">
        <v>4</v>
      </c>
      <c r="B1050" t="s">
        <v>56</v>
      </c>
      <c r="C1050">
        <v>9616785</v>
      </c>
      <c r="D1050" s="48">
        <v>43334</v>
      </c>
      <c r="E1050" s="48">
        <v>43333</v>
      </c>
      <c r="F1050" s="48">
        <v>43343</v>
      </c>
      <c r="G1050" t="s">
        <v>90</v>
      </c>
      <c r="H1050" t="s">
        <v>91</v>
      </c>
      <c r="I1050">
        <v>1</v>
      </c>
      <c r="J1050" t="s">
        <v>1198</v>
      </c>
      <c r="K1050">
        <v>1</v>
      </c>
      <c r="L1050">
        <v>1</v>
      </c>
      <c r="M1050" t="s">
        <v>1962</v>
      </c>
      <c r="N1050">
        <v>0</v>
      </c>
      <c r="O1050" s="1">
        <f>+Tabla__192.168.1.8_POSEIDONSQL_APPFVT_01_tbl_detalle_fill_rate[[#This Row],[emb_cantidad]]-Tabla__192.168.1.8_POSEIDONSQL_APPFVT_01_tbl_detalle_fill_rate[[#This Row],[dev_cantidad]]</f>
        <v>1</v>
      </c>
      <c r="P10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0" s="1">
        <f>+Tabla__192.168.1.8_POSEIDONSQL_APPFVT_01_tbl_detalle_fill_rate[[#This Row],[Cumpl Real Unds]]-Tabla__192.168.1.8_POSEIDONSQL_APPFVT_01_tbl_detalle_fill_rate[[#This Row],[Cant Embarcada]]</f>
        <v>0</v>
      </c>
      <c r="S1050" s="1">
        <f>+IF(Tabla__192.168.1.8_POSEIDONSQL_APPFVT_01_tbl_detalle_fill_rate[[#This Row],[Pend Emb]]&gt;0,1,0)</f>
        <v>0</v>
      </c>
      <c r="T10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1" spans="1:20" x14ac:dyDescent="0.25">
      <c r="A1051">
        <v>4</v>
      </c>
      <c r="B1051" t="s">
        <v>56</v>
      </c>
      <c r="C1051">
        <v>9617030</v>
      </c>
      <c r="D1051" s="48">
        <v>43334</v>
      </c>
      <c r="E1051" s="48">
        <v>43333</v>
      </c>
      <c r="F1051" s="48">
        <v>43343</v>
      </c>
      <c r="G1051" t="s">
        <v>324</v>
      </c>
      <c r="H1051" t="s">
        <v>325</v>
      </c>
      <c r="I1051">
        <v>1</v>
      </c>
      <c r="J1051" t="s">
        <v>1199</v>
      </c>
      <c r="K1051">
        <v>1</v>
      </c>
      <c r="L1051">
        <v>1</v>
      </c>
      <c r="M1051" t="s">
        <v>1962</v>
      </c>
      <c r="N1051">
        <v>0</v>
      </c>
      <c r="O1051" s="1">
        <f>+Tabla__192.168.1.8_POSEIDONSQL_APPFVT_01_tbl_detalle_fill_rate[[#This Row],[emb_cantidad]]-Tabla__192.168.1.8_POSEIDONSQL_APPFVT_01_tbl_detalle_fill_rate[[#This Row],[dev_cantidad]]</f>
        <v>1</v>
      </c>
      <c r="P10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1" s="1">
        <f>+Tabla__192.168.1.8_POSEIDONSQL_APPFVT_01_tbl_detalle_fill_rate[[#This Row],[Cumpl Real Unds]]-Tabla__192.168.1.8_POSEIDONSQL_APPFVT_01_tbl_detalle_fill_rate[[#This Row],[Cant Embarcada]]</f>
        <v>0</v>
      </c>
      <c r="S1051" s="1">
        <f>+IF(Tabla__192.168.1.8_POSEIDONSQL_APPFVT_01_tbl_detalle_fill_rate[[#This Row],[Pend Emb]]&gt;0,1,0)</f>
        <v>0</v>
      </c>
      <c r="T10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2" spans="1:20" x14ac:dyDescent="0.25">
      <c r="A1052">
        <v>4</v>
      </c>
      <c r="B1052" t="s">
        <v>56</v>
      </c>
      <c r="C1052">
        <v>9617172</v>
      </c>
      <c r="D1052" s="48">
        <v>43334</v>
      </c>
      <c r="E1052" s="48">
        <v>43333</v>
      </c>
      <c r="F1052" s="48">
        <v>43343</v>
      </c>
      <c r="G1052" t="s">
        <v>120</v>
      </c>
      <c r="H1052" t="s">
        <v>121</v>
      </c>
      <c r="I1052">
        <v>1</v>
      </c>
      <c r="J1052" t="s">
        <v>1200</v>
      </c>
      <c r="K1052">
        <v>1</v>
      </c>
      <c r="L1052">
        <v>1</v>
      </c>
      <c r="M1052" t="s">
        <v>1962</v>
      </c>
      <c r="N1052">
        <v>0</v>
      </c>
      <c r="O1052" s="1">
        <f>+Tabla__192.168.1.8_POSEIDONSQL_APPFVT_01_tbl_detalle_fill_rate[[#This Row],[emb_cantidad]]-Tabla__192.168.1.8_POSEIDONSQL_APPFVT_01_tbl_detalle_fill_rate[[#This Row],[dev_cantidad]]</f>
        <v>1</v>
      </c>
      <c r="P10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2" s="1">
        <f>+Tabla__192.168.1.8_POSEIDONSQL_APPFVT_01_tbl_detalle_fill_rate[[#This Row],[Cumpl Real Unds]]-Tabla__192.168.1.8_POSEIDONSQL_APPFVT_01_tbl_detalle_fill_rate[[#This Row],[Cant Embarcada]]</f>
        <v>0</v>
      </c>
      <c r="S1052" s="1">
        <f>+IF(Tabla__192.168.1.8_POSEIDONSQL_APPFVT_01_tbl_detalle_fill_rate[[#This Row],[Pend Emb]]&gt;0,1,0)</f>
        <v>0</v>
      </c>
      <c r="T10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3" spans="1:20" x14ac:dyDescent="0.25">
      <c r="A1053">
        <v>4</v>
      </c>
      <c r="B1053" t="s">
        <v>56</v>
      </c>
      <c r="C1053">
        <v>9617287</v>
      </c>
      <c r="D1053" s="48">
        <v>43334</v>
      </c>
      <c r="E1053" s="48">
        <v>43333</v>
      </c>
      <c r="F1053" s="48">
        <v>43341</v>
      </c>
      <c r="G1053" t="s">
        <v>106</v>
      </c>
      <c r="H1053" t="s">
        <v>107</v>
      </c>
      <c r="I1053">
        <v>1</v>
      </c>
      <c r="J1053" t="s">
        <v>1193</v>
      </c>
      <c r="K1053">
        <v>1</v>
      </c>
      <c r="L1053">
        <v>1</v>
      </c>
      <c r="M1053" t="s">
        <v>1980</v>
      </c>
      <c r="N1053">
        <v>0</v>
      </c>
      <c r="O1053" s="1">
        <f>+Tabla__192.168.1.8_POSEIDONSQL_APPFVT_01_tbl_detalle_fill_rate[[#This Row],[emb_cantidad]]-Tabla__192.168.1.8_POSEIDONSQL_APPFVT_01_tbl_detalle_fill_rate[[#This Row],[dev_cantidad]]</f>
        <v>1</v>
      </c>
      <c r="P10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3" s="1">
        <f>+Tabla__192.168.1.8_POSEIDONSQL_APPFVT_01_tbl_detalle_fill_rate[[#This Row],[Cumpl Real Unds]]-Tabla__192.168.1.8_POSEIDONSQL_APPFVT_01_tbl_detalle_fill_rate[[#This Row],[Cant Embarcada]]</f>
        <v>0</v>
      </c>
      <c r="S1053" s="1">
        <f>+IF(Tabla__192.168.1.8_POSEIDONSQL_APPFVT_01_tbl_detalle_fill_rate[[#This Row],[Pend Emb]]&gt;0,1,0)</f>
        <v>0</v>
      </c>
      <c r="T10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4" spans="1:20" x14ac:dyDescent="0.25">
      <c r="A1054">
        <v>4</v>
      </c>
      <c r="B1054" t="s">
        <v>56</v>
      </c>
      <c r="C1054">
        <v>9617484</v>
      </c>
      <c r="D1054" s="48">
        <v>43334</v>
      </c>
      <c r="E1054" s="48">
        <v>43333</v>
      </c>
      <c r="F1054" s="48">
        <v>43341</v>
      </c>
      <c r="G1054" t="s">
        <v>88</v>
      </c>
      <c r="H1054" t="s">
        <v>89</v>
      </c>
      <c r="I1054">
        <v>1</v>
      </c>
      <c r="J1054" t="s">
        <v>1194</v>
      </c>
      <c r="K1054">
        <v>1</v>
      </c>
      <c r="L1054">
        <v>1</v>
      </c>
      <c r="M1054" t="s">
        <v>1980</v>
      </c>
      <c r="N1054">
        <v>0</v>
      </c>
      <c r="O1054" s="1">
        <f>+Tabla__192.168.1.8_POSEIDONSQL_APPFVT_01_tbl_detalle_fill_rate[[#This Row],[emb_cantidad]]-Tabla__192.168.1.8_POSEIDONSQL_APPFVT_01_tbl_detalle_fill_rate[[#This Row],[dev_cantidad]]</f>
        <v>1</v>
      </c>
      <c r="P10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4" s="1">
        <f>+Tabla__192.168.1.8_POSEIDONSQL_APPFVT_01_tbl_detalle_fill_rate[[#This Row],[Cumpl Real Unds]]-Tabla__192.168.1.8_POSEIDONSQL_APPFVT_01_tbl_detalle_fill_rate[[#This Row],[Cant Embarcada]]</f>
        <v>0</v>
      </c>
      <c r="S1054" s="1">
        <f>+IF(Tabla__192.168.1.8_POSEIDONSQL_APPFVT_01_tbl_detalle_fill_rate[[#This Row],[Pend Emb]]&gt;0,1,0)</f>
        <v>0</v>
      </c>
      <c r="T10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5" spans="1:20" x14ac:dyDescent="0.25">
      <c r="A1055">
        <v>4</v>
      </c>
      <c r="B1055" t="s">
        <v>56</v>
      </c>
      <c r="C1055">
        <v>9617586</v>
      </c>
      <c r="D1055" s="48">
        <v>43334</v>
      </c>
      <c r="E1055" s="48">
        <v>43333</v>
      </c>
      <c r="F1055" s="48">
        <v>43341</v>
      </c>
      <c r="G1055" t="s">
        <v>1189</v>
      </c>
      <c r="H1055" t="s">
        <v>1190</v>
      </c>
      <c r="I1055">
        <v>1</v>
      </c>
      <c r="J1055" t="s">
        <v>1191</v>
      </c>
      <c r="K1055">
        <v>1</v>
      </c>
      <c r="L1055">
        <v>1</v>
      </c>
      <c r="M1055" t="s">
        <v>1980</v>
      </c>
      <c r="N1055">
        <v>0</v>
      </c>
      <c r="O1055" s="1">
        <f>+Tabla__192.168.1.8_POSEIDONSQL_APPFVT_01_tbl_detalle_fill_rate[[#This Row],[emb_cantidad]]-Tabla__192.168.1.8_POSEIDONSQL_APPFVT_01_tbl_detalle_fill_rate[[#This Row],[dev_cantidad]]</f>
        <v>1</v>
      </c>
      <c r="P10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5" s="1">
        <f>+Tabla__192.168.1.8_POSEIDONSQL_APPFVT_01_tbl_detalle_fill_rate[[#This Row],[Cumpl Real Unds]]-Tabla__192.168.1.8_POSEIDONSQL_APPFVT_01_tbl_detalle_fill_rate[[#This Row],[Cant Embarcada]]</f>
        <v>0</v>
      </c>
      <c r="S1055" s="1">
        <f>+IF(Tabla__192.168.1.8_POSEIDONSQL_APPFVT_01_tbl_detalle_fill_rate[[#This Row],[Pend Emb]]&gt;0,1,0)</f>
        <v>0</v>
      </c>
      <c r="T10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6" spans="1:20" x14ac:dyDescent="0.25">
      <c r="A1056">
        <v>4</v>
      </c>
      <c r="B1056" t="s">
        <v>56</v>
      </c>
      <c r="C1056">
        <v>9618243</v>
      </c>
      <c r="D1056" s="48">
        <v>43335</v>
      </c>
      <c r="E1056" s="48">
        <v>43334</v>
      </c>
      <c r="F1056" s="48">
        <v>43343</v>
      </c>
      <c r="G1056" t="s">
        <v>74</v>
      </c>
      <c r="H1056" t="s">
        <v>75</v>
      </c>
      <c r="I1056">
        <v>1</v>
      </c>
      <c r="J1056" t="s">
        <v>1543</v>
      </c>
      <c r="K1056">
        <v>1</v>
      </c>
      <c r="L1056">
        <v>1</v>
      </c>
      <c r="M1056" t="s">
        <v>1962</v>
      </c>
      <c r="N1056">
        <v>0</v>
      </c>
      <c r="O1056" s="1">
        <f>+Tabla__192.168.1.8_POSEIDONSQL_APPFVT_01_tbl_detalle_fill_rate[[#This Row],[emb_cantidad]]-Tabla__192.168.1.8_POSEIDONSQL_APPFVT_01_tbl_detalle_fill_rate[[#This Row],[dev_cantidad]]</f>
        <v>1</v>
      </c>
      <c r="P10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6" s="1">
        <f>+Tabla__192.168.1.8_POSEIDONSQL_APPFVT_01_tbl_detalle_fill_rate[[#This Row],[Cumpl Real Unds]]-Tabla__192.168.1.8_POSEIDONSQL_APPFVT_01_tbl_detalle_fill_rate[[#This Row],[Cant Embarcada]]</f>
        <v>0</v>
      </c>
      <c r="S1056" s="1">
        <f>+IF(Tabla__192.168.1.8_POSEIDONSQL_APPFVT_01_tbl_detalle_fill_rate[[#This Row],[Pend Emb]]&gt;0,1,0)</f>
        <v>0</v>
      </c>
      <c r="T10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7" spans="1:20" x14ac:dyDescent="0.25">
      <c r="A1057">
        <v>4</v>
      </c>
      <c r="B1057" t="s">
        <v>56</v>
      </c>
      <c r="C1057">
        <v>9618323</v>
      </c>
      <c r="D1057" s="48">
        <v>43335</v>
      </c>
      <c r="E1057" s="48">
        <v>43334</v>
      </c>
      <c r="F1057" s="48">
        <v>43341</v>
      </c>
      <c r="G1057" t="s">
        <v>269</v>
      </c>
      <c r="H1057" t="s">
        <v>270</v>
      </c>
      <c r="I1057">
        <v>1</v>
      </c>
      <c r="J1057" t="s">
        <v>1538</v>
      </c>
      <c r="K1057">
        <v>1</v>
      </c>
      <c r="L1057">
        <v>1</v>
      </c>
      <c r="M1057" t="s">
        <v>1980</v>
      </c>
      <c r="N1057">
        <v>0</v>
      </c>
      <c r="O1057" s="1">
        <f>+Tabla__192.168.1.8_POSEIDONSQL_APPFVT_01_tbl_detalle_fill_rate[[#This Row],[emb_cantidad]]-Tabla__192.168.1.8_POSEIDONSQL_APPFVT_01_tbl_detalle_fill_rate[[#This Row],[dev_cantidad]]</f>
        <v>1</v>
      </c>
      <c r="P10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7" s="1">
        <f>+Tabla__192.168.1.8_POSEIDONSQL_APPFVT_01_tbl_detalle_fill_rate[[#This Row],[Cumpl Real Unds]]-Tabla__192.168.1.8_POSEIDONSQL_APPFVT_01_tbl_detalle_fill_rate[[#This Row],[Cant Embarcada]]</f>
        <v>0</v>
      </c>
      <c r="S1057" s="1">
        <f>+IF(Tabla__192.168.1.8_POSEIDONSQL_APPFVT_01_tbl_detalle_fill_rate[[#This Row],[Pend Emb]]&gt;0,1,0)</f>
        <v>0</v>
      </c>
      <c r="T10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8" spans="1:20" x14ac:dyDescent="0.25">
      <c r="A1058">
        <v>9</v>
      </c>
      <c r="B1058" t="s">
        <v>48</v>
      </c>
      <c r="C1058">
        <v>9193936</v>
      </c>
      <c r="D1058" s="48">
        <v>43346</v>
      </c>
      <c r="E1058" s="48">
        <v>43343</v>
      </c>
      <c r="F1058" s="48">
        <v>43357</v>
      </c>
      <c r="G1058" t="s">
        <v>78</v>
      </c>
      <c r="H1058" t="s">
        <v>79</v>
      </c>
      <c r="I1058">
        <v>1</v>
      </c>
      <c r="J1058" t="s">
        <v>1177</v>
      </c>
      <c r="K1058">
        <v>1</v>
      </c>
      <c r="L1058">
        <v>1</v>
      </c>
      <c r="M1058" t="s">
        <v>426</v>
      </c>
      <c r="N1058">
        <v>0</v>
      </c>
      <c r="O1058" s="1">
        <f>+Tabla__192.168.1.8_POSEIDONSQL_APPFVT_01_tbl_detalle_fill_rate[[#This Row],[emb_cantidad]]-Tabla__192.168.1.8_POSEIDONSQL_APPFVT_01_tbl_detalle_fill_rate[[#This Row],[dev_cantidad]]</f>
        <v>1</v>
      </c>
      <c r="P10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8" s="1">
        <f>+Tabla__192.168.1.8_POSEIDONSQL_APPFVT_01_tbl_detalle_fill_rate[[#This Row],[Cumpl Real Unds]]-Tabla__192.168.1.8_POSEIDONSQL_APPFVT_01_tbl_detalle_fill_rate[[#This Row],[Cant Embarcada]]</f>
        <v>0</v>
      </c>
      <c r="S1058" s="1">
        <f>+IF(Tabla__192.168.1.8_POSEIDONSQL_APPFVT_01_tbl_detalle_fill_rate[[#This Row],[Pend Emb]]&gt;0,1,0)</f>
        <v>0</v>
      </c>
      <c r="T10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59" spans="1:20" x14ac:dyDescent="0.25">
      <c r="A1059">
        <v>9</v>
      </c>
      <c r="B1059" t="s">
        <v>48</v>
      </c>
      <c r="C1059">
        <v>9193936</v>
      </c>
      <c r="D1059" s="48">
        <v>43346</v>
      </c>
      <c r="E1059" s="48">
        <v>43343</v>
      </c>
      <c r="F1059" s="48">
        <v>43350</v>
      </c>
      <c r="G1059" t="s">
        <v>114</v>
      </c>
      <c r="H1059" t="s">
        <v>115</v>
      </c>
      <c r="I1059">
        <v>1</v>
      </c>
      <c r="J1059" t="s">
        <v>1799</v>
      </c>
      <c r="K1059">
        <v>1</v>
      </c>
      <c r="L1059">
        <v>1</v>
      </c>
      <c r="M1059" t="s">
        <v>1969</v>
      </c>
      <c r="N1059">
        <v>0</v>
      </c>
      <c r="O1059" s="1">
        <f>+Tabla__192.168.1.8_POSEIDONSQL_APPFVT_01_tbl_detalle_fill_rate[[#This Row],[emb_cantidad]]-Tabla__192.168.1.8_POSEIDONSQL_APPFVT_01_tbl_detalle_fill_rate[[#This Row],[dev_cantidad]]</f>
        <v>1</v>
      </c>
      <c r="P10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59" s="1">
        <f>+Tabla__192.168.1.8_POSEIDONSQL_APPFVT_01_tbl_detalle_fill_rate[[#This Row],[Cumpl Real Unds]]-Tabla__192.168.1.8_POSEIDONSQL_APPFVT_01_tbl_detalle_fill_rate[[#This Row],[Cant Embarcada]]</f>
        <v>0</v>
      </c>
      <c r="S1059" s="1">
        <f>+IF(Tabla__192.168.1.8_POSEIDONSQL_APPFVT_01_tbl_detalle_fill_rate[[#This Row],[Pend Emb]]&gt;0,1,0)</f>
        <v>0</v>
      </c>
      <c r="T10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0" spans="1:20" x14ac:dyDescent="0.25">
      <c r="A1060">
        <v>9</v>
      </c>
      <c r="B1060" t="s">
        <v>48</v>
      </c>
      <c r="C1060">
        <v>9193999</v>
      </c>
      <c r="D1060" s="48">
        <v>43346</v>
      </c>
      <c r="E1060" s="48">
        <v>43343</v>
      </c>
      <c r="F1060" s="48">
        <v>43353</v>
      </c>
      <c r="G1060" t="s">
        <v>168</v>
      </c>
      <c r="H1060" t="s">
        <v>169</v>
      </c>
      <c r="I1060">
        <v>1</v>
      </c>
      <c r="J1060" t="s">
        <v>1834</v>
      </c>
      <c r="K1060">
        <v>1</v>
      </c>
      <c r="L1060">
        <v>1</v>
      </c>
      <c r="M1060" t="s">
        <v>163</v>
      </c>
      <c r="N1060">
        <v>0</v>
      </c>
      <c r="O1060" s="1">
        <f>+Tabla__192.168.1.8_POSEIDONSQL_APPFVT_01_tbl_detalle_fill_rate[[#This Row],[emb_cantidad]]-Tabla__192.168.1.8_POSEIDONSQL_APPFVT_01_tbl_detalle_fill_rate[[#This Row],[dev_cantidad]]</f>
        <v>1</v>
      </c>
      <c r="P10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0" s="1">
        <f>+Tabla__192.168.1.8_POSEIDONSQL_APPFVT_01_tbl_detalle_fill_rate[[#This Row],[Cumpl Real Unds]]-Tabla__192.168.1.8_POSEIDONSQL_APPFVT_01_tbl_detalle_fill_rate[[#This Row],[Cant Embarcada]]</f>
        <v>0</v>
      </c>
      <c r="S1060" s="1">
        <f>+IF(Tabla__192.168.1.8_POSEIDONSQL_APPFVT_01_tbl_detalle_fill_rate[[#This Row],[Pend Emb]]&gt;0,1,0)</f>
        <v>0</v>
      </c>
      <c r="T10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1" spans="1:20" x14ac:dyDescent="0.25">
      <c r="A1061">
        <v>9</v>
      </c>
      <c r="B1061" t="s">
        <v>48</v>
      </c>
      <c r="C1061">
        <v>9193999</v>
      </c>
      <c r="D1061" s="48">
        <v>43346</v>
      </c>
      <c r="E1061" s="48">
        <v>43343</v>
      </c>
      <c r="F1061" s="48">
        <v>43350</v>
      </c>
      <c r="G1061" t="s">
        <v>84</v>
      </c>
      <c r="H1061" t="s">
        <v>85</v>
      </c>
      <c r="I1061">
        <v>1</v>
      </c>
      <c r="J1061" t="s">
        <v>1801</v>
      </c>
      <c r="K1061">
        <v>1</v>
      </c>
      <c r="L1061">
        <v>1</v>
      </c>
      <c r="M1061" t="s">
        <v>1969</v>
      </c>
      <c r="N1061">
        <v>0</v>
      </c>
      <c r="O1061" s="1">
        <f>+Tabla__192.168.1.8_POSEIDONSQL_APPFVT_01_tbl_detalle_fill_rate[[#This Row],[emb_cantidad]]-Tabla__192.168.1.8_POSEIDONSQL_APPFVT_01_tbl_detalle_fill_rate[[#This Row],[dev_cantidad]]</f>
        <v>1</v>
      </c>
      <c r="P10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1" s="1">
        <f>+Tabla__192.168.1.8_POSEIDONSQL_APPFVT_01_tbl_detalle_fill_rate[[#This Row],[Cumpl Real Unds]]-Tabla__192.168.1.8_POSEIDONSQL_APPFVT_01_tbl_detalle_fill_rate[[#This Row],[Cant Embarcada]]</f>
        <v>0</v>
      </c>
      <c r="S1061" s="1">
        <f>+IF(Tabla__192.168.1.8_POSEIDONSQL_APPFVT_01_tbl_detalle_fill_rate[[#This Row],[Pend Emb]]&gt;0,1,0)</f>
        <v>0</v>
      </c>
      <c r="T10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2" spans="1:20" x14ac:dyDescent="0.25">
      <c r="A1062">
        <v>9</v>
      </c>
      <c r="B1062" t="s">
        <v>48</v>
      </c>
      <c r="C1062">
        <v>9194172</v>
      </c>
      <c r="D1062" s="48">
        <v>43346</v>
      </c>
      <c r="E1062" s="48">
        <v>43343</v>
      </c>
      <c r="F1062" s="48">
        <v>43350</v>
      </c>
      <c r="G1062" t="s">
        <v>92</v>
      </c>
      <c r="H1062" t="s">
        <v>93</v>
      </c>
      <c r="I1062">
        <v>1</v>
      </c>
      <c r="J1062" t="s">
        <v>1802</v>
      </c>
      <c r="K1062">
        <v>1</v>
      </c>
      <c r="L1062">
        <v>1</v>
      </c>
      <c r="M1062" t="s">
        <v>1969</v>
      </c>
      <c r="N1062">
        <v>0</v>
      </c>
      <c r="O1062" s="1">
        <f>+Tabla__192.168.1.8_POSEIDONSQL_APPFVT_01_tbl_detalle_fill_rate[[#This Row],[emb_cantidad]]-Tabla__192.168.1.8_POSEIDONSQL_APPFVT_01_tbl_detalle_fill_rate[[#This Row],[dev_cantidad]]</f>
        <v>1</v>
      </c>
      <c r="P10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2" s="1">
        <f>+Tabla__192.168.1.8_POSEIDONSQL_APPFVT_01_tbl_detalle_fill_rate[[#This Row],[Cumpl Real Unds]]-Tabla__192.168.1.8_POSEIDONSQL_APPFVT_01_tbl_detalle_fill_rate[[#This Row],[Cant Embarcada]]</f>
        <v>0</v>
      </c>
      <c r="S1062" s="1">
        <f>+IF(Tabla__192.168.1.8_POSEIDONSQL_APPFVT_01_tbl_detalle_fill_rate[[#This Row],[Pend Emb]]&gt;0,1,0)</f>
        <v>0</v>
      </c>
      <c r="T10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3" spans="1:20" x14ac:dyDescent="0.25">
      <c r="A1063">
        <v>9</v>
      </c>
      <c r="B1063" t="s">
        <v>48</v>
      </c>
      <c r="C1063">
        <v>9194172</v>
      </c>
      <c r="D1063" s="48">
        <v>43346</v>
      </c>
      <c r="E1063" s="48">
        <v>43343</v>
      </c>
      <c r="F1063" s="48">
        <v>43346</v>
      </c>
      <c r="G1063" t="s">
        <v>146</v>
      </c>
      <c r="H1063" t="s">
        <v>147</v>
      </c>
      <c r="I1063">
        <v>1</v>
      </c>
      <c r="J1063" t="s">
        <v>1626</v>
      </c>
      <c r="K1063">
        <v>1</v>
      </c>
      <c r="L1063">
        <v>1</v>
      </c>
      <c r="M1063" t="s">
        <v>160</v>
      </c>
      <c r="N1063">
        <v>0</v>
      </c>
      <c r="O1063" s="1">
        <f>+Tabla__192.168.1.8_POSEIDONSQL_APPFVT_01_tbl_detalle_fill_rate[[#This Row],[emb_cantidad]]-Tabla__192.168.1.8_POSEIDONSQL_APPFVT_01_tbl_detalle_fill_rate[[#This Row],[dev_cantidad]]</f>
        <v>1</v>
      </c>
      <c r="P10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3" s="1">
        <f>+Tabla__192.168.1.8_POSEIDONSQL_APPFVT_01_tbl_detalle_fill_rate[[#This Row],[Cumpl Real Unds]]-Tabla__192.168.1.8_POSEIDONSQL_APPFVT_01_tbl_detalle_fill_rate[[#This Row],[Cant Embarcada]]</f>
        <v>0</v>
      </c>
      <c r="S1063" s="1">
        <f>+IF(Tabla__192.168.1.8_POSEIDONSQL_APPFVT_01_tbl_detalle_fill_rate[[#This Row],[Pend Emb]]&gt;0,1,0)</f>
        <v>0</v>
      </c>
      <c r="T10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4" spans="1:20" x14ac:dyDescent="0.25">
      <c r="A1064">
        <v>9</v>
      </c>
      <c r="B1064" t="s">
        <v>48</v>
      </c>
      <c r="C1064">
        <v>9194295</v>
      </c>
      <c r="D1064" s="48">
        <v>43346</v>
      </c>
      <c r="E1064" s="48">
        <v>43343</v>
      </c>
      <c r="F1064" s="48">
        <v>43353</v>
      </c>
      <c r="G1064" t="s">
        <v>62</v>
      </c>
      <c r="H1064" t="s">
        <v>63</v>
      </c>
      <c r="I1064">
        <v>1</v>
      </c>
      <c r="J1064" t="s">
        <v>536</v>
      </c>
      <c r="K1064">
        <v>1</v>
      </c>
      <c r="L1064">
        <v>1</v>
      </c>
      <c r="M1064" t="s">
        <v>163</v>
      </c>
      <c r="N1064">
        <v>0</v>
      </c>
      <c r="O1064" s="1">
        <f>+Tabla__192.168.1.8_POSEIDONSQL_APPFVT_01_tbl_detalle_fill_rate[[#This Row],[emb_cantidad]]-Tabla__192.168.1.8_POSEIDONSQL_APPFVT_01_tbl_detalle_fill_rate[[#This Row],[dev_cantidad]]</f>
        <v>1</v>
      </c>
      <c r="P10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4" s="1">
        <f>+Tabla__192.168.1.8_POSEIDONSQL_APPFVT_01_tbl_detalle_fill_rate[[#This Row],[Cumpl Real Unds]]-Tabla__192.168.1.8_POSEIDONSQL_APPFVT_01_tbl_detalle_fill_rate[[#This Row],[Cant Embarcada]]</f>
        <v>0</v>
      </c>
      <c r="S1064" s="1">
        <f>+IF(Tabla__192.168.1.8_POSEIDONSQL_APPFVT_01_tbl_detalle_fill_rate[[#This Row],[Pend Emb]]&gt;0,1,0)</f>
        <v>0</v>
      </c>
      <c r="T10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5" spans="1:20" x14ac:dyDescent="0.25">
      <c r="A1065">
        <v>9</v>
      </c>
      <c r="B1065" t="s">
        <v>48</v>
      </c>
      <c r="C1065">
        <v>9194295</v>
      </c>
      <c r="D1065" s="48">
        <v>43346</v>
      </c>
      <c r="E1065" s="48">
        <v>43344</v>
      </c>
      <c r="F1065" s="48">
        <v>43355</v>
      </c>
      <c r="G1065" t="s">
        <v>622</v>
      </c>
      <c r="H1065" t="s">
        <v>623</v>
      </c>
      <c r="I1065">
        <v>1</v>
      </c>
      <c r="J1065" t="s">
        <v>1165</v>
      </c>
      <c r="K1065">
        <v>1</v>
      </c>
      <c r="L1065">
        <v>1</v>
      </c>
      <c r="M1065" t="s">
        <v>427</v>
      </c>
      <c r="N1065">
        <v>0</v>
      </c>
      <c r="O1065" s="1">
        <f>+Tabla__192.168.1.8_POSEIDONSQL_APPFVT_01_tbl_detalle_fill_rate[[#This Row],[emb_cantidad]]-Tabla__192.168.1.8_POSEIDONSQL_APPFVT_01_tbl_detalle_fill_rate[[#This Row],[dev_cantidad]]</f>
        <v>1</v>
      </c>
      <c r="P10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5" s="1">
        <f>+Tabla__192.168.1.8_POSEIDONSQL_APPFVT_01_tbl_detalle_fill_rate[[#This Row],[Cumpl Real Unds]]-Tabla__192.168.1.8_POSEIDONSQL_APPFVT_01_tbl_detalle_fill_rate[[#This Row],[Cant Embarcada]]</f>
        <v>0</v>
      </c>
      <c r="S1065" s="1">
        <f>+IF(Tabla__192.168.1.8_POSEIDONSQL_APPFVT_01_tbl_detalle_fill_rate[[#This Row],[Pend Emb]]&gt;0,1,0)</f>
        <v>0</v>
      </c>
      <c r="T10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6" spans="1:20" x14ac:dyDescent="0.25">
      <c r="A1066">
        <v>9</v>
      </c>
      <c r="B1066" t="s">
        <v>48</v>
      </c>
      <c r="C1066">
        <v>9194295</v>
      </c>
      <c r="D1066" s="48">
        <v>43346</v>
      </c>
      <c r="E1066" s="48">
        <v>43344</v>
      </c>
      <c r="F1066" s="48">
        <v>43355</v>
      </c>
      <c r="G1066" t="s">
        <v>104</v>
      </c>
      <c r="H1066" t="s">
        <v>105</v>
      </c>
      <c r="I1066">
        <v>1</v>
      </c>
      <c r="J1066" t="s">
        <v>1166</v>
      </c>
      <c r="K1066">
        <v>1</v>
      </c>
      <c r="L1066">
        <v>1</v>
      </c>
      <c r="M1066" t="s">
        <v>427</v>
      </c>
      <c r="N1066">
        <v>0</v>
      </c>
      <c r="O1066" s="1">
        <f>+Tabla__192.168.1.8_POSEIDONSQL_APPFVT_01_tbl_detalle_fill_rate[[#This Row],[emb_cantidad]]-Tabla__192.168.1.8_POSEIDONSQL_APPFVT_01_tbl_detalle_fill_rate[[#This Row],[dev_cantidad]]</f>
        <v>1</v>
      </c>
      <c r="P10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6" s="1">
        <f>+Tabla__192.168.1.8_POSEIDONSQL_APPFVT_01_tbl_detalle_fill_rate[[#This Row],[Cumpl Real Unds]]-Tabla__192.168.1.8_POSEIDONSQL_APPFVT_01_tbl_detalle_fill_rate[[#This Row],[Cant Embarcada]]</f>
        <v>0</v>
      </c>
      <c r="S1066" s="1">
        <f>+IF(Tabla__192.168.1.8_POSEIDONSQL_APPFVT_01_tbl_detalle_fill_rate[[#This Row],[Pend Emb]]&gt;0,1,0)</f>
        <v>0</v>
      </c>
      <c r="T10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7" spans="1:20" x14ac:dyDescent="0.25">
      <c r="A1067">
        <v>9</v>
      </c>
      <c r="B1067" t="s">
        <v>48</v>
      </c>
      <c r="C1067">
        <v>9194469</v>
      </c>
      <c r="D1067" s="48">
        <v>43346</v>
      </c>
      <c r="E1067" s="48">
        <v>43344</v>
      </c>
      <c r="F1067" s="48">
        <v>43350</v>
      </c>
      <c r="G1067" t="s">
        <v>104</v>
      </c>
      <c r="H1067" t="s">
        <v>105</v>
      </c>
      <c r="I1067">
        <v>1</v>
      </c>
      <c r="J1067" t="s">
        <v>1803</v>
      </c>
      <c r="K1067">
        <v>1</v>
      </c>
      <c r="L1067">
        <v>1</v>
      </c>
      <c r="M1067" t="s">
        <v>1969</v>
      </c>
      <c r="N1067">
        <v>0</v>
      </c>
      <c r="O1067" s="1">
        <f>+Tabla__192.168.1.8_POSEIDONSQL_APPFVT_01_tbl_detalle_fill_rate[[#This Row],[emb_cantidad]]-Tabla__192.168.1.8_POSEIDONSQL_APPFVT_01_tbl_detalle_fill_rate[[#This Row],[dev_cantidad]]</f>
        <v>1</v>
      </c>
      <c r="P10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7" s="1">
        <f>+Tabla__192.168.1.8_POSEIDONSQL_APPFVT_01_tbl_detalle_fill_rate[[#This Row],[Cumpl Real Unds]]-Tabla__192.168.1.8_POSEIDONSQL_APPFVT_01_tbl_detalle_fill_rate[[#This Row],[Cant Embarcada]]</f>
        <v>0</v>
      </c>
      <c r="S1067" s="1">
        <f>+IF(Tabla__192.168.1.8_POSEIDONSQL_APPFVT_01_tbl_detalle_fill_rate[[#This Row],[Pend Emb]]&gt;0,1,0)</f>
        <v>0</v>
      </c>
      <c r="T10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8" spans="1:20" x14ac:dyDescent="0.25">
      <c r="A1068">
        <v>9</v>
      </c>
      <c r="B1068" t="s">
        <v>48</v>
      </c>
      <c r="C1068">
        <v>9194511</v>
      </c>
      <c r="D1068" s="48">
        <v>43346</v>
      </c>
      <c r="E1068" s="48">
        <v>43344</v>
      </c>
      <c r="F1068" s="48">
        <v>43350</v>
      </c>
      <c r="G1068" t="s">
        <v>104</v>
      </c>
      <c r="H1068" t="s">
        <v>105</v>
      </c>
      <c r="I1068">
        <v>1</v>
      </c>
      <c r="J1068" t="s">
        <v>1804</v>
      </c>
      <c r="K1068">
        <v>1</v>
      </c>
      <c r="L1068">
        <v>1</v>
      </c>
      <c r="M1068" t="s">
        <v>1969</v>
      </c>
      <c r="N1068">
        <v>0</v>
      </c>
      <c r="O1068" s="1">
        <f>+Tabla__192.168.1.8_POSEIDONSQL_APPFVT_01_tbl_detalle_fill_rate[[#This Row],[emb_cantidad]]-Tabla__192.168.1.8_POSEIDONSQL_APPFVT_01_tbl_detalle_fill_rate[[#This Row],[dev_cantidad]]</f>
        <v>1</v>
      </c>
      <c r="P10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8" s="1">
        <f>+Tabla__192.168.1.8_POSEIDONSQL_APPFVT_01_tbl_detalle_fill_rate[[#This Row],[Cumpl Real Unds]]-Tabla__192.168.1.8_POSEIDONSQL_APPFVT_01_tbl_detalle_fill_rate[[#This Row],[Cant Embarcada]]</f>
        <v>0</v>
      </c>
      <c r="S1068" s="1">
        <f>+IF(Tabla__192.168.1.8_POSEIDONSQL_APPFVT_01_tbl_detalle_fill_rate[[#This Row],[Pend Emb]]&gt;0,1,0)</f>
        <v>0</v>
      </c>
      <c r="T10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69" spans="1:20" x14ac:dyDescent="0.25">
      <c r="A1069">
        <v>9</v>
      </c>
      <c r="B1069" t="s">
        <v>48</v>
      </c>
      <c r="C1069">
        <v>9194511</v>
      </c>
      <c r="D1069" s="48">
        <v>43346</v>
      </c>
      <c r="E1069" s="48">
        <v>43344</v>
      </c>
      <c r="F1069" s="48">
        <v>43350</v>
      </c>
      <c r="G1069" t="s">
        <v>112</v>
      </c>
      <c r="H1069" t="s">
        <v>113</v>
      </c>
      <c r="I1069">
        <v>1</v>
      </c>
      <c r="J1069" t="s">
        <v>1805</v>
      </c>
      <c r="K1069">
        <v>1</v>
      </c>
      <c r="L1069">
        <v>1</v>
      </c>
      <c r="M1069" t="s">
        <v>1969</v>
      </c>
      <c r="N1069">
        <v>0</v>
      </c>
      <c r="O1069" s="1">
        <f>+Tabla__192.168.1.8_POSEIDONSQL_APPFVT_01_tbl_detalle_fill_rate[[#This Row],[emb_cantidad]]-Tabla__192.168.1.8_POSEIDONSQL_APPFVT_01_tbl_detalle_fill_rate[[#This Row],[dev_cantidad]]</f>
        <v>1</v>
      </c>
      <c r="P10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69" s="1">
        <f>+Tabla__192.168.1.8_POSEIDONSQL_APPFVT_01_tbl_detalle_fill_rate[[#This Row],[Cumpl Real Unds]]-Tabla__192.168.1.8_POSEIDONSQL_APPFVT_01_tbl_detalle_fill_rate[[#This Row],[Cant Embarcada]]</f>
        <v>0</v>
      </c>
      <c r="S1069" s="1">
        <f>+IF(Tabla__192.168.1.8_POSEIDONSQL_APPFVT_01_tbl_detalle_fill_rate[[#This Row],[Pend Emb]]&gt;0,1,0)</f>
        <v>0</v>
      </c>
      <c r="T10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0" spans="1:20" x14ac:dyDescent="0.25">
      <c r="A1070">
        <v>9</v>
      </c>
      <c r="B1070" t="s">
        <v>48</v>
      </c>
      <c r="C1070">
        <v>9194606</v>
      </c>
      <c r="D1070" s="48">
        <v>43346</v>
      </c>
      <c r="E1070" s="48">
        <v>43344</v>
      </c>
      <c r="F1070" s="48">
        <v>43350</v>
      </c>
      <c r="G1070" t="s">
        <v>62</v>
      </c>
      <c r="H1070" t="s">
        <v>63</v>
      </c>
      <c r="I1070">
        <v>1</v>
      </c>
      <c r="J1070" t="s">
        <v>1628</v>
      </c>
      <c r="K1070">
        <v>1</v>
      </c>
      <c r="L1070">
        <v>1</v>
      </c>
      <c r="M1070" t="s">
        <v>1969</v>
      </c>
      <c r="N1070">
        <v>0</v>
      </c>
      <c r="O1070" s="1">
        <f>+Tabla__192.168.1.8_POSEIDONSQL_APPFVT_01_tbl_detalle_fill_rate[[#This Row],[emb_cantidad]]-Tabla__192.168.1.8_POSEIDONSQL_APPFVT_01_tbl_detalle_fill_rate[[#This Row],[dev_cantidad]]</f>
        <v>1</v>
      </c>
      <c r="P10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0" s="1">
        <f>+Tabla__192.168.1.8_POSEIDONSQL_APPFVT_01_tbl_detalle_fill_rate[[#This Row],[Cumpl Real Unds]]-Tabla__192.168.1.8_POSEIDONSQL_APPFVT_01_tbl_detalle_fill_rate[[#This Row],[Cant Embarcada]]</f>
        <v>0</v>
      </c>
      <c r="S1070" s="1">
        <f>+IF(Tabla__192.168.1.8_POSEIDONSQL_APPFVT_01_tbl_detalle_fill_rate[[#This Row],[Pend Emb]]&gt;0,1,0)</f>
        <v>0</v>
      </c>
      <c r="T10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1" spans="1:20" x14ac:dyDescent="0.25">
      <c r="A1071">
        <v>9</v>
      </c>
      <c r="B1071" t="s">
        <v>48</v>
      </c>
      <c r="C1071">
        <v>9194606</v>
      </c>
      <c r="D1071" s="48">
        <v>43346</v>
      </c>
      <c r="E1071" s="48">
        <v>43344</v>
      </c>
      <c r="F1071" s="48">
        <v>43357</v>
      </c>
      <c r="G1071" t="s">
        <v>62</v>
      </c>
      <c r="H1071" t="s">
        <v>63</v>
      </c>
      <c r="I1071">
        <v>1</v>
      </c>
      <c r="J1071" t="s">
        <v>1176</v>
      </c>
      <c r="K1071">
        <v>1</v>
      </c>
      <c r="L1071">
        <v>1</v>
      </c>
      <c r="M1071" t="s">
        <v>426</v>
      </c>
      <c r="N1071">
        <v>0</v>
      </c>
      <c r="O1071" s="1">
        <f>+Tabla__192.168.1.8_POSEIDONSQL_APPFVT_01_tbl_detalle_fill_rate[[#This Row],[emb_cantidad]]-Tabla__192.168.1.8_POSEIDONSQL_APPFVT_01_tbl_detalle_fill_rate[[#This Row],[dev_cantidad]]</f>
        <v>1</v>
      </c>
      <c r="P10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1" s="1">
        <f>+Tabla__192.168.1.8_POSEIDONSQL_APPFVT_01_tbl_detalle_fill_rate[[#This Row],[Cumpl Real Unds]]-Tabla__192.168.1.8_POSEIDONSQL_APPFVT_01_tbl_detalle_fill_rate[[#This Row],[Cant Embarcada]]</f>
        <v>0</v>
      </c>
      <c r="S1071" s="1">
        <f>+IF(Tabla__192.168.1.8_POSEIDONSQL_APPFVT_01_tbl_detalle_fill_rate[[#This Row],[Pend Emb]]&gt;0,1,0)</f>
        <v>0</v>
      </c>
      <c r="T10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2" spans="1:20" x14ac:dyDescent="0.25">
      <c r="A1072">
        <v>9</v>
      </c>
      <c r="B1072" t="s">
        <v>48</v>
      </c>
      <c r="C1072">
        <v>9194606</v>
      </c>
      <c r="D1072" s="48">
        <v>43346</v>
      </c>
      <c r="E1072" s="48">
        <v>43344</v>
      </c>
      <c r="F1072" s="48">
        <v>43350</v>
      </c>
      <c r="G1072" t="s">
        <v>66</v>
      </c>
      <c r="H1072" t="s">
        <v>67</v>
      </c>
      <c r="I1072">
        <v>1</v>
      </c>
      <c r="J1072" t="s">
        <v>1629</v>
      </c>
      <c r="K1072">
        <v>1</v>
      </c>
      <c r="L1072">
        <v>1</v>
      </c>
      <c r="M1072" t="s">
        <v>1969</v>
      </c>
      <c r="N1072">
        <v>0</v>
      </c>
      <c r="O1072" s="1">
        <f>+Tabla__192.168.1.8_POSEIDONSQL_APPFVT_01_tbl_detalle_fill_rate[[#This Row],[emb_cantidad]]-Tabla__192.168.1.8_POSEIDONSQL_APPFVT_01_tbl_detalle_fill_rate[[#This Row],[dev_cantidad]]</f>
        <v>1</v>
      </c>
      <c r="P10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2" s="1">
        <f>+Tabla__192.168.1.8_POSEIDONSQL_APPFVT_01_tbl_detalle_fill_rate[[#This Row],[Cumpl Real Unds]]-Tabla__192.168.1.8_POSEIDONSQL_APPFVT_01_tbl_detalle_fill_rate[[#This Row],[Cant Embarcada]]</f>
        <v>0</v>
      </c>
      <c r="S1072" s="1">
        <f>+IF(Tabla__192.168.1.8_POSEIDONSQL_APPFVT_01_tbl_detalle_fill_rate[[#This Row],[Pend Emb]]&gt;0,1,0)</f>
        <v>0</v>
      </c>
      <c r="T10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3" spans="1:20" x14ac:dyDescent="0.25">
      <c r="A1073">
        <v>9</v>
      </c>
      <c r="B1073" t="s">
        <v>48</v>
      </c>
      <c r="C1073">
        <v>9194606</v>
      </c>
      <c r="D1073" s="48">
        <v>43346</v>
      </c>
      <c r="E1073" s="48">
        <v>43344</v>
      </c>
      <c r="F1073" s="48">
        <v>43350</v>
      </c>
      <c r="G1073" t="s">
        <v>92</v>
      </c>
      <c r="H1073" t="s">
        <v>93</v>
      </c>
      <c r="I1073">
        <v>1</v>
      </c>
      <c r="J1073" t="s">
        <v>1632</v>
      </c>
      <c r="K1073">
        <v>1</v>
      </c>
      <c r="L1073">
        <v>1</v>
      </c>
      <c r="M1073" t="s">
        <v>1969</v>
      </c>
      <c r="N1073">
        <v>0</v>
      </c>
      <c r="O1073" s="1">
        <f>+Tabla__192.168.1.8_POSEIDONSQL_APPFVT_01_tbl_detalle_fill_rate[[#This Row],[emb_cantidad]]-Tabla__192.168.1.8_POSEIDONSQL_APPFVT_01_tbl_detalle_fill_rate[[#This Row],[dev_cantidad]]</f>
        <v>1</v>
      </c>
      <c r="P10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3" s="1">
        <f>+Tabla__192.168.1.8_POSEIDONSQL_APPFVT_01_tbl_detalle_fill_rate[[#This Row],[Cumpl Real Unds]]-Tabla__192.168.1.8_POSEIDONSQL_APPFVT_01_tbl_detalle_fill_rate[[#This Row],[Cant Embarcada]]</f>
        <v>0</v>
      </c>
      <c r="S1073" s="1">
        <f>+IF(Tabla__192.168.1.8_POSEIDONSQL_APPFVT_01_tbl_detalle_fill_rate[[#This Row],[Pend Emb]]&gt;0,1,0)</f>
        <v>0</v>
      </c>
      <c r="T10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4" spans="1:20" x14ac:dyDescent="0.25">
      <c r="A1074">
        <v>9</v>
      </c>
      <c r="B1074" t="s">
        <v>48</v>
      </c>
      <c r="C1074">
        <v>9194606</v>
      </c>
      <c r="D1074" s="48">
        <v>43346</v>
      </c>
      <c r="E1074" s="48">
        <v>43344</v>
      </c>
      <c r="F1074" s="48">
        <v>43350</v>
      </c>
      <c r="G1074" t="s">
        <v>92</v>
      </c>
      <c r="H1074" t="s">
        <v>93</v>
      </c>
      <c r="I1074">
        <v>1</v>
      </c>
      <c r="J1074" t="s">
        <v>1633</v>
      </c>
      <c r="K1074">
        <v>1</v>
      </c>
      <c r="L1074">
        <v>1</v>
      </c>
      <c r="M1074" t="s">
        <v>1969</v>
      </c>
      <c r="N1074">
        <v>0</v>
      </c>
      <c r="O1074" s="1">
        <f>+Tabla__192.168.1.8_POSEIDONSQL_APPFVT_01_tbl_detalle_fill_rate[[#This Row],[emb_cantidad]]-Tabla__192.168.1.8_POSEIDONSQL_APPFVT_01_tbl_detalle_fill_rate[[#This Row],[dev_cantidad]]</f>
        <v>1</v>
      </c>
      <c r="P10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4" s="1">
        <f>+Tabla__192.168.1.8_POSEIDONSQL_APPFVT_01_tbl_detalle_fill_rate[[#This Row],[Cumpl Real Unds]]-Tabla__192.168.1.8_POSEIDONSQL_APPFVT_01_tbl_detalle_fill_rate[[#This Row],[Cant Embarcada]]</f>
        <v>0</v>
      </c>
      <c r="S1074" s="1">
        <f>+IF(Tabla__192.168.1.8_POSEIDONSQL_APPFVT_01_tbl_detalle_fill_rate[[#This Row],[Pend Emb]]&gt;0,1,0)</f>
        <v>0</v>
      </c>
      <c r="T10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5" spans="1:20" x14ac:dyDescent="0.25">
      <c r="A1075">
        <v>9</v>
      </c>
      <c r="B1075" t="s">
        <v>48</v>
      </c>
      <c r="C1075">
        <v>9194606</v>
      </c>
      <c r="D1075" s="48">
        <v>43346</v>
      </c>
      <c r="E1075" s="48">
        <v>43344</v>
      </c>
      <c r="F1075" s="48">
        <v>43350</v>
      </c>
      <c r="G1075" t="s">
        <v>104</v>
      </c>
      <c r="H1075" t="s">
        <v>105</v>
      </c>
      <c r="I1075">
        <v>1</v>
      </c>
      <c r="J1075" t="s">
        <v>1630</v>
      </c>
      <c r="K1075">
        <v>1</v>
      </c>
      <c r="L1075">
        <v>1</v>
      </c>
      <c r="M1075" t="s">
        <v>1969</v>
      </c>
      <c r="N1075">
        <v>0</v>
      </c>
      <c r="O1075" s="1">
        <f>+Tabla__192.168.1.8_POSEIDONSQL_APPFVT_01_tbl_detalle_fill_rate[[#This Row],[emb_cantidad]]-Tabla__192.168.1.8_POSEIDONSQL_APPFVT_01_tbl_detalle_fill_rate[[#This Row],[dev_cantidad]]</f>
        <v>1</v>
      </c>
      <c r="P10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5" s="1">
        <f>+Tabla__192.168.1.8_POSEIDONSQL_APPFVT_01_tbl_detalle_fill_rate[[#This Row],[Cumpl Real Unds]]-Tabla__192.168.1.8_POSEIDONSQL_APPFVT_01_tbl_detalle_fill_rate[[#This Row],[Cant Embarcada]]</f>
        <v>0</v>
      </c>
      <c r="S1075" s="1">
        <f>+IF(Tabla__192.168.1.8_POSEIDONSQL_APPFVT_01_tbl_detalle_fill_rate[[#This Row],[Pend Emb]]&gt;0,1,0)</f>
        <v>0</v>
      </c>
      <c r="T10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6" spans="1:20" x14ac:dyDescent="0.25">
      <c r="A1076">
        <v>9</v>
      </c>
      <c r="B1076" t="s">
        <v>48</v>
      </c>
      <c r="C1076">
        <v>9194606</v>
      </c>
      <c r="D1076" s="48">
        <v>43346</v>
      </c>
      <c r="E1076" s="48">
        <v>43344</v>
      </c>
      <c r="F1076" s="48">
        <v>43350</v>
      </c>
      <c r="G1076" t="s">
        <v>759</v>
      </c>
      <c r="H1076" t="s">
        <v>760</v>
      </c>
      <c r="I1076">
        <v>1</v>
      </c>
      <c r="J1076" t="s">
        <v>1631</v>
      </c>
      <c r="K1076">
        <v>1</v>
      </c>
      <c r="L1076">
        <v>1</v>
      </c>
      <c r="M1076" t="s">
        <v>1969</v>
      </c>
      <c r="N1076">
        <v>0</v>
      </c>
      <c r="O1076" s="1">
        <f>+Tabla__192.168.1.8_POSEIDONSQL_APPFVT_01_tbl_detalle_fill_rate[[#This Row],[emb_cantidad]]-Tabla__192.168.1.8_POSEIDONSQL_APPFVT_01_tbl_detalle_fill_rate[[#This Row],[dev_cantidad]]</f>
        <v>1</v>
      </c>
      <c r="P10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6" s="1">
        <f>+Tabla__192.168.1.8_POSEIDONSQL_APPFVT_01_tbl_detalle_fill_rate[[#This Row],[Cumpl Real Unds]]-Tabla__192.168.1.8_POSEIDONSQL_APPFVT_01_tbl_detalle_fill_rate[[#This Row],[Cant Embarcada]]</f>
        <v>0</v>
      </c>
      <c r="S1076" s="1">
        <f>+IF(Tabla__192.168.1.8_POSEIDONSQL_APPFVT_01_tbl_detalle_fill_rate[[#This Row],[Pend Emb]]&gt;0,1,0)</f>
        <v>0</v>
      </c>
      <c r="T10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7" spans="1:20" x14ac:dyDescent="0.25">
      <c r="A1077">
        <v>9</v>
      </c>
      <c r="B1077" t="s">
        <v>48</v>
      </c>
      <c r="C1077">
        <v>9194652</v>
      </c>
      <c r="D1077" s="48">
        <v>43346</v>
      </c>
      <c r="E1077" s="48">
        <v>43344</v>
      </c>
      <c r="F1077" s="48">
        <v>43350</v>
      </c>
      <c r="G1077" t="s">
        <v>92</v>
      </c>
      <c r="H1077" t="s">
        <v>93</v>
      </c>
      <c r="I1077">
        <v>1</v>
      </c>
      <c r="J1077" t="s">
        <v>1635</v>
      </c>
      <c r="K1077">
        <v>1</v>
      </c>
      <c r="L1077">
        <v>1</v>
      </c>
      <c r="M1077" t="s">
        <v>1969</v>
      </c>
      <c r="N1077">
        <v>0</v>
      </c>
      <c r="O1077" s="1">
        <f>+Tabla__192.168.1.8_POSEIDONSQL_APPFVT_01_tbl_detalle_fill_rate[[#This Row],[emb_cantidad]]-Tabla__192.168.1.8_POSEIDONSQL_APPFVT_01_tbl_detalle_fill_rate[[#This Row],[dev_cantidad]]</f>
        <v>1</v>
      </c>
      <c r="P10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7" s="1">
        <f>+Tabla__192.168.1.8_POSEIDONSQL_APPFVT_01_tbl_detalle_fill_rate[[#This Row],[Cumpl Real Unds]]-Tabla__192.168.1.8_POSEIDONSQL_APPFVT_01_tbl_detalle_fill_rate[[#This Row],[Cant Embarcada]]</f>
        <v>0</v>
      </c>
      <c r="S1077" s="1">
        <f>+IF(Tabla__192.168.1.8_POSEIDONSQL_APPFVT_01_tbl_detalle_fill_rate[[#This Row],[Pend Emb]]&gt;0,1,0)</f>
        <v>0</v>
      </c>
      <c r="T10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8" spans="1:20" x14ac:dyDescent="0.25">
      <c r="A1078">
        <v>9</v>
      </c>
      <c r="B1078" t="s">
        <v>48</v>
      </c>
      <c r="C1078">
        <v>9194652</v>
      </c>
      <c r="D1078" s="48">
        <v>43346</v>
      </c>
      <c r="E1078" s="48">
        <v>43344</v>
      </c>
      <c r="F1078" s="48">
        <v>43350</v>
      </c>
      <c r="G1078" t="s">
        <v>92</v>
      </c>
      <c r="H1078" t="s">
        <v>93</v>
      </c>
      <c r="I1078">
        <v>1</v>
      </c>
      <c r="J1078" t="s">
        <v>1634</v>
      </c>
      <c r="K1078">
        <v>1</v>
      </c>
      <c r="L1078">
        <v>1</v>
      </c>
      <c r="M1078" t="s">
        <v>1969</v>
      </c>
      <c r="N1078">
        <v>0</v>
      </c>
      <c r="O1078" s="1">
        <f>+Tabla__192.168.1.8_POSEIDONSQL_APPFVT_01_tbl_detalle_fill_rate[[#This Row],[emb_cantidad]]-Tabla__192.168.1.8_POSEIDONSQL_APPFVT_01_tbl_detalle_fill_rate[[#This Row],[dev_cantidad]]</f>
        <v>1</v>
      </c>
      <c r="P10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8" s="1">
        <f>+Tabla__192.168.1.8_POSEIDONSQL_APPFVT_01_tbl_detalle_fill_rate[[#This Row],[Cumpl Real Unds]]-Tabla__192.168.1.8_POSEIDONSQL_APPFVT_01_tbl_detalle_fill_rate[[#This Row],[Cant Embarcada]]</f>
        <v>0</v>
      </c>
      <c r="S1078" s="1">
        <f>+IF(Tabla__192.168.1.8_POSEIDONSQL_APPFVT_01_tbl_detalle_fill_rate[[#This Row],[Pend Emb]]&gt;0,1,0)</f>
        <v>0</v>
      </c>
      <c r="T10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79" spans="1:20" x14ac:dyDescent="0.25">
      <c r="A1079">
        <v>9</v>
      </c>
      <c r="B1079" t="s">
        <v>48</v>
      </c>
      <c r="C1079">
        <v>9194705</v>
      </c>
      <c r="D1079" s="48">
        <v>43346</v>
      </c>
      <c r="E1079" s="48">
        <v>43344</v>
      </c>
      <c r="F1079" s="48">
        <v>43350</v>
      </c>
      <c r="G1079" t="s">
        <v>92</v>
      </c>
      <c r="H1079" t="s">
        <v>93</v>
      </c>
      <c r="I1079">
        <v>1</v>
      </c>
      <c r="J1079" t="s">
        <v>1638</v>
      </c>
      <c r="K1079">
        <v>1</v>
      </c>
      <c r="L1079">
        <v>1</v>
      </c>
      <c r="M1079" t="s">
        <v>1969</v>
      </c>
      <c r="N1079">
        <v>0</v>
      </c>
      <c r="O1079" s="1">
        <f>+Tabla__192.168.1.8_POSEIDONSQL_APPFVT_01_tbl_detalle_fill_rate[[#This Row],[emb_cantidad]]-Tabla__192.168.1.8_POSEIDONSQL_APPFVT_01_tbl_detalle_fill_rate[[#This Row],[dev_cantidad]]</f>
        <v>1</v>
      </c>
      <c r="P10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79" s="1">
        <f>+Tabla__192.168.1.8_POSEIDONSQL_APPFVT_01_tbl_detalle_fill_rate[[#This Row],[Cumpl Real Unds]]-Tabla__192.168.1.8_POSEIDONSQL_APPFVT_01_tbl_detalle_fill_rate[[#This Row],[Cant Embarcada]]</f>
        <v>0</v>
      </c>
      <c r="S1079" s="1">
        <f>+IF(Tabla__192.168.1.8_POSEIDONSQL_APPFVT_01_tbl_detalle_fill_rate[[#This Row],[Pend Emb]]&gt;0,1,0)</f>
        <v>0</v>
      </c>
      <c r="T10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0" spans="1:20" x14ac:dyDescent="0.25">
      <c r="A1080">
        <v>9</v>
      </c>
      <c r="B1080" t="s">
        <v>48</v>
      </c>
      <c r="C1080">
        <v>9194705</v>
      </c>
      <c r="D1080" s="48">
        <v>43346</v>
      </c>
      <c r="E1080" s="48">
        <v>43344</v>
      </c>
      <c r="F1080" s="48">
        <v>43350</v>
      </c>
      <c r="G1080" t="s">
        <v>106</v>
      </c>
      <c r="H1080" t="s">
        <v>107</v>
      </c>
      <c r="I1080">
        <v>1</v>
      </c>
      <c r="J1080" t="s">
        <v>1636</v>
      </c>
      <c r="K1080">
        <v>1</v>
      </c>
      <c r="L1080">
        <v>1</v>
      </c>
      <c r="M1080" t="s">
        <v>1969</v>
      </c>
      <c r="N1080">
        <v>0</v>
      </c>
      <c r="O1080" s="1">
        <f>+Tabla__192.168.1.8_POSEIDONSQL_APPFVT_01_tbl_detalle_fill_rate[[#This Row],[emb_cantidad]]-Tabla__192.168.1.8_POSEIDONSQL_APPFVT_01_tbl_detalle_fill_rate[[#This Row],[dev_cantidad]]</f>
        <v>1</v>
      </c>
      <c r="P10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0" s="1">
        <f>+Tabla__192.168.1.8_POSEIDONSQL_APPFVT_01_tbl_detalle_fill_rate[[#This Row],[Cumpl Real Unds]]-Tabla__192.168.1.8_POSEIDONSQL_APPFVT_01_tbl_detalle_fill_rate[[#This Row],[Cant Embarcada]]</f>
        <v>0</v>
      </c>
      <c r="S1080" s="1">
        <f>+IF(Tabla__192.168.1.8_POSEIDONSQL_APPFVT_01_tbl_detalle_fill_rate[[#This Row],[Pend Emb]]&gt;0,1,0)</f>
        <v>0</v>
      </c>
      <c r="T10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1" spans="1:20" x14ac:dyDescent="0.25">
      <c r="A1081">
        <v>9</v>
      </c>
      <c r="B1081" t="s">
        <v>48</v>
      </c>
      <c r="C1081">
        <v>9194705</v>
      </c>
      <c r="D1081" s="48">
        <v>43346</v>
      </c>
      <c r="E1081" s="48">
        <v>43344</v>
      </c>
      <c r="F1081" s="48">
        <v>43350</v>
      </c>
      <c r="G1081" t="s">
        <v>146</v>
      </c>
      <c r="H1081" t="s">
        <v>147</v>
      </c>
      <c r="I1081">
        <v>1</v>
      </c>
      <c r="J1081" t="s">
        <v>1637</v>
      </c>
      <c r="K1081">
        <v>1</v>
      </c>
      <c r="L1081">
        <v>1</v>
      </c>
      <c r="M1081" t="s">
        <v>1969</v>
      </c>
      <c r="N1081">
        <v>0</v>
      </c>
      <c r="O1081" s="1">
        <f>+Tabla__192.168.1.8_POSEIDONSQL_APPFVT_01_tbl_detalle_fill_rate[[#This Row],[emb_cantidad]]-Tabla__192.168.1.8_POSEIDONSQL_APPFVT_01_tbl_detalle_fill_rate[[#This Row],[dev_cantidad]]</f>
        <v>1</v>
      </c>
      <c r="P10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1" s="1">
        <f>+Tabla__192.168.1.8_POSEIDONSQL_APPFVT_01_tbl_detalle_fill_rate[[#This Row],[Cumpl Real Unds]]-Tabla__192.168.1.8_POSEIDONSQL_APPFVT_01_tbl_detalle_fill_rate[[#This Row],[Cant Embarcada]]</f>
        <v>0</v>
      </c>
      <c r="S1081" s="1">
        <f>+IF(Tabla__192.168.1.8_POSEIDONSQL_APPFVT_01_tbl_detalle_fill_rate[[#This Row],[Pend Emb]]&gt;0,1,0)</f>
        <v>0</v>
      </c>
      <c r="T10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2" spans="1:20" x14ac:dyDescent="0.25">
      <c r="A1082">
        <v>9</v>
      </c>
      <c r="B1082" t="s">
        <v>48</v>
      </c>
      <c r="C1082">
        <v>9194705</v>
      </c>
      <c r="D1082" s="48">
        <v>43346</v>
      </c>
      <c r="E1082" s="48">
        <v>43344</v>
      </c>
      <c r="F1082" s="48">
        <v>43348</v>
      </c>
      <c r="G1082" t="s">
        <v>146</v>
      </c>
      <c r="H1082" t="s">
        <v>147</v>
      </c>
      <c r="I1082">
        <v>1</v>
      </c>
      <c r="J1082" t="s">
        <v>1627</v>
      </c>
      <c r="K1082">
        <v>1</v>
      </c>
      <c r="L1082">
        <v>1</v>
      </c>
      <c r="M1082" t="s">
        <v>160</v>
      </c>
      <c r="N1082">
        <v>0</v>
      </c>
      <c r="O1082" s="1">
        <f>+Tabla__192.168.1.8_POSEIDONSQL_APPFVT_01_tbl_detalle_fill_rate[[#This Row],[emb_cantidad]]-Tabla__192.168.1.8_POSEIDONSQL_APPFVT_01_tbl_detalle_fill_rate[[#This Row],[dev_cantidad]]</f>
        <v>1</v>
      </c>
      <c r="P10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2" s="1">
        <f>+Tabla__192.168.1.8_POSEIDONSQL_APPFVT_01_tbl_detalle_fill_rate[[#This Row],[Cumpl Real Unds]]-Tabla__192.168.1.8_POSEIDONSQL_APPFVT_01_tbl_detalle_fill_rate[[#This Row],[Cant Embarcada]]</f>
        <v>0</v>
      </c>
      <c r="S1082" s="1">
        <f>+IF(Tabla__192.168.1.8_POSEIDONSQL_APPFVT_01_tbl_detalle_fill_rate[[#This Row],[Pend Emb]]&gt;0,1,0)</f>
        <v>0</v>
      </c>
      <c r="T10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3" spans="1:20" x14ac:dyDescent="0.25">
      <c r="A1083">
        <v>9</v>
      </c>
      <c r="B1083" t="s">
        <v>48</v>
      </c>
      <c r="C1083">
        <v>9194760</v>
      </c>
      <c r="D1083" s="48">
        <v>43346</v>
      </c>
      <c r="E1083" s="48">
        <v>43344</v>
      </c>
      <c r="F1083" s="48">
        <v>43350</v>
      </c>
      <c r="G1083" t="s">
        <v>106</v>
      </c>
      <c r="H1083" t="s">
        <v>107</v>
      </c>
      <c r="I1083">
        <v>1</v>
      </c>
      <c r="J1083" t="s">
        <v>1796</v>
      </c>
      <c r="K1083">
        <v>1</v>
      </c>
      <c r="L1083">
        <v>1</v>
      </c>
      <c r="M1083" t="s">
        <v>1969</v>
      </c>
      <c r="N1083">
        <v>0</v>
      </c>
      <c r="O1083" s="1">
        <f>+Tabla__192.168.1.8_POSEIDONSQL_APPFVT_01_tbl_detalle_fill_rate[[#This Row],[emb_cantidad]]-Tabla__192.168.1.8_POSEIDONSQL_APPFVT_01_tbl_detalle_fill_rate[[#This Row],[dev_cantidad]]</f>
        <v>1</v>
      </c>
      <c r="P10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3" s="1">
        <f>+Tabla__192.168.1.8_POSEIDONSQL_APPFVT_01_tbl_detalle_fill_rate[[#This Row],[Cumpl Real Unds]]-Tabla__192.168.1.8_POSEIDONSQL_APPFVT_01_tbl_detalle_fill_rate[[#This Row],[Cant Embarcada]]</f>
        <v>0</v>
      </c>
      <c r="S1083" s="1">
        <f>+IF(Tabla__192.168.1.8_POSEIDONSQL_APPFVT_01_tbl_detalle_fill_rate[[#This Row],[Pend Emb]]&gt;0,1,0)</f>
        <v>0</v>
      </c>
      <c r="T10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4" spans="1:20" x14ac:dyDescent="0.25">
      <c r="A1084">
        <v>9</v>
      </c>
      <c r="B1084" t="s">
        <v>48</v>
      </c>
      <c r="C1084">
        <v>9194823</v>
      </c>
      <c r="D1084" s="48">
        <v>43346</v>
      </c>
      <c r="E1084" s="48">
        <v>43345</v>
      </c>
      <c r="F1084" s="48">
        <v>43350</v>
      </c>
      <c r="G1084" t="s">
        <v>74</v>
      </c>
      <c r="H1084" t="s">
        <v>75</v>
      </c>
      <c r="I1084">
        <v>1</v>
      </c>
      <c r="J1084" t="s">
        <v>1798</v>
      </c>
      <c r="K1084">
        <v>1</v>
      </c>
      <c r="L1084">
        <v>1</v>
      </c>
      <c r="M1084" t="s">
        <v>1969</v>
      </c>
      <c r="N1084">
        <v>0</v>
      </c>
      <c r="O1084" s="1">
        <f>+Tabla__192.168.1.8_POSEIDONSQL_APPFVT_01_tbl_detalle_fill_rate[[#This Row],[emb_cantidad]]-Tabla__192.168.1.8_POSEIDONSQL_APPFVT_01_tbl_detalle_fill_rate[[#This Row],[dev_cantidad]]</f>
        <v>1</v>
      </c>
      <c r="P10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4" s="1">
        <f>+Tabla__192.168.1.8_POSEIDONSQL_APPFVT_01_tbl_detalle_fill_rate[[#This Row],[Cumpl Real Unds]]-Tabla__192.168.1.8_POSEIDONSQL_APPFVT_01_tbl_detalle_fill_rate[[#This Row],[Cant Embarcada]]</f>
        <v>0</v>
      </c>
      <c r="S1084" s="1">
        <f>+IF(Tabla__192.168.1.8_POSEIDONSQL_APPFVT_01_tbl_detalle_fill_rate[[#This Row],[Pend Emb]]&gt;0,1,0)</f>
        <v>0</v>
      </c>
      <c r="T10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5" spans="1:20" x14ac:dyDescent="0.25">
      <c r="A1085">
        <v>9</v>
      </c>
      <c r="B1085" t="s">
        <v>48</v>
      </c>
      <c r="C1085">
        <v>9194823</v>
      </c>
      <c r="D1085" s="48">
        <v>43346</v>
      </c>
      <c r="E1085" s="48">
        <v>43344</v>
      </c>
      <c r="F1085" s="48">
        <v>43350</v>
      </c>
      <c r="G1085" t="s">
        <v>104</v>
      </c>
      <c r="H1085" t="s">
        <v>105</v>
      </c>
      <c r="I1085">
        <v>1</v>
      </c>
      <c r="J1085" t="s">
        <v>1797</v>
      </c>
      <c r="K1085">
        <v>1</v>
      </c>
      <c r="L1085">
        <v>1</v>
      </c>
      <c r="M1085" t="s">
        <v>1969</v>
      </c>
      <c r="N1085">
        <v>0</v>
      </c>
      <c r="O1085" s="1">
        <f>+Tabla__192.168.1.8_POSEIDONSQL_APPFVT_01_tbl_detalle_fill_rate[[#This Row],[emb_cantidad]]-Tabla__192.168.1.8_POSEIDONSQL_APPFVT_01_tbl_detalle_fill_rate[[#This Row],[dev_cantidad]]</f>
        <v>1</v>
      </c>
      <c r="P10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5" s="1">
        <f>+Tabla__192.168.1.8_POSEIDONSQL_APPFVT_01_tbl_detalle_fill_rate[[#This Row],[Cumpl Real Unds]]-Tabla__192.168.1.8_POSEIDONSQL_APPFVT_01_tbl_detalle_fill_rate[[#This Row],[Cant Embarcada]]</f>
        <v>0</v>
      </c>
      <c r="S1085" s="1">
        <f>+IF(Tabla__192.168.1.8_POSEIDONSQL_APPFVT_01_tbl_detalle_fill_rate[[#This Row],[Pend Emb]]&gt;0,1,0)</f>
        <v>0</v>
      </c>
      <c r="T10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6" spans="1:20" x14ac:dyDescent="0.25">
      <c r="A1086">
        <v>9</v>
      </c>
      <c r="B1086" t="s">
        <v>48</v>
      </c>
      <c r="C1086">
        <v>9194823</v>
      </c>
      <c r="D1086" s="48">
        <v>43346</v>
      </c>
      <c r="E1086" s="48">
        <v>43345</v>
      </c>
      <c r="F1086" s="48">
        <v>43353</v>
      </c>
      <c r="G1086" t="s">
        <v>1828</v>
      </c>
      <c r="H1086" t="s">
        <v>1829</v>
      </c>
      <c r="I1086">
        <v>1</v>
      </c>
      <c r="J1086" t="s">
        <v>1830</v>
      </c>
      <c r="K1086">
        <v>1</v>
      </c>
      <c r="L1086">
        <v>1</v>
      </c>
      <c r="M1086" t="s">
        <v>163</v>
      </c>
      <c r="N1086">
        <v>0</v>
      </c>
      <c r="O1086" s="1">
        <f>+Tabla__192.168.1.8_POSEIDONSQL_APPFVT_01_tbl_detalle_fill_rate[[#This Row],[emb_cantidad]]-Tabla__192.168.1.8_POSEIDONSQL_APPFVT_01_tbl_detalle_fill_rate[[#This Row],[dev_cantidad]]</f>
        <v>1</v>
      </c>
      <c r="P10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6" s="1">
        <f>+Tabla__192.168.1.8_POSEIDONSQL_APPFVT_01_tbl_detalle_fill_rate[[#This Row],[Cumpl Real Unds]]-Tabla__192.168.1.8_POSEIDONSQL_APPFVT_01_tbl_detalle_fill_rate[[#This Row],[Cant Embarcada]]</f>
        <v>0</v>
      </c>
      <c r="S1086" s="1">
        <f>+IF(Tabla__192.168.1.8_POSEIDONSQL_APPFVT_01_tbl_detalle_fill_rate[[#This Row],[Pend Emb]]&gt;0,1,0)</f>
        <v>0</v>
      </c>
      <c r="T10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7" spans="1:20" x14ac:dyDescent="0.25">
      <c r="A1087">
        <v>9</v>
      </c>
      <c r="B1087" t="s">
        <v>48</v>
      </c>
      <c r="C1087">
        <v>9195001</v>
      </c>
      <c r="D1087" s="48">
        <v>43346</v>
      </c>
      <c r="E1087" s="48">
        <v>43345</v>
      </c>
      <c r="F1087" s="48">
        <v>43353</v>
      </c>
      <c r="G1087" t="s">
        <v>92</v>
      </c>
      <c r="H1087" t="s">
        <v>93</v>
      </c>
      <c r="I1087">
        <v>1</v>
      </c>
      <c r="J1087" t="s">
        <v>1831</v>
      </c>
      <c r="K1087">
        <v>1</v>
      </c>
      <c r="L1087">
        <v>1</v>
      </c>
      <c r="M1087" t="s">
        <v>163</v>
      </c>
      <c r="N1087">
        <v>0</v>
      </c>
      <c r="O1087" s="1">
        <f>+Tabla__192.168.1.8_POSEIDONSQL_APPFVT_01_tbl_detalle_fill_rate[[#This Row],[emb_cantidad]]-Tabla__192.168.1.8_POSEIDONSQL_APPFVT_01_tbl_detalle_fill_rate[[#This Row],[dev_cantidad]]</f>
        <v>1</v>
      </c>
      <c r="P10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7" s="1">
        <f>+Tabla__192.168.1.8_POSEIDONSQL_APPFVT_01_tbl_detalle_fill_rate[[#This Row],[Cumpl Real Unds]]-Tabla__192.168.1.8_POSEIDONSQL_APPFVT_01_tbl_detalle_fill_rate[[#This Row],[Cant Embarcada]]</f>
        <v>0</v>
      </c>
      <c r="S1087" s="1">
        <f>+IF(Tabla__192.168.1.8_POSEIDONSQL_APPFVT_01_tbl_detalle_fill_rate[[#This Row],[Pend Emb]]&gt;0,1,0)</f>
        <v>0</v>
      </c>
      <c r="T10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8" spans="1:20" x14ac:dyDescent="0.25">
      <c r="A1088">
        <v>9</v>
      </c>
      <c r="B1088" t="s">
        <v>48</v>
      </c>
      <c r="C1088">
        <v>9195001</v>
      </c>
      <c r="D1088" s="48">
        <v>43346</v>
      </c>
      <c r="E1088" s="48">
        <v>43345</v>
      </c>
      <c r="F1088" s="48">
        <v>43353</v>
      </c>
      <c r="G1088" t="s">
        <v>92</v>
      </c>
      <c r="H1088" t="s">
        <v>93</v>
      </c>
      <c r="I1088">
        <v>1</v>
      </c>
      <c r="J1088" t="s">
        <v>1832</v>
      </c>
      <c r="K1088">
        <v>1</v>
      </c>
      <c r="L1088">
        <v>1</v>
      </c>
      <c r="M1088" t="s">
        <v>163</v>
      </c>
      <c r="N1088">
        <v>0</v>
      </c>
      <c r="O1088" s="1">
        <f>+Tabla__192.168.1.8_POSEIDONSQL_APPFVT_01_tbl_detalle_fill_rate[[#This Row],[emb_cantidad]]-Tabla__192.168.1.8_POSEIDONSQL_APPFVT_01_tbl_detalle_fill_rate[[#This Row],[dev_cantidad]]</f>
        <v>1</v>
      </c>
      <c r="P10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8" s="1">
        <f>+Tabla__192.168.1.8_POSEIDONSQL_APPFVT_01_tbl_detalle_fill_rate[[#This Row],[Cumpl Real Unds]]-Tabla__192.168.1.8_POSEIDONSQL_APPFVT_01_tbl_detalle_fill_rate[[#This Row],[Cant Embarcada]]</f>
        <v>0</v>
      </c>
      <c r="S1088" s="1">
        <f>+IF(Tabla__192.168.1.8_POSEIDONSQL_APPFVT_01_tbl_detalle_fill_rate[[#This Row],[Pend Emb]]&gt;0,1,0)</f>
        <v>0</v>
      </c>
      <c r="T10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89" spans="1:20" x14ac:dyDescent="0.25">
      <c r="A1089">
        <v>9</v>
      </c>
      <c r="B1089" t="s">
        <v>48</v>
      </c>
      <c r="C1089">
        <v>9195001</v>
      </c>
      <c r="D1089" s="48">
        <v>43346</v>
      </c>
      <c r="E1089" s="48">
        <v>43345</v>
      </c>
      <c r="F1089" s="48">
        <v>43353</v>
      </c>
      <c r="G1089" t="s">
        <v>106</v>
      </c>
      <c r="H1089" t="s">
        <v>107</v>
      </c>
      <c r="I1089">
        <v>1</v>
      </c>
      <c r="J1089" t="s">
        <v>1833</v>
      </c>
      <c r="K1089">
        <v>1</v>
      </c>
      <c r="L1089">
        <v>1</v>
      </c>
      <c r="M1089" t="s">
        <v>163</v>
      </c>
      <c r="N1089">
        <v>0</v>
      </c>
      <c r="O1089" s="1">
        <f>+Tabla__192.168.1.8_POSEIDONSQL_APPFVT_01_tbl_detalle_fill_rate[[#This Row],[emb_cantidad]]-Tabla__192.168.1.8_POSEIDONSQL_APPFVT_01_tbl_detalle_fill_rate[[#This Row],[dev_cantidad]]</f>
        <v>1</v>
      </c>
      <c r="P10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89" s="1">
        <f>+Tabla__192.168.1.8_POSEIDONSQL_APPFVT_01_tbl_detalle_fill_rate[[#This Row],[Cumpl Real Unds]]-Tabla__192.168.1.8_POSEIDONSQL_APPFVT_01_tbl_detalle_fill_rate[[#This Row],[Cant Embarcada]]</f>
        <v>0</v>
      </c>
      <c r="S1089" s="1">
        <f>+IF(Tabla__192.168.1.8_POSEIDONSQL_APPFVT_01_tbl_detalle_fill_rate[[#This Row],[Pend Emb]]&gt;0,1,0)</f>
        <v>0</v>
      </c>
      <c r="T10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0" spans="1:20" x14ac:dyDescent="0.25">
      <c r="A1090">
        <v>9</v>
      </c>
      <c r="B1090" t="s">
        <v>48</v>
      </c>
      <c r="C1090">
        <v>9195052</v>
      </c>
      <c r="D1090" s="48">
        <v>43346</v>
      </c>
      <c r="E1090" s="48">
        <v>43345</v>
      </c>
      <c r="F1090" s="48">
        <v>43353</v>
      </c>
      <c r="G1090" t="s">
        <v>68</v>
      </c>
      <c r="H1090" t="s">
        <v>69</v>
      </c>
      <c r="I1090">
        <v>1</v>
      </c>
      <c r="J1090" t="s">
        <v>1815</v>
      </c>
      <c r="K1090">
        <v>1</v>
      </c>
      <c r="L1090">
        <v>1</v>
      </c>
      <c r="M1090" t="s">
        <v>163</v>
      </c>
      <c r="N1090">
        <v>0</v>
      </c>
      <c r="O1090" s="1">
        <f>+Tabla__192.168.1.8_POSEIDONSQL_APPFVT_01_tbl_detalle_fill_rate[[#This Row],[emb_cantidad]]-Tabla__192.168.1.8_POSEIDONSQL_APPFVT_01_tbl_detalle_fill_rate[[#This Row],[dev_cantidad]]</f>
        <v>1</v>
      </c>
      <c r="P10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0" s="1">
        <f>+Tabla__192.168.1.8_POSEIDONSQL_APPFVT_01_tbl_detalle_fill_rate[[#This Row],[Cumpl Real Unds]]-Tabla__192.168.1.8_POSEIDONSQL_APPFVT_01_tbl_detalle_fill_rate[[#This Row],[Cant Embarcada]]</f>
        <v>0</v>
      </c>
      <c r="S1090" s="1">
        <f>+IF(Tabla__192.168.1.8_POSEIDONSQL_APPFVT_01_tbl_detalle_fill_rate[[#This Row],[Pend Emb]]&gt;0,1,0)</f>
        <v>0</v>
      </c>
      <c r="T10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1" spans="1:20" x14ac:dyDescent="0.25">
      <c r="A1091">
        <v>9</v>
      </c>
      <c r="B1091" t="s">
        <v>48</v>
      </c>
      <c r="C1091">
        <v>9195052</v>
      </c>
      <c r="D1091" s="48">
        <v>43346</v>
      </c>
      <c r="E1091" s="48">
        <v>43345</v>
      </c>
      <c r="F1091" s="48">
        <v>43353</v>
      </c>
      <c r="G1091" t="s">
        <v>78</v>
      </c>
      <c r="H1091" t="s">
        <v>79</v>
      </c>
      <c r="I1091">
        <v>1</v>
      </c>
      <c r="J1091" t="s">
        <v>1813</v>
      </c>
      <c r="K1091">
        <v>1</v>
      </c>
      <c r="L1091">
        <v>1</v>
      </c>
      <c r="M1091" t="s">
        <v>163</v>
      </c>
      <c r="N1091">
        <v>0</v>
      </c>
      <c r="O1091" s="1">
        <f>+Tabla__192.168.1.8_POSEIDONSQL_APPFVT_01_tbl_detalle_fill_rate[[#This Row],[emb_cantidad]]-Tabla__192.168.1.8_POSEIDONSQL_APPFVT_01_tbl_detalle_fill_rate[[#This Row],[dev_cantidad]]</f>
        <v>1</v>
      </c>
      <c r="P10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1" s="1">
        <f>+Tabla__192.168.1.8_POSEIDONSQL_APPFVT_01_tbl_detalle_fill_rate[[#This Row],[Cumpl Real Unds]]-Tabla__192.168.1.8_POSEIDONSQL_APPFVT_01_tbl_detalle_fill_rate[[#This Row],[Cant Embarcada]]</f>
        <v>0</v>
      </c>
      <c r="S1091" s="1">
        <f>+IF(Tabla__192.168.1.8_POSEIDONSQL_APPFVT_01_tbl_detalle_fill_rate[[#This Row],[Pend Emb]]&gt;0,1,0)</f>
        <v>0</v>
      </c>
      <c r="T10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2" spans="1:20" x14ac:dyDescent="0.25">
      <c r="A1092">
        <v>9</v>
      </c>
      <c r="B1092" t="s">
        <v>48</v>
      </c>
      <c r="C1092">
        <v>9195052</v>
      </c>
      <c r="D1092" s="48">
        <v>43346</v>
      </c>
      <c r="E1092" s="48">
        <v>43345</v>
      </c>
      <c r="F1092" s="48">
        <v>43353</v>
      </c>
      <c r="G1092" t="s">
        <v>92</v>
      </c>
      <c r="H1092" t="s">
        <v>93</v>
      </c>
      <c r="I1092">
        <v>1</v>
      </c>
      <c r="J1092" t="s">
        <v>1812</v>
      </c>
      <c r="K1092">
        <v>1</v>
      </c>
      <c r="L1092">
        <v>1</v>
      </c>
      <c r="M1092" t="s">
        <v>163</v>
      </c>
      <c r="N1092">
        <v>0</v>
      </c>
      <c r="O1092" s="1">
        <f>+Tabla__192.168.1.8_POSEIDONSQL_APPFVT_01_tbl_detalle_fill_rate[[#This Row],[emb_cantidad]]-Tabla__192.168.1.8_POSEIDONSQL_APPFVT_01_tbl_detalle_fill_rate[[#This Row],[dev_cantidad]]</f>
        <v>1</v>
      </c>
      <c r="P10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2" s="1">
        <f>+Tabla__192.168.1.8_POSEIDONSQL_APPFVT_01_tbl_detalle_fill_rate[[#This Row],[Cumpl Real Unds]]-Tabla__192.168.1.8_POSEIDONSQL_APPFVT_01_tbl_detalle_fill_rate[[#This Row],[Cant Embarcada]]</f>
        <v>0</v>
      </c>
      <c r="S1092" s="1">
        <f>+IF(Tabla__192.168.1.8_POSEIDONSQL_APPFVT_01_tbl_detalle_fill_rate[[#This Row],[Pend Emb]]&gt;0,1,0)</f>
        <v>0</v>
      </c>
      <c r="T10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3" spans="1:20" x14ac:dyDescent="0.25">
      <c r="A1093">
        <v>9</v>
      </c>
      <c r="B1093" t="s">
        <v>48</v>
      </c>
      <c r="C1093">
        <v>9195052</v>
      </c>
      <c r="D1093" s="48">
        <v>43346</v>
      </c>
      <c r="E1093" s="48">
        <v>43345</v>
      </c>
      <c r="F1093" s="48">
        <v>43353</v>
      </c>
      <c r="G1093" t="s">
        <v>104</v>
      </c>
      <c r="H1093" t="s">
        <v>105</v>
      </c>
      <c r="I1093">
        <v>1</v>
      </c>
      <c r="J1093" t="s">
        <v>1816</v>
      </c>
      <c r="K1093">
        <v>1</v>
      </c>
      <c r="L1093">
        <v>1</v>
      </c>
      <c r="M1093" t="s">
        <v>163</v>
      </c>
      <c r="N1093">
        <v>0</v>
      </c>
      <c r="O1093" s="1">
        <f>+Tabla__192.168.1.8_POSEIDONSQL_APPFVT_01_tbl_detalle_fill_rate[[#This Row],[emb_cantidad]]-Tabla__192.168.1.8_POSEIDONSQL_APPFVT_01_tbl_detalle_fill_rate[[#This Row],[dev_cantidad]]</f>
        <v>1</v>
      </c>
      <c r="P10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3" s="1">
        <f>+Tabla__192.168.1.8_POSEIDONSQL_APPFVT_01_tbl_detalle_fill_rate[[#This Row],[Cumpl Real Unds]]-Tabla__192.168.1.8_POSEIDONSQL_APPFVT_01_tbl_detalle_fill_rate[[#This Row],[Cant Embarcada]]</f>
        <v>0</v>
      </c>
      <c r="S1093" s="1">
        <f>+IF(Tabla__192.168.1.8_POSEIDONSQL_APPFVT_01_tbl_detalle_fill_rate[[#This Row],[Pend Emb]]&gt;0,1,0)</f>
        <v>0</v>
      </c>
      <c r="T10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4" spans="1:20" x14ac:dyDescent="0.25">
      <c r="A1094">
        <v>9</v>
      </c>
      <c r="B1094" t="s">
        <v>48</v>
      </c>
      <c r="C1094">
        <v>9195052</v>
      </c>
      <c r="D1094" s="48">
        <v>43346</v>
      </c>
      <c r="E1094" s="48">
        <v>43345</v>
      </c>
      <c r="F1094" s="48">
        <v>43353</v>
      </c>
      <c r="G1094" t="s">
        <v>114</v>
      </c>
      <c r="H1094" t="s">
        <v>115</v>
      </c>
      <c r="I1094">
        <v>1</v>
      </c>
      <c r="J1094" t="s">
        <v>1814</v>
      </c>
      <c r="K1094">
        <v>1</v>
      </c>
      <c r="L1094">
        <v>1</v>
      </c>
      <c r="M1094" t="s">
        <v>163</v>
      </c>
      <c r="N1094">
        <v>0</v>
      </c>
      <c r="O1094" s="1">
        <f>+Tabla__192.168.1.8_POSEIDONSQL_APPFVT_01_tbl_detalle_fill_rate[[#This Row],[emb_cantidad]]-Tabla__192.168.1.8_POSEIDONSQL_APPFVT_01_tbl_detalle_fill_rate[[#This Row],[dev_cantidad]]</f>
        <v>1</v>
      </c>
      <c r="P10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4" s="1">
        <f>+Tabla__192.168.1.8_POSEIDONSQL_APPFVT_01_tbl_detalle_fill_rate[[#This Row],[Cumpl Real Unds]]-Tabla__192.168.1.8_POSEIDONSQL_APPFVT_01_tbl_detalle_fill_rate[[#This Row],[Cant Embarcada]]</f>
        <v>0</v>
      </c>
      <c r="S1094" s="1">
        <f>+IF(Tabla__192.168.1.8_POSEIDONSQL_APPFVT_01_tbl_detalle_fill_rate[[#This Row],[Pend Emb]]&gt;0,1,0)</f>
        <v>0</v>
      </c>
      <c r="T10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5" spans="1:20" x14ac:dyDescent="0.25">
      <c r="A1095">
        <v>9</v>
      </c>
      <c r="B1095" t="s">
        <v>48</v>
      </c>
      <c r="C1095">
        <v>9195052</v>
      </c>
      <c r="D1095" s="48">
        <v>43346</v>
      </c>
      <c r="E1095" s="48">
        <v>43345</v>
      </c>
      <c r="F1095" s="48">
        <v>43357</v>
      </c>
      <c r="G1095" t="s">
        <v>461</v>
      </c>
      <c r="H1095" t="s">
        <v>462</v>
      </c>
      <c r="I1095">
        <v>1</v>
      </c>
      <c r="J1095" t="s">
        <v>1173</v>
      </c>
      <c r="K1095">
        <v>1</v>
      </c>
      <c r="L1095">
        <v>1</v>
      </c>
      <c r="M1095" t="s">
        <v>426</v>
      </c>
      <c r="N1095">
        <v>0</v>
      </c>
      <c r="O1095" s="1">
        <f>+Tabla__192.168.1.8_POSEIDONSQL_APPFVT_01_tbl_detalle_fill_rate[[#This Row],[emb_cantidad]]-Tabla__192.168.1.8_POSEIDONSQL_APPFVT_01_tbl_detalle_fill_rate[[#This Row],[dev_cantidad]]</f>
        <v>1</v>
      </c>
      <c r="P10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5" s="1">
        <f>+Tabla__192.168.1.8_POSEIDONSQL_APPFVT_01_tbl_detalle_fill_rate[[#This Row],[Cumpl Real Unds]]-Tabla__192.168.1.8_POSEIDONSQL_APPFVT_01_tbl_detalle_fill_rate[[#This Row],[Cant Embarcada]]</f>
        <v>0</v>
      </c>
      <c r="S1095" s="1">
        <f>+IF(Tabla__192.168.1.8_POSEIDONSQL_APPFVT_01_tbl_detalle_fill_rate[[#This Row],[Pend Emb]]&gt;0,1,0)</f>
        <v>0</v>
      </c>
      <c r="T10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6" spans="1:20" x14ac:dyDescent="0.25">
      <c r="A1096">
        <v>9</v>
      </c>
      <c r="B1096" t="s">
        <v>48</v>
      </c>
      <c r="C1096">
        <v>9195052</v>
      </c>
      <c r="D1096" s="48">
        <v>43346</v>
      </c>
      <c r="E1096" s="48">
        <v>43345</v>
      </c>
      <c r="F1096" s="48">
        <v>43357</v>
      </c>
      <c r="G1096" t="s">
        <v>122</v>
      </c>
      <c r="H1096" t="s">
        <v>123</v>
      </c>
      <c r="I1096">
        <v>1</v>
      </c>
      <c r="J1096" t="s">
        <v>1172</v>
      </c>
      <c r="K1096">
        <v>1</v>
      </c>
      <c r="L1096">
        <v>1</v>
      </c>
      <c r="M1096" t="s">
        <v>426</v>
      </c>
      <c r="N1096">
        <v>0</v>
      </c>
      <c r="O1096" s="1">
        <f>+Tabla__192.168.1.8_POSEIDONSQL_APPFVT_01_tbl_detalle_fill_rate[[#This Row],[emb_cantidad]]-Tabla__192.168.1.8_POSEIDONSQL_APPFVT_01_tbl_detalle_fill_rate[[#This Row],[dev_cantidad]]</f>
        <v>1</v>
      </c>
      <c r="P10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6" s="1">
        <f>+Tabla__192.168.1.8_POSEIDONSQL_APPFVT_01_tbl_detalle_fill_rate[[#This Row],[Cumpl Real Unds]]-Tabla__192.168.1.8_POSEIDONSQL_APPFVT_01_tbl_detalle_fill_rate[[#This Row],[Cant Embarcada]]</f>
        <v>0</v>
      </c>
      <c r="S1096" s="1">
        <f>+IF(Tabla__192.168.1.8_POSEIDONSQL_APPFVT_01_tbl_detalle_fill_rate[[#This Row],[Pend Emb]]&gt;0,1,0)</f>
        <v>0</v>
      </c>
      <c r="T10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7" spans="1:20" x14ac:dyDescent="0.25">
      <c r="A1097">
        <v>9</v>
      </c>
      <c r="B1097" t="s">
        <v>48</v>
      </c>
      <c r="C1097">
        <v>9195110</v>
      </c>
      <c r="D1097" s="48">
        <v>43346</v>
      </c>
      <c r="E1097" s="48">
        <v>43345</v>
      </c>
      <c r="F1097" s="48">
        <v>43355</v>
      </c>
      <c r="G1097" t="s">
        <v>62</v>
      </c>
      <c r="H1097" t="s">
        <v>63</v>
      </c>
      <c r="I1097">
        <v>1</v>
      </c>
      <c r="J1097" t="s">
        <v>1164</v>
      </c>
      <c r="K1097">
        <v>1</v>
      </c>
      <c r="L1097">
        <v>1</v>
      </c>
      <c r="M1097" t="s">
        <v>427</v>
      </c>
      <c r="N1097">
        <v>0</v>
      </c>
      <c r="O1097" s="1">
        <f>+Tabla__192.168.1.8_POSEIDONSQL_APPFVT_01_tbl_detalle_fill_rate[[#This Row],[emb_cantidad]]-Tabla__192.168.1.8_POSEIDONSQL_APPFVT_01_tbl_detalle_fill_rate[[#This Row],[dev_cantidad]]</f>
        <v>1</v>
      </c>
      <c r="P10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7" s="1">
        <f>+Tabla__192.168.1.8_POSEIDONSQL_APPFVT_01_tbl_detalle_fill_rate[[#This Row],[Cumpl Real Unds]]-Tabla__192.168.1.8_POSEIDONSQL_APPFVT_01_tbl_detalle_fill_rate[[#This Row],[Cant Embarcada]]</f>
        <v>0</v>
      </c>
      <c r="S1097" s="1">
        <f>+IF(Tabla__192.168.1.8_POSEIDONSQL_APPFVT_01_tbl_detalle_fill_rate[[#This Row],[Pend Emb]]&gt;0,1,0)</f>
        <v>0</v>
      </c>
      <c r="T10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8" spans="1:20" x14ac:dyDescent="0.25">
      <c r="A1098">
        <v>9</v>
      </c>
      <c r="B1098" t="s">
        <v>48</v>
      </c>
      <c r="C1098">
        <v>9195110</v>
      </c>
      <c r="D1098" s="48">
        <v>43346</v>
      </c>
      <c r="E1098" s="48">
        <v>43345</v>
      </c>
      <c r="F1098" s="48">
        <v>43353</v>
      </c>
      <c r="G1098" t="s">
        <v>521</v>
      </c>
      <c r="H1098" t="s">
        <v>522</v>
      </c>
      <c r="I1098">
        <v>1</v>
      </c>
      <c r="J1098" t="s">
        <v>853</v>
      </c>
      <c r="K1098">
        <v>1</v>
      </c>
      <c r="L1098">
        <v>1</v>
      </c>
      <c r="M1098" t="s">
        <v>163</v>
      </c>
      <c r="N1098">
        <v>0</v>
      </c>
      <c r="O1098" s="1">
        <f>+Tabla__192.168.1.8_POSEIDONSQL_APPFVT_01_tbl_detalle_fill_rate[[#This Row],[emb_cantidad]]-Tabla__192.168.1.8_POSEIDONSQL_APPFVT_01_tbl_detalle_fill_rate[[#This Row],[dev_cantidad]]</f>
        <v>1</v>
      </c>
      <c r="P10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8" s="1">
        <f>+Tabla__192.168.1.8_POSEIDONSQL_APPFVT_01_tbl_detalle_fill_rate[[#This Row],[Cumpl Real Unds]]-Tabla__192.168.1.8_POSEIDONSQL_APPFVT_01_tbl_detalle_fill_rate[[#This Row],[Cant Embarcada]]</f>
        <v>0</v>
      </c>
      <c r="S1098" s="1">
        <f>+IF(Tabla__192.168.1.8_POSEIDONSQL_APPFVT_01_tbl_detalle_fill_rate[[#This Row],[Pend Emb]]&gt;0,1,0)</f>
        <v>0</v>
      </c>
      <c r="T10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099" spans="1:20" x14ac:dyDescent="0.25">
      <c r="A1099">
        <v>9</v>
      </c>
      <c r="B1099" t="s">
        <v>48</v>
      </c>
      <c r="C1099">
        <v>9195156</v>
      </c>
      <c r="D1099" s="48">
        <v>43346</v>
      </c>
      <c r="E1099" s="48">
        <v>43345</v>
      </c>
      <c r="F1099" s="48">
        <v>43357</v>
      </c>
      <c r="G1099" t="s">
        <v>104</v>
      </c>
      <c r="H1099" t="s">
        <v>105</v>
      </c>
      <c r="I1099">
        <v>1</v>
      </c>
      <c r="J1099" t="s">
        <v>1174</v>
      </c>
      <c r="K1099">
        <v>1</v>
      </c>
      <c r="L1099">
        <v>1</v>
      </c>
      <c r="M1099" t="s">
        <v>426</v>
      </c>
      <c r="N1099">
        <v>0</v>
      </c>
      <c r="O1099" s="1">
        <f>+Tabla__192.168.1.8_POSEIDONSQL_APPFVT_01_tbl_detalle_fill_rate[[#This Row],[emb_cantidad]]-Tabla__192.168.1.8_POSEIDONSQL_APPFVT_01_tbl_detalle_fill_rate[[#This Row],[dev_cantidad]]</f>
        <v>1</v>
      </c>
      <c r="P10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0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099" s="1">
        <f>+Tabla__192.168.1.8_POSEIDONSQL_APPFVT_01_tbl_detalle_fill_rate[[#This Row],[Cumpl Real Unds]]-Tabla__192.168.1.8_POSEIDONSQL_APPFVT_01_tbl_detalle_fill_rate[[#This Row],[Cant Embarcada]]</f>
        <v>0</v>
      </c>
      <c r="S1099" s="1">
        <f>+IF(Tabla__192.168.1.8_POSEIDONSQL_APPFVT_01_tbl_detalle_fill_rate[[#This Row],[Pend Emb]]&gt;0,1,0)</f>
        <v>0</v>
      </c>
      <c r="T10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0" spans="1:20" x14ac:dyDescent="0.25">
      <c r="A1100">
        <v>9</v>
      </c>
      <c r="B1100" t="s">
        <v>48</v>
      </c>
      <c r="C1100">
        <v>9195213</v>
      </c>
      <c r="D1100" s="48">
        <v>43346</v>
      </c>
      <c r="E1100" s="48">
        <v>43345</v>
      </c>
      <c r="F1100" s="48">
        <v>43353</v>
      </c>
      <c r="G1100" t="s">
        <v>92</v>
      </c>
      <c r="H1100" t="s">
        <v>93</v>
      </c>
      <c r="I1100">
        <v>1</v>
      </c>
      <c r="J1100" t="s">
        <v>1817</v>
      </c>
      <c r="K1100">
        <v>1</v>
      </c>
      <c r="L1100">
        <v>1</v>
      </c>
      <c r="M1100" t="s">
        <v>163</v>
      </c>
      <c r="N1100">
        <v>0</v>
      </c>
      <c r="O1100" s="1">
        <f>+Tabla__192.168.1.8_POSEIDONSQL_APPFVT_01_tbl_detalle_fill_rate[[#This Row],[emb_cantidad]]-Tabla__192.168.1.8_POSEIDONSQL_APPFVT_01_tbl_detalle_fill_rate[[#This Row],[dev_cantidad]]</f>
        <v>1</v>
      </c>
      <c r="P11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0" s="1">
        <f>+Tabla__192.168.1.8_POSEIDONSQL_APPFVT_01_tbl_detalle_fill_rate[[#This Row],[Cumpl Real Unds]]-Tabla__192.168.1.8_POSEIDONSQL_APPFVT_01_tbl_detalle_fill_rate[[#This Row],[Cant Embarcada]]</f>
        <v>0</v>
      </c>
      <c r="S1100" s="1">
        <f>+IF(Tabla__192.168.1.8_POSEIDONSQL_APPFVT_01_tbl_detalle_fill_rate[[#This Row],[Pend Emb]]&gt;0,1,0)</f>
        <v>0</v>
      </c>
      <c r="T11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1" spans="1:20" x14ac:dyDescent="0.25">
      <c r="A1101">
        <v>4</v>
      </c>
      <c r="B1101" t="s">
        <v>56</v>
      </c>
      <c r="C1101">
        <v>9618403</v>
      </c>
      <c r="D1101" s="48">
        <v>43335</v>
      </c>
      <c r="E1101" s="48">
        <v>43334</v>
      </c>
      <c r="F1101" s="48">
        <v>43341</v>
      </c>
      <c r="G1101" t="s">
        <v>74</v>
      </c>
      <c r="H1101" t="s">
        <v>75</v>
      </c>
      <c r="I1101">
        <v>2</v>
      </c>
      <c r="J1101" t="s">
        <v>1539</v>
      </c>
      <c r="K1101">
        <v>2</v>
      </c>
      <c r="L1101">
        <v>2</v>
      </c>
      <c r="M1101" t="s">
        <v>1980</v>
      </c>
      <c r="N1101">
        <v>2</v>
      </c>
      <c r="O1101" s="1">
        <f>+Tabla__192.168.1.8_POSEIDONSQL_APPFVT_01_tbl_detalle_fill_rate[[#This Row],[emb_cantidad]]-Tabla__192.168.1.8_POSEIDONSQL_APPFVT_01_tbl_detalle_fill_rate[[#This Row],[dev_cantidad]]</f>
        <v>0</v>
      </c>
      <c r="P11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101" s="1">
        <f>+Tabla__192.168.1.8_POSEIDONSQL_APPFVT_01_tbl_detalle_fill_rate[[#This Row],[Cumpl Real Unds]]-Tabla__192.168.1.8_POSEIDONSQL_APPFVT_01_tbl_detalle_fill_rate[[#This Row],[Cant Embarcada]]</f>
        <v>0</v>
      </c>
      <c r="S1101" s="1">
        <f>+IF(Tabla__192.168.1.8_POSEIDONSQL_APPFVT_01_tbl_detalle_fill_rate[[#This Row],[Pend Emb]]&gt;0,1,0)</f>
        <v>0</v>
      </c>
      <c r="T11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2" spans="1:20" x14ac:dyDescent="0.25">
      <c r="A1102">
        <v>4</v>
      </c>
      <c r="B1102" t="s">
        <v>56</v>
      </c>
      <c r="C1102">
        <v>9618515</v>
      </c>
      <c r="D1102" s="48">
        <v>43335</v>
      </c>
      <c r="E1102" s="48">
        <v>43334</v>
      </c>
      <c r="F1102" s="48">
        <v>43341</v>
      </c>
      <c r="G1102" t="s">
        <v>403</v>
      </c>
      <c r="H1102" t="s">
        <v>404</v>
      </c>
      <c r="I1102">
        <v>1</v>
      </c>
      <c r="J1102" t="s">
        <v>1540</v>
      </c>
      <c r="K1102">
        <v>1</v>
      </c>
      <c r="L1102">
        <v>1</v>
      </c>
      <c r="M1102" t="s">
        <v>1980</v>
      </c>
      <c r="N1102">
        <v>0</v>
      </c>
      <c r="O1102" s="1">
        <f>+Tabla__192.168.1.8_POSEIDONSQL_APPFVT_01_tbl_detalle_fill_rate[[#This Row],[emb_cantidad]]-Tabla__192.168.1.8_POSEIDONSQL_APPFVT_01_tbl_detalle_fill_rate[[#This Row],[dev_cantidad]]</f>
        <v>1</v>
      </c>
      <c r="P11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2" s="1">
        <f>+Tabla__192.168.1.8_POSEIDONSQL_APPFVT_01_tbl_detalle_fill_rate[[#This Row],[Cumpl Real Unds]]-Tabla__192.168.1.8_POSEIDONSQL_APPFVT_01_tbl_detalle_fill_rate[[#This Row],[Cant Embarcada]]</f>
        <v>0</v>
      </c>
      <c r="S1102" s="1">
        <f>+IF(Tabla__192.168.1.8_POSEIDONSQL_APPFVT_01_tbl_detalle_fill_rate[[#This Row],[Pend Emb]]&gt;0,1,0)</f>
        <v>0</v>
      </c>
      <c r="T11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3" spans="1:20" x14ac:dyDescent="0.25">
      <c r="A1103">
        <v>4</v>
      </c>
      <c r="B1103" t="s">
        <v>56</v>
      </c>
      <c r="C1103">
        <v>9618714</v>
      </c>
      <c r="D1103" s="48">
        <v>43335</v>
      </c>
      <c r="E1103" s="48">
        <v>43334</v>
      </c>
      <c r="F1103" s="48">
        <v>43343</v>
      </c>
      <c r="G1103" t="s">
        <v>90</v>
      </c>
      <c r="H1103" t="s">
        <v>91</v>
      </c>
      <c r="I1103">
        <v>1</v>
      </c>
      <c r="J1103" t="s">
        <v>1544</v>
      </c>
      <c r="K1103">
        <v>1</v>
      </c>
      <c r="L1103">
        <v>1</v>
      </c>
      <c r="M1103" t="s">
        <v>1962</v>
      </c>
      <c r="N1103">
        <v>0</v>
      </c>
      <c r="O1103" s="1">
        <f>+Tabla__192.168.1.8_POSEIDONSQL_APPFVT_01_tbl_detalle_fill_rate[[#This Row],[emb_cantidad]]-Tabla__192.168.1.8_POSEIDONSQL_APPFVT_01_tbl_detalle_fill_rate[[#This Row],[dev_cantidad]]</f>
        <v>1</v>
      </c>
      <c r="P11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3" s="1">
        <f>+Tabla__192.168.1.8_POSEIDONSQL_APPFVT_01_tbl_detalle_fill_rate[[#This Row],[Cumpl Real Unds]]-Tabla__192.168.1.8_POSEIDONSQL_APPFVT_01_tbl_detalle_fill_rate[[#This Row],[Cant Embarcada]]</f>
        <v>0</v>
      </c>
      <c r="S1103" s="1">
        <f>+IF(Tabla__192.168.1.8_POSEIDONSQL_APPFVT_01_tbl_detalle_fill_rate[[#This Row],[Pend Emb]]&gt;0,1,0)</f>
        <v>0</v>
      </c>
      <c r="T11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4" spans="1:20" x14ac:dyDescent="0.25">
      <c r="A1104">
        <v>4</v>
      </c>
      <c r="B1104" t="s">
        <v>56</v>
      </c>
      <c r="C1104">
        <v>9618754</v>
      </c>
      <c r="D1104" s="48">
        <v>43335</v>
      </c>
      <c r="E1104" s="48">
        <v>43334</v>
      </c>
      <c r="F1104" s="48">
        <v>43341</v>
      </c>
      <c r="G1104" t="s">
        <v>120</v>
      </c>
      <c r="H1104" t="s">
        <v>121</v>
      </c>
      <c r="I1104">
        <v>1</v>
      </c>
      <c r="J1104" t="s">
        <v>1378</v>
      </c>
      <c r="K1104">
        <v>1</v>
      </c>
      <c r="L1104">
        <v>1</v>
      </c>
      <c r="M1104" t="s">
        <v>1980</v>
      </c>
      <c r="N1104">
        <v>0</v>
      </c>
      <c r="O1104" s="1">
        <f>+Tabla__192.168.1.8_POSEIDONSQL_APPFVT_01_tbl_detalle_fill_rate[[#This Row],[emb_cantidad]]-Tabla__192.168.1.8_POSEIDONSQL_APPFVT_01_tbl_detalle_fill_rate[[#This Row],[dev_cantidad]]</f>
        <v>1</v>
      </c>
      <c r="P11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4" s="1">
        <f>+Tabla__192.168.1.8_POSEIDONSQL_APPFVT_01_tbl_detalle_fill_rate[[#This Row],[Cumpl Real Unds]]-Tabla__192.168.1.8_POSEIDONSQL_APPFVT_01_tbl_detalle_fill_rate[[#This Row],[Cant Embarcada]]</f>
        <v>0</v>
      </c>
      <c r="S1104" s="1">
        <f>+IF(Tabla__192.168.1.8_POSEIDONSQL_APPFVT_01_tbl_detalle_fill_rate[[#This Row],[Pend Emb]]&gt;0,1,0)</f>
        <v>0</v>
      </c>
      <c r="T11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5" spans="1:20" x14ac:dyDescent="0.25">
      <c r="A1105">
        <v>4</v>
      </c>
      <c r="B1105" t="s">
        <v>56</v>
      </c>
      <c r="C1105">
        <v>9618831</v>
      </c>
      <c r="D1105" s="48">
        <v>43335</v>
      </c>
      <c r="E1105" s="48">
        <v>43334</v>
      </c>
      <c r="F1105" s="48">
        <v>43341</v>
      </c>
      <c r="G1105" t="s">
        <v>1160</v>
      </c>
      <c r="H1105" t="s">
        <v>1161</v>
      </c>
      <c r="I1105">
        <v>1</v>
      </c>
      <c r="J1105" t="s">
        <v>1379</v>
      </c>
      <c r="K1105">
        <v>1</v>
      </c>
      <c r="L1105">
        <v>1</v>
      </c>
      <c r="M1105" t="s">
        <v>1980</v>
      </c>
      <c r="N1105">
        <v>0</v>
      </c>
      <c r="O1105" s="1">
        <f>+Tabla__192.168.1.8_POSEIDONSQL_APPFVT_01_tbl_detalle_fill_rate[[#This Row],[emb_cantidad]]-Tabla__192.168.1.8_POSEIDONSQL_APPFVT_01_tbl_detalle_fill_rate[[#This Row],[dev_cantidad]]</f>
        <v>1</v>
      </c>
      <c r="P11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5" s="1">
        <f>+Tabla__192.168.1.8_POSEIDONSQL_APPFVT_01_tbl_detalle_fill_rate[[#This Row],[Cumpl Real Unds]]-Tabla__192.168.1.8_POSEIDONSQL_APPFVT_01_tbl_detalle_fill_rate[[#This Row],[Cant Embarcada]]</f>
        <v>0</v>
      </c>
      <c r="S1105" s="1">
        <f>+IF(Tabla__192.168.1.8_POSEIDONSQL_APPFVT_01_tbl_detalle_fill_rate[[#This Row],[Pend Emb]]&gt;0,1,0)</f>
        <v>0</v>
      </c>
      <c r="T11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6" spans="1:20" x14ac:dyDescent="0.25">
      <c r="A1106">
        <v>4</v>
      </c>
      <c r="B1106" t="s">
        <v>56</v>
      </c>
      <c r="C1106">
        <v>9619341</v>
      </c>
      <c r="D1106" s="48">
        <v>43335</v>
      </c>
      <c r="E1106" s="48">
        <v>43334</v>
      </c>
      <c r="F1106" s="48">
        <v>43343</v>
      </c>
      <c r="G1106" t="s">
        <v>62</v>
      </c>
      <c r="H1106" t="s">
        <v>63</v>
      </c>
      <c r="I1106">
        <v>1</v>
      </c>
      <c r="J1106" t="s">
        <v>1541</v>
      </c>
      <c r="K1106">
        <v>1</v>
      </c>
      <c r="L1106">
        <v>1</v>
      </c>
      <c r="M1106" t="s">
        <v>1962</v>
      </c>
      <c r="N1106">
        <v>0</v>
      </c>
      <c r="O1106" s="1">
        <f>+Tabla__192.168.1.8_POSEIDONSQL_APPFVT_01_tbl_detalle_fill_rate[[#This Row],[emb_cantidad]]-Tabla__192.168.1.8_POSEIDONSQL_APPFVT_01_tbl_detalle_fill_rate[[#This Row],[dev_cantidad]]</f>
        <v>1</v>
      </c>
      <c r="P11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6" s="1">
        <f>+Tabla__192.168.1.8_POSEIDONSQL_APPFVT_01_tbl_detalle_fill_rate[[#This Row],[Cumpl Real Unds]]-Tabla__192.168.1.8_POSEIDONSQL_APPFVT_01_tbl_detalle_fill_rate[[#This Row],[Cant Embarcada]]</f>
        <v>0</v>
      </c>
      <c r="S1106" s="1">
        <f>+IF(Tabla__192.168.1.8_POSEIDONSQL_APPFVT_01_tbl_detalle_fill_rate[[#This Row],[Pend Emb]]&gt;0,1,0)</f>
        <v>0</v>
      </c>
      <c r="T11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7" spans="1:20" x14ac:dyDescent="0.25">
      <c r="A1107">
        <v>4</v>
      </c>
      <c r="B1107" t="s">
        <v>56</v>
      </c>
      <c r="C1107">
        <v>9619770</v>
      </c>
      <c r="D1107" s="48">
        <v>43335</v>
      </c>
      <c r="E1107" s="48">
        <v>43334</v>
      </c>
      <c r="F1107" s="48">
        <v>43341</v>
      </c>
      <c r="G1107" t="s">
        <v>461</v>
      </c>
      <c r="H1107" t="s">
        <v>462</v>
      </c>
      <c r="I1107">
        <v>1</v>
      </c>
      <c r="J1107" t="s">
        <v>1536</v>
      </c>
      <c r="K1107">
        <v>1</v>
      </c>
      <c r="L1107">
        <v>1</v>
      </c>
      <c r="M1107" t="s">
        <v>1980</v>
      </c>
      <c r="N1107">
        <v>0</v>
      </c>
      <c r="O1107" s="1">
        <f>+Tabla__192.168.1.8_POSEIDONSQL_APPFVT_01_tbl_detalle_fill_rate[[#This Row],[emb_cantidad]]-Tabla__192.168.1.8_POSEIDONSQL_APPFVT_01_tbl_detalle_fill_rate[[#This Row],[dev_cantidad]]</f>
        <v>1</v>
      </c>
      <c r="P11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7" s="1">
        <f>+Tabla__192.168.1.8_POSEIDONSQL_APPFVT_01_tbl_detalle_fill_rate[[#This Row],[Cumpl Real Unds]]-Tabla__192.168.1.8_POSEIDONSQL_APPFVT_01_tbl_detalle_fill_rate[[#This Row],[Cant Embarcada]]</f>
        <v>0</v>
      </c>
      <c r="S1107" s="1">
        <f>+IF(Tabla__192.168.1.8_POSEIDONSQL_APPFVT_01_tbl_detalle_fill_rate[[#This Row],[Pend Emb]]&gt;0,1,0)</f>
        <v>0</v>
      </c>
      <c r="T11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8" spans="1:20" x14ac:dyDescent="0.25">
      <c r="A1108">
        <v>4</v>
      </c>
      <c r="B1108" t="s">
        <v>56</v>
      </c>
      <c r="C1108">
        <v>9619921</v>
      </c>
      <c r="D1108" s="48">
        <v>43335</v>
      </c>
      <c r="E1108" s="48">
        <v>43334</v>
      </c>
      <c r="F1108" s="48">
        <v>43341</v>
      </c>
      <c r="G1108" t="s">
        <v>201</v>
      </c>
      <c r="H1108" t="s">
        <v>202</v>
      </c>
      <c r="I1108">
        <v>1</v>
      </c>
      <c r="J1108" t="s">
        <v>1537</v>
      </c>
      <c r="K1108">
        <v>1</v>
      </c>
      <c r="L1108">
        <v>1</v>
      </c>
      <c r="M1108" t="s">
        <v>1980</v>
      </c>
      <c r="N1108">
        <v>0</v>
      </c>
      <c r="O1108" s="1">
        <f>+Tabla__192.168.1.8_POSEIDONSQL_APPFVT_01_tbl_detalle_fill_rate[[#This Row],[emb_cantidad]]-Tabla__192.168.1.8_POSEIDONSQL_APPFVT_01_tbl_detalle_fill_rate[[#This Row],[dev_cantidad]]</f>
        <v>1</v>
      </c>
      <c r="P11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8" s="1">
        <f>+Tabla__192.168.1.8_POSEIDONSQL_APPFVT_01_tbl_detalle_fill_rate[[#This Row],[Cumpl Real Unds]]-Tabla__192.168.1.8_POSEIDONSQL_APPFVT_01_tbl_detalle_fill_rate[[#This Row],[Cant Embarcada]]</f>
        <v>0</v>
      </c>
      <c r="S1108" s="1">
        <f>+IF(Tabla__192.168.1.8_POSEIDONSQL_APPFVT_01_tbl_detalle_fill_rate[[#This Row],[Pend Emb]]&gt;0,1,0)</f>
        <v>0</v>
      </c>
      <c r="T11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09" spans="1:20" x14ac:dyDescent="0.25">
      <c r="A1109">
        <v>4</v>
      </c>
      <c r="B1109" t="s">
        <v>56</v>
      </c>
      <c r="C1109">
        <v>9619954</v>
      </c>
      <c r="D1109" s="48">
        <v>43335</v>
      </c>
      <c r="E1109" s="48">
        <v>43334</v>
      </c>
      <c r="F1109" s="48">
        <v>43343</v>
      </c>
      <c r="G1109" t="s">
        <v>269</v>
      </c>
      <c r="H1109" t="s">
        <v>270</v>
      </c>
      <c r="I1109">
        <v>1</v>
      </c>
      <c r="J1109" t="s">
        <v>1542</v>
      </c>
      <c r="K1109">
        <v>1</v>
      </c>
      <c r="L1109">
        <v>1</v>
      </c>
      <c r="M1109" t="s">
        <v>1962</v>
      </c>
      <c r="N1109">
        <v>0</v>
      </c>
      <c r="O1109" s="1">
        <f>+Tabla__192.168.1.8_POSEIDONSQL_APPFVT_01_tbl_detalle_fill_rate[[#This Row],[emb_cantidad]]-Tabla__192.168.1.8_POSEIDONSQL_APPFVT_01_tbl_detalle_fill_rate[[#This Row],[dev_cantidad]]</f>
        <v>1</v>
      </c>
      <c r="P11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09" s="1">
        <f>+Tabla__192.168.1.8_POSEIDONSQL_APPFVT_01_tbl_detalle_fill_rate[[#This Row],[Cumpl Real Unds]]-Tabla__192.168.1.8_POSEIDONSQL_APPFVT_01_tbl_detalle_fill_rate[[#This Row],[Cant Embarcada]]</f>
        <v>0</v>
      </c>
      <c r="S1109" s="1">
        <f>+IF(Tabla__192.168.1.8_POSEIDONSQL_APPFVT_01_tbl_detalle_fill_rate[[#This Row],[Pend Emb]]&gt;0,1,0)</f>
        <v>0</v>
      </c>
      <c r="T11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0" spans="1:20" x14ac:dyDescent="0.25">
      <c r="A1110">
        <v>4</v>
      </c>
      <c r="B1110" t="s">
        <v>56</v>
      </c>
      <c r="C1110">
        <v>9620373</v>
      </c>
      <c r="D1110" s="48">
        <v>43335</v>
      </c>
      <c r="E1110" s="48">
        <v>43334</v>
      </c>
      <c r="F1110" s="48">
        <v>43341</v>
      </c>
      <c r="G1110" t="s">
        <v>94</v>
      </c>
      <c r="H1110" t="s">
        <v>95</v>
      </c>
      <c r="I1110">
        <v>1</v>
      </c>
      <c r="J1110" t="s">
        <v>1377</v>
      </c>
      <c r="K1110">
        <v>1</v>
      </c>
      <c r="L1110">
        <v>1</v>
      </c>
      <c r="M1110" t="s">
        <v>1980</v>
      </c>
      <c r="N1110">
        <v>0</v>
      </c>
      <c r="O1110" s="1">
        <f>+Tabla__192.168.1.8_POSEIDONSQL_APPFVT_01_tbl_detalle_fill_rate[[#This Row],[emb_cantidad]]-Tabla__192.168.1.8_POSEIDONSQL_APPFVT_01_tbl_detalle_fill_rate[[#This Row],[dev_cantidad]]</f>
        <v>1</v>
      </c>
      <c r="P11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0" s="1">
        <f>+Tabla__192.168.1.8_POSEIDONSQL_APPFVT_01_tbl_detalle_fill_rate[[#This Row],[Cumpl Real Unds]]-Tabla__192.168.1.8_POSEIDONSQL_APPFVT_01_tbl_detalle_fill_rate[[#This Row],[Cant Embarcada]]</f>
        <v>0</v>
      </c>
      <c r="S1110" s="1">
        <f>+IF(Tabla__192.168.1.8_POSEIDONSQL_APPFVT_01_tbl_detalle_fill_rate[[#This Row],[Pend Emb]]&gt;0,1,0)</f>
        <v>0</v>
      </c>
      <c r="T11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1" spans="1:20" x14ac:dyDescent="0.25">
      <c r="A1111">
        <v>4</v>
      </c>
      <c r="B1111" t="s">
        <v>56</v>
      </c>
      <c r="C1111">
        <v>9621269</v>
      </c>
      <c r="D1111" s="48">
        <v>43336</v>
      </c>
      <c r="E1111" s="48">
        <v>43335</v>
      </c>
      <c r="F1111" s="48">
        <v>43357</v>
      </c>
      <c r="G1111" t="s">
        <v>62</v>
      </c>
      <c r="H1111" t="s">
        <v>63</v>
      </c>
      <c r="I1111">
        <v>1</v>
      </c>
      <c r="J1111" t="s">
        <v>1599</v>
      </c>
      <c r="K1111">
        <v>1</v>
      </c>
      <c r="L1111">
        <v>1</v>
      </c>
      <c r="M1111" t="s">
        <v>1962</v>
      </c>
      <c r="N1111">
        <v>0</v>
      </c>
      <c r="O1111" s="1">
        <f>+Tabla__192.168.1.8_POSEIDONSQL_APPFVT_01_tbl_detalle_fill_rate[[#This Row],[emb_cantidad]]-Tabla__192.168.1.8_POSEIDONSQL_APPFVT_01_tbl_detalle_fill_rate[[#This Row],[dev_cantidad]]</f>
        <v>1</v>
      </c>
      <c r="P11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1" s="1">
        <f>+Tabla__192.168.1.8_POSEIDONSQL_APPFVT_01_tbl_detalle_fill_rate[[#This Row],[Cumpl Real Unds]]-Tabla__192.168.1.8_POSEIDONSQL_APPFVT_01_tbl_detalle_fill_rate[[#This Row],[Cant Embarcada]]</f>
        <v>0</v>
      </c>
      <c r="S1111" s="1">
        <f>+IF(Tabla__192.168.1.8_POSEIDONSQL_APPFVT_01_tbl_detalle_fill_rate[[#This Row],[Pend Emb]]&gt;0,1,0)</f>
        <v>0</v>
      </c>
      <c r="T11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2" spans="1:20" x14ac:dyDescent="0.25">
      <c r="A1112">
        <v>4</v>
      </c>
      <c r="B1112" t="s">
        <v>56</v>
      </c>
      <c r="C1112">
        <v>9621573</v>
      </c>
      <c r="D1112" s="48">
        <v>43340</v>
      </c>
      <c r="E1112" s="48">
        <v>43335</v>
      </c>
      <c r="F1112" s="48">
        <v>43341</v>
      </c>
      <c r="G1112" t="s">
        <v>533</v>
      </c>
      <c r="H1112" t="s">
        <v>534</v>
      </c>
      <c r="I1112">
        <v>1</v>
      </c>
      <c r="J1112" t="s">
        <v>1233</v>
      </c>
      <c r="K1112">
        <v>1</v>
      </c>
      <c r="L1112">
        <v>1</v>
      </c>
      <c r="M1112" t="s">
        <v>1980</v>
      </c>
      <c r="N1112">
        <v>0</v>
      </c>
      <c r="O1112" s="1">
        <f>+Tabla__192.168.1.8_POSEIDONSQL_APPFVT_01_tbl_detalle_fill_rate[[#This Row],[emb_cantidad]]-Tabla__192.168.1.8_POSEIDONSQL_APPFVT_01_tbl_detalle_fill_rate[[#This Row],[dev_cantidad]]</f>
        <v>1</v>
      </c>
      <c r="P11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2" s="1">
        <f>+Tabla__192.168.1.8_POSEIDONSQL_APPFVT_01_tbl_detalle_fill_rate[[#This Row],[Cumpl Real Unds]]-Tabla__192.168.1.8_POSEIDONSQL_APPFVT_01_tbl_detalle_fill_rate[[#This Row],[Cant Embarcada]]</f>
        <v>0</v>
      </c>
      <c r="S1112" s="1">
        <f>+IF(Tabla__192.168.1.8_POSEIDONSQL_APPFVT_01_tbl_detalle_fill_rate[[#This Row],[Pend Emb]]&gt;0,1,0)</f>
        <v>0</v>
      </c>
      <c r="T11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3" spans="1:20" x14ac:dyDescent="0.25">
      <c r="A1113">
        <v>4</v>
      </c>
      <c r="B1113" t="s">
        <v>56</v>
      </c>
      <c r="C1113">
        <v>9621619</v>
      </c>
      <c r="D1113" s="48">
        <v>43336</v>
      </c>
      <c r="E1113" s="48">
        <v>43335</v>
      </c>
      <c r="F1113" s="48">
        <v>43341</v>
      </c>
      <c r="G1113" t="s">
        <v>1189</v>
      </c>
      <c r="H1113" t="s">
        <v>1190</v>
      </c>
      <c r="I1113">
        <v>1</v>
      </c>
      <c r="J1113" t="s">
        <v>1558</v>
      </c>
      <c r="K1113">
        <v>1</v>
      </c>
      <c r="L1113">
        <v>1</v>
      </c>
      <c r="M1113" t="s">
        <v>1980</v>
      </c>
      <c r="N1113">
        <v>0</v>
      </c>
      <c r="O1113" s="1">
        <f>+Tabla__192.168.1.8_POSEIDONSQL_APPFVT_01_tbl_detalle_fill_rate[[#This Row],[emb_cantidad]]-Tabla__192.168.1.8_POSEIDONSQL_APPFVT_01_tbl_detalle_fill_rate[[#This Row],[dev_cantidad]]</f>
        <v>1</v>
      </c>
      <c r="P11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3" s="1">
        <f>+Tabla__192.168.1.8_POSEIDONSQL_APPFVT_01_tbl_detalle_fill_rate[[#This Row],[Cumpl Real Unds]]-Tabla__192.168.1.8_POSEIDONSQL_APPFVT_01_tbl_detalle_fill_rate[[#This Row],[Cant Embarcada]]</f>
        <v>0</v>
      </c>
      <c r="S1113" s="1">
        <f>+IF(Tabla__192.168.1.8_POSEIDONSQL_APPFVT_01_tbl_detalle_fill_rate[[#This Row],[Pend Emb]]&gt;0,1,0)</f>
        <v>0</v>
      </c>
      <c r="T11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4" spans="1:20" x14ac:dyDescent="0.25">
      <c r="A1114">
        <v>4</v>
      </c>
      <c r="B1114" t="s">
        <v>56</v>
      </c>
      <c r="C1114">
        <v>9622408</v>
      </c>
      <c r="D1114" s="48">
        <v>43336</v>
      </c>
      <c r="E1114" s="48">
        <v>43335</v>
      </c>
      <c r="F1114" s="48">
        <v>43343</v>
      </c>
      <c r="G1114" t="s">
        <v>122</v>
      </c>
      <c r="H1114" t="s">
        <v>123</v>
      </c>
      <c r="I1114">
        <v>1</v>
      </c>
      <c r="J1114" t="s">
        <v>1935</v>
      </c>
      <c r="K1114">
        <v>1</v>
      </c>
      <c r="L1114">
        <v>1</v>
      </c>
      <c r="M1114" t="s">
        <v>1962</v>
      </c>
      <c r="N1114">
        <v>0</v>
      </c>
      <c r="O1114" s="1">
        <f>+Tabla__192.168.1.8_POSEIDONSQL_APPFVT_01_tbl_detalle_fill_rate[[#This Row],[emb_cantidad]]-Tabla__192.168.1.8_POSEIDONSQL_APPFVT_01_tbl_detalle_fill_rate[[#This Row],[dev_cantidad]]</f>
        <v>1</v>
      </c>
      <c r="P11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4" s="1">
        <f>+Tabla__192.168.1.8_POSEIDONSQL_APPFVT_01_tbl_detalle_fill_rate[[#This Row],[Cumpl Real Unds]]-Tabla__192.168.1.8_POSEIDONSQL_APPFVT_01_tbl_detalle_fill_rate[[#This Row],[Cant Embarcada]]</f>
        <v>0</v>
      </c>
      <c r="S1114" s="1">
        <f>+IF(Tabla__192.168.1.8_POSEIDONSQL_APPFVT_01_tbl_detalle_fill_rate[[#This Row],[Pend Emb]]&gt;0,1,0)</f>
        <v>0</v>
      </c>
      <c r="T11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5" spans="1:20" x14ac:dyDescent="0.25">
      <c r="A1115">
        <v>4</v>
      </c>
      <c r="B1115" t="s">
        <v>56</v>
      </c>
      <c r="C1115">
        <v>9622450</v>
      </c>
      <c r="D1115" s="48">
        <v>43336</v>
      </c>
      <c r="E1115" s="48">
        <v>43335</v>
      </c>
      <c r="F1115" s="48">
        <v>43343</v>
      </c>
      <c r="G1115" t="s">
        <v>860</v>
      </c>
      <c r="H1115" t="s">
        <v>861</v>
      </c>
      <c r="I1115">
        <v>1</v>
      </c>
      <c r="J1115" t="s">
        <v>1936</v>
      </c>
      <c r="K1115">
        <v>1</v>
      </c>
      <c r="L1115">
        <v>1</v>
      </c>
      <c r="M1115" t="s">
        <v>1962</v>
      </c>
      <c r="N1115">
        <v>0</v>
      </c>
      <c r="O1115" s="1">
        <f>+Tabla__192.168.1.8_POSEIDONSQL_APPFVT_01_tbl_detalle_fill_rate[[#This Row],[emb_cantidad]]-Tabla__192.168.1.8_POSEIDONSQL_APPFVT_01_tbl_detalle_fill_rate[[#This Row],[dev_cantidad]]</f>
        <v>1</v>
      </c>
      <c r="P11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5" s="1">
        <f>+Tabla__192.168.1.8_POSEIDONSQL_APPFVT_01_tbl_detalle_fill_rate[[#This Row],[Cumpl Real Unds]]-Tabla__192.168.1.8_POSEIDONSQL_APPFVT_01_tbl_detalle_fill_rate[[#This Row],[Cant Embarcada]]</f>
        <v>0</v>
      </c>
      <c r="S1115" s="1">
        <f>+IF(Tabla__192.168.1.8_POSEIDONSQL_APPFVT_01_tbl_detalle_fill_rate[[#This Row],[Pend Emb]]&gt;0,1,0)</f>
        <v>0</v>
      </c>
      <c r="T11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6" spans="1:20" x14ac:dyDescent="0.25">
      <c r="A1116">
        <v>4</v>
      </c>
      <c r="B1116" t="s">
        <v>56</v>
      </c>
      <c r="C1116">
        <v>9622551</v>
      </c>
      <c r="D1116" s="48">
        <v>43336</v>
      </c>
      <c r="E1116" s="48">
        <v>43335</v>
      </c>
      <c r="F1116" s="48">
        <v>43346</v>
      </c>
      <c r="G1116" t="s">
        <v>120</v>
      </c>
      <c r="H1116" t="s">
        <v>121</v>
      </c>
      <c r="I1116">
        <v>1</v>
      </c>
      <c r="J1116" t="s">
        <v>1106</v>
      </c>
      <c r="K1116">
        <v>1</v>
      </c>
      <c r="L1116">
        <v>1</v>
      </c>
      <c r="M1116" t="s">
        <v>1962</v>
      </c>
      <c r="N1116">
        <v>0</v>
      </c>
      <c r="O1116" s="1">
        <f>+Tabla__192.168.1.8_POSEIDONSQL_APPFVT_01_tbl_detalle_fill_rate[[#This Row],[emb_cantidad]]-Tabla__192.168.1.8_POSEIDONSQL_APPFVT_01_tbl_detalle_fill_rate[[#This Row],[dev_cantidad]]</f>
        <v>1</v>
      </c>
      <c r="P11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6" s="1">
        <f>+Tabla__192.168.1.8_POSEIDONSQL_APPFVT_01_tbl_detalle_fill_rate[[#This Row],[Cumpl Real Unds]]-Tabla__192.168.1.8_POSEIDONSQL_APPFVT_01_tbl_detalle_fill_rate[[#This Row],[Cant Embarcada]]</f>
        <v>0</v>
      </c>
      <c r="S1116" s="1">
        <f>+IF(Tabla__192.168.1.8_POSEIDONSQL_APPFVT_01_tbl_detalle_fill_rate[[#This Row],[Pend Emb]]&gt;0,1,0)</f>
        <v>0</v>
      </c>
      <c r="T11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7" spans="1:20" x14ac:dyDescent="0.25">
      <c r="A1117">
        <v>4</v>
      </c>
      <c r="B1117" t="s">
        <v>56</v>
      </c>
      <c r="C1117">
        <v>9622596</v>
      </c>
      <c r="D1117" s="48">
        <v>43336</v>
      </c>
      <c r="E1117" s="48">
        <v>43335</v>
      </c>
      <c r="F1117" s="48">
        <v>43342</v>
      </c>
      <c r="G1117" t="s">
        <v>118</v>
      </c>
      <c r="H1117" t="s">
        <v>119</v>
      </c>
      <c r="I1117">
        <v>1</v>
      </c>
      <c r="J1117" t="s">
        <v>777</v>
      </c>
      <c r="K1117">
        <v>2</v>
      </c>
      <c r="L1117">
        <v>2</v>
      </c>
      <c r="M1117" t="s">
        <v>1962</v>
      </c>
      <c r="N1117">
        <v>1</v>
      </c>
      <c r="O1117" s="1">
        <f>+Tabla__192.168.1.8_POSEIDONSQL_APPFVT_01_tbl_detalle_fill_rate[[#This Row],[emb_cantidad]]-Tabla__192.168.1.8_POSEIDONSQL_APPFVT_01_tbl_detalle_fill_rate[[#This Row],[dev_cantidad]]</f>
        <v>1</v>
      </c>
      <c r="P11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11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7" s="1">
        <f>+Tabla__192.168.1.8_POSEIDONSQL_APPFVT_01_tbl_detalle_fill_rate[[#This Row],[Cumpl Real Unds]]-Tabla__192.168.1.8_POSEIDONSQL_APPFVT_01_tbl_detalle_fill_rate[[#This Row],[Cant Embarcada]]</f>
        <v>0</v>
      </c>
      <c r="S1117" s="1">
        <f>+IF(Tabla__192.168.1.8_POSEIDONSQL_APPFVT_01_tbl_detalle_fill_rate[[#This Row],[Pend Emb]]&gt;0,1,0)</f>
        <v>0</v>
      </c>
      <c r="T11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8" spans="1:20" x14ac:dyDescent="0.25">
      <c r="A1118">
        <v>4</v>
      </c>
      <c r="B1118" t="s">
        <v>56</v>
      </c>
      <c r="C1118">
        <v>9622815</v>
      </c>
      <c r="D1118" s="48">
        <v>43336</v>
      </c>
      <c r="E1118" s="48">
        <v>43335</v>
      </c>
      <c r="F1118" s="48">
        <v>43343</v>
      </c>
      <c r="G1118" t="s">
        <v>62</v>
      </c>
      <c r="H1118" t="s">
        <v>63</v>
      </c>
      <c r="I1118">
        <v>1</v>
      </c>
      <c r="J1118" t="s">
        <v>1564</v>
      </c>
      <c r="K1118">
        <v>1</v>
      </c>
      <c r="L1118">
        <v>1</v>
      </c>
      <c r="M1118" t="s">
        <v>1962</v>
      </c>
      <c r="N1118">
        <v>0</v>
      </c>
      <c r="O1118" s="1">
        <f>+Tabla__192.168.1.8_POSEIDONSQL_APPFVT_01_tbl_detalle_fill_rate[[#This Row],[emb_cantidad]]-Tabla__192.168.1.8_POSEIDONSQL_APPFVT_01_tbl_detalle_fill_rate[[#This Row],[dev_cantidad]]</f>
        <v>1</v>
      </c>
      <c r="P11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8" s="1">
        <f>+Tabla__192.168.1.8_POSEIDONSQL_APPFVT_01_tbl_detalle_fill_rate[[#This Row],[Cumpl Real Unds]]-Tabla__192.168.1.8_POSEIDONSQL_APPFVT_01_tbl_detalle_fill_rate[[#This Row],[Cant Embarcada]]</f>
        <v>0</v>
      </c>
      <c r="S1118" s="1">
        <f>+IF(Tabla__192.168.1.8_POSEIDONSQL_APPFVT_01_tbl_detalle_fill_rate[[#This Row],[Pend Emb]]&gt;0,1,0)</f>
        <v>0</v>
      </c>
      <c r="T11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19" spans="1:20" x14ac:dyDescent="0.25">
      <c r="A1119">
        <v>4</v>
      </c>
      <c r="B1119" t="s">
        <v>56</v>
      </c>
      <c r="C1119">
        <v>9623019</v>
      </c>
      <c r="D1119" s="48">
        <v>43336</v>
      </c>
      <c r="E1119" s="48">
        <v>43335</v>
      </c>
      <c r="F1119" s="48">
        <v>43343</v>
      </c>
      <c r="G1119" t="s">
        <v>118</v>
      </c>
      <c r="H1119" t="s">
        <v>119</v>
      </c>
      <c r="I1119">
        <v>1</v>
      </c>
      <c r="J1119" t="s">
        <v>1933</v>
      </c>
      <c r="K1119">
        <v>1</v>
      </c>
      <c r="L1119">
        <v>1</v>
      </c>
      <c r="M1119" t="s">
        <v>1962</v>
      </c>
      <c r="N1119">
        <v>0</v>
      </c>
      <c r="O1119" s="1">
        <f>+Tabla__192.168.1.8_POSEIDONSQL_APPFVT_01_tbl_detalle_fill_rate[[#This Row],[emb_cantidad]]-Tabla__192.168.1.8_POSEIDONSQL_APPFVT_01_tbl_detalle_fill_rate[[#This Row],[dev_cantidad]]</f>
        <v>1</v>
      </c>
      <c r="P11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19" s="1">
        <f>+Tabla__192.168.1.8_POSEIDONSQL_APPFVT_01_tbl_detalle_fill_rate[[#This Row],[Cumpl Real Unds]]-Tabla__192.168.1.8_POSEIDONSQL_APPFVT_01_tbl_detalle_fill_rate[[#This Row],[Cant Embarcada]]</f>
        <v>0</v>
      </c>
      <c r="S1119" s="1">
        <f>+IF(Tabla__192.168.1.8_POSEIDONSQL_APPFVT_01_tbl_detalle_fill_rate[[#This Row],[Pend Emb]]&gt;0,1,0)</f>
        <v>0</v>
      </c>
      <c r="T11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0" spans="1:20" x14ac:dyDescent="0.25">
      <c r="A1120">
        <v>4</v>
      </c>
      <c r="B1120" t="s">
        <v>56</v>
      </c>
      <c r="C1120">
        <v>9623113</v>
      </c>
      <c r="D1120" s="48">
        <v>43336</v>
      </c>
      <c r="E1120" s="48">
        <v>43335</v>
      </c>
      <c r="F1120" s="48">
        <v>43343</v>
      </c>
      <c r="G1120" t="s">
        <v>372</v>
      </c>
      <c r="H1120" t="s">
        <v>373</v>
      </c>
      <c r="I1120">
        <v>1</v>
      </c>
      <c r="J1120" t="s">
        <v>1934</v>
      </c>
      <c r="K1120">
        <v>1</v>
      </c>
      <c r="L1120">
        <v>1</v>
      </c>
      <c r="M1120" t="s">
        <v>1962</v>
      </c>
      <c r="N1120">
        <v>0</v>
      </c>
      <c r="O1120" s="1">
        <f>+Tabla__192.168.1.8_POSEIDONSQL_APPFVT_01_tbl_detalle_fill_rate[[#This Row],[emb_cantidad]]-Tabla__192.168.1.8_POSEIDONSQL_APPFVT_01_tbl_detalle_fill_rate[[#This Row],[dev_cantidad]]</f>
        <v>1</v>
      </c>
      <c r="P11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0" s="1">
        <f>+Tabla__192.168.1.8_POSEIDONSQL_APPFVT_01_tbl_detalle_fill_rate[[#This Row],[Cumpl Real Unds]]-Tabla__192.168.1.8_POSEIDONSQL_APPFVT_01_tbl_detalle_fill_rate[[#This Row],[Cant Embarcada]]</f>
        <v>0</v>
      </c>
      <c r="S1120" s="1">
        <f>+IF(Tabla__192.168.1.8_POSEIDONSQL_APPFVT_01_tbl_detalle_fill_rate[[#This Row],[Pend Emb]]&gt;0,1,0)</f>
        <v>0</v>
      </c>
      <c r="T11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1" spans="1:20" x14ac:dyDescent="0.25">
      <c r="A1121">
        <v>4</v>
      </c>
      <c r="B1121" t="s">
        <v>56</v>
      </c>
      <c r="C1121">
        <v>9623135</v>
      </c>
      <c r="D1121" s="48">
        <v>43336</v>
      </c>
      <c r="E1121" s="48">
        <v>43335</v>
      </c>
      <c r="F1121" s="48">
        <v>43348</v>
      </c>
      <c r="G1121" t="s">
        <v>92</v>
      </c>
      <c r="H1121" t="s">
        <v>93</v>
      </c>
      <c r="I1121">
        <v>1</v>
      </c>
      <c r="J1121" t="s">
        <v>1108</v>
      </c>
      <c r="K1121">
        <v>1</v>
      </c>
      <c r="L1121">
        <v>1</v>
      </c>
      <c r="M1121" t="s">
        <v>1962</v>
      </c>
      <c r="N1121">
        <v>0</v>
      </c>
      <c r="O1121" s="1">
        <f>+Tabla__192.168.1.8_POSEIDONSQL_APPFVT_01_tbl_detalle_fill_rate[[#This Row],[emb_cantidad]]-Tabla__192.168.1.8_POSEIDONSQL_APPFVT_01_tbl_detalle_fill_rate[[#This Row],[dev_cantidad]]</f>
        <v>1</v>
      </c>
      <c r="P11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1" s="1">
        <f>+Tabla__192.168.1.8_POSEIDONSQL_APPFVT_01_tbl_detalle_fill_rate[[#This Row],[Cumpl Real Unds]]-Tabla__192.168.1.8_POSEIDONSQL_APPFVT_01_tbl_detalle_fill_rate[[#This Row],[Cant Embarcada]]</f>
        <v>0</v>
      </c>
      <c r="S1121" s="1">
        <f>+IF(Tabla__192.168.1.8_POSEIDONSQL_APPFVT_01_tbl_detalle_fill_rate[[#This Row],[Pend Emb]]&gt;0,1,0)</f>
        <v>0</v>
      </c>
      <c r="T11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2" spans="1:20" x14ac:dyDescent="0.25">
      <c r="A1122">
        <v>4</v>
      </c>
      <c r="B1122" t="s">
        <v>56</v>
      </c>
      <c r="C1122">
        <v>9623137</v>
      </c>
      <c r="D1122" s="48">
        <v>43336</v>
      </c>
      <c r="E1122" s="48">
        <v>43335</v>
      </c>
      <c r="F1122" s="48">
        <v>43343</v>
      </c>
      <c r="G1122" t="s">
        <v>62</v>
      </c>
      <c r="H1122" t="s">
        <v>63</v>
      </c>
      <c r="I1122">
        <v>1</v>
      </c>
      <c r="J1122" t="s">
        <v>1559</v>
      </c>
      <c r="K1122">
        <v>1</v>
      </c>
      <c r="L1122">
        <v>1</v>
      </c>
      <c r="M1122" t="s">
        <v>1962</v>
      </c>
      <c r="N1122">
        <v>0</v>
      </c>
      <c r="O1122" s="1">
        <f>+Tabla__192.168.1.8_POSEIDONSQL_APPFVT_01_tbl_detalle_fill_rate[[#This Row],[emb_cantidad]]-Tabla__192.168.1.8_POSEIDONSQL_APPFVT_01_tbl_detalle_fill_rate[[#This Row],[dev_cantidad]]</f>
        <v>1</v>
      </c>
      <c r="P11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2" s="1">
        <f>+Tabla__192.168.1.8_POSEIDONSQL_APPFVT_01_tbl_detalle_fill_rate[[#This Row],[Cumpl Real Unds]]-Tabla__192.168.1.8_POSEIDONSQL_APPFVT_01_tbl_detalle_fill_rate[[#This Row],[Cant Embarcada]]</f>
        <v>0</v>
      </c>
      <c r="S1122" s="1">
        <f>+IF(Tabla__192.168.1.8_POSEIDONSQL_APPFVT_01_tbl_detalle_fill_rate[[#This Row],[Pend Emb]]&gt;0,1,0)</f>
        <v>0</v>
      </c>
      <c r="T11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3" spans="1:20" x14ac:dyDescent="0.25">
      <c r="A1123">
        <v>4</v>
      </c>
      <c r="B1123" t="s">
        <v>56</v>
      </c>
      <c r="C1123">
        <v>9623195</v>
      </c>
      <c r="D1123" s="48">
        <v>43336</v>
      </c>
      <c r="E1123" s="48">
        <v>43335</v>
      </c>
      <c r="F1123" s="48">
        <v>43343</v>
      </c>
      <c r="G1123" t="s">
        <v>120</v>
      </c>
      <c r="H1123" t="s">
        <v>121</v>
      </c>
      <c r="I1123">
        <v>1</v>
      </c>
      <c r="J1123" t="s">
        <v>1560</v>
      </c>
      <c r="K1123">
        <v>1</v>
      </c>
      <c r="L1123">
        <v>1</v>
      </c>
      <c r="M1123" t="s">
        <v>1962</v>
      </c>
      <c r="N1123">
        <v>0</v>
      </c>
      <c r="O1123" s="1">
        <f>+Tabla__192.168.1.8_POSEIDONSQL_APPFVT_01_tbl_detalle_fill_rate[[#This Row],[emb_cantidad]]-Tabla__192.168.1.8_POSEIDONSQL_APPFVT_01_tbl_detalle_fill_rate[[#This Row],[dev_cantidad]]</f>
        <v>1</v>
      </c>
      <c r="P11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3" s="1">
        <f>+Tabla__192.168.1.8_POSEIDONSQL_APPFVT_01_tbl_detalle_fill_rate[[#This Row],[Cumpl Real Unds]]-Tabla__192.168.1.8_POSEIDONSQL_APPFVT_01_tbl_detalle_fill_rate[[#This Row],[Cant Embarcada]]</f>
        <v>0</v>
      </c>
      <c r="S1123" s="1">
        <f>+IF(Tabla__192.168.1.8_POSEIDONSQL_APPFVT_01_tbl_detalle_fill_rate[[#This Row],[Pend Emb]]&gt;0,1,0)</f>
        <v>0</v>
      </c>
      <c r="T11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4" spans="1:20" x14ac:dyDescent="0.25">
      <c r="A1124">
        <v>4</v>
      </c>
      <c r="B1124" t="s">
        <v>56</v>
      </c>
      <c r="C1124">
        <v>9623385</v>
      </c>
      <c r="D1124" s="48">
        <v>43336</v>
      </c>
      <c r="E1124" s="48">
        <v>43336</v>
      </c>
      <c r="F1124" s="48">
        <v>43343</v>
      </c>
      <c r="G1124" t="s">
        <v>269</v>
      </c>
      <c r="H1124" t="s">
        <v>270</v>
      </c>
      <c r="I1124">
        <v>1</v>
      </c>
      <c r="J1124" t="s">
        <v>1561</v>
      </c>
      <c r="K1124">
        <v>1</v>
      </c>
      <c r="L1124">
        <v>1</v>
      </c>
      <c r="M1124" t="s">
        <v>1962</v>
      </c>
      <c r="N1124">
        <v>0</v>
      </c>
      <c r="O1124" s="1">
        <f>+Tabla__192.168.1.8_POSEIDONSQL_APPFVT_01_tbl_detalle_fill_rate[[#This Row],[emb_cantidad]]-Tabla__192.168.1.8_POSEIDONSQL_APPFVT_01_tbl_detalle_fill_rate[[#This Row],[dev_cantidad]]</f>
        <v>1</v>
      </c>
      <c r="P11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4" s="1">
        <f>+Tabla__192.168.1.8_POSEIDONSQL_APPFVT_01_tbl_detalle_fill_rate[[#This Row],[Cumpl Real Unds]]-Tabla__192.168.1.8_POSEIDONSQL_APPFVT_01_tbl_detalle_fill_rate[[#This Row],[Cant Embarcada]]</f>
        <v>0</v>
      </c>
      <c r="S1124" s="1">
        <f>+IF(Tabla__192.168.1.8_POSEIDONSQL_APPFVT_01_tbl_detalle_fill_rate[[#This Row],[Pend Emb]]&gt;0,1,0)</f>
        <v>0</v>
      </c>
      <c r="T11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5" spans="1:20" x14ac:dyDescent="0.25">
      <c r="A1125">
        <v>4</v>
      </c>
      <c r="B1125" t="s">
        <v>56</v>
      </c>
      <c r="C1125">
        <v>9623453</v>
      </c>
      <c r="D1125" s="48">
        <v>43336</v>
      </c>
      <c r="E1125" s="48">
        <v>43336</v>
      </c>
      <c r="F1125" s="48">
        <v>43343</v>
      </c>
      <c r="G1125" t="s">
        <v>78</v>
      </c>
      <c r="H1125" t="s">
        <v>79</v>
      </c>
      <c r="I1125">
        <v>1</v>
      </c>
      <c r="J1125" t="s">
        <v>1562</v>
      </c>
      <c r="K1125">
        <v>1</v>
      </c>
      <c r="L1125">
        <v>1</v>
      </c>
      <c r="M1125" t="s">
        <v>1962</v>
      </c>
      <c r="N1125">
        <v>0</v>
      </c>
      <c r="O1125" s="1">
        <f>+Tabla__192.168.1.8_POSEIDONSQL_APPFVT_01_tbl_detalle_fill_rate[[#This Row],[emb_cantidad]]-Tabla__192.168.1.8_POSEIDONSQL_APPFVT_01_tbl_detalle_fill_rate[[#This Row],[dev_cantidad]]</f>
        <v>1</v>
      </c>
      <c r="P11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5" s="1">
        <f>+Tabla__192.168.1.8_POSEIDONSQL_APPFVT_01_tbl_detalle_fill_rate[[#This Row],[Cumpl Real Unds]]-Tabla__192.168.1.8_POSEIDONSQL_APPFVT_01_tbl_detalle_fill_rate[[#This Row],[Cant Embarcada]]</f>
        <v>0</v>
      </c>
      <c r="S1125" s="1">
        <f>+IF(Tabla__192.168.1.8_POSEIDONSQL_APPFVT_01_tbl_detalle_fill_rate[[#This Row],[Pend Emb]]&gt;0,1,0)</f>
        <v>0</v>
      </c>
      <c r="T11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6" spans="1:20" x14ac:dyDescent="0.25">
      <c r="A1126">
        <v>4</v>
      </c>
      <c r="B1126" t="s">
        <v>56</v>
      </c>
      <c r="C1126">
        <v>9623507</v>
      </c>
      <c r="D1126" s="48">
        <v>43336</v>
      </c>
      <c r="E1126" s="48">
        <v>43336</v>
      </c>
      <c r="F1126" s="48">
        <v>43343</v>
      </c>
      <c r="G1126" t="s">
        <v>62</v>
      </c>
      <c r="H1126" t="s">
        <v>63</v>
      </c>
      <c r="I1126">
        <v>1</v>
      </c>
      <c r="J1126" t="s">
        <v>1563</v>
      </c>
      <c r="K1126">
        <v>1</v>
      </c>
      <c r="L1126">
        <v>1</v>
      </c>
      <c r="M1126" t="s">
        <v>1962</v>
      </c>
      <c r="N1126">
        <v>0</v>
      </c>
      <c r="O1126" s="1">
        <f>+Tabla__192.168.1.8_POSEIDONSQL_APPFVT_01_tbl_detalle_fill_rate[[#This Row],[emb_cantidad]]-Tabla__192.168.1.8_POSEIDONSQL_APPFVT_01_tbl_detalle_fill_rate[[#This Row],[dev_cantidad]]</f>
        <v>1</v>
      </c>
      <c r="P11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6" s="1">
        <f>+Tabla__192.168.1.8_POSEIDONSQL_APPFVT_01_tbl_detalle_fill_rate[[#This Row],[Cumpl Real Unds]]-Tabla__192.168.1.8_POSEIDONSQL_APPFVT_01_tbl_detalle_fill_rate[[#This Row],[Cant Embarcada]]</f>
        <v>0</v>
      </c>
      <c r="S1126" s="1">
        <f>+IF(Tabla__192.168.1.8_POSEIDONSQL_APPFVT_01_tbl_detalle_fill_rate[[#This Row],[Pend Emb]]&gt;0,1,0)</f>
        <v>0</v>
      </c>
      <c r="T11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7" spans="1:20" x14ac:dyDescent="0.25">
      <c r="A1127">
        <v>4</v>
      </c>
      <c r="B1127" t="s">
        <v>56</v>
      </c>
      <c r="C1127">
        <v>9624516</v>
      </c>
      <c r="D1127" s="48">
        <v>43339</v>
      </c>
      <c r="E1127" s="48">
        <v>43336</v>
      </c>
      <c r="F1127" s="48">
        <v>43343</v>
      </c>
      <c r="G1127" t="s">
        <v>372</v>
      </c>
      <c r="H1127" t="s">
        <v>373</v>
      </c>
      <c r="I1127">
        <v>2</v>
      </c>
      <c r="J1127" t="s">
        <v>506</v>
      </c>
      <c r="K1127">
        <v>2</v>
      </c>
      <c r="L1127">
        <v>2</v>
      </c>
      <c r="M1127" t="s">
        <v>1962</v>
      </c>
      <c r="N1127">
        <v>0</v>
      </c>
      <c r="O1127" s="1">
        <f>+Tabla__192.168.1.8_POSEIDONSQL_APPFVT_01_tbl_detalle_fill_rate[[#This Row],[emb_cantidad]]-Tabla__192.168.1.8_POSEIDONSQL_APPFVT_01_tbl_detalle_fill_rate[[#This Row],[dev_cantidad]]</f>
        <v>2</v>
      </c>
      <c r="P11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127" s="1">
        <f>+Tabla__192.168.1.8_POSEIDONSQL_APPFVT_01_tbl_detalle_fill_rate[[#This Row],[Cumpl Real Unds]]-Tabla__192.168.1.8_POSEIDONSQL_APPFVT_01_tbl_detalle_fill_rate[[#This Row],[Cant Embarcada]]</f>
        <v>0</v>
      </c>
      <c r="S1127" s="1">
        <f>+IF(Tabla__192.168.1.8_POSEIDONSQL_APPFVT_01_tbl_detalle_fill_rate[[#This Row],[Pend Emb]]&gt;0,1,0)</f>
        <v>0</v>
      </c>
      <c r="T11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8" spans="1:20" x14ac:dyDescent="0.25">
      <c r="A1128">
        <v>4</v>
      </c>
      <c r="B1128" t="s">
        <v>56</v>
      </c>
      <c r="C1128">
        <v>9624571</v>
      </c>
      <c r="D1128" s="48">
        <v>43339</v>
      </c>
      <c r="E1128" s="48">
        <v>43336</v>
      </c>
      <c r="F1128" s="48">
        <v>43343</v>
      </c>
      <c r="G1128" t="s">
        <v>461</v>
      </c>
      <c r="H1128" t="s">
        <v>462</v>
      </c>
      <c r="I1128">
        <v>1</v>
      </c>
      <c r="J1128" t="s">
        <v>503</v>
      </c>
      <c r="K1128">
        <v>1</v>
      </c>
      <c r="L1128">
        <v>1</v>
      </c>
      <c r="M1128" t="s">
        <v>1962</v>
      </c>
      <c r="N1128">
        <v>0</v>
      </c>
      <c r="O1128" s="1">
        <f>+Tabla__192.168.1.8_POSEIDONSQL_APPFVT_01_tbl_detalle_fill_rate[[#This Row],[emb_cantidad]]-Tabla__192.168.1.8_POSEIDONSQL_APPFVT_01_tbl_detalle_fill_rate[[#This Row],[dev_cantidad]]</f>
        <v>1</v>
      </c>
      <c r="P11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8" s="1">
        <f>+Tabla__192.168.1.8_POSEIDONSQL_APPFVT_01_tbl_detalle_fill_rate[[#This Row],[Cumpl Real Unds]]-Tabla__192.168.1.8_POSEIDONSQL_APPFVT_01_tbl_detalle_fill_rate[[#This Row],[Cant Embarcada]]</f>
        <v>0</v>
      </c>
      <c r="S1128" s="1">
        <f>+IF(Tabla__192.168.1.8_POSEIDONSQL_APPFVT_01_tbl_detalle_fill_rate[[#This Row],[Pend Emb]]&gt;0,1,0)</f>
        <v>0</v>
      </c>
      <c r="T11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29" spans="1:20" x14ac:dyDescent="0.25">
      <c r="A1129">
        <v>4</v>
      </c>
      <c r="B1129" t="s">
        <v>56</v>
      </c>
      <c r="C1129">
        <v>9624871</v>
      </c>
      <c r="D1129" s="48">
        <v>43339</v>
      </c>
      <c r="E1129" s="48">
        <v>43336</v>
      </c>
      <c r="F1129" s="48">
        <v>43343</v>
      </c>
      <c r="G1129" t="s">
        <v>170</v>
      </c>
      <c r="H1129" t="s">
        <v>171</v>
      </c>
      <c r="I1129">
        <v>1</v>
      </c>
      <c r="J1129" t="s">
        <v>504</v>
      </c>
      <c r="K1129">
        <v>1</v>
      </c>
      <c r="L1129">
        <v>1</v>
      </c>
      <c r="M1129" t="s">
        <v>1962</v>
      </c>
      <c r="N1129">
        <v>0</v>
      </c>
      <c r="O1129" s="1">
        <f>+Tabla__192.168.1.8_POSEIDONSQL_APPFVT_01_tbl_detalle_fill_rate[[#This Row],[emb_cantidad]]-Tabla__192.168.1.8_POSEIDONSQL_APPFVT_01_tbl_detalle_fill_rate[[#This Row],[dev_cantidad]]</f>
        <v>1</v>
      </c>
      <c r="P11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29" s="1">
        <f>+Tabla__192.168.1.8_POSEIDONSQL_APPFVT_01_tbl_detalle_fill_rate[[#This Row],[Cumpl Real Unds]]-Tabla__192.168.1.8_POSEIDONSQL_APPFVT_01_tbl_detalle_fill_rate[[#This Row],[Cant Embarcada]]</f>
        <v>0</v>
      </c>
      <c r="S1129" s="1">
        <f>+IF(Tabla__192.168.1.8_POSEIDONSQL_APPFVT_01_tbl_detalle_fill_rate[[#This Row],[Pend Emb]]&gt;0,1,0)</f>
        <v>0</v>
      </c>
      <c r="T11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0" spans="1:20" x14ac:dyDescent="0.25">
      <c r="A1130">
        <v>4</v>
      </c>
      <c r="B1130" t="s">
        <v>56</v>
      </c>
      <c r="C1130">
        <v>9625160</v>
      </c>
      <c r="D1130" s="48">
        <v>43339</v>
      </c>
      <c r="E1130" s="48">
        <v>43336</v>
      </c>
      <c r="F1130" s="48">
        <v>43346</v>
      </c>
      <c r="G1130" t="s">
        <v>90</v>
      </c>
      <c r="H1130" t="s">
        <v>91</v>
      </c>
      <c r="I1130">
        <v>1</v>
      </c>
      <c r="J1130" t="s">
        <v>1103</v>
      </c>
      <c r="K1130">
        <v>0</v>
      </c>
      <c r="L1130">
        <v>0</v>
      </c>
      <c r="M1130" t="s">
        <v>12</v>
      </c>
      <c r="N1130">
        <v>0</v>
      </c>
      <c r="O1130" s="1">
        <f>+Tabla__192.168.1.8_POSEIDONSQL_APPFVT_01_tbl_detalle_fill_rate[[#This Row],[emb_cantidad]]-Tabla__192.168.1.8_POSEIDONSQL_APPFVT_01_tbl_detalle_fill_rate[[#This Row],[dev_cantidad]]</f>
        <v>0</v>
      </c>
      <c r="P11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130" s="1">
        <f>+Tabla__192.168.1.8_POSEIDONSQL_APPFVT_01_tbl_detalle_fill_rate[[#This Row],[Cumpl Real Unds]]-Tabla__192.168.1.8_POSEIDONSQL_APPFVT_01_tbl_detalle_fill_rate[[#This Row],[Cant Embarcada]]</f>
        <v>0</v>
      </c>
      <c r="S1130" s="1">
        <f>+IF(Tabla__192.168.1.8_POSEIDONSQL_APPFVT_01_tbl_detalle_fill_rate[[#This Row],[Pend Emb]]&gt;0,1,0)</f>
        <v>0</v>
      </c>
      <c r="T11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1" spans="1:20" x14ac:dyDescent="0.25">
      <c r="A1131">
        <v>4</v>
      </c>
      <c r="B1131" t="s">
        <v>56</v>
      </c>
      <c r="C1131">
        <v>9625212</v>
      </c>
      <c r="D1131" s="48">
        <v>43339</v>
      </c>
      <c r="E1131" s="48">
        <v>43336</v>
      </c>
      <c r="F1131" s="48">
        <v>43346</v>
      </c>
      <c r="G1131" t="s">
        <v>90</v>
      </c>
      <c r="H1131" t="s">
        <v>91</v>
      </c>
      <c r="I1131">
        <v>1</v>
      </c>
      <c r="J1131" t="s">
        <v>1104</v>
      </c>
      <c r="K1131">
        <v>1</v>
      </c>
      <c r="L1131">
        <v>1</v>
      </c>
      <c r="M1131" t="s">
        <v>1962</v>
      </c>
      <c r="N1131">
        <v>0</v>
      </c>
      <c r="O1131" s="1">
        <f>+Tabla__192.168.1.8_POSEIDONSQL_APPFVT_01_tbl_detalle_fill_rate[[#This Row],[emb_cantidad]]-Tabla__192.168.1.8_POSEIDONSQL_APPFVT_01_tbl_detalle_fill_rate[[#This Row],[dev_cantidad]]</f>
        <v>1</v>
      </c>
      <c r="P11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1" s="1">
        <f>+Tabla__192.168.1.8_POSEIDONSQL_APPFVT_01_tbl_detalle_fill_rate[[#This Row],[Cumpl Real Unds]]-Tabla__192.168.1.8_POSEIDONSQL_APPFVT_01_tbl_detalle_fill_rate[[#This Row],[Cant Embarcada]]</f>
        <v>0</v>
      </c>
      <c r="S1131" s="1">
        <f>+IF(Tabla__192.168.1.8_POSEIDONSQL_APPFVT_01_tbl_detalle_fill_rate[[#This Row],[Pend Emb]]&gt;0,1,0)</f>
        <v>0</v>
      </c>
      <c r="T11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2" spans="1:20" x14ac:dyDescent="0.25">
      <c r="A1132">
        <v>4</v>
      </c>
      <c r="B1132" t="s">
        <v>56</v>
      </c>
      <c r="C1132">
        <v>9625226</v>
      </c>
      <c r="D1132" s="48">
        <v>43339</v>
      </c>
      <c r="E1132" s="48">
        <v>43336</v>
      </c>
      <c r="F1132" s="48">
        <v>43346</v>
      </c>
      <c r="G1132" t="s">
        <v>446</v>
      </c>
      <c r="H1132" t="s">
        <v>447</v>
      </c>
      <c r="I1132">
        <v>1</v>
      </c>
      <c r="J1132" t="s">
        <v>1105</v>
      </c>
      <c r="K1132">
        <v>1</v>
      </c>
      <c r="L1132">
        <v>1</v>
      </c>
      <c r="M1132" t="s">
        <v>1962</v>
      </c>
      <c r="N1132">
        <v>0</v>
      </c>
      <c r="O1132" s="1">
        <f>+Tabla__192.168.1.8_POSEIDONSQL_APPFVT_01_tbl_detalle_fill_rate[[#This Row],[emb_cantidad]]-Tabla__192.168.1.8_POSEIDONSQL_APPFVT_01_tbl_detalle_fill_rate[[#This Row],[dev_cantidad]]</f>
        <v>1</v>
      </c>
      <c r="P11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2" s="1">
        <f>+Tabla__192.168.1.8_POSEIDONSQL_APPFVT_01_tbl_detalle_fill_rate[[#This Row],[Cumpl Real Unds]]-Tabla__192.168.1.8_POSEIDONSQL_APPFVT_01_tbl_detalle_fill_rate[[#This Row],[Cant Embarcada]]</f>
        <v>0</v>
      </c>
      <c r="S1132" s="1">
        <f>+IF(Tabla__192.168.1.8_POSEIDONSQL_APPFVT_01_tbl_detalle_fill_rate[[#This Row],[Pend Emb]]&gt;0,1,0)</f>
        <v>0</v>
      </c>
      <c r="T11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3" spans="1:20" x14ac:dyDescent="0.25">
      <c r="A1133">
        <v>4</v>
      </c>
      <c r="B1133" t="s">
        <v>56</v>
      </c>
      <c r="C1133">
        <v>9625415</v>
      </c>
      <c r="D1133" s="48">
        <v>43339</v>
      </c>
      <c r="E1133" s="48">
        <v>43336</v>
      </c>
      <c r="F1133" s="48">
        <v>43343</v>
      </c>
      <c r="G1133" t="s">
        <v>120</v>
      </c>
      <c r="H1133" t="s">
        <v>121</v>
      </c>
      <c r="I1133">
        <v>1</v>
      </c>
      <c r="J1133" t="s">
        <v>505</v>
      </c>
      <c r="K1133">
        <v>1</v>
      </c>
      <c r="L1133">
        <v>1</v>
      </c>
      <c r="M1133" t="s">
        <v>1962</v>
      </c>
      <c r="N1133">
        <v>0</v>
      </c>
      <c r="O1133" s="1">
        <f>+Tabla__192.168.1.8_POSEIDONSQL_APPFVT_01_tbl_detalle_fill_rate[[#This Row],[emb_cantidad]]-Tabla__192.168.1.8_POSEIDONSQL_APPFVT_01_tbl_detalle_fill_rate[[#This Row],[dev_cantidad]]</f>
        <v>1</v>
      </c>
      <c r="P11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3" s="1">
        <f>+Tabla__192.168.1.8_POSEIDONSQL_APPFVT_01_tbl_detalle_fill_rate[[#This Row],[Cumpl Real Unds]]-Tabla__192.168.1.8_POSEIDONSQL_APPFVT_01_tbl_detalle_fill_rate[[#This Row],[Cant Embarcada]]</f>
        <v>0</v>
      </c>
      <c r="S1133" s="1">
        <f>+IF(Tabla__192.168.1.8_POSEIDONSQL_APPFVT_01_tbl_detalle_fill_rate[[#This Row],[Pend Emb]]&gt;0,1,0)</f>
        <v>0</v>
      </c>
      <c r="T11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4" spans="1:20" x14ac:dyDescent="0.25">
      <c r="A1134">
        <v>4</v>
      </c>
      <c r="B1134" t="s">
        <v>56</v>
      </c>
      <c r="C1134">
        <v>9625693</v>
      </c>
      <c r="D1134" s="48">
        <v>43339</v>
      </c>
      <c r="E1134" s="48">
        <v>43337</v>
      </c>
      <c r="F1134" s="48">
        <v>43343</v>
      </c>
      <c r="G1134" t="s">
        <v>269</v>
      </c>
      <c r="H1134" t="s">
        <v>270</v>
      </c>
      <c r="I1134">
        <v>1</v>
      </c>
      <c r="J1134" t="s">
        <v>495</v>
      </c>
      <c r="K1134">
        <v>1</v>
      </c>
      <c r="L1134">
        <v>1</v>
      </c>
      <c r="M1134" t="s">
        <v>1962</v>
      </c>
      <c r="N1134">
        <v>0</v>
      </c>
      <c r="O1134" s="1">
        <f>+Tabla__192.168.1.8_POSEIDONSQL_APPFVT_01_tbl_detalle_fill_rate[[#This Row],[emb_cantidad]]-Tabla__192.168.1.8_POSEIDONSQL_APPFVT_01_tbl_detalle_fill_rate[[#This Row],[dev_cantidad]]</f>
        <v>1</v>
      </c>
      <c r="P11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4" s="1">
        <f>+Tabla__192.168.1.8_POSEIDONSQL_APPFVT_01_tbl_detalle_fill_rate[[#This Row],[Cumpl Real Unds]]-Tabla__192.168.1.8_POSEIDONSQL_APPFVT_01_tbl_detalle_fill_rate[[#This Row],[Cant Embarcada]]</f>
        <v>0</v>
      </c>
      <c r="S1134" s="1">
        <f>+IF(Tabla__192.168.1.8_POSEIDONSQL_APPFVT_01_tbl_detalle_fill_rate[[#This Row],[Pend Emb]]&gt;0,1,0)</f>
        <v>0</v>
      </c>
      <c r="T11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5" spans="1:20" x14ac:dyDescent="0.25">
      <c r="A1135">
        <v>4</v>
      </c>
      <c r="B1135" t="s">
        <v>56</v>
      </c>
      <c r="C1135">
        <v>9625737</v>
      </c>
      <c r="D1135" s="48">
        <v>43339</v>
      </c>
      <c r="E1135" s="48">
        <v>43337</v>
      </c>
      <c r="F1135" s="48">
        <v>43343</v>
      </c>
      <c r="G1135" t="s">
        <v>86</v>
      </c>
      <c r="H1135" t="s">
        <v>87</v>
      </c>
      <c r="I1135">
        <v>1</v>
      </c>
      <c r="J1135" t="s">
        <v>496</v>
      </c>
      <c r="K1135">
        <v>1</v>
      </c>
      <c r="L1135">
        <v>1</v>
      </c>
      <c r="M1135" t="s">
        <v>1962</v>
      </c>
      <c r="N1135">
        <v>0</v>
      </c>
      <c r="O1135" s="1">
        <f>+Tabla__192.168.1.8_POSEIDONSQL_APPFVT_01_tbl_detalle_fill_rate[[#This Row],[emb_cantidad]]-Tabla__192.168.1.8_POSEIDONSQL_APPFVT_01_tbl_detalle_fill_rate[[#This Row],[dev_cantidad]]</f>
        <v>1</v>
      </c>
      <c r="P11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5" s="1">
        <f>+Tabla__192.168.1.8_POSEIDONSQL_APPFVT_01_tbl_detalle_fill_rate[[#This Row],[Cumpl Real Unds]]-Tabla__192.168.1.8_POSEIDONSQL_APPFVT_01_tbl_detalle_fill_rate[[#This Row],[Cant Embarcada]]</f>
        <v>0</v>
      </c>
      <c r="S1135" s="1">
        <f>+IF(Tabla__192.168.1.8_POSEIDONSQL_APPFVT_01_tbl_detalle_fill_rate[[#This Row],[Pend Emb]]&gt;0,1,0)</f>
        <v>0</v>
      </c>
      <c r="T11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6" spans="1:20" x14ac:dyDescent="0.25">
      <c r="A1136">
        <v>4</v>
      </c>
      <c r="B1136" t="s">
        <v>56</v>
      </c>
      <c r="C1136">
        <v>9625742</v>
      </c>
      <c r="D1136" s="48">
        <v>43339</v>
      </c>
      <c r="E1136" s="48">
        <v>43337</v>
      </c>
      <c r="F1136" s="48">
        <v>43343</v>
      </c>
      <c r="G1136" t="s">
        <v>497</v>
      </c>
      <c r="H1136" t="s">
        <v>498</v>
      </c>
      <c r="I1136">
        <v>1</v>
      </c>
      <c r="J1136" t="s">
        <v>499</v>
      </c>
      <c r="K1136">
        <v>0</v>
      </c>
      <c r="L1136">
        <v>0</v>
      </c>
      <c r="M1136" t="s">
        <v>12</v>
      </c>
      <c r="N1136">
        <v>0</v>
      </c>
      <c r="O1136" s="1">
        <f>+Tabla__192.168.1.8_POSEIDONSQL_APPFVT_01_tbl_detalle_fill_rate[[#This Row],[emb_cantidad]]-Tabla__192.168.1.8_POSEIDONSQL_APPFVT_01_tbl_detalle_fill_rate[[#This Row],[dev_cantidad]]</f>
        <v>0</v>
      </c>
      <c r="P11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136" s="1">
        <f>+Tabla__192.168.1.8_POSEIDONSQL_APPFVT_01_tbl_detalle_fill_rate[[#This Row],[Cumpl Real Unds]]-Tabla__192.168.1.8_POSEIDONSQL_APPFVT_01_tbl_detalle_fill_rate[[#This Row],[Cant Embarcada]]</f>
        <v>0</v>
      </c>
      <c r="S1136" s="1">
        <f>+IF(Tabla__192.168.1.8_POSEIDONSQL_APPFVT_01_tbl_detalle_fill_rate[[#This Row],[Pend Emb]]&gt;0,1,0)</f>
        <v>0</v>
      </c>
      <c r="T11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7" spans="1:20" x14ac:dyDescent="0.25">
      <c r="A1137">
        <v>4</v>
      </c>
      <c r="B1137" t="s">
        <v>56</v>
      </c>
      <c r="C1137">
        <v>9625760</v>
      </c>
      <c r="D1137" s="48">
        <v>43339</v>
      </c>
      <c r="E1137" s="48">
        <v>43337</v>
      </c>
      <c r="F1137" s="48">
        <v>43343</v>
      </c>
      <c r="G1137" t="s">
        <v>168</v>
      </c>
      <c r="H1137" t="s">
        <v>169</v>
      </c>
      <c r="I1137">
        <v>1</v>
      </c>
      <c r="J1137" t="s">
        <v>500</v>
      </c>
      <c r="K1137">
        <v>1</v>
      </c>
      <c r="L1137">
        <v>1</v>
      </c>
      <c r="M1137" t="s">
        <v>1962</v>
      </c>
      <c r="N1137">
        <v>0</v>
      </c>
      <c r="O1137" s="1">
        <f>+Tabla__192.168.1.8_POSEIDONSQL_APPFVT_01_tbl_detalle_fill_rate[[#This Row],[emb_cantidad]]-Tabla__192.168.1.8_POSEIDONSQL_APPFVT_01_tbl_detalle_fill_rate[[#This Row],[dev_cantidad]]</f>
        <v>1</v>
      </c>
      <c r="P11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7" s="1">
        <f>+Tabla__192.168.1.8_POSEIDONSQL_APPFVT_01_tbl_detalle_fill_rate[[#This Row],[Cumpl Real Unds]]-Tabla__192.168.1.8_POSEIDONSQL_APPFVT_01_tbl_detalle_fill_rate[[#This Row],[Cant Embarcada]]</f>
        <v>0</v>
      </c>
      <c r="S1137" s="1">
        <f>+IF(Tabla__192.168.1.8_POSEIDONSQL_APPFVT_01_tbl_detalle_fill_rate[[#This Row],[Pend Emb]]&gt;0,1,0)</f>
        <v>0</v>
      </c>
      <c r="T11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8" spans="1:20" x14ac:dyDescent="0.25">
      <c r="A1138">
        <v>4</v>
      </c>
      <c r="B1138" t="s">
        <v>56</v>
      </c>
      <c r="C1138">
        <v>9626135</v>
      </c>
      <c r="D1138" s="48">
        <v>43339</v>
      </c>
      <c r="E1138" s="48">
        <v>43337</v>
      </c>
      <c r="F1138" s="48">
        <v>43343</v>
      </c>
      <c r="G1138" t="s">
        <v>104</v>
      </c>
      <c r="H1138" t="s">
        <v>105</v>
      </c>
      <c r="I1138">
        <v>1</v>
      </c>
      <c r="J1138" t="s">
        <v>501</v>
      </c>
      <c r="K1138">
        <v>1</v>
      </c>
      <c r="L1138">
        <v>1</v>
      </c>
      <c r="M1138" t="s">
        <v>1962</v>
      </c>
      <c r="N1138">
        <v>0</v>
      </c>
      <c r="O1138" s="1">
        <f>+Tabla__192.168.1.8_POSEIDONSQL_APPFVT_01_tbl_detalle_fill_rate[[#This Row],[emb_cantidad]]-Tabla__192.168.1.8_POSEIDONSQL_APPFVT_01_tbl_detalle_fill_rate[[#This Row],[dev_cantidad]]</f>
        <v>1</v>
      </c>
      <c r="P11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8" s="1">
        <f>+Tabla__192.168.1.8_POSEIDONSQL_APPFVT_01_tbl_detalle_fill_rate[[#This Row],[Cumpl Real Unds]]-Tabla__192.168.1.8_POSEIDONSQL_APPFVT_01_tbl_detalle_fill_rate[[#This Row],[Cant Embarcada]]</f>
        <v>0</v>
      </c>
      <c r="S1138" s="1">
        <f>+IF(Tabla__192.168.1.8_POSEIDONSQL_APPFVT_01_tbl_detalle_fill_rate[[#This Row],[Pend Emb]]&gt;0,1,0)</f>
        <v>0</v>
      </c>
      <c r="T11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39" spans="1:20" x14ac:dyDescent="0.25">
      <c r="A1139">
        <v>4</v>
      </c>
      <c r="B1139" t="s">
        <v>56</v>
      </c>
      <c r="C1139">
        <v>9626544</v>
      </c>
      <c r="D1139" s="48">
        <v>43339</v>
      </c>
      <c r="E1139" s="48">
        <v>43337</v>
      </c>
      <c r="F1139" s="48">
        <v>43343</v>
      </c>
      <c r="G1139" t="s">
        <v>201</v>
      </c>
      <c r="H1139" t="s">
        <v>202</v>
      </c>
      <c r="I1139">
        <v>1</v>
      </c>
      <c r="J1139" t="s">
        <v>502</v>
      </c>
      <c r="K1139">
        <v>1</v>
      </c>
      <c r="L1139">
        <v>1</v>
      </c>
      <c r="M1139" t="s">
        <v>1962</v>
      </c>
      <c r="N1139">
        <v>0</v>
      </c>
      <c r="O1139" s="1">
        <f>+Tabla__192.168.1.8_POSEIDONSQL_APPFVT_01_tbl_detalle_fill_rate[[#This Row],[emb_cantidad]]-Tabla__192.168.1.8_POSEIDONSQL_APPFVT_01_tbl_detalle_fill_rate[[#This Row],[dev_cantidad]]</f>
        <v>1</v>
      </c>
      <c r="P11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39" s="1">
        <f>+Tabla__192.168.1.8_POSEIDONSQL_APPFVT_01_tbl_detalle_fill_rate[[#This Row],[Cumpl Real Unds]]-Tabla__192.168.1.8_POSEIDONSQL_APPFVT_01_tbl_detalle_fill_rate[[#This Row],[Cant Embarcada]]</f>
        <v>0</v>
      </c>
      <c r="S1139" s="1">
        <f>+IF(Tabla__192.168.1.8_POSEIDONSQL_APPFVT_01_tbl_detalle_fill_rate[[#This Row],[Pend Emb]]&gt;0,1,0)</f>
        <v>0</v>
      </c>
      <c r="T11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0" spans="1:20" x14ac:dyDescent="0.25">
      <c r="A1140">
        <v>4</v>
      </c>
      <c r="B1140" t="s">
        <v>56</v>
      </c>
      <c r="C1140">
        <v>9626666</v>
      </c>
      <c r="D1140" s="48">
        <v>43339</v>
      </c>
      <c r="E1140" s="48">
        <v>43337</v>
      </c>
      <c r="F1140" s="48">
        <v>43343</v>
      </c>
      <c r="G1140" t="s">
        <v>62</v>
      </c>
      <c r="H1140" t="s">
        <v>63</v>
      </c>
      <c r="I1140">
        <v>1</v>
      </c>
      <c r="J1140" t="s">
        <v>491</v>
      </c>
      <c r="K1140">
        <v>1</v>
      </c>
      <c r="L1140">
        <v>1</v>
      </c>
      <c r="M1140" t="s">
        <v>1962</v>
      </c>
      <c r="N1140">
        <v>0</v>
      </c>
      <c r="O1140" s="1">
        <f>+Tabla__192.168.1.8_POSEIDONSQL_APPFVT_01_tbl_detalle_fill_rate[[#This Row],[emb_cantidad]]-Tabla__192.168.1.8_POSEIDONSQL_APPFVT_01_tbl_detalle_fill_rate[[#This Row],[dev_cantidad]]</f>
        <v>1</v>
      </c>
      <c r="P11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0" s="1">
        <f>+Tabla__192.168.1.8_POSEIDONSQL_APPFVT_01_tbl_detalle_fill_rate[[#This Row],[Cumpl Real Unds]]-Tabla__192.168.1.8_POSEIDONSQL_APPFVT_01_tbl_detalle_fill_rate[[#This Row],[Cant Embarcada]]</f>
        <v>0</v>
      </c>
      <c r="S1140" s="1">
        <f>+IF(Tabla__192.168.1.8_POSEIDONSQL_APPFVT_01_tbl_detalle_fill_rate[[#This Row],[Pend Emb]]&gt;0,1,0)</f>
        <v>0</v>
      </c>
      <c r="T11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1" spans="1:20" x14ac:dyDescent="0.25">
      <c r="A1141">
        <v>4</v>
      </c>
      <c r="B1141" t="s">
        <v>56</v>
      </c>
      <c r="C1141">
        <v>9638687</v>
      </c>
      <c r="D1141" s="48">
        <v>43342</v>
      </c>
      <c r="E1141" s="48">
        <v>43341</v>
      </c>
      <c r="F1141" s="48">
        <v>43348</v>
      </c>
      <c r="G1141" t="s">
        <v>557</v>
      </c>
      <c r="H1141" t="s">
        <v>558</v>
      </c>
      <c r="I1141">
        <v>1</v>
      </c>
      <c r="J1141" t="s">
        <v>785</v>
      </c>
      <c r="K1141">
        <v>1</v>
      </c>
      <c r="L1141">
        <v>1</v>
      </c>
      <c r="M1141" t="s">
        <v>160</v>
      </c>
      <c r="N1141">
        <v>0</v>
      </c>
      <c r="O1141" s="1">
        <f>+Tabla__192.168.1.8_POSEIDONSQL_APPFVT_01_tbl_detalle_fill_rate[[#This Row],[emb_cantidad]]-Tabla__192.168.1.8_POSEIDONSQL_APPFVT_01_tbl_detalle_fill_rate[[#This Row],[dev_cantidad]]</f>
        <v>1</v>
      </c>
      <c r="P11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1" s="1">
        <f>+Tabla__192.168.1.8_POSEIDONSQL_APPFVT_01_tbl_detalle_fill_rate[[#This Row],[Cumpl Real Unds]]-Tabla__192.168.1.8_POSEIDONSQL_APPFVT_01_tbl_detalle_fill_rate[[#This Row],[Cant Embarcada]]</f>
        <v>0</v>
      </c>
      <c r="S1141" s="1">
        <f>+IF(Tabla__192.168.1.8_POSEIDONSQL_APPFVT_01_tbl_detalle_fill_rate[[#This Row],[Pend Emb]]&gt;0,1,0)</f>
        <v>0</v>
      </c>
      <c r="T11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2" spans="1:20" x14ac:dyDescent="0.25">
      <c r="A1142">
        <v>4</v>
      </c>
      <c r="B1142" t="s">
        <v>56</v>
      </c>
      <c r="C1142">
        <v>9638754</v>
      </c>
      <c r="D1142" s="48">
        <v>43342</v>
      </c>
      <c r="E1142" s="48">
        <v>43341</v>
      </c>
      <c r="F1142" s="48">
        <v>43348</v>
      </c>
      <c r="G1142" t="s">
        <v>94</v>
      </c>
      <c r="H1142" t="s">
        <v>95</v>
      </c>
      <c r="I1142">
        <v>1</v>
      </c>
      <c r="J1142" t="s">
        <v>786</v>
      </c>
      <c r="K1142">
        <v>1</v>
      </c>
      <c r="L1142">
        <v>1</v>
      </c>
      <c r="M1142" t="s">
        <v>160</v>
      </c>
      <c r="N1142">
        <v>0</v>
      </c>
      <c r="O1142" s="1">
        <f>+Tabla__192.168.1.8_POSEIDONSQL_APPFVT_01_tbl_detalle_fill_rate[[#This Row],[emb_cantidad]]-Tabla__192.168.1.8_POSEIDONSQL_APPFVT_01_tbl_detalle_fill_rate[[#This Row],[dev_cantidad]]</f>
        <v>1</v>
      </c>
      <c r="P11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2" s="1">
        <f>+Tabla__192.168.1.8_POSEIDONSQL_APPFVT_01_tbl_detalle_fill_rate[[#This Row],[Cumpl Real Unds]]-Tabla__192.168.1.8_POSEIDONSQL_APPFVT_01_tbl_detalle_fill_rate[[#This Row],[Cant Embarcada]]</f>
        <v>0</v>
      </c>
      <c r="S1142" s="1">
        <f>+IF(Tabla__192.168.1.8_POSEIDONSQL_APPFVT_01_tbl_detalle_fill_rate[[#This Row],[Pend Emb]]&gt;0,1,0)</f>
        <v>0</v>
      </c>
      <c r="T11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3" spans="1:20" x14ac:dyDescent="0.25">
      <c r="A1143">
        <v>4</v>
      </c>
      <c r="B1143" t="s">
        <v>56</v>
      </c>
      <c r="C1143">
        <v>9638822</v>
      </c>
      <c r="D1143" s="48">
        <v>43342</v>
      </c>
      <c r="E1143" s="48">
        <v>43341</v>
      </c>
      <c r="F1143" s="48">
        <v>43348</v>
      </c>
      <c r="G1143" t="s">
        <v>269</v>
      </c>
      <c r="H1143" t="s">
        <v>270</v>
      </c>
      <c r="I1143">
        <v>1</v>
      </c>
      <c r="J1143" t="s">
        <v>778</v>
      </c>
      <c r="K1143">
        <v>1</v>
      </c>
      <c r="L1143">
        <v>1</v>
      </c>
      <c r="M1143" t="s">
        <v>160</v>
      </c>
      <c r="N1143">
        <v>0</v>
      </c>
      <c r="O1143" s="1">
        <f>+Tabla__192.168.1.8_POSEIDONSQL_APPFVT_01_tbl_detalle_fill_rate[[#This Row],[emb_cantidad]]-Tabla__192.168.1.8_POSEIDONSQL_APPFVT_01_tbl_detalle_fill_rate[[#This Row],[dev_cantidad]]</f>
        <v>1</v>
      </c>
      <c r="P11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3" s="1">
        <f>+Tabla__192.168.1.8_POSEIDONSQL_APPFVT_01_tbl_detalle_fill_rate[[#This Row],[Cumpl Real Unds]]-Tabla__192.168.1.8_POSEIDONSQL_APPFVT_01_tbl_detalle_fill_rate[[#This Row],[Cant Embarcada]]</f>
        <v>0</v>
      </c>
      <c r="S1143" s="1">
        <f>+IF(Tabla__192.168.1.8_POSEIDONSQL_APPFVT_01_tbl_detalle_fill_rate[[#This Row],[Pend Emb]]&gt;0,1,0)</f>
        <v>0</v>
      </c>
      <c r="T11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4" spans="1:20" x14ac:dyDescent="0.25">
      <c r="A1144">
        <v>4</v>
      </c>
      <c r="B1144" t="s">
        <v>56</v>
      </c>
      <c r="C1144">
        <v>9639087</v>
      </c>
      <c r="D1144" s="48">
        <v>43342</v>
      </c>
      <c r="E1144" s="48">
        <v>43341</v>
      </c>
      <c r="F1144" s="48">
        <v>43350</v>
      </c>
      <c r="G1144" t="s">
        <v>108</v>
      </c>
      <c r="H1144" t="s">
        <v>109</v>
      </c>
      <c r="I1144">
        <v>1</v>
      </c>
      <c r="J1144" t="s">
        <v>788</v>
      </c>
      <c r="K1144">
        <v>1</v>
      </c>
      <c r="L1144">
        <v>1</v>
      </c>
      <c r="M1144" t="s">
        <v>1969</v>
      </c>
      <c r="N1144">
        <v>0</v>
      </c>
      <c r="O1144" s="1">
        <f>+Tabla__192.168.1.8_POSEIDONSQL_APPFVT_01_tbl_detalle_fill_rate[[#This Row],[emb_cantidad]]-Tabla__192.168.1.8_POSEIDONSQL_APPFVT_01_tbl_detalle_fill_rate[[#This Row],[dev_cantidad]]</f>
        <v>1</v>
      </c>
      <c r="P11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4" s="1">
        <f>+Tabla__192.168.1.8_POSEIDONSQL_APPFVT_01_tbl_detalle_fill_rate[[#This Row],[Cumpl Real Unds]]-Tabla__192.168.1.8_POSEIDONSQL_APPFVT_01_tbl_detalle_fill_rate[[#This Row],[Cant Embarcada]]</f>
        <v>0</v>
      </c>
      <c r="S1144" s="1">
        <f>+IF(Tabla__192.168.1.8_POSEIDONSQL_APPFVT_01_tbl_detalle_fill_rate[[#This Row],[Pend Emb]]&gt;0,1,0)</f>
        <v>0</v>
      </c>
      <c r="T11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5" spans="1:20" x14ac:dyDescent="0.25">
      <c r="A1145">
        <v>4</v>
      </c>
      <c r="B1145" t="s">
        <v>56</v>
      </c>
      <c r="C1145">
        <v>9639287</v>
      </c>
      <c r="D1145" s="48">
        <v>43342</v>
      </c>
      <c r="E1145" s="48">
        <v>43341</v>
      </c>
      <c r="F1145" s="48">
        <v>43350</v>
      </c>
      <c r="G1145" t="s">
        <v>120</v>
      </c>
      <c r="H1145" t="s">
        <v>121</v>
      </c>
      <c r="I1145">
        <v>1</v>
      </c>
      <c r="J1145" t="s">
        <v>789</v>
      </c>
      <c r="K1145">
        <v>1</v>
      </c>
      <c r="L1145">
        <v>1</v>
      </c>
      <c r="M1145" t="s">
        <v>1969</v>
      </c>
      <c r="N1145">
        <v>0</v>
      </c>
      <c r="O1145" s="1">
        <f>+Tabla__192.168.1.8_POSEIDONSQL_APPFVT_01_tbl_detalle_fill_rate[[#This Row],[emb_cantidad]]-Tabla__192.168.1.8_POSEIDONSQL_APPFVT_01_tbl_detalle_fill_rate[[#This Row],[dev_cantidad]]</f>
        <v>1</v>
      </c>
      <c r="P11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5" s="1">
        <f>+Tabla__192.168.1.8_POSEIDONSQL_APPFVT_01_tbl_detalle_fill_rate[[#This Row],[Cumpl Real Unds]]-Tabla__192.168.1.8_POSEIDONSQL_APPFVT_01_tbl_detalle_fill_rate[[#This Row],[Cant Embarcada]]</f>
        <v>0</v>
      </c>
      <c r="S1145" s="1">
        <f>+IF(Tabla__192.168.1.8_POSEIDONSQL_APPFVT_01_tbl_detalle_fill_rate[[#This Row],[Pend Emb]]&gt;0,1,0)</f>
        <v>0</v>
      </c>
      <c r="T11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6" spans="1:20" x14ac:dyDescent="0.25">
      <c r="A1146">
        <v>4</v>
      </c>
      <c r="B1146" t="s">
        <v>56</v>
      </c>
      <c r="C1146">
        <v>9639480</v>
      </c>
      <c r="D1146" s="48">
        <v>43342</v>
      </c>
      <c r="E1146" s="48">
        <v>43342</v>
      </c>
      <c r="F1146" s="48">
        <v>43350</v>
      </c>
      <c r="G1146" t="s">
        <v>102</v>
      </c>
      <c r="H1146" t="s">
        <v>103</v>
      </c>
      <c r="I1146">
        <v>1</v>
      </c>
      <c r="J1146" t="s">
        <v>790</v>
      </c>
      <c r="K1146">
        <v>1</v>
      </c>
      <c r="L1146">
        <v>1</v>
      </c>
      <c r="M1146" t="s">
        <v>1969</v>
      </c>
      <c r="N1146">
        <v>0</v>
      </c>
      <c r="O1146" s="1">
        <f>+Tabla__192.168.1.8_POSEIDONSQL_APPFVT_01_tbl_detalle_fill_rate[[#This Row],[emb_cantidad]]-Tabla__192.168.1.8_POSEIDONSQL_APPFVT_01_tbl_detalle_fill_rate[[#This Row],[dev_cantidad]]</f>
        <v>1</v>
      </c>
      <c r="P11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6" s="1">
        <f>+Tabla__192.168.1.8_POSEIDONSQL_APPFVT_01_tbl_detalle_fill_rate[[#This Row],[Cumpl Real Unds]]-Tabla__192.168.1.8_POSEIDONSQL_APPFVT_01_tbl_detalle_fill_rate[[#This Row],[Cant Embarcada]]</f>
        <v>0</v>
      </c>
      <c r="S1146" s="1">
        <f>+IF(Tabla__192.168.1.8_POSEIDONSQL_APPFVT_01_tbl_detalle_fill_rate[[#This Row],[Pend Emb]]&gt;0,1,0)</f>
        <v>0</v>
      </c>
      <c r="T11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7" spans="1:20" x14ac:dyDescent="0.25">
      <c r="A1147">
        <v>4</v>
      </c>
      <c r="B1147" t="s">
        <v>56</v>
      </c>
      <c r="C1147">
        <v>9639535</v>
      </c>
      <c r="D1147" s="48">
        <v>43342</v>
      </c>
      <c r="E1147" s="48">
        <v>43342</v>
      </c>
      <c r="F1147" s="48">
        <v>43350</v>
      </c>
      <c r="G1147" t="s">
        <v>64</v>
      </c>
      <c r="H1147" t="s">
        <v>65</v>
      </c>
      <c r="I1147">
        <v>1</v>
      </c>
      <c r="J1147" t="s">
        <v>791</v>
      </c>
      <c r="K1147">
        <v>1</v>
      </c>
      <c r="L1147">
        <v>1</v>
      </c>
      <c r="M1147" t="s">
        <v>1969</v>
      </c>
      <c r="N1147">
        <v>0</v>
      </c>
      <c r="O1147" s="1">
        <f>+Tabla__192.168.1.8_POSEIDONSQL_APPFVT_01_tbl_detalle_fill_rate[[#This Row],[emb_cantidad]]-Tabla__192.168.1.8_POSEIDONSQL_APPFVT_01_tbl_detalle_fill_rate[[#This Row],[dev_cantidad]]</f>
        <v>1</v>
      </c>
      <c r="P11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7" s="1">
        <f>+Tabla__192.168.1.8_POSEIDONSQL_APPFVT_01_tbl_detalle_fill_rate[[#This Row],[Cumpl Real Unds]]-Tabla__192.168.1.8_POSEIDONSQL_APPFVT_01_tbl_detalle_fill_rate[[#This Row],[Cant Embarcada]]</f>
        <v>0</v>
      </c>
      <c r="S1147" s="1">
        <f>+IF(Tabla__192.168.1.8_POSEIDONSQL_APPFVT_01_tbl_detalle_fill_rate[[#This Row],[Pend Emb]]&gt;0,1,0)</f>
        <v>0</v>
      </c>
      <c r="T11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8" spans="1:20" x14ac:dyDescent="0.25">
      <c r="A1148">
        <v>4</v>
      </c>
      <c r="B1148" t="s">
        <v>56</v>
      </c>
      <c r="C1148">
        <v>9639647</v>
      </c>
      <c r="D1148" s="48">
        <v>43343</v>
      </c>
      <c r="E1148" s="48">
        <v>43342</v>
      </c>
      <c r="F1148" s="48">
        <v>43350</v>
      </c>
      <c r="G1148" t="s">
        <v>80</v>
      </c>
      <c r="H1148" t="s">
        <v>81</v>
      </c>
      <c r="I1148">
        <v>1</v>
      </c>
      <c r="J1148" t="s">
        <v>1256</v>
      </c>
      <c r="K1148">
        <v>1</v>
      </c>
      <c r="L1148">
        <v>1</v>
      </c>
      <c r="M1148" t="s">
        <v>1969</v>
      </c>
      <c r="N1148">
        <v>0</v>
      </c>
      <c r="O1148" s="1">
        <f>+Tabla__192.168.1.8_POSEIDONSQL_APPFVT_01_tbl_detalle_fill_rate[[#This Row],[emb_cantidad]]-Tabla__192.168.1.8_POSEIDONSQL_APPFVT_01_tbl_detalle_fill_rate[[#This Row],[dev_cantidad]]</f>
        <v>1</v>
      </c>
      <c r="P11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8" s="1">
        <f>+Tabla__192.168.1.8_POSEIDONSQL_APPFVT_01_tbl_detalle_fill_rate[[#This Row],[Cumpl Real Unds]]-Tabla__192.168.1.8_POSEIDONSQL_APPFVT_01_tbl_detalle_fill_rate[[#This Row],[Cant Embarcada]]</f>
        <v>0</v>
      </c>
      <c r="S1148" s="1">
        <f>+IF(Tabla__192.168.1.8_POSEIDONSQL_APPFVT_01_tbl_detalle_fill_rate[[#This Row],[Pend Emb]]&gt;0,1,0)</f>
        <v>0</v>
      </c>
      <c r="T11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49" spans="1:20" x14ac:dyDescent="0.25">
      <c r="A1149">
        <v>4</v>
      </c>
      <c r="B1149" t="s">
        <v>56</v>
      </c>
      <c r="C1149">
        <v>9640126</v>
      </c>
      <c r="D1149" s="48">
        <v>43343</v>
      </c>
      <c r="E1149" s="48">
        <v>43342</v>
      </c>
      <c r="F1149" s="48">
        <v>43350</v>
      </c>
      <c r="G1149" t="s">
        <v>124</v>
      </c>
      <c r="H1149" t="s">
        <v>125</v>
      </c>
      <c r="I1149">
        <v>1</v>
      </c>
      <c r="J1149" t="s">
        <v>1251</v>
      </c>
      <c r="K1149">
        <v>1</v>
      </c>
      <c r="L1149">
        <v>1</v>
      </c>
      <c r="M1149" t="s">
        <v>1969</v>
      </c>
      <c r="N1149">
        <v>0</v>
      </c>
      <c r="O1149" s="1">
        <f>+Tabla__192.168.1.8_POSEIDONSQL_APPFVT_01_tbl_detalle_fill_rate[[#This Row],[emb_cantidad]]-Tabla__192.168.1.8_POSEIDONSQL_APPFVT_01_tbl_detalle_fill_rate[[#This Row],[dev_cantidad]]</f>
        <v>1</v>
      </c>
      <c r="P11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49" s="1">
        <f>+Tabla__192.168.1.8_POSEIDONSQL_APPFVT_01_tbl_detalle_fill_rate[[#This Row],[Cumpl Real Unds]]-Tabla__192.168.1.8_POSEIDONSQL_APPFVT_01_tbl_detalle_fill_rate[[#This Row],[Cant Embarcada]]</f>
        <v>0</v>
      </c>
      <c r="S1149" s="1">
        <f>+IF(Tabla__192.168.1.8_POSEIDONSQL_APPFVT_01_tbl_detalle_fill_rate[[#This Row],[Pend Emb]]&gt;0,1,0)</f>
        <v>0</v>
      </c>
      <c r="T11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0" spans="1:20" x14ac:dyDescent="0.25">
      <c r="A1150">
        <v>4</v>
      </c>
      <c r="B1150" t="s">
        <v>56</v>
      </c>
      <c r="C1150">
        <v>9640251</v>
      </c>
      <c r="D1150" s="48">
        <v>43343</v>
      </c>
      <c r="E1150" s="48">
        <v>43342</v>
      </c>
      <c r="F1150" s="48">
        <v>43350</v>
      </c>
      <c r="G1150" t="s">
        <v>90</v>
      </c>
      <c r="H1150" t="s">
        <v>91</v>
      </c>
      <c r="I1150">
        <v>1</v>
      </c>
      <c r="J1150" t="s">
        <v>1252</v>
      </c>
      <c r="K1150">
        <v>1</v>
      </c>
      <c r="L1150">
        <v>1</v>
      </c>
      <c r="M1150" t="s">
        <v>1969</v>
      </c>
      <c r="N1150">
        <v>0</v>
      </c>
      <c r="O1150" s="1">
        <f>+Tabla__192.168.1.8_POSEIDONSQL_APPFVT_01_tbl_detalle_fill_rate[[#This Row],[emb_cantidad]]-Tabla__192.168.1.8_POSEIDONSQL_APPFVT_01_tbl_detalle_fill_rate[[#This Row],[dev_cantidad]]</f>
        <v>1</v>
      </c>
      <c r="P11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0" s="1">
        <f>+Tabla__192.168.1.8_POSEIDONSQL_APPFVT_01_tbl_detalle_fill_rate[[#This Row],[Cumpl Real Unds]]-Tabla__192.168.1.8_POSEIDONSQL_APPFVT_01_tbl_detalle_fill_rate[[#This Row],[Cant Embarcada]]</f>
        <v>0</v>
      </c>
      <c r="S1150" s="1">
        <f>+IF(Tabla__192.168.1.8_POSEIDONSQL_APPFVT_01_tbl_detalle_fill_rate[[#This Row],[Pend Emb]]&gt;0,1,0)</f>
        <v>0</v>
      </c>
      <c r="T11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1" spans="1:20" x14ac:dyDescent="0.25">
      <c r="A1151">
        <v>4</v>
      </c>
      <c r="B1151" t="s">
        <v>56</v>
      </c>
      <c r="C1151">
        <v>9640942</v>
      </c>
      <c r="D1151" s="48">
        <v>43343</v>
      </c>
      <c r="E1151" s="48">
        <v>43342</v>
      </c>
      <c r="F1151" s="48">
        <v>43350</v>
      </c>
      <c r="G1151" t="s">
        <v>225</v>
      </c>
      <c r="H1151" t="s">
        <v>226</v>
      </c>
      <c r="I1151">
        <v>1</v>
      </c>
      <c r="J1151" t="s">
        <v>1253</v>
      </c>
      <c r="K1151">
        <v>1</v>
      </c>
      <c r="L1151">
        <v>1</v>
      </c>
      <c r="M1151" t="s">
        <v>1969</v>
      </c>
      <c r="N1151">
        <v>0</v>
      </c>
      <c r="O1151" s="1">
        <f>+Tabla__192.168.1.8_POSEIDONSQL_APPFVT_01_tbl_detalle_fill_rate[[#This Row],[emb_cantidad]]-Tabla__192.168.1.8_POSEIDONSQL_APPFVT_01_tbl_detalle_fill_rate[[#This Row],[dev_cantidad]]</f>
        <v>1</v>
      </c>
      <c r="P11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1" s="1">
        <f>+Tabla__192.168.1.8_POSEIDONSQL_APPFVT_01_tbl_detalle_fill_rate[[#This Row],[Cumpl Real Unds]]-Tabla__192.168.1.8_POSEIDONSQL_APPFVT_01_tbl_detalle_fill_rate[[#This Row],[Cant Embarcada]]</f>
        <v>0</v>
      </c>
      <c r="S1151" s="1">
        <f>+IF(Tabla__192.168.1.8_POSEIDONSQL_APPFVT_01_tbl_detalle_fill_rate[[#This Row],[Pend Emb]]&gt;0,1,0)</f>
        <v>0</v>
      </c>
      <c r="T11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2" spans="1:20" x14ac:dyDescent="0.25">
      <c r="A1152">
        <v>4</v>
      </c>
      <c r="B1152" t="s">
        <v>56</v>
      </c>
      <c r="C1152">
        <v>9641143</v>
      </c>
      <c r="D1152" s="48">
        <v>43343</v>
      </c>
      <c r="E1152" s="48">
        <v>43342</v>
      </c>
      <c r="F1152" s="48">
        <v>43350</v>
      </c>
      <c r="G1152" t="s">
        <v>92</v>
      </c>
      <c r="H1152" t="s">
        <v>93</v>
      </c>
      <c r="I1152">
        <v>1</v>
      </c>
      <c r="J1152" t="s">
        <v>1254</v>
      </c>
      <c r="K1152">
        <v>1</v>
      </c>
      <c r="L1152">
        <v>1</v>
      </c>
      <c r="M1152" t="s">
        <v>1969</v>
      </c>
      <c r="N1152">
        <v>0</v>
      </c>
      <c r="O1152" s="1">
        <f>+Tabla__192.168.1.8_POSEIDONSQL_APPFVT_01_tbl_detalle_fill_rate[[#This Row],[emb_cantidad]]-Tabla__192.168.1.8_POSEIDONSQL_APPFVT_01_tbl_detalle_fill_rate[[#This Row],[dev_cantidad]]</f>
        <v>1</v>
      </c>
      <c r="P11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2" s="1">
        <f>+Tabla__192.168.1.8_POSEIDONSQL_APPFVT_01_tbl_detalle_fill_rate[[#This Row],[Cumpl Real Unds]]-Tabla__192.168.1.8_POSEIDONSQL_APPFVT_01_tbl_detalle_fill_rate[[#This Row],[Cant Embarcada]]</f>
        <v>0</v>
      </c>
      <c r="S1152" s="1">
        <f>+IF(Tabla__192.168.1.8_POSEIDONSQL_APPFVT_01_tbl_detalle_fill_rate[[#This Row],[Pend Emb]]&gt;0,1,0)</f>
        <v>0</v>
      </c>
      <c r="T11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3" spans="1:20" x14ac:dyDescent="0.25">
      <c r="A1153">
        <v>4</v>
      </c>
      <c r="B1153" t="s">
        <v>56</v>
      </c>
      <c r="C1153">
        <v>9641874</v>
      </c>
      <c r="D1153" s="48">
        <v>43343</v>
      </c>
      <c r="E1153" s="48">
        <v>43342</v>
      </c>
      <c r="F1153" s="48">
        <v>43350</v>
      </c>
      <c r="G1153" t="s">
        <v>62</v>
      </c>
      <c r="H1153" t="s">
        <v>63</v>
      </c>
      <c r="I1153">
        <v>1</v>
      </c>
      <c r="J1153" t="s">
        <v>1255</v>
      </c>
      <c r="K1153">
        <v>1</v>
      </c>
      <c r="L1153">
        <v>1</v>
      </c>
      <c r="M1153" t="s">
        <v>1969</v>
      </c>
      <c r="N1153">
        <v>0</v>
      </c>
      <c r="O1153" s="1">
        <f>+Tabla__192.168.1.8_POSEIDONSQL_APPFVT_01_tbl_detalle_fill_rate[[#This Row],[emb_cantidad]]-Tabla__192.168.1.8_POSEIDONSQL_APPFVT_01_tbl_detalle_fill_rate[[#This Row],[dev_cantidad]]</f>
        <v>1</v>
      </c>
      <c r="P11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3" s="1">
        <f>+Tabla__192.168.1.8_POSEIDONSQL_APPFVT_01_tbl_detalle_fill_rate[[#This Row],[Cumpl Real Unds]]-Tabla__192.168.1.8_POSEIDONSQL_APPFVT_01_tbl_detalle_fill_rate[[#This Row],[Cant Embarcada]]</f>
        <v>0</v>
      </c>
      <c r="S1153" s="1">
        <f>+IF(Tabla__192.168.1.8_POSEIDONSQL_APPFVT_01_tbl_detalle_fill_rate[[#This Row],[Pend Emb]]&gt;0,1,0)</f>
        <v>0</v>
      </c>
      <c r="T11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4" spans="1:20" x14ac:dyDescent="0.25">
      <c r="A1154">
        <v>4</v>
      </c>
      <c r="B1154" t="s">
        <v>56</v>
      </c>
      <c r="C1154">
        <v>9642139</v>
      </c>
      <c r="D1154" s="48">
        <v>43346</v>
      </c>
      <c r="E1154" s="48">
        <v>43343</v>
      </c>
      <c r="F1154" s="48">
        <v>43355</v>
      </c>
      <c r="G1154" t="s">
        <v>76</v>
      </c>
      <c r="H1154" t="s">
        <v>77</v>
      </c>
      <c r="I1154">
        <v>1</v>
      </c>
      <c r="J1154" t="s">
        <v>1605</v>
      </c>
      <c r="K1154">
        <v>1</v>
      </c>
      <c r="L1154">
        <v>1</v>
      </c>
      <c r="M1154" t="s">
        <v>427</v>
      </c>
      <c r="N1154">
        <v>0</v>
      </c>
      <c r="O1154" s="1">
        <f>+Tabla__192.168.1.8_POSEIDONSQL_APPFVT_01_tbl_detalle_fill_rate[[#This Row],[emb_cantidad]]-Tabla__192.168.1.8_POSEIDONSQL_APPFVT_01_tbl_detalle_fill_rate[[#This Row],[dev_cantidad]]</f>
        <v>1</v>
      </c>
      <c r="P11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4" s="1">
        <f>+Tabla__192.168.1.8_POSEIDONSQL_APPFVT_01_tbl_detalle_fill_rate[[#This Row],[Cumpl Real Unds]]-Tabla__192.168.1.8_POSEIDONSQL_APPFVT_01_tbl_detalle_fill_rate[[#This Row],[Cant Embarcada]]</f>
        <v>0</v>
      </c>
      <c r="S1154" s="1">
        <f>+IF(Tabla__192.168.1.8_POSEIDONSQL_APPFVT_01_tbl_detalle_fill_rate[[#This Row],[Pend Emb]]&gt;0,1,0)</f>
        <v>0</v>
      </c>
      <c r="T11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5" spans="1:20" x14ac:dyDescent="0.25">
      <c r="A1155">
        <v>4</v>
      </c>
      <c r="B1155" t="s">
        <v>56</v>
      </c>
      <c r="C1155">
        <v>9642328</v>
      </c>
      <c r="D1155" s="48">
        <v>43346</v>
      </c>
      <c r="E1155" s="48">
        <v>43343</v>
      </c>
      <c r="F1155" s="48">
        <v>43350</v>
      </c>
      <c r="G1155" t="s">
        <v>64</v>
      </c>
      <c r="H1155" t="s">
        <v>65</v>
      </c>
      <c r="I1155">
        <v>1</v>
      </c>
      <c r="J1155" t="s">
        <v>1431</v>
      </c>
      <c r="K1155">
        <v>1</v>
      </c>
      <c r="L1155">
        <v>1</v>
      </c>
      <c r="M1155" t="s">
        <v>1969</v>
      </c>
      <c r="N1155">
        <v>0</v>
      </c>
      <c r="O1155" s="1">
        <f>+Tabla__192.168.1.8_POSEIDONSQL_APPFVT_01_tbl_detalle_fill_rate[[#This Row],[emb_cantidad]]-Tabla__192.168.1.8_POSEIDONSQL_APPFVT_01_tbl_detalle_fill_rate[[#This Row],[dev_cantidad]]</f>
        <v>1</v>
      </c>
      <c r="P11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5" s="1">
        <f>+Tabla__192.168.1.8_POSEIDONSQL_APPFVT_01_tbl_detalle_fill_rate[[#This Row],[Cumpl Real Unds]]-Tabla__192.168.1.8_POSEIDONSQL_APPFVT_01_tbl_detalle_fill_rate[[#This Row],[Cant Embarcada]]</f>
        <v>0</v>
      </c>
      <c r="S1155" s="1">
        <f>+IF(Tabla__192.168.1.8_POSEIDONSQL_APPFVT_01_tbl_detalle_fill_rate[[#This Row],[Pend Emb]]&gt;0,1,0)</f>
        <v>0</v>
      </c>
      <c r="T11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6" spans="1:20" x14ac:dyDescent="0.25">
      <c r="A1156">
        <v>4</v>
      </c>
      <c r="B1156" t="s">
        <v>56</v>
      </c>
      <c r="C1156">
        <v>9642436</v>
      </c>
      <c r="D1156" s="48">
        <v>43346</v>
      </c>
      <c r="E1156" s="48">
        <v>43343</v>
      </c>
      <c r="F1156" s="48">
        <v>43350</v>
      </c>
      <c r="G1156" t="s">
        <v>74</v>
      </c>
      <c r="H1156" t="s">
        <v>75</v>
      </c>
      <c r="I1156">
        <v>2</v>
      </c>
      <c r="J1156" t="s">
        <v>1432</v>
      </c>
      <c r="K1156">
        <v>2</v>
      </c>
      <c r="L1156">
        <v>2</v>
      </c>
      <c r="M1156" t="s">
        <v>1969</v>
      </c>
      <c r="N1156">
        <v>0</v>
      </c>
      <c r="O1156" s="1">
        <f>+Tabla__192.168.1.8_POSEIDONSQL_APPFVT_01_tbl_detalle_fill_rate[[#This Row],[emb_cantidad]]-Tabla__192.168.1.8_POSEIDONSQL_APPFVT_01_tbl_detalle_fill_rate[[#This Row],[dev_cantidad]]</f>
        <v>2</v>
      </c>
      <c r="P11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156" s="1">
        <f>+Tabla__192.168.1.8_POSEIDONSQL_APPFVT_01_tbl_detalle_fill_rate[[#This Row],[Cumpl Real Unds]]-Tabla__192.168.1.8_POSEIDONSQL_APPFVT_01_tbl_detalle_fill_rate[[#This Row],[Cant Embarcada]]</f>
        <v>0</v>
      </c>
      <c r="S1156" s="1">
        <f>+IF(Tabla__192.168.1.8_POSEIDONSQL_APPFVT_01_tbl_detalle_fill_rate[[#This Row],[Pend Emb]]&gt;0,1,0)</f>
        <v>0</v>
      </c>
      <c r="T11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7" spans="1:20" x14ac:dyDescent="0.25">
      <c r="A1157">
        <v>4</v>
      </c>
      <c r="B1157" t="s">
        <v>56</v>
      </c>
      <c r="C1157">
        <v>9643255</v>
      </c>
      <c r="D1157" s="48">
        <v>43346</v>
      </c>
      <c r="E1157" s="48">
        <v>43343</v>
      </c>
      <c r="F1157" s="48">
        <v>43350</v>
      </c>
      <c r="G1157" t="s">
        <v>122</v>
      </c>
      <c r="H1157" t="s">
        <v>123</v>
      </c>
      <c r="I1157">
        <v>1</v>
      </c>
      <c r="J1157" t="s">
        <v>1433</v>
      </c>
      <c r="K1157">
        <v>1</v>
      </c>
      <c r="L1157">
        <v>1</v>
      </c>
      <c r="M1157" t="s">
        <v>1969</v>
      </c>
      <c r="N1157">
        <v>0</v>
      </c>
      <c r="O1157" s="1">
        <f>+Tabla__192.168.1.8_POSEIDONSQL_APPFVT_01_tbl_detalle_fill_rate[[#This Row],[emb_cantidad]]-Tabla__192.168.1.8_POSEIDONSQL_APPFVT_01_tbl_detalle_fill_rate[[#This Row],[dev_cantidad]]</f>
        <v>1</v>
      </c>
      <c r="P11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7" s="1">
        <f>+Tabla__192.168.1.8_POSEIDONSQL_APPFVT_01_tbl_detalle_fill_rate[[#This Row],[Cumpl Real Unds]]-Tabla__192.168.1.8_POSEIDONSQL_APPFVT_01_tbl_detalle_fill_rate[[#This Row],[Cant Embarcada]]</f>
        <v>0</v>
      </c>
      <c r="S1157" s="1">
        <f>+IF(Tabla__192.168.1.8_POSEIDONSQL_APPFVT_01_tbl_detalle_fill_rate[[#This Row],[Pend Emb]]&gt;0,1,0)</f>
        <v>0</v>
      </c>
      <c r="T11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8" spans="1:20" x14ac:dyDescent="0.25">
      <c r="A1158">
        <v>4</v>
      </c>
      <c r="B1158" t="s">
        <v>56</v>
      </c>
      <c r="C1158">
        <v>9643490</v>
      </c>
      <c r="D1158" s="48">
        <v>43346</v>
      </c>
      <c r="E1158" s="48">
        <v>43343</v>
      </c>
      <c r="F1158" s="48">
        <v>43350</v>
      </c>
      <c r="G1158" t="s">
        <v>780</v>
      </c>
      <c r="H1158" t="s">
        <v>781</v>
      </c>
      <c r="I1158">
        <v>1</v>
      </c>
      <c r="J1158" t="s">
        <v>1434</v>
      </c>
      <c r="K1158">
        <v>1</v>
      </c>
      <c r="L1158">
        <v>1</v>
      </c>
      <c r="M1158" t="s">
        <v>1969</v>
      </c>
      <c r="N1158">
        <v>0</v>
      </c>
      <c r="O1158" s="1">
        <f>+Tabla__192.168.1.8_POSEIDONSQL_APPFVT_01_tbl_detalle_fill_rate[[#This Row],[emb_cantidad]]-Tabla__192.168.1.8_POSEIDONSQL_APPFVT_01_tbl_detalle_fill_rate[[#This Row],[dev_cantidad]]</f>
        <v>1</v>
      </c>
      <c r="P11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58" s="1">
        <f>+Tabla__192.168.1.8_POSEIDONSQL_APPFVT_01_tbl_detalle_fill_rate[[#This Row],[Cumpl Real Unds]]-Tabla__192.168.1.8_POSEIDONSQL_APPFVT_01_tbl_detalle_fill_rate[[#This Row],[Cant Embarcada]]</f>
        <v>0</v>
      </c>
      <c r="S1158" s="1">
        <f>+IF(Tabla__192.168.1.8_POSEIDONSQL_APPFVT_01_tbl_detalle_fill_rate[[#This Row],[Pend Emb]]&gt;0,1,0)</f>
        <v>0</v>
      </c>
      <c r="T11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59" spans="1:20" x14ac:dyDescent="0.25">
      <c r="A1159">
        <v>4</v>
      </c>
      <c r="B1159" t="s">
        <v>56</v>
      </c>
      <c r="C1159">
        <v>9643777</v>
      </c>
      <c r="D1159" s="48">
        <v>43346</v>
      </c>
      <c r="E1159" s="48">
        <v>43343</v>
      </c>
      <c r="F1159" s="48">
        <v>43350</v>
      </c>
      <c r="G1159" t="s">
        <v>1219</v>
      </c>
      <c r="H1159" t="s">
        <v>1220</v>
      </c>
      <c r="I1159">
        <v>1</v>
      </c>
      <c r="J1159" t="s">
        <v>1435</v>
      </c>
      <c r="K1159">
        <v>0</v>
      </c>
      <c r="L1159">
        <v>0</v>
      </c>
      <c r="M1159" t="s">
        <v>12</v>
      </c>
      <c r="N1159">
        <v>0</v>
      </c>
      <c r="O1159" s="1">
        <f>+Tabla__192.168.1.8_POSEIDONSQL_APPFVT_01_tbl_detalle_fill_rate[[#This Row],[emb_cantidad]]-Tabla__192.168.1.8_POSEIDONSQL_APPFVT_01_tbl_detalle_fill_rate[[#This Row],[dev_cantidad]]</f>
        <v>0</v>
      </c>
      <c r="P11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159" s="1">
        <f>+Tabla__192.168.1.8_POSEIDONSQL_APPFVT_01_tbl_detalle_fill_rate[[#This Row],[Cumpl Real Unds]]-Tabla__192.168.1.8_POSEIDONSQL_APPFVT_01_tbl_detalle_fill_rate[[#This Row],[Cant Embarcada]]</f>
        <v>0</v>
      </c>
      <c r="S1159" s="1">
        <f>+IF(Tabla__192.168.1.8_POSEIDONSQL_APPFVT_01_tbl_detalle_fill_rate[[#This Row],[Pend Emb]]&gt;0,1,0)</f>
        <v>0</v>
      </c>
      <c r="T11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0" spans="1:20" x14ac:dyDescent="0.25">
      <c r="A1160">
        <v>4</v>
      </c>
      <c r="B1160" t="s">
        <v>56</v>
      </c>
      <c r="C1160">
        <v>9644660</v>
      </c>
      <c r="D1160" s="48">
        <v>43346</v>
      </c>
      <c r="E1160" s="48">
        <v>43343</v>
      </c>
      <c r="F1160" s="48">
        <v>43353</v>
      </c>
      <c r="G1160" t="s">
        <v>118</v>
      </c>
      <c r="H1160" t="s">
        <v>119</v>
      </c>
      <c r="I1160">
        <v>1</v>
      </c>
      <c r="J1160" t="s">
        <v>1454</v>
      </c>
      <c r="K1160">
        <v>1</v>
      </c>
      <c r="L1160">
        <v>1</v>
      </c>
      <c r="M1160" t="s">
        <v>163</v>
      </c>
      <c r="N1160">
        <v>0</v>
      </c>
      <c r="O1160" s="1">
        <f>+Tabla__192.168.1.8_POSEIDONSQL_APPFVT_01_tbl_detalle_fill_rate[[#This Row],[emb_cantidad]]-Tabla__192.168.1.8_POSEIDONSQL_APPFVT_01_tbl_detalle_fill_rate[[#This Row],[dev_cantidad]]</f>
        <v>1</v>
      </c>
      <c r="P11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0" s="1">
        <f>+Tabla__192.168.1.8_POSEIDONSQL_APPFVT_01_tbl_detalle_fill_rate[[#This Row],[Cumpl Real Unds]]-Tabla__192.168.1.8_POSEIDONSQL_APPFVT_01_tbl_detalle_fill_rate[[#This Row],[Cant Embarcada]]</f>
        <v>0</v>
      </c>
      <c r="S1160" s="1">
        <f>+IF(Tabla__192.168.1.8_POSEIDONSQL_APPFVT_01_tbl_detalle_fill_rate[[#This Row],[Pend Emb]]&gt;0,1,0)</f>
        <v>0</v>
      </c>
      <c r="T11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1" spans="1:20" x14ac:dyDescent="0.25">
      <c r="A1161">
        <v>4</v>
      </c>
      <c r="B1161" t="s">
        <v>56</v>
      </c>
      <c r="C1161">
        <v>9644680</v>
      </c>
      <c r="D1161" s="48">
        <v>43346</v>
      </c>
      <c r="E1161" s="48">
        <v>43343</v>
      </c>
      <c r="F1161" s="48">
        <v>43353</v>
      </c>
      <c r="G1161" t="s">
        <v>96</v>
      </c>
      <c r="H1161" t="s">
        <v>97</v>
      </c>
      <c r="I1161">
        <v>1</v>
      </c>
      <c r="J1161" t="s">
        <v>1449</v>
      </c>
      <c r="K1161">
        <v>1</v>
      </c>
      <c r="L1161">
        <v>1</v>
      </c>
      <c r="M1161" t="s">
        <v>163</v>
      </c>
      <c r="N1161">
        <v>0</v>
      </c>
      <c r="O1161" s="1">
        <f>+Tabla__192.168.1.8_POSEIDONSQL_APPFVT_01_tbl_detalle_fill_rate[[#This Row],[emb_cantidad]]-Tabla__192.168.1.8_POSEIDONSQL_APPFVT_01_tbl_detalle_fill_rate[[#This Row],[dev_cantidad]]</f>
        <v>1</v>
      </c>
      <c r="P11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1" s="1">
        <f>+Tabla__192.168.1.8_POSEIDONSQL_APPFVT_01_tbl_detalle_fill_rate[[#This Row],[Cumpl Real Unds]]-Tabla__192.168.1.8_POSEIDONSQL_APPFVT_01_tbl_detalle_fill_rate[[#This Row],[Cant Embarcada]]</f>
        <v>0</v>
      </c>
      <c r="S1161" s="1">
        <f>+IF(Tabla__192.168.1.8_POSEIDONSQL_APPFVT_01_tbl_detalle_fill_rate[[#This Row],[Pend Emb]]&gt;0,1,0)</f>
        <v>0</v>
      </c>
      <c r="T11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2" spans="1:20" x14ac:dyDescent="0.25">
      <c r="A1162">
        <v>4</v>
      </c>
      <c r="B1162" t="s">
        <v>56</v>
      </c>
      <c r="C1162">
        <v>9644734</v>
      </c>
      <c r="D1162" s="48">
        <v>43346</v>
      </c>
      <c r="E1162" s="48">
        <v>43343</v>
      </c>
      <c r="F1162" s="48">
        <v>43353</v>
      </c>
      <c r="G1162" t="s">
        <v>62</v>
      </c>
      <c r="H1162" t="s">
        <v>63</v>
      </c>
      <c r="I1162">
        <v>1</v>
      </c>
      <c r="J1162" t="s">
        <v>1450</v>
      </c>
      <c r="K1162">
        <v>1</v>
      </c>
      <c r="L1162">
        <v>1</v>
      </c>
      <c r="M1162" t="s">
        <v>163</v>
      </c>
      <c r="N1162">
        <v>0</v>
      </c>
      <c r="O1162" s="1">
        <f>+Tabla__192.168.1.8_POSEIDONSQL_APPFVT_01_tbl_detalle_fill_rate[[#This Row],[emb_cantidad]]-Tabla__192.168.1.8_POSEIDONSQL_APPFVT_01_tbl_detalle_fill_rate[[#This Row],[dev_cantidad]]</f>
        <v>1</v>
      </c>
      <c r="P11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2" s="1">
        <f>+Tabla__192.168.1.8_POSEIDONSQL_APPFVT_01_tbl_detalle_fill_rate[[#This Row],[Cumpl Real Unds]]-Tabla__192.168.1.8_POSEIDONSQL_APPFVT_01_tbl_detalle_fill_rate[[#This Row],[Cant Embarcada]]</f>
        <v>0</v>
      </c>
      <c r="S1162" s="1">
        <f>+IF(Tabla__192.168.1.8_POSEIDONSQL_APPFVT_01_tbl_detalle_fill_rate[[#This Row],[Pend Emb]]&gt;0,1,0)</f>
        <v>0</v>
      </c>
      <c r="T11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3" spans="1:20" x14ac:dyDescent="0.25">
      <c r="A1163">
        <v>4</v>
      </c>
      <c r="B1163" t="s">
        <v>56</v>
      </c>
      <c r="C1163">
        <v>9644936</v>
      </c>
      <c r="D1163" s="48">
        <v>43346</v>
      </c>
      <c r="E1163" s="48">
        <v>43343</v>
      </c>
      <c r="F1163" s="48">
        <v>43353</v>
      </c>
      <c r="G1163" t="s">
        <v>62</v>
      </c>
      <c r="H1163" t="s">
        <v>63</v>
      </c>
      <c r="I1163">
        <v>1</v>
      </c>
      <c r="J1163" t="s">
        <v>1451</v>
      </c>
      <c r="K1163">
        <v>1</v>
      </c>
      <c r="L1163">
        <v>1</v>
      </c>
      <c r="M1163" t="s">
        <v>163</v>
      </c>
      <c r="N1163">
        <v>0</v>
      </c>
      <c r="O1163" s="1">
        <f>+Tabla__192.168.1.8_POSEIDONSQL_APPFVT_01_tbl_detalle_fill_rate[[#This Row],[emb_cantidad]]-Tabla__192.168.1.8_POSEIDONSQL_APPFVT_01_tbl_detalle_fill_rate[[#This Row],[dev_cantidad]]</f>
        <v>1</v>
      </c>
      <c r="P11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3" s="1">
        <f>+Tabla__192.168.1.8_POSEIDONSQL_APPFVT_01_tbl_detalle_fill_rate[[#This Row],[Cumpl Real Unds]]-Tabla__192.168.1.8_POSEIDONSQL_APPFVT_01_tbl_detalle_fill_rate[[#This Row],[Cant Embarcada]]</f>
        <v>0</v>
      </c>
      <c r="S1163" s="1">
        <f>+IF(Tabla__192.168.1.8_POSEIDONSQL_APPFVT_01_tbl_detalle_fill_rate[[#This Row],[Pend Emb]]&gt;0,1,0)</f>
        <v>0</v>
      </c>
      <c r="T11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4" spans="1:20" x14ac:dyDescent="0.25">
      <c r="A1164">
        <v>4</v>
      </c>
      <c r="B1164" t="s">
        <v>56</v>
      </c>
      <c r="C1164">
        <v>9645025</v>
      </c>
      <c r="D1164" s="48">
        <v>43346</v>
      </c>
      <c r="E1164" s="48">
        <v>43343</v>
      </c>
      <c r="F1164" s="48">
        <v>43353</v>
      </c>
      <c r="G1164" t="s">
        <v>938</v>
      </c>
      <c r="H1164" t="s">
        <v>939</v>
      </c>
      <c r="I1164">
        <v>1</v>
      </c>
      <c r="J1164" t="s">
        <v>1452</v>
      </c>
      <c r="K1164">
        <v>1</v>
      </c>
      <c r="L1164">
        <v>1</v>
      </c>
      <c r="M1164" t="s">
        <v>163</v>
      </c>
      <c r="N1164">
        <v>0</v>
      </c>
      <c r="O1164" s="1">
        <f>+Tabla__192.168.1.8_POSEIDONSQL_APPFVT_01_tbl_detalle_fill_rate[[#This Row],[emb_cantidad]]-Tabla__192.168.1.8_POSEIDONSQL_APPFVT_01_tbl_detalle_fill_rate[[#This Row],[dev_cantidad]]</f>
        <v>1</v>
      </c>
      <c r="P11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4" s="1">
        <f>+Tabla__192.168.1.8_POSEIDONSQL_APPFVT_01_tbl_detalle_fill_rate[[#This Row],[Cumpl Real Unds]]-Tabla__192.168.1.8_POSEIDONSQL_APPFVT_01_tbl_detalle_fill_rate[[#This Row],[Cant Embarcada]]</f>
        <v>0</v>
      </c>
      <c r="S1164" s="1">
        <f>+IF(Tabla__192.168.1.8_POSEIDONSQL_APPFVT_01_tbl_detalle_fill_rate[[#This Row],[Pend Emb]]&gt;0,1,0)</f>
        <v>0</v>
      </c>
      <c r="T11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5" spans="1:20" x14ac:dyDescent="0.25">
      <c r="A1165">
        <v>4</v>
      </c>
      <c r="B1165" t="s">
        <v>56</v>
      </c>
      <c r="C1165">
        <v>9645137</v>
      </c>
      <c r="D1165" s="48">
        <v>43346</v>
      </c>
      <c r="E1165" s="48">
        <v>43344</v>
      </c>
      <c r="F1165" s="48">
        <v>43355</v>
      </c>
      <c r="G1165" t="s">
        <v>124</v>
      </c>
      <c r="H1165" t="s">
        <v>125</v>
      </c>
      <c r="I1165">
        <v>1</v>
      </c>
      <c r="J1165" t="s">
        <v>1604</v>
      </c>
      <c r="K1165">
        <v>0</v>
      </c>
      <c r="L1165">
        <v>0</v>
      </c>
      <c r="M1165" t="s">
        <v>12</v>
      </c>
      <c r="N1165">
        <v>0</v>
      </c>
      <c r="O1165" s="1">
        <f>+Tabla__192.168.1.8_POSEIDONSQL_APPFVT_01_tbl_detalle_fill_rate[[#This Row],[emb_cantidad]]-Tabla__192.168.1.8_POSEIDONSQL_APPFVT_01_tbl_detalle_fill_rate[[#This Row],[dev_cantidad]]</f>
        <v>0</v>
      </c>
      <c r="P11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165" s="1">
        <f>+Tabla__192.168.1.8_POSEIDONSQL_APPFVT_01_tbl_detalle_fill_rate[[#This Row],[Cumpl Real Unds]]-Tabla__192.168.1.8_POSEIDONSQL_APPFVT_01_tbl_detalle_fill_rate[[#This Row],[Cant Embarcada]]</f>
        <v>0</v>
      </c>
      <c r="S1165" s="1">
        <f>+IF(Tabla__192.168.1.8_POSEIDONSQL_APPFVT_01_tbl_detalle_fill_rate[[#This Row],[Pend Emb]]&gt;0,1,0)</f>
        <v>0</v>
      </c>
      <c r="T11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6" spans="1:20" x14ac:dyDescent="0.25">
      <c r="A1166">
        <v>4</v>
      </c>
      <c r="B1166" t="s">
        <v>56</v>
      </c>
      <c r="C1166">
        <v>9645192</v>
      </c>
      <c r="D1166" s="48">
        <v>43346</v>
      </c>
      <c r="E1166" s="48">
        <v>43344</v>
      </c>
      <c r="F1166" s="48">
        <v>43353</v>
      </c>
      <c r="G1166" t="s">
        <v>90</v>
      </c>
      <c r="H1166" t="s">
        <v>91</v>
      </c>
      <c r="I1166">
        <v>1</v>
      </c>
      <c r="J1166" t="s">
        <v>1453</v>
      </c>
      <c r="K1166">
        <v>1</v>
      </c>
      <c r="L1166">
        <v>1</v>
      </c>
      <c r="M1166" t="s">
        <v>163</v>
      </c>
      <c r="N1166">
        <v>0</v>
      </c>
      <c r="O1166" s="1">
        <f>+Tabla__192.168.1.8_POSEIDONSQL_APPFVT_01_tbl_detalle_fill_rate[[#This Row],[emb_cantidad]]-Tabla__192.168.1.8_POSEIDONSQL_APPFVT_01_tbl_detalle_fill_rate[[#This Row],[dev_cantidad]]</f>
        <v>1</v>
      </c>
      <c r="P11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6" s="1">
        <f>+Tabla__192.168.1.8_POSEIDONSQL_APPFVT_01_tbl_detalle_fill_rate[[#This Row],[Cumpl Real Unds]]-Tabla__192.168.1.8_POSEIDONSQL_APPFVT_01_tbl_detalle_fill_rate[[#This Row],[Cant Embarcada]]</f>
        <v>0</v>
      </c>
      <c r="S1166" s="1">
        <f>+IF(Tabla__192.168.1.8_POSEIDONSQL_APPFVT_01_tbl_detalle_fill_rate[[#This Row],[Pend Emb]]&gt;0,1,0)</f>
        <v>0</v>
      </c>
      <c r="T11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7" spans="1:20" x14ac:dyDescent="0.25">
      <c r="A1167">
        <v>4</v>
      </c>
      <c r="B1167" t="s">
        <v>56</v>
      </c>
      <c r="C1167">
        <v>9646881</v>
      </c>
      <c r="D1167" s="48">
        <v>43346</v>
      </c>
      <c r="E1167" s="48">
        <v>43344</v>
      </c>
      <c r="F1167" s="48">
        <v>43353</v>
      </c>
      <c r="G1167" t="s">
        <v>74</v>
      </c>
      <c r="H1167" t="s">
        <v>75</v>
      </c>
      <c r="I1167">
        <v>1</v>
      </c>
      <c r="J1167" t="s">
        <v>1446</v>
      </c>
      <c r="K1167">
        <v>1</v>
      </c>
      <c r="L1167">
        <v>1</v>
      </c>
      <c r="M1167" t="s">
        <v>163</v>
      </c>
      <c r="N1167">
        <v>0</v>
      </c>
      <c r="O1167" s="1">
        <f>+Tabla__192.168.1.8_POSEIDONSQL_APPFVT_01_tbl_detalle_fill_rate[[#This Row],[emb_cantidad]]-Tabla__192.168.1.8_POSEIDONSQL_APPFVT_01_tbl_detalle_fill_rate[[#This Row],[dev_cantidad]]</f>
        <v>1</v>
      </c>
      <c r="P11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7" s="1">
        <f>+Tabla__192.168.1.8_POSEIDONSQL_APPFVT_01_tbl_detalle_fill_rate[[#This Row],[Cumpl Real Unds]]-Tabla__192.168.1.8_POSEIDONSQL_APPFVT_01_tbl_detalle_fill_rate[[#This Row],[Cant Embarcada]]</f>
        <v>0</v>
      </c>
      <c r="S1167" s="1">
        <f>+IF(Tabla__192.168.1.8_POSEIDONSQL_APPFVT_01_tbl_detalle_fill_rate[[#This Row],[Pend Emb]]&gt;0,1,0)</f>
        <v>0</v>
      </c>
      <c r="T11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8" spans="1:20" x14ac:dyDescent="0.25">
      <c r="A1168">
        <v>4</v>
      </c>
      <c r="B1168" t="s">
        <v>56</v>
      </c>
      <c r="C1168">
        <v>9647747</v>
      </c>
      <c r="D1168" s="48">
        <v>43346</v>
      </c>
      <c r="E1168" s="48">
        <v>43344</v>
      </c>
      <c r="F1168" s="48">
        <v>43355</v>
      </c>
      <c r="G1168" t="s">
        <v>118</v>
      </c>
      <c r="H1168" t="s">
        <v>119</v>
      </c>
      <c r="I1168">
        <v>1</v>
      </c>
      <c r="J1168" t="s">
        <v>1603</v>
      </c>
      <c r="K1168">
        <v>1</v>
      </c>
      <c r="L1168">
        <v>1</v>
      </c>
      <c r="M1168" t="s">
        <v>427</v>
      </c>
      <c r="N1168">
        <v>0</v>
      </c>
      <c r="O1168" s="1">
        <f>+Tabla__192.168.1.8_POSEIDONSQL_APPFVT_01_tbl_detalle_fill_rate[[#This Row],[emb_cantidad]]-Tabla__192.168.1.8_POSEIDONSQL_APPFVT_01_tbl_detalle_fill_rate[[#This Row],[dev_cantidad]]</f>
        <v>1</v>
      </c>
      <c r="P11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8" s="1">
        <f>+Tabla__192.168.1.8_POSEIDONSQL_APPFVT_01_tbl_detalle_fill_rate[[#This Row],[Cumpl Real Unds]]-Tabla__192.168.1.8_POSEIDONSQL_APPFVT_01_tbl_detalle_fill_rate[[#This Row],[Cant Embarcada]]</f>
        <v>0</v>
      </c>
      <c r="S1168" s="1">
        <f>+IF(Tabla__192.168.1.8_POSEIDONSQL_APPFVT_01_tbl_detalle_fill_rate[[#This Row],[Pend Emb]]&gt;0,1,0)</f>
        <v>0</v>
      </c>
      <c r="T11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69" spans="1:20" x14ac:dyDescent="0.25">
      <c r="A1169">
        <v>4</v>
      </c>
      <c r="B1169" t="s">
        <v>56</v>
      </c>
      <c r="C1169">
        <v>9647777</v>
      </c>
      <c r="D1169" s="48">
        <v>43346</v>
      </c>
      <c r="E1169" s="48">
        <v>43344</v>
      </c>
      <c r="F1169" s="48">
        <v>43364</v>
      </c>
      <c r="G1169" t="s">
        <v>269</v>
      </c>
      <c r="H1169" t="s">
        <v>270</v>
      </c>
      <c r="I1169">
        <v>1</v>
      </c>
      <c r="J1169" t="s">
        <v>951</v>
      </c>
      <c r="K1169">
        <v>1</v>
      </c>
      <c r="L1169">
        <v>1</v>
      </c>
      <c r="M1169" t="s">
        <v>422</v>
      </c>
      <c r="N1169">
        <v>0</v>
      </c>
      <c r="O1169" s="1">
        <f>+Tabla__192.168.1.8_POSEIDONSQL_APPFVT_01_tbl_detalle_fill_rate[[#This Row],[emb_cantidad]]-Tabla__192.168.1.8_POSEIDONSQL_APPFVT_01_tbl_detalle_fill_rate[[#This Row],[dev_cantidad]]</f>
        <v>1</v>
      </c>
      <c r="P11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69" s="1">
        <f>+Tabla__192.168.1.8_POSEIDONSQL_APPFVT_01_tbl_detalle_fill_rate[[#This Row],[Cumpl Real Unds]]-Tabla__192.168.1.8_POSEIDONSQL_APPFVT_01_tbl_detalle_fill_rate[[#This Row],[Cant Embarcada]]</f>
        <v>0</v>
      </c>
      <c r="S1169" s="1">
        <f>+IF(Tabla__192.168.1.8_POSEIDONSQL_APPFVT_01_tbl_detalle_fill_rate[[#This Row],[Pend Emb]]&gt;0,1,0)</f>
        <v>0</v>
      </c>
      <c r="T11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0" spans="1:20" x14ac:dyDescent="0.25">
      <c r="A1170">
        <v>4</v>
      </c>
      <c r="B1170" t="s">
        <v>56</v>
      </c>
      <c r="C1170">
        <v>9647902</v>
      </c>
      <c r="D1170" s="48">
        <v>43346</v>
      </c>
      <c r="E1170" s="48">
        <v>43344</v>
      </c>
      <c r="F1170" s="48">
        <v>43353</v>
      </c>
      <c r="G1170" t="s">
        <v>122</v>
      </c>
      <c r="H1170" t="s">
        <v>123</v>
      </c>
      <c r="I1170">
        <v>1</v>
      </c>
      <c r="J1170" t="s">
        <v>1447</v>
      </c>
      <c r="K1170">
        <v>1</v>
      </c>
      <c r="L1170">
        <v>1</v>
      </c>
      <c r="M1170" t="s">
        <v>163</v>
      </c>
      <c r="N1170">
        <v>0</v>
      </c>
      <c r="O1170" s="1">
        <f>+Tabla__192.168.1.8_POSEIDONSQL_APPFVT_01_tbl_detalle_fill_rate[[#This Row],[emb_cantidad]]-Tabla__192.168.1.8_POSEIDONSQL_APPFVT_01_tbl_detalle_fill_rate[[#This Row],[dev_cantidad]]</f>
        <v>1</v>
      </c>
      <c r="P11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0" s="1">
        <f>+Tabla__192.168.1.8_POSEIDONSQL_APPFVT_01_tbl_detalle_fill_rate[[#This Row],[Cumpl Real Unds]]-Tabla__192.168.1.8_POSEIDONSQL_APPFVT_01_tbl_detalle_fill_rate[[#This Row],[Cant Embarcada]]</f>
        <v>0</v>
      </c>
      <c r="S1170" s="1">
        <f>+IF(Tabla__192.168.1.8_POSEIDONSQL_APPFVT_01_tbl_detalle_fill_rate[[#This Row],[Pend Emb]]&gt;0,1,0)</f>
        <v>0</v>
      </c>
      <c r="T11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1" spans="1:20" x14ac:dyDescent="0.25">
      <c r="A1171">
        <v>4</v>
      </c>
      <c r="B1171" t="s">
        <v>56</v>
      </c>
      <c r="C1171">
        <v>9647994</v>
      </c>
      <c r="D1171" s="48">
        <v>43346</v>
      </c>
      <c r="E1171" s="48">
        <v>43344</v>
      </c>
      <c r="F1171" s="48">
        <v>43357</v>
      </c>
      <c r="G1171" t="s">
        <v>168</v>
      </c>
      <c r="H1171" t="s">
        <v>169</v>
      </c>
      <c r="I1171">
        <v>1</v>
      </c>
      <c r="J1171" t="s">
        <v>1458</v>
      </c>
      <c r="K1171">
        <v>1</v>
      </c>
      <c r="L1171">
        <v>1</v>
      </c>
      <c r="M1171" t="s">
        <v>426</v>
      </c>
      <c r="N1171">
        <v>0</v>
      </c>
      <c r="O1171" s="1">
        <f>+Tabla__192.168.1.8_POSEIDONSQL_APPFVT_01_tbl_detalle_fill_rate[[#This Row],[emb_cantidad]]-Tabla__192.168.1.8_POSEIDONSQL_APPFVT_01_tbl_detalle_fill_rate[[#This Row],[dev_cantidad]]</f>
        <v>1</v>
      </c>
      <c r="P11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1" s="1">
        <f>+Tabla__192.168.1.8_POSEIDONSQL_APPFVT_01_tbl_detalle_fill_rate[[#This Row],[Cumpl Real Unds]]-Tabla__192.168.1.8_POSEIDONSQL_APPFVT_01_tbl_detalle_fill_rate[[#This Row],[Cant Embarcada]]</f>
        <v>0</v>
      </c>
      <c r="S1171" s="1">
        <f>+IF(Tabla__192.168.1.8_POSEIDONSQL_APPFVT_01_tbl_detalle_fill_rate[[#This Row],[Pend Emb]]&gt;0,1,0)</f>
        <v>0</v>
      </c>
      <c r="T11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2" spans="1:20" x14ac:dyDescent="0.25">
      <c r="A1172">
        <v>4</v>
      </c>
      <c r="B1172" t="s">
        <v>56</v>
      </c>
      <c r="C1172">
        <v>9648099</v>
      </c>
      <c r="D1172" s="48">
        <v>43346</v>
      </c>
      <c r="E1172" s="48">
        <v>43344</v>
      </c>
      <c r="F1172" s="48">
        <v>43353</v>
      </c>
      <c r="G1172" t="s">
        <v>66</v>
      </c>
      <c r="H1172" t="s">
        <v>67</v>
      </c>
      <c r="I1172">
        <v>1</v>
      </c>
      <c r="J1172" t="s">
        <v>1448</v>
      </c>
      <c r="K1172">
        <v>1</v>
      </c>
      <c r="L1172">
        <v>1</v>
      </c>
      <c r="M1172" t="s">
        <v>163</v>
      </c>
      <c r="N1172">
        <v>0</v>
      </c>
      <c r="O1172" s="1">
        <f>+Tabla__192.168.1.8_POSEIDONSQL_APPFVT_01_tbl_detalle_fill_rate[[#This Row],[emb_cantidad]]-Tabla__192.168.1.8_POSEIDONSQL_APPFVT_01_tbl_detalle_fill_rate[[#This Row],[dev_cantidad]]</f>
        <v>1</v>
      </c>
      <c r="P11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2" s="1">
        <f>+Tabla__192.168.1.8_POSEIDONSQL_APPFVT_01_tbl_detalle_fill_rate[[#This Row],[Cumpl Real Unds]]-Tabla__192.168.1.8_POSEIDONSQL_APPFVT_01_tbl_detalle_fill_rate[[#This Row],[Cant Embarcada]]</f>
        <v>0</v>
      </c>
      <c r="S1172" s="1">
        <f>+IF(Tabla__192.168.1.8_POSEIDONSQL_APPFVT_01_tbl_detalle_fill_rate[[#This Row],[Pend Emb]]&gt;0,1,0)</f>
        <v>0</v>
      </c>
      <c r="T11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3" spans="1:20" x14ac:dyDescent="0.25">
      <c r="A1173">
        <v>4</v>
      </c>
      <c r="B1173" t="s">
        <v>56</v>
      </c>
      <c r="C1173">
        <v>9648163</v>
      </c>
      <c r="D1173" s="48">
        <v>43346</v>
      </c>
      <c r="E1173" s="48">
        <v>43344</v>
      </c>
      <c r="F1173" s="48">
        <v>43353</v>
      </c>
      <c r="G1173" t="s">
        <v>90</v>
      </c>
      <c r="H1173" t="s">
        <v>91</v>
      </c>
      <c r="I1173">
        <v>1</v>
      </c>
      <c r="J1173" t="s">
        <v>1442</v>
      </c>
      <c r="K1173">
        <v>1</v>
      </c>
      <c r="L1173">
        <v>1</v>
      </c>
      <c r="M1173" t="s">
        <v>163</v>
      </c>
      <c r="N1173">
        <v>0</v>
      </c>
      <c r="O1173" s="1">
        <f>+Tabla__192.168.1.8_POSEIDONSQL_APPFVT_01_tbl_detalle_fill_rate[[#This Row],[emb_cantidad]]-Tabla__192.168.1.8_POSEIDONSQL_APPFVT_01_tbl_detalle_fill_rate[[#This Row],[dev_cantidad]]</f>
        <v>1</v>
      </c>
      <c r="P11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3" s="1">
        <f>+Tabla__192.168.1.8_POSEIDONSQL_APPFVT_01_tbl_detalle_fill_rate[[#This Row],[Cumpl Real Unds]]-Tabla__192.168.1.8_POSEIDONSQL_APPFVT_01_tbl_detalle_fill_rate[[#This Row],[Cant Embarcada]]</f>
        <v>0</v>
      </c>
      <c r="S1173" s="1">
        <f>+IF(Tabla__192.168.1.8_POSEIDONSQL_APPFVT_01_tbl_detalle_fill_rate[[#This Row],[Pend Emb]]&gt;0,1,0)</f>
        <v>0</v>
      </c>
      <c r="T11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4" spans="1:20" x14ac:dyDescent="0.25">
      <c r="A1174">
        <v>4</v>
      </c>
      <c r="B1174" t="s">
        <v>56</v>
      </c>
      <c r="C1174">
        <v>9648311</v>
      </c>
      <c r="D1174" s="48">
        <v>43346</v>
      </c>
      <c r="E1174" s="48">
        <v>43345</v>
      </c>
      <c r="F1174" s="48">
        <v>43353</v>
      </c>
      <c r="G1174" t="s">
        <v>376</v>
      </c>
      <c r="H1174" t="s">
        <v>377</v>
      </c>
      <c r="I1174">
        <v>1</v>
      </c>
      <c r="J1174" t="s">
        <v>1443</v>
      </c>
      <c r="K1174">
        <v>1</v>
      </c>
      <c r="L1174">
        <v>1</v>
      </c>
      <c r="M1174" t="s">
        <v>163</v>
      </c>
      <c r="N1174">
        <v>0</v>
      </c>
      <c r="O1174" s="1">
        <f>+Tabla__192.168.1.8_POSEIDONSQL_APPFVT_01_tbl_detalle_fill_rate[[#This Row],[emb_cantidad]]-Tabla__192.168.1.8_POSEIDONSQL_APPFVT_01_tbl_detalle_fill_rate[[#This Row],[dev_cantidad]]</f>
        <v>1</v>
      </c>
      <c r="P11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4" s="1">
        <f>+Tabla__192.168.1.8_POSEIDONSQL_APPFVT_01_tbl_detalle_fill_rate[[#This Row],[Cumpl Real Unds]]-Tabla__192.168.1.8_POSEIDONSQL_APPFVT_01_tbl_detalle_fill_rate[[#This Row],[Cant Embarcada]]</f>
        <v>0</v>
      </c>
      <c r="S1174" s="1">
        <f>+IF(Tabla__192.168.1.8_POSEIDONSQL_APPFVT_01_tbl_detalle_fill_rate[[#This Row],[Pend Emb]]&gt;0,1,0)</f>
        <v>0</v>
      </c>
      <c r="T11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5" spans="1:20" x14ac:dyDescent="0.25">
      <c r="A1175">
        <v>4</v>
      </c>
      <c r="B1175" t="s">
        <v>56</v>
      </c>
      <c r="C1175">
        <v>9648807</v>
      </c>
      <c r="D1175" s="48">
        <v>43346</v>
      </c>
      <c r="E1175" s="48">
        <v>43345</v>
      </c>
      <c r="F1175" s="48">
        <v>43353</v>
      </c>
      <c r="G1175" t="s">
        <v>120</v>
      </c>
      <c r="H1175" t="s">
        <v>121</v>
      </c>
      <c r="I1175">
        <v>1</v>
      </c>
      <c r="J1175" t="s">
        <v>1444</v>
      </c>
      <c r="K1175">
        <v>1</v>
      </c>
      <c r="L1175">
        <v>1</v>
      </c>
      <c r="M1175" t="s">
        <v>163</v>
      </c>
      <c r="N1175">
        <v>0</v>
      </c>
      <c r="O1175" s="1">
        <f>+Tabla__192.168.1.8_POSEIDONSQL_APPFVT_01_tbl_detalle_fill_rate[[#This Row],[emb_cantidad]]-Tabla__192.168.1.8_POSEIDONSQL_APPFVT_01_tbl_detalle_fill_rate[[#This Row],[dev_cantidad]]</f>
        <v>1</v>
      </c>
      <c r="P11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5" s="1">
        <f>+Tabla__192.168.1.8_POSEIDONSQL_APPFVT_01_tbl_detalle_fill_rate[[#This Row],[Cumpl Real Unds]]-Tabla__192.168.1.8_POSEIDONSQL_APPFVT_01_tbl_detalle_fill_rate[[#This Row],[Cant Embarcada]]</f>
        <v>0</v>
      </c>
      <c r="S1175" s="1">
        <f>+IF(Tabla__192.168.1.8_POSEIDONSQL_APPFVT_01_tbl_detalle_fill_rate[[#This Row],[Pend Emb]]&gt;0,1,0)</f>
        <v>0</v>
      </c>
      <c r="T11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6" spans="1:20" x14ac:dyDescent="0.25">
      <c r="A1176">
        <v>4</v>
      </c>
      <c r="B1176" t="s">
        <v>56</v>
      </c>
      <c r="C1176">
        <v>9648886</v>
      </c>
      <c r="D1176" s="48">
        <v>43346</v>
      </c>
      <c r="E1176" s="48">
        <v>43345</v>
      </c>
      <c r="F1176" s="48">
        <v>43353</v>
      </c>
      <c r="G1176" t="s">
        <v>80</v>
      </c>
      <c r="H1176" t="s">
        <v>81</v>
      </c>
      <c r="I1176">
        <v>1</v>
      </c>
      <c r="J1176" t="s">
        <v>1445</v>
      </c>
      <c r="K1176">
        <v>1</v>
      </c>
      <c r="L1176">
        <v>1</v>
      </c>
      <c r="M1176" t="s">
        <v>163</v>
      </c>
      <c r="N1176">
        <v>0</v>
      </c>
      <c r="O1176" s="1">
        <f>+Tabla__192.168.1.8_POSEIDONSQL_APPFVT_01_tbl_detalle_fill_rate[[#This Row],[emb_cantidad]]-Tabla__192.168.1.8_POSEIDONSQL_APPFVT_01_tbl_detalle_fill_rate[[#This Row],[dev_cantidad]]</f>
        <v>1</v>
      </c>
      <c r="P11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6" s="1">
        <f>+Tabla__192.168.1.8_POSEIDONSQL_APPFVT_01_tbl_detalle_fill_rate[[#This Row],[Cumpl Real Unds]]-Tabla__192.168.1.8_POSEIDONSQL_APPFVT_01_tbl_detalle_fill_rate[[#This Row],[Cant Embarcada]]</f>
        <v>0</v>
      </c>
      <c r="S1176" s="1">
        <f>+IF(Tabla__192.168.1.8_POSEIDONSQL_APPFVT_01_tbl_detalle_fill_rate[[#This Row],[Pend Emb]]&gt;0,1,0)</f>
        <v>0</v>
      </c>
      <c r="T11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7" spans="1:20" x14ac:dyDescent="0.25">
      <c r="A1177">
        <v>4</v>
      </c>
      <c r="B1177" t="s">
        <v>56</v>
      </c>
      <c r="C1177">
        <v>9649183</v>
      </c>
      <c r="D1177" s="48">
        <v>43346</v>
      </c>
      <c r="E1177" s="48">
        <v>43345</v>
      </c>
      <c r="F1177" s="48">
        <v>43355</v>
      </c>
      <c r="G1177" t="s">
        <v>122</v>
      </c>
      <c r="H1177" t="s">
        <v>123</v>
      </c>
      <c r="I1177">
        <v>1</v>
      </c>
      <c r="J1177" t="s">
        <v>1601</v>
      </c>
      <c r="K1177">
        <v>1</v>
      </c>
      <c r="L1177">
        <v>1</v>
      </c>
      <c r="M1177" t="s">
        <v>427</v>
      </c>
      <c r="N1177">
        <v>0</v>
      </c>
      <c r="O1177" s="1">
        <f>+Tabla__192.168.1.8_POSEIDONSQL_APPFVT_01_tbl_detalle_fill_rate[[#This Row],[emb_cantidad]]-Tabla__192.168.1.8_POSEIDONSQL_APPFVT_01_tbl_detalle_fill_rate[[#This Row],[dev_cantidad]]</f>
        <v>1</v>
      </c>
      <c r="P11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7" s="1">
        <f>+Tabla__192.168.1.8_POSEIDONSQL_APPFVT_01_tbl_detalle_fill_rate[[#This Row],[Cumpl Real Unds]]-Tabla__192.168.1.8_POSEIDONSQL_APPFVT_01_tbl_detalle_fill_rate[[#This Row],[Cant Embarcada]]</f>
        <v>0</v>
      </c>
      <c r="S1177" s="1">
        <f>+IF(Tabla__192.168.1.8_POSEIDONSQL_APPFVT_01_tbl_detalle_fill_rate[[#This Row],[Pend Emb]]&gt;0,1,0)</f>
        <v>0</v>
      </c>
      <c r="T11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8" spans="1:20" x14ac:dyDescent="0.25">
      <c r="A1178">
        <v>4</v>
      </c>
      <c r="B1178" t="s">
        <v>56</v>
      </c>
      <c r="C1178">
        <v>9649750</v>
      </c>
      <c r="D1178" s="48">
        <v>43346</v>
      </c>
      <c r="E1178" s="48">
        <v>43345</v>
      </c>
      <c r="F1178" s="48">
        <v>43355</v>
      </c>
      <c r="G1178" t="s">
        <v>102</v>
      </c>
      <c r="H1178" t="s">
        <v>103</v>
      </c>
      <c r="I1178">
        <v>1</v>
      </c>
      <c r="J1178" t="s">
        <v>1602</v>
      </c>
      <c r="K1178">
        <v>1</v>
      </c>
      <c r="L1178">
        <v>1</v>
      </c>
      <c r="M1178" t="s">
        <v>427</v>
      </c>
      <c r="N1178">
        <v>0</v>
      </c>
      <c r="O1178" s="1">
        <f>+Tabla__192.168.1.8_POSEIDONSQL_APPFVT_01_tbl_detalle_fill_rate[[#This Row],[emb_cantidad]]-Tabla__192.168.1.8_POSEIDONSQL_APPFVT_01_tbl_detalle_fill_rate[[#This Row],[dev_cantidad]]</f>
        <v>1</v>
      </c>
      <c r="P11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8" s="1">
        <f>+Tabla__192.168.1.8_POSEIDONSQL_APPFVT_01_tbl_detalle_fill_rate[[#This Row],[Cumpl Real Unds]]-Tabla__192.168.1.8_POSEIDONSQL_APPFVT_01_tbl_detalle_fill_rate[[#This Row],[Cant Embarcada]]</f>
        <v>0</v>
      </c>
      <c r="S1178" s="1">
        <f>+IF(Tabla__192.168.1.8_POSEIDONSQL_APPFVT_01_tbl_detalle_fill_rate[[#This Row],[Pend Emb]]&gt;0,1,0)</f>
        <v>0</v>
      </c>
      <c r="T11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79" spans="1:20" x14ac:dyDescent="0.25">
      <c r="A1179">
        <v>4</v>
      </c>
      <c r="B1179" t="s">
        <v>56</v>
      </c>
      <c r="C1179">
        <v>9650097</v>
      </c>
      <c r="D1179" s="48">
        <v>43346</v>
      </c>
      <c r="E1179" s="48">
        <v>43345</v>
      </c>
      <c r="F1179" s="48">
        <v>43353</v>
      </c>
      <c r="G1179" t="s">
        <v>118</v>
      </c>
      <c r="H1179" t="s">
        <v>119</v>
      </c>
      <c r="I1179">
        <v>1</v>
      </c>
      <c r="J1179" t="s">
        <v>1436</v>
      </c>
      <c r="K1179">
        <v>1</v>
      </c>
      <c r="L1179">
        <v>1</v>
      </c>
      <c r="M1179" t="s">
        <v>163</v>
      </c>
      <c r="N1179">
        <v>0</v>
      </c>
      <c r="O1179" s="1">
        <f>+Tabla__192.168.1.8_POSEIDONSQL_APPFVT_01_tbl_detalle_fill_rate[[#This Row],[emb_cantidad]]-Tabla__192.168.1.8_POSEIDONSQL_APPFVT_01_tbl_detalle_fill_rate[[#This Row],[dev_cantidad]]</f>
        <v>1</v>
      </c>
      <c r="P11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79" s="1">
        <f>+Tabla__192.168.1.8_POSEIDONSQL_APPFVT_01_tbl_detalle_fill_rate[[#This Row],[Cumpl Real Unds]]-Tabla__192.168.1.8_POSEIDONSQL_APPFVT_01_tbl_detalle_fill_rate[[#This Row],[Cant Embarcada]]</f>
        <v>0</v>
      </c>
      <c r="S1179" s="1">
        <f>+IF(Tabla__192.168.1.8_POSEIDONSQL_APPFVT_01_tbl_detalle_fill_rate[[#This Row],[Pend Emb]]&gt;0,1,0)</f>
        <v>0</v>
      </c>
      <c r="T11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0" spans="1:20" x14ac:dyDescent="0.25">
      <c r="A1180">
        <v>4</v>
      </c>
      <c r="B1180" t="s">
        <v>56</v>
      </c>
      <c r="C1180">
        <v>9651174</v>
      </c>
      <c r="D1180" s="48">
        <v>43346</v>
      </c>
      <c r="E1180" s="48">
        <v>43345</v>
      </c>
      <c r="F1180" s="48">
        <v>43353</v>
      </c>
      <c r="G1180" t="s">
        <v>96</v>
      </c>
      <c r="H1180" t="s">
        <v>97</v>
      </c>
      <c r="I1180">
        <v>1</v>
      </c>
      <c r="J1180" t="s">
        <v>1437</v>
      </c>
      <c r="K1180">
        <v>1</v>
      </c>
      <c r="L1180">
        <v>1</v>
      </c>
      <c r="M1180" t="s">
        <v>163</v>
      </c>
      <c r="N1180">
        <v>0</v>
      </c>
      <c r="O1180" s="1">
        <f>+Tabla__192.168.1.8_POSEIDONSQL_APPFVT_01_tbl_detalle_fill_rate[[#This Row],[emb_cantidad]]-Tabla__192.168.1.8_POSEIDONSQL_APPFVT_01_tbl_detalle_fill_rate[[#This Row],[dev_cantidad]]</f>
        <v>1</v>
      </c>
      <c r="P11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0" s="1">
        <f>+Tabla__192.168.1.8_POSEIDONSQL_APPFVT_01_tbl_detalle_fill_rate[[#This Row],[Cumpl Real Unds]]-Tabla__192.168.1.8_POSEIDONSQL_APPFVT_01_tbl_detalle_fill_rate[[#This Row],[Cant Embarcada]]</f>
        <v>0</v>
      </c>
      <c r="S1180" s="1">
        <f>+IF(Tabla__192.168.1.8_POSEIDONSQL_APPFVT_01_tbl_detalle_fill_rate[[#This Row],[Pend Emb]]&gt;0,1,0)</f>
        <v>0</v>
      </c>
      <c r="T11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1" spans="1:20" x14ac:dyDescent="0.25">
      <c r="A1181">
        <v>4</v>
      </c>
      <c r="B1181" t="s">
        <v>56</v>
      </c>
      <c r="C1181">
        <v>9651194</v>
      </c>
      <c r="D1181" s="48">
        <v>43346</v>
      </c>
      <c r="E1181" s="48">
        <v>43345</v>
      </c>
      <c r="F1181" s="48">
        <v>43353</v>
      </c>
      <c r="G1181" t="s">
        <v>78</v>
      </c>
      <c r="H1181" t="s">
        <v>79</v>
      </c>
      <c r="I1181">
        <v>2</v>
      </c>
      <c r="J1181" t="s">
        <v>1438</v>
      </c>
      <c r="K1181">
        <v>2</v>
      </c>
      <c r="L1181">
        <v>2</v>
      </c>
      <c r="M1181" t="s">
        <v>163</v>
      </c>
      <c r="N1181">
        <v>0</v>
      </c>
      <c r="O1181" s="1">
        <f>+Tabla__192.168.1.8_POSEIDONSQL_APPFVT_01_tbl_detalle_fill_rate[[#This Row],[emb_cantidad]]-Tabla__192.168.1.8_POSEIDONSQL_APPFVT_01_tbl_detalle_fill_rate[[#This Row],[dev_cantidad]]</f>
        <v>2</v>
      </c>
      <c r="P11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181" s="1">
        <f>+Tabla__192.168.1.8_POSEIDONSQL_APPFVT_01_tbl_detalle_fill_rate[[#This Row],[Cumpl Real Unds]]-Tabla__192.168.1.8_POSEIDONSQL_APPFVT_01_tbl_detalle_fill_rate[[#This Row],[Cant Embarcada]]</f>
        <v>0</v>
      </c>
      <c r="S1181" s="1">
        <f>+IF(Tabla__192.168.1.8_POSEIDONSQL_APPFVT_01_tbl_detalle_fill_rate[[#This Row],[Pend Emb]]&gt;0,1,0)</f>
        <v>0</v>
      </c>
      <c r="T11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2" spans="1:20" x14ac:dyDescent="0.25">
      <c r="A1182">
        <v>4</v>
      </c>
      <c r="B1182" t="s">
        <v>56</v>
      </c>
      <c r="C1182">
        <v>9651724</v>
      </c>
      <c r="D1182" s="48">
        <v>43346</v>
      </c>
      <c r="E1182" s="48">
        <v>43346</v>
      </c>
      <c r="F1182" s="48">
        <v>43353</v>
      </c>
      <c r="G1182" t="s">
        <v>374</v>
      </c>
      <c r="H1182" t="s">
        <v>375</v>
      </c>
      <c r="I1182">
        <v>1</v>
      </c>
      <c r="J1182" t="s">
        <v>1439</v>
      </c>
      <c r="K1182">
        <v>1</v>
      </c>
      <c r="L1182">
        <v>1</v>
      </c>
      <c r="M1182" t="s">
        <v>163</v>
      </c>
      <c r="N1182">
        <v>0</v>
      </c>
      <c r="O1182" s="1">
        <f>+Tabla__192.168.1.8_POSEIDONSQL_APPFVT_01_tbl_detalle_fill_rate[[#This Row],[emb_cantidad]]-Tabla__192.168.1.8_POSEIDONSQL_APPFVT_01_tbl_detalle_fill_rate[[#This Row],[dev_cantidad]]</f>
        <v>1</v>
      </c>
      <c r="P11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2" s="1">
        <f>+Tabla__192.168.1.8_POSEIDONSQL_APPFVT_01_tbl_detalle_fill_rate[[#This Row],[Cumpl Real Unds]]-Tabla__192.168.1.8_POSEIDONSQL_APPFVT_01_tbl_detalle_fill_rate[[#This Row],[Cant Embarcada]]</f>
        <v>0</v>
      </c>
      <c r="S1182" s="1">
        <f>+IF(Tabla__192.168.1.8_POSEIDONSQL_APPFVT_01_tbl_detalle_fill_rate[[#This Row],[Pend Emb]]&gt;0,1,0)</f>
        <v>0</v>
      </c>
      <c r="T11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3" spans="1:20" x14ac:dyDescent="0.25">
      <c r="A1183">
        <v>4</v>
      </c>
      <c r="B1183" t="s">
        <v>56</v>
      </c>
      <c r="C1183">
        <v>9651865</v>
      </c>
      <c r="D1183" s="48">
        <v>43346</v>
      </c>
      <c r="E1183" s="48">
        <v>43346</v>
      </c>
      <c r="F1183" s="48">
        <v>43353</v>
      </c>
      <c r="G1183" t="s">
        <v>132</v>
      </c>
      <c r="H1183" t="s">
        <v>133</v>
      </c>
      <c r="I1183">
        <v>1</v>
      </c>
      <c r="J1183" t="s">
        <v>1440</v>
      </c>
      <c r="K1183">
        <v>1</v>
      </c>
      <c r="L1183">
        <v>1</v>
      </c>
      <c r="M1183" t="s">
        <v>163</v>
      </c>
      <c r="N1183">
        <v>0</v>
      </c>
      <c r="O1183" s="1">
        <f>+Tabla__192.168.1.8_POSEIDONSQL_APPFVT_01_tbl_detalle_fill_rate[[#This Row],[emb_cantidad]]-Tabla__192.168.1.8_POSEIDONSQL_APPFVT_01_tbl_detalle_fill_rate[[#This Row],[dev_cantidad]]</f>
        <v>1</v>
      </c>
      <c r="P11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3" s="1">
        <f>+Tabla__192.168.1.8_POSEIDONSQL_APPFVT_01_tbl_detalle_fill_rate[[#This Row],[Cumpl Real Unds]]-Tabla__192.168.1.8_POSEIDONSQL_APPFVT_01_tbl_detalle_fill_rate[[#This Row],[Cant Embarcada]]</f>
        <v>0</v>
      </c>
      <c r="S1183" s="1">
        <f>+IF(Tabla__192.168.1.8_POSEIDONSQL_APPFVT_01_tbl_detalle_fill_rate[[#This Row],[Pend Emb]]&gt;0,1,0)</f>
        <v>0</v>
      </c>
      <c r="T11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4" spans="1:20" x14ac:dyDescent="0.25">
      <c r="A1184">
        <v>4</v>
      </c>
      <c r="B1184" t="s">
        <v>56</v>
      </c>
      <c r="C1184">
        <v>9651947</v>
      </c>
      <c r="D1184" s="48">
        <v>43346</v>
      </c>
      <c r="E1184" s="48">
        <v>43346</v>
      </c>
      <c r="F1184" s="48">
        <v>43353</v>
      </c>
      <c r="G1184" t="s">
        <v>461</v>
      </c>
      <c r="H1184" t="s">
        <v>462</v>
      </c>
      <c r="I1184">
        <v>1</v>
      </c>
      <c r="J1184" t="s">
        <v>1441</v>
      </c>
      <c r="K1184">
        <v>1</v>
      </c>
      <c r="L1184">
        <v>1</v>
      </c>
      <c r="M1184" t="s">
        <v>163</v>
      </c>
      <c r="N1184">
        <v>0</v>
      </c>
      <c r="O1184" s="1">
        <f>+Tabla__192.168.1.8_POSEIDONSQL_APPFVT_01_tbl_detalle_fill_rate[[#This Row],[emb_cantidad]]-Tabla__192.168.1.8_POSEIDONSQL_APPFVT_01_tbl_detalle_fill_rate[[#This Row],[dev_cantidad]]</f>
        <v>1</v>
      </c>
      <c r="P11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4" s="1">
        <f>+Tabla__192.168.1.8_POSEIDONSQL_APPFVT_01_tbl_detalle_fill_rate[[#This Row],[Cumpl Real Unds]]-Tabla__192.168.1.8_POSEIDONSQL_APPFVT_01_tbl_detalle_fill_rate[[#This Row],[Cant Embarcada]]</f>
        <v>0</v>
      </c>
      <c r="S1184" s="1">
        <f>+IF(Tabla__192.168.1.8_POSEIDONSQL_APPFVT_01_tbl_detalle_fill_rate[[#This Row],[Pend Emb]]&gt;0,1,0)</f>
        <v>0</v>
      </c>
      <c r="T11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5" spans="1:20" x14ac:dyDescent="0.25">
      <c r="A1185">
        <v>4</v>
      </c>
      <c r="B1185" t="s">
        <v>56</v>
      </c>
      <c r="C1185">
        <v>9652954</v>
      </c>
      <c r="D1185" s="48">
        <v>43347</v>
      </c>
      <c r="E1185" s="48">
        <v>43346</v>
      </c>
      <c r="F1185" s="48">
        <v>43353</v>
      </c>
      <c r="G1185" t="s">
        <v>140</v>
      </c>
      <c r="H1185" t="s">
        <v>141</v>
      </c>
      <c r="I1185">
        <v>1</v>
      </c>
      <c r="J1185" t="s">
        <v>821</v>
      </c>
      <c r="K1185">
        <v>1</v>
      </c>
      <c r="L1185">
        <v>1</v>
      </c>
      <c r="M1185" t="s">
        <v>163</v>
      </c>
      <c r="N1185">
        <v>0</v>
      </c>
      <c r="O1185" s="1">
        <f>+Tabla__192.168.1.8_POSEIDONSQL_APPFVT_01_tbl_detalle_fill_rate[[#This Row],[emb_cantidad]]-Tabla__192.168.1.8_POSEIDONSQL_APPFVT_01_tbl_detalle_fill_rate[[#This Row],[dev_cantidad]]</f>
        <v>1</v>
      </c>
      <c r="P11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5" s="1">
        <f>+Tabla__192.168.1.8_POSEIDONSQL_APPFVT_01_tbl_detalle_fill_rate[[#This Row],[Cumpl Real Unds]]-Tabla__192.168.1.8_POSEIDONSQL_APPFVT_01_tbl_detalle_fill_rate[[#This Row],[Cant Embarcada]]</f>
        <v>0</v>
      </c>
      <c r="S1185" s="1">
        <f>+IF(Tabla__192.168.1.8_POSEIDONSQL_APPFVT_01_tbl_detalle_fill_rate[[#This Row],[Pend Emb]]&gt;0,1,0)</f>
        <v>0</v>
      </c>
      <c r="T11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6" spans="1:20" x14ac:dyDescent="0.25">
      <c r="A1186">
        <v>4</v>
      </c>
      <c r="B1186" t="s">
        <v>56</v>
      </c>
      <c r="C1186">
        <v>9653108</v>
      </c>
      <c r="D1186" s="48">
        <v>43347</v>
      </c>
      <c r="E1186" s="48">
        <v>43346</v>
      </c>
      <c r="F1186" s="48">
        <v>43353</v>
      </c>
      <c r="G1186" t="s">
        <v>461</v>
      </c>
      <c r="H1186" t="s">
        <v>462</v>
      </c>
      <c r="I1186">
        <v>1</v>
      </c>
      <c r="J1186" t="s">
        <v>822</v>
      </c>
      <c r="K1186">
        <v>1</v>
      </c>
      <c r="L1186">
        <v>1</v>
      </c>
      <c r="M1186" t="s">
        <v>163</v>
      </c>
      <c r="N1186">
        <v>0</v>
      </c>
      <c r="O1186" s="1">
        <f>+Tabla__192.168.1.8_POSEIDONSQL_APPFVT_01_tbl_detalle_fill_rate[[#This Row],[emb_cantidad]]-Tabla__192.168.1.8_POSEIDONSQL_APPFVT_01_tbl_detalle_fill_rate[[#This Row],[dev_cantidad]]</f>
        <v>1</v>
      </c>
      <c r="P11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6" s="1">
        <f>+Tabla__192.168.1.8_POSEIDONSQL_APPFVT_01_tbl_detalle_fill_rate[[#This Row],[Cumpl Real Unds]]-Tabla__192.168.1.8_POSEIDONSQL_APPFVT_01_tbl_detalle_fill_rate[[#This Row],[Cant Embarcada]]</f>
        <v>0</v>
      </c>
      <c r="S1186" s="1">
        <f>+IF(Tabla__192.168.1.8_POSEIDONSQL_APPFVT_01_tbl_detalle_fill_rate[[#This Row],[Pend Emb]]&gt;0,1,0)</f>
        <v>0</v>
      </c>
      <c r="T11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7" spans="1:20" x14ac:dyDescent="0.25">
      <c r="A1187">
        <v>4</v>
      </c>
      <c r="B1187" t="s">
        <v>56</v>
      </c>
      <c r="C1187">
        <v>9653312</v>
      </c>
      <c r="D1187" s="48">
        <v>43347</v>
      </c>
      <c r="E1187" s="48">
        <v>43346</v>
      </c>
      <c r="F1187" s="48">
        <v>43353</v>
      </c>
      <c r="G1187" t="s">
        <v>62</v>
      </c>
      <c r="H1187" t="s">
        <v>63</v>
      </c>
      <c r="I1187">
        <v>1</v>
      </c>
      <c r="J1187" t="s">
        <v>823</v>
      </c>
      <c r="K1187">
        <v>1</v>
      </c>
      <c r="L1187">
        <v>1</v>
      </c>
      <c r="M1187" t="s">
        <v>163</v>
      </c>
      <c r="N1187">
        <v>0</v>
      </c>
      <c r="O1187" s="1">
        <f>+Tabla__192.168.1.8_POSEIDONSQL_APPFVT_01_tbl_detalle_fill_rate[[#This Row],[emb_cantidad]]-Tabla__192.168.1.8_POSEIDONSQL_APPFVT_01_tbl_detalle_fill_rate[[#This Row],[dev_cantidad]]</f>
        <v>1</v>
      </c>
      <c r="P11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7" s="1">
        <f>+Tabla__192.168.1.8_POSEIDONSQL_APPFVT_01_tbl_detalle_fill_rate[[#This Row],[Cumpl Real Unds]]-Tabla__192.168.1.8_POSEIDONSQL_APPFVT_01_tbl_detalle_fill_rate[[#This Row],[Cant Embarcada]]</f>
        <v>0</v>
      </c>
      <c r="S1187" s="1">
        <f>+IF(Tabla__192.168.1.8_POSEIDONSQL_APPFVT_01_tbl_detalle_fill_rate[[#This Row],[Pend Emb]]&gt;0,1,0)</f>
        <v>0</v>
      </c>
      <c r="T11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8" spans="1:20" x14ac:dyDescent="0.25">
      <c r="A1188">
        <v>4</v>
      </c>
      <c r="B1188" t="s">
        <v>56</v>
      </c>
      <c r="C1188">
        <v>9654092</v>
      </c>
      <c r="D1188" s="48">
        <v>43347</v>
      </c>
      <c r="E1188" s="48">
        <v>43346</v>
      </c>
      <c r="F1188" s="48">
        <v>43355</v>
      </c>
      <c r="G1188" t="s">
        <v>102</v>
      </c>
      <c r="H1188" t="s">
        <v>103</v>
      </c>
      <c r="I1188">
        <v>1</v>
      </c>
      <c r="J1188" t="s">
        <v>832</v>
      </c>
      <c r="K1188">
        <v>1</v>
      </c>
      <c r="L1188">
        <v>1</v>
      </c>
      <c r="M1188" t="s">
        <v>427</v>
      </c>
      <c r="N1188">
        <v>0</v>
      </c>
      <c r="O1188" s="1">
        <f>+Tabla__192.168.1.8_POSEIDONSQL_APPFVT_01_tbl_detalle_fill_rate[[#This Row],[emb_cantidad]]-Tabla__192.168.1.8_POSEIDONSQL_APPFVT_01_tbl_detalle_fill_rate[[#This Row],[dev_cantidad]]</f>
        <v>1</v>
      </c>
      <c r="P11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8" s="1">
        <f>+Tabla__192.168.1.8_POSEIDONSQL_APPFVT_01_tbl_detalle_fill_rate[[#This Row],[Cumpl Real Unds]]-Tabla__192.168.1.8_POSEIDONSQL_APPFVT_01_tbl_detalle_fill_rate[[#This Row],[Cant Embarcada]]</f>
        <v>0</v>
      </c>
      <c r="S1188" s="1">
        <f>+IF(Tabla__192.168.1.8_POSEIDONSQL_APPFVT_01_tbl_detalle_fill_rate[[#This Row],[Pend Emb]]&gt;0,1,0)</f>
        <v>0</v>
      </c>
      <c r="T11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89" spans="1:20" x14ac:dyDescent="0.25">
      <c r="A1189">
        <v>4</v>
      </c>
      <c r="B1189" t="s">
        <v>56</v>
      </c>
      <c r="C1189">
        <v>9654423</v>
      </c>
      <c r="D1189" s="48">
        <v>43347</v>
      </c>
      <c r="E1189" s="48">
        <v>43346</v>
      </c>
      <c r="F1189" s="48">
        <v>43353</v>
      </c>
      <c r="G1189" t="s">
        <v>96</v>
      </c>
      <c r="H1189" t="s">
        <v>97</v>
      </c>
      <c r="I1189">
        <v>1</v>
      </c>
      <c r="J1189" t="s">
        <v>824</v>
      </c>
      <c r="K1189">
        <v>1</v>
      </c>
      <c r="L1189">
        <v>1</v>
      </c>
      <c r="M1189" t="s">
        <v>163</v>
      </c>
      <c r="N1189">
        <v>0</v>
      </c>
      <c r="O1189" s="1">
        <f>+Tabla__192.168.1.8_POSEIDONSQL_APPFVT_01_tbl_detalle_fill_rate[[#This Row],[emb_cantidad]]-Tabla__192.168.1.8_POSEIDONSQL_APPFVT_01_tbl_detalle_fill_rate[[#This Row],[dev_cantidad]]</f>
        <v>1</v>
      </c>
      <c r="P11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89" s="1">
        <f>+Tabla__192.168.1.8_POSEIDONSQL_APPFVT_01_tbl_detalle_fill_rate[[#This Row],[Cumpl Real Unds]]-Tabla__192.168.1.8_POSEIDONSQL_APPFVT_01_tbl_detalle_fill_rate[[#This Row],[Cant Embarcada]]</f>
        <v>0</v>
      </c>
      <c r="S1189" s="1">
        <f>+IF(Tabla__192.168.1.8_POSEIDONSQL_APPFVT_01_tbl_detalle_fill_rate[[#This Row],[Pend Emb]]&gt;0,1,0)</f>
        <v>0</v>
      </c>
      <c r="T11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0" spans="1:20" x14ac:dyDescent="0.25">
      <c r="A1190">
        <v>4</v>
      </c>
      <c r="B1190" t="s">
        <v>56</v>
      </c>
      <c r="C1190">
        <v>9654758</v>
      </c>
      <c r="D1190" s="48">
        <v>43347</v>
      </c>
      <c r="E1190" s="48">
        <v>43346</v>
      </c>
      <c r="F1190" s="48">
        <v>43353</v>
      </c>
      <c r="G1190" t="s">
        <v>112</v>
      </c>
      <c r="H1190" t="s">
        <v>113</v>
      </c>
      <c r="I1190">
        <v>1</v>
      </c>
      <c r="J1190" t="s">
        <v>825</v>
      </c>
      <c r="K1190">
        <v>1</v>
      </c>
      <c r="L1190">
        <v>1</v>
      </c>
      <c r="M1190" t="s">
        <v>163</v>
      </c>
      <c r="N1190">
        <v>0</v>
      </c>
      <c r="O1190" s="1">
        <f>+Tabla__192.168.1.8_POSEIDONSQL_APPFVT_01_tbl_detalle_fill_rate[[#This Row],[emb_cantidad]]-Tabla__192.168.1.8_POSEIDONSQL_APPFVT_01_tbl_detalle_fill_rate[[#This Row],[dev_cantidad]]</f>
        <v>1</v>
      </c>
      <c r="P11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0" s="1">
        <f>+Tabla__192.168.1.8_POSEIDONSQL_APPFVT_01_tbl_detalle_fill_rate[[#This Row],[Cumpl Real Unds]]-Tabla__192.168.1.8_POSEIDONSQL_APPFVT_01_tbl_detalle_fill_rate[[#This Row],[Cant Embarcada]]</f>
        <v>0</v>
      </c>
      <c r="S1190" s="1">
        <f>+IF(Tabla__192.168.1.8_POSEIDONSQL_APPFVT_01_tbl_detalle_fill_rate[[#This Row],[Pend Emb]]&gt;0,1,0)</f>
        <v>0</v>
      </c>
      <c r="T11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1" spans="1:20" x14ac:dyDescent="0.25">
      <c r="A1191">
        <v>4</v>
      </c>
      <c r="B1191" t="s">
        <v>56</v>
      </c>
      <c r="C1191">
        <v>9655028</v>
      </c>
      <c r="D1191" s="48">
        <v>43347</v>
      </c>
      <c r="E1191" s="48">
        <v>43346</v>
      </c>
      <c r="F1191" s="48">
        <v>43355</v>
      </c>
      <c r="G1191" t="s">
        <v>120</v>
      </c>
      <c r="H1191" t="s">
        <v>121</v>
      </c>
      <c r="I1191">
        <v>1</v>
      </c>
      <c r="J1191" t="s">
        <v>826</v>
      </c>
      <c r="K1191">
        <v>1</v>
      </c>
      <c r="L1191">
        <v>1</v>
      </c>
      <c r="M1191" t="s">
        <v>427</v>
      </c>
      <c r="N1191">
        <v>0</v>
      </c>
      <c r="O1191" s="1">
        <f>+Tabla__192.168.1.8_POSEIDONSQL_APPFVT_01_tbl_detalle_fill_rate[[#This Row],[emb_cantidad]]-Tabla__192.168.1.8_POSEIDONSQL_APPFVT_01_tbl_detalle_fill_rate[[#This Row],[dev_cantidad]]</f>
        <v>1</v>
      </c>
      <c r="P11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1" s="1">
        <f>+Tabla__192.168.1.8_POSEIDONSQL_APPFVT_01_tbl_detalle_fill_rate[[#This Row],[Cumpl Real Unds]]-Tabla__192.168.1.8_POSEIDONSQL_APPFVT_01_tbl_detalle_fill_rate[[#This Row],[Cant Embarcada]]</f>
        <v>0</v>
      </c>
      <c r="S1191" s="1">
        <f>+IF(Tabla__192.168.1.8_POSEIDONSQL_APPFVT_01_tbl_detalle_fill_rate[[#This Row],[Pend Emb]]&gt;0,1,0)</f>
        <v>0</v>
      </c>
      <c r="T11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2" spans="1:20" x14ac:dyDescent="0.25">
      <c r="A1192">
        <v>4</v>
      </c>
      <c r="B1192" t="s">
        <v>56</v>
      </c>
      <c r="C1192">
        <v>9655455</v>
      </c>
      <c r="D1192" s="48">
        <v>43347</v>
      </c>
      <c r="E1192" s="48">
        <v>43346</v>
      </c>
      <c r="F1192" s="48">
        <v>43353</v>
      </c>
      <c r="G1192" t="s">
        <v>122</v>
      </c>
      <c r="H1192" t="s">
        <v>123</v>
      </c>
      <c r="I1192">
        <v>1</v>
      </c>
      <c r="J1192" t="s">
        <v>820</v>
      </c>
      <c r="K1192">
        <v>1</v>
      </c>
      <c r="L1192">
        <v>1</v>
      </c>
      <c r="M1192" t="s">
        <v>163</v>
      </c>
      <c r="N1192">
        <v>0</v>
      </c>
      <c r="O1192" s="1">
        <f>+Tabla__192.168.1.8_POSEIDONSQL_APPFVT_01_tbl_detalle_fill_rate[[#This Row],[emb_cantidad]]-Tabla__192.168.1.8_POSEIDONSQL_APPFVT_01_tbl_detalle_fill_rate[[#This Row],[dev_cantidad]]</f>
        <v>1</v>
      </c>
      <c r="P11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2" s="1">
        <f>+Tabla__192.168.1.8_POSEIDONSQL_APPFVT_01_tbl_detalle_fill_rate[[#This Row],[Cumpl Real Unds]]-Tabla__192.168.1.8_POSEIDONSQL_APPFVT_01_tbl_detalle_fill_rate[[#This Row],[Cant Embarcada]]</f>
        <v>0</v>
      </c>
      <c r="S1192" s="1">
        <f>+IF(Tabla__192.168.1.8_POSEIDONSQL_APPFVT_01_tbl_detalle_fill_rate[[#This Row],[Pend Emb]]&gt;0,1,0)</f>
        <v>0</v>
      </c>
      <c r="T11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3" spans="1:20" x14ac:dyDescent="0.25">
      <c r="A1193">
        <v>4</v>
      </c>
      <c r="B1193" t="s">
        <v>56</v>
      </c>
      <c r="C1193">
        <v>9655787</v>
      </c>
      <c r="D1193" s="48">
        <v>43347</v>
      </c>
      <c r="E1193" s="48">
        <v>43346</v>
      </c>
      <c r="F1193" s="48">
        <v>43355</v>
      </c>
      <c r="G1193" t="s">
        <v>633</v>
      </c>
      <c r="H1193" t="s">
        <v>634</v>
      </c>
      <c r="I1193">
        <v>1</v>
      </c>
      <c r="J1193" t="s">
        <v>827</v>
      </c>
      <c r="K1193">
        <v>1</v>
      </c>
      <c r="L1193">
        <v>1</v>
      </c>
      <c r="M1193" t="s">
        <v>427</v>
      </c>
      <c r="N1193">
        <v>0</v>
      </c>
      <c r="O1193" s="1">
        <f>+Tabla__192.168.1.8_POSEIDONSQL_APPFVT_01_tbl_detalle_fill_rate[[#This Row],[emb_cantidad]]-Tabla__192.168.1.8_POSEIDONSQL_APPFVT_01_tbl_detalle_fill_rate[[#This Row],[dev_cantidad]]</f>
        <v>1</v>
      </c>
      <c r="P11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3" s="1">
        <f>+Tabla__192.168.1.8_POSEIDONSQL_APPFVT_01_tbl_detalle_fill_rate[[#This Row],[Cumpl Real Unds]]-Tabla__192.168.1.8_POSEIDONSQL_APPFVT_01_tbl_detalle_fill_rate[[#This Row],[Cant Embarcada]]</f>
        <v>0</v>
      </c>
      <c r="S1193" s="1">
        <f>+IF(Tabla__192.168.1.8_POSEIDONSQL_APPFVT_01_tbl_detalle_fill_rate[[#This Row],[Pend Emb]]&gt;0,1,0)</f>
        <v>0</v>
      </c>
      <c r="T11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4" spans="1:20" x14ac:dyDescent="0.25">
      <c r="A1194">
        <v>4</v>
      </c>
      <c r="B1194" t="s">
        <v>56</v>
      </c>
      <c r="C1194">
        <v>9655851</v>
      </c>
      <c r="D1194" s="48">
        <v>43347</v>
      </c>
      <c r="E1194" s="48">
        <v>43346</v>
      </c>
      <c r="F1194" s="48">
        <v>43355</v>
      </c>
      <c r="G1194" t="s">
        <v>90</v>
      </c>
      <c r="H1194" t="s">
        <v>91</v>
      </c>
      <c r="I1194">
        <v>1</v>
      </c>
      <c r="J1194" t="s">
        <v>828</v>
      </c>
      <c r="K1194">
        <v>1</v>
      </c>
      <c r="L1194">
        <v>1</v>
      </c>
      <c r="M1194" t="s">
        <v>427</v>
      </c>
      <c r="N1194">
        <v>0</v>
      </c>
      <c r="O1194" s="1">
        <f>+Tabla__192.168.1.8_POSEIDONSQL_APPFVT_01_tbl_detalle_fill_rate[[#This Row],[emb_cantidad]]-Tabla__192.168.1.8_POSEIDONSQL_APPFVT_01_tbl_detalle_fill_rate[[#This Row],[dev_cantidad]]</f>
        <v>1</v>
      </c>
      <c r="P11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4" s="1">
        <f>+Tabla__192.168.1.8_POSEIDONSQL_APPFVT_01_tbl_detalle_fill_rate[[#This Row],[Cumpl Real Unds]]-Tabla__192.168.1.8_POSEIDONSQL_APPFVT_01_tbl_detalle_fill_rate[[#This Row],[Cant Embarcada]]</f>
        <v>0</v>
      </c>
      <c r="S1194" s="1">
        <f>+IF(Tabla__192.168.1.8_POSEIDONSQL_APPFVT_01_tbl_detalle_fill_rate[[#This Row],[Pend Emb]]&gt;0,1,0)</f>
        <v>0</v>
      </c>
      <c r="T11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5" spans="1:20" x14ac:dyDescent="0.25">
      <c r="A1195">
        <v>4</v>
      </c>
      <c r="B1195" t="s">
        <v>56</v>
      </c>
      <c r="C1195">
        <v>9656143</v>
      </c>
      <c r="D1195" s="48">
        <v>43347</v>
      </c>
      <c r="E1195" s="48">
        <v>43347</v>
      </c>
      <c r="F1195" s="48">
        <v>43355</v>
      </c>
      <c r="G1195" t="s">
        <v>829</v>
      </c>
      <c r="H1195" t="s">
        <v>830</v>
      </c>
      <c r="I1195">
        <v>1</v>
      </c>
      <c r="J1195" t="s">
        <v>831</v>
      </c>
      <c r="K1195">
        <v>1</v>
      </c>
      <c r="L1195">
        <v>1</v>
      </c>
      <c r="M1195" t="s">
        <v>427</v>
      </c>
      <c r="N1195">
        <v>0</v>
      </c>
      <c r="O1195" s="1">
        <f>+Tabla__192.168.1.8_POSEIDONSQL_APPFVT_01_tbl_detalle_fill_rate[[#This Row],[emb_cantidad]]-Tabla__192.168.1.8_POSEIDONSQL_APPFVT_01_tbl_detalle_fill_rate[[#This Row],[dev_cantidad]]</f>
        <v>1</v>
      </c>
      <c r="P11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5" s="1">
        <f>+Tabla__192.168.1.8_POSEIDONSQL_APPFVT_01_tbl_detalle_fill_rate[[#This Row],[Cumpl Real Unds]]-Tabla__192.168.1.8_POSEIDONSQL_APPFVT_01_tbl_detalle_fill_rate[[#This Row],[Cant Embarcada]]</f>
        <v>0</v>
      </c>
      <c r="S1195" s="1">
        <f>+IF(Tabla__192.168.1.8_POSEIDONSQL_APPFVT_01_tbl_detalle_fill_rate[[#This Row],[Pend Emb]]&gt;0,1,0)</f>
        <v>0</v>
      </c>
      <c r="T11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6" spans="1:20" x14ac:dyDescent="0.25">
      <c r="A1196">
        <v>4</v>
      </c>
      <c r="B1196" t="s">
        <v>56</v>
      </c>
      <c r="C1196">
        <v>9656396</v>
      </c>
      <c r="D1196" s="48">
        <v>43348</v>
      </c>
      <c r="E1196" s="48">
        <v>43347</v>
      </c>
      <c r="F1196" s="48">
        <v>43353</v>
      </c>
      <c r="G1196" t="s">
        <v>104</v>
      </c>
      <c r="H1196" t="s">
        <v>105</v>
      </c>
      <c r="I1196">
        <v>1</v>
      </c>
      <c r="J1196" t="s">
        <v>1302</v>
      </c>
      <c r="K1196">
        <v>1</v>
      </c>
      <c r="L1196">
        <v>1</v>
      </c>
      <c r="M1196" t="s">
        <v>163</v>
      </c>
      <c r="N1196">
        <v>0</v>
      </c>
      <c r="O1196" s="1">
        <f>+Tabla__192.168.1.8_POSEIDONSQL_APPFVT_01_tbl_detalle_fill_rate[[#This Row],[emb_cantidad]]-Tabla__192.168.1.8_POSEIDONSQL_APPFVT_01_tbl_detalle_fill_rate[[#This Row],[dev_cantidad]]</f>
        <v>1</v>
      </c>
      <c r="P11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6" s="1">
        <f>+Tabla__192.168.1.8_POSEIDONSQL_APPFVT_01_tbl_detalle_fill_rate[[#This Row],[Cumpl Real Unds]]-Tabla__192.168.1.8_POSEIDONSQL_APPFVT_01_tbl_detalle_fill_rate[[#This Row],[Cant Embarcada]]</f>
        <v>0</v>
      </c>
      <c r="S1196" s="1">
        <f>+IF(Tabla__192.168.1.8_POSEIDONSQL_APPFVT_01_tbl_detalle_fill_rate[[#This Row],[Pend Emb]]&gt;0,1,0)</f>
        <v>0</v>
      </c>
      <c r="T11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7" spans="1:20" x14ac:dyDescent="0.25">
      <c r="A1197">
        <v>4</v>
      </c>
      <c r="B1197" t="s">
        <v>56</v>
      </c>
      <c r="C1197">
        <v>9656549</v>
      </c>
      <c r="D1197" s="48">
        <v>43348</v>
      </c>
      <c r="E1197" s="48">
        <v>43347</v>
      </c>
      <c r="F1197" s="48">
        <v>43364</v>
      </c>
      <c r="G1197" t="s">
        <v>170</v>
      </c>
      <c r="H1197" t="s">
        <v>171</v>
      </c>
      <c r="I1197">
        <v>1</v>
      </c>
      <c r="J1197" t="s">
        <v>950</v>
      </c>
      <c r="K1197">
        <v>1</v>
      </c>
      <c r="L1197">
        <v>1</v>
      </c>
      <c r="M1197" t="s">
        <v>422</v>
      </c>
      <c r="N1197">
        <v>0</v>
      </c>
      <c r="O1197" s="1">
        <f>+Tabla__192.168.1.8_POSEIDONSQL_APPFVT_01_tbl_detalle_fill_rate[[#This Row],[emb_cantidad]]-Tabla__192.168.1.8_POSEIDONSQL_APPFVT_01_tbl_detalle_fill_rate[[#This Row],[dev_cantidad]]</f>
        <v>1</v>
      </c>
      <c r="P11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7" s="1">
        <f>+Tabla__192.168.1.8_POSEIDONSQL_APPFVT_01_tbl_detalle_fill_rate[[#This Row],[Cumpl Real Unds]]-Tabla__192.168.1.8_POSEIDONSQL_APPFVT_01_tbl_detalle_fill_rate[[#This Row],[Cant Embarcada]]</f>
        <v>0</v>
      </c>
      <c r="S1197" s="1">
        <f>+IF(Tabla__192.168.1.8_POSEIDONSQL_APPFVT_01_tbl_detalle_fill_rate[[#This Row],[Pend Emb]]&gt;0,1,0)</f>
        <v>0</v>
      </c>
      <c r="T11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8" spans="1:20" x14ac:dyDescent="0.25">
      <c r="A1198">
        <v>4</v>
      </c>
      <c r="B1198" t="s">
        <v>56</v>
      </c>
      <c r="C1198">
        <v>9656648</v>
      </c>
      <c r="D1198" s="48">
        <v>43348</v>
      </c>
      <c r="E1198" s="48">
        <v>43347</v>
      </c>
      <c r="F1198" s="48">
        <v>43353</v>
      </c>
      <c r="G1198" t="s">
        <v>74</v>
      </c>
      <c r="H1198" t="s">
        <v>75</v>
      </c>
      <c r="I1198">
        <v>1</v>
      </c>
      <c r="J1198" t="s">
        <v>1299</v>
      </c>
      <c r="K1198">
        <v>1</v>
      </c>
      <c r="L1198">
        <v>1</v>
      </c>
      <c r="M1198" t="s">
        <v>163</v>
      </c>
      <c r="N1198">
        <v>0</v>
      </c>
      <c r="O1198" s="1">
        <f>+Tabla__192.168.1.8_POSEIDONSQL_APPFVT_01_tbl_detalle_fill_rate[[#This Row],[emb_cantidad]]-Tabla__192.168.1.8_POSEIDONSQL_APPFVT_01_tbl_detalle_fill_rate[[#This Row],[dev_cantidad]]</f>
        <v>1</v>
      </c>
      <c r="P11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8" s="1">
        <f>+Tabla__192.168.1.8_POSEIDONSQL_APPFVT_01_tbl_detalle_fill_rate[[#This Row],[Cumpl Real Unds]]-Tabla__192.168.1.8_POSEIDONSQL_APPFVT_01_tbl_detalle_fill_rate[[#This Row],[Cant Embarcada]]</f>
        <v>0</v>
      </c>
      <c r="S1198" s="1">
        <f>+IF(Tabla__192.168.1.8_POSEIDONSQL_APPFVT_01_tbl_detalle_fill_rate[[#This Row],[Pend Emb]]&gt;0,1,0)</f>
        <v>0</v>
      </c>
      <c r="T11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199" spans="1:20" x14ac:dyDescent="0.25">
      <c r="A1199">
        <v>4</v>
      </c>
      <c r="B1199" t="s">
        <v>56</v>
      </c>
      <c r="C1199">
        <v>9656989</v>
      </c>
      <c r="D1199" s="48">
        <v>43348</v>
      </c>
      <c r="E1199" s="48">
        <v>43347</v>
      </c>
      <c r="F1199" s="48">
        <v>43357</v>
      </c>
      <c r="G1199" t="s">
        <v>62</v>
      </c>
      <c r="H1199" t="s">
        <v>63</v>
      </c>
      <c r="I1199">
        <v>1</v>
      </c>
      <c r="J1199" t="s">
        <v>1456</v>
      </c>
      <c r="K1199">
        <v>1</v>
      </c>
      <c r="L1199">
        <v>1</v>
      </c>
      <c r="M1199" t="s">
        <v>426</v>
      </c>
      <c r="N1199">
        <v>0</v>
      </c>
      <c r="O1199" s="1">
        <f>+Tabla__192.168.1.8_POSEIDONSQL_APPFVT_01_tbl_detalle_fill_rate[[#This Row],[emb_cantidad]]-Tabla__192.168.1.8_POSEIDONSQL_APPFVT_01_tbl_detalle_fill_rate[[#This Row],[dev_cantidad]]</f>
        <v>1</v>
      </c>
      <c r="P11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1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199" s="1">
        <f>+Tabla__192.168.1.8_POSEIDONSQL_APPFVT_01_tbl_detalle_fill_rate[[#This Row],[Cumpl Real Unds]]-Tabla__192.168.1.8_POSEIDONSQL_APPFVT_01_tbl_detalle_fill_rate[[#This Row],[Cant Embarcada]]</f>
        <v>0</v>
      </c>
      <c r="S1199" s="1">
        <f>+IF(Tabla__192.168.1.8_POSEIDONSQL_APPFVT_01_tbl_detalle_fill_rate[[#This Row],[Pend Emb]]&gt;0,1,0)</f>
        <v>0</v>
      </c>
      <c r="T11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0" spans="1:20" x14ac:dyDescent="0.25">
      <c r="A1200">
        <v>4</v>
      </c>
      <c r="B1200" t="s">
        <v>56</v>
      </c>
      <c r="C1200">
        <v>9657054</v>
      </c>
      <c r="D1200" s="48">
        <v>43348</v>
      </c>
      <c r="E1200" s="48">
        <v>43347</v>
      </c>
      <c r="F1200" s="48">
        <v>43353</v>
      </c>
      <c r="G1200" t="s">
        <v>90</v>
      </c>
      <c r="H1200" t="s">
        <v>91</v>
      </c>
      <c r="I1200">
        <v>1</v>
      </c>
      <c r="J1200" t="s">
        <v>1300</v>
      </c>
      <c r="K1200">
        <v>1</v>
      </c>
      <c r="L1200">
        <v>1</v>
      </c>
      <c r="M1200" t="s">
        <v>163</v>
      </c>
      <c r="N1200">
        <v>0</v>
      </c>
      <c r="O1200" s="1">
        <f>+Tabla__192.168.1.8_POSEIDONSQL_APPFVT_01_tbl_detalle_fill_rate[[#This Row],[emb_cantidad]]-Tabla__192.168.1.8_POSEIDONSQL_APPFVT_01_tbl_detalle_fill_rate[[#This Row],[dev_cantidad]]</f>
        <v>1</v>
      </c>
      <c r="P12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0" s="1">
        <f>+Tabla__192.168.1.8_POSEIDONSQL_APPFVT_01_tbl_detalle_fill_rate[[#This Row],[Cumpl Real Unds]]-Tabla__192.168.1.8_POSEIDONSQL_APPFVT_01_tbl_detalle_fill_rate[[#This Row],[Cant Embarcada]]</f>
        <v>0</v>
      </c>
      <c r="S1200" s="1">
        <f>+IF(Tabla__192.168.1.8_POSEIDONSQL_APPFVT_01_tbl_detalle_fill_rate[[#This Row],[Pend Emb]]&gt;0,1,0)</f>
        <v>0</v>
      </c>
      <c r="T12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1" spans="1:20" x14ac:dyDescent="0.25">
      <c r="A1201">
        <v>4</v>
      </c>
      <c r="B1201" t="s">
        <v>56</v>
      </c>
      <c r="C1201">
        <v>9657472</v>
      </c>
      <c r="D1201" s="48">
        <v>43348</v>
      </c>
      <c r="E1201" s="48">
        <v>43347</v>
      </c>
      <c r="F1201" s="48">
        <v>43353</v>
      </c>
      <c r="G1201" t="s">
        <v>229</v>
      </c>
      <c r="H1201" t="s">
        <v>230</v>
      </c>
      <c r="I1201">
        <v>1</v>
      </c>
      <c r="J1201" t="s">
        <v>1301</v>
      </c>
      <c r="K1201">
        <v>1</v>
      </c>
      <c r="L1201">
        <v>1</v>
      </c>
      <c r="M1201" t="s">
        <v>163</v>
      </c>
      <c r="N1201">
        <v>0</v>
      </c>
      <c r="O1201" s="1">
        <f>+Tabla__192.168.1.8_POSEIDONSQL_APPFVT_01_tbl_detalle_fill_rate[[#This Row],[emb_cantidad]]-Tabla__192.168.1.8_POSEIDONSQL_APPFVT_01_tbl_detalle_fill_rate[[#This Row],[dev_cantidad]]</f>
        <v>1</v>
      </c>
      <c r="P12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1" s="1">
        <f>+Tabla__192.168.1.8_POSEIDONSQL_APPFVT_01_tbl_detalle_fill_rate[[#This Row],[Cumpl Real Unds]]-Tabla__192.168.1.8_POSEIDONSQL_APPFVT_01_tbl_detalle_fill_rate[[#This Row],[Cant Embarcada]]</f>
        <v>0</v>
      </c>
      <c r="S1201" s="1">
        <f>+IF(Tabla__192.168.1.8_POSEIDONSQL_APPFVT_01_tbl_detalle_fill_rate[[#This Row],[Pend Emb]]&gt;0,1,0)</f>
        <v>0</v>
      </c>
      <c r="T12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2" spans="1:20" x14ac:dyDescent="0.25">
      <c r="A1202">
        <v>4</v>
      </c>
      <c r="B1202" t="s">
        <v>56</v>
      </c>
      <c r="C1202">
        <v>9657920</v>
      </c>
      <c r="D1202" s="48">
        <v>43348</v>
      </c>
      <c r="E1202" s="48">
        <v>43347</v>
      </c>
      <c r="F1202" s="48">
        <v>43357</v>
      </c>
      <c r="G1202" t="s">
        <v>543</v>
      </c>
      <c r="H1202" t="s">
        <v>544</v>
      </c>
      <c r="I1202">
        <v>1</v>
      </c>
      <c r="J1202" t="s">
        <v>1457</v>
      </c>
      <c r="K1202">
        <v>1</v>
      </c>
      <c r="L1202">
        <v>1</v>
      </c>
      <c r="M1202" t="s">
        <v>426</v>
      </c>
      <c r="N1202">
        <v>0</v>
      </c>
      <c r="O1202" s="1">
        <f>+Tabla__192.168.1.8_POSEIDONSQL_APPFVT_01_tbl_detalle_fill_rate[[#This Row],[emb_cantidad]]-Tabla__192.168.1.8_POSEIDONSQL_APPFVT_01_tbl_detalle_fill_rate[[#This Row],[dev_cantidad]]</f>
        <v>1</v>
      </c>
      <c r="P12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2" s="1">
        <f>+Tabla__192.168.1.8_POSEIDONSQL_APPFVT_01_tbl_detalle_fill_rate[[#This Row],[Cumpl Real Unds]]-Tabla__192.168.1.8_POSEIDONSQL_APPFVT_01_tbl_detalle_fill_rate[[#This Row],[Cant Embarcada]]</f>
        <v>0</v>
      </c>
      <c r="S1202" s="1">
        <f>+IF(Tabla__192.168.1.8_POSEIDONSQL_APPFVT_01_tbl_detalle_fill_rate[[#This Row],[Pend Emb]]&gt;0,1,0)</f>
        <v>0</v>
      </c>
      <c r="T12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3" spans="1:20" x14ac:dyDescent="0.25">
      <c r="A1203">
        <v>4</v>
      </c>
      <c r="B1203" t="s">
        <v>56</v>
      </c>
      <c r="C1203">
        <v>9657990</v>
      </c>
      <c r="D1203" s="48">
        <v>43348</v>
      </c>
      <c r="E1203" s="48">
        <v>43347</v>
      </c>
      <c r="F1203" s="48">
        <v>43353</v>
      </c>
      <c r="G1203" t="s">
        <v>124</v>
      </c>
      <c r="H1203" t="s">
        <v>125</v>
      </c>
      <c r="I1203">
        <v>1</v>
      </c>
      <c r="J1203" t="s">
        <v>1298</v>
      </c>
      <c r="K1203">
        <v>1</v>
      </c>
      <c r="L1203">
        <v>1</v>
      </c>
      <c r="M1203" t="s">
        <v>163</v>
      </c>
      <c r="N1203">
        <v>0</v>
      </c>
      <c r="O1203" s="1">
        <f>+Tabla__192.168.1.8_POSEIDONSQL_APPFVT_01_tbl_detalle_fill_rate[[#This Row],[emb_cantidad]]-Tabla__192.168.1.8_POSEIDONSQL_APPFVT_01_tbl_detalle_fill_rate[[#This Row],[dev_cantidad]]</f>
        <v>1</v>
      </c>
      <c r="P12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3" s="1">
        <f>+Tabla__192.168.1.8_POSEIDONSQL_APPFVT_01_tbl_detalle_fill_rate[[#This Row],[Cumpl Real Unds]]-Tabla__192.168.1.8_POSEIDONSQL_APPFVT_01_tbl_detalle_fill_rate[[#This Row],[Cant Embarcada]]</f>
        <v>0</v>
      </c>
      <c r="S1203" s="1">
        <f>+IF(Tabla__192.168.1.8_POSEIDONSQL_APPFVT_01_tbl_detalle_fill_rate[[#This Row],[Pend Emb]]&gt;0,1,0)</f>
        <v>0</v>
      </c>
      <c r="T12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4" spans="1:20" x14ac:dyDescent="0.25">
      <c r="A1204">
        <v>4</v>
      </c>
      <c r="B1204" t="s">
        <v>56</v>
      </c>
      <c r="C1204">
        <v>9658498</v>
      </c>
      <c r="D1204" s="48">
        <v>43348</v>
      </c>
      <c r="E1204" s="48">
        <v>43347</v>
      </c>
      <c r="F1204" s="48">
        <v>43355</v>
      </c>
      <c r="G1204" t="s">
        <v>316</v>
      </c>
      <c r="H1204" t="s">
        <v>317</v>
      </c>
      <c r="I1204">
        <v>1</v>
      </c>
      <c r="J1204" t="s">
        <v>1303</v>
      </c>
      <c r="K1204">
        <v>1</v>
      </c>
      <c r="L1204">
        <v>1</v>
      </c>
      <c r="M1204" t="s">
        <v>427</v>
      </c>
      <c r="N1204">
        <v>0</v>
      </c>
      <c r="O1204" s="1">
        <f>+Tabla__192.168.1.8_POSEIDONSQL_APPFVT_01_tbl_detalle_fill_rate[[#This Row],[emb_cantidad]]-Tabla__192.168.1.8_POSEIDONSQL_APPFVT_01_tbl_detalle_fill_rate[[#This Row],[dev_cantidad]]</f>
        <v>1</v>
      </c>
      <c r="P12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4" s="1">
        <f>+Tabla__192.168.1.8_POSEIDONSQL_APPFVT_01_tbl_detalle_fill_rate[[#This Row],[Cumpl Real Unds]]-Tabla__192.168.1.8_POSEIDONSQL_APPFVT_01_tbl_detalle_fill_rate[[#This Row],[Cant Embarcada]]</f>
        <v>0</v>
      </c>
      <c r="S1204" s="1">
        <f>+IF(Tabla__192.168.1.8_POSEIDONSQL_APPFVT_01_tbl_detalle_fill_rate[[#This Row],[Pend Emb]]&gt;0,1,0)</f>
        <v>0</v>
      </c>
      <c r="T12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5" spans="1:20" x14ac:dyDescent="0.25">
      <c r="A1205">
        <v>4</v>
      </c>
      <c r="B1205" t="s">
        <v>56</v>
      </c>
      <c r="C1205">
        <v>9658582</v>
      </c>
      <c r="D1205" s="48">
        <v>43348</v>
      </c>
      <c r="E1205" s="48">
        <v>43347</v>
      </c>
      <c r="F1205" s="48">
        <v>43355</v>
      </c>
      <c r="G1205" t="s">
        <v>70</v>
      </c>
      <c r="H1205" t="s">
        <v>71</v>
      </c>
      <c r="I1205">
        <v>1</v>
      </c>
      <c r="J1205" t="s">
        <v>1304</v>
      </c>
      <c r="K1205">
        <v>1</v>
      </c>
      <c r="L1205">
        <v>1</v>
      </c>
      <c r="M1205" t="s">
        <v>427</v>
      </c>
      <c r="N1205">
        <v>0</v>
      </c>
      <c r="O1205" s="1">
        <f>+Tabla__192.168.1.8_POSEIDONSQL_APPFVT_01_tbl_detalle_fill_rate[[#This Row],[emb_cantidad]]-Tabla__192.168.1.8_POSEIDONSQL_APPFVT_01_tbl_detalle_fill_rate[[#This Row],[dev_cantidad]]</f>
        <v>1</v>
      </c>
      <c r="P12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5" s="1">
        <f>+Tabla__192.168.1.8_POSEIDONSQL_APPFVT_01_tbl_detalle_fill_rate[[#This Row],[Cumpl Real Unds]]-Tabla__192.168.1.8_POSEIDONSQL_APPFVT_01_tbl_detalle_fill_rate[[#This Row],[Cant Embarcada]]</f>
        <v>0</v>
      </c>
      <c r="S1205" s="1">
        <f>+IF(Tabla__192.168.1.8_POSEIDONSQL_APPFVT_01_tbl_detalle_fill_rate[[#This Row],[Pend Emb]]&gt;0,1,0)</f>
        <v>0</v>
      </c>
      <c r="T12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6" spans="1:20" x14ac:dyDescent="0.25">
      <c r="A1206">
        <v>4</v>
      </c>
      <c r="B1206" t="s">
        <v>56</v>
      </c>
      <c r="C1206">
        <v>9658732</v>
      </c>
      <c r="D1206" s="48">
        <v>43348</v>
      </c>
      <c r="E1206" s="48">
        <v>43347</v>
      </c>
      <c r="F1206" s="48">
        <v>43357</v>
      </c>
      <c r="G1206" t="s">
        <v>285</v>
      </c>
      <c r="H1206" t="s">
        <v>286</v>
      </c>
      <c r="I1206">
        <v>1</v>
      </c>
      <c r="J1206" t="s">
        <v>1455</v>
      </c>
      <c r="K1206">
        <v>0</v>
      </c>
      <c r="L1206">
        <v>0</v>
      </c>
      <c r="M1206" t="s">
        <v>12</v>
      </c>
      <c r="N1206">
        <v>0</v>
      </c>
      <c r="O1206" s="1">
        <f>+Tabla__192.168.1.8_POSEIDONSQL_APPFVT_01_tbl_detalle_fill_rate[[#This Row],[emb_cantidad]]-Tabla__192.168.1.8_POSEIDONSQL_APPFVT_01_tbl_detalle_fill_rate[[#This Row],[dev_cantidad]]</f>
        <v>0</v>
      </c>
      <c r="P12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206" s="1">
        <f>+Tabla__192.168.1.8_POSEIDONSQL_APPFVT_01_tbl_detalle_fill_rate[[#This Row],[Cumpl Real Unds]]-Tabla__192.168.1.8_POSEIDONSQL_APPFVT_01_tbl_detalle_fill_rate[[#This Row],[Cant Embarcada]]</f>
        <v>0</v>
      </c>
      <c r="S1206" s="1">
        <f>+IF(Tabla__192.168.1.8_POSEIDONSQL_APPFVT_01_tbl_detalle_fill_rate[[#This Row],[Pend Emb]]&gt;0,1,0)</f>
        <v>0</v>
      </c>
      <c r="T12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7" spans="1:20" x14ac:dyDescent="0.25">
      <c r="A1207">
        <v>4</v>
      </c>
      <c r="B1207" t="s">
        <v>56</v>
      </c>
      <c r="C1207">
        <v>9659336</v>
      </c>
      <c r="D1207" s="48">
        <v>43349</v>
      </c>
      <c r="E1207" s="48">
        <v>43348</v>
      </c>
      <c r="F1207" s="48">
        <v>43355</v>
      </c>
      <c r="G1207" t="s">
        <v>170</v>
      </c>
      <c r="H1207" t="s">
        <v>171</v>
      </c>
      <c r="I1207">
        <v>1</v>
      </c>
      <c r="J1207" t="s">
        <v>1661</v>
      </c>
      <c r="K1207">
        <v>1</v>
      </c>
      <c r="L1207">
        <v>1</v>
      </c>
      <c r="M1207" t="s">
        <v>427</v>
      </c>
      <c r="N1207">
        <v>0</v>
      </c>
      <c r="O1207" s="1">
        <f>+Tabla__192.168.1.8_POSEIDONSQL_APPFVT_01_tbl_detalle_fill_rate[[#This Row],[emb_cantidad]]-Tabla__192.168.1.8_POSEIDONSQL_APPFVT_01_tbl_detalle_fill_rate[[#This Row],[dev_cantidad]]</f>
        <v>1</v>
      </c>
      <c r="P12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7" s="1">
        <f>+Tabla__192.168.1.8_POSEIDONSQL_APPFVT_01_tbl_detalle_fill_rate[[#This Row],[Cumpl Real Unds]]-Tabla__192.168.1.8_POSEIDONSQL_APPFVT_01_tbl_detalle_fill_rate[[#This Row],[Cant Embarcada]]</f>
        <v>0</v>
      </c>
      <c r="S1207" s="1">
        <f>+IF(Tabla__192.168.1.8_POSEIDONSQL_APPFVT_01_tbl_detalle_fill_rate[[#This Row],[Pend Emb]]&gt;0,1,0)</f>
        <v>0</v>
      </c>
      <c r="T12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8" spans="1:20" x14ac:dyDescent="0.25">
      <c r="A1208">
        <v>4</v>
      </c>
      <c r="B1208" t="s">
        <v>56</v>
      </c>
      <c r="C1208">
        <v>9659475</v>
      </c>
      <c r="D1208" s="48">
        <v>43349</v>
      </c>
      <c r="E1208" s="48">
        <v>43348</v>
      </c>
      <c r="F1208" s="48">
        <v>43355</v>
      </c>
      <c r="G1208" t="s">
        <v>338</v>
      </c>
      <c r="H1208" t="s">
        <v>339</v>
      </c>
      <c r="I1208">
        <v>1</v>
      </c>
      <c r="J1208" t="s">
        <v>1662</v>
      </c>
      <c r="K1208">
        <v>1</v>
      </c>
      <c r="L1208">
        <v>1</v>
      </c>
      <c r="M1208" t="s">
        <v>427</v>
      </c>
      <c r="N1208">
        <v>0</v>
      </c>
      <c r="O1208" s="1">
        <f>+Tabla__192.168.1.8_POSEIDONSQL_APPFVT_01_tbl_detalle_fill_rate[[#This Row],[emb_cantidad]]-Tabla__192.168.1.8_POSEIDONSQL_APPFVT_01_tbl_detalle_fill_rate[[#This Row],[dev_cantidad]]</f>
        <v>1</v>
      </c>
      <c r="P12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8" s="1">
        <f>+Tabla__192.168.1.8_POSEIDONSQL_APPFVT_01_tbl_detalle_fill_rate[[#This Row],[Cumpl Real Unds]]-Tabla__192.168.1.8_POSEIDONSQL_APPFVT_01_tbl_detalle_fill_rate[[#This Row],[Cant Embarcada]]</f>
        <v>0</v>
      </c>
      <c r="S1208" s="1">
        <f>+IF(Tabla__192.168.1.8_POSEIDONSQL_APPFVT_01_tbl_detalle_fill_rate[[#This Row],[Pend Emb]]&gt;0,1,0)</f>
        <v>0</v>
      </c>
      <c r="T12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09" spans="1:20" x14ac:dyDescent="0.25">
      <c r="A1209">
        <v>4</v>
      </c>
      <c r="B1209" t="s">
        <v>56</v>
      </c>
      <c r="C1209">
        <v>9659490</v>
      </c>
      <c r="D1209" s="48">
        <v>43349</v>
      </c>
      <c r="E1209" s="48">
        <v>43348</v>
      </c>
      <c r="F1209" s="48">
        <v>43357</v>
      </c>
      <c r="G1209" t="s">
        <v>90</v>
      </c>
      <c r="H1209" t="s">
        <v>91</v>
      </c>
      <c r="I1209">
        <v>1</v>
      </c>
      <c r="J1209" t="s">
        <v>1846</v>
      </c>
      <c r="K1209">
        <v>1</v>
      </c>
      <c r="L1209">
        <v>1</v>
      </c>
      <c r="M1209" t="s">
        <v>426</v>
      </c>
      <c r="N1209">
        <v>0</v>
      </c>
      <c r="O1209" s="1">
        <f>+Tabla__192.168.1.8_POSEIDONSQL_APPFVT_01_tbl_detalle_fill_rate[[#This Row],[emb_cantidad]]-Tabla__192.168.1.8_POSEIDONSQL_APPFVT_01_tbl_detalle_fill_rate[[#This Row],[dev_cantidad]]</f>
        <v>1</v>
      </c>
      <c r="P12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09" s="1">
        <f>+Tabla__192.168.1.8_POSEIDONSQL_APPFVT_01_tbl_detalle_fill_rate[[#This Row],[Cumpl Real Unds]]-Tabla__192.168.1.8_POSEIDONSQL_APPFVT_01_tbl_detalle_fill_rate[[#This Row],[Cant Embarcada]]</f>
        <v>0</v>
      </c>
      <c r="S1209" s="1">
        <f>+IF(Tabla__192.168.1.8_POSEIDONSQL_APPFVT_01_tbl_detalle_fill_rate[[#This Row],[Pend Emb]]&gt;0,1,0)</f>
        <v>0</v>
      </c>
      <c r="T12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0" spans="1:20" x14ac:dyDescent="0.25">
      <c r="A1210">
        <v>4</v>
      </c>
      <c r="B1210" t="s">
        <v>56</v>
      </c>
      <c r="C1210">
        <v>9660055</v>
      </c>
      <c r="D1210" s="48">
        <v>43349</v>
      </c>
      <c r="E1210" s="48">
        <v>43348</v>
      </c>
      <c r="F1210" s="48">
        <v>43355</v>
      </c>
      <c r="G1210" t="s">
        <v>74</v>
      </c>
      <c r="H1210" t="s">
        <v>75</v>
      </c>
      <c r="I1210">
        <v>1</v>
      </c>
      <c r="J1210" t="s">
        <v>1658</v>
      </c>
      <c r="K1210">
        <v>1</v>
      </c>
      <c r="L1210">
        <v>1</v>
      </c>
      <c r="M1210" t="s">
        <v>427</v>
      </c>
      <c r="N1210">
        <v>0</v>
      </c>
      <c r="O1210" s="1">
        <f>+Tabla__192.168.1.8_POSEIDONSQL_APPFVT_01_tbl_detalle_fill_rate[[#This Row],[emb_cantidad]]-Tabla__192.168.1.8_POSEIDONSQL_APPFVT_01_tbl_detalle_fill_rate[[#This Row],[dev_cantidad]]</f>
        <v>1</v>
      </c>
      <c r="P12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0" s="1">
        <f>+Tabla__192.168.1.8_POSEIDONSQL_APPFVT_01_tbl_detalle_fill_rate[[#This Row],[Cumpl Real Unds]]-Tabla__192.168.1.8_POSEIDONSQL_APPFVT_01_tbl_detalle_fill_rate[[#This Row],[Cant Embarcada]]</f>
        <v>0</v>
      </c>
      <c r="S1210" s="1">
        <f>+IF(Tabla__192.168.1.8_POSEIDONSQL_APPFVT_01_tbl_detalle_fill_rate[[#This Row],[Pend Emb]]&gt;0,1,0)</f>
        <v>0</v>
      </c>
      <c r="T12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1" spans="1:20" x14ac:dyDescent="0.25">
      <c r="A1211">
        <v>4</v>
      </c>
      <c r="B1211" t="s">
        <v>56</v>
      </c>
      <c r="C1211">
        <v>9660235</v>
      </c>
      <c r="D1211" s="48">
        <v>43349</v>
      </c>
      <c r="E1211" s="48">
        <v>43348</v>
      </c>
      <c r="F1211" s="48">
        <v>43355</v>
      </c>
      <c r="G1211" t="s">
        <v>938</v>
      </c>
      <c r="H1211" t="s">
        <v>939</v>
      </c>
      <c r="I1211">
        <v>1</v>
      </c>
      <c r="J1211" t="s">
        <v>1659</v>
      </c>
      <c r="K1211">
        <v>1</v>
      </c>
      <c r="L1211">
        <v>1</v>
      </c>
      <c r="M1211" t="s">
        <v>427</v>
      </c>
      <c r="N1211">
        <v>0</v>
      </c>
      <c r="O1211" s="1">
        <f>+Tabla__192.168.1.8_POSEIDONSQL_APPFVT_01_tbl_detalle_fill_rate[[#This Row],[emb_cantidad]]-Tabla__192.168.1.8_POSEIDONSQL_APPFVT_01_tbl_detalle_fill_rate[[#This Row],[dev_cantidad]]</f>
        <v>1</v>
      </c>
      <c r="P12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1" s="1">
        <f>+Tabla__192.168.1.8_POSEIDONSQL_APPFVT_01_tbl_detalle_fill_rate[[#This Row],[Cumpl Real Unds]]-Tabla__192.168.1.8_POSEIDONSQL_APPFVT_01_tbl_detalle_fill_rate[[#This Row],[Cant Embarcada]]</f>
        <v>0</v>
      </c>
      <c r="S1211" s="1">
        <f>+IF(Tabla__192.168.1.8_POSEIDONSQL_APPFVT_01_tbl_detalle_fill_rate[[#This Row],[Pend Emb]]&gt;0,1,0)</f>
        <v>0</v>
      </c>
      <c r="T12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2" spans="1:20" x14ac:dyDescent="0.25">
      <c r="A1212">
        <v>4</v>
      </c>
      <c r="B1212" t="s">
        <v>56</v>
      </c>
      <c r="C1212">
        <v>9661708</v>
      </c>
      <c r="D1212" s="48">
        <v>43349</v>
      </c>
      <c r="E1212" s="48">
        <v>43348</v>
      </c>
      <c r="F1212" s="48">
        <v>43360</v>
      </c>
      <c r="G1212" t="s">
        <v>76</v>
      </c>
      <c r="H1212" t="s">
        <v>77</v>
      </c>
      <c r="I1212">
        <v>1</v>
      </c>
      <c r="J1212" t="s">
        <v>581</v>
      </c>
      <c r="K1212">
        <v>1</v>
      </c>
      <c r="L1212">
        <v>1</v>
      </c>
      <c r="M1212" t="s">
        <v>426</v>
      </c>
      <c r="N1212">
        <v>0</v>
      </c>
      <c r="O1212" s="1">
        <f>+Tabla__192.168.1.8_POSEIDONSQL_APPFVT_01_tbl_detalle_fill_rate[[#This Row],[emb_cantidad]]-Tabla__192.168.1.8_POSEIDONSQL_APPFVT_01_tbl_detalle_fill_rate[[#This Row],[dev_cantidad]]</f>
        <v>1</v>
      </c>
      <c r="P12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2" s="1">
        <f>+Tabla__192.168.1.8_POSEIDONSQL_APPFVT_01_tbl_detalle_fill_rate[[#This Row],[Cumpl Real Unds]]-Tabla__192.168.1.8_POSEIDONSQL_APPFVT_01_tbl_detalle_fill_rate[[#This Row],[Cant Embarcada]]</f>
        <v>0</v>
      </c>
      <c r="S1212" s="1">
        <f>+IF(Tabla__192.168.1.8_POSEIDONSQL_APPFVT_01_tbl_detalle_fill_rate[[#This Row],[Pend Emb]]&gt;0,1,0)</f>
        <v>0</v>
      </c>
      <c r="T12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3" spans="1:20" x14ac:dyDescent="0.25">
      <c r="A1213">
        <v>4</v>
      </c>
      <c r="B1213" t="s">
        <v>56</v>
      </c>
      <c r="C1213">
        <v>9661929</v>
      </c>
      <c r="D1213" s="48">
        <v>43349</v>
      </c>
      <c r="E1213" s="48">
        <v>43348</v>
      </c>
      <c r="F1213" s="48">
        <v>43355</v>
      </c>
      <c r="G1213" t="s">
        <v>170</v>
      </c>
      <c r="H1213" t="s">
        <v>171</v>
      </c>
      <c r="I1213">
        <v>1</v>
      </c>
      <c r="J1213" t="s">
        <v>1660</v>
      </c>
      <c r="K1213">
        <v>1</v>
      </c>
      <c r="L1213">
        <v>1</v>
      </c>
      <c r="M1213" t="s">
        <v>427</v>
      </c>
      <c r="N1213">
        <v>0</v>
      </c>
      <c r="O1213" s="1">
        <f>+Tabla__192.168.1.8_POSEIDONSQL_APPFVT_01_tbl_detalle_fill_rate[[#This Row],[emb_cantidad]]-Tabla__192.168.1.8_POSEIDONSQL_APPFVT_01_tbl_detalle_fill_rate[[#This Row],[dev_cantidad]]</f>
        <v>1</v>
      </c>
      <c r="P12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3" s="1">
        <f>+Tabla__192.168.1.8_POSEIDONSQL_APPFVT_01_tbl_detalle_fill_rate[[#This Row],[Cumpl Real Unds]]-Tabla__192.168.1.8_POSEIDONSQL_APPFVT_01_tbl_detalle_fill_rate[[#This Row],[Cant Embarcada]]</f>
        <v>0</v>
      </c>
      <c r="S1213" s="1">
        <f>+IF(Tabla__192.168.1.8_POSEIDONSQL_APPFVT_01_tbl_detalle_fill_rate[[#This Row],[Pend Emb]]&gt;0,1,0)</f>
        <v>0</v>
      </c>
      <c r="T12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4" spans="1:20" x14ac:dyDescent="0.25">
      <c r="A1214">
        <v>4</v>
      </c>
      <c r="B1214" t="s">
        <v>56</v>
      </c>
      <c r="C1214">
        <v>9662366</v>
      </c>
      <c r="D1214" s="48">
        <v>43349</v>
      </c>
      <c r="E1214" s="48">
        <v>43349</v>
      </c>
      <c r="F1214" s="48">
        <v>43355</v>
      </c>
      <c r="G1214" t="s">
        <v>1484</v>
      </c>
      <c r="H1214" t="s">
        <v>1485</v>
      </c>
      <c r="I1214">
        <v>1</v>
      </c>
      <c r="J1214" t="s">
        <v>1486</v>
      </c>
      <c r="K1214">
        <v>1</v>
      </c>
      <c r="L1214">
        <v>1</v>
      </c>
      <c r="M1214" t="s">
        <v>427</v>
      </c>
      <c r="N1214">
        <v>0</v>
      </c>
      <c r="O1214" s="1">
        <f>+Tabla__192.168.1.8_POSEIDONSQL_APPFVT_01_tbl_detalle_fill_rate[[#This Row],[emb_cantidad]]-Tabla__192.168.1.8_POSEIDONSQL_APPFVT_01_tbl_detalle_fill_rate[[#This Row],[dev_cantidad]]</f>
        <v>1</v>
      </c>
      <c r="P12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4" s="1">
        <f>+Tabla__192.168.1.8_POSEIDONSQL_APPFVT_01_tbl_detalle_fill_rate[[#This Row],[Cumpl Real Unds]]-Tabla__192.168.1.8_POSEIDONSQL_APPFVT_01_tbl_detalle_fill_rate[[#This Row],[Cant Embarcada]]</f>
        <v>0</v>
      </c>
      <c r="S1214" s="1">
        <f>+IF(Tabla__192.168.1.8_POSEIDONSQL_APPFVT_01_tbl_detalle_fill_rate[[#This Row],[Pend Emb]]&gt;0,1,0)</f>
        <v>0</v>
      </c>
      <c r="T12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5" spans="1:20" x14ac:dyDescent="0.25">
      <c r="A1215">
        <v>4</v>
      </c>
      <c r="B1215" t="s">
        <v>56</v>
      </c>
      <c r="C1215">
        <v>9662705</v>
      </c>
      <c r="D1215" s="48">
        <v>43350</v>
      </c>
      <c r="E1215" s="48">
        <v>43349</v>
      </c>
      <c r="F1215" s="48">
        <v>43355</v>
      </c>
      <c r="G1215" t="s">
        <v>62</v>
      </c>
      <c r="H1215" t="s">
        <v>63</v>
      </c>
      <c r="I1215">
        <v>1</v>
      </c>
      <c r="J1215" t="s">
        <v>579</v>
      </c>
      <c r="K1215">
        <v>1</v>
      </c>
      <c r="L1215">
        <v>1</v>
      </c>
      <c r="M1215" t="s">
        <v>427</v>
      </c>
      <c r="N1215">
        <v>0</v>
      </c>
      <c r="O1215" s="1">
        <f>+Tabla__192.168.1.8_POSEIDONSQL_APPFVT_01_tbl_detalle_fill_rate[[#This Row],[emb_cantidad]]-Tabla__192.168.1.8_POSEIDONSQL_APPFVT_01_tbl_detalle_fill_rate[[#This Row],[dev_cantidad]]</f>
        <v>1</v>
      </c>
      <c r="P12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5" s="1">
        <f>+Tabla__192.168.1.8_POSEIDONSQL_APPFVT_01_tbl_detalle_fill_rate[[#This Row],[Cumpl Real Unds]]-Tabla__192.168.1.8_POSEIDONSQL_APPFVT_01_tbl_detalle_fill_rate[[#This Row],[Cant Embarcada]]</f>
        <v>0</v>
      </c>
      <c r="S1215" s="1">
        <f>+IF(Tabla__192.168.1.8_POSEIDONSQL_APPFVT_01_tbl_detalle_fill_rate[[#This Row],[Pend Emb]]&gt;0,1,0)</f>
        <v>0</v>
      </c>
      <c r="T12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6" spans="1:20" x14ac:dyDescent="0.25">
      <c r="A1216">
        <v>4</v>
      </c>
      <c r="B1216" t="s">
        <v>56</v>
      </c>
      <c r="C1216">
        <v>9663390</v>
      </c>
      <c r="D1216" s="48">
        <v>43350</v>
      </c>
      <c r="E1216" s="48">
        <v>43349</v>
      </c>
      <c r="F1216" s="48">
        <v>43357</v>
      </c>
      <c r="G1216" t="s">
        <v>76</v>
      </c>
      <c r="H1216" t="s">
        <v>77</v>
      </c>
      <c r="I1216">
        <v>1</v>
      </c>
      <c r="J1216" t="s">
        <v>580</v>
      </c>
      <c r="K1216">
        <v>1</v>
      </c>
      <c r="L1216">
        <v>1</v>
      </c>
      <c r="M1216" t="s">
        <v>426</v>
      </c>
      <c r="N1216">
        <v>0</v>
      </c>
      <c r="O1216" s="1">
        <f>+Tabla__192.168.1.8_POSEIDONSQL_APPFVT_01_tbl_detalle_fill_rate[[#This Row],[emb_cantidad]]-Tabla__192.168.1.8_POSEIDONSQL_APPFVT_01_tbl_detalle_fill_rate[[#This Row],[dev_cantidad]]</f>
        <v>1</v>
      </c>
      <c r="P12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6" s="1">
        <f>+Tabla__192.168.1.8_POSEIDONSQL_APPFVT_01_tbl_detalle_fill_rate[[#This Row],[Cumpl Real Unds]]-Tabla__192.168.1.8_POSEIDONSQL_APPFVT_01_tbl_detalle_fill_rate[[#This Row],[Cant Embarcada]]</f>
        <v>0</v>
      </c>
      <c r="S1216" s="1">
        <f>+IF(Tabla__192.168.1.8_POSEIDONSQL_APPFVT_01_tbl_detalle_fill_rate[[#This Row],[Pend Emb]]&gt;0,1,0)</f>
        <v>0</v>
      </c>
      <c r="T12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7" spans="1:20" x14ac:dyDescent="0.25">
      <c r="A1217">
        <v>4</v>
      </c>
      <c r="B1217" t="s">
        <v>56</v>
      </c>
      <c r="C1217">
        <v>9665420</v>
      </c>
      <c r="D1217" s="48">
        <v>43353</v>
      </c>
      <c r="E1217" s="48">
        <v>43350</v>
      </c>
      <c r="F1217" s="48">
        <v>43357</v>
      </c>
      <c r="G1217" t="s">
        <v>116</v>
      </c>
      <c r="H1217" t="s">
        <v>117</v>
      </c>
      <c r="I1217">
        <v>1</v>
      </c>
      <c r="J1217" t="s">
        <v>942</v>
      </c>
      <c r="K1217">
        <v>1</v>
      </c>
      <c r="L1217">
        <v>1</v>
      </c>
      <c r="M1217" t="s">
        <v>426</v>
      </c>
      <c r="N1217">
        <v>0</v>
      </c>
      <c r="O1217" s="1">
        <f>+Tabla__192.168.1.8_POSEIDONSQL_APPFVT_01_tbl_detalle_fill_rate[[#This Row],[emb_cantidad]]-Tabla__192.168.1.8_POSEIDONSQL_APPFVT_01_tbl_detalle_fill_rate[[#This Row],[dev_cantidad]]</f>
        <v>1</v>
      </c>
      <c r="P12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7" s="1">
        <f>+Tabla__192.168.1.8_POSEIDONSQL_APPFVT_01_tbl_detalle_fill_rate[[#This Row],[Cumpl Real Unds]]-Tabla__192.168.1.8_POSEIDONSQL_APPFVT_01_tbl_detalle_fill_rate[[#This Row],[Cant Embarcada]]</f>
        <v>0</v>
      </c>
      <c r="S1217" s="1">
        <f>+IF(Tabla__192.168.1.8_POSEIDONSQL_APPFVT_01_tbl_detalle_fill_rate[[#This Row],[Pend Emb]]&gt;0,1,0)</f>
        <v>0</v>
      </c>
      <c r="T12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8" spans="1:20" x14ac:dyDescent="0.25">
      <c r="A1218">
        <v>4</v>
      </c>
      <c r="B1218" t="s">
        <v>56</v>
      </c>
      <c r="C1218">
        <v>9665624</v>
      </c>
      <c r="D1218" s="48">
        <v>43353</v>
      </c>
      <c r="E1218" s="48">
        <v>43350</v>
      </c>
      <c r="F1218" s="48">
        <v>43357</v>
      </c>
      <c r="G1218" t="s">
        <v>96</v>
      </c>
      <c r="H1218" t="s">
        <v>97</v>
      </c>
      <c r="I1218">
        <v>1</v>
      </c>
      <c r="J1218" t="s">
        <v>943</v>
      </c>
      <c r="K1218">
        <v>1</v>
      </c>
      <c r="L1218">
        <v>1</v>
      </c>
      <c r="M1218" t="s">
        <v>426</v>
      </c>
      <c r="N1218">
        <v>0</v>
      </c>
      <c r="O1218" s="1">
        <f>+Tabla__192.168.1.8_POSEIDONSQL_APPFVT_01_tbl_detalle_fill_rate[[#This Row],[emb_cantidad]]-Tabla__192.168.1.8_POSEIDONSQL_APPFVT_01_tbl_detalle_fill_rate[[#This Row],[dev_cantidad]]</f>
        <v>1</v>
      </c>
      <c r="P12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8" s="1">
        <f>+Tabla__192.168.1.8_POSEIDONSQL_APPFVT_01_tbl_detalle_fill_rate[[#This Row],[Cumpl Real Unds]]-Tabla__192.168.1.8_POSEIDONSQL_APPFVT_01_tbl_detalle_fill_rate[[#This Row],[Cant Embarcada]]</f>
        <v>0</v>
      </c>
      <c r="S1218" s="1">
        <f>+IF(Tabla__192.168.1.8_POSEIDONSQL_APPFVT_01_tbl_detalle_fill_rate[[#This Row],[Pend Emb]]&gt;0,1,0)</f>
        <v>0</v>
      </c>
      <c r="T12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19" spans="1:20" x14ac:dyDescent="0.25">
      <c r="A1219">
        <v>4</v>
      </c>
      <c r="B1219" t="s">
        <v>56</v>
      </c>
      <c r="C1219">
        <v>9665918</v>
      </c>
      <c r="D1219" s="48">
        <v>43353</v>
      </c>
      <c r="E1219" s="48">
        <v>43350</v>
      </c>
      <c r="F1219" s="48">
        <v>43357</v>
      </c>
      <c r="G1219" t="s">
        <v>944</v>
      </c>
      <c r="H1219" t="s">
        <v>945</v>
      </c>
      <c r="I1219">
        <v>1</v>
      </c>
      <c r="J1219" t="s">
        <v>946</v>
      </c>
      <c r="K1219">
        <v>1</v>
      </c>
      <c r="L1219">
        <v>1</v>
      </c>
      <c r="M1219" t="s">
        <v>426</v>
      </c>
      <c r="N1219">
        <v>0</v>
      </c>
      <c r="O1219" s="1">
        <f>+Tabla__192.168.1.8_POSEIDONSQL_APPFVT_01_tbl_detalle_fill_rate[[#This Row],[emb_cantidad]]-Tabla__192.168.1.8_POSEIDONSQL_APPFVT_01_tbl_detalle_fill_rate[[#This Row],[dev_cantidad]]</f>
        <v>1</v>
      </c>
      <c r="P12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19" s="1">
        <f>+Tabla__192.168.1.8_POSEIDONSQL_APPFVT_01_tbl_detalle_fill_rate[[#This Row],[Cumpl Real Unds]]-Tabla__192.168.1.8_POSEIDONSQL_APPFVT_01_tbl_detalle_fill_rate[[#This Row],[Cant Embarcada]]</f>
        <v>0</v>
      </c>
      <c r="S1219" s="1">
        <f>+IF(Tabla__192.168.1.8_POSEIDONSQL_APPFVT_01_tbl_detalle_fill_rate[[#This Row],[Pend Emb]]&gt;0,1,0)</f>
        <v>0</v>
      </c>
      <c r="T12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0" spans="1:20" x14ac:dyDescent="0.25">
      <c r="A1220">
        <v>4</v>
      </c>
      <c r="B1220" t="s">
        <v>56</v>
      </c>
      <c r="C1220">
        <v>9666680</v>
      </c>
      <c r="D1220" s="48">
        <v>43353</v>
      </c>
      <c r="E1220" s="48">
        <v>43350</v>
      </c>
      <c r="F1220" s="48">
        <v>43357</v>
      </c>
      <c r="G1220" t="s">
        <v>124</v>
      </c>
      <c r="H1220" t="s">
        <v>125</v>
      </c>
      <c r="I1220">
        <v>1</v>
      </c>
      <c r="J1220" t="s">
        <v>947</v>
      </c>
      <c r="K1220">
        <v>1</v>
      </c>
      <c r="L1220">
        <v>1</v>
      </c>
      <c r="M1220" t="s">
        <v>426</v>
      </c>
      <c r="N1220">
        <v>0</v>
      </c>
      <c r="O1220" s="1">
        <f>+Tabla__192.168.1.8_POSEIDONSQL_APPFVT_01_tbl_detalle_fill_rate[[#This Row],[emb_cantidad]]-Tabla__192.168.1.8_POSEIDONSQL_APPFVT_01_tbl_detalle_fill_rate[[#This Row],[dev_cantidad]]</f>
        <v>1</v>
      </c>
      <c r="P12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0" s="1">
        <f>+Tabla__192.168.1.8_POSEIDONSQL_APPFVT_01_tbl_detalle_fill_rate[[#This Row],[Cumpl Real Unds]]-Tabla__192.168.1.8_POSEIDONSQL_APPFVT_01_tbl_detalle_fill_rate[[#This Row],[Cant Embarcada]]</f>
        <v>0</v>
      </c>
      <c r="S1220" s="1">
        <f>+IF(Tabla__192.168.1.8_POSEIDONSQL_APPFVT_01_tbl_detalle_fill_rate[[#This Row],[Pend Emb]]&gt;0,1,0)</f>
        <v>0</v>
      </c>
      <c r="T12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1" spans="1:20" x14ac:dyDescent="0.25">
      <c r="A1221">
        <v>9</v>
      </c>
      <c r="B1221" t="s">
        <v>48</v>
      </c>
      <c r="C1221">
        <v>9195265</v>
      </c>
      <c r="D1221" s="48">
        <v>43346</v>
      </c>
      <c r="E1221" s="48">
        <v>43345</v>
      </c>
      <c r="F1221" s="48">
        <v>43353</v>
      </c>
      <c r="G1221" t="s">
        <v>66</v>
      </c>
      <c r="H1221" t="s">
        <v>67</v>
      </c>
      <c r="I1221">
        <v>1</v>
      </c>
      <c r="J1221" t="s">
        <v>1819</v>
      </c>
      <c r="K1221">
        <v>1</v>
      </c>
      <c r="L1221">
        <v>1</v>
      </c>
      <c r="M1221" t="s">
        <v>163</v>
      </c>
      <c r="N1221">
        <v>0</v>
      </c>
      <c r="O1221" s="1">
        <f>+Tabla__192.168.1.8_POSEIDONSQL_APPFVT_01_tbl_detalle_fill_rate[[#This Row],[emb_cantidad]]-Tabla__192.168.1.8_POSEIDONSQL_APPFVT_01_tbl_detalle_fill_rate[[#This Row],[dev_cantidad]]</f>
        <v>1</v>
      </c>
      <c r="P12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1" s="1">
        <f>+Tabla__192.168.1.8_POSEIDONSQL_APPFVT_01_tbl_detalle_fill_rate[[#This Row],[Cumpl Real Unds]]-Tabla__192.168.1.8_POSEIDONSQL_APPFVT_01_tbl_detalle_fill_rate[[#This Row],[Cant Embarcada]]</f>
        <v>0</v>
      </c>
      <c r="S1221" s="1">
        <f>+IF(Tabla__192.168.1.8_POSEIDONSQL_APPFVT_01_tbl_detalle_fill_rate[[#This Row],[Pend Emb]]&gt;0,1,0)</f>
        <v>0</v>
      </c>
      <c r="T12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2" spans="1:20" x14ac:dyDescent="0.25">
      <c r="A1222">
        <v>9</v>
      </c>
      <c r="B1222" t="s">
        <v>48</v>
      </c>
      <c r="C1222">
        <v>9195265</v>
      </c>
      <c r="D1222" s="48">
        <v>43346</v>
      </c>
      <c r="E1222" s="48">
        <v>43345</v>
      </c>
      <c r="F1222" s="48">
        <v>43353</v>
      </c>
      <c r="G1222" t="s">
        <v>92</v>
      </c>
      <c r="H1222" t="s">
        <v>93</v>
      </c>
      <c r="I1222">
        <v>1</v>
      </c>
      <c r="J1222" t="s">
        <v>1818</v>
      </c>
      <c r="K1222">
        <v>1</v>
      </c>
      <c r="L1222">
        <v>1</v>
      </c>
      <c r="M1222" t="s">
        <v>163</v>
      </c>
      <c r="N1222">
        <v>0</v>
      </c>
      <c r="O1222" s="1">
        <f>+Tabla__192.168.1.8_POSEIDONSQL_APPFVT_01_tbl_detalle_fill_rate[[#This Row],[emb_cantidad]]-Tabla__192.168.1.8_POSEIDONSQL_APPFVT_01_tbl_detalle_fill_rate[[#This Row],[dev_cantidad]]</f>
        <v>1</v>
      </c>
      <c r="P12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2" s="1">
        <f>+Tabla__192.168.1.8_POSEIDONSQL_APPFVT_01_tbl_detalle_fill_rate[[#This Row],[Cumpl Real Unds]]-Tabla__192.168.1.8_POSEIDONSQL_APPFVT_01_tbl_detalle_fill_rate[[#This Row],[Cant Embarcada]]</f>
        <v>0</v>
      </c>
      <c r="S1222" s="1">
        <f>+IF(Tabla__192.168.1.8_POSEIDONSQL_APPFVT_01_tbl_detalle_fill_rate[[#This Row],[Pend Emb]]&gt;0,1,0)</f>
        <v>0</v>
      </c>
      <c r="T12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3" spans="1:20" x14ac:dyDescent="0.25">
      <c r="A1223">
        <v>9</v>
      </c>
      <c r="B1223" t="s">
        <v>48</v>
      </c>
      <c r="C1223">
        <v>9195265</v>
      </c>
      <c r="D1223" s="48">
        <v>43346</v>
      </c>
      <c r="E1223" s="48">
        <v>43345</v>
      </c>
      <c r="F1223" s="48">
        <v>43353</v>
      </c>
      <c r="G1223" t="s">
        <v>106</v>
      </c>
      <c r="H1223" t="s">
        <v>107</v>
      </c>
      <c r="I1223">
        <v>1</v>
      </c>
      <c r="J1223" t="s">
        <v>1820</v>
      </c>
      <c r="K1223">
        <v>1</v>
      </c>
      <c r="L1223">
        <v>1</v>
      </c>
      <c r="M1223" t="s">
        <v>163</v>
      </c>
      <c r="N1223">
        <v>0</v>
      </c>
      <c r="O1223" s="1">
        <f>+Tabla__192.168.1.8_POSEIDONSQL_APPFVT_01_tbl_detalle_fill_rate[[#This Row],[emb_cantidad]]-Tabla__192.168.1.8_POSEIDONSQL_APPFVT_01_tbl_detalle_fill_rate[[#This Row],[dev_cantidad]]</f>
        <v>1</v>
      </c>
      <c r="P12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3" s="1">
        <f>+Tabla__192.168.1.8_POSEIDONSQL_APPFVT_01_tbl_detalle_fill_rate[[#This Row],[Cumpl Real Unds]]-Tabla__192.168.1.8_POSEIDONSQL_APPFVT_01_tbl_detalle_fill_rate[[#This Row],[Cant Embarcada]]</f>
        <v>0</v>
      </c>
      <c r="S1223" s="1">
        <f>+IF(Tabla__192.168.1.8_POSEIDONSQL_APPFVT_01_tbl_detalle_fill_rate[[#This Row],[Pend Emb]]&gt;0,1,0)</f>
        <v>0</v>
      </c>
      <c r="T12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4" spans="1:20" x14ac:dyDescent="0.25">
      <c r="A1224">
        <v>9</v>
      </c>
      <c r="B1224" t="s">
        <v>48</v>
      </c>
      <c r="C1224">
        <v>9195265</v>
      </c>
      <c r="D1224" s="48">
        <v>43346</v>
      </c>
      <c r="E1224" s="48">
        <v>43345</v>
      </c>
      <c r="F1224" s="48">
        <v>43357</v>
      </c>
      <c r="G1224" t="s">
        <v>122</v>
      </c>
      <c r="H1224" t="s">
        <v>123</v>
      </c>
      <c r="I1224">
        <v>1</v>
      </c>
      <c r="J1224" t="s">
        <v>1175</v>
      </c>
      <c r="K1224">
        <v>1</v>
      </c>
      <c r="L1224">
        <v>1</v>
      </c>
      <c r="M1224" t="s">
        <v>426</v>
      </c>
      <c r="N1224">
        <v>0</v>
      </c>
      <c r="O1224" s="1">
        <f>+Tabla__192.168.1.8_POSEIDONSQL_APPFVT_01_tbl_detalle_fill_rate[[#This Row],[emb_cantidad]]-Tabla__192.168.1.8_POSEIDONSQL_APPFVT_01_tbl_detalle_fill_rate[[#This Row],[dev_cantidad]]</f>
        <v>1</v>
      </c>
      <c r="P12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4" s="1">
        <f>+Tabla__192.168.1.8_POSEIDONSQL_APPFVT_01_tbl_detalle_fill_rate[[#This Row],[Cumpl Real Unds]]-Tabla__192.168.1.8_POSEIDONSQL_APPFVT_01_tbl_detalle_fill_rate[[#This Row],[Cant Embarcada]]</f>
        <v>0</v>
      </c>
      <c r="S1224" s="1">
        <f>+IF(Tabla__192.168.1.8_POSEIDONSQL_APPFVT_01_tbl_detalle_fill_rate[[#This Row],[Pend Emb]]&gt;0,1,0)</f>
        <v>0</v>
      </c>
      <c r="T12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5" spans="1:20" x14ac:dyDescent="0.25">
      <c r="A1225">
        <v>9</v>
      </c>
      <c r="B1225" t="s">
        <v>48</v>
      </c>
      <c r="C1225">
        <v>9195424</v>
      </c>
      <c r="D1225" s="48">
        <v>43346</v>
      </c>
      <c r="E1225" s="48">
        <v>43346</v>
      </c>
      <c r="F1225" s="48">
        <v>43353</v>
      </c>
      <c r="G1225" t="s">
        <v>66</v>
      </c>
      <c r="H1225" t="s">
        <v>67</v>
      </c>
      <c r="I1225">
        <v>1</v>
      </c>
      <c r="J1225" t="s">
        <v>1826</v>
      </c>
      <c r="K1225">
        <v>1</v>
      </c>
      <c r="L1225">
        <v>1</v>
      </c>
      <c r="M1225" t="s">
        <v>163</v>
      </c>
      <c r="N1225">
        <v>0</v>
      </c>
      <c r="O1225" s="1">
        <f>+Tabla__192.168.1.8_POSEIDONSQL_APPFVT_01_tbl_detalle_fill_rate[[#This Row],[emb_cantidad]]-Tabla__192.168.1.8_POSEIDONSQL_APPFVT_01_tbl_detalle_fill_rate[[#This Row],[dev_cantidad]]</f>
        <v>1</v>
      </c>
      <c r="P12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5" s="1">
        <f>+Tabla__192.168.1.8_POSEIDONSQL_APPFVT_01_tbl_detalle_fill_rate[[#This Row],[Cumpl Real Unds]]-Tabla__192.168.1.8_POSEIDONSQL_APPFVT_01_tbl_detalle_fill_rate[[#This Row],[Cant Embarcada]]</f>
        <v>0</v>
      </c>
      <c r="S1225" s="1">
        <f>+IF(Tabla__192.168.1.8_POSEIDONSQL_APPFVT_01_tbl_detalle_fill_rate[[#This Row],[Pend Emb]]&gt;0,1,0)</f>
        <v>0</v>
      </c>
      <c r="T12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6" spans="1:20" x14ac:dyDescent="0.25">
      <c r="A1226">
        <v>9</v>
      </c>
      <c r="B1226" t="s">
        <v>48</v>
      </c>
      <c r="C1226">
        <v>9195424</v>
      </c>
      <c r="D1226" s="48">
        <v>43346</v>
      </c>
      <c r="E1226" s="48">
        <v>43345</v>
      </c>
      <c r="F1226" s="48">
        <v>43353</v>
      </c>
      <c r="G1226" t="s">
        <v>74</v>
      </c>
      <c r="H1226" t="s">
        <v>75</v>
      </c>
      <c r="I1226">
        <v>1</v>
      </c>
      <c r="J1226" t="s">
        <v>1822</v>
      </c>
      <c r="K1226">
        <v>1</v>
      </c>
      <c r="L1226">
        <v>1</v>
      </c>
      <c r="M1226" t="s">
        <v>163</v>
      </c>
      <c r="N1226">
        <v>0</v>
      </c>
      <c r="O1226" s="1">
        <f>+Tabla__192.168.1.8_POSEIDONSQL_APPFVT_01_tbl_detalle_fill_rate[[#This Row],[emb_cantidad]]-Tabla__192.168.1.8_POSEIDONSQL_APPFVT_01_tbl_detalle_fill_rate[[#This Row],[dev_cantidad]]</f>
        <v>1</v>
      </c>
      <c r="P12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6" s="1">
        <f>+Tabla__192.168.1.8_POSEIDONSQL_APPFVT_01_tbl_detalle_fill_rate[[#This Row],[Cumpl Real Unds]]-Tabla__192.168.1.8_POSEIDONSQL_APPFVT_01_tbl_detalle_fill_rate[[#This Row],[Cant Embarcada]]</f>
        <v>0</v>
      </c>
      <c r="S1226" s="1">
        <f>+IF(Tabla__192.168.1.8_POSEIDONSQL_APPFVT_01_tbl_detalle_fill_rate[[#This Row],[Pend Emb]]&gt;0,1,0)</f>
        <v>0</v>
      </c>
      <c r="T12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7" spans="1:20" x14ac:dyDescent="0.25">
      <c r="A1227">
        <v>9</v>
      </c>
      <c r="B1227" t="s">
        <v>48</v>
      </c>
      <c r="C1227">
        <v>9195424</v>
      </c>
      <c r="D1227" s="48">
        <v>43346</v>
      </c>
      <c r="E1227" s="48">
        <v>43345</v>
      </c>
      <c r="F1227" s="48">
        <v>43353</v>
      </c>
      <c r="G1227" t="s">
        <v>78</v>
      </c>
      <c r="H1227" t="s">
        <v>79</v>
      </c>
      <c r="I1227">
        <v>1</v>
      </c>
      <c r="J1227" t="s">
        <v>1827</v>
      </c>
      <c r="K1227">
        <v>1</v>
      </c>
      <c r="L1227">
        <v>1</v>
      </c>
      <c r="M1227" t="s">
        <v>163</v>
      </c>
      <c r="N1227">
        <v>0</v>
      </c>
      <c r="O1227" s="1">
        <f>+Tabla__192.168.1.8_POSEIDONSQL_APPFVT_01_tbl_detalle_fill_rate[[#This Row],[emb_cantidad]]-Tabla__192.168.1.8_POSEIDONSQL_APPFVT_01_tbl_detalle_fill_rate[[#This Row],[dev_cantidad]]</f>
        <v>1</v>
      </c>
      <c r="P12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7" s="1">
        <f>+Tabla__192.168.1.8_POSEIDONSQL_APPFVT_01_tbl_detalle_fill_rate[[#This Row],[Cumpl Real Unds]]-Tabla__192.168.1.8_POSEIDONSQL_APPFVT_01_tbl_detalle_fill_rate[[#This Row],[Cant Embarcada]]</f>
        <v>0</v>
      </c>
      <c r="S1227" s="1">
        <f>+IF(Tabla__192.168.1.8_POSEIDONSQL_APPFVT_01_tbl_detalle_fill_rate[[#This Row],[Pend Emb]]&gt;0,1,0)</f>
        <v>0</v>
      </c>
      <c r="T12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8" spans="1:20" x14ac:dyDescent="0.25">
      <c r="A1228">
        <v>9</v>
      </c>
      <c r="B1228" t="s">
        <v>48</v>
      </c>
      <c r="C1228">
        <v>9195424</v>
      </c>
      <c r="D1228" s="48">
        <v>43346</v>
      </c>
      <c r="E1228" s="48">
        <v>43346</v>
      </c>
      <c r="F1228" s="48">
        <v>43353</v>
      </c>
      <c r="G1228" t="s">
        <v>92</v>
      </c>
      <c r="H1228" t="s">
        <v>93</v>
      </c>
      <c r="I1228">
        <v>1</v>
      </c>
      <c r="J1228" t="s">
        <v>1821</v>
      </c>
      <c r="K1228">
        <v>1</v>
      </c>
      <c r="L1228">
        <v>1</v>
      </c>
      <c r="M1228" t="s">
        <v>163</v>
      </c>
      <c r="N1228">
        <v>0</v>
      </c>
      <c r="O1228" s="1">
        <f>+Tabla__192.168.1.8_POSEIDONSQL_APPFVT_01_tbl_detalle_fill_rate[[#This Row],[emb_cantidad]]-Tabla__192.168.1.8_POSEIDONSQL_APPFVT_01_tbl_detalle_fill_rate[[#This Row],[dev_cantidad]]</f>
        <v>1</v>
      </c>
      <c r="P12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8" s="1">
        <f>+Tabla__192.168.1.8_POSEIDONSQL_APPFVT_01_tbl_detalle_fill_rate[[#This Row],[Cumpl Real Unds]]-Tabla__192.168.1.8_POSEIDONSQL_APPFVT_01_tbl_detalle_fill_rate[[#This Row],[Cant Embarcada]]</f>
        <v>0</v>
      </c>
      <c r="S1228" s="1">
        <f>+IF(Tabla__192.168.1.8_POSEIDONSQL_APPFVT_01_tbl_detalle_fill_rate[[#This Row],[Pend Emb]]&gt;0,1,0)</f>
        <v>0</v>
      </c>
      <c r="T12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29" spans="1:20" x14ac:dyDescent="0.25">
      <c r="A1229">
        <v>9</v>
      </c>
      <c r="B1229" t="s">
        <v>48</v>
      </c>
      <c r="C1229">
        <v>9195424</v>
      </c>
      <c r="D1229" s="48">
        <v>43346</v>
      </c>
      <c r="E1229" s="48">
        <v>43346</v>
      </c>
      <c r="F1229" s="48">
        <v>43353</v>
      </c>
      <c r="G1229" t="s">
        <v>92</v>
      </c>
      <c r="H1229" t="s">
        <v>93</v>
      </c>
      <c r="I1229">
        <v>1</v>
      </c>
      <c r="J1229" t="s">
        <v>1824</v>
      </c>
      <c r="K1229">
        <v>1</v>
      </c>
      <c r="L1229">
        <v>1</v>
      </c>
      <c r="M1229" t="s">
        <v>163</v>
      </c>
      <c r="N1229">
        <v>0</v>
      </c>
      <c r="O1229" s="1">
        <f>+Tabla__192.168.1.8_POSEIDONSQL_APPFVT_01_tbl_detalle_fill_rate[[#This Row],[emb_cantidad]]-Tabla__192.168.1.8_POSEIDONSQL_APPFVT_01_tbl_detalle_fill_rate[[#This Row],[dev_cantidad]]</f>
        <v>1</v>
      </c>
      <c r="P12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29" s="1">
        <f>+Tabla__192.168.1.8_POSEIDONSQL_APPFVT_01_tbl_detalle_fill_rate[[#This Row],[Cumpl Real Unds]]-Tabla__192.168.1.8_POSEIDONSQL_APPFVT_01_tbl_detalle_fill_rate[[#This Row],[Cant Embarcada]]</f>
        <v>0</v>
      </c>
      <c r="S1229" s="1">
        <f>+IF(Tabla__192.168.1.8_POSEIDONSQL_APPFVT_01_tbl_detalle_fill_rate[[#This Row],[Pend Emb]]&gt;0,1,0)</f>
        <v>0</v>
      </c>
      <c r="T12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0" spans="1:20" x14ac:dyDescent="0.25">
      <c r="A1230">
        <v>9</v>
      </c>
      <c r="B1230" t="s">
        <v>48</v>
      </c>
      <c r="C1230">
        <v>9195424</v>
      </c>
      <c r="D1230" s="48">
        <v>43346</v>
      </c>
      <c r="E1230" s="48">
        <v>43345</v>
      </c>
      <c r="F1230" s="48">
        <v>43353</v>
      </c>
      <c r="G1230" t="s">
        <v>96</v>
      </c>
      <c r="H1230" t="s">
        <v>97</v>
      </c>
      <c r="I1230">
        <v>1</v>
      </c>
      <c r="J1230" t="s">
        <v>1825</v>
      </c>
      <c r="K1230">
        <v>1</v>
      </c>
      <c r="L1230">
        <v>1</v>
      </c>
      <c r="M1230" t="s">
        <v>163</v>
      </c>
      <c r="N1230">
        <v>0</v>
      </c>
      <c r="O1230" s="1">
        <f>+Tabla__192.168.1.8_POSEIDONSQL_APPFVT_01_tbl_detalle_fill_rate[[#This Row],[emb_cantidad]]-Tabla__192.168.1.8_POSEIDONSQL_APPFVT_01_tbl_detalle_fill_rate[[#This Row],[dev_cantidad]]</f>
        <v>1</v>
      </c>
      <c r="P12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0" s="1">
        <f>+Tabla__192.168.1.8_POSEIDONSQL_APPFVT_01_tbl_detalle_fill_rate[[#This Row],[Cumpl Real Unds]]-Tabla__192.168.1.8_POSEIDONSQL_APPFVT_01_tbl_detalle_fill_rate[[#This Row],[Cant Embarcada]]</f>
        <v>0</v>
      </c>
      <c r="S1230" s="1">
        <f>+IF(Tabla__192.168.1.8_POSEIDONSQL_APPFVT_01_tbl_detalle_fill_rate[[#This Row],[Pend Emb]]&gt;0,1,0)</f>
        <v>0</v>
      </c>
      <c r="T12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1" spans="1:20" x14ac:dyDescent="0.25">
      <c r="A1231">
        <v>9</v>
      </c>
      <c r="B1231" t="s">
        <v>48</v>
      </c>
      <c r="C1231">
        <v>9195424</v>
      </c>
      <c r="D1231" s="48">
        <v>43346</v>
      </c>
      <c r="E1231" s="48">
        <v>43346</v>
      </c>
      <c r="F1231" s="48">
        <v>43353</v>
      </c>
      <c r="G1231" t="s">
        <v>114</v>
      </c>
      <c r="H1231" t="s">
        <v>115</v>
      </c>
      <c r="I1231">
        <v>1</v>
      </c>
      <c r="J1231" t="s">
        <v>1823</v>
      </c>
      <c r="K1231">
        <v>1</v>
      </c>
      <c r="L1231">
        <v>1</v>
      </c>
      <c r="M1231" t="s">
        <v>163</v>
      </c>
      <c r="N1231">
        <v>0</v>
      </c>
      <c r="O1231" s="1">
        <f>+Tabla__192.168.1.8_POSEIDONSQL_APPFVT_01_tbl_detalle_fill_rate[[#This Row],[emb_cantidad]]-Tabla__192.168.1.8_POSEIDONSQL_APPFVT_01_tbl_detalle_fill_rate[[#This Row],[dev_cantidad]]</f>
        <v>1</v>
      </c>
      <c r="P12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1" s="1">
        <f>+Tabla__192.168.1.8_POSEIDONSQL_APPFVT_01_tbl_detalle_fill_rate[[#This Row],[Cumpl Real Unds]]-Tabla__192.168.1.8_POSEIDONSQL_APPFVT_01_tbl_detalle_fill_rate[[#This Row],[Cant Embarcada]]</f>
        <v>0</v>
      </c>
      <c r="S1231" s="1">
        <f>+IF(Tabla__192.168.1.8_POSEIDONSQL_APPFVT_01_tbl_detalle_fill_rate[[#This Row],[Pend Emb]]&gt;0,1,0)</f>
        <v>0</v>
      </c>
      <c r="T12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2" spans="1:20" x14ac:dyDescent="0.25">
      <c r="A1232">
        <v>9</v>
      </c>
      <c r="B1232" t="s">
        <v>48</v>
      </c>
      <c r="C1232">
        <v>9195542</v>
      </c>
      <c r="D1232" s="48">
        <v>43347</v>
      </c>
      <c r="E1232" s="48">
        <v>43346</v>
      </c>
      <c r="F1232" s="48">
        <v>43353</v>
      </c>
      <c r="G1232" t="s">
        <v>74</v>
      </c>
      <c r="H1232" t="s">
        <v>75</v>
      </c>
      <c r="I1232">
        <v>1</v>
      </c>
      <c r="J1232" t="s">
        <v>842</v>
      </c>
      <c r="K1232">
        <v>1</v>
      </c>
      <c r="L1232">
        <v>1</v>
      </c>
      <c r="M1232" t="s">
        <v>163</v>
      </c>
      <c r="N1232">
        <v>0</v>
      </c>
      <c r="O1232" s="1">
        <f>+Tabla__192.168.1.8_POSEIDONSQL_APPFVT_01_tbl_detalle_fill_rate[[#This Row],[emb_cantidad]]-Tabla__192.168.1.8_POSEIDONSQL_APPFVT_01_tbl_detalle_fill_rate[[#This Row],[dev_cantidad]]</f>
        <v>1</v>
      </c>
      <c r="P12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2" s="1">
        <f>+Tabla__192.168.1.8_POSEIDONSQL_APPFVT_01_tbl_detalle_fill_rate[[#This Row],[Cumpl Real Unds]]-Tabla__192.168.1.8_POSEIDONSQL_APPFVT_01_tbl_detalle_fill_rate[[#This Row],[Cant Embarcada]]</f>
        <v>0</v>
      </c>
      <c r="S1232" s="1">
        <f>+IF(Tabla__192.168.1.8_POSEIDONSQL_APPFVT_01_tbl_detalle_fill_rate[[#This Row],[Pend Emb]]&gt;0,1,0)</f>
        <v>0</v>
      </c>
      <c r="T12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3" spans="1:20" x14ac:dyDescent="0.25">
      <c r="A1233">
        <v>9</v>
      </c>
      <c r="B1233" t="s">
        <v>48</v>
      </c>
      <c r="C1233">
        <v>9195542</v>
      </c>
      <c r="D1233" s="48">
        <v>43347</v>
      </c>
      <c r="E1233" s="48">
        <v>43346</v>
      </c>
      <c r="F1233" s="48">
        <v>43353</v>
      </c>
      <c r="G1233" t="s">
        <v>76</v>
      </c>
      <c r="H1233" t="s">
        <v>77</v>
      </c>
      <c r="I1233">
        <v>1</v>
      </c>
      <c r="J1233" t="s">
        <v>841</v>
      </c>
      <c r="K1233">
        <v>1</v>
      </c>
      <c r="L1233">
        <v>1</v>
      </c>
      <c r="M1233" t="s">
        <v>163</v>
      </c>
      <c r="N1233">
        <v>0</v>
      </c>
      <c r="O1233" s="1">
        <f>+Tabla__192.168.1.8_POSEIDONSQL_APPFVT_01_tbl_detalle_fill_rate[[#This Row],[emb_cantidad]]-Tabla__192.168.1.8_POSEIDONSQL_APPFVT_01_tbl_detalle_fill_rate[[#This Row],[dev_cantidad]]</f>
        <v>1</v>
      </c>
      <c r="P12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3" s="1">
        <f>+Tabla__192.168.1.8_POSEIDONSQL_APPFVT_01_tbl_detalle_fill_rate[[#This Row],[Cumpl Real Unds]]-Tabla__192.168.1.8_POSEIDONSQL_APPFVT_01_tbl_detalle_fill_rate[[#This Row],[Cant Embarcada]]</f>
        <v>0</v>
      </c>
      <c r="S1233" s="1">
        <f>+IF(Tabla__192.168.1.8_POSEIDONSQL_APPFVT_01_tbl_detalle_fill_rate[[#This Row],[Pend Emb]]&gt;0,1,0)</f>
        <v>0</v>
      </c>
      <c r="T12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4" spans="1:20" x14ac:dyDescent="0.25">
      <c r="A1234">
        <v>9</v>
      </c>
      <c r="B1234" t="s">
        <v>48</v>
      </c>
      <c r="C1234">
        <v>9195683</v>
      </c>
      <c r="D1234" s="48">
        <v>43347</v>
      </c>
      <c r="E1234" s="48">
        <v>43346</v>
      </c>
      <c r="F1234" s="48">
        <v>43353</v>
      </c>
      <c r="G1234" t="s">
        <v>92</v>
      </c>
      <c r="H1234" t="s">
        <v>93</v>
      </c>
      <c r="I1234">
        <v>1</v>
      </c>
      <c r="J1234" t="s">
        <v>843</v>
      </c>
      <c r="K1234">
        <v>1</v>
      </c>
      <c r="L1234">
        <v>1</v>
      </c>
      <c r="M1234" t="s">
        <v>163</v>
      </c>
      <c r="N1234">
        <v>0</v>
      </c>
      <c r="O1234" s="1">
        <f>+Tabla__192.168.1.8_POSEIDONSQL_APPFVT_01_tbl_detalle_fill_rate[[#This Row],[emb_cantidad]]-Tabla__192.168.1.8_POSEIDONSQL_APPFVT_01_tbl_detalle_fill_rate[[#This Row],[dev_cantidad]]</f>
        <v>1</v>
      </c>
      <c r="P12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4" s="1">
        <f>+Tabla__192.168.1.8_POSEIDONSQL_APPFVT_01_tbl_detalle_fill_rate[[#This Row],[Cumpl Real Unds]]-Tabla__192.168.1.8_POSEIDONSQL_APPFVT_01_tbl_detalle_fill_rate[[#This Row],[Cant Embarcada]]</f>
        <v>0</v>
      </c>
      <c r="S1234" s="1">
        <f>+IF(Tabla__192.168.1.8_POSEIDONSQL_APPFVT_01_tbl_detalle_fill_rate[[#This Row],[Pend Emb]]&gt;0,1,0)</f>
        <v>0</v>
      </c>
      <c r="T12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5" spans="1:20" x14ac:dyDescent="0.25">
      <c r="A1235">
        <v>9</v>
      </c>
      <c r="B1235" t="s">
        <v>48</v>
      </c>
      <c r="C1235">
        <v>9195790</v>
      </c>
      <c r="D1235" s="48">
        <v>43347</v>
      </c>
      <c r="E1235" s="48">
        <v>43346</v>
      </c>
      <c r="F1235" s="48">
        <v>43353</v>
      </c>
      <c r="G1235" t="s">
        <v>74</v>
      </c>
      <c r="H1235" t="s">
        <v>75</v>
      </c>
      <c r="I1235">
        <v>1</v>
      </c>
      <c r="J1235" t="s">
        <v>845</v>
      </c>
      <c r="K1235">
        <v>1</v>
      </c>
      <c r="L1235">
        <v>1</v>
      </c>
      <c r="M1235" t="s">
        <v>163</v>
      </c>
      <c r="N1235">
        <v>0</v>
      </c>
      <c r="O1235" s="1">
        <f>+Tabla__192.168.1.8_POSEIDONSQL_APPFVT_01_tbl_detalle_fill_rate[[#This Row],[emb_cantidad]]-Tabla__192.168.1.8_POSEIDONSQL_APPFVT_01_tbl_detalle_fill_rate[[#This Row],[dev_cantidad]]</f>
        <v>1</v>
      </c>
      <c r="P12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5" s="1">
        <f>+Tabla__192.168.1.8_POSEIDONSQL_APPFVT_01_tbl_detalle_fill_rate[[#This Row],[Cumpl Real Unds]]-Tabla__192.168.1.8_POSEIDONSQL_APPFVT_01_tbl_detalle_fill_rate[[#This Row],[Cant Embarcada]]</f>
        <v>0</v>
      </c>
      <c r="S1235" s="1">
        <f>+IF(Tabla__192.168.1.8_POSEIDONSQL_APPFVT_01_tbl_detalle_fill_rate[[#This Row],[Pend Emb]]&gt;0,1,0)</f>
        <v>0</v>
      </c>
      <c r="T12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6" spans="1:20" x14ac:dyDescent="0.25">
      <c r="A1236">
        <v>9</v>
      </c>
      <c r="B1236" t="s">
        <v>48</v>
      </c>
      <c r="C1236">
        <v>9195790</v>
      </c>
      <c r="D1236" s="48">
        <v>43347</v>
      </c>
      <c r="E1236" s="48">
        <v>43346</v>
      </c>
      <c r="F1236" s="48">
        <v>43353</v>
      </c>
      <c r="G1236" t="s">
        <v>78</v>
      </c>
      <c r="H1236" t="s">
        <v>79</v>
      </c>
      <c r="I1236">
        <v>1</v>
      </c>
      <c r="J1236" t="s">
        <v>846</v>
      </c>
      <c r="K1236">
        <v>1</v>
      </c>
      <c r="L1236">
        <v>1</v>
      </c>
      <c r="M1236" t="s">
        <v>163</v>
      </c>
      <c r="N1236">
        <v>0</v>
      </c>
      <c r="O1236" s="1">
        <f>+Tabla__192.168.1.8_POSEIDONSQL_APPFVT_01_tbl_detalle_fill_rate[[#This Row],[emb_cantidad]]-Tabla__192.168.1.8_POSEIDONSQL_APPFVT_01_tbl_detalle_fill_rate[[#This Row],[dev_cantidad]]</f>
        <v>1</v>
      </c>
      <c r="P12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6" s="1">
        <f>+Tabla__192.168.1.8_POSEIDONSQL_APPFVT_01_tbl_detalle_fill_rate[[#This Row],[Cumpl Real Unds]]-Tabla__192.168.1.8_POSEIDONSQL_APPFVT_01_tbl_detalle_fill_rate[[#This Row],[Cant Embarcada]]</f>
        <v>0</v>
      </c>
      <c r="S1236" s="1">
        <f>+IF(Tabla__192.168.1.8_POSEIDONSQL_APPFVT_01_tbl_detalle_fill_rate[[#This Row],[Pend Emb]]&gt;0,1,0)</f>
        <v>0</v>
      </c>
      <c r="T12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7" spans="1:20" x14ac:dyDescent="0.25">
      <c r="A1237">
        <v>9</v>
      </c>
      <c r="B1237" t="s">
        <v>48</v>
      </c>
      <c r="C1237">
        <v>9195790</v>
      </c>
      <c r="D1237" s="48">
        <v>43347</v>
      </c>
      <c r="E1237" s="48">
        <v>43346</v>
      </c>
      <c r="F1237" s="48">
        <v>43357</v>
      </c>
      <c r="G1237" t="s">
        <v>90</v>
      </c>
      <c r="H1237" t="s">
        <v>91</v>
      </c>
      <c r="I1237">
        <v>1</v>
      </c>
      <c r="J1237" t="s">
        <v>1171</v>
      </c>
      <c r="K1237">
        <v>1</v>
      </c>
      <c r="L1237">
        <v>1</v>
      </c>
      <c r="M1237" t="s">
        <v>426</v>
      </c>
      <c r="N1237">
        <v>0</v>
      </c>
      <c r="O1237" s="1">
        <f>+Tabla__192.168.1.8_POSEIDONSQL_APPFVT_01_tbl_detalle_fill_rate[[#This Row],[emb_cantidad]]-Tabla__192.168.1.8_POSEIDONSQL_APPFVT_01_tbl_detalle_fill_rate[[#This Row],[dev_cantidad]]</f>
        <v>1</v>
      </c>
      <c r="P12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7" s="1">
        <f>+Tabla__192.168.1.8_POSEIDONSQL_APPFVT_01_tbl_detalle_fill_rate[[#This Row],[Cumpl Real Unds]]-Tabla__192.168.1.8_POSEIDONSQL_APPFVT_01_tbl_detalle_fill_rate[[#This Row],[Cant Embarcada]]</f>
        <v>0</v>
      </c>
      <c r="S1237" s="1">
        <f>+IF(Tabla__192.168.1.8_POSEIDONSQL_APPFVT_01_tbl_detalle_fill_rate[[#This Row],[Pend Emb]]&gt;0,1,0)</f>
        <v>0</v>
      </c>
      <c r="T12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8" spans="1:20" x14ac:dyDescent="0.25">
      <c r="A1238">
        <v>9</v>
      </c>
      <c r="B1238" t="s">
        <v>48</v>
      </c>
      <c r="C1238">
        <v>9195790</v>
      </c>
      <c r="D1238" s="48">
        <v>43347</v>
      </c>
      <c r="E1238" s="48">
        <v>43346</v>
      </c>
      <c r="F1238" s="48">
        <v>43353</v>
      </c>
      <c r="G1238" t="s">
        <v>92</v>
      </c>
      <c r="H1238" t="s">
        <v>93</v>
      </c>
      <c r="I1238">
        <v>1</v>
      </c>
      <c r="J1238" t="s">
        <v>844</v>
      </c>
      <c r="K1238">
        <v>1</v>
      </c>
      <c r="L1238">
        <v>1</v>
      </c>
      <c r="M1238" t="s">
        <v>163</v>
      </c>
      <c r="N1238">
        <v>0</v>
      </c>
      <c r="O1238" s="1">
        <f>+Tabla__192.168.1.8_POSEIDONSQL_APPFVT_01_tbl_detalle_fill_rate[[#This Row],[emb_cantidad]]-Tabla__192.168.1.8_POSEIDONSQL_APPFVT_01_tbl_detalle_fill_rate[[#This Row],[dev_cantidad]]</f>
        <v>1</v>
      </c>
      <c r="P12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8" s="1">
        <f>+Tabla__192.168.1.8_POSEIDONSQL_APPFVT_01_tbl_detalle_fill_rate[[#This Row],[Cumpl Real Unds]]-Tabla__192.168.1.8_POSEIDONSQL_APPFVT_01_tbl_detalle_fill_rate[[#This Row],[Cant Embarcada]]</f>
        <v>0</v>
      </c>
      <c r="S1238" s="1">
        <f>+IF(Tabla__192.168.1.8_POSEIDONSQL_APPFVT_01_tbl_detalle_fill_rate[[#This Row],[Pend Emb]]&gt;0,1,0)</f>
        <v>0</v>
      </c>
      <c r="T12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39" spans="1:20" x14ac:dyDescent="0.25">
      <c r="A1239">
        <v>9</v>
      </c>
      <c r="B1239" t="s">
        <v>48</v>
      </c>
      <c r="C1239">
        <v>9195790</v>
      </c>
      <c r="D1239" s="48">
        <v>43347</v>
      </c>
      <c r="E1239" s="48">
        <v>43346</v>
      </c>
      <c r="F1239" s="48">
        <v>43353</v>
      </c>
      <c r="G1239" t="s">
        <v>112</v>
      </c>
      <c r="H1239" t="s">
        <v>113</v>
      </c>
      <c r="I1239">
        <v>1</v>
      </c>
      <c r="J1239" t="s">
        <v>847</v>
      </c>
      <c r="K1239">
        <v>1</v>
      </c>
      <c r="L1239">
        <v>1</v>
      </c>
      <c r="M1239" t="s">
        <v>163</v>
      </c>
      <c r="N1239">
        <v>0</v>
      </c>
      <c r="O1239" s="1">
        <f>+Tabla__192.168.1.8_POSEIDONSQL_APPFVT_01_tbl_detalle_fill_rate[[#This Row],[emb_cantidad]]-Tabla__192.168.1.8_POSEIDONSQL_APPFVT_01_tbl_detalle_fill_rate[[#This Row],[dev_cantidad]]</f>
        <v>1</v>
      </c>
      <c r="P12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39" s="1">
        <f>+Tabla__192.168.1.8_POSEIDONSQL_APPFVT_01_tbl_detalle_fill_rate[[#This Row],[Cumpl Real Unds]]-Tabla__192.168.1.8_POSEIDONSQL_APPFVT_01_tbl_detalle_fill_rate[[#This Row],[Cant Embarcada]]</f>
        <v>0</v>
      </c>
      <c r="S1239" s="1">
        <f>+IF(Tabla__192.168.1.8_POSEIDONSQL_APPFVT_01_tbl_detalle_fill_rate[[#This Row],[Pend Emb]]&gt;0,1,0)</f>
        <v>0</v>
      </c>
      <c r="T12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0" spans="1:20" x14ac:dyDescent="0.25">
      <c r="A1240">
        <v>9</v>
      </c>
      <c r="B1240" t="s">
        <v>48</v>
      </c>
      <c r="C1240">
        <v>9195937</v>
      </c>
      <c r="D1240" s="48">
        <v>43347</v>
      </c>
      <c r="E1240" s="48">
        <v>43346</v>
      </c>
      <c r="F1240" s="48">
        <v>43353</v>
      </c>
      <c r="G1240" t="s">
        <v>92</v>
      </c>
      <c r="H1240" t="s">
        <v>93</v>
      </c>
      <c r="I1240">
        <v>1</v>
      </c>
      <c r="J1240" t="s">
        <v>848</v>
      </c>
      <c r="K1240">
        <v>1</v>
      </c>
      <c r="L1240">
        <v>1</v>
      </c>
      <c r="M1240" t="s">
        <v>163</v>
      </c>
      <c r="N1240">
        <v>0</v>
      </c>
      <c r="O1240" s="1">
        <f>+Tabla__192.168.1.8_POSEIDONSQL_APPFVT_01_tbl_detalle_fill_rate[[#This Row],[emb_cantidad]]-Tabla__192.168.1.8_POSEIDONSQL_APPFVT_01_tbl_detalle_fill_rate[[#This Row],[dev_cantidad]]</f>
        <v>1</v>
      </c>
      <c r="P12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0" s="1">
        <f>+Tabla__192.168.1.8_POSEIDONSQL_APPFVT_01_tbl_detalle_fill_rate[[#This Row],[Cumpl Real Unds]]-Tabla__192.168.1.8_POSEIDONSQL_APPFVT_01_tbl_detalle_fill_rate[[#This Row],[Cant Embarcada]]</f>
        <v>0</v>
      </c>
      <c r="S1240" s="1">
        <f>+IF(Tabla__192.168.1.8_POSEIDONSQL_APPFVT_01_tbl_detalle_fill_rate[[#This Row],[Pend Emb]]&gt;0,1,0)</f>
        <v>0</v>
      </c>
      <c r="T12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1" spans="1:20" x14ac:dyDescent="0.25">
      <c r="A1241">
        <v>9</v>
      </c>
      <c r="B1241" t="s">
        <v>48</v>
      </c>
      <c r="C1241">
        <v>9195937</v>
      </c>
      <c r="D1241" s="48">
        <v>43347</v>
      </c>
      <c r="E1241" s="48">
        <v>43346</v>
      </c>
      <c r="F1241" s="48">
        <v>43348</v>
      </c>
      <c r="G1241" t="s">
        <v>146</v>
      </c>
      <c r="H1241" t="s">
        <v>147</v>
      </c>
      <c r="I1241">
        <v>1</v>
      </c>
      <c r="J1241" t="s">
        <v>813</v>
      </c>
      <c r="K1241">
        <v>1</v>
      </c>
      <c r="L1241">
        <v>1</v>
      </c>
      <c r="M1241" t="s">
        <v>160</v>
      </c>
      <c r="N1241">
        <v>0</v>
      </c>
      <c r="O1241" s="1">
        <f>+Tabla__192.168.1.8_POSEIDONSQL_APPFVT_01_tbl_detalle_fill_rate[[#This Row],[emb_cantidad]]-Tabla__192.168.1.8_POSEIDONSQL_APPFVT_01_tbl_detalle_fill_rate[[#This Row],[dev_cantidad]]</f>
        <v>1</v>
      </c>
      <c r="P12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1" s="1">
        <f>+Tabla__192.168.1.8_POSEIDONSQL_APPFVT_01_tbl_detalle_fill_rate[[#This Row],[Cumpl Real Unds]]-Tabla__192.168.1.8_POSEIDONSQL_APPFVT_01_tbl_detalle_fill_rate[[#This Row],[Cant Embarcada]]</f>
        <v>0</v>
      </c>
      <c r="S1241" s="1">
        <f>+IF(Tabla__192.168.1.8_POSEIDONSQL_APPFVT_01_tbl_detalle_fill_rate[[#This Row],[Pend Emb]]&gt;0,1,0)</f>
        <v>0</v>
      </c>
      <c r="T12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2" spans="1:20" x14ac:dyDescent="0.25">
      <c r="A1242">
        <v>9</v>
      </c>
      <c r="B1242" t="s">
        <v>48</v>
      </c>
      <c r="C1242">
        <v>9196067</v>
      </c>
      <c r="D1242" s="48">
        <v>43347</v>
      </c>
      <c r="E1242" s="48">
        <v>43346</v>
      </c>
      <c r="F1242" s="48">
        <v>43353</v>
      </c>
      <c r="G1242" t="s">
        <v>74</v>
      </c>
      <c r="H1242" t="s">
        <v>75</v>
      </c>
      <c r="I1242">
        <v>1</v>
      </c>
      <c r="J1242" t="s">
        <v>1162</v>
      </c>
      <c r="K1242">
        <v>1</v>
      </c>
      <c r="L1242">
        <v>1</v>
      </c>
      <c r="M1242" t="s">
        <v>163</v>
      </c>
      <c r="N1242">
        <v>0</v>
      </c>
      <c r="O1242" s="1">
        <f>+Tabla__192.168.1.8_POSEIDONSQL_APPFVT_01_tbl_detalle_fill_rate[[#This Row],[emb_cantidad]]-Tabla__192.168.1.8_POSEIDONSQL_APPFVT_01_tbl_detalle_fill_rate[[#This Row],[dev_cantidad]]</f>
        <v>1</v>
      </c>
      <c r="P12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2" s="1">
        <f>+Tabla__192.168.1.8_POSEIDONSQL_APPFVT_01_tbl_detalle_fill_rate[[#This Row],[Cumpl Real Unds]]-Tabla__192.168.1.8_POSEIDONSQL_APPFVT_01_tbl_detalle_fill_rate[[#This Row],[Cant Embarcada]]</f>
        <v>0</v>
      </c>
      <c r="S1242" s="1">
        <f>+IF(Tabla__192.168.1.8_POSEIDONSQL_APPFVT_01_tbl_detalle_fill_rate[[#This Row],[Pend Emb]]&gt;0,1,0)</f>
        <v>0</v>
      </c>
      <c r="T12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3" spans="1:20" x14ac:dyDescent="0.25">
      <c r="A1243">
        <v>9</v>
      </c>
      <c r="B1243" t="s">
        <v>48</v>
      </c>
      <c r="C1243">
        <v>9196067</v>
      </c>
      <c r="D1243" s="48">
        <v>43347</v>
      </c>
      <c r="E1243" s="48">
        <v>43346</v>
      </c>
      <c r="F1243" s="48">
        <v>43353</v>
      </c>
      <c r="G1243" t="s">
        <v>74</v>
      </c>
      <c r="H1243" t="s">
        <v>75</v>
      </c>
      <c r="I1243">
        <v>1</v>
      </c>
      <c r="J1243" t="s">
        <v>849</v>
      </c>
      <c r="K1243">
        <v>1</v>
      </c>
      <c r="L1243">
        <v>1</v>
      </c>
      <c r="M1243" t="s">
        <v>163</v>
      </c>
      <c r="N1243">
        <v>0</v>
      </c>
      <c r="O1243" s="1">
        <f>+Tabla__192.168.1.8_POSEIDONSQL_APPFVT_01_tbl_detalle_fill_rate[[#This Row],[emb_cantidad]]-Tabla__192.168.1.8_POSEIDONSQL_APPFVT_01_tbl_detalle_fill_rate[[#This Row],[dev_cantidad]]</f>
        <v>1</v>
      </c>
      <c r="P12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3" s="1">
        <f>+Tabla__192.168.1.8_POSEIDONSQL_APPFVT_01_tbl_detalle_fill_rate[[#This Row],[Cumpl Real Unds]]-Tabla__192.168.1.8_POSEIDONSQL_APPFVT_01_tbl_detalle_fill_rate[[#This Row],[Cant Embarcada]]</f>
        <v>0</v>
      </c>
      <c r="S1243" s="1">
        <f>+IF(Tabla__192.168.1.8_POSEIDONSQL_APPFVT_01_tbl_detalle_fill_rate[[#This Row],[Pend Emb]]&gt;0,1,0)</f>
        <v>0</v>
      </c>
      <c r="T12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4" spans="1:20" x14ac:dyDescent="0.25">
      <c r="A1244">
        <v>9</v>
      </c>
      <c r="B1244" t="s">
        <v>48</v>
      </c>
      <c r="C1244">
        <v>9196067</v>
      </c>
      <c r="D1244" s="48">
        <v>43347</v>
      </c>
      <c r="E1244" s="48">
        <v>43346</v>
      </c>
      <c r="F1244" s="48">
        <v>43353</v>
      </c>
      <c r="G1244" t="s">
        <v>140</v>
      </c>
      <c r="H1244" t="s">
        <v>141</v>
      </c>
      <c r="I1244">
        <v>1</v>
      </c>
      <c r="J1244" t="s">
        <v>850</v>
      </c>
      <c r="K1244">
        <v>1</v>
      </c>
      <c r="L1244">
        <v>1</v>
      </c>
      <c r="M1244" t="s">
        <v>163</v>
      </c>
      <c r="N1244">
        <v>0</v>
      </c>
      <c r="O1244" s="1">
        <f>+Tabla__192.168.1.8_POSEIDONSQL_APPFVT_01_tbl_detalle_fill_rate[[#This Row],[emb_cantidad]]-Tabla__192.168.1.8_POSEIDONSQL_APPFVT_01_tbl_detalle_fill_rate[[#This Row],[dev_cantidad]]</f>
        <v>1</v>
      </c>
      <c r="P12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4" s="1">
        <f>+Tabla__192.168.1.8_POSEIDONSQL_APPFVT_01_tbl_detalle_fill_rate[[#This Row],[Cumpl Real Unds]]-Tabla__192.168.1.8_POSEIDONSQL_APPFVT_01_tbl_detalle_fill_rate[[#This Row],[Cant Embarcada]]</f>
        <v>0</v>
      </c>
      <c r="S1244" s="1">
        <f>+IF(Tabla__192.168.1.8_POSEIDONSQL_APPFVT_01_tbl_detalle_fill_rate[[#This Row],[Pend Emb]]&gt;0,1,0)</f>
        <v>0</v>
      </c>
      <c r="T12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5" spans="1:20" x14ac:dyDescent="0.25">
      <c r="A1245">
        <v>9</v>
      </c>
      <c r="B1245" t="s">
        <v>48</v>
      </c>
      <c r="C1245">
        <v>9196174</v>
      </c>
      <c r="D1245" s="48">
        <v>43347</v>
      </c>
      <c r="E1245" s="48">
        <v>43346</v>
      </c>
      <c r="F1245" s="48">
        <v>43353</v>
      </c>
      <c r="G1245" t="s">
        <v>168</v>
      </c>
      <c r="H1245" t="s">
        <v>169</v>
      </c>
      <c r="I1245">
        <v>1</v>
      </c>
      <c r="J1245" t="s">
        <v>838</v>
      </c>
      <c r="K1245">
        <v>1</v>
      </c>
      <c r="L1245">
        <v>1</v>
      </c>
      <c r="M1245" t="s">
        <v>163</v>
      </c>
      <c r="N1245">
        <v>0</v>
      </c>
      <c r="O1245" s="1">
        <f>+Tabla__192.168.1.8_POSEIDONSQL_APPFVT_01_tbl_detalle_fill_rate[[#This Row],[emb_cantidad]]-Tabla__192.168.1.8_POSEIDONSQL_APPFVT_01_tbl_detalle_fill_rate[[#This Row],[dev_cantidad]]</f>
        <v>1</v>
      </c>
      <c r="P12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5" s="1">
        <f>+Tabla__192.168.1.8_POSEIDONSQL_APPFVT_01_tbl_detalle_fill_rate[[#This Row],[Cumpl Real Unds]]-Tabla__192.168.1.8_POSEIDONSQL_APPFVT_01_tbl_detalle_fill_rate[[#This Row],[Cant Embarcada]]</f>
        <v>0</v>
      </c>
      <c r="S1245" s="1">
        <f>+IF(Tabla__192.168.1.8_POSEIDONSQL_APPFVT_01_tbl_detalle_fill_rate[[#This Row],[Pend Emb]]&gt;0,1,0)</f>
        <v>0</v>
      </c>
      <c r="T12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6" spans="1:20" x14ac:dyDescent="0.25">
      <c r="A1246">
        <v>9</v>
      </c>
      <c r="B1246" t="s">
        <v>48</v>
      </c>
      <c r="C1246">
        <v>9196174</v>
      </c>
      <c r="D1246" s="48">
        <v>43347</v>
      </c>
      <c r="E1246" s="48">
        <v>43346</v>
      </c>
      <c r="F1246" s="48">
        <v>43353</v>
      </c>
      <c r="G1246" t="s">
        <v>92</v>
      </c>
      <c r="H1246" t="s">
        <v>93</v>
      </c>
      <c r="I1246">
        <v>1</v>
      </c>
      <c r="J1246" t="s">
        <v>837</v>
      </c>
      <c r="K1246">
        <v>1</v>
      </c>
      <c r="L1246">
        <v>1</v>
      </c>
      <c r="M1246" t="s">
        <v>163</v>
      </c>
      <c r="N1246">
        <v>0</v>
      </c>
      <c r="O1246" s="1">
        <f>+Tabla__192.168.1.8_POSEIDONSQL_APPFVT_01_tbl_detalle_fill_rate[[#This Row],[emb_cantidad]]-Tabla__192.168.1.8_POSEIDONSQL_APPFVT_01_tbl_detalle_fill_rate[[#This Row],[dev_cantidad]]</f>
        <v>1</v>
      </c>
      <c r="P12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6" s="1">
        <f>+Tabla__192.168.1.8_POSEIDONSQL_APPFVT_01_tbl_detalle_fill_rate[[#This Row],[Cumpl Real Unds]]-Tabla__192.168.1.8_POSEIDONSQL_APPFVT_01_tbl_detalle_fill_rate[[#This Row],[Cant Embarcada]]</f>
        <v>0</v>
      </c>
      <c r="S1246" s="1">
        <f>+IF(Tabla__192.168.1.8_POSEIDONSQL_APPFVT_01_tbl_detalle_fill_rate[[#This Row],[Pend Emb]]&gt;0,1,0)</f>
        <v>0</v>
      </c>
      <c r="T12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7" spans="1:20" x14ac:dyDescent="0.25">
      <c r="A1247">
        <v>9</v>
      </c>
      <c r="B1247" t="s">
        <v>48</v>
      </c>
      <c r="C1247">
        <v>9196249</v>
      </c>
      <c r="D1247" s="48">
        <v>43347</v>
      </c>
      <c r="E1247" s="48">
        <v>43347</v>
      </c>
      <c r="F1247" s="48">
        <v>43353</v>
      </c>
      <c r="G1247" t="s">
        <v>168</v>
      </c>
      <c r="H1247" t="s">
        <v>169</v>
      </c>
      <c r="I1247">
        <v>1</v>
      </c>
      <c r="J1247" t="s">
        <v>840</v>
      </c>
      <c r="K1247">
        <v>1</v>
      </c>
      <c r="L1247">
        <v>1</v>
      </c>
      <c r="M1247" t="s">
        <v>163</v>
      </c>
      <c r="N1247">
        <v>0</v>
      </c>
      <c r="O1247" s="1">
        <f>+Tabla__192.168.1.8_POSEIDONSQL_APPFVT_01_tbl_detalle_fill_rate[[#This Row],[emb_cantidad]]-Tabla__192.168.1.8_POSEIDONSQL_APPFVT_01_tbl_detalle_fill_rate[[#This Row],[dev_cantidad]]</f>
        <v>1</v>
      </c>
      <c r="P12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7" s="1">
        <f>+Tabla__192.168.1.8_POSEIDONSQL_APPFVT_01_tbl_detalle_fill_rate[[#This Row],[Cumpl Real Unds]]-Tabla__192.168.1.8_POSEIDONSQL_APPFVT_01_tbl_detalle_fill_rate[[#This Row],[Cant Embarcada]]</f>
        <v>0</v>
      </c>
      <c r="S1247" s="1">
        <f>+IF(Tabla__192.168.1.8_POSEIDONSQL_APPFVT_01_tbl_detalle_fill_rate[[#This Row],[Pend Emb]]&gt;0,1,0)</f>
        <v>0</v>
      </c>
      <c r="T12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8" spans="1:20" x14ac:dyDescent="0.25">
      <c r="A1248">
        <v>9</v>
      </c>
      <c r="B1248" t="s">
        <v>48</v>
      </c>
      <c r="C1248">
        <v>9196249</v>
      </c>
      <c r="D1248" s="48">
        <v>43347</v>
      </c>
      <c r="E1248" s="48">
        <v>43347</v>
      </c>
      <c r="F1248" s="48">
        <v>43355</v>
      </c>
      <c r="G1248" t="s">
        <v>92</v>
      </c>
      <c r="H1248" t="s">
        <v>93</v>
      </c>
      <c r="I1248">
        <v>1</v>
      </c>
      <c r="J1248" t="s">
        <v>1163</v>
      </c>
      <c r="K1248">
        <v>1</v>
      </c>
      <c r="L1248">
        <v>1</v>
      </c>
      <c r="M1248" t="s">
        <v>427</v>
      </c>
      <c r="N1248">
        <v>0</v>
      </c>
      <c r="O1248" s="1">
        <f>+Tabla__192.168.1.8_POSEIDONSQL_APPFVT_01_tbl_detalle_fill_rate[[#This Row],[emb_cantidad]]-Tabla__192.168.1.8_POSEIDONSQL_APPFVT_01_tbl_detalle_fill_rate[[#This Row],[dev_cantidad]]</f>
        <v>1</v>
      </c>
      <c r="P12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8" s="1">
        <f>+Tabla__192.168.1.8_POSEIDONSQL_APPFVT_01_tbl_detalle_fill_rate[[#This Row],[Cumpl Real Unds]]-Tabla__192.168.1.8_POSEIDONSQL_APPFVT_01_tbl_detalle_fill_rate[[#This Row],[Cant Embarcada]]</f>
        <v>0</v>
      </c>
      <c r="S1248" s="1">
        <f>+IF(Tabla__192.168.1.8_POSEIDONSQL_APPFVT_01_tbl_detalle_fill_rate[[#This Row],[Pend Emb]]&gt;0,1,0)</f>
        <v>0</v>
      </c>
      <c r="T12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49" spans="1:20" x14ac:dyDescent="0.25">
      <c r="A1249">
        <v>9</v>
      </c>
      <c r="B1249" t="s">
        <v>48</v>
      </c>
      <c r="C1249">
        <v>9196249</v>
      </c>
      <c r="D1249" s="48">
        <v>43347</v>
      </c>
      <c r="E1249" s="48">
        <v>43347</v>
      </c>
      <c r="F1249" s="48">
        <v>43353</v>
      </c>
      <c r="G1249" t="s">
        <v>92</v>
      </c>
      <c r="H1249" t="s">
        <v>93</v>
      </c>
      <c r="I1249">
        <v>1</v>
      </c>
      <c r="J1249" t="s">
        <v>839</v>
      </c>
      <c r="K1249">
        <v>1</v>
      </c>
      <c r="L1249">
        <v>1</v>
      </c>
      <c r="M1249" t="s">
        <v>163</v>
      </c>
      <c r="N1249">
        <v>0</v>
      </c>
      <c r="O1249" s="1">
        <f>+Tabla__192.168.1.8_POSEIDONSQL_APPFVT_01_tbl_detalle_fill_rate[[#This Row],[emb_cantidad]]-Tabla__192.168.1.8_POSEIDONSQL_APPFVT_01_tbl_detalle_fill_rate[[#This Row],[dev_cantidad]]</f>
        <v>1</v>
      </c>
      <c r="P12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49" s="1">
        <f>+Tabla__192.168.1.8_POSEIDONSQL_APPFVT_01_tbl_detalle_fill_rate[[#This Row],[Cumpl Real Unds]]-Tabla__192.168.1.8_POSEIDONSQL_APPFVT_01_tbl_detalle_fill_rate[[#This Row],[Cant Embarcada]]</f>
        <v>0</v>
      </c>
      <c r="S1249" s="1">
        <f>+IF(Tabla__192.168.1.8_POSEIDONSQL_APPFVT_01_tbl_detalle_fill_rate[[#This Row],[Pend Emb]]&gt;0,1,0)</f>
        <v>0</v>
      </c>
      <c r="T12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0" spans="1:20" x14ac:dyDescent="0.25">
      <c r="A1250">
        <v>9</v>
      </c>
      <c r="B1250" t="s">
        <v>48</v>
      </c>
      <c r="C1250">
        <v>9196372</v>
      </c>
      <c r="D1250" s="48">
        <v>43348</v>
      </c>
      <c r="E1250" s="48">
        <v>43347</v>
      </c>
      <c r="F1250" s="48">
        <v>43355</v>
      </c>
      <c r="G1250" t="s">
        <v>74</v>
      </c>
      <c r="H1250" t="s">
        <v>75</v>
      </c>
      <c r="I1250">
        <v>1</v>
      </c>
      <c r="J1250" t="s">
        <v>1470</v>
      </c>
      <c r="K1250">
        <v>1</v>
      </c>
      <c r="L1250">
        <v>1</v>
      </c>
      <c r="M1250" t="s">
        <v>427</v>
      </c>
      <c r="N1250">
        <v>0</v>
      </c>
      <c r="O1250" s="1">
        <f>+Tabla__192.168.1.8_POSEIDONSQL_APPFVT_01_tbl_detalle_fill_rate[[#This Row],[emb_cantidad]]-Tabla__192.168.1.8_POSEIDONSQL_APPFVT_01_tbl_detalle_fill_rate[[#This Row],[dev_cantidad]]</f>
        <v>1</v>
      </c>
      <c r="P12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0" s="1">
        <f>+Tabla__192.168.1.8_POSEIDONSQL_APPFVT_01_tbl_detalle_fill_rate[[#This Row],[Cumpl Real Unds]]-Tabla__192.168.1.8_POSEIDONSQL_APPFVT_01_tbl_detalle_fill_rate[[#This Row],[Cant Embarcada]]</f>
        <v>0</v>
      </c>
      <c r="S1250" s="1">
        <f>+IF(Tabla__192.168.1.8_POSEIDONSQL_APPFVT_01_tbl_detalle_fill_rate[[#This Row],[Pend Emb]]&gt;0,1,0)</f>
        <v>0</v>
      </c>
      <c r="T12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1" spans="1:20" x14ac:dyDescent="0.25">
      <c r="A1251">
        <v>9</v>
      </c>
      <c r="B1251" t="s">
        <v>48</v>
      </c>
      <c r="C1251">
        <v>9196754</v>
      </c>
      <c r="D1251" s="48">
        <v>43348</v>
      </c>
      <c r="E1251" s="48">
        <v>43347</v>
      </c>
      <c r="F1251" s="48">
        <v>43353</v>
      </c>
      <c r="G1251" t="s">
        <v>146</v>
      </c>
      <c r="H1251" t="s">
        <v>147</v>
      </c>
      <c r="I1251">
        <v>1</v>
      </c>
      <c r="J1251" t="s">
        <v>1463</v>
      </c>
      <c r="K1251">
        <v>1</v>
      </c>
      <c r="L1251">
        <v>1</v>
      </c>
      <c r="M1251" t="s">
        <v>163</v>
      </c>
      <c r="N1251">
        <v>0</v>
      </c>
      <c r="O1251" s="1">
        <f>+Tabla__192.168.1.8_POSEIDONSQL_APPFVT_01_tbl_detalle_fill_rate[[#This Row],[emb_cantidad]]-Tabla__192.168.1.8_POSEIDONSQL_APPFVT_01_tbl_detalle_fill_rate[[#This Row],[dev_cantidad]]</f>
        <v>1</v>
      </c>
      <c r="P12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1" s="1">
        <f>+Tabla__192.168.1.8_POSEIDONSQL_APPFVT_01_tbl_detalle_fill_rate[[#This Row],[Cumpl Real Unds]]-Tabla__192.168.1.8_POSEIDONSQL_APPFVT_01_tbl_detalle_fill_rate[[#This Row],[Cant Embarcada]]</f>
        <v>0</v>
      </c>
      <c r="S1251" s="1">
        <f>+IF(Tabla__192.168.1.8_POSEIDONSQL_APPFVT_01_tbl_detalle_fill_rate[[#This Row],[Pend Emb]]&gt;0,1,0)</f>
        <v>0</v>
      </c>
      <c r="T12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2" spans="1:20" x14ac:dyDescent="0.25">
      <c r="A1252">
        <v>9</v>
      </c>
      <c r="B1252" t="s">
        <v>48</v>
      </c>
      <c r="C1252">
        <v>9197008</v>
      </c>
      <c r="D1252" s="48">
        <v>43348</v>
      </c>
      <c r="E1252" s="48">
        <v>43347</v>
      </c>
      <c r="F1252" s="48">
        <v>43364</v>
      </c>
      <c r="G1252" t="s">
        <v>199</v>
      </c>
      <c r="H1252" t="s">
        <v>200</v>
      </c>
      <c r="I1252">
        <v>1</v>
      </c>
      <c r="J1252" t="s">
        <v>644</v>
      </c>
      <c r="K1252">
        <v>0</v>
      </c>
      <c r="L1252">
        <v>0</v>
      </c>
      <c r="M1252" t="s">
        <v>426</v>
      </c>
      <c r="N1252">
        <v>0</v>
      </c>
      <c r="O1252" s="1">
        <f>+Tabla__192.168.1.8_POSEIDONSQL_APPFVT_01_tbl_detalle_fill_rate[[#This Row],[emb_cantidad]]-Tabla__192.168.1.8_POSEIDONSQL_APPFVT_01_tbl_detalle_fill_rate[[#This Row],[dev_cantidad]]</f>
        <v>0</v>
      </c>
      <c r="P12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252" s="1">
        <f>+Tabla__192.168.1.8_POSEIDONSQL_APPFVT_01_tbl_detalle_fill_rate[[#This Row],[Cumpl Real Unds]]-Tabla__192.168.1.8_POSEIDONSQL_APPFVT_01_tbl_detalle_fill_rate[[#This Row],[Cant Embarcada]]</f>
        <v>0</v>
      </c>
      <c r="S1252" s="1">
        <f>+IF(Tabla__192.168.1.8_POSEIDONSQL_APPFVT_01_tbl_detalle_fill_rate[[#This Row],[Pend Emb]]&gt;0,1,0)</f>
        <v>0</v>
      </c>
      <c r="T12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3" spans="1:20" x14ac:dyDescent="0.25">
      <c r="A1253">
        <v>9</v>
      </c>
      <c r="B1253" t="s">
        <v>48</v>
      </c>
      <c r="C1253">
        <v>9197008</v>
      </c>
      <c r="D1253" s="48">
        <v>43348</v>
      </c>
      <c r="E1253" s="48">
        <v>43347</v>
      </c>
      <c r="F1253" s="48">
        <v>43355</v>
      </c>
      <c r="G1253" t="s">
        <v>521</v>
      </c>
      <c r="H1253" t="s">
        <v>522</v>
      </c>
      <c r="I1253">
        <v>1</v>
      </c>
      <c r="J1253" t="s">
        <v>1471</v>
      </c>
      <c r="K1253">
        <v>1</v>
      </c>
      <c r="L1253">
        <v>1</v>
      </c>
      <c r="M1253" t="s">
        <v>427</v>
      </c>
      <c r="N1253">
        <v>0</v>
      </c>
      <c r="O1253" s="1">
        <f>+Tabla__192.168.1.8_POSEIDONSQL_APPFVT_01_tbl_detalle_fill_rate[[#This Row],[emb_cantidad]]-Tabla__192.168.1.8_POSEIDONSQL_APPFVT_01_tbl_detalle_fill_rate[[#This Row],[dev_cantidad]]</f>
        <v>1</v>
      </c>
      <c r="P12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3" s="1">
        <f>+Tabla__192.168.1.8_POSEIDONSQL_APPFVT_01_tbl_detalle_fill_rate[[#This Row],[Cumpl Real Unds]]-Tabla__192.168.1.8_POSEIDONSQL_APPFVT_01_tbl_detalle_fill_rate[[#This Row],[Cant Embarcada]]</f>
        <v>0</v>
      </c>
      <c r="S1253" s="1">
        <f>+IF(Tabla__192.168.1.8_POSEIDONSQL_APPFVT_01_tbl_detalle_fill_rate[[#This Row],[Pend Emb]]&gt;0,1,0)</f>
        <v>0</v>
      </c>
      <c r="T12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4" spans="1:20" x14ac:dyDescent="0.25">
      <c r="A1254">
        <v>9</v>
      </c>
      <c r="B1254" t="s">
        <v>48</v>
      </c>
      <c r="C1254">
        <v>9197008</v>
      </c>
      <c r="D1254" s="48">
        <v>43348</v>
      </c>
      <c r="E1254" s="48">
        <v>43347</v>
      </c>
      <c r="F1254" s="48">
        <v>43364</v>
      </c>
      <c r="G1254" t="s">
        <v>199</v>
      </c>
      <c r="H1254" t="s">
        <v>200</v>
      </c>
      <c r="I1254">
        <v>1</v>
      </c>
      <c r="J1254" t="s">
        <v>644</v>
      </c>
      <c r="K1254">
        <v>1</v>
      </c>
      <c r="L1254">
        <v>1</v>
      </c>
      <c r="M1254" t="s">
        <v>426</v>
      </c>
      <c r="N1254">
        <v>0</v>
      </c>
      <c r="O1254" s="1">
        <f>+Tabla__192.168.1.8_POSEIDONSQL_APPFVT_01_tbl_detalle_fill_rate[[#This Row],[emb_cantidad]]-Tabla__192.168.1.8_POSEIDONSQL_APPFVT_01_tbl_detalle_fill_rate[[#This Row],[dev_cantidad]]</f>
        <v>1</v>
      </c>
      <c r="P12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4" s="1">
        <f>+Tabla__192.168.1.8_POSEIDONSQL_APPFVT_01_tbl_detalle_fill_rate[[#This Row],[Cumpl Real Unds]]-Tabla__192.168.1.8_POSEIDONSQL_APPFVT_01_tbl_detalle_fill_rate[[#This Row],[Cant Embarcada]]</f>
        <v>0</v>
      </c>
      <c r="S1254" s="1">
        <f>+IF(Tabla__192.168.1.8_POSEIDONSQL_APPFVT_01_tbl_detalle_fill_rate[[#This Row],[Pend Emb]]&gt;0,1,0)</f>
        <v>0</v>
      </c>
      <c r="T12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5" spans="1:20" x14ac:dyDescent="0.25">
      <c r="A1255">
        <v>9</v>
      </c>
      <c r="B1255" t="s">
        <v>48</v>
      </c>
      <c r="C1255">
        <v>9197076</v>
      </c>
      <c r="D1255" s="48">
        <v>43348</v>
      </c>
      <c r="E1255" s="48">
        <v>43347</v>
      </c>
      <c r="F1255" s="48">
        <v>43355</v>
      </c>
      <c r="G1255" t="s">
        <v>106</v>
      </c>
      <c r="H1255" t="s">
        <v>107</v>
      </c>
      <c r="I1255">
        <v>1</v>
      </c>
      <c r="J1255" t="s">
        <v>1472</v>
      </c>
      <c r="K1255">
        <v>1</v>
      </c>
      <c r="L1255">
        <v>1</v>
      </c>
      <c r="M1255" t="s">
        <v>427</v>
      </c>
      <c r="N1255">
        <v>0</v>
      </c>
      <c r="O1255" s="1">
        <f>+Tabla__192.168.1.8_POSEIDONSQL_APPFVT_01_tbl_detalle_fill_rate[[#This Row],[emb_cantidad]]-Tabla__192.168.1.8_POSEIDONSQL_APPFVT_01_tbl_detalle_fill_rate[[#This Row],[dev_cantidad]]</f>
        <v>1</v>
      </c>
      <c r="P12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5" s="1">
        <f>+Tabla__192.168.1.8_POSEIDONSQL_APPFVT_01_tbl_detalle_fill_rate[[#This Row],[Cumpl Real Unds]]-Tabla__192.168.1.8_POSEIDONSQL_APPFVT_01_tbl_detalle_fill_rate[[#This Row],[Cant Embarcada]]</f>
        <v>0</v>
      </c>
      <c r="S1255" s="1">
        <f>+IF(Tabla__192.168.1.8_POSEIDONSQL_APPFVT_01_tbl_detalle_fill_rate[[#This Row],[Pend Emb]]&gt;0,1,0)</f>
        <v>0</v>
      </c>
      <c r="T12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6" spans="1:20" x14ac:dyDescent="0.25">
      <c r="A1256">
        <v>9</v>
      </c>
      <c r="B1256" t="s">
        <v>48</v>
      </c>
      <c r="C1256">
        <v>9197134</v>
      </c>
      <c r="D1256" s="48">
        <v>43348</v>
      </c>
      <c r="E1256" s="48">
        <v>43347</v>
      </c>
      <c r="F1256" s="48">
        <v>43355</v>
      </c>
      <c r="G1256" t="s">
        <v>92</v>
      </c>
      <c r="H1256" t="s">
        <v>93</v>
      </c>
      <c r="I1256">
        <v>1</v>
      </c>
      <c r="J1256" t="s">
        <v>1464</v>
      </c>
      <c r="K1256">
        <v>1</v>
      </c>
      <c r="L1256">
        <v>1</v>
      </c>
      <c r="M1256" t="s">
        <v>427</v>
      </c>
      <c r="N1256">
        <v>0</v>
      </c>
      <c r="O1256" s="1">
        <f>+Tabla__192.168.1.8_POSEIDONSQL_APPFVT_01_tbl_detalle_fill_rate[[#This Row],[emb_cantidad]]-Tabla__192.168.1.8_POSEIDONSQL_APPFVT_01_tbl_detalle_fill_rate[[#This Row],[dev_cantidad]]</f>
        <v>1</v>
      </c>
      <c r="P12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6" s="1">
        <f>+Tabla__192.168.1.8_POSEIDONSQL_APPFVT_01_tbl_detalle_fill_rate[[#This Row],[Cumpl Real Unds]]-Tabla__192.168.1.8_POSEIDONSQL_APPFVT_01_tbl_detalle_fill_rate[[#This Row],[Cant Embarcada]]</f>
        <v>0</v>
      </c>
      <c r="S1256" s="1">
        <f>+IF(Tabla__192.168.1.8_POSEIDONSQL_APPFVT_01_tbl_detalle_fill_rate[[#This Row],[Pend Emb]]&gt;0,1,0)</f>
        <v>0</v>
      </c>
      <c r="T12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7" spans="1:20" x14ac:dyDescent="0.25">
      <c r="A1257">
        <v>9</v>
      </c>
      <c r="B1257" t="s">
        <v>48</v>
      </c>
      <c r="C1257">
        <v>9197187</v>
      </c>
      <c r="D1257" s="48">
        <v>43348</v>
      </c>
      <c r="E1257" s="48">
        <v>43347</v>
      </c>
      <c r="F1257" s="48">
        <v>43355</v>
      </c>
      <c r="G1257" t="s">
        <v>92</v>
      </c>
      <c r="H1257" t="s">
        <v>93</v>
      </c>
      <c r="I1257">
        <v>1</v>
      </c>
      <c r="J1257" t="s">
        <v>1465</v>
      </c>
      <c r="K1257">
        <v>1</v>
      </c>
      <c r="L1257">
        <v>1</v>
      </c>
      <c r="M1257" t="s">
        <v>427</v>
      </c>
      <c r="N1257">
        <v>0</v>
      </c>
      <c r="O1257" s="1">
        <f>+Tabla__192.168.1.8_POSEIDONSQL_APPFVT_01_tbl_detalle_fill_rate[[#This Row],[emb_cantidad]]-Tabla__192.168.1.8_POSEIDONSQL_APPFVT_01_tbl_detalle_fill_rate[[#This Row],[dev_cantidad]]</f>
        <v>1</v>
      </c>
      <c r="P12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7" s="1">
        <f>+Tabla__192.168.1.8_POSEIDONSQL_APPFVT_01_tbl_detalle_fill_rate[[#This Row],[Cumpl Real Unds]]-Tabla__192.168.1.8_POSEIDONSQL_APPFVT_01_tbl_detalle_fill_rate[[#This Row],[Cant Embarcada]]</f>
        <v>0</v>
      </c>
      <c r="S1257" s="1">
        <f>+IF(Tabla__192.168.1.8_POSEIDONSQL_APPFVT_01_tbl_detalle_fill_rate[[#This Row],[Pend Emb]]&gt;0,1,0)</f>
        <v>0</v>
      </c>
      <c r="T12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8" spans="1:20" x14ac:dyDescent="0.25">
      <c r="A1258">
        <v>9</v>
      </c>
      <c r="B1258" t="s">
        <v>48</v>
      </c>
      <c r="C1258">
        <v>9197208</v>
      </c>
      <c r="D1258" s="48">
        <v>43348</v>
      </c>
      <c r="E1258" s="48">
        <v>43347</v>
      </c>
      <c r="F1258" s="48">
        <v>43350</v>
      </c>
      <c r="G1258" t="s">
        <v>146</v>
      </c>
      <c r="H1258" t="s">
        <v>147</v>
      </c>
      <c r="I1258">
        <v>1</v>
      </c>
      <c r="J1258" t="s">
        <v>1462</v>
      </c>
      <c r="K1258">
        <v>1</v>
      </c>
      <c r="L1258">
        <v>1</v>
      </c>
      <c r="M1258" t="s">
        <v>1969</v>
      </c>
      <c r="N1258">
        <v>0</v>
      </c>
      <c r="O1258" s="1">
        <f>+Tabla__192.168.1.8_POSEIDONSQL_APPFVT_01_tbl_detalle_fill_rate[[#This Row],[emb_cantidad]]-Tabla__192.168.1.8_POSEIDONSQL_APPFVT_01_tbl_detalle_fill_rate[[#This Row],[dev_cantidad]]</f>
        <v>1</v>
      </c>
      <c r="P12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8" s="1">
        <f>+Tabla__192.168.1.8_POSEIDONSQL_APPFVT_01_tbl_detalle_fill_rate[[#This Row],[Cumpl Real Unds]]-Tabla__192.168.1.8_POSEIDONSQL_APPFVT_01_tbl_detalle_fill_rate[[#This Row],[Cant Embarcada]]</f>
        <v>0</v>
      </c>
      <c r="S1258" s="1">
        <f>+IF(Tabla__192.168.1.8_POSEIDONSQL_APPFVT_01_tbl_detalle_fill_rate[[#This Row],[Pend Emb]]&gt;0,1,0)</f>
        <v>0</v>
      </c>
      <c r="T12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59" spans="1:20" x14ac:dyDescent="0.25">
      <c r="A1259">
        <v>9</v>
      </c>
      <c r="B1259" t="s">
        <v>48</v>
      </c>
      <c r="C1259">
        <v>9197240</v>
      </c>
      <c r="D1259" s="48">
        <v>43348</v>
      </c>
      <c r="E1259" s="48">
        <v>43347</v>
      </c>
      <c r="F1259" s="48">
        <v>43355</v>
      </c>
      <c r="G1259" t="s">
        <v>96</v>
      </c>
      <c r="H1259" t="s">
        <v>97</v>
      </c>
      <c r="I1259">
        <v>1</v>
      </c>
      <c r="J1259" t="s">
        <v>1466</v>
      </c>
      <c r="K1259">
        <v>1</v>
      </c>
      <c r="L1259">
        <v>1</v>
      </c>
      <c r="M1259" t="s">
        <v>427</v>
      </c>
      <c r="N1259">
        <v>0</v>
      </c>
      <c r="O1259" s="1">
        <f>+Tabla__192.168.1.8_POSEIDONSQL_APPFVT_01_tbl_detalle_fill_rate[[#This Row],[emb_cantidad]]-Tabla__192.168.1.8_POSEIDONSQL_APPFVT_01_tbl_detalle_fill_rate[[#This Row],[dev_cantidad]]</f>
        <v>1</v>
      </c>
      <c r="P12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59" s="1">
        <f>+Tabla__192.168.1.8_POSEIDONSQL_APPFVT_01_tbl_detalle_fill_rate[[#This Row],[Cumpl Real Unds]]-Tabla__192.168.1.8_POSEIDONSQL_APPFVT_01_tbl_detalle_fill_rate[[#This Row],[Cant Embarcada]]</f>
        <v>0</v>
      </c>
      <c r="S1259" s="1">
        <f>+IF(Tabla__192.168.1.8_POSEIDONSQL_APPFVT_01_tbl_detalle_fill_rate[[#This Row],[Pend Emb]]&gt;0,1,0)</f>
        <v>0</v>
      </c>
      <c r="T12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0" spans="1:20" x14ac:dyDescent="0.25">
      <c r="A1260">
        <v>9</v>
      </c>
      <c r="B1260" t="s">
        <v>48</v>
      </c>
      <c r="C1260">
        <v>9197240</v>
      </c>
      <c r="D1260" s="48">
        <v>43348</v>
      </c>
      <c r="E1260" s="48">
        <v>43347</v>
      </c>
      <c r="F1260" s="48">
        <v>43357</v>
      </c>
      <c r="G1260" t="s">
        <v>112</v>
      </c>
      <c r="H1260" t="s">
        <v>113</v>
      </c>
      <c r="I1260">
        <v>1</v>
      </c>
      <c r="J1260" t="s">
        <v>1865</v>
      </c>
      <c r="K1260">
        <v>1</v>
      </c>
      <c r="L1260">
        <v>1</v>
      </c>
      <c r="M1260" t="s">
        <v>426</v>
      </c>
      <c r="N1260">
        <v>0</v>
      </c>
      <c r="O1260" s="1">
        <f>+Tabla__192.168.1.8_POSEIDONSQL_APPFVT_01_tbl_detalle_fill_rate[[#This Row],[emb_cantidad]]-Tabla__192.168.1.8_POSEIDONSQL_APPFVT_01_tbl_detalle_fill_rate[[#This Row],[dev_cantidad]]</f>
        <v>1</v>
      </c>
      <c r="P12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0" s="1">
        <f>+Tabla__192.168.1.8_POSEIDONSQL_APPFVT_01_tbl_detalle_fill_rate[[#This Row],[Cumpl Real Unds]]-Tabla__192.168.1.8_POSEIDONSQL_APPFVT_01_tbl_detalle_fill_rate[[#This Row],[Cant Embarcada]]</f>
        <v>0</v>
      </c>
      <c r="S1260" s="1">
        <f>+IF(Tabla__192.168.1.8_POSEIDONSQL_APPFVT_01_tbl_detalle_fill_rate[[#This Row],[Pend Emb]]&gt;0,1,0)</f>
        <v>0</v>
      </c>
      <c r="T12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1" spans="1:20" x14ac:dyDescent="0.25">
      <c r="A1261">
        <v>9</v>
      </c>
      <c r="B1261" t="s">
        <v>48</v>
      </c>
      <c r="C1261">
        <v>9197240</v>
      </c>
      <c r="D1261" s="48">
        <v>43348</v>
      </c>
      <c r="E1261" s="48">
        <v>43347</v>
      </c>
      <c r="F1261" s="48">
        <v>43355</v>
      </c>
      <c r="G1261" t="s">
        <v>140</v>
      </c>
      <c r="H1261" t="s">
        <v>141</v>
      </c>
      <c r="I1261">
        <v>1</v>
      </c>
      <c r="J1261" t="s">
        <v>1467</v>
      </c>
      <c r="K1261">
        <v>1</v>
      </c>
      <c r="L1261">
        <v>1</v>
      </c>
      <c r="M1261" t="s">
        <v>427</v>
      </c>
      <c r="N1261">
        <v>0</v>
      </c>
      <c r="O1261" s="1">
        <f>+Tabla__192.168.1.8_POSEIDONSQL_APPFVT_01_tbl_detalle_fill_rate[[#This Row],[emb_cantidad]]-Tabla__192.168.1.8_POSEIDONSQL_APPFVT_01_tbl_detalle_fill_rate[[#This Row],[dev_cantidad]]</f>
        <v>1</v>
      </c>
      <c r="P12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1" s="1">
        <f>+Tabla__192.168.1.8_POSEIDONSQL_APPFVT_01_tbl_detalle_fill_rate[[#This Row],[Cumpl Real Unds]]-Tabla__192.168.1.8_POSEIDONSQL_APPFVT_01_tbl_detalle_fill_rate[[#This Row],[Cant Embarcada]]</f>
        <v>0</v>
      </c>
      <c r="S1261" s="1">
        <f>+IF(Tabla__192.168.1.8_POSEIDONSQL_APPFVT_01_tbl_detalle_fill_rate[[#This Row],[Pend Emb]]&gt;0,1,0)</f>
        <v>0</v>
      </c>
      <c r="T12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2" spans="1:20" x14ac:dyDescent="0.25">
      <c r="A1262">
        <v>9</v>
      </c>
      <c r="B1262" t="s">
        <v>48</v>
      </c>
      <c r="C1262">
        <v>9197273</v>
      </c>
      <c r="D1262" s="48">
        <v>43348</v>
      </c>
      <c r="E1262" s="48">
        <v>43347</v>
      </c>
      <c r="F1262" s="48">
        <v>43357</v>
      </c>
      <c r="G1262" t="s">
        <v>62</v>
      </c>
      <c r="H1262" t="s">
        <v>63</v>
      </c>
      <c r="I1262">
        <v>1</v>
      </c>
      <c r="J1262" t="s">
        <v>1866</v>
      </c>
      <c r="K1262">
        <v>1</v>
      </c>
      <c r="L1262">
        <v>1</v>
      </c>
      <c r="M1262" t="s">
        <v>426</v>
      </c>
      <c r="N1262">
        <v>0</v>
      </c>
      <c r="O1262" s="1">
        <f>+Tabla__192.168.1.8_POSEIDONSQL_APPFVT_01_tbl_detalle_fill_rate[[#This Row],[emb_cantidad]]-Tabla__192.168.1.8_POSEIDONSQL_APPFVT_01_tbl_detalle_fill_rate[[#This Row],[dev_cantidad]]</f>
        <v>1</v>
      </c>
      <c r="P12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2" s="1">
        <f>+Tabla__192.168.1.8_POSEIDONSQL_APPFVT_01_tbl_detalle_fill_rate[[#This Row],[Cumpl Real Unds]]-Tabla__192.168.1.8_POSEIDONSQL_APPFVT_01_tbl_detalle_fill_rate[[#This Row],[Cant Embarcada]]</f>
        <v>0</v>
      </c>
      <c r="S1262" s="1">
        <f>+IF(Tabla__192.168.1.8_POSEIDONSQL_APPFVT_01_tbl_detalle_fill_rate[[#This Row],[Pend Emb]]&gt;0,1,0)</f>
        <v>0</v>
      </c>
      <c r="T12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3" spans="1:20" x14ac:dyDescent="0.25">
      <c r="A1263">
        <v>9</v>
      </c>
      <c r="B1263" t="s">
        <v>48</v>
      </c>
      <c r="C1263">
        <v>9197273</v>
      </c>
      <c r="D1263" s="48">
        <v>43348</v>
      </c>
      <c r="E1263" s="48">
        <v>43347</v>
      </c>
      <c r="F1263" s="48">
        <v>43355</v>
      </c>
      <c r="G1263" t="s">
        <v>389</v>
      </c>
      <c r="H1263" t="s">
        <v>390</v>
      </c>
      <c r="I1263">
        <v>1</v>
      </c>
      <c r="J1263" t="s">
        <v>1469</v>
      </c>
      <c r="K1263">
        <v>1</v>
      </c>
      <c r="L1263">
        <v>1</v>
      </c>
      <c r="M1263" t="s">
        <v>427</v>
      </c>
      <c r="N1263">
        <v>0</v>
      </c>
      <c r="O1263" s="1">
        <f>+Tabla__192.168.1.8_POSEIDONSQL_APPFVT_01_tbl_detalle_fill_rate[[#This Row],[emb_cantidad]]-Tabla__192.168.1.8_POSEIDONSQL_APPFVT_01_tbl_detalle_fill_rate[[#This Row],[dev_cantidad]]</f>
        <v>1</v>
      </c>
      <c r="P12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3" s="1">
        <f>+Tabla__192.168.1.8_POSEIDONSQL_APPFVT_01_tbl_detalle_fill_rate[[#This Row],[Cumpl Real Unds]]-Tabla__192.168.1.8_POSEIDONSQL_APPFVT_01_tbl_detalle_fill_rate[[#This Row],[Cant Embarcada]]</f>
        <v>0</v>
      </c>
      <c r="S1263" s="1">
        <f>+IF(Tabla__192.168.1.8_POSEIDONSQL_APPFVT_01_tbl_detalle_fill_rate[[#This Row],[Pend Emb]]&gt;0,1,0)</f>
        <v>0</v>
      </c>
      <c r="T12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4" spans="1:20" x14ac:dyDescent="0.25">
      <c r="A1264">
        <v>4</v>
      </c>
      <c r="B1264" t="s">
        <v>56</v>
      </c>
      <c r="C1264">
        <v>9686854</v>
      </c>
      <c r="D1264" s="48">
        <v>43363</v>
      </c>
      <c r="E1264" s="48">
        <v>43360</v>
      </c>
      <c r="F1264" s="48">
        <v>43369</v>
      </c>
      <c r="G1264" t="s">
        <v>229</v>
      </c>
      <c r="H1264" t="s">
        <v>230</v>
      </c>
      <c r="I1264">
        <v>1</v>
      </c>
      <c r="J1264" t="s">
        <v>1729</v>
      </c>
      <c r="K1264">
        <v>1</v>
      </c>
      <c r="L1264">
        <v>1</v>
      </c>
      <c r="M1264" t="s">
        <v>420</v>
      </c>
      <c r="N1264">
        <v>0</v>
      </c>
      <c r="O1264" s="1">
        <f>+Tabla__192.168.1.8_POSEIDONSQL_APPFVT_01_tbl_detalle_fill_rate[[#This Row],[emb_cantidad]]-Tabla__192.168.1.8_POSEIDONSQL_APPFVT_01_tbl_detalle_fill_rate[[#This Row],[dev_cantidad]]</f>
        <v>1</v>
      </c>
      <c r="P12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4" s="1">
        <f>+Tabla__192.168.1.8_POSEIDONSQL_APPFVT_01_tbl_detalle_fill_rate[[#This Row],[Cumpl Real Unds]]-Tabla__192.168.1.8_POSEIDONSQL_APPFVT_01_tbl_detalle_fill_rate[[#This Row],[Cant Embarcada]]</f>
        <v>0</v>
      </c>
      <c r="S1264" s="1">
        <f>+IF(Tabla__192.168.1.8_POSEIDONSQL_APPFVT_01_tbl_detalle_fill_rate[[#This Row],[Pend Emb]]&gt;0,1,0)</f>
        <v>0</v>
      </c>
      <c r="T12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5" spans="1:20" x14ac:dyDescent="0.25">
      <c r="A1265">
        <v>4</v>
      </c>
      <c r="B1265" t="s">
        <v>56</v>
      </c>
      <c r="C1265">
        <v>9687404</v>
      </c>
      <c r="D1265" s="48">
        <v>43363</v>
      </c>
      <c r="E1265" s="48">
        <v>43360</v>
      </c>
      <c r="F1265" s="48">
        <v>43369</v>
      </c>
      <c r="G1265" t="s">
        <v>780</v>
      </c>
      <c r="H1265" t="s">
        <v>781</v>
      </c>
      <c r="I1265">
        <v>1</v>
      </c>
      <c r="J1265" t="s">
        <v>1366</v>
      </c>
      <c r="K1265">
        <v>1</v>
      </c>
      <c r="L1265">
        <v>1</v>
      </c>
      <c r="M1265" t="s">
        <v>420</v>
      </c>
      <c r="N1265">
        <v>0</v>
      </c>
      <c r="O1265" s="1">
        <f>+Tabla__192.168.1.8_POSEIDONSQL_APPFVT_01_tbl_detalle_fill_rate[[#This Row],[emb_cantidad]]-Tabla__192.168.1.8_POSEIDONSQL_APPFVT_01_tbl_detalle_fill_rate[[#This Row],[dev_cantidad]]</f>
        <v>1</v>
      </c>
      <c r="P12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5" s="1">
        <f>+Tabla__192.168.1.8_POSEIDONSQL_APPFVT_01_tbl_detalle_fill_rate[[#This Row],[Cumpl Real Unds]]-Tabla__192.168.1.8_POSEIDONSQL_APPFVT_01_tbl_detalle_fill_rate[[#This Row],[Cant Embarcada]]</f>
        <v>0</v>
      </c>
      <c r="S1265" s="1">
        <f>+IF(Tabla__192.168.1.8_POSEIDONSQL_APPFVT_01_tbl_detalle_fill_rate[[#This Row],[Pend Emb]]&gt;0,1,0)</f>
        <v>0</v>
      </c>
      <c r="T12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6" spans="1:20" x14ac:dyDescent="0.25">
      <c r="A1266">
        <v>4</v>
      </c>
      <c r="B1266" t="s">
        <v>56</v>
      </c>
      <c r="C1266">
        <v>9688057</v>
      </c>
      <c r="D1266" s="48">
        <v>43363</v>
      </c>
      <c r="E1266" s="48">
        <v>43361</v>
      </c>
      <c r="F1266" s="48">
        <v>43369</v>
      </c>
      <c r="G1266" t="s">
        <v>102</v>
      </c>
      <c r="H1266" t="s">
        <v>103</v>
      </c>
      <c r="I1266">
        <v>1</v>
      </c>
      <c r="J1266" t="s">
        <v>1730</v>
      </c>
      <c r="K1266">
        <v>1</v>
      </c>
      <c r="L1266">
        <v>1</v>
      </c>
      <c r="M1266" t="s">
        <v>420</v>
      </c>
      <c r="N1266">
        <v>0</v>
      </c>
      <c r="O1266" s="1">
        <f>+Tabla__192.168.1.8_POSEIDONSQL_APPFVT_01_tbl_detalle_fill_rate[[#This Row],[emb_cantidad]]-Tabla__192.168.1.8_POSEIDONSQL_APPFVT_01_tbl_detalle_fill_rate[[#This Row],[dev_cantidad]]</f>
        <v>1</v>
      </c>
      <c r="P12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6" s="1">
        <f>+Tabla__192.168.1.8_POSEIDONSQL_APPFVT_01_tbl_detalle_fill_rate[[#This Row],[Cumpl Real Unds]]-Tabla__192.168.1.8_POSEIDONSQL_APPFVT_01_tbl_detalle_fill_rate[[#This Row],[Cant Embarcada]]</f>
        <v>0</v>
      </c>
      <c r="S1266" s="1">
        <f>+IF(Tabla__192.168.1.8_POSEIDONSQL_APPFVT_01_tbl_detalle_fill_rate[[#This Row],[Pend Emb]]&gt;0,1,0)</f>
        <v>0</v>
      </c>
      <c r="T12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7" spans="1:20" x14ac:dyDescent="0.25">
      <c r="A1267">
        <v>4</v>
      </c>
      <c r="B1267" t="s">
        <v>56</v>
      </c>
      <c r="C1267">
        <v>9688354</v>
      </c>
      <c r="D1267" s="48">
        <v>43363</v>
      </c>
      <c r="E1267" s="48">
        <v>43361</v>
      </c>
      <c r="F1267" s="48">
        <v>43369</v>
      </c>
      <c r="G1267" t="s">
        <v>80</v>
      </c>
      <c r="H1267" t="s">
        <v>81</v>
      </c>
      <c r="I1267">
        <v>1</v>
      </c>
      <c r="J1267" t="s">
        <v>1731</v>
      </c>
      <c r="K1267">
        <v>1</v>
      </c>
      <c r="L1267">
        <v>1</v>
      </c>
      <c r="M1267" t="s">
        <v>420</v>
      </c>
      <c r="N1267">
        <v>0</v>
      </c>
      <c r="O1267" s="1">
        <f>+Tabla__192.168.1.8_POSEIDONSQL_APPFVT_01_tbl_detalle_fill_rate[[#This Row],[emb_cantidad]]-Tabla__192.168.1.8_POSEIDONSQL_APPFVT_01_tbl_detalle_fill_rate[[#This Row],[dev_cantidad]]</f>
        <v>1</v>
      </c>
      <c r="P12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7" s="1">
        <f>+Tabla__192.168.1.8_POSEIDONSQL_APPFVT_01_tbl_detalle_fill_rate[[#This Row],[Cumpl Real Unds]]-Tabla__192.168.1.8_POSEIDONSQL_APPFVT_01_tbl_detalle_fill_rate[[#This Row],[Cant Embarcada]]</f>
        <v>0</v>
      </c>
      <c r="S1267" s="1">
        <f>+IF(Tabla__192.168.1.8_POSEIDONSQL_APPFVT_01_tbl_detalle_fill_rate[[#This Row],[Pend Emb]]&gt;0,1,0)</f>
        <v>0</v>
      </c>
      <c r="T12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8" spans="1:20" x14ac:dyDescent="0.25">
      <c r="A1268">
        <v>4</v>
      </c>
      <c r="B1268" t="s">
        <v>56</v>
      </c>
      <c r="C1268">
        <v>9688707</v>
      </c>
      <c r="D1268" s="48">
        <v>43363</v>
      </c>
      <c r="E1268" s="48">
        <v>43362</v>
      </c>
      <c r="F1268" s="48">
        <v>43369</v>
      </c>
      <c r="G1268" t="s">
        <v>538</v>
      </c>
      <c r="H1268" t="s">
        <v>539</v>
      </c>
      <c r="I1268">
        <v>1</v>
      </c>
      <c r="J1268" t="s">
        <v>1722</v>
      </c>
      <c r="K1268">
        <v>1</v>
      </c>
      <c r="L1268">
        <v>1</v>
      </c>
      <c r="M1268" t="s">
        <v>420</v>
      </c>
      <c r="N1268">
        <v>0</v>
      </c>
      <c r="O1268" s="1">
        <f>+Tabla__192.168.1.8_POSEIDONSQL_APPFVT_01_tbl_detalle_fill_rate[[#This Row],[emb_cantidad]]-Tabla__192.168.1.8_POSEIDONSQL_APPFVT_01_tbl_detalle_fill_rate[[#This Row],[dev_cantidad]]</f>
        <v>1</v>
      </c>
      <c r="P12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8" s="1">
        <f>+Tabla__192.168.1.8_POSEIDONSQL_APPFVT_01_tbl_detalle_fill_rate[[#This Row],[Cumpl Real Unds]]-Tabla__192.168.1.8_POSEIDONSQL_APPFVT_01_tbl_detalle_fill_rate[[#This Row],[Cant Embarcada]]</f>
        <v>0</v>
      </c>
      <c r="S1268" s="1">
        <f>+IF(Tabla__192.168.1.8_POSEIDONSQL_APPFVT_01_tbl_detalle_fill_rate[[#This Row],[Pend Emb]]&gt;0,1,0)</f>
        <v>0</v>
      </c>
      <c r="T12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69" spans="1:20" x14ac:dyDescent="0.25">
      <c r="A1269">
        <v>4</v>
      </c>
      <c r="B1269" t="s">
        <v>56</v>
      </c>
      <c r="C1269">
        <v>9688846</v>
      </c>
      <c r="D1269" s="48">
        <v>43363</v>
      </c>
      <c r="E1269" s="48">
        <v>43362</v>
      </c>
      <c r="F1269" s="48">
        <v>43369</v>
      </c>
      <c r="G1269" t="s">
        <v>90</v>
      </c>
      <c r="H1269" t="s">
        <v>91</v>
      </c>
      <c r="I1269">
        <v>1</v>
      </c>
      <c r="J1269" t="s">
        <v>1723</v>
      </c>
      <c r="K1269">
        <v>1</v>
      </c>
      <c r="L1269">
        <v>1</v>
      </c>
      <c r="M1269" t="s">
        <v>420</v>
      </c>
      <c r="N1269">
        <v>0</v>
      </c>
      <c r="O1269" s="1">
        <f>+Tabla__192.168.1.8_POSEIDONSQL_APPFVT_01_tbl_detalle_fill_rate[[#This Row],[emb_cantidad]]-Tabla__192.168.1.8_POSEIDONSQL_APPFVT_01_tbl_detalle_fill_rate[[#This Row],[dev_cantidad]]</f>
        <v>1</v>
      </c>
      <c r="P12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69" s="1">
        <f>+Tabla__192.168.1.8_POSEIDONSQL_APPFVT_01_tbl_detalle_fill_rate[[#This Row],[Cumpl Real Unds]]-Tabla__192.168.1.8_POSEIDONSQL_APPFVT_01_tbl_detalle_fill_rate[[#This Row],[Cant Embarcada]]</f>
        <v>0</v>
      </c>
      <c r="S1269" s="1">
        <f>+IF(Tabla__192.168.1.8_POSEIDONSQL_APPFVT_01_tbl_detalle_fill_rate[[#This Row],[Pend Emb]]&gt;0,1,0)</f>
        <v>0</v>
      </c>
      <c r="T12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0" spans="1:20" x14ac:dyDescent="0.25">
      <c r="A1270">
        <v>4</v>
      </c>
      <c r="B1270" t="s">
        <v>56</v>
      </c>
      <c r="C1270">
        <v>9688982</v>
      </c>
      <c r="D1270" s="48">
        <v>43363</v>
      </c>
      <c r="E1270" s="48">
        <v>43362</v>
      </c>
      <c r="F1270" s="48">
        <v>43369</v>
      </c>
      <c r="G1270" t="s">
        <v>90</v>
      </c>
      <c r="H1270" t="s">
        <v>91</v>
      </c>
      <c r="I1270">
        <v>1</v>
      </c>
      <c r="J1270" t="s">
        <v>1724</v>
      </c>
      <c r="K1270">
        <v>1</v>
      </c>
      <c r="L1270">
        <v>1</v>
      </c>
      <c r="M1270" t="s">
        <v>420</v>
      </c>
      <c r="N1270">
        <v>0</v>
      </c>
      <c r="O1270" s="1">
        <f>+Tabla__192.168.1.8_POSEIDONSQL_APPFVT_01_tbl_detalle_fill_rate[[#This Row],[emb_cantidad]]-Tabla__192.168.1.8_POSEIDONSQL_APPFVT_01_tbl_detalle_fill_rate[[#This Row],[dev_cantidad]]</f>
        <v>1</v>
      </c>
      <c r="P12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0" s="1">
        <f>+Tabla__192.168.1.8_POSEIDONSQL_APPFVT_01_tbl_detalle_fill_rate[[#This Row],[Cumpl Real Unds]]-Tabla__192.168.1.8_POSEIDONSQL_APPFVT_01_tbl_detalle_fill_rate[[#This Row],[Cant Embarcada]]</f>
        <v>0</v>
      </c>
      <c r="S1270" s="1">
        <f>+IF(Tabla__192.168.1.8_POSEIDONSQL_APPFVT_01_tbl_detalle_fill_rate[[#This Row],[Pend Emb]]&gt;0,1,0)</f>
        <v>0</v>
      </c>
      <c r="T12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1" spans="1:20" x14ac:dyDescent="0.25">
      <c r="A1271">
        <v>4</v>
      </c>
      <c r="B1271" t="s">
        <v>56</v>
      </c>
      <c r="C1271">
        <v>9689674</v>
      </c>
      <c r="D1271" s="48">
        <v>43363</v>
      </c>
      <c r="E1271" s="48">
        <v>43363</v>
      </c>
      <c r="F1271" s="48">
        <v>43369</v>
      </c>
      <c r="G1271" t="s">
        <v>102</v>
      </c>
      <c r="H1271" t="s">
        <v>103</v>
      </c>
      <c r="I1271">
        <v>1</v>
      </c>
      <c r="J1271" t="s">
        <v>1725</v>
      </c>
      <c r="K1271">
        <v>1</v>
      </c>
      <c r="L1271">
        <v>1</v>
      </c>
      <c r="M1271" t="s">
        <v>420</v>
      </c>
      <c r="N1271">
        <v>0</v>
      </c>
      <c r="O1271" s="1">
        <f>+Tabla__192.168.1.8_POSEIDONSQL_APPFVT_01_tbl_detalle_fill_rate[[#This Row],[emb_cantidad]]-Tabla__192.168.1.8_POSEIDONSQL_APPFVT_01_tbl_detalle_fill_rate[[#This Row],[dev_cantidad]]</f>
        <v>1</v>
      </c>
      <c r="P12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1" s="1">
        <f>+Tabla__192.168.1.8_POSEIDONSQL_APPFVT_01_tbl_detalle_fill_rate[[#This Row],[Cumpl Real Unds]]-Tabla__192.168.1.8_POSEIDONSQL_APPFVT_01_tbl_detalle_fill_rate[[#This Row],[Cant Embarcada]]</f>
        <v>0</v>
      </c>
      <c r="S1271" s="1">
        <f>+IF(Tabla__192.168.1.8_POSEIDONSQL_APPFVT_01_tbl_detalle_fill_rate[[#This Row],[Pend Emb]]&gt;0,1,0)</f>
        <v>0</v>
      </c>
      <c r="T12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2" spans="1:20" x14ac:dyDescent="0.25">
      <c r="A1272">
        <v>4</v>
      </c>
      <c r="B1272" t="s">
        <v>56</v>
      </c>
      <c r="C1272">
        <v>9689724</v>
      </c>
      <c r="D1272" s="48">
        <v>43363</v>
      </c>
      <c r="E1272" s="48">
        <v>43363</v>
      </c>
      <c r="F1272" s="48">
        <v>43369</v>
      </c>
      <c r="G1272" t="s">
        <v>124</v>
      </c>
      <c r="H1272" t="s">
        <v>125</v>
      </c>
      <c r="I1272">
        <v>1</v>
      </c>
      <c r="J1272" t="s">
        <v>1726</v>
      </c>
      <c r="K1272">
        <v>1</v>
      </c>
      <c r="L1272">
        <v>1</v>
      </c>
      <c r="M1272" t="s">
        <v>420</v>
      </c>
      <c r="N1272">
        <v>0</v>
      </c>
      <c r="O1272" s="1">
        <f>+Tabla__192.168.1.8_POSEIDONSQL_APPFVT_01_tbl_detalle_fill_rate[[#This Row],[emb_cantidad]]-Tabla__192.168.1.8_POSEIDONSQL_APPFVT_01_tbl_detalle_fill_rate[[#This Row],[dev_cantidad]]</f>
        <v>1</v>
      </c>
      <c r="P12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2" s="1">
        <f>+Tabla__192.168.1.8_POSEIDONSQL_APPFVT_01_tbl_detalle_fill_rate[[#This Row],[Cumpl Real Unds]]-Tabla__192.168.1.8_POSEIDONSQL_APPFVT_01_tbl_detalle_fill_rate[[#This Row],[Cant Embarcada]]</f>
        <v>0</v>
      </c>
      <c r="S1272" s="1">
        <f>+IF(Tabla__192.168.1.8_POSEIDONSQL_APPFVT_01_tbl_detalle_fill_rate[[#This Row],[Pend Emb]]&gt;0,1,0)</f>
        <v>0</v>
      </c>
      <c r="T12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3" spans="1:20" x14ac:dyDescent="0.25">
      <c r="A1273">
        <v>4</v>
      </c>
      <c r="B1273" t="s">
        <v>56</v>
      </c>
      <c r="C1273">
        <v>9690084</v>
      </c>
      <c r="D1273" s="48">
        <v>43364</v>
      </c>
      <c r="E1273" s="48">
        <v>43363</v>
      </c>
      <c r="F1273" s="48">
        <v>43369</v>
      </c>
      <c r="G1273" t="s">
        <v>124</v>
      </c>
      <c r="H1273" t="s">
        <v>125</v>
      </c>
      <c r="I1273">
        <v>1</v>
      </c>
      <c r="J1273" t="s">
        <v>917</v>
      </c>
      <c r="K1273">
        <v>1</v>
      </c>
      <c r="L1273">
        <v>1</v>
      </c>
      <c r="M1273" t="s">
        <v>420</v>
      </c>
      <c r="N1273">
        <v>0</v>
      </c>
      <c r="O1273" s="1">
        <f>+Tabla__192.168.1.8_POSEIDONSQL_APPFVT_01_tbl_detalle_fill_rate[[#This Row],[emb_cantidad]]-Tabla__192.168.1.8_POSEIDONSQL_APPFVT_01_tbl_detalle_fill_rate[[#This Row],[dev_cantidad]]</f>
        <v>1</v>
      </c>
      <c r="P12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3" s="1">
        <f>+Tabla__192.168.1.8_POSEIDONSQL_APPFVT_01_tbl_detalle_fill_rate[[#This Row],[Cumpl Real Unds]]-Tabla__192.168.1.8_POSEIDONSQL_APPFVT_01_tbl_detalle_fill_rate[[#This Row],[Cant Embarcada]]</f>
        <v>0</v>
      </c>
      <c r="S1273" s="1">
        <f>+IF(Tabla__192.168.1.8_POSEIDONSQL_APPFVT_01_tbl_detalle_fill_rate[[#This Row],[Pend Emb]]&gt;0,1,0)</f>
        <v>0</v>
      </c>
      <c r="T12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4" spans="1:20" x14ac:dyDescent="0.25">
      <c r="A1274">
        <v>4</v>
      </c>
      <c r="B1274" t="s">
        <v>56</v>
      </c>
      <c r="C1274">
        <v>9690267</v>
      </c>
      <c r="D1274" s="48">
        <v>43364</v>
      </c>
      <c r="E1274" s="48">
        <v>43363</v>
      </c>
      <c r="F1274" s="48">
        <v>43369</v>
      </c>
      <c r="G1274" t="s">
        <v>106</v>
      </c>
      <c r="H1274" t="s">
        <v>107</v>
      </c>
      <c r="I1274">
        <v>1</v>
      </c>
      <c r="J1274" t="s">
        <v>914</v>
      </c>
      <c r="K1274">
        <v>1</v>
      </c>
      <c r="L1274">
        <v>1</v>
      </c>
      <c r="M1274" t="s">
        <v>420</v>
      </c>
      <c r="N1274">
        <v>0</v>
      </c>
      <c r="O1274" s="1">
        <f>+Tabla__192.168.1.8_POSEIDONSQL_APPFVT_01_tbl_detalle_fill_rate[[#This Row],[emb_cantidad]]-Tabla__192.168.1.8_POSEIDONSQL_APPFVT_01_tbl_detalle_fill_rate[[#This Row],[dev_cantidad]]</f>
        <v>1</v>
      </c>
      <c r="P12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4" s="1">
        <f>+Tabla__192.168.1.8_POSEIDONSQL_APPFVT_01_tbl_detalle_fill_rate[[#This Row],[Cumpl Real Unds]]-Tabla__192.168.1.8_POSEIDONSQL_APPFVT_01_tbl_detalle_fill_rate[[#This Row],[Cant Embarcada]]</f>
        <v>0</v>
      </c>
      <c r="S1274" s="1">
        <f>+IF(Tabla__192.168.1.8_POSEIDONSQL_APPFVT_01_tbl_detalle_fill_rate[[#This Row],[Pend Emb]]&gt;0,1,0)</f>
        <v>0</v>
      </c>
      <c r="T12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5" spans="1:20" x14ac:dyDescent="0.25">
      <c r="A1275">
        <v>4</v>
      </c>
      <c r="B1275" t="s">
        <v>56</v>
      </c>
      <c r="C1275">
        <v>9690704</v>
      </c>
      <c r="D1275" s="48">
        <v>43364</v>
      </c>
      <c r="E1275" s="48">
        <v>43363</v>
      </c>
      <c r="F1275" s="48">
        <v>43369</v>
      </c>
      <c r="G1275" t="s">
        <v>538</v>
      </c>
      <c r="H1275" t="s">
        <v>539</v>
      </c>
      <c r="I1275">
        <v>1</v>
      </c>
      <c r="J1275" t="s">
        <v>915</v>
      </c>
      <c r="K1275">
        <v>1</v>
      </c>
      <c r="L1275">
        <v>1</v>
      </c>
      <c r="M1275" t="s">
        <v>420</v>
      </c>
      <c r="N1275">
        <v>0</v>
      </c>
      <c r="O1275" s="1">
        <f>+Tabla__192.168.1.8_POSEIDONSQL_APPFVT_01_tbl_detalle_fill_rate[[#This Row],[emb_cantidad]]-Tabla__192.168.1.8_POSEIDONSQL_APPFVT_01_tbl_detalle_fill_rate[[#This Row],[dev_cantidad]]</f>
        <v>1</v>
      </c>
      <c r="P12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5" s="1">
        <f>+Tabla__192.168.1.8_POSEIDONSQL_APPFVT_01_tbl_detalle_fill_rate[[#This Row],[Cumpl Real Unds]]-Tabla__192.168.1.8_POSEIDONSQL_APPFVT_01_tbl_detalle_fill_rate[[#This Row],[Cant Embarcada]]</f>
        <v>0</v>
      </c>
      <c r="S1275" s="1">
        <f>+IF(Tabla__192.168.1.8_POSEIDONSQL_APPFVT_01_tbl_detalle_fill_rate[[#This Row],[Pend Emb]]&gt;0,1,0)</f>
        <v>0</v>
      </c>
      <c r="T12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6" spans="1:20" x14ac:dyDescent="0.25">
      <c r="A1276">
        <v>4</v>
      </c>
      <c r="B1276" t="s">
        <v>56</v>
      </c>
      <c r="C1276">
        <v>9691769</v>
      </c>
      <c r="D1276" s="48">
        <v>43364</v>
      </c>
      <c r="E1276" s="48">
        <v>43363</v>
      </c>
      <c r="F1276" s="48">
        <v>43369</v>
      </c>
      <c r="G1276" t="s">
        <v>78</v>
      </c>
      <c r="H1276" t="s">
        <v>79</v>
      </c>
      <c r="I1276">
        <v>1</v>
      </c>
      <c r="J1276" t="s">
        <v>916</v>
      </c>
      <c r="K1276">
        <v>1</v>
      </c>
      <c r="L1276">
        <v>1</v>
      </c>
      <c r="M1276" t="s">
        <v>420</v>
      </c>
      <c r="N1276">
        <v>0</v>
      </c>
      <c r="O1276" s="1">
        <f>+Tabla__192.168.1.8_POSEIDONSQL_APPFVT_01_tbl_detalle_fill_rate[[#This Row],[emb_cantidad]]-Tabla__192.168.1.8_POSEIDONSQL_APPFVT_01_tbl_detalle_fill_rate[[#This Row],[dev_cantidad]]</f>
        <v>1</v>
      </c>
      <c r="P12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6" s="1">
        <f>+Tabla__192.168.1.8_POSEIDONSQL_APPFVT_01_tbl_detalle_fill_rate[[#This Row],[Cumpl Real Unds]]-Tabla__192.168.1.8_POSEIDONSQL_APPFVT_01_tbl_detalle_fill_rate[[#This Row],[Cant Embarcada]]</f>
        <v>0</v>
      </c>
      <c r="S1276" s="1">
        <f>+IF(Tabla__192.168.1.8_POSEIDONSQL_APPFVT_01_tbl_detalle_fill_rate[[#This Row],[Pend Emb]]&gt;0,1,0)</f>
        <v>0</v>
      </c>
      <c r="T12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7" spans="1:20" x14ac:dyDescent="0.25">
      <c r="A1277">
        <v>4</v>
      </c>
      <c r="B1277" t="s">
        <v>56</v>
      </c>
      <c r="C1277">
        <v>9704686</v>
      </c>
      <c r="D1277" s="48">
        <v>43369</v>
      </c>
      <c r="E1277" s="48">
        <v>43368</v>
      </c>
      <c r="F1277" s="48">
        <v>43353</v>
      </c>
      <c r="G1277" t="s">
        <v>538</v>
      </c>
      <c r="H1277" t="s">
        <v>539</v>
      </c>
      <c r="I1277">
        <v>1</v>
      </c>
      <c r="J1277" t="s">
        <v>1529</v>
      </c>
      <c r="K1277">
        <v>1</v>
      </c>
      <c r="L1277">
        <v>1</v>
      </c>
      <c r="M1277" t="s">
        <v>421</v>
      </c>
      <c r="N1277">
        <v>0</v>
      </c>
      <c r="O1277" s="1">
        <f>+Tabla__192.168.1.8_POSEIDONSQL_APPFVT_01_tbl_detalle_fill_rate[[#This Row],[emb_cantidad]]-Tabla__192.168.1.8_POSEIDONSQL_APPFVT_01_tbl_detalle_fill_rate[[#This Row],[dev_cantidad]]</f>
        <v>1</v>
      </c>
      <c r="P12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77" s="1">
        <f>+Tabla__192.168.1.8_POSEIDONSQL_APPFVT_01_tbl_detalle_fill_rate[[#This Row],[Cumpl Real Unds]]-Tabla__192.168.1.8_POSEIDONSQL_APPFVT_01_tbl_detalle_fill_rate[[#This Row],[Cant Embarcada]]</f>
        <v>0</v>
      </c>
      <c r="S1277" s="1">
        <f>+IF(Tabla__192.168.1.8_POSEIDONSQL_APPFVT_01_tbl_detalle_fill_rate[[#This Row],[Pend Emb]]&gt;0,1,0)</f>
        <v>0</v>
      </c>
      <c r="T12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8" spans="1:20" x14ac:dyDescent="0.25">
      <c r="A1278">
        <v>5</v>
      </c>
      <c r="B1278" t="s">
        <v>57</v>
      </c>
      <c r="C1278">
        <v>6503981973</v>
      </c>
      <c r="D1278" s="48">
        <v>1</v>
      </c>
      <c r="E1278" s="48">
        <v>1</v>
      </c>
      <c r="F1278" s="48">
        <v>43343</v>
      </c>
      <c r="G1278" t="s">
        <v>271</v>
      </c>
      <c r="H1278" t="s">
        <v>272</v>
      </c>
      <c r="I1278">
        <v>10</v>
      </c>
      <c r="J1278" t="s">
        <v>49</v>
      </c>
      <c r="K1278">
        <v>10</v>
      </c>
      <c r="L1278">
        <v>20</v>
      </c>
      <c r="M1278" t="s">
        <v>1977</v>
      </c>
      <c r="N1278">
        <v>10</v>
      </c>
      <c r="O1278" s="1">
        <f>+Tabla__192.168.1.8_POSEIDONSQL_APPFVT_01_tbl_detalle_fill_rate[[#This Row],[emb_cantidad]]-Tabla__192.168.1.8_POSEIDONSQL_APPFVT_01_tbl_detalle_fill_rate[[#This Row],[dev_cantidad]]</f>
        <v>10</v>
      </c>
      <c r="P12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10</v>
      </c>
      <c r="Q12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278" s="1">
        <f>+Tabla__192.168.1.8_POSEIDONSQL_APPFVT_01_tbl_detalle_fill_rate[[#This Row],[Cumpl Real Unds]]-Tabla__192.168.1.8_POSEIDONSQL_APPFVT_01_tbl_detalle_fill_rate[[#This Row],[Cant Embarcada]]</f>
        <v>0</v>
      </c>
      <c r="S1278" s="1">
        <f>+IF(Tabla__192.168.1.8_POSEIDONSQL_APPFVT_01_tbl_detalle_fill_rate[[#This Row],[Pend Emb]]&gt;0,1,0)</f>
        <v>0</v>
      </c>
      <c r="T12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79" spans="1:20" x14ac:dyDescent="0.25">
      <c r="A1279">
        <v>5</v>
      </c>
      <c r="B1279" t="s">
        <v>57</v>
      </c>
      <c r="C1279">
        <v>6503981973</v>
      </c>
      <c r="D1279" s="48">
        <v>1</v>
      </c>
      <c r="E1279" s="48">
        <v>1</v>
      </c>
      <c r="F1279" s="48">
        <v>43343</v>
      </c>
      <c r="G1279" t="s">
        <v>279</v>
      </c>
      <c r="H1279" t="s">
        <v>280</v>
      </c>
      <c r="I1279">
        <v>5</v>
      </c>
      <c r="J1279" t="s">
        <v>49</v>
      </c>
      <c r="K1279">
        <v>5</v>
      </c>
      <c r="L1279">
        <v>10</v>
      </c>
      <c r="M1279" t="s">
        <v>1977</v>
      </c>
      <c r="N1279">
        <v>5</v>
      </c>
      <c r="O1279" s="1">
        <f>+Tabla__192.168.1.8_POSEIDONSQL_APPFVT_01_tbl_detalle_fill_rate[[#This Row],[emb_cantidad]]-Tabla__192.168.1.8_POSEIDONSQL_APPFVT_01_tbl_detalle_fill_rate[[#This Row],[dev_cantidad]]</f>
        <v>5</v>
      </c>
      <c r="P12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5</v>
      </c>
      <c r="Q12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1279" s="1">
        <f>+Tabla__192.168.1.8_POSEIDONSQL_APPFVT_01_tbl_detalle_fill_rate[[#This Row],[Cumpl Real Unds]]-Tabla__192.168.1.8_POSEIDONSQL_APPFVT_01_tbl_detalle_fill_rate[[#This Row],[Cant Embarcada]]</f>
        <v>0</v>
      </c>
      <c r="S1279" s="1">
        <f>+IF(Tabla__192.168.1.8_POSEIDONSQL_APPFVT_01_tbl_detalle_fill_rate[[#This Row],[Pend Emb]]&gt;0,1,0)</f>
        <v>0</v>
      </c>
      <c r="T12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0" spans="1:20" x14ac:dyDescent="0.25">
      <c r="A1280">
        <v>5</v>
      </c>
      <c r="B1280" t="s">
        <v>57</v>
      </c>
      <c r="C1280">
        <v>6503981973</v>
      </c>
      <c r="D1280" s="48">
        <v>1</v>
      </c>
      <c r="E1280" s="48">
        <v>1</v>
      </c>
      <c r="F1280" s="48">
        <v>43343</v>
      </c>
      <c r="G1280" t="s">
        <v>281</v>
      </c>
      <c r="H1280" t="s">
        <v>282</v>
      </c>
      <c r="I1280">
        <v>5</v>
      </c>
      <c r="J1280" t="s">
        <v>49</v>
      </c>
      <c r="K1280">
        <v>0</v>
      </c>
      <c r="L1280">
        <v>0</v>
      </c>
      <c r="M1280" t="s">
        <v>1977</v>
      </c>
      <c r="N1280">
        <v>0</v>
      </c>
      <c r="O1280" s="1">
        <f>+Tabla__192.168.1.8_POSEIDONSQL_APPFVT_01_tbl_detalle_fill_rate[[#This Row],[emb_cantidad]]-Tabla__192.168.1.8_POSEIDONSQL_APPFVT_01_tbl_detalle_fill_rate[[#This Row],[dev_cantidad]]</f>
        <v>0</v>
      </c>
      <c r="P12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280" s="1">
        <f>+Tabla__192.168.1.8_POSEIDONSQL_APPFVT_01_tbl_detalle_fill_rate[[#This Row],[Cumpl Real Unds]]-Tabla__192.168.1.8_POSEIDONSQL_APPFVT_01_tbl_detalle_fill_rate[[#This Row],[Cant Embarcada]]</f>
        <v>0</v>
      </c>
      <c r="S1280" s="1">
        <f>+IF(Tabla__192.168.1.8_POSEIDONSQL_APPFVT_01_tbl_detalle_fill_rate[[#This Row],[Pend Emb]]&gt;0,1,0)</f>
        <v>0</v>
      </c>
      <c r="T12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1" spans="1:20" x14ac:dyDescent="0.25">
      <c r="A1281">
        <v>5</v>
      </c>
      <c r="B1281" t="s">
        <v>57</v>
      </c>
      <c r="C1281">
        <v>6503981973</v>
      </c>
      <c r="D1281" s="48">
        <v>1</v>
      </c>
      <c r="E1281" s="48">
        <v>1</v>
      </c>
      <c r="F1281" s="48">
        <v>43343</v>
      </c>
      <c r="G1281" t="s">
        <v>283</v>
      </c>
      <c r="H1281" t="s">
        <v>284</v>
      </c>
      <c r="I1281">
        <v>5</v>
      </c>
      <c r="J1281" t="s">
        <v>49</v>
      </c>
      <c r="K1281">
        <v>5</v>
      </c>
      <c r="L1281">
        <v>10</v>
      </c>
      <c r="M1281" t="s">
        <v>1977</v>
      </c>
      <c r="N1281">
        <v>5</v>
      </c>
      <c r="O1281" s="1">
        <f>+Tabla__192.168.1.8_POSEIDONSQL_APPFVT_01_tbl_detalle_fill_rate[[#This Row],[emb_cantidad]]-Tabla__192.168.1.8_POSEIDONSQL_APPFVT_01_tbl_detalle_fill_rate[[#This Row],[dev_cantidad]]</f>
        <v>5</v>
      </c>
      <c r="P12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5</v>
      </c>
      <c r="Q12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1281" s="1">
        <f>+Tabla__192.168.1.8_POSEIDONSQL_APPFVT_01_tbl_detalle_fill_rate[[#This Row],[Cumpl Real Unds]]-Tabla__192.168.1.8_POSEIDONSQL_APPFVT_01_tbl_detalle_fill_rate[[#This Row],[Cant Embarcada]]</f>
        <v>0</v>
      </c>
      <c r="S1281" s="1">
        <f>+IF(Tabla__192.168.1.8_POSEIDONSQL_APPFVT_01_tbl_detalle_fill_rate[[#This Row],[Pend Emb]]&gt;0,1,0)</f>
        <v>0</v>
      </c>
      <c r="T12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2" spans="1:20" x14ac:dyDescent="0.25">
      <c r="A1282">
        <v>5</v>
      </c>
      <c r="B1282" t="s">
        <v>57</v>
      </c>
      <c r="C1282">
        <v>6503981973</v>
      </c>
      <c r="D1282" s="48">
        <v>1</v>
      </c>
      <c r="E1282" s="48">
        <v>1</v>
      </c>
      <c r="F1282" s="48">
        <v>43343</v>
      </c>
      <c r="G1282" t="s">
        <v>285</v>
      </c>
      <c r="H1282" t="s">
        <v>286</v>
      </c>
      <c r="I1282">
        <v>5</v>
      </c>
      <c r="J1282" t="s">
        <v>49</v>
      </c>
      <c r="K1282">
        <v>5</v>
      </c>
      <c r="L1282">
        <v>10</v>
      </c>
      <c r="M1282" t="s">
        <v>1977</v>
      </c>
      <c r="N1282">
        <v>5</v>
      </c>
      <c r="O1282" s="1">
        <f>+Tabla__192.168.1.8_POSEIDONSQL_APPFVT_01_tbl_detalle_fill_rate[[#This Row],[emb_cantidad]]-Tabla__192.168.1.8_POSEIDONSQL_APPFVT_01_tbl_detalle_fill_rate[[#This Row],[dev_cantidad]]</f>
        <v>5</v>
      </c>
      <c r="P12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5</v>
      </c>
      <c r="Q12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1282" s="1">
        <f>+Tabla__192.168.1.8_POSEIDONSQL_APPFVT_01_tbl_detalle_fill_rate[[#This Row],[Cumpl Real Unds]]-Tabla__192.168.1.8_POSEIDONSQL_APPFVT_01_tbl_detalle_fill_rate[[#This Row],[Cant Embarcada]]</f>
        <v>0</v>
      </c>
      <c r="S1282" s="1">
        <f>+IF(Tabla__192.168.1.8_POSEIDONSQL_APPFVT_01_tbl_detalle_fill_rate[[#This Row],[Pend Emb]]&gt;0,1,0)</f>
        <v>0</v>
      </c>
      <c r="T12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3" spans="1:20" x14ac:dyDescent="0.25">
      <c r="A1283">
        <v>5</v>
      </c>
      <c r="B1283" t="s">
        <v>57</v>
      </c>
      <c r="C1283">
        <v>6503981973</v>
      </c>
      <c r="D1283" s="48">
        <v>1</v>
      </c>
      <c r="E1283" s="48">
        <v>1</v>
      </c>
      <c r="F1283" s="48">
        <v>43343</v>
      </c>
      <c r="G1283" t="s">
        <v>1373</v>
      </c>
      <c r="H1283" t="s">
        <v>1374</v>
      </c>
      <c r="I1283">
        <v>10</v>
      </c>
      <c r="J1283" t="s">
        <v>49</v>
      </c>
      <c r="K1283">
        <v>0</v>
      </c>
      <c r="L1283">
        <v>0</v>
      </c>
      <c r="M1283" t="s">
        <v>1977</v>
      </c>
      <c r="N1283">
        <v>0</v>
      </c>
      <c r="O1283" s="1">
        <f>+Tabla__192.168.1.8_POSEIDONSQL_APPFVT_01_tbl_detalle_fill_rate[[#This Row],[emb_cantidad]]-Tabla__192.168.1.8_POSEIDONSQL_APPFVT_01_tbl_detalle_fill_rate[[#This Row],[dev_cantidad]]</f>
        <v>0</v>
      </c>
      <c r="P12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283" s="1">
        <f>+Tabla__192.168.1.8_POSEIDONSQL_APPFVT_01_tbl_detalle_fill_rate[[#This Row],[Cumpl Real Unds]]-Tabla__192.168.1.8_POSEIDONSQL_APPFVT_01_tbl_detalle_fill_rate[[#This Row],[Cant Embarcada]]</f>
        <v>0</v>
      </c>
      <c r="S1283" s="1">
        <f>+IF(Tabla__192.168.1.8_POSEIDONSQL_APPFVT_01_tbl_detalle_fill_rate[[#This Row],[Pend Emb]]&gt;0,1,0)</f>
        <v>0</v>
      </c>
      <c r="T12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4" spans="1:20" x14ac:dyDescent="0.25">
      <c r="A1284">
        <v>5</v>
      </c>
      <c r="B1284" t="s">
        <v>57</v>
      </c>
      <c r="C1284">
        <v>6504005711</v>
      </c>
      <c r="D1284" s="48">
        <v>43333</v>
      </c>
      <c r="E1284" s="48">
        <v>43332</v>
      </c>
      <c r="F1284" s="48">
        <v>43339</v>
      </c>
      <c r="G1284" t="s">
        <v>234</v>
      </c>
      <c r="H1284" t="s">
        <v>235</v>
      </c>
      <c r="I1284">
        <v>1</v>
      </c>
      <c r="J1284" t="s">
        <v>49</v>
      </c>
      <c r="K1284">
        <v>1</v>
      </c>
      <c r="L1284">
        <v>1</v>
      </c>
      <c r="M1284" t="s">
        <v>1971</v>
      </c>
      <c r="N1284">
        <v>0</v>
      </c>
      <c r="O1284" s="1">
        <f>+Tabla__192.168.1.8_POSEIDONSQL_APPFVT_01_tbl_detalle_fill_rate[[#This Row],[emb_cantidad]]-Tabla__192.168.1.8_POSEIDONSQL_APPFVT_01_tbl_detalle_fill_rate[[#This Row],[dev_cantidad]]</f>
        <v>1</v>
      </c>
      <c r="P12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84" s="1">
        <f>+Tabla__192.168.1.8_POSEIDONSQL_APPFVT_01_tbl_detalle_fill_rate[[#This Row],[Cumpl Real Unds]]-Tabla__192.168.1.8_POSEIDONSQL_APPFVT_01_tbl_detalle_fill_rate[[#This Row],[Cant Embarcada]]</f>
        <v>0</v>
      </c>
      <c r="S1284" s="1">
        <f>+IF(Tabla__192.168.1.8_POSEIDONSQL_APPFVT_01_tbl_detalle_fill_rate[[#This Row],[Pend Emb]]&gt;0,1,0)</f>
        <v>0</v>
      </c>
      <c r="T12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5" spans="1:20" x14ac:dyDescent="0.25">
      <c r="A1285">
        <v>5</v>
      </c>
      <c r="B1285" t="s">
        <v>57</v>
      </c>
      <c r="C1285">
        <v>6504006072</v>
      </c>
      <c r="D1285" s="48">
        <v>43333</v>
      </c>
      <c r="E1285" s="48">
        <v>43332</v>
      </c>
      <c r="F1285" s="48">
        <v>43339</v>
      </c>
      <c r="G1285" t="s">
        <v>84</v>
      </c>
      <c r="H1285" t="s">
        <v>85</v>
      </c>
      <c r="I1285">
        <v>1</v>
      </c>
      <c r="J1285" t="s">
        <v>49</v>
      </c>
      <c r="K1285">
        <v>1</v>
      </c>
      <c r="L1285">
        <v>1</v>
      </c>
      <c r="M1285" t="s">
        <v>1971</v>
      </c>
      <c r="N1285">
        <v>0</v>
      </c>
      <c r="O1285" s="1">
        <f>+Tabla__192.168.1.8_POSEIDONSQL_APPFVT_01_tbl_detalle_fill_rate[[#This Row],[emb_cantidad]]-Tabla__192.168.1.8_POSEIDONSQL_APPFVT_01_tbl_detalle_fill_rate[[#This Row],[dev_cantidad]]</f>
        <v>1</v>
      </c>
      <c r="P12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85" s="1">
        <f>+Tabla__192.168.1.8_POSEIDONSQL_APPFVT_01_tbl_detalle_fill_rate[[#This Row],[Cumpl Real Unds]]-Tabla__192.168.1.8_POSEIDONSQL_APPFVT_01_tbl_detalle_fill_rate[[#This Row],[Cant Embarcada]]</f>
        <v>0</v>
      </c>
      <c r="S1285" s="1">
        <f>+IF(Tabla__192.168.1.8_POSEIDONSQL_APPFVT_01_tbl_detalle_fill_rate[[#This Row],[Pend Emb]]&gt;0,1,0)</f>
        <v>0</v>
      </c>
      <c r="T12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6" spans="1:20" x14ac:dyDescent="0.25">
      <c r="A1286">
        <v>5</v>
      </c>
      <c r="B1286" t="s">
        <v>57</v>
      </c>
      <c r="C1286">
        <v>6504009067</v>
      </c>
      <c r="D1286" s="48">
        <v>43334</v>
      </c>
      <c r="E1286" s="48">
        <v>43333</v>
      </c>
      <c r="F1286" s="48">
        <v>43339</v>
      </c>
      <c r="G1286" t="s">
        <v>411</v>
      </c>
      <c r="H1286" t="s">
        <v>412</v>
      </c>
      <c r="I1286">
        <v>4</v>
      </c>
      <c r="J1286" t="s">
        <v>49</v>
      </c>
      <c r="K1286">
        <v>4</v>
      </c>
      <c r="L1286">
        <v>4</v>
      </c>
      <c r="M1286" t="s">
        <v>1971</v>
      </c>
      <c r="N1286">
        <v>0</v>
      </c>
      <c r="O1286" s="1">
        <f>+Tabla__192.168.1.8_POSEIDONSQL_APPFVT_01_tbl_detalle_fill_rate[[#This Row],[emb_cantidad]]-Tabla__192.168.1.8_POSEIDONSQL_APPFVT_01_tbl_detalle_fill_rate[[#This Row],[dev_cantidad]]</f>
        <v>4</v>
      </c>
      <c r="P12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286" s="1">
        <f>+Tabla__192.168.1.8_POSEIDONSQL_APPFVT_01_tbl_detalle_fill_rate[[#This Row],[Cumpl Real Unds]]-Tabla__192.168.1.8_POSEIDONSQL_APPFVT_01_tbl_detalle_fill_rate[[#This Row],[Cant Embarcada]]</f>
        <v>0</v>
      </c>
      <c r="S1286" s="1">
        <f>+IF(Tabla__192.168.1.8_POSEIDONSQL_APPFVT_01_tbl_detalle_fill_rate[[#This Row],[Pend Emb]]&gt;0,1,0)</f>
        <v>0</v>
      </c>
      <c r="T12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7" spans="1:20" x14ac:dyDescent="0.25">
      <c r="A1287">
        <v>5</v>
      </c>
      <c r="B1287" t="s">
        <v>57</v>
      </c>
      <c r="C1287">
        <v>6504009067</v>
      </c>
      <c r="D1287" s="48">
        <v>43334</v>
      </c>
      <c r="E1287" s="48">
        <v>43333</v>
      </c>
      <c r="F1287" s="48">
        <v>43339</v>
      </c>
      <c r="G1287" t="s">
        <v>271</v>
      </c>
      <c r="H1287" t="s">
        <v>272</v>
      </c>
      <c r="I1287">
        <v>130</v>
      </c>
      <c r="J1287" t="s">
        <v>49</v>
      </c>
      <c r="K1287">
        <v>130</v>
      </c>
      <c r="L1287">
        <v>130</v>
      </c>
      <c r="M1287" t="s">
        <v>1971</v>
      </c>
      <c r="N1287">
        <v>0</v>
      </c>
      <c r="O1287" s="1">
        <f>+Tabla__192.168.1.8_POSEIDONSQL_APPFVT_01_tbl_detalle_fill_rate[[#This Row],[emb_cantidad]]-Tabla__192.168.1.8_POSEIDONSQL_APPFVT_01_tbl_detalle_fill_rate[[#This Row],[dev_cantidad]]</f>
        <v>130</v>
      </c>
      <c r="P12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130</v>
      </c>
      <c r="R1287" s="1">
        <f>+Tabla__192.168.1.8_POSEIDONSQL_APPFVT_01_tbl_detalle_fill_rate[[#This Row],[Cumpl Real Unds]]-Tabla__192.168.1.8_POSEIDONSQL_APPFVT_01_tbl_detalle_fill_rate[[#This Row],[Cant Embarcada]]</f>
        <v>0</v>
      </c>
      <c r="S1287" s="1">
        <f>+IF(Tabla__192.168.1.8_POSEIDONSQL_APPFVT_01_tbl_detalle_fill_rate[[#This Row],[Pend Emb]]&gt;0,1,0)</f>
        <v>0</v>
      </c>
      <c r="T12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8" spans="1:20" x14ac:dyDescent="0.25">
      <c r="A1288">
        <v>5</v>
      </c>
      <c r="B1288" t="s">
        <v>57</v>
      </c>
      <c r="C1288">
        <v>6504009067</v>
      </c>
      <c r="D1288" s="48">
        <v>43334</v>
      </c>
      <c r="E1288" s="48">
        <v>43333</v>
      </c>
      <c r="F1288" s="48">
        <v>43339</v>
      </c>
      <c r="G1288" t="s">
        <v>279</v>
      </c>
      <c r="H1288" t="s">
        <v>280</v>
      </c>
      <c r="I1288">
        <v>18</v>
      </c>
      <c r="J1288" t="s">
        <v>49</v>
      </c>
      <c r="K1288">
        <v>18</v>
      </c>
      <c r="L1288">
        <v>18</v>
      </c>
      <c r="M1288" t="s">
        <v>1971</v>
      </c>
      <c r="N1288">
        <v>0</v>
      </c>
      <c r="O1288" s="1">
        <f>+Tabla__192.168.1.8_POSEIDONSQL_APPFVT_01_tbl_detalle_fill_rate[[#This Row],[emb_cantidad]]-Tabla__192.168.1.8_POSEIDONSQL_APPFVT_01_tbl_detalle_fill_rate[[#This Row],[dev_cantidad]]</f>
        <v>18</v>
      </c>
      <c r="P12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288" s="1">
        <f>+Tabla__192.168.1.8_POSEIDONSQL_APPFVT_01_tbl_detalle_fill_rate[[#This Row],[Cumpl Real Unds]]-Tabla__192.168.1.8_POSEIDONSQL_APPFVT_01_tbl_detalle_fill_rate[[#This Row],[Cant Embarcada]]</f>
        <v>0</v>
      </c>
      <c r="S1288" s="1">
        <f>+IF(Tabla__192.168.1.8_POSEIDONSQL_APPFVT_01_tbl_detalle_fill_rate[[#This Row],[Pend Emb]]&gt;0,1,0)</f>
        <v>0</v>
      </c>
      <c r="T12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89" spans="1:20" x14ac:dyDescent="0.25">
      <c r="A1289">
        <v>5</v>
      </c>
      <c r="B1289" t="s">
        <v>57</v>
      </c>
      <c r="C1289">
        <v>6504009067</v>
      </c>
      <c r="D1289" s="48">
        <v>43334</v>
      </c>
      <c r="E1289" s="48">
        <v>43333</v>
      </c>
      <c r="F1289" s="48">
        <v>43339</v>
      </c>
      <c r="G1289" t="s">
        <v>257</v>
      </c>
      <c r="H1289" t="s">
        <v>258</v>
      </c>
      <c r="I1289">
        <v>19</v>
      </c>
      <c r="J1289" t="s">
        <v>49</v>
      </c>
      <c r="K1289">
        <v>19</v>
      </c>
      <c r="L1289">
        <v>19</v>
      </c>
      <c r="M1289" t="s">
        <v>1971</v>
      </c>
      <c r="N1289">
        <v>0</v>
      </c>
      <c r="O1289" s="1">
        <f>+Tabla__192.168.1.8_POSEIDONSQL_APPFVT_01_tbl_detalle_fill_rate[[#This Row],[emb_cantidad]]-Tabla__192.168.1.8_POSEIDONSQL_APPFVT_01_tbl_detalle_fill_rate[[#This Row],[dev_cantidad]]</f>
        <v>19</v>
      </c>
      <c r="P12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19</v>
      </c>
      <c r="R1289" s="1">
        <f>+Tabla__192.168.1.8_POSEIDONSQL_APPFVT_01_tbl_detalle_fill_rate[[#This Row],[Cumpl Real Unds]]-Tabla__192.168.1.8_POSEIDONSQL_APPFVT_01_tbl_detalle_fill_rate[[#This Row],[Cant Embarcada]]</f>
        <v>0</v>
      </c>
      <c r="S1289" s="1">
        <f>+IF(Tabla__192.168.1.8_POSEIDONSQL_APPFVT_01_tbl_detalle_fill_rate[[#This Row],[Pend Emb]]&gt;0,1,0)</f>
        <v>0</v>
      </c>
      <c r="T12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0" spans="1:20" x14ac:dyDescent="0.25">
      <c r="A1290">
        <v>5</v>
      </c>
      <c r="B1290" t="s">
        <v>57</v>
      </c>
      <c r="C1290">
        <v>6504009067</v>
      </c>
      <c r="D1290" s="48">
        <v>43334</v>
      </c>
      <c r="E1290" s="48">
        <v>43333</v>
      </c>
      <c r="F1290" s="48">
        <v>43339</v>
      </c>
      <c r="G1290" t="s">
        <v>283</v>
      </c>
      <c r="H1290" t="s">
        <v>284</v>
      </c>
      <c r="I1290">
        <v>4</v>
      </c>
      <c r="J1290" t="s">
        <v>49</v>
      </c>
      <c r="K1290">
        <v>4</v>
      </c>
      <c r="L1290">
        <v>4</v>
      </c>
      <c r="M1290" t="s">
        <v>1971</v>
      </c>
      <c r="N1290">
        <v>0</v>
      </c>
      <c r="O1290" s="1">
        <f>+Tabla__192.168.1.8_POSEIDONSQL_APPFVT_01_tbl_detalle_fill_rate[[#This Row],[emb_cantidad]]-Tabla__192.168.1.8_POSEIDONSQL_APPFVT_01_tbl_detalle_fill_rate[[#This Row],[dev_cantidad]]</f>
        <v>4</v>
      </c>
      <c r="P12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290" s="1">
        <f>+Tabla__192.168.1.8_POSEIDONSQL_APPFVT_01_tbl_detalle_fill_rate[[#This Row],[Cumpl Real Unds]]-Tabla__192.168.1.8_POSEIDONSQL_APPFVT_01_tbl_detalle_fill_rate[[#This Row],[Cant Embarcada]]</f>
        <v>0</v>
      </c>
      <c r="S1290" s="1">
        <f>+IF(Tabla__192.168.1.8_POSEIDONSQL_APPFVT_01_tbl_detalle_fill_rate[[#This Row],[Pend Emb]]&gt;0,1,0)</f>
        <v>0</v>
      </c>
      <c r="T12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1" spans="1:20" x14ac:dyDescent="0.25">
      <c r="A1291">
        <v>5</v>
      </c>
      <c r="B1291" t="s">
        <v>57</v>
      </c>
      <c r="C1291">
        <v>6504009067</v>
      </c>
      <c r="D1291" s="48">
        <v>43334</v>
      </c>
      <c r="E1291" s="48">
        <v>43333</v>
      </c>
      <c r="F1291" s="48">
        <v>43339</v>
      </c>
      <c r="G1291" t="s">
        <v>285</v>
      </c>
      <c r="H1291" t="s">
        <v>286</v>
      </c>
      <c r="I1291">
        <v>6</v>
      </c>
      <c r="J1291" t="s">
        <v>49</v>
      </c>
      <c r="K1291">
        <v>6</v>
      </c>
      <c r="L1291">
        <v>6</v>
      </c>
      <c r="M1291" t="s">
        <v>1971</v>
      </c>
      <c r="N1291">
        <v>0</v>
      </c>
      <c r="O1291" s="1">
        <f>+Tabla__192.168.1.8_POSEIDONSQL_APPFVT_01_tbl_detalle_fill_rate[[#This Row],[emb_cantidad]]-Tabla__192.168.1.8_POSEIDONSQL_APPFVT_01_tbl_detalle_fill_rate[[#This Row],[dev_cantidad]]</f>
        <v>6</v>
      </c>
      <c r="P12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291" s="1">
        <f>+Tabla__192.168.1.8_POSEIDONSQL_APPFVT_01_tbl_detalle_fill_rate[[#This Row],[Cumpl Real Unds]]-Tabla__192.168.1.8_POSEIDONSQL_APPFVT_01_tbl_detalle_fill_rate[[#This Row],[Cant Embarcada]]</f>
        <v>0</v>
      </c>
      <c r="S1291" s="1">
        <f>+IF(Tabla__192.168.1.8_POSEIDONSQL_APPFVT_01_tbl_detalle_fill_rate[[#This Row],[Pend Emb]]&gt;0,1,0)</f>
        <v>0</v>
      </c>
      <c r="T12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2" spans="1:20" x14ac:dyDescent="0.25">
      <c r="A1292">
        <v>5</v>
      </c>
      <c r="B1292" t="s">
        <v>57</v>
      </c>
      <c r="C1292">
        <v>6504009067</v>
      </c>
      <c r="D1292" s="48">
        <v>43334</v>
      </c>
      <c r="E1292" s="48">
        <v>43333</v>
      </c>
      <c r="F1292" s="48">
        <v>43339</v>
      </c>
      <c r="G1292" t="s">
        <v>1373</v>
      </c>
      <c r="H1292" t="s">
        <v>1374</v>
      </c>
      <c r="I1292">
        <v>251</v>
      </c>
      <c r="J1292" t="s">
        <v>49</v>
      </c>
      <c r="K1292">
        <v>110</v>
      </c>
      <c r="L1292">
        <v>110</v>
      </c>
      <c r="M1292" t="s">
        <v>1971</v>
      </c>
      <c r="N1292">
        <v>0</v>
      </c>
      <c r="O1292" s="1">
        <f>+Tabla__192.168.1.8_POSEIDONSQL_APPFVT_01_tbl_detalle_fill_rate[[#This Row],[emb_cantidad]]-Tabla__192.168.1.8_POSEIDONSQL_APPFVT_01_tbl_detalle_fill_rate[[#This Row],[dev_cantidad]]</f>
        <v>110</v>
      </c>
      <c r="P12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110</v>
      </c>
      <c r="R1292" s="1">
        <f>+Tabla__192.168.1.8_POSEIDONSQL_APPFVT_01_tbl_detalle_fill_rate[[#This Row],[Cumpl Real Unds]]-Tabla__192.168.1.8_POSEIDONSQL_APPFVT_01_tbl_detalle_fill_rate[[#This Row],[Cant Embarcada]]</f>
        <v>0</v>
      </c>
      <c r="S1292" s="1">
        <f>+IF(Tabla__192.168.1.8_POSEIDONSQL_APPFVT_01_tbl_detalle_fill_rate[[#This Row],[Pend Emb]]&gt;0,1,0)</f>
        <v>0</v>
      </c>
      <c r="T12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3" spans="1:20" x14ac:dyDescent="0.25">
      <c r="A1293">
        <v>5</v>
      </c>
      <c r="B1293" t="s">
        <v>57</v>
      </c>
      <c r="C1293">
        <v>6504009067</v>
      </c>
      <c r="D1293" s="48">
        <v>43334</v>
      </c>
      <c r="E1293" s="48">
        <v>43333</v>
      </c>
      <c r="F1293" s="48">
        <v>43339</v>
      </c>
      <c r="G1293" t="s">
        <v>287</v>
      </c>
      <c r="H1293" t="s">
        <v>288</v>
      </c>
      <c r="I1293">
        <v>10</v>
      </c>
      <c r="J1293" t="s">
        <v>49</v>
      </c>
      <c r="K1293">
        <v>10</v>
      </c>
      <c r="L1293">
        <v>10</v>
      </c>
      <c r="M1293" t="s">
        <v>1971</v>
      </c>
      <c r="N1293">
        <v>0</v>
      </c>
      <c r="O1293" s="1">
        <f>+Tabla__192.168.1.8_POSEIDONSQL_APPFVT_01_tbl_detalle_fill_rate[[#This Row],[emb_cantidad]]-Tabla__192.168.1.8_POSEIDONSQL_APPFVT_01_tbl_detalle_fill_rate[[#This Row],[dev_cantidad]]</f>
        <v>10</v>
      </c>
      <c r="P12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293" s="1">
        <f>+Tabla__192.168.1.8_POSEIDONSQL_APPFVT_01_tbl_detalle_fill_rate[[#This Row],[Cumpl Real Unds]]-Tabla__192.168.1.8_POSEIDONSQL_APPFVT_01_tbl_detalle_fill_rate[[#This Row],[Cant Embarcada]]</f>
        <v>0</v>
      </c>
      <c r="S1293" s="1">
        <f>+IF(Tabla__192.168.1.8_POSEIDONSQL_APPFVT_01_tbl_detalle_fill_rate[[#This Row],[Pend Emb]]&gt;0,1,0)</f>
        <v>0</v>
      </c>
      <c r="T12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4" spans="1:20" x14ac:dyDescent="0.25">
      <c r="A1294">
        <v>5</v>
      </c>
      <c r="B1294" t="s">
        <v>57</v>
      </c>
      <c r="C1294">
        <v>6504011910</v>
      </c>
      <c r="D1294" s="48">
        <v>43335</v>
      </c>
      <c r="E1294" s="48">
        <v>43334</v>
      </c>
      <c r="F1294" s="48">
        <v>43343</v>
      </c>
      <c r="G1294" t="s">
        <v>70</v>
      </c>
      <c r="H1294" t="s">
        <v>71</v>
      </c>
      <c r="I1294">
        <v>1</v>
      </c>
      <c r="J1294" t="s">
        <v>49</v>
      </c>
      <c r="K1294">
        <v>1</v>
      </c>
      <c r="L1294">
        <v>1</v>
      </c>
      <c r="M1294" t="s">
        <v>1962</v>
      </c>
      <c r="N1294">
        <v>0</v>
      </c>
      <c r="O1294" s="1">
        <f>+Tabla__192.168.1.8_POSEIDONSQL_APPFVT_01_tbl_detalle_fill_rate[[#This Row],[emb_cantidad]]-Tabla__192.168.1.8_POSEIDONSQL_APPFVT_01_tbl_detalle_fill_rate[[#This Row],[dev_cantidad]]</f>
        <v>1</v>
      </c>
      <c r="P12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4" s="1">
        <f>+Tabla__192.168.1.8_POSEIDONSQL_APPFVT_01_tbl_detalle_fill_rate[[#This Row],[Cumpl Real Unds]]-Tabla__192.168.1.8_POSEIDONSQL_APPFVT_01_tbl_detalle_fill_rate[[#This Row],[Cant Embarcada]]</f>
        <v>0</v>
      </c>
      <c r="S1294" s="1">
        <f>+IF(Tabla__192.168.1.8_POSEIDONSQL_APPFVT_01_tbl_detalle_fill_rate[[#This Row],[Pend Emb]]&gt;0,1,0)</f>
        <v>0</v>
      </c>
      <c r="T12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5" spans="1:20" x14ac:dyDescent="0.25">
      <c r="A1295">
        <v>5</v>
      </c>
      <c r="B1295" t="s">
        <v>57</v>
      </c>
      <c r="C1295">
        <v>6504013530</v>
      </c>
      <c r="D1295" s="48">
        <v>43336</v>
      </c>
      <c r="E1295" s="48">
        <v>43335</v>
      </c>
      <c r="F1295" s="48">
        <v>43341</v>
      </c>
      <c r="G1295" t="s">
        <v>70</v>
      </c>
      <c r="H1295" t="s">
        <v>71</v>
      </c>
      <c r="I1295">
        <v>1</v>
      </c>
      <c r="J1295" t="s">
        <v>49</v>
      </c>
      <c r="K1295">
        <v>1</v>
      </c>
      <c r="L1295">
        <v>1</v>
      </c>
      <c r="M1295" t="s">
        <v>1971</v>
      </c>
      <c r="N1295">
        <v>0</v>
      </c>
      <c r="O1295" s="1">
        <f>+Tabla__192.168.1.8_POSEIDONSQL_APPFVT_01_tbl_detalle_fill_rate[[#This Row],[emb_cantidad]]-Tabla__192.168.1.8_POSEIDONSQL_APPFVT_01_tbl_detalle_fill_rate[[#This Row],[dev_cantidad]]</f>
        <v>1</v>
      </c>
      <c r="P12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5" s="1">
        <f>+Tabla__192.168.1.8_POSEIDONSQL_APPFVT_01_tbl_detalle_fill_rate[[#This Row],[Cumpl Real Unds]]-Tabla__192.168.1.8_POSEIDONSQL_APPFVT_01_tbl_detalle_fill_rate[[#This Row],[Cant Embarcada]]</f>
        <v>0</v>
      </c>
      <c r="S1295" s="1">
        <f>+IF(Tabla__192.168.1.8_POSEIDONSQL_APPFVT_01_tbl_detalle_fill_rate[[#This Row],[Pend Emb]]&gt;0,1,0)</f>
        <v>0</v>
      </c>
      <c r="T12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6" spans="1:20" x14ac:dyDescent="0.25">
      <c r="A1296">
        <v>5</v>
      </c>
      <c r="B1296" t="s">
        <v>57</v>
      </c>
      <c r="C1296">
        <v>6504015850</v>
      </c>
      <c r="D1296" s="48">
        <v>43339</v>
      </c>
      <c r="E1296" s="48">
        <v>43337</v>
      </c>
      <c r="F1296" s="48">
        <v>43343</v>
      </c>
      <c r="G1296" t="s">
        <v>62</v>
      </c>
      <c r="H1296" t="s">
        <v>63</v>
      </c>
      <c r="I1296">
        <v>1</v>
      </c>
      <c r="J1296" t="s">
        <v>49</v>
      </c>
      <c r="K1296">
        <v>1</v>
      </c>
      <c r="L1296">
        <v>1</v>
      </c>
      <c r="M1296" t="s">
        <v>1962</v>
      </c>
      <c r="N1296">
        <v>0</v>
      </c>
      <c r="O1296" s="1">
        <f>+Tabla__192.168.1.8_POSEIDONSQL_APPFVT_01_tbl_detalle_fill_rate[[#This Row],[emb_cantidad]]-Tabla__192.168.1.8_POSEIDONSQL_APPFVT_01_tbl_detalle_fill_rate[[#This Row],[dev_cantidad]]</f>
        <v>1</v>
      </c>
      <c r="P12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6" s="1">
        <f>+Tabla__192.168.1.8_POSEIDONSQL_APPFVT_01_tbl_detalle_fill_rate[[#This Row],[Cumpl Real Unds]]-Tabla__192.168.1.8_POSEIDONSQL_APPFVT_01_tbl_detalle_fill_rate[[#This Row],[Cant Embarcada]]</f>
        <v>0</v>
      </c>
      <c r="S1296" s="1">
        <f>+IF(Tabla__192.168.1.8_POSEIDONSQL_APPFVT_01_tbl_detalle_fill_rate[[#This Row],[Pend Emb]]&gt;0,1,0)</f>
        <v>0</v>
      </c>
      <c r="T12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7" spans="1:20" x14ac:dyDescent="0.25">
      <c r="A1297">
        <v>5</v>
      </c>
      <c r="B1297" t="s">
        <v>57</v>
      </c>
      <c r="C1297">
        <v>6504016942</v>
      </c>
      <c r="D1297" s="48">
        <v>43340</v>
      </c>
      <c r="E1297" s="48">
        <v>43339</v>
      </c>
      <c r="F1297" s="48">
        <v>43346</v>
      </c>
      <c r="G1297" t="s">
        <v>76</v>
      </c>
      <c r="H1297" t="s">
        <v>77</v>
      </c>
      <c r="I1297">
        <v>1</v>
      </c>
      <c r="J1297" t="s">
        <v>49</v>
      </c>
      <c r="K1297">
        <v>1</v>
      </c>
      <c r="L1297">
        <v>1</v>
      </c>
      <c r="M1297" t="s">
        <v>1962</v>
      </c>
      <c r="N1297">
        <v>0</v>
      </c>
      <c r="O1297" s="1">
        <f>+Tabla__192.168.1.8_POSEIDONSQL_APPFVT_01_tbl_detalle_fill_rate[[#This Row],[emb_cantidad]]-Tabla__192.168.1.8_POSEIDONSQL_APPFVT_01_tbl_detalle_fill_rate[[#This Row],[dev_cantidad]]</f>
        <v>1</v>
      </c>
      <c r="P12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7" s="1">
        <f>+Tabla__192.168.1.8_POSEIDONSQL_APPFVT_01_tbl_detalle_fill_rate[[#This Row],[Cumpl Real Unds]]-Tabla__192.168.1.8_POSEIDONSQL_APPFVT_01_tbl_detalle_fill_rate[[#This Row],[Cant Embarcada]]</f>
        <v>0</v>
      </c>
      <c r="S1297" s="1">
        <f>+IF(Tabla__192.168.1.8_POSEIDONSQL_APPFVT_01_tbl_detalle_fill_rate[[#This Row],[Pend Emb]]&gt;0,1,0)</f>
        <v>0</v>
      </c>
      <c r="T12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8" spans="1:20" x14ac:dyDescent="0.25">
      <c r="A1298">
        <v>5</v>
      </c>
      <c r="B1298" t="s">
        <v>57</v>
      </c>
      <c r="C1298">
        <v>6504017146</v>
      </c>
      <c r="D1298" s="48">
        <v>43340</v>
      </c>
      <c r="E1298" s="48">
        <v>43339</v>
      </c>
      <c r="F1298" s="48">
        <v>43348</v>
      </c>
      <c r="G1298" t="s">
        <v>74</v>
      </c>
      <c r="H1298" t="s">
        <v>75</v>
      </c>
      <c r="I1298">
        <v>1</v>
      </c>
      <c r="J1298" t="s">
        <v>49</v>
      </c>
      <c r="K1298">
        <v>1</v>
      </c>
      <c r="L1298">
        <v>1</v>
      </c>
      <c r="M1298" t="s">
        <v>1962</v>
      </c>
      <c r="N1298">
        <v>0</v>
      </c>
      <c r="O1298" s="1">
        <f>+Tabla__192.168.1.8_POSEIDONSQL_APPFVT_01_tbl_detalle_fill_rate[[#This Row],[emb_cantidad]]-Tabla__192.168.1.8_POSEIDONSQL_APPFVT_01_tbl_detalle_fill_rate[[#This Row],[dev_cantidad]]</f>
        <v>1</v>
      </c>
      <c r="P12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8" s="1">
        <f>+Tabla__192.168.1.8_POSEIDONSQL_APPFVT_01_tbl_detalle_fill_rate[[#This Row],[Cumpl Real Unds]]-Tabla__192.168.1.8_POSEIDONSQL_APPFVT_01_tbl_detalle_fill_rate[[#This Row],[Cant Embarcada]]</f>
        <v>0</v>
      </c>
      <c r="S1298" s="1">
        <f>+IF(Tabla__192.168.1.8_POSEIDONSQL_APPFVT_01_tbl_detalle_fill_rate[[#This Row],[Pend Emb]]&gt;0,1,0)</f>
        <v>0</v>
      </c>
      <c r="T12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299" spans="1:20" x14ac:dyDescent="0.25">
      <c r="A1299">
        <v>5</v>
      </c>
      <c r="B1299" t="s">
        <v>57</v>
      </c>
      <c r="C1299">
        <v>6504018515</v>
      </c>
      <c r="D1299" s="48">
        <v>43340</v>
      </c>
      <c r="E1299" s="48">
        <v>43340</v>
      </c>
      <c r="F1299" s="48">
        <v>43346</v>
      </c>
      <c r="G1299" t="s">
        <v>170</v>
      </c>
      <c r="H1299" t="s">
        <v>171</v>
      </c>
      <c r="I1299">
        <v>1</v>
      </c>
      <c r="J1299" t="s">
        <v>49</v>
      </c>
      <c r="K1299">
        <v>1</v>
      </c>
      <c r="L1299">
        <v>1</v>
      </c>
      <c r="M1299" t="s">
        <v>1962</v>
      </c>
      <c r="N1299">
        <v>0</v>
      </c>
      <c r="O1299" s="1">
        <f>+Tabla__192.168.1.8_POSEIDONSQL_APPFVT_01_tbl_detalle_fill_rate[[#This Row],[emb_cantidad]]-Tabla__192.168.1.8_POSEIDONSQL_APPFVT_01_tbl_detalle_fill_rate[[#This Row],[dev_cantidad]]</f>
        <v>1</v>
      </c>
      <c r="P12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2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299" s="1">
        <f>+Tabla__192.168.1.8_POSEIDONSQL_APPFVT_01_tbl_detalle_fill_rate[[#This Row],[Cumpl Real Unds]]-Tabla__192.168.1.8_POSEIDONSQL_APPFVT_01_tbl_detalle_fill_rate[[#This Row],[Cant Embarcada]]</f>
        <v>0</v>
      </c>
      <c r="S1299" s="1">
        <f>+IF(Tabla__192.168.1.8_POSEIDONSQL_APPFVT_01_tbl_detalle_fill_rate[[#This Row],[Pend Emb]]&gt;0,1,0)</f>
        <v>0</v>
      </c>
      <c r="T12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0" spans="1:20" x14ac:dyDescent="0.25">
      <c r="A1300">
        <v>5</v>
      </c>
      <c r="B1300" t="s">
        <v>57</v>
      </c>
      <c r="C1300">
        <v>6504019017</v>
      </c>
      <c r="D1300" s="48">
        <v>43340</v>
      </c>
      <c r="E1300" s="48">
        <v>43340</v>
      </c>
      <c r="F1300" s="48">
        <v>43348</v>
      </c>
      <c r="G1300" t="s">
        <v>1573</v>
      </c>
      <c r="H1300" t="s">
        <v>1574</v>
      </c>
      <c r="I1300">
        <v>1</v>
      </c>
      <c r="J1300" t="s">
        <v>49</v>
      </c>
      <c r="K1300">
        <v>0</v>
      </c>
      <c r="L1300">
        <v>0</v>
      </c>
      <c r="M1300" t="s">
        <v>12</v>
      </c>
      <c r="N1300">
        <v>0</v>
      </c>
      <c r="O1300" s="1">
        <f>+Tabla__192.168.1.8_POSEIDONSQL_APPFVT_01_tbl_detalle_fill_rate[[#This Row],[emb_cantidad]]-Tabla__192.168.1.8_POSEIDONSQL_APPFVT_01_tbl_detalle_fill_rate[[#This Row],[dev_cantidad]]</f>
        <v>0</v>
      </c>
      <c r="P13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00" s="1">
        <f>+Tabla__192.168.1.8_POSEIDONSQL_APPFVT_01_tbl_detalle_fill_rate[[#This Row],[Cumpl Real Unds]]-Tabla__192.168.1.8_POSEIDONSQL_APPFVT_01_tbl_detalle_fill_rate[[#This Row],[Cant Embarcada]]</f>
        <v>0</v>
      </c>
      <c r="S1300" s="1">
        <f>+IF(Tabla__192.168.1.8_POSEIDONSQL_APPFVT_01_tbl_detalle_fill_rate[[#This Row],[Pend Emb]]&gt;0,1,0)</f>
        <v>0</v>
      </c>
      <c r="T13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1" spans="1:20" x14ac:dyDescent="0.25">
      <c r="A1301">
        <v>5</v>
      </c>
      <c r="B1301" t="s">
        <v>57</v>
      </c>
      <c r="C1301">
        <v>6504019642</v>
      </c>
      <c r="D1301" s="48">
        <v>43341</v>
      </c>
      <c r="E1301" s="48">
        <v>43340</v>
      </c>
      <c r="F1301" s="48">
        <v>43348</v>
      </c>
      <c r="G1301" t="s">
        <v>170</v>
      </c>
      <c r="H1301" t="s">
        <v>171</v>
      </c>
      <c r="I1301">
        <v>1</v>
      </c>
      <c r="J1301" t="s">
        <v>49</v>
      </c>
      <c r="K1301">
        <v>1</v>
      </c>
      <c r="L1301">
        <v>1</v>
      </c>
      <c r="M1301" t="s">
        <v>1962</v>
      </c>
      <c r="N1301">
        <v>0</v>
      </c>
      <c r="O1301" s="1">
        <f>+Tabla__192.168.1.8_POSEIDONSQL_APPFVT_01_tbl_detalle_fill_rate[[#This Row],[emb_cantidad]]-Tabla__192.168.1.8_POSEIDONSQL_APPFVT_01_tbl_detalle_fill_rate[[#This Row],[dev_cantidad]]</f>
        <v>1</v>
      </c>
      <c r="P13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01" s="1">
        <f>+Tabla__192.168.1.8_POSEIDONSQL_APPFVT_01_tbl_detalle_fill_rate[[#This Row],[Cumpl Real Unds]]-Tabla__192.168.1.8_POSEIDONSQL_APPFVT_01_tbl_detalle_fill_rate[[#This Row],[Cant Embarcada]]</f>
        <v>0</v>
      </c>
      <c r="S1301" s="1">
        <f>+IF(Tabla__192.168.1.8_POSEIDONSQL_APPFVT_01_tbl_detalle_fill_rate[[#This Row],[Pend Emb]]&gt;0,1,0)</f>
        <v>0</v>
      </c>
      <c r="T13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2" spans="1:20" x14ac:dyDescent="0.25">
      <c r="A1302">
        <v>5</v>
      </c>
      <c r="B1302" t="s">
        <v>57</v>
      </c>
      <c r="C1302">
        <v>6504021128</v>
      </c>
      <c r="D1302" s="48">
        <v>43341</v>
      </c>
      <c r="E1302" s="48">
        <v>43340</v>
      </c>
      <c r="F1302" s="48">
        <v>43346</v>
      </c>
      <c r="G1302" t="s">
        <v>271</v>
      </c>
      <c r="H1302" t="s">
        <v>272</v>
      </c>
      <c r="I1302">
        <v>40</v>
      </c>
      <c r="J1302" t="s">
        <v>49</v>
      </c>
      <c r="K1302">
        <v>40</v>
      </c>
      <c r="L1302">
        <v>40</v>
      </c>
      <c r="M1302" t="s">
        <v>1963</v>
      </c>
      <c r="N1302">
        <v>0</v>
      </c>
      <c r="O1302" s="1">
        <f>+Tabla__192.168.1.8_POSEIDONSQL_APPFVT_01_tbl_detalle_fill_rate[[#This Row],[emb_cantidad]]-Tabla__192.168.1.8_POSEIDONSQL_APPFVT_01_tbl_detalle_fill_rate[[#This Row],[dev_cantidad]]</f>
        <v>40</v>
      </c>
      <c r="P13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40</v>
      </c>
      <c r="R1302" s="1">
        <f>+Tabla__192.168.1.8_POSEIDONSQL_APPFVT_01_tbl_detalle_fill_rate[[#This Row],[Cumpl Real Unds]]-Tabla__192.168.1.8_POSEIDONSQL_APPFVT_01_tbl_detalle_fill_rate[[#This Row],[Cant Embarcada]]</f>
        <v>0</v>
      </c>
      <c r="S1302" s="1">
        <f>+IF(Tabla__192.168.1.8_POSEIDONSQL_APPFVT_01_tbl_detalle_fill_rate[[#This Row],[Pend Emb]]&gt;0,1,0)</f>
        <v>0</v>
      </c>
      <c r="T13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3" spans="1:20" x14ac:dyDescent="0.25">
      <c r="A1303">
        <v>5</v>
      </c>
      <c r="B1303" t="s">
        <v>57</v>
      </c>
      <c r="C1303">
        <v>6504021128</v>
      </c>
      <c r="D1303" s="48">
        <v>43341</v>
      </c>
      <c r="E1303" s="48">
        <v>43340</v>
      </c>
      <c r="F1303" s="48">
        <v>43346</v>
      </c>
      <c r="G1303" t="s">
        <v>279</v>
      </c>
      <c r="H1303" t="s">
        <v>280</v>
      </c>
      <c r="I1303">
        <v>15</v>
      </c>
      <c r="J1303" t="s">
        <v>49</v>
      </c>
      <c r="K1303">
        <v>15</v>
      </c>
      <c r="L1303">
        <v>15</v>
      </c>
      <c r="M1303" t="s">
        <v>1963</v>
      </c>
      <c r="N1303">
        <v>0</v>
      </c>
      <c r="O1303" s="1">
        <f>+Tabla__192.168.1.8_POSEIDONSQL_APPFVT_01_tbl_detalle_fill_rate[[#This Row],[emb_cantidad]]-Tabla__192.168.1.8_POSEIDONSQL_APPFVT_01_tbl_detalle_fill_rate[[#This Row],[dev_cantidad]]</f>
        <v>15</v>
      </c>
      <c r="P13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1303" s="1">
        <f>+Tabla__192.168.1.8_POSEIDONSQL_APPFVT_01_tbl_detalle_fill_rate[[#This Row],[Cumpl Real Unds]]-Tabla__192.168.1.8_POSEIDONSQL_APPFVT_01_tbl_detalle_fill_rate[[#This Row],[Cant Embarcada]]</f>
        <v>0</v>
      </c>
      <c r="S1303" s="1">
        <f>+IF(Tabla__192.168.1.8_POSEIDONSQL_APPFVT_01_tbl_detalle_fill_rate[[#This Row],[Pend Emb]]&gt;0,1,0)</f>
        <v>0</v>
      </c>
      <c r="T13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4" spans="1:20" x14ac:dyDescent="0.25">
      <c r="A1304">
        <v>5</v>
      </c>
      <c r="B1304" t="s">
        <v>57</v>
      </c>
      <c r="C1304">
        <v>6504021128</v>
      </c>
      <c r="D1304" s="48">
        <v>43341</v>
      </c>
      <c r="E1304" s="48">
        <v>43340</v>
      </c>
      <c r="F1304" s="48">
        <v>43346</v>
      </c>
      <c r="G1304" t="s">
        <v>257</v>
      </c>
      <c r="H1304" t="s">
        <v>258</v>
      </c>
      <c r="I1304">
        <v>8</v>
      </c>
      <c r="J1304" t="s">
        <v>49</v>
      </c>
      <c r="K1304">
        <v>8</v>
      </c>
      <c r="L1304">
        <v>8</v>
      </c>
      <c r="M1304" t="s">
        <v>1963</v>
      </c>
      <c r="N1304">
        <v>0</v>
      </c>
      <c r="O1304" s="1">
        <f>+Tabla__192.168.1.8_POSEIDONSQL_APPFVT_01_tbl_detalle_fill_rate[[#This Row],[emb_cantidad]]-Tabla__192.168.1.8_POSEIDONSQL_APPFVT_01_tbl_detalle_fill_rate[[#This Row],[dev_cantidad]]</f>
        <v>8</v>
      </c>
      <c r="P13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1304" s="1">
        <f>+Tabla__192.168.1.8_POSEIDONSQL_APPFVT_01_tbl_detalle_fill_rate[[#This Row],[Cumpl Real Unds]]-Tabla__192.168.1.8_POSEIDONSQL_APPFVT_01_tbl_detalle_fill_rate[[#This Row],[Cant Embarcada]]</f>
        <v>0</v>
      </c>
      <c r="S1304" s="1">
        <f>+IF(Tabla__192.168.1.8_POSEIDONSQL_APPFVT_01_tbl_detalle_fill_rate[[#This Row],[Pend Emb]]&gt;0,1,0)</f>
        <v>0</v>
      </c>
      <c r="T13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5" spans="1:20" x14ac:dyDescent="0.25">
      <c r="A1305">
        <v>5</v>
      </c>
      <c r="B1305" t="s">
        <v>57</v>
      </c>
      <c r="C1305">
        <v>6504021128</v>
      </c>
      <c r="D1305" s="48">
        <v>43341</v>
      </c>
      <c r="E1305" s="48">
        <v>43340</v>
      </c>
      <c r="F1305" s="48">
        <v>43346</v>
      </c>
      <c r="G1305" t="s">
        <v>281</v>
      </c>
      <c r="H1305" t="s">
        <v>282</v>
      </c>
      <c r="I1305">
        <v>5</v>
      </c>
      <c r="J1305" t="s">
        <v>49</v>
      </c>
      <c r="K1305">
        <v>0</v>
      </c>
      <c r="L1305">
        <v>0</v>
      </c>
      <c r="M1305" t="s">
        <v>1963</v>
      </c>
      <c r="N1305">
        <v>0</v>
      </c>
      <c r="O1305" s="1">
        <f>+Tabla__192.168.1.8_POSEIDONSQL_APPFVT_01_tbl_detalle_fill_rate[[#This Row],[emb_cantidad]]-Tabla__192.168.1.8_POSEIDONSQL_APPFVT_01_tbl_detalle_fill_rate[[#This Row],[dev_cantidad]]</f>
        <v>0</v>
      </c>
      <c r="P13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05" s="1">
        <f>+Tabla__192.168.1.8_POSEIDONSQL_APPFVT_01_tbl_detalle_fill_rate[[#This Row],[Cumpl Real Unds]]-Tabla__192.168.1.8_POSEIDONSQL_APPFVT_01_tbl_detalle_fill_rate[[#This Row],[Cant Embarcada]]</f>
        <v>0</v>
      </c>
      <c r="S1305" s="1">
        <f>+IF(Tabla__192.168.1.8_POSEIDONSQL_APPFVT_01_tbl_detalle_fill_rate[[#This Row],[Pend Emb]]&gt;0,1,0)</f>
        <v>0</v>
      </c>
      <c r="T13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6" spans="1:20" x14ac:dyDescent="0.25">
      <c r="A1306">
        <v>5</v>
      </c>
      <c r="B1306" t="s">
        <v>57</v>
      </c>
      <c r="C1306">
        <v>6504021128</v>
      </c>
      <c r="D1306" s="48">
        <v>43341</v>
      </c>
      <c r="E1306" s="48">
        <v>43340</v>
      </c>
      <c r="F1306" s="48">
        <v>43346</v>
      </c>
      <c r="G1306" t="s">
        <v>88</v>
      </c>
      <c r="H1306" t="s">
        <v>89</v>
      </c>
      <c r="I1306">
        <v>4</v>
      </c>
      <c r="J1306" t="s">
        <v>49</v>
      </c>
      <c r="K1306">
        <v>4</v>
      </c>
      <c r="L1306">
        <v>4</v>
      </c>
      <c r="M1306" t="s">
        <v>1963</v>
      </c>
      <c r="N1306">
        <v>0</v>
      </c>
      <c r="O1306" s="1">
        <f>+Tabla__192.168.1.8_POSEIDONSQL_APPFVT_01_tbl_detalle_fill_rate[[#This Row],[emb_cantidad]]-Tabla__192.168.1.8_POSEIDONSQL_APPFVT_01_tbl_detalle_fill_rate[[#This Row],[dev_cantidad]]</f>
        <v>4</v>
      </c>
      <c r="P13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306" s="1">
        <f>+Tabla__192.168.1.8_POSEIDONSQL_APPFVT_01_tbl_detalle_fill_rate[[#This Row],[Cumpl Real Unds]]-Tabla__192.168.1.8_POSEIDONSQL_APPFVT_01_tbl_detalle_fill_rate[[#This Row],[Cant Embarcada]]</f>
        <v>0</v>
      </c>
      <c r="S1306" s="1">
        <f>+IF(Tabla__192.168.1.8_POSEIDONSQL_APPFVT_01_tbl_detalle_fill_rate[[#This Row],[Pend Emb]]&gt;0,1,0)</f>
        <v>0</v>
      </c>
      <c r="T13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7" spans="1:20" x14ac:dyDescent="0.25">
      <c r="A1307">
        <v>5</v>
      </c>
      <c r="B1307" t="s">
        <v>57</v>
      </c>
      <c r="C1307">
        <v>6504021128</v>
      </c>
      <c r="D1307" s="48">
        <v>43341</v>
      </c>
      <c r="E1307" s="48">
        <v>43340</v>
      </c>
      <c r="F1307" s="48">
        <v>43346</v>
      </c>
      <c r="G1307" t="s">
        <v>283</v>
      </c>
      <c r="H1307" t="s">
        <v>284</v>
      </c>
      <c r="I1307">
        <v>11</v>
      </c>
      <c r="J1307" t="s">
        <v>49</v>
      </c>
      <c r="K1307">
        <v>11</v>
      </c>
      <c r="L1307">
        <v>11</v>
      </c>
      <c r="M1307" t="s">
        <v>1963</v>
      </c>
      <c r="N1307">
        <v>0</v>
      </c>
      <c r="O1307" s="1">
        <f>+Tabla__192.168.1.8_POSEIDONSQL_APPFVT_01_tbl_detalle_fill_rate[[#This Row],[emb_cantidad]]-Tabla__192.168.1.8_POSEIDONSQL_APPFVT_01_tbl_detalle_fill_rate[[#This Row],[dev_cantidad]]</f>
        <v>11</v>
      </c>
      <c r="P13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11</v>
      </c>
      <c r="R1307" s="1">
        <f>+Tabla__192.168.1.8_POSEIDONSQL_APPFVT_01_tbl_detalle_fill_rate[[#This Row],[Cumpl Real Unds]]-Tabla__192.168.1.8_POSEIDONSQL_APPFVT_01_tbl_detalle_fill_rate[[#This Row],[Cant Embarcada]]</f>
        <v>0</v>
      </c>
      <c r="S1307" s="1">
        <f>+IF(Tabla__192.168.1.8_POSEIDONSQL_APPFVT_01_tbl_detalle_fill_rate[[#This Row],[Pend Emb]]&gt;0,1,0)</f>
        <v>0</v>
      </c>
      <c r="T13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8" spans="1:20" x14ac:dyDescent="0.25">
      <c r="A1308">
        <v>5</v>
      </c>
      <c r="B1308" t="s">
        <v>57</v>
      </c>
      <c r="C1308">
        <v>6504021128</v>
      </c>
      <c r="D1308" s="48">
        <v>43341</v>
      </c>
      <c r="E1308" s="48">
        <v>43340</v>
      </c>
      <c r="F1308" s="48">
        <v>43346</v>
      </c>
      <c r="G1308" t="s">
        <v>285</v>
      </c>
      <c r="H1308" t="s">
        <v>286</v>
      </c>
      <c r="I1308">
        <v>1</v>
      </c>
      <c r="J1308" t="s">
        <v>49</v>
      </c>
      <c r="K1308">
        <v>1</v>
      </c>
      <c r="L1308">
        <v>1</v>
      </c>
      <c r="M1308" t="s">
        <v>1963</v>
      </c>
      <c r="N1308">
        <v>0</v>
      </c>
      <c r="O1308" s="1">
        <f>+Tabla__192.168.1.8_POSEIDONSQL_APPFVT_01_tbl_detalle_fill_rate[[#This Row],[emb_cantidad]]-Tabla__192.168.1.8_POSEIDONSQL_APPFVT_01_tbl_detalle_fill_rate[[#This Row],[dev_cantidad]]</f>
        <v>1</v>
      </c>
      <c r="P13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08" s="1">
        <f>+Tabla__192.168.1.8_POSEIDONSQL_APPFVT_01_tbl_detalle_fill_rate[[#This Row],[Cumpl Real Unds]]-Tabla__192.168.1.8_POSEIDONSQL_APPFVT_01_tbl_detalle_fill_rate[[#This Row],[Cant Embarcada]]</f>
        <v>0</v>
      </c>
      <c r="S1308" s="1">
        <f>+IF(Tabla__192.168.1.8_POSEIDONSQL_APPFVT_01_tbl_detalle_fill_rate[[#This Row],[Pend Emb]]&gt;0,1,0)</f>
        <v>0</v>
      </c>
      <c r="T13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09" spans="1:20" x14ac:dyDescent="0.25">
      <c r="A1309">
        <v>5</v>
      </c>
      <c r="B1309" t="s">
        <v>57</v>
      </c>
      <c r="C1309">
        <v>6504021128</v>
      </c>
      <c r="D1309" s="48">
        <v>43341</v>
      </c>
      <c r="E1309" s="48">
        <v>43340</v>
      </c>
      <c r="F1309" s="48">
        <v>43346</v>
      </c>
      <c r="G1309" t="s">
        <v>287</v>
      </c>
      <c r="H1309" t="s">
        <v>288</v>
      </c>
      <c r="I1309">
        <v>30</v>
      </c>
      <c r="J1309" t="s">
        <v>49</v>
      </c>
      <c r="K1309">
        <v>30</v>
      </c>
      <c r="L1309">
        <v>30</v>
      </c>
      <c r="M1309" t="s">
        <v>1963</v>
      </c>
      <c r="N1309">
        <v>0</v>
      </c>
      <c r="O1309" s="1">
        <f>+Tabla__192.168.1.8_POSEIDONSQL_APPFVT_01_tbl_detalle_fill_rate[[#This Row],[emb_cantidad]]-Tabla__192.168.1.8_POSEIDONSQL_APPFVT_01_tbl_detalle_fill_rate[[#This Row],[dev_cantidad]]</f>
        <v>30</v>
      </c>
      <c r="P13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1309" s="1">
        <f>+Tabla__192.168.1.8_POSEIDONSQL_APPFVT_01_tbl_detalle_fill_rate[[#This Row],[Cumpl Real Unds]]-Tabla__192.168.1.8_POSEIDONSQL_APPFVT_01_tbl_detalle_fill_rate[[#This Row],[Cant Embarcada]]</f>
        <v>0</v>
      </c>
      <c r="S1309" s="1">
        <f>+IF(Tabla__192.168.1.8_POSEIDONSQL_APPFVT_01_tbl_detalle_fill_rate[[#This Row],[Pend Emb]]&gt;0,1,0)</f>
        <v>0</v>
      </c>
      <c r="T13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0" spans="1:20" x14ac:dyDescent="0.25">
      <c r="A1310">
        <v>5</v>
      </c>
      <c r="B1310" t="s">
        <v>57</v>
      </c>
      <c r="C1310">
        <v>6504022070</v>
      </c>
      <c r="D1310" s="48">
        <v>43341</v>
      </c>
      <c r="E1310" s="48">
        <v>43341</v>
      </c>
      <c r="F1310" s="48">
        <v>43347</v>
      </c>
      <c r="G1310" t="s">
        <v>774</v>
      </c>
      <c r="H1310" t="s">
        <v>775</v>
      </c>
      <c r="I1310">
        <v>1</v>
      </c>
      <c r="J1310" t="s">
        <v>49</v>
      </c>
      <c r="K1310">
        <v>1</v>
      </c>
      <c r="L1310">
        <v>1</v>
      </c>
      <c r="M1310" t="s">
        <v>1962</v>
      </c>
      <c r="N1310">
        <v>0</v>
      </c>
      <c r="O1310" s="1">
        <f>+Tabla__192.168.1.8_POSEIDONSQL_APPFVT_01_tbl_detalle_fill_rate[[#This Row],[emb_cantidad]]-Tabla__192.168.1.8_POSEIDONSQL_APPFVT_01_tbl_detalle_fill_rate[[#This Row],[dev_cantidad]]</f>
        <v>1</v>
      </c>
      <c r="P13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0" s="1">
        <f>+Tabla__192.168.1.8_POSEIDONSQL_APPFVT_01_tbl_detalle_fill_rate[[#This Row],[Cumpl Real Unds]]-Tabla__192.168.1.8_POSEIDONSQL_APPFVT_01_tbl_detalle_fill_rate[[#This Row],[Cant Embarcada]]</f>
        <v>0</v>
      </c>
      <c r="S1310" s="1">
        <f>+IF(Tabla__192.168.1.8_POSEIDONSQL_APPFVT_01_tbl_detalle_fill_rate[[#This Row],[Pend Emb]]&gt;0,1,0)</f>
        <v>0</v>
      </c>
      <c r="T13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1" spans="1:20" x14ac:dyDescent="0.25">
      <c r="A1311">
        <v>5</v>
      </c>
      <c r="B1311" t="s">
        <v>57</v>
      </c>
      <c r="C1311">
        <v>6504023078</v>
      </c>
      <c r="D1311" s="48">
        <v>43342</v>
      </c>
      <c r="E1311" s="48">
        <v>43341</v>
      </c>
      <c r="F1311" s="48">
        <v>43348</v>
      </c>
      <c r="G1311" t="s">
        <v>1245</v>
      </c>
      <c r="H1311" t="s">
        <v>1246</v>
      </c>
      <c r="I1311">
        <v>1</v>
      </c>
      <c r="J1311" t="s">
        <v>49</v>
      </c>
      <c r="K1311">
        <v>1</v>
      </c>
      <c r="L1311">
        <v>1</v>
      </c>
      <c r="M1311" t="s">
        <v>160</v>
      </c>
      <c r="N1311">
        <v>0</v>
      </c>
      <c r="O1311" s="1">
        <f>+Tabla__192.168.1.8_POSEIDONSQL_APPFVT_01_tbl_detalle_fill_rate[[#This Row],[emb_cantidad]]-Tabla__192.168.1.8_POSEIDONSQL_APPFVT_01_tbl_detalle_fill_rate[[#This Row],[dev_cantidad]]</f>
        <v>1</v>
      </c>
      <c r="P13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1" s="1">
        <f>+Tabla__192.168.1.8_POSEIDONSQL_APPFVT_01_tbl_detalle_fill_rate[[#This Row],[Cumpl Real Unds]]-Tabla__192.168.1.8_POSEIDONSQL_APPFVT_01_tbl_detalle_fill_rate[[#This Row],[Cant Embarcada]]</f>
        <v>0</v>
      </c>
      <c r="S1311" s="1">
        <f>+IF(Tabla__192.168.1.8_POSEIDONSQL_APPFVT_01_tbl_detalle_fill_rate[[#This Row],[Pend Emb]]&gt;0,1,0)</f>
        <v>0</v>
      </c>
      <c r="T13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2" spans="1:20" x14ac:dyDescent="0.25">
      <c r="A1312">
        <v>5</v>
      </c>
      <c r="B1312" t="s">
        <v>57</v>
      </c>
      <c r="C1312">
        <v>6504025336</v>
      </c>
      <c r="D1312" s="48">
        <v>43343</v>
      </c>
      <c r="E1312" s="48">
        <v>43342</v>
      </c>
      <c r="F1312" s="48">
        <v>43348</v>
      </c>
      <c r="G1312" t="s">
        <v>170</v>
      </c>
      <c r="H1312" t="s">
        <v>171</v>
      </c>
      <c r="I1312">
        <v>1</v>
      </c>
      <c r="J1312" t="s">
        <v>49</v>
      </c>
      <c r="K1312">
        <v>1</v>
      </c>
      <c r="L1312">
        <v>1</v>
      </c>
      <c r="M1312" t="s">
        <v>160</v>
      </c>
      <c r="N1312">
        <v>0</v>
      </c>
      <c r="O1312" s="1">
        <f>+Tabla__192.168.1.8_POSEIDONSQL_APPFVT_01_tbl_detalle_fill_rate[[#This Row],[emb_cantidad]]-Tabla__192.168.1.8_POSEIDONSQL_APPFVT_01_tbl_detalle_fill_rate[[#This Row],[dev_cantidad]]</f>
        <v>1</v>
      </c>
      <c r="P13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2" s="1">
        <f>+Tabla__192.168.1.8_POSEIDONSQL_APPFVT_01_tbl_detalle_fill_rate[[#This Row],[Cumpl Real Unds]]-Tabla__192.168.1.8_POSEIDONSQL_APPFVT_01_tbl_detalle_fill_rate[[#This Row],[Cant Embarcada]]</f>
        <v>0</v>
      </c>
      <c r="S1312" s="1">
        <f>+IF(Tabla__192.168.1.8_POSEIDONSQL_APPFVT_01_tbl_detalle_fill_rate[[#This Row],[Pend Emb]]&gt;0,1,0)</f>
        <v>0</v>
      </c>
      <c r="T13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3" spans="1:20" x14ac:dyDescent="0.25">
      <c r="A1313">
        <v>5</v>
      </c>
      <c r="B1313" t="s">
        <v>57</v>
      </c>
      <c r="C1313">
        <v>6504025358</v>
      </c>
      <c r="D1313" s="48">
        <v>43343</v>
      </c>
      <c r="E1313" s="48">
        <v>43342</v>
      </c>
      <c r="F1313" s="48">
        <v>43348</v>
      </c>
      <c r="G1313" t="s">
        <v>223</v>
      </c>
      <c r="H1313" t="s">
        <v>224</v>
      </c>
      <c r="I1313">
        <v>1</v>
      </c>
      <c r="J1313" t="s">
        <v>49</v>
      </c>
      <c r="K1313">
        <v>1</v>
      </c>
      <c r="L1313">
        <v>1</v>
      </c>
      <c r="M1313" t="s">
        <v>160</v>
      </c>
      <c r="N1313">
        <v>0</v>
      </c>
      <c r="O1313" s="1">
        <f>+Tabla__192.168.1.8_POSEIDONSQL_APPFVT_01_tbl_detalle_fill_rate[[#This Row],[emb_cantidad]]-Tabla__192.168.1.8_POSEIDONSQL_APPFVT_01_tbl_detalle_fill_rate[[#This Row],[dev_cantidad]]</f>
        <v>1</v>
      </c>
      <c r="P13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3" s="1">
        <f>+Tabla__192.168.1.8_POSEIDONSQL_APPFVT_01_tbl_detalle_fill_rate[[#This Row],[Cumpl Real Unds]]-Tabla__192.168.1.8_POSEIDONSQL_APPFVT_01_tbl_detalle_fill_rate[[#This Row],[Cant Embarcada]]</f>
        <v>0</v>
      </c>
      <c r="S1313" s="1">
        <f>+IF(Tabla__192.168.1.8_POSEIDONSQL_APPFVT_01_tbl_detalle_fill_rate[[#This Row],[Pend Emb]]&gt;0,1,0)</f>
        <v>0</v>
      </c>
      <c r="T13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4" spans="1:20" x14ac:dyDescent="0.25">
      <c r="A1314">
        <v>5</v>
      </c>
      <c r="B1314" t="s">
        <v>57</v>
      </c>
      <c r="C1314">
        <v>6504026429</v>
      </c>
      <c r="D1314" s="48">
        <v>43346</v>
      </c>
      <c r="E1314" s="48">
        <v>43343</v>
      </c>
      <c r="F1314" s="48">
        <v>43349</v>
      </c>
      <c r="G1314" t="s">
        <v>234</v>
      </c>
      <c r="H1314" t="s">
        <v>235</v>
      </c>
      <c r="I1314">
        <v>5</v>
      </c>
      <c r="J1314" t="s">
        <v>49</v>
      </c>
      <c r="K1314">
        <v>0</v>
      </c>
      <c r="L1314">
        <v>0</v>
      </c>
      <c r="M1314" t="s">
        <v>12</v>
      </c>
      <c r="N1314">
        <v>0</v>
      </c>
      <c r="O1314" s="1">
        <f>+Tabla__192.168.1.8_POSEIDONSQL_APPFVT_01_tbl_detalle_fill_rate[[#This Row],[emb_cantidad]]-Tabla__192.168.1.8_POSEIDONSQL_APPFVT_01_tbl_detalle_fill_rate[[#This Row],[dev_cantidad]]</f>
        <v>0</v>
      </c>
      <c r="P13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14" s="1">
        <f>+Tabla__192.168.1.8_POSEIDONSQL_APPFVT_01_tbl_detalle_fill_rate[[#This Row],[Cumpl Real Unds]]-Tabla__192.168.1.8_POSEIDONSQL_APPFVT_01_tbl_detalle_fill_rate[[#This Row],[Cant Embarcada]]</f>
        <v>0</v>
      </c>
      <c r="S1314" s="1">
        <f>+IF(Tabla__192.168.1.8_POSEIDONSQL_APPFVT_01_tbl_detalle_fill_rate[[#This Row],[Pend Emb]]&gt;0,1,0)</f>
        <v>0</v>
      </c>
      <c r="T13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5" spans="1:20" x14ac:dyDescent="0.25">
      <c r="A1315">
        <v>5</v>
      </c>
      <c r="B1315" t="s">
        <v>57</v>
      </c>
      <c r="C1315">
        <v>6504026454</v>
      </c>
      <c r="D1315" s="48">
        <v>43346</v>
      </c>
      <c r="E1315" s="48">
        <v>43343</v>
      </c>
      <c r="F1315" s="48">
        <v>43349</v>
      </c>
      <c r="G1315" t="s">
        <v>271</v>
      </c>
      <c r="H1315" t="s">
        <v>272</v>
      </c>
      <c r="I1315">
        <v>10</v>
      </c>
      <c r="J1315" t="s">
        <v>49</v>
      </c>
      <c r="K1315">
        <v>10</v>
      </c>
      <c r="L1315">
        <v>10</v>
      </c>
      <c r="M1315" t="s">
        <v>1969</v>
      </c>
      <c r="N1315">
        <v>0</v>
      </c>
      <c r="O1315" s="1">
        <f>+Tabla__192.168.1.8_POSEIDONSQL_APPFVT_01_tbl_detalle_fill_rate[[#This Row],[emb_cantidad]]-Tabla__192.168.1.8_POSEIDONSQL_APPFVT_01_tbl_detalle_fill_rate[[#This Row],[dev_cantidad]]</f>
        <v>10</v>
      </c>
      <c r="P13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315" s="1">
        <f>+Tabla__192.168.1.8_POSEIDONSQL_APPFVT_01_tbl_detalle_fill_rate[[#This Row],[Cumpl Real Unds]]-Tabla__192.168.1.8_POSEIDONSQL_APPFVT_01_tbl_detalle_fill_rate[[#This Row],[Cant Embarcada]]</f>
        <v>0</v>
      </c>
      <c r="S1315" s="1">
        <f>+IF(Tabla__192.168.1.8_POSEIDONSQL_APPFVT_01_tbl_detalle_fill_rate[[#This Row],[Pend Emb]]&gt;0,1,0)</f>
        <v>0</v>
      </c>
      <c r="T13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6" spans="1:20" x14ac:dyDescent="0.25">
      <c r="A1316">
        <v>5</v>
      </c>
      <c r="B1316" t="s">
        <v>57</v>
      </c>
      <c r="C1316">
        <v>6504027073</v>
      </c>
      <c r="D1316" s="48">
        <v>43346</v>
      </c>
      <c r="E1316" s="48">
        <v>43343</v>
      </c>
      <c r="F1316" s="48">
        <v>43353</v>
      </c>
      <c r="G1316" t="s">
        <v>126</v>
      </c>
      <c r="H1316" t="s">
        <v>127</v>
      </c>
      <c r="I1316">
        <v>1</v>
      </c>
      <c r="J1316" t="s">
        <v>49</v>
      </c>
      <c r="K1316">
        <v>1</v>
      </c>
      <c r="L1316">
        <v>1</v>
      </c>
      <c r="M1316" t="s">
        <v>160</v>
      </c>
      <c r="N1316">
        <v>0</v>
      </c>
      <c r="O1316" s="1">
        <f>+Tabla__192.168.1.8_POSEIDONSQL_APPFVT_01_tbl_detalle_fill_rate[[#This Row],[emb_cantidad]]-Tabla__192.168.1.8_POSEIDONSQL_APPFVT_01_tbl_detalle_fill_rate[[#This Row],[dev_cantidad]]</f>
        <v>1</v>
      </c>
      <c r="P13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6" s="1">
        <f>+Tabla__192.168.1.8_POSEIDONSQL_APPFVT_01_tbl_detalle_fill_rate[[#This Row],[Cumpl Real Unds]]-Tabla__192.168.1.8_POSEIDONSQL_APPFVT_01_tbl_detalle_fill_rate[[#This Row],[Cant Embarcada]]</f>
        <v>0</v>
      </c>
      <c r="S1316" s="1">
        <f>+IF(Tabla__192.168.1.8_POSEIDONSQL_APPFVT_01_tbl_detalle_fill_rate[[#This Row],[Pend Emb]]&gt;0,1,0)</f>
        <v>0</v>
      </c>
      <c r="T13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7" spans="1:20" x14ac:dyDescent="0.25">
      <c r="A1317">
        <v>5</v>
      </c>
      <c r="B1317" t="s">
        <v>57</v>
      </c>
      <c r="C1317">
        <v>6504027308</v>
      </c>
      <c r="D1317" s="48">
        <v>43346</v>
      </c>
      <c r="E1317" s="48">
        <v>43344</v>
      </c>
      <c r="F1317" s="48">
        <v>43357</v>
      </c>
      <c r="G1317" t="s">
        <v>62</v>
      </c>
      <c r="H1317" t="s">
        <v>63</v>
      </c>
      <c r="I1317">
        <v>1</v>
      </c>
      <c r="J1317" t="s">
        <v>49</v>
      </c>
      <c r="K1317">
        <v>1</v>
      </c>
      <c r="L1317">
        <v>1</v>
      </c>
      <c r="M1317" t="s">
        <v>160</v>
      </c>
      <c r="N1317">
        <v>0</v>
      </c>
      <c r="O1317" s="1">
        <f>+Tabla__192.168.1.8_POSEIDONSQL_APPFVT_01_tbl_detalle_fill_rate[[#This Row],[emb_cantidad]]-Tabla__192.168.1.8_POSEIDONSQL_APPFVT_01_tbl_detalle_fill_rate[[#This Row],[dev_cantidad]]</f>
        <v>1</v>
      </c>
      <c r="P13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7" s="1">
        <f>+Tabla__192.168.1.8_POSEIDONSQL_APPFVT_01_tbl_detalle_fill_rate[[#This Row],[Cumpl Real Unds]]-Tabla__192.168.1.8_POSEIDONSQL_APPFVT_01_tbl_detalle_fill_rate[[#This Row],[Cant Embarcada]]</f>
        <v>0</v>
      </c>
      <c r="S1317" s="1">
        <f>+IF(Tabla__192.168.1.8_POSEIDONSQL_APPFVT_01_tbl_detalle_fill_rate[[#This Row],[Pend Emb]]&gt;0,1,0)</f>
        <v>0</v>
      </c>
      <c r="T13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8" spans="1:20" x14ac:dyDescent="0.25">
      <c r="A1318">
        <v>5</v>
      </c>
      <c r="B1318" t="s">
        <v>57</v>
      </c>
      <c r="C1318">
        <v>6504027312</v>
      </c>
      <c r="D1318" s="48">
        <v>43346</v>
      </c>
      <c r="E1318" s="48">
        <v>43344</v>
      </c>
      <c r="F1318" s="48">
        <v>43357</v>
      </c>
      <c r="G1318" t="s">
        <v>94</v>
      </c>
      <c r="H1318" t="s">
        <v>95</v>
      </c>
      <c r="I1318">
        <v>1</v>
      </c>
      <c r="J1318" t="s">
        <v>49</v>
      </c>
      <c r="K1318">
        <v>1</v>
      </c>
      <c r="L1318">
        <v>1</v>
      </c>
      <c r="M1318" t="s">
        <v>160</v>
      </c>
      <c r="N1318">
        <v>0</v>
      </c>
      <c r="O1318" s="1">
        <f>+Tabla__192.168.1.8_POSEIDONSQL_APPFVT_01_tbl_detalle_fill_rate[[#This Row],[emb_cantidad]]-Tabla__192.168.1.8_POSEIDONSQL_APPFVT_01_tbl_detalle_fill_rate[[#This Row],[dev_cantidad]]</f>
        <v>1</v>
      </c>
      <c r="P13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8" s="1">
        <f>+Tabla__192.168.1.8_POSEIDONSQL_APPFVT_01_tbl_detalle_fill_rate[[#This Row],[Cumpl Real Unds]]-Tabla__192.168.1.8_POSEIDONSQL_APPFVT_01_tbl_detalle_fill_rate[[#This Row],[Cant Embarcada]]</f>
        <v>0</v>
      </c>
      <c r="S1318" s="1">
        <f>+IF(Tabla__192.168.1.8_POSEIDONSQL_APPFVT_01_tbl_detalle_fill_rate[[#This Row],[Pend Emb]]&gt;0,1,0)</f>
        <v>0</v>
      </c>
      <c r="T13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19" spans="1:20" x14ac:dyDescent="0.25">
      <c r="A1319">
        <v>5</v>
      </c>
      <c r="B1319" t="s">
        <v>57</v>
      </c>
      <c r="C1319">
        <v>6504029343</v>
      </c>
      <c r="D1319" s="48">
        <v>43347</v>
      </c>
      <c r="E1319" s="48">
        <v>43346</v>
      </c>
      <c r="F1319" s="48">
        <v>43353</v>
      </c>
      <c r="G1319" t="s">
        <v>1219</v>
      </c>
      <c r="H1319" t="s">
        <v>1220</v>
      </c>
      <c r="I1319">
        <v>1</v>
      </c>
      <c r="J1319" t="s">
        <v>49</v>
      </c>
      <c r="K1319">
        <v>1</v>
      </c>
      <c r="L1319">
        <v>1</v>
      </c>
      <c r="M1319" t="s">
        <v>163</v>
      </c>
      <c r="N1319">
        <v>0</v>
      </c>
      <c r="O1319" s="1">
        <f>+Tabla__192.168.1.8_POSEIDONSQL_APPFVT_01_tbl_detalle_fill_rate[[#This Row],[emb_cantidad]]-Tabla__192.168.1.8_POSEIDONSQL_APPFVT_01_tbl_detalle_fill_rate[[#This Row],[dev_cantidad]]</f>
        <v>1</v>
      </c>
      <c r="P13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19" s="1">
        <f>+Tabla__192.168.1.8_POSEIDONSQL_APPFVT_01_tbl_detalle_fill_rate[[#This Row],[Cumpl Real Unds]]-Tabla__192.168.1.8_POSEIDONSQL_APPFVT_01_tbl_detalle_fill_rate[[#This Row],[Cant Embarcada]]</f>
        <v>0</v>
      </c>
      <c r="S1319" s="1">
        <f>+IF(Tabla__192.168.1.8_POSEIDONSQL_APPFVT_01_tbl_detalle_fill_rate[[#This Row],[Pend Emb]]&gt;0,1,0)</f>
        <v>0</v>
      </c>
      <c r="T13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0" spans="1:20" x14ac:dyDescent="0.25">
      <c r="A1320">
        <v>5</v>
      </c>
      <c r="B1320" t="s">
        <v>57</v>
      </c>
      <c r="C1320">
        <v>6504029352</v>
      </c>
      <c r="D1320" s="48">
        <v>43347</v>
      </c>
      <c r="E1320" s="48">
        <v>43346</v>
      </c>
      <c r="F1320" s="48">
        <v>43353</v>
      </c>
      <c r="G1320" t="s">
        <v>96</v>
      </c>
      <c r="H1320" t="s">
        <v>97</v>
      </c>
      <c r="I1320">
        <v>1</v>
      </c>
      <c r="J1320" t="s">
        <v>49</v>
      </c>
      <c r="K1320">
        <v>1</v>
      </c>
      <c r="L1320">
        <v>1</v>
      </c>
      <c r="M1320" t="s">
        <v>163</v>
      </c>
      <c r="N1320">
        <v>0</v>
      </c>
      <c r="O1320" s="1">
        <f>+Tabla__192.168.1.8_POSEIDONSQL_APPFVT_01_tbl_detalle_fill_rate[[#This Row],[emb_cantidad]]-Tabla__192.168.1.8_POSEIDONSQL_APPFVT_01_tbl_detalle_fill_rate[[#This Row],[dev_cantidad]]</f>
        <v>1</v>
      </c>
      <c r="P13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20" s="1">
        <f>+Tabla__192.168.1.8_POSEIDONSQL_APPFVT_01_tbl_detalle_fill_rate[[#This Row],[Cumpl Real Unds]]-Tabla__192.168.1.8_POSEIDONSQL_APPFVT_01_tbl_detalle_fill_rate[[#This Row],[Cant Embarcada]]</f>
        <v>0</v>
      </c>
      <c r="S1320" s="1">
        <f>+IF(Tabla__192.168.1.8_POSEIDONSQL_APPFVT_01_tbl_detalle_fill_rate[[#This Row],[Pend Emb]]&gt;0,1,0)</f>
        <v>0</v>
      </c>
      <c r="T13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1" spans="1:20" x14ac:dyDescent="0.25">
      <c r="A1321">
        <v>5</v>
      </c>
      <c r="B1321" t="s">
        <v>57</v>
      </c>
      <c r="C1321">
        <v>6504029734</v>
      </c>
      <c r="D1321" s="48">
        <v>43347</v>
      </c>
      <c r="E1321" s="48">
        <v>43346</v>
      </c>
      <c r="F1321" s="48">
        <v>43354</v>
      </c>
      <c r="G1321" t="s">
        <v>2004</v>
      </c>
      <c r="H1321" t="s">
        <v>2005</v>
      </c>
      <c r="I1321">
        <v>15</v>
      </c>
      <c r="J1321" t="s">
        <v>49</v>
      </c>
      <c r="K1321">
        <v>0</v>
      </c>
      <c r="L1321">
        <v>0</v>
      </c>
      <c r="M1321" t="s">
        <v>12</v>
      </c>
      <c r="N1321">
        <v>0</v>
      </c>
      <c r="O1321" s="1">
        <f>+Tabla__192.168.1.8_POSEIDONSQL_APPFVT_01_tbl_detalle_fill_rate[[#This Row],[emb_cantidad]]-Tabla__192.168.1.8_POSEIDONSQL_APPFVT_01_tbl_detalle_fill_rate[[#This Row],[dev_cantidad]]</f>
        <v>0</v>
      </c>
      <c r="P13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21" s="1">
        <f>+Tabla__192.168.1.8_POSEIDONSQL_APPFVT_01_tbl_detalle_fill_rate[[#This Row],[Cumpl Real Unds]]-Tabla__192.168.1.8_POSEIDONSQL_APPFVT_01_tbl_detalle_fill_rate[[#This Row],[Cant Embarcada]]</f>
        <v>0</v>
      </c>
      <c r="S1321" s="1">
        <f>+IF(Tabla__192.168.1.8_POSEIDONSQL_APPFVT_01_tbl_detalle_fill_rate[[#This Row],[Pend Emb]]&gt;0,1,0)</f>
        <v>0</v>
      </c>
      <c r="T13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2" spans="1:20" x14ac:dyDescent="0.25">
      <c r="A1322">
        <v>5</v>
      </c>
      <c r="B1322" t="s">
        <v>57</v>
      </c>
      <c r="C1322">
        <v>6504029825</v>
      </c>
      <c r="D1322" s="48">
        <v>43347</v>
      </c>
      <c r="E1322" s="48">
        <v>43347</v>
      </c>
      <c r="F1322" s="48">
        <v>43355</v>
      </c>
      <c r="G1322" t="s">
        <v>281</v>
      </c>
      <c r="H1322" t="s">
        <v>282</v>
      </c>
      <c r="I1322">
        <v>5</v>
      </c>
      <c r="J1322" t="s">
        <v>49</v>
      </c>
      <c r="K1322">
        <v>0</v>
      </c>
      <c r="L1322">
        <v>0</v>
      </c>
      <c r="M1322" t="s">
        <v>12</v>
      </c>
      <c r="N1322">
        <v>0</v>
      </c>
      <c r="O1322" s="1">
        <f>+Tabla__192.168.1.8_POSEIDONSQL_APPFVT_01_tbl_detalle_fill_rate[[#This Row],[emb_cantidad]]-Tabla__192.168.1.8_POSEIDONSQL_APPFVT_01_tbl_detalle_fill_rate[[#This Row],[dev_cantidad]]</f>
        <v>0</v>
      </c>
      <c r="P13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22" s="1">
        <f>+Tabla__192.168.1.8_POSEIDONSQL_APPFVT_01_tbl_detalle_fill_rate[[#This Row],[Cumpl Real Unds]]-Tabla__192.168.1.8_POSEIDONSQL_APPFVT_01_tbl_detalle_fill_rate[[#This Row],[Cant Embarcada]]</f>
        <v>0</v>
      </c>
      <c r="S1322" s="1">
        <f>+IF(Tabla__192.168.1.8_POSEIDONSQL_APPFVT_01_tbl_detalle_fill_rate[[#This Row],[Pend Emb]]&gt;0,1,0)</f>
        <v>0</v>
      </c>
      <c r="T13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3" spans="1:20" x14ac:dyDescent="0.25">
      <c r="A1323">
        <v>5</v>
      </c>
      <c r="B1323" t="s">
        <v>57</v>
      </c>
      <c r="C1323">
        <v>6504029825</v>
      </c>
      <c r="D1323" s="48">
        <v>43347</v>
      </c>
      <c r="E1323" s="48">
        <v>43347</v>
      </c>
      <c r="F1323" s="48">
        <v>43355</v>
      </c>
      <c r="G1323" t="s">
        <v>1373</v>
      </c>
      <c r="H1323" t="s">
        <v>1374</v>
      </c>
      <c r="I1323">
        <v>10</v>
      </c>
      <c r="J1323" t="s">
        <v>49</v>
      </c>
      <c r="K1323">
        <v>0</v>
      </c>
      <c r="L1323">
        <v>0</v>
      </c>
      <c r="M1323" t="s">
        <v>12</v>
      </c>
      <c r="N1323">
        <v>0</v>
      </c>
      <c r="O1323" s="1">
        <f>+Tabla__192.168.1.8_POSEIDONSQL_APPFVT_01_tbl_detalle_fill_rate[[#This Row],[emb_cantidad]]-Tabla__192.168.1.8_POSEIDONSQL_APPFVT_01_tbl_detalle_fill_rate[[#This Row],[dev_cantidad]]</f>
        <v>0</v>
      </c>
      <c r="P13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23" s="1">
        <f>+Tabla__192.168.1.8_POSEIDONSQL_APPFVT_01_tbl_detalle_fill_rate[[#This Row],[Cumpl Real Unds]]-Tabla__192.168.1.8_POSEIDONSQL_APPFVT_01_tbl_detalle_fill_rate[[#This Row],[Cant Embarcada]]</f>
        <v>0</v>
      </c>
      <c r="S1323" s="1">
        <f>+IF(Tabla__192.168.1.8_POSEIDONSQL_APPFVT_01_tbl_detalle_fill_rate[[#This Row],[Pend Emb]]&gt;0,1,0)</f>
        <v>0</v>
      </c>
      <c r="T13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4" spans="1:20" x14ac:dyDescent="0.25">
      <c r="A1324">
        <v>5</v>
      </c>
      <c r="B1324" t="s">
        <v>57</v>
      </c>
      <c r="C1324">
        <v>6504031433</v>
      </c>
      <c r="D1324" s="48">
        <v>43348</v>
      </c>
      <c r="E1324" s="48">
        <v>43347</v>
      </c>
      <c r="F1324" s="48">
        <v>43353</v>
      </c>
      <c r="G1324" t="s">
        <v>62</v>
      </c>
      <c r="H1324" t="s">
        <v>63</v>
      </c>
      <c r="I1324">
        <v>1</v>
      </c>
      <c r="J1324" t="s">
        <v>49</v>
      </c>
      <c r="K1324">
        <v>1</v>
      </c>
      <c r="L1324">
        <v>1</v>
      </c>
      <c r="M1324" t="s">
        <v>163</v>
      </c>
      <c r="N1324">
        <v>0</v>
      </c>
      <c r="O1324" s="1">
        <f>+Tabla__192.168.1.8_POSEIDONSQL_APPFVT_01_tbl_detalle_fill_rate[[#This Row],[emb_cantidad]]-Tabla__192.168.1.8_POSEIDONSQL_APPFVT_01_tbl_detalle_fill_rate[[#This Row],[dev_cantidad]]</f>
        <v>1</v>
      </c>
      <c r="P13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24" s="1">
        <f>+Tabla__192.168.1.8_POSEIDONSQL_APPFVT_01_tbl_detalle_fill_rate[[#This Row],[Cumpl Real Unds]]-Tabla__192.168.1.8_POSEIDONSQL_APPFVT_01_tbl_detalle_fill_rate[[#This Row],[Cant Embarcada]]</f>
        <v>0</v>
      </c>
      <c r="S1324" s="1">
        <f>+IF(Tabla__192.168.1.8_POSEIDONSQL_APPFVT_01_tbl_detalle_fill_rate[[#This Row],[Pend Emb]]&gt;0,1,0)</f>
        <v>0</v>
      </c>
      <c r="T13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5" spans="1:20" x14ac:dyDescent="0.25">
      <c r="A1325">
        <v>5</v>
      </c>
      <c r="B1325" t="s">
        <v>57</v>
      </c>
      <c r="C1325">
        <v>6504032109</v>
      </c>
      <c r="D1325" s="48">
        <v>43348</v>
      </c>
      <c r="E1325" s="48">
        <v>43347</v>
      </c>
      <c r="F1325" s="48">
        <v>43353</v>
      </c>
      <c r="G1325" t="s">
        <v>271</v>
      </c>
      <c r="H1325" t="s">
        <v>272</v>
      </c>
      <c r="I1325">
        <v>10</v>
      </c>
      <c r="J1325" t="s">
        <v>49</v>
      </c>
      <c r="K1325">
        <v>10</v>
      </c>
      <c r="L1325">
        <v>10</v>
      </c>
      <c r="M1325" t="s">
        <v>1969</v>
      </c>
      <c r="N1325">
        <v>0</v>
      </c>
      <c r="O1325" s="1">
        <f>+Tabla__192.168.1.8_POSEIDONSQL_APPFVT_01_tbl_detalle_fill_rate[[#This Row],[emb_cantidad]]-Tabla__192.168.1.8_POSEIDONSQL_APPFVT_01_tbl_detalle_fill_rate[[#This Row],[dev_cantidad]]</f>
        <v>10</v>
      </c>
      <c r="P13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325" s="1">
        <f>+Tabla__192.168.1.8_POSEIDONSQL_APPFVT_01_tbl_detalle_fill_rate[[#This Row],[Cumpl Real Unds]]-Tabla__192.168.1.8_POSEIDONSQL_APPFVT_01_tbl_detalle_fill_rate[[#This Row],[Cant Embarcada]]</f>
        <v>0</v>
      </c>
      <c r="S1325" s="1">
        <f>+IF(Tabla__192.168.1.8_POSEIDONSQL_APPFVT_01_tbl_detalle_fill_rate[[#This Row],[Pend Emb]]&gt;0,1,0)</f>
        <v>0</v>
      </c>
      <c r="T13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6" spans="1:20" x14ac:dyDescent="0.25">
      <c r="A1326">
        <v>5</v>
      </c>
      <c r="B1326" t="s">
        <v>57</v>
      </c>
      <c r="C1326">
        <v>6504032109</v>
      </c>
      <c r="D1326" s="48">
        <v>43348</v>
      </c>
      <c r="E1326" s="48">
        <v>43347</v>
      </c>
      <c r="F1326" s="48">
        <v>43353</v>
      </c>
      <c r="G1326" t="s">
        <v>279</v>
      </c>
      <c r="H1326" t="s">
        <v>280</v>
      </c>
      <c r="I1326">
        <v>21</v>
      </c>
      <c r="J1326" t="s">
        <v>49</v>
      </c>
      <c r="K1326">
        <v>8</v>
      </c>
      <c r="L1326">
        <v>8</v>
      </c>
      <c r="M1326" t="s">
        <v>1969</v>
      </c>
      <c r="N1326">
        <v>0</v>
      </c>
      <c r="O1326" s="1">
        <f>+Tabla__192.168.1.8_POSEIDONSQL_APPFVT_01_tbl_detalle_fill_rate[[#This Row],[emb_cantidad]]-Tabla__192.168.1.8_POSEIDONSQL_APPFVT_01_tbl_detalle_fill_rate[[#This Row],[dev_cantidad]]</f>
        <v>8</v>
      </c>
      <c r="P13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1326" s="1">
        <f>+Tabla__192.168.1.8_POSEIDONSQL_APPFVT_01_tbl_detalle_fill_rate[[#This Row],[Cumpl Real Unds]]-Tabla__192.168.1.8_POSEIDONSQL_APPFVT_01_tbl_detalle_fill_rate[[#This Row],[Cant Embarcada]]</f>
        <v>0</v>
      </c>
      <c r="S1326" s="1">
        <f>+IF(Tabla__192.168.1.8_POSEIDONSQL_APPFVT_01_tbl_detalle_fill_rate[[#This Row],[Pend Emb]]&gt;0,1,0)</f>
        <v>0</v>
      </c>
      <c r="T13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7" spans="1:20" x14ac:dyDescent="0.25">
      <c r="A1327">
        <v>5</v>
      </c>
      <c r="B1327" t="s">
        <v>57</v>
      </c>
      <c r="C1327">
        <v>6504032109</v>
      </c>
      <c r="D1327" s="48">
        <v>43348</v>
      </c>
      <c r="E1327" s="48">
        <v>43347</v>
      </c>
      <c r="F1327" s="48">
        <v>43353</v>
      </c>
      <c r="G1327" t="s">
        <v>257</v>
      </c>
      <c r="H1327" t="s">
        <v>258</v>
      </c>
      <c r="I1327">
        <v>3</v>
      </c>
      <c r="J1327" t="s">
        <v>49</v>
      </c>
      <c r="K1327">
        <v>3</v>
      </c>
      <c r="L1327">
        <v>3</v>
      </c>
      <c r="M1327" t="s">
        <v>1969</v>
      </c>
      <c r="N1327">
        <v>0</v>
      </c>
      <c r="O1327" s="1">
        <f>+Tabla__192.168.1.8_POSEIDONSQL_APPFVT_01_tbl_detalle_fill_rate[[#This Row],[emb_cantidad]]-Tabla__192.168.1.8_POSEIDONSQL_APPFVT_01_tbl_detalle_fill_rate[[#This Row],[dev_cantidad]]</f>
        <v>3</v>
      </c>
      <c r="P13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1327" s="1">
        <f>+Tabla__192.168.1.8_POSEIDONSQL_APPFVT_01_tbl_detalle_fill_rate[[#This Row],[Cumpl Real Unds]]-Tabla__192.168.1.8_POSEIDONSQL_APPFVT_01_tbl_detalle_fill_rate[[#This Row],[Cant Embarcada]]</f>
        <v>0</v>
      </c>
      <c r="S1327" s="1">
        <f>+IF(Tabla__192.168.1.8_POSEIDONSQL_APPFVT_01_tbl_detalle_fill_rate[[#This Row],[Pend Emb]]&gt;0,1,0)</f>
        <v>0</v>
      </c>
      <c r="T13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8" spans="1:20" x14ac:dyDescent="0.25">
      <c r="A1328">
        <v>5</v>
      </c>
      <c r="B1328" t="s">
        <v>57</v>
      </c>
      <c r="C1328">
        <v>6504032109</v>
      </c>
      <c r="D1328" s="48">
        <v>43348</v>
      </c>
      <c r="E1328" s="48">
        <v>43347</v>
      </c>
      <c r="F1328" s="48">
        <v>43353</v>
      </c>
      <c r="G1328" t="s">
        <v>281</v>
      </c>
      <c r="H1328" t="s">
        <v>282</v>
      </c>
      <c r="I1328">
        <v>3</v>
      </c>
      <c r="J1328" t="s">
        <v>49</v>
      </c>
      <c r="K1328">
        <v>0</v>
      </c>
      <c r="L1328">
        <v>0</v>
      </c>
      <c r="M1328" t="s">
        <v>1969</v>
      </c>
      <c r="N1328">
        <v>0</v>
      </c>
      <c r="O1328" s="1">
        <f>+Tabla__192.168.1.8_POSEIDONSQL_APPFVT_01_tbl_detalle_fill_rate[[#This Row],[emb_cantidad]]-Tabla__192.168.1.8_POSEIDONSQL_APPFVT_01_tbl_detalle_fill_rate[[#This Row],[dev_cantidad]]</f>
        <v>0</v>
      </c>
      <c r="P13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28" s="1">
        <f>+Tabla__192.168.1.8_POSEIDONSQL_APPFVT_01_tbl_detalle_fill_rate[[#This Row],[Cumpl Real Unds]]-Tabla__192.168.1.8_POSEIDONSQL_APPFVT_01_tbl_detalle_fill_rate[[#This Row],[Cant Embarcada]]</f>
        <v>0</v>
      </c>
      <c r="S1328" s="1">
        <f>+IF(Tabla__192.168.1.8_POSEIDONSQL_APPFVT_01_tbl_detalle_fill_rate[[#This Row],[Pend Emb]]&gt;0,1,0)</f>
        <v>0</v>
      </c>
      <c r="T13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29" spans="1:20" x14ac:dyDescent="0.25">
      <c r="A1329">
        <v>5</v>
      </c>
      <c r="B1329" t="s">
        <v>57</v>
      </c>
      <c r="C1329">
        <v>6504032109</v>
      </c>
      <c r="D1329" s="48">
        <v>43348</v>
      </c>
      <c r="E1329" s="48">
        <v>43347</v>
      </c>
      <c r="F1329" s="48">
        <v>43353</v>
      </c>
      <c r="G1329" t="s">
        <v>88</v>
      </c>
      <c r="H1329" t="s">
        <v>89</v>
      </c>
      <c r="I1329">
        <v>2</v>
      </c>
      <c r="J1329" t="s">
        <v>49</v>
      </c>
      <c r="K1329">
        <v>2</v>
      </c>
      <c r="L1329">
        <v>2</v>
      </c>
      <c r="M1329" t="s">
        <v>1969</v>
      </c>
      <c r="N1329">
        <v>0</v>
      </c>
      <c r="O1329" s="1">
        <f>+Tabla__192.168.1.8_POSEIDONSQL_APPFVT_01_tbl_detalle_fill_rate[[#This Row],[emb_cantidad]]-Tabla__192.168.1.8_POSEIDONSQL_APPFVT_01_tbl_detalle_fill_rate[[#This Row],[dev_cantidad]]</f>
        <v>2</v>
      </c>
      <c r="P13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329" s="1">
        <f>+Tabla__192.168.1.8_POSEIDONSQL_APPFVT_01_tbl_detalle_fill_rate[[#This Row],[Cumpl Real Unds]]-Tabla__192.168.1.8_POSEIDONSQL_APPFVT_01_tbl_detalle_fill_rate[[#This Row],[Cant Embarcada]]</f>
        <v>0</v>
      </c>
      <c r="S1329" s="1">
        <f>+IF(Tabla__192.168.1.8_POSEIDONSQL_APPFVT_01_tbl_detalle_fill_rate[[#This Row],[Pend Emb]]&gt;0,1,0)</f>
        <v>0</v>
      </c>
      <c r="T13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0" spans="1:20" x14ac:dyDescent="0.25">
      <c r="A1330">
        <v>5</v>
      </c>
      <c r="B1330" t="s">
        <v>57</v>
      </c>
      <c r="C1330">
        <v>6504032109</v>
      </c>
      <c r="D1330" s="48">
        <v>43348</v>
      </c>
      <c r="E1330" s="48">
        <v>43347</v>
      </c>
      <c r="F1330" s="48">
        <v>43353</v>
      </c>
      <c r="G1330" t="s">
        <v>283</v>
      </c>
      <c r="H1330" t="s">
        <v>284</v>
      </c>
      <c r="I1330">
        <v>13</v>
      </c>
      <c r="J1330" t="s">
        <v>49</v>
      </c>
      <c r="K1330">
        <v>13</v>
      </c>
      <c r="L1330">
        <v>13</v>
      </c>
      <c r="M1330" t="s">
        <v>1969</v>
      </c>
      <c r="N1330">
        <v>0</v>
      </c>
      <c r="O1330" s="1">
        <f>+Tabla__192.168.1.8_POSEIDONSQL_APPFVT_01_tbl_detalle_fill_rate[[#This Row],[emb_cantidad]]-Tabla__192.168.1.8_POSEIDONSQL_APPFVT_01_tbl_detalle_fill_rate[[#This Row],[dev_cantidad]]</f>
        <v>13</v>
      </c>
      <c r="P13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13</v>
      </c>
      <c r="R1330" s="1">
        <f>+Tabla__192.168.1.8_POSEIDONSQL_APPFVT_01_tbl_detalle_fill_rate[[#This Row],[Cumpl Real Unds]]-Tabla__192.168.1.8_POSEIDONSQL_APPFVT_01_tbl_detalle_fill_rate[[#This Row],[Cant Embarcada]]</f>
        <v>0</v>
      </c>
      <c r="S1330" s="1">
        <f>+IF(Tabla__192.168.1.8_POSEIDONSQL_APPFVT_01_tbl_detalle_fill_rate[[#This Row],[Pend Emb]]&gt;0,1,0)</f>
        <v>0</v>
      </c>
      <c r="T13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1" spans="1:20" x14ac:dyDescent="0.25">
      <c r="A1331">
        <v>5</v>
      </c>
      <c r="B1331" t="s">
        <v>57</v>
      </c>
      <c r="C1331">
        <v>6504032109</v>
      </c>
      <c r="D1331" s="48">
        <v>43348</v>
      </c>
      <c r="E1331" s="48">
        <v>43347</v>
      </c>
      <c r="F1331" s="48">
        <v>43353</v>
      </c>
      <c r="G1331" t="s">
        <v>285</v>
      </c>
      <c r="H1331" t="s">
        <v>286</v>
      </c>
      <c r="I1331">
        <v>13</v>
      </c>
      <c r="J1331" t="s">
        <v>49</v>
      </c>
      <c r="K1331">
        <v>13</v>
      </c>
      <c r="L1331">
        <v>13</v>
      </c>
      <c r="M1331" t="s">
        <v>1969</v>
      </c>
      <c r="N1331">
        <v>0</v>
      </c>
      <c r="O1331" s="1">
        <f>+Tabla__192.168.1.8_POSEIDONSQL_APPFVT_01_tbl_detalle_fill_rate[[#This Row],[emb_cantidad]]-Tabla__192.168.1.8_POSEIDONSQL_APPFVT_01_tbl_detalle_fill_rate[[#This Row],[dev_cantidad]]</f>
        <v>13</v>
      </c>
      <c r="P13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13</v>
      </c>
      <c r="R1331" s="1">
        <f>+Tabla__192.168.1.8_POSEIDONSQL_APPFVT_01_tbl_detalle_fill_rate[[#This Row],[Cumpl Real Unds]]-Tabla__192.168.1.8_POSEIDONSQL_APPFVT_01_tbl_detalle_fill_rate[[#This Row],[Cant Embarcada]]</f>
        <v>0</v>
      </c>
      <c r="S1331" s="1">
        <f>+IF(Tabla__192.168.1.8_POSEIDONSQL_APPFVT_01_tbl_detalle_fill_rate[[#This Row],[Pend Emb]]&gt;0,1,0)</f>
        <v>0</v>
      </c>
      <c r="T13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2" spans="1:20" x14ac:dyDescent="0.25">
      <c r="A1332">
        <v>5</v>
      </c>
      <c r="B1332" t="s">
        <v>57</v>
      </c>
      <c r="C1332">
        <v>6504032109</v>
      </c>
      <c r="D1332" s="48">
        <v>43348</v>
      </c>
      <c r="E1332" s="48">
        <v>43347</v>
      </c>
      <c r="F1332" s="48">
        <v>43353</v>
      </c>
      <c r="G1332" t="s">
        <v>294</v>
      </c>
      <c r="H1332" t="s">
        <v>295</v>
      </c>
      <c r="I1332">
        <v>5</v>
      </c>
      <c r="J1332" t="s">
        <v>49</v>
      </c>
      <c r="K1332">
        <v>0</v>
      </c>
      <c r="L1332">
        <v>0</v>
      </c>
      <c r="M1332" t="s">
        <v>1969</v>
      </c>
      <c r="N1332">
        <v>0</v>
      </c>
      <c r="O1332" s="1">
        <f>+Tabla__192.168.1.8_POSEIDONSQL_APPFVT_01_tbl_detalle_fill_rate[[#This Row],[emb_cantidad]]-Tabla__192.168.1.8_POSEIDONSQL_APPFVT_01_tbl_detalle_fill_rate[[#This Row],[dev_cantidad]]</f>
        <v>0</v>
      </c>
      <c r="P13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32" s="1">
        <f>+Tabla__192.168.1.8_POSEIDONSQL_APPFVT_01_tbl_detalle_fill_rate[[#This Row],[Cumpl Real Unds]]-Tabla__192.168.1.8_POSEIDONSQL_APPFVT_01_tbl_detalle_fill_rate[[#This Row],[Cant Embarcada]]</f>
        <v>0</v>
      </c>
      <c r="S1332" s="1">
        <f>+IF(Tabla__192.168.1.8_POSEIDONSQL_APPFVT_01_tbl_detalle_fill_rate[[#This Row],[Pend Emb]]&gt;0,1,0)</f>
        <v>0</v>
      </c>
      <c r="T13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3" spans="1:20" x14ac:dyDescent="0.25">
      <c r="A1333">
        <v>5</v>
      </c>
      <c r="B1333" t="s">
        <v>57</v>
      </c>
      <c r="C1333">
        <v>6504032109</v>
      </c>
      <c r="D1333" s="48">
        <v>43348</v>
      </c>
      <c r="E1333" s="48">
        <v>43347</v>
      </c>
      <c r="F1333" s="48">
        <v>43353</v>
      </c>
      <c r="G1333" t="s">
        <v>287</v>
      </c>
      <c r="H1333" t="s">
        <v>288</v>
      </c>
      <c r="I1333">
        <v>20</v>
      </c>
      <c r="J1333" t="s">
        <v>49</v>
      </c>
      <c r="K1333">
        <v>20</v>
      </c>
      <c r="L1333">
        <v>20</v>
      </c>
      <c r="M1333" t="s">
        <v>1969</v>
      </c>
      <c r="N1333">
        <v>0</v>
      </c>
      <c r="O1333" s="1">
        <f>+Tabla__192.168.1.8_POSEIDONSQL_APPFVT_01_tbl_detalle_fill_rate[[#This Row],[emb_cantidad]]-Tabla__192.168.1.8_POSEIDONSQL_APPFVT_01_tbl_detalle_fill_rate[[#This Row],[dev_cantidad]]</f>
        <v>20</v>
      </c>
      <c r="P13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20</v>
      </c>
      <c r="R1333" s="1">
        <f>+Tabla__192.168.1.8_POSEIDONSQL_APPFVT_01_tbl_detalle_fill_rate[[#This Row],[Cumpl Real Unds]]-Tabla__192.168.1.8_POSEIDONSQL_APPFVT_01_tbl_detalle_fill_rate[[#This Row],[Cant Embarcada]]</f>
        <v>0</v>
      </c>
      <c r="S1333" s="1">
        <f>+IF(Tabla__192.168.1.8_POSEIDONSQL_APPFVT_01_tbl_detalle_fill_rate[[#This Row],[Pend Emb]]&gt;0,1,0)</f>
        <v>0</v>
      </c>
      <c r="T13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4" spans="1:20" x14ac:dyDescent="0.25">
      <c r="A1334">
        <v>5</v>
      </c>
      <c r="B1334" t="s">
        <v>57</v>
      </c>
      <c r="C1334">
        <v>6504033594</v>
      </c>
      <c r="D1334" s="48">
        <v>43349</v>
      </c>
      <c r="E1334" s="48">
        <v>43348</v>
      </c>
      <c r="F1334" s="48">
        <v>43357</v>
      </c>
      <c r="G1334" t="s">
        <v>257</v>
      </c>
      <c r="H1334" t="s">
        <v>258</v>
      </c>
      <c r="I1334">
        <v>2</v>
      </c>
      <c r="J1334" t="s">
        <v>49</v>
      </c>
      <c r="K1334">
        <v>2</v>
      </c>
      <c r="L1334">
        <v>2</v>
      </c>
      <c r="M1334" t="s">
        <v>427</v>
      </c>
      <c r="N1334">
        <v>0</v>
      </c>
      <c r="O1334" s="1">
        <f>+Tabla__192.168.1.8_POSEIDONSQL_APPFVT_01_tbl_detalle_fill_rate[[#This Row],[emb_cantidad]]-Tabla__192.168.1.8_POSEIDONSQL_APPFVT_01_tbl_detalle_fill_rate[[#This Row],[dev_cantidad]]</f>
        <v>2</v>
      </c>
      <c r="P13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334" s="1">
        <f>+Tabla__192.168.1.8_POSEIDONSQL_APPFVT_01_tbl_detalle_fill_rate[[#This Row],[Cumpl Real Unds]]-Tabla__192.168.1.8_POSEIDONSQL_APPFVT_01_tbl_detalle_fill_rate[[#This Row],[Cant Embarcada]]</f>
        <v>0</v>
      </c>
      <c r="S1334" s="1">
        <f>+IF(Tabla__192.168.1.8_POSEIDONSQL_APPFVT_01_tbl_detalle_fill_rate[[#This Row],[Pend Emb]]&gt;0,1,0)</f>
        <v>0</v>
      </c>
      <c r="T13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5" spans="1:20" x14ac:dyDescent="0.25">
      <c r="A1335">
        <v>5</v>
      </c>
      <c r="B1335" t="s">
        <v>57</v>
      </c>
      <c r="C1335">
        <v>6504036083</v>
      </c>
      <c r="D1335" s="48">
        <v>43350</v>
      </c>
      <c r="E1335" s="48">
        <v>43349</v>
      </c>
      <c r="F1335" s="48">
        <v>43355</v>
      </c>
      <c r="G1335" t="s">
        <v>372</v>
      </c>
      <c r="H1335" t="s">
        <v>373</v>
      </c>
      <c r="I1335">
        <v>1</v>
      </c>
      <c r="J1335" t="s">
        <v>49</v>
      </c>
      <c r="K1335">
        <v>1</v>
      </c>
      <c r="L1335">
        <v>1</v>
      </c>
      <c r="M1335" t="s">
        <v>427</v>
      </c>
      <c r="N1335">
        <v>0</v>
      </c>
      <c r="O1335" s="1">
        <f>+Tabla__192.168.1.8_POSEIDONSQL_APPFVT_01_tbl_detalle_fill_rate[[#This Row],[emb_cantidad]]-Tabla__192.168.1.8_POSEIDONSQL_APPFVT_01_tbl_detalle_fill_rate[[#This Row],[dev_cantidad]]</f>
        <v>1</v>
      </c>
      <c r="P13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35" s="1">
        <f>+Tabla__192.168.1.8_POSEIDONSQL_APPFVT_01_tbl_detalle_fill_rate[[#This Row],[Cumpl Real Unds]]-Tabla__192.168.1.8_POSEIDONSQL_APPFVT_01_tbl_detalle_fill_rate[[#This Row],[Cant Embarcada]]</f>
        <v>0</v>
      </c>
      <c r="S1335" s="1">
        <f>+IF(Tabla__192.168.1.8_POSEIDONSQL_APPFVT_01_tbl_detalle_fill_rate[[#This Row],[Pend Emb]]&gt;0,1,0)</f>
        <v>0</v>
      </c>
      <c r="T13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6" spans="1:20" x14ac:dyDescent="0.25">
      <c r="A1336">
        <v>5</v>
      </c>
      <c r="B1336" t="s">
        <v>57</v>
      </c>
      <c r="C1336">
        <v>6504036086</v>
      </c>
      <c r="D1336" s="48">
        <v>43350</v>
      </c>
      <c r="E1336" s="48">
        <v>43349</v>
      </c>
      <c r="F1336" s="48">
        <v>43357</v>
      </c>
      <c r="G1336" t="s">
        <v>2004</v>
      </c>
      <c r="H1336" t="s">
        <v>2005</v>
      </c>
      <c r="I1336">
        <v>10</v>
      </c>
      <c r="J1336" t="s">
        <v>49</v>
      </c>
      <c r="K1336">
        <v>0</v>
      </c>
      <c r="L1336">
        <v>0</v>
      </c>
      <c r="M1336" t="s">
        <v>12</v>
      </c>
      <c r="N1336">
        <v>0</v>
      </c>
      <c r="O1336" s="1">
        <f>+Tabla__192.168.1.8_POSEIDONSQL_APPFVT_01_tbl_detalle_fill_rate[[#This Row],[emb_cantidad]]-Tabla__192.168.1.8_POSEIDONSQL_APPFVT_01_tbl_detalle_fill_rate[[#This Row],[dev_cantidad]]</f>
        <v>0</v>
      </c>
      <c r="P13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36" s="1">
        <f>+Tabla__192.168.1.8_POSEIDONSQL_APPFVT_01_tbl_detalle_fill_rate[[#This Row],[Cumpl Real Unds]]-Tabla__192.168.1.8_POSEIDONSQL_APPFVT_01_tbl_detalle_fill_rate[[#This Row],[Cant Embarcada]]</f>
        <v>0</v>
      </c>
      <c r="S1336" s="1">
        <f>+IF(Tabla__192.168.1.8_POSEIDONSQL_APPFVT_01_tbl_detalle_fill_rate[[#This Row],[Pend Emb]]&gt;0,1,0)</f>
        <v>0</v>
      </c>
      <c r="T13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7" spans="1:20" x14ac:dyDescent="0.25">
      <c r="A1337">
        <v>5</v>
      </c>
      <c r="B1337" t="s">
        <v>57</v>
      </c>
      <c r="C1337">
        <v>6504036416</v>
      </c>
      <c r="D1337" s="48">
        <v>43350</v>
      </c>
      <c r="E1337" s="48">
        <v>43349</v>
      </c>
      <c r="F1337" s="48">
        <v>43355</v>
      </c>
      <c r="G1337" t="s">
        <v>68</v>
      </c>
      <c r="H1337" t="s">
        <v>69</v>
      </c>
      <c r="I1337">
        <v>1</v>
      </c>
      <c r="J1337" t="s">
        <v>49</v>
      </c>
      <c r="K1337">
        <v>1</v>
      </c>
      <c r="L1337">
        <v>1</v>
      </c>
      <c r="M1337" t="s">
        <v>427</v>
      </c>
      <c r="N1337">
        <v>0</v>
      </c>
      <c r="O1337" s="1">
        <f>+Tabla__192.168.1.8_POSEIDONSQL_APPFVT_01_tbl_detalle_fill_rate[[#This Row],[emb_cantidad]]-Tabla__192.168.1.8_POSEIDONSQL_APPFVT_01_tbl_detalle_fill_rate[[#This Row],[dev_cantidad]]</f>
        <v>1</v>
      </c>
      <c r="P13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37" s="1">
        <f>+Tabla__192.168.1.8_POSEIDONSQL_APPFVT_01_tbl_detalle_fill_rate[[#This Row],[Cumpl Real Unds]]-Tabla__192.168.1.8_POSEIDONSQL_APPFVT_01_tbl_detalle_fill_rate[[#This Row],[Cant Embarcada]]</f>
        <v>0</v>
      </c>
      <c r="S1337" s="1">
        <f>+IF(Tabla__192.168.1.8_POSEIDONSQL_APPFVT_01_tbl_detalle_fill_rate[[#This Row],[Pend Emb]]&gt;0,1,0)</f>
        <v>0</v>
      </c>
      <c r="T13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8" spans="1:20" x14ac:dyDescent="0.25">
      <c r="A1338">
        <v>5</v>
      </c>
      <c r="B1338" t="s">
        <v>57</v>
      </c>
      <c r="C1338">
        <v>6504038023</v>
      </c>
      <c r="D1338" s="48">
        <v>43353</v>
      </c>
      <c r="E1338" s="48">
        <v>43350</v>
      </c>
      <c r="F1338" s="48">
        <v>43364</v>
      </c>
      <c r="G1338" t="s">
        <v>78</v>
      </c>
      <c r="H1338" t="s">
        <v>79</v>
      </c>
      <c r="I1338">
        <v>1</v>
      </c>
      <c r="J1338" t="s">
        <v>49</v>
      </c>
      <c r="K1338">
        <v>1</v>
      </c>
      <c r="L1338">
        <v>1</v>
      </c>
      <c r="M1338" t="s">
        <v>422</v>
      </c>
      <c r="N1338">
        <v>0</v>
      </c>
      <c r="O1338" s="1">
        <f>+Tabla__192.168.1.8_POSEIDONSQL_APPFVT_01_tbl_detalle_fill_rate[[#This Row],[emb_cantidad]]-Tabla__192.168.1.8_POSEIDONSQL_APPFVT_01_tbl_detalle_fill_rate[[#This Row],[dev_cantidad]]</f>
        <v>1</v>
      </c>
      <c r="P13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38" s="1">
        <f>+Tabla__192.168.1.8_POSEIDONSQL_APPFVT_01_tbl_detalle_fill_rate[[#This Row],[Cumpl Real Unds]]-Tabla__192.168.1.8_POSEIDONSQL_APPFVT_01_tbl_detalle_fill_rate[[#This Row],[Cant Embarcada]]</f>
        <v>0</v>
      </c>
      <c r="S1338" s="1">
        <f>+IF(Tabla__192.168.1.8_POSEIDONSQL_APPFVT_01_tbl_detalle_fill_rate[[#This Row],[Pend Emb]]&gt;0,1,0)</f>
        <v>0</v>
      </c>
      <c r="T13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39" spans="1:20" x14ac:dyDescent="0.25">
      <c r="A1339">
        <v>5</v>
      </c>
      <c r="B1339" t="s">
        <v>57</v>
      </c>
      <c r="C1339">
        <v>6504038092</v>
      </c>
      <c r="D1339" s="48">
        <v>43353</v>
      </c>
      <c r="E1339" s="48">
        <v>43351</v>
      </c>
      <c r="F1339" s="48">
        <v>43364</v>
      </c>
      <c r="G1339" t="s">
        <v>62</v>
      </c>
      <c r="H1339" t="s">
        <v>63</v>
      </c>
      <c r="I1339">
        <v>1</v>
      </c>
      <c r="J1339" t="s">
        <v>49</v>
      </c>
      <c r="K1339">
        <v>1</v>
      </c>
      <c r="L1339">
        <v>1</v>
      </c>
      <c r="M1339" t="s">
        <v>422</v>
      </c>
      <c r="N1339">
        <v>0</v>
      </c>
      <c r="O1339" s="1">
        <f>+Tabla__192.168.1.8_POSEIDONSQL_APPFVT_01_tbl_detalle_fill_rate[[#This Row],[emb_cantidad]]-Tabla__192.168.1.8_POSEIDONSQL_APPFVT_01_tbl_detalle_fill_rate[[#This Row],[dev_cantidad]]</f>
        <v>1</v>
      </c>
      <c r="P13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39" s="1">
        <f>+Tabla__192.168.1.8_POSEIDONSQL_APPFVT_01_tbl_detalle_fill_rate[[#This Row],[Cumpl Real Unds]]-Tabla__192.168.1.8_POSEIDONSQL_APPFVT_01_tbl_detalle_fill_rate[[#This Row],[Cant Embarcada]]</f>
        <v>0</v>
      </c>
      <c r="S1339" s="1">
        <f>+IF(Tabla__192.168.1.8_POSEIDONSQL_APPFVT_01_tbl_detalle_fill_rate[[#This Row],[Pend Emb]]&gt;0,1,0)</f>
        <v>0</v>
      </c>
      <c r="T13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0" spans="1:20" x14ac:dyDescent="0.25">
      <c r="A1340">
        <v>5</v>
      </c>
      <c r="B1340" t="s">
        <v>57</v>
      </c>
      <c r="C1340">
        <v>6504038311</v>
      </c>
      <c r="D1340" s="48">
        <v>43353</v>
      </c>
      <c r="E1340" s="48">
        <v>43352</v>
      </c>
      <c r="F1340" s="48">
        <v>43364</v>
      </c>
      <c r="G1340" t="s">
        <v>102</v>
      </c>
      <c r="H1340" t="s">
        <v>103</v>
      </c>
      <c r="I1340">
        <v>1</v>
      </c>
      <c r="J1340" t="s">
        <v>49</v>
      </c>
      <c r="K1340">
        <v>1</v>
      </c>
      <c r="L1340">
        <v>1</v>
      </c>
      <c r="M1340" t="s">
        <v>422</v>
      </c>
      <c r="N1340">
        <v>0</v>
      </c>
      <c r="O1340" s="1">
        <f>+Tabla__192.168.1.8_POSEIDONSQL_APPFVT_01_tbl_detalle_fill_rate[[#This Row],[emb_cantidad]]-Tabla__192.168.1.8_POSEIDONSQL_APPFVT_01_tbl_detalle_fill_rate[[#This Row],[dev_cantidad]]</f>
        <v>1</v>
      </c>
      <c r="P13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40" s="1">
        <f>+Tabla__192.168.1.8_POSEIDONSQL_APPFVT_01_tbl_detalle_fill_rate[[#This Row],[Cumpl Real Unds]]-Tabla__192.168.1.8_POSEIDONSQL_APPFVT_01_tbl_detalle_fill_rate[[#This Row],[Cant Embarcada]]</f>
        <v>0</v>
      </c>
      <c r="S1340" s="1">
        <f>+IF(Tabla__192.168.1.8_POSEIDONSQL_APPFVT_01_tbl_detalle_fill_rate[[#This Row],[Pend Emb]]&gt;0,1,0)</f>
        <v>0</v>
      </c>
      <c r="T13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1" spans="1:20" x14ac:dyDescent="0.25">
      <c r="A1341">
        <v>5</v>
      </c>
      <c r="B1341" t="s">
        <v>57</v>
      </c>
      <c r="C1341">
        <v>6504038326</v>
      </c>
      <c r="D1341" s="48">
        <v>43353</v>
      </c>
      <c r="E1341" s="48">
        <v>43352</v>
      </c>
      <c r="F1341" s="48">
        <v>43367</v>
      </c>
      <c r="G1341" t="s">
        <v>74</v>
      </c>
      <c r="H1341" t="s">
        <v>75</v>
      </c>
      <c r="I1341">
        <v>1</v>
      </c>
      <c r="J1341" t="s">
        <v>49</v>
      </c>
      <c r="K1341">
        <v>1</v>
      </c>
      <c r="L1341">
        <v>1</v>
      </c>
      <c r="M1341" t="s">
        <v>422</v>
      </c>
      <c r="N1341">
        <v>0</v>
      </c>
      <c r="O1341" s="1">
        <f>+Tabla__192.168.1.8_POSEIDONSQL_APPFVT_01_tbl_detalle_fill_rate[[#This Row],[emb_cantidad]]-Tabla__192.168.1.8_POSEIDONSQL_APPFVT_01_tbl_detalle_fill_rate[[#This Row],[dev_cantidad]]</f>
        <v>1</v>
      </c>
      <c r="P13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41" s="1">
        <f>+Tabla__192.168.1.8_POSEIDONSQL_APPFVT_01_tbl_detalle_fill_rate[[#This Row],[Cumpl Real Unds]]-Tabla__192.168.1.8_POSEIDONSQL_APPFVT_01_tbl_detalle_fill_rate[[#This Row],[Cant Embarcada]]</f>
        <v>0</v>
      </c>
      <c r="S1341" s="1">
        <f>+IF(Tabla__192.168.1.8_POSEIDONSQL_APPFVT_01_tbl_detalle_fill_rate[[#This Row],[Pend Emb]]&gt;0,1,0)</f>
        <v>0</v>
      </c>
      <c r="T13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2" spans="1:20" x14ac:dyDescent="0.25">
      <c r="A1342">
        <v>5</v>
      </c>
      <c r="B1342" t="s">
        <v>57</v>
      </c>
      <c r="C1342">
        <v>6504038365</v>
      </c>
      <c r="D1342" s="48">
        <v>43353</v>
      </c>
      <c r="E1342" s="48">
        <v>43353</v>
      </c>
      <c r="F1342" s="48">
        <v>43367</v>
      </c>
      <c r="G1342" t="s">
        <v>68</v>
      </c>
      <c r="H1342" t="s">
        <v>69</v>
      </c>
      <c r="I1342">
        <v>1</v>
      </c>
      <c r="J1342" t="s">
        <v>49</v>
      </c>
      <c r="K1342">
        <v>1</v>
      </c>
      <c r="L1342">
        <v>1</v>
      </c>
      <c r="M1342" t="s">
        <v>422</v>
      </c>
      <c r="N1342">
        <v>1</v>
      </c>
      <c r="O1342" s="1">
        <f>+Tabla__192.168.1.8_POSEIDONSQL_APPFVT_01_tbl_detalle_fill_rate[[#This Row],[emb_cantidad]]-Tabla__192.168.1.8_POSEIDONSQL_APPFVT_01_tbl_detalle_fill_rate[[#This Row],[dev_cantidad]]</f>
        <v>0</v>
      </c>
      <c r="P13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42" s="1">
        <f>+Tabla__192.168.1.8_POSEIDONSQL_APPFVT_01_tbl_detalle_fill_rate[[#This Row],[Cumpl Real Unds]]-Tabla__192.168.1.8_POSEIDONSQL_APPFVT_01_tbl_detalle_fill_rate[[#This Row],[Cant Embarcada]]</f>
        <v>0</v>
      </c>
      <c r="S1342" s="1">
        <f>+IF(Tabla__192.168.1.8_POSEIDONSQL_APPFVT_01_tbl_detalle_fill_rate[[#This Row],[Pend Emb]]&gt;0,1,0)</f>
        <v>0</v>
      </c>
      <c r="T13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3" spans="1:20" x14ac:dyDescent="0.25">
      <c r="A1343">
        <v>5</v>
      </c>
      <c r="B1343" t="s">
        <v>57</v>
      </c>
      <c r="C1343">
        <v>6504040904</v>
      </c>
      <c r="D1343" s="48">
        <v>43354</v>
      </c>
      <c r="E1343" s="48">
        <v>43353</v>
      </c>
      <c r="F1343" s="48">
        <v>43367</v>
      </c>
      <c r="G1343" t="s">
        <v>170</v>
      </c>
      <c r="H1343" t="s">
        <v>171</v>
      </c>
      <c r="I1343">
        <v>1</v>
      </c>
      <c r="J1343" t="s">
        <v>49</v>
      </c>
      <c r="K1343">
        <v>1</v>
      </c>
      <c r="L1343">
        <v>1</v>
      </c>
      <c r="M1343" t="s">
        <v>422</v>
      </c>
      <c r="N1343">
        <v>0</v>
      </c>
      <c r="O1343" s="1">
        <f>+Tabla__192.168.1.8_POSEIDONSQL_APPFVT_01_tbl_detalle_fill_rate[[#This Row],[emb_cantidad]]-Tabla__192.168.1.8_POSEIDONSQL_APPFVT_01_tbl_detalle_fill_rate[[#This Row],[dev_cantidad]]</f>
        <v>1</v>
      </c>
      <c r="P13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43" s="1">
        <f>+Tabla__192.168.1.8_POSEIDONSQL_APPFVT_01_tbl_detalle_fill_rate[[#This Row],[Cumpl Real Unds]]-Tabla__192.168.1.8_POSEIDONSQL_APPFVT_01_tbl_detalle_fill_rate[[#This Row],[Cant Embarcada]]</f>
        <v>0</v>
      </c>
      <c r="S1343" s="1">
        <f>+IF(Tabla__192.168.1.8_POSEIDONSQL_APPFVT_01_tbl_detalle_fill_rate[[#This Row],[Pend Emb]]&gt;0,1,0)</f>
        <v>0</v>
      </c>
      <c r="T13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4" spans="1:20" x14ac:dyDescent="0.25">
      <c r="A1344">
        <v>5</v>
      </c>
      <c r="B1344" t="s">
        <v>57</v>
      </c>
      <c r="C1344">
        <v>6504042863</v>
      </c>
      <c r="D1344" s="48">
        <v>43355</v>
      </c>
      <c r="E1344" s="48">
        <v>43354</v>
      </c>
      <c r="F1344" s="48">
        <v>43367</v>
      </c>
      <c r="G1344" t="s">
        <v>2006</v>
      </c>
      <c r="H1344" t="s">
        <v>2007</v>
      </c>
      <c r="I1344">
        <v>20</v>
      </c>
      <c r="J1344" t="s">
        <v>49</v>
      </c>
      <c r="K1344">
        <v>0</v>
      </c>
      <c r="L1344">
        <v>0</v>
      </c>
      <c r="M1344" t="s">
        <v>12</v>
      </c>
      <c r="N1344">
        <v>0</v>
      </c>
      <c r="O1344" s="1">
        <f>+Tabla__192.168.1.8_POSEIDONSQL_APPFVT_01_tbl_detalle_fill_rate[[#This Row],[emb_cantidad]]-Tabla__192.168.1.8_POSEIDONSQL_APPFVT_01_tbl_detalle_fill_rate[[#This Row],[dev_cantidad]]</f>
        <v>0</v>
      </c>
      <c r="P13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44" s="1">
        <f>+Tabla__192.168.1.8_POSEIDONSQL_APPFVT_01_tbl_detalle_fill_rate[[#This Row],[Cumpl Real Unds]]-Tabla__192.168.1.8_POSEIDONSQL_APPFVT_01_tbl_detalle_fill_rate[[#This Row],[Cant Embarcada]]</f>
        <v>0</v>
      </c>
      <c r="S1344" s="1">
        <f>+IF(Tabla__192.168.1.8_POSEIDONSQL_APPFVT_01_tbl_detalle_fill_rate[[#This Row],[Pend Emb]]&gt;0,1,0)</f>
        <v>0</v>
      </c>
      <c r="T13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5" spans="1:20" x14ac:dyDescent="0.25">
      <c r="A1345">
        <v>5</v>
      </c>
      <c r="B1345" t="s">
        <v>57</v>
      </c>
      <c r="C1345">
        <v>6504042863</v>
      </c>
      <c r="D1345" s="48">
        <v>43355</v>
      </c>
      <c r="E1345" s="48">
        <v>43354</v>
      </c>
      <c r="F1345" s="48">
        <v>43367</v>
      </c>
      <c r="G1345" t="s">
        <v>1994</v>
      </c>
      <c r="H1345" t="s">
        <v>1995</v>
      </c>
      <c r="I1345">
        <v>18</v>
      </c>
      <c r="J1345" t="s">
        <v>49</v>
      </c>
      <c r="K1345">
        <v>0</v>
      </c>
      <c r="L1345">
        <v>0</v>
      </c>
      <c r="M1345" t="s">
        <v>12</v>
      </c>
      <c r="N1345">
        <v>0</v>
      </c>
      <c r="O1345" s="1">
        <f>+Tabla__192.168.1.8_POSEIDONSQL_APPFVT_01_tbl_detalle_fill_rate[[#This Row],[emb_cantidad]]-Tabla__192.168.1.8_POSEIDONSQL_APPFVT_01_tbl_detalle_fill_rate[[#This Row],[dev_cantidad]]</f>
        <v>0</v>
      </c>
      <c r="P13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45" s="1">
        <f>+Tabla__192.168.1.8_POSEIDONSQL_APPFVT_01_tbl_detalle_fill_rate[[#This Row],[Cumpl Real Unds]]-Tabla__192.168.1.8_POSEIDONSQL_APPFVT_01_tbl_detalle_fill_rate[[#This Row],[Cant Embarcada]]</f>
        <v>0</v>
      </c>
      <c r="S1345" s="1">
        <f>+IF(Tabla__192.168.1.8_POSEIDONSQL_APPFVT_01_tbl_detalle_fill_rate[[#This Row],[Pend Emb]]&gt;0,1,0)</f>
        <v>0</v>
      </c>
      <c r="T13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6" spans="1:20" x14ac:dyDescent="0.25">
      <c r="A1346">
        <v>5</v>
      </c>
      <c r="B1346" t="s">
        <v>57</v>
      </c>
      <c r="C1346">
        <v>6504042863</v>
      </c>
      <c r="D1346" s="48">
        <v>43355</v>
      </c>
      <c r="E1346" s="48">
        <v>43354</v>
      </c>
      <c r="F1346" s="48">
        <v>43367</v>
      </c>
      <c r="G1346" t="s">
        <v>1996</v>
      </c>
      <c r="H1346" t="s">
        <v>1997</v>
      </c>
      <c r="I1346">
        <v>10</v>
      </c>
      <c r="J1346" t="s">
        <v>49</v>
      </c>
      <c r="K1346">
        <v>0</v>
      </c>
      <c r="L1346">
        <v>0</v>
      </c>
      <c r="M1346" t="s">
        <v>12</v>
      </c>
      <c r="N1346">
        <v>0</v>
      </c>
      <c r="O1346" s="1">
        <f>+Tabla__192.168.1.8_POSEIDONSQL_APPFVT_01_tbl_detalle_fill_rate[[#This Row],[emb_cantidad]]-Tabla__192.168.1.8_POSEIDONSQL_APPFVT_01_tbl_detalle_fill_rate[[#This Row],[dev_cantidad]]</f>
        <v>0</v>
      </c>
      <c r="P13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46" s="1">
        <f>+Tabla__192.168.1.8_POSEIDONSQL_APPFVT_01_tbl_detalle_fill_rate[[#This Row],[Cumpl Real Unds]]-Tabla__192.168.1.8_POSEIDONSQL_APPFVT_01_tbl_detalle_fill_rate[[#This Row],[Cant Embarcada]]</f>
        <v>0</v>
      </c>
      <c r="S1346" s="1">
        <f>+IF(Tabla__192.168.1.8_POSEIDONSQL_APPFVT_01_tbl_detalle_fill_rate[[#This Row],[Pend Emb]]&gt;0,1,0)</f>
        <v>0</v>
      </c>
      <c r="T13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7" spans="1:20" x14ac:dyDescent="0.25">
      <c r="A1347">
        <v>5</v>
      </c>
      <c r="B1347" t="s">
        <v>57</v>
      </c>
      <c r="C1347">
        <v>6504044256</v>
      </c>
      <c r="D1347" s="48">
        <v>43355</v>
      </c>
      <c r="E1347" s="48">
        <v>43355</v>
      </c>
      <c r="F1347" s="48">
        <v>43367</v>
      </c>
      <c r="G1347" t="s">
        <v>62</v>
      </c>
      <c r="H1347" t="s">
        <v>63</v>
      </c>
      <c r="I1347">
        <v>1</v>
      </c>
      <c r="J1347" t="s">
        <v>49</v>
      </c>
      <c r="K1347">
        <v>1</v>
      </c>
      <c r="L1347">
        <v>1</v>
      </c>
      <c r="M1347" t="s">
        <v>422</v>
      </c>
      <c r="N1347">
        <v>1</v>
      </c>
      <c r="O1347" s="1">
        <f>+Tabla__192.168.1.8_POSEIDONSQL_APPFVT_01_tbl_detalle_fill_rate[[#This Row],[emb_cantidad]]-Tabla__192.168.1.8_POSEIDONSQL_APPFVT_01_tbl_detalle_fill_rate[[#This Row],[dev_cantidad]]</f>
        <v>0</v>
      </c>
      <c r="P13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47" s="1">
        <f>+Tabla__192.168.1.8_POSEIDONSQL_APPFVT_01_tbl_detalle_fill_rate[[#This Row],[Cumpl Real Unds]]-Tabla__192.168.1.8_POSEIDONSQL_APPFVT_01_tbl_detalle_fill_rate[[#This Row],[Cant Embarcada]]</f>
        <v>0</v>
      </c>
      <c r="S1347" s="1">
        <f>+IF(Tabla__192.168.1.8_POSEIDONSQL_APPFVT_01_tbl_detalle_fill_rate[[#This Row],[Pend Emb]]&gt;0,1,0)</f>
        <v>0</v>
      </c>
      <c r="T13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8" spans="1:20" x14ac:dyDescent="0.25">
      <c r="A1348">
        <v>5</v>
      </c>
      <c r="B1348" t="s">
        <v>57</v>
      </c>
      <c r="C1348">
        <v>6504044309</v>
      </c>
      <c r="D1348" s="48">
        <v>43355</v>
      </c>
      <c r="E1348" s="48">
        <v>43355</v>
      </c>
      <c r="F1348" s="48">
        <v>43364</v>
      </c>
      <c r="G1348" t="s">
        <v>271</v>
      </c>
      <c r="H1348" t="s">
        <v>272</v>
      </c>
      <c r="I1348">
        <v>40</v>
      </c>
      <c r="J1348" t="s">
        <v>49</v>
      </c>
      <c r="K1348">
        <v>40</v>
      </c>
      <c r="L1348">
        <v>40</v>
      </c>
      <c r="M1348" t="s">
        <v>422</v>
      </c>
      <c r="N1348">
        <v>0</v>
      </c>
      <c r="O1348" s="1">
        <f>+Tabla__192.168.1.8_POSEIDONSQL_APPFVT_01_tbl_detalle_fill_rate[[#This Row],[emb_cantidad]]-Tabla__192.168.1.8_POSEIDONSQL_APPFVT_01_tbl_detalle_fill_rate[[#This Row],[dev_cantidad]]</f>
        <v>40</v>
      </c>
      <c r="P13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40</v>
      </c>
      <c r="R1348" s="1">
        <f>+Tabla__192.168.1.8_POSEIDONSQL_APPFVT_01_tbl_detalle_fill_rate[[#This Row],[Cumpl Real Unds]]-Tabla__192.168.1.8_POSEIDONSQL_APPFVT_01_tbl_detalle_fill_rate[[#This Row],[Cant Embarcada]]</f>
        <v>0</v>
      </c>
      <c r="S1348" s="1">
        <f>+IF(Tabla__192.168.1.8_POSEIDONSQL_APPFVT_01_tbl_detalle_fill_rate[[#This Row],[Pend Emb]]&gt;0,1,0)</f>
        <v>0</v>
      </c>
      <c r="T13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49" spans="1:20" x14ac:dyDescent="0.25">
      <c r="A1349">
        <v>5</v>
      </c>
      <c r="B1349" t="s">
        <v>57</v>
      </c>
      <c r="C1349">
        <v>6504044309</v>
      </c>
      <c r="D1349" s="48">
        <v>43355</v>
      </c>
      <c r="E1349" s="48">
        <v>43355</v>
      </c>
      <c r="F1349" s="48">
        <v>43364</v>
      </c>
      <c r="G1349" t="s">
        <v>257</v>
      </c>
      <c r="H1349" t="s">
        <v>258</v>
      </c>
      <c r="I1349">
        <v>5</v>
      </c>
      <c r="J1349" t="s">
        <v>49</v>
      </c>
      <c r="K1349">
        <v>5</v>
      </c>
      <c r="L1349">
        <v>5</v>
      </c>
      <c r="M1349" t="s">
        <v>422</v>
      </c>
      <c r="N1349">
        <v>0</v>
      </c>
      <c r="O1349" s="1">
        <f>+Tabla__192.168.1.8_POSEIDONSQL_APPFVT_01_tbl_detalle_fill_rate[[#This Row],[emb_cantidad]]-Tabla__192.168.1.8_POSEIDONSQL_APPFVT_01_tbl_detalle_fill_rate[[#This Row],[dev_cantidad]]</f>
        <v>5</v>
      </c>
      <c r="P13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1349" s="1">
        <f>+Tabla__192.168.1.8_POSEIDONSQL_APPFVT_01_tbl_detalle_fill_rate[[#This Row],[Cumpl Real Unds]]-Tabla__192.168.1.8_POSEIDONSQL_APPFVT_01_tbl_detalle_fill_rate[[#This Row],[Cant Embarcada]]</f>
        <v>0</v>
      </c>
      <c r="S1349" s="1">
        <f>+IF(Tabla__192.168.1.8_POSEIDONSQL_APPFVT_01_tbl_detalle_fill_rate[[#This Row],[Pend Emb]]&gt;0,1,0)</f>
        <v>0</v>
      </c>
      <c r="T13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0" spans="1:20" x14ac:dyDescent="0.25">
      <c r="A1350">
        <v>5</v>
      </c>
      <c r="B1350" t="s">
        <v>57</v>
      </c>
      <c r="C1350">
        <v>6504044309</v>
      </c>
      <c r="D1350" s="48">
        <v>43355</v>
      </c>
      <c r="E1350" s="48">
        <v>43355</v>
      </c>
      <c r="F1350" s="48">
        <v>43364</v>
      </c>
      <c r="G1350" t="s">
        <v>281</v>
      </c>
      <c r="H1350" t="s">
        <v>282</v>
      </c>
      <c r="I1350">
        <v>8</v>
      </c>
      <c r="J1350" t="s">
        <v>49</v>
      </c>
      <c r="K1350">
        <v>0</v>
      </c>
      <c r="L1350">
        <v>0</v>
      </c>
      <c r="M1350" t="s">
        <v>422</v>
      </c>
      <c r="N1350">
        <v>0</v>
      </c>
      <c r="O1350" s="1">
        <f>+Tabla__192.168.1.8_POSEIDONSQL_APPFVT_01_tbl_detalle_fill_rate[[#This Row],[emb_cantidad]]-Tabla__192.168.1.8_POSEIDONSQL_APPFVT_01_tbl_detalle_fill_rate[[#This Row],[dev_cantidad]]</f>
        <v>0</v>
      </c>
      <c r="P13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350" s="1">
        <f>+Tabla__192.168.1.8_POSEIDONSQL_APPFVT_01_tbl_detalle_fill_rate[[#This Row],[Cumpl Real Unds]]-Tabla__192.168.1.8_POSEIDONSQL_APPFVT_01_tbl_detalle_fill_rate[[#This Row],[Cant Embarcada]]</f>
        <v>0</v>
      </c>
      <c r="S1350" s="1">
        <f>+IF(Tabla__192.168.1.8_POSEIDONSQL_APPFVT_01_tbl_detalle_fill_rate[[#This Row],[Pend Emb]]&gt;0,1,0)</f>
        <v>0</v>
      </c>
      <c r="T13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1" spans="1:20" x14ac:dyDescent="0.25">
      <c r="A1351">
        <v>5</v>
      </c>
      <c r="B1351" t="s">
        <v>57</v>
      </c>
      <c r="C1351">
        <v>6504044309</v>
      </c>
      <c r="D1351" s="48">
        <v>43355</v>
      </c>
      <c r="E1351" s="48">
        <v>43355</v>
      </c>
      <c r="F1351" s="48">
        <v>43364</v>
      </c>
      <c r="G1351" t="s">
        <v>88</v>
      </c>
      <c r="H1351" t="s">
        <v>89</v>
      </c>
      <c r="I1351">
        <v>4</v>
      </c>
      <c r="J1351" t="s">
        <v>49</v>
      </c>
      <c r="K1351">
        <v>4</v>
      </c>
      <c r="L1351">
        <v>4</v>
      </c>
      <c r="M1351" t="s">
        <v>422</v>
      </c>
      <c r="N1351">
        <v>0</v>
      </c>
      <c r="O1351" s="1">
        <f>+Tabla__192.168.1.8_POSEIDONSQL_APPFVT_01_tbl_detalle_fill_rate[[#This Row],[emb_cantidad]]-Tabla__192.168.1.8_POSEIDONSQL_APPFVT_01_tbl_detalle_fill_rate[[#This Row],[dev_cantidad]]</f>
        <v>4</v>
      </c>
      <c r="P13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351" s="1">
        <f>+Tabla__192.168.1.8_POSEIDONSQL_APPFVT_01_tbl_detalle_fill_rate[[#This Row],[Cumpl Real Unds]]-Tabla__192.168.1.8_POSEIDONSQL_APPFVT_01_tbl_detalle_fill_rate[[#This Row],[Cant Embarcada]]</f>
        <v>0</v>
      </c>
      <c r="S1351" s="1">
        <f>+IF(Tabla__192.168.1.8_POSEIDONSQL_APPFVT_01_tbl_detalle_fill_rate[[#This Row],[Pend Emb]]&gt;0,1,0)</f>
        <v>0</v>
      </c>
      <c r="T13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2" spans="1:20" x14ac:dyDescent="0.25">
      <c r="A1352">
        <v>5</v>
      </c>
      <c r="B1352" t="s">
        <v>57</v>
      </c>
      <c r="C1352">
        <v>6504044309</v>
      </c>
      <c r="D1352" s="48">
        <v>43355</v>
      </c>
      <c r="E1352" s="48">
        <v>43355</v>
      </c>
      <c r="F1352" s="48">
        <v>43364</v>
      </c>
      <c r="G1352" t="s">
        <v>287</v>
      </c>
      <c r="H1352" t="s">
        <v>288</v>
      </c>
      <c r="I1352">
        <v>30</v>
      </c>
      <c r="J1352" t="s">
        <v>49</v>
      </c>
      <c r="K1352">
        <v>30</v>
      </c>
      <c r="L1352">
        <v>30</v>
      </c>
      <c r="M1352" t="s">
        <v>422</v>
      </c>
      <c r="N1352">
        <v>0</v>
      </c>
      <c r="O1352" s="1">
        <f>+Tabla__192.168.1.8_POSEIDONSQL_APPFVT_01_tbl_detalle_fill_rate[[#This Row],[emb_cantidad]]-Tabla__192.168.1.8_POSEIDONSQL_APPFVT_01_tbl_detalle_fill_rate[[#This Row],[dev_cantidad]]</f>
        <v>30</v>
      </c>
      <c r="P13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1352" s="1">
        <f>+Tabla__192.168.1.8_POSEIDONSQL_APPFVT_01_tbl_detalle_fill_rate[[#This Row],[Cumpl Real Unds]]-Tabla__192.168.1.8_POSEIDONSQL_APPFVT_01_tbl_detalle_fill_rate[[#This Row],[Cant Embarcada]]</f>
        <v>0</v>
      </c>
      <c r="S1352" s="1">
        <f>+IF(Tabla__192.168.1.8_POSEIDONSQL_APPFVT_01_tbl_detalle_fill_rate[[#This Row],[Pend Emb]]&gt;0,1,0)</f>
        <v>0</v>
      </c>
      <c r="T13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3" spans="1:20" x14ac:dyDescent="0.25">
      <c r="A1353">
        <v>5</v>
      </c>
      <c r="B1353" t="s">
        <v>57</v>
      </c>
      <c r="C1353">
        <v>6504045677</v>
      </c>
      <c r="D1353" s="48">
        <v>43357</v>
      </c>
      <c r="E1353" s="48">
        <v>43356</v>
      </c>
      <c r="F1353" s="48">
        <v>43369</v>
      </c>
      <c r="G1353" t="s">
        <v>431</v>
      </c>
      <c r="H1353" t="s">
        <v>432</v>
      </c>
      <c r="I1353">
        <v>330</v>
      </c>
      <c r="J1353" t="s">
        <v>49</v>
      </c>
      <c r="K1353">
        <v>330</v>
      </c>
      <c r="L1353">
        <v>330</v>
      </c>
      <c r="M1353" t="s">
        <v>423</v>
      </c>
      <c r="N1353">
        <v>0</v>
      </c>
      <c r="O1353" s="1">
        <f>+Tabla__192.168.1.8_POSEIDONSQL_APPFVT_01_tbl_detalle_fill_rate[[#This Row],[emb_cantidad]]-Tabla__192.168.1.8_POSEIDONSQL_APPFVT_01_tbl_detalle_fill_rate[[#This Row],[dev_cantidad]]</f>
        <v>330</v>
      </c>
      <c r="P13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330</v>
      </c>
      <c r="R1353" s="1">
        <f>+Tabla__192.168.1.8_POSEIDONSQL_APPFVT_01_tbl_detalle_fill_rate[[#This Row],[Cumpl Real Unds]]-Tabla__192.168.1.8_POSEIDONSQL_APPFVT_01_tbl_detalle_fill_rate[[#This Row],[Cant Embarcada]]</f>
        <v>0</v>
      </c>
      <c r="S1353" s="1">
        <f>+IF(Tabla__192.168.1.8_POSEIDONSQL_APPFVT_01_tbl_detalle_fill_rate[[#This Row],[Pend Emb]]&gt;0,1,0)</f>
        <v>0</v>
      </c>
      <c r="T13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4" spans="1:20" x14ac:dyDescent="0.25">
      <c r="A1354">
        <v>5</v>
      </c>
      <c r="B1354" t="s">
        <v>57</v>
      </c>
      <c r="C1354">
        <v>6504046574</v>
      </c>
      <c r="D1354" s="48">
        <v>43356</v>
      </c>
      <c r="E1354" s="48">
        <v>43355</v>
      </c>
      <c r="F1354" s="48">
        <v>43367</v>
      </c>
      <c r="G1354" t="s">
        <v>164</v>
      </c>
      <c r="H1354" t="s">
        <v>165</v>
      </c>
      <c r="I1354">
        <v>1</v>
      </c>
      <c r="J1354" t="s">
        <v>49</v>
      </c>
      <c r="K1354">
        <v>1</v>
      </c>
      <c r="L1354">
        <v>1</v>
      </c>
      <c r="M1354" t="s">
        <v>422</v>
      </c>
      <c r="N1354">
        <v>0</v>
      </c>
      <c r="O1354" s="1">
        <f>+Tabla__192.168.1.8_POSEIDONSQL_APPFVT_01_tbl_detalle_fill_rate[[#This Row],[emb_cantidad]]-Tabla__192.168.1.8_POSEIDONSQL_APPFVT_01_tbl_detalle_fill_rate[[#This Row],[dev_cantidad]]</f>
        <v>1</v>
      </c>
      <c r="P13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54" s="1">
        <f>+Tabla__192.168.1.8_POSEIDONSQL_APPFVT_01_tbl_detalle_fill_rate[[#This Row],[Cumpl Real Unds]]-Tabla__192.168.1.8_POSEIDONSQL_APPFVT_01_tbl_detalle_fill_rate[[#This Row],[Cant Embarcada]]</f>
        <v>0</v>
      </c>
      <c r="S1354" s="1">
        <f>+IF(Tabla__192.168.1.8_POSEIDONSQL_APPFVT_01_tbl_detalle_fill_rate[[#This Row],[Pend Emb]]&gt;0,1,0)</f>
        <v>0</v>
      </c>
      <c r="T13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5" spans="1:20" x14ac:dyDescent="0.25">
      <c r="A1355">
        <v>5</v>
      </c>
      <c r="B1355" t="s">
        <v>57</v>
      </c>
      <c r="C1355">
        <v>6504046575</v>
      </c>
      <c r="D1355" s="48">
        <v>43356</v>
      </c>
      <c r="E1355" s="48">
        <v>43355</v>
      </c>
      <c r="F1355" s="48">
        <v>43367</v>
      </c>
      <c r="G1355" t="s">
        <v>74</v>
      </c>
      <c r="H1355" t="s">
        <v>75</v>
      </c>
      <c r="I1355">
        <v>1</v>
      </c>
      <c r="J1355" t="s">
        <v>49</v>
      </c>
      <c r="K1355">
        <v>1</v>
      </c>
      <c r="L1355">
        <v>1</v>
      </c>
      <c r="M1355" t="s">
        <v>422</v>
      </c>
      <c r="N1355">
        <v>0</v>
      </c>
      <c r="O1355" s="1">
        <f>+Tabla__192.168.1.8_POSEIDONSQL_APPFVT_01_tbl_detalle_fill_rate[[#This Row],[emb_cantidad]]-Tabla__192.168.1.8_POSEIDONSQL_APPFVT_01_tbl_detalle_fill_rate[[#This Row],[dev_cantidad]]</f>
        <v>1</v>
      </c>
      <c r="P13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55" s="1">
        <f>+Tabla__192.168.1.8_POSEIDONSQL_APPFVT_01_tbl_detalle_fill_rate[[#This Row],[Cumpl Real Unds]]-Tabla__192.168.1.8_POSEIDONSQL_APPFVT_01_tbl_detalle_fill_rate[[#This Row],[Cant Embarcada]]</f>
        <v>0</v>
      </c>
      <c r="S1355" s="1">
        <f>+IF(Tabla__192.168.1.8_POSEIDONSQL_APPFVT_01_tbl_detalle_fill_rate[[#This Row],[Pend Emb]]&gt;0,1,0)</f>
        <v>0</v>
      </c>
      <c r="T13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6" spans="1:20" x14ac:dyDescent="0.25">
      <c r="A1356">
        <v>6</v>
      </c>
      <c r="B1356" t="s">
        <v>53</v>
      </c>
      <c r="C1356">
        <v>946227</v>
      </c>
      <c r="D1356" s="48">
        <v>43342</v>
      </c>
      <c r="E1356" s="48">
        <v>43340</v>
      </c>
      <c r="F1356" s="48">
        <v>43354</v>
      </c>
      <c r="G1356" t="s">
        <v>92</v>
      </c>
      <c r="H1356" t="s">
        <v>93</v>
      </c>
      <c r="I1356">
        <v>2</v>
      </c>
      <c r="J1356" t="s">
        <v>159</v>
      </c>
      <c r="K1356">
        <v>2</v>
      </c>
      <c r="L1356">
        <v>2</v>
      </c>
      <c r="M1356" t="s">
        <v>1969</v>
      </c>
      <c r="N1356">
        <v>0</v>
      </c>
      <c r="O1356" s="1">
        <f>+Tabla__192.168.1.8_POSEIDONSQL_APPFVT_01_tbl_detalle_fill_rate[[#This Row],[emb_cantidad]]-Tabla__192.168.1.8_POSEIDONSQL_APPFVT_01_tbl_detalle_fill_rate[[#This Row],[dev_cantidad]]</f>
        <v>2</v>
      </c>
      <c r="P13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356" s="1">
        <f>+Tabla__192.168.1.8_POSEIDONSQL_APPFVT_01_tbl_detalle_fill_rate[[#This Row],[Cumpl Real Unds]]-Tabla__192.168.1.8_POSEIDONSQL_APPFVT_01_tbl_detalle_fill_rate[[#This Row],[Cant Embarcada]]</f>
        <v>0</v>
      </c>
      <c r="S1356" s="1">
        <f>+IF(Tabla__192.168.1.8_POSEIDONSQL_APPFVT_01_tbl_detalle_fill_rate[[#This Row],[Pend Emb]]&gt;0,1,0)</f>
        <v>0</v>
      </c>
      <c r="T13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7" spans="1:20" x14ac:dyDescent="0.25">
      <c r="A1357">
        <v>6</v>
      </c>
      <c r="B1357" t="s">
        <v>53</v>
      </c>
      <c r="C1357">
        <v>946227</v>
      </c>
      <c r="D1357" s="48">
        <v>43342</v>
      </c>
      <c r="E1357" s="48">
        <v>43340</v>
      </c>
      <c r="F1357" s="48">
        <v>43354</v>
      </c>
      <c r="G1357" t="s">
        <v>134</v>
      </c>
      <c r="H1357" t="s">
        <v>135</v>
      </c>
      <c r="I1357">
        <v>3</v>
      </c>
      <c r="J1357" t="s">
        <v>159</v>
      </c>
      <c r="K1357">
        <v>3</v>
      </c>
      <c r="L1357">
        <v>3</v>
      </c>
      <c r="M1357" t="s">
        <v>1969</v>
      </c>
      <c r="N1357">
        <v>0</v>
      </c>
      <c r="O1357" s="1">
        <f>+Tabla__192.168.1.8_POSEIDONSQL_APPFVT_01_tbl_detalle_fill_rate[[#This Row],[emb_cantidad]]-Tabla__192.168.1.8_POSEIDONSQL_APPFVT_01_tbl_detalle_fill_rate[[#This Row],[dev_cantidad]]</f>
        <v>3</v>
      </c>
      <c r="P13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1357" s="1">
        <f>+Tabla__192.168.1.8_POSEIDONSQL_APPFVT_01_tbl_detalle_fill_rate[[#This Row],[Cumpl Real Unds]]-Tabla__192.168.1.8_POSEIDONSQL_APPFVT_01_tbl_detalle_fill_rate[[#This Row],[Cant Embarcada]]</f>
        <v>0</v>
      </c>
      <c r="S1357" s="1">
        <f>+IF(Tabla__192.168.1.8_POSEIDONSQL_APPFVT_01_tbl_detalle_fill_rate[[#This Row],[Pend Emb]]&gt;0,1,0)</f>
        <v>0</v>
      </c>
      <c r="T13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8" spans="1:20" x14ac:dyDescent="0.25">
      <c r="A1358">
        <v>6</v>
      </c>
      <c r="B1358" t="s">
        <v>53</v>
      </c>
      <c r="C1358">
        <v>947156</v>
      </c>
      <c r="D1358" s="48">
        <v>43341</v>
      </c>
      <c r="E1358" s="48">
        <v>43340</v>
      </c>
      <c r="F1358" s="48">
        <v>43346</v>
      </c>
      <c r="G1358" t="s">
        <v>96</v>
      </c>
      <c r="H1358" t="s">
        <v>97</v>
      </c>
      <c r="I1358">
        <v>1</v>
      </c>
      <c r="J1358" t="s">
        <v>1785</v>
      </c>
      <c r="K1358">
        <v>1</v>
      </c>
      <c r="L1358">
        <v>1</v>
      </c>
      <c r="M1358" t="s">
        <v>1963</v>
      </c>
      <c r="N1358">
        <v>0</v>
      </c>
      <c r="O1358" s="1">
        <f>+Tabla__192.168.1.8_POSEIDONSQL_APPFVT_01_tbl_detalle_fill_rate[[#This Row],[emb_cantidad]]-Tabla__192.168.1.8_POSEIDONSQL_APPFVT_01_tbl_detalle_fill_rate[[#This Row],[dev_cantidad]]</f>
        <v>1</v>
      </c>
      <c r="P13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58" s="1">
        <f>+Tabla__192.168.1.8_POSEIDONSQL_APPFVT_01_tbl_detalle_fill_rate[[#This Row],[Cumpl Real Unds]]-Tabla__192.168.1.8_POSEIDONSQL_APPFVT_01_tbl_detalle_fill_rate[[#This Row],[Cant Embarcada]]</f>
        <v>0</v>
      </c>
      <c r="S1358" s="1">
        <f>+IF(Tabla__192.168.1.8_POSEIDONSQL_APPFVT_01_tbl_detalle_fill_rate[[#This Row],[Pend Emb]]&gt;0,1,0)</f>
        <v>0</v>
      </c>
      <c r="T13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59" spans="1:20" x14ac:dyDescent="0.25">
      <c r="A1359">
        <v>6</v>
      </c>
      <c r="B1359" t="s">
        <v>53</v>
      </c>
      <c r="C1359">
        <v>947429</v>
      </c>
      <c r="D1359" s="48">
        <v>43342</v>
      </c>
      <c r="E1359" s="48">
        <v>43341</v>
      </c>
      <c r="F1359" s="48">
        <v>43347</v>
      </c>
      <c r="G1359" t="s">
        <v>128</v>
      </c>
      <c r="H1359" t="s">
        <v>129</v>
      </c>
      <c r="I1359">
        <v>1</v>
      </c>
      <c r="J1359" t="s">
        <v>793</v>
      </c>
      <c r="K1359">
        <v>1</v>
      </c>
      <c r="L1359">
        <v>1</v>
      </c>
      <c r="M1359" t="s">
        <v>1963</v>
      </c>
      <c r="N1359">
        <v>0</v>
      </c>
      <c r="O1359" s="1">
        <f>+Tabla__192.168.1.8_POSEIDONSQL_APPFVT_01_tbl_detalle_fill_rate[[#This Row],[emb_cantidad]]-Tabla__192.168.1.8_POSEIDONSQL_APPFVT_01_tbl_detalle_fill_rate[[#This Row],[dev_cantidad]]</f>
        <v>1</v>
      </c>
      <c r="P13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59" s="1">
        <f>+Tabla__192.168.1.8_POSEIDONSQL_APPFVT_01_tbl_detalle_fill_rate[[#This Row],[Cumpl Real Unds]]-Tabla__192.168.1.8_POSEIDONSQL_APPFVT_01_tbl_detalle_fill_rate[[#This Row],[Cant Embarcada]]</f>
        <v>0</v>
      </c>
      <c r="S1359" s="1">
        <f>+IF(Tabla__192.168.1.8_POSEIDONSQL_APPFVT_01_tbl_detalle_fill_rate[[#This Row],[Pend Emb]]&gt;0,1,0)</f>
        <v>0</v>
      </c>
      <c r="T13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0" spans="1:20" x14ac:dyDescent="0.25">
      <c r="A1360">
        <v>6</v>
      </c>
      <c r="B1360" t="s">
        <v>53</v>
      </c>
      <c r="C1360">
        <v>947643</v>
      </c>
      <c r="D1360" s="48">
        <v>43342</v>
      </c>
      <c r="E1360" s="48">
        <v>43341</v>
      </c>
      <c r="F1360" s="48">
        <v>43348</v>
      </c>
      <c r="G1360" t="s">
        <v>795</v>
      </c>
      <c r="H1360" t="s">
        <v>796</v>
      </c>
      <c r="I1360">
        <v>1</v>
      </c>
      <c r="J1360" t="s">
        <v>797</v>
      </c>
      <c r="K1360">
        <v>1</v>
      </c>
      <c r="L1360">
        <v>1</v>
      </c>
      <c r="M1360" t="s">
        <v>160</v>
      </c>
      <c r="N1360">
        <v>0</v>
      </c>
      <c r="O1360" s="1">
        <f>+Tabla__192.168.1.8_POSEIDONSQL_APPFVT_01_tbl_detalle_fill_rate[[#This Row],[emb_cantidad]]-Tabla__192.168.1.8_POSEIDONSQL_APPFVT_01_tbl_detalle_fill_rate[[#This Row],[dev_cantidad]]</f>
        <v>1</v>
      </c>
      <c r="P13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0" s="1">
        <f>+Tabla__192.168.1.8_POSEIDONSQL_APPFVT_01_tbl_detalle_fill_rate[[#This Row],[Cumpl Real Unds]]-Tabla__192.168.1.8_POSEIDONSQL_APPFVT_01_tbl_detalle_fill_rate[[#This Row],[Cant Embarcada]]</f>
        <v>0</v>
      </c>
      <c r="S1360" s="1">
        <f>+IF(Tabla__192.168.1.8_POSEIDONSQL_APPFVT_01_tbl_detalle_fill_rate[[#This Row],[Pend Emb]]&gt;0,1,0)</f>
        <v>0</v>
      </c>
      <c r="T13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1" spans="1:20" x14ac:dyDescent="0.25">
      <c r="A1361">
        <v>6</v>
      </c>
      <c r="B1361" t="s">
        <v>53</v>
      </c>
      <c r="C1361">
        <v>947872</v>
      </c>
      <c r="D1361" s="48">
        <v>43342</v>
      </c>
      <c r="E1361" s="48">
        <v>43341</v>
      </c>
      <c r="F1361" s="48">
        <v>43348</v>
      </c>
      <c r="G1361" t="s">
        <v>168</v>
      </c>
      <c r="H1361" t="s">
        <v>169</v>
      </c>
      <c r="I1361">
        <v>1</v>
      </c>
      <c r="J1361" t="s">
        <v>798</v>
      </c>
      <c r="K1361">
        <v>1</v>
      </c>
      <c r="L1361">
        <v>1</v>
      </c>
      <c r="M1361" t="s">
        <v>160</v>
      </c>
      <c r="N1361">
        <v>0</v>
      </c>
      <c r="O1361" s="1">
        <f>+Tabla__192.168.1.8_POSEIDONSQL_APPFVT_01_tbl_detalle_fill_rate[[#This Row],[emb_cantidad]]-Tabla__192.168.1.8_POSEIDONSQL_APPFVT_01_tbl_detalle_fill_rate[[#This Row],[dev_cantidad]]</f>
        <v>1</v>
      </c>
      <c r="P13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1" s="1">
        <f>+Tabla__192.168.1.8_POSEIDONSQL_APPFVT_01_tbl_detalle_fill_rate[[#This Row],[Cumpl Real Unds]]-Tabla__192.168.1.8_POSEIDONSQL_APPFVT_01_tbl_detalle_fill_rate[[#This Row],[Cant Embarcada]]</f>
        <v>0</v>
      </c>
      <c r="S1361" s="1">
        <f>+IF(Tabla__192.168.1.8_POSEIDONSQL_APPFVT_01_tbl_detalle_fill_rate[[#This Row],[Pend Emb]]&gt;0,1,0)</f>
        <v>0</v>
      </c>
      <c r="T13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2" spans="1:20" x14ac:dyDescent="0.25">
      <c r="A1362">
        <v>6</v>
      </c>
      <c r="B1362" t="s">
        <v>53</v>
      </c>
      <c r="C1362">
        <v>947896</v>
      </c>
      <c r="D1362" s="48">
        <v>43342</v>
      </c>
      <c r="E1362" s="48">
        <v>43341</v>
      </c>
      <c r="F1362" s="48">
        <v>43349</v>
      </c>
      <c r="G1362" t="s">
        <v>124</v>
      </c>
      <c r="H1362" t="s">
        <v>125</v>
      </c>
      <c r="I1362">
        <v>1</v>
      </c>
      <c r="J1362" t="s">
        <v>794</v>
      </c>
      <c r="K1362">
        <v>1</v>
      </c>
      <c r="L1362">
        <v>1</v>
      </c>
      <c r="M1362" t="s">
        <v>160</v>
      </c>
      <c r="N1362">
        <v>0</v>
      </c>
      <c r="O1362" s="1">
        <f>+Tabla__192.168.1.8_POSEIDONSQL_APPFVT_01_tbl_detalle_fill_rate[[#This Row],[emb_cantidad]]-Tabla__192.168.1.8_POSEIDONSQL_APPFVT_01_tbl_detalle_fill_rate[[#This Row],[dev_cantidad]]</f>
        <v>1</v>
      </c>
      <c r="P13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2" s="1">
        <f>+Tabla__192.168.1.8_POSEIDONSQL_APPFVT_01_tbl_detalle_fill_rate[[#This Row],[Cumpl Real Unds]]-Tabla__192.168.1.8_POSEIDONSQL_APPFVT_01_tbl_detalle_fill_rate[[#This Row],[Cant Embarcada]]</f>
        <v>0</v>
      </c>
      <c r="S1362" s="1">
        <f>+IF(Tabla__192.168.1.8_POSEIDONSQL_APPFVT_01_tbl_detalle_fill_rate[[#This Row],[Pend Emb]]&gt;0,1,0)</f>
        <v>0</v>
      </c>
      <c r="T13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3" spans="1:20" x14ac:dyDescent="0.25">
      <c r="A1363">
        <v>6</v>
      </c>
      <c r="B1363" t="s">
        <v>53</v>
      </c>
      <c r="C1363">
        <v>947896</v>
      </c>
      <c r="D1363" s="48">
        <v>43342</v>
      </c>
      <c r="E1363" s="48">
        <v>43341</v>
      </c>
      <c r="F1363" s="48">
        <v>43349</v>
      </c>
      <c r="G1363" t="s">
        <v>203</v>
      </c>
      <c r="H1363" t="s">
        <v>204</v>
      </c>
      <c r="I1363">
        <v>1</v>
      </c>
      <c r="J1363" t="s">
        <v>794</v>
      </c>
      <c r="K1363">
        <v>1</v>
      </c>
      <c r="L1363">
        <v>1</v>
      </c>
      <c r="M1363" t="s">
        <v>160</v>
      </c>
      <c r="N1363">
        <v>0</v>
      </c>
      <c r="O1363" s="1">
        <f>+Tabla__192.168.1.8_POSEIDONSQL_APPFVT_01_tbl_detalle_fill_rate[[#This Row],[emb_cantidad]]-Tabla__192.168.1.8_POSEIDONSQL_APPFVT_01_tbl_detalle_fill_rate[[#This Row],[dev_cantidad]]</f>
        <v>1</v>
      </c>
      <c r="P13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3" s="1">
        <f>+Tabla__192.168.1.8_POSEIDONSQL_APPFVT_01_tbl_detalle_fill_rate[[#This Row],[Cumpl Real Unds]]-Tabla__192.168.1.8_POSEIDONSQL_APPFVT_01_tbl_detalle_fill_rate[[#This Row],[Cant Embarcada]]</f>
        <v>0</v>
      </c>
      <c r="S1363" s="1">
        <f>+IF(Tabla__192.168.1.8_POSEIDONSQL_APPFVT_01_tbl_detalle_fill_rate[[#This Row],[Pend Emb]]&gt;0,1,0)</f>
        <v>0</v>
      </c>
      <c r="T13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4" spans="1:20" x14ac:dyDescent="0.25">
      <c r="A1364">
        <v>6</v>
      </c>
      <c r="B1364" t="s">
        <v>53</v>
      </c>
      <c r="C1364">
        <v>948365</v>
      </c>
      <c r="D1364" s="48">
        <v>43342</v>
      </c>
      <c r="E1364" s="48">
        <v>43341</v>
      </c>
      <c r="F1364" s="48">
        <v>43347</v>
      </c>
      <c r="G1364" t="s">
        <v>164</v>
      </c>
      <c r="H1364" t="s">
        <v>165</v>
      </c>
      <c r="I1364">
        <v>1</v>
      </c>
      <c r="J1364" t="s">
        <v>792</v>
      </c>
      <c r="K1364">
        <v>1</v>
      </c>
      <c r="L1364">
        <v>1</v>
      </c>
      <c r="M1364" t="s">
        <v>1963</v>
      </c>
      <c r="N1364">
        <v>0</v>
      </c>
      <c r="O1364" s="1">
        <f>+Tabla__192.168.1.8_POSEIDONSQL_APPFVT_01_tbl_detalle_fill_rate[[#This Row],[emb_cantidad]]-Tabla__192.168.1.8_POSEIDONSQL_APPFVT_01_tbl_detalle_fill_rate[[#This Row],[dev_cantidad]]</f>
        <v>1</v>
      </c>
      <c r="P13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4" s="1">
        <f>+Tabla__192.168.1.8_POSEIDONSQL_APPFVT_01_tbl_detalle_fill_rate[[#This Row],[Cumpl Real Unds]]-Tabla__192.168.1.8_POSEIDONSQL_APPFVT_01_tbl_detalle_fill_rate[[#This Row],[Cant Embarcada]]</f>
        <v>0</v>
      </c>
      <c r="S1364" s="1">
        <f>+IF(Tabla__192.168.1.8_POSEIDONSQL_APPFVT_01_tbl_detalle_fill_rate[[#This Row],[Pend Emb]]&gt;0,1,0)</f>
        <v>0</v>
      </c>
      <c r="T13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5" spans="1:20" x14ac:dyDescent="0.25">
      <c r="A1365">
        <v>6</v>
      </c>
      <c r="B1365" t="s">
        <v>53</v>
      </c>
      <c r="C1365">
        <v>949101</v>
      </c>
      <c r="D1365" s="48">
        <v>43343</v>
      </c>
      <c r="E1365" s="48">
        <v>43342</v>
      </c>
      <c r="F1365" s="48">
        <v>43350</v>
      </c>
      <c r="G1365" t="s">
        <v>1259</v>
      </c>
      <c r="H1365" t="s">
        <v>1260</v>
      </c>
      <c r="I1365">
        <v>1</v>
      </c>
      <c r="J1365" t="s">
        <v>1261</v>
      </c>
      <c r="K1365">
        <v>1</v>
      </c>
      <c r="L1365">
        <v>1</v>
      </c>
      <c r="M1365" t="s">
        <v>1969</v>
      </c>
      <c r="N1365">
        <v>0</v>
      </c>
      <c r="O1365" s="1">
        <f>+Tabla__192.168.1.8_POSEIDONSQL_APPFVT_01_tbl_detalle_fill_rate[[#This Row],[emb_cantidad]]-Tabla__192.168.1.8_POSEIDONSQL_APPFVT_01_tbl_detalle_fill_rate[[#This Row],[dev_cantidad]]</f>
        <v>1</v>
      </c>
      <c r="P13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5" s="1">
        <f>+Tabla__192.168.1.8_POSEIDONSQL_APPFVT_01_tbl_detalle_fill_rate[[#This Row],[Cumpl Real Unds]]-Tabla__192.168.1.8_POSEIDONSQL_APPFVT_01_tbl_detalle_fill_rate[[#This Row],[Cant Embarcada]]</f>
        <v>0</v>
      </c>
      <c r="S1365" s="1">
        <f>+IF(Tabla__192.168.1.8_POSEIDONSQL_APPFVT_01_tbl_detalle_fill_rate[[#This Row],[Pend Emb]]&gt;0,1,0)</f>
        <v>0</v>
      </c>
      <c r="T13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6" spans="1:20" x14ac:dyDescent="0.25">
      <c r="A1366">
        <v>6</v>
      </c>
      <c r="B1366" t="s">
        <v>53</v>
      </c>
      <c r="C1366">
        <v>949118</v>
      </c>
      <c r="D1366" s="48">
        <v>43343</v>
      </c>
      <c r="E1366" s="48">
        <v>43342</v>
      </c>
      <c r="F1366" s="48">
        <v>43348</v>
      </c>
      <c r="G1366" t="s">
        <v>128</v>
      </c>
      <c r="H1366" t="s">
        <v>129</v>
      </c>
      <c r="I1366">
        <v>1</v>
      </c>
      <c r="J1366" t="s">
        <v>1257</v>
      </c>
      <c r="K1366">
        <v>1</v>
      </c>
      <c r="L1366">
        <v>1</v>
      </c>
      <c r="M1366" t="s">
        <v>160</v>
      </c>
      <c r="N1366">
        <v>0</v>
      </c>
      <c r="O1366" s="1">
        <f>+Tabla__192.168.1.8_POSEIDONSQL_APPFVT_01_tbl_detalle_fill_rate[[#This Row],[emb_cantidad]]-Tabla__192.168.1.8_POSEIDONSQL_APPFVT_01_tbl_detalle_fill_rate[[#This Row],[dev_cantidad]]</f>
        <v>1</v>
      </c>
      <c r="P13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6" s="1">
        <f>+Tabla__192.168.1.8_POSEIDONSQL_APPFVT_01_tbl_detalle_fill_rate[[#This Row],[Cumpl Real Unds]]-Tabla__192.168.1.8_POSEIDONSQL_APPFVT_01_tbl_detalle_fill_rate[[#This Row],[Cant Embarcada]]</f>
        <v>0</v>
      </c>
      <c r="S1366" s="1">
        <f>+IF(Tabla__192.168.1.8_POSEIDONSQL_APPFVT_01_tbl_detalle_fill_rate[[#This Row],[Pend Emb]]&gt;0,1,0)</f>
        <v>0</v>
      </c>
      <c r="T13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7" spans="1:20" x14ac:dyDescent="0.25">
      <c r="A1367">
        <v>6</v>
      </c>
      <c r="B1367" t="s">
        <v>53</v>
      </c>
      <c r="C1367">
        <v>949225</v>
      </c>
      <c r="D1367" s="48">
        <v>43343</v>
      </c>
      <c r="E1367" s="48">
        <v>43342</v>
      </c>
      <c r="F1367" s="48">
        <v>43348</v>
      </c>
      <c r="G1367" t="s">
        <v>142</v>
      </c>
      <c r="H1367" t="s">
        <v>143</v>
      </c>
      <c r="I1367">
        <v>1</v>
      </c>
      <c r="J1367" t="s">
        <v>1258</v>
      </c>
      <c r="K1367">
        <v>1</v>
      </c>
      <c r="L1367">
        <v>1</v>
      </c>
      <c r="M1367" t="s">
        <v>160</v>
      </c>
      <c r="N1367">
        <v>0</v>
      </c>
      <c r="O1367" s="1">
        <f>+Tabla__192.168.1.8_POSEIDONSQL_APPFVT_01_tbl_detalle_fill_rate[[#This Row],[emb_cantidad]]-Tabla__192.168.1.8_POSEIDONSQL_APPFVT_01_tbl_detalle_fill_rate[[#This Row],[dev_cantidad]]</f>
        <v>1</v>
      </c>
      <c r="P13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7" s="1">
        <f>+Tabla__192.168.1.8_POSEIDONSQL_APPFVT_01_tbl_detalle_fill_rate[[#This Row],[Cumpl Real Unds]]-Tabla__192.168.1.8_POSEIDONSQL_APPFVT_01_tbl_detalle_fill_rate[[#This Row],[Cant Embarcada]]</f>
        <v>0</v>
      </c>
      <c r="S1367" s="1">
        <f>+IF(Tabla__192.168.1.8_POSEIDONSQL_APPFVT_01_tbl_detalle_fill_rate[[#This Row],[Pend Emb]]&gt;0,1,0)</f>
        <v>0</v>
      </c>
      <c r="T13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8" spans="1:20" x14ac:dyDescent="0.25">
      <c r="A1368">
        <v>6</v>
      </c>
      <c r="B1368" t="s">
        <v>53</v>
      </c>
      <c r="C1368">
        <v>950343</v>
      </c>
      <c r="D1368" s="48">
        <v>43346</v>
      </c>
      <c r="E1368" s="48">
        <v>43343</v>
      </c>
      <c r="F1368" s="48">
        <v>43356</v>
      </c>
      <c r="G1368" t="s">
        <v>308</v>
      </c>
      <c r="H1368" t="s">
        <v>309</v>
      </c>
      <c r="I1368">
        <v>1</v>
      </c>
      <c r="J1368" t="s">
        <v>1461</v>
      </c>
      <c r="K1368">
        <v>1</v>
      </c>
      <c r="L1368">
        <v>1</v>
      </c>
      <c r="M1368" t="s">
        <v>425</v>
      </c>
      <c r="N1368">
        <v>0</v>
      </c>
      <c r="O1368" s="1">
        <f>+Tabla__192.168.1.8_POSEIDONSQL_APPFVT_01_tbl_detalle_fill_rate[[#This Row],[emb_cantidad]]-Tabla__192.168.1.8_POSEIDONSQL_APPFVT_01_tbl_detalle_fill_rate[[#This Row],[dev_cantidad]]</f>
        <v>1</v>
      </c>
      <c r="P13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8" s="1">
        <f>+Tabla__192.168.1.8_POSEIDONSQL_APPFVT_01_tbl_detalle_fill_rate[[#This Row],[Cumpl Real Unds]]-Tabla__192.168.1.8_POSEIDONSQL_APPFVT_01_tbl_detalle_fill_rate[[#This Row],[Cant Embarcada]]</f>
        <v>0</v>
      </c>
      <c r="S1368" s="1">
        <f>+IF(Tabla__192.168.1.8_POSEIDONSQL_APPFVT_01_tbl_detalle_fill_rate[[#This Row],[Pend Emb]]&gt;0,1,0)</f>
        <v>0</v>
      </c>
      <c r="T13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69" spans="1:20" x14ac:dyDescent="0.25">
      <c r="A1369">
        <v>6</v>
      </c>
      <c r="B1369" t="s">
        <v>53</v>
      </c>
      <c r="C1369">
        <v>950345</v>
      </c>
      <c r="D1369" s="48">
        <v>43346</v>
      </c>
      <c r="E1369" s="48">
        <v>43343</v>
      </c>
      <c r="F1369" s="48">
        <v>43350</v>
      </c>
      <c r="G1369" t="s">
        <v>637</v>
      </c>
      <c r="H1369" t="s">
        <v>638</v>
      </c>
      <c r="I1369">
        <v>1</v>
      </c>
      <c r="J1369" t="s">
        <v>1625</v>
      </c>
      <c r="K1369">
        <v>1</v>
      </c>
      <c r="L1369">
        <v>1</v>
      </c>
      <c r="M1369" t="s">
        <v>1969</v>
      </c>
      <c r="N1369">
        <v>0</v>
      </c>
      <c r="O1369" s="1">
        <f>+Tabla__192.168.1.8_POSEIDONSQL_APPFVT_01_tbl_detalle_fill_rate[[#This Row],[emb_cantidad]]-Tabla__192.168.1.8_POSEIDONSQL_APPFVT_01_tbl_detalle_fill_rate[[#This Row],[dev_cantidad]]</f>
        <v>1</v>
      </c>
      <c r="P13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69" s="1">
        <f>+Tabla__192.168.1.8_POSEIDONSQL_APPFVT_01_tbl_detalle_fill_rate[[#This Row],[Cumpl Real Unds]]-Tabla__192.168.1.8_POSEIDONSQL_APPFVT_01_tbl_detalle_fill_rate[[#This Row],[Cant Embarcada]]</f>
        <v>0</v>
      </c>
      <c r="S1369" s="1">
        <f>+IF(Tabla__192.168.1.8_POSEIDONSQL_APPFVT_01_tbl_detalle_fill_rate[[#This Row],[Pend Emb]]&gt;0,1,0)</f>
        <v>0</v>
      </c>
      <c r="T13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0" spans="1:20" x14ac:dyDescent="0.25">
      <c r="A1370">
        <v>6</v>
      </c>
      <c r="B1370" t="s">
        <v>53</v>
      </c>
      <c r="C1370">
        <v>950423</v>
      </c>
      <c r="D1370" s="48">
        <v>43346</v>
      </c>
      <c r="E1370" s="48">
        <v>43343</v>
      </c>
      <c r="F1370" s="48">
        <v>43349</v>
      </c>
      <c r="G1370" t="s">
        <v>1617</v>
      </c>
      <c r="H1370" t="s">
        <v>1618</v>
      </c>
      <c r="I1370">
        <v>1</v>
      </c>
      <c r="J1370" t="s">
        <v>1619</v>
      </c>
      <c r="K1370">
        <v>1</v>
      </c>
      <c r="L1370">
        <v>1</v>
      </c>
      <c r="M1370" t="s">
        <v>160</v>
      </c>
      <c r="N1370">
        <v>0</v>
      </c>
      <c r="O1370" s="1">
        <f>+Tabla__192.168.1.8_POSEIDONSQL_APPFVT_01_tbl_detalle_fill_rate[[#This Row],[emb_cantidad]]-Tabla__192.168.1.8_POSEIDONSQL_APPFVT_01_tbl_detalle_fill_rate[[#This Row],[dev_cantidad]]</f>
        <v>1</v>
      </c>
      <c r="P13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0" s="1">
        <f>+Tabla__192.168.1.8_POSEIDONSQL_APPFVT_01_tbl_detalle_fill_rate[[#This Row],[Cumpl Real Unds]]-Tabla__192.168.1.8_POSEIDONSQL_APPFVT_01_tbl_detalle_fill_rate[[#This Row],[Cant Embarcada]]</f>
        <v>0</v>
      </c>
      <c r="S1370" s="1">
        <f>+IF(Tabla__192.168.1.8_POSEIDONSQL_APPFVT_01_tbl_detalle_fill_rate[[#This Row],[Pend Emb]]&gt;0,1,0)</f>
        <v>0</v>
      </c>
      <c r="T13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1" spans="1:20" x14ac:dyDescent="0.25">
      <c r="A1371">
        <v>6</v>
      </c>
      <c r="B1371" t="s">
        <v>53</v>
      </c>
      <c r="C1371">
        <v>950838</v>
      </c>
      <c r="D1371" s="48">
        <v>43346</v>
      </c>
      <c r="E1371" s="48">
        <v>43343</v>
      </c>
      <c r="F1371" s="48">
        <v>43349</v>
      </c>
      <c r="G1371" t="s">
        <v>197</v>
      </c>
      <c r="H1371" t="s">
        <v>198</v>
      </c>
      <c r="I1371">
        <v>1</v>
      </c>
      <c r="J1371" t="s">
        <v>1620</v>
      </c>
      <c r="K1371">
        <v>1</v>
      </c>
      <c r="L1371">
        <v>1</v>
      </c>
      <c r="M1371" t="s">
        <v>160</v>
      </c>
      <c r="N1371">
        <v>0</v>
      </c>
      <c r="O1371" s="1">
        <f>+Tabla__192.168.1.8_POSEIDONSQL_APPFVT_01_tbl_detalle_fill_rate[[#This Row],[emb_cantidad]]-Tabla__192.168.1.8_POSEIDONSQL_APPFVT_01_tbl_detalle_fill_rate[[#This Row],[dev_cantidad]]</f>
        <v>1</v>
      </c>
      <c r="P13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1" s="1">
        <f>+Tabla__192.168.1.8_POSEIDONSQL_APPFVT_01_tbl_detalle_fill_rate[[#This Row],[Cumpl Real Unds]]-Tabla__192.168.1.8_POSEIDONSQL_APPFVT_01_tbl_detalle_fill_rate[[#This Row],[Cant Embarcada]]</f>
        <v>0</v>
      </c>
      <c r="S1371" s="1">
        <f>+IF(Tabla__192.168.1.8_POSEIDONSQL_APPFVT_01_tbl_detalle_fill_rate[[#This Row],[Pend Emb]]&gt;0,1,0)</f>
        <v>0</v>
      </c>
      <c r="T13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2" spans="1:20" x14ac:dyDescent="0.25">
      <c r="A1372">
        <v>6</v>
      </c>
      <c r="B1372" t="s">
        <v>53</v>
      </c>
      <c r="C1372">
        <v>950888</v>
      </c>
      <c r="D1372" s="48">
        <v>43346</v>
      </c>
      <c r="E1372" s="48">
        <v>43343</v>
      </c>
      <c r="F1372" s="48">
        <v>43349</v>
      </c>
      <c r="G1372" t="s">
        <v>168</v>
      </c>
      <c r="H1372" t="s">
        <v>169</v>
      </c>
      <c r="I1372">
        <v>1</v>
      </c>
      <c r="J1372" t="s">
        <v>1621</v>
      </c>
      <c r="K1372">
        <v>1</v>
      </c>
      <c r="L1372">
        <v>1</v>
      </c>
      <c r="M1372" t="s">
        <v>160</v>
      </c>
      <c r="N1372">
        <v>0</v>
      </c>
      <c r="O1372" s="1">
        <f>+Tabla__192.168.1.8_POSEIDONSQL_APPFVT_01_tbl_detalle_fill_rate[[#This Row],[emb_cantidad]]-Tabla__192.168.1.8_POSEIDONSQL_APPFVT_01_tbl_detalle_fill_rate[[#This Row],[dev_cantidad]]</f>
        <v>1</v>
      </c>
      <c r="P13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2" s="1">
        <f>+Tabla__192.168.1.8_POSEIDONSQL_APPFVT_01_tbl_detalle_fill_rate[[#This Row],[Cumpl Real Unds]]-Tabla__192.168.1.8_POSEIDONSQL_APPFVT_01_tbl_detalle_fill_rate[[#This Row],[Cant Embarcada]]</f>
        <v>0</v>
      </c>
      <c r="S1372" s="1">
        <f>+IF(Tabla__192.168.1.8_POSEIDONSQL_APPFVT_01_tbl_detalle_fill_rate[[#This Row],[Pend Emb]]&gt;0,1,0)</f>
        <v>0</v>
      </c>
      <c r="T13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3" spans="1:20" x14ac:dyDescent="0.25">
      <c r="A1373">
        <v>6</v>
      </c>
      <c r="B1373" t="s">
        <v>53</v>
      </c>
      <c r="C1373">
        <v>951359</v>
      </c>
      <c r="D1373" s="48">
        <v>43346</v>
      </c>
      <c r="E1373" s="48">
        <v>43344</v>
      </c>
      <c r="F1373" s="48">
        <v>43349</v>
      </c>
      <c r="G1373" t="s">
        <v>203</v>
      </c>
      <c r="H1373" t="s">
        <v>204</v>
      </c>
      <c r="I1373">
        <v>1</v>
      </c>
      <c r="J1373" t="s">
        <v>1622</v>
      </c>
      <c r="K1373">
        <v>1</v>
      </c>
      <c r="L1373">
        <v>1</v>
      </c>
      <c r="M1373" t="s">
        <v>160</v>
      </c>
      <c r="N1373">
        <v>0</v>
      </c>
      <c r="O1373" s="1">
        <f>+Tabla__192.168.1.8_POSEIDONSQL_APPFVT_01_tbl_detalle_fill_rate[[#This Row],[emb_cantidad]]-Tabla__192.168.1.8_POSEIDONSQL_APPFVT_01_tbl_detalle_fill_rate[[#This Row],[dev_cantidad]]</f>
        <v>1</v>
      </c>
      <c r="P13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3" s="1">
        <f>+Tabla__192.168.1.8_POSEIDONSQL_APPFVT_01_tbl_detalle_fill_rate[[#This Row],[Cumpl Real Unds]]-Tabla__192.168.1.8_POSEIDONSQL_APPFVT_01_tbl_detalle_fill_rate[[#This Row],[Cant Embarcada]]</f>
        <v>0</v>
      </c>
      <c r="S1373" s="1">
        <f>+IF(Tabla__192.168.1.8_POSEIDONSQL_APPFVT_01_tbl_detalle_fill_rate[[#This Row],[Pend Emb]]&gt;0,1,0)</f>
        <v>0</v>
      </c>
      <c r="T13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4" spans="1:20" x14ac:dyDescent="0.25">
      <c r="A1374">
        <v>6</v>
      </c>
      <c r="B1374" t="s">
        <v>53</v>
      </c>
      <c r="C1374">
        <v>951492</v>
      </c>
      <c r="D1374" s="48">
        <v>43346</v>
      </c>
      <c r="E1374" s="48">
        <v>43344</v>
      </c>
      <c r="F1374" s="48">
        <v>43349</v>
      </c>
      <c r="G1374" t="s">
        <v>257</v>
      </c>
      <c r="H1374" t="s">
        <v>258</v>
      </c>
      <c r="I1374">
        <v>1</v>
      </c>
      <c r="J1374" t="s">
        <v>1623</v>
      </c>
      <c r="K1374">
        <v>1</v>
      </c>
      <c r="L1374">
        <v>1</v>
      </c>
      <c r="M1374" t="s">
        <v>160</v>
      </c>
      <c r="N1374">
        <v>0</v>
      </c>
      <c r="O1374" s="1">
        <f>+Tabla__192.168.1.8_POSEIDONSQL_APPFVT_01_tbl_detalle_fill_rate[[#This Row],[emb_cantidad]]-Tabla__192.168.1.8_POSEIDONSQL_APPFVT_01_tbl_detalle_fill_rate[[#This Row],[dev_cantidad]]</f>
        <v>1</v>
      </c>
      <c r="P13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4" s="1">
        <f>+Tabla__192.168.1.8_POSEIDONSQL_APPFVT_01_tbl_detalle_fill_rate[[#This Row],[Cumpl Real Unds]]-Tabla__192.168.1.8_POSEIDONSQL_APPFVT_01_tbl_detalle_fill_rate[[#This Row],[Cant Embarcada]]</f>
        <v>0</v>
      </c>
      <c r="S1374" s="1">
        <f>+IF(Tabla__192.168.1.8_POSEIDONSQL_APPFVT_01_tbl_detalle_fill_rate[[#This Row],[Pend Emb]]&gt;0,1,0)</f>
        <v>0</v>
      </c>
      <c r="T13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5" spans="1:20" x14ac:dyDescent="0.25">
      <c r="A1375">
        <v>6</v>
      </c>
      <c r="B1375" t="s">
        <v>53</v>
      </c>
      <c r="C1375">
        <v>951564</v>
      </c>
      <c r="D1375" s="48">
        <v>43346</v>
      </c>
      <c r="E1375" s="48">
        <v>43344</v>
      </c>
      <c r="F1375" s="48">
        <v>43349</v>
      </c>
      <c r="G1375" t="s">
        <v>144</v>
      </c>
      <c r="H1375" t="s">
        <v>145</v>
      </c>
      <c r="I1375">
        <v>1</v>
      </c>
      <c r="J1375" t="s">
        <v>1612</v>
      </c>
      <c r="K1375">
        <v>1</v>
      </c>
      <c r="L1375">
        <v>1</v>
      </c>
      <c r="M1375" t="s">
        <v>160</v>
      </c>
      <c r="N1375">
        <v>0</v>
      </c>
      <c r="O1375" s="1">
        <f>+Tabla__192.168.1.8_POSEIDONSQL_APPFVT_01_tbl_detalle_fill_rate[[#This Row],[emb_cantidad]]-Tabla__192.168.1.8_POSEIDONSQL_APPFVT_01_tbl_detalle_fill_rate[[#This Row],[dev_cantidad]]</f>
        <v>1</v>
      </c>
      <c r="P13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5" s="1">
        <f>+Tabla__192.168.1.8_POSEIDONSQL_APPFVT_01_tbl_detalle_fill_rate[[#This Row],[Cumpl Real Unds]]-Tabla__192.168.1.8_POSEIDONSQL_APPFVT_01_tbl_detalle_fill_rate[[#This Row],[Cant Embarcada]]</f>
        <v>0</v>
      </c>
      <c r="S1375" s="1">
        <f>+IF(Tabla__192.168.1.8_POSEIDONSQL_APPFVT_01_tbl_detalle_fill_rate[[#This Row],[Pend Emb]]&gt;0,1,0)</f>
        <v>0</v>
      </c>
      <c r="T13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6" spans="1:20" x14ac:dyDescent="0.25">
      <c r="A1376">
        <v>6</v>
      </c>
      <c r="B1376" t="s">
        <v>53</v>
      </c>
      <c r="C1376">
        <v>951973</v>
      </c>
      <c r="D1376" s="48">
        <v>43346</v>
      </c>
      <c r="E1376" s="48">
        <v>43344</v>
      </c>
      <c r="F1376" s="48">
        <v>43350</v>
      </c>
      <c r="G1376" t="s">
        <v>104</v>
      </c>
      <c r="H1376" t="s">
        <v>105</v>
      </c>
      <c r="I1376">
        <v>1</v>
      </c>
      <c r="J1376" t="s">
        <v>1624</v>
      </c>
      <c r="K1376">
        <v>1</v>
      </c>
      <c r="L1376">
        <v>1</v>
      </c>
      <c r="M1376" t="s">
        <v>1969</v>
      </c>
      <c r="N1376">
        <v>0</v>
      </c>
      <c r="O1376" s="1">
        <f>+Tabla__192.168.1.8_POSEIDONSQL_APPFVT_01_tbl_detalle_fill_rate[[#This Row],[emb_cantidad]]-Tabla__192.168.1.8_POSEIDONSQL_APPFVT_01_tbl_detalle_fill_rate[[#This Row],[dev_cantidad]]</f>
        <v>1</v>
      </c>
      <c r="P13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6" s="1">
        <f>+Tabla__192.168.1.8_POSEIDONSQL_APPFVT_01_tbl_detalle_fill_rate[[#This Row],[Cumpl Real Unds]]-Tabla__192.168.1.8_POSEIDONSQL_APPFVT_01_tbl_detalle_fill_rate[[#This Row],[Cant Embarcada]]</f>
        <v>0</v>
      </c>
      <c r="S1376" s="1">
        <f>+IF(Tabla__192.168.1.8_POSEIDONSQL_APPFVT_01_tbl_detalle_fill_rate[[#This Row],[Pend Emb]]&gt;0,1,0)</f>
        <v>0</v>
      </c>
      <c r="T13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7" spans="1:20" x14ac:dyDescent="0.25">
      <c r="A1377">
        <v>6</v>
      </c>
      <c r="B1377" t="s">
        <v>53</v>
      </c>
      <c r="C1377">
        <v>952354</v>
      </c>
      <c r="D1377" s="48">
        <v>43346</v>
      </c>
      <c r="E1377" s="48">
        <v>43345</v>
      </c>
      <c r="F1377" s="48">
        <v>43349</v>
      </c>
      <c r="G1377" t="s">
        <v>66</v>
      </c>
      <c r="H1377" t="s">
        <v>67</v>
      </c>
      <c r="I1377">
        <v>1</v>
      </c>
      <c r="J1377" t="s">
        <v>1613</v>
      </c>
      <c r="K1377">
        <v>1</v>
      </c>
      <c r="L1377">
        <v>1</v>
      </c>
      <c r="M1377" t="s">
        <v>160</v>
      </c>
      <c r="N1377">
        <v>0</v>
      </c>
      <c r="O1377" s="1">
        <f>+Tabla__192.168.1.8_POSEIDONSQL_APPFVT_01_tbl_detalle_fill_rate[[#This Row],[emb_cantidad]]-Tabla__192.168.1.8_POSEIDONSQL_APPFVT_01_tbl_detalle_fill_rate[[#This Row],[dev_cantidad]]</f>
        <v>1</v>
      </c>
      <c r="P13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7" s="1">
        <f>+Tabla__192.168.1.8_POSEIDONSQL_APPFVT_01_tbl_detalle_fill_rate[[#This Row],[Cumpl Real Unds]]-Tabla__192.168.1.8_POSEIDONSQL_APPFVT_01_tbl_detalle_fill_rate[[#This Row],[Cant Embarcada]]</f>
        <v>0</v>
      </c>
      <c r="S1377" s="1">
        <f>+IF(Tabla__192.168.1.8_POSEIDONSQL_APPFVT_01_tbl_detalle_fill_rate[[#This Row],[Pend Emb]]&gt;0,1,0)</f>
        <v>0</v>
      </c>
      <c r="T13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8" spans="1:20" x14ac:dyDescent="0.25">
      <c r="A1378">
        <v>6</v>
      </c>
      <c r="B1378" t="s">
        <v>53</v>
      </c>
      <c r="C1378">
        <v>952523</v>
      </c>
      <c r="D1378" s="48">
        <v>43346</v>
      </c>
      <c r="E1378" s="48">
        <v>43345</v>
      </c>
      <c r="F1378" s="48">
        <v>43349</v>
      </c>
      <c r="G1378" t="s">
        <v>96</v>
      </c>
      <c r="H1378" t="s">
        <v>97</v>
      </c>
      <c r="I1378">
        <v>1</v>
      </c>
      <c r="J1378" t="s">
        <v>1614</v>
      </c>
      <c r="K1378">
        <v>1</v>
      </c>
      <c r="L1378">
        <v>1</v>
      </c>
      <c r="M1378" t="s">
        <v>160</v>
      </c>
      <c r="N1378">
        <v>0</v>
      </c>
      <c r="O1378" s="1">
        <f>+Tabla__192.168.1.8_POSEIDONSQL_APPFVT_01_tbl_detalle_fill_rate[[#This Row],[emb_cantidad]]-Tabla__192.168.1.8_POSEIDONSQL_APPFVT_01_tbl_detalle_fill_rate[[#This Row],[dev_cantidad]]</f>
        <v>1</v>
      </c>
      <c r="P13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8" s="1">
        <f>+Tabla__192.168.1.8_POSEIDONSQL_APPFVT_01_tbl_detalle_fill_rate[[#This Row],[Cumpl Real Unds]]-Tabla__192.168.1.8_POSEIDONSQL_APPFVT_01_tbl_detalle_fill_rate[[#This Row],[Cant Embarcada]]</f>
        <v>0</v>
      </c>
      <c r="S1378" s="1">
        <f>+IF(Tabla__192.168.1.8_POSEIDONSQL_APPFVT_01_tbl_detalle_fill_rate[[#This Row],[Pend Emb]]&gt;0,1,0)</f>
        <v>0</v>
      </c>
      <c r="T13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79" spans="1:20" x14ac:dyDescent="0.25">
      <c r="A1379">
        <v>6</v>
      </c>
      <c r="B1379" t="s">
        <v>53</v>
      </c>
      <c r="C1379">
        <v>952574</v>
      </c>
      <c r="D1379" s="48">
        <v>43346</v>
      </c>
      <c r="E1379" s="48">
        <v>43345</v>
      </c>
      <c r="F1379" s="48">
        <v>43349</v>
      </c>
      <c r="G1379" t="s">
        <v>94</v>
      </c>
      <c r="H1379" t="s">
        <v>95</v>
      </c>
      <c r="I1379">
        <v>1</v>
      </c>
      <c r="J1379" t="s">
        <v>1615</v>
      </c>
      <c r="K1379">
        <v>1</v>
      </c>
      <c r="L1379">
        <v>1</v>
      </c>
      <c r="M1379" t="s">
        <v>160</v>
      </c>
      <c r="N1379">
        <v>0</v>
      </c>
      <c r="O1379" s="1">
        <f>+Tabla__192.168.1.8_POSEIDONSQL_APPFVT_01_tbl_detalle_fill_rate[[#This Row],[emb_cantidad]]-Tabla__192.168.1.8_POSEIDONSQL_APPFVT_01_tbl_detalle_fill_rate[[#This Row],[dev_cantidad]]</f>
        <v>1</v>
      </c>
      <c r="P13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79" s="1">
        <f>+Tabla__192.168.1.8_POSEIDONSQL_APPFVT_01_tbl_detalle_fill_rate[[#This Row],[Cumpl Real Unds]]-Tabla__192.168.1.8_POSEIDONSQL_APPFVT_01_tbl_detalle_fill_rate[[#This Row],[Cant Embarcada]]</f>
        <v>0</v>
      </c>
      <c r="S1379" s="1">
        <f>+IF(Tabla__192.168.1.8_POSEIDONSQL_APPFVT_01_tbl_detalle_fill_rate[[#This Row],[Pend Emb]]&gt;0,1,0)</f>
        <v>0</v>
      </c>
      <c r="T13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0" spans="1:20" x14ac:dyDescent="0.25">
      <c r="A1380">
        <v>6</v>
      </c>
      <c r="B1380" t="s">
        <v>53</v>
      </c>
      <c r="C1380">
        <v>952688</v>
      </c>
      <c r="D1380" s="48">
        <v>43346</v>
      </c>
      <c r="E1380" s="48">
        <v>43345</v>
      </c>
      <c r="F1380" s="48">
        <v>43349</v>
      </c>
      <c r="G1380" t="s">
        <v>102</v>
      </c>
      <c r="H1380" t="s">
        <v>103</v>
      </c>
      <c r="I1380">
        <v>1</v>
      </c>
      <c r="J1380" t="s">
        <v>1616</v>
      </c>
      <c r="K1380">
        <v>1</v>
      </c>
      <c r="L1380">
        <v>1</v>
      </c>
      <c r="M1380" t="s">
        <v>160</v>
      </c>
      <c r="N1380">
        <v>0</v>
      </c>
      <c r="O1380" s="1">
        <f>+Tabla__192.168.1.8_POSEIDONSQL_APPFVT_01_tbl_detalle_fill_rate[[#This Row],[emb_cantidad]]-Tabla__192.168.1.8_POSEIDONSQL_APPFVT_01_tbl_detalle_fill_rate[[#This Row],[dev_cantidad]]</f>
        <v>1</v>
      </c>
      <c r="P13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0" s="1">
        <f>+Tabla__192.168.1.8_POSEIDONSQL_APPFVT_01_tbl_detalle_fill_rate[[#This Row],[Cumpl Real Unds]]-Tabla__192.168.1.8_POSEIDONSQL_APPFVT_01_tbl_detalle_fill_rate[[#This Row],[Cant Embarcada]]</f>
        <v>0</v>
      </c>
      <c r="S1380" s="1">
        <f>+IF(Tabla__192.168.1.8_POSEIDONSQL_APPFVT_01_tbl_detalle_fill_rate[[#This Row],[Pend Emb]]&gt;0,1,0)</f>
        <v>0</v>
      </c>
      <c r="T13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1" spans="1:20" x14ac:dyDescent="0.25">
      <c r="A1381">
        <v>6</v>
      </c>
      <c r="B1381" t="s">
        <v>53</v>
      </c>
      <c r="C1381">
        <v>953134</v>
      </c>
      <c r="D1381" s="48">
        <v>43346</v>
      </c>
      <c r="E1381" s="48">
        <v>43346</v>
      </c>
      <c r="F1381" s="48">
        <v>43349</v>
      </c>
      <c r="G1381" t="s">
        <v>533</v>
      </c>
      <c r="H1381" t="s">
        <v>534</v>
      </c>
      <c r="I1381">
        <v>1</v>
      </c>
      <c r="J1381" t="s">
        <v>1609</v>
      </c>
      <c r="K1381">
        <v>1</v>
      </c>
      <c r="L1381">
        <v>1</v>
      </c>
      <c r="M1381" t="s">
        <v>160</v>
      </c>
      <c r="N1381">
        <v>0</v>
      </c>
      <c r="O1381" s="1">
        <f>+Tabla__192.168.1.8_POSEIDONSQL_APPFVT_01_tbl_detalle_fill_rate[[#This Row],[emb_cantidad]]-Tabla__192.168.1.8_POSEIDONSQL_APPFVT_01_tbl_detalle_fill_rate[[#This Row],[dev_cantidad]]</f>
        <v>1</v>
      </c>
      <c r="P13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1" s="1">
        <f>+Tabla__192.168.1.8_POSEIDONSQL_APPFVT_01_tbl_detalle_fill_rate[[#This Row],[Cumpl Real Unds]]-Tabla__192.168.1.8_POSEIDONSQL_APPFVT_01_tbl_detalle_fill_rate[[#This Row],[Cant Embarcada]]</f>
        <v>0</v>
      </c>
      <c r="S1381" s="1">
        <f>+IF(Tabla__192.168.1.8_POSEIDONSQL_APPFVT_01_tbl_detalle_fill_rate[[#This Row],[Pend Emb]]&gt;0,1,0)</f>
        <v>0</v>
      </c>
      <c r="T13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2" spans="1:20" x14ac:dyDescent="0.25">
      <c r="A1382">
        <v>6</v>
      </c>
      <c r="B1382" t="s">
        <v>53</v>
      </c>
      <c r="C1382">
        <v>953168</v>
      </c>
      <c r="D1382" s="48">
        <v>43346</v>
      </c>
      <c r="E1382" s="48">
        <v>43346</v>
      </c>
      <c r="F1382" s="48">
        <v>43349</v>
      </c>
      <c r="G1382" t="s">
        <v>96</v>
      </c>
      <c r="H1382" t="s">
        <v>97</v>
      </c>
      <c r="I1382">
        <v>1</v>
      </c>
      <c r="J1382" t="s">
        <v>1610</v>
      </c>
      <c r="K1382">
        <v>1</v>
      </c>
      <c r="L1382">
        <v>1</v>
      </c>
      <c r="M1382" t="s">
        <v>160</v>
      </c>
      <c r="N1382">
        <v>0</v>
      </c>
      <c r="O1382" s="1">
        <f>+Tabla__192.168.1.8_POSEIDONSQL_APPFVT_01_tbl_detalle_fill_rate[[#This Row],[emb_cantidad]]-Tabla__192.168.1.8_POSEIDONSQL_APPFVT_01_tbl_detalle_fill_rate[[#This Row],[dev_cantidad]]</f>
        <v>1</v>
      </c>
      <c r="P13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2" s="1">
        <f>+Tabla__192.168.1.8_POSEIDONSQL_APPFVT_01_tbl_detalle_fill_rate[[#This Row],[Cumpl Real Unds]]-Tabla__192.168.1.8_POSEIDONSQL_APPFVT_01_tbl_detalle_fill_rate[[#This Row],[Cant Embarcada]]</f>
        <v>0</v>
      </c>
      <c r="S1382" s="1">
        <f>+IF(Tabla__192.168.1.8_POSEIDONSQL_APPFVT_01_tbl_detalle_fill_rate[[#This Row],[Pend Emb]]&gt;0,1,0)</f>
        <v>0</v>
      </c>
      <c r="T13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3" spans="1:20" x14ac:dyDescent="0.25">
      <c r="A1383">
        <v>6</v>
      </c>
      <c r="B1383" t="s">
        <v>53</v>
      </c>
      <c r="C1383">
        <v>953170</v>
      </c>
      <c r="D1383" s="48">
        <v>43346</v>
      </c>
      <c r="E1383" s="48">
        <v>43346</v>
      </c>
      <c r="F1383" s="48">
        <v>43349</v>
      </c>
      <c r="G1383" t="s">
        <v>1156</v>
      </c>
      <c r="H1383" t="s">
        <v>1157</v>
      </c>
      <c r="I1383">
        <v>1</v>
      </c>
      <c r="J1383" t="s">
        <v>1611</v>
      </c>
      <c r="K1383">
        <v>1</v>
      </c>
      <c r="L1383">
        <v>1</v>
      </c>
      <c r="M1383" t="s">
        <v>160</v>
      </c>
      <c r="N1383">
        <v>0</v>
      </c>
      <c r="O1383" s="1">
        <f>+Tabla__192.168.1.8_POSEIDONSQL_APPFVT_01_tbl_detalle_fill_rate[[#This Row],[emb_cantidad]]-Tabla__192.168.1.8_POSEIDONSQL_APPFVT_01_tbl_detalle_fill_rate[[#This Row],[dev_cantidad]]</f>
        <v>1</v>
      </c>
      <c r="P13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3" s="1">
        <f>+Tabla__192.168.1.8_POSEIDONSQL_APPFVT_01_tbl_detalle_fill_rate[[#This Row],[Cumpl Real Unds]]-Tabla__192.168.1.8_POSEIDONSQL_APPFVT_01_tbl_detalle_fill_rate[[#This Row],[Cant Embarcada]]</f>
        <v>0</v>
      </c>
      <c r="S1383" s="1">
        <f>+IF(Tabla__192.168.1.8_POSEIDONSQL_APPFVT_01_tbl_detalle_fill_rate[[#This Row],[Pend Emb]]&gt;0,1,0)</f>
        <v>0</v>
      </c>
      <c r="T13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4" spans="1:20" x14ac:dyDescent="0.25">
      <c r="A1384">
        <v>6</v>
      </c>
      <c r="B1384" t="s">
        <v>53</v>
      </c>
      <c r="C1384">
        <v>953321</v>
      </c>
      <c r="D1384" s="48">
        <v>43347</v>
      </c>
      <c r="E1384" s="48">
        <v>43346</v>
      </c>
      <c r="F1384" s="48">
        <v>43360</v>
      </c>
      <c r="G1384" t="s">
        <v>106</v>
      </c>
      <c r="H1384" t="s">
        <v>107</v>
      </c>
      <c r="I1384">
        <v>1</v>
      </c>
      <c r="J1384" t="s">
        <v>159</v>
      </c>
      <c r="K1384">
        <v>1</v>
      </c>
      <c r="L1384">
        <v>1</v>
      </c>
      <c r="M1384" t="s">
        <v>425</v>
      </c>
      <c r="N1384">
        <v>0</v>
      </c>
      <c r="O1384" s="1">
        <f>+Tabla__192.168.1.8_POSEIDONSQL_APPFVT_01_tbl_detalle_fill_rate[[#This Row],[emb_cantidad]]-Tabla__192.168.1.8_POSEIDONSQL_APPFVT_01_tbl_detalle_fill_rate[[#This Row],[dev_cantidad]]</f>
        <v>1</v>
      </c>
      <c r="P13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4" s="1">
        <f>+Tabla__192.168.1.8_POSEIDONSQL_APPFVT_01_tbl_detalle_fill_rate[[#This Row],[Cumpl Real Unds]]-Tabla__192.168.1.8_POSEIDONSQL_APPFVT_01_tbl_detalle_fill_rate[[#This Row],[Cant Embarcada]]</f>
        <v>0</v>
      </c>
      <c r="S1384" s="1">
        <f>+IF(Tabla__192.168.1.8_POSEIDONSQL_APPFVT_01_tbl_detalle_fill_rate[[#This Row],[Pend Emb]]&gt;0,1,0)</f>
        <v>0</v>
      </c>
      <c r="T13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5" spans="1:20" x14ac:dyDescent="0.25">
      <c r="A1385">
        <v>6</v>
      </c>
      <c r="B1385" t="s">
        <v>53</v>
      </c>
      <c r="C1385">
        <v>953988</v>
      </c>
      <c r="D1385" s="48">
        <v>43347</v>
      </c>
      <c r="E1385" s="48">
        <v>43346</v>
      </c>
      <c r="F1385" s="48">
        <v>43350</v>
      </c>
      <c r="G1385" t="s">
        <v>128</v>
      </c>
      <c r="H1385" t="s">
        <v>129</v>
      </c>
      <c r="I1385">
        <v>1</v>
      </c>
      <c r="J1385" t="s">
        <v>836</v>
      </c>
      <c r="K1385">
        <v>1</v>
      </c>
      <c r="L1385">
        <v>1</v>
      </c>
      <c r="M1385" t="s">
        <v>1969</v>
      </c>
      <c r="N1385">
        <v>0</v>
      </c>
      <c r="O1385" s="1">
        <f>+Tabla__192.168.1.8_POSEIDONSQL_APPFVT_01_tbl_detalle_fill_rate[[#This Row],[emb_cantidad]]-Tabla__192.168.1.8_POSEIDONSQL_APPFVT_01_tbl_detalle_fill_rate[[#This Row],[dev_cantidad]]</f>
        <v>1</v>
      </c>
      <c r="P13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5" s="1">
        <f>+Tabla__192.168.1.8_POSEIDONSQL_APPFVT_01_tbl_detalle_fill_rate[[#This Row],[Cumpl Real Unds]]-Tabla__192.168.1.8_POSEIDONSQL_APPFVT_01_tbl_detalle_fill_rate[[#This Row],[Cant Embarcada]]</f>
        <v>0</v>
      </c>
      <c r="S1385" s="1">
        <f>+IF(Tabla__192.168.1.8_POSEIDONSQL_APPFVT_01_tbl_detalle_fill_rate[[#This Row],[Pend Emb]]&gt;0,1,0)</f>
        <v>0</v>
      </c>
      <c r="T13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6" spans="1:20" x14ac:dyDescent="0.25">
      <c r="A1386">
        <v>6</v>
      </c>
      <c r="B1386" t="s">
        <v>53</v>
      </c>
      <c r="C1386">
        <v>954516</v>
      </c>
      <c r="D1386" s="48">
        <v>43348</v>
      </c>
      <c r="E1386" s="48">
        <v>43347</v>
      </c>
      <c r="F1386" s="48">
        <v>43350</v>
      </c>
      <c r="G1386" t="s">
        <v>74</v>
      </c>
      <c r="H1386" t="s">
        <v>75</v>
      </c>
      <c r="I1386">
        <v>1</v>
      </c>
      <c r="J1386" t="s">
        <v>1297</v>
      </c>
      <c r="K1386">
        <v>1</v>
      </c>
      <c r="L1386">
        <v>1</v>
      </c>
      <c r="M1386" t="s">
        <v>1969</v>
      </c>
      <c r="N1386">
        <v>0</v>
      </c>
      <c r="O1386" s="1">
        <f>+Tabla__192.168.1.8_POSEIDONSQL_APPFVT_01_tbl_detalle_fill_rate[[#This Row],[emb_cantidad]]-Tabla__192.168.1.8_POSEIDONSQL_APPFVT_01_tbl_detalle_fill_rate[[#This Row],[dev_cantidad]]</f>
        <v>1</v>
      </c>
      <c r="P13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6" s="1">
        <f>+Tabla__192.168.1.8_POSEIDONSQL_APPFVT_01_tbl_detalle_fill_rate[[#This Row],[Cumpl Real Unds]]-Tabla__192.168.1.8_POSEIDONSQL_APPFVT_01_tbl_detalle_fill_rate[[#This Row],[Cant Embarcada]]</f>
        <v>0</v>
      </c>
      <c r="S1386" s="1">
        <f>+IF(Tabla__192.168.1.8_POSEIDONSQL_APPFVT_01_tbl_detalle_fill_rate[[#This Row],[Pend Emb]]&gt;0,1,0)</f>
        <v>0</v>
      </c>
      <c r="T13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7" spans="1:20" x14ac:dyDescent="0.25">
      <c r="A1387">
        <v>6</v>
      </c>
      <c r="B1387" t="s">
        <v>53</v>
      </c>
      <c r="C1387">
        <v>954593</v>
      </c>
      <c r="D1387" s="48">
        <v>43348</v>
      </c>
      <c r="E1387" s="48">
        <v>43347</v>
      </c>
      <c r="F1387" s="48">
        <v>43350</v>
      </c>
      <c r="G1387" t="s">
        <v>78</v>
      </c>
      <c r="H1387" t="s">
        <v>79</v>
      </c>
      <c r="I1387">
        <v>1</v>
      </c>
      <c r="J1387" t="s">
        <v>1295</v>
      </c>
      <c r="K1387">
        <v>1</v>
      </c>
      <c r="L1387">
        <v>1</v>
      </c>
      <c r="M1387" t="s">
        <v>1969</v>
      </c>
      <c r="N1387">
        <v>0</v>
      </c>
      <c r="O1387" s="1">
        <f>+Tabla__192.168.1.8_POSEIDONSQL_APPFVT_01_tbl_detalle_fill_rate[[#This Row],[emb_cantidad]]-Tabla__192.168.1.8_POSEIDONSQL_APPFVT_01_tbl_detalle_fill_rate[[#This Row],[dev_cantidad]]</f>
        <v>1</v>
      </c>
      <c r="P13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7" s="1">
        <f>+Tabla__192.168.1.8_POSEIDONSQL_APPFVT_01_tbl_detalle_fill_rate[[#This Row],[Cumpl Real Unds]]-Tabla__192.168.1.8_POSEIDONSQL_APPFVT_01_tbl_detalle_fill_rate[[#This Row],[Cant Embarcada]]</f>
        <v>0</v>
      </c>
      <c r="S1387" s="1">
        <f>+IF(Tabla__192.168.1.8_POSEIDONSQL_APPFVT_01_tbl_detalle_fill_rate[[#This Row],[Pend Emb]]&gt;0,1,0)</f>
        <v>0</v>
      </c>
      <c r="T13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8" spans="1:20" x14ac:dyDescent="0.25">
      <c r="A1388">
        <v>6</v>
      </c>
      <c r="B1388" t="s">
        <v>53</v>
      </c>
      <c r="C1388">
        <v>954630</v>
      </c>
      <c r="D1388" s="48">
        <v>43348</v>
      </c>
      <c r="E1388" s="48">
        <v>43347</v>
      </c>
      <c r="F1388" s="48">
        <v>43353</v>
      </c>
      <c r="G1388" t="s">
        <v>366</v>
      </c>
      <c r="H1388" t="s">
        <v>367</v>
      </c>
      <c r="I1388">
        <v>1</v>
      </c>
      <c r="J1388" t="s">
        <v>1296</v>
      </c>
      <c r="K1388">
        <v>1</v>
      </c>
      <c r="L1388">
        <v>1</v>
      </c>
      <c r="M1388" t="s">
        <v>1969</v>
      </c>
      <c r="N1388">
        <v>0</v>
      </c>
      <c r="O1388" s="1">
        <f>+Tabla__192.168.1.8_POSEIDONSQL_APPFVT_01_tbl_detalle_fill_rate[[#This Row],[emb_cantidad]]-Tabla__192.168.1.8_POSEIDONSQL_APPFVT_01_tbl_detalle_fill_rate[[#This Row],[dev_cantidad]]</f>
        <v>1</v>
      </c>
      <c r="P13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8" s="1">
        <f>+Tabla__192.168.1.8_POSEIDONSQL_APPFVT_01_tbl_detalle_fill_rate[[#This Row],[Cumpl Real Unds]]-Tabla__192.168.1.8_POSEIDONSQL_APPFVT_01_tbl_detalle_fill_rate[[#This Row],[Cant Embarcada]]</f>
        <v>0</v>
      </c>
      <c r="S1388" s="1">
        <f>+IF(Tabla__192.168.1.8_POSEIDONSQL_APPFVT_01_tbl_detalle_fill_rate[[#This Row],[Pend Emb]]&gt;0,1,0)</f>
        <v>0</v>
      </c>
      <c r="T13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89" spans="1:20" x14ac:dyDescent="0.25">
      <c r="A1389">
        <v>6</v>
      </c>
      <c r="B1389" t="s">
        <v>53</v>
      </c>
      <c r="C1389">
        <v>955136</v>
      </c>
      <c r="D1389" s="48">
        <v>43348</v>
      </c>
      <c r="E1389" s="48">
        <v>43347</v>
      </c>
      <c r="F1389" s="48">
        <v>43354</v>
      </c>
      <c r="G1389" t="s">
        <v>130</v>
      </c>
      <c r="H1389" t="s">
        <v>131</v>
      </c>
      <c r="I1389">
        <v>1</v>
      </c>
      <c r="J1389" t="s">
        <v>1460</v>
      </c>
      <c r="K1389">
        <v>1</v>
      </c>
      <c r="L1389">
        <v>1</v>
      </c>
      <c r="M1389" t="s">
        <v>429</v>
      </c>
      <c r="N1389">
        <v>0</v>
      </c>
      <c r="O1389" s="1">
        <f>+Tabla__192.168.1.8_POSEIDONSQL_APPFVT_01_tbl_detalle_fill_rate[[#This Row],[emb_cantidad]]-Tabla__192.168.1.8_POSEIDONSQL_APPFVT_01_tbl_detalle_fill_rate[[#This Row],[dev_cantidad]]</f>
        <v>1</v>
      </c>
      <c r="P13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89" s="1">
        <f>+Tabla__192.168.1.8_POSEIDONSQL_APPFVT_01_tbl_detalle_fill_rate[[#This Row],[Cumpl Real Unds]]-Tabla__192.168.1.8_POSEIDONSQL_APPFVT_01_tbl_detalle_fill_rate[[#This Row],[Cant Embarcada]]</f>
        <v>0</v>
      </c>
      <c r="S1389" s="1">
        <f>+IF(Tabla__192.168.1.8_POSEIDONSQL_APPFVT_01_tbl_detalle_fill_rate[[#This Row],[Pend Emb]]&gt;0,1,0)</f>
        <v>0</v>
      </c>
      <c r="T13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0" spans="1:20" x14ac:dyDescent="0.25">
      <c r="A1390">
        <v>6</v>
      </c>
      <c r="B1390" t="s">
        <v>53</v>
      </c>
      <c r="C1390">
        <v>955843</v>
      </c>
      <c r="D1390" s="48">
        <v>43349</v>
      </c>
      <c r="E1390" s="48">
        <v>43348</v>
      </c>
      <c r="F1390" s="48">
        <v>43355</v>
      </c>
      <c r="G1390" t="s">
        <v>366</v>
      </c>
      <c r="H1390" t="s">
        <v>367</v>
      </c>
      <c r="I1390">
        <v>1</v>
      </c>
      <c r="J1390" t="s">
        <v>1848</v>
      </c>
      <c r="K1390">
        <v>1</v>
      </c>
      <c r="L1390">
        <v>1</v>
      </c>
      <c r="M1390" t="s">
        <v>429</v>
      </c>
      <c r="N1390">
        <v>0</v>
      </c>
      <c r="O1390" s="1">
        <f>+Tabla__192.168.1.8_POSEIDONSQL_APPFVT_01_tbl_detalle_fill_rate[[#This Row],[emb_cantidad]]-Tabla__192.168.1.8_POSEIDONSQL_APPFVT_01_tbl_detalle_fill_rate[[#This Row],[dev_cantidad]]</f>
        <v>1</v>
      </c>
      <c r="P13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0" s="1">
        <f>+Tabla__192.168.1.8_POSEIDONSQL_APPFVT_01_tbl_detalle_fill_rate[[#This Row],[Cumpl Real Unds]]-Tabla__192.168.1.8_POSEIDONSQL_APPFVT_01_tbl_detalle_fill_rate[[#This Row],[Cant Embarcada]]</f>
        <v>0</v>
      </c>
      <c r="S1390" s="1">
        <f>+IF(Tabla__192.168.1.8_POSEIDONSQL_APPFVT_01_tbl_detalle_fill_rate[[#This Row],[Pend Emb]]&gt;0,1,0)</f>
        <v>0</v>
      </c>
      <c r="T13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1" spans="1:20" x14ac:dyDescent="0.25">
      <c r="A1391">
        <v>6</v>
      </c>
      <c r="B1391" t="s">
        <v>53</v>
      </c>
      <c r="C1391">
        <v>955941</v>
      </c>
      <c r="D1391" s="48">
        <v>43349</v>
      </c>
      <c r="E1391" s="48">
        <v>43348</v>
      </c>
      <c r="F1391" s="48">
        <v>43355</v>
      </c>
      <c r="G1391" t="s">
        <v>355</v>
      </c>
      <c r="H1391" t="s">
        <v>356</v>
      </c>
      <c r="I1391">
        <v>1</v>
      </c>
      <c r="J1391" t="s">
        <v>1849</v>
      </c>
      <c r="K1391">
        <v>1</v>
      </c>
      <c r="L1391">
        <v>1</v>
      </c>
      <c r="M1391" t="s">
        <v>429</v>
      </c>
      <c r="N1391">
        <v>0</v>
      </c>
      <c r="O1391" s="1">
        <f>+Tabla__192.168.1.8_POSEIDONSQL_APPFVT_01_tbl_detalle_fill_rate[[#This Row],[emb_cantidad]]-Tabla__192.168.1.8_POSEIDONSQL_APPFVT_01_tbl_detalle_fill_rate[[#This Row],[dev_cantidad]]</f>
        <v>1</v>
      </c>
      <c r="P13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1" s="1">
        <f>+Tabla__192.168.1.8_POSEIDONSQL_APPFVT_01_tbl_detalle_fill_rate[[#This Row],[Cumpl Real Unds]]-Tabla__192.168.1.8_POSEIDONSQL_APPFVT_01_tbl_detalle_fill_rate[[#This Row],[Cant Embarcada]]</f>
        <v>0</v>
      </c>
      <c r="S1391" s="1">
        <f>+IF(Tabla__192.168.1.8_POSEIDONSQL_APPFVT_01_tbl_detalle_fill_rate[[#This Row],[Pend Emb]]&gt;0,1,0)</f>
        <v>0</v>
      </c>
      <c r="T13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2" spans="1:20" x14ac:dyDescent="0.25">
      <c r="A1392">
        <v>6</v>
      </c>
      <c r="B1392" t="s">
        <v>53</v>
      </c>
      <c r="C1392">
        <v>956197</v>
      </c>
      <c r="D1392" s="48">
        <v>43349</v>
      </c>
      <c r="E1392" s="48">
        <v>43348</v>
      </c>
      <c r="F1392" s="48">
        <v>43357</v>
      </c>
      <c r="G1392" t="s">
        <v>86</v>
      </c>
      <c r="H1392" t="s">
        <v>87</v>
      </c>
      <c r="I1392">
        <v>1</v>
      </c>
      <c r="J1392" t="s">
        <v>1850</v>
      </c>
      <c r="K1392">
        <v>1</v>
      </c>
      <c r="L1392">
        <v>1</v>
      </c>
      <c r="M1392" t="s">
        <v>425</v>
      </c>
      <c r="N1392">
        <v>0</v>
      </c>
      <c r="O1392" s="1">
        <f>+Tabla__192.168.1.8_POSEIDONSQL_APPFVT_01_tbl_detalle_fill_rate[[#This Row],[emb_cantidad]]-Tabla__192.168.1.8_POSEIDONSQL_APPFVT_01_tbl_detalle_fill_rate[[#This Row],[dev_cantidad]]</f>
        <v>1</v>
      </c>
      <c r="P13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2" s="1">
        <f>+Tabla__192.168.1.8_POSEIDONSQL_APPFVT_01_tbl_detalle_fill_rate[[#This Row],[Cumpl Real Unds]]-Tabla__192.168.1.8_POSEIDONSQL_APPFVT_01_tbl_detalle_fill_rate[[#This Row],[Cant Embarcada]]</f>
        <v>0</v>
      </c>
      <c r="S1392" s="1">
        <f>+IF(Tabla__192.168.1.8_POSEIDONSQL_APPFVT_01_tbl_detalle_fill_rate[[#This Row],[Pend Emb]]&gt;0,1,0)</f>
        <v>0</v>
      </c>
      <c r="T13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3" spans="1:20" x14ac:dyDescent="0.25">
      <c r="A1393">
        <v>6</v>
      </c>
      <c r="B1393" t="s">
        <v>53</v>
      </c>
      <c r="C1393">
        <v>956259</v>
      </c>
      <c r="D1393" s="48">
        <v>43349</v>
      </c>
      <c r="E1393" s="48">
        <v>43348</v>
      </c>
      <c r="F1393" s="48">
        <v>43355</v>
      </c>
      <c r="G1393" t="s">
        <v>622</v>
      </c>
      <c r="H1393" t="s">
        <v>623</v>
      </c>
      <c r="I1393">
        <v>1</v>
      </c>
      <c r="J1393" t="s">
        <v>1847</v>
      </c>
      <c r="K1393">
        <v>1</v>
      </c>
      <c r="L1393">
        <v>1</v>
      </c>
      <c r="M1393" t="s">
        <v>429</v>
      </c>
      <c r="N1393">
        <v>0</v>
      </c>
      <c r="O1393" s="1">
        <f>+Tabla__192.168.1.8_POSEIDONSQL_APPFVT_01_tbl_detalle_fill_rate[[#This Row],[emb_cantidad]]-Tabla__192.168.1.8_POSEIDONSQL_APPFVT_01_tbl_detalle_fill_rate[[#This Row],[dev_cantidad]]</f>
        <v>1</v>
      </c>
      <c r="P13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3" s="1">
        <f>+Tabla__192.168.1.8_POSEIDONSQL_APPFVT_01_tbl_detalle_fill_rate[[#This Row],[Cumpl Real Unds]]-Tabla__192.168.1.8_POSEIDONSQL_APPFVT_01_tbl_detalle_fill_rate[[#This Row],[Cant Embarcada]]</f>
        <v>0</v>
      </c>
      <c r="S1393" s="1">
        <f>+IF(Tabla__192.168.1.8_POSEIDONSQL_APPFVT_01_tbl_detalle_fill_rate[[#This Row],[Pend Emb]]&gt;0,1,0)</f>
        <v>0</v>
      </c>
      <c r="T13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4" spans="1:20" x14ac:dyDescent="0.25">
      <c r="A1394">
        <v>6</v>
      </c>
      <c r="B1394" t="s">
        <v>53</v>
      </c>
      <c r="C1394">
        <v>957132</v>
      </c>
      <c r="D1394" s="48">
        <v>43350</v>
      </c>
      <c r="E1394" s="48">
        <v>43349</v>
      </c>
      <c r="F1394" s="48">
        <v>43356</v>
      </c>
      <c r="G1394" t="s">
        <v>118</v>
      </c>
      <c r="H1394" t="s">
        <v>119</v>
      </c>
      <c r="I1394">
        <v>1</v>
      </c>
      <c r="J1394" t="s">
        <v>589</v>
      </c>
      <c r="K1394">
        <v>1</v>
      </c>
      <c r="L1394">
        <v>1</v>
      </c>
      <c r="M1394" t="s">
        <v>425</v>
      </c>
      <c r="N1394">
        <v>0</v>
      </c>
      <c r="O1394" s="1">
        <f>+Tabla__192.168.1.8_POSEIDONSQL_APPFVT_01_tbl_detalle_fill_rate[[#This Row],[emb_cantidad]]-Tabla__192.168.1.8_POSEIDONSQL_APPFVT_01_tbl_detalle_fill_rate[[#This Row],[dev_cantidad]]</f>
        <v>1</v>
      </c>
      <c r="P13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4" s="1">
        <f>+Tabla__192.168.1.8_POSEIDONSQL_APPFVT_01_tbl_detalle_fill_rate[[#This Row],[Cumpl Real Unds]]-Tabla__192.168.1.8_POSEIDONSQL_APPFVT_01_tbl_detalle_fill_rate[[#This Row],[Cant Embarcada]]</f>
        <v>0</v>
      </c>
      <c r="S1394" s="1">
        <f>+IF(Tabla__192.168.1.8_POSEIDONSQL_APPFVT_01_tbl_detalle_fill_rate[[#This Row],[Pend Emb]]&gt;0,1,0)</f>
        <v>0</v>
      </c>
      <c r="T13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5" spans="1:20" x14ac:dyDescent="0.25">
      <c r="A1395">
        <v>6</v>
      </c>
      <c r="B1395" t="s">
        <v>53</v>
      </c>
      <c r="C1395">
        <v>957134</v>
      </c>
      <c r="D1395" s="48">
        <v>43350</v>
      </c>
      <c r="E1395" s="48">
        <v>43349</v>
      </c>
      <c r="F1395" s="48">
        <v>43354</v>
      </c>
      <c r="G1395" t="s">
        <v>68</v>
      </c>
      <c r="H1395" t="s">
        <v>69</v>
      </c>
      <c r="I1395">
        <v>1</v>
      </c>
      <c r="J1395" t="s">
        <v>856</v>
      </c>
      <c r="K1395">
        <v>1</v>
      </c>
      <c r="L1395">
        <v>1</v>
      </c>
      <c r="M1395" t="s">
        <v>429</v>
      </c>
      <c r="N1395">
        <v>0</v>
      </c>
      <c r="O1395" s="1">
        <f>+Tabla__192.168.1.8_POSEIDONSQL_APPFVT_01_tbl_detalle_fill_rate[[#This Row],[emb_cantidad]]-Tabla__192.168.1.8_POSEIDONSQL_APPFVT_01_tbl_detalle_fill_rate[[#This Row],[dev_cantidad]]</f>
        <v>1</v>
      </c>
      <c r="P13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5" s="1">
        <f>+Tabla__192.168.1.8_POSEIDONSQL_APPFVT_01_tbl_detalle_fill_rate[[#This Row],[Cumpl Real Unds]]-Tabla__192.168.1.8_POSEIDONSQL_APPFVT_01_tbl_detalle_fill_rate[[#This Row],[Cant Embarcada]]</f>
        <v>0</v>
      </c>
      <c r="S1395" s="1">
        <f>+IF(Tabla__192.168.1.8_POSEIDONSQL_APPFVT_01_tbl_detalle_fill_rate[[#This Row],[Pend Emb]]&gt;0,1,0)</f>
        <v>0</v>
      </c>
      <c r="T13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6" spans="1:20" x14ac:dyDescent="0.25">
      <c r="A1396">
        <v>6</v>
      </c>
      <c r="B1396" t="s">
        <v>53</v>
      </c>
      <c r="C1396">
        <v>957386</v>
      </c>
      <c r="D1396" s="48">
        <v>43350</v>
      </c>
      <c r="E1396" s="48">
        <v>43349</v>
      </c>
      <c r="F1396" s="48">
        <v>43357</v>
      </c>
      <c r="G1396" t="s">
        <v>353</v>
      </c>
      <c r="H1396" t="s">
        <v>354</v>
      </c>
      <c r="I1396">
        <v>1</v>
      </c>
      <c r="J1396" t="s">
        <v>590</v>
      </c>
      <c r="K1396">
        <v>1</v>
      </c>
      <c r="L1396">
        <v>1</v>
      </c>
      <c r="M1396" t="s">
        <v>425</v>
      </c>
      <c r="N1396">
        <v>0</v>
      </c>
      <c r="O1396" s="1">
        <f>+Tabla__192.168.1.8_POSEIDONSQL_APPFVT_01_tbl_detalle_fill_rate[[#This Row],[emb_cantidad]]-Tabla__192.168.1.8_POSEIDONSQL_APPFVT_01_tbl_detalle_fill_rate[[#This Row],[dev_cantidad]]</f>
        <v>1</v>
      </c>
      <c r="P13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6" s="1">
        <f>+Tabla__192.168.1.8_POSEIDONSQL_APPFVT_01_tbl_detalle_fill_rate[[#This Row],[Cumpl Real Unds]]-Tabla__192.168.1.8_POSEIDONSQL_APPFVT_01_tbl_detalle_fill_rate[[#This Row],[Cant Embarcada]]</f>
        <v>0</v>
      </c>
      <c r="S1396" s="1">
        <f>+IF(Tabla__192.168.1.8_POSEIDONSQL_APPFVT_01_tbl_detalle_fill_rate[[#This Row],[Pend Emb]]&gt;0,1,0)</f>
        <v>0</v>
      </c>
      <c r="T13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7" spans="1:20" x14ac:dyDescent="0.25">
      <c r="A1397">
        <v>6</v>
      </c>
      <c r="B1397" t="s">
        <v>53</v>
      </c>
      <c r="C1397">
        <v>957807</v>
      </c>
      <c r="D1397" s="48">
        <v>43350</v>
      </c>
      <c r="E1397" s="48">
        <v>43349</v>
      </c>
      <c r="F1397" s="48">
        <v>43355</v>
      </c>
      <c r="G1397" t="s">
        <v>130</v>
      </c>
      <c r="H1397" t="s">
        <v>131</v>
      </c>
      <c r="I1397">
        <v>1</v>
      </c>
      <c r="J1397" t="s">
        <v>585</v>
      </c>
      <c r="K1397">
        <v>1</v>
      </c>
      <c r="L1397">
        <v>1</v>
      </c>
      <c r="M1397" t="s">
        <v>429</v>
      </c>
      <c r="N1397">
        <v>0</v>
      </c>
      <c r="O1397" s="1">
        <f>+Tabla__192.168.1.8_POSEIDONSQL_APPFVT_01_tbl_detalle_fill_rate[[#This Row],[emb_cantidad]]-Tabla__192.168.1.8_POSEIDONSQL_APPFVT_01_tbl_detalle_fill_rate[[#This Row],[dev_cantidad]]</f>
        <v>1</v>
      </c>
      <c r="P13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7" s="1">
        <f>+Tabla__192.168.1.8_POSEIDONSQL_APPFVT_01_tbl_detalle_fill_rate[[#This Row],[Cumpl Real Unds]]-Tabla__192.168.1.8_POSEIDONSQL_APPFVT_01_tbl_detalle_fill_rate[[#This Row],[Cant Embarcada]]</f>
        <v>0</v>
      </c>
      <c r="S1397" s="1">
        <f>+IF(Tabla__192.168.1.8_POSEIDONSQL_APPFVT_01_tbl_detalle_fill_rate[[#This Row],[Pend Emb]]&gt;0,1,0)</f>
        <v>0</v>
      </c>
      <c r="T13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8" spans="1:20" x14ac:dyDescent="0.25">
      <c r="A1398">
        <v>6</v>
      </c>
      <c r="B1398" t="s">
        <v>53</v>
      </c>
      <c r="C1398">
        <v>957894</v>
      </c>
      <c r="D1398" s="48">
        <v>43350</v>
      </c>
      <c r="E1398" s="48">
        <v>43349</v>
      </c>
      <c r="F1398" s="48">
        <v>43355</v>
      </c>
      <c r="G1398" t="s">
        <v>76</v>
      </c>
      <c r="H1398" t="s">
        <v>77</v>
      </c>
      <c r="I1398">
        <v>1</v>
      </c>
      <c r="J1398" t="s">
        <v>586</v>
      </c>
      <c r="K1398">
        <v>1</v>
      </c>
      <c r="L1398">
        <v>1</v>
      </c>
      <c r="M1398" t="s">
        <v>429</v>
      </c>
      <c r="N1398">
        <v>0</v>
      </c>
      <c r="O1398" s="1">
        <f>+Tabla__192.168.1.8_POSEIDONSQL_APPFVT_01_tbl_detalle_fill_rate[[#This Row],[emb_cantidad]]-Tabla__192.168.1.8_POSEIDONSQL_APPFVT_01_tbl_detalle_fill_rate[[#This Row],[dev_cantidad]]</f>
        <v>1</v>
      </c>
      <c r="P13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8" s="1">
        <f>+Tabla__192.168.1.8_POSEIDONSQL_APPFVT_01_tbl_detalle_fill_rate[[#This Row],[Cumpl Real Unds]]-Tabla__192.168.1.8_POSEIDONSQL_APPFVT_01_tbl_detalle_fill_rate[[#This Row],[Cant Embarcada]]</f>
        <v>0</v>
      </c>
      <c r="S1398" s="1">
        <f>+IF(Tabla__192.168.1.8_POSEIDONSQL_APPFVT_01_tbl_detalle_fill_rate[[#This Row],[Pend Emb]]&gt;0,1,0)</f>
        <v>0</v>
      </c>
      <c r="T13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399" spans="1:20" x14ac:dyDescent="0.25">
      <c r="A1399">
        <v>6</v>
      </c>
      <c r="B1399" t="s">
        <v>53</v>
      </c>
      <c r="C1399">
        <v>957912</v>
      </c>
      <c r="D1399" s="48">
        <v>43350</v>
      </c>
      <c r="E1399" s="48">
        <v>43350</v>
      </c>
      <c r="F1399" s="48">
        <v>43357</v>
      </c>
      <c r="G1399" t="s">
        <v>64</v>
      </c>
      <c r="H1399" t="s">
        <v>65</v>
      </c>
      <c r="I1399">
        <v>1</v>
      </c>
      <c r="J1399" t="s">
        <v>588</v>
      </c>
      <c r="K1399">
        <v>1</v>
      </c>
      <c r="L1399">
        <v>1</v>
      </c>
      <c r="M1399" t="s">
        <v>425</v>
      </c>
      <c r="N1399">
        <v>0</v>
      </c>
      <c r="O1399" s="1">
        <f>+Tabla__192.168.1.8_POSEIDONSQL_APPFVT_01_tbl_detalle_fill_rate[[#This Row],[emb_cantidad]]-Tabla__192.168.1.8_POSEIDONSQL_APPFVT_01_tbl_detalle_fill_rate[[#This Row],[dev_cantidad]]</f>
        <v>1</v>
      </c>
      <c r="P13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3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399" s="1">
        <f>+Tabla__192.168.1.8_POSEIDONSQL_APPFVT_01_tbl_detalle_fill_rate[[#This Row],[Cumpl Real Unds]]-Tabla__192.168.1.8_POSEIDONSQL_APPFVT_01_tbl_detalle_fill_rate[[#This Row],[Cant Embarcada]]</f>
        <v>0</v>
      </c>
      <c r="S1399" s="1">
        <f>+IF(Tabla__192.168.1.8_POSEIDONSQL_APPFVT_01_tbl_detalle_fill_rate[[#This Row],[Pend Emb]]&gt;0,1,0)</f>
        <v>0</v>
      </c>
      <c r="T13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0" spans="1:20" x14ac:dyDescent="0.25">
      <c r="A1400">
        <v>6</v>
      </c>
      <c r="B1400" t="s">
        <v>53</v>
      </c>
      <c r="C1400">
        <v>958100</v>
      </c>
      <c r="D1400" s="48">
        <v>43354</v>
      </c>
      <c r="E1400" s="48">
        <v>43350</v>
      </c>
      <c r="F1400" s="48">
        <v>43356</v>
      </c>
      <c r="G1400" t="s">
        <v>132</v>
      </c>
      <c r="H1400" t="s">
        <v>133</v>
      </c>
      <c r="I1400">
        <v>1</v>
      </c>
      <c r="J1400" t="s">
        <v>1673</v>
      </c>
      <c r="K1400">
        <v>1</v>
      </c>
      <c r="L1400">
        <v>1</v>
      </c>
      <c r="M1400" t="s">
        <v>425</v>
      </c>
      <c r="N1400">
        <v>0</v>
      </c>
      <c r="O1400" s="1">
        <f>+Tabla__192.168.1.8_POSEIDONSQL_APPFVT_01_tbl_detalle_fill_rate[[#This Row],[emb_cantidad]]-Tabla__192.168.1.8_POSEIDONSQL_APPFVT_01_tbl_detalle_fill_rate[[#This Row],[dev_cantidad]]</f>
        <v>1</v>
      </c>
      <c r="P14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0" s="1">
        <f>+Tabla__192.168.1.8_POSEIDONSQL_APPFVT_01_tbl_detalle_fill_rate[[#This Row],[Cumpl Real Unds]]-Tabla__192.168.1.8_POSEIDONSQL_APPFVT_01_tbl_detalle_fill_rate[[#This Row],[Cant Embarcada]]</f>
        <v>0</v>
      </c>
      <c r="S1400" s="1">
        <f>+IF(Tabla__192.168.1.8_POSEIDONSQL_APPFVT_01_tbl_detalle_fill_rate[[#This Row],[Pend Emb]]&gt;0,1,0)</f>
        <v>0</v>
      </c>
      <c r="T14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1" spans="1:20" x14ac:dyDescent="0.25">
      <c r="A1401">
        <v>6</v>
      </c>
      <c r="B1401" t="s">
        <v>53</v>
      </c>
      <c r="C1401">
        <v>958102</v>
      </c>
      <c r="D1401" s="48">
        <v>43354</v>
      </c>
      <c r="E1401" s="48">
        <v>43350</v>
      </c>
      <c r="F1401" s="48">
        <v>43357</v>
      </c>
      <c r="G1401" t="s">
        <v>80</v>
      </c>
      <c r="H1401" t="s">
        <v>81</v>
      </c>
      <c r="I1401">
        <v>1</v>
      </c>
      <c r="J1401" t="s">
        <v>1674</v>
      </c>
      <c r="K1401">
        <v>1</v>
      </c>
      <c r="L1401">
        <v>1</v>
      </c>
      <c r="M1401" t="s">
        <v>425</v>
      </c>
      <c r="N1401">
        <v>0</v>
      </c>
      <c r="O1401" s="1">
        <f>+Tabla__192.168.1.8_POSEIDONSQL_APPFVT_01_tbl_detalle_fill_rate[[#This Row],[emb_cantidad]]-Tabla__192.168.1.8_POSEIDONSQL_APPFVT_01_tbl_detalle_fill_rate[[#This Row],[dev_cantidad]]</f>
        <v>1</v>
      </c>
      <c r="P14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1" s="1">
        <f>+Tabla__192.168.1.8_POSEIDONSQL_APPFVT_01_tbl_detalle_fill_rate[[#This Row],[Cumpl Real Unds]]-Tabla__192.168.1.8_POSEIDONSQL_APPFVT_01_tbl_detalle_fill_rate[[#This Row],[Cant Embarcada]]</f>
        <v>0</v>
      </c>
      <c r="S1401" s="1">
        <f>+IF(Tabla__192.168.1.8_POSEIDONSQL_APPFVT_01_tbl_detalle_fill_rate[[#This Row],[Pend Emb]]&gt;0,1,0)</f>
        <v>0</v>
      </c>
      <c r="T14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2" spans="1:20" x14ac:dyDescent="0.25">
      <c r="A1402">
        <v>6</v>
      </c>
      <c r="B1402" t="s">
        <v>53</v>
      </c>
      <c r="C1402">
        <v>958139</v>
      </c>
      <c r="D1402" s="48">
        <v>43354</v>
      </c>
      <c r="E1402" s="48">
        <v>43350</v>
      </c>
      <c r="F1402" s="48">
        <v>43363</v>
      </c>
      <c r="G1402" t="s">
        <v>146</v>
      </c>
      <c r="H1402" t="s">
        <v>147</v>
      </c>
      <c r="I1402">
        <v>1</v>
      </c>
      <c r="J1402" t="s">
        <v>1894</v>
      </c>
      <c r="K1402">
        <v>1</v>
      </c>
      <c r="L1402">
        <v>1</v>
      </c>
      <c r="M1402" t="s">
        <v>415</v>
      </c>
      <c r="N1402">
        <v>0</v>
      </c>
      <c r="O1402" s="1">
        <f>+Tabla__192.168.1.8_POSEIDONSQL_APPFVT_01_tbl_detalle_fill_rate[[#This Row],[emb_cantidad]]-Tabla__192.168.1.8_POSEIDONSQL_APPFVT_01_tbl_detalle_fill_rate[[#This Row],[dev_cantidad]]</f>
        <v>1</v>
      </c>
      <c r="P14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2" s="1">
        <f>+Tabla__192.168.1.8_POSEIDONSQL_APPFVT_01_tbl_detalle_fill_rate[[#This Row],[Cumpl Real Unds]]-Tabla__192.168.1.8_POSEIDONSQL_APPFVT_01_tbl_detalle_fill_rate[[#This Row],[Cant Embarcada]]</f>
        <v>0</v>
      </c>
      <c r="S1402" s="1">
        <f>+IF(Tabla__192.168.1.8_POSEIDONSQL_APPFVT_01_tbl_detalle_fill_rate[[#This Row],[Pend Emb]]&gt;0,1,0)</f>
        <v>0</v>
      </c>
      <c r="T14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3" spans="1:20" x14ac:dyDescent="0.25">
      <c r="A1403">
        <v>6</v>
      </c>
      <c r="B1403" t="s">
        <v>53</v>
      </c>
      <c r="C1403">
        <v>958545</v>
      </c>
      <c r="D1403" s="48">
        <v>43354</v>
      </c>
      <c r="E1403" s="48">
        <v>43350</v>
      </c>
      <c r="F1403" s="48">
        <v>43357</v>
      </c>
      <c r="G1403" t="s">
        <v>259</v>
      </c>
      <c r="H1403" t="s">
        <v>260</v>
      </c>
      <c r="I1403">
        <v>1</v>
      </c>
      <c r="J1403" t="s">
        <v>1675</v>
      </c>
      <c r="K1403">
        <v>1</v>
      </c>
      <c r="L1403">
        <v>1</v>
      </c>
      <c r="M1403" t="s">
        <v>425</v>
      </c>
      <c r="N1403">
        <v>0</v>
      </c>
      <c r="O1403" s="1">
        <f>+Tabla__192.168.1.8_POSEIDONSQL_APPFVT_01_tbl_detalle_fill_rate[[#This Row],[emb_cantidad]]-Tabla__192.168.1.8_POSEIDONSQL_APPFVT_01_tbl_detalle_fill_rate[[#This Row],[dev_cantidad]]</f>
        <v>1</v>
      </c>
      <c r="P14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3" s="1">
        <f>+Tabla__192.168.1.8_POSEIDONSQL_APPFVT_01_tbl_detalle_fill_rate[[#This Row],[Cumpl Real Unds]]-Tabla__192.168.1.8_POSEIDONSQL_APPFVT_01_tbl_detalle_fill_rate[[#This Row],[Cant Embarcada]]</f>
        <v>0</v>
      </c>
      <c r="S1403" s="1">
        <f>+IF(Tabla__192.168.1.8_POSEIDONSQL_APPFVT_01_tbl_detalle_fill_rate[[#This Row],[Pend Emb]]&gt;0,1,0)</f>
        <v>0</v>
      </c>
      <c r="T14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4" spans="1:20" x14ac:dyDescent="0.25">
      <c r="A1404">
        <v>6</v>
      </c>
      <c r="B1404" t="s">
        <v>53</v>
      </c>
      <c r="C1404">
        <v>958636</v>
      </c>
      <c r="D1404" s="48">
        <v>43354</v>
      </c>
      <c r="E1404" s="48">
        <v>43350</v>
      </c>
      <c r="F1404" s="48">
        <v>43356</v>
      </c>
      <c r="G1404" t="s">
        <v>94</v>
      </c>
      <c r="H1404" t="s">
        <v>95</v>
      </c>
      <c r="I1404">
        <v>1</v>
      </c>
      <c r="J1404" t="s">
        <v>1676</v>
      </c>
      <c r="K1404">
        <v>1</v>
      </c>
      <c r="L1404">
        <v>1</v>
      </c>
      <c r="M1404" t="s">
        <v>425</v>
      </c>
      <c r="N1404">
        <v>0</v>
      </c>
      <c r="O1404" s="1">
        <f>+Tabla__192.168.1.8_POSEIDONSQL_APPFVT_01_tbl_detalle_fill_rate[[#This Row],[emb_cantidad]]-Tabla__192.168.1.8_POSEIDONSQL_APPFVT_01_tbl_detalle_fill_rate[[#This Row],[dev_cantidad]]</f>
        <v>1</v>
      </c>
      <c r="P14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4" s="1">
        <f>+Tabla__192.168.1.8_POSEIDONSQL_APPFVT_01_tbl_detalle_fill_rate[[#This Row],[Cumpl Real Unds]]-Tabla__192.168.1.8_POSEIDONSQL_APPFVT_01_tbl_detalle_fill_rate[[#This Row],[Cant Embarcada]]</f>
        <v>0</v>
      </c>
      <c r="S1404" s="1">
        <f>+IF(Tabla__192.168.1.8_POSEIDONSQL_APPFVT_01_tbl_detalle_fill_rate[[#This Row],[Pend Emb]]&gt;0,1,0)</f>
        <v>0</v>
      </c>
      <c r="T14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5" spans="1:20" x14ac:dyDescent="0.25">
      <c r="A1405">
        <v>6</v>
      </c>
      <c r="B1405" t="s">
        <v>53</v>
      </c>
      <c r="C1405">
        <v>959110</v>
      </c>
      <c r="D1405" s="48">
        <v>43354</v>
      </c>
      <c r="E1405" s="48">
        <v>43351</v>
      </c>
      <c r="F1405" s="48">
        <v>43363</v>
      </c>
      <c r="G1405" t="s">
        <v>366</v>
      </c>
      <c r="H1405" t="s">
        <v>367</v>
      </c>
      <c r="I1405">
        <v>1</v>
      </c>
      <c r="J1405" t="s">
        <v>1892</v>
      </c>
      <c r="K1405">
        <v>1</v>
      </c>
      <c r="L1405">
        <v>1</v>
      </c>
      <c r="M1405" t="s">
        <v>415</v>
      </c>
      <c r="N1405">
        <v>0</v>
      </c>
      <c r="O1405" s="1">
        <f>+Tabla__192.168.1.8_POSEIDONSQL_APPFVT_01_tbl_detalle_fill_rate[[#This Row],[emb_cantidad]]-Tabla__192.168.1.8_POSEIDONSQL_APPFVT_01_tbl_detalle_fill_rate[[#This Row],[dev_cantidad]]</f>
        <v>1</v>
      </c>
      <c r="P14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5" s="1">
        <f>+Tabla__192.168.1.8_POSEIDONSQL_APPFVT_01_tbl_detalle_fill_rate[[#This Row],[Cumpl Real Unds]]-Tabla__192.168.1.8_POSEIDONSQL_APPFVT_01_tbl_detalle_fill_rate[[#This Row],[Cant Embarcada]]</f>
        <v>0</v>
      </c>
      <c r="S1405" s="1">
        <f>+IF(Tabla__192.168.1.8_POSEIDONSQL_APPFVT_01_tbl_detalle_fill_rate[[#This Row],[Pend Emb]]&gt;0,1,0)</f>
        <v>0</v>
      </c>
      <c r="T14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6" spans="1:20" x14ac:dyDescent="0.25">
      <c r="A1406">
        <v>6</v>
      </c>
      <c r="B1406" t="s">
        <v>53</v>
      </c>
      <c r="C1406">
        <v>959337</v>
      </c>
      <c r="D1406" s="48">
        <v>43354</v>
      </c>
      <c r="E1406" s="48">
        <v>43351</v>
      </c>
      <c r="F1406" s="48">
        <v>43363</v>
      </c>
      <c r="G1406" t="s">
        <v>94</v>
      </c>
      <c r="H1406" t="s">
        <v>95</v>
      </c>
      <c r="I1406">
        <v>1</v>
      </c>
      <c r="J1406" t="s">
        <v>1893</v>
      </c>
      <c r="K1406">
        <v>1</v>
      </c>
      <c r="L1406">
        <v>1</v>
      </c>
      <c r="M1406" t="s">
        <v>415</v>
      </c>
      <c r="N1406">
        <v>0</v>
      </c>
      <c r="O1406" s="1">
        <f>+Tabla__192.168.1.8_POSEIDONSQL_APPFVT_01_tbl_detalle_fill_rate[[#This Row],[emb_cantidad]]-Tabla__192.168.1.8_POSEIDONSQL_APPFVT_01_tbl_detalle_fill_rate[[#This Row],[dev_cantidad]]</f>
        <v>1</v>
      </c>
      <c r="P14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6" s="1">
        <f>+Tabla__192.168.1.8_POSEIDONSQL_APPFVT_01_tbl_detalle_fill_rate[[#This Row],[Cumpl Real Unds]]-Tabla__192.168.1.8_POSEIDONSQL_APPFVT_01_tbl_detalle_fill_rate[[#This Row],[Cant Embarcada]]</f>
        <v>0</v>
      </c>
      <c r="S1406" s="1">
        <f>+IF(Tabla__192.168.1.8_POSEIDONSQL_APPFVT_01_tbl_detalle_fill_rate[[#This Row],[Pend Emb]]&gt;0,1,0)</f>
        <v>0</v>
      </c>
      <c r="T14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7" spans="1:20" x14ac:dyDescent="0.25">
      <c r="A1407">
        <v>6</v>
      </c>
      <c r="B1407" t="s">
        <v>53</v>
      </c>
      <c r="C1407">
        <v>959744</v>
      </c>
      <c r="D1407" s="48">
        <v>43354</v>
      </c>
      <c r="E1407" s="48">
        <v>43351</v>
      </c>
      <c r="F1407" s="48">
        <v>43356</v>
      </c>
      <c r="G1407" t="s">
        <v>234</v>
      </c>
      <c r="H1407" t="s">
        <v>235</v>
      </c>
      <c r="I1407">
        <v>1</v>
      </c>
      <c r="J1407" t="s">
        <v>1517</v>
      </c>
      <c r="K1407">
        <v>1</v>
      </c>
      <c r="L1407">
        <v>1</v>
      </c>
      <c r="M1407" t="s">
        <v>425</v>
      </c>
      <c r="N1407">
        <v>0</v>
      </c>
      <c r="O1407" s="1">
        <f>+Tabla__192.168.1.8_POSEIDONSQL_APPFVT_01_tbl_detalle_fill_rate[[#This Row],[emb_cantidad]]-Tabla__192.168.1.8_POSEIDONSQL_APPFVT_01_tbl_detalle_fill_rate[[#This Row],[dev_cantidad]]</f>
        <v>1</v>
      </c>
      <c r="P14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7" s="1">
        <f>+Tabla__192.168.1.8_POSEIDONSQL_APPFVT_01_tbl_detalle_fill_rate[[#This Row],[Cumpl Real Unds]]-Tabla__192.168.1.8_POSEIDONSQL_APPFVT_01_tbl_detalle_fill_rate[[#This Row],[Cant Embarcada]]</f>
        <v>0</v>
      </c>
      <c r="S1407" s="1">
        <f>+IF(Tabla__192.168.1.8_POSEIDONSQL_APPFVT_01_tbl_detalle_fill_rate[[#This Row],[Pend Emb]]&gt;0,1,0)</f>
        <v>0</v>
      </c>
      <c r="T14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8" spans="1:20" x14ac:dyDescent="0.25">
      <c r="A1408">
        <v>6</v>
      </c>
      <c r="B1408" t="s">
        <v>53</v>
      </c>
      <c r="C1408">
        <v>960036</v>
      </c>
      <c r="D1408" s="48">
        <v>43354</v>
      </c>
      <c r="E1408" s="48">
        <v>43352</v>
      </c>
      <c r="F1408" s="48">
        <v>43356</v>
      </c>
      <c r="G1408" t="s">
        <v>146</v>
      </c>
      <c r="H1408" t="s">
        <v>147</v>
      </c>
      <c r="I1408">
        <v>1</v>
      </c>
      <c r="J1408" t="s">
        <v>1518</v>
      </c>
      <c r="K1408">
        <v>1</v>
      </c>
      <c r="L1408">
        <v>1</v>
      </c>
      <c r="M1408" t="s">
        <v>425</v>
      </c>
      <c r="N1408">
        <v>0</v>
      </c>
      <c r="O1408" s="1">
        <f>+Tabla__192.168.1.8_POSEIDONSQL_APPFVT_01_tbl_detalle_fill_rate[[#This Row],[emb_cantidad]]-Tabla__192.168.1.8_POSEIDONSQL_APPFVT_01_tbl_detalle_fill_rate[[#This Row],[dev_cantidad]]</f>
        <v>1</v>
      </c>
      <c r="P14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8" s="1">
        <f>+Tabla__192.168.1.8_POSEIDONSQL_APPFVT_01_tbl_detalle_fill_rate[[#This Row],[Cumpl Real Unds]]-Tabla__192.168.1.8_POSEIDONSQL_APPFVT_01_tbl_detalle_fill_rate[[#This Row],[Cant Embarcada]]</f>
        <v>0</v>
      </c>
      <c r="S1408" s="1">
        <f>+IF(Tabla__192.168.1.8_POSEIDONSQL_APPFVT_01_tbl_detalle_fill_rate[[#This Row],[Pend Emb]]&gt;0,1,0)</f>
        <v>0</v>
      </c>
      <c r="T14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09" spans="1:20" x14ac:dyDescent="0.25">
      <c r="A1409">
        <v>6</v>
      </c>
      <c r="B1409" t="s">
        <v>53</v>
      </c>
      <c r="C1409">
        <v>960049</v>
      </c>
      <c r="D1409" s="48">
        <v>43354</v>
      </c>
      <c r="E1409" s="48">
        <v>43352</v>
      </c>
      <c r="F1409" s="48">
        <v>43356</v>
      </c>
      <c r="G1409" t="s">
        <v>128</v>
      </c>
      <c r="H1409" t="s">
        <v>129</v>
      </c>
      <c r="I1409">
        <v>1</v>
      </c>
      <c r="J1409" t="s">
        <v>1519</v>
      </c>
      <c r="K1409">
        <v>1</v>
      </c>
      <c r="L1409">
        <v>1</v>
      </c>
      <c r="M1409" t="s">
        <v>425</v>
      </c>
      <c r="N1409">
        <v>0</v>
      </c>
      <c r="O1409" s="1">
        <f>+Tabla__192.168.1.8_POSEIDONSQL_APPFVT_01_tbl_detalle_fill_rate[[#This Row],[emb_cantidad]]-Tabla__192.168.1.8_POSEIDONSQL_APPFVT_01_tbl_detalle_fill_rate[[#This Row],[dev_cantidad]]</f>
        <v>1</v>
      </c>
      <c r="P14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09" s="1">
        <f>+Tabla__192.168.1.8_POSEIDONSQL_APPFVT_01_tbl_detalle_fill_rate[[#This Row],[Cumpl Real Unds]]-Tabla__192.168.1.8_POSEIDONSQL_APPFVT_01_tbl_detalle_fill_rate[[#This Row],[Cant Embarcada]]</f>
        <v>0</v>
      </c>
      <c r="S1409" s="1">
        <f>+IF(Tabla__192.168.1.8_POSEIDONSQL_APPFVT_01_tbl_detalle_fill_rate[[#This Row],[Pend Emb]]&gt;0,1,0)</f>
        <v>0</v>
      </c>
      <c r="T14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0" spans="1:20" x14ac:dyDescent="0.25">
      <c r="A1410">
        <v>6</v>
      </c>
      <c r="B1410" t="s">
        <v>53</v>
      </c>
      <c r="C1410">
        <v>960444</v>
      </c>
      <c r="D1410" s="48">
        <v>43354</v>
      </c>
      <c r="E1410" s="48">
        <v>43352</v>
      </c>
      <c r="F1410" s="48">
        <v>43356</v>
      </c>
      <c r="G1410" t="s">
        <v>124</v>
      </c>
      <c r="H1410" t="s">
        <v>125</v>
      </c>
      <c r="I1410">
        <v>1</v>
      </c>
      <c r="J1410" t="s">
        <v>1672</v>
      </c>
      <c r="K1410">
        <v>1</v>
      </c>
      <c r="L1410">
        <v>1</v>
      </c>
      <c r="M1410" t="s">
        <v>425</v>
      </c>
      <c r="N1410">
        <v>0</v>
      </c>
      <c r="O1410" s="1">
        <f>+Tabla__192.168.1.8_POSEIDONSQL_APPFVT_01_tbl_detalle_fill_rate[[#This Row],[emb_cantidad]]-Tabla__192.168.1.8_POSEIDONSQL_APPFVT_01_tbl_detalle_fill_rate[[#This Row],[dev_cantidad]]</f>
        <v>1</v>
      </c>
      <c r="P14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0" s="1">
        <f>+Tabla__192.168.1.8_POSEIDONSQL_APPFVT_01_tbl_detalle_fill_rate[[#This Row],[Cumpl Real Unds]]-Tabla__192.168.1.8_POSEIDONSQL_APPFVT_01_tbl_detalle_fill_rate[[#This Row],[Cant Embarcada]]</f>
        <v>0</v>
      </c>
      <c r="S1410" s="1">
        <f>+IF(Tabla__192.168.1.8_POSEIDONSQL_APPFVT_01_tbl_detalle_fill_rate[[#This Row],[Pend Emb]]&gt;0,1,0)</f>
        <v>0</v>
      </c>
      <c r="T14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1" spans="1:20" x14ac:dyDescent="0.25">
      <c r="A1411">
        <v>6</v>
      </c>
      <c r="B1411" t="s">
        <v>53</v>
      </c>
      <c r="C1411">
        <v>960447</v>
      </c>
      <c r="D1411" s="48">
        <v>43354</v>
      </c>
      <c r="E1411" s="48">
        <v>43352</v>
      </c>
      <c r="F1411" s="48">
        <v>43356</v>
      </c>
      <c r="G1411" t="s">
        <v>74</v>
      </c>
      <c r="H1411" t="s">
        <v>75</v>
      </c>
      <c r="I1411">
        <v>1</v>
      </c>
      <c r="J1411" t="s">
        <v>1515</v>
      </c>
      <c r="K1411">
        <v>1</v>
      </c>
      <c r="L1411">
        <v>1</v>
      </c>
      <c r="M1411" t="s">
        <v>425</v>
      </c>
      <c r="N1411">
        <v>0</v>
      </c>
      <c r="O1411" s="1">
        <f>+Tabla__192.168.1.8_POSEIDONSQL_APPFVT_01_tbl_detalle_fill_rate[[#This Row],[emb_cantidad]]-Tabla__192.168.1.8_POSEIDONSQL_APPFVT_01_tbl_detalle_fill_rate[[#This Row],[dev_cantidad]]</f>
        <v>1</v>
      </c>
      <c r="P14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1" s="1">
        <f>+Tabla__192.168.1.8_POSEIDONSQL_APPFVT_01_tbl_detalle_fill_rate[[#This Row],[Cumpl Real Unds]]-Tabla__192.168.1.8_POSEIDONSQL_APPFVT_01_tbl_detalle_fill_rate[[#This Row],[Cant Embarcada]]</f>
        <v>0</v>
      </c>
      <c r="S1411" s="1">
        <f>+IF(Tabla__192.168.1.8_POSEIDONSQL_APPFVT_01_tbl_detalle_fill_rate[[#This Row],[Pend Emb]]&gt;0,1,0)</f>
        <v>0</v>
      </c>
      <c r="T14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2" spans="1:20" x14ac:dyDescent="0.25">
      <c r="A1412">
        <v>6</v>
      </c>
      <c r="B1412" t="s">
        <v>53</v>
      </c>
      <c r="C1412">
        <v>960575</v>
      </c>
      <c r="D1412" s="48">
        <v>43354</v>
      </c>
      <c r="E1412" s="48">
        <v>43352</v>
      </c>
      <c r="F1412" s="48">
        <v>43356</v>
      </c>
      <c r="G1412" t="s">
        <v>74</v>
      </c>
      <c r="H1412" t="s">
        <v>75</v>
      </c>
      <c r="I1412">
        <v>1</v>
      </c>
      <c r="J1412" t="s">
        <v>1516</v>
      </c>
      <c r="K1412">
        <v>1</v>
      </c>
      <c r="L1412">
        <v>1</v>
      </c>
      <c r="M1412" t="s">
        <v>425</v>
      </c>
      <c r="N1412">
        <v>0</v>
      </c>
      <c r="O1412" s="1">
        <f>+Tabla__192.168.1.8_POSEIDONSQL_APPFVT_01_tbl_detalle_fill_rate[[#This Row],[emb_cantidad]]-Tabla__192.168.1.8_POSEIDONSQL_APPFVT_01_tbl_detalle_fill_rate[[#This Row],[dev_cantidad]]</f>
        <v>1</v>
      </c>
      <c r="P14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2" s="1">
        <f>+Tabla__192.168.1.8_POSEIDONSQL_APPFVT_01_tbl_detalle_fill_rate[[#This Row],[Cumpl Real Unds]]-Tabla__192.168.1.8_POSEIDONSQL_APPFVT_01_tbl_detalle_fill_rate[[#This Row],[Cant Embarcada]]</f>
        <v>0</v>
      </c>
      <c r="S1412" s="1">
        <f>+IF(Tabla__192.168.1.8_POSEIDONSQL_APPFVT_01_tbl_detalle_fill_rate[[#This Row],[Pend Emb]]&gt;0,1,0)</f>
        <v>0</v>
      </c>
      <c r="T14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3" spans="1:20" x14ac:dyDescent="0.25">
      <c r="A1413">
        <v>6</v>
      </c>
      <c r="B1413" t="s">
        <v>53</v>
      </c>
      <c r="C1413">
        <v>960809</v>
      </c>
      <c r="D1413" s="48">
        <v>43354</v>
      </c>
      <c r="E1413" s="48">
        <v>43353</v>
      </c>
      <c r="F1413" s="48">
        <v>43363</v>
      </c>
      <c r="G1413" t="s">
        <v>197</v>
      </c>
      <c r="H1413" t="s">
        <v>198</v>
      </c>
      <c r="I1413">
        <v>1</v>
      </c>
      <c r="J1413" t="s">
        <v>1889</v>
      </c>
      <c r="K1413">
        <v>1</v>
      </c>
      <c r="L1413">
        <v>1</v>
      </c>
      <c r="M1413" t="s">
        <v>415</v>
      </c>
      <c r="N1413">
        <v>0</v>
      </c>
      <c r="O1413" s="1">
        <f>+Tabla__192.168.1.8_POSEIDONSQL_APPFVT_01_tbl_detalle_fill_rate[[#This Row],[emb_cantidad]]-Tabla__192.168.1.8_POSEIDONSQL_APPFVT_01_tbl_detalle_fill_rate[[#This Row],[dev_cantidad]]</f>
        <v>1</v>
      </c>
      <c r="P14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3" s="1">
        <f>+Tabla__192.168.1.8_POSEIDONSQL_APPFVT_01_tbl_detalle_fill_rate[[#This Row],[Cumpl Real Unds]]-Tabla__192.168.1.8_POSEIDONSQL_APPFVT_01_tbl_detalle_fill_rate[[#This Row],[Cant Embarcada]]</f>
        <v>0</v>
      </c>
      <c r="S1413" s="1">
        <f>+IF(Tabla__192.168.1.8_POSEIDONSQL_APPFVT_01_tbl_detalle_fill_rate[[#This Row],[Pend Emb]]&gt;0,1,0)</f>
        <v>0</v>
      </c>
      <c r="T14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4" spans="1:20" x14ac:dyDescent="0.25">
      <c r="A1414">
        <v>6</v>
      </c>
      <c r="B1414" t="s">
        <v>53</v>
      </c>
      <c r="C1414">
        <v>960871</v>
      </c>
      <c r="D1414" s="48">
        <v>43355</v>
      </c>
      <c r="E1414" s="48">
        <v>43353</v>
      </c>
      <c r="F1414" s="48">
        <v>43367</v>
      </c>
      <c r="G1414" t="s">
        <v>92</v>
      </c>
      <c r="H1414" t="s">
        <v>93</v>
      </c>
      <c r="I1414">
        <v>2</v>
      </c>
      <c r="J1414" t="s">
        <v>159</v>
      </c>
      <c r="K1414">
        <v>0</v>
      </c>
      <c r="L1414">
        <v>0</v>
      </c>
      <c r="M1414" t="s">
        <v>416</v>
      </c>
      <c r="N1414">
        <v>0</v>
      </c>
      <c r="O1414" s="1">
        <f>+Tabla__192.168.1.8_POSEIDONSQL_APPFVT_01_tbl_detalle_fill_rate[[#This Row],[emb_cantidad]]-Tabla__192.168.1.8_POSEIDONSQL_APPFVT_01_tbl_detalle_fill_rate[[#This Row],[dev_cantidad]]</f>
        <v>0</v>
      </c>
      <c r="P14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414" s="1">
        <f>+Tabla__192.168.1.8_POSEIDONSQL_APPFVT_01_tbl_detalle_fill_rate[[#This Row],[Cumpl Real Unds]]-Tabla__192.168.1.8_POSEIDONSQL_APPFVT_01_tbl_detalle_fill_rate[[#This Row],[Cant Embarcada]]</f>
        <v>0</v>
      </c>
      <c r="S1414" s="1">
        <f>+IF(Tabla__192.168.1.8_POSEIDONSQL_APPFVT_01_tbl_detalle_fill_rate[[#This Row],[Pend Emb]]&gt;0,1,0)</f>
        <v>0</v>
      </c>
      <c r="T14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5" spans="1:20" x14ac:dyDescent="0.25">
      <c r="A1415">
        <v>6</v>
      </c>
      <c r="B1415" t="s">
        <v>53</v>
      </c>
      <c r="C1415">
        <v>960871</v>
      </c>
      <c r="D1415" s="48">
        <v>43355</v>
      </c>
      <c r="E1415" s="48">
        <v>43353</v>
      </c>
      <c r="F1415" s="48">
        <v>43367</v>
      </c>
      <c r="G1415" t="s">
        <v>134</v>
      </c>
      <c r="H1415" t="s">
        <v>135</v>
      </c>
      <c r="I1415">
        <v>3</v>
      </c>
      <c r="J1415" t="s">
        <v>159</v>
      </c>
      <c r="K1415">
        <v>3</v>
      </c>
      <c r="L1415">
        <v>3</v>
      </c>
      <c r="M1415" t="s">
        <v>416</v>
      </c>
      <c r="N1415">
        <v>0</v>
      </c>
      <c r="O1415" s="1">
        <f>+Tabla__192.168.1.8_POSEIDONSQL_APPFVT_01_tbl_detalle_fill_rate[[#This Row],[emb_cantidad]]-Tabla__192.168.1.8_POSEIDONSQL_APPFVT_01_tbl_detalle_fill_rate[[#This Row],[dev_cantidad]]</f>
        <v>3</v>
      </c>
      <c r="P14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1415" s="1">
        <f>+Tabla__192.168.1.8_POSEIDONSQL_APPFVT_01_tbl_detalle_fill_rate[[#This Row],[Cumpl Real Unds]]-Tabla__192.168.1.8_POSEIDONSQL_APPFVT_01_tbl_detalle_fill_rate[[#This Row],[Cant Embarcada]]</f>
        <v>0</v>
      </c>
      <c r="S1415" s="1">
        <f>+IF(Tabla__192.168.1.8_POSEIDONSQL_APPFVT_01_tbl_detalle_fill_rate[[#This Row],[Pend Emb]]&gt;0,1,0)</f>
        <v>0</v>
      </c>
      <c r="T14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6" spans="1:20" x14ac:dyDescent="0.25">
      <c r="A1416">
        <v>6</v>
      </c>
      <c r="B1416" t="s">
        <v>53</v>
      </c>
      <c r="C1416">
        <v>961491</v>
      </c>
      <c r="D1416" s="48">
        <v>43354</v>
      </c>
      <c r="E1416" s="48">
        <v>43353</v>
      </c>
      <c r="F1416" s="48">
        <v>43363</v>
      </c>
      <c r="G1416" t="s">
        <v>168</v>
      </c>
      <c r="H1416" t="s">
        <v>169</v>
      </c>
      <c r="I1416">
        <v>1</v>
      </c>
      <c r="J1416" t="s">
        <v>1890</v>
      </c>
      <c r="K1416">
        <v>1</v>
      </c>
      <c r="L1416">
        <v>1</v>
      </c>
      <c r="M1416" t="s">
        <v>415</v>
      </c>
      <c r="N1416">
        <v>0</v>
      </c>
      <c r="O1416" s="1">
        <f>+Tabla__192.168.1.8_POSEIDONSQL_APPFVT_01_tbl_detalle_fill_rate[[#This Row],[emb_cantidad]]-Tabla__192.168.1.8_POSEIDONSQL_APPFVT_01_tbl_detalle_fill_rate[[#This Row],[dev_cantidad]]</f>
        <v>1</v>
      </c>
      <c r="P14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6" s="1">
        <f>+Tabla__192.168.1.8_POSEIDONSQL_APPFVT_01_tbl_detalle_fill_rate[[#This Row],[Cumpl Real Unds]]-Tabla__192.168.1.8_POSEIDONSQL_APPFVT_01_tbl_detalle_fill_rate[[#This Row],[Cant Embarcada]]</f>
        <v>0</v>
      </c>
      <c r="S1416" s="1">
        <f>+IF(Tabla__192.168.1.8_POSEIDONSQL_APPFVT_01_tbl_detalle_fill_rate[[#This Row],[Pend Emb]]&gt;0,1,0)</f>
        <v>0</v>
      </c>
      <c r="T14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7" spans="1:20" x14ac:dyDescent="0.25">
      <c r="A1417">
        <v>6</v>
      </c>
      <c r="B1417" t="s">
        <v>53</v>
      </c>
      <c r="C1417">
        <v>962976</v>
      </c>
      <c r="D1417" s="48">
        <v>43354</v>
      </c>
      <c r="E1417" s="48">
        <v>43353</v>
      </c>
      <c r="F1417" s="48">
        <v>43363</v>
      </c>
      <c r="G1417" t="s">
        <v>64</v>
      </c>
      <c r="H1417" t="s">
        <v>65</v>
      </c>
      <c r="I1417">
        <v>1</v>
      </c>
      <c r="J1417" t="s">
        <v>1891</v>
      </c>
      <c r="K1417">
        <v>1</v>
      </c>
      <c r="L1417">
        <v>1</v>
      </c>
      <c r="M1417" t="s">
        <v>415</v>
      </c>
      <c r="N1417">
        <v>0</v>
      </c>
      <c r="O1417" s="1">
        <f>+Tabla__192.168.1.8_POSEIDONSQL_APPFVT_01_tbl_detalle_fill_rate[[#This Row],[emb_cantidad]]-Tabla__192.168.1.8_POSEIDONSQL_APPFVT_01_tbl_detalle_fill_rate[[#This Row],[dev_cantidad]]</f>
        <v>1</v>
      </c>
      <c r="P14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7" s="1">
        <f>+Tabla__192.168.1.8_POSEIDONSQL_APPFVT_01_tbl_detalle_fill_rate[[#This Row],[Cumpl Real Unds]]-Tabla__192.168.1.8_POSEIDONSQL_APPFVT_01_tbl_detalle_fill_rate[[#This Row],[Cant Embarcada]]</f>
        <v>0</v>
      </c>
      <c r="S1417" s="1">
        <f>+IF(Tabla__192.168.1.8_POSEIDONSQL_APPFVT_01_tbl_detalle_fill_rate[[#This Row],[Pend Emb]]&gt;0,1,0)</f>
        <v>0</v>
      </c>
      <c r="T14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8" spans="1:20" x14ac:dyDescent="0.25">
      <c r="A1418">
        <v>6</v>
      </c>
      <c r="B1418" t="s">
        <v>53</v>
      </c>
      <c r="C1418">
        <v>963627</v>
      </c>
      <c r="D1418" s="48">
        <v>43355</v>
      </c>
      <c r="E1418" s="48">
        <v>43354</v>
      </c>
      <c r="F1418" s="48">
        <v>43363</v>
      </c>
      <c r="G1418" t="s">
        <v>74</v>
      </c>
      <c r="H1418" t="s">
        <v>75</v>
      </c>
      <c r="I1418">
        <v>1</v>
      </c>
      <c r="J1418" t="s">
        <v>627</v>
      </c>
      <c r="K1418">
        <v>1</v>
      </c>
      <c r="L1418">
        <v>1</v>
      </c>
      <c r="M1418" t="s">
        <v>415</v>
      </c>
      <c r="N1418">
        <v>0</v>
      </c>
      <c r="O1418" s="1">
        <f>+Tabla__192.168.1.8_POSEIDONSQL_APPFVT_01_tbl_detalle_fill_rate[[#This Row],[emb_cantidad]]-Tabla__192.168.1.8_POSEIDONSQL_APPFVT_01_tbl_detalle_fill_rate[[#This Row],[dev_cantidad]]</f>
        <v>1</v>
      </c>
      <c r="P14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8" s="1">
        <f>+Tabla__192.168.1.8_POSEIDONSQL_APPFVT_01_tbl_detalle_fill_rate[[#This Row],[Cumpl Real Unds]]-Tabla__192.168.1.8_POSEIDONSQL_APPFVT_01_tbl_detalle_fill_rate[[#This Row],[Cant Embarcada]]</f>
        <v>0</v>
      </c>
      <c r="S1418" s="1">
        <f>+IF(Tabla__192.168.1.8_POSEIDONSQL_APPFVT_01_tbl_detalle_fill_rate[[#This Row],[Pend Emb]]&gt;0,1,0)</f>
        <v>0</v>
      </c>
      <c r="T14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19" spans="1:20" x14ac:dyDescent="0.25">
      <c r="A1419">
        <v>6</v>
      </c>
      <c r="B1419" t="s">
        <v>53</v>
      </c>
      <c r="C1419">
        <v>963627</v>
      </c>
      <c r="D1419" s="48">
        <v>43355</v>
      </c>
      <c r="E1419" s="48">
        <v>43354</v>
      </c>
      <c r="F1419" s="48">
        <v>43363</v>
      </c>
      <c r="G1419" t="s">
        <v>168</v>
      </c>
      <c r="H1419" t="s">
        <v>169</v>
      </c>
      <c r="I1419">
        <v>1</v>
      </c>
      <c r="J1419" t="s">
        <v>627</v>
      </c>
      <c r="K1419">
        <v>1</v>
      </c>
      <c r="L1419">
        <v>1</v>
      </c>
      <c r="M1419" t="s">
        <v>415</v>
      </c>
      <c r="N1419">
        <v>0</v>
      </c>
      <c r="O1419" s="1">
        <f>+Tabla__192.168.1.8_POSEIDONSQL_APPFVT_01_tbl_detalle_fill_rate[[#This Row],[emb_cantidad]]-Tabla__192.168.1.8_POSEIDONSQL_APPFVT_01_tbl_detalle_fill_rate[[#This Row],[dev_cantidad]]</f>
        <v>1</v>
      </c>
      <c r="P14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19" s="1">
        <f>+Tabla__192.168.1.8_POSEIDONSQL_APPFVT_01_tbl_detalle_fill_rate[[#This Row],[Cumpl Real Unds]]-Tabla__192.168.1.8_POSEIDONSQL_APPFVT_01_tbl_detalle_fill_rate[[#This Row],[Cant Embarcada]]</f>
        <v>0</v>
      </c>
      <c r="S1419" s="1">
        <f>+IF(Tabla__192.168.1.8_POSEIDONSQL_APPFVT_01_tbl_detalle_fill_rate[[#This Row],[Pend Emb]]&gt;0,1,0)</f>
        <v>0</v>
      </c>
      <c r="T14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0" spans="1:20" x14ac:dyDescent="0.25">
      <c r="A1420">
        <v>6</v>
      </c>
      <c r="B1420" t="s">
        <v>53</v>
      </c>
      <c r="C1420">
        <v>963951</v>
      </c>
      <c r="D1420" s="48">
        <v>43355</v>
      </c>
      <c r="E1420" s="48">
        <v>43354</v>
      </c>
      <c r="F1420" s="48">
        <v>43363</v>
      </c>
      <c r="G1420" t="s">
        <v>66</v>
      </c>
      <c r="H1420" t="s">
        <v>67</v>
      </c>
      <c r="I1420">
        <v>1</v>
      </c>
      <c r="J1420" t="s">
        <v>628</v>
      </c>
      <c r="K1420">
        <v>1</v>
      </c>
      <c r="L1420">
        <v>1</v>
      </c>
      <c r="M1420" t="s">
        <v>415</v>
      </c>
      <c r="N1420">
        <v>0</v>
      </c>
      <c r="O1420" s="1">
        <f>+Tabla__192.168.1.8_POSEIDONSQL_APPFVT_01_tbl_detalle_fill_rate[[#This Row],[emb_cantidad]]-Tabla__192.168.1.8_POSEIDONSQL_APPFVT_01_tbl_detalle_fill_rate[[#This Row],[dev_cantidad]]</f>
        <v>1</v>
      </c>
      <c r="P14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0" s="1">
        <f>+Tabla__192.168.1.8_POSEIDONSQL_APPFVT_01_tbl_detalle_fill_rate[[#This Row],[Cumpl Real Unds]]-Tabla__192.168.1.8_POSEIDONSQL_APPFVT_01_tbl_detalle_fill_rate[[#This Row],[Cant Embarcada]]</f>
        <v>0</v>
      </c>
      <c r="S1420" s="1">
        <f>+IF(Tabla__192.168.1.8_POSEIDONSQL_APPFVT_01_tbl_detalle_fill_rate[[#This Row],[Pend Emb]]&gt;0,1,0)</f>
        <v>0</v>
      </c>
      <c r="T14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1" spans="1:20" x14ac:dyDescent="0.25">
      <c r="A1421">
        <v>6</v>
      </c>
      <c r="B1421" t="s">
        <v>53</v>
      </c>
      <c r="C1421">
        <v>964103</v>
      </c>
      <c r="D1421" s="48">
        <v>43355</v>
      </c>
      <c r="E1421" s="48">
        <v>43354</v>
      </c>
      <c r="F1421" s="48">
        <v>43363</v>
      </c>
      <c r="G1421" t="s">
        <v>66</v>
      </c>
      <c r="H1421" t="s">
        <v>67</v>
      </c>
      <c r="I1421">
        <v>1</v>
      </c>
      <c r="J1421" t="s">
        <v>629</v>
      </c>
      <c r="K1421">
        <v>1</v>
      </c>
      <c r="L1421">
        <v>1</v>
      </c>
      <c r="M1421" t="s">
        <v>415</v>
      </c>
      <c r="N1421">
        <v>0</v>
      </c>
      <c r="O1421" s="1">
        <f>+Tabla__192.168.1.8_POSEIDONSQL_APPFVT_01_tbl_detalle_fill_rate[[#This Row],[emb_cantidad]]-Tabla__192.168.1.8_POSEIDONSQL_APPFVT_01_tbl_detalle_fill_rate[[#This Row],[dev_cantidad]]</f>
        <v>1</v>
      </c>
      <c r="P14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1" s="1">
        <f>+Tabla__192.168.1.8_POSEIDONSQL_APPFVT_01_tbl_detalle_fill_rate[[#This Row],[Cumpl Real Unds]]-Tabla__192.168.1.8_POSEIDONSQL_APPFVT_01_tbl_detalle_fill_rate[[#This Row],[Cant Embarcada]]</f>
        <v>0</v>
      </c>
      <c r="S1421" s="1">
        <f>+IF(Tabla__192.168.1.8_POSEIDONSQL_APPFVT_01_tbl_detalle_fill_rate[[#This Row],[Pend Emb]]&gt;0,1,0)</f>
        <v>0</v>
      </c>
      <c r="T14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2" spans="1:20" x14ac:dyDescent="0.25">
      <c r="A1422">
        <v>6</v>
      </c>
      <c r="B1422" t="s">
        <v>53</v>
      </c>
      <c r="C1422">
        <v>964165</v>
      </c>
      <c r="D1422" s="48">
        <v>43355</v>
      </c>
      <c r="E1422" s="48">
        <v>43354</v>
      </c>
      <c r="F1422" s="48">
        <v>43369</v>
      </c>
      <c r="G1422" t="s">
        <v>1617</v>
      </c>
      <c r="H1422" t="s">
        <v>1618</v>
      </c>
      <c r="I1422">
        <v>1</v>
      </c>
      <c r="J1422" t="s">
        <v>1901</v>
      </c>
      <c r="K1422">
        <v>1</v>
      </c>
      <c r="L1422">
        <v>1</v>
      </c>
      <c r="M1422" t="s">
        <v>420</v>
      </c>
      <c r="N1422">
        <v>0</v>
      </c>
      <c r="O1422" s="1">
        <f>+Tabla__192.168.1.8_POSEIDONSQL_APPFVT_01_tbl_detalle_fill_rate[[#This Row],[emb_cantidad]]-Tabla__192.168.1.8_POSEIDONSQL_APPFVT_01_tbl_detalle_fill_rate[[#This Row],[dev_cantidad]]</f>
        <v>1</v>
      </c>
      <c r="P14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2" s="1">
        <f>+Tabla__192.168.1.8_POSEIDONSQL_APPFVT_01_tbl_detalle_fill_rate[[#This Row],[Cumpl Real Unds]]-Tabla__192.168.1.8_POSEIDONSQL_APPFVT_01_tbl_detalle_fill_rate[[#This Row],[Cant Embarcada]]</f>
        <v>0</v>
      </c>
      <c r="S1422" s="1">
        <f>+IF(Tabla__192.168.1.8_POSEIDONSQL_APPFVT_01_tbl_detalle_fill_rate[[#This Row],[Pend Emb]]&gt;0,1,0)</f>
        <v>0</v>
      </c>
      <c r="T14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3" spans="1:20" x14ac:dyDescent="0.25">
      <c r="A1423">
        <v>6</v>
      </c>
      <c r="B1423" t="s">
        <v>53</v>
      </c>
      <c r="C1423">
        <v>965297</v>
      </c>
      <c r="D1423" s="48">
        <v>43356</v>
      </c>
      <c r="E1423" s="48">
        <v>43356</v>
      </c>
      <c r="F1423" s="48">
        <v>43367</v>
      </c>
      <c r="G1423" t="s">
        <v>332</v>
      </c>
      <c r="H1423" t="s">
        <v>333</v>
      </c>
      <c r="I1423">
        <v>1</v>
      </c>
      <c r="J1423" t="s">
        <v>986</v>
      </c>
      <c r="K1423">
        <v>1</v>
      </c>
      <c r="L1423">
        <v>2</v>
      </c>
      <c r="M1423" t="s">
        <v>420</v>
      </c>
      <c r="N1423">
        <v>1</v>
      </c>
      <c r="O1423" s="1">
        <f>+Tabla__192.168.1.8_POSEIDONSQL_APPFVT_01_tbl_detalle_fill_rate[[#This Row],[emb_cantidad]]-Tabla__192.168.1.8_POSEIDONSQL_APPFVT_01_tbl_detalle_fill_rate[[#This Row],[dev_cantidad]]</f>
        <v>1</v>
      </c>
      <c r="P14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1</v>
      </c>
      <c r="Q14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3" s="1">
        <f>+Tabla__192.168.1.8_POSEIDONSQL_APPFVT_01_tbl_detalle_fill_rate[[#This Row],[Cumpl Real Unds]]-Tabla__192.168.1.8_POSEIDONSQL_APPFVT_01_tbl_detalle_fill_rate[[#This Row],[Cant Embarcada]]</f>
        <v>0</v>
      </c>
      <c r="S1423" s="1">
        <f>+IF(Tabla__192.168.1.8_POSEIDONSQL_APPFVT_01_tbl_detalle_fill_rate[[#This Row],[Pend Emb]]&gt;0,1,0)</f>
        <v>0</v>
      </c>
      <c r="T14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4" spans="1:20" x14ac:dyDescent="0.25">
      <c r="A1424">
        <v>6</v>
      </c>
      <c r="B1424" t="s">
        <v>53</v>
      </c>
      <c r="C1424">
        <v>965346</v>
      </c>
      <c r="D1424" s="48">
        <v>43356</v>
      </c>
      <c r="E1424" s="48">
        <v>43356</v>
      </c>
      <c r="F1424" s="48">
        <v>43367</v>
      </c>
      <c r="G1424" t="s">
        <v>314</v>
      </c>
      <c r="H1424" t="s">
        <v>315</v>
      </c>
      <c r="I1424">
        <v>1</v>
      </c>
      <c r="J1424" t="s">
        <v>987</v>
      </c>
      <c r="K1424">
        <v>1</v>
      </c>
      <c r="L1424">
        <v>1</v>
      </c>
      <c r="M1424" t="s">
        <v>416</v>
      </c>
      <c r="N1424">
        <v>0</v>
      </c>
      <c r="O1424" s="1">
        <f>+Tabla__192.168.1.8_POSEIDONSQL_APPFVT_01_tbl_detalle_fill_rate[[#This Row],[emb_cantidad]]-Tabla__192.168.1.8_POSEIDONSQL_APPFVT_01_tbl_detalle_fill_rate[[#This Row],[dev_cantidad]]</f>
        <v>1</v>
      </c>
      <c r="P14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4" s="1">
        <f>+Tabla__192.168.1.8_POSEIDONSQL_APPFVT_01_tbl_detalle_fill_rate[[#This Row],[Cumpl Real Unds]]-Tabla__192.168.1.8_POSEIDONSQL_APPFVT_01_tbl_detalle_fill_rate[[#This Row],[Cant Embarcada]]</f>
        <v>0</v>
      </c>
      <c r="S1424" s="1">
        <f>+IF(Tabla__192.168.1.8_POSEIDONSQL_APPFVT_01_tbl_detalle_fill_rate[[#This Row],[Pend Emb]]&gt;0,1,0)</f>
        <v>0</v>
      </c>
      <c r="T14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5" spans="1:20" x14ac:dyDescent="0.25">
      <c r="A1425">
        <v>6</v>
      </c>
      <c r="B1425" t="s">
        <v>53</v>
      </c>
      <c r="C1425">
        <v>965568</v>
      </c>
      <c r="D1425" s="48">
        <v>43357</v>
      </c>
      <c r="E1425" s="48">
        <v>43356</v>
      </c>
      <c r="F1425" s="48">
        <v>43368</v>
      </c>
      <c r="G1425" t="s">
        <v>910</v>
      </c>
      <c r="H1425" t="s">
        <v>911</v>
      </c>
      <c r="I1425">
        <v>1</v>
      </c>
      <c r="J1425" t="s">
        <v>1338</v>
      </c>
      <c r="K1425">
        <v>1</v>
      </c>
      <c r="L1425">
        <v>1</v>
      </c>
      <c r="M1425" t="s">
        <v>416</v>
      </c>
      <c r="N1425">
        <v>0</v>
      </c>
      <c r="O1425" s="1">
        <f>+Tabla__192.168.1.8_POSEIDONSQL_APPFVT_01_tbl_detalle_fill_rate[[#This Row],[emb_cantidad]]-Tabla__192.168.1.8_POSEIDONSQL_APPFVT_01_tbl_detalle_fill_rate[[#This Row],[dev_cantidad]]</f>
        <v>1</v>
      </c>
      <c r="P14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5" s="1">
        <f>+Tabla__192.168.1.8_POSEIDONSQL_APPFVT_01_tbl_detalle_fill_rate[[#This Row],[Cumpl Real Unds]]-Tabla__192.168.1.8_POSEIDONSQL_APPFVT_01_tbl_detalle_fill_rate[[#This Row],[Cant Embarcada]]</f>
        <v>0</v>
      </c>
      <c r="S1425" s="1">
        <f>+IF(Tabla__192.168.1.8_POSEIDONSQL_APPFVT_01_tbl_detalle_fill_rate[[#This Row],[Pend Emb]]&gt;0,1,0)</f>
        <v>0</v>
      </c>
      <c r="T14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6" spans="1:20" x14ac:dyDescent="0.25">
      <c r="A1426">
        <v>6</v>
      </c>
      <c r="B1426" t="s">
        <v>53</v>
      </c>
      <c r="C1426">
        <v>965729</v>
      </c>
      <c r="D1426" s="48">
        <v>43357</v>
      </c>
      <c r="E1426" s="48">
        <v>43356</v>
      </c>
      <c r="F1426" s="48">
        <v>43368</v>
      </c>
      <c r="G1426" t="s">
        <v>366</v>
      </c>
      <c r="H1426" t="s">
        <v>367</v>
      </c>
      <c r="I1426">
        <v>1</v>
      </c>
      <c r="J1426" t="s">
        <v>1339</v>
      </c>
      <c r="K1426">
        <v>1</v>
      </c>
      <c r="L1426">
        <v>1</v>
      </c>
      <c r="M1426" t="s">
        <v>416</v>
      </c>
      <c r="N1426">
        <v>0</v>
      </c>
      <c r="O1426" s="1">
        <f>+Tabla__192.168.1.8_POSEIDONSQL_APPFVT_01_tbl_detalle_fill_rate[[#This Row],[emb_cantidad]]-Tabla__192.168.1.8_POSEIDONSQL_APPFVT_01_tbl_detalle_fill_rate[[#This Row],[dev_cantidad]]</f>
        <v>1</v>
      </c>
      <c r="P14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6" s="1">
        <f>+Tabla__192.168.1.8_POSEIDONSQL_APPFVT_01_tbl_detalle_fill_rate[[#This Row],[Cumpl Real Unds]]-Tabla__192.168.1.8_POSEIDONSQL_APPFVT_01_tbl_detalle_fill_rate[[#This Row],[Cant Embarcada]]</f>
        <v>0</v>
      </c>
      <c r="S1426" s="1">
        <f>+IF(Tabla__192.168.1.8_POSEIDONSQL_APPFVT_01_tbl_detalle_fill_rate[[#This Row],[Pend Emb]]&gt;0,1,0)</f>
        <v>0</v>
      </c>
      <c r="T14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7" spans="1:20" x14ac:dyDescent="0.25">
      <c r="A1427">
        <v>6</v>
      </c>
      <c r="B1427" t="s">
        <v>53</v>
      </c>
      <c r="C1427">
        <v>965735</v>
      </c>
      <c r="D1427" s="48">
        <v>43357</v>
      </c>
      <c r="E1427" s="48">
        <v>43356</v>
      </c>
      <c r="F1427" s="48">
        <v>43367</v>
      </c>
      <c r="G1427" t="s">
        <v>80</v>
      </c>
      <c r="H1427" t="s">
        <v>81</v>
      </c>
      <c r="I1427">
        <v>1</v>
      </c>
      <c r="J1427" t="s">
        <v>1340</v>
      </c>
      <c r="K1427">
        <v>1</v>
      </c>
      <c r="L1427">
        <v>1</v>
      </c>
      <c r="M1427" t="s">
        <v>416</v>
      </c>
      <c r="N1427">
        <v>0</v>
      </c>
      <c r="O1427" s="1">
        <f>+Tabla__192.168.1.8_POSEIDONSQL_APPFVT_01_tbl_detalle_fill_rate[[#This Row],[emb_cantidad]]-Tabla__192.168.1.8_POSEIDONSQL_APPFVT_01_tbl_detalle_fill_rate[[#This Row],[dev_cantidad]]</f>
        <v>1</v>
      </c>
      <c r="P14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7" s="1">
        <f>+Tabla__192.168.1.8_POSEIDONSQL_APPFVT_01_tbl_detalle_fill_rate[[#This Row],[Cumpl Real Unds]]-Tabla__192.168.1.8_POSEIDONSQL_APPFVT_01_tbl_detalle_fill_rate[[#This Row],[Cant Embarcada]]</f>
        <v>0</v>
      </c>
      <c r="S1427" s="1">
        <f>+IF(Tabla__192.168.1.8_POSEIDONSQL_APPFVT_01_tbl_detalle_fill_rate[[#This Row],[Pend Emb]]&gt;0,1,0)</f>
        <v>0</v>
      </c>
      <c r="T14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8" spans="1:20" x14ac:dyDescent="0.25">
      <c r="A1428">
        <v>6</v>
      </c>
      <c r="B1428" t="s">
        <v>53</v>
      </c>
      <c r="C1428">
        <v>965757</v>
      </c>
      <c r="D1428" s="48">
        <v>43357</v>
      </c>
      <c r="E1428" s="48">
        <v>43356</v>
      </c>
      <c r="F1428" s="48">
        <v>43368</v>
      </c>
      <c r="G1428" t="s">
        <v>1116</v>
      </c>
      <c r="H1428" t="s">
        <v>1117</v>
      </c>
      <c r="I1428">
        <v>1</v>
      </c>
      <c r="J1428" t="s">
        <v>1341</v>
      </c>
      <c r="K1428">
        <v>1</v>
      </c>
      <c r="L1428">
        <v>1</v>
      </c>
      <c r="M1428" t="s">
        <v>416</v>
      </c>
      <c r="N1428">
        <v>0</v>
      </c>
      <c r="O1428" s="1">
        <f>+Tabla__192.168.1.8_POSEIDONSQL_APPFVT_01_tbl_detalle_fill_rate[[#This Row],[emb_cantidad]]-Tabla__192.168.1.8_POSEIDONSQL_APPFVT_01_tbl_detalle_fill_rate[[#This Row],[dev_cantidad]]</f>
        <v>1</v>
      </c>
      <c r="P14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8" s="1">
        <f>+Tabla__192.168.1.8_POSEIDONSQL_APPFVT_01_tbl_detalle_fill_rate[[#This Row],[Cumpl Real Unds]]-Tabla__192.168.1.8_POSEIDONSQL_APPFVT_01_tbl_detalle_fill_rate[[#This Row],[Cant Embarcada]]</f>
        <v>0</v>
      </c>
      <c r="S1428" s="1">
        <f>+IF(Tabla__192.168.1.8_POSEIDONSQL_APPFVT_01_tbl_detalle_fill_rate[[#This Row],[Pend Emb]]&gt;0,1,0)</f>
        <v>0</v>
      </c>
      <c r="T14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29" spans="1:20" x14ac:dyDescent="0.25">
      <c r="A1429">
        <v>6</v>
      </c>
      <c r="B1429" t="s">
        <v>53</v>
      </c>
      <c r="C1429">
        <v>965758</v>
      </c>
      <c r="D1429" s="48">
        <v>43357</v>
      </c>
      <c r="E1429" s="48">
        <v>43356</v>
      </c>
      <c r="F1429" s="48">
        <v>43368</v>
      </c>
      <c r="G1429" t="s">
        <v>130</v>
      </c>
      <c r="H1429" t="s">
        <v>131</v>
      </c>
      <c r="I1429">
        <v>1</v>
      </c>
      <c r="J1429" t="s">
        <v>1342</v>
      </c>
      <c r="K1429">
        <v>1</v>
      </c>
      <c r="L1429">
        <v>1</v>
      </c>
      <c r="M1429" t="s">
        <v>416</v>
      </c>
      <c r="N1429">
        <v>0</v>
      </c>
      <c r="O1429" s="1">
        <f>+Tabla__192.168.1.8_POSEIDONSQL_APPFVT_01_tbl_detalle_fill_rate[[#This Row],[emb_cantidad]]-Tabla__192.168.1.8_POSEIDONSQL_APPFVT_01_tbl_detalle_fill_rate[[#This Row],[dev_cantidad]]</f>
        <v>1</v>
      </c>
      <c r="P14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29" s="1">
        <f>+Tabla__192.168.1.8_POSEIDONSQL_APPFVT_01_tbl_detalle_fill_rate[[#This Row],[Cumpl Real Unds]]-Tabla__192.168.1.8_POSEIDONSQL_APPFVT_01_tbl_detalle_fill_rate[[#This Row],[Cant Embarcada]]</f>
        <v>0</v>
      </c>
      <c r="S1429" s="1">
        <f>+IF(Tabla__192.168.1.8_POSEIDONSQL_APPFVT_01_tbl_detalle_fill_rate[[#This Row],[Pend Emb]]&gt;0,1,0)</f>
        <v>0</v>
      </c>
      <c r="T14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0" spans="1:20" x14ac:dyDescent="0.25">
      <c r="A1430">
        <v>6</v>
      </c>
      <c r="B1430" t="s">
        <v>53</v>
      </c>
      <c r="C1430">
        <v>965962</v>
      </c>
      <c r="D1430" s="48">
        <v>43357</v>
      </c>
      <c r="E1430" s="48">
        <v>43356</v>
      </c>
      <c r="F1430" s="48">
        <v>43367</v>
      </c>
      <c r="G1430" t="s">
        <v>74</v>
      </c>
      <c r="H1430" t="s">
        <v>75</v>
      </c>
      <c r="I1430">
        <v>1</v>
      </c>
      <c r="J1430" t="s">
        <v>1343</v>
      </c>
      <c r="K1430">
        <v>1</v>
      </c>
      <c r="L1430">
        <v>1</v>
      </c>
      <c r="M1430" t="s">
        <v>416</v>
      </c>
      <c r="N1430">
        <v>0</v>
      </c>
      <c r="O1430" s="1">
        <f>+Tabla__192.168.1.8_POSEIDONSQL_APPFVT_01_tbl_detalle_fill_rate[[#This Row],[emb_cantidad]]-Tabla__192.168.1.8_POSEIDONSQL_APPFVT_01_tbl_detalle_fill_rate[[#This Row],[dev_cantidad]]</f>
        <v>1</v>
      </c>
      <c r="P14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0" s="1">
        <f>+Tabla__192.168.1.8_POSEIDONSQL_APPFVT_01_tbl_detalle_fill_rate[[#This Row],[Cumpl Real Unds]]-Tabla__192.168.1.8_POSEIDONSQL_APPFVT_01_tbl_detalle_fill_rate[[#This Row],[Cant Embarcada]]</f>
        <v>0</v>
      </c>
      <c r="S1430" s="1">
        <f>+IF(Tabla__192.168.1.8_POSEIDONSQL_APPFVT_01_tbl_detalle_fill_rate[[#This Row],[Pend Emb]]&gt;0,1,0)</f>
        <v>0</v>
      </c>
      <c r="T14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1" spans="1:20" x14ac:dyDescent="0.25">
      <c r="A1431">
        <v>6</v>
      </c>
      <c r="B1431" t="s">
        <v>53</v>
      </c>
      <c r="C1431">
        <v>965995</v>
      </c>
      <c r="D1431" s="48">
        <v>43357</v>
      </c>
      <c r="E1431" s="48">
        <v>43356</v>
      </c>
      <c r="F1431" s="48">
        <v>43367</v>
      </c>
      <c r="G1431" t="s">
        <v>363</v>
      </c>
      <c r="H1431" t="s">
        <v>364</v>
      </c>
      <c r="I1431">
        <v>1</v>
      </c>
      <c r="J1431" t="s">
        <v>1334</v>
      </c>
      <c r="K1431">
        <v>1</v>
      </c>
      <c r="L1431">
        <v>1</v>
      </c>
      <c r="M1431" t="s">
        <v>416</v>
      </c>
      <c r="N1431">
        <v>0</v>
      </c>
      <c r="O1431" s="1">
        <f>+Tabla__192.168.1.8_POSEIDONSQL_APPFVT_01_tbl_detalle_fill_rate[[#This Row],[emb_cantidad]]-Tabla__192.168.1.8_POSEIDONSQL_APPFVT_01_tbl_detalle_fill_rate[[#This Row],[dev_cantidad]]</f>
        <v>1</v>
      </c>
      <c r="P14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1" s="1">
        <f>+Tabla__192.168.1.8_POSEIDONSQL_APPFVT_01_tbl_detalle_fill_rate[[#This Row],[Cumpl Real Unds]]-Tabla__192.168.1.8_POSEIDONSQL_APPFVT_01_tbl_detalle_fill_rate[[#This Row],[Cant Embarcada]]</f>
        <v>0</v>
      </c>
      <c r="S1431" s="1">
        <f>+IF(Tabla__192.168.1.8_POSEIDONSQL_APPFVT_01_tbl_detalle_fill_rate[[#This Row],[Pend Emb]]&gt;0,1,0)</f>
        <v>0</v>
      </c>
      <c r="T14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2" spans="1:20" x14ac:dyDescent="0.25">
      <c r="A1432">
        <v>6</v>
      </c>
      <c r="B1432" t="s">
        <v>53</v>
      </c>
      <c r="C1432">
        <v>966076</v>
      </c>
      <c r="D1432" s="48">
        <v>43357</v>
      </c>
      <c r="E1432" s="48">
        <v>43356</v>
      </c>
      <c r="F1432" s="48">
        <v>43367</v>
      </c>
      <c r="G1432" t="s">
        <v>349</v>
      </c>
      <c r="H1432" t="s">
        <v>350</v>
      </c>
      <c r="I1432">
        <v>1</v>
      </c>
      <c r="J1432" t="s">
        <v>1335</v>
      </c>
      <c r="K1432">
        <v>1</v>
      </c>
      <c r="L1432">
        <v>1</v>
      </c>
      <c r="M1432" t="s">
        <v>416</v>
      </c>
      <c r="N1432">
        <v>0</v>
      </c>
      <c r="O1432" s="1">
        <f>+Tabla__192.168.1.8_POSEIDONSQL_APPFVT_01_tbl_detalle_fill_rate[[#This Row],[emb_cantidad]]-Tabla__192.168.1.8_POSEIDONSQL_APPFVT_01_tbl_detalle_fill_rate[[#This Row],[dev_cantidad]]</f>
        <v>1</v>
      </c>
      <c r="P14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2" s="1">
        <f>+Tabla__192.168.1.8_POSEIDONSQL_APPFVT_01_tbl_detalle_fill_rate[[#This Row],[Cumpl Real Unds]]-Tabla__192.168.1.8_POSEIDONSQL_APPFVT_01_tbl_detalle_fill_rate[[#This Row],[Cant Embarcada]]</f>
        <v>0</v>
      </c>
      <c r="S1432" s="1">
        <f>+IF(Tabla__192.168.1.8_POSEIDONSQL_APPFVT_01_tbl_detalle_fill_rate[[#This Row],[Pend Emb]]&gt;0,1,0)</f>
        <v>0</v>
      </c>
      <c r="T14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3" spans="1:20" x14ac:dyDescent="0.25">
      <c r="A1433">
        <v>6</v>
      </c>
      <c r="B1433" t="s">
        <v>53</v>
      </c>
      <c r="C1433">
        <v>966290</v>
      </c>
      <c r="D1433" s="48">
        <v>43357</v>
      </c>
      <c r="E1433" s="48">
        <v>43356</v>
      </c>
      <c r="F1433" s="48">
        <v>43367</v>
      </c>
      <c r="G1433" t="s">
        <v>62</v>
      </c>
      <c r="H1433" t="s">
        <v>63</v>
      </c>
      <c r="I1433">
        <v>1</v>
      </c>
      <c r="J1433" t="s">
        <v>1336</v>
      </c>
      <c r="K1433">
        <v>1</v>
      </c>
      <c r="L1433">
        <v>1</v>
      </c>
      <c r="M1433" t="s">
        <v>416</v>
      </c>
      <c r="N1433">
        <v>0</v>
      </c>
      <c r="O1433" s="1">
        <f>+Tabla__192.168.1.8_POSEIDONSQL_APPFVT_01_tbl_detalle_fill_rate[[#This Row],[emb_cantidad]]-Tabla__192.168.1.8_POSEIDONSQL_APPFVT_01_tbl_detalle_fill_rate[[#This Row],[dev_cantidad]]</f>
        <v>1</v>
      </c>
      <c r="P14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3" s="1">
        <f>+Tabla__192.168.1.8_POSEIDONSQL_APPFVT_01_tbl_detalle_fill_rate[[#This Row],[Cumpl Real Unds]]-Tabla__192.168.1.8_POSEIDONSQL_APPFVT_01_tbl_detalle_fill_rate[[#This Row],[Cant Embarcada]]</f>
        <v>0</v>
      </c>
      <c r="S1433" s="1">
        <f>+IF(Tabla__192.168.1.8_POSEIDONSQL_APPFVT_01_tbl_detalle_fill_rate[[#This Row],[Pend Emb]]&gt;0,1,0)</f>
        <v>0</v>
      </c>
      <c r="T14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4" spans="1:20" x14ac:dyDescent="0.25">
      <c r="A1434">
        <v>6</v>
      </c>
      <c r="B1434" t="s">
        <v>53</v>
      </c>
      <c r="C1434">
        <v>966452</v>
      </c>
      <c r="D1434" s="48">
        <v>43357</v>
      </c>
      <c r="E1434" s="48">
        <v>43357</v>
      </c>
      <c r="F1434" s="48">
        <v>43367</v>
      </c>
      <c r="G1434" t="s">
        <v>308</v>
      </c>
      <c r="H1434" t="s">
        <v>309</v>
      </c>
      <c r="I1434">
        <v>1</v>
      </c>
      <c r="J1434" t="s">
        <v>1337</v>
      </c>
      <c r="K1434">
        <v>1</v>
      </c>
      <c r="L1434">
        <v>1</v>
      </c>
      <c r="M1434" t="s">
        <v>416</v>
      </c>
      <c r="N1434">
        <v>0</v>
      </c>
      <c r="O1434" s="1">
        <f>+Tabla__192.168.1.8_POSEIDONSQL_APPFVT_01_tbl_detalle_fill_rate[[#This Row],[emb_cantidad]]-Tabla__192.168.1.8_POSEIDONSQL_APPFVT_01_tbl_detalle_fill_rate[[#This Row],[dev_cantidad]]</f>
        <v>1</v>
      </c>
      <c r="P14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4" s="1">
        <f>+Tabla__192.168.1.8_POSEIDONSQL_APPFVT_01_tbl_detalle_fill_rate[[#This Row],[Cumpl Real Unds]]-Tabla__192.168.1.8_POSEIDONSQL_APPFVT_01_tbl_detalle_fill_rate[[#This Row],[Cant Embarcada]]</f>
        <v>0</v>
      </c>
      <c r="S1434" s="1">
        <f>+IF(Tabla__192.168.1.8_POSEIDONSQL_APPFVT_01_tbl_detalle_fill_rate[[#This Row],[Pend Emb]]&gt;0,1,0)</f>
        <v>0</v>
      </c>
      <c r="T14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5" spans="1:20" x14ac:dyDescent="0.25">
      <c r="A1435">
        <v>6</v>
      </c>
      <c r="B1435" t="s">
        <v>53</v>
      </c>
      <c r="C1435">
        <v>966584</v>
      </c>
      <c r="D1435" s="48">
        <v>43363</v>
      </c>
      <c r="E1435" s="48">
        <v>43357</v>
      </c>
      <c r="F1435" s="48">
        <v>43370</v>
      </c>
      <c r="G1435" t="s">
        <v>68</v>
      </c>
      <c r="H1435" t="s">
        <v>69</v>
      </c>
      <c r="I1435">
        <v>1</v>
      </c>
      <c r="J1435" t="s">
        <v>1899</v>
      </c>
      <c r="K1435">
        <v>1</v>
      </c>
      <c r="L1435">
        <v>1</v>
      </c>
      <c r="M1435" t="s">
        <v>420</v>
      </c>
      <c r="N1435">
        <v>0</v>
      </c>
      <c r="O1435" s="1">
        <f>+Tabla__192.168.1.8_POSEIDONSQL_APPFVT_01_tbl_detalle_fill_rate[[#This Row],[emb_cantidad]]-Tabla__192.168.1.8_POSEIDONSQL_APPFVT_01_tbl_detalle_fill_rate[[#This Row],[dev_cantidad]]</f>
        <v>1</v>
      </c>
      <c r="P14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5" s="1">
        <f>+Tabla__192.168.1.8_POSEIDONSQL_APPFVT_01_tbl_detalle_fill_rate[[#This Row],[Cumpl Real Unds]]-Tabla__192.168.1.8_POSEIDONSQL_APPFVT_01_tbl_detalle_fill_rate[[#This Row],[Cant Embarcada]]</f>
        <v>0</v>
      </c>
      <c r="S1435" s="1">
        <f>+IF(Tabla__192.168.1.8_POSEIDONSQL_APPFVT_01_tbl_detalle_fill_rate[[#This Row],[Pend Emb]]&gt;0,1,0)</f>
        <v>0</v>
      </c>
      <c r="T14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6" spans="1:20" x14ac:dyDescent="0.25">
      <c r="A1436">
        <v>6</v>
      </c>
      <c r="B1436" t="s">
        <v>53</v>
      </c>
      <c r="C1436">
        <v>966866</v>
      </c>
      <c r="D1436" s="48">
        <v>43363</v>
      </c>
      <c r="E1436" s="48">
        <v>43357</v>
      </c>
      <c r="F1436" s="48">
        <v>43369</v>
      </c>
      <c r="G1436" t="s">
        <v>62</v>
      </c>
      <c r="H1436" t="s">
        <v>63</v>
      </c>
      <c r="I1436">
        <v>1</v>
      </c>
      <c r="J1436" t="s">
        <v>1900</v>
      </c>
      <c r="K1436">
        <v>1</v>
      </c>
      <c r="L1436">
        <v>1</v>
      </c>
      <c r="M1436" t="s">
        <v>420</v>
      </c>
      <c r="N1436">
        <v>0</v>
      </c>
      <c r="O1436" s="1">
        <f>+Tabla__192.168.1.8_POSEIDONSQL_APPFVT_01_tbl_detalle_fill_rate[[#This Row],[emb_cantidad]]-Tabla__192.168.1.8_POSEIDONSQL_APPFVT_01_tbl_detalle_fill_rate[[#This Row],[dev_cantidad]]</f>
        <v>1</v>
      </c>
      <c r="P14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6" s="1">
        <f>+Tabla__192.168.1.8_POSEIDONSQL_APPFVT_01_tbl_detalle_fill_rate[[#This Row],[Cumpl Real Unds]]-Tabla__192.168.1.8_POSEIDONSQL_APPFVT_01_tbl_detalle_fill_rate[[#This Row],[Cant Embarcada]]</f>
        <v>0</v>
      </c>
      <c r="S1436" s="1">
        <f>+IF(Tabla__192.168.1.8_POSEIDONSQL_APPFVT_01_tbl_detalle_fill_rate[[#This Row],[Pend Emb]]&gt;0,1,0)</f>
        <v>0</v>
      </c>
      <c r="T14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7" spans="1:20" x14ac:dyDescent="0.25">
      <c r="A1437">
        <v>6</v>
      </c>
      <c r="B1437" t="s">
        <v>53</v>
      </c>
      <c r="C1437">
        <v>967119</v>
      </c>
      <c r="D1437" s="48">
        <v>43363</v>
      </c>
      <c r="E1437" s="48">
        <v>43357</v>
      </c>
      <c r="F1437" s="48">
        <v>43368</v>
      </c>
      <c r="G1437" t="s">
        <v>64</v>
      </c>
      <c r="H1437" t="s">
        <v>65</v>
      </c>
      <c r="I1437">
        <v>1</v>
      </c>
      <c r="J1437" t="s">
        <v>1738</v>
      </c>
      <c r="K1437">
        <v>1</v>
      </c>
      <c r="L1437">
        <v>1</v>
      </c>
      <c r="M1437" t="s">
        <v>416</v>
      </c>
      <c r="N1437">
        <v>0</v>
      </c>
      <c r="O1437" s="1">
        <f>+Tabla__192.168.1.8_POSEIDONSQL_APPFVT_01_tbl_detalle_fill_rate[[#This Row],[emb_cantidad]]-Tabla__192.168.1.8_POSEIDONSQL_APPFVT_01_tbl_detalle_fill_rate[[#This Row],[dev_cantidad]]</f>
        <v>1</v>
      </c>
      <c r="P14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7" s="1">
        <f>+Tabla__192.168.1.8_POSEIDONSQL_APPFVT_01_tbl_detalle_fill_rate[[#This Row],[Cumpl Real Unds]]-Tabla__192.168.1.8_POSEIDONSQL_APPFVT_01_tbl_detalle_fill_rate[[#This Row],[Cant Embarcada]]</f>
        <v>0</v>
      </c>
      <c r="S1437" s="1">
        <f>+IF(Tabla__192.168.1.8_POSEIDONSQL_APPFVT_01_tbl_detalle_fill_rate[[#This Row],[Pend Emb]]&gt;0,1,0)</f>
        <v>0</v>
      </c>
      <c r="T14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8" spans="1:20" x14ac:dyDescent="0.25">
      <c r="A1438">
        <v>6</v>
      </c>
      <c r="B1438" t="s">
        <v>53</v>
      </c>
      <c r="C1438">
        <v>967221</v>
      </c>
      <c r="D1438" s="48">
        <v>43363</v>
      </c>
      <c r="E1438" s="48">
        <v>43357</v>
      </c>
      <c r="F1438" s="48">
        <v>43368</v>
      </c>
      <c r="G1438" t="s">
        <v>245</v>
      </c>
      <c r="H1438" t="s">
        <v>246</v>
      </c>
      <c r="I1438">
        <v>1</v>
      </c>
      <c r="J1438" t="s">
        <v>1739</v>
      </c>
      <c r="K1438">
        <v>1</v>
      </c>
      <c r="L1438">
        <v>1</v>
      </c>
      <c r="M1438" t="s">
        <v>416</v>
      </c>
      <c r="N1438">
        <v>0</v>
      </c>
      <c r="O1438" s="1">
        <f>+Tabla__192.168.1.8_POSEIDONSQL_APPFVT_01_tbl_detalle_fill_rate[[#This Row],[emb_cantidad]]-Tabla__192.168.1.8_POSEIDONSQL_APPFVT_01_tbl_detalle_fill_rate[[#This Row],[dev_cantidad]]</f>
        <v>1</v>
      </c>
      <c r="P14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38" s="1">
        <f>+Tabla__192.168.1.8_POSEIDONSQL_APPFVT_01_tbl_detalle_fill_rate[[#This Row],[Cumpl Real Unds]]-Tabla__192.168.1.8_POSEIDONSQL_APPFVT_01_tbl_detalle_fill_rate[[#This Row],[Cant Embarcada]]</f>
        <v>0</v>
      </c>
      <c r="S1438" s="1">
        <f>+IF(Tabla__192.168.1.8_POSEIDONSQL_APPFVT_01_tbl_detalle_fill_rate[[#This Row],[Pend Emb]]&gt;0,1,0)</f>
        <v>0</v>
      </c>
      <c r="T14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39" spans="1:20" x14ac:dyDescent="0.25">
      <c r="A1439">
        <v>6</v>
      </c>
      <c r="B1439" t="s">
        <v>53</v>
      </c>
      <c r="C1439">
        <v>967227</v>
      </c>
      <c r="D1439" s="48">
        <v>43363</v>
      </c>
      <c r="E1439" s="48">
        <v>43357</v>
      </c>
      <c r="F1439" s="48">
        <v>43368</v>
      </c>
      <c r="G1439" t="s">
        <v>300</v>
      </c>
      <c r="H1439" t="s">
        <v>301</v>
      </c>
      <c r="I1439">
        <v>2</v>
      </c>
      <c r="J1439" t="s">
        <v>1740</v>
      </c>
      <c r="K1439">
        <v>2</v>
      </c>
      <c r="L1439">
        <v>2</v>
      </c>
      <c r="M1439" t="s">
        <v>416</v>
      </c>
      <c r="N1439">
        <v>0</v>
      </c>
      <c r="O1439" s="1">
        <f>+Tabla__192.168.1.8_POSEIDONSQL_APPFVT_01_tbl_detalle_fill_rate[[#This Row],[emb_cantidad]]-Tabla__192.168.1.8_POSEIDONSQL_APPFVT_01_tbl_detalle_fill_rate[[#This Row],[dev_cantidad]]</f>
        <v>2</v>
      </c>
      <c r="P14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439" s="1">
        <f>+Tabla__192.168.1.8_POSEIDONSQL_APPFVT_01_tbl_detalle_fill_rate[[#This Row],[Cumpl Real Unds]]-Tabla__192.168.1.8_POSEIDONSQL_APPFVT_01_tbl_detalle_fill_rate[[#This Row],[Cant Embarcada]]</f>
        <v>0</v>
      </c>
      <c r="S1439" s="1">
        <f>+IF(Tabla__192.168.1.8_POSEIDONSQL_APPFVT_01_tbl_detalle_fill_rate[[#This Row],[Pend Emb]]&gt;0,1,0)</f>
        <v>0</v>
      </c>
      <c r="T14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0" spans="1:20" x14ac:dyDescent="0.25">
      <c r="A1440">
        <v>6</v>
      </c>
      <c r="B1440" t="s">
        <v>53</v>
      </c>
      <c r="C1440">
        <v>967383</v>
      </c>
      <c r="D1440" s="48">
        <v>43363</v>
      </c>
      <c r="E1440" s="48">
        <v>43358</v>
      </c>
      <c r="F1440" s="48">
        <v>43368</v>
      </c>
      <c r="G1440" t="s">
        <v>94</v>
      </c>
      <c r="H1440" t="s">
        <v>95</v>
      </c>
      <c r="I1440">
        <v>1</v>
      </c>
      <c r="J1440" t="s">
        <v>1741</v>
      </c>
      <c r="K1440">
        <v>1</v>
      </c>
      <c r="L1440">
        <v>1</v>
      </c>
      <c r="M1440" t="s">
        <v>416</v>
      </c>
      <c r="N1440">
        <v>0</v>
      </c>
      <c r="O1440" s="1">
        <f>+Tabla__192.168.1.8_POSEIDONSQL_APPFVT_01_tbl_detalle_fill_rate[[#This Row],[emb_cantidad]]-Tabla__192.168.1.8_POSEIDONSQL_APPFVT_01_tbl_detalle_fill_rate[[#This Row],[dev_cantidad]]</f>
        <v>1</v>
      </c>
      <c r="P14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0" s="1">
        <f>+Tabla__192.168.1.8_POSEIDONSQL_APPFVT_01_tbl_detalle_fill_rate[[#This Row],[Cumpl Real Unds]]-Tabla__192.168.1.8_POSEIDONSQL_APPFVT_01_tbl_detalle_fill_rate[[#This Row],[Cant Embarcada]]</f>
        <v>0</v>
      </c>
      <c r="S1440" s="1">
        <f>+IF(Tabla__192.168.1.8_POSEIDONSQL_APPFVT_01_tbl_detalle_fill_rate[[#This Row],[Pend Emb]]&gt;0,1,0)</f>
        <v>0</v>
      </c>
      <c r="T14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1" spans="1:20" x14ac:dyDescent="0.25">
      <c r="A1441">
        <v>6</v>
      </c>
      <c r="B1441" t="s">
        <v>53</v>
      </c>
      <c r="C1441">
        <v>967633</v>
      </c>
      <c r="D1441" s="48">
        <v>43363</v>
      </c>
      <c r="E1441" s="48">
        <v>43358</v>
      </c>
      <c r="F1441" s="48">
        <v>43368</v>
      </c>
      <c r="G1441" t="s">
        <v>62</v>
      </c>
      <c r="H1441" t="s">
        <v>63</v>
      </c>
      <c r="I1441">
        <v>1</v>
      </c>
      <c r="J1441" t="s">
        <v>1742</v>
      </c>
      <c r="K1441">
        <v>1</v>
      </c>
      <c r="L1441">
        <v>1</v>
      </c>
      <c r="M1441" t="s">
        <v>416</v>
      </c>
      <c r="N1441">
        <v>0</v>
      </c>
      <c r="O1441" s="1">
        <f>+Tabla__192.168.1.8_POSEIDONSQL_APPFVT_01_tbl_detalle_fill_rate[[#This Row],[emb_cantidad]]-Tabla__192.168.1.8_POSEIDONSQL_APPFVT_01_tbl_detalle_fill_rate[[#This Row],[dev_cantidad]]</f>
        <v>1</v>
      </c>
      <c r="P14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1" s="1">
        <f>+Tabla__192.168.1.8_POSEIDONSQL_APPFVT_01_tbl_detalle_fill_rate[[#This Row],[Cumpl Real Unds]]-Tabla__192.168.1.8_POSEIDONSQL_APPFVT_01_tbl_detalle_fill_rate[[#This Row],[Cant Embarcada]]</f>
        <v>0</v>
      </c>
      <c r="S1441" s="1">
        <f>+IF(Tabla__192.168.1.8_POSEIDONSQL_APPFVT_01_tbl_detalle_fill_rate[[#This Row],[Pend Emb]]&gt;0,1,0)</f>
        <v>0</v>
      </c>
      <c r="T14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2" spans="1:20" x14ac:dyDescent="0.25">
      <c r="A1442">
        <v>6</v>
      </c>
      <c r="B1442" t="s">
        <v>53</v>
      </c>
      <c r="C1442">
        <v>968048</v>
      </c>
      <c r="D1442" s="48">
        <v>43363</v>
      </c>
      <c r="E1442" s="48">
        <v>43359</v>
      </c>
      <c r="F1442" s="48">
        <v>43368</v>
      </c>
      <c r="G1442" t="s">
        <v>1160</v>
      </c>
      <c r="H1442" t="s">
        <v>1161</v>
      </c>
      <c r="I1442">
        <v>1</v>
      </c>
      <c r="J1442" t="s">
        <v>1896</v>
      </c>
      <c r="K1442">
        <v>0</v>
      </c>
      <c r="L1442">
        <v>0</v>
      </c>
      <c r="M1442" t="s">
        <v>12</v>
      </c>
      <c r="N1442">
        <v>0</v>
      </c>
      <c r="O1442" s="1">
        <f>+Tabla__192.168.1.8_POSEIDONSQL_APPFVT_01_tbl_detalle_fill_rate[[#This Row],[emb_cantidad]]-Tabla__192.168.1.8_POSEIDONSQL_APPFVT_01_tbl_detalle_fill_rate[[#This Row],[dev_cantidad]]</f>
        <v>0</v>
      </c>
      <c r="P14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442" s="1">
        <f>+Tabla__192.168.1.8_POSEIDONSQL_APPFVT_01_tbl_detalle_fill_rate[[#This Row],[Cumpl Real Unds]]-Tabla__192.168.1.8_POSEIDONSQL_APPFVT_01_tbl_detalle_fill_rate[[#This Row],[Cant Embarcada]]</f>
        <v>0</v>
      </c>
      <c r="S1442" s="1">
        <f>+IF(Tabla__192.168.1.8_POSEIDONSQL_APPFVT_01_tbl_detalle_fill_rate[[#This Row],[Pend Emb]]&gt;0,1,0)</f>
        <v>0</v>
      </c>
      <c r="T14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3" spans="1:20" x14ac:dyDescent="0.25">
      <c r="A1443">
        <v>6</v>
      </c>
      <c r="B1443" t="s">
        <v>53</v>
      </c>
      <c r="C1443">
        <v>968249</v>
      </c>
      <c r="D1443" s="48">
        <v>43363</v>
      </c>
      <c r="E1443" s="48">
        <v>43360</v>
      </c>
      <c r="F1443" s="48">
        <v>43368</v>
      </c>
      <c r="G1443" t="s">
        <v>96</v>
      </c>
      <c r="H1443" t="s">
        <v>97</v>
      </c>
      <c r="I1443">
        <v>1</v>
      </c>
      <c r="J1443" t="s">
        <v>1735</v>
      </c>
      <c r="K1443">
        <v>1</v>
      </c>
      <c r="L1443">
        <v>1</v>
      </c>
      <c r="M1443" t="s">
        <v>416</v>
      </c>
      <c r="N1443">
        <v>0</v>
      </c>
      <c r="O1443" s="1">
        <f>+Tabla__192.168.1.8_POSEIDONSQL_APPFVT_01_tbl_detalle_fill_rate[[#This Row],[emb_cantidad]]-Tabla__192.168.1.8_POSEIDONSQL_APPFVT_01_tbl_detalle_fill_rate[[#This Row],[dev_cantidad]]</f>
        <v>1</v>
      </c>
      <c r="P14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3" s="1">
        <f>+Tabla__192.168.1.8_POSEIDONSQL_APPFVT_01_tbl_detalle_fill_rate[[#This Row],[Cumpl Real Unds]]-Tabla__192.168.1.8_POSEIDONSQL_APPFVT_01_tbl_detalle_fill_rate[[#This Row],[Cant Embarcada]]</f>
        <v>0</v>
      </c>
      <c r="S1443" s="1">
        <f>+IF(Tabla__192.168.1.8_POSEIDONSQL_APPFVT_01_tbl_detalle_fill_rate[[#This Row],[Pend Emb]]&gt;0,1,0)</f>
        <v>0</v>
      </c>
      <c r="T14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4" spans="1:20" x14ac:dyDescent="0.25">
      <c r="A1444">
        <v>6</v>
      </c>
      <c r="B1444" t="s">
        <v>53</v>
      </c>
      <c r="C1444">
        <v>968651</v>
      </c>
      <c r="D1444" s="48">
        <v>43363</v>
      </c>
      <c r="E1444" s="48">
        <v>43362</v>
      </c>
      <c r="F1444" s="48">
        <v>43370</v>
      </c>
      <c r="G1444" t="s">
        <v>94</v>
      </c>
      <c r="H1444" t="s">
        <v>95</v>
      </c>
      <c r="I1444">
        <v>1</v>
      </c>
      <c r="J1444" t="s">
        <v>1897</v>
      </c>
      <c r="K1444">
        <v>1</v>
      </c>
      <c r="L1444">
        <v>1</v>
      </c>
      <c r="M1444" t="s">
        <v>420</v>
      </c>
      <c r="N1444">
        <v>0</v>
      </c>
      <c r="O1444" s="1">
        <f>+Tabla__192.168.1.8_POSEIDONSQL_APPFVT_01_tbl_detalle_fill_rate[[#This Row],[emb_cantidad]]-Tabla__192.168.1.8_POSEIDONSQL_APPFVT_01_tbl_detalle_fill_rate[[#This Row],[dev_cantidad]]</f>
        <v>1</v>
      </c>
      <c r="P14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4" s="1">
        <f>+Tabla__192.168.1.8_POSEIDONSQL_APPFVT_01_tbl_detalle_fill_rate[[#This Row],[Cumpl Real Unds]]-Tabla__192.168.1.8_POSEIDONSQL_APPFVT_01_tbl_detalle_fill_rate[[#This Row],[Cant Embarcada]]</f>
        <v>0</v>
      </c>
      <c r="S1444" s="1">
        <f>+IF(Tabla__192.168.1.8_POSEIDONSQL_APPFVT_01_tbl_detalle_fill_rate[[#This Row],[Pend Emb]]&gt;0,1,0)</f>
        <v>0</v>
      </c>
      <c r="T14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5" spans="1:20" x14ac:dyDescent="0.25">
      <c r="A1445">
        <v>6</v>
      </c>
      <c r="B1445" t="s">
        <v>53</v>
      </c>
      <c r="C1445">
        <v>968785</v>
      </c>
      <c r="D1445" s="48">
        <v>43363</v>
      </c>
      <c r="E1445" s="48">
        <v>43362</v>
      </c>
      <c r="F1445" s="48">
        <v>43368</v>
      </c>
      <c r="G1445" t="s">
        <v>366</v>
      </c>
      <c r="H1445" t="s">
        <v>367</v>
      </c>
      <c r="I1445">
        <v>1</v>
      </c>
      <c r="J1445" t="s">
        <v>1736</v>
      </c>
      <c r="K1445">
        <v>1</v>
      </c>
      <c r="L1445">
        <v>1</v>
      </c>
      <c r="M1445" t="s">
        <v>416</v>
      </c>
      <c r="N1445">
        <v>0</v>
      </c>
      <c r="O1445" s="1">
        <f>+Tabla__192.168.1.8_POSEIDONSQL_APPFVT_01_tbl_detalle_fill_rate[[#This Row],[emb_cantidad]]-Tabla__192.168.1.8_POSEIDONSQL_APPFVT_01_tbl_detalle_fill_rate[[#This Row],[dev_cantidad]]</f>
        <v>1</v>
      </c>
      <c r="P14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5" s="1">
        <f>+Tabla__192.168.1.8_POSEIDONSQL_APPFVT_01_tbl_detalle_fill_rate[[#This Row],[Cumpl Real Unds]]-Tabla__192.168.1.8_POSEIDONSQL_APPFVT_01_tbl_detalle_fill_rate[[#This Row],[Cant Embarcada]]</f>
        <v>0</v>
      </c>
      <c r="S1445" s="1">
        <f>+IF(Tabla__192.168.1.8_POSEIDONSQL_APPFVT_01_tbl_detalle_fill_rate[[#This Row],[Pend Emb]]&gt;0,1,0)</f>
        <v>0</v>
      </c>
      <c r="T14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6" spans="1:20" x14ac:dyDescent="0.25">
      <c r="A1446">
        <v>6</v>
      </c>
      <c r="B1446" t="s">
        <v>53</v>
      </c>
      <c r="C1446">
        <v>968792</v>
      </c>
      <c r="D1446" s="48">
        <v>43363</v>
      </c>
      <c r="E1446" s="48">
        <v>43362</v>
      </c>
      <c r="F1446" s="48">
        <v>43368</v>
      </c>
      <c r="G1446" t="s">
        <v>96</v>
      </c>
      <c r="H1446" t="s">
        <v>97</v>
      </c>
      <c r="I1446">
        <v>1</v>
      </c>
      <c r="J1446" t="s">
        <v>1737</v>
      </c>
      <c r="K1446">
        <v>1</v>
      </c>
      <c r="L1446">
        <v>1</v>
      </c>
      <c r="M1446" t="s">
        <v>416</v>
      </c>
      <c r="N1446">
        <v>0</v>
      </c>
      <c r="O1446" s="1">
        <f>+Tabla__192.168.1.8_POSEIDONSQL_APPFVT_01_tbl_detalle_fill_rate[[#This Row],[emb_cantidad]]-Tabla__192.168.1.8_POSEIDONSQL_APPFVT_01_tbl_detalle_fill_rate[[#This Row],[dev_cantidad]]</f>
        <v>1</v>
      </c>
      <c r="P14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6" s="1">
        <f>+Tabla__192.168.1.8_POSEIDONSQL_APPFVT_01_tbl_detalle_fill_rate[[#This Row],[Cumpl Real Unds]]-Tabla__192.168.1.8_POSEIDONSQL_APPFVT_01_tbl_detalle_fill_rate[[#This Row],[Cant Embarcada]]</f>
        <v>0</v>
      </c>
      <c r="S1446" s="1">
        <f>+IF(Tabla__192.168.1.8_POSEIDONSQL_APPFVT_01_tbl_detalle_fill_rate[[#This Row],[Pend Emb]]&gt;0,1,0)</f>
        <v>0</v>
      </c>
      <c r="T14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7" spans="1:20" x14ac:dyDescent="0.25">
      <c r="A1447">
        <v>6</v>
      </c>
      <c r="B1447" t="s">
        <v>53</v>
      </c>
      <c r="C1447">
        <v>968858</v>
      </c>
      <c r="D1447" s="48">
        <v>43363</v>
      </c>
      <c r="E1447" s="48">
        <v>43363</v>
      </c>
      <c r="F1447" s="48">
        <v>43369</v>
      </c>
      <c r="G1447" t="s">
        <v>1259</v>
      </c>
      <c r="H1447" t="s">
        <v>1260</v>
      </c>
      <c r="I1447">
        <v>1</v>
      </c>
      <c r="J1447" t="s">
        <v>1898</v>
      </c>
      <c r="K1447">
        <v>1</v>
      </c>
      <c r="L1447">
        <v>0</v>
      </c>
      <c r="M1447" t="s">
        <v>12</v>
      </c>
      <c r="N1447">
        <v>0</v>
      </c>
      <c r="O1447" s="1">
        <f>+Tabla__192.168.1.8_POSEIDONSQL_APPFVT_01_tbl_detalle_fill_rate[[#This Row],[emb_cantidad]]-Tabla__192.168.1.8_POSEIDONSQL_APPFVT_01_tbl_detalle_fill_rate[[#This Row],[dev_cantidad]]</f>
        <v>0</v>
      </c>
      <c r="P14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447" s="1">
        <f>+Tabla__192.168.1.8_POSEIDONSQL_APPFVT_01_tbl_detalle_fill_rate[[#This Row],[Cumpl Real Unds]]-Tabla__192.168.1.8_POSEIDONSQL_APPFVT_01_tbl_detalle_fill_rate[[#This Row],[Cant Embarcada]]</f>
        <v>0</v>
      </c>
      <c r="S1447" s="1">
        <f>+IF(Tabla__192.168.1.8_POSEIDONSQL_APPFVT_01_tbl_detalle_fill_rate[[#This Row],[Pend Emb]]&gt;0,1,0)</f>
        <v>0</v>
      </c>
      <c r="T14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8" spans="1:20" x14ac:dyDescent="0.25">
      <c r="A1448">
        <v>6</v>
      </c>
      <c r="B1448" t="s">
        <v>53</v>
      </c>
      <c r="C1448">
        <v>968941</v>
      </c>
      <c r="D1448" s="48">
        <v>43364</v>
      </c>
      <c r="E1448" s="48">
        <v>43363</v>
      </c>
      <c r="F1448" s="48">
        <v>43369</v>
      </c>
      <c r="G1448" t="s">
        <v>118</v>
      </c>
      <c r="H1448" t="s">
        <v>119</v>
      </c>
      <c r="I1448">
        <v>1</v>
      </c>
      <c r="J1448" t="s">
        <v>925</v>
      </c>
      <c r="K1448">
        <v>1</v>
      </c>
      <c r="L1448">
        <v>1</v>
      </c>
      <c r="M1448" t="s">
        <v>420</v>
      </c>
      <c r="N1448">
        <v>0</v>
      </c>
      <c r="O1448" s="1">
        <f>+Tabla__192.168.1.8_POSEIDONSQL_APPFVT_01_tbl_detalle_fill_rate[[#This Row],[emb_cantidad]]-Tabla__192.168.1.8_POSEIDONSQL_APPFVT_01_tbl_detalle_fill_rate[[#This Row],[dev_cantidad]]</f>
        <v>1</v>
      </c>
      <c r="P14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8" s="1">
        <f>+Tabla__192.168.1.8_POSEIDONSQL_APPFVT_01_tbl_detalle_fill_rate[[#This Row],[Cumpl Real Unds]]-Tabla__192.168.1.8_POSEIDONSQL_APPFVT_01_tbl_detalle_fill_rate[[#This Row],[Cant Embarcada]]</f>
        <v>0</v>
      </c>
      <c r="S1448" s="1">
        <f>+IF(Tabla__192.168.1.8_POSEIDONSQL_APPFVT_01_tbl_detalle_fill_rate[[#This Row],[Pend Emb]]&gt;0,1,0)</f>
        <v>0</v>
      </c>
      <c r="T14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49" spans="1:20" x14ac:dyDescent="0.25">
      <c r="A1449">
        <v>6</v>
      </c>
      <c r="B1449" t="s">
        <v>53</v>
      </c>
      <c r="C1449">
        <v>969137</v>
      </c>
      <c r="D1449" s="48">
        <v>43364</v>
      </c>
      <c r="E1449" s="48">
        <v>43363</v>
      </c>
      <c r="F1449" s="48">
        <v>43370</v>
      </c>
      <c r="G1449" t="s">
        <v>74</v>
      </c>
      <c r="H1449" t="s">
        <v>75</v>
      </c>
      <c r="I1449">
        <v>1</v>
      </c>
      <c r="J1449" t="s">
        <v>919</v>
      </c>
      <c r="K1449">
        <v>1</v>
      </c>
      <c r="L1449">
        <v>1</v>
      </c>
      <c r="M1449" t="s">
        <v>420</v>
      </c>
      <c r="N1449">
        <v>0</v>
      </c>
      <c r="O1449" s="1">
        <f>+Tabla__192.168.1.8_POSEIDONSQL_APPFVT_01_tbl_detalle_fill_rate[[#This Row],[emb_cantidad]]-Tabla__192.168.1.8_POSEIDONSQL_APPFVT_01_tbl_detalle_fill_rate[[#This Row],[dev_cantidad]]</f>
        <v>1</v>
      </c>
      <c r="P14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49" s="1">
        <f>+Tabla__192.168.1.8_POSEIDONSQL_APPFVT_01_tbl_detalle_fill_rate[[#This Row],[Cumpl Real Unds]]-Tabla__192.168.1.8_POSEIDONSQL_APPFVT_01_tbl_detalle_fill_rate[[#This Row],[Cant Embarcada]]</f>
        <v>0</v>
      </c>
      <c r="S1449" s="1">
        <f>+IF(Tabla__192.168.1.8_POSEIDONSQL_APPFVT_01_tbl_detalle_fill_rate[[#This Row],[Pend Emb]]&gt;0,1,0)</f>
        <v>0</v>
      </c>
      <c r="T14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0" spans="1:20" x14ac:dyDescent="0.25">
      <c r="A1450">
        <v>6</v>
      </c>
      <c r="B1450" t="s">
        <v>53</v>
      </c>
      <c r="C1450">
        <v>969459</v>
      </c>
      <c r="D1450" s="48">
        <v>43364</v>
      </c>
      <c r="E1450" s="48">
        <v>43363</v>
      </c>
      <c r="F1450" s="48">
        <v>43369</v>
      </c>
      <c r="G1450" t="s">
        <v>245</v>
      </c>
      <c r="H1450" t="s">
        <v>246</v>
      </c>
      <c r="I1450">
        <v>1</v>
      </c>
      <c r="J1450" t="s">
        <v>920</v>
      </c>
      <c r="K1450">
        <v>1</v>
      </c>
      <c r="L1450">
        <v>1</v>
      </c>
      <c r="M1450" t="s">
        <v>420</v>
      </c>
      <c r="N1450">
        <v>0</v>
      </c>
      <c r="O1450" s="1">
        <f>+Tabla__192.168.1.8_POSEIDONSQL_APPFVT_01_tbl_detalle_fill_rate[[#This Row],[emb_cantidad]]-Tabla__192.168.1.8_POSEIDONSQL_APPFVT_01_tbl_detalle_fill_rate[[#This Row],[dev_cantidad]]</f>
        <v>1</v>
      </c>
      <c r="P14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0" s="1">
        <f>+Tabla__192.168.1.8_POSEIDONSQL_APPFVT_01_tbl_detalle_fill_rate[[#This Row],[Cumpl Real Unds]]-Tabla__192.168.1.8_POSEIDONSQL_APPFVT_01_tbl_detalle_fill_rate[[#This Row],[Cant Embarcada]]</f>
        <v>0</v>
      </c>
      <c r="S1450" s="1">
        <f>+IF(Tabla__192.168.1.8_POSEIDONSQL_APPFVT_01_tbl_detalle_fill_rate[[#This Row],[Pend Emb]]&gt;0,1,0)</f>
        <v>0</v>
      </c>
      <c r="T14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1" spans="1:20" x14ac:dyDescent="0.25">
      <c r="A1451">
        <v>6</v>
      </c>
      <c r="B1451" t="s">
        <v>53</v>
      </c>
      <c r="C1451">
        <v>969596</v>
      </c>
      <c r="D1451" s="48">
        <v>43364</v>
      </c>
      <c r="E1451" s="48">
        <v>43363</v>
      </c>
      <c r="F1451" s="48">
        <v>43370</v>
      </c>
      <c r="G1451" t="s">
        <v>308</v>
      </c>
      <c r="H1451" t="s">
        <v>309</v>
      </c>
      <c r="I1451">
        <v>1</v>
      </c>
      <c r="J1451" t="s">
        <v>921</v>
      </c>
      <c r="K1451">
        <v>1</v>
      </c>
      <c r="L1451">
        <v>1</v>
      </c>
      <c r="M1451" t="s">
        <v>420</v>
      </c>
      <c r="N1451">
        <v>0</v>
      </c>
      <c r="O1451" s="1">
        <f>+Tabla__192.168.1.8_POSEIDONSQL_APPFVT_01_tbl_detalle_fill_rate[[#This Row],[emb_cantidad]]-Tabla__192.168.1.8_POSEIDONSQL_APPFVT_01_tbl_detalle_fill_rate[[#This Row],[dev_cantidad]]</f>
        <v>1</v>
      </c>
      <c r="P14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1" s="1">
        <f>+Tabla__192.168.1.8_POSEIDONSQL_APPFVT_01_tbl_detalle_fill_rate[[#This Row],[Cumpl Real Unds]]-Tabla__192.168.1.8_POSEIDONSQL_APPFVT_01_tbl_detalle_fill_rate[[#This Row],[Cant Embarcada]]</f>
        <v>0</v>
      </c>
      <c r="S1451" s="1">
        <f>+IF(Tabla__192.168.1.8_POSEIDONSQL_APPFVT_01_tbl_detalle_fill_rate[[#This Row],[Pend Emb]]&gt;0,1,0)</f>
        <v>0</v>
      </c>
      <c r="T14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2" spans="1:20" x14ac:dyDescent="0.25">
      <c r="A1452">
        <v>6</v>
      </c>
      <c r="B1452" t="s">
        <v>53</v>
      </c>
      <c r="C1452">
        <v>969632</v>
      </c>
      <c r="D1452" s="48">
        <v>43364</v>
      </c>
      <c r="E1452" s="48">
        <v>43363</v>
      </c>
      <c r="F1452" s="48">
        <v>43369</v>
      </c>
      <c r="G1452" t="s">
        <v>387</v>
      </c>
      <c r="H1452" t="s">
        <v>388</v>
      </c>
      <c r="I1452">
        <v>1</v>
      </c>
      <c r="J1452" t="s">
        <v>922</v>
      </c>
      <c r="K1452">
        <v>1</v>
      </c>
      <c r="L1452">
        <v>1</v>
      </c>
      <c r="M1452" t="s">
        <v>420</v>
      </c>
      <c r="N1452">
        <v>0</v>
      </c>
      <c r="O1452" s="1">
        <f>+Tabla__192.168.1.8_POSEIDONSQL_APPFVT_01_tbl_detalle_fill_rate[[#This Row],[emb_cantidad]]-Tabla__192.168.1.8_POSEIDONSQL_APPFVT_01_tbl_detalle_fill_rate[[#This Row],[dev_cantidad]]</f>
        <v>1</v>
      </c>
      <c r="P14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2" s="1">
        <f>+Tabla__192.168.1.8_POSEIDONSQL_APPFVT_01_tbl_detalle_fill_rate[[#This Row],[Cumpl Real Unds]]-Tabla__192.168.1.8_POSEIDONSQL_APPFVT_01_tbl_detalle_fill_rate[[#This Row],[Cant Embarcada]]</f>
        <v>0</v>
      </c>
      <c r="S1452" s="1">
        <f>+IF(Tabla__192.168.1.8_POSEIDONSQL_APPFVT_01_tbl_detalle_fill_rate[[#This Row],[Pend Emb]]&gt;0,1,0)</f>
        <v>0</v>
      </c>
      <c r="T14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3" spans="1:20" x14ac:dyDescent="0.25">
      <c r="A1453">
        <v>6</v>
      </c>
      <c r="B1453" t="s">
        <v>53</v>
      </c>
      <c r="C1453">
        <v>969642</v>
      </c>
      <c r="D1453" s="48">
        <v>43364</v>
      </c>
      <c r="E1453" s="48">
        <v>43363</v>
      </c>
      <c r="F1453" s="48">
        <v>43369</v>
      </c>
      <c r="G1453" t="s">
        <v>353</v>
      </c>
      <c r="H1453" t="s">
        <v>354</v>
      </c>
      <c r="I1453">
        <v>1</v>
      </c>
      <c r="J1453" t="s">
        <v>923</v>
      </c>
      <c r="K1453">
        <v>1</v>
      </c>
      <c r="L1453">
        <v>1</v>
      </c>
      <c r="M1453" t="s">
        <v>420</v>
      </c>
      <c r="N1453">
        <v>0</v>
      </c>
      <c r="O1453" s="1">
        <f>+Tabla__192.168.1.8_POSEIDONSQL_APPFVT_01_tbl_detalle_fill_rate[[#This Row],[emb_cantidad]]-Tabla__192.168.1.8_POSEIDONSQL_APPFVT_01_tbl_detalle_fill_rate[[#This Row],[dev_cantidad]]</f>
        <v>1</v>
      </c>
      <c r="P14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3" s="1">
        <f>+Tabla__192.168.1.8_POSEIDONSQL_APPFVT_01_tbl_detalle_fill_rate[[#This Row],[Cumpl Real Unds]]-Tabla__192.168.1.8_POSEIDONSQL_APPFVT_01_tbl_detalle_fill_rate[[#This Row],[Cant Embarcada]]</f>
        <v>0</v>
      </c>
      <c r="S1453" s="1">
        <f>+IF(Tabla__192.168.1.8_POSEIDONSQL_APPFVT_01_tbl_detalle_fill_rate[[#This Row],[Pend Emb]]&gt;0,1,0)</f>
        <v>0</v>
      </c>
      <c r="T14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4" spans="1:20" x14ac:dyDescent="0.25">
      <c r="A1454">
        <v>6</v>
      </c>
      <c r="B1454" t="s">
        <v>53</v>
      </c>
      <c r="C1454">
        <v>969743</v>
      </c>
      <c r="D1454" s="48">
        <v>43364</v>
      </c>
      <c r="E1454" s="48">
        <v>43363</v>
      </c>
      <c r="F1454" s="48">
        <v>43369</v>
      </c>
      <c r="G1454" t="s">
        <v>353</v>
      </c>
      <c r="H1454" t="s">
        <v>354</v>
      </c>
      <c r="I1454">
        <v>1</v>
      </c>
      <c r="J1454" t="s">
        <v>924</v>
      </c>
      <c r="K1454">
        <v>1</v>
      </c>
      <c r="L1454">
        <v>1</v>
      </c>
      <c r="M1454" t="s">
        <v>420</v>
      </c>
      <c r="N1454">
        <v>0</v>
      </c>
      <c r="O1454" s="1">
        <f>+Tabla__192.168.1.8_POSEIDONSQL_APPFVT_01_tbl_detalle_fill_rate[[#This Row],[emb_cantidad]]-Tabla__192.168.1.8_POSEIDONSQL_APPFVT_01_tbl_detalle_fill_rate[[#This Row],[dev_cantidad]]</f>
        <v>1</v>
      </c>
      <c r="P14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4" s="1">
        <f>+Tabla__192.168.1.8_POSEIDONSQL_APPFVT_01_tbl_detalle_fill_rate[[#This Row],[Cumpl Real Unds]]-Tabla__192.168.1.8_POSEIDONSQL_APPFVT_01_tbl_detalle_fill_rate[[#This Row],[Cant Embarcada]]</f>
        <v>0</v>
      </c>
      <c r="S1454" s="1">
        <f>+IF(Tabla__192.168.1.8_POSEIDONSQL_APPFVT_01_tbl_detalle_fill_rate[[#This Row],[Pend Emb]]&gt;0,1,0)</f>
        <v>0</v>
      </c>
      <c r="T14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5" spans="1:20" x14ac:dyDescent="0.25">
      <c r="A1455">
        <v>6</v>
      </c>
      <c r="B1455" t="s">
        <v>53</v>
      </c>
      <c r="C1455">
        <v>969781</v>
      </c>
      <c r="D1455" s="48">
        <v>43364</v>
      </c>
      <c r="E1455" s="48">
        <v>43363</v>
      </c>
      <c r="F1455" s="48">
        <v>43369</v>
      </c>
      <c r="G1455" t="s">
        <v>199</v>
      </c>
      <c r="H1455" t="s">
        <v>200</v>
      </c>
      <c r="I1455">
        <v>1</v>
      </c>
      <c r="J1455" t="s">
        <v>918</v>
      </c>
      <c r="K1455">
        <v>1</v>
      </c>
      <c r="L1455">
        <v>1</v>
      </c>
      <c r="M1455" t="s">
        <v>420</v>
      </c>
      <c r="N1455">
        <v>0</v>
      </c>
      <c r="O1455" s="1">
        <f>+Tabla__192.168.1.8_POSEIDONSQL_APPFVT_01_tbl_detalle_fill_rate[[#This Row],[emb_cantidad]]-Tabla__192.168.1.8_POSEIDONSQL_APPFVT_01_tbl_detalle_fill_rate[[#This Row],[dev_cantidad]]</f>
        <v>1</v>
      </c>
      <c r="P14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5" s="1">
        <f>+Tabla__192.168.1.8_POSEIDONSQL_APPFVT_01_tbl_detalle_fill_rate[[#This Row],[Cumpl Real Unds]]-Tabla__192.168.1.8_POSEIDONSQL_APPFVT_01_tbl_detalle_fill_rate[[#This Row],[Cant Embarcada]]</f>
        <v>0</v>
      </c>
      <c r="S1455" s="1">
        <f>+IF(Tabla__192.168.1.8_POSEIDONSQL_APPFVT_01_tbl_detalle_fill_rate[[#This Row],[Pend Emb]]&gt;0,1,0)</f>
        <v>0</v>
      </c>
      <c r="T14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6" spans="1:20" x14ac:dyDescent="0.25">
      <c r="A1456">
        <v>9</v>
      </c>
      <c r="B1456" t="s">
        <v>48</v>
      </c>
      <c r="C1456">
        <v>9199311</v>
      </c>
      <c r="D1456" s="48">
        <v>43353</v>
      </c>
      <c r="E1456" s="48">
        <v>43350</v>
      </c>
      <c r="F1456" s="48">
        <v>43357</v>
      </c>
      <c r="G1456" t="s">
        <v>112</v>
      </c>
      <c r="H1456" t="s">
        <v>113</v>
      </c>
      <c r="I1456">
        <v>1</v>
      </c>
      <c r="J1456" t="s">
        <v>1307</v>
      </c>
      <c r="K1456">
        <v>1</v>
      </c>
      <c r="L1456">
        <v>1</v>
      </c>
      <c r="M1456" t="s">
        <v>426</v>
      </c>
      <c r="N1456">
        <v>0</v>
      </c>
      <c r="O1456" s="1">
        <f>+Tabla__192.168.1.8_POSEIDONSQL_APPFVT_01_tbl_detalle_fill_rate[[#This Row],[emb_cantidad]]-Tabla__192.168.1.8_POSEIDONSQL_APPFVT_01_tbl_detalle_fill_rate[[#This Row],[dev_cantidad]]</f>
        <v>1</v>
      </c>
      <c r="P14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6" s="1">
        <f>+Tabla__192.168.1.8_POSEIDONSQL_APPFVT_01_tbl_detalle_fill_rate[[#This Row],[Cumpl Real Unds]]-Tabla__192.168.1.8_POSEIDONSQL_APPFVT_01_tbl_detalle_fill_rate[[#This Row],[Cant Embarcada]]</f>
        <v>0</v>
      </c>
      <c r="S1456" s="1">
        <f>+IF(Tabla__192.168.1.8_POSEIDONSQL_APPFVT_01_tbl_detalle_fill_rate[[#This Row],[Pend Emb]]&gt;0,1,0)</f>
        <v>0</v>
      </c>
      <c r="T14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7" spans="1:20" x14ac:dyDescent="0.25">
      <c r="A1457">
        <v>9</v>
      </c>
      <c r="B1457" t="s">
        <v>48</v>
      </c>
      <c r="C1457">
        <v>9199368</v>
      </c>
      <c r="D1457" s="48">
        <v>43353</v>
      </c>
      <c r="E1457" s="48">
        <v>43350</v>
      </c>
      <c r="F1457" s="48">
        <v>43357</v>
      </c>
      <c r="G1457" t="s">
        <v>92</v>
      </c>
      <c r="H1457" t="s">
        <v>93</v>
      </c>
      <c r="I1457">
        <v>1</v>
      </c>
      <c r="J1457" t="s">
        <v>1308</v>
      </c>
      <c r="K1457">
        <v>1</v>
      </c>
      <c r="L1457">
        <v>1</v>
      </c>
      <c r="M1457" t="s">
        <v>426</v>
      </c>
      <c r="N1457">
        <v>0</v>
      </c>
      <c r="O1457" s="1">
        <f>+Tabla__192.168.1.8_POSEIDONSQL_APPFVT_01_tbl_detalle_fill_rate[[#This Row],[emb_cantidad]]-Tabla__192.168.1.8_POSEIDONSQL_APPFVT_01_tbl_detalle_fill_rate[[#This Row],[dev_cantidad]]</f>
        <v>1</v>
      </c>
      <c r="P14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7" s="1">
        <f>+Tabla__192.168.1.8_POSEIDONSQL_APPFVT_01_tbl_detalle_fill_rate[[#This Row],[Cumpl Real Unds]]-Tabla__192.168.1.8_POSEIDONSQL_APPFVT_01_tbl_detalle_fill_rate[[#This Row],[Cant Embarcada]]</f>
        <v>0</v>
      </c>
      <c r="S1457" s="1">
        <f>+IF(Tabla__192.168.1.8_POSEIDONSQL_APPFVT_01_tbl_detalle_fill_rate[[#This Row],[Pend Emb]]&gt;0,1,0)</f>
        <v>0</v>
      </c>
      <c r="T14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8" spans="1:20" x14ac:dyDescent="0.25">
      <c r="A1458">
        <v>9</v>
      </c>
      <c r="B1458" t="s">
        <v>48</v>
      </c>
      <c r="C1458">
        <v>9199368</v>
      </c>
      <c r="D1458" s="48">
        <v>43353</v>
      </c>
      <c r="E1458" s="48">
        <v>43350</v>
      </c>
      <c r="F1458" s="48">
        <v>43367</v>
      </c>
      <c r="G1458" t="s">
        <v>461</v>
      </c>
      <c r="H1458" t="s">
        <v>462</v>
      </c>
      <c r="I1458">
        <v>1</v>
      </c>
      <c r="J1458" t="s">
        <v>997</v>
      </c>
      <c r="K1458">
        <v>1</v>
      </c>
      <c r="L1458">
        <v>1</v>
      </c>
      <c r="M1458" t="s">
        <v>416</v>
      </c>
      <c r="N1458">
        <v>0</v>
      </c>
      <c r="O1458" s="1">
        <f>+Tabla__192.168.1.8_POSEIDONSQL_APPFVT_01_tbl_detalle_fill_rate[[#This Row],[emb_cantidad]]-Tabla__192.168.1.8_POSEIDONSQL_APPFVT_01_tbl_detalle_fill_rate[[#This Row],[dev_cantidad]]</f>
        <v>1</v>
      </c>
      <c r="P14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8" s="1">
        <f>+Tabla__192.168.1.8_POSEIDONSQL_APPFVT_01_tbl_detalle_fill_rate[[#This Row],[Cumpl Real Unds]]-Tabla__192.168.1.8_POSEIDONSQL_APPFVT_01_tbl_detalle_fill_rate[[#This Row],[Cant Embarcada]]</f>
        <v>0</v>
      </c>
      <c r="S1458" s="1">
        <f>+IF(Tabla__192.168.1.8_POSEIDONSQL_APPFVT_01_tbl_detalle_fill_rate[[#This Row],[Pend Emb]]&gt;0,1,0)</f>
        <v>0</v>
      </c>
      <c r="T14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59" spans="1:20" x14ac:dyDescent="0.25">
      <c r="A1459">
        <v>9</v>
      </c>
      <c r="B1459" t="s">
        <v>48</v>
      </c>
      <c r="C1459">
        <v>9199368</v>
      </c>
      <c r="D1459" s="48">
        <v>43353</v>
      </c>
      <c r="E1459" s="48">
        <v>43350</v>
      </c>
      <c r="F1459" s="48">
        <v>43353</v>
      </c>
      <c r="G1459" t="s">
        <v>124</v>
      </c>
      <c r="H1459" t="s">
        <v>125</v>
      </c>
      <c r="I1459">
        <v>1</v>
      </c>
      <c r="J1459" t="s">
        <v>1694</v>
      </c>
      <c r="K1459">
        <v>1</v>
      </c>
      <c r="L1459">
        <v>1</v>
      </c>
      <c r="M1459" t="s">
        <v>427</v>
      </c>
      <c r="N1459">
        <v>0</v>
      </c>
      <c r="O1459" s="1">
        <f>+Tabla__192.168.1.8_POSEIDONSQL_APPFVT_01_tbl_detalle_fill_rate[[#This Row],[emb_cantidad]]-Tabla__192.168.1.8_POSEIDONSQL_APPFVT_01_tbl_detalle_fill_rate[[#This Row],[dev_cantidad]]</f>
        <v>1</v>
      </c>
      <c r="P14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59" s="1">
        <f>+Tabla__192.168.1.8_POSEIDONSQL_APPFVT_01_tbl_detalle_fill_rate[[#This Row],[Cumpl Real Unds]]-Tabla__192.168.1.8_POSEIDONSQL_APPFVT_01_tbl_detalle_fill_rate[[#This Row],[Cant Embarcada]]</f>
        <v>0</v>
      </c>
      <c r="S1459" s="1">
        <f>+IF(Tabla__192.168.1.8_POSEIDONSQL_APPFVT_01_tbl_detalle_fill_rate[[#This Row],[Pend Emb]]&gt;0,1,0)</f>
        <v>0</v>
      </c>
      <c r="T14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0" spans="1:20" x14ac:dyDescent="0.25">
      <c r="A1460">
        <v>9</v>
      </c>
      <c r="B1460" t="s">
        <v>48</v>
      </c>
      <c r="C1460">
        <v>9199427</v>
      </c>
      <c r="D1460" s="48">
        <v>43353</v>
      </c>
      <c r="E1460" s="48">
        <v>43350</v>
      </c>
      <c r="F1460" s="48">
        <v>43364</v>
      </c>
      <c r="G1460" t="s">
        <v>389</v>
      </c>
      <c r="H1460" t="s">
        <v>390</v>
      </c>
      <c r="I1460">
        <v>1</v>
      </c>
      <c r="J1460" t="s">
        <v>1310</v>
      </c>
      <c r="K1460">
        <v>1</v>
      </c>
      <c r="L1460">
        <v>1</v>
      </c>
      <c r="M1460" t="s">
        <v>426</v>
      </c>
      <c r="N1460">
        <v>0</v>
      </c>
      <c r="O1460" s="1">
        <f>+Tabla__192.168.1.8_POSEIDONSQL_APPFVT_01_tbl_detalle_fill_rate[[#This Row],[emb_cantidad]]-Tabla__192.168.1.8_POSEIDONSQL_APPFVT_01_tbl_detalle_fill_rate[[#This Row],[dev_cantidad]]</f>
        <v>1</v>
      </c>
      <c r="P14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0" s="1">
        <f>+Tabla__192.168.1.8_POSEIDONSQL_APPFVT_01_tbl_detalle_fill_rate[[#This Row],[Cumpl Real Unds]]-Tabla__192.168.1.8_POSEIDONSQL_APPFVT_01_tbl_detalle_fill_rate[[#This Row],[Cant Embarcada]]</f>
        <v>0</v>
      </c>
      <c r="S1460" s="1">
        <f>+IF(Tabla__192.168.1.8_POSEIDONSQL_APPFVT_01_tbl_detalle_fill_rate[[#This Row],[Pend Emb]]&gt;0,1,0)</f>
        <v>0</v>
      </c>
      <c r="T14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1" spans="1:20" x14ac:dyDescent="0.25">
      <c r="A1461">
        <v>9</v>
      </c>
      <c r="B1461" t="s">
        <v>48</v>
      </c>
      <c r="C1461">
        <v>9199427</v>
      </c>
      <c r="D1461" s="48">
        <v>43354</v>
      </c>
      <c r="E1461" s="48">
        <v>43350</v>
      </c>
      <c r="F1461" s="48">
        <v>43364</v>
      </c>
      <c r="G1461" t="s">
        <v>114</v>
      </c>
      <c r="H1461" t="s">
        <v>115</v>
      </c>
      <c r="I1461">
        <v>1</v>
      </c>
      <c r="J1461" t="s">
        <v>1693</v>
      </c>
      <c r="K1461">
        <v>1</v>
      </c>
      <c r="L1461">
        <v>1</v>
      </c>
      <c r="M1461" t="s">
        <v>426</v>
      </c>
      <c r="N1461">
        <v>0</v>
      </c>
      <c r="O1461" s="1">
        <f>+Tabla__192.168.1.8_POSEIDONSQL_APPFVT_01_tbl_detalle_fill_rate[[#This Row],[emb_cantidad]]-Tabla__192.168.1.8_POSEIDONSQL_APPFVT_01_tbl_detalle_fill_rate[[#This Row],[dev_cantidad]]</f>
        <v>1</v>
      </c>
      <c r="P14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1" s="1">
        <f>+Tabla__192.168.1.8_POSEIDONSQL_APPFVT_01_tbl_detalle_fill_rate[[#This Row],[Cumpl Real Unds]]-Tabla__192.168.1.8_POSEIDONSQL_APPFVT_01_tbl_detalle_fill_rate[[#This Row],[Cant Embarcada]]</f>
        <v>0</v>
      </c>
      <c r="S1461" s="1">
        <f>+IF(Tabla__192.168.1.8_POSEIDONSQL_APPFVT_01_tbl_detalle_fill_rate[[#This Row],[Pend Emb]]&gt;0,1,0)</f>
        <v>0</v>
      </c>
      <c r="T14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2" spans="1:20" x14ac:dyDescent="0.25">
      <c r="A1462">
        <v>9</v>
      </c>
      <c r="B1462" t="s">
        <v>48</v>
      </c>
      <c r="C1462">
        <v>9199427</v>
      </c>
      <c r="D1462" s="48">
        <v>43353</v>
      </c>
      <c r="E1462" s="48">
        <v>43350</v>
      </c>
      <c r="F1462" s="48">
        <v>43357</v>
      </c>
      <c r="G1462" t="s">
        <v>116</v>
      </c>
      <c r="H1462" t="s">
        <v>117</v>
      </c>
      <c r="I1462">
        <v>1</v>
      </c>
      <c r="J1462" t="s">
        <v>1309</v>
      </c>
      <c r="K1462">
        <v>1</v>
      </c>
      <c r="L1462">
        <v>1</v>
      </c>
      <c r="M1462" t="s">
        <v>426</v>
      </c>
      <c r="N1462">
        <v>0</v>
      </c>
      <c r="O1462" s="1">
        <f>+Tabla__192.168.1.8_POSEIDONSQL_APPFVT_01_tbl_detalle_fill_rate[[#This Row],[emb_cantidad]]-Tabla__192.168.1.8_POSEIDONSQL_APPFVT_01_tbl_detalle_fill_rate[[#This Row],[dev_cantidad]]</f>
        <v>1</v>
      </c>
      <c r="P14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2" s="1">
        <f>+Tabla__192.168.1.8_POSEIDONSQL_APPFVT_01_tbl_detalle_fill_rate[[#This Row],[Cumpl Real Unds]]-Tabla__192.168.1.8_POSEIDONSQL_APPFVT_01_tbl_detalle_fill_rate[[#This Row],[Cant Embarcada]]</f>
        <v>0</v>
      </c>
      <c r="S1462" s="1">
        <f>+IF(Tabla__192.168.1.8_POSEIDONSQL_APPFVT_01_tbl_detalle_fill_rate[[#This Row],[Pend Emb]]&gt;0,1,0)</f>
        <v>0</v>
      </c>
      <c r="T14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3" spans="1:20" x14ac:dyDescent="0.25">
      <c r="A1463">
        <v>9</v>
      </c>
      <c r="B1463" t="s">
        <v>48</v>
      </c>
      <c r="C1463">
        <v>9199427</v>
      </c>
      <c r="D1463" s="48">
        <v>43353</v>
      </c>
      <c r="E1463" s="48">
        <v>43350</v>
      </c>
      <c r="F1463" s="48">
        <v>43353</v>
      </c>
      <c r="G1463" t="s">
        <v>130</v>
      </c>
      <c r="H1463" t="s">
        <v>131</v>
      </c>
      <c r="I1463">
        <v>1</v>
      </c>
      <c r="J1463" t="s">
        <v>1695</v>
      </c>
      <c r="K1463">
        <v>1</v>
      </c>
      <c r="L1463">
        <v>1</v>
      </c>
      <c r="M1463" t="s">
        <v>427</v>
      </c>
      <c r="N1463">
        <v>0</v>
      </c>
      <c r="O1463" s="1">
        <f>+Tabla__192.168.1.8_POSEIDONSQL_APPFVT_01_tbl_detalle_fill_rate[[#This Row],[emb_cantidad]]-Tabla__192.168.1.8_POSEIDONSQL_APPFVT_01_tbl_detalle_fill_rate[[#This Row],[dev_cantidad]]</f>
        <v>1</v>
      </c>
      <c r="P14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3" s="1">
        <f>+Tabla__192.168.1.8_POSEIDONSQL_APPFVT_01_tbl_detalle_fill_rate[[#This Row],[Cumpl Real Unds]]-Tabla__192.168.1.8_POSEIDONSQL_APPFVT_01_tbl_detalle_fill_rate[[#This Row],[Cant Embarcada]]</f>
        <v>0</v>
      </c>
      <c r="S1463" s="1">
        <f>+IF(Tabla__192.168.1.8_POSEIDONSQL_APPFVT_01_tbl_detalle_fill_rate[[#This Row],[Pend Emb]]&gt;0,1,0)</f>
        <v>0</v>
      </c>
      <c r="T14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4" spans="1:20" x14ac:dyDescent="0.25">
      <c r="A1464">
        <v>9</v>
      </c>
      <c r="B1464" t="s">
        <v>48</v>
      </c>
      <c r="C1464">
        <v>9199497</v>
      </c>
      <c r="D1464" s="48">
        <v>43353</v>
      </c>
      <c r="E1464" s="48">
        <v>43350</v>
      </c>
      <c r="F1464" s="48">
        <v>43353</v>
      </c>
      <c r="G1464" t="s">
        <v>314</v>
      </c>
      <c r="H1464" t="s">
        <v>315</v>
      </c>
      <c r="I1464">
        <v>1</v>
      </c>
      <c r="J1464" t="s">
        <v>1696</v>
      </c>
      <c r="K1464">
        <v>1</v>
      </c>
      <c r="L1464">
        <v>1</v>
      </c>
      <c r="M1464" t="s">
        <v>427</v>
      </c>
      <c r="N1464">
        <v>0</v>
      </c>
      <c r="O1464" s="1">
        <f>+Tabla__192.168.1.8_POSEIDONSQL_APPFVT_01_tbl_detalle_fill_rate[[#This Row],[emb_cantidad]]-Tabla__192.168.1.8_POSEIDONSQL_APPFVT_01_tbl_detalle_fill_rate[[#This Row],[dev_cantidad]]</f>
        <v>1</v>
      </c>
      <c r="P14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4" s="1">
        <f>+Tabla__192.168.1.8_POSEIDONSQL_APPFVT_01_tbl_detalle_fill_rate[[#This Row],[Cumpl Real Unds]]-Tabla__192.168.1.8_POSEIDONSQL_APPFVT_01_tbl_detalle_fill_rate[[#This Row],[Cant Embarcada]]</f>
        <v>0</v>
      </c>
      <c r="S1464" s="1">
        <f>+IF(Tabla__192.168.1.8_POSEIDONSQL_APPFVT_01_tbl_detalle_fill_rate[[#This Row],[Pend Emb]]&gt;0,1,0)</f>
        <v>0</v>
      </c>
      <c r="T14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5" spans="1:20" x14ac:dyDescent="0.25">
      <c r="A1465">
        <v>9</v>
      </c>
      <c r="B1465" t="s">
        <v>48</v>
      </c>
      <c r="C1465">
        <v>9199539</v>
      </c>
      <c r="D1465" s="48">
        <v>43353</v>
      </c>
      <c r="E1465" s="48">
        <v>43351</v>
      </c>
      <c r="F1465" s="48">
        <v>43357</v>
      </c>
      <c r="G1465" t="s">
        <v>78</v>
      </c>
      <c r="H1465" t="s">
        <v>79</v>
      </c>
      <c r="I1465">
        <v>1</v>
      </c>
      <c r="J1465" t="s">
        <v>1312</v>
      </c>
      <c r="K1465">
        <v>1</v>
      </c>
      <c r="L1465">
        <v>1</v>
      </c>
      <c r="M1465" t="s">
        <v>426</v>
      </c>
      <c r="N1465">
        <v>0</v>
      </c>
      <c r="O1465" s="1">
        <f>+Tabla__192.168.1.8_POSEIDONSQL_APPFVT_01_tbl_detalle_fill_rate[[#This Row],[emb_cantidad]]-Tabla__192.168.1.8_POSEIDONSQL_APPFVT_01_tbl_detalle_fill_rate[[#This Row],[dev_cantidad]]</f>
        <v>1</v>
      </c>
      <c r="P14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5" s="1">
        <f>+Tabla__192.168.1.8_POSEIDONSQL_APPFVT_01_tbl_detalle_fill_rate[[#This Row],[Cumpl Real Unds]]-Tabla__192.168.1.8_POSEIDONSQL_APPFVT_01_tbl_detalle_fill_rate[[#This Row],[Cant Embarcada]]</f>
        <v>0</v>
      </c>
      <c r="S1465" s="1">
        <f>+IF(Tabla__192.168.1.8_POSEIDONSQL_APPFVT_01_tbl_detalle_fill_rate[[#This Row],[Pend Emb]]&gt;0,1,0)</f>
        <v>0</v>
      </c>
      <c r="T14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6" spans="1:20" x14ac:dyDescent="0.25">
      <c r="A1466">
        <v>9</v>
      </c>
      <c r="B1466" t="s">
        <v>48</v>
      </c>
      <c r="C1466">
        <v>9199539</v>
      </c>
      <c r="D1466" s="48">
        <v>43353</v>
      </c>
      <c r="E1466" s="48">
        <v>43350</v>
      </c>
      <c r="F1466" s="48">
        <v>43357</v>
      </c>
      <c r="G1466" t="s">
        <v>92</v>
      </c>
      <c r="H1466" t="s">
        <v>93</v>
      </c>
      <c r="I1466">
        <v>1</v>
      </c>
      <c r="J1466" t="s">
        <v>1311</v>
      </c>
      <c r="K1466">
        <v>1</v>
      </c>
      <c r="L1466">
        <v>1</v>
      </c>
      <c r="M1466" t="s">
        <v>426</v>
      </c>
      <c r="N1466">
        <v>0</v>
      </c>
      <c r="O1466" s="1">
        <f>+Tabla__192.168.1.8_POSEIDONSQL_APPFVT_01_tbl_detalle_fill_rate[[#This Row],[emb_cantidad]]-Tabla__192.168.1.8_POSEIDONSQL_APPFVT_01_tbl_detalle_fill_rate[[#This Row],[dev_cantidad]]</f>
        <v>1</v>
      </c>
      <c r="P14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6" s="1">
        <f>+Tabla__192.168.1.8_POSEIDONSQL_APPFVT_01_tbl_detalle_fill_rate[[#This Row],[Cumpl Real Unds]]-Tabla__192.168.1.8_POSEIDONSQL_APPFVT_01_tbl_detalle_fill_rate[[#This Row],[Cant Embarcada]]</f>
        <v>0</v>
      </c>
      <c r="S1466" s="1">
        <f>+IF(Tabla__192.168.1.8_POSEIDONSQL_APPFVT_01_tbl_detalle_fill_rate[[#This Row],[Pend Emb]]&gt;0,1,0)</f>
        <v>0</v>
      </c>
      <c r="T14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7" spans="1:20" x14ac:dyDescent="0.25">
      <c r="A1467">
        <v>9</v>
      </c>
      <c r="B1467" t="s">
        <v>48</v>
      </c>
      <c r="C1467">
        <v>9199539</v>
      </c>
      <c r="D1467" s="48">
        <v>43353</v>
      </c>
      <c r="E1467" s="48">
        <v>43351</v>
      </c>
      <c r="F1467" s="48">
        <v>43355</v>
      </c>
      <c r="G1467" t="s">
        <v>128</v>
      </c>
      <c r="H1467" t="s">
        <v>129</v>
      </c>
      <c r="I1467">
        <v>1</v>
      </c>
      <c r="J1467" t="s">
        <v>957</v>
      </c>
      <c r="K1467">
        <v>1</v>
      </c>
      <c r="L1467">
        <v>1</v>
      </c>
      <c r="M1467" t="s">
        <v>427</v>
      </c>
      <c r="N1467">
        <v>0</v>
      </c>
      <c r="O1467" s="1">
        <f>+Tabla__192.168.1.8_POSEIDONSQL_APPFVT_01_tbl_detalle_fill_rate[[#This Row],[emb_cantidad]]-Tabla__192.168.1.8_POSEIDONSQL_APPFVT_01_tbl_detalle_fill_rate[[#This Row],[dev_cantidad]]</f>
        <v>1</v>
      </c>
      <c r="P14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7" s="1">
        <f>+Tabla__192.168.1.8_POSEIDONSQL_APPFVT_01_tbl_detalle_fill_rate[[#This Row],[Cumpl Real Unds]]-Tabla__192.168.1.8_POSEIDONSQL_APPFVT_01_tbl_detalle_fill_rate[[#This Row],[Cant Embarcada]]</f>
        <v>0</v>
      </c>
      <c r="S1467" s="1">
        <f>+IF(Tabla__192.168.1.8_POSEIDONSQL_APPFVT_01_tbl_detalle_fill_rate[[#This Row],[Pend Emb]]&gt;0,1,0)</f>
        <v>0</v>
      </c>
      <c r="T14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8" spans="1:20" x14ac:dyDescent="0.25">
      <c r="A1468">
        <v>9</v>
      </c>
      <c r="B1468" t="s">
        <v>48</v>
      </c>
      <c r="C1468">
        <v>9199539</v>
      </c>
      <c r="D1468" s="48">
        <v>43353</v>
      </c>
      <c r="E1468" s="48">
        <v>43351</v>
      </c>
      <c r="F1468" s="48">
        <v>43355</v>
      </c>
      <c r="G1468" t="s">
        <v>138</v>
      </c>
      <c r="H1468" t="s">
        <v>139</v>
      </c>
      <c r="I1468">
        <v>1</v>
      </c>
      <c r="J1468" t="s">
        <v>956</v>
      </c>
      <c r="K1468">
        <v>1</v>
      </c>
      <c r="L1468">
        <v>1</v>
      </c>
      <c r="M1468" t="s">
        <v>427</v>
      </c>
      <c r="N1468">
        <v>0</v>
      </c>
      <c r="O1468" s="1">
        <f>+Tabla__192.168.1.8_POSEIDONSQL_APPFVT_01_tbl_detalle_fill_rate[[#This Row],[emb_cantidad]]-Tabla__192.168.1.8_POSEIDONSQL_APPFVT_01_tbl_detalle_fill_rate[[#This Row],[dev_cantidad]]</f>
        <v>1</v>
      </c>
      <c r="P14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8" s="1">
        <f>+Tabla__192.168.1.8_POSEIDONSQL_APPFVT_01_tbl_detalle_fill_rate[[#This Row],[Cumpl Real Unds]]-Tabla__192.168.1.8_POSEIDONSQL_APPFVT_01_tbl_detalle_fill_rate[[#This Row],[Cant Embarcada]]</f>
        <v>0</v>
      </c>
      <c r="S1468" s="1">
        <f>+IF(Tabla__192.168.1.8_POSEIDONSQL_APPFVT_01_tbl_detalle_fill_rate[[#This Row],[Pend Emb]]&gt;0,1,0)</f>
        <v>0</v>
      </c>
      <c r="T14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69" spans="1:20" x14ac:dyDescent="0.25">
      <c r="A1469">
        <v>9</v>
      </c>
      <c r="B1469" t="s">
        <v>48</v>
      </c>
      <c r="C1469">
        <v>9199539</v>
      </c>
      <c r="D1469" s="48">
        <v>43353</v>
      </c>
      <c r="E1469" s="48">
        <v>43351</v>
      </c>
      <c r="F1469" s="48">
        <v>43364</v>
      </c>
      <c r="G1469" t="s">
        <v>355</v>
      </c>
      <c r="H1469" t="s">
        <v>356</v>
      </c>
      <c r="I1469">
        <v>1</v>
      </c>
      <c r="J1469" t="s">
        <v>1313</v>
      </c>
      <c r="K1469">
        <v>1</v>
      </c>
      <c r="L1469">
        <v>1</v>
      </c>
      <c r="M1469" t="s">
        <v>426</v>
      </c>
      <c r="N1469">
        <v>0</v>
      </c>
      <c r="O1469" s="1">
        <f>+Tabla__192.168.1.8_POSEIDONSQL_APPFVT_01_tbl_detalle_fill_rate[[#This Row],[emb_cantidad]]-Tabla__192.168.1.8_POSEIDONSQL_APPFVT_01_tbl_detalle_fill_rate[[#This Row],[dev_cantidad]]</f>
        <v>1</v>
      </c>
      <c r="P14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69" s="1">
        <f>+Tabla__192.168.1.8_POSEIDONSQL_APPFVT_01_tbl_detalle_fill_rate[[#This Row],[Cumpl Real Unds]]-Tabla__192.168.1.8_POSEIDONSQL_APPFVT_01_tbl_detalle_fill_rate[[#This Row],[Cant Embarcada]]</f>
        <v>0</v>
      </c>
      <c r="S1469" s="1">
        <f>+IF(Tabla__192.168.1.8_POSEIDONSQL_APPFVT_01_tbl_detalle_fill_rate[[#This Row],[Pend Emb]]&gt;0,1,0)</f>
        <v>0</v>
      </c>
      <c r="T14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0" spans="1:20" x14ac:dyDescent="0.25">
      <c r="A1470">
        <v>9</v>
      </c>
      <c r="B1470" t="s">
        <v>48</v>
      </c>
      <c r="C1470">
        <v>9199640</v>
      </c>
      <c r="D1470" s="48">
        <v>43353</v>
      </c>
      <c r="E1470" s="48">
        <v>43351</v>
      </c>
      <c r="F1470" s="48">
        <v>43355</v>
      </c>
      <c r="G1470" t="s">
        <v>118</v>
      </c>
      <c r="H1470" t="s">
        <v>119</v>
      </c>
      <c r="I1470">
        <v>1</v>
      </c>
      <c r="J1470" t="s">
        <v>958</v>
      </c>
      <c r="K1470">
        <v>1</v>
      </c>
      <c r="L1470">
        <v>1</v>
      </c>
      <c r="M1470" t="s">
        <v>427</v>
      </c>
      <c r="N1470">
        <v>0</v>
      </c>
      <c r="O1470" s="1">
        <f>+Tabla__192.168.1.8_POSEIDONSQL_APPFVT_01_tbl_detalle_fill_rate[[#This Row],[emb_cantidad]]-Tabla__192.168.1.8_POSEIDONSQL_APPFVT_01_tbl_detalle_fill_rate[[#This Row],[dev_cantidad]]</f>
        <v>1</v>
      </c>
      <c r="P14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0" s="1">
        <f>+Tabla__192.168.1.8_POSEIDONSQL_APPFVT_01_tbl_detalle_fill_rate[[#This Row],[Cumpl Real Unds]]-Tabla__192.168.1.8_POSEIDONSQL_APPFVT_01_tbl_detalle_fill_rate[[#This Row],[Cant Embarcada]]</f>
        <v>0</v>
      </c>
      <c r="S1470" s="1">
        <f>+IF(Tabla__192.168.1.8_POSEIDONSQL_APPFVT_01_tbl_detalle_fill_rate[[#This Row],[Pend Emb]]&gt;0,1,0)</f>
        <v>0</v>
      </c>
      <c r="T14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1" spans="1:20" x14ac:dyDescent="0.25">
      <c r="A1471">
        <v>9</v>
      </c>
      <c r="B1471" t="s">
        <v>48</v>
      </c>
      <c r="C1471">
        <v>9199724</v>
      </c>
      <c r="D1471" s="48">
        <v>43353</v>
      </c>
      <c r="E1471" s="48">
        <v>43351</v>
      </c>
      <c r="F1471" s="48">
        <v>43357</v>
      </c>
      <c r="G1471" t="s">
        <v>92</v>
      </c>
      <c r="H1471" t="s">
        <v>93</v>
      </c>
      <c r="I1471">
        <v>1</v>
      </c>
      <c r="J1471" t="s">
        <v>967</v>
      </c>
      <c r="K1471">
        <v>1</v>
      </c>
      <c r="L1471">
        <v>1</v>
      </c>
      <c r="M1471" t="s">
        <v>426</v>
      </c>
      <c r="N1471">
        <v>0</v>
      </c>
      <c r="O1471" s="1">
        <f>+Tabla__192.168.1.8_POSEIDONSQL_APPFVT_01_tbl_detalle_fill_rate[[#This Row],[emb_cantidad]]-Tabla__192.168.1.8_POSEIDONSQL_APPFVT_01_tbl_detalle_fill_rate[[#This Row],[dev_cantidad]]</f>
        <v>1</v>
      </c>
      <c r="P14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1" s="1">
        <f>+Tabla__192.168.1.8_POSEIDONSQL_APPFVT_01_tbl_detalle_fill_rate[[#This Row],[Cumpl Real Unds]]-Tabla__192.168.1.8_POSEIDONSQL_APPFVT_01_tbl_detalle_fill_rate[[#This Row],[Cant Embarcada]]</f>
        <v>0</v>
      </c>
      <c r="S1471" s="1">
        <f>+IF(Tabla__192.168.1.8_POSEIDONSQL_APPFVT_01_tbl_detalle_fill_rate[[#This Row],[Pend Emb]]&gt;0,1,0)</f>
        <v>0</v>
      </c>
      <c r="T14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2" spans="1:20" x14ac:dyDescent="0.25">
      <c r="A1472">
        <v>9</v>
      </c>
      <c r="B1472" t="s">
        <v>48</v>
      </c>
      <c r="C1472">
        <v>9199724</v>
      </c>
      <c r="D1472" s="48">
        <v>43353</v>
      </c>
      <c r="E1472" s="48">
        <v>43351</v>
      </c>
      <c r="F1472" s="48">
        <v>43357</v>
      </c>
      <c r="G1472" t="s">
        <v>92</v>
      </c>
      <c r="H1472" t="s">
        <v>93</v>
      </c>
      <c r="I1472">
        <v>1</v>
      </c>
      <c r="J1472" t="s">
        <v>968</v>
      </c>
      <c r="K1472">
        <v>1</v>
      </c>
      <c r="L1472">
        <v>1</v>
      </c>
      <c r="M1472" t="s">
        <v>426</v>
      </c>
      <c r="N1472">
        <v>0</v>
      </c>
      <c r="O1472" s="1">
        <f>+Tabla__192.168.1.8_POSEIDONSQL_APPFVT_01_tbl_detalle_fill_rate[[#This Row],[emb_cantidad]]-Tabla__192.168.1.8_POSEIDONSQL_APPFVT_01_tbl_detalle_fill_rate[[#This Row],[dev_cantidad]]</f>
        <v>1</v>
      </c>
      <c r="P14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2" s="1">
        <f>+Tabla__192.168.1.8_POSEIDONSQL_APPFVT_01_tbl_detalle_fill_rate[[#This Row],[Cumpl Real Unds]]-Tabla__192.168.1.8_POSEIDONSQL_APPFVT_01_tbl_detalle_fill_rate[[#This Row],[Cant Embarcada]]</f>
        <v>0</v>
      </c>
      <c r="S1472" s="1">
        <f>+IF(Tabla__192.168.1.8_POSEIDONSQL_APPFVT_01_tbl_detalle_fill_rate[[#This Row],[Pend Emb]]&gt;0,1,0)</f>
        <v>0</v>
      </c>
      <c r="T14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3" spans="1:20" x14ac:dyDescent="0.25">
      <c r="A1473">
        <v>9</v>
      </c>
      <c r="B1473" t="s">
        <v>48</v>
      </c>
      <c r="C1473">
        <v>9199724</v>
      </c>
      <c r="D1473" s="48">
        <v>43353</v>
      </c>
      <c r="E1473" s="48">
        <v>43351</v>
      </c>
      <c r="F1473" s="48">
        <v>43357</v>
      </c>
      <c r="G1473" t="s">
        <v>112</v>
      </c>
      <c r="H1473" t="s">
        <v>113</v>
      </c>
      <c r="I1473">
        <v>1</v>
      </c>
      <c r="J1473" t="s">
        <v>969</v>
      </c>
      <c r="K1473">
        <v>1</v>
      </c>
      <c r="L1473">
        <v>1</v>
      </c>
      <c r="M1473" t="s">
        <v>426</v>
      </c>
      <c r="N1473">
        <v>0</v>
      </c>
      <c r="O1473" s="1">
        <f>+Tabla__192.168.1.8_POSEIDONSQL_APPFVT_01_tbl_detalle_fill_rate[[#This Row],[emb_cantidad]]-Tabla__192.168.1.8_POSEIDONSQL_APPFVT_01_tbl_detalle_fill_rate[[#This Row],[dev_cantidad]]</f>
        <v>1</v>
      </c>
      <c r="P14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3" s="1">
        <f>+Tabla__192.168.1.8_POSEIDONSQL_APPFVT_01_tbl_detalle_fill_rate[[#This Row],[Cumpl Real Unds]]-Tabla__192.168.1.8_POSEIDONSQL_APPFVT_01_tbl_detalle_fill_rate[[#This Row],[Cant Embarcada]]</f>
        <v>0</v>
      </c>
      <c r="S1473" s="1">
        <f>+IF(Tabla__192.168.1.8_POSEIDONSQL_APPFVT_01_tbl_detalle_fill_rate[[#This Row],[Pend Emb]]&gt;0,1,0)</f>
        <v>0</v>
      </c>
      <c r="T14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4" spans="1:20" x14ac:dyDescent="0.25">
      <c r="A1474">
        <v>9</v>
      </c>
      <c r="B1474" t="s">
        <v>48</v>
      </c>
      <c r="C1474">
        <v>9199767</v>
      </c>
      <c r="D1474" s="48">
        <v>43353</v>
      </c>
      <c r="E1474" s="48">
        <v>43351</v>
      </c>
      <c r="F1474" s="48">
        <v>43357</v>
      </c>
      <c r="G1474" t="s">
        <v>164</v>
      </c>
      <c r="H1474" t="s">
        <v>165</v>
      </c>
      <c r="I1474">
        <v>1</v>
      </c>
      <c r="J1474" t="s">
        <v>971</v>
      </c>
      <c r="K1474">
        <v>1</v>
      </c>
      <c r="L1474">
        <v>1</v>
      </c>
      <c r="M1474" t="s">
        <v>426</v>
      </c>
      <c r="N1474">
        <v>0</v>
      </c>
      <c r="O1474" s="1">
        <f>+Tabla__192.168.1.8_POSEIDONSQL_APPFVT_01_tbl_detalle_fill_rate[[#This Row],[emb_cantidad]]-Tabla__192.168.1.8_POSEIDONSQL_APPFVT_01_tbl_detalle_fill_rate[[#This Row],[dev_cantidad]]</f>
        <v>1</v>
      </c>
      <c r="P14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4" s="1">
        <f>+Tabla__192.168.1.8_POSEIDONSQL_APPFVT_01_tbl_detalle_fill_rate[[#This Row],[Cumpl Real Unds]]-Tabla__192.168.1.8_POSEIDONSQL_APPFVT_01_tbl_detalle_fill_rate[[#This Row],[Cant Embarcada]]</f>
        <v>0</v>
      </c>
      <c r="S1474" s="1">
        <f>+IF(Tabla__192.168.1.8_POSEIDONSQL_APPFVT_01_tbl_detalle_fill_rate[[#This Row],[Pend Emb]]&gt;0,1,0)</f>
        <v>0</v>
      </c>
      <c r="T14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5" spans="1:20" x14ac:dyDescent="0.25">
      <c r="A1475">
        <v>9</v>
      </c>
      <c r="B1475" t="s">
        <v>48</v>
      </c>
      <c r="C1475">
        <v>9199767</v>
      </c>
      <c r="D1475" s="48">
        <v>43353</v>
      </c>
      <c r="E1475" s="48">
        <v>43351</v>
      </c>
      <c r="F1475" s="48">
        <v>43357</v>
      </c>
      <c r="G1475" t="s">
        <v>92</v>
      </c>
      <c r="H1475" t="s">
        <v>93</v>
      </c>
      <c r="I1475">
        <v>1</v>
      </c>
      <c r="J1475" t="s">
        <v>970</v>
      </c>
      <c r="K1475">
        <v>1</v>
      </c>
      <c r="L1475">
        <v>1</v>
      </c>
      <c r="M1475" t="s">
        <v>426</v>
      </c>
      <c r="N1475">
        <v>0</v>
      </c>
      <c r="O1475" s="1">
        <f>+Tabla__192.168.1.8_POSEIDONSQL_APPFVT_01_tbl_detalle_fill_rate[[#This Row],[emb_cantidad]]-Tabla__192.168.1.8_POSEIDONSQL_APPFVT_01_tbl_detalle_fill_rate[[#This Row],[dev_cantidad]]</f>
        <v>1</v>
      </c>
      <c r="P14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5" s="1">
        <f>+Tabla__192.168.1.8_POSEIDONSQL_APPFVT_01_tbl_detalle_fill_rate[[#This Row],[Cumpl Real Unds]]-Tabla__192.168.1.8_POSEIDONSQL_APPFVT_01_tbl_detalle_fill_rate[[#This Row],[Cant Embarcada]]</f>
        <v>0</v>
      </c>
      <c r="S1475" s="1">
        <f>+IF(Tabla__192.168.1.8_POSEIDONSQL_APPFVT_01_tbl_detalle_fill_rate[[#This Row],[Pend Emb]]&gt;0,1,0)</f>
        <v>0</v>
      </c>
      <c r="T14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6" spans="1:20" x14ac:dyDescent="0.25">
      <c r="A1476">
        <v>9</v>
      </c>
      <c r="B1476" t="s">
        <v>48</v>
      </c>
      <c r="C1476">
        <v>9199849</v>
      </c>
      <c r="D1476" s="48">
        <v>43353</v>
      </c>
      <c r="E1476" s="48">
        <v>43351</v>
      </c>
      <c r="F1476" s="48">
        <v>43357</v>
      </c>
      <c r="G1476" t="s">
        <v>86</v>
      </c>
      <c r="H1476" t="s">
        <v>87</v>
      </c>
      <c r="I1476">
        <v>1</v>
      </c>
      <c r="J1476" t="s">
        <v>972</v>
      </c>
      <c r="K1476">
        <v>1</v>
      </c>
      <c r="L1476">
        <v>1</v>
      </c>
      <c r="M1476" t="s">
        <v>426</v>
      </c>
      <c r="N1476">
        <v>0</v>
      </c>
      <c r="O1476" s="1">
        <f>+Tabla__192.168.1.8_POSEIDONSQL_APPFVT_01_tbl_detalle_fill_rate[[#This Row],[emb_cantidad]]-Tabla__192.168.1.8_POSEIDONSQL_APPFVT_01_tbl_detalle_fill_rate[[#This Row],[dev_cantidad]]</f>
        <v>1</v>
      </c>
      <c r="P14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6" s="1">
        <f>+Tabla__192.168.1.8_POSEIDONSQL_APPFVT_01_tbl_detalle_fill_rate[[#This Row],[Cumpl Real Unds]]-Tabla__192.168.1.8_POSEIDONSQL_APPFVT_01_tbl_detalle_fill_rate[[#This Row],[Cant Embarcada]]</f>
        <v>0</v>
      </c>
      <c r="S1476" s="1">
        <f>+IF(Tabla__192.168.1.8_POSEIDONSQL_APPFVT_01_tbl_detalle_fill_rate[[#This Row],[Pend Emb]]&gt;0,1,0)</f>
        <v>0</v>
      </c>
      <c r="T14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7" spans="1:20" x14ac:dyDescent="0.25">
      <c r="A1477">
        <v>9</v>
      </c>
      <c r="B1477" t="s">
        <v>48</v>
      </c>
      <c r="C1477">
        <v>9199899</v>
      </c>
      <c r="D1477" s="48">
        <v>43353</v>
      </c>
      <c r="E1477" s="48">
        <v>43351</v>
      </c>
      <c r="F1477" s="48">
        <v>43357</v>
      </c>
      <c r="G1477" t="s">
        <v>66</v>
      </c>
      <c r="H1477" t="s">
        <v>67</v>
      </c>
      <c r="I1477">
        <v>1</v>
      </c>
      <c r="J1477" t="s">
        <v>973</v>
      </c>
      <c r="K1477">
        <v>1</v>
      </c>
      <c r="L1477">
        <v>1</v>
      </c>
      <c r="M1477" t="s">
        <v>426</v>
      </c>
      <c r="N1477">
        <v>0</v>
      </c>
      <c r="O1477" s="1">
        <f>+Tabla__192.168.1.8_POSEIDONSQL_APPFVT_01_tbl_detalle_fill_rate[[#This Row],[emb_cantidad]]-Tabla__192.168.1.8_POSEIDONSQL_APPFVT_01_tbl_detalle_fill_rate[[#This Row],[dev_cantidad]]</f>
        <v>1</v>
      </c>
      <c r="P14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7" s="1">
        <f>+Tabla__192.168.1.8_POSEIDONSQL_APPFVT_01_tbl_detalle_fill_rate[[#This Row],[Cumpl Real Unds]]-Tabla__192.168.1.8_POSEIDONSQL_APPFVT_01_tbl_detalle_fill_rate[[#This Row],[Cant Embarcada]]</f>
        <v>0</v>
      </c>
      <c r="S1477" s="1">
        <f>+IF(Tabla__192.168.1.8_POSEIDONSQL_APPFVT_01_tbl_detalle_fill_rate[[#This Row],[Pend Emb]]&gt;0,1,0)</f>
        <v>0</v>
      </c>
      <c r="T14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8" spans="1:20" x14ac:dyDescent="0.25">
      <c r="A1478">
        <v>9</v>
      </c>
      <c r="B1478" t="s">
        <v>48</v>
      </c>
      <c r="C1478">
        <v>9199936</v>
      </c>
      <c r="D1478" s="48">
        <v>43353</v>
      </c>
      <c r="E1478" s="48">
        <v>43351</v>
      </c>
      <c r="F1478" s="48">
        <v>43357</v>
      </c>
      <c r="G1478" t="s">
        <v>86</v>
      </c>
      <c r="H1478" t="s">
        <v>87</v>
      </c>
      <c r="I1478">
        <v>1</v>
      </c>
      <c r="J1478" t="s">
        <v>1305</v>
      </c>
      <c r="K1478">
        <v>1</v>
      </c>
      <c r="L1478">
        <v>1</v>
      </c>
      <c r="M1478" t="s">
        <v>426</v>
      </c>
      <c r="N1478">
        <v>0</v>
      </c>
      <c r="O1478" s="1">
        <f>+Tabla__192.168.1.8_POSEIDONSQL_APPFVT_01_tbl_detalle_fill_rate[[#This Row],[emb_cantidad]]-Tabla__192.168.1.8_POSEIDONSQL_APPFVT_01_tbl_detalle_fill_rate[[#This Row],[dev_cantidad]]</f>
        <v>1</v>
      </c>
      <c r="P14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8" s="1">
        <f>+Tabla__192.168.1.8_POSEIDONSQL_APPFVT_01_tbl_detalle_fill_rate[[#This Row],[Cumpl Real Unds]]-Tabla__192.168.1.8_POSEIDONSQL_APPFVT_01_tbl_detalle_fill_rate[[#This Row],[Cant Embarcada]]</f>
        <v>0</v>
      </c>
      <c r="S1478" s="1">
        <f>+IF(Tabla__192.168.1.8_POSEIDONSQL_APPFVT_01_tbl_detalle_fill_rate[[#This Row],[Pend Emb]]&gt;0,1,0)</f>
        <v>0</v>
      </c>
      <c r="T14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79" spans="1:20" x14ac:dyDescent="0.25">
      <c r="A1479">
        <v>9</v>
      </c>
      <c r="B1479" t="s">
        <v>48</v>
      </c>
      <c r="C1479">
        <v>9200007</v>
      </c>
      <c r="D1479" s="48">
        <v>43353</v>
      </c>
      <c r="E1479" s="48">
        <v>43351</v>
      </c>
      <c r="F1479" s="48">
        <v>43357</v>
      </c>
      <c r="G1479" t="s">
        <v>795</v>
      </c>
      <c r="H1479" t="s">
        <v>796</v>
      </c>
      <c r="I1479">
        <v>1</v>
      </c>
      <c r="J1479" t="s">
        <v>1306</v>
      </c>
      <c r="K1479">
        <v>1</v>
      </c>
      <c r="L1479">
        <v>1</v>
      </c>
      <c r="M1479" t="s">
        <v>426</v>
      </c>
      <c r="N1479">
        <v>0</v>
      </c>
      <c r="O1479" s="1">
        <f>+Tabla__192.168.1.8_POSEIDONSQL_APPFVT_01_tbl_detalle_fill_rate[[#This Row],[emb_cantidad]]-Tabla__192.168.1.8_POSEIDONSQL_APPFVT_01_tbl_detalle_fill_rate[[#This Row],[dev_cantidad]]</f>
        <v>1</v>
      </c>
      <c r="P14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79" s="1">
        <f>+Tabla__192.168.1.8_POSEIDONSQL_APPFVT_01_tbl_detalle_fill_rate[[#This Row],[Cumpl Real Unds]]-Tabla__192.168.1.8_POSEIDONSQL_APPFVT_01_tbl_detalle_fill_rate[[#This Row],[Cant Embarcada]]</f>
        <v>0</v>
      </c>
      <c r="S1479" s="1">
        <f>+IF(Tabla__192.168.1.8_POSEIDONSQL_APPFVT_01_tbl_detalle_fill_rate[[#This Row],[Pend Emb]]&gt;0,1,0)</f>
        <v>0</v>
      </c>
      <c r="T14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0" spans="1:20" x14ac:dyDescent="0.25">
      <c r="A1480">
        <v>9</v>
      </c>
      <c r="B1480" t="s">
        <v>48</v>
      </c>
      <c r="C1480">
        <v>9200076</v>
      </c>
      <c r="D1480" s="48">
        <v>43353</v>
      </c>
      <c r="E1480" s="48">
        <v>43352</v>
      </c>
      <c r="F1480" s="48">
        <v>43367</v>
      </c>
      <c r="G1480" t="s">
        <v>62</v>
      </c>
      <c r="H1480" t="s">
        <v>63</v>
      </c>
      <c r="I1480">
        <v>1</v>
      </c>
      <c r="J1480" t="s">
        <v>994</v>
      </c>
      <c r="K1480">
        <v>1</v>
      </c>
      <c r="L1480">
        <v>1</v>
      </c>
      <c r="M1480" t="s">
        <v>416</v>
      </c>
      <c r="N1480">
        <v>0</v>
      </c>
      <c r="O1480" s="1">
        <f>+Tabla__192.168.1.8_POSEIDONSQL_APPFVT_01_tbl_detalle_fill_rate[[#This Row],[emb_cantidad]]-Tabla__192.168.1.8_POSEIDONSQL_APPFVT_01_tbl_detalle_fill_rate[[#This Row],[dev_cantidad]]</f>
        <v>1</v>
      </c>
      <c r="P14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0" s="1">
        <f>+Tabla__192.168.1.8_POSEIDONSQL_APPFVT_01_tbl_detalle_fill_rate[[#This Row],[Cumpl Real Unds]]-Tabla__192.168.1.8_POSEIDONSQL_APPFVT_01_tbl_detalle_fill_rate[[#This Row],[Cant Embarcada]]</f>
        <v>0</v>
      </c>
      <c r="S1480" s="1">
        <f>+IF(Tabla__192.168.1.8_POSEIDONSQL_APPFVT_01_tbl_detalle_fill_rate[[#This Row],[Pend Emb]]&gt;0,1,0)</f>
        <v>0</v>
      </c>
      <c r="T14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1" spans="1:20" x14ac:dyDescent="0.25">
      <c r="A1481">
        <v>9</v>
      </c>
      <c r="B1481" t="s">
        <v>48</v>
      </c>
      <c r="C1481">
        <v>9200116</v>
      </c>
      <c r="D1481" s="48">
        <v>43353</v>
      </c>
      <c r="E1481" s="48">
        <v>43352</v>
      </c>
      <c r="F1481" s="48">
        <v>43364</v>
      </c>
      <c r="G1481" t="s">
        <v>102</v>
      </c>
      <c r="H1481" t="s">
        <v>103</v>
      </c>
      <c r="I1481">
        <v>1</v>
      </c>
      <c r="J1481" t="s">
        <v>965</v>
      </c>
      <c r="K1481">
        <v>1</v>
      </c>
      <c r="L1481">
        <v>1</v>
      </c>
      <c r="M1481" t="s">
        <v>426</v>
      </c>
      <c r="N1481">
        <v>0</v>
      </c>
      <c r="O1481" s="1">
        <f>+Tabla__192.168.1.8_POSEIDONSQL_APPFVT_01_tbl_detalle_fill_rate[[#This Row],[emb_cantidad]]-Tabla__192.168.1.8_POSEIDONSQL_APPFVT_01_tbl_detalle_fill_rate[[#This Row],[dev_cantidad]]</f>
        <v>1</v>
      </c>
      <c r="P14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1" s="1">
        <f>+Tabla__192.168.1.8_POSEIDONSQL_APPFVT_01_tbl_detalle_fill_rate[[#This Row],[Cumpl Real Unds]]-Tabla__192.168.1.8_POSEIDONSQL_APPFVT_01_tbl_detalle_fill_rate[[#This Row],[Cant Embarcada]]</f>
        <v>0</v>
      </c>
      <c r="S1481" s="1">
        <f>+IF(Tabla__192.168.1.8_POSEIDONSQL_APPFVT_01_tbl_detalle_fill_rate[[#This Row],[Pend Emb]]&gt;0,1,0)</f>
        <v>0</v>
      </c>
      <c r="T14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2" spans="1:20" x14ac:dyDescent="0.25">
      <c r="A1482">
        <v>9</v>
      </c>
      <c r="B1482" t="s">
        <v>48</v>
      </c>
      <c r="C1482">
        <v>9200176</v>
      </c>
      <c r="D1482" s="48">
        <v>43353</v>
      </c>
      <c r="E1482" s="48">
        <v>43352</v>
      </c>
      <c r="F1482" s="48">
        <v>43367</v>
      </c>
      <c r="G1482" t="s">
        <v>86</v>
      </c>
      <c r="H1482" t="s">
        <v>87</v>
      </c>
      <c r="I1482">
        <v>1</v>
      </c>
      <c r="J1482" t="s">
        <v>995</v>
      </c>
      <c r="K1482">
        <v>1</v>
      </c>
      <c r="L1482">
        <v>1</v>
      </c>
      <c r="M1482" t="s">
        <v>416</v>
      </c>
      <c r="N1482">
        <v>0</v>
      </c>
      <c r="O1482" s="1">
        <f>+Tabla__192.168.1.8_POSEIDONSQL_APPFVT_01_tbl_detalle_fill_rate[[#This Row],[emb_cantidad]]-Tabla__192.168.1.8_POSEIDONSQL_APPFVT_01_tbl_detalle_fill_rate[[#This Row],[dev_cantidad]]</f>
        <v>1</v>
      </c>
      <c r="P14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2" s="1">
        <f>+Tabla__192.168.1.8_POSEIDONSQL_APPFVT_01_tbl_detalle_fill_rate[[#This Row],[Cumpl Real Unds]]-Tabla__192.168.1.8_POSEIDONSQL_APPFVT_01_tbl_detalle_fill_rate[[#This Row],[Cant Embarcada]]</f>
        <v>0</v>
      </c>
      <c r="S1482" s="1">
        <f>+IF(Tabla__192.168.1.8_POSEIDONSQL_APPFVT_01_tbl_detalle_fill_rate[[#This Row],[Pend Emb]]&gt;0,1,0)</f>
        <v>0</v>
      </c>
      <c r="T14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3" spans="1:20" x14ac:dyDescent="0.25">
      <c r="A1483">
        <v>9</v>
      </c>
      <c r="B1483" t="s">
        <v>48</v>
      </c>
      <c r="C1483">
        <v>9200176</v>
      </c>
      <c r="D1483" s="48">
        <v>43353</v>
      </c>
      <c r="E1483" s="48">
        <v>43352</v>
      </c>
      <c r="F1483" s="48">
        <v>43355</v>
      </c>
      <c r="G1483" t="s">
        <v>316</v>
      </c>
      <c r="H1483" t="s">
        <v>317</v>
      </c>
      <c r="I1483">
        <v>1</v>
      </c>
      <c r="J1483" t="s">
        <v>954</v>
      </c>
      <c r="K1483">
        <v>1</v>
      </c>
      <c r="L1483">
        <v>1</v>
      </c>
      <c r="M1483" t="s">
        <v>427</v>
      </c>
      <c r="N1483">
        <v>0</v>
      </c>
      <c r="O1483" s="1">
        <f>+Tabla__192.168.1.8_POSEIDONSQL_APPFVT_01_tbl_detalle_fill_rate[[#This Row],[emb_cantidad]]-Tabla__192.168.1.8_POSEIDONSQL_APPFVT_01_tbl_detalle_fill_rate[[#This Row],[dev_cantidad]]</f>
        <v>1</v>
      </c>
      <c r="P14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3" s="1">
        <f>+Tabla__192.168.1.8_POSEIDONSQL_APPFVT_01_tbl_detalle_fill_rate[[#This Row],[Cumpl Real Unds]]-Tabla__192.168.1.8_POSEIDONSQL_APPFVT_01_tbl_detalle_fill_rate[[#This Row],[Cant Embarcada]]</f>
        <v>0</v>
      </c>
      <c r="S1483" s="1">
        <f>+IF(Tabla__192.168.1.8_POSEIDONSQL_APPFVT_01_tbl_detalle_fill_rate[[#This Row],[Pend Emb]]&gt;0,1,0)</f>
        <v>0</v>
      </c>
      <c r="T14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4" spans="1:20" x14ac:dyDescent="0.25">
      <c r="A1484">
        <v>9</v>
      </c>
      <c r="B1484" t="s">
        <v>48</v>
      </c>
      <c r="C1484">
        <v>9200231</v>
      </c>
      <c r="D1484" s="48">
        <v>43353</v>
      </c>
      <c r="E1484" s="48">
        <v>43352</v>
      </c>
      <c r="F1484" s="48">
        <v>43367</v>
      </c>
      <c r="G1484" t="s">
        <v>62</v>
      </c>
      <c r="H1484" t="s">
        <v>63</v>
      </c>
      <c r="I1484">
        <v>1</v>
      </c>
      <c r="J1484" t="s">
        <v>996</v>
      </c>
      <c r="K1484">
        <v>1</v>
      </c>
      <c r="L1484">
        <v>1</v>
      </c>
      <c r="M1484" t="s">
        <v>416</v>
      </c>
      <c r="N1484">
        <v>0</v>
      </c>
      <c r="O1484" s="1">
        <f>+Tabla__192.168.1.8_POSEIDONSQL_APPFVT_01_tbl_detalle_fill_rate[[#This Row],[emb_cantidad]]-Tabla__192.168.1.8_POSEIDONSQL_APPFVT_01_tbl_detalle_fill_rate[[#This Row],[dev_cantidad]]</f>
        <v>1</v>
      </c>
      <c r="P14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4" s="1">
        <f>+Tabla__192.168.1.8_POSEIDONSQL_APPFVT_01_tbl_detalle_fill_rate[[#This Row],[Cumpl Real Unds]]-Tabla__192.168.1.8_POSEIDONSQL_APPFVT_01_tbl_detalle_fill_rate[[#This Row],[Cant Embarcada]]</f>
        <v>0</v>
      </c>
      <c r="S1484" s="1">
        <f>+IF(Tabla__192.168.1.8_POSEIDONSQL_APPFVT_01_tbl_detalle_fill_rate[[#This Row],[Pend Emb]]&gt;0,1,0)</f>
        <v>0</v>
      </c>
      <c r="T14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5" spans="1:20" x14ac:dyDescent="0.25">
      <c r="A1485">
        <v>9</v>
      </c>
      <c r="B1485" t="s">
        <v>48</v>
      </c>
      <c r="C1485">
        <v>9200280</v>
      </c>
      <c r="D1485" s="48">
        <v>43353</v>
      </c>
      <c r="E1485" s="48">
        <v>43352</v>
      </c>
      <c r="F1485" s="48">
        <v>43369</v>
      </c>
      <c r="G1485" t="s">
        <v>104</v>
      </c>
      <c r="H1485" t="s">
        <v>105</v>
      </c>
      <c r="I1485">
        <v>1</v>
      </c>
      <c r="J1485" t="s">
        <v>1002</v>
      </c>
      <c r="K1485">
        <v>1</v>
      </c>
      <c r="L1485">
        <v>1</v>
      </c>
      <c r="M1485" t="s">
        <v>420</v>
      </c>
      <c r="N1485">
        <v>0</v>
      </c>
      <c r="O1485" s="1">
        <f>+Tabla__192.168.1.8_POSEIDONSQL_APPFVT_01_tbl_detalle_fill_rate[[#This Row],[emb_cantidad]]-Tabla__192.168.1.8_POSEIDONSQL_APPFVT_01_tbl_detalle_fill_rate[[#This Row],[dev_cantidad]]</f>
        <v>1</v>
      </c>
      <c r="P14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5" s="1">
        <f>+Tabla__192.168.1.8_POSEIDONSQL_APPFVT_01_tbl_detalle_fill_rate[[#This Row],[Cumpl Real Unds]]-Tabla__192.168.1.8_POSEIDONSQL_APPFVT_01_tbl_detalle_fill_rate[[#This Row],[Cant Embarcada]]</f>
        <v>0</v>
      </c>
      <c r="S1485" s="1">
        <f>+IF(Tabla__192.168.1.8_POSEIDONSQL_APPFVT_01_tbl_detalle_fill_rate[[#This Row],[Pend Emb]]&gt;0,1,0)</f>
        <v>0</v>
      </c>
      <c r="T14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6" spans="1:20" x14ac:dyDescent="0.25">
      <c r="A1486">
        <v>9</v>
      </c>
      <c r="B1486" t="s">
        <v>48</v>
      </c>
      <c r="C1486">
        <v>9200280</v>
      </c>
      <c r="D1486" s="48">
        <v>43353</v>
      </c>
      <c r="E1486" s="48">
        <v>43352</v>
      </c>
      <c r="F1486" s="48">
        <v>43355</v>
      </c>
      <c r="G1486" t="s">
        <v>353</v>
      </c>
      <c r="H1486" t="s">
        <v>354</v>
      </c>
      <c r="I1486">
        <v>1</v>
      </c>
      <c r="J1486" t="s">
        <v>955</v>
      </c>
      <c r="K1486">
        <v>1</v>
      </c>
      <c r="L1486">
        <v>1</v>
      </c>
      <c r="M1486" t="s">
        <v>427</v>
      </c>
      <c r="N1486">
        <v>0</v>
      </c>
      <c r="O1486" s="1">
        <f>+Tabla__192.168.1.8_POSEIDONSQL_APPFVT_01_tbl_detalle_fill_rate[[#This Row],[emb_cantidad]]-Tabla__192.168.1.8_POSEIDONSQL_APPFVT_01_tbl_detalle_fill_rate[[#This Row],[dev_cantidad]]</f>
        <v>1</v>
      </c>
      <c r="P14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6" s="1">
        <f>+Tabla__192.168.1.8_POSEIDONSQL_APPFVT_01_tbl_detalle_fill_rate[[#This Row],[Cumpl Real Unds]]-Tabla__192.168.1.8_POSEIDONSQL_APPFVT_01_tbl_detalle_fill_rate[[#This Row],[Cant Embarcada]]</f>
        <v>0</v>
      </c>
      <c r="S1486" s="1">
        <f>+IF(Tabla__192.168.1.8_POSEIDONSQL_APPFVT_01_tbl_detalle_fill_rate[[#This Row],[Pend Emb]]&gt;0,1,0)</f>
        <v>0</v>
      </c>
      <c r="T14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7" spans="1:20" x14ac:dyDescent="0.25">
      <c r="A1487">
        <v>9</v>
      </c>
      <c r="B1487" t="s">
        <v>48</v>
      </c>
      <c r="C1487">
        <v>9200323</v>
      </c>
      <c r="D1487" s="48">
        <v>43353</v>
      </c>
      <c r="E1487" s="48">
        <v>43352</v>
      </c>
      <c r="F1487" s="48">
        <v>43364</v>
      </c>
      <c r="G1487" t="s">
        <v>322</v>
      </c>
      <c r="H1487" t="s">
        <v>323</v>
      </c>
      <c r="I1487">
        <v>1</v>
      </c>
      <c r="J1487" t="s">
        <v>966</v>
      </c>
      <c r="K1487">
        <v>1</v>
      </c>
      <c r="L1487">
        <v>1</v>
      </c>
      <c r="M1487" t="s">
        <v>426</v>
      </c>
      <c r="N1487">
        <v>0</v>
      </c>
      <c r="O1487" s="1">
        <f>+Tabla__192.168.1.8_POSEIDONSQL_APPFVT_01_tbl_detalle_fill_rate[[#This Row],[emb_cantidad]]-Tabla__192.168.1.8_POSEIDONSQL_APPFVT_01_tbl_detalle_fill_rate[[#This Row],[dev_cantidad]]</f>
        <v>1</v>
      </c>
      <c r="P14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7" s="1">
        <f>+Tabla__192.168.1.8_POSEIDONSQL_APPFVT_01_tbl_detalle_fill_rate[[#This Row],[Cumpl Real Unds]]-Tabla__192.168.1.8_POSEIDONSQL_APPFVT_01_tbl_detalle_fill_rate[[#This Row],[Cant Embarcada]]</f>
        <v>0</v>
      </c>
      <c r="S1487" s="1">
        <f>+IF(Tabla__192.168.1.8_POSEIDONSQL_APPFVT_01_tbl_detalle_fill_rate[[#This Row],[Pend Emb]]&gt;0,1,0)</f>
        <v>0</v>
      </c>
      <c r="T14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8" spans="1:20" x14ac:dyDescent="0.25">
      <c r="A1488">
        <v>9</v>
      </c>
      <c r="B1488" t="s">
        <v>48</v>
      </c>
      <c r="C1488">
        <v>9200371</v>
      </c>
      <c r="D1488" s="48">
        <v>43353</v>
      </c>
      <c r="E1488" s="48">
        <v>43352</v>
      </c>
      <c r="F1488" s="48">
        <v>43367</v>
      </c>
      <c r="G1488" t="s">
        <v>76</v>
      </c>
      <c r="H1488" t="s">
        <v>77</v>
      </c>
      <c r="I1488">
        <v>1</v>
      </c>
      <c r="J1488" t="s">
        <v>993</v>
      </c>
      <c r="K1488">
        <v>1</v>
      </c>
      <c r="L1488">
        <v>1</v>
      </c>
      <c r="M1488" t="s">
        <v>416</v>
      </c>
      <c r="N1488">
        <v>0</v>
      </c>
      <c r="O1488" s="1">
        <f>+Tabla__192.168.1.8_POSEIDONSQL_APPFVT_01_tbl_detalle_fill_rate[[#This Row],[emb_cantidad]]-Tabla__192.168.1.8_POSEIDONSQL_APPFVT_01_tbl_detalle_fill_rate[[#This Row],[dev_cantidad]]</f>
        <v>1</v>
      </c>
      <c r="P14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8" s="1">
        <f>+Tabla__192.168.1.8_POSEIDONSQL_APPFVT_01_tbl_detalle_fill_rate[[#This Row],[Cumpl Real Unds]]-Tabla__192.168.1.8_POSEIDONSQL_APPFVT_01_tbl_detalle_fill_rate[[#This Row],[Cant Embarcada]]</f>
        <v>0</v>
      </c>
      <c r="S1488" s="1">
        <f>+IF(Tabla__192.168.1.8_POSEIDONSQL_APPFVT_01_tbl_detalle_fill_rate[[#This Row],[Pend Emb]]&gt;0,1,0)</f>
        <v>0</v>
      </c>
      <c r="T14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89" spans="1:20" x14ac:dyDescent="0.25">
      <c r="A1489">
        <v>9</v>
      </c>
      <c r="B1489" t="s">
        <v>48</v>
      </c>
      <c r="C1489">
        <v>9200371</v>
      </c>
      <c r="D1489" s="48">
        <v>43353</v>
      </c>
      <c r="E1489" s="48">
        <v>43352</v>
      </c>
      <c r="F1489" s="48">
        <v>43364</v>
      </c>
      <c r="G1489" t="s">
        <v>168</v>
      </c>
      <c r="H1489" t="s">
        <v>169</v>
      </c>
      <c r="I1489">
        <v>1</v>
      </c>
      <c r="J1489" t="s">
        <v>961</v>
      </c>
      <c r="K1489">
        <v>1</v>
      </c>
      <c r="L1489">
        <v>1</v>
      </c>
      <c r="M1489" t="s">
        <v>426</v>
      </c>
      <c r="N1489">
        <v>0</v>
      </c>
      <c r="O1489" s="1">
        <f>+Tabla__192.168.1.8_POSEIDONSQL_APPFVT_01_tbl_detalle_fill_rate[[#This Row],[emb_cantidad]]-Tabla__192.168.1.8_POSEIDONSQL_APPFVT_01_tbl_detalle_fill_rate[[#This Row],[dev_cantidad]]</f>
        <v>1</v>
      </c>
      <c r="P14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89" s="1">
        <f>+Tabla__192.168.1.8_POSEIDONSQL_APPFVT_01_tbl_detalle_fill_rate[[#This Row],[Cumpl Real Unds]]-Tabla__192.168.1.8_POSEIDONSQL_APPFVT_01_tbl_detalle_fill_rate[[#This Row],[Cant Embarcada]]</f>
        <v>0</v>
      </c>
      <c r="S1489" s="1">
        <f>+IF(Tabla__192.168.1.8_POSEIDONSQL_APPFVT_01_tbl_detalle_fill_rate[[#This Row],[Pend Emb]]&gt;0,1,0)</f>
        <v>0</v>
      </c>
      <c r="T14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0" spans="1:20" x14ac:dyDescent="0.25">
      <c r="A1490">
        <v>9</v>
      </c>
      <c r="B1490" t="s">
        <v>48</v>
      </c>
      <c r="C1490">
        <v>9200371</v>
      </c>
      <c r="D1490" s="48">
        <v>43353</v>
      </c>
      <c r="E1490" s="48">
        <v>43352</v>
      </c>
      <c r="F1490" s="48">
        <v>43364</v>
      </c>
      <c r="G1490" t="s">
        <v>557</v>
      </c>
      <c r="H1490" t="s">
        <v>558</v>
      </c>
      <c r="I1490">
        <v>1</v>
      </c>
      <c r="J1490" t="s">
        <v>960</v>
      </c>
      <c r="K1490">
        <v>1</v>
      </c>
      <c r="L1490">
        <v>1</v>
      </c>
      <c r="M1490" t="s">
        <v>426</v>
      </c>
      <c r="N1490">
        <v>0</v>
      </c>
      <c r="O1490" s="1">
        <f>+Tabla__192.168.1.8_POSEIDONSQL_APPFVT_01_tbl_detalle_fill_rate[[#This Row],[emb_cantidad]]-Tabla__192.168.1.8_POSEIDONSQL_APPFVT_01_tbl_detalle_fill_rate[[#This Row],[dev_cantidad]]</f>
        <v>1</v>
      </c>
      <c r="P14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0" s="1">
        <f>+Tabla__192.168.1.8_POSEIDONSQL_APPFVT_01_tbl_detalle_fill_rate[[#This Row],[Cumpl Real Unds]]-Tabla__192.168.1.8_POSEIDONSQL_APPFVT_01_tbl_detalle_fill_rate[[#This Row],[Cant Embarcada]]</f>
        <v>0</v>
      </c>
      <c r="S1490" s="1">
        <f>+IF(Tabla__192.168.1.8_POSEIDONSQL_APPFVT_01_tbl_detalle_fill_rate[[#This Row],[Pend Emb]]&gt;0,1,0)</f>
        <v>0</v>
      </c>
      <c r="T14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1" spans="1:20" x14ac:dyDescent="0.25">
      <c r="A1491">
        <v>9</v>
      </c>
      <c r="B1491" t="s">
        <v>48</v>
      </c>
      <c r="C1491">
        <v>9200371</v>
      </c>
      <c r="D1491" s="48">
        <v>43353</v>
      </c>
      <c r="E1491" s="48">
        <v>43352</v>
      </c>
      <c r="F1491" s="48">
        <v>43357</v>
      </c>
      <c r="G1491" t="s">
        <v>144</v>
      </c>
      <c r="H1491" t="s">
        <v>145</v>
      </c>
      <c r="I1491">
        <v>1</v>
      </c>
      <c r="J1491" t="s">
        <v>959</v>
      </c>
      <c r="K1491">
        <v>1</v>
      </c>
      <c r="L1491">
        <v>1</v>
      </c>
      <c r="M1491" t="s">
        <v>426</v>
      </c>
      <c r="N1491">
        <v>0</v>
      </c>
      <c r="O1491" s="1">
        <f>+Tabla__192.168.1.8_POSEIDONSQL_APPFVT_01_tbl_detalle_fill_rate[[#This Row],[emb_cantidad]]-Tabla__192.168.1.8_POSEIDONSQL_APPFVT_01_tbl_detalle_fill_rate[[#This Row],[dev_cantidad]]</f>
        <v>1</v>
      </c>
      <c r="P14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1" s="1">
        <f>+Tabla__192.168.1.8_POSEIDONSQL_APPFVT_01_tbl_detalle_fill_rate[[#This Row],[Cumpl Real Unds]]-Tabla__192.168.1.8_POSEIDONSQL_APPFVT_01_tbl_detalle_fill_rate[[#This Row],[Cant Embarcada]]</f>
        <v>0</v>
      </c>
      <c r="S1491" s="1">
        <f>+IF(Tabla__192.168.1.8_POSEIDONSQL_APPFVT_01_tbl_detalle_fill_rate[[#This Row],[Pend Emb]]&gt;0,1,0)</f>
        <v>0</v>
      </c>
      <c r="T14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2" spans="1:20" x14ac:dyDescent="0.25">
      <c r="A1492">
        <v>9</v>
      </c>
      <c r="B1492" t="s">
        <v>48</v>
      </c>
      <c r="C1492">
        <v>9200410</v>
      </c>
      <c r="D1492" s="48">
        <v>43353</v>
      </c>
      <c r="E1492" s="48">
        <v>43352</v>
      </c>
      <c r="F1492" s="48">
        <v>43364</v>
      </c>
      <c r="G1492" t="s">
        <v>70</v>
      </c>
      <c r="H1492" t="s">
        <v>71</v>
      </c>
      <c r="I1492">
        <v>1</v>
      </c>
      <c r="J1492" t="s">
        <v>962</v>
      </c>
      <c r="K1492">
        <v>1</v>
      </c>
      <c r="L1492">
        <v>1</v>
      </c>
      <c r="M1492" t="s">
        <v>426</v>
      </c>
      <c r="N1492">
        <v>0</v>
      </c>
      <c r="O1492" s="1">
        <f>+Tabla__192.168.1.8_POSEIDONSQL_APPFVT_01_tbl_detalle_fill_rate[[#This Row],[emb_cantidad]]-Tabla__192.168.1.8_POSEIDONSQL_APPFVT_01_tbl_detalle_fill_rate[[#This Row],[dev_cantidad]]</f>
        <v>1</v>
      </c>
      <c r="P14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2" s="1">
        <f>+Tabla__192.168.1.8_POSEIDONSQL_APPFVT_01_tbl_detalle_fill_rate[[#This Row],[Cumpl Real Unds]]-Tabla__192.168.1.8_POSEIDONSQL_APPFVT_01_tbl_detalle_fill_rate[[#This Row],[Cant Embarcada]]</f>
        <v>0</v>
      </c>
      <c r="S1492" s="1">
        <f>+IF(Tabla__192.168.1.8_POSEIDONSQL_APPFVT_01_tbl_detalle_fill_rate[[#This Row],[Pend Emb]]&gt;0,1,0)</f>
        <v>0</v>
      </c>
      <c r="T14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3" spans="1:20" x14ac:dyDescent="0.25">
      <c r="A1493">
        <v>9</v>
      </c>
      <c r="B1493" t="s">
        <v>48</v>
      </c>
      <c r="C1493">
        <v>9200499</v>
      </c>
      <c r="D1493" s="48">
        <v>43353</v>
      </c>
      <c r="E1493" s="48">
        <v>43353</v>
      </c>
      <c r="F1493" s="48">
        <v>43364</v>
      </c>
      <c r="G1493" t="s">
        <v>86</v>
      </c>
      <c r="H1493" t="s">
        <v>87</v>
      </c>
      <c r="I1493">
        <v>1</v>
      </c>
      <c r="J1493" t="s">
        <v>963</v>
      </c>
      <c r="K1493">
        <v>1</v>
      </c>
      <c r="L1493">
        <v>1</v>
      </c>
      <c r="M1493" t="s">
        <v>426</v>
      </c>
      <c r="N1493">
        <v>0</v>
      </c>
      <c r="O1493" s="1">
        <f>+Tabla__192.168.1.8_POSEIDONSQL_APPFVT_01_tbl_detalle_fill_rate[[#This Row],[emb_cantidad]]-Tabla__192.168.1.8_POSEIDONSQL_APPFVT_01_tbl_detalle_fill_rate[[#This Row],[dev_cantidad]]</f>
        <v>1</v>
      </c>
      <c r="P14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3" s="1">
        <f>+Tabla__192.168.1.8_POSEIDONSQL_APPFVT_01_tbl_detalle_fill_rate[[#This Row],[Cumpl Real Unds]]-Tabla__192.168.1.8_POSEIDONSQL_APPFVT_01_tbl_detalle_fill_rate[[#This Row],[Cant Embarcada]]</f>
        <v>0</v>
      </c>
      <c r="S1493" s="1">
        <f>+IF(Tabla__192.168.1.8_POSEIDONSQL_APPFVT_01_tbl_detalle_fill_rate[[#This Row],[Pend Emb]]&gt;0,1,0)</f>
        <v>0</v>
      </c>
      <c r="T14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4" spans="1:20" x14ac:dyDescent="0.25">
      <c r="A1494">
        <v>9</v>
      </c>
      <c r="B1494" t="s">
        <v>48</v>
      </c>
      <c r="C1494">
        <v>9200499</v>
      </c>
      <c r="D1494" s="48">
        <v>43353</v>
      </c>
      <c r="E1494" s="48">
        <v>43353</v>
      </c>
      <c r="F1494" s="48">
        <v>43364</v>
      </c>
      <c r="G1494" t="s">
        <v>92</v>
      </c>
      <c r="H1494" t="s">
        <v>93</v>
      </c>
      <c r="I1494">
        <v>1</v>
      </c>
      <c r="J1494" t="s">
        <v>964</v>
      </c>
      <c r="K1494">
        <v>1</v>
      </c>
      <c r="L1494">
        <v>1</v>
      </c>
      <c r="M1494" t="s">
        <v>426</v>
      </c>
      <c r="N1494">
        <v>0</v>
      </c>
      <c r="O1494" s="1">
        <f>+Tabla__192.168.1.8_POSEIDONSQL_APPFVT_01_tbl_detalle_fill_rate[[#This Row],[emb_cantidad]]-Tabla__192.168.1.8_POSEIDONSQL_APPFVT_01_tbl_detalle_fill_rate[[#This Row],[dev_cantidad]]</f>
        <v>1</v>
      </c>
      <c r="P14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4" s="1">
        <f>+Tabla__192.168.1.8_POSEIDONSQL_APPFVT_01_tbl_detalle_fill_rate[[#This Row],[Cumpl Real Unds]]-Tabla__192.168.1.8_POSEIDONSQL_APPFVT_01_tbl_detalle_fill_rate[[#This Row],[Cant Embarcada]]</f>
        <v>0</v>
      </c>
      <c r="S1494" s="1">
        <f>+IF(Tabla__192.168.1.8_POSEIDONSQL_APPFVT_01_tbl_detalle_fill_rate[[#This Row],[Pend Emb]]&gt;0,1,0)</f>
        <v>0</v>
      </c>
      <c r="T14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5" spans="1:20" x14ac:dyDescent="0.25">
      <c r="A1495">
        <v>9</v>
      </c>
      <c r="B1495" t="s">
        <v>48</v>
      </c>
      <c r="C1495">
        <v>9200499</v>
      </c>
      <c r="D1495" s="48">
        <v>43353</v>
      </c>
      <c r="E1495" s="48">
        <v>43352</v>
      </c>
      <c r="F1495" s="48">
        <v>43355</v>
      </c>
      <c r="G1495" t="s">
        <v>130</v>
      </c>
      <c r="H1495" t="s">
        <v>131</v>
      </c>
      <c r="I1495">
        <v>1</v>
      </c>
      <c r="J1495" t="s">
        <v>952</v>
      </c>
      <c r="K1495">
        <v>1</v>
      </c>
      <c r="L1495">
        <v>1</v>
      </c>
      <c r="M1495" t="s">
        <v>427</v>
      </c>
      <c r="N1495">
        <v>0</v>
      </c>
      <c r="O1495" s="1">
        <f>+Tabla__192.168.1.8_POSEIDONSQL_APPFVT_01_tbl_detalle_fill_rate[[#This Row],[emb_cantidad]]-Tabla__192.168.1.8_POSEIDONSQL_APPFVT_01_tbl_detalle_fill_rate[[#This Row],[dev_cantidad]]</f>
        <v>1</v>
      </c>
      <c r="P14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5" s="1">
        <f>+Tabla__192.168.1.8_POSEIDONSQL_APPFVT_01_tbl_detalle_fill_rate[[#This Row],[Cumpl Real Unds]]-Tabla__192.168.1.8_POSEIDONSQL_APPFVT_01_tbl_detalle_fill_rate[[#This Row],[Cant Embarcada]]</f>
        <v>0</v>
      </c>
      <c r="S1495" s="1">
        <f>+IF(Tabla__192.168.1.8_POSEIDONSQL_APPFVT_01_tbl_detalle_fill_rate[[#This Row],[Pend Emb]]&gt;0,1,0)</f>
        <v>0</v>
      </c>
      <c r="T14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6" spans="1:20" x14ac:dyDescent="0.25">
      <c r="A1496">
        <v>9</v>
      </c>
      <c r="B1496" t="s">
        <v>48</v>
      </c>
      <c r="C1496">
        <v>9200499</v>
      </c>
      <c r="D1496" s="48">
        <v>43353</v>
      </c>
      <c r="E1496" s="48">
        <v>43352</v>
      </c>
      <c r="F1496" s="48">
        <v>43355</v>
      </c>
      <c r="G1496" t="s">
        <v>353</v>
      </c>
      <c r="H1496" t="s">
        <v>354</v>
      </c>
      <c r="I1496">
        <v>2</v>
      </c>
      <c r="J1496" t="s">
        <v>953</v>
      </c>
      <c r="K1496">
        <v>2</v>
      </c>
      <c r="L1496">
        <v>2</v>
      </c>
      <c r="M1496" t="s">
        <v>427</v>
      </c>
      <c r="N1496">
        <v>0</v>
      </c>
      <c r="O1496" s="1">
        <f>+Tabla__192.168.1.8_POSEIDONSQL_APPFVT_01_tbl_detalle_fill_rate[[#This Row],[emb_cantidad]]-Tabla__192.168.1.8_POSEIDONSQL_APPFVT_01_tbl_detalle_fill_rate[[#This Row],[dev_cantidad]]</f>
        <v>2</v>
      </c>
      <c r="P14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496" s="1">
        <f>+Tabla__192.168.1.8_POSEIDONSQL_APPFVT_01_tbl_detalle_fill_rate[[#This Row],[Cumpl Real Unds]]-Tabla__192.168.1.8_POSEIDONSQL_APPFVT_01_tbl_detalle_fill_rate[[#This Row],[Cant Embarcada]]</f>
        <v>0</v>
      </c>
      <c r="S1496" s="1">
        <f>+IF(Tabla__192.168.1.8_POSEIDONSQL_APPFVT_01_tbl_detalle_fill_rate[[#This Row],[Pend Emb]]&gt;0,1,0)</f>
        <v>0</v>
      </c>
      <c r="T14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7" spans="1:20" x14ac:dyDescent="0.25">
      <c r="A1497">
        <v>9</v>
      </c>
      <c r="B1497" t="s">
        <v>48</v>
      </c>
      <c r="C1497">
        <v>9200661</v>
      </c>
      <c r="D1497" s="48">
        <v>43354</v>
      </c>
      <c r="E1497" s="48">
        <v>43353</v>
      </c>
      <c r="F1497" s="48">
        <v>43364</v>
      </c>
      <c r="G1497" t="s">
        <v>116</v>
      </c>
      <c r="H1497" t="s">
        <v>117</v>
      </c>
      <c r="I1497">
        <v>1</v>
      </c>
      <c r="J1497" t="s">
        <v>1690</v>
      </c>
      <c r="K1497">
        <v>1</v>
      </c>
      <c r="L1497">
        <v>1</v>
      </c>
      <c r="M1497" t="s">
        <v>426</v>
      </c>
      <c r="N1497">
        <v>0</v>
      </c>
      <c r="O1497" s="1">
        <f>+Tabla__192.168.1.8_POSEIDONSQL_APPFVT_01_tbl_detalle_fill_rate[[#This Row],[emb_cantidad]]-Tabla__192.168.1.8_POSEIDONSQL_APPFVT_01_tbl_detalle_fill_rate[[#This Row],[dev_cantidad]]</f>
        <v>1</v>
      </c>
      <c r="P14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7" s="1">
        <f>+Tabla__192.168.1.8_POSEIDONSQL_APPFVT_01_tbl_detalle_fill_rate[[#This Row],[Cumpl Real Unds]]-Tabla__192.168.1.8_POSEIDONSQL_APPFVT_01_tbl_detalle_fill_rate[[#This Row],[Cant Embarcada]]</f>
        <v>0</v>
      </c>
      <c r="S1497" s="1">
        <f>+IF(Tabla__192.168.1.8_POSEIDONSQL_APPFVT_01_tbl_detalle_fill_rate[[#This Row],[Pend Emb]]&gt;0,1,0)</f>
        <v>0</v>
      </c>
      <c r="T14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8" spans="1:20" x14ac:dyDescent="0.25">
      <c r="A1498">
        <v>9</v>
      </c>
      <c r="B1498" t="s">
        <v>48</v>
      </c>
      <c r="C1498">
        <v>9200702</v>
      </c>
      <c r="D1498" s="48">
        <v>43354</v>
      </c>
      <c r="E1498" s="48">
        <v>43353</v>
      </c>
      <c r="F1498" s="48">
        <v>43364</v>
      </c>
      <c r="G1498" t="s">
        <v>92</v>
      </c>
      <c r="H1498" t="s">
        <v>93</v>
      </c>
      <c r="I1498">
        <v>1</v>
      </c>
      <c r="J1498" t="s">
        <v>1691</v>
      </c>
      <c r="K1498">
        <v>1</v>
      </c>
      <c r="L1498">
        <v>1</v>
      </c>
      <c r="M1498" t="s">
        <v>426</v>
      </c>
      <c r="N1498">
        <v>0</v>
      </c>
      <c r="O1498" s="1">
        <f>+Tabla__192.168.1.8_POSEIDONSQL_APPFVT_01_tbl_detalle_fill_rate[[#This Row],[emb_cantidad]]-Tabla__192.168.1.8_POSEIDONSQL_APPFVT_01_tbl_detalle_fill_rate[[#This Row],[dev_cantidad]]</f>
        <v>1</v>
      </c>
      <c r="P14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498" s="1">
        <f>+Tabla__192.168.1.8_POSEIDONSQL_APPFVT_01_tbl_detalle_fill_rate[[#This Row],[Cumpl Real Unds]]-Tabla__192.168.1.8_POSEIDONSQL_APPFVT_01_tbl_detalle_fill_rate[[#This Row],[Cant Embarcada]]</f>
        <v>0</v>
      </c>
      <c r="S1498" s="1">
        <f>+IF(Tabla__192.168.1.8_POSEIDONSQL_APPFVT_01_tbl_detalle_fill_rate[[#This Row],[Pend Emb]]&gt;0,1,0)</f>
        <v>0</v>
      </c>
      <c r="T14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499" spans="1:20" x14ac:dyDescent="0.25">
      <c r="A1499">
        <v>8</v>
      </c>
      <c r="B1499" t="s">
        <v>10</v>
      </c>
      <c r="C1499">
        <v>4450422378</v>
      </c>
      <c r="D1499" s="48">
        <v>43346</v>
      </c>
      <c r="E1499" s="48">
        <v>43342</v>
      </c>
      <c r="F1499" s="48">
        <v>43349</v>
      </c>
      <c r="G1499" t="s">
        <v>128</v>
      </c>
      <c r="H1499" t="s">
        <v>129</v>
      </c>
      <c r="I1499">
        <v>22</v>
      </c>
      <c r="J1499" t="s">
        <v>174</v>
      </c>
      <c r="K1499">
        <v>22</v>
      </c>
      <c r="L1499">
        <v>22</v>
      </c>
      <c r="M1499" t="s">
        <v>160</v>
      </c>
      <c r="N1499">
        <v>0</v>
      </c>
      <c r="O1499" s="1">
        <f>+Tabla__192.168.1.8_POSEIDONSQL_APPFVT_01_tbl_detalle_fill_rate[[#This Row],[emb_cantidad]]-Tabla__192.168.1.8_POSEIDONSQL_APPFVT_01_tbl_detalle_fill_rate[[#This Row],[dev_cantidad]]</f>
        <v>22</v>
      </c>
      <c r="P14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4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22</v>
      </c>
      <c r="R1499" s="1">
        <f>+Tabla__192.168.1.8_POSEIDONSQL_APPFVT_01_tbl_detalle_fill_rate[[#This Row],[Cumpl Real Unds]]-Tabla__192.168.1.8_POSEIDONSQL_APPFVT_01_tbl_detalle_fill_rate[[#This Row],[Cant Embarcada]]</f>
        <v>0</v>
      </c>
      <c r="S1499" s="1">
        <f>+IF(Tabla__192.168.1.8_POSEIDONSQL_APPFVT_01_tbl_detalle_fill_rate[[#This Row],[Pend Emb]]&gt;0,1,0)</f>
        <v>0</v>
      </c>
      <c r="T14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0" spans="1:20" x14ac:dyDescent="0.25">
      <c r="A1500">
        <v>8</v>
      </c>
      <c r="B1500" t="s">
        <v>10</v>
      </c>
      <c r="C1500">
        <v>4450422388</v>
      </c>
      <c r="D1500" s="48">
        <v>43347</v>
      </c>
      <c r="E1500" s="48">
        <v>43346</v>
      </c>
      <c r="F1500" s="48">
        <v>43353</v>
      </c>
      <c r="G1500" t="s">
        <v>134</v>
      </c>
      <c r="H1500" t="s">
        <v>135</v>
      </c>
      <c r="I1500">
        <v>41</v>
      </c>
      <c r="J1500" t="s">
        <v>231</v>
      </c>
      <c r="K1500">
        <v>41</v>
      </c>
      <c r="L1500">
        <v>41</v>
      </c>
      <c r="M1500" t="s">
        <v>161</v>
      </c>
      <c r="N1500">
        <v>0</v>
      </c>
      <c r="O1500" s="1">
        <f>+Tabla__192.168.1.8_POSEIDONSQL_APPFVT_01_tbl_detalle_fill_rate[[#This Row],[emb_cantidad]]-Tabla__192.168.1.8_POSEIDONSQL_APPFVT_01_tbl_detalle_fill_rate[[#This Row],[dev_cantidad]]</f>
        <v>41</v>
      </c>
      <c r="P15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41</v>
      </c>
      <c r="R1500" s="1">
        <f>+Tabla__192.168.1.8_POSEIDONSQL_APPFVT_01_tbl_detalle_fill_rate[[#This Row],[Cumpl Real Unds]]-Tabla__192.168.1.8_POSEIDONSQL_APPFVT_01_tbl_detalle_fill_rate[[#This Row],[Cant Embarcada]]</f>
        <v>0</v>
      </c>
      <c r="S1500" s="1">
        <f>+IF(Tabla__192.168.1.8_POSEIDONSQL_APPFVT_01_tbl_detalle_fill_rate[[#This Row],[Pend Emb]]&gt;0,1,0)</f>
        <v>0</v>
      </c>
      <c r="T15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1" spans="1:20" x14ac:dyDescent="0.25">
      <c r="A1501">
        <v>8</v>
      </c>
      <c r="B1501" t="s">
        <v>10</v>
      </c>
      <c r="C1501">
        <v>4450422389</v>
      </c>
      <c r="D1501" s="48">
        <v>43347</v>
      </c>
      <c r="E1501" s="48">
        <v>43346</v>
      </c>
      <c r="F1501" s="48">
        <v>43353</v>
      </c>
      <c r="G1501" t="s">
        <v>110</v>
      </c>
      <c r="H1501" t="s">
        <v>111</v>
      </c>
      <c r="I1501">
        <v>13</v>
      </c>
      <c r="J1501" t="s">
        <v>173</v>
      </c>
      <c r="K1501">
        <v>13</v>
      </c>
      <c r="L1501">
        <v>13</v>
      </c>
      <c r="M1501" t="s">
        <v>161</v>
      </c>
      <c r="N1501">
        <v>0</v>
      </c>
      <c r="O1501" s="1">
        <f>+Tabla__192.168.1.8_POSEIDONSQL_APPFVT_01_tbl_detalle_fill_rate[[#This Row],[emb_cantidad]]-Tabla__192.168.1.8_POSEIDONSQL_APPFVT_01_tbl_detalle_fill_rate[[#This Row],[dev_cantidad]]</f>
        <v>13</v>
      </c>
      <c r="P15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13</v>
      </c>
      <c r="R1501" s="1">
        <f>+Tabla__192.168.1.8_POSEIDONSQL_APPFVT_01_tbl_detalle_fill_rate[[#This Row],[Cumpl Real Unds]]-Tabla__192.168.1.8_POSEIDONSQL_APPFVT_01_tbl_detalle_fill_rate[[#This Row],[Cant Embarcada]]</f>
        <v>0</v>
      </c>
      <c r="S1501" s="1">
        <f>+IF(Tabla__192.168.1.8_POSEIDONSQL_APPFVT_01_tbl_detalle_fill_rate[[#This Row],[Pend Emb]]&gt;0,1,0)</f>
        <v>0</v>
      </c>
      <c r="T15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2" spans="1:20" x14ac:dyDescent="0.25">
      <c r="A1502">
        <v>8</v>
      </c>
      <c r="B1502" t="s">
        <v>10</v>
      </c>
      <c r="C1502">
        <v>4450422389</v>
      </c>
      <c r="D1502" s="48">
        <v>43347</v>
      </c>
      <c r="E1502" s="48">
        <v>43346</v>
      </c>
      <c r="F1502" s="48">
        <v>43353</v>
      </c>
      <c r="G1502" t="s">
        <v>384</v>
      </c>
      <c r="H1502" t="s">
        <v>385</v>
      </c>
      <c r="I1502">
        <v>2</v>
      </c>
      <c r="J1502" t="s">
        <v>386</v>
      </c>
      <c r="K1502">
        <v>2</v>
      </c>
      <c r="L1502">
        <v>2</v>
      </c>
      <c r="M1502" t="s">
        <v>161</v>
      </c>
      <c r="N1502">
        <v>0</v>
      </c>
      <c r="O1502" s="1">
        <f>+Tabla__192.168.1.8_POSEIDONSQL_APPFVT_01_tbl_detalle_fill_rate[[#This Row],[emb_cantidad]]-Tabla__192.168.1.8_POSEIDONSQL_APPFVT_01_tbl_detalle_fill_rate[[#This Row],[dev_cantidad]]</f>
        <v>2</v>
      </c>
      <c r="P15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502" s="1">
        <f>+Tabla__192.168.1.8_POSEIDONSQL_APPFVT_01_tbl_detalle_fill_rate[[#This Row],[Cumpl Real Unds]]-Tabla__192.168.1.8_POSEIDONSQL_APPFVT_01_tbl_detalle_fill_rate[[#This Row],[Cant Embarcada]]</f>
        <v>0</v>
      </c>
      <c r="S1502" s="1">
        <f>+IF(Tabla__192.168.1.8_POSEIDONSQL_APPFVT_01_tbl_detalle_fill_rate[[#This Row],[Pend Emb]]&gt;0,1,0)</f>
        <v>0</v>
      </c>
      <c r="T15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3" spans="1:20" x14ac:dyDescent="0.25">
      <c r="A1503">
        <v>8</v>
      </c>
      <c r="B1503" t="s">
        <v>10</v>
      </c>
      <c r="C1503">
        <v>4450422389</v>
      </c>
      <c r="D1503" s="48">
        <v>43347</v>
      </c>
      <c r="E1503" s="48">
        <v>43346</v>
      </c>
      <c r="F1503" s="48">
        <v>43353</v>
      </c>
      <c r="G1503" t="s">
        <v>128</v>
      </c>
      <c r="H1503" t="s">
        <v>129</v>
      </c>
      <c r="I1503">
        <v>16</v>
      </c>
      <c r="J1503" t="s">
        <v>174</v>
      </c>
      <c r="K1503">
        <v>16</v>
      </c>
      <c r="L1503">
        <v>16</v>
      </c>
      <c r="M1503" t="s">
        <v>161</v>
      </c>
      <c r="N1503">
        <v>0</v>
      </c>
      <c r="O1503" s="1">
        <f>+Tabla__192.168.1.8_POSEIDONSQL_APPFVT_01_tbl_detalle_fill_rate[[#This Row],[emb_cantidad]]-Tabla__192.168.1.8_POSEIDONSQL_APPFVT_01_tbl_detalle_fill_rate[[#This Row],[dev_cantidad]]</f>
        <v>16</v>
      </c>
      <c r="P15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16</v>
      </c>
      <c r="R1503" s="1">
        <f>+Tabla__192.168.1.8_POSEIDONSQL_APPFVT_01_tbl_detalle_fill_rate[[#This Row],[Cumpl Real Unds]]-Tabla__192.168.1.8_POSEIDONSQL_APPFVT_01_tbl_detalle_fill_rate[[#This Row],[Cant Embarcada]]</f>
        <v>0</v>
      </c>
      <c r="S1503" s="1">
        <f>+IF(Tabla__192.168.1.8_POSEIDONSQL_APPFVT_01_tbl_detalle_fill_rate[[#This Row],[Pend Emb]]&gt;0,1,0)</f>
        <v>0</v>
      </c>
      <c r="T15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4" spans="1:20" x14ac:dyDescent="0.25">
      <c r="A1504">
        <v>8</v>
      </c>
      <c r="B1504" t="s">
        <v>10</v>
      </c>
      <c r="C1504">
        <v>4450422391</v>
      </c>
      <c r="D1504" s="48">
        <v>43353</v>
      </c>
      <c r="E1504" s="48">
        <v>43349</v>
      </c>
      <c r="F1504" s="48">
        <v>43357</v>
      </c>
      <c r="G1504" t="s">
        <v>538</v>
      </c>
      <c r="H1504" t="s">
        <v>539</v>
      </c>
      <c r="I1504">
        <v>59</v>
      </c>
      <c r="J1504" t="s">
        <v>540</v>
      </c>
      <c r="K1504">
        <v>59</v>
      </c>
      <c r="L1504">
        <v>59</v>
      </c>
      <c r="M1504" t="s">
        <v>426</v>
      </c>
      <c r="N1504">
        <v>0</v>
      </c>
      <c r="O1504" s="1">
        <f>+Tabla__192.168.1.8_POSEIDONSQL_APPFVT_01_tbl_detalle_fill_rate[[#This Row],[emb_cantidad]]-Tabla__192.168.1.8_POSEIDONSQL_APPFVT_01_tbl_detalle_fill_rate[[#This Row],[dev_cantidad]]</f>
        <v>59</v>
      </c>
      <c r="P15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59</v>
      </c>
      <c r="R1504" s="1">
        <f>+Tabla__192.168.1.8_POSEIDONSQL_APPFVT_01_tbl_detalle_fill_rate[[#This Row],[Cumpl Real Unds]]-Tabla__192.168.1.8_POSEIDONSQL_APPFVT_01_tbl_detalle_fill_rate[[#This Row],[Cant Embarcada]]</f>
        <v>0</v>
      </c>
      <c r="S1504" s="1">
        <f>+IF(Tabla__192.168.1.8_POSEIDONSQL_APPFVT_01_tbl_detalle_fill_rate[[#This Row],[Pend Emb]]&gt;0,1,0)</f>
        <v>0</v>
      </c>
      <c r="T15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5" spans="1:20" x14ac:dyDescent="0.25">
      <c r="A1505">
        <v>8</v>
      </c>
      <c r="B1505" t="s">
        <v>10</v>
      </c>
      <c r="C1505">
        <v>4450422391</v>
      </c>
      <c r="D1505" s="48">
        <v>43353</v>
      </c>
      <c r="E1505" s="48">
        <v>43349</v>
      </c>
      <c r="F1505" s="48">
        <v>43357</v>
      </c>
      <c r="G1505" t="s">
        <v>82</v>
      </c>
      <c r="H1505" t="s">
        <v>83</v>
      </c>
      <c r="I1505">
        <v>56</v>
      </c>
      <c r="J1505" t="s">
        <v>172</v>
      </c>
      <c r="K1505">
        <v>56</v>
      </c>
      <c r="L1505">
        <v>56</v>
      </c>
      <c r="M1505" t="s">
        <v>426</v>
      </c>
      <c r="N1505">
        <v>0</v>
      </c>
      <c r="O1505" s="1">
        <f>+Tabla__192.168.1.8_POSEIDONSQL_APPFVT_01_tbl_detalle_fill_rate[[#This Row],[emb_cantidad]]-Tabla__192.168.1.8_POSEIDONSQL_APPFVT_01_tbl_detalle_fill_rate[[#This Row],[dev_cantidad]]</f>
        <v>56</v>
      </c>
      <c r="P15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56</v>
      </c>
      <c r="R1505" s="1">
        <f>+Tabla__192.168.1.8_POSEIDONSQL_APPFVT_01_tbl_detalle_fill_rate[[#This Row],[Cumpl Real Unds]]-Tabla__192.168.1.8_POSEIDONSQL_APPFVT_01_tbl_detalle_fill_rate[[#This Row],[Cant Embarcada]]</f>
        <v>0</v>
      </c>
      <c r="S1505" s="1">
        <f>+IF(Tabla__192.168.1.8_POSEIDONSQL_APPFVT_01_tbl_detalle_fill_rate[[#This Row],[Pend Emb]]&gt;0,1,0)</f>
        <v>0</v>
      </c>
      <c r="T15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6" spans="1:20" x14ac:dyDescent="0.25">
      <c r="A1506">
        <v>8</v>
      </c>
      <c r="B1506" t="s">
        <v>10</v>
      </c>
      <c r="C1506">
        <v>4450422391</v>
      </c>
      <c r="D1506" s="48">
        <v>43353</v>
      </c>
      <c r="E1506" s="48">
        <v>43349</v>
      </c>
      <c r="F1506" s="48">
        <v>43357</v>
      </c>
      <c r="G1506" t="s">
        <v>110</v>
      </c>
      <c r="H1506" t="s">
        <v>111</v>
      </c>
      <c r="I1506">
        <v>103</v>
      </c>
      <c r="J1506" t="s">
        <v>173</v>
      </c>
      <c r="K1506">
        <v>103</v>
      </c>
      <c r="L1506">
        <v>103</v>
      </c>
      <c r="M1506" t="s">
        <v>426</v>
      </c>
      <c r="N1506">
        <v>0</v>
      </c>
      <c r="O1506" s="1">
        <f>+Tabla__192.168.1.8_POSEIDONSQL_APPFVT_01_tbl_detalle_fill_rate[[#This Row],[emb_cantidad]]-Tabla__192.168.1.8_POSEIDONSQL_APPFVT_01_tbl_detalle_fill_rate[[#This Row],[dev_cantidad]]</f>
        <v>103</v>
      </c>
      <c r="P15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103</v>
      </c>
      <c r="R1506" s="1">
        <f>+Tabla__192.168.1.8_POSEIDONSQL_APPFVT_01_tbl_detalle_fill_rate[[#This Row],[Cumpl Real Unds]]-Tabla__192.168.1.8_POSEIDONSQL_APPFVT_01_tbl_detalle_fill_rate[[#This Row],[Cant Embarcada]]</f>
        <v>0</v>
      </c>
      <c r="S1506" s="1">
        <f>+IF(Tabla__192.168.1.8_POSEIDONSQL_APPFVT_01_tbl_detalle_fill_rate[[#This Row],[Pend Emb]]&gt;0,1,0)</f>
        <v>0</v>
      </c>
      <c r="T15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7" spans="1:20" x14ac:dyDescent="0.25">
      <c r="A1507">
        <v>8</v>
      </c>
      <c r="B1507" t="s">
        <v>10</v>
      </c>
      <c r="C1507">
        <v>4450422391</v>
      </c>
      <c r="D1507" s="48">
        <v>43353</v>
      </c>
      <c r="E1507" s="48">
        <v>43349</v>
      </c>
      <c r="F1507" s="48">
        <v>43357</v>
      </c>
      <c r="G1507" t="s">
        <v>384</v>
      </c>
      <c r="H1507" t="s">
        <v>385</v>
      </c>
      <c r="I1507">
        <v>36</v>
      </c>
      <c r="J1507" t="s">
        <v>386</v>
      </c>
      <c r="K1507">
        <v>36</v>
      </c>
      <c r="L1507">
        <v>36</v>
      </c>
      <c r="M1507" t="s">
        <v>426</v>
      </c>
      <c r="N1507">
        <v>6</v>
      </c>
      <c r="O1507" s="1">
        <f>+Tabla__192.168.1.8_POSEIDONSQL_APPFVT_01_tbl_detalle_fill_rate[[#This Row],[emb_cantidad]]-Tabla__192.168.1.8_POSEIDONSQL_APPFVT_01_tbl_detalle_fill_rate[[#This Row],[dev_cantidad]]</f>
        <v>30</v>
      </c>
      <c r="P15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1507" s="1">
        <f>+Tabla__192.168.1.8_POSEIDONSQL_APPFVT_01_tbl_detalle_fill_rate[[#This Row],[Cumpl Real Unds]]-Tabla__192.168.1.8_POSEIDONSQL_APPFVT_01_tbl_detalle_fill_rate[[#This Row],[Cant Embarcada]]</f>
        <v>-6</v>
      </c>
      <c r="S1507" s="1">
        <f>+IF(Tabla__192.168.1.8_POSEIDONSQL_APPFVT_01_tbl_detalle_fill_rate[[#This Row],[Pend Emb]]&gt;0,1,0)</f>
        <v>0</v>
      </c>
      <c r="T15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8" spans="1:20" x14ac:dyDescent="0.25">
      <c r="A1508">
        <v>8</v>
      </c>
      <c r="B1508" t="s">
        <v>10</v>
      </c>
      <c r="C1508">
        <v>4450422391</v>
      </c>
      <c r="D1508" s="48">
        <v>43353</v>
      </c>
      <c r="E1508" s="48">
        <v>43349</v>
      </c>
      <c r="F1508" s="48">
        <v>43357</v>
      </c>
      <c r="G1508" t="s">
        <v>128</v>
      </c>
      <c r="H1508" t="s">
        <v>129</v>
      </c>
      <c r="I1508">
        <v>40</v>
      </c>
      <c r="J1508" t="s">
        <v>174</v>
      </c>
      <c r="K1508">
        <v>40</v>
      </c>
      <c r="L1508">
        <v>40</v>
      </c>
      <c r="M1508" t="s">
        <v>426</v>
      </c>
      <c r="N1508">
        <v>0</v>
      </c>
      <c r="O1508" s="1">
        <f>+Tabla__192.168.1.8_POSEIDONSQL_APPFVT_01_tbl_detalle_fill_rate[[#This Row],[emb_cantidad]]-Tabla__192.168.1.8_POSEIDONSQL_APPFVT_01_tbl_detalle_fill_rate[[#This Row],[dev_cantidad]]</f>
        <v>40</v>
      </c>
      <c r="P15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40</v>
      </c>
      <c r="R1508" s="1">
        <f>+Tabla__192.168.1.8_POSEIDONSQL_APPFVT_01_tbl_detalle_fill_rate[[#This Row],[Cumpl Real Unds]]-Tabla__192.168.1.8_POSEIDONSQL_APPFVT_01_tbl_detalle_fill_rate[[#This Row],[Cant Embarcada]]</f>
        <v>0</v>
      </c>
      <c r="S1508" s="1">
        <f>+IF(Tabla__192.168.1.8_POSEIDONSQL_APPFVT_01_tbl_detalle_fill_rate[[#This Row],[Pend Emb]]&gt;0,1,0)</f>
        <v>0</v>
      </c>
      <c r="T15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09" spans="1:20" x14ac:dyDescent="0.25">
      <c r="A1509">
        <v>8</v>
      </c>
      <c r="B1509" t="s">
        <v>10</v>
      </c>
      <c r="C1509">
        <v>4450422392</v>
      </c>
      <c r="D1509" s="48">
        <v>43350</v>
      </c>
      <c r="E1509" s="48">
        <v>43349</v>
      </c>
      <c r="F1509" s="48">
        <v>43356</v>
      </c>
      <c r="G1509" t="s">
        <v>134</v>
      </c>
      <c r="H1509" t="s">
        <v>135</v>
      </c>
      <c r="I1509">
        <v>65</v>
      </c>
      <c r="J1509" t="s">
        <v>231</v>
      </c>
      <c r="K1509">
        <v>65</v>
      </c>
      <c r="L1509">
        <v>65</v>
      </c>
      <c r="M1509" t="s">
        <v>427</v>
      </c>
      <c r="N1509">
        <v>0</v>
      </c>
      <c r="O1509" s="1">
        <f>+Tabla__192.168.1.8_POSEIDONSQL_APPFVT_01_tbl_detalle_fill_rate[[#This Row],[emb_cantidad]]-Tabla__192.168.1.8_POSEIDONSQL_APPFVT_01_tbl_detalle_fill_rate[[#This Row],[dev_cantidad]]</f>
        <v>65</v>
      </c>
      <c r="P15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65</v>
      </c>
      <c r="R1509" s="1">
        <f>+Tabla__192.168.1.8_POSEIDONSQL_APPFVT_01_tbl_detalle_fill_rate[[#This Row],[Cumpl Real Unds]]-Tabla__192.168.1.8_POSEIDONSQL_APPFVT_01_tbl_detalle_fill_rate[[#This Row],[Cant Embarcada]]</f>
        <v>0</v>
      </c>
      <c r="S1509" s="1">
        <f>+IF(Tabla__192.168.1.8_POSEIDONSQL_APPFVT_01_tbl_detalle_fill_rate[[#This Row],[Pend Emb]]&gt;0,1,0)</f>
        <v>0</v>
      </c>
      <c r="T15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0" spans="1:20" x14ac:dyDescent="0.25">
      <c r="A1510">
        <v>8</v>
      </c>
      <c r="B1510" t="s">
        <v>10</v>
      </c>
      <c r="C1510">
        <v>4450422397</v>
      </c>
      <c r="D1510" s="48">
        <v>43354</v>
      </c>
      <c r="E1510" s="48">
        <v>43353</v>
      </c>
      <c r="F1510" s="48">
        <v>43360</v>
      </c>
      <c r="G1510" t="s">
        <v>82</v>
      </c>
      <c r="H1510" t="s">
        <v>83</v>
      </c>
      <c r="I1510">
        <v>25</v>
      </c>
      <c r="J1510" t="s">
        <v>172</v>
      </c>
      <c r="K1510">
        <v>25</v>
      </c>
      <c r="L1510">
        <v>25</v>
      </c>
      <c r="M1510" t="s">
        <v>426</v>
      </c>
      <c r="N1510">
        <v>0</v>
      </c>
      <c r="O1510" s="1">
        <f>+Tabla__192.168.1.8_POSEIDONSQL_APPFVT_01_tbl_detalle_fill_rate[[#This Row],[emb_cantidad]]-Tabla__192.168.1.8_POSEIDONSQL_APPFVT_01_tbl_detalle_fill_rate[[#This Row],[dev_cantidad]]</f>
        <v>25</v>
      </c>
      <c r="P15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25</v>
      </c>
      <c r="R1510" s="1">
        <f>+Tabla__192.168.1.8_POSEIDONSQL_APPFVT_01_tbl_detalle_fill_rate[[#This Row],[Cumpl Real Unds]]-Tabla__192.168.1.8_POSEIDONSQL_APPFVT_01_tbl_detalle_fill_rate[[#This Row],[Cant Embarcada]]</f>
        <v>0</v>
      </c>
      <c r="S1510" s="1">
        <f>+IF(Tabla__192.168.1.8_POSEIDONSQL_APPFVT_01_tbl_detalle_fill_rate[[#This Row],[Pend Emb]]&gt;0,1,0)</f>
        <v>0</v>
      </c>
      <c r="T15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1" spans="1:20" x14ac:dyDescent="0.25">
      <c r="A1511">
        <v>8</v>
      </c>
      <c r="B1511" t="s">
        <v>10</v>
      </c>
      <c r="C1511">
        <v>4450422397</v>
      </c>
      <c r="D1511" s="48">
        <v>43354</v>
      </c>
      <c r="E1511" s="48">
        <v>43353</v>
      </c>
      <c r="F1511" s="48">
        <v>43360</v>
      </c>
      <c r="G1511" t="s">
        <v>110</v>
      </c>
      <c r="H1511" t="s">
        <v>111</v>
      </c>
      <c r="I1511">
        <v>147</v>
      </c>
      <c r="J1511" t="s">
        <v>173</v>
      </c>
      <c r="K1511">
        <v>94</v>
      </c>
      <c r="L1511">
        <v>94</v>
      </c>
      <c r="M1511" t="s">
        <v>426</v>
      </c>
      <c r="N1511">
        <v>0</v>
      </c>
      <c r="O1511" s="1">
        <f>+Tabla__192.168.1.8_POSEIDONSQL_APPFVT_01_tbl_detalle_fill_rate[[#This Row],[emb_cantidad]]-Tabla__192.168.1.8_POSEIDONSQL_APPFVT_01_tbl_detalle_fill_rate[[#This Row],[dev_cantidad]]</f>
        <v>94</v>
      </c>
      <c r="P15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94</v>
      </c>
      <c r="R1511" s="1">
        <f>+Tabla__192.168.1.8_POSEIDONSQL_APPFVT_01_tbl_detalle_fill_rate[[#This Row],[Cumpl Real Unds]]-Tabla__192.168.1.8_POSEIDONSQL_APPFVT_01_tbl_detalle_fill_rate[[#This Row],[Cant Embarcada]]</f>
        <v>0</v>
      </c>
      <c r="S1511" s="1">
        <f>+IF(Tabla__192.168.1.8_POSEIDONSQL_APPFVT_01_tbl_detalle_fill_rate[[#This Row],[Pend Emb]]&gt;0,1,0)</f>
        <v>0</v>
      </c>
      <c r="T15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2" spans="1:20" x14ac:dyDescent="0.25">
      <c r="A1512">
        <v>8</v>
      </c>
      <c r="B1512" t="s">
        <v>10</v>
      </c>
      <c r="C1512">
        <v>4450422397</v>
      </c>
      <c r="D1512" s="48">
        <v>43354</v>
      </c>
      <c r="E1512" s="48">
        <v>43353</v>
      </c>
      <c r="F1512" s="48">
        <v>43360</v>
      </c>
      <c r="G1512" t="s">
        <v>384</v>
      </c>
      <c r="H1512" t="s">
        <v>385</v>
      </c>
      <c r="I1512">
        <v>2</v>
      </c>
      <c r="J1512" t="s">
        <v>386</v>
      </c>
      <c r="K1512">
        <v>2</v>
      </c>
      <c r="L1512">
        <v>2</v>
      </c>
      <c r="M1512" t="s">
        <v>426</v>
      </c>
      <c r="N1512">
        <v>2</v>
      </c>
      <c r="O1512" s="1">
        <f>+Tabla__192.168.1.8_POSEIDONSQL_APPFVT_01_tbl_detalle_fill_rate[[#This Row],[emb_cantidad]]-Tabla__192.168.1.8_POSEIDONSQL_APPFVT_01_tbl_detalle_fill_rate[[#This Row],[dev_cantidad]]</f>
        <v>0</v>
      </c>
      <c r="P15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12" s="1">
        <f>+Tabla__192.168.1.8_POSEIDONSQL_APPFVT_01_tbl_detalle_fill_rate[[#This Row],[Cumpl Real Unds]]-Tabla__192.168.1.8_POSEIDONSQL_APPFVT_01_tbl_detalle_fill_rate[[#This Row],[Cant Embarcada]]</f>
        <v>0</v>
      </c>
      <c r="S1512" s="1">
        <f>+IF(Tabla__192.168.1.8_POSEIDONSQL_APPFVT_01_tbl_detalle_fill_rate[[#This Row],[Pend Emb]]&gt;0,1,0)</f>
        <v>0</v>
      </c>
      <c r="T15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3" spans="1:20" x14ac:dyDescent="0.25">
      <c r="A1513">
        <v>8</v>
      </c>
      <c r="B1513" t="s">
        <v>10</v>
      </c>
      <c r="C1513">
        <v>4450422397</v>
      </c>
      <c r="D1513" s="48">
        <v>43354</v>
      </c>
      <c r="E1513" s="48">
        <v>43353</v>
      </c>
      <c r="F1513" s="48">
        <v>43360</v>
      </c>
      <c r="G1513" t="s">
        <v>128</v>
      </c>
      <c r="H1513" t="s">
        <v>129</v>
      </c>
      <c r="I1513">
        <v>9</v>
      </c>
      <c r="J1513" t="s">
        <v>174</v>
      </c>
      <c r="K1513">
        <v>9</v>
      </c>
      <c r="L1513">
        <v>9</v>
      </c>
      <c r="M1513" t="s">
        <v>426</v>
      </c>
      <c r="N1513">
        <v>0</v>
      </c>
      <c r="O1513" s="1">
        <f>+Tabla__192.168.1.8_POSEIDONSQL_APPFVT_01_tbl_detalle_fill_rate[[#This Row],[emb_cantidad]]-Tabla__192.168.1.8_POSEIDONSQL_APPFVT_01_tbl_detalle_fill_rate[[#This Row],[dev_cantidad]]</f>
        <v>9</v>
      </c>
      <c r="P15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9</v>
      </c>
      <c r="R1513" s="1">
        <f>+Tabla__192.168.1.8_POSEIDONSQL_APPFVT_01_tbl_detalle_fill_rate[[#This Row],[Cumpl Real Unds]]-Tabla__192.168.1.8_POSEIDONSQL_APPFVT_01_tbl_detalle_fill_rate[[#This Row],[Cant Embarcada]]</f>
        <v>0</v>
      </c>
      <c r="S1513" s="1">
        <f>+IF(Tabla__192.168.1.8_POSEIDONSQL_APPFVT_01_tbl_detalle_fill_rate[[#This Row],[Pend Emb]]&gt;0,1,0)</f>
        <v>0</v>
      </c>
      <c r="T15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4" spans="1:20" x14ac:dyDescent="0.25">
      <c r="A1514">
        <v>8</v>
      </c>
      <c r="B1514" t="s">
        <v>10</v>
      </c>
      <c r="C1514">
        <v>4450422400</v>
      </c>
      <c r="D1514" s="48">
        <v>43363</v>
      </c>
      <c r="E1514" s="48">
        <v>43356</v>
      </c>
      <c r="F1514" s="48">
        <v>43364</v>
      </c>
      <c r="G1514" t="s">
        <v>538</v>
      </c>
      <c r="H1514" t="s">
        <v>539</v>
      </c>
      <c r="I1514">
        <v>11</v>
      </c>
      <c r="J1514" t="s">
        <v>540</v>
      </c>
      <c r="K1514">
        <v>11</v>
      </c>
      <c r="L1514">
        <v>11</v>
      </c>
      <c r="M1514" t="s">
        <v>422</v>
      </c>
      <c r="N1514">
        <v>0</v>
      </c>
      <c r="O1514" s="1">
        <f>+Tabla__192.168.1.8_POSEIDONSQL_APPFVT_01_tbl_detalle_fill_rate[[#This Row],[emb_cantidad]]-Tabla__192.168.1.8_POSEIDONSQL_APPFVT_01_tbl_detalle_fill_rate[[#This Row],[dev_cantidad]]</f>
        <v>11</v>
      </c>
      <c r="P15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11</v>
      </c>
      <c r="R1514" s="1">
        <f>+Tabla__192.168.1.8_POSEIDONSQL_APPFVT_01_tbl_detalle_fill_rate[[#This Row],[Cumpl Real Unds]]-Tabla__192.168.1.8_POSEIDONSQL_APPFVT_01_tbl_detalle_fill_rate[[#This Row],[Cant Embarcada]]</f>
        <v>0</v>
      </c>
      <c r="S1514" s="1">
        <f>+IF(Tabla__192.168.1.8_POSEIDONSQL_APPFVT_01_tbl_detalle_fill_rate[[#This Row],[Pend Emb]]&gt;0,1,0)</f>
        <v>0</v>
      </c>
      <c r="T15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5" spans="1:20" x14ac:dyDescent="0.25">
      <c r="A1515">
        <v>8</v>
      </c>
      <c r="B1515" t="s">
        <v>10</v>
      </c>
      <c r="C1515">
        <v>4450422400</v>
      </c>
      <c r="D1515" s="48">
        <v>43363</v>
      </c>
      <c r="E1515" s="48">
        <v>43356</v>
      </c>
      <c r="F1515" s="48">
        <v>43364</v>
      </c>
      <c r="G1515" t="s">
        <v>82</v>
      </c>
      <c r="H1515" t="s">
        <v>83</v>
      </c>
      <c r="I1515">
        <v>13</v>
      </c>
      <c r="J1515" t="s">
        <v>172</v>
      </c>
      <c r="K1515">
        <v>13</v>
      </c>
      <c r="L1515">
        <v>13</v>
      </c>
      <c r="M1515" t="s">
        <v>422</v>
      </c>
      <c r="N1515">
        <v>0</v>
      </c>
      <c r="O1515" s="1">
        <f>+Tabla__192.168.1.8_POSEIDONSQL_APPFVT_01_tbl_detalle_fill_rate[[#This Row],[emb_cantidad]]-Tabla__192.168.1.8_POSEIDONSQL_APPFVT_01_tbl_detalle_fill_rate[[#This Row],[dev_cantidad]]</f>
        <v>13</v>
      </c>
      <c r="P15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13</v>
      </c>
      <c r="R1515" s="1">
        <f>+Tabla__192.168.1.8_POSEIDONSQL_APPFVT_01_tbl_detalle_fill_rate[[#This Row],[Cumpl Real Unds]]-Tabla__192.168.1.8_POSEIDONSQL_APPFVT_01_tbl_detalle_fill_rate[[#This Row],[Cant Embarcada]]</f>
        <v>0</v>
      </c>
      <c r="S1515" s="1">
        <f>+IF(Tabla__192.168.1.8_POSEIDONSQL_APPFVT_01_tbl_detalle_fill_rate[[#This Row],[Pend Emb]]&gt;0,1,0)</f>
        <v>0</v>
      </c>
      <c r="T15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6" spans="1:20" x14ac:dyDescent="0.25">
      <c r="A1516">
        <v>8</v>
      </c>
      <c r="B1516" t="s">
        <v>10</v>
      </c>
      <c r="C1516">
        <v>4450422400</v>
      </c>
      <c r="D1516" s="48">
        <v>43363</v>
      </c>
      <c r="E1516" s="48">
        <v>43356</v>
      </c>
      <c r="F1516" s="48">
        <v>43364</v>
      </c>
      <c r="G1516" t="s">
        <v>110</v>
      </c>
      <c r="H1516" t="s">
        <v>111</v>
      </c>
      <c r="I1516">
        <v>55</v>
      </c>
      <c r="J1516" t="s">
        <v>173</v>
      </c>
      <c r="K1516">
        <v>55</v>
      </c>
      <c r="L1516">
        <v>55</v>
      </c>
      <c r="M1516" t="s">
        <v>422</v>
      </c>
      <c r="N1516">
        <v>0</v>
      </c>
      <c r="O1516" s="1">
        <f>+Tabla__192.168.1.8_POSEIDONSQL_APPFVT_01_tbl_detalle_fill_rate[[#This Row],[emb_cantidad]]-Tabla__192.168.1.8_POSEIDONSQL_APPFVT_01_tbl_detalle_fill_rate[[#This Row],[dev_cantidad]]</f>
        <v>55</v>
      </c>
      <c r="P15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55</v>
      </c>
      <c r="R1516" s="1">
        <f>+Tabla__192.168.1.8_POSEIDONSQL_APPFVT_01_tbl_detalle_fill_rate[[#This Row],[Cumpl Real Unds]]-Tabla__192.168.1.8_POSEIDONSQL_APPFVT_01_tbl_detalle_fill_rate[[#This Row],[Cant Embarcada]]</f>
        <v>0</v>
      </c>
      <c r="S1516" s="1">
        <f>+IF(Tabla__192.168.1.8_POSEIDONSQL_APPFVT_01_tbl_detalle_fill_rate[[#This Row],[Pend Emb]]&gt;0,1,0)</f>
        <v>0</v>
      </c>
      <c r="T15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7" spans="1:20" x14ac:dyDescent="0.25">
      <c r="A1517">
        <v>8</v>
      </c>
      <c r="B1517" t="s">
        <v>10</v>
      </c>
      <c r="C1517">
        <v>4450422400</v>
      </c>
      <c r="D1517" s="48">
        <v>43363</v>
      </c>
      <c r="E1517" s="48">
        <v>43356</v>
      </c>
      <c r="F1517" s="48">
        <v>43364</v>
      </c>
      <c r="G1517" t="s">
        <v>384</v>
      </c>
      <c r="H1517" t="s">
        <v>385</v>
      </c>
      <c r="I1517">
        <v>29</v>
      </c>
      <c r="J1517" t="s">
        <v>386</v>
      </c>
      <c r="K1517">
        <v>29</v>
      </c>
      <c r="L1517">
        <v>29</v>
      </c>
      <c r="M1517" t="s">
        <v>422</v>
      </c>
      <c r="N1517">
        <v>0</v>
      </c>
      <c r="O1517" s="1">
        <f>+Tabla__192.168.1.8_POSEIDONSQL_APPFVT_01_tbl_detalle_fill_rate[[#This Row],[emb_cantidad]]-Tabla__192.168.1.8_POSEIDONSQL_APPFVT_01_tbl_detalle_fill_rate[[#This Row],[dev_cantidad]]</f>
        <v>29</v>
      </c>
      <c r="P15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29</v>
      </c>
      <c r="R1517" s="1">
        <f>+Tabla__192.168.1.8_POSEIDONSQL_APPFVT_01_tbl_detalle_fill_rate[[#This Row],[Cumpl Real Unds]]-Tabla__192.168.1.8_POSEIDONSQL_APPFVT_01_tbl_detalle_fill_rate[[#This Row],[Cant Embarcada]]</f>
        <v>0</v>
      </c>
      <c r="S1517" s="1">
        <f>+IF(Tabla__192.168.1.8_POSEIDONSQL_APPFVT_01_tbl_detalle_fill_rate[[#This Row],[Pend Emb]]&gt;0,1,0)</f>
        <v>0</v>
      </c>
      <c r="T15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8" spans="1:20" x14ac:dyDescent="0.25">
      <c r="A1518">
        <v>8</v>
      </c>
      <c r="B1518" t="s">
        <v>10</v>
      </c>
      <c r="C1518">
        <v>4450422400</v>
      </c>
      <c r="D1518" s="48">
        <v>43363</v>
      </c>
      <c r="E1518" s="48">
        <v>43356</v>
      </c>
      <c r="F1518" s="48">
        <v>43364</v>
      </c>
      <c r="G1518" t="s">
        <v>128</v>
      </c>
      <c r="H1518" t="s">
        <v>129</v>
      </c>
      <c r="I1518">
        <v>11</v>
      </c>
      <c r="J1518" t="s">
        <v>174</v>
      </c>
      <c r="K1518">
        <v>11</v>
      </c>
      <c r="L1518">
        <v>11</v>
      </c>
      <c r="M1518" t="s">
        <v>422</v>
      </c>
      <c r="N1518">
        <v>0</v>
      </c>
      <c r="O1518" s="1">
        <f>+Tabla__192.168.1.8_POSEIDONSQL_APPFVT_01_tbl_detalle_fill_rate[[#This Row],[emb_cantidad]]-Tabla__192.168.1.8_POSEIDONSQL_APPFVT_01_tbl_detalle_fill_rate[[#This Row],[dev_cantidad]]</f>
        <v>11</v>
      </c>
      <c r="P15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11</v>
      </c>
      <c r="R1518" s="1">
        <f>+Tabla__192.168.1.8_POSEIDONSQL_APPFVT_01_tbl_detalle_fill_rate[[#This Row],[Cumpl Real Unds]]-Tabla__192.168.1.8_POSEIDONSQL_APPFVT_01_tbl_detalle_fill_rate[[#This Row],[Cant Embarcada]]</f>
        <v>0</v>
      </c>
      <c r="S1518" s="1">
        <f>+IF(Tabla__192.168.1.8_POSEIDONSQL_APPFVT_01_tbl_detalle_fill_rate[[#This Row],[Pend Emb]]&gt;0,1,0)</f>
        <v>0</v>
      </c>
      <c r="T15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19" spans="1:20" x14ac:dyDescent="0.25">
      <c r="A1519">
        <v>8</v>
      </c>
      <c r="B1519" t="s">
        <v>10</v>
      </c>
      <c r="C1519">
        <v>4450422405</v>
      </c>
      <c r="D1519" s="48">
        <v>43363</v>
      </c>
      <c r="E1519" s="48">
        <v>43360</v>
      </c>
      <c r="F1519" s="48">
        <v>43367</v>
      </c>
      <c r="G1519" t="s">
        <v>134</v>
      </c>
      <c r="H1519" t="s">
        <v>135</v>
      </c>
      <c r="I1519">
        <v>3</v>
      </c>
      <c r="J1519" t="s">
        <v>231</v>
      </c>
      <c r="K1519">
        <v>3</v>
      </c>
      <c r="L1519">
        <v>3</v>
      </c>
      <c r="M1519" t="s">
        <v>416</v>
      </c>
      <c r="N1519">
        <v>0</v>
      </c>
      <c r="O1519" s="1">
        <f>+Tabla__192.168.1.8_POSEIDONSQL_APPFVT_01_tbl_detalle_fill_rate[[#This Row],[emb_cantidad]]-Tabla__192.168.1.8_POSEIDONSQL_APPFVT_01_tbl_detalle_fill_rate[[#This Row],[dev_cantidad]]</f>
        <v>3</v>
      </c>
      <c r="P15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1519" s="1">
        <f>+Tabla__192.168.1.8_POSEIDONSQL_APPFVT_01_tbl_detalle_fill_rate[[#This Row],[Cumpl Real Unds]]-Tabla__192.168.1.8_POSEIDONSQL_APPFVT_01_tbl_detalle_fill_rate[[#This Row],[Cant Embarcada]]</f>
        <v>0</v>
      </c>
      <c r="S1519" s="1">
        <f>+IF(Tabla__192.168.1.8_POSEIDONSQL_APPFVT_01_tbl_detalle_fill_rate[[#This Row],[Pend Emb]]&gt;0,1,0)</f>
        <v>0</v>
      </c>
      <c r="T15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0" spans="1:20" x14ac:dyDescent="0.25">
      <c r="A1520">
        <v>8</v>
      </c>
      <c r="B1520" t="s">
        <v>10</v>
      </c>
      <c r="C1520">
        <v>4450422406</v>
      </c>
      <c r="D1520" s="48">
        <v>43363</v>
      </c>
      <c r="E1520" s="48">
        <v>43360</v>
      </c>
      <c r="F1520" s="48">
        <v>43367</v>
      </c>
      <c r="G1520" t="s">
        <v>82</v>
      </c>
      <c r="H1520" t="s">
        <v>83</v>
      </c>
      <c r="I1520">
        <v>33</v>
      </c>
      <c r="J1520" t="s">
        <v>172</v>
      </c>
      <c r="K1520">
        <v>33</v>
      </c>
      <c r="L1520">
        <v>33</v>
      </c>
      <c r="M1520" t="s">
        <v>416</v>
      </c>
      <c r="N1520">
        <v>0</v>
      </c>
      <c r="O1520" s="1">
        <f>+Tabla__192.168.1.8_POSEIDONSQL_APPFVT_01_tbl_detalle_fill_rate[[#This Row],[emb_cantidad]]-Tabla__192.168.1.8_POSEIDONSQL_APPFVT_01_tbl_detalle_fill_rate[[#This Row],[dev_cantidad]]</f>
        <v>33</v>
      </c>
      <c r="P15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33</v>
      </c>
      <c r="R1520" s="1">
        <f>+Tabla__192.168.1.8_POSEIDONSQL_APPFVT_01_tbl_detalle_fill_rate[[#This Row],[Cumpl Real Unds]]-Tabla__192.168.1.8_POSEIDONSQL_APPFVT_01_tbl_detalle_fill_rate[[#This Row],[Cant Embarcada]]</f>
        <v>0</v>
      </c>
      <c r="S1520" s="1">
        <f>+IF(Tabla__192.168.1.8_POSEIDONSQL_APPFVT_01_tbl_detalle_fill_rate[[#This Row],[Pend Emb]]&gt;0,1,0)</f>
        <v>0</v>
      </c>
      <c r="T15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1" spans="1:20" x14ac:dyDescent="0.25">
      <c r="A1521">
        <v>8</v>
      </c>
      <c r="B1521" t="s">
        <v>10</v>
      </c>
      <c r="C1521">
        <v>4450422406</v>
      </c>
      <c r="D1521" s="48">
        <v>43363</v>
      </c>
      <c r="E1521" s="48">
        <v>43360</v>
      </c>
      <c r="F1521" s="48">
        <v>43367</v>
      </c>
      <c r="G1521" t="s">
        <v>110</v>
      </c>
      <c r="H1521" t="s">
        <v>111</v>
      </c>
      <c r="I1521">
        <v>41</v>
      </c>
      <c r="J1521" t="s">
        <v>173</v>
      </c>
      <c r="K1521">
        <v>41</v>
      </c>
      <c r="L1521">
        <v>41</v>
      </c>
      <c r="M1521" t="s">
        <v>416</v>
      </c>
      <c r="N1521">
        <v>0</v>
      </c>
      <c r="O1521" s="1">
        <f>+Tabla__192.168.1.8_POSEIDONSQL_APPFVT_01_tbl_detalle_fill_rate[[#This Row],[emb_cantidad]]-Tabla__192.168.1.8_POSEIDONSQL_APPFVT_01_tbl_detalle_fill_rate[[#This Row],[dev_cantidad]]</f>
        <v>41</v>
      </c>
      <c r="P15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41</v>
      </c>
      <c r="R1521" s="1">
        <f>+Tabla__192.168.1.8_POSEIDONSQL_APPFVT_01_tbl_detalle_fill_rate[[#This Row],[Cumpl Real Unds]]-Tabla__192.168.1.8_POSEIDONSQL_APPFVT_01_tbl_detalle_fill_rate[[#This Row],[Cant Embarcada]]</f>
        <v>0</v>
      </c>
      <c r="S1521" s="1">
        <f>+IF(Tabla__192.168.1.8_POSEIDONSQL_APPFVT_01_tbl_detalle_fill_rate[[#This Row],[Pend Emb]]&gt;0,1,0)</f>
        <v>0</v>
      </c>
      <c r="T15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2" spans="1:20" x14ac:dyDescent="0.25">
      <c r="A1522">
        <v>8</v>
      </c>
      <c r="B1522" t="s">
        <v>10</v>
      </c>
      <c r="C1522">
        <v>4450422406</v>
      </c>
      <c r="D1522" s="48">
        <v>43363</v>
      </c>
      <c r="E1522" s="48">
        <v>43360</v>
      </c>
      <c r="F1522" s="48">
        <v>43367</v>
      </c>
      <c r="G1522" t="s">
        <v>384</v>
      </c>
      <c r="H1522" t="s">
        <v>385</v>
      </c>
      <c r="I1522">
        <v>18</v>
      </c>
      <c r="J1522" t="s">
        <v>386</v>
      </c>
      <c r="K1522">
        <v>18</v>
      </c>
      <c r="L1522">
        <v>18</v>
      </c>
      <c r="M1522" t="s">
        <v>416</v>
      </c>
      <c r="N1522">
        <v>0</v>
      </c>
      <c r="O1522" s="1">
        <f>+Tabla__192.168.1.8_POSEIDONSQL_APPFVT_01_tbl_detalle_fill_rate[[#This Row],[emb_cantidad]]-Tabla__192.168.1.8_POSEIDONSQL_APPFVT_01_tbl_detalle_fill_rate[[#This Row],[dev_cantidad]]</f>
        <v>18</v>
      </c>
      <c r="P15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522" s="1">
        <f>+Tabla__192.168.1.8_POSEIDONSQL_APPFVT_01_tbl_detalle_fill_rate[[#This Row],[Cumpl Real Unds]]-Tabla__192.168.1.8_POSEIDONSQL_APPFVT_01_tbl_detalle_fill_rate[[#This Row],[Cant Embarcada]]</f>
        <v>0</v>
      </c>
      <c r="S1522" s="1">
        <f>+IF(Tabla__192.168.1.8_POSEIDONSQL_APPFVT_01_tbl_detalle_fill_rate[[#This Row],[Pend Emb]]&gt;0,1,0)</f>
        <v>0</v>
      </c>
      <c r="T15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3" spans="1:20" x14ac:dyDescent="0.25">
      <c r="A1523">
        <v>8</v>
      </c>
      <c r="B1523" t="s">
        <v>10</v>
      </c>
      <c r="C1523">
        <v>4450422406</v>
      </c>
      <c r="D1523" s="48">
        <v>43363</v>
      </c>
      <c r="E1523" s="48">
        <v>43360</v>
      </c>
      <c r="F1523" s="48">
        <v>43367</v>
      </c>
      <c r="G1523" t="s">
        <v>128</v>
      </c>
      <c r="H1523" t="s">
        <v>129</v>
      </c>
      <c r="I1523">
        <v>13</v>
      </c>
      <c r="J1523" t="s">
        <v>174</v>
      </c>
      <c r="K1523">
        <v>13</v>
      </c>
      <c r="L1523">
        <v>13</v>
      </c>
      <c r="M1523" t="s">
        <v>416</v>
      </c>
      <c r="N1523">
        <v>0</v>
      </c>
      <c r="O1523" s="1">
        <f>+Tabla__192.168.1.8_POSEIDONSQL_APPFVT_01_tbl_detalle_fill_rate[[#This Row],[emb_cantidad]]-Tabla__192.168.1.8_POSEIDONSQL_APPFVT_01_tbl_detalle_fill_rate[[#This Row],[dev_cantidad]]</f>
        <v>13</v>
      </c>
      <c r="P15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13</v>
      </c>
      <c r="R1523" s="1">
        <f>+Tabla__192.168.1.8_POSEIDONSQL_APPFVT_01_tbl_detalle_fill_rate[[#This Row],[Cumpl Real Unds]]-Tabla__192.168.1.8_POSEIDONSQL_APPFVT_01_tbl_detalle_fill_rate[[#This Row],[Cant Embarcada]]</f>
        <v>0</v>
      </c>
      <c r="S1523" s="1">
        <f>+IF(Tabla__192.168.1.8_POSEIDONSQL_APPFVT_01_tbl_detalle_fill_rate[[#This Row],[Pend Emb]]&gt;0,1,0)</f>
        <v>0</v>
      </c>
      <c r="T15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4" spans="1:20" x14ac:dyDescent="0.25">
      <c r="A1524">
        <v>8</v>
      </c>
      <c r="B1524" t="s">
        <v>10</v>
      </c>
      <c r="C1524">
        <v>4450422409</v>
      </c>
      <c r="D1524" s="48">
        <v>43364</v>
      </c>
      <c r="E1524" s="48">
        <v>43363</v>
      </c>
      <c r="F1524" s="48">
        <v>43370</v>
      </c>
      <c r="G1524" t="s">
        <v>134</v>
      </c>
      <c r="H1524" t="s">
        <v>135</v>
      </c>
      <c r="I1524">
        <v>25</v>
      </c>
      <c r="J1524" t="s">
        <v>231</v>
      </c>
      <c r="K1524">
        <v>25</v>
      </c>
      <c r="L1524">
        <v>25</v>
      </c>
      <c r="M1524" t="s">
        <v>423</v>
      </c>
      <c r="N1524">
        <v>0</v>
      </c>
      <c r="O1524" s="1">
        <f>+Tabla__192.168.1.8_POSEIDONSQL_APPFVT_01_tbl_detalle_fill_rate[[#This Row],[emb_cantidad]]-Tabla__192.168.1.8_POSEIDONSQL_APPFVT_01_tbl_detalle_fill_rate[[#This Row],[dev_cantidad]]</f>
        <v>25</v>
      </c>
      <c r="P15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25</v>
      </c>
      <c r="R1524" s="1">
        <f>+Tabla__192.168.1.8_POSEIDONSQL_APPFVT_01_tbl_detalle_fill_rate[[#This Row],[Cumpl Real Unds]]-Tabla__192.168.1.8_POSEIDONSQL_APPFVT_01_tbl_detalle_fill_rate[[#This Row],[Cant Embarcada]]</f>
        <v>0</v>
      </c>
      <c r="S1524" s="1">
        <f>+IF(Tabla__192.168.1.8_POSEIDONSQL_APPFVT_01_tbl_detalle_fill_rate[[#This Row],[Pend Emb]]&gt;0,1,0)</f>
        <v>0</v>
      </c>
      <c r="T15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5" spans="1:20" x14ac:dyDescent="0.25">
      <c r="A1525">
        <v>8</v>
      </c>
      <c r="B1525" t="s">
        <v>10</v>
      </c>
      <c r="C1525">
        <v>4450422410</v>
      </c>
      <c r="D1525" s="48">
        <v>43367</v>
      </c>
      <c r="E1525" s="48">
        <v>43363</v>
      </c>
      <c r="F1525" s="48">
        <v>43370</v>
      </c>
      <c r="G1525" t="s">
        <v>82</v>
      </c>
      <c r="H1525" t="s">
        <v>83</v>
      </c>
      <c r="I1525">
        <v>6</v>
      </c>
      <c r="J1525" t="s">
        <v>172</v>
      </c>
      <c r="K1525">
        <v>6</v>
      </c>
      <c r="L1525">
        <v>6</v>
      </c>
      <c r="M1525" t="s">
        <v>423</v>
      </c>
      <c r="N1525">
        <v>0</v>
      </c>
      <c r="O1525" s="1">
        <f>+Tabla__192.168.1.8_POSEIDONSQL_APPFVT_01_tbl_detalle_fill_rate[[#This Row],[emb_cantidad]]-Tabla__192.168.1.8_POSEIDONSQL_APPFVT_01_tbl_detalle_fill_rate[[#This Row],[dev_cantidad]]</f>
        <v>6</v>
      </c>
      <c r="P15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25" s="1">
        <f>+Tabla__192.168.1.8_POSEIDONSQL_APPFVT_01_tbl_detalle_fill_rate[[#This Row],[Cumpl Real Unds]]-Tabla__192.168.1.8_POSEIDONSQL_APPFVT_01_tbl_detalle_fill_rate[[#This Row],[Cant Embarcada]]</f>
        <v>0</v>
      </c>
      <c r="S1525" s="1">
        <f>+IF(Tabla__192.168.1.8_POSEIDONSQL_APPFVT_01_tbl_detalle_fill_rate[[#This Row],[Pend Emb]]&gt;0,1,0)</f>
        <v>0</v>
      </c>
      <c r="T15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6" spans="1:20" x14ac:dyDescent="0.25">
      <c r="A1526">
        <v>8</v>
      </c>
      <c r="B1526" t="s">
        <v>10</v>
      </c>
      <c r="C1526">
        <v>4450422410</v>
      </c>
      <c r="D1526" s="48">
        <v>43367</v>
      </c>
      <c r="E1526" s="48">
        <v>43363</v>
      </c>
      <c r="F1526" s="48">
        <v>43370</v>
      </c>
      <c r="G1526" t="s">
        <v>110</v>
      </c>
      <c r="H1526" t="s">
        <v>111</v>
      </c>
      <c r="I1526">
        <v>69</v>
      </c>
      <c r="J1526" t="s">
        <v>173</v>
      </c>
      <c r="K1526">
        <v>69</v>
      </c>
      <c r="L1526">
        <v>69</v>
      </c>
      <c r="M1526" t="s">
        <v>423</v>
      </c>
      <c r="N1526">
        <v>0</v>
      </c>
      <c r="O1526" s="1">
        <f>+Tabla__192.168.1.8_POSEIDONSQL_APPFVT_01_tbl_detalle_fill_rate[[#This Row],[emb_cantidad]]-Tabla__192.168.1.8_POSEIDONSQL_APPFVT_01_tbl_detalle_fill_rate[[#This Row],[dev_cantidad]]</f>
        <v>69</v>
      </c>
      <c r="P15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69</v>
      </c>
      <c r="R1526" s="1">
        <f>+Tabla__192.168.1.8_POSEIDONSQL_APPFVT_01_tbl_detalle_fill_rate[[#This Row],[Cumpl Real Unds]]-Tabla__192.168.1.8_POSEIDONSQL_APPFVT_01_tbl_detalle_fill_rate[[#This Row],[Cant Embarcada]]</f>
        <v>0</v>
      </c>
      <c r="S1526" s="1">
        <f>+IF(Tabla__192.168.1.8_POSEIDONSQL_APPFVT_01_tbl_detalle_fill_rate[[#This Row],[Pend Emb]]&gt;0,1,0)</f>
        <v>0</v>
      </c>
      <c r="T15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7" spans="1:20" x14ac:dyDescent="0.25">
      <c r="A1527">
        <v>8</v>
      </c>
      <c r="B1527" t="s">
        <v>10</v>
      </c>
      <c r="C1527">
        <v>4450422410</v>
      </c>
      <c r="D1527" s="48">
        <v>43367</v>
      </c>
      <c r="E1527" s="48">
        <v>43363</v>
      </c>
      <c r="F1527" s="48">
        <v>43370</v>
      </c>
      <c r="G1527" t="s">
        <v>384</v>
      </c>
      <c r="H1527" t="s">
        <v>385</v>
      </c>
      <c r="I1527">
        <v>12</v>
      </c>
      <c r="J1527" t="s">
        <v>386</v>
      </c>
      <c r="K1527">
        <v>12</v>
      </c>
      <c r="L1527">
        <v>12</v>
      </c>
      <c r="M1527" t="s">
        <v>423</v>
      </c>
      <c r="N1527">
        <v>0</v>
      </c>
      <c r="O1527" s="1">
        <f>+Tabla__192.168.1.8_POSEIDONSQL_APPFVT_01_tbl_detalle_fill_rate[[#This Row],[emb_cantidad]]-Tabla__192.168.1.8_POSEIDONSQL_APPFVT_01_tbl_detalle_fill_rate[[#This Row],[dev_cantidad]]</f>
        <v>12</v>
      </c>
      <c r="P15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527" s="1">
        <f>+Tabla__192.168.1.8_POSEIDONSQL_APPFVT_01_tbl_detalle_fill_rate[[#This Row],[Cumpl Real Unds]]-Tabla__192.168.1.8_POSEIDONSQL_APPFVT_01_tbl_detalle_fill_rate[[#This Row],[Cant Embarcada]]</f>
        <v>0</v>
      </c>
      <c r="S1527" s="1">
        <f>+IF(Tabla__192.168.1.8_POSEIDONSQL_APPFVT_01_tbl_detalle_fill_rate[[#This Row],[Pend Emb]]&gt;0,1,0)</f>
        <v>0</v>
      </c>
      <c r="T15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8" spans="1:20" x14ac:dyDescent="0.25">
      <c r="A1528">
        <v>8</v>
      </c>
      <c r="B1528" t="s">
        <v>10</v>
      </c>
      <c r="C1528">
        <v>4450422410</v>
      </c>
      <c r="D1528" s="48">
        <v>43367</v>
      </c>
      <c r="E1528" s="48">
        <v>43363</v>
      </c>
      <c r="F1528" s="48">
        <v>43370</v>
      </c>
      <c r="G1528" t="s">
        <v>128</v>
      </c>
      <c r="H1528" t="s">
        <v>129</v>
      </c>
      <c r="I1528">
        <v>15</v>
      </c>
      <c r="J1528" t="s">
        <v>174</v>
      </c>
      <c r="K1528">
        <v>15</v>
      </c>
      <c r="L1528">
        <v>15</v>
      </c>
      <c r="M1528" t="s">
        <v>423</v>
      </c>
      <c r="N1528">
        <v>0</v>
      </c>
      <c r="O1528" s="1">
        <f>+Tabla__192.168.1.8_POSEIDONSQL_APPFVT_01_tbl_detalle_fill_rate[[#This Row],[emb_cantidad]]-Tabla__192.168.1.8_POSEIDONSQL_APPFVT_01_tbl_detalle_fill_rate[[#This Row],[dev_cantidad]]</f>
        <v>15</v>
      </c>
      <c r="P15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15</v>
      </c>
      <c r="R1528" s="1">
        <f>+Tabla__192.168.1.8_POSEIDONSQL_APPFVT_01_tbl_detalle_fill_rate[[#This Row],[Cumpl Real Unds]]-Tabla__192.168.1.8_POSEIDONSQL_APPFVT_01_tbl_detalle_fill_rate[[#This Row],[Cant Embarcada]]</f>
        <v>0</v>
      </c>
      <c r="S1528" s="1">
        <f>+IF(Tabla__192.168.1.8_POSEIDONSQL_APPFVT_01_tbl_detalle_fill_rate[[#This Row],[Pend Emb]]&gt;0,1,0)</f>
        <v>0</v>
      </c>
      <c r="T15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29" spans="1:20" x14ac:dyDescent="0.25">
      <c r="A1529">
        <v>8</v>
      </c>
      <c r="B1529" t="s">
        <v>10</v>
      </c>
      <c r="C1529">
        <v>6150420338</v>
      </c>
      <c r="D1529" s="48">
        <v>43350</v>
      </c>
      <c r="E1529" s="48">
        <v>43349</v>
      </c>
      <c r="F1529" s="48">
        <v>43357</v>
      </c>
      <c r="G1529" t="s">
        <v>857</v>
      </c>
      <c r="H1529" t="s">
        <v>858</v>
      </c>
      <c r="I1529">
        <v>298</v>
      </c>
      <c r="J1529" t="s">
        <v>859</v>
      </c>
      <c r="K1529">
        <v>298</v>
      </c>
      <c r="L1529">
        <v>298</v>
      </c>
      <c r="M1529" t="s">
        <v>425</v>
      </c>
      <c r="N1529">
        <v>0</v>
      </c>
      <c r="O1529" s="1">
        <f>+Tabla__192.168.1.8_POSEIDONSQL_APPFVT_01_tbl_detalle_fill_rate[[#This Row],[emb_cantidad]]-Tabla__192.168.1.8_POSEIDONSQL_APPFVT_01_tbl_detalle_fill_rate[[#This Row],[dev_cantidad]]</f>
        <v>298</v>
      </c>
      <c r="P15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298</v>
      </c>
      <c r="R1529" s="1">
        <f>+Tabla__192.168.1.8_POSEIDONSQL_APPFVT_01_tbl_detalle_fill_rate[[#This Row],[Cumpl Real Unds]]-Tabla__192.168.1.8_POSEIDONSQL_APPFVT_01_tbl_detalle_fill_rate[[#This Row],[Cant Embarcada]]</f>
        <v>0</v>
      </c>
      <c r="S1529" s="1">
        <f>+IF(Tabla__192.168.1.8_POSEIDONSQL_APPFVT_01_tbl_detalle_fill_rate[[#This Row],[Pend Emb]]&gt;0,1,0)</f>
        <v>0</v>
      </c>
      <c r="T15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0" spans="1:20" x14ac:dyDescent="0.25">
      <c r="A1530">
        <v>8</v>
      </c>
      <c r="B1530" t="s">
        <v>10</v>
      </c>
      <c r="C1530">
        <v>9450544494</v>
      </c>
      <c r="D1530" s="48">
        <v>43336</v>
      </c>
      <c r="E1530" s="48">
        <v>43336</v>
      </c>
      <c r="F1530" s="48">
        <v>43342</v>
      </c>
      <c r="G1530" t="s">
        <v>142</v>
      </c>
      <c r="H1530" t="s">
        <v>143</v>
      </c>
      <c r="I1530">
        <v>1</v>
      </c>
      <c r="J1530" t="s">
        <v>49</v>
      </c>
      <c r="K1530">
        <v>1</v>
      </c>
      <c r="L1530">
        <v>1</v>
      </c>
      <c r="M1530" t="s">
        <v>1962</v>
      </c>
      <c r="N1530">
        <v>1</v>
      </c>
      <c r="O1530" s="1">
        <f>+Tabla__192.168.1.8_POSEIDONSQL_APPFVT_01_tbl_detalle_fill_rate[[#This Row],[emb_cantidad]]-Tabla__192.168.1.8_POSEIDONSQL_APPFVT_01_tbl_detalle_fill_rate[[#This Row],[dev_cantidad]]</f>
        <v>0</v>
      </c>
      <c r="P15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30" s="1">
        <f>+Tabla__192.168.1.8_POSEIDONSQL_APPFVT_01_tbl_detalle_fill_rate[[#This Row],[Cumpl Real Unds]]-Tabla__192.168.1.8_POSEIDONSQL_APPFVT_01_tbl_detalle_fill_rate[[#This Row],[Cant Embarcada]]</f>
        <v>0</v>
      </c>
      <c r="S1530" s="1">
        <f>+IF(Tabla__192.168.1.8_POSEIDONSQL_APPFVT_01_tbl_detalle_fill_rate[[#This Row],[Pend Emb]]&gt;0,1,0)</f>
        <v>0</v>
      </c>
      <c r="T15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1" spans="1:20" x14ac:dyDescent="0.25">
      <c r="A1531">
        <v>8</v>
      </c>
      <c r="B1531" t="s">
        <v>10</v>
      </c>
      <c r="C1531">
        <v>9450544593</v>
      </c>
      <c r="D1531" s="48">
        <v>43336</v>
      </c>
      <c r="E1531" s="48">
        <v>43336</v>
      </c>
      <c r="F1531" s="48">
        <v>43342</v>
      </c>
      <c r="G1531" t="s">
        <v>142</v>
      </c>
      <c r="H1531" t="s">
        <v>143</v>
      </c>
      <c r="I1531">
        <v>1</v>
      </c>
      <c r="J1531" t="s">
        <v>49</v>
      </c>
      <c r="K1531">
        <v>1</v>
      </c>
      <c r="L1531">
        <v>1</v>
      </c>
      <c r="M1531" t="s">
        <v>1977</v>
      </c>
      <c r="N1531">
        <v>0</v>
      </c>
      <c r="O1531" s="1">
        <f>+Tabla__192.168.1.8_POSEIDONSQL_APPFVT_01_tbl_detalle_fill_rate[[#This Row],[emb_cantidad]]-Tabla__192.168.1.8_POSEIDONSQL_APPFVT_01_tbl_detalle_fill_rate[[#This Row],[dev_cantidad]]</f>
        <v>1</v>
      </c>
      <c r="P15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1" s="1">
        <f>+Tabla__192.168.1.8_POSEIDONSQL_APPFVT_01_tbl_detalle_fill_rate[[#This Row],[Cumpl Real Unds]]-Tabla__192.168.1.8_POSEIDONSQL_APPFVT_01_tbl_detalle_fill_rate[[#This Row],[Cant Embarcada]]</f>
        <v>0</v>
      </c>
      <c r="S1531" s="1">
        <f>+IF(Tabla__192.168.1.8_POSEIDONSQL_APPFVT_01_tbl_detalle_fill_rate[[#This Row],[Pend Emb]]&gt;0,1,0)</f>
        <v>0</v>
      </c>
      <c r="T15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2" spans="1:20" x14ac:dyDescent="0.25">
      <c r="A1532">
        <v>8</v>
      </c>
      <c r="B1532" t="s">
        <v>10</v>
      </c>
      <c r="C1532">
        <v>9450544679</v>
      </c>
      <c r="D1532" s="48">
        <v>43336</v>
      </c>
      <c r="E1532" s="48">
        <v>43336</v>
      </c>
      <c r="F1532" s="48">
        <v>43342</v>
      </c>
      <c r="G1532" t="s">
        <v>94</v>
      </c>
      <c r="H1532" t="s">
        <v>95</v>
      </c>
      <c r="I1532">
        <v>1</v>
      </c>
      <c r="J1532" t="s">
        <v>49</v>
      </c>
      <c r="K1532">
        <v>1</v>
      </c>
      <c r="L1532">
        <v>1</v>
      </c>
      <c r="M1532" t="s">
        <v>1977</v>
      </c>
      <c r="N1532">
        <v>0</v>
      </c>
      <c r="O1532" s="1">
        <f>+Tabla__192.168.1.8_POSEIDONSQL_APPFVT_01_tbl_detalle_fill_rate[[#This Row],[emb_cantidad]]-Tabla__192.168.1.8_POSEIDONSQL_APPFVT_01_tbl_detalle_fill_rate[[#This Row],[dev_cantidad]]</f>
        <v>1</v>
      </c>
      <c r="P15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2" s="1">
        <f>+Tabla__192.168.1.8_POSEIDONSQL_APPFVT_01_tbl_detalle_fill_rate[[#This Row],[Cumpl Real Unds]]-Tabla__192.168.1.8_POSEIDONSQL_APPFVT_01_tbl_detalle_fill_rate[[#This Row],[Cant Embarcada]]</f>
        <v>0</v>
      </c>
      <c r="S1532" s="1">
        <f>+IF(Tabla__192.168.1.8_POSEIDONSQL_APPFVT_01_tbl_detalle_fill_rate[[#This Row],[Pend Emb]]&gt;0,1,0)</f>
        <v>0</v>
      </c>
      <c r="T15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3" spans="1:20" x14ac:dyDescent="0.25">
      <c r="A1533">
        <v>8</v>
      </c>
      <c r="B1533" t="s">
        <v>10</v>
      </c>
      <c r="C1533">
        <v>9450544679</v>
      </c>
      <c r="D1533" s="48">
        <v>43336</v>
      </c>
      <c r="E1533" s="48">
        <v>43336</v>
      </c>
      <c r="F1533" s="48">
        <v>43342</v>
      </c>
      <c r="G1533" t="s">
        <v>399</v>
      </c>
      <c r="H1533" t="s">
        <v>400</v>
      </c>
      <c r="I1533">
        <v>1</v>
      </c>
      <c r="J1533" t="s">
        <v>49</v>
      </c>
      <c r="K1533">
        <v>1</v>
      </c>
      <c r="L1533">
        <v>1</v>
      </c>
      <c r="M1533" t="s">
        <v>1977</v>
      </c>
      <c r="N1533">
        <v>0</v>
      </c>
      <c r="O1533" s="1">
        <f>+Tabla__192.168.1.8_POSEIDONSQL_APPFVT_01_tbl_detalle_fill_rate[[#This Row],[emb_cantidad]]-Tabla__192.168.1.8_POSEIDONSQL_APPFVT_01_tbl_detalle_fill_rate[[#This Row],[dev_cantidad]]</f>
        <v>1</v>
      </c>
      <c r="P15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3" s="1">
        <f>+Tabla__192.168.1.8_POSEIDONSQL_APPFVT_01_tbl_detalle_fill_rate[[#This Row],[Cumpl Real Unds]]-Tabla__192.168.1.8_POSEIDONSQL_APPFVT_01_tbl_detalle_fill_rate[[#This Row],[Cant Embarcada]]</f>
        <v>0</v>
      </c>
      <c r="S1533" s="1">
        <f>+IF(Tabla__192.168.1.8_POSEIDONSQL_APPFVT_01_tbl_detalle_fill_rate[[#This Row],[Pend Emb]]&gt;0,1,0)</f>
        <v>0</v>
      </c>
      <c r="T15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4" spans="1:20" x14ac:dyDescent="0.25">
      <c r="A1534">
        <v>8</v>
      </c>
      <c r="B1534" t="s">
        <v>10</v>
      </c>
      <c r="C1534">
        <v>9450544734</v>
      </c>
      <c r="D1534" s="48">
        <v>43336</v>
      </c>
      <c r="E1534" s="48">
        <v>43336</v>
      </c>
      <c r="F1534" s="48">
        <v>43342</v>
      </c>
      <c r="G1534" t="s">
        <v>76</v>
      </c>
      <c r="H1534" t="s">
        <v>77</v>
      </c>
      <c r="I1534">
        <v>1</v>
      </c>
      <c r="J1534" t="s">
        <v>49</v>
      </c>
      <c r="K1534">
        <v>1</v>
      </c>
      <c r="L1534">
        <v>1</v>
      </c>
      <c r="M1534" t="s">
        <v>1977</v>
      </c>
      <c r="N1534">
        <v>0</v>
      </c>
      <c r="O1534" s="1">
        <f>+Tabla__192.168.1.8_POSEIDONSQL_APPFVT_01_tbl_detalle_fill_rate[[#This Row],[emb_cantidad]]-Tabla__192.168.1.8_POSEIDONSQL_APPFVT_01_tbl_detalle_fill_rate[[#This Row],[dev_cantidad]]</f>
        <v>1</v>
      </c>
      <c r="P15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4" s="1">
        <f>+Tabla__192.168.1.8_POSEIDONSQL_APPFVT_01_tbl_detalle_fill_rate[[#This Row],[Cumpl Real Unds]]-Tabla__192.168.1.8_POSEIDONSQL_APPFVT_01_tbl_detalle_fill_rate[[#This Row],[Cant Embarcada]]</f>
        <v>0</v>
      </c>
      <c r="S1534" s="1">
        <f>+IF(Tabla__192.168.1.8_POSEIDONSQL_APPFVT_01_tbl_detalle_fill_rate[[#This Row],[Pend Emb]]&gt;0,1,0)</f>
        <v>0</v>
      </c>
      <c r="T15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5" spans="1:20" x14ac:dyDescent="0.25">
      <c r="A1535">
        <v>8</v>
      </c>
      <c r="B1535" t="s">
        <v>10</v>
      </c>
      <c r="C1535">
        <v>9450544749</v>
      </c>
      <c r="D1535" s="48">
        <v>43336</v>
      </c>
      <c r="E1535" s="48">
        <v>43336</v>
      </c>
      <c r="F1535" s="48">
        <v>43342</v>
      </c>
      <c r="G1535" t="s">
        <v>94</v>
      </c>
      <c r="H1535" t="s">
        <v>95</v>
      </c>
      <c r="I1535">
        <v>1</v>
      </c>
      <c r="J1535" t="s">
        <v>49</v>
      </c>
      <c r="K1535">
        <v>1</v>
      </c>
      <c r="L1535">
        <v>1</v>
      </c>
      <c r="M1535" t="s">
        <v>1977</v>
      </c>
      <c r="N1535">
        <v>0</v>
      </c>
      <c r="O1535" s="1">
        <f>+Tabla__192.168.1.8_POSEIDONSQL_APPFVT_01_tbl_detalle_fill_rate[[#This Row],[emb_cantidad]]-Tabla__192.168.1.8_POSEIDONSQL_APPFVT_01_tbl_detalle_fill_rate[[#This Row],[dev_cantidad]]</f>
        <v>1</v>
      </c>
      <c r="P15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5" s="1">
        <f>+Tabla__192.168.1.8_POSEIDONSQL_APPFVT_01_tbl_detalle_fill_rate[[#This Row],[Cumpl Real Unds]]-Tabla__192.168.1.8_POSEIDONSQL_APPFVT_01_tbl_detalle_fill_rate[[#This Row],[Cant Embarcada]]</f>
        <v>0</v>
      </c>
      <c r="S1535" s="1">
        <f>+IF(Tabla__192.168.1.8_POSEIDONSQL_APPFVT_01_tbl_detalle_fill_rate[[#This Row],[Pend Emb]]&gt;0,1,0)</f>
        <v>0</v>
      </c>
      <c r="T15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6" spans="1:20" x14ac:dyDescent="0.25">
      <c r="A1536">
        <v>8</v>
      </c>
      <c r="B1536" t="s">
        <v>10</v>
      </c>
      <c r="C1536">
        <v>9450544750</v>
      </c>
      <c r="D1536" s="48">
        <v>43336</v>
      </c>
      <c r="E1536" s="48">
        <v>43336</v>
      </c>
      <c r="F1536" s="48">
        <v>43342</v>
      </c>
      <c r="G1536" t="s">
        <v>94</v>
      </c>
      <c r="H1536" t="s">
        <v>95</v>
      </c>
      <c r="I1536">
        <v>1</v>
      </c>
      <c r="J1536" t="s">
        <v>49</v>
      </c>
      <c r="K1536">
        <v>1</v>
      </c>
      <c r="L1536">
        <v>1</v>
      </c>
      <c r="M1536" t="s">
        <v>1977</v>
      </c>
      <c r="N1536">
        <v>0</v>
      </c>
      <c r="O1536" s="1">
        <f>+Tabla__192.168.1.8_POSEIDONSQL_APPFVT_01_tbl_detalle_fill_rate[[#This Row],[emb_cantidad]]-Tabla__192.168.1.8_POSEIDONSQL_APPFVT_01_tbl_detalle_fill_rate[[#This Row],[dev_cantidad]]</f>
        <v>1</v>
      </c>
      <c r="P15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6" s="1">
        <f>+Tabla__192.168.1.8_POSEIDONSQL_APPFVT_01_tbl_detalle_fill_rate[[#This Row],[Cumpl Real Unds]]-Tabla__192.168.1.8_POSEIDONSQL_APPFVT_01_tbl_detalle_fill_rate[[#This Row],[Cant Embarcada]]</f>
        <v>0</v>
      </c>
      <c r="S1536" s="1">
        <f>+IF(Tabla__192.168.1.8_POSEIDONSQL_APPFVT_01_tbl_detalle_fill_rate[[#This Row],[Pend Emb]]&gt;0,1,0)</f>
        <v>0</v>
      </c>
      <c r="T15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7" spans="1:20" x14ac:dyDescent="0.25">
      <c r="A1537">
        <v>8</v>
      </c>
      <c r="B1537" t="s">
        <v>10</v>
      </c>
      <c r="C1537">
        <v>9450544751</v>
      </c>
      <c r="D1537" s="48">
        <v>43336</v>
      </c>
      <c r="E1537" s="48">
        <v>43336</v>
      </c>
      <c r="F1537" s="48">
        <v>43342</v>
      </c>
      <c r="G1537" t="s">
        <v>94</v>
      </c>
      <c r="H1537" t="s">
        <v>95</v>
      </c>
      <c r="I1537">
        <v>1</v>
      </c>
      <c r="J1537" t="s">
        <v>49</v>
      </c>
      <c r="K1537">
        <v>1</v>
      </c>
      <c r="L1537">
        <v>1</v>
      </c>
      <c r="M1537" t="s">
        <v>1977</v>
      </c>
      <c r="N1537">
        <v>0</v>
      </c>
      <c r="O1537" s="1">
        <f>+Tabla__192.168.1.8_POSEIDONSQL_APPFVT_01_tbl_detalle_fill_rate[[#This Row],[emb_cantidad]]-Tabla__192.168.1.8_POSEIDONSQL_APPFVT_01_tbl_detalle_fill_rate[[#This Row],[dev_cantidad]]</f>
        <v>1</v>
      </c>
      <c r="P15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7" s="1">
        <f>+Tabla__192.168.1.8_POSEIDONSQL_APPFVT_01_tbl_detalle_fill_rate[[#This Row],[Cumpl Real Unds]]-Tabla__192.168.1.8_POSEIDONSQL_APPFVT_01_tbl_detalle_fill_rate[[#This Row],[Cant Embarcada]]</f>
        <v>0</v>
      </c>
      <c r="S1537" s="1">
        <f>+IF(Tabla__192.168.1.8_POSEIDONSQL_APPFVT_01_tbl_detalle_fill_rate[[#This Row],[Pend Emb]]&gt;0,1,0)</f>
        <v>0</v>
      </c>
      <c r="T15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8" spans="1:20" x14ac:dyDescent="0.25">
      <c r="A1538">
        <v>8</v>
      </c>
      <c r="B1538" t="s">
        <v>10</v>
      </c>
      <c r="C1538">
        <v>9450544752</v>
      </c>
      <c r="D1538" s="48">
        <v>43336</v>
      </c>
      <c r="E1538" s="48">
        <v>43336</v>
      </c>
      <c r="F1538" s="48">
        <v>43342</v>
      </c>
      <c r="G1538" t="s">
        <v>1959</v>
      </c>
      <c r="H1538" t="s">
        <v>1960</v>
      </c>
      <c r="I1538">
        <v>1</v>
      </c>
      <c r="J1538" t="s">
        <v>49</v>
      </c>
      <c r="K1538">
        <v>1</v>
      </c>
      <c r="L1538">
        <v>1</v>
      </c>
      <c r="M1538" t="s">
        <v>1977</v>
      </c>
      <c r="N1538">
        <v>0</v>
      </c>
      <c r="O1538" s="1">
        <f>+Tabla__192.168.1.8_POSEIDONSQL_APPFVT_01_tbl_detalle_fill_rate[[#This Row],[emb_cantidad]]-Tabla__192.168.1.8_POSEIDONSQL_APPFVT_01_tbl_detalle_fill_rate[[#This Row],[dev_cantidad]]</f>
        <v>1</v>
      </c>
      <c r="P15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8" s="1">
        <f>+Tabla__192.168.1.8_POSEIDONSQL_APPFVT_01_tbl_detalle_fill_rate[[#This Row],[Cumpl Real Unds]]-Tabla__192.168.1.8_POSEIDONSQL_APPFVT_01_tbl_detalle_fill_rate[[#This Row],[Cant Embarcada]]</f>
        <v>0</v>
      </c>
      <c r="S1538" s="1">
        <f>+IF(Tabla__192.168.1.8_POSEIDONSQL_APPFVT_01_tbl_detalle_fill_rate[[#This Row],[Pend Emb]]&gt;0,1,0)</f>
        <v>0</v>
      </c>
      <c r="T15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39" spans="1:20" x14ac:dyDescent="0.25">
      <c r="A1539">
        <v>8</v>
      </c>
      <c r="B1539" t="s">
        <v>10</v>
      </c>
      <c r="C1539">
        <v>9450544757</v>
      </c>
      <c r="D1539" s="48">
        <v>43336</v>
      </c>
      <c r="E1539" s="48">
        <v>43336</v>
      </c>
      <c r="F1539" s="48">
        <v>43342</v>
      </c>
      <c r="G1539" t="s">
        <v>203</v>
      </c>
      <c r="H1539" t="s">
        <v>204</v>
      </c>
      <c r="I1539">
        <v>1</v>
      </c>
      <c r="J1539" t="s">
        <v>49</v>
      </c>
      <c r="K1539">
        <v>1</v>
      </c>
      <c r="L1539">
        <v>1</v>
      </c>
      <c r="M1539" t="s">
        <v>1977</v>
      </c>
      <c r="N1539">
        <v>0</v>
      </c>
      <c r="O1539" s="1">
        <f>+Tabla__192.168.1.8_POSEIDONSQL_APPFVT_01_tbl_detalle_fill_rate[[#This Row],[emb_cantidad]]-Tabla__192.168.1.8_POSEIDONSQL_APPFVT_01_tbl_detalle_fill_rate[[#This Row],[dev_cantidad]]</f>
        <v>1</v>
      </c>
      <c r="P15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39" s="1">
        <f>+Tabla__192.168.1.8_POSEIDONSQL_APPFVT_01_tbl_detalle_fill_rate[[#This Row],[Cumpl Real Unds]]-Tabla__192.168.1.8_POSEIDONSQL_APPFVT_01_tbl_detalle_fill_rate[[#This Row],[Cant Embarcada]]</f>
        <v>0</v>
      </c>
      <c r="S1539" s="1">
        <f>+IF(Tabla__192.168.1.8_POSEIDONSQL_APPFVT_01_tbl_detalle_fill_rate[[#This Row],[Pend Emb]]&gt;0,1,0)</f>
        <v>0</v>
      </c>
      <c r="T15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0" spans="1:20" x14ac:dyDescent="0.25">
      <c r="A1540">
        <v>8</v>
      </c>
      <c r="B1540" t="s">
        <v>10</v>
      </c>
      <c r="C1540">
        <v>9450544790</v>
      </c>
      <c r="D1540" s="48">
        <v>43336</v>
      </c>
      <c r="E1540" s="48">
        <v>43336</v>
      </c>
      <c r="F1540" s="48">
        <v>43342</v>
      </c>
      <c r="G1540" t="s">
        <v>74</v>
      </c>
      <c r="H1540" t="s">
        <v>75</v>
      </c>
      <c r="I1540">
        <v>1</v>
      </c>
      <c r="J1540" t="s">
        <v>49</v>
      </c>
      <c r="K1540">
        <v>1</v>
      </c>
      <c r="L1540">
        <v>1</v>
      </c>
      <c r="M1540" t="s">
        <v>1977</v>
      </c>
      <c r="N1540">
        <v>0</v>
      </c>
      <c r="O1540" s="1">
        <f>+Tabla__192.168.1.8_POSEIDONSQL_APPFVT_01_tbl_detalle_fill_rate[[#This Row],[emb_cantidad]]-Tabla__192.168.1.8_POSEIDONSQL_APPFVT_01_tbl_detalle_fill_rate[[#This Row],[dev_cantidad]]</f>
        <v>1</v>
      </c>
      <c r="P15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40" s="1">
        <f>+Tabla__192.168.1.8_POSEIDONSQL_APPFVT_01_tbl_detalle_fill_rate[[#This Row],[Cumpl Real Unds]]-Tabla__192.168.1.8_POSEIDONSQL_APPFVT_01_tbl_detalle_fill_rate[[#This Row],[Cant Embarcada]]</f>
        <v>0</v>
      </c>
      <c r="S1540" s="1">
        <f>+IF(Tabla__192.168.1.8_POSEIDONSQL_APPFVT_01_tbl_detalle_fill_rate[[#This Row],[Pend Emb]]&gt;0,1,0)</f>
        <v>0</v>
      </c>
      <c r="T15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1" spans="1:20" x14ac:dyDescent="0.25">
      <c r="A1541">
        <v>8</v>
      </c>
      <c r="B1541" t="s">
        <v>10</v>
      </c>
      <c r="C1541">
        <v>9450544797</v>
      </c>
      <c r="D1541" s="48">
        <v>43336</v>
      </c>
      <c r="E1541" s="48">
        <v>43336</v>
      </c>
      <c r="F1541" s="48">
        <v>43342</v>
      </c>
      <c r="G1541" t="s">
        <v>203</v>
      </c>
      <c r="H1541" t="s">
        <v>204</v>
      </c>
      <c r="I1541">
        <v>1</v>
      </c>
      <c r="J1541" t="s">
        <v>49</v>
      </c>
      <c r="K1541">
        <v>1</v>
      </c>
      <c r="L1541">
        <v>1</v>
      </c>
      <c r="M1541" t="s">
        <v>1977</v>
      </c>
      <c r="N1541">
        <v>0</v>
      </c>
      <c r="O1541" s="1">
        <f>+Tabla__192.168.1.8_POSEIDONSQL_APPFVT_01_tbl_detalle_fill_rate[[#This Row],[emb_cantidad]]-Tabla__192.168.1.8_POSEIDONSQL_APPFVT_01_tbl_detalle_fill_rate[[#This Row],[dev_cantidad]]</f>
        <v>1</v>
      </c>
      <c r="P15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41" s="1">
        <f>+Tabla__192.168.1.8_POSEIDONSQL_APPFVT_01_tbl_detalle_fill_rate[[#This Row],[Cumpl Real Unds]]-Tabla__192.168.1.8_POSEIDONSQL_APPFVT_01_tbl_detalle_fill_rate[[#This Row],[Cant Embarcada]]</f>
        <v>0</v>
      </c>
      <c r="S1541" s="1">
        <f>+IF(Tabla__192.168.1.8_POSEIDONSQL_APPFVT_01_tbl_detalle_fill_rate[[#This Row],[Pend Emb]]&gt;0,1,0)</f>
        <v>0</v>
      </c>
      <c r="T15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2" spans="1:20" x14ac:dyDescent="0.25">
      <c r="A1542">
        <v>8</v>
      </c>
      <c r="B1542" t="s">
        <v>10</v>
      </c>
      <c r="C1542">
        <v>9450544804</v>
      </c>
      <c r="D1542" s="48">
        <v>43339</v>
      </c>
      <c r="E1542" s="48">
        <v>43336</v>
      </c>
      <c r="F1542" s="48">
        <v>43351</v>
      </c>
      <c r="G1542" t="s">
        <v>322</v>
      </c>
      <c r="H1542" t="s">
        <v>323</v>
      </c>
      <c r="I1542">
        <v>10</v>
      </c>
      <c r="J1542" t="s">
        <v>1586</v>
      </c>
      <c r="K1542">
        <v>10</v>
      </c>
      <c r="L1542">
        <v>10</v>
      </c>
      <c r="M1542" t="s">
        <v>1962</v>
      </c>
      <c r="N1542">
        <v>0</v>
      </c>
      <c r="O1542" s="1">
        <f>+Tabla__192.168.1.8_POSEIDONSQL_APPFVT_01_tbl_detalle_fill_rate[[#This Row],[emb_cantidad]]-Tabla__192.168.1.8_POSEIDONSQL_APPFVT_01_tbl_detalle_fill_rate[[#This Row],[dev_cantidad]]</f>
        <v>10</v>
      </c>
      <c r="P15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542" s="1">
        <f>+Tabla__192.168.1.8_POSEIDONSQL_APPFVT_01_tbl_detalle_fill_rate[[#This Row],[Cumpl Real Unds]]-Tabla__192.168.1.8_POSEIDONSQL_APPFVT_01_tbl_detalle_fill_rate[[#This Row],[Cant Embarcada]]</f>
        <v>0</v>
      </c>
      <c r="S1542" s="1">
        <f>+IF(Tabla__192.168.1.8_POSEIDONSQL_APPFVT_01_tbl_detalle_fill_rate[[#This Row],[Pend Emb]]&gt;0,1,0)</f>
        <v>0</v>
      </c>
      <c r="T15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3" spans="1:20" x14ac:dyDescent="0.25">
      <c r="A1543">
        <v>8</v>
      </c>
      <c r="B1543" t="s">
        <v>10</v>
      </c>
      <c r="C1543">
        <v>9450544804</v>
      </c>
      <c r="D1543" s="48">
        <v>43339</v>
      </c>
      <c r="E1543" s="48">
        <v>43336</v>
      </c>
      <c r="F1543" s="48">
        <v>43351</v>
      </c>
      <c r="G1543" t="s">
        <v>860</v>
      </c>
      <c r="H1543" t="s">
        <v>861</v>
      </c>
      <c r="I1543">
        <v>10</v>
      </c>
      <c r="J1543" t="s">
        <v>1587</v>
      </c>
      <c r="K1543">
        <v>10</v>
      </c>
      <c r="L1543">
        <v>10</v>
      </c>
      <c r="M1543" t="s">
        <v>1962</v>
      </c>
      <c r="N1543">
        <v>0</v>
      </c>
      <c r="O1543" s="1">
        <f>+Tabla__192.168.1.8_POSEIDONSQL_APPFVT_01_tbl_detalle_fill_rate[[#This Row],[emb_cantidad]]-Tabla__192.168.1.8_POSEIDONSQL_APPFVT_01_tbl_detalle_fill_rate[[#This Row],[dev_cantidad]]</f>
        <v>10</v>
      </c>
      <c r="P15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543" s="1">
        <f>+Tabla__192.168.1.8_POSEIDONSQL_APPFVT_01_tbl_detalle_fill_rate[[#This Row],[Cumpl Real Unds]]-Tabla__192.168.1.8_POSEIDONSQL_APPFVT_01_tbl_detalle_fill_rate[[#This Row],[Cant Embarcada]]</f>
        <v>0</v>
      </c>
      <c r="S1543" s="1">
        <f>+IF(Tabla__192.168.1.8_POSEIDONSQL_APPFVT_01_tbl_detalle_fill_rate[[#This Row],[Pend Emb]]&gt;0,1,0)</f>
        <v>0</v>
      </c>
      <c r="T15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4" spans="1:20" x14ac:dyDescent="0.25">
      <c r="A1544">
        <v>8</v>
      </c>
      <c r="B1544" t="s">
        <v>10</v>
      </c>
      <c r="C1544">
        <v>9450544804</v>
      </c>
      <c r="D1544" s="48">
        <v>43339</v>
      </c>
      <c r="E1544" s="48">
        <v>43336</v>
      </c>
      <c r="F1544" s="48">
        <v>43351</v>
      </c>
      <c r="G1544" t="s">
        <v>124</v>
      </c>
      <c r="H1544" t="s">
        <v>125</v>
      </c>
      <c r="I1544">
        <v>10</v>
      </c>
      <c r="J1544" t="s">
        <v>1588</v>
      </c>
      <c r="K1544">
        <v>10</v>
      </c>
      <c r="L1544">
        <v>10</v>
      </c>
      <c r="M1544" t="s">
        <v>1962</v>
      </c>
      <c r="N1544">
        <v>0</v>
      </c>
      <c r="O1544" s="1">
        <f>+Tabla__192.168.1.8_POSEIDONSQL_APPFVT_01_tbl_detalle_fill_rate[[#This Row],[emb_cantidad]]-Tabla__192.168.1.8_POSEIDONSQL_APPFVT_01_tbl_detalle_fill_rate[[#This Row],[dev_cantidad]]</f>
        <v>10</v>
      </c>
      <c r="P15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</v>
      </c>
      <c r="R1544" s="1">
        <f>+Tabla__192.168.1.8_POSEIDONSQL_APPFVT_01_tbl_detalle_fill_rate[[#This Row],[Cumpl Real Unds]]-Tabla__192.168.1.8_POSEIDONSQL_APPFVT_01_tbl_detalle_fill_rate[[#This Row],[Cant Embarcada]]</f>
        <v>0</v>
      </c>
      <c r="S1544" s="1">
        <f>+IF(Tabla__192.168.1.8_POSEIDONSQL_APPFVT_01_tbl_detalle_fill_rate[[#This Row],[Pend Emb]]&gt;0,1,0)</f>
        <v>0</v>
      </c>
      <c r="T15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5" spans="1:20" x14ac:dyDescent="0.25">
      <c r="A1545">
        <v>8</v>
      </c>
      <c r="B1545" t="s">
        <v>10</v>
      </c>
      <c r="C1545">
        <v>9450544804</v>
      </c>
      <c r="D1545" s="48">
        <v>43339</v>
      </c>
      <c r="E1545" s="48">
        <v>43336</v>
      </c>
      <c r="F1545" s="48">
        <v>43351</v>
      </c>
      <c r="G1545" t="s">
        <v>880</v>
      </c>
      <c r="H1545" t="s">
        <v>881</v>
      </c>
      <c r="I1545">
        <v>4</v>
      </c>
      <c r="J1545" t="s">
        <v>1589</v>
      </c>
      <c r="K1545">
        <v>0</v>
      </c>
      <c r="L1545">
        <v>0</v>
      </c>
      <c r="M1545" t="s">
        <v>1962</v>
      </c>
      <c r="N1545">
        <v>0</v>
      </c>
      <c r="O1545" s="1">
        <f>+Tabla__192.168.1.8_POSEIDONSQL_APPFVT_01_tbl_detalle_fill_rate[[#This Row],[emb_cantidad]]-Tabla__192.168.1.8_POSEIDONSQL_APPFVT_01_tbl_detalle_fill_rate[[#This Row],[dev_cantidad]]</f>
        <v>0</v>
      </c>
      <c r="P15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45" s="1">
        <f>+Tabla__192.168.1.8_POSEIDONSQL_APPFVT_01_tbl_detalle_fill_rate[[#This Row],[Cumpl Real Unds]]-Tabla__192.168.1.8_POSEIDONSQL_APPFVT_01_tbl_detalle_fill_rate[[#This Row],[Cant Embarcada]]</f>
        <v>0</v>
      </c>
      <c r="S1545" s="1">
        <f>+IF(Tabla__192.168.1.8_POSEIDONSQL_APPFVT_01_tbl_detalle_fill_rate[[#This Row],[Pend Emb]]&gt;0,1,0)</f>
        <v>0</v>
      </c>
      <c r="T15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6" spans="1:20" x14ac:dyDescent="0.25">
      <c r="A1546">
        <v>8</v>
      </c>
      <c r="B1546" t="s">
        <v>10</v>
      </c>
      <c r="C1546">
        <v>9450544804</v>
      </c>
      <c r="D1546" s="48">
        <v>43339</v>
      </c>
      <c r="E1546" s="48">
        <v>43336</v>
      </c>
      <c r="F1546" s="48">
        <v>43351</v>
      </c>
      <c r="G1546" t="s">
        <v>296</v>
      </c>
      <c r="H1546" t="s">
        <v>297</v>
      </c>
      <c r="I1546">
        <v>10</v>
      </c>
      <c r="J1546" t="s">
        <v>1593</v>
      </c>
      <c r="K1546">
        <v>8</v>
      </c>
      <c r="L1546">
        <v>8</v>
      </c>
      <c r="M1546" t="s">
        <v>1962</v>
      </c>
      <c r="N1546">
        <v>0</v>
      </c>
      <c r="O1546" s="1">
        <f>+Tabla__192.168.1.8_POSEIDONSQL_APPFVT_01_tbl_detalle_fill_rate[[#This Row],[emb_cantidad]]-Tabla__192.168.1.8_POSEIDONSQL_APPFVT_01_tbl_detalle_fill_rate[[#This Row],[dev_cantidad]]</f>
        <v>8</v>
      </c>
      <c r="P15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1546" s="1">
        <f>+Tabla__192.168.1.8_POSEIDONSQL_APPFVT_01_tbl_detalle_fill_rate[[#This Row],[Cumpl Real Unds]]-Tabla__192.168.1.8_POSEIDONSQL_APPFVT_01_tbl_detalle_fill_rate[[#This Row],[Cant Embarcada]]</f>
        <v>0</v>
      </c>
      <c r="S1546" s="1">
        <f>+IF(Tabla__192.168.1.8_POSEIDONSQL_APPFVT_01_tbl_detalle_fill_rate[[#This Row],[Pend Emb]]&gt;0,1,0)</f>
        <v>0</v>
      </c>
      <c r="T15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7" spans="1:20" x14ac:dyDescent="0.25">
      <c r="A1547">
        <v>8</v>
      </c>
      <c r="B1547" t="s">
        <v>10</v>
      </c>
      <c r="C1547">
        <v>9450544804</v>
      </c>
      <c r="D1547" s="48">
        <v>43339</v>
      </c>
      <c r="E1547" s="48">
        <v>43336</v>
      </c>
      <c r="F1547" s="48">
        <v>43351</v>
      </c>
      <c r="G1547" t="s">
        <v>1421</v>
      </c>
      <c r="H1547" t="s">
        <v>1422</v>
      </c>
      <c r="I1547">
        <v>12</v>
      </c>
      <c r="J1547" t="s">
        <v>1594</v>
      </c>
      <c r="K1547">
        <v>12</v>
      </c>
      <c r="L1547">
        <v>12</v>
      </c>
      <c r="M1547" t="s">
        <v>1962</v>
      </c>
      <c r="N1547">
        <v>0</v>
      </c>
      <c r="O1547" s="1">
        <f>+Tabla__192.168.1.8_POSEIDONSQL_APPFVT_01_tbl_detalle_fill_rate[[#This Row],[emb_cantidad]]-Tabla__192.168.1.8_POSEIDONSQL_APPFVT_01_tbl_detalle_fill_rate[[#This Row],[dev_cantidad]]</f>
        <v>12</v>
      </c>
      <c r="P15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547" s="1">
        <f>+Tabla__192.168.1.8_POSEIDONSQL_APPFVT_01_tbl_detalle_fill_rate[[#This Row],[Cumpl Real Unds]]-Tabla__192.168.1.8_POSEIDONSQL_APPFVT_01_tbl_detalle_fill_rate[[#This Row],[Cant Embarcada]]</f>
        <v>0</v>
      </c>
      <c r="S1547" s="1">
        <f>+IF(Tabla__192.168.1.8_POSEIDONSQL_APPFVT_01_tbl_detalle_fill_rate[[#This Row],[Pend Emb]]&gt;0,1,0)</f>
        <v>0</v>
      </c>
      <c r="T15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8" spans="1:20" x14ac:dyDescent="0.25">
      <c r="A1548">
        <v>1</v>
      </c>
      <c r="B1548" t="s">
        <v>55</v>
      </c>
      <c r="C1548">
        <v>8641570</v>
      </c>
      <c r="D1548" s="48">
        <v>1</v>
      </c>
      <c r="E1548" s="48">
        <v>1</v>
      </c>
      <c r="F1548" s="48">
        <v>43340</v>
      </c>
      <c r="G1548" t="s">
        <v>70</v>
      </c>
      <c r="H1548" t="s">
        <v>71</v>
      </c>
      <c r="I1548">
        <v>1</v>
      </c>
      <c r="J1548" t="s">
        <v>1066</v>
      </c>
      <c r="K1548">
        <v>1</v>
      </c>
      <c r="L1548">
        <v>1</v>
      </c>
      <c r="M1548" t="s">
        <v>1965</v>
      </c>
      <c r="N1548">
        <v>0</v>
      </c>
      <c r="O1548" s="1">
        <f>+Tabla__192.168.1.8_POSEIDONSQL_APPFVT_01_tbl_detalle_fill_rate[[#This Row],[emb_cantidad]]-Tabla__192.168.1.8_POSEIDONSQL_APPFVT_01_tbl_detalle_fill_rate[[#This Row],[dev_cantidad]]</f>
        <v>1</v>
      </c>
      <c r="P15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48" s="1">
        <f>+Tabla__192.168.1.8_POSEIDONSQL_APPFVT_01_tbl_detalle_fill_rate[[#This Row],[Cumpl Real Unds]]-Tabla__192.168.1.8_POSEIDONSQL_APPFVT_01_tbl_detalle_fill_rate[[#This Row],[Cant Embarcada]]</f>
        <v>0</v>
      </c>
      <c r="S1548" s="1">
        <f>+IF(Tabla__192.168.1.8_POSEIDONSQL_APPFVT_01_tbl_detalle_fill_rate[[#This Row],[Pend Emb]]&gt;0,1,0)</f>
        <v>0</v>
      </c>
      <c r="T15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49" spans="1:20" x14ac:dyDescent="0.25">
      <c r="A1549">
        <v>1</v>
      </c>
      <c r="B1549" t="s">
        <v>55</v>
      </c>
      <c r="C1549">
        <v>8642803</v>
      </c>
      <c r="D1549" s="48">
        <v>43329</v>
      </c>
      <c r="E1549" s="48">
        <v>1</v>
      </c>
      <c r="F1549" s="48">
        <v>43341</v>
      </c>
      <c r="G1549" t="s">
        <v>1766</v>
      </c>
      <c r="H1549" t="s">
        <v>1767</v>
      </c>
      <c r="I1549">
        <v>8</v>
      </c>
      <c r="J1549" t="s">
        <v>154</v>
      </c>
      <c r="K1549">
        <v>0</v>
      </c>
      <c r="L1549">
        <v>0</v>
      </c>
      <c r="M1549" t="s">
        <v>12</v>
      </c>
      <c r="N1549">
        <v>0</v>
      </c>
      <c r="O1549" s="1">
        <f>+Tabla__192.168.1.8_POSEIDONSQL_APPFVT_01_tbl_detalle_fill_rate[[#This Row],[emb_cantidad]]-Tabla__192.168.1.8_POSEIDONSQL_APPFVT_01_tbl_detalle_fill_rate[[#This Row],[dev_cantidad]]</f>
        <v>0</v>
      </c>
      <c r="P15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49" s="1">
        <f>+Tabla__192.168.1.8_POSEIDONSQL_APPFVT_01_tbl_detalle_fill_rate[[#This Row],[Cumpl Real Unds]]-Tabla__192.168.1.8_POSEIDONSQL_APPFVT_01_tbl_detalle_fill_rate[[#This Row],[Cant Embarcada]]</f>
        <v>0</v>
      </c>
      <c r="S1549" s="1">
        <f>+IF(Tabla__192.168.1.8_POSEIDONSQL_APPFVT_01_tbl_detalle_fill_rate[[#This Row],[Pend Emb]]&gt;0,1,0)</f>
        <v>0</v>
      </c>
      <c r="T15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0" spans="1:20" x14ac:dyDescent="0.25">
      <c r="A1550">
        <v>1</v>
      </c>
      <c r="B1550" t="s">
        <v>55</v>
      </c>
      <c r="C1550">
        <v>8642803</v>
      </c>
      <c r="D1550" s="48">
        <v>43329</v>
      </c>
      <c r="E1550" s="48">
        <v>1</v>
      </c>
      <c r="F1550" s="48">
        <v>43341</v>
      </c>
      <c r="G1550" t="s">
        <v>433</v>
      </c>
      <c r="H1550" t="s">
        <v>434</v>
      </c>
      <c r="I1550">
        <v>8</v>
      </c>
      <c r="J1550" t="s">
        <v>152</v>
      </c>
      <c r="K1550">
        <v>0</v>
      </c>
      <c r="L1550">
        <v>0</v>
      </c>
      <c r="M1550" t="s">
        <v>12</v>
      </c>
      <c r="N1550">
        <v>0</v>
      </c>
      <c r="O1550" s="1">
        <f>+Tabla__192.168.1.8_POSEIDONSQL_APPFVT_01_tbl_detalle_fill_rate[[#This Row],[emb_cantidad]]-Tabla__192.168.1.8_POSEIDONSQL_APPFVT_01_tbl_detalle_fill_rate[[#This Row],[dev_cantidad]]</f>
        <v>0</v>
      </c>
      <c r="P15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50" s="1">
        <f>+Tabla__192.168.1.8_POSEIDONSQL_APPFVT_01_tbl_detalle_fill_rate[[#This Row],[Cumpl Real Unds]]-Tabla__192.168.1.8_POSEIDONSQL_APPFVT_01_tbl_detalle_fill_rate[[#This Row],[Cant Embarcada]]</f>
        <v>0</v>
      </c>
      <c r="S1550" s="1">
        <f>+IF(Tabla__192.168.1.8_POSEIDONSQL_APPFVT_01_tbl_detalle_fill_rate[[#This Row],[Pend Emb]]&gt;0,1,0)</f>
        <v>0</v>
      </c>
      <c r="T15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1" spans="1:20" x14ac:dyDescent="0.25">
      <c r="A1551">
        <v>1</v>
      </c>
      <c r="B1551" t="s">
        <v>55</v>
      </c>
      <c r="C1551">
        <v>8645254</v>
      </c>
      <c r="D1551" s="48">
        <v>43332</v>
      </c>
      <c r="E1551" s="48">
        <v>43329</v>
      </c>
      <c r="F1551" s="48">
        <v>43342</v>
      </c>
      <c r="G1551" t="s">
        <v>351</v>
      </c>
      <c r="H1551" t="s">
        <v>352</v>
      </c>
      <c r="I1551">
        <v>1</v>
      </c>
      <c r="J1551" t="s">
        <v>1218</v>
      </c>
      <c r="K1551">
        <v>1</v>
      </c>
      <c r="L1551">
        <v>1</v>
      </c>
      <c r="M1551" t="s">
        <v>1977</v>
      </c>
      <c r="N1551">
        <v>0</v>
      </c>
      <c r="O1551" s="1">
        <f>+Tabla__192.168.1.8_POSEIDONSQL_APPFVT_01_tbl_detalle_fill_rate[[#This Row],[emb_cantidad]]-Tabla__192.168.1.8_POSEIDONSQL_APPFVT_01_tbl_detalle_fill_rate[[#This Row],[dev_cantidad]]</f>
        <v>1</v>
      </c>
      <c r="P15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1" s="1">
        <f>+Tabla__192.168.1.8_POSEIDONSQL_APPFVT_01_tbl_detalle_fill_rate[[#This Row],[Cumpl Real Unds]]-Tabla__192.168.1.8_POSEIDONSQL_APPFVT_01_tbl_detalle_fill_rate[[#This Row],[Cant Embarcada]]</f>
        <v>0</v>
      </c>
      <c r="S1551" s="1">
        <f>+IF(Tabla__192.168.1.8_POSEIDONSQL_APPFVT_01_tbl_detalle_fill_rate[[#This Row],[Pend Emb]]&gt;0,1,0)</f>
        <v>0</v>
      </c>
      <c r="T15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2" spans="1:20" x14ac:dyDescent="0.25">
      <c r="A1552">
        <v>1</v>
      </c>
      <c r="B1552" t="s">
        <v>55</v>
      </c>
      <c r="C1552">
        <v>8647550</v>
      </c>
      <c r="D1552" s="48">
        <v>43333</v>
      </c>
      <c r="E1552" s="48">
        <v>43330</v>
      </c>
      <c r="F1552" s="48">
        <v>43340</v>
      </c>
      <c r="G1552" t="s">
        <v>910</v>
      </c>
      <c r="H1552" t="s">
        <v>911</v>
      </c>
      <c r="I1552">
        <v>1</v>
      </c>
      <c r="J1552" t="s">
        <v>1067</v>
      </c>
      <c r="K1552">
        <v>1</v>
      </c>
      <c r="L1552">
        <v>1</v>
      </c>
      <c r="M1552" t="s">
        <v>1965</v>
      </c>
      <c r="N1552">
        <v>0</v>
      </c>
      <c r="O1552" s="1">
        <f>+Tabla__192.168.1.8_POSEIDONSQL_APPFVT_01_tbl_detalle_fill_rate[[#This Row],[emb_cantidad]]-Tabla__192.168.1.8_POSEIDONSQL_APPFVT_01_tbl_detalle_fill_rate[[#This Row],[dev_cantidad]]</f>
        <v>1</v>
      </c>
      <c r="P15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2" s="1">
        <f>+Tabla__192.168.1.8_POSEIDONSQL_APPFVT_01_tbl_detalle_fill_rate[[#This Row],[Cumpl Real Unds]]-Tabla__192.168.1.8_POSEIDONSQL_APPFVT_01_tbl_detalle_fill_rate[[#This Row],[Cant Embarcada]]</f>
        <v>0</v>
      </c>
      <c r="S1552" s="1">
        <f>+IF(Tabla__192.168.1.8_POSEIDONSQL_APPFVT_01_tbl_detalle_fill_rate[[#This Row],[Pend Emb]]&gt;0,1,0)</f>
        <v>0</v>
      </c>
      <c r="T15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3" spans="1:20" x14ac:dyDescent="0.25">
      <c r="A1553">
        <v>1</v>
      </c>
      <c r="B1553" t="s">
        <v>55</v>
      </c>
      <c r="C1553">
        <v>8647872</v>
      </c>
      <c r="D1553" s="48">
        <v>43333</v>
      </c>
      <c r="E1553" s="48">
        <v>43330</v>
      </c>
      <c r="F1553" s="48">
        <v>43340</v>
      </c>
      <c r="G1553" t="s">
        <v>116</v>
      </c>
      <c r="H1553" t="s">
        <v>117</v>
      </c>
      <c r="I1553">
        <v>1</v>
      </c>
      <c r="J1553" t="s">
        <v>1071</v>
      </c>
      <c r="K1553">
        <v>1</v>
      </c>
      <c r="L1553">
        <v>1</v>
      </c>
      <c r="M1553" t="s">
        <v>1965</v>
      </c>
      <c r="N1553">
        <v>0</v>
      </c>
      <c r="O1553" s="1">
        <f>+Tabla__192.168.1.8_POSEIDONSQL_APPFVT_01_tbl_detalle_fill_rate[[#This Row],[emb_cantidad]]-Tabla__192.168.1.8_POSEIDONSQL_APPFVT_01_tbl_detalle_fill_rate[[#This Row],[dev_cantidad]]</f>
        <v>1</v>
      </c>
      <c r="P15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3" s="1">
        <f>+Tabla__192.168.1.8_POSEIDONSQL_APPFVT_01_tbl_detalle_fill_rate[[#This Row],[Cumpl Real Unds]]-Tabla__192.168.1.8_POSEIDONSQL_APPFVT_01_tbl_detalle_fill_rate[[#This Row],[Cant Embarcada]]</f>
        <v>0</v>
      </c>
      <c r="S1553" s="1">
        <f>+IF(Tabla__192.168.1.8_POSEIDONSQL_APPFVT_01_tbl_detalle_fill_rate[[#This Row],[Pend Emb]]&gt;0,1,0)</f>
        <v>0</v>
      </c>
      <c r="T15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4" spans="1:20" x14ac:dyDescent="0.25">
      <c r="A1554">
        <v>1</v>
      </c>
      <c r="B1554" t="s">
        <v>55</v>
      </c>
      <c r="C1554">
        <v>8647990</v>
      </c>
      <c r="D1554" s="48">
        <v>43333</v>
      </c>
      <c r="E1554" s="48">
        <v>43330</v>
      </c>
      <c r="F1554" s="48">
        <v>43340</v>
      </c>
      <c r="G1554" t="s">
        <v>557</v>
      </c>
      <c r="H1554" t="s">
        <v>558</v>
      </c>
      <c r="I1554">
        <v>1</v>
      </c>
      <c r="J1554" t="s">
        <v>1072</v>
      </c>
      <c r="K1554">
        <v>1</v>
      </c>
      <c r="L1554">
        <v>1</v>
      </c>
      <c r="M1554" t="s">
        <v>1965</v>
      </c>
      <c r="N1554">
        <v>0</v>
      </c>
      <c r="O1554" s="1">
        <f>+Tabla__192.168.1.8_POSEIDONSQL_APPFVT_01_tbl_detalle_fill_rate[[#This Row],[emb_cantidad]]-Tabla__192.168.1.8_POSEIDONSQL_APPFVT_01_tbl_detalle_fill_rate[[#This Row],[dev_cantidad]]</f>
        <v>1</v>
      </c>
      <c r="P15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4" s="1">
        <f>+Tabla__192.168.1.8_POSEIDONSQL_APPFVT_01_tbl_detalle_fill_rate[[#This Row],[Cumpl Real Unds]]-Tabla__192.168.1.8_POSEIDONSQL_APPFVT_01_tbl_detalle_fill_rate[[#This Row],[Cant Embarcada]]</f>
        <v>0</v>
      </c>
      <c r="S1554" s="1">
        <f>+IF(Tabla__192.168.1.8_POSEIDONSQL_APPFVT_01_tbl_detalle_fill_rate[[#This Row],[Pend Emb]]&gt;0,1,0)</f>
        <v>0</v>
      </c>
      <c r="T15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5" spans="1:20" x14ac:dyDescent="0.25">
      <c r="A1555">
        <v>1</v>
      </c>
      <c r="B1555" t="s">
        <v>55</v>
      </c>
      <c r="C1555">
        <v>8648110</v>
      </c>
      <c r="D1555" s="48">
        <v>43333</v>
      </c>
      <c r="E1555" s="48">
        <v>43331</v>
      </c>
      <c r="F1555" s="48">
        <v>43340</v>
      </c>
      <c r="G1555" t="s">
        <v>1068</v>
      </c>
      <c r="H1555" t="s">
        <v>1069</v>
      </c>
      <c r="I1555">
        <v>1</v>
      </c>
      <c r="J1555" t="s">
        <v>1070</v>
      </c>
      <c r="K1555">
        <v>1</v>
      </c>
      <c r="L1555">
        <v>1</v>
      </c>
      <c r="M1555" t="s">
        <v>1965</v>
      </c>
      <c r="N1555">
        <v>0</v>
      </c>
      <c r="O1555" s="1">
        <f>+Tabla__192.168.1.8_POSEIDONSQL_APPFVT_01_tbl_detalle_fill_rate[[#This Row],[emb_cantidad]]-Tabla__192.168.1.8_POSEIDONSQL_APPFVT_01_tbl_detalle_fill_rate[[#This Row],[dev_cantidad]]</f>
        <v>1</v>
      </c>
      <c r="P15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5" s="1">
        <f>+Tabla__192.168.1.8_POSEIDONSQL_APPFVT_01_tbl_detalle_fill_rate[[#This Row],[Cumpl Real Unds]]-Tabla__192.168.1.8_POSEIDONSQL_APPFVT_01_tbl_detalle_fill_rate[[#This Row],[Cant Embarcada]]</f>
        <v>0</v>
      </c>
      <c r="S1555" s="1">
        <f>+IF(Tabla__192.168.1.8_POSEIDONSQL_APPFVT_01_tbl_detalle_fill_rate[[#This Row],[Pend Emb]]&gt;0,1,0)</f>
        <v>0</v>
      </c>
      <c r="T15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6" spans="1:20" x14ac:dyDescent="0.25">
      <c r="A1556">
        <v>1</v>
      </c>
      <c r="B1556" t="s">
        <v>55</v>
      </c>
      <c r="C1556">
        <v>8648248</v>
      </c>
      <c r="D1556" s="48">
        <v>43333</v>
      </c>
      <c r="E1556" s="48">
        <v>43331</v>
      </c>
      <c r="F1556" s="48">
        <v>43340</v>
      </c>
      <c r="G1556" t="s">
        <v>521</v>
      </c>
      <c r="H1556" t="s">
        <v>522</v>
      </c>
      <c r="I1556">
        <v>1</v>
      </c>
      <c r="J1556" t="s">
        <v>1073</v>
      </c>
      <c r="K1556">
        <v>1</v>
      </c>
      <c r="L1556">
        <v>1</v>
      </c>
      <c r="M1556" t="s">
        <v>1965</v>
      </c>
      <c r="N1556">
        <v>0</v>
      </c>
      <c r="O1556" s="1">
        <f>+Tabla__192.168.1.8_POSEIDONSQL_APPFVT_01_tbl_detalle_fill_rate[[#This Row],[emb_cantidad]]-Tabla__192.168.1.8_POSEIDONSQL_APPFVT_01_tbl_detalle_fill_rate[[#This Row],[dev_cantidad]]</f>
        <v>1</v>
      </c>
      <c r="P15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6" s="1">
        <f>+Tabla__192.168.1.8_POSEIDONSQL_APPFVT_01_tbl_detalle_fill_rate[[#This Row],[Cumpl Real Unds]]-Tabla__192.168.1.8_POSEIDONSQL_APPFVT_01_tbl_detalle_fill_rate[[#This Row],[Cant Embarcada]]</f>
        <v>0</v>
      </c>
      <c r="S1556" s="1">
        <f>+IF(Tabla__192.168.1.8_POSEIDONSQL_APPFVT_01_tbl_detalle_fill_rate[[#This Row],[Pend Emb]]&gt;0,1,0)</f>
        <v>0</v>
      </c>
      <c r="T15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7" spans="1:20" x14ac:dyDescent="0.25">
      <c r="A1557">
        <v>1</v>
      </c>
      <c r="B1557" t="s">
        <v>55</v>
      </c>
      <c r="C1557">
        <v>8649323</v>
      </c>
      <c r="D1557" s="48">
        <v>43333</v>
      </c>
      <c r="E1557" s="48">
        <v>43332</v>
      </c>
      <c r="F1557" s="48">
        <v>43342</v>
      </c>
      <c r="G1557" t="s">
        <v>1219</v>
      </c>
      <c r="H1557" t="s">
        <v>1220</v>
      </c>
      <c r="I1557">
        <v>1</v>
      </c>
      <c r="J1557" t="s">
        <v>1221</v>
      </c>
      <c r="K1557">
        <v>1</v>
      </c>
      <c r="L1557">
        <v>1</v>
      </c>
      <c r="M1557" t="s">
        <v>1977</v>
      </c>
      <c r="N1557">
        <v>0</v>
      </c>
      <c r="O1557" s="1">
        <f>+Tabla__192.168.1.8_POSEIDONSQL_APPFVT_01_tbl_detalle_fill_rate[[#This Row],[emb_cantidad]]-Tabla__192.168.1.8_POSEIDONSQL_APPFVT_01_tbl_detalle_fill_rate[[#This Row],[dev_cantidad]]</f>
        <v>1</v>
      </c>
      <c r="P15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7" s="1">
        <f>+Tabla__192.168.1.8_POSEIDONSQL_APPFVT_01_tbl_detalle_fill_rate[[#This Row],[Cumpl Real Unds]]-Tabla__192.168.1.8_POSEIDONSQL_APPFVT_01_tbl_detalle_fill_rate[[#This Row],[Cant Embarcada]]</f>
        <v>0</v>
      </c>
      <c r="S1557" s="1">
        <f>+IF(Tabla__192.168.1.8_POSEIDONSQL_APPFVT_01_tbl_detalle_fill_rate[[#This Row],[Pend Emb]]&gt;0,1,0)</f>
        <v>0</v>
      </c>
      <c r="T15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8" spans="1:20" x14ac:dyDescent="0.25">
      <c r="A1558">
        <v>1</v>
      </c>
      <c r="B1558" t="s">
        <v>55</v>
      </c>
      <c r="C1558">
        <v>8651198</v>
      </c>
      <c r="D1558" s="48">
        <v>43334</v>
      </c>
      <c r="E1558" s="48">
        <v>43332</v>
      </c>
      <c r="F1558" s="48">
        <v>43340</v>
      </c>
      <c r="G1558" t="s">
        <v>136</v>
      </c>
      <c r="H1558" t="s">
        <v>137</v>
      </c>
      <c r="I1558">
        <v>1</v>
      </c>
      <c r="J1558" t="s">
        <v>1217</v>
      </c>
      <c r="K1558">
        <v>1</v>
      </c>
      <c r="L1558">
        <v>1</v>
      </c>
      <c r="M1558" t="s">
        <v>1965</v>
      </c>
      <c r="N1558">
        <v>0</v>
      </c>
      <c r="O1558" s="1">
        <f>+Tabla__192.168.1.8_POSEIDONSQL_APPFVT_01_tbl_detalle_fill_rate[[#This Row],[emb_cantidad]]-Tabla__192.168.1.8_POSEIDONSQL_APPFVT_01_tbl_detalle_fill_rate[[#This Row],[dev_cantidad]]</f>
        <v>1</v>
      </c>
      <c r="P15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58" s="1">
        <f>+Tabla__192.168.1.8_POSEIDONSQL_APPFVT_01_tbl_detalle_fill_rate[[#This Row],[Cumpl Real Unds]]-Tabla__192.168.1.8_POSEIDONSQL_APPFVT_01_tbl_detalle_fill_rate[[#This Row],[Cant Embarcada]]</f>
        <v>0</v>
      </c>
      <c r="S1558" s="1">
        <f>+IF(Tabla__192.168.1.8_POSEIDONSQL_APPFVT_01_tbl_detalle_fill_rate[[#This Row],[Pend Emb]]&gt;0,1,0)</f>
        <v>0</v>
      </c>
      <c r="T15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59" spans="1:20" x14ac:dyDescent="0.25">
      <c r="A1559">
        <v>1</v>
      </c>
      <c r="B1559" t="s">
        <v>55</v>
      </c>
      <c r="C1559">
        <v>8652354</v>
      </c>
      <c r="D1559" s="48">
        <v>43334</v>
      </c>
      <c r="E1559" s="48">
        <v>43333</v>
      </c>
      <c r="F1559" s="48">
        <v>43339</v>
      </c>
      <c r="G1559" t="s">
        <v>72</v>
      </c>
      <c r="H1559" t="s">
        <v>73</v>
      </c>
      <c r="I1559">
        <v>40</v>
      </c>
      <c r="J1559" t="s">
        <v>152</v>
      </c>
      <c r="K1559">
        <v>40</v>
      </c>
      <c r="L1559">
        <v>40</v>
      </c>
      <c r="M1559" t="s">
        <v>1971</v>
      </c>
      <c r="N1559">
        <v>0</v>
      </c>
      <c r="O1559" s="1">
        <f>+Tabla__192.168.1.8_POSEIDONSQL_APPFVT_01_tbl_detalle_fill_rate[[#This Row],[emb_cantidad]]-Tabla__192.168.1.8_POSEIDONSQL_APPFVT_01_tbl_detalle_fill_rate[[#This Row],[dev_cantidad]]</f>
        <v>40</v>
      </c>
      <c r="P15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40</v>
      </c>
      <c r="R1559" s="1">
        <f>+Tabla__192.168.1.8_POSEIDONSQL_APPFVT_01_tbl_detalle_fill_rate[[#This Row],[Cumpl Real Unds]]-Tabla__192.168.1.8_POSEIDONSQL_APPFVT_01_tbl_detalle_fill_rate[[#This Row],[Cant Embarcada]]</f>
        <v>0</v>
      </c>
      <c r="S1559" s="1">
        <f>+IF(Tabla__192.168.1.8_POSEIDONSQL_APPFVT_01_tbl_detalle_fill_rate[[#This Row],[Pend Emb]]&gt;0,1,0)</f>
        <v>0</v>
      </c>
      <c r="T15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0" spans="1:20" x14ac:dyDescent="0.25">
      <c r="A1560">
        <v>1</v>
      </c>
      <c r="B1560" t="s">
        <v>55</v>
      </c>
      <c r="C1560">
        <v>8652732</v>
      </c>
      <c r="D1560" s="48">
        <v>43340</v>
      </c>
      <c r="E1560" s="48">
        <v>43333</v>
      </c>
      <c r="F1560" s="48">
        <v>43340</v>
      </c>
      <c r="G1560" t="s">
        <v>255</v>
      </c>
      <c r="H1560" t="s">
        <v>256</v>
      </c>
      <c r="I1560">
        <v>6</v>
      </c>
      <c r="J1560" t="s">
        <v>152</v>
      </c>
      <c r="K1560">
        <v>6</v>
      </c>
      <c r="L1560">
        <v>6</v>
      </c>
      <c r="M1560" t="s">
        <v>1980</v>
      </c>
      <c r="N1560">
        <v>0</v>
      </c>
      <c r="O1560" s="1">
        <f>+Tabla__192.168.1.8_POSEIDONSQL_APPFVT_01_tbl_detalle_fill_rate[[#This Row],[emb_cantidad]]-Tabla__192.168.1.8_POSEIDONSQL_APPFVT_01_tbl_detalle_fill_rate[[#This Row],[dev_cantidad]]</f>
        <v>6</v>
      </c>
      <c r="P15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60" s="1">
        <f>+Tabla__192.168.1.8_POSEIDONSQL_APPFVT_01_tbl_detalle_fill_rate[[#This Row],[Cumpl Real Unds]]-Tabla__192.168.1.8_POSEIDONSQL_APPFVT_01_tbl_detalle_fill_rate[[#This Row],[Cant Embarcada]]</f>
        <v>0</v>
      </c>
      <c r="S1560" s="1">
        <f>+IF(Tabla__192.168.1.8_POSEIDONSQL_APPFVT_01_tbl_detalle_fill_rate[[#This Row],[Pend Emb]]&gt;0,1,0)</f>
        <v>0</v>
      </c>
      <c r="T15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1" spans="1:20" x14ac:dyDescent="0.25">
      <c r="A1561">
        <v>1</v>
      </c>
      <c r="B1561" t="s">
        <v>55</v>
      </c>
      <c r="C1561">
        <v>8652771</v>
      </c>
      <c r="D1561" s="48">
        <v>43334</v>
      </c>
      <c r="E1561" s="48">
        <v>43333</v>
      </c>
      <c r="F1561" s="48">
        <v>43340</v>
      </c>
      <c r="G1561" t="s">
        <v>557</v>
      </c>
      <c r="H1561" t="s">
        <v>558</v>
      </c>
      <c r="I1561">
        <v>1</v>
      </c>
      <c r="J1561" t="s">
        <v>1216</v>
      </c>
      <c r="K1561">
        <v>1</v>
      </c>
      <c r="L1561">
        <v>1</v>
      </c>
      <c r="M1561" t="s">
        <v>1965</v>
      </c>
      <c r="N1561">
        <v>0</v>
      </c>
      <c r="O1561" s="1">
        <f>+Tabla__192.168.1.8_POSEIDONSQL_APPFVT_01_tbl_detalle_fill_rate[[#This Row],[emb_cantidad]]-Tabla__192.168.1.8_POSEIDONSQL_APPFVT_01_tbl_detalle_fill_rate[[#This Row],[dev_cantidad]]</f>
        <v>1</v>
      </c>
      <c r="P15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1" s="1">
        <f>+Tabla__192.168.1.8_POSEIDONSQL_APPFVT_01_tbl_detalle_fill_rate[[#This Row],[Cumpl Real Unds]]-Tabla__192.168.1.8_POSEIDONSQL_APPFVT_01_tbl_detalle_fill_rate[[#This Row],[Cant Embarcada]]</f>
        <v>0</v>
      </c>
      <c r="S1561" s="1">
        <f>+IF(Tabla__192.168.1.8_POSEIDONSQL_APPFVT_01_tbl_detalle_fill_rate[[#This Row],[Pend Emb]]&gt;0,1,0)</f>
        <v>0</v>
      </c>
      <c r="T15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2" spans="1:20" x14ac:dyDescent="0.25">
      <c r="A1562">
        <v>1</v>
      </c>
      <c r="B1562" t="s">
        <v>55</v>
      </c>
      <c r="C1562">
        <v>8653659</v>
      </c>
      <c r="D1562" s="48">
        <v>43335</v>
      </c>
      <c r="E1562" s="48">
        <v>43334</v>
      </c>
      <c r="F1562" s="48">
        <v>43340</v>
      </c>
      <c r="G1562" t="s">
        <v>1189</v>
      </c>
      <c r="H1562" t="s">
        <v>1190</v>
      </c>
      <c r="I1562">
        <v>1</v>
      </c>
      <c r="J1562" t="s">
        <v>1556</v>
      </c>
      <c r="K1562">
        <v>1</v>
      </c>
      <c r="L1562">
        <v>1</v>
      </c>
      <c r="M1562" t="s">
        <v>1965</v>
      </c>
      <c r="N1562">
        <v>0</v>
      </c>
      <c r="O1562" s="1">
        <f>+Tabla__192.168.1.8_POSEIDONSQL_APPFVT_01_tbl_detalle_fill_rate[[#This Row],[emb_cantidad]]-Tabla__192.168.1.8_POSEIDONSQL_APPFVT_01_tbl_detalle_fill_rate[[#This Row],[dev_cantidad]]</f>
        <v>1</v>
      </c>
      <c r="P15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2" s="1">
        <f>+Tabla__192.168.1.8_POSEIDONSQL_APPFVT_01_tbl_detalle_fill_rate[[#This Row],[Cumpl Real Unds]]-Tabla__192.168.1.8_POSEIDONSQL_APPFVT_01_tbl_detalle_fill_rate[[#This Row],[Cant Embarcada]]</f>
        <v>0</v>
      </c>
      <c r="S1562" s="1">
        <f>+IF(Tabla__192.168.1.8_POSEIDONSQL_APPFVT_01_tbl_detalle_fill_rate[[#This Row],[Pend Emb]]&gt;0,1,0)</f>
        <v>0</v>
      </c>
      <c r="T15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3" spans="1:20" x14ac:dyDescent="0.25">
      <c r="A1563">
        <v>1</v>
      </c>
      <c r="B1563" t="s">
        <v>55</v>
      </c>
      <c r="C1563">
        <v>8654027</v>
      </c>
      <c r="D1563" s="48">
        <v>43335</v>
      </c>
      <c r="E1563" s="48">
        <v>43334</v>
      </c>
      <c r="F1563" s="48">
        <v>43340</v>
      </c>
      <c r="G1563" t="s">
        <v>106</v>
      </c>
      <c r="H1563" t="s">
        <v>107</v>
      </c>
      <c r="I1563">
        <v>1</v>
      </c>
      <c r="J1563" t="s">
        <v>1557</v>
      </c>
      <c r="K1563">
        <v>1</v>
      </c>
      <c r="L1563">
        <v>1</v>
      </c>
      <c r="M1563" t="s">
        <v>1965</v>
      </c>
      <c r="N1563">
        <v>0</v>
      </c>
      <c r="O1563" s="1">
        <f>+Tabla__192.168.1.8_POSEIDONSQL_APPFVT_01_tbl_detalle_fill_rate[[#This Row],[emb_cantidad]]-Tabla__192.168.1.8_POSEIDONSQL_APPFVT_01_tbl_detalle_fill_rate[[#This Row],[dev_cantidad]]</f>
        <v>1</v>
      </c>
      <c r="P15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3" s="1">
        <f>+Tabla__192.168.1.8_POSEIDONSQL_APPFVT_01_tbl_detalle_fill_rate[[#This Row],[Cumpl Real Unds]]-Tabla__192.168.1.8_POSEIDONSQL_APPFVT_01_tbl_detalle_fill_rate[[#This Row],[Cant Embarcada]]</f>
        <v>0</v>
      </c>
      <c r="S1563" s="1">
        <f>+IF(Tabla__192.168.1.8_POSEIDONSQL_APPFVT_01_tbl_detalle_fill_rate[[#This Row],[Pend Emb]]&gt;0,1,0)</f>
        <v>0</v>
      </c>
      <c r="T15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4" spans="1:20" x14ac:dyDescent="0.25">
      <c r="A1564">
        <v>1</v>
      </c>
      <c r="B1564" t="s">
        <v>55</v>
      </c>
      <c r="C1564">
        <v>8655329</v>
      </c>
      <c r="D1564" s="48">
        <v>43335</v>
      </c>
      <c r="E1564" s="48">
        <v>43334</v>
      </c>
      <c r="F1564" s="48">
        <v>43354</v>
      </c>
      <c r="G1564" t="s">
        <v>521</v>
      </c>
      <c r="H1564" t="s">
        <v>522</v>
      </c>
      <c r="I1564">
        <v>1</v>
      </c>
      <c r="J1564" t="s">
        <v>577</v>
      </c>
      <c r="K1564">
        <v>1</v>
      </c>
      <c r="L1564">
        <v>1</v>
      </c>
      <c r="M1564" t="s">
        <v>429</v>
      </c>
      <c r="N1564">
        <v>0</v>
      </c>
      <c r="O1564" s="1">
        <f>+Tabla__192.168.1.8_POSEIDONSQL_APPFVT_01_tbl_detalle_fill_rate[[#This Row],[emb_cantidad]]-Tabla__192.168.1.8_POSEIDONSQL_APPFVT_01_tbl_detalle_fill_rate[[#This Row],[dev_cantidad]]</f>
        <v>1</v>
      </c>
      <c r="P15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4" s="1">
        <f>+Tabla__192.168.1.8_POSEIDONSQL_APPFVT_01_tbl_detalle_fill_rate[[#This Row],[Cumpl Real Unds]]-Tabla__192.168.1.8_POSEIDONSQL_APPFVT_01_tbl_detalle_fill_rate[[#This Row],[Cant Embarcada]]</f>
        <v>0</v>
      </c>
      <c r="S1564" s="1">
        <f>+IF(Tabla__192.168.1.8_POSEIDONSQL_APPFVT_01_tbl_detalle_fill_rate[[#This Row],[Pend Emb]]&gt;0,1,0)</f>
        <v>0</v>
      </c>
      <c r="T15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5" spans="1:20" x14ac:dyDescent="0.25">
      <c r="A1565">
        <v>1</v>
      </c>
      <c r="B1565" t="s">
        <v>55</v>
      </c>
      <c r="C1565">
        <v>8656309</v>
      </c>
      <c r="D1565" s="48">
        <v>43336</v>
      </c>
      <c r="E1565" s="48">
        <v>43335</v>
      </c>
      <c r="F1565" s="48">
        <v>43342</v>
      </c>
      <c r="G1565" t="s">
        <v>201</v>
      </c>
      <c r="H1565" t="s">
        <v>202</v>
      </c>
      <c r="I1565">
        <v>1</v>
      </c>
      <c r="J1565" t="s">
        <v>1225</v>
      </c>
      <c r="K1565">
        <v>1</v>
      </c>
      <c r="L1565">
        <v>1</v>
      </c>
      <c r="M1565" t="s">
        <v>1977</v>
      </c>
      <c r="N1565">
        <v>0</v>
      </c>
      <c r="O1565" s="1">
        <f>+Tabla__192.168.1.8_POSEIDONSQL_APPFVT_01_tbl_detalle_fill_rate[[#This Row],[emb_cantidad]]-Tabla__192.168.1.8_POSEIDONSQL_APPFVT_01_tbl_detalle_fill_rate[[#This Row],[dev_cantidad]]</f>
        <v>1</v>
      </c>
      <c r="P15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5" s="1">
        <f>+Tabla__192.168.1.8_POSEIDONSQL_APPFVT_01_tbl_detalle_fill_rate[[#This Row],[Cumpl Real Unds]]-Tabla__192.168.1.8_POSEIDONSQL_APPFVT_01_tbl_detalle_fill_rate[[#This Row],[Cant Embarcada]]</f>
        <v>0</v>
      </c>
      <c r="S1565" s="1">
        <f>+IF(Tabla__192.168.1.8_POSEIDONSQL_APPFVT_01_tbl_detalle_fill_rate[[#This Row],[Pend Emb]]&gt;0,1,0)</f>
        <v>0</v>
      </c>
      <c r="T15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6" spans="1:20" x14ac:dyDescent="0.25">
      <c r="A1566">
        <v>1</v>
      </c>
      <c r="B1566" t="s">
        <v>55</v>
      </c>
      <c r="C1566">
        <v>8656313</v>
      </c>
      <c r="D1566" s="48">
        <v>43336</v>
      </c>
      <c r="E1566" s="48">
        <v>43335</v>
      </c>
      <c r="F1566" s="48">
        <v>43342</v>
      </c>
      <c r="G1566" t="s">
        <v>332</v>
      </c>
      <c r="H1566" t="s">
        <v>333</v>
      </c>
      <c r="I1566">
        <v>1</v>
      </c>
      <c r="J1566" t="s">
        <v>1226</v>
      </c>
      <c r="K1566">
        <v>1</v>
      </c>
      <c r="L1566">
        <v>1</v>
      </c>
      <c r="M1566" t="s">
        <v>1977</v>
      </c>
      <c r="N1566">
        <v>0</v>
      </c>
      <c r="O1566" s="1">
        <f>+Tabla__192.168.1.8_POSEIDONSQL_APPFVT_01_tbl_detalle_fill_rate[[#This Row],[emb_cantidad]]-Tabla__192.168.1.8_POSEIDONSQL_APPFVT_01_tbl_detalle_fill_rate[[#This Row],[dev_cantidad]]</f>
        <v>1</v>
      </c>
      <c r="P15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6" s="1">
        <f>+Tabla__192.168.1.8_POSEIDONSQL_APPFVT_01_tbl_detalle_fill_rate[[#This Row],[Cumpl Real Unds]]-Tabla__192.168.1.8_POSEIDONSQL_APPFVT_01_tbl_detalle_fill_rate[[#This Row],[Cant Embarcada]]</f>
        <v>0</v>
      </c>
      <c r="S1566" s="1">
        <f>+IF(Tabla__192.168.1.8_POSEIDONSQL_APPFVT_01_tbl_detalle_fill_rate[[#This Row],[Pend Emb]]&gt;0,1,0)</f>
        <v>0</v>
      </c>
      <c r="T15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7" spans="1:20" x14ac:dyDescent="0.25">
      <c r="A1567">
        <v>1</v>
      </c>
      <c r="B1567" t="s">
        <v>55</v>
      </c>
      <c r="C1567">
        <v>8656375</v>
      </c>
      <c r="D1567" s="48">
        <v>43336</v>
      </c>
      <c r="E1567" s="48">
        <v>43335</v>
      </c>
      <c r="F1567" s="48">
        <v>43342</v>
      </c>
      <c r="G1567" t="s">
        <v>138</v>
      </c>
      <c r="H1567" t="s">
        <v>139</v>
      </c>
      <c r="I1567">
        <v>1</v>
      </c>
      <c r="J1567" t="s">
        <v>1227</v>
      </c>
      <c r="K1567">
        <v>1</v>
      </c>
      <c r="L1567">
        <v>1</v>
      </c>
      <c r="M1567" t="s">
        <v>1977</v>
      </c>
      <c r="N1567">
        <v>0</v>
      </c>
      <c r="O1567" s="1">
        <f>+Tabla__192.168.1.8_POSEIDONSQL_APPFVT_01_tbl_detalle_fill_rate[[#This Row],[emb_cantidad]]-Tabla__192.168.1.8_POSEIDONSQL_APPFVT_01_tbl_detalle_fill_rate[[#This Row],[dev_cantidad]]</f>
        <v>1</v>
      </c>
      <c r="P15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67" s="1">
        <f>+Tabla__192.168.1.8_POSEIDONSQL_APPFVT_01_tbl_detalle_fill_rate[[#This Row],[Cumpl Real Unds]]-Tabla__192.168.1.8_POSEIDONSQL_APPFVT_01_tbl_detalle_fill_rate[[#This Row],[Cant Embarcada]]</f>
        <v>0</v>
      </c>
      <c r="S1567" s="1">
        <f>+IF(Tabla__192.168.1.8_POSEIDONSQL_APPFVT_01_tbl_detalle_fill_rate[[#This Row],[Pend Emb]]&gt;0,1,0)</f>
        <v>0</v>
      </c>
      <c r="T15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8" spans="1:20" x14ac:dyDescent="0.25">
      <c r="A1568">
        <v>1</v>
      </c>
      <c r="B1568" t="s">
        <v>55</v>
      </c>
      <c r="C1568">
        <v>8656795</v>
      </c>
      <c r="D1568" s="48">
        <v>43336</v>
      </c>
      <c r="E1568" s="48">
        <v>43335</v>
      </c>
      <c r="F1568" s="48">
        <v>43341</v>
      </c>
      <c r="G1568" t="s">
        <v>72</v>
      </c>
      <c r="H1568" t="s">
        <v>73</v>
      </c>
      <c r="I1568">
        <v>24</v>
      </c>
      <c r="J1568" t="s">
        <v>152</v>
      </c>
      <c r="K1568">
        <v>24</v>
      </c>
      <c r="L1568">
        <v>24</v>
      </c>
      <c r="M1568" t="s">
        <v>1980</v>
      </c>
      <c r="N1568">
        <v>0</v>
      </c>
      <c r="O1568" s="1">
        <f>+Tabla__192.168.1.8_POSEIDONSQL_APPFVT_01_tbl_detalle_fill_rate[[#This Row],[emb_cantidad]]-Tabla__192.168.1.8_POSEIDONSQL_APPFVT_01_tbl_detalle_fill_rate[[#This Row],[dev_cantidad]]</f>
        <v>24</v>
      </c>
      <c r="P15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1568" s="1">
        <f>+Tabla__192.168.1.8_POSEIDONSQL_APPFVT_01_tbl_detalle_fill_rate[[#This Row],[Cumpl Real Unds]]-Tabla__192.168.1.8_POSEIDONSQL_APPFVT_01_tbl_detalle_fill_rate[[#This Row],[Cant Embarcada]]</f>
        <v>0</v>
      </c>
      <c r="S1568" s="1">
        <f>+IF(Tabla__192.168.1.8_POSEIDONSQL_APPFVT_01_tbl_detalle_fill_rate[[#This Row],[Pend Emb]]&gt;0,1,0)</f>
        <v>0</v>
      </c>
      <c r="T15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69" spans="1:20" x14ac:dyDescent="0.25">
      <c r="A1569">
        <v>1</v>
      </c>
      <c r="B1569" t="s">
        <v>55</v>
      </c>
      <c r="C1569">
        <v>8656795</v>
      </c>
      <c r="D1569" s="48">
        <v>43336</v>
      </c>
      <c r="E1569" s="48">
        <v>43335</v>
      </c>
      <c r="F1569" s="48">
        <v>43341</v>
      </c>
      <c r="G1569" t="s">
        <v>148</v>
      </c>
      <c r="H1569" t="s">
        <v>149</v>
      </c>
      <c r="I1569">
        <v>6</v>
      </c>
      <c r="J1569" t="s">
        <v>154</v>
      </c>
      <c r="K1569">
        <v>6</v>
      </c>
      <c r="L1569">
        <v>6</v>
      </c>
      <c r="M1569" t="s">
        <v>1980</v>
      </c>
      <c r="N1569">
        <v>0</v>
      </c>
      <c r="O1569" s="1">
        <f>+Tabla__192.168.1.8_POSEIDONSQL_APPFVT_01_tbl_detalle_fill_rate[[#This Row],[emb_cantidad]]-Tabla__192.168.1.8_POSEIDONSQL_APPFVT_01_tbl_detalle_fill_rate[[#This Row],[dev_cantidad]]</f>
        <v>6</v>
      </c>
      <c r="P15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69" s="1">
        <f>+Tabla__192.168.1.8_POSEIDONSQL_APPFVT_01_tbl_detalle_fill_rate[[#This Row],[Cumpl Real Unds]]-Tabla__192.168.1.8_POSEIDONSQL_APPFVT_01_tbl_detalle_fill_rate[[#This Row],[Cant Embarcada]]</f>
        <v>0</v>
      </c>
      <c r="S1569" s="1">
        <f>+IF(Tabla__192.168.1.8_POSEIDONSQL_APPFVT_01_tbl_detalle_fill_rate[[#This Row],[Pend Emb]]&gt;0,1,0)</f>
        <v>0</v>
      </c>
      <c r="T15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0" spans="1:20" x14ac:dyDescent="0.25">
      <c r="A1570">
        <v>1</v>
      </c>
      <c r="B1570" t="s">
        <v>55</v>
      </c>
      <c r="C1570">
        <v>8656795</v>
      </c>
      <c r="D1570" s="48">
        <v>43336</v>
      </c>
      <c r="E1570" s="48">
        <v>43335</v>
      </c>
      <c r="F1570" s="48">
        <v>43341</v>
      </c>
      <c r="G1570" t="s">
        <v>157</v>
      </c>
      <c r="H1570" t="s">
        <v>158</v>
      </c>
      <c r="I1570">
        <v>18</v>
      </c>
      <c r="J1570" t="s">
        <v>153</v>
      </c>
      <c r="K1570">
        <v>18</v>
      </c>
      <c r="L1570">
        <v>18</v>
      </c>
      <c r="M1570" t="s">
        <v>1980</v>
      </c>
      <c r="N1570">
        <v>0</v>
      </c>
      <c r="O1570" s="1">
        <f>+Tabla__192.168.1.8_POSEIDONSQL_APPFVT_01_tbl_detalle_fill_rate[[#This Row],[emb_cantidad]]-Tabla__192.168.1.8_POSEIDONSQL_APPFVT_01_tbl_detalle_fill_rate[[#This Row],[dev_cantidad]]</f>
        <v>18</v>
      </c>
      <c r="P15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570" s="1">
        <f>+Tabla__192.168.1.8_POSEIDONSQL_APPFVT_01_tbl_detalle_fill_rate[[#This Row],[Cumpl Real Unds]]-Tabla__192.168.1.8_POSEIDONSQL_APPFVT_01_tbl_detalle_fill_rate[[#This Row],[Cant Embarcada]]</f>
        <v>0</v>
      </c>
      <c r="S1570" s="1">
        <f>+IF(Tabla__192.168.1.8_POSEIDONSQL_APPFVT_01_tbl_detalle_fill_rate[[#This Row],[Pend Emb]]&gt;0,1,0)</f>
        <v>0</v>
      </c>
      <c r="T15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1" spans="1:20" x14ac:dyDescent="0.25">
      <c r="A1571">
        <v>1</v>
      </c>
      <c r="B1571" t="s">
        <v>55</v>
      </c>
      <c r="C1571">
        <v>8656795</v>
      </c>
      <c r="D1571" s="48">
        <v>43336</v>
      </c>
      <c r="E1571" s="48">
        <v>43335</v>
      </c>
      <c r="F1571" s="48">
        <v>43341</v>
      </c>
      <c r="G1571" t="s">
        <v>98</v>
      </c>
      <c r="H1571" t="s">
        <v>99</v>
      </c>
      <c r="I1571">
        <v>6</v>
      </c>
      <c r="J1571" t="s">
        <v>155</v>
      </c>
      <c r="K1571">
        <v>6</v>
      </c>
      <c r="L1571">
        <v>6</v>
      </c>
      <c r="M1571" t="s">
        <v>1980</v>
      </c>
      <c r="N1571">
        <v>0</v>
      </c>
      <c r="O1571" s="1">
        <f>+Tabla__192.168.1.8_POSEIDONSQL_APPFVT_01_tbl_detalle_fill_rate[[#This Row],[emb_cantidad]]-Tabla__192.168.1.8_POSEIDONSQL_APPFVT_01_tbl_detalle_fill_rate[[#This Row],[dev_cantidad]]</f>
        <v>6</v>
      </c>
      <c r="P15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71" s="1">
        <f>+Tabla__192.168.1.8_POSEIDONSQL_APPFVT_01_tbl_detalle_fill_rate[[#This Row],[Cumpl Real Unds]]-Tabla__192.168.1.8_POSEIDONSQL_APPFVT_01_tbl_detalle_fill_rate[[#This Row],[Cant Embarcada]]</f>
        <v>0</v>
      </c>
      <c r="S1571" s="1">
        <f>+IF(Tabla__192.168.1.8_POSEIDONSQL_APPFVT_01_tbl_detalle_fill_rate[[#This Row],[Pend Emb]]&gt;0,1,0)</f>
        <v>0</v>
      </c>
      <c r="T15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2" spans="1:20" x14ac:dyDescent="0.25">
      <c r="A1572">
        <v>1</v>
      </c>
      <c r="B1572" t="s">
        <v>55</v>
      </c>
      <c r="C1572">
        <v>8656795</v>
      </c>
      <c r="D1572" s="48">
        <v>43336</v>
      </c>
      <c r="E1572" s="48">
        <v>43335</v>
      </c>
      <c r="F1572" s="48">
        <v>43341</v>
      </c>
      <c r="G1572" t="s">
        <v>242</v>
      </c>
      <c r="H1572" t="s">
        <v>243</v>
      </c>
      <c r="I1572">
        <v>12</v>
      </c>
      <c r="J1572" t="s">
        <v>156</v>
      </c>
      <c r="K1572">
        <v>12</v>
      </c>
      <c r="L1572">
        <v>12</v>
      </c>
      <c r="M1572" t="s">
        <v>1980</v>
      </c>
      <c r="N1572">
        <v>0</v>
      </c>
      <c r="O1572" s="1">
        <f>+Tabla__192.168.1.8_POSEIDONSQL_APPFVT_01_tbl_detalle_fill_rate[[#This Row],[emb_cantidad]]-Tabla__192.168.1.8_POSEIDONSQL_APPFVT_01_tbl_detalle_fill_rate[[#This Row],[dev_cantidad]]</f>
        <v>12</v>
      </c>
      <c r="P15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572" s="1">
        <f>+Tabla__192.168.1.8_POSEIDONSQL_APPFVT_01_tbl_detalle_fill_rate[[#This Row],[Cumpl Real Unds]]-Tabla__192.168.1.8_POSEIDONSQL_APPFVT_01_tbl_detalle_fill_rate[[#This Row],[Cant Embarcada]]</f>
        <v>0</v>
      </c>
      <c r="S1572" s="1">
        <f>+IF(Tabla__192.168.1.8_POSEIDONSQL_APPFVT_01_tbl_detalle_fill_rate[[#This Row],[Pend Emb]]&gt;0,1,0)</f>
        <v>0</v>
      </c>
      <c r="T15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3" spans="1:20" x14ac:dyDescent="0.25">
      <c r="A1573">
        <v>1</v>
      </c>
      <c r="B1573" t="s">
        <v>55</v>
      </c>
      <c r="C1573">
        <v>8656795</v>
      </c>
      <c r="D1573" s="48">
        <v>43336</v>
      </c>
      <c r="E1573" s="48">
        <v>43335</v>
      </c>
      <c r="F1573" s="48">
        <v>43341</v>
      </c>
      <c r="G1573" t="s">
        <v>100</v>
      </c>
      <c r="H1573" t="s">
        <v>101</v>
      </c>
      <c r="I1573">
        <v>6</v>
      </c>
      <c r="J1573" t="s">
        <v>244</v>
      </c>
      <c r="K1573">
        <v>6</v>
      </c>
      <c r="L1573">
        <v>6</v>
      </c>
      <c r="M1573" t="s">
        <v>1980</v>
      </c>
      <c r="N1573">
        <v>0</v>
      </c>
      <c r="O1573" s="1">
        <f>+Tabla__192.168.1.8_POSEIDONSQL_APPFVT_01_tbl_detalle_fill_rate[[#This Row],[emb_cantidad]]-Tabla__192.168.1.8_POSEIDONSQL_APPFVT_01_tbl_detalle_fill_rate[[#This Row],[dev_cantidad]]</f>
        <v>6</v>
      </c>
      <c r="P15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73" s="1">
        <f>+Tabla__192.168.1.8_POSEIDONSQL_APPFVT_01_tbl_detalle_fill_rate[[#This Row],[Cumpl Real Unds]]-Tabla__192.168.1.8_POSEIDONSQL_APPFVT_01_tbl_detalle_fill_rate[[#This Row],[Cant Embarcada]]</f>
        <v>0</v>
      </c>
      <c r="S1573" s="1">
        <f>+IF(Tabla__192.168.1.8_POSEIDONSQL_APPFVT_01_tbl_detalle_fill_rate[[#This Row],[Pend Emb]]&gt;0,1,0)</f>
        <v>0</v>
      </c>
      <c r="T15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4" spans="1:20" x14ac:dyDescent="0.25">
      <c r="A1574">
        <v>1</v>
      </c>
      <c r="B1574" t="s">
        <v>55</v>
      </c>
      <c r="C1574">
        <v>8656795</v>
      </c>
      <c r="D1574" s="48">
        <v>43336</v>
      </c>
      <c r="E1574" s="48">
        <v>43335</v>
      </c>
      <c r="F1574" s="48">
        <v>43341</v>
      </c>
      <c r="G1574" t="s">
        <v>238</v>
      </c>
      <c r="H1574" t="s">
        <v>239</v>
      </c>
      <c r="I1574">
        <v>6</v>
      </c>
      <c r="J1574" t="s">
        <v>410</v>
      </c>
      <c r="K1574">
        <v>6</v>
      </c>
      <c r="L1574">
        <v>6</v>
      </c>
      <c r="M1574" t="s">
        <v>1980</v>
      </c>
      <c r="N1574">
        <v>0</v>
      </c>
      <c r="O1574" s="1">
        <f>+Tabla__192.168.1.8_POSEIDONSQL_APPFVT_01_tbl_detalle_fill_rate[[#This Row],[emb_cantidad]]-Tabla__192.168.1.8_POSEIDONSQL_APPFVT_01_tbl_detalle_fill_rate[[#This Row],[dev_cantidad]]</f>
        <v>6</v>
      </c>
      <c r="P15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574" s="1">
        <f>+Tabla__192.168.1.8_POSEIDONSQL_APPFVT_01_tbl_detalle_fill_rate[[#This Row],[Cumpl Real Unds]]-Tabla__192.168.1.8_POSEIDONSQL_APPFVT_01_tbl_detalle_fill_rate[[#This Row],[Cant Embarcada]]</f>
        <v>0</v>
      </c>
      <c r="S1574" s="1">
        <f>+IF(Tabla__192.168.1.8_POSEIDONSQL_APPFVT_01_tbl_detalle_fill_rate[[#This Row],[Pend Emb]]&gt;0,1,0)</f>
        <v>0</v>
      </c>
      <c r="T15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5" spans="1:20" x14ac:dyDescent="0.25">
      <c r="A1575">
        <v>1</v>
      </c>
      <c r="B1575" t="s">
        <v>55</v>
      </c>
      <c r="C1575">
        <v>8657408</v>
      </c>
      <c r="D1575" s="48">
        <v>43336</v>
      </c>
      <c r="E1575" s="48">
        <v>43335</v>
      </c>
      <c r="F1575" s="48">
        <v>43348</v>
      </c>
      <c r="G1575" t="s">
        <v>263</v>
      </c>
      <c r="H1575" t="s">
        <v>264</v>
      </c>
      <c r="I1575">
        <v>4</v>
      </c>
      <c r="J1575" t="s">
        <v>152</v>
      </c>
      <c r="K1575">
        <v>4</v>
      </c>
      <c r="L1575">
        <v>4</v>
      </c>
      <c r="M1575" t="s">
        <v>1962</v>
      </c>
      <c r="N1575">
        <v>0</v>
      </c>
      <c r="O1575" s="1">
        <f>+Tabla__192.168.1.8_POSEIDONSQL_APPFVT_01_tbl_detalle_fill_rate[[#This Row],[emb_cantidad]]-Tabla__192.168.1.8_POSEIDONSQL_APPFVT_01_tbl_detalle_fill_rate[[#This Row],[dev_cantidad]]</f>
        <v>4</v>
      </c>
      <c r="P15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575" s="1">
        <f>+Tabla__192.168.1.8_POSEIDONSQL_APPFVT_01_tbl_detalle_fill_rate[[#This Row],[Cumpl Real Unds]]-Tabla__192.168.1.8_POSEIDONSQL_APPFVT_01_tbl_detalle_fill_rate[[#This Row],[Cant Embarcada]]</f>
        <v>0</v>
      </c>
      <c r="S1575" s="1">
        <f>+IF(Tabla__192.168.1.8_POSEIDONSQL_APPFVT_01_tbl_detalle_fill_rate[[#This Row],[Pend Emb]]&gt;0,1,0)</f>
        <v>0</v>
      </c>
      <c r="T15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6" spans="1:20" x14ac:dyDescent="0.25">
      <c r="A1576">
        <v>1</v>
      </c>
      <c r="B1576" t="s">
        <v>55</v>
      </c>
      <c r="C1576">
        <v>8657408</v>
      </c>
      <c r="D1576" s="48">
        <v>43336</v>
      </c>
      <c r="E1576" s="48">
        <v>43335</v>
      </c>
      <c r="F1576" s="48">
        <v>43348</v>
      </c>
      <c r="G1576" t="s">
        <v>265</v>
      </c>
      <c r="H1576" t="s">
        <v>266</v>
      </c>
      <c r="I1576">
        <v>4</v>
      </c>
      <c r="J1576" t="s">
        <v>154</v>
      </c>
      <c r="K1576">
        <v>4</v>
      </c>
      <c r="L1576">
        <v>4</v>
      </c>
      <c r="M1576" t="s">
        <v>1962</v>
      </c>
      <c r="N1576">
        <v>0</v>
      </c>
      <c r="O1576" s="1">
        <f>+Tabla__192.168.1.8_POSEIDONSQL_APPFVT_01_tbl_detalle_fill_rate[[#This Row],[emb_cantidad]]-Tabla__192.168.1.8_POSEIDONSQL_APPFVT_01_tbl_detalle_fill_rate[[#This Row],[dev_cantidad]]</f>
        <v>4</v>
      </c>
      <c r="P15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576" s="1">
        <f>+Tabla__192.168.1.8_POSEIDONSQL_APPFVT_01_tbl_detalle_fill_rate[[#This Row],[Cumpl Real Unds]]-Tabla__192.168.1.8_POSEIDONSQL_APPFVT_01_tbl_detalle_fill_rate[[#This Row],[Cant Embarcada]]</f>
        <v>0</v>
      </c>
      <c r="S1576" s="1">
        <f>+IF(Tabla__192.168.1.8_POSEIDONSQL_APPFVT_01_tbl_detalle_fill_rate[[#This Row],[Pend Emb]]&gt;0,1,0)</f>
        <v>0</v>
      </c>
      <c r="T15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7" spans="1:20" x14ac:dyDescent="0.25">
      <c r="A1577">
        <v>1</v>
      </c>
      <c r="B1577" t="s">
        <v>55</v>
      </c>
      <c r="C1577">
        <v>8657409</v>
      </c>
      <c r="D1577" s="48">
        <v>43336</v>
      </c>
      <c r="E1577" s="48">
        <v>43335</v>
      </c>
      <c r="F1577" s="48">
        <v>43348</v>
      </c>
      <c r="G1577" t="s">
        <v>90</v>
      </c>
      <c r="H1577" t="s">
        <v>91</v>
      </c>
      <c r="I1577">
        <v>8</v>
      </c>
      <c r="J1577" t="s">
        <v>154</v>
      </c>
      <c r="K1577">
        <v>8</v>
      </c>
      <c r="L1577">
        <v>8</v>
      </c>
      <c r="M1577" t="s">
        <v>1962</v>
      </c>
      <c r="N1577">
        <v>0</v>
      </c>
      <c r="O1577" s="1">
        <f>+Tabla__192.168.1.8_POSEIDONSQL_APPFVT_01_tbl_detalle_fill_rate[[#This Row],[emb_cantidad]]-Tabla__192.168.1.8_POSEIDONSQL_APPFVT_01_tbl_detalle_fill_rate[[#This Row],[dev_cantidad]]</f>
        <v>8</v>
      </c>
      <c r="P15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1577" s="1">
        <f>+Tabla__192.168.1.8_POSEIDONSQL_APPFVT_01_tbl_detalle_fill_rate[[#This Row],[Cumpl Real Unds]]-Tabla__192.168.1.8_POSEIDONSQL_APPFVT_01_tbl_detalle_fill_rate[[#This Row],[Cant Embarcada]]</f>
        <v>0</v>
      </c>
      <c r="S1577" s="1">
        <f>+IF(Tabla__192.168.1.8_POSEIDONSQL_APPFVT_01_tbl_detalle_fill_rate[[#This Row],[Pend Emb]]&gt;0,1,0)</f>
        <v>0</v>
      </c>
      <c r="T15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8" spans="1:20" x14ac:dyDescent="0.25">
      <c r="A1578">
        <v>1</v>
      </c>
      <c r="B1578" t="s">
        <v>55</v>
      </c>
      <c r="C1578">
        <v>8657409</v>
      </c>
      <c r="D1578" s="48">
        <v>43336</v>
      </c>
      <c r="E1578" s="48">
        <v>43335</v>
      </c>
      <c r="F1578" s="48">
        <v>43348</v>
      </c>
      <c r="G1578" t="s">
        <v>104</v>
      </c>
      <c r="H1578" t="s">
        <v>105</v>
      </c>
      <c r="I1578">
        <v>5</v>
      </c>
      <c r="J1578" t="s">
        <v>152</v>
      </c>
      <c r="K1578">
        <v>5</v>
      </c>
      <c r="L1578">
        <v>5</v>
      </c>
      <c r="M1578" t="s">
        <v>1962</v>
      </c>
      <c r="N1578">
        <v>0</v>
      </c>
      <c r="O1578" s="1">
        <f>+Tabla__192.168.1.8_POSEIDONSQL_APPFVT_01_tbl_detalle_fill_rate[[#This Row],[emb_cantidad]]-Tabla__192.168.1.8_POSEIDONSQL_APPFVT_01_tbl_detalle_fill_rate[[#This Row],[dev_cantidad]]</f>
        <v>5</v>
      </c>
      <c r="P15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</v>
      </c>
      <c r="R1578" s="1">
        <f>+Tabla__192.168.1.8_POSEIDONSQL_APPFVT_01_tbl_detalle_fill_rate[[#This Row],[Cumpl Real Unds]]-Tabla__192.168.1.8_POSEIDONSQL_APPFVT_01_tbl_detalle_fill_rate[[#This Row],[Cant Embarcada]]</f>
        <v>0</v>
      </c>
      <c r="S1578" s="1">
        <f>+IF(Tabla__192.168.1.8_POSEIDONSQL_APPFVT_01_tbl_detalle_fill_rate[[#This Row],[Pend Emb]]&gt;0,1,0)</f>
        <v>0</v>
      </c>
      <c r="T15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79" spans="1:20" x14ac:dyDescent="0.25">
      <c r="A1579">
        <v>1</v>
      </c>
      <c r="B1579" t="s">
        <v>55</v>
      </c>
      <c r="C1579">
        <v>8657409</v>
      </c>
      <c r="D1579" s="48">
        <v>43336</v>
      </c>
      <c r="E1579" s="48">
        <v>43335</v>
      </c>
      <c r="F1579" s="48">
        <v>43348</v>
      </c>
      <c r="G1579" t="s">
        <v>1229</v>
      </c>
      <c r="H1579" t="s">
        <v>1230</v>
      </c>
      <c r="I1579">
        <v>11</v>
      </c>
      <c r="J1579" t="s">
        <v>153</v>
      </c>
      <c r="K1579">
        <v>0</v>
      </c>
      <c r="L1579">
        <v>0</v>
      </c>
      <c r="M1579" t="s">
        <v>1962</v>
      </c>
      <c r="N1579">
        <v>0</v>
      </c>
      <c r="O1579" s="1">
        <f>+Tabla__192.168.1.8_POSEIDONSQL_APPFVT_01_tbl_detalle_fill_rate[[#This Row],[emb_cantidad]]-Tabla__192.168.1.8_POSEIDONSQL_APPFVT_01_tbl_detalle_fill_rate[[#This Row],[dev_cantidad]]</f>
        <v>0</v>
      </c>
      <c r="P15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79" s="1">
        <f>+Tabla__192.168.1.8_POSEIDONSQL_APPFVT_01_tbl_detalle_fill_rate[[#This Row],[Cumpl Real Unds]]-Tabla__192.168.1.8_POSEIDONSQL_APPFVT_01_tbl_detalle_fill_rate[[#This Row],[Cant Embarcada]]</f>
        <v>0</v>
      </c>
      <c r="S1579" s="1">
        <f>+IF(Tabla__192.168.1.8_POSEIDONSQL_APPFVT_01_tbl_detalle_fill_rate[[#This Row],[Pend Emb]]&gt;0,1,0)</f>
        <v>0</v>
      </c>
      <c r="T15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0" spans="1:20" x14ac:dyDescent="0.25">
      <c r="A1580">
        <v>1</v>
      </c>
      <c r="B1580" t="s">
        <v>55</v>
      </c>
      <c r="C1580">
        <v>8657409</v>
      </c>
      <c r="D1580" s="48">
        <v>43336</v>
      </c>
      <c r="E1580" s="48">
        <v>43335</v>
      </c>
      <c r="F1580" s="48">
        <v>43348</v>
      </c>
      <c r="G1580" t="s">
        <v>267</v>
      </c>
      <c r="H1580" t="s">
        <v>268</v>
      </c>
      <c r="I1580">
        <v>3</v>
      </c>
      <c r="J1580" t="s">
        <v>155</v>
      </c>
      <c r="K1580">
        <v>0</v>
      </c>
      <c r="L1580">
        <v>0</v>
      </c>
      <c r="M1580" t="s">
        <v>1962</v>
      </c>
      <c r="N1580">
        <v>0</v>
      </c>
      <c r="O1580" s="1">
        <f>+Tabla__192.168.1.8_POSEIDONSQL_APPFVT_01_tbl_detalle_fill_rate[[#This Row],[emb_cantidad]]-Tabla__192.168.1.8_POSEIDONSQL_APPFVT_01_tbl_detalle_fill_rate[[#This Row],[dev_cantidad]]</f>
        <v>0</v>
      </c>
      <c r="P15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580" s="1">
        <f>+Tabla__192.168.1.8_POSEIDONSQL_APPFVT_01_tbl_detalle_fill_rate[[#This Row],[Cumpl Real Unds]]-Tabla__192.168.1.8_POSEIDONSQL_APPFVT_01_tbl_detalle_fill_rate[[#This Row],[Cant Embarcada]]</f>
        <v>0</v>
      </c>
      <c r="S1580" s="1">
        <f>+IF(Tabla__192.168.1.8_POSEIDONSQL_APPFVT_01_tbl_detalle_fill_rate[[#This Row],[Pend Emb]]&gt;0,1,0)</f>
        <v>0</v>
      </c>
      <c r="T15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1" spans="1:20" x14ac:dyDescent="0.25">
      <c r="A1581">
        <v>1</v>
      </c>
      <c r="B1581" t="s">
        <v>55</v>
      </c>
      <c r="C1581">
        <v>8657919</v>
      </c>
      <c r="D1581" s="48">
        <v>43339</v>
      </c>
      <c r="E1581" s="48">
        <v>43335</v>
      </c>
      <c r="F1581" s="48">
        <v>43342</v>
      </c>
      <c r="G1581" t="s">
        <v>910</v>
      </c>
      <c r="H1581" t="s">
        <v>911</v>
      </c>
      <c r="I1581">
        <v>1</v>
      </c>
      <c r="J1581" t="s">
        <v>1228</v>
      </c>
      <c r="K1581">
        <v>1</v>
      </c>
      <c r="L1581">
        <v>1</v>
      </c>
      <c r="M1581" t="s">
        <v>1977</v>
      </c>
      <c r="N1581">
        <v>0</v>
      </c>
      <c r="O1581" s="1">
        <f>+Tabla__192.168.1.8_POSEIDONSQL_APPFVT_01_tbl_detalle_fill_rate[[#This Row],[emb_cantidad]]-Tabla__192.168.1.8_POSEIDONSQL_APPFVT_01_tbl_detalle_fill_rate[[#This Row],[dev_cantidad]]</f>
        <v>1</v>
      </c>
      <c r="P15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1" s="1">
        <f>+Tabla__192.168.1.8_POSEIDONSQL_APPFVT_01_tbl_detalle_fill_rate[[#This Row],[Cumpl Real Unds]]-Tabla__192.168.1.8_POSEIDONSQL_APPFVT_01_tbl_detalle_fill_rate[[#This Row],[Cant Embarcada]]</f>
        <v>0</v>
      </c>
      <c r="S1581" s="1">
        <f>+IF(Tabla__192.168.1.8_POSEIDONSQL_APPFVT_01_tbl_detalle_fill_rate[[#This Row],[Pend Emb]]&gt;0,1,0)</f>
        <v>0</v>
      </c>
      <c r="T15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2" spans="1:20" x14ac:dyDescent="0.25">
      <c r="A1582">
        <v>1</v>
      </c>
      <c r="B1582" t="s">
        <v>55</v>
      </c>
      <c r="C1582">
        <v>8657981</v>
      </c>
      <c r="D1582" s="48">
        <v>43339</v>
      </c>
      <c r="E1582" s="48">
        <v>43336</v>
      </c>
      <c r="F1582" s="48">
        <v>43342</v>
      </c>
      <c r="G1582" t="s">
        <v>661</v>
      </c>
      <c r="H1582" t="s">
        <v>662</v>
      </c>
      <c r="I1582">
        <v>1</v>
      </c>
      <c r="J1582" t="s">
        <v>1222</v>
      </c>
      <c r="K1582">
        <v>1</v>
      </c>
      <c r="L1582">
        <v>1</v>
      </c>
      <c r="M1582" t="s">
        <v>1977</v>
      </c>
      <c r="N1582">
        <v>0</v>
      </c>
      <c r="O1582" s="1">
        <f>+Tabla__192.168.1.8_POSEIDONSQL_APPFVT_01_tbl_detalle_fill_rate[[#This Row],[emb_cantidad]]-Tabla__192.168.1.8_POSEIDONSQL_APPFVT_01_tbl_detalle_fill_rate[[#This Row],[dev_cantidad]]</f>
        <v>1</v>
      </c>
      <c r="P15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2" s="1">
        <f>+Tabla__192.168.1.8_POSEIDONSQL_APPFVT_01_tbl_detalle_fill_rate[[#This Row],[Cumpl Real Unds]]-Tabla__192.168.1.8_POSEIDONSQL_APPFVT_01_tbl_detalle_fill_rate[[#This Row],[Cant Embarcada]]</f>
        <v>0</v>
      </c>
      <c r="S1582" s="1">
        <f>+IF(Tabla__192.168.1.8_POSEIDONSQL_APPFVT_01_tbl_detalle_fill_rate[[#This Row],[Pend Emb]]&gt;0,1,0)</f>
        <v>0</v>
      </c>
      <c r="T158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3" spans="1:20" x14ac:dyDescent="0.25">
      <c r="A1583">
        <v>1</v>
      </c>
      <c r="B1583" t="s">
        <v>55</v>
      </c>
      <c r="C1583">
        <v>8658014</v>
      </c>
      <c r="D1583" s="48">
        <v>43339</v>
      </c>
      <c r="E1583" s="48">
        <v>43336</v>
      </c>
      <c r="F1583" s="48">
        <v>43349</v>
      </c>
      <c r="G1583" t="s">
        <v>238</v>
      </c>
      <c r="H1583" t="s">
        <v>239</v>
      </c>
      <c r="I1583">
        <v>30</v>
      </c>
      <c r="J1583" t="s">
        <v>152</v>
      </c>
      <c r="K1583">
        <v>30</v>
      </c>
      <c r="L1583">
        <v>30</v>
      </c>
      <c r="M1583" t="s">
        <v>1977</v>
      </c>
      <c r="N1583">
        <v>0</v>
      </c>
      <c r="O1583" s="1">
        <f>+Tabla__192.168.1.8_POSEIDONSQL_APPFVT_01_tbl_detalle_fill_rate[[#This Row],[emb_cantidad]]-Tabla__192.168.1.8_POSEIDONSQL_APPFVT_01_tbl_detalle_fill_rate[[#This Row],[dev_cantidad]]</f>
        <v>30</v>
      </c>
      <c r="P158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1583" s="1">
        <f>+Tabla__192.168.1.8_POSEIDONSQL_APPFVT_01_tbl_detalle_fill_rate[[#This Row],[Cumpl Real Unds]]-Tabla__192.168.1.8_POSEIDONSQL_APPFVT_01_tbl_detalle_fill_rate[[#This Row],[Cant Embarcada]]</f>
        <v>0</v>
      </c>
      <c r="S1583" s="1">
        <f>+IF(Tabla__192.168.1.8_POSEIDONSQL_APPFVT_01_tbl_detalle_fill_rate[[#This Row],[Pend Emb]]&gt;0,1,0)</f>
        <v>0</v>
      </c>
      <c r="T158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4" spans="1:20" x14ac:dyDescent="0.25">
      <c r="A1584">
        <v>1</v>
      </c>
      <c r="B1584" t="s">
        <v>55</v>
      </c>
      <c r="C1584">
        <v>8658107</v>
      </c>
      <c r="D1584" s="48">
        <v>43339</v>
      </c>
      <c r="E1584" s="48">
        <v>43336</v>
      </c>
      <c r="F1584" s="48">
        <v>43342</v>
      </c>
      <c r="G1584" t="s">
        <v>78</v>
      </c>
      <c r="H1584" t="s">
        <v>79</v>
      </c>
      <c r="I1584">
        <v>1</v>
      </c>
      <c r="J1584" t="s">
        <v>1223</v>
      </c>
      <c r="K1584">
        <v>1</v>
      </c>
      <c r="L1584">
        <v>1</v>
      </c>
      <c r="M1584" t="s">
        <v>1977</v>
      </c>
      <c r="N1584">
        <v>0</v>
      </c>
      <c r="O1584" s="1">
        <f>+Tabla__192.168.1.8_POSEIDONSQL_APPFVT_01_tbl_detalle_fill_rate[[#This Row],[emb_cantidad]]-Tabla__192.168.1.8_POSEIDONSQL_APPFVT_01_tbl_detalle_fill_rate[[#This Row],[dev_cantidad]]</f>
        <v>1</v>
      </c>
      <c r="P158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4" s="1">
        <f>+Tabla__192.168.1.8_POSEIDONSQL_APPFVT_01_tbl_detalle_fill_rate[[#This Row],[Cumpl Real Unds]]-Tabla__192.168.1.8_POSEIDONSQL_APPFVT_01_tbl_detalle_fill_rate[[#This Row],[Cant Embarcada]]</f>
        <v>0</v>
      </c>
      <c r="S1584" s="1">
        <f>+IF(Tabla__192.168.1.8_POSEIDONSQL_APPFVT_01_tbl_detalle_fill_rate[[#This Row],[Pend Emb]]&gt;0,1,0)</f>
        <v>0</v>
      </c>
      <c r="T158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5" spans="1:20" x14ac:dyDescent="0.25">
      <c r="A1585">
        <v>1</v>
      </c>
      <c r="B1585" t="s">
        <v>55</v>
      </c>
      <c r="C1585">
        <v>8658643</v>
      </c>
      <c r="D1585" s="48">
        <v>43339</v>
      </c>
      <c r="E1585" s="48">
        <v>43336</v>
      </c>
      <c r="F1585" s="48">
        <v>43342</v>
      </c>
      <c r="G1585" t="s">
        <v>269</v>
      </c>
      <c r="H1585" t="s">
        <v>270</v>
      </c>
      <c r="I1585">
        <v>1</v>
      </c>
      <c r="J1585" t="s">
        <v>1224</v>
      </c>
      <c r="K1585">
        <v>1</v>
      </c>
      <c r="L1585">
        <v>1</v>
      </c>
      <c r="M1585" t="s">
        <v>1977</v>
      </c>
      <c r="N1585">
        <v>0</v>
      </c>
      <c r="O1585" s="1">
        <f>+Tabla__192.168.1.8_POSEIDONSQL_APPFVT_01_tbl_detalle_fill_rate[[#This Row],[emb_cantidad]]-Tabla__192.168.1.8_POSEIDONSQL_APPFVT_01_tbl_detalle_fill_rate[[#This Row],[dev_cantidad]]</f>
        <v>1</v>
      </c>
      <c r="P158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5" s="1">
        <f>+Tabla__192.168.1.8_POSEIDONSQL_APPFVT_01_tbl_detalle_fill_rate[[#This Row],[Cumpl Real Unds]]-Tabla__192.168.1.8_POSEIDONSQL_APPFVT_01_tbl_detalle_fill_rate[[#This Row],[Cant Embarcada]]</f>
        <v>0</v>
      </c>
      <c r="S1585" s="1">
        <f>+IF(Tabla__192.168.1.8_POSEIDONSQL_APPFVT_01_tbl_detalle_fill_rate[[#This Row],[Pend Emb]]&gt;0,1,0)</f>
        <v>0</v>
      </c>
      <c r="T158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6" spans="1:20" x14ac:dyDescent="0.25">
      <c r="A1586">
        <v>1</v>
      </c>
      <c r="B1586" t="s">
        <v>55</v>
      </c>
      <c r="C1586">
        <v>8659977</v>
      </c>
      <c r="D1586" s="48">
        <v>43339</v>
      </c>
      <c r="E1586" s="48">
        <v>43336</v>
      </c>
      <c r="F1586" s="48">
        <v>43347</v>
      </c>
      <c r="G1586" t="s">
        <v>78</v>
      </c>
      <c r="H1586" t="s">
        <v>79</v>
      </c>
      <c r="I1586">
        <v>1</v>
      </c>
      <c r="J1586" t="s">
        <v>1579</v>
      </c>
      <c r="K1586">
        <v>1</v>
      </c>
      <c r="L1586">
        <v>1</v>
      </c>
      <c r="M1586" t="s">
        <v>162</v>
      </c>
      <c r="N1586">
        <v>0</v>
      </c>
      <c r="O1586" s="1">
        <f>+Tabla__192.168.1.8_POSEIDONSQL_APPFVT_01_tbl_detalle_fill_rate[[#This Row],[emb_cantidad]]-Tabla__192.168.1.8_POSEIDONSQL_APPFVT_01_tbl_detalle_fill_rate[[#This Row],[dev_cantidad]]</f>
        <v>1</v>
      </c>
      <c r="P158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6" s="1">
        <f>+Tabla__192.168.1.8_POSEIDONSQL_APPFVT_01_tbl_detalle_fill_rate[[#This Row],[Cumpl Real Unds]]-Tabla__192.168.1.8_POSEIDONSQL_APPFVT_01_tbl_detalle_fill_rate[[#This Row],[Cant Embarcada]]</f>
        <v>0</v>
      </c>
      <c r="S1586" s="1">
        <f>+IF(Tabla__192.168.1.8_POSEIDONSQL_APPFVT_01_tbl_detalle_fill_rate[[#This Row],[Pend Emb]]&gt;0,1,0)</f>
        <v>0</v>
      </c>
      <c r="T158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7" spans="1:20" x14ac:dyDescent="0.25">
      <c r="A1587">
        <v>1</v>
      </c>
      <c r="B1587" t="s">
        <v>55</v>
      </c>
      <c r="C1587">
        <v>8660138</v>
      </c>
      <c r="D1587" s="48">
        <v>43339</v>
      </c>
      <c r="E1587" s="48">
        <v>43337</v>
      </c>
      <c r="F1587" s="48">
        <v>43347</v>
      </c>
      <c r="G1587" t="s">
        <v>136</v>
      </c>
      <c r="H1587" t="s">
        <v>137</v>
      </c>
      <c r="I1587">
        <v>1</v>
      </c>
      <c r="J1587" t="s">
        <v>1583</v>
      </c>
      <c r="K1587">
        <v>1</v>
      </c>
      <c r="L1587">
        <v>1</v>
      </c>
      <c r="M1587" t="s">
        <v>162</v>
      </c>
      <c r="N1587">
        <v>0</v>
      </c>
      <c r="O1587" s="1">
        <f>+Tabla__192.168.1.8_POSEIDONSQL_APPFVT_01_tbl_detalle_fill_rate[[#This Row],[emb_cantidad]]-Tabla__192.168.1.8_POSEIDONSQL_APPFVT_01_tbl_detalle_fill_rate[[#This Row],[dev_cantidad]]</f>
        <v>1</v>
      </c>
      <c r="P158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7" s="1">
        <f>+Tabla__192.168.1.8_POSEIDONSQL_APPFVT_01_tbl_detalle_fill_rate[[#This Row],[Cumpl Real Unds]]-Tabla__192.168.1.8_POSEIDONSQL_APPFVT_01_tbl_detalle_fill_rate[[#This Row],[Cant Embarcada]]</f>
        <v>0</v>
      </c>
      <c r="S1587" s="1">
        <f>+IF(Tabla__192.168.1.8_POSEIDONSQL_APPFVT_01_tbl_detalle_fill_rate[[#This Row],[Pend Emb]]&gt;0,1,0)</f>
        <v>0</v>
      </c>
      <c r="T158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8" spans="1:20" x14ac:dyDescent="0.25">
      <c r="A1588">
        <v>1</v>
      </c>
      <c r="B1588" t="s">
        <v>55</v>
      </c>
      <c r="C1588">
        <v>8660410</v>
      </c>
      <c r="D1588" s="48">
        <v>43339</v>
      </c>
      <c r="E1588" s="48">
        <v>43337</v>
      </c>
      <c r="F1588" s="48">
        <v>43347</v>
      </c>
      <c r="G1588" t="s">
        <v>92</v>
      </c>
      <c r="H1588" t="s">
        <v>93</v>
      </c>
      <c r="I1588">
        <v>1</v>
      </c>
      <c r="J1588" t="s">
        <v>1580</v>
      </c>
      <c r="K1588">
        <v>1</v>
      </c>
      <c r="L1588">
        <v>1</v>
      </c>
      <c r="M1588" t="s">
        <v>162</v>
      </c>
      <c r="N1588">
        <v>0</v>
      </c>
      <c r="O1588" s="1">
        <f>+Tabla__192.168.1.8_POSEIDONSQL_APPFVT_01_tbl_detalle_fill_rate[[#This Row],[emb_cantidad]]-Tabla__192.168.1.8_POSEIDONSQL_APPFVT_01_tbl_detalle_fill_rate[[#This Row],[dev_cantidad]]</f>
        <v>1</v>
      </c>
      <c r="P158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8" s="1">
        <f>+Tabla__192.168.1.8_POSEIDONSQL_APPFVT_01_tbl_detalle_fill_rate[[#This Row],[Cumpl Real Unds]]-Tabla__192.168.1.8_POSEIDONSQL_APPFVT_01_tbl_detalle_fill_rate[[#This Row],[Cant Embarcada]]</f>
        <v>0</v>
      </c>
      <c r="S1588" s="1">
        <f>+IF(Tabla__192.168.1.8_POSEIDONSQL_APPFVT_01_tbl_detalle_fill_rate[[#This Row],[Pend Emb]]&gt;0,1,0)</f>
        <v>0</v>
      </c>
      <c r="T158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89" spans="1:20" x14ac:dyDescent="0.25">
      <c r="A1589">
        <v>1</v>
      </c>
      <c r="B1589" t="s">
        <v>55</v>
      </c>
      <c r="C1589">
        <v>8660699</v>
      </c>
      <c r="D1589" s="48">
        <v>43339</v>
      </c>
      <c r="E1589" s="48">
        <v>43338</v>
      </c>
      <c r="F1589" s="48">
        <v>43347</v>
      </c>
      <c r="G1589" t="s">
        <v>114</v>
      </c>
      <c r="H1589" t="s">
        <v>115</v>
      </c>
      <c r="I1589">
        <v>1</v>
      </c>
      <c r="J1589" t="s">
        <v>1581</v>
      </c>
      <c r="K1589">
        <v>1</v>
      </c>
      <c r="L1589">
        <v>1</v>
      </c>
      <c r="M1589" t="s">
        <v>162</v>
      </c>
      <c r="N1589">
        <v>0</v>
      </c>
      <c r="O1589" s="1">
        <f>+Tabla__192.168.1.8_POSEIDONSQL_APPFVT_01_tbl_detalle_fill_rate[[#This Row],[emb_cantidad]]-Tabla__192.168.1.8_POSEIDONSQL_APPFVT_01_tbl_detalle_fill_rate[[#This Row],[dev_cantidad]]</f>
        <v>1</v>
      </c>
      <c r="P158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8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89" s="1">
        <f>+Tabla__192.168.1.8_POSEIDONSQL_APPFVT_01_tbl_detalle_fill_rate[[#This Row],[Cumpl Real Unds]]-Tabla__192.168.1.8_POSEIDONSQL_APPFVT_01_tbl_detalle_fill_rate[[#This Row],[Cant Embarcada]]</f>
        <v>0</v>
      </c>
      <c r="S1589" s="1">
        <f>+IF(Tabla__192.168.1.8_POSEIDONSQL_APPFVT_01_tbl_detalle_fill_rate[[#This Row],[Pend Emb]]&gt;0,1,0)</f>
        <v>0</v>
      </c>
      <c r="T158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0" spans="1:20" x14ac:dyDescent="0.25">
      <c r="A1590">
        <v>1</v>
      </c>
      <c r="B1590" t="s">
        <v>55</v>
      </c>
      <c r="C1590">
        <v>8660774</v>
      </c>
      <c r="D1590" s="48">
        <v>43339</v>
      </c>
      <c r="E1590" s="48">
        <v>43338</v>
      </c>
      <c r="F1590" s="48">
        <v>43347</v>
      </c>
      <c r="G1590" t="s">
        <v>118</v>
      </c>
      <c r="H1590" t="s">
        <v>119</v>
      </c>
      <c r="I1590">
        <v>1</v>
      </c>
      <c r="J1590" t="s">
        <v>1575</v>
      </c>
      <c r="K1590">
        <v>1</v>
      </c>
      <c r="L1590">
        <v>1</v>
      </c>
      <c r="M1590" t="s">
        <v>162</v>
      </c>
      <c r="N1590">
        <v>0</v>
      </c>
      <c r="O1590" s="1">
        <f>+Tabla__192.168.1.8_POSEIDONSQL_APPFVT_01_tbl_detalle_fill_rate[[#This Row],[emb_cantidad]]-Tabla__192.168.1.8_POSEIDONSQL_APPFVT_01_tbl_detalle_fill_rate[[#This Row],[dev_cantidad]]</f>
        <v>1</v>
      </c>
      <c r="P159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0" s="1">
        <f>+Tabla__192.168.1.8_POSEIDONSQL_APPFVT_01_tbl_detalle_fill_rate[[#This Row],[Cumpl Real Unds]]-Tabla__192.168.1.8_POSEIDONSQL_APPFVT_01_tbl_detalle_fill_rate[[#This Row],[Cant Embarcada]]</f>
        <v>0</v>
      </c>
      <c r="S1590" s="1">
        <f>+IF(Tabla__192.168.1.8_POSEIDONSQL_APPFVT_01_tbl_detalle_fill_rate[[#This Row],[Pend Emb]]&gt;0,1,0)</f>
        <v>0</v>
      </c>
      <c r="T159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1" spans="1:20" x14ac:dyDescent="0.25">
      <c r="A1591">
        <v>1</v>
      </c>
      <c r="B1591" t="s">
        <v>55</v>
      </c>
      <c r="C1591">
        <v>8660835</v>
      </c>
      <c r="D1591" s="48">
        <v>43339</v>
      </c>
      <c r="E1591" s="48">
        <v>43338</v>
      </c>
      <c r="F1591" s="48">
        <v>43347</v>
      </c>
      <c r="G1591" t="s">
        <v>78</v>
      </c>
      <c r="H1591" t="s">
        <v>79</v>
      </c>
      <c r="I1591">
        <v>1</v>
      </c>
      <c r="J1591" t="s">
        <v>1576</v>
      </c>
      <c r="K1591">
        <v>1</v>
      </c>
      <c r="L1591">
        <v>1</v>
      </c>
      <c r="M1591" t="s">
        <v>162</v>
      </c>
      <c r="N1591">
        <v>0</v>
      </c>
      <c r="O1591" s="1">
        <f>+Tabla__192.168.1.8_POSEIDONSQL_APPFVT_01_tbl_detalle_fill_rate[[#This Row],[emb_cantidad]]-Tabla__192.168.1.8_POSEIDONSQL_APPFVT_01_tbl_detalle_fill_rate[[#This Row],[dev_cantidad]]</f>
        <v>1</v>
      </c>
      <c r="P159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1" s="1">
        <f>+Tabla__192.168.1.8_POSEIDONSQL_APPFVT_01_tbl_detalle_fill_rate[[#This Row],[Cumpl Real Unds]]-Tabla__192.168.1.8_POSEIDONSQL_APPFVT_01_tbl_detalle_fill_rate[[#This Row],[Cant Embarcada]]</f>
        <v>0</v>
      </c>
      <c r="S1591" s="1">
        <f>+IF(Tabla__192.168.1.8_POSEIDONSQL_APPFVT_01_tbl_detalle_fill_rate[[#This Row],[Pend Emb]]&gt;0,1,0)</f>
        <v>0</v>
      </c>
      <c r="T159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2" spans="1:20" x14ac:dyDescent="0.25">
      <c r="A1592">
        <v>1</v>
      </c>
      <c r="B1592" t="s">
        <v>55</v>
      </c>
      <c r="C1592">
        <v>8660990</v>
      </c>
      <c r="D1592" s="48">
        <v>43340</v>
      </c>
      <c r="E1592" s="48">
        <v>43338</v>
      </c>
      <c r="F1592" s="48">
        <v>43347</v>
      </c>
      <c r="G1592" t="s">
        <v>521</v>
      </c>
      <c r="H1592" t="s">
        <v>522</v>
      </c>
      <c r="I1592">
        <v>1</v>
      </c>
      <c r="J1592" t="s">
        <v>1577</v>
      </c>
      <c r="K1592">
        <v>1</v>
      </c>
      <c r="L1592">
        <v>1</v>
      </c>
      <c r="M1592" t="s">
        <v>162</v>
      </c>
      <c r="N1592">
        <v>0</v>
      </c>
      <c r="O1592" s="1">
        <f>+Tabla__192.168.1.8_POSEIDONSQL_APPFVT_01_tbl_detalle_fill_rate[[#This Row],[emb_cantidad]]-Tabla__192.168.1.8_POSEIDONSQL_APPFVT_01_tbl_detalle_fill_rate[[#This Row],[dev_cantidad]]</f>
        <v>1</v>
      </c>
      <c r="P159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2" s="1">
        <f>+Tabla__192.168.1.8_POSEIDONSQL_APPFVT_01_tbl_detalle_fill_rate[[#This Row],[Cumpl Real Unds]]-Tabla__192.168.1.8_POSEIDONSQL_APPFVT_01_tbl_detalle_fill_rate[[#This Row],[Cant Embarcada]]</f>
        <v>0</v>
      </c>
      <c r="S1592" s="1">
        <f>+IF(Tabla__192.168.1.8_POSEIDONSQL_APPFVT_01_tbl_detalle_fill_rate[[#This Row],[Pend Emb]]&gt;0,1,0)</f>
        <v>0</v>
      </c>
      <c r="T159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3" spans="1:20" x14ac:dyDescent="0.25">
      <c r="A1593">
        <v>1</v>
      </c>
      <c r="B1593" t="s">
        <v>55</v>
      </c>
      <c r="C1593">
        <v>8660991</v>
      </c>
      <c r="D1593" s="48">
        <v>43340</v>
      </c>
      <c r="E1593" s="48">
        <v>43338</v>
      </c>
      <c r="F1593" s="48">
        <v>43349</v>
      </c>
      <c r="G1593" t="s">
        <v>114</v>
      </c>
      <c r="H1593" t="s">
        <v>115</v>
      </c>
      <c r="I1593">
        <v>1</v>
      </c>
      <c r="J1593" t="s">
        <v>1271</v>
      </c>
      <c r="K1593">
        <v>1</v>
      </c>
      <c r="L1593">
        <v>1</v>
      </c>
      <c r="M1593" t="s">
        <v>161</v>
      </c>
      <c r="N1593">
        <v>0</v>
      </c>
      <c r="O1593" s="1">
        <f>+Tabla__192.168.1.8_POSEIDONSQL_APPFVT_01_tbl_detalle_fill_rate[[#This Row],[emb_cantidad]]-Tabla__192.168.1.8_POSEIDONSQL_APPFVT_01_tbl_detalle_fill_rate[[#This Row],[dev_cantidad]]</f>
        <v>1</v>
      </c>
      <c r="P159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3" s="1">
        <f>+Tabla__192.168.1.8_POSEIDONSQL_APPFVT_01_tbl_detalle_fill_rate[[#This Row],[Cumpl Real Unds]]-Tabla__192.168.1.8_POSEIDONSQL_APPFVT_01_tbl_detalle_fill_rate[[#This Row],[Cant Embarcada]]</f>
        <v>0</v>
      </c>
      <c r="S1593" s="1">
        <f>+IF(Tabla__192.168.1.8_POSEIDONSQL_APPFVT_01_tbl_detalle_fill_rate[[#This Row],[Pend Emb]]&gt;0,1,0)</f>
        <v>0</v>
      </c>
      <c r="T159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4" spans="1:20" x14ac:dyDescent="0.25">
      <c r="A1594">
        <v>1</v>
      </c>
      <c r="B1594" t="s">
        <v>55</v>
      </c>
      <c r="C1594">
        <v>8661002</v>
      </c>
      <c r="D1594" s="48">
        <v>43340</v>
      </c>
      <c r="E1594" s="48">
        <v>43338</v>
      </c>
      <c r="F1594" s="48">
        <v>43349</v>
      </c>
      <c r="G1594" t="s">
        <v>138</v>
      </c>
      <c r="H1594" t="s">
        <v>139</v>
      </c>
      <c r="I1594">
        <v>1</v>
      </c>
      <c r="J1594" t="s">
        <v>1272</v>
      </c>
      <c r="K1594">
        <v>1</v>
      </c>
      <c r="L1594">
        <v>1</v>
      </c>
      <c r="M1594" t="s">
        <v>161</v>
      </c>
      <c r="N1594">
        <v>0</v>
      </c>
      <c r="O1594" s="1">
        <f>+Tabla__192.168.1.8_POSEIDONSQL_APPFVT_01_tbl_detalle_fill_rate[[#This Row],[emb_cantidad]]-Tabla__192.168.1.8_POSEIDONSQL_APPFVT_01_tbl_detalle_fill_rate[[#This Row],[dev_cantidad]]</f>
        <v>1</v>
      </c>
      <c r="P159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4" s="1">
        <f>+Tabla__192.168.1.8_POSEIDONSQL_APPFVT_01_tbl_detalle_fill_rate[[#This Row],[Cumpl Real Unds]]-Tabla__192.168.1.8_POSEIDONSQL_APPFVT_01_tbl_detalle_fill_rate[[#This Row],[Cant Embarcada]]</f>
        <v>0</v>
      </c>
      <c r="S1594" s="1">
        <f>+IF(Tabla__192.168.1.8_POSEIDONSQL_APPFVT_01_tbl_detalle_fill_rate[[#This Row],[Pend Emb]]&gt;0,1,0)</f>
        <v>0</v>
      </c>
      <c r="T159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5" spans="1:20" x14ac:dyDescent="0.25">
      <c r="A1595">
        <v>1</v>
      </c>
      <c r="B1595" t="s">
        <v>55</v>
      </c>
      <c r="C1595">
        <v>8661269</v>
      </c>
      <c r="D1595" s="48">
        <v>43340</v>
      </c>
      <c r="E1595" s="48">
        <v>43339</v>
      </c>
      <c r="F1595" s="48">
        <v>43347</v>
      </c>
      <c r="G1595" t="s">
        <v>138</v>
      </c>
      <c r="H1595" t="s">
        <v>139</v>
      </c>
      <c r="I1595">
        <v>1</v>
      </c>
      <c r="J1595" t="s">
        <v>1584</v>
      </c>
      <c r="K1595">
        <v>1</v>
      </c>
      <c r="L1595">
        <v>1</v>
      </c>
      <c r="M1595" t="s">
        <v>162</v>
      </c>
      <c r="N1595">
        <v>0</v>
      </c>
      <c r="O1595" s="1">
        <f>+Tabla__192.168.1.8_POSEIDONSQL_APPFVT_01_tbl_detalle_fill_rate[[#This Row],[emb_cantidad]]-Tabla__192.168.1.8_POSEIDONSQL_APPFVT_01_tbl_detalle_fill_rate[[#This Row],[dev_cantidad]]</f>
        <v>1</v>
      </c>
      <c r="P159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5" s="1">
        <f>+Tabla__192.168.1.8_POSEIDONSQL_APPFVT_01_tbl_detalle_fill_rate[[#This Row],[Cumpl Real Unds]]-Tabla__192.168.1.8_POSEIDONSQL_APPFVT_01_tbl_detalle_fill_rate[[#This Row],[Cant Embarcada]]</f>
        <v>0</v>
      </c>
      <c r="S1595" s="1">
        <f>+IF(Tabla__192.168.1.8_POSEIDONSQL_APPFVT_01_tbl_detalle_fill_rate[[#This Row],[Pend Emb]]&gt;0,1,0)</f>
        <v>0</v>
      </c>
      <c r="T159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6" spans="1:20" x14ac:dyDescent="0.25">
      <c r="A1596">
        <v>1</v>
      </c>
      <c r="B1596" t="s">
        <v>55</v>
      </c>
      <c r="C1596">
        <v>8661338</v>
      </c>
      <c r="D1596" s="48">
        <v>43340</v>
      </c>
      <c r="E1596" s="48">
        <v>43339</v>
      </c>
      <c r="F1596" s="48">
        <v>43347</v>
      </c>
      <c r="G1596" t="s">
        <v>138</v>
      </c>
      <c r="H1596" t="s">
        <v>139</v>
      </c>
      <c r="I1596">
        <v>1</v>
      </c>
      <c r="J1596" t="s">
        <v>1585</v>
      </c>
      <c r="K1596">
        <v>1</v>
      </c>
      <c r="L1596">
        <v>1</v>
      </c>
      <c r="M1596" t="s">
        <v>162</v>
      </c>
      <c r="N1596">
        <v>0</v>
      </c>
      <c r="O1596" s="1">
        <f>+Tabla__192.168.1.8_POSEIDONSQL_APPFVT_01_tbl_detalle_fill_rate[[#This Row],[emb_cantidad]]-Tabla__192.168.1.8_POSEIDONSQL_APPFVT_01_tbl_detalle_fill_rate[[#This Row],[dev_cantidad]]</f>
        <v>1</v>
      </c>
      <c r="P159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596" s="1">
        <f>+Tabla__192.168.1.8_POSEIDONSQL_APPFVT_01_tbl_detalle_fill_rate[[#This Row],[Cumpl Real Unds]]-Tabla__192.168.1.8_POSEIDONSQL_APPFVT_01_tbl_detalle_fill_rate[[#This Row],[Cant Embarcada]]</f>
        <v>0</v>
      </c>
      <c r="S1596" s="1">
        <f>+IF(Tabla__192.168.1.8_POSEIDONSQL_APPFVT_01_tbl_detalle_fill_rate[[#This Row],[Pend Emb]]&gt;0,1,0)</f>
        <v>0</v>
      </c>
      <c r="T159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7" spans="1:20" x14ac:dyDescent="0.25">
      <c r="A1597">
        <v>1</v>
      </c>
      <c r="B1597" t="s">
        <v>55</v>
      </c>
      <c r="C1597">
        <v>8662170</v>
      </c>
      <c r="D1597" s="48">
        <v>43340</v>
      </c>
      <c r="E1597" s="48">
        <v>43339</v>
      </c>
      <c r="F1597" s="48">
        <v>43343</v>
      </c>
      <c r="G1597" t="s">
        <v>72</v>
      </c>
      <c r="H1597" t="s">
        <v>73</v>
      </c>
      <c r="I1597">
        <v>52</v>
      </c>
      <c r="J1597" t="s">
        <v>152</v>
      </c>
      <c r="K1597">
        <v>52</v>
      </c>
      <c r="L1597">
        <v>52</v>
      </c>
      <c r="M1597" t="s">
        <v>1962</v>
      </c>
      <c r="N1597">
        <v>0</v>
      </c>
      <c r="O1597" s="1">
        <f>+Tabla__192.168.1.8_POSEIDONSQL_APPFVT_01_tbl_detalle_fill_rate[[#This Row],[emb_cantidad]]-Tabla__192.168.1.8_POSEIDONSQL_APPFVT_01_tbl_detalle_fill_rate[[#This Row],[dev_cantidad]]</f>
        <v>52</v>
      </c>
      <c r="P159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52</v>
      </c>
      <c r="R1597" s="1">
        <f>+Tabla__192.168.1.8_POSEIDONSQL_APPFVT_01_tbl_detalle_fill_rate[[#This Row],[Cumpl Real Unds]]-Tabla__192.168.1.8_POSEIDONSQL_APPFVT_01_tbl_detalle_fill_rate[[#This Row],[Cant Embarcada]]</f>
        <v>0</v>
      </c>
      <c r="S1597" s="1">
        <f>+IF(Tabla__192.168.1.8_POSEIDONSQL_APPFVT_01_tbl_detalle_fill_rate[[#This Row],[Pend Emb]]&gt;0,1,0)</f>
        <v>0</v>
      </c>
      <c r="T159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8" spans="1:20" x14ac:dyDescent="0.25">
      <c r="A1598">
        <v>1</v>
      </c>
      <c r="B1598" t="s">
        <v>55</v>
      </c>
      <c r="C1598">
        <v>8662170</v>
      </c>
      <c r="D1598" s="48">
        <v>43340</v>
      </c>
      <c r="E1598" s="48">
        <v>43339</v>
      </c>
      <c r="F1598" s="48">
        <v>43343</v>
      </c>
      <c r="G1598" t="s">
        <v>148</v>
      </c>
      <c r="H1598" t="s">
        <v>149</v>
      </c>
      <c r="I1598">
        <v>24</v>
      </c>
      <c r="J1598" t="s">
        <v>154</v>
      </c>
      <c r="K1598">
        <v>24</v>
      </c>
      <c r="L1598">
        <v>24</v>
      </c>
      <c r="M1598" t="s">
        <v>1962</v>
      </c>
      <c r="N1598">
        <v>0</v>
      </c>
      <c r="O1598" s="1">
        <f>+Tabla__192.168.1.8_POSEIDONSQL_APPFVT_01_tbl_detalle_fill_rate[[#This Row],[emb_cantidad]]-Tabla__192.168.1.8_POSEIDONSQL_APPFVT_01_tbl_detalle_fill_rate[[#This Row],[dev_cantidad]]</f>
        <v>24</v>
      </c>
      <c r="P159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1598" s="1">
        <f>+Tabla__192.168.1.8_POSEIDONSQL_APPFVT_01_tbl_detalle_fill_rate[[#This Row],[Cumpl Real Unds]]-Tabla__192.168.1.8_POSEIDONSQL_APPFVT_01_tbl_detalle_fill_rate[[#This Row],[Cant Embarcada]]</f>
        <v>0</v>
      </c>
      <c r="S1598" s="1">
        <f>+IF(Tabla__192.168.1.8_POSEIDONSQL_APPFVT_01_tbl_detalle_fill_rate[[#This Row],[Pend Emb]]&gt;0,1,0)</f>
        <v>0</v>
      </c>
      <c r="T159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599" spans="1:20" x14ac:dyDescent="0.25">
      <c r="A1599">
        <v>1</v>
      </c>
      <c r="B1599" t="s">
        <v>55</v>
      </c>
      <c r="C1599">
        <v>8662170</v>
      </c>
      <c r="D1599" s="48">
        <v>43340</v>
      </c>
      <c r="E1599" s="48">
        <v>43339</v>
      </c>
      <c r="F1599" s="48">
        <v>43343</v>
      </c>
      <c r="G1599" t="s">
        <v>157</v>
      </c>
      <c r="H1599" t="s">
        <v>158</v>
      </c>
      <c r="I1599">
        <v>12</v>
      </c>
      <c r="J1599" t="s">
        <v>153</v>
      </c>
      <c r="K1599">
        <v>12</v>
      </c>
      <c r="L1599">
        <v>12</v>
      </c>
      <c r="M1599" t="s">
        <v>1962</v>
      </c>
      <c r="N1599">
        <v>0</v>
      </c>
      <c r="O1599" s="1">
        <f>+Tabla__192.168.1.8_POSEIDONSQL_APPFVT_01_tbl_detalle_fill_rate[[#This Row],[emb_cantidad]]-Tabla__192.168.1.8_POSEIDONSQL_APPFVT_01_tbl_detalle_fill_rate[[#This Row],[dev_cantidad]]</f>
        <v>12</v>
      </c>
      <c r="P159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59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599" s="1">
        <f>+Tabla__192.168.1.8_POSEIDONSQL_APPFVT_01_tbl_detalle_fill_rate[[#This Row],[Cumpl Real Unds]]-Tabla__192.168.1.8_POSEIDONSQL_APPFVT_01_tbl_detalle_fill_rate[[#This Row],[Cant Embarcada]]</f>
        <v>0</v>
      </c>
      <c r="S1599" s="1">
        <f>+IF(Tabla__192.168.1.8_POSEIDONSQL_APPFVT_01_tbl_detalle_fill_rate[[#This Row],[Pend Emb]]&gt;0,1,0)</f>
        <v>0</v>
      </c>
      <c r="T159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0" spans="1:20" x14ac:dyDescent="0.25">
      <c r="A1600">
        <v>1</v>
      </c>
      <c r="B1600" t="s">
        <v>55</v>
      </c>
      <c r="C1600">
        <v>8662170</v>
      </c>
      <c r="D1600" s="48">
        <v>43340</v>
      </c>
      <c r="E1600" s="48">
        <v>43339</v>
      </c>
      <c r="F1600" s="48">
        <v>43343</v>
      </c>
      <c r="G1600" t="s">
        <v>98</v>
      </c>
      <c r="H1600" t="s">
        <v>99</v>
      </c>
      <c r="I1600">
        <v>24</v>
      </c>
      <c r="J1600" t="s">
        <v>155</v>
      </c>
      <c r="K1600">
        <v>24</v>
      </c>
      <c r="L1600">
        <v>24</v>
      </c>
      <c r="M1600" t="s">
        <v>1962</v>
      </c>
      <c r="N1600">
        <v>0</v>
      </c>
      <c r="O1600" s="1">
        <f>+Tabla__192.168.1.8_POSEIDONSQL_APPFVT_01_tbl_detalle_fill_rate[[#This Row],[emb_cantidad]]-Tabla__192.168.1.8_POSEIDONSQL_APPFVT_01_tbl_detalle_fill_rate[[#This Row],[dev_cantidad]]</f>
        <v>24</v>
      </c>
      <c r="P160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1600" s="1">
        <f>+Tabla__192.168.1.8_POSEIDONSQL_APPFVT_01_tbl_detalle_fill_rate[[#This Row],[Cumpl Real Unds]]-Tabla__192.168.1.8_POSEIDONSQL_APPFVT_01_tbl_detalle_fill_rate[[#This Row],[Cant Embarcada]]</f>
        <v>0</v>
      </c>
      <c r="S1600" s="1">
        <f>+IF(Tabla__192.168.1.8_POSEIDONSQL_APPFVT_01_tbl_detalle_fill_rate[[#This Row],[Pend Emb]]&gt;0,1,0)</f>
        <v>0</v>
      </c>
      <c r="T160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1" spans="1:20" x14ac:dyDescent="0.25">
      <c r="A1601">
        <v>1</v>
      </c>
      <c r="B1601" t="s">
        <v>55</v>
      </c>
      <c r="C1601">
        <v>8662170</v>
      </c>
      <c r="D1601" s="48">
        <v>43340</v>
      </c>
      <c r="E1601" s="48">
        <v>43339</v>
      </c>
      <c r="F1601" s="48">
        <v>43343</v>
      </c>
      <c r="G1601" t="s">
        <v>242</v>
      </c>
      <c r="H1601" t="s">
        <v>243</v>
      </c>
      <c r="I1601">
        <v>6</v>
      </c>
      <c r="J1601" t="s">
        <v>156</v>
      </c>
      <c r="K1601">
        <v>6</v>
      </c>
      <c r="L1601">
        <v>6</v>
      </c>
      <c r="M1601" t="s">
        <v>1962</v>
      </c>
      <c r="N1601">
        <v>0</v>
      </c>
      <c r="O1601" s="1">
        <f>+Tabla__192.168.1.8_POSEIDONSQL_APPFVT_01_tbl_detalle_fill_rate[[#This Row],[emb_cantidad]]-Tabla__192.168.1.8_POSEIDONSQL_APPFVT_01_tbl_detalle_fill_rate[[#This Row],[dev_cantidad]]</f>
        <v>6</v>
      </c>
      <c r="P160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01" s="1">
        <f>+Tabla__192.168.1.8_POSEIDONSQL_APPFVT_01_tbl_detalle_fill_rate[[#This Row],[Cumpl Real Unds]]-Tabla__192.168.1.8_POSEIDONSQL_APPFVT_01_tbl_detalle_fill_rate[[#This Row],[Cant Embarcada]]</f>
        <v>0</v>
      </c>
      <c r="S1601" s="1">
        <f>+IF(Tabla__192.168.1.8_POSEIDONSQL_APPFVT_01_tbl_detalle_fill_rate[[#This Row],[Pend Emb]]&gt;0,1,0)</f>
        <v>0</v>
      </c>
      <c r="T160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2" spans="1:20" x14ac:dyDescent="0.25">
      <c r="A1602">
        <v>1</v>
      </c>
      <c r="B1602" t="s">
        <v>55</v>
      </c>
      <c r="C1602">
        <v>8662170</v>
      </c>
      <c r="D1602" s="48">
        <v>43340</v>
      </c>
      <c r="E1602" s="48">
        <v>43339</v>
      </c>
      <c r="F1602" s="48">
        <v>43343</v>
      </c>
      <c r="G1602" t="s">
        <v>100</v>
      </c>
      <c r="H1602" t="s">
        <v>101</v>
      </c>
      <c r="I1602">
        <v>18</v>
      </c>
      <c r="J1602" t="s">
        <v>244</v>
      </c>
      <c r="K1602">
        <v>18</v>
      </c>
      <c r="L1602">
        <v>18</v>
      </c>
      <c r="M1602" t="s">
        <v>1962</v>
      </c>
      <c r="N1602">
        <v>0</v>
      </c>
      <c r="O1602" s="1">
        <f>+Tabla__192.168.1.8_POSEIDONSQL_APPFVT_01_tbl_detalle_fill_rate[[#This Row],[emb_cantidad]]-Tabla__192.168.1.8_POSEIDONSQL_APPFVT_01_tbl_detalle_fill_rate[[#This Row],[dev_cantidad]]</f>
        <v>18</v>
      </c>
      <c r="P160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602" s="1">
        <f>+Tabla__192.168.1.8_POSEIDONSQL_APPFVT_01_tbl_detalle_fill_rate[[#This Row],[Cumpl Real Unds]]-Tabla__192.168.1.8_POSEIDONSQL_APPFVT_01_tbl_detalle_fill_rate[[#This Row],[Cant Embarcada]]</f>
        <v>0</v>
      </c>
      <c r="S1602" s="1">
        <f>+IF(Tabla__192.168.1.8_POSEIDONSQL_APPFVT_01_tbl_detalle_fill_rate[[#This Row],[Pend Emb]]&gt;0,1,0)</f>
        <v>0</v>
      </c>
      <c r="T160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3" spans="1:20" x14ac:dyDescent="0.25">
      <c r="A1603">
        <v>1</v>
      </c>
      <c r="B1603" t="s">
        <v>55</v>
      </c>
      <c r="C1603">
        <v>8662170</v>
      </c>
      <c r="D1603" s="48">
        <v>43340</v>
      </c>
      <c r="E1603" s="48">
        <v>43339</v>
      </c>
      <c r="F1603" s="48">
        <v>43343</v>
      </c>
      <c r="G1603" t="s">
        <v>238</v>
      </c>
      <c r="H1603" t="s">
        <v>239</v>
      </c>
      <c r="I1603">
        <v>18</v>
      </c>
      <c r="J1603" t="s">
        <v>410</v>
      </c>
      <c r="K1603">
        <v>18</v>
      </c>
      <c r="L1603">
        <v>18</v>
      </c>
      <c r="M1603" t="s">
        <v>1962</v>
      </c>
      <c r="N1603">
        <v>0</v>
      </c>
      <c r="O1603" s="1">
        <f>+Tabla__192.168.1.8_POSEIDONSQL_APPFVT_01_tbl_detalle_fill_rate[[#This Row],[emb_cantidad]]-Tabla__192.168.1.8_POSEIDONSQL_APPFVT_01_tbl_detalle_fill_rate[[#This Row],[dev_cantidad]]</f>
        <v>18</v>
      </c>
      <c r="P160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603" s="1">
        <f>+Tabla__192.168.1.8_POSEIDONSQL_APPFVT_01_tbl_detalle_fill_rate[[#This Row],[Cumpl Real Unds]]-Tabla__192.168.1.8_POSEIDONSQL_APPFVT_01_tbl_detalle_fill_rate[[#This Row],[Cant Embarcada]]</f>
        <v>0</v>
      </c>
      <c r="S1603" s="1">
        <f>+IF(Tabla__192.168.1.8_POSEIDONSQL_APPFVT_01_tbl_detalle_fill_rate[[#This Row],[Pend Emb]]&gt;0,1,0)</f>
        <v>0</v>
      </c>
      <c r="T160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4" spans="1:20" x14ac:dyDescent="0.25">
      <c r="A1604">
        <v>1</v>
      </c>
      <c r="B1604" t="s">
        <v>55</v>
      </c>
      <c r="C1604">
        <v>8662642</v>
      </c>
      <c r="D1604" s="48">
        <v>43340</v>
      </c>
      <c r="E1604" s="48">
        <v>43339</v>
      </c>
      <c r="F1604" s="48">
        <v>43347</v>
      </c>
      <c r="G1604" t="s">
        <v>1068</v>
      </c>
      <c r="H1604" t="s">
        <v>1069</v>
      </c>
      <c r="I1604">
        <v>1</v>
      </c>
      <c r="J1604" t="s">
        <v>1582</v>
      </c>
      <c r="K1604">
        <v>1</v>
      </c>
      <c r="L1604">
        <v>1</v>
      </c>
      <c r="M1604" t="s">
        <v>162</v>
      </c>
      <c r="N1604">
        <v>0</v>
      </c>
      <c r="O1604" s="1">
        <f>+Tabla__192.168.1.8_POSEIDONSQL_APPFVT_01_tbl_detalle_fill_rate[[#This Row],[emb_cantidad]]-Tabla__192.168.1.8_POSEIDONSQL_APPFVT_01_tbl_detalle_fill_rate[[#This Row],[dev_cantidad]]</f>
        <v>1</v>
      </c>
      <c r="P160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04" s="1">
        <f>+Tabla__192.168.1.8_POSEIDONSQL_APPFVT_01_tbl_detalle_fill_rate[[#This Row],[Cumpl Real Unds]]-Tabla__192.168.1.8_POSEIDONSQL_APPFVT_01_tbl_detalle_fill_rate[[#This Row],[Cant Embarcada]]</f>
        <v>0</v>
      </c>
      <c r="S1604" s="1">
        <f>+IF(Tabla__192.168.1.8_POSEIDONSQL_APPFVT_01_tbl_detalle_fill_rate[[#This Row],[Pend Emb]]&gt;0,1,0)</f>
        <v>0</v>
      </c>
      <c r="T160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5" spans="1:20" x14ac:dyDescent="0.25">
      <c r="A1605">
        <v>1</v>
      </c>
      <c r="B1605" t="s">
        <v>55</v>
      </c>
      <c r="C1605">
        <v>8662855</v>
      </c>
      <c r="D1605" s="48">
        <v>43340</v>
      </c>
      <c r="E1605" s="48">
        <v>43339</v>
      </c>
      <c r="F1605" s="48">
        <v>43347</v>
      </c>
      <c r="G1605" t="s">
        <v>92</v>
      </c>
      <c r="H1605" t="s">
        <v>93</v>
      </c>
      <c r="I1605">
        <v>1</v>
      </c>
      <c r="J1605" t="s">
        <v>1578</v>
      </c>
      <c r="K1605">
        <v>1</v>
      </c>
      <c r="L1605">
        <v>1</v>
      </c>
      <c r="M1605" t="s">
        <v>162</v>
      </c>
      <c r="N1605">
        <v>0</v>
      </c>
      <c r="O1605" s="1">
        <f>+Tabla__192.168.1.8_POSEIDONSQL_APPFVT_01_tbl_detalle_fill_rate[[#This Row],[emb_cantidad]]-Tabla__192.168.1.8_POSEIDONSQL_APPFVT_01_tbl_detalle_fill_rate[[#This Row],[dev_cantidad]]</f>
        <v>1</v>
      </c>
      <c r="P160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05" s="1">
        <f>+Tabla__192.168.1.8_POSEIDONSQL_APPFVT_01_tbl_detalle_fill_rate[[#This Row],[Cumpl Real Unds]]-Tabla__192.168.1.8_POSEIDONSQL_APPFVT_01_tbl_detalle_fill_rate[[#This Row],[Cant Embarcada]]</f>
        <v>0</v>
      </c>
      <c r="S1605" s="1">
        <f>+IF(Tabla__192.168.1.8_POSEIDONSQL_APPFVT_01_tbl_detalle_fill_rate[[#This Row],[Pend Emb]]&gt;0,1,0)</f>
        <v>0</v>
      </c>
      <c r="T160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6" spans="1:20" x14ac:dyDescent="0.25">
      <c r="A1606">
        <v>1</v>
      </c>
      <c r="B1606" t="s">
        <v>55</v>
      </c>
      <c r="C1606">
        <v>8663291</v>
      </c>
      <c r="D1606" s="48">
        <v>43341</v>
      </c>
      <c r="E1606" s="48">
        <v>43339</v>
      </c>
      <c r="F1606" s="48">
        <v>43347</v>
      </c>
      <c r="G1606" t="s">
        <v>78</v>
      </c>
      <c r="H1606" t="s">
        <v>79</v>
      </c>
      <c r="I1606">
        <v>1</v>
      </c>
      <c r="J1606" t="s">
        <v>524</v>
      </c>
      <c r="K1606">
        <v>1</v>
      </c>
      <c r="L1606">
        <v>1</v>
      </c>
      <c r="M1606" t="s">
        <v>162</v>
      </c>
      <c r="N1606">
        <v>0</v>
      </c>
      <c r="O1606" s="1">
        <f>+Tabla__192.168.1.8_POSEIDONSQL_APPFVT_01_tbl_detalle_fill_rate[[#This Row],[emb_cantidad]]-Tabla__192.168.1.8_POSEIDONSQL_APPFVT_01_tbl_detalle_fill_rate[[#This Row],[dev_cantidad]]</f>
        <v>1</v>
      </c>
      <c r="P160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06" s="1">
        <f>+Tabla__192.168.1.8_POSEIDONSQL_APPFVT_01_tbl_detalle_fill_rate[[#This Row],[Cumpl Real Unds]]-Tabla__192.168.1.8_POSEIDONSQL_APPFVT_01_tbl_detalle_fill_rate[[#This Row],[Cant Embarcada]]</f>
        <v>0</v>
      </c>
      <c r="S1606" s="1">
        <f>+IF(Tabla__192.168.1.8_POSEIDONSQL_APPFVT_01_tbl_detalle_fill_rate[[#This Row],[Pend Emb]]&gt;0,1,0)</f>
        <v>0</v>
      </c>
      <c r="T160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7" spans="1:20" x14ac:dyDescent="0.25">
      <c r="A1607">
        <v>1</v>
      </c>
      <c r="B1607" t="s">
        <v>55</v>
      </c>
      <c r="C1607">
        <v>8663422</v>
      </c>
      <c r="D1607" s="48">
        <v>43341</v>
      </c>
      <c r="E1607" s="48">
        <v>43340</v>
      </c>
      <c r="F1607" s="48">
        <v>43347</v>
      </c>
      <c r="G1607" t="s">
        <v>138</v>
      </c>
      <c r="H1607" t="s">
        <v>139</v>
      </c>
      <c r="I1607">
        <v>1</v>
      </c>
      <c r="J1607" t="s">
        <v>525</v>
      </c>
      <c r="K1607">
        <v>1</v>
      </c>
      <c r="L1607">
        <v>1</v>
      </c>
      <c r="M1607" t="s">
        <v>162</v>
      </c>
      <c r="N1607">
        <v>0</v>
      </c>
      <c r="O1607" s="1">
        <f>+Tabla__192.168.1.8_POSEIDONSQL_APPFVT_01_tbl_detalle_fill_rate[[#This Row],[emb_cantidad]]-Tabla__192.168.1.8_POSEIDONSQL_APPFVT_01_tbl_detalle_fill_rate[[#This Row],[dev_cantidad]]</f>
        <v>1</v>
      </c>
      <c r="P160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07" s="1">
        <f>+Tabla__192.168.1.8_POSEIDONSQL_APPFVT_01_tbl_detalle_fill_rate[[#This Row],[Cumpl Real Unds]]-Tabla__192.168.1.8_POSEIDONSQL_APPFVT_01_tbl_detalle_fill_rate[[#This Row],[Cant Embarcada]]</f>
        <v>0</v>
      </c>
      <c r="S1607" s="1">
        <f>+IF(Tabla__192.168.1.8_POSEIDONSQL_APPFVT_01_tbl_detalle_fill_rate[[#This Row],[Pend Emb]]&gt;0,1,0)</f>
        <v>0</v>
      </c>
      <c r="T160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8" spans="1:20" x14ac:dyDescent="0.25">
      <c r="A1608">
        <v>1</v>
      </c>
      <c r="B1608" t="s">
        <v>55</v>
      </c>
      <c r="C1608">
        <v>8663620</v>
      </c>
      <c r="D1608" s="48">
        <v>43341</v>
      </c>
      <c r="E1608" s="48">
        <v>43340</v>
      </c>
      <c r="F1608" s="48">
        <v>43347</v>
      </c>
      <c r="G1608" t="s">
        <v>526</v>
      </c>
      <c r="H1608" t="s">
        <v>527</v>
      </c>
      <c r="I1608">
        <v>1</v>
      </c>
      <c r="J1608" t="s">
        <v>528</v>
      </c>
      <c r="K1608">
        <v>0</v>
      </c>
      <c r="L1608">
        <v>0</v>
      </c>
      <c r="M1608" t="s">
        <v>12</v>
      </c>
      <c r="N1608">
        <v>0</v>
      </c>
      <c r="O1608" s="1">
        <f>+Tabla__192.168.1.8_POSEIDONSQL_APPFVT_01_tbl_detalle_fill_rate[[#This Row],[emb_cantidad]]-Tabla__192.168.1.8_POSEIDONSQL_APPFVT_01_tbl_detalle_fill_rate[[#This Row],[dev_cantidad]]</f>
        <v>0</v>
      </c>
      <c r="P160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08" s="1">
        <f>+Tabla__192.168.1.8_POSEIDONSQL_APPFVT_01_tbl_detalle_fill_rate[[#This Row],[Cumpl Real Unds]]-Tabla__192.168.1.8_POSEIDONSQL_APPFVT_01_tbl_detalle_fill_rate[[#This Row],[Cant Embarcada]]</f>
        <v>0</v>
      </c>
      <c r="S1608" s="1">
        <f>+IF(Tabla__192.168.1.8_POSEIDONSQL_APPFVT_01_tbl_detalle_fill_rate[[#This Row],[Pend Emb]]&gt;0,1,0)</f>
        <v>0</v>
      </c>
      <c r="T160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09" spans="1:20" x14ac:dyDescent="0.25">
      <c r="A1609">
        <v>1</v>
      </c>
      <c r="B1609" t="s">
        <v>55</v>
      </c>
      <c r="C1609">
        <v>8664280</v>
      </c>
      <c r="D1609" s="48">
        <v>43341</v>
      </c>
      <c r="E1609" s="48">
        <v>43340</v>
      </c>
      <c r="F1609" s="48">
        <v>43346</v>
      </c>
      <c r="G1609" t="s">
        <v>72</v>
      </c>
      <c r="H1609" t="s">
        <v>73</v>
      </c>
      <c r="I1609">
        <v>12</v>
      </c>
      <c r="J1609" t="s">
        <v>152</v>
      </c>
      <c r="K1609">
        <v>12</v>
      </c>
      <c r="L1609">
        <v>12</v>
      </c>
      <c r="M1609" t="s">
        <v>1963</v>
      </c>
      <c r="N1609">
        <v>0</v>
      </c>
      <c r="O1609" s="1">
        <f>+Tabla__192.168.1.8_POSEIDONSQL_APPFVT_01_tbl_detalle_fill_rate[[#This Row],[emb_cantidad]]-Tabla__192.168.1.8_POSEIDONSQL_APPFVT_01_tbl_detalle_fill_rate[[#This Row],[dev_cantidad]]</f>
        <v>12</v>
      </c>
      <c r="P160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0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609" s="1">
        <f>+Tabla__192.168.1.8_POSEIDONSQL_APPFVT_01_tbl_detalle_fill_rate[[#This Row],[Cumpl Real Unds]]-Tabla__192.168.1.8_POSEIDONSQL_APPFVT_01_tbl_detalle_fill_rate[[#This Row],[Cant Embarcada]]</f>
        <v>0</v>
      </c>
      <c r="S1609" s="1">
        <f>+IF(Tabla__192.168.1.8_POSEIDONSQL_APPFVT_01_tbl_detalle_fill_rate[[#This Row],[Pend Emb]]&gt;0,1,0)</f>
        <v>0</v>
      </c>
      <c r="T160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0" spans="1:20" x14ac:dyDescent="0.25">
      <c r="A1610">
        <v>1</v>
      </c>
      <c r="B1610" t="s">
        <v>55</v>
      </c>
      <c r="C1610">
        <v>8664280</v>
      </c>
      <c r="D1610" s="48">
        <v>43341</v>
      </c>
      <c r="E1610" s="48">
        <v>43340</v>
      </c>
      <c r="F1610" s="48">
        <v>43346</v>
      </c>
      <c r="G1610" t="s">
        <v>148</v>
      </c>
      <c r="H1610" t="s">
        <v>149</v>
      </c>
      <c r="I1610">
        <v>6</v>
      </c>
      <c r="J1610" t="s">
        <v>154</v>
      </c>
      <c r="K1610">
        <v>6</v>
      </c>
      <c r="L1610">
        <v>6</v>
      </c>
      <c r="M1610" t="s">
        <v>1963</v>
      </c>
      <c r="N1610">
        <v>0</v>
      </c>
      <c r="O1610" s="1">
        <f>+Tabla__192.168.1.8_POSEIDONSQL_APPFVT_01_tbl_detalle_fill_rate[[#This Row],[emb_cantidad]]-Tabla__192.168.1.8_POSEIDONSQL_APPFVT_01_tbl_detalle_fill_rate[[#This Row],[dev_cantidad]]</f>
        <v>6</v>
      </c>
      <c r="P161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10" s="1">
        <f>+Tabla__192.168.1.8_POSEIDONSQL_APPFVT_01_tbl_detalle_fill_rate[[#This Row],[Cumpl Real Unds]]-Tabla__192.168.1.8_POSEIDONSQL_APPFVT_01_tbl_detalle_fill_rate[[#This Row],[Cant Embarcada]]</f>
        <v>0</v>
      </c>
      <c r="S1610" s="1">
        <f>+IF(Tabla__192.168.1.8_POSEIDONSQL_APPFVT_01_tbl_detalle_fill_rate[[#This Row],[Pend Emb]]&gt;0,1,0)</f>
        <v>0</v>
      </c>
      <c r="T161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1" spans="1:20" x14ac:dyDescent="0.25">
      <c r="A1611">
        <v>1</v>
      </c>
      <c r="B1611" t="s">
        <v>55</v>
      </c>
      <c r="C1611">
        <v>8664280</v>
      </c>
      <c r="D1611" s="48">
        <v>43341</v>
      </c>
      <c r="E1611" s="48">
        <v>43340</v>
      </c>
      <c r="F1611" s="48">
        <v>43346</v>
      </c>
      <c r="G1611" t="s">
        <v>157</v>
      </c>
      <c r="H1611" t="s">
        <v>158</v>
      </c>
      <c r="I1611">
        <v>6</v>
      </c>
      <c r="J1611" t="s">
        <v>153</v>
      </c>
      <c r="K1611">
        <v>6</v>
      </c>
      <c r="L1611">
        <v>6</v>
      </c>
      <c r="M1611" t="s">
        <v>1963</v>
      </c>
      <c r="N1611">
        <v>0</v>
      </c>
      <c r="O1611" s="1">
        <f>+Tabla__192.168.1.8_POSEIDONSQL_APPFVT_01_tbl_detalle_fill_rate[[#This Row],[emb_cantidad]]-Tabla__192.168.1.8_POSEIDONSQL_APPFVT_01_tbl_detalle_fill_rate[[#This Row],[dev_cantidad]]</f>
        <v>6</v>
      </c>
      <c r="P161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11" s="1">
        <f>+Tabla__192.168.1.8_POSEIDONSQL_APPFVT_01_tbl_detalle_fill_rate[[#This Row],[Cumpl Real Unds]]-Tabla__192.168.1.8_POSEIDONSQL_APPFVT_01_tbl_detalle_fill_rate[[#This Row],[Cant Embarcada]]</f>
        <v>0</v>
      </c>
      <c r="S1611" s="1">
        <f>+IF(Tabla__192.168.1.8_POSEIDONSQL_APPFVT_01_tbl_detalle_fill_rate[[#This Row],[Pend Emb]]&gt;0,1,0)</f>
        <v>0</v>
      </c>
      <c r="T161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2" spans="1:20" x14ac:dyDescent="0.25">
      <c r="A1612">
        <v>1</v>
      </c>
      <c r="B1612" t="s">
        <v>55</v>
      </c>
      <c r="C1612">
        <v>8664280</v>
      </c>
      <c r="D1612" s="48">
        <v>43341</v>
      </c>
      <c r="E1612" s="48">
        <v>43340</v>
      </c>
      <c r="F1612" s="48">
        <v>43346</v>
      </c>
      <c r="G1612" t="s">
        <v>100</v>
      </c>
      <c r="H1612" t="s">
        <v>101</v>
      </c>
      <c r="I1612">
        <v>6</v>
      </c>
      <c r="J1612" t="s">
        <v>155</v>
      </c>
      <c r="K1612">
        <v>6</v>
      </c>
      <c r="L1612">
        <v>6</v>
      </c>
      <c r="M1612" t="s">
        <v>1963</v>
      </c>
      <c r="N1612">
        <v>0</v>
      </c>
      <c r="O1612" s="1">
        <f>+Tabla__192.168.1.8_POSEIDONSQL_APPFVT_01_tbl_detalle_fill_rate[[#This Row],[emb_cantidad]]-Tabla__192.168.1.8_POSEIDONSQL_APPFVT_01_tbl_detalle_fill_rate[[#This Row],[dev_cantidad]]</f>
        <v>6</v>
      </c>
      <c r="P161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12" s="1">
        <f>+Tabla__192.168.1.8_POSEIDONSQL_APPFVT_01_tbl_detalle_fill_rate[[#This Row],[Cumpl Real Unds]]-Tabla__192.168.1.8_POSEIDONSQL_APPFVT_01_tbl_detalle_fill_rate[[#This Row],[Cant Embarcada]]</f>
        <v>0</v>
      </c>
      <c r="S1612" s="1">
        <f>+IF(Tabla__192.168.1.8_POSEIDONSQL_APPFVT_01_tbl_detalle_fill_rate[[#This Row],[Pend Emb]]&gt;0,1,0)</f>
        <v>0</v>
      </c>
      <c r="T161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3" spans="1:20" x14ac:dyDescent="0.25">
      <c r="A1613">
        <v>1</v>
      </c>
      <c r="B1613" t="s">
        <v>55</v>
      </c>
      <c r="C1613">
        <v>8664280</v>
      </c>
      <c r="D1613" s="48">
        <v>43341</v>
      </c>
      <c r="E1613" s="48">
        <v>43340</v>
      </c>
      <c r="F1613" s="48">
        <v>43346</v>
      </c>
      <c r="G1613" t="s">
        <v>238</v>
      </c>
      <c r="H1613" t="s">
        <v>239</v>
      </c>
      <c r="I1613">
        <v>6</v>
      </c>
      <c r="J1613" t="s">
        <v>156</v>
      </c>
      <c r="K1613">
        <v>6</v>
      </c>
      <c r="L1613">
        <v>6</v>
      </c>
      <c r="M1613" t="s">
        <v>1963</v>
      </c>
      <c r="N1613">
        <v>0</v>
      </c>
      <c r="O1613" s="1">
        <f>+Tabla__192.168.1.8_POSEIDONSQL_APPFVT_01_tbl_detalle_fill_rate[[#This Row],[emb_cantidad]]-Tabla__192.168.1.8_POSEIDONSQL_APPFVT_01_tbl_detalle_fill_rate[[#This Row],[dev_cantidad]]</f>
        <v>6</v>
      </c>
      <c r="P161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13" s="1">
        <f>+Tabla__192.168.1.8_POSEIDONSQL_APPFVT_01_tbl_detalle_fill_rate[[#This Row],[Cumpl Real Unds]]-Tabla__192.168.1.8_POSEIDONSQL_APPFVT_01_tbl_detalle_fill_rate[[#This Row],[Cant Embarcada]]</f>
        <v>0</v>
      </c>
      <c r="S1613" s="1">
        <f>+IF(Tabla__192.168.1.8_POSEIDONSQL_APPFVT_01_tbl_detalle_fill_rate[[#This Row],[Pend Emb]]&gt;0,1,0)</f>
        <v>0</v>
      </c>
      <c r="T161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4" spans="1:20" x14ac:dyDescent="0.25">
      <c r="A1614">
        <v>1</v>
      </c>
      <c r="B1614" t="s">
        <v>55</v>
      </c>
      <c r="C1614">
        <v>8664524</v>
      </c>
      <c r="D1614" s="48">
        <v>43341</v>
      </c>
      <c r="E1614" s="48">
        <v>43340</v>
      </c>
      <c r="F1614" s="48">
        <v>43342</v>
      </c>
      <c r="G1614" t="s">
        <v>255</v>
      </c>
      <c r="H1614" t="s">
        <v>256</v>
      </c>
      <c r="I1614">
        <v>210</v>
      </c>
      <c r="J1614" t="s">
        <v>152</v>
      </c>
      <c r="K1614">
        <v>0</v>
      </c>
      <c r="L1614">
        <v>0</v>
      </c>
      <c r="M1614" t="s">
        <v>1977</v>
      </c>
      <c r="N1614">
        <v>0</v>
      </c>
      <c r="O1614" s="1">
        <f>+Tabla__192.168.1.8_POSEIDONSQL_APPFVT_01_tbl_detalle_fill_rate[[#This Row],[emb_cantidad]]-Tabla__192.168.1.8_POSEIDONSQL_APPFVT_01_tbl_detalle_fill_rate[[#This Row],[dev_cantidad]]</f>
        <v>0</v>
      </c>
      <c r="P161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14" s="1">
        <f>+Tabla__192.168.1.8_POSEIDONSQL_APPFVT_01_tbl_detalle_fill_rate[[#This Row],[Cumpl Real Unds]]-Tabla__192.168.1.8_POSEIDONSQL_APPFVT_01_tbl_detalle_fill_rate[[#This Row],[Cant Embarcada]]</f>
        <v>0</v>
      </c>
      <c r="S1614" s="1">
        <f>+IF(Tabla__192.168.1.8_POSEIDONSQL_APPFVT_01_tbl_detalle_fill_rate[[#This Row],[Pend Emb]]&gt;0,1,0)</f>
        <v>0</v>
      </c>
      <c r="T161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5" spans="1:20" x14ac:dyDescent="0.25">
      <c r="A1615">
        <v>1</v>
      </c>
      <c r="B1615" t="s">
        <v>55</v>
      </c>
      <c r="C1615">
        <v>8664524</v>
      </c>
      <c r="D1615" s="48">
        <v>43341</v>
      </c>
      <c r="E1615" s="48">
        <v>43340</v>
      </c>
      <c r="F1615" s="48">
        <v>43342</v>
      </c>
      <c r="G1615" t="s">
        <v>529</v>
      </c>
      <c r="H1615" t="s">
        <v>530</v>
      </c>
      <c r="I1615">
        <v>105</v>
      </c>
      <c r="J1615" t="s">
        <v>154</v>
      </c>
      <c r="K1615">
        <v>105</v>
      </c>
      <c r="L1615">
        <v>105</v>
      </c>
      <c r="M1615" t="s">
        <v>1977</v>
      </c>
      <c r="N1615">
        <v>0</v>
      </c>
      <c r="O1615" s="1">
        <f>+Tabla__192.168.1.8_POSEIDONSQL_APPFVT_01_tbl_detalle_fill_rate[[#This Row],[emb_cantidad]]-Tabla__192.168.1.8_POSEIDONSQL_APPFVT_01_tbl_detalle_fill_rate[[#This Row],[dev_cantidad]]</f>
        <v>105</v>
      </c>
      <c r="P161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105</v>
      </c>
      <c r="R1615" s="1">
        <f>+Tabla__192.168.1.8_POSEIDONSQL_APPFVT_01_tbl_detalle_fill_rate[[#This Row],[Cumpl Real Unds]]-Tabla__192.168.1.8_POSEIDONSQL_APPFVT_01_tbl_detalle_fill_rate[[#This Row],[Cant Embarcada]]</f>
        <v>0</v>
      </c>
      <c r="S1615" s="1">
        <f>+IF(Tabla__192.168.1.8_POSEIDONSQL_APPFVT_01_tbl_detalle_fill_rate[[#This Row],[Pend Emb]]&gt;0,1,0)</f>
        <v>0</v>
      </c>
      <c r="T161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6" spans="1:20" x14ac:dyDescent="0.25">
      <c r="A1616">
        <v>1</v>
      </c>
      <c r="B1616" t="s">
        <v>55</v>
      </c>
      <c r="C1616">
        <v>8664524</v>
      </c>
      <c r="D1616" s="48">
        <v>43341</v>
      </c>
      <c r="E1616" s="48">
        <v>43340</v>
      </c>
      <c r="F1616" s="48">
        <v>43342</v>
      </c>
      <c r="G1616" t="s">
        <v>249</v>
      </c>
      <c r="H1616" t="s">
        <v>250</v>
      </c>
      <c r="I1616">
        <v>24</v>
      </c>
      <c r="J1616" t="s">
        <v>153</v>
      </c>
      <c r="K1616">
        <v>0</v>
      </c>
      <c r="L1616">
        <v>0</v>
      </c>
      <c r="M1616" t="s">
        <v>1977</v>
      </c>
      <c r="N1616">
        <v>0</v>
      </c>
      <c r="O1616" s="1">
        <f>+Tabla__192.168.1.8_POSEIDONSQL_APPFVT_01_tbl_detalle_fill_rate[[#This Row],[emb_cantidad]]-Tabla__192.168.1.8_POSEIDONSQL_APPFVT_01_tbl_detalle_fill_rate[[#This Row],[dev_cantidad]]</f>
        <v>0</v>
      </c>
      <c r="P161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16" s="1">
        <f>+Tabla__192.168.1.8_POSEIDONSQL_APPFVT_01_tbl_detalle_fill_rate[[#This Row],[Cumpl Real Unds]]-Tabla__192.168.1.8_POSEIDONSQL_APPFVT_01_tbl_detalle_fill_rate[[#This Row],[Cant Embarcada]]</f>
        <v>0</v>
      </c>
      <c r="S1616" s="1">
        <f>+IF(Tabla__192.168.1.8_POSEIDONSQL_APPFVT_01_tbl_detalle_fill_rate[[#This Row],[Pend Emb]]&gt;0,1,0)</f>
        <v>0</v>
      </c>
      <c r="T161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7" spans="1:20" x14ac:dyDescent="0.25">
      <c r="A1617">
        <v>1</v>
      </c>
      <c r="B1617" t="s">
        <v>55</v>
      </c>
      <c r="C1617">
        <v>8664557</v>
      </c>
      <c r="D1617" s="48">
        <v>43341</v>
      </c>
      <c r="E1617" s="48">
        <v>43340</v>
      </c>
      <c r="F1617" s="48">
        <v>43347</v>
      </c>
      <c r="G1617" t="s">
        <v>92</v>
      </c>
      <c r="H1617" t="s">
        <v>93</v>
      </c>
      <c r="I1617">
        <v>1</v>
      </c>
      <c r="J1617" t="s">
        <v>1795</v>
      </c>
      <c r="K1617">
        <v>1</v>
      </c>
      <c r="L1617">
        <v>1</v>
      </c>
      <c r="M1617" t="s">
        <v>162</v>
      </c>
      <c r="N1617">
        <v>0</v>
      </c>
      <c r="O1617" s="1">
        <f>+Tabla__192.168.1.8_POSEIDONSQL_APPFVT_01_tbl_detalle_fill_rate[[#This Row],[emb_cantidad]]-Tabla__192.168.1.8_POSEIDONSQL_APPFVT_01_tbl_detalle_fill_rate[[#This Row],[dev_cantidad]]</f>
        <v>1</v>
      </c>
      <c r="P161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17" s="1">
        <f>+Tabla__192.168.1.8_POSEIDONSQL_APPFVT_01_tbl_detalle_fill_rate[[#This Row],[Cumpl Real Unds]]-Tabla__192.168.1.8_POSEIDONSQL_APPFVT_01_tbl_detalle_fill_rate[[#This Row],[Cant Embarcada]]</f>
        <v>0</v>
      </c>
      <c r="S1617" s="1">
        <f>+IF(Tabla__192.168.1.8_POSEIDONSQL_APPFVT_01_tbl_detalle_fill_rate[[#This Row],[Pend Emb]]&gt;0,1,0)</f>
        <v>0</v>
      </c>
      <c r="T161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8" spans="1:20" x14ac:dyDescent="0.25">
      <c r="A1618">
        <v>1</v>
      </c>
      <c r="B1618" t="s">
        <v>55</v>
      </c>
      <c r="C1618">
        <v>8665011</v>
      </c>
      <c r="D1618" s="48">
        <v>43341</v>
      </c>
      <c r="E1618" s="48">
        <v>43340</v>
      </c>
      <c r="F1618" s="48">
        <v>43347</v>
      </c>
      <c r="G1618" t="s">
        <v>521</v>
      </c>
      <c r="H1618" t="s">
        <v>522</v>
      </c>
      <c r="I1618">
        <v>1</v>
      </c>
      <c r="J1618" t="s">
        <v>523</v>
      </c>
      <c r="K1618">
        <v>1</v>
      </c>
      <c r="L1618">
        <v>1</v>
      </c>
      <c r="M1618" t="s">
        <v>162</v>
      </c>
      <c r="N1618">
        <v>0</v>
      </c>
      <c r="O1618" s="1">
        <f>+Tabla__192.168.1.8_POSEIDONSQL_APPFVT_01_tbl_detalle_fill_rate[[#This Row],[emb_cantidad]]-Tabla__192.168.1.8_POSEIDONSQL_APPFVT_01_tbl_detalle_fill_rate[[#This Row],[dev_cantidad]]</f>
        <v>1</v>
      </c>
      <c r="P161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18" s="1">
        <f>+Tabla__192.168.1.8_POSEIDONSQL_APPFVT_01_tbl_detalle_fill_rate[[#This Row],[Cumpl Real Unds]]-Tabla__192.168.1.8_POSEIDONSQL_APPFVT_01_tbl_detalle_fill_rate[[#This Row],[Cant Embarcada]]</f>
        <v>0</v>
      </c>
      <c r="S1618" s="1">
        <f>+IF(Tabla__192.168.1.8_POSEIDONSQL_APPFVT_01_tbl_detalle_fill_rate[[#This Row],[Pend Emb]]&gt;0,1,0)</f>
        <v>0</v>
      </c>
      <c r="T161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19" spans="1:20" x14ac:dyDescent="0.25">
      <c r="A1619">
        <v>1</v>
      </c>
      <c r="B1619" t="s">
        <v>55</v>
      </c>
      <c r="C1619">
        <v>8665704</v>
      </c>
      <c r="D1619" s="48">
        <v>43342</v>
      </c>
      <c r="E1619" s="48">
        <v>43340</v>
      </c>
      <c r="F1619" s="48">
        <v>43347</v>
      </c>
      <c r="G1619" t="s">
        <v>92</v>
      </c>
      <c r="H1619" t="s">
        <v>93</v>
      </c>
      <c r="I1619">
        <v>1</v>
      </c>
      <c r="J1619" t="s">
        <v>1142</v>
      </c>
      <c r="K1619">
        <v>1</v>
      </c>
      <c r="L1619">
        <v>1</v>
      </c>
      <c r="M1619" t="s">
        <v>162</v>
      </c>
      <c r="N1619">
        <v>0</v>
      </c>
      <c r="O1619" s="1">
        <f>+Tabla__192.168.1.8_POSEIDONSQL_APPFVT_01_tbl_detalle_fill_rate[[#This Row],[emb_cantidad]]-Tabla__192.168.1.8_POSEIDONSQL_APPFVT_01_tbl_detalle_fill_rate[[#This Row],[dev_cantidad]]</f>
        <v>1</v>
      </c>
      <c r="P161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1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19" s="1">
        <f>+Tabla__192.168.1.8_POSEIDONSQL_APPFVT_01_tbl_detalle_fill_rate[[#This Row],[Cumpl Real Unds]]-Tabla__192.168.1.8_POSEIDONSQL_APPFVT_01_tbl_detalle_fill_rate[[#This Row],[Cant Embarcada]]</f>
        <v>0</v>
      </c>
      <c r="S1619" s="1">
        <f>+IF(Tabla__192.168.1.8_POSEIDONSQL_APPFVT_01_tbl_detalle_fill_rate[[#This Row],[Pend Emb]]&gt;0,1,0)</f>
        <v>0</v>
      </c>
      <c r="T161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0" spans="1:20" x14ac:dyDescent="0.25">
      <c r="A1620">
        <v>1</v>
      </c>
      <c r="B1620" t="s">
        <v>55</v>
      </c>
      <c r="C1620">
        <v>8665756</v>
      </c>
      <c r="D1620" s="48">
        <v>43342</v>
      </c>
      <c r="E1620" s="48">
        <v>43340</v>
      </c>
      <c r="F1620" s="48">
        <v>43363</v>
      </c>
      <c r="G1620" t="s">
        <v>910</v>
      </c>
      <c r="H1620" t="s">
        <v>911</v>
      </c>
      <c r="I1620">
        <v>1</v>
      </c>
      <c r="J1620" t="s">
        <v>1509</v>
      </c>
      <c r="K1620">
        <v>1</v>
      </c>
      <c r="L1620">
        <v>1</v>
      </c>
      <c r="M1620" t="s">
        <v>415</v>
      </c>
      <c r="N1620">
        <v>0</v>
      </c>
      <c r="O1620" s="1">
        <f>+Tabla__192.168.1.8_POSEIDONSQL_APPFVT_01_tbl_detalle_fill_rate[[#This Row],[emb_cantidad]]-Tabla__192.168.1.8_POSEIDONSQL_APPFVT_01_tbl_detalle_fill_rate[[#This Row],[dev_cantidad]]</f>
        <v>1</v>
      </c>
      <c r="P162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20" s="1">
        <f>+Tabla__192.168.1.8_POSEIDONSQL_APPFVT_01_tbl_detalle_fill_rate[[#This Row],[Cumpl Real Unds]]-Tabla__192.168.1.8_POSEIDONSQL_APPFVT_01_tbl_detalle_fill_rate[[#This Row],[Cant Embarcada]]</f>
        <v>0</v>
      </c>
      <c r="S1620" s="1">
        <f>+IF(Tabla__192.168.1.8_POSEIDONSQL_APPFVT_01_tbl_detalle_fill_rate[[#This Row],[Pend Emb]]&gt;0,1,0)</f>
        <v>0</v>
      </c>
      <c r="T162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1" spans="1:20" x14ac:dyDescent="0.25">
      <c r="A1621">
        <v>1</v>
      </c>
      <c r="B1621" t="s">
        <v>55</v>
      </c>
      <c r="C1621">
        <v>8666231</v>
      </c>
      <c r="D1621" s="48">
        <v>43342</v>
      </c>
      <c r="E1621" s="48">
        <v>43341</v>
      </c>
      <c r="F1621" s="48">
        <v>43347</v>
      </c>
      <c r="G1621" t="s">
        <v>138</v>
      </c>
      <c r="H1621" t="s">
        <v>139</v>
      </c>
      <c r="I1621">
        <v>1</v>
      </c>
      <c r="J1621" t="s">
        <v>1144</v>
      </c>
      <c r="K1621">
        <v>1</v>
      </c>
      <c r="L1621">
        <v>1</v>
      </c>
      <c r="M1621" t="s">
        <v>162</v>
      </c>
      <c r="N1621">
        <v>0</v>
      </c>
      <c r="O1621" s="1">
        <f>+Tabla__192.168.1.8_POSEIDONSQL_APPFVT_01_tbl_detalle_fill_rate[[#This Row],[emb_cantidad]]-Tabla__192.168.1.8_POSEIDONSQL_APPFVT_01_tbl_detalle_fill_rate[[#This Row],[dev_cantidad]]</f>
        <v>1</v>
      </c>
      <c r="P162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21" s="1">
        <f>+Tabla__192.168.1.8_POSEIDONSQL_APPFVT_01_tbl_detalle_fill_rate[[#This Row],[Cumpl Real Unds]]-Tabla__192.168.1.8_POSEIDONSQL_APPFVT_01_tbl_detalle_fill_rate[[#This Row],[Cant Embarcada]]</f>
        <v>0</v>
      </c>
      <c r="S1621" s="1">
        <f>+IF(Tabla__192.168.1.8_POSEIDONSQL_APPFVT_01_tbl_detalle_fill_rate[[#This Row],[Pend Emb]]&gt;0,1,0)</f>
        <v>0</v>
      </c>
      <c r="T162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2" spans="1:20" x14ac:dyDescent="0.25">
      <c r="A1622">
        <v>1</v>
      </c>
      <c r="B1622" t="s">
        <v>55</v>
      </c>
      <c r="C1622">
        <v>8667241</v>
      </c>
      <c r="D1622" s="48">
        <v>43342</v>
      </c>
      <c r="E1622" s="48">
        <v>43341</v>
      </c>
      <c r="F1622" s="48">
        <v>43347</v>
      </c>
      <c r="G1622" t="s">
        <v>138</v>
      </c>
      <c r="H1622" t="s">
        <v>139</v>
      </c>
      <c r="I1622">
        <v>1</v>
      </c>
      <c r="J1622" t="s">
        <v>1143</v>
      </c>
      <c r="K1622">
        <v>1</v>
      </c>
      <c r="L1622">
        <v>1</v>
      </c>
      <c r="M1622" t="s">
        <v>162</v>
      </c>
      <c r="N1622">
        <v>0</v>
      </c>
      <c r="O1622" s="1">
        <f>+Tabla__192.168.1.8_POSEIDONSQL_APPFVT_01_tbl_detalle_fill_rate[[#This Row],[emb_cantidad]]-Tabla__192.168.1.8_POSEIDONSQL_APPFVT_01_tbl_detalle_fill_rate[[#This Row],[dev_cantidad]]</f>
        <v>1</v>
      </c>
      <c r="P162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22" s="1">
        <f>+Tabla__192.168.1.8_POSEIDONSQL_APPFVT_01_tbl_detalle_fill_rate[[#This Row],[Cumpl Real Unds]]-Tabla__192.168.1.8_POSEIDONSQL_APPFVT_01_tbl_detalle_fill_rate[[#This Row],[Cant Embarcada]]</f>
        <v>0</v>
      </c>
      <c r="S1622" s="1">
        <f>+IF(Tabla__192.168.1.8_POSEIDONSQL_APPFVT_01_tbl_detalle_fill_rate[[#This Row],[Pend Emb]]&gt;0,1,0)</f>
        <v>0</v>
      </c>
      <c r="T162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3" spans="1:20" x14ac:dyDescent="0.25">
      <c r="A1623">
        <v>1</v>
      </c>
      <c r="B1623" t="s">
        <v>55</v>
      </c>
      <c r="C1623">
        <v>8668609</v>
      </c>
      <c r="D1623" s="48">
        <v>43343</v>
      </c>
      <c r="E1623" s="48">
        <v>43342</v>
      </c>
      <c r="F1623" s="48">
        <v>43348</v>
      </c>
      <c r="G1623" t="s">
        <v>72</v>
      </c>
      <c r="H1623" t="s">
        <v>73</v>
      </c>
      <c r="I1623">
        <v>16</v>
      </c>
      <c r="J1623" t="s">
        <v>152</v>
      </c>
      <c r="K1623">
        <v>16</v>
      </c>
      <c r="L1623">
        <v>16</v>
      </c>
      <c r="M1623" t="s">
        <v>160</v>
      </c>
      <c r="N1623">
        <v>0</v>
      </c>
      <c r="O1623" s="1">
        <f>+Tabla__192.168.1.8_POSEIDONSQL_APPFVT_01_tbl_detalle_fill_rate[[#This Row],[emb_cantidad]]-Tabla__192.168.1.8_POSEIDONSQL_APPFVT_01_tbl_detalle_fill_rate[[#This Row],[dev_cantidad]]</f>
        <v>16</v>
      </c>
      <c r="P162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16</v>
      </c>
      <c r="R1623" s="1">
        <f>+Tabla__192.168.1.8_POSEIDONSQL_APPFVT_01_tbl_detalle_fill_rate[[#This Row],[Cumpl Real Unds]]-Tabla__192.168.1.8_POSEIDONSQL_APPFVT_01_tbl_detalle_fill_rate[[#This Row],[Cant Embarcada]]</f>
        <v>0</v>
      </c>
      <c r="S1623" s="1">
        <f>+IF(Tabla__192.168.1.8_POSEIDONSQL_APPFVT_01_tbl_detalle_fill_rate[[#This Row],[Pend Emb]]&gt;0,1,0)</f>
        <v>0</v>
      </c>
      <c r="T162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4" spans="1:20" x14ac:dyDescent="0.25">
      <c r="A1624">
        <v>1</v>
      </c>
      <c r="B1624" t="s">
        <v>55</v>
      </c>
      <c r="C1624">
        <v>8668609</v>
      </c>
      <c r="D1624" s="48">
        <v>43343</v>
      </c>
      <c r="E1624" s="48">
        <v>43342</v>
      </c>
      <c r="F1624" s="48">
        <v>43348</v>
      </c>
      <c r="G1624" t="s">
        <v>148</v>
      </c>
      <c r="H1624" t="s">
        <v>149</v>
      </c>
      <c r="I1624">
        <v>12</v>
      </c>
      <c r="J1624" t="s">
        <v>154</v>
      </c>
      <c r="K1624">
        <v>12</v>
      </c>
      <c r="L1624">
        <v>12</v>
      </c>
      <c r="M1624" t="s">
        <v>160</v>
      </c>
      <c r="N1624">
        <v>0</v>
      </c>
      <c r="O1624" s="1">
        <f>+Tabla__192.168.1.8_POSEIDONSQL_APPFVT_01_tbl_detalle_fill_rate[[#This Row],[emb_cantidad]]-Tabla__192.168.1.8_POSEIDONSQL_APPFVT_01_tbl_detalle_fill_rate[[#This Row],[dev_cantidad]]</f>
        <v>12</v>
      </c>
      <c r="P162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624" s="1">
        <f>+Tabla__192.168.1.8_POSEIDONSQL_APPFVT_01_tbl_detalle_fill_rate[[#This Row],[Cumpl Real Unds]]-Tabla__192.168.1.8_POSEIDONSQL_APPFVT_01_tbl_detalle_fill_rate[[#This Row],[Cant Embarcada]]</f>
        <v>0</v>
      </c>
      <c r="S1624" s="1">
        <f>+IF(Tabla__192.168.1.8_POSEIDONSQL_APPFVT_01_tbl_detalle_fill_rate[[#This Row],[Pend Emb]]&gt;0,1,0)</f>
        <v>0</v>
      </c>
      <c r="T162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5" spans="1:20" x14ac:dyDescent="0.25">
      <c r="A1625">
        <v>1</v>
      </c>
      <c r="B1625" t="s">
        <v>55</v>
      </c>
      <c r="C1625">
        <v>8668609</v>
      </c>
      <c r="D1625" s="48">
        <v>43343</v>
      </c>
      <c r="E1625" s="48">
        <v>43342</v>
      </c>
      <c r="F1625" s="48">
        <v>43348</v>
      </c>
      <c r="G1625" t="s">
        <v>98</v>
      </c>
      <c r="H1625" t="s">
        <v>99</v>
      </c>
      <c r="I1625">
        <v>12</v>
      </c>
      <c r="J1625" t="s">
        <v>153</v>
      </c>
      <c r="K1625">
        <v>12</v>
      </c>
      <c r="L1625">
        <v>12</v>
      </c>
      <c r="M1625" t="s">
        <v>160</v>
      </c>
      <c r="N1625">
        <v>0</v>
      </c>
      <c r="O1625" s="1">
        <f>+Tabla__192.168.1.8_POSEIDONSQL_APPFVT_01_tbl_detalle_fill_rate[[#This Row],[emb_cantidad]]-Tabla__192.168.1.8_POSEIDONSQL_APPFVT_01_tbl_detalle_fill_rate[[#This Row],[dev_cantidad]]</f>
        <v>12</v>
      </c>
      <c r="P162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625" s="1">
        <f>+Tabla__192.168.1.8_POSEIDONSQL_APPFVT_01_tbl_detalle_fill_rate[[#This Row],[Cumpl Real Unds]]-Tabla__192.168.1.8_POSEIDONSQL_APPFVT_01_tbl_detalle_fill_rate[[#This Row],[Cant Embarcada]]</f>
        <v>0</v>
      </c>
      <c r="S1625" s="1">
        <f>+IF(Tabla__192.168.1.8_POSEIDONSQL_APPFVT_01_tbl_detalle_fill_rate[[#This Row],[Pend Emb]]&gt;0,1,0)</f>
        <v>0</v>
      </c>
      <c r="T162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6" spans="1:20" x14ac:dyDescent="0.25">
      <c r="A1626">
        <v>1</v>
      </c>
      <c r="B1626" t="s">
        <v>55</v>
      </c>
      <c r="C1626">
        <v>8668609</v>
      </c>
      <c r="D1626" s="48">
        <v>43343</v>
      </c>
      <c r="E1626" s="48">
        <v>43342</v>
      </c>
      <c r="F1626" s="48">
        <v>43348</v>
      </c>
      <c r="G1626" t="s">
        <v>242</v>
      </c>
      <c r="H1626" t="s">
        <v>243</v>
      </c>
      <c r="I1626">
        <v>6</v>
      </c>
      <c r="J1626" t="s">
        <v>155</v>
      </c>
      <c r="K1626">
        <v>6</v>
      </c>
      <c r="L1626">
        <v>6</v>
      </c>
      <c r="M1626" t="s">
        <v>160</v>
      </c>
      <c r="N1626">
        <v>0</v>
      </c>
      <c r="O1626" s="1">
        <f>+Tabla__192.168.1.8_POSEIDONSQL_APPFVT_01_tbl_detalle_fill_rate[[#This Row],[emb_cantidad]]-Tabla__192.168.1.8_POSEIDONSQL_APPFVT_01_tbl_detalle_fill_rate[[#This Row],[dev_cantidad]]</f>
        <v>6</v>
      </c>
      <c r="P162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26" s="1">
        <f>+Tabla__192.168.1.8_POSEIDONSQL_APPFVT_01_tbl_detalle_fill_rate[[#This Row],[Cumpl Real Unds]]-Tabla__192.168.1.8_POSEIDONSQL_APPFVT_01_tbl_detalle_fill_rate[[#This Row],[Cant Embarcada]]</f>
        <v>0</v>
      </c>
      <c r="S1626" s="1">
        <f>+IF(Tabla__192.168.1.8_POSEIDONSQL_APPFVT_01_tbl_detalle_fill_rate[[#This Row],[Pend Emb]]&gt;0,1,0)</f>
        <v>0</v>
      </c>
      <c r="T162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7" spans="1:20" x14ac:dyDescent="0.25">
      <c r="A1627">
        <v>1</v>
      </c>
      <c r="B1627" t="s">
        <v>55</v>
      </c>
      <c r="C1627">
        <v>8668940</v>
      </c>
      <c r="D1627" s="48">
        <v>43343</v>
      </c>
      <c r="E1627" s="48">
        <v>43342</v>
      </c>
      <c r="F1627" s="48">
        <v>43349</v>
      </c>
      <c r="G1627" t="s">
        <v>164</v>
      </c>
      <c r="H1627" t="s">
        <v>165</v>
      </c>
      <c r="I1627">
        <v>1</v>
      </c>
      <c r="J1627" t="s">
        <v>1269</v>
      </c>
      <c r="K1627">
        <v>1</v>
      </c>
      <c r="L1627">
        <v>1</v>
      </c>
      <c r="M1627" t="s">
        <v>161</v>
      </c>
      <c r="N1627">
        <v>0</v>
      </c>
      <c r="O1627" s="1">
        <f>+Tabla__192.168.1.8_POSEIDONSQL_APPFVT_01_tbl_detalle_fill_rate[[#This Row],[emb_cantidad]]-Tabla__192.168.1.8_POSEIDONSQL_APPFVT_01_tbl_detalle_fill_rate[[#This Row],[dev_cantidad]]</f>
        <v>1</v>
      </c>
      <c r="P162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27" s="1">
        <f>+Tabla__192.168.1.8_POSEIDONSQL_APPFVT_01_tbl_detalle_fill_rate[[#This Row],[Cumpl Real Unds]]-Tabla__192.168.1.8_POSEIDONSQL_APPFVT_01_tbl_detalle_fill_rate[[#This Row],[Cant Embarcada]]</f>
        <v>0</v>
      </c>
      <c r="S1627" s="1">
        <f>+IF(Tabla__192.168.1.8_POSEIDONSQL_APPFVT_01_tbl_detalle_fill_rate[[#This Row],[Pend Emb]]&gt;0,1,0)</f>
        <v>0</v>
      </c>
      <c r="T162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8" spans="1:20" x14ac:dyDescent="0.25">
      <c r="A1628">
        <v>1</v>
      </c>
      <c r="B1628" t="s">
        <v>55</v>
      </c>
      <c r="C1628">
        <v>8669264</v>
      </c>
      <c r="D1628" s="48">
        <v>43343</v>
      </c>
      <c r="E1628" s="48">
        <v>43342</v>
      </c>
      <c r="F1628" s="48">
        <v>43355</v>
      </c>
      <c r="G1628" t="s">
        <v>263</v>
      </c>
      <c r="H1628" t="s">
        <v>264</v>
      </c>
      <c r="I1628">
        <v>8</v>
      </c>
      <c r="J1628" t="s">
        <v>152</v>
      </c>
      <c r="K1628">
        <v>4</v>
      </c>
      <c r="L1628">
        <v>4</v>
      </c>
      <c r="M1628" t="s">
        <v>162</v>
      </c>
      <c r="N1628">
        <v>0</v>
      </c>
      <c r="O1628" s="1">
        <f>+Tabla__192.168.1.8_POSEIDONSQL_APPFVT_01_tbl_detalle_fill_rate[[#This Row],[emb_cantidad]]-Tabla__192.168.1.8_POSEIDONSQL_APPFVT_01_tbl_detalle_fill_rate[[#This Row],[dev_cantidad]]</f>
        <v>4</v>
      </c>
      <c r="P162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628" s="1">
        <f>+Tabla__192.168.1.8_POSEIDONSQL_APPFVT_01_tbl_detalle_fill_rate[[#This Row],[Cumpl Real Unds]]-Tabla__192.168.1.8_POSEIDONSQL_APPFVT_01_tbl_detalle_fill_rate[[#This Row],[Cant Embarcada]]</f>
        <v>0</v>
      </c>
      <c r="S1628" s="1">
        <f>+IF(Tabla__192.168.1.8_POSEIDONSQL_APPFVT_01_tbl_detalle_fill_rate[[#This Row],[Pend Emb]]&gt;0,1,0)</f>
        <v>0</v>
      </c>
      <c r="T162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29" spans="1:20" x14ac:dyDescent="0.25">
      <c r="A1629">
        <v>1</v>
      </c>
      <c r="B1629" t="s">
        <v>55</v>
      </c>
      <c r="C1629">
        <v>8669264</v>
      </c>
      <c r="D1629" s="48">
        <v>43343</v>
      </c>
      <c r="E1629" s="48">
        <v>43342</v>
      </c>
      <c r="F1629" s="48">
        <v>43355</v>
      </c>
      <c r="G1629" t="s">
        <v>372</v>
      </c>
      <c r="H1629" t="s">
        <v>373</v>
      </c>
      <c r="I1629">
        <v>4</v>
      </c>
      <c r="J1629" t="s">
        <v>154</v>
      </c>
      <c r="K1629">
        <v>4</v>
      </c>
      <c r="L1629">
        <v>4</v>
      </c>
      <c r="M1629" t="s">
        <v>162</v>
      </c>
      <c r="N1629">
        <v>0</v>
      </c>
      <c r="O1629" s="1">
        <f>+Tabla__192.168.1.8_POSEIDONSQL_APPFVT_01_tbl_detalle_fill_rate[[#This Row],[emb_cantidad]]-Tabla__192.168.1.8_POSEIDONSQL_APPFVT_01_tbl_detalle_fill_rate[[#This Row],[dev_cantidad]]</f>
        <v>4</v>
      </c>
      <c r="P162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2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4</v>
      </c>
      <c r="R1629" s="1">
        <f>+Tabla__192.168.1.8_POSEIDONSQL_APPFVT_01_tbl_detalle_fill_rate[[#This Row],[Cumpl Real Unds]]-Tabla__192.168.1.8_POSEIDONSQL_APPFVT_01_tbl_detalle_fill_rate[[#This Row],[Cant Embarcada]]</f>
        <v>0</v>
      </c>
      <c r="S1629" s="1">
        <f>+IF(Tabla__192.168.1.8_POSEIDONSQL_APPFVT_01_tbl_detalle_fill_rate[[#This Row],[Pend Emb]]&gt;0,1,0)</f>
        <v>0</v>
      </c>
      <c r="T162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0" spans="1:20" x14ac:dyDescent="0.25">
      <c r="A1630">
        <v>1</v>
      </c>
      <c r="B1630" t="s">
        <v>55</v>
      </c>
      <c r="C1630">
        <v>8669264</v>
      </c>
      <c r="D1630" s="48">
        <v>43343</v>
      </c>
      <c r="E1630" s="48">
        <v>43342</v>
      </c>
      <c r="F1630" s="48">
        <v>43355</v>
      </c>
      <c r="G1630" t="s">
        <v>265</v>
      </c>
      <c r="H1630" t="s">
        <v>266</v>
      </c>
      <c r="I1630">
        <v>2</v>
      </c>
      <c r="J1630" t="s">
        <v>153</v>
      </c>
      <c r="K1630">
        <v>2</v>
      </c>
      <c r="L1630">
        <v>2</v>
      </c>
      <c r="M1630" t="s">
        <v>162</v>
      </c>
      <c r="N1630">
        <v>0</v>
      </c>
      <c r="O1630" s="1">
        <f>+Tabla__192.168.1.8_POSEIDONSQL_APPFVT_01_tbl_detalle_fill_rate[[#This Row],[emb_cantidad]]-Tabla__192.168.1.8_POSEIDONSQL_APPFVT_01_tbl_detalle_fill_rate[[#This Row],[dev_cantidad]]</f>
        <v>2</v>
      </c>
      <c r="P163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</v>
      </c>
      <c r="R1630" s="1">
        <f>+Tabla__192.168.1.8_POSEIDONSQL_APPFVT_01_tbl_detalle_fill_rate[[#This Row],[Cumpl Real Unds]]-Tabla__192.168.1.8_POSEIDONSQL_APPFVT_01_tbl_detalle_fill_rate[[#This Row],[Cant Embarcada]]</f>
        <v>0</v>
      </c>
      <c r="S1630" s="1">
        <f>+IF(Tabla__192.168.1.8_POSEIDONSQL_APPFVT_01_tbl_detalle_fill_rate[[#This Row],[Pend Emb]]&gt;0,1,0)</f>
        <v>0</v>
      </c>
      <c r="T163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1" spans="1:20" x14ac:dyDescent="0.25">
      <c r="A1631">
        <v>1</v>
      </c>
      <c r="B1631" t="s">
        <v>55</v>
      </c>
      <c r="C1631">
        <v>8669326</v>
      </c>
      <c r="D1631" s="48">
        <v>43343</v>
      </c>
      <c r="E1631" s="48">
        <v>43342</v>
      </c>
      <c r="F1631" s="48">
        <v>43349</v>
      </c>
      <c r="G1631" t="s">
        <v>92</v>
      </c>
      <c r="H1631" t="s">
        <v>93</v>
      </c>
      <c r="I1631">
        <v>1</v>
      </c>
      <c r="J1631" t="s">
        <v>1270</v>
      </c>
      <c r="K1631">
        <v>1</v>
      </c>
      <c r="L1631">
        <v>1</v>
      </c>
      <c r="M1631" t="s">
        <v>161</v>
      </c>
      <c r="N1631">
        <v>0</v>
      </c>
      <c r="O1631" s="1">
        <f>+Tabla__192.168.1.8_POSEIDONSQL_APPFVT_01_tbl_detalle_fill_rate[[#This Row],[emb_cantidad]]-Tabla__192.168.1.8_POSEIDONSQL_APPFVT_01_tbl_detalle_fill_rate[[#This Row],[dev_cantidad]]</f>
        <v>1</v>
      </c>
      <c r="P163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1" s="1">
        <f>+Tabla__192.168.1.8_POSEIDONSQL_APPFVT_01_tbl_detalle_fill_rate[[#This Row],[Cumpl Real Unds]]-Tabla__192.168.1.8_POSEIDONSQL_APPFVT_01_tbl_detalle_fill_rate[[#This Row],[Cant Embarcada]]</f>
        <v>0</v>
      </c>
      <c r="S1631" s="1">
        <f>+IF(Tabla__192.168.1.8_POSEIDONSQL_APPFVT_01_tbl_detalle_fill_rate[[#This Row],[Pend Emb]]&gt;0,1,0)</f>
        <v>0</v>
      </c>
      <c r="T163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2" spans="1:20" x14ac:dyDescent="0.25">
      <c r="A1632">
        <v>1</v>
      </c>
      <c r="B1632" t="s">
        <v>55</v>
      </c>
      <c r="C1632">
        <v>8669502</v>
      </c>
      <c r="D1632" s="48">
        <v>43343</v>
      </c>
      <c r="E1632" s="48">
        <v>43342</v>
      </c>
      <c r="F1632" s="48">
        <v>43349</v>
      </c>
      <c r="G1632" t="s">
        <v>229</v>
      </c>
      <c r="H1632" t="s">
        <v>230</v>
      </c>
      <c r="I1632">
        <v>1</v>
      </c>
      <c r="J1632" t="s">
        <v>1268</v>
      </c>
      <c r="K1632">
        <v>1</v>
      </c>
      <c r="L1632">
        <v>1</v>
      </c>
      <c r="M1632" t="s">
        <v>161</v>
      </c>
      <c r="N1632">
        <v>0</v>
      </c>
      <c r="O1632" s="1">
        <f>+Tabla__192.168.1.8_POSEIDONSQL_APPFVT_01_tbl_detalle_fill_rate[[#This Row],[emb_cantidad]]-Tabla__192.168.1.8_POSEIDONSQL_APPFVT_01_tbl_detalle_fill_rate[[#This Row],[dev_cantidad]]</f>
        <v>1</v>
      </c>
      <c r="P163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2" s="1">
        <f>+Tabla__192.168.1.8_POSEIDONSQL_APPFVT_01_tbl_detalle_fill_rate[[#This Row],[Cumpl Real Unds]]-Tabla__192.168.1.8_POSEIDONSQL_APPFVT_01_tbl_detalle_fill_rate[[#This Row],[Cant Embarcada]]</f>
        <v>0</v>
      </c>
      <c r="S1632" s="1">
        <f>+IF(Tabla__192.168.1.8_POSEIDONSQL_APPFVT_01_tbl_detalle_fill_rate[[#This Row],[Pend Emb]]&gt;0,1,0)</f>
        <v>0</v>
      </c>
      <c r="T163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3" spans="1:20" x14ac:dyDescent="0.25">
      <c r="A1633">
        <v>1</v>
      </c>
      <c r="B1633" t="s">
        <v>55</v>
      </c>
      <c r="C1633">
        <v>8669965</v>
      </c>
      <c r="D1633" s="48">
        <v>43346</v>
      </c>
      <c r="E1633" s="48">
        <v>43342</v>
      </c>
      <c r="F1633" s="48">
        <v>43349</v>
      </c>
      <c r="G1633" t="s">
        <v>168</v>
      </c>
      <c r="H1633" t="s">
        <v>169</v>
      </c>
      <c r="I1633">
        <v>1</v>
      </c>
      <c r="J1633" t="s">
        <v>567</v>
      </c>
      <c r="K1633">
        <v>1</v>
      </c>
      <c r="L1633">
        <v>1</v>
      </c>
      <c r="M1633" t="s">
        <v>161</v>
      </c>
      <c r="N1633">
        <v>0</v>
      </c>
      <c r="O1633" s="1">
        <f>+Tabla__192.168.1.8_POSEIDONSQL_APPFVT_01_tbl_detalle_fill_rate[[#This Row],[emb_cantidad]]-Tabla__192.168.1.8_POSEIDONSQL_APPFVT_01_tbl_detalle_fill_rate[[#This Row],[dev_cantidad]]</f>
        <v>1</v>
      </c>
      <c r="P163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3" s="1">
        <f>+Tabla__192.168.1.8_POSEIDONSQL_APPFVT_01_tbl_detalle_fill_rate[[#This Row],[Cumpl Real Unds]]-Tabla__192.168.1.8_POSEIDONSQL_APPFVT_01_tbl_detalle_fill_rate[[#This Row],[Cant Embarcada]]</f>
        <v>0</v>
      </c>
      <c r="S1633" s="1">
        <f>+IF(Tabla__192.168.1.8_POSEIDONSQL_APPFVT_01_tbl_detalle_fill_rate[[#This Row],[Pend Emb]]&gt;0,1,0)</f>
        <v>0</v>
      </c>
      <c r="T163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4" spans="1:20" x14ac:dyDescent="0.25">
      <c r="A1634">
        <v>1</v>
      </c>
      <c r="B1634" t="s">
        <v>55</v>
      </c>
      <c r="C1634">
        <v>8670253</v>
      </c>
      <c r="D1634" s="48">
        <v>43346</v>
      </c>
      <c r="E1634" s="48">
        <v>43343</v>
      </c>
      <c r="F1634" s="48">
        <v>43349</v>
      </c>
      <c r="G1634" t="s">
        <v>136</v>
      </c>
      <c r="H1634" t="s">
        <v>137</v>
      </c>
      <c r="I1634">
        <v>1</v>
      </c>
      <c r="J1634" t="s">
        <v>568</v>
      </c>
      <c r="K1634">
        <v>1</v>
      </c>
      <c r="L1634">
        <v>1</v>
      </c>
      <c r="M1634" t="s">
        <v>161</v>
      </c>
      <c r="N1634">
        <v>0</v>
      </c>
      <c r="O1634" s="1">
        <f>+Tabla__192.168.1.8_POSEIDONSQL_APPFVT_01_tbl_detalle_fill_rate[[#This Row],[emb_cantidad]]-Tabla__192.168.1.8_POSEIDONSQL_APPFVT_01_tbl_detalle_fill_rate[[#This Row],[dev_cantidad]]</f>
        <v>1</v>
      </c>
      <c r="P163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4" s="1">
        <f>+Tabla__192.168.1.8_POSEIDONSQL_APPFVT_01_tbl_detalle_fill_rate[[#This Row],[Cumpl Real Unds]]-Tabla__192.168.1.8_POSEIDONSQL_APPFVT_01_tbl_detalle_fill_rate[[#This Row],[Cant Embarcada]]</f>
        <v>0</v>
      </c>
      <c r="S1634" s="1">
        <f>+IF(Tabla__192.168.1.8_POSEIDONSQL_APPFVT_01_tbl_detalle_fill_rate[[#This Row],[Pend Emb]]&gt;0,1,0)</f>
        <v>0</v>
      </c>
      <c r="T163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5" spans="1:20" x14ac:dyDescent="0.25">
      <c r="A1635">
        <v>1</v>
      </c>
      <c r="B1635" t="s">
        <v>55</v>
      </c>
      <c r="C1635">
        <v>8672092</v>
      </c>
      <c r="D1635" s="48">
        <v>43346</v>
      </c>
      <c r="E1635" s="48">
        <v>43343</v>
      </c>
      <c r="F1635" s="48">
        <v>43356</v>
      </c>
      <c r="G1635" t="s">
        <v>661</v>
      </c>
      <c r="H1635" t="s">
        <v>662</v>
      </c>
      <c r="I1635">
        <v>1</v>
      </c>
      <c r="J1635" t="s">
        <v>1292</v>
      </c>
      <c r="K1635">
        <v>1</v>
      </c>
      <c r="L1635">
        <v>1</v>
      </c>
      <c r="M1635" t="s">
        <v>425</v>
      </c>
      <c r="N1635">
        <v>0</v>
      </c>
      <c r="O1635" s="1">
        <f>+Tabla__192.168.1.8_POSEIDONSQL_APPFVT_01_tbl_detalle_fill_rate[[#This Row],[emb_cantidad]]-Tabla__192.168.1.8_POSEIDONSQL_APPFVT_01_tbl_detalle_fill_rate[[#This Row],[dev_cantidad]]</f>
        <v>1</v>
      </c>
      <c r="P163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5" s="1">
        <f>+Tabla__192.168.1.8_POSEIDONSQL_APPFVT_01_tbl_detalle_fill_rate[[#This Row],[Cumpl Real Unds]]-Tabla__192.168.1.8_POSEIDONSQL_APPFVT_01_tbl_detalle_fill_rate[[#This Row],[Cant Embarcada]]</f>
        <v>0</v>
      </c>
      <c r="S1635" s="1">
        <f>+IF(Tabla__192.168.1.8_POSEIDONSQL_APPFVT_01_tbl_detalle_fill_rate[[#This Row],[Pend Emb]]&gt;0,1,0)</f>
        <v>0</v>
      </c>
      <c r="T163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6" spans="1:20" x14ac:dyDescent="0.25">
      <c r="A1636">
        <v>1</v>
      </c>
      <c r="B1636" t="s">
        <v>55</v>
      </c>
      <c r="C1636">
        <v>8672097</v>
      </c>
      <c r="D1636" s="48">
        <v>43346</v>
      </c>
      <c r="E1636" s="48">
        <v>43343</v>
      </c>
      <c r="F1636" s="48">
        <v>43356</v>
      </c>
      <c r="G1636" t="s">
        <v>164</v>
      </c>
      <c r="H1636" t="s">
        <v>165</v>
      </c>
      <c r="I1636">
        <v>1</v>
      </c>
      <c r="J1636" t="s">
        <v>1293</v>
      </c>
      <c r="K1636">
        <v>1</v>
      </c>
      <c r="L1636">
        <v>1</v>
      </c>
      <c r="M1636" t="s">
        <v>425</v>
      </c>
      <c r="N1636">
        <v>0</v>
      </c>
      <c r="O1636" s="1">
        <f>+Tabla__192.168.1.8_POSEIDONSQL_APPFVT_01_tbl_detalle_fill_rate[[#This Row],[emb_cantidad]]-Tabla__192.168.1.8_POSEIDONSQL_APPFVT_01_tbl_detalle_fill_rate[[#This Row],[dev_cantidad]]</f>
        <v>1</v>
      </c>
      <c r="P163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6" s="1">
        <f>+Tabla__192.168.1.8_POSEIDONSQL_APPFVT_01_tbl_detalle_fill_rate[[#This Row],[Cumpl Real Unds]]-Tabla__192.168.1.8_POSEIDONSQL_APPFVT_01_tbl_detalle_fill_rate[[#This Row],[Cant Embarcada]]</f>
        <v>0</v>
      </c>
      <c r="S1636" s="1">
        <f>+IF(Tabla__192.168.1.8_POSEIDONSQL_APPFVT_01_tbl_detalle_fill_rate[[#This Row],[Pend Emb]]&gt;0,1,0)</f>
        <v>0</v>
      </c>
      <c r="T163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7" spans="1:20" x14ac:dyDescent="0.25">
      <c r="A1637">
        <v>1</v>
      </c>
      <c r="B1637" t="s">
        <v>55</v>
      </c>
      <c r="C1637">
        <v>8672315</v>
      </c>
      <c r="D1637" s="48">
        <v>43346</v>
      </c>
      <c r="E1637" s="48">
        <v>43344</v>
      </c>
      <c r="F1637" s="48">
        <v>43354</v>
      </c>
      <c r="G1637" t="s">
        <v>92</v>
      </c>
      <c r="H1637" t="s">
        <v>93</v>
      </c>
      <c r="I1637">
        <v>1</v>
      </c>
      <c r="J1637" t="s">
        <v>576</v>
      </c>
      <c r="K1637">
        <v>1</v>
      </c>
      <c r="L1637">
        <v>1</v>
      </c>
      <c r="M1637" t="s">
        <v>429</v>
      </c>
      <c r="N1637">
        <v>0</v>
      </c>
      <c r="O1637" s="1">
        <f>+Tabla__192.168.1.8_POSEIDONSQL_APPFVT_01_tbl_detalle_fill_rate[[#This Row],[emb_cantidad]]-Tabla__192.168.1.8_POSEIDONSQL_APPFVT_01_tbl_detalle_fill_rate[[#This Row],[dev_cantidad]]</f>
        <v>1</v>
      </c>
      <c r="P163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37" s="1">
        <f>+Tabla__192.168.1.8_POSEIDONSQL_APPFVT_01_tbl_detalle_fill_rate[[#This Row],[Cumpl Real Unds]]-Tabla__192.168.1.8_POSEIDONSQL_APPFVT_01_tbl_detalle_fill_rate[[#This Row],[Cant Embarcada]]</f>
        <v>0</v>
      </c>
      <c r="S1637" s="1">
        <f>+IF(Tabla__192.168.1.8_POSEIDONSQL_APPFVT_01_tbl_detalle_fill_rate[[#This Row],[Pend Emb]]&gt;0,1,0)</f>
        <v>0</v>
      </c>
      <c r="T163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8" spans="1:20" x14ac:dyDescent="0.25">
      <c r="A1638">
        <v>1</v>
      </c>
      <c r="B1638" t="s">
        <v>55</v>
      </c>
      <c r="C1638">
        <v>8686410</v>
      </c>
      <c r="D1638" s="48">
        <v>43354</v>
      </c>
      <c r="E1638" s="48">
        <v>43353</v>
      </c>
      <c r="F1638" s="48">
        <v>43357</v>
      </c>
      <c r="G1638" t="s">
        <v>148</v>
      </c>
      <c r="H1638" t="s">
        <v>149</v>
      </c>
      <c r="I1638">
        <v>18</v>
      </c>
      <c r="J1638" t="s">
        <v>154</v>
      </c>
      <c r="K1638">
        <v>18</v>
      </c>
      <c r="L1638">
        <v>18</v>
      </c>
      <c r="M1638" t="s">
        <v>426</v>
      </c>
      <c r="N1638">
        <v>0</v>
      </c>
      <c r="O1638" s="1">
        <f>+Tabla__192.168.1.8_POSEIDONSQL_APPFVT_01_tbl_detalle_fill_rate[[#This Row],[emb_cantidad]]-Tabla__192.168.1.8_POSEIDONSQL_APPFVT_01_tbl_detalle_fill_rate[[#This Row],[dev_cantidad]]</f>
        <v>18</v>
      </c>
      <c r="P163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638" s="1">
        <f>+Tabla__192.168.1.8_POSEIDONSQL_APPFVT_01_tbl_detalle_fill_rate[[#This Row],[Cumpl Real Unds]]-Tabla__192.168.1.8_POSEIDONSQL_APPFVT_01_tbl_detalle_fill_rate[[#This Row],[Cant Embarcada]]</f>
        <v>0</v>
      </c>
      <c r="S1638" s="1">
        <f>+IF(Tabla__192.168.1.8_POSEIDONSQL_APPFVT_01_tbl_detalle_fill_rate[[#This Row],[Pend Emb]]&gt;0,1,0)</f>
        <v>0</v>
      </c>
      <c r="T163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39" spans="1:20" x14ac:dyDescent="0.25">
      <c r="A1639">
        <v>1</v>
      </c>
      <c r="B1639" t="s">
        <v>55</v>
      </c>
      <c r="C1639">
        <v>8686410</v>
      </c>
      <c r="D1639" s="48">
        <v>43354</v>
      </c>
      <c r="E1639" s="48">
        <v>43353</v>
      </c>
      <c r="F1639" s="48">
        <v>43357</v>
      </c>
      <c r="G1639" t="s">
        <v>157</v>
      </c>
      <c r="H1639" t="s">
        <v>158</v>
      </c>
      <c r="I1639">
        <v>24</v>
      </c>
      <c r="J1639" t="s">
        <v>153</v>
      </c>
      <c r="K1639">
        <v>24</v>
      </c>
      <c r="L1639">
        <v>24</v>
      </c>
      <c r="M1639" t="s">
        <v>426</v>
      </c>
      <c r="N1639">
        <v>0</v>
      </c>
      <c r="O1639" s="1">
        <f>+Tabla__192.168.1.8_POSEIDONSQL_APPFVT_01_tbl_detalle_fill_rate[[#This Row],[emb_cantidad]]-Tabla__192.168.1.8_POSEIDONSQL_APPFVT_01_tbl_detalle_fill_rate[[#This Row],[dev_cantidad]]</f>
        <v>24</v>
      </c>
      <c r="P163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3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1639" s="1">
        <f>+Tabla__192.168.1.8_POSEIDONSQL_APPFVT_01_tbl_detalle_fill_rate[[#This Row],[Cumpl Real Unds]]-Tabla__192.168.1.8_POSEIDONSQL_APPFVT_01_tbl_detalle_fill_rate[[#This Row],[Cant Embarcada]]</f>
        <v>0</v>
      </c>
      <c r="S1639" s="1">
        <f>+IF(Tabla__192.168.1.8_POSEIDONSQL_APPFVT_01_tbl_detalle_fill_rate[[#This Row],[Pend Emb]]&gt;0,1,0)</f>
        <v>0</v>
      </c>
      <c r="T163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0" spans="1:20" x14ac:dyDescent="0.25">
      <c r="A1640">
        <v>1</v>
      </c>
      <c r="B1640" t="s">
        <v>55</v>
      </c>
      <c r="C1640">
        <v>8687489</v>
      </c>
      <c r="D1640" s="48">
        <v>43354</v>
      </c>
      <c r="E1640" s="48">
        <v>43353</v>
      </c>
      <c r="F1640" s="48">
        <v>43363</v>
      </c>
      <c r="G1640" t="s">
        <v>296</v>
      </c>
      <c r="H1640" t="s">
        <v>297</v>
      </c>
      <c r="I1640">
        <v>1</v>
      </c>
      <c r="J1640" t="s">
        <v>981</v>
      </c>
      <c r="K1640">
        <v>1</v>
      </c>
      <c r="L1640">
        <v>1</v>
      </c>
      <c r="M1640" t="s">
        <v>415</v>
      </c>
      <c r="N1640">
        <v>0</v>
      </c>
      <c r="O1640" s="1">
        <f>+Tabla__192.168.1.8_POSEIDONSQL_APPFVT_01_tbl_detalle_fill_rate[[#This Row],[emb_cantidad]]-Tabla__192.168.1.8_POSEIDONSQL_APPFVT_01_tbl_detalle_fill_rate[[#This Row],[dev_cantidad]]</f>
        <v>1</v>
      </c>
      <c r="P164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0" s="1">
        <f>+Tabla__192.168.1.8_POSEIDONSQL_APPFVT_01_tbl_detalle_fill_rate[[#This Row],[Cumpl Real Unds]]-Tabla__192.168.1.8_POSEIDONSQL_APPFVT_01_tbl_detalle_fill_rate[[#This Row],[Cant Embarcada]]</f>
        <v>0</v>
      </c>
      <c r="S1640" s="1">
        <f>+IF(Tabla__192.168.1.8_POSEIDONSQL_APPFVT_01_tbl_detalle_fill_rate[[#This Row],[Pend Emb]]&gt;0,1,0)</f>
        <v>0</v>
      </c>
      <c r="T164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1" spans="1:20" x14ac:dyDescent="0.25">
      <c r="A1641">
        <v>1</v>
      </c>
      <c r="B1641" t="s">
        <v>55</v>
      </c>
      <c r="C1641">
        <v>8687869</v>
      </c>
      <c r="D1641" s="48">
        <v>43355</v>
      </c>
      <c r="E1641" s="48">
        <v>43353</v>
      </c>
      <c r="F1641" s="48">
        <v>43363</v>
      </c>
      <c r="G1641" t="s">
        <v>138</v>
      </c>
      <c r="H1641" t="s">
        <v>139</v>
      </c>
      <c r="I1641">
        <v>1</v>
      </c>
      <c r="J1641" t="s">
        <v>982</v>
      </c>
      <c r="K1641">
        <v>1</v>
      </c>
      <c r="L1641">
        <v>1</v>
      </c>
      <c r="M1641" t="s">
        <v>415</v>
      </c>
      <c r="N1641">
        <v>0</v>
      </c>
      <c r="O1641" s="1">
        <f>+Tabla__192.168.1.8_POSEIDONSQL_APPFVT_01_tbl_detalle_fill_rate[[#This Row],[emb_cantidad]]-Tabla__192.168.1.8_POSEIDONSQL_APPFVT_01_tbl_detalle_fill_rate[[#This Row],[dev_cantidad]]</f>
        <v>1</v>
      </c>
      <c r="P164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1" s="1">
        <f>+Tabla__192.168.1.8_POSEIDONSQL_APPFVT_01_tbl_detalle_fill_rate[[#This Row],[Cumpl Real Unds]]-Tabla__192.168.1.8_POSEIDONSQL_APPFVT_01_tbl_detalle_fill_rate[[#This Row],[Cant Embarcada]]</f>
        <v>0</v>
      </c>
      <c r="S1641" s="1">
        <f>+IF(Tabla__192.168.1.8_POSEIDONSQL_APPFVT_01_tbl_detalle_fill_rate[[#This Row],[Pend Emb]]&gt;0,1,0)</f>
        <v>0</v>
      </c>
      <c r="T164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2" spans="1:20" x14ac:dyDescent="0.25">
      <c r="A1642">
        <v>1</v>
      </c>
      <c r="B1642" t="s">
        <v>55</v>
      </c>
      <c r="C1642">
        <v>8687876</v>
      </c>
      <c r="D1642" s="48">
        <v>43355</v>
      </c>
      <c r="E1642" s="48">
        <v>43353</v>
      </c>
      <c r="F1642" s="48">
        <v>43363</v>
      </c>
      <c r="G1642" t="s">
        <v>146</v>
      </c>
      <c r="H1642" t="s">
        <v>147</v>
      </c>
      <c r="I1642">
        <v>1</v>
      </c>
      <c r="J1642" t="s">
        <v>975</v>
      </c>
      <c r="K1642">
        <v>1</v>
      </c>
      <c r="L1642">
        <v>1</v>
      </c>
      <c r="M1642" t="s">
        <v>415</v>
      </c>
      <c r="N1642">
        <v>0</v>
      </c>
      <c r="O1642" s="1">
        <f>+Tabla__192.168.1.8_POSEIDONSQL_APPFVT_01_tbl_detalle_fill_rate[[#This Row],[emb_cantidad]]-Tabla__192.168.1.8_POSEIDONSQL_APPFVT_01_tbl_detalle_fill_rate[[#This Row],[dev_cantidad]]</f>
        <v>1</v>
      </c>
      <c r="P164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2" s="1">
        <f>+Tabla__192.168.1.8_POSEIDONSQL_APPFVT_01_tbl_detalle_fill_rate[[#This Row],[Cumpl Real Unds]]-Tabla__192.168.1.8_POSEIDONSQL_APPFVT_01_tbl_detalle_fill_rate[[#This Row],[Cant Embarcada]]</f>
        <v>0</v>
      </c>
      <c r="S1642" s="1">
        <f>+IF(Tabla__192.168.1.8_POSEIDONSQL_APPFVT_01_tbl_detalle_fill_rate[[#This Row],[Pend Emb]]&gt;0,1,0)</f>
        <v>0</v>
      </c>
      <c r="T164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3" spans="1:20" x14ac:dyDescent="0.25">
      <c r="A1643">
        <v>1</v>
      </c>
      <c r="B1643" t="s">
        <v>55</v>
      </c>
      <c r="C1643">
        <v>8687901</v>
      </c>
      <c r="D1643" s="48">
        <v>43355</v>
      </c>
      <c r="E1643" s="48">
        <v>43353</v>
      </c>
      <c r="F1643" s="48">
        <v>43363</v>
      </c>
      <c r="G1643" t="s">
        <v>92</v>
      </c>
      <c r="H1643" t="s">
        <v>93</v>
      </c>
      <c r="I1643">
        <v>1</v>
      </c>
      <c r="J1643" t="s">
        <v>976</v>
      </c>
      <c r="K1643">
        <v>1</v>
      </c>
      <c r="L1643">
        <v>1</v>
      </c>
      <c r="M1643" t="s">
        <v>415</v>
      </c>
      <c r="N1643">
        <v>0</v>
      </c>
      <c r="O1643" s="1">
        <f>+Tabla__192.168.1.8_POSEIDONSQL_APPFVT_01_tbl_detalle_fill_rate[[#This Row],[emb_cantidad]]-Tabla__192.168.1.8_POSEIDONSQL_APPFVT_01_tbl_detalle_fill_rate[[#This Row],[dev_cantidad]]</f>
        <v>1</v>
      </c>
      <c r="P164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3" s="1">
        <f>+Tabla__192.168.1.8_POSEIDONSQL_APPFVT_01_tbl_detalle_fill_rate[[#This Row],[Cumpl Real Unds]]-Tabla__192.168.1.8_POSEIDONSQL_APPFVT_01_tbl_detalle_fill_rate[[#This Row],[Cant Embarcada]]</f>
        <v>0</v>
      </c>
      <c r="S1643" s="1">
        <f>+IF(Tabla__192.168.1.8_POSEIDONSQL_APPFVT_01_tbl_detalle_fill_rate[[#This Row],[Pend Emb]]&gt;0,1,0)</f>
        <v>0</v>
      </c>
      <c r="T164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4" spans="1:20" x14ac:dyDescent="0.25">
      <c r="A1644">
        <v>1</v>
      </c>
      <c r="B1644" t="s">
        <v>55</v>
      </c>
      <c r="C1644">
        <v>8688072</v>
      </c>
      <c r="D1644" s="48">
        <v>43355</v>
      </c>
      <c r="E1644" s="48">
        <v>43354</v>
      </c>
      <c r="F1644" s="48">
        <v>43363</v>
      </c>
      <c r="G1644" t="s">
        <v>102</v>
      </c>
      <c r="H1644" t="s">
        <v>103</v>
      </c>
      <c r="I1644">
        <v>1</v>
      </c>
      <c r="J1644" t="s">
        <v>977</v>
      </c>
      <c r="K1644">
        <v>1</v>
      </c>
      <c r="L1644">
        <v>1</v>
      </c>
      <c r="M1644" t="s">
        <v>415</v>
      </c>
      <c r="N1644">
        <v>0</v>
      </c>
      <c r="O1644" s="1">
        <f>+Tabla__192.168.1.8_POSEIDONSQL_APPFVT_01_tbl_detalle_fill_rate[[#This Row],[emb_cantidad]]-Tabla__192.168.1.8_POSEIDONSQL_APPFVT_01_tbl_detalle_fill_rate[[#This Row],[dev_cantidad]]</f>
        <v>1</v>
      </c>
      <c r="P164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4" s="1">
        <f>+Tabla__192.168.1.8_POSEIDONSQL_APPFVT_01_tbl_detalle_fill_rate[[#This Row],[Cumpl Real Unds]]-Tabla__192.168.1.8_POSEIDONSQL_APPFVT_01_tbl_detalle_fill_rate[[#This Row],[Cant Embarcada]]</f>
        <v>0</v>
      </c>
      <c r="S1644" s="1">
        <f>+IF(Tabla__192.168.1.8_POSEIDONSQL_APPFVT_01_tbl_detalle_fill_rate[[#This Row],[Pend Emb]]&gt;0,1,0)</f>
        <v>0</v>
      </c>
      <c r="T164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5" spans="1:20" x14ac:dyDescent="0.25">
      <c r="A1645">
        <v>1</v>
      </c>
      <c r="B1645" t="s">
        <v>55</v>
      </c>
      <c r="C1645">
        <v>8688080</v>
      </c>
      <c r="D1645" s="48">
        <v>43355</v>
      </c>
      <c r="E1645" s="48">
        <v>43354</v>
      </c>
      <c r="F1645" s="48">
        <v>43368</v>
      </c>
      <c r="G1645" t="s">
        <v>661</v>
      </c>
      <c r="H1645" t="s">
        <v>662</v>
      </c>
      <c r="I1645">
        <v>1</v>
      </c>
      <c r="J1645" t="s">
        <v>663</v>
      </c>
      <c r="K1645">
        <v>1</v>
      </c>
      <c r="L1645">
        <v>1</v>
      </c>
      <c r="M1645" t="s">
        <v>419</v>
      </c>
      <c r="N1645">
        <v>0</v>
      </c>
      <c r="O1645" s="1">
        <f>+Tabla__192.168.1.8_POSEIDONSQL_APPFVT_01_tbl_detalle_fill_rate[[#This Row],[emb_cantidad]]-Tabla__192.168.1.8_POSEIDONSQL_APPFVT_01_tbl_detalle_fill_rate[[#This Row],[dev_cantidad]]</f>
        <v>1</v>
      </c>
      <c r="P164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45" s="1">
        <f>+Tabla__192.168.1.8_POSEIDONSQL_APPFVT_01_tbl_detalle_fill_rate[[#This Row],[Cumpl Real Unds]]-Tabla__192.168.1.8_POSEIDONSQL_APPFVT_01_tbl_detalle_fill_rate[[#This Row],[Cant Embarcada]]</f>
        <v>0</v>
      </c>
      <c r="S1645" s="1">
        <f>+IF(Tabla__192.168.1.8_POSEIDONSQL_APPFVT_01_tbl_detalle_fill_rate[[#This Row],[Pend Emb]]&gt;0,1,0)</f>
        <v>0</v>
      </c>
      <c r="T164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6" spans="1:20" x14ac:dyDescent="0.25">
      <c r="A1646">
        <v>1</v>
      </c>
      <c r="B1646" t="s">
        <v>55</v>
      </c>
      <c r="C1646">
        <v>8688865</v>
      </c>
      <c r="D1646" s="48">
        <v>43355</v>
      </c>
      <c r="E1646" s="48">
        <v>43354</v>
      </c>
      <c r="F1646" s="48">
        <v>43363</v>
      </c>
      <c r="G1646" t="s">
        <v>72</v>
      </c>
      <c r="H1646" t="s">
        <v>73</v>
      </c>
      <c r="I1646">
        <v>52</v>
      </c>
      <c r="J1646" t="s">
        <v>152</v>
      </c>
      <c r="K1646">
        <v>52</v>
      </c>
      <c r="L1646">
        <v>52</v>
      </c>
      <c r="M1646" t="s">
        <v>415</v>
      </c>
      <c r="N1646">
        <v>0</v>
      </c>
      <c r="O1646" s="1">
        <f>+Tabla__192.168.1.8_POSEIDONSQL_APPFVT_01_tbl_detalle_fill_rate[[#This Row],[emb_cantidad]]-Tabla__192.168.1.8_POSEIDONSQL_APPFVT_01_tbl_detalle_fill_rate[[#This Row],[dev_cantidad]]</f>
        <v>52</v>
      </c>
      <c r="P164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52</v>
      </c>
      <c r="R1646" s="1">
        <f>+Tabla__192.168.1.8_POSEIDONSQL_APPFVT_01_tbl_detalle_fill_rate[[#This Row],[Cumpl Real Unds]]-Tabla__192.168.1.8_POSEIDONSQL_APPFVT_01_tbl_detalle_fill_rate[[#This Row],[Cant Embarcada]]</f>
        <v>0</v>
      </c>
      <c r="S1646" s="1">
        <f>+IF(Tabla__192.168.1.8_POSEIDONSQL_APPFVT_01_tbl_detalle_fill_rate[[#This Row],[Pend Emb]]&gt;0,1,0)</f>
        <v>0</v>
      </c>
      <c r="T164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7" spans="1:20" x14ac:dyDescent="0.25">
      <c r="A1647">
        <v>1</v>
      </c>
      <c r="B1647" t="s">
        <v>55</v>
      </c>
      <c r="C1647">
        <v>8688865</v>
      </c>
      <c r="D1647" s="48">
        <v>43355</v>
      </c>
      <c r="E1647" s="48">
        <v>43354</v>
      </c>
      <c r="F1647" s="48">
        <v>43363</v>
      </c>
      <c r="G1647" t="s">
        <v>98</v>
      </c>
      <c r="H1647" t="s">
        <v>99</v>
      </c>
      <c r="I1647">
        <v>18</v>
      </c>
      <c r="J1647" t="s">
        <v>155</v>
      </c>
      <c r="K1647">
        <v>18</v>
      </c>
      <c r="L1647">
        <v>18</v>
      </c>
      <c r="M1647" t="s">
        <v>415</v>
      </c>
      <c r="N1647">
        <v>0</v>
      </c>
      <c r="O1647" s="1">
        <f>+Tabla__192.168.1.8_POSEIDONSQL_APPFVT_01_tbl_detalle_fill_rate[[#This Row],[emb_cantidad]]-Tabla__192.168.1.8_POSEIDONSQL_APPFVT_01_tbl_detalle_fill_rate[[#This Row],[dev_cantidad]]</f>
        <v>18</v>
      </c>
      <c r="P164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18</v>
      </c>
      <c r="R1647" s="1">
        <f>+Tabla__192.168.1.8_POSEIDONSQL_APPFVT_01_tbl_detalle_fill_rate[[#This Row],[Cumpl Real Unds]]-Tabla__192.168.1.8_POSEIDONSQL_APPFVT_01_tbl_detalle_fill_rate[[#This Row],[Cant Embarcada]]</f>
        <v>0</v>
      </c>
      <c r="S1647" s="1">
        <f>+IF(Tabla__192.168.1.8_POSEIDONSQL_APPFVT_01_tbl_detalle_fill_rate[[#This Row],[Pend Emb]]&gt;0,1,0)</f>
        <v>0</v>
      </c>
      <c r="T164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8" spans="1:20" x14ac:dyDescent="0.25">
      <c r="A1648">
        <v>1</v>
      </c>
      <c r="B1648" t="s">
        <v>55</v>
      </c>
      <c r="C1648">
        <v>8688865</v>
      </c>
      <c r="D1648" s="48">
        <v>43355</v>
      </c>
      <c r="E1648" s="48">
        <v>43354</v>
      </c>
      <c r="F1648" s="48">
        <v>43363</v>
      </c>
      <c r="G1648" t="s">
        <v>148</v>
      </c>
      <c r="H1648" t="s">
        <v>149</v>
      </c>
      <c r="I1648">
        <v>30</v>
      </c>
      <c r="J1648" t="s">
        <v>154</v>
      </c>
      <c r="K1648">
        <v>30</v>
      </c>
      <c r="L1648">
        <v>30</v>
      </c>
      <c r="M1648" t="s">
        <v>415</v>
      </c>
      <c r="N1648">
        <v>0</v>
      </c>
      <c r="O1648" s="1">
        <f>+Tabla__192.168.1.8_POSEIDONSQL_APPFVT_01_tbl_detalle_fill_rate[[#This Row],[emb_cantidad]]-Tabla__192.168.1.8_POSEIDONSQL_APPFVT_01_tbl_detalle_fill_rate[[#This Row],[dev_cantidad]]</f>
        <v>30</v>
      </c>
      <c r="P164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1648" s="1">
        <f>+Tabla__192.168.1.8_POSEIDONSQL_APPFVT_01_tbl_detalle_fill_rate[[#This Row],[Cumpl Real Unds]]-Tabla__192.168.1.8_POSEIDONSQL_APPFVT_01_tbl_detalle_fill_rate[[#This Row],[Cant Embarcada]]</f>
        <v>0</v>
      </c>
      <c r="S1648" s="1">
        <f>+IF(Tabla__192.168.1.8_POSEIDONSQL_APPFVT_01_tbl_detalle_fill_rate[[#This Row],[Pend Emb]]&gt;0,1,0)</f>
        <v>0</v>
      </c>
      <c r="T164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49" spans="1:20" x14ac:dyDescent="0.25">
      <c r="A1649">
        <v>1</v>
      </c>
      <c r="B1649" t="s">
        <v>55</v>
      </c>
      <c r="C1649">
        <v>8688865</v>
      </c>
      <c r="D1649" s="48">
        <v>43355</v>
      </c>
      <c r="E1649" s="48">
        <v>43354</v>
      </c>
      <c r="F1649" s="48">
        <v>43363</v>
      </c>
      <c r="G1649" t="s">
        <v>157</v>
      </c>
      <c r="H1649" t="s">
        <v>158</v>
      </c>
      <c r="I1649">
        <v>24</v>
      </c>
      <c r="J1649" t="s">
        <v>153</v>
      </c>
      <c r="K1649">
        <v>24</v>
      </c>
      <c r="L1649">
        <v>24</v>
      </c>
      <c r="M1649" t="s">
        <v>415</v>
      </c>
      <c r="N1649">
        <v>0</v>
      </c>
      <c r="O1649" s="1">
        <f>+Tabla__192.168.1.8_POSEIDONSQL_APPFVT_01_tbl_detalle_fill_rate[[#This Row],[emb_cantidad]]-Tabla__192.168.1.8_POSEIDONSQL_APPFVT_01_tbl_detalle_fill_rate[[#This Row],[dev_cantidad]]</f>
        <v>24</v>
      </c>
      <c r="P164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4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24</v>
      </c>
      <c r="R1649" s="1">
        <f>+Tabla__192.168.1.8_POSEIDONSQL_APPFVT_01_tbl_detalle_fill_rate[[#This Row],[Cumpl Real Unds]]-Tabla__192.168.1.8_POSEIDONSQL_APPFVT_01_tbl_detalle_fill_rate[[#This Row],[Cant Embarcada]]</f>
        <v>0</v>
      </c>
      <c r="S1649" s="1">
        <f>+IF(Tabla__192.168.1.8_POSEIDONSQL_APPFVT_01_tbl_detalle_fill_rate[[#This Row],[Pend Emb]]&gt;0,1,0)</f>
        <v>0</v>
      </c>
      <c r="T164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0" spans="1:20" x14ac:dyDescent="0.25">
      <c r="A1650">
        <v>1</v>
      </c>
      <c r="B1650" t="s">
        <v>55</v>
      </c>
      <c r="C1650">
        <v>8688865</v>
      </c>
      <c r="D1650" s="48">
        <v>43355</v>
      </c>
      <c r="E1650" s="48">
        <v>43354</v>
      </c>
      <c r="F1650" s="48">
        <v>43363</v>
      </c>
      <c r="G1650" t="s">
        <v>100</v>
      </c>
      <c r="H1650" t="s">
        <v>101</v>
      </c>
      <c r="I1650">
        <v>30</v>
      </c>
      <c r="J1650" t="s">
        <v>156</v>
      </c>
      <c r="K1650">
        <v>30</v>
      </c>
      <c r="L1650">
        <v>30</v>
      </c>
      <c r="M1650" t="s">
        <v>415</v>
      </c>
      <c r="N1650">
        <v>0</v>
      </c>
      <c r="O1650" s="1">
        <f>+Tabla__192.168.1.8_POSEIDONSQL_APPFVT_01_tbl_detalle_fill_rate[[#This Row],[emb_cantidad]]-Tabla__192.168.1.8_POSEIDONSQL_APPFVT_01_tbl_detalle_fill_rate[[#This Row],[dev_cantidad]]</f>
        <v>30</v>
      </c>
      <c r="P165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30</v>
      </c>
      <c r="R1650" s="1">
        <f>+Tabla__192.168.1.8_POSEIDONSQL_APPFVT_01_tbl_detalle_fill_rate[[#This Row],[Cumpl Real Unds]]-Tabla__192.168.1.8_POSEIDONSQL_APPFVT_01_tbl_detalle_fill_rate[[#This Row],[Cant Embarcada]]</f>
        <v>0</v>
      </c>
      <c r="S1650" s="1">
        <f>+IF(Tabla__192.168.1.8_POSEIDONSQL_APPFVT_01_tbl_detalle_fill_rate[[#This Row],[Pend Emb]]&gt;0,1,0)</f>
        <v>0</v>
      </c>
      <c r="T165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1" spans="1:20" x14ac:dyDescent="0.25">
      <c r="A1651">
        <v>1</v>
      </c>
      <c r="B1651" t="s">
        <v>55</v>
      </c>
      <c r="C1651">
        <v>8688953</v>
      </c>
      <c r="D1651" s="48">
        <v>43355</v>
      </c>
      <c r="E1651" s="48">
        <v>43354</v>
      </c>
      <c r="F1651" s="48">
        <v>43356</v>
      </c>
      <c r="G1651" t="s">
        <v>253</v>
      </c>
      <c r="H1651" t="s">
        <v>254</v>
      </c>
      <c r="I1651">
        <v>12</v>
      </c>
      <c r="J1651" t="s">
        <v>155</v>
      </c>
      <c r="K1651">
        <v>0</v>
      </c>
      <c r="L1651">
        <v>0</v>
      </c>
      <c r="M1651" t="s">
        <v>425</v>
      </c>
      <c r="N1651">
        <v>0</v>
      </c>
      <c r="O1651" s="1">
        <f>+Tabla__192.168.1.8_POSEIDONSQL_APPFVT_01_tbl_detalle_fill_rate[[#This Row],[emb_cantidad]]-Tabla__192.168.1.8_POSEIDONSQL_APPFVT_01_tbl_detalle_fill_rate[[#This Row],[dev_cantidad]]</f>
        <v>0</v>
      </c>
      <c r="P165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1" s="1">
        <f>+Tabla__192.168.1.8_POSEIDONSQL_APPFVT_01_tbl_detalle_fill_rate[[#This Row],[Cumpl Real Unds]]-Tabla__192.168.1.8_POSEIDONSQL_APPFVT_01_tbl_detalle_fill_rate[[#This Row],[Cant Embarcada]]</f>
        <v>0</v>
      </c>
      <c r="S1651" s="1">
        <f>+IF(Tabla__192.168.1.8_POSEIDONSQL_APPFVT_01_tbl_detalle_fill_rate[[#This Row],[Pend Emb]]&gt;0,1,0)</f>
        <v>0</v>
      </c>
      <c r="T165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2" spans="1:20" x14ac:dyDescent="0.25">
      <c r="A1652">
        <v>1</v>
      </c>
      <c r="B1652" t="s">
        <v>55</v>
      </c>
      <c r="C1652">
        <v>8688953</v>
      </c>
      <c r="D1652" s="48">
        <v>43355</v>
      </c>
      <c r="E1652" s="48">
        <v>43354</v>
      </c>
      <c r="F1652" s="48">
        <v>43356</v>
      </c>
      <c r="G1652" t="s">
        <v>273</v>
      </c>
      <c r="H1652" t="s">
        <v>274</v>
      </c>
      <c r="I1652">
        <v>18</v>
      </c>
      <c r="J1652" t="s">
        <v>154</v>
      </c>
      <c r="K1652">
        <v>0</v>
      </c>
      <c r="L1652">
        <v>0</v>
      </c>
      <c r="M1652" t="s">
        <v>425</v>
      </c>
      <c r="N1652">
        <v>0</v>
      </c>
      <c r="O1652" s="1">
        <f>+Tabla__192.168.1.8_POSEIDONSQL_APPFVT_01_tbl_detalle_fill_rate[[#This Row],[emb_cantidad]]-Tabla__192.168.1.8_POSEIDONSQL_APPFVT_01_tbl_detalle_fill_rate[[#This Row],[dev_cantidad]]</f>
        <v>0</v>
      </c>
      <c r="P165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2" s="1">
        <f>+Tabla__192.168.1.8_POSEIDONSQL_APPFVT_01_tbl_detalle_fill_rate[[#This Row],[Cumpl Real Unds]]-Tabla__192.168.1.8_POSEIDONSQL_APPFVT_01_tbl_detalle_fill_rate[[#This Row],[Cant Embarcada]]</f>
        <v>0</v>
      </c>
      <c r="S1652" s="1">
        <f>+IF(Tabla__192.168.1.8_POSEIDONSQL_APPFVT_01_tbl_detalle_fill_rate[[#This Row],[Pend Emb]]&gt;0,1,0)</f>
        <v>0</v>
      </c>
      <c r="T165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3" spans="1:20" x14ac:dyDescent="0.25">
      <c r="A1653">
        <v>1</v>
      </c>
      <c r="B1653" t="s">
        <v>55</v>
      </c>
      <c r="C1653">
        <v>8688953</v>
      </c>
      <c r="D1653" s="48">
        <v>43355</v>
      </c>
      <c r="E1653" s="48">
        <v>43354</v>
      </c>
      <c r="F1653" s="48">
        <v>43356</v>
      </c>
      <c r="G1653" t="s">
        <v>401</v>
      </c>
      <c r="H1653" t="s">
        <v>402</v>
      </c>
      <c r="I1653">
        <v>6</v>
      </c>
      <c r="J1653" t="s">
        <v>153</v>
      </c>
      <c r="K1653">
        <v>0</v>
      </c>
      <c r="L1653">
        <v>0</v>
      </c>
      <c r="M1653" t="s">
        <v>425</v>
      </c>
      <c r="N1653">
        <v>0</v>
      </c>
      <c r="O1653" s="1">
        <f>+Tabla__192.168.1.8_POSEIDONSQL_APPFVT_01_tbl_detalle_fill_rate[[#This Row],[emb_cantidad]]-Tabla__192.168.1.8_POSEIDONSQL_APPFVT_01_tbl_detalle_fill_rate[[#This Row],[dev_cantidad]]</f>
        <v>0</v>
      </c>
      <c r="P165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3" s="1">
        <f>+Tabla__192.168.1.8_POSEIDONSQL_APPFVT_01_tbl_detalle_fill_rate[[#This Row],[Cumpl Real Unds]]-Tabla__192.168.1.8_POSEIDONSQL_APPFVT_01_tbl_detalle_fill_rate[[#This Row],[Cant Embarcada]]</f>
        <v>0</v>
      </c>
      <c r="S1653" s="1">
        <f>+IF(Tabla__192.168.1.8_POSEIDONSQL_APPFVT_01_tbl_detalle_fill_rate[[#This Row],[Pend Emb]]&gt;0,1,0)</f>
        <v>0</v>
      </c>
      <c r="T165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4" spans="1:20" x14ac:dyDescent="0.25">
      <c r="A1654">
        <v>1</v>
      </c>
      <c r="B1654" t="s">
        <v>55</v>
      </c>
      <c r="C1654">
        <v>8688953</v>
      </c>
      <c r="D1654" s="48">
        <v>43355</v>
      </c>
      <c r="E1654" s="48">
        <v>43354</v>
      </c>
      <c r="F1654" s="48">
        <v>43356</v>
      </c>
      <c r="G1654" t="s">
        <v>255</v>
      </c>
      <c r="H1654" t="s">
        <v>256</v>
      </c>
      <c r="I1654">
        <v>240</v>
      </c>
      <c r="J1654" t="s">
        <v>152</v>
      </c>
      <c r="K1654">
        <v>100</v>
      </c>
      <c r="L1654">
        <v>100</v>
      </c>
      <c r="M1654" t="s">
        <v>425</v>
      </c>
      <c r="N1654">
        <v>0</v>
      </c>
      <c r="O1654" s="1">
        <f>+Tabla__192.168.1.8_POSEIDONSQL_APPFVT_01_tbl_detalle_fill_rate[[#This Row],[emb_cantidad]]-Tabla__192.168.1.8_POSEIDONSQL_APPFVT_01_tbl_detalle_fill_rate[[#This Row],[dev_cantidad]]</f>
        <v>100</v>
      </c>
      <c r="P165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100</v>
      </c>
      <c r="R1654" s="1">
        <f>+Tabla__192.168.1.8_POSEIDONSQL_APPFVT_01_tbl_detalle_fill_rate[[#This Row],[Cumpl Real Unds]]-Tabla__192.168.1.8_POSEIDONSQL_APPFVT_01_tbl_detalle_fill_rate[[#This Row],[Cant Embarcada]]</f>
        <v>0</v>
      </c>
      <c r="S1654" s="1">
        <f>+IF(Tabla__192.168.1.8_POSEIDONSQL_APPFVT_01_tbl_detalle_fill_rate[[#This Row],[Pend Emb]]&gt;0,1,0)</f>
        <v>0</v>
      </c>
      <c r="T165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5" spans="1:20" x14ac:dyDescent="0.25">
      <c r="A1655">
        <v>1</v>
      </c>
      <c r="B1655" t="s">
        <v>55</v>
      </c>
      <c r="C1655">
        <v>8688953</v>
      </c>
      <c r="D1655" s="48">
        <v>43355</v>
      </c>
      <c r="E1655" s="48">
        <v>43354</v>
      </c>
      <c r="F1655" s="48">
        <v>43356</v>
      </c>
      <c r="G1655" t="s">
        <v>247</v>
      </c>
      <c r="H1655" t="s">
        <v>248</v>
      </c>
      <c r="I1655">
        <v>900</v>
      </c>
      <c r="J1655" t="s">
        <v>244</v>
      </c>
      <c r="K1655">
        <v>0</v>
      </c>
      <c r="L1655">
        <v>0</v>
      </c>
      <c r="M1655" t="s">
        <v>425</v>
      </c>
      <c r="N1655">
        <v>0</v>
      </c>
      <c r="O1655" s="1">
        <f>+Tabla__192.168.1.8_POSEIDONSQL_APPFVT_01_tbl_detalle_fill_rate[[#This Row],[emb_cantidad]]-Tabla__192.168.1.8_POSEIDONSQL_APPFVT_01_tbl_detalle_fill_rate[[#This Row],[dev_cantidad]]</f>
        <v>0</v>
      </c>
      <c r="P165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5" s="1">
        <f>+Tabla__192.168.1.8_POSEIDONSQL_APPFVT_01_tbl_detalle_fill_rate[[#This Row],[Cumpl Real Unds]]-Tabla__192.168.1.8_POSEIDONSQL_APPFVT_01_tbl_detalle_fill_rate[[#This Row],[Cant Embarcada]]</f>
        <v>0</v>
      </c>
      <c r="S1655" s="1">
        <f>+IF(Tabla__192.168.1.8_POSEIDONSQL_APPFVT_01_tbl_detalle_fill_rate[[#This Row],[Pend Emb]]&gt;0,1,0)</f>
        <v>0</v>
      </c>
      <c r="T165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6" spans="1:20" x14ac:dyDescent="0.25">
      <c r="A1656">
        <v>1</v>
      </c>
      <c r="B1656" t="s">
        <v>55</v>
      </c>
      <c r="C1656">
        <v>8688953</v>
      </c>
      <c r="D1656" s="48">
        <v>43355</v>
      </c>
      <c r="E1656" s="48">
        <v>43354</v>
      </c>
      <c r="F1656" s="48">
        <v>43356</v>
      </c>
      <c r="G1656" t="s">
        <v>408</v>
      </c>
      <c r="H1656" t="s">
        <v>409</v>
      </c>
      <c r="I1656">
        <v>864</v>
      </c>
      <c r="J1656" t="s">
        <v>156</v>
      </c>
      <c r="K1656">
        <v>0</v>
      </c>
      <c r="L1656">
        <v>0</v>
      </c>
      <c r="M1656" t="s">
        <v>425</v>
      </c>
      <c r="N1656">
        <v>0</v>
      </c>
      <c r="O1656" s="1">
        <f>+Tabla__192.168.1.8_POSEIDONSQL_APPFVT_01_tbl_detalle_fill_rate[[#This Row],[emb_cantidad]]-Tabla__192.168.1.8_POSEIDONSQL_APPFVT_01_tbl_detalle_fill_rate[[#This Row],[dev_cantidad]]</f>
        <v>0</v>
      </c>
      <c r="P165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6" s="1">
        <f>+Tabla__192.168.1.8_POSEIDONSQL_APPFVT_01_tbl_detalle_fill_rate[[#This Row],[Cumpl Real Unds]]-Tabla__192.168.1.8_POSEIDONSQL_APPFVT_01_tbl_detalle_fill_rate[[#This Row],[Cant Embarcada]]</f>
        <v>0</v>
      </c>
      <c r="S1656" s="1">
        <f>+IF(Tabla__192.168.1.8_POSEIDONSQL_APPFVT_01_tbl_detalle_fill_rate[[#This Row],[Pend Emb]]&gt;0,1,0)</f>
        <v>0</v>
      </c>
      <c r="T165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7" spans="1:20" x14ac:dyDescent="0.25">
      <c r="A1657">
        <v>1</v>
      </c>
      <c r="B1657" t="s">
        <v>55</v>
      </c>
      <c r="C1657">
        <v>8688953</v>
      </c>
      <c r="D1657" s="48">
        <v>43355</v>
      </c>
      <c r="E1657" s="48">
        <v>43354</v>
      </c>
      <c r="F1657" s="48">
        <v>43356</v>
      </c>
      <c r="G1657" t="s">
        <v>618</v>
      </c>
      <c r="H1657" t="s">
        <v>619</v>
      </c>
      <c r="I1657">
        <v>16</v>
      </c>
      <c r="J1657" t="s">
        <v>410</v>
      </c>
      <c r="K1657">
        <v>0</v>
      </c>
      <c r="L1657">
        <v>0</v>
      </c>
      <c r="M1657" t="s">
        <v>425</v>
      </c>
      <c r="N1657">
        <v>0</v>
      </c>
      <c r="O1657" s="1">
        <f>+Tabla__192.168.1.8_POSEIDONSQL_APPFVT_01_tbl_detalle_fill_rate[[#This Row],[emb_cantidad]]-Tabla__192.168.1.8_POSEIDONSQL_APPFVT_01_tbl_detalle_fill_rate[[#This Row],[dev_cantidad]]</f>
        <v>0</v>
      </c>
      <c r="P165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7" s="1">
        <f>+Tabla__192.168.1.8_POSEIDONSQL_APPFVT_01_tbl_detalle_fill_rate[[#This Row],[Cumpl Real Unds]]-Tabla__192.168.1.8_POSEIDONSQL_APPFVT_01_tbl_detalle_fill_rate[[#This Row],[Cant Embarcada]]</f>
        <v>0</v>
      </c>
      <c r="S1657" s="1">
        <f>+IF(Tabla__192.168.1.8_POSEIDONSQL_APPFVT_01_tbl_detalle_fill_rate[[#This Row],[Pend Emb]]&gt;0,1,0)</f>
        <v>0</v>
      </c>
      <c r="T165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8" spans="1:20" x14ac:dyDescent="0.25">
      <c r="A1658">
        <v>1</v>
      </c>
      <c r="B1658" t="s">
        <v>55</v>
      </c>
      <c r="C1658">
        <v>8688953</v>
      </c>
      <c r="D1658" s="48">
        <v>43355</v>
      </c>
      <c r="E1658" s="48">
        <v>43354</v>
      </c>
      <c r="F1658" s="48">
        <v>43356</v>
      </c>
      <c r="G1658" t="s">
        <v>249</v>
      </c>
      <c r="H1658" t="s">
        <v>250</v>
      </c>
      <c r="I1658">
        <v>30</v>
      </c>
      <c r="J1658" t="s">
        <v>407</v>
      </c>
      <c r="K1658">
        <v>0</v>
      </c>
      <c r="L1658">
        <v>0</v>
      </c>
      <c r="M1658" t="s">
        <v>425</v>
      </c>
      <c r="N1658">
        <v>0</v>
      </c>
      <c r="O1658" s="1">
        <f>+Tabla__192.168.1.8_POSEIDONSQL_APPFVT_01_tbl_detalle_fill_rate[[#This Row],[emb_cantidad]]-Tabla__192.168.1.8_POSEIDONSQL_APPFVT_01_tbl_detalle_fill_rate[[#This Row],[dev_cantidad]]</f>
        <v>0</v>
      </c>
      <c r="P165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8" s="1">
        <f>+Tabla__192.168.1.8_POSEIDONSQL_APPFVT_01_tbl_detalle_fill_rate[[#This Row],[Cumpl Real Unds]]-Tabla__192.168.1.8_POSEIDONSQL_APPFVT_01_tbl_detalle_fill_rate[[#This Row],[Cant Embarcada]]</f>
        <v>0</v>
      </c>
      <c r="S1658" s="1">
        <f>+IF(Tabla__192.168.1.8_POSEIDONSQL_APPFVT_01_tbl_detalle_fill_rate[[#This Row],[Pend Emb]]&gt;0,1,0)</f>
        <v>0</v>
      </c>
      <c r="T165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59" spans="1:20" x14ac:dyDescent="0.25">
      <c r="A1659">
        <v>1</v>
      </c>
      <c r="B1659" t="s">
        <v>55</v>
      </c>
      <c r="C1659">
        <v>8689809</v>
      </c>
      <c r="D1659" s="48">
        <v>43355</v>
      </c>
      <c r="E1659" s="48">
        <v>43354</v>
      </c>
      <c r="F1659" s="48">
        <v>43368</v>
      </c>
      <c r="G1659" t="s">
        <v>92</v>
      </c>
      <c r="H1659" t="s">
        <v>93</v>
      </c>
      <c r="I1659">
        <v>1</v>
      </c>
      <c r="J1659" t="s">
        <v>664</v>
      </c>
      <c r="K1659">
        <v>0</v>
      </c>
      <c r="L1659">
        <v>0</v>
      </c>
      <c r="M1659" t="s">
        <v>12</v>
      </c>
      <c r="N1659">
        <v>0</v>
      </c>
      <c r="O1659" s="1">
        <f>+Tabla__192.168.1.8_POSEIDONSQL_APPFVT_01_tbl_detalle_fill_rate[[#This Row],[emb_cantidad]]-Tabla__192.168.1.8_POSEIDONSQL_APPFVT_01_tbl_detalle_fill_rate[[#This Row],[dev_cantidad]]</f>
        <v>0</v>
      </c>
      <c r="P165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5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59" s="1">
        <f>+Tabla__192.168.1.8_POSEIDONSQL_APPFVT_01_tbl_detalle_fill_rate[[#This Row],[Cumpl Real Unds]]-Tabla__192.168.1.8_POSEIDONSQL_APPFVT_01_tbl_detalle_fill_rate[[#This Row],[Cant Embarcada]]</f>
        <v>0</v>
      </c>
      <c r="S1659" s="1">
        <f>+IF(Tabla__192.168.1.8_POSEIDONSQL_APPFVT_01_tbl_detalle_fill_rate[[#This Row],[Pend Emb]]&gt;0,1,0)</f>
        <v>0</v>
      </c>
      <c r="T165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0" spans="1:20" x14ac:dyDescent="0.25">
      <c r="A1660">
        <v>1</v>
      </c>
      <c r="B1660" t="s">
        <v>55</v>
      </c>
      <c r="C1660">
        <v>8690295</v>
      </c>
      <c r="D1660" s="48">
        <v>43356</v>
      </c>
      <c r="E1660" s="48">
        <v>43355</v>
      </c>
      <c r="F1660" s="48">
        <v>43368</v>
      </c>
      <c r="G1660" t="s">
        <v>138</v>
      </c>
      <c r="H1660" t="s">
        <v>139</v>
      </c>
      <c r="I1660">
        <v>1</v>
      </c>
      <c r="J1660" t="s">
        <v>671</v>
      </c>
      <c r="K1660">
        <v>1</v>
      </c>
      <c r="L1660">
        <v>1</v>
      </c>
      <c r="M1660" t="s">
        <v>419</v>
      </c>
      <c r="N1660">
        <v>0</v>
      </c>
      <c r="O1660" s="1">
        <f>+Tabla__192.168.1.8_POSEIDONSQL_APPFVT_01_tbl_detalle_fill_rate[[#This Row],[emb_cantidad]]-Tabla__192.168.1.8_POSEIDONSQL_APPFVT_01_tbl_detalle_fill_rate[[#This Row],[dev_cantidad]]</f>
        <v>1</v>
      </c>
      <c r="P166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0" s="1">
        <f>+Tabla__192.168.1.8_POSEIDONSQL_APPFVT_01_tbl_detalle_fill_rate[[#This Row],[Cumpl Real Unds]]-Tabla__192.168.1.8_POSEIDONSQL_APPFVT_01_tbl_detalle_fill_rate[[#This Row],[Cant Embarcada]]</f>
        <v>0</v>
      </c>
      <c r="S1660" s="1">
        <f>+IF(Tabla__192.168.1.8_POSEIDONSQL_APPFVT_01_tbl_detalle_fill_rate[[#This Row],[Pend Emb]]&gt;0,1,0)</f>
        <v>0</v>
      </c>
      <c r="T166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1" spans="1:20" x14ac:dyDescent="0.25">
      <c r="A1661">
        <v>1</v>
      </c>
      <c r="B1661" t="s">
        <v>55</v>
      </c>
      <c r="C1661">
        <v>8690350</v>
      </c>
      <c r="D1661" s="48">
        <v>43356</v>
      </c>
      <c r="E1661" s="48">
        <v>43355</v>
      </c>
      <c r="F1661" s="48">
        <v>43368</v>
      </c>
      <c r="G1661" t="s">
        <v>223</v>
      </c>
      <c r="H1661" t="s">
        <v>224</v>
      </c>
      <c r="I1661">
        <v>1</v>
      </c>
      <c r="J1661" t="s">
        <v>672</v>
      </c>
      <c r="K1661">
        <v>1</v>
      </c>
      <c r="L1661">
        <v>1</v>
      </c>
      <c r="M1661" t="s">
        <v>419</v>
      </c>
      <c r="N1661">
        <v>0</v>
      </c>
      <c r="O1661" s="1">
        <f>+Tabla__192.168.1.8_POSEIDONSQL_APPFVT_01_tbl_detalle_fill_rate[[#This Row],[emb_cantidad]]-Tabla__192.168.1.8_POSEIDONSQL_APPFVT_01_tbl_detalle_fill_rate[[#This Row],[dev_cantidad]]</f>
        <v>1</v>
      </c>
      <c r="P166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1" s="1">
        <f>+Tabla__192.168.1.8_POSEIDONSQL_APPFVT_01_tbl_detalle_fill_rate[[#This Row],[Cumpl Real Unds]]-Tabla__192.168.1.8_POSEIDONSQL_APPFVT_01_tbl_detalle_fill_rate[[#This Row],[Cant Embarcada]]</f>
        <v>0</v>
      </c>
      <c r="S1661" s="1">
        <f>+IF(Tabla__192.168.1.8_POSEIDONSQL_APPFVT_01_tbl_detalle_fill_rate[[#This Row],[Pend Emb]]&gt;0,1,0)</f>
        <v>0</v>
      </c>
      <c r="T166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2" spans="1:20" x14ac:dyDescent="0.25">
      <c r="A1662">
        <v>1</v>
      </c>
      <c r="B1662" t="s">
        <v>55</v>
      </c>
      <c r="C1662">
        <v>8690887</v>
      </c>
      <c r="D1662" s="48">
        <v>43356</v>
      </c>
      <c r="E1662" s="48">
        <v>43355</v>
      </c>
      <c r="F1662" s="48">
        <v>43368</v>
      </c>
      <c r="G1662" t="s">
        <v>164</v>
      </c>
      <c r="H1662" t="s">
        <v>165</v>
      </c>
      <c r="I1662">
        <v>1</v>
      </c>
      <c r="J1662" t="s">
        <v>665</v>
      </c>
      <c r="K1662">
        <v>1</v>
      </c>
      <c r="L1662">
        <v>1</v>
      </c>
      <c r="M1662" t="s">
        <v>419</v>
      </c>
      <c r="N1662">
        <v>0</v>
      </c>
      <c r="O1662" s="1">
        <f>+Tabla__192.168.1.8_POSEIDONSQL_APPFVT_01_tbl_detalle_fill_rate[[#This Row],[emb_cantidad]]-Tabla__192.168.1.8_POSEIDONSQL_APPFVT_01_tbl_detalle_fill_rate[[#This Row],[dev_cantidad]]</f>
        <v>1</v>
      </c>
      <c r="P166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2" s="1">
        <f>+Tabla__192.168.1.8_POSEIDONSQL_APPFVT_01_tbl_detalle_fill_rate[[#This Row],[Cumpl Real Unds]]-Tabla__192.168.1.8_POSEIDONSQL_APPFVT_01_tbl_detalle_fill_rate[[#This Row],[Cant Embarcada]]</f>
        <v>0</v>
      </c>
      <c r="S1662" s="1">
        <f>+IF(Tabla__192.168.1.8_POSEIDONSQL_APPFVT_01_tbl_detalle_fill_rate[[#This Row],[Pend Emb]]&gt;0,1,0)</f>
        <v>0</v>
      </c>
      <c r="T166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3" spans="1:20" x14ac:dyDescent="0.25">
      <c r="A1663">
        <v>1</v>
      </c>
      <c r="B1663" t="s">
        <v>55</v>
      </c>
      <c r="C1663">
        <v>8691554</v>
      </c>
      <c r="D1663" s="48">
        <v>43356</v>
      </c>
      <c r="E1663" s="48">
        <v>43355</v>
      </c>
      <c r="F1663" s="48">
        <v>43370</v>
      </c>
      <c r="G1663" t="s">
        <v>102</v>
      </c>
      <c r="H1663" t="s">
        <v>103</v>
      </c>
      <c r="I1663">
        <v>1</v>
      </c>
      <c r="J1663" t="s">
        <v>901</v>
      </c>
      <c r="K1663">
        <v>1</v>
      </c>
      <c r="L1663">
        <v>1</v>
      </c>
      <c r="M1663" t="s">
        <v>423</v>
      </c>
      <c r="N1663">
        <v>0</v>
      </c>
      <c r="O1663" s="1">
        <f>+Tabla__192.168.1.8_POSEIDONSQL_APPFVT_01_tbl_detalle_fill_rate[[#This Row],[emb_cantidad]]-Tabla__192.168.1.8_POSEIDONSQL_APPFVT_01_tbl_detalle_fill_rate[[#This Row],[dev_cantidad]]</f>
        <v>1</v>
      </c>
      <c r="P166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3" s="1">
        <f>+Tabla__192.168.1.8_POSEIDONSQL_APPFVT_01_tbl_detalle_fill_rate[[#This Row],[Cumpl Real Unds]]-Tabla__192.168.1.8_POSEIDONSQL_APPFVT_01_tbl_detalle_fill_rate[[#This Row],[Cant Embarcada]]</f>
        <v>0</v>
      </c>
      <c r="S1663" s="1">
        <f>+IF(Tabla__192.168.1.8_POSEIDONSQL_APPFVT_01_tbl_detalle_fill_rate[[#This Row],[Pend Emb]]&gt;0,1,0)</f>
        <v>0</v>
      </c>
      <c r="T166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4" spans="1:20" x14ac:dyDescent="0.25">
      <c r="A1664">
        <v>1</v>
      </c>
      <c r="B1664" t="s">
        <v>55</v>
      </c>
      <c r="C1664">
        <v>8692365</v>
      </c>
      <c r="D1664" s="48">
        <v>43357</v>
      </c>
      <c r="E1664" s="48">
        <v>43356</v>
      </c>
      <c r="F1664" s="48">
        <v>43368</v>
      </c>
      <c r="G1664" t="s">
        <v>569</v>
      </c>
      <c r="H1664" t="s">
        <v>570</v>
      </c>
      <c r="I1664">
        <v>1</v>
      </c>
      <c r="J1664" t="s">
        <v>673</v>
      </c>
      <c r="K1664">
        <v>1</v>
      </c>
      <c r="L1664">
        <v>1</v>
      </c>
      <c r="M1664" t="s">
        <v>419</v>
      </c>
      <c r="N1664">
        <v>0</v>
      </c>
      <c r="O1664" s="1">
        <f>+Tabla__192.168.1.8_POSEIDONSQL_APPFVT_01_tbl_detalle_fill_rate[[#This Row],[emb_cantidad]]-Tabla__192.168.1.8_POSEIDONSQL_APPFVT_01_tbl_detalle_fill_rate[[#This Row],[dev_cantidad]]</f>
        <v>1</v>
      </c>
      <c r="P166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4" s="1">
        <f>+Tabla__192.168.1.8_POSEIDONSQL_APPFVT_01_tbl_detalle_fill_rate[[#This Row],[Cumpl Real Unds]]-Tabla__192.168.1.8_POSEIDONSQL_APPFVT_01_tbl_detalle_fill_rate[[#This Row],[Cant Embarcada]]</f>
        <v>0</v>
      </c>
      <c r="S1664" s="1">
        <f>+IF(Tabla__192.168.1.8_POSEIDONSQL_APPFVT_01_tbl_detalle_fill_rate[[#This Row],[Pend Emb]]&gt;0,1,0)</f>
        <v>0</v>
      </c>
      <c r="T166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5" spans="1:20" x14ac:dyDescent="0.25">
      <c r="A1665">
        <v>1</v>
      </c>
      <c r="B1665" t="s">
        <v>55</v>
      </c>
      <c r="C1665">
        <v>8692808</v>
      </c>
      <c r="D1665" s="48">
        <v>43357</v>
      </c>
      <c r="E1665" s="48">
        <v>43356</v>
      </c>
      <c r="F1665" s="48">
        <v>43368</v>
      </c>
      <c r="G1665" t="s">
        <v>136</v>
      </c>
      <c r="H1665" t="s">
        <v>137</v>
      </c>
      <c r="I1665">
        <v>1</v>
      </c>
      <c r="J1665" t="s">
        <v>674</v>
      </c>
      <c r="K1665">
        <v>1</v>
      </c>
      <c r="L1665">
        <v>1</v>
      </c>
      <c r="M1665" t="s">
        <v>419</v>
      </c>
      <c r="N1665">
        <v>0</v>
      </c>
      <c r="O1665" s="1">
        <f>+Tabla__192.168.1.8_POSEIDONSQL_APPFVT_01_tbl_detalle_fill_rate[[#This Row],[emb_cantidad]]-Tabla__192.168.1.8_POSEIDONSQL_APPFVT_01_tbl_detalle_fill_rate[[#This Row],[dev_cantidad]]</f>
        <v>1</v>
      </c>
      <c r="P166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5" s="1">
        <f>+Tabla__192.168.1.8_POSEIDONSQL_APPFVT_01_tbl_detalle_fill_rate[[#This Row],[Cumpl Real Unds]]-Tabla__192.168.1.8_POSEIDONSQL_APPFVT_01_tbl_detalle_fill_rate[[#This Row],[Cant Embarcada]]</f>
        <v>0</v>
      </c>
      <c r="S1665" s="1">
        <f>+IF(Tabla__192.168.1.8_POSEIDONSQL_APPFVT_01_tbl_detalle_fill_rate[[#This Row],[Pend Emb]]&gt;0,1,0)</f>
        <v>0</v>
      </c>
      <c r="T166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6" spans="1:20" x14ac:dyDescent="0.25">
      <c r="A1666">
        <v>1</v>
      </c>
      <c r="B1666" t="s">
        <v>55</v>
      </c>
      <c r="C1666">
        <v>8692948</v>
      </c>
      <c r="D1666" s="48">
        <v>43357</v>
      </c>
      <c r="E1666" s="48">
        <v>43356</v>
      </c>
      <c r="F1666" s="48">
        <v>43368</v>
      </c>
      <c r="G1666" t="s">
        <v>296</v>
      </c>
      <c r="H1666" t="s">
        <v>297</v>
      </c>
      <c r="I1666">
        <v>1</v>
      </c>
      <c r="J1666" t="s">
        <v>675</v>
      </c>
      <c r="K1666">
        <v>1</v>
      </c>
      <c r="L1666">
        <v>1</v>
      </c>
      <c r="M1666" t="s">
        <v>419</v>
      </c>
      <c r="N1666">
        <v>0</v>
      </c>
      <c r="O1666" s="1">
        <f>+Tabla__192.168.1.8_POSEIDONSQL_APPFVT_01_tbl_detalle_fill_rate[[#This Row],[emb_cantidad]]-Tabla__192.168.1.8_POSEIDONSQL_APPFVT_01_tbl_detalle_fill_rate[[#This Row],[dev_cantidad]]</f>
        <v>1</v>
      </c>
      <c r="P166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66" s="1">
        <f>+Tabla__192.168.1.8_POSEIDONSQL_APPFVT_01_tbl_detalle_fill_rate[[#This Row],[Cumpl Real Unds]]-Tabla__192.168.1.8_POSEIDONSQL_APPFVT_01_tbl_detalle_fill_rate[[#This Row],[Cant Embarcada]]</f>
        <v>0</v>
      </c>
      <c r="S1666" s="1">
        <f>+IF(Tabla__192.168.1.8_POSEIDONSQL_APPFVT_01_tbl_detalle_fill_rate[[#This Row],[Pend Emb]]&gt;0,1,0)</f>
        <v>0</v>
      </c>
      <c r="T166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7" spans="1:20" x14ac:dyDescent="0.25">
      <c r="A1667">
        <v>1</v>
      </c>
      <c r="B1667" t="s">
        <v>55</v>
      </c>
      <c r="C1667">
        <v>8693049</v>
      </c>
      <c r="D1667" s="48">
        <v>43357</v>
      </c>
      <c r="E1667" s="48">
        <v>43356</v>
      </c>
      <c r="F1667" s="48">
        <v>43367</v>
      </c>
      <c r="G1667" t="s">
        <v>72</v>
      </c>
      <c r="H1667" t="s">
        <v>73</v>
      </c>
      <c r="I1667">
        <v>8</v>
      </c>
      <c r="J1667" t="s">
        <v>152</v>
      </c>
      <c r="K1667">
        <v>8</v>
      </c>
      <c r="L1667">
        <v>8</v>
      </c>
      <c r="M1667" t="s">
        <v>422</v>
      </c>
      <c r="N1667">
        <v>0</v>
      </c>
      <c r="O1667" s="1">
        <f>+Tabla__192.168.1.8_POSEIDONSQL_APPFVT_01_tbl_detalle_fill_rate[[#This Row],[emb_cantidad]]-Tabla__192.168.1.8_POSEIDONSQL_APPFVT_01_tbl_detalle_fill_rate[[#This Row],[dev_cantidad]]</f>
        <v>8</v>
      </c>
      <c r="P166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8</v>
      </c>
      <c r="R1667" s="1">
        <f>+Tabla__192.168.1.8_POSEIDONSQL_APPFVT_01_tbl_detalle_fill_rate[[#This Row],[Cumpl Real Unds]]-Tabla__192.168.1.8_POSEIDONSQL_APPFVT_01_tbl_detalle_fill_rate[[#This Row],[Cant Embarcada]]</f>
        <v>0</v>
      </c>
      <c r="S1667" s="1">
        <f>+IF(Tabla__192.168.1.8_POSEIDONSQL_APPFVT_01_tbl_detalle_fill_rate[[#This Row],[Pend Emb]]&gt;0,1,0)</f>
        <v>0</v>
      </c>
      <c r="T166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8" spans="1:20" x14ac:dyDescent="0.25">
      <c r="A1668">
        <v>1</v>
      </c>
      <c r="B1668" t="s">
        <v>55</v>
      </c>
      <c r="C1668">
        <v>8693049</v>
      </c>
      <c r="D1668" s="48">
        <v>43357</v>
      </c>
      <c r="E1668" s="48">
        <v>43356</v>
      </c>
      <c r="F1668" s="48">
        <v>43367</v>
      </c>
      <c r="G1668" t="s">
        <v>98</v>
      </c>
      <c r="H1668" t="s">
        <v>99</v>
      </c>
      <c r="I1668">
        <v>12</v>
      </c>
      <c r="J1668" t="s">
        <v>155</v>
      </c>
      <c r="K1668">
        <v>12</v>
      </c>
      <c r="L1668">
        <v>12</v>
      </c>
      <c r="M1668" t="s">
        <v>422</v>
      </c>
      <c r="N1668">
        <v>0</v>
      </c>
      <c r="O1668" s="1">
        <f>+Tabla__192.168.1.8_POSEIDONSQL_APPFVT_01_tbl_detalle_fill_rate[[#This Row],[emb_cantidad]]-Tabla__192.168.1.8_POSEIDONSQL_APPFVT_01_tbl_detalle_fill_rate[[#This Row],[dev_cantidad]]</f>
        <v>12</v>
      </c>
      <c r="P166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12</v>
      </c>
      <c r="R1668" s="1">
        <f>+Tabla__192.168.1.8_POSEIDONSQL_APPFVT_01_tbl_detalle_fill_rate[[#This Row],[Cumpl Real Unds]]-Tabla__192.168.1.8_POSEIDONSQL_APPFVT_01_tbl_detalle_fill_rate[[#This Row],[Cant Embarcada]]</f>
        <v>0</v>
      </c>
      <c r="S1668" s="1">
        <f>+IF(Tabla__192.168.1.8_POSEIDONSQL_APPFVT_01_tbl_detalle_fill_rate[[#This Row],[Pend Emb]]&gt;0,1,0)</f>
        <v>0</v>
      </c>
      <c r="T166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69" spans="1:20" x14ac:dyDescent="0.25">
      <c r="A1669">
        <v>1</v>
      </c>
      <c r="B1669" t="s">
        <v>55</v>
      </c>
      <c r="C1669">
        <v>8693049</v>
      </c>
      <c r="D1669" s="48">
        <v>43357</v>
      </c>
      <c r="E1669" s="48">
        <v>43356</v>
      </c>
      <c r="F1669" s="48">
        <v>43367</v>
      </c>
      <c r="G1669" t="s">
        <v>100</v>
      </c>
      <c r="H1669" t="s">
        <v>101</v>
      </c>
      <c r="I1669">
        <v>6</v>
      </c>
      <c r="J1669" t="s">
        <v>156</v>
      </c>
      <c r="K1669">
        <v>6</v>
      </c>
      <c r="L1669">
        <v>6</v>
      </c>
      <c r="M1669" t="s">
        <v>422</v>
      </c>
      <c r="N1669">
        <v>0</v>
      </c>
      <c r="O1669" s="1">
        <f>+Tabla__192.168.1.8_POSEIDONSQL_APPFVT_01_tbl_detalle_fill_rate[[#This Row],[emb_cantidad]]-Tabla__192.168.1.8_POSEIDONSQL_APPFVT_01_tbl_detalle_fill_rate[[#This Row],[dev_cantidad]]</f>
        <v>6</v>
      </c>
      <c r="P166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6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69" s="1">
        <f>+Tabla__192.168.1.8_POSEIDONSQL_APPFVT_01_tbl_detalle_fill_rate[[#This Row],[Cumpl Real Unds]]-Tabla__192.168.1.8_POSEIDONSQL_APPFVT_01_tbl_detalle_fill_rate[[#This Row],[Cant Embarcada]]</f>
        <v>0</v>
      </c>
      <c r="S1669" s="1">
        <f>+IF(Tabla__192.168.1.8_POSEIDONSQL_APPFVT_01_tbl_detalle_fill_rate[[#This Row],[Pend Emb]]&gt;0,1,0)</f>
        <v>0</v>
      </c>
      <c r="T166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0" spans="1:20" x14ac:dyDescent="0.25">
      <c r="A1670">
        <v>1</v>
      </c>
      <c r="B1670" t="s">
        <v>55</v>
      </c>
      <c r="C1670">
        <v>8693049</v>
      </c>
      <c r="D1670" s="48">
        <v>43357</v>
      </c>
      <c r="E1670" s="48">
        <v>43356</v>
      </c>
      <c r="F1670" s="48">
        <v>43367</v>
      </c>
      <c r="G1670" t="s">
        <v>148</v>
      </c>
      <c r="H1670" t="s">
        <v>149</v>
      </c>
      <c r="I1670">
        <v>6</v>
      </c>
      <c r="J1670" t="s">
        <v>154</v>
      </c>
      <c r="K1670">
        <v>6</v>
      </c>
      <c r="L1670">
        <v>6</v>
      </c>
      <c r="M1670" t="s">
        <v>422</v>
      </c>
      <c r="N1670">
        <v>0</v>
      </c>
      <c r="O1670" s="1">
        <f>+Tabla__192.168.1.8_POSEIDONSQL_APPFVT_01_tbl_detalle_fill_rate[[#This Row],[emb_cantidad]]-Tabla__192.168.1.8_POSEIDONSQL_APPFVT_01_tbl_detalle_fill_rate[[#This Row],[dev_cantidad]]</f>
        <v>6</v>
      </c>
      <c r="P167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70" s="1">
        <f>+Tabla__192.168.1.8_POSEIDONSQL_APPFVT_01_tbl_detalle_fill_rate[[#This Row],[Cumpl Real Unds]]-Tabla__192.168.1.8_POSEIDONSQL_APPFVT_01_tbl_detalle_fill_rate[[#This Row],[Cant Embarcada]]</f>
        <v>0</v>
      </c>
      <c r="S1670" s="1">
        <f>+IF(Tabla__192.168.1.8_POSEIDONSQL_APPFVT_01_tbl_detalle_fill_rate[[#This Row],[Pend Emb]]&gt;0,1,0)</f>
        <v>0</v>
      </c>
      <c r="T167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1" spans="1:20" x14ac:dyDescent="0.25">
      <c r="A1671">
        <v>1</v>
      </c>
      <c r="B1671" t="s">
        <v>55</v>
      </c>
      <c r="C1671">
        <v>8693049</v>
      </c>
      <c r="D1671" s="48">
        <v>43357</v>
      </c>
      <c r="E1671" s="48">
        <v>43356</v>
      </c>
      <c r="F1671" s="48">
        <v>43367</v>
      </c>
      <c r="G1671" t="s">
        <v>157</v>
      </c>
      <c r="H1671" t="s">
        <v>158</v>
      </c>
      <c r="I1671">
        <v>6</v>
      </c>
      <c r="J1671" t="s">
        <v>153</v>
      </c>
      <c r="K1671">
        <v>6</v>
      </c>
      <c r="L1671">
        <v>6</v>
      </c>
      <c r="M1671" t="s">
        <v>422</v>
      </c>
      <c r="N1671">
        <v>0</v>
      </c>
      <c r="O1671" s="1">
        <f>+Tabla__192.168.1.8_POSEIDONSQL_APPFVT_01_tbl_detalle_fill_rate[[#This Row],[emb_cantidad]]-Tabla__192.168.1.8_POSEIDONSQL_APPFVT_01_tbl_detalle_fill_rate[[#This Row],[dev_cantidad]]</f>
        <v>6</v>
      </c>
      <c r="P167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6</v>
      </c>
      <c r="R1671" s="1">
        <f>+Tabla__192.168.1.8_POSEIDONSQL_APPFVT_01_tbl_detalle_fill_rate[[#This Row],[Cumpl Real Unds]]-Tabla__192.168.1.8_POSEIDONSQL_APPFVT_01_tbl_detalle_fill_rate[[#This Row],[Cant Embarcada]]</f>
        <v>0</v>
      </c>
      <c r="S1671" s="1">
        <f>+IF(Tabla__192.168.1.8_POSEIDONSQL_APPFVT_01_tbl_detalle_fill_rate[[#This Row],[Pend Emb]]&gt;0,1,0)</f>
        <v>0</v>
      </c>
      <c r="T167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2" spans="1:20" x14ac:dyDescent="0.25">
      <c r="A1672">
        <v>1</v>
      </c>
      <c r="B1672" t="s">
        <v>55</v>
      </c>
      <c r="C1672">
        <v>8693420</v>
      </c>
      <c r="D1672" s="48">
        <v>43357</v>
      </c>
      <c r="E1672" s="48">
        <v>43356</v>
      </c>
      <c r="F1672" s="48">
        <v>43368</v>
      </c>
      <c r="G1672" t="s">
        <v>332</v>
      </c>
      <c r="H1672" t="s">
        <v>333</v>
      </c>
      <c r="I1672">
        <v>3</v>
      </c>
      <c r="J1672" t="s">
        <v>676</v>
      </c>
      <c r="K1672">
        <v>3</v>
      </c>
      <c r="L1672">
        <v>3</v>
      </c>
      <c r="M1672" t="s">
        <v>419</v>
      </c>
      <c r="N1672">
        <v>0</v>
      </c>
      <c r="O1672" s="1">
        <f>+Tabla__192.168.1.8_POSEIDONSQL_APPFVT_01_tbl_detalle_fill_rate[[#This Row],[emb_cantidad]]-Tabla__192.168.1.8_POSEIDONSQL_APPFVT_01_tbl_detalle_fill_rate[[#This Row],[dev_cantidad]]</f>
        <v>3</v>
      </c>
      <c r="P167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3</v>
      </c>
      <c r="R1672" s="1">
        <f>+Tabla__192.168.1.8_POSEIDONSQL_APPFVT_01_tbl_detalle_fill_rate[[#This Row],[Cumpl Real Unds]]-Tabla__192.168.1.8_POSEIDONSQL_APPFVT_01_tbl_detalle_fill_rate[[#This Row],[Cant Embarcada]]</f>
        <v>0</v>
      </c>
      <c r="S1672" s="1">
        <f>+IF(Tabla__192.168.1.8_POSEIDONSQL_APPFVT_01_tbl_detalle_fill_rate[[#This Row],[Pend Emb]]&gt;0,1,0)</f>
        <v>0</v>
      </c>
      <c r="T1672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3" spans="1:20" x14ac:dyDescent="0.25">
      <c r="A1673">
        <v>1</v>
      </c>
      <c r="B1673" t="s">
        <v>55</v>
      </c>
      <c r="C1673">
        <v>8693933</v>
      </c>
      <c r="D1673" s="48">
        <v>43363</v>
      </c>
      <c r="E1673" s="48">
        <v>43356</v>
      </c>
      <c r="F1673" s="48">
        <v>43368</v>
      </c>
      <c r="G1673" t="s">
        <v>668</v>
      </c>
      <c r="H1673" t="s">
        <v>669</v>
      </c>
      <c r="I1673">
        <v>1</v>
      </c>
      <c r="J1673" t="s">
        <v>670</v>
      </c>
      <c r="K1673">
        <v>0</v>
      </c>
      <c r="L1673">
        <v>0</v>
      </c>
      <c r="M1673" t="s">
        <v>12</v>
      </c>
      <c r="N1673">
        <v>0</v>
      </c>
      <c r="O1673" s="1">
        <f>+Tabla__192.168.1.8_POSEIDONSQL_APPFVT_01_tbl_detalle_fill_rate[[#This Row],[emb_cantidad]]-Tabla__192.168.1.8_POSEIDONSQL_APPFVT_01_tbl_detalle_fill_rate[[#This Row],[dev_cantidad]]</f>
        <v>0</v>
      </c>
      <c r="P1673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3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73" s="1">
        <f>+Tabla__192.168.1.8_POSEIDONSQL_APPFVT_01_tbl_detalle_fill_rate[[#This Row],[Cumpl Real Unds]]-Tabla__192.168.1.8_POSEIDONSQL_APPFVT_01_tbl_detalle_fill_rate[[#This Row],[Cant Embarcada]]</f>
        <v>0</v>
      </c>
      <c r="S1673" s="1">
        <f>+IF(Tabla__192.168.1.8_POSEIDONSQL_APPFVT_01_tbl_detalle_fill_rate[[#This Row],[Pend Emb]]&gt;0,1,0)</f>
        <v>0</v>
      </c>
      <c r="T1673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4" spans="1:20" x14ac:dyDescent="0.25">
      <c r="A1674">
        <v>1</v>
      </c>
      <c r="B1674" t="s">
        <v>55</v>
      </c>
      <c r="C1674">
        <v>8693971</v>
      </c>
      <c r="D1674" s="48">
        <v>43363</v>
      </c>
      <c r="E1674" s="48">
        <v>43356</v>
      </c>
      <c r="F1674" s="48">
        <v>43368</v>
      </c>
      <c r="G1674" t="s">
        <v>102</v>
      </c>
      <c r="H1674" t="s">
        <v>103</v>
      </c>
      <c r="I1674">
        <v>1</v>
      </c>
      <c r="J1674" t="s">
        <v>666</v>
      </c>
      <c r="K1674">
        <v>1</v>
      </c>
      <c r="L1674">
        <v>1</v>
      </c>
      <c r="M1674" t="s">
        <v>419</v>
      </c>
      <c r="N1674">
        <v>0</v>
      </c>
      <c r="O1674" s="1">
        <f>+Tabla__192.168.1.8_POSEIDONSQL_APPFVT_01_tbl_detalle_fill_rate[[#This Row],[emb_cantidad]]-Tabla__192.168.1.8_POSEIDONSQL_APPFVT_01_tbl_detalle_fill_rate[[#This Row],[dev_cantidad]]</f>
        <v>1</v>
      </c>
      <c r="P1674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4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74" s="1">
        <f>+Tabla__192.168.1.8_POSEIDONSQL_APPFVT_01_tbl_detalle_fill_rate[[#This Row],[Cumpl Real Unds]]-Tabla__192.168.1.8_POSEIDONSQL_APPFVT_01_tbl_detalle_fill_rate[[#This Row],[Cant Embarcada]]</f>
        <v>0</v>
      </c>
      <c r="S1674" s="1">
        <f>+IF(Tabla__192.168.1.8_POSEIDONSQL_APPFVT_01_tbl_detalle_fill_rate[[#This Row],[Pend Emb]]&gt;0,1,0)</f>
        <v>0</v>
      </c>
      <c r="T1674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5" spans="1:20" x14ac:dyDescent="0.25">
      <c r="A1675">
        <v>1</v>
      </c>
      <c r="B1675" t="s">
        <v>55</v>
      </c>
      <c r="C1675">
        <v>8694065</v>
      </c>
      <c r="D1675" s="48">
        <v>43363</v>
      </c>
      <c r="E1675" s="48">
        <v>43357</v>
      </c>
      <c r="F1675" s="48">
        <v>43368</v>
      </c>
      <c r="G1675" t="s">
        <v>78</v>
      </c>
      <c r="H1675" t="s">
        <v>79</v>
      </c>
      <c r="I1675">
        <v>1</v>
      </c>
      <c r="J1675" t="s">
        <v>667</v>
      </c>
      <c r="K1675">
        <v>0</v>
      </c>
      <c r="L1675">
        <v>0</v>
      </c>
      <c r="M1675" t="s">
        <v>12</v>
      </c>
      <c r="N1675">
        <v>0</v>
      </c>
      <c r="O1675" s="1">
        <f>+Tabla__192.168.1.8_POSEIDONSQL_APPFVT_01_tbl_detalle_fill_rate[[#This Row],[emb_cantidad]]-Tabla__192.168.1.8_POSEIDONSQL_APPFVT_01_tbl_detalle_fill_rate[[#This Row],[dev_cantidad]]</f>
        <v>0</v>
      </c>
      <c r="P1675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5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0</v>
      </c>
      <c r="R1675" s="1">
        <f>+Tabla__192.168.1.8_POSEIDONSQL_APPFVT_01_tbl_detalle_fill_rate[[#This Row],[Cumpl Real Unds]]-Tabla__192.168.1.8_POSEIDONSQL_APPFVT_01_tbl_detalle_fill_rate[[#This Row],[Cant Embarcada]]</f>
        <v>0</v>
      </c>
      <c r="S1675" s="1">
        <f>+IF(Tabla__192.168.1.8_POSEIDONSQL_APPFVT_01_tbl_detalle_fill_rate[[#This Row],[Pend Emb]]&gt;0,1,0)</f>
        <v>0</v>
      </c>
      <c r="T1675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6" spans="1:20" x14ac:dyDescent="0.25">
      <c r="A1676">
        <v>1</v>
      </c>
      <c r="B1676" t="s">
        <v>55</v>
      </c>
      <c r="C1676">
        <v>8694210</v>
      </c>
      <c r="D1676" s="48">
        <v>43363</v>
      </c>
      <c r="E1676" s="48">
        <v>43357</v>
      </c>
      <c r="F1676" s="48">
        <v>43368</v>
      </c>
      <c r="G1676" t="s">
        <v>349</v>
      </c>
      <c r="H1676" t="s">
        <v>350</v>
      </c>
      <c r="I1676">
        <v>1</v>
      </c>
      <c r="J1676" t="s">
        <v>658</v>
      </c>
      <c r="K1676">
        <v>1</v>
      </c>
      <c r="L1676">
        <v>1</v>
      </c>
      <c r="M1676" t="s">
        <v>419</v>
      </c>
      <c r="N1676">
        <v>0</v>
      </c>
      <c r="O1676" s="1">
        <f>+Tabla__192.168.1.8_POSEIDONSQL_APPFVT_01_tbl_detalle_fill_rate[[#This Row],[emb_cantidad]]-Tabla__192.168.1.8_POSEIDONSQL_APPFVT_01_tbl_detalle_fill_rate[[#This Row],[dev_cantidad]]</f>
        <v>1</v>
      </c>
      <c r="P1676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6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76" s="1">
        <f>+Tabla__192.168.1.8_POSEIDONSQL_APPFVT_01_tbl_detalle_fill_rate[[#This Row],[Cumpl Real Unds]]-Tabla__192.168.1.8_POSEIDONSQL_APPFVT_01_tbl_detalle_fill_rate[[#This Row],[Cant Embarcada]]</f>
        <v>0</v>
      </c>
      <c r="S1676" s="1">
        <f>+IF(Tabla__192.168.1.8_POSEIDONSQL_APPFVT_01_tbl_detalle_fill_rate[[#This Row],[Pend Emb]]&gt;0,1,0)</f>
        <v>0</v>
      </c>
      <c r="T1676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7" spans="1:20" x14ac:dyDescent="0.25">
      <c r="A1677">
        <v>1</v>
      </c>
      <c r="B1677" t="s">
        <v>55</v>
      </c>
      <c r="C1677">
        <v>8694506</v>
      </c>
      <c r="D1677" s="48">
        <v>43363</v>
      </c>
      <c r="E1677" s="48">
        <v>43357</v>
      </c>
      <c r="F1677" s="48">
        <v>43368</v>
      </c>
      <c r="G1677" t="s">
        <v>118</v>
      </c>
      <c r="H1677" t="s">
        <v>119</v>
      </c>
      <c r="I1677">
        <v>1</v>
      </c>
      <c r="J1677" t="s">
        <v>659</v>
      </c>
      <c r="K1677">
        <v>1</v>
      </c>
      <c r="L1677">
        <v>1</v>
      </c>
      <c r="M1677" t="s">
        <v>419</v>
      </c>
      <c r="N1677">
        <v>0</v>
      </c>
      <c r="O1677" s="1">
        <f>+Tabla__192.168.1.8_POSEIDONSQL_APPFVT_01_tbl_detalle_fill_rate[[#This Row],[emb_cantidad]]-Tabla__192.168.1.8_POSEIDONSQL_APPFVT_01_tbl_detalle_fill_rate[[#This Row],[dev_cantidad]]</f>
        <v>1</v>
      </c>
      <c r="P1677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7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77" s="1">
        <f>+Tabla__192.168.1.8_POSEIDONSQL_APPFVT_01_tbl_detalle_fill_rate[[#This Row],[Cumpl Real Unds]]-Tabla__192.168.1.8_POSEIDONSQL_APPFVT_01_tbl_detalle_fill_rate[[#This Row],[Cant Embarcada]]</f>
        <v>0</v>
      </c>
      <c r="S1677" s="1">
        <f>+IF(Tabla__192.168.1.8_POSEIDONSQL_APPFVT_01_tbl_detalle_fill_rate[[#This Row],[Pend Emb]]&gt;0,1,0)</f>
        <v>0</v>
      </c>
      <c r="T1677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8" spans="1:20" x14ac:dyDescent="0.25">
      <c r="A1678">
        <v>1</v>
      </c>
      <c r="B1678" t="s">
        <v>55</v>
      </c>
      <c r="C1678">
        <v>8694642</v>
      </c>
      <c r="D1678" s="48">
        <v>43363</v>
      </c>
      <c r="E1678" s="48">
        <v>43357</v>
      </c>
      <c r="F1678" s="48">
        <v>43368</v>
      </c>
      <c r="G1678" t="s">
        <v>225</v>
      </c>
      <c r="H1678" t="s">
        <v>226</v>
      </c>
      <c r="I1678">
        <v>1</v>
      </c>
      <c r="J1678" t="s">
        <v>660</v>
      </c>
      <c r="K1678">
        <v>1</v>
      </c>
      <c r="L1678">
        <v>1</v>
      </c>
      <c r="M1678" t="s">
        <v>419</v>
      </c>
      <c r="N1678">
        <v>0</v>
      </c>
      <c r="O1678" s="1">
        <f>+Tabla__192.168.1.8_POSEIDONSQL_APPFVT_01_tbl_detalle_fill_rate[[#This Row],[emb_cantidad]]-Tabla__192.168.1.8_POSEIDONSQL_APPFVT_01_tbl_detalle_fill_rate[[#This Row],[dev_cantidad]]</f>
        <v>1</v>
      </c>
      <c r="P1678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8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78" s="1">
        <f>+Tabla__192.168.1.8_POSEIDONSQL_APPFVT_01_tbl_detalle_fill_rate[[#This Row],[Cumpl Real Unds]]-Tabla__192.168.1.8_POSEIDONSQL_APPFVT_01_tbl_detalle_fill_rate[[#This Row],[Cant Embarcada]]</f>
        <v>0</v>
      </c>
      <c r="S1678" s="1">
        <f>+IF(Tabla__192.168.1.8_POSEIDONSQL_APPFVT_01_tbl_detalle_fill_rate[[#This Row],[Pend Emb]]&gt;0,1,0)</f>
        <v>0</v>
      </c>
      <c r="T1678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79" spans="1:20" x14ac:dyDescent="0.25">
      <c r="A1679">
        <v>1</v>
      </c>
      <c r="B1679" t="s">
        <v>55</v>
      </c>
      <c r="C1679">
        <v>8695897</v>
      </c>
      <c r="D1679" s="48">
        <v>43363</v>
      </c>
      <c r="E1679" s="48">
        <v>43357</v>
      </c>
      <c r="F1679" s="48">
        <v>43370</v>
      </c>
      <c r="G1679" t="s">
        <v>349</v>
      </c>
      <c r="H1679" t="s">
        <v>350</v>
      </c>
      <c r="I1679">
        <v>1</v>
      </c>
      <c r="J1679" t="s">
        <v>898</v>
      </c>
      <c r="K1679">
        <v>1</v>
      </c>
      <c r="L1679">
        <v>1</v>
      </c>
      <c r="M1679" t="s">
        <v>423</v>
      </c>
      <c r="N1679">
        <v>0</v>
      </c>
      <c r="O1679" s="1">
        <f>+Tabla__192.168.1.8_POSEIDONSQL_APPFVT_01_tbl_detalle_fill_rate[[#This Row],[emb_cantidad]]-Tabla__192.168.1.8_POSEIDONSQL_APPFVT_01_tbl_detalle_fill_rate[[#This Row],[dev_cantidad]]</f>
        <v>1</v>
      </c>
      <c r="P1679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79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79" s="1">
        <f>+Tabla__192.168.1.8_POSEIDONSQL_APPFVT_01_tbl_detalle_fill_rate[[#This Row],[Cumpl Real Unds]]-Tabla__192.168.1.8_POSEIDONSQL_APPFVT_01_tbl_detalle_fill_rate[[#This Row],[Cant Embarcada]]</f>
        <v>0</v>
      </c>
      <c r="S1679" s="1">
        <f>+IF(Tabla__192.168.1.8_POSEIDONSQL_APPFVT_01_tbl_detalle_fill_rate[[#This Row],[Pend Emb]]&gt;0,1,0)</f>
        <v>0</v>
      </c>
      <c r="T1679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80" spans="1:20" x14ac:dyDescent="0.25">
      <c r="A1680">
        <v>1</v>
      </c>
      <c r="B1680" t="s">
        <v>55</v>
      </c>
      <c r="C1680">
        <v>8696102</v>
      </c>
      <c r="D1680" s="48">
        <v>43363</v>
      </c>
      <c r="E1680" s="48">
        <v>43358</v>
      </c>
      <c r="F1680" s="48">
        <v>43370</v>
      </c>
      <c r="G1680" t="s">
        <v>78</v>
      </c>
      <c r="H1680" t="s">
        <v>79</v>
      </c>
      <c r="I1680">
        <v>1</v>
      </c>
      <c r="J1680" t="s">
        <v>899</v>
      </c>
      <c r="K1680">
        <v>1</v>
      </c>
      <c r="L1680">
        <v>1</v>
      </c>
      <c r="M1680" t="s">
        <v>423</v>
      </c>
      <c r="N1680">
        <v>0</v>
      </c>
      <c r="O1680" s="1">
        <f>+Tabla__192.168.1.8_POSEIDONSQL_APPFVT_01_tbl_detalle_fill_rate[[#This Row],[emb_cantidad]]-Tabla__192.168.1.8_POSEIDONSQL_APPFVT_01_tbl_detalle_fill_rate[[#This Row],[dev_cantidad]]</f>
        <v>1</v>
      </c>
      <c r="P1680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80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80" s="1">
        <f>+Tabla__192.168.1.8_POSEIDONSQL_APPFVT_01_tbl_detalle_fill_rate[[#This Row],[Cumpl Real Unds]]-Tabla__192.168.1.8_POSEIDONSQL_APPFVT_01_tbl_detalle_fill_rate[[#This Row],[Cant Embarcada]]</f>
        <v>0</v>
      </c>
      <c r="S1680" s="1">
        <f>+IF(Tabla__192.168.1.8_POSEIDONSQL_APPFVT_01_tbl_detalle_fill_rate[[#This Row],[Pend Emb]]&gt;0,1,0)</f>
        <v>0</v>
      </c>
      <c r="T1680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81" spans="1:20" x14ac:dyDescent="0.25">
      <c r="A1681">
        <v>1</v>
      </c>
      <c r="B1681" t="s">
        <v>55</v>
      </c>
      <c r="C1681">
        <v>8696152</v>
      </c>
      <c r="D1681" s="48">
        <v>43363</v>
      </c>
      <c r="E1681" s="48">
        <v>43358</v>
      </c>
      <c r="F1681" s="48">
        <v>43370</v>
      </c>
      <c r="G1681" t="s">
        <v>296</v>
      </c>
      <c r="H1681" t="s">
        <v>297</v>
      </c>
      <c r="I1681">
        <v>1</v>
      </c>
      <c r="J1681" t="s">
        <v>679</v>
      </c>
      <c r="K1681">
        <v>1</v>
      </c>
      <c r="L1681">
        <v>1</v>
      </c>
      <c r="M1681" t="s">
        <v>423</v>
      </c>
      <c r="N1681">
        <v>0</v>
      </c>
      <c r="O1681" s="1">
        <f>+Tabla__192.168.1.8_POSEIDONSQL_APPFVT_01_tbl_detalle_fill_rate[[#This Row],[emb_cantidad]]-Tabla__192.168.1.8_POSEIDONSQL_APPFVT_01_tbl_detalle_fill_rate[[#This Row],[dev_cantidad]]</f>
        <v>1</v>
      </c>
      <c r="P1681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81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81" s="1">
        <f>+Tabla__192.168.1.8_POSEIDONSQL_APPFVT_01_tbl_detalle_fill_rate[[#This Row],[Cumpl Real Unds]]-Tabla__192.168.1.8_POSEIDONSQL_APPFVT_01_tbl_detalle_fill_rate[[#This Row],[Cant Embarcada]]</f>
        <v>0</v>
      </c>
      <c r="S1681" s="1">
        <f>+IF(Tabla__192.168.1.8_POSEIDONSQL_APPFVT_01_tbl_detalle_fill_rate[[#This Row],[Pend Emb]]&gt;0,1,0)</f>
        <v>0</v>
      </c>
      <c r="T1681" s="1">
        <f>+IF(Tabla__192.168.1.8_POSEIDONSQL_APPFVT_01_tbl_detalle_fill_rate[[#This Row],[con_fechadespacho]]&gt;=Tabla__192.168.1.8_POSEIDONSQL_APPFVT_01_tbl_detalle_fill_rate[[#This Row],[emb_fechadespacho]],1,0)</f>
        <v>0</v>
      </c>
    </row>
    <row r="1682" spans="1:20" x14ac:dyDescent="0.25">
      <c r="A1682">
        <v>1</v>
      </c>
      <c r="B1682" t="s">
        <v>55</v>
      </c>
      <c r="C1682">
        <v>8696231</v>
      </c>
      <c r="D1682" s="48">
        <v>43363</v>
      </c>
      <c r="E1682" s="48">
        <v>43358</v>
      </c>
      <c r="F1682" s="48">
        <v>43370</v>
      </c>
      <c r="G1682" t="s">
        <v>120</v>
      </c>
      <c r="H1682" t="s">
        <v>121</v>
      </c>
      <c r="I1682">
        <v>2</v>
      </c>
      <c r="J1682" t="s">
        <v>900</v>
      </c>
      <c r="K1682">
        <v>1</v>
      </c>
      <c r="L1682">
        <v>1</v>
      </c>
      <c r="M1682" t="s">
        <v>423</v>
      </c>
      <c r="N1682">
        <v>0</v>
      </c>
      <c r="O1682" s="1">
        <f>+Tabla__192.168.1.8_POSEIDONSQL_APPFVT_01_tbl_detalle_fill_rate[[#This Row],[emb_cantidad]]-Tabla__192.168.1.8_POSEIDONSQL_APPFVT_01_tbl_detalle_fill_rate[[#This Row],[dev_cantidad]]</f>
        <v>1</v>
      </c>
      <c r="P1682" s="1">
        <f>+IF(Tabla__192.168.1.8_POSEIDONSQL_APPFVT_01_tbl_detalle_fill_rate[[#This Row],[emb_cantidad]]&gt;Tabla__192.168.1.8_POSEIDONSQL_APPFVT_01_tbl_detalle_fill_rate[[#This Row],[con_cantidad]],Tabla__192.168.1.8_POSEIDONSQL_APPFVT_01_tbl_detalle_fill_rate[[#This Row],[emb_cantidad]]-Tabla__192.168.1.8_POSEIDONSQL_APPFVT_01_tbl_detalle_fill_rate[[#This Row],[con_cantidad]],0)</f>
        <v>0</v>
      </c>
      <c r="Q1682" s="1">
        <f>+IF((Tabla__192.168.1.8_POSEIDONSQL_APPFVT_01_tbl_detalle_fill_rate[[#This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Reembarcada]]&lt;0,0,(Tabla__192.168.1.8_POSEIDONSQL_APPFVT_01_tbl_detalle_fill_rate[[#This Row],[Cant Embarcada]]-Tabla__192.168.1.8_POSEIDONSQL_APPFVT_01_tbl_detalle_fill_rate[[#This Row],[dev_cantidad]])+Tabla__192.168.1.8_POSEIDONSQL_APPFVT_01_tbl_detalle_fill_rate[[#This Row],[Cant Reembarcada]])</f>
        <v>1</v>
      </c>
      <c r="R1682" s="1">
        <f>+Tabla__192.168.1.8_POSEIDONSQL_APPFVT_01_tbl_detalle_fill_rate[[#This Row],[Cumpl Real Unds]]-Tabla__192.168.1.8_POSEIDONSQL_APPFVT_01_tbl_detalle_fill_rate[[#This Row],[Cant Embarcada]]</f>
        <v>0</v>
      </c>
      <c r="S1682" s="1">
        <f>+IF(Tabla__192.168.1.8_POSEIDONSQL_APPFVT_01_tbl_detalle_fill_rate[[#This Row],[Pend Emb]]&gt;0,1,0)</f>
        <v>0</v>
      </c>
      <c r="T1682" s="1">
        <f>+IF(Tabla__192.168.1.8_POSEIDONSQL_APPFVT_01_tbl_detalle_fill_rate[[#This Row],[con_fechadespacho]]&gt;=Tabla__192.168.1.8_POSEIDONSQL_APPFVT_01_tbl_detalle_fill_rate[[#This Row],[emb_fechadespacho]],1,0)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1470"/>
  <sheetViews>
    <sheetView zoomScale="80" zoomScaleNormal="80" workbookViewId="0">
      <selection activeCell="B2" sqref="B2"/>
    </sheetView>
  </sheetViews>
  <sheetFormatPr baseColWidth="10" defaultRowHeight="15" x14ac:dyDescent="0.25"/>
  <cols>
    <col min="1" max="1" width="13.5703125" bestFit="1" customWidth="1"/>
    <col min="2" max="2" width="23.7109375" bestFit="1" customWidth="1"/>
    <col min="3" max="4" width="17" bestFit="1" customWidth="1"/>
    <col min="5" max="5" width="21.42578125" bestFit="1" customWidth="1"/>
    <col min="6" max="6" width="16.42578125" bestFit="1" customWidth="1"/>
    <col min="7" max="7" width="13.5703125" bestFit="1" customWidth="1"/>
    <col min="8" max="8" width="16.5703125" bestFit="1" customWidth="1"/>
    <col min="9" max="9" width="18.140625" bestFit="1" customWidth="1"/>
    <col min="10" max="10" width="15.85546875" bestFit="1" customWidth="1"/>
    <col min="11" max="11" width="25.140625" customWidth="1"/>
    <col min="12" max="12" width="18.5703125" bestFit="1" customWidth="1"/>
    <col min="13" max="13" width="14.140625" bestFit="1" customWidth="1"/>
    <col min="14" max="14" width="13.140625" bestFit="1" customWidth="1"/>
    <col min="15" max="15" width="12.85546875" bestFit="1" customWidth="1"/>
    <col min="16" max="16" width="17.140625" bestFit="1" customWidth="1"/>
    <col min="17" max="17" width="19.85546875" bestFit="1" customWidth="1"/>
    <col min="18" max="18" width="15.140625" bestFit="1" customWidth="1"/>
    <col min="19" max="19" width="19.140625" bestFit="1" customWidth="1"/>
    <col min="20" max="20" width="17.85546875" bestFit="1" customWidth="1"/>
    <col min="21" max="21" width="15" bestFit="1" customWidth="1"/>
    <col min="22" max="22" width="13.85546875" bestFit="1" customWidth="1"/>
    <col min="23" max="23" width="32.85546875" bestFit="1" customWidth="1"/>
    <col min="24" max="24" width="18.42578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47</v>
      </c>
      <c r="L1" t="s">
        <v>11</v>
      </c>
      <c r="M1" t="s">
        <v>13</v>
      </c>
      <c r="N1" t="s">
        <v>14</v>
      </c>
      <c r="O1" t="s">
        <v>15</v>
      </c>
      <c r="P1" t="s">
        <v>16</v>
      </c>
      <c r="Q1" t="s">
        <v>21</v>
      </c>
      <c r="R1" t="s">
        <v>20</v>
      </c>
      <c r="S1" t="s">
        <v>23</v>
      </c>
      <c r="T1" t="s">
        <v>25</v>
      </c>
      <c r="U1" t="s">
        <v>27</v>
      </c>
      <c r="V1" t="s">
        <v>35</v>
      </c>
      <c r="W1" t="s">
        <v>51</v>
      </c>
      <c r="X1" t="s">
        <v>188</v>
      </c>
    </row>
    <row r="2" spans="1:24" x14ac:dyDescent="0.25">
      <c r="A2">
        <v>25</v>
      </c>
      <c r="B2" t="s">
        <v>1961</v>
      </c>
      <c r="C2">
        <v>10</v>
      </c>
      <c r="D2" t="s">
        <v>1962</v>
      </c>
      <c r="E2" t="s">
        <v>1963</v>
      </c>
      <c r="F2" t="s">
        <v>1962</v>
      </c>
      <c r="G2">
        <v>95</v>
      </c>
      <c r="H2">
        <v>94</v>
      </c>
      <c r="I2" t="s">
        <v>160</v>
      </c>
      <c r="J2">
        <v>0</v>
      </c>
      <c r="K2" t="s">
        <v>49</v>
      </c>
      <c r="L2">
        <f>+Tabla__192.168.1.8_POSEIDONSQL_APPFVT_01_tblFillRateFechas[[#This Row],[emb_cantidad]]-Tabla__192.168.1.8_POSEIDONSQL_APPFVT_01_tblFillRateFechas[[#This Row],[dev_cantidad]]</f>
        <v>94</v>
      </c>
      <c r="M2">
        <f>+IF(Tabla__192.168.1.8_POSEIDONSQL_APPFVT_01_tblFillRateFechas[[#This Row],[Cant_Resultante]]=Tabla__192.168.1.8_POSEIDONSQL_APPFVT_01_tblFillRateFechas[[#This Row],[cant_order]],1,0)</f>
        <v>0</v>
      </c>
      <c r="N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" s="1">
        <f>+IF(AND(Tabla__192.168.1.8_POSEIDONSQL_APPFVT_01_tblFillRateFechas[[#This Row],[Valida Cant]]=1,Tabla__192.168.1.8_POSEIDONSQL_APPFVT_01_tblFillRateFechas[[#This Row],[Valida Fec]]=1),1,0)</f>
        <v>0</v>
      </c>
      <c r="P2" s="1">
        <f>+(Tabla__192.168.1.8_POSEIDONSQL_APPFVT_01_tblFillRateFechas[[#This Row],[Cant_Resultante]]/Tabla__192.168.1.8_POSEIDONSQL_APPFVT_01_tblFillRateFechas[[#This Row],[cant_order]])*100</f>
        <v>98.94736842105263</v>
      </c>
      <c r="Q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94</v>
      </c>
      <c r="R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94</v>
      </c>
      <c r="T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" s="1">
        <f>+IF(Tabla__192.168.1.8_POSEIDONSQL_APPFVT_01_tblFillRateFechas[[#This Row],[cant_order]]&gt;0,1,0)</f>
        <v>1</v>
      </c>
      <c r="V2" s="1">
        <f>+IF(Tabla__192.168.1.8_POSEIDONSQL_APPFVT_01_tblFillRateFechas[[#This Row],[Resultado]]=1,1,0)</f>
        <v>0</v>
      </c>
      <c r="W2" s="1" t="str">
        <f>+Tabla__192.168.1.8_POSEIDONSQL_APPFVT_01_tblFillRateFechas[[#This Row],[con_ocnumero]]&amp;Tabla__192.168.1.8_POSEIDONSQL_APPFVT_01_tblFillRateFechas[[#This Row],[con_codigounico]]</f>
        <v>10-</v>
      </c>
      <c r="X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94</v>
      </c>
    </row>
    <row r="3" spans="1:24" x14ac:dyDescent="0.25">
      <c r="A3">
        <v>25</v>
      </c>
      <c r="B3" t="s">
        <v>1961</v>
      </c>
      <c r="C3">
        <v>11</v>
      </c>
      <c r="D3" t="s">
        <v>162</v>
      </c>
      <c r="E3" t="s">
        <v>162</v>
      </c>
      <c r="F3" t="s">
        <v>162</v>
      </c>
      <c r="G3">
        <v>14</v>
      </c>
      <c r="H3">
        <v>0</v>
      </c>
      <c r="I3" t="s">
        <v>12</v>
      </c>
      <c r="J3">
        <v>0</v>
      </c>
      <c r="K3" t="s">
        <v>49</v>
      </c>
      <c r="L3">
        <f>+Tabla__192.168.1.8_POSEIDONSQL_APPFVT_01_tblFillRateFechas[[#This Row],[emb_cantidad]]-Tabla__192.168.1.8_POSEIDONSQL_APPFVT_01_tblFillRateFechas[[#This Row],[dev_cantidad]]</f>
        <v>0</v>
      </c>
      <c r="M3">
        <f>+IF(Tabla__192.168.1.8_POSEIDONSQL_APPFVT_01_tblFillRateFechas[[#This Row],[Cant_Resultante]]=Tabla__192.168.1.8_POSEIDONSQL_APPFVT_01_tblFillRateFechas[[#This Row],[cant_order]],1,0)</f>
        <v>0</v>
      </c>
      <c r="N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3" s="1">
        <f>+IF(AND(Tabla__192.168.1.8_POSEIDONSQL_APPFVT_01_tblFillRateFechas[[#This Row],[Valida Cant]]=1,Tabla__192.168.1.8_POSEIDONSQL_APPFVT_01_tblFillRateFechas[[#This Row],[Valida Fec]]=1),1,0)</f>
        <v>0</v>
      </c>
      <c r="P3" s="1">
        <f>+(Tabla__192.168.1.8_POSEIDONSQL_APPFVT_01_tblFillRateFechas[[#This Row],[Cant_Resultante]]/Tabla__192.168.1.8_POSEIDONSQL_APPFVT_01_tblFillRateFechas[[#This Row],[cant_order]])*100</f>
        <v>0</v>
      </c>
      <c r="Q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14</v>
      </c>
      <c r="U3" s="1">
        <f>+IF(Tabla__192.168.1.8_POSEIDONSQL_APPFVT_01_tblFillRateFechas[[#This Row],[cant_order]]&gt;0,1,0)</f>
        <v>1</v>
      </c>
      <c r="V3" s="1">
        <f>+IF(Tabla__192.168.1.8_POSEIDONSQL_APPFVT_01_tblFillRateFechas[[#This Row],[Resultado]]=1,1,0)</f>
        <v>0</v>
      </c>
      <c r="W3" s="1" t="str">
        <f>+Tabla__192.168.1.8_POSEIDONSQL_APPFVT_01_tblFillRateFechas[[#This Row],[con_ocnumero]]&amp;Tabla__192.168.1.8_POSEIDONSQL_APPFVT_01_tblFillRateFechas[[#This Row],[con_codigounico]]</f>
        <v>11-</v>
      </c>
      <c r="X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4" spans="1:24" x14ac:dyDescent="0.25">
      <c r="A4">
        <v>89</v>
      </c>
      <c r="B4" t="s">
        <v>1964</v>
      </c>
      <c r="C4">
        <v>896</v>
      </c>
      <c r="D4" t="s">
        <v>1965</v>
      </c>
      <c r="E4" t="s">
        <v>1965</v>
      </c>
      <c r="F4" t="s">
        <v>1965</v>
      </c>
      <c r="G4">
        <v>150</v>
      </c>
      <c r="H4">
        <v>150</v>
      </c>
      <c r="I4" t="s">
        <v>1965</v>
      </c>
      <c r="J4">
        <v>0</v>
      </c>
      <c r="K4" t="s">
        <v>49</v>
      </c>
      <c r="L4">
        <f>+Tabla__192.168.1.8_POSEIDONSQL_APPFVT_01_tblFillRateFechas[[#This Row],[emb_cantidad]]-Tabla__192.168.1.8_POSEIDONSQL_APPFVT_01_tblFillRateFechas[[#This Row],[dev_cantidad]]</f>
        <v>150</v>
      </c>
      <c r="M4">
        <f>+IF(Tabla__192.168.1.8_POSEIDONSQL_APPFVT_01_tblFillRateFechas[[#This Row],[Cant_Resultante]]=Tabla__192.168.1.8_POSEIDONSQL_APPFVT_01_tblFillRateFechas[[#This Row],[cant_order]],1,0)</f>
        <v>1</v>
      </c>
      <c r="N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" s="1">
        <f>+IF(AND(Tabla__192.168.1.8_POSEIDONSQL_APPFVT_01_tblFillRateFechas[[#This Row],[Valida Cant]]=1,Tabla__192.168.1.8_POSEIDONSQL_APPFVT_01_tblFillRateFechas[[#This Row],[Valida Fec]]=1),1,0)</f>
        <v>1</v>
      </c>
      <c r="P4" s="1">
        <f>+(Tabla__192.168.1.8_POSEIDONSQL_APPFVT_01_tblFillRateFechas[[#This Row],[Cant_Resultante]]/Tabla__192.168.1.8_POSEIDONSQL_APPFVT_01_tblFillRateFechas[[#This Row],[cant_order]])*100</f>
        <v>100</v>
      </c>
      <c r="Q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150</v>
      </c>
      <c r="R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150</v>
      </c>
      <c r="T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" s="1">
        <f>+IF(Tabla__192.168.1.8_POSEIDONSQL_APPFVT_01_tblFillRateFechas[[#This Row],[cant_order]]&gt;0,1,0)</f>
        <v>1</v>
      </c>
      <c r="V4" s="1">
        <f>+IF(Tabla__192.168.1.8_POSEIDONSQL_APPFVT_01_tblFillRateFechas[[#This Row],[Resultado]]=1,1,0)</f>
        <v>1</v>
      </c>
      <c r="W4" s="1" t="str">
        <f>+Tabla__192.168.1.8_POSEIDONSQL_APPFVT_01_tblFillRateFechas[[#This Row],[con_ocnumero]]&amp;Tabla__192.168.1.8_POSEIDONSQL_APPFVT_01_tblFillRateFechas[[#This Row],[con_codigounico]]</f>
        <v>896-</v>
      </c>
      <c r="X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150</v>
      </c>
    </row>
    <row r="5" spans="1:24" x14ac:dyDescent="0.25">
      <c r="A5">
        <v>3</v>
      </c>
      <c r="B5" t="s">
        <v>50</v>
      </c>
      <c r="C5">
        <v>50051839</v>
      </c>
      <c r="D5" t="s">
        <v>1966</v>
      </c>
      <c r="E5" t="s">
        <v>429</v>
      </c>
      <c r="F5" t="s">
        <v>1963</v>
      </c>
      <c r="G5">
        <v>1</v>
      </c>
      <c r="H5">
        <v>1</v>
      </c>
      <c r="I5" t="s">
        <v>161</v>
      </c>
      <c r="J5">
        <v>0</v>
      </c>
      <c r="K5" t="s">
        <v>549</v>
      </c>
      <c r="L5">
        <f>+Tabla__192.168.1.8_POSEIDONSQL_APPFVT_01_tblFillRateFechas[[#This Row],[emb_cantidad]]-Tabla__192.168.1.8_POSEIDONSQL_APPFVT_01_tblFillRateFechas[[#This Row],[dev_cantidad]]</f>
        <v>1</v>
      </c>
      <c r="M5">
        <f>+IF(Tabla__192.168.1.8_POSEIDONSQL_APPFVT_01_tblFillRateFechas[[#This Row],[Cant_Resultante]]=Tabla__192.168.1.8_POSEIDONSQL_APPFVT_01_tblFillRateFechas[[#This Row],[cant_order]],1,0)</f>
        <v>1</v>
      </c>
      <c r="N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" s="1">
        <f>+IF(AND(Tabla__192.168.1.8_POSEIDONSQL_APPFVT_01_tblFillRateFechas[[#This Row],[Valida Cant]]=1,Tabla__192.168.1.8_POSEIDONSQL_APPFVT_01_tblFillRateFechas[[#This Row],[Valida Fec]]=1),1,0)</f>
        <v>1</v>
      </c>
      <c r="P5" s="1">
        <f>+(Tabla__192.168.1.8_POSEIDONSQL_APPFVT_01_tblFillRateFechas[[#This Row],[Cant_Resultante]]/Tabla__192.168.1.8_POSEIDONSQL_APPFVT_01_tblFillRateFechas[[#This Row],[cant_order]])*100</f>
        <v>100</v>
      </c>
      <c r="Q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" s="1">
        <f>+IF(Tabla__192.168.1.8_POSEIDONSQL_APPFVT_01_tblFillRateFechas[[#This Row],[cant_order]]&gt;0,1,0)</f>
        <v>1</v>
      </c>
      <c r="V5" s="1">
        <f>+IF(Tabla__192.168.1.8_POSEIDONSQL_APPFVT_01_tblFillRateFechas[[#This Row],[Resultado]]=1,1,0)</f>
        <v>1</v>
      </c>
      <c r="W5" s="1" t="str">
        <f>+Tabla__192.168.1.8_POSEIDONSQL_APPFVT_01_tblFillRateFechas[[#This Row],[con_ocnumero]]&amp;Tabla__192.168.1.8_POSEIDONSQL_APPFVT_01_tblFillRateFechas[[#This Row],[con_codigounico]]</f>
        <v>50051839137357</v>
      </c>
      <c r="X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" spans="1:24" x14ac:dyDescent="0.25">
      <c r="A6">
        <v>3</v>
      </c>
      <c r="B6" t="s">
        <v>50</v>
      </c>
      <c r="C6">
        <v>50051410</v>
      </c>
      <c r="D6" t="s">
        <v>1967</v>
      </c>
      <c r="E6" t="s">
        <v>1966</v>
      </c>
      <c r="F6" t="s">
        <v>1968</v>
      </c>
      <c r="G6">
        <v>1</v>
      </c>
      <c r="H6">
        <v>1</v>
      </c>
      <c r="I6" t="s">
        <v>1965</v>
      </c>
      <c r="J6">
        <v>0</v>
      </c>
      <c r="K6" t="s">
        <v>1948</v>
      </c>
      <c r="L6">
        <f>+Tabla__192.168.1.8_POSEIDONSQL_APPFVT_01_tblFillRateFechas[[#This Row],[emb_cantidad]]-Tabla__192.168.1.8_POSEIDONSQL_APPFVT_01_tblFillRateFechas[[#This Row],[dev_cantidad]]</f>
        <v>1</v>
      </c>
      <c r="M6">
        <f>+IF(Tabla__192.168.1.8_POSEIDONSQL_APPFVT_01_tblFillRateFechas[[#This Row],[Cant_Resultante]]=Tabla__192.168.1.8_POSEIDONSQL_APPFVT_01_tblFillRateFechas[[#This Row],[cant_order]],1,0)</f>
        <v>1</v>
      </c>
      <c r="N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" s="1">
        <f>+IF(AND(Tabla__192.168.1.8_POSEIDONSQL_APPFVT_01_tblFillRateFechas[[#This Row],[Valida Cant]]=1,Tabla__192.168.1.8_POSEIDONSQL_APPFVT_01_tblFillRateFechas[[#This Row],[Valida Fec]]=1),1,0)</f>
        <v>1</v>
      </c>
      <c r="P6" s="1">
        <f>+(Tabla__192.168.1.8_POSEIDONSQL_APPFVT_01_tblFillRateFechas[[#This Row],[Cant_Resultante]]/Tabla__192.168.1.8_POSEIDONSQL_APPFVT_01_tblFillRateFechas[[#This Row],[cant_order]])*100</f>
        <v>100</v>
      </c>
      <c r="Q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" s="1">
        <f>+IF(Tabla__192.168.1.8_POSEIDONSQL_APPFVT_01_tblFillRateFechas[[#This Row],[cant_order]]&gt;0,1,0)</f>
        <v>1</v>
      </c>
      <c r="V6" s="1">
        <f>+IF(Tabla__192.168.1.8_POSEIDONSQL_APPFVT_01_tblFillRateFechas[[#This Row],[Resultado]]=1,1,0)</f>
        <v>1</v>
      </c>
      <c r="W6" s="1" t="str">
        <f>+Tabla__192.168.1.8_POSEIDONSQL_APPFVT_01_tblFillRateFechas[[#This Row],[con_ocnumero]]&amp;Tabla__192.168.1.8_POSEIDONSQL_APPFVT_01_tblFillRateFechas[[#This Row],[con_codigounico]]</f>
        <v>5005141030177655</v>
      </c>
      <c r="X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" spans="1:24" x14ac:dyDescent="0.25">
      <c r="A7">
        <v>3</v>
      </c>
      <c r="B7" t="s">
        <v>50</v>
      </c>
      <c r="C7">
        <v>50052369</v>
      </c>
      <c r="D7" t="s">
        <v>425</v>
      </c>
      <c r="E7" t="s">
        <v>416</v>
      </c>
      <c r="F7" t="s">
        <v>426</v>
      </c>
      <c r="G7">
        <v>1</v>
      </c>
      <c r="H7">
        <v>1</v>
      </c>
      <c r="I7" t="s">
        <v>416</v>
      </c>
      <c r="J7">
        <v>0</v>
      </c>
      <c r="K7" t="s">
        <v>655</v>
      </c>
      <c r="L7">
        <f>+Tabla__192.168.1.8_POSEIDONSQL_APPFVT_01_tblFillRateFechas[[#This Row],[emb_cantidad]]-Tabla__192.168.1.8_POSEIDONSQL_APPFVT_01_tblFillRateFechas[[#This Row],[dev_cantidad]]</f>
        <v>1</v>
      </c>
      <c r="M7">
        <f>+IF(Tabla__192.168.1.8_POSEIDONSQL_APPFVT_01_tblFillRateFechas[[#This Row],[Cant_Resultante]]=Tabla__192.168.1.8_POSEIDONSQL_APPFVT_01_tblFillRateFechas[[#This Row],[cant_order]],1,0)</f>
        <v>1</v>
      </c>
      <c r="N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" s="1">
        <f>+IF(AND(Tabla__192.168.1.8_POSEIDONSQL_APPFVT_01_tblFillRateFechas[[#This Row],[Valida Cant]]=1,Tabla__192.168.1.8_POSEIDONSQL_APPFVT_01_tblFillRateFechas[[#This Row],[Valida Fec]]=1),1,0)</f>
        <v>1</v>
      </c>
      <c r="P7" s="1">
        <f>+(Tabla__192.168.1.8_POSEIDONSQL_APPFVT_01_tblFillRateFechas[[#This Row],[Cant_Resultante]]/Tabla__192.168.1.8_POSEIDONSQL_APPFVT_01_tblFillRateFechas[[#This Row],[cant_order]])*100</f>
        <v>100</v>
      </c>
      <c r="Q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" s="1">
        <f>+IF(Tabla__192.168.1.8_POSEIDONSQL_APPFVT_01_tblFillRateFechas[[#This Row],[cant_order]]&gt;0,1,0)</f>
        <v>1</v>
      </c>
      <c r="V7" s="1">
        <f>+IF(Tabla__192.168.1.8_POSEIDONSQL_APPFVT_01_tblFillRateFechas[[#This Row],[Resultado]]=1,1,0)</f>
        <v>1</v>
      </c>
      <c r="W7" s="1" t="str">
        <f>+Tabla__192.168.1.8_POSEIDONSQL_APPFVT_01_tblFillRateFechas[[#This Row],[con_ocnumero]]&amp;Tabla__192.168.1.8_POSEIDONSQL_APPFVT_01_tblFillRateFechas[[#This Row],[con_codigounico]]</f>
        <v>5005236930177806</v>
      </c>
      <c r="X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" spans="1:24" x14ac:dyDescent="0.25">
      <c r="A8">
        <v>3</v>
      </c>
      <c r="B8" t="s">
        <v>50</v>
      </c>
      <c r="C8">
        <v>50052250</v>
      </c>
      <c r="D8" t="s">
        <v>163</v>
      </c>
      <c r="E8" t="s">
        <v>415</v>
      </c>
      <c r="F8" t="s">
        <v>429</v>
      </c>
      <c r="G8">
        <v>1</v>
      </c>
      <c r="H8">
        <v>0</v>
      </c>
      <c r="I8" t="s">
        <v>12</v>
      </c>
      <c r="J8">
        <v>0</v>
      </c>
      <c r="K8" t="s">
        <v>871</v>
      </c>
      <c r="L8">
        <f>+Tabla__192.168.1.8_POSEIDONSQL_APPFVT_01_tblFillRateFechas[[#This Row],[emb_cantidad]]-Tabla__192.168.1.8_POSEIDONSQL_APPFVT_01_tblFillRateFechas[[#This Row],[dev_cantidad]]</f>
        <v>0</v>
      </c>
      <c r="M8">
        <f>+IF(Tabla__192.168.1.8_POSEIDONSQL_APPFVT_01_tblFillRateFechas[[#This Row],[Cant_Resultante]]=Tabla__192.168.1.8_POSEIDONSQL_APPFVT_01_tblFillRateFechas[[#This Row],[cant_order]],1,0)</f>
        <v>0</v>
      </c>
      <c r="N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" s="1">
        <f>+IF(AND(Tabla__192.168.1.8_POSEIDONSQL_APPFVT_01_tblFillRateFechas[[#This Row],[Valida Cant]]=1,Tabla__192.168.1.8_POSEIDONSQL_APPFVT_01_tblFillRateFechas[[#This Row],[Valida Fec]]=1),1,0)</f>
        <v>0</v>
      </c>
      <c r="P8" s="1">
        <f>+(Tabla__192.168.1.8_POSEIDONSQL_APPFVT_01_tblFillRateFechas[[#This Row],[Cant_Resultante]]/Tabla__192.168.1.8_POSEIDONSQL_APPFVT_01_tblFillRateFechas[[#This Row],[cant_order]])*100</f>
        <v>0</v>
      </c>
      <c r="Q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" s="1">
        <f>+IF(Tabla__192.168.1.8_POSEIDONSQL_APPFVT_01_tblFillRateFechas[[#This Row],[cant_order]]&gt;0,1,0)</f>
        <v>1</v>
      </c>
      <c r="V8" s="1">
        <f>+IF(Tabla__192.168.1.8_POSEIDONSQL_APPFVT_01_tblFillRateFechas[[#This Row],[Resultado]]=1,1,0)</f>
        <v>0</v>
      </c>
      <c r="W8" s="1" t="str">
        <f>+Tabla__192.168.1.8_POSEIDONSQL_APPFVT_01_tblFillRateFechas[[#This Row],[con_ocnumero]]&amp;Tabla__192.168.1.8_POSEIDONSQL_APPFVT_01_tblFillRateFechas[[#This Row],[con_codigounico]]</f>
        <v>5005225031594784</v>
      </c>
      <c r="X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" spans="1:24" x14ac:dyDescent="0.25">
      <c r="A9">
        <v>3</v>
      </c>
      <c r="B9" t="s">
        <v>50</v>
      </c>
      <c r="C9">
        <v>50052089</v>
      </c>
      <c r="D9" t="s">
        <v>161</v>
      </c>
      <c r="E9" t="s">
        <v>419</v>
      </c>
      <c r="F9" t="s">
        <v>1969</v>
      </c>
      <c r="G9">
        <v>1</v>
      </c>
      <c r="H9">
        <v>2</v>
      </c>
      <c r="I9" t="s">
        <v>415</v>
      </c>
      <c r="J9">
        <v>1</v>
      </c>
      <c r="K9" t="s">
        <v>1483</v>
      </c>
      <c r="L9">
        <f>+Tabla__192.168.1.8_POSEIDONSQL_APPFVT_01_tblFillRateFechas[[#This Row],[emb_cantidad]]-Tabla__192.168.1.8_POSEIDONSQL_APPFVT_01_tblFillRateFechas[[#This Row],[dev_cantidad]]</f>
        <v>1</v>
      </c>
      <c r="M9">
        <f>+IF(Tabla__192.168.1.8_POSEIDONSQL_APPFVT_01_tblFillRateFechas[[#This Row],[Cant_Resultante]]=Tabla__192.168.1.8_POSEIDONSQL_APPFVT_01_tblFillRateFechas[[#This Row],[cant_order]],1,0)</f>
        <v>1</v>
      </c>
      <c r="N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" s="1">
        <f>+IF(AND(Tabla__192.168.1.8_POSEIDONSQL_APPFVT_01_tblFillRateFechas[[#This Row],[Valida Cant]]=1,Tabla__192.168.1.8_POSEIDONSQL_APPFVT_01_tblFillRateFechas[[#This Row],[Valida Fec]]=1),1,0)</f>
        <v>1</v>
      </c>
      <c r="P9" s="1">
        <f>+(Tabla__192.168.1.8_POSEIDONSQL_APPFVT_01_tblFillRateFechas[[#This Row],[Cant_Resultante]]/Tabla__192.168.1.8_POSEIDONSQL_APPFVT_01_tblFillRateFechas[[#This Row],[cant_order]])*100</f>
        <v>100</v>
      </c>
      <c r="Q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" s="1">
        <f>+IF(Tabla__192.168.1.8_POSEIDONSQL_APPFVT_01_tblFillRateFechas[[#This Row],[cant_order]]&gt;0,1,0)</f>
        <v>1</v>
      </c>
      <c r="V9" s="1">
        <f>+IF(Tabla__192.168.1.8_POSEIDONSQL_APPFVT_01_tblFillRateFechas[[#This Row],[Resultado]]=1,1,0)</f>
        <v>1</v>
      </c>
      <c r="W9" s="1" t="str">
        <f>+Tabla__192.168.1.8_POSEIDONSQL_APPFVT_01_tblFillRateFechas[[#This Row],[con_ocnumero]]&amp;Tabla__192.168.1.8_POSEIDONSQL_APPFVT_01_tblFillRateFechas[[#This Row],[con_codigounico]]</f>
        <v>5005208932119059</v>
      </c>
      <c r="X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" spans="1:24" x14ac:dyDescent="0.25">
      <c r="A10">
        <v>3</v>
      </c>
      <c r="B10" t="s">
        <v>50</v>
      </c>
      <c r="C10">
        <v>50051550</v>
      </c>
      <c r="D10" t="s">
        <v>1970</v>
      </c>
      <c r="E10" t="s">
        <v>1969</v>
      </c>
      <c r="F10" t="s">
        <v>1971</v>
      </c>
      <c r="G10">
        <v>1</v>
      </c>
      <c r="H10">
        <v>1</v>
      </c>
      <c r="I10" t="s">
        <v>162</v>
      </c>
      <c r="J10">
        <v>0</v>
      </c>
      <c r="K10" t="s">
        <v>1132</v>
      </c>
      <c r="L10">
        <f>+Tabla__192.168.1.8_POSEIDONSQL_APPFVT_01_tblFillRateFechas[[#This Row],[emb_cantidad]]-Tabla__192.168.1.8_POSEIDONSQL_APPFVT_01_tblFillRateFechas[[#This Row],[dev_cantidad]]</f>
        <v>1</v>
      </c>
      <c r="M10">
        <f>+IF(Tabla__192.168.1.8_POSEIDONSQL_APPFVT_01_tblFillRateFechas[[#This Row],[Cant_Resultante]]=Tabla__192.168.1.8_POSEIDONSQL_APPFVT_01_tblFillRateFechas[[#This Row],[cant_order]],1,0)</f>
        <v>1</v>
      </c>
      <c r="N1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" s="1">
        <f>+IF(AND(Tabla__192.168.1.8_POSEIDONSQL_APPFVT_01_tblFillRateFechas[[#This Row],[Valida Cant]]=1,Tabla__192.168.1.8_POSEIDONSQL_APPFVT_01_tblFillRateFechas[[#This Row],[Valida Fec]]=1),1,0)</f>
        <v>1</v>
      </c>
      <c r="P10" s="1">
        <f>+(Tabla__192.168.1.8_POSEIDONSQL_APPFVT_01_tblFillRateFechas[[#This Row],[Cant_Resultante]]/Tabla__192.168.1.8_POSEIDONSQL_APPFVT_01_tblFillRateFechas[[#This Row],[cant_order]])*100</f>
        <v>100</v>
      </c>
      <c r="Q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" s="1">
        <f>+IF(Tabla__192.168.1.8_POSEIDONSQL_APPFVT_01_tblFillRateFechas[[#This Row],[cant_order]]&gt;0,1,0)</f>
        <v>1</v>
      </c>
      <c r="V10" s="1">
        <f>+IF(Tabla__192.168.1.8_POSEIDONSQL_APPFVT_01_tblFillRateFechas[[#This Row],[Resultado]]=1,1,0)</f>
        <v>1</v>
      </c>
      <c r="W10" s="1" t="str">
        <f>+Tabla__192.168.1.8_POSEIDONSQL_APPFVT_01_tblFillRateFechas[[#This Row],[con_ocnumero]]&amp;Tabla__192.168.1.8_POSEIDONSQL_APPFVT_01_tblFillRateFechas[[#This Row],[con_codigounico]]</f>
        <v>5005155033160742</v>
      </c>
      <c r="X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" spans="1:24" x14ac:dyDescent="0.25">
      <c r="A11">
        <v>3</v>
      </c>
      <c r="B11" t="s">
        <v>50</v>
      </c>
      <c r="C11">
        <v>50051795</v>
      </c>
      <c r="D11" t="s">
        <v>1962</v>
      </c>
      <c r="E11" t="s">
        <v>163</v>
      </c>
      <c r="F11" t="s">
        <v>1963</v>
      </c>
      <c r="G11">
        <v>1</v>
      </c>
      <c r="H11">
        <v>1</v>
      </c>
      <c r="I11" t="s">
        <v>161</v>
      </c>
      <c r="J11">
        <v>0</v>
      </c>
      <c r="K11" t="s">
        <v>564</v>
      </c>
      <c r="L11">
        <f>+Tabla__192.168.1.8_POSEIDONSQL_APPFVT_01_tblFillRateFechas[[#This Row],[emb_cantidad]]-Tabla__192.168.1.8_POSEIDONSQL_APPFVT_01_tblFillRateFechas[[#This Row],[dev_cantidad]]</f>
        <v>1</v>
      </c>
      <c r="M11">
        <f>+IF(Tabla__192.168.1.8_POSEIDONSQL_APPFVT_01_tblFillRateFechas[[#This Row],[Cant_Resultante]]=Tabla__192.168.1.8_POSEIDONSQL_APPFVT_01_tblFillRateFechas[[#This Row],[cant_order]],1,0)</f>
        <v>1</v>
      </c>
      <c r="N1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" s="1">
        <f>+IF(AND(Tabla__192.168.1.8_POSEIDONSQL_APPFVT_01_tblFillRateFechas[[#This Row],[Valida Cant]]=1,Tabla__192.168.1.8_POSEIDONSQL_APPFVT_01_tblFillRateFechas[[#This Row],[Valida Fec]]=1),1,0)</f>
        <v>1</v>
      </c>
      <c r="P11" s="1">
        <f>+(Tabla__192.168.1.8_POSEIDONSQL_APPFVT_01_tblFillRateFechas[[#This Row],[Cant_Resultante]]/Tabla__192.168.1.8_POSEIDONSQL_APPFVT_01_tblFillRateFechas[[#This Row],[cant_order]])*100</f>
        <v>100</v>
      </c>
      <c r="Q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" s="1">
        <f>+IF(Tabla__192.168.1.8_POSEIDONSQL_APPFVT_01_tblFillRateFechas[[#This Row],[cant_order]]&gt;0,1,0)</f>
        <v>1</v>
      </c>
      <c r="V11" s="1">
        <f>+IF(Tabla__192.168.1.8_POSEIDONSQL_APPFVT_01_tblFillRateFechas[[#This Row],[Resultado]]=1,1,0)</f>
        <v>1</v>
      </c>
      <c r="W11" s="1" t="str">
        <f>+Tabla__192.168.1.8_POSEIDONSQL_APPFVT_01_tblFillRateFechas[[#This Row],[con_ocnumero]]&amp;Tabla__192.168.1.8_POSEIDONSQL_APPFVT_01_tblFillRateFechas[[#This Row],[con_codigounico]]</f>
        <v>5005179533266718</v>
      </c>
      <c r="X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" spans="1:24" x14ac:dyDescent="0.25">
      <c r="A12">
        <v>3</v>
      </c>
      <c r="B12" t="s">
        <v>50</v>
      </c>
      <c r="C12">
        <v>50051940</v>
      </c>
      <c r="D12" t="s">
        <v>1963</v>
      </c>
      <c r="E12" t="s">
        <v>415</v>
      </c>
      <c r="F12" t="s">
        <v>162</v>
      </c>
      <c r="G12">
        <v>1</v>
      </c>
      <c r="H12">
        <v>3</v>
      </c>
      <c r="I12" t="s">
        <v>415</v>
      </c>
      <c r="J12">
        <v>2</v>
      </c>
      <c r="K12" t="s">
        <v>1284</v>
      </c>
      <c r="L12">
        <f>+Tabla__192.168.1.8_POSEIDONSQL_APPFVT_01_tblFillRateFechas[[#This Row],[emb_cantidad]]-Tabla__192.168.1.8_POSEIDONSQL_APPFVT_01_tblFillRateFechas[[#This Row],[dev_cantidad]]</f>
        <v>1</v>
      </c>
      <c r="M12">
        <f>+IF(Tabla__192.168.1.8_POSEIDONSQL_APPFVT_01_tblFillRateFechas[[#This Row],[Cant_Resultante]]=Tabla__192.168.1.8_POSEIDONSQL_APPFVT_01_tblFillRateFechas[[#This Row],[cant_order]],1,0)</f>
        <v>1</v>
      </c>
      <c r="N1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" s="1">
        <f>+IF(AND(Tabla__192.168.1.8_POSEIDONSQL_APPFVT_01_tblFillRateFechas[[#This Row],[Valida Cant]]=1,Tabla__192.168.1.8_POSEIDONSQL_APPFVT_01_tblFillRateFechas[[#This Row],[Valida Fec]]=1),1,0)</f>
        <v>1</v>
      </c>
      <c r="P12" s="1">
        <f>+(Tabla__192.168.1.8_POSEIDONSQL_APPFVT_01_tblFillRateFechas[[#This Row],[Cant_Resultante]]/Tabla__192.168.1.8_POSEIDONSQL_APPFVT_01_tblFillRateFechas[[#This Row],[cant_order]])*100</f>
        <v>100</v>
      </c>
      <c r="Q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" s="1">
        <f>+IF(Tabla__192.168.1.8_POSEIDONSQL_APPFVT_01_tblFillRateFechas[[#This Row],[cant_order]]&gt;0,1,0)</f>
        <v>1</v>
      </c>
      <c r="V12" s="1">
        <f>+IF(Tabla__192.168.1.8_POSEIDONSQL_APPFVT_01_tblFillRateFechas[[#This Row],[Resultado]]=1,1,0)</f>
        <v>1</v>
      </c>
      <c r="W12" s="1" t="str">
        <f>+Tabla__192.168.1.8_POSEIDONSQL_APPFVT_01_tblFillRateFechas[[#This Row],[con_ocnumero]]&amp;Tabla__192.168.1.8_POSEIDONSQL_APPFVT_01_tblFillRateFechas[[#This Row],[con_codigounico]]</f>
        <v>5005194033266755</v>
      </c>
      <c r="X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" spans="1:24" x14ac:dyDescent="0.25">
      <c r="A13">
        <v>3</v>
      </c>
      <c r="B13" t="s">
        <v>50</v>
      </c>
      <c r="C13">
        <v>50052250</v>
      </c>
      <c r="D13" t="s">
        <v>163</v>
      </c>
      <c r="E13" t="s">
        <v>422</v>
      </c>
      <c r="F13" t="s">
        <v>429</v>
      </c>
      <c r="G13">
        <v>1</v>
      </c>
      <c r="H13">
        <v>1</v>
      </c>
      <c r="I13" s="17" t="s">
        <v>422</v>
      </c>
      <c r="J13">
        <v>0</v>
      </c>
      <c r="K13" t="s">
        <v>875</v>
      </c>
      <c r="L13">
        <f>+Tabla__192.168.1.8_POSEIDONSQL_APPFVT_01_tblFillRateFechas[[#This Row],[emb_cantidad]]-Tabla__192.168.1.8_POSEIDONSQL_APPFVT_01_tblFillRateFechas[[#This Row],[dev_cantidad]]</f>
        <v>1</v>
      </c>
      <c r="M13">
        <f>+IF(Tabla__192.168.1.8_POSEIDONSQL_APPFVT_01_tblFillRateFechas[[#This Row],[Cant_Resultante]]=Tabla__192.168.1.8_POSEIDONSQL_APPFVT_01_tblFillRateFechas[[#This Row],[cant_order]],1,0)</f>
        <v>1</v>
      </c>
      <c r="N1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" s="1">
        <f>+IF(AND(Tabla__192.168.1.8_POSEIDONSQL_APPFVT_01_tblFillRateFechas[[#This Row],[Valida Cant]]=1,Tabla__192.168.1.8_POSEIDONSQL_APPFVT_01_tblFillRateFechas[[#This Row],[Valida Fec]]=1),1,0)</f>
        <v>1</v>
      </c>
      <c r="P13" s="1">
        <f>+(Tabla__192.168.1.8_POSEIDONSQL_APPFVT_01_tblFillRateFechas[[#This Row],[Cant_Resultante]]/Tabla__192.168.1.8_POSEIDONSQL_APPFVT_01_tblFillRateFechas[[#This Row],[cant_order]])*100</f>
        <v>100</v>
      </c>
      <c r="Q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" s="1">
        <f>+IF(Tabla__192.168.1.8_POSEIDONSQL_APPFVT_01_tblFillRateFechas[[#This Row],[cant_order]]&gt;0,1,0)</f>
        <v>1</v>
      </c>
      <c r="V13" s="1">
        <f>+IF(Tabla__192.168.1.8_POSEIDONSQL_APPFVT_01_tblFillRateFechas[[#This Row],[Resultado]]=1,1,0)</f>
        <v>1</v>
      </c>
      <c r="W13" s="1" t="str">
        <f>+Tabla__192.168.1.8_POSEIDONSQL_APPFVT_01_tblFillRateFechas[[#This Row],[con_ocnumero]]&amp;Tabla__192.168.1.8_POSEIDONSQL_APPFVT_01_tblFillRateFechas[[#This Row],[con_codigounico]]</f>
        <v>5005225033266846</v>
      </c>
      <c r="X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" spans="1:24" x14ac:dyDescent="0.25">
      <c r="A14">
        <v>3</v>
      </c>
      <c r="B14" t="s">
        <v>50</v>
      </c>
      <c r="C14">
        <v>50052296</v>
      </c>
      <c r="D14" t="s">
        <v>429</v>
      </c>
      <c r="E14" t="s">
        <v>419</v>
      </c>
      <c r="F14" t="s">
        <v>427</v>
      </c>
      <c r="G14">
        <v>1</v>
      </c>
      <c r="H14">
        <v>1</v>
      </c>
      <c r="I14" s="17" t="s">
        <v>422</v>
      </c>
      <c r="J14">
        <v>0</v>
      </c>
      <c r="K14" t="s">
        <v>868</v>
      </c>
      <c r="L14">
        <f>+Tabla__192.168.1.8_POSEIDONSQL_APPFVT_01_tblFillRateFechas[[#This Row],[emb_cantidad]]-Tabla__192.168.1.8_POSEIDONSQL_APPFVT_01_tblFillRateFechas[[#This Row],[dev_cantidad]]</f>
        <v>1</v>
      </c>
      <c r="M14">
        <f>+IF(Tabla__192.168.1.8_POSEIDONSQL_APPFVT_01_tblFillRateFechas[[#This Row],[Cant_Resultante]]=Tabla__192.168.1.8_POSEIDONSQL_APPFVT_01_tblFillRateFechas[[#This Row],[cant_order]],1,0)</f>
        <v>1</v>
      </c>
      <c r="N1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" s="1">
        <f>+IF(AND(Tabla__192.168.1.8_POSEIDONSQL_APPFVT_01_tblFillRateFechas[[#This Row],[Valida Cant]]=1,Tabla__192.168.1.8_POSEIDONSQL_APPFVT_01_tblFillRateFechas[[#This Row],[Valida Fec]]=1),1,0)</f>
        <v>1</v>
      </c>
      <c r="P14" s="1">
        <f>+(Tabla__192.168.1.8_POSEIDONSQL_APPFVT_01_tblFillRateFechas[[#This Row],[Cant_Resultante]]/Tabla__192.168.1.8_POSEIDONSQL_APPFVT_01_tblFillRateFechas[[#This Row],[cant_order]])*100</f>
        <v>100</v>
      </c>
      <c r="Q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" s="1">
        <f>+IF(Tabla__192.168.1.8_POSEIDONSQL_APPFVT_01_tblFillRateFechas[[#This Row],[cant_order]]&gt;0,1,0)</f>
        <v>1</v>
      </c>
      <c r="V14" s="1">
        <f>+IF(Tabla__192.168.1.8_POSEIDONSQL_APPFVT_01_tblFillRateFechas[[#This Row],[Resultado]]=1,1,0)</f>
        <v>1</v>
      </c>
      <c r="W14" s="1" t="str">
        <f>+Tabla__192.168.1.8_POSEIDONSQL_APPFVT_01_tblFillRateFechas[[#This Row],[con_ocnumero]]&amp;Tabla__192.168.1.8_POSEIDONSQL_APPFVT_01_tblFillRateFechas[[#This Row],[con_codigounico]]</f>
        <v>5005229633266860</v>
      </c>
      <c r="X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" spans="1:24" x14ac:dyDescent="0.25">
      <c r="A15">
        <v>3</v>
      </c>
      <c r="B15" t="s">
        <v>50</v>
      </c>
      <c r="C15">
        <v>50051940</v>
      </c>
      <c r="D15" t="s">
        <v>1963</v>
      </c>
      <c r="E15" t="s">
        <v>425</v>
      </c>
      <c r="F15" t="s">
        <v>162</v>
      </c>
      <c r="G15">
        <v>1</v>
      </c>
      <c r="H15">
        <v>3</v>
      </c>
      <c r="I15" s="17" t="s">
        <v>415</v>
      </c>
      <c r="J15">
        <v>2</v>
      </c>
      <c r="K15" t="s">
        <v>1187</v>
      </c>
      <c r="L15">
        <f>+Tabla__192.168.1.8_POSEIDONSQL_APPFVT_01_tblFillRateFechas[[#This Row],[emb_cantidad]]-Tabla__192.168.1.8_POSEIDONSQL_APPFVT_01_tblFillRateFechas[[#This Row],[dev_cantidad]]</f>
        <v>1</v>
      </c>
      <c r="M15">
        <f>+IF(Tabla__192.168.1.8_POSEIDONSQL_APPFVT_01_tblFillRateFechas[[#This Row],[Cant_Resultante]]=Tabla__192.168.1.8_POSEIDONSQL_APPFVT_01_tblFillRateFechas[[#This Row],[cant_order]],1,0)</f>
        <v>1</v>
      </c>
      <c r="N1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5" s="1">
        <f>+IF(AND(Tabla__192.168.1.8_POSEIDONSQL_APPFVT_01_tblFillRateFechas[[#This Row],[Valida Cant]]=1,Tabla__192.168.1.8_POSEIDONSQL_APPFVT_01_tblFillRateFechas[[#This Row],[Valida Fec]]=1),1,0)</f>
        <v>0</v>
      </c>
      <c r="P15" s="1">
        <f>+(Tabla__192.168.1.8_POSEIDONSQL_APPFVT_01_tblFillRateFechas[[#This Row],[Cant_Resultante]]/Tabla__192.168.1.8_POSEIDONSQL_APPFVT_01_tblFillRateFechas[[#This Row],[cant_order]])*100</f>
        <v>100</v>
      </c>
      <c r="Q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" s="1">
        <f>+IF(Tabla__192.168.1.8_POSEIDONSQL_APPFVT_01_tblFillRateFechas[[#This Row],[cant_order]]&gt;0,1,0)</f>
        <v>1</v>
      </c>
      <c r="V15" s="1">
        <f>+IF(Tabla__192.168.1.8_POSEIDONSQL_APPFVT_01_tblFillRateFechas[[#This Row],[Resultado]]=1,1,0)</f>
        <v>0</v>
      </c>
      <c r="W15" s="1" t="str">
        <f>+Tabla__192.168.1.8_POSEIDONSQL_APPFVT_01_tblFillRateFechas[[#This Row],[con_ocnumero]]&amp;Tabla__192.168.1.8_POSEIDONSQL_APPFVT_01_tblFillRateFechas[[#This Row],[con_codigounico]]</f>
        <v>5005194033281826</v>
      </c>
      <c r="X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" spans="1:24" x14ac:dyDescent="0.25">
      <c r="A16">
        <v>3</v>
      </c>
      <c r="B16" t="s">
        <v>50</v>
      </c>
      <c r="C16">
        <v>50050998</v>
      </c>
      <c r="D16" t="s">
        <v>12</v>
      </c>
      <c r="E16" t="s">
        <v>1971</v>
      </c>
      <c r="F16" t="s">
        <v>12</v>
      </c>
      <c r="G16">
        <v>1</v>
      </c>
      <c r="H16">
        <v>1</v>
      </c>
      <c r="I16" s="17" t="s">
        <v>1967</v>
      </c>
      <c r="J16">
        <v>0</v>
      </c>
      <c r="K16" t="s">
        <v>440</v>
      </c>
      <c r="L16">
        <f>+Tabla__192.168.1.8_POSEIDONSQL_APPFVT_01_tblFillRateFechas[[#This Row],[emb_cantidad]]-Tabla__192.168.1.8_POSEIDONSQL_APPFVT_01_tblFillRateFechas[[#This Row],[dev_cantidad]]</f>
        <v>1</v>
      </c>
      <c r="M16">
        <f>+IF(Tabla__192.168.1.8_POSEIDONSQL_APPFVT_01_tblFillRateFechas[[#This Row],[Cant_Resultante]]=Tabla__192.168.1.8_POSEIDONSQL_APPFVT_01_tblFillRateFechas[[#This Row],[cant_order]],1,0)</f>
        <v>1</v>
      </c>
      <c r="N1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" s="1">
        <f>+IF(AND(Tabla__192.168.1.8_POSEIDONSQL_APPFVT_01_tblFillRateFechas[[#This Row],[Valida Cant]]=1,Tabla__192.168.1.8_POSEIDONSQL_APPFVT_01_tblFillRateFechas[[#This Row],[Valida Fec]]=1),1,0)</f>
        <v>1</v>
      </c>
      <c r="P16" s="1">
        <f>+(Tabla__192.168.1.8_POSEIDONSQL_APPFVT_01_tblFillRateFechas[[#This Row],[Cant_Resultante]]/Tabla__192.168.1.8_POSEIDONSQL_APPFVT_01_tblFillRateFechas[[#This Row],[cant_order]])*100</f>
        <v>100</v>
      </c>
      <c r="Q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" s="1">
        <f>+IF(Tabla__192.168.1.8_POSEIDONSQL_APPFVT_01_tblFillRateFechas[[#This Row],[cant_order]]&gt;0,1,0)</f>
        <v>1</v>
      </c>
      <c r="V16" s="1">
        <f>+IF(Tabla__192.168.1.8_POSEIDONSQL_APPFVT_01_tblFillRateFechas[[#This Row],[Resultado]]=1,1,0)</f>
        <v>1</v>
      </c>
      <c r="W16" s="1" t="str">
        <f>+Tabla__192.168.1.8_POSEIDONSQL_APPFVT_01_tblFillRateFechas[[#This Row],[con_ocnumero]]&amp;Tabla__192.168.1.8_POSEIDONSQL_APPFVT_01_tblFillRateFechas[[#This Row],[con_codigounico]]</f>
        <v>5005099833695004</v>
      </c>
      <c r="X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" spans="1:24" x14ac:dyDescent="0.25">
      <c r="A17">
        <v>3</v>
      </c>
      <c r="B17" t="s">
        <v>50</v>
      </c>
      <c r="C17">
        <v>50051048</v>
      </c>
      <c r="D17" t="s">
        <v>12</v>
      </c>
      <c r="E17" t="s">
        <v>1971</v>
      </c>
      <c r="F17" t="s">
        <v>1972</v>
      </c>
      <c r="G17">
        <v>1</v>
      </c>
      <c r="H17">
        <v>1</v>
      </c>
      <c r="I17" t="s">
        <v>1967</v>
      </c>
      <c r="J17">
        <v>0</v>
      </c>
      <c r="K17" t="s">
        <v>445</v>
      </c>
      <c r="L17">
        <f>+Tabla__192.168.1.8_POSEIDONSQL_APPFVT_01_tblFillRateFechas[[#This Row],[emb_cantidad]]-Tabla__192.168.1.8_POSEIDONSQL_APPFVT_01_tblFillRateFechas[[#This Row],[dev_cantidad]]</f>
        <v>1</v>
      </c>
      <c r="M17">
        <f>+IF(Tabla__192.168.1.8_POSEIDONSQL_APPFVT_01_tblFillRateFechas[[#This Row],[Cant_Resultante]]=Tabla__192.168.1.8_POSEIDONSQL_APPFVT_01_tblFillRateFechas[[#This Row],[cant_order]],1,0)</f>
        <v>1</v>
      </c>
      <c r="N1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" s="1">
        <f>+IF(AND(Tabla__192.168.1.8_POSEIDONSQL_APPFVT_01_tblFillRateFechas[[#This Row],[Valida Cant]]=1,Tabla__192.168.1.8_POSEIDONSQL_APPFVT_01_tblFillRateFechas[[#This Row],[Valida Fec]]=1),1,0)</f>
        <v>1</v>
      </c>
      <c r="P17" s="1">
        <f>+(Tabla__192.168.1.8_POSEIDONSQL_APPFVT_01_tblFillRateFechas[[#This Row],[Cant_Resultante]]/Tabla__192.168.1.8_POSEIDONSQL_APPFVT_01_tblFillRateFechas[[#This Row],[cant_order]])*100</f>
        <v>100</v>
      </c>
      <c r="Q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" s="1">
        <f>+IF(Tabla__192.168.1.8_POSEIDONSQL_APPFVT_01_tblFillRateFechas[[#This Row],[cant_order]]&gt;0,1,0)</f>
        <v>1</v>
      </c>
      <c r="V17" s="1">
        <f>+IF(Tabla__192.168.1.8_POSEIDONSQL_APPFVT_01_tblFillRateFechas[[#This Row],[Resultado]]=1,1,0)</f>
        <v>1</v>
      </c>
      <c r="W17" s="1" t="str">
        <f>+Tabla__192.168.1.8_POSEIDONSQL_APPFVT_01_tblFillRateFechas[[#This Row],[con_ocnumero]]&amp;Tabla__192.168.1.8_POSEIDONSQL_APPFVT_01_tblFillRateFechas[[#This Row],[con_codigounico]]</f>
        <v>5005104833695046</v>
      </c>
      <c r="X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" spans="1:24" x14ac:dyDescent="0.25">
      <c r="A18">
        <v>3</v>
      </c>
      <c r="B18" t="s">
        <v>50</v>
      </c>
      <c r="C18">
        <v>50051889</v>
      </c>
      <c r="D18" t="s">
        <v>1973</v>
      </c>
      <c r="E18" t="s">
        <v>415</v>
      </c>
      <c r="F18" t="s">
        <v>1963</v>
      </c>
      <c r="G18">
        <v>1</v>
      </c>
      <c r="H18">
        <v>1</v>
      </c>
      <c r="I18" t="s">
        <v>161</v>
      </c>
      <c r="J18">
        <v>0</v>
      </c>
      <c r="K18" t="s">
        <v>560</v>
      </c>
      <c r="L18">
        <f>+Tabla__192.168.1.8_POSEIDONSQL_APPFVT_01_tblFillRateFechas[[#This Row],[emb_cantidad]]-Tabla__192.168.1.8_POSEIDONSQL_APPFVT_01_tblFillRateFechas[[#This Row],[dev_cantidad]]</f>
        <v>1</v>
      </c>
      <c r="M18">
        <f>+IF(Tabla__192.168.1.8_POSEIDONSQL_APPFVT_01_tblFillRateFechas[[#This Row],[Cant_Resultante]]=Tabla__192.168.1.8_POSEIDONSQL_APPFVT_01_tblFillRateFechas[[#This Row],[cant_order]],1,0)</f>
        <v>1</v>
      </c>
      <c r="N1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" s="1">
        <f>+IF(AND(Tabla__192.168.1.8_POSEIDONSQL_APPFVT_01_tblFillRateFechas[[#This Row],[Valida Cant]]=1,Tabla__192.168.1.8_POSEIDONSQL_APPFVT_01_tblFillRateFechas[[#This Row],[Valida Fec]]=1),1,0)</f>
        <v>1</v>
      </c>
      <c r="P18" s="1">
        <f>+(Tabla__192.168.1.8_POSEIDONSQL_APPFVT_01_tblFillRateFechas[[#This Row],[Cant_Resultante]]/Tabla__192.168.1.8_POSEIDONSQL_APPFVT_01_tblFillRateFechas[[#This Row],[cant_order]])*100</f>
        <v>100</v>
      </c>
      <c r="Q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" s="1">
        <f>+IF(Tabla__192.168.1.8_POSEIDONSQL_APPFVT_01_tblFillRateFechas[[#This Row],[cant_order]]&gt;0,1,0)</f>
        <v>1</v>
      </c>
      <c r="V18" s="1">
        <f>+IF(Tabla__192.168.1.8_POSEIDONSQL_APPFVT_01_tblFillRateFechas[[#This Row],[Resultado]]=1,1,0)</f>
        <v>1</v>
      </c>
      <c r="W18" s="1" t="str">
        <f>+Tabla__192.168.1.8_POSEIDONSQL_APPFVT_01_tblFillRateFechas[[#This Row],[con_ocnumero]]&amp;Tabla__192.168.1.8_POSEIDONSQL_APPFVT_01_tblFillRateFechas[[#This Row],[con_codigounico]]</f>
        <v>5005188933774992</v>
      </c>
      <c r="X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" spans="1:24" x14ac:dyDescent="0.25">
      <c r="A19">
        <v>3</v>
      </c>
      <c r="B19" t="s">
        <v>50</v>
      </c>
      <c r="C19">
        <v>50051209</v>
      </c>
      <c r="D19" t="s">
        <v>1974</v>
      </c>
      <c r="E19" t="s">
        <v>1965</v>
      </c>
      <c r="F19" t="s">
        <v>1975</v>
      </c>
      <c r="G19">
        <v>1</v>
      </c>
      <c r="H19">
        <v>1</v>
      </c>
      <c r="I19" t="s">
        <v>1967</v>
      </c>
      <c r="J19">
        <v>0</v>
      </c>
      <c r="K19" t="s">
        <v>720</v>
      </c>
      <c r="L19">
        <f>+Tabla__192.168.1.8_POSEIDONSQL_APPFVT_01_tblFillRateFechas[[#This Row],[emb_cantidad]]-Tabla__192.168.1.8_POSEIDONSQL_APPFVT_01_tblFillRateFechas[[#This Row],[dev_cantidad]]</f>
        <v>1</v>
      </c>
      <c r="M19">
        <f>+IF(Tabla__192.168.1.8_POSEIDONSQL_APPFVT_01_tblFillRateFechas[[#This Row],[Cant_Resultante]]=Tabla__192.168.1.8_POSEIDONSQL_APPFVT_01_tblFillRateFechas[[#This Row],[cant_order]],1,0)</f>
        <v>1</v>
      </c>
      <c r="N1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" s="1">
        <f>+IF(AND(Tabla__192.168.1.8_POSEIDONSQL_APPFVT_01_tblFillRateFechas[[#This Row],[Valida Cant]]=1,Tabla__192.168.1.8_POSEIDONSQL_APPFVT_01_tblFillRateFechas[[#This Row],[Valida Fec]]=1),1,0)</f>
        <v>1</v>
      </c>
      <c r="P19" s="1">
        <f>+(Tabla__192.168.1.8_POSEIDONSQL_APPFVT_01_tblFillRateFechas[[#This Row],[Cant_Resultante]]/Tabla__192.168.1.8_POSEIDONSQL_APPFVT_01_tblFillRateFechas[[#This Row],[cant_order]])*100</f>
        <v>100</v>
      </c>
      <c r="Q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" s="1">
        <f>+IF(Tabla__192.168.1.8_POSEIDONSQL_APPFVT_01_tblFillRateFechas[[#This Row],[cant_order]]&gt;0,1,0)</f>
        <v>1</v>
      </c>
      <c r="V19" s="1">
        <f>+IF(Tabla__192.168.1.8_POSEIDONSQL_APPFVT_01_tblFillRateFechas[[#This Row],[Resultado]]=1,1,0)</f>
        <v>1</v>
      </c>
      <c r="W19" s="1" t="str">
        <f>+Tabla__192.168.1.8_POSEIDONSQL_APPFVT_01_tblFillRateFechas[[#This Row],[con_ocnumero]]&amp;Tabla__192.168.1.8_POSEIDONSQL_APPFVT_01_tblFillRateFechas[[#This Row],[con_codigounico]]</f>
        <v>5005120933791108</v>
      </c>
      <c r="X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" spans="1:24" x14ac:dyDescent="0.25">
      <c r="A20">
        <v>3</v>
      </c>
      <c r="B20" t="s">
        <v>50</v>
      </c>
      <c r="C20">
        <v>50052369</v>
      </c>
      <c r="D20" t="s">
        <v>425</v>
      </c>
      <c r="E20" t="s">
        <v>416</v>
      </c>
      <c r="F20" t="s">
        <v>426</v>
      </c>
      <c r="G20">
        <v>1</v>
      </c>
      <c r="H20">
        <v>1</v>
      </c>
      <c r="I20" t="s">
        <v>416</v>
      </c>
      <c r="J20">
        <v>0</v>
      </c>
      <c r="K20" t="s">
        <v>652</v>
      </c>
      <c r="L20">
        <f>+Tabla__192.168.1.8_POSEIDONSQL_APPFVT_01_tblFillRateFechas[[#This Row],[emb_cantidad]]-Tabla__192.168.1.8_POSEIDONSQL_APPFVT_01_tblFillRateFechas[[#This Row],[dev_cantidad]]</f>
        <v>1</v>
      </c>
      <c r="M20">
        <f>+IF(Tabla__192.168.1.8_POSEIDONSQL_APPFVT_01_tblFillRateFechas[[#This Row],[Cant_Resultante]]=Tabla__192.168.1.8_POSEIDONSQL_APPFVT_01_tblFillRateFechas[[#This Row],[cant_order]],1,0)</f>
        <v>1</v>
      </c>
      <c r="N2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" s="1">
        <f>+IF(AND(Tabla__192.168.1.8_POSEIDONSQL_APPFVT_01_tblFillRateFechas[[#This Row],[Valida Cant]]=1,Tabla__192.168.1.8_POSEIDONSQL_APPFVT_01_tblFillRateFechas[[#This Row],[Valida Fec]]=1),1,0)</f>
        <v>1</v>
      </c>
      <c r="P20" s="1">
        <f>+(Tabla__192.168.1.8_POSEIDONSQL_APPFVT_01_tblFillRateFechas[[#This Row],[Cant_Resultante]]/Tabla__192.168.1.8_POSEIDONSQL_APPFVT_01_tblFillRateFechas[[#This Row],[cant_order]])*100</f>
        <v>100</v>
      </c>
      <c r="Q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" s="1">
        <f>+IF(Tabla__192.168.1.8_POSEIDONSQL_APPFVT_01_tblFillRateFechas[[#This Row],[cant_order]]&gt;0,1,0)</f>
        <v>1</v>
      </c>
      <c r="V20" s="1">
        <f>+IF(Tabla__192.168.1.8_POSEIDONSQL_APPFVT_01_tblFillRateFechas[[#This Row],[Resultado]]=1,1,0)</f>
        <v>1</v>
      </c>
      <c r="W20" s="1" t="str">
        <f>+Tabla__192.168.1.8_POSEIDONSQL_APPFVT_01_tblFillRateFechas[[#This Row],[con_ocnumero]]&amp;Tabla__192.168.1.8_POSEIDONSQL_APPFVT_01_tblFillRateFechas[[#This Row],[con_codigounico]]</f>
        <v>5005236933847563</v>
      </c>
      <c r="X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" spans="1:24" x14ac:dyDescent="0.25">
      <c r="A21">
        <v>3</v>
      </c>
      <c r="B21" t="s">
        <v>50</v>
      </c>
      <c r="C21">
        <v>50051148</v>
      </c>
      <c r="D21" t="s">
        <v>1976</v>
      </c>
      <c r="E21" t="s">
        <v>1977</v>
      </c>
      <c r="F21" t="s">
        <v>1975</v>
      </c>
      <c r="G21">
        <v>1</v>
      </c>
      <c r="H21">
        <v>2</v>
      </c>
      <c r="I21" t="s">
        <v>1965</v>
      </c>
      <c r="J21">
        <v>1</v>
      </c>
      <c r="K21" t="s">
        <v>1041</v>
      </c>
      <c r="L21">
        <f>+Tabla__192.168.1.8_POSEIDONSQL_APPFVT_01_tblFillRateFechas[[#This Row],[emb_cantidad]]-Tabla__192.168.1.8_POSEIDONSQL_APPFVT_01_tblFillRateFechas[[#This Row],[dev_cantidad]]</f>
        <v>1</v>
      </c>
      <c r="M21">
        <f>+IF(Tabla__192.168.1.8_POSEIDONSQL_APPFVT_01_tblFillRateFechas[[#This Row],[Cant_Resultante]]=Tabla__192.168.1.8_POSEIDONSQL_APPFVT_01_tblFillRateFechas[[#This Row],[cant_order]],1,0)</f>
        <v>1</v>
      </c>
      <c r="N2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" s="1">
        <f>+IF(AND(Tabla__192.168.1.8_POSEIDONSQL_APPFVT_01_tblFillRateFechas[[#This Row],[Valida Cant]]=1,Tabla__192.168.1.8_POSEIDONSQL_APPFVT_01_tblFillRateFechas[[#This Row],[Valida Fec]]=1),1,0)</f>
        <v>1</v>
      </c>
      <c r="P21" s="1">
        <f>+(Tabla__192.168.1.8_POSEIDONSQL_APPFVT_01_tblFillRateFechas[[#This Row],[Cant_Resultante]]/Tabla__192.168.1.8_POSEIDONSQL_APPFVT_01_tblFillRateFechas[[#This Row],[cant_order]])*100</f>
        <v>100</v>
      </c>
      <c r="Q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" s="1">
        <f>+IF(Tabla__192.168.1.8_POSEIDONSQL_APPFVT_01_tblFillRateFechas[[#This Row],[cant_order]]&gt;0,1,0)</f>
        <v>1</v>
      </c>
      <c r="V21" s="1">
        <f>+IF(Tabla__192.168.1.8_POSEIDONSQL_APPFVT_01_tblFillRateFechas[[#This Row],[Resultado]]=1,1,0)</f>
        <v>1</v>
      </c>
      <c r="W21" s="1" t="str">
        <f>+Tabla__192.168.1.8_POSEIDONSQL_APPFVT_01_tblFillRateFechas[[#This Row],[con_ocnumero]]&amp;Tabla__192.168.1.8_POSEIDONSQL_APPFVT_01_tblFillRateFechas[[#This Row],[con_codigounico]]</f>
        <v>5005114834054610</v>
      </c>
      <c r="X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" spans="1:24" x14ac:dyDescent="0.25">
      <c r="A22">
        <v>3</v>
      </c>
      <c r="B22" t="s">
        <v>50</v>
      </c>
      <c r="C22">
        <v>50051148</v>
      </c>
      <c r="D22" t="s">
        <v>1976</v>
      </c>
      <c r="E22" t="s">
        <v>1971</v>
      </c>
      <c r="F22" t="s">
        <v>1975</v>
      </c>
      <c r="G22">
        <v>1</v>
      </c>
      <c r="H22">
        <v>1</v>
      </c>
      <c r="I22" t="s">
        <v>1967</v>
      </c>
      <c r="J22">
        <v>0</v>
      </c>
      <c r="K22" t="s">
        <v>713</v>
      </c>
      <c r="L22">
        <f>+Tabla__192.168.1.8_POSEIDONSQL_APPFVT_01_tblFillRateFechas[[#This Row],[emb_cantidad]]-Tabla__192.168.1.8_POSEIDONSQL_APPFVT_01_tblFillRateFechas[[#This Row],[dev_cantidad]]</f>
        <v>1</v>
      </c>
      <c r="M22">
        <f>+IF(Tabla__192.168.1.8_POSEIDONSQL_APPFVT_01_tblFillRateFechas[[#This Row],[Cant_Resultante]]=Tabla__192.168.1.8_POSEIDONSQL_APPFVT_01_tblFillRateFechas[[#This Row],[cant_order]],1,0)</f>
        <v>1</v>
      </c>
      <c r="N2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" s="1">
        <f>+IF(AND(Tabla__192.168.1.8_POSEIDONSQL_APPFVT_01_tblFillRateFechas[[#This Row],[Valida Cant]]=1,Tabla__192.168.1.8_POSEIDONSQL_APPFVT_01_tblFillRateFechas[[#This Row],[Valida Fec]]=1),1,0)</f>
        <v>1</v>
      </c>
      <c r="P22" s="1">
        <f>+(Tabla__192.168.1.8_POSEIDONSQL_APPFVT_01_tblFillRateFechas[[#This Row],[Cant_Resultante]]/Tabla__192.168.1.8_POSEIDONSQL_APPFVT_01_tblFillRateFechas[[#This Row],[cant_order]])*100</f>
        <v>100</v>
      </c>
      <c r="Q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" s="1">
        <f>+IF(Tabla__192.168.1.8_POSEIDONSQL_APPFVT_01_tblFillRateFechas[[#This Row],[cant_order]]&gt;0,1,0)</f>
        <v>1</v>
      </c>
      <c r="V22" s="1">
        <f>+IF(Tabla__192.168.1.8_POSEIDONSQL_APPFVT_01_tblFillRateFechas[[#This Row],[Resultado]]=1,1,0)</f>
        <v>1</v>
      </c>
      <c r="W22" s="1" t="str">
        <f>+Tabla__192.168.1.8_POSEIDONSQL_APPFVT_01_tblFillRateFechas[[#This Row],[con_ocnumero]]&amp;Tabla__192.168.1.8_POSEIDONSQL_APPFVT_01_tblFillRateFechas[[#This Row],[con_codigounico]]</f>
        <v>5005114834054621</v>
      </c>
      <c r="X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" spans="1:24" x14ac:dyDescent="0.25">
      <c r="A23">
        <v>3</v>
      </c>
      <c r="B23" t="s">
        <v>50</v>
      </c>
      <c r="C23">
        <v>50051311</v>
      </c>
      <c r="D23" t="s">
        <v>1978</v>
      </c>
      <c r="E23" t="s">
        <v>1962</v>
      </c>
      <c r="F23" t="s">
        <v>1979</v>
      </c>
      <c r="G23">
        <v>1</v>
      </c>
      <c r="H23">
        <v>1</v>
      </c>
      <c r="I23" t="s">
        <v>1965</v>
      </c>
      <c r="J23">
        <v>0</v>
      </c>
      <c r="K23" t="s">
        <v>1954</v>
      </c>
      <c r="L23">
        <f>+Tabla__192.168.1.8_POSEIDONSQL_APPFVT_01_tblFillRateFechas[[#This Row],[emb_cantidad]]-Tabla__192.168.1.8_POSEIDONSQL_APPFVT_01_tblFillRateFechas[[#This Row],[dev_cantidad]]</f>
        <v>1</v>
      </c>
      <c r="M23">
        <f>+IF(Tabla__192.168.1.8_POSEIDONSQL_APPFVT_01_tblFillRateFechas[[#This Row],[Cant_Resultante]]=Tabla__192.168.1.8_POSEIDONSQL_APPFVT_01_tblFillRateFechas[[#This Row],[cant_order]],1,0)</f>
        <v>1</v>
      </c>
      <c r="N2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" s="1">
        <f>+IF(AND(Tabla__192.168.1.8_POSEIDONSQL_APPFVT_01_tblFillRateFechas[[#This Row],[Valida Cant]]=1,Tabla__192.168.1.8_POSEIDONSQL_APPFVT_01_tblFillRateFechas[[#This Row],[Valida Fec]]=1),1,0)</f>
        <v>1</v>
      </c>
      <c r="P23" s="1">
        <f>+(Tabla__192.168.1.8_POSEIDONSQL_APPFVT_01_tblFillRateFechas[[#This Row],[Cant_Resultante]]/Tabla__192.168.1.8_POSEIDONSQL_APPFVT_01_tblFillRateFechas[[#This Row],[cant_order]])*100</f>
        <v>100</v>
      </c>
      <c r="Q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" s="1">
        <f>+IF(Tabla__192.168.1.8_POSEIDONSQL_APPFVT_01_tblFillRateFechas[[#This Row],[cant_order]]&gt;0,1,0)</f>
        <v>1</v>
      </c>
      <c r="V23" s="1">
        <f>+IF(Tabla__192.168.1.8_POSEIDONSQL_APPFVT_01_tblFillRateFechas[[#This Row],[Resultado]]=1,1,0)</f>
        <v>1</v>
      </c>
      <c r="W23" s="1" t="str">
        <f>+Tabla__192.168.1.8_POSEIDONSQL_APPFVT_01_tblFillRateFechas[[#This Row],[con_ocnumero]]&amp;Tabla__192.168.1.8_POSEIDONSQL_APPFVT_01_tblFillRateFechas[[#This Row],[con_codigounico]]</f>
        <v>5005131134054660</v>
      </c>
      <c r="X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" spans="1:24" x14ac:dyDescent="0.25">
      <c r="A24">
        <v>3</v>
      </c>
      <c r="B24" t="s">
        <v>50</v>
      </c>
      <c r="C24">
        <v>50051748</v>
      </c>
      <c r="D24" t="s">
        <v>1977</v>
      </c>
      <c r="E24" t="s">
        <v>163</v>
      </c>
      <c r="F24" t="s">
        <v>1962</v>
      </c>
      <c r="G24">
        <v>1</v>
      </c>
      <c r="H24">
        <v>1</v>
      </c>
      <c r="I24" t="s">
        <v>162</v>
      </c>
      <c r="J24">
        <v>0</v>
      </c>
      <c r="K24" t="s">
        <v>1426</v>
      </c>
      <c r="L24">
        <f>+Tabla__192.168.1.8_POSEIDONSQL_APPFVT_01_tblFillRateFechas[[#This Row],[emb_cantidad]]-Tabla__192.168.1.8_POSEIDONSQL_APPFVT_01_tblFillRateFechas[[#This Row],[dev_cantidad]]</f>
        <v>1</v>
      </c>
      <c r="M24">
        <f>+IF(Tabla__192.168.1.8_POSEIDONSQL_APPFVT_01_tblFillRateFechas[[#This Row],[Cant_Resultante]]=Tabla__192.168.1.8_POSEIDONSQL_APPFVT_01_tblFillRateFechas[[#This Row],[cant_order]],1,0)</f>
        <v>1</v>
      </c>
      <c r="N2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" s="1">
        <f>+IF(AND(Tabla__192.168.1.8_POSEIDONSQL_APPFVT_01_tblFillRateFechas[[#This Row],[Valida Cant]]=1,Tabla__192.168.1.8_POSEIDONSQL_APPFVT_01_tblFillRateFechas[[#This Row],[Valida Fec]]=1),1,0)</f>
        <v>1</v>
      </c>
      <c r="P24" s="1">
        <f>+(Tabla__192.168.1.8_POSEIDONSQL_APPFVT_01_tblFillRateFechas[[#This Row],[Cant_Resultante]]/Tabla__192.168.1.8_POSEIDONSQL_APPFVT_01_tblFillRateFechas[[#This Row],[cant_order]])*100</f>
        <v>100</v>
      </c>
      <c r="Q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" s="1">
        <f>+IF(Tabla__192.168.1.8_POSEIDONSQL_APPFVT_01_tblFillRateFechas[[#This Row],[cant_order]]&gt;0,1,0)</f>
        <v>1</v>
      </c>
      <c r="V24" s="1">
        <f>+IF(Tabla__192.168.1.8_POSEIDONSQL_APPFVT_01_tblFillRateFechas[[#This Row],[Resultado]]=1,1,0)</f>
        <v>1</v>
      </c>
      <c r="W24" s="1" t="str">
        <f>+Tabla__192.168.1.8_POSEIDONSQL_APPFVT_01_tblFillRateFechas[[#This Row],[con_ocnumero]]&amp;Tabla__192.168.1.8_POSEIDONSQL_APPFVT_01_tblFillRateFechas[[#This Row],[con_codigounico]]</f>
        <v>5005174834054758</v>
      </c>
      <c r="X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" spans="1:24" x14ac:dyDescent="0.25">
      <c r="A25">
        <v>3</v>
      </c>
      <c r="B25" t="s">
        <v>50</v>
      </c>
      <c r="C25">
        <v>50051748</v>
      </c>
      <c r="D25" t="s">
        <v>1977</v>
      </c>
      <c r="E25" t="s">
        <v>163</v>
      </c>
      <c r="F25" t="s">
        <v>1962</v>
      </c>
      <c r="G25">
        <v>1</v>
      </c>
      <c r="H25">
        <v>1</v>
      </c>
      <c r="I25" t="s">
        <v>162</v>
      </c>
      <c r="J25">
        <v>0</v>
      </c>
      <c r="K25" t="s">
        <v>1427</v>
      </c>
      <c r="L25">
        <f>+Tabla__192.168.1.8_POSEIDONSQL_APPFVT_01_tblFillRateFechas[[#This Row],[emb_cantidad]]-Tabla__192.168.1.8_POSEIDONSQL_APPFVT_01_tblFillRateFechas[[#This Row],[dev_cantidad]]</f>
        <v>1</v>
      </c>
      <c r="M25">
        <f>+IF(Tabla__192.168.1.8_POSEIDONSQL_APPFVT_01_tblFillRateFechas[[#This Row],[Cant_Resultante]]=Tabla__192.168.1.8_POSEIDONSQL_APPFVT_01_tblFillRateFechas[[#This Row],[cant_order]],1,0)</f>
        <v>1</v>
      </c>
      <c r="N2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" s="1">
        <f>+IF(AND(Tabla__192.168.1.8_POSEIDONSQL_APPFVT_01_tblFillRateFechas[[#This Row],[Valida Cant]]=1,Tabla__192.168.1.8_POSEIDONSQL_APPFVT_01_tblFillRateFechas[[#This Row],[Valida Fec]]=1),1,0)</f>
        <v>1</v>
      </c>
      <c r="P25" s="1">
        <f>+(Tabla__192.168.1.8_POSEIDONSQL_APPFVT_01_tblFillRateFechas[[#This Row],[Cant_Resultante]]/Tabla__192.168.1.8_POSEIDONSQL_APPFVT_01_tblFillRateFechas[[#This Row],[cant_order]])*100</f>
        <v>100</v>
      </c>
      <c r="Q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" s="1">
        <f>+IF(Tabla__192.168.1.8_POSEIDONSQL_APPFVT_01_tblFillRateFechas[[#This Row],[cant_order]]&gt;0,1,0)</f>
        <v>1</v>
      </c>
      <c r="V25" s="1">
        <f>+IF(Tabla__192.168.1.8_POSEIDONSQL_APPFVT_01_tblFillRateFechas[[#This Row],[Resultado]]=1,1,0)</f>
        <v>1</v>
      </c>
      <c r="W25" s="1" t="str">
        <f>+Tabla__192.168.1.8_POSEIDONSQL_APPFVT_01_tblFillRateFechas[[#This Row],[con_ocnumero]]&amp;Tabla__192.168.1.8_POSEIDONSQL_APPFVT_01_tblFillRateFechas[[#This Row],[con_codigounico]]</f>
        <v>5005174834054778</v>
      </c>
      <c r="X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" spans="1:24" x14ac:dyDescent="0.25">
      <c r="A26">
        <v>3</v>
      </c>
      <c r="B26" t="s">
        <v>50</v>
      </c>
      <c r="C26">
        <v>50051991</v>
      </c>
      <c r="D26" t="s">
        <v>162</v>
      </c>
      <c r="E26" t="s">
        <v>415</v>
      </c>
      <c r="F26" t="s">
        <v>160</v>
      </c>
      <c r="G26">
        <v>1</v>
      </c>
      <c r="H26">
        <v>3</v>
      </c>
      <c r="I26" t="s">
        <v>415</v>
      </c>
      <c r="J26">
        <v>2</v>
      </c>
      <c r="K26" t="s">
        <v>1653</v>
      </c>
      <c r="L26">
        <f>+Tabla__192.168.1.8_POSEIDONSQL_APPFVT_01_tblFillRateFechas[[#This Row],[emb_cantidad]]-Tabla__192.168.1.8_POSEIDONSQL_APPFVT_01_tblFillRateFechas[[#This Row],[dev_cantidad]]</f>
        <v>1</v>
      </c>
      <c r="M26">
        <f>+IF(Tabla__192.168.1.8_POSEIDONSQL_APPFVT_01_tblFillRateFechas[[#This Row],[Cant_Resultante]]=Tabla__192.168.1.8_POSEIDONSQL_APPFVT_01_tblFillRateFechas[[#This Row],[cant_order]],1,0)</f>
        <v>1</v>
      </c>
      <c r="N2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" s="1">
        <f>+IF(AND(Tabla__192.168.1.8_POSEIDONSQL_APPFVT_01_tblFillRateFechas[[#This Row],[Valida Cant]]=1,Tabla__192.168.1.8_POSEIDONSQL_APPFVT_01_tblFillRateFechas[[#This Row],[Valida Fec]]=1),1,0)</f>
        <v>1</v>
      </c>
      <c r="P26" s="1">
        <f>+(Tabla__192.168.1.8_POSEIDONSQL_APPFVT_01_tblFillRateFechas[[#This Row],[Cant_Resultante]]/Tabla__192.168.1.8_POSEIDONSQL_APPFVT_01_tblFillRateFechas[[#This Row],[cant_order]])*100</f>
        <v>100</v>
      </c>
      <c r="Q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" s="1">
        <f>+IF(Tabla__192.168.1.8_POSEIDONSQL_APPFVT_01_tblFillRateFechas[[#This Row],[cant_order]]&gt;0,1,0)</f>
        <v>1</v>
      </c>
      <c r="V26" s="1">
        <f>+IF(Tabla__192.168.1.8_POSEIDONSQL_APPFVT_01_tblFillRateFechas[[#This Row],[Resultado]]=1,1,0)</f>
        <v>1</v>
      </c>
      <c r="W26" s="1" t="str">
        <f>+Tabla__192.168.1.8_POSEIDONSQL_APPFVT_01_tblFillRateFechas[[#This Row],[con_ocnumero]]&amp;Tabla__192.168.1.8_POSEIDONSQL_APPFVT_01_tblFillRateFechas[[#This Row],[con_codigounico]]</f>
        <v>5005199134054823</v>
      </c>
      <c r="X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" spans="1:24" x14ac:dyDescent="0.25">
      <c r="A27">
        <v>3</v>
      </c>
      <c r="B27" t="s">
        <v>50</v>
      </c>
      <c r="C27">
        <v>50051991</v>
      </c>
      <c r="D27" t="s">
        <v>162</v>
      </c>
      <c r="E27" t="s">
        <v>419</v>
      </c>
      <c r="F27" t="s">
        <v>160</v>
      </c>
      <c r="G27">
        <v>1</v>
      </c>
      <c r="H27">
        <v>3</v>
      </c>
      <c r="I27" t="s">
        <v>415</v>
      </c>
      <c r="J27">
        <v>2</v>
      </c>
      <c r="K27" t="s">
        <v>1657</v>
      </c>
      <c r="L27">
        <f>+Tabla__192.168.1.8_POSEIDONSQL_APPFVT_01_tblFillRateFechas[[#This Row],[emb_cantidad]]-Tabla__192.168.1.8_POSEIDONSQL_APPFVT_01_tblFillRateFechas[[#This Row],[dev_cantidad]]</f>
        <v>1</v>
      </c>
      <c r="M27">
        <f>+IF(Tabla__192.168.1.8_POSEIDONSQL_APPFVT_01_tblFillRateFechas[[#This Row],[Cant_Resultante]]=Tabla__192.168.1.8_POSEIDONSQL_APPFVT_01_tblFillRateFechas[[#This Row],[cant_order]],1,0)</f>
        <v>1</v>
      </c>
      <c r="N2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" s="1">
        <f>+IF(AND(Tabla__192.168.1.8_POSEIDONSQL_APPFVT_01_tblFillRateFechas[[#This Row],[Valida Cant]]=1,Tabla__192.168.1.8_POSEIDONSQL_APPFVT_01_tblFillRateFechas[[#This Row],[Valida Fec]]=1),1,0)</f>
        <v>1</v>
      </c>
      <c r="P27" s="1">
        <f>+(Tabla__192.168.1.8_POSEIDONSQL_APPFVT_01_tblFillRateFechas[[#This Row],[Cant_Resultante]]/Tabla__192.168.1.8_POSEIDONSQL_APPFVT_01_tblFillRateFechas[[#This Row],[cant_order]])*100</f>
        <v>100</v>
      </c>
      <c r="Q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" s="1">
        <f>+IF(Tabla__192.168.1.8_POSEIDONSQL_APPFVT_01_tblFillRateFechas[[#This Row],[cant_order]]&gt;0,1,0)</f>
        <v>1</v>
      </c>
      <c r="V27" s="1">
        <f>+IF(Tabla__192.168.1.8_POSEIDONSQL_APPFVT_01_tblFillRateFechas[[#This Row],[Resultado]]=1,1,0)</f>
        <v>1</v>
      </c>
      <c r="W27" s="1" t="str">
        <f>+Tabla__192.168.1.8_POSEIDONSQL_APPFVT_01_tblFillRateFechas[[#This Row],[con_ocnumero]]&amp;Tabla__192.168.1.8_POSEIDONSQL_APPFVT_01_tblFillRateFechas[[#This Row],[con_codigounico]]</f>
        <v>5005199134054825</v>
      </c>
      <c r="X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" spans="1:24" x14ac:dyDescent="0.25">
      <c r="A28">
        <v>3</v>
      </c>
      <c r="B28" t="s">
        <v>50</v>
      </c>
      <c r="C28">
        <v>50051597</v>
      </c>
      <c r="D28" t="s">
        <v>1971</v>
      </c>
      <c r="E28" t="s">
        <v>161</v>
      </c>
      <c r="F28" t="s">
        <v>1965</v>
      </c>
      <c r="G28">
        <v>1</v>
      </c>
      <c r="H28">
        <v>1</v>
      </c>
      <c r="I28" t="s">
        <v>162</v>
      </c>
      <c r="J28">
        <v>0</v>
      </c>
      <c r="K28" t="s">
        <v>1137</v>
      </c>
      <c r="L28">
        <f>+Tabla__192.168.1.8_POSEIDONSQL_APPFVT_01_tblFillRateFechas[[#This Row],[emb_cantidad]]-Tabla__192.168.1.8_POSEIDONSQL_APPFVT_01_tblFillRateFechas[[#This Row],[dev_cantidad]]</f>
        <v>1</v>
      </c>
      <c r="M28">
        <f>+IF(Tabla__192.168.1.8_POSEIDONSQL_APPFVT_01_tblFillRateFechas[[#This Row],[Cant_Resultante]]=Tabla__192.168.1.8_POSEIDONSQL_APPFVT_01_tblFillRateFechas[[#This Row],[cant_order]],1,0)</f>
        <v>1</v>
      </c>
      <c r="N2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" s="1">
        <f>+IF(AND(Tabla__192.168.1.8_POSEIDONSQL_APPFVT_01_tblFillRateFechas[[#This Row],[Valida Cant]]=1,Tabla__192.168.1.8_POSEIDONSQL_APPFVT_01_tblFillRateFechas[[#This Row],[Valida Fec]]=1),1,0)</f>
        <v>1</v>
      </c>
      <c r="P28" s="1">
        <f>+(Tabla__192.168.1.8_POSEIDONSQL_APPFVT_01_tblFillRateFechas[[#This Row],[Cant_Resultante]]/Tabla__192.168.1.8_POSEIDONSQL_APPFVT_01_tblFillRateFechas[[#This Row],[cant_order]])*100</f>
        <v>100</v>
      </c>
      <c r="Q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" s="1">
        <f>+IF(Tabla__192.168.1.8_POSEIDONSQL_APPFVT_01_tblFillRateFechas[[#This Row],[cant_order]]&gt;0,1,0)</f>
        <v>1</v>
      </c>
      <c r="V28" s="1">
        <f>+IF(Tabla__192.168.1.8_POSEIDONSQL_APPFVT_01_tblFillRateFechas[[#This Row],[Resultado]]=1,1,0)</f>
        <v>1</v>
      </c>
      <c r="W28" s="1" t="str">
        <f>+Tabla__192.168.1.8_POSEIDONSQL_APPFVT_01_tblFillRateFechas[[#This Row],[con_ocnumero]]&amp;Tabla__192.168.1.8_POSEIDONSQL_APPFVT_01_tblFillRateFechas[[#This Row],[con_codigounico]]</f>
        <v>5005159734349117</v>
      </c>
      <c r="X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" spans="1:24" x14ac:dyDescent="0.25">
      <c r="A29">
        <v>3</v>
      </c>
      <c r="B29" t="s">
        <v>50</v>
      </c>
      <c r="C29">
        <v>50051451</v>
      </c>
      <c r="D29" t="s">
        <v>1968</v>
      </c>
      <c r="E29" t="s">
        <v>162</v>
      </c>
      <c r="F29" t="s">
        <v>1971</v>
      </c>
      <c r="G29">
        <v>1</v>
      </c>
      <c r="H29">
        <v>1</v>
      </c>
      <c r="I29" t="s">
        <v>1977</v>
      </c>
      <c r="J29">
        <v>0</v>
      </c>
      <c r="K29" t="s">
        <v>1571</v>
      </c>
      <c r="L29">
        <f>+Tabla__192.168.1.8_POSEIDONSQL_APPFVT_01_tblFillRateFechas[[#This Row],[emb_cantidad]]-Tabla__192.168.1.8_POSEIDONSQL_APPFVT_01_tblFillRateFechas[[#This Row],[dev_cantidad]]</f>
        <v>1</v>
      </c>
      <c r="M29">
        <f>+IF(Tabla__192.168.1.8_POSEIDONSQL_APPFVT_01_tblFillRateFechas[[#This Row],[Cant_Resultante]]=Tabla__192.168.1.8_POSEIDONSQL_APPFVT_01_tblFillRateFechas[[#This Row],[cant_order]],1,0)</f>
        <v>1</v>
      </c>
      <c r="N2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" s="1">
        <f>+IF(AND(Tabla__192.168.1.8_POSEIDONSQL_APPFVT_01_tblFillRateFechas[[#This Row],[Valida Cant]]=1,Tabla__192.168.1.8_POSEIDONSQL_APPFVT_01_tblFillRateFechas[[#This Row],[Valida Fec]]=1),1,0)</f>
        <v>1</v>
      </c>
      <c r="P29" s="1">
        <f>+(Tabla__192.168.1.8_POSEIDONSQL_APPFVT_01_tblFillRateFechas[[#This Row],[Cant_Resultante]]/Tabla__192.168.1.8_POSEIDONSQL_APPFVT_01_tblFillRateFechas[[#This Row],[cant_order]])*100</f>
        <v>100</v>
      </c>
      <c r="Q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" s="1">
        <f>+IF(Tabla__192.168.1.8_POSEIDONSQL_APPFVT_01_tblFillRateFechas[[#This Row],[cant_order]]&gt;0,1,0)</f>
        <v>1</v>
      </c>
      <c r="V29" s="1">
        <f>+IF(Tabla__192.168.1.8_POSEIDONSQL_APPFVT_01_tblFillRateFechas[[#This Row],[Resultado]]=1,1,0)</f>
        <v>1</v>
      </c>
      <c r="W29" s="1" t="str">
        <f>+Tabla__192.168.1.8_POSEIDONSQL_APPFVT_01_tblFillRateFechas[[#This Row],[con_ocnumero]]&amp;Tabla__192.168.1.8_POSEIDONSQL_APPFVT_01_tblFillRateFechas[[#This Row],[con_codigounico]]</f>
        <v>5005145134382573</v>
      </c>
      <c r="X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" spans="1:24" x14ac:dyDescent="0.25">
      <c r="A30">
        <v>3</v>
      </c>
      <c r="B30" t="s">
        <v>50</v>
      </c>
      <c r="C30">
        <v>50051550</v>
      </c>
      <c r="D30" t="s">
        <v>1970</v>
      </c>
      <c r="E30" t="s">
        <v>162</v>
      </c>
      <c r="F30" t="s">
        <v>1971</v>
      </c>
      <c r="G30">
        <v>1</v>
      </c>
      <c r="H30">
        <v>1</v>
      </c>
      <c r="I30" t="s">
        <v>1977</v>
      </c>
      <c r="J30">
        <v>0</v>
      </c>
      <c r="K30" t="s">
        <v>1565</v>
      </c>
      <c r="L30">
        <f>+Tabla__192.168.1.8_POSEIDONSQL_APPFVT_01_tblFillRateFechas[[#This Row],[emb_cantidad]]-Tabla__192.168.1.8_POSEIDONSQL_APPFVT_01_tblFillRateFechas[[#This Row],[dev_cantidad]]</f>
        <v>1</v>
      </c>
      <c r="M30">
        <f>+IF(Tabla__192.168.1.8_POSEIDONSQL_APPFVT_01_tblFillRateFechas[[#This Row],[Cant_Resultante]]=Tabla__192.168.1.8_POSEIDONSQL_APPFVT_01_tblFillRateFechas[[#This Row],[cant_order]],1,0)</f>
        <v>1</v>
      </c>
      <c r="N3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" s="1">
        <f>+IF(AND(Tabla__192.168.1.8_POSEIDONSQL_APPFVT_01_tblFillRateFechas[[#This Row],[Valida Cant]]=1,Tabla__192.168.1.8_POSEIDONSQL_APPFVT_01_tblFillRateFechas[[#This Row],[Valida Fec]]=1),1,0)</f>
        <v>1</v>
      </c>
      <c r="P30" s="1">
        <f>+(Tabla__192.168.1.8_POSEIDONSQL_APPFVT_01_tblFillRateFechas[[#This Row],[Cant_Resultante]]/Tabla__192.168.1.8_POSEIDONSQL_APPFVT_01_tblFillRateFechas[[#This Row],[cant_order]])*100</f>
        <v>100</v>
      </c>
      <c r="Q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" s="1">
        <f>+IF(Tabla__192.168.1.8_POSEIDONSQL_APPFVT_01_tblFillRateFechas[[#This Row],[cant_order]]&gt;0,1,0)</f>
        <v>1</v>
      </c>
      <c r="V30" s="1">
        <f>+IF(Tabla__192.168.1.8_POSEIDONSQL_APPFVT_01_tblFillRateFechas[[#This Row],[Resultado]]=1,1,0)</f>
        <v>1</v>
      </c>
      <c r="W30" s="1" t="str">
        <f>+Tabla__192.168.1.8_POSEIDONSQL_APPFVT_01_tblFillRateFechas[[#This Row],[con_ocnumero]]&amp;Tabla__192.168.1.8_POSEIDONSQL_APPFVT_01_tblFillRateFechas[[#This Row],[con_codigounico]]</f>
        <v>5005155034602320</v>
      </c>
      <c r="X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" spans="1:24" x14ac:dyDescent="0.25">
      <c r="A31">
        <v>3</v>
      </c>
      <c r="B31" t="s">
        <v>50</v>
      </c>
      <c r="C31">
        <v>50051889</v>
      </c>
      <c r="D31" t="s">
        <v>1973</v>
      </c>
      <c r="E31" t="s">
        <v>427</v>
      </c>
      <c r="F31" t="s">
        <v>1963</v>
      </c>
      <c r="G31">
        <v>1</v>
      </c>
      <c r="H31">
        <v>1</v>
      </c>
      <c r="I31" t="s">
        <v>161</v>
      </c>
      <c r="J31">
        <v>0</v>
      </c>
      <c r="K31" t="s">
        <v>559</v>
      </c>
      <c r="L31">
        <f>+Tabla__192.168.1.8_POSEIDONSQL_APPFVT_01_tblFillRateFechas[[#This Row],[emb_cantidad]]-Tabla__192.168.1.8_POSEIDONSQL_APPFVT_01_tblFillRateFechas[[#This Row],[dev_cantidad]]</f>
        <v>1</v>
      </c>
      <c r="M31">
        <f>+IF(Tabla__192.168.1.8_POSEIDONSQL_APPFVT_01_tblFillRateFechas[[#This Row],[Cant_Resultante]]=Tabla__192.168.1.8_POSEIDONSQL_APPFVT_01_tblFillRateFechas[[#This Row],[cant_order]],1,0)</f>
        <v>1</v>
      </c>
      <c r="N3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" s="1">
        <f>+IF(AND(Tabla__192.168.1.8_POSEIDONSQL_APPFVT_01_tblFillRateFechas[[#This Row],[Valida Cant]]=1,Tabla__192.168.1.8_POSEIDONSQL_APPFVT_01_tblFillRateFechas[[#This Row],[Valida Fec]]=1),1,0)</f>
        <v>1</v>
      </c>
      <c r="P31" s="1">
        <f>+(Tabla__192.168.1.8_POSEIDONSQL_APPFVT_01_tblFillRateFechas[[#This Row],[Cant_Resultante]]/Tabla__192.168.1.8_POSEIDONSQL_APPFVT_01_tblFillRateFechas[[#This Row],[cant_order]])*100</f>
        <v>100</v>
      </c>
      <c r="Q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" s="1">
        <f>+IF(Tabla__192.168.1.8_POSEIDONSQL_APPFVT_01_tblFillRateFechas[[#This Row],[cant_order]]&gt;0,1,0)</f>
        <v>1</v>
      </c>
      <c r="V31" s="1">
        <f>+IF(Tabla__192.168.1.8_POSEIDONSQL_APPFVT_01_tblFillRateFechas[[#This Row],[Resultado]]=1,1,0)</f>
        <v>1</v>
      </c>
      <c r="W31" s="1" t="str">
        <f>+Tabla__192.168.1.8_POSEIDONSQL_APPFVT_01_tblFillRateFechas[[#This Row],[con_ocnumero]]&amp;Tabla__192.168.1.8_POSEIDONSQL_APPFVT_01_tblFillRateFechas[[#This Row],[con_codigounico]]</f>
        <v>5005188934602374</v>
      </c>
      <c r="X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" spans="1:24" x14ac:dyDescent="0.25">
      <c r="A32">
        <v>3</v>
      </c>
      <c r="B32" t="s">
        <v>50</v>
      </c>
      <c r="C32">
        <v>50052042</v>
      </c>
      <c r="D32" t="s">
        <v>160</v>
      </c>
      <c r="E32" t="s">
        <v>415</v>
      </c>
      <c r="F32" t="s">
        <v>161</v>
      </c>
      <c r="G32">
        <v>1</v>
      </c>
      <c r="H32">
        <v>3</v>
      </c>
      <c r="I32" t="s">
        <v>415</v>
      </c>
      <c r="J32">
        <v>2</v>
      </c>
      <c r="K32" t="s">
        <v>1835</v>
      </c>
      <c r="L32">
        <f>+Tabla__192.168.1.8_POSEIDONSQL_APPFVT_01_tblFillRateFechas[[#This Row],[emb_cantidad]]-Tabla__192.168.1.8_POSEIDONSQL_APPFVT_01_tblFillRateFechas[[#This Row],[dev_cantidad]]</f>
        <v>1</v>
      </c>
      <c r="M32">
        <f>+IF(Tabla__192.168.1.8_POSEIDONSQL_APPFVT_01_tblFillRateFechas[[#This Row],[Cant_Resultante]]=Tabla__192.168.1.8_POSEIDONSQL_APPFVT_01_tblFillRateFechas[[#This Row],[cant_order]],1,0)</f>
        <v>1</v>
      </c>
      <c r="N3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" s="1">
        <f>+IF(AND(Tabla__192.168.1.8_POSEIDONSQL_APPFVT_01_tblFillRateFechas[[#This Row],[Valida Cant]]=1,Tabla__192.168.1.8_POSEIDONSQL_APPFVT_01_tblFillRateFechas[[#This Row],[Valida Fec]]=1),1,0)</f>
        <v>1</v>
      </c>
      <c r="P32" s="1">
        <f>+(Tabla__192.168.1.8_POSEIDONSQL_APPFVT_01_tblFillRateFechas[[#This Row],[Cant_Resultante]]/Tabla__192.168.1.8_POSEIDONSQL_APPFVT_01_tblFillRateFechas[[#This Row],[cant_order]])*100</f>
        <v>100</v>
      </c>
      <c r="Q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" s="1">
        <f>+IF(Tabla__192.168.1.8_POSEIDONSQL_APPFVT_01_tblFillRateFechas[[#This Row],[cant_order]]&gt;0,1,0)</f>
        <v>1</v>
      </c>
      <c r="V32" s="1">
        <f>+IF(Tabla__192.168.1.8_POSEIDONSQL_APPFVT_01_tblFillRateFechas[[#This Row],[Resultado]]=1,1,0)</f>
        <v>1</v>
      </c>
      <c r="W32" s="1" t="str">
        <f>+Tabla__192.168.1.8_POSEIDONSQL_APPFVT_01_tblFillRateFechas[[#This Row],[con_ocnumero]]&amp;Tabla__192.168.1.8_POSEIDONSQL_APPFVT_01_tblFillRateFechas[[#This Row],[con_codigounico]]</f>
        <v>5005204234602408</v>
      </c>
      <c r="X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" spans="1:24" x14ac:dyDescent="0.25">
      <c r="A33">
        <v>3</v>
      </c>
      <c r="B33" t="s">
        <v>50</v>
      </c>
      <c r="C33">
        <v>50052132</v>
      </c>
      <c r="D33" t="s">
        <v>1969</v>
      </c>
      <c r="E33" t="s">
        <v>415</v>
      </c>
      <c r="F33" t="s">
        <v>163</v>
      </c>
      <c r="G33">
        <v>1</v>
      </c>
      <c r="H33">
        <v>2</v>
      </c>
      <c r="I33" t="s">
        <v>415</v>
      </c>
      <c r="J33">
        <v>1</v>
      </c>
      <c r="K33" t="s">
        <v>1325</v>
      </c>
      <c r="L33">
        <f>+Tabla__192.168.1.8_POSEIDONSQL_APPFVT_01_tblFillRateFechas[[#This Row],[emb_cantidad]]-Tabla__192.168.1.8_POSEIDONSQL_APPFVT_01_tblFillRateFechas[[#This Row],[dev_cantidad]]</f>
        <v>1</v>
      </c>
      <c r="M33">
        <f>+IF(Tabla__192.168.1.8_POSEIDONSQL_APPFVT_01_tblFillRateFechas[[#This Row],[Cant_Resultante]]=Tabla__192.168.1.8_POSEIDONSQL_APPFVT_01_tblFillRateFechas[[#This Row],[cant_order]],1,0)</f>
        <v>1</v>
      </c>
      <c r="N3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" s="1">
        <f>+IF(AND(Tabla__192.168.1.8_POSEIDONSQL_APPFVT_01_tblFillRateFechas[[#This Row],[Valida Cant]]=1,Tabla__192.168.1.8_POSEIDONSQL_APPFVT_01_tblFillRateFechas[[#This Row],[Valida Fec]]=1),1,0)</f>
        <v>1</v>
      </c>
      <c r="P33" s="1">
        <f>+(Tabla__192.168.1.8_POSEIDONSQL_APPFVT_01_tblFillRateFechas[[#This Row],[Cant_Resultante]]/Tabla__192.168.1.8_POSEIDONSQL_APPFVT_01_tblFillRateFechas[[#This Row],[cant_order]])*100</f>
        <v>100</v>
      </c>
      <c r="Q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" s="1">
        <f>+IF(Tabla__192.168.1.8_POSEIDONSQL_APPFVT_01_tblFillRateFechas[[#This Row],[cant_order]]&gt;0,1,0)</f>
        <v>1</v>
      </c>
      <c r="V33" s="1">
        <f>+IF(Tabla__192.168.1.8_POSEIDONSQL_APPFVT_01_tblFillRateFechas[[#This Row],[Resultado]]=1,1,0)</f>
        <v>1</v>
      </c>
      <c r="W33" s="1" t="str">
        <f>+Tabla__192.168.1.8_POSEIDONSQL_APPFVT_01_tblFillRateFechas[[#This Row],[con_ocnumero]]&amp;Tabla__192.168.1.8_POSEIDONSQL_APPFVT_01_tblFillRateFechas[[#This Row],[con_codigounico]]</f>
        <v>5005213234602416</v>
      </c>
      <c r="X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" spans="1:24" x14ac:dyDescent="0.25">
      <c r="A34">
        <v>3</v>
      </c>
      <c r="B34" t="s">
        <v>50</v>
      </c>
      <c r="C34">
        <v>50050998</v>
      </c>
      <c r="D34" t="s">
        <v>12</v>
      </c>
      <c r="E34" t="s">
        <v>1980</v>
      </c>
      <c r="F34" t="s">
        <v>12</v>
      </c>
      <c r="G34">
        <v>1</v>
      </c>
      <c r="H34">
        <v>1</v>
      </c>
      <c r="I34" t="s">
        <v>1967</v>
      </c>
      <c r="J34">
        <v>0</v>
      </c>
      <c r="K34" t="s">
        <v>441</v>
      </c>
      <c r="L34">
        <f>+Tabla__192.168.1.8_POSEIDONSQL_APPFVT_01_tblFillRateFechas[[#This Row],[emb_cantidad]]-Tabla__192.168.1.8_POSEIDONSQL_APPFVT_01_tblFillRateFechas[[#This Row],[dev_cantidad]]</f>
        <v>1</v>
      </c>
      <c r="M34">
        <f>+IF(Tabla__192.168.1.8_POSEIDONSQL_APPFVT_01_tblFillRateFechas[[#This Row],[Cant_Resultante]]=Tabla__192.168.1.8_POSEIDONSQL_APPFVT_01_tblFillRateFechas[[#This Row],[cant_order]],1,0)</f>
        <v>1</v>
      </c>
      <c r="N3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" s="1">
        <f>+IF(AND(Tabla__192.168.1.8_POSEIDONSQL_APPFVT_01_tblFillRateFechas[[#This Row],[Valida Cant]]=1,Tabla__192.168.1.8_POSEIDONSQL_APPFVT_01_tblFillRateFechas[[#This Row],[Valida Fec]]=1),1,0)</f>
        <v>1</v>
      </c>
      <c r="P34" s="1">
        <f>+(Tabla__192.168.1.8_POSEIDONSQL_APPFVT_01_tblFillRateFechas[[#This Row],[Cant_Resultante]]/Tabla__192.168.1.8_POSEIDONSQL_APPFVT_01_tblFillRateFechas[[#This Row],[cant_order]])*100</f>
        <v>100</v>
      </c>
      <c r="Q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" s="1">
        <f>+IF(Tabla__192.168.1.8_POSEIDONSQL_APPFVT_01_tblFillRateFechas[[#This Row],[cant_order]]&gt;0,1,0)</f>
        <v>1</v>
      </c>
      <c r="V34" s="1">
        <f>+IF(Tabla__192.168.1.8_POSEIDONSQL_APPFVT_01_tblFillRateFechas[[#This Row],[Resultado]]=1,1,0)</f>
        <v>1</v>
      </c>
      <c r="W34" s="1" t="str">
        <f>+Tabla__192.168.1.8_POSEIDONSQL_APPFVT_01_tblFillRateFechas[[#This Row],[con_ocnumero]]&amp;Tabla__192.168.1.8_POSEIDONSQL_APPFVT_01_tblFillRateFechas[[#This Row],[con_codigounico]]</f>
        <v>5005099834732958</v>
      </c>
      <c r="X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" spans="1:24" x14ac:dyDescent="0.25">
      <c r="A35">
        <v>3</v>
      </c>
      <c r="B35" t="s">
        <v>50</v>
      </c>
      <c r="C35">
        <v>50051148</v>
      </c>
      <c r="D35" t="s">
        <v>1976</v>
      </c>
      <c r="E35" t="s">
        <v>1971</v>
      </c>
      <c r="F35" t="s">
        <v>1975</v>
      </c>
      <c r="G35">
        <v>1</v>
      </c>
      <c r="H35">
        <v>1</v>
      </c>
      <c r="I35" t="s">
        <v>1967</v>
      </c>
      <c r="J35">
        <v>0</v>
      </c>
      <c r="K35" t="s">
        <v>714</v>
      </c>
      <c r="L35">
        <f>+Tabla__192.168.1.8_POSEIDONSQL_APPFVT_01_tblFillRateFechas[[#This Row],[emb_cantidad]]-Tabla__192.168.1.8_POSEIDONSQL_APPFVT_01_tblFillRateFechas[[#This Row],[dev_cantidad]]</f>
        <v>1</v>
      </c>
      <c r="M35">
        <f>+IF(Tabla__192.168.1.8_POSEIDONSQL_APPFVT_01_tblFillRateFechas[[#This Row],[Cant_Resultante]]=Tabla__192.168.1.8_POSEIDONSQL_APPFVT_01_tblFillRateFechas[[#This Row],[cant_order]],1,0)</f>
        <v>1</v>
      </c>
      <c r="N3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" s="1">
        <f>+IF(AND(Tabla__192.168.1.8_POSEIDONSQL_APPFVT_01_tblFillRateFechas[[#This Row],[Valida Cant]]=1,Tabla__192.168.1.8_POSEIDONSQL_APPFVT_01_tblFillRateFechas[[#This Row],[Valida Fec]]=1),1,0)</f>
        <v>1</v>
      </c>
      <c r="P35" s="1">
        <f>+(Tabla__192.168.1.8_POSEIDONSQL_APPFVT_01_tblFillRateFechas[[#This Row],[Cant_Resultante]]/Tabla__192.168.1.8_POSEIDONSQL_APPFVT_01_tblFillRateFechas[[#This Row],[cant_order]])*100</f>
        <v>100</v>
      </c>
      <c r="Q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" s="1">
        <f>+IF(Tabla__192.168.1.8_POSEIDONSQL_APPFVT_01_tblFillRateFechas[[#This Row],[cant_order]]&gt;0,1,0)</f>
        <v>1</v>
      </c>
      <c r="V35" s="1">
        <f>+IF(Tabla__192.168.1.8_POSEIDONSQL_APPFVT_01_tblFillRateFechas[[#This Row],[Resultado]]=1,1,0)</f>
        <v>1</v>
      </c>
      <c r="W35" s="1" t="str">
        <f>+Tabla__192.168.1.8_POSEIDONSQL_APPFVT_01_tblFillRateFechas[[#This Row],[con_ocnumero]]&amp;Tabla__192.168.1.8_POSEIDONSQL_APPFVT_01_tblFillRateFechas[[#This Row],[con_codigounico]]</f>
        <v>5005114834732996</v>
      </c>
      <c r="X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" spans="1:24" x14ac:dyDescent="0.25">
      <c r="A36">
        <v>3</v>
      </c>
      <c r="B36" t="s">
        <v>50</v>
      </c>
      <c r="C36">
        <v>50051498</v>
      </c>
      <c r="D36" t="s">
        <v>1981</v>
      </c>
      <c r="E36" t="s">
        <v>1963</v>
      </c>
      <c r="F36" t="s">
        <v>1971</v>
      </c>
      <c r="G36">
        <v>1</v>
      </c>
      <c r="H36">
        <v>1</v>
      </c>
      <c r="I36" t="s">
        <v>1977</v>
      </c>
      <c r="J36">
        <v>0</v>
      </c>
      <c r="K36" t="s">
        <v>1412</v>
      </c>
      <c r="L36">
        <f>+Tabla__192.168.1.8_POSEIDONSQL_APPFVT_01_tblFillRateFechas[[#This Row],[emb_cantidad]]-Tabla__192.168.1.8_POSEIDONSQL_APPFVT_01_tblFillRateFechas[[#This Row],[dev_cantidad]]</f>
        <v>1</v>
      </c>
      <c r="M36">
        <f>+IF(Tabla__192.168.1.8_POSEIDONSQL_APPFVT_01_tblFillRateFechas[[#This Row],[Cant_Resultante]]=Tabla__192.168.1.8_POSEIDONSQL_APPFVT_01_tblFillRateFechas[[#This Row],[cant_order]],1,0)</f>
        <v>1</v>
      </c>
      <c r="N3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" s="1">
        <f>+IF(AND(Tabla__192.168.1.8_POSEIDONSQL_APPFVT_01_tblFillRateFechas[[#This Row],[Valida Cant]]=1,Tabla__192.168.1.8_POSEIDONSQL_APPFVT_01_tblFillRateFechas[[#This Row],[Valida Fec]]=1),1,0)</f>
        <v>1</v>
      </c>
      <c r="P36" s="1">
        <f>+(Tabla__192.168.1.8_POSEIDONSQL_APPFVT_01_tblFillRateFechas[[#This Row],[Cant_Resultante]]/Tabla__192.168.1.8_POSEIDONSQL_APPFVT_01_tblFillRateFechas[[#This Row],[cant_order]])*100</f>
        <v>100</v>
      </c>
      <c r="Q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" s="1">
        <f>+IF(Tabla__192.168.1.8_POSEIDONSQL_APPFVT_01_tblFillRateFechas[[#This Row],[cant_order]]&gt;0,1,0)</f>
        <v>1</v>
      </c>
      <c r="V36" s="1">
        <f>+IF(Tabla__192.168.1.8_POSEIDONSQL_APPFVT_01_tblFillRateFechas[[#This Row],[Resultado]]=1,1,0)</f>
        <v>1</v>
      </c>
      <c r="W36" s="1" t="str">
        <f>+Tabla__192.168.1.8_POSEIDONSQL_APPFVT_01_tblFillRateFechas[[#This Row],[con_ocnumero]]&amp;Tabla__192.168.1.8_POSEIDONSQL_APPFVT_01_tblFillRateFechas[[#This Row],[con_codigounico]]</f>
        <v>5005149834733047</v>
      </c>
      <c r="X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" spans="1:24" x14ac:dyDescent="0.25">
      <c r="A37">
        <v>3</v>
      </c>
      <c r="B37" t="s">
        <v>50</v>
      </c>
      <c r="C37">
        <v>50051498</v>
      </c>
      <c r="D37" t="s">
        <v>1981</v>
      </c>
      <c r="E37" t="s">
        <v>160</v>
      </c>
      <c r="F37" t="s">
        <v>1971</v>
      </c>
      <c r="G37">
        <v>1</v>
      </c>
      <c r="H37">
        <v>1</v>
      </c>
      <c r="I37" t="s">
        <v>1977</v>
      </c>
      <c r="J37">
        <v>1</v>
      </c>
      <c r="K37" t="s">
        <v>1414</v>
      </c>
      <c r="L37">
        <f>+Tabla__192.168.1.8_POSEIDONSQL_APPFVT_01_tblFillRateFechas[[#This Row],[emb_cantidad]]-Tabla__192.168.1.8_POSEIDONSQL_APPFVT_01_tblFillRateFechas[[#This Row],[dev_cantidad]]</f>
        <v>0</v>
      </c>
      <c r="M37">
        <f>+IF(Tabla__192.168.1.8_POSEIDONSQL_APPFVT_01_tblFillRateFechas[[#This Row],[Cant_Resultante]]=Tabla__192.168.1.8_POSEIDONSQL_APPFVT_01_tblFillRateFechas[[#This Row],[cant_order]],1,0)</f>
        <v>0</v>
      </c>
      <c r="N3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" s="1">
        <f>+IF(AND(Tabla__192.168.1.8_POSEIDONSQL_APPFVT_01_tblFillRateFechas[[#This Row],[Valida Cant]]=1,Tabla__192.168.1.8_POSEIDONSQL_APPFVT_01_tblFillRateFechas[[#This Row],[Valida Fec]]=1),1,0)</f>
        <v>0</v>
      </c>
      <c r="P37" s="1">
        <f>+(Tabla__192.168.1.8_POSEIDONSQL_APPFVT_01_tblFillRateFechas[[#This Row],[Cant_Resultante]]/Tabla__192.168.1.8_POSEIDONSQL_APPFVT_01_tblFillRateFechas[[#This Row],[cant_order]])*100</f>
        <v>0</v>
      </c>
      <c r="Q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-1</v>
      </c>
      <c r="T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37" s="1">
        <f>+IF(Tabla__192.168.1.8_POSEIDONSQL_APPFVT_01_tblFillRateFechas[[#This Row],[cant_order]]&gt;0,1,0)</f>
        <v>1</v>
      </c>
      <c r="V37" s="1">
        <f>+IF(Tabla__192.168.1.8_POSEIDONSQL_APPFVT_01_tblFillRateFechas[[#This Row],[Resultado]]=1,1,0)</f>
        <v>0</v>
      </c>
      <c r="W37" s="1" t="str">
        <f>+Tabla__192.168.1.8_POSEIDONSQL_APPFVT_01_tblFillRateFechas[[#This Row],[con_ocnumero]]&amp;Tabla__192.168.1.8_POSEIDONSQL_APPFVT_01_tblFillRateFechas[[#This Row],[con_codigounico]]</f>
        <v>5005149834733056</v>
      </c>
      <c r="X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38" spans="1:24" x14ac:dyDescent="0.25">
      <c r="A38">
        <v>3</v>
      </c>
      <c r="B38" t="s">
        <v>50</v>
      </c>
      <c r="C38">
        <v>50051696</v>
      </c>
      <c r="D38" t="s">
        <v>1980</v>
      </c>
      <c r="E38" t="s">
        <v>416</v>
      </c>
      <c r="F38" t="s">
        <v>1977</v>
      </c>
      <c r="G38">
        <v>1</v>
      </c>
      <c r="H38">
        <v>1</v>
      </c>
      <c r="I38" t="s">
        <v>162</v>
      </c>
      <c r="J38">
        <v>0</v>
      </c>
      <c r="K38" t="s">
        <v>1129</v>
      </c>
      <c r="L38">
        <f>+Tabla__192.168.1.8_POSEIDONSQL_APPFVT_01_tblFillRateFechas[[#This Row],[emb_cantidad]]-Tabla__192.168.1.8_POSEIDONSQL_APPFVT_01_tblFillRateFechas[[#This Row],[dev_cantidad]]</f>
        <v>1</v>
      </c>
      <c r="M38">
        <f>+IF(Tabla__192.168.1.8_POSEIDONSQL_APPFVT_01_tblFillRateFechas[[#This Row],[Cant_Resultante]]=Tabla__192.168.1.8_POSEIDONSQL_APPFVT_01_tblFillRateFechas[[#This Row],[cant_order]],1,0)</f>
        <v>1</v>
      </c>
      <c r="N3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" s="1">
        <f>+IF(AND(Tabla__192.168.1.8_POSEIDONSQL_APPFVT_01_tblFillRateFechas[[#This Row],[Valida Cant]]=1,Tabla__192.168.1.8_POSEIDONSQL_APPFVT_01_tblFillRateFechas[[#This Row],[Valida Fec]]=1),1,0)</f>
        <v>1</v>
      </c>
      <c r="P38" s="1">
        <f>+(Tabla__192.168.1.8_POSEIDONSQL_APPFVT_01_tblFillRateFechas[[#This Row],[Cant_Resultante]]/Tabla__192.168.1.8_POSEIDONSQL_APPFVT_01_tblFillRateFechas[[#This Row],[cant_order]])*100</f>
        <v>100</v>
      </c>
      <c r="Q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" s="1">
        <f>+IF(Tabla__192.168.1.8_POSEIDONSQL_APPFVT_01_tblFillRateFechas[[#This Row],[cant_order]]&gt;0,1,0)</f>
        <v>1</v>
      </c>
      <c r="V38" s="1">
        <f>+IF(Tabla__192.168.1.8_POSEIDONSQL_APPFVT_01_tblFillRateFechas[[#This Row],[Resultado]]=1,1,0)</f>
        <v>1</v>
      </c>
      <c r="W38" s="1" t="str">
        <f>+Tabla__192.168.1.8_POSEIDONSQL_APPFVT_01_tblFillRateFechas[[#This Row],[con_ocnumero]]&amp;Tabla__192.168.1.8_POSEIDONSQL_APPFVT_01_tblFillRateFechas[[#This Row],[con_codigounico]]</f>
        <v>5005169634733123</v>
      </c>
      <c r="X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" spans="1:24" x14ac:dyDescent="0.25">
      <c r="A39">
        <v>3</v>
      </c>
      <c r="B39" t="s">
        <v>50</v>
      </c>
      <c r="C39">
        <v>50051889</v>
      </c>
      <c r="D39" t="s">
        <v>1973</v>
      </c>
      <c r="E39" t="s">
        <v>427</v>
      </c>
      <c r="F39" t="s">
        <v>1963</v>
      </c>
      <c r="G39">
        <v>1</v>
      </c>
      <c r="H39">
        <v>1</v>
      </c>
      <c r="I39" t="s">
        <v>161</v>
      </c>
      <c r="J39">
        <v>0</v>
      </c>
      <c r="K39" t="s">
        <v>555</v>
      </c>
      <c r="L39">
        <f>+Tabla__192.168.1.8_POSEIDONSQL_APPFVT_01_tblFillRateFechas[[#This Row],[emb_cantidad]]-Tabla__192.168.1.8_POSEIDONSQL_APPFVT_01_tblFillRateFechas[[#This Row],[dev_cantidad]]</f>
        <v>1</v>
      </c>
      <c r="M39">
        <f>+IF(Tabla__192.168.1.8_POSEIDONSQL_APPFVT_01_tblFillRateFechas[[#This Row],[Cant_Resultante]]=Tabla__192.168.1.8_POSEIDONSQL_APPFVT_01_tblFillRateFechas[[#This Row],[cant_order]],1,0)</f>
        <v>1</v>
      </c>
      <c r="N3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" s="1">
        <f>+IF(AND(Tabla__192.168.1.8_POSEIDONSQL_APPFVT_01_tblFillRateFechas[[#This Row],[Valida Cant]]=1,Tabla__192.168.1.8_POSEIDONSQL_APPFVT_01_tblFillRateFechas[[#This Row],[Valida Fec]]=1),1,0)</f>
        <v>1</v>
      </c>
      <c r="P39" s="1">
        <f>+(Tabla__192.168.1.8_POSEIDONSQL_APPFVT_01_tblFillRateFechas[[#This Row],[Cant_Resultante]]/Tabla__192.168.1.8_POSEIDONSQL_APPFVT_01_tblFillRateFechas[[#This Row],[cant_order]])*100</f>
        <v>100</v>
      </c>
      <c r="Q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" s="1">
        <f>+IF(Tabla__192.168.1.8_POSEIDONSQL_APPFVT_01_tblFillRateFechas[[#This Row],[cant_order]]&gt;0,1,0)</f>
        <v>1</v>
      </c>
      <c r="V39" s="1">
        <f>+IF(Tabla__192.168.1.8_POSEIDONSQL_APPFVT_01_tblFillRateFechas[[#This Row],[Resultado]]=1,1,0)</f>
        <v>1</v>
      </c>
      <c r="W39" s="1" t="str">
        <f>+Tabla__192.168.1.8_POSEIDONSQL_APPFVT_01_tblFillRateFechas[[#This Row],[con_ocnumero]]&amp;Tabla__192.168.1.8_POSEIDONSQL_APPFVT_01_tblFillRateFechas[[#This Row],[con_codigounico]]</f>
        <v>5005188934733184</v>
      </c>
      <c r="X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" spans="1:24" x14ac:dyDescent="0.25">
      <c r="A40">
        <v>3</v>
      </c>
      <c r="B40" t="s">
        <v>50</v>
      </c>
      <c r="C40">
        <v>50051098</v>
      </c>
      <c r="D40" t="s">
        <v>1972</v>
      </c>
      <c r="E40" t="s">
        <v>1965</v>
      </c>
      <c r="F40" t="s">
        <v>1975</v>
      </c>
      <c r="G40">
        <v>1</v>
      </c>
      <c r="H40">
        <v>1</v>
      </c>
      <c r="I40" t="s">
        <v>1967</v>
      </c>
      <c r="J40">
        <v>0</v>
      </c>
      <c r="K40" t="s">
        <v>731</v>
      </c>
      <c r="L40">
        <f>+Tabla__192.168.1.8_POSEIDONSQL_APPFVT_01_tblFillRateFechas[[#This Row],[emb_cantidad]]-Tabla__192.168.1.8_POSEIDONSQL_APPFVT_01_tblFillRateFechas[[#This Row],[dev_cantidad]]</f>
        <v>1</v>
      </c>
      <c r="M40">
        <f>+IF(Tabla__192.168.1.8_POSEIDONSQL_APPFVT_01_tblFillRateFechas[[#This Row],[Cant_Resultante]]=Tabla__192.168.1.8_POSEIDONSQL_APPFVT_01_tblFillRateFechas[[#This Row],[cant_order]],1,0)</f>
        <v>1</v>
      </c>
      <c r="N4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" s="1">
        <f>+IF(AND(Tabla__192.168.1.8_POSEIDONSQL_APPFVT_01_tblFillRateFechas[[#This Row],[Valida Cant]]=1,Tabla__192.168.1.8_POSEIDONSQL_APPFVT_01_tblFillRateFechas[[#This Row],[Valida Fec]]=1),1,0)</f>
        <v>1</v>
      </c>
      <c r="P40" s="1">
        <f>+(Tabla__192.168.1.8_POSEIDONSQL_APPFVT_01_tblFillRateFechas[[#This Row],[Cant_Resultante]]/Tabla__192.168.1.8_POSEIDONSQL_APPFVT_01_tblFillRateFechas[[#This Row],[cant_order]])*100</f>
        <v>100</v>
      </c>
      <c r="Q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" s="1">
        <f>+IF(Tabla__192.168.1.8_POSEIDONSQL_APPFVT_01_tblFillRateFechas[[#This Row],[cant_order]]&gt;0,1,0)</f>
        <v>1</v>
      </c>
      <c r="V40" s="1">
        <f>+IF(Tabla__192.168.1.8_POSEIDONSQL_APPFVT_01_tblFillRateFechas[[#This Row],[Resultado]]=1,1,0)</f>
        <v>1</v>
      </c>
      <c r="W40" s="1" t="str">
        <f>+Tabla__192.168.1.8_POSEIDONSQL_APPFVT_01_tblFillRateFechas[[#This Row],[con_ocnumero]]&amp;Tabla__192.168.1.8_POSEIDONSQL_APPFVT_01_tblFillRateFechas[[#This Row],[con_codigounico]]</f>
        <v>5005109834832903</v>
      </c>
      <c r="X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" spans="1:24" x14ac:dyDescent="0.25">
      <c r="A41">
        <v>3</v>
      </c>
      <c r="B41" t="s">
        <v>50</v>
      </c>
      <c r="C41">
        <v>50051410</v>
      </c>
      <c r="D41" t="s">
        <v>1967</v>
      </c>
      <c r="E41" t="s">
        <v>160</v>
      </c>
      <c r="F41" t="s">
        <v>1968</v>
      </c>
      <c r="G41">
        <v>1</v>
      </c>
      <c r="H41">
        <v>1</v>
      </c>
      <c r="I41" t="s">
        <v>1965</v>
      </c>
      <c r="J41">
        <v>0</v>
      </c>
      <c r="K41" t="s">
        <v>1951</v>
      </c>
      <c r="L41">
        <f>+Tabla__192.168.1.8_POSEIDONSQL_APPFVT_01_tblFillRateFechas[[#This Row],[emb_cantidad]]-Tabla__192.168.1.8_POSEIDONSQL_APPFVT_01_tblFillRateFechas[[#This Row],[dev_cantidad]]</f>
        <v>1</v>
      </c>
      <c r="M41">
        <f>+IF(Tabla__192.168.1.8_POSEIDONSQL_APPFVT_01_tblFillRateFechas[[#This Row],[Cant_Resultante]]=Tabla__192.168.1.8_POSEIDONSQL_APPFVT_01_tblFillRateFechas[[#This Row],[cant_order]],1,0)</f>
        <v>1</v>
      </c>
      <c r="N4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" s="1">
        <f>+IF(AND(Tabla__192.168.1.8_POSEIDONSQL_APPFVT_01_tblFillRateFechas[[#This Row],[Valida Cant]]=1,Tabla__192.168.1.8_POSEIDONSQL_APPFVT_01_tblFillRateFechas[[#This Row],[Valida Fec]]=1),1,0)</f>
        <v>1</v>
      </c>
      <c r="P41" s="1">
        <f>+(Tabla__192.168.1.8_POSEIDONSQL_APPFVT_01_tblFillRateFechas[[#This Row],[Cant_Resultante]]/Tabla__192.168.1.8_POSEIDONSQL_APPFVT_01_tblFillRateFechas[[#This Row],[cant_order]])*100</f>
        <v>100</v>
      </c>
      <c r="Q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" s="1">
        <f>+IF(Tabla__192.168.1.8_POSEIDONSQL_APPFVT_01_tblFillRateFechas[[#This Row],[cant_order]]&gt;0,1,0)</f>
        <v>1</v>
      </c>
      <c r="V41" s="1">
        <f>+IF(Tabla__192.168.1.8_POSEIDONSQL_APPFVT_01_tblFillRateFechas[[#This Row],[Resultado]]=1,1,0)</f>
        <v>1</v>
      </c>
      <c r="W41" s="1" t="str">
        <f>+Tabla__192.168.1.8_POSEIDONSQL_APPFVT_01_tblFillRateFechas[[#This Row],[con_ocnumero]]&amp;Tabla__192.168.1.8_POSEIDONSQL_APPFVT_01_tblFillRateFechas[[#This Row],[con_codigounico]]</f>
        <v>5005141034833144</v>
      </c>
      <c r="X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" spans="1:24" x14ac:dyDescent="0.25">
      <c r="A42">
        <v>3</v>
      </c>
      <c r="B42" t="s">
        <v>50</v>
      </c>
      <c r="C42">
        <v>50051209</v>
      </c>
      <c r="D42" t="s">
        <v>1974</v>
      </c>
      <c r="E42" t="s">
        <v>1966</v>
      </c>
      <c r="F42" t="s">
        <v>1975</v>
      </c>
      <c r="G42">
        <v>1</v>
      </c>
      <c r="H42">
        <v>2</v>
      </c>
      <c r="I42" t="s">
        <v>1965</v>
      </c>
      <c r="J42">
        <v>1</v>
      </c>
      <c r="K42" t="s">
        <v>725</v>
      </c>
      <c r="L42">
        <f>+Tabla__192.168.1.8_POSEIDONSQL_APPFVT_01_tblFillRateFechas[[#This Row],[emb_cantidad]]-Tabla__192.168.1.8_POSEIDONSQL_APPFVT_01_tblFillRateFechas[[#This Row],[dev_cantidad]]</f>
        <v>1</v>
      </c>
      <c r="M42">
        <f>+IF(Tabla__192.168.1.8_POSEIDONSQL_APPFVT_01_tblFillRateFechas[[#This Row],[Cant_Resultante]]=Tabla__192.168.1.8_POSEIDONSQL_APPFVT_01_tblFillRateFechas[[#This Row],[cant_order]],1,0)</f>
        <v>1</v>
      </c>
      <c r="N4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" s="1">
        <f>+IF(AND(Tabla__192.168.1.8_POSEIDONSQL_APPFVT_01_tblFillRateFechas[[#This Row],[Valida Cant]]=1,Tabla__192.168.1.8_POSEIDONSQL_APPFVT_01_tblFillRateFechas[[#This Row],[Valida Fec]]=1),1,0)</f>
        <v>1</v>
      </c>
      <c r="P42" s="1">
        <f>+(Tabla__192.168.1.8_POSEIDONSQL_APPFVT_01_tblFillRateFechas[[#This Row],[Cant_Resultante]]/Tabla__192.168.1.8_POSEIDONSQL_APPFVT_01_tblFillRateFechas[[#This Row],[cant_order]])*100</f>
        <v>100</v>
      </c>
      <c r="Q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" s="1">
        <f>+IF(Tabla__192.168.1.8_POSEIDONSQL_APPFVT_01_tblFillRateFechas[[#This Row],[cant_order]]&gt;0,1,0)</f>
        <v>1</v>
      </c>
      <c r="V42" s="1">
        <f>+IF(Tabla__192.168.1.8_POSEIDONSQL_APPFVT_01_tblFillRateFechas[[#This Row],[Resultado]]=1,1,0)</f>
        <v>1</v>
      </c>
      <c r="W42" s="1" t="str">
        <f>+Tabla__192.168.1.8_POSEIDONSQL_APPFVT_01_tblFillRateFechas[[#This Row],[con_ocnumero]]&amp;Tabla__192.168.1.8_POSEIDONSQL_APPFVT_01_tblFillRateFechas[[#This Row],[con_codigounico]]</f>
        <v>5005120934836313</v>
      </c>
      <c r="X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" spans="1:24" x14ac:dyDescent="0.25">
      <c r="A43">
        <v>3</v>
      </c>
      <c r="B43" t="s">
        <v>50</v>
      </c>
      <c r="C43">
        <v>50051597</v>
      </c>
      <c r="D43" t="s">
        <v>1971</v>
      </c>
      <c r="E43" t="s">
        <v>161</v>
      </c>
      <c r="F43" t="s">
        <v>1965</v>
      </c>
      <c r="G43">
        <v>1</v>
      </c>
      <c r="H43">
        <v>1</v>
      </c>
      <c r="I43" t="s">
        <v>162</v>
      </c>
      <c r="J43">
        <v>0</v>
      </c>
      <c r="K43" t="s">
        <v>1136</v>
      </c>
      <c r="L43">
        <f>+Tabla__192.168.1.8_POSEIDONSQL_APPFVT_01_tblFillRateFechas[[#This Row],[emb_cantidad]]-Tabla__192.168.1.8_POSEIDONSQL_APPFVT_01_tblFillRateFechas[[#This Row],[dev_cantidad]]</f>
        <v>1</v>
      </c>
      <c r="M43">
        <f>+IF(Tabla__192.168.1.8_POSEIDONSQL_APPFVT_01_tblFillRateFechas[[#This Row],[Cant_Resultante]]=Tabla__192.168.1.8_POSEIDONSQL_APPFVT_01_tblFillRateFechas[[#This Row],[cant_order]],1,0)</f>
        <v>1</v>
      </c>
      <c r="N4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" s="1">
        <f>+IF(AND(Tabla__192.168.1.8_POSEIDONSQL_APPFVT_01_tblFillRateFechas[[#This Row],[Valida Cant]]=1,Tabla__192.168.1.8_POSEIDONSQL_APPFVT_01_tblFillRateFechas[[#This Row],[Valida Fec]]=1),1,0)</f>
        <v>1</v>
      </c>
      <c r="P43" s="1">
        <f>+(Tabla__192.168.1.8_POSEIDONSQL_APPFVT_01_tblFillRateFechas[[#This Row],[Cant_Resultante]]/Tabla__192.168.1.8_POSEIDONSQL_APPFVT_01_tblFillRateFechas[[#This Row],[cant_order]])*100</f>
        <v>100</v>
      </c>
      <c r="Q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" s="1">
        <f>+IF(Tabla__192.168.1.8_POSEIDONSQL_APPFVT_01_tblFillRateFechas[[#This Row],[cant_order]]&gt;0,1,0)</f>
        <v>1</v>
      </c>
      <c r="V43" s="1">
        <f>+IF(Tabla__192.168.1.8_POSEIDONSQL_APPFVT_01_tblFillRateFechas[[#This Row],[Resultado]]=1,1,0)</f>
        <v>1</v>
      </c>
      <c r="W43" s="1" t="str">
        <f>+Tabla__192.168.1.8_POSEIDONSQL_APPFVT_01_tblFillRateFechas[[#This Row],[con_ocnumero]]&amp;Tabla__192.168.1.8_POSEIDONSQL_APPFVT_01_tblFillRateFechas[[#This Row],[con_codigounico]]</f>
        <v>5005159734836383</v>
      </c>
      <c r="X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" spans="1:24" x14ac:dyDescent="0.25">
      <c r="A44">
        <v>3</v>
      </c>
      <c r="B44" t="s">
        <v>50</v>
      </c>
      <c r="C44">
        <v>50052250</v>
      </c>
      <c r="D44" t="s">
        <v>163</v>
      </c>
      <c r="E44" t="s">
        <v>415</v>
      </c>
      <c r="F44" t="s">
        <v>429</v>
      </c>
      <c r="G44">
        <v>1</v>
      </c>
      <c r="H44">
        <v>1</v>
      </c>
      <c r="I44" t="s">
        <v>422</v>
      </c>
      <c r="J44">
        <v>0</v>
      </c>
      <c r="K44" t="s">
        <v>873</v>
      </c>
      <c r="L44">
        <f>+Tabla__192.168.1.8_POSEIDONSQL_APPFVT_01_tblFillRateFechas[[#This Row],[emb_cantidad]]-Tabla__192.168.1.8_POSEIDONSQL_APPFVT_01_tblFillRateFechas[[#This Row],[dev_cantidad]]</f>
        <v>1</v>
      </c>
      <c r="M44">
        <f>+IF(Tabla__192.168.1.8_POSEIDONSQL_APPFVT_01_tblFillRateFechas[[#This Row],[Cant_Resultante]]=Tabla__192.168.1.8_POSEIDONSQL_APPFVT_01_tblFillRateFechas[[#This Row],[cant_order]],1,0)</f>
        <v>1</v>
      </c>
      <c r="N4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44" s="1">
        <f>+IF(AND(Tabla__192.168.1.8_POSEIDONSQL_APPFVT_01_tblFillRateFechas[[#This Row],[Valida Cant]]=1,Tabla__192.168.1.8_POSEIDONSQL_APPFVT_01_tblFillRateFechas[[#This Row],[Valida Fec]]=1),1,0)</f>
        <v>0</v>
      </c>
      <c r="P44" s="1">
        <f>+(Tabla__192.168.1.8_POSEIDONSQL_APPFVT_01_tblFillRateFechas[[#This Row],[Cant_Resultante]]/Tabla__192.168.1.8_POSEIDONSQL_APPFVT_01_tblFillRateFechas[[#This Row],[cant_order]])*100</f>
        <v>100</v>
      </c>
      <c r="Q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" s="1">
        <f>+IF(Tabla__192.168.1.8_POSEIDONSQL_APPFVT_01_tblFillRateFechas[[#This Row],[cant_order]]&gt;0,1,0)</f>
        <v>1</v>
      </c>
      <c r="V44" s="1">
        <f>+IF(Tabla__192.168.1.8_POSEIDONSQL_APPFVT_01_tblFillRateFechas[[#This Row],[Resultado]]=1,1,0)</f>
        <v>0</v>
      </c>
      <c r="W44" s="1" t="str">
        <f>+Tabla__192.168.1.8_POSEIDONSQL_APPFVT_01_tblFillRateFechas[[#This Row],[con_ocnumero]]&amp;Tabla__192.168.1.8_POSEIDONSQL_APPFVT_01_tblFillRateFechas[[#This Row],[con_codigounico]]</f>
        <v>5005225034836508</v>
      </c>
      <c r="X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" spans="1:24" x14ac:dyDescent="0.25">
      <c r="A45">
        <v>3</v>
      </c>
      <c r="B45" t="s">
        <v>50</v>
      </c>
      <c r="C45">
        <v>50052369</v>
      </c>
      <c r="D45" t="s">
        <v>425</v>
      </c>
      <c r="E45" t="s">
        <v>416</v>
      </c>
      <c r="F45" t="s">
        <v>426</v>
      </c>
      <c r="G45">
        <v>1</v>
      </c>
      <c r="H45">
        <v>1</v>
      </c>
      <c r="I45" t="s">
        <v>416</v>
      </c>
      <c r="J45">
        <v>0</v>
      </c>
      <c r="K45" t="s">
        <v>653</v>
      </c>
      <c r="L45">
        <f>+Tabla__192.168.1.8_POSEIDONSQL_APPFVT_01_tblFillRateFechas[[#This Row],[emb_cantidad]]-Tabla__192.168.1.8_POSEIDONSQL_APPFVT_01_tblFillRateFechas[[#This Row],[dev_cantidad]]</f>
        <v>1</v>
      </c>
      <c r="M45">
        <f>+IF(Tabla__192.168.1.8_POSEIDONSQL_APPFVT_01_tblFillRateFechas[[#This Row],[Cant_Resultante]]=Tabla__192.168.1.8_POSEIDONSQL_APPFVT_01_tblFillRateFechas[[#This Row],[cant_order]],1,0)</f>
        <v>1</v>
      </c>
      <c r="N4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" s="1">
        <f>+IF(AND(Tabla__192.168.1.8_POSEIDONSQL_APPFVT_01_tblFillRateFechas[[#This Row],[Valida Cant]]=1,Tabla__192.168.1.8_POSEIDONSQL_APPFVT_01_tblFillRateFechas[[#This Row],[Valida Fec]]=1),1,0)</f>
        <v>1</v>
      </c>
      <c r="P45" s="1">
        <f>+(Tabla__192.168.1.8_POSEIDONSQL_APPFVT_01_tblFillRateFechas[[#This Row],[Cant_Resultante]]/Tabla__192.168.1.8_POSEIDONSQL_APPFVT_01_tblFillRateFechas[[#This Row],[cant_order]])*100</f>
        <v>100</v>
      </c>
      <c r="Q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" s="1">
        <f>+IF(Tabla__192.168.1.8_POSEIDONSQL_APPFVT_01_tblFillRateFechas[[#This Row],[cant_order]]&gt;0,1,0)</f>
        <v>1</v>
      </c>
      <c r="V45" s="1">
        <f>+IF(Tabla__192.168.1.8_POSEIDONSQL_APPFVT_01_tblFillRateFechas[[#This Row],[Resultado]]=1,1,0)</f>
        <v>1</v>
      </c>
      <c r="W45" s="1" t="str">
        <f>+Tabla__192.168.1.8_POSEIDONSQL_APPFVT_01_tblFillRateFechas[[#This Row],[con_ocnumero]]&amp;Tabla__192.168.1.8_POSEIDONSQL_APPFVT_01_tblFillRateFechas[[#This Row],[con_codigounico]]</f>
        <v>5005236935064463</v>
      </c>
      <c r="X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" spans="1:24" x14ac:dyDescent="0.25">
      <c r="A46">
        <v>3</v>
      </c>
      <c r="B46" t="s">
        <v>50</v>
      </c>
      <c r="C46">
        <v>50051148</v>
      </c>
      <c r="D46" t="s">
        <v>1976</v>
      </c>
      <c r="E46" t="s">
        <v>1971</v>
      </c>
      <c r="F46" t="s">
        <v>1975</v>
      </c>
      <c r="G46">
        <v>1</v>
      </c>
      <c r="H46">
        <v>1</v>
      </c>
      <c r="I46" t="s">
        <v>1967</v>
      </c>
      <c r="J46">
        <v>0</v>
      </c>
      <c r="K46" t="s">
        <v>715</v>
      </c>
      <c r="L46">
        <f>+Tabla__192.168.1.8_POSEIDONSQL_APPFVT_01_tblFillRateFechas[[#This Row],[emb_cantidad]]-Tabla__192.168.1.8_POSEIDONSQL_APPFVT_01_tblFillRateFechas[[#This Row],[dev_cantidad]]</f>
        <v>1</v>
      </c>
      <c r="M46">
        <f>+IF(Tabla__192.168.1.8_POSEIDONSQL_APPFVT_01_tblFillRateFechas[[#This Row],[Cant_Resultante]]=Tabla__192.168.1.8_POSEIDONSQL_APPFVT_01_tblFillRateFechas[[#This Row],[cant_order]],1,0)</f>
        <v>1</v>
      </c>
      <c r="N4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" s="1">
        <f>+IF(AND(Tabla__192.168.1.8_POSEIDONSQL_APPFVT_01_tblFillRateFechas[[#This Row],[Valida Cant]]=1,Tabla__192.168.1.8_POSEIDONSQL_APPFVT_01_tblFillRateFechas[[#This Row],[Valida Fec]]=1),1,0)</f>
        <v>1</v>
      </c>
      <c r="P46" s="1">
        <f>+(Tabla__192.168.1.8_POSEIDONSQL_APPFVT_01_tblFillRateFechas[[#This Row],[Cant_Resultante]]/Tabla__192.168.1.8_POSEIDONSQL_APPFVT_01_tblFillRateFechas[[#This Row],[cant_order]])*100</f>
        <v>100</v>
      </c>
      <c r="Q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" s="1">
        <f>+IF(Tabla__192.168.1.8_POSEIDONSQL_APPFVT_01_tblFillRateFechas[[#This Row],[cant_order]]&gt;0,1,0)</f>
        <v>1</v>
      </c>
      <c r="V46" s="1">
        <f>+IF(Tabla__192.168.1.8_POSEIDONSQL_APPFVT_01_tblFillRateFechas[[#This Row],[Resultado]]=1,1,0)</f>
        <v>1</v>
      </c>
      <c r="W46" s="1" t="str">
        <f>+Tabla__192.168.1.8_POSEIDONSQL_APPFVT_01_tblFillRateFechas[[#This Row],[con_ocnumero]]&amp;Tabla__192.168.1.8_POSEIDONSQL_APPFVT_01_tblFillRateFechas[[#This Row],[con_codigounico]]</f>
        <v>5005114835208064</v>
      </c>
      <c r="X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" spans="1:24" x14ac:dyDescent="0.25">
      <c r="A47">
        <v>3</v>
      </c>
      <c r="B47" t="s">
        <v>50</v>
      </c>
      <c r="C47">
        <v>50051209</v>
      </c>
      <c r="D47" t="s">
        <v>1974</v>
      </c>
      <c r="E47" t="s">
        <v>1962</v>
      </c>
      <c r="F47" t="s">
        <v>1975</v>
      </c>
      <c r="G47">
        <v>1</v>
      </c>
      <c r="H47">
        <v>2</v>
      </c>
      <c r="I47" t="s">
        <v>1965</v>
      </c>
      <c r="J47">
        <v>1</v>
      </c>
      <c r="K47" t="s">
        <v>721</v>
      </c>
      <c r="L47">
        <f>+Tabla__192.168.1.8_POSEIDONSQL_APPFVT_01_tblFillRateFechas[[#This Row],[emb_cantidad]]-Tabla__192.168.1.8_POSEIDONSQL_APPFVT_01_tblFillRateFechas[[#This Row],[dev_cantidad]]</f>
        <v>1</v>
      </c>
      <c r="M47">
        <f>+IF(Tabla__192.168.1.8_POSEIDONSQL_APPFVT_01_tblFillRateFechas[[#This Row],[Cant_Resultante]]=Tabla__192.168.1.8_POSEIDONSQL_APPFVT_01_tblFillRateFechas[[#This Row],[cant_order]],1,0)</f>
        <v>1</v>
      </c>
      <c r="N4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" s="1">
        <f>+IF(AND(Tabla__192.168.1.8_POSEIDONSQL_APPFVT_01_tblFillRateFechas[[#This Row],[Valida Cant]]=1,Tabla__192.168.1.8_POSEIDONSQL_APPFVT_01_tblFillRateFechas[[#This Row],[Valida Fec]]=1),1,0)</f>
        <v>1</v>
      </c>
      <c r="P47" s="1">
        <f>+(Tabla__192.168.1.8_POSEIDONSQL_APPFVT_01_tblFillRateFechas[[#This Row],[Cant_Resultante]]/Tabla__192.168.1.8_POSEIDONSQL_APPFVT_01_tblFillRateFechas[[#This Row],[cant_order]])*100</f>
        <v>100</v>
      </c>
      <c r="Q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" s="1">
        <f>+IF(Tabla__192.168.1.8_POSEIDONSQL_APPFVT_01_tblFillRateFechas[[#This Row],[cant_order]]&gt;0,1,0)</f>
        <v>1</v>
      </c>
      <c r="V47" s="1">
        <f>+IF(Tabla__192.168.1.8_POSEIDONSQL_APPFVT_01_tblFillRateFechas[[#This Row],[Resultado]]=1,1,0)</f>
        <v>1</v>
      </c>
      <c r="W47" s="1" t="str">
        <f>+Tabla__192.168.1.8_POSEIDONSQL_APPFVT_01_tblFillRateFechas[[#This Row],[con_ocnumero]]&amp;Tabla__192.168.1.8_POSEIDONSQL_APPFVT_01_tblFillRateFechas[[#This Row],[con_codigounico]]</f>
        <v>5005120935208078</v>
      </c>
      <c r="X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" spans="1:24" x14ac:dyDescent="0.25">
      <c r="A48">
        <v>3</v>
      </c>
      <c r="B48" t="s">
        <v>50</v>
      </c>
      <c r="C48">
        <v>50051451</v>
      </c>
      <c r="D48" t="s">
        <v>1968</v>
      </c>
      <c r="E48" t="s">
        <v>1963</v>
      </c>
      <c r="F48" t="s">
        <v>1971</v>
      </c>
      <c r="G48">
        <v>1</v>
      </c>
      <c r="H48">
        <v>1</v>
      </c>
      <c r="I48" t="s">
        <v>1977</v>
      </c>
      <c r="J48">
        <v>0</v>
      </c>
      <c r="K48" t="s">
        <v>1569</v>
      </c>
      <c r="L48">
        <f>+Tabla__192.168.1.8_POSEIDONSQL_APPFVT_01_tblFillRateFechas[[#This Row],[emb_cantidad]]-Tabla__192.168.1.8_POSEIDONSQL_APPFVT_01_tblFillRateFechas[[#This Row],[dev_cantidad]]</f>
        <v>1</v>
      </c>
      <c r="M48">
        <f>+IF(Tabla__192.168.1.8_POSEIDONSQL_APPFVT_01_tblFillRateFechas[[#This Row],[Cant_Resultante]]=Tabla__192.168.1.8_POSEIDONSQL_APPFVT_01_tblFillRateFechas[[#This Row],[cant_order]],1,0)</f>
        <v>1</v>
      </c>
      <c r="N4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" s="1">
        <f>+IF(AND(Tabla__192.168.1.8_POSEIDONSQL_APPFVT_01_tblFillRateFechas[[#This Row],[Valida Cant]]=1,Tabla__192.168.1.8_POSEIDONSQL_APPFVT_01_tblFillRateFechas[[#This Row],[Valida Fec]]=1),1,0)</f>
        <v>1</v>
      </c>
      <c r="P48" s="1">
        <f>+(Tabla__192.168.1.8_POSEIDONSQL_APPFVT_01_tblFillRateFechas[[#This Row],[Cant_Resultante]]/Tabla__192.168.1.8_POSEIDONSQL_APPFVT_01_tblFillRateFechas[[#This Row],[cant_order]])*100</f>
        <v>100</v>
      </c>
      <c r="Q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" s="1">
        <f>+IF(Tabla__192.168.1.8_POSEIDONSQL_APPFVT_01_tblFillRateFechas[[#This Row],[cant_order]]&gt;0,1,0)</f>
        <v>1</v>
      </c>
      <c r="V48" s="1">
        <f>+IF(Tabla__192.168.1.8_POSEIDONSQL_APPFVT_01_tblFillRateFechas[[#This Row],[Resultado]]=1,1,0)</f>
        <v>1</v>
      </c>
      <c r="W48" s="1" t="str">
        <f>+Tabla__192.168.1.8_POSEIDONSQL_APPFVT_01_tblFillRateFechas[[#This Row],[con_ocnumero]]&amp;Tabla__192.168.1.8_POSEIDONSQL_APPFVT_01_tblFillRateFechas[[#This Row],[con_codigounico]]</f>
        <v>5005145135208141</v>
      </c>
      <c r="X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" spans="1:24" x14ac:dyDescent="0.25">
      <c r="A49">
        <v>3</v>
      </c>
      <c r="B49" t="s">
        <v>50</v>
      </c>
      <c r="C49">
        <v>50051451</v>
      </c>
      <c r="D49" t="s">
        <v>1968</v>
      </c>
      <c r="E49" t="s">
        <v>1963</v>
      </c>
      <c r="F49" t="s">
        <v>1971</v>
      </c>
      <c r="G49">
        <v>1</v>
      </c>
      <c r="H49">
        <v>1</v>
      </c>
      <c r="I49" t="s">
        <v>1977</v>
      </c>
      <c r="J49">
        <v>0</v>
      </c>
      <c r="K49" t="s">
        <v>1570</v>
      </c>
      <c r="L49">
        <f>+Tabla__192.168.1.8_POSEIDONSQL_APPFVT_01_tblFillRateFechas[[#This Row],[emb_cantidad]]-Tabla__192.168.1.8_POSEIDONSQL_APPFVT_01_tblFillRateFechas[[#This Row],[dev_cantidad]]</f>
        <v>1</v>
      </c>
      <c r="M49">
        <f>+IF(Tabla__192.168.1.8_POSEIDONSQL_APPFVT_01_tblFillRateFechas[[#This Row],[Cant_Resultante]]=Tabla__192.168.1.8_POSEIDONSQL_APPFVT_01_tblFillRateFechas[[#This Row],[cant_order]],1,0)</f>
        <v>1</v>
      </c>
      <c r="N4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" s="1">
        <f>+IF(AND(Tabla__192.168.1.8_POSEIDONSQL_APPFVT_01_tblFillRateFechas[[#This Row],[Valida Cant]]=1,Tabla__192.168.1.8_POSEIDONSQL_APPFVT_01_tblFillRateFechas[[#This Row],[Valida Fec]]=1),1,0)</f>
        <v>1</v>
      </c>
      <c r="P49" s="1">
        <f>+(Tabla__192.168.1.8_POSEIDONSQL_APPFVT_01_tblFillRateFechas[[#This Row],[Cant_Resultante]]/Tabla__192.168.1.8_POSEIDONSQL_APPFVT_01_tblFillRateFechas[[#This Row],[cant_order]])*100</f>
        <v>100</v>
      </c>
      <c r="Q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" s="1">
        <f>+IF(Tabla__192.168.1.8_POSEIDONSQL_APPFVT_01_tblFillRateFechas[[#This Row],[cant_order]]&gt;0,1,0)</f>
        <v>1</v>
      </c>
      <c r="V49" s="1">
        <f>+IF(Tabla__192.168.1.8_POSEIDONSQL_APPFVT_01_tblFillRateFechas[[#This Row],[Resultado]]=1,1,0)</f>
        <v>1</v>
      </c>
      <c r="W49" s="1" t="str">
        <f>+Tabla__192.168.1.8_POSEIDONSQL_APPFVT_01_tblFillRateFechas[[#This Row],[con_ocnumero]]&amp;Tabla__192.168.1.8_POSEIDONSQL_APPFVT_01_tblFillRateFechas[[#This Row],[con_codigounico]]</f>
        <v>5005145135208147</v>
      </c>
      <c r="X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" spans="1:24" x14ac:dyDescent="0.25">
      <c r="A50">
        <v>3</v>
      </c>
      <c r="B50" t="s">
        <v>50</v>
      </c>
      <c r="C50">
        <v>50051649</v>
      </c>
      <c r="D50" t="s">
        <v>1965</v>
      </c>
      <c r="E50" t="s">
        <v>163</v>
      </c>
      <c r="F50" t="s">
        <v>1980</v>
      </c>
      <c r="G50">
        <v>1</v>
      </c>
      <c r="H50">
        <v>1</v>
      </c>
      <c r="I50" t="s">
        <v>162</v>
      </c>
      <c r="J50">
        <v>0</v>
      </c>
      <c r="K50" t="s">
        <v>1127</v>
      </c>
      <c r="L50">
        <f>+Tabla__192.168.1.8_POSEIDONSQL_APPFVT_01_tblFillRateFechas[[#This Row],[emb_cantidad]]-Tabla__192.168.1.8_POSEIDONSQL_APPFVT_01_tblFillRateFechas[[#This Row],[dev_cantidad]]</f>
        <v>1</v>
      </c>
      <c r="M50">
        <f>+IF(Tabla__192.168.1.8_POSEIDONSQL_APPFVT_01_tblFillRateFechas[[#This Row],[Cant_Resultante]]=Tabla__192.168.1.8_POSEIDONSQL_APPFVT_01_tblFillRateFechas[[#This Row],[cant_order]],1,0)</f>
        <v>1</v>
      </c>
      <c r="N5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" s="1">
        <f>+IF(AND(Tabla__192.168.1.8_POSEIDONSQL_APPFVT_01_tblFillRateFechas[[#This Row],[Valida Cant]]=1,Tabla__192.168.1.8_POSEIDONSQL_APPFVT_01_tblFillRateFechas[[#This Row],[Valida Fec]]=1),1,0)</f>
        <v>1</v>
      </c>
      <c r="P50" s="1">
        <f>+(Tabla__192.168.1.8_POSEIDONSQL_APPFVT_01_tblFillRateFechas[[#This Row],[Cant_Resultante]]/Tabla__192.168.1.8_POSEIDONSQL_APPFVT_01_tblFillRateFechas[[#This Row],[cant_order]])*100</f>
        <v>100</v>
      </c>
      <c r="Q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" s="1">
        <f>+IF(Tabla__192.168.1.8_POSEIDONSQL_APPFVT_01_tblFillRateFechas[[#This Row],[cant_order]]&gt;0,1,0)</f>
        <v>1</v>
      </c>
      <c r="V50" s="1">
        <f>+IF(Tabla__192.168.1.8_POSEIDONSQL_APPFVT_01_tblFillRateFechas[[#This Row],[Resultado]]=1,1,0)</f>
        <v>1</v>
      </c>
      <c r="W50" s="1" t="str">
        <f>+Tabla__192.168.1.8_POSEIDONSQL_APPFVT_01_tblFillRateFechas[[#This Row],[con_ocnumero]]&amp;Tabla__192.168.1.8_POSEIDONSQL_APPFVT_01_tblFillRateFechas[[#This Row],[con_codigounico]]</f>
        <v>5005164935208168</v>
      </c>
      <c r="X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" spans="1:24" x14ac:dyDescent="0.25">
      <c r="A51">
        <v>3</v>
      </c>
      <c r="B51" t="s">
        <v>50</v>
      </c>
      <c r="C51">
        <v>50051795</v>
      </c>
      <c r="D51" t="s">
        <v>1962</v>
      </c>
      <c r="E51" t="s">
        <v>163</v>
      </c>
      <c r="F51" t="s">
        <v>1963</v>
      </c>
      <c r="G51">
        <v>1</v>
      </c>
      <c r="H51">
        <v>1</v>
      </c>
      <c r="I51" t="s">
        <v>161</v>
      </c>
      <c r="J51">
        <v>0</v>
      </c>
      <c r="K51" t="s">
        <v>566</v>
      </c>
      <c r="L51">
        <f>+Tabla__192.168.1.8_POSEIDONSQL_APPFVT_01_tblFillRateFechas[[#This Row],[emb_cantidad]]-Tabla__192.168.1.8_POSEIDONSQL_APPFVT_01_tblFillRateFechas[[#This Row],[dev_cantidad]]</f>
        <v>1</v>
      </c>
      <c r="M51">
        <f>+IF(Tabla__192.168.1.8_POSEIDONSQL_APPFVT_01_tblFillRateFechas[[#This Row],[Cant_Resultante]]=Tabla__192.168.1.8_POSEIDONSQL_APPFVT_01_tblFillRateFechas[[#This Row],[cant_order]],1,0)</f>
        <v>1</v>
      </c>
      <c r="N5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" s="1">
        <f>+IF(AND(Tabla__192.168.1.8_POSEIDONSQL_APPFVT_01_tblFillRateFechas[[#This Row],[Valida Cant]]=1,Tabla__192.168.1.8_POSEIDONSQL_APPFVT_01_tblFillRateFechas[[#This Row],[Valida Fec]]=1),1,0)</f>
        <v>1</v>
      </c>
      <c r="P51" s="1">
        <f>+(Tabla__192.168.1.8_POSEIDONSQL_APPFVT_01_tblFillRateFechas[[#This Row],[Cant_Resultante]]/Tabla__192.168.1.8_POSEIDONSQL_APPFVT_01_tblFillRateFechas[[#This Row],[cant_order]])*100</f>
        <v>100</v>
      </c>
      <c r="Q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" s="1">
        <f>+IF(Tabla__192.168.1.8_POSEIDONSQL_APPFVT_01_tblFillRateFechas[[#This Row],[cant_order]]&gt;0,1,0)</f>
        <v>1</v>
      </c>
      <c r="V51" s="1">
        <f>+IF(Tabla__192.168.1.8_POSEIDONSQL_APPFVT_01_tblFillRateFechas[[#This Row],[Resultado]]=1,1,0)</f>
        <v>1</v>
      </c>
      <c r="W51" s="1" t="str">
        <f>+Tabla__192.168.1.8_POSEIDONSQL_APPFVT_01_tblFillRateFechas[[#This Row],[con_ocnumero]]&amp;Tabla__192.168.1.8_POSEIDONSQL_APPFVT_01_tblFillRateFechas[[#This Row],[con_codigounico]]</f>
        <v>5005179535208184</v>
      </c>
      <c r="X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" spans="1:24" x14ac:dyDescent="0.25">
      <c r="A52">
        <v>3</v>
      </c>
      <c r="B52" t="s">
        <v>50</v>
      </c>
      <c r="C52">
        <v>50052171</v>
      </c>
      <c r="D52" t="s">
        <v>428</v>
      </c>
      <c r="E52" t="s">
        <v>419</v>
      </c>
      <c r="F52" t="s">
        <v>163</v>
      </c>
      <c r="G52">
        <v>1</v>
      </c>
      <c r="H52">
        <v>2</v>
      </c>
      <c r="I52" t="s">
        <v>415</v>
      </c>
      <c r="J52">
        <v>1</v>
      </c>
      <c r="K52" t="s">
        <v>1475</v>
      </c>
      <c r="L52">
        <f>+Tabla__192.168.1.8_POSEIDONSQL_APPFVT_01_tblFillRateFechas[[#This Row],[emb_cantidad]]-Tabla__192.168.1.8_POSEIDONSQL_APPFVT_01_tblFillRateFechas[[#This Row],[dev_cantidad]]</f>
        <v>1</v>
      </c>
      <c r="M52">
        <f>+IF(Tabla__192.168.1.8_POSEIDONSQL_APPFVT_01_tblFillRateFechas[[#This Row],[Cant_Resultante]]=Tabla__192.168.1.8_POSEIDONSQL_APPFVT_01_tblFillRateFechas[[#This Row],[cant_order]],1,0)</f>
        <v>1</v>
      </c>
      <c r="N5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" s="1">
        <f>+IF(AND(Tabla__192.168.1.8_POSEIDONSQL_APPFVT_01_tblFillRateFechas[[#This Row],[Valida Cant]]=1,Tabla__192.168.1.8_POSEIDONSQL_APPFVT_01_tblFillRateFechas[[#This Row],[Valida Fec]]=1),1,0)</f>
        <v>1</v>
      </c>
      <c r="P52" s="1">
        <f>+(Tabla__192.168.1.8_POSEIDONSQL_APPFVT_01_tblFillRateFechas[[#This Row],[Cant_Resultante]]/Tabla__192.168.1.8_POSEIDONSQL_APPFVT_01_tblFillRateFechas[[#This Row],[cant_order]])*100</f>
        <v>100</v>
      </c>
      <c r="Q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" s="1">
        <f>+IF(Tabla__192.168.1.8_POSEIDONSQL_APPFVT_01_tblFillRateFechas[[#This Row],[cant_order]]&gt;0,1,0)</f>
        <v>1</v>
      </c>
      <c r="V52" s="1">
        <f>+IF(Tabla__192.168.1.8_POSEIDONSQL_APPFVT_01_tblFillRateFechas[[#This Row],[Resultado]]=1,1,0)</f>
        <v>1</v>
      </c>
      <c r="W52" s="1" t="str">
        <f>+Tabla__192.168.1.8_POSEIDONSQL_APPFVT_01_tblFillRateFechas[[#This Row],[con_ocnumero]]&amp;Tabla__192.168.1.8_POSEIDONSQL_APPFVT_01_tblFillRateFechas[[#This Row],[con_codigounico]]</f>
        <v>5005217135208253</v>
      </c>
      <c r="X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" spans="1:24" x14ac:dyDescent="0.25">
      <c r="A53">
        <v>3</v>
      </c>
      <c r="B53" t="s">
        <v>50</v>
      </c>
      <c r="C53">
        <v>50052211</v>
      </c>
      <c r="D53" t="s">
        <v>1982</v>
      </c>
      <c r="E53" t="s">
        <v>415</v>
      </c>
      <c r="F53" t="s">
        <v>163</v>
      </c>
      <c r="G53">
        <v>1</v>
      </c>
      <c r="H53">
        <v>2</v>
      </c>
      <c r="I53" t="s">
        <v>415</v>
      </c>
      <c r="J53">
        <v>1</v>
      </c>
      <c r="K53" t="s">
        <v>1478</v>
      </c>
      <c r="L53">
        <f>+Tabla__192.168.1.8_POSEIDONSQL_APPFVT_01_tblFillRateFechas[[#This Row],[emb_cantidad]]-Tabla__192.168.1.8_POSEIDONSQL_APPFVT_01_tblFillRateFechas[[#This Row],[dev_cantidad]]</f>
        <v>1</v>
      </c>
      <c r="M53">
        <f>+IF(Tabla__192.168.1.8_POSEIDONSQL_APPFVT_01_tblFillRateFechas[[#This Row],[Cant_Resultante]]=Tabla__192.168.1.8_POSEIDONSQL_APPFVT_01_tblFillRateFechas[[#This Row],[cant_order]],1,0)</f>
        <v>1</v>
      </c>
      <c r="N5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" s="1">
        <f>+IF(AND(Tabla__192.168.1.8_POSEIDONSQL_APPFVT_01_tblFillRateFechas[[#This Row],[Valida Cant]]=1,Tabla__192.168.1.8_POSEIDONSQL_APPFVT_01_tblFillRateFechas[[#This Row],[Valida Fec]]=1),1,0)</f>
        <v>1</v>
      </c>
      <c r="P53" s="1">
        <f>+(Tabla__192.168.1.8_POSEIDONSQL_APPFVT_01_tblFillRateFechas[[#This Row],[Cant_Resultante]]/Tabla__192.168.1.8_POSEIDONSQL_APPFVT_01_tblFillRateFechas[[#This Row],[cant_order]])*100</f>
        <v>100</v>
      </c>
      <c r="Q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" s="1">
        <f>+IF(Tabla__192.168.1.8_POSEIDONSQL_APPFVT_01_tblFillRateFechas[[#This Row],[cant_order]]&gt;0,1,0)</f>
        <v>1</v>
      </c>
      <c r="V53" s="1">
        <f>+IF(Tabla__192.168.1.8_POSEIDONSQL_APPFVT_01_tblFillRateFechas[[#This Row],[Resultado]]=1,1,0)</f>
        <v>1</v>
      </c>
      <c r="W53" s="1" t="str">
        <f>+Tabla__192.168.1.8_POSEIDONSQL_APPFVT_01_tblFillRateFechas[[#This Row],[con_ocnumero]]&amp;Tabla__192.168.1.8_POSEIDONSQL_APPFVT_01_tblFillRateFechas[[#This Row],[con_codigounico]]</f>
        <v>5005221135208269</v>
      </c>
      <c r="X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" spans="1:24" x14ac:dyDescent="0.25">
      <c r="A54">
        <v>3</v>
      </c>
      <c r="B54" t="s">
        <v>50</v>
      </c>
      <c r="C54">
        <v>50051148</v>
      </c>
      <c r="D54" t="s">
        <v>1976</v>
      </c>
      <c r="E54" t="s">
        <v>1971</v>
      </c>
      <c r="F54" t="s">
        <v>1975</v>
      </c>
      <c r="G54">
        <v>1</v>
      </c>
      <c r="H54">
        <v>1</v>
      </c>
      <c r="I54" t="s">
        <v>1967</v>
      </c>
      <c r="J54">
        <v>0</v>
      </c>
      <c r="K54" t="s">
        <v>716</v>
      </c>
      <c r="L54">
        <f>+Tabla__192.168.1.8_POSEIDONSQL_APPFVT_01_tblFillRateFechas[[#This Row],[emb_cantidad]]-Tabla__192.168.1.8_POSEIDONSQL_APPFVT_01_tblFillRateFechas[[#This Row],[dev_cantidad]]</f>
        <v>1</v>
      </c>
      <c r="M54">
        <f>+IF(Tabla__192.168.1.8_POSEIDONSQL_APPFVT_01_tblFillRateFechas[[#This Row],[Cant_Resultante]]=Tabla__192.168.1.8_POSEIDONSQL_APPFVT_01_tblFillRateFechas[[#This Row],[cant_order]],1,0)</f>
        <v>1</v>
      </c>
      <c r="N5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" s="1">
        <f>+IF(AND(Tabla__192.168.1.8_POSEIDONSQL_APPFVT_01_tblFillRateFechas[[#This Row],[Valida Cant]]=1,Tabla__192.168.1.8_POSEIDONSQL_APPFVT_01_tblFillRateFechas[[#This Row],[Valida Fec]]=1),1,0)</f>
        <v>1</v>
      </c>
      <c r="P54" s="1">
        <f>+(Tabla__192.168.1.8_POSEIDONSQL_APPFVT_01_tblFillRateFechas[[#This Row],[Cant_Resultante]]/Tabla__192.168.1.8_POSEIDONSQL_APPFVT_01_tblFillRateFechas[[#This Row],[cant_order]])*100</f>
        <v>100</v>
      </c>
      <c r="Q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" s="1">
        <f>+IF(Tabla__192.168.1.8_POSEIDONSQL_APPFVT_01_tblFillRateFechas[[#This Row],[cant_order]]&gt;0,1,0)</f>
        <v>1</v>
      </c>
      <c r="V54" s="1">
        <f>+IF(Tabla__192.168.1.8_POSEIDONSQL_APPFVT_01_tblFillRateFechas[[#This Row],[Resultado]]=1,1,0)</f>
        <v>1</v>
      </c>
      <c r="W54" s="1" t="str">
        <f>+Tabla__192.168.1.8_POSEIDONSQL_APPFVT_01_tblFillRateFechas[[#This Row],[con_ocnumero]]&amp;Tabla__192.168.1.8_POSEIDONSQL_APPFVT_01_tblFillRateFechas[[#This Row],[con_codigounico]]</f>
        <v>5005114835288439</v>
      </c>
      <c r="X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" spans="1:24" x14ac:dyDescent="0.25">
      <c r="A55">
        <v>3</v>
      </c>
      <c r="B55" t="s">
        <v>50</v>
      </c>
      <c r="C55">
        <v>50052171</v>
      </c>
      <c r="D55" t="s">
        <v>428</v>
      </c>
      <c r="E55" t="s">
        <v>415</v>
      </c>
      <c r="F55" t="s">
        <v>163</v>
      </c>
      <c r="G55">
        <v>1</v>
      </c>
      <c r="H55">
        <v>2</v>
      </c>
      <c r="I55" t="s">
        <v>415</v>
      </c>
      <c r="J55">
        <v>1</v>
      </c>
      <c r="K55" t="s">
        <v>1473</v>
      </c>
      <c r="L55">
        <f>+Tabla__192.168.1.8_POSEIDONSQL_APPFVT_01_tblFillRateFechas[[#This Row],[emb_cantidad]]-Tabla__192.168.1.8_POSEIDONSQL_APPFVT_01_tblFillRateFechas[[#This Row],[dev_cantidad]]</f>
        <v>1</v>
      </c>
      <c r="M55">
        <f>+IF(Tabla__192.168.1.8_POSEIDONSQL_APPFVT_01_tblFillRateFechas[[#This Row],[Cant_Resultante]]=Tabla__192.168.1.8_POSEIDONSQL_APPFVT_01_tblFillRateFechas[[#This Row],[cant_order]],1,0)</f>
        <v>1</v>
      </c>
      <c r="N5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" s="1">
        <f>+IF(AND(Tabla__192.168.1.8_POSEIDONSQL_APPFVT_01_tblFillRateFechas[[#This Row],[Valida Cant]]=1,Tabla__192.168.1.8_POSEIDONSQL_APPFVT_01_tblFillRateFechas[[#This Row],[Valida Fec]]=1),1,0)</f>
        <v>1</v>
      </c>
      <c r="P55" s="1">
        <f>+(Tabla__192.168.1.8_POSEIDONSQL_APPFVT_01_tblFillRateFechas[[#This Row],[Cant_Resultante]]/Tabla__192.168.1.8_POSEIDONSQL_APPFVT_01_tblFillRateFechas[[#This Row],[cant_order]])*100</f>
        <v>100</v>
      </c>
      <c r="Q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" s="1">
        <f>+IF(Tabla__192.168.1.8_POSEIDONSQL_APPFVT_01_tblFillRateFechas[[#This Row],[cant_order]]&gt;0,1,0)</f>
        <v>1</v>
      </c>
      <c r="V55" s="1">
        <f>+IF(Tabla__192.168.1.8_POSEIDONSQL_APPFVT_01_tblFillRateFechas[[#This Row],[Resultado]]=1,1,0)</f>
        <v>1</v>
      </c>
      <c r="W55" s="1" t="str">
        <f>+Tabla__192.168.1.8_POSEIDONSQL_APPFVT_01_tblFillRateFechas[[#This Row],[con_ocnumero]]&amp;Tabla__192.168.1.8_POSEIDONSQL_APPFVT_01_tblFillRateFechas[[#This Row],[con_codigounico]]</f>
        <v>5005217135288715</v>
      </c>
      <c r="X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" spans="1:24" x14ac:dyDescent="0.25">
      <c r="A56">
        <v>3</v>
      </c>
      <c r="B56" t="s">
        <v>50</v>
      </c>
      <c r="C56">
        <v>50051098</v>
      </c>
      <c r="D56" t="s">
        <v>1972</v>
      </c>
      <c r="E56" t="s">
        <v>1980</v>
      </c>
      <c r="F56" t="s">
        <v>1975</v>
      </c>
      <c r="G56">
        <v>1</v>
      </c>
      <c r="H56">
        <v>1</v>
      </c>
      <c r="I56" t="s">
        <v>1965</v>
      </c>
      <c r="J56">
        <v>0</v>
      </c>
      <c r="K56" t="s">
        <v>732</v>
      </c>
      <c r="L56">
        <f>+Tabla__192.168.1.8_POSEIDONSQL_APPFVT_01_tblFillRateFechas[[#This Row],[emb_cantidad]]-Tabla__192.168.1.8_POSEIDONSQL_APPFVT_01_tblFillRateFechas[[#This Row],[dev_cantidad]]</f>
        <v>1</v>
      </c>
      <c r="M56">
        <f>+IF(Tabla__192.168.1.8_POSEIDONSQL_APPFVT_01_tblFillRateFechas[[#This Row],[Cant_Resultante]]=Tabla__192.168.1.8_POSEIDONSQL_APPFVT_01_tblFillRateFechas[[#This Row],[cant_order]],1,0)</f>
        <v>1</v>
      </c>
      <c r="N5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" s="1">
        <f>+IF(AND(Tabla__192.168.1.8_POSEIDONSQL_APPFVT_01_tblFillRateFechas[[#This Row],[Valida Cant]]=1,Tabla__192.168.1.8_POSEIDONSQL_APPFVT_01_tblFillRateFechas[[#This Row],[Valida Fec]]=1),1,0)</f>
        <v>1</v>
      </c>
      <c r="P56" s="1">
        <f>+(Tabla__192.168.1.8_POSEIDONSQL_APPFVT_01_tblFillRateFechas[[#This Row],[Cant_Resultante]]/Tabla__192.168.1.8_POSEIDONSQL_APPFVT_01_tblFillRateFechas[[#This Row],[cant_order]])*100</f>
        <v>100</v>
      </c>
      <c r="Q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" s="1">
        <f>+IF(Tabla__192.168.1.8_POSEIDONSQL_APPFVT_01_tblFillRateFechas[[#This Row],[cant_order]]&gt;0,1,0)</f>
        <v>1</v>
      </c>
      <c r="V56" s="1">
        <f>+IF(Tabla__192.168.1.8_POSEIDONSQL_APPFVT_01_tblFillRateFechas[[#This Row],[Resultado]]=1,1,0)</f>
        <v>1</v>
      </c>
      <c r="W56" s="1" t="str">
        <f>+Tabla__192.168.1.8_POSEIDONSQL_APPFVT_01_tblFillRateFechas[[#This Row],[con_ocnumero]]&amp;Tabla__192.168.1.8_POSEIDONSQL_APPFVT_01_tblFillRateFechas[[#This Row],[con_codigounico]]</f>
        <v>5005109835344306</v>
      </c>
      <c r="X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" spans="1:24" x14ac:dyDescent="0.25">
      <c r="A57">
        <v>3</v>
      </c>
      <c r="B57" t="s">
        <v>50</v>
      </c>
      <c r="C57">
        <v>50051148</v>
      </c>
      <c r="D57" t="s">
        <v>1976</v>
      </c>
      <c r="E57" t="s">
        <v>1962</v>
      </c>
      <c r="F57" t="s">
        <v>1975</v>
      </c>
      <c r="G57">
        <v>1</v>
      </c>
      <c r="H57">
        <v>2</v>
      </c>
      <c r="I57" t="s">
        <v>1965</v>
      </c>
      <c r="J57">
        <v>1</v>
      </c>
      <c r="K57" t="s">
        <v>1042</v>
      </c>
      <c r="L57">
        <f>+Tabla__192.168.1.8_POSEIDONSQL_APPFVT_01_tblFillRateFechas[[#This Row],[emb_cantidad]]-Tabla__192.168.1.8_POSEIDONSQL_APPFVT_01_tblFillRateFechas[[#This Row],[dev_cantidad]]</f>
        <v>1</v>
      </c>
      <c r="M57">
        <f>+IF(Tabla__192.168.1.8_POSEIDONSQL_APPFVT_01_tblFillRateFechas[[#This Row],[Cant_Resultante]]=Tabla__192.168.1.8_POSEIDONSQL_APPFVT_01_tblFillRateFechas[[#This Row],[cant_order]],1,0)</f>
        <v>1</v>
      </c>
      <c r="N5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" s="1">
        <f>+IF(AND(Tabla__192.168.1.8_POSEIDONSQL_APPFVT_01_tblFillRateFechas[[#This Row],[Valida Cant]]=1,Tabla__192.168.1.8_POSEIDONSQL_APPFVT_01_tblFillRateFechas[[#This Row],[Valida Fec]]=1),1,0)</f>
        <v>1</v>
      </c>
      <c r="P57" s="1">
        <f>+(Tabla__192.168.1.8_POSEIDONSQL_APPFVT_01_tblFillRateFechas[[#This Row],[Cant_Resultante]]/Tabla__192.168.1.8_POSEIDONSQL_APPFVT_01_tblFillRateFechas[[#This Row],[cant_order]])*100</f>
        <v>100</v>
      </c>
      <c r="Q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" s="1">
        <f>+IF(Tabla__192.168.1.8_POSEIDONSQL_APPFVT_01_tblFillRateFechas[[#This Row],[cant_order]]&gt;0,1,0)</f>
        <v>1</v>
      </c>
      <c r="V57" s="1">
        <f>+IF(Tabla__192.168.1.8_POSEIDONSQL_APPFVT_01_tblFillRateFechas[[#This Row],[Resultado]]=1,1,0)</f>
        <v>1</v>
      </c>
      <c r="W57" s="1" t="str">
        <f>+Tabla__192.168.1.8_POSEIDONSQL_APPFVT_01_tblFillRateFechas[[#This Row],[con_ocnumero]]&amp;Tabla__192.168.1.8_POSEIDONSQL_APPFVT_01_tblFillRateFechas[[#This Row],[con_codigounico]]</f>
        <v>5005114835344322</v>
      </c>
      <c r="X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" spans="1:24" x14ac:dyDescent="0.25">
      <c r="A58">
        <v>3</v>
      </c>
      <c r="B58" t="s">
        <v>50</v>
      </c>
      <c r="C58">
        <v>50051209</v>
      </c>
      <c r="D58" t="s">
        <v>1974</v>
      </c>
      <c r="E58" t="s">
        <v>1962</v>
      </c>
      <c r="F58" t="s">
        <v>1975</v>
      </c>
      <c r="G58">
        <v>1</v>
      </c>
      <c r="H58">
        <v>2</v>
      </c>
      <c r="I58" t="s">
        <v>1965</v>
      </c>
      <c r="J58">
        <v>1</v>
      </c>
      <c r="K58" t="s">
        <v>724</v>
      </c>
      <c r="L58">
        <f>+Tabla__192.168.1.8_POSEIDONSQL_APPFVT_01_tblFillRateFechas[[#This Row],[emb_cantidad]]-Tabla__192.168.1.8_POSEIDONSQL_APPFVT_01_tblFillRateFechas[[#This Row],[dev_cantidad]]</f>
        <v>1</v>
      </c>
      <c r="M58">
        <f>+IF(Tabla__192.168.1.8_POSEIDONSQL_APPFVT_01_tblFillRateFechas[[#This Row],[Cant_Resultante]]=Tabla__192.168.1.8_POSEIDONSQL_APPFVT_01_tblFillRateFechas[[#This Row],[cant_order]],1,0)</f>
        <v>1</v>
      </c>
      <c r="N5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" s="1">
        <f>+IF(AND(Tabla__192.168.1.8_POSEIDONSQL_APPFVT_01_tblFillRateFechas[[#This Row],[Valida Cant]]=1,Tabla__192.168.1.8_POSEIDONSQL_APPFVT_01_tblFillRateFechas[[#This Row],[Valida Fec]]=1),1,0)</f>
        <v>1</v>
      </c>
      <c r="P58" s="1">
        <f>+(Tabla__192.168.1.8_POSEIDONSQL_APPFVT_01_tblFillRateFechas[[#This Row],[Cant_Resultante]]/Tabla__192.168.1.8_POSEIDONSQL_APPFVT_01_tblFillRateFechas[[#This Row],[cant_order]])*100</f>
        <v>100</v>
      </c>
      <c r="Q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" s="1">
        <f>+IF(Tabla__192.168.1.8_POSEIDONSQL_APPFVT_01_tblFillRateFechas[[#This Row],[cant_order]]&gt;0,1,0)</f>
        <v>1</v>
      </c>
      <c r="V58" s="1">
        <f>+IF(Tabla__192.168.1.8_POSEIDONSQL_APPFVT_01_tblFillRateFechas[[#This Row],[Resultado]]=1,1,0)</f>
        <v>1</v>
      </c>
      <c r="W58" s="1" t="str">
        <f>+Tabla__192.168.1.8_POSEIDONSQL_APPFVT_01_tblFillRateFechas[[#This Row],[con_ocnumero]]&amp;Tabla__192.168.1.8_POSEIDONSQL_APPFVT_01_tblFillRateFechas[[#This Row],[con_codigounico]]</f>
        <v>5005120935344332</v>
      </c>
      <c r="X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" spans="1:24" x14ac:dyDescent="0.25">
      <c r="A59">
        <v>3</v>
      </c>
      <c r="B59" t="s">
        <v>50</v>
      </c>
      <c r="C59">
        <v>50051260</v>
      </c>
      <c r="D59" t="s">
        <v>1975</v>
      </c>
      <c r="E59" t="s">
        <v>1966</v>
      </c>
      <c r="F59" t="s">
        <v>1978</v>
      </c>
      <c r="G59">
        <v>1</v>
      </c>
      <c r="H59">
        <v>2</v>
      </c>
      <c r="I59" t="s">
        <v>1965</v>
      </c>
      <c r="J59">
        <v>1</v>
      </c>
      <c r="K59" t="s">
        <v>729</v>
      </c>
      <c r="L59">
        <f>+Tabla__192.168.1.8_POSEIDONSQL_APPFVT_01_tblFillRateFechas[[#This Row],[emb_cantidad]]-Tabla__192.168.1.8_POSEIDONSQL_APPFVT_01_tblFillRateFechas[[#This Row],[dev_cantidad]]</f>
        <v>1</v>
      </c>
      <c r="M59">
        <f>+IF(Tabla__192.168.1.8_POSEIDONSQL_APPFVT_01_tblFillRateFechas[[#This Row],[Cant_Resultante]]=Tabla__192.168.1.8_POSEIDONSQL_APPFVT_01_tblFillRateFechas[[#This Row],[cant_order]],1,0)</f>
        <v>1</v>
      </c>
      <c r="N5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" s="1">
        <f>+IF(AND(Tabla__192.168.1.8_POSEIDONSQL_APPFVT_01_tblFillRateFechas[[#This Row],[Valida Cant]]=1,Tabla__192.168.1.8_POSEIDONSQL_APPFVT_01_tblFillRateFechas[[#This Row],[Valida Fec]]=1),1,0)</f>
        <v>1</v>
      </c>
      <c r="P59" s="1">
        <f>+(Tabla__192.168.1.8_POSEIDONSQL_APPFVT_01_tblFillRateFechas[[#This Row],[Cant_Resultante]]/Tabla__192.168.1.8_POSEIDONSQL_APPFVT_01_tblFillRateFechas[[#This Row],[cant_order]])*100</f>
        <v>100</v>
      </c>
      <c r="Q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" s="1">
        <f>+IF(Tabla__192.168.1.8_POSEIDONSQL_APPFVT_01_tblFillRateFechas[[#This Row],[cant_order]]&gt;0,1,0)</f>
        <v>1</v>
      </c>
      <c r="V59" s="1">
        <f>+IF(Tabla__192.168.1.8_POSEIDONSQL_APPFVT_01_tblFillRateFechas[[#This Row],[Resultado]]=1,1,0)</f>
        <v>1</v>
      </c>
      <c r="W59" s="1" t="str">
        <f>+Tabla__192.168.1.8_POSEIDONSQL_APPFVT_01_tblFillRateFechas[[#This Row],[con_ocnumero]]&amp;Tabla__192.168.1.8_POSEIDONSQL_APPFVT_01_tblFillRateFechas[[#This Row],[con_codigounico]]</f>
        <v>5005126035344344</v>
      </c>
      <c r="X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" spans="1:24" x14ac:dyDescent="0.25">
      <c r="A60">
        <v>3</v>
      </c>
      <c r="B60" t="s">
        <v>50</v>
      </c>
      <c r="C60">
        <v>50051311</v>
      </c>
      <c r="D60" t="s">
        <v>1978</v>
      </c>
      <c r="E60" t="s">
        <v>1963</v>
      </c>
      <c r="F60" t="s">
        <v>1979</v>
      </c>
      <c r="G60">
        <v>1</v>
      </c>
      <c r="H60">
        <v>1</v>
      </c>
      <c r="I60" t="s">
        <v>1965</v>
      </c>
      <c r="J60">
        <v>0</v>
      </c>
      <c r="K60" t="s">
        <v>1955</v>
      </c>
      <c r="L60">
        <f>+Tabla__192.168.1.8_POSEIDONSQL_APPFVT_01_tblFillRateFechas[[#This Row],[emb_cantidad]]-Tabla__192.168.1.8_POSEIDONSQL_APPFVT_01_tblFillRateFechas[[#This Row],[dev_cantidad]]</f>
        <v>1</v>
      </c>
      <c r="M60">
        <f>+IF(Tabla__192.168.1.8_POSEIDONSQL_APPFVT_01_tblFillRateFechas[[#This Row],[Cant_Resultante]]=Tabla__192.168.1.8_POSEIDONSQL_APPFVT_01_tblFillRateFechas[[#This Row],[cant_order]],1,0)</f>
        <v>1</v>
      </c>
      <c r="N6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" s="1">
        <f>+IF(AND(Tabla__192.168.1.8_POSEIDONSQL_APPFVT_01_tblFillRateFechas[[#This Row],[Valida Cant]]=1,Tabla__192.168.1.8_POSEIDONSQL_APPFVT_01_tblFillRateFechas[[#This Row],[Valida Fec]]=1),1,0)</f>
        <v>1</v>
      </c>
      <c r="P60" s="1">
        <f>+(Tabla__192.168.1.8_POSEIDONSQL_APPFVT_01_tblFillRateFechas[[#This Row],[Cant_Resultante]]/Tabla__192.168.1.8_POSEIDONSQL_APPFVT_01_tblFillRateFechas[[#This Row],[cant_order]])*100</f>
        <v>100</v>
      </c>
      <c r="Q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" s="1">
        <f>+IF(Tabla__192.168.1.8_POSEIDONSQL_APPFVT_01_tblFillRateFechas[[#This Row],[cant_order]]&gt;0,1,0)</f>
        <v>1</v>
      </c>
      <c r="V60" s="1">
        <f>+IF(Tabla__192.168.1.8_POSEIDONSQL_APPFVT_01_tblFillRateFechas[[#This Row],[Resultado]]=1,1,0)</f>
        <v>1</v>
      </c>
      <c r="W60" s="1" t="str">
        <f>+Tabla__192.168.1.8_POSEIDONSQL_APPFVT_01_tblFillRateFechas[[#This Row],[con_ocnumero]]&amp;Tabla__192.168.1.8_POSEIDONSQL_APPFVT_01_tblFillRateFechas[[#This Row],[con_codigounico]]</f>
        <v>5005131135344357</v>
      </c>
      <c r="X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" spans="1:24" x14ac:dyDescent="0.25">
      <c r="A61">
        <v>3</v>
      </c>
      <c r="B61" t="s">
        <v>50</v>
      </c>
      <c r="C61">
        <v>50051451</v>
      </c>
      <c r="D61" t="s">
        <v>1968</v>
      </c>
      <c r="E61" t="s">
        <v>160</v>
      </c>
      <c r="F61" t="s">
        <v>1971</v>
      </c>
      <c r="G61">
        <v>1</v>
      </c>
      <c r="H61">
        <v>1</v>
      </c>
      <c r="I61" t="s">
        <v>1977</v>
      </c>
      <c r="J61">
        <v>0</v>
      </c>
      <c r="K61" t="s">
        <v>1572</v>
      </c>
      <c r="L61">
        <f>+Tabla__192.168.1.8_POSEIDONSQL_APPFVT_01_tblFillRateFechas[[#This Row],[emb_cantidad]]-Tabla__192.168.1.8_POSEIDONSQL_APPFVT_01_tblFillRateFechas[[#This Row],[dev_cantidad]]</f>
        <v>1</v>
      </c>
      <c r="M61">
        <f>+IF(Tabla__192.168.1.8_POSEIDONSQL_APPFVT_01_tblFillRateFechas[[#This Row],[Cant_Resultante]]=Tabla__192.168.1.8_POSEIDONSQL_APPFVT_01_tblFillRateFechas[[#This Row],[cant_order]],1,0)</f>
        <v>1</v>
      </c>
      <c r="N6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" s="1">
        <f>+IF(AND(Tabla__192.168.1.8_POSEIDONSQL_APPFVT_01_tblFillRateFechas[[#This Row],[Valida Cant]]=1,Tabla__192.168.1.8_POSEIDONSQL_APPFVT_01_tblFillRateFechas[[#This Row],[Valida Fec]]=1),1,0)</f>
        <v>1</v>
      </c>
      <c r="P61" s="1">
        <f>+(Tabla__192.168.1.8_POSEIDONSQL_APPFVT_01_tblFillRateFechas[[#This Row],[Cant_Resultante]]/Tabla__192.168.1.8_POSEIDONSQL_APPFVT_01_tblFillRateFechas[[#This Row],[cant_order]])*100</f>
        <v>100</v>
      </c>
      <c r="Q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" s="1">
        <f>+IF(Tabla__192.168.1.8_POSEIDONSQL_APPFVT_01_tblFillRateFechas[[#This Row],[cant_order]]&gt;0,1,0)</f>
        <v>1</v>
      </c>
      <c r="V61" s="1">
        <f>+IF(Tabla__192.168.1.8_POSEIDONSQL_APPFVT_01_tblFillRateFechas[[#This Row],[Resultado]]=1,1,0)</f>
        <v>1</v>
      </c>
      <c r="W61" s="1" t="str">
        <f>+Tabla__192.168.1.8_POSEIDONSQL_APPFVT_01_tblFillRateFechas[[#This Row],[con_ocnumero]]&amp;Tabla__192.168.1.8_POSEIDONSQL_APPFVT_01_tblFillRateFechas[[#This Row],[con_codigounico]]</f>
        <v>5005145135344391</v>
      </c>
      <c r="X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" spans="1:24" x14ac:dyDescent="0.25">
      <c r="A62">
        <v>3</v>
      </c>
      <c r="B62" t="s">
        <v>50</v>
      </c>
      <c r="C62">
        <v>50051991</v>
      </c>
      <c r="D62" t="s">
        <v>162</v>
      </c>
      <c r="E62" t="s">
        <v>415</v>
      </c>
      <c r="F62" t="s">
        <v>160</v>
      </c>
      <c r="G62">
        <v>1</v>
      </c>
      <c r="H62">
        <v>3</v>
      </c>
      <c r="I62" t="s">
        <v>415</v>
      </c>
      <c r="J62">
        <v>2</v>
      </c>
      <c r="K62" t="s">
        <v>1654</v>
      </c>
      <c r="L62">
        <f>+Tabla__192.168.1.8_POSEIDONSQL_APPFVT_01_tblFillRateFechas[[#This Row],[emb_cantidad]]-Tabla__192.168.1.8_POSEIDONSQL_APPFVT_01_tblFillRateFechas[[#This Row],[dev_cantidad]]</f>
        <v>1</v>
      </c>
      <c r="M62">
        <f>+IF(Tabla__192.168.1.8_POSEIDONSQL_APPFVT_01_tblFillRateFechas[[#This Row],[Cant_Resultante]]=Tabla__192.168.1.8_POSEIDONSQL_APPFVT_01_tblFillRateFechas[[#This Row],[cant_order]],1,0)</f>
        <v>1</v>
      </c>
      <c r="N6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" s="1">
        <f>+IF(AND(Tabla__192.168.1.8_POSEIDONSQL_APPFVT_01_tblFillRateFechas[[#This Row],[Valida Cant]]=1,Tabla__192.168.1.8_POSEIDONSQL_APPFVT_01_tblFillRateFechas[[#This Row],[Valida Fec]]=1),1,0)</f>
        <v>1</v>
      </c>
      <c r="P62" s="1">
        <f>+(Tabla__192.168.1.8_POSEIDONSQL_APPFVT_01_tblFillRateFechas[[#This Row],[Cant_Resultante]]/Tabla__192.168.1.8_POSEIDONSQL_APPFVT_01_tblFillRateFechas[[#This Row],[cant_order]])*100</f>
        <v>100</v>
      </c>
      <c r="Q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" s="1">
        <f>+IF(Tabla__192.168.1.8_POSEIDONSQL_APPFVT_01_tblFillRateFechas[[#This Row],[cant_order]]&gt;0,1,0)</f>
        <v>1</v>
      </c>
      <c r="V62" s="1">
        <f>+IF(Tabla__192.168.1.8_POSEIDONSQL_APPFVT_01_tblFillRateFechas[[#This Row],[Resultado]]=1,1,0)</f>
        <v>1</v>
      </c>
      <c r="W62" s="1" t="str">
        <f>+Tabla__192.168.1.8_POSEIDONSQL_APPFVT_01_tblFillRateFechas[[#This Row],[con_ocnumero]]&amp;Tabla__192.168.1.8_POSEIDONSQL_APPFVT_01_tblFillRateFechas[[#This Row],[con_codigounico]]</f>
        <v>5005199135344520</v>
      </c>
      <c r="X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" spans="1:24" x14ac:dyDescent="0.25">
      <c r="A63">
        <v>3</v>
      </c>
      <c r="B63" t="s">
        <v>50</v>
      </c>
      <c r="C63">
        <v>50052042</v>
      </c>
      <c r="D63" t="s">
        <v>160</v>
      </c>
      <c r="E63" t="s">
        <v>415</v>
      </c>
      <c r="F63" t="s">
        <v>161</v>
      </c>
      <c r="G63">
        <v>1</v>
      </c>
      <c r="H63">
        <v>3</v>
      </c>
      <c r="I63" t="s">
        <v>415</v>
      </c>
      <c r="J63">
        <v>2</v>
      </c>
      <c r="K63" t="s">
        <v>1837</v>
      </c>
      <c r="L63">
        <f>+Tabla__192.168.1.8_POSEIDONSQL_APPFVT_01_tblFillRateFechas[[#This Row],[emb_cantidad]]-Tabla__192.168.1.8_POSEIDONSQL_APPFVT_01_tblFillRateFechas[[#This Row],[dev_cantidad]]</f>
        <v>1</v>
      </c>
      <c r="M63">
        <f>+IF(Tabla__192.168.1.8_POSEIDONSQL_APPFVT_01_tblFillRateFechas[[#This Row],[Cant_Resultante]]=Tabla__192.168.1.8_POSEIDONSQL_APPFVT_01_tblFillRateFechas[[#This Row],[cant_order]],1,0)</f>
        <v>1</v>
      </c>
      <c r="N6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" s="1">
        <f>+IF(AND(Tabla__192.168.1.8_POSEIDONSQL_APPFVT_01_tblFillRateFechas[[#This Row],[Valida Cant]]=1,Tabla__192.168.1.8_POSEIDONSQL_APPFVT_01_tblFillRateFechas[[#This Row],[Valida Fec]]=1),1,0)</f>
        <v>1</v>
      </c>
      <c r="P63" s="1">
        <f>+(Tabla__192.168.1.8_POSEIDONSQL_APPFVT_01_tblFillRateFechas[[#This Row],[Cant_Resultante]]/Tabla__192.168.1.8_POSEIDONSQL_APPFVT_01_tblFillRateFechas[[#This Row],[cant_order]])*100</f>
        <v>100</v>
      </c>
      <c r="Q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" s="1">
        <f>+IF(Tabla__192.168.1.8_POSEIDONSQL_APPFVT_01_tblFillRateFechas[[#This Row],[cant_order]]&gt;0,1,0)</f>
        <v>1</v>
      </c>
      <c r="V63" s="1">
        <f>+IF(Tabla__192.168.1.8_POSEIDONSQL_APPFVT_01_tblFillRateFechas[[#This Row],[Resultado]]=1,1,0)</f>
        <v>1</v>
      </c>
      <c r="W63" s="1" t="str">
        <f>+Tabla__192.168.1.8_POSEIDONSQL_APPFVT_01_tblFillRateFechas[[#This Row],[con_ocnumero]]&amp;Tabla__192.168.1.8_POSEIDONSQL_APPFVT_01_tblFillRateFechas[[#This Row],[con_codigounico]]</f>
        <v>5005204235344524</v>
      </c>
      <c r="X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" spans="1:24" x14ac:dyDescent="0.25">
      <c r="A64">
        <v>3</v>
      </c>
      <c r="B64" t="s">
        <v>50</v>
      </c>
      <c r="C64">
        <v>50052042</v>
      </c>
      <c r="D64" t="s">
        <v>160</v>
      </c>
      <c r="E64" t="s">
        <v>415</v>
      </c>
      <c r="F64" t="s">
        <v>161</v>
      </c>
      <c r="G64">
        <v>1</v>
      </c>
      <c r="H64">
        <v>3</v>
      </c>
      <c r="I64" t="s">
        <v>415</v>
      </c>
      <c r="J64">
        <v>2</v>
      </c>
      <c r="K64" t="s">
        <v>1836</v>
      </c>
      <c r="L64">
        <f>+Tabla__192.168.1.8_POSEIDONSQL_APPFVT_01_tblFillRateFechas[[#This Row],[emb_cantidad]]-Tabla__192.168.1.8_POSEIDONSQL_APPFVT_01_tblFillRateFechas[[#This Row],[dev_cantidad]]</f>
        <v>1</v>
      </c>
      <c r="M64">
        <f>+IF(Tabla__192.168.1.8_POSEIDONSQL_APPFVT_01_tblFillRateFechas[[#This Row],[Cant_Resultante]]=Tabla__192.168.1.8_POSEIDONSQL_APPFVT_01_tblFillRateFechas[[#This Row],[cant_order]],1,0)</f>
        <v>1</v>
      </c>
      <c r="N6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" s="1">
        <f>+IF(AND(Tabla__192.168.1.8_POSEIDONSQL_APPFVT_01_tblFillRateFechas[[#This Row],[Valida Cant]]=1,Tabla__192.168.1.8_POSEIDONSQL_APPFVT_01_tblFillRateFechas[[#This Row],[Valida Fec]]=1),1,0)</f>
        <v>1</v>
      </c>
      <c r="P64" s="1">
        <f>+(Tabla__192.168.1.8_POSEIDONSQL_APPFVT_01_tblFillRateFechas[[#This Row],[Cant_Resultante]]/Tabla__192.168.1.8_POSEIDONSQL_APPFVT_01_tblFillRateFechas[[#This Row],[cant_order]])*100</f>
        <v>100</v>
      </c>
      <c r="Q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" s="1">
        <f>+IF(Tabla__192.168.1.8_POSEIDONSQL_APPFVT_01_tblFillRateFechas[[#This Row],[cant_order]]&gt;0,1,0)</f>
        <v>1</v>
      </c>
      <c r="V64" s="1">
        <f>+IF(Tabla__192.168.1.8_POSEIDONSQL_APPFVT_01_tblFillRateFechas[[#This Row],[Resultado]]=1,1,0)</f>
        <v>1</v>
      </c>
      <c r="W64" s="1" t="str">
        <f>+Tabla__192.168.1.8_POSEIDONSQL_APPFVT_01_tblFillRateFechas[[#This Row],[con_ocnumero]]&amp;Tabla__192.168.1.8_POSEIDONSQL_APPFVT_01_tblFillRateFechas[[#This Row],[con_codigounico]]</f>
        <v>5005204235344528</v>
      </c>
      <c r="X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" spans="1:24" x14ac:dyDescent="0.25">
      <c r="A65">
        <v>3</v>
      </c>
      <c r="B65" t="s">
        <v>50</v>
      </c>
      <c r="C65">
        <v>50052089</v>
      </c>
      <c r="D65" t="s">
        <v>161</v>
      </c>
      <c r="E65" t="s">
        <v>415</v>
      </c>
      <c r="F65" t="s">
        <v>1969</v>
      </c>
      <c r="G65">
        <v>1</v>
      </c>
      <c r="H65">
        <v>2</v>
      </c>
      <c r="I65" t="s">
        <v>415</v>
      </c>
      <c r="J65">
        <v>1</v>
      </c>
      <c r="K65" t="s">
        <v>1481</v>
      </c>
      <c r="L65">
        <f>+Tabla__192.168.1.8_POSEIDONSQL_APPFVT_01_tblFillRateFechas[[#This Row],[emb_cantidad]]-Tabla__192.168.1.8_POSEIDONSQL_APPFVT_01_tblFillRateFechas[[#This Row],[dev_cantidad]]</f>
        <v>1</v>
      </c>
      <c r="M65">
        <f>+IF(Tabla__192.168.1.8_POSEIDONSQL_APPFVT_01_tblFillRateFechas[[#This Row],[Cant_Resultante]]=Tabla__192.168.1.8_POSEIDONSQL_APPFVT_01_tblFillRateFechas[[#This Row],[cant_order]],1,0)</f>
        <v>1</v>
      </c>
      <c r="N6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" s="1">
        <f>+IF(AND(Tabla__192.168.1.8_POSEIDONSQL_APPFVT_01_tblFillRateFechas[[#This Row],[Valida Cant]]=1,Tabla__192.168.1.8_POSEIDONSQL_APPFVT_01_tblFillRateFechas[[#This Row],[Valida Fec]]=1),1,0)</f>
        <v>1</v>
      </c>
      <c r="P65" s="1">
        <f>+(Tabla__192.168.1.8_POSEIDONSQL_APPFVT_01_tblFillRateFechas[[#This Row],[Cant_Resultante]]/Tabla__192.168.1.8_POSEIDONSQL_APPFVT_01_tblFillRateFechas[[#This Row],[cant_order]])*100</f>
        <v>100</v>
      </c>
      <c r="Q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" s="1">
        <f>+IF(Tabla__192.168.1.8_POSEIDONSQL_APPFVT_01_tblFillRateFechas[[#This Row],[cant_order]]&gt;0,1,0)</f>
        <v>1</v>
      </c>
      <c r="V65" s="1">
        <f>+IF(Tabla__192.168.1.8_POSEIDONSQL_APPFVT_01_tblFillRateFechas[[#This Row],[Resultado]]=1,1,0)</f>
        <v>1</v>
      </c>
      <c r="W65" s="1" t="str">
        <f>+Tabla__192.168.1.8_POSEIDONSQL_APPFVT_01_tblFillRateFechas[[#This Row],[con_ocnumero]]&amp;Tabla__192.168.1.8_POSEIDONSQL_APPFVT_01_tblFillRateFechas[[#This Row],[con_codigounico]]</f>
        <v>5005208935344535</v>
      </c>
      <c r="X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" spans="1:24" x14ac:dyDescent="0.25">
      <c r="A66">
        <v>3</v>
      </c>
      <c r="B66" t="s">
        <v>50</v>
      </c>
      <c r="C66">
        <v>50052296</v>
      </c>
      <c r="D66" t="s">
        <v>429</v>
      </c>
      <c r="E66" t="s">
        <v>422</v>
      </c>
      <c r="F66" t="s">
        <v>427</v>
      </c>
      <c r="G66">
        <v>1</v>
      </c>
      <c r="H66">
        <v>0</v>
      </c>
      <c r="I66" t="s">
        <v>12</v>
      </c>
      <c r="J66">
        <v>0</v>
      </c>
      <c r="K66" t="s">
        <v>645</v>
      </c>
      <c r="L66">
        <f>+Tabla__192.168.1.8_POSEIDONSQL_APPFVT_01_tblFillRateFechas[[#This Row],[emb_cantidad]]-Tabla__192.168.1.8_POSEIDONSQL_APPFVT_01_tblFillRateFechas[[#This Row],[dev_cantidad]]</f>
        <v>0</v>
      </c>
      <c r="M66">
        <f>+IF(Tabla__192.168.1.8_POSEIDONSQL_APPFVT_01_tblFillRateFechas[[#This Row],[Cant_Resultante]]=Tabla__192.168.1.8_POSEIDONSQL_APPFVT_01_tblFillRateFechas[[#This Row],[cant_order]],1,0)</f>
        <v>0</v>
      </c>
      <c r="N6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66" s="1">
        <f>+IF(AND(Tabla__192.168.1.8_POSEIDONSQL_APPFVT_01_tblFillRateFechas[[#This Row],[Valida Cant]]=1,Tabla__192.168.1.8_POSEIDONSQL_APPFVT_01_tblFillRateFechas[[#This Row],[Valida Fec]]=1),1,0)</f>
        <v>0</v>
      </c>
      <c r="P66" s="1">
        <f>+(Tabla__192.168.1.8_POSEIDONSQL_APPFVT_01_tblFillRateFechas[[#This Row],[Cant_Resultante]]/Tabla__192.168.1.8_POSEIDONSQL_APPFVT_01_tblFillRateFechas[[#This Row],[cant_order]])*100</f>
        <v>0</v>
      </c>
      <c r="Q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66" s="1">
        <f>+IF(Tabla__192.168.1.8_POSEIDONSQL_APPFVT_01_tblFillRateFechas[[#This Row],[cant_order]]&gt;0,1,0)</f>
        <v>1</v>
      </c>
      <c r="V66" s="1">
        <f>+IF(Tabla__192.168.1.8_POSEIDONSQL_APPFVT_01_tblFillRateFechas[[#This Row],[Resultado]]=1,1,0)</f>
        <v>0</v>
      </c>
      <c r="W66" s="1" t="str">
        <f>+Tabla__192.168.1.8_POSEIDONSQL_APPFVT_01_tblFillRateFechas[[#This Row],[con_ocnumero]]&amp;Tabla__192.168.1.8_POSEIDONSQL_APPFVT_01_tblFillRateFechas[[#This Row],[con_codigounico]]</f>
        <v>5005229635344588</v>
      </c>
      <c r="X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67" spans="1:24" x14ac:dyDescent="0.25">
      <c r="A67">
        <v>3</v>
      </c>
      <c r="B67" t="s">
        <v>50</v>
      </c>
      <c r="C67">
        <v>50052369</v>
      </c>
      <c r="D67" t="s">
        <v>425</v>
      </c>
      <c r="E67" t="s">
        <v>416</v>
      </c>
      <c r="F67" t="s">
        <v>426</v>
      </c>
      <c r="G67">
        <v>1</v>
      </c>
      <c r="H67">
        <v>1</v>
      </c>
      <c r="I67" t="s">
        <v>416</v>
      </c>
      <c r="J67">
        <v>0</v>
      </c>
      <c r="K67" t="s">
        <v>651</v>
      </c>
      <c r="L67">
        <f>+Tabla__192.168.1.8_POSEIDONSQL_APPFVT_01_tblFillRateFechas[[#This Row],[emb_cantidad]]-Tabla__192.168.1.8_POSEIDONSQL_APPFVT_01_tblFillRateFechas[[#This Row],[dev_cantidad]]</f>
        <v>1</v>
      </c>
      <c r="M67">
        <f>+IF(Tabla__192.168.1.8_POSEIDONSQL_APPFVT_01_tblFillRateFechas[[#This Row],[Cant_Resultante]]=Tabla__192.168.1.8_POSEIDONSQL_APPFVT_01_tblFillRateFechas[[#This Row],[cant_order]],1,0)</f>
        <v>1</v>
      </c>
      <c r="N6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" s="1">
        <f>+IF(AND(Tabla__192.168.1.8_POSEIDONSQL_APPFVT_01_tblFillRateFechas[[#This Row],[Valida Cant]]=1,Tabla__192.168.1.8_POSEIDONSQL_APPFVT_01_tblFillRateFechas[[#This Row],[Valida Fec]]=1),1,0)</f>
        <v>1</v>
      </c>
      <c r="P67" s="1">
        <f>+(Tabla__192.168.1.8_POSEIDONSQL_APPFVT_01_tblFillRateFechas[[#This Row],[Cant_Resultante]]/Tabla__192.168.1.8_POSEIDONSQL_APPFVT_01_tblFillRateFechas[[#This Row],[cant_order]])*100</f>
        <v>100</v>
      </c>
      <c r="Q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" s="1">
        <f>+IF(Tabla__192.168.1.8_POSEIDONSQL_APPFVT_01_tblFillRateFechas[[#This Row],[cant_order]]&gt;0,1,0)</f>
        <v>1</v>
      </c>
      <c r="V67" s="1">
        <f>+IF(Tabla__192.168.1.8_POSEIDONSQL_APPFVT_01_tblFillRateFechas[[#This Row],[Resultado]]=1,1,0)</f>
        <v>1</v>
      </c>
      <c r="W67" s="1" t="str">
        <f>+Tabla__192.168.1.8_POSEIDONSQL_APPFVT_01_tblFillRateFechas[[#This Row],[con_ocnumero]]&amp;Tabla__192.168.1.8_POSEIDONSQL_APPFVT_01_tblFillRateFechas[[#This Row],[con_codigounico]]</f>
        <v>5005236935344629</v>
      </c>
      <c r="X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" spans="1:24" x14ac:dyDescent="0.25">
      <c r="A68">
        <v>3</v>
      </c>
      <c r="B68" t="s">
        <v>50</v>
      </c>
      <c r="C68">
        <v>50051451</v>
      </c>
      <c r="D68" t="s">
        <v>1968</v>
      </c>
      <c r="E68" t="s">
        <v>161</v>
      </c>
      <c r="F68" t="s">
        <v>1971</v>
      </c>
      <c r="G68">
        <v>1</v>
      </c>
      <c r="H68">
        <v>1</v>
      </c>
      <c r="I68" t="s">
        <v>162</v>
      </c>
      <c r="J68">
        <v>0</v>
      </c>
      <c r="K68" t="s">
        <v>1140</v>
      </c>
      <c r="L68">
        <f>+Tabla__192.168.1.8_POSEIDONSQL_APPFVT_01_tblFillRateFechas[[#This Row],[emb_cantidad]]-Tabla__192.168.1.8_POSEIDONSQL_APPFVT_01_tblFillRateFechas[[#This Row],[dev_cantidad]]</f>
        <v>1</v>
      </c>
      <c r="M68">
        <f>+IF(Tabla__192.168.1.8_POSEIDONSQL_APPFVT_01_tblFillRateFechas[[#This Row],[Cant_Resultante]]=Tabla__192.168.1.8_POSEIDONSQL_APPFVT_01_tblFillRateFechas[[#This Row],[cant_order]],1,0)</f>
        <v>1</v>
      </c>
      <c r="N6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" s="1">
        <f>+IF(AND(Tabla__192.168.1.8_POSEIDONSQL_APPFVT_01_tblFillRateFechas[[#This Row],[Valida Cant]]=1,Tabla__192.168.1.8_POSEIDONSQL_APPFVT_01_tblFillRateFechas[[#This Row],[Valida Fec]]=1),1,0)</f>
        <v>1</v>
      </c>
      <c r="P68" s="1">
        <f>+(Tabla__192.168.1.8_POSEIDONSQL_APPFVT_01_tblFillRateFechas[[#This Row],[Cant_Resultante]]/Tabla__192.168.1.8_POSEIDONSQL_APPFVT_01_tblFillRateFechas[[#This Row],[cant_order]])*100</f>
        <v>100</v>
      </c>
      <c r="Q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" s="1">
        <f>+IF(Tabla__192.168.1.8_POSEIDONSQL_APPFVT_01_tblFillRateFechas[[#This Row],[cant_order]]&gt;0,1,0)</f>
        <v>1</v>
      </c>
      <c r="V68" s="1">
        <f>+IF(Tabla__192.168.1.8_POSEIDONSQL_APPFVT_01_tblFillRateFechas[[#This Row],[Resultado]]=1,1,0)</f>
        <v>1</v>
      </c>
      <c r="W68" s="1" t="str">
        <f>+Tabla__192.168.1.8_POSEIDONSQL_APPFVT_01_tblFillRateFechas[[#This Row],[con_ocnumero]]&amp;Tabla__192.168.1.8_POSEIDONSQL_APPFVT_01_tblFillRateFechas[[#This Row],[con_codigounico]]</f>
        <v>5005145135368316</v>
      </c>
      <c r="X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" spans="1:24" x14ac:dyDescent="0.25">
      <c r="A69">
        <v>3</v>
      </c>
      <c r="B69" t="s">
        <v>50</v>
      </c>
      <c r="C69">
        <v>50051498</v>
      </c>
      <c r="D69" t="s">
        <v>1981</v>
      </c>
      <c r="E69" t="s">
        <v>1963</v>
      </c>
      <c r="F69" t="s">
        <v>1971</v>
      </c>
      <c r="G69">
        <v>1</v>
      </c>
      <c r="H69">
        <v>1</v>
      </c>
      <c r="I69" t="s">
        <v>1977</v>
      </c>
      <c r="J69">
        <v>0</v>
      </c>
      <c r="K69" t="s">
        <v>1413</v>
      </c>
      <c r="L69">
        <f>+Tabla__192.168.1.8_POSEIDONSQL_APPFVT_01_tblFillRateFechas[[#This Row],[emb_cantidad]]-Tabla__192.168.1.8_POSEIDONSQL_APPFVT_01_tblFillRateFechas[[#This Row],[dev_cantidad]]</f>
        <v>1</v>
      </c>
      <c r="M69">
        <f>+IF(Tabla__192.168.1.8_POSEIDONSQL_APPFVT_01_tblFillRateFechas[[#This Row],[Cant_Resultante]]=Tabla__192.168.1.8_POSEIDONSQL_APPFVT_01_tblFillRateFechas[[#This Row],[cant_order]],1,0)</f>
        <v>1</v>
      </c>
      <c r="N6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" s="1">
        <f>+IF(AND(Tabla__192.168.1.8_POSEIDONSQL_APPFVT_01_tblFillRateFechas[[#This Row],[Valida Cant]]=1,Tabla__192.168.1.8_POSEIDONSQL_APPFVT_01_tblFillRateFechas[[#This Row],[Valida Fec]]=1),1,0)</f>
        <v>1</v>
      </c>
      <c r="P69" s="1">
        <f>+(Tabla__192.168.1.8_POSEIDONSQL_APPFVT_01_tblFillRateFechas[[#This Row],[Cant_Resultante]]/Tabla__192.168.1.8_POSEIDONSQL_APPFVT_01_tblFillRateFechas[[#This Row],[cant_order]])*100</f>
        <v>100</v>
      </c>
      <c r="Q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" s="1">
        <f>+IF(Tabla__192.168.1.8_POSEIDONSQL_APPFVT_01_tblFillRateFechas[[#This Row],[cant_order]]&gt;0,1,0)</f>
        <v>1</v>
      </c>
      <c r="V69" s="1">
        <f>+IF(Tabla__192.168.1.8_POSEIDONSQL_APPFVT_01_tblFillRateFechas[[#This Row],[Resultado]]=1,1,0)</f>
        <v>1</v>
      </c>
      <c r="W69" s="1" t="str">
        <f>+Tabla__192.168.1.8_POSEIDONSQL_APPFVT_01_tblFillRateFechas[[#This Row],[con_ocnumero]]&amp;Tabla__192.168.1.8_POSEIDONSQL_APPFVT_01_tblFillRateFechas[[#This Row],[con_codigounico]]</f>
        <v>5005149835368331</v>
      </c>
      <c r="X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" spans="1:24" x14ac:dyDescent="0.25">
      <c r="A70">
        <v>3</v>
      </c>
      <c r="B70" t="s">
        <v>50</v>
      </c>
      <c r="C70">
        <v>50051889</v>
      </c>
      <c r="D70" t="s">
        <v>1973</v>
      </c>
      <c r="E70" t="s">
        <v>416</v>
      </c>
      <c r="F70" t="s">
        <v>1963</v>
      </c>
      <c r="G70">
        <v>1</v>
      </c>
      <c r="H70">
        <v>1</v>
      </c>
      <c r="I70" t="s">
        <v>161</v>
      </c>
      <c r="J70">
        <v>0</v>
      </c>
      <c r="K70" t="s">
        <v>562</v>
      </c>
      <c r="L70">
        <f>+Tabla__192.168.1.8_POSEIDONSQL_APPFVT_01_tblFillRateFechas[[#This Row],[emb_cantidad]]-Tabla__192.168.1.8_POSEIDONSQL_APPFVT_01_tblFillRateFechas[[#This Row],[dev_cantidad]]</f>
        <v>1</v>
      </c>
      <c r="M70">
        <f>+IF(Tabla__192.168.1.8_POSEIDONSQL_APPFVT_01_tblFillRateFechas[[#This Row],[Cant_Resultante]]=Tabla__192.168.1.8_POSEIDONSQL_APPFVT_01_tblFillRateFechas[[#This Row],[cant_order]],1,0)</f>
        <v>1</v>
      </c>
      <c r="N7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" s="1">
        <f>+IF(AND(Tabla__192.168.1.8_POSEIDONSQL_APPFVT_01_tblFillRateFechas[[#This Row],[Valida Cant]]=1,Tabla__192.168.1.8_POSEIDONSQL_APPFVT_01_tblFillRateFechas[[#This Row],[Valida Fec]]=1),1,0)</f>
        <v>1</v>
      </c>
      <c r="P70" s="1">
        <f>+(Tabla__192.168.1.8_POSEIDONSQL_APPFVT_01_tblFillRateFechas[[#This Row],[Cant_Resultante]]/Tabla__192.168.1.8_POSEIDONSQL_APPFVT_01_tblFillRateFechas[[#This Row],[cant_order]])*100</f>
        <v>100</v>
      </c>
      <c r="Q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" s="1">
        <f>+IF(Tabla__192.168.1.8_POSEIDONSQL_APPFVT_01_tblFillRateFechas[[#This Row],[cant_order]]&gt;0,1,0)</f>
        <v>1</v>
      </c>
      <c r="V70" s="1">
        <f>+IF(Tabla__192.168.1.8_POSEIDONSQL_APPFVT_01_tblFillRateFechas[[#This Row],[Resultado]]=1,1,0)</f>
        <v>1</v>
      </c>
      <c r="W70" s="1" t="str">
        <f>+Tabla__192.168.1.8_POSEIDONSQL_APPFVT_01_tblFillRateFechas[[#This Row],[con_ocnumero]]&amp;Tabla__192.168.1.8_POSEIDONSQL_APPFVT_01_tblFillRateFechas[[#This Row],[con_codigounico]]</f>
        <v>5005188935368422</v>
      </c>
      <c r="X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" spans="1:24" x14ac:dyDescent="0.25">
      <c r="A71">
        <v>3</v>
      </c>
      <c r="B71" t="s">
        <v>50</v>
      </c>
      <c r="C71">
        <v>50051889</v>
      </c>
      <c r="D71" t="s">
        <v>1973</v>
      </c>
      <c r="E71" t="s">
        <v>427</v>
      </c>
      <c r="F71" t="s">
        <v>1963</v>
      </c>
      <c r="G71">
        <v>1</v>
      </c>
      <c r="H71">
        <v>1</v>
      </c>
      <c r="I71" t="s">
        <v>161</v>
      </c>
      <c r="J71">
        <v>0</v>
      </c>
      <c r="K71" t="s">
        <v>554</v>
      </c>
      <c r="L71">
        <f>+Tabla__192.168.1.8_POSEIDONSQL_APPFVT_01_tblFillRateFechas[[#This Row],[emb_cantidad]]-Tabla__192.168.1.8_POSEIDONSQL_APPFVT_01_tblFillRateFechas[[#This Row],[dev_cantidad]]</f>
        <v>1</v>
      </c>
      <c r="M71">
        <f>+IF(Tabla__192.168.1.8_POSEIDONSQL_APPFVT_01_tblFillRateFechas[[#This Row],[Cant_Resultante]]=Tabla__192.168.1.8_POSEIDONSQL_APPFVT_01_tblFillRateFechas[[#This Row],[cant_order]],1,0)</f>
        <v>1</v>
      </c>
      <c r="N7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" s="1">
        <f>+IF(AND(Tabla__192.168.1.8_POSEIDONSQL_APPFVT_01_tblFillRateFechas[[#This Row],[Valida Cant]]=1,Tabla__192.168.1.8_POSEIDONSQL_APPFVT_01_tblFillRateFechas[[#This Row],[Valida Fec]]=1),1,0)</f>
        <v>1</v>
      </c>
      <c r="P71" s="1">
        <f>+(Tabla__192.168.1.8_POSEIDONSQL_APPFVT_01_tblFillRateFechas[[#This Row],[Cant_Resultante]]/Tabla__192.168.1.8_POSEIDONSQL_APPFVT_01_tblFillRateFechas[[#This Row],[cant_order]])*100</f>
        <v>100</v>
      </c>
      <c r="Q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" s="1">
        <f>+IF(Tabla__192.168.1.8_POSEIDONSQL_APPFVT_01_tblFillRateFechas[[#This Row],[cant_order]]&gt;0,1,0)</f>
        <v>1</v>
      </c>
      <c r="V71" s="1">
        <f>+IF(Tabla__192.168.1.8_POSEIDONSQL_APPFVT_01_tblFillRateFechas[[#This Row],[Resultado]]=1,1,0)</f>
        <v>1</v>
      </c>
      <c r="W71" s="1" t="str">
        <f>+Tabla__192.168.1.8_POSEIDONSQL_APPFVT_01_tblFillRateFechas[[#This Row],[con_ocnumero]]&amp;Tabla__192.168.1.8_POSEIDONSQL_APPFVT_01_tblFillRateFechas[[#This Row],[con_codigounico]]</f>
        <v>5005188935368444</v>
      </c>
      <c r="X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" spans="1:24" x14ac:dyDescent="0.25">
      <c r="A72">
        <v>3</v>
      </c>
      <c r="B72" t="s">
        <v>50</v>
      </c>
      <c r="C72">
        <v>50051940</v>
      </c>
      <c r="D72" t="s">
        <v>1963</v>
      </c>
      <c r="E72" t="s">
        <v>425</v>
      </c>
      <c r="F72" t="s">
        <v>162</v>
      </c>
      <c r="G72">
        <v>1</v>
      </c>
      <c r="H72">
        <v>3</v>
      </c>
      <c r="I72" t="s">
        <v>415</v>
      </c>
      <c r="J72">
        <v>2</v>
      </c>
      <c r="K72" t="s">
        <v>1283</v>
      </c>
      <c r="L72">
        <f>+Tabla__192.168.1.8_POSEIDONSQL_APPFVT_01_tblFillRateFechas[[#This Row],[emb_cantidad]]-Tabla__192.168.1.8_POSEIDONSQL_APPFVT_01_tblFillRateFechas[[#This Row],[dev_cantidad]]</f>
        <v>1</v>
      </c>
      <c r="M72">
        <f>+IF(Tabla__192.168.1.8_POSEIDONSQL_APPFVT_01_tblFillRateFechas[[#This Row],[Cant_Resultante]]=Tabla__192.168.1.8_POSEIDONSQL_APPFVT_01_tblFillRateFechas[[#This Row],[cant_order]],1,0)</f>
        <v>1</v>
      </c>
      <c r="N7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2" s="1">
        <f>+IF(AND(Tabla__192.168.1.8_POSEIDONSQL_APPFVT_01_tblFillRateFechas[[#This Row],[Valida Cant]]=1,Tabla__192.168.1.8_POSEIDONSQL_APPFVT_01_tblFillRateFechas[[#This Row],[Valida Fec]]=1),1,0)</f>
        <v>0</v>
      </c>
      <c r="P72" s="1">
        <f>+(Tabla__192.168.1.8_POSEIDONSQL_APPFVT_01_tblFillRateFechas[[#This Row],[Cant_Resultante]]/Tabla__192.168.1.8_POSEIDONSQL_APPFVT_01_tblFillRateFechas[[#This Row],[cant_order]])*100</f>
        <v>100</v>
      </c>
      <c r="Q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" s="1">
        <f>+IF(Tabla__192.168.1.8_POSEIDONSQL_APPFVT_01_tblFillRateFechas[[#This Row],[cant_order]]&gt;0,1,0)</f>
        <v>1</v>
      </c>
      <c r="V72" s="1">
        <f>+IF(Tabla__192.168.1.8_POSEIDONSQL_APPFVT_01_tblFillRateFechas[[#This Row],[Resultado]]=1,1,0)</f>
        <v>0</v>
      </c>
      <c r="W72" s="1" t="str">
        <f>+Tabla__192.168.1.8_POSEIDONSQL_APPFVT_01_tblFillRateFechas[[#This Row],[con_ocnumero]]&amp;Tabla__192.168.1.8_POSEIDONSQL_APPFVT_01_tblFillRateFechas[[#This Row],[con_codigounico]]</f>
        <v>5005194035368469</v>
      </c>
      <c r="X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" spans="1:24" x14ac:dyDescent="0.25">
      <c r="A73">
        <v>3</v>
      </c>
      <c r="B73" t="s">
        <v>50</v>
      </c>
      <c r="C73">
        <v>50052296</v>
      </c>
      <c r="D73" t="s">
        <v>429</v>
      </c>
      <c r="E73" t="s">
        <v>422</v>
      </c>
      <c r="F73" t="s">
        <v>427</v>
      </c>
      <c r="G73">
        <v>1</v>
      </c>
      <c r="H73">
        <v>0</v>
      </c>
      <c r="I73" t="s">
        <v>12</v>
      </c>
      <c r="J73">
        <v>0</v>
      </c>
      <c r="K73" t="s">
        <v>646</v>
      </c>
      <c r="L73">
        <f>+Tabla__192.168.1.8_POSEIDONSQL_APPFVT_01_tblFillRateFechas[[#This Row],[emb_cantidad]]-Tabla__192.168.1.8_POSEIDONSQL_APPFVT_01_tblFillRateFechas[[#This Row],[dev_cantidad]]</f>
        <v>0</v>
      </c>
      <c r="M73">
        <f>+IF(Tabla__192.168.1.8_POSEIDONSQL_APPFVT_01_tblFillRateFechas[[#This Row],[Cant_Resultante]]=Tabla__192.168.1.8_POSEIDONSQL_APPFVT_01_tblFillRateFechas[[#This Row],[cant_order]],1,0)</f>
        <v>0</v>
      </c>
      <c r="N7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3" s="1">
        <f>+IF(AND(Tabla__192.168.1.8_POSEIDONSQL_APPFVT_01_tblFillRateFechas[[#This Row],[Valida Cant]]=1,Tabla__192.168.1.8_POSEIDONSQL_APPFVT_01_tblFillRateFechas[[#This Row],[Valida Fec]]=1),1,0)</f>
        <v>0</v>
      </c>
      <c r="P73" s="1">
        <f>+(Tabla__192.168.1.8_POSEIDONSQL_APPFVT_01_tblFillRateFechas[[#This Row],[Cant_Resultante]]/Tabla__192.168.1.8_POSEIDONSQL_APPFVT_01_tblFillRateFechas[[#This Row],[cant_order]])*100</f>
        <v>0</v>
      </c>
      <c r="Q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73" s="1">
        <f>+IF(Tabla__192.168.1.8_POSEIDONSQL_APPFVT_01_tblFillRateFechas[[#This Row],[cant_order]]&gt;0,1,0)</f>
        <v>1</v>
      </c>
      <c r="V73" s="1">
        <f>+IF(Tabla__192.168.1.8_POSEIDONSQL_APPFVT_01_tblFillRateFechas[[#This Row],[Resultado]]=1,1,0)</f>
        <v>0</v>
      </c>
      <c r="W73" s="1" t="str">
        <f>+Tabla__192.168.1.8_POSEIDONSQL_APPFVT_01_tblFillRateFechas[[#This Row],[con_ocnumero]]&amp;Tabla__192.168.1.8_POSEIDONSQL_APPFVT_01_tblFillRateFechas[[#This Row],[con_codigounico]]</f>
        <v>5005229635368552</v>
      </c>
      <c r="X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4" spans="1:24" x14ac:dyDescent="0.25">
      <c r="A74">
        <v>3</v>
      </c>
      <c r="B74" t="s">
        <v>50</v>
      </c>
      <c r="C74">
        <v>50051889</v>
      </c>
      <c r="D74" t="s">
        <v>1973</v>
      </c>
      <c r="E74" t="s">
        <v>422</v>
      </c>
      <c r="F74" t="s">
        <v>1963</v>
      </c>
      <c r="G74">
        <v>1</v>
      </c>
      <c r="H74">
        <v>1</v>
      </c>
      <c r="I74" t="s">
        <v>161</v>
      </c>
      <c r="J74">
        <v>0</v>
      </c>
      <c r="K74" t="s">
        <v>561</v>
      </c>
      <c r="L74">
        <f>+Tabla__192.168.1.8_POSEIDONSQL_APPFVT_01_tblFillRateFechas[[#This Row],[emb_cantidad]]-Tabla__192.168.1.8_POSEIDONSQL_APPFVT_01_tblFillRateFechas[[#This Row],[dev_cantidad]]</f>
        <v>1</v>
      </c>
      <c r="M74">
        <f>+IF(Tabla__192.168.1.8_POSEIDONSQL_APPFVT_01_tblFillRateFechas[[#This Row],[Cant_Resultante]]=Tabla__192.168.1.8_POSEIDONSQL_APPFVT_01_tblFillRateFechas[[#This Row],[cant_order]],1,0)</f>
        <v>1</v>
      </c>
      <c r="N7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4" s="1">
        <f>+IF(AND(Tabla__192.168.1.8_POSEIDONSQL_APPFVT_01_tblFillRateFechas[[#This Row],[Valida Cant]]=1,Tabla__192.168.1.8_POSEIDONSQL_APPFVT_01_tblFillRateFechas[[#This Row],[Valida Fec]]=1),1,0)</f>
        <v>1</v>
      </c>
      <c r="P74" s="1">
        <f>+(Tabla__192.168.1.8_POSEIDONSQL_APPFVT_01_tblFillRateFechas[[#This Row],[Cant_Resultante]]/Tabla__192.168.1.8_POSEIDONSQL_APPFVT_01_tblFillRateFechas[[#This Row],[cant_order]])*100</f>
        <v>100</v>
      </c>
      <c r="Q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4" s="1">
        <f>+IF(Tabla__192.168.1.8_POSEIDONSQL_APPFVT_01_tblFillRateFechas[[#This Row],[cant_order]]&gt;0,1,0)</f>
        <v>1</v>
      </c>
      <c r="V74" s="1">
        <f>+IF(Tabla__192.168.1.8_POSEIDONSQL_APPFVT_01_tblFillRateFechas[[#This Row],[Resultado]]=1,1,0)</f>
        <v>1</v>
      </c>
      <c r="W74" s="1" t="str">
        <f>+Tabla__192.168.1.8_POSEIDONSQL_APPFVT_01_tblFillRateFechas[[#This Row],[con_ocnumero]]&amp;Tabla__192.168.1.8_POSEIDONSQL_APPFVT_01_tblFillRateFechas[[#This Row],[con_codigounico]]</f>
        <v>5005188935449038</v>
      </c>
      <c r="X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5" spans="1:24" x14ac:dyDescent="0.25">
      <c r="A75">
        <v>3</v>
      </c>
      <c r="B75" t="s">
        <v>50</v>
      </c>
      <c r="C75">
        <v>50051498</v>
      </c>
      <c r="D75" t="s">
        <v>1981</v>
      </c>
      <c r="E75" t="s">
        <v>160</v>
      </c>
      <c r="F75" t="s">
        <v>1971</v>
      </c>
      <c r="G75">
        <v>1</v>
      </c>
      <c r="H75">
        <v>1</v>
      </c>
      <c r="I75" t="s">
        <v>1977</v>
      </c>
      <c r="J75">
        <v>0</v>
      </c>
      <c r="K75" t="s">
        <v>1415</v>
      </c>
      <c r="L75">
        <f>+Tabla__192.168.1.8_POSEIDONSQL_APPFVT_01_tblFillRateFechas[[#This Row],[emb_cantidad]]-Tabla__192.168.1.8_POSEIDONSQL_APPFVT_01_tblFillRateFechas[[#This Row],[dev_cantidad]]</f>
        <v>1</v>
      </c>
      <c r="M75">
        <f>+IF(Tabla__192.168.1.8_POSEIDONSQL_APPFVT_01_tblFillRateFechas[[#This Row],[Cant_Resultante]]=Tabla__192.168.1.8_POSEIDONSQL_APPFVT_01_tblFillRateFechas[[#This Row],[cant_order]],1,0)</f>
        <v>1</v>
      </c>
      <c r="N7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" s="1">
        <f>+IF(AND(Tabla__192.168.1.8_POSEIDONSQL_APPFVT_01_tblFillRateFechas[[#This Row],[Valida Cant]]=1,Tabla__192.168.1.8_POSEIDONSQL_APPFVT_01_tblFillRateFechas[[#This Row],[Valida Fec]]=1),1,0)</f>
        <v>1</v>
      </c>
      <c r="P75" s="1">
        <f>+(Tabla__192.168.1.8_POSEIDONSQL_APPFVT_01_tblFillRateFechas[[#This Row],[Cant_Resultante]]/Tabla__192.168.1.8_POSEIDONSQL_APPFVT_01_tblFillRateFechas[[#This Row],[cant_order]])*100</f>
        <v>100</v>
      </c>
      <c r="Q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" s="1">
        <f>+IF(Tabla__192.168.1.8_POSEIDONSQL_APPFVT_01_tblFillRateFechas[[#This Row],[cant_order]]&gt;0,1,0)</f>
        <v>1</v>
      </c>
      <c r="V75" s="1">
        <f>+IF(Tabla__192.168.1.8_POSEIDONSQL_APPFVT_01_tblFillRateFechas[[#This Row],[Resultado]]=1,1,0)</f>
        <v>1</v>
      </c>
      <c r="W75" s="1" t="str">
        <f>+Tabla__192.168.1.8_POSEIDONSQL_APPFVT_01_tblFillRateFechas[[#This Row],[con_ocnumero]]&amp;Tabla__192.168.1.8_POSEIDONSQL_APPFVT_01_tblFillRateFechas[[#This Row],[con_codigounico]]</f>
        <v>5005149835468033</v>
      </c>
      <c r="X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6" spans="1:24" x14ac:dyDescent="0.25">
      <c r="A76">
        <v>3</v>
      </c>
      <c r="B76" t="s">
        <v>50</v>
      </c>
      <c r="C76">
        <v>50051148</v>
      </c>
      <c r="D76" t="s">
        <v>1976</v>
      </c>
      <c r="E76" t="s">
        <v>1962</v>
      </c>
      <c r="F76" t="s">
        <v>1975</v>
      </c>
      <c r="G76">
        <v>1</v>
      </c>
      <c r="H76">
        <v>4</v>
      </c>
      <c r="I76" t="s">
        <v>1965</v>
      </c>
      <c r="J76">
        <v>2</v>
      </c>
      <c r="K76" t="s">
        <v>1043</v>
      </c>
      <c r="L76">
        <f>+Tabla__192.168.1.8_POSEIDONSQL_APPFVT_01_tblFillRateFechas[[#This Row],[emb_cantidad]]-Tabla__192.168.1.8_POSEIDONSQL_APPFVT_01_tblFillRateFechas[[#This Row],[dev_cantidad]]</f>
        <v>2</v>
      </c>
      <c r="M76">
        <f>+IF(Tabla__192.168.1.8_POSEIDONSQL_APPFVT_01_tblFillRateFechas[[#This Row],[Cant_Resultante]]=Tabla__192.168.1.8_POSEIDONSQL_APPFVT_01_tblFillRateFechas[[#This Row],[cant_order]],1,0)</f>
        <v>0</v>
      </c>
      <c r="N7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" s="1">
        <f>+IF(AND(Tabla__192.168.1.8_POSEIDONSQL_APPFVT_01_tblFillRateFechas[[#This Row],[Valida Cant]]=1,Tabla__192.168.1.8_POSEIDONSQL_APPFVT_01_tblFillRateFechas[[#This Row],[Valida Fec]]=1),1,0)</f>
        <v>0</v>
      </c>
      <c r="P76" s="1">
        <f>+(Tabla__192.168.1.8_POSEIDONSQL_APPFVT_01_tblFillRateFechas[[#This Row],[Cant_Resultante]]/Tabla__192.168.1.8_POSEIDONSQL_APPFVT_01_tblFillRateFechas[[#This Row],[cant_order]])*100</f>
        <v>200</v>
      </c>
      <c r="Q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3</v>
      </c>
      <c r="S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</v>
      </c>
      <c r="T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" s="1">
        <f>+IF(Tabla__192.168.1.8_POSEIDONSQL_APPFVT_01_tblFillRateFechas[[#This Row],[cant_order]]&gt;0,1,0)</f>
        <v>1</v>
      </c>
      <c r="V76" s="1">
        <f>+IF(Tabla__192.168.1.8_POSEIDONSQL_APPFVT_01_tblFillRateFechas[[#This Row],[Resultado]]=1,1,0)</f>
        <v>0</v>
      </c>
      <c r="W76" s="1" t="str">
        <f>+Tabla__192.168.1.8_POSEIDONSQL_APPFVT_01_tblFillRateFechas[[#This Row],[con_ocnumero]]&amp;Tabla__192.168.1.8_POSEIDONSQL_APPFVT_01_tblFillRateFechas[[#This Row],[con_codigounico]]</f>
        <v>5005114835626373</v>
      </c>
      <c r="X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7" spans="1:24" x14ac:dyDescent="0.25">
      <c r="A77">
        <v>3</v>
      </c>
      <c r="B77" t="s">
        <v>50</v>
      </c>
      <c r="C77">
        <v>50051748</v>
      </c>
      <c r="D77" t="s">
        <v>1977</v>
      </c>
      <c r="E77" t="s">
        <v>163</v>
      </c>
      <c r="F77" t="s">
        <v>1962</v>
      </c>
      <c r="G77">
        <v>1</v>
      </c>
      <c r="H77">
        <v>1</v>
      </c>
      <c r="I77" t="s">
        <v>162</v>
      </c>
      <c r="J77">
        <v>0</v>
      </c>
      <c r="K77" t="s">
        <v>1428</v>
      </c>
      <c r="L77">
        <f>+Tabla__192.168.1.8_POSEIDONSQL_APPFVT_01_tblFillRateFechas[[#This Row],[emb_cantidad]]-Tabla__192.168.1.8_POSEIDONSQL_APPFVT_01_tblFillRateFechas[[#This Row],[dev_cantidad]]</f>
        <v>1</v>
      </c>
      <c r="M77">
        <f>+IF(Tabla__192.168.1.8_POSEIDONSQL_APPFVT_01_tblFillRateFechas[[#This Row],[Cant_Resultante]]=Tabla__192.168.1.8_POSEIDONSQL_APPFVT_01_tblFillRateFechas[[#This Row],[cant_order]],1,0)</f>
        <v>1</v>
      </c>
      <c r="N7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" s="1">
        <f>+IF(AND(Tabla__192.168.1.8_POSEIDONSQL_APPFVT_01_tblFillRateFechas[[#This Row],[Valida Cant]]=1,Tabla__192.168.1.8_POSEIDONSQL_APPFVT_01_tblFillRateFechas[[#This Row],[Valida Fec]]=1),1,0)</f>
        <v>1</v>
      </c>
      <c r="P77" s="1">
        <f>+(Tabla__192.168.1.8_POSEIDONSQL_APPFVT_01_tblFillRateFechas[[#This Row],[Cant_Resultante]]/Tabla__192.168.1.8_POSEIDONSQL_APPFVT_01_tblFillRateFechas[[#This Row],[cant_order]])*100</f>
        <v>100</v>
      </c>
      <c r="Q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" s="1">
        <f>+IF(Tabla__192.168.1.8_POSEIDONSQL_APPFVT_01_tblFillRateFechas[[#This Row],[cant_order]]&gt;0,1,0)</f>
        <v>1</v>
      </c>
      <c r="V77" s="1">
        <f>+IF(Tabla__192.168.1.8_POSEIDONSQL_APPFVT_01_tblFillRateFechas[[#This Row],[Resultado]]=1,1,0)</f>
        <v>1</v>
      </c>
      <c r="W77" s="1" t="str">
        <f>+Tabla__192.168.1.8_POSEIDONSQL_APPFVT_01_tblFillRateFechas[[#This Row],[con_ocnumero]]&amp;Tabla__192.168.1.8_POSEIDONSQL_APPFVT_01_tblFillRateFechas[[#This Row],[con_codigounico]]</f>
        <v>5005174835656057</v>
      </c>
      <c r="X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" spans="1:24" x14ac:dyDescent="0.25">
      <c r="A78">
        <v>3</v>
      </c>
      <c r="B78" t="s">
        <v>50</v>
      </c>
      <c r="C78">
        <v>50051991</v>
      </c>
      <c r="D78" t="s">
        <v>162</v>
      </c>
      <c r="E78" t="s">
        <v>416</v>
      </c>
      <c r="F78" t="s">
        <v>160</v>
      </c>
      <c r="G78">
        <v>1</v>
      </c>
      <c r="H78">
        <v>3</v>
      </c>
      <c r="I78" t="s">
        <v>415</v>
      </c>
      <c r="J78">
        <v>2</v>
      </c>
      <c r="K78" t="s">
        <v>1656</v>
      </c>
      <c r="L78">
        <f>+Tabla__192.168.1.8_POSEIDONSQL_APPFVT_01_tblFillRateFechas[[#This Row],[emb_cantidad]]-Tabla__192.168.1.8_POSEIDONSQL_APPFVT_01_tblFillRateFechas[[#This Row],[dev_cantidad]]</f>
        <v>1</v>
      </c>
      <c r="M78">
        <f>+IF(Tabla__192.168.1.8_POSEIDONSQL_APPFVT_01_tblFillRateFechas[[#This Row],[Cant_Resultante]]=Tabla__192.168.1.8_POSEIDONSQL_APPFVT_01_tblFillRateFechas[[#This Row],[cant_order]],1,0)</f>
        <v>1</v>
      </c>
      <c r="N7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" s="1">
        <f>+IF(AND(Tabla__192.168.1.8_POSEIDONSQL_APPFVT_01_tblFillRateFechas[[#This Row],[Valida Cant]]=1,Tabla__192.168.1.8_POSEIDONSQL_APPFVT_01_tblFillRateFechas[[#This Row],[Valida Fec]]=1),1,0)</f>
        <v>1</v>
      </c>
      <c r="P78" s="1">
        <f>+(Tabla__192.168.1.8_POSEIDONSQL_APPFVT_01_tblFillRateFechas[[#This Row],[Cant_Resultante]]/Tabla__192.168.1.8_POSEIDONSQL_APPFVT_01_tblFillRateFechas[[#This Row],[cant_order]])*100</f>
        <v>100</v>
      </c>
      <c r="Q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" s="1">
        <f>+IF(Tabla__192.168.1.8_POSEIDONSQL_APPFVT_01_tblFillRateFechas[[#This Row],[cant_order]]&gt;0,1,0)</f>
        <v>1</v>
      </c>
      <c r="V78" s="1">
        <f>+IF(Tabla__192.168.1.8_POSEIDONSQL_APPFVT_01_tblFillRateFechas[[#This Row],[Resultado]]=1,1,0)</f>
        <v>1</v>
      </c>
      <c r="W78" s="1" t="str">
        <f>+Tabla__192.168.1.8_POSEIDONSQL_APPFVT_01_tblFillRateFechas[[#This Row],[con_ocnumero]]&amp;Tabla__192.168.1.8_POSEIDONSQL_APPFVT_01_tblFillRateFechas[[#This Row],[con_codigounico]]</f>
        <v>5005199135656125</v>
      </c>
      <c r="X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" spans="1:24" x14ac:dyDescent="0.25">
      <c r="A79">
        <v>3</v>
      </c>
      <c r="B79" t="s">
        <v>50</v>
      </c>
      <c r="C79">
        <v>50051839</v>
      </c>
      <c r="D79" t="s">
        <v>1966</v>
      </c>
      <c r="E79" t="s">
        <v>415</v>
      </c>
      <c r="F79" t="s">
        <v>1963</v>
      </c>
      <c r="G79">
        <v>1</v>
      </c>
      <c r="H79">
        <v>1</v>
      </c>
      <c r="I79" t="s">
        <v>161</v>
      </c>
      <c r="J79">
        <v>0</v>
      </c>
      <c r="K79" t="s">
        <v>551</v>
      </c>
      <c r="L79">
        <f>+Tabla__192.168.1.8_POSEIDONSQL_APPFVT_01_tblFillRateFechas[[#This Row],[emb_cantidad]]-Tabla__192.168.1.8_POSEIDONSQL_APPFVT_01_tblFillRateFechas[[#This Row],[dev_cantidad]]</f>
        <v>1</v>
      </c>
      <c r="M79">
        <f>+IF(Tabla__192.168.1.8_POSEIDONSQL_APPFVT_01_tblFillRateFechas[[#This Row],[Cant_Resultante]]=Tabla__192.168.1.8_POSEIDONSQL_APPFVT_01_tblFillRateFechas[[#This Row],[cant_order]],1,0)</f>
        <v>1</v>
      </c>
      <c r="N7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" s="1">
        <f>+IF(AND(Tabla__192.168.1.8_POSEIDONSQL_APPFVT_01_tblFillRateFechas[[#This Row],[Valida Cant]]=1,Tabla__192.168.1.8_POSEIDONSQL_APPFVT_01_tblFillRateFechas[[#This Row],[Valida Fec]]=1),1,0)</f>
        <v>1</v>
      </c>
      <c r="P79" s="1">
        <f>+(Tabla__192.168.1.8_POSEIDONSQL_APPFVT_01_tblFillRateFechas[[#This Row],[Cant_Resultante]]/Tabla__192.168.1.8_POSEIDONSQL_APPFVT_01_tblFillRateFechas[[#This Row],[cant_order]])*100</f>
        <v>100</v>
      </c>
      <c r="Q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" s="1">
        <f>+IF(Tabla__192.168.1.8_POSEIDONSQL_APPFVT_01_tblFillRateFechas[[#This Row],[cant_order]]&gt;0,1,0)</f>
        <v>1</v>
      </c>
      <c r="V79" s="1">
        <f>+IF(Tabla__192.168.1.8_POSEIDONSQL_APPFVT_01_tblFillRateFechas[[#This Row],[Resultado]]=1,1,0)</f>
        <v>1</v>
      </c>
      <c r="W79" s="1" t="str">
        <f>+Tabla__192.168.1.8_POSEIDONSQL_APPFVT_01_tblFillRateFechas[[#This Row],[con_ocnumero]]&amp;Tabla__192.168.1.8_POSEIDONSQL_APPFVT_01_tblFillRateFechas[[#This Row],[con_codigounico]]</f>
        <v>5005183935673767</v>
      </c>
      <c r="X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" spans="1:24" x14ac:dyDescent="0.25">
      <c r="A80">
        <v>3</v>
      </c>
      <c r="B80" t="s">
        <v>50</v>
      </c>
      <c r="C80">
        <v>50052296</v>
      </c>
      <c r="D80" t="s">
        <v>429</v>
      </c>
      <c r="E80" t="s">
        <v>422</v>
      </c>
      <c r="F80" t="s">
        <v>427</v>
      </c>
      <c r="G80">
        <v>1</v>
      </c>
      <c r="H80">
        <v>0</v>
      </c>
      <c r="I80" t="s">
        <v>12</v>
      </c>
      <c r="J80">
        <v>0</v>
      </c>
      <c r="K80" t="s">
        <v>647</v>
      </c>
      <c r="L80">
        <f>+Tabla__192.168.1.8_POSEIDONSQL_APPFVT_01_tblFillRateFechas[[#This Row],[emb_cantidad]]-Tabla__192.168.1.8_POSEIDONSQL_APPFVT_01_tblFillRateFechas[[#This Row],[dev_cantidad]]</f>
        <v>0</v>
      </c>
      <c r="M80">
        <f>+IF(Tabla__192.168.1.8_POSEIDONSQL_APPFVT_01_tblFillRateFechas[[#This Row],[Cant_Resultante]]=Tabla__192.168.1.8_POSEIDONSQL_APPFVT_01_tblFillRateFechas[[#This Row],[cant_order]],1,0)</f>
        <v>0</v>
      </c>
      <c r="N8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0" s="1">
        <f>+IF(AND(Tabla__192.168.1.8_POSEIDONSQL_APPFVT_01_tblFillRateFechas[[#This Row],[Valida Cant]]=1,Tabla__192.168.1.8_POSEIDONSQL_APPFVT_01_tblFillRateFechas[[#This Row],[Valida Fec]]=1),1,0)</f>
        <v>0</v>
      </c>
      <c r="P80" s="1">
        <f>+(Tabla__192.168.1.8_POSEIDONSQL_APPFVT_01_tblFillRateFechas[[#This Row],[Cant_Resultante]]/Tabla__192.168.1.8_POSEIDONSQL_APPFVT_01_tblFillRateFechas[[#This Row],[cant_order]])*100</f>
        <v>0</v>
      </c>
      <c r="Q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0" s="1">
        <f>+IF(Tabla__192.168.1.8_POSEIDONSQL_APPFVT_01_tblFillRateFechas[[#This Row],[cant_order]]&gt;0,1,0)</f>
        <v>1</v>
      </c>
      <c r="V80" s="1">
        <f>+IF(Tabla__192.168.1.8_POSEIDONSQL_APPFVT_01_tblFillRateFechas[[#This Row],[Resultado]]=1,1,0)</f>
        <v>0</v>
      </c>
      <c r="W80" s="1" t="str">
        <f>+Tabla__192.168.1.8_POSEIDONSQL_APPFVT_01_tblFillRateFechas[[#This Row],[con_ocnumero]]&amp;Tabla__192.168.1.8_POSEIDONSQL_APPFVT_01_tblFillRateFechas[[#This Row],[con_codigounico]]</f>
        <v>5005229635690404</v>
      </c>
      <c r="X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1" spans="1:24" x14ac:dyDescent="0.25">
      <c r="A81">
        <v>3</v>
      </c>
      <c r="B81" t="s">
        <v>50</v>
      </c>
      <c r="C81">
        <v>50051451</v>
      </c>
      <c r="D81" t="s">
        <v>1968</v>
      </c>
      <c r="E81" t="s">
        <v>1963</v>
      </c>
      <c r="F81" t="s">
        <v>1971</v>
      </c>
      <c r="G81">
        <v>1</v>
      </c>
      <c r="H81">
        <v>2</v>
      </c>
      <c r="I81" t="s">
        <v>162</v>
      </c>
      <c r="J81">
        <v>1</v>
      </c>
      <c r="K81" t="s">
        <v>1430</v>
      </c>
      <c r="L81">
        <f>+Tabla__192.168.1.8_POSEIDONSQL_APPFVT_01_tblFillRateFechas[[#This Row],[emb_cantidad]]-Tabla__192.168.1.8_POSEIDONSQL_APPFVT_01_tblFillRateFechas[[#This Row],[dev_cantidad]]</f>
        <v>1</v>
      </c>
      <c r="M81">
        <f>+IF(Tabla__192.168.1.8_POSEIDONSQL_APPFVT_01_tblFillRateFechas[[#This Row],[Cant_Resultante]]=Tabla__192.168.1.8_POSEIDONSQL_APPFVT_01_tblFillRateFechas[[#This Row],[cant_order]],1,0)</f>
        <v>1</v>
      </c>
      <c r="N8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1" s="1">
        <f>+IF(AND(Tabla__192.168.1.8_POSEIDONSQL_APPFVT_01_tblFillRateFechas[[#This Row],[Valida Cant]]=1,Tabla__192.168.1.8_POSEIDONSQL_APPFVT_01_tblFillRateFechas[[#This Row],[Valida Fec]]=1),1,0)</f>
        <v>0</v>
      </c>
      <c r="P81" s="1">
        <f>+(Tabla__192.168.1.8_POSEIDONSQL_APPFVT_01_tblFillRateFechas[[#This Row],[Cant_Resultante]]/Tabla__192.168.1.8_POSEIDONSQL_APPFVT_01_tblFillRateFechas[[#This Row],[cant_order]])*100</f>
        <v>100</v>
      </c>
      <c r="Q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" s="1">
        <f>+IF(Tabla__192.168.1.8_POSEIDONSQL_APPFVT_01_tblFillRateFechas[[#This Row],[cant_order]]&gt;0,1,0)</f>
        <v>1</v>
      </c>
      <c r="V81" s="1">
        <f>+IF(Tabla__192.168.1.8_POSEIDONSQL_APPFVT_01_tblFillRateFechas[[#This Row],[Resultado]]=1,1,0)</f>
        <v>0</v>
      </c>
      <c r="W81" s="1" t="str">
        <f>+Tabla__192.168.1.8_POSEIDONSQL_APPFVT_01_tblFillRateFechas[[#This Row],[con_ocnumero]]&amp;Tabla__192.168.1.8_POSEIDONSQL_APPFVT_01_tblFillRateFechas[[#This Row],[con_codigounico]]</f>
        <v>5005145135742021</v>
      </c>
      <c r="X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2" spans="1:24" x14ac:dyDescent="0.25">
      <c r="A82">
        <v>3</v>
      </c>
      <c r="B82" t="s">
        <v>50</v>
      </c>
      <c r="C82">
        <v>50051362</v>
      </c>
      <c r="D82" t="s">
        <v>1979</v>
      </c>
      <c r="E82" t="s">
        <v>1962</v>
      </c>
      <c r="F82" t="s">
        <v>1967</v>
      </c>
      <c r="G82">
        <v>1</v>
      </c>
      <c r="H82">
        <v>1</v>
      </c>
      <c r="I82" t="s">
        <v>1965</v>
      </c>
      <c r="J82">
        <v>0</v>
      </c>
      <c r="K82" t="s">
        <v>1946</v>
      </c>
      <c r="L82">
        <f>+Tabla__192.168.1.8_POSEIDONSQL_APPFVT_01_tblFillRateFechas[[#This Row],[emb_cantidad]]-Tabla__192.168.1.8_POSEIDONSQL_APPFVT_01_tblFillRateFechas[[#This Row],[dev_cantidad]]</f>
        <v>1</v>
      </c>
      <c r="M82">
        <f>+IF(Tabla__192.168.1.8_POSEIDONSQL_APPFVT_01_tblFillRateFechas[[#This Row],[Cant_Resultante]]=Tabla__192.168.1.8_POSEIDONSQL_APPFVT_01_tblFillRateFechas[[#This Row],[cant_order]],1,0)</f>
        <v>1</v>
      </c>
      <c r="N8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" s="1">
        <f>+IF(AND(Tabla__192.168.1.8_POSEIDONSQL_APPFVT_01_tblFillRateFechas[[#This Row],[Valida Cant]]=1,Tabla__192.168.1.8_POSEIDONSQL_APPFVT_01_tblFillRateFechas[[#This Row],[Valida Fec]]=1),1,0)</f>
        <v>1</v>
      </c>
      <c r="P82" s="1">
        <f>+(Tabla__192.168.1.8_POSEIDONSQL_APPFVT_01_tblFillRateFechas[[#This Row],[Cant_Resultante]]/Tabla__192.168.1.8_POSEIDONSQL_APPFVT_01_tblFillRateFechas[[#This Row],[cant_order]])*100</f>
        <v>100</v>
      </c>
      <c r="Q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" s="1">
        <f>+IF(Tabla__192.168.1.8_POSEIDONSQL_APPFVT_01_tblFillRateFechas[[#This Row],[cant_order]]&gt;0,1,0)</f>
        <v>1</v>
      </c>
      <c r="V82" s="1">
        <f>+IF(Tabla__192.168.1.8_POSEIDONSQL_APPFVT_01_tblFillRateFechas[[#This Row],[Resultado]]=1,1,0)</f>
        <v>1</v>
      </c>
      <c r="W82" s="1" t="str">
        <f>+Tabla__192.168.1.8_POSEIDONSQL_APPFVT_01_tblFillRateFechas[[#This Row],[con_ocnumero]]&amp;Tabla__192.168.1.8_POSEIDONSQL_APPFVT_01_tblFillRateFechas[[#This Row],[con_codigounico]]</f>
        <v>5005136235802556</v>
      </c>
      <c r="X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" spans="1:24" x14ac:dyDescent="0.25">
      <c r="A83">
        <v>3</v>
      </c>
      <c r="B83" t="s">
        <v>50</v>
      </c>
      <c r="C83">
        <v>50051410</v>
      </c>
      <c r="D83" t="s">
        <v>1967</v>
      </c>
      <c r="E83" t="s">
        <v>1966</v>
      </c>
      <c r="F83" t="s">
        <v>1968</v>
      </c>
      <c r="G83">
        <v>1</v>
      </c>
      <c r="H83">
        <v>1</v>
      </c>
      <c r="I83" t="s">
        <v>1965</v>
      </c>
      <c r="J83">
        <v>0</v>
      </c>
      <c r="K83" t="s">
        <v>1950</v>
      </c>
      <c r="L83">
        <f>+Tabla__192.168.1.8_POSEIDONSQL_APPFVT_01_tblFillRateFechas[[#This Row],[emb_cantidad]]-Tabla__192.168.1.8_POSEIDONSQL_APPFVT_01_tblFillRateFechas[[#This Row],[dev_cantidad]]</f>
        <v>1</v>
      </c>
      <c r="M83">
        <f>+IF(Tabla__192.168.1.8_POSEIDONSQL_APPFVT_01_tblFillRateFechas[[#This Row],[Cant_Resultante]]=Tabla__192.168.1.8_POSEIDONSQL_APPFVT_01_tblFillRateFechas[[#This Row],[cant_order]],1,0)</f>
        <v>1</v>
      </c>
      <c r="N8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" s="1">
        <f>+IF(AND(Tabla__192.168.1.8_POSEIDONSQL_APPFVT_01_tblFillRateFechas[[#This Row],[Valida Cant]]=1,Tabla__192.168.1.8_POSEIDONSQL_APPFVT_01_tblFillRateFechas[[#This Row],[Valida Fec]]=1),1,0)</f>
        <v>1</v>
      </c>
      <c r="P83" s="1">
        <f>+(Tabla__192.168.1.8_POSEIDONSQL_APPFVT_01_tblFillRateFechas[[#This Row],[Cant_Resultante]]/Tabla__192.168.1.8_POSEIDONSQL_APPFVT_01_tblFillRateFechas[[#This Row],[cant_order]])*100</f>
        <v>100</v>
      </c>
      <c r="Q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" s="1">
        <f>+IF(Tabla__192.168.1.8_POSEIDONSQL_APPFVT_01_tblFillRateFechas[[#This Row],[cant_order]]&gt;0,1,0)</f>
        <v>1</v>
      </c>
      <c r="V83" s="1">
        <f>+IF(Tabla__192.168.1.8_POSEIDONSQL_APPFVT_01_tblFillRateFechas[[#This Row],[Resultado]]=1,1,0)</f>
        <v>1</v>
      </c>
      <c r="W83" s="1" t="str">
        <f>+Tabla__192.168.1.8_POSEIDONSQL_APPFVT_01_tblFillRateFechas[[#This Row],[con_ocnumero]]&amp;Tabla__192.168.1.8_POSEIDONSQL_APPFVT_01_tblFillRateFechas[[#This Row],[con_codigounico]]</f>
        <v>5005141035802574</v>
      </c>
      <c r="X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" spans="1:24" x14ac:dyDescent="0.25">
      <c r="A84">
        <v>3</v>
      </c>
      <c r="B84" t="s">
        <v>50</v>
      </c>
      <c r="C84">
        <v>50051940</v>
      </c>
      <c r="D84" t="s">
        <v>1963</v>
      </c>
      <c r="E84" t="s">
        <v>425</v>
      </c>
      <c r="F84" t="s">
        <v>162</v>
      </c>
      <c r="G84">
        <v>1</v>
      </c>
      <c r="H84">
        <v>3</v>
      </c>
      <c r="I84" t="s">
        <v>415</v>
      </c>
      <c r="J84">
        <v>2</v>
      </c>
      <c r="K84" t="s">
        <v>1282</v>
      </c>
      <c r="L84">
        <f>+Tabla__192.168.1.8_POSEIDONSQL_APPFVT_01_tblFillRateFechas[[#This Row],[emb_cantidad]]-Tabla__192.168.1.8_POSEIDONSQL_APPFVT_01_tblFillRateFechas[[#This Row],[dev_cantidad]]</f>
        <v>1</v>
      </c>
      <c r="M84">
        <f>+IF(Tabla__192.168.1.8_POSEIDONSQL_APPFVT_01_tblFillRateFechas[[#This Row],[Cant_Resultante]]=Tabla__192.168.1.8_POSEIDONSQL_APPFVT_01_tblFillRateFechas[[#This Row],[cant_order]],1,0)</f>
        <v>1</v>
      </c>
      <c r="N8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4" s="1">
        <f>+IF(AND(Tabla__192.168.1.8_POSEIDONSQL_APPFVT_01_tblFillRateFechas[[#This Row],[Valida Cant]]=1,Tabla__192.168.1.8_POSEIDONSQL_APPFVT_01_tblFillRateFechas[[#This Row],[Valida Fec]]=1),1,0)</f>
        <v>0</v>
      </c>
      <c r="P84" s="1">
        <f>+(Tabla__192.168.1.8_POSEIDONSQL_APPFVT_01_tblFillRateFechas[[#This Row],[Cant_Resultante]]/Tabla__192.168.1.8_POSEIDONSQL_APPFVT_01_tblFillRateFechas[[#This Row],[cant_order]])*100</f>
        <v>100</v>
      </c>
      <c r="Q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" s="1">
        <f>+IF(Tabla__192.168.1.8_POSEIDONSQL_APPFVT_01_tblFillRateFechas[[#This Row],[cant_order]]&gt;0,1,0)</f>
        <v>1</v>
      </c>
      <c r="V84" s="1">
        <f>+IF(Tabla__192.168.1.8_POSEIDONSQL_APPFVT_01_tblFillRateFechas[[#This Row],[Resultado]]=1,1,0)</f>
        <v>0</v>
      </c>
      <c r="W84" s="1" t="str">
        <f>+Tabla__192.168.1.8_POSEIDONSQL_APPFVT_01_tblFillRateFechas[[#This Row],[con_ocnumero]]&amp;Tabla__192.168.1.8_POSEIDONSQL_APPFVT_01_tblFillRateFechas[[#This Row],[con_codigounico]]</f>
        <v>5005194035802762</v>
      </c>
      <c r="X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" spans="1:24" x14ac:dyDescent="0.25">
      <c r="A85">
        <v>3</v>
      </c>
      <c r="B85" t="s">
        <v>50</v>
      </c>
      <c r="C85">
        <v>50052331</v>
      </c>
      <c r="D85" t="s">
        <v>427</v>
      </c>
      <c r="E85" t="s">
        <v>416</v>
      </c>
      <c r="F85" t="s">
        <v>425</v>
      </c>
      <c r="G85">
        <v>1</v>
      </c>
      <c r="H85">
        <v>0</v>
      </c>
      <c r="I85" t="s">
        <v>12</v>
      </c>
      <c r="J85">
        <v>0</v>
      </c>
      <c r="K85" t="s">
        <v>890</v>
      </c>
      <c r="L85">
        <f>+Tabla__192.168.1.8_POSEIDONSQL_APPFVT_01_tblFillRateFechas[[#This Row],[emb_cantidad]]-Tabla__192.168.1.8_POSEIDONSQL_APPFVT_01_tblFillRateFechas[[#This Row],[dev_cantidad]]</f>
        <v>0</v>
      </c>
      <c r="M85">
        <f>+IF(Tabla__192.168.1.8_POSEIDONSQL_APPFVT_01_tblFillRateFechas[[#This Row],[Cant_Resultante]]=Tabla__192.168.1.8_POSEIDONSQL_APPFVT_01_tblFillRateFechas[[#This Row],[cant_order]],1,0)</f>
        <v>0</v>
      </c>
      <c r="N8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5" s="1">
        <f>+IF(AND(Tabla__192.168.1.8_POSEIDONSQL_APPFVT_01_tblFillRateFechas[[#This Row],[Valida Cant]]=1,Tabla__192.168.1.8_POSEIDONSQL_APPFVT_01_tblFillRateFechas[[#This Row],[Valida Fec]]=1),1,0)</f>
        <v>0</v>
      </c>
      <c r="P85" s="1">
        <f>+(Tabla__192.168.1.8_POSEIDONSQL_APPFVT_01_tblFillRateFechas[[#This Row],[Cant_Resultante]]/Tabla__192.168.1.8_POSEIDONSQL_APPFVT_01_tblFillRateFechas[[#This Row],[cant_order]])*100</f>
        <v>0</v>
      </c>
      <c r="Q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5" s="1">
        <f>+IF(Tabla__192.168.1.8_POSEIDONSQL_APPFVT_01_tblFillRateFechas[[#This Row],[cant_order]]&gt;0,1,0)</f>
        <v>1</v>
      </c>
      <c r="V85" s="1">
        <f>+IF(Tabla__192.168.1.8_POSEIDONSQL_APPFVT_01_tblFillRateFechas[[#This Row],[Resultado]]=1,1,0)</f>
        <v>0</v>
      </c>
      <c r="W85" s="1" t="str">
        <f>+Tabla__192.168.1.8_POSEIDONSQL_APPFVT_01_tblFillRateFechas[[#This Row],[con_ocnumero]]&amp;Tabla__192.168.1.8_POSEIDONSQL_APPFVT_01_tblFillRateFechas[[#This Row],[con_codigounico]]</f>
        <v>5005233135802850</v>
      </c>
      <c r="X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6" spans="1:24" x14ac:dyDescent="0.25">
      <c r="A86">
        <v>3</v>
      </c>
      <c r="B86" t="s">
        <v>50</v>
      </c>
      <c r="C86">
        <v>50052369</v>
      </c>
      <c r="D86" t="s">
        <v>425</v>
      </c>
      <c r="E86" t="s">
        <v>416</v>
      </c>
      <c r="F86" t="s">
        <v>426</v>
      </c>
      <c r="G86">
        <v>1</v>
      </c>
      <c r="H86">
        <v>0</v>
      </c>
      <c r="I86" t="s">
        <v>12</v>
      </c>
      <c r="J86">
        <v>0</v>
      </c>
      <c r="K86" t="s">
        <v>654</v>
      </c>
      <c r="L86">
        <f>+Tabla__192.168.1.8_POSEIDONSQL_APPFVT_01_tblFillRateFechas[[#This Row],[emb_cantidad]]-Tabla__192.168.1.8_POSEIDONSQL_APPFVT_01_tblFillRateFechas[[#This Row],[dev_cantidad]]</f>
        <v>0</v>
      </c>
      <c r="M86">
        <f>+IF(Tabla__192.168.1.8_POSEIDONSQL_APPFVT_01_tblFillRateFechas[[#This Row],[Cant_Resultante]]=Tabla__192.168.1.8_POSEIDONSQL_APPFVT_01_tblFillRateFechas[[#This Row],[cant_order]],1,0)</f>
        <v>0</v>
      </c>
      <c r="N8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6" s="1">
        <f>+IF(AND(Tabla__192.168.1.8_POSEIDONSQL_APPFVT_01_tblFillRateFechas[[#This Row],[Valida Cant]]=1,Tabla__192.168.1.8_POSEIDONSQL_APPFVT_01_tblFillRateFechas[[#This Row],[Valida Fec]]=1),1,0)</f>
        <v>0</v>
      </c>
      <c r="P86" s="1">
        <f>+(Tabla__192.168.1.8_POSEIDONSQL_APPFVT_01_tblFillRateFechas[[#This Row],[Cant_Resultante]]/Tabla__192.168.1.8_POSEIDONSQL_APPFVT_01_tblFillRateFechas[[#This Row],[cant_order]])*100</f>
        <v>0</v>
      </c>
      <c r="Q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6" s="1">
        <f>+IF(Tabla__192.168.1.8_POSEIDONSQL_APPFVT_01_tblFillRateFechas[[#This Row],[cant_order]]&gt;0,1,0)</f>
        <v>1</v>
      </c>
      <c r="V86" s="1">
        <f>+IF(Tabla__192.168.1.8_POSEIDONSQL_APPFVT_01_tblFillRateFechas[[#This Row],[Resultado]]=1,1,0)</f>
        <v>0</v>
      </c>
      <c r="W86" s="1" t="str">
        <f>+Tabla__192.168.1.8_POSEIDONSQL_APPFVT_01_tblFillRateFechas[[#This Row],[con_ocnumero]]&amp;Tabla__192.168.1.8_POSEIDONSQL_APPFVT_01_tblFillRateFechas[[#This Row],[con_codigounico]]</f>
        <v>5005236935802862</v>
      </c>
      <c r="X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7" spans="1:24" x14ac:dyDescent="0.25">
      <c r="A87">
        <v>3</v>
      </c>
      <c r="B87" t="s">
        <v>50</v>
      </c>
      <c r="C87">
        <v>50051498</v>
      </c>
      <c r="D87" t="s">
        <v>1981</v>
      </c>
      <c r="E87" t="s">
        <v>1963</v>
      </c>
      <c r="F87" t="s">
        <v>1971</v>
      </c>
      <c r="G87">
        <v>1</v>
      </c>
      <c r="H87">
        <v>2</v>
      </c>
      <c r="I87" t="s">
        <v>162</v>
      </c>
      <c r="J87">
        <v>0</v>
      </c>
      <c r="K87" t="s">
        <v>1410</v>
      </c>
      <c r="L87">
        <f>+Tabla__192.168.1.8_POSEIDONSQL_APPFVT_01_tblFillRateFechas[[#This Row],[emb_cantidad]]-Tabla__192.168.1.8_POSEIDONSQL_APPFVT_01_tblFillRateFechas[[#This Row],[dev_cantidad]]</f>
        <v>2</v>
      </c>
      <c r="M87">
        <f>+IF(Tabla__192.168.1.8_POSEIDONSQL_APPFVT_01_tblFillRateFechas[[#This Row],[Cant_Resultante]]=Tabla__192.168.1.8_POSEIDONSQL_APPFVT_01_tblFillRateFechas[[#This Row],[cant_order]],1,0)</f>
        <v>0</v>
      </c>
      <c r="N8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7" s="1">
        <f>+IF(AND(Tabla__192.168.1.8_POSEIDONSQL_APPFVT_01_tblFillRateFechas[[#This Row],[Valida Cant]]=1,Tabla__192.168.1.8_POSEIDONSQL_APPFVT_01_tblFillRateFechas[[#This Row],[Valida Fec]]=1),1,0)</f>
        <v>0</v>
      </c>
      <c r="P87" s="1">
        <f>+(Tabla__192.168.1.8_POSEIDONSQL_APPFVT_01_tblFillRateFechas[[#This Row],[Cant_Resultante]]/Tabla__192.168.1.8_POSEIDONSQL_APPFVT_01_tblFillRateFechas[[#This Row],[cant_order]])*100</f>
        <v>200</v>
      </c>
      <c r="Q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</v>
      </c>
      <c r="T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" s="1">
        <f>+IF(Tabla__192.168.1.8_POSEIDONSQL_APPFVT_01_tblFillRateFechas[[#This Row],[cant_order]]&gt;0,1,0)</f>
        <v>1</v>
      </c>
      <c r="V87" s="1">
        <f>+IF(Tabla__192.168.1.8_POSEIDONSQL_APPFVT_01_tblFillRateFechas[[#This Row],[Resultado]]=1,1,0)</f>
        <v>0</v>
      </c>
      <c r="W87" s="1" t="str">
        <f>+Tabla__192.168.1.8_POSEIDONSQL_APPFVT_01_tblFillRateFechas[[#This Row],[con_ocnumero]]&amp;Tabla__192.168.1.8_POSEIDONSQL_APPFVT_01_tblFillRateFechas[[#This Row],[con_codigounico]]</f>
        <v>5005149836020816</v>
      </c>
      <c r="X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88" spans="1:24" x14ac:dyDescent="0.25">
      <c r="A88">
        <v>3</v>
      </c>
      <c r="B88" t="s">
        <v>50</v>
      </c>
      <c r="C88">
        <v>50051748</v>
      </c>
      <c r="D88" t="s">
        <v>1977</v>
      </c>
      <c r="E88" t="s">
        <v>163</v>
      </c>
      <c r="F88" t="s">
        <v>1962</v>
      </c>
      <c r="G88">
        <v>1</v>
      </c>
      <c r="H88">
        <v>1</v>
      </c>
      <c r="I88" t="s">
        <v>162</v>
      </c>
      <c r="J88">
        <v>0</v>
      </c>
      <c r="K88" t="s">
        <v>1429</v>
      </c>
      <c r="L88">
        <f>+Tabla__192.168.1.8_POSEIDONSQL_APPFVT_01_tblFillRateFechas[[#This Row],[emb_cantidad]]-Tabla__192.168.1.8_POSEIDONSQL_APPFVT_01_tblFillRateFechas[[#This Row],[dev_cantidad]]</f>
        <v>1</v>
      </c>
      <c r="M88">
        <f>+IF(Tabla__192.168.1.8_POSEIDONSQL_APPFVT_01_tblFillRateFechas[[#This Row],[Cant_Resultante]]=Tabla__192.168.1.8_POSEIDONSQL_APPFVT_01_tblFillRateFechas[[#This Row],[cant_order]],1,0)</f>
        <v>1</v>
      </c>
      <c r="N8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" s="1">
        <f>+IF(AND(Tabla__192.168.1.8_POSEIDONSQL_APPFVT_01_tblFillRateFechas[[#This Row],[Valida Cant]]=1,Tabla__192.168.1.8_POSEIDONSQL_APPFVT_01_tblFillRateFechas[[#This Row],[Valida Fec]]=1),1,0)</f>
        <v>1</v>
      </c>
      <c r="P88" s="1">
        <f>+(Tabla__192.168.1.8_POSEIDONSQL_APPFVT_01_tblFillRateFechas[[#This Row],[Cant_Resultante]]/Tabla__192.168.1.8_POSEIDONSQL_APPFVT_01_tblFillRateFechas[[#This Row],[cant_order]])*100</f>
        <v>100</v>
      </c>
      <c r="Q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" s="1">
        <f>+IF(Tabla__192.168.1.8_POSEIDONSQL_APPFVT_01_tblFillRateFechas[[#This Row],[cant_order]]&gt;0,1,0)</f>
        <v>1</v>
      </c>
      <c r="V88" s="1">
        <f>+IF(Tabla__192.168.1.8_POSEIDONSQL_APPFVT_01_tblFillRateFechas[[#This Row],[Resultado]]=1,1,0)</f>
        <v>1</v>
      </c>
      <c r="W88" s="1" t="str">
        <f>+Tabla__192.168.1.8_POSEIDONSQL_APPFVT_01_tblFillRateFechas[[#This Row],[con_ocnumero]]&amp;Tabla__192.168.1.8_POSEIDONSQL_APPFVT_01_tblFillRateFechas[[#This Row],[con_codigounico]]</f>
        <v>5005174836073507</v>
      </c>
      <c r="X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" spans="1:24" x14ac:dyDescent="0.25">
      <c r="A89">
        <v>3</v>
      </c>
      <c r="B89" t="s">
        <v>50</v>
      </c>
      <c r="C89">
        <v>50051940</v>
      </c>
      <c r="D89" t="s">
        <v>1963</v>
      </c>
      <c r="E89" t="s">
        <v>415</v>
      </c>
      <c r="F89" t="s">
        <v>162</v>
      </c>
      <c r="G89">
        <v>1</v>
      </c>
      <c r="H89">
        <v>3</v>
      </c>
      <c r="I89" t="s">
        <v>415</v>
      </c>
      <c r="J89">
        <v>2</v>
      </c>
      <c r="K89" t="s">
        <v>1285</v>
      </c>
      <c r="L89">
        <f>+Tabla__192.168.1.8_POSEIDONSQL_APPFVT_01_tblFillRateFechas[[#This Row],[emb_cantidad]]-Tabla__192.168.1.8_POSEIDONSQL_APPFVT_01_tblFillRateFechas[[#This Row],[dev_cantidad]]</f>
        <v>1</v>
      </c>
      <c r="M89">
        <f>+IF(Tabla__192.168.1.8_POSEIDONSQL_APPFVT_01_tblFillRateFechas[[#This Row],[Cant_Resultante]]=Tabla__192.168.1.8_POSEIDONSQL_APPFVT_01_tblFillRateFechas[[#This Row],[cant_order]],1,0)</f>
        <v>1</v>
      </c>
      <c r="N8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" s="1">
        <f>+IF(AND(Tabla__192.168.1.8_POSEIDONSQL_APPFVT_01_tblFillRateFechas[[#This Row],[Valida Cant]]=1,Tabla__192.168.1.8_POSEIDONSQL_APPFVT_01_tblFillRateFechas[[#This Row],[Valida Fec]]=1),1,0)</f>
        <v>1</v>
      </c>
      <c r="P89" s="1">
        <f>+(Tabla__192.168.1.8_POSEIDONSQL_APPFVT_01_tblFillRateFechas[[#This Row],[Cant_Resultante]]/Tabla__192.168.1.8_POSEIDONSQL_APPFVT_01_tblFillRateFechas[[#This Row],[cant_order]])*100</f>
        <v>100</v>
      </c>
      <c r="Q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" s="1">
        <f>+IF(Tabla__192.168.1.8_POSEIDONSQL_APPFVT_01_tblFillRateFechas[[#This Row],[cant_order]]&gt;0,1,0)</f>
        <v>1</v>
      </c>
      <c r="V89" s="1">
        <f>+IF(Tabla__192.168.1.8_POSEIDONSQL_APPFVT_01_tblFillRateFechas[[#This Row],[Resultado]]=1,1,0)</f>
        <v>1</v>
      </c>
      <c r="W89" s="1" t="str">
        <f>+Tabla__192.168.1.8_POSEIDONSQL_APPFVT_01_tblFillRateFechas[[#This Row],[con_ocnumero]]&amp;Tabla__192.168.1.8_POSEIDONSQL_APPFVT_01_tblFillRateFechas[[#This Row],[con_codigounico]]</f>
        <v>5005194036073595</v>
      </c>
      <c r="X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" spans="1:24" x14ac:dyDescent="0.25">
      <c r="A90">
        <v>3</v>
      </c>
      <c r="B90" t="s">
        <v>50</v>
      </c>
      <c r="C90">
        <v>50052089</v>
      </c>
      <c r="D90" t="s">
        <v>161</v>
      </c>
      <c r="E90" t="s">
        <v>415</v>
      </c>
      <c r="F90" t="s">
        <v>1969</v>
      </c>
      <c r="G90">
        <v>1</v>
      </c>
      <c r="H90">
        <v>2</v>
      </c>
      <c r="I90" t="s">
        <v>415</v>
      </c>
      <c r="J90">
        <v>1</v>
      </c>
      <c r="K90" t="s">
        <v>1482</v>
      </c>
      <c r="L90">
        <f>+Tabla__192.168.1.8_POSEIDONSQL_APPFVT_01_tblFillRateFechas[[#This Row],[emb_cantidad]]-Tabla__192.168.1.8_POSEIDONSQL_APPFVT_01_tblFillRateFechas[[#This Row],[dev_cantidad]]</f>
        <v>1</v>
      </c>
      <c r="M90">
        <f>+IF(Tabla__192.168.1.8_POSEIDONSQL_APPFVT_01_tblFillRateFechas[[#This Row],[Cant_Resultante]]=Tabla__192.168.1.8_POSEIDONSQL_APPFVT_01_tblFillRateFechas[[#This Row],[cant_order]],1,0)</f>
        <v>1</v>
      </c>
      <c r="N9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" s="1">
        <f>+IF(AND(Tabla__192.168.1.8_POSEIDONSQL_APPFVT_01_tblFillRateFechas[[#This Row],[Valida Cant]]=1,Tabla__192.168.1.8_POSEIDONSQL_APPFVT_01_tblFillRateFechas[[#This Row],[Valida Fec]]=1),1,0)</f>
        <v>1</v>
      </c>
      <c r="P90" s="1">
        <f>+(Tabla__192.168.1.8_POSEIDONSQL_APPFVT_01_tblFillRateFechas[[#This Row],[Cant_Resultante]]/Tabla__192.168.1.8_POSEIDONSQL_APPFVT_01_tblFillRateFechas[[#This Row],[cant_order]])*100</f>
        <v>100</v>
      </c>
      <c r="Q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" s="1">
        <f>+IF(Tabla__192.168.1.8_POSEIDONSQL_APPFVT_01_tblFillRateFechas[[#This Row],[cant_order]]&gt;0,1,0)</f>
        <v>1</v>
      </c>
      <c r="V90" s="1">
        <f>+IF(Tabla__192.168.1.8_POSEIDONSQL_APPFVT_01_tblFillRateFechas[[#This Row],[Resultado]]=1,1,0)</f>
        <v>1</v>
      </c>
      <c r="W90" s="1" t="str">
        <f>+Tabla__192.168.1.8_POSEIDONSQL_APPFVT_01_tblFillRateFechas[[#This Row],[con_ocnumero]]&amp;Tabla__192.168.1.8_POSEIDONSQL_APPFVT_01_tblFillRateFechas[[#This Row],[con_codigounico]]</f>
        <v>5005208936073634</v>
      </c>
      <c r="X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" spans="1:24" x14ac:dyDescent="0.25">
      <c r="A91">
        <v>3</v>
      </c>
      <c r="B91" t="s">
        <v>50</v>
      </c>
      <c r="C91">
        <v>50051498</v>
      </c>
      <c r="D91" t="s">
        <v>1981</v>
      </c>
      <c r="E91" t="s">
        <v>417</v>
      </c>
      <c r="F91" t="s">
        <v>1971</v>
      </c>
      <c r="G91">
        <v>1</v>
      </c>
      <c r="H91">
        <v>1</v>
      </c>
      <c r="I91" t="s">
        <v>162</v>
      </c>
      <c r="J91">
        <v>0</v>
      </c>
      <c r="K91" t="s">
        <v>1131</v>
      </c>
      <c r="L91">
        <f>+Tabla__192.168.1.8_POSEIDONSQL_APPFVT_01_tblFillRateFechas[[#This Row],[emb_cantidad]]-Tabla__192.168.1.8_POSEIDONSQL_APPFVT_01_tblFillRateFechas[[#This Row],[dev_cantidad]]</f>
        <v>1</v>
      </c>
      <c r="M91">
        <f>+IF(Tabla__192.168.1.8_POSEIDONSQL_APPFVT_01_tblFillRateFechas[[#This Row],[Cant_Resultante]]=Tabla__192.168.1.8_POSEIDONSQL_APPFVT_01_tblFillRateFechas[[#This Row],[cant_order]],1,0)</f>
        <v>1</v>
      </c>
      <c r="N9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" s="1">
        <f>+IF(AND(Tabla__192.168.1.8_POSEIDONSQL_APPFVT_01_tblFillRateFechas[[#This Row],[Valida Cant]]=1,Tabla__192.168.1.8_POSEIDONSQL_APPFVT_01_tblFillRateFechas[[#This Row],[Valida Fec]]=1),1,0)</f>
        <v>1</v>
      </c>
      <c r="P91" s="1">
        <f>+(Tabla__192.168.1.8_POSEIDONSQL_APPFVT_01_tblFillRateFechas[[#This Row],[Cant_Resultante]]/Tabla__192.168.1.8_POSEIDONSQL_APPFVT_01_tblFillRateFechas[[#This Row],[cant_order]])*100</f>
        <v>100</v>
      </c>
      <c r="Q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" s="1">
        <f>+IF(Tabla__192.168.1.8_POSEIDONSQL_APPFVT_01_tblFillRateFechas[[#This Row],[cant_order]]&gt;0,1,0)</f>
        <v>1</v>
      </c>
      <c r="V91" s="1">
        <f>+IF(Tabla__192.168.1.8_POSEIDONSQL_APPFVT_01_tblFillRateFechas[[#This Row],[Resultado]]=1,1,0)</f>
        <v>1</v>
      </c>
      <c r="W91" s="1" t="str">
        <f>+Tabla__192.168.1.8_POSEIDONSQL_APPFVT_01_tblFillRateFechas[[#This Row],[con_ocnumero]]&amp;Tabla__192.168.1.8_POSEIDONSQL_APPFVT_01_tblFillRateFechas[[#This Row],[con_codigounico]]</f>
        <v>5005149836090109</v>
      </c>
      <c r="X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" spans="1:24" x14ac:dyDescent="0.25">
      <c r="A92">
        <v>3</v>
      </c>
      <c r="B92" t="s">
        <v>50</v>
      </c>
      <c r="C92">
        <v>50051696</v>
      </c>
      <c r="D92" t="s">
        <v>1980</v>
      </c>
      <c r="E92" t="s">
        <v>415</v>
      </c>
      <c r="F92" t="s">
        <v>1977</v>
      </c>
      <c r="G92">
        <v>1</v>
      </c>
      <c r="H92">
        <v>1</v>
      </c>
      <c r="I92" t="s">
        <v>162</v>
      </c>
      <c r="J92">
        <v>0</v>
      </c>
      <c r="K92" t="s">
        <v>1128</v>
      </c>
      <c r="L92">
        <f>+Tabla__192.168.1.8_POSEIDONSQL_APPFVT_01_tblFillRateFechas[[#This Row],[emb_cantidad]]-Tabla__192.168.1.8_POSEIDONSQL_APPFVT_01_tblFillRateFechas[[#This Row],[dev_cantidad]]</f>
        <v>1</v>
      </c>
      <c r="M92">
        <f>+IF(Tabla__192.168.1.8_POSEIDONSQL_APPFVT_01_tblFillRateFechas[[#This Row],[Cant_Resultante]]=Tabla__192.168.1.8_POSEIDONSQL_APPFVT_01_tblFillRateFechas[[#This Row],[cant_order]],1,0)</f>
        <v>1</v>
      </c>
      <c r="N9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" s="1">
        <f>+IF(AND(Tabla__192.168.1.8_POSEIDONSQL_APPFVT_01_tblFillRateFechas[[#This Row],[Valida Cant]]=1,Tabla__192.168.1.8_POSEIDONSQL_APPFVT_01_tblFillRateFechas[[#This Row],[Valida Fec]]=1),1,0)</f>
        <v>1</v>
      </c>
      <c r="P92" s="1">
        <f>+(Tabla__192.168.1.8_POSEIDONSQL_APPFVT_01_tblFillRateFechas[[#This Row],[Cant_Resultante]]/Tabla__192.168.1.8_POSEIDONSQL_APPFVT_01_tblFillRateFechas[[#This Row],[cant_order]])*100</f>
        <v>100</v>
      </c>
      <c r="Q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" s="1">
        <f>+IF(Tabla__192.168.1.8_POSEIDONSQL_APPFVT_01_tblFillRateFechas[[#This Row],[cant_order]]&gt;0,1,0)</f>
        <v>1</v>
      </c>
      <c r="V92" s="1">
        <f>+IF(Tabla__192.168.1.8_POSEIDONSQL_APPFVT_01_tblFillRateFechas[[#This Row],[Resultado]]=1,1,0)</f>
        <v>1</v>
      </c>
      <c r="W92" s="1" t="str">
        <f>+Tabla__192.168.1.8_POSEIDONSQL_APPFVT_01_tblFillRateFechas[[#This Row],[con_ocnumero]]&amp;Tabla__192.168.1.8_POSEIDONSQL_APPFVT_01_tblFillRateFechas[[#This Row],[con_codigounico]]</f>
        <v>5005169636090131</v>
      </c>
      <c r="X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" spans="1:24" x14ac:dyDescent="0.25">
      <c r="A93">
        <v>1</v>
      </c>
      <c r="B93" t="s">
        <v>55</v>
      </c>
      <c r="C93">
        <v>8641570</v>
      </c>
      <c r="D93" t="s">
        <v>12</v>
      </c>
      <c r="E93" t="s">
        <v>1965</v>
      </c>
      <c r="F93" t="s">
        <v>12</v>
      </c>
      <c r="G93">
        <v>1</v>
      </c>
      <c r="H93">
        <v>1</v>
      </c>
      <c r="I93" t="s">
        <v>1965</v>
      </c>
      <c r="J93">
        <v>0</v>
      </c>
      <c r="K93" t="s">
        <v>49</v>
      </c>
      <c r="L93">
        <f>+Tabla__192.168.1.8_POSEIDONSQL_APPFVT_01_tblFillRateFechas[[#This Row],[emb_cantidad]]-Tabla__192.168.1.8_POSEIDONSQL_APPFVT_01_tblFillRateFechas[[#This Row],[dev_cantidad]]</f>
        <v>1</v>
      </c>
      <c r="M93">
        <f>+IF(Tabla__192.168.1.8_POSEIDONSQL_APPFVT_01_tblFillRateFechas[[#This Row],[Cant_Resultante]]=Tabla__192.168.1.8_POSEIDONSQL_APPFVT_01_tblFillRateFechas[[#This Row],[cant_order]],1,0)</f>
        <v>1</v>
      </c>
      <c r="N93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" s="1">
        <f>+IF(AND(Tabla__192.168.1.8_POSEIDONSQL_APPFVT_01_tblFillRateFechas[[#This Row],[Valida Cant]]=1,Tabla__192.168.1.8_POSEIDONSQL_APPFVT_01_tblFillRateFechas[[#This Row],[Valida Fec]]=1),1,0)</f>
        <v>1</v>
      </c>
      <c r="P93" s="1">
        <f>+(Tabla__192.168.1.8_POSEIDONSQL_APPFVT_01_tblFillRateFechas[[#This Row],[Cant_Resultante]]/Tabla__192.168.1.8_POSEIDONSQL_APPFVT_01_tblFillRateFechas[[#This Row],[cant_order]])*100</f>
        <v>100</v>
      </c>
      <c r="Q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" s="1">
        <f>+IF(Tabla__192.168.1.8_POSEIDONSQL_APPFVT_01_tblFillRateFechas[[#This Row],[cant_order]]&gt;0,1,0)</f>
        <v>1</v>
      </c>
      <c r="V93" s="1">
        <f>+IF(Tabla__192.168.1.8_POSEIDONSQL_APPFVT_01_tblFillRateFechas[[#This Row],[Resultado]]=1,1,0)</f>
        <v>1</v>
      </c>
      <c r="W93" s="1" t="str">
        <f>+Tabla__192.168.1.8_POSEIDONSQL_APPFVT_01_tblFillRateFechas[[#This Row],[con_ocnumero]]&amp;Tabla__192.168.1.8_POSEIDONSQL_APPFVT_01_tblFillRateFechas[[#This Row],[con_codigounico]]</f>
        <v>8641570-</v>
      </c>
      <c r="X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" spans="1:24" x14ac:dyDescent="0.25">
      <c r="A94">
        <v>1</v>
      </c>
      <c r="B94" t="s">
        <v>55</v>
      </c>
      <c r="C94">
        <v>8642803</v>
      </c>
      <c r="D94" t="s">
        <v>12</v>
      </c>
      <c r="E94" t="s">
        <v>1980</v>
      </c>
      <c r="F94" t="s">
        <v>1972</v>
      </c>
      <c r="G94">
        <v>16</v>
      </c>
      <c r="H94">
        <v>0</v>
      </c>
      <c r="I94" t="s">
        <v>12</v>
      </c>
      <c r="J94">
        <v>0</v>
      </c>
      <c r="K94" t="s">
        <v>49</v>
      </c>
      <c r="L94">
        <f>+Tabla__192.168.1.8_POSEIDONSQL_APPFVT_01_tblFillRateFechas[[#This Row],[emb_cantidad]]-Tabla__192.168.1.8_POSEIDONSQL_APPFVT_01_tblFillRateFechas[[#This Row],[dev_cantidad]]</f>
        <v>0</v>
      </c>
      <c r="M94">
        <f>+IF(Tabla__192.168.1.8_POSEIDONSQL_APPFVT_01_tblFillRateFechas[[#This Row],[Cant_Resultante]]=Tabla__192.168.1.8_POSEIDONSQL_APPFVT_01_tblFillRateFechas[[#This Row],[cant_order]],1,0)</f>
        <v>0</v>
      </c>
      <c r="N94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4" s="1">
        <f>+IF(AND(Tabla__192.168.1.8_POSEIDONSQL_APPFVT_01_tblFillRateFechas[[#This Row],[Valida Cant]]=1,Tabla__192.168.1.8_POSEIDONSQL_APPFVT_01_tblFillRateFechas[[#This Row],[Valida Fec]]=1),1,0)</f>
        <v>0</v>
      </c>
      <c r="P94" s="1">
        <f>+(Tabla__192.168.1.8_POSEIDONSQL_APPFVT_01_tblFillRateFechas[[#This Row],[Cant_Resultante]]/Tabla__192.168.1.8_POSEIDONSQL_APPFVT_01_tblFillRateFechas[[#This Row],[cant_order]])*100</f>
        <v>0</v>
      </c>
      <c r="Q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16</v>
      </c>
      <c r="U94" s="1">
        <f>+IF(Tabla__192.168.1.8_POSEIDONSQL_APPFVT_01_tblFillRateFechas[[#This Row],[cant_order]]&gt;0,1,0)</f>
        <v>1</v>
      </c>
      <c r="V94" s="1">
        <f>+IF(Tabla__192.168.1.8_POSEIDONSQL_APPFVT_01_tblFillRateFechas[[#This Row],[Resultado]]=1,1,0)</f>
        <v>0</v>
      </c>
      <c r="W94" s="1" t="str">
        <f>+Tabla__192.168.1.8_POSEIDONSQL_APPFVT_01_tblFillRateFechas[[#This Row],[con_ocnumero]]&amp;Tabla__192.168.1.8_POSEIDONSQL_APPFVT_01_tblFillRateFechas[[#This Row],[con_codigounico]]</f>
        <v>8642803-</v>
      </c>
      <c r="X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5" spans="1:24" x14ac:dyDescent="0.25">
      <c r="A95">
        <v>1</v>
      </c>
      <c r="B95" t="s">
        <v>55</v>
      </c>
      <c r="C95">
        <v>8645254</v>
      </c>
      <c r="D95" t="s">
        <v>1972</v>
      </c>
      <c r="E95" t="s">
        <v>1977</v>
      </c>
      <c r="F95" t="s">
        <v>1975</v>
      </c>
      <c r="G95">
        <v>1</v>
      </c>
      <c r="H95">
        <v>1</v>
      </c>
      <c r="I95" t="s">
        <v>1977</v>
      </c>
      <c r="J95">
        <v>0</v>
      </c>
      <c r="K95" t="s">
        <v>49</v>
      </c>
      <c r="L95">
        <f>+Tabla__192.168.1.8_POSEIDONSQL_APPFVT_01_tblFillRateFechas[[#This Row],[emb_cantidad]]-Tabla__192.168.1.8_POSEIDONSQL_APPFVT_01_tblFillRateFechas[[#This Row],[dev_cantidad]]</f>
        <v>1</v>
      </c>
      <c r="M95">
        <f>+IF(Tabla__192.168.1.8_POSEIDONSQL_APPFVT_01_tblFillRateFechas[[#This Row],[Cant_Resultante]]=Tabla__192.168.1.8_POSEIDONSQL_APPFVT_01_tblFillRateFechas[[#This Row],[cant_order]],1,0)</f>
        <v>1</v>
      </c>
      <c r="N95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" s="1">
        <f>+IF(AND(Tabla__192.168.1.8_POSEIDONSQL_APPFVT_01_tblFillRateFechas[[#This Row],[Valida Cant]]=1,Tabla__192.168.1.8_POSEIDONSQL_APPFVT_01_tblFillRateFechas[[#This Row],[Valida Fec]]=1),1,0)</f>
        <v>1</v>
      </c>
      <c r="P95" s="1">
        <f>+(Tabla__192.168.1.8_POSEIDONSQL_APPFVT_01_tblFillRateFechas[[#This Row],[Cant_Resultante]]/Tabla__192.168.1.8_POSEIDONSQL_APPFVT_01_tblFillRateFechas[[#This Row],[cant_order]])*100</f>
        <v>100</v>
      </c>
      <c r="Q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" s="1">
        <f>+IF(Tabla__192.168.1.8_POSEIDONSQL_APPFVT_01_tblFillRateFechas[[#This Row],[cant_order]]&gt;0,1,0)</f>
        <v>1</v>
      </c>
      <c r="V95" s="1">
        <f>+IF(Tabla__192.168.1.8_POSEIDONSQL_APPFVT_01_tblFillRateFechas[[#This Row],[Resultado]]=1,1,0)</f>
        <v>1</v>
      </c>
      <c r="W95" s="1" t="str">
        <f>+Tabla__192.168.1.8_POSEIDONSQL_APPFVT_01_tblFillRateFechas[[#This Row],[con_ocnumero]]&amp;Tabla__192.168.1.8_POSEIDONSQL_APPFVT_01_tblFillRateFechas[[#This Row],[con_codigounico]]</f>
        <v>8645254-</v>
      </c>
      <c r="X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" spans="1:24" x14ac:dyDescent="0.25">
      <c r="A96">
        <v>1</v>
      </c>
      <c r="B96" t="s">
        <v>55</v>
      </c>
      <c r="C96">
        <v>8647550</v>
      </c>
      <c r="D96" t="s">
        <v>1976</v>
      </c>
      <c r="E96" t="s">
        <v>1965</v>
      </c>
      <c r="F96" t="s">
        <v>1978</v>
      </c>
      <c r="G96">
        <v>1</v>
      </c>
      <c r="H96">
        <v>1</v>
      </c>
      <c r="I96" t="s">
        <v>1965</v>
      </c>
      <c r="J96">
        <v>0</v>
      </c>
      <c r="K96" t="s">
        <v>49</v>
      </c>
      <c r="L96">
        <f>+Tabla__192.168.1.8_POSEIDONSQL_APPFVT_01_tblFillRateFechas[[#This Row],[emb_cantidad]]-Tabla__192.168.1.8_POSEIDONSQL_APPFVT_01_tblFillRateFechas[[#This Row],[dev_cantidad]]</f>
        <v>1</v>
      </c>
      <c r="M96">
        <f>+IF(Tabla__192.168.1.8_POSEIDONSQL_APPFVT_01_tblFillRateFechas[[#This Row],[Cant_Resultante]]=Tabla__192.168.1.8_POSEIDONSQL_APPFVT_01_tblFillRateFechas[[#This Row],[cant_order]],1,0)</f>
        <v>1</v>
      </c>
      <c r="N96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" s="1">
        <f>+IF(AND(Tabla__192.168.1.8_POSEIDONSQL_APPFVT_01_tblFillRateFechas[[#This Row],[Valida Cant]]=1,Tabla__192.168.1.8_POSEIDONSQL_APPFVT_01_tblFillRateFechas[[#This Row],[Valida Fec]]=1),1,0)</f>
        <v>1</v>
      </c>
      <c r="P96" s="1">
        <f>+(Tabla__192.168.1.8_POSEIDONSQL_APPFVT_01_tblFillRateFechas[[#This Row],[Cant_Resultante]]/Tabla__192.168.1.8_POSEIDONSQL_APPFVT_01_tblFillRateFechas[[#This Row],[cant_order]])*100</f>
        <v>100</v>
      </c>
      <c r="Q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" s="1">
        <f>+IF(Tabla__192.168.1.8_POSEIDONSQL_APPFVT_01_tblFillRateFechas[[#This Row],[cant_order]]&gt;0,1,0)</f>
        <v>1</v>
      </c>
      <c r="V96" s="1">
        <f>+IF(Tabla__192.168.1.8_POSEIDONSQL_APPFVT_01_tblFillRateFechas[[#This Row],[Resultado]]=1,1,0)</f>
        <v>1</v>
      </c>
      <c r="W96" s="1" t="str">
        <f>+Tabla__192.168.1.8_POSEIDONSQL_APPFVT_01_tblFillRateFechas[[#This Row],[con_ocnumero]]&amp;Tabla__192.168.1.8_POSEIDONSQL_APPFVT_01_tblFillRateFechas[[#This Row],[con_codigounico]]</f>
        <v>8647550-</v>
      </c>
      <c r="X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" spans="1:24" x14ac:dyDescent="0.25">
      <c r="A97">
        <v>1</v>
      </c>
      <c r="B97" t="s">
        <v>55</v>
      </c>
      <c r="C97">
        <v>8647872</v>
      </c>
      <c r="D97" t="s">
        <v>1976</v>
      </c>
      <c r="E97" t="s">
        <v>1965</v>
      </c>
      <c r="F97" t="s">
        <v>1978</v>
      </c>
      <c r="G97">
        <v>1</v>
      </c>
      <c r="H97">
        <v>1</v>
      </c>
      <c r="I97" t="s">
        <v>1965</v>
      </c>
      <c r="J97">
        <v>0</v>
      </c>
      <c r="K97" t="s">
        <v>49</v>
      </c>
      <c r="L97">
        <f>+Tabla__192.168.1.8_POSEIDONSQL_APPFVT_01_tblFillRateFechas[[#This Row],[emb_cantidad]]-Tabla__192.168.1.8_POSEIDONSQL_APPFVT_01_tblFillRateFechas[[#This Row],[dev_cantidad]]</f>
        <v>1</v>
      </c>
      <c r="M97">
        <f>+IF(Tabla__192.168.1.8_POSEIDONSQL_APPFVT_01_tblFillRateFechas[[#This Row],[Cant_Resultante]]=Tabla__192.168.1.8_POSEIDONSQL_APPFVT_01_tblFillRateFechas[[#This Row],[cant_order]],1,0)</f>
        <v>1</v>
      </c>
      <c r="N97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" s="1">
        <f>+IF(AND(Tabla__192.168.1.8_POSEIDONSQL_APPFVT_01_tblFillRateFechas[[#This Row],[Valida Cant]]=1,Tabla__192.168.1.8_POSEIDONSQL_APPFVT_01_tblFillRateFechas[[#This Row],[Valida Fec]]=1),1,0)</f>
        <v>1</v>
      </c>
      <c r="P97" s="1">
        <f>+(Tabla__192.168.1.8_POSEIDONSQL_APPFVT_01_tblFillRateFechas[[#This Row],[Cant_Resultante]]/Tabla__192.168.1.8_POSEIDONSQL_APPFVT_01_tblFillRateFechas[[#This Row],[cant_order]])*100</f>
        <v>100</v>
      </c>
      <c r="Q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" s="1">
        <f>+IF(Tabla__192.168.1.8_POSEIDONSQL_APPFVT_01_tblFillRateFechas[[#This Row],[cant_order]]&gt;0,1,0)</f>
        <v>1</v>
      </c>
      <c r="V97" s="1">
        <f>+IF(Tabla__192.168.1.8_POSEIDONSQL_APPFVT_01_tblFillRateFechas[[#This Row],[Resultado]]=1,1,0)</f>
        <v>1</v>
      </c>
      <c r="W97" s="1" t="str">
        <f>+Tabla__192.168.1.8_POSEIDONSQL_APPFVT_01_tblFillRateFechas[[#This Row],[con_ocnumero]]&amp;Tabla__192.168.1.8_POSEIDONSQL_APPFVT_01_tblFillRateFechas[[#This Row],[con_codigounico]]</f>
        <v>8647872-</v>
      </c>
      <c r="X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" spans="1:24" x14ac:dyDescent="0.25">
      <c r="A98">
        <v>1</v>
      </c>
      <c r="B98" t="s">
        <v>55</v>
      </c>
      <c r="C98">
        <v>8647990</v>
      </c>
      <c r="D98" t="s">
        <v>1976</v>
      </c>
      <c r="E98" t="s">
        <v>1965</v>
      </c>
      <c r="F98" t="s">
        <v>1978</v>
      </c>
      <c r="G98">
        <v>1</v>
      </c>
      <c r="H98">
        <v>1</v>
      </c>
      <c r="I98" t="s">
        <v>1965</v>
      </c>
      <c r="J98">
        <v>0</v>
      </c>
      <c r="K98" t="s">
        <v>49</v>
      </c>
      <c r="L98">
        <f>+Tabla__192.168.1.8_POSEIDONSQL_APPFVT_01_tblFillRateFechas[[#This Row],[emb_cantidad]]-Tabla__192.168.1.8_POSEIDONSQL_APPFVT_01_tblFillRateFechas[[#This Row],[dev_cantidad]]</f>
        <v>1</v>
      </c>
      <c r="M98">
        <f>+IF(Tabla__192.168.1.8_POSEIDONSQL_APPFVT_01_tblFillRateFechas[[#This Row],[Cant_Resultante]]=Tabla__192.168.1.8_POSEIDONSQL_APPFVT_01_tblFillRateFechas[[#This Row],[cant_order]],1,0)</f>
        <v>1</v>
      </c>
      <c r="N98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" s="1">
        <f>+IF(AND(Tabla__192.168.1.8_POSEIDONSQL_APPFVT_01_tblFillRateFechas[[#This Row],[Valida Cant]]=1,Tabla__192.168.1.8_POSEIDONSQL_APPFVT_01_tblFillRateFechas[[#This Row],[Valida Fec]]=1),1,0)</f>
        <v>1</v>
      </c>
      <c r="P98" s="1">
        <f>+(Tabla__192.168.1.8_POSEIDONSQL_APPFVT_01_tblFillRateFechas[[#This Row],[Cant_Resultante]]/Tabla__192.168.1.8_POSEIDONSQL_APPFVT_01_tblFillRateFechas[[#This Row],[cant_order]])*100</f>
        <v>100</v>
      </c>
      <c r="Q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" s="1">
        <f>+IF(Tabla__192.168.1.8_POSEIDONSQL_APPFVT_01_tblFillRateFechas[[#This Row],[cant_order]]&gt;0,1,0)</f>
        <v>1</v>
      </c>
      <c r="V98" s="1">
        <f>+IF(Tabla__192.168.1.8_POSEIDONSQL_APPFVT_01_tblFillRateFechas[[#This Row],[Resultado]]=1,1,0)</f>
        <v>1</v>
      </c>
      <c r="W98" s="1" t="str">
        <f>+Tabla__192.168.1.8_POSEIDONSQL_APPFVT_01_tblFillRateFechas[[#This Row],[con_ocnumero]]&amp;Tabla__192.168.1.8_POSEIDONSQL_APPFVT_01_tblFillRateFechas[[#This Row],[con_codigounico]]</f>
        <v>8647990-</v>
      </c>
      <c r="X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" spans="1:24" x14ac:dyDescent="0.25">
      <c r="A99">
        <v>1</v>
      </c>
      <c r="B99" t="s">
        <v>55</v>
      </c>
      <c r="C99">
        <v>8648110</v>
      </c>
      <c r="D99" t="s">
        <v>1974</v>
      </c>
      <c r="E99" t="s">
        <v>1965</v>
      </c>
      <c r="F99" t="s">
        <v>1978</v>
      </c>
      <c r="G99">
        <v>1</v>
      </c>
      <c r="H99">
        <v>1</v>
      </c>
      <c r="I99" t="s">
        <v>1965</v>
      </c>
      <c r="J99">
        <v>0</v>
      </c>
      <c r="K99" t="s">
        <v>49</v>
      </c>
      <c r="L99">
        <f>+Tabla__192.168.1.8_POSEIDONSQL_APPFVT_01_tblFillRateFechas[[#This Row],[emb_cantidad]]-Tabla__192.168.1.8_POSEIDONSQL_APPFVT_01_tblFillRateFechas[[#This Row],[dev_cantidad]]</f>
        <v>1</v>
      </c>
      <c r="M99">
        <f>+IF(Tabla__192.168.1.8_POSEIDONSQL_APPFVT_01_tblFillRateFechas[[#This Row],[Cant_Resultante]]=Tabla__192.168.1.8_POSEIDONSQL_APPFVT_01_tblFillRateFechas[[#This Row],[cant_order]],1,0)</f>
        <v>1</v>
      </c>
      <c r="N99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" s="1">
        <f>+IF(AND(Tabla__192.168.1.8_POSEIDONSQL_APPFVT_01_tblFillRateFechas[[#This Row],[Valida Cant]]=1,Tabla__192.168.1.8_POSEIDONSQL_APPFVT_01_tblFillRateFechas[[#This Row],[Valida Fec]]=1),1,0)</f>
        <v>1</v>
      </c>
      <c r="P99" s="1">
        <f>+(Tabla__192.168.1.8_POSEIDONSQL_APPFVT_01_tblFillRateFechas[[#This Row],[Cant_Resultante]]/Tabla__192.168.1.8_POSEIDONSQL_APPFVT_01_tblFillRateFechas[[#This Row],[cant_order]])*100</f>
        <v>100</v>
      </c>
      <c r="Q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" s="1">
        <f>+IF(Tabla__192.168.1.8_POSEIDONSQL_APPFVT_01_tblFillRateFechas[[#This Row],[cant_order]]&gt;0,1,0)</f>
        <v>1</v>
      </c>
      <c r="V99" s="1">
        <f>+IF(Tabla__192.168.1.8_POSEIDONSQL_APPFVT_01_tblFillRateFechas[[#This Row],[Resultado]]=1,1,0)</f>
        <v>1</v>
      </c>
      <c r="W99" s="1" t="str">
        <f>+Tabla__192.168.1.8_POSEIDONSQL_APPFVT_01_tblFillRateFechas[[#This Row],[con_ocnumero]]&amp;Tabla__192.168.1.8_POSEIDONSQL_APPFVT_01_tblFillRateFechas[[#This Row],[con_codigounico]]</f>
        <v>8648110-</v>
      </c>
      <c r="X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" spans="1:24" x14ac:dyDescent="0.25">
      <c r="A100">
        <v>1</v>
      </c>
      <c r="B100" t="s">
        <v>55</v>
      </c>
      <c r="C100">
        <v>8648248</v>
      </c>
      <c r="D100" t="s">
        <v>1974</v>
      </c>
      <c r="E100" t="s">
        <v>1965</v>
      </c>
      <c r="F100" t="s">
        <v>1978</v>
      </c>
      <c r="G100">
        <v>1</v>
      </c>
      <c r="H100">
        <v>1</v>
      </c>
      <c r="I100" t="s">
        <v>1965</v>
      </c>
      <c r="J100">
        <v>0</v>
      </c>
      <c r="K100" t="s">
        <v>49</v>
      </c>
      <c r="L100">
        <f>+Tabla__192.168.1.8_POSEIDONSQL_APPFVT_01_tblFillRateFechas[[#This Row],[emb_cantidad]]-Tabla__192.168.1.8_POSEIDONSQL_APPFVT_01_tblFillRateFechas[[#This Row],[dev_cantidad]]</f>
        <v>1</v>
      </c>
      <c r="M100">
        <f>+IF(Tabla__192.168.1.8_POSEIDONSQL_APPFVT_01_tblFillRateFechas[[#This Row],[Cant_Resultante]]=Tabla__192.168.1.8_POSEIDONSQL_APPFVT_01_tblFillRateFechas[[#This Row],[cant_order]],1,0)</f>
        <v>1</v>
      </c>
      <c r="N100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" s="1">
        <f>+IF(AND(Tabla__192.168.1.8_POSEIDONSQL_APPFVT_01_tblFillRateFechas[[#This Row],[Valida Cant]]=1,Tabla__192.168.1.8_POSEIDONSQL_APPFVT_01_tblFillRateFechas[[#This Row],[Valida Fec]]=1),1,0)</f>
        <v>1</v>
      </c>
      <c r="P100" s="1">
        <f>+(Tabla__192.168.1.8_POSEIDONSQL_APPFVT_01_tblFillRateFechas[[#This Row],[Cant_Resultante]]/Tabla__192.168.1.8_POSEIDONSQL_APPFVT_01_tblFillRateFechas[[#This Row],[cant_order]])*100</f>
        <v>100</v>
      </c>
      <c r="Q1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" s="1">
        <f>+IF(Tabla__192.168.1.8_POSEIDONSQL_APPFVT_01_tblFillRateFechas[[#This Row],[cant_order]]&gt;0,1,0)</f>
        <v>1</v>
      </c>
      <c r="V100" s="1">
        <f>+IF(Tabla__192.168.1.8_POSEIDONSQL_APPFVT_01_tblFillRateFechas[[#This Row],[Resultado]]=1,1,0)</f>
        <v>1</v>
      </c>
      <c r="W100" s="1" t="str">
        <f>+Tabla__192.168.1.8_POSEIDONSQL_APPFVT_01_tblFillRateFechas[[#This Row],[con_ocnumero]]&amp;Tabla__192.168.1.8_POSEIDONSQL_APPFVT_01_tblFillRateFechas[[#This Row],[con_codigounico]]</f>
        <v>8648248-</v>
      </c>
      <c r="X1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" spans="1:24" x14ac:dyDescent="0.25">
      <c r="A101">
        <v>1</v>
      </c>
      <c r="B101" t="s">
        <v>55</v>
      </c>
      <c r="C101">
        <v>8649323</v>
      </c>
      <c r="D101" t="s">
        <v>1975</v>
      </c>
      <c r="E101" t="s">
        <v>1977</v>
      </c>
      <c r="F101" t="s">
        <v>1978</v>
      </c>
      <c r="G101">
        <v>1</v>
      </c>
      <c r="H101">
        <v>1</v>
      </c>
      <c r="I101" t="s">
        <v>1977</v>
      </c>
      <c r="J101">
        <v>0</v>
      </c>
      <c r="K101" t="s">
        <v>49</v>
      </c>
      <c r="L101">
        <f>+Tabla__192.168.1.8_POSEIDONSQL_APPFVT_01_tblFillRateFechas[[#This Row],[emb_cantidad]]-Tabla__192.168.1.8_POSEIDONSQL_APPFVT_01_tblFillRateFechas[[#This Row],[dev_cantidad]]</f>
        <v>1</v>
      </c>
      <c r="M101">
        <f>+IF(Tabla__192.168.1.8_POSEIDONSQL_APPFVT_01_tblFillRateFechas[[#This Row],[Cant_Resultante]]=Tabla__192.168.1.8_POSEIDONSQL_APPFVT_01_tblFillRateFechas[[#This Row],[cant_order]],1,0)</f>
        <v>1</v>
      </c>
      <c r="N10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" s="1">
        <f>+IF(AND(Tabla__192.168.1.8_POSEIDONSQL_APPFVT_01_tblFillRateFechas[[#This Row],[Valida Cant]]=1,Tabla__192.168.1.8_POSEIDONSQL_APPFVT_01_tblFillRateFechas[[#This Row],[Valida Fec]]=1),1,0)</f>
        <v>1</v>
      </c>
      <c r="P101" s="1">
        <f>+(Tabla__192.168.1.8_POSEIDONSQL_APPFVT_01_tblFillRateFechas[[#This Row],[Cant_Resultante]]/Tabla__192.168.1.8_POSEIDONSQL_APPFVT_01_tblFillRateFechas[[#This Row],[cant_order]])*100</f>
        <v>100</v>
      </c>
      <c r="Q1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" s="1">
        <f>+IF(Tabla__192.168.1.8_POSEIDONSQL_APPFVT_01_tblFillRateFechas[[#This Row],[cant_order]]&gt;0,1,0)</f>
        <v>1</v>
      </c>
      <c r="V101" s="1">
        <f>+IF(Tabla__192.168.1.8_POSEIDONSQL_APPFVT_01_tblFillRateFechas[[#This Row],[Resultado]]=1,1,0)</f>
        <v>1</v>
      </c>
      <c r="W101" s="1" t="str">
        <f>+Tabla__192.168.1.8_POSEIDONSQL_APPFVT_01_tblFillRateFechas[[#This Row],[con_ocnumero]]&amp;Tabla__192.168.1.8_POSEIDONSQL_APPFVT_01_tblFillRateFechas[[#This Row],[con_codigounico]]</f>
        <v>8649323-</v>
      </c>
      <c r="X1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" spans="1:24" x14ac:dyDescent="0.25">
      <c r="A102">
        <v>1</v>
      </c>
      <c r="B102" t="s">
        <v>55</v>
      </c>
      <c r="C102">
        <v>8651198</v>
      </c>
      <c r="D102" t="s">
        <v>1975</v>
      </c>
      <c r="E102" t="s">
        <v>1965</v>
      </c>
      <c r="F102" t="s">
        <v>1979</v>
      </c>
      <c r="G102">
        <v>1</v>
      </c>
      <c r="H102">
        <v>1</v>
      </c>
      <c r="I102" t="s">
        <v>1965</v>
      </c>
      <c r="J102">
        <v>0</v>
      </c>
      <c r="K102" t="s">
        <v>49</v>
      </c>
      <c r="L102">
        <f>+Tabla__192.168.1.8_POSEIDONSQL_APPFVT_01_tblFillRateFechas[[#This Row],[emb_cantidad]]-Tabla__192.168.1.8_POSEIDONSQL_APPFVT_01_tblFillRateFechas[[#This Row],[dev_cantidad]]</f>
        <v>1</v>
      </c>
      <c r="M102">
        <f>+IF(Tabla__192.168.1.8_POSEIDONSQL_APPFVT_01_tblFillRateFechas[[#This Row],[Cant_Resultante]]=Tabla__192.168.1.8_POSEIDONSQL_APPFVT_01_tblFillRateFechas[[#This Row],[cant_order]],1,0)</f>
        <v>1</v>
      </c>
      <c r="N102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" s="1">
        <f>+IF(AND(Tabla__192.168.1.8_POSEIDONSQL_APPFVT_01_tblFillRateFechas[[#This Row],[Valida Cant]]=1,Tabla__192.168.1.8_POSEIDONSQL_APPFVT_01_tblFillRateFechas[[#This Row],[Valida Fec]]=1),1,0)</f>
        <v>1</v>
      </c>
      <c r="P102" s="1">
        <f>+(Tabla__192.168.1.8_POSEIDONSQL_APPFVT_01_tblFillRateFechas[[#This Row],[Cant_Resultante]]/Tabla__192.168.1.8_POSEIDONSQL_APPFVT_01_tblFillRateFechas[[#This Row],[cant_order]])*100</f>
        <v>100</v>
      </c>
      <c r="Q1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" s="1">
        <f>+IF(Tabla__192.168.1.8_POSEIDONSQL_APPFVT_01_tblFillRateFechas[[#This Row],[cant_order]]&gt;0,1,0)</f>
        <v>1</v>
      </c>
      <c r="V102" s="1">
        <f>+IF(Tabla__192.168.1.8_POSEIDONSQL_APPFVT_01_tblFillRateFechas[[#This Row],[Resultado]]=1,1,0)</f>
        <v>1</v>
      </c>
      <c r="W102" s="1" t="str">
        <f>+Tabla__192.168.1.8_POSEIDONSQL_APPFVT_01_tblFillRateFechas[[#This Row],[con_ocnumero]]&amp;Tabla__192.168.1.8_POSEIDONSQL_APPFVT_01_tblFillRateFechas[[#This Row],[con_codigounico]]</f>
        <v>8651198-</v>
      </c>
      <c r="X1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" spans="1:24" x14ac:dyDescent="0.25">
      <c r="A103">
        <v>1</v>
      </c>
      <c r="B103" t="s">
        <v>55</v>
      </c>
      <c r="C103">
        <v>8652354</v>
      </c>
      <c r="D103" t="s">
        <v>1978</v>
      </c>
      <c r="E103" t="s">
        <v>1971</v>
      </c>
      <c r="F103" t="s">
        <v>1979</v>
      </c>
      <c r="G103">
        <v>40</v>
      </c>
      <c r="H103">
        <v>40</v>
      </c>
      <c r="I103" t="s">
        <v>1971</v>
      </c>
      <c r="J103">
        <v>0</v>
      </c>
      <c r="K103" t="s">
        <v>49</v>
      </c>
      <c r="L103" s="1">
        <f>+Tabla__192.168.1.8_POSEIDONSQL_APPFVT_01_tblFillRateFechas[[#This Row],[emb_cantidad]]-Tabla__192.168.1.8_POSEIDONSQL_APPFVT_01_tblFillRateFechas[[#This Row],[dev_cantidad]]</f>
        <v>40</v>
      </c>
      <c r="M103" s="1">
        <f>+IF(Tabla__192.168.1.8_POSEIDONSQL_APPFVT_01_tblFillRateFechas[[#This Row],[Cant_Resultante]]=Tabla__192.168.1.8_POSEIDONSQL_APPFVT_01_tblFillRateFechas[[#This Row],[cant_order]],1,0)</f>
        <v>1</v>
      </c>
      <c r="N1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" s="1">
        <f>+IF(AND(Tabla__192.168.1.8_POSEIDONSQL_APPFVT_01_tblFillRateFechas[[#This Row],[Valida Cant]]=1,Tabla__192.168.1.8_POSEIDONSQL_APPFVT_01_tblFillRateFechas[[#This Row],[Valida Fec]]=1),1,0)</f>
        <v>1</v>
      </c>
      <c r="P103" s="1">
        <f>+(Tabla__192.168.1.8_POSEIDONSQL_APPFVT_01_tblFillRateFechas[[#This Row],[Cant_Resultante]]/Tabla__192.168.1.8_POSEIDONSQL_APPFVT_01_tblFillRateFechas[[#This Row],[cant_order]])*100</f>
        <v>100</v>
      </c>
      <c r="Q1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40</v>
      </c>
      <c r="R1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40</v>
      </c>
      <c r="T1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" s="1">
        <f>+IF(Tabla__192.168.1.8_POSEIDONSQL_APPFVT_01_tblFillRateFechas[[#This Row],[cant_order]]&gt;0,1,0)</f>
        <v>1</v>
      </c>
      <c r="V103" s="1">
        <f>+IF(Tabla__192.168.1.8_POSEIDONSQL_APPFVT_01_tblFillRateFechas[[#This Row],[Resultado]]=1,1,0)</f>
        <v>1</v>
      </c>
      <c r="W103" s="1" t="str">
        <f>+Tabla__192.168.1.8_POSEIDONSQL_APPFVT_01_tblFillRateFechas[[#This Row],[con_ocnumero]]&amp;Tabla__192.168.1.8_POSEIDONSQL_APPFVT_01_tblFillRateFechas[[#This Row],[con_codigounico]]</f>
        <v>8652354-</v>
      </c>
      <c r="X1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40</v>
      </c>
    </row>
    <row r="104" spans="1:24" x14ac:dyDescent="0.25">
      <c r="A104">
        <v>1</v>
      </c>
      <c r="B104" t="s">
        <v>55</v>
      </c>
      <c r="C104">
        <v>8652732</v>
      </c>
      <c r="D104" t="s">
        <v>1978</v>
      </c>
      <c r="E104" t="s">
        <v>1965</v>
      </c>
      <c r="F104" t="s">
        <v>1965</v>
      </c>
      <c r="G104">
        <v>6</v>
      </c>
      <c r="H104">
        <v>6</v>
      </c>
      <c r="I104" t="s">
        <v>1980</v>
      </c>
      <c r="J104">
        <v>0</v>
      </c>
      <c r="K104" t="s">
        <v>49</v>
      </c>
      <c r="L104" s="1">
        <f>+Tabla__192.168.1.8_POSEIDONSQL_APPFVT_01_tblFillRateFechas[[#This Row],[emb_cantidad]]-Tabla__192.168.1.8_POSEIDONSQL_APPFVT_01_tblFillRateFechas[[#This Row],[dev_cantidad]]</f>
        <v>6</v>
      </c>
      <c r="M104" s="1">
        <f>+IF(Tabla__192.168.1.8_POSEIDONSQL_APPFVT_01_tblFillRateFechas[[#This Row],[Cant_Resultante]]=Tabla__192.168.1.8_POSEIDONSQL_APPFVT_01_tblFillRateFechas[[#This Row],[cant_order]],1,0)</f>
        <v>1</v>
      </c>
      <c r="N1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04" s="1">
        <f>+IF(AND(Tabla__192.168.1.8_POSEIDONSQL_APPFVT_01_tblFillRateFechas[[#This Row],[Valida Cant]]=1,Tabla__192.168.1.8_POSEIDONSQL_APPFVT_01_tblFillRateFechas[[#This Row],[Valida Fec]]=1),1,0)</f>
        <v>0</v>
      </c>
      <c r="P104" s="1">
        <f>+(Tabla__192.168.1.8_POSEIDONSQL_APPFVT_01_tblFillRateFechas[[#This Row],[Cant_Resultante]]/Tabla__192.168.1.8_POSEIDONSQL_APPFVT_01_tblFillRateFechas[[#This Row],[cant_order]])*100</f>
        <v>100</v>
      </c>
      <c r="Q1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6</v>
      </c>
      <c r="R1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6</v>
      </c>
      <c r="T1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" s="1">
        <f>+IF(Tabla__192.168.1.8_POSEIDONSQL_APPFVT_01_tblFillRateFechas[[#This Row],[cant_order]]&gt;0,1,0)</f>
        <v>1</v>
      </c>
      <c r="V104" s="1">
        <f>+IF(Tabla__192.168.1.8_POSEIDONSQL_APPFVT_01_tblFillRateFechas[[#This Row],[Resultado]]=1,1,0)</f>
        <v>0</v>
      </c>
      <c r="W104" s="1" t="str">
        <f>+Tabla__192.168.1.8_POSEIDONSQL_APPFVT_01_tblFillRateFechas[[#This Row],[con_ocnumero]]&amp;Tabla__192.168.1.8_POSEIDONSQL_APPFVT_01_tblFillRateFechas[[#This Row],[con_codigounico]]</f>
        <v>8652732-</v>
      </c>
      <c r="X1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6</v>
      </c>
    </row>
    <row r="105" spans="1:24" x14ac:dyDescent="0.25">
      <c r="A105">
        <v>1</v>
      </c>
      <c r="B105" t="s">
        <v>55</v>
      </c>
      <c r="C105">
        <v>8652771</v>
      </c>
      <c r="D105" t="s">
        <v>1978</v>
      </c>
      <c r="E105" t="s">
        <v>1965</v>
      </c>
      <c r="F105" t="s">
        <v>1979</v>
      </c>
      <c r="G105">
        <v>1</v>
      </c>
      <c r="H105">
        <v>1</v>
      </c>
      <c r="I105" t="s">
        <v>1965</v>
      </c>
      <c r="J105">
        <v>0</v>
      </c>
      <c r="K105" t="s">
        <v>49</v>
      </c>
      <c r="L105" s="1">
        <f>+Tabla__192.168.1.8_POSEIDONSQL_APPFVT_01_tblFillRateFechas[[#This Row],[emb_cantidad]]-Tabla__192.168.1.8_POSEIDONSQL_APPFVT_01_tblFillRateFechas[[#This Row],[dev_cantidad]]</f>
        <v>1</v>
      </c>
      <c r="M105" s="1">
        <f>+IF(Tabla__192.168.1.8_POSEIDONSQL_APPFVT_01_tblFillRateFechas[[#This Row],[Cant_Resultante]]=Tabla__192.168.1.8_POSEIDONSQL_APPFVT_01_tblFillRateFechas[[#This Row],[cant_order]],1,0)</f>
        <v>1</v>
      </c>
      <c r="N1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" s="1">
        <f>+IF(AND(Tabla__192.168.1.8_POSEIDONSQL_APPFVT_01_tblFillRateFechas[[#This Row],[Valida Cant]]=1,Tabla__192.168.1.8_POSEIDONSQL_APPFVT_01_tblFillRateFechas[[#This Row],[Valida Fec]]=1),1,0)</f>
        <v>1</v>
      </c>
      <c r="P105" s="1">
        <f>+(Tabla__192.168.1.8_POSEIDONSQL_APPFVT_01_tblFillRateFechas[[#This Row],[Cant_Resultante]]/Tabla__192.168.1.8_POSEIDONSQL_APPFVT_01_tblFillRateFechas[[#This Row],[cant_order]])*100</f>
        <v>100</v>
      </c>
      <c r="Q1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" s="1">
        <f>+IF(Tabla__192.168.1.8_POSEIDONSQL_APPFVT_01_tblFillRateFechas[[#This Row],[cant_order]]&gt;0,1,0)</f>
        <v>1</v>
      </c>
      <c r="V105" s="1">
        <f>+IF(Tabla__192.168.1.8_POSEIDONSQL_APPFVT_01_tblFillRateFechas[[#This Row],[Resultado]]=1,1,0)</f>
        <v>1</v>
      </c>
      <c r="W105" s="1" t="str">
        <f>+Tabla__192.168.1.8_POSEIDONSQL_APPFVT_01_tblFillRateFechas[[#This Row],[con_ocnumero]]&amp;Tabla__192.168.1.8_POSEIDONSQL_APPFVT_01_tblFillRateFechas[[#This Row],[con_codigounico]]</f>
        <v>8652771-</v>
      </c>
      <c r="X1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" spans="1:24" x14ac:dyDescent="0.25">
      <c r="A106">
        <v>1</v>
      </c>
      <c r="B106" t="s">
        <v>55</v>
      </c>
      <c r="C106">
        <v>8653659</v>
      </c>
      <c r="D106" t="s">
        <v>1979</v>
      </c>
      <c r="E106" t="s">
        <v>1965</v>
      </c>
      <c r="F106" t="s">
        <v>1967</v>
      </c>
      <c r="G106">
        <v>1</v>
      </c>
      <c r="H106">
        <v>1</v>
      </c>
      <c r="I106" t="s">
        <v>1965</v>
      </c>
      <c r="J106">
        <v>0</v>
      </c>
      <c r="K106" t="s">
        <v>49</v>
      </c>
      <c r="L106" s="1">
        <f>+Tabla__192.168.1.8_POSEIDONSQL_APPFVT_01_tblFillRateFechas[[#This Row],[emb_cantidad]]-Tabla__192.168.1.8_POSEIDONSQL_APPFVT_01_tblFillRateFechas[[#This Row],[dev_cantidad]]</f>
        <v>1</v>
      </c>
      <c r="M106" s="1">
        <f>+IF(Tabla__192.168.1.8_POSEIDONSQL_APPFVT_01_tblFillRateFechas[[#This Row],[Cant_Resultante]]=Tabla__192.168.1.8_POSEIDONSQL_APPFVT_01_tblFillRateFechas[[#This Row],[cant_order]],1,0)</f>
        <v>1</v>
      </c>
      <c r="N1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" s="1">
        <f>+IF(AND(Tabla__192.168.1.8_POSEIDONSQL_APPFVT_01_tblFillRateFechas[[#This Row],[Valida Cant]]=1,Tabla__192.168.1.8_POSEIDONSQL_APPFVT_01_tblFillRateFechas[[#This Row],[Valida Fec]]=1),1,0)</f>
        <v>1</v>
      </c>
      <c r="P106" s="1">
        <f>+(Tabla__192.168.1.8_POSEIDONSQL_APPFVT_01_tblFillRateFechas[[#This Row],[Cant_Resultante]]/Tabla__192.168.1.8_POSEIDONSQL_APPFVT_01_tblFillRateFechas[[#This Row],[cant_order]])*100</f>
        <v>100</v>
      </c>
      <c r="Q1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" s="1">
        <f>+IF(Tabla__192.168.1.8_POSEIDONSQL_APPFVT_01_tblFillRateFechas[[#This Row],[cant_order]]&gt;0,1,0)</f>
        <v>1</v>
      </c>
      <c r="V106" s="1">
        <f>+IF(Tabla__192.168.1.8_POSEIDONSQL_APPFVT_01_tblFillRateFechas[[#This Row],[Resultado]]=1,1,0)</f>
        <v>1</v>
      </c>
      <c r="W106" s="1" t="str">
        <f>+Tabla__192.168.1.8_POSEIDONSQL_APPFVT_01_tblFillRateFechas[[#This Row],[con_ocnumero]]&amp;Tabla__192.168.1.8_POSEIDONSQL_APPFVT_01_tblFillRateFechas[[#This Row],[con_codigounico]]</f>
        <v>8653659-</v>
      </c>
      <c r="X1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" spans="1:24" x14ac:dyDescent="0.25">
      <c r="A107">
        <v>1</v>
      </c>
      <c r="B107" t="s">
        <v>55</v>
      </c>
      <c r="C107">
        <v>8654027</v>
      </c>
      <c r="D107" t="s">
        <v>1979</v>
      </c>
      <c r="E107" t="s">
        <v>1965</v>
      </c>
      <c r="F107" t="s">
        <v>1967</v>
      </c>
      <c r="G107">
        <v>1</v>
      </c>
      <c r="H107">
        <v>1</v>
      </c>
      <c r="I107" t="s">
        <v>1965</v>
      </c>
      <c r="J107">
        <v>0</v>
      </c>
      <c r="K107" t="s">
        <v>49</v>
      </c>
      <c r="L107" s="1">
        <f>+Tabla__192.168.1.8_POSEIDONSQL_APPFVT_01_tblFillRateFechas[[#This Row],[emb_cantidad]]-Tabla__192.168.1.8_POSEIDONSQL_APPFVT_01_tblFillRateFechas[[#This Row],[dev_cantidad]]</f>
        <v>1</v>
      </c>
      <c r="M107" s="1">
        <f>+IF(Tabla__192.168.1.8_POSEIDONSQL_APPFVT_01_tblFillRateFechas[[#This Row],[Cant_Resultante]]=Tabla__192.168.1.8_POSEIDONSQL_APPFVT_01_tblFillRateFechas[[#This Row],[cant_order]],1,0)</f>
        <v>1</v>
      </c>
      <c r="N1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" s="1">
        <f>+IF(AND(Tabla__192.168.1.8_POSEIDONSQL_APPFVT_01_tblFillRateFechas[[#This Row],[Valida Cant]]=1,Tabla__192.168.1.8_POSEIDONSQL_APPFVT_01_tblFillRateFechas[[#This Row],[Valida Fec]]=1),1,0)</f>
        <v>1</v>
      </c>
      <c r="P107" s="1">
        <f>+(Tabla__192.168.1.8_POSEIDONSQL_APPFVT_01_tblFillRateFechas[[#This Row],[Cant_Resultante]]/Tabla__192.168.1.8_POSEIDONSQL_APPFVT_01_tblFillRateFechas[[#This Row],[cant_order]])*100</f>
        <v>100</v>
      </c>
      <c r="Q1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" s="1">
        <f>+IF(Tabla__192.168.1.8_POSEIDONSQL_APPFVT_01_tblFillRateFechas[[#This Row],[cant_order]]&gt;0,1,0)</f>
        <v>1</v>
      </c>
      <c r="V107" s="1">
        <f>+IF(Tabla__192.168.1.8_POSEIDONSQL_APPFVT_01_tblFillRateFechas[[#This Row],[Resultado]]=1,1,0)</f>
        <v>1</v>
      </c>
      <c r="W107" s="1" t="str">
        <f>+Tabla__192.168.1.8_POSEIDONSQL_APPFVT_01_tblFillRateFechas[[#This Row],[con_ocnumero]]&amp;Tabla__192.168.1.8_POSEIDONSQL_APPFVT_01_tblFillRateFechas[[#This Row],[con_codigounico]]</f>
        <v>8654027-</v>
      </c>
      <c r="X1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" spans="1:24" x14ac:dyDescent="0.25">
      <c r="A108">
        <v>1</v>
      </c>
      <c r="B108" t="s">
        <v>55</v>
      </c>
      <c r="C108">
        <v>8655329</v>
      </c>
      <c r="D108" t="s">
        <v>1979</v>
      </c>
      <c r="E108" t="s">
        <v>429</v>
      </c>
      <c r="F108" t="s">
        <v>1967</v>
      </c>
      <c r="G108">
        <v>1</v>
      </c>
      <c r="H108">
        <v>1</v>
      </c>
      <c r="I108" t="s">
        <v>429</v>
      </c>
      <c r="J108">
        <v>0</v>
      </c>
      <c r="K108" t="s">
        <v>49</v>
      </c>
      <c r="L108" s="1">
        <f>+Tabla__192.168.1.8_POSEIDONSQL_APPFVT_01_tblFillRateFechas[[#This Row],[emb_cantidad]]-Tabla__192.168.1.8_POSEIDONSQL_APPFVT_01_tblFillRateFechas[[#This Row],[dev_cantidad]]</f>
        <v>1</v>
      </c>
      <c r="M108" s="1">
        <f>+IF(Tabla__192.168.1.8_POSEIDONSQL_APPFVT_01_tblFillRateFechas[[#This Row],[Cant_Resultante]]=Tabla__192.168.1.8_POSEIDONSQL_APPFVT_01_tblFillRateFechas[[#This Row],[cant_order]],1,0)</f>
        <v>1</v>
      </c>
      <c r="N1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" s="1">
        <f>+IF(AND(Tabla__192.168.1.8_POSEIDONSQL_APPFVT_01_tblFillRateFechas[[#This Row],[Valida Cant]]=1,Tabla__192.168.1.8_POSEIDONSQL_APPFVT_01_tblFillRateFechas[[#This Row],[Valida Fec]]=1),1,0)</f>
        <v>1</v>
      </c>
      <c r="P108" s="1">
        <f>+(Tabla__192.168.1.8_POSEIDONSQL_APPFVT_01_tblFillRateFechas[[#This Row],[Cant_Resultante]]/Tabla__192.168.1.8_POSEIDONSQL_APPFVT_01_tblFillRateFechas[[#This Row],[cant_order]])*100</f>
        <v>100</v>
      </c>
      <c r="Q1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" s="1">
        <f>+IF(Tabla__192.168.1.8_POSEIDONSQL_APPFVT_01_tblFillRateFechas[[#This Row],[cant_order]]&gt;0,1,0)</f>
        <v>1</v>
      </c>
      <c r="V108" s="1">
        <f>+IF(Tabla__192.168.1.8_POSEIDONSQL_APPFVT_01_tblFillRateFechas[[#This Row],[Resultado]]=1,1,0)</f>
        <v>1</v>
      </c>
      <c r="W108" s="1" t="str">
        <f>+Tabla__192.168.1.8_POSEIDONSQL_APPFVT_01_tblFillRateFechas[[#This Row],[con_ocnumero]]&amp;Tabla__192.168.1.8_POSEIDONSQL_APPFVT_01_tblFillRateFechas[[#This Row],[con_codigounico]]</f>
        <v>8655329-</v>
      </c>
      <c r="X1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" spans="1:24" x14ac:dyDescent="0.25">
      <c r="A109">
        <v>1</v>
      </c>
      <c r="B109" t="s">
        <v>55</v>
      </c>
      <c r="C109">
        <v>8656309</v>
      </c>
      <c r="D109" t="s">
        <v>1967</v>
      </c>
      <c r="E109" t="s">
        <v>1977</v>
      </c>
      <c r="F109" t="s">
        <v>1968</v>
      </c>
      <c r="G109">
        <v>1</v>
      </c>
      <c r="H109">
        <v>1</v>
      </c>
      <c r="I109" t="s">
        <v>1977</v>
      </c>
      <c r="J109">
        <v>0</v>
      </c>
      <c r="K109" t="s">
        <v>49</v>
      </c>
      <c r="L109" s="1">
        <f>+Tabla__192.168.1.8_POSEIDONSQL_APPFVT_01_tblFillRateFechas[[#This Row],[emb_cantidad]]-Tabla__192.168.1.8_POSEIDONSQL_APPFVT_01_tblFillRateFechas[[#This Row],[dev_cantidad]]</f>
        <v>1</v>
      </c>
      <c r="M109" s="1">
        <f>+IF(Tabla__192.168.1.8_POSEIDONSQL_APPFVT_01_tblFillRateFechas[[#This Row],[Cant_Resultante]]=Tabla__192.168.1.8_POSEIDONSQL_APPFVT_01_tblFillRateFechas[[#This Row],[cant_order]],1,0)</f>
        <v>1</v>
      </c>
      <c r="N1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" s="1">
        <f>+IF(AND(Tabla__192.168.1.8_POSEIDONSQL_APPFVT_01_tblFillRateFechas[[#This Row],[Valida Cant]]=1,Tabla__192.168.1.8_POSEIDONSQL_APPFVT_01_tblFillRateFechas[[#This Row],[Valida Fec]]=1),1,0)</f>
        <v>1</v>
      </c>
      <c r="P109" s="1">
        <f>+(Tabla__192.168.1.8_POSEIDONSQL_APPFVT_01_tblFillRateFechas[[#This Row],[Cant_Resultante]]/Tabla__192.168.1.8_POSEIDONSQL_APPFVT_01_tblFillRateFechas[[#This Row],[cant_order]])*100</f>
        <v>100</v>
      </c>
      <c r="Q1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" s="1">
        <f>+IF(Tabla__192.168.1.8_POSEIDONSQL_APPFVT_01_tblFillRateFechas[[#This Row],[cant_order]]&gt;0,1,0)</f>
        <v>1</v>
      </c>
      <c r="V109" s="1">
        <f>+IF(Tabla__192.168.1.8_POSEIDONSQL_APPFVT_01_tblFillRateFechas[[#This Row],[Resultado]]=1,1,0)</f>
        <v>1</v>
      </c>
      <c r="W109" s="1" t="str">
        <f>+Tabla__192.168.1.8_POSEIDONSQL_APPFVT_01_tblFillRateFechas[[#This Row],[con_ocnumero]]&amp;Tabla__192.168.1.8_POSEIDONSQL_APPFVT_01_tblFillRateFechas[[#This Row],[con_codigounico]]</f>
        <v>8656309-</v>
      </c>
      <c r="X1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" spans="1:24" x14ac:dyDescent="0.25">
      <c r="A110">
        <v>1</v>
      </c>
      <c r="B110" t="s">
        <v>55</v>
      </c>
      <c r="C110">
        <v>8656313</v>
      </c>
      <c r="D110" t="s">
        <v>1967</v>
      </c>
      <c r="E110" t="s">
        <v>1977</v>
      </c>
      <c r="F110" t="s">
        <v>1968</v>
      </c>
      <c r="G110">
        <v>1</v>
      </c>
      <c r="H110">
        <v>1</v>
      </c>
      <c r="I110" t="s">
        <v>1977</v>
      </c>
      <c r="J110">
        <v>0</v>
      </c>
      <c r="K110" t="s">
        <v>49</v>
      </c>
      <c r="L110" s="1">
        <f>+Tabla__192.168.1.8_POSEIDONSQL_APPFVT_01_tblFillRateFechas[[#This Row],[emb_cantidad]]-Tabla__192.168.1.8_POSEIDONSQL_APPFVT_01_tblFillRateFechas[[#This Row],[dev_cantidad]]</f>
        <v>1</v>
      </c>
      <c r="M110" s="1">
        <f>+IF(Tabla__192.168.1.8_POSEIDONSQL_APPFVT_01_tblFillRateFechas[[#This Row],[Cant_Resultante]]=Tabla__192.168.1.8_POSEIDONSQL_APPFVT_01_tblFillRateFechas[[#This Row],[cant_order]],1,0)</f>
        <v>1</v>
      </c>
      <c r="N1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" s="1">
        <f>+IF(AND(Tabla__192.168.1.8_POSEIDONSQL_APPFVT_01_tblFillRateFechas[[#This Row],[Valida Cant]]=1,Tabla__192.168.1.8_POSEIDONSQL_APPFVT_01_tblFillRateFechas[[#This Row],[Valida Fec]]=1),1,0)</f>
        <v>1</v>
      </c>
      <c r="P110" s="1">
        <f>+(Tabla__192.168.1.8_POSEIDONSQL_APPFVT_01_tblFillRateFechas[[#This Row],[Cant_Resultante]]/Tabla__192.168.1.8_POSEIDONSQL_APPFVT_01_tblFillRateFechas[[#This Row],[cant_order]])*100</f>
        <v>100</v>
      </c>
      <c r="Q1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" s="1">
        <f>+IF(Tabla__192.168.1.8_POSEIDONSQL_APPFVT_01_tblFillRateFechas[[#This Row],[cant_order]]&gt;0,1,0)</f>
        <v>1</v>
      </c>
      <c r="V110" s="1">
        <f>+IF(Tabla__192.168.1.8_POSEIDONSQL_APPFVT_01_tblFillRateFechas[[#This Row],[Resultado]]=1,1,0)</f>
        <v>1</v>
      </c>
      <c r="W110" s="1" t="str">
        <f>+Tabla__192.168.1.8_POSEIDONSQL_APPFVT_01_tblFillRateFechas[[#This Row],[con_ocnumero]]&amp;Tabla__192.168.1.8_POSEIDONSQL_APPFVT_01_tblFillRateFechas[[#This Row],[con_codigounico]]</f>
        <v>8656313-</v>
      </c>
      <c r="X1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" spans="1:24" x14ac:dyDescent="0.25">
      <c r="A111">
        <v>1</v>
      </c>
      <c r="B111" t="s">
        <v>55</v>
      </c>
      <c r="C111">
        <v>8656375</v>
      </c>
      <c r="D111" t="s">
        <v>1967</v>
      </c>
      <c r="E111" t="s">
        <v>1977</v>
      </c>
      <c r="F111" t="s">
        <v>1968</v>
      </c>
      <c r="G111">
        <v>1</v>
      </c>
      <c r="H111">
        <v>1</v>
      </c>
      <c r="I111" t="s">
        <v>1977</v>
      </c>
      <c r="J111">
        <v>0</v>
      </c>
      <c r="K111" t="s">
        <v>49</v>
      </c>
      <c r="L111" s="1">
        <f>+Tabla__192.168.1.8_POSEIDONSQL_APPFVT_01_tblFillRateFechas[[#This Row],[emb_cantidad]]-Tabla__192.168.1.8_POSEIDONSQL_APPFVT_01_tblFillRateFechas[[#This Row],[dev_cantidad]]</f>
        <v>1</v>
      </c>
      <c r="M111" s="1">
        <f>+IF(Tabla__192.168.1.8_POSEIDONSQL_APPFVT_01_tblFillRateFechas[[#This Row],[Cant_Resultante]]=Tabla__192.168.1.8_POSEIDONSQL_APPFVT_01_tblFillRateFechas[[#This Row],[cant_order]],1,0)</f>
        <v>1</v>
      </c>
      <c r="N1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" s="1">
        <f>+IF(AND(Tabla__192.168.1.8_POSEIDONSQL_APPFVT_01_tblFillRateFechas[[#This Row],[Valida Cant]]=1,Tabla__192.168.1.8_POSEIDONSQL_APPFVT_01_tblFillRateFechas[[#This Row],[Valida Fec]]=1),1,0)</f>
        <v>1</v>
      </c>
      <c r="P111" s="1">
        <f>+(Tabla__192.168.1.8_POSEIDONSQL_APPFVT_01_tblFillRateFechas[[#This Row],[Cant_Resultante]]/Tabla__192.168.1.8_POSEIDONSQL_APPFVT_01_tblFillRateFechas[[#This Row],[cant_order]])*100</f>
        <v>100</v>
      </c>
      <c r="Q1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" s="1">
        <f>+IF(Tabla__192.168.1.8_POSEIDONSQL_APPFVT_01_tblFillRateFechas[[#This Row],[cant_order]]&gt;0,1,0)</f>
        <v>1</v>
      </c>
      <c r="V111" s="1">
        <f>+IF(Tabla__192.168.1.8_POSEIDONSQL_APPFVT_01_tblFillRateFechas[[#This Row],[Resultado]]=1,1,0)</f>
        <v>1</v>
      </c>
      <c r="W111" s="1" t="str">
        <f>+Tabla__192.168.1.8_POSEIDONSQL_APPFVT_01_tblFillRateFechas[[#This Row],[con_ocnumero]]&amp;Tabla__192.168.1.8_POSEIDONSQL_APPFVT_01_tblFillRateFechas[[#This Row],[con_codigounico]]</f>
        <v>8656375-</v>
      </c>
      <c r="X1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" spans="1:24" x14ac:dyDescent="0.25">
      <c r="A112">
        <v>1</v>
      </c>
      <c r="B112" t="s">
        <v>55</v>
      </c>
      <c r="C112">
        <v>8656795</v>
      </c>
      <c r="D112" t="s">
        <v>1967</v>
      </c>
      <c r="E112" t="s">
        <v>1980</v>
      </c>
      <c r="F112" t="s">
        <v>1968</v>
      </c>
      <c r="G112">
        <v>78</v>
      </c>
      <c r="H112">
        <v>78</v>
      </c>
      <c r="I112" t="s">
        <v>1980</v>
      </c>
      <c r="J112">
        <v>0</v>
      </c>
      <c r="K112" t="s">
        <v>49</v>
      </c>
      <c r="L112" s="1">
        <f>+Tabla__192.168.1.8_POSEIDONSQL_APPFVT_01_tblFillRateFechas[[#This Row],[emb_cantidad]]-Tabla__192.168.1.8_POSEIDONSQL_APPFVT_01_tblFillRateFechas[[#This Row],[dev_cantidad]]</f>
        <v>78</v>
      </c>
      <c r="M112" s="1">
        <f>+IF(Tabla__192.168.1.8_POSEIDONSQL_APPFVT_01_tblFillRateFechas[[#This Row],[Cant_Resultante]]=Tabla__192.168.1.8_POSEIDONSQL_APPFVT_01_tblFillRateFechas[[#This Row],[cant_order]],1,0)</f>
        <v>1</v>
      </c>
      <c r="N1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" s="1">
        <f>+IF(AND(Tabla__192.168.1.8_POSEIDONSQL_APPFVT_01_tblFillRateFechas[[#This Row],[Valida Cant]]=1,Tabla__192.168.1.8_POSEIDONSQL_APPFVT_01_tblFillRateFechas[[#This Row],[Valida Fec]]=1),1,0)</f>
        <v>1</v>
      </c>
      <c r="P112" s="1">
        <f>+(Tabla__192.168.1.8_POSEIDONSQL_APPFVT_01_tblFillRateFechas[[#This Row],[Cant_Resultante]]/Tabla__192.168.1.8_POSEIDONSQL_APPFVT_01_tblFillRateFechas[[#This Row],[cant_order]])*100</f>
        <v>100</v>
      </c>
      <c r="Q1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78</v>
      </c>
      <c r="R1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78</v>
      </c>
      <c r="T1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" s="1">
        <f>+IF(Tabla__192.168.1.8_POSEIDONSQL_APPFVT_01_tblFillRateFechas[[#This Row],[cant_order]]&gt;0,1,0)</f>
        <v>1</v>
      </c>
      <c r="V112" s="1">
        <f>+IF(Tabla__192.168.1.8_POSEIDONSQL_APPFVT_01_tblFillRateFechas[[#This Row],[Resultado]]=1,1,0)</f>
        <v>1</v>
      </c>
      <c r="W112" s="1" t="str">
        <f>+Tabla__192.168.1.8_POSEIDONSQL_APPFVT_01_tblFillRateFechas[[#This Row],[con_ocnumero]]&amp;Tabla__192.168.1.8_POSEIDONSQL_APPFVT_01_tblFillRateFechas[[#This Row],[con_codigounico]]</f>
        <v>8656795-</v>
      </c>
      <c r="X1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78</v>
      </c>
    </row>
    <row r="113" spans="1:24" x14ac:dyDescent="0.25">
      <c r="A113">
        <v>1</v>
      </c>
      <c r="B113" t="s">
        <v>55</v>
      </c>
      <c r="C113">
        <v>8657408</v>
      </c>
      <c r="D113" t="s">
        <v>1967</v>
      </c>
      <c r="E113" t="s">
        <v>160</v>
      </c>
      <c r="F113" t="s">
        <v>1968</v>
      </c>
      <c r="G113">
        <v>8</v>
      </c>
      <c r="H113">
        <v>8</v>
      </c>
      <c r="I113" t="s">
        <v>1962</v>
      </c>
      <c r="J113">
        <v>0</v>
      </c>
      <c r="K113" t="s">
        <v>49</v>
      </c>
      <c r="L113" s="1">
        <f>+Tabla__192.168.1.8_POSEIDONSQL_APPFVT_01_tblFillRateFechas[[#This Row],[emb_cantidad]]-Tabla__192.168.1.8_POSEIDONSQL_APPFVT_01_tblFillRateFechas[[#This Row],[dev_cantidad]]</f>
        <v>8</v>
      </c>
      <c r="M113" s="1">
        <f>+IF(Tabla__192.168.1.8_POSEIDONSQL_APPFVT_01_tblFillRateFechas[[#This Row],[Cant_Resultante]]=Tabla__192.168.1.8_POSEIDONSQL_APPFVT_01_tblFillRateFechas[[#This Row],[cant_order]],1,0)</f>
        <v>1</v>
      </c>
      <c r="N1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" s="1">
        <f>+IF(AND(Tabla__192.168.1.8_POSEIDONSQL_APPFVT_01_tblFillRateFechas[[#This Row],[Valida Cant]]=1,Tabla__192.168.1.8_POSEIDONSQL_APPFVT_01_tblFillRateFechas[[#This Row],[Valida Fec]]=1),1,0)</f>
        <v>1</v>
      </c>
      <c r="P113" s="1">
        <f>+(Tabla__192.168.1.8_POSEIDONSQL_APPFVT_01_tblFillRateFechas[[#This Row],[Cant_Resultante]]/Tabla__192.168.1.8_POSEIDONSQL_APPFVT_01_tblFillRateFechas[[#This Row],[cant_order]])*100</f>
        <v>100</v>
      </c>
      <c r="Q1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8</v>
      </c>
      <c r="R1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8</v>
      </c>
      <c r="T1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" s="1">
        <f>+IF(Tabla__192.168.1.8_POSEIDONSQL_APPFVT_01_tblFillRateFechas[[#This Row],[cant_order]]&gt;0,1,0)</f>
        <v>1</v>
      </c>
      <c r="V113" s="1">
        <f>+IF(Tabla__192.168.1.8_POSEIDONSQL_APPFVT_01_tblFillRateFechas[[#This Row],[Resultado]]=1,1,0)</f>
        <v>1</v>
      </c>
      <c r="W113" s="1" t="str">
        <f>+Tabla__192.168.1.8_POSEIDONSQL_APPFVT_01_tblFillRateFechas[[#This Row],[con_ocnumero]]&amp;Tabla__192.168.1.8_POSEIDONSQL_APPFVT_01_tblFillRateFechas[[#This Row],[con_codigounico]]</f>
        <v>8657408-</v>
      </c>
      <c r="X1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8</v>
      </c>
    </row>
    <row r="114" spans="1:24" x14ac:dyDescent="0.25">
      <c r="A114">
        <v>1</v>
      </c>
      <c r="B114" t="s">
        <v>55</v>
      </c>
      <c r="C114">
        <v>8657409</v>
      </c>
      <c r="D114" t="s">
        <v>1967</v>
      </c>
      <c r="E114" t="s">
        <v>160</v>
      </c>
      <c r="F114" t="s">
        <v>1968</v>
      </c>
      <c r="G114">
        <v>27</v>
      </c>
      <c r="H114">
        <v>13</v>
      </c>
      <c r="I114" t="s">
        <v>1962</v>
      </c>
      <c r="J114">
        <v>0</v>
      </c>
      <c r="K114" t="s">
        <v>49</v>
      </c>
      <c r="L114" s="1">
        <f>+Tabla__192.168.1.8_POSEIDONSQL_APPFVT_01_tblFillRateFechas[[#This Row],[emb_cantidad]]-Tabla__192.168.1.8_POSEIDONSQL_APPFVT_01_tblFillRateFechas[[#This Row],[dev_cantidad]]</f>
        <v>13</v>
      </c>
      <c r="M114" s="1">
        <f>+IF(Tabla__192.168.1.8_POSEIDONSQL_APPFVT_01_tblFillRateFechas[[#This Row],[Cant_Resultante]]=Tabla__192.168.1.8_POSEIDONSQL_APPFVT_01_tblFillRateFechas[[#This Row],[cant_order]],1,0)</f>
        <v>0</v>
      </c>
      <c r="N1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" s="1">
        <f>+IF(AND(Tabla__192.168.1.8_POSEIDONSQL_APPFVT_01_tblFillRateFechas[[#This Row],[Valida Cant]]=1,Tabla__192.168.1.8_POSEIDONSQL_APPFVT_01_tblFillRateFechas[[#This Row],[Valida Fec]]=1),1,0)</f>
        <v>0</v>
      </c>
      <c r="P114" s="1">
        <f>+(Tabla__192.168.1.8_POSEIDONSQL_APPFVT_01_tblFillRateFechas[[#This Row],[Cant_Resultante]]/Tabla__192.168.1.8_POSEIDONSQL_APPFVT_01_tblFillRateFechas[[#This Row],[cant_order]])*100</f>
        <v>48.148148148148145</v>
      </c>
      <c r="Q1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13</v>
      </c>
      <c r="R1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13</v>
      </c>
      <c r="T1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14</v>
      </c>
      <c r="U114" s="1">
        <f>+IF(Tabla__192.168.1.8_POSEIDONSQL_APPFVT_01_tblFillRateFechas[[#This Row],[cant_order]]&gt;0,1,0)</f>
        <v>1</v>
      </c>
      <c r="V114" s="1">
        <f>+IF(Tabla__192.168.1.8_POSEIDONSQL_APPFVT_01_tblFillRateFechas[[#This Row],[Resultado]]=1,1,0)</f>
        <v>0</v>
      </c>
      <c r="W114" s="1" t="str">
        <f>+Tabla__192.168.1.8_POSEIDONSQL_APPFVT_01_tblFillRateFechas[[#This Row],[con_ocnumero]]&amp;Tabla__192.168.1.8_POSEIDONSQL_APPFVT_01_tblFillRateFechas[[#This Row],[con_codigounico]]</f>
        <v>8657409-</v>
      </c>
      <c r="X1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13</v>
      </c>
    </row>
    <row r="115" spans="1:24" x14ac:dyDescent="0.25">
      <c r="A115">
        <v>1</v>
      </c>
      <c r="B115" t="s">
        <v>55</v>
      </c>
      <c r="C115">
        <v>8657919</v>
      </c>
      <c r="D115" t="s">
        <v>1967</v>
      </c>
      <c r="E115" t="s">
        <v>1977</v>
      </c>
      <c r="F115" t="s">
        <v>1971</v>
      </c>
      <c r="G115">
        <v>1</v>
      </c>
      <c r="H115">
        <v>1</v>
      </c>
      <c r="I115" t="s">
        <v>1977</v>
      </c>
      <c r="J115">
        <v>0</v>
      </c>
      <c r="K115" t="s">
        <v>49</v>
      </c>
      <c r="L115" s="1">
        <f>+Tabla__192.168.1.8_POSEIDONSQL_APPFVT_01_tblFillRateFechas[[#This Row],[emb_cantidad]]-Tabla__192.168.1.8_POSEIDONSQL_APPFVT_01_tblFillRateFechas[[#This Row],[dev_cantidad]]</f>
        <v>1</v>
      </c>
      <c r="M115" s="1">
        <f>+IF(Tabla__192.168.1.8_POSEIDONSQL_APPFVT_01_tblFillRateFechas[[#This Row],[Cant_Resultante]]=Tabla__192.168.1.8_POSEIDONSQL_APPFVT_01_tblFillRateFechas[[#This Row],[cant_order]],1,0)</f>
        <v>1</v>
      </c>
      <c r="N1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" s="1">
        <f>+IF(AND(Tabla__192.168.1.8_POSEIDONSQL_APPFVT_01_tblFillRateFechas[[#This Row],[Valida Cant]]=1,Tabla__192.168.1.8_POSEIDONSQL_APPFVT_01_tblFillRateFechas[[#This Row],[Valida Fec]]=1),1,0)</f>
        <v>1</v>
      </c>
      <c r="P115" s="1">
        <f>+(Tabla__192.168.1.8_POSEIDONSQL_APPFVT_01_tblFillRateFechas[[#This Row],[Cant_Resultante]]/Tabla__192.168.1.8_POSEIDONSQL_APPFVT_01_tblFillRateFechas[[#This Row],[cant_order]])*100</f>
        <v>100</v>
      </c>
      <c r="Q1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" s="1">
        <f>+IF(Tabla__192.168.1.8_POSEIDONSQL_APPFVT_01_tblFillRateFechas[[#This Row],[cant_order]]&gt;0,1,0)</f>
        <v>1</v>
      </c>
      <c r="V115" s="1">
        <f>+IF(Tabla__192.168.1.8_POSEIDONSQL_APPFVT_01_tblFillRateFechas[[#This Row],[Resultado]]=1,1,0)</f>
        <v>1</v>
      </c>
      <c r="W115" s="1" t="str">
        <f>+Tabla__192.168.1.8_POSEIDONSQL_APPFVT_01_tblFillRateFechas[[#This Row],[con_ocnumero]]&amp;Tabla__192.168.1.8_POSEIDONSQL_APPFVT_01_tblFillRateFechas[[#This Row],[con_codigounico]]</f>
        <v>8657919-</v>
      </c>
      <c r="X1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" spans="1:24" x14ac:dyDescent="0.25">
      <c r="A116">
        <v>1</v>
      </c>
      <c r="B116" t="s">
        <v>55</v>
      </c>
      <c r="C116">
        <v>8657981</v>
      </c>
      <c r="D116" t="s">
        <v>1968</v>
      </c>
      <c r="E116" t="s">
        <v>1977</v>
      </c>
      <c r="F116" t="s">
        <v>1971</v>
      </c>
      <c r="G116">
        <v>1</v>
      </c>
      <c r="H116">
        <v>1</v>
      </c>
      <c r="I116" t="s">
        <v>1977</v>
      </c>
      <c r="J116">
        <v>0</v>
      </c>
      <c r="K116" t="s">
        <v>49</v>
      </c>
      <c r="L116" s="1">
        <f>+Tabla__192.168.1.8_POSEIDONSQL_APPFVT_01_tblFillRateFechas[[#This Row],[emb_cantidad]]-Tabla__192.168.1.8_POSEIDONSQL_APPFVT_01_tblFillRateFechas[[#This Row],[dev_cantidad]]</f>
        <v>1</v>
      </c>
      <c r="M116" s="1">
        <f>+IF(Tabla__192.168.1.8_POSEIDONSQL_APPFVT_01_tblFillRateFechas[[#This Row],[Cant_Resultante]]=Tabla__192.168.1.8_POSEIDONSQL_APPFVT_01_tblFillRateFechas[[#This Row],[cant_order]],1,0)</f>
        <v>1</v>
      </c>
      <c r="N1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" s="1">
        <f>+IF(AND(Tabla__192.168.1.8_POSEIDONSQL_APPFVT_01_tblFillRateFechas[[#This Row],[Valida Cant]]=1,Tabla__192.168.1.8_POSEIDONSQL_APPFVT_01_tblFillRateFechas[[#This Row],[Valida Fec]]=1),1,0)</f>
        <v>1</v>
      </c>
      <c r="P116" s="1">
        <f>+(Tabla__192.168.1.8_POSEIDONSQL_APPFVT_01_tblFillRateFechas[[#This Row],[Cant_Resultante]]/Tabla__192.168.1.8_POSEIDONSQL_APPFVT_01_tblFillRateFechas[[#This Row],[cant_order]])*100</f>
        <v>100</v>
      </c>
      <c r="Q1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" s="1">
        <f>+IF(Tabla__192.168.1.8_POSEIDONSQL_APPFVT_01_tblFillRateFechas[[#This Row],[cant_order]]&gt;0,1,0)</f>
        <v>1</v>
      </c>
      <c r="V116" s="1">
        <f>+IF(Tabla__192.168.1.8_POSEIDONSQL_APPFVT_01_tblFillRateFechas[[#This Row],[Resultado]]=1,1,0)</f>
        <v>1</v>
      </c>
      <c r="W116" s="1" t="str">
        <f>+Tabla__192.168.1.8_POSEIDONSQL_APPFVT_01_tblFillRateFechas[[#This Row],[con_ocnumero]]&amp;Tabla__192.168.1.8_POSEIDONSQL_APPFVT_01_tblFillRateFechas[[#This Row],[con_codigounico]]</f>
        <v>8657981-</v>
      </c>
      <c r="X1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" spans="1:24" x14ac:dyDescent="0.25">
      <c r="A117">
        <v>1</v>
      </c>
      <c r="B117" t="s">
        <v>55</v>
      </c>
      <c r="C117">
        <v>8658014</v>
      </c>
      <c r="D117" t="s">
        <v>1968</v>
      </c>
      <c r="E117" t="s">
        <v>161</v>
      </c>
      <c r="F117" t="s">
        <v>1971</v>
      </c>
      <c r="G117">
        <v>30</v>
      </c>
      <c r="H117">
        <v>30</v>
      </c>
      <c r="I117" t="s">
        <v>1977</v>
      </c>
      <c r="J117">
        <v>0</v>
      </c>
      <c r="K117" t="s">
        <v>49</v>
      </c>
      <c r="L117" s="1">
        <f>+Tabla__192.168.1.8_POSEIDONSQL_APPFVT_01_tblFillRateFechas[[#This Row],[emb_cantidad]]-Tabla__192.168.1.8_POSEIDONSQL_APPFVT_01_tblFillRateFechas[[#This Row],[dev_cantidad]]</f>
        <v>30</v>
      </c>
      <c r="M117" s="1">
        <f>+IF(Tabla__192.168.1.8_POSEIDONSQL_APPFVT_01_tblFillRateFechas[[#This Row],[Cant_Resultante]]=Tabla__192.168.1.8_POSEIDONSQL_APPFVT_01_tblFillRateFechas[[#This Row],[cant_order]],1,0)</f>
        <v>1</v>
      </c>
      <c r="N1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" s="1">
        <f>+IF(AND(Tabla__192.168.1.8_POSEIDONSQL_APPFVT_01_tblFillRateFechas[[#This Row],[Valida Cant]]=1,Tabla__192.168.1.8_POSEIDONSQL_APPFVT_01_tblFillRateFechas[[#This Row],[Valida Fec]]=1),1,0)</f>
        <v>1</v>
      </c>
      <c r="P117" s="1">
        <f>+(Tabla__192.168.1.8_POSEIDONSQL_APPFVT_01_tblFillRateFechas[[#This Row],[Cant_Resultante]]/Tabla__192.168.1.8_POSEIDONSQL_APPFVT_01_tblFillRateFechas[[#This Row],[cant_order]])*100</f>
        <v>100</v>
      </c>
      <c r="Q1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30</v>
      </c>
      <c r="R1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30</v>
      </c>
      <c r="T1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" s="1">
        <f>+IF(Tabla__192.168.1.8_POSEIDONSQL_APPFVT_01_tblFillRateFechas[[#This Row],[cant_order]]&gt;0,1,0)</f>
        <v>1</v>
      </c>
      <c r="V117" s="1">
        <f>+IF(Tabla__192.168.1.8_POSEIDONSQL_APPFVT_01_tblFillRateFechas[[#This Row],[Resultado]]=1,1,0)</f>
        <v>1</v>
      </c>
      <c r="W117" s="1" t="str">
        <f>+Tabla__192.168.1.8_POSEIDONSQL_APPFVT_01_tblFillRateFechas[[#This Row],[con_ocnumero]]&amp;Tabla__192.168.1.8_POSEIDONSQL_APPFVT_01_tblFillRateFechas[[#This Row],[con_codigounico]]</f>
        <v>8658014-</v>
      </c>
      <c r="X1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30</v>
      </c>
    </row>
    <row r="118" spans="1:24" x14ac:dyDescent="0.25">
      <c r="A118">
        <v>1</v>
      </c>
      <c r="B118" t="s">
        <v>55</v>
      </c>
      <c r="C118">
        <v>8658107</v>
      </c>
      <c r="D118" t="s">
        <v>1968</v>
      </c>
      <c r="E118" t="s">
        <v>1977</v>
      </c>
      <c r="F118" t="s">
        <v>1971</v>
      </c>
      <c r="G118">
        <v>1</v>
      </c>
      <c r="H118">
        <v>1</v>
      </c>
      <c r="I118" t="s">
        <v>1977</v>
      </c>
      <c r="J118">
        <v>0</v>
      </c>
      <c r="K118" t="s">
        <v>49</v>
      </c>
      <c r="L118" s="1">
        <f>+Tabla__192.168.1.8_POSEIDONSQL_APPFVT_01_tblFillRateFechas[[#This Row],[emb_cantidad]]-Tabla__192.168.1.8_POSEIDONSQL_APPFVT_01_tblFillRateFechas[[#This Row],[dev_cantidad]]</f>
        <v>1</v>
      </c>
      <c r="M118" s="1">
        <f>+IF(Tabla__192.168.1.8_POSEIDONSQL_APPFVT_01_tblFillRateFechas[[#This Row],[Cant_Resultante]]=Tabla__192.168.1.8_POSEIDONSQL_APPFVT_01_tblFillRateFechas[[#This Row],[cant_order]],1,0)</f>
        <v>1</v>
      </c>
      <c r="N1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" s="1">
        <f>+IF(AND(Tabla__192.168.1.8_POSEIDONSQL_APPFVT_01_tblFillRateFechas[[#This Row],[Valida Cant]]=1,Tabla__192.168.1.8_POSEIDONSQL_APPFVT_01_tblFillRateFechas[[#This Row],[Valida Fec]]=1),1,0)</f>
        <v>1</v>
      </c>
      <c r="P118" s="1">
        <f>+(Tabla__192.168.1.8_POSEIDONSQL_APPFVT_01_tblFillRateFechas[[#This Row],[Cant_Resultante]]/Tabla__192.168.1.8_POSEIDONSQL_APPFVT_01_tblFillRateFechas[[#This Row],[cant_order]])*100</f>
        <v>100</v>
      </c>
      <c r="Q1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" s="1">
        <f>+IF(Tabla__192.168.1.8_POSEIDONSQL_APPFVT_01_tblFillRateFechas[[#This Row],[cant_order]]&gt;0,1,0)</f>
        <v>1</v>
      </c>
      <c r="V118" s="1">
        <f>+IF(Tabla__192.168.1.8_POSEIDONSQL_APPFVT_01_tblFillRateFechas[[#This Row],[Resultado]]=1,1,0)</f>
        <v>1</v>
      </c>
      <c r="W118" s="1" t="str">
        <f>+Tabla__192.168.1.8_POSEIDONSQL_APPFVT_01_tblFillRateFechas[[#This Row],[con_ocnumero]]&amp;Tabla__192.168.1.8_POSEIDONSQL_APPFVT_01_tblFillRateFechas[[#This Row],[con_codigounico]]</f>
        <v>8658107-</v>
      </c>
      <c r="X1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" spans="1:24" x14ac:dyDescent="0.25">
      <c r="A119">
        <v>1</v>
      </c>
      <c r="B119" t="s">
        <v>55</v>
      </c>
      <c r="C119">
        <v>8658643</v>
      </c>
      <c r="D119" t="s">
        <v>1968</v>
      </c>
      <c r="E119" t="s">
        <v>1977</v>
      </c>
      <c r="F119" t="s">
        <v>1971</v>
      </c>
      <c r="G119">
        <v>1</v>
      </c>
      <c r="H119">
        <v>1</v>
      </c>
      <c r="I119" t="s">
        <v>1977</v>
      </c>
      <c r="J119">
        <v>0</v>
      </c>
      <c r="K119" t="s">
        <v>49</v>
      </c>
      <c r="L119" s="1">
        <f>+Tabla__192.168.1.8_POSEIDONSQL_APPFVT_01_tblFillRateFechas[[#This Row],[emb_cantidad]]-Tabla__192.168.1.8_POSEIDONSQL_APPFVT_01_tblFillRateFechas[[#This Row],[dev_cantidad]]</f>
        <v>1</v>
      </c>
      <c r="M119" s="1">
        <f>+IF(Tabla__192.168.1.8_POSEIDONSQL_APPFVT_01_tblFillRateFechas[[#This Row],[Cant_Resultante]]=Tabla__192.168.1.8_POSEIDONSQL_APPFVT_01_tblFillRateFechas[[#This Row],[cant_order]],1,0)</f>
        <v>1</v>
      </c>
      <c r="N1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" s="1">
        <f>+IF(AND(Tabla__192.168.1.8_POSEIDONSQL_APPFVT_01_tblFillRateFechas[[#This Row],[Valida Cant]]=1,Tabla__192.168.1.8_POSEIDONSQL_APPFVT_01_tblFillRateFechas[[#This Row],[Valida Fec]]=1),1,0)</f>
        <v>1</v>
      </c>
      <c r="P119" s="1">
        <f>+(Tabla__192.168.1.8_POSEIDONSQL_APPFVT_01_tblFillRateFechas[[#This Row],[Cant_Resultante]]/Tabla__192.168.1.8_POSEIDONSQL_APPFVT_01_tblFillRateFechas[[#This Row],[cant_order]])*100</f>
        <v>100</v>
      </c>
      <c r="Q1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" s="1">
        <f>+IF(Tabla__192.168.1.8_POSEIDONSQL_APPFVT_01_tblFillRateFechas[[#This Row],[cant_order]]&gt;0,1,0)</f>
        <v>1</v>
      </c>
      <c r="V119" s="1">
        <f>+IF(Tabla__192.168.1.8_POSEIDONSQL_APPFVT_01_tblFillRateFechas[[#This Row],[Resultado]]=1,1,0)</f>
        <v>1</v>
      </c>
      <c r="W119" s="1" t="str">
        <f>+Tabla__192.168.1.8_POSEIDONSQL_APPFVT_01_tblFillRateFechas[[#This Row],[con_ocnumero]]&amp;Tabla__192.168.1.8_POSEIDONSQL_APPFVT_01_tblFillRateFechas[[#This Row],[con_codigounico]]</f>
        <v>8658643-</v>
      </c>
      <c r="X1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" spans="1:24" x14ac:dyDescent="0.25">
      <c r="A120">
        <v>1</v>
      </c>
      <c r="B120" t="s">
        <v>55</v>
      </c>
      <c r="C120">
        <v>8659977</v>
      </c>
      <c r="D120" t="s">
        <v>1968</v>
      </c>
      <c r="E120" t="s">
        <v>162</v>
      </c>
      <c r="F120" t="s">
        <v>1971</v>
      </c>
      <c r="G120">
        <v>1</v>
      </c>
      <c r="H120">
        <v>1</v>
      </c>
      <c r="I120" t="s">
        <v>162</v>
      </c>
      <c r="J120">
        <v>0</v>
      </c>
      <c r="K120" t="s">
        <v>49</v>
      </c>
      <c r="L120" s="1">
        <f>+Tabla__192.168.1.8_POSEIDONSQL_APPFVT_01_tblFillRateFechas[[#This Row],[emb_cantidad]]-Tabla__192.168.1.8_POSEIDONSQL_APPFVT_01_tblFillRateFechas[[#This Row],[dev_cantidad]]</f>
        <v>1</v>
      </c>
      <c r="M120" s="1">
        <f>+IF(Tabla__192.168.1.8_POSEIDONSQL_APPFVT_01_tblFillRateFechas[[#This Row],[Cant_Resultante]]=Tabla__192.168.1.8_POSEIDONSQL_APPFVT_01_tblFillRateFechas[[#This Row],[cant_order]],1,0)</f>
        <v>1</v>
      </c>
      <c r="N1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" s="1">
        <f>+IF(AND(Tabla__192.168.1.8_POSEIDONSQL_APPFVT_01_tblFillRateFechas[[#This Row],[Valida Cant]]=1,Tabla__192.168.1.8_POSEIDONSQL_APPFVT_01_tblFillRateFechas[[#This Row],[Valida Fec]]=1),1,0)</f>
        <v>1</v>
      </c>
      <c r="P120" s="1">
        <f>+(Tabla__192.168.1.8_POSEIDONSQL_APPFVT_01_tblFillRateFechas[[#This Row],[Cant_Resultante]]/Tabla__192.168.1.8_POSEIDONSQL_APPFVT_01_tblFillRateFechas[[#This Row],[cant_order]])*100</f>
        <v>100</v>
      </c>
      <c r="Q1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" s="1">
        <f>+IF(Tabla__192.168.1.8_POSEIDONSQL_APPFVT_01_tblFillRateFechas[[#This Row],[cant_order]]&gt;0,1,0)</f>
        <v>1</v>
      </c>
      <c r="V120" s="1">
        <f>+IF(Tabla__192.168.1.8_POSEIDONSQL_APPFVT_01_tblFillRateFechas[[#This Row],[Resultado]]=1,1,0)</f>
        <v>1</v>
      </c>
      <c r="W120" s="1" t="str">
        <f>+Tabla__192.168.1.8_POSEIDONSQL_APPFVT_01_tblFillRateFechas[[#This Row],[con_ocnumero]]&amp;Tabla__192.168.1.8_POSEIDONSQL_APPFVT_01_tblFillRateFechas[[#This Row],[con_codigounico]]</f>
        <v>8659977-</v>
      </c>
      <c r="X1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" spans="1:24" x14ac:dyDescent="0.25">
      <c r="A121">
        <v>1</v>
      </c>
      <c r="B121" t="s">
        <v>55</v>
      </c>
      <c r="C121">
        <v>8660138</v>
      </c>
      <c r="D121" t="s">
        <v>1981</v>
      </c>
      <c r="E121" t="s">
        <v>162</v>
      </c>
      <c r="F121" t="s">
        <v>1971</v>
      </c>
      <c r="G121">
        <v>1</v>
      </c>
      <c r="H121">
        <v>1</v>
      </c>
      <c r="I121" t="s">
        <v>162</v>
      </c>
      <c r="J121">
        <v>0</v>
      </c>
      <c r="K121" t="s">
        <v>49</v>
      </c>
      <c r="L121" s="1">
        <f>+Tabla__192.168.1.8_POSEIDONSQL_APPFVT_01_tblFillRateFechas[[#This Row],[emb_cantidad]]-Tabla__192.168.1.8_POSEIDONSQL_APPFVT_01_tblFillRateFechas[[#This Row],[dev_cantidad]]</f>
        <v>1</v>
      </c>
      <c r="M121" s="1">
        <f>+IF(Tabla__192.168.1.8_POSEIDONSQL_APPFVT_01_tblFillRateFechas[[#This Row],[Cant_Resultante]]=Tabla__192.168.1.8_POSEIDONSQL_APPFVT_01_tblFillRateFechas[[#This Row],[cant_order]],1,0)</f>
        <v>1</v>
      </c>
      <c r="N1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" s="1">
        <f>+IF(AND(Tabla__192.168.1.8_POSEIDONSQL_APPFVT_01_tblFillRateFechas[[#This Row],[Valida Cant]]=1,Tabla__192.168.1.8_POSEIDONSQL_APPFVT_01_tblFillRateFechas[[#This Row],[Valida Fec]]=1),1,0)</f>
        <v>1</v>
      </c>
      <c r="P121" s="1">
        <f>+(Tabla__192.168.1.8_POSEIDONSQL_APPFVT_01_tblFillRateFechas[[#This Row],[Cant_Resultante]]/Tabla__192.168.1.8_POSEIDONSQL_APPFVT_01_tblFillRateFechas[[#This Row],[cant_order]])*100</f>
        <v>100</v>
      </c>
      <c r="Q1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" s="1">
        <f>+IF(Tabla__192.168.1.8_POSEIDONSQL_APPFVT_01_tblFillRateFechas[[#This Row],[cant_order]]&gt;0,1,0)</f>
        <v>1</v>
      </c>
      <c r="V121" s="1">
        <f>+IF(Tabla__192.168.1.8_POSEIDONSQL_APPFVT_01_tblFillRateFechas[[#This Row],[Resultado]]=1,1,0)</f>
        <v>1</v>
      </c>
      <c r="W121" s="1" t="str">
        <f>+Tabla__192.168.1.8_POSEIDONSQL_APPFVT_01_tblFillRateFechas[[#This Row],[con_ocnumero]]&amp;Tabla__192.168.1.8_POSEIDONSQL_APPFVT_01_tblFillRateFechas[[#This Row],[con_codigounico]]</f>
        <v>8660138-</v>
      </c>
      <c r="X1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" spans="1:24" x14ac:dyDescent="0.25">
      <c r="A122">
        <v>1</v>
      </c>
      <c r="B122" t="s">
        <v>55</v>
      </c>
      <c r="C122">
        <v>8660410</v>
      </c>
      <c r="D122" t="s">
        <v>1981</v>
      </c>
      <c r="E122" t="s">
        <v>162</v>
      </c>
      <c r="F122" t="s">
        <v>1971</v>
      </c>
      <c r="G122">
        <v>1</v>
      </c>
      <c r="H122">
        <v>1</v>
      </c>
      <c r="I122" t="s">
        <v>162</v>
      </c>
      <c r="J122">
        <v>0</v>
      </c>
      <c r="K122" t="s">
        <v>49</v>
      </c>
      <c r="L122" s="1">
        <f>+Tabla__192.168.1.8_POSEIDONSQL_APPFVT_01_tblFillRateFechas[[#This Row],[emb_cantidad]]-Tabla__192.168.1.8_POSEIDONSQL_APPFVT_01_tblFillRateFechas[[#This Row],[dev_cantidad]]</f>
        <v>1</v>
      </c>
      <c r="M122" s="1">
        <f>+IF(Tabla__192.168.1.8_POSEIDONSQL_APPFVT_01_tblFillRateFechas[[#This Row],[Cant_Resultante]]=Tabla__192.168.1.8_POSEIDONSQL_APPFVT_01_tblFillRateFechas[[#This Row],[cant_order]],1,0)</f>
        <v>1</v>
      </c>
      <c r="N1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" s="1">
        <f>+IF(AND(Tabla__192.168.1.8_POSEIDONSQL_APPFVT_01_tblFillRateFechas[[#This Row],[Valida Cant]]=1,Tabla__192.168.1.8_POSEIDONSQL_APPFVT_01_tblFillRateFechas[[#This Row],[Valida Fec]]=1),1,0)</f>
        <v>1</v>
      </c>
      <c r="P122" s="1">
        <f>+(Tabla__192.168.1.8_POSEIDONSQL_APPFVT_01_tblFillRateFechas[[#This Row],[Cant_Resultante]]/Tabla__192.168.1.8_POSEIDONSQL_APPFVT_01_tblFillRateFechas[[#This Row],[cant_order]])*100</f>
        <v>100</v>
      </c>
      <c r="Q1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" s="1">
        <f>+IF(Tabla__192.168.1.8_POSEIDONSQL_APPFVT_01_tblFillRateFechas[[#This Row],[cant_order]]&gt;0,1,0)</f>
        <v>1</v>
      </c>
      <c r="V122" s="1">
        <f>+IF(Tabla__192.168.1.8_POSEIDONSQL_APPFVT_01_tblFillRateFechas[[#This Row],[Resultado]]=1,1,0)</f>
        <v>1</v>
      </c>
      <c r="W122" s="1" t="str">
        <f>+Tabla__192.168.1.8_POSEIDONSQL_APPFVT_01_tblFillRateFechas[[#This Row],[con_ocnumero]]&amp;Tabla__192.168.1.8_POSEIDONSQL_APPFVT_01_tblFillRateFechas[[#This Row],[con_codigounico]]</f>
        <v>8660410-</v>
      </c>
      <c r="X1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" spans="1:24" x14ac:dyDescent="0.25">
      <c r="A123">
        <v>1</v>
      </c>
      <c r="B123" t="s">
        <v>55</v>
      </c>
      <c r="C123">
        <v>8660699</v>
      </c>
      <c r="D123" t="s">
        <v>1970</v>
      </c>
      <c r="E123" t="s">
        <v>162</v>
      </c>
      <c r="F123" t="s">
        <v>1971</v>
      </c>
      <c r="G123">
        <v>1</v>
      </c>
      <c r="H123">
        <v>1</v>
      </c>
      <c r="I123" t="s">
        <v>162</v>
      </c>
      <c r="J123">
        <v>0</v>
      </c>
      <c r="K123" t="s">
        <v>49</v>
      </c>
      <c r="L123" s="1">
        <f>+Tabla__192.168.1.8_POSEIDONSQL_APPFVT_01_tblFillRateFechas[[#This Row],[emb_cantidad]]-Tabla__192.168.1.8_POSEIDONSQL_APPFVT_01_tblFillRateFechas[[#This Row],[dev_cantidad]]</f>
        <v>1</v>
      </c>
      <c r="M123" s="1">
        <f>+IF(Tabla__192.168.1.8_POSEIDONSQL_APPFVT_01_tblFillRateFechas[[#This Row],[Cant_Resultante]]=Tabla__192.168.1.8_POSEIDONSQL_APPFVT_01_tblFillRateFechas[[#This Row],[cant_order]],1,0)</f>
        <v>1</v>
      </c>
      <c r="N1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" s="1">
        <f>+IF(AND(Tabla__192.168.1.8_POSEIDONSQL_APPFVT_01_tblFillRateFechas[[#This Row],[Valida Cant]]=1,Tabla__192.168.1.8_POSEIDONSQL_APPFVT_01_tblFillRateFechas[[#This Row],[Valida Fec]]=1),1,0)</f>
        <v>1</v>
      </c>
      <c r="P123" s="1">
        <f>+(Tabla__192.168.1.8_POSEIDONSQL_APPFVT_01_tblFillRateFechas[[#This Row],[Cant_Resultante]]/Tabla__192.168.1.8_POSEIDONSQL_APPFVT_01_tblFillRateFechas[[#This Row],[cant_order]])*100</f>
        <v>100</v>
      </c>
      <c r="Q1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" s="1">
        <f>+IF(Tabla__192.168.1.8_POSEIDONSQL_APPFVT_01_tblFillRateFechas[[#This Row],[cant_order]]&gt;0,1,0)</f>
        <v>1</v>
      </c>
      <c r="V123" s="1">
        <f>+IF(Tabla__192.168.1.8_POSEIDONSQL_APPFVT_01_tblFillRateFechas[[#This Row],[Resultado]]=1,1,0)</f>
        <v>1</v>
      </c>
      <c r="W123" s="1" t="str">
        <f>+Tabla__192.168.1.8_POSEIDONSQL_APPFVT_01_tblFillRateFechas[[#This Row],[con_ocnumero]]&amp;Tabla__192.168.1.8_POSEIDONSQL_APPFVT_01_tblFillRateFechas[[#This Row],[con_codigounico]]</f>
        <v>8660699-</v>
      </c>
      <c r="X1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" spans="1:24" x14ac:dyDescent="0.25">
      <c r="A124">
        <v>1</v>
      </c>
      <c r="B124" t="s">
        <v>55</v>
      </c>
      <c r="C124">
        <v>8660774</v>
      </c>
      <c r="D124" t="s">
        <v>1970</v>
      </c>
      <c r="E124" t="s">
        <v>162</v>
      </c>
      <c r="F124" t="s">
        <v>1971</v>
      </c>
      <c r="G124">
        <v>1</v>
      </c>
      <c r="H124">
        <v>1</v>
      </c>
      <c r="I124" t="s">
        <v>162</v>
      </c>
      <c r="J124">
        <v>0</v>
      </c>
      <c r="K124" t="s">
        <v>49</v>
      </c>
      <c r="L124" s="1">
        <f>+Tabla__192.168.1.8_POSEIDONSQL_APPFVT_01_tblFillRateFechas[[#This Row],[emb_cantidad]]-Tabla__192.168.1.8_POSEIDONSQL_APPFVT_01_tblFillRateFechas[[#This Row],[dev_cantidad]]</f>
        <v>1</v>
      </c>
      <c r="M124" s="1">
        <f>+IF(Tabla__192.168.1.8_POSEIDONSQL_APPFVT_01_tblFillRateFechas[[#This Row],[Cant_Resultante]]=Tabla__192.168.1.8_POSEIDONSQL_APPFVT_01_tblFillRateFechas[[#This Row],[cant_order]],1,0)</f>
        <v>1</v>
      </c>
      <c r="N1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" s="1">
        <f>+IF(AND(Tabla__192.168.1.8_POSEIDONSQL_APPFVT_01_tblFillRateFechas[[#This Row],[Valida Cant]]=1,Tabla__192.168.1.8_POSEIDONSQL_APPFVT_01_tblFillRateFechas[[#This Row],[Valida Fec]]=1),1,0)</f>
        <v>1</v>
      </c>
      <c r="P124" s="1">
        <f>+(Tabla__192.168.1.8_POSEIDONSQL_APPFVT_01_tblFillRateFechas[[#This Row],[Cant_Resultante]]/Tabla__192.168.1.8_POSEIDONSQL_APPFVT_01_tblFillRateFechas[[#This Row],[cant_order]])*100</f>
        <v>100</v>
      </c>
      <c r="Q1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" s="1">
        <f>+IF(Tabla__192.168.1.8_POSEIDONSQL_APPFVT_01_tblFillRateFechas[[#This Row],[cant_order]]&gt;0,1,0)</f>
        <v>1</v>
      </c>
      <c r="V124" s="1">
        <f>+IF(Tabla__192.168.1.8_POSEIDONSQL_APPFVT_01_tblFillRateFechas[[#This Row],[Resultado]]=1,1,0)</f>
        <v>1</v>
      </c>
      <c r="W124" s="1" t="str">
        <f>+Tabla__192.168.1.8_POSEIDONSQL_APPFVT_01_tblFillRateFechas[[#This Row],[con_ocnumero]]&amp;Tabla__192.168.1.8_POSEIDONSQL_APPFVT_01_tblFillRateFechas[[#This Row],[con_codigounico]]</f>
        <v>8660774-</v>
      </c>
      <c r="X1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" spans="1:24" x14ac:dyDescent="0.25">
      <c r="A125">
        <v>1</v>
      </c>
      <c r="B125" t="s">
        <v>55</v>
      </c>
      <c r="C125">
        <v>8660835</v>
      </c>
      <c r="D125" t="s">
        <v>1970</v>
      </c>
      <c r="E125" t="s">
        <v>162</v>
      </c>
      <c r="F125" t="s">
        <v>1971</v>
      </c>
      <c r="G125">
        <v>1</v>
      </c>
      <c r="H125">
        <v>1</v>
      </c>
      <c r="I125" t="s">
        <v>162</v>
      </c>
      <c r="J125">
        <v>0</v>
      </c>
      <c r="K125" t="s">
        <v>49</v>
      </c>
      <c r="L125" s="1">
        <f>+Tabla__192.168.1.8_POSEIDONSQL_APPFVT_01_tblFillRateFechas[[#This Row],[emb_cantidad]]-Tabla__192.168.1.8_POSEIDONSQL_APPFVT_01_tblFillRateFechas[[#This Row],[dev_cantidad]]</f>
        <v>1</v>
      </c>
      <c r="M125" s="1">
        <f>+IF(Tabla__192.168.1.8_POSEIDONSQL_APPFVT_01_tblFillRateFechas[[#This Row],[Cant_Resultante]]=Tabla__192.168.1.8_POSEIDONSQL_APPFVT_01_tblFillRateFechas[[#This Row],[cant_order]],1,0)</f>
        <v>1</v>
      </c>
      <c r="N1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" s="1">
        <f>+IF(AND(Tabla__192.168.1.8_POSEIDONSQL_APPFVT_01_tblFillRateFechas[[#This Row],[Valida Cant]]=1,Tabla__192.168.1.8_POSEIDONSQL_APPFVT_01_tblFillRateFechas[[#This Row],[Valida Fec]]=1),1,0)</f>
        <v>1</v>
      </c>
      <c r="P125" s="1">
        <f>+(Tabla__192.168.1.8_POSEIDONSQL_APPFVT_01_tblFillRateFechas[[#This Row],[Cant_Resultante]]/Tabla__192.168.1.8_POSEIDONSQL_APPFVT_01_tblFillRateFechas[[#This Row],[cant_order]])*100</f>
        <v>100</v>
      </c>
      <c r="Q1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" s="1">
        <f>+IF(Tabla__192.168.1.8_POSEIDONSQL_APPFVT_01_tblFillRateFechas[[#This Row],[cant_order]]&gt;0,1,0)</f>
        <v>1</v>
      </c>
      <c r="V125" s="1">
        <f>+IF(Tabla__192.168.1.8_POSEIDONSQL_APPFVT_01_tblFillRateFechas[[#This Row],[Resultado]]=1,1,0)</f>
        <v>1</v>
      </c>
      <c r="W125" s="1" t="str">
        <f>+Tabla__192.168.1.8_POSEIDONSQL_APPFVT_01_tblFillRateFechas[[#This Row],[con_ocnumero]]&amp;Tabla__192.168.1.8_POSEIDONSQL_APPFVT_01_tblFillRateFechas[[#This Row],[con_codigounico]]</f>
        <v>8660835-</v>
      </c>
      <c r="X1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" spans="1:24" x14ac:dyDescent="0.25">
      <c r="A126">
        <v>1</v>
      </c>
      <c r="B126" t="s">
        <v>55</v>
      </c>
      <c r="C126">
        <v>8660990</v>
      </c>
      <c r="D126" t="s">
        <v>1970</v>
      </c>
      <c r="E126" t="s">
        <v>162</v>
      </c>
      <c r="F126" t="s">
        <v>1965</v>
      </c>
      <c r="G126">
        <v>1</v>
      </c>
      <c r="H126">
        <v>1</v>
      </c>
      <c r="I126" t="s">
        <v>162</v>
      </c>
      <c r="J126">
        <v>0</v>
      </c>
      <c r="K126" t="s">
        <v>49</v>
      </c>
      <c r="L126" s="1">
        <f>+Tabla__192.168.1.8_POSEIDONSQL_APPFVT_01_tblFillRateFechas[[#This Row],[emb_cantidad]]-Tabla__192.168.1.8_POSEIDONSQL_APPFVT_01_tblFillRateFechas[[#This Row],[dev_cantidad]]</f>
        <v>1</v>
      </c>
      <c r="M126" s="1">
        <f>+IF(Tabla__192.168.1.8_POSEIDONSQL_APPFVT_01_tblFillRateFechas[[#This Row],[Cant_Resultante]]=Tabla__192.168.1.8_POSEIDONSQL_APPFVT_01_tblFillRateFechas[[#This Row],[cant_order]],1,0)</f>
        <v>1</v>
      </c>
      <c r="N1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" s="1">
        <f>+IF(AND(Tabla__192.168.1.8_POSEIDONSQL_APPFVT_01_tblFillRateFechas[[#This Row],[Valida Cant]]=1,Tabla__192.168.1.8_POSEIDONSQL_APPFVT_01_tblFillRateFechas[[#This Row],[Valida Fec]]=1),1,0)</f>
        <v>1</v>
      </c>
      <c r="P126" s="1">
        <f>+(Tabla__192.168.1.8_POSEIDONSQL_APPFVT_01_tblFillRateFechas[[#This Row],[Cant_Resultante]]/Tabla__192.168.1.8_POSEIDONSQL_APPFVT_01_tblFillRateFechas[[#This Row],[cant_order]])*100</f>
        <v>100</v>
      </c>
      <c r="Q1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" s="1">
        <f>+IF(Tabla__192.168.1.8_POSEIDONSQL_APPFVT_01_tblFillRateFechas[[#This Row],[cant_order]]&gt;0,1,0)</f>
        <v>1</v>
      </c>
      <c r="V126" s="1">
        <f>+IF(Tabla__192.168.1.8_POSEIDONSQL_APPFVT_01_tblFillRateFechas[[#This Row],[Resultado]]=1,1,0)</f>
        <v>1</v>
      </c>
      <c r="W126" s="1" t="str">
        <f>+Tabla__192.168.1.8_POSEIDONSQL_APPFVT_01_tblFillRateFechas[[#This Row],[con_ocnumero]]&amp;Tabla__192.168.1.8_POSEIDONSQL_APPFVT_01_tblFillRateFechas[[#This Row],[con_codigounico]]</f>
        <v>8660990-</v>
      </c>
      <c r="X1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" spans="1:24" x14ac:dyDescent="0.25">
      <c r="A127">
        <v>1</v>
      </c>
      <c r="B127" t="s">
        <v>55</v>
      </c>
      <c r="C127">
        <v>8660991</v>
      </c>
      <c r="D127" t="s">
        <v>1970</v>
      </c>
      <c r="E127" t="s">
        <v>161</v>
      </c>
      <c r="F127" t="s">
        <v>1965</v>
      </c>
      <c r="G127">
        <v>1</v>
      </c>
      <c r="H127">
        <v>1</v>
      </c>
      <c r="I127" t="s">
        <v>161</v>
      </c>
      <c r="J127">
        <v>0</v>
      </c>
      <c r="K127" t="s">
        <v>49</v>
      </c>
      <c r="L127" s="1">
        <f>+Tabla__192.168.1.8_POSEIDONSQL_APPFVT_01_tblFillRateFechas[[#This Row],[emb_cantidad]]-Tabla__192.168.1.8_POSEIDONSQL_APPFVT_01_tblFillRateFechas[[#This Row],[dev_cantidad]]</f>
        <v>1</v>
      </c>
      <c r="M127" s="1">
        <f>+IF(Tabla__192.168.1.8_POSEIDONSQL_APPFVT_01_tblFillRateFechas[[#This Row],[Cant_Resultante]]=Tabla__192.168.1.8_POSEIDONSQL_APPFVT_01_tblFillRateFechas[[#This Row],[cant_order]],1,0)</f>
        <v>1</v>
      </c>
      <c r="N1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" s="1">
        <f>+IF(AND(Tabla__192.168.1.8_POSEIDONSQL_APPFVT_01_tblFillRateFechas[[#This Row],[Valida Cant]]=1,Tabla__192.168.1.8_POSEIDONSQL_APPFVT_01_tblFillRateFechas[[#This Row],[Valida Fec]]=1),1,0)</f>
        <v>1</v>
      </c>
      <c r="P127" s="1">
        <f>+(Tabla__192.168.1.8_POSEIDONSQL_APPFVT_01_tblFillRateFechas[[#This Row],[Cant_Resultante]]/Tabla__192.168.1.8_POSEIDONSQL_APPFVT_01_tblFillRateFechas[[#This Row],[cant_order]])*100</f>
        <v>100</v>
      </c>
      <c r="Q1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" s="1">
        <f>+IF(Tabla__192.168.1.8_POSEIDONSQL_APPFVT_01_tblFillRateFechas[[#This Row],[cant_order]]&gt;0,1,0)</f>
        <v>1</v>
      </c>
      <c r="V127" s="1">
        <f>+IF(Tabla__192.168.1.8_POSEIDONSQL_APPFVT_01_tblFillRateFechas[[#This Row],[Resultado]]=1,1,0)</f>
        <v>1</v>
      </c>
      <c r="W127" s="1" t="str">
        <f>+Tabla__192.168.1.8_POSEIDONSQL_APPFVT_01_tblFillRateFechas[[#This Row],[con_ocnumero]]&amp;Tabla__192.168.1.8_POSEIDONSQL_APPFVT_01_tblFillRateFechas[[#This Row],[con_codigounico]]</f>
        <v>8660991-</v>
      </c>
      <c r="X1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" spans="1:24" x14ac:dyDescent="0.25">
      <c r="A128">
        <v>1</v>
      </c>
      <c r="B128" t="s">
        <v>55</v>
      </c>
      <c r="C128">
        <v>8661002</v>
      </c>
      <c r="D128" t="s">
        <v>1970</v>
      </c>
      <c r="E128" t="s">
        <v>161</v>
      </c>
      <c r="F128" t="s">
        <v>1965</v>
      </c>
      <c r="G128">
        <v>1</v>
      </c>
      <c r="H128">
        <v>1</v>
      </c>
      <c r="I128" t="s">
        <v>161</v>
      </c>
      <c r="J128">
        <v>0</v>
      </c>
      <c r="K128" t="s">
        <v>49</v>
      </c>
      <c r="L128" s="1">
        <f>+Tabla__192.168.1.8_POSEIDONSQL_APPFVT_01_tblFillRateFechas[[#This Row],[emb_cantidad]]-Tabla__192.168.1.8_POSEIDONSQL_APPFVT_01_tblFillRateFechas[[#This Row],[dev_cantidad]]</f>
        <v>1</v>
      </c>
      <c r="M128" s="1">
        <f>+IF(Tabla__192.168.1.8_POSEIDONSQL_APPFVT_01_tblFillRateFechas[[#This Row],[Cant_Resultante]]=Tabla__192.168.1.8_POSEIDONSQL_APPFVT_01_tblFillRateFechas[[#This Row],[cant_order]],1,0)</f>
        <v>1</v>
      </c>
      <c r="N1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" s="1">
        <f>+IF(AND(Tabla__192.168.1.8_POSEIDONSQL_APPFVT_01_tblFillRateFechas[[#This Row],[Valida Cant]]=1,Tabla__192.168.1.8_POSEIDONSQL_APPFVT_01_tblFillRateFechas[[#This Row],[Valida Fec]]=1),1,0)</f>
        <v>1</v>
      </c>
      <c r="P128" s="1">
        <f>+(Tabla__192.168.1.8_POSEIDONSQL_APPFVT_01_tblFillRateFechas[[#This Row],[Cant_Resultante]]/Tabla__192.168.1.8_POSEIDONSQL_APPFVT_01_tblFillRateFechas[[#This Row],[cant_order]])*100</f>
        <v>100</v>
      </c>
      <c r="Q1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" s="1">
        <f>+IF(Tabla__192.168.1.8_POSEIDONSQL_APPFVT_01_tblFillRateFechas[[#This Row],[cant_order]]&gt;0,1,0)</f>
        <v>1</v>
      </c>
      <c r="V128" s="1">
        <f>+IF(Tabla__192.168.1.8_POSEIDONSQL_APPFVT_01_tblFillRateFechas[[#This Row],[Resultado]]=1,1,0)</f>
        <v>1</v>
      </c>
      <c r="W128" s="1" t="str">
        <f>+Tabla__192.168.1.8_POSEIDONSQL_APPFVT_01_tblFillRateFechas[[#This Row],[con_ocnumero]]&amp;Tabla__192.168.1.8_POSEIDONSQL_APPFVT_01_tblFillRateFechas[[#This Row],[con_codigounico]]</f>
        <v>8661002-</v>
      </c>
      <c r="X1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" spans="1:24" x14ac:dyDescent="0.25">
      <c r="A129">
        <v>1</v>
      </c>
      <c r="B129" t="s">
        <v>55</v>
      </c>
      <c r="C129">
        <v>8661269</v>
      </c>
      <c r="D129" t="s">
        <v>1971</v>
      </c>
      <c r="E129" t="s">
        <v>162</v>
      </c>
      <c r="F129" t="s">
        <v>1965</v>
      </c>
      <c r="G129">
        <v>1</v>
      </c>
      <c r="H129">
        <v>1</v>
      </c>
      <c r="I129" t="s">
        <v>162</v>
      </c>
      <c r="J129">
        <v>0</v>
      </c>
      <c r="K129" t="s">
        <v>49</v>
      </c>
      <c r="L129" s="1">
        <f>+Tabla__192.168.1.8_POSEIDONSQL_APPFVT_01_tblFillRateFechas[[#This Row],[emb_cantidad]]-Tabla__192.168.1.8_POSEIDONSQL_APPFVT_01_tblFillRateFechas[[#This Row],[dev_cantidad]]</f>
        <v>1</v>
      </c>
      <c r="M129" s="1">
        <f>+IF(Tabla__192.168.1.8_POSEIDONSQL_APPFVT_01_tblFillRateFechas[[#This Row],[Cant_Resultante]]=Tabla__192.168.1.8_POSEIDONSQL_APPFVT_01_tblFillRateFechas[[#This Row],[cant_order]],1,0)</f>
        <v>1</v>
      </c>
      <c r="N1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" s="1">
        <f>+IF(AND(Tabla__192.168.1.8_POSEIDONSQL_APPFVT_01_tblFillRateFechas[[#This Row],[Valida Cant]]=1,Tabla__192.168.1.8_POSEIDONSQL_APPFVT_01_tblFillRateFechas[[#This Row],[Valida Fec]]=1),1,0)</f>
        <v>1</v>
      </c>
      <c r="P129" s="1">
        <f>+(Tabla__192.168.1.8_POSEIDONSQL_APPFVT_01_tblFillRateFechas[[#This Row],[Cant_Resultante]]/Tabla__192.168.1.8_POSEIDONSQL_APPFVT_01_tblFillRateFechas[[#This Row],[cant_order]])*100</f>
        <v>100</v>
      </c>
      <c r="Q1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" s="1">
        <f>+IF(Tabla__192.168.1.8_POSEIDONSQL_APPFVT_01_tblFillRateFechas[[#This Row],[cant_order]]&gt;0,1,0)</f>
        <v>1</v>
      </c>
      <c r="V129" s="1">
        <f>+IF(Tabla__192.168.1.8_POSEIDONSQL_APPFVT_01_tblFillRateFechas[[#This Row],[Resultado]]=1,1,0)</f>
        <v>1</v>
      </c>
      <c r="W129" s="1" t="str">
        <f>+Tabla__192.168.1.8_POSEIDONSQL_APPFVT_01_tblFillRateFechas[[#This Row],[con_ocnumero]]&amp;Tabla__192.168.1.8_POSEIDONSQL_APPFVT_01_tblFillRateFechas[[#This Row],[con_codigounico]]</f>
        <v>8661269-</v>
      </c>
      <c r="X1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" spans="1:24" x14ac:dyDescent="0.25">
      <c r="A130">
        <v>1</v>
      </c>
      <c r="B130" t="s">
        <v>55</v>
      </c>
      <c r="C130">
        <v>8661338</v>
      </c>
      <c r="D130" t="s">
        <v>1971</v>
      </c>
      <c r="E130" t="s">
        <v>162</v>
      </c>
      <c r="F130" t="s">
        <v>1965</v>
      </c>
      <c r="G130">
        <v>1</v>
      </c>
      <c r="H130">
        <v>1</v>
      </c>
      <c r="I130" t="s">
        <v>162</v>
      </c>
      <c r="J130">
        <v>0</v>
      </c>
      <c r="K130" t="s">
        <v>49</v>
      </c>
      <c r="L130" s="1">
        <f>+Tabla__192.168.1.8_POSEIDONSQL_APPFVT_01_tblFillRateFechas[[#This Row],[emb_cantidad]]-Tabla__192.168.1.8_POSEIDONSQL_APPFVT_01_tblFillRateFechas[[#This Row],[dev_cantidad]]</f>
        <v>1</v>
      </c>
      <c r="M130" s="1">
        <f>+IF(Tabla__192.168.1.8_POSEIDONSQL_APPFVT_01_tblFillRateFechas[[#This Row],[Cant_Resultante]]=Tabla__192.168.1.8_POSEIDONSQL_APPFVT_01_tblFillRateFechas[[#This Row],[cant_order]],1,0)</f>
        <v>1</v>
      </c>
      <c r="N1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" s="1">
        <f>+IF(AND(Tabla__192.168.1.8_POSEIDONSQL_APPFVT_01_tblFillRateFechas[[#This Row],[Valida Cant]]=1,Tabla__192.168.1.8_POSEIDONSQL_APPFVT_01_tblFillRateFechas[[#This Row],[Valida Fec]]=1),1,0)</f>
        <v>1</v>
      </c>
      <c r="P130" s="1">
        <f>+(Tabla__192.168.1.8_POSEIDONSQL_APPFVT_01_tblFillRateFechas[[#This Row],[Cant_Resultante]]/Tabla__192.168.1.8_POSEIDONSQL_APPFVT_01_tblFillRateFechas[[#This Row],[cant_order]])*100</f>
        <v>100</v>
      </c>
      <c r="Q1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" s="1">
        <f>+IF(Tabla__192.168.1.8_POSEIDONSQL_APPFVT_01_tblFillRateFechas[[#This Row],[cant_order]]&gt;0,1,0)</f>
        <v>1</v>
      </c>
      <c r="V130" s="1">
        <f>+IF(Tabla__192.168.1.8_POSEIDONSQL_APPFVT_01_tblFillRateFechas[[#This Row],[Resultado]]=1,1,0)</f>
        <v>1</v>
      </c>
      <c r="W130" s="1" t="str">
        <f>+Tabla__192.168.1.8_POSEIDONSQL_APPFVT_01_tblFillRateFechas[[#This Row],[con_ocnumero]]&amp;Tabla__192.168.1.8_POSEIDONSQL_APPFVT_01_tblFillRateFechas[[#This Row],[con_codigounico]]</f>
        <v>8661338-</v>
      </c>
      <c r="X1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" spans="1:24" x14ac:dyDescent="0.25">
      <c r="A131">
        <v>1</v>
      </c>
      <c r="B131" t="s">
        <v>55</v>
      </c>
      <c r="C131">
        <v>8662170</v>
      </c>
      <c r="D131" t="s">
        <v>1971</v>
      </c>
      <c r="E131" t="s">
        <v>1962</v>
      </c>
      <c r="F131" t="s">
        <v>1965</v>
      </c>
      <c r="G131">
        <v>154</v>
      </c>
      <c r="H131">
        <v>154</v>
      </c>
      <c r="I131" t="s">
        <v>1962</v>
      </c>
      <c r="J131">
        <v>0</v>
      </c>
      <c r="K131" t="s">
        <v>49</v>
      </c>
      <c r="L131" s="1">
        <f>+Tabla__192.168.1.8_POSEIDONSQL_APPFVT_01_tblFillRateFechas[[#This Row],[emb_cantidad]]-Tabla__192.168.1.8_POSEIDONSQL_APPFVT_01_tblFillRateFechas[[#This Row],[dev_cantidad]]</f>
        <v>154</v>
      </c>
      <c r="M131" s="1">
        <f>+IF(Tabla__192.168.1.8_POSEIDONSQL_APPFVT_01_tblFillRateFechas[[#This Row],[Cant_Resultante]]=Tabla__192.168.1.8_POSEIDONSQL_APPFVT_01_tblFillRateFechas[[#This Row],[cant_order]],1,0)</f>
        <v>1</v>
      </c>
      <c r="N1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" s="1">
        <f>+IF(AND(Tabla__192.168.1.8_POSEIDONSQL_APPFVT_01_tblFillRateFechas[[#This Row],[Valida Cant]]=1,Tabla__192.168.1.8_POSEIDONSQL_APPFVT_01_tblFillRateFechas[[#This Row],[Valida Fec]]=1),1,0)</f>
        <v>1</v>
      </c>
      <c r="P131" s="1">
        <f>+(Tabla__192.168.1.8_POSEIDONSQL_APPFVT_01_tblFillRateFechas[[#This Row],[Cant_Resultante]]/Tabla__192.168.1.8_POSEIDONSQL_APPFVT_01_tblFillRateFechas[[#This Row],[cant_order]])*100</f>
        <v>100</v>
      </c>
      <c r="Q1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154</v>
      </c>
      <c r="R1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154</v>
      </c>
      <c r="T1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" s="1">
        <f>+IF(Tabla__192.168.1.8_POSEIDONSQL_APPFVT_01_tblFillRateFechas[[#This Row],[cant_order]]&gt;0,1,0)</f>
        <v>1</v>
      </c>
      <c r="V131" s="1">
        <f>+IF(Tabla__192.168.1.8_POSEIDONSQL_APPFVT_01_tblFillRateFechas[[#This Row],[Resultado]]=1,1,0)</f>
        <v>1</v>
      </c>
      <c r="W131" s="1" t="str">
        <f>+Tabla__192.168.1.8_POSEIDONSQL_APPFVT_01_tblFillRateFechas[[#This Row],[con_ocnumero]]&amp;Tabla__192.168.1.8_POSEIDONSQL_APPFVT_01_tblFillRateFechas[[#This Row],[con_codigounico]]</f>
        <v>8662170-</v>
      </c>
      <c r="X1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154</v>
      </c>
    </row>
    <row r="132" spans="1:24" x14ac:dyDescent="0.25">
      <c r="A132">
        <v>1</v>
      </c>
      <c r="B132" t="s">
        <v>55</v>
      </c>
      <c r="C132">
        <v>8662642</v>
      </c>
      <c r="D132" t="s">
        <v>1971</v>
      </c>
      <c r="E132" t="s">
        <v>162</v>
      </c>
      <c r="F132" t="s">
        <v>1965</v>
      </c>
      <c r="G132">
        <v>1</v>
      </c>
      <c r="H132">
        <v>1</v>
      </c>
      <c r="I132" t="s">
        <v>162</v>
      </c>
      <c r="J132">
        <v>0</v>
      </c>
      <c r="K132" t="s">
        <v>49</v>
      </c>
      <c r="L132" s="1">
        <f>+Tabla__192.168.1.8_POSEIDONSQL_APPFVT_01_tblFillRateFechas[[#This Row],[emb_cantidad]]-Tabla__192.168.1.8_POSEIDONSQL_APPFVT_01_tblFillRateFechas[[#This Row],[dev_cantidad]]</f>
        <v>1</v>
      </c>
      <c r="M132" s="1">
        <f>+IF(Tabla__192.168.1.8_POSEIDONSQL_APPFVT_01_tblFillRateFechas[[#This Row],[Cant_Resultante]]=Tabla__192.168.1.8_POSEIDONSQL_APPFVT_01_tblFillRateFechas[[#This Row],[cant_order]],1,0)</f>
        <v>1</v>
      </c>
      <c r="N1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" s="1">
        <f>+IF(AND(Tabla__192.168.1.8_POSEIDONSQL_APPFVT_01_tblFillRateFechas[[#This Row],[Valida Cant]]=1,Tabla__192.168.1.8_POSEIDONSQL_APPFVT_01_tblFillRateFechas[[#This Row],[Valida Fec]]=1),1,0)</f>
        <v>1</v>
      </c>
      <c r="P132" s="1">
        <f>+(Tabla__192.168.1.8_POSEIDONSQL_APPFVT_01_tblFillRateFechas[[#This Row],[Cant_Resultante]]/Tabla__192.168.1.8_POSEIDONSQL_APPFVT_01_tblFillRateFechas[[#This Row],[cant_order]])*100</f>
        <v>100</v>
      </c>
      <c r="Q1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" s="1">
        <f>+IF(Tabla__192.168.1.8_POSEIDONSQL_APPFVT_01_tblFillRateFechas[[#This Row],[cant_order]]&gt;0,1,0)</f>
        <v>1</v>
      </c>
      <c r="V132" s="1">
        <f>+IF(Tabla__192.168.1.8_POSEIDONSQL_APPFVT_01_tblFillRateFechas[[#This Row],[Resultado]]=1,1,0)</f>
        <v>1</v>
      </c>
      <c r="W132" s="1" t="str">
        <f>+Tabla__192.168.1.8_POSEIDONSQL_APPFVT_01_tblFillRateFechas[[#This Row],[con_ocnumero]]&amp;Tabla__192.168.1.8_POSEIDONSQL_APPFVT_01_tblFillRateFechas[[#This Row],[con_codigounico]]</f>
        <v>8662642-</v>
      </c>
      <c r="X1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" spans="1:24" x14ac:dyDescent="0.25">
      <c r="A133">
        <v>1</v>
      </c>
      <c r="B133" t="s">
        <v>55</v>
      </c>
      <c r="C133">
        <v>8662855</v>
      </c>
      <c r="D133" t="s">
        <v>1971</v>
      </c>
      <c r="E133" t="s">
        <v>162</v>
      </c>
      <c r="F133" t="s">
        <v>1965</v>
      </c>
      <c r="G133">
        <v>1</v>
      </c>
      <c r="H133">
        <v>1</v>
      </c>
      <c r="I133" t="s">
        <v>162</v>
      </c>
      <c r="J133">
        <v>0</v>
      </c>
      <c r="K133" t="s">
        <v>49</v>
      </c>
      <c r="L133" s="1">
        <f>+Tabla__192.168.1.8_POSEIDONSQL_APPFVT_01_tblFillRateFechas[[#This Row],[emb_cantidad]]-Tabla__192.168.1.8_POSEIDONSQL_APPFVT_01_tblFillRateFechas[[#This Row],[dev_cantidad]]</f>
        <v>1</v>
      </c>
      <c r="M133" s="1">
        <f>+IF(Tabla__192.168.1.8_POSEIDONSQL_APPFVT_01_tblFillRateFechas[[#This Row],[Cant_Resultante]]=Tabla__192.168.1.8_POSEIDONSQL_APPFVT_01_tblFillRateFechas[[#This Row],[cant_order]],1,0)</f>
        <v>1</v>
      </c>
      <c r="N1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" s="1">
        <f>+IF(AND(Tabla__192.168.1.8_POSEIDONSQL_APPFVT_01_tblFillRateFechas[[#This Row],[Valida Cant]]=1,Tabla__192.168.1.8_POSEIDONSQL_APPFVT_01_tblFillRateFechas[[#This Row],[Valida Fec]]=1),1,0)</f>
        <v>1</v>
      </c>
      <c r="P133" s="1">
        <f>+(Tabla__192.168.1.8_POSEIDONSQL_APPFVT_01_tblFillRateFechas[[#This Row],[Cant_Resultante]]/Tabla__192.168.1.8_POSEIDONSQL_APPFVT_01_tblFillRateFechas[[#This Row],[cant_order]])*100</f>
        <v>100</v>
      </c>
      <c r="Q1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" s="1">
        <f>+IF(Tabla__192.168.1.8_POSEIDONSQL_APPFVT_01_tblFillRateFechas[[#This Row],[cant_order]]&gt;0,1,0)</f>
        <v>1</v>
      </c>
      <c r="V133" s="1">
        <f>+IF(Tabla__192.168.1.8_POSEIDONSQL_APPFVT_01_tblFillRateFechas[[#This Row],[Resultado]]=1,1,0)</f>
        <v>1</v>
      </c>
      <c r="W133" s="1" t="str">
        <f>+Tabla__192.168.1.8_POSEIDONSQL_APPFVT_01_tblFillRateFechas[[#This Row],[con_ocnumero]]&amp;Tabla__192.168.1.8_POSEIDONSQL_APPFVT_01_tblFillRateFechas[[#This Row],[con_codigounico]]</f>
        <v>8662855-</v>
      </c>
      <c r="X1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" spans="1:24" x14ac:dyDescent="0.25">
      <c r="A134">
        <v>1</v>
      </c>
      <c r="B134" t="s">
        <v>55</v>
      </c>
      <c r="C134">
        <v>8663291</v>
      </c>
      <c r="D134" t="s">
        <v>1971</v>
      </c>
      <c r="E134" t="s">
        <v>162</v>
      </c>
      <c r="F134" t="s">
        <v>1980</v>
      </c>
      <c r="G134">
        <v>1</v>
      </c>
      <c r="H134">
        <v>1</v>
      </c>
      <c r="I134" t="s">
        <v>162</v>
      </c>
      <c r="J134">
        <v>0</v>
      </c>
      <c r="K134" t="s">
        <v>49</v>
      </c>
      <c r="L134" s="1">
        <f>+Tabla__192.168.1.8_POSEIDONSQL_APPFVT_01_tblFillRateFechas[[#This Row],[emb_cantidad]]-Tabla__192.168.1.8_POSEIDONSQL_APPFVT_01_tblFillRateFechas[[#This Row],[dev_cantidad]]</f>
        <v>1</v>
      </c>
      <c r="M134" s="1">
        <f>+IF(Tabla__192.168.1.8_POSEIDONSQL_APPFVT_01_tblFillRateFechas[[#This Row],[Cant_Resultante]]=Tabla__192.168.1.8_POSEIDONSQL_APPFVT_01_tblFillRateFechas[[#This Row],[cant_order]],1,0)</f>
        <v>1</v>
      </c>
      <c r="N1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" s="1">
        <f>+IF(AND(Tabla__192.168.1.8_POSEIDONSQL_APPFVT_01_tblFillRateFechas[[#This Row],[Valida Cant]]=1,Tabla__192.168.1.8_POSEIDONSQL_APPFVT_01_tblFillRateFechas[[#This Row],[Valida Fec]]=1),1,0)</f>
        <v>1</v>
      </c>
      <c r="P134" s="1">
        <f>+(Tabla__192.168.1.8_POSEIDONSQL_APPFVT_01_tblFillRateFechas[[#This Row],[Cant_Resultante]]/Tabla__192.168.1.8_POSEIDONSQL_APPFVT_01_tblFillRateFechas[[#This Row],[cant_order]])*100</f>
        <v>100</v>
      </c>
      <c r="Q1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" s="1">
        <f>+IF(Tabla__192.168.1.8_POSEIDONSQL_APPFVT_01_tblFillRateFechas[[#This Row],[cant_order]]&gt;0,1,0)</f>
        <v>1</v>
      </c>
      <c r="V134" s="1">
        <f>+IF(Tabla__192.168.1.8_POSEIDONSQL_APPFVT_01_tblFillRateFechas[[#This Row],[Resultado]]=1,1,0)</f>
        <v>1</v>
      </c>
      <c r="W134" s="1" t="str">
        <f>+Tabla__192.168.1.8_POSEIDONSQL_APPFVT_01_tblFillRateFechas[[#This Row],[con_ocnumero]]&amp;Tabla__192.168.1.8_POSEIDONSQL_APPFVT_01_tblFillRateFechas[[#This Row],[con_codigounico]]</f>
        <v>8663291-</v>
      </c>
      <c r="X1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" spans="1:24" x14ac:dyDescent="0.25">
      <c r="A135">
        <v>1</v>
      </c>
      <c r="B135" t="s">
        <v>55</v>
      </c>
      <c r="C135">
        <v>8663422</v>
      </c>
      <c r="D135" t="s">
        <v>1965</v>
      </c>
      <c r="E135" t="s">
        <v>162</v>
      </c>
      <c r="F135" t="s">
        <v>1980</v>
      </c>
      <c r="G135">
        <v>1</v>
      </c>
      <c r="H135">
        <v>1</v>
      </c>
      <c r="I135" t="s">
        <v>162</v>
      </c>
      <c r="J135">
        <v>0</v>
      </c>
      <c r="K135" t="s">
        <v>49</v>
      </c>
      <c r="L135" s="1">
        <f>+Tabla__192.168.1.8_POSEIDONSQL_APPFVT_01_tblFillRateFechas[[#This Row],[emb_cantidad]]-Tabla__192.168.1.8_POSEIDONSQL_APPFVT_01_tblFillRateFechas[[#This Row],[dev_cantidad]]</f>
        <v>1</v>
      </c>
      <c r="M135" s="1">
        <f>+IF(Tabla__192.168.1.8_POSEIDONSQL_APPFVT_01_tblFillRateFechas[[#This Row],[Cant_Resultante]]=Tabla__192.168.1.8_POSEIDONSQL_APPFVT_01_tblFillRateFechas[[#This Row],[cant_order]],1,0)</f>
        <v>1</v>
      </c>
      <c r="N1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" s="1">
        <f>+IF(AND(Tabla__192.168.1.8_POSEIDONSQL_APPFVT_01_tblFillRateFechas[[#This Row],[Valida Cant]]=1,Tabla__192.168.1.8_POSEIDONSQL_APPFVT_01_tblFillRateFechas[[#This Row],[Valida Fec]]=1),1,0)</f>
        <v>1</v>
      </c>
      <c r="P135" s="1">
        <f>+(Tabla__192.168.1.8_POSEIDONSQL_APPFVT_01_tblFillRateFechas[[#This Row],[Cant_Resultante]]/Tabla__192.168.1.8_POSEIDONSQL_APPFVT_01_tblFillRateFechas[[#This Row],[cant_order]])*100</f>
        <v>100</v>
      </c>
      <c r="Q1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" s="1">
        <f>+IF(Tabla__192.168.1.8_POSEIDONSQL_APPFVT_01_tblFillRateFechas[[#This Row],[cant_order]]&gt;0,1,0)</f>
        <v>1</v>
      </c>
      <c r="V135" s="1">
        <f>+IF(Tabla__192.168.1.8_POSEIDONSQL_APPFVT_01_tblFillRateFechas[[#This Row],[Resultado]]=1,1,0)</f>
        <v>1</v>
      </c>
      <c r="W135" s="1" t="str">
        <f>+Tabla__192.168.1.8_POSEIDONSQL_APPFVT_01_tblFillRateFechas[[#This Row],[con_ocnumero]]&amp;Tabla__192.168.1.8_POSEIDONSQL_APPFVT_01_tblFillRateFechas[[#This Row],[con_codigounico]]</f>
        <v>8663422-</v>
      </c>
      <c r="X1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" spans="1:24" x14ac:dyDescent="0.25">
      <c r="A136">
        <v>1</v>
      </c>
      <c r="B136" t="s">
        <v>55</v>
      </c>
      <c r="C136">
        <v>8663620</v>
      </c>
      <c r="D136" t="s">
        <v>1965</v>
      </c>
      <c r="E136" t="s">
        <v>162</v>
      </c>
      <c r="F136" t="s">
        <v>1980</v>
      </c>
      <c r="G136">
        <v>1</v>
      </c>
      <c r="H136">
        <v>0</v>
      </c>
      <c r="I136" t="s">
        <v>12</v>
      </c>
      <c r="J136">
        <v>0</v>
      </c>
      <c r="K136" t="s">
        <v>49</v>
      </c>
      <c r="L136" s="1">
        <f>+Tabla__192.168.1.8_POSEIDONSQL_APPFVT_01_tblFillRateFechas[[#This Row],[emb_cantidad]]-Tabla__192.168.1.8_POSEIDONSQL_APPFVT_01_tblFillRateFechas[[#This Row],[dev_cantidad]]</f>
        <v>0</v>
      </c>
      <c r="M136" s="1">
        <f>+IF(Tabla__192.168.1.8_POSEIDONSQL_APPFVT_01_tblFillRateFechas[[#This Row],[Cant_Resultante]]=Tabla__192.168.1.8_POSEIDONSQL_APPFVT_01_tblFillRateFechas[[#This Row],[cant_order]],1,0)</f>
        <v>0</v>
      </c>
      <c r="N1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6" s="1">
        <f>+IF(AND(Tabla__192.168.1.8_POSEIDONSQL_APPFVT_01_tblFillRateFechas[[#This Row],[Valida Cant]]=1,Tabla__192.168.1.8_POSEIDONSQL_APPFVT_01_tblFillRateFechas[[#This Row],[Valida Fec]]=1),1,0)</f>
        <v>0</v>
      </c>
      <c r="P136" s="1">
        <f>+(Tabla__192.168.1.8_POSEIDONSQL_APPFVT_01_tblFillRateFechas[[#This Row],[Cant_Resultante]]/Tabla__192.168.1.8_POSEIDONSQL_APPFVT_01_tblFillRateFechas[[#This Row],[cant_order]])*100</f>
        <v>0</v>
      </c>
      <c r="Q1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36" s="1">
        <f>+IF(Tabla__192.168.1.8_POSEIDONSQL_APPFVT_01_tblFillRateFechas[[#This Row],[cant_order]]&gt;0,1,0)</f>
        <v>1</v>
      </c>
      <c r="V136" s="1">
        <f>+IF(Tabla__192.168.1.8_POSEIDONSQL_APPFVT_01_tblFillRateFechas[[#This Row],[Resultado]]=1,1,0)</f>
        <v>0</v>
      </c>
      <c r="W136" s="1" t="str">
        <f>+Tabla__192.168.1.8_POSEIDONSQL_APPFVT_01_tblFillRateFechas[[#This Row],[con_ocnumero]]&amp;Tabla__192.168.1.8_POSEIDONSQL_APPFVT_01_tblFillRateFechas[[#This Row],[con_codigounico]]</f>
        <v>8663620-</v>
      </c>
      <c r="X1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37" spans="1:24" x14ac:dyDescent="0.25">
      <c r="A137">
        <v>1</v>
      </c>
      <c r="B137" t="s">
        <v>55</v>
      </c>
      <c r="C137">
        <v>8664280</v>
      </c>
      <c r="D137" t="s">
        <v>1965</v>
      </c>
      <c r="E137" t="s">
        <v>1963</v>
      </c>
      <c r="F137" t="s">
        <v>1980</v>
      </c>
      <c r="G137">
        <v>36</v>
      </c>
      <c r="H137">
        <v>36</v>
      </c>
      <c r="I137" t="s">
        <v>1963</v>
      </c>
      <c r="J137">
        <v>0</v>
      </c>
      <c r="K137" t="s">
        <v>49</v>
      </c>
      <c r="L137" s="1">
        <f>+Tabla__192.168.1.8_POSEIDONSQL_APPFVT_01_tblFillRateFechas[[#This Row],[emb_cantidad]]-Tabla__192.168.1.8_POSEIDONSQL_APPFVT_01_tblFillRateFechas[[#This Row],[dev_cantidad]]</f>
        <v>36</v>
      </c>
      <c r="M137" s="1">
        <f>+IF(Tabla__192.168.1.8_POSEIDONSQL_APPFVT_01_tblFillRateFechas[[#This Row],[Cant_Resultante]]=Tabla__192.168.1.8_POSEIDONSQL_APPFVT_01_tblFillRateFechas[[#This Row],[cant_order]],1,0)</f>
        <v>1</v>
      </c>
      <c r="N1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" s="1">
        <f>+IF(AND(Tabla__192.168.1.8_POSEIDONSQL_APPFVT_01_tblFillRateFechas[[#This Row],[Valida Cant]]=1,Tabla__192.168.1.8_POSEIDONSQL_APPFVT_01_tblFillRateFechas[[#This Row],[Valida Fec]]=1),1,0)</f>
        <v>1</v>
      </c>
      <c r="P137" s="1">
        <f>+(Tabla__192.168.1.8_POSEIDONSQL_APPFVT_01_tblFillRateFechas[[#This Row],[Cant_Resultante]]/Tabla__192.168.1.8_POSEIDONSQL_APPFVT_01_tblFillRateFechas[[#This Row],[cant_order]])*100</f>
        <v>100</v>
      </c>
      <c r="Q1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36</v>
      </c>
      <c r="R1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36</v>
      </c>
      <c r="T1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" s="1">
        <f>+IF(Tabla__192.168.1.8_POSEIDONSQL_APPFVT_01_tblFillRateFechas[[#This Row],[cant_order]]&gt;0,1,0)</f>
        <v>1</v>
      </c>
      <c r="V137" s="1">
        <f>+IF(Tabla__192.168.1.8_POSEIDONSQL_APPFVT_01_tblFillRateFechas[[#This Row],[Resultado]]=1,1,0)</f>
        <v>1</v>
      </c>
      <c r="W137" s="1" t="str">
        <f>+Tabla__192.168.1.8_POSEIDONSQL_APPFVT_01_tblFillRateFechas[[#This Row],[con_ocnumero]]&amp;Tabla__192.168.1.8_POSEIDONSQL_APPFVT_01_tblFillRateFechas[[#This Row],[con_codigounico]]</f>
        <v>8664280-</v>
      </c>
      <c r="X1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36</v>
      </c>
    </row>
    <row r="138" spans="1:24" x14ac:dyDescent="0.25">
      <c r="A138">
        <v>1</v>
      </c>
      <c r="B138" t="s">
        <v>55</v>
      </c>
      <c r="C138">
        <v>8664524</v>
      </c>
      <c r="D138" t="s">
        <v>1965</v>
      </c>
      <c r="E138" t="s">
        <v>1977</v>
      </c>
      <c r="F138" t="s">
        <v>1980</v>
      </c>
      <c r="G138">
        <v>339</v>
      </c>
      <c r="H138">
        <v>105</v>
      </c>
      <c r="I138" t="s">
        <v>1977</v>
      </c>
      <c r="J138">
        <v>0</v>
      </c>
      <c r="K138" t="s">
        <v>49</v>
      </c>
      <c r="L138" s="1">
        <f>+Tabla__192.168.1.8_POSEIDONSQL_APPFVT_01_tblFillRateFechas[[#This Row],[emb_cantidad]]-Tabla__192.168.1.8_POSEIDONSQL_APPFVT_01_tblFillRateFechas[[#This Row],[dev_cantidad]]</f>
        <v>105</v>
      </c>
      <c r="M138" s="1">
        <f>+IF(Tabla__192.168.1.8_POSEIDONSQL_APPFVT_01_tblFillRateFechas[[#This Row],[Cant_Resultante]]=Tabla__192.168.1.8_POSEIDONSQL_APPFVT_01_tblFillRateFechas[[#This Row],[cant_order]],1,0)</f>
        <v>0</v>
      </c>
      <c r="N1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" s="1">
        <f>+IF(AND(Tabla__192.168.1.8_POSEIDONSQL_APPFVT_01_tblFillRateFechas[[#This Row],[Valida Cant]]=1,Tabla__192.168.1.8_POSEIDONSQL_APPFVT_01_tblFillRateFechas[[#This Row],[Valida Fec]]=1),1,0)</f>
        <v>0</v>
      </c>
      <c r="P138" s="1">
        <f>+(Tabla__192.168.1.8_POSEIDONSQL_APPFVT_01_tblFillRateFechas[[#This Row],[Cant_Resultante]]/Tabla__192.168.1.8_POSEIDONSQL_APPFVT_01_tblFillRateFechas[[#This Row],[cant_order]])*100</f>
        <v>30.973451327433626</v>
      </c>
      <c r="Q1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105</v>
      </c>
      <c r="R1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105</v>
      </c>
      <c r="T1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234</v>
      </c>
      <c r="U138" s="1">
        <f>+IF(Tabla__192.168.1.8_POSEIDONSQL_APPFVT_01_tblFillRateFechas[[#This Row],[cant_order]]&gt;0,1,0)</f>
        <v>1</v>
      </c>
      <c r="V138" s="1">
        <f>+IF(Tabla__192.168.1.8_POSEIDONSQL_APPFVT_01_tblFillRateFechas[[#This Row],[Resultado]]=1,1,0)</f>
        <v>0</v>
      </c>
      <c r="W138" s="1" t="str">
        <f>+Tabla__192.168.1.8_POSEIDONSQL_APPFVT_01_tblFillRateFechas[[#This Row],[con_ocnumero]]&amp;Tabla__192.168.1.8_POSEIDONSQL_APPFVT_01_tblFillRateFechas[[#This Row],[con_codigounico]]</f>
        <v>8664524-</v>
      </c>
      <c r="X1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105</v>
      </c>
    </row>
    <row r="139" spans="1:24" x14ac:dyDescent="0.25">
      <c r="A139">
        <v>1</v>
      </c>
      <c r="B139" t="s">
        <v>55</v>
      </c>
      <c r="C139">
        <v>8664557</v>
      </c>
      <c r="D139" t="s">
        <v>1965</v>
      </c>
      <c r="E139" t="s">
        <v>162</v>
      </c>
      <c r="F139" t="s">
        <v>1980</v>
      </c>
      <c r="G139">
        <v>1</v>
      </c>
      <c r="H139">
        <v>1</v>
      </c>
      <c r="I139" t="s">
        <v>162</v>
      </c>
      <c r="J139">
        <v>0</v>
      </c>
      <c r="K139" t="s">
        <v>49</v>
      </c>
      <c r="L139" s="1">
        <f>+Tabla__192.168.1.8_POSEIDONSQL_APPFVT_01_tblFillRateFechas[[#This Row],[emb_cantidad]]-Tabla__192.168.1.8_POSEIDONSQL_APPFVT_01_tblFillRateFechas[[#This Row],[dev_cantidad]]</f>
        <v>1</v>
      </c>
      <c r="M139" s="1">
        <f>+IF(Tabla__192.168.1.8_POSEIDONSQL_APPFVT_01_tblFillRateFechas[[#This Row],[Cant_Resultante]]=Tabla__192.168.1.8_POSEIDONSQL_APPFVT_01_tblFillRateFechas[[#This Row],[cant_order]],1,0)</f>
        <v>1</v>
      </c>
      <c r="N1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" s="1">
        <f>+IF(AND(Tabla__192.168.1.8_POSEIDONSQL_APPFVT_01_tblFillRateFechas[[#This Row],[Valida Cant]]=1,Tabla__192.168.1.8_POSEIDONSQL_APPFVT_01_tblFillRateFechas[[#This Row],[Valida Fec]]=1),1,0)</f>
        <v>1</v>
      </c>
      <c r="P139" s="1">
        <f>+(Tabla__192.168.1.8_POSEIDONSQL_APPFVT_01_tblFillRateFechas[[#This Row],[Cant_Resultante]]/Tabla__192.168.1.8_POSEIDONSQL_APPFVT_01_tblFillRateFechas[[#This Row],[cant_order]])*100</f>
        <v>100</v>
      </c>
      <c r="Q1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" s="1">
        <f>+IF(Tabla__192.168.1.8_POSEIDONSQL_APPFVT_01_tblFillRateFechas[[#This Row],[cant_order]]&gt;0,1,0)</f>
        <v>1</v>
      </c>
      <c r="V139" s="1">
        <f>+IF(Tabla__192.168.1.8_POSEIDONSQL_APPFVT_01_tblFillRateFechas[[#This Row],[Resultado]]=1,1,0)</f>
        <v>1</v>
      </c>
      <c r="W139" s="1" t="str">
        <f>+Tabla__192.168.1.8_POSEIDONSQL_APPFVT_01_tblFillRateFechas[[#This Row],[con_ocnumero]]&amp;Tabla__192.168.1.8_POSEIDONSQL_APPFVT_01_tblFillRateFechas[[#This Row],[con_codigounico]]</f>
        <v>8664557-</v>
      </c>
      <c r="X1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" spans="1:24" x14ac:dyDescent="0.25">
      <c r="A140">
        <v>1</v>
      </c>
      <c r="B140" t="s">
        <v>55</v>
      </c>
      <c r="C140">
        <v>8665011</v>
      </c>
      <c r="D140" t="s">
        <v>1965</v>
      </c>
      <c r="E140" t="s">
        <v>162</v>
      </c>
      <c r="F140" t="s">
        <v>1980</v>
      </c>
      <c r="G140">
        <v>1</v>
      </c>
      <c r="H140">
        <v>1</v>
      </c>
      <c r="I140" t="s">
        <v>162</v>
      </c>
      <c r="J140">
        <v>0</v>
      </c>
      <c r="K140" t="s">
        <v>49</v>
      </c>
      <c r="L140" s="1">
        <f>+Tabla__192.168.1.8_POSEIDONSQL_APPFVT_01_tblFillRateFechas[[#This Row],[emb_cantidad]]-Tabla__192.168.1.8_POSEIDONSQL_APPFVT_01_tblFillRateFechas[[#This Row],[dev_cantidad]]</f>
        <v>1</v>
      </c>
      <c r="M140" s="1">
        <f>+IF(Tabla__192.168.1.8_POSEIDONSQL_APPFVT_01_tblFillRateFechas[[#This Row],[Cant_Resultante]]=Tabla__192.168.1.8_POSEIDONSQL_APPFVT_01_tblFillRateFechas[[#This Row],[cant_order]],1,0)</f>
        <v>1</v>
      </c>
      <c r="N1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" s="1">
        <f>+IF(AND(Tabla__192.168.1.8_POSEIDONSQL_APPFVT_01_tblFillRateFechas[[#This Row],[Valida Cant]]=1,Tabla__192.168.1.8_POSEIDONSQL_APPFVT_01_tblFillRateFechas[[#This Row],[Valida Fec]]=1),1,0)</f>
        <v>1</v>
      </c>
      <c r="P140" s="1">
        <f>+(Tabla__192.168.1.8_POSEIDONSQL_APPFVT_01_tblFillRateFechas[[#This Row],[Cant_Resultante]]/Tabla__192.168.1.8_POSEIDONSQL_APPFVT_01_tblFillRateFechas[[#This Row],[cant_order]])*100</f>
        <v>100</v>
      </c>
      <c r="Q1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" s="1">
        <f>+IF(Tabla__192.168.1.8_POSEIDONSQL_APPFVT_01_tblFillRateFechas[[#This Row],[cant_order]]&gt;0,1,0)</f>
        <v>1</v>
      </c>
      <c r="V140" s="1">
        <f>+IF(Tabla__192.168.1.8_POSEIDONSQL_APPFVT_01_tblFillRateFechas[[#This Row],[Resultado]]=1,1,0)</f>
        <v>1</v>
      </c>
      <c r="W140" s="1" t="str">
        <f>+Tabla__192.168.1.8_POSEIDONSQL_APPFVT_01_tblFillRateFechas[[#This Row],[con_ocnumero]]&amp;Tabla__192.168.1.8_POSEIDONSQL_APPFVT_01_tblFillRateFechas[[#This Row],[con_codigounico]]</f>
        <v>8665011-</v>
      </c>
      <c r="X1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" spans="1:24" x14ac:dyDescent="0.25">
      <c r="A141">
        <v>1</v>
      </c>
      <c r="B141" t="s">
        <v>55</v>
      </c>
      <c r="C141">
        <v>8665704</v>
      </c>
      <c r="D141" t="s">
        <v>1965</v>
      </c>
      <c r="E141" t="s">
        <v>162</v>
      </c>
      <c r="F141" t="s">
        <v>1977</v>
      </c>
      <c r="G141">
        <v>1</v>
      </c>
      <c r="H141">
        <v>1</v>
      </c>
      <c r="I141" t="s">
        <v>162</v>
      </c>
      <c r="J141">
        <v>0</v>
      </c>
      <c r="K141" t="s">
        <v>49</v>
      </c>
      <c r="L141" s="1">
        <f>+Tabla__192.168.1.8_POSEIDONSQL_APPFVT_01_tblFillRateFechas[[#This Row],[emb_cantidad]]-Tabla__192.168.1.8_POSEIDONSQL_APPFVT_01_tblFillRateFechas[[#This Row],[dev_cantidad]]</f>
        <v>1</v>
      </c>
      <c r="M141" s="1">
        <f>+IF(Tabla__192.168.1.8_POSEIDONSQL_APPFVT_01_tblFillRateFechas[[#This Row],[Cant_Resultante]]=Tabla__192.168.1.8_POSEIDONSQL_APPFVT_01_tblFillRateFechas[[#This Row],[cant_order]],1,0)</f>
        <v>1</v>
      </c>
      <c r="N1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" s="1">
        <f>+IF(AND(Tabla__192.168.1.8_POSEIDONSQL_APPFVT_01_tblFillRateFechas[[#This Row],[Valida Cant]]=1,Tabla__192.168.1.8_POSEIDONSQL_APPFVT_01_tblFillRateFechas[[#This Row],[Valida Fec]]=1),1,0)</f>
        <v>1</v>
      </c>
      <c r="P141" s="1">
        <f>+(Tabla__192.168.1.8_POSEIDONSQL_APPFVT_01_tblFillRateFechas[[#This Row],[Cant_Resultante]]/Tabla__192.168.1.8_POSEIDONSQL_APPFVT_01_tblFillRateFechas[[#This Row],[cant_order]])*100</f>
        <v>100</v>
      </c>
      <c r="Q1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" s="1">
        <f>+IF(Tabla__192.168.1.8_POSEIDONSQL_APPFVT_01_tblFillRateFechas[[#This Row],[cant_order]]&gt;0,1,0)</f>
        <v>1</v>
      </c>
      <c r="V141" s="1">
        <f>+IF(Tabla__192.168.1.8_POSEIDONSQL_APPFVT_01_tblFillRateFechas[[#This Row],[Resultado]]=1,1,0)</f>
        <v>1</v>
      </c>
      <c r="W141" s="1" t="str">
        <f>+Tabla__192.168.1.8_POSEIDONSQL_APPFVT_01_tblFillRateFechas[[#This Row],[con_ocnumero]]&amp;Tabla__192.168.1.8_POSEIDONSQL_APPFVT_01_tblFillRateFechas[[#This Row],[con_codigounico]]</f>
        <v>8665704-</v>
      </c>
      <c r="X1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" spans="1:24" x14ac:dyDescent="0.25">
      <c r="A142">
        <v>1</v>
      </c>
      <c r="B142" t="s">
        <v>55</v>
      </c>
      <c r="C142">
        <v>8665756</v>
      </c>
      <c r="D142" t="s">
        <v>1965</v>
      </c>
      <c r="E142" t="s">
        <v>415</v>
      </c>
      <c r="F142" t="s">
        <v>1977</v>
      </c>
      <c r="G142">
        <v>1</v>
      </c>
      <c r="H142">
        <v>1</v>
      </c>
      <c r="I142" t="s">
        <v>415</v>
      </c>
      <c r="J142">
        <v>0</v>
      </c>
      <c r="K142" t="s">
        <v>49</v>
      </c>
      <c r="L142" s="1">
        <f>+Tabla__192.168.1.8_POSEIDONSQL_APPFVT_01_tblFillRateFechas[[#This Row],[emb_cantidad]]-Tabla__192.168.1.8_POSEIDONSQL_APPFVT_01_tblFillRateFechas[[#This Row],[dev_cantidad]]</f>
        <v>1</v>
      </c>
      <c r="M142" s="1">
        <f>+IF(Tabla__192.168.1.8_POSEIDONSQL_APPFVT_01_tblFillRateFechas[[#This Row],[Cant_Resultante]]=Tabla__192.168.1.8_POSEIDONSQL_APPFVT_01_tblFillRateFechas[[#This Row],[cant_order]],1,0)</f>
        <v>1</v>
      </c>
      <c r="N1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" s="1">
        <f>+IF(AND(Tabla__192.168.1.8_POSEIDONSQL_APPFVT_01_tblFillRateFechas[[#This Row],[Valida Cant]]=1,Tabla__192.168.1.8_POSEIDONSQL_APPFVT_01_tblFillRateFechas[[#This Row],[Valida Fec]]=1),1,0)</f>
        <v>1</v>
      </c>
      <c r="P142" s="1">
        <f>+(Tabla__192.168.1.8_POSEIDONSQL_APPFVT_01_tblFillRateFechas[[#This Row],[Cant_Resultante]]/Tabla__192.168.1.8_POSEIDONSQL_APPFVT_01_tblFillRateFechas[[#This Row],[cant_order]])*100</f>
        <v>100</v>
      </c>
      <c r="Q1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" s="1">
        <f>+IF(Tabla__192.168.1.8_POSEIDONSQL_APPFVT_01_tblFillRateFechas[[#This Row],[cant_order]]&gt;0,1,0)</f>
        <v>1</v>
      </c>
      <c r="V142" s="1">
        <f>+IF(Tabla__192.168.1.8_POSEIDONSQL_APPFVT_01_tblFillRateFechas[[#This Row],[Resultado]]=1,1,0)</f>
        <v>1</v>
      </c>
      <c r="W142" s="1" t="str">
        <f>+Tabla__192.168.1.8_POSEIDONSQL_APPFVT_01_tblFillRateFechas[[#This Row],[con_ocnumero]]&amp;Tabla__192.168.1.8_POSEIDONSQL_APPFVT_01_tblFillRateFechas[[#This Row],[con_codigounico]]</f>
        <v>8665756-</v>
      </c>
      <c r="X1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" spans="1:24" x14ac:dyDescent="0.25">
      <c r="A143">
        <v>1</v>
      </c>
      <c r="B143" t="s">
        <v>55</v>
      </c>
      <c r="C143">
        <v>8666231</v>
      </c>
      <c r="D143" t="s">
        <v>1980</v>
      </c>
      <c r="E143" t="s">
        <v>162</v>
      </c>
      <c r="F143" t="s">
        <v>1977</v>
      </c>
      <c r="G143">
        <v>1</v>
      </c>
      <c r="H143">
        <v>1</v>
      </c>
      <c r="I143" t="s">
        <v>162</v>
      </c>
      <c r="J143">
        <v>0</v>
      </c>
      <c r="K143" t="s">
        <v>49</v>
      </c>
      <c r="L143" s="1">
        <f>+Tabla__192.168.1.8_POSEIDONSQL_APPFVT_01_tblFillRateFechas[[#This Row],[emb_cantidad]]-Tabla__192.168.1.8_POSEIDONSQL_APPFVT_01_tblFillRateFechas[[#This Row],[dev_cantidad]]</f>
        <v>1</v>
      </c>
      <c r="M143" s="1">
        <f>+IF(Tabla__192.168.1.8_POSEIDONSQL_APPFVT_01_tblFillRateFechas[[#This Row],[Cant_Resultante]]=Tabla__192.168.1.8_POSEIDONSQL_APPFVT_01_tblFillRateFechas[[#This Row],[cant_order]],1,0)</f>
        <v>1</v>
      </c>
      <c r="N1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3" s="1">
        <f>+IF(AND(Tabla__192.168.1.8_POSEIDONSQL_APPFVT_01_tblFillRateFechas[[#This Row],[Valida Cant]]=1,Tabla__192.168.1.8_POSEIDONSQL_APPFVT_01_tblFillRateFechas[[#This Row],[Valida Fec]]=1),1,0)</f>
        <v>1</v>
      </c>
      <c r="P143" s="1">
        <f>+(Tabla__192.168.1.8_POSEIDONSQL_APPFVT_01_tblFillRateFechas[[#This Row],[Cant_Resultante]]/Tabla__192.168.1.8_POSEIDONSQL_APPFVT_01_tblFillRateFechas[[#This Row],[cant_order]])*100</f>
        <v>100</v>
      </c>
      <c r="Q1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" s="1">
        <f>+IF(Tabla__192.168.1.8_POSEIDONSQL_APPFVT_01_tblFillRateFechas[[#This Row],[cant_order]]&gt;0,1,0)</f>
        <v>1</v>
      </c>
      <c r="V143" s="1">
        <f>+IF(Tabla__192.168.1.8_POSEIDONSQL_APPFVT_01_tblFillRateFechas[[#This Row],[Resultado]]=1,1,0)</f>
        <v>1</v>
      </c>
      <c r="W143" s="1" t="str">
        <f>+Tabla__192.168.1.8_POSEIDONSQL_APPFVT_01_tblFillRateFechas[[#This Row],[con_ocnumero]]&amp;Tabla__192.168.1.8_POSEIDONSQL_APPFVT_01_tblFillRateFechas[[#This Row],[con_codigounico]]</f>
        <v>8666231-</v>
      </c>
      <c r="X1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" spans="1:24" x14ac:dyDescent="0.25">
      <c r="A144">
        <v>1</v>
      </c>
      <c r="B144" t="s">
        <v>55</v>
      </c>
      <c r="C144">
        <v>8667241</v>
      </c>
      <c r="D144" t="s">
        <v>1980</v>
      </c>
      <c r="E144" t="s">
        <v>162</v>
      </c>
      <c r="F144" t="s">
        <v>1977</v>
      </c>
      <c r="G144">
        <v>1</v>
      </c>
      <c r="H144">
        <v>1</v>
      </c>
      <c r="I144" t="s">
        <v>162</v>
      </c>
      <c r="J144">
        <v>0</v>
      </c>
      <c r="K144" t="s">
        <v>49</v>
      </c>
      <c r="L144" s="1">
        <f>+Tabla__192.168.1.8_POSEIDONSQL_APPFVT_01_tblFillRateFechas[[#This Row],[emb_cantidad]]-Tabla__192.168.1.8_POSEIDONSQL_APPFVT_01_tblFillRateFechas[[#This Row],[dev_cantidad]]</f>
        <v>1</v>
      </c>
      <c r="M144" s="1">
        <f>+IF(Tabla__192.168.1.8_POSEIDONSQL_APPFVT_01_tblFillRateFechas[[#This Row],[Cant_Resultante]]=Tabla__192.168.1.8_POSEIDONSQL_APPFVT_01_tblFillRateFechas[[#This Row],[cant_order]],1,0)</f>
        <v>1</v>
      </c>
      <c r="N1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" s="1">
        <f>+IF(AND(Tabla__192.168.1.8_POSEIDONSQL_APPFVT_01_tblFillRateFechas[[#This Row],[Valida Cant]]=1,Tabla__192.168.1.8_POSEIDONSQL_APPFVT_01_tblFillRateFechas[[#This Row],[Valida Fec]]=1),1,0)</f>
        <v>1</v>
      </c>
      <c r="P144" s="1">
        <f>+(Tabla__192.168.1.8_POSEIDONSQL_APPFVT_01_tblFillRateFechas[[#This Row],[Cant_Resultante]]/Tabla__192.168.1.8_POSEIDONSQL_APPFVT_01_tblFillRateFechas[[#This Row],[cant_order]])*100</f>
        <v>100</v>
      </c>
      <c r="Q1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" s="1">
        <f>+IF(Tabla__192.168.1.8_POSEIDONSQL_APPFVT_01_tblFillRateFechas[[#This Row],[cant_order]]&gt;0,1,0)</f>
        <v>1</v>
      </c>
      <c r="V144" s="1">
        <f>+IF(Tabla__192.168.1.8_POSEIDONSQL_APPFVT_01_tblFillRateFechas[[#This Row],[Resultado]]=1,1,0)</f>
        <v>1</v>
      </c>
      <c r="W144" s="1" t="str">
        <f>+Tabla__192.168.1.8_POSEIDONSQL_APPFVT_01_tblFillRateFechas[[#This Row],[con_ocnumero]]&amp;Tabla__192.168.1.8_POSEIDONSQL_APPFVT_01_tblFillRateFechas[[#This Row],[con_codigounico]]</f>
        <v>8667241-</v>
      </c>
      <c r="X1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" spans="1:24" x14ac:dyDescent="0.25">
      <c r="A145">
        <v>1</v>
      </c>
      <c r="B145" t="s">
        <v>55</v>
      </c>
      <c r="C145">
        <v>8668609</v>
      </c>
      <c r="D145" t="s">
        <v>1977</v>
      </c>
      <c r="E145" t="s">
        <v>160</v>
      </c>
      <c r="F145" t="s">
        <v>1962</v>
      </c>
      <c r="G145">
        <v>46</v>
      </c>
      <c r="H145">
        <v>46</v>
      </c>
      <c r="I145" t="s">
        <v>160</v>
      </c>
      <c r="J145">
        <v>0</v>
      </c>
      <c r="K145" t="s">
        <v>49</v>
      </c>
      <c r="L145" s="1">
        <f>+Tabla__192.168.1.8_POSEIDONSQL_APPFVT_01_tblFillRateFechas[[#This Row],[emb_cantidad]]-Tabla__192.168.1.8_POSEIDONSQL_APPFVT_01_tblFillRateFechas[[#This Row],[dev_cantidad]]</f>
        <v>46</v>
      </c>
      <c r="M145" s="1">
        <f>+IF(Tabla__192.168.1.8_POSEIDONSQL_APPFVT_01_tblFillRateFechas[[#This Row],[Cant_Resultante]]=Tabla__192.168.1.8_POSEIDONSQL_APPFVT_01_tblFillRateFechas[[#This Row],[cant_order]],1,0)</f>
        <v>1</v>
      </c>
      <c r="N1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" s="1">
        <f>+IF(AND(Tabla__192.168.1.8_POSEIDONSQL_APPFVT_01_tblFillRateFechas[[#This Row],[Valida Cant]]=1,Tabla__192.168.1.8_POSEIDONSQL_APPFVT_01_tblFillRateFechas[[#This Row],[Valida Fec]]=1),1,0)</f>
        <v>1</v>
      </c>
      <c r="P145" s="1">
        <f>+(Tabla__192.168.1.8_POSEIDONSQL_APPFVT_01_tblFillRateFechas[[#This Row],[Cant_Resultante]]/Tabla__192.168.1.8_POSEIDONSQL_APPFVT_01_tblFillRateFechas[[#This Row],[cant_order]])*100</f>
        <v>100</v>
      </c>
      <c r="Q1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46</v>
      </c>
      <c r="R1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46</v>
      </c>
      <c r="T1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" s="1">
        <f>+IF(Tabla__192.168.1.8_POSEIDONSQL_APPFVT_01_tblFillRateFechas[[#This Row],[cant_order]]&gt;0,1,0)</f>
        <v>1</v>
      </c>
      <c r="V145" s="1">
        <f>+IF(Tabla__192.168.1.8_POSEIDONSQL_APPFVT_01_tblFillRateFechas[[#This Row],[Resultado]]=1,1,0)</f>
        <v>1</v>
      </c>
      <c r="W145" s="1" t="str">
        <f>+Tabla__192.168.1.8_POSEIDONSQL_APPFVT_01_tblFillRateFechas[[#This Row],[con_ocnumero]]&amp;Tabla__192.168.1.8_POSEIDONSQL_APPFVT_01_tblFillRateFechas[[#This Row],[con_codigounico]]</f>
        <v>8668609-</v>
      </c>
      <c r="X1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46</v>
      </c>
    </row>
    <row r="146" spans="1:24" x14ac:dyDescent="0.25">
      <c r="A146">
        <v>1</v>
      </c>
      <c r="B146" t="s">
        <v>55</v>
      </c>
      <c r="C146">
        <v>8668940</v>
      </c>
      <c r="D146" t="s">
        <v>1977</v>
      </c>
      <c r="E146" t="s">
        <v>161</v>
      </c>
      <c r="F146" t="s">
        <v>1962</v>
      </c>
      <c r="G146">
        <v>1</v>
      </c>
      <c r="H146">
        <v>1</v>
      </c>
      <c r="I146" t="s">
        <v>161</v>
      </c>
      <c r="J146">
        <v>0</v>
      </c>
      <c r="K146" t="s">
        <v>49</v>
      </c>
      <c r="L146" s="1">
        <f>+Tabla__192.168.1.8_POSEIDONSQL_APPFVT_01_tblFillRateFechas[[#This Row],[emb_cantidad]]-Tabla__192.168.1.8_POSEIDONSQL_APPFVT_01_tblFillRateFechas[[#This Row],[dev_cantidad]]</f>
        <v>1</v>
      </c>
      <c r="M146" s="1">
        <f>+IF(Tabla__192.168.1.8_POSEIDONSQL_APPFVT_01_tblFillRateFechas[[#This Row],[Cant_Resultante]]=Tabla__192.168.1.8_POSEIDONSQL_APPFVT_01_tblFillRateFechas[[#This Row],[cant_order]],1,0)</f>
        <v>1</v>
      </c>
      <c r="N1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" s="1">
        <f>+IF(AND(Tabla__192.168.1.8_POSEIDONSQL_APPFVT_01_tblFillRateFechas[[#This Row],[Valida Cant]]=1,Tabla__192.168.1.8_POSEIDONSQL_APPFVT_01_tblFillRateFechas[[#This Row],[Valida Fec]]=1),1,0)</f>
        <v>1</v>
      </c>
      <c r="P146" s="1">
        <f>+(Tabla__192.168.1.8_POSEIDONSQL_APPFVT_01_tblFillRateFechas[[#This Row],[Cant_Resultante]]/Tabla__192.168.1.8_POSEIDONSQL_APPFVT_01_tblFillRateFechas[[#This Row],[cant_order]])*100</f>
        <v>100</v>
      </c>
      <c r="Q1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" s="1">
        <f>+IF(Tabla__192.168.1.8_POSEIDONSQL_APPFVT_01_tblFillRateFechas[[#This Row],[cant_order]]&gt;0,1,0)</f>
        <v>1</v>
      </c>
      <c r="V146" s="1">
        <f>+IF(Tabla__192.168.1.8_POSEIDONSQL_APPFVT_01_tblFillRateFechas[[#This Row],[Resultado]]=1,1,0)</f>
        <v>1</v>
      </c>
      <c r="W146" s="1" t="str">
        <f>+Tabla__192.168.1.8_POSEIDONSQL_APPFVT_01_tblFillRateFechas[[#This Row],[con_ocnumero]]&amp;Tabla__192.168.1.8_POSEIDONSQL_APPFVT_01_tblFillRateFechas[[#This Row],[con_codigounico]]</f>
        <v>8668940-</v>
      </c>
      <c r="X1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7" spans="1:24" x14ac:dyDescent="0.25">
      <c r="A147">
        <v>1</v>
      </c>
      <c r="B147" t="s">
        <v>55</v>
      </c>
      <c r="C147">
        <v>8669264</v>
      </c>
      <c r="D147" t="s">
        <v>1977</v>
      </c>
      <c r="E147" t="s">
        <v>427</v>
      </c>
      <c r="F147" t="s">
        <v>1962</v>
      </c>
      <c r="G147">
        <v>14</v>
      </c>
      <c r="H147">
        <v>10</v>
      </c>
      <c r="I147" t="s">
        <v>162</v>
      </c>
      <c r="J147">
        <v>0</v>
      </c>
      <c r="K147" t="s">
        <v>49</v>
      </c>
      <c r="L147" s="1">
        <f>+Tabla__192.168.1.8_POSEIDONSQL_APPFVT_01_tblFillRateFechas[[#This Row],[emb_cantidad]]-Tabla__192.168.1.8_POSEIDONSQL_APPFVT_01_tblFillRateFechas[[#This Row],[dev_cantidad]]</f>
        <v>10</v>
      </c>
      <c r="M147" s="1">
        <f>+IF(Tabla__192.168.1.8_POSEIDONSQL_APPFVT_01_tblFillRateFechas[[#This Row],[Cant_Resultante]]=Tabla__192.168.1.8_POSEIDONSQL_APPFVT_01_tblFillRateFechas[[#This Row],[cant_order]],1,0)</f>
        <v>0</v>
      </c>
      <c r="N1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7" s="1">
        <f>+IF(AND(Tabla__192.168.1.8_POSEIDONSQL_APPFVT_01_tblFillRateFechas[[#This Row],[Valida Cant]]=1,Tabla__192.168.1.8_POSEIDONSQL_APPFVT_01_tblFillRateFechas[[#This Row],[Valida Fec]]=1),1,0)</f>
        <v>0</v>
      </c>
      <c r="P147" s="1">
        <f>+(Tabla__192.168.1.8_POSEIDONSQL_APPFVT_01_tblFillRateFechas[[#This Row],[Cant_Resultante]]/Tabla__192.168.1.8_POSEIDONSQL_APPFVT_01_tblFillRateFechas[[#This Row],[cant_order]])*100</f>
        <v>71.428571428571431</v>
      </c>
      <c r="Q1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</v>
      </c>
      <c r="R1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</v>
      </c>
      <c r="T1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4</v>
      </c>
      <c r="U147" s="1">
        <f>+IF(Tabla__192.168.1.8_POSEIDONSQL_APPFVT_01_tblFillRateFechas[[#This Row],[cant_order]]&gt;0,1,0)</f>
        <v>1</v>
      </c>
      <c r="V147" s="1">
        <f>+IF(Tabla__192.168.1.8_POSEIDONSQL_APPFVT_01_tblFillRateFechas[[#This Row],[Resultado]]=1,1,0)</f>
        <v>0</v>
      </c>
      <c r="W147" s="1" t="str">
        <f>+Tabla__192.168.1.8_POSEIDONSQL_APPFVT_01_tblFillRateFechas[[#This Row],[con_ocnumero]]&amp;Tabla__192.168.1.8_POSEIDONSQL_APPFVT_01_tblFillRateFechas[[#This Row],[con_codigounico]]</f>
        <v>8669264-</v>
      </c>
      <c r="X1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</v>
      </c>
    </row>
    <row r="148" spans="1:24" x14ac:dyDescent="0.25">
      <c r="A148">
        <v>1</v>
      </c>
      <c r="B148" t="s">
        <v>55</v>
      </c>
      <c r="C148">
        <v>8669326</v>
      </c>
      <c r="D148" t="s">
        <v>1977</v>
      </c>
      <c r="E148" t="s">
        <v>161</v>
      </c>
      <c r="F148" t="s">
        <v>1962</v>
      </c>
      <c r="G148">
        <v>1</v>
      </c>
      <c r="H148">
        <v>1</v>
      </c>
      <c r="I148" t="s">
        <v>161</v>
      </c>
      <c r="J148">
        <v>0</v>
      </c>
      <c r="K148" t="s">
        <v>49</v>
      </c>
      <c r="L148" s="1">
        <f>+Tabla__192.168.1.8_POSEIDONSQL_APPFVT_01_tblFillRateFechas[[#This Row],[emb_cantidad]]-Tabla__192.168.1.8_POSEIDONSQL_APPFVT_01_tblFillRateFechas[[#This Row],[dev_cantidad]]</f>
        <v>1</v>
      </c>
      <c r="M148" s="1">
        <f>+IF(Tabla__192.168.1.8_POSEIDONSQL_APPFVT_01_tblFillRateFechas[[#This Row],[Cant_Resultante]]=Tabla__192.168.1.8_POSEIDONSQL_APPFVT_01_tblFillRateFechas[[#This Row],[cant_order]],1,0)</f>
        <v>1</v>
      </c>
      <c r="N1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8" s="1">
        <f>+IF(AND(Tabla__192.168.1.8_POSEIDONSQL_APPFVT_01_tblFillRateFechas[[#This Row],[Valida Cant]]=1,Tabla__192.168.1.8_POSEIDONSQL_APPFVT_01_tblFillRateFechas[[#This Row],[Valida Fec]]=1),1,0)</f>
        <v>1</v>
      </c>
      <c r="P148" s="1">
        <f>+(Tabla__192.168.1.8_POSEIDONSQL_APPFVT_01_tblFillRateFechas[[#This Row],[Cant_Resultante]]/Tabla__192.168.1.8_POSEIDONSQL_APPFVT_01_tblFillRateFechas[[#This Row],[cant_order]])*100</f>
        <v>100</v>
      </c>
      <c r="Q1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8" s="1">
        <f>+IF(Tabla__192.168.1.8_POSEIDONSQL_APPFVT_01_tblFillRateFechas[[#This Row],[cant_order]]&gt;0,1,0)</f>
        <v>1</v>
      </c>
      <c r="V148" s="1">
        <f>+IF(Tabla__192.168.1.8_POSEIDONSQL_APPFVT_01_tblFillRateFechas[[#This Row],[Resultado]]=1,1,0)</f>
        <v>1</v>
      </c>
      <c r="W148" s="1" t="str">
        <f>+Tabla__192.168.1.8_POSEIDONSQL_APPFVT_01_tblFillRateFechas[[#This Row],[con_ocnumero]]&amp;Tabla__192.168.1.8_POSEIDONSQL_APPFVT_01_tblFillRateFechas[[#This Row],[con_codigounico]]</f>
        <v>8669326-</v>
      </c>
      <c r="X1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9" spans="1:24" x14ac:dyDescent="0.25">
      <c r="A149">
        <v>1</v>
      </c>
      <c r="B149" t="s">
        <v>55</v>
      </c>
      <c r="C149">
        <v>8669502</v>
      </c>
      <c r="D149" t="s">
        <v>1977</v>
      </c>
      <c r="E149" t="s">
        <v>161</v>
      </c>
      <c r="F149" t="s">
        <v>1962</v>
      </c>
      <c r="G149">
        <v>1</v>
      </c>
      <c r="H149">
        <v>1</v>
      </c>
      <c r="I149" t="s">
        <v>161</v>
      </c>
      <c r="J149">
        <v>0</v>
      </c>
      <c r="K149" t="s">
        <v>49</v>
      </c>
      <c r="L149" s="1">
        <f>+Tabla__192.168.1.8_POSEIDONSQL_APPFVT_01_tblFillRateFechas[[#This Row],[emb_cantidad]]-Tabla__192.168.1.8_POSEIDONSQL_APPFVT_01_tblFillRateFechas[[#This Row],[dev_cantidad]]</f>
        <v>1</v>
      </c>
      <c r="M149" s="1">
        <f>+IF(Tabla__192.168.1.8_POSEIDONSQL_APPFVT_01_tblFillRateFechas[[#This Row],[Cant_Resultante]]=Tabla__192.168.1.8_POSEIDONSQL_APPFVT_01_tblFillRateFechas[[#This Row],[cant_order]],1,0)</f>
        <v>1</v>
      </c>
      <c r="N1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9" s="1">
        <f>+IF(AND(Tabla__192.168.1.8_POSEIDONSQL_APPFVT_01_tblFillRateFechas[[#This Row],[Valida Cant]]=1,Tabla__192.168.1.8_POSEIDONSQL_APPFVT_01_tblFillRateFechas[[#This Row],[Valida Fec]]=1),1,0)</f>
        <v>1</v>
      </c>
      <c r="P149" s="1">
        <f>+(Tabla__192.168.1.8_POSEIDONSQL_APPFVT_01_tblFillRateFechas[[#This Row],[Cant_Resultante]]/Tabla__192.168.1.8_POSEIDONSQL_APPFVT_01_tblFillRateFechas[[#This Row],[cant_order]])*100</f>
        <v>100</v>
      </c>
      <c r="Q1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9" s="1">
        <f>+IF(Tabla__192.168.1.8_POSEIDONSQL_APPFVT_01_tblFillRateFechas[[#This Row],[cant_order]]&gt;0,1,0)</f>
        <v>1</v>
      </c>
      <c r="V149" s="1">
        <f>+IF(Tabla__192.168.1.8_POSEIDONSQL_APPFVT_01_tblFillRateFechas[[#This Row],[Resultado]]=1,1,0)</f>
        <v>1</v>
      </c>
      <c r="W149" s="1" t="str">
        <f>+Tabla__192.168.1.8_POSEIDONSQL_APPFVT_01_tblFillRateFechas[[#This Row],[con_ocnumero]]&amp;Tabla__192.168.1.8_POSEIDONSQL_APPFVT_01_tblFillRateFechas[[#This Row],[con_codigounico]]</f>
        <v>8669502-</v>
      </c>
      <c r="X1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0" spans="1:24" x14ac:dyDescent="0.25">
      <c r="A150">
        <v>1</v>
      </c>
      <c r="B150" t="s">
        <v>55</v>
      </c>
      <c r="C150">
        <v>8669965</v>
      </c>
      <c r="D150" t="s">
        <v>1977</v>
      </c>
      <c r="E150" t="s">
        <v>161</v>
      </c>
      <c r="F150" t="s">
        <v>1963</v>
      </c>
      <c r="G150">
        <v>1</v>
      </c>
      <c r="H150">
        <v>1</v>
      </c>
      <c r="I150" t="s">
        <v>161</v>
      </c>
      <c r="J150">
        <v>0</v>
      </c>
      <c r="K150" t="s">
        <v>49</v>
      </c>
      <c r="L150" s="1">
        <f>+Tabla__192.168.1.8_POSEIDONSQL_APPFVT_01_tblFillRateFechas[[#This Row],[emb_cantidad]]-Tabla__192.168.1.8_POSEIDONSQL_APPFVT_01_tblFillRateFechas[[#This Row],[dev_cantidad]]</f>
        <v>1</v>
      </c>
      <c r="M150" s="1">
        <f>+IF(Tabla__192.168.1.8_POSEIDONSQL_APPFVT_01_tblFillRateFechas[[#This Row],[Cant_Resultante]]=Tabla__192.168.1.8_POSEIDONSQL_APPFVT_01_tblFillRateFechas[[#This Row],[cant_order]],1,0)</f>
        <v>1</v>
      </c>
      <c r="N1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0" s="1">
        <f>+IF(AND(Tabla__192.168.1.8_POSEIDONSQL_APPFVT_01_tblFillRateFechas[[#This Row],[Valida Cant]]=1,Tabla__192.168.1.8_POSEIDONSQL_APPFVT_01_tblFillRateFechas[[#This Row],[Valida Fec]]=1),1,0)</f>
        <v>1</v>
      </c>
      <c r="P150" s="1">
        <f>+(Tabla__192.168.1.8_POSEIDONSQL_APPFVT_01_tblFillRateFechas[[#This Row],[Cant_Resultante]]/Tabla__192.168.1.8_POSEIDONSQL_APPFVT_01_tblFillRateFechas[[#This Row],[cant_order]])*100</f>
        <v>100</v>
      </c>
      <c r="Q1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0" s="1">
        <f>+IF(Tabla__192.168.1.8_POSEIDONSQL_APPFVT_01_tblFillRateFechas[[#This Row],[cant_order]]&gt;0,1,0)</f>
        <v>1</v>
      </c>
      <c r="V150" s="1">
        <f>+IF(Tabla__192.168.1.8_POSEIDONSQL_APPFVT_01_tblFillRateFechas[[#This Row],[Resultado]]=1,1,0)</f>
        <v>1</v>
      </c>
      <c r="W150" s="1" t="str">
        <f>+Tabla__192.168.1.8_POSEIDONSQL_APPFVT_01_tblFillRateFechas[[#This Row],[con_ocnumero]]&amp;Tabla__192.168.1.8_POSEIDONSQL_APPFVT_01_tblFillRateFechas[[#This Row],[con_codigounico]]</f>
        <v>8669965-</v>
      </c>
      <c r="X1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1" spans="1:24" x14ac:dyDescent="0.25">
      <c r="A151">
        <v>1</v>
      </c>
      <c r="B151" t="s">
        <v>55</v>
      </c>
      <c r="C151">
        <v>8670253</v>
      </c>
      <c r="D151" t="s">
        <v>1962</v>
      </c>
      <c r="E151" t="s">
        <v>161</v>
      </c>
      <c r="F151" t="s">
        <v>1963</v>
      </c>
      <c r="G151">
        <v>1</v>
      </c>
      <c r="H151">
        <v>1</v>
      </c>
      <c r="I151" t="s">
        <v>161</v>
      </c>
      <c r="J151">
        <v>0</v>
      </c>
      <c r="K151" t="s">
        <v>49</v>
      </c>
      <c r="L151" s="1">
        <f>+Tabla__192.168.1.8_POSEIDONSQL_APPFVT_01_tblFillRateFechas[[#This Row],[emb_cantidad]]-Tabla__192.168.1.8_POSEIDONSQL_APPFVT_01_tblFillRateFechas[[#This Row],[dev_cantidad]]</f>
        <v>1</v>
      </c>
      <c r="M151" s="1">
        <f>+IF(Tabla__192.168.1.8_POSEIDONSQL_APPFVT_01_tblFillRateFechas[[#This Row],[Cant_Resultante]]=Tabla__192.168.1.8_POSEIDONSQL_APPFVT_01_tblFillRateFechas[[#This Row],[cant_order]],1,0)</f>
        <v>1</v>
      </c>
      <c r="N1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1" s="1">
        <f>+IF(AND(Tabla__192.168.1.8_POSEIDONSQL_APPFVT_01_tblFillRateFechas[[#This Row],[Valida Cant]]=1,Tabla__192.168.1.8_POSEIDONSQL_APPFVT_01_tblFillRateFechas[[#This Row],[Valida Fec]]=1),1,0)</f>
        <v>1</v>
      </c>
      <c r="P151" s="1">
        <f>+(Tabla__192.168.1.8_POSEIDONSQL_APPFVT_01_tblFillRateFechas[[#This Row],[Cant_Resultante]]/Tabla__192.168.1.8_POSEIDONSQL_APPFVT_01_tblFillRateFechas[[#This Row],[cant_order]])*100</f>
        <v>100</v>
      </c>
      <c r="Q1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1" s="1">
        <f>+IF(Tabla__192.168.1.8_POSEIDONSQL_APPFVT_01_tblFillRateFechas[[#This Row],[cant_order]]&gt;0,1,0)</f>
        <v>1</v>
      </c>
      <c r="V151" s="1">
        <f>+IF(Tabla__192.168.1.8_POSEIDONSQL_APPFVT_01_tblFillRateFechas[[#This Row],[Resultado]]=1,1,0)</f>
        <v>1</v>
      </c>
      <c r="W151" s="1" t="str">
        <f>+Tabla__192.168.1.8_POSEIDONSQL_APPFVT_01_tblFillRateFechas[[#This Row],[con_ocnumero]]&amp;Tabla__192.168.1.8_POSEIDONSQL_APPFVT_01_tblFillRateFechas[[#This Row],[con_codigounico]]</f>
        <v>8670253-</v>
      </c>
      <c r="X1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2" spans="1:24" x14ac:dyDescent="0.25">
      <c r="A152">
        <v>1</v>
      </c>
      <c r="B152" t="s">
        <v>55</v>
      </c>
      <c r="C152">
        <v>8672092</v>
      </c>
      <c r="D152" t="s">
        <v>1962</v>
      </c>
      <c r="E152" t="s">
        <v>425</v>
      </c>
      <c r="F152" t="s">
        <v>1963</v>
      </c>
      <c r="G152">
        <v>1</v>
      </c>
      <c r="H152">
        <v>1</v>
      </c>
      <c r="I152" t="s">
        <v>425</v>
      </c>
      <c r="J152">
        <v>0</v>
      </c>
      <c r="K152" t="s">
        <v>49</v>
      </c>
      <c r="L152" s="1">
        <f>+Tabla__192.168.1.8_POSEIDONSQL_APPFVT_01_tblFillRateFechas[[#This Row],[emb_cantidad]]-Tabla__192.168.1.8_POSEIDONSQL_APPFVT_01_tblFillRateFechas[[#This Row],[dev_cantidad]]</f>
        <v>1</v>
      </c>
      <c r="M152" s="1">
        <f>+IF(Tabla__192.168.1.8_POSEIDONSQL_APPFVT_01_tblFillRateFechas[[#This Row],[Cant_Resultante]]=Tabla__192.168.1.8_POSEIDONSQL_APPFVT_01_tblFillRateFechas[[#This Row],[cant_order]],1,0)</f>
        <v>1</v>
      </c>
      <c r="N1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2" s="1">
        <f>+IF(AND(Tabla__192.168.1.8_POSEIDONSQL_APPFVT_01_tblFillRateFechas[[#This Row],[Valida Cant]]=1,Tabla__192.168.1.8_POSEIDONSQL_APPFVT_01_tblFillRateFechas[[#This Row],[Valida Fec]]=1),1,0)</f>
        <v>1</v>
      </c>
      <c r="P152" s="1">
        <f>+(Tabla__192.168.1.8_POSEIDONSQL_APPFVT_01_tblFillRateFechas[[#This Row],[Cant_Resultante]]/Tabla__192.168.1.8_POSEIDONSQL_APPFVT_01_tblFillRateFechas[[#This Row],[cant_order]])*100</f>
        <v>100</v>
      </c>
      <c r="Q1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2" s="1">
        <f>+IF(Tabla__192.168.1.8_POSEIDONSQL_APPFVT_01_tblFillRateFechas[[#This Row],[cant_order]]&gt;0,1,0)</f>
        <v>1</v>
      </c>
      <c r="V152" s="1">
        <f>+IF(Tabla__192.168.1.8_POSEIDONSQL_APPFVT_01_tblFillRateFechas[[#This Row],[Resultado]]=1,1,0)</f>
        <v>1</v>
      </c>
      <c r="W152" s="1" t="str">
        <f>+Tabla__192.168.1.8_POSEIDONSQL_APPFVT_01_tblFillRateFechas[[#This Row],[con_ocnumero]]&amp;Tabla__192.168.1.8_POSEIDONSQL_APPFVT_01_tblFillRateFechas[[#This Row],[con_codigounico]]</f>
        <v>8672092-</v>
      </c>
      <c r="X1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3" spans="1:24" x14ac:dyDescent="0.25">
      <c r="A153">
        <v>1</v>
      </c>
      <c r="B153" t="s">
        <v>55</v>
      </c>
      <c r="C153">
        <v>8672097</v>
      </c>
      <c r="D153" t="s">
        <v>1962</v>
      </c>
      <c r="E153" t="s">
        <v>425</v>
      </c>
      <c r="F153" t="s">
        <v>1963</v>
      </c>
      <c r="G153">
        <v>1</v>
      </c>
      <c r="H153">
        <v>1</v>
      </c>
      <c r="I153" t="s">
        <v>425</v>
      </c>
      <c r="J153">
        <v>0</v>
      </c>
      <c r="K153" t="s">
        <v>49</v>
      </c>
      <c r="L153" s="1">
        <f>+Tabla__192.168.1.8_POSEIDONSQL_APPFVT_01_tblFillRateFechas[[#This Row],[emb_cantidad]]-Tabla__192.168.1.8_POSEIDONSQL_APPFVT_01_tblFillRateFechas[[#This Row],[dev_cantidad]]</f>
        <v>1</v>
      </c>
      <c r="M153" s="1">
        <f>+IF(Tabla__192.168.1.8_POSEIDONSQL_APPFVT_01_tblFillRateFechas[[#This Row],[Cant_Resultante]]=Tabla__192.168.1.8_POSEIDONSQL_APPFVT_01_tblFillRateFechas[[#This Row],[cant_order]],1,0)</f>
        <v>1</v>
      </c>
      <c r="N1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3" s="1">
        <f>+IF(AND(Tabla__192.168.1.8_POSEIDONSQL_APPFVT_01_tblFillRateFechas[[#This Row],[Valida Cant]]=1,Tabla__192.168.1.8_POSEIDONSQL_APPFVT_01_tblFillRateFechas[[#This Row],[Valida Fec]]=1),1,0)</f>
        <v>1</v>
      </c>
      <c r="P153" s="1">
        <f>+(Tabla__192.168.1.8_POSEIDONSQL_APPFVT_01_tblFillRateFechas[[#This Row],[Cant_Resultante]]/Tabla__192.168.1.8_POSEIDONSQL_APPFVT_01_tblFillRateFechas[[#This Row],[cant_order]])*100</f>
        <v>100</v>
      </c>
      <c r="Q1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3" s="1">
        <f>+IF(Tabla__192.168.1.8_POSEIDONSQL_APPFVT_01_tblFillRateFechas[[#This Row],[cant_order]]&gt;0,1,0)</f>
        <v>1</v>
      </c>
      <c r="V153" s="1">
        <f>+IF(Tabla__192.168.1.8_POSEIDONSQL_APPFVT_01_tblFillRateFechas[[#This Row],[Resultado]]=1,1,0)</f>
        <v>1</v>
      </c>
      <c r="W153" s="1" t="str">
        <f>+Tabla__192.168.1.8_POSEIDONSQL_APPFVT_01_tblFillRateFechas[[#This Row],[con_ocnumero]]&amp;Tabla__192.168.1.8_POSEIDONSQL_APPFVT_01_tblFillRateFechas[[#This Row],[con_codigounico]]</f>
        <v>8672097-</v>
      </c>
      <c r="X1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4" spans="1:24" x14ac:dyDescent="0.25">
      <c r="A154">
        <v>1</v>
      </c>
      <c r="B154" t="s">
        <v>55</v>
      </c>
      <c r="C154">
        <v>8672315</v>
      </c>
      <c r="D154" t="s">
        <v>1966</v>
      </c>
      <c r="E154" t="s">
        <v>429</v>
      </c>
      <c r="F154" t="s">
        <v>1963</v>
      </c>
      <c r="G154">
        <v>1</v>
      </c>
      <c r="H154">
        <v>1</v>
      </c>
      <c r="I154" t="s">
        <v>429</v>
      </c>
      <c r="J154">
        <v>0</v>
      </c>
      <c r="K154" t="s">
        <v>49</v>
      </c>
      <c r="L154" s="1">
        <f>+Tabla__192.168.1.8_POSEIDONSQL_APPFVT_01_tblFillRateFechas[[#This Row],[emb_cantidad]]-Tabla__192.168.1.8_POSEIDONSQL_APPFVT_01_tblFillRateFechas[[#This Row],[dev_cantidad]]</f>
        <v>1</v>
      </c>
      <c r="M154" s="1">
        <f>+IF(Tabla__192.168.1.8_POSEIDONSQL_APPFVT_01_tblFillRateFechas[[#This Row],[Cant_Resultante]]=Tabla__192.168.1.8_POSEIDONSQL_APPFVT_01_tblFillRateFechas[[#This Row],[cant_order]],1,0)</f>
        <v>1</v>
      </c>
      <c r="N1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4" s="1">
        <f>+IF(AND(Tabla__192.168.1.8_POSEIDONSQL_APPFVT_01_tblFillRateFechas[[#This Row],[Valida Cant]]=1,Tabla__192.168.1.8_POSEIDONSQL_APPFVT_01_tblFillRateFechas[[#This Row],[Valida Fec]]=1),1,0)</f>
        <v>1</v>
      </c>
      <c r="P154" s="1">
        <f>+(Tabla__192.168.1.8_POSEIDONSQL_APPFVT_01_tblFillRateFechas[[#This Row],[Cant_Resultante]]/Tabla__192.168.1.8_POSEIDONSQL_APPFVT_01_tblFillRateFechas[[#This Row],[cant_order]])*100</f>
        <v>100</v>
      </c>
      <c r="Q1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4" s="1">
        <f>+IF(Tabla__192.168.1.8_POSEIDONSQL_APPFVT_01_tblFillRateFechas[[#This Row],[cant_order]]&gt;0,1,0)</f>
        <v>1</v>
      </c>
      <c r="V154" s="1">
        <f>+IF(Tabla__192.168.1.8_POSEIDONSQL_APPFVT_01_tblFillRateFechas[[#This Row],[Resultado]]=1,1,0)</f>
        <v>1</v>
      </c>
      <c r="W154" s="1" t="str">
        <f>+Tabla__192.168.1.8_POSEIDONSQL_APPFVT_01_tblFillRateFechas[[#This Row],[con_ocnumero]]&amp;Tabla__192.168.1.8_POSEIDONSQL_APPFVT_01_tblFillRateFechas[[#This Row],[con_codigounico]]</f>
        <v>8672315-</v>
      </c>
      <c r="X1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5" spans="1:24" x14ac:dyDescent="0.25">
      <c r="A155">
        <v>1</v>
      </c>
      <c r="B155" t="s">
        <v>55</v>
      </c>
      <c r="C155">
        <v>8672328</v>
      </c>
      <c r="D155" t="s">
        <v>1966</v>
      </c>
      <c r="E155" t="s">
        <v>429</v>
      </c>
      <c r="F155" t="s">
        <v>1963</v>
      </c>
      <c r="G155">
        <v>1</v>
      </c>
      <c r="H155">
        <v>1</v>
      </c>
      <c r="I155" t="s">
        <v>429</v>
      </c>
      <c r="J155">
        <v>0</v>
      </c>
      <c r="K155" t="s">
        <v>49</v>
      </c>
      <c r="L155" s="1">
        <f>+Tabla__192.168.1.8_POSEIDONSQL_APPFVT_01_tblFillRateFechas[[#This Row],[emb_cantidad]]-Tabla__192.168.1.8_POSEIDONSQL_APPFVT_01_tblFillRateFechas[[#This Row],[dev_cantidad]]</f>
        <v>1</v>
      </c>
      <c r="M155" s="1">
        <f>+IF(Tabla__192.168.1.8_POSEIDONSQL_APPFVT_01_tblFillRateFechas[[#This Row],[Cant_Resultante]]=Tabla__192.168.1.8_POSEIDONSQL_APPFVT_01_tblFillRateFechas[[#This Row],[cant_order]],1,0)</f>
        <v>1</v>
      </c>
      <c r="N1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5" s="1">
        <f>+IF(AND(Tabla__192.168.1.8_POSEIDONSQL_APPFVT_01_tblFillRateFechas[[#This Row],[Valida Cant]]=1,Tabla__192.168.1.8_POSEIDONSQL_APPFVT_01_tblFillRateFechas[[#This Row],[Valida Fec]]=1),1,0)</f>
        <v>1</v>
      </c>
      <c r="P155" s="1">
        <f>+(Tabla__192.168.1.8_POSEIDONSQL_APPFVT_01_tblFillRateFechas[[#This Row],[Cant_Resultante]]/Tabla__192.168.1.8_POSEIDONSQL_APPFVT_01_tblFillRateFechas[[#This Row],[cant_order]])*100</f>
        <v>100</v>
      </c>
      <c r="Q1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5" s="1">
        <f>+IF(Tabla__192.168.1.8_POSEIDONSQL_APPFVT_01_tblFillRateFechas[[#This Row],[cant_order]]&gt;0,1,0)</f>
        <v>1</v>
      </c>
      <c r="V155" s="1">
        <f>+IF(Tabla__192.168.1.8_POSEIDONSQL_APPFVT_01_tblFillRateFechas[[#This Row],[Resultado]]=1,1,0)</f>
        <v>1</v>
      </c>
      <c r="W155" s="1" t="str">
        <f>+Tabla__192.168.1.8_POSEIDONSQL_APPFVT_01_tblFillRateFechas[[#This Row],[con_ocnumero]]&amp;Tabla__192.168.1.8_POSEIDONSQL_APPFVT_01_tblFillRateFechas[[#This Row],[con_codigounico]]</f>
        <v>8672328-</v>
      </c>
      <c r="X1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6" spans="1:24" x14ac:dyDescent="0.25">
      <c r="A156">
        <v>1</v>
      </c>
      <c r="B156" t="s">
        <v>55</v>
      </c>
      <c r="C156">
        <v>8672343</v>
      </c>
      <c r="D156" t="s">
        <v>1966</v>
      </c>
      <c r="E156" t="s">
        <v>425</v>
      </c>
      <c r="F156" t="s">
        <v>1963</v>
      </c>
      <c r="G156">
        <v>1</v>
      </c>
      <c r="H156">
        <v>1</v>
      </c>
      <c r="I156" t="s">
        <v>425</v>
      </c>
      <c r="J156">
        <v>0</v>
      </c>
      <c r="K156" t="s">
        <v>49</v>
      </c>
      <c r="L156" s="1">
        <f>+Tabla__192.168.1.8_POSEIDONSQL_APPFVT_01_tblFillRateFechas[[#This Row],[emb_cantidad]]-Tabla__192.168.1.8_POSEIDONSQL_APPFVT_01_tblFillRateFechas[[#This Row],[dev_cantidad]]</f>
        <v>1</v>
      </c>
      <c r="M156" s="1">
        <f>+IF(Tabla__192.168.1.8_POSEIDONSQL_APPFVT_01_tblFillRateFechas[[#This Row],[Cant_Resultante]]=Tabla__192.168.1.8_POSEIDONSQL_APPFVT_01_tblFillRateFechas[[#This Row],[cant_order]],1,0)</f>
        <v>1</v>
      </c>
      <c r="N1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6" s="1">
        <f>+IF(AND(Tabla__192.168.1.8_POSEIDONSQL_APPFVT_01_tblFillRateFechas[[#This Row],[Valida Cant]]=1,Tabla__192.168.1.8_POSEIDONSQL_APPFVT_01_tblFillRateFechas[[#This Row],[Valida Fec]]=1),1,0)</f>
        <v>1</v>
      </c>
      <c r="P156" s="1">
        <f>+(Tabla__192.168.1.8_POSEIDONSQL_APPFVT_01_tblFillRateFechas[[#This Row],[Cant_Resultante]]/Tabla__192.168.1.8_POSEIDONSQL_APPFVT_01_tblFillRateFechas[[#This Row],[cant_order]])*100</f>
        <v>100</v>
      </c>
      <c r="Q1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6" s="1">
        <f>+IF(Tabla__192.168.1.8_POSEIDONSQL_APPFVT_01_tblFillRateFechas[[#This Row],[cant_order]]&gt;0,1,0)</f>
        <v>1</v>
      </c>
      <c r="V156" s="1">
        <f>+IF(Tabla__192.168.1.8_POSEIDONSQL_APPFVT_01_tblFillRateFechas[[#This Row],[Resultado]]=1,1,0)</f>
        <v>1</v>
      </c>
      <c r="W156" s="1" t="str">
        <f>+Tabla__192.168.1.8_POSEIDONSQL_APPFVT_01_tblFillRateFechas[[#This Row],[con_ocnumero]]&amp;Tabla__192.168.1.8_POSEIDONSQL_APPFVT_01_tblFillRateFechas[[#This Row],[con_codigounico]]</f>
        <v>8672343-</v>
      </c>
      <c r="X1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7" spans="1:24" x14ac:dyDescent="0.25">
      <c r="A157">
        <v>1</v>
      </c>
      <c r="B157" t="s">
        <v>55</v>
      </c>
      <c r="C157">
        <v>8672409</v>
      </c>
      <c r="D157" t="s">
        <v>1966</v>
      </c>
      <c r="E157" t="s">
        <v>429</v>
      </c>
      <c r="F157" t="s">
        <v>1963</v>
      </c>
      <c r="G157">
        <v>1</v>
      </c>
      <c r="H157">
        <v>1</v>
      </c>
      <c r="I157" t="s">
        <v>429</v>
      </c>
      <c r="J157">
        <v>0</v>
      </c>
      <c r="K157" t="s">
        <v>49</v>
      </c>
      <c r="L157" s="1">
        <f>+Tabla__192.168.1.8_POSEIDONSQL_APPFVT_01_tblFillRateFechas[[#This Row],[emb_cantidad]]-Tabla__192.168.1.8_POSEIDONSQL_APPFVT_01_tblFillRateFechas[[#This Row],[dev_cantidad]]</f>
        <v>1</v>
      </c>
      <c r="M157" s="1">
        <f>+IF(Tabla__192.168.1.8_POSEIDONSQL_APPFVT_01_tblFillRateFechas[[#This Row],[Cant_Resultante]]=Tabla__192.168.1.8_POSEIDONSQL_APPFVT_01_tblFillRateFechas[[#This Row],[cant_order]],1,0)</f>
        <v>1</v>
      </c>
      <c r="N1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7" s="1">
        <f>+IF(AND(Tabla__192.168.1.8_POSEIDONSQL_APPFVT_01_tblFillRateFechas[[#This Row],[Valida Cant]]=1,Tabla__192.168.1.8_POSEIDONSQL_APPFVT_01_tblFillRateFechas[[#This Row],[Valida Fec]]=1),1,0)</f>
        <v>1</v>
      </c>
      <c r="P157" s="1">
        <f>+(Tabla__192.168.1.8_POSEIDONSQL_APPFVT_01_tblFillRateFechas[[#This Row],[Cant_Resultante]]/Tabla__192.168.1.8_POSEIDONSQL_APPFVT_01_tblFillRateFechas[[#This Row],[cant_order]])*100</f>
        <v>100</v>
      </c>
      <c r="Q1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7" s="1">
        <f>+IF(Tabla__192.168.1.8_POSEIDONSQL_APPFVT_01_tblFillRateFechas[[#This Row],[cant_order]]&gt;0,1,0)</f>
        <v>1</v>
      </c>
      <c r="V157" s="1">
        <f>+IF(Tabla__192.168.1.8_POSEIDONSQL_APPFVT_01_tblFillRateFechas[[#This Row],[Resultado]]=1,1,0)</f>
        <v>1</v>
      </c>
      <c r="W157" s="1" t="str">
        <f>+Tabla__192.168.1.8_POSEIDONSQL_APPFVT_01_tblFillRateFechas[[#This Row],[con_ocnumero]]&amp;Tabla__192.168.1.8_POSEIDONSQL_APPFVT_01_tblFillRateFechas[[#This Row],[con_codigounico]]</f>
        <v>8672409-</v>
      </c>
      <c r="X1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8" spans="1:24" x14ac:dyDescent="0.25">
      <c r="A158">
        <v>1</v>
      </c>
      <c r="B158" t="s">
        <v>55</v>
      </c>
      <c r="C158">
        <v>8672638</v>
      </c>
      <c r="D158" t="s">
        <v>1966</v>
      </c>
      <c r="E158" t="s">
        <v>429</v>
      </c>
      <c r="F158" t="s">
        <v>1963</v>
      </c>
      <c r="G158">
        <v>1</v>
      </c>
      <c r="H158">
        <v>1</v>
      </c>
      <c r="I158" t="s">
        <v>429</v>
      </c>
      <c r="J158">
        <v>0</v>
      </c>
      <c r="K158" t="s">
        <v>49</v>
      </c>
      <c r="L158" s="1">
        <f>+Tabla__192.168.1.8_POSEIDONSQL_APPFVT_01_tblFillRateFechas[[#This Row],[emb_cantidad]]-Tabla__192.168.1.8_POSEIDONSQL_APPFVT_01_tblFillRateFechas[[#This Row],[dev_cantidad]]</f>
        <v>1</v>
      </c>
      <c r="M158" s="1">
        <f>+IF(Tabla__192.168.1.8_POSEIDONSQL_APPFVT_01_tblFillRateFechas[[#This Row],[Cant_Resultante]]=Tabla__192.168.1.8_POSEIDONSQL_APPFVT_01_tblFillRateFechas[[#This Row],[cant_order]],1,0)</f>
        <v>1</v>
      </c>
      <c r="N1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8" s="1">
        <f>+IF(AND(Tabla__192.168.1.8_POSEIDONSQL_APPFVT_01_tblFillRateFechas[[#This Row],[Valida Cant]]=1,Tabla__192.168.1.8_POSEIDONSQL_APPFVT_01_tblFillRateFechas[[#This Row],[Valida Fec]]=1),1,0)</f>
        <v>1</v>
      </c>
      <c r="P158" s="1">
        <f>+(Tabla__192.168.1.8_POSEIDONSQL_APPFVT_01_tblFillRateFechas[[#This Row],[Cant_Resultante]]/Tabla__192.168.1.8_POSEIDONSQL_APPFVT_01_tblFillRateFechas[[#This Row],[cant_order]])*100</f>
        <v>100</v>
      </c>
      <c r="Q1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8" s="1">
        <f>+IF(Tabla__192.168.1.8_POSEIDONSQL_APPFVT_01_tblFillRateFechas[[#This Row],[cant_order]]&gt;0,1,0)</f>
        <v>1</v>
      </c>
      <c r="V158" s="1">
        <f>+IF(Tabla__192.168.1.8_POSEIDONSQL_APPFVT_01_tblFillRateFechas[[#This Row],[Resultado]]=1,1,0)</f>
        <v>1</v>
      </c>
      <c r="W158" s="1" t="str">
        <f>+Tabla__192.168.1.8_POSEIDONSQL_APPFVT_01_tblFillRateFechas[[#This Row],[con_ocnumero]]&amp;Tabla__192.168.1.8_POSEIDONSQL_APPFVT_01_tblFillRateFechas[[#This Row],[con_codigounico]]</f>
        <v>8672638-</v>
      </c>
      <c r="X1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59" spans="1:24" x14ac:dyDescent="0.25">
      <c r="A159">
        <v>1</v>
      </c>
      <c r="B159" t="s">
        <v>55</v>
      </c>
      <c r="C159">
        <v>8672799</v>
      </c>
      <c r="D159" t="s">
        <v>1973</v>
      </c>
      <c r="E159" t="s">
        <v>429</v>
      </c>
      <c r="F159" t="s">
        <v>1963</v>
      </c>
      <c r="G159">
        <v>1</v>
      </c>
      <c r="H159">
        <v>1</v>
      </c>
      <c r="I159" t="s">
        <v>429</v>
      </c>
      <c r="J159">
        <v>0</v>
      </c>
      <c r="K159" t="s">
        <v>49</v>
      </c>
      <c r="L159" s="1">
        <f>+Tabla__192.168.1.8_POSEIDONSQL_APPFVT_01_tblFillRateFechas[[#This Row],[emb_cantidad]]-Tabla__192.168.1.8_POSEIDONSQL_APPFVT_01_tblFillRateFechas[[#This Row],[dev_cantidad]]</f>
        <v>1</v>
      </c>
      <c r="M159" s="1">
        <f>+IF(Tabla__192.168.1.8_POSEIDONSQL_APPFVT_01_tblFillRateFechas[[#This Row],[Cant_Resultante]]=Tabla__192.168.1.8_POSEIDONSQL_APPFVT_01_tblFillRateFechas[[#This Row],[cant_order]],1,0)</f>
        <v>1</v>
      </c>
      <c r="N1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59" s="1">
        <f>+IF(AND(Tabla__192.168.1.8_POSEIDONSQL_APPFVT_01_tblFillRateFechas[[#This Row],[Valida Cant]]=1,Tabla__192.168.1.8_POSEIDONSQL_APPFVT_01_tblFillRateFechas[[#This Row],[Valida Fec]]=1),1,0)</f>
        <v>1</v>
      </c>
      <c r="P159" s="1">
        <f>+(Tabla__192.168.1.8_POSEIDONSQL_APPFVT_01_tblFillRateFechas[[#This Row],[Cant_Resultante]]/Tabla__192.168.1.8_POSEIDONSQL_APPFVT_01_tblFillRateFechas[[#This Row],[cant_order]])*100</f>
        <v>100</v>
      </c>
      <c r="Q1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59" s="1">
        <f>+IF(Tabla__192.168.1.8_POSEIDONSQL_APPFVT_01_tblFillRateFechas[[#This Row],[cant_order]]&gt;0,1,0)</f>
        <v>1</v>
      </c>
      <c r="V159" s="1">
        <f>+IF(Tabla__192.168.1.8_POSEIDONSQL_APPFVT_01_tblFillRateFechas[[#This Row],[Resultado]]=1,1,0)</f>
        <v>1</v>
      </c>
      <c r="W159" s="1" t="str">
        <f>+Tabla__192.168.1.8_POSEIDONSQL_APPFVT_01_tblFillRateFechas[[#This Row],[con_ocnumero]]&amp;Tabla__192.168.1.8_POSEIDONSQL_APPFVT_01_tblFillRateFechas[[#This Row],[con_codigounico]]</f>
        <v>8672799-</v>
      </c>
      <c r="X1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0" spans="1:24" x14ac:dyDescent="0.25">
      <c r="A160">
        <v>1</v>
      </c>
      <c r="B160" t="s">
        <v>55</v>
      </c>
      <c r="C160">
        <v>8673146</v>
      </c>
      <c r="D160" t="s">
        <v>1973</v>
      </c>
      <c r="E160" t="s">
        <v>429</v>
      </c>
      <c r="F160" t="s">
        <v>1963</v>
      </c>
      <c r="G160">
        <v>1</v>
      </c>
      <c r="H160">
        <v>1</v>
      </c>
      <c r="I160" t="s">
        <v>429</v>
      </c>
      <c r="J160">
        <v>0</v>
      </c>
      <c r="K160" t="s">
        <v>49</v>
      </c>
      <c r="L160" s="1">
        <f>+Tabla__192.168.1.8_POSEIDONSQL_APPFVT_01_tblFillRateFechas[[#This Row],[emb_cantidad]]-Tabla__192.168.1.8_POSEIDONSQL_APPFVT_01_tblFillRateFechas[[#This Row],[dev_cantidad]]</f>
        <v>1</v>
      </c>
      <c r="M160" s="1">
        <f>+IF(Tabla__192.168.1.8_POSEIDONSQL_APPFVT_01_tblFillRateFechas[[#This Row],[Cant_Resultante]]=Tabla__192.168.1.8_POSEIDONSQL_APPFVT_01_tblFillRateFechas[[#This Row],[cant_order]],1,0)</f>
        <v>1</v>
      </c>
      <c r="N1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0" s="1">
        <f>+IF(AND(Tabla__192.168.1.8_POSEIDONSQL_APPFVT_01_tblFillRateFechas[[#This Row],[Valida Cant]]=1,Tabla__192.168.1.8_POSEIDONSQL_APPFVT_01_tblFillRateFechas[[#This Row],[Valida Fec]]=1),1,0)</f>
        <v>1</v>
      </c>
      <c r="P160" s="1">
        <f>+(Tabla__192.168.1.8_POSEIDONSQL_APPFVT_01_tblFillRateFechas[[#This Row],[Cant_Resultante]]/Tabla__192.168.1.8_POSEIDONSQL_APPFVT_01_tblFillRateFechas[[#This Row],[cant_order]])*100</f>
        <v>100</v>
      </c>
      <c r="Q1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0" s="1">
        <f>+IF(Tabla__192.168.1.8_POSEIDONSQL_APPFVT_01_tblFillRateFechas[[#This Row],[cant_order]]&gt;0,1,0)</f>
        <v>1</v>
      </c>
      <c r="V160" s="1">
        <f>+IF(Tabla__192.168.1.8_POSEIDONSQL_APPFVT_01_tblFillRateFechas[[#This Row],[Resultado]]=1,1,0)</f>
        <v>1</v>
      </c>
      <c r="W160" s="1" t="str">
        <f>+Tabla__192.168.1.8_POSEIDONSQL_APPFVT_01_tblFillRateFechas[[#This Row],[con_ocnumero]]&amp;Tabla__192.168.1.8_POSEIDONSQL_APPFVT_01_tblFillRateFechas[[#This Row],[con_codigounico]]</f>
        <v>8673146-</v>
      </c>
      <c r="X1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1" spans="1:24" x14ac:dyDescent="0.25">
      <c r="A161">
        <v>1</v>
      </c>
      <c r="B161" t="s">
        <v>55</v>
      </c>
      <c r="C161">
        <v>8673243</v>
      </c>
      <c r="D161" t="s">
        <v>1973</v>
      </c>
      <c r="E161" t="s">
        <v>429</v>
      </c>
      <c r="F161" t="s">
        <v>162</v>
      </c>
      <c r="G161">
        <v>1</v>
      </c>
      <c r="H161">
        <v>1</v>
      </c>
      <c r="I161" t="s">
        <v>429</v>
      </c>
      <c r="J161">
        <v>0</v>
      </c>
      <c r="K161" t="s">
        <v>49</v>
      </c>
      <c r="L161" s="1">
        <f>+Tabla__192.168.1.8_POSEIDONSQL_APPFVT_01_tblFillRateFechas[[#This Row],[emb_cantidad]]-Tabla__192.168.1.8_POSEIDONSQL_APPFVT_01_tblFillRateFechas[[#This Row],[dev_cantidad]]</f>
        <v>1</v>
      </c>
      <c r="M161" s="1">
        <f>+IF(Tabla__192.168.1.8_POSEIDONSQL_APPFVT_01_tblFillRateFechas[[#This Row],[Cant_Resultante]]=Tabla__192.168.1.8_POSEIDONSQL_APPFVT_01_tblFillRateFechas[[#This Row],[cant_order]],1,0)</f>
        <v>1</v>
      </c>
      <c r="N1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1" s="1">
        <f>+IF(AND(Tabla__192.168.1.8_POSEIDONSQL_APPFVT_01_tblFillRateFechas[[#This Row],[Valida Cant]]=1,Tabla__192.168.1.8_POSEIDONSQL_APPFVT_01_tblFillRateFechas[[#This Row],[Valida Fec]]=1),1,0)</f>
        <v>1</v>
      </c>
      <c r="P161" s="1">
        <f>+(Tabla__192.168.1.8_POSEIDONSQL_APPFVT_01_tblFillRateFechas[[#This Row],[Cant_Resultante]]/Tabla__192.168.1.8_POSEIDONSQL_APPFVT_01_tblFillRateFechas[[#This Row],[cant_order]])*100</f>
        <v>100</v>
      </c>
      <c r="Q1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1" s="1">
        <f>+IF(Tabla__192.168.1.8_POSEIDONSQL_APPFVT_01_tblFillRateFechas[[#This Row],[cant_order]]&gt;0,1,0)</f>
        <v>1</v>
      </c>
      <c r="V161" s="1">
        <f>+IF(Tabla__192.168.1.8_POSEIDONSQL_APPFVT_01_tblFillRateFechas[[#This Row],[Resultado]]=1,1,0)</f>
        <v>1</v>
      </c>
      <c r="W161" s="1" t="str">
        <f>+Tabla__192.168.1.8_POSEIDONSQL_APPFVT_01_tblFillRateFechas[[#This Row],[con_ocnumero]]&amp;Tabla__192.168.1.8_POSEIDONSQL_APPFVT_01_tblFillRateFechas[[#This Row],[con_codigounico]]</f>
        <v>8673243-</v>
      </c>
      <c r="X1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2" spans="1:24" x14ac:dyDescent="0.25">
      <c r="A162">
        <v>1</v>
      </c>
      <c r="B162" t="s">
        <v>55</v>
      </c>
      <c r="C162">
        <v>8673274</v>
      </c>
      <c r="D162" t="s">
        <v>1973</v>
      </c>
      <c r="E162" t="s">
        <v>429</v>
      </c>
      <c r="F162" t="s">
        <v>162</v>
      </c>
      <c r="G162">
        <v>1</v>
      </c>
      <c r="H162">
        <v>0</v>
      </c>
      <c r="I162" t="s">
        <v>12</v>
      </c>
      <c r="J162">
        <v>0</v>
      </c>
      <c r="K162" t="s">
        <v>49</v>
      </c>
      <c r="L162" s="1">
        <f>+Tabla__192.168.1.8_POSEIDONSQL_APPFVT_01_tblFillRateFechas[[#This Row],[emb_cantidad]]-Tabla__192.168.1.8_POSEIDONSQL_APPFVT_01_tblFillRateFechas[[#This Row],[dev_cantidad]]</f>
        <v>0</v>
      </c>
      <c r="M162" s="1">
        <f>+IF(Tabla__192.168.1.8_POSEIDONSQL_APPFVT_01_tblFillRateFechas[[#This Row],[Cant_Resultante]]=Tabla__192.168.1.8_POSEIDONSQL_APPFVT_01_tblFillRateFechas[[#This Row],[cant_order]],1,0)</f>
        <v>0</v>
      </c>
      <c r="N1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62" s="1">
        <f>+IF(AND(Tabla__192.168.1.8_POSEIDONSQL_APPFVT_01_tblFillRateFechas[[#This Row],[Valida Cant]]=1,Tabla__192.168.1.8_POSEIDONSQL_APPFVT_01_tblFillRateFechas[[#This Row],[Valida Fec]]=1),1,0)</f>
        <v>0</v>
      </c>
      <c r="P162" s="1">
        <f>+(Tabla__192.168.1.8_POSEIDONSQL_APPFVT_01_tblFillRateFechas[[#This Row],[Cant_Resultante]]/Tabla__192.168.1.8_POSEIDONSQL_APPFVT_01_tblFillRateFechas[[#This Row],[cant_order]])*100</f>
        <v>0</v>
      </c>
      <c r="Q1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62" s="1">
        <f>+IF(Tabla__192.168.1.8_POSEIDONSQL_APPFVT_01_tblFillRateFechas[[#This Row],[cant_order]]&gt;0,1,0)</f>
        <v>1</v>
      </c>
      <c r="V162" s="1">
        <f>+IF(Tabla__192.168.1.8_POSEIDONSQL_APPFVT_01_tblFillRateFechas[[#This Row],[Resultado]]=1,1,0)</f>
        <v>0</v>
      </c>
      <c r="W162" s="1" t="str">
        <f>+Tabla__192.168.1.8_POSEIDONSQL_APPFVT_01_tblFillRateFechas[[#This Row],[con_ocnumero]]&amp;Tabla__192.168.1.8_POSEIDONSQL_APPFVT_01_tblFillRateFechas[[#This Row],[con_codigounico]]</f>
        <v>8673274-</v>
      </c>
      <c r="X1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63" spans="1:24" x14ac:dyDescent="0.25">
      <c r="A163">
        <v>1</v>
      </c>
      <c r="B163" t="s">
        <v>55</v>
      </c>
      <c r="C163">
        <v>8673333</v>
      </c>
      <c r="D163" t="s">
        <v>1973</v>
      </c>
      <c r="E163" t="s">
        <v>429</v>
      </c>
      <c r="F163" t="s">
        <v>162</v>
      </c>
      <c r="G163">
        <v>1</v>
      </c>
      <c r="H163">
        <v>1</v>
      </c>
      <c r="I163" t="s">
        <v>429</v>
      </c>
      <c r="J163">
        <v>0</v>
      </c>
      <c r="K163" t="s">
        <v>49</v>
      </c>
      <c r="L163" s="1">
        <f>+Tabla__192.168.1.8_POSEIDONSQL_APPFVT_01_tblFillRateFechas[[#This Row],[emb_cantidad]]-Tabla__192.168.1.8_POSEIDONSQL_APPFVT_01_tblFillRateFechas[[#This Row],[dev_cantidad]]</f>
        <v>1</v>
      </c>
      <c r="M163" s="1">
        <f>+IF(Tabla__192.168.1.8_POSEIDONSQL_APPFVT_01_tblFillRateFechas[[#This Row],[Cant_Resultante]]=Tabla__192.168.1.8_POSEIDONSQL_APPFVT_01_tblFillRateFechas[[#This Row],[cant_order]],1,0)</f>
        <v>1</v>
      </c>
      <c r="N1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3" s="1">
        <f>+IF(AND(Tabla__192.168.1.8_POSEIDONSQL_APPFVT_01_tblFillRateFechas[[#This Row],[Valida Cant]]=1,Tabla__192.168.1.8_POSEIDONSQL_APPFVT_01_tblFillRateFechas[[#This Row],[Valida Fec]]=1),1,0)</f>
        <v>1</v>
      </c>
      <c r="P163" s="1">
        <f>+(Tabla__192.168.1.8_POSEIDONSQL_APPFVT_01_tblFillRateFechas[[#This Row],[Cant_Resultante]]/Tabla__192.168.1.8_POSEIDONSQL_APPFVT_01_tblFillRateFechas[[#This Row],[cant_order]])*100</f>
        <v>100</v>
      </c>
      <c r="Q1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3" s="1">
        <f>+IF(Tabla__192.168.1.8_POSEIDONSQL_APPFVT_01_tblFillRateFechas[[#This Row],[cant_order]]&gt;0,1,0)</f>
        <v>1</v>
      </c>
      <c r="V163" s="1">
        <f>+IF(Tabla__192.168.1.8_POSEIDONSQL_APPFVT_01_tblFillRateFechas[[#This Row],[Resultado]]=1,1,0)</f>
        <v>1</v>
      </c>
      <c r="W163" s="1" t="str">
        <f>+Tabla__192.168.1.8_POSEIDONSQL_APPFVT_01_tblFillRateFechas[[#This Row],[con_ocnumero]]&amp;Tabla__192.168.1.8_POSEIDONSQL_APPFVT_01_tblFillRateFechas[[#This Row],[con_codigounico]]</f>
        <v>8673333-</v>
      </c>
      <c r="X1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4" spans="1:24" x14ac:dyDescent="0.25">
      <c r="A164">
        <v>1</v>
      </c>
      <c r="B164" t="s">
        <v>55</v>
      </c>
      <c r="C164">
        <v>8673363</v>
      </c>
      <c r="D164" t="s">
        <v>1973</v>
      </c>
      <c r="E164" t="s">
        <v>429</v>
      </c>
      <c r="F164" t="s">
        <v>162</v>
      </c>
      <c r="G164">
        <v>1</v>
      </c>
      <c r="H164">
        <v>1</v>
      </c>
      <c r="I164" t="s">
        <v>429</v>
      </c>
      <c r="J164">
        <v>0</v>
      </c>
      <c r="K164" t="s">
        <v>49</v>
      </c>
      <c r="L164" s="1">
        <f>+Tabla__192.168.1.8_POSEIDONSQL_APPFVT_01_tblFillRateFechas[[#This Row],[emb_cantidad]]-Tabla__192.168.1.8_POSEIDONSQL_APPFVT_01_tblFillRateFechas[[#This Row],[dev_cantidad]]</f>
        <v>1</v>
      </c>
      <c r="M164" s="1">
        <f>+IF(Tabla__192.168.1.8_POSEIDONSQL_APPFVT_01_tblFillRateFechas[[#This Row],[Cant_Resultante]]=Tabla__192.168.1.8_POSEIDONSQL_APPFVT_01_tblFillRateFechas[[#This Row],[cant_order]],1,0)</f>
        <v>1</v>
      </c>
      <c r="N1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4" s="1">
        <f>+IF(AND(Tabla__192.168.1.8_POSEIDONSQL_APPFVT_01_tblFillRateFechas[[#This Row],[Valida Cant]]=1,Tabla__192.168.1.8_POSEIDONSQL_APPFVT_01_tblFillRateFechas[[#This Row],[Valida Fec]]=1),1,0)</f>
        <v>1</v>
      </c>
      <c r="P164" s="1">
        <f>+(Tabla__192.168.1.8_POSEIDONSQL_APPFVT_01_tblFillRateFechas[[#This Row],[Cant_Resultante]]/Tabla__192.168.1.8_POSEIDONSQL_APPFVT_01_tblFillRateFechas[[#This Row],[cant_order]])*100</f>
        <v>100</v>
      </c>
      <c r="Q1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4" s="1">
        <f>+IF(Tabla__192.168.1.8_POSEIDONSQL_APPFVT_01_tblFillRateFechas[[#This Row],[cant_order]]&gt;0,1,0)</f>
        <v>1</v>
      </c>
      <c r="V164" s="1">
        <f>+IF(Tabla__192.168.1.8_POSEIDONSQL_APPFVT_01_tblFillRateFechas[[#This Row],[Resultado]]=1,1,0)</f>
        <v>1</v>
      </c>
      <c r="W164" s="1" t="str">
        <f>+Tabla__192.168.1.8_POSEIDONSQL_APPFVT_01_tblFillRateFechas[[#This Row],[con_ocnumero]]&amp;Tabla__192.168.1.8_POSEIDONSQL_APPFVT_01_tblFillRateFechas[[#This Row],[con_codigounico]]</f>
        <v>8673363-</v>
      </c>
      <c r="X1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5" spans="1:24" x14ac:dyDescent="0.25">
      <c r="A165">
        <v>1</v>
      </c>
      <c r="B165" t="s">
        <v>55</v>
      </c>
      <c r="C165">
        <v>8674100</v>
      </c>
      <c r="D165" t="s">
        <v>1963</v>
      </c>
      <c r="E165" t="s">
        <v>1969</v>
      </c>
      <c r="F165" t="s">
        <v>162</v>
      </c>
      <c r="G165">
        <v>120</v>
      </c>
      <c r="H165">
        <v>120</v>
      </c>
      <c r="I165" t="s">
        <v>1969</v>
      </c>
      <c r="J165">
        <v>0</v>
      </c>
      <c r="K165" t="s">
        <v>49</v>
      </c>
      <c r="L165" s="1">
        <f>+Tabla__192.168.1.8_POSEIDONSQL_APPFVT_01_tblFillRateFechas[[#This Row],[emb_cantidad]]-Tabla__192.168.1.8_POSEIDONSQL_APPFVT_01_tblFillRateFechas[[#This Row],[dev_cantidad]]</f>
        <v>120</v>
      </c>
      <c r="M165" s="1">
        <f>+IF(Tabla__192.168.1.8_POSEIDONSQL_APPFVT_01_tblFillRateFechas[[#This Row],[Cant_Resultante]]=Tabla__192.168.1.8_POSEIDONSQL_APPFVT_01_tblFillRateFechas[[#This Row],[cant_order]],1,0)</f>
        <v>1</v>
      </c>
      <c r="N1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5" s="1">
        <f>+IF(AND(Tabla__192.168.1.8_POSEIDONSQL_APPFVT_01_tblFillRateFechas[[#This Row],[Valida Cant]]=1,Tabla__192.168.1.8_POSEIDONSQL_APPFVT_01_tblFillRateFechas[[#This Row],[Valida Fec]]=1),1,0)</f>
        <v>1</v>
      </c>
      <c r="P165" s="1">
        <f>+(Tabla__192.168.1.8_POSEIDONSQL_APPFVT_01_tblFillRateFechas[[#This Row],[Cant_Resultante]]/Tabla__192.168.1.8_POSEIDONSQL_APPFVT_01_tblFillRateFechas[[#This Row],[cant_order]])*100</f>
        <v>100</v>
      </c>
      <c r="Q1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120</v>
      </c>
      <c r="R1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120</v>
      </c>
      <c r="T1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5" s="1">
        <f>+IF(Tabla__192.168.1.8_POSEIDONSQL_APPFVT_01_tblFillRateFechas[[#This Row],[cant_order]]&gt;0,1,0)</f>
        <v>1</v>
      </c>
      <c r="V165" s="1">
        <f>+IF(Tabla__192.168.1.8_POSEIDONSQL_APPFVT_01_tblFillRateFechas[[#This Row],[Resultado]]=1,1,0)</f>
        <v>1</v>
      </c>
      <c r="W165" s="1" t="str">
        <f>+Tabla__192.168.1.8_POSEIDONSQL_APPFVT_01_tblFillRateFechas[[#This Row],[con_ocnumero]]&amp;Tabla__192.168.1.8_POSEIDONSQL_APPFVT_01_tblFillRateFechas[[#This Row],[con_codigounico]]</f>
        <v>8674100-</v>
      </c>
      <c r="X1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120</v>
      </c>
    </row>
    <row r="166" spans="1:24" x14ac:dyDescent="0.25">
      <c r="A166">
        <v>1</v>
      </c>
      <c r="B166" t="s">
        <v>55</v>
      </c>
      <c r="C166">
        <v>8674993</v>
      </c>
      <c r="D166" t="s">
        <v>1963</v>
      </c>
      <c r="E166" t="s">
        <v>429</v>
      </c>
      <c r="F166" t="s">
        <v>162</v>
      </c>
      <c r="G166">
        <v>1</v>
      </c>
      <c r="H166">
        <v>1</v>
      </c>
      <c r="I166" t="s">
        <v>429</v>
      </c>
      <c r="J166">
        <v>0</v>
      </c>
      <c r="K166" t="s">
        <v>49</v>
      </c>
      <c r="L166" s="1">
        <f>+Tabla__192.168.1.8_POSEIDONSQL_APPFVT_01_tblFillRateFechas[[#This Row],[emb_cantidad]]-Tabla__192.168.1.8_POSEIDONSQL_APPFVT_01_tblFillRateFechas[[#This Row],[dev_cantidad]]</f>
        <v>1</v>
      </c>
      <c r="M166" s="1">
        <f>+IF(Tabla__192.168.1.8_POSEIDONSQL_APPFVT_01_tblFillRateFechas[[#This Row],[Cant_Resultante]]=Tabla__192.168.1.8_POSEIDONSQL_APPFVT_01_tblFillRateFechas[[#This Row],[cant_order]],1,0)</f>
        <v>1</v>
      </c>
      <c r="N1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6" s="1">
        <f>+IF(AND(Tabla__192.168.1.8_POSEIDONSQL_APPFVT_01_tblFillRateFechas[[#This Row],[Valida Cant]]=1,Tabla__192.168.1.8_POSEIDONSQL_APPFVT_01_tblFillRateFechas[[#This Row],[Valida Fec]]=1),1,0)</f>
        <v>1</v>
      </c>
      <c r="P166" s="1">
        <f>+(Tabla__192.168.1.8_POSEIDONSQL_APPFVT_01_tblFillRateFechas[[#This Row],[Cant_Resultante]]/Tabla__192.168.1.8_POSEIDONSQL_APPFVT_01_tblFillRateFechas[[#This Row],[cant_order]])*100</f>
        <v>100</v>
      </c>
      <c r="Q1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6" s="1">
        <f>+IF(Tabla__192.168.1.8_POSEIDONSQL_APPFVT_01_tblFillRateFechas[[#This Row],[cant_order]]&gt;0,1,0)</f>
        <v>1</v>
      </c>
      <c r="V166" s="1">
        <f>+IF(Tabla__192.168.1.8_POSEIDONSQL_APPFVT_01_tblFillRateFechas[[#This Row],[Resultado]]=1,1,0)</f>
        <v>1</v>
      </c>
      <c r="W166" s="1" t="str">
        <f>+Tabla__192.168.1.8_POSEIDONSQL_APPFVT_01_tblFillRateFechas[[#This Row],[con_ocnumero]]&amp;Tabla__192.168.1.8_POSEIDONSQL_APPFVT_01_tblFillRateFechas[[#This Row],[con_codigounico]]</f>
        <v>8674993-</v>
      </c>
      <c r="X1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7" spans="1:24" x14ac:dyDescent="0.25">
      <c r="A167">
        <v>1</v>
      </c>
      <c r="B167" t="s">
        <v>55</v>
      </c>
      <c r="C167">
        <v>8675131</v>
      </c>
      <c r="D167" t="s">
        <v>1963</v>
      </c>
      <c r="E167" t="s">
        <v>425</v>
      </c>
      <c r="F167" t="s">
        <v>162</v>
      </c>
      <c r="G167">
        <v>1</v>
      </c>
      <c r="H167">
        <v>1</v>
      </c>
      <c r="I167" t="s">
        <v>425</v>
      </c>
      <c r="J167">
        <v>0</v>
      </c>
      <c r="K167" t="s">
        <v>49</v>
      </c>
      <c r="L167" s="1">
        <f>+Tabla__192.168.1.8_POSEIDONSQL_APPFVT_01_tblFillRateFechas[[#This Row],[emb_cantidad]]-Tabla__192.168.1.8_POSEIDONSQL_APPFVT_01_tblFillRateFechas[[#This Row],[dev_cantidad]]</f>
        <v>1</v>
      </c>
      <c r="M167" s="1">
        <f>+IF(Tabla__192.168.1.8_POSEIDONSQL_APPFVT_01_tblFillRateFechas[[#This Row],[Cant_Resultante]]=Tabla__192.168.1.8_POSEIDONSQL_APPFVT_01_tblFillRateFechas[[#This Row],[cant_order]],1,0)</f>
        <v>1</v>
      </c>
      <c r="N1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7" s="1">
        <f>+IF(AND(Tabla__192.168.1.8_POSEIDONSQL_APPFVT_01_tblFillRateFechas[[#This Row],[Valida Cant]]=1,Tabla__192.168.1.8_POSEIDONSQL_APPFVT_01_tblFillRateFechas[[#This Row],[Valida Fec]]=1),1,0)</f>
        <v>1</v>
      </c>
      <c r="P167" s="1">
        <f>+(Tabla__192.168.1.8_POSEIDONSQL_APPFVT_01_tblFillRateFechas[[#This Row],[Cant_Resultante]]/Tabla__192.168.1.8_POSEIDONSQL_APPFVT_01_tblFillRateFechas[[#This Row],[cant_order]])*100</f>
        <v>100</v>
      </c>
      <c r="Q1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7" s="1">
        <f>+IF(Tabla__192.168.1.8_POSEIDONSQL_APPFVT_01_tblFillRateFechas[[#This Row],[cant_order]]&gt;0,1,0)</f>
        <v>1</v>
      </c>
      <c r="V167" s="1">
        <f>+IF(Tabla__192.168.1.8_POSEIDONSQL_APPFVT_01_tblFillRateFechas[[#This Row],[Resultado]]=1,1,0)</f>
        <v>1</v>
      </c>
      <c r="W167" s="1" t="str">
        <f>+Tabla__192.168.1.8_POSEIDONSQL_APPFVT_01_tblFillRateFechas[[#This Row],[con_ocnumero]]&amp;Tabla__192.168.1.8_POSEIDONSQL_APPFVT_01_tblFillRateFechas[[#This Row],[con_codigounico]]</f>
        <v>8675131-</v>
      </c>
      <c r="X1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68" spans="1:24" x14ac:dyDescent="0.25">
      <c r="A168">
        <v>1</v>
      </c>
      <c r="B168" t="s">
        <v>55</v>
      </c>
      <c r="C168">
        <v>8675185</v>
      </c>
      <c r="D168" t="s">
        <v>1963</v>
      </c>
      <c r="E168" t="s">
        <v>426</v>
      </c>
      <c r="F168" t="s">
        <v>162</v>
      </c>
      <c r="G168">
        <v>30</v>
      </c>
      <c r="H168">
        <v>30</v>
      </c>
      <c r="I168" t="s">
        <v>161</v>
      </c>
      <c r="J168">
        <v>0</v>
      </c>
      <c r="K168" t="s">
        <v>49</v>
      </c>
      <c r="L168" s="1">
        <f>+Tabla__192.168.1.8_POSEIDONSQL_APPFVT_01_tblFillRateFechas[[#This Row],[emb_cantidad]]-Tabla__192.168.1.8_POSEIDONSQL_APPFVT_01_tblFillRateFechas[[#This Row],[dev_cantidad]]</f>
        <v>30</v>
      </c>
      <c r="M168" s="1">
        <f>+IF(Tabla__192.168.1.8_POSEIDONSQL_APPFVT_01_tblFillRateFechas[[#This Row],[Cant_Resultante]]=Tabla__192.168.1.8_POSEIDONSQL_APPFVT_01_tblFillRateFechas[[#This Row],[cant_order]],1,0)</f>
        <v>1</v>
      </c>
      <c r="N1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68" s="1">
        <f>+IF(AND(Tabla__192.168.1.8_POSEIDONSQL_APPFVT_01_tblFillRateFechas[[#This Row],[Valida Cant]]=1,Tabla__192.168.1.8_POSEIDONSQL_APPFVT_01_tblFillRateFechas[[#This Row],[Valida Fec]]=1),1,0)</f>
        <v>1</v>
      </c>
      <c r="P168" s="1">
        <f>+(Tabla__192.168.1.8_POSEIDONSQL_APPFVT_01_tblFillRateFechas[[#This Row],[Cant_Resultante]]/Tabla__192.168.1.8_POSEIDONSQL_APPFVT_01_tblFillRateFechas[[#This Row],[cant_order]])*100</f>
        <v>100</v>
      </c>
      <c r="Q1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30</v>
      </c>
      <c r="R1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30</v>
      </c>
      <c r="T1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68" s="1">
        <f>+IF(Tabla__192.168.1.8_POSEIDONSQL_APPFVT_01_tblFillRateFechas[[#This Row],[cant_order]]&gt;0,1,0)</f>
        <v>1</v>
      </c>
      <c r="V168" s="1">
        <f>+IF(Tabla__192.168.1.8_POSEIDONSQL_APPFVT_01_tblFillRateFechas[[#This Row],[Resultado]]=1,1,0)</f>
        <v>1</v>
      </c>
      <c r="W168" s="1" t="str">
        <f>+Tabla__192.168.1.8_POSEIDONSQL_APPFVT_01_tblFillRateFechas[[#This Row],[con_ocnumero]]&amp;Tabla__192.168.1.8_POSEIDONSQL_APPFVT_01_tblFillRateFechas[[#This Row],[con_codigounico]]</f>
        <v>8675185-</v>
      </c>
      <c r="X1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30</v>
      </c>
    </row>
    <row r="169" spans="1:24" x14ac:dyDescent="0.25">
      <c r="A169">
        <v>1</v>
      </c>
      <c r="B169" t="s">
        <v>55</v>
      </c>
      <c r="C169">
        <v>8675190</v>
      </c>
      <c r="D169" t="s">
        <v>1963</v>
      </c>
      <c r="E169" t="s">
        <v>426</v>
      </c>
      <c r="F169" t="s">
        <v>162</v>
      </c>
      <c r="G169">
        <v>12</v>
      </c>
      <c r="H169">
        <v>0</v>
      </c>
      <c r="I169" t="s">
        <v>12</v>
      </c>
      <c r="J169">
        <v>0</v>
      </c>
      <c r="K169" t="s">
        <v>49</v>
      </c>
      <c r="L169" s="1">
        <f>+Tabla__192.168.1.8_POSEIDONSQL_APPFVT_01_tblFillRateFechas[[#This Row],[emb_cantidad]]-Tabla__192.168.1.8_POSEIDONSQL_APPFVT_01_tblFillRateFechas[[#This Row],[dev_cantidad]]</f>
        <v>0</v>
      </c>
      <c r="M169" s="1">
        <f>+IF(Tabla__192.168.1.8_POSEIDONSQL_APPFVT_01_tblFillRateFechas[[#This Row],[Cant_Resultante]]=Tabla__192.168.1.8_POSEIDONSQL_APPFVT_01_tblFillRateFechas[[#This Row],[cant_order]],1,0)</f>
        <v>0</v>
      </c>
      <c r="N1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69" s="1">
        <f>+IF(AND(Tabla__192.168.1.8_POSEIDONSQL_APPFVT_01_tblFillRateFechas[[#This Row],[Valida Cant]]=1,Tabla__192.168.1.8_POSEIDONSQL_APPFVT_01_tblFillRateFechas[[#This Row],[Valida Fec]]=1),1,0)</f>
        <v>0</v>
      </c>
      <c r="P169" s="1">
        <f>+(Tabla__192.168.1.8_POSEIDONSQL_APPFVT_01_tblFillRateFechas[[#This Row],[Cant_Resultante]]/Tabla__192.168.1.8_POSEIDONSQL_APPFVT_01_tblFillRateFechas[[#This Row],[cant_order]])*100</f>
        <v>0</v>
      </c>
      <c r="Q1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12</v>
      </c>
      <c r="U169" s="1">
        <f>+IF(Tabla__192.168.1.8_POSEIDONSQL_APPFVT_01_tblFillRateFechas[[#This Row],[cant_order]]&gt;0,1,0)</f>
        <v>1</v>
      </c>
      <c r="V169" s="1">
        <f>+IF(Tabla__192.168.1.8_POSEIDONSQL_APPFVT_01_tblFillRateFechas[[#This Row],[Resultado]]=1,1,0)</f>
        <v>0</v>
      </c>
      <c r="W169" s="1" t="str">
        <f>+Tabla__192.168.1.8_POSEIDONSQL_APPFVT_01_tblFillRateFechas[[#This Row],[con_ocnumero]]&amp;Tabla__192.168.1.8_POSEIDONSQL_APPFVT_01_tblFillRateFechas[[#This Row],[con_codigounico]]</f>
        <v>8675190-</v>
      </c>
      <c r="X1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70" spans="1:24" x14ac:dyDescent="0.25">
      <c r="A170">
        <v>1</v>
      </c>
      <c r="B170" t="s">
        <v>55</v>
      </c>
      <c r="C170">
        <v>8675668</v>
      </c>
      <c r="D170" t="s">
        <v>1963</v>
      </c>
      <c r="E170" t="s">
        <v>429</v>
      </c>
      <c r="F170" t="s">
        <v>160</v>
      </c>
      <c r="G170">
        <v>1</v>
      </c>
      <c r="H170">
        <v>1</v>
      </c>
      <c r="I170" t="s">
        <v>429</v>
      </c>
      <c r="J170">
        <v>0</v>
      </c>
      <c r="K170" t="s">
        <v>49</v>
      </c>
      <c r="L170" s="1">
        <f>+Tabla__192.168.1.8_POSEIDONSQL_APPFVT_01_tblFillRateFechas[[#This Row],[emb_cantidad]]-Tabla__192.168.1.8_POSEIDONSQL_APPFVT_01_tblFillRateFechas[[#This Row],[dev_cantidad]]</f>
        <v>1</v>
      </c>
      <c r="M170" s="1">
        <f>+IF(Tabla__192.168.1.8_POSEIDONSQL_APPFVT_01_tblFillRateFechas[[#This Row],[Cant_Resultante]]=Tabla__192.168.1.8_POSEIDONSQL_APPFVT_01_tblFillRateFechas[[#This Row],[cant_order]],1,0)</f>
        <v>1</v>
      </c>
      <c r="N1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0" s="1">
        <f>+IF(AND(Tabla__192.168.1.8_POSEIDONSQL_APPFVT_01_tblFillRateFechas[[#This Row],[Valida Cant]]=1,Tabla__192.168.1.8_POSEIDONSQL_APPFVT_01_tblFillRateFechas[[#This Row],[Valida Fec]]=1),1,0)</f>
        <v>1</v>
      </c>
      <c r="P170" s="1">
        <f>+(Tabla__192.168.1.8_POSEIDONSQL_APPFVT_01_tblFillRateFechas[[#This Row],[Cant_Resultante]]/Tabla__192.168.1.8_POSEIDONSQL_APPFVT_01_tblFillRateFechas[[#This Row],[cant_order]])*100</f>
        <v>100</v>
      </c>
      <c r="Q1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0" s="1">
        <f>+IF(Tabla__192.168.1.8_POSEIDONSQL_APPFVT_01_tblFillRateFechas[[#This Row],[cant_order]]&gt;0,1,0)</f>
        <v>1</v>
      </c>
      <c r="V170" s="1">
        <f>+IF(Tabla__192.168.1.8_POSEIDONSQL_APPFVT_01_tblFillRateFechas[[#This Row],[Resultado]]=1,1,0)</f>
        <v>1</v>
      </c>
      <c r="W170" s="1" t="str">
        <f>+Tabla__192.168.1.8_POSEIDONSQL_APPFVT_01_tblFillRateFechas[[#This Row],[con_ocnumero]]&amp;Tabla__192.168.1.8_POSEIDONSQL_APPFVT_01_tblFillRateFechas[[#This Row],[con_codigounico]]</f>
        <v>8675668-</v>
      </c>
      <c r="X1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1" spans="1:24" x14ac:dyDescent="0.25">
      <c r="A171">
        <v>1</v>
      </c>
      <c r="B171" t="s">
        <v>55</v>
      </c>
      <c r="C171">
        <v>8675715</v>
      </c>
      <c r="D171" t="s">
        <v>1963</v>
      </c>
      <c r="E171" t="s">
        <v>429</v>
      </c>
      <c r="F171" t="s">
        <v>160</v>
      </c>
      <c r="G171">
        <v>1</v>
      </c>
      <c r="H171">
        <v>1</v>
      </c>
      <c r="I171" t="s">
        <v>429</v>
      </c>
      <c r="J171">
        <v>0</v>
      </c>
      <c r="K171" t="s">
        <v>49</v>
      </c>
      <c r="L171" s="1">
        <f>+Tabla__192.168.1.8_POSEIDONSQL_APPFVT_01_tblFillRateFechas[[#This Row],[emb_cantidad]]-Tabla__192.168.1.8_POSEIDONSQL_APPFVT_01_tblFillRateFechas[[#This Row],[dev_cantidad]]</f>
        <v>1</v>
      </c>
      <c r="M171" s="1">
        <f>+IF(Tabla__192.168.1.8_POSEIDONSQL_APPFVT_01_tblFillRateFechas[[#This Row],[Cant_Resultante]]=Tabla__192.168.1.8_POSEIDONSQL_APPFVT_01_tblFillRateFechas[[#This Row],[cant_order]],1,0)</f>
        <v>1</v>
      </c>
      <c r="N1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1" s="1">
        <f>+IF(AND(Tabla__192.168.1.8_POSEIDONSQL_APPFVT_01_tblFillRateFechas[[#This Row],[Valida Cant]]=1,Tabla__192.168.1.8_POSEIDONSQL_APPFVT_01_tblFillRateFechas[[#This Row],[Valida Fec]]=1),1,0)</f>
        <v>1</v>
      </c>
      <c r="P171" s="1">
        <f>+(Tabla__192.168.1.8_POSEIDONSQL_APPFVT_01_tblFillRateFechas[[#This Row],[Cant_Resultante]]/Tabla__192.168.1.8_POSEIDONSQL_APPFVT_01_tblFillRateFechas[[#This Row],[cant_order]])*100</f>
        <v>100</v>
      </c>
      <c r="Q1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1" s="1">
        <f>+IF(Tabla__192.168.1.8_POSEIDONSQL_APPFVT_01_tblFillRateFechas[[#This Row],[cant_order]]&gt;0,1,0)</f>
        <v>1</v>
      </c>
      <c r="V171" s="1">
        <f>+IF(Tabla__192.168.1.8_POSEIDONSQL_APPFVT_01_tblFillRateFechas[[#This Row],[Resultado]]=1,1,0)</f>
        <v>1</v>
      </c>
      <c r="W171" s="1" t="str">
        <f>+Tabla__192.168.1.8_POSEIDONSQL_APPFVT_01_tblFillRateFechas[[#This Row],[con_ocnumero]]&amp;Tabla__192.168.1.8_POSEIDONSQL_APPFVT_01_tblFillRateFechas[[#This Row],[con_codigounico]]</f>
        <v>8675715-</v>
      </c>
      <c r="X1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2" spans="1:24" x14ac:dyDescent="0.25">
      <c r="A172">
        <v>1</v>
      </c>
      <c r="B172" t="s">
        <v>55</v>
      </c>
      <c r="C172">
        <v>8675790</v>
      </c>
      <c r="D172" t="s">
        <v>162</v>
      </c>
      <c r="E172" t="s">
        <v>429</v>
      </c>
      <c r="F172" t="s">
        <v>160</v>
      </c>
      <c r="G172">
        <v>1</v>
      </c>
      <c r="H172">
        <v>1</v>
      </c>
      <c r="I172" t="s">
        <v>429</v>
      </c>
      <c r="J172">
        <v>0</v>
      </c>
      <c r="K172" t="s">
        <v>49</v>
      </c>
      <c r="L172" s="1">
        <f>+Tabla__192.168.1.8_POSEIDONSQL_APPFVT_01_tblFillRateFechas[[#This Row],[emb_cantidad]]-Tabla__192.168.1.8_POSEIDONSQL_APPFVT_01_tblFillRateFechas[[#This Row],[dev_cantidad]]</f>
        <v>1</v>
      </c>
      <c r="M172" s="1">
        <f>+IF(Tabla__192.168.1.8_POSEIDONSQL_APPFVT_01_tblFillRateFechas[[#This Row],[Cant_Resultante]]=Tabla__192.168.1.8_POSEIDONSQL_APPFVT_01_tblFillRateFechas[[#This Row],[cant_order]],1,0)</f>
        <v>1</v>
      </c>
      <c r="N1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2" s="1">
        <f>+IF(AND(Tabla__192.168.1.8_POSEIDONSQL_APPFVT_01_tblFillRateFechas[[#This Row],[Valida Cant]]=1,Tabla__192.168.1.8_POSEIDONSQL_APPFVT_01_tblFillRateFechas[[#This Row],[Valida Fec]]=1),1,0)</f>
        <v>1</v>
      </c>
      <c r="P172" s="1">
        <f>+(Tabla__192.168.1.8_POSEIDONSQL_APPFVT_01_tblFillRateFechas[[#This Row],[Cant_Resultante]]/Tabla__192.168.1.8_POSEIDONSQL_APPFVT_01_tblFillRateFechas[[#This Row],[cant_order]])*100</f>
        <v>100</v>
      </c>
      <c r="Q1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2" s="1">
        <f>+IF(Tabla__192.168.1.8_POSEIDONSQL_APPFVT_01_tblFillRateFechas[[#This Row],[cant_order]]&gt;0,1,0)</f>
        <v>1</v>
      </c>
      <c r="V172" s="1">
        <f>+IF(Tabla__192.168.1.8_POSEIDONSQL_APPFVT_01_tblFillRateFechas[[#This Row],[Resultado]]=1,1,0)</f>
        <v>1</v>
      </c>
      <c r="W172" s="1" t="str">
        <f>+Tabla__192.168.1.8_POSEIDONSQL_APPFVT_01_tblFillRateFechas[[#This Row],[con_ocnumero]]&amp;Tabla__192.168.1.8_POSEIDONSQL_APPFVT_01_tblFillRateFechas[[#This Row],[con_codigounico]]</f>
        <v>8675790-</v>
      </c>
      <c r="X1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3" spans="1:24" x14ac:dyDescent="0.25">
      <c r="A173">
        <v>1</v>
      </c>
      <c r="B173" t="s">
        <v>55</v>
      </c>
      <c r="C173">
        <v>8675900</v>
      </c>
      <c r="D173" t="s">
        <v>162</v>
      </c>
      <c r="E173" t="s">
        <v>429</v>
      </c>
      <c r="F173" t="s">
        <v>160</v>
      </c>
      <c r="G173">
        <v>1</v>
      </c>
      <c r="H173">
        <v>1</v>
      </c>
      <c r="I173" t="s">
        <v>429</v>
      </c>
      <c r="J173">
        <v>0</v>
      </c>
      <c r="K173" t="s">
        <v>49</v>
      </c>
      <c r="L173" s="1">
        <f>+Tabla__192.168.1.8_POSEIDONSQL_APPFVT_01_tblFillRateFechas[[#This Row],[emb_cantidad]]-Tabla__192.168.1.8_POSEIDONSQL_APPFVT_01_tblFillRateFechas[[#This Row],[dev_cantidad]]</f>
        <v>1</v>
      </c>
      <c r="M173" s="1">
        <f>+IF(Tabla__192.168.1.8_POSEIDONSQL_APPFVT_01_tblFillRateFechas[[#This Row],[Cant_Resultante]]=Tabla__192.168.1.8_POSEIDONSQL_APPFVT_01_tblFillRateFechas[[#This Row],[cant_order]],1,0)</f>
        <v>1</v>
      </c>
      <c r="N1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3" s="1">
        <f>+IF(AND(Tabla__192.168.1.8_POSEIDONSQL_APPFVT_01_tblFillRateFechas[[#This Row],[Valida Cant]]=1,Tabla__192.168.1.8_POSEIDONSQL_APPFVT_01_tblFillRateFechas[[#This Row],[Valida Fec]]=1),1,0)</f>
        <v>1</v>
      </c>
      <c r="P173" s="1">
        <f>+(Tabla__192.168.1.8_POSEIDONSQL_APPFVT_01_tblFillRateFechas[[#This Row],[Cant_Resultante]]/Tabla__192.168.1.8_POSEIDONSQL_APPFVT_01_tblFillRateFechas[[#This Row],[cant_order]])*100</f>
        <v>100</v>
      </c>
      <c r="Q1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3" s="1">
        <f>+IF(Tabla__192.168.1.8_POSEIDONSQL_APPFVT_01_tblFillRateFechas[[#This Row],[cant_order]]&gt;0,1,0)</f>
        <v>1</v>
      </c>
      <c r="V173" s="1">
        <f>+IF(Tabla__192.168.1.8_POSEIDONSQL_APPFVT_01_tblFillRateFechas[[#This Row],[Resultado]]=1,1,0)</f>
        <v>1</v>
      </c>
      <c r="W173" s="1" t="str">
        <f>+Tabla__192.168.1.8_POSEIDONSQL_APPFVT_01_tblFillRateFechas[[#This Row],[con_ocnumero]]&amp;Tabla__192.168.1.8_POSEIDONSQL_APPFVT_01_tblFillRateFechas[[#This Row],[con_codigounico]]</f>
        <v>8675900-</v>
      </c>
      <c r="X1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4" spans="1:24" x14ac:dyDescent="0.25">
      <c r="A174">
        <v>1</v>
      </c>
      <c r="B174" t="s">
        <v>55</v>
      </c>
      <c r="C174">
        <v>8676006</v>
      </c>
      <c r="D174" t="s">
        <v>162</v>
      </c>
      <c r="E174" t="s">
        <v>429</v>
      </c>
      <c r="F174" t="s">
        <v>160</v>
      </c>
      <c r="G174">
        <v>2</v>
      </c>
      <c r="H174">
        <v>2</v>
      </c>
      <c r="I174" t="s">
        <v>429</v>
      </c>
      <c r="J174">
        <v>0</v>
      </c>
      <c r="K174" t="s">
        <v>49</v>
      </c>
      <c r="L174" s="1">
        <f>+Tabla__192.168.1.8_POSEIDONSQL_APPFVT_01_tblFillRateFechas[[#This Row],[emb_cantidad]]-Tabla__192.168.1.8_POSEIDONSQL_APPFVT_01_tblFillRateFechas[[#This Row],[dev_cantidad]]</f>
        <v>2</v>
      </c>
      <c r="M174" s="1">
        <f>+IF(Tabla__192.168.1.8_POSEIDONSQL_APPFVT_01_tblFillRateFechas[[#This Row],[Cant_Resultante]]=Tabla__192.168.1.8_POSEIDONSQL_APPFVT_01_tblFillRateFechas[[#This Row],[cant_order]],1,0)</f>
        <v>1</v>
      </c>
      <c r="N1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4" s="1">
        <f>+IF(AND(Tabla__192.168.1.8_POSEIDONSQL_APPFVT_01_tblFillRateFechas[[#This Row],[Valida Cant]]=1,Tabla__192.168.1.8_POSEIDONSQL_APPFVT_01_tblFillRateFechas[[#This Row],[Valida Fec]]=1),1,0)</f>
        <v>1</v>
      </c>
      <c r="P174" s="1">
        <f>+(Tabla__192.168.1.8_POSEIDONSQL_APPFVT_01_tblFillRateFechas[[#This Row],[Cant_Resultante]]/Tabla__192.168.1.8_POSEIDONSQL_APPFVT_01_tblFillRateFechas[[#This Row],[cant_order]])*100</f>
        <v>100</v>
      </c>
      <c r="Q1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4" s="1">
        <f>+IF(Tabla__192.168.1.8_POSEIDONSQL_APPFVT_01_tblFillRateFechas[[#This Row],[cant_order]]&gt;0,1,0)</f>
        <v>1</v>
      </c>
      <c r="V174" s="1">
        <f>+IF(Tabla__192.168.1.8_POSEIDONSQL_APPFVT_01_tblFillRateFechas[[#This Row],[Resultado]]=1,1,0)</f>
        <v>1</v>
      </c>
      <c r="W174" s="1" t="str">
        <f>+Tabla__192.168.1.8_POSEIDONSQL_APPFVT_01_tblFillRateFechas[[#This Row],[con_ocnumero]]&amp;Tabla__192.168.1.8_POSEIDONSQL_APPFVT_01_tblFillRateFechas[[#This Row],[con_codigounico]]</f>
        <v>8676006-</v>
      </c>
      <c r="X1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75" spans="1:24" x14ac:dyDescent="0.25">
      <c r="A175">
        <v>1</v>
      </c>
      <c r="B175" t="s">
        <v>55</v>
      </c>
      <c r="C175">
        <v>8676560</v>
      </c>
      <c r="D175" t="s">
        <v>162</v>
      </c>
      <c r="E175" t="s">
        <v>425</v>
      </c>
      <c r="F175" t="s">
        <v>160</v>
      </c>
      <c r="G175">
        <v>1</v>
      </c>
      <c r="H175">
        <v>1</v>
      </c>
      <c r="I175" t="s">
        <v>425</v>
      </c>
      <c r="J175">
        <v>0</v>
      </c>
      <c r="K175" t="s">
        <v>49</v>
      </c>
      <c r="L175" s="1">
        <f>+Tabla__192.168.1.8_POSEIDONSQL_APPFVT_01_tblFillRateFechas[[#This Row],[emb_cantidad]]-Tabla__192.168.1.8_POSEIDONSQL_APPFVT_01_tblFillRateFechas[[#This Row],[dev_cantidad]]</f>
        <v>1</v>
      </c>
      <c r="M175" s="1">
        <f>+IF(Tabla__192.168.1.8_POSEIDONSQL_APPFVT_01_tblFillRateFechas[[#This Row],[Cant_Resultante]]=Tabla__192.168.1.8_POSEIDONSQL_APPFVT_01_tblFillRateFechas[[#This Row],[cant_order]],1,0)</f>
        <v>1</v>
      </c>
      <c r="N1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5" s="1">
        <f>+IF(AND(Tabla__192.168.1.8_POSEIDONSQL_APPFVT_01_tblFillRateFechas[[#This Row],[Valida Cant]]=1,Tabla__192.168.1.8_POSEIDONSQL_APPFVT_01_tblFillRateFechas[[#This Row],[Valida Fec]]=1),1,0)</f>
        <v>1</v>
      </c>
      <c r="P175" s="1">
        <f>+(Tabla__192.168.1.8_POSEIDONSQL_APPFVT_01_tblFillRateFechas[[#This Row],[Cant_Resultante]]/Tabla__192.168.1.8_POSEIDONSQL_APPFVT_01_tblFillRateFechas[[#This Row],[cant_order]])*100</f>
        <v>100</v>
      </c>
      <c r="Q1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5" s="1">
        <f>+IF(Tabla__192.168.1.8_POSEIDONSQL_APPFVT_01_tblFillRateFechas[[#This Row],[cant_order]]&gt;0,1,0)</f>
        <v>1</v>
      </c>
      <c r="V175" s="1">
        <f>+IF(Tabla__192.168.1.8_POSEIDONSQL_APPFVT_01_tblFillRateFechas[[#This Row],[Resultado]]=1,1,0)</f>
        <v>1</v>
      </c>
      <c r="W175" s="1" t="str">
        <f>+Tabla__192.168.1.8_POSEIDONSQL_APPFVT_01_tblFillRateFechas[[#This Row],[con_ocnumero]]&amp;Tabla__192.168.1.8_POSEIDONSQL_APPFVT_01_tblFillRateFechas[[#This Row],[con_codigounico]]</f>
        <v>8676560-</v>
      </c>
      <c r="X1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6" spans="1:24" x14ac:dyDescent="0.25">
      <c r="A176">
        <v>1</v>
      </c>
      <c r="B176" t="s">
        <v>55</v>
      </c>
      <c r="C176">
        <v>8676620</v>
      </c>
      <c r="D176" t="s">
        <v>162</v>
      </c>
      <c r="E176" t="s">
        <v>429</v>
      </c>
      <c r="F176" t="s">
        <v>160</v>
      </c>
      <c r="G176">
        <v>1</v>
      </c>
      <c r="H176">
        <v>1</v>
      </c>
      <c r="I176" t="s">
        <v>429</v>
      </c>
      <c r="J176">
        <v>0</v>
      </c>
      <c r="K176" t="s">
        <v>49</v>
      </c>
      <c r="L176" s="1">
        <f>+Tabla__192.168.1.8_POSEIDONSQL_APPFVT_01_tblFillRateFechas[[#This Row],[emb_cantidad]]-Tabla__192.168.1.8_POSEIDONSQL_APPFVT_01_tblFillRateFechas[[#This Row],[dev_cantidad]]</f>
        <v>1</v>
      </c>
      <c r="M176" s="1">
        <f>+IF(Tabla__192.168.1.8_POSEIDONSQL_APPFVT_01_tblFillRateFechas[[#This Row],[Cant_Resultante]]=Tabla__192.168.1.8_POSEIDONSQL_APPFVT_01_tblFillRateFechas[[#This Row],[cant_order]],1,0)</f>
        <v>1</v>
      </c>
      <c r="N1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6" s="1">
        <f>+IF(AND(Tabla__192.168.1.8_POSEIDONSQL_APPFVT_01_tblFillRateFechas[[#This Row],[Valida Cant]]=1,Tabla__192.168.1.8_POSEIDONSQL_APPFVT_01_tblFillRateFechas[[#This Row],[Valida Fec]]=1),1,0)</f>
        <v>1</v>
      </c>
      <c r="P176" s="1">
        <f>+(Tabla__192.168.1.8_POSEIDONSQL_APPFVT_01_tblFillRateFechas[[#This Row],[Cant_Resultante]]/Tabla__192.168.1.8_POSEIDONSQL_APPFVT_01_tblFillRateFechas[[#This Row],[cant_order]])*100</f>
        <v>100</v>
      </c>
      <c r="Q1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6" s="1">
        <f>+IF(Tabla__192.168.1.8_POSEIDONSQL_APPFVT_01_tblFillRateFechas[[#This Row],[cant_order]]&gt;0,1,0)</f>
        <v>1</v>
      </c>
      <c r="V176" s="1">
        <f>+IF(Tabla__192.168.1.8_POSEIDONSQL_APPFVT_01_tblFillRateFechas[[#This Row],[Resultado]]=1,1,0)</f>
        <v>1</v>
      </c>
      <c r="W176" s="1" t="str">
        <f>+Tabla__192.168.1.8_POSEIDONSQL_APPFVT_01_tblFillRateFechas[[#This Row],[con_ocnumero]]&amp;Tabla__192.168.1.8_POSEIDONSQL_APPFVT_01_tblFillRateFechas[[#This Row],[con_codigounico]]</f>
        <v>8676620-</v>
      </c>
      <c r="X1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77" spans="1:24" x14ac:dyDescent="0.25">
      <c r="A177">
        <v>1</v>
      </c>
      <c r="B177" t="s">
        <v>55</v>
      </c>
      <c r="C177">
        <v>8676775</v>
      </c>
      <c r="D177" t="s">
        <v>162</v>
      </c>
      <c r="E177" t="s">
        <v>163</v>
      </c>
      <c r="F177" t="s">
        <v>160</v>
      </c>
      <c r="G177">
        <v>66</v>
      </c>
      <c r="H177">
        <v>66</v>
      </c>
      <c r="I177" t="s">
        <v>163</v>
      </c>
      <c r="J177">
        <v>0</v>
      </c>
      <c r="K177" t="s">
        <v>49</v>
      </c>
      <c r="L177" s="1">
        <f>+Tabla__192.168.1.8_POSEIDONSQL_APPFVT_01_tblFillRateFechas[[#This Row],[emb_cantidad]]-Tabla__192.168.1.8_POSEIDONSQL_APPFVT_01_tblFillRateFechas[[#This Row],[dev_cantidad]]</f>
        <v>66</v>
      </c>
      <c r="M177" s="1">
        <f>+IF(Tabla__192.168.1.8_POSEIDONSQL_APPFVT_01_tblFillRateFechas[[#This Row],[Cant_Resultante]]=Tabla__192.168.1.8_POSEIDONSQL_APPFVT_01_tblFillRateFechas[[#This Row],[cant_order]],1,0)</f>
        <v>1</v>
      </c>
      <c r="N1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7" s="1">
        <f>+IF(AND(Tabla__192.168.1.8_POSEIDONSQL_APPFVT_01_tblFillRateFechas[[#This Row],[Valida Cant]]=1,Tabla__192.168.1.8_POSEIDONSQL_APPFVT_01_tblFillRateFechas[[#This Row],[Valida Fec]]=1),1,0)</f>
        <v>1</v>
      </c>
      <c r="P177" s="1">
        <f>+(Tabla__192.168.1.8_POSEIDONSQL_APPFVT_01_tblFillRateFechas[[#This Row],[Cant_Resultante]]/Tabla__192.168.1.8_POSEIDONSQL_APPFVT_01_tblFillRateFechas[[#This Row],[cant_order]])*100</f>
        <v>100</v>
      </c>
      <c r="Q1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66</v>
      </c>
      <c r="R1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66</v>
      </c>
      <c r="T1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7" s="1">
        <f>+IF(Tabla__192.168.1.8_POSEIDONSQL_APPFVT_01_tblFillRateFechas[[#This Row],[cant_order]]&gt;0,1,0)</f>
        <v>1</v>
      </c>
      <c r="V177" s="1">
        <f>+IF(Tabla__192.168.1.8_POSEIDONSQL_APPFVT_01_tblFillRateFechas[[#This Row],[Resultado]]=1,1,0)</f>
        <v>1</v>
      </c>
      <c r="W177" s="1" t="str">
        <f>+Tabla__192.168.1.8_POSEIDONSQL_APPFVT_01_tblFillRateFechas[[#This Row],[con_ocnumero]]&amp;Tabla__192.168.1.8_POSEIDONSQL_APPFVT_01_tblFillRateFechas[[#This Row],[con_codigounico]]</f>
        <v>8676775-</v>
      </c>
      <c r="X1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66</v>
      </c>
    </row>
    <row r="178" spans="1:24" x14ac:dyDescent="0.25">
      <c r="A178">
        <v>1</v>
      </c>
      <c r="B178" t="s">
        <v>55</v>
      </c>
      <c r="C178">
        <v>8676865</v>
      </c>
      <c r="D178" t="s">
        <v>162</v>
      </c>
      <c r="E178" t="s">
        <v>161</v>
      </c>
      <c r="F178" t="s">
        <v>162</v>
      </c>
      <c r="G178">
        <v>1241</v>
      </c>
      <c r="H178">
        <v>3</v>
      </c>
      <c r="I178" t="s">
        <v>161</v>
      </c>
      <c r="J178">
        <v>0</v>
      </c>
      <c r="K178" t="s">
        <v>49</v>
      </c>
      <c r="L178" s="1">
        <f>+Tabla__192.168.1.8_POSEIDONSQL_APPFVT_01_tblFillRateFechas[[#This Row],[emb_cantidad]]-Tabla__192.168.1.8_POSEIDONSQL_APPFVT_01_tblFillRateFechas[[#This Row],[dev_cantidad]]</f>
        <v>3</v>
      </c>
      <c r="M178" s="1">
        <f>+IF(Tabla__192.168.1.8_POSEIDONSQL_APPFVT_01_tblFillRateFechas[[#This Row],[Cant_Resultante]]=Tabla__192.168.1.8_POSEIDONSQL_APPFVT_01_tblFillRateFechas[[#This Row],[cant_order]],1,0)</f>
        <v>0</v>
      </c>
      <c r="N1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8" s="1">
        <f>+IF(AND(Tabla__192.168.1.8_POSEIDONSQL_APPFVT_01_tblFillRateFechas[[#This Row],[Valida Cant]]=1,Tabla__192.168.1.8_POSEIDONSQL_APPFVT_01_tblFillRateFechas[[#This Row],[Valida Fec]]=1),1,0)</f>
        <v>0</v>
      </c>
      <c r="P178" s="1">
        <f>+(Tabla__192.168.1.8_POSEIDONSQL_APPFVT_01_tblFillRateFechas[[#This Row],[Cant_Resultante]]/Tabla__192.168.1.8_POSEIDONSQL_APPFVT_01_tblFillRateFechas[[#This Row],[cant_order]])*100</f>
        <v>0.24174053182917005</v>
      </c>
      <c r="Q1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</v>
      </c>
      <c r="R1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</v>
      </c>
      <c r="T1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1238</v>
      </c>
      <c r="U178" s="1">
        <f>+IF(Tabla__192.168.1.8_POSEIDONSQL_APPFVT_01_tblFillRateFechas[[#This Row],[cant_order]]&gt;0,1,0)</f>
        <v>1</v>
      </c>
      <c r="V178" s="1">
        <f>+IF(Tabla__192.168.1.8_POSEIDONSQL_APPFVT_01_tblFillRateFechas[[#This Row],[Resultado]]=1,1,0)</f>
        <v>0</v>
      </c>
      <c r="W178" s="1" t="str">
        <f>+Tabla__192.168.1.8_POSEIDONSQL_APPFVT_01_tblFillRateFechas[[#This Row],[con_ocnumero]]&amp;Tabla__192.168.1.8_POSEIDONSQL_APPFVT_01_tblFillRateFechas[[#This Row],[con_codigounico]]</f>
        <v>8676865-</v>
      </c>
      <c r="X1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</v>
      </c>
    </row>
    <row r="179" spans="1:24" x14ac:dyDescent="0.25">
      <c r="A179">
        <v>1</v>
      </c>
      <c r="B179" t="s">
        <v>55</v>
      </c>
      <c r="C179">
        <v>8677166</v>
      </c>
      <c r="D179" t="s">
        <v>162</v>
      </c>
      <c r="E179" t="s">
        <v>429</v>
      </c>
      <c r="F179" t="s">
        <v>160</v>
      </c>
      <c r="G179">
        <v>1</v>
      </c>
      <c r="H179">
        <v>1</v>
      </c>
      <c r="I179" t="s">
        <v>429</v>
      </c>
      <c r="J179">
        <v>0</v>
      </c>
      <c r="K179" t="s">
        <v>49</v>
      </c>
      <c r="L179" s="1">
        <f>+Tabla__192.168.1.8_POSEIDONSQL_APPFVT_01_tblFillRateFechas[[#This Row],[emb_cantidad]]-Tabla__192.168.1.8_POSEIDONSQL_APPFVT_01_tblFillRateFechas[[#This Row],[dev_cantidad]]</f>
        <v>1</v>
      </c>
      <c r="M179" s="1">
        <f>+IF(Tabla__192.168.1.8_POSEIDONSQL_APPFVT_01_tblFillRateFechas[[#This Row],[Cant_Resultante]]=Tabla__192.168.1.8_POSEIDONSQL_APPFVT_01_tblFillRateFechas[[#This Row],[cant_order]],1,0)</f>
        <v>1</v>
      </c>
      <c r="N1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79" s="1">
        <f>+IF(AND(Tabla__192.168.1.8_POSEIDONSQL_APPFVT_01_tblFillRateFechas[[#This Row],[Valida Cant]]=1,Tabla__192.168.1.8_POSEIDONSQL_APPFVT_01_tblFillRateFechas[[#This Row],[Valida Fec]]=1),1,0)</f>
        <v>1</v>
      </c>
      <c r="P179" s="1">
        <f>+(Tabla__192.168.1.8_POSEIDONSQL_APPFVT_01_tblFillRateFechas[[#This Row],[Cant_Resultante]]/Tabla__192.168.1.8_POSEIDONSQL_APPFVT_01_tblFillRateFechas[[#This Row],[cant_order]])*100</f>
        <v>100</v>
      </c>
      <c r="Q1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79" s="1">
        <f>+IF(Tabla__192.168.1.8_POSEIDONSQL_APPFVT_01_tblFillRateFechas[[#This Row],[cant_order]]&gt;0,1,0)</f>
        <v>1</v>
      </c>
      <c r="V179" s="1">
        <f>+IF(Tabla__192.168.1.8_POSEIDONSQL_APPFVT_01_tblFillRateFechas[[#This Row],[Resultado]]=1,1,0)</f>
        <v>1</v>
      </c>
      <c r="W179" s="1" t="str">
        <f>+Tabla__192.168.1.8_POSEIDONSQL_APPFVT_01_tblFillRateFechas[[#This Row],[con_ocnumero]]&amp;Tabla__192.168.1.8_POSEIDONSQL_APPFVT_01_tblFillRateFechas[[#This Row],[con_codigounico]]</f>
        <v>8677166-</v>
      </c>
      <c r="X1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0" spans="1:24" x14ac:dyDescent="0.25">
      <c r="A180">
        <v>1</v>
      </c>
      <c r="B180" t="s">
        <v>55</v>
      </c>
      <c r="C180">
        <v>8677846</v>
      </c>
      <c r="D180" t="s">
        <v>162</v>
      </c>
      <c r="E180" t="s">
        <v>429</v>
      </c>
      <c r="F180" t="s">
        <v>161</v>
      </c>
      <c r="G180">
        <v>1</v>
      </c>
      <c r="H180">
        <v>1</v>
      </c>
      <c r="I180" t="s">
        <v>429</v>
      </c>
      <c r="J180">
        <v>0</v>
      </c>
      <c r="K180" t="s">
        <v>49</v>
      </c>
      <c r="L180" s="1">
        <f>+Tabla__192.168.1.8_POSEIDONSQL_APPFVT_01_tblFillRateFechas[[#This Row],[emb_cantidad]]-Tabla__192.168.1.8_POSEIDONSQL_APPFVT_01_tblFillRateFechas[[#This Row],[dev_cantidad]]</f>
        <v>1</v>
      </c>
      <c r="M180" s="1">
        <f>+IF(Tabla__192.168.1.8_POSEIDONSQL_APPFVT_01_tblFillRateFechas[[#This Row],[Cant_Resultante]]=Tabla__192.168.1.8_POSEIDONSQL_APPFVT_01_tblFillRateFechas[[#This Row],[cant_order]],1,0)</f>
        <v>1</v>
      </c>
      <c r="N1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0" s="1">
        <f>+IF(AND(Tabla__192.168.1.8_POSEIDONSQL_APPFVT_01_tblFillRateFechas[[#This Row],[Valida Cant]]=1,Tabla__192.168.1.8_POSEIDONSQL_APPFVT_01_tblFillRateFechas[[#This Row],[Valida Fec]]=1),1,0)</f>
        <v>1</v>
      </c>
      <c r="P180" s="1">
        <f>+(Tabla__192.168.1.8_POSEIDONSQL_APPFVT_01_tblFillRateFechas[[#This Row],[Cant_Resultante]]/Tabla__192.168.1.8_POSEIDONSQL_APPFVT_01_tblFillRateFechas[[#This Row],[cant_order]])*100</f>
        <v>100</v>
      </c>
      <c r="Q1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0" s="1">
        <f>+IF(Tabla__192.168.1.8_POSEIDONSQL_APPFVT_01_tblFillRateFechas[[#This Row],[cant_order]]&gt;0,1,0)</f>
        <v>1</v>
      </c>
      <c r="V180" s="1">
        <f>+IF(Tabla__192.168.1.8_POSEIDONSQL_APPFVT_01_tblFillRateFechas[[#This Row],[Resultado]]=1,1,0)</f>
        <v>1</v>
      </c>
      <c r="W180" s="1" t="str">
        <f>+Tabla__192.168.1.8_POSEIDONSQL_APPFVT_01_tblFillRateFechas[[#This Row],[con_ocnumero]]&amp;Tabla__192.168.1.8_POSEIDONSQL_APPFVT_01_tblFillRateFechas[[#This Row],[con_codigounico]]</f>
        <v>8677846-</v>
      </c>
      <c r="X1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1" spans="1:24" x14ac:dyDescent="0.25">
      <c r="A181">
        <v>1</v>
      </c>
      <c r="B181" t="s">
        <v>55</v>
      </c>
      <c r="C181">
        <v>8679273</v>
      </c>
      <c r="D181" t="s">
        <v>160</v>
      </c>
      <c r="E181" t="s">
        <v>429</v>
      </c>
      <c r="F181" t="s">
        <v>161</v>
      </c>
      <c r="G181">
        <v>1</v>
      </c>
      <c r="H181">
        <v>0</v>
      </c>
      <c r="I181" t="s">
        <v>12</v>
      </c>
      <c r="J181">
        <v>0</v>
      </c>
      <c r="K181" t="s">
        <v>49</v>
      </c>
      <c r="L181" s="1">
        <f>+Tabla__192.168.1.8_POSEIDONSQL_APPFVT_01_tblFillRateFechas[[#This Row],[emb_cantidad]]-Tabla__192.168.1.8_POSEIDONSQL_APPFVT_01_tblFillRateFechas[[#This Row],[dev_cantidad]]</f>
        <v>0</v>
      </c>
      <c r="M181" s="1">
        <f>+IF(Tabla__192.168.1.8_POSEIDONSQL_APPFVT_01_tblFillRateFechas[[#This Row],[Cant_Resultante]]=Tabla__192.168.1.8_POSEIDONSQL_APPFVT_01_tblFillRateFechas[[#This Row],[cant_order]],1,0)</f>
        <v>0</v>
      </c>
      <c r="N1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81" s="1">
        <f>+IF(AND(Tabla__192.168.1.8_POSEIDONSQL_APPFVT_01_tblFillRateFechas[[#This Row],[Valida Cant]]=1,Tabla__192.168.1.8_POSEIDONSQL_APPFVT_01_tblFillRateFechas[[#This Row],[Valida Fec]]=1),1,0)</f>
        <v>0</v>
      </c>
      <c r="P181" s="1">
        <f>+(Tabla__192.168.1.8_POSEIDONSQL_APPFVT_01_tblFillRateFechas[[#This Row],[Cant_Resultante]]/Tabla__192.168.1.8_POSEIDONSQL_APPFVT_01_tblFillRateFechas[[#This Row],[cant_order]])*100</f>
        <v>0</v>
      </c>
      <c r="Q1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81" s="1">
        <f>+IF(Tabla__192.168.1.8_POSEIDONSQL_APPFVT_01_tblFillRateFechas[[#This Row],[cant_order]]&gt;0,1,0)</f>
        <v>1</v>
      </c>
      <c r="V181" s="1">
        <f>+IF(Tabla__192.168.1.8_POSEIDONSQL_APPFVT_01_tblFillRateFechas[[#This Row],[Resultado]]=1,1,0)</f>
        <v>0</v>
      </c>
      <c r="W181" s="1" t="str">
        <f>+Tabla__192.168.1.8_POSEIDONSQL_APPFVT_01_tblFillRateFechas[[#This Row],[con_ocnumero]]&amp;Tabla__192.168.1.8_POSEIDONSQL_APPFVT_01_tblFillRateFechas[[#This Row],[con_codigounico]]</f>
        <v>8679273-</v>
      </c>
      <c r="X1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82" spans="1:24" x14ac:dyDescent="0.25">
      <c r="A182">
        <v>1</v>
      </c>
      <c r="B182" t="s">
        <v>55</v>
      </c>
      <c r="C182">
        <v>8680080</v>
      </c>
      <c r="D182" t="s">
        <v>160</v>
      </c>
      <c r="E182" t="s">
        <v>425</v>
      </c>
      <c r="F182" t="s">
        <v>1969</v>
      </c>
      <c r="G182">
        <v>1</v>
      </c>
      <c r="H182">
        <v>1</v>
      </c>
      <c r="I182" t="s">
        <v>425</v>
      </c>
      <c r="J182">
        <v>0</v>
      </c>
      <c r="K182" t="s">
        <v>49</v>
      </c>
      <c r="L182" s="1">
        <f>+Tabla__192.168.1.8_POSEIDONSQL_APPFVT_01_tblFillRateFechas[[#This Row],[emb_cantidad]]-Tabla__192.168.1.8_POSEIDONSQL_APPFVT_01_tblFillRateFechas[[#This Row],[dev_cantidad]]</f>
        <v>1</v>
      </c>
      <c r="M182" s="1">
        <f>+IF(Tabla__192.168.1.8_POSEIDONSQL_APPFVT_01_tblFillRateFechas[[#This Row],[Cant_Resultante]]=Tabla__192.168.1.8_POSEIDONSQL_APPFVT_01_tblFillRateFechas[[#This Row],[cant_order]],1,0)</f>
        <v>1</v>
      </c>
      <c r="N1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2" s="1">
        <f>+IF(AND(Tabla__192.168.1.8_POSEIDONSQL_APPFVT_01_tblFillRateFechas[[#This Row],[Valida Cant]]=1,Tabla__192.168.1.8_POSEIDONSQL_APPFVT_01_tblFillRateFechas[[#This Row],[Valida Fec]]=1),1,0)</f>
        <v>1</v>
      </c>
      <c r="P182" s="1">
        <f>+(Tabla__192.168.1.8_POSEIDONSQL_APPFVT_01_tblFillRateFechas[[#This Row],[Cant_Resultante]]/Tabla__192.168.1.8_POSEIDONSQL_APPFVT_01_tblFillRateFechas[[#This Row],[cant_order]])*100</f>
        <v>100</v>
      </c>
      <c r="Q1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2" s="1">
        <f>+IF(Tabla__192.168.1.8_POSEIDONSQL_APPFVT_01_tblFillRateFechas[[#This Row],[cant_order]]&gt;0,1,0)</f>
        <v>1</v>
      </c>
      <c r="V182" s="1">
        <f>+IF(Tabla__192.168.1.8_POSEIDONSQL_APPFVT_01_tblFillRateFechas[[#This Row],[Resultado]]=1,1,0)</f>
        <v>1</v>
      </c>
      <c r="W182" s="1" t="str">
        <f>+Tabla__192.168.1.8_POSEIDONSQL_APPFVT_01_tblFillRateFechas[[#This Row],[con_ocnumero]]&amp;Tabla__192.168.1.8_POSEIDONSQL_APPFVT_01_tblFillRateFechas[[#This Row],[con_codigounico]]</f>
        <v>8680080-</v>
      </c>
      <c r="X1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3" spans="1:24" x14ac:dyDescent="0.25">
      <c r="A183">
        <v>1</v>
      </c>
      <c r="B183" t="s">
        <v>55</v>
      </c>
      <c r="C183">
        <v>8680106</v>
      </c>
      <c r="D183" t="s">
        <v>160</v>
      </c>
      <c r="E183" t="s">
        <v>425</v>
      </c>
      <c r="F183" t="s">
        <v>1969</v>
      </c>
      <c r="G183">
        <v>1</v>
      </c>
      <c r="H183">
        <v>1</v>
      </c>
      <c r="I183" t="s">
        <v>425</v>
      </c>
      <c r="J183">
        <v>0</v>
      </c>
      <c r="K183" t="s">
        <v>49</v>
      </c>
      <c r="L183" s="1">
        <f>+Tabla__192.168.1.8_POSEIDONSQL_APPFVT_01_tblFillRateFechas[[#This Row],[emb_cantidad]]-Tabla__192.168.1.8_POSEIDONSQL_APPFVT_01_tblFillRateFechas[[#This Row],[dev_cantidad]]</f>
        <v>1</v>
      </c>
      <c r="M183" s="1">
        <f>+IF(Tabla__192.168.1.8_POSEIDONSQL_APPFVT_01_tblFillRateFechas[[#This Row],[Cant_Resultante]]=Tabla__192.168.1.8_POSEIDONSQL_APPFVT_01_tblFillRateFechas[[#This Row],[cant_order]],1,0)</f>
        <v>1</v>
      </c>
      <c r="N1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3" s="1">
        <f>+IF(AND(Tabla__192.168.1.8_POSEIDONSQL_APPFVT_01_tblFillRateFechas[[#This Row],[Valida Cant]]=1,Tabla__192.168.1.8_POSEIDONSQL_APPFVT_01_tblFillRateFechas[[#This Row],[Valida Fec]]=1),1,0)</f>
        <v>1</v>
      </c>
      <c r="P183" s="1">
        <f>+(Tabla__192.168.1.8_POSEIDONSQL_APPFVT_01_tblFillRateFechas[[#This Row],[Cant_Resultante]]/Tabla__192.168.1.8_POSEIDONSQL_APPFVT_01_tblFillRateFechas[[#This Row],[cant_order]])*100</f>
        <v>100</v>
      </c>
      <c r="Q1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3" s="1">
        <f>+IF(Tabla__192.168.1.8_POSEIDONSQL_APPFVT_01_tblFillRateFechas[[#This Row],[cant_order]]&gt;0,1,0)</f>
        <v>1</v>
      </c>
      <c r="V183" s="1">
        <f>+IF(Tabla__192.168.1.8_POSEIDONSQL_APPFVT_01_tblFillRateFechas[[#This Row],[Resultado]]=1,1,0)</f>
        <v>1</v>
      </c>
      <c r="W183" s="1" t="str">
        <f>+Tabla__192.168.1.8_POSEIDONSQL_APPFVT_01_tblFillRateFechas[[#This Row],[con_ocnumero]]&amp;Tabla__192.168.1.8_POSEIDONSQL_APPFVT_01_tblFillRateFechas[[#This Row],[con_codigounico]]</f>
        <v>8680106-</v>
      </c>
      <c r="X1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4" spans="1:24" x14ac:dyDescent="0.25">
      <c r="A184">
        <v>1</v>
      </c>
      <c r="B184" t="s">
        <v>55</v>
      </c>
      <c r="C184">
        <v>8680421</v>
      </c>
      <c r="D184" t="s">
        <v>161</v>
      </c>
      <c r="E184" t="s">
        <v>425</v>
      </c>
      <c r="F184" t="s">
        <v>1969</v>
      </c>
      <c r="G184">
        <v>1</v>
      </c>
      <c r="H184">
        <v>1</v>
      </c>
      <c r="I184" t="s">
        <v>425</v>
      </c>
      <c r="J184">
        <v>0</v>
      </c>
      <c r="K184" t="s">
        <v>49</v>
      </c>
      <c r="L184" s="1">
        <f>+Tabla__192.168.1.8_POSEIDONSQL_APPFVT_01_tblFillRateFechas[[#This Row],[emb_cantidad]]-Tabla__192.168.1.8_POSEIDONSQL_APPFVT_01_tblFillRateFechas[[#This Row],[dev_cantidad]]</f>
        <v>1</v>
      </c>
      <c r="M184" s="1">
        <f>+IF(Tabla__192.168.1.8_POSEIDONSQL_APPFVT_01_tblFillRateFechas[[#This Row],[Cant_Resultante]]=Tabla__192.168.1.8_POSEIDONSQL_APPFVT_01_tblFillRateFechas[[#This Row],[cant_order]],1,0)</f>
        <v>1</v>
      </c>
      <c r="N1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4" s="1">
        <f>+IF(AND(Tabla__192.168.1.8_POSEIDONSQL_APPFVT_01_tblFillRateFechas[[#This Row],[Valida Cant]]=1,Tabla__192.168.1.8_POSEIDONSQL_APPFVT_01_tblFillRateFechas[[#This Row],[Valida Fec]]=1),1,0)</f>
        <v>1</v>
      </c>
      <c r="P184" s="1">
        <f>+(Tabla__192.168.1.8_POSEIDONSQL_APPFVT_01_tblFillRateFechas[[#This Row],[Cant_Resultante]]/Tabla__192.168.1.8_POSEIDONSQL_APPFVT_01_tblFillRateFechas[[#This Row],[cant_order]])*100</f>
        <v>100</v>
      </c>
      <c r="Q1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4" s="1">
        <f>+IF(Tabla__192.168.1.8_POSEIDONSQL_APPFVT_01_tblFillRateFechas[[#This Row],[cant_order]]&gt;0,1,0)</f>
        <v>1</v>
      </c>
      <c r="V184" s="1">
        <f>+IF(Tabla__192.168.1.8_POSEIDONSQL_APPFVT_01_tblFillRateFechas[[#This Row],[Resultado]]=1,1,0)</f>
        <v>1</v>
      </c>
      <c r="W184" s="1" t="str">
        <f>+Tabla__192.168.1.8_POSEIDONSQL_APPFVT_01_tblFillRateFechas[[#This Row],[con_ocnumero]]&amp;Tabla__192.168.1.8_POSEIDONSQL_APPFVT_01_tblFillRateFechas[[#This Row],[con_codigounico]]</f>
        <v>8680421-</v>
      </c>
      <c r="X1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5" spans="1:24" x14ac:dyDescent="0.25">
      <c r="A185">
        <v>1</v>
      </c>
      <c r="B185" t="s">
        <v>55</v>
      </c>
      <c r="C185">
        <v>8680428</v>
      </c>
      <c r="D185" t="s">
        <v>161</v>
      </c>
      <c r="E185" t="s">
        <v>429</v>
      </c>
      <c r="F185" t="s">
        <v>1969</v>
      </c>
      <c r="G185">
        <v>1</v>
      </c>
      <c r="H185">
        <v>1</v>
      </c>
      <c r="I185" t="s">
        <v>429</v>
      </c>
      <c r="J185">
        <v>0</v>
      </c>
      <c r="K185" t="s">
        <v>49</v>
      </c>
      <c r="L185" s="1">
        <f>+Tabla__192.168.1.8_POSEIDONSQL_APPFVT_01_tblFillRateFechas[[#This Row],[emb_cantidad]]-Tabla__192.168.1.8_POSEIDONSQL_APPFVT_01_tblFillRateFechas[[#This Row],[dev_cantidad]]</f>
        <v>1</v>
      </c>
      <c r="M185" s="1">
        <f>+IF(Tabla__192.168.1.8_POSEIDONSQL_APPFVT_01_tblFillRateFechas[[#This Row],[Cant_Resultante]]=Tabla__192.168.1.8_POSEIDONSQL_APPFVT_01_tblFillRateFechas[[#This Row],[cant_order]],1,0)</f>
        <v>1</v>
      </c>
      <c r="N1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5" s="1">
        <f>+IF(AND(Tabla__192.168.1.8_POSEIDONSQL_APPFVT_01_tblFillRateFechas[[#This Row],[Valida Cant]]=1,Tabla__192.168.1.8_POSEIDONSQL_APPFVT_01_tblFillRateFechas[[#This Row],[Valida Fec]]=1),1,0)</f>
        <v>1</v>
      </c>
      <c r="P185" s="1">
        <f>+(Tabla__192.168.1.8_POSEIDONSQL_APPFVT_01_tblFillRateFechas[[#This Row],[Cant_Resultante]]/Tabla__192.168.1.8_POSEIDONSQL_APPFVT_01_tblFillRateFechas[[#This Row],[cant_order]])*100</f>
        <v>100</v>
      </c>
      <c r="Q1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5" s="1">
        <f>+IF(Tabla__192.168.1.8_POSEIDONSQL_APPFVT_01_tblFillRateFechas[[#This Row],[cant_order]]&gt;0,1,0)</f>
        <v>1</v>
      </c>
      <c r="V185" s="1">
        <f>+IF(Tabla__192.168.1.8_POSEIDONSQL_APPFVT_01_tblFillRateFechas[[#This Row],[Resultado]]=1,1,0)</f>
        <v>1</v>
      </c>
      <c r="W185" s="1" t="str">
        <f>+Tabla__192.168.1.8_POSEIDONSQL_APPFVT_01_tblFillRateFechas[[#This Row],[con_ocnumero]]&amp;Tabla__192.168.1.8_POSEIDONSQL_APPFVT_01_tblFillRateFechas[[#This Row],[con_codigounico]]</f>
        <v>8680428-</v>
      </c>
      <c r="X1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86" spans="1:24" x14ac:dyDescent="0.25">
      <c r="A186">
        <v>1</v>
      </c>
      <c r="B186" t="s">
        <v>55</v>
      </c>
      <c r="C186">
        <v>8680466</v>
      </c>
      <c r="D186" t="s">
        <v>161</v>
      </c>
      <c r="E186" t="s">
        <v>415</v>
      </c>
      <c r="F186" t="s">
        <v>161</v>
      </c>
      <c r="G186">
        <v>30</v>
      </c>
      <c r="H186">
        <v>30</v>
      </c>
      <c r="I186" t="s">
        <v>163</v>
      </c>
      <c r="J186">
        <v>0</v>
      </c>
      <c r="K186" t="s">
        <v>49</v>
      </c>
      <c r="L186" s="1">
        <f>+Tabla__192.168.1.8_POSEIDONSQL_APPFVT_01_tblFillRateFechas[[#This Row],[emb_cantidad]]-Tabla__192.168.1.8_POSEIDONSQL_APPFVT_01_tblFillRateFechas[[#This Row],[dev_cantidad]]</f>
        <v>30</v>
      </c>
      <c r="M186" s="1">
        <f>+IF(Tabla__192.168.1.8_POSEIDONSQL_APPFVT_01_tblFillRateFechas[[#This Row],[Cant_Resultante]]=Tabla__192.168.1.8_POSEIDONSQL_APPFVT_01_tblFillRateFechas[[#This Row],[cant_order]],1,0)</f>
        <v>1</v>
      </c>
      <c r="N1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6" s="1">
        <f>+IF(AND(Tabla__192.168.1.8_POSEIDONSQL_APPFVT_01_tblFillRateFechas[[#This Row],[Valida Cant]]=1,Tabla__192.168.1.8_POSEIDONSQL_APPFVT_01_tblFillRateFechas[[#This Row],[Valida Fec]]=1),1,0)</f>
        <v>1</v>
      </c>
      <c r="P186" s="1">
        <f>+(Tabla__192.168.1.8_POSEIDONSQL_APPFVT_01_tblFillRateFechas[[#This Row],[Cant_Resultante]]/Tabla__192.168.1.8_POSEIDONSQL_APPFVT_01_tblFillRateFechas[[#This Row],[cant_order]])*100</f>
        <v>100</v>
      </c>
      <c r="Q1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30</v>
      </c>
      <c r="R1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30</v>
      </c>
      <c r="T1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6" s="1">
        <f>+IF(Tabla__192.168.1.8_POSEIDONSQL_APPFVT_01_tblFillRateFechas[[#This Row],[cant_order]]&gt;0,1,0)</f>
        <v>1</v>
      </c>
      <c r="V186" s="1">
        <f>+IF(Tabla__192.168.1.8_POSEIDONSQL_APPFVT_01_tblFillRateFechas[[#This Row],[Resultado]]=1,1,0)</f>
        <v>1</v>
      </c>
      <c r="W186" s="1" t="str">
        <f>+Tabla__192.168.1.8_POSEIDONSQL_APPFVT_01_tblFillRateFechas[[#This Row],[con_ocnumero]]&amp;Tabla__192.168.1.8_POSEIDONSQL_APPFVT_01_tblFillRateFechas[[#This Row],[con_codigounico]]</f>
        <v>8680466-</v>
      </c>
      <c r="X1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30</v>
      </c>
    </row>
    <row r="187" spans="1:24" x14ac:dyDescent="0.25">
      <c r="A187">
        <v>1</v>
      </c>
      <c r="B187" t="s">
        <v>55</v>
      </c>
      <c r="C187">
        <v>8680543</v>
      </c>
      <c r="D187" t="s">
        <v>161</v>
      </c>
      <c r="E187" t="s">
        <v>425</v>
      </c>
      <c r="F187" t="s">
        <v>1969</v>
      </c>
      <c r="G187">
        <v>1</v>
      </c>
      <c r="H187">
        <v>0</v>
      </c>
      <c r="I187" t="s">
        <v>12</v>
      </c>
      <c r="J187">
        <v>0</v>
      </c>
      <c r="K187" t="s">
        <v>49</v>
      </c>
      <c r="L187" s="1">
        <f>+Tabla__192.168.1.8_POSEIDONSQL_APPFVT_01_tblFillRateFechas[[#This Row],[emb_cantidad]]-Tabla__192.168.1.8_POSEIDONSQL_APPFVT_01_tblFillRateFechas[[#This Row],[dev_cantidad]]</f>
        <v>0</v>
      </c>
      <c r="M187" s="1">
        <f>+IF(Tabla__192.168.1.8_POSEIDONSQL_APPFVT_01_tblFillRateFechas[[#This Row],[Cant_Resultante]]=Tabla__192.168.1.8_POSEIDONSQL_APPFVT_01_tblFillRateFechas[[#This Row],[cant_order]],1,0)</f>
        <v>0</v>
      </c>
      <c r="N1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87" s="1">
        <f>+IF(AND(Tabla__192.168.1.8_POSEIDONSQL_APPFVT_01_tblFillRateFechas[[#This Row],[Valida Cant]]=1,Tabla__192.168.1.8_POSEIDONSQL_APPFVT_01_tblFillRateFechas[[#This Row],[Valida Fec]]=1),1,0)</f>
        <v>0</v>
      </c>
      <c r="P187" s="1">
        <f>+(Tabla__192.168.1.8_POSEIDONSQL_APPFVT_01_tblFillRateFechas[[#This Row],[Cant_Resultante]]/Tabla__192.168.1.8_POSEIDONSQL_APPFVT_01_tblFillRateFechas[[#This Row],[cant_order]])*100</f>
        <v>0</v>
      </c>
      <c r="Q1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87" s="1">
        <f>+IF(Tabla__192.168.1.8_POSEIDONSQL_APPFVT_01_tblFillRateFechas[[#This Row],[cant_order]]&gt;0,1,0)</f>
        <v>1</v>
      </c>
      <c r="V187" s="1">
        <f>+IF(Tabla__192.168.1.8_POSEIDONSQL_APPFVT_01_tblFillRateFechas[[#This Row],[Resultado]]=1,1,0)</f>
        <v>0</v>
      </c>
      <c r="W187" s="1" t="str">
        <f>+Tabla__192.168.1.8_POSEIDONSQL_APPFVT_01_tblFillRateFechas[[#This Row],[con_ocnumero]]&amp;Tabla__192.168.1.8_POSEIDONSQL_APPFVT_01_tblFillRateFechas[[#This Row],[con_codigounico]]</f>
        <v>8680543-</v>
      </c>
      <c r="X1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88" spans="1:24" x14ac:dyDescent="0.25">
      <c r="A188">
        <v>1</v>
      </c>
      <c r="B188" t="s">
        <v>55</v>
      </c>
      <c r="C188">
        <v>8681169</v>
      </c>
      <c r="D188" t="s">
        <v>161</v>
      </c>
      <c r="E188" t="s">
        <v>427</v>
      </c>
      <c r="F188" t="s">
        <v>1969</v>
      </c>
      <c r="G188">
        <v>60</v>
      </c>
      <c r="H188">
        <v>60</v>
      </c>
      <c r="I188" t="s">
        <v>427</v>
      </c>
      <c r="J188">
        <v>0</v>
      </c>
      <c r="K188" t="s">
        <v>49</v>
      </c>
      <c r="L188" s="1">
        <f>+Tabla__192.168.1.8_POSEIDONSQL_APPFVT_01_tblFillRateFechas[[#This Row],[emb_cantidad]]-Tabla__192.168.1.8_POSEIDONSQL_APPFVT_01_tblFillRateFechas[[#This Row],[dev_cantidad]]</f>
        <v>60</v>
      </c>
      <c r="M188" s="1">
        <f>+IF(Tabla__192.168.1.8_POSEIDONSQL_APPFVT_01_tblFillRateFechas[[#This Row],[Cant_Resultante]]=Tabla__192.168.1.8_POSEIDONSQL_APPFVT_01_tblFillRateFechas[[#This Row],[cant_order]],1,0)</f>
        <v>1</v>
      </c>
      <c r="N1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8" s="1">
        <f>+IF(AND(Tabla__192.168.1.8_POSEIDONSQL_APPFVT_01_tblFillRateFechas[[#This Row],[Valida Cant]]=1,Tabla__192.168.1.8_POSEIDONSQL_APPFVT_01_tblFillRateFechas[[#This Row],[Valida Fec]]=1),1,0)</f>
        <v>1</v>
      </c>
      <c r="P188" s="1">
        <f>+(Tabla__192.168.1.8_POSEIDONSQL_APPFVT_01_tblFillRateFechas[[#This Row],[Cant_Resultante]]/Tabla__192.168.1.8_POSEIDONSQL_APPFVT_01_tblFillRateFechas[[#This Row],[cant_order]])*100</f>
        <v>100</v>
      </c>
      <c r="Q1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60</v>
      </c>
      <c r="R1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60</v>
      </c>
      <c r="T1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8" s="1">
        <f>+IF(Tabla__192.168.1.8_POSEIDONSQL_APPFVT_01_tblFillRateFechas[[#This Row],[cant_order]]&gt;0,1,0)</f>
        <v>1</v>
      </c>
      <c r="V188" s="1">
        <f>+IF(Tabla__192.168.1.8_POSEIDONSQL_APPFVT_01_tblFillRateFechas[[#This Row],[Resultado]]=1,1,0)</f>
        <v>1</v>
      </c>
      <c r="W188" s="1" t="str">
        <f>+Tabla__192.168.1.8_POSEIDONSQL_APPFVT_01_tblFillRateFechas[[#This Row],[con_ocnumero]]&amp;Tabla__192.168.1.8_POSEIDONSQL_APPFVT_01_tblFillRateFechas[[#This Row],[con_codigounico]]</f>
        <v>8681169-</v>
      </c>
      <c r="X1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60</v>
      </c>
    </row>
    <row r="189" spans="1:24" x14ac:dyDescent="0.25">
      <c r="A189">
        <v>1</v>
      </c>
      <c r="B189" t="s">
        <v>55</v>
      </c>
      <c r="C189">
        <v>8681567</v>
      </c>
      <c r="D189" t="s">
        <v>161</v>
      </c>
      <c r="E189" t="s">
        <v>425</v>
      </c>
      <c r="F189" t="s">
        <v>1969</v>
      </c>
      <c r="G189">
        <v>2</v>
      </c>
      <c r="H189">
        <v>2</v>
      </c>
      <c r="I189" t="s">
        <v>425</v>
      </c>
      <c r="J189">
        <v>0</v>
      </c>
      <c r="K189" t="s">
        <v>49</v>
      </c>
      <c r="L189" s="1">
        <f>+Tabla__192.168.1.8_POSEIDONSQL_APPFVT_01_tblFillRateFechas[[#This Row],[emb_cantidad]]-Tabla__192.168.1.8_POSEIDONSQL_APPFVT_01_tblFillRateFechas[[#This Row],[dev_cantidad]]</f>
        <v>2</v>
      </c>
      <c r="M189" s="1">
        <f>+IF(Tabla__192.168.1.8_POSEIDONSQL_APPFVT_01_tblFillRateFechas[[#This Row],[Cant_Resultante]]=Tabla__192.168.1.8_POSEIDONSQL_APPFVT_01_tblFillRateFechas[[#This Row],[cant_order]],1,0)</f>
        <v>1</v>
      </c>
      <c r="N1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89" s="1">
        <f>+IF(AND(Tabla__192.168.1.8_POSEIDONSQL_APPFVT_01_tblFillRateFechas[[#This Row],[Valida Cant]]=1,Tabla__192.168.1.8_POSEIDONSQL_APPFVT_01_tblFillRateFechas[[#This Row],[Valida Fec]]=1),1,0)</f>
        <v>1</v>
      </c>
      <c r="P189" s="1">
        <f>+(Tabla__192.168.1.8_POSEIDONSQL_APPFVT_01_tblFillRateFechas[[#This Row],[Cant_Resultante]]/Tabla__192.168.1.8_POSEIDONSQL_APPFVT_01_tblFillRateFechas[[#This Row],[cant_order]])*100</f>
        <v>100</v>
      </c>
      <c r="Q1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89" s="1">
        <f>+IF(Tabla__192.168.1.8_POSEIDONSQL_APPFVT_01_tblFillRateFechas[[#This Row],[cant_order]]&gt;0,1,0)</f>
        <v>1</v>
      </c>
      <c r="V189" s="1">
        <f>+IF(Tabla__192.168.1.8_POSEIDONSQL_APPFVT_01_tblFillRateFechas[[#This Row],[Resultado]]=1,1,0)</f>
        <v>1</v>
      </c>
      <c r="W189" s="1" t="str">
        <f>+Tabla__192.168.1.8_POSEIDONSQL_APPFVT_01_tblFillRateFechas[[#This Row],[con_ocnumero]]&amp;Tabla__192.168.1.8_POSEIDONSQL_APPFVT_01_tblFillRateFechas[[#This Row],[con_codigounico]]</f>
        <v>8681567-</v>
      </c>
      <c r="X1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90" spans="1:24" x14ac:dyDescent="0.25">
      <c r="A190">
        <v>1</v>
      </c>
      <c r="B190" t="s">
        <v>55</v>
      </c>
      <c r="C190">
        <v>8681664</v>
      </c>
      <c r="D190" t="s">
        <v>161</v>
      </c>
      <c r="E190" t="s">
        <v>425</v>
      </c>
      <c r="F190" t="s">
        <v>1969</v>
      </c>
      <c r="G190">
        <v>1</v>
      </c>
      <c r="H190">
        <v>1</v>
      </c>
      <c r="I190" t="s">
        <v>425</v>
      </c>
      <c r="J190">
        <v>0</v>
      </c>
      <c r="K190" t="s">
        <v>49</v>
      </c>
      <c r="L190" s="1">
        <f>+Tabla__192.168.1.8_POSEIDONSQL_APPFVT_01_tblFillRateFechas[[#This Row],[emb_cantidad]]-Tabla__192.168.1.8_POSEIDONSQL_APPFVT_01_tblFillRateFechas[[#This Row],[dev_cantidad]]</f>
        <v>1</v>
      </c>
      <c r="M190" s="1">
        <f>+IF(Tabla__192.168.1.8_POSEIDONSQL_APPFVT_01_tblFillRateFechas[[#This Row],[Cant_Resultante]]=Tabla__192.168.1.8_POSEIDONSQL_APPFVT_01_tblFillRateFechas[[#This Row],[cant_order]],1,0)</f>
        <v>1</v>
      </c>
      <c r="N1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0" s="1">
        <f>+IF(AND(Tabla__192.168.1.8_POSEIDONSQL_APPFVT_01_tblFillRateFechas[[#This Row],[Valida Cant]]=1,Tabla__192.168.1.8_POSEIDONSQL_APPFVT_01_tblFillRateFechas[[#This Row],[Valida Fec]]=1),1,0)</f>
        <v>1</v>
      </c>
      <c r="P190" s="1">
        <f>+(Tabla__192.168.1.8_POSEIDONSQL_APPFVT_01_tblFillRateFechas[[#This Row],[Cant_Resultante]]/Tabla__192.168.1.8_POSEIDONSQL_APPFVT_01_tblFillRateFechas[[#This Row],[cant_order]])*100</f>
        <v>100</v>
      </c>
      <c r="Q1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0" s="1">
        <f>+IF(Tabla__192.168.1.8_POSEIDONSQL_APPFVT_01_tblFillRateFechas[[#This Row],[cant_order]]&gt;0,1,0)</f>
        <v>1</v>
      </c>
      <c r="V190" s="1">
        <f>+IF(Tabla__192.168.1.8_POSEIDONSQL_APPFVT_01_tblFillRateFechas[[#This Row],[Resultado]]=1,1,0)</f>
        <v>1</v>
      </c>
      <c r="W190" s="1" t="str">
        <f>+Tabla__192.168.1.8_POSEIDONSQL_APPFVT_01_tblFillRateFechas[[#This Row],[con_ocnumero]]&amp;Tabla__192.168.1.8_POSEIDONSQL_APPFVT_01_tblFillRateFechas[[#This Row],[con_codigounico]]</f>
        <v>8681664-</v>
      </c>
      <c r="X1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1" spans="1:24" x14ac:dyDescent="0.25">
      <c r="A191">
        <v>1</v>
      </c>
      <c r="B191" t="s">
        <v>55</v>
      </c>
      <c r="C191">
        <v>8681776</v>
      </c>
      <c r="D191" t="s">
        <v>161</v>
      </c>
      <c r="E191" t="s">
        <v>425</v>
      </c>
      <c r="F191" t="s">
        <v>1969</v>
      </c>
      <c r="G191">
        <v>1</v>
      </c>
      <c r="H191">
        <v>1</v>
      </c>
      <c r="I191" t="s">
        <v>425</v>
      </c>
      <c r="J191">
        <v>0</v>
      </c>
      <c r="K191" t="s">
        <v>49</v>
      </c>
      <c r="L191" s="1">
        <f>+Tabla__192.168.1.8_POSEIDONSQL_APPFVT_01_tblFillRateFechas[[#This Row],[emb_cantidad]]-Tabla__192.168.1.8_POSEIDONSQL_APPFVT_01_tblFillRateFechas[[#This Row],[dev_cantidad]]</f>
        <v>1</v>
      </c>
      <c r="M191" s="1">
        <f>+IF(Tabla__192.168.1.8_POSEIDONSQL_APPFVT_01_tblFillRateFechas[[#This Row],[Cant_Resultante]]=Tabla__192.168.1.8_POSEIDONSQL_APPFVT_01_tblFillRateFechas[[#This Row],[cant_order]],1,0)</f>
        <v>1</v>
      </c>
      <c r="N1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1" s="1">
        <f>+IF(AND(Tabla__192.168.1.8_POSEIDONSQL_APPFVT_01_tblFillRateFechas[[#This Row],[Valida Cant]]=1,Tabla__192.168.1.8_POSEIDONSQL_APPFVT_01_tblFillRateFechas[[#This Row],[Valida Fec]]=1),1,0)</f>
        <v>1</v>
      </c>
      <c r="P191" s="1">
        <f>+(Tabla__192.168.1.8_POSEIDONSQL_APPFVT_01_tblFillRateFechas[[#This Row],[Cant_Resultante]]/Tabla__192.168.1.8_POSEIDONSQL_APPFVT_01_tblFillRateFechas[[#This Row],[cant_order]])*100</f>
        <v>100</v>
      </c>
      <c r="Q1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1" s="1">
        <f>+IF(Tabla__192.168.1.8_POSEIDONSQL_APPFVT_01_tblFillRateFechas[[#This Row],[cant_order]]&gt;0,1,0)</f>
        <v>1</v>
      </c>
      <c r="V191" s="1">
        <f>+IF(Tabla__192.168.1.8_POSEIDONSQL_APPFVT_01_tblFillRateFechas[[#This Row],[Resultado]]=1,1,0)</f>
        <v>1</v>
      </c>
      <c r="W191" s="1" t="str">
        <f>+Tabla__192.168.1.8_POSEIDONSQL_APPFVT_01_tblFillRateFechas[[#This Row],[con_ocnumero]]&amp;Tabla__192.168.1.8_POSEIDONSQL_APPFVT_01_tblFillRateFechas[[#This Row],[con_codigounico]]</f>
        <v>8681776-</v>
      </c>
      <c r="X1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2" spans="1:24" x14ac:dyDescent="0.25">
      <c r="A192">
        <v>1</v>
      </c>
      <c r="B192" t="s">
        <v>55</v>
      </c>
      <c r="C192">
        <v>8682194</v>
      </c>
      <c r="D192" t="s">
        <v>161</v>
      </c>
      <c r="E192" t="s">
        <v>425</v>
      </c>
      <c r="F192" t="s">
        <v>163</v>
      </c>
      <c r="G192">
        <v>1</v>
      </c>
      <c r="H192">
        <v>1</v>
      </c>
      <c r="I192" t="s">
        <v>425</v>
      </c>
      <c r="J192">
        <v>0</v>
      </c>
      <c r="K192" t="s">
        <v>49</v>
      </c>
      <c r="L192" s="1">
        <f>+Tabla__192.168.1.8_POSEIDONSQL_APPFVT_01_tblFillRateFechas[[#This Row],[emb_cantidad]]-Tabla__192.168.1.8_POSEIDONSQL_APPFVT_01_tblFillRateFechas[[#This Row],[dev_cantidad]]</f>
        <v>1</v>
      </c>
      <c r="M192" s="1">
        <f>+IF(Tabla__192.168.1.8_POSEIDONSQL_APPFVT_01_tblFillRateFechas[[#This Row],[Cant_Resultante]]=Tabla__192.168.1.8_POSEIDONSQL_APPFVT_01_tblFillRateFechas[[#This Row],[cant_order]],1,0)</f>
        <v>1</v>
      </c>
      <c r="N1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2" s="1">
        <f>+IF(AND(Tabla__192.168.1.8_POSEIDONSQL_APPFVT_01_tblFillRateFechas[[#This Row],[Valida Cant]]=1,Tabla__192.168.1.8_POSEIDONSQL_APPFVT_01_tblFillRateFechas[[#This Row],[Valida Fec]]=1),1,0)</f>
        <v>1</v>
      </c>
      <c r="P192" s="1">
        <f>+(Tabla__192.168.1.8_POSEIDONSQL_APPFVT_01_tblFillRateFechas[[#This Row],[Cant_Resultante]]/Tabla__192.168.1.8_POSEIDONSQL_APPFVT_01_tblFillRateFechas[[#This Row],[cant_order]])*100</f>
        <v>100</v>
      </c>
      <c r="Q1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2" s="1">
        <f>+IF(Tabla__192.168.1.8_POSEIDONSQL_APPFVT_01_tblFillRateFechas[[#This Row],[cant_order]]&gt;0,1,0)</f>
        <v>1</v>
      </c>
      <c r="V192" s="1">
        <f>+IF(Tabla__192.168.1.8_POSEIDONSQL_APPFVT_01_tblFillRateFechas[[#This Row],[Resultado]]=1,1,0)</f>
        <v>1</v>
      </c>
      <c r="W192" s="1" t="str">
        <f>+Tabla__192.168.1.8_POSEIDONSQL_APPFVT_01_tblFillRateFechas[[#This Row],[con_ocnumero]]&amp;Tabla__192.168.1.8_POSEIDONSQL_APPFVT_01_tblFillRateFechas[[#This Row],[con_codigounico]]</f>
        <v>8682194-</v>
      </c>
      <c r="X1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3" spans="1:24" x14ac:dyDescent="0.25">
      <c r="A193">
        <v>1</v>
      </c>
      <c r="B193" t="s">
        <v>55</v>
      </c>
      <c r="C193">
        <v>8682211</v>
      </c>
      <c r="D193" t="s">
        <v>161</v>
      </c>
      <c r="E193" t="s">
        <v>425</v>
      </c>
      <c r="F193" t="s">
        <v>163</v>
      </c>
      <c r="G193">
        <v>2</v>
      </c>
      <c r="H193">
        <v>0</v>
      </c>
      <c r="I193" t="s">
        <v>12</v>
      </c>
      <c r="J193">
        <v>0</v>
      </c>
      <c r="K193" t="s">
        <v>49</v>
      </c>
      <c r="L193" s="1">
        <f>+Tabla__192.168.1.8_POSEIDONSQL_APPFVT_01_tblFillRateFechas[[#This Row],[emb_cantidad]]-Tabla__192.168.1.8_POSEIDONSQL_APPFVT_01_tblFillRateFechas[[#This Row],[dev_cantidad]]</f>
        <v>0</v>
      </c>
      <c r="M193" s="1">
        <f>+IF(Tabla__192.168.1.8_POSEIDONSQL_APPFVT_01_tblFillRateFechas[[#This Row],[Cant_Resultante]]=Tabla__192.168.1.8_POSEIDONSQL_APPFVT_01_tblFillRateFechas[[#This Row],[cant_order]],1,0)</f>
        <v>0</v>
      </c>
      <c r="N1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93" s="1">
        <f>+IF(AND(Tabla__192.168.1.8_POSEIDONSQL_APPFVT_01_tblFillRateFechas[[#This Row],[Valida Cant]]=1,Tabla__192.168.1.8_POSEIDONSQL_APPFVT_01_tblFillRateFechas[[#This Row],[Valida Fec]]=1),1,0)</f>
        <v>0</v>
      </c>
      <c r="P193" s="1">
        <f>+(Tabla__192.168.1.8_POSEIDONSQL_APPFVT_01_tblFillRateFechas[[#This Row],[Cant_Resultante]]/Tabla__192.168.1.8_POSEIDONSQL_APPFVT_01_tblFillRateFechas[[#This Row],[cant_order]])*100</f>
        <v>0</v>
      </c>
      <c r="Q1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193" s="1">
        <f>+IF(Tabla__192.168.1.8_POSEIDONSQL_APPFVT_01_tblFillRateFechas[[#This Row],[cant_order]]&gt;0,1,0)</f>
        <v>1</v>
      </c>
      <c r="V193" s="1">
        <f>+IF(Tabla__192.168.1.8_POSEIDONSQL_APPFVT_01_tblFillRateFechas[[#This Row],[Resultado]]=1,1,0)</f>
        <v>0</v>
      </c>
      <c r="W193" s="1" t="str">
        <f>+Tabla__192.168.1.8_POSEIDONSQL_APPFVT_01_tblFillRateFechas[[#This Row],[con_ocnumero]]&amp;Tabla__192.168.1.8_POSEIDONSQL_APPFVT_01_tblFillRateFechas[[#This Row],[con_codigounico]]</f>
        <v>8682211-</v>
      </c>
      <c r="X1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94" spans="1:24" x14ac:dyDescent="0.25">
      <c r="A194">
        <v>1</v>
      </c>
      <c r="B194" t="s">
        <v>55</v>
      </c>
      <c r="C194">
        <v>8682247</v>
      </c>
      <c r="D194" t="s">
        <v>1969</v>
      </c>
      <c r="E194" t="s">
        <v>425</v>
      </c>
      <c r="F194" t="s">
        <v>163</v>
      </c>
      <c r="G194">
        <v>1</v>
      </c>
      <c r="H194">
        <v>1</v>
      </c>
      <c r="I194" t="s">
        <v>425</v>
      </c>
      <c r="J194">
        <v>0</v>
      </c>
      <c r="K194" t="s">
        <v>49</v>
      </c>
      <c r="L194" s="1">
        <f>+Tabla__192.168.1.8_POSEIDONSQL_APPFVT_01_tblFillRateFechas[[#This Row],[emb_cantidad]]-Tabla__192.168.1.8_POSEIDONSQL_APPFVT_01_tblFillRateFechas[[#This Row],[dev_cantidad]]</f>
        <v>1</v>
      </c>
      <c r="M194" s="1">
        <f>+IF(Tabla__192.168.1.8_POSEIDONSQL_APPFVT_01_tblFillRateFechas[[#This Row],[Cant_Resultante]]=Tabla__192.168.1.8_POSEIDONSQL_APPFVT_01_tblFillRateFechas[[#This Row],[cant_order]],1,0)</f>
        <v>1</v>
      </c>
      <c r="N1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4" s="1">
        <f>+IF(AND(Tabla__192.168.1.8_POSEIDONSQL_APPFVT_01_tblFillRateFechas[[#This Row],[Valida Cant]]=1,Tabla__192.168.1.8_POSEIDONSQL_APPFVT_01_tblFillRateFechas[[#This Row],[Valida Fec]]=1),1,0)</f>
        <v>1</v>
      </c>
      <c r="P194" s="1">
        <f>+(Tabla__192.168.1.8_POSEIDONSQL_APPFVT_01_tblFillRateFechas[[#This Row],[Cant_Resultante]]/Tabla__192.168.1.8_POSEIDONSQL_APPFVT_01_tblFillRateFechas[[#This Row],[cant_order]])*100</f>
        <v>100</v>
      </c>
      <c r="Q1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4" s="1">
        <f>+IF(Tabla__192.168.1.8_POSEIDONSQL_APPFVT_01_tblFillRateFechas[[#This Row],[cant_order]]&gt;0,1,0)</f>
        <v>1</v>
      </c>
      <c r="V194" s="1">
        <f>+IF(Tabla__192.168.1.8_POSEIDONSQL_APPFVT_01_tblFillRateFechas[[#This Row],[Resultado]]=1,1,0)</f>
        <v>1</v>
      </c>
      <c r="W194" s="1" t="str">
        <f>+Tabla__192.168.1.8_POSEIDONSQL_APPFVT_01_tblFillRateFechas[[#This Row],[con_ocnumero]]&amp;Tabla__192.168.1.8_POSEIDONSQL_APPFVT_01_tblFillRateFechas[[#This Row],[con_codigounico]]</f>
        <v>8682247-</v>
      </c>
      <c r="X1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5" spans="1:24" x14ac:dyDescent="0.25">
      <c r="A195">
        <v>1</v>
      </c>
      <c r="B195" t="s">
        <v>55</v>
      </c>
      <c r="C195">
        <v>8682431</v>
      </c>
      <c r="D195" t="s">
        <v>1969</v>
      </c>
      <c r="E195" t="s">
        <v>425</v>
      </c>
      <c r="F195" t="s">
        <v>163</v>
      </c>
      <c r="G195">
        <v>1</v>
      </c>
      <c r="H195">
        <v>1</v>
      </c>
      <c r="I195" t="s">
        <v>425</v>
      </c>
      <c r="J195">
        <v>0</v>
      </c>
      <c r="K195" t="s">
        <v>49</v>
      </c>
      <c r="L195" s="1">
        <f>+Tabla__192.168.1.8_POSEIDONSQL_APPFVT_01_tblFillRateFechas[[#This Row],[emb_cantidad]]-Tabla__192.168.1.8_POSEIDONSQL_APPFVT_01_tblFillRateFechas[[#This Row],[dev_cantidad]]</f>
        <v>1</v>
      </c>
      <c r="M195" s="1">
        <f>+IF(Tabla__192.168.1.8_POSEIDONSQL_APPFVT_01_tblFillRateFechas[[#This Row],[Cant_Resultante]]=Tabla__192.168.1.8_POSEIDONSQL_APPFVT_01_tblFillRateFechas[[#This Row],[cant_order]],1,0)</f>
        <v>1</v>
      </c>
      <c r="N1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5" s="1">
        <f>+IF(AND(Tabla__192.168.1.8_POSEIDONSQL_APPFVT_01_tblFillRateFechas[[#This Row],[Valida Cant]]=1,Tabla__192.168.1.8_POSEIDONSQL_APPFVT_01_tblFillRateFechas[[#This Row],[Valida Fec]]=1),1,0)</f>
        <v>1</v>
      </c>
      <c r="P195" s="1">
        <f>+(Tabla__192.168.1.8_POSEIDONSQL_APPFVT_01_tblFillRateFechas[[#This Row],[Cant_Resultante]]/Tabla__192.168.1.8_POSEIDONSQL_APPFVT_01_tblFillRateFechas[[#This Row],[cant_order]])*100</f>
        <v>100</v>
      </c>
      <c r="Q1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5" s="1">
        <f>+IF(Tabla__192.168.1.8_POSEIDONSQL_APPFVT_01_tblFillRateFechas[[#This Row],[cant_order]]&gt;0,1,0)</f>
        <v>1</v>
      </c>
      <c r="V195" s="1">
        <f>+IF(Tabla__192.168.1.8_POSEIDONSQL_APPFVT_01_tblFillRateFechas[[#This Row],[Resultado]]=1,1,0)</f>
        <v>1</v>
      </c>
      <c r="W195" s="1" t="str">
        <f>+Tabla__192.168.1.8_POSEIDONSQL_APPFVT_01_tblFillRateFechas[[#This Row],[con_ocnumero]]&amp;Tabla__192.168.1.8_POSEIDONSQL_APPFVT_01_tblFillRateFechas[[#This Row],[con_codigounico]]</f>
        <v>8682431-</v>
      </c>
      <c r="X1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6" spans="1:24" x14ac:dyDescent="0.25">
      <c r="A196">
        <v>1</v>
      </c>
      <c r="B196" t="s">
        <v>55</v>
      </c>
      <c r="C196">
        <v>8682442</v>
      </c>
      <c r="D196" t="s">
        <v>1969</v>
      </c>
      <c r="E196" t="s">
        <v>425</v>
      </c>
      <c r="F196" t="s">
        <v>163</v>
      </c>
      <c r="G196">
        <v>1</v>
      </c>
      <c r="H196">
        <v>1</v>
      </c>
      <c r="I196" t="s">
        <v>425</v>
      </c>
      <c r="J196">
        <v>0</v>
      </c>
      <c r="K196" t="s">
        <v>49</v>
      </c>
      <c r="L196" s="1">
        <f>+Tabla__192.168.1.8_POSEIDONSQL_APPFVT_01_tblFillRateFechas[[#This Row],[emb_cantidad]]-Tabla__192.168.1.8_POSEIDONSQL_APPFVT_01_tblFillRateFechas[[#This Row],[dev_cantidad]]</f>
        <v>1</v>
      </c>
      <c r="M196" s="1">
        <f>+IF(Tabla__192.168.1.8_POSEIDONSQL_APPFVT_01_tblFillRateFechas[[#This Row],[Cant_Resultante]]=Tabla__192.168.1.8_POSEIDONSQL_APPFVT_01_tblFillRateFechas[[#This Row],[cant_order]],1,0)</f>
        <v>1</v>
      </c>
      <c r="N1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6" s="1">
        <f>+IF(AND(Tabla__192.168.1.8_POSEIDONSQL_APPFVT_01_tblFillRateFechas[[#This Row],[Valida Cant]]=1,Tabla__192.168.1.8_POSEIDONSQL_APPFVT_01_tblFillRateFechas[[#This Row],[Valida Fec]]=1),1,0)</f>
        <v>1</v>
      </c>
      <c r="P196" s="1">
        <f>+(Tabla__192.168.1.8_POSEIDONSQL_APPFVT_01_tblFillRateFechas[[#This Row],[Cant_Resultante]]/Tabla__192.168.1.8_POSEIDONSQL_APPFVT_01_tblFillRateFechas[[#This Row],[cant_order]])*100</f>
        <v>100</v>
      </c>
      <c r="Q1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6" s="1">
        <f>+IF(Tabla__192.168.1.8_POSEIDONSQL_APPFVT_01_tblFillRateFechas[[#This Row],[cant_order]]&gt;0,1,0)</f>
        <v>1</v>
      </c>
      <c r="V196" s="1">
        <f>+IF(Tabla__192.168.1.8_POSEIDONSQL_APPFVT_01_tblFillRateFechas[[#This Row],[Resultado]]=1,1,0)</f>
        <v>1</v>
      </c>
      <c r="W196" s="1" t="str">
        <f>+Tabla__192.168.1.8_POSEIDONSQL_APPFVT_01_tblFillRateFechas[[#This Row],[con_ocnumero]]&amp;Tabla__192.168.1.8_POSEIDONSQL_APPFVT_01_tblFillRateFechas[[#This Row],[con_codigounico]]</f>
        <v>8682442-</v>
      </c>
      <c r="X1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7" spans="1:24" x14ac:dyDescent="0.25">
      <c r="A197">
        <v>1</v>
      </c>
      <c r="B197" t="s">
        <v>55</v>
      </c>
      <c r="C197">
        <v>8682616</v>
      </c>
      <c r="D197" t="s">
        <v>1969</v>
      </c>
      <c r="E197" t="s">
        <v>425</v>
      </c>
      <c r="F197" t="s">
        <v>163</v>
      </c>
      <c r="G197">
        <v>1</v>
      </c>
      <c r="H197">
        <v>1</v>
      </c>
      <c r="I197" t="s">
        <v>425</v>
      </c>
      <c r="J197">
        <v>0</v>
      </c>
      <c r="K197" t="s">
        <v>49</v>
      </c>
      <c r="L197" s="1">
        <f>+Tabla__192.168.1.8_POSEIDONSQL_APPFVT_01_tblFillRateFechas[[#This Row],[emb_cantidad]]-Tabla__192.168.1.8_POSEIDONSQL_APPFVT_01_tblFillRateFechas[[#This Row],[dev_cantidad]]</f>
        <v>1</v>
      </c>
      <c r="M197" s="1">
        <f>+IF(Tabla__192.168.1.8_POSEIDONSQL_APPFVT_01_tblFillRateFechas[[#This Row],[Cant_Resultante]]=Tabla__192.168.1.8_POSEIDONSQL_APPFVT_01_tblFillRateFechas[[#This Row],[cant_order]],1,0)</f>
        <v>1</v>
      </c>
      <c r="N1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7" s="1">
        <f>+IF(AND(Tabla__192.168.1.8_POSEIDONSQL_APPFVT_01_tblFillRateFechas[[#This Row],[Valida Cant]]=1,Tabla__192.168.1.8_POSEIDONSQL_APPFVT_01_tblFillRateFechas[[#This Row],[Valida Fec]]=1),1,0)</f>
        <v>1</v>
      </c>
      <c r="P197" s="1">
        <f>+(Tabla__192.168.1.8_POSEIDONSQL_APPFVT_01_tblFillRateFechas[[#This Row],[Cant_Resultante]]/Tabla__192.168.1.8_POSEIDONSQL_APPFVT_01_tblFillRateFechas[[#This Row],[cant_order]])*100</f>
        <v>100</v>
      </c>
      <c r="Q1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7" s="1">
        <f>+IF(Tabla__192.168.1.8_POSEIDONSQL_APPFVT_01_tblFillRateFechas[[#This Row],[cant_order]]&gt;0,1,0)</f>
        <v>1</v>
      </c>
      <c r="V197" s="1">
        <f>+IF(Tabla__192.168.1.8_POSEIDONSQL_APPFVT_01_tblFillRateFechas[[#This Row],[Resultado]]=1,1,0)</f>
        <v>1</v>
      </c>
      <c r="W197" s="1" t="str">
        <f>+Tabla__192.168.1.8_POSEIDONSQL_APPFVT_01_tblFillRateFechas[[#This Row],[con_ocnumero]]&amp;Tabla__192.168.1.8_POSEIDONSQL_APPFVT_01_tblFillRateFechas[[#This Row],[con_codigounico]]</f>
        <v>8682616-</v>
      </c>
      <c r="X1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98" spans="1:24" x14ac:dyDescent="0.25">
      <c r="A198">
        <v>1</v>
      </c>
      <c r="B198" t="s">
        <v>55</v>
      </c>
      <c r="C198">
        <v>8683620</v>
      </c>
      <c r="D198" t="s">
        <v>1969</v>
      </c>
      <c r="E198" t="s">
        <v>425</v>
      </c>
      <c r="F198" t="s">
        <v>163</v>
      </c>
      <c r="G198">
        <v>1</v>
      </c>
      <c r="H198">
        <v>0</v>
      </c>
      <c r="I198" t="s">
        <v>12</v>
      </c>
      <c r="J198">
        <v>0</v>
      </c>
      <c r="K198" t="s">
        <v>49</v>
      </c>
      <c r="L198" s="1">
        <f>+Tabla__192.168.1.8_POSEIDONSQL_APPFVT_01_tblFillRateFechas[[#This Row],[emb_cantidad]]-Tabla__192.168.1.8_POSEIDONSQL_APPFVT_01_tblFillRateFechas[[#This Row],[dev_cantidad]]</f>
        <v>0</v>
      </c>
      <c r="M198" s="1">
        <f>+IF(Tabla__192.168.1.8_POSEIDONSQL_APPFVT_01_tblFillRateFechas[[#This Row],[Cant_Resultante]]=Tabla__192.168.1.8_POSEIDONSQL_APPFVT_01_tblFillRateFechas[[#This Row],[cant_order]],1,0)</f>
        <v>0</v>
      </c>
      <c r="N1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98" s="1">
        <f>+IF(AND(Tabla__192.168.1.8_POSEIDONSQL_APPFVT_01_tblFillRateFechas[[#This Row],[Valida Cant]]=1,Tabla__192.168.1.8_POSEIDONSQL_APPFVT_01_tblFillRateFechas[[#This Row],[Valida Fec]]=1),1,0)</f>
        <v>0</v>
      </c>
      <c r="P198" s="1">
        <f>+(Tabla__192.168.1.8_POSEIDONSQL_APPFVT_01_tblFillRateFechas[[#This Row],[Cant_Resultante]]/Tabla__192.168.1.8_POSEIDONSQL_APPFVT_01_tblFillRateFechas[[#This Row],[cant_order]])*100</f>
        <v>0</v>
      </c>
      <c r="Q1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98" s="1">
        <f>+IF(Tabla__192.168.1.8_POSEIDONSQL_APPFVT_01_tblFillRateFechas[[#This Row],[cant_order]]&gt;0,1,0)</f>
        <v>1</v>
      </c>
      <c r="V198" s="1">
        <f>+IF(Tabla__192.168.1.8_POSEIDONSQL_APPFVT_01_tblFillRateFechas[[#This Row],[Resultado]]=1,1,0)</f>
        <v>0</v>
      </c>
      <c r="W198" s="1" t="str">
        <f>+Tabla__192.168.1.8_POSEIDONSQL_APPFVT_01_tblFillRateFechas[[#This Row],[con_ocnumero]]&amp;Tabla__192.168.1.8_POSEIDONSQL_APPFVT_01_tblFillRateFechas[[#This Row],[con_codigounico]]</f>
        <v>8683620-</v>
      </c>
      <c r="X1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99" spans="1:24" x14ac:dyDescent="0.25">
      <c r="A199">
        <v>1</v>
      </c>
      <c r="B199" t="s">
        <v>55</v>
      </c>
      <c r="C199">
        <v>8683637</v>
      </c>
      <c r="D199" t="s">
        <v>1969</v>
      </c>
      <c r="E199" t="s">
        <v>425</v>
      </c>
      <c r="F199" t="s">
        <v>163</v>
      </c>
      <c r="G199">
        <v>1</v>
      </c>
      <c r="H199">
        <v>1</v>
      </c>
      <c r="I199" t="s">
        <v>425</v>
      </c>
      <c r="J199">
        <v>0</v>
      </c>
      <c r="K199" t="s">
        <v>49</v>
      </c>
      <c r="L199" s="1">
        <f>+Tabla__192.168.1.8_POSEIDONSQL_APPFVT_01_tblFillRateFechas[[#This Row],[emb_cantidad]]-Tabla__192.168.1.8_POSEIDONSQL_APPFVT_01_tblFillRateFechas[[#This Row],[dev_cantidad]]</f>
        <v>1</v>
      </c>
      <c r="M199" s="1">
        <f>+IF(Tabla__192.168.1.8_POSEIDONSQL_APPFVT_01_tblFillRateFechas[[#This Row],[Cant_Resultante]]=Tabla__192.168.1.8_POSEIDONSQL_APPFVT_01_tblFillRateFechas[[#This Row],[cant_order]],1,0)</f>
        <v>1</v>
      </c>
      <c r="N1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99" s="1">
        <f>+IF(AND(Tabla__192.168.1.8_POSEIDONSQL_APPFVT_01_tblFillRateFechas[[#This Row],[Valida Cant]]=1,Tabla__192.168.1.8_POSEIDONSQL_APPFVT_01_tblFillRateFechas[[#This Row],[Valida Fec]]=1),1,0)</f>
        <v>1</v>
      </c>
      <c r="P199" s="1">
        <f>+(Tabla__192.168.1.8_POSEIDONSQL_APPFVT_01_tblFillRateFechas[[#This Row],[Cant_Resultante]]/Tabla__192.168.1.8_POSEIDONSQL_APPFVT_01_tblFillRateFechas[[#This Row],[cant_order]])*100</f>
        <v>100</v>
      </c>
      <c r="Q1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99" s="1">
        <f>+IF(Tabla__192.168.1.8_POSEIDONSQL_APPFVT_01_tblFillRateFechas[[#This Row],[cant_order]]&gt;0,1,0)</f>
        <v>1</v>
      </c>
      <c r="V199" s="1">
        <f>+IF(Tabla__192.168.1.8_POSEIDONSQL_APPFVT_01_tblFillRateFechas[[#This Row],[Resultado]]=1,1,0)</f>
        <v>1</v>
      </c>
      <c r="W199" s="1" t="str">
        <f>+Tabla__192.168.1.8_POSEIDONSQL_APPFVT_01_tblFillRateFechas[[#This Row],[con_ocnumero]]&amp;Tabla__192.168.1.8_POSEIDONSQL_APPFVT_01_tblFillRateFechas[[#This Row],[con_codigounico]]</f>
        <v>8683637-</v>
      </c>
      <c r="X1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0" spans="1:24" x14ac:dyDescent="0.25">
      <c r="A200">
        <v>1</v>
      </c>
      <c r="B200" t="s">
        <v>55</v>
      </c>
      <c r="C200">
        <v>8684241</v>
      </c>
      <c r="D200" t="s">
        <v>1969</v>
      </c>
      <c r="E200" t="s">
        <v>415</v>
      </c>
      <c r="F200" t="s">
        <v>163</v>
      </c>
      <c r="G200">
        <v>1</v>
      </c>
      <c r="H200">
        <v>1</v>
      </c>
      <c r="I200" t="s">
        <v>415</v>
      </c>
      <c r="J200">
        <v>0</v>
      </c>
      <c r="K200" t="s">
        <v>49</v>
      </c>
      <c r="L200" s="1">
        <f>+Tabla__192.168.1.8_POSEIDONSQL_APPFVT_01_tblFillRateFechas[[#This Row],[emb_cantidad]]-Tabla__192.168.1.8_POSEIDONSQL_APPFVT_01_tblFillRateFechas[[#This Row],[dev_cantidad]]</f>
        <v>1</v>
      </c>
      <c r="M200" s="1">
        <f>+IF(Tabla__192.168.1.8_POSEIDONSQL_APPFVT_01_tblFillRateFechas[[#This Row],[Cant_Resultante]]=Tabla__192.168.1.8_POSEIDONSQL_APPFVT_01_tblFillRateFechas[[#This Row],[cant_order]],1,0)</f>
        <v>1</v>
      </c>
      <c r="N2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0" s="1">
        <f>+IF(AND(Tabla__192.168.1.8_POSEIDONSQL_APPFVT_01_tblFillRateFechas[[#This Row],[Valida Cant]]=1,Tabla__192.168.1.8_POSEIDONSQL_APPFVT_01_tblFillRateFechas[[#This Row],[Valida Fec]]=1),1,0)</f>
        <v>1</v>
      </c>
      <c r="P200" s="1">
        <f>+(Tabla__192.168.1.8_POSEIDONSQL_APPFVT_01_tblFillRateFechas[[#This Row],[Cant_Resultante]]/Tabla__192.168.1.8_POSEIDONSQL_APPFVT_01_tblFillRateFechas[[#This Row],[cant_order]])*100</f>
        <v>100</v>
      </c>
      <c r="Q2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0" s="1">
        <f>+IF(Tabla__192.168.1.8_POSEIDONSQL_APPFVT_01_tblFillRateFechas[[#This Row],[cant_order]]&gt;0,1,0)</f>
        <v>1</v>
      </c>
      <c r="V200" s="1">
        <f>+IF(Tabla__192.168.1.8_POSEIDONSQL_APPFVT_01_tblFillRateFechas[[#This Row],[Resultado]]=1,1,0)</f>
        <v>1</v>
      </c>
      <c r="W200" s="1" t="str">
        <f>+Tabla__192.168.1.8_POSEIDONSQL_APPFVT_01_tblFillRateFechas[[#This Row],[con_ocnumero]]&amp;Tabla__192.168.1.8_POSEIDONSQL_APPFVT_01_tblFillRateFechas[[#This Row],[con_codigounico]]</f>
        <v>8684241-</v>
      </c>
      <c r="X2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1" spans="1:24" x14ac:dyDescent="0.25">
      <c r="A201">
        <v>1</v>
      </c>
      <c r="B201" t="s">
        <v>55</v>
      </c>
      <c r="C201">
        <v>8684658</v>
      </c>
      <c r="D201" t="s">
        <v>428</v>
      </c>
      <c r="E201" t="s">
        <v>415</v>
      </c>
      <c r="F201" t="s">
        <v>163</v>
      </c>
      <c r="G201">
        <v>1</v>
      </c>
      <c r="H201">
        <v>1</v>
      </c>
      <c r="I201" t="s">
        <v>415</v>
      </c>
      <c r="J201">
        <v>0</v>
      </c>
      <c r="K201" t="s">
        <v>49</v>
      </c>
      <c r="L201" s="1">
        <f>+Tabla__192.168.1.8_POSEIDONSQL_APPFVT_01_tblFillRateFechas[[#This Row],[emb_cantidad]]-Tabla__192.168.1.8_POSEIDONSQL_APPFVT_01_tblFillRateFechas[[#This Row],[dev_cantidad]]</f>
        <v>1</v>
      </c>
      <c r="M201" s="1">
        <f>+IF(Tabla__192.168.1.8_POSEIDONSQL_APPFVT_01_tblFillRateFechas[[#This Row],[Cant_Resultante]]=Tabla__192.168.1.8_POSEIDONSQL_APPFVT_01_tblFillRateFechas[[#This Row],[cant_order]],1,0)</f>
        <v>1</v>
      </c>
      <c r="N2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1" s="1">
        <f>+IF(AND(Tabla__192.168.1.8_POSEIDONSQL_APPFVT_01_tblFillRateFechas[[#This Row],[Valida Cant]]=1,Tabla__192.168.1.8_POSEIDONSQL_APPFVT_01_tblFillRateFechas[[#This Row],[Valida Fec]]=1),1,0)</f>
        <v>1</v>
      </c>
      <c r="P201" s="1">
        <f>+(Tabla__192.168.1.8_POSEIDONSQL_APPFVT_01_tblFillRateFechas[[#This Row],[Cant_Resultante]]/Tabla__192.168.1.8_POSEIDONSQL_APPFVT_01_tblFillRateFechas[[#This Row],[cant_order]])*100</f>
        <v>100</v>
      </c>
      <c r="Q2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1" s="1">
        <f>+IF(Tabla__192.168.1.8_POSEIDONSQL_APPFVT_01_tblFillRateFechas[[#This Row],[cant_order]]&gt;0,1,0)</f>
        <v>1</v>
      </c>
      <c r="V201" s="1">
        <f>+IF(Tabla__192.168.1.8_POSEIDONSQL_APPFVT_01_tblFillRateFechas[[#This Row],[Resultado]]=1,1,0)</f>
        <v>1</v>
      </c>
      <c r="W201" s="1" t="str">
        <f>+Tabla__192.168.1.8_POSEIDONSQL_APPFVT_01_tblFillRateFechas[[#This Row],[con_ocnumero]]&amp;Tabla__192.168.1.8_POSEIDONSQL_APPFVT_01_tblFillRateFechas[[#This Row],[con_codigounico]]</f>
        <v>8684658-</v>
      </c>
      <c r="X2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2" spans="1:24" x14ac:dyDescent="0.25">
      <c r="A202">
        <v>1</v>
      </c>
      <c r="B202" t="s">
        <v>55</v>
      </c>
      <c r="C202">
        <v>8684715</v>
      </c>
      <c r="D202" t="s">
        <v>428</v>
      </c>
      <c r="E202" t="s">
        <v>415</v>
      </c>
      <c r="F202" t="s">
        <v>163</v>
      </c>
      <c r="G202">
        <v>1</v>
      </c>
      <c r="H202">
        <v>1</v>
      </c>
      <c r="I202" t="s">
        <v>415</v>
      </c>
      <c r="J202">
        <v>0</v>
      </c>
      <c r="K202" t="s">
        <v>49</v>
      </c>
      <c r="L202" s="1">
        <f>+Tabla__192.168.1.8_POSEIDONSQL_APPFVT_01_tblFillRateFechas[[#This Row],[emb_cantidad]]-Tabla__192.168.1.8_POSEIDONSQL_APPFVT_01_tblFillRateFechas[[#This Row],[dev_cantidad]]</f>
        <v>1</v>
      </c>
      <c r="M202" s="1">
        <f>+IF(Tabla__192.168.1.8_POSEIDONSQL_APPFVT_01_tblFillRateFechas[[#This Row],[Cant_Resultante]]=Tabla__192.168.1.8_POSEIDONSQL_APPFVT_01_tblFillRateFechas[[#This Row],[cant_order]],1,0)</f>
        <v>1</v>
      </c>
      <c r="N2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2" s="1">
        <f>+IF(AND(Tabla__192.168.1.8_POSEIDONSQL_APPFVT_01_tblFillRateFechas[[#This Row],[Valida Cant]]=1,Tabla__192.168.1.8_POSEIDONSQL_APPFVT_01_tblFillRateFechas[[#This Row],[Valida Fec]]=1),1,0)</f>
        <v>1</v>
      </c>
      <c r="P202" s="1">
        <f>+(Tabla__192.168.1.8_POSEIDONSQL_APPFVT_01_tblFillRateFechas[[#This Row],[Cant_Resultante]]/Tabla__192.168.1.8_POSEIDONSQL_APPFVT_01_tblFillRateFechas[[#This Row],[cant_order]])*100</f>
        <v>100</v>
      </c>
      <c r="Q2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2" s="1">
        <f>+IF(Tabla__192.168.1.8_POSEIDONSQL_APPFVT_01_tblFillRateFechas[[#This Row],[cant_order]]&gt;0,1,0)</f>
        <v>1</v>
      </c>
      <c r="V202" s="1">
        <f>+IF(Tabla__192.168.1.8_POSEIDONSQL_APPFVT_01_tblFillRateFechas[[#This Row],[Resultado]]=1,1,0)</f>
        <v>1</v>
      </c>
      <c r="W202" s="1" t="str">
        <f>+Tabla__192.168.1.8_POSEIDONSQL_APPFVT_01_tblFillRateFechas[[#This Row],[con_ocnumero]]&amp;Tabla__192.168.1.8_POSEIDONSQL_APPFVT_01_tblFillRateFechas[[#This Row],[con_codigounico]]</f>
        <v>8684715-</v>
      </c>
      <c r="X2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3" spans="1:24" x14ac:dyDescent="0.25">
      <c r="A203">
        <v>1</v>
      </c>
      <c r="B203" t="s">
        <v>55</v>
      </c>
      <c r="C203">
        <v>8684729</v>
      </c>
      <c r="D203" t="s">
        <v>428</v>
      </c>
      <c r="E203" t="s">
        <v>415</v>
      </c>
      <c r="F203" t="s">
        <v>163</v>
      </c>
      <c r="G203">
        <v>1</v>
      </c>
      <c r="H203">
        <v>1</v>
      </c>
      <c r="I203" t="s">
        <v>415</v>
      </c>
      <c r="J203">
        <v>0</v>
      </c>
      <c r="K203" t="s">
        <v>49</v>
      </c>
      <c r="L203" s="1">
        <f>+Tabla__192.168.1.8_POSEIDONSQL_APPFVT_01_tblFillRateFechas[[#This Row],[emb_cantidad]]-Tabla__192.168.1.8_POSEIDONSQL_APPFVT_01_tblFillRateFechas[[#This Row],[dev_cantidad]]</f>
        <v>1</v>
      </c>
      <c r="M203" s="1">
        <f>+IF(Tabla__192.168.1.8_POSEIDONSQL_APPFVT_01_tblFillRateFechas[[#This Row],[Cant_Resultante]]=Tabla__192.168.1.8_POSEIDONSQL_APPFVT_01_tblFillRateFechas[[#This Row],[cant_order]],1,0)</f>
        <v>1</v>
      </c>
      <c r="N2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3" s="1">
        <f>+IF(AND(Tabla__192.168.1.8_POSEIDONSQL_APPFVT_01_tblFillRateFechas[[#This Row],[Valida Cant]]=1,Tabla__192.168.1.8_POSEIDONSQL_APPFVT_01_tblFillRateFechas[[#This Row],[Valida Fec]]=1),1,0)</f>
        <v>1</v>
      </c>
      <c r="P203" s="1">
        <f>+(Tabla__192.168.1.8_POSEIDONSQL_APPFVT_01_tblFillRateFechas[[#This Row],[Cant_Resultante]]/Tabla__192.168.1.8_POSEIDONSQL_APPFVT_01_tblFillRateFechas[[#This Row],[cant_order]])*100</f>
        <v>100</v>
      </c>
      <c r="Q2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3" s="1">
        <f>+IF(Tabla__192.168.1.8_POSEIDONSQL_APPFVT_01_tblFillRateFechas[[#This Row],[cant_order]]&gt;0,1,0)</f>
        <v>1</v>
      </c>
      <c r="V203" s="1">
        <f>+IF(Tabla__192.168.1.8_POSEIDONSQL_APPFVT_01_tblFillRateFechas[[#This Row],[Resultado]]=1,1,0)</f>
        <v>1</v>
      </c>
      <c r="W203" s="1" t="str">
        <f>+Tabla__192.168.1.8_POSEIDONSQL_APPFVT_01_tblFillRateFechas[[#This Row],[con_ocnumero]]&amp;Tabla__192.168.1.8_POSEIDONSQL_APPFVT_01_tblFillRateFechas[[#This Row],[con_codigounico]]</f>
        <v>8684729-</v>
      </c>
      <c r="X2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4" spans="1:24" x14ac:dyDescent="0.25">
      <c r="A204">
        <v>1</v>
      </c>
      <c r="B204" t="s">
        <v>55</v>
      </c>
      <c r="C204">
        <v>8684744</v>
      </c>
      <c r="D204" t="s">
        <v>428</v>
      </c>
      <c r="E204" t="s">
        <v>415</v>
      </c>
      <c r="F204" t="s">
        <v>163</v>
      </c>
      <c r="G204">
        <v>1</v>
      </c>
      <c r="H204">
        <v>1</v>
      </c>
      <c r="I204" t="s">
        <v>415</v>
      </c>
      <c r="J204">
        <v>0</v>
      </c>
      <c r="K204" t="s">
        <v>49</v>
      </c>
      <c r="L204" s="1">
        <f>+Tabla__192.168.1.8_POSEIDONSQL_APPFVT_01_tblFillRateFechas[[#This Row],[emb_cantidad]]-Tabla__192.168.1.8_POSEIDONSQL_APPFVT_01_tblFillRateFechas[[#This Row],[dev_cantidad]]</f>
        <v>1</v>
      </c>
      <c r="M204" s="1">
        <f>+IF(Tabla__192.168.1.8_POSEIDONSQL_APPFVT_01_tblFillRateFechas[[#This Row],[Cant_Resultante]]=Tabla__192.168.1.8_POSEIDONSQL_APPFVT_01_tblFillRateFechas[[#This Row],[cant_order]],1,0)</f>
        <v>1</v>
      </c>
      <c r="N2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4" s="1">
        <f>+IF(AND(Tabla__192.168.1.8_POSEIDONSQL_APPFVT_01_tblFillRateFechas[[#This Row],[Valida Cant]]=1,Tabla__192.168.1.8_POSEIDONSQL_APPFVT_01_tblFillRateFechas[[#This Row],[Valida Fec]]=1),1,0)</f>
        <v>1</v>
      </c>
      <c r="P204" s="1">
        <f>+(Tabla__192.168.1.8_POSEIDONSQL_APPFVT_01_tblFillRateFechas[[#This Row],[Cant_Resultante]]/Tabla__192.168.1.8_POSEIDONSQL_APPFVT_01_tblFillRateFechas[[#This Row],[cant_order]])*100</f>
        <v>100</v>
      </c>
      <c r="Q2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4" s="1">
        <f>+IF(Tabla__192.168.1.8_POSEIDONSQL_APPFVT_01_tblFillRateFechas[[#This Row],[cant_order]]&gt;0,1,0)</f>
        <v>1</v>
      </c>
      <c r="V204" s="1">
        <f>+IF(Tabla__192.168.1.8_POSEIDONSQL_APPFVT_01_tblFillRateFechas[[#This Row],[Resultado]]=1,1,0)</f>
        <v>1</v>
      </c>
      <c r="W204" s="1" t="str">
        <f>+Tabla__192.168.1.8_POSEIDONSQL_APPFVT_01_tblFillRateFechas[[#This Row],[con_ocnumero]]&amp;Tabla__192.168.1.8_POSEIDONSQL_APPFVT_01_tblFillRateFechas[[#This Row],[con_codigounico]]</f>
        <v>8684744-</v>
      </c>
      <c r="X2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5" spans="1:24" x14ac:dyDescent="0.25">
      <c r="A205">
        <v>1</v>
      </c>
      <c r="B205" t="s">
        <v>55</v>
      </c>
      <c r="C205">
        <v>8684766</v>
      </c>
      <c r="D205" t="s">
        <v>428</v>
      </c>
      <c r="E205" t="s">
        <v>415</v>
      </c>
      <c r="F205" t="s">
        <v>163</v>
      </c>
      <c r="G205">
        <v>1</v>
      </c>
      <c r="H205">
        <v>1</v>
      </c>
      <c r="I205" t="s">
        <v>415</v>
      </c>
      <c r="J205">
        <v>0</v>
      </c>
      <c r="K205" t="s">
        <v>49</v>
      </c>
      <c r="L205" s="1">
        <f>+Tabla__192.168.1.8_POSEIDONSQL_APPFVT_01_tblFillRateFechas[[#This Row],[emb_cantidad]]-Tabla__192.168.1.8_POSEIDONSQL_APPFVT_01_tblFillRateFechas[[#This Row],[dev_cantidad]]</f>
        <v>1</v>
      </c>
      <c r="M205" s="1">
        <f>+IF(Tabla__192.168.1.8_POSEIDONSQL_APPFVT_01_tblFillRateFechas[[#This Row],[Cant_Resultante]]=Tabla__192.168.1.8_POSEIDONSQL_APPFVT_01_tblFillRateFechas[[#This Row],[cant_order]],1,0)</f>
        <v>1</v>
      </c>
      <c r="N2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5" s="1">
        <f>+IF(AND(Tabla__192.168.1.8_POSEIDONSQL_APPFVT_01_tblFillRateFechas[[#This Row],[Valida Cant]]=1,Tabla__192.168.1.8_POSEIDONSQL_APPFVT_01_tblFillRateFechas[[#This Row],[Valida Fec]]=1),1,0)</f>
        <v>1</v>
      </c>
      <c r="P205" s="1">
        <f>+(Tabla__192.168.1.8_POSEIDONSQL_APPFVT_01_tblFillRateFechas[[#This Row],[Cant_Resultante]]/Tabla__192.168.1.8_POSEIDONSQL_APPFVT_01_tblFillRateFechas[[#This Row],[cant_order]])*100</f>
        <v>100</v>
      </c>
      <c r="Q2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5" s="1">
        <f>+IF(Tabla__192.168.1.8_POSEIDONSQL_APPFVT_01_tblFillRateFechas[[#This Row],[cant_order]]&gt;0,1,0)</f>
        <v>1</v>
      </c>
      <c r="V205" s="1">
        <f>+IF(Tabla__192.168.1.8_POSEIDONSQL_APPFVT_01_tblFillRateFechas[[#This Row],[Resultado]]=1,1,0)</f>
        <v>1</v>
      </c>
      <c r="W205" s="1" t="str">
        <f>+Tabla__192.168.1.8_POSEIDONSQL_APPFVT_01_tblFillRateFechas[[#This Row],[con_ocnumero]]&amp;Tabla__192.168.1.8_POSEIDONSQL_APPFVT_01_tblFillRateFechas[[#This Row],[con_codigounico]]</f>
        <v>8684766-</v>
      </c>
      <c r="X2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6" spans="1:24" x14ac:dyDescent="0.25">
      <c r="A206">
        <v>1</v>
      </c>
      <c r="B206" t="s">
        <v>55</v>
      </c>
      <c r="C206">
        <v>8684826</v>
      </c>
      <c r="D206" t="s">
        <v>428</v>
      </c>
      <c r="E206" t="s">
        <v>415</v>
      </c>
      <c r="F206" t="s">
        <v>163</v>
      </c>
      <c r="G206">
        <v>1</v>
      </c>
      <c r="H206">
        <v>1</v>
      </c>
      <c r="I206" t="s">
        <v>415</v>
      </c>
      <c r="J206">
        <v>0</v>
      </c>
      <c r="K206" t="s">
        <v>49</v>
      </c>
      <c r="L206" s="1">
        <f>+Tabla__192.168.1.8_POSEIDONSQL_APPFVT_01_tblFillRateFechas[[#This Row],[emb_cantidad]]-Tabla__192.168.1.8_POSEIDONSQL_APPFVT_01_tblFillRateFechas[[#This Row],[dev_cantidad]]</f>
        <v>1</v>
      </c>
      <c r="M206" s="1">
        <f>+IF(Tabla__192.168.1.8_POSEIDONSQL_APPFVT_01_tblFillRateFechas[[#This Row],[Cant_Resultante]]=Tabla__192.168.1.8_POSEIDONSQL_APPFVT_01_tblFillRateFechas[[#This Row],[cant_order]],1,0)</f>
        <v>1</v>
      </c>
      <c r="N2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6" s="1">
        <f>+IF(AND(Tabla__192.168.1.8_POSEIDONSQL_APPFVT_01_tblFillRateFechas[[#This Row],[Valida Cant]]=1,Tabla__192.168.1.8_POSEIDONSQL_APPFVT_01_tblFillRateFechas[[#This Row],[Valida Fec]]=1),1,0)</f>
        <v>1</v>
      </c>
      <c r="P206" s="1">
        <f>+(Tabla__192.168.1.8_POSEIDONSQL_APPFVT_01_tblFillRateFechas[[#This Row],[Cant_Resultante]]/Tabla__192.168.1.8_POSEIDONSQL_APPFVT_01_tblFillRateFechas[[#This Row],[cant_order]])*100</f>
        <v>100</v>
      </c>
      <c r="Q2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6" s="1">
        <f>+IF(Tabla__192.168.1.8_POSEIDONSQL_APPFVT_01_tblFillRateFechas[[#This Row],[cant_order]]&gt;0,1,0)</f>
        <v>1</v>
      </c>
      <c r="V206" s="1">
        <f>+IF(Tabla__192.168.1.8_POSEIDONSQL_APPFVT_01_tblFillRateFechas[[#This Row],[Resultado]]=1,1,0)</f>
        <v>1</v>
      </c>
      <c r="W206" s="1" t="str">
        <f>+Tabla__192.168.1.8_POSEIDONSQL_APPFVT_01_tblFillRateFechas[[#This Row],[con_ocnumero]]&amp;Tabla__192.168.1.8_POSEIDONSQL_APPFVT_01_tblFillRateFechas[[#This Row],[con_codigounico]]</f>
        <v>8684826-</v>
      </c>
      <c r="X2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7" spans="1:24" x14ac:dyDescent="0.25">
      <c r="A207">
        <v>1</v>
      </c>
      <c r="B207" t="s">
        <v>55</v>
      </c>
      <c r="C207">
        <v>8685017</v>
      </c>
      <c r="D207" t="s">
        <v>1982</v>
      </c>
      <c r="E207" t="s">
        <v>415</v>
      </c>
      <c r="F207" t="s">
        <v>163</v>
      </c>
      <c r="G207">
        <v>1</v>
      </c>
      <c r="H207">
        <v>1</v>
      </c>
      <c r="I207" t="s">
        <v>415</v>
      </c>
      <c r="J207">
        <v>0</v>
      </c>
      <c r="K207" t="s">
        <v>49</v>
      </c>
      <c r="L207" s="1">
        <f>+Tabla__192.168.1.8_POSEIDONSQL_APPFVT_01_tblFillRateFechas[[#This Row],[emb_cantidad]]-Tabla__192.168.1.8_POSEIDONSQL_APPFVT_01_tblFillRateFechas[[#This Row],[dev_cantidad]]</f>
        <v>1</v>
      </c>
      <c r="M207" s="1">
        <f>+IF(Tabla__192.168.1.8_POSEIDONSQL_APPFVT_01_tblFillRateFechas[[#This Row],[Cant_Resultante]]=Tabla__192.168.1.8_POSEIDONSQL_APPFVT_01_tblFillRateFechas[[#This Row],[cant_order]],1,0)</f>
        <v>1</v>
      </c>
      <c r="N2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7" s="1">
        <f>+IF(AND(Tabla__192.168.1.8_POSEIDONSQL_APPFVT_01_tblFillRateFechas[[#This Row],[Valida Cant]]=1,Tabla__192.168.1.8_POSEIDONSQL_APPFVT_01_tblFillRateFechas[[#This Row],[Valida Fec]]=1),1,0)</f>
        <v>1</v>
      </c>
      <c r="P207" s="1">
        <f>+(Tabla__192.168.1.8_POSEIDONSQL_APPFVT_01_tblFillRateFechas[[#This Row],[Cant_Resultante]]/Tabla__192.168.1.8_POSEIDONSQL_APPFVT_01_tblFillRateFechas[[#This Row],[cant_order]])*100</f>
        <v>100</v>
      </c>
      <c r="Q2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7" s="1">
        <f>+IF(Tabla__192.168.1.8_POSEIDONSQL_APPFVT_01_tblFillRateFechas[[#This Row],[cant_order]]&gt;0,1,0)</f>
        <v>1</v>
      </c>
      <c r="V207" s="1">
        <f>+IF(Tabla__192.168.1.8_POSEIDONSQL_APPFVT_01_tblFillRateFechas[[#This Row],[Resultado]]=1,1,0)</f>
        <v>1</v>
      </c>
      <c r="W207" s="1" t="str">
        <f>+Tabla__192.168.1.8_POSEIDONSQL_APPFVT_01_tblFillRateFechas[[#This Row],[con_ocnumero]]&amp;Tabla__192.168.1.8_POSEIDONSQL_APPFVT_01_tblFillRateFechas[[#This Row],[con_codigounico]]</f>
        <v>8685017-</v>
      </c>
      <c r="X2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8" spans="1:24" x14ac:dyDescent="0.25">
      <c r="A208">
        <v>1</v>
      </c>
      <c r="B208" t="s">
        <v>55</v>
      </c>
      <c r="C208">
        <v>8685153</v>
      </c>
      <c r="D208" t="s">
        <v>1982</v>
      </c>
      <c r="E208" t="s">
        <v>415</v>
      </c>
      <c r="F208" t="s">
        <v>163</v>
      </c>
      <c r="G208">
        <v>1</v>
      </c>
      <c r="H208">
        <v>1</v>
      </c>
      <c r="I208" t="s">
        <v>415</v>
      </c>
      <c r="J208">
        <v>0</v>
      </c>
      <c r="K208" t="s">
        <v>49</v>
      </c>
      <c r="L208" s="1">
        <f>+Tabla__192.168.1.8_POSEIDONSQL_APPFVT_01_tblFillRateFechas[[#This Row],[emb_cantidad]]-Tabla__192.168.1.8_POSEIDONSQL_APPFVT_01_tblFillRateFechas[[#This Row],[dev_cantidad]]</f>
        <v>1</v>
      </c>
      <c r="M208" s="1">
        <f>+IF(Tabla__192.168.1.8_POSEIDONSQL_APPFVT_01_tblFillRateFechas[[#This Row],[Cant_Resultante]]=Tabla__192.168.1.8_POSEIDONSQL_APPFVT_01_tblFillRateFechas[[#This Row],[cant_order]],1,0)</f>
        <v>1</v>
      </c>
      <c r="N2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8" s="1">
        <f>+IF(AND(Tabla__192.168.1.8_POSEIDONSQL_APPFVT_01_tblFillRateFechas[[#This Row],[Valida Cant]]=1,Tabla__192.168.1.8_POSEIDONSQL_APPFVT_01_tblFillRateFechas[[#This Row],[Valida Fec]]=1),1,0)</f>
        <v>1</v>
      </c>
      <c r="P208" s="1">
        <f>+(Tabla__192.168.1.8_POSEIDONSQL_APPFVT_01_tblFillRateFechas[[#This Row],[Cant_Resultante]]/Tabla__192.168.1.8_POSEIDONSQL_APPFVT_01_tblFillRateFechas[[#This Row],[cant_order]])*100</f>
        <v>100</v>
      </c>
      <c r="Q2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8" s="1">
        <f>+IF(Tabla__192.168.1.8_POSEIDONSQL_APPFVT_01_tblFillRateFechas[[#This Row],[cant_order]]&gt;0,1,0)</f>
        <v>1</v>
      </c>
      <c r="V208" s="1">
        <f>+IF(Tabla__192.168.1.8_POSEIDONSQL_APPFVT_01_tblFillRateFechas[[#This Row],[Resultado]]=1,1,0)</f>
        <v>1</v>
      </c>
      <c r="W208" s="1" t="str">
        <f>+Tabla__192.168.1.8_POSEIDONSQL_APPFVT_01_tblFillRateFechas[[#This Row],[con_ocnumero]]&amp;Tabla__192.168.1.8_POSEIDONSQL_APPFVT_01_tblFillRateFechas[[#This Row],[con_codigounico]]</f>
        <v>8685153-</v>
      </c>
      <c r="X2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09" spans="1:24" x14ac:dyDescent="0.25">
      <c r="A209">
        <v>1</v>
      </c>
      <c r="B209" t="s">
        <v>55</v>
      </c>
      <c r="C209">
        <v>8685305</v>
      </c>
      <c r="D209" t="s">
        <v>1982</v>
      </c>
      <c r="E209" t="s">
        <v>415</v>
      </c>
      <c r="F209" t="s">
        <v>163</v>
      </c>
      <c r="G209">
        <v>1</v>
      </c>
      <c r="H209">
        <v>1</v>
      </c>
      <c r="I209" t="s">
        <v>415</v>
      </c>
      <c r="J209">
        <v>0</v>
      </c>
      <c r="K209" t="s">
        <v>49</v>
      </c>
      <c r="L209" s="1">
        <f>+Tabla__192.168.1.8_POSEIDONSQL_APPFVT_01_tblFillRateFechas[[#This Row],[emb_cantidad]]-Tabla__192.168.1.8_POSEIDONSQL_APPFVT_01_tblFillRateFechas[[#This Row],[dev_cantidad]]</f>
        <v>1</v>
      </c>
      <c r="M209" s="1">
        <f>+IF(Tabla__192.168.1.8_POSEIDONSQL_APPFVT_01_tblFillRateFechas[[#This Row],[Cant_Resultante]]=Tabla__192.168.1.8_POSEIDONSQL_APPFVT_01_tblFillRateFechas[[#This Row],[cant_order]],1,0)</f>
        <v>1</v>
      </c>
      <c r="N2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09" s="1">
        <f>+IF(AND(Tabla__192.168.1.8_POSEIDONSQL_APPFVT_01_tblFillRateFechas[[#This Row],[Valida Cant]]=1,Tabla__192.168.1.8_POSEIDONSQL_APPFVT_01_tblFillRateFechas[[#This Row],[Valida Fec]]=1),1,0)</f>
        <v>1</v>
      </c>
      <c r="P209" s="1">
        <f>+(Tabla__192.168.1.8_POSEIDONSQL_APPFVT_01_tblFillRateFechas[[#This Row],[Cant_Resultante]]/Tabla__192.168.1.8_POSEIDONSQL_APPFVT_01_tblFillRateFechas[[#This Row],[cant_order]])*100</f>
        <v>100</v>
      </c>
      <c r="Q2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09" s="1">
        <f>+IF(Tabla__192.168.1.8_POSEIDONSQL_APPFVT_01_tblFillRateFechas[[#This Row],[cant_order]]&gt;0,1,0)</f>
        <v>1</v>
      </c>
      <c r="V209" s="1">
        <f>+IF(Tabla__192.168.1.8_POSEIDONSQL_APPFVT_01_tblFillRateFechas[[#This Row],[Resultado]]=1,1,0)</f>
        <v>1</v>
      </c>
      <c r="W209" s="1" t="str">
        <f>+Tabla__192.168.1.8_POSEIDONSQL_APPFVT_01_tblFillRateFechas[[#This Row],[con_ocnumero]]&amp;Tabla__192.168.1.8_POSEIDONSQL_APPFVT_01_tblFillRateFechas[[#This Row],[con_codigounico]]</f>
        <v>8685305-</v>
      </c>
      <c r="X2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0" spans="1:24" x14ac:dyDescent="0.25">
      <c r="A210">
        <v>1</v>
      </c>
      <c r="B210" t="s">
        <v>55</v>
      </c>
      <c r="C210">
        <v>8685307</v>
      </c>
      <c r="D210" t="s">
        <v>1982</v>
      </c>
      <c r="E210" t="s">
        <v>415</v>
      </c>
      <c r="F210" t="s">
        <v>163</v>
      </c>
      <c r="G210">
        <v>1</v>
      </c>
      <c r="H210">
        <v>1</v>
      </c>
      <c r="I210" t="s">
        <v>415</v>
      </c>
      <c r="J210">
        <v>0</v>
      </c>
      <c r="K210" t="s">
        <v>49</v>
      </c>
      <c r="L210" s="1">
        <f>+Tabla__192.168.1.8_POSEIDONSQL_APPFVT_01_tblFillRateFechas[[#This Row],[emb_cantidad]]-Tabla__192.168.1.8_POSEIDONSQL_APPFVT_01_tblFillRateFechas[[#This Row],[dev_cantidad]]</f>
        <v>1</v>
      </c>
      <c r="M210" s="1">
        <f>+IF(Tabla__192.168.1.8_POSEIDONSQL_APPFVT_01_tblFillRateFechas[[#This Row],[Cant_Resultante]]=Tabla__192.168.1.8_POSEIDONSQL_APPFVT_01_tblFillRateFechas[[#This Row],[cant_order]],1,0)</f>
        <v>1</v>
      </c>
      <c r="N2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0" s="1">
        <f>+IF(AND(Tabla__192.168.1.8_POSEIDONSQL_APPFVT_01_tblFillRateFechas[[#This Row],[Valida Cant]]=1,Tabla__192.168.1.8_POSEIDONSQL_APPFVT_01_tblFillRateFechas[[#This Row],[Valida Fec]]=1),1,0)</f>
        <v>1</v>
      </c>
      <c r="P210" s="1">
        <f>+(Tabla__192.168.1.8_POSEIDONSQL_APPFVT_01_tblFillRateFechas[[#This Row],[Cant_Resultante]]/Tabla__192.168.1.8_POSEIDONSQL_APPFVT_01_tblFillRateFechas[[#This Row],[cant_order]])*100</f>
        <v>100</v>
      </c>
      <c r="Q2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0" s="1">
        <f>+IF(Tabla__192.168.1.8_POSEIDONSQL_APPFVT_01_tblFillRateFechas[[#This Row],[cant_order]]&gt;0,1,0)</f>
        <v>1</v>
      </c>
      <c r="V210" s="1">
        <f>+IF(Tabla__192.168.1.8_POSEIDONSQL_APPFVT_01_tblFillRateFechas[[#This Row],[Resultado]]=1,1,0)</f>
        <v>1</v>
      </c>
      <c r="W210" s="1" t="str">
        <f>+Tabla__192.168.1.8_POSEIDONSQL_APPFVT_01_tblFillRateFechas[[#This Row],[con_ocnumero]]&amp;Tabla__192.168.1.8_POSEIDONSQL_APPFVT_01_tblFillRateFechas[[#This Row],[con_codigounico]]</f>
        <v>8685307-</v>
      </c>
      <c r="X2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1" spans="1:24" x14ac:dyDescent="0.25">
      <c r="A211">
        <v>1</v>
      </c>
      <c r="B211" t="s">
        <v>55</v>
      </c>
      <c r="C211">
        <v>8685310</v>
      </c>
      <c r="D211" t="s">
        <v>1982</v>
      </c>
      <c r="E211" t="s">
        <v>415</v>
      </c>
      <c r="F211" t="s">
        <v>163</v>
      </c>
      <c r="G211">
        <v>1</v>
      </c>
      <c r="H211">
        <v>1</v>
      </c>
      <c r="I211" t="s">
        <v>415</v>
      </c>
      <c r="J211">
        <v>0</v>
      </c>
      <c r="K211" t="s">
        <v>49</v>
      </c>
      <c r="L211" s="1">
        <f>+Tabla__192.168.1.8_POSEIDONSQL_APPFVT_01_tblFillRateFechas[[#This Row],[emb_cantidad]]-Tabla__192.168.1.8_POSEIDONSQL_APPFVT_01_tblFillRateFechas[[#This Row],[dev_cantidad]]</f>
        <v>1</v>
      </c>
      <c r="M211" s="1">
        <f>+IF(Tabla__192.168.1.8_POSEIDONSQL_APPFVT_01_tblFillRateFechas[[#This Row],[Cant_Resultante]]=Tabla__192.168.1.8_POSEIDONSQL_APPFVT_01_tblFillRateFechas[[#This Row],[cant_order]],1,0)</f>
        <v>1</v>
      </c>
      <c r="N2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1" s="1">
        <f>+IF(AND(Tabla__192.168.1.8_POSEIDONSQL_APPFVT_01_tblFillRateFechas[[#This Row],[Valida Cant]]=1,Tabla__192.168.1.8_POSEIDONSQL_APPFVT_01_tblFillRateFechas[[#This Row],[Valida Fec]]=1),1,0)</f>
        <v>1</v>
      </c>
      <c r="P211" s="1">
        <f>+(Tabla__192.168.1.8_POSEIDONSQL_APPFVT_01_tblFillRateFechas[[#This Row],[Cant_Resultante]]/Tabla__192.168.1.8_POSEIDONSQL_APPFVT_01_tblFillRateFechas[[#This Row],[cant_order]])*100</f>
        <v>100</v>
      </c>
      <c r="Q2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1" s="1">
        <f>+IF(Tabla__192.168.1.8_POSEIDONSQL_APPFVT_01_tblFillRateFechas[[#This Row],[cant_order]]&gt;0,1,0)</f>
        <v>1</v>
      </c>
      <c r="V211" s="1">
        <f>+IF(Tabla__192.168.1.8_POSEIDONSQL_APPFVT_01_tblFillRateFechas[[#This Row],[Resultado]]=1,1,0)</f>
        <v>1</v>
      </c>
      <c r="W211" s="1" t="str">
        <f>+Tabla__192.168.1.8_POSEIDONSQL_APPFVT_01_tblFillRateFechas[[#This Row],[con_ocnumero]]&amp;Tabla__192.168.1.8_POSEIDONSQL_APPFVT_01_tblFillRateFechas[[#This Row],[con_codigounico]]</f>
        <v>8685310-</v>
      </c>
      <c r="X2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2" spans="1:24" x14ac:dyDescent="0.25">
      <c r="A212">
        <v>1</v>
      </c>
      <c r="B212" t="s">
        <v>55</v>
      </c>
      <c r="C212">
        <v>8685410</v>
      </c>
      <c r="D212" t="s">
        <v>1982</v>
      </c>
      <c r="E212" t="s">
        <v>415</v>
      </c>
      <c r="F212" t="s">
        <v>429</v>
      </c>
      <c r="G212">
        <v>1</v>
      </c>
      <c r="H212">
        <v>1</v>
      </c>
      <c r="I212" t="s">
        <v>415</v>
      </c>
      <c r="J212">
        <v>0</v>
      </c>
      <c r="K212" t="s">
        <v>49</v>
      </c>
      <c r="L212" s="1">
        <f>+Tabla__192.168.1.8_POSEIDONSQL_APPFVT_01_tblFillRateFechas[[#This Row],[emb_cantidad]]-Tabla__192.168.1.8_POSEIDONSQL_APPFVT_01_tblFillRateFechas[[#This Row],[dev_cantidad]]</f>
        <v>1</v>
      </c>
      <c r="M212" s="1">
        <f>+IF(Tabla__192.168.1.8_POSEIDONSQL_APPFVT_01_tblFillRateFechas[[#This Row],[Cant_Resultante]]=Tabla__192.168.1.8_POSEIDONSQL_APPFVT_01_tblFillRateFechas[[#This Row],[cant_order]],1,0)</f>
        <v>1</v>
      </c>
      <c r="N2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2" s="1">
        <f>+IF(AND(Tabla__192.168.1.8_POSEIDONSQL_APPFVT_01_tblFillRateFechas[[#This Row],[Valida Cant]]=1,Tabla__192.168.1.8_POSEIDONSQL_APPFVT_01_tblFillRateFechas[[#This Row],[Valida Fec]]=1),1,0)</f>
        <v>1</v>
      </c>
      <c r="P212" s="1">
        <f>+(Tabla__192.168.1.8_POSEIDONSQL_APPFVT_01_tblFillRateFechas[[#This Row],[Cant_Resultante]]/Tabla__192.168.1.8_POSEIDONSQL_APPFVT_01_tblFillRateFechas[[#This Row],[cant_order]])*100</f>
        <v>100</v>
      </c>
      <c r="Q2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2" s="1">
        <f>+IF(Tabla__192.168.1.8_POSEIDONSQL_APPFVT_01_tblFillRateFechas[[#This Row],[cant_order]]&gt;0,1,0)</f>
        <v>1</v>
      </c>
      <c r="V212" s="1">
        <f>+IF(Tabla__192.168.1.8_POSEIDONSQL_APPFVT_01_tblFillRateFechas[[#This Row],[Resultado]]=1,1,0)</f>
        <v>1</v>
      </c>
      <c r="W212" s="1" t="str">
        <f>+Tabla__192.168.1.8_POSEIDONSQL_APPFVT_01_tblFillRateFechas[[#This Row],[con_ocnumero]]&amp;Tabla__192.168.1.8_POSEIDONSQL_APPFVT_01_tblFillRateFechas[[#This Row],[con_codigounico]]</f>
        <v>8685410-</v>
      </c>
      <c r="X2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3" spans="1:24" x14ac:dyDescent="0.25">
      <c r="A213">
        <v>1</v>
      </c>
      <c r="B213" t="s">
        <v>55</v>
      </c>
      <c r="C213">
        <v>8685449</v>
      </c>
      <c r="D213" t="s">
        <v>1982</v>
      </c>
      <c r="E213" t="s">
        <v>415</v>
      </c>
      <c r="F213" t="s">
        <v>429</v>
      </c>
      <c r="G213">
        <v>1</v>
      </c>
      <c r="H213">
        <v>1</v>
      </c>
      <c r="I213" t="s">
        <v>415</v>
      </c>
      <c r="J213">
        <v>0</v>
      </c>
      <c r="K213" t="s">
        <v>49</v>
      </c>
      <c r="L213" s="1">
        <f>+Tabla__192.168.1.8_POSEIDONSQL_APPFVT_01_tblFillRateFechas[[#This Row],[emb_cantidad]]-Tabla__192.168.1.8_POSEIDONSQL_APPFVT_01_tblFillRateFechas[[#This Row],[dev_cantidad]]</f>
        <v>1</v>
      </c>
      <c r="M213" s="1">
        <f>+IF(Tabla__192.168.1.8_POSEIDONSQL_APPFVT_01_tblFillRateFechas[[#This Row],[Cant_Resultante]]=Tabla__192.168.1.8_POSEIDONSQL_APPFVT_01_tblFillRateFechas[[#This Row],[cant_order]],1,0)</f>
        <v>1</v>
      </c>
      <c r="N2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3" s="1">
        <f>+IF(AND(Tabla__192.168.1.8_POSEIDONSQL_APPFVT_01_tblFillRateFechas[[#This Row],[Valida Cant]]=1,Tabla__192.168.1.8_POSEIDONSQL_APPFVT_01_tblFillRateFechas[[#This Row],[Valida Fec]]=1),1,0)</f>
        <v>1</v>
      </c>
      <c r="P213" s="1">
        <f>+(Tabla__192.168.1.8_POSEIDONSQL_APPFVT_01_tblFillRateFechas[[#This Row],[Cant_Resultante]]/Tabla__192.168.1.8_POSEIDONSQL_APPFVT_01_tblFillRateFechas[[#This Row],[cant_order]])*100</f>
        <v>100</v>
      </c>
      <c r="Q2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3" s="1">
        <f>+IF(Tabla__192.168.1.8_POSEIDONSQL_APPFVT_01_tblFillRateFechas[[#This Row],[cant_order]]&gt;0,1,0)</f>
        <v>1</v>
      </c>
      <c r="V213" s="1">
        <f>+IF(Tabla__192.168.1.8_POSEIDONSQL_APPFVT_01_tblFillRateFechas[[#This Row],[Resultado]]=1,1,0)</f>
        <v>1</v>
      </c>
      <c r="W213" s="1" t="str">
        <f>+Tabla__192.168.1.8_POSEIDONSQL_APPFVT_01_tblFillRateFechas[[#This Row],[con_ocnumero]]&amp;Tabla__192.168.1.8_POSEIDONSQL_APPFVT_01_tblFillRateFechas[[#This Row],[con_codigounico]]</f>
        <v>8685449-</v>
      </c>
      <c r="X2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4" spans="1:24" x14ac:dyDescent="0.25">
      <c r="A214">
        <v>1</v>
      </c>
      <c r="B214" t="s">
        <v>55</v>
      </c>
      <c r="C214">
        <v>8685500</v>
      </c>
      <c r="D214" t="s">
        <v>1982</v>
      </c>
      <c r="E214" t="s">
        <v>415</v>
      </c>
      <c r="F214" t="s">
        <v>429</v>
      </c>
      <c r="G214">
        <v>1</v>
      </c>
      <c r="H214">
        <v>1</v>
      </c>
      <c r="I214" t="s">
        <v>415</v>
      </c>
      <c r="J214">
        <v>0</v>
      </c>
      <c r="K214" t="s">
        <v>49</v>
      </c>
      <c r="L214" s="1">
        <f>+Tabla__192.168.1.8_POSEIDONSQL_APPFVT_01_tblFillRateFechas[[#This Row],[emb_cantidad]]-Tabla__192.168.1.8_POSEIDONSQL_APPFVT_01_tblFillRateFechas[[#This Row],[dev_cantidad]]</f>
        <v>1</v>
      </c>
      <c r="M214" s="1">
        <f>+IF(Tabla__192.168.1.8_POSEIDONSQL_APPFVT_01_tblFillRateFechas[[#This Row],[Cant_Resultante]]=Tabla__192.168.1.8_POSEIDONSQL_APPFVT_01_tblFillRateFechas[[#This Row],[cant_order]],1,0)</f>
        <v>1</v>
      </c>
      <c r="N2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4" s="1">
        <f>+IF(AND(Tabla__192.168.1.8_POSEIDONSQL_APPFVT_01_tblFillRateFechas[[#This Row],[Valida Cant]]=1,Tabla__192.168.1.8_POSEIDONSQL_APPFVT_01_tblFillRateFechas[[#This Row],[Valida Fec]]=1),1,0)</f>
        <v>1</v>
      </c>
      <c r="P214" s="1">
        <f>+(Tabla__192.168.1.8_POSEIDONSQL_APPFVT_01_tblFillRateFechas[[#This Row],[Cant_Resultante]]/Tabla__192.168.1.8_POSEIDONSQL_APPFVT_01_tblFillRateFechas[[#This Row],[cant_order]])*100</f>
        <v>100</v>
      </c>
      <c r="Q2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4" s="1">
        <f>+IF(Tabla__192.168.1.8_POSEIDONSQL_APPFVT_01_tblFillRateFechas[[#This Row],[cant_order]]&gt;0,1,0)</f>
        <v>1</v>
      </c>
      <c r="V214" s="1">
        <f>+IF(Tabla__192.168.1.8_POSEIDONSQL_APPFVT_01_tblFillRateFechas[[#This Row],[Resultado]]=1,1,0)</f>
        <v>1</v>
      </c>
      <c r="W214" s="1" t="str">
        <f>+Tabla__192.168.1.8_POSEIDONSQL_APPFVT_01_tblFillRateFechas[[#This Row],[con_ocnumero]]&amp;Tabla__192.168.1.8_POSEIDONSQL_APPFVT_01_tblFillRateFechas[[#This Row],[con_codigounico]]</f>
        <v>8685500-</v>
      </c>
      <c r="X2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5" spans="1:24" x14ac:dyDescent="0.25">
      <c r="A215">
        <v>1</v>
      </c>
      <c r="B215" t="s">
        <v>55</v>
      </c>
      <c r="C215">
        <v>8685505</v>
      </c>
      <c r="D215" t="s">
        <v>1982</v>
      </c>
      <c r="E215" t="s">
        <v>415</v>
      </c>
      <c r="F215" t="s">
        <v>429</v>
      </c>
      <c r="G215">
        <v>1</v>
      </c>
      <c r="H215">
        <v>0</v>
      </c>
      <c r="I215" t="s">
        <v>12</v>
      </c>
      <c r="J215">
        <v>0</v>
      </c>
      <c r="K215" t="s">
        <v>49</v>
      </c>
      <c r="L215" s="1">
        <f>+Tabla__192.168.1.8_POSEIDONSQL_APPFVT_01_tblFillRateFechas[[#This Row],[emb_cantidad]]-Tabla__192.168.1.8_POSEIDONSQL_APPFVT_01_tblFillRateFechas[[#This Row],[dev_cantidad]]</f>
        <v>0</v>
      </c>
      <c r="M215" s="1">
        <f>+IF(Tabla__192.168.1.8_POSEIDONSQL_APPFVT_01_tblFillRateFechas[[#This Row],[Cant_Resultante]]=Tabla__192.168.1.8_POSEIDONSQL_APPFVT_01_tblFillRateFechas[[#This Row],[cant_order]],1,0)</f>
        <v>0</v>
      </c>
      <c r="N2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15" s="1">
        <f>+IF(AND(Tabla__192.168.1.8_POSEIDONSQL_APPFVT_01_tblFillRateFechas[[#This Row],[Valida Cant]]=1,Tabla__192.168.1.8_POSEIDONSQL_APPFVT_01_tblFillRateFechas[[#This Row],[Valida Fec]]=1),1,0)</f>
        <v>0</v>
      </c>
      <c r="P215" s="1">
        <f>+(Tabla__192.168.1.8_POSEIDONSQL_APPFVT_01_tblFillRateFechas[[#This Row],[Cant_Resultante]]/Tabla__192.168.1.8_POSEIDONSQL_APPFVT_01_tblFillRateFechas[[#This Row],[cant_order]])*100</f>
        <v>0</v>
      </c>
      <c r="Q2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2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15" s="1">
        <f>+IF(Tabla__192.168.1.8_POSEIDONSQL_APPFVT_01_tblFillRateFechas[[#This Row],[cant_order]]&gt;0,1,0)</f>
        <v>1</v>
      </c>
      <c r="V215" s="1">
        <f>+IF(Tabla__192.168.1.8_POSEIDONSQL_APPFVT_01_tblFillRateFechas[[#This Row],[Resultado]]=1,1,0)</f>
        <v>0</v>
      </c>
      <c r="W215" s="1" t="str">
        <f>+Tabla__192.168.1.8_POSEIDONSQL_APPFVT_01_tblFillRateFechas[[#This Row],[con_ocnumero]]&amp;Tabla__192.168.1.8_POSEIDONSQL_APPFVT_01_tblFillRateFechas[[#This Row],[con_codigounico]]</f>
        <v>8685505-</v>
      </c>
      <c r="X2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216" spans="1:24" x14ac:dyDescent="0.25">
      <c r="A216">
        <v>1</v>
      </c>
      <c r="B216" t="s">
        <v>55</v>
      </c>
      <c r="C216">
        <v>8685731</v>
      </c>
      <c r="D216" t="s">
        <v>163</v>
      </c>
      <c r="E216" t="s">
        <v>415</v>
      </c>
      <c r="F216" t="s">
        <v>429</v>
      </c>
      <c r="G216">
        <v>1</v>
      </c>
      <c r="H216">
        <v>1</v>
      </c>
      <c r="I216" t="s">
        <v>415</v>
      </c>
      <c r="J216">
        <v>0</v>
      </c>
      <c r="K216" t="s">
        <v>49</v>
      </c>
      <c r="L216" s="1">
        <f>+Tabla__192.168.1.8_POSEIDONSQL_APPFVT_01_tblFillRateFechas[[#This Row],[emb_cantidad]]-Tabla__192.168.1.8_POSEIDONSQL_APPFVT_01_tblFillRateFechas[[#This Row],[dev_cantidad]]</f>
        <v>1</v>
      </c>
      <c r="M216" s="1">
        <f>+IF(Tabla__192.168.1.8_POSEIDONSQL_APPFVT_01_tblFillRateFechas[[#This Row],[Cant_Resultante]]=Tabla__192.168.1.8_POSEIDONSQL_APPFVT_01_tblFillRateFechas[[#This Row],[cant_order]],1,0)</f>
        <v>1</v>
      </c>
      <c r="N2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6" s="1">
        <f>+IF(AND(Tabla__192.168.1.8_POSEIDONSQL_APPFVT_01_tblFillRateFechas[[#This Row],[Valida Cant]]=1,Tabla__192.168.1.8_POSEIDONSQL_APPFVT_01_tblFillRateFechas[[#This Row],[Valida Fec]]=1),1,0)</f>
        <v>1</v>
      </c>
      <c r="P216" s="1">
        <f>+(Tabla__192.168.1.8_POSEIDONSQL_APPFVT_01_tblFillRateFechas[[#This Row],[Cant_Resultante]]/Tabla__192.168.1.8_POSEIDONSQL_APPFVT_01_tblFillRateFechas[[#This Row],[cant_order]])*100</f>
        <v>100</v>
      </c>
      <c r="Q2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6" s="1">
        <f>+IF(Tabla__192.168.1.8_POSEIDONSQL_APPFVT_01_tblFillRateFechas[[#This Row],[cant_order]]&gt;0,1,0)</f>
        <v>1</v>
      </c>
      <c r="V216" s="1">
        <f>+IF(Tabla__192.168.1.8_POSEIDONSQL_APPFVT_01_tblFillRateFechas[[#This Row],[Resultado]]=1,1,0)</f>
        <v>1</v>
      </c>
      <c r="W216" s="1" t="str">
        <f>+Tabla__192.168.1.8_POSEIDONSQL_APPFVT_01_tblFillRateFechas[[#This Row],[con_ocnumero]]&amp;Tabla__192.168.1.8_POSEIDONSQL_APPFVT_01_tblFillRateFechas[[#This Row],[con_codigounico]]</f>
        <v>8685731-</v>
      </c>
      <c r="X2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7" spans="1:24" x14ac:dyDescent="0.25">
      <c r="A217">
        <v>1</v>
      </c>
      <c r="B217" t="s">
        <v>55</v>
      </c>
      <c r="C217">
        <v>8685912</v>
      </c>
      <c r="D217" t="s">
        <v>163</v>
      </c>
      <c r="E217" t="s">
        <v>415</v>
      </c>
      <c r="F217" t="s">
        <v>429</v>
      </c>
      <c r="G217">
        <v>1</v>
      </c>
      <c r="H217">
        <v>1</v>
      </c>
      <c r="I217" t="s">
        <v>415</v>
      </c>
      <c r="J217">
        <v>0</v>
      </c>
      <c r="K217" t="s">
        <v>49</v>
      </c>
      <c r="L217" s="1">
        <f>+Tabla__192.168.1.8_POSEIDONSQL_APPFVT_01_tblFillRateFechas[[#This Row],[emb_cantidad]]-Tabla__192.168.1.8_POSEIDONSQL_APPFVT_01_tblFillRateFechas[[#This Row],[dev_cantidad]]</f>
        <v>1</v>
      </c>
      <c r="M217" s="1">
        <f>+IF(Tabla__192.168.1.8_POSEIDONSQL_APPFVT_01_tblFillRateFechas[[#This Row],[Cant_Resultante]]=Tabla__192.168.1.8_POSEIDONSQL_APPFVT_01_tblFillRateFechas[[#This Row],[cant_order]],1,0)</f>
        <v>1</v>
      </c>
      <c r="N2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7" s="1">
        <f>+IF(AND(Tabla__192.168.1.8_POSEIDONSQL_APPFVT_01_tblFillRateFechas[[#This Row],[Valida Cant]]=1,Tabla__192.168.1.8_POSEIDONSQL_APPFVT_01_tblFillRateFechas[[#This Row],[Valida Fec]]=1),1,0)</f>
        <v>1</v>
      </c>
      <c r="P217" s="1">
        <f>+(Tabla__192.168.1.8_POSEIDONSQL_APPFVT_01_tblFillRateFechas[[#This Row],[Cant_Resultante]]/Tabla__192.168.1.8_POSEIDONSQL_APPFVT_01_tblFillRateFechas[[#This Row],[cant_order]])*100</f>
        <v>100</v>
      </c>
      <c r="Q2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7" s="1">
        <f>+IF(Tabla__192.168.1.8_POSEIDONSQL_APPFVT_01_tblFillRateFechas[[#This Row],[cant_order]]&gt;0,1,0)</f>
        <v>1</v>
      </c>
      <c r="V217" s="1">
        <f>+IF(Tabla__192.168.1.8_POSEIDONSQL_APPFVT_01_tblFillRateFechas[[#This Row],[Resultado]]=1,1,0)</f>
        <v>1</v>
      </c>
      <c r="W217" s="1" t="str">
        <f>+Tabla__192.168.1.8_POSEIDONSQL_APPFVT_01_tblFillRateFechas[[#This Row],[con_ocnumero]]&amp;Tabla__192.168.1.8_POSEIDONSQL_APPFVT_01_tblFillRateFechas[[#This Row],[con_codigounico]]</f>
        <v>8685912-</v>
      </c>
      <c r="X2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18" spans="1:24" x14ac:dyDescent="0.25">
      <c r="A218">
        <v>1</v>
      </c>
      <c r="B218" t="s">
        <v>55</v>
      </c>
      <c r="C218">
        <v>8686410</v>
      </c>
      <c r="D218" t="s">
        <v>163</v>
      </c>
      <c r="E218" t="s">
        <v>426</v>
      </c>
      <c r="F218" t="s">
        <v>429</v>
      </c>
      <c r="G218">
        <v>266</v>
      </c>
      <c r="H218">
        <v>266</v>
      </c>
      <c r="I218" t="s">
        <v>426</v>
      </c>
      <c r="J218">
        <v>0</v>
      </c>
      <c r="K218" t="s">
        <v>49</v>
      </c>
      <c r="L218" s="1">
        <f>+Tabla__192.168.1.8_POSEIDONSQL_APPFVT_01_tblFillRateFechas[[#This Row],[emb_cantidad]]-Tabla__192.168.1.8_POSEIDONSQL_APPFVT_01_tblFillRateFechas[[#This Row],[dev_cantidad]]</f>
        <v>266</v>
      </c>
      <c r="M218" s="1">
        <f>+IF(Tabla__192.168.1.8_POSEIDONSQL_APPFVT_01_tblFillRateFechas[[#This Row],[Cant_Resultante]]=Tabla__192.168.1.8_POSEIDONSQL_APPFVT_01_tblFillRateFechas[[#This Row],[cant_order]],1,0)</f>
        <v>1</v>
      </c>
      <c r="N2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8" s="1">
        <f>+IF(AND(Tabla__192.168.1.8_POSEIDONSQL_APPFVT_01_tblFillRateFechas[[#This Row],[Valida Cant]]=1,Tabla__192.168.1.8_POSEIDONSQL_APPFVT_01_tblFillRateFechas[[#This Row],[Valida Fec]]=1),1,0)</f>
        <v>1</v>
      </c>
      <c r="P218" s="1">
        <f>+(Tabla__192.168.1.8_POSEIDONSQL_APPFVT_01_tblFillRateFechas[[#This Row],[Cant_Resultante]]/Tabla__192.168.1.8_POSEIDONSQL_APPFVT_01_tblFillRateFechas[[#This Row],[cant_order]])*100</f>
        <v>100</v>
      </c>
      <c r="Q2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266</v>
      </c>
      <c r="R2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266</v>
      </c>
      <c r="T2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8" s="1">
        <f>+IF(Tabla__192.168.1.8_POSEIDONSQL_APPFVT_01_tblFillRateFechas[[#This Row],[cant_order]]&gt;0,1,0)</f>
        <v>1</v>
      </c>
      <c r="V218" s="1">
        <f>+IF(Tabla__192.168.1.8_POSEIDONSQL_APPFVT_01_tblFillRateFechas[[#This Row],[Resultado]]=1,1,0)</f>
        <v>1</v>
      </c>
      <c r="W218" s="1" t="str">
        <f>+Tabla__192.168.1.8_POSEIDONSQL_APPFVT_01_tblFillRateFechas[[#This Row],[con_ocnumero]]&amp;Tabla__192.168.1.8_POSEIDONSQL_APPFVT_01_tblFillRateFechas[[#This Row],[con_codigounico]]</f>
        <v>8686410-</v>
      </c>
      <c r="X2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266</v>
      </c>
    </row>
    <row r="219" spans="1:24" x14ac:dyDescent="0.25">
      <c r="A219">
        <v>1</v>
      </c>
      <c r="B219" t="s">
        <v>55</v>
      </c>
      <c r="C219">
        <v>8687489</v>
      </c>
      <c r="D219" t="s">
        <v>163</v>
      </c>
      <c r="E219" t="s">
        <v>415</v>
      </c>
      <c r="F219" t="s">
        <v>429</v>
      </c>
      <c r="G219">
        <v>1</v>
      </c>
      <c r="H219">
        <v>1</v>
      </c>
      <c r="I219" t="s">
        <v>415</v>
      </c>
      <c r="J219">
        <v>0</v>
      </c>
      <c r="K219" t="s">
        <v>49</v>
      </c>
      <c r="L219" s="1">
        <f>+Tabla__192.168.1.8_POSEIDONSQL_APPFVT_01_tblFillRateFechas[[#This Row],[emb_cantidad]]-Tabla__192.168.1.8_POSEIDONSQL_APPFVT_01_tblFillRateFechas[[#This Row],[dev_cantidad]]</f>
        <v>1</v>
      </c>
      <c r="M219" s="1">
        <f>+IF(Tabla__192.168.1.8_POSEIDONSQL_APPFVT_01_tblFillRateFechas[[#This Row],[Cant_Resultante]]=Tabla__192.168.1.8_POSEIDONSQL_APPFVT_01_tblFillRateFechas[[#This Row],[cant_order]],1,0)</f>
        <v>1</v>
      </c>
      <c r="N2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19" s="1">
        <f>+IF(AND(Tabla__192.168.1.8_POSEIDONSQL_APPFVT_01_tblFillRateFechas[[#This Row],[Valida Cant]]=1,Tabla__192.168.1.8_POSEIDONSQL_APPFVT_01_tblFillRateFechas[[#This Row],[Valida Fec]]=1),1,0)</f>
        <v>1</v>
      </c>
      <c r="P219" s="1">
        <f>+(Tabla__192.168.1.8_POSEIDONSQL_APPFVT_01_tblFillRateFechas[[#This Row],[Cant_Resultante]]/Tabla__192.168.1.8_POSEIDONSQL_APPFVT_01_tblFillRateFechas[[#This Row],[cant_order]])*100</f>
        <v>100</v>
      </c>
      <c r="Q2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19" s="1">
        <f>+IF(Tabla__192.168.1.8_POSEIDONSQL_APPFVT_01_tblFillRateFechas[[#This Row],[cant_order]]&gt;0,1,0)</f>
        <v>1</v>
      </c>
      <c r="V219" s="1">
        <f>+IF(Tabla__192.168.1.8_POSEIDONSQL_APPFVT_01_tblFillRateFechas[[#This Row],[Resultado]]=1,1,0)</f>
        <v>1</v>
      </c>
      <c r="W219" s="1" t="str">
        <f>+Tabla__192.168.1.8_POSEIDONSQL_APPFVT_01_tblFillRateFechas[[#This Row],[con_ocnumero]]&amp;Tabla__192.168.1.8_POSEIDONSQL_APPFVT_01_tblFillRateFechas[[#This Row],[con_codigounico]]</f>
        <v>8687489-</v>
      </c>
      <c r="X2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0" spans="1:24" x14ac:dyDescent="0.25">
      <c r="A220">
        <v>1</v>
      </c>
      <c r="B220" t="s">
        <v>55</v>
      </c>
      <c r="C220">
        <v>8687869</v>
      </c>
      <c r="D220" t="s">
        <v>163</v>
      </c>
      <c r="E220" t="s">
        <v>415</v>
      </c>
      <c r="F220" t="s">
        <v>427</v>
      </c>
      <c r="G220">
        <v>1</v>
      </c>
      <c r="H220">
        <v>1</v>
      </c>
      <c r="I220" t="s">
        <v>415</v>
      </c>
      <c r="J220">
        <v>0</v>
      </c>
      <c r="K220" t="s">
        <v>49</v>
      </c>
      <c r="L220" s="1">
        <f>+Tabla__192.168.1.8_POSEIDONSQL_APPFVT_01_tblFillRateFechas[[#This Row],[emb_cantidad]]-Tabla__192.168.1.8_POSEIDONSQL_APPFVT_01_tblFillRateFechas[[#This Row],[dev_cantidad]]</f>
        <v>1</v>
      </c>
      <c r="M220" s="1">
        <f>+IF(Tabla__192.168.1.8_POSEIDONSQL_APPFVT_01_tblFillRateFechas[[#This Row],[Cant_Resultante]]=Tabla__192.168.1.8_POSEIDONSQL_APPFVT_01_tblFillRateFechas[[#This Row],[cant_order]],1,0)</f>
        <v>1</v>
      </c>
      <c r="N2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0" s="1">
        <f>+IF(AND(Tabla__192.168.1.8_POSEIDONSQL_APPFVT_01_tblFillRateFechas[[#This Row],[Valida Cant]]=1,Tabla__192.168.1.8_POSEIDONSQL_APPFVT_01_tblFillRateFechas[[#This Row],[Valida Fec]]=1),1,0)</f>
        <v>1</v>
      </c>
      <c r="P220" s="1">
        <f>+(Tabla__192.168.1.8_POSEIDONSQL_APPFVT_01_tblFillRateFechas[[#This Row],[Cant_Resultante]]/Tabla__192.168.1.8_POSEIDONSQL_APPFVT_01_tblFillRateFechas[[#This Row],[cant_order]])*100</f>
        <v>100</v>
      </c>
      <c r="Q2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0" s="1">
        <f>+IF(Tabla__192.168.1.8_POSEIDONSQL_APPFVT_01_tblFillRateFechas[[#This Row],[cant_order]]&gt;0,1,0)</f>
        <v>1</v>
      </c>
      <c r="V220" s="1">
        <f>+IF(Tabla__192.168.1.8_POSEIDONSQL_APPFVT_01_tblFillRateFechas[[#This Row],[Resultado]]=1,1,0)</f>
        <v>1</v>
      </c>
      <c r="W220" s="1" t="str">
        <f>+Tabla__192.168.1.8_POSEIDONSQL_APPFVT_01_tblFillRateFechas[[#This Row],[con_ocnumero]]&amp;Tabla__192.168.1.8_POSEIDONSQL_APPFVT_01_tblFillRateFechas[[#This Row],[con_codigounico]]</f>
        <v>8687869-</v>
      </c>
      <c r="X2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1" spans="1:24" x14ac:dyDescent="0.25">
      <c r="A221">
        <v>1</v>
      </c>
      <c r="B221" t="s">
        <v>55</v>
      </c>
      <c r="C221">
        <v>8687876</v>
      </c>
      <c r="D221" t="s">
        <v>163</v>
      </c>
      <c r="E221" t="s">
        <v>415</v>
      </c>
      <c r="F221" t="s">
        <v>427</v>
      </c>
      <c r="G221">
        <v>1</v>
      </c>
      <c r="H221">
        <v>1</v>
      </c>
      <c r="I221" t="s">
        <v>415</v>
      </c>
      <c r="J221">
        <v>0</v>
      </c>
      <c r="K221" t="s">
        <v>49</v>
      </c>
      <c r="L221" s="1">
        <f>+Tabla__192.168.1.8_POSEIDONSQL_APPFVT_01_tblFillRateFechas[[#This Row],[emb_cantidad]]-Tabla__192.168.1.8_POSEIDONSQL_APPFVT_01_tblFillRateFechas[[#This Row],[dev_cantidad]]</f>
        <v>1</v>
      </c>
      <c r="M221" s="1">
        <f>+IF(Tabla__192.168.1.8_POSEIDONSQL_APPFVT_01_tblFillRateFechas[[#This Row],[Cant_Resultante]]=Tabla__192.168.1.8_POSEIDONSQL_APPFVT_01_tblFillRateFechas[[#This Row],[cant_order]],1,0)</f>
        <v>1</v>
      </c>
      <c r="N2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1" s="1">
        <f>+IF(AND(Tabla__192.168.1.8_POSEIDONSQL_APPFVT_01_tblFillRateFechas[[#This Row],[Valida Cant]]=1,Tabla__192.168.1.8_POSEIDONSQL_APPFVT_01_tblFillRateFechas[[#This Row],[Valida Fec]]=1),1,0)</f>
        <v>1</v>
      </c>
      <c r="P221" s="1">
        <f>+(Tabla__192.168.1.8_POSEIDONSQL_APPFVT_01_tblFillRateFechas[[#This Row],[Cant_Resultante]]/Tabla__192.168.1.8_POSEIDONSQL_APPFVT_01_tblFillRateFechas[[#This Row],[cant_order]])*100</f>
        <v>100</v>
      </c>
      <c r="Q2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1" s="1">
        <f>+IF(Tabla__192.168.1.8_POSEIDONSQL_APPFVT_01_tblFillRateFechas[[#This Row],[cant_order]]&gt;0,1,0)</f>
        <v>1</v>
      </c>
      <c r="V221" s="1">
        <f>+IF(Tabla__192.168.1.8_POSEIDONSQL_APPFVT_01_tblFillRateFechas[[#This Row],[Resultado]]=1,1,0)</f>
        <v>1</v>
      </c>
      <c r="W221" s="1" t="str">
        <f>+Tabla__192.168.1.8_POSEIDONSQL_APPFVT_01_tblFillRateFechas[[#This Row],[con_ocnumero]]&amp;Tabla__192.168.1.8_POSEIDONSQL_APPFVT_01_tblFillRateFechas[[#This Row],[con_codigounico]]</f>
        <v>8687876-</v>
      </c>
      <c r="X2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2" spans="1:24" x14ac:dyDescent="0.25">
      <c r="A222">
        <v>1</v>
      </c>
      <c r="B222" t="s">
        <v>55</v>
      </c>
      <c r="C222">
        <v>8687901</v>
      </c>
      <c r="D222" t="s">
        <v>163</v>
      </c>
      <c r="E222" t="s">
        <v>415</v>
      </c>
      <c r="F222" t="s">
        <v>427</v>
      </c>
      <c r="G222">
        <v>1</v>
      </c>
      <c r="H222">
        <v>1</v>
      </c>
      <c r="I222" t="s">
        <v>415</v>
      </c>
      <c r="J222">
        <v>0</v>
      </c>
      <c r="K222" t="s">
        <v>49</v>
      </c>
      <c r="L222" s="1">
        <f>+Tabla__192.168.1.8_POSEIDONSQL_APPFVT_01_tblFillRateFechas[[#This Row],[emb_cantidad]]-Tabla__192.168.1.8_POSEIDONSQL_APPFVT_01_tblFillRateFechas[[#This Row],[dev_cantidad]]</f>
        <v>1</v>
      </c>
      <c r="M222" s="1">
        <f>+IF(Tabla__192.168.1.8_POSEIDONSQL_APPFVT_01_tblFillRateFechas[[#This Row],[Cant_Resultante]]=Tabla__192.168.1.8_POSEIDONSQL_APPFVT_01_tblFillRateFechas[[#This Row],[cant_order]],1,0)</f>
        <v>1</v>
      </c>
      <c r="N2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2" s="1">
        <f>+IF(AND(Tabla__192.168.1.8_POSEIDONSQL_APPFVT_01_tblFillRateFechas[[#This Row],[Valida Cant]]=1,Tabla__192.168.1.8_POSEIDONSQL_APPFVT_01_tblFillRateFechas[[#This Row],[Valida Fec]]=1),1,0)</f>
        <v>1</v>
      </c>
      <c r="P222" s="1">
        <f>+(Tabla__192.168.1.8_POSEIDONSQL_APPFVT_01_tblFillRateFechas[[#This Row],[Cant_Resultante]]/Tabla__192.168.1.8_POSEIDONSQL_APPFVT_01_tblFillRateFechas[[#This Row],[cant_order]])*100</f>
        <v>100</v>
      </c>
      <c r="Q2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2" s="1">
        <f>+IF(Tabla__192.168.1.8_POSEIDONSQL_APPFVT_01_tblFillRateFechas[[#This Row],[cant_order]]&gt;0,1,0)</f>
        <v>1</v>
      </c>
      <c r="V222" s="1">
        <f>+IF(Tabla__192.168.1.8_POSEIDONSQL_APPFVT_01_tblFillRateFechas[[#This Row],[Resultado]]=1,1,0)</f>
        <v>1</v>
      </c>
      <c r="W222" s="1" t="str">
        <f>+Tabla__192.168.1.8_POSEIDONSQL_APPFVT_01_tblFillRateFechas[[#This Row],[con_ocnumero]]&amp;Tabla__192.168.1.8_POSEIDONSQL_APPFVT_01_tblFillRateFechas[[#This Row],[con_codigounico]]</f>
        <v>8687901-</v>
      </c>
      <c r="X2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3" spans="1:24" x14ac:dyDescent="0.25">
      <c r="A223">
        <v>1</v>
      </c>
      <c r="B223" t="s">
        <v>55</v>
      </c>
      <c r="C223">
        <v>8688072</v>
      </c>
      <c r="D223" t="s">
        <v>429</v>
      </c>
      <c r="E223" t="s">
        <v>415</v>
      </c>
      <c r="F223" t="s">
        <v>427</v>
      </c>
      <c r="G223">
        <v>1</v>
      </c>
      <c r="H223">
        <v>1</v>
      </c>
      <c r="I223" t="s">
        <v>415</v>
      </c>
      <c r="J223">
        <v>0</v>
      </c>
      <c r="K223" t="s">
        <v>49</v>
      </c>
      <c r="L223" s="1">
        <f>+Tabla__192.168.1.8_POSEIDONSQL_APPFVT_01_tblFillRateFechas[[#This Row],[emb_cantidad]]-Tabla__192.168.1.8_POSEIDONSQL_APPFVT_01_tblFillRateFechas[[#This Row],[dev_cantidad]]</f>
        <v>1</v>
      </c>
      <c r="M223" s="1">
        <f>+IF(Tabla__192.168.1.8_POSEIDONSQL_APPFVT_01_tblFillRateFechas[[#This Row],[Cant_Resultante]]=Tabla__192.168.1.8_POSEIDONSQL_APPFVT_01_tblFillRateFechas[[#This Row],[cant_order]],1,0)</f>
        <v>1</v>
      </c>
      <c r="N2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3" s="1">
        <f>+IF(AND(Tabla__192.168.1.8_POSEIDONSQL_APPFVT_01_tblFillRateFechas[[#This Row],[Valida Cant]]=1,Tabla__192.168.1.8_POSEIDONSQL_APPFVT_01_tblFillRateFechas[[#This Row],[Valida Fec]]=1),1,0)</f>
        <v>1</v>
      </c>
      <c r="P223" s="1">
        <f>+(Tabla__192.168.1.8_POSEIDONSQL_APPFVT_01_tblFillRateFechas[[#This Row],[Cant_Resultante]]/Tabla__192.168.1.8_POSEIDONSQL_APPFVT_01_tblFillRateFechas[[#This Row],[cant_order]])*100</f>
        <v>100</v>
      </c>
      <c r="Q2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3" s="1">
        <f>+IF(Tabla__192.168.1.8_POSEIDONSQL_APPFVT_01_tblFillRateFechas[[#This Row],[cant_order]]&gt;0,1,0)</f>
        <v>1</v>
      </c>
      <c r="V223" s="1">
        <f>+IF(Tabla__192.168.1.8_POSEIDONSQL_APPFVT_01_tblFillRateFechas[[#This Row],[Resultado]]=1,1,0)</f>
        <v>1</v>
      </c>
      <c r="W223" s="1" t="str">
        <f>+Tabla__192.168.1.8_POSEIDONSQL_APPFVT_01_tblFillRateFechas[[#This Row],[con_ocnumero]]&amp;Tabla__192.168.1.8_POSEIDONSQL_APPFVT_01_tblFillRateFechas[[#This Row],[con_codigounico]]</f>
        <v>8688072-</v>
      </c>
      <c r="X2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4" spans="1:24" x14ac:dyDescent="0.25">
      <c r="A224">
        <v>1</v>
      </c>
      <c r="B224" t="s">
        <v>55</v>
      </c>
      <c r="C224">
        <v>8688080</v>
      </c>
      <c r="D224" t="s">
        <v>429</v>
      </c>
      <c r="E224" t="s">
        <v>419</v>
      </c>
      <c r="F224" t="s">
        <v>427</v>
      </c>
      <c r="G224">
        <v>1</v>
      </c>
      <c r="H224">
        <v>1</v>
      </c>
      <c r="I224" t="s">
        <v>419</v>
      </c>
      <c r="J224">
        <v>0</v>
      </c>
      <c r="K224" t="s">
        <v>49</v>
      </c>
      <c r="L224" s="1">
        <f>+Tabla__192.168.1.8_POSEIDONSQL_APPFVT_01_tblFillRateFechas[[#This Row],[emb_cantidad]]-Tabla__192.168.1.8_POSEIDONSQL_APPFVT_01_tblFillRateFechas[[#This Row],[dev_cantidad]]</f>
        <v>1</v>
      </c>
      <c r="M224" s="1">
        <f>+IF(Tabla__192.168.1.8_POSEIDONSQL_APPFVT_01_tblFillRateFechas[[#This Row],[Cant_Resultante]]=Tabla__192.168.1.8_POSEIDONSQL_APPFVT_01_tblFillRateFechas[[#This Row],[cant_order]],1,0)</f>
        <v>1</v>
      </c>
      <c r="N2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4" s="1">
        <f>+IF(AND(Tabla__192.168.1.8_POSEIDONSQL_APPFVT_01_tblFillRateFechas[[#This Row],[Valida Cant]]=1,Tabla__192.168.1.8_POSEIDONSQL_APPFVT_01_tblFillRateFechas[[#This Row],[Valida Fec]]=1),1,0)</f>
        <v>1</v>
      </c>
      <c r="P224" s="1">
        <f>+(Tabla__192.168.1.8_POSEIDONSQL_APPFVT_01_tblFillRateFechas[[#This Row],[Cant_Resultante]]/Tabla__192.168.1.8_POSEIDONSQL_APPFVT_01_tblFillRateFechas[[#This Row],[cant_order]])*100</f>
        <v>100</v>
      </c>
      <c r="Q2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4" s="1">
        <f>+IF(Tabla__192.168.1.8_POSEIDONSQL_APPFVT_01_tblFillRateFechas[[#This Row],[cant_order]]&gt;0,1,0)</f>
        <v>1</v>
      </c>
      <c r="V224" s="1">
        <f>+IF(Tabla__192.168.1.8_POSEIDONSQL_APPFVT_01_tblFillRateFechas[[#This Row],[Resultado]]=1,1,0)</f>
        <v>1</v>
      </c>
      <c r="W224" s="1" t="str">
        <f>+Tabla__192.168.1.8_POSEIDONSQL_APPFVT_01_tblFillRateFechas[[#This Row],[con_ocnumero]]&amp;Tabla__192.168.1.8_POSEIDONSQL_APPFVT_01_tblFillRateFechas[[#This Row],[con_codigounico]]</f>
        <v>8688080-</v>
      </c>
      <c r="X2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5" spans="1:24" x14ac:dyDescent="0.25">
      <c r="A225">
        <v>1</v>
      </c>
      <c r="B225" t="s">
        <v>55</v>
      </c>
      <c r="C225">
        <v>8688865</v>
      </c>
      <c r="D225" t="s">
        <v>429</v>
      </c>
      <c r="E225" t="s">
        <v>415</v>
      </c>
      <c r="F225" t="s">
        <v>427</v>
      </c>
      <c r="G225">
        <v>154</v>
      </c>
      <c r="H225">
        <v>154</v>
      </c>
      <c r="I225" t="s">
        <v>415</v>
      </c>
      <c r="J225">
        <v>0</v>
      </c>
      <c r="K225" t="s">
        <v>49</v>
      </c>
      <c r="L225" s="1">
        <f>+Tabla__192.168.1.8_POSEIDONSQL_APPFVT_01_tblFillRateFechas[[#This Row],[emb_cantidad]]-Tabla__192.168.1.8_POSEIDONSQL_APPFVT_01_tblFillRateFechas[[#This Row],[dev_cantidad]]</f>
        <v>154</v>
      </c>
      <c r="M225" s="1">
        <f>+IF(Tabla__192.168.1.8_POSEIDONSQL_APPFVT_01_tblFillRateFechas[[#This Row],[Cant_Resultante]]=Tabla__192.168.1.8_POSEIDONSQL_APPFVT_01_tblFillRateFechas[[#This Row],[cant_order]],1,0)</f>
        <v>1</v>
      </c>
      <c r="N2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5" s="1">
        <f>+IF(AND(Tabla__192.168.1.8_POSEIDONSQL_APPFVT_01_tblFillRateFechas[[#This Row],[Valida Cant]]=1,Tabla__192.168.1.8_POSEIDONSQL_APPFVT_01_tblFillRateFechas[[#This Row],[Valida Fec]]=1),1,0)</f>
        <v>1</v>
      </c>
      <c r="P225" s="1">
        <f>+(Tabla__192.168.1.8_POSEIDONSQL_APPFVT_01_tblFillRateFechas[[#This Row],[Cant_Resultante]]/Tabla__192.168.1.8_POSEIDONSQL_APPFVT_01_tblFillRateFechas[[#This Row],[cant_order]])*100</f>
        <v>100</v>
      </c>
      <c r="Q2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154</v>
      </c>
      <c r="R2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154</v>
      </c>
      <c r="T2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5" s="1">
        <f>+IF(Tabla__192.168.1.8_POSEIDONSQL_APPFVT_01_tblFillRateFechas[[#This Row],[cant_order]]&gt;0,1,0)</f>
        <v>1</v>
      </c>
      <c r="V225" s="1">
        <f>+IF(Tabla__192.168.1.8_POSEIDONSQL_APPFVT_01_tblFillRateFechas[[#This Row],[Resultado]]=1,1,0)</f>
        <v>1</v>
      </c>
      <c r="W225" s="1" t="str">
        <f>+Tabla__192.168.1.8_POSEIDONSQL_APPFVT_01_tblFillRateFechas[[#This Row],[con_ocnumero]]&amp;Tabla__192.168.1.8_POSEIDONSQL_APPFVT_01_tblFillRateFechas[[#This Row],[con_codigounico]]</f>
        <v>8688865-</v>
      </c>
      <c r="X2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154</v>
      </c>
    </row>
    <row r="226" spans="1:24" x14ac:dyDescent="0.25">
      <c r="A226">
        <v>1</v>
      </c>
      <c r="B226" t="s">
        <v>55</v>
      </c>
      <c r="C226">
        <v>8688953</v>
      </c>
      <c r="D226" t="s">
        <v>429</v>
      </c>
      <c r="E226" t="s">
        <v>425</v>
      </c>
      <c r="F226" t="s">
        <v>427</v>
      </c>
      <c r="G226">
        <v>2086</v>
      </c>
      <c r="H226">
        <v>100</v>
      </c>
      <c r="I226" t="s">
        <v>425</v>
      </c>
      <c r="J226">
        <v>0</v>
      </c>
      <c r="K226" t="s">
        <v>49</v>
      </c>
      <c r="L226" s="1">
        <f>+Tabla__192.168.1.8_POSEIDONSQL_APPFVT_01_tblFillRateFechas[[#This Row],[emb_cantidad]]-Tabla__192.168.1.8_POSEIDONSQL_APPFVT_01_tblFillRateFechas[[#This Row],[dev_cantidad]]</f>
        <v>100</v>
      </c>
      <c r="M226" s="1">
        <f>+IF(Tabla__192.168.1.8_POSEIDONSQL_APPFVT_01_tblFillRateFechas[[#This Row],[Cant_Resultante]]=Tabla__192.168.1.8_POSEIDONSQL_APPFVT_01_tblFillRateFechas[[#This Row],[cant_order]],1,0)</f>
        <v>0</v>
      </c>
      <c r="N2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6" s="1">
        <f>+IF(AND(Tabla__192.168.1.8_POSEIDONSQL_APPFVT_01_tblFillRateFechas[[#This Row],[Valida Cant]]=1,Tabla__192.168.1.8_POSEIDONSQL_APPFVT_01_tblFillRateFechas[[#This Row],[Valida Fec]]=1),1,0)</f>
        <v>0</v>
      </c>
      <c r="P226" s="1">
        <f>+(Tabla__192.168.1.8_POSEIDONSQL_APPFVT_01_tblFillRateFechas[[#This Row],[Cant_Resultante]]/Tabla__192.168.1.8_POSEIDONSQL_APPFVT_01_tblFillRateFechas[[#This Row],[cant_order]])*100</f>
        <v>4.7938638542665393</v>
      </c>
      <c r="Q2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100</v>
      </c>
      <c r="R2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100</v>
      </c>
      <c r="T2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1986</v>
      </c>
      <c r="U226" s="1">
        <f>+IF(Tabla__192.168.1.8_POSEIDONSQL_APPFVT_01_tblFillRateFechas[[#This Row],[cant_order]]&gt;0,1,0)</f>
        <v>1</v>
      </c>
      <c r="V226" s="1">
        <f>+IF(Tabla__192.168.1.8_POSEIDONSQL_APPFVT_01_tblFillRateFechas[[#This Row],[Resultado]]=1,1,0)</f>
        <v>0</v>
      </c>
      <c r="W226" s="1" t="str">
        <f>+Tabla__192.168.1.8_POSEIDONSQL_APPFVT_01_tblFillRateFechas[[#This Row],[con_ocnumero]]&amp;Tabla__192.168.1.8_POSEIDONSQL_APPFVT_01_tblFillRateFechas[[#This Row],[con_codigounico]]</f>
        <v>8688953-</v>
      </c>
      <c r="X2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100</v>
      </c>
    </row>
    <row r="227" spans="1:24" x14ac:dyDescent="0.25">
      <c r="A227">
        <v>1</v>
      </c>
      <c r="B227" t="s">
        <v>55</v>
      </c>
      <c r="C227">
        <v>8689809</v>
      </c>
      <c r="D227" t="s">
        <v>429</v>
      </c>
      <c r="E227" t="s">
        <v>419</v>
      </c>
      <c r="F227" t="s">
        <v>427</v>
      </c>
      <c r="G227">
        <v>1</v>
      </c>
      <c r="H227">
        <v>0</v>
      </c>
      <c r="I227" t="s">
        <v>12</v>
      </c>
      <c r="J227">
        <v>0</v>
      </c>
      <c r="K227" t="s">
        <v>49</v>
      </c>
      <c r="L227" s="1">
        <f>+Tabla__192.168.1.8_POSEIDONSQL_APPFVT_01_tblFillRateFechas[[#This Row],[emb_cantidad]]-Tabla__192.168.1.8_POSEIDONSQL_APPFVT_01_tblFillRateFechas[[#This Row],[dev_cantidad]]</f>
        <v>0</v>
      </c>
      <c r="M227" s="1">
        <f>+IF(Tabla__192.168.1.8_POSEIDONSQL_APPFVT_01_tblFillRateFechas[[#This Row],[Cant_Resultante]]=Tabla__192.168.1.8_POSEIDONSQL_APPFVT_01_tblFillRateFechas[[#This Row],[cant_order]],1,0)</f>
        <v>0</v>
      </c>
      <c r="N2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27" s="1">
        <f>+IF(AND(Tabla__192.168.1.8_POSEIDONSQL_APPFVT_01_tblFillRateFechas[[#This Row],[Valida Cant]]=1,Tabla__192.168.1.8_POSEIDONSQL_APPFVT_01_tblFillRateFechas[[#This Row],[Valida Fec]]=1),1,0)</f>
        <v>0</v>
      </c>
      <c r="P227" s="1">
        <f>+(Tabla__192.168.1.8_POSEIDONSQL_APPFVT_01_tblFillRateFechas[[#This Row],[Cant_Resultante]]/Tabla__192.168.1.8_POSEIDONSQL_APPFVT_01_tblFillRateFechas[[#This Row],[cant_order]])*100</f>
        <v>0</v>
      </c>
      <c r="Q2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2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27" s="1">
        <f>+IF(Tabla__192.168.1.8_POSEIDONSQL_APPFVT_01_tblFillRateFechas[[#This Row],[cant_order]]&gt;0,1,0)</f>
        <v>1</v>
      </c>
      <c r="V227" s="1">
        <f>+IF(Tabla__192.168.1.8_POSEIDONSQL_APPFVT_01_tblFillRateFechas[[#This Row],[Resultado]]=1,1,0)</f>
        <v>0</v>
      </c>
      <c r="W227" s="1" t="str">
        <f>+Tabla__192.168.1.8_POSEIDONSQL_APPFVT_01_tblFillRateFechas[[#This Row],[con_ocnumero]]&amp;Tabla__192.168.1.8_POSEIDONSQL_APPFVT_01_tblFillRateFechas[[#This Row],[con_codigounico]]</f>
        <v>8689809-</v>
      </c>
      <c r="X2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228" spans="1:24" x14ac:dyDescent="0.25">
      <c r="A228">
        <v>1</v>
      </c>
      <c r="B228" t="s">
        <v>55</v>
      </c>
      <c r="C228">
        <v>8690295</v>
      </c>
      <c r="D228" t="s">
        <v>427</v>
      </c>
      <c r="E228" t="s">
        <v>419</v>
      </c>
      <c r="F228" t="s">
        <v>425</v>
      </c>
      <c r="G228">
        <v>1</v>
      </c>
      <c r="H228">
        <v>1</v>
      </c>
      <c r="I228" t="s">
        <v>419</v>
      </c>
      <c r="J228">
        <v>0</v>
      </c>
      <c r="K228" t="s">
        <v>49</v>
      </c>
      <c r="L228" s="1">
        <f>+Tabla__192.168.1.8_POSEIDONSQL_APPFVT_01_tblFillRateFechas[[#This Row],[emb_cantidad]]-Tabla__192.168.1.8_POSEIDONSQL_APPFVT_01_tblFillRateFechas[[#This Row],[dev_cantidad]]</f>
        <v>1</v>
      </c>
      <c r="M228" s="1">
        <f>+IF(Tabla__192.168.1.8_POSEIDONSQL_APPFVT_01_tblFillRateFechas[[#This Row],[Cant_Resultante]]=Tabla__192.168.1.8_POSEIDONSQL_APPFVT_01_tblFillRateFechas[[#This Row],[cant_order]],1,0)</f>
        <v>1</v>
      </c>
      <c r="N2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8" s="1">
        <f>+IF(AND(Tabla__192.168.1.8_POSEIDONSQL_APPFVT_01_tblFillRateFechas[[#This Row],[Valida Cant]]=1,Tabla__192.168.1.8_POSEIDONSQL_APPFVT_01_tblFillRateFechas[[#This Row],[Valida Fec]]=1),1,0)</f>
        <v>1</v>
      </c>
      <c r="P228" s="1">
        <f>+(Tabla__192.168.1.8_POSEIDONSQL_APPFVT_01_tblFillRateFechas[[#This Row],[Cant_Resultante]]/Tabla__192.168.1.8_POSEIDONSQL_APPFVT_01_tblFillRateFechas[[#This Row],[cant_order]])*100</f>
        <v>100</v>
      </c>
      <c r="Q2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8" s="1">
        <f>+IF(Tabla__192.168.1.8_POSEIDONSQL_APPFVT_01_tblFillRateFechas[[#This Row],[cant_order]]&gt;0,1,0)</f>
        <v>1</v>
      </c>
      <c r="V228" s="1">
        <f>+IF(Tabla__192.168.1.8_POSEIDONSQL_APPFVT_01_tblFillRateFechas[[#This Row],[Resultado]]=1,1,0)</f>
        <v>1</v>
      </c>
      <c r="W228" s="1" t="str">
        <f>+Tabla__192.168.1.8_POSEIDONSQL_APPFVT_01_tblFillRateFechas[[#This Row],[con_ocnumero]]&amp;Tabla__192.168.1.8_POSEIDONSQL_APPFVT_01_tblFillRateFechas[[#This Row],[con_codigounico]]</f>
        <v>8690295-</v>
      </c>
      <c r="X2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29" spans="1:24" x14ac:dyDescent="0.25">
      <c r="A229">
        <v>1</v>
      </c>
      <c r="B229" t="s">
        <v>55</v>
      </c>
      <c r="C229">
        <v>8690350</v>
      </c>
      <c r="D229" t="s">
        <v>427</v>
      </c>
      <c r="E229" t="s">
        <v>419</v>
      </c>
      <c r="F229" t="s">
        <v>425</v>
      </c>
      <c r="G229">
        <v>1</v>
      </c>
      <c r="H229">
        <v>1</v>
      </c>
      <c r="I229" t="s">
        <v>419</v>
      </c>
      <c r="J229">
        <v>0</v>
      </c>
      <c r="K229" t="s">
        <v>49</v>
      </c>
      <c r="L229" s="1">
        <f>+Tabla__192.168.1.8_POSEIDONSQL_APPFVT_01_tblFillRateFechas[[#This Row],[emb_cantidad]]-Tabla__192.168.1.8_POSEIDONSQL_APPFVT_01_tblFillRateFechas[[#This Row],[dev_cantidad]]</f>
        <v>1</v>
      </c>
      <c r="M229" s="1">
        <f>+IF(Tabla__192.168.1.8_POSEIDONSQL_APPFVT_01_tblFillRateFechas[[#This Row],[Cant_Resultante]]=Tabla__192.168.1.8_POSEIDONSQL_APPFVT_01_tblFillRateFechas[[#This Row],[cant_order]],1,0)</f>
        <v>1</v>
      </c>
      <c r="N2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29" s="1">
        <f>+IF(AND(Tabla__192.168.1.8_POSEIDONSQL_APPFVT_01_tblFillRateFechas[[#This Row],[Valida Cant]]=1,Tabla__192.168.1.8_POSEIDONSQL_APPFVT_01_tblFillRateFechas[[#This Row],[Valida Fec]]=1),1,0)</f>
        <v>1</v>
      </c>
      <c r="P229" s="1">
        <f>+(Tabla__192.168.1.8_POSEIDONSQL_APPFVT_01_tblFillRateFechas[[#This Row],[Cant_Resultante]]/Tabla__192.168.1.8_POSEIDONSQL_APPFVT_01_tblFillRateFechas[[#This Row],[cant_order]])*100</f>
        <v>100</v>
      </c>
      <c r="Q2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29" s="1">
        <f>+IF(Tabla__192.168.1.8_POSEIDONSQL_APPFVT_01_tblFillRateFechas[[#This Row],[cant_order]]&gt;0,1,0)</f>
        <v>1</v>
      </c>
      <c r="V229" s="1">
        <f>+IF(Tabla__192.168.1.8_POSEIDONSQL_APPFVT_01_tblFillRateFechas[[#This Row],[Resultado]]=1,1,0)</f>
        <v>1</v>
      </c>
      <c r="W229" s="1" t="str">
        <f>+Tabla__192.168.1.8_POSEIDONSQL_APPFVT_01_tblFillRateFechas[[#This Row],[con_ocnumero]]&amp;Tabla__192.168.1.8_POSEIDONSQL_APPFVT_01_tblFillRateFechas[[#This Row],[con_codigounico]]</f>
        <v>8690350-</v>
      </c>
      <c r="X2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0" spans="1:24" x14ac:dyDescent="0.25">
      <c r="A230">
        <v>1</v>
      </c>
      <c r="B230" t="s">
        <v>55</v>
      </c>
      <c r="C230">
        <v>8690887</v>
      </c>
      <c r="D230" t="s">
        <v>427</v>
      </c>
      <c r="E230" t="s">
        <v>419</v>
      </c>
      <c r="F230" t="s">
        <v>425</v>
      </c>
      <c r="G230">
        <v>1</v>
      </c>
      <c r="H230">
        <v>1</v>
      </c>
      <c r="I230" t="s">
        <v>419</v>
      </c>
      <c r="J230">
        <v>0</v>
      </c>
      <c r="K230" t="s">
        <v>49</v>
      </c>
      <c r="L230" s="1">
        <f>+Tabla__192.168.1.8_POSEIDONSQL_APPFVT_01_tblFillRateFechas[[#This Row],[emb_cantidad]]-Tabla__192.168.1.8_POSEIDONSQL_APPFVT_01_tblFillRateFechas[[#This Row],[dev_cantidad]]</f>
        <v>1</v>
      </c>
      <c r="M230" s="1">
        <f>+IF(Tabla__192.168.1.8_POSEIDONSQL_APPFVT_01_tblFillRateFechas[[#This Row],[Cant_Resultante]]=Tabla__192.168.1.8_POSEIDONSQL_APPFVT_01_tblFillRateFechas[[#This Row],[cant_order]],1,0)</f>
        <v>1</v>
      </c>
      <c r="N2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0" s="1">
        <f>+IF(AND(Tabla__192.168.1.8_POSEIDONSQL_APPFVT_01_tblFillRateFechas[[#This Row],[Valida Cant]]=1,Tabla__192.168.1.8_POSEIDONSQL_APPFVT_01_tblFillRateFechas[[#This Row],[Valida Fec]]=1),1,0)</f>
        <v>1</v>
      </c>
      <c r="P230" s="1">
        <f>+(Tabla__192.168.1.8_POSEIDONSQL_APPFVT_01_tblFillRateFechas[[#This Row],[Cant_Resultante]]/Tabla__192.168.1.8_POSEIDONSQL_APPFVT_01_tblFillRateFechas[[#This Row],[cant_order]])*100</f>
        <v>100</v>
      </c>
      <c r="Q2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0" s="1">
        <f>+IF(Tabla__192.168.1.8_POSEIDONSQL_APPFVT_01_tblFillRateFechas[[#This Row],[cant_order]]&gt;0,1,0)</f>
        <v>1</v>
      </c>
      <c r="V230" s="1">
        <f>+IF(Tabla__192.168.1.8_POSEIDONSQL_APPFVT_01_tblFillRateFechas[[#This Row],[Resultado]]=1,1,0)</f>
        <v>1</v>
      </c>
      <c r="W230" s="1" t="str">
        <f>+Tabla__192.168.1.8_POSEIDONSQL_APPFVT_01_tblFillRateFechas[[#This Row],[con_ocnumero]]&amp;Tabla__192.168.1.8_POSEIDONSQL_APPFVT_01_tblFillRateFechas[[#This Row],[con_codigounico]]</f>
        <v>8690887-</v>
      </c>
      <c r="X2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1" spans="1:24" x14ac:dyDescent="0.25">
      <c r="A231">
        <v>1</v>
      </c>
      <c r="B231" t="s">
        <v>55</v>
      </c>
      <c r="C231">
        <v>8691554</v>
      </c>
      <c r="D231" t="s">
        <v>427</v>
      </c>
      <c r="E231" t="s">
        <v>423</v>
      </c>
      <c r="F231" t="s">
        <v>425</v>
      </c>
      <c r="G231">
        <v>1</v>
      </c>
      <c r="H231">
        <v>1</v>
      </c>
      <c r="I231" t="s">
        <v>423</v>
      </c>
      <c r="J231">
        <v>0</v>
      </c>
      <c r="K231" t="s">
        <v>49</v>
      </c>
      <c r="L231" s="1">
        <f>+Tabla__192.168.1.8_POSEIDONSQL_APPFVT_01_tblFillRateFechas[[#This Row],[emb_cantidad]]-Tabla__192.168.1.8_POSEIDONSQL_APPFVT_01_tblFillRateFechas[[#This Row],[dev_cantidad]]</f>
        <v>1</v>
      </c>
      <c r="M231" s="1">
        <f>+IF(Tabla__192.168.1.8_POSEIDONSQL_APPFVT_01_tblFillRateFechas[[#This Row],[Cant_Resultante]]=Tabla__192.168.1.8_POSEIDONSQL_APPFVT_01_tblFillRateFechas[[#This Row],[cant_order]],1,0)</f>
        <v>1</v>
      </c>
      <c r="N2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1" s="1">
        <f>+IF(AND(Tabla__192.168.1.8_POSEIDONSQL_APPFVT_01_tblFillRateFechas[[#This Row],[Valida Cant]]=1,Tabla__192.168.1.8_POSEIDONSQL_APPFVT_01_tblFillRateFechas[[#This Row],[Valida Fec]]=1),1,0)</f>
        <v>1</v>
      </c>
      <c r="P231" s="1">
        <f>+(Tabla__192.168.1.8_POSEIDONSQL_APPFVT_01_tblFillRateFechas[[#This Row],[Cant_Resultante]]/Tabla__192.168.1.8_POSEIDONSQL_APPFVT_01_tblFillRateFechas[[#This Row],[cant_order]])*100</f>
        <v>100</v>
      </c>
      <c r="Q2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1" s="1">
        <f>+IF(Tabla__192.168.1.8_POSEIDONSQL_APPFVT_01_tblFillRateFechas[[#This Row],[cant_order]]&gt;0,1,0)</f>
        <v>1</v>
      </c>
      <c r="V231" s="1">
        <f>+IF(Tabla__192.168.1.8_POSEIDONSQL_APPFVT_01_tblFillRateFechas[[#This Row],[Resultado]]=1,1,0)</f>
        <v>1</v>
      </c>
      <c r="W231" s="1" t="str">
        <f>+Tabla__192.168.1.8_POSEIDONSQL_APPFVT_01_tblFillRateFechas[[#This Row],[con_ocnumero]]&amp;Tabla__192.168.1.8_POSEIDONSQL_APPFVT_01_tblFillRateFechas[[#This Row],[con_codigounico]]</f>
        <v>8691554-</v>
      </c>
      <c r="X2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2" spans="1:24" x14ac:dyDescent="0.25">
      <c r="A232">
        <v>1</v>
      </c>
      <c r="B232" t="s">
        <v>55</v>
      </c>
      <c r="C232">
        <v>8692365</v>
      </c>
      <c r="D232" t="s">
        <v>425</v>
      </c>
      <c r="E232" t="s">
        <v>419</v>
      </c>
      <c r="F232" t="s">
        <v>426</v>
      </c>
      <c r="G232">
        <v>1</v>
      </c>
      <c r="H232">
        <v>1</v>
      </c>
      <c r="I232" t="s">
        <v>419</v>
      </c>
      <c r="J232">
        <v>0</v>
      </c>
      <c r="K232" t="s">
        <v>49</v>
      </c>
      <c r="L232" s="1">
        <f>+Tabla__192.168.1.8_POSEIDONSQL_APPFVT_01_tblFillRateFechas[[#This Row],[emb_cantidad]]-Tabla__192.168.1.8_POSEIDONSQL_APPFVT_01_tblFillRateFechas[[#This Row],[dev_cantidad]]</f>
        <v>1</v>
      </c>
      <c r="M232" s="1">
        <f>+IF(Tabla__192.168.1.8_POSEIDONSQL_APPFVT_01_tblFillRateFechas[[#This Row],[Cant_Resultante]]=Tabla__192.168.1.8_POSEIDONSQL_APPFVT_01_tblFillRateFechas[[#This Row],[cant_order]],1,0)</f>
        <v>1</v>
      </c>
      <c r="N2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2" s="1">
        <f>+IF(AND(Tabla__192.168.1.8_POSEIDONSQL_APPFVT_01_tblFillRateFechas[[#This Row],[Valida Cant]]=1,Tabla__192.168.1.8_POSEIDONSQL_APPFVT_01_tblFillRateFechas[[#This Row],[Valida Fec]]=1),1,0)</f>
        <v>1</v>
      </c>
      <c r="P232" s="1">
        <f>+(Tabla__192.168.1.8_POSEIDONSQL_APPFVT_01_tblFillRateFechas[[#This Row],[Cant_Resultante]]/Tabla__192.168.1.8_POSEIDONSQL_APPFVT_01_tblFillRateFechas[[#This Row],[cant_order]])*100</f>
        <v>100</v>
      </c>
      <c r="Q2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2" s="1">
        <f>+IF(Tabla__192.168.1.8_POSEIDONSQL_APPFVT_01_tblFillRateFechas[[#This Row],[cant_order]]&gt;0,1,0)</f>
        <v>1</v>
      </c>
      <c r="V232" s="1">
        <f>+IF(Tabla__192.168.1.8_POSEIDONSQL_APPFVT_01_tblFillRateFechas[[#This Row],[Resultado]]=1,1,0)</f>
        <v>1</v>
      </c>
      <c r="W232" s="1" t="str">
        <f>+Tabla__192.168.1.8_POSEIDONSQL_APPFVT_01_tblFillRateFechas[[#This Row],[con_ocnumero]]&amp;Tabla__192.168.1.8_POSEIDONSQL_APPFVT_01_tblFillRateFechas[[#This Row],[con_codigounico]]</f>
        <v>8692365-</v>
      </c>
      <c r="X2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3" spans="1:24" x14ac:dyDescent="0.25">
      <c r="A233">
        <v>1</v>
      </c>
      <c r="B233" t="s">
        <v>55</v>
      </c>
      <c r="C233">
        <v>8692808</v>
      </c>
      <c r="D233" t="s">
        <v>425</v>
      </c>
      <c r="E233" t="s">
        <v>419</v>
      </c>
      <c r="F233" t="s">
        <v>426</v>
      </c>
      <c r="G233">
        <v>1</v>
      </c>
      <c r="H233">
        <v>1</v>
      </c>
      <c r="I233" t="s">
        <v>419</v>
      </c>
      <c r="J233">
        <v>0</v>
      </c>
      <c r="K233" t="s">
        <v>49</v>
      </c>
      <c r="L233" s="1">
        <f>+Tabla__192.168.1.8_POSEIDONSQL_APPFVT_01_tblFillRateFechas[[#This Row],[emb_cantidad]]-Tabla__192.168.1.8_POSEIDONSQL_APPFVT_01_tblFillRateFechas[[#This Row],[dev_cantidad]]</f>
        <v>1</v>
      </c>
      <c r="M233" s="1">
        <f>+IF(Tabla__192.168.1.8_POSEIDONSQL_APPFVT_01_tblFillRateFechas[[#This Row],[Cant_Resultante]]=Tabla__192.168.1.8_POSEIDONSQL_APPFVT_01_tblFillRateFechas[[#This Row],[cant_order]],1,0)</f>
        <v>1</v>
      </c>
      <c r="N2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3" s="1">
        <f>+IF(AND(Tabla__192.168.1.8_POSEIDONSQL_APPFVT_01_tblFillRateFechas[[#This Row],[Valida Cant]]=1,Tabla__192.168.1.8_POSEIDONSQL_APPFVT_01_tblFillRateFechas[[#This Row],[Valida Fec]]=1),1,0)</f>
        <v>1</v>
      </c>
      <c r="P233" s="1">
        <f>+(Tabla__192.168.1.8_POSEIDONSQL_APPFVT_01_tblFillRateFechas[[#This Row],[Cant_Resultante]]/Tabla__192.168.1.8_POSEIDONSQL_APPFVT_01_tblFillRateFechas[[#This Row],[cant_order]])*100</f>
        <v>100</v>
      </c>
      <c r="Q2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3" s="1">
        <f>+IF(Tabla__192.168.1.8_POSEIDONSQL_APPFVT_01_tblFillRateFechas[[#This Row],[cant_order]]&gt;0,1,0)</f>
        <v>1</v>
      </c>
      <c r="V233" s="1">
        <f>+IF(Tabla__192.168.1.8_POSEIDONSQL_APPFVT_01_tblFillRateFechas[[#This Row],[Resultado]]=1,1,0)</f>
        <v>1</v>
      </c>
      <c r="W233" s="1" t="str">
        <f>+Tabla__192.168.1.8_POSEIDONSQL_APPFVT_01_tblFillRateFechas[[#This Row],[con_ocnumero]]&amp;Tabla__192.168.1.8_POSEIDONSQL_APPFVT_01_tblFillRateFechas[[#This Row],[con_codigounico]]</f>
        <v>8692808-</v>
      </c>
      <c r="X2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4" spans="1:24" x14ac:dyDescent="0.25">
      <c r="A234">
        <v>1</v>
      </c>
      <c r="B234" t="s">
        <v>55</v>
      </c>
      <c r="C234">
        <v>8692948</v>
      </c>
      <c r="D234" t="s">
        <v>425</v>
      </c>
      <c r="E234" t="s">
        <v>419</v>
      </c>
      <c r="F234" t="s">
        <v>426</v>
      </c>
      <c r="G234">
        <v>1</v>
      </c>
      <c r="H234">
        <v>1</v>
      </c>
      <c r="I234" t="s">
        <v>419</v>
      </c>
      <c r="J234">
        <v>0</v>
      </c>
      <c r="K234" t="s">
        <v>49</v>
      </c>
      <c r="L234" s="1">
        <f>+Tabla__192.168.1.8_POSEIDONSQL_APPFVT_01_tblFillRateFechas[[#This Row],[emb_cantidad]]-Tabla__192.168.1.8_POSEIDONSQL_APPFVT_01_tblFillRateFechas[[#This Row],[dev_cantidad]]</f>
        <v>1</v>
      </c>
      <c r="M234" s="1">
        <f>+IF(Tabla__192.168.1.8_POSEIDONSQL_APPFVT_01_tblFillRateFechas[[#This Row],[Cant_Resultante]]=Tabla__192.168.1.8_POSEIDONSQL_APPFVT_01_tblFillRateFechas[[#This Row],[cant_order]],1,0)</f>
        <v>1</v>
      </c>
      <c r="N2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4" s="1">
        <f>+IF(AND(Tabla__192.168.1.8_POSEIDONSQL_APPFVT_01_tblFillRateFechas[[#This Row],[Valida Cant]]=1,Tabla__192.168.1.8_POSEIDONSQL_APPFVT_01_tblFillRateFechas[[#This Row],[Valida Fec]]=1),1,0)</f>
        <v>1</v>
      </c>
      <c r="P234" s="1">
        <f>+(Tabla__192.168.1.8_POSEIDONSQL_APPFVT_01_tblFillRateFechas[[#This Row],[Cant_Resultante]]/Tabla__192.168.1.8_POSEIDONSQL_APPFVT_01_tblFillRateFechas[[#This Row],[cant_order]])*100</f>
        <v>100</v>
      </c>
      <c r="Q2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4" s="1">
        <f>+IF(Tabla__192.168.1.8_POSEIDONSQL_APPFVT_01_tblFillRateFechas[[#This Row],[cant_order]]&gt;0,1,0)</f>
        <v>1</v>
      </c>
      <c r="V234" s="1">
        <f>+IF(Tabla__192.168.1.8_POSEIDONSQL_APPFVT_01_tblFillRateFechas[[#This Row],[Resultado]]=1,1,0)</f>
        <v>1</v>
      </c>
      <c r="W234" s="1" t="str">
        <f>+Tabla__192.168.1.8_POSEIDONSQL_APPFVT_01_tblFillRateFechas[[#This Row],[con_ocnumero]]&amp;Tabla__192.168.1.8_POSEIDONSQL_APPFVT_01_tblFillRateFechas[[#This Row],[con_codigounico]]</f>
        <v>8692948-</v>
      </c>
      <c r="X2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5" spans="1:24" x14ac:dyDescent="0.25">
      <c r="A235">
        <v>1</v>
      </c>
      <c r="B235" t="s">
        <v>55</v>
      </c>
      <c r="C235">
        <v>8693049</v>
      </c>
      <c r="D235" t="s">
        <v>425</v>
      </c>
      <c r="E235" t="s">
        <v>416</v>
      </c>
      <c r="F235" t="s">
        <v>426</v>
      </c>
      <c r="G235">
        <v>38</v>
      </c>
      <c r="H235">
        <v>38</v>
      </c>
      <c r="I235" t="s">
        <v>422</v>
      </c>
      <c r="J235">
        <v>0</v>
      </c>
      <c r="K235" t="s">
        <v>49</v>
      </c>
      <c r="L235" s="1">
        <f>+Tabla__192.168.1.8_POSEIDONSQL_APPFVT_01_tblFillRateFechas[[#This Row],[emb_cantidad]]-Tabla__192.168.1.8_POSEIDONSQL_APPFVT_01_tblFillRateFechas[[#This Row],[dev_cantidad]]</f>
        <v>38</v>
      </c>
      <c r="M235" s="1">
        <f>+IF(Tabla__192.168.1.8_POSEIDONSQL_APPFVT_01_tblFillRateFechas[[#This Row],[Cant_Resultante]]=Tabla__192.168.1.8_POSEIDONSQL_APPFVT_01_tblFillRateFechas[[#This Row],[cant_order]],1,0)</f>
        <v>1</v>
      </c>
      <c r="N2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5" s="1">
        <f>+IF(AND(Tabla__192.168.1.8_POSEIDONSQL_APPFVT_01_tblFillRateFechas[[#This Row],[Valida Cant]]=1,Tabla__192.168.1.8_POSEIDONSQL_APPFVT_01_tblFillRateFechas[[#This Row],[Valida Fec]]=1),1,0)</f>
        <v>1</v>
      </c>
      <c r="P235" s="1">
        <f>+(Tabla__192.168.1.8_POSEIDONSQL_APPFVT_01_tblFillRateFechas[[#This Row],[Cant_Resultante]]/Tabla__192.168.1.8_POSEIDONSQL_APPFVT_01_tblFillRateFechas[[#This Row],[cant_order]])*100</f>
        <v>100</v>
      </c>
      <c r="Q2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38</v>
      </c>
      <c r="R2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38</v>
      </c>
      <c r="T2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5" s="1">
        <f>+IF(Tabla__192.168.1.8_POSEIDONSQL_APPFVT_01_tblFillRateFechas[[#This Row],[cant_order]]&gt;0,1,0)</f>
        <v>1</v>
      </c>
      <c r="V235" s="1">
        <f>+IF(Tabla__192.168.1.8_POSEIDONSQL_APPFVT_01_tblFillRateFechas[[#This Row],[Resultado]]=1,1,0)</f>
        <v>1</v>
      </c>
      <c r="W235" s="1" t="str">
        <f>+Tabla__192.168.1.8_POSEIDONSQL_APPFVT_01_tblFillRateFechas[[#This Row],[con_ocnumero]]&amp;Tabla__192.168.1.8_POSEIDONSQL_APPFVT_01_tblFillRateFechas[[#This Row],[con_codigounico]]</f>
        <v>8693049-</v>
      </c>
      <c r="X2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38</v>
      </c>
    </row>
    <row r="236" spans="1:24" x14ac:dyDescent="0.25">
      <c r="A236">
        <v>1</v>
      </c>
      <c r="B236" t="s">
        <v>55</v>
      </c>
      <c r="C236">
        <v>8693420</v>
      </c>
      <c r="D236" t="s">
        <v>425</v>
      </c>
      <c r="E236" t="s">
        <v>419</v>
      </c>
      <c r="F236" t="s">
        <v>426</v>
      </c>
      <c r="G236">
        <v>3</v>
      </c>
      <c r="H236">
        <v>3</v>
      </c>
      <c r="I236" t="s">
        <v>419</v>
      </c>
      <c r="J236">
        <v>0</v>
      </c>
      <c r="K236" t="s">
        <v>49</v>
      </c>
      <c r="L236" s="1">
        <f>+Tabla__192.168.1.8_POSEIDONSQL_APPFVT_01_tblFillRateFechas[[#This Row],[emb_cantidad]]-Tabla__192.168.1.8_POSEIDONSQL_APPFVT_01_tblFillRateFechas[[#This Row],[dev_cantidad]]</f>
        <v>3</v>
      </c>
      <c r="M236" s="1">
        <f>+IF(Tabla__192.168.1.8_POSEIDONSQL_APPFVT_01_tblFillRateFechas[[#This Row],[Cant_Resultante]]=Tabla__192.168.1.8_POSEIDONSQL_APPFVT_01_tblFillRateFechas[[#This Row],[cant_order]],1,0)</f>
        <v>1</v>
      </c>
      <c r="N2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6" s="1">
        <f>+IF(AND(Tabla__192.168.1.8_POSEIDONSQL_APPFVT_01_tblFillRateFechas[[#This Row],[Valida Cant]]=1,Tabla__192.168.1.8_POSEIDONSQL_APPFVT_01_tblFillRateFechas[[#This Row],[Valida Fec]]=1),1,0)</f>
        <v>1</v>
      </c>
      <c r="P236" s="1">
        <f>+(Tabla__192.168.1.8_POSEIDONSQL_APPFVT_01_tblFillRateFechas[[#This Row],[Cant_Resultante]]/Tabla__192.168.1.8_POSEIDONSQL_APPFVT_01_tblFillRateFechas[[#This Row],[cant_order]])*100</f>
        <v>100</v>
      </c>
      <c r="Q2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</v>
      </c>
      <c r="R2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</v>
      </c>
      <c r="T2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6" s="1">
        <f>+IF(Tabla__192.168.1.8_POSEIDONSQL_APPFVT_01_tblFillRateFechas[[#This Row],[cant_order]]&gt;0,1,0)</f>
        <v>1</v>
      </c>
      <c r="V236" s="1">
        <f>+IF(Tabla__192.168.1.8_POSEIDONSQL_APPFVT_01_tblFillRateFechas[[#This Row],[Resultado]]=1,1,0)</f>
        <v>1</v>
      </c>
      <c r="W236" s="1" t="str">
        <f>+Tabla__192.168.1.8_POSEIDONSQL_APPFVT_01_tblFillRateFechas[[#This Row],[con_ocnumero]]&amp;Tabla__192.168.1.8_POSEIDONSQL_APPFVT_01_tblFillRateFechas[[#This Row],[con_codigounico]]</f>
        <v>8693420-</v>
      </c>
      <c r="X2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</v>
      </c>
    </row>
    <row r="237" spans="1:24" x14ac:dyDescent="0.25">
      <c r="A237">
        <v>1</v>
      </c>
      <c r="B237" t="s">
        <v>55</v>
      </c>
      <c r="C237">
        <v>8693933</v>
      </c>
      <c r="D237" t="s">
        <v>425</v>
      </c>
      <c r="E237" t="s">
        <v>419</v>
      </c>
      <c r="F237" t="s">
        <v>415</v>
      </c>
      <c r="G237">
        <v>1</v>
      </c>
      <c r="H237">
        <v>0</v>
      </c>
      <c r="I237" t="s">
        <v>12</v>
      </c>
      <c r="J237">
        <v>0</v>
      </c>
      <c r="K237" t="s">
        <v>49</v>
      </c>
      <c r="L237" s="1">
        <f>+Tabla__192.168.1.8_POSEIDONSQL_APPFVT_01_tblFillRateFechas[[#This Row],[emb_cantidad]]-Tabla__192.168.1.8_POSEIDONSQL_APPFVT_01_tblFillRateFechas[[#This Row],[dev_cantidad]]</f>
        <v>0</v>
      </c>
      <c r="M237" s="1">
        <f>+IF(Tabla__192.168.1.8_POSEIDONSQL_APPFVT_01_tblFillRateFechas[[#This Row],[Cant_Resultante]]=Tabla__192.168.1.8_POSEIDONSQL_APPFVT_01_tblFillRateFechas[[#This Row],[cant_order]],1,0)</f>
        <v>0</v>
      </c>
      <c r="N2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37" s="1">
        <f>+IF(AND(Tabla__192.168.1.8_POSEIDONSQL_APPFVT_01_tblFillRateFechas[[#This Row],[Valida Cant]]=1,Tabla__192.168.1.8_POSEIDONSQL_APPFVT_01_tblFillRateFechas[[#This Row],[Valida Fec]]=1),1,0)</f>
        <v>0</v>
      </c>
      <c r="P237" s="1">
        <f>+(Tabla__192.168.1.8_POSEIDONSQL_APPFVT_01_tblFillRateFechas[[#This Row],[Cant_Resultante]]/Tabla__192.168.1.8_POSEIDONSQL_APPFVT_01_tblFillRateFechas[[#This Row],[cant_order]])*100</f>
        <v>0</v>
      </c>
      <c r="Q2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2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37" s="1">
        <f>+IF(Tabla__192.168.1.8_POSEIDONSQL_APPFVT_01_tblFillRateFechas[[#This Row],[cant_order]]&gt;0,1,0)</f>
        <v>1</v>
      </c>
      <c r="V237" s="1">
        <f>+IF(Tabla__192.168.1.8_POSEIDONSQL_APPFVT_01_tblFillRateFechas[[#This Row],[Resultado]]=1,1,0)</f>
        <v>0</v>
      </c>
      <c r="W237" s="1" t="str">
        <f>+Tabla__192.168.1.8_POSEIDONSQL_APPFVT_01_tblFillRateFechas[[#This Row],[con_ocnumero]]&amp;Tabla__192.168.1.8_POSEIDONSQL_APPFVT_01_tblFillRateFechas[[#This Row],[con_codigounico]]</f>
        <v>8693933-</v>
      </c>
      <c r="X2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238" spans="1:24" x14ac:dyDescent="0.25">
      <c r="A238">
        <v>1</v>
      </c>
      <c r="B238" t="s">
        <v>55</v>
      </c>
      <c r="C238">
        <v>8693971</v>
      </c>
      <c r="D238" t="s">
        <v>425</v>
      </c>
      <c r="E238" t="s">
        <v>419</v>
      </c>
      <c r="F238" t="s">
        <v>415</v>
      </c>
      <c r="G238">
        <v>1</v>
      </c>
      <c r="H238">
        <v>1</v>
      </c>
      <c r="I238" t="s">
        <v>419</v>
      </c>
      <c r="J238">
        <v>0</v>
      </c>
      <c r="K238" t="s">
        <v>49</v>
      </c>
      <c r="L238" s="1">
        <f>+Tabla__192.168.1.8_POSEIDONSQL_APPFVT_01_tblFillRateFechas[[#This Row],[emb_cantidad]]-Tabla__192.168.1.8_POSEIDONSQL_APPFVT_01_tblFillRateFechas[[#This Row],[dev_cantidad]]</f>
        <v>1</v>
      </c>
      <c r="M238" s="1">
        <f>+IF(Tabla__192.168.1.8_POSEIDONSQL_APPFVT_01_tblFillRateFechas[[#This Row],[Cant_Resultante]]=Tabla__192.168.1.8_POSEIDONSQL_APPFVT_01_tblFillRateFechas[[#This Row],[cant_order]],1,0)</f>
        <v>1</v>
      </c>
      <c r="N2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38" s="1">
        <f>+IF(AND(Tabla__192.168.1.8_POSEIDONSQL_APPFVT_01_tblFillRateFechas[[#This Row],[Valida Cant]]=1,Tabla__192.168.1.8_POSEIDONSQL_APPFVT_01_tblFillRateFechas[[#This Row],[Valida Fec]]=1),1,0)</f>
        <v>1</v>
      </c>
      <c r="P238" s="1">
        <f>+(Tabla__192.168.1.8_POSEIDONSQL_APPFVT_01_tblFillRateFechas[[#This Row],[Cant_Resultante]]/Tabla__192.168.1.8_POSEIDONSQL_APPFVT_01_tblFillRateFechas[[#This Row],[cant_order]])*100</f>
        <v>100</v>
      </c>
      <c r="Q2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38" s="1">
        <f>+IF(Tabla__192.168.1.8_POSEIDONSQL_APPFVT_01_tblFillRateFechas[[#This Row],[cant_order]]&gt;0,1,0)</f>
        <v>1</v>
      </c>
      <c r="V238" s="1">
        <f>+IF(Tabla__192.168.1.8_POSEIDONSQL_APPFVT_01_tblFillRateFechas[[#This Row],[Resultado]]=1,1,0)</f>
        <v>1</v>
      </c>
      <c r="W238" s="1" t="str">
        <f>+Tabla__192.168.1.8_POSEIDONSQL_APPFVT_01_tblFillRateFechas[[#This Row],[con_ocnumero]]&amp;Tabla__192.168.1.8_POSEIDONSQL_APPFVT_01_tblFillRateFechas[[#This Row],[con_codigounico]]</f>
        <v>8693971-</v>
      </c>
      <c r="X2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39" spans="1:24" x14ac:dyDescent="0.25">
      <c r="A239">
        <v>1</v>
      </c>
      <c r="B239" t="s">
        <v>55</v>
      </c>
      <c r="C239">
        <v>8694065</v>
      </c>
      <c r="D239" t="s">
        <v>426</v>
      </c>
      <c r="E239" t="s">
        <v>419</v>
      </c>
      <c r="F239" t="s">
        <v>415</v>
      </c>
      <c r="G239">
        <v>1</v>
      </c>
      <c r="H239">
        <v>0</v>
      </c>
      <c r="I239" t="s">
        <v>12</v>
      </c>
      <c r="J239">
        <v>0</v>
      </c>
      <c r="K239" t="s">
        <v>49</v>
      </c>
      <c r="L239" s="1">
        <f>+Tabla__192.168.1.8_POSEIDONSQL_APPFVT_01_tblFillRateFechas[[#This Row],[emb_cantidad]]-Tabla__192.168.1.8_POSEIDONSQL_APPFVT_01_tblFillRateFechas[[#This Row],[dev_cantidad]]</f>
        <v>0</v>
      </c>
      <c r="M239" s="1">
        <f>+IF(Tabla__192.168.1.8_POSEIDONSQL_APPFVT_01_tblFillRateFechas[[#This Row],[Cant_Resultante]]=Tabla__192.168.1.8_POSEIDONSQL_APPFVT_01_tblFillRateFechas[[#This Row],[cant_order]],1,0)</f>
        <v>0</v>
      </c>
      <c r="N2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39" s="1">
        <f>+IF(AND(Tabla__192.168.1.8_POSEIDONSQL_APPFVT_01_tblFillRateFechas[[#This Row],[Valida Cant]]=1,Tabla__192.168.1.8_POSEIDONSQL_APPFVT_01_tblFillRateFechas[[#This Row],[Valida Fec]]=1),1,0)</f>
        <v>0</v>
      </c>
      <c r="P239" s="1">
        <f>+(Tabla__192.168.1.8_POSEIDONSQL_APPFVT_01_tblFillRateFechas[[#This Row],[Cant_Resultante]]/Tabla__192.168.1.8_POSEIDONSQL_APPFVT_01_tblFillRateFechas[[#This Row],[cant_order]])*100</f>
        <v>0</v>
      </c>
      <c r="Q2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2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39" s="1">
        <f>+IF(Tabla__192.168.1.8_POSEIDONSQL_APPFVT_01_tblFillRateFechas[[#This Row],[cant_order]]&gt;0,1,0)</f>
        <v>1</v>
      </c>
      <c r="V239" s="1">
        <f>+IF(Tabla__192.168.1.8_POSEIDONSQL_APPFVT_01_tblFillRateFechas[[#This Row],[Resultado]]=1,1,0)</f>
        <v>0</v>
      </c>
      <c r="W239" s="1" t="str">
        <f>+Tabla__192.168.1.8_POSEIDONSQL_APPFVT_01_tblFillRateFechas[[#This Row],[con_ocnumero]]&amp;Tabla__192.168.1.8_POSEIDONSQL_APPFVT_01_tblFillRateFechas[[#This Row],[con_codigounico]]</f>
        <v>8694065-</v>
      </c>
      <c r="X2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240" spans="1:24" x14ac:dyDescent="0.25">
      <c r="A240">
        <v>1</v>
      </c>
      <c r="B240" t="s">
        <v>55</v>
      </c>
      <c r="C240">
        <v>8694210</v>
      </c>
      <c r="D240" t="s">
        <v>426</v>
      </c>
      <c r="E240" t="s">
        <v>419</v>
      </c>
      <c r="F240" t="s">
        <v>415</v>
      </c>
      <c r="G240">
        <v>1</v>
      </c>
      <c r="H240">
        <v>1</v>
      </c>
      <c r="I240" t="s">
        <v>419</v>
      </c>
      <c r="J240">
        <v>0</v>
      </c>
      <c r="K240" t="s">
        <v>49</v>
      </c>
      <c r="L240" s="1">
        <f>+Tabla__192.168.1.8_POSEIDONSQL_APPFVT_01_tblFillRateFechas[[#This Row],[emb_cantidad]]-Tabla__192.168.1.8_POSEIDONSQL_APPFVT_01_tblFillRateFechas[[#This Row],[dev_cantidad]]</f>
        <v>1</v>
      </c>
      <c r="M240" s="1">
        <f>+IF(Tabla__192.168.1.8_POSEIDONSQL_APPFVT_01_tblFillRateFechas[[#This Row],[Cant_Resultante]]=Tabla__192.168.1.8_POSEIDONSQL_APPFVT_01_tblFillRateFechas[[#This Row],[cant_order]],1,0)</f>
        <v>1</v>
      </c>
      <c r="N2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0" s="1">
        <f>+IF(AND(Tabla__192.168.1.8_POSEIDONSQL_APPFVT_01_tblFillRateFechas[[#This Row],[Valida Cant]]=1,Tabla__192.168.1.8_POSEIDONSQL_APPFVT_01_tblFillRateFechas[[#This Row],[Valida Fec]]=1),1,0)</f>
        <v>1</v>
      </c>
      <c r="P240" s="1">
        <f>+(Tabla__192.168.1.8_POSEIDONSQL_APPFVT_01_tblFillRateFechas[[#This Row],[Cant_Resultante]]/Tabla__192.168.1.8_POSEIDONSQL_APPFVT_01_tblFillRateFechas[[#This Row],[cant_order]])*100</f>
        <v>100</v>
      </c>
      <c r="Q2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0" s="1">
        <f>+IF(Tabla__192.168.1.8_POSEIDONSQL_APPFVT_01_tblFillRateFechas[[#This Row],[cant_order]]&gt;0,1,0)</f>
        <v>1</v>
      </c>
      <c r="V240" s="1">
        <f>+IF(Tabla__192.168.1.8_POSEIDONSQL_APPFVT_01_tblFillRateFechas[[#This Row],[Resultado]]=1,1,0)</f>
        <v>1</v>
      </c>
      <c r="W240" s="1" t="str">
        <f>+Tabla__192.168.1.8_POSEIDONSQL_APPFVT_01_tblFillRateFechas[[#This Row],[con_ocnumero]]&amp;Tabla__192.168.1.8_POSEIDONSQL_APPFVT_01_tblFillRateFechas[[#This Row],[con_codigounico]]</f>
        <v>8694210-</v>
      </c>
      <c r="X2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1" spans="1:24" x14ac:dyDescent="0.25">
      <c r="A241">
        <v>1</v>
      </c>
      <c r="B241" t="s">
        <v>55</v>
      </c>
      <c r="C241">
        <v>8694506</v>
      </c>
      <c r="D241" t="s">
        <v>426</v>
      </c>
      <c r="E241" t="s">
        <v>419</v>
      </c>
      <c r="F241" t="s">
        <v>415</v>
      </c>
      <c r="G241">
        <v>1</v>
      </c>
      <c r="H241">
        <v>1</v>
      </c>
      <c r="I241" t="s">
        <v>419</v>
      </c>
      <c r="J241">
        <v>0</v>
      </c>
      <c r="K241" t="s">
        <v>49</v>
      </c>
      <c r="L241" s="1">
        <f>+Tabla__192.168.1.8_POSEIDONSQL_APPFVT_01_tblFillRateFechas[[#This Row],[emb_cantidad]]-Tabla__192.168.1.8_POSEIDONSQL_APPFVT_01_tblFillRateFechas[[#This Row],[dev_cantidad]]</f>
        <v>1</v>
      </c>
      <c r="M241" s="1">
        <f>+IF(Tabla__192.168.1.8_POSEIDONSQL_APPFVT_01_tblFillRateFechas[[#This Row],[Cant_Resultante]]=Tabla__192.168.1.8_POSEIDONSQL_APPFVT_01_tblFillRateFechas[[#This Row],[cant_order]],1,0)</f>
        <v>1</v>
      </c>
      <c r="N2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1" s="1">
        <f>+IF(AND(Tabla__192.168.1.8_POSEIDONSQL_APPFVT_01_tblFillRateFechas[[#This Row],[Valida Cant]]=1,Tabla__192.168.1.8_POSEIDONSQL_APPFVT_01_tblFillRateFechas[[#This Row],[Valida Fec]]=1),1,0)</f>
        <v>1</v>
      </c>
      <c r="P241" s="1">
        <f>+(Tabla__192.168.1.8_POSEIDONSQL_APPFVT_01_tblFillRateFechas[[#This Row],[Cant_Resultante]]/Tabla__192.168.1.8_POSEIDONSQL_APPFVT_01_tblFillRateFechas[[#This Row],[cant_order]])*100</f>
        <v>100</v>
      </c>
      <c r="Q2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1" s="1">
        <f>+IF(Tabla__192.168.1.8_POSEIDONSQL_APPFVT_01_tblFillRateFechas[[#This Row],[cant_order]]&gt;0,1,0)</f>
        <v>1</v>
      </c>
      <c r="V241" s="1">
        <f>+IF(Tabla__192.168.1.8_POSEIDONSQL_APPFVT_01_tblFillRateFechas[[#This Row],[Resultado]]=1,1,0)</f>
        <v>1</v>
      </c>
      <c r="W241" s="1" t="str">
        <f>+Tabla__192.168.1.8_POSEIDONSQL_APPFVT_01_tblFillRateFechas[[#This Row],[con_ocnumero]]&amp;Tabla__192.168.1.8_POSEIDONSQL_APPFVT_01_tblFillRateFechas[[#This Row],[con_codigounico]]</f>
        <v>8694506-</v>
      </c>
      <c r="X2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2" spans="1:24" x14ac:dyDescent="0.25">
      <c r="A242">
        <v>1</v>
      </c>
      <c r="B242" t="s">
        <v>55</v>
      </c>
      <c r="C242">
        <v>8694642</v>
      </c>
      <c r="D242" t="s">
        <v>426</v>
      </c>
      <c r="E242" t="s">
        <v>419</v>
      </c>
      <c r="F242" t="s">
        <v>415</v>
      </c>
      <c r="G242">
        <v>1</v>
      </c>
      <c r="H242">
        <v>1</v>
      </c>
      <c r="I242" t="s">
        <v>419</v>
      </c>
      <c r="J242">
        <v>0</v>
      </c>
      <c r="K242" t="s">
        <v>49</v>
      </c>
      <c r="L242" s="1">
        <f>+Tabla__192.168.1.8_POSEIDONSQL_APPFVT_01_tblFillRateFechas[[#This Row],[emb_cantidad]]-Tabla__192.168.1.8_POSEIDONSQL_APPFVT_01_tblFillRateFechas[[#This Row],[dev_cantidad]]</f>
        <v>1</v>
      </c>
      <c r="M242" s="1">
        <f>+IF(Tabla__192.168.1.8_POSEIDONSQL_APPFVT_01_tblFillRateFechas[[#This Row],[Cant_Resultante]]=Tabla__192.168.1.8_POSEIDONSQL_APPFVT_01_tblFillRateFechas[[#This Row],[cant_order]],1,0)</f>
        <v>1</v>
      </c>
      <c r="N2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2" s="1">
        <f>+IF(AND(Tabla__192.168.1.8_POSEIDONSQL_APPFVT_01_tblFillRateFechas[[#This Row],[Valida Cant]]=1,Tabla__192.168.1.8_POSEIDONSQL_APPFVT_01_tblFillRateFechas[[#This Row],[Valida Fec]]=1),1,0)</f>
        <v>1</v>
      </c>
      <c r="P242" s="1">
        <f>+(Tabla__192.168.1.8_POSEIDONSQL_APPFVT_01_tblFillRateFechas[[#This Row],[Cant_Resultante]]/Tabla__192.168.1.8_POSEIDONSQL_APPFVT_01_tblFillRateFechas[[#This Row],[cant_order]])*100</f>
        <v>100</v>
      </c>
      <c r="Q2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2" s="1">
        <f>+IF(Tabla__192.168.1.8_POSEIDONSQL_APPFVT_01_tblFillRateFechas[[#This Row],[cant_order]]&gt;0,1,0)</f>
        <v>1</v>
      </c>
      <c r="V242" s="1">
        <f>+IF(Tabla__192.168.1.8_POSEIDONSQL_APPFVT_01_tblFillRateFechas[[#This Row],[Resultado]]=1,1,0)</f>
        <v>1</v>
      </c>
      <c r="W242" s="1" t="str">
        <f>+Tabla__192.168.1.8_POSEIDONSQL_APPFVT_01_tblFillRateFechas[[#This Row],[con_ocnumero]]&amp;Tabla__192.168.1.8_POSEIDONSQL_APPFVT_01_tblFillRateFechas[[#This Row],[con_codigounico]]</f>
        <v>8694642-</v>
      </c>
      <c r="X2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3" spans="1:24" x14ac:dyDescent="0.25">
      <c r="A243">
        <v>1</v>
      </c>
      <c r="B243" t="s">
        <v>55</v>
      </c>
      <c r="C243">
        <v>8695897</v>
      </c>
      <c r="D243" t="s">
        <v>426</v>
      </c>
      <c r="E243" t="s">
        <v>423</v>
      </c>
      <c r="F243" t="s">
        <v>415</v>
      </c>
      <c r="G243">
        <v>1</v>
      </c>
      <c r="H243">
        <v>1</v>
      </c>
      <c r="I243" t="s">
        <v>423</v>
      </c>
      <c r="J243">
        <v>0</v>
      </c>
      <c r="K243" t="s">
        <v>49</v>
      </c>
      <c r="L243" s="1">
        <f>+Tabla__192.168.1.8_POSEIDONSQL_APPFVT_01_tblFillRateFechas[[#This Row],[emb_cantidad]]-Tabla__192.168.1.8_POSEIDONSQL_APPFVT_01_tblFillRateFechas[[#This Row],[dev_cantidad]]</f>
        <v>1</v>
      </c>
      <c r="M243" s="1">
        <f>+IF(Tabla__192.168.1.8_POSEIDONSQL_APPFVT_01_tblFillRateFechas[[#This Row],[Cant_Resultante]]=Tabla__192.168.1.8_POSEIDONSQL_APPFVT_01_tblFillRateFechas[[#This Row],[cant_order]],1,0)</f>
        <v>1</v>
      </c>
      <c r="N2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3" s="1">
        <f>+IF(AND(Tabla__192.168.1.8_POSEIDONSQL_APPFVT_01_tblFillRateFechas[[#This Row],[Valida Cant]]=1,Tabla__192.168.1.8_POSEIDONSQL_APPFVT_01_tblFillRateFechas[[#This Row],[Valida Fec]]=1),1,0)</f>
        <v>1</v>
      </c>
      <c r="P243" s="1">
        <f>+(Tabla__192.168.1.8_POSEIDONSQL_APPFVT_01_tblFillRateFechas[[#This Row],[Cant_Resultante]]/Tabla__192.168.1.8_POSEIDONSQL_APPFVT_01_tblFillRateFechas[[#This Row],[cant_order]])*100</f>
        <v>100</v>
      </c>
      <c r="Q2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3" s="1">
        <f>+IF(Tabla__192.168.1.8_POSEIDONSQL_APPFVT_01_tblFillRateFechas[[#This Row],[cant_order]]&gt;0,1,0)</f>
        <v>1</v>
      </c>
      <c r="V243" s="1">
        <f>+IF(Tabla__192.168.1.8_POSEIDONSQL_APPFVT_01_tblFillRateFechas[[#This Row],[Resultado]]=1,1,0)</f>
        <v>1</v>
      </c>
      <c r="W243" s="1" t="str">
        <f>+Tabla__192.168.1.8_POSEIDONSQL_APPFVT_01_tblFillRateFechas[[#This Row],[con_ocnumero]]&amp;Tabla__192.168.1.8_POSEIDONSQL_APPFVT_01_tblFillRateFechas[[#This Row],[con_codigounico]]</f>
        <v>8695897-</v>
      </c>
      <c r="X2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4" spans="1:24" x14ac:dyDescent="0.25">
      <c r="A244">
        <v>1</v>
      </c>
      <c r="B244" t="s">
        <v>55</v>
      </c>
      <c r="C244">
        <v>8696102</v>
      </c>
      <c r="D244" t="s">
        <v>1983</v>
      </c>
      <c r="E244" t="s">
        <v>423</v>
      </c>
      <c r="F244" t="s">
        <v>415</v>
      </c>
      <c r="G244">
        <v>1</v>
      </c>
      <c r="H244">
        <v>1</v>
      </c>
      <c r="I244" t="s">
        <v>423</v>
      </c>
      <c r="J244">
        <v>0</v>
      </c>
      <c r="K244" t="s">
        <v>49</v>
      </c>
      <c r="L244" s="1">
        <f>+Tabla__192.168.1.8_POSEIDONSQL_APPFVT_01_tblFillRateFechas[[#This Row],[emb_cantidad]]-Tabla__192.168.1.8_POSEIDONSQL_APPFVT_01_tblFillRateFechas[[#This Row],[dev_cantidad]]</f>
        <v>1</v>
      </c>
      <c r="M244" s="1">
        <f>+IF(Tabla__192.168.1.8_POSEIDONSQL_APPFVT_01_tblFillRateFechas[[#This Row],[Cant_Resultante]]=Tabla__192.168.1.8_POSEIDONSQL_APPFVT_01_tblFillRateFechas[[#This Row],[cant_order]],1,0)</f>
        <v>1</v>
      </c>
      <c r="N2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4" s="1">
        <f>+IF(AND(Tabla__192.168.1.8_POSEIDONSQL_APPFVT_01_tblFillRateFechas[[#This Row],[Valida Cant]]=1,Tabla__192.168.1.8_POSEIDONSQL_APPFVT_01_tblFillRateFechas[[#This Row],[Valida Fec]]=1),1,0)</f>
        <v>1</v>
      </c>
      <c r="P244" s="1">
        <f>+(Tabla__192.168.1.8_POSEIDONSQL_APPFVT_01_tblFillRateFechas[[#This Row],[Cant_Resultante]]/Tabla__192.168.1.8_POSEIDONSQL_APPFVT_01_tblFillRateFechas[[#This Row],[cant_order]])*100</f>
        <v>100</v>
      </c>
      <c r="Q2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4" s="1">
        <f>+IF(Tabla__192.168.1.8_POSEIDONSQL_APPFVT_01_tblFillRateFechas[[#This Row],[cant_order]]&gt;0,1,0)</f>
        <v>1</v>
      </c>
      <c r="V244" s="1">
        <f>+IF(Tabla__192.168.1.8_POSEIDONSQL_APPFVT_01_tblFillRateFechas[[#This Row],[Resultado]]=1,1,0)</f>
        <v>1</v>
      </c>
      <c r="W244" s="1" t="str">
        <f>+Tabla__192.168.1.8_POSEIDONSQL_APPFVT_01_tblFillRateFechas[[#This Row],[con_ocnumero]]&amp;Tabla__192.168.1.8_POSEIDONSQL_APPFVT_01_tblFillRateFechas[[#This Row],[con_codigounico]]</f>
        <v>8696102-</v>
      </c>
      <c r="X2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5" spans="1:24" x14ac:dyDescent="0.25">
      <c r="A245">
        <v>1</v>
      </c>
      <c r="B245" t="s">
        <v>55</v>
      </c>
      <c r="C245">
        <v>8696152</v>
      </c>
      <c r="D245" t="s">
        <v>1983</v>
      </c>
      <c r="E245" t="s">
        <v>423</v>
      </c>
      <c r="F245" t="s">
        <v>415</v>
      </c>
      <c r="G245">
        <v>1</v>
      </c>
      <c r="H245">
        <v>1</v>
      </c>
      <c r="I245" t="s">
        <v>423</v>
      </c>
      <c r="J245">
        <v>0</v>
      </c>
      <c r="K245" t="s">
        <v>49</v>
      </c>
      <c r="L245" s="1">
        <f>+Tabla__192.168.1.8_POSEIDONSQL_APPFVT_01_tblFillRateFechas[[#This Row],[emb_cantidad]]-Tabla__192.168.1.8_POSEIDONSQL_APPFVT_01_tblFillRateFechas[[#This Row],[dev_cantidad]]</f>
        <v>1</v>
      </c>
      <c r="M245" s="1">
        <f>+IF(Tabla__192.168.1.8_POSEIDONSQL_APPFVT_01_tblFillRateFechas[[#This Row],[Cant_Resultante]]=Tabla__192.168.1.8_POSEIDONSQL_APPFVT_01_tblFillRateFechas[[#This Row],[cant_order]],1,0)</f>
        <v>1</v>
      </c>
      <c r="N2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5" s="1">
        <f>+IF(AND(Tabla__192.168.1.8_POSEIDONSQL_APPFVT_01_tblFillRateFechas[[#This Row],[Valida Cant]]=1,Tabla__192.168.1.8_POSEIDONSQL_APPFVT_01_tblFillRateFechas[[#This Row],[Valida Fec]]=1),1,0)</f>
        <v>1</v>
      </c>
      <c r="P245" s="1">
        <f>+(Tabla__192.168.1.8_POSEIDONSQL_APPFVT_01_tblFillRateFechas[[#This Row],[Cant_Resultante]]/Tabla__192.168.1.8_POSEIDONSQL_APPFVT_01_tblFillRateFechas[[#This Row],[cant_order]])*100</f>
        <v>100</v>
      </c>
      <c r="Q2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5" s="1">
        <f>+IF(Tabla__192.168.1.8_POSEIDONSQL_APPFVT_01_tblFillRateFechas[[#This Row],[cant_order]]&gt;0,1,0)</f>
        <v>1</v>
      </c>
      <c r="V245" s="1">
        <f>+IF(Tabla__192.168.1.8_POSEIDONSQL_APPFVT_01_tblFillRateFechas[[#This Row],[Resultado]]=1,1,0)</f>
        <v>1</v>
      </c>
      <c r="W245" s="1" t="str">
        <f>+Tabla__192.168.1.8_POSEIDONSQL_APPFVT_01_tblFillRateFechas[[#This Row],[con_ocnumero]]&amp;Tabla__192.168.1.8_POSEIDONSQL_APPFVT_01_tblFillRateFechas[[#This Row],[con_codigounico]]</f>
        <v>8696152-</v>
      </c>
      <c r="X2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6" spans="1:24" x14ac:dyDescent="0.25">
      <c r="A246">
        <v>1</v>
      </c>
      <c r="B246" t="s">
        <v>55</v>
      </c>
      <c r="C246">
        <v>8696231</v>
      </c>
      <c r="D246" t="s">
        <v>1983</v>
      </c>
      <c r="E246" t="s">
        <v>423</v>
      </c>
      <c r="F246" t="s">
        <v>415</v>
      </c>
      <c r="G246">
        <v>2</v>
      </c>
      <c r="H246">
        <v>1</v>
      </c>
      <c r="I246" t="s">
        <v>423</v>
      </c>
      <c r="J246">
        <v>0</v>
      </c>
      <c r="K246" t="s">
        <v>49</v>
      </c>
      <c r="L246" s="1">
        <f>+Tabla__192.168.1.8_POSEIDONSQL_APPFVT_01_tblFillRateFechas[[#This Row],[emb_cantidad]]-Tabla__192.168.1.8_POSEIDONSQL_APPFVT_01_tblFillRateFechas[[#This Row],[dev_cantidad]]</f>
        <v>1</v>
      </c>
      <c r="M246" s="1">
        <f>+IF(Tabla__192.168.1.8_POSEIDONSQL_APPFVT_01_tblFillRateFechas[[#This Row],[Cant_Resultante]]=Tabla__192.168.1.8_POSEIDONSQL_APPFVT_01_tblFillRateFechas[[#This Row],[cant_order]],1,0)</f>
        <v>0</v>
      </c>
      <c r="N2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6" s="1">
        <f>+IF(AND(Tabla__192.168.1.8_POSEIDONSQL_APPFVT_01_tblFillRateFechas[[#This Row],[Valida Cant]]=1,Tabla__192.168.1.8_POSEIDONSQL_APPFVT_01_tblFillRateFechas[[#This Row],[Valida Fec]]=1),1,0)</f>
        <v>0</v>
      </c>
      <c r="P246" s="1">
        <f>+(Tabla__192.168.1.8_POSEIDONSQL_APPFVT_01_tblFillRateFechas[[#This Row],[Cant_Resultante]]/Tabla__192.168.1.8_POSEIDONSQL_APPFVT_01_tblFillRateFechas[[#This Row],[cant_order]])*100</f>
        <v>50</v>
      </c>
      <c r="Q2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46" s="1">
        <f>+IF(Tabla__192.168.1.8_POSEIDONSQL_APPFVT_01_tblFillRateFechas[[#This Row],[cant_order]]&gt;0,1,0)</f>
        <v>1</v>
      </c>
      <c r="V246" s="1">
        <f>+IF(Tabla__192.168.1.8_POSEIDONSQL_APPFVT_01_tblFillRateFechas[[#This Row],[Resultado]]=1,1,0)</f>
        <v>0</v>
      </c>
      <c r="W246" s="1" t="str">
        <f>+Tabla__192.168.1.8_POSEIDONSQL_APPFVT_01_tblFillRateFechas[[#This Row],[con_ocnumero]]&amp;Tabla__192.168.1.8_POSEIDONSQL_APPFVT_01_tblFillRateFechas[[#This Row],[con_codigounico]]</f>
        <v>8696231-</v>
      </c>
      <c r="X2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7" spans="1:24" x14ac:dyDescent="0.25">
      <c r="A247">
        <v>1</v>
      </c>
      <c r="B247" t="s">
        <v>55</v>
      </c>
      <c r="C247">
        <v>8696231</v>
      </c>
      <c r="D247" t="s">
        <v>1983</v>
      </c>
      <c r="E247" t="s">
        <v>423</v>
      </c>
      <c r="F247" t="s">
        <v>420</v>
      </c>
      <c r="G247">
        <v>2</v>
      </c>
      <c r="H247">
        <v>1</v>
      </c>
      <c r="I247" t="s">
        <v>423</v>
      </c>
      <c r="J247">
        <v>0</v>
      </c>
      <c r="K247" t="s">
        <v>49</v>
      </c>
      <c r="L247" s="1">
        <f>+Tabla__192.168.1.8_POSEIDONSQL_APPFVT_01_tblFillRateFechas[[#This Row],[emb_cantidad]]-Tabla__192.168.1.8_POSEIDONSQL_APPFVT_01_tblFillRateFechas[[#This Row],[dev_cantidad]]</f>
        <v>1</v>
      </c>
      <c r="M247" s="1">
        <f>+IF(Tabla__192.168.1.8_POSEIDONSQL_APPFVT_01_tblFillRateFechas[[#This Row],[Cant_Resultante]]=Tabla__192.168.1.8_POSEIDONSQL_APPFVT_01_tblFillRateFechas[[#This Row],[cant_order]],1,0)</f>
        <v>0</v>
      </c>
      <c r="N2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7" s="1">
        <f>+IF(AND(Tabla__192.168.1.8_POSEIDONSQL_APPFVT_01_tblFillRateFechas[[#This Row],[Valida Cant]]=1,Tabla__192.168.1.8_POSEIDONSQL_APPFVT_01_tblFillRateFechas[[#This Row],[Valida Fec]]=1),1,0)</f>
        <v>0</v>
      </c>
      <c r="P247" s="1">
        <f>+(Tabla__192.168.1.8_POSEIDONSQL_APPFVT_01_tblFillRateFechas[[#This Row],[Cant_Resultante]]/Tabla__192.168.1.8_POSEIDONSQL_APPFVT_01_tblFillRateFechas[[#This Row],[cant_order]])*100</f>
        <v>50</v>
      </c>
      <c r="Q2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47" s="1">
        <f>+IF(Tabla__192.168.1.8_POSEIDONSQL_APPFVT_01_tblFillRateFechas[[#This Row],[cant_order]]&gt;0,1,0)</f>
        <v>1</v>
      </c>
      <c r="V247" s="1">
        <f>+IF(Tabla__192.168.1.8_POSEIDONSQL_APPFVT_01_tblFillRateFechas[[#This Row],[Resultado]]=1,1,0)</f>
        <v>0</v>
      </c>
      <c r="W247" s="1" t="str">
        <f>+Tabla__192.168.1.8_POSEIDONSQL_APPFVT_01_tblFillRateFechas[[#This Row],[con_ocnumero]]&amp;Tabla__192.168.1.8_POSEIDONSQL_APPFVT_01_tblFillRateFechas[[#This Row],[con_codigounico]]</f>
        <v>8696231-</v>
      </c>
      <c r="X2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8" spans="1:24" x14ac:dyDescent="0.25">
      <c r="A248">
        <v>1</v>
      </c>
      <c r="B248" t="s">
        <v>55</v>
      </c>
      <c r="C248">
        <v>8696245</v>
      </c>
      <c r="D248" t="s">
        <v>1983</v>
      </c>
      <c r="E248" t="s">
        <v>423</v>
      </c>
      <c r="F248" t="s">
        <v>415</v>
      </c>
      <c r="G248">
        <v>1</v>
      </c>
      <c r="H248">
        <v>1</v>
      </c>
      <c r="I248" t="s">
        <v>423</v>
      </c>
      <c r="J248">
        <v>0</v>
      </c>
      <c r="K248" t="s">
        <v>49</v>
      </c>
      <c r="L248" s="1">
        <f>+Tabla__192.168.1.8_POSEIDONSQL_APPFVT_01_tblFillRateFechas[[#This Row],[emb_cantidad]]-Tabla__192.168.1.8_POSEIDONSQL_APPFVT_01_tblFillRateFechas[[#This Row],[dev_cantidad]]</f>
        <v>1</v>
      </c>
      <c r="M248" s="1">
        <f>+IF(Tabla__192.168.1.8_POSEIDONSQL_APPFVT_01_tblFillRateFechas[[#This Row],[Cant_Resultante]]=Tabla__192.168.1.8_POSEIDONSQL_APPFVT_01_tblFillRateFechas[[#This Row],[cant_order]],1,0)</f>
        <v>1</v>
      </c>
      <c r="N2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8" s="1">
        <f>+IF(AND(Tabla__192.168.1.8_POSEIDONSQL_APPFVT_01_tblFillRateFechas[[#This Row],[Valida Cant]]=1,Tabla__192.168.1.8_POSEIDONSQL_APPFVT_01_tblFillRateFechas[[#This Row],[Valida Fec]]=1),1,0)</f>
        <v>1</v>
      </c>
      <c r="P248" s="1">
        <f>+(Tabla__192.168.1.8_POSEIDONSQL_APPFVT_01_tblFillRateFechas[[#This Row],[Cant_Resultante]]/Tabla__192.168.1.8_POSEIDONSQL_APPFVT_01_tblFillRateFechas[[#This Row],[cant_order]])*100</f>
        <v>100</v>
      </c>
      <c r="Q2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8" s="1">
        <f>+IF(Tabla__192.168.1.8_POSEIDONSQL_APPFVT_01_tblFillRateFechas[[#This Row],[cant_order]]&gt;0,1,0)</f>
        <v>1</v>
      </c>
      <c r="V248" s="1">
        <f>+IF(Tabla__192.168.1.8_POSEIDONSQL_APPFVT_01_tblFillRateFechas[[#This Row],[Resultado]]=1,1,0)</f>
        <v>1</v>
      </c>
      <c r="W248" s="1" t="str">
        <f>+Tabla__192.168.1.8_POSEIDONSQL_APPFVT_01_tblFillRateFechas[[#This Row],[con_ocnumero]]&amp;Tabla__192.168.1.8_POSEIDONSQL_APPFVT_01_tblFillRateFechas[[#This Row],[con_codigounico]]</f>
        <v>8696245-</v>
      </c>
      <c r="X2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49" spans="1:24" x14ac:dyDescent="0.25">
      <c r="A249">
        <v>1</v>
      </c>
      <c r="B249" t="s">
        <v>55</v>
      </c>
      <c r="C249">
        <v>8696308</v>
      </c>
      <c r="D249" t="s">
        <v>430</v>
      </c>
      <c r="E249" t="s">
        <v>423</v>
      </c>
      <c r="F249" t="s">
        <v>415</v>
      </c>
      <c r="G249">
        <v>1</v>
      </c>
      <c r="H249">
        <v>1</v>
      </c>
      <c r="I249" t="s">
        <v>423</v>
      </c>
      <c r="J249">
        <v>0</v>
      </c>
      <c r="K249" t="s">
        <v>49</v>
      </c>
      <c r="L249" s="1">
        <f>+Tabla__192.168.1.8_POSEIDONSQL_APPFVT_01_tblFillRateFechas[[#This Row],[emb_cantidad]]-Tabla__192.168.1.8_POSEIDONSQL_APPFVT_01_tblFillRateFechas[[#This Row],[dev_cantidad]]</f>
        <v>1</v>
      </c>
      <c r="M249" s="1">
        <f>+IF(Tabla__192.168.1.8_POSEIDONSQL_APPFVT_01_tblFillRateFechas[[#This Row],[Cant_Resultante]]=Tabla__192.168.1.8_POSEIDONSQL_APPFVT_01_tblFillRateFechas[[#This Row],[cant_order]],1,0)</f>
        <v>1</v>
      </c>
      <c r="N2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49" s="1">
        <f>+IF(AND(Tabla__192.168.1.8_POSEIDONSQL_APPFVT_01_tblFillRateFechas[[#This Row],[Valida Cant]]=1,Tabla__192.168.1.8_POSEIDONSQL_APPFVT_01_tblFillRateFechas[[#This Row],[Valida Fec]]=1),1,0)</f>
        <v>1</v>
      </c>
      <c r="P249" s="1">
        <f>+(Tabla__192.168.1.8_POSEIDONSQL_APPFVT_01_tblFillRateFechas[[#This Row],[Cant_Resultante]]/Tabla__192.168.1.8_POSEIDONSQL_APPFVT_01_tblFillRateFechas[[#This Row],[cant_order]])*100</f>
        <v>100</v>
      </c>
      <c r="Q2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49" s="1">
        <f>+IF(Tabla__192.168.1.8_POSEIDONSQL_APPFVT_01_tblFillRateFechas[[#This Row],[cant_order]]&gt;0,1,0)</f>
        <v>1</v>
      </c>
      <c r="V249" s="1">
        <f>+IF(Tabla__192.168.1.8_POSEIDONSQL_APPFVT_01_tblFillRateFechas[[#This Row],[Resultado]]=1,1,0)</f>
        <v>1</v>
      </c>
      <c r="W249" s="1" t="str">
        <f>+Tabla__192.168.1.8_POSEIDONSQL_APPFVT_01_tblFillRateFechas[[#This Row],[con_ocnumero]]&amp;Tabla__192.168.1.8_POSEIDONSQL_APPFVT_01_tblFillRateFechas[[#This Row],[con_codigounico]]</f>
        <v>8696308-</v>
      </c>
      <c r="X2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0" spans="1:24" x14ac:dyDescent="0.25">
      <c r="A250">
        <v>1</v>
      </c>
      <c r="B250" t="s">
        <v>55</v>
      </c>
      <c r="C250">
        <v>8696400</v>
      </c>
      <c r="D250" t="s">
        <v>430</v>
      </c>
      <c r="E250" t="s">
        <v>423</v>
      </c>
      <c r="F250" t="s">
        <v>415</v>
      </c>
      <c r="G250">
        <v>1</v>
      </c>
      <c r="H250">
        <v>1</v>
      </c>
      <c r="I250" t="s">
        <v>423</v>
      </c>
      <c r="J250">
        <v>0</v>
      </c>
      <c r="K250" t="s">
        <v>49</v>
      </c>
      <c r="L250" s="1">
        <f>+Tabla__192.168.1.8_POSEIDONSQL_APPFVT_01_tblFillRateFechas[[#This Row],[emb_cantidad]]-Tabla__192.168.1.8_POSEIDONSQL_APPFVT_01_tblFillRateFechas[[#This Row],[dev_cantidad]]</f>
        <v>1</v>
      </c>
      <c r="M250" s="1">
        <f>+IF(Tabla__192.168.1.8_POSEIDONSQL_APPFVT_01_tblFillRateFechas[[#This Row],[Cant_Resultante]]=Tabla__192.168.1.8_POSEIDONSQL_APPFVT_01_tblFillRateFechas[[#This Row],[cant_order]],1,0)</f>
        <v>1</v>
      </c>
      <c r="N2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0" s="1">
        <f>+IF(AND(Tabla__192.168.1.8_POSEIDONSQL_APPFVT_01_tblFillRateFechas[[#This Row],[Valida Cant]]=1,Tabla__192.168.1.8_POSEIDONSQL_APPFVT_01_tblFillRateFechas[[#This Row],[Valida Fec]]=1),1,0)</f>
        <v>1</v>
      </c>
      <c r="P250" s="1">
        <f>+(Tabla__192.168.1.8_POSEIDONSQL_APPFVT_01_tblFillRateFechas[[#This Row],[Cant_Resultante]]/Tabla__192.168.1.8_POSEIDONSQL_APPFVT_01_tblFillRateFechas[[#This Row],[cant_order]])*100</f>
        <v>100</v>
      </c>
      <c r="Q2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0" s="1">
        <f>+IF(Tabla__192.168.1.8_POSEIDONSQL_APPFVT_01_tblFillRateFechas[[#This Row],[cant_order]]&gt;0,1,0)</f>
        <v>1</v>
      </c>
      <c r="V250" s="1">
        <f>+IF(Tabla__192.168.1.8_POSEIDONSQL_APPFVT_01_tblFillRateFechas[[#This Row],[Resultado]]=1,1,0)</f>
        <v>1</v>
      </c>
      <c r="W250" s="1" t="str">
        <f>+Tabla__192.168.1.8_POSEIDONSQL_APPFVT_01_tblFillRateFechas[[#This Row],[con_ocnumero]]&amp;Tabla__192.168.1.8_POSEIDONSQL_APPFVT_01_tblFillRateFechas[[#This Row],[con_codigounico]]</f>
        <v>8696400-</v>
      </c>
      <c r="X2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1" spans="1:24" x14ac:dyDescent="0.25">
      <c r="A251">
        <v>1</v>
      </c>
      <c r="B251" t="s">
        <v>55</v>
      </c>
      <c r="C251">
        <v>8696416</v>
      </c>
      <c r="D251" t="s">
        <v>430</v>
      </c>
      <c r="E251" t="s">
        <v>423</v>
      </c>
      <c r="F251" t="s">
        <v>415</v>
      </c>
      <c r="G251">
        <v>1</v>
      </c>
      <c r="H251">
        <v>1</v>
      </c>
      <c r="I251" t="s">
        <v>423</v>
      </c>
      <c r="J251">
        <v>0</v>
      </c>
      <c r="K251" t="s">
        <v>49</v>
      </c>
      <c r="L251" s="1">
        <f>+Tabla__192.168.1.8_POSEIDONSQL_APPFVT_01_tblFillRateFechas[[#This Row],[emb_cantidad]]-Tabla__192.168.1.8_POSEIDONSQL_APPFVT_01_tblFillRateFechas[[#This Row],[dev_cantidad]]</f>
        <v>1</v>
      </c>
      <c r="M251" s="1">
        <f>+IF(Tabla__192.168.1.8_POSEIDONSQL_APPFVT_01_tblFillRateFechas[[#This Row],[Cant_Resultante]]=Tabla__192.168.1.8_POSEIDONSQL_APPFVT_01_tblFillRateFechas[[#This Row],[cant_order]],1,0)</f>
        <v>1</v>
      </c>
      <c r="N2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1" s="1">
        <f>+IF(AND(Tabla__192.168.1.8_POSEIDONSQL_APPFVT_01_tblFillRateFechas[[#This Row],[Valida Cant]]=1,Tabla__192.168.1.8_POSEIDONSQL_APPFVT_01_tblFillRateFechas[[#This Row],[Valida Fec]]=1),1,0)</f>
        <v>1</v>
      </c>
      <c r="P251" s="1">
        <f>+(Tabla__192.168.1.8_POSEIDONSQL_APPFVT_01_tblFillRateFechas[[#This Row],[Cant_Resultante]]/Tabla__192.168.1.8_POSEIDONSQL_APPFVT_01_tblFillRateFechas[[#This Row],[cant_order]])*100</f>
        <v>100</v>
      </c>
      <c r="Q2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1" s="1">
        <f>+IF(Tabla__192.168.1.8_POSEIDONSQL_APPFVT_01_tblFillRateFechas[[#This Row],[cant_order]]&gt;0,1,0)</f>
        <v>1</v>
      </c>
      <c r="V251" s="1">
        <f>+IF(Tabla__192.168.1.8_POSEIDONSQL_APPFVT_01_tblFillRateFechas[[#This Row],[Resultado]]=1,1,0)</f>
        <v>1</v>
      </c>
      <c r="W251" s="1" t="str">
        <f>+Tabla__192.168.1.8_POSEIDONSQL_APPFVT_01_tblFillRateFechas[[#This Row],[con_ocnumero]]&amp;Tabla__192.168.1.8_POSEIDONSQL_APPFVT_01_tblFillRateFechas[[#This Row],[con_codigounico]]</f>
        <v>8696416-</v>
      </c>
      <c r="X2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2" spans="1:24" x14ac:dyDescent="0.25">
      <c r="A252">
        <v>1</v>
      </c>
      <c r="B252" t="s">
        <v>55</v>
      </c>
      <c r="C252">
        <v>8696486</v>
      </c>
      <c r="D252" t="s">
        <v>430</v>
      </c>
      <c r="E252" t="s">
        <v>423</v>
      </c>
      <c r="F252" t="s">
        <v>415</v>
      </c>
      <c r="G252">
        <v>1</v>
      </c>
      <c r="H252">
        <v>1</v>
      </c>
      <c r="I252" t="s">
        <v>423</v>
      </c>
      <c r="J252">
        <v>0</v>
      </c>
      <c r="K252" t="s">
        <v>49</v>
      </c>
      <c r="L252" s="1">
        <f>+Tabla__192.168.1.8_POSEIDONSQL_APPFVT_01_tblFillRateFechas[[#This Row],[emb_cantidad]]-Tabla__192.168.1.8_POSEIDONSQL_APPFVT_01_tblFillRateFechas[[#This Row],[dev_cantidad]]</f>
        <v>1</v>
      </c>
      <c r="M252" s="1">
        <f>+IF(Tabla__192.168.1.8_POSEIDONSQL_APPFVT_01_tblFillRateFechas[[#This Row],[Cant_Resultante]]=Tabla__192.168.1.8_POSEIDONSQL_APPFVT_01_tblFillRateFechas[[#This Row],[cant_order]],1,0)</f>
        <v>1</v>
      </c>
      <c r="N2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2" s="1">
        <f>+IF(AND(Tabla__192.168.1.8_POSEIDONSQL_APPFVT_01_tblFillRateFechas[[#This Row],[Valida Cant]]=1,Tabla__192.168.1.8_POSEIDONSQL_APPFVT_01_tblFillRateFechas[[#This Row],[Valida Fec]]=1),1,0)</f>
        <v>1</v>
      </c>
      <c r="P252" s="1">
        <f>+(Tabla__192.168.1.8_POSEIDONSQL_APPFVT_01_tblFillRateFechas[[#This Row],[Cant_Resultante]]/Tabla__192.168.1.8_POSEIDONSQL_APPFVT_01_tblFillRateFechas[[#This Row],[cant_order]])*100</f>
        <v>100</v>
      </c>
      <c r="Q2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2" s="1">
        <f>+IF(Tabla__192.168.1.8_POSEIDONSQL_APPFVT_01_tblFillRateFechas[[#This Row],[cant_order]]&gt;0,1,0)</f>
        <v>1</v>
      </c>
      <c r="V252" s="1">
        <f>+IF(Tabla__192.168.1.8_POSEIDONSQL_APPFVT_01_tblFillRateFechas[[#This Row],[Resultado]]=1,1,0)</f>
        <v>1</v>
      </c>
      <c r="W252" s="1" t="str">
        <f>+Tabla__192.168.1.8_POSEIDONSQL_APPFVT_01_tblFillRateFechas[[#This Row],[con_ocnumero]]&amp;Tabla__192.168.1.8_POSEIDONSQL_APPFVT_01_tblFillRateFechas[[#This Row],[con_codigounico]]</f>
        <v>8696486-</v>
      </c>
      <c r="X2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3" spans="1:24" x14ac:dyDescent="0.25">
      <c r="A253">
        <v>1</v>
      </c>
      <c r="B253" t="s">
        <v>55</v>
      </c>
      <c r="C253">
        <v>8696583</v>
      </c>
      <c r="D253" t="s">
        <v>414</v>
      </c>
      <c r="E253" t="s">
        <v>423</v>
      </c>
      <c r="F253" t="s">
        <v>415</v>
      </c>
      <c r="G253">
        <v>1</v>
      </c>
      <c r="H253">
        <v>1</v>
      </c>
      <c r="I253" t="s">
        <v>423</v>
      </c>
      <c r="J253">
        <v>0</v>
      </c>
      <c r="K253" t="s">
        <v>49</v>
      </c>
      <c r="L253" s="1">
        <f>+Tabla__192.168.1.8_POSEIDONSQL_APPFVT_01_tblFillRateFechas[[#This Row],[emb_cantidad]]-Tabla__192.168.1.8_POSEIDONSQL_APPFVT_01_tblFillRateFechas[[#This Row],[dev_cantidad]]</f>
        <v>1</v>
      </c>
      <c r="M253" s="1">
        <f>+IF(Tabla__192.168.1.8_POSEIDONSQL_APPFVT_01_tblFillRateFechas[[#This Row],[Cant_Resultante]]=Tabla__192.168.1.8_POSEIDONSQL_APPFVT_01_tblFillRateFechas[[#This Row],[cant_order]],1,0)</f>
        <v>1</v>
      </c>
      <c r="N2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3" s="1">
        <f>+IF(AND(Tabla__192.168.1.8_POSEIDONSQL_APPFVT_01_tblFillRateFechas[[#This Row],[Valida Cant]]=1,Tabla__192.168.1.8_POSEIDONSQL_APPFVT_01_tblFillRateFechas[[#This Row],[Valida Fec]]=1),1,0)</f>
        <v>1</v>
      </c>
      <c r="P253" s="1">
        <f>+(Tabla__192.168.1.8_POSEIDONSQL_APPFVT_01_tblFillRateFechas[[#This Row],[Cant_Resultante]]/Tabla__192.168.1.8_POSEIDONSQL_APPFVT_01_tblFillRateFechas[[#This Row],[cant_order]])*100</f>
        <v>100</v>
      </c>
      <c r="Q2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3" s="1">
        <f>+IF(Tabla__192.168.1.8_POSEIDONSQL_APPFVT_01_tblFillRateFechas[[#This Row],[cant_order]]&gt;0,1,0)</f>
        <v>1</v>
      </c>
      <c r="V253" s="1">
        <f>+IF(Tabla__192.168.1.8_POSEIDONSQL_APPFVT_01_tblFillRateFechas[[#This Row],[Resultado]]=1,1,0)</f>
        <v>1</v>
      </c>
      <c r="W253" s="1" t="str">
        <f>+Tabla__192.168.1.8_POSEIDONSQL_APPFVT_01_tblFillRateFechas[[#This Row],[con_ocnumero]]&amp;Tabla__192.168.1.8_POSEIDONSQL_APPFVT_01_tblFillRateFechas[[#This Row],[con_codigounico]]</f>
        <v>8696583-</v>
      </c>
      <c r="X2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4" spans="1:24" x14ac:dyDescent="0.25">
      <c r="A254">
        <v>1</v>
      </c>
      <c r="B254" t="s">
        <v>55</v>
      </c>
      <c r="C254">
        <v>8696710</v>
      </c>
      <c r="D254" t="s">
        <v>414</v>
      </c>
      <c r="E254" t="s">
        <v>423</v>
      </c>
      <c r="F254" t="s">
        <v>415</v>
      </c>
      <c r="G254">
        <v>1</v>
      </c>
      <c r="H254">
        <v>1</v>
      </c>
      <c r="I254" t="s">
        <v>423</v>
      </c>
      <c r="J254">
        <v>0</v>
      </c>
      <c r="K254" t="s">
        <v>49</v>
      </c>
      <c r="L254" s="1">
        <f>+Tabla__192.168.1.8_POSEIDONSQL_APPFVT_01_tblFillRateFechas[[#This Row],[emb_cantidad]]-Tabla__192.168.1.8_POSEIDONSQL_APPFVT_01_tblFillRateFechas[[#This Row],[dev_cantidad]]</f>
        <v>1</v>
      </c>
      <c r="M254" s="1">
        <f>+IF(Tabla__192.168.1.8_POSEIDONSQL_APPFVT_01_tblFillRateFechas[[#This Row],[Cant_Resultante]]=Tabla__192.168.1.8_POSEIDONSQL_APPFVT_01_tblFillRateFechas[[#This Row],[cant_order]],1,0)</f>
        <v>1</v>
      </c>
      <c r="N2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4" s="1">
        <f>+IF(AND(Tabla__192.168.1.8_POSEIDONSQL_APPFVT_01_tblFillRateFechas[[#This Row],[Valida Cant]]=1,Tabla__192.168.1.8_POSEIDONSQL_APPFVT_01_tblFillRateFechas[[#This Row],[Valida Fec]]=1),1,0)</f>
        <v>1</v>
      </c>
      <c r="P254" s="1">
        <f>+(Tabla__192.168.1.8_POSEIDONSQL_APPFVT_01_tblFillRateFechas[[#This Row],[Cant_Resultante]]/Tabla__192.168.1.8_POSEIDONSQL_APPFVT_01_tblFillRateFechas[[#This Row],[cant_order]])*100</f>
        <v>100</v>
      </c>
      <c r="Q2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4" s="1">
        <f>+IF(Tabla__192.168.1.8_POSEIDONSQL_APPFVT_01_tblFillRateFechas[[#This Row],[cant_order]]&gt;0,1,0)</f>
        <v>1</v>
      </c>
      <c r="V254" s="1">
        <f>+IF(Tabla__192.168.1.8_POSEIDONSQL_APPFVT_01_tblFillRateFechas[[#This Row],[Resultado]]=1,1,0)</f>
        <v>1</v>
      </c>
      <c r="W254" s="1" t="str">
        <f>+Tabla__192.168.1.8_POSEIDONSQL_APPFVT_01_tblFillRateFechas[[#This Row],[con_ocnumero]]&amp;Tabla__192.168.1.8_POSEIDONSQL_APPFVT_01_tblFillRateFechas[[#This Row],[con_codigounico]]</f>
        <v>8696710-</v>
      </c>
      <c r="X2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5" spans="1:24" x14ac:dyDescent="0.25">
      <c r="A255">
        <v>1</v>
      </c>
      <c r="B255" t="s">
        <v>55</v>
      </c>
      <c r="C255">
        <v>8696717</v>
      </c>
      <c r="D255" t="s">
        <v>414</v>
      </c>
      <c r="E255" t="s">
        <v>423</v>
      </c>
      <c r="F255" t="s">
        <v>415</v>
      </c>
      <c r="G255">
        <v>2</v>
      </c>
      <c r="H255">
        <v>2</v>
      </c>
      <c r="I255" t="s">
        <v>423</v>
      </c>
      <c r="J255">
        <v>0</v>
      </c>
      <c r="K255" t="s">
        <v>49</v>
      </c>
      <c r="L255" s="1">
        <f>+Tabla__192.168.1.8_POSEIDONSQL_APPFVT_01_tblFillRateFechas[[#This Row],[emb_cantidad]]-Tabla__192.168.1.8_POSEIDONSQL_APPFVT_01_tblFillRateFechas[[#This Row],[dev_cantidad]]</f>
        <v>2</v>
      </c>
      <c r="M255" s="1">
        <f>+IF(Tabla__192.168.1.8_POSEIDONSQL_APPFVT_01_tblFillRateFechas[[#This Row],[Cant_Resultante]]=Tabla__192.168.1.8_POSEIDONSQL_APPFVT_01_tblFillRateFechas[[#This Row],[cant_order]],1,0)</f>
        <v>1</v>
      </c>
      <c r="N2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5" s="1">
        <f>+IF(AND(Tabla__192.168.1.8_POSEIDONSQL_APPFVT_01_tblFillRateFechas[[#This Row],[Valida Cant]]=1,Tabla__192.168.1.8_POSEIDONSQL_APPFVT_01_tblFillRateFechas[[#This Row],[Valida Fec]]=1),1,0)</f>
        <v>1</v>
      </c>
      <c r="P255" s="1">
        <f>+(Tabla__192.168.1.8_POSEIDONSQL_APPFVT_01_tblFillRateFechas[[#This Row],[Cant_Resultante]]/Tabla__192.168.1.8_POSEIDONSQL_APPFVT_01_tblFillRateFechas[[#This Row],[cant_order]])*100</f>
        <v>100</v>
      </c>
      <c r="Q2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2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2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5" s="1">
        <f>+IF(Tabla__192.168.1.8_POSEIDONSQL_APPFVT_01_tblFillRateFechas[[#This Row],[cant_order]]&gt;0,1,0)</f>
        <v>1</v>
      </c>
      <c r="V255" s="1">
        <f>+IF(Tabla__192.168.1.8_POSEIDONSQL_APPFVT_01_tblFillRateFechas[[#This Row],[Resultado]]=1,1,0)</f>
        <v>1</v>
      </c>
      <c r="W255" s="1" t="str">
        <f>+Tabla__192.168.1.8_POSEIDONSQL_APPFVT_01_tblFillRateFechas[[#This Row],[con_ocnumero]]&amp;Tabla__192.168.1.8_POSEIDONSQL_APPFVT_01_tblFillRateFechas[[#This Row],[con_codigounico]]</f>
        <v>8696717-</v>
      </c>
      <c r="X2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256" spans="1:24" x14ac:dyDescent="0.25">
      <c r="A256">
        <v>1</v>
      </c>
      <c r="B256" t="s">
        <v>55</v>
      </c>
      <c r="C256">
        <v>8696803</v>
      </c>
      <c r="D256" t="s">
        <v>414</v>
      </c>
      <c r="E256" t="s">
        <v>423</v>
      </c>
      <c r="F256" t="s">
        <v>415</v>
      </c>
      <c r="G256">
        <v>1</v>
      </c>
      <c r="H256">
        <v>1</v>
      </c>
      <c r="I256" t="s">
        <v>423</v>
      </c>
      <c r="J256">
        <v>0</v>
      </c>
      <c r="K256" t="s">
        <v>49</v>
      </c>
      <c r="L256" s="1">
        <f>+Tabla__192.168.1.8_POSEIDONSQL_APPFVT_01_tblFillRateFechas[[#This Row],[emb_cantidad]]-Tabla__192.168.1.8_POSEIDONSQL_APPFVT_01_tblFillRateFechas[[#This Row],[dev_cantidad]]</f>
        <v>1</v>
      </c>
      <c r="M256" s="1">
        <f>+IF(Tabla__192.168.1.8_POSEIDONSQL_APPFVT_01_tblFillRateFechas[[#This Row],[Cant_Resultante]]=Tabla__192.168.1.8_POSEIDONSQL_APPFVT_01_tblFillRateFechas[[#This Row],[cant_order]],1,0)</f>
        <v>1</v>
      </c>
      <c r="N2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6" s="1">
        <f>+IF(AND(Tabla__192.168.1.8_POSEIDONSQL_APPFVT_01_tblFillRateFechas[[#This Row],[Valida Cant]]=1,Tabla__192.168.1.8_POSEIDONSQL_APPFVT_01_tblFillRateFechas[[#This Row],[Valida Fec]]=1),1,0)</f>
        <v>1</v>
      </c>
      <c r="P256" s="1">
        <f>+(Tabla__192.168.1.8_POSEIDONSQL_APPFVT_01_tblFillRateFechas[[#This Row],[Cant_Resultante]]/Tabla__192.168.1.8_POSEIDONSQL_APPFVT_01_tblFillRateFechas[[#This Row],[cant_order]])*100</f>
        <v>100</v>
      </c>
      <c r="Q2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6" s="1">
        <f>+IF(Tabla__192.168.1.8_POSEIDONSQL_APPFVT_01_tblFillRateFechas[[#This Row],[cant_order]]&gt;0,1,0)</f>
        <v>1</v>
      </c>
      <c r="V256" s="1">
        <f>+IF(Tabla__192.168.1.8_POSEIDONSQL_APPFVT_01_tblFillRateFechas[[#This Row],[Resultado]]=1,1,0)</f>
        <v>1</v>
      </c>
      <c r="W256" s="1" t="str">
        <f>+Tabla__192.168.1.8_POSEIDONSQL_APPFVT_01_tblFillRateFechas[[#This Row],[con_ocnumero]]&amp;Tabla__192.168.1.8_POSEIDONSQL_APPFVT_01_tblFillRateFechas[[#This Row],[con_codigounico]]</f>
        <v>8696803-</v>
      </c>
      <c r="X2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7" spans="1:24" x14ac:dyDescent="0.25">
      <c r="A257">
        <v>1</v>
      </c>
      <c r="B257" t="s">
        <v>55</v>
      </c>
      <c r="C257">
        <v>8696850</v>
      </c>
      <c r="D257" t="s">
        <v>414</v>
      </c>
      <c r="E257" t="s">
        <v>423</v>
      </c>
      <c r="F257" t="s">
        <v>415</v>
      </c>
      <c r="G257">
        <v>1</v>
      </c>
      <c r="H257">
        <v>1</v>
      </c>
      <c r="I257" t="s">
        <v>423</v>
      </c>
      <c r="J257">
        <v>0</v>
      </c>
      <c r="K257" t="s">
        <v>49</v>
      </c>
      <c r="L257" s="1">
        <f>+Tabla__192.168.1.8_POSEIDONSQL_APPFVT_01_tblFillRateFechas[[#This Row],[emb_cantidad]]-Tabla__192.168.1.8_POSEIDONSQL_APPFVT_01_tblFillRateFechas[[#This Row],[dev_cantidad]]</f>
        <v>1</v>
      </c>
      <c r="M257" s="1">
        <f>+IF(Tabla__192.168.1.8_POSEIDONSQL_APPFVT_01_tblFillRateFechas[[#This Row],[Cant_Resultante]]=Tabla__192.168.1.8_POSEIDONSQL_APPFVT_01_tblFillRateFechas[[#This Row],[cant_order]],1,0)</f>
        <v>1</v>
      </c>
      <c r="N2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7" s="1">
        <f>+IF(AND(Tabla__192.168.1.8_POSEIDONSQL_APPFVT_01_tblFillRateFechas[[#This Row],[Valida Cant]]=1,Tabla__192.168.1.8_POSEIDONSQL_APPFVT_01_tblFillRateFechas[[#This Row],[Valida Fec]]=1),1,0)</f>
        <v>1</v>
      </c>
      <c r="P257" s="1">
        <f>+(Tabla__192.168.1.8_POSEIDONSQL_APPFVT_01_tblFillRateFechas[[#This Row],[Cant_Resultante]]/Tabla__192.168.1.8_POSEIDONSQL_APPFVT_01_tblFillRateFechas[[#This Row],[cant_order]])*100</f>
        <v>100</v>
      </c>
      <c r="Q2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7" s="1">
        <f>+IF(Tabla__192.168.1.8_POSEIDONSQL_APPFVT_01_tblFillRateFechas[[#This Row],[cant_order]]&gt;0,1,0)</f>
        <v>1</v>
      </c>
      <c r="V257" s="1">
        <f>+IF(Tabla__192.168.1.8_POSEIDONSQL_APPFVT_01_tblFillRateFechas[[#This Row],[Resultado]]=1,1,0)</f>
        <v>1</v>
      </c>
      <c r="W257" s="1" t="str">
        <f>+Tabla__192.168.1.8_POSEIDONSQL_APPFVT_01_tblFillRateFechas[[#This Row],[con_ocnumero]]&amp;Tabla__192.168.1.8_POSEIDONSQL_APPFVT_01_tblFillRateFechas[[#This Row],[con_codigounico]]</f>
        <v>8696850-</v>
      </c>
      <c r="X2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8" spans="1:24" x14ac:dyDescent="0.25">
      <c r="A258">
        <v>1</v>
      </c>
      <c r="B258" t="s">
        <v>55</v>
      </c>
      <c r="C258">
        <v>8696869</v>
      </c>
      <c r="D258" t="s">
        <v>414</v>
      </c>
      <c r="E258" t="s">
        <v>423</v>
      </c>
      <c r="F258" t="s">
        <v>415</v>
      </c>
      <c r="G258">
        <v>1</v>
      </c>
      <c r="H258">
        <v>1</v>
      </c>
      <c r="I258" t="s">
        <v>423</v>
      </c>
      <c r="J258">
        <v>0</v>
      </c>
      <c r="K258" t="s">
        <v>49</v>
      </c>
      <c r="L258" s="1">
        <f>+Tabla__192.168.1.8_POSEIDONSQL_APPFVT_01_tblFillRateFechas[[#This Row],[emb_cantidad]]-Tabla__192.168.1.8_POSEIDONSQL_APPFVT_01_tblFillRateFechas[[#This Row],[dev_cantidad]]</f>
        <v>1</v>
      </c>
      <c r="M258" s="1">
        <f>+IF(Tabla__192.168.1.8_POSEIDONSQL_APPFVT_01_tblFillRateFechas[[#This Row],[Cant_Resultante]]=Tabla__192.168.1.8_POSEIDONSQL_APPFVT_01_tblFillRateFechas[[#This Row],[cant_order]],1,0)</f>
        <v>1</v>
      </c>
      <c r="N2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8" s="1">
        <f>+IF(AND(Tabla__192.168.1.8_POSEIDONSQL_APPFVT_01_tblFillRateFechas[[#This Row],[Valida Cant]]=1,Tabla__192.168.1.8_POSEIDONSQL_APPFVT_01_tblFillRateFechas[[#This Row],[Valida Fec]]=1),1,0)</f>
        <v>1</v>
      </c>
      <c r="P258" s="1">
        <f>+(Tabla__192.168.1.8_POSEIDONSQL_APPFVT_01_tblFillRateFechas[[#This Row],[Cant_Resultante]]/Tabla__192.168.1.8_POSEIDONSQL_APPFVT_01_tblFillRateFechas[[#This Row],[cant_order]])*100</f>
        <v>100</v>
      </c>
      <c r="Q2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8" s="1">
        <f>+IF(Tabla__192.168.1.8_POSEIDONSQL_APPFVT_01_tblFillRateFechas[[#This Row],[cant_order]]&gt;0,1,0)</f>
        <v>1</v>
      </c>
      <c r="V258" s="1">
        <f>+IF(Tabla__192.168.1.8_POSEIDONSQL_APPFVT_01_tblFillRateFechas[[#This Row],[Resultado]]=1,1,0)</f>
        <v>1</v>
      </c>
      <c r="W258" s="1" t="str">
        <f>+Tabla__192.168.1.8_POSEIDONSQL_APPFVT_01_tblFillRateFechas[[#This Row],[con_ocnumero]]&amp;Tabla__192.168.1.8_POSEIDONSQL_APPFVT_01_tblFillRateFechas[[#This Row],[con_codigounico]]</f>
        <v>8696869-</v>
      </c>
      <c r="X2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59" spans="1:24" x14ac:dyDescent="0.25">
      <c r="A259">
        <v>1</v>
      </c>
      <c r="B259" t="s">
        <v>55</v>
      </c>
      <c r="C259">
        <v>8696968</v>
      </c>
      <c r="D259" t="s">
        <v>1984</v>
      </c>
      <c r="E259" t="s">
        <v>423</v>
      </c>
      <c r="F259" t="s">
        <v>415</v>
      </c>
      <c r="G259">
        <v>1</v>
      </c>
      <c r="H259">
        <v>1</v>
      </c>
      <c r="I259" t="s">
        <v>423</v>
      </c>
      <c r="J259">
        <v>0</v>
      </c>
      <c r="K259" t="s">
        <v>49</v>
      </c>
      <c r="L259" s="1">
        <f>+Tabla__192.168.1.8_POSEIDONSQL_APPFVT_01_tblFillRateFechas[[#This Row],[emb_cantidad]]-Tabla__192.168.1.8_POSEIDONSQL_APPFVT_01_tblFillRateFechas[[#This Row],[dev_cantidad]]</f>
        <v>1</v>
      </c>
      <c r="M259" s="1">
        <f>+IF(Tabla__192.168.1.8_POSEIDONSQL_APPFVT_01_tblFillRateFechas[[#This Row],[Cant_Resultante]]=Tabla__192.168.1.8_POSEIDONSQL_APPFVT_01_tblFillRateFechas[[#This Row],[cant_order]],1,0)</f>
        <v>1</v>
      </c>
      <c r="N2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59" s="1">
        <f>+IF(AND(Tabla__192.168.1.8_POSEIDONSQL_APPFVT_01_tblFillRateFechas[[#This Row],[Valida Cant]]=1,Tabla__192.168.1.8_POSEIDONSQL_APPFVT_01_tblFillRateFechas[[#This Row],[Valida Fec]]=1),1,0)</f>
        <v>1</v>
      </c>
      <c r="P259" s="1">
        <f>+(Tabla__192.168.1.8_POSEIDONSQL_APPFVT_01_tblFillRateFechas[[#This Row],[Cant_Resultante]]/Tabla__192.168.1.8_POSEIDONSQL_APPFVT_01_tblFillRateFechas[[#This Row],[cant_order]])*100</f>
        <v>100</v>
      </c>
      <c r="Q2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59" s="1">
        <f>+IF(Tabla__192.168.1.8_POSEIDONSQL_APPFVT_01_tblFillRateFechas[[#This Row],[cant_order]]&gt;0,1,0)</f>
        <v>1</v>
      </c>
      <c r="V259" s="1">
        <f>+IF(Tabla__192.168.1.8_POSEIDONSQL_APPFVT_01_tblFillRateFechas[[#This Row],[Resultado]]=1,1,0)</f>
        <v>1</v>
      </c>
      <c r="W259" s="1" t="str">
        <f>+Tabla__192.168.1.8_POSEIDONSQL_APPFVT_01_tblFillRateFechas[[#This Row],[con_ocnumero]]&amp;Tabla__192.168.1.8_POSEIDONSQL_APPFVT_01_tblFillRateFechas[[#This Row],[con_codigounico]]</f>
        <v>8696968-</v>
      </c>
      <c r="X2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0" spans="1:24" x14ac:dyDescent="0.25">
      <c r="A260">
        <v>1</v>
      </c>
      <c r="B260" t="s">
        <v>55</v>
      </c>
      <c r="C260">
        <v>8697026</v>
      </c>
      <c r="D260" t="s">
        <v>1985</v>
      </c>
      <c r="E260" t="s">
        <v>423</v>
      </c>
      <c r="F260" t="s">
        <v>415</v>
      </c>
      <c r="G260">
        <v>1</v>
      </c>
      <c r="H260">
        <v>1</v>
      </c>
      <c r="I260" t="s">
        <v>423</v>
      </c>
      <c r="J260">
        <v>0</v>
      </c>
      <c r="K260" t="s">
        <v>49</v>
      </c>
      <c r="L260" s="1">
        <f>+Tabla__192.168.1.8_POSEIDONSQL_APPFVT_01_tblFillRateFechas[[#This Row],[emb_cantidad]]-Tabla__192.168.1.8_POSEIDONSQL_APPFVT_01_tblFillRateFechas[[#This Row],[dev_cantidad]]</f>
        <v>1</v>
      </c>
      <c r="M260" s="1">
        <f>+IF(Tabla__192.168.1.8_POSEIDONSQL_APPFVT_01_tblFillRateFechas[[#This Row],[Cant_Resultante]]=Tabla__192.168.1.8_POSEIDONSQL_APPFVT_01_tblFillRateFechas[[#This Row],[cant_order]],1,0)</f>
        <v>1</v>
      </c>
      <c r="N2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0" s="1">
        <f>+IF(AND(Tabla__192.168.1.8_POSEIDONSQL_APPFVT_01_tblFillRateFechas[[#This Row],[Valida Cant]]=1,Tabla__192.168.1.8_POSEIDONSQL_APPFVT_01_tblFillRateFechas[[#This Row],[Valida Fec]]=1),1,0)</f>
        <v>1</v>
      </c>
      <c r="P260" s="1">
        <f>+(Tabla__192.168.1.8_POSEIDONSQL_APPFVT_01_tblFillRateFechas[[#This Row],[Cant_Resultante]]/Tabla__192.168.1.8_POSEIDONSQL_APPFVT_01_tblFillRateFechas[[#This Row],[cant_order]])*100</f>
        <v>100</v>
      </c>
      <c r="Q2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0" s="1">
        <f>+IF(Tabla__192.168.1.8_POSEIDONSQL_APPFVT_01_tblFillRateFechas[[#This Row],[cant_order]]&gt;0,1,0)</f>
        <v>1</v>
      </c>
      <c r="V260" s="1">
        <f>+IF(Tabla__192.168.1.8_POSEIDONSQL_APPFVT_01_tblFillRateFechas[[#This Row],[Resultado]]=1,1,0)</f>
        <v>1</v>
      </c>
      <c r="W260" s="1" t="str">
        <f>+Tabla__192.168.1.8_POSEIDONSQL_APPFVT_01_tblFillRateFechas[[#This Row],[con_ocnumero]]&amp;Tabla__192.168.1.8_POSEIDONSQL_APPFVT_01_tblFillRateFechas[[#This Row],[con_codigounico]]</f>
        <v>8697026-</v>
      </c>
      <c r="X2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1" spans="1:24" x14ac:dyDescent="0.25">
      <c r="A261">
        <v>1</v>
      </c>
      <c r="B261" t="s">
        <v>55</v>
      </c>
      <c r="C261">
        <v>8697121</v>
      </c>
      <c r="D261" t="s">
        <v>1985</v>
      </c>
      <c r="E261" t="s">
        <v>423</v>
      </c>
      <c r="F261" t="s">
        <v>422</v>
      </c>
      <c r="G261">
        <v>1</v>
      </c>
      <c r="H261">
        <v>1</v>
      </c>
      <c r="I261" t="s">
        <v>423</v>
      </c>
      <c r="J261">
        <v>0</v>
      </c>
      <c r="K261" t="s">
        <v>49</v>
      </c>
      <c r="L261" s="1">
        <f>+Tabla__192.168.1.8_POSEIDONSQL_APPFVT_01_tblFillRateFechas[[#This Row],[emb_cantidad]]-Tabla__192.168.1.8_POSEIDONSQL_APPFVT_01_tblFillRateFechas[[#This Row],[dev_cantidad]]</f>
        <v>1</v>
      </c>
      <c r="M261" s="1">
        <f>+IF(Tabla__192.168.1.8_POSEIDONSQL_APPFVT_01_tblFillRateFechas[[#This Row],[Cant_Resultante]]=Tabla__192.168.1.8_POSEIDONSQL_APPFVT_01_tblFillRateFechas[[#This Row],[cant_order]],1,0)</f>
        <v>1</v>
      </c>
      <c r="N2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1" s="1">
        <f>+IF(AND(Tabla__192.168.1.8_POSEIDONSQL_APPFVT_01_tblFillRateFechas[[#This Row],[Valida Cant]]=1,Tabla__192.168.1.8_POSEIDONSQL_APPFVT_01_tblFillRateFechas[[#This Row],[Valida Fec]]=1),1,0)</f>
        <v>1</v>
      </c>
      <c r="P261" s="1">
        <f>+(Tabla__192.168.1.8_POSEIDONSQL_APPFVT_01_tblFillRateFechas[[#This Row],[Cant_Resultante]]/Tabla__192.168.1.8_POSEIDONSQL_APPFVT_01_tblFillRateFechas[[#This Row],[cant_order]])*100</f>
        <v>100</v>
      </c>
      <c r="Q2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1" s="1">
        <f>+IF(Tabla__192.168.1.8_POSEIDONSQL_APPFVT_01_tblFillRateFechas[[#This Row],[cant_order]]&gt;0,1,0)</f>
        <v>1</v>
      </c>
      <c r="V261" s="1">
        <f>+IF(Tabla__192.168.1.8_POSEIDONSQL_APPFVT_01_tblFillRateFechas[[#This Row],[Resultado]]=1,1,0)</f>
        <v>1</v>
      </c>
      <c r="W261" s="1" t="str">
        <f>+Tabla__192.168.1.8_POSEIDONSQL_APPFVT_01_tblFillRateFechas[[#This Row],[con_ocnumero]]&amp;Tabla__192.168.1.8_POSEIDONSQL_APPFVT_01_tblFillRateFechas[[#This Row],[con_codigounico]]</f>
        <v>8697121-</v>
      </c>
      <c r="X2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2" spans="1:24" x14ac:dyDescent="0.25">
      <c r="A262">
        <v>1</v>
      </c>
      <c r="B262" t="s">
        <v>55</v>
      </c>
      <c r="C262">
        <v>8697449</v>
      </c>
      <c r="D262" t="s">
        <v>415</v>
      </c>
      <c r="E262" t="s">
        <v>423</v>
      </c>
      <c r="F262" t="s">
        <v>422</v>
      </c>
      <c r="G262">
        <v>1</v>
      </c>
      <c r="H262">
        <v>1</v>
      </c>
      <c r="I262" t="s">
        <v>423</v>
      </c>
      <c r="J262">
        <v>0</v>
      </c>
      <c r="K262" t="s">
        <v>49</v>
      </c>
      <c r="L262" s="1">
        <f>+Tabla__192.168.1.8_POSEIDONSQL_APPFVT_01_tblFillRateFechas[[#This Row],[emb_cantidad]]-Tabla__192.168.1.8_POSEIDONSQL_APPFVT_01_tblFillRateFechas[[#This Row],[dev_cantidad]]</f>
        <v>1</v>
      </c>
      <c r="M262" s="1">
        <f>+IF(Tabla__192.168.1.8_POSEIDONSQL_APPFVT_01_tblFillRateFechas[[#This Row],[Cant_Resultante]]=Tabla__192.168.1.8_POSEIDONSQL_APPFVT_01_tblFillRateFechas[[#This Row],[cant_order]],1,0)</f>
        <v>1</v>
      </c>
      <c r="N2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2" s="1">
        <f>+IF(AND(Tabla__192.168.1.8_POSEIDONSQL_APPFVT_01_tblFillRateFechas[[#This Row],[Valida Cant]]=1,Tabla__192.168.1.8_POSEIDONSQL_APPFVT_01_tblFillRateFechas[[#This Row],[Valida Fec]]=1),1,0)</f>
        <v>1</v>
      </c>
      <c r="P262" s="1">
        <f>+(Tabla__192.168.1.8_POSEIDONSQL_APPFVT_01_tblFillRateFechas[[#This Row],[Cant_Resultante]]/Tabla__192.168.1.8_POSEIDONSQL_APPFVT_01_tblFillRateFechas[[#This Row],[cant_order]])*100</f>
        <v>100</v>
      </c>
      <c r="Q2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2" s="1">
        <f>+IF(Tabla__192.168.1.8_POSEIDONSQL_APPFVT_01_tblFillRateFechas[[#This Row],[cant_order]]&gt;0,1,0)</f>
        <v>1</v>
      </c>
      <c r="V262" s="1">
        <f>+IF(Tabla__192.168.1.8_POSEIDONSQL_APPFVT_01_tblFillRateFechas[[#This Row],[Resultado]]=1,1,0)</f>
        <v>1</v>
      </c>
      <c r="W262" s="1" t="str">
        <f>+Tabla__192.168.1.8_POSEIDONSQL_APPFVT_01_tblFillRateFechas[[#This Row],[con_ocnumero]]&amp;Tabla__192.168.1.8_POSEIDONSQL_APPFVT_01_tblFillRateFechas[[#This Row],[con_codigounico]]</f>
        <v>8697449-</v>
      </c>
      <c r="X2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3" spans="1:24" x14ac:dyDescent="0.25">
      <c r="A263">
        <v>1</v>
      </c>
      <c r="B263" t="s">
        <v>55</v>
      </c>
      <c r="C263">
        <v>8697480</v>
      </c>
      <c r="D263" t="s">
        <v>415</v>
      </c>
      <c r="E263" t="s">
        <v>423</v>
      </c>
      <c r="F263" t="s">
        <v>422</v>
      </c>
      <c r="G263">
        <v>1</v>
      </c>
      <c r="H263">
        <v>1</v>
      </c>
      <c r="I263" t="s">
        <v>423</v>
      </c>
      <c r="J263">
        <v>0</v>
      </c>
      <c r="K263" t="s">
        <v>49</v>
      </c>
      <c r="L263" s="1">
        <f>+Tabla__192.168.1.8_POSEIDONSQL_APPFVT_01_tblFillRateFechas[[#This Row],[emb_cantidad]]-Tabla__192.168.1.8_POSEIDONSQL_APPFVT_01_tblFillRateFechas[[#This Row],[dev_cantidad]]</f>
        <v>1</v>
      </c>
      <c r="M263" s="1">
        <f>+IF(Tabla__192.168.1.8_POSEIDONSQL_APPFVT_01_tblFillRateFechas[[#This Row],[Cant_Resultante]]=Tabla__192.168.1.8_POSEIDONSQL_APPFVT_01_tblFillRateFechas[[#This Row],[cant_order]],1,0)</f>
        <v>1</v>
      </c>
      <c r="N2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3" s="1">
        <f>+IF(AND(Tabla__192.168.1.8_POSEIDONSQL_APPFVT_01_tblFillRateFechas[[#This Row],[Valida Cant]]=1,Tabla__192.168.1.8_POSEIDONSQL_APPFVT_01_tblFillRateFechas[[#This Row],[Valida Fec]]=1),1,0)</f>
        <v>1</v>
      </c>
      <c r="P263" s="1">
        <f>+(Tabla__192.168.1.8_POSEIDONSQL_APPFVT_01_tblFillRateFechas[[#This Row],[Cant_Resultante]]/Tabla__192.168.1.8_POSEIDONSQL_APPFVT_01_tblFillRateFechas[[#This Row],[cant_order]])*100</f>
        <v>100</v>
      </c>
      <c r="Q2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3" s="1">
        <f>+IF(Tabla__192.168.1.8_POSEIDONSQL_APPFVT_01_tblFillRateFechas[[#This Row],[cant_order]]&gt;0,1,0)</f>
        <v>1</v>
      </c>
      <c r="V263" s="1">
        <f>+IF(Tabla__192.168.1.8_POSEIDONSQL_APPFVT_01_tblFillRateFechas[[#This Row],[Resultado]]=1,1,0)</f>
        <v>1</v>
      </c>
      <c r="W263" s="1" t="str">
        <f>+Tabla__192.168.1.8_POSEIDONSQL_APPFVT_01_tblFillRateFechas[[#This Row],[con_ocnumero]]&amp;Tabla__192.168.1.8_POSEIDONSQL_APPFVT_01_tblFillRateFechas[[#This Row],[con_codigounico]]</f>
        <v>8697480-</v>
      </c>
      <c r="X2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4" spans="1:24" x14ac:dyDescent="0.25">
      <c r="A264">
        <v>1</v>
      </c>
      <c r="B264" t="s">
        <v>55</v>
      </c>
      <c r="C264">
        <v>8698177</v>
      </c>
      <c r="D264" t="s">
        <v>415</v>
      </c>
      <c r="E264" t="s">
        <v>420</v>
      </c>
      <c r="F264" t="s">
        <v>422</v>
      </c>
      <c r="G264">
        <v>48</v>
      </c>
      <c r="H264">
        <v>48</v>
      </c>
      <c r="I264" t="s">
        <v>420</v>
      </c>
      <c r="J264">
        <v>0</v>
      </c>
      <c r="K264" t="s">
        <v>49</v>
      </c>
      <c r="L264" s="1">
        <f>+Tabla__192.168.1.8_POSEIDONSQL_APPFVT_01_tblFillRateFechas[[#This Row],[emb_cantidad]]-Tabla__192.168.1.8_POSEIDONSQL_APPFVT_01_tblFillRateFechas[[#This Row],[dev_cantidad]]</f>
        <v>48</v>
      </c>
      <c r="M264" s="1">
        <f>+IF(Tabla__192.168.1.8_POSEIDONSQL_APPFVT_01_tblFillRateFechas[[#This Row],[Cant_Resultante]]=Tabla__192.168.1.8_POSEIDONSQL_APPFVT_01_tblFillRateFechas[[#This Row],[cant_order]],1,0)</f>
        <v>1</v>
      </c>
      <c r="N2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4" s="1">
        <f>+IF(AND(Tabla__192.168.1.8_POSEIDONSQL_APPFVT_01_tblFillRateFechas[[#This Row],[Valida Cant]]=1,Tabla__192.168.1.8_POSEIDONSQL_APPFVT_01_tblFillRateFechas[[#This Row],[Valida Fec]]=1),1,0)</f>
        <v>1</v>
      </c>
      <c r="P264" s="1">
        <f>+(Tabla__192.168.1.8_POSEIDONSQL_APPFVT_01_tblFillRateFechas[[#This Row],[Cant_Resultante]]/Tabla__192.168.1.8_POSEIDONSQL_APPFVT_01_tblFillRateFechas[[#This Row],[cant_order]])*100</f>
        <v>100</v>
      </c>
      <c r="Q2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48</v>
      </c>
      <c r="R2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48</v>
      </c>
      <c r="T2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4" s="1">
        <f>+IF(Tabla__192.168.1.8_POSEIDONSQL_APPFVT_01_tblFillRateFechas[[#This Row],[cant_order]]&gt;0,1,0)</f>
        <v>1</v>
      </c>
      <c r="V264" s="1">
        <f>+IF(Tabla__192.168.1.8_POSEIDONSQL_APPFVT_01_tblFillRateFechas[[#This Row],[Resultado]]=1,1,0)</f>
        <v>1</v>
      </c>
      <c r="W264" s="1" t="str">
        <f>+Tabla__192.168.1.8_POSEIDONSQL_APPFVT_01_tblFillRateFechas[[#This Row],[con_ocnumero]]&amp;Tabla__192.168.1.8_POSEIDONSQL_APPFVT_01_tblFillRateFechas[[#This Row],[con_codigounico]]</f>
        <v>8698177-</v>
      </c>
      <c r="X2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48</v>
      </c>
    </row>
    <row r="265" spans="1:24" x14ac:dyDescent="0.25">
      <c r="A265">
        <v>1</v>
      </c>
      <c r="B265" t="s">
        <v>55</v>
      </c>
      <c r="C265">
        <v>8698329</v>
      </c>
      <c r="D265" t="s">
        <v>415</v>
      </c>
      <c r="E265" t="s">
        <v>423</v>
      </c>
      <c r="F265" t="s">
        <v>422</v>
      </c>
      <c r="G265">
        <v>1</v>
      </c>
      <c r="H265">
        <v>1</v>
      </c>
      <c r="I265" t="s">
        <v>423</v>
      </c>
      <c r="J265">
        <v>0</v>
      </c>
      <c r="K265" t="s">
        <v>49</v>
      </c>
      <c r="L265" s="1">
        <f>+Tabla__192.168.1.8_POSEIDONSQL_APPFVT_01_tblFillRateFechas[[#This Row],[emb_cantidad]]-Tabla__192.168.1.8_POSEIDONSQL_APPFVT_01_tblFillRateFechas[[#This Row],[dev_cantidad]]</f>
        <v>1</v>
      </c>
      <c r="M265" s="1">
        <f>+IF(Tabla__192.168.1.8_POSEIDONSQL_APPFVT_01_tblFillRateFechas[[#This Row],[Cant_Resultante]]=Tabla__192.168.1.8_POSEIDONSQL_APPFVT_01_tblFillRateFechas[[#This Row],[cant_order]],1,0)</f>
        <v>1</v>
      </c>
      <c r="N2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5" s="1">
        <f>+IF(AND(Tabla__192.168.1.8_POSEIDONSQL_APPFVT_01_tblFillRateFechas[[#This Row],[Valida Cant]]=1,Tabla__192.168.1.8_POSEIDONSQL_APPFVT_01_tblFillRateFechas[[#This Row],[Valida Fec]]=1),1,0)</f>
        <v>1</v>
      </c>
      <c r="P265" s="1">
        <f>+(Tabla__192.168.1.8_POSEIDONSQL_APPFVT_01_tblFillRateFechas[[#This Row],[Cant_Resultante]]/Tabla__192.168.1.8_POSEIDONSQL_APPFVT_01_tblFillRateFechas[[#This Row],[cant_order]])*100</f>
        <v>100</v>
      </c>
      <c r="Q2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5" s="1">
        <f>+IF(Tabla__192.168.1.8_POSEIDONSQL_APPFVT_01_tblFillRateFechas[[#This Row],[cant_order]]&gt;0,1,0)</f>
        <v>1</v>
      </c>
      <c r="V265" s="1">
        <f>+IF(Tabla__192.168.1.8_POSEIDONSQL_APPFVT_01_tblFillRateFechas[[#This Row],[Resultado]]=1,1,0)</f>
        <v>1</v>
      </c>
      <c r="W265" s="1" t="str">
        <f>+Tabla__192.168.1.8_POSEIDONSQL_APPFVT_01_tblFillRateFechas[[#This Row],[con_ocnumero]]&amp;Tabla__192.168.1.8_POSEIDONSQL_APPFVT_01_tblFillRateFechas[[#This Row],[con_codigounico]]</f>
        <v>8698329-</v>
      </c>
      <c r="X2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6" spans="1:24" x14ac:dyDescent="0.25">
      <c r="A266">
        <v>1</v>
      </c>
      <c r="B266" t="s">
        <v>55</v>
      </c>
      <c r="C266">
        <v>8698686</v>
      </c>
      <c r="D266" t="s">
        <v>415</v>
      </c>
      <c r="E266" t="s">
        <v>423</v>
      </c>
      <c r="F266" t="s">
        <v>422</v>
      </c>
      <c r="G266">
        <v>1</v>
      </c>
      <c r="H266">
        <v>1</v>
      </c>
      <c r="I266" t="s">
        <v>423</v>
      </c>
      <c r="J266">
        <v>0</v>
      </c>
      <c r="K266" t="s">
        <v>49</v>
      </c>
      <c r="L266" s="1">
        <f>+Tabla__192.168.1.8_POSEIDONSQL_APPFVT_01_tblFillRateFechas[[#This Row],[emb_cantidad]]-Tabla__192.168.1.8_POSEIDONSQL_APPFVT_01_tblFillRateFechas[[#This Row],[dev_cantidad]]</f>
        <v>1</v>
      </c>
      <c r="M266" s="1">
        <f>+IF(Tabla__192.168.1.8_POSEIDONSQL_APPFVT_01_tblFillRateFechas[[#This Row],[Cant_Resultante]]=Tabla__192.168.1.8_POSEIDONSQL_APPFVT_01_tblFillRateFechas[[#This Row],[cant_order]],1,0)</f>
        <v>1</v>
      </c>
      <c r="N2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6" s="1">
        <f>+IF(AND(Tabla__192.168.1.8_POSEIDONSQL_APPFVT_01_tblFillRateFechas[[#This Row],[Valida Cant]]=1,Tabla__192.168.1.8_POSEIDONSQL_APPFVT_01_tblFillRateFechas[[#This Row],[Valida Fec]]=1),1,0)</f>
        <v>1</v>
      </c>
      <c r="P266" s="1">
        <f>+(Tabla__192.168.1.8_POSEIDONSQL_APPFVT_01_tblFillRateFechas[[#This Row],[Cant_Resultante]]/Tabla__192.168.1.8_POSEIDONSQL_APPFVT_01_tblFillRateFechas[[#This Row],[cant_order]])*100</f>
        <v>100</v>
      </c>
      <c r="Q2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6" s="1">
        <f>+IF(Tabla__192.168.1.8_POSEIDONSQL_APPFVT_01_tblFillRateFechas[[#This Row],[cant_order]]&gt;0,1,0)</f>
        <v>1</v>
      </c>
      <c r="V266" s="1">
        <f>+IF(Tabla__192.168.1.8_POSEIDONSQL_APPFVT_01_tblFillRateFechas[[#This Row],[Resultado]]=1,1,0)</f>
        <v>1</v>
      </c>
      <c r="W266" s="1" t="str">
        <f>+Tabla__192.168.1.8_POSEIDONSQL_APPFVT_01_tblFillRateFechas[[#This Row],[con_ocnumero]]&amp;Tabla__192.168.1.8_POSEIDONSQL_APPFVT_01_tblFillRateFechas[[#This Row],[con_codigounico]]</f>
        <v>8698686-</v>
      </c>
      <c r="X2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7" spans="1:24" x14ac:dyDescent="0.25">
      <c r="A267">
        <v>1</v>
      </c>
      <c r="B267" t="s">
        <v>55</v>
      </c>
      <c r="C267">
        <v>8698983</v>
      </c>
      <c r="D267" t="s">
        <v>415</v>
      </c>
      <c r="E267" t="s">
        <v>423</v>
      </c>
      <c r="F267" t="s">
        <v>422</v>
      </c>
      <c r="G267">
        <v>1</v>
      </c>
      <c r="H267">
        <v>1</v>
      </c>
      <c r="I267" t="s">
        <v>423</v>
      </c>
      <c r="J267">
        <v>0</v>
      </c>
      <c r="K267" t="s">
        <v>49</v>
      </c>
      <c r="L267" s="1">
        <f>+Tabla__192.168.1.8_POSEIDONSQL_APPFVT_01_tblFillRateFechas[[#This Row],[emb_cantidad]]-Tabla__192.168.1.8_POSEIDONSQL_APPFVT_01_tblFillRateFechas[[#This Row],[dev_cantidad]]</f>
        <v>1</v>
      </c>
      <c r="M267" s="1">
        <f>+IF(Tabla__192.168.1.8_POSEIDONSQL_APPFVT_01_tblFillRateFechas[[#This Row],[Cant_Resultante]]=Tabla__192.168.1.8_POSEIDONSQL_APPFVT_01_tblFillRateFechas[[#This Row],[cant_order]],1,0)</f>
        <v>1</v>
      </c>
      <c r="N2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7" s="1">
        <f>+IF(AND(Tabla__192.168.1.8_POSEIDONSQL_APPFVT_01_tblFillRateFechas[[#This Row],[Valida Cant]]=1,Tabla__192.168.1.8_POSEIDONSQL_APPFVT_01_tblFillRateFechas[[#This Row],[Valida Fec]]=1),1,0)</f>
        <v>1</v>
      </c>
      <c r="P267" s="1">
        <f>+(Tabla__192.168.1.8_POSEIDONSQL_APPFVT_01_tblFillRateFechas[[#This Row],[Cant_Resultante]]/Tabla__192.168.1.8_POSEIDONSQL_APPFVT_01_tblFillRateFechas[[#This Row],[cant_order]])*100</f>
        <v>100</v>
      </c>
      <c r="Q2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7" s="1">
        <f>+IF(Tabla__192.168.1.8_POSEIDONSQL_APPFVT_01_tblFillRateFechas[[#This Row],[cant_order]]&gt;0,1,0)</f>
        <v>1</v>
      </c>
      <c r="V267" s="1">
        <f>+IF(Tabla__192.168.1.8_POSEIDONSQL_APPFVT_01_tblFillRateFechas[[#This Row],[Resultado]]=1,1,0)</f>
        <v>1</v>
      </c>
      <c r="W267" s="1" t="str">
        <f>+Tabla__192.168.1.8_POSEIDONSQL_APPFVT_01_tblFillRateFechas[[#This Row],[con_ocnumero]]&amp;Tabla__192.168.1.8_POSEIDONSQL_APPFVT_01_tblFillRateFechas[[#This Row],[con_codigounico]]</f>
        <v>8698983-</v>
      </c>
      <c r="X2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68" spans="1:24" x14ac:dyDescent="0.25">
      <c r="A268">
        <v>1</v>
      </c>
      <c r="B268" t="s">
        <v>55</v>
      </c>
      <c r="C268">
        <v>8698989</v>
      </c>
      <c r="D268" t="s">
        <v>415</v>
      </c>
      <c r="E268" t="s">
        <v>423</v>
      </c>
      <c r="F268" t="s">
        <v>422</v>
      </c>
      <c r="G268">
        <v>1</v>
      </c>
      <c r="H268">
        <v>0</v>
      </c>
      <c r="I268" t="s">
        <v>12</v>
      </c>
      <c r="J268">
        <v>0</v>
      </c>
      <c r="K268" t="s">
        <v>49</v>
      </c>
      <c r="L268" s="1">
        <f>+Tabla__192.168.1.8_POSEIDONSQL_APPFVT_01_tblFillRateFechas[[#This Row],[emb_cantidad]]-Tabla__192.168.1.8_POSEIDONSQL_APPFVT_01_tblFillRateFechas[[#This Row],[dev_cantidad]]</f>
        <v>0</v>
      </c>
      <c r="M268" s="1">
        <f>+IF(Tabla__192.168.1.8_POSEIDONSQL_APPFVT_01_tblFillRateFechas[[#This Row],[Cant_Resultante]]=Tabla__192.168.1.8_POSEIDONSQL_APPFVT_01_tblFillRateFechas[[#This Row],[cant_order]],1,0)</f>
        <v>0</v>
      </c>
      <c r="N2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68" s="1">
        <f>+IF(AND(Tabla__192.168.1.8_POSEIDONSQL_APPFVT_01_tblFillRateFechas[[#This Row],[Valida Cant]]=1,Tabla__192.168.1.8_POSEIDONSQL_APPFVT_01_tblFillRateFechas[[#This Row],[Valida Fec]]=1),1,0)</f>
        <v>0</v>
      </c>
      <c r="P268" s="1">
        <f>+(Tabla__192.168.1.8_POSEIDONSQL_APPFVT_01_tblFillRateFechas[[#This Row],[Cant_Resultante]]/Tabla__192.168.1.8_POSEIDONSQL_APPFVT_01_tblFillRateFechas[[#This Row],[cant_order]])*100</f>
        <v>0</v>
      </c>
      <c r="Q2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2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68" s="1">
        <f>+IF(Tabla__192.168.1.8_POSEIDONSQL_APPFVT_01_tblFillRateFechas[[#This Row],[cant_order]]&gt;0,1,0)</f>
        <v>1</v>
      </c>
      <c r="V268" s="1">
        <f>+IF(Tabla__192.168.1.8_POSEIDONSQL_APPFVT_01_tblFillRateFechas[[#This Row],[Resultado]]=1,1,0)</f>
        <v>0</v>
      </c>
      <c r="W268" s="1" t="str">
        <f>+Tabla__192.168.1.8_POSEIDONSQL_APPFVT_01_tblFillRateFechas[[#This Row],[con_ocnumero]]&amp;Tabla__192.168.1.8_POSEIDONSQL_APPFVT_01_tblFillRateFechas[[#This Row],[con_codigounico]]</f>
        <v>8698989-</v>
      </c>
      <c r="X2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269" spans="1:24" x14ac:dyDescent="0.25">
      <c r="A269">
        <v>1</v>
      </c>
      <c r="B269" t="s">
        <v>55</v>
      </c>
      <c r="C269">
        <v>8699381</v>
      </c>
      <c r="D269" t="s">
        <v>422</v>
      </c>
      <c r="E269" t="s">
        <v>423</v>
      </c>
      <c r="F269" t="s">
        <v>416</v>
      </c>
      <c r="G269">
        <v>1</v>
      </c>
      <c r="H269">
        <v>1</v>
      </c>
      <c r="I269" t="s">
        <v>423</v>
      </c>
      <c r="J269">
        <v>0</v>
      </c>
      <c r="K269" t="s">
        <v>49</v>
      </c>
      <c r="L269" s="1">
        <f>+Tabla__192.168.1.8_POSEIDONSQL_APPFVT_01_tblFillRateFechas[[#This Row],[emb_cantidad]]-Tabla__192.168.1.8_POSEIDONSQL_APPFVT_01_tblFillRateFechas[[#This Row],[dev_cantidad]]</f>
        <v>1</v>
      </c>
      <c r="M269" s="1">
        <f>+IF(Tabla__192.168.1.8_POSEIDONSQL_APPFVT_01_tblFillRateFechas[[#This Row],[Cant_Resultante]]=Tabla__192.168.1.8_POSEIDONSQL_APPFVT_01_tblFillRateFechas[[#This Row],[cant_order]],1,0)</f>
        <v>1</v>
      </c>
      <c r="N2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69" s="1">
        <f>+IF(AND(Tabla__192.168.1.8_POSEIDONSQL_APPFVT_01_tblFillRateFechas[[#This Row],[Valida Cant]]=1,Tabla__192.168.1.8_POSEIDONSQL_APPFVT_01_tblFillRateFechas[[#This Row],[Valida Fec]]=1),1,0)</f>
        <v>1</v>
      </c>
      <c r="P269" s="1">
        <f>+(Tabla__192.168.1.8_POSEIDONSQL_APPFVT_01_tblFillRateFechas[[#This Row],[Cant_Resultante]]/Tabla__192.168.1.8_POSEIDONSQL_APPFVT_01_tblFillRateFechas[[#This Row],[cant_order]])*100</f>
        <v>100</v>
      </c>
      <c r="Q2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69" s="1">
        <f>+IF(Tabla__192.168.1.8_POSEIDONSQL_APPFVT_01_tblFillRateFechas[[#This Row],[cant_order]]&gt;0,1,0)</f>
        <v>1</v>
      </c>
      <c r="V269" s="1">
        <f>+IF(Tabla__192.168.1.8_POSEIDONSQL_APPFVT_01_tblFillRateFechas[[#This Row],[Resultado]]=1,1,0)</f>
        <v>1</v>
      </c>
      <c r="W269" s="1" t="str">
        <f>+Tabla__192.168.1.8_POSEIDONSQL_APPFVT_01_tblFillRateFechas[[#This Row],[con_ocnumero]]&amp;Tabla__192.168.1.8_POSEIDONSQL_APPFVT_01_tblFillRateFechas[[#This Row],[con_codigounico]]</f>
        <v>8699381-</v>
      </c>
      <c r="X2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0" spans="1:24" x14ac:dyDescent="0.25">
      <c r="A270">
        <v>1</v>
      </c>
      <c r="B270" t="s">
        <v>55</v>
      </c>
      <c r="C270">
        <v>8706137</v>
      </c>
      <c r="D270" t="s">
        <v>419</v>
      </c>
      <c r="E270" t="s">
        <v>423</v>
      </c>
      <c r="F270" t="s">
        <v>420</v>
      </c>
      <c r="G270">
        <v>2000</v>
      </c>
      <c r="H270">
        <v>115</v>
      </c>
      <c r="I270" t="s">
        <v>423</v>
      </c>
      <c r="J270">
        <v>0</v>
      </c>
      <c r="K270" t="s">
        <v>49</v>
      </c>
      <c r="L270" s="1">
        <f>+Tabla__192.168.1.8_POSEIDONSQL_APPFVT_01_tblFillRateFechas[[#This Row],[emb_cantidad]]-Tabla__192.168.1.8_POSEIDONSQL_APPFVT_01_tblFillRateFechas[[#This Row],[dev_cantidad]]</f>
        <v>115</v>
      </c>
      <c r="M270" s="1">
        <f>+IF(Tabla__192.168.1.8_POSEIDONSQL_APPFVT_01_tblFillRateFechas[[#This Row],[Cant_Resultante]]=Tabla__192.168.1.8_POSEIDONSQL_APPFVT_01_tblFillRateFechas[[#This Row],[cant_order]],1,0)</f>
        <v>0</v>
      </c>
      <c r="N2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0" s="1">
        <f>+IF(AND(Tabla__192.168.1.8_POSEIDONSQL_APPFVT_01_tblFillRateFechas[[#This Row],[Valida Cant]]=1,Tabla__192.168.1.8_POSEIDONSQL_APPFVT_01_tblFillRateFechas[[#This Row],[Valida Fec]]=1),1,0)</f>
        <v>0</v>
      </c>
      <c r="P270" s="1">
        <f>+(Tabla__192.168.1.8_POSEIDONSQL_APPFVT_01_tblFillRateFechas[[#This Row],[Cant_Resultante]]/Tabla__192.168.1.8_POSEIDONSQL_APPFVT_01_tblFillRateFechas[[#This Row],[cant_order]])*100</f>
        <v>5.75</v>
      </c>
      <c r="Q2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115</v>
      </c>
      <c r="R2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115</v>
      </c>
      <c r="T2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1885</v>
      </c>
      <c r="U270" s="1">
        <f>+IF(Tabla__192.168.1.8_POSEIDONSQL_APPFVT_01_tblFillRateFechas[[#This Row],[cant_order]]&gt;0,1,0)</f>
        <v>1</v>
      </c>
      <c r="V270" s="1">
        <f>+IF(Tabla__192.168.1.8_POSEIDONSQL_APPFVT_01_tblFillRateFechas[[#This Row],[Resultado]]=1,1,0)</f>
        <v>0</v>
      </c>
      <c r="W270" s="1" t="str">
        <f>+Tabla__192.168.1.8_POSEIDONSQL_APPFVT_01_tblFillRateFechas[[#This Row],[con_ocnumero]]&amp;Tabla__192.168.1.8_POSEIDONSQL_APPFVT_01_tblFillRateFechas[[#This Row],[con_codigounico]]</f>
        <v>8706137-</v>
      </c>
      <c r="X2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115</v>
      </c>
    </row>
    <row r="271" spans="1:24" x14ac:dyDescent="0.25">
      <c r="A271">
        <v>3</v>
      </c>
      <c r="B271" t="s">
        <v>50</v>
      </c>
      <c r="C271">
        <v>342963</v>
      </c>
      <c r="D271" t="s">
        <v>12</v>
      </c>
      <c r="E271" t="s">
        <v>1962</v>
      </c>
      <c r="F271" t="s">
        <v>12</v>
      </c>
      <c r="G271">
        <v>13</v>
      </c>
      <c r="H271">
        <v>6</v>
      </c>
      <c r="I271" t="s">
        <v>1978</v>
      </c>
      <c r="J271">
        <v>0</v>
      </c>
      <c r="K271" t="s">
        <v>49</v>
      </c>
      <c r="L271" s="1">
        <f>+Tabla__192.168.1.8_POSEIDONSQL_APPFVT_01_tblFillRateFechas[[#This Row],[emb_cantidad]]-Tabla__192.168.1.8_POSEIDONSQL_APPFVT_01_tblFillRateFechas[[#This Row],[dev_cantidad]]</f>
        <v>6</v>
      </c>
      <c r="M271" s="1">
        <f>+IF(Tabla__192.168.1.8_POSEIDONSQL_APPFVT_01_tblFillRateFechas[[#This Row],[Cant_Resultante]]=Tabla__192.168.1.8_POSEIDONSQL_APPFVT_01_tblFillRateFechas[[#This Row],[cant_order]],1,0)</f>
        <v>0</v>
      </c>
      <c r="N2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1" s="1">
        <f>+IF(AND(Tabla__192.168.1.8_POSEIDONSQL_APPFVT_01_tblFillRateFechas[[#This Row],[Valida Cant]]=1,Tabla__192.168.1.8_POSEIDONSQL_APPFVT_01_tblFillRateFechas[[#This Row],[Valida Fec]]=1),1,0)</f>
        <v>0</v>
      </c>
      <c r="P271" s="1">
        <f>+(Tabla__192.168.1.8_POSEIDONSQL_APPFVT_01_tblFillRateFechas[[#This Row],[Cant_Resultante]]/Tabla__192.168.1.8_POSEIDONSQL_APPFVT_01_tblFillRateFechas[[#This Row],[cant_order]])*100</f>
        <v>46.153846153846153</v>
      </c>
      <c r="Q2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6</v>
      </c>
      <c r="R2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6</v>
      </c>
      <c r="T2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7</v>
      </c>
      <c r="U271" s="1">
        <f>+IF(Tabla__192.168.1.8_POSEIDONSQL_APPFVT_01_tblFillRateFechas[[#This Row],[cant_order]]&gt;0,1,0)</f>
        <v>1</v>
      </c>
      <c r="V271" s="1">
        <f>+IF(Tabla__192.168.1.8_POSEIDONSQL_APPFVT_01_tblFillRateFechas[[#This Row],[Resultado]]=1,1,0)</f>
        <v>0</v>
      </c>
      <c r="W271" s="1" t="str">
        <f>+Tabla__192.168.1.8_POSEIDONSQL_APPFVT_01_tblFillRateFechas[[#This Row],[con_ocnumero]]&amp;Tabla__192.168.1.8_POSEIDONSQL_APPFVT_01_tblFillRateFechas[[#This Row],[con_codigounico]]</f>
        <v>342963-</v>
      </c>
      <c r="X2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6</v>
      </c>
    </row>
    <row r="272" spans="1:24" x14ac:dyDescent="0.25">
      <c r="A272">
        <v>3</v>
      </c>
      <c r="B272" t="s">
        <v>50</v>
      </c>
      <c r="C272">
        <v>343685</v>
      </c>
      <c r="D272" t="s">
        <v>1979</v>
      </c>
      <c r="E272" t="s">
        <v>1969</v>
      </c>
      <c r="F272" t="s">
        <v>1980</v>
      </c>
      <c r="G272">
        <v>1</v>
      </c>
      <c r="H272">
        <v>1</v>
      </c>
      <c r="I272" t="s">
        <v>162</v>
      </c>
      <c r="J272">
        <v>0</v>
      </c>
      <c r="K272" t="s">
        <v>49</v>
      </c>
      <c r="L272" s="1">
        <f>+Tabla__192.168.1.8_POSEIDONSQL_APPFVT_01_tblFillRateFechas[[#This Row],[emb_cantidad]]-Tabla__192.168.1.8_POSEIDONSQL_APPFVT_01_tblFillRateFechas[[#This Row],[dev_cantidad]]</f>
        <v>1</v>
      </c>
      <c r="M272" s="1">
        <f>+IF(Tabla__192.168.1.8_POSEIDONSQL_APPFVT_01_tblFillRateFechas[[#This Row],[Cant_Resultante]]=Tabla__192.168.1.8_POSEIDONSQL_APPFVT_01_tblFillRateFechas[[#This Row],[cant_order]],1,0)</f>
        <v>1</v>
      </c>
      <c r="N2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2" s="1">
        <f>+IF(AND(Tabla__192.168.1.8_POSEIDONSQL_APPFVT_01_tblFillRateFechas[[#This Row],[Valida Cant]]=1,Tabla__192.168.1.8_POSEIDONSQL_APPFVT_01_tblFillRateFechas[[#This Row],[Valida Fec]]=1),1,0)</f>
        <v>1</v>
      </c>
      <c r="P272" s="1">
        <f>+(Tabla__192.168.1.8_POSEIDONSQL_APPFVT_01_tblFillRateFechas[[#This Row],[Cant_Resultante]]/Tabla__192.168.1.8_POSEIDONSQL_APPFVT_01_tblFillRateFechas[[#This Row],[cant_order]])*100</f>
        <v>100</v>
      </c>
      <c r="Q2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2" s="1">
        <f>+IF(Tabla__192.168.1.8_POSEIDONSQL_APPFVT_01_tblFillRateFechas[[#This Row],[cant_order]]&gt;0,1,0)</f>
        <v>1</v>
      </c>
      <c r="V272" s="1">
        <f>+IF(Tabla__192.168.1.8_POSEIDONSQL_APPFVT_01_tblFillRateFechas[[#This Row],[Resultado]]=1,1,0)</f>
        <v>1</v>
      </c>
      <c r="W272" s="1" t="str">
        <f>+Tabla__192.168.1.8_POSEIDONSQL_APPFVT_01_tblFillRateFechas[[#This Row],[con_ocnumero]]&amp;Tabla__192.168.1.8_POSEIDONSQL_APPFVT_01_tblFillRateFechas[[#This Row],[con_codigounico]]</f>
        <v>343685-</v>
      </c>
      <c r="X2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3" spans="1:24" x14ac:dyDescent="0.25">
      <c r="A273">
        <v>3</v>
      </c>
      <c r="B273" t="s">
        <v>50</v>
      </c>
      <c r="C273">
        <v>344357</v>
      </c>
      <c r="D273" t="s">
        <v>162</v>
      </c>
      <c r="E273" t="s">
        <v>417</v>
      </c>
      <c r="F273" t="s">
        <v>161</v>
      </c>
      <c r="G273">
        <v>1</v>
      </c>
      <c r="H273">
        <v>3</v>
      </c>
      <c r="I273" t="s">
        <v>415</v>
      </c>
      <c r="J273">
        <v>2</v>
      </c>
      <c r="K273" t="s">
        <v>49</v>
      </c>
      <c r="L273" s="1">
        <f>+Tabla__192.168.1.8_POSEIDONSQL_APPFVT_01_tblFillRateFechas[[#This Row],[emb_cantidad]]-Tabla__192.168.1.8_POSEIDONSQL_APPFVT_01_tblFillRateFechas[[#This Row],[dev_cantidad]]</f>
        <v>1</v>
      </c>
      <c r="M273" s="1">
        <f>+IF(Tabla__192.168.1.8_POSEIDONSQL_APPFVT_01_tblFillRateFechas[[#This Row],[Cant_Resultante]]=Tabla__192.168.1.8_POSEIDONSQL_APPFVT_01_tblFillRateFechas[[#This Row],[cant_order]],1,0)</f>
        <v>1</v>
      </c>
      <c r="N2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3" s="1">
        <f>+IF(AND(Tabla__192.168.1.8_POSEIDONSQL_APPFVT_01_tblFillRateFechas[[#This Row],[Valida Cant]]=1,Tabla__192.168.1.8_POSEIDONSQL_APPFVT_01_tblFillRateFechas[[#This Row],[Valida Fec]]=1),1,0)</f>
        <v>1</v>
      </c>
      <c r="P273" s="1">
        <f>+(Tabla__192.168.1.8_POSEIDONSQL_APPFVT_01_tblFillRateFechas[[#This Row],[Cant_Resultante]]/Tabla__192.168.1.8_POSEIDONSQL_APPFVT_01_tblFillRateFechas[[#This Row],[cant_order]])*100</f>
        <v>100</v>
      </c>
      <c r="Q2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2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2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3" s="1">
        <f>+IF(Tabla__192.168.1.8_POSEIDONSQL_APPFVT_01_tblFillRateFechas[[#This Row],[cant_order]]&gt;0,1,0)</f>
        <v>1</v>
      </c>
      <c r="V273" s="1">
        <f>+IF(Tabla__192.168.1.8_POSEIDONSQL_APPFVT_01_tblFillRateFechas[[#This Row],[Resultado]]=1,1,0)</f>
        <v>1</v>
      </c>
      <c r="W273" s="1" t="str">
        <f>+Tabla__192.168.1.8_POSEIDONSQL_APPFVT_01_tblFillRateFechas[[#This Row],[con_ocnumero]]&amp;Tabla__192.168.1.8_POSEIDONSQL_APPFVT_01_tblFillRateFechas[[#This Row],[con_codigounico]]</f>
        <v>344357-</v>
      </c>
      <c r="X2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4" spans="1:24" x14ac:dyDescent="0.25">
      <c r="A274">
        <v>4</v>
      </c>
      <c r="B274" t="s">
        <v>56</v>
      </c>
      <c r="C274">
        <v>9581972</v>
      </c>
      <c r="D274" t="s">
        <v>12</v>
      </c>
      <c r="E274" t="s">
        <v>1980</v>
      </c>
      <c r="F274" t="s">
        <v>12</v>
      </c>
      <c r="G274">
        <v>1</v>
      </c>
      <c r="H274">
        <v>1</v>
      </c>
      <c r="I274" t="s">
        <v>1980</v>
      </c>
      <c r="J274">
        <v>0</v>
      </c>
      <c r="K274" t="s">
        <v>49</v>
      </c>
      <c r="L274" s="1">
        <f>+Tabla__192.168.1.8_POSEIDONSQL_APPFVT_01_tblFillRateFechas[[#This Row],[emb_cantidad]]-Tabla__192.168.1.8_POSEIDONSQL_APPFVT_01_tblFillRateFechas[[#This Row],[dev_cantidad]]</f>
        <v>1</v>
      </c>
      <c r="M274" s="1">
        <f>+IF(Tabla__192.168.1.8_POSEIDONSQL_APPFVT_01_tblFillRateFechas[[#This Row],[Cant_Resultante]]=Tabla__192.168.1.8_POSEIDONSQL_APPFVT_01_tblFillRateFechas[[#This Row],[cant_order]],1,0)</f>
        <v>1</v>
      </c>
      <c r="N2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4" s="1">
        <f>+IF(AND(Tabla__192.168.1.8_POSEIDONSQL_APPFVT_01_tblFillRateFechas[[#This Row],[Valida Cant]]=1,Tabla__192.168.1.8_POSEIDONSQL_APPFVT_01_tblFillRateFechas[[#This Row],[Valida Fec]]=1),1,0)</f>
        <v>1</v>
      </c>
      <c r="P274" s="1">
        <f>+(Tabla__192.168.1.8_POSEIDONSQL_APPFVT_01_tblFillRateFechas[[#This Row],[Cant_Resultante]]/Tabla__192.168.1.8_POSEIDONSQL_APPFVT_01_tblFillRateFechas[[#This Row],[cant_order]])*100</f>
        <v>100</v>
      </c>
      <c r="Q2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4" s="1">
        <f>+IF(Tabla__192.168.1.8_POSEIDONSQL_APPFVT_01_tblFillRateFechas[[#This Row],[cant_order]]&gt;0,1,0)</f>
        <v>1</v>
      </c>
      <c r="V274" s="1">
        <f>+IF(Tabla__192.168.1.8_POSEIDONSQL_APPFVT_01_tblFillRateFechas[[#This Row],[Resultado]]=1,1,0)</f>
        <v>1</v>
      </c>
      <c r="W274" s="1" t="str">
        <f>+Tabla__192.168.1.8_POSEIDONSQL_APPFVT_01_tblFillRateFechas[[#This Row],[con_ocnumero]]&amp;Tabla__192.168.1.8_POSEIDONSQL_APPFVT_01_tblFillRateFechas[[#This Row],[con_codigounico]]</f>
        <v>9581972-</v>
      </c>
      <c r="X2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5" spans="1:24" x14ac:dyDescent="0.25">
      <c r="A275">
        <v>4</v>
      </c>
      <c r="B275" t="s">
        <v>56</v>
      </c>
      <c r="C275">
        <v>9582365</v>
      </c>
      <c r="D275" t="s">
        <v>12</v>
      </c>
      <c r="E275" t="s">
        <v>1969</v>
      </c>
      <c r="F275" t="s">
        <v>12</v>
      </c>
      <c r="G275">
        <v>1</v>
      </c>
      <c r="H275">
        <v>1</v>
      </c>
      <c r="I275" t="s">
        <v>1962</v>
      </c>
      <c r="J275">
        <v>0</v>
      </c>
      <c r="K275" t="s">
        <v>49</v>
      </c>
      <c r="L275" s="1">
        <f>+Tabla__192.168.1.8_POSEIDONSQL_APPFVT_01_tblFillRateFechas[[#This Row],[emb_cantidad]]-Tabla__192.168.1.8_POSEIDONSQL_APPFVT_01_tblFillRateFechas[[#This Row],[dev_cantidad]]</f>
        <v>1</v>
      </c>
      <c r="M275" s="1">
        <f>+IF(Tabla__192.168.1.8_POSEIDONSQL_APPFVT_01_tblFillRateFechas[[#This Row],[Cant_Resultante]]=Tabla__192.168.1.8_POSEIDONSQL_APPFVT_01_tblFillRateFechas[[#This Row],[cant_order]],1,0)</f>
        <v>1</v>
      </c>
      <c r="N2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5" s="1">
        <f>+IF(AND(Tabla__192.168.1.8_POSEIDONSQL_APPFVT_01_tblFillRateFechas[[#This Row],[Valida Cant]]=1,Tabla__192.168.1.8_POSEIDONSQL_APPFVT_01_tblFillRateFechas[[#This Row],[Valida Fec]]=1),1,0)</f>
        <v>1</v>
      </c>
      <c r="P275" s="1">
        <f>+(Tabla__192.168.1.8_POSEIDONSQL_APPFVT_01_tblFillRateFechas[[#This Row],[Cant_Resultante]]/Tabla__192.168.1.8_POSEIDONSQL_APPFVT_01_tblFillRateFechas[[#This Row],[cant_order]])*100</f>
        <v>100</v>
      </c>
      <c r="Q2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5" s="1">
        <f>+IF(Tabla__192.168.1.8_POSEIDONSQL_APPFVT_01_tblFillRateFechas[[#This Row],[cant_order]]&gt;0,1,0)</f>
        <v>1</v>
      </c>
      <c r="V275" s="1">
        <f>+IF(Tabla__192.168.1.8_POSEIDONSQL_APPFVT_01_tblFillRateFechas[[#This Row],[Resultado]]=1,1,0)</f>
        <v>1</v>
      </c>
      <c r="W275" s="1" t="str">
        <f>+Tabla__192.168.1.8_POSEIDONSQL_APPFVT_01_tblFillRateFechas[[#This Row],[con_ocnumero]]&amp;Tabla__192.168.1.8_POSEIDONSQL_APPFVT_01_tblFillRateFechas[[#This Row],[con_codigounico]]</f>
        <v>9582365-</v>
      </c>
      <c r="X2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6" spans="1:24" x14ac:dyDescent="0.25">
      <c r="A276">
        <v>4</v>
      </c>
      <c r="B276" t="s">
        <v>56</v>
      </c>
      <c r="C276">
        <v>9586021</v>
      </c>
      <c r="D276" t="s">
        <v>12</v>
      </c>
      <c r="E276" t="s">
        <v>1969</v>
      </c>
      <c r="F276" t="s">
        <v>12</v>
      </c>
      <c r="G276">
        <v>1</v>
      </c>
      <c r="H276">
        <v>1</v>
      </c>
      <c r="I276" t="s">
        <v>1962</v>
      </c>
      <c r="J276">
        <v>0</v>
      </c>
      <c r="K276" t="s">
        <v>49</v>
      </c>
      <c r="L276" s="1">
        <f>+Tabla__192.168.1.8_POSEIDONSQL_APPFVT_01_tblFillRateFechas[[#This Row],[emb_cantidad]]-Tabla__192.168.1.8_POSEIDONSQL_APPFVT_01_tblFillRateFechas[[#This Row],[dev_cantidad]]</f>
        <v>1</v>
      </c>
      <c r="M276" s="1">
        <f>+IF(Tabla__192.168.1.8_POSEIDONSQL_APPFVT_01_tblFillRateFechas[[#This Row],[Cant_Resultante]]=Tabla__192.168.1.8_POSEIDONSQL_APPFVT_01_tblFillRateFechas[[#This Row],[cant_order]],1,0)</f>
        <v>1</v>
      </c>
      <c r="N2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6" s="1">
        <f>+IF(AND(Tabla__192.168.1.8_POSEIDONSQL_APPFVT_01_tblFillRateFechas[[#This Row],[Valida Cant]]=1,Tabla__192.168.1.8_POSEIDONSQL_APPFVT_01_tblFillRateFechas[[#This Row],[Valida Fec]]=1),1,0)</f>
        <v>1</v>
      </c>
      <c r="P276" s="1">
        <f>+(Tabla__192.168.1.8_POSEIDONSQL_APPFVT_01_tblFillRateFechas[[#This Row],[Cant_Resultante]]/Tabla__192.168.1.8_POSEIDONSQL_APPFVT_01_tblFillRateFechas[[#This Row],[cant_order]])*100</f>
        <v>100</v>
      </c>
      <c r="Q2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6" s="1">
        <f>+IF(Tabla__192.168.1.8_POSEIDONSQL_APPFVT_01_tblFillRateFechas[[#This Row],[cant_order]]&gt;0,1,0)</f>
        <v>1</v>
      </c>
      <c r="V276" s="1">
        <f>+IF(Tabla__192.168.1.8_POSEIDONSQL_APPFVT_01_tblFillRateFechas[[#This Row],[Resultado]]=1,1,0)</f>
        <v>1</v>
      </c>
      <c r="W276" s="1" t="str">
        <f>+Tabla__192.168.1.8_POSEIDONSQL_APPFVT_01_tblFillRateFechas[[#This Row],[con_ocnumero]]&amp;Tabla__192.168.1.8_POSEIDONSQL_APPFVT_01_tblFillRateFechas[[#This Row],[con_codigounico]]</f>
        <v>9586021-</v>
      </c>
      <c r="X2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7" spans="1:24" x14ac:dyDescent="0.25">
      <c r="A277">
        <v>4</v>
      </c>
      <c r="B277" t="s">
        <v>56</v>
      </c>
      <c r="C277">
        <v>9591330</v>
      </c>
      <c r="D277" t="s">
        <v>12</v>
      </c>
      <c r="E277" t="s">
        <v>1971</v>
      </c>
      <c r="F277" t="s">
        <v>12</v>
      </c>
      <c r="G277">
        <v>1</v>
      </c>
      <c r="H277">
        <v>1</v>
      </c>
      <c r="I277" t="s">
        <v>1971</v>
      </c>
      <c r="J277">
        <v>0</v>
      </c>
      <c r="K277" t="s">
        <v>49</v>
      </c>
      <c r="L277" s="1">
        <f>+Tabla__192.168.1.8_POSEIDONSQL_APPFVT_01_tblFillRateFechas[[#This Row],[emb_cantidad]]-Tabla__192.168.1.8_POSEIDONSQL_APPFVT_01_tblFillRateFechas[[#This Row],[dev_cantidad]]</f>
        <v>1</v>
      </c>
      <c r="M277" s="1">
        <f>+IF(Tabla__192.168.1.8_POSEIDONSQL_APPFVT_01_tblFillRateFechas[[#This Row],[Cant_Resultante]]=Tabla__192.168.1.8_POSEIDONSQL_APPFVT_01_tblFillRateFechas[[#This Row],[cant_order]],1,0)</f>
        <v>1</v>
      </c>
      <c r="N2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7" s="1">
        <f>+IF(AND(Tabla__192.168.1.8_POSEIDONSQL_APPFVT_01_tblFillRateFechas[[#This Row],[Valida Cant]]=1,Tabla__192.168.1.8_POSEIDONSQL_APPFVT_01_tblFillRateFechas[[#This Row],[Valida Fec]]=1),1,0)</f>
        <v>1</v>
      </c>
      <c r="P277" s="1">
        <f>+(Tabla__192.168.1.8_POSEIDONSQL_APPFVT_01_tblFillRateFechas[[#This Row],[Cant_Resultante]]/Tabla__192.168.1.8_POSEIDONSQL_APPFVT_01_tblFillRateFechas[[#This Row],[cant_order]])*100</f>
        <v>100</v>
      </c>
      <c r="Q2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7" s="1">
        <f>+IF(Tabla__192.168.1.8_POSEIDONSQL_APPFVT_01_tblFillRateFechas[[#This Row],[cant_order]]&gt;0,1,0)</f>
        <v>1</v>
      </c>
      <c r="V277" s="1">
        <f>+IF(Tabla__192.168.1.8_POSEIDONSQL_APPFVT_01_tblFillRateFechas[[#This Row],[Resultado]]=1,1,0)</f>
        <v>1</v>
      </c>
      <c r="W277" s="1" t="str">
        <f>+Tabla__192.168.1.8_POSEIDONSQL_APPFVT_01_tblFillRateFechas[[#This Row],[con_ocnumero]]&amp;Tabla__192.168.1.8_POSEIDONSQL_APPFVT_01_tblFillRateFechas[[#This Row],[con_codigounico]]</f>
        <v>9591330-</v>
      </c>
      <c r="X2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8" spans="1:24" x14ac:dyDescent="0.25">
      <c r="A278">
        <v>4</v>
      </c>
      <c r="B278" t="s">
        <v>56</v>
      </c>
      <c r="C278">
        <v>9592937</v>
      </c>
      <c r="D278" t="s">
        <v>12</v>
      </c>
      <c r="E278" t="s">
        <v>1971</v>
      </c>
      <c r="F278" t="s">
        <v>12</v>
      </c>
      <c r="G278">
        <v>1</v>
      </c>
      <c r="H278">
        <v>1</v>
      </c>
      <c r="I278" t="s">
        <v>1971</v>
      </c>
      <c r="J278">
        <v>0</v>
      </c>
      <c r="K278" t="s">
        <v>49</v>
      </c>
      <c r="L278" s="1">
        <f>+Tabla__192.168.1.8_POSEIDONSQL_APPFVT_01_tblFillRateFechas[[#This Row],[emb_cantidad]]-Tabla__192.168.1.8_POSEIDONSQL_APPFVT_01_tblFillRateFechas[[#This Row],[dev_cantidad]]</f>
        <v>1</v>
      </c>
      <c r="M278" s="1">
        <f>+IF(Tabla__192.168.1.8_POSEIDONSQL_APPFVT_01_tblFillRateFechas[[#This Row],[Cant_Resultante]]=Tabla__192.168.1.8_POSEIDONSQL_APPFVT_01_tblFillRateFechas[[#This Row],[cant_order]],1,0)</f>
        <v>1</v>
      </c>
      <c r="N2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8" s="1">
        <f>+IF(AND(Tabla__192.168.1.8_POSEIDONSQL_APPFVT_01_tblFillRateFechas[[#This Row],[Valida Cant]]=1,Tabla__192.168.1.8_POSEIDONSQL_APPFVT_01_tblFillRateFechas[[#This Row],[Valida Fec]]=1),1,0)</f>
        <v>1</v>
      </c>
      <c r="P278" s="1">
        <f>+(Tabla__192.168.1.8_POSEIDONSQL_APPFVT_01_tblFillRateFechas[[#This Row],[Cant_Resultante]]/Tabla__192.168.1.8_POSEIDONSQL_APPFVT_01_tblFillRateFechas[[#This Row],[cant_order]])*100</f>
        <v>100</v>
      </c>
      <c r="Q2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8" s="1">
        <f>+IF(Tabla__192.168.1.8_POSEIDONSQL_APPFVT_01_tblFillRateFechas[[#This Row],[cant_order]]&gt;0,1,0)</f>
        <v>1</v>
      </c>
      <c r="V278" s="1">
        <f>+IF(Tabla__192.168.1.8_POSEIDONSQL_APPFVT_01_tblFillRateFechas[[#This Row],[Resultado]]=1,1,0)</f>
        <v>1</v>
      </c>
      <c r="W278" s="1" t="str">
        <f>+Tabla__192.168.1.8_POSEIDONSQL_APPFVT_01_tblFillRateFechas[[#This Row],[con_ocnumero]]&amp;Tabla__192.168.1.8_POSEIDONSQL_APPFVT_01_tblFillRateFechas[[#This Row],[con_codigounico]]</f>
        <v>9592937-</v>
      </c>
      <c r="X2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79" spans="1:24" x14ac:dyDescent="0.25">
      <c r="A279">
        <v>4</v>
      </c>
      <c r="B279" t="s">
        <v>56</v>
      </c>
      <c r="C279">
        <v>9595736</v>
      </c>
      <c r="D279" t="s">
        <v>12</v>
      </c>
      <c r="E279" t="s">
        <v>1962</v>
      </c>
      <c r="F279" t="s">
        <v>12</v>
      </c>
      <c r="G279">
        <v>1</v>
      </c>
      <c r="H279">
        <v>1</v>
      </c>
      <c r="I279" t="s">
        <v>1962</v>
      </c>
      <c r="J279">
        <v>0</v>
      </c>
      <c r="K279" t="s">
        <v>49</v>
      </c>
      <c r="L279" s="1">
        <f>+Tabla__192.168.1.8_POSEIDONSQL_APPFVT_01_tblFillRateFechas[[#This Row],[emb_cantidad]]-Tabla__192.168.1.8_POSEIDONSQL_APPFVT_01_tblFillRateFechas[[#This Row],[dev_cantidad]]</f>
        <v>1</v>
      </c>
      <c r="M279" s="1">
        <f>+IF(Tabla__192.168.1.8_POSEIDONSQL_APPFVT_01_tblFillRateFechas[[#This Row],[Cant_Resultante]]=Tabla__192.168.1.8_POSEIDONSQL_APPFVT_01_tblFillRateFechas[[#This Row],[cant_order]],1,0)</f>
        <v>1</v>
      </c>
      <c r="N2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79" s="1">
        <f>+IF(AND(Tabla__192.168.1.8_POSEIDONSQL_APPFVT_01_tblFillRateFechas[[#This Row],[Valida Cant]]=1,Tabla__192.168.1.8_POSEIDONSQL_APPFVT_01_tblFillRateFechas[[#This Row],[Valida Fec]]=1),1,0)</f>
        <v>1</v>
      </c>
      <c r="P279" s="1">
        <f>+(Tabla__192.168.1.8_POSEIDONSQL_APPFVT_01_tblFillRateFechas[[#This Row],[Cant_Resultante]]/Tabla__192.168.1.8_POSEIDONSQL_APPFVT_01_tblFillRateFechas[[#This Row],[cant_order]])*100</f>
        <v>100</v>
      </c>
      <c r="Q2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79" s="1">
        <f>+IF(Tabla__192.168.1.8_POSEIDONSQL_APPFVT_01_tblFillRateFechas[[#This Row],[cant_order]]&gt;0,1,0)</f>
        <v>1</v>
      </c>
      <c r="V279" s="1">
        <f>+IF(Tabla__192.168.1.8_POSEIDONSQL_APPFVT_01_tblFillRateFechas[[#This Row],[Resultado]]=1,1,0)</f>
        <v>1</v>
      </c>
      <c r="W279" s="1" t="str">
        <f>+Tabla__192.168.1.8_POSEIDONSQL_APPFVT_01_tblFillRateFechas[[#This Row],[con_ocnumero]]&amp;Tabla__192.168.1.8_POSEIDONSQL_APPFVT_01_tblFillRateFechas[[#This Row],[con_codigounico]]</f>
        <v>9595736-</v>
      </c>
      <c r="X2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0" spans="1:24" x14ac:dyDescent="0.25">
      <c r="A280">
        <v>4</v>
      </c>
      <c r="B280" t="s">
        <v>56</v>
      </c>
      <c r="C280">
        <v>9595770</v>
      </c>
      <c r="D280" t="s">
        <v>12</v>
      </c>
      <c r="E280" t="s">
        <v>1962</v>
      </c>
      <c r="F280" t="s">
        <v>12</v>
      </c>
      <c r="G280">
        <v>1</v>
      </c>
      <c r="H280">
        <v>1</v>
      </c>
      <c r="I280" t="s">
        <v>1962</v>
      </c>
      <c r="J280">
        <v>0</v>
      </c>
      <c r="K280" t="s">
        <v>49</v>
      </c>
      <c r="L280" s="1">
        <f>+Tabla__192.168.1.8_POSEIDONSQL_APPFVT_01_tblFillRateFechas[[#This Row],[emb_cantidad]]-Tabla__192.168.1.8_POSEIDONSQL_APPFVT_01_tblFillRateFechas[[#This Row],[dev_cantidad]]</f>
        <v>1</v>
      </c>
      <c r="M280" s="1">
        <f>+IF(Tabla__192.168.1.8_POSEIDONSQL_APPFVT_01_tblFillRateFechas[[#This Row],[Cant_Resultante]]=Tabla__192.168.1.8_POSEIDONSQL_APPFVT_01_tblFillRateFechas[[#This Row],[cant_order]],1,0)</f>
        <v>1</v>
      </c>
      <c r="N2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0" s="1">
        <f>+IF(AND(Tabla__192.168.1.8_POSEIDONSQL_APPFVT_01_tblFillRateFechas[[#This Row],[Valida Cant]]=1,Tabla__192.168.1.8_POSEIDONSQL_APPFVT_01_tblFillRateFechas[[#This Row],[Valida Fec]]=1),1,0)</f>
        <v>1</v>
      </c>
      <c r="P280" s="1">
        <f>+(Tabla__192.168.1.8_POSEIDONSQL_APPFVT_01_tblFillRateFechas[[#This Row],[Cant_Resultante]]/Tabla__192.168.1.8_POSEIDONSQL_APPFVT_01_tblFillRateFechas[[#This Row],[cant_order]])*100</f>
        <v>100</v>
      </c>
      <c r="Q2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0" s="1">
        <f>+IF(Tabla__192.168.1.8_POSEIDONSQL_APPFVT_01_tblFillRateFechas[[#This Row],[cant_order]]&gt;0,1,0)</f>
        <v>1</v>
      </c>
      <c r="V280" s="1">
        <f>+IF(Tabla__192.168.1.8_POSEIDONSQL_APPFVT_01_tblFillRateFechas[[#This Row],[Resultado]]=1,1,0)</f>
        <v>1</v>
      </c>
      <c r="W280" s="1" t="str">
        <f>+Tabla__192.168.1.8_POSEIDONSQL_APPFVT_01_tblFillRateFechas[[#This Row],[con_ocnumero]]&amp;Tabla__192.168.1.8_POSEIDONSQL_APPFVT_01_tblFillRateFechas[[#This Row],[con_codigounico]]</f>
        <v>9595770-</v>
      </c>
      <c r="X2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1" spans="1:24" x14ac:dyDescent="0.25">
      <c r="A281">
        <v>4</v>
      </c>
      <c r="B281" t="s">
        <v>56</v>
      </c>
      <c r="C281">
        <v>9596357</v>
      </c>
      <c r="D281" t="s">
        <v>12</v>
      </c>
      <c r="E281" t="s">
        <v>1980</v>
      </c>
      <c r="F281" t="s">
        <v>12</v>
      </c>
      <c r="G281">
        <v>1</v>
      </c>
      <c r="H281">
        <v>1</v>
      </c>
      <c r="I281" t="s">
        <v>1980</v>
      </c>
      <c r="J281">
        <v>0</v>
      </c>
      <c r="K281" t="s">
        <v>49</v>
      </c>
      <c r="L281" s="1">
        <f>+Tabla__192.168.1.8_POSEIDONSQL_APPFVT_01_tblFillRateFechas[[#This Row],[emb_cantidad]]-Tabla__192.168.1.8_POSEIDONSQL_APPFVT_01_tblFillRateFechas[[#This Row],[dev_cantidad]]</f>
        <v>1</v>
      </c>
      <c r="M281" s="1">
        <f>+IF(Tabla__192.168.1.8_POSEIDONSQL_APPFVT_01_tblFillRateFechas[[#This Row],[Cant_Resultante]]=Tabla__192.168.1.8_POSEIDONSQL_APPFVT_01_tblFillRateFechas[[#This Row],[cant_order]],1,0)</f>
        <v>1</v>
      </c>
      <c r="N2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1" s="1">
        <f>+IF(AND(Tabla__192.168.1.8_POSEIDONSQL_APPFVT_01_tblFillRateFechas[[#This Row],[Valida Cant]]=1,Tabla__192.168.1.8_POSEIDONSQL_APPFVT_01_tblFillRateFechas[[#This Row],[Valida Fec]]=1),1,0)</f>
        <v>1</v>
      </c>
      <c r="P281" s="1">
        <f>+(Tabla__192.168.1.8_POSEIDONSQL_APPFVT_01_tblFillRateFechas[[#This Row],[Cant_Resultante]]/Tabla__192.168.1.8_POSEIDONSQL_APPFVT_01_tblFillRateFechas[[#This Row],[cant_order]])*100</f>
        <v>100</v>
      </c>
      <c r="Q2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1" s="1">
        <f>+IF(Tabla__192.168.1.8_POSEIDONSQL_APPFVT_01_tblFillRateFechas[[#This Row],[cant_order]]&gt;0,1,0)</f>
        <v>1</v>
      </c>
      <c r="V281" s="1">
        <f>+IF(Tabla__192.168.1.8_POSEIDONSQL_APPFVT_01_tblFillRateFechas[[#This Row],[Resultado]]=1,1,0)</f>
        <v>1</v>
      </c>
      <c r="W281" s="1" t="str">
        <f>+Tabla__192.168.1.8_POSEIDONSQL_APPFVT_01_tblFillRateFechas[[#This Row],[con_ocnumero]]&amp;Tabla__192.168.1.8_POSEIDONSQL_APPFVT_01_tblFillRateFechas[[#This Row],[con_codigounico]]</f>
        <v>9596357-</v>
      </c>
      <c r="X2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2" spans="1:24" x14ac:dyDescent="0.25">
      <c r="A282">
        <v>4</v>
      </c>
      <c r="B282" t="s">
        <v>56</v>
      </c>
      <c r="C282">
        <v>9597665</v>
      </c>
      <c r="D282" t="s">
        <v>12</v>
      </c>
      <c r="E282" t="s">
        <v>1980</v>
      </c>
      <c r="F282" t="s">
        <v>12</v>
      </c>
      <c r="G282">
        <v>2</v>
      </c>
      <c r="H282">
        <v>2</v>
      </c>
      <c r="I282" t="s">
        <v>1980</v>
      </c>
      <c r="J282">
        <v>0</v>
      </c>
      <c r="K282" t="s">
        <v>49</v>
      </c>
      <c r="L282" s="1">
        <f>+Tabla__192.168.1.8_POSEIDONSQL_APPFVT_01_tblFillRateFechas[[#This Row],[emb_cantidad]]-Tabla__192.168.1.8_POSEIDONSQL_APPFVT_01_tblFillRateFechas[[#This Row],[dev_cantidad]]</f>
        <v>2</v>
      </c>
      <c r="M282" s="1">
        <f>+IF(Tabla__192.168.1.8_POSEIDONSQL_APPFVT_01_tblFillRateFechas[[#This Row],[Cant_Resultante]]=Tabla__192.168.1.8_POSEIDONSQL_APPFVT_01_tblFillRateFechas[[#This Row],[cant_order]],1,0)</f>
        <v>1</v>
      </c>
      <c r="N2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2" s="1">
        <f>+IF(AND(Tabla__192.168.1.8_POSEIDONSQL_APPFVT_01_tblFillRateFechas[[#This Row],[Valida Cant]]=1,Tabla__192.168.1.8_POSEIDONSQL_APPFVT_01_tblFillRateFechas[[#This Row],[Valida Fec]]=1),1,0)</f>
        <v>1</v>
      </c>
      <c r="P282" s="1">
        <f>+(Tabla__192.168.1.8_POSEIDONSQL_APPFVT_01_tblFillRateFechas[[#This Row],[Cant_Resultante]]/Tabla__192.168.1.8_POSEIDONSQL_APPFVT_01_tblFillRateFechas[[#This Row],[cant_order]])*100</f>
        <v>100</v>
      </c>
      <c r="Q2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2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2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2" s="1">
        <f>+IF(Tabla__192.168.1.8_POSEIDONSQL_APPFVT_01_tblFillRateFechas[[#This Row],[cant_order]]&gt;0,1,0)</f>
        <v>1</v>
      </c>
      <c r="V282" s="1">
        <f>+IF(Tabla__192.168.1.8_POSEIDONSQL_APPFVT_01_tblFillRateFechas[[#This Row],[Resultado]]=1,1,0)</f>
        <v>1</v>
      </c>
      <c r="W282" s="1" t="str">
        <f>+Tabla__192.168.1.8_POSEIDONSQL_APPFVT_01_tblFillRateFechas[[#This Row],[con_ocnumero]]&amp;Tabla__192.168.1.8_POSEIDONSQL_APPFVT_01_tblFillRateFechas[[#This Row],[con_codigounico]]</f>
        <v>9597665-</v>
      </c>
      <c r="X2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283" spans="1:24" x14ac:dyDescent="0.25">
      <c r="A283">
        <v>4</v>
      </c>
      <c r="B283" t="s">
        <v>56</v>
      </c>
      <c r="C283">
        <v>9598302</v>
      </c>
      <c r="D283" t="s">
        <v>12</v>
      </c>
      <c r="E283" t="s">
        <v>1980</v>
      </c>
      <c r="F283" t="s">
        <v>12</v>
      </c>
      <c r="G283">
        <v>1</v>
      </c>
      <c r="H283">
        <v>1</v>
      </c>
      <c r="I283" t="s">
        <v>1980</v>
      </c>
      <c r="J283">
        <v>0</v>
      </c>
      <c r="K283" t="s">
        <v>49</v>
      </c>
      <c r="L283" s="1">
        <f>+Tabla__192.168.1.8_POSEIDONSQL_APPFVT_01_tblFillRateFechas[[#This Row],[emb_cantidad]]-Tabla__192.168.1.8_POSEIDONSQL_APPFVT_01_tblFillRateFechas[[#This Row],[dev_cantidad]]</f>
        <v>1</v>
      </c>
      <c r="M283" s="1">
        <f>+IF(Tabla__192.168.1.8_POSEIDONSQL_APPFVT_01_tblFillRateFechas[[#This Row],[Cant_Resultante]]=Tabla__192.168.1.8_POSEIDONSQL_APPFVT_01_tblFillRateFechas[[#This Row],[cant_order]],1,0)</f>
        <v>1</v>
      </c>
      <c r="N2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3" s="1">
        <f>+IF(AND(Tabla__192.168.1.8_POSEIDONSQL_APPFVT_01_tblFillRateFechas[[#This Row],[Valida Cant]]=1,Tabla__192.168.1.8_POSEIDONSQL_APPFVT_01_tblFillRateFechas[[#This Row],[Valida Fec]]=1),1,0)</f>
        <v>1</v>
      </c>
      <c r="P283" s="1">
        <f>+(Tabla__192.168.1.8_POSEIDONSQL_APPFVT_01_tblFillRateFechas[[#This Row],[Cant_Resultante]]/Tabla__192.168.1.8_POSEIDONSQL_APPFVT_01_tblFillRateFechas[[#This Row],[cant_order]])*100</f>
        <v>100</v>
      </c>
      <c r="Q2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3" s="1">
        <f>+IF(Tabla__192.168.1.8_POSEIDONSQL_APPFVT_01_tblFillRateFechas[[#This Row],[cant_order]]&gt;0,1,0)</f>
        <v>1</v>
      </c>
      <c r="V283" s="1">
        <f>+IF(Tabla__192.168.1.8_POSEIDONSQL_APPFVT_01_tblFillRateFechas[[#This Row],[Resultado]]=1,1,0)</f>
        <v>1</v>
      </c>
      <c r="W283" s="1" t="str">
        <f>+Tabla__192.168.1.8_POSEIDONSQL_APPFVT_01_tblFillRateFechas[[#This Row],[con_ocnumero]]&amp;Tabla__192.168.1.8_POSEIDONSQL_APPFVT_01_tblFillRateFechas[[#This Row],[con_codigounico]]</f>
        <v>9598302-</v>
      </c>
      <c r="X2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4" spans="1:24" x14ac:dyDescent="0.25">
      <c r="A284">
        <v>4</v>
      </c>
      <c r="B284" t="s">
        <v>56</v>
      </c>
      <c r="C284">
        <v>9599649</v>
      </c>
      <c r="D284" t="s">
        <v>12</v>
      </c>
      <c r="E284" t="s">
        <v>1971</v>
      </c>
      <c r="F284" t="s">
        <v>12</v>
      </c>
      <c r="G284">
        <v>1</v>
      </c>
      <c r="H284">
        <v>1</v>
      </c>
      <c r="I284" t="s">
        <v>1971</v>
      </c>
      <c r="J284">
        <v>0</v>
      </c>
      <c r="K284" t="s">
        <v>49</v>
      </c>
      <c r="L284" s="1">
        <f>+Tabla__192.168.1.8_POSEIDONSQL_APPFVT_01_tblFillRateFechas[[#This Row],[emb_cantidad]]-Tabla__192.168.1.8_POSEIDONSQL_APPFVT_01_tblFillRateFechas[[#This Row],[dev_cantidad]]</f>
        <v>1</v>
      </c>
      <c r="M284" s="1">
        <f>+IF(Tabla__192.168.1.8_POSEIDONSQL_APPFVT_01_tblFillRateFechas[[#This Row],[Cant_Resultante]]=Tabla__192.168.1.8_POSEIDONSQL_APPFVT_01_tblFillRateFechas[[#This Row],[cant_order]],1,0)</f>
        <v>1</v>
      </c>
      <c r="N2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4" s="1">
        <f>+IF(AND(Tabla__192.168.1.8_POSEIDONSQL_APPFVT_01_tblFillRateFechas[[#This Row],[Valida Cant]]=1,Tabla__192.168.1.8_POSEIDONSQL_APPFVT_01_tblFillRateFechas[[#This Row],[Valida Fec]]=1),1,0)</f>
        <v>1</v>
      </c>
      <c r="P284" s="1">
        <f>+(Tabla__192.168.1.8_POSEIDONSQL_APPFVT_01_tblFillRateFechas[[#This Row],[Cant_Resultante]]/Tabla__192.168.1.8_POSEIDONSQL_APPFVT_01_tblFillRateFechas[[#This Row],[cant_order]])*100</f>
        <v>100</v>
      </c>
      <c r="Q2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4" s="1">
        <f>+IF(Tabla__192.168.1.8_POSEIDONSQL_APPFVT_01_tblFillRateFechas[[#This Row],[cant_order]]&gt;0,1,0)</f>
        <v>1</v>
      </c>
      <c r="V284" s="1">
        <f>+IF(Tabla__192.168.1.8_POSEIDONSQL_APPFVT_01_tblFillRateFechas[[#This Row],[Resultado]]=1,1,0)</f>
        <v>1</v>
      </c>
      <c r="W284" s="1" t="str">
        <f>+Tabla__192.168.1.8_POSEIDONSQL_APPFVT_01_tblFillRateFechas[[#This Row],[con_ocnumero]]&amp;Tabla__192.168.1.8_POSEIDONSQL_APPFVT_01_tblFillRateFechas[[#This Row],[con_codigounico]]</f>
        <v>9599649-</v>
      </c>
      <c r="X2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5" spans="1:24" x14ac:dyDescent="0.25">
      <c r="A285">
        <v>4</v>
      </c>
      <c r="B285" t="s">
        <v>56</v>
      </c>
      <c r="C285">
        <v>9600190</v>
      </c>
      <c r="D285" t="s">
        <v>12</v>
      </c>
      <c r="E285" t="s">
        <v>1971</v>
      </c>
      <c r="F285" t="s">
        <v>12</v>
      </c>
      <c r="G285">
        <v>1</v>
      </c>
      <c r="H285">
        <v>1</v>
      </c>
      <c r="I285" t="s">
        <v>1971</v>
      </c>
      <c r="J285">
        <v>0</v>
      </c>
      <c r="K285" t="s">
        <v>49</v>
      </c>
      <c r="L285" s="1">
        <f>+Tabla__192.168.1.8_POSEIDONSQL_APPFVT_01_tblFillRateFechas[[#This Row],[emb_cantidad]]-Tabla__192.168.1.8_POSEIDONSQL_APPFVT_01_tblFillRateFechas[[#This Row],[dev_cantidad]]</f>
        <v>1</v>
      </c>
      <c r="M285" s="1">
        <f>+IF(Tabla__192.168.1.8_POSEIDONSQL_APPFVT_01_tblFillRateFechas[[#This Row],[Cant_Resultante]]=Tabla__192.168.1.8_POSEIDONSQL_APPFVT_01_tblFillRateFechas[[#This Row],[cant_order]],1,0)</f>
        <v>1</v>
      </c>
      <c r="N2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5" s="1">
        <f>+IF(AND(Tabla__192.168.1.8_POSEIDONSQL_APPFVT_01_tblFillRateFechas[[#This Row],[Valida Cant]]=1,Tabla__192.168.1.8_POSEIDONSQL_APPFVT_01_tblFillRateFechas[[#This Row],[Valida Fec]]=1),1,0)</f>
        <v>1</v>
      </c>
      <c r="P285" s="1">
        <f>+(Tabla__192.168.1.8_POSEIDONSQL_APPFVT_01_tblFillRateFechas[[#This Row],[Cant_Resultante]]/Tabla__192.168.1.8_POSEIDONSQL_APPFVT_01_tblFillRateFechas[[#This Row],[cant_order]])*100</f>
        <v>100</v>
      </c>
      <c r="Q2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5" s="1">
        <f>+IF(Tabla__192.168.1.8_POSEIDONSQL_APPFVT_01_tblFillRateFechas[[#This Row],[cant_order]]&gt;0,1,0)</f>
        <v>1</v>
      </c>
      <c r="V285" s="1">
        <f>+IF(Tabla__192.168.1.8_POSEIDONSQL_APPFVT_01_tblFillRateFechas[[#This Row],[Resultado]]=1,1,0)</f>
        <v>1</v>
      </c>
      <c r="W285" s="1" t="str">
        <f>+Tabla__192.168.1.8_POSEIDONSQL_APPFVT_01_tblFillRateFechas[[#This Row],[con_ocnumero]]&amp;Tabla__192.168.1.8_POSEIDONSQL_APPFVT_01_tblFillRateFechas[[#This Row],[con_codigounico]]</f>
        <v>9600190-</v>
      </c>
      <c r="X2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6" spans="1:24" x14ac:dyDescent="0.25">
      <c r="A286">
        <v>4</v>
      </c>
      <c r="B286" t="s">
        <v>56</v>
      </c>
      <c r="C286">
        <v>9600224</v>
      </c>
      <c r="D286" t="s">
        <v>12</v>
      </c>
      <c r="E286" t="s">
        <v>1971</v>
      </c>
      <c r="F286" t="s">
        <v>12</v>
      </c>
      <c r="G286">
        <v>1</v>
      </c>
      <c r="H286">
        <v>1</v>
      </c>
      <c r="I286" t="s">
        <v>1971</v>
      </c>
      <c r="J286">
        <v>0</v>
      </c>
      <c r="K286" t="s">
        <v>49</v>
      </c>
      <c r="L286" s="1">
        <f>+Tabla__192.168.1.8_POSEIDONSQL_APPFVT_01_tblFillRateFechas[[#This Row],[emb_cantidad]]-Tabla__192.168.1.8_POSEIDONSQL_APPFVT_01_tblFillRateFechas[[#This Row],[dev_cantidad]]</f>
        <v>1</v>
      </c>
      <c r="M286" s="1">
        <f>+IF(Tabla__192.168.1.8_POSEIDONSQL_APPFVT_01_tblFillRateFechas[[#This Row],[Cant_Resultante]]=Tabla__192.168.1.8_POSEIDONSQL_APPFVT_01_tblFillRateFechas[[#This Row],[cant_order]],1,0)</f>
        <v>1</v>
      </c>
      <c r="N2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6" s="1">
        <f>+IF(AND(Tabla__192.168.1.8_POSEIDONSQL_APPFVT_01_tblFillRateFechas[[#This Row],[Valida Cant]]=1,Tabla__192.168.1.8_POSEIDONSQL_APPFVT_01_tblFillRateFechas[[#This Row],[Valida Fec]]=1),1,0)</f>
        <v>1</v>
      </c>
      <c r="P286" s="1">
        <f>+(Tabla__192.168.1.8_POSEIDONSQL_APPFVT_01_tblFillRateFechas[[#This Row],[Cant_Resultante]]/Tabla__192.168.1.8_POSEIDONSQL_APPFVT_01_tblFillRateFechas[[#This Row],[cant_order]])*100</f>
        <v>100</v>
      </c>
      <c r="Q2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6" s="1">
        <f>+IF(Tabla__192.168.1.8_POSEIDONSQL_APPFVT_01_tblFillRateFechas[[#This Row],[cant_order]]&gt;0,1,0)</f>
        <v>1</v>
      </c>
      <c r="V286" s="1">
        <f>+IF(Tabla__192.168.1.8_POSEIDONSQL_APPFVT_01_tblFillRateFechas[[#This Row],[Resultado]]=1,1,0)</f>
        <v>1</v>
      </c>
      <c r="W286" s="1" t="str">
        <f>+Tabla__192.168.1.8_POSEIDONSQL_APPFVT_01_tblFillRateFechas[[#This Row],[con_ocnumero]]&amp;Tabla__192.168.1.8_POSEIDONSQL_APPFVT_01_tblFillRateFechas[[#This Row],[con_codigounico]]</f>
        <v>9600224-</v>
      </c>
      <c r="X2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7" spans="1:24" x14ac:dyDescent="0.25">
      <c r="A287">
        <v>4</v>
      </c>
      <c r="B287" t="s">
        <v>56</v>
      </c>
      <c r="C287">
        <v>9600628</v>
      </c>
      <c r="D287" t="s">
        <v>12</v>
      </c>
      <c r="E287" t="s">
        <v>1962</v>
      </c>
      <c r="F287" t="s">
        <v>12</v>
      </c>
      <c r="G287">
        <v>1</v>
      </c>
      <c r="H287">
        <v>1</v>
      </c>
      <c r="I287" t="s">
        <v>1962</v>
      </c>
      <c r="J287">
        <v>0</v>
      </c>
      <c r="K287" t="s">
        <v>49</v>
      </c>
      <c r="L287" s="1">
        <f>+Tabla__192.168.1.8_POSEIDONSQL_APPFVT_01_tblFillRateFechas[[#This Row],[emb_cantidad]]-Tabla__192.168.1.8_POSEIDONSQL_APPFVT_01_tblFillRateFechas[[#This Row],[dev_cantidad]]</f>
        <v>1</v>
      </c>
      <c r="M287" s="1">
        <f>+IF(Tabla__192.168.1.8_POSEIDONSQL_APPFVT_01_tblFillRateFechas[[#This Row],[Cant_Resultante]]=Tabla__192.168.1.8_POSEIDONSQL_APPFVT_01_tblFillRateFechas[[#This Row],[cant_order]],1,0)</f>
        <v>1</v>
      </c>
      <c r="N2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7" s="1">
        <f>+IF(AND(Tabla__192.168.1.8_POSEIDONSQL_APPFVT_01_tblFillRateFechas[[#This Row],[Valida Cant]]=1,Tabla__192.168.1.8_POSEIDONSQL_APPFVT_01_tblFillRateFechas[[#This Row],[Valida Fec]]=1),1,0)</f>
        <v>1</v>
      </c>
      <c r="P287" s="1">
        <f>+(Tabla__192.168.1.8_POSEIDONSQL_APPFVT_01_tblFillRateFechas[[#This Row],[Cant_Resultante]]/Tabla__192.168.1.8_POSEIDONSQL_APPFVT_01_tblFillRateFechas[[#This Row],[cant_order]])*100</f>
        <v>100</v>
      </c>
      <c r="Q2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7" s="1">
        <f>+IF(Tabla__192.168.1.8_POSEIDONSQL_APPFVT_01_tblFillRateFechas[[#This Row],[cant_order]]&gt;0,1,0)</f>
        <v>1</v>
      </c>
      <c r="V287" s="1">
        <f>+IF(Tabla__192.168.1.8_POSEIDONSQL_APPFVT_01_tblFillRateFechas[[#This Row],[Resultado]]=1,1,0)</f>
        <v>1</v>
      </c>
      <c r="W287" s="1" t="str">
        <f>+Tabla__192.168.1.8_POSEIDONSQL_APPFVT_01_tblFillRateFechas[[#This Row],[con_ocnumero]]&amp;Tabla__192.168.1.8_POSEIDONSQL_APPFVT_01_tblFillRateFechas[[#This Row],[con_codigounico]]</f>
        <v>9600628-</v>
      </c>
      <c r="X2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8" spans="1:24" x14ac:dyDescent="0.25">
      <c r="A288">
        <v>4</v>
      </c>
      <c r="B288" t="s">
        <v>56</v>
      </c>
      <c r="C288">
        <v>9600902</v>
      </c>
      <c r="D288" t="s">
        <v>12</v>
      </c>
      <c r="E288" t="s">
        <v>1962</v>
      </c>
      <c r="F288" t="s">
        <v>12</v>
      </c>
      <c r="G288">
        <v>1</v>
      </c>
      <c r="H288">
        <v>1</v>
      </c>
      <c r="I288" t="s">
        <v>1962</v>
      </c>
      <c r="J288">
        <v>0</v>
      </c>
      <c r="K288" t="s">
        <v>49</v>
      </c>
      <c r="L288" s="1">
        <f>+Tabla__192.168.1.8_POSEIDONSQL_APPFVT_01_tblFillRateFechas[[#This Row],[emb_cantidad]]-Tabla__192.168.1.8_POSEIDONSQL_APPFVT_01_tblFillRateFechas[[#This Row],[dev_cantidad]]</f>
        <v>1</v>
      </c>
      <c r="M288" s="1">
        <f>+IF(Tabla__192.168.1.8_POSEIDONSQL_APPFVT_01_tblFillRateFechas[[#This Row],[Cant_Resultante]]=Tabla__192.168.1.8_POSEIDONSQL_APPFVT_01_tblFillRateFechas[[#This Row],[cant_order]],1,0)</f>
        <v>1</v>
      </c>
      <c r="N2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8" s="1">
        <f>+IF(AND(Tabla__192.168.1.8_POSEIDONSQL_APPFVT_01_tblFillRateFechas[[#This Row],[Valida Cant]]=1,Tabla__192.168.1.8_POSEIDONSQL_APPFVT_01_tblFillRateFechas[[#This Row],[Valida Fec]]=1),1,0)</f>
        <v>1</v>
      </c>
      <c r="P288" s="1">
        <f>+(Tabla__192.168.1.8_POSEIDONSQL_APPFVT_01_tblFillRateFechas[[#This Row],[Cant_Resultante]]/Tabla__192.168.1.8_POSEIDONSQL_APPFVT_01_tblFillRateFechas[[#This Row],[cant_order]])*100</f>
        <v>100</v>
      </c>
      <c r="Q2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8" s="1">
        <f>+IF(Tabla__192.168.1.8_POSEIDONSQL_APPFVT_01_tblFillRateFechas[[#This Row],[cant_order]]&gt;0,1,0)</f>
        <v>1</v>
      </c>
      <c r="V288" s="1">
        <f>+IF(Tabla__192.168.1.8_POSEIDONSQL_APPFVT_01_tblFillRateFechas[[#This Row],[Resultado]]=1,1,0)</f>
        <v>1</v>
      </c>
      <c r="W288" s="1" t="str">
        <f>+Tabla__192.168.1.8_POSEIDONSQL_APPFVT_01_tblFillRateFechas[[#This Row],[con_ocnumero]]&amp;Tabla__192.168.1.8_POSEIDONSQL_APPFVT_01_tblFillRateFechas[[#This Row],[con_codigounico]]</f>
        <v>9600902-</v>
      </c>
      <c r="X2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89" spans="1:24" x14ac:dyDescent="0.25">
      <c r="A289">
        <v>4</v>
      </c>
      <c r="B289" t="s">
        <v>56</v>
      </c>
      <c r="C289">
        <v>9601995</v>
      </c>
      <c r="D289" t="s">
        <v>12</v>
      </c>
      <c r="E289" t="s">
        <v>1962</v>
      </c>
      <c r="F289" t="s">
        <v>12</v>
      </c>
      <c r="G289">
        <v>1</v>
      </c>
      <c r="H289">
        <v>1</v>
      </c>
      <c r="I289" t="s">
        <v>1962</v>
      </c>
      <c r="J289">
        <v>0</v>
      </c>
      <c r="K289" t="s">
        <v>49</v>
      </c>
      <c r="L289" s="1">
        <f>+Tabla__192.168.1.8_POSEIDONSQL_APPFVT_01_tblFillRateFechas[[#This Row],[emb_cantidad]]-Tabla__192.168.1.8_POSEIDONSQL_APPFVT_01_tblFillRateFechas[[#This Row],[dev_cantidad]]</f>
        <v>1</v>
      </c>
      <c r="M289" s="1">
        <f>+IF(Tabla__192.168.1.8_POSEIDONSQL_APPFVT_01_tblFillRateFechas[[#This Row],[Cant_Resultante]]=Tabla__192.168.1.8_POSEIDONSQL_APPFVT_01_tblFillRateFechas[[#This Row],[cant_order]],1,0)</f>
        <v>1</v>
      </c>
      <c r="N2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89" s="1">
        <f>+IF(AND(Tabla__192.168.1.8_POSEIDONSQL_APPFVT_01_tblFillRateFechas[[#This Row],[Valida Cant]]=1,Tabla__192.168.1.8_POSEIDONSQL_APPFVT_01_tblFillRateFechas[[#This Row],[Valida Fec]]=1),1,0)</f>
        <v>1</v>
      </c>
      <c r="P289" s="1">
        <f>+(Tabla__192.168.1.8_POSEIDONSQL_APPFVT_01_tblFillRateFechas[[#This Row],[Cant_Resultante]]/Tabla__192.168.1.8_POSEIDONSQL_APPFVT_01_tblFillRateFechas[[#This Row],[cant_order]])*100</f>
        <v>100</v>
      </c>
      <c r="Q2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89" s="1">
        <f>+IF(Tabla__192.168.1.8_POSEIDONSQL_APPFVT_01_tblFillRateFechas[[#This Row],[cant_order]]&gt;0,1,0)</f>
        <v>1</v>
      </c>
      <c r="V289" s="1">
        <f>+IF(Tabla__192.168.1.8_POSEIDONSQL_APPFVT_01_tblFillRateFechas[[#This Row],[Resultado]]=1,1,0)</f>
        <v>1</v>
      </c>
      <c r="W289" s="1" t="str">
        <f>+Tabla__192.168.1.8_POSEIDONSQL_APPFVT_01_tblFillRateFechas[[#This Row],[con_ocnumero]]&amp;Tabla__192.168.1.8_POSEIDONSQL_APPFVT_01_tblFillRateFechas[[#This Row],[con_codigounico]]</f>
        <v>9601995-</v>
      </c>
      <c r="X2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0" spans="1:24" x14ac:dyDescent="0.25">
      <c r="A290">
        <v>4</v>
      </c>
      <c r="B290" t="s">
        <v>56</v>
      </c>
      <c r="C290">
        <v>9604950</v>
      </c>
      <c r="D290" t="s">
        <v>12</v>
      </c>
      <c r="E290" t="s">
        <v>1980</v>
      </c>
      <c r="F290" t="s">
        <v>1972</v>
      </c>
      <c r="G290">
        <v>1</v>
      </c>
      <c r="H290">
        <v>1</v>
      </c>
      <c r="I290" t="s">
        <v>1980</v>
      </c>
      <c r="J290">
        <v>0</v>
      </c>
      <c r="K290" t="s">
        <v>49</v>
      </c>
      <c r="L290" s="1">
        <f>+Tabla__192.168.1.8_POSEIDONSQL_APPFVT_01_tblFillRateFechas[[#This Row],[emb_cantidad]]-Tabla__192.168.1.8_POSEIDONSQL_APPFVT_01_tblFillRateFechas[[#This Row],[dev_cantidad]]</f>
        <v>1</v>
      </c>
      <c r="M290" s="1">
        <f>+IF(Tabla__192.168.1.8_POSEIDONSQL_APPFVT_01_tblFillRateFechas[[#This Row],[Cant_Resultante]]=Tabla__192.168.1.8_POSEIDONSQL_APPFVT_01_tblFillRateFechas[[#This Row],[cant_order]],1,0)</f>
        <v>1</v>
      </c>
      <c r="N2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0" s="1">
        <f>+IF(AND(Tabla__192.168.1.8_POSEIDONSQL_APPFVT_01_tblFillRateFechas[[#This Row],[Valida Cant]]=1,Tabla__192.168.1.8_POSEIDONSQL_APPFVT_01_tblFillRateFechas[[#This Row],[Valida Fec]]=1),1,0)</f>
        <v>1</v>
      </c>
      <c r="P290" s="1">
        <f>+(Tabla__192.168.1.8_POSEIDONSQL_APPFVT_01_tblFillRateFechas[[#This Row],[Cant_Resultante]]/Tabla__192.168.1.8_POSEIDONSQL_APPFVT_01_tblFillRateFechas[[#This Row],[cant_order]])*100</f>
        <v>100</v>
      </c>
      <c r="Q2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0" s="1">
        <f>+IF(Tabla__192.168.1.8_POSEIDONSQL_APPFVT_01_tblFillRateFechas[[#This Row],[cant_order]]&gt;0,1,0)</f>
        <v>1</v>
      </c>
      <c r="V290" s="1">
        <f>+IF(Tabla__192.168.1.8_POSEIDONSQL_APPFVT_01_tblFillRateFechas[[#This Row],[Resultado]]=1,1,0)</f>
        <v>1</v>
      </c>
      <c r="W290" s="1" t="str">
        <f>+Tabla__192.168.1.8_POSEIDONSQL_APPFVT_01_tblFillRateFechas[[#This Row],[con_ocnumero]]&amp;Tabla__192.168.1.8_POSEIDONSQL_APPFVT_01_tblFillRateFechas[[#This Row],[con_codigounico]]</f>
        <v>9604950-</v>
      </c>
      <c r="X2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1" spans="1:24" x14ac:dyDescent="0.25">
      <c r="A291">
        <v>4</v>
      </c>
      <c r="B291" t="s">
        <v>56</v>
      </c>
      <c r="C291">
        <v>9608491</v>
      </c>
      <c r="D291" t="s">
        <v>1976</v>
      </c>
      <c r="E291" t="s">
        <v>1980</v>
      </c>
      <c r="F291" t="s">
        <v>1975</v>
      </c>
      <c r="G291">
        <v>1</v>
      </c>
      <c r="H291">
        <v>1</v>
      </c>
      <c r="I291" t="s">
        <v>1980</v>
      </c>
      <c r="J291">
        <v>0</v>
      </c>
      <c r="K291" t="s">
        <v>49</v>
      </c>
      <c r="L291" s="1">
        <f>+Tabla__192.168.1.8_POSEIDONSQL_APPFVT_01_tblFillRateFechas[[#This Row],[emb_cantidad]]-Tabla__192.168.1.8_POSEIDONSQL_APPFVT_01_tblFillRateFechas[[#This Row],[dev_cantidad]]</f>
        <v>1</v>
      </c>
      <c r="M291" s="1">
        <f>+IF(Tabla__192.168.1.8_POSEIDONSQL_APPFVT_01_tblFillRateFechas[[#This Row],[Cant_Resultante]]=Tabla__192.168.1.8_POSEIDONSQL_APPFVT_01_tblFillRateFechas[[#This Row],[cant_order]],1,0)</f>
        <v>1</v>
      </c>
      <c r="N2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1" s="1">
        <f>+IF(AND(Tabla__192.168.1.8_POSEIDONSQL_APPFVT_01_tblFillRateFechas[[#This Row],[Valida Cant]]=1,Tabla__192.168.1.8_POSEIDONSQL_APPFVT_01_tblFillRateFechas[[#This Row],[Valida Fec]]=1),1,0)</f>
        <v>1</v>
      </c>
      <c r="P291" s="1">
        <f>+(Tabla__192.168.1.8_POSEIDONSQL_APPFVT_01_tblFillRateFechas[[#This Row],[Cant_Resultante]]/Tabla__192.168.1.8_POSEIDONSQL_APPFVT_01_tblFillRateFechas[[#This Row],[cant_order]])*100</f>
        <v>100</v>
      </c>
      <c r="Q2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1" s="1">
        <f>+IF(Tabla__192.168.1.8_POSEIDONSQL_APPFVT_01_tblFillRateFechas[[#This Row],[cant_order]]&gt;0,1,0)</f>
        <v>1</v>
      </c>
      <c r="V291" s="1">
        <f>+IF(Tabla__192.168.1.8_POSEIDONSQL_APPFVT_01_tblFillRateFechas[[#This Row],[Resultado]]=1,1,0)</f>
        <v>1</v>
      </c>
      <c r="W291" s="1" t="str">
        <f>+Tabla__192.168.1.8_POSEIDONSQL_APPFVT_01_tblFillRateFechas[[#This Row],[con_ocnumero]]&amp;Tabla__192.168.1.8_POSEIDONSQL_APPFVT_01_tblFillRateFechas[[#This Row],[con_codigounico]]</f>
        <v>9608491-</v>
      </c>
      <c r="X2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2" spans="1:24" x14ac:dyDescent="0.25">
      <c r="A292">
        <v>4</v>
      </c>
      <c r="B292" t="s">
        <v>56</v>
      </c>
      <c r="C292">
        <v>9609066</v>
      </c>
      <c r="D292" t="s">
        <v>1976</v>
      </c>
      <c r="E292" t="s">
        <v>1980</v>
      </c>
      <c r="F292" t="s">
        <v>1975</v>
      </c>
      <c r="G292">
        <v>1</v>
      </c>
      <c r="H292">
        <v>1</v>
      </c>
      <c r="I292" t="s">
        <v>1980</v>
      </c>
      <c r="J292">
        <v>0</v>
      </c>
      <c r="K292" t="s">
        <v>49</v>
      </c>
      <c r="L292" s="1">
        <f>+Tabla__192.168.1.8_POSEIDONSQL_APPFVT_01_tblFillRateFechas[[#This Row],[emb_cantidad]]-Tabla__192.168.1.8_POSEIDONSQL_APPFVT_01_tblFillRateFechas[[#This Row],[dev_cantidad]]</f>
        <v>1</v>
      </c>
      <c r="M292" s="1">
        <f>+IF(Tabla__192.168.1.8_POSEIDONSQL_APPFVT_01_tblFillRateFechas[[#This Row],[Cant_Resultante]]=Tabla__192.168.1.8_POSEIDONSQL_APPFVT_01_tblFillRateFechas[[#This Row],[cant_order]],1,0)</f>
        <v>1</v>
      </c>
      <c r="N2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2" s="1">
        <f>+IF(AND(Tabla__192.168.1.8_POSEIDONSQL_APPFVT_01_tblFillRateFechas[[#This Row],[Valida Cant]]=1,Tabla__192.168.1.8_POSEIDONSQL_APPFVT_01_tblFillRateFechas[[#This Row],[Valida Fec]]=1),1,0)</f>
        <v>1</v>
      </c>
      <c r="P292" s="1">
        <f>+(Tabla__192.168.1.8_POSEIDONSQL_APPFVT_01_tblFillRateFechas[[#This Row],[Cant_Resultante]]/Tabla__192.168.1.8_POSEIDONSQL_APPFVT_01_tblFillRateFechas[[#This Row],[cant_order]])*100</f>
        <v>100</v>
      </c>
      <c r="Q2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2" s="1">
        <f>+IF(Tabla__192.168.1.8_POSEIDONSQL_APPFVT_01_tblFillRateFechas[[#This Row],[cant_order]]&gt;0,1,0)</f>
        <v>1</v>
      </c>
      <c r="V292" s="1">
        <f>+IF(Tabla__192.168.1.8_POSEIDONSQL_APPFVT_01_tblFillRateFechas[[#This Row],[Resultado]]=1,1,0)</f>
        <v>1</v>
      </c>
      <c r="W292" s="1" t="str">
        <f>+Tabla__192.168.1.8_POSEIDONSQL_APPFVT_01_tblFillRateFechas[[#This Row],[con_ocnumero]]&amp;Tabla__192.168.1.8_POSEIDONSQL_APPFVT_01_tblFillRateFechas[[#This Row],[con_codigounico]]</f>
        <v>9609066-</v>
      </c>
      <c r="X2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3" spans="1:24" x14ac:dyDescent="0.25">
      <c r="A293">
        <v>4</v>
      </c>
      <c r="B293" t="s">
        <v>56</v>
      </c>
      <c r="C293">
        <v>9609069</v>
      </c>
      <c r="D293" t="s">
        <v>1976</v>
      </c>
      <c r="E293" t="s">
        <v>427</v>
      </c>
      <c r="F293" t="s">
        <v>1975</v>
      </c>
      <c r="G293">
        <v>2</v>
      </c>
      <c r="H293">
        <v>2</v>
      </c>
      <c r="I293" t="s">
        <v>1962</v>
      </c>
      <c r="J293">
        <v>0</v>
      </c>
      <c r="K293" t="s">
        <v>49</v>
      </c>
      <c r="L293" s="1">
        <f>+Tabla__192.168.1.8_POSEIDONSQL_APPFVT_01_tblFillRateFechas[[#This Row],[emb_cantidad]]-Tabla__192.168.1.8_POSEIDONSQL_APPFVT_01_tblFillRateFechas[[#This Row],[dev_cantidad]]</f>
        <v>2</v>
      </c>
      <c r="M293" s="1">
        <f>+IF(Tabla__192.168.1.8_POSEIDONSQL_APPFVT_01_tblFillRateFechas[[#This Row],[Cant_Resultante]]=Tabla__192.168.1.8_POSEIDONSQL_APPFVT_01_tblFillRateFechas[[#This Row],[cant_order]],1,0)</f>
        <v>1</v>
      </c>
      <c r="N2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3" s="1">
        <f>+IF(AND(Tabla__192.168.1.8_POSEIDONSQL_APPFVT_01_tblFillRateFechas[[#This Row],[Valida Cant]]=1,Tabla__192.168.1.8_POSEIDONSQL_APPFVT_01_tblFillRateFechas[[#This Row],[Valida Fec]]=1),1,0)</f>
        <v>1</v>
      </c>
      <c r="P293" s="1">
        <f>+(Tabla__192.168.1.8_POSEIDONSQL_APPFVT_01_tblFillRateFechas[[#This Row],[Cant_Resultante]]/Tabla__192.168.1.8_POSEIDONSQL_APPFVT_01_tblFillRateFechas[[#This Row],[cant_order]])*100</f>
        <v>100</v>
      </c>
      <c r="Q2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2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2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3" s="1">
        <f>+IF(Tabla__192.168.1.8_POSEIDONSQL_APPFVT_01_tblFillRateFechas[[#This Row],[cant_order]]&gt;0,1,0)</f>
        <v>1</v>
      </c>
      <c r="V293" s="1">
        <f>+IF(Tabla__192.168.1.8_POSEIDONSQL_APPFVT_01_tblFillRateFechas[[#This Row],[Resultado]]=1,1,0)</f>
        <v>1</v>
      </c>
      <c r="W293" s="1" t="str">
        <f>+Tabla__192.168.1.8_POSEIDONSQL_APPFVT_01_tblFillRateFechas[[#This Row],[con_ocnumero]]&amp;Tabla__192.168.1.8_POSEIDONSQL_APPFVT_01_tblFillRateFechas[[#This Row],[con_codigounico]]</f>
        <v>9609069-</v>
      </c>
      <c r="X2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294" spans="1:24" x14ac:dyDescent="0.25">
      <c r="A294">
        <v>4</v>
      </c>
      <c r="B294" t="s">
        <v>56</v>
      </c>
      <c r="C294">
        <v>9610000</v>
      </c>
      <c r="D294" t="s">
        <v>1974</v>
      </c>
      <c r="E294" t="s">
        <v>1980</v>
      </c>
      <c r="F294" t="s">
        <v>1975</v>
      </c>
      <c r="G294">
        <v>1</v>
      </c>
      <c r="H294">
        <v>1</v>
      </c>
      <c r="I294" t="s">
        <v>1980</v>
      </c>
      <c r="J294">
        <v>0</v>
      </c>
      <c r="K294" t="s">
        <v>49</v>
      </c>
      <c r="L294" s="1">
        <f>+Tabla__192.168.1.8_POSEIDONSQL_APPFVT_01_tblFillRateFechas[[#This Row],[emb_cantidad]]-Tabla__192.168.1.8_POSEIDONSQL_APPFVT_01_tblFillRateFechas[[#This Row],[dev_cantidad]]</f>
        <v>1</v>
      </c>
      <c r="M294" s="1">
        <f>+IF(Tabla__192.168.1.8_POSEIDONSQL_APPFVT_01_tblFillRateFechas[[#This Row],[Cant_Resultante]]=Tabla__192.168.1.8_POSEIDONSQL_APPFVT_01_tblFillRateFechas[[#This Row],[cant_order]],1,0)</f>
        <v>1</v>
      </c>
      <c r="N2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4" s="1">
        <f>+IF(AND(Tabla__192.168.1.8_POSEIDONSQL_APPFVT_01_tblFillRateFechas[[#This Row],[Valida Cant]]=1,Tabla__192.168.1.8_POSEIDONSQL_APPFVT_01_tblFillRateFechas[[#This Row],[Valida Fec]]=1),1,0)</f>
        <v>1</v>
      </c>
      <c r="P294" s="1">
        <f>+(Tabla__192.168.1.8_POSEIDONSQL_APPFVT_01_tblFillRateFechas[[#This Row],[Cant_Resultante]]/Tabla__192.168.1.8_POSEIDONSQL_APPFVT_01_tblFillRateFechas[[#This Row],[cant_order]])*100</f>
        <v>100</v>
      </c>
      <c r="Q2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4" s="1">
        <f>+IF(Tabla__192.168.1.8_POSEIDONSQL_APPFVT_01_tblFillRateFechas[[#This Row],[cant_order]]&gt;0,1,0)</f>
        <v>1</v>
      </c>
      <c r="V294" s="1">
        <f>+IF(Tabla__192.168.1.8_POSEIDONSQL_APPFVT_01_tblFillRateFechas[[#This Row],[Resultado]]=1,1,0)</f>
        <v>1</v>
      </c>
      <c r="W294" s="1" t="str">
        <f>+Tabla__192.168.1.8_POSEIDONSQL_APPFVT_01_tblFillRateFechas[[#This Row],[con_ocnumero]]&amp;Tabla__192.168.1.8_POSEIDONSQL_APPFVT_01_tblFillRateFechas[[#This Row],[con_codigounico]]</f>
        <v>9610000-</v>
      </c>
      <c r="X2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5" spans="1:24" x14ac:dyDescent="0.25">
      <c r="A295">
        <v>4</v>
      </c>
      <c r="B295" t="s">
        <v>56</v>
      </c>
      <c r="C295">
        <v>9610052</v>
      </c>
      <c r="D295" t="s">
        <v>1974</v>
      </c>
      <c r="E295" t="s">
        <v>1980</v>
      </c>
      <c r="F295" t="s">
        <v>1975</v>
      </c>
      <c r="G295">
        <v>1</v>
      </c>
      <c r="H295">
        <v>1</v>
      </c>
      <c r="I295" t="s">
        <v>1980</v>
      </c>
      <c r="J295">
        <v>0</v>
      </c>
      <c r="K295" t="s">
        <v>49</v>
      </c>
      <c r="L295" s="1">
        <f>+Tabla__192.168.1.8_POSEIDONSQL_APPFVT_01_tblFillRateFechas[[#This Row],[emb_cantidad]]-Tabla__192.168.1.8_POSEIDONSQL_APPFVT_01_tblFillRateFechas[[#This Row],[dev_cantidad]]</f>
        <v>1</v>
      </c>
      <c r="M295" s="1">
        <f>+IF(Tabla__192.168.1.8_POSEIDONSQL_APPFVT_01_tblFillRateFechas[[#This Row],[Cant_Resultante]]=Tabla__192.168.1.8_POSEIDONSQL_APPFVT_01_tblFillRateFechas[[#This Row],[cant_order]],1,0)</f>
        <v>1</v>
      </c>
      <c r="N2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5" s="1">
        <f>+IF(AND(Tabla__192.168.1.8_POSEIDONSQL_APPFVT_01_tblFillRateFechas[[#This Row],[Valida Cant]]=1,Tabla__192.168.1.8_POSEIDONSQL_APPFVT_01_tblFillRateFechas[[#This Row],[Valida Fec]]=1),1,0)</f>
        <v>1</v>
      </c>
      <c r="P295" s="1">
        <f>+(Tabla__192.168.1.8_POSEIDONSQL_APPFVT_01_tblFillRateFechas[[#This Row],[Cant_Resultante]]/Tabla__192.168.1.8_POSEIDONSQL_APPFVT_01_tblFillRateFechas[[#This Row],[cant_order]])*100</f>
        <v>100</v>
      </c>
      <c r="Q2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5" s="1">
        <f>+IF(Tabla__192.168.1.8_POSEIDONSQL_APPFVT_01_tblFillRateFechas[[#This Row],[cant_order]]&gt;0,1,0)</f>
        <v>1</v>
      </c>
      <c r="V295" s="1">
        <f>+IF(Tabla__192.168.1.8_POSEIDONSQL_APPFVT_01_tblFillRateFechas[[#This Row],[Resultado]]=1,1,0)</f>
        <v>1</v>
      </c>
      <c r="W295" s="1" t="str">
        <f>+Tabla__192.168.1.8_POSEIDONSQL_APPFVT_01_tblFillRateFechas[[#This Row],[con_ocnumero]]&amp;Tabla__192.168.1.8_POSEIDONSQL_APPFVT_01_tblFillRateFechas[[#This Row],[con_codigounico]]</f>
        <v>9610052-</v>
      </c>
      <c r="X2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6" spans="1:24" x14ac:dyDescent="0.25">
      <c r="A296">
        <v>4</v>
      </c>
      <c r="B296" t="s">
        <v>56</v>
      </c>
      <c r="C296">
        <v>9612153</v>
      </c>
      <c r="D296" t="s">
        <v>1975</v>
      </c>
      <c r="E296" t="s">
        <v>1980</v>
      </c>
      <c r="F296" t="s">
        <v>1975</v>
      </c>
      <c r="G296">
        <v>1</v>
      </c>
      <c r="H296">
        <v>1</v>
      </c>
      <c r="I296" t="s">
        <v>1980</v>
      </c>
      <c r="J296">
        <v>0</v>
      </c>
      <c r="K296" t="s">
        <v>49</v>
      </c>
      <c r="L296" s="1">
        <f>+Tabla__192.168.1.8_POSEIDONSQL_APPFVT_01_tblFillRateFechas[[#This Row],[emb_cantidad]]-Tabla__192.168.1.8_POSEIDONSQL_APPFVT_01_tblFillRateFechas[[#This Row],[dev_cantidad]]</f>
        <v>1</v>
      </c>
      <c r="M296" s="1">
        <f>+IF(Tabla__192.168.1.8_POSEIDONSQL_APPFVT_01_tblFillRateFechas[[#This Row],[Cant_Resultante]]=Tabla__192.168.1.8_POSEIDONSQL_APPFVT_01_tblFillRateFechas[[#This Row],[cant_order]],1,0)</f>
        <v>1</v>
      </c>
      <c r="N2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6" s="1">
        <f>+IF(AND(Tabla__192.168.1.8_POSEIDONSQL_APPFVT_01_tblFillRateFechas[[#This Row],[Valida Cant]]=1,Tabla__192.168.1.8_POSEIDONSQL_APPFVT_01_tblFillRateFechas[[#This Row],[Valida Fec]]=1),1,0)</f>
        <v>1</v>
      </c>
      <c r="P296" s="1">
        <f>+(Tabla__192.168.1.8_POSEIDONSQL_APPFVT_01_tblFillRateFechas[[#This Row],[Cant_Resultante]]/Tabla__192.168.1.8_POSEIDONSQL_APPFVT_01_tblFillRateFechas[[#This Row],[cant_order]])*100</f>
        <v>100</v>
      </c>
      <c r="Q2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6" s="1">
        <f>+IF(Tabla__192.168.1.8_POSEIDONSQL_APPFVT_01_tblFillRateFechas[[#This Row],[cant_order]]&gt;0,1,0)</f>
        <v>1</v>
      </c>
      <c r="V296" s="1">
        <f>+IF(Tabla__192.168.1.8_POSEIDONSQL_APPFVT_01_tblFillRateFechas[[#This Row],[Resultado]]=1,1,0)</f>
        <v>1</v>
      </c>
      <c r="W296" s="1" t="str">
        <f>+Tabla__192.168.1.8_POSEIDONSQL_APPFVT_01_tblFillRateFechas[[#This Row],[con_ocnumero]]&amp;Tabla__192.168.1.8_POSEIDONSQL_APPFVT_01_tblFillRateFechas[[#This Row],[con_codigounico]]</f>
        <v>9612153-</v>
      </c>
      <c r="X2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7" spans="1:24" x14ac:dyDescent="0.25">
      <c r="A297">
        <v>4</v>
      </c>
      <c r="B297" t="s">
        <v>56</v>
      </c>
      <c r="C297">
        <v>9613046</v>
      </c>
      <c r="D297" t="s">
        <v>1975</v>
      </c>
      <c r="E297" t="s">
        <v>1980</v>
      </c>
      <c r="F297" t="s">
        <v>1978</v>
      </c>
      <c r="G297">
        <v>1</v>
      </c>
      <c r="H297">
        <v>1</v>
      </c>
      <c r="I297" t="s">
        <v>1980</v>
      </c>
      <c r="J297">
        <v>0</v>
      </c>
      <c r="K297" t="s">
        <v>49</v>
      </c>
      <c r="L297" s="1">
        <f>+Tabla__192.168.1.8_POSEIDONSQL_APPFVT_01_tblFillRateFechas[[#This Row],[emb_cantidad]]-Tabla__192.168.1.8_POSEIDONSQL_APPFVT_01_tblFillRateFechas[[#This Row],[dev_cantidad]]</f>
        <v>1</v>
      </c>
      <c r="M297" s="1">
        <f>+IF(Tabla__192.168.1.8_POSEIDONSQL_APPFVT_01_tblFillRateFechas[[#This Row],[Cant_Resultante]]=Tabla__192.168.1.8_POSEIDONSQL_APPFVT_01_tblFillRateFechas[[#This Row],[cant_order]],1,0)</f>
        <v>1</v>
      </c>
      <c r="N2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7" s="1">
        <f>+IF(AND(Tabla__192.168.1.8_POSEIDONSQL_APPFVT_01_tblFillRateFechas[[#This Row],[Valida Cant]]=1,Tabla__192.168.1.8_POSEIDONSQL_APPFVT_01_tblFillRateFechas[[#This Row],[Valida Fec]]=1),1,0)</f>
        <v>1</v>
      </c>
      <c r="P297" s="1">
        <f>+(Tabla__192.168.1.8_POSEIDONSQL_APPFVT_01_tblFillRateFechas[[#This Row],[Cant_Resultante]]/Tabla__192.168.1.8_POSEIDONSQL_APPFVT_01_tblFillRateFechas[[#This Row],[cant_order]])*100</f>
        <v>100</v>
      </c>
      <c r="Q2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7" s="1">
        <f>+IF(Tabla__192.168.1.8_POSEIDONSQL_APPFVT_01_tblFillRateFechas[[#This Row],[cant_order]]&gt;0,1,0)</f>
        <v>1</v>
      </c>
      <c r="V297" s="1">
        <f>+IF(Tabla__192.168.1.8_POSEIDONSQL_APPFVT_01_tblFillRateFechas[[#This Row],[Resultado]]=1,1,0)</f>
        <v>1</v>
      </c>
      <c r="W297" s="1" t="str">
        <f>+Tabla__192.168.1.8_POSEIDONSQL_APPFVT_01_tblFillRateFechas[[#This Row],[con_ocnumero]]&amp;Tabla__192.168.1.8_POSEIDONSQL_APPFVT_01_tblFillRateFechas[[#This Row],[con_codigounico]]</f>
        <v>9613046-</v>
      </c>
      <c r="X2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298" spans="1:24" x14ac:dyDescent="0.25">
      <c r="A298">
        <v>4</v>
      </c>
      <c r="B298" t="s">
        <v>56</v>
      </c>
      <c r="C298">
        <v>9613392</v>
      </c>
      <c r="D298" t="s">
        <v>1975</v>
      </c>
      <c r="E298" t="s">
        <v>1962</v>
      </c>
      <c r="F298" t="s">
        <v>1978</v>
      </c>
      <c r="G298">
        <v>1</v>
      </c>
      <c r="H298">
        <v>0</v>
      </c>
      <c r="I298" t="s">
        <v>12</v>
      </c>
      <c r="J298">
        <v>0</v>
      </c>
      <c r="K298" t="s">
        <v>49</v>
      </c>
      <c r="L298" s="1">
        <f>+Tabla__192.168.1.8_POSEIDONSQL_APPFVT_01_tblFillRateFechas[[#This Row],[emb_cantidad]]-Tabla__192.168.1.8_POSEIDONSQL_APPFVT_01_tblFillRateFechas[[#This Row],[dev_cantidad]]</f>
        <v>0</v>
      </c>
      <c r="M298" s="1">
        <f>+IF(Tabla__192.168.1.8_POSEIDONSQL_APPFVT_01_tblFillRateFechas[[#This Row],[Cant_Resultante]]=Tabla__192.168.1.8_POSEIDONSQL_APPFVT_01_tblFillRateFechas[[#This Row],[cant_order]],1,0)</f>
        <v>0</v>
      </c>
      <c r="N2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298" s="1">
        <f>+IF(AND(Tabla__192.168.1.8_POSEIDONSQL_APPFVT_01_tblFillRateFechas[[#This Row],[Valida Cant]]=1,Tabla__192.168.1.8_POSEIDONSQL_APPFVT_01_tblFillRateFechas[[#This Row],[Valida Fec]]=1),1,0)</f>
        <v>0</v>
      </c>
      <c r="P298" s="1">
        <f>+(Tabla__192.168.1.8_POSEIDONSQL_APPFVT_01_tblFillRateFechas[[#This Row],[Cant_Resultante]]/Tabla__192.168.1.8_POSEIDONSQL_APPFVT_01_tblFillRateFechas[[#This Row],[cant_order]])*100</f>
        <v>0</v>
      </c>
      <c r="Q2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2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2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298" s="1">
        <f>+IF(Tabla__192.168.1.8_POSEIDONSQL_APPFVT_01_tblFillRateFechas[[#This Row],[cant_order]]&gt;0,1,0)</f>
        <v>1</v>
      </c>
      <c r="V298" s="1">
        <f>+IF(Tabla__192.168.1.8_POSEIDONSQL_APPFVT_01_tblFillRateFechas[[#This Row],[Resultado]]=1,1,0)</f>
        <v>0</v>
      </c>
      <c r="W298" s="1" t="str">
        <f>+Tabla__192.168.1.8_POSEIDONSQL_APPFVT_01_tblFillRateFechas[[#This Row],[con_ocnumero]]&amp;Tabla__192.168.1.8_POSEIDONSQL_APPFVT_01_tblFillRateFechas[[#This Row],[con_codigounico]]</f>
        <v>9613392-</v>
      </c>
      <c r="X2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299" spans="1:24" x14ac:dyDescent="0.25">
      <c r="A299">
        <v>4</v>
      </c>
      <c r="B299" t="s">
        <v>56</v>
      </c>
      <c r="C299">
        <v>9613561</v>
      </c>
      <c r="D299" t="s">
        <v>1975</v>
      </c>
      <c r="E299" t="s">
        <v>160</v>
      </c>
      <c r="F299" t="s">
        <v>1978</v>
      </c>
      <c r="G299">
        <v>1</v>
      </c>
      <c r="H299">
        <v>1</v>
      </c>
      <c r="I299" t="s">
        <v>1962</v>
      </c>
      <c r="J299">
        <v>0</v>
      </c>
      <c r="K299" t="s">
        <v>49</v>
      </c>
      <c r="L299" s="1">
        <f>+Tabla__192.168.1.8_POSEIDONSQL_APPFVT_01_tblFillRateFechas[[#This Row],[emb_cantidad]]-Tabla__192.168.1.8_POSEIDONSQL_APPFVT_01_tblFillRateFechas[[#This Row],[dev_cantidad]]</f>
        <v>1</v>
      </c>
      <c r="M299" s="1">
        <f>+IF(Tabla__192.168.1.8_POSEIDONSQL_APPFVT_01_tblFillRateFechas[[#This Row],[Cant_Resultante]]=Tabla__192.168.1.8_POSEIDONSQL_APPFVT_01_tblFillRateFechas[[#This Row],[cant_order]],1,0)</f>
        <v>1</v>
      </c>
      <c r="N2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299" s="1">
        <f>+IF(AND(Tabla__192.168.1.8_POSEIDONSQL_APPFVT_01_tblFillRateFechas[[#This Row],[Valida Cant]]=1,Tabla__192.168.1.8_POSEIDONSQL_APPFVT_01_tblFillRateFechas[[#This Row],[Valida Fec]]=1),1,0)</f>
        <v>1</v>
      </c>
      <c r="P299" s="1">
        <f>+(Tabla__192.168.1.8_POSEIDONSQL_APPFVT_01_tblFillRateFechas[[#This Row],[Cant_Resultante]]/Tabla__192.168.1.8_POSEIDONSQL_APPFVT_01_tblFillRateFechas[[#This Row],[cant_order]])*100</f>
        <v>100</v>
      </c>
      <c r="Q2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2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2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2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299" s="1">
        <f>+IF(Tabla__192.168.1.8_POSEIDONSQL_APPFVT_01_tblFillRateFechas[[#This Row],[cant_order]]&gt;0,1,0)</f>
        <v>1</v>
      </c>
      <c r="V299" s="1">
        <f>+IF(Tabla__192.168.1.8_POSEIDONSQL_APPFVT_01_tblFillRateFechas[[#This Row],[Resultado]]=1,1,0)</f>
        <v>1</v>
      </c>
      <c r="W299" s="1" t="str">
        <f>+Tabla__192.168.1.8_POSEIDONSQL_APPFVT_01_tblFillRateFechas[[#This Row],[con_ocnumero]]&amp;Tabla__192.168.1.8_POSEIDONSQL_APPFVT_01_tblFillRateFechas[[#This Row],[con_codigounico]]</f>
        <v>9613561-</v>
      </c>
      <c r="X2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0" spans="1:24" x14ac:dyDescent="0.25">
      <c r="A300">
        <v>4</v>
      </c>
      <c r="B300" t="s">
        <v>56</v>
      </c>
      <c r="C300">
        <v>9613676</v>
      </c>
      <c r="D300" t="s">
        <v>1975</v>
      </c>
      <c r="E300" t="s">
        <v>1962</v>
      </c>
      <c r="F300" t="s">
        <v>1978</v>
      </c>
      <c r="G300">
        <v>1</v>
      </c>
      <c r="H300">
        <v>1</v>
      </c>
      <c r="I300" t="s">
        <v>1962</v>
      </c>
      <c r="J300">
        <v>0</v>
      </c>
      <c r="K300" t="s">
        <v>49</v>
      </c>
      <c r="L300" s="1">
        <f>+Tabla__192.168.1.8_POSEIDONSQL_APPFVT_01_tblFillRateFechas[[#This Row],[emb_cantidad]]-Tabla__192.168.1.8_POSEIDONSQL_APPFVT_01_tblFillRateFechas[[#This Row],[dev_cantidad]]</f>
        <v>1</v>
      </c>
      <c r="M300" s="1">
        <f>+IF(Tabla__192.168.1.8_POSEIDONSQL_APPFVT_01_tblFillRateFechas[[#This Row],[Cant_Resultante]]=Tabla__192.168.1.8_POSEIDONSQL_APPFVT_01_tblFillRateFechas[[#This Row],[cant_order]],1,0)</f>
        <v>1</v>
      </c>
      <c r="N3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0" s="1">
        <f>+IF(AND(Tabla__192.168.1.8_POSEIDONSQL_APPFVT_01_tblFillRateFechas[[#This Row],[Valida Cant]]=1,Tabla__192.168.1.8_POSEIDONSQL_APPFVT_01_tblFillRateFechas[[#This Row],[Valida Fec]]=1),1,0)</f>
        <v>1</v>
      </c>
      <c r="P300" s="1">
        <f>+(Tabla__192.168.1.8_POSEIDONSQL_APPFVT_01_tblFillRateFechas[[#This Row],[Cant_Resultante]]/Tabla__192.168.1.8_POSEIDONSQL_APPFVT_01_tblFillRateFechas[[#This Row],[cant_order]])*100</f>
        <v>100</v>
      </c>
      <c r="Q3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0" s="1">
        <f>+IF(Tabla__192.168.1.8_POSEIDONSQL_APPFVT_01_tblFillRateFechas[[#This Row],[cant_order]]&gt;0,1,0)</f>
        <v>1</v>
      </c>
      <c r="V300" s="1">
        <f>+IF(Tabla__192.168.1.8_POSEIDONSQL_APPFVT_01_tblFillRateFechas[[#This Row],[Resultado]]=1,1,0)</f>
        <v>1</v>
      </c>
      <c r="W300" s="1" t="str">
        <f>+Tabla__192.168.1.8_POSEIDONSQL_APPFVT_01_tblFillRateFechas[[#This Row],[con_ocnumero]]&amp;Tabla__192.168.1.8_POSEIDONSQL_APPFVT_01_tblFillRateFechas[[#This Row],[con_codigounico]]</f>
        <v>9613676-</v>
      </c>
      <c r="X3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1" spans="1:24" x14ac:dyDescent="0.25">
      <c r="A301">
        <v>4</v>
      </c>
      <c r="B301" t="s">
        <v>56</v>
      </c>
      <c r="C301">
        <v>9615050</v>
      </c>
      <c r="D301" t="s">
        <v>1975</v>
      </c>
      <c r="E301" t="s">
        <v>1971</v>
      </c>
      <c r="F301" t="s">
        <v>1978</v>
      </c>
      <c r="G301">
        <v>2</v>
      </c>
      <c r="H301">
        <v>2</v>
      </c>
      <c r="I301" t="s">
        <v>1971</v>
      </c>
      <c r="J301">
        <v>1</v>
      </c>
      <c r="K301" t="s">
        <v>49</v>
      </c>
      <c r="L301" s="1">
        <f>+Tabla__192.168.1.8_POSEIDONSQL_APPFVT_01_tblFillRateFechas[[#This Row],[emb_cantidad]]-Tabla__192.168.1.8_POSEIDONSQL_APPFVT_01_tblFillRateFechas[[#This Row],[dev_cantidad]]</f>
        <v>1</v>
      </c>
      <c r="M301" s="1">
        <f>+IF(Tabla__192.168.1.8_POSEIDONSQL_APPFVT_01_tblFillRateFechas[[#This Row],[Cant_Resultante]]=Tabla__192.168.1.8_POSEIDONSQL_APPFVT_01_tblFillRateFechas[[#This Row],[cant_order]],1,0)</f>
        <v>0</v>
      </c>
      <c r="N3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1" s="1">
        <f>+IF(AND(Tabla__192.168.1.8_POSEIDONSQL_APPFVT_01_tblFillRateFechas[[#This Row],[Valida Cant]]=1,Tabla__192.168.1.8_POSEIDONSQL_APPFVT_01_tblFillRateFechas[[#This Row],[Valida Fec]]=1),1,0)</f>
        <v>0</v>
      </c>
      <c r="P301" s="1">
        <f>+(Tabla__192.168.1.8_POSEIDONSQL_APPFVT_01_tblFillRateFechas[[#This Row],[Cant_Resultante]]/Tabla__192.168.1.8_POSEIDONSQL_APPFVT_01_tblFillRateFechas[[#This Row],[cant_order]])*100</f>
        <v>50</v>
      </c>
      <c r="Q3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3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301" s="1">
        <f>+IF(Tabla__192.168.1.8_POSEIDONSQL_APPFVT_01_tblFillRateFechas[[#This Row],[cant_order]]&gt;0,1,0)</f>
        <v>1</v>
      </c>
      <c r="V301" s="1">
        <f>+IF(Tabla__192.168.1.8_POSEIDONSQL_APPFVT_01_tblFillRateFechas[[#This Row],[Resultado]]=1,1,0)</f>
        <v>0</v>
      </c>
      <c r="W301" s="1" t="str">
        <f>+Tabla__192.168.1.8_POSEIDONSQL_APPFVT_01_tblFillRateFechas[[#This Row],[con_ocnumero]]&amp;Tabla__192.168.1.8_POSEIDONSQL_APPFVT_01_tblFillRateFechas[[#This Row],[con_codigounico]]</f>
        <v>9615050-</v>
      </c>
      <c r="X3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2" spans="1:24" x14ac:dyDescent="0.25">
      <c r="A302">
        <v>4</v>
      </c>
      <c r="B302" t="s">
        <v>56</v>
      </c>
      <c r="C302">
        <v>9615373</v>
      </c>
      <c r="D302" t="s">
        <v>1978</v>
      </c>
      <c r="E302" t="s">
        <v>1980</v>
      </c>
      <c r="F302" t="s">
        <v>1979</v>
      </c>
      <c r="G302">
        <v>2</v>
      </c>
      <c r="H302">
        <v>2</v>
      </c>
      <c r="I302" t="s">
        <v>1980</v>
      </c>
      <c r="J302">
        <v>0</v>
      </c>
      <c r="K302" t="s">
        <v>49</v>
      </c>
      <c r="L302" s="1">
        <f>+Tabla__192.168.1.8_POSEIDONSQL_APPFVT_01_tblFillRateFechas[[#This Row],[emb_cantidad]]-Tabla__192.168.1.8_POSEIDONSQL_APPFVT_01_tblFillRateFechas[[#This Row],[dev_cantidad]]</f>
        <v>2</v>
      </c>
      <c r="M302" s="1">
        <f>+IF(Tabla__192.168.1.8_POSEIDONSQL_APPFVT_01_tblFillRateFechas[[#This Row],[Cant_Resultante]]=Tabla__192.168.1.8_POSEIDONSQL_APPFVT_01_tblFillRateFechas[[#This Row],[cant_order]],1,0)</f>
        <v>1</v>
      </c>
      <c r="N3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2" s="1">
        <f>+IF(AND(Tabla__192.168.1.8_POSEIDONSQL_APPFVT_01_tblFillRateFechas[[#This Row],[Valida Cant]]=1,Tabla__192.168.1.8_POSEIDONSQL_APPFVT_01_tblFillRateFechas[[#This Row],[Valida Fec]]=1),1,0)</f>
        <v>1</v>
      </c>
      <c r="P302" s="1">
        <f>+(Tabla__192.168.1.8_POSEIDONSQL_APPFVT_01_tblFillRateFechas[[#This Row],[Cant_Resultante]]/Tabla__192.168.1.8_POSEIDONSQL_APPFVT_01_tblFillRateFechas[[#This Row],[cant_order]])*100</f>
        <v>100</v>
      </c>
      <c r="Q3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3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3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2" s="1">
        <f>+IF(Tabla__192.168.1.8_POSEIDONSQL_APPFVT_01_tblFillRateFechas[[#This Row],[cant_order]]&gt;0,1,0)</f>
        <v>1</v>
      </c>
      <c r="V302" s="1">
        <f>+IF(Tabla__192.168.1.8_POSEIDONSQL_APPFVT_01_tblFillRateFechas[[#This Row],[Resultado]]=1,1,0)</f>
        <v>1</v>
      </c>
      <c r="W302" s="1" t="str">
        <f>+Tabla__192.168.1.8_POSEIDONSQL_APPFVT_01_tblFillRateFechas[[#This Row],[con_ocnumero]]&amp;Tabla__192.168.1.8_POSEIDONSQL_APPFVT_01_tblFillRateFechas[[#This Row],[con_codigounico]]</f>
        <v>9615373-</v>
      </c>
      <c r="X3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303" spans="1:24" x14ac:dyDescent="0.25">
      <c r="A303">
        <v>4</v>
      </c>
      <c r="B303" t="s">
        <v>56</v>
      </c>
      <c r="C303">
        <v>9615458</v>
      </c>
      <c r="D303" t="s">
        <v>1978</v>
      </c>
      <c r="E303" t="s">
        <v>1969</v>
      </c>
      <c r="F303" t="s">
        <v>1979</v>
      </c>
      <c r="G303">
        <v>1</v>
      </c>
      <c r="H303">
        <v>1</v>
      </c>
      <c r="I303" t="s">
        <v>1962</v>
      </c>
      <c r="J303">
        <v>0</v>
      </c>
      <c r="K303" t="s">
        <v>49</v>
      </c>
      <c r="L303" s="1">
        <f>+Tabla__192.168.1.8_POSEIDONSQL_APPFVT_01_tblFillRateFechas[[#This Row],[emb_cantidad]]-Tabla__192.168.1.8_POSEIDONSQL_APPFVT_01_tblFillRateFechas[[#This Row],[dev_cantidad]]</f>
        <v>1</v>
      </c>
      <c r="M303" s="1">
        <f>+IF(Tabla__192.168.1.8_POSEIDONSQL_APPFVT_01_tblFillRateFechas[[#This Row],[Cant_Resultante]]=Tabla__192.168.1.8_POSEIDONSQL_APPFVT_01_tblFillRateFechas[[#This Row],[cant_order]],1,0)</f>
        <v>1</v>
      </c>
      <c r="N3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3" s="1">
        <f>+IF(AND(Tabla__192.168.1.8_POSEIDONSQL_APPFVT_01_tblFillRateFechas[[#This Row],[Valida Cant]]=1,Tabla__192.168.1.8_POSEIDONSQL_APPFVT_01_tblFillRateFechas[[#This Row],[Valida Fec]]=1),1,0)</f>
        <v>1</v>
      </c>
      <c r="P303" s="1">
        <f>+(Tabla__192.168.1.8_POSEIDONSQL_APPFVT_01_tblFillRateFechas[[#This Row],[Cant_Resultante]]/Tabla__192.168.1.8_POSEIDONSQL_APPFVT_01_tblFillRateFechas[[#This Row],[cant_order]])*100</f>
        <v>100</v>
      </c>
      <c r="Q3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3" s="1">
        <f>+IF(Tabla__192.168.1.8_POSEIDONSQL_APPFVT_01_tblFillRateFechas[[#This Row],[cant_order]]&gt;0,1,0)</f>
        <v>1</v>
      </c>
      <c r="V303" s="1">
        <f>+IF(Tabla__192.168.1.8_POSEIDONSQL_APPFVT_01_tblFillRateFechas[[#This Row],[Resultado]]=1,1,0)</f>
        <v>1</v>
      </c>
      <c r="W303" s="1" t="str">
        <f>+Tabla__192.168.1.8_POSEIDONSQL_APPFVT_01_tblFillRateFechas[[#This Row],[con_ocnumero]]&amp;Tabla__192.168.1.8_POSEIDONSQL_APPFVT_01_tblFillRateFechas[[#This Row],[con_codigounico]]</f>
        <v>9615458-</v>
      </c>
      <c r="X3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4" spans="1:24" x14ac:dyDescent="0.25">
      <c r="A304">
        <v>4</v>
      </c>
      <c r="B304" t="s">
        <v>56</v>
      </c>
      <c r="C304">
        <v>9615555</v>
      </c>
      <c r="D304" t="s">
        <v>1978</v>
      </c>
      <c r="E304" t="s">
        <v>1963</v>
      </c>
      <c r="F304" t="s">
        <v>1979</v>
      </c>
      <c r="G304">
        <v>1</v>
      </c>
      <c r="H304">
        <v>1</v>
      </c>
      <c r="I304" t="s">
        <v>1962</v>
      </c>
      <c r="J304">
        <v>0</v>
      </c>
      <c r="K304" t="s">
        <v>49</v>
      </c>
      <c r="L304" s="1">
        <f>+Tabla__192.168.1.8_POSEIDONSQL_APPFVT_01_tblFillRateFechas[[#This Row],[emb_cantidad]]-Tabla__192.168.1.8_POSEIDONSQL_APPFVT_01_tblFillRateFechas[[#This Row],[dev_cantidad]]</f>
        <v>1</v>
      </c>
      <c r="M304" s="1">
        <f>+IF(Tabla__192.168.1.8_POSEIDONSQL_APPFVT_01_tblFillRateFechas[[#This Row],[Cant_Resultante]]=Tabla__192.168.1.8_POSEIDONSQL_APPFVT_01_tblFillRateFechas[[#This Row],[cant_order]],1,0)</f>
        <v>1</v>
      </c>
      <c r="N3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4" s="1">
        <f>+IF(AND(Tabla__192.168.1.8_POSEIDONSQL_APPFVT_01_tblFillRateFechas[[#This Row],[Valida Cant]]=1,Tabla__192.168.1.8_POSEIDONSQL_APPFVT_01_tblFillRateFechas[[#This Row],[Valida Fec]]=1),1,0)</f>
        <v>1</v>
      </c>
      <c r="P304" s="1">
        <f>+(Tabla__192.168.1.8_POSEIDONSQL_APPFVT_01_tblFillRateFechas[[#This Row],[Cant_Resultante]]/Tabla__192.168.1.8_POSEIDONSQL_APPFVT_01_tblFillRateFechas[[#This Row],[cant_order]])*100</f>
        <v>100</v>
      </c>
      <c r="Q3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4" s="1">
        <f>+IF(Tabla__192.168.1.8_POSEIDONSQL_APPFVT_01_tblFillRateFechas[[#This Row],[cant_order]]&gt;0,1,0)</f>
        <v>1</v>
      </c>
      <c r="V304" s="1">
        <f>+IF(Tabla__192.168.1.8_POSEIDONSQL_APPFVT_01_tblFillRateFechas[[#This Row],[Resultado]]=1,1,0)</f>
        <v>1</v>
      </c>
      <c r="W304" s="1" t="str">
        <f>+Tabla__192.168.1.8_POSEIDONSQL_APPFVT_01_tblFillRateFechas[[#This Row],[con_ocnumero]]&amp;Tabla__192.168.1.8_POSEIDONSQL_APPFVT_01_tblFillRateFechas[[#This Row],[con_codigounico]]</f>
        <v>9615555-</v>
      </c>
      <c r="X3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5" spans="1:24" x14ac:dyDescent="0.25">
      <c r="A305">
        <v>4</v>
      </c>
      <c r="B305" t="s">
        <v>56</v>
      </c>
      <c r="C305">
        <v>9615589</v>
      </c>
      <c r="D305" t="s">
        <v>1978</v>
      </c>
      <c r="E305" t="s">
        <v>1971</v>
      </c>
      <c r="F305" t="s">
        <v>1979</v>
      </c>
      <c r="G305">
        <v>1</v>
      </c>
      <c r="H305">
        <v>1</v>
      </c>
      <c r="I305" t="s">
        <v>1971</v>
      </c>
      <c r="J305">
        <v>0</v>
      </c>
      <c r="K305" t="s">
        <v>49</v>
      </c>
      <c r="L305" s="1">
        <f>+Tabla__192.168.1.8_POSEIDONSQL_APPFVT_01_tblFillRateFechas[[#This Row],[emb_cantidad]]-Tabla__192.168.1.8_POSEIDONSQL_APPFVT_01_tblFillRateFechas[[#This Row],[dev_cantidad]]</f>
        <v>1</v>
      </c>
      <c r="M305" s="1">
        <f>+IF(Tabla__192.168.1.8_POSEIDONSQL_APPFVT_01_tblFillRateFechas[[#This Row],[Cant_Resultante]]=Tabla__192.168.1.8_POSEIDONSQL_APPFVT_01_tblFillRateFechas[[#This Row],[cant_order]],1,0)</f>
        <v>1</v>
      </c>
      <c r="N3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5" s="1">
        <f>+IF(AND(Tabla__192.168.1.8_POSEIDONSQL_APPFVT_01_tblFillRateFechas[[#This Row],[Valida Cant]]=1,Tabla__192.168.1.8_POSEIDONSQL_APPFVT_01_tblFillRateFechas[[#This Row],[Valida Fec]]=1),1,0)</f>
        <v>1</v>
      </c>
      <c r="P305" s="1">
        <f>+(Tabla__192.168.1.8_POSEIDONSQL_APPFVT_01_tblFillRateFechas[[#This Row],[Cant_Resultante]]/Tabla__192.168.1.8_POSEIDONSQL_APPFVT_01_tblFillRateFechas[[#This Row],[cant_order]])*100</f>
        <v>100</v>
      </c>
      <c r="Q3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5" s="1">
        <f>+IF(Tabla__192.168.1.8_POSEIDONSQL_APPFVT_01_tblFillRateFechas[[#This Row],[cant_order]]&gt;0,1,0)</f>
        <v>1</v>
      </c>
      <c r="V305" s="1">
        <f>+IF(Tabla__192.168.1.8_POSEIDONSQL_APPFVT_01_tblFillRateFechas[[#This Row],[Resultado]]=1,1,0)</f>
        <v>1</v>
      </c>
      <c r="W305" s="1" t="str">
        <f>+Tabla__192.168.1.8_POSEIDONSQL_APPFVT_01_tblFillRateFechas[[#This Row],[con_ocnumero]]&amp;Tabla__192.168.1.8_POSEIDONSQL_APPFVT_01_tblFillRateFechas[[#This Row],[con_codigounico]]</f>
        <v>9615589-</v>
      </c>
      <c r="X3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6" spans="1:24" x14ac:dyDescent="0.25">
      <c r="A306">
        <v>4</v>
      </c>
      <c r="B306" t="s">
        <v>56</v>
      </c>
      <c r="C306">
        <v>9615941</v>
      </c>
      <c r="D306" t="s">
        <v>1978</v>
      </c>
      <c r="E306" t="s">
        <v>1971</v>
      </c>
      <c r="F306" t="s">
        <v>1979</v>
      </c>
      <c r="G306">
        <v>1</v>
      </c>
      <c r="H306">
        <v>1</v>
      </c>
      <c r="I306" t="s">
        <v>1971</v>
      </c>
      <c r="J306">
        <v>0</v>
      </c>
      <c r="K306" t="s">
        <v>49</v>
      </c>
      <c r="L306" s="1">
        <f>+Tabla__192.168.1.8_POSEIDONSQL_APPFVT_01_tblFillRateFechas[[#This Row],[emb_cantidad]]-Tabla__192.168.1.8_POSEIDONSQL_APPFVT_01_tblFillRateFechas[[#This Row],[dev_cantidad]]</f>
        <v>1</v>
      </c>
      <c r="M306" s="1">
        <f>+IF(Tabla__192.168.1.8_POSEIDONSQL_APPFVT_01_tblFillRateFechas[[#This Row],[Cant_Resultante]]=Tabla__192.168.1.8_POSEIDONSQL_APPFVT_01_tblFillRateFechas[[#This Row],[cant_order]],1,0)</f>
        <v>1</v>
      </c>
      <c r="N3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6" s="1">
        <f>+IF(AND(Tabla__192.168.1.8_POSEIDONSQL_APPFVT_01_tblFillRateFechas[[#This Row],[Valida Cant]]=1,Tabla__192.168.1.8_POSEIDONSQL_APPFVT_01_tblFillRateFechas[[#This Row],[Valida Fec]]=1),1,0)</f>
        <v>1</v>
      </c>
      <c r="P306" s="1">
        <f>+(Tabla__192.168.1.8_POSEIDONSQL_APPFVT_01_tblFillRateFechas[[#This Row],[Cant_Resultante]]/Tabla__192.168.1.8_POSEIDONSQL_APPFVT_01_tblFillRateFechas[[#This Row],[cant_order]])*100</f>
        <v>100</v>
      </c>
      <c r="Q3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6" s="1">
        <f>+IF(Tabla__192.168.1.8_POSEIDONSQL_APPFVT_01_tblFillRateFechas[[#This Row],[cant_order]]&gt;0,1,0)</f>
        <v>1</v>
      </c>
      <c r="V306" s="1">
        <f>+IF(Tabla__192.168.1.8_POSEIDONSQL_APPFVT_01_tblFillRateFechas[[#This Row],[Resultado]]=1,1,0)</f>
        <v>1</v>
      </c>
      <c r="W306" s="1" t="str">
        <f>+Tabla__192.168.1.8_POSEIDONSQL_APPFVT_01_tblFillRateFechas[[#This Row],[con_ocnumero]]&amp;Tabla__192.168.1.8_POSEIDONSQL_APPFVT_01_tblFillRateFechas[[#This Row],[con_codigounico]]</f>
        <v>9615941-</v>
      </c>
      <c r="X3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7" spans="1:24" x14ac:dyDescent="0.25">
      <c r="A307">
        <v>4</v>
      </c>
      <c r="B307" t="s">
        <v>56</v>
      </c>
      <c r="C307">
        <v>9615948</v>
      </c>
      <c r="D307" t="s">
        <v>1978</v>
      </c>
      <c r="E307" t="s">
        <v>1971</v>
      </c>
      <c r="F307" t="s">
        <v>1979</v>
      </c>
      <c r="G307">
        <v>1</v>
      </c>
      <c r="H307">
        <v>1</v>
      </c>
      <c r="I307" t="s">
        <v>1971</v>
      </c>
      <c r="J307">
        <v>0</v>
      </c>
      <c r="K307" t="s">
        <v>49</v>
      </c>
      <c r="L307" s="1">
        <f>+Tabla__192.168.1.8_POSEIDONSQL_APPFVT_01_tblFillRateFechas[[#This Row],[emb_cantidad]]-Tabla__192.168.1.8_POSEIDONSQL_APPFVT_01_tblFillRateFechas[[#This Row],[dev_cantidad]]</f>
        <v>1</v>
      </c>
      <c r="M307" s="1">
        <f>+IF(Tabla__192.168.1.8_POSEIDONSQL_APPFVT_01_tblFillRateFechas[[#This Row],[Cant_Resultante]]=Tabla__192.168.1.8_POSEIDONSQL_APPFVT_01_tblFillRateFechas[[#This Row],[cant_order]],1,0)</f>
        <v>1</v>
      </c>
      <c r="N3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7" s="1">
        <f>+IF(AND(Tabla__192.168.1.8_POSEIDONSQL_APPFVT_01_tblFillRateFechas[[#This Row],[Valida Cant]]=1,Tabla__192.168.1.8_POSEIDONSQL_APPFVT_01_tblFillRateFechas[[#This Row],[Valida Fec]]=1),1,0)</f>
        <v>1</v>
      </c>
      <c r="P307" s="1">
        <f>+(Tabla__192.168.1.8_POSEIDONSQL_APPFVT_01_tblFillRateFechas[[#This Row],[Cant_Resultante]]/Tabla__192.168.1.8_POSEIDONSQL_APPFVT_01_tblFillRateFechas[[#This Row],[cant_order]])*100</f>
        <v>100</v>
      </c>
      <c r="Q3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7" s="1">
        <f>+IF(Tabla__192.168.1.8_POSEIDONSQL_APPFVT_01_tblFillRateFechas[[#This Row],[cant_order]]&gt;0,1,0)</f>
        <v>1</v>
      </c>
      <c r="V307" s="1">
        <f>+IF(Tabla__192.168.1.8_POSEIDONSQL_APPFVT_01_tblFillRateFechas[[#This Row],[Resultado]]=1,1,0)</f>
        <v>1</v>
      </c>
      <c r="W307" s="1" t="str">
        <f>+Tabla__192.168.1.8_POSEIDONSQL_APPFVT_01_tblFillRateFechas[[#This Row],[con_ocnumero]]&amp;Tabla__192.168.1.8_POSEIDONSQL_APPFVT_01_tblFillRateFechas[[#This Row],[con_codigounico]]</f>
        <v>9615948-</v>
      </c>
      <c r="X3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8" spans="1:24" x14ac:dyDescent="0.25">
      <c r="A308">
        <v>4</v>
      </c>
      <c r="B308" t="s">
        <v>56</v>
      </c>
      <c r="C308">
        <v>9616539</v>
      </c>
      <c r="D308" t="s">
        <v>1978</v>
      </c>
      <c r="E308" t="s">
        <v>1980</v>
      </c>
      <c r="F308" t="s">
        <v>1979</v>
      </c>
      <c r="G308">
        <v>1</v>
      </c>
      <c r="H308">
        <v>1</v>
      </c>
      <c r="I308" t="s">
        <v>1980</v>
      </c>
      <c r="J308">
        <v>0</v>
      </c>
      <c r="K308" t="s">
        <v>49</v>
      </c>
      <c r="L308" s="1">
        <f>+Tabla__192.168.1.8_POSEIDONSQL_APPFVT_01_tblFillRateFechas[[#This Row],[emb_cantidad]]-Tabla__192.168.1.8_POSEIDONSQL_APPFVT_01_tblFillRateFechas[[#This Row],[dev_cantidad]]</f>
        <v>1</v>
      </c>
      <c r="M308" s="1">
        <f>+IF(Tabla__192.168.1.8_POSEIDONSQL_APPFVT_01_tblFillRateFechas[[#This Row],[Cant_Resultante]]=Tabla__192.168.1.8_POSEIDONSQL_APPFVT_01_tblFillRateFechas[[#This Row],[cant_order]],1,0)</f>
        <v>1</v>
      </c>
      <c r="N3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8" s="1">
        <f>+IF(AND(Tabla__192.168.1.8_POSEIDONSQL_APPFVT_01_tblFillRateFechas[[#This Row],[Valida Cant]]=1,Tabla__192.168.1.8_POSEIDONSQL_APPFVT_01_tblFillRateFechas[[#This Row],[Valida Fec]]=1),1,0)</f>
        <v>1</v>
      </c>
      <c r="P308" s="1">
        <f>+(Tabla__192.168.1.8_POSEIDONSQL_APPFVT_01_tblFillRateFechas[[#This Row],[Cant_Resultante]]/Tabla__192.168.1.8_POSEIDONSQL_APPFVT_01_tblFillRateFechas[[#This Row],[cant_order]])*100</f>
        <v>100</v>
      </c>
      <c r="Q3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8" s="1">
        <f>+IF(Tabla__192.168.1.8_POSEIDONSQL_APPFVT_01_tblFillRateFechas[[#This Row],[cant_order]]&gt;0,1,0)</f>
        <v>1</v>
      </c>
      <c r="V308" s="1">
        <f>+IF(Tabla__192.168.1.8_POSEIDONSQL_APPFVT_01_tblFillRateFechas[[#This Row],[Resultado]]=1,1,0)</f>
        <v>1</v>
      </c>
      <c r="W308" s="1" t="str">
        <f>+Tabla__192.168.1.8_POSEIDONSQL_APPFVT_01_tblFillRateFechas[[#This Row],[con_ocnumero]]&amp;Tabla__192.168.1.8_POSEIDONSQL_APPFVT_01_tblFillRateFechas[[#This Row],[con_codigounico]]</f>
        <v>9616539-</v>
      </c>
      <c r="X3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09" spans="1:24" x14ac:dyDescent="0.25">
      <c r="A309">
        <v>4</v>
      </c>
      <c r="B309" t="s">
        <v>56</v>
      </c>
      <c r="C309">
        <v>9616623</v>
      </c>
      <c r="D309" t="s">
        <v>1978</v>
      </c>
      <c r="E309" t="s">
        <v>1980</v>
      </c>
      <c r="F309" t="s">
        <v>1979</v>
      </c>
      <c r="G309">
        <v>1</v>
      </c>
      <c r="H309">
        <v>1</v>
      </c>
      <c r="I309" t="s">
        <v>1980</v>
      </c>
      <c r="J309">
        <v>0</v>
      </c>
      <c r="K309" t="s">
        <v>49</v>
      </c>
      <c r="L309" s="1">
        <f>+Tabla__192.168.1.8_POSEIDONSQL_APPFVT_01_tblFillRateFechas[[#This Row],[emb_cantidad]]-Tabla__192.168.1.8_POSEIDONSQL_APPFVT_01_tblFillRateFechas[[#This Row],[dev_cantidad]]</f>
        <v>1</v>
      </c>
      <c r="M309" s="1">
        <f>+IF(Tabla__192.168.1.8_POSEIDONSQL_APPFVT_01_tblFillRateFechas[[#This Row],[Cant_Resultante]]=Tabla__192.168.1.8_POSEIDONSQL_APPFVT_01_tblFillRateFechas[[#This Row],[cant_order]],1,0)</f>
        <v>1</v>
      </c>
      <c r="N3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09" s="1">
        <f>+IF(AND(Tabla__192.168.1.8_POSEIDONSQL_APPFVT_01_tblFillRateFechas[[#This Row],[Valida Cant]]=1,Tabla__192.168.1.8_POSEIDONSQL_APPFVT_01_tblFillRateFechas[[#This Row],[Valida Fec]]=1),1,0)</f>
        <v>1</v>
      </c>
      <c r="P309" s="1">
        <f>+(Tabla__192.168.1.8_POSEIDONSQL_APPFVT_01_tblFillRateFechas[[#This Row],[Cant_Resultante]]/Tabla__192.168.1.8_POSEIDONSQL_APPFVT_01_tblFillRateFechas[[#This Row],[cant_order]])*100</f>
        <v>100</v>
      </c>
      <c r="Q3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09" s="1">
        <f>+IF(Tabla__192.168.1.8_POSEIDONSQL_APPFVT_01_tblFillRateFechas[[#This Row],[cant_order]]&gt;0,1,0)</f>
        <v>1</v>
      </c>
      <c r="V309" s="1">
        <f>+IF(Tabla__192.168.1.8_POSEIDONSQL_APPFVT_01_tblFillRateFechas[[#This Row],[Resultado]]=1,1,0)</f>
        <v>1</v>
      </c>
      <c r="W309" s="1" t="str">
        <f>+Tabla__192.168.1.8_POSEIDONSQL_APPFVT_01_tblFillRateFechas[[#This Row],[con_ocnumero]]&amp;Tabla__192.168.1.8_POSEIDONSQL_APPFVT_01_tblFillRateFechas[[#This Row],[con_codigounico]]</f>
        <v>9616623-</v>
      </c>
      <c r="X3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0" spans="1:24" x14ac:dyDescent="0.25">
      <c r="A310">
        <v>4</v>
      </c>
      <c r="B310" t="s">
        <v>56</v>
      </c>
      <c r="C310">
        <v>9616744</v>
      </c>
      <c r="D310" t="s">
        <v>1978</v>
      </c>
      <c r="E310" t="s">
        <v>1980</v>
      </c>
      <c r="F310" t="s">
        <v>1979</v>
      </c>
      <c r="G310">
        <v>1</v>
      </c>
      <c r="H310">
        <v>1</v>
      </c>
      <c r="I310" t="s">
        <v>1980</v>
      </c>
      <c r="J310">
        <v>0</v>
      </c>
      <c r="K310" t="s">
        <v>49</v>
      </c>
      <c r="L310" s="1">
        <f>+Tabla__192.168.1.8_POSEIDONSQL_APPFVT_01_tblFillRateFechas[[#This Row],[emb_cantidad]]-Tabla__192.168.1.8_POSEIDONSQL_APPFVT_01_tblFillRateFechas[[#This Row],[dev_cantidad]]</f>
        <v>1</v>
      </c>
      <c r="M310" s="1">
        <f>+IF(Tabla__192.168.1.8_POSEIDONSQL_APPFVT_01_tblFillRateFechas[[#This Row],[Cant_Resultante]]=Tabla__192.168.1.8_POSEIDONSQL_APPFVT_01_tblFillRateFechas[[#This Row],[cant_order]],1,0)</f>
        <v>1</v>
      </c>
      <c r="N3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0" s="1">
        <f>+IF(AND(Tabla__192.168.1.8_POSEIDONSQL_APPFVT_01_tblFillRateFechas[[#This Row],[Valida Cant]]=1,Tabla__192.168.1.8_POSEIDONSQL_APPFVT_01_tblFillRateFechas[[#This Row],[Valida Fec]]=1),1,0)</f>
        <v>1</v>
      </c>
      <c r="P310" s="1">
        <f>+(Tabla__192.168.1.8_POSEIDONSQL_APPFVT_01_tblFillRateFechas[[#This Row],[Cant_Resultante]]/Tabla__192.168.1.8_POSEIDONSQL_APPFVT_01_tblFillRateFechas[[#This Row],[cant_order]])*100</f>
        <v>100</v>
      </c>
      <c r="Q3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0" s="1">
        <f>+IF(Tabla__192.168.1.8_POSEIDONSQL_APPFVT_01_tblFillRateFechas[[#This Row],[cant_order]]&gt;0,1,0)</f>
        <v>1</v>
      </c>
      <c r="V310" s="1">
        <f>+IF(Tabla__192.168.1.8_POSEIDONSQL_APPFVT_01_tblFillRateFechas[[#This Row],[Resultado]]=1,1,0)</f>
        <v>1</v>
      </c>
      <c r="W310" s="1" t="str">
        <f>+Tabla__192.168.1.8_POSEIDONSQL_APPFVT_01_tblFillRateFechas[[#This Row],[con_ocnumero]]&amp;Tabla__192.168.1.8_POSEIDONSQL_APPFVT_01_tblFillRateFechas[[#This Row],[con_codigounico]]</f>
        <v>9616744-</v>
      </c>
      <c r="X3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1" spans="1:24" x14ac:dyDescent="0.25">
      <c r="A311">
        <v>4</v>
      </c>
      <c r="B311" t="s">
        <v>56</v>
      </c>
      <c r="C311">
        <v>9616785</v>
      </c>
      <c r="D311" t="s">
        <v>1978</v>
      </c>
      <c r="E311" t="s">
        <v>1962</v>
      </c>
      <c r="F311" t="s">
        <v>1979</v>
      </c>
      <c r="G311">
        <v>1</v>
      </c>
      <c r="H311">
        <v>1</v>
      </c>
      <c r="I311" t="s">
        <v>1962</v>
      </c>
      <c r="J311">
        <v>0</v>
      </c>
      <c r="K311" t="s">
        <v>49</v>
      </c>
      <c r="L311" s="1">
        <f>+Tabla__192.168.1.8_POSEIDONSQL_APPFVT_01_tblFillRateFechas[[#This Row],[emb_cantidad]]-Tabla__192.168.1.8_POSEIDONSQL_APPFVT_01_tblFillRateFechas[[#This Row],[dev_cantidad]]</f>
        <v>1</v>
      </c>
      <c r="M311" s="1">
        <f>+IF(Tabla__192.168.1.8_POSEIDONSQL_APPFVT_01_tblFillRateFechas[[#This Row],[Cant_Resultante]]=Tabla__192.168.1.8_POSEIDONSQL_APPFVT_01_tblFillRateFechas[[#This Row],[cant_order]],1,0)</f>
        <v>1</v>
      </c>
      <c r="N3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1" s="1">
        <f>+IF(AND(Tabla__192.168.1.8_POSEIDONSQL_APPFVT_01_tblFillRateFechas[[#This Row],[Valida Cant]]=1,Tabla__192.168.1.8_POSEIDONSQL_APPFVT_01_tblFillRateFechas[[#This Row],[Valida Fec]]=1),1,0)</f>
        <v>1</v>
      </c>
      <c r="P311" s="1">
        <f>+(Tabla__192.168.1.8_POSEIDONSQL_APPFVT_01_tblFillRateFechas[[#This Row],[Cant_Resultante]]/Tabla__192.168.1.8_POSEIDONSQL_APPFVT_01_tblFillRateFechas[[#This Row],[cant_order]])*100</f>
        <v>100</v>
      </c>
      <c r="Q3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1" s="1">
        <f>+IF(Tabla__192.168.1.8_POSEIDONSQL_APPFVT_01_tblFillRateFechas[[#This Row],[cant_order]]&gt;0,1,0)</f>
        <v>1</v>
      </c>
      <c r="V311" s="1">
        <f>+IF(Tabla__192.168.1.8_POSEIDONSQL_APPFVT_01_tblFillRateFechas[[#This Row],[Resultado]]=1,1,0)</f>
        <v>1</v>
      </c>
      <c r="W311" s="1" t="str">
        <f>+Tabla__192.168.1.8_POSEIDONSQL_APPFVT_01_tblFillRateFechas[[#This Row],[con_ocnumero]]&amp;Tabla__192.168.1.8_POSEIDONSQL_APPFVT_01_tblFillRateFechas[[#This Row],[con_codigounico]]</f>
        <v>9616785-</v>
      </c>
      <c r="X3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2" spans="1:24" x14ac:dyDescent="0.25">
      <c r="A312">
        <v>4</v>
      </c>
      <c r="B312" t="s">
        <v>56</v>
      </c>
      <c r="C312">
        <v>9617030</v>
      </c>
      <c r="D312" t="s">
        <v>1978</v>
      </c>
      <c r="E312" t="s">
        <v>1962</v>
      </c>
      <c r="F312" t="s">
        <v>1979</v>
      </c>
      <c r="G312">
        <v>1</v>
      </c>
      <c r="H312">
        <v>1</v>
      </c>
      <c r="I312" t="s">
        <v>1962</v>
      </c>
      <c r="J312">
        <v>0</v>
      </c>
      <c r="K312" t="s">
        <v>49</v>
      </c>
      <c r="L312" s="1">
        <f>+Tabla__192.168.1.8_POSEIDONSQL_APPFVT_01_tblFillRateFechas[[#This Row],[emb_cantidad]]-Tabla__192.168.1.8_POSEIDONSQL_APPFVT_01_tblFillRateFechas[[#This Row],[dev_cantidad]]</f>
        <v>1</v>
      </c>
      <c r="M312" s="1">
        <f>+IF(Tabla__192.168.1.8_POSEIDONSQL_APPFVT_01_tblFillRateFechas[[#This Row],[Cant_Resultante]]=Tabla__192.168.1.8_POSEIDONSQL_APPFVT_01_tblFillRateFechas[[#This Row],[cant_order]],1,0)</f>
        <v>1</v>
      </c>
      <c r="N3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2" s="1">
        <f>+IF(AND(Tabla__192.168.1.8_POSEIDONSQL_APPFVT_01_tblFillRateFechas[[#This Row],[Valida Cant]]=1,Tabla__192.168.1.8_POSEIDONSQL_APPFVT_01_tblFillRateFechas[[#This Row],[Valida Fec]]=1),1,0)</f>
        <v>1</v>
      </c>
      <c r="P312" s="1">
        <f>+(Tabla__192.168.1.8_POSEIDONSQL_APPFVT_01_tblFillRateFechas[[#This Row],[Cant_Resultante]]/Tabla__192.168.1.8_POSEIDONSQL_APPFVT_01_tblFillRateFechas[[#This Row],[cant_order]])*100</f>
        <v>100</v>
      </c>
      <c r="Q3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2" s="1">
        <f>+IF(Tabla__192.168.1.8_POSEIDONSQL_APPFVT_01_tblFillRateFechas[[#This Row],[cant_order]]&gt;0,1,0)</f>
        <v>1</v>
      </c>
      <c r="V312" s="1">
        <f>+IF(Tabla__192.168.1.8_POSEIDONSQL_APPFVT_01_tblFillRateFechas[[#This Row],[Resultado]]=1,1,0)</f>
        <v>1</v>
      </c>
      <c r="W312" s="1" t="str">
        <f>+Tabla__192.168.1.8_POSEIDONSQL_APPFVT_01_tblFillRateFechas[[#This Row],[con_ocnumero]]&amp;Tabla__192.168.1.8_POSEIDONSQL_APPFVT_01_tblFillRateFechas[[#This Row],[con_codigounico]]</f>
        <v>9617030-</v>
      </c>
      <c r="X3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3" spans="1:24" x14ac:dyDescent="0.25">
      <c r="A313">
        <v>4</v>
      </c>
      <c r="B313" t="s">
        <v>56</v>
      </c>
      <c r="C313">
        <v>9617172</v>
      </c>
      <c r="D313" t="s">
        <v>1978</v>
      </c>
      <c r="E313" t="s">
        <v>1962</v>
      </c>
      <c r="F313" t="s">
        <v>1979</v>
      </c>
      <c r="G313">
        <v>1</v>
      </c>
      <c r="H313">
        <v>1</v>
      </c>
      <c r="I313" t="s">
        <v>1962</v>
      </c>
      <c r="J313">
        <v>0</v>
      </c>
      <c r="K313" t="s">
        <v>49</v>
      </c>
      <c r="L313" s="1">
        <f>+Tabla__192.168.1.8_POSEIDONSQL_APPFVT_01_tblFillRateFechas[[#This Row],[emb_cantidad]]-Tabla__192.168.1.8_POSEIDONSQL_APPFVT_01_tblFillRateFechas[[#This Row],[dev_cantidad]]</f>
        <v>1</v>
      </c>
      <c r="M313" s="1">
        <f>+IF(Tabla__192.168.1.8_POSEIDONSQL_APPFVT_01_tblFillRateFechas[[#This Row],[Cant_Resultante]]=Tabla__192.168.1.8_POSEIDONSQL_APPFVT_01_tblFillRateFechas[[#This Row],[cant_order]],1,0)</f>
        <v>1</v>
      </c>
      <c r="N3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3" s="1">
        <f>+IF(AND(Tabla__192.168.1.8_POSEIDONSQL_APPFVT_01_tblFillRateFechas[[#This Row],[Valida Cant]]=1,Tabla__192.168.1.8_POSEIDONSQL_APPFVT_01_tblFillRateFechas[[#This Row],[Valida Fec]]=1),1,0)</f>
        <v>1</v>
      </c>
      <c r="P313" s="1">
        <f>+(Tabla__192.168.1.8_POSEIDONSQL_APPFVT_01_tblFillRateFechas[[#This Row],[Cant_Resultante]]/Tabla__192.168.1.8_POSEIDONSQL_APPFVT_01_tblFillRateFechas[[#This Row],[cant_order]])*100</f>
        <v>100</v>
      </c>
      <c r="Q3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3" s="1">
        <f>+IF(Tabla__192.168.1.8_POSEIDONSQL_APPFVT_01_tblFillRateFechas[[#This Row],[cant_order]]&gt;0,1,0)</f>
        <v>1</v>
      </c>
      <c r="V313" s="1">
        <f>+IF(Tabla__192.168.1.8_POSEIDONSQL_APPFVT_01_tblFillRateFechas[[#This Row],[Resultado]]=1,1,0)</f>
        <v>1</v>
      </c>
      <c r="W313" s="1" t="str">
        <f>+Tabla__192.168.1.8_POSEIDONSQL_APPFVT_01_tblFillRateFechas[[#This Row],[con_ocnumero]]&amp;Tabla__192.168.1.8_POSEIDONSQL_APPFVT_01_tblFillRateFechas[[#This Row],[con_codigounico]]</f>
        <v>9617172-</v>
      </c>
      <c r="X3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4" spans="1:24" x14ac:dyDescent="0.25">
      <c r="A314">
        <v>4</v>
      </c>
      <c r="B314" t="s">
        <v>56</v>
      </c>
      <c r="C314">
        <v>9617287</v>
      </c>
      <c r="D314" t="s">
        <v>1978</v>
      </c>
      <c r="E314" t="s">
        <v>1980</v>
      </c>
      <c r="F314" t="s">
        <v>1979</v>
      </c>
      <c r="G314">
        <v>1</v>
      </c>
      <c r="H314">
        <v>1</v>
      </c>
      <c r="I314" t="s">
        <v>1980</v>
      </c>
      <c r="J314">
        <v>0</v>
      </c>
      <c r="K314" t="s">
        <v>49</v>
      </c>
      <c r="L314" s="1">
        <f>+Tabla__192.168.1.8_POSEIDONSQL_APPFVT_01_tblFillRateFechas[[#This Row],[emb_cantidad]]-Tabla__192.168.1.8_POSEIDONSQL_APPFVT_01_tblFillRateFechas[[#This Row],[dev_cantidad]]</f>
        <v>1</v>
      </c>
      <c r="M314" s="1">
        <f>+IF(Tabla__192.168.1.8_POSEIDONSQL_APPFVT_01_tblFillRateFechas[[#This Row],[Cant_Resultante]]=Tabla__192.168.1.8_POSEIDONSQL_APPFVT_01_tblFillRateFechas[[#This Row],[cant_order]],1,0)</f>
        <v>1</v>
      </c>
      <c r="N3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4" s="1">
        <f>+IF(AND(Tabla__192.168.1.8_POSEIDONSQL_APPFVT_01_tblFillRateFechas[[#This Row],[Valida Cant]]=1,Tabla__192.168.1.8_POSEIDONSQL_APPFVT_01_tblFillRateFechas[[#This Row],[Valida Fec]]=1),1,0)</f>
        <v>1</v>
      </c>
      <c r="P314" s="1">
        <f>+(Tabla__192.168.1.8_POSEIDONSQL_APPFVT_01_tblFillRateFechas[[#This Row],[Cant_Resultante]]/Tabla__192.168.1.8_POSEIDONSQL_APPFVT_01_tblFillRateFechas[[#This Row],[cant_order]])*100</f>
        <v>100</v>
      </c>
      <c r="Q3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4" s="1">
        <f>+IF(Tabla__192.168.1.8_POSEIDONSQL_APPFVT_01_tblFillRateFechas[[#This Row],[cant_order]]&gt;0,1,0)</f>
        <v>1</v>
      </c>
      <c r="V314" s="1">
        <f>+IF(Tabla__192.168.1.8_POSEIDONSQL_APPFVT_01_tblFillRateFechas[[#This Row],[Resultado]]=1,1,0)</f>
        <v>1</v>
      </c>
      <c r="W314" s="1" t="str">
        <f>+Tabla__192.168.1.8_POSEIDONSQL_APPFVT_01_tblFillRateFechas[[#This Row],[con_ocnumero]]&amp;Tabla__192.168.1.8_POSEIDONSQL_APPFVT_01_tblFillRateFechas[[#This Row],[con_codigounico]]</f>
        <v>9617287-</v>
      </c>
      <c r="X3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5" spans="1:24" x14ac:dyDescent="0.25">
      <c r="A315">
        <v>4</v>
      </c>
      <c r="B315" t="s">
        <v>56</v>
      </c>
      <c r="C315">
        <v>9617484</v>
      </c>
      <c r="D315" t="s">
        <v>1978</v>
      </c>
      <c r="E315" t="s">
        <v>1980</v>
      </c>
      <c r="F315" t="s">
        <v>1979</v>
      </c>
      <c r="G315">
        <v>1</v>
      </c>
      <c r="H315">
        <v>1</v>
      </c>
      <c r="I315" t="s">
        <v>1980</v>
      </c>
      <c r="J315">
        <v>0</v>
      </c>
      <c r="K315" t="s">
        <v>49</v>
      </c>
      <c r="L315" s="1">
        <f>+Tabla__192.168.1.8_POSEIDONSQL_APPFVT_01_tblFillRateFechas[[#This Row],[emb_cantidad]]-Tabla__192.168.1.8_POSEIDONSQL_APPFVT_01_tblFillRateFechas[[#This Row],[dev_cantidad]]</f>
        <v>1</v>
      </c>
      <c r="M315" s="1">
        <f>+IF(Tabla__192.168.1.8_POSEIDONSQL_APPFVT_01_tblFillRateFechas[[#This Row],[Cant_Resultante]]=Tabla__192.168.1.8_POSEIDONSQL_APPFVT_01_tblFillRateFechas[[#This Row],[cant_order]],1,0)</f>
        <v>1</v>
      </c>
      <c r="N3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5" s="1">
        <f>+IF(AND(Tabla__192.168.1.8_POSEIDONSQL_APPFVT_01_tblFillRateFechas[[#This Row],[Valida Cant]]=1,Tabla__192.168.1.8_POSEIDONSQL_APPFVT_01_tblFillRateFechas[[#This Row],[Valida Fec]]=1),1,0)</f>
        <v>1</v>
      </c>
      <c r="P315" s="1">
        <f>+(Tabla__192.168.1.8_POSEIDONSQL_APPFVT_01_tblFillRateFechas[[#This Row],[Cant_Resultante]]/Tabla__192.168.1.8_POSEIDONSQL_APPFVT_01_tblFillRateFechas[[#This Row],[cant_order]])*100</f>
        <v>100</v>
      </c>
      <c r="Q3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5" s="1">
        <f>+IF(Tabla__192.168.1.8_POSEIDONSQL_APPFVT_01_tblFillRateFechas[[#This Row],[cant_order]]&gt;0,1,0)</f>
        <v>1</v>
      </c>
      <c r="V315" s="1">
        <f>+IF(Tabla__192.168.1.8_POSEIDONSQL_APPFVT_01_tblFillRateFechas[[#This Row],[Resultado]]=1,1,0)</f>
        <v>1</v>
      </c>
      <c r="W315" s="1" t="str">
        <f>+Tabla__192.168.1.8_POSEIDONSQL_APPFVT_01_tblFillRateFechas[[#This Row],[con_ocnumero]]&amp;Tabla__192.168.1.8_POSEIDONSQL_APPFVT_01_tblFillRateFechas[[#This Row],[con_codigounico]]</f>
        <v>9617484-</v>
      </c>
      <c r="X3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6" spans="1:24" x14ac:dyDescent="0.25">
      <c r="A316">
        <v>4</v>
      </c>
      <c r="B316" t="s">
        <v>56</v>
      </c>
      <c r="C316">
        <v>9617586</v>
      </c>
      <c r="D316" t="s">
        <v>1978</v>
      </c>
      <c r="E316" t="s">
        <v>1980</v>
      </c>
      <c r="F316" t="s">
        <v>1979</v>
      </c>
      <c r="G316">
        <v>1</v>
      </c>
      <c r="H316">
        <v>1</v>
      </c>
      <c r="I316" t="s">
        <v>1980</v>
      </c>
      <c r="J316">
        <v>0</v>
      </c>
      <c r="K316" t="s">
        <v>49</v>
      </c>
      <c r="L316" s="1">
        <f>+Tabla__192.168.1.8_POSEIDONSQL_APPFVT_01_tblFillRateFechas[[#This Row],[emb_cantidad]]-Tabla__192.168.1.8_POSEIDONSQL_APPFVT_01_tblFillRateFechas[[#This Row],[dev_cantidad]]</f>
        <v>1</v>
      </c>
      <c r="M316" s="1">
        <f>+IF(Tabla__192.168.1.8_POSEIDONSQL_APPFVT_01_tblFillRateFechas[[#This Row],[Cant_Resultante]]=Tabla__192.168.1.8_POSEIDONSQL_APPFVT_01_tblFillRateFechas[[#This Row],[cant_order]],1,0)</f>
        <v>1</v>
      </c>
      <c r="N3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6" s="1">
        <f>+IF(AND(Tabla__192.168.1.8_POSEIDONSQL_APPFVT_01_tblFillRateFechas[[#This Row],[Valida Cant]]=1,Tabla__192.168.1.8_POSEIDONSQL_APPFVT_01_tblFillRateFechas[[#This Row],[Valida Fec]]=1),1,0)</f>
        <v>1</v>
      </c>
      <c r="P316" s="1">
        <f>+(Tabla__192.168.1.8_POSEIDONSQL_APPFVT_01_tblFillRateFechas[[#This Row],[Cant_Resultante]]/Tabla__192.168.1.8_POSEIDONSQL_APPFVT_01_tblFillRateFechas[[#This Row],[cant_order]])*100</f>
        <v>100</v>
      </c>
      <c r="Q3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6" s="1">
        <f>+IF(Tabla__192.168.1.8_POSEIDONSQL_APPFVT_01_tblFillRateFechas[[#This Row],[cant_order]]&gt;0,1,0)</f>
        <v>1</v>
      </c>
      <c r="V316" s="1">
        <f>+IF(Tabla__192.168.1.8_POSEIDONSQL_APPFVT_01_tblFillRateFechas[[#This Row],[Resultado]]=1,1,0)</f>
        <v>1</v>
      </c>
      <c r="W316" s="1" t="str">
        <f>+Tabla__192.168.1.8_POSEIDONSQL_APPFVT_01_tblFillRateFechas[[#This Row],[con_ocnumero]]&amp;Tabla__192.168.1.8_POSEIDONSQL_APPFVT_01_tblFillRateFechas[[#This Row],[con_codigounico]]</f>
        <v>9617586-</v>
      </c>
      <c r="X3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7" spans="1:24" x14ac:dyDescent="0.25">
      <c r="A317">
        <v>4</v>
      </c>
      <c r="B317" t="s">
        <v>56</v>
      </c>
      <c r="C317">
        <v>9618243</v>
      </c>
      <c r="D317" t="s">
        <v>1979</v>
      </c>
      <c r="E317" t="s">
        <v>1962</v>
      </c>
      <c r="F317" t="s">
        <v>1967</v>
      </c>
      <c r="G317">
        <v>1</v>
      </c>
      <c r="H317">
        <v>1</v>
      </c>
      <c r="I317" t="s">
        <v>1962</v>
      </c>
      <c r="J317">
        <v>0</v>
      </c>
      <c r="K317" t="s">
        <v>49</v>
      </c>
      <c r="L317" s="1">
        <f>+Tabla__192.168.1.8_POSEIDONSQL_APPFVT_01_tblFillRateFechas[[#This Row],[emb_cantidad]]-Tabla__192.168.1.8_POSEIDONSQL_APPFVT_01_tblFillRateFechas[[#This Row],[dev_cantidad]]</f>
        <v>1</v>
      </c>
      <c r="M317" s="1">
        <f>+IF(Tabla__192.168.1.8_POSEIDONSQL_APPFVT_01_tblFillRateFechas[[#This Row],[Cant_Resultante]]=Tabla__192.168.1.8_POSEIDONSQL_APPFVT_01_tblFillRateFechas[[#This Row],[cant_order]],1,0)</f>
        <v>1</v>
      </c>
      <c r="N3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7" s="1">
        <f>+IF(AND(Tabla__192.168.1.8_POSEIDONSQL_APPFVT_01_tblFillRateFechas[[#This Row],[Valida Cant]]=1,Tabla__192.168.1.8_POSEIDONSQL_APPFVT_01_tblFillRateFechas[[#This Row],[Valida Fec]]=1),1,0)</f>
        <v>1</v>
      </c>
      <c r="P317" s="1">
        <f>+(Tabla__192.168.1.8_POSEIDONSQL_APPFVT_01_tblFillRateFechas[[#This Row],[Cant_Resultante]]/Tabla__192.168.1.8_POSEIDONSQL_APPFVT_01_tblFillRateFechas[[#This Row],[cant_order]])*100</f>
        <v>100</v>
      </c>
      <c r="Q3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7" s="1">
        <f>+IF(Tabla__192.168.1.8_POSEIDONSQL_APPFVT_01_tblFillRateFechas[[#This Row],[cant_order]]&gt;0,1,0)</f>
        <v>1</v>
      </c>
      <c r="V317" s="1">
        <f>+IF(Tabla__192.168.1.8_POSEIDONSQL_APPFVT_01_tblFillRateFechas[[#This Row],[Resultado]]=1,1,0)</f>
        <v>1</v>
      </c>
      <c r="W317" s="1" t="str">
        <f>+Tabla__192.168.1.8_POSEIDONSQL_APPFVT_01_tblFillRateFechas[[#This Row],[con_ocnumero]]&amp;Tabla__192.168.1.8_POSEIDONSQL_APPFVT_01_tblFillRateFechas[[#This Row],[con_codigounico]]</f>
        <v>9618243-</v>
      </c>
      <c r="X3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8" spans="1:24" x14ac:dyDescent="0.25">
      <c r="A318">
        <v>4</v>
      </c>
      <c r="B318" t="s">
        <v>56</v>
      </c>
      <c r="C318">
        <v>9618323</v>
      </c>
      <c r="D318" t="s">
        <v>1979</v>
      </c>
      <c r="E318" t="s">
        <v>1980</v>
      </c>
      <c r="F318" t="s">
        <v>1967</v>
      </c>
      <c r="G318">
        <v>1</v>
      </c>
      <c r="H318">
        <v>1</v>
      </c>
      <c r="I318" t="s">
        <v>1980</v>
      </c>
      <c r="J318">
        <v>0</v>
      </c>
      <c r="K318" t="s">
        <v>49</v>
      </c>
      <c r="L318" s="1">
        <f>+Tabla__192.168.1.8_POSEIDONSQL_APPFVT_01_tblFillRateFechas[[#This Row],[emb_cantidad]]-Tabla__192.168.1.8_POSEIDONSQL_APPFVT_01_tblFillRateFechas[[#This Row],[dev_cantidad]]</f>
        <v>1</v>
      </c>
      <c r="M318" s="1">
        <f>+IF(Tabla__192.168.1.8_POSEIDONSQL_APPFVT_01_tblFillRateFechas[[#This Row],[Cant_Resultante]]=Tabla__192.168.1.8_POSEIDONSQL_APPFVT_01_tblFillRateFechas[[#This Row],[cant_order]],1,0)</f>
        <v>1</v>
      </c>
      <c r="N3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8" s="1">
        <f>+IF(AND(Tabla__192.168.1.8_POSEIDONSQL_APPFVT_01_tblFillRateFechas[[#This Row],[Valida Cant]]=1,Tabla__192.168.1.8_POSEIDONSQL_APPFVT_01_tblFillRateFechas[[#This Row],[Valida Fec]]=1),1,0)</f>
        <v>1</v>
      </c>
      <c r="P318" s="1">
        <f>+(Tabla__192.168.1.8_POSEIDONSQL_APPFVT_01_tblFillRateFechas[[#This Row],[Cant_Resultante]]/Tabla__192.168.1.8_POSEIDONSQL_APPFVT_01_tblFillRateFechas[[#This Row],[cant_order]])*100</f>
        <v>100</v>
      </c>
      <c r="Q3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18" s="1">
        <f>+IF(Tabla__192.168.1.8_POSEIDONSQL_APPFVT_01_tblFillRateFechas[[#This Row],[cant_order]]&gt;0,1,0)</f>
        <v>1</v>
      </c>
      <c r="V318" s="1">
        <f>+IF(Tabla__192.168.1.8_POSEIDONSQL_APPFVT_01_tblFillRateFechas[[#This Row],[Resultado]]=1,1,0)</f>
        <v>1</v>
      </c>
      <c r="W318" s="1" t="str">
        <f>+Tabla__192.168.1.8_POSEIDONSQL_APPFVT_01_tblFillRateFechas[[#This Row],[con_ocnumero]]&amp;Tabla__192.168.1.8_POSEIDONSQL_APPFVT_01_tblFillRateFechas[[#This Row],[con_codigounico]]</f>
        <v>9618323-</v>
      </c>
      <c r="X3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19" spans="1:24" x14ac:dyDescent="0.25">
      <c r="A319">
        <v>4</v>
      </c>
      <c r="B319" t="s">
        <v>56</v>
      </c>
      <c r="C319">
        <v>9618403</v>
      </c>
      <c r="D319" t="s">
        <v>1979</v>
      </c>
      <c r="E319" t="s">
        <v>1980</v>
      </c>
      <c r="F319" t="s">
        <v>1967</v>
      </c>
      <c r="G319">
        <v>2</v>
      </c>
      <c r="H319">
        <v>2</v>
      </c>
      <c r="I319" t="s">
        <v>1980</v>
      </c>
      <c r="J319">
        <v>2</v>
      </c>
      <c r="K319" t="s">
        <v>49</v>
      </c>
      <c r="L319" s="1">
        <f>+Tabla__192.168.1.8_POSEIDONSQL_APPFVT_01_tblFillRateFechas[[#This Row],[emb_cantidad]]-Tabla__192.168.1.8_POSEIDONSQL_APPFVT_01_tblFillRateFechas[[#This Row],[dev_cantidad]]</f>
        <v>0</v>
      </c>
      <c r="M319" s="1">
        <f>+IF(Tabla__192.168.1.8_POSEIDONSQL_APPFVT_01_tblFillRateFechas[[#This Row],[Cant_Resultante]]=Tabla__192.168.1.8_POSEIDONSQL_APPFVT_01_tblFillRateFechas[[#This Row],[cant_order]],1,0)</f>
        <v>0</v>
      </c>
      <c r="N3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19" s="1">
        <f>+IF(AND(Tabla__192.168.1.8_POSEIDONSQL_APPFVT_01_tblFillRateFechas[[#This Row],[Valida Cant]]=1,Tabla__192.168.1.8_POSEIDONSQL_APPFVT_01_tblFillRateFechas[[#This Row],[Valida Fec]]=1),1,0)</f>
        <v>0</v>
      </c>
      <c r="P319" s="1">
        <f>+(Tabla__192.168.1.8_POSEIDONSQL_APPFVT_01_tblFillRateFechas[[#This Row],[Cant_Resultante]]/Tabla__192.168.1.8_POSEIDONSQL_APPFVT_01_tblFillRateFechas[[#This Row],[cant_order]])*100</f>
        <v>0</v>
      </c>
      <c r="Q3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-2</v>
      </c>
      <c r="T3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4</v>
      </c>
      <c r="U319" s="1">
        <f>+IF(Tabla__192.168.1.8_POSEIDONSQL_APPFVT_01_tblFillRateFechas[[#This Row],[cant_order]]&gt;0,1,0)</f>
        <v>1</v>
      </c>
      <c r="V319" s="1">
        <f>+IF(Tabla__192.168.1.8_POSEIDONSQL_APPFVT_01_tblFillRateFechas[[#This Row],[Resultado]]=1,1,0)</f>
        <v>0</v>
      </c>
      <c r="W319" s="1" t="str">
        <f>+Tabla__192.168.1.8_POSEIDONSQL_APPFVT_01_tblFillRateFechas[[#This Row],[con_ocnumero]]&amp;Tabla__192.168.1.8_POSEIDONSQL_APPFVT_01_tblFillRateFechas[[#This Row],[con_codigounico]]</f>
        <v>9618403-</v>
      </c>
      <c r="X3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320" spans="1:24" x14ac:dyDescent="0.25">
      <c r="A320">
        <v>4</v>
      </c>
      <c r="B320" t="s">
        <v>56</v>
      </c>
      <c r="C320">
        <v>9618515</v>
      </c>
      <c r="D320" t="s">
        <v>1979</v>
      </c>
      <c r="E320" t="s">
        <v>1980</v>
      </c>
      <c r="F320" t="s">
        <v>1967</v>
      </c>
      <c r="G320">
        <v>1</v>
      </c>
      <c r="H320">
        <v>1</v>
      </c>
      <c r="I320" t="s">
        <v>1980</v>
      </c>
      <c r="J320">
        <v>0</v>
      </c>
      <c r="K320" t="s">
        <v>49</v>
      </c>
      <c r="L320" s="1">
        <f>+Tabla__192.168.1.8_POSEIDONSQL_APPFVT_01_tblFillRateFechas[[#This Row],[emb_cantidad]]-Tabla__192.168.1.8_POSEIDONSQL_APPFVT_01_tblFillRateFechas[[#This Row],[dev_cantidad]]</f>
        <v>1</v>
      </c>
      <c r="M320" s="1">
        <f>+IF(Tabla__192.168.1.8_POSEIDONSQL_APPFVT_01_tblFillRateFechas[[#This Row],[Cant_Resultante]]=Tabla__192.168.1.8_POSEIDONSQL_APPFVT_01_tblFillRateFechas[[#This Row],[cant_order]],1,0)</f>
        <v>1</v>
      </c>
      <c r="N3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0" s="1">
        <f>+IF(AND(Tabla__192.168.1.8_POSEIDONSQL_APPFVT_01_tblFillRateFechas[[#This Row],[Valida Cant]]=1,Tabla__192.168.1.8_POSEIDONSQL_APPFVT_01_tblFillRateFechas[[#This Row],[Valida Fec]]=1),1,0)</f>
        <v>1</v>
      </c>
      <c r="P320" s="1">
        <f>+(Tabla__192.168.1.8_POSEIDONSQL_APPFVT_01_tblFillRateFechas[[#This Row],[Cant_Resultante]]/Tabla__192.168.1.8_POSEIDONSQL_APPFVT_01_tblFillRateFechas[[#This Row],[cant_order]])*100</f>
        <v>100</v>
      </c>
      <c r="Q3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0" s="1">
        <f>+IF(Tabla__192.168.1.8_POSEIDONSQL_APPFVT_01_tblFillRateFechas[[#This Row],[cant_order]]&gt;0,1,0)</f>
        <v>1</v>
      </c>
      <c r="V320" s="1">
        <f>+IF(Tabla__192.168.1.8_POSEIDONSQL_APPFVT_01_tblFillRateFechas[[#This Row],[Resultado]]=1,1,0)</f>
        <v>1</v>
      </c>
      <c r="W320" s="1" t="str">
        <f>+Tabla__192.168.1.8_POSEIDONSQL_APPFVT_01_tblFillRateFechas[[#This Row],[con_ocnumero]]&amp;Tabla__192.168.1.8_POSEIDONSQL_APPFVT_01_tblFillRateFechas[[#This Row],[con_codigounico]]</f>
        <v>9618515-</v>
      </c>
      <c r="X3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1" spans="1:24" x14ac:dyDescent="0.25">
      <c r="A321">
        <v>4</v>
      </c>
      <c r="B321" t="s">
        <v>56</v>
      </c>
      <c r="C321">
        <v>9618714</v>
      </c>
      <c r="D321" t="s">
        <v>1979</v>
      </c>
      <c r="E321" t="s">
        <v>1962</v>
      </c>
      <c r="F321" t="s">
        <v>1967</v>
      </c>
      <c r="G321">
        <v>1</v>
      </c>
      <c r="H321">
        <v>1</v>
      </c>
      <c r="I321" t="s">
        <v>1962</v>
      </c>
      <c r="J321">
        <v>0</v>
      </c>
      <c r="K321" t="s">
        <v>49</v>
      </c>
      <c r="L321" s="1">
        <f>+Tabla__192.168.1.8_POSEIDONSQL_APPFVT_01_tblFillRateFechas[[#This Row],[emb_cantidad]]-Tabla__192.168.1.8_POSEIDONSQL_APPFVT_01_tblFillRateFechas[[#This Row],[dev_cantidad]]</f>
        <v>1</v>
      </c>
      <c r="M321" s="1">
        <f>+IF(Tabla__192.168.1.8_POSEIDONSQL_APPFVT_01_tblFillRateFechas[[#This Row],[Cant_Resultante]]=Tabla__192.168.1.8_POSEIDONSQL_APPFVT_01_tblFillRateFechas[[#This Row],[cant_order]],1,0)</f>
        <v>1</v>
      </c>
      <c r="N3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1" s="1">
        <f>+IF(AND(Tabla__192.168.1.8_POSEIDONSQL_APPFVT_01_tblFillRateFechas[[#This Row],[Valida Cant]]=1,Tabla__192.168.1.8_POSEIDONSQL_APPFVT_01_tblFillRateFechas[[#This Row],[Valida Fec]]=1),1,0)</f>
        <v>1</v>
      </c>
      <c r="P321" s="1">
        <f>+(Tabla__192.168.1.8_POSEIDONSQL_APPFVT_01_tblFillRateFechas[[#This Row],[Cant_Resultante]]/Tabla__192.168.1.8_POSEIDONSQL_APPFVT_01_tblFillRateFechas[[#This Row],[cant_order]])*100</f>
        <v>100</v>
      </c>
      <c r="Q3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1" s="1">
        <f>+IF(Tabla__192.168.1.8_POSEIDONSQL_APPFVT_01_tblFillRateFechas[[#This Row],[cant_order]]&gt;0,1,0)</f>
        <v>1</v>
      </c>
      <c r="V321" s="1">
        <f>+IF(Tabla__192.168.1.8_POSEIDONSQL_APPFVT_01_tblFillRateFechas[[#This Row],[Resultado]]=1,1,0)</f>
        <v>1</v>
      </c>
      <c r="W321" s="1" t="str">
        <f>+Tabla__192.168.1.8_POSEIDONSQL_APPFVT_01_tblFillRateFechas[[#This Row],[con_ocnumero]]&amp;Tabla__192.168.1.8_POSEIDONSQL_APPFVT_01_tblFillRateFechas[[#This Row],[con_codigounico]]</f>
        <v>9618714-</v>
      </c>
      <c r="X3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2" spans="1:24" x14ac:dyDescent="0.25">
      <c r="A322">
        <v>4</v>
      </c>
      <c r="B322" t="s">
        <v>56</v>
      </c>
      <c r="C322">
        <v>9618754</v>
      </c>
      <c r="D322" t="s">
        <v>1979</v>
      </c>
      <c r="E322" t="s">
        <v>1980</v>
      </c>
      <c r="F322" t="s">
        <v>1967</v>
      </c>
      <c r="G322">
        <v>1</v>
      </c>
      <c r="H322">
        <v>1</v>
      </c>
      <c r="I322" t="s">
        <v>1980</v>
      </c>
      <c r="J322">
        <v>0</v>
      </c>
      <c r="K322" t="s">
        <v>49</v>
      </c>
      <c r="L322" s="1">
        <f>+Tabla__192.168.1.8_POSEIDONSQL_APPFVT_01_tblFillRateFechas[[#This Row],[emb_cantidad]]-Tabla__192.168.1.8_POSEIDONSQL_APPFVT_01_tblFillRateFechas[[#This Row],[dev_cantidad]]</f>
        <v>1</v>
      </c>
      <c r="M322" s="1">
        <f>+IF(Tabla__192.168.1.8_POSEIDONSQL_APPFVT_01_tblFillRateFechas[[#This Row],[Cant_Resultante]]=Tabla__192.168.1.8_POSEIDONSQL_APPFVT_01_tblFillRateFechas[[#This Row],[cant_order]],1,0)</f>
        <v>1</v>
      </c>
      <c r="N3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2" s="1">
        <f>+IF(AND(Tabla__192.168.1.8_POSEIDONSQL_APPFVT_01_tblFillRateFechas[[#This Row],[Valida Cant]]=1,Tabla__192.168.1.8_POSEIDONSQL_APPFVT_01_tblFillRateFechas[[#This Row],[Valida Fec]]=1),1,0)</f>
        <v>1</v>
      </c>
      <c r="P322" s="1">
        <f>+(Tabla__192.168.1.8_POSEIDONSQL_APPFVT_01_tblFillRateFechas[[#This Row],[Cant_Resultante]]/Tabla__192.168.1.8_POSEIDONSQL_APPFVT_01_tblFillRateFechas[[#This Row],[cant_order]])*100</f>
        <v>100</v>
      </c>
      <c r="Q3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2" s="1">
        <f>+IF(Tabla__192.168.1.8_POSEIDONSQL_APPFVT_01_tblFillRateFechas[[#This Row],[cant_order]]&gt;0,1,0)</f>
        <v>1</v>
      </c>
      <c r="V322" s="1">
        <f>+IF(Tabla__192.168.1.8_POSEIDONSQL_APPFVT_01_tblFillRateFechas[[#This Row],[Resultado]]=1,1,0)</f>
        <v>1</v>
      </c>
      <c r="W322" s="1" t="str">
        <f>+Tabla__192.168.1.8_POSEIDONSQL_APPFVT_01_tblFillRateFechas[[#This Row],[con_ocnumero]]&amp;Tabla__192.168.1.8_POSEIDONSQL_APPFVT_01_tblFillRateFechas[[#This Row],[con_codigounico]]</f>
        <v>9618754-</v>
      </c>
      <c r="X3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3" spans="1:24" x14ac:dyDescent="0.25">
      <c r="A323">
        <v>4</v>
      </c>
      <c r="B323" t="s">
        <v>56</v>
      </c>
      <c r="C323">
        <v>9618831</v>
      </c>
      <c r="D323" t="s">
        <v>1979</v>
      </c>
      <c r="E323" t="s">
        <v>1980</v>
      </c>
      <c r="F323" t="s">
        <v>1967</v>
      </c>
      <c r="G323">
        <v>1</v>
      </c>
      <c r="H323">
        <v>1</v>
      </c>
      <c r="I323" t="s">
        <v>1980</v>
      </c>
      <c r="J323">
        <v>0</v>
      </c>
      <c r="K323" t="s">
        <v>49</v>
      </c>
      <c r="L323" s="1">
        <f>+Tabla__192.168.1.8_POSEIDONSQL_APPFVT_01_tblFillRateFechas[[#This Row],[emb_cantidad]]-Tabla__192.168.1.8_POSEIDONSQL_APPFVT_01_tblFillRateFechas[[#This Row],[dev_cantidad]]</f>
        <v>1</v>
      </c>
      <c r="M323" s="1">
        <f>+IF(Tabla__192.168.1.8_POSEIDONSQL_APPFVT_01_tblFillRateFechas[[#This Row],[Cant_Resultante]]=Tabla__192.168.1.8_POSEIDONSQL_APPFVT_01_tblFillRateFechas[[#This Row],[cant_order]],1,0)</f>
        <v>1</v>
      </c>
      <c r="N3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3" s="1">
        <f>+IF(AND(Tabla__192.168.1.8_POSEIDONSQL_APPFVT_01_tblFillRateFechas[[#This Row],[Valida Cant]]=1,Tabla__192.168.1.8_POSEIDONSQL_APPFVT_01_tblFillRateFechas[[#This Row],[Valida Fec]]=1),1,0)</f>
        <v>1</v>
      </c>
      <c r="P323" s="1">
        <f>+(Tabla__192.168.1.8_POSEIDONSQL_APPFVT_01_tblFillRateFechas[[#This Row],[Cant_Resultante]]/Tabla__192.168.1.8_POSEIDONSQL_APPFVT_01_tblFillRateFechas[[#This Row],[cant_order]])*100</f>
        <v>100</v>
      </c>
      <c r="Q3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3" s="1">
        <f>+IF(Tabla__192.168.1.8_POSEIDONSQL_APPFVT_01_tblFillRateFechas[[#This Row],[cant_order]]&gt;0,1,0)</f>
        <v>1</v>
      </c>
      <c r="V323" s="1">
        <f>+IF(Tabla__192.168.1.8_POSEIDONSQL_APPFVT_01_tblFillRateFechas[[#This Row],[Resultado]]=1,1,0)</f>
        <v>1</v>
      </c>
      <c r="W323" s="1" t="str">
        <f>+Tabla__192.168.1.8_POSEIDONSQL_APPFVT_01_tblFillRateFechas[[#This Row],[con_ocnumero]]&amp;Tabla__192.168.1.8_POSEIDONSQL_APPFVT_01_tblFillRateFechas[[#This Row],[con_codigounico]]</f>
        <v>9618831-</v>
      </c>
      <c r="X3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4" spans="1:24" x14ac:dyDescent="0.25">
      <c r="A324">
        <v>4</v>
      </c>
      <c r="B324" t="s">
        <v>56</v>
      </c>
      <c r="C324">
        <v>9619341</v>
      </c>
      <c r="D324" t="s">
        <v>1979</v>
      </c>
      <c r="E324" t="s">
        <v>1962</v>
      </c>
      <c r="F324" t="s">
        <v>1967</v>
      </c>
      <c r="G324">
        <v>1</v>
      </c>
      <c r="H324">
        <v>1</v>
      </c>
      <c r="I324" t="s">
        <v>1962</v>
      </c>
      <c r="J324">
        <v>0</v>
      </c>
      <c r="K324" t="s">
        <v>49</v>
      </c>
      <c r="L324" s="1">
        <f>+Tabla__192.168.1.8_POSEIDONSQL_APPFVT_01_tblFillRateFechas[[#This Row],[emb_cantidad]]-Tabla__192.168.1.8_POSEIDONSQL_APPFVT_01_tblFillRateFechas[[#This Row],[dev_cantidad]]</f>
        <v>1</v>
      </c>
      <c r="M324" s="1">
        <f>+IF(Tabla__192.168.1.8_POSEIDONSQL_APPFVT_01_tblFillRateFechas[[#This Row],[Cant_Resultante]]=Tabla__192.168.1.8_POSEIDONSQL_APPFVT_01_tblFillRateFechas[[#This Row],[cant_order]],1,0)</f>
        <v>1</v>
      </c>
      <c r="N3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4" s="1">
        <f>+IF(AND(Tabla__192.168.1.8_POSEIDONSQL_APPFVT_01_tblFillRateFechas[[#This Row],[Valida Cant]]=1,Tabla__192.168.1.8_POSEIDONSQL_APPFVT_01_tblFillRateFechas[[#This Row],[Valida Fec]]=1),1,0)</f>
        <v>1</v>
      </c>
      <c r="P324" s="1">
        <f>+(Tabla__192.168.1.8_POSEIDONSQL_APPFVT_01_tblFillRateFechas[[#This Row],[Cant_Resultante]]/Tabla__192.168.1.8_POSEIDONSQL_APPFVT_01_tblFillRateFechas[[#This Row],[cant_order]])*100</f>
        <v>100</v>
      </c>
      <c r="Q3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4" s="1">
        <f>+IF(Tabla__192.168.1.8_POSEIDONSQL_APPFVT_01_tblFillRateFechas[[#This Row],[cant_order]]&gt;0,1,0)</f>
        <v>1</v>
      </c>
      <c r="V324" s="1">
        <f>+IF(Tabla__192.168.1.8_POSEIDONSQL_APPFVT_01_tblFillRateFechas[[#This Row],[Resultado]]=1,1,0)</f>
        <v>1</v>
      </c>
      <c r="W324" s="1" t="str">
        <f>+Tabla__192.168.1.8_POSEIDONSQL_APPFVT_01_tblFillRateFechas[[#This Row],[con_ocnumero]]&amp;Tabla__192.168.1.8_POSEIDONSQL_APPFVT_01_tblFillRateFechas[[#This Row],[con_codigounico]]</f>
        <v>9619341-</v>
      </c>
      <c r="X3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5" spans="1:24" x14ac:dyDescent="0.25">
      <c r="A325">
        <v>4</v>
      </c>
      <c r="B325" t="s">
        <v>56</v>
      </c>
      <c r="C325">
        <v>9619770</v>
      </c>
      <c r="D325" t="s">
        <v>1979</v>
      </c>
      <c r="E325" t="s">
        <v>1980</v>
      </c>
      <c r="F325" t="s">
        <v>1967</v>
      </c>
      <c r="G325">
        <v>1</v>
      </c>
      <c r="H325">
        <v>1</v>
      </c>
      <c r="I325" t="s">
        <v>1980</v>
      </c>
      <c r="J325">
        <v>0</v>
      </c>
      <c r="K325" t="s">
        <v>49</v>
      </c>
      <c r="L325" s="1">
        <f>+Tabla__192.168.1.8_POSEIDONSQL_APPFVT_01_tblFillRateFechas[[#This Row],[emb_cantidad]]-Tabla__192.168.1.8_POSEIDONSQL_APPFVT_01_tblFillRateFechas[[#This Row],[dev_cantidad]]</f>
        <v>1</v>
      </c>
      <c r="M325" s="1">
        <f>+IF(Tabla__192.168.1.8_POSEIDONSQL_APPFVT_01_tblFillRateFechas[[#This Row],[Cant_Resultante]]=Tabla__192.168.1.8_POSEIDONSQL_APPFVT_01_tblFillRateFechas[[#This Row],[cant_order]],1,0)</f>
        <v>1</v>
      </c>
      <c r="N3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5" s="1">
        <f>+IF(AND(Tabla__192.168.1.8_POSEIDONSQL_APPFVT_01_tblFillRateFechas[[#This Row],[Valida Cant]]=1,Tabla__192.168.1.8_POSEIDONSQL_APPFVT_01_tblFillRateFechas[[#This Row],[Valida Fec]]=1),1,0)</f>
        <v>1</v>
      </c>
      <c r="P325" s="1">
        <f>+(Tabla__192.168.1.8_POSEIDONSQL_APPFVT_01_tblFillRateFechas[[#This Row],[Cant_Resultante]]/Tabla__192.168.1.8_POSEIDONSQL_APPFVT_01_tblFillRateFechas[[#This Row],[cant_order]])*100</f>
        <v>100</v>
      </c>
      <c r="Q3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5" s="1">
        <f>+IF(Tabla__192.168.1.8_POSEIDONSQL_APPFVT_01_tblFillRateFechas[[#This Row],[cant_order]]&gt;0,1,0)</f>
        <v>1</v>
      </c>
      <c r="V325" s="1">
        <f>+IF(Tabla__192.168.1.8_POSEIDONSQL_APPFVT_01_tblFillRateFechas[[#This Row],[Resultado]]=1,1,0)</f>
        <v>1</v>
      </c>
      <c r="W325" s="1" t="str">
        <f>+Tabla__192.168.1.8_POSEIDONSQL_APPFVT_01_tblFillRateFechas[[#This Row],[con_ocnumero]]&amp;Tabla__192.168.1.8_POSEIDONSQL_APPFVT_01_tblFillRateFechas[[#This Row],[con_codigounico]]</f>
        <v>9619770-</v>
      </c>
      <c r="X3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6" spans="1:24" x14ac:dyDescent="0.25">
      <c r="A326">
        <v>4</v>
      </c>
      <c r="B326" t="s">
        <v>56</v>
      </c>
      <c r="C326">
        <v>9619921</v>
      </c>
      <c r="D326" t="s">
        <v>1979</v>
      </c>
      <c r="E326" t="s">
        <v>1980</v>
      </c>
      <c r="F326" t="s">
        <v>1967</v>
      </c>
      <c r="G326">
        <v>1</v>
      </c>
      <c r="H326">
        <v>1</v>
      </c>
      <c r="I326" t="s">
        <v>1980</v>
      </c>
      <c r="J326">
        <v>0</v>
      </c>
      <c r="K326" t="s">
        <v>49</v>
      </c>
      <c r="L326" s="1">
        <f>+Tabla__192.168.1.8_POSEIDONSQL_APPFVT_01_tblFillRateFechas[[#This Row],[emb_cantidad]]-Tabla__192.168.1.8_POSEIDONSQL_APPFVT_01_tblFillRateFechas[[#This Row],[dev_cantidad]]</f>
        <v>1</v>
      </c>
      <c r="M326" s="1">
        <f>+IF(Tabla__192.168.1.8_POSEIDONSQL_APPFVT_01_tblFillRateFechas[[#This Row],[Cant_Resultante]]=Tabla__192.168.1.8_POSEIDONSQL_APPFVT_01_tblFillRateFechas[[#This Row],[cant_order]],1,0)</f>
        <v>1</v>
      </c>
      <c r="N3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6" s="1">
        <f>+IF(AND(Tabla__192.168.1.8_POSEIDONSQL_APPFVT_01_tblFillRateFechas[[#This Row],[Valida Cant]]=1,Tabla__192.168.1.8_POSEIDONSQL_APPFVT_01_tblFillRateFechas[[#This Row],[Valida Fec]]=1),1,0)</f>
        <v>1</v>
      </c>
      <c r="P326" s="1">
        <f>+(Tabla__192.168.1.8_POSEIDONSQL_APPFVT_01_tblFillRateFechas[[#This Row],[Cant_Resultante]]/Tabla__192.168.1.8_POSEIDONSQL_APPFVT_01_tblFillRateFechas[[#This Row],[cant_order]])*100</f>
        <v>100</v>
      </c>
      <c r="Q3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6" s="1">
        <f>+IF(Tabla__192.168.1.8_POSEIDONSQL_APPFVT_01_tblFillRateFechas[[#This Row],[cant_order]]&gt;0,1,0)</f>
        <v>1</v>
      </c>
      <c r="V326" s="1">
        <f>+IF(Tabla__192.168.1.8_POSEIDONSQL_APPFVT_01_tblFillRateFechas[[#This Row],[Resultado]]=1,1,0)</f>
        <v>1</v>
      </c>
      <c r="W326" s="1" t="str">
        <f>+Tabla__192.168.1.8_POSEIDONSQL_APPFVT_01_tblFillRateFechas[[#This Row],[con_ocnumero]]&amp;Tabla__192.168.1.8_POSEIDONSQL_APPFVT_01_tblFillRateFechas[[#This Row],[con_codigounico]]</f>
        <v>9619921-</v>
      </c>
      <c r="X3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7" spans="1:24" x14ac:dyDescent="0.25">
      <c r="A327">
        <v>4</v>
      </c>
      <c r="B327" t="s">
        <v>56</v>
      </c>
      <c r="C327">
        <v>9619954</v>
      </c>
      <c r="D327" t="s">
        <v>1979</v>
      </c>
      <c r="E327" t="s">
        <v>1962</v>
      </c>
      <c r="F327" t="s">
        <v>1967</v>
      </c>
      <c r="G327">
        <v>1</v>
      </c>
      <c r="H327">
        <v>1</v>
      </c>
      <c r="I327" t="s">
        <v>1962</v>
      </c>
      <c r="J327">
        <v>0</v>
      </c>
      <c r="K327" t="s">
        <v>49</v>
      </c>
      <c r="L327" s="1">
        <f>+Tabla__192.168.1.8_POSEIDONSQL_APPFVT_01_tblFillRateFechas[[#This Row],[emb_cantidad]]-Tabla__192.168.1.8_POSEIDONSQL_APPFVT_01_tblFillRateFechas[[#This Row],[dev_cantidad]]</f>
        <v>1</v>
      </c>
      <c r="M327" s="1">
        <f>+IF(Tabla__192.168.1.8_POSEIDONSQL_APPFVT_01_tblFillRateFechas[[#This Row],[Cant_Resultante]]=Tabla__192.168.1.8_POSEIDONSQL_APPFVT_01_tblFillRateFechas[[#This Row],[cant_order]],1,0)</f>
        <v>1</v>
      </c>
      <c r="N3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7" s="1">
        <f>+IF(AND(Tabla__192.168.1.8_POSEIDONSQL_APPFVT_01_tblFillRateFechas[[#This Row],[Valida Cant]]=1,Tabla__192.168.1.8_POSEIDONSQL_APPFVT_01_tblFillRateFechas[[#This Row],[Valida Fec]]=1),1,0)</f>
        <v>1</v>
      </c>
      <c r="P327" s="1">
        <f>+(Tabla__192.168.1.8_POSEIDONSQL_APPFVT_01_tblFillRateFechas[[#This Row],[Cant_Resultante]]/Tabla__192.168.1.8_POSEIDONSQL_APPFVT_01_tblFillRateFechas[[#This Row],[cant_order]])*100</f>
        <v>100</v>
      </c>
      <c r="Q3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7" s="1">
        <f>+IF(Tabla__192.168.1.8_POSEIDONSQL_APPFVT_01_tblFillRateFechas[[#This Row],[cant_order]]&gt;0,1,0)</f>
        <v>1</v>
      </c>
      <c r="V327" s="1">
        <f>+IF(Tabla__192.168.1.8_POSEIDONSQL_APPFVT_01_tblFillRateFechas[[#This Row],[Resultado]]=1,1,0)</f>
        <v>1</v>
      </c>
      <c r="W327" s="1" t="str">
        <f>+Tabla__192.168.1.8_POSEIDONSQL_APPFVT_01_tblFillRateFechas[[#This Row],[con_ocnumero]]&amp;Tabla__192.168.1.8_POSEIDONSQL_APPFVT_01_tblFillRateFechas[[#This Row],[con_codigounico]]</f>
        <v>9619954-</v>
      </c>
      <c r="X3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8" spans="1:24" x14ac:dyDescent="0.25">
      <c r="A328">
        <v>4</v>
      </c>
      <c r="B328" t="s">
        <v>56</v>
      </c>
      <c r="C328">
        <v>9620373</v>
      </c>
      <c r="D328" t="s">
        <v>1979</v>
      </c>
      <c r="E328" t="s">
        <v>1980</v>
      </c>
      <c r="F328" t="s">
        <v>1967</v>
      </c>
      <c r="G328">
        <v>1</v>
      </c>
      <c r="H328">
        <v>1</v>
      </c>
      <c r="I328" t="s">
        <v>1980</v>
      </c>
      <c r="J328">
        <v>0</v>
      </c>
      <c r="K328" t="s">
        <v>49</v>
      </c>
      <c r="L328" s="1">
        <f>+Tabla__192.168.1.8_POSEIDONSQL_APPFVT_01_tblFillRateFechas[[#This Row],[emb_cantidad]]-Tabla__192.168.1.8_POSEIDONSQL_APPFVT_01_tblFillRateFechas[[#This Row],[dev_cantidad]]</f>
        <v>1</v>
      </c>
      <c r="M328" s="1">
        <f>+IF(Tabla__192.168.1.8_POSEIDONSQL_APPFVT_01_tblFillRateFechas[[#This Row],[Cant_Resultante]]=Tabla__192.168.1.8_POSEIDONSQL_APPFVT_01_tblFillRateFechas[[#This Row],[cant_order]],1,0)</f>
        <v>1</v>
      </c>
      <c r="N3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8" s="1">
        <f>+IF(AND(Tabla__192.168.1.8_POSEIDONSQL_APPFVT_01_tblFillRateFechas[[#This Row],[Valida Cant]]=1,Tabla__192.168.1.8_POSEIDONSQL_APPFVT_01_tblFillRateFechas[[#This Row],[Valida Fec]]=1),1,0)</f>
        <v>1</v>
      </c>
      <c r="P328" s="1">
        <f>+(Tabla__192.168.1.8_POSEIDONSQL_APPFVT_01_tblFillRateFechas[[#This Row],[Cant_Resultante]]/Tabla__192.168.1.8_POSEIDONSQL_APPFVT_01_tblFillRateFechas[[#This Row],[cant_order]])*100</f>
        <v>100</v>
      </c>
      <c r="Q3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8" s="1">
        <f>+IF(Tabla__192.168.1.8_POSEIDONSQL_APPFVT_01_tblFillRateFechas[[#This Row],[cant_order]]&gt;0,1,0)</f>
        <v>1</v>
      </c>
      <c r="V328" s="1">
        <f>+IF(Tabla__192.168.1.8_POSEIDONSQL_APPFVT_01_tblFillRateFechas[[#This Row],[Resultado]]=1,1,0)</f>
        <v>1</v>
      </c>
      <c r="W328" s="1" t="str">
        <f>+Tabla__192.168.1.8_POSEIDONSQL_APPFVT_01_tblFillRateFechas[[#This Row],[con_ocnumero]]&amp;Tabla__192.168.1.8_POSEIDONSQL_APPFVT_01_tblFillRateFechas[[#This Row],[con_codigounico]]</f>
        <v>9620373-</v>
      </c>
      <c r="X3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29" spans="1:24" x14ac:dyDescent="0.25">
      <c r="A329">
        <v>4</v>
      </c>
      <c r="B329" t="s">
        <v>56</v>
      </c>
      <c r="C329">
        <v>9621269</v>
      </c>
      <c r="D329" t="s">
        <v>1967</v>
      </c>
      <c r="E329" t="s">
        <v>426</v>
      </c>
      <c r="F329" t="s">
        <v>1968</v>
      </c>
      <c r="G329">
        <v>1</v>
      </c>
      <c r="H329">
        <v>1</v>
      </c>
      <c r="I329" t="s">
        <v>1962</v>
      </c>
      <c r="J329">
        <v>0</v>
      </c>
      <c r="K329" t="s">
        <v>49</v>
      </c>
      <c r="L329" s="1">
        <f>+Tabla__192.168.1.8_POSEIDONSQL_APPFVT_01_tblFillRateFechas[[#This Row],[emb_cantidad]]-Tabla__192.168.1.8_POSEIDONSQL_APPFVT_01_tblFillRateFechas[[#This Row],[dev_cantidad]]</f>
        <v>1</v>
      </c>
      <c r="M329" s="1">
        <f>+IF(Tabla__192.168.1.8_POSEIDONSQL_APPFVT_01_tblFillRateFechas[[#This Row],[Cant_Resultante]]=Tabla__192.168.1.8_POSEIDONSQL_APPFVT_01_tblFillRateFechas[[#This Row],[cant_order]],1,0)</f>
        <v>1</v>
      </c>
      <c r="N3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29" s="1">
        <f>+IF(AND(Tabla__192.168.1.8_POSEIDONSQL_APPFVT_01_tblFillRateFechas[[#This Row],[Valida Cant]]=1,Tabla__192.168.1.8_POSEIDONSQL_APPFVT_01_tblFillRateFechas[[#This Row],[Valida Fec]]=1),1,0)</f>
        <v>1</v>
      </c>
      <c r="P329" s="1">
        <f>+(Tabla__192.168.1.8_POSEIDONSQL_APPFVT_01_tblFillRateFechas[[#This Row],[Cant_Resultante]]/Tabla__192.168.1.8_POSEIDONSQL_APPFVT_01_tblFillRateFechas[[#This Row],[cant_order]])*100</f>
        <v>100</v>
      </c>
      <c r="Q3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29" s="1">
        <f>+IF(Tabla__192.168.1.8_POSEIDONSQL_APPFVT_01_tblFillRateFechas[[#This Row],[cant_order]]&gt;0,1,0)</f>
        <v>1</v>
      </c>
      <c r="V329" s="1">
        <f>+IF(Tabla__192.168.1.8_POSEIDONSQL_APPFVT_01_tblFillRateFechas[[#This Row],[Resultado]]=1,1,0)</f>
        <v>1</v>
      </c>
      <c r="W329" s="1" t="str">
        <f>+Tabla__192.168.1.8_POSEIDONSQL_APPFVT_01_tblFillRateFechas[[#This Row],[con_ocnumero]]&amp;Tabla__192.168.1.8_POSEIDONSQL_APPFVT_01_tblFillRateFechas[[#This Row],[con_codigounico]]</f>
        <v>9621269-</v>
      </c>
      <c r="X3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0" spans="1:24" x14ac:dyDescent="0.25">
      <c r="A330">
        <v>4</v>
      </c>
      <c r="B330" t="s">
        <v>56</v>
      </c>
      <c r="C330">
        <v>9621573</v>
      </c>
      <c r="D330" t="s">
        <v>1967</v>
      </c>
      <c r="E330" t="s">
        <v>1980</v>
      </c>
      <c r="F330" t="s">
        <v>1965</v>
      </c>
      <c r="G330">
        <v>1</v>
      </c>
      <c r="H330">
        <v>1</v>
      </c>
      <c r="I330" t="s">
        <v>1980</v>
      </c>
      <c r="J330">
        <v>0</v>
      </c>
      <c r="K330" t="s">
        <v>49</v>
      </c>
      <c r="L330" s="1">
        <f>+Tabla__192.168.1.8_POSEIDONSQL_APPFVT_01_tblFillRateFechas[[#This Row],[emb_cantidad]]-Tabla__192.168.1.8_POSEIDONSQL_APPFVT_01_tblFillRateFechas[[#This Row],[dev_cantidad]]</f>
        <v>1</v>
      </c>
      <c r="M330" s="1">
        <f>+IF(Tabla__192.168.1.8_POSEIDONSQL_APPFVT_01_tblFillRateFechas[[#This Row],[Cant_Resultante]]=Tabla__192.168.1.8_POSEIDONSQL_APPFVT_01_tblFillRateFechas[[#This Row],[cant_order]],1,0)</f>
        <v>1</v>
      </c>
      <c r="N3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0" s="1">
        <f>+IF(AND(Tabla__192.168.1.8_POSEIDONSQL_APPFVT_01_tblFillRateFechas[[#This Row],[Valida Cant]]=1,Tabla__192.168.1.8_POSEIDONSQL_APPFVT_01_tblFillRateFechas[[#This Row],[Valida Fec]]=1),1,0)</f>
        <v>1</v>
      </c>
      <c r="P330" s="1">
        <f>+(Tabla__192.168.1.8_POSEIDONSQL_APPFVT_01_tblFillRateFechas[[#This Row],[Cant_Resultante]]/Tabla__192.168.1.8_POSEIDONSQL_APPFVT_01_tblFillRateFechas[[#This Row],[cant_order]])*100</f>
        <v>100</v>
      </c>
      <c r="Q3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0" s="1">
        <f>+IF(Tabla__192.168.1.8_POSEIDONSQL_APPFVT_01_tblFillRateFechas[[#This Row],[cant_order]]&gt;0,1,0)</f>
        <v>1</v>
      </c>
      <c r="V330" s="1">
        <f>+IF(Tabla__192.168.1.8_POSEIDONSQL_APPFVT_01_tblFillRateFechas[[#This Row],[Resultado]]=1,1,0)</f>
        <v>1</v>
      </c>
      <c r="W330" s="1" t="str">
        <f>+Tabla__192.168.1.8_POSEIDONSQL_APPFVT_01_tblFillRateFechas[[#This Row],[con_ocnumero]]&amp;Tabla__192.168.1.8_POSEIDONSQL_APPFVT_01_tblFillRateFechas[[#This Row],[con_codigounico]]</f>
        <v>9621573-</v>
      </c>
      <c r="X3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1" spans="1:24" x14ac:dyDescent="0.25">
      <c r="A331">
        <v>4</v>
      </c>
      <c r="B331" t="s">
        <v>56</v>
      </c>
      <c r="C331">
        <v>9621619</v>
      </c>
      <c r="D331" t="s">
        <v>1967</v>
      </c>
      <c r="E331" t="s">
        <v>1980</v>
      </c>
      <c r="F331" t="s">
        <v>1968</v>
      </c>
      <c r="G331">
        <v>1</v>
      </c>
      <c r="H331">
        <v>1</v>
      </c>
      <c r="I331" t="s">
        <v>1980</v>
      </c>
      <c r="J331">
        <v>0</v>
      </c>
      <c r="K331" t="s">
        <v>49</v>
      </c>
      <c r="L331" s="1">
        <f>+Tabla__192.168.1.8_POSEIDONSQL_APPFVT_01_tblFillRateFechas[[#This Row],[emb_cantidad]]-Tabla__192.168.1.8_POSEIDONSQL_APPFVT_01_tblFillRateFechas[[#This Row],[dev_cantidad]]</f>
        <v>1</v>
      </c>
      <c r="M331" s="1">
        <f>+IF(Tabla__192.168.1.8_POSEIDONSQL_APPFVT_01_tblFillRateFechas[[#This Row],[Cant_Resultante]]=Tabla__192.168.1.8_POSEIDONSQL_APPFVT_01_tblFillRateFechas[[#This Row],[cant_order]],1,0)</f>
        <v>1</v>
      </c>
      <c r="N3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1" s="1">
        <f>+IF(AND(Tabla__192.168.1.8_POSEIDONSQL_APPFVT_01_tblFillRateFechas[[#This Row],[Valida Cant]]=1,Tabla__192.168.1.8_POSEIDONSQL_APPFVT_01_tblFillRateFechas[[#This Row],[Valida Fec]]=1),1,0)</f>
        <v>1</v>
      </c>
      <c r="P331" s="1">
        <f>+(Tabla__192.168.1.8_POSEIDONSQL_APPFVT_01_tblFillRateFechas[[#This Row],[Cant_Resultante]]/Tabla__192.168.1.8_POSEIDONSQL_APPFVT_01_tblFillRateFechas[[#This Row],[cant_order]])*100</f>
        <v>100</v>
      </c>
      <c r="Q3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1" s="1">
        <f>+IF(Tabla__192.168.1.8_POSEIDONSQL_APPFVT_01_tblFillRateFechas[[#This Row],[cant_order]]&gt;0,1,0)</f>
        <v>1</v>
      </c>
      <c r="V331" s="1">
        <f>+IF(Tabla__192.168.1.8_POSEIDONSQL_APPFVT_01_tblFillRateFechas[[#This Row],[Resultado]]=1,1,0)</f>
        <v>1</v>
      </c>
      <c r="W331" s="1" t="str">
        <f>+Tabla__192.168.1.8_POSEIDONSQL_APPFVT_01_tblFillRateFechas[[#This Row],[con_ocnumero]]&amp;Tabla__192.168.1.8_POSEIDONSQL_APPFVT_01_tblFillRateFechas[[#This Row],[con_codigounico]]</f>
        <v>9621619-</v>
      </c>
      <c r="X3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2" spans="1:24" x14ac:dyDescent="0.25">
      <c r="A332">
        <v>4</v>
      </c>
      <c r="B332" t="s">
        <v>56</v>
      </c>
      <c r="C332">
        <v>9622408</v>
      </c>
      <c r="D332" t="s">
        <v>1967</v>
      </c>
      <c r="E332" t="s">
        <v>1962</v>
      </c>
      <c r="F332" t="s">
        <v>1968</v>
      </c>
      <c r="G332">
        <v>1</v>
      </c>
      <c r="H332">
        <v>1</v>
      </c>
      <c r="I332" t="s">
        <v>1962</v>
      </c>
      <c r="J332">
        <v>0</v>
      </c>
      <c r="K332" t="s">
        <v>49</v>
      </c>
      <c r="L332" s="1">
        <f>+Tabla__192.168.1.8_POSEIDONSQL_APPFVT_01_tblFillRateFechas[[#This Row],[emb_cantidad]]-Tabla__192.168.1.8_POSEIDONSQL_APPFVT_01_tblFillRateFechas[[#This Row],[dev_cantidad]]</f>
        <v>1</v>
      </c>
      <c r="M332" s="1">
        <f>+IF(Tabla__192.168.1.8_POSEIDONSQL_APPFVT_01_tblFillRateFechas[[#This Row],[Cant_Resultante]]=Tabla__192.168.1.8_POSEIDONSQL_APPFVT_01_tblFillRateFechas[[#This Row],[cant_order]],1,0)</f>
        <v>1</v>
      </c>
      <c r="N3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2" s="1">
        <f>+IF(AND(Tabla__192.168.1.8_POSEIDONSQL_APPFVT_01_tblFillRateFechas[[#This Row],[Valida Cant]]=1,Tabla__192.168.1.8_POSEIDONSQL_APPFVT_01_tblFillRateFechas[[#This Row],[Valida Fec]]=1),1,0)</f>
        <v>1</v>
      </c>
      <c r="P332" s="1">
        <f>+(Tabla__192.168.1.8_POSEIDONSQL_APPFVT_01_tblFillRateFechas[[#This Row],[Cant_Resultante]]/Tabla__192.168.1.8_POSEIDONSQL_APPFVT_01_tblFillRateFechas[[#This Row],[cant_order]])*100</f>
        <v>100</v>
      </c>
      <c r="Q3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2" s="1">
        <f>+IF(Tabla__192.168.1.8_POSEIDONSQL_APPFVT_01_tblFillRateFechas[[#This Row],[cant_order]]&gt;0,1,0)</f>
        <v>1</v>
      </c>
      <c r="V332" s="1">
        <f>+IF(Tabla__192.168.1.8_POSEIDONSQL_APPFVT_01_tblFillRateFechas[[#This Row],[Resultado]]=1,1,0)</f>
        <v>1</v>
      </c>
      <c r="W332" s="1" t="str">
        <f>+Tabla__192.168.1.8_POSEIDONSQL_APPFVT_01_tblFillRateFechas[[#This Row],[con_ocnumero]]&amp;Tabla__192.168.1.8_POSEIDONSQL_APPFVT_01_tblFillRateFechas[[#This Row],[con_codigounico]]</f>
        <v>9622408-</v>
      </c>
      <c r="X3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3" spans="1:24" x14ac:dyDescent="0.25">
      <c r="A333">
        <v>4</v>
      </c>
      <c r="B333" t="s">
        <v>56</v>
      </c>
      <c r="C333">
        <v>9622450</v>
      </c>
      <c r="D333" t="s">
        <v>1967</v>
      </c>
      <c r="E333" t="s">
        <v>1962</v>
      </c>
      <c r="F333" t="s">
        <v>1968</v>
      </c>
      <c r="G333">
        <v>1</v>
      </c>
      <c r="H333">
        <v>1</v>
      </c>
      <c r="I333" t="s">
        <v>1962</v>
      </c>
      <c r="J333">
        <v>0</v>
      </c>
      <c r="K333" t="s">
        <v>49</v>
      </c>
      <c r="L333" s="1">
        <f>+Tabla__192.168.1.8_POSEIDONSQL_APPFVT_01_tblFillRateFechas[[#This Row],[emb_cantidad]]-Tabla__192.168.1.8_POSEIDONSQL_APPFVT_01_tblFillRateFechas[[#This Row],[dev_cantidad]]</f>
        <v>1</v>
      </c>
      <c r="M333" s="1">
        <f>+IF(Tabla__192.168.1.8_POSEIDONSQL_APPFVT_01_tblFillRateFechas[[#This Row],[Cant_Resultante]]=Tabla__192.168.1.8_POSEIDONSQL_APPFVT_01_tblFillRateFechas[[#This Row],[cant_order]],1,0)</f>
        <v>1</v>
      </c>
      <c r="N3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3" s="1">
        <f>+IF(AND(Tabla__192.168.1.8_POSEIDONSQL_APPFVT_01_tblFillRateFechas[[#This Row],[Valida Cant]]=1,Tabla__192.168.1.8_POSEIDONSQL_APPFVT_01_tblFillRateFechas[[#This Row],[Valida Fec]]=1),1,0)</f>
        <v>1</v>
      </c>
      <c r="P333" s="1">
        <f>+(Tabla__192.168.1.8_POSEIDONSQL_APPFVT_01_tblFillRateFechas[[#This Row],[Cant_Resultante]]/Tabla__192.168.1.8_POSEIDONSQL_APPFVT_01_tblFillRateFechas[[#This Row],[cant_order]])*100</f>
        <v>100</v>
      </c>
      <c r="Q3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3" s="1">
        <f>+IF(Tabla__192.168.1.8_POSEIDONSQL_APPFVT_01_tblFillRateFechas[[#This Row],[cant_order]]&gt;0,1,0)</f>
        <v>1</v>
      </c>
      <c r="V333" s="1">
        <f>+IF(Tabla__192.168.1.8_POSEIDONSQL_APPFVT_01_tblFillRateFechas[[#This Row],[Resultado]]=1,1,0)</f>
        <v>1</v>
      </c>
      <c r="W333" s="1" t="str">
        <f>+Tabla__192.168.1.8_POSEIDONSQL_APPFVT_01_tblFillRateFechas[[#This Row],[con_ocnumero]]&amp;Tabla__192.168.1.8_POSEIDONSQL_APPFVT_01_tblFillRateFechas[[#This Row],[con_codigounico]]</f>
        <v>9622450-</v>
      </c>
      <c r="X3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4" spans="1:24" x14ac:dyDescent="0.25">
      <c r="A334">
        <v>4</v>
      </c>
      <c r="B334" t="s">
        <v>56</v>
      </c>
      <c r="C334">
        <v>9622551</v>
      </c>
      <c r="D334" t="s">
        <v>1967</v>
      </c>
      <c r="E334" t="s">
        <v>1963</v>
      </c>
      <c r="F334" t="s">
        <v>1968</v>
      </c>
      <c r="G334">
        <v>1</v>
      </c>
      <c r="H334">
        <v>1</v>
      </c>
      <c r="I334" t="s">
        <v>1962</v>
      </c>
      <c r="J334">
        <v>0</v>
      </c>
      <c r="K334" t="s">
        <v>49</v>
      </c>
      <c r="L334" s="1">
        <f>+Tabla__192.168.1.8_POSEIDONSQL_APPFVT_01_tblFillRateFechas[[#This Row],[emb_cantidad]]-Tabla__192.168.1.8_POSEIDONSQL_APPFVT_01_tblFillRateFechas[[#This Row],[dev_cantidad]]</f>
        <v>1</v>
      </c>
      <c r="M334" s="1">
        <f>+IF(Tabla__192.168.1.8_POSEIDONSQL_APPFVT_01_tblFillRateFechas[[#This Row],[Cant_Resultante]]=Tabla__192.168.1.8_POSEIDONSQL_APPFVT_01_tblFillRateFechas[[#This Row],[cant_order]],1,0)</f>
        <v>1</v>
      </c>
      <c r="N3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4" s="1">
        <f>+IF(AND(Tabla__192.168.1.8_POSEIDONSQL_APPFVT_01_tblFillRateFechas[[#This Row],[Valida Cant]]=1,Tabla__192.168.1.8_POSEIDONSQL_APPFVT_01_tblFillRateFechas[[#This Row],[Valida Fec]]=1),1,0)</f>
        <v>1</v>
      </c>
      <c r="P334" s="1">
        <f>+(Tabla__192.168.1.8_POSEIDONSQL_APPFVT_01_tblFillRateFechas[[#This Row],[Cant_Resultante]]/Tabla__192.168.1.8_POSEIDONSQL_APPFVT_01_tblFillRateFechas[[#This Row],[cant_order]])*100</f>
        <v>100</v>
      </c>
      <c r="Q3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4" s="1">
        <f>+IF(Tabla__192.168.1.8_POSEIDONSQL_APPFVT_01_tblFillRateFechas[[#This Row],[cant_order]]&gt;0,1,0)</f>
        <v>1</v>
      </c>
      <c r="V334" s="1">
        <f>+IF(Tabla__192.168.1.8_POSEIDONSQL_APPFVT_01_tblFillRateFechas[[#This Row],[Resultado]]=1,1,0)</f>
        <v>1</v>
      </c>
      <c r="W334" s="1" t="str">
        <f>+Tabla__192.168.1.8_POSEIDONSQL_APPFVT_01_tblFillRateFechas[[#This Row],[con_ocnumero]]&amp;Tabla__192.168.1.8_POSEIDONSQL_APPFVT_01_tblFillRateFechas[[#This Row],[con_codigounico]]</f>
        <v>9622551-</v>
      </c>
      <c r="X3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5" spans="1:24" x14ac:dyDescent="0.25">
      <c r="A335">
        <v>4</v>
      </c>
      <c r="B335" t="s">
        <v>56</v>
      </c>
      <c r="C335">
        <v>9622596</v>
      </c>
      <c r="D335" t="s">
        <v>1967</v>
      </c>
      <c r="E335" t="s">
        <v>1977</v>
      </c>
      <c r="F335" t="s">
        <v>1968</v>
      </c>
      <c r="G335">
        <v>1</v>
      </c>
      <c r="H335">
        <v>2</v>
      </c>
      <c r="I335" t="s">
        <v>1962</v>
      </c>
      <c r="J335">
        <v>1</v>
      </c>
      <c r="K335" t="s">
        <v>49</v>
      </c>
      <c r="L335" s="1">
        <f>+Tabla__192.168.1.8_POSEIDONSQL_APPFVT_01_tblFillRateFechas[[#This Row],[emb_cantidad]]-Tabla__192.168.1.8_POSEIDONSQL_APPFVT_01_tblFillRateFechas[[#This Row],[dev_cantidad]]</f>
        <v>1</v>
      </c>
      <c r="M335" s="1">
        <f>+IF(Tabla__192.168.1.8_POSEIDONSQL_APPFVT_01_tblFillRateFechas[[#This Row],[Cant_Resultante]]=Tabla__192.168.1.8_POSEIDONSQL_APPFVT_01_tblFillRateFechas[[#This Row],[cant_order]],1,0)</f>
        <v>1</v>
      </c>
      <c r="N3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335" s="1">
        <f>+IF(AND(Tabla__192.168.1.8_POSEIDONSQL_APPFVT_01_tblFillRateFechas[[#This Row],[Valida Cant]]=1,Tabla__192.168.1.8_POSEIDONSQL_APPFVT_01_tblFillRateFechas[[#This Row],[Valida Fec]]=1),1,0)</f>
        <v>0</v>
      </c>
      <c r="P335" s="1">
        <f>+(Tabla__192.168.1.8_POSEIDONSQL_APPFVT_01_tblFillRateFechas[[#This Row],[Cant_Resultante]]/Tabla__192.168.1.8_POSEIDONSQL_APPFVT_01_tblFillRateFechas[[#This Row],[cant_order]])*100</f>
        <v>100</v>
      </c>
      <c r="Q3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3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5" s="1">
        <f>+IF(Tabla__192.168.1.8_POSEIDONSQL_APPFVT_01_tblFillRateFechas[[#This Row],[cant_order]]&gt;0,1,0)</f>
        <v>1</v>
      </c>
      <c r="V335" s="1">
        <f>+IF(Tabla__192.168.1.8_POSEIDONSQL_APPFVT_01_tblFillRateFechas[[#This Row],[Resultado]]=1,1,0)</f>
        <v>0</v>
      </c>
      <c r="W335" s="1" t="str">
        <f>+Tabla__192.168.1.8_POSEIDONSQL_APPFVT_01_tblFillRateFechas[[#This Row],[con_ocnumero]]&amp;Tabla__192.168.1.8_POSEIDONSQL_APPFVT_01_tblFillRateFechas[[#This Row],[con_codigounico]]</f>
        <v>9622596-</v>
      </c>
      <c r="X3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6" spans="1:24" x14ac:dyDescent="0.25">
      <c r="A336">
        <v>4</v>
      </c>
      <c r="B336" t="s">
        <v>56</v>
      </c>
      <c r="C336">
        <v>9622815</v>
      </c>
      <c r="D336" t="s">
        <v>1967</v>
      </c>
      <c r="E336" t="s">
        <v>1962</v>
      </c>
      <c r="F336" t="s">
        <v>1968</v>
      </c>
      <c r="G336">
        <v>1</v>
      </c>
      <c r="H336">
        <v>1</v>
      </c>
      <c r="I336" t="s">
        <v>1962</v>
      </c>
      <c r="J336">
        <v>0</v>
      </c>
      <c r="K336" t="s">
        <v>49</v>
      </c>
      <c r="L336" s="1">
        <f>+Tabla__192.168.1.8_POSEIDONSQL_APPFVT_01_tblFillRateFechas[[#This Row],[emb_cantidad]]-Tabla__192.168.1.8_POSEIDONSQL_APPFVT_01_tblFillRateFechas[[#This Row],[dev_cantidad]]</f>
        <v>1</v>
      </c>
      <c r="M336" s="1">
        <f>+IF(Tabla__192.168.1.8_POSEIDONSQL_APPFVT_01_tblFillRateFechas[[#This Row],[Cant_Resultante]]=Tabla__192.168.1.8_POSEIDONSQL_APPFVT_01_tblFillRateFechas[[#This Row],[cant_order]],1,0)</f>
        <v>1</v>
      </c>
      <c r="N3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6" s="1">
        <f>+IF(AND(Tabla__192.168.1.8_POSEIDONSQL_APPFVT_01_tblFillRateFechas[[#This Row],[Valida Cant]]=1,Tabla__192.168.1.8_POSEIDONSQL_APPFVT_01_tblFillRateFechas[[#This Row],[Valida Fec]]=1),1,0)</f>
        <v>1</v>
      </c>
      <c r="P336" s="1">
        <f>+(Tabla__192.168.1.8_POSEIDONSQL_APPFVT_01_tblFillRateFechas[[#This Row],[Cant_Resultante]]/Tabla__192.168.1.8_POSEIDONSQL_APPFVT_01_tblFillRateFechas[[#This Row],[cant_order]])*100</f>
        <v>100</v>
      </c>
      <c r="Q3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6" s="1">
        <f>+IF(Tabla__192.168.1.8_POSEIDONSQL_APPFVT_01_tblFillRateFechas[[#This Row],[cant_order]]&gt;0,1,0)</f>
        <v>1</v>
      </c>
      <c r="V336" s="1">
        <f>+IF(Tabla__192.168.1.8_POSEIDONSQL_APPFVT_01_tblFillRateFechas[[#This Row],[Resultado]]=1,1,0)</f>
        <v>1</v>
      </c>
      <c r="W336" s="1" t="str">
        <f>+Tabla__192.168.1.8_POSEIDONSQL_APPFVT_01_tblFillRateFechas[[#This Row],[con_ocnumero]]&amp;Tabla__192.168.1.8_POSEIDONSQL_APPFVT_01_tblFillRateFechas[[#This Row],[con_codigounico]]</f>
        <v>9622815-</v>
      </c>
      <c r="X3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7" spans="1:24" x14ac:dyDescent="0.25">
      <c r="A337">
        <v>4</v>
      </c>
      <c r="B337" t="s">
        <v>56</v>
      </c>
      <c r="C337">
        <v>9623019</v>
      </c>
      <c r="D337" t="s">
        <v>1967</v>
      </c>
      <c r="E337" t="s">
        <v>1962</v>
      </c>
      <c r="F337" t="s">
        <v>1968</v>
      </c>
      <c r="G337">
        <v>1</v>
      </c>
      <c r="H337">
        <v>1</v>
      </c>
      <c r="I337" t="s">
        <v>1962</v>
      </c>
      <c r="J337">
        <v>0</v>
      </c>
      <c r="K337" t="s">
        <v>49</v>
      </c>
      <c r="L337" s="1">
        <f>+Tabla__192.168.1.8_POSEIDONSQL_APPFVT_01_tblFillRateFechas[[#This Row],[emb_cantidad]]-Tabla__192.168.1.8_POSEIDONSQL_APPFVT_01_tblFillRateFechas[[#This Row],[dev_cantidad]]</f>
        <v>1</v>
      </c>
      <c r="M337" s="1">
        <f>+IF(Tabla__192.168.1.8_POSEIDONSQL_APPFVT_01_tblFillRateFechas[[#This Row],[Cant_Resultante]]=Tabla__192.168.1.8_POSEIDONSQL_APPFVT_01_tblFillRateFechas[[#This Row],[cant_order]],1,0)</f>
        <v>1</v>
      </c>
      <c r="N3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7" s="1">
        <f>+IF(AND(Tabla__192.168.1.8_POSEIDONSQL_APPFVT_01_tblFillRateFechas[[#This Row],[Valida Cant]]=1,Tabla__192.168.1.8_POSEIDONSQL_APPFVT_01_tblFillRateFechas[[#This Row],[Valida Fec]]=1),1,0)</f>
        <v>1</v>
      </c>
      <c r="P337" s="1">
        <f>+(Tabla__192.168.1.8_POSEIDONSQL_APPFVT_01_tblFillRateFechas[[#This Row],[Cant_Resultante]]/Tabla__192.168.1.8_POSEIDONSQL_APPFVT_01_tblFillRateFechas[[#This Row],[cant_order]])*100</f>
        <v>100</v>
      </c>
      <c r="Q3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7" s="1">
        <f>+IF(Tabla__192.168.1.8_POSEIDONSQL_APPFVT_01_tblFillRateFechas[[#This Row],[cant_order]]&gt;0,1,0)</f>
        <v>1</v>
      </c>
      <c r="V337" s="1">
        <f>+IF(Tabla__192.168.1.8_POSEIDONSQL_APPFVT_01_tblFillRateFechas[[#This Row],[Resultado]]=1,1,0)</f>
        <v>1</v>
      </c>
      <c r="W337" s="1" t="str">
        <f>+Tabla__192.168.1.8_POSEIDONSQL_APPFVT_01_tblFillRateFechas[[#This Row],[con_ocnumero]]&amp;Tabla__192.168.1.8_POSEIDONSQL_APPFVT_01_tblFillRateFechas[[#This Row],[con_codigounico]]</f>
        <v>9623019-</v>
      </c>
      <c r="X3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8" spans="1:24" x14ac:dyDescent="0.25">
      <c r="A338">
        <v>4</v>
      </c>
      <c r="B338" t="s">
        <v>56</v>
      </c>
      <c r="C338">
        <v>9623113</v>
      </c>
      <c r="D338" t="s">
        <v>1967</v>
      </c>
      <c r="E338" t="s">
        <v>1962</v>
      </c>
      <c r="F338" t="s">
        <v>1968</v>
      </c>
      <c r="G338">
        <v>1</v>
      </c>
      <c r="H338">
        <v>1</v>
      </c>
      <c r="I338" t="s">
        <v>1962</v>
      </c>
      <c r="J338">
        <v>0</v>
      </c>
      <c r="K338" t="s">
        <v>49</v>
      </c>
      <c r="L338" s="1">
        <f>+Tabla__192.168.1.8_POSEIDONSQL_APPFVT_01_tblFillRateFechas[[#This Row],[emb_cantidad]]-Tabla__192.168.1.8_POSEIDONSQL_APPFVT_01_tblFillRateFechas[[#This Row],[dev_cantidad]]</f>
        <v>1</v>
      </c>
      <c r="M338" s="1">
        <f>+IF(Tabla__192.168.1.8_POSEIDONSQL_APPFVT_01_tblFillRateFechas[[#This Row],[Cant_Resultante]]=Tabla__192.168.1.8_POSEIDONSQL_APPFVT_01_tblFillRateFechas[[#This Row],[cant_order]],1,0)</f>
        <v>1</v>
      </c>
      <c r="N3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8" s="1">
        <f>+IF(AND(Tabla__192.168.1.8_POSEIDONSQL_APPFVT_01_tblFillRateFechas[[#This Row],[Valida Cant]]=1,Tabla__192.168.1.8_POSEIDONSQL_APPFVT_01_tblFillRateFechas[[#This Row],[Valida Fec]]=1),1,0)</f>
        <v>1</v>
      </c>
      <c r="P338" s="1">
        <f>+(Tabla__192.168.1.8_POSEIDONSQL_APPFVT_01_tblFillRateFechas[[#This Row],[Cant_Resultante]]/Tabla__192.168.1.8_POSEIDONSQL_APPFVT_01_tblFillRateFechas[[#This Row],[cant_order]])*100</f>
        <v>100</v>
      </c>
      <c r="Q3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8" s="1">
        <f>+IF(Tabla__192.168.1.8_POSEIDONSQL_APPFVT_01_tblFillRateFechas[[#This Row],[cant_order]]&gt;0,1,0)</f>
        <v>1</v>
      </c>
      <c r="V338" s="1">
        <f>+IF(Tabla__192.168.1.8_POSEIDONSQL_APPFVT_01_tblFillRateFechas[[#This Row],[Resultado]]=1,1,0)</f>
        <v>1</v>
      </c>
      <c r="W338" s="1" t="str">
        <f>+Tabla__192.168.1.8_POSEIDONSQL_APPFVT_01_tblFillRateFechas[[#This Row],[con_ocnumero]]&amp;Tabla__192.168.1.8_POSEIDONSQL_APPFVT_01_tblFillRateFechas[[#This Row],[con_codigounico]]</f>
        <v>9623113-</v>
      </c>
      <c r="X3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39" spans="1:24" x14ac:dyDescent="0.25">
      <c r="A339">
        <v>4</v>
      </c>
      <c r="B339" t="s">
        <v>56</v>
      </c>
      <c r="C339">
        <v>9623135</v>
      </c>
      <c r="D339" t="s">
        <v>1967</v>
      </c>
      <c r="E339" t="s">
        <v>160</v>
      </c>
      <c r="F339" t="s">
        <v>1968</v>
      </c>
      <c r="G339">
        <v>1</v>
      </c>
      <c r="H339">
        <v>1</v>
      </c>
      <c r="I339" t="s">
        <v>1962</v>
      </c>
      <c r="J339">
        <v>0</v>
      </c>
      <c r="K339" t="s">
        <v>49</v>
      </c>
      <c r="L339" s="1">
        <f>+Tabla__192.168.1.8_POSEIDONSQL_APPFVT_01_tblFillRateFechas[[#This Row],[emb_cantidad]]-Tabla__192.168.1.8_POSEIDONSQL_APPFVT_01_tblFillRateFechas[[#This Row],[dev_cantidad]]</f>
        <v>1</v>
      </c>
      <c r="M339" s="1">
        <f>+IF(Tabla__192.168.1.8_POSEIDONSQL_APPFVT_01_tblFillRateFechas[[#This Row],[Cant_Resultante]]=Tabla__192.168.1.8_POSEIDONSQL_APPFVT_01_tblFillRateFechas[[#This Row],[cant_order]],1,0)</f>
        <v>1</v>
      </c>
      <c r="N3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39" s="1">
        <f>+IF(AND(Tabla__192.168.1.8_POSEIDONSQL_APPFVT_01_tblFillRateFechas[[#This Row],[Valida Cant]]=1,Tabla__192.168.1.8_POSEIDONSQL_APPFVT_01_tblFillRateFechas[[#This Row],[Valida Fec]]=1),1,0)</f>
        <v>1</v>
      </c>
      <c r="P339" s="1">
        <f>+(Tabla__192.168.1.8_POSEIDONSQL_APPFVT_01_tblFillRateFechas[[#This Row],[Cant_Resultante]]/Tabla__192.168.1.8_POSEIDONSQL_APPFVT_01_tblFillRateFechas[[#This Row],[cant_order]])*100</f>
        <v>100</v>
      </c>
      <c r="Q3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39" s="1">
        <f>+IF(Tabla__192.168.1.8_POSEIDONSQL_APPFVT_01_tblFillRateFechas[[#This Row],[cant_order]]&gt;0,1,0)</f>
        <v>1</v>
      </c>
      <c r="V339" s="1">
        <f>+IF(Tabla__192.168.1.8_POSEIDONSQL_APPFVT_01_tblFillRateFechas[[#This Row],[Resultado]]=1,1,0)</f>
        <v>1</v>
      </c>
      <c r="W339" s="1" t="str">
        <f>+Tabla__192.168.1.8_POSEIDONSQL_APPFVT_01_tblFillRateFechas[[#This Row],[con_ocnumero]]&amp;Tabla__192.168.1.8_POSEIDONSQL_APPFVT_01_tblFillRateFechas[[#This Row],[con_codigounico]]</f>
        <v>9623135-</v>
      </c>
      <c r="X3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0" spans="1:24" x14ac:dyDescent="0.25">
      <c r="A340">
        <v>4</v>
      </c>
      <c r="B340" t="s">
        <v>56</v>
      </c>
      <c r="C340">
        <v>9623137</v>
      </c>
      <c r="D340" t="s">
        <v>1967</v>
      </c>
      <c r="E340" t="s">
        <v>1962</v>
      </c>
      <c r="F340" t="s">
        <v>1968</v>
      </c>
      <c r="G340">
        <v>1</v>
      </c>
      <c r="H340">
        <v>1</v>
      </c>
      <c r="I340" t="s">
        <v>1962</v>
      </c>
      <c r="J340">
        <v>0</v>
      </c>
      <c r="K340" t="s">
        <v>49</v>
      </c>
      <c r="L340" s="1">
        <f>+Tabla__192.168.1.8_POSEIDONSQL_APPFVT_01_tblFillRateFechas[[#This Row],[emb_cantidad]]-Tabla__192.168.1.8_POSEIDONSQL_APPFVT_01_tblFillRateFechas[[#This Row],[dev_cantidad]]</f>
        <v>1</v>
      </c>
      <c r="M340" s="1">
        <f>+IF(Tabla__192.168.1.8_POSEIDONSQL_APPFVT_01_tblFillRateFechas[[#This Row],[Cant_Resultante]]=Tabla__192.168.1.8_POSEIDONSQL_APPFVT_01_tblFillRateFechas[[#This Row],[cant_order]],1,0)</f>
        <v>1</v>
      </c>
      <c r="N3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0" s="1">
        <f>+IF(AND(Tabla__192.168.1.8_POSEIDONSQL_APPFVT_01_tblFillRateFechas[[#This Row],[Valida Cant]]=1,Tabla__192.168.1.8_POSEIDONSQL_APPFVT_01_tblFillRateFechas[[#This Row],[Valida Fec]]=1),1,0)</f>
        <v>1</v>
      </c>
      <c r="P340" s="1">
        <f>+(Tabla__192.168.1.8_POSEIDONSQL_APPFVT_01_tblFillRateFechas[[#This Row],[Cant_Resultante]]/Tabla__192.168.1.8_POSEIDONSQL_APPFVT_01_tblFillRateFechas[[#This Row],[cant_order]])*100</f>
        <v>100</v>
      </c>
      <c r="Q3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0" s="1">
        <f>+IF(Tabla__192.168.1.8_POSEIDONSQL_APPFVT_01_tblFillRateFechas[[#This Row],[cant_order]]&gt;0,1,0)</f>
        <v>1</v>
      </c>
      <c r="V340" s="1">
        <f>+IF(Tabla__192.168.1.8_POSEIDONSQL_APPFVT_01_tblFillRateFechas[[#This Row],[Resultado]]=1,1,0)</f>
        <v>1</v>
      </c>
      <c r="W340" s="1" t="str">
        <f>+Tabla__192.168.1.8_POSEIDONSQL_APPFVT_01_tblFillRateFechas[[#This Row],[con_ocnumero]]&amp;Tabla__192.168.1.8_POSEIDONSQL_APPFVT_01_tblFillRateFechas[[#This Row],[con_codigounico]]</f>
        <v>9623137-</v>
      </c>
      <c r="X3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1" spans="1:24" x14ac:dyDescent="0.25">
      <c r="A341">
        <v>4</v>
      </c>
      <c r="B341" t="s">
        <v>56</v>
      </c>
      <c r="C341">
        <v>9623195</v>
      </c>
      <c r="D341" t="s">
        <v>1967</v>
      </c>
      <c r="E341" t="s">
        <v>1962</v>
      </c>
      <c r="F341" t="s">
        <v>1968</v>
      </c>
      <c r="G341">
        <v>1</v>
      </c>
      <c r="H341">
        <v>1</v>
      </c>
      <c r="I341" t="s">
        <v>1962</v>
      </c>
      <c r="J341">
        <v>0</v>
      </c>
      <c r="K341" t="s">
        <v>49</v>
      </c>
      <c r="L341" s="1">
        <f>+Tabla__192.168.1.8_POSEIDONSQL_APPFVT_01_tblFillRateFechas[[#This Row],[emb_cantidad]]-Tabla__192.168.1.8_POSEIDONSQL_APPFVT_01_tblFillRateFechas[[#This Row],[dev_cantidad]]</f>
        <v>1</v>
      </c>
      <c r="M341" s="1">
        <f>+IF(Tabla__192.168.1.8_POSEIDONSQL_APPFVT_01_tblFillRateFechas[[#This Row],[Cant_Resultante]]=Tabla__192.168.1.8_POSEIDONSQL_APPFVT_01_tblFillRateFechas[[#This Row],[cant_order]],1,0)</f>
        <v>1</v>
      </c>
      <c r="N3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1" s="1">
        <f>+IF(AND(Tabla__192.168.1.8_POSEIDONSQL_APPFVT_01_tblFillRateFechas[[#This Row],[Valida Cant]]=1,Tabla__192.168.1.8_POSEIDONSQL_APPFVT_01_tblFillRateFechas[[#This Row],[Valida Fec]]=1),1,0)</f>
        <v>1</v>
      </c>
      <c r="P341" s="1">
        <f>+(Tabla__192.168.1.8_POSEIDONSQL_APPFVT_01_tblFillRateFechas[[#This Row],[Cant_Resultante]]/Tabla__192.168.1.8_POSEIDONSQL_APPFVT_01_tblFillRateFechas[[#This Row],[cant_order]])*100</f>
        <v>100</v>
      </c>
      <c r="Q3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1" s="1">
        <f>+IF(Tabla__192.168.1.8_POSEIDONSQL_APPFVT_01_tblFillRateFechas[[#This Row],[cant_order]]&gt;0,1,0)</f>
        <v>1</v>
      </c>
      <c r="V341" s="1">
        <f>+IF(Tabla__192.168.1.8_POSEIDONSQL_APPFVT_01_tblFillRateFechas[[#This Row],[Resultado]]=1,1,0)</f>
        <v>1</v>
      </c>
      <c r="W341" s="1" t="str">
        <f>+Tabla__192.168.1.8_POSEIDONSQL_APPFVT_01_tblFillRateFechas[[#This Row],[con_ocnumero]]&amp;Tabla__192.168.1.8_POSEIDONSQL_APPFVT_01_tblFillRateFechas[[#This Row],[con_codigounico]]</f>
        <v>9623195-</v>
      </c>
      <c r="X3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2" spans="1:24" x14ac:dyDescent="0.25">
      <c r="A342">
        <v>4</v>
      </c>
      <c r="B342" t="s">
        <v>56</v>
      </c>
      <c r="C342">
        <v>9623385</v>
      </c>
      <c r="D342" t="s">
        <v>1968</v>
      </c>
      <c r="E342" t="s">
        <v>1962</v>
      </c>
      <c r="F342" t="s">
        <v>1968</v>
      </c>
      <c r="G342">
        <v>1</v>
      </c>
      <c r="H342">
        <v>1</v>
      </c>
      <c r="I342" t="s">
        <v>1962</v>
      </c>
      <c r="J342">
        <v>0</v>
      </c>
      <c r="K342" t="s">
        <v>49</v>
      </c>
      <c r="L342" s="1">
        <f>+Tabla__192.168.1.8_POSEIDONSQL_APPFVT_01_tblFillRateFechas[[#This Row],[emb_cantidad]]-Tabla__192.168.1.8_POSEIDONSQL_APPFVT_01_tblFillRateFechas[[#This Row],[dev_cantidad]]</f>
        <v>1</v>
      </c>
      <c r="M342" s="1">
        <f>+IF(Tabla__192.168.1.8_POSEIDONSQL_APPFVT_01_tblFillRateFechas[[#This Row],[Cant_Resultante]]=Tabla__192.168.1.8_POSEIDONSQL_APPFVT_01_tblFillRateFechas[[#This Row],[cant_order]],1,0)</f>
        <v>1</v>
      </c>
      <c r="N3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2" s="1">
        <f>+IF(AND(Tabla__192.168.1.8_POSEIDONSQL_APPFVT_01_tblFillRateFechas[[#This Row],[Valida Cant]]=1,Tabla__192.168.1.8_POSEIDONSQL_APPFVT_01_tblFillRateFechas[[#This Row],[Valida Fec]]=1),1,0)</f>
        <v>1</v>
      </c>
      <c r="P342" s="1">
        <f>+(Tabla__192.168.1.8_POSEIDONSQL_APPFVT_01_tblFillRateFechas[[#This Row],[Cant_Resultante]]/Tabla__192.168.1.8_POSEIDONSQL_APPFVT_01_tblFillRateFechas[[#This Row],[cant_order]])*100</f>
        <v>100</v>
      </c>
      <c r="Q3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2" s="1">
        <f>+IF(Tabla__192.168.1.8_POSEIDONSQL_APPFVT_01_tblFillRateFechas[[#This Row],[cant_order]]&gt;0,1,0)</f>
        <v>1</v>
      </c>
      <c r="V342" s="1">
        <f>+IF(Tabla__192.168.1.8_POSEIDONSQL_APPFVT_01_tblFillRateFechas[[#This Row],[Resultado]]=1,1,0)</f>
        <v>1</v>
      </c>
      <c r="W342" s="1" t="str">
        <f>+Tabla__192.168.1.8_POSEIDONSQL_APPFVT_01_tblFillRateFechas[[#This Row],[con_ocnumero]]&amp;Tabla__192.168.1.8_POSEIDONSQL_APPFVT_01_tblFillRateFechas[[#This Row],[con_codigounico]]</f>
        <v>9623385-</v>
      </c>
      <c r="X3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3" spans="1:24" x14ac:dyDescent="0.25">
      <c r="A343">
        <v>4</v>
      </c>
      <c r="B343" t="s">
        <v>56</v>
      </c>
      <c r="C343">
        <v>9623453</v>
      </c>
      <c r="D343" t="s">
        <v>1968</v>
      </c>
      <c r="E343" t="s">
        <v>1962</v>
      </c>
      <c r="F343" t="s">
        <v>1968</v>
      </c>
      <c r="G343">
        <v>1</v>
      </c>
      <c r="H343">
        <v>1</v>
      </c>
      <c r="I343" t="s">
        <v>1962</v>
      </c>
      <c r="J343">
        <v>0</v>
      </c>
      <c r="K343" t="s">
        <v>49</v>
      </c>
      <c r="L343" s="1">
        <f>+Tabla__192.168.1.8_POSEIDONSQL_APPFVT_01_tblFillRateFechas[[#This Row],[emb_cantidad]]-Tabla__192.168.1.8_POSEIDONSQL_APPFVT_01_tblFillRateFechas[[#This Row],[dev_cantidad]]</f>
        <v>1</v>
      </c>
      <c r="M343" s="1">
        <f>+IF(Tabla__192.168.1.8_POSEIDONSQL_APPFVT_01_tblFillRateFechas[[#This Row],[Cant_Resultante]]=Tabla__192.168.1.8_POSEIDONSQL_APPFVT_01_tblFillRateFechas[[#This Row],[cant_order]],1,0)</f>
        <v>1</v>
      </c>
      <c r="N3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3" s="1">
        <f>+IF(AND(Tabla__192.168.1.8_POSEIDONSQL_APPFVT_01_tblFillRateFechas[[#This Row],[Valida Cant]]=1,Tabla__192.168.1.8_POSEIDONSQL_APPFVT_01_tblFillRateFechas[[#This Row],[Valida Fec]]=1),1,0)</f>
        <v>1</v>
      </c>
      <c r="P343" s="1">
        <f>+(Tabla__192.168.1.8_POSEIDONSQL_APPFVT_01_tblFillRateFechas[[#This Row],[Cant_Resultante]]/Tabla__192.168.1.8_POSEIDONSQL_APPFVT_01_tblFillRateFechas[[#This Row],[cant_order]])*100</f>
        <v>100</v>
      </c>
      <c r="Q3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3" s="1">
        <f>+IF(Tabla__192.168.1.8_POSEIDONSQL_APPFVT_01_tblFillRateFechas[[#This Row],[cant_order]]&gt;0,1,0)</f>
        <v>1</v>
      </c>
      <c r="V343" s="1">
        <f>+IF(Tabla__192.168.1.8_POSEIDONSQL_APPFVT_01_tblFillRateFechas[[#This Row],[Resultado]]=1,1,0)</f>
        <v>1</v>
      </c>
      <c r="W343" s="1" t="str">
        <f>+Tabla__192.168.1.8_POSEIDONSQL_APPFVT_01_tblFillRateFechas[[#This Row],[con_ocnumero]]&amp;Tabla__192.168.1.8_POSEIDONSQL_APPFVT_01_tblFillRateFechas[[#This Row],[con_codigounico]]</f>
        <v>9623453-</v>
      </c>
      <c r="X3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4" spans="1:24" x14ac:dyDescent="0.25">
      <c r="A344">
        <v>4</v>
      </c>
      <c r="B344" t="s">
        <v>56</v>
      </c>
      <c r="C344">
        <v>9623507</v>
      </c>
      <c r="D344" t="s">
        <v>1968</v>
      </c>
      <c r="E344" t="s">
        <v>1962</v>
      </c>
      <c r="F344" t="s">
        <v>1968</v>
      </c>
      <c r="G344">
        <v>1</v>
      </c>
      <c r="H344">
        <v>1</v>
      </c>
      <c r="I344" t="s">
        <v>1962</v>
      </c>
      <c r="J344">
        <v>0</v>
      </c>
      <c r="K344" t="s">
        <v>49</v>
      </c>
      <c r="L344" s="1">
        <f>+Tabla__192.168.1.8_POSEIDONSQL_APPFVT_01_tblFillRateFechas[[#This Row],[emb_cantidad]]-Tabla__192.168.1.8_POSEIDONSQL_APPFVT_01_tblFillRateFechas[[#This Row],[dev_cantidad]]</f>
        <v>1</v>
      </c>
      <c r="M344" s="1">
        <f>+IF(Tabla__192.168.1.8_POSEIDONSQL_APPFVT_01_tblFillRateFechas[[#This Row],[Cant_Resultante]]=Tabla__192.168.1.8_POSEIDONSQL_APPFVT_01_tblFillRateFechas[[#This Row],[cant_order]],1,0)</f>
        <v>1</v>
      </c>
      <c r="N3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4" s="1">
        <f>+IF(AND(Tabla__192.168.1.8_POSEIDONSQL_APPFVT_01_tblFillRateFechas[[#This Row],[Valida Cant]]=1,Tabla__192.168.1.8_POSEIDONSQL_APPFVT_01_tblFillRateFechas[[#This Row],[Valida Fec]]=1),1,0)</f>
        <v>1</v>
      </c>
      <c r="P344" s="1">
        <f>+(Tabla__192.168.1.8_POSEIDONSQL_APPFVT_01_tblFillRateFechas[[#This Row],[Cant_Resultante]]/Tabla__192.168.1.8_POSEIDONSQL_APPFVT_01_tblFillRateFechas[[#This Row],[cant_order]])*100</f>
        <v>100</v>
      </c>
      <c r="Q3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4" s="1">
        <f>+IF(Tabla__192.168.1.8_POSEIDONSQL_APPFVT_01_tblFillRateFechas[[#This Row],[cant_order]]&gt;0,1,0)</f>
        <v>1</v>
      </c>
      <c r="V344" s="1">
        <f>+IF(Tabla__192.168.1.8_POSEIDONSQL_APPFVT_01_tblFillRateFechas[[#This Row],[Resultado]]=1,1,0)</f>
        <v>1</v>
      </c>
      <c r="W344" s="1" t="str">
        <f>+Tabla__192.168.1.8_POSEIDONSQL_APPFVT_01_tblFillRateFechas[[#This Row],[con_ocnumero]]&amp;Tabla__192.168.1.8_POSEIDONSQL_APPFVT_01_tblFillRateFechas[[#This Row],[con_codigounico]]</f>
        <v>9623507-</v>
      </c>
      <c r="X3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5" spans="1:24" x14ac:dyDescent="0.25">
      <c r="A345">
        <v>4</v>
      </c>
      <c r="B345" t="s">
        <v>56</v>
      </c>
      <c r="C345">
        <v>9624516</v>
      </c>
      <c r="D345" t="s">
        <v>1968</v>
      </c>
      <c r="E345" t="s">
        <v>1962</v>
      </c>
      <c r="F345" t="s">
        <v>1971</v>
      </c>
      <c r="G345">
        <v>2</v>
      </c>
      <c r="H345">
        <v>2</v>
      </c>
      <c r="I345" t="s">
        <v>1962</v>
      </c>
      <c r="J345">
        <v>0</v>
      </c>
      <c r="K345" t="s">
        <v>49</v>
      </c>
      <c r="L345" s="1">
        <f>+Tabla__192.168.1.8_POSEIDONSQL_APPFVT_01_tblFillRateFechas[[#This Row],[emb_cantidad]]-Tabla__192.168.1.8_POSEIDONSQL_APPFVT_01_tblFillRateFechas[[#This Row],[dev_cantidad]]</f>
        <v>2</v>
      </c>
      <c r="M345" s="1">
        <f>+IF(Tabla__192.168.1.8_POSEIDONSQL_APPFVT_01_tblFillRateFechas[[#This Row],[Cant_Resultante]]=Tabla__192.168.1.8_POSEIDONSQL_APPFVT_01_tblFillRateFechas[[#This Row],[cant_order]],1,0)</f>
        <v>1</v>
      </c>
      <c r="N3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5" s="1">
        <f>+IF(AND(Tabla__192.168.1.8_POSEIDONSQL_APPFVT_01_tblFillRateFechas[[#This Row],[Valida Cant]]=1,Tabla__192.168.1.8_POSEIDONSQL_APPFVT_01_tblFillRateFechas[[#This Row],[Valida Fec]]=1),1,0)</f>
        <v>1</v>
      </c>
      <c r="P345" s="1">
        <f>+(Tabla__192.168.1.8_POSEIDONSQL_APPFVT_01_tblFillRateFechas[[#This Row],[Cant_Resultante]]/Tabla__192.168.1.8_POSEIDONSQL_APPFVT_01_tblFillRateFechas[[#This Row],[cant_order]])*100</f>
        <v>100</v>
      </c>
      <c r="Q3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3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3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5" s="1">
        <f>+IF(Tabla__192.168.1.8_POSEIDONSQL_APPFVT_01_tblFillRateFechas[[#This Row],[cant_order]]&gt;0,1,0)</f>
        <v>1</v>
      </c>
      <c r="V345" s="1">
        <f>+IF(Tabla__192.168.1.8_POSEIDONSQL_APPFVT_01_tblFillRateFechas[[#This Row],[Resultado]]=1,1,0)</f>
        <v>1</v>
      </c>
      <c r="W345" s="1" t="str">
        <f>+Tabla__192.168.1.8_POSEIDONSQL_APPFVT_01_tblFillRateFechas[[#This Row],[con_ocnumero]]&amp;Tabla__192.168.1.8_POSEIDONSQL_APPFVT_01_tblFillRateFechas[[#This Row],[con_codigounico]]</f>
        <v>9624516-</v>
      </c>
      <c r="X3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346" spans="1:24" x14ac:dyDescent="0.25">
      <c r="A346">
        <v>4</v>
      </c>
      <c r="B346" t="s">
        <v>56</v>
      </c>
      <c r="C346">
        <v>9624571</v>
      </c>
      <c r="D346" t="s">
        <v>1968</v>
      </c>
      <c r="E346" t="s">
        <v>1962</v>
      </c>
      <c r="F346" t="s">
        <v>1971</v>
      </c>
      <c r="G346">
        <v>1</v>
      </c>
      <c r="H346">
        <v>1</v>
      </c>
      <c r="I346" t="s">
        <v>1962</v>
      </c>
      <c r="J346">
        <v>0</v>
      </c>
      <c r="K346" t="s">
        <v>49</v>
      </c>
      <c r="L346" s="1">
        <f>+Tabla__192.168.1.8_POSEIDONSQL_APPFVT_01_tblFillRateFechas[[#This Row],[emb_cantidad]]-Tabla__192.168.1.8_POSEIDONSQL_APPFVT_01_tblFillRateFechas[[#This Row],[dev_cantidad]]</f>
        <v>1</v>
      </c>
      <c r="M346" s="1">
        <f>+IF(Tabla__192.168.1.8_POSEIDONSQL_APPFVT_01_tblFillRateFechas[[#This Row],[Cant_Resultante]]=Tabla__192.168.1.8_POSEIDONSQL_APPFVT_01_tblFillRateFechas[[#This Row],[cant_order]],1,0)</f>
        <v>1</v>
      </c>
      <c r="N3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6" s="1">
        <f>+IF(AND(Tabla__192.168.1.8_POSEIDONSQL_APPFVT_01_tblFillRateFechas[[#This Row],[Valida Cant]]=1,Tabla__192.168.1.8_POSEIDONSQL_APPFVT_01_tblFillRateFechas[[#This Row],[Valida Fec]]=1),1,0)</f>
        <v>1</v>
      </c>
      <c r="P346" s="1">
        <f>+(Tabla__192.168.1.8_POSEIDONSQL_APPFVT_01_tblFillRateFechas[[#This Row],[Cant_Resultante]]/Tabla__192.168.1.8_POSEIDONSQL_APPFVT_01_tblFillRateFechas[[#This Row],[cant_order]])*100</f>
        <v>100</v>
      </c>
      <c r="Q3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6" s="1">
        <f>+IF(Tabla__192.168.1.8_POSEIDONSQL_APPFVT_01_tblFillRateFechas[[#This Row],[cant_order]]&gt;0,1,0)</f>
        <v>1</v>
      </c>
      <c r="V346" s="1">
        <f>+IF(Tabla__192.168.1.8_POSEIDONSQL_APPFVT_01_tblFillRateFechas[[#This Row],[Resultado]]=1,1,0)</f>
        <v>1</v>
      </c>
      <c r="W346" s="1" t="str">
        <f>+Tabla__192.168.1.8_POSEIDONSQL_APPFVT_01_tblFillRateFechas[[#This Row],[con_ocnumero]]&amp;Tabla__192.168.1.8_POSEIDONSQL_APPFVT_01_tblFillRateFechas[[#This Row],[con_codigounico]]</f>
        <v>9624571-</v>
      </c>
      <c r="X3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7" spans="1:24" x14ac:dyDescent="0.25">
      <c r="A347">
        <v>4</v>
      </c>
      <c r="B347" t="s">
        <v>56</v>
      </c>
      <c r="C347">
        <v>9624871</v>
      </c>
      <c r="D347" t="s">
        <v>1968</v>
      </c>
      <c r="E347" t="s">
        <v>1962</v>
      </c>
      <c r="F347" t="s">
        <v>1971</v>
      </c>
      <c r="G347">
        <v>1</v>
      </c>
      <c r="H347">
        <v>1</v>
      </c>
      <c r="I347" t="s">
        <v>1962</v>
      </c>
      <c r="J347">
        <v>0</v>
      </c>
      <c r="K347" t="s">
        <v>49</v>
      </c>
      <c r="L347" s="1">
        <f>+Tabla__192.168.1.8_POSEIDONSQL_APPFVT_01_tblFillRateFechas[[#This Row],[emb_cantidad]]-Tabla__192.168.1.8_POSEIDONSQL_APPFVT_01_tblFillRateFechas[[#This Row],[dev_cantidad]]</f>
        <v>1</v>
      </c>
      <c r="M347" s="1">
        <f>+IF(Tabla__192.168.1.8_POSEIDONSQL_APPFVT_01_tblFillRateFechas[[#This Row],[Cant_Resultante]]=Tabla__192.168.1.8_POSEIDONSQL_APPFVT_01_tblFillRateFechas[[#This Row],[cant_order]],1,0)</f>
        <v>1</v>
      </c>
      <c r="N3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7" s="1">
        <f>+IF(AND(Tabla__192.168.1.8_POSEIDONSQL_APPFVT_01_tblFillRateFechas[[#This Row],[Valida Cant]]=1,Tabla__192.168.1.8_POSEIDONSQL_APPFVT_01_tblFillRateFechas[[#This Row],[Valida Fec]]=1),1,0)</f>
        <v>1</v>
      </c>
      <c r="P347" s="1">
        <f>+(Tabla__192.168.1.8_POSEIDONSQL_APPFVT_01_tblFillRateFechas[[#This Row],[Cant_Resultante]]/Tabla__192.168.1.8_POSEIDONSQL_APPFVT_01_tblFillRateFechas[[#This Row],[cant_order]])*100</f>
        <v>100</v>
      </c>
      <c r="Q3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7" s="1">
        <f>+IF(Tabla__192.168.1.8_POSEIDONSQL_APPFVT_01_tblFillRateFechas[[#This Row],[cant_order]]&gt;0,1,0)</f>
        <v>1</v>
      </c>
      <c r="V347" s="1">
        <f>+IF(Tabla__192.168.1.8_POSEIDONSQL_APPFVT_01_tblFillRateFechas[[#This Row],[Resultado]]=1,1,0)</f>
        <v>1</v>
      </c>
      <c r="W347" s="1" t="str">
        <f>+Tabla__192.168.1.8_POSEIDONSQL_APPFVT_01_tblFillRateFechas[[#This Row],[con_ocnumero]]&amp;Tabla__192.168.1.8_POSEIDONSQL_APPFVT_01_tblFillRateFechas[[#This Row],[con_codigounico]]</f>
        <v>9624871-</v>
      </c>
      <c r="X3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48" spans="1:24" x14ac:dyDescent="0.25">
      <c r="A348">
        <v>4</v>
      </c>
      <c r="B348" t="s">
        <v>56</v>
      </c>
      <c r="C348">
        <v>9625160</v>
      </c>
      <c r="D348" t="s">
        <v>1968</v>
      </c>
      <c r="E348" t="s">
        <v>1963</v>
      </c>
      <c r="F348" t="s">
        <v>1971</v>
      </c>
      <c r="G348">
        <v>1</v>
      </c>
      <c r="H348">
        <v>0</v>
      </c>
      <c r="I348" t="s">
        <v>12</v>
      </c>
      <c r="J348">
        <v>0</v>
      </c>
      <c r="K348" t="s">
        <v>49</v>
      </c>
      <c r="L348" s="1">
        <f>+Tabla__192.168.1.8_POSEIDONSQL_APPFVT_01_tblFillRateFechas[[#This Row],[emb_cantidad]]-Tabla__192.168.1.8_POSEIDONSQL_APPFVT_01_tblFillRateFechas[[#This Row],[dev_cantidad]]</f>
        <v>0</v>
      </c>
      <c r="M348" s="1">
        <f>+IF(Tabla__192.168.1.8_POSEIDONSQL_APPFVT_01_tblFillRateFechas[[#This Row],[Cant_Resultante]]=Tabla__192.168.1.8_POSEIDONSQL_APPFVT_01_tblFillRateFechas[[#This Row],[cant_order]],1,0)</f>
        <v>0</v>
      </c>
      <c r="N3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348" s="1">
        <f>+IF(AND(Tabla__192.168.1.8_POSEIDONSQL_APPFVT_01_tblFillRateFechas[[#This Row],[Valida Cant]]=1,Tabla__192.168.1.8_POSEIDONSQL_APPFVT_01_tblFillRateFechas[[#This Row],[Valida Fec]]=1),1,0)</f>
        <v>0</v>
      </c>
      <c r="P348" s="1">
        <f>+(Tabla__192.168.1.8_POSEIDONSQL_APPFVT_01_tblFillRateFechas[[#This Row],[Cant_Resultante]]/Tabla__192.168.1.8_POSEIDONSQL_APPFVT_01_tblFillRateFechas[[#This Row],[cant_order]])*100</f>
        <v>0</v>
      </c>
      <c r="Q3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3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348" s="1">
        <f>+IF(Tabla__192.168.1.8_POSEIDONSQL_APPFVT_01_tblFillRateFechas[[#This Row],[cant_order]]&gt;0,1,0)</f>
        <v>1</v>
      </c>
      <c r="V348" s="1">
        <f>+IF(Tabla__192.168.1.8_POSEIDONSQL_APPFVT_01_tblFillRateFechas[[#This Row],[Resultado]]=1,1,0)</f>
        <v>0</v>
      </c>
      <c r="W348" s="1" t="str">
        <f>+Tabla__192.168.1.8_POSEIDONSQL_APPFVT_01_tblFillRateFechas[[#This Row],[con_ocnumero]]&amp;Tabla__192.168.1.8_POSEIDONSQL_APPFVT_01_tblFillRateFechas[[#This Row],[con_codigounico]]</f>
        <v>9625160-</v>
      </c>
      <c r="X3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349" spans="1:24" x14ac:dyDescent="0.25">
      <c r="A349">
        <v>4</v>
      </c>
      <c r="B349" t="s">
        <v>56</v>
      </c>
      <c r="C349">
        <v>9625212</v>
      </c>
      <c r="D349" t="s">
        <v>1968</v>
      </c>
      <c r="E349" t="s">
        <v>1963</v>
      </c>
      <c r="F349" t="s">
        <v>1971</v>
      </c>
      <c r="G349">
        <v>1</v>
      </c>
      <c r="H349">
        <v>1</v>
      </c>
      <c r="I349" t="s">
        <v>1962</v>
      </c>
      <c r="J349">
        <v>0</v>
      </c>
      <c r="K349" t="s">
        <v>49</v>
      </c>
      <c r="L349" s="1">
        <f>+Tabla__192.168.1.8_POSEIDONSQL_APPFVT_01_tblFillRateFechas[[#This Row],[emb_cantidad]]-Tabla__192.168.1.8_POSEIDONSQL_APPFVT_01_tblFillRateFechas[[#This Row],[dev_cantidad]]</f>
        <v>1</v>
      </c>
      <c r="M349" s="1">
        <f>+IF(Tabla__192.168.1.8_POSEIDONSQL_APPFVT_01_tblFillRateFechas[[#This Row],[Cant_Resultante]]=Tabla__192.168.1.8_POSEIDONSQL_APPFVT_01_tblFillRateFechas[[#This Row],[cant_order]],1,0)</f>
        <v>1</v>
      </c>
      <c r="N3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49" s="1">
        <f>+IF(AND(Tabla__192.168.1.8_POSEIDONSQL_APPFVT_01_tblFillRateFechas[[#This Row],[Valida Cant]]=1,Tabla__192.168.1.8_POSEIDONSQL_APPFVT_01_tblFillRateFechas[[#This Row],[Valida Fec]]=1),1,0)</f>
        <v>1</v>
      </c>
      <c r="P349" s="1">
        <f>+(Tabla__192.168.1.8_POSEIDONSQL_APPFVT_01_tblFillRateFechas[[#This Row],[Cant_Resultante]]/Tabla__192.168.1.8_POSEIDONSQL_APPFVT_01_tblFillRateFechas[[#This Row],[cant_order]])*100</f>
        <v>100</v>
      </c>
      <c r="Q3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49" s="1">
        <f>+IF(Tabla__192.168.1.8_POSEIDONSQL_APPFVT_01_tblFillRateFechas[[#This Row],[cant_order]]&gt;0,1,0)</f>
        <v>1</v>
      </c>
      <c r="V349" s="1">
        <f>+IF(Tabla__192.168.1.8_POSEIDONSQL_APPFVT_01_tblFillRateFechas[[#This Row],[Resultado]]=1,1,0)</f>
        <v>1</v>
      </c>
      <c r="W349" s="1" t="str">
        <f>+Tabla__192.168.1.8_POSEIDONSQL_APPFVT_01_tblFillRateFechas[[#This Row],[con_ocnumero]]&amp;Tabla__192.168.1.8_POSEIDONSQL_APPFVT_01_tblFillRateFechas[[#This Row],[con_codigounico]]</f>
        <v>9625212-</v>
      </c>
      <c r="X3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0" spans="1:24" x14ac:dyDescent="0.25">
      <c r="A350">
        <v>4</v>
      </c>
      <c r="B350" t="s">
        <v>56</v>
      </c>
      <c r="C350">
        <v>9625226</v>
      </c>
      <c r="D350" t="s">
        <v>1968</v>
      </c>
      <c r="E350" t="s">
        <v>1963</v>
      </c>
      <c r="F350" t="s">
        <v>1971</v>
      </c>
      <c r="G350">
        <v>1</v>
      </c>
      <c r="H350">
        <v>1</v>
      </c>
      <c r="I350" t="s">
        <v>1962</v>
      </c>
      <c r="J350">
        <v>0</v>
      </c>
      <c r="K350" t="s">
        <v>49</v>
      </c>
      <c r="L350" s="1">
        <f>+Tabla__192.168.1.8_POSEIDONSQL_APPFVT_01_tblFillRateFechas[[#This Row],[emb_cantidad]]-Tabla__192.168.1.8_POSEIDONSQL_APPFVT_01_tblFillRateFechas[[#This Row],[dev_cantidad]]</f>
        <v>1</v>
      </c>
      <c r="M350" s="1">
        <f>+IF(Tabla__192.168.1.8_POSEIDONSQL_APPFVT_01_tblFillRateFechas[[#This Row],[Cant_Resultante]]=Tabla__192.168.1.8_POSEIDONSQL_APPFVT_01_tblFillRateFechas[[#This Row],[cant_order]],1,0)</f>
        <v>1</v>
      </c>
      <c r="N3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0" s="1">
        <f>+IF(AND(Tabla__192.168.1.8_POSEIDONSQL_APPFVT_01_tblFillRateFechas[[#This Row],[Valida Cant]]=1,Tabla__192.168.1.8_POSEIDONSQL_APPFVT_01_tblFillRateFechas[[#This Row],[Valida Fec]]=1),1,0)</f>
        <v>1</v>
      </c>
      <c r="P350" s="1">
        <f>+(Tabla__192.168.1.8_POSEIDONSQL_APPFVT_01_tblFillRateFechas[[#This Row],[Cant_Resultante]]/Tabla__192.168.1.8_POSEIDONSQL_APPFVT_01_tblFillRateFechas[[#This Row],[cant_order]])*100</f>
        <v>100</v>
      </c>
      <c r="Q3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0" s="1">
        <f>+IF(Tabla__192.168.1.8_POSEIDONSQL_APPFVT_01_tblFillRateFechas[[#This Row],[cant_order]]&gt;0,1,0)</f>
        <v>1</v>
      </c>
      <c r="V350" s="1">
        <f>+IF(Tabla__192.168.1.8_POSEIDONSQL_APPFVT_01_tblFillRateFechas[[#This Row],[Resultado]]=1,1,0)</f>
        <v>1</v>
      </c>
      <c r="W350" s="1" t="str">
        <f>+Tabla__192.168.1.8_POSEIDONSQL_APPFVT_01_tblFillRateFechas[[#This Row],[con_ocnumero]]&amp;Tabla__192.168.1.8_POSEIDONSQL_APPFVT_01_tblFillRateFechas[[#This Row],[con_codigounico]]</f>
        <v>9625226-</v>
      </c>
      <c r="X3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1" spans="1:24" x14ac:dyDescent="0.25">
      <c r="A351">
        <v>4</v>
      </c>
      <c r="B351" t="s">
        <v>56</v>
      </c>
      <c r="C351">
        <v>9625415</v>
      </c>
      <c r="D351" t="s">
        <v>1968</v>
      </c>
      <c r="E351" t="s">
        <v>1962</v>
      </c>
      <c r="F351" t="s">
        <v>1971</v>
      </c>
      <c r="G351">
        <v>1</v>
      </c>
      <c r="H351">
        <v>1</v>
      </c>
      <c r="I351" t="s">
        <v>1962</v>
      </c>
      <c r="J351">
        <v>0</v>
      </c>
      <c r="K351" t="s">
        <v>49</v>
      </c>
      <c r="L351" s="1">
        <f>+Tabla__192.168.1.8_POSEIDONSQL_APPFVT_01_tblFillRateFechas[[#This Row],[emb_cantidad]]-Tabla__192.168.1.8_POSEIDONSQL_APPFVT_01_tblFillRateFechas[[#This Row],[dev_cantidad]]</f>
        <v>1</v>
      </c>
      <c r="M351" s="1">
        <f>+IF(Tabla__192.168.1.8_POSEIDONSQL_APPFVT_01_tblFillRateFechas[[#This Row],[Cant_Resultante]]=Tabla__192.168.1.8_POSEIDONSQL_APPFVT_01_tblFillRateFechas[[#This Row],[cant_order]],1,0)</f>
        <v>1</v>
      </c>
      <c r="N3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1" s="1">
        <f>+IF(AND(Tabla__192.168.1.8_POSEIDONSQL_APPFVT_01_tblFillRateFechas[[#This Row],[Valida Cant]]=1,Tabla__192.168.1.8_POSEIDONSQL_APPFVT_01_tblFillRateFechas[[#This Row],[Valida Fec]]=1),1,0)</f>
        <v>1</v>
      </c>
      <c r="P351" s="1">
        <f>+(Tabla__192.168.1.8_POSEIDONSQL_APPFVT_01_tblFillRateFechas[[#This Row],[Cant_Resultante]]/Tabla__192.168.1.8_POSEIDONSQL_APPFVT_01_tblFillRateFechas[[#This Row],[cant_order]])*100</f>
        <v>100</v>
      </c>
      <c r="Q3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1" s="1">
        <f>+IF(Tabla__192.168.1.8_POSEIDONSQL_APPFVT_01_tblFillRateFechas[[#This Row],[cant_order]]&gt;0,1,0)</f>
        <v>1</v>
      </c>
      <c r="V351" s="1">
        <f>+IF(Tabla__192.168.1.8_POSEIDONSQL_APPFVT_01_tblFillRateFechas[[#This Row],[Resultado]]=1,1,0)</f>
        <v>1</v>
      </c>
      <c r="W351" s="1" t="str">
        <f>+Tabla__192.168.1.8_POSEIDONSQL_APPFVT_01_tblFillRateFechas[[#This Row],[con_ocnumero]]&amp;Tabla__192.168.1.8_POSEIDONSQL_APPFVT_01_tblFillRateFechas[[#This Row],[con_codigounico]]</f>
        <v>9625415-</v>
      </c>
      <c r="X3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2" spans="1:24" x14ac:dyDescent="0.25">
      <c r="A352">
        <v>4</v>
      </c>
      <c r="B352" t="s">
        <v>56</v>
      </c>
      <c r="C352">
        <v>9625693</v>
      </c>
      <c r="D352" t="s">
        <v>1981</v>
      </c>
      <c r="E352" t="s">
        <v>1962</v>
      </c>
      <c r="F352" t="s">
        <v>1971</v>
      </c>
      <c r="G352">
        <v>1</v>
      </c>
      <c r="H352">
        <v>1</v>
      </c>
      <c r="I352" t="s">
        <v>1962</v>
      </c>
      <c r="J352">
        <v>0</v>
      </c>
      <c r="K352" t="s">
        <v>49</v>
      </c>
      <c r="L352" s="1">
        <f>+Tabla__192.168.1.8_POSEIDONSQL_APPFVT_01_tblFillRateFechas[[#This Row],[emb_cantidad]]-Tabla__192.168.1.8_POSEIDONSQL_APPFVT_01_tblFillRateFechas[[#This Row],[dev_cantidad]]</f>
        <v>1</v>
      </c>
      <c r="M352" s="1">
        <f>+IF(Tabla__192.168.1.8_POSEIDONSQL_APPFVT_01_tblFillRateFechas[[#This Row],[Cant_Resultante]]=Tabla__192.168.1.8_POSEIDONSQL_APPFVT_01_tblFillRateFechas[[#This Row],[cant_order]],1,0)</f>
        <v>1</v>
      </c>
      <c r="N3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2" s="1">
        <f>+IF(AND(Tabla__192.168.1.8_POSEIDONSQL_APPFVT_01_tblFillRateFechas[[#This Row],[Valida Cant]]=1,Tabla__192.168.1.8_POSEIDONSQL_APPFVT_01_tblFillRateFechas[[#This Row],[Valida Fec]]=1),1,0)</f>
        <v>1</v>
      </c>
      <c r="P352" s="1">
        <f>+(Tabla__192.168.1.8_POSEIDONSQL_APPFVT_01_tblFillRateFechas[[#This Row],[Cant_Resultante]]/Tabla__192.168.1.8_POSEIDONSQL_APPFVT_01_tblFillRateFechas[[#This Row],[cant_order]])*100</f>
        <v>100</v>
      </c>
      <c r="Q3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2" s="1">
        <f>+IF(Tabla__192.168.1.8_POSEIDONSQL_APPFVT_01_tblFillRateFechas[[#This Row],[cant_order]]&gt;0,1,0)</f>
        <v>1</v>
      </c>
      <c r="V352" s="1">
        <f>+IF(Tabla__192.168.1.8_POSEIDONSQL_APPFVT_01_tblFillRateFechas[[#This Row],[Resultado]]=1,1,0)</f>
        <v>1</v>
      </c>
      <c r="W352" s="1" t="str">
        <f>+Tabla__192.168.1.8_POSEIDONSQL_APPFVT_01_tblFillRateFechas[[#This Row],[con_ocnumero]]&amp;Tabla__192.168.1.8_POSEIDONSQL_APPFVT_01_tblFillRateFechas[[#This Row],[con_codigounico]]</f>
        <v>9625693-</v>
      </c>
      <c r="X3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3" spans="1:24" x14ac:dyDescent="0.25">
      <c r="A353">
        <v>4</v>
      </c>
      <c r="B353" t="s">
        <v>56</v>
      </c>
      <c r="C353">
        <v>9625737</v>
      </c>
      <c r="D353" t="s">
        <v>1981</v>
      </c>
      <c r="E353" t="s">
        <v>1962</v>
      </c>
      <c r="F353" t="s">
        <v>1971</v>
      </c>
      <c r="G353">
        <v>1</v>
      </c>
      <c r="H353">
        <v>1</v>
      </c>
      <c r="I353" t="s">
        <v>1962</v>
      </c>
      <c r="J353">
        <v>0</v>
      </c>
      <c r="K353" t="s">
        <v>49</v>
      </c>
      <c r="L353" s="1">
        <f>+Tabla__192.168.1.8_POSEIDONSQL_APPFVT_01_tblFillRateFechas[[#This Row],[emb_cantidad]]-Tabla__192.168.1.8_POSEIDONSQL_APPFVT_01_tblFillRateFechas[[#This Row],[dev_cantidad]]</f>
        <v>1</v>
      </c>
      <c r="M353" s="1">
        <f>+IF(Tabla__192.168.1.8_POSEIDONSQL_APPFVT_01_tblFillRateFechas[[#This Row],[Cant_Resultante]]=Tabla__192.168.1.8_POSEIDONSQL_APPFVT_01_tblFillRateFechas[[#This Row],[cant_order]],1,0)</f>
        <v>1</v>
      </c>
      <c r="N3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3" s="1">
        <f>+IF(AND(Tabla__192.168.1.8_POSEIDONSQL_APPFVT_01_tblFillRateFechas[[#This Row],[Valida Cant]]=1,Tabla__192.168.1.8_POSEIDONSQL_APPFVT_01_tblFillRateFechas[[#This Row],[Valida Fec]]=1),1,0)</f>
        <v>1</v>
      </c>
      <c r="P353" s="1">
        <f>+(Tabla__192.168.1.8_POSEIDONSQL_APPFVT_01_tblFillRateFechas[[#This Row],[Cant_Resultante]]/Tabla__192.168.1.8_POSEIDONSQL_APPFVT_01_tblFillRateFechas[[#This Row],[cant_order]])*100</f>
        <v>100</v>
      </c>
      <c r="Q3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3" s="1">
        <f>+IF(Tabla__192.168.1.8_POSEIDONSQL_APPFVT_01_tblFillRateFechas[[#This Row],[cant_order]]&gt;0,1,0)</f>
        <v>1</v>
      </c>
      <c r="V353" s="1">
        <f>+IF(Tabla__192.168.1.8_POSEIDONSQL_APPFVT_01_tblFillRateFechas[[#This Row],[Resultado]]=1,1,0)</f>
        <v>1</v>
      </c>
      <c r="W353" s="1" t="str">
        <f>+Tabla__192.168.1.8_POSEIDONSQL_APPFVT_01_tblFillRateFechas[[#This Row],[con_ocnumero]]&amp;Tabla__192.168.1.8_POSEIDONSQL_APPFVT_01_tblFillRateFechas[[#This Row],[con_codigounico]]</f>
        <v>9625737-</v>
      </c>
      <c r="X3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4" spans="1:24" x14ac:dyDescent="0.25">
      <c r="A354">
        <v>4</v>
      </c>
      <c r="B354" t="s">
        <v>56</v>
      </c>
      <c r="C354">
        <v>9625742</v>
      </c>
      <c r="D354" t="s">
        <v>1981</v>
      </c>
      <c r="E354" t="s">
        <v>1962</v>
      </c>
      <c r="F354" t="s">
        <v>1971</v>
      </c>
      <c r="G354">
        <v>1</v>
      </c>
      <c r="H354">
        <v>0</v>
      </c>
      <c r="I354" t="s">
        <v>12</v>
      </c>
      <c r="J354">
        <v>0</v>
      </c>
      <c r="K354" t="s">
        <v>49</v>
      </c>
      <c r="L354" s="1">
        <f>+Tabla__192.168.1.8_POSEIDONSQL_APPFVT_01_tblFillRateFechas[[#This Row],[emb_cantidad]]-Tabla__192.168.1.8_POSEIDONSQL_APPFVT_01_tblFillRateFechas[[#This Row],[dev_cantidad]]</f>
        <v>0</v>
      </c>
      <c r="M354" s="1">
        <f>+IF(Tabla__192.168.1.8_POSEIDONSQL_APPFVT_01_tblFillRateFechas[[#This Row],[Cant_Resultante]]=Tabla__192.168.1.8_POSEIDONSQL_APPFVT_01_tblFillRateFechas[[#This Row],[cant_order]],1,0)</f>
        <v>0</v>
      </c>
      <c r="N3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354" s="1">
        <f>+IF(AND(Tabla__192.168.1.8_POSEIDONSQL_APPFVT_01_tblFillRateFechas[[#This Row],[Valida Cant]]=1,Tabla__192.168.1.8_POSEIDONSQL_APPFVT_01_tblFillRateFechas[[#This Row],[Valida Fec]]=1),1,0)</f>
        <v>0</v>
      </c>
      <c r="P354" s="1">
        <f>+(Tabla__192.168.1.8_POSEIDONSQL_APPFVT_01_tblFillRateFechas[[#This Row],[Cant_Resultante]]/Tabla__192.168.1.8_POSEIDONSQL_APPFVT_01_tblFillRateFechas[[#This Row],[cant_order]])*100</f>
        <v>0</v>
      </c>
      <c r="Q3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3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354" s="1">
        <f>+IF(Tabla__192.168.1.8_POSEIDONSQL_APPFVT_01_tblFillRateFechas[[#This Row],[cant_order]]&gt;0,1,0)</f>
        <v>1</v>
      </c>
      <c r="V354" s="1">
        <f>+IF(Tabla__192.168.1.8_POSEIDONSQL_APPFVT_01_tblFillRateFechas[[#This Row],[Resultado]]=1,1,0)</f>
        <v>0</v>
      </c>
      <c r="W354" s="1" t="str">
        <f>+Tabla__192.168.1.8_POSEIDONSQL_APPFVT_01_tblFillRateFechas[[#This Row],[con_ocnumero]]&amp;Tabla__192.168.1.8_POSEIDONSQL_APPFVT_01_tblFillRateFechas[[#This Row],[con_codigounico]]</f>
        <v>9625742-</v>
      </c>
      <c r="X3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355" spans="1:24" x14ac:dyDescent="0.25">
      <c r="A355">
        <v>4</v>
      </c>
      <c r="B355" t="s">
        <v>56</v>
      </c>
      <c r="C355">
        <v>9625760</v>
      </c>
      <c r="D355" t="s">
        <v>1981</v>
      </c>
      <c r="E355" t="s">
        <v>1962</v>
      </c>
      <c r="F355" t="s">
        <v>1971</v>
      </c>
      <c r="G355">
        <v>1</v>
      </c>
      <c r="H355">
        <v>1</v>
      </c>
      <c r="I355" t="s">
        <v>1962</v>
      </c>
      <c r="J355">
        <v>0</v>
      </c>
      <c r="K355" t="s">
        <v>49</v>
      </c>
      <c r="L355" s="1">
        <f>+Tabla__192.168.1.8_POSEIDONSQL_APPFVT_01_tblFillRateFechas[[#This Row],[emb_cantidad]]-Tabla__192.168.1.8_POSEIDONSQL_APPFVT_01_tblFillRateFechas[[#This Row],[dev_cantidad]]</f>
        <v>1</v>
      </c>
      <c r="M355" s="1">
        <f>+IF(Tabla__192.168.1.8_POSEIDONSQL_APPFVT_01_tblFillRateFechas[[#This Row],[Cant_Resultante]]=Tabla__192.168.1.8_POSEIDONSQL_APPFVT_01_tblFillRateFechas[[#This Row],[cant_order]],1,0)</f>
        <v>1</v>
      </c>
      <c r="N3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5" s="1">
        <f>+IF(AND(Tabla__192.168.1.8_POSEIDONSQL_APPFVT_01_tblFillRateFechas[[#This Row],[Valida Cant]]=1,Tabla__192.168.1.8_POSEIDONSQL_APPFVT_01_tblFillRateFechas[[#This Row],[Valida Fec]]=1),1,0)</f>
        <v>1</v>
      </c>
      <c r="P355" s="1">
        <f>+(Tabla__192.168.1.8_POSEIDONSQL_APPFVT_01_tblFillRateFechas[[#This Row],[Cant_Resultante]]/Tabla__192.168.1.8_POSEIDONSQL_APPFVT_01_tblFillRateFechas[[#This Row],[cant_order]])*100</f>
        <v>100</v>
      </c>
      <c r="Q3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5" s="1">
        <f>+IF(Tabla__192.168.1.8_POSEIDONSQL_APPFVT_01_tblFillRateFechas[[#This Row],[cant_order]]&gt;0,1,0)</f>
        <v>1</v>
      </c>
      <c r="V355" s="1">
        <f>+IF(Tabla__192.168.1.8_POSEIDONSQL_APPFVT_01_tblFillRateFechas[[#This Row],[Resultado]]=1,1,0)</f>
        <v>1</v>
      </c>
      <c r="W355" s="1" t="str">
        <f>+Tabla__192.168.1.8_POSEIDONSQL_APPFVT_01_tblFillRateFechas[[#This Row],[con_ocnumero]]&amp;Tabla__192.168.1.8_POSEIDONSQL_APPFVT_01_tblFillRateFechas[[#This Row],[con_codigounico]]</f>
        <v>9625760-</v>
      </c>
      <c r="X3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6" spans="1:24" x14ac:dyDescent="0.25">
      <c r="A356">
        <v>4</v>
      </c>
      <c r="B356" t="s">
        <v>56</v>
      </c>
      <c r="C356">
        <v>9626135</v>
      </c>
      <c r="D356" t="s">
        <v>1981</v>
      </c>
      <c r="E356" t="s">
        <v>1962</v>
      </c>
      <c r="F356" t="s">
        <v>1971</v>
      </c>
      <c r="G356">
        <v>1</v>
      </c>
      <c r="H356">
        <v>1</v>
      </c>
      <c r="I356" t="s">
        <v>1962</v>
      </c>
      <c r="J356">
        <v>0</v>
      </c>
      <c r="K356" t="s">
        <v>49</v>
      </c>
      <c r="L356" s="1">
        <f>+Tabla__192.168.1.8_POSEIDONSQL_APPFVT_01_tblFillRateFechas[[#This Row],[emb_cantidad]]-Tabla__192.168.1.8_POSEIDONSQL_APPFVT_01_tblFillRateFechas[[#This Row],[dev_cantidad]]</f>
        <v>1</v>
      </c>
      <c r="M356" s="1">
        <f>+IF(Tabla__192.168.1.8_POSEIDONSQL_APPFVT_01_tblFillRateFechas[[#This Row],[Cant_Resultante]]=Tabla__192.168.1.8_POSEIDONSQL_APPFVT_01_tblFillRateFechas[[#This Row],[cant_order]],1,0)</f>
        <v>1</v>
      </c>
      <c r="N3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6" s="1">
        <f>+IF(AND(Tabla__192.168.1.8_POSEIDONSQL_APPFVT_01_tblFillRateFechas[[#This Row],[Valida Cant]]=1,Tabla__192.168.1.8_POSEIDONSQL_APPFVT_01_tblFillRateFechas[[#This Row],[Valida Fec]]=1),1,0)</f>
        <v>1</v>
      </c>
      <c r="P356" s="1">
        <f>+(Tabla__192.168.1.8_POSEIDONSQL_APPFVT_01_tblFillRateFechas[[#This Row],[Cant_Resultante]]/Tabla__192.168.1.8_POSEIDONSQL_APPFVT_01_tblFillRateFechas[[#This Row],[cant_order]])*100</f>
        <v>100</v>
      </c>
      <c r="Q3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6" s="1">
        <f>+IF(Tabla__192.168.1.8_POSEIDONSQL_APPFVT_01_tblFillRateFechas[[#This Row],[cant_order]]&gt;0,1,0)</f>
        <v>1</v>
      </c>
      <c r="V356" s="1">
        <f>+IF(Tabla__192.168.1.8_POSEIDONSQL_APPFVT_01_tblFillRateFechas[[#This Row],[Resultado]]=1,1,0)</f>
        <v>1</v>
      </c>
      <c r="W356" s="1" t="str">
        <f>+Tabla__192.168.1.8_POSEIDONSQL_APPFVT_01_tblFillRateFechas[[#This Row],[con_ocnumero]]&amp;Tabla__192.168.1.8_POSEIDONSQL_APPFVT_01_tblFillRateFechas[[#This Row],[con_codigounico]]</f>
        <v>9626135-</v>
      </c>
      <c r="X3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7" spans="1:24" x14ac:dyDescent="0.25">
      <c r="A357">
        <v>4</v>
      </c>
      <c r="B357" t="s">
        <v>56</v>
      </c>
      <c r="C357">
        <v>9626544</v>
      </c>
      <c r="D357" t="s">
        <v>1981</v>
      </c>
      <c r="E357" t="s">
        <v>1962</v>
      </c>
      <c r="F357" t="s">
        <v>1971</v>
      </c>
      <c r="G357">
        <v>1</v>
      </c>
      <c r="H357">
        <v>1</v>
      </c>
      <c r="I357" t="s">
        <v>1962</v>
      </c>
      <c r="J357">
        <v>0</v>
      </c>
      <c r="K357" t="s">
        <v>49</v>
      </c>
      <c r="L357" s="1">
        <f>+Tabla__192.168.1.8_POSEIDONSQL_APPFVT_01_tblFillRateFechas[[#This Row],[emb_cantidad]]-Tabla__192.168.1.8_POSEIDONSQL_APPFVT_01_tblFillRateFechas[[#This Row],[dev_cantidad]]</f>
        <v>1</v>
      </c>
      <c r="M357" s="1">
        <f>+IF(Tabla__192.168.1.8_POSEIDONSQL_APPFVT_01_tblFillRateFechas[[#This Row],[Cant_Resultante]]=Tabla__192.168.1.8_POSEIDONSQL_APPFVT_01_tblFillRateFechas[[#This Row],[cant_order]],1,0)</f>
        <v>1</v>
      </c>
      <c r="N3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7" s="1">
        <f>+IF(AND(Tabla__192.168.1.8_POSEIDONSQL_APPFVT_01_tblFillRateFechas[[#This Row],[Valida Cant]]=1,Tabla__192.168.1.8_POSEIDONSQL_APPFVT_01_tblFillRateFechas[[#This Row],[Valida Fec]]=1),1,0)</f>
        <v>1</v>
      </c>
      <c r="P357" s="1">
        <f>+(Tabla__192.168.1.8_POSEIDONSQL_APPFVT_01_tblFillRateFechas[[#This Row],[Cant_Resultante]]/Tabla__192.168.1.8_POSEIDONSQL_APPFVT_01_tblFillRateFechas[[#This Row],[cant_order]])*100</f>
        <v>100</v>
      </c>
      <c r="Q3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7" s="1">
        <f>+IF(Tabla__192.168.1.8_POSEIDONSQL_APPFVT_01_tblFillRateFechas[[#This Row],[cant_order]]&gt;0,1,0)</f>
        <v>1</v>
      </c>
      <c r="V357" s="1">
        <f>+IF(Tabla__192.168.1.8_POSEIDONSQL_APPFVT_01_tblFillRateFechas[[#This Row],[Resultado]]=1,1,0)</f>
        <v>1</v>
      </c>
      <c r="W357" s="1" t="str">
        <f>+Tabla__192.168.1.8_POSEIDONSQL_APPFVT_01_tblFillRateFechas[[#This Row],[con_ocnumero]]&amp;Tabla__192.168.1.8_POSEIDONSQL_APPFVT_01_tblFillRateFechas[[#This Row],[con_codigounico]]</f>
        <v>9626544-</v>
      </c>
      <c r="X3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8" spans="1:24" x14ac:dyDescent="0.25">
      <c r="A358">
        <v>4</v>
      </c>
      <c r="B358" t="s">
        <v>56</v>
      </c>
      <c r="C358">
        <v>9626666</v>
      </c>
      <c r="D358" t="s">
        <v>1981</v>
      </c>
      <c r="E358" t="s">
        <v>1962</v>
      </c>
      <c r="F358" t="s">
        <v>1971</v>
      </c>
      <c r="G358">
        <v>1</v>
      </c>
      <c r="H358">
        <v>1</v>
      </c>
      <c r="I358" t="s">
        <v>1962</v>
      </c>
      <c r="J358">
        <v>0</v>
      </c>
      <c r="K358" t="s">
        <v>49</v>
      </c>
      <c r="L358" s="1">
        <f>+Tabla__192.168.1.8_POSEIDONSQL_APPFVT_01_tblFillRateFechas[[#This Row],[emb_cantidad]]-Tabla__192.168.1.8_POSEIDONSQL_APPFVT_01_tblFillRateFechas[[#This Row],[dev_cantidad]]</f>
        <v>1</v>
      </c>
      <c r="M358" s="1">
        <f>+IF(Tabla__192.168.1.8_POSEIDONSQL_APPFVT_01_tblFillRateFechas[[#This Row],[Cant_Resultante]]=Tabla__192.168.1.8_POSEIDONSQL_APPFVT_01_tblFillRateFechas[[#This Row],[cant_order]],1,0)</f>
        <v>1</v>
      </c>
      <c r="N3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8" s="1">
        <f>+IF(AND(Tabla__192.168.1.8_POSEIDONSQL_APPFVT_01_tblFillRateFechas[[#This Row],[Valida Cant]]=1,Tabla__192.168.1.8_POSEIDONSQL_APPFVT_01_tblFillRateFechas[[#This Row],[Valida Fec]]=1),1,0)</f>
        <v>1</v>
      </c>
      <c r="P358" s="1">
        <f>+(Tabla__192.168.1.8_POSEIDONSQL_APPFVT_01_tblFillRateFechas[[#This Row],[Cant_Resultante]]/Tabla__192.168.1.8_POSEIDONSQL_APPFVT_01_tblFillRateFechas[[#This Row],[cant_order]])*100</f>
        <v>100</v>
      </c>
      <c r="Q3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8" s="1">
        <f>+IF(Tabla__192.168.1.8_POSEIDONSQL_APPFVT_01_tblFillRateFechas[[#This Row],[cant_order]]&gt;0,1,0)</f>
        <v>1</v>
      </c>
      <c r="V358" s="1">
        <f>+IF(Tabla__192.168.1.8_POSEIDONSQL_APPFVT_01_tblFillRateFechas[[#This Row],[Resultado]]=1,1,0)</f>
        <v>1</v>
      </c>
      <c r="W358" s="1" t="str">
        <f>+Tabla__192.168.1.8_POSEIDONSQL_APPFVT_01_tblFillRateFechas[[#This Row],[con_ocnumero]]&amp;Tabla__192.168.1.8_POSEIDONSQL_APPFVT_01_tblFillRateFechas[[#This Row],[con_codigounico]]</f>
        <v>9626666-</v>
      </c>
      <c r="X3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59" spans="1:24" x14ac:dyDescent="0.25">
      <c r="A359">
        <v>4</v>
      </c>
      <c r="B359" t="s">
        <v>56</v>
      </c>
      <c r="C359">
        <v>9626706</v>
      </c>
      <c r="D359" t="s">
        <v>1981</v>
      </c>
      <c r="E359" t="s">
        <v>1963</v>
      </c>
      <c r="F359" t="s">
        <v>1971</v>
      </c>
      <c r="G359">
        <v>1</v>
      </c>
      <c r="H359">
        <v>1</v>
      </c>
      <c r="I359" t="s">
        <v>1962</v>
      </c>
      <c r="J359">
        <v>0</v>
      </c>
      <c r="K359" t="s">
        <v>49</v>
      </c>
      <c r="L359" s="1">
        <f>+Tabla__192.168.1.8_POSEIDONSQL_APPFVT_01_tblFillRateFechas[[#This Row],[emb_cantidad]]-Tabla__192.168.1.8_POSEIDONSQL_APPFVT_01_tblFillRateFechas[[#This Row],[dev_cantidad]]</f>
        <v>1</v>
      </c>
      <c r="M359" s="1">
        <f>+IF(Tabla__192.168.1.8_POSEIDONSQL_APPFVT_01_tblFillRateFechas[[#This Row],[Cant_Resultante]]=Tabla__192.168.1.8_POSEIDONSQL_APPFVT_01_tblFillRateFechas[[#This Row],[cant_order]],1,0)</f>
        <v>1</v>
      </c>
      <c r="N3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59" s="1">
        <f>+IF(AND(Tabla__192.168.1.8_POSEIDONSQL_APPFVT_01_tblFillRateFechas[[#This Row],[Valida Cant]]=1,Tabla__192.168.1.8_POSEIDONSQL_APPFVT_01_tblFillRateFechas[[#This Row],[Valida Fec]]=1),1,0)</f>
        <v>1</v>
      </c>
      <c r="P359" s="1">
        <f>+(Tabla__192.168.1.8_POSEIDONSQL_APPFVT_01_tblFillRateFechas[[#This Row],[Cant_Resultante]]/Tabla__192.168.1.8_POSEIDONSQL_APPFVT_01_tblFillRateFechas[[#This Row],[cant_order]])*100</f>
        <v>100</v>
      </c>
      <c r="Q3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59" s="1">
        <f>+IF(Tabla__192.168.1.8_POSEIDONSQL_APPFVT_01_tblFillRateFechas[[#This Row],[cant_order]]&gt;0,1,0)</f>
        <v>1</v>
      </c>
      <c r="V359" s="1">
        <f>+IF(Tabla__192.168.1.8_POSEIDONSQL_APPFVT_01_tblFillRateFechas[[#This Row],[Resultado]]=1,1,0)</f>
        <v>1</v>
      </c>
      <c r="W359" s="1" t="str">
        <f>+Tabla__192.168.1.8_POSEIDONSQL_APPFVT_01_tblFillRateFechas[[#This Row],[con_ocnumero]]&amp;Tabla__192.168.1.8_POSEIDONSQL_APPFVT_01_tblFillRateFechas[[#This Row],[con_codigounico]]</f>
        <v>9626706-</v>
      </c>
      <c r="X3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0" spans="1:24" x14ac:dyDescent="0.25">
      <c r="A360">
        <v>4</v>
      </c>
      <c r="B360" t="s">
        <v>56</v>
      </c>
      <c r="C360">
        <v>9626844</v>
      </c>
      <c r="D360" t="s">
        <v>1981</v>
      </c>
      <c r="E360" t="s">
        <v>1962</v>
      </c>
      <c r="F360" t="s">
        <v>1971</v>
      </c>
      <c r="G360">
        <v>1</v>
      </c>
      <c r="H360">
        <v>1</v>
      </c>
      <c r="I360" t="s">
        <v>1962</v>
      </c>
      <c r="J360">
        <v>0</v>
      </c>
      <c r="K360" t="s">
        <v>49</v>
      </c>
      <c r="L360" s="1">
        <f>+Tabla__192.168.1.8_POSEIDONSQL_APPFVT_01_tblFillRateFechas[[#This Row],[emb_cantidad]]-Tabla__192.168.1.8_POSEIDONSQL_APPFVT_01_tblFillRateFechas[[#This Row],[dev_cantidad]]</f>
        <v>1</v>
      </c>
      <c r="M360" s="1">
        <f>+IF(Tabla__192.168.1.8_POSEIDONSQL_APPFVT_01_tblFillRateFechas[[#This Row],[Cant_Resultante]]=Tabla__192.168.1.8_POSEIDONSQL_APPFVT_01_tblFillRateFechas[[#This Row],[cant_order]],1,0)</f>
        <v>1</v>
      </c>
      <c r="N3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0" s="1">
        <f>+IF(AND(Tabla__192.168.1.8_POSEIDONSQL_APPFVT_01_tblFillRateFechas[[#This Row],[Valida Cant]]=1,Tabla__192.168.1.8_POSEIDONSQL_APPFVT_01_tblFillRateFechas[[#This Row],[Valida Fec]]=1),1,0)</f>
        <v>1</v>
      </c>
      <c r="P360" s="1">
        <f>+(Tabla__192.168.1.8_POSEIDONSQL_APPFVT_01_tblFillRateFechas[[#This Row],[Cant_Resultante]]/Tabla__192.168.1.8_POSEIDONSQL_APPFVT_01_tblFillRateFechas[[#This Row],[cant_order]])*100</f>
        <v>100</v>
      </c>
      <c r="Q3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0" s="1">
        <f>+IF(Tabla__192.168.1.8_POSEIDONSQL_APPFVT_01_tblFillRateFechas[[#This Row],[cant_order]]&gt;0,1,0)</f>
        <v>1</v>
      </c>
      <c r="V360" s="1">
        <f>+IF(Tabla__192.168.1.8_POSEIDONSQL_APPFVT_01_tblFillRateFechas[[#This Row],[Resultado]]=1,1,0)</f>
        <v>1</v>
      </c>
      <c r="W360" s="1" t="str">
        <f>+Tabla__192.168.1.8_POSEIDONSQL_APPFVT_01_tblFillRateFechas[[#This Row],[con_ocnumero]]&amp;Tabla__192.168.1.8_POSEIDONSQL_APPFVT_01_tblFillRateFechas[[#This Row],[con_codigounico]]</f>
        <v>9626844-</v>
      </c>
      <c r="X3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1" spans="1:24" x14ac:dyDescent="0.25">
      <c r="A361">
        <v>4</v>
      </c>
      <c r="B361" t="s">
        <v>56</v>
      </c>
      <c r="C361">
        <v>9626848</v>
      </c>
      <c r="D361" t="s">
        <v>1981</v>
      </c>
      <c r="E361" t="s">
        <v>1962</v>
      </c>
      <c r="F361" t="s">
        <v>1971</v>
      </c>
      <c r="G361">
        <v>1</v>
      </c>
      <c r="H361">
        <v>1</v>
      </c>
      <c r="I361" t="s">
        <v>1962</v>
      </c>
      <c r="J361">
        <v>0</v>
      </c>
      <c r="K361" t="s">
        <v>49</v>
      </c>
      <c r="L361" s="1">
        <f>+Tabla__192.168.1.8_POSEIDONSQL_APPFVT_01_tblFillRateFechas[[#This Row],[emb_cantidad]]-Tabla__192.168.1.8_POSEIDONSQL_APPFVT_01_tblFillRateFechas[[#This Row],[dev_cantidad]]</f>
        <v>1</v>
      </c>
      <c r="M361" s="1">
        <f>+IF(Tabla__192.168.1.8_POSEIDONSQL_APPFVT_01_tblFillRateFechas[[#This Row],[Cant_Resultante]]=Tabla__192.168.1.8_POSEIDONSQL_APPFVT_01_tblFillRateFechas[[#This Row],[cant_order]],1,0)</f>
        <v>1</v>
      </c>
      <c r="N3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1" s="1">
        <f>+IF(AND(Tabla__192.168.1.8_POSEIDONSQL_APPFVT_01_tblFillRateFechas[[#This Row],[Valida Cant]]=1,Tabla__192.168.1.8_POSEIDONSQL_APPFVT_01_tblFillRateFechas[[#This Row],[Valida Fec]]=1),1,0)</f>
        <v>1</v>
      </c>
      <c r="P361" s="1">
        <f>+(Tabla__192.168.1.8_POSEIDONSQL_APPFVT_01_tblFillRateFechas[[#This Row],[Cant_Resultante]]/Tabla__192.168.1.8_POSEIDONSQL_APPFVT_01_tblFillRateFechas[[#This Row],[cant_order]])*100</f>
        <v>100</v>
      </c>
      <c r="Q3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1" s="1">
        <f>+IF(Tabla__192.168.1.8_POSEIDONSQL_APPFVT_01_tblFillRateFechas[[#This Row],[cant_order]]&gt;0,1,0)</f>
        <v>1</v>
      </c>
      <c r="V361" s="1">
        <f>+IF(Tabla__192.168.1.8_POSEIDONSQL_APPFVT_01_tblFillRateFechas[[#This Row],[Resultado]]=1,1,0)</f>
        <v>1</v>
      </c>
      <c r="W361" s="1" t="str">
        <f>+Tabla__192.168.1.8_POSEIDONSQL_APPFVT_01_tblFillRateFechas[[#This Row],[con_ocnumero]]&amp;Tabla__192.168.1.8_POSEIDONSQL_APPFVT_01_tblFillRateFechas[[#This Row],[con_codigounico]]</f>
        <v>9626848-</v>
      </c>
      <c r="X3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2" spans="1:24" x14ac:dyDescent="0.25">
      <c r="A362">
        <v>4</v>
      </c>
      <c r="B362" t="s">
        <v>56</v>
      </c>
      <c r="C362">
        <v>9627244</v>
      </c>
      <c r="D362" t="s">
        <v>1981</v>
      </c>
      <c r="E362" t="s">
        <v>1963</v>
      </c>
      <c r="F362" t="s">
        <v>1971</v>
      </c>
      <c r="G362">
        <v>1</v>
      </c>
      <c r="H362">
        <v>1</v>
      </c>
      <c r="I362" t="s">
        <v>1962</v>
      </c>
      <c r="J362">
        <v>0</v>
      </c>
      <c r="K362" t="s">
        <v>49</v>
      </c>
      <c r="L362" s="1">
        <f>+Tabla__192.168.1.8_POSEIDONSQL_APPFVT_01_tblFillRateFechas[[#This Row],[emb_cantidad]]-Tabla__192.168.1.8_POSEIDONSQL_APPFVT_01_tblFillRateFechas[[#This Row],[dev_cantidad]]</f>
        <v>1</v>
      </c>
      <c r="M362" s="1">
        <f>+IF(Tabla__192.168.1.8_POSEIDONSQL_APPFVT_01_tblFillRateFechas[[#This Row],[Cant_Resultante]]=Tabla__192.168.1.8_POSEIDONSQL_APPFVT_01_tblFillRateFechas[[#This Row],[cant_order]],1,0)</f>
        <v>1</v>
      </c>
      <c r="N3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2" s="1">
        <f>+IF(AND(Tabla__192.168.1.8_POSEIDONSQL_APPFVT_01_tblFillRateFechas[[#This Row],[Valida Cant]]=1,Tabla__192.168.1.8_POSEIDONSQL_APPFVT_01_tblFillRateFechas[[#This Row],[Valida Fec]]=1),1,0)</f>
        <v>1</v>
      </c>
      <c r="P362" s="1">
        <f>+(Tabla__192.168.1.8_POSEIDONSQL_APPFVT_01_tblFillRateFechas[[#This Row],[Cant_Resultante]]/Tabla__192.168.1.8_POSEIDONSQL_APPFVT_01_tblFillRateFechas[[#This Row],[cant_order]])*100</f>
        <v>100</v>
      </c>
      <c r="Q3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2" s="1">
        <f>+IF(Tabla__192.168.1.8_POSEIDONSQL_APPFVT_01_tblFillRateFechas[[#This Row],[cant_order]]&gt;0,1,0)</f>
        <v>1</v>
      </c>
      <c r="V362" s="1">
        <f>+IF(Tabla__192.168.1.8_POSEIDONSQL_APPFVT_01_tblFillRateFechas[[#This Row],[Resultado]]=1,1,0)</f>
        <v>1</v>
      </c>
      <c r="W362" s="1" t="str">
        <f>+Tabla__192.168.1.8_POSEIDONSQL_APPFVT_01_tblFillRateFechas[[#This Row],[con_ocnumero]]&amp;Tabla__192.168.1.8_POSEIDONSQL_APPFVT_01_tblFillRateFechas[[#This Row],[con_codigounico]]</f>
        <v>9627244-</v>
      </c>
      <c r="X3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3" spans="1:24" x14ac:dyDescent="0.25">
      <c r="A363">
        <v>4</v>
      </c>
      <c r="B363" t="s">
        <v>56</v>
      </c>
      <c r="C363">
        <v>9627652</v>
      </c>
      <c r="D363" t="s">
        <v>1981</v>
      </c>
      <c r="E363" t="s">
        <v>1962</v>
      </c>
      <c r="F363" t="s">
        <v>1971</v>
      </c>
      <c r="G363">
        <v>1</v>
      </c>
      <c r="H363">
        <v>1</v>
      </c>
      <c r="I363" t="s">
        <v>1962</v>
      </c>
      <c r="J363">
        <v>0</v>
      </c>
      <c r="K363" t="s">
        <v>49</v>
      </c>
      <c r="L363" s="1">
        <f>+Tabla__192.168.1.8_POSEIDONSQL_APPFVT_01_tblFillRateFechas[[#This Row],[emb_cantidad]]-Tabla__192.168.1.8_POSEIDONSQL_APPFVT_01_tblFillRateFechas[[#This Row],[dev_cantidad]]</f>
        <v>1</v>
      </c>
      <c r="M363" s="1">
        <f>+IF(Tabla__192.168.1.8_POSEIDONSQL_APPFVT_01_tblFillRateFechas[[#This Row],[Cant_Resultante]]=Tabla__192.168.1.8_POSEIDONSQL_APPFVT_01_tblFillRateFechas[[#This Row],[cant_order]],1,0)</f>
        <v>1</v>
      </c>
      <c r="N3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3" s="1">
        <f>+IF(AND(Tabla__192.168.1.8_POSEIDONSQL_APPFVT_01_tblFillRateFechas[[#This Row],[Valida Cant]]=1,Tabla__192.168.1.8_POSEIDONSQL_APPFVT_01_tblFillRateFechas[[#This Row],[Valida Fec]]=1),1,0)</f>
        <v>1</v>
      </c>
      <c r="P363" s="1">
        <f>+(Tabla__192.168.1.8_POSEIDONSQL_APPFVT_01_tblFillRateFechas[[#This Row],[Cant_Resultante]]/Tabla__192.168.1.8_POSEIDONSQL_APPFVT_01_tblFillRateFechas[[#This Row],[cant_order]])*100</f>
        <v>100</v>
      </c>
      <c r="Q3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3" s="1">
        <f>+IF(Tabla__192.168.1.8_POSEIDONSQL_APPFVT_01_tblFillRateFechas[[#This Row],[cant_order]]&gt;0,1,0)</f>
        <v>1</v>
      </c>
      <c r="V363" s="1">
        <f>+IF(Tabla__192.168.1.8_POSEIDONSQL_APPFVT_01_tblFillRateFechas[[#This Row],[Resultado]]=1,1,0)</f>
        <v>1</v>
      </c>
      <c r="W363" s="1" t="str">
        <f>+Tabla__192.168.1.8_POSEIDONSQL_APPFVT_01_tblFillRateFechas[[#This Row],[con_ocnumero]]&amp;Tabla__192.168.1.8_POSEIDONSQL_APPFVT_01_tblFillRateFechas[[#This Row],[con_codigounico]]</f>
        <v>9627652-</v>
      </c>
      <c r="X3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4" spans="1:24" x14ac:dyDescent="0.25">
      <c r="A364">
        <v>4</v>
      </c>
      <c r="B364" t="s">
        <v>56</v>
      </c>
      <c r="C364">
        <v>9628204</v>
      </c>
      <c r="D364" t="s">
        <v>1970</v>
      </c>
      <c r="E364" t="s">
        <v>1962</v>
      </c>
      <c r="F364" t="s">
        <v>1971</v>
      </c>
      <c r="G364">
        <v>1</v>
      </c>
      <c r="H364">
        <v>1</v>
      </c>
      <c r="I364" t="s">
        <v>1962</v>
      </c>
      <c r="J364">
        <v>0</v>
      </c>
      <c r="K364" t="s">
        <v>49</v>
      </c>
      <c r="L364" s="1">
        <f>+Tabla__192.168.1.8_POSEIDONSQL_APPFVT_01_tblFillRateFechas[[#This Row],[emb_cantidad]]-Tabla__192.168.1.8_POSEIDONSQL_APPFVT_01_tblFillRateFechas[[#This Row],[dev_cantidad]]</f>
        <v>1</v>
      </c>
      <c r="M364" s="1">
        <f>+IF(Tabla__192.168.1.8_POSEIDONSQL_APPFVT_01_tblFillRateFechas[[#This Row],[Cant_Resultante]]=Tabla__192.168.1.8_POSEIDONSQL_APPFVT_01_tblFillRateFechas[[#This Row],[cant_order]],1,0)</f>
        <v>1</v>
      </c>
      <c r="N3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4" s="1">
        <f>+IF(AND(Tabla__192.168.1.8_POSEIDONSQL_APPFVT_01_tblFillRateFechas[[#This Row],[Valida Cant]]=1,Tabla__192.168.1.8_POSEIDONSQL_APPFVT_01_tblFillRateFechas[[#This Row],[Valida Fec]]=1),1,0)</f>
        <v>1</v>
      </c>
      <c r="P364" s="1">
        <f>+(Tabla__192.168.1.8_POSEIDONSQL_APPFVT_01_tblFillRateFechas[[#This Row],[Cant_Resultante]]/Tabla__192.168.1.8_POSEIDONSQL_APPFVT_01_tblFillRateFechas[[#This Row],[cant_order]])*100</f>
        <v>100</v>
      </c>
      <c r="Q3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4" s="1">
        <f>+IF(Tabla__192.168.1.8_POSEIDONSQL_APPFVT_01_tblFillRateFechas[[#This Row],[cant_order]]&gt;0,1,0)</f>
        <v>1</v>
      </c>
      <c r="V364" s="1">
        <f>+IF(Tabla__192.168.1.8_POSEIDONSQL_APPFVT_01_tblFillRateFechas[[#This Row],[Resultado]]=1,1,0)</f>
        <v>1</v>
      </c>
      <c r="W364" s="1" t="str">
        <f>+Tabla__192.168.1.8_POSEIDONSQL_APPFVT_01_tblFillRateFechas[[#This Row],[con_ocnumero]]&amp;Tabla__192.168.1.8_POSEIDONSQL_APPFVT_01_tblFillRateFechas[[#This Row],[con_codigounico]]</f>
        <v>9628204-</v>
      </c>
      <c r="X3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5" spans="1:24" x14ac:dyDescent="0.25">
      <c r="A365">
        <v>4</v>
      </c>
      <c r="B365" t="s">
        <v>56</v>
      </c>
      <c r="C365">
        <v>9628354</v>
      </c>
      <c r="D365" t="s">
        <v>1970</v>
      </c>
      <c r="E365" t="s">
        <v>1962</v>
      </c>
      <c r="F365" t="s">
        <v>1971</v>
      </c>
      <c r="G365">
        <v>1</v>
      </c>
      <c r="H365">
        <v>1</v>
      </c>
      <c r="I365" t="s">
        <v>1962</v>
      </c>
      <c r="J365">
        <v>0</v>
      </c>
      <c r="K365" t="s">
        <v>49</v>
      </c>
      <c r="L365" s="1">
        <f>+Tabla__192.168.1.8_POSEIDONSQL_APPFVT_01_tblFillRateFechas[[#This Row],[emb_cantidad]]-Tabla__192.168.1.8_POSEIDONSQL_APPFVT_01_tblFillRateFechas[[#This Row],[dev_cantidad]]</f>
        <v>1</v>
      </c>
      <c r="M365" s="1">
        <f>+IF(Tabla__192.168.1.8_POSEIDONSQL_APPFVT_01_tblFillRateFechas[[#This Row],[Cant_Resultante]]=Tabla__192.168.1.8_POSEIDONSQL_APPFVT_01_tblFillRateFechas[[#This Row],[cant_order]],1,0)</f>
        <v>1</v>
      </c>
      <c r="N3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5" s="1">
        <f>+IF(AND(Tabla__192.168.1.8_POSEIDONSQL_APPFVT_01_tblFillRateFechas[[#This Row],[Valida Cant]]=1,Tabla__192.168.1.8_POSEIDONSQL_APPFVT_01_tblFillRateFechas[[#This Row],[Valida Fec]]=1),1,0)</f>
        <v>1</v>
      </c>
      <c r="P365" s="1">
        <f>+(Tabla__192.168.1.8_POSEIDONSQL_APPFVT_01_tblFillRateFechas[[#This Row],[Cant_Resultante]]/Tabla__192.168.1.8_POSEIDONSQL_APPFVT_01_tblFillRateFechas[[#This Row],[cant_order]])*100</f>
        <v>100</v>
      </c>
      <c r="Q3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5" s="1">
        <f>+IF(Tabla__192.168.1.8_POSEIDONSQL_APPFVT_01_tblFillRateFechas[[#This Row],[cant_order]]&gt;0,1,0)</f>
        <v>1</v>
      </c>
      <c r="V365" s="1">
        <f>+IF(Tabla__192.168.1.8_POSEIDONSQL_APPFVT_01_tblFillRateFechas[[#This Row],[Resultado]]=1,1,0)</f>
        <v>1</v>
      </c>
      <c r="W365" s="1" t="str">
        <f>+Tabla__192.168.1.8_POSEIDONSQL_APPFVT_01_tblFillRateFechas[[#This Row],[con_ocnumero]]&amp;Tabla__192.168.1.8_POSEIDONSQL_APPFVT_01_tblFillRateFechas[[#This Row],[con_codigounico]]</f>
        <v>9628354-</v>
      </c>
      <c r="X3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6" spans="1:24" x14ac:dyDescent="0.25">
      <c r="A366">
        <v>4</v>
      </c>
      <c r="B366" t="s">
        <v>56</v>
      </c>
      <c r="C366">
        <v>9628551</v>
      </c>
      <c r="D366" t="s">
        <v>1970</v>
      </c>
      <c r="E366" t="s">
        <v>1962</v>
      </c>
      <c r="F366" t="s">
        <v>1971</v>
      </c>
      <c r="G366">
        <v>1</v>
      </c>
      <c r="H366">
        <v>1</v>
      </c>
      <c r="I366" t="s">
        <v>1962</v>
      </c>
      <c r="J366">
        <v>0</v>
      </c>
      <c r="K366" t="s">
        <v>49</v>
      </c>
      <c r="L366" s="1">
        <f>+Tabla__192.168.1.8_POSEIDONSQL_APPFVT_01_tblFillRateFechas[[#This Row],[emb_cantidad]]-Tabla__192.168.1.8_POSEIDONSQL_APPFVT_01_tblFillRateFechas[[#This Row],[dev_cantidad]]</f>
        <v>1</v>
      </c>
      <c r="M366" s="1">
        <f>+IF(Tabla__192.168.1.8_POSEIDONSQL_APPFVT_01_tblFillRateFechas[[#This Row],[Cant_Resultante]]=Tabla__192.168.1.8_POSEIDONSQL_APPFVT_01_tblFillRateFechas[[#This Row],[cant_order]],1,0)</f>
        <v>1</v>
      </c>
      <c r="N3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6" s="1">
        <f>+IF(AND(Tabla__192.168.1.8_POSEIDONSQL_APPFVT_01_tblFillRateFechas[[#This Row],[Valida Cant]]=1,Tabla__192.168.1.8_POSEIDONSQL_APPFVT_01_tblFillRateFechas[[#This Row],[Valida Fec]]=1),1,0)</f>
        <v>1</v>
      </c>
      <c r="P366" s="1">
        <f>+(Tabla__192.168.1.8_POSEIDONSQL_APPFVT_01_tblFillRateFechas[[#This Row],[Cant_Resultante]]/Tabla__192.168.1.8_POSEIDONSQL_APPFVT_01_tblFillRateFechas[[#This Row],[cant_order]])*100</f>
        <v>100</v>
      </c>
      <c r="Q3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6" s="1">
        <f>+IF(Tabla__192.168.1.8_POSEIDONSQL_APPFVT_01_tblFillRateFechas[[#This Row],[cant_order]]&gt;0,1,0)</f>
        <v>1</v>
      </c>
      <c r="V366" s="1">
        <f>+IF(Tabla__192.168.1.8_POSEIDONSQL_APPFVT_01_tblFillRateFechas[[#This Row],[Resultado]]=1,1,0)</f>
        <v>1</v>
      </c>
      <c r="W366" s="1" t="str">
        <f>+Tabla__192.168.1.8_POSEIDONSQL_APPFVT_01_tblFillRateFechas[[#This Row],[con_ocnumero]]&amp;Tabla__192.168.1.8_POSEIDONSQL_APPFVT_01_tblFillRateFechas[[#This Row],[con_codigounico]]</f>
        <v>9628551-</v>
      </c>
      <c r="X3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7" spans="1:24" x14ac:dyDescent="0.25">
      <c r="A367">
        <v>4</v>
      </c>
      <c r="B367" t="s">
        <v>56</v>
      </c>
      <c r="C367">
        <v>9629074</v>
      </c>
      <c r="D367" t="s">
        <v>1970</v>
      </c>
      <c r="E367" t="s">
        <v>1962</v>
      </c>
      <c r="F367" t="s">
        <v>1971</v>
      </c>
      <c r="G367">
        <v>1</v>
      </c>
      <c r="H367">
        <v>1</v>
      </c>
      <c r="I367" t="s">
        <v>1962</v>
      </c>
      <c r="J367">
        <v>0</v>
      </c>
      <c r="K367" t="s">
        <v>49</v>
      </c>
      <c r="L367" s="1">
        <f>+Tabla__192.168.1.8_POSEIDONSQL_APPFVT_01_tblFillRateFechas[[#This Row],[emb_cantidad]]-Tabla__192.168.1.8_POSEIDONSQL_APPFVT_01_tblFillRateFechas[[#This Row],[dev_cantidad]]</f>
        <v>1</v>
      </c>
      <c r="M367" s="1">
        <f>+IF(Tabla__192.168.1.8_POSEIDONSQL_APPFVT_01_tblFillRateFechas[[#This Row],[Cant_Resultante]]=Tabla__192.168.1.8_POSEIDONSQL_APPFVT_01_tblFillRateFechas[[#This Row],[cant_order]],1,0)</f>
        <v>1</v>
      </c>
      <c r="N3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7" s="1">
        <f>+IF(AND(Tabla__192.168.1.8_POSEIDONSQL_APPFVT_01_tblFillRateFechas[[#This Row],[Valida Cant]]=1,Tabla__192.168.1.8_POSEIDONSQL_APPFVT_01_tblFillRateFechas[[#This Row],[Valida Fec]]=1),1,0)</f>
        <v>1</v>
      </c>
      <c r="P367" s="1">
        <f>+(Tabla__192.168.1.8_POSEIDONSQL_APPFVT_01_tblFillRateFechas[[#This Row],[Cant_Resultante]]/Tabla__192.168.1.8_POSEIDONSQL_APPFVT_01_tblFillRateFechas[[#This Row],[cant_order]])*100</f>
        <v>100</v>
      </c>
      <c r="Q3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7" s="1">
        <f>+IF(Tabla__192.168.1.8_POSEIDONSQL_APPFVT_01_tblFillRateFechas[[#This Row],[cant_order]]&gt;0,1,0)</f>
        <v>1</v>
      </c>
      <c r="V367" s="1">
        <f>+IF(Tabla__192.168.1.8_POSEIDONSQL_APPFVT_01_tblFillRateFechas[[#This Row],[Resultado]]=1,1,0)</f>
        <v>1</v>
      </c>
      <c r="W367" s="1" t="str">
        <f>+Tabla__192.168.1.8_POSEIDONSQL_APPFVT_01_tblFillRateFechas[[#This Row],[con_ocnumero]]&amp;Tabla__192.168.1.8_POSEIDONSQL_APPFVT_01_tblFillRateFechas[[#This Row],[con_codigounico]]</f>
        <v>9629074-</v>
      </c>
      <c r="X3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8" spans="1:24" x14ac:dyDescent="0.25">
      <c r="A368">
        <v>4</v>
      </c>
      <c r="B368" t="s">
        <v>56</v>
      </c>
      <c r="C368">
        <v>9629309</v>
      </c>
      <c r="D368" t="s">
        <v>1970</v>
      </c>
      <c r="E368" t="s">
        <v>1962</v>
      </c>
      <c r="F368" t="s">
        <v>1971</v>
      </c>
      <c r="G368">
        <v>1</v>
      </c>
      <c r="H368">
        <v>1</v>
      </c>
      <c r="I368" t="s">
        <v>1962</v>
      </c>
      <c r="J368">
        <v>0</v>
      </c>
      <c r="K368" t="s">
        <v>49</v>
      </c>
      <c r="L368" s="1">
        <f>+Tabla__192.168.1.8_POSEIDONSQL_APPFVT_01_tblFillRateFechas[[#This Row],[emb_cantidad]]-Tabla__192.168.1.8_POSEIDONSQL_APPFVT_01_tblFillRateFechas[[#This Row],[dev_cantidad]]</f>
        <v>1</v>
      </c>
      <c r="M368" s="1">
        <f>+IF(Tabla__192.168.1.8_POSEIDONSQL_APPFVT_01_tblFillRateFechas[[#This Row],[Cant_Resultante]]=Tabla__192.168.1.8_POSEIDONSQL_APPFVT_01_tblFillRateFechas[[#This Row],[cant_order]],1,0)</f>
        <v>1</v>
      </c>
      <c r="N3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8" s="1">
        <f>+IF(AND(Tabla__192.168.1.8_POSEIDONSQL_APPFVT_01_tblFillRateFechas[[#This Row],[Valida Cant]]=1,Tabla__192.168.1.8_POSEIDONSQL_APPFVT_01_tblFillRateFechas[[#This Row],[Valida Fec]]=1),1,0)</f>
        <v>1</v>
      </c>
      <c r="P368" s="1">
        <f>+(Tabla__192.168.1.8_POSEIDONSQL_APPFVT_01_tblFillRateFechas[[#This Row],[Cant_Resultante]]/Tabla__192.168.1.8_POSEIDONSQL_APPFVT_01_tblFillRateFechas[[#This Row],[cant_order]])*100</f>
        <v>100</v>
      </c>
      <c r="Q3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8" s="1">
        <f>+IF(Tabla__192.168.1.8_POSEIDONSQL_APPFVT_01_tblFillRateFechas[[#This Row],[cant_order]]&gt;0,1,0)</f>
        <v>1</v>
      </c>
      <c r="V368" s="1">
        <f>+IF(Tabla__192.168.1.8_POSEIDONSQL_APPFVT_01_tblFillRateFechas[[#This Row],[Resultado]]=1,1,0)</f>
        <v>1</v>
      </c>
      <c r="W368" s="1" t="str">
        <f>+Tabla__192.168.1.8_POSEIDONSQL_APPFVT_01_tblFillRateFechas[[#This Row],[con_ocnumero]]&amp;Tabla__192.168.1.8_POSEIDONSQL_APPFVT_01_tblFillRateFechas[[#This Row],[con_codigounico]]</f>
        <v>9629309-</v>
      </c>
      <c r="X3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69" spans="1:24" x14ac:dyDescent="0.25">
      <c r="A369">
        <v>4</v>
      </c>
      <c r="B369" t="s">
        <v>56</v>
      </c>
      <c r="C369">
        <v>9630124</v>
      </c>
      <c r="D369" t="s">
        <v>1971</v>
      </c>
      <c r="E369" t="s">
        <v>1962</v>
      </c>
      <c r="F369" t="s">
        <v>1971</v>
      </c>
      <c r="G369">
        <v>1</v>
      </c>
      <c r="H369">
        <v>1</v>
      </c>
      <c r="I369" t="s">
        <v>1962</v>
      </c>
      <c r="J369">
        <v>0</v>
      </c>
      <c r="K369" t="s">
        <v>49</v>
      </c>
      <c r="L369" s="1">
        <f>+Tabla__192.168.1.8_POSEIDONSQL_APPFVT_01_tblFillRateFechas[[#This Row],[emb_cantidad]]-Tabla__192.168.1.8_POSEIDONSQL_APPFVT_01_tblFillRateFechas[[#This Row],[dev_cantidad]]</f>
        <v>1</v>
      </c>
      <c r="M369" s="1">
        <f>+IF(Tabla__192.168.1.8_POSEIDONSQL_APPFVT_01_tblFillRateFechas[[#This Row],[Cant_Resultante]]=Tabla__192.168.1.8_POSEIDONSQL_APPFVT_01_tblFillRateFechas[[#This Row],[cant_order]],1,0)</f>
        <v>1</v>
      </c>
      <c r="N3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69" s="1">
        <f>+IF(AND(Tabla__192.168.1.8_POSEIDONSQL_APPFVT_01_tblFillRateFechas[[#This Row],[Valida Cant]]=1,Tabla__192.168.1.8_POSEIDONSQL_APPFVT_01_tblFillRateFechas[[#This Row],[Valida Fec]]=1),1,0)</f>
        <v>1</v>
      </c>
      <c r="P369" s="1">
        <f>+(Tabla__192.168.1.8_POSEIDONSQL_APPFVT_01_tblFillRateFechas[[#This Row],[Cant_Resultante]]/Tabla__192.168.1.8_POSEIDONSQL_APPFVT_01_tblFillRateFechas[[#This Row],[cant_order]])*100</f>
        <v>100</v>
      </c>
      <c r="Q3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69" s="1">
        <f>+IF(Tabla__192.168.1.8_POSEIDONSQL_APPFVT_01_tblFillRateFechas[[#This Row],[cant_order]]&gt;0,1,0)</f>
        <v>1</v>
      </c>
      <c r="V369" s="1">
        <f>+IF(Tabla__192.168.1.8_POSEIDONSQL_APPFVT_01_tblFillRateFechas[[#This Row],[Resultado]]=1,1,0)</f>
        <v>1</v>
      </c>
      <c r="W369" s="1" t="str">
        <f>+Tabla__192.168.1.8_POSEIDONSQL_APPFVT_01_tblFillRateFechas[[#This Row],[con_ocnumero]]&amp;Tabla__192.168.1.8_POSEIDONSQL_APPFVT_01_tblFillRateFechas[[#This Row],[con_codigounico]]</f>
        <v>9630124-</v>
      </c>
      <c r="X3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0" spans="1:24" x14ac:dyDescent="0.25">
      <c r="A370">
        <v>4</v>
      </c>
      <c r="B370" t="s">
        <v>56</v>
      </c>
      <c r="C370">
        <v>9630175</v>
      </c>
      <c r="D370" t="s">
        <v>1971</v>
      </c>
      <c r="E370" t="s">
        <v>1962</v>
      </c>
      <c r="F370" t="s">
        <v>1971</v>
      </c>
      <c r="G370">
        <v>1</v>
      </c>
      <c r="H370">
        <v>1</v>
      </c>
      <c r="I370" t="s">
        <v>1962</v>
      </c>
      <c r="J370">
        <v>0</v>
      </c>
      <c r="K370" t="s">
        <v>49</v>
      </c>
      <c r="L370" s="1">
        <f>+Tabla__192.168.1.8_POSEIDONSQL_APPFVT_01_tblFillRateFechas[[#This Row],[emb_cantidad]]-Tabla__192.168.1.8_POSEIDONSQL_APPFVT_01_tblFillRateFechas[[#This Row],[dev_cantidad]]</f>
        <v>1</v>
      </c>
      <c r="M370" s="1">
        <f>+IF(Tabla__192.168.1.8_POSEIDONSQL_APPFVT_01_tblFillRateFechas[[#This Row],[Cant_Resultante]]=Tabla__192.168.1.8_POSEIDONSQL_APPFVT_01_tblFillRateFechas[[#This Row],[cant_order]],1,0)</f>
        <v>1</v>
      </c>
      <c r="N3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0" s="1">
        <f>+IF(AND(Tabla__192.168.1.8_POSEIDONSQL_APPFVT_01_tblFillRateFechas[[#This Row],[Valida Cant]]=1,Tabla__192.168.1.8_POSEIDONSQL_APPFVT_01_tblFillRateFechas[[#This Row],[Valida Fec]]=1),1,0)</f>
        <v>1</v>
      </c>
      <c r="P370" s="1">
        <f>+(Tabla__192.168.1.8_POSEIDONSQL_APPFVT_01_tblFillRateFechas[[#This Row],[Cant_Resultante]]/Tabla__192.168.1.8_POSEIDONSQL_APPFVT_01_tblFillRateFechas[[#This Row],[cant_order]])*100</f>
        <v>100</v>
      </c>
      <c r="Q3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0" s="1">
        <f>+IF(Tabla__192.168.1.8_POSEIDONSQL_APPFVT_01_tblFillRateFechas[[#This Row],[cant_order]]&gt;0,1,0)</f>
        <v>1</v>
      </c>
      <c r="V370" s="1">
        <f>+IF(Tabla__192.168.1.8_POSEIDONSQL_APPFVT_01_tblFillRateFechas[[#This Row],[Resultado]]=1,1,0)</f>
        <v>1</v>
      </c>
      <c r="W370" s="1" t="str">
        <f>+Tabla__192.168.1.8_POSEIDONSQL_APPFVT_01_tblFillRateFechas[[#This Row],[con_ocnumero]]&amp;Tabla__192.168.1.8_POSEIDONSQL_APPFVT_01_tblFillRateFechas[[#This Row],[con_codigounico]]</f>
        <v>9630175-</v>
      </c>
      <c r="X3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1" spans="1:24" x14ac:dyDescent="0.25">
      <c r="A371">
        <v>4</v>
      </c>
      <c r="B371" t="s">
        <v>56</v>
      </c>
      <c r="C371">
        <v>9630226</v>
      </c>
      <c r="D371" t="s">
        <v>1971</v>
      </c>
      <c r="E371" t="s">
        <v>1962</v>
      </c>
      <c r="F371" t="s">
        <v>1971</v>
      </c>
      <c r="G371">
        <v>1</v>
      </c>
      <c r="H371">
        <v>1</v>
      </c>
      <c r="I371" t="s">
        <v>1962</v>
      </c>
      <c r="J371">
        <v>0</v>
      </c>
      <c r="K371" t="s">
        <v>49</v>
      </c>
      <c r="L371" s="1">
        <f>+Tabla__192.168.1.8_POSEIDONSQL_APPFVT_01_tblFillRateFechas[[#This Row],[emb_cantidad]]-Tabla__192.168.1.8_POSEIDONSQL_APPFVT_01_tblFillRateFechas[[#This Row],[dev_cantidad]]</f>
        <v>1</v>
      </c>
      <c r="M371" s="1">
        <f>+IF(Tabla__192.168.1.8_POSEIDONSQL_APPFVT_01_tblFillRateFechas[[#This Row],[Cant_Resultante]]=Tabla__192.168.1.8_POSEIDONSQL_APPFVT_01_tblFillRateFechas[[#This Row],[cant_order]],1,0)</f>
        <v>1</v>
      </c>
      <c r="N3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1" s="1">
        <f>+IF(AND(Tabla__192.168.1.8_POSEIDONSQL_APPFVT_01_tblFillRateFechas[[#This Row],[Valida Cant]]=1,Tabla__192.168.1.8_POSEIDONSQL_APPFVT_01_tblFillRateFechas[[#This Row],[Valida Fec]]=1),1,0)</f>
        <v>1</v>
      </c>
      <c r="P371" s="1">
        <f>+(Tabla__192.168.1.8_POSEIDONSQL_APPFVT_01_tblFillRateFechas[[#This Row],[Cant_Resultante]]/Tabla__192.168.1.8_POSEIDONSQL_APPFVT_01_tblFillRateFechas[[#This Row],[cant_order]])*100</f>
        <v>100</v>
      </c>
      <c r="Q3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1" s="1">
        <f>+IF(Tabla__192.168.1.8_POSEIDONSQL_APPFVT_01_tblFillRateFechas[[#This Row],[cant_order]]&gt;0,1,0)</f>
        <v>1</v>
      </c>
      <c r="V371" s="1">
        <f>+IF(Tabla__192.168.1.8_POSEIDONSQL_APPFVT_01_tblFillRateFechas[[#This Row],[Resultado]]=1,1,0)</f>
        <v>1</v>
      </c>
      <c r="W371" s="1" t="str">
        <f>+Tabla__192.168.1.8_POSEIDONSQL_APPFVT_01_tblFillRateFechas[[#This Row],[con_ocnumero]]&amp;Tabla__192.168.1.8_POSEIDONSQL_APPFVT_01_tblFillRateFechas[[#This Row],[con_codigounico]]</f>
        <v>9630226-</v>
      </c>
      <c r="X3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2" spans="1:24" x14ac:dyDescent="0.25">
      <c r="A372">
        <v>4</v>
      </c>
      <c r="B372" t="s">
        <v>56</v>
      </c>
      <c r="C372">
        <v>9631247</v>
      </c>
      <c r="D372" t="s">
        <v>1971</v>
      </c>
      <c r="E372" t="s">
        <v>1969</v>
      </c>
      <c r="F372" t="s">
        <v>1965</v>
      </c>
      <c r="G372">
        <v>1</v>
      </c>
      <c r="H372">
        <v>1</v>
      </c>
      <c r="I372" t="s">
        <v>1962</v>
      </c>
      <c r="J372">
        <v>0</v>
      </c>
      <c r="K372" t="s">
        <v>49</v>
      </c>
      <c r="L372" s="1">
        <f>+Tabla__192.168.1.8_POSEIDONSQL_APPFVT_01_tblFillRateFechas[[#This Row],[emb_cantidad]]-Tabla__192.168.1.8_POSEIDONSQL_APPFVT_01_tblFillRateFechas[[#This Row],[dev_cantidad]]</f>
        <v>1</v>
      </c>
      <c r="M372" s="1">
        <f>+IF(Tabla__192.168.1.8_POSEIDONSQL_APPFVT_01_tblFillRateFechas[[#This Row],[Cant_Resultante]]=Tabla__192.168.1.8_POSEIDONSQL_APPFVT_01_tblFillRateFechas[[#This Row],[cant_order]],1,0)</f>
        <v>1</v>
      </c>
      <c r="N3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2" s="1">
        <f>+IF(AND(Tabla__192.168.1.8_POSEIDONSQL_APPFVT_01_tblFillRateFechas[[#This Row],[Valida Cant]]=1,Tabla__192.168.1.8_POSEIDONSQL_APPFVT_01_tblFillRateFechas[[#This Row],[Valida Fec]]=1),1,0)</f>
        <v>1</v>
      </c>
      <c r="P372" s="1">
        <f>+(Tabla__192.168.1.8_POSEIDONSQL_APPFVT_01_tblFillRateFechas[[#This Row],[Cant_Resultante]]/Tabla__192.168.1.8_POSEIDONSQL_APPFVT_01_tblFillRateFechas[[#This Row],[cant_order]])*100</f>
        <v>100</v>
      </c>
      <c r="Q3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2" s="1">
        <f>+IF(Tabla__192.168.1.8_POSEIDONSQL_APPFVT_01_tblFillRateFechas[[#This Row],[cant_order]]&gt;0,1,0)</f>
        <v>1</v>
      </c>
      <c r="V372" s="1">
        <f>+IF(Tabla__192.168.1.8_POSEIDONSQL_APPFVT_01_tblFillRateFechas[[#This Row],[Resultado]]=1,1,0)</f>
        <v>1</v>
      </c>
      <c r="W372" s="1" t="str">
        <f>+Tabla__192.168.1.8_POSEIDONSQL_APPFVT_01_tblFillRateFechas[[#This Row],[con_ocnumero]]&amp;Tabla__192.168.1.8_POSEIDONSQL_APPFVT_01_tblFillRateFechas[[#This Row],[con_codigounico]]</f>
        <v>9631247-</v>
      </c>
      <c r="X3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3" spans="1:24" x14ac:dyDescent="0.25">
      <c r="A373">
        <v>4</v>
      </c>
      <c r="B373" t="s">
        <v>56</v>
      </c>
      <c r="C373">
        <v>9631389</v>
      </c>
      <c r="D373" t="s">
        <v>1971</v>
      </c>
      <c r="E373" t="s">
        <v>1962</v>
      </c>
      <c r="F373" t="s">
        <v>1965</v>
      </c>
      <c r="G373">
        <v>1</v>
      </c>
      <c r="H373">
        <v>1</v>
      </c>
      <c r="I373" t="s">
        <v>1962</v>
      </c>
      <c r="J373">
        <v>0</v>
      </c>
      <c r="K373" t="s">
        <v>49</v>
      </c>
      <c r="L373" s="1">
        <f>+Tabla__192.168.1.8_POSEIDONSQL_APPFVT_01_tblFillRateFechas[[#This Row],[emb_cantidad]]-Tabla__192.168.1.8_POSEIDONSQL_APPFVT_01_tblFillRateFechas[[#This Row],[dev_cantidad]]</f>
        <v>1</v>
      </c>
      <c r="M373" s="1">
        <f>+IF(Tabla__192.168.1.8_POSEIDONSQL_APPFVT_01_tblFillRateFechas[[#This Row],[Cant_Resultante]]=Tabla__192.168.1.8_POSEIDONSQL_APPFVT_01_tblFillRateFechas[[#This Row],[cant_order]],1,0)</f>
        <v>1</v>
      </c>
      <c r="N3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3" s="1">
        <f>+IF(AND(Tabla__192.168.1.8_POSEIDONSQL_APPFVT_01_tblFillRateFechas[[#This Row],[Valida Cant]]=1,Tabla__192.168.1.8_POSEIDONSQL_APPFVT_01_tblFillRateFechas[[#This Row],[Valida Fec]]=1),1,0)</f>
        <v>1</v>
      </c>
      <c r="P373" s="1">
        <f>+(Tabla__192.168.1.8_POSEIDONSQL_APPFVT_01_tblFillRateFechas[[#This Row],[Cant_Resultante]]/Tabla__192.168.1.8_POSEIDONSQL_APPFVT_01_tblFillRateFechas[[#This Row],[cant_order]])*100</f>
        <v>100</v>
      </c>
      <c r="Q3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3" s="1">
        <f>+IF(Tabla__192.168.1.8_POSEIDONSQL_APPFVT_01_tblFillRateFechas[[#This Row],[cant_order]]&gt;0,1,0)</f>
        <v>1</v>
      </c>
      <c r="V373" s="1">
        <f>+IF(Tabla__192.168.1.8_POSEIDONSQL_APPFVT_01_tblFillRateFechas[[#This Row],[Resultado]]=1,1,0)</f>
        <v>1</v>
      </c>
      <c r="W373" s="1" t="str">
        <f>+Tabla__192.168.1.8_POSEIDONSQL_APPFVT_01_tblFillRateFechas[[#This Row],[con_ocnumero]]&amp;Tabla__192.168.1.8_POSEIDONSQL_APPFVT_01_tblFillRateFechas[[#This Row],[con_codigounico]]</f>
        <v>9631389-</v>
      </c>
      <c r="X3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4" spans="1:24" x14ac:dyDescent="0.25">
      <c r="A374">
        <v>4</v>
      </c>
      <c r="B374" t="s">
        <v>56</v>
      </c>
      <c r="C374">
        <v>9631838</v>
      </c>
      <c r="D374" t="s">
        <v>1971</v>
      </c>
      <c r="E374" t="s">
        <v>1962</v>
      </c>
      <c r="F374" t="s">
        <v>1965</v>
      </c>
      <c r="G374">
        <v>1</v>
      </c>
      <c r="H374">
        <v>1</v>
      </c>
      <c r="I374" t="s">
        <v>1962</v>
      </c>
      <c r="J374">
        <v>0</v>
      </c>
      <c r="K374" t="s">
        <v>49</v>
      </c>
      <c r="L374" s="1">
        <f>+Tabla__192.168.1.8_POSEIDONSQL_APPFVT_01_tblFillRateFechas[[#This Row],[emb_cantidad]]-Tabla__192.168.1.8_POSEIDONSQL_APPFVT_01_tblFillRateFechas[[#This Row],[dev_cantidad]]</f>
        <v>1</v>
      </c>
      <c r="M374" s="1">
        <f>+IF(Tabla__192.168.1.8_POSEIDONSQL_APPFVT_01_tblFillRateFechas[[#This Row],[Cant_Resultante]]=Tabla__192.168.1.8_POSEIDONSQL_APPFVT_01_tblFillRateFechas[[#This Row],[cant_order]],1,0)</f>
        <v>1</v>
      </c>
      <c r="N3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4" s="1">
        <f>+IF(AND(Tabla__192.168.1.8_POSEIDONSQL_APPFVT_01_tblFillRateFechas[[#This Row],[Valida Cant]]=1,Tabla__192.168.1.8_POSEIDONSQL_APPFVT_01_tblFillRateFechas[[#This Row],[Valida Fec]]=1),1,0)</f>
        <v>1</v>
      </c>
      <c r="P374" s="1">
        <f>+(Tabla__192.168.1.8_POSEIDONSQL_APPFVT_01_tblFillRateFechas[[#This Row],[Cant_Resultante]]/Tabla__192.168.1.8_POSEIDONSQL_APPFVT_01_tblFillRateFechas[[#This Row],[cant_order]])*100</f>
        <v>100</v>
      </c>
      <c r="Q3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4" s="1">
        <f>+IF(Tabla__192.168.1.8_POSEIDONSQL_APPFVT_01_tblFillRateFechas[[#This Row],[cant_order]]&gt;0,1,0)</f>
        <v>1</v>
      </c>
      <c r="V374" s="1">
        <f>+IF(Tabla__192.168.1.8_POSEIDONSQL_APPFVT_01_tblFillRateFechas[[#This Row],[Resultado]]=1,1,0)</f>
        <v>1</v>
      </c>
      <c r="W374" s="1" t="str">
        <f>+Tabla__192.168.1.8_POSEIDONSQL_APPFVT_01_tblFillRateFechas[[#This Row],[con_ocnumero]]&amp;Tabla__192.168.1.8_POSEIDONSQL_APPFVT_01_tblFillRateFechas[[#This Row],[con_codigounico]]</f>
        <v>9631838-</v>
      </c>
      <c r="X3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5" spans="1:24" x14ac:dyDescent="0.25">
      <c r="A375">
        <v>4</v>
      </c>
      <c r="B375" t="s">
        <v>56</v>
      </c>
      <c r="C375">
        <v>9632357</v>
      </c>
      <c r="D375" t="s">
        <v>1971</v>
      </c>
      <c r="E375" t="s">
        <v>1963</v>
      </c>
      <c r="F375" t="s">
        <v>1965</v>
      </c>
      <c r="G375">
        <v>1</v>
      </c>
      <c r="H375">
        <v>1</v>
      </c>
      <c r="I375" t="s">
        <v>1962</v>
      </c>
      <c r="J375">
        <v>0</v>
      </c>
      <c r="K375" t="s">
        <v>49</v>
      </c>
      <c r="L375" s="1">
        <f>+Tabla__192.168.1.8_POSEIDONSQL_APPFVT_01_tblFillRateFechas[[#This Row],[emb_cantidad]]-Tabla__192.168.1.8_POSEIDONSQL_APPFVT_01_tblFillRateFechas[[#This Row],[dev_cantidad]]</f>
        <v>1</v>
      </c>
      <c r="M375" s="1">
        <f>+IF(Tabla__192.168.1.8_POSEIDONSQL_APPFVT_01_tblFillRateFechas[[#This Row],[Cant_Resultante]]=Tabla__192.168.1.8_POSEIDONSQL_APPFVT_01_tblFillRateFechas[[#This Row],[cant_order]],1,0)</f>
        <v>1</v>
      </c>
      <c r="N3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5" s="1">
        <f>+IF(AND(Tabla__192.168.1.8_POSEIDONSQL_APPFVT_01_tblFillRateFechas[[#This Row],[Valida Cant]]=1,Tabla__192.168.1.8_POSEIDONSQL_APPFVT_01_tblFillRateFechas[[#This Row],[Valida Fec]]=1),1,0)</f>
        <v>1</v>
      </c>
      <c r="P375" s="1">
        <f>+(Tabla__192.168.1.8_POSEIDONSQL_APPFVT_01_tblFillRateFechas[[#This Row],[Cant_Resultante]]/Tabla__192.168.1.8_POSEIDONSQL_APPFVT_01_tblFillRateFechas[[#This Row],[cant_order]])*100</f>
        <v>100</v>
      </c>
      <c r="Q3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5" s="1">
        <f>+IF(Tabla__192.168.1.8_POSEIDONSQL_APPFVT_01_tblFillRateFechas[[#This Row],[cant_order]]&gt;0,1,0)</f>
        <v>1</v>
      </c>
      <c r="V375" s="1">
        <f>+IF(Tabla__192.168.1.8_POSEIDONSQL_APPFVT_01_tblFillRateFechas[[#This Row],[Resultado]]=1,1,0)</f>
        <v>1</v>
      </c>
      <c r="W375" s="1" t="str">
        <f>+Tabla__192.168.1.8_POSEIDONSQL_APPFVT_01_tblFillRateFechas[[#This Row],[con_ocnumero]]&amp;Tabla__192.168.1.8_POSEIDONSQL_APPFVT_01_tblFillRateFechas[[#This Row],[con_codigounico]]</f>
        <v>9632357-</v>
      </c>
      <c r="X3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6" spans="1:24" x14ac:dyDescent="0.25">
      <c r="A376">
        <v>4</v>
      </c>
      <c r="B376" t="s">
        <v>56</v>
      </c>
      <c r="C376">
        <v>9632788</v>
      </c>
      <c r="D376" t="s">
        <v>1971</v>
      </c>
      <c r="E376" t="s">
        <v>1963</v>
      </c>
      <c r="F376" t="s">
        <v>1965</v>
      </c>
      <c r="G376">
        <v>1</v>
      </c>
      <c r="H376">
        <v>1</v>
      </c>
      <c r="I376" t="s">
        <v>1962</v>
      </c>
      <c r="J376">
        <v>0</v>
      </c>
      <c r="K376" t="s">
        <v>49</v>
      </c>
      <c r="L376" s="1">
        <f>+Tabla__192.168.1.8_POSEIDONSQL_APPFVT_01_tblFillRateFechas[[#This Row],[emb_cantidad]]-Tabla__192.168.1.8_POSEIDONSQL_APPFVT_01_tblFillRateFechas[[#This Row],[dev_cantidad]]</f>
        <v>1</v>
      </c>
      <c r="M376" s="1">
        <f>+IF(Tabla__192.168.1.8_POSEIDONSQL_APPFVT_01_tblFillRateFechas[[#This Row],[Cant_Resultante]]=Tabla__192.168.1.8_POSEIDONSQL_APPFVT_01_tblFillRateFechas[[#This Row],[cant_order]],1,0)</f>
        <v>1</v>
      </c>
      <c r="N3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6" s="1">
        <f>+IF(AND(Tabla__192.168.1.8_POSEIDONSQL_APPFVT_01_tblFillRateFechas[[#This Row],[Valida Cant]]=1,Tabla__192.168.1.8_POSEIDONSQL_APPFVT_01_tblFillRateFechas[[#This Row],[Valida Fec]]=1),1,0)</f>
        <v>1</v>
      </c>
      <c r="P376" s="1">
        <f>+(Tabla__192.168.1.8_POSEIDONSQL_APPFVT_01_tblFillRateFechas[[#This Row],[Cant_Resultante]]/Tabla__192.168.1.8_POSEIDONSQL_APPFVT_01_tblFillRateFechas[[#This Row],[cant_order]])*100</f>
        <v>100</v>
      </c>
      <c r="Q3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6" s="1">
        <f>+IF(Tabla__192.168.1.8_POSEIDONSQL_APPFVT_01_tblFillRateFechas[[#This Row],[cant_order]]&gt;0,1,0)</f>
        <v>1</v>
      </c>
      <c r="V376" s="1">
        <f>+IF(Tabla__192.168.1.8_POSEIDONSQL_APPFVT_01_tblFillRateFechas[[#This Row],[Resultado]]=1,1,0)</f>
        <v>1</v>
      </c>
      <c r="W376" s="1" t="str">
        <f>+Tabla__192.168.1.8_POSEIDONSQL_APPFVT_01_tblFillRateFechas[[#This Row],[con_ocnumero]]&amp;Tabla__192.168.1.8_POSEIDONSQL_APPFVT_01_tblFillRateFechas[[#This Row],[con_codigounico]]</f>
        <v>9632788-</v>
      </c>
      <c r="X3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7" spans="1:24" x14ac:dyDescent="0.25">
      <c r="A377">
        <v>4</v>
      </c>
      <c r="B377" t="s">
        <v>56</v>
      </c>
      <c r="C377">
        <v>9632855</v>
      </c>
      <c r="D377" t="s">
        <v>1971</v>
      </c>
      <c r="E377" t="s">
        <v>1963</v>
      </c>
      <c r="F377" t="s">
        <v>1965</v>
      </c>
      <c r="G377">
        <v>1</v>
      </c>
      <c r="H377">
        <v>1</v>
      </c>
      <c r="I377" t="s">
        <v>1962</v>
      </c>
      <c r="J377">
        <v>0</v>
      </c>
      <c r="K377" t="s">
        <v>49</v>
      </c>
      <c r="L377" s="1">
        <f>+Tabla__192.168.1.8_POSEIDONSQL_APPFVT_01_tblFillRateFechas[[#This Row],[emb_cantidad]]-Tabla__192.168.1.8_POSEIDONSQL_APPFVT_01_tblFillRateFechas[[#This Row],[dev_cantidad]]</f>
        <v>1</v>
      </c>
      <c r="M377" s="1">
        <f>+IF(Tabla__192.168.1.8_POSEIDONSQL_APPFVT_01_tblFillRateFechas[[#This Row],[Cant_Resultante]]=Tabla__192.168.1.8_POSEIDONSQL_APPFVT_01_tblFillRateFechas[[#This Row],[cant_order]],1,0)</f>
        <v>1</v>
      </c>
      <c r="N3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7" s="1">
        <f>+IF(AND(Tabla__192.168.1.8_POSEIDONSQL_APPFVT_01_tblFillRateFechas[[#This Row],[Valida Cant]]=1,Tabla__192.168.1.8_POSEIDONSQL_APPFVT_01_tblFillRateFechas[[#This Row],[Valida Fec]]=1),1,0)</f>
        <v>1</v>
      </c>
      <c r="P377" s="1">
        <f>+(Tabla__192.168.1.8_POSEIDONSQL_APPFVT_01_tblFillRateFechas[[#This Row],[Cant_Resultante]]/Tabla__192.168.1.8_POSEIDONSQL_APPFVT_01_tblFillRateFechas[[#This Row],[cant_order]])*100</f>
        <v>100</v>
      </c>
      <c r="Q3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7" s="1">
        <f>+IF(Tabla__192.168.1.8_POSEIDONSQL_APPFVT_01_tblFillRateFechas[[#This Row],[cant_order]]&gt;0,1,0)</f>
        <v>1</v>
      </c>
      <c r="V377" s="1">
        <f>+IF(Tabla__192.168.1.8_POSEIDONSQL_APPFVT_01_tblFillRateFechas[[#This Row],[Resultado]]=1,1,0)</f>
        <v>1</v>
      </c>
      <c r="W377" s="1" t="str">
        <f>+Tabla__192.168.1.8_POSEIDONSQL_APPFVT_01_tblFillRateFechas[[#This Row],[con_ocnumero]]&amp;Tabla__192.168.1.8_POSEIDONSQL_APPFVT_01_tblFillRateFechas[[#This Row],[con_codigounico]]</f>
        <v>9632855-</v>
      </c>
      <c r="X3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8" spans="1:24" x14ac:dyDescent="0.25">
      <c r="A378">
        <v>4</v>
      </c>
      <c r="B378" t="s">
        <v>56</v>
      </c>
      <c r="C378">
        <v>9633498</v>
      </c>
      <c r="D378" t="s">
        <v>1971</v>
      </c>
      <c r="E378" t="s">
        <v>1969</v>
      </c>
      <c r="F378" t="s">
        <v>1965</v>
      </c>
      <c r="G378">
        <v>1</v>
      </c>
      <c r="H378">
        <v>1</v>
      </c>
      <c r="I378" t="s">
        <v>1962</v>
      </c>
      <c r="J378">
        <v>0</v>
      </c>
      <c r="K378" t="s">
        <v>49</v>
      </c>
      <c r="L378" s="1">
        <f>+Tabla__192.168.1.8_POSEIDONSQL_APPFVT_01_tblFillRateFechas[[#This Row],[emb_cantidad]]-Tabla__192.168.1.8_POSEIDONSQL_APPFVT_01_tblFillRateFechas[[#This Row],[dev_cantidad]]</f>
        <v>1</v>
      </c>
      <c r="M378" s="1">
        <f>+IF(Tabla__192.168.1.8_POSEIDONSQL_APPFVT_01_tblFillRateFechas[[#This Row],[Cant_Resultante]]=Tabla__192.168.1.8_POSEIDONSQL_APPFVT_01_tblFillRateFechas[[#This Row],[cant_order]],1,0)</f>
        <v>1</v>
      </c>
      <c r="N3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8" s="1">
        <f>+IF(AND(Tabla__192.168.1.8_POSEIDONSQL_APPFVT_01_tblFillRateFechas[[#This Row],[Valida Cant]]=1,Tabla__192.168.1.8_POSEIDONSQL_APPFVT_01_tblFillRateFechas[[#This Row],[Valida Fec]]=1),1,0)</f>
        <v>1</v>
      </c>
      <c r="P378" s="1">
        <f>+(Tabla__192.168.1.8_POSEIDONSQL_APPFVT_01_tblFillRateFechas[[#This Row],[Cant_Resultante]]/Tabla__192.168.1.8_POSEIDONSQL_APPFVT_01_tblFillRateFechas[[#This Row],[cant_order]])*100</f>
        <v>100</v>
      </c>
      <c r="Q3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8" s="1">
        <f>+IF(Tabla__192.168.1.8_POSEIDONSQL_APPFVT_01_tblFillRateFechas[[#This Row],[cant_order]]&gt;0,1,0)</f>
        <v>1</v>
      </c>
      <c r="V378" s="1">
        <f>+IF(Tabla__192.168.1.8_POSEIDONSQL_APPFVT_01_tblFillRateFechas[[#This Row],[Resultado]]=1,1,0)</f>
        <v>1</v>
      </c>
      <c r="W378" s="1" t="str">
        <f>+Tabla__192.168.1.8_POSEIDONSQL_APPFVT_01_tblFillRateFechas[[#This Row],[con_ocnumero]]&amp;Tabla__192.168.1.8_POSEIDONSQL_APPFVT_01_tblFillRateFechas[[#This Row],[con_codigounico]]</f>
        <v>9633498-</v>
      </c>
      <c r="X3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79" spans="1:24" x14ac:dyDescent="0.25">
      <c r="A379">
        <v>4</v>
      </c>
      <c r="B379" t="s">
        <v>56</v>
      </c>
      <c r="C379">
        <v>9633603</v>
      </c>
      <c r="D379" t="s">
        <v>1971</v>
      </c>
      <c r="E379" t="s">
        <v>1963</v>
      </c>
      <c r="F379" t="s">
        <v>1965</v>
      </c>
      <c r="G379">
        <v>1</v>
      </c>
      <c r="H379">
        <v>1</v>
      </c>
      <c r="I379" t="s">
        <v>1962</v>
      </c>
      <c r="J379">
        <v>0</v>
      </c>
      <c r="K379" t="s">
        <v>49</v>
      </c>
      <c r="L379" s="1">
        <f>+Tabla__192.168.1.8_POSEIDONSQL_APPFVT_01_tblFillRateFechas[[#This Row],[emb_cantidad]]-Tabla__192.168.1.8_POSEIDONSQL_APPFVT_01_tblFillRateFechas[[#This Row],[dev_cantidad]]</f>
        <v>1</v>
      </c>
      <c r="M379" s="1">
        <f>+IF(Tabla__192.168.1.8_POSEIDONSQL_APPFVT_01_tblFillRateFechas[[#This Row],[Cant_Resultante]]=Tabla__192.168.1.8_POSEIDONSQL_APPFVT_01_tblFillRateFechas[[#This Row],[cant_order]],1,0)</f>
        <v>1</v>
      </c>
      <c r="N3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79" s="1">
        <f>+IF(AND(Tabla__192.168.1.8_POSEIDONSQL_APPFVT_01_tblFillRateFechas[[#This Row],[Valida Cant]]=1,Tabla__192.168.1.8_POSEIDONSQL_APPFVT_01_tblFillRateFechas[[#This Row],[Valida Fec]]=1),1,0)</f>
        <v>1</v>
      </c>
      <c r="P379" s="1">
        <f>+(Tabla__192.168.1.8_POSEIDONSQL_APPFVT_01_tblFillRateFechas[[#This Row],[Cant_Resultante]]/Tabla__192.168.1.8_POSEIDONSQL_APPFVT_01_tblFillRateFechas[[#This Row],[cant_order]])*100</f>
        <v>100</v>
      </c>
      <c r="Q3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79" s="1">
        <f>+IF(Tabla__192.168.1.8_POSEIDONSQL_APPFVT_01_tblFillRateFechas[[#This Row],[cant_order]]&gt;0,1,0)</f>
        <v>1</v>
      </c>
      <c r="V379" s="1">
        <f>+IF(Tabla__192.168.1.8_POSEIDONSQL_APPFVT_01_tblFillRateFechas[[#This Row],[Resultado]]=1,1,0)</f>
        <v>1</v>
      </c>
      <c r="W379" s="1" t="str">
        <f>+Tabla__192.168.1.8_POSEIDONSQL_APPFVT_01_tblFillRateFechas[[#This Row],[con_ocnumero]]&amp;Tabla__192.168.1.8_POSEIDONSQL_APPFVT_01_tblFillRateFechas[[#This Row],[con_codigounico]]</f>
        <v>9633603-</v>
      </c>
      <c r="X3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0" spans="1:24" x14ac:dyDescent="0.25">
      <c r="A380">
        <v>4</v>
      </c>
      <c r="B380" t="s">
        <v>56</v>
      </c>
      <c r="C380">
        <v>9633748</v>
      </c>
      <c r="D380" t="s">
        <v>1965</v>
      </c>
      <c r="E380" t="s">
        <v>1963</v>
      </c>
      <c r="F380" t="s">
        <v>1965</v>
      </c>
      <c r="G380">
        <v>1</v>
      </c>
      <c r="H380">
        <v>1</v>
      </c>
      <c r="I380" t="s">
        <v>1962</v>
      </c>
      <c r="J380">
        <v>0</v>
      </c>
      <c r="K380" t="s">
        <v>49</v>
      </c>
      <c r="L380" s="1">
        <f>+Tabla__192.168.1.8_POSEIDONSQL_APPFVT_01_tblFillRateFechas[[#This Row],[emb_cantidad]]-Tabla__192.168.1.8_POSEIDONSQL_APPFVT_01_tblFillRateFechas[[#This Row],[dev_cantidad]]</f>
        <v>1</v>
      </c>
      <c r="M380" s="1">
        <f>+IF(Tabla__192.168.1.8_POSEIDONSQL_APPFVT_01_tblFillRateFechas[[#This Row],[Cant_Resultante]]=Tabla__192.168.1.8_POSEIDONSQL_APPFVT_01_tblFillRateFechas[[#This Row],[cant_order]],1,0)</f>
        <v>1</v>
      </c>
      <c r="N3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0" s="1">
        <f>+IF(AND(Tabla__192.168.1.8_POSEIDONSQL_APPFVT_01_tblFillRateFechas[[#This Row],[Valida Cant]]=1,Tabla__192.168.1.8_POSEIDONSQL_APPFVT_01_tblFillRateFechas[[#This Row],[Valida Fec]]=1),1,0)</f>
        <v>1</v>
      </c>
      <c r="P380" s="1">
        <f>+(Tabla__192.168.1.8_POSEIDONSQL_APPFVT_01_tblFillRateFechas[[#This Row],[Cant_Resultante]]/Tabla__192.168.1.8_POSEIDONSQL_APPFVT_01_tblFillRateFechas[[#This Row],[cant_order]])*100</f>
        <v>100</v>
      </c>
      <c r="Q3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0" s="1">
        <f>+IF(Tabla__192.168.1.8_POSEIDONSQL_APPFVT_01_tblFillRateFechas[[#This Row],[cant_order]]&gt;0,1,0)</f>
        <v>1</v>
      </c>
      <c r="V380" s="1">
        <f>+IF(Tabla__192.168.1.8_POSEIDONSQL_APPFVT_01_tblFillRateFechas[[#This Row],[Resultado]]=1,1,0)</f>
        <v>1</v>
      </c>
      <c r="W380" s="1" t="str">
        <f>+Tabla__192.168.1.8_POSEIDONSQL_APPFVT_01_tblFillRateFechas[[#This Row],[con_ocnumero]]&amp;Tabla__192.168.1.8_POSEIDONSQL_APPFVT_01_tblFillRateFechas[[#This Row],[con_codigounico]]</f>
        <v>9633748-</v>
      </c>
      <c r="X3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1" spans="1:24" x14ac:dyDescent="0.25">
      <c r="A381">
        <v>4</v>
      </c>
      <c r="B381" t="s">
        <v>56</v>
      </c>
      <c r="C381">
        <v>9634054</v>
      </c>
      <c r="D381" t="s">
        <v>1965</v>
      </c>
      <c r="E381" t="s">
        <v>1963</v>
      </c>
      <c r="F381" t="s">
        <v>1965</v>
      </c>
      <c r="G381">
        <v>1</v>
      </c>
      <c r="H381">
        <v>1</v>
      </c>
      <c r="I381" t="s">
        <v>1962</v>
      </c>
      <c r="J381">
        <v>0</v>
      </c>
      <c r="K381" t="s">
        <v>49</v>
      </c>
      <c r="L381" s="1">
        <f>+Tabla__192.168.1.8_POSEIDONSQL_APPFVT_01_tblFillRateFechas[[#This Row],[emb_cantidad]]-Tabla__192.168.1.8_POSEIDONSQL_APPFVT_01_tblFillRateFechas[[#This Row],[dev_cantidad]]</f>
        <v>1</v>
      </c>
      <c r="M381" s="1">
        <f>+IF(Tabla__192.168.1.8_POSEIDONSQL_APPFVT_01_tblFillRateFechas[[#This Row],[Cant_Resultante]]=Tabla__192.168.1.8_POSEIDONSQL_APPFVT_01_tblFillRateFechas[[#This Row],[cant_order]],1,0)</f>
        <v>1</v>
      </c>
      <c r="N3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1" s="1">
        <f>+IF(AND(Tabla__192.168.1.8_POSEIDONSQL_APPFVT_01_tblFillRateFechas[[#This Row],[Valida Cant]]=1,Tabla__192.168.1.8_POSEIDONSQL_APPFVT_01_tblFillRateFechas[[#This Row],[Valida Fec]]=1),1,0)</f>
        <v>1</v>
      </c>
      <c r="P381" s="1">
        <f>+(Tabla__192.168.1.8_POSEIDONSQL_APPFVT_01_tblFillRateFechas[[#This Row],[Cant_Resultante]]/Tabla__192.168.1.8_POSEIDONSQL_APPFVT_01_tblFillRateFechas[[#This Row],[cant_order]])*100</f>
        <v>100</v>
      </c>
      <c r="Q3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1" s="1">
        <f>+IF(Tabla__192.168.1.8_POSEIDONSQL_APPFVT_01_tblFillRateFechas[[#This Row],[cant_order]]&gt;0,1,0)</f>
        <v>1</v>
      </c>
      <c r="V381" s="1">
        <f>+IF(Tabla__192.168.1.8_POSEIDONSQL_APPFVT_01_tblFillRateFechas[[#This Row],[Resultado]]=1,1,0)</f>
        <v>1</v>
      </c>
      <c r="W381" s="1" t="str">
        <f>+Tabla__192.168.1.8_POSEIDONSQL_APPFVT_01_tblFillRateFechas[[#This Row],[con_ocnumero]]&amp;Tabla__192.168.1.8_POSEIDONSQL_APPFVT_01_tblFillRateFechas[[#This Row],[con_codigounico]]</f>
        <v>9634054-</v>
      </c>
      <c r="X3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2" spans="1:24" x14ac:dyDescent="0.25">
      <c r="A382">
        <v>4</v>
      </c>
      <c r="B382" t="s">
        <v>56</v>
      </c>
      <c r="C382">
        <v>9634158</v>
      </c>
      <c r="D382" t="s">
        <v>1965</v>
      </c>
      <c r="E382" t="s">
        <v>1969</v>
      </c>
      <c r="F382" t="s">
        <v>1965</v>
      </c>
      <c r="G382">
        <v>1</v>
      </c>
      <c r="H382">
        <v>1</v>
      </c>
      <c r="I382" t="s">
        <v>1962</v>
      </c>
      <c r="J382">
        <v>0</v>
      </c>
      <c r="K382" t="s">
        <v>49</v>
      </c>
      <c r="L382" s="1">
        <f>+Tabla__192.168.1.8_POSEIDONSQL_APPFVT_01_tblFillRateFechas[[#This Row],[emb_cantidad]]-Tabla__192.168.1.8_POSEIDONSQL_APPFVT_01_tblFillRateFechas[[#This Row],[dev_cantidad]]</f>
        <v>1</v>
      </c>
      <c r="M382" s="1">
        <f>+IF(Tabla__192.168.1.8_POSEIDONSQL_APPFVT_01_tblFillRateFechas[[#This Row],[Cant_Resultante]]=Tabla__192.168.1.8_POSEIDONSQL_APPFVT_01_tblFillRateFechas[[#This Row],[cant_order]],1,0)</f>
        <v>1</v>
      </c>
      <c r="N3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2" s="1">
        <f>+IF(AND(Tabla__192.168.1.8_POSEIDONSQL_APPFVT_01_tblFillRateFechas[[#This Row],[Valida Cant]]=1,Tabla__192.168.1.8_POSEIDONSQL_APPFVT_01_tblFillRateFechas[[#This Row],[Valida Fec]]=1),1,0)</f>
        <v>1</v>
      </c>
      <c r="P382" s="1">
        <f>+(Tabla__192.168.1.8_POSEIDONSQL_APPFVT_01_tblFillRateFechas[[#This Row],[Cant_Resultante]]/Tabla__192.168.1.8_POSEIDONSQL_APPFVT_01_tblFillRateFechas[[#This Row],[cant_order]])*100</f>
        <v>100</v>
      </c>
      <c r="Q3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2" s="1">
        <f>+IF(Tabla__192.168.1.8_POSEIDONSQL_APPFVT_01_tblFillRateFechas[[#This Row],[cant_order]]&gt;0,1,0)</f>
        <v>1</v>
      </c>
      <c r="V382" s="1">
        <f>+IF(Tabla__192.168.1.8_POSEIDONSQL_APPFVT_01_tblFillRateFechas[[#This Row],[Resultado]]=1,1,0)</f>
        <v>1</v>
      </c>
      <c r="W382" s="1" t="str">
        <f>+Tabla__192.168.1.8_POSEIDONSQL_APPFVT_01_tblFillRateFechas[[#This Row],[con_ocnumero]]&amp;Tabla__192.168.1.8_POSEIDONSQL_APPFVT_01_tblFillRateFechas[[#This Row],[con_codigounico]]</f>
        <v>9634158-</v>
      </c>
      <c r="X3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3" spans="1:24" x14ac:dyDescent="0.25">
      <c r="A383">
        <v>4</v>
      </c>
      <c r="B383" t="s">
        <v>56</v>
      </c>
      <c r="C383">
        <v>9634514</v>
      </c>
      <c r="D383" t="s">
        <v>1965</v>
      </c>
      <c r="E383" t="s">
        <v>1963</v>
      </c>
      <c r="F383" t="s">
        <v>1965</v>
      </c>
      <c r="G383">
        <v>1</v>
      </c>
      <c r="H383">
        <v>1</v>
      </c>
      <c r="I383" t="s">
        <v>1962</v>
      </c>
      <c r="J383">
        <v>0</v>
      </c>
      <c r="K383" t="s">
        <v>49</v>
      </c>
      <c r="L383" s="1">
        <f>+Tabla__192.168.1.8_POSEIDONSQL_APPFVT_01_tblFillRateFechas[[#This Row],[emb_cantidad]]-Tabla__192.168.1.8_POSEIDONSQL_APPFVT_01_tblFillRateFechas[[#This Row],[dev_cantidad]]</f>
        <v>1</v>
      </c>
      <c r="M383" s="1">
        <f>+IF(Tabla__192.168.1.8_POSEIDONSQL_APPFVT_01_tblFillRateFechas[[#This Row],[Cant_Resultante]]=Tabla__192.168.1.8_POSEIDONSQL_APPFVT_01_tblFillRateFechas[[#This Row],[cant_order]],1,0)</f>
        <v>1</v>
      </c>
      <c r="N3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3" s="1">
        <f>+IF(AND(Tabla__192.168.1.8_POSEIDONSQL_APPFVT_01_tblFillRateFechas[[#This Row],[Valida Cant]]=1,Tabla__192.168.1.8_POSEIDONSQL_APPFVT_01_tblFillRateFechas[[#This Row],[Valida Fec]]=1),1,0)</f>
        <v>1</v>
      </c>
      <c r="P383" s="1">
        <f>+(Tabla__192.168.1.8_POSEIDONSQL_APPFVT_01_tblFillRateFechas[[#This Row],[Cant_Resultante]]/Tabla__192.168.1.8_POSEIDONSQL_APPFVT_01_tblFillRateFechas[[#This Row],[cant_order]])*100</f>
        <v>100</v>
      </c>
      <c r="Q3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3" s="1">
        <f>+IF(Tabla__192.168.1.8_POSEIDONSQL_APPFVT_01_tblFillRateFechas[[#This Row],[cant_order]]&gt;0,1,0)</f>
        <v>1</v>
      </c>
      <c r="V383" s="1">
        <f>+IF(Tabla__192.168.1.8_POSEIDONSQL_APPFVT_01_tblFillRateFechas[[#This Row],[Resultado]]=1,1,0)</f>
        <v>1</v>
      </c>
      <c r="W383" s="1" t="str">
        <f>+Tabla__192.168.1.8_POSEIDONSQL_APPFVT_01_tblFillRateFechas[[#This Row],[con_ocnumero]]&amp;Tabla__192.168.1.8_POSEIDONSQL_APPFVT_01_tblFillRateFechas[[#This Row],[con_codigounico]]</f>
        <v>9634514-</v>
      </c>
      <c r="X3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4" spans="1:24" x14ac:dyDescent="0.25">
      <c r="A384">
        <v>4</v>
      </c>
      <c r="B384" t="s">
        <v>56</v>
      </c>
      <c r="C384">
        <v>9634774</v>
      </c>
      <c r="D384" t="s">
        <v>1965</v>
      </c>
      <c r="E384" t="s">
        <v>160</v>
      </c>
      <c r="F384" t="s">
        <v>1965</v>
      </c>
      <c r="G384">
        <v>1</v>
      </c>
      <c r="H384">
        <v>1</v>
      </c>
      <c r="I384" t="s">
        <v>1962</v>
      </c>
      <c r="J384">
        <v>0</v>
      </c>
      <c r="K384" t="s">
        <v>49</v>
      </c>
      <c r="L384" s="1">
        <f>+Tabla__192.168.1.8_POSEIDONSQL_APPFVT_01_tblFillRateFechas[[#This Row],[emb_cantidad]]-Tabla__192.168.1.8_POSEIDONSQL_APPFVT_01_tblFillRateFechas[[#This Row],[dev_cantidad]]</f>
        <v>1</v>
      </c>
      <c r="M384" s="1">
        <f>+IF(Tabla__192.168.1.8_POSEIDONSQL_APPFVT_01_tblFillRateFechas[[#This Row],[Cant_Resultante]]=Tabla__192.168.1.8_POSEIDONSQL_APPFVT_01_tblFillRateFechas[[#This Row],[cant_order]],1,0)</f>
        <v>1</v>
      </c>
      <c r="N3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4" s="1">
        <f>+IF(AND(Tabla__192.168.1.8_POSEIDONSQL_APPFVT_01_tblFillRateFechas[[#This Row],[Valida Cant]]=1,Tabla__192.168.1.8_POSEIDONSQL_APPFVT_01_tblFillRateFechas[[#This Row],[Valida Fec]]=1),1,0)</f>
        <v>1</v>
      </c>
      <c r="P384" s="1">
        <f>+(Tabla__192.168.1.8_POSEIDONSQL_APPFVT_01_tblFillRateFechas[[#This Row],[Cant_Resultante]]/Tabla__192.168.1.8_POSEIDONSQL_APPFVT_01_tblFillRateFechas[[#This Row],[cant_order]])*100</f>
        <v>100</v>
      </c>
      <c r="Q3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4" s="1">
        <f>+IF(Tabla__192.168.1.8_POSEIDONSQL_APPFVT_01_tblFillRateFechas[[#This Row],[cant_order]]&gt;0,1,0)</f>
        <v>1</v>
      </c>
      <c r="V384" s="1">
        <f>+IF(Tabla__192.168.1.8_POSEIDONSQL_APPFVT_01_tblFillRateFechas[[#This Row],[Resultado]]=1,1,0)</f>
        <v>1</v>
      </c>
      <c r="W384" s="1" t="str">
        <f>+Tabla__192.168.1.8_POSEIDONSQL_APPFVT_01_tblFillRateFechas[[#This Row],[con_ocnumero]]&amp;Tabla__192.168.1.8_POSEIDONSQL_APPFVT_01_tblFillRateFechas[[#This Row],[con_codigounico]]</f>
        <v>9634774-</v>
      </c>
      <c r="X3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5" spans="1:24" x14ac:dyDescent="0.25">
      <c r="A385">
        <v>4</v>
      </c>
      <c r="B385" t="s">
        <v>56</v>
      </c>
      <c r="C385">
        <v>9635303</v>
      </c>
      <c r="D385" t="s">
        <v>1965</v>
      </c>
      <c r="E385" t="s">
        <v>160</v>
      </c>
      <c r="F385" t="s">
        <v>1965</v>
      </c>
      <c r="G385">
        <v>1</v>
      </c>
      <c r="H385">
        <v>0</v>
      </c>
      <c r="I385" t="s">
        <v>12</v>
      </c>
      <c r="J385">
        <v>0</v>
      </c>
      <c r="K385" t="s">
        <v>49</v>
      </c>
      <c r="L385" s="1">
        <f>+Tabla__192.168.1.8_POSEIDONSQL_APPFVT_01_tblFillRateFechas[[#This Row],[emb_cantidad]]-Tabla__192.168.1.8_POSEIDONSQL_APPFVT_01_tblFillRateFechas[[#This Row],[dev_cantidad]]</f>
        <v>0</v>
      </c>
      <c r="M385" s="1">
        <f>+IF(Tabla__192.168.1.8_POSEIDONSQL_APPFVT_01_tblFillRateFechas[[#This Row],[Cant_Resultante]]=Tabla__192.168.1.8_POSEIDONSQL_APPFVT_01_tblFillRateFechas[[#This Row],[cant_order]],1,0)</f>
        <v>0</v>
      </c>
      <c r="N3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385" s="1">
        <f>+IF(AND(Tabla__192.168.1.8_POSEIDONSQL_APPFVT_01_tblFillRateFechas[[#This Row],[Valida Cant]]=1,Tabla__192.168.1.8_POSEIDONSQL_APPFVT_01_tblFillRateFechas[[#This Row],[Valida Fec]]=1),1,0)</f>
        <v>0</v>
      </c>
      <c r="P385" s="1">
        <f>+(Tabla__192.168.1.8_POSEIDONSQL_APPFVT_01_tblFillRateFechas[[#This Row],[Cant_Resultante]]/Tabla__192.168.1.8_POSEIDONSQL_APPFVT_01_tblFillRateFechas[[#This Row],[cant_order]])*100</f>
        <v>0</v>
      </c>
      <c r="Q3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3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385" s="1">
        <f>+IF(Tabla__192.168.1.8_POSEIDONSQL_APPFVT_01_tblFillRateFechas[[#This Row],[cant_order]]&gt;0,1,0)</f>
        <v>1</v>
      </c>
      <c r="V385" s="1">
        <f>+IF(Tabla__192.168.1.8_POSEIDONSQL_APPFVT_01_tblFillRateFechas[[#This Row],[Resultado]]=1,1,0)</f>
        <v>0</v>
      </c>
      <c r="W385" s="1" t="str">
        <f>+Tabla__192.168.1.8_POSEIDONSQL_APPFVT_01_tblFillRateFechas[[#This Row],[con_ocnumero]]&amp;Tabla__192.168.1.8_POSEIDONSQL_APPFVT_01_tblFillRateFechas[[#This Row],[con_codigounico]]</f>
        <v>9635303-</v>
      </c>
      <c r="X3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386" spans="1:24" x14ac:dyDescent="0.25">
      <c r="A386">
        <v>4</v>
      </c>
      <c r="B386" t="s">
        <v>56</v>
      </c>
      <c r="C386">
        <v>9635714</v>
      </c>
      <c r="D386" t="s">
        <v>1965</v>
      </c>
      <c r="E386" t="s">
        <v>160</v>
      </c>
      <c r="F386" t="s">
        <v>1980</v>
      </c>
      <c r="G386">
        <v>1</v>
      </c>
      <c r="H386">
        <v>1</v>
      </c>
      <c r="I386" t="s">
        <v>160</v>
      </c>
      <c r="J386">
        <v>0</v>
      </c>
      <c r="K386" t="s">
        <v>49</v>
      </c>
      <c r="L386" s="1">
        <f>+Tabla__192.168.1.8_POSEIDONSQL_APPFVT_01_tblFillRateFechas[[#This Row],[emb_cantidad]]-Tabla__192.168.1.8_POSEIDONSQL_APPFVT_01_tblFillRateFechas[[#This Row],[dev_cantidad]]</f>
        <v>1</v>
      </c>
      <c r="M386" s="1">
        <f>+IF(Tabla__192.168.1.8_POSEIDONSQL_APPFVT_01_tblFillRateFechas[[#This Row],[Cant_Resultante]]=Tabla__192.168.1.8_POSEIDONSQL_APPFVT_01_tblFillRateFechas[[#This Row],[cant_order]],1,0)</f>
        <v>1</v>
      </c>
      <c r="N3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6" s="1">
        <f>+IF(AND(Tabla__192.168.1.8_POSEIDONSQL_APPFVT_01_tblFillRateFechas[[#This Row],[Valida Cant]]=1,Tabla__192.168.1.8_POSEIDONSQL_APPFVT_01_tblFillRateFechas[[#This Row],[Valida Fec]]=1),1,0)</f>
        <v>1</v>
      </c>
      <c r="P386" s="1">
        <f>+(Tabla__192.168.1.8_POSEIDONSQL_APPFVT_01_tblFillRateFechas[[#This Row],[Cant_Resultante]]/Tabla__192.168.1.8_POSEIDONSQL_APPFVT_01_tblFillRateFechas[[#This Row],[cant_order]])*100</f>
        <v>100</v>
      </c>
      <c r="Q3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6" s="1">
        <f>+IF(Tabla__192.168.1.8_POSEIDONSQL_APPFVT_01_tblFillRateFechas[[#This Row],[cant_order]]&gt;0,1,0)</f>
        <v>1</v>
      </c>
      <c r="V386" s="1">
        <f>+IF(Tabla__192.168.1.8_POSEIDONSQL_APPFVT_01_tblFillRateFechas[[#This Row],[Resultado]]=1,1,0)</f>
        <v>1</v>
      </c>
      <c r="W386" s="1" t="str">
        <f>+Tabla__192.168.1.8_POSEIDONSQL_APPFVT_01_tblFillRateFechas[[#This Row],[con_ocnumero]]&amp;Tabla__192.168.1.8_POSEIDONSQL_APPFVT_01_tblFillRateFechas[[#This Row],[con_codigounico]]</f>
        <v>9635714-</v>
      </c>
      <c r="X3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7" spans="1:24" x14ac:dyDescent="0.25">
      <c r="A387">
        <v>4</v>
      </c>
      <c r="B387" t="s">
        <v>56</v>
      </c>
      <c r="C387">
        <v>9635976</v>
      </c>
      <c r="D387" t="s">
        <v>1965</v>
      </c>
      <c r="E387" t="s">
        <v>1969</v>
      </c>
      <c r="F387" t="s">
        <v>1980</v>
      </c>
      <c r="G387">
        <v>1</v>
      </c>
      <c r="H387">
        <v>1</v>
      </c>
      <c r="I387" t="s">
        <v>1969</v>
      </c>
      <c r="J387">
        <v>0</v>
      </c>
      <c r="K387" t="s">
        <v>49</v>
      </c>
      <c r="L387" s="1">
        <f>+Tabla__192.168.1.8_POSEIDONSQL_APPFVT_01_tblFillRateFechas[[#This Row],[emb_cantidad]]-Tabla__192.168.1.8_POSEIDONSQL_APPFVT_01_tblFillRateFechas[[#This Row],[dev_cantidad]]</f>
        <v>1</v>
      </c>
      <c r="M387" s="1">
        <f>+IF(Tabla__192.168.1.8_POSEIDONSQL_APPFVT_01_tblFillRateFechas[[#This Row],[Cant_Resultante]]=Tabla__192.168.1.8_POSEIDONSQL_APPFVT_01_tblFillRateFechas[[#This Row],[cant_order]],1,0)</f>
        <v>1</v>
      </c>
      <c r="N3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7" s="1">
        <f>+IF(AND(Tabla__192.168.1.8_POSEIDONSQL_APPFVT_01_tblFillRateFechas[[#This Row],[Valida Cant]]=1,Tabla__192.168.1.8_POSEIDONSQL_APPFVT_01_tblFillRateFechas[[#This Row],[Valida Fec]]=1),1,0)</f>
        <v>1</v>
      </c>
      <c r="P387" s="1">
        <f>+(Tabla__192.168.1.8_POSEIDONSQL_APPFVT_01_tblFillRateFechas[[#This Row],[Cant_Resultante]]/Tabla__192.168.1.8_POSEIDONSQL_APPFVT_01_tblFillRateFechas[[#This Row],[cant_order]])*100</f>
        <v>100</v>
      </c>
      <c r="Q3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7" s="1">
        <f>+IF(Tabla__192.168.1.8_POSEIDONSQL_APPFVT_01_tblFillRateFechas[[#This Row],[cant_order]]&gt;0,1,0)</f>
        <v>1</v>
      </c>
      <c r="V387" s="1">
        <f>+IF(Tabla__192.168.1.8_POSEIDONSQL_APPFVT_01_tblFillRateFechas[[#This Row],[Resultado]]=1,1,0)</f>
        <v>1</v>
      </c>
      <c r="W387" s="1" t="str">
        <f>+Tabla__192.168.1.8_POSEIDONSQL_APPFVT_01_tblFillRateFechas[[#This Row],[con_ocnumero]]&amp;Tabla__192.168.1.8_POSEIDONSQL_APPFVT_01_tblFillRateFechas[[#This Row],[con_codigounico]]</f>
        <v>9635976-</v>
      </c>
      <c r="X3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8" spans="1:24" x14ac:dyDescent="0.25">
      <c r="A388">
        <v>4</v>
      </c>
      <c r="B388" t="s">
        <v>56</v>
      </c>
      <c r="C388">
        <v>9636363</v>
      </c>
      <c r="D388" t="s">
        <v>1965</v>
      </c>
      <c r="E388" t="s">
        <v>160</v>
      </c>
      <c r="F388" t="s">
        <v>1980</v>
      </c>
      <c r="G388">
        <v>1</v>
      </c>
      <c r="H388">
        <v>1</v>
      </c>
      <c r="I388" t="s">
        <v>160</v>
      </c>
      <c r="J388">
        <v>0</v>
      </c>
      <c r="K388" t="s">
        <v>49</v>
      </c>
      <c r="L388" s="1">
        <f>+Tabla__192.168.1.8_POSEIDONSQL_APPFVT_01_tblFillRateFechas[[#This Row],[emb_cantidad]]-Tabla__192.168.1.8_POSEIDONSQL_APPFVT_01_tblFillRateFechas[[#This Row],[dev_cantidad]]</f>
        <v>1</v>
      </c>
      <c r="M388" s="1">
        <f>+IF(Tabla__192.168.1.8_POSEIDONSQL_APPFVT_01_tblFillRateFechas[[#This Row],[Cant_Resultante]]=Tabla__192.168.1.8_POSEIDONSQL_APPFVT_01_tblFillRateFechas[[#This Row],[cant_order]],1,0)</f>
        <v>1</v>
      </c>
      <c r="N3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8" s="1">
        <f>+IF(AND(Tabla__192.168.1.8_POSEIDONSQL_APPFVT_01_tblFillRateFechas[[#This Row],[Valida Cant]]=1,Tabla__192.168.1.8_POSEIDONSQL_APPFVT_01_tblFillRateFechas[[#This Row],[Valida Fec]]=1),1,0)</f>
        <v>1</v>
      </c>
      <c r="P388" s="1">
        <f>+(Tabla__192.168.1.8_POSEIDONSQL_APPFVT_01_tblFillRateFechas[[#This Row],[Cant_Resultante]]/Tabla__192.168.1.8_POSEIDONSQL_APPFVT_01_tblFillRateFechas[[#This Row],[cant_order]])*100</f>
        <v>100</v>
      </c>
      <c r="Q3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8" s="1">
        <f>+IF(Tabla__192.168.1.8_POSEIDONSQL_APPFVT_01_tblFillRateFechas[[#This Row],[cant_order]]&gt;0,1,0)</f>
        <v>1</v>
      </c>
      <c r="V388" s="1">
        <f>+IF(Tabla__192.168.1.8_POSEIDONSQL_APPFVT_01_tblFillRateFechas[[#This Row],[Resultado]]=1,1,0)</f>
        <v>1</v>
      </c>
      <c r="W388" s="1" t="str">
        <f>+Tabla__192.168.1.8_POSEIDONSQL_APPFVT_01_tblFillRateFechas[[#This Row],[con_ocnumero]]&amp;Tabla__192.168.1.8_POSEIDONSQL_APPFVT_01_tblFillRateFechas[[#This Row],[con_codigounico]]</f>
        <v>9636363-</v>
      </c>
      <c r="X3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89" spans="1:24" x14ac:dyDescent="0.25">
      <c r="A389">
        <v>4</v>
      </c>
      <c r="B389" t="s">
        <v>56</v>
      </c>
      <c r="C389">
        <v>9636387</v>
      </c>
      <c r="D389" t="s">
        <v>1965</v>
      </c>
      <c r="E389" t="s">
        <v>160</v>
      </c>
      <c r="F389" t="s">
        <v>1980</v>
      </c>
      <c r="G389">
        <v>1</v>
      </c>
      <c r="H389">
        <v>1</v>
      </c>
      <c r="I389" t="s">
        <v>160</v>
      </c>
      <c r="J389">
        <v>0</v>
      </c>
      <c r="K389" t="s">
        <v>49</v>
      </c>
      <c r="L389" s="1">
        <f>+Tabla__192.168.1.8_POSEIDONSQL_APPFVT_01_tblFillRateFechas[[#This Row],[emb_cantidad]]-Tabla__192.168.1.8_POSEIDONSQL_APPFVT_01_tblFillRateFechas[[#This Row],[dev_cantidad]]</f>
        <v>1</v>
      </c>
      <c r="M389" s="1">
        <f>+IF(Tabla__192.168.1.8_POSEIDONSQL_APPFVT_01_tblFillRateFechas[[#This Row],[Cant_Resultante]]=Tabla__192.168.1.8_POSEIDONSQL_APPFVT_01_tblFillRateFechas[[#This Row],[cant_order]],1,0)</f>
        <v>1</v>
      </c>
      <c r="N3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89" s="1">
        <f>+IF(AND(Tabla__192.168.1.8_POSEIDONSQL_APPFVT_01_tblFillRateFechas[[#This Row],[Valida Cant]]=1,Tabla__192.168.1.8_POSEIDONSQL_APPFVT_01_tblFillRateFechas[[#This Row],[Valida Fec]]=1),1,0)</f>
        <v>1</v>
      </c>
      <c r="P389" s="1">
        <f>+(Tabla__192.168.1.8_POSEIDONSQL_APPFVT_01_tblFillRateFechas[[#This Row],[Cant_Resultante]]/Tabla__192.168.1.8_POSEIDONSQL_APPFVT_01_tblFillRateFechas[[#This Row],[cant_order]])*100</f>
        <v>100</v>
      </c>
      <c r="Q3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89" s="1">
        <f>+IF(Tabla__192.168.1.8_POSEIDONSQL_APPFVT_01_tblFillRateFechas[[#This Row],[cant_order]]&gt;0,1,0)</f>
        <v>1</v>
      </c>
      <c r="V389" s="1">
        <f>+IF(Tabla__192.168.1.8_POSEIDONSQL_APPFVT_01_tblFillRateFechas[[#This Row],[Resultado]]=1,1,0)</f>
        <v>1</v>
      </c>
      <c r="W389" s="1" t="str">
        <f>+Tabla__192.168.1.8_POSEIDONSQL_APPFVT_01_tblFillRateFechas[[#This Row],[con_ocnumero]]&amp;Tabla__192.168.1.8_POSEIDONSQL_APPFVT_01_tblFillRateFechas[[#This Row],[con_codigounico]]</f>
        <v>9636387-</v>
      </c>
      <c r="X3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0" spans="1:24" x14ac:dyDescent="0.25">
      <c r="A390">
        <v>4</v>
      </c>
      <c r="B390" t="s">
        <v>56</v>
      </c>
      <c r="C390">
        <v>9636412</v>
      </c>
      <c r="D390" t="s">
        <v>1965</v>
      </c>
      <c r="E390" t="s">
        <v>1969</v>
      </c>
      <c r="F390" t="s">
        <v>1980</v>
      </c>
      <c r="G390">
        <v>1</v>
      </c>
      <c r="H390">
        <v>1</v>
      </c>
      <c r="I390" t="s">
        <v>1969</v>
      </c>
      <c r="J390">
        <v>0</v>
      </c>
      <c r="K390" t="s">
        <v>49</v>
      </c>
      <c r="L390" s="1">
        <f>+Tabla__192.168.1.8_POSEIDONSQL_APPFVT_01_tblFillRateFechas[[#This Row],[emb_cantidad]]-Tabla__192.168.1.8_POSEIDONSQL_APPFVT_01_tblFillRateFechas[[#This Row],[dev_cantidad]]</f>
        <v>1</v>
      </c>
      <c r="M390" s="1">
        <f>+IF(Tabla__192.168.1.8_POSEIDONSQL_APPFVT_01_tblFillRateFechas[[#This Row],[Cant_Resultante]]=Tabla__192.168.1.8_POSEIDONSQL_APPFVT_01_tblFillRateFechas[[#This Row],[cant_order]],1,0)</f>
        <v>1</v>
      </c>
      <c r="N3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0" s="1">
        <f>+IF(AND(Tabla__192.168.1.8_POSEIDONSQL_APPFVT_01_tblFillRateFechas[[#This Row],[Valida Cant]]=1,Tabla__192.168.1.8_POSEIDONSQL_APPFVT_01_tblFillRateFechas[[#This Row],[Valida Fec]]=1),1,0)</f>
        <v>1</v>
      </c>
      <c r="P390" s="1">
        <f>+(Tabla__192.168.1.8_POSEIDONSQL_APPFVT_01_tblFillRateFechas[[#This Row],[Cant_Resultante]]/Tabla__192.168.1.8_POSEIDONSQL_APPFVT_01_tblFillRateFechas[[#This Row],[cant_order]])*100</f>
        <v>100</v>
      </c>
      <c r="Q3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0" s="1">
        <f>+IF(Tabla__192.168.1.8_POSEIDONSQL_APPFVT_01_tblFillRateFechas[[#This Row],[cant_order]]&gt;0,1,0)</f>
        <v>1</v>
      </c>
      <c r="V390" s="1">
        <f>+IF(Tabla__192.168.1.8_POSEIDONSQL_APPFVT_01_tblFillRateFechas[[#This Row],[Resultado]]=1,1,0)</f>
        <v>1</v>
      </c>
      <c r="W390" s="1" t="str">
        <f>+Tabla__192.168.1.8_POSEIDONSQL_APPFVT_01_tblFillRateFechas[[#This Row],[con_ocnumero]]&amp;Tabla__192.168.1.8_POSEIDONSQL_APPFVT_01_tblFillRateFechas[[#This Row],[con_codigounico]]</f>
        <v>9636412-</v>
      </c>
      <c r="X3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1" spans="1:24" x14ac:dyDescent="0.25">
      <c r="A391">
        <v>4</v>
      </c>
      <c r="B391" t="s">
        <v>56</v>
      </c>
      <c r="C391">
        <v>9636573</v>
      </c>
      <c r="D391" t="s">
        <v>1980</v>
      </c>
      <c r="E391" t="s">
        <v>160</v>
      </c>
      <c r="F391" t="s">
        <v>1980</v>
      </c>
      <c r="G391">
        <v>1</v>
      </c>
      <c r="H391">
        <v>1</v>
      </c>
      <c r="I391" t="s">
        <v>160</v>
      </c>
      <c r="J391">
        <v>0</v>
      </c>
      <c r="K391" t="s">
        <v>49</v>
      </c>
      <c r="L391" s="1">
        <f>+Tabla__192.168.1.8_POSEIDONSQL_APPFVT_01_tblFillRateFechas[[#This Row],[emb_cantidad]]-Tabla__192.168.1.8_POSEIDONSQL_APPFVT_01_tblFillRateFechas[[#This Row],[dev_cantidad]]</f>
        <v>1</v>
      </c>
      <c r="M391" s="1">
        <f>+IF(Tabla__192.168.1.8_POSEIDONSQL_APPFVT_01_tblFillRateFechas[[#This Row],[Cant_Resultante]]=Tabla__192.168.1.8_POSEIDONSQL_APPFVT_01_tblFillRateFechas[[#This Row],[cant_order]],1,0)</f>
        <v>1</v>
      </c>
      <c r="N3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1" s="1">
        <f>+IF(AND(Tabla__192.168.1.8_POSEIDONSQL_APPFVT_01_tblFillRateFechas[[#This Row],[Valida Cant]]=1,Tabla__192.168.1.8_POSEIDONSQL_APPFVT_01_tblFillRateFechas[[#This Row],[Valida Fec]]=1),1,0)</f>
        <v>1</v>
      </c>
      <c r="P391" s="1">
        <f>+(Tabla__192.168.1.8_POSEIDONSQL_APPFVT_01_tblFillRateFechas[[#This Row],[Cant_Resultante]]/Tabla__192.168.1.8_POSEIDONSQL_APPFVT_01_tblFillRateFechas[[#This Row],[cant_order]])*100</f>
        <v>100</v>
      </c>
      <c r="Q3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1" s="1">
        <f>+IF(Tabla__192.168.1.8_POSEIDONSQL_APPFVT_01_tblFillRateFechas[[#This Row],[cant_order]]&gt;0,1,0)</f>
        <v>1</v>
      </c>
      <c r="V391" s="1">
        <f>+IF(Tabla__192.168.1.8_POSEIDONSQL_APPFVT_01_tblFillRateFechas[[#This Row],[Resultado]]=1,1,0)</f>
        <v>1</v>
      </c>
      <c r="W391" s="1" t="str">
        <f>+Tabla__192.168.1.8_POSEIDONSQL_APPFVT_01_tblFillRateFechas[[#This Row],[con_ocnumero]]&amp;Tabla__192.168.1.8_POSEIDONSQL_APPFVT_01_tblFillRateFechas[[#This Row],[con_codigounico]]</f>
        <v>9636573-</v>
      </c>
      <c r="X3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2" spans="1:24" x14ac:dyDescent="0.25">
      <c r="A392">
        <v>4</v>
      </c>
      <c r="B392" t="s">
        <v>56</v>
      </c>
      <c r="C392">
        <v>9636698</v>
      </c>
      <c r="D392" t="s">
        <v>1980</v>
      </c>
      <c r="E392" t="s">
        <v>160</v>
      </c>
      <c r="F392" t="s">
        <v>1980</v>
      </c>
      <c r="G392">
        <v>1</v>
      </c>
      <c r="H392">
        <v>1</v>
      </c>
      <c r="I392" t="s">
        <v>160</v>
      </c>
      <c r="J392">
        <v>0</v>
      </c>
      <c r="K392" t="s">
        <v>49</v>
      </c>
      <c r="L392" s="1">
        <f>+Tabla__192.168.1.8_POSEIDONSQL_APPFVT_01_tblFillRateFechas[[#This Row],[emb_cantidad]]-Tabla__192.168.1.8_POSEIDONSQL_APPFVT_01_tblFillRateFechas[[#This Row],[dev_cantidad]]</f>
        <v>1</v>
      </c>
      <c r="M392" s="1">
        <f>+IF(Tabla__192.168.1.8_POSEIDONSQL_APPFVT_01_tblFillRateFechas[[#This Row],[Cant_Resultante]]=Tabla__192.168.1.8_POSEIDONSQL_APPFVT_01_tblFillRateFechas[[#This Row],[cant_order]],1,0)</f>
        <v>1</v>
      </c>
      <c r="N3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2" s="1">
        <f>+IF(AND(Tabla__192.168.1.8_POSEIDONSQL_APPFVT_01_tblFillRateFechas[[#This Row],[Valida Cant]]=1,Tabla__192.168.1.8_POSEIDONSQL_APPFVT_01_tblFillRateFechas[[#This Row],[Valida Fec]]=1),1,0)</f>
        <v>1</v>
      </c>
      <c r="P392" s="1">
        <f>+(Tabla__192.168.1.8_POSEIDONSQL_APPFVT_01_tblFillRateFechas[[#This Row],[Cant_Resultante]]/Tabla__192.168.1.8_POSEIDONSQL_APPFVT_01_tblFillRateFechas[[#This Row],[cant_order]])*100</f>
        <v>100</v>
      </c>
      <c r="Q3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2" s="1">
        <f>+IF(Tabla__192.168.1.8_POSEIDONSQL_APPFVT_01_tblFillRateFechas[[#This Row],[cant_order]]&gt;0,1,0)</f>
        <v>1</v>
      </c>
      <c r="V392" s="1">
        <f>+IF(Tabla__192.168.1.8_POSEIDONSQL_APPFVT_01_tblFillRateFechas[[#This Row],[Resultado]]=1,1,0)</f>
        <v>1</v>
      </c>
      <c r="W392" s="1" t="str">
        <f>+Tabla__192.168.1.8_POSEIDONSQL_APPFVT_01_tblFillRateFechas[[#This Row],[con_ocnumero]]&amp;Tabla__192.168.1.8_POSEIDONSQL_APPFVT_01_tblFillRateFechas[[#This Row],[con_codigounico]]</f>
        <v>9636698-</v>
      </c>
      <c r="X3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3" spans="1:24" x14ac:dyDescent="0.25">
      <c r="A393">
        <v>4</v>
      </c>
      <c r="B393" t="s">
        <v>56</v>
      </c>
      <c r="C393">
        <v>9637568</v>
      </c>
      <c r="D393" t="s">
        <v>1980</v>
      </c>
      <c r="E393" t="s">
        <v>160</v>
      </c>
      <c r="F393" t="s">
        <v>1977</v>
      </c>
      <c r="G393">
        <v>1</v>
      </c>
      <c r="H393">
        <v>0</v>
      </c>
      <c r="I393" t="s">
        <v>12</v>
      </c>
      <c r="J393">
        <v>0</v>
      </c>
      <c r="K393" t="s">
        <v>49</v>
      </c>
      <c r="L393" s="1">
        <f>+Tabla__192.168.1.8_POSEIDONSQL_APPFVT_01_tblFillRateFechas[[#This Row],[emb_cantidad]]-Tabla__192.168.1.8_POSEIDONSQL_APPFVT_01_tblFillRateFechas[[#This Row],[dev_cantidad]]</f>
        <v>0</v>
      </c>
      <c r="M393" s="1">
        <f>+IF(Tabla__192.168.1.8_POSEIDONSQL_APPFVT_01_tblFillRateFechas[[#This Row],[Cant_Resultante]]=Tabla__192.168.1.8_POSEIDONSQL_APPFVT_01_tblFillRateFechas[[#This Row],[cant_order]],1,0)</f>
        <v>0</v>
      </c>
      <c r="N3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393" s="1">
        <f>+IF(AND(Tabla__192.168.1.8_POSEIDONSQL_APPFVT_01_tblFillRateFechas[[#This Row],[Valida Cant]]=1,Tabla__192.168.1.8_POSEIDONSQL_APPFVT_01_tblFillRateFechas[[#This Row],[Valida Fec]]=1),1,0)</f>
        <v>0</v>
      </c>
      <c r="P393" s="1">
        <f>+(Tabla__192.168.1.8_POSEIDONSQL_APPFVT_01_tblFillRateFechas[[#This Row],[Cant_Resultante]]/Tabla__192.168.1.8_POSEIDONSQL_APPFVT_01_tblFillRateFechas[[#This Row],[cant_order]])*100</f>
        <v>0</v>
      </c>
      <c r="Q3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3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3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393" s="1">
        <f>+IF(Tabla__192.168.1.8_POSEIDONSQL_APPFVT_01_tblFillRateFechas[[#This Row],[cant_order]]&gt;0,1,0)</f>
        <v>1</v>
      </c>
      <c r="V393" s="1">
        <f>+IF(Tabla__192.168.1.8_POSEIDONSQL_APPFVT_01_tblFillRateFechas[[#This Row],[Resultado]]=1,1,0)</f>
        <v>0</v>
      </c>
      <c r="W393" s="1" t="str">
        <f>+Tabla__192.168.1.8_POSEIDONSQL_APPFVT_01_tblFillRateFechas[[#This Row],[con_ocnumero]]&amp;Tabla__192.168.1.8_POSEIDONSQL_APPFVT_01_tblFillRateFechas[[#This Row],[con_codigounico]]</f>
        <v>9637568-</v>
      </c>
      <c r="X3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394" spans="1:24" x14ac:dyDescent="0.25">
      <c r="A394">
        <v>4</v>
      </c>
      <c r="B394" t="s">
        <v>56</v>
      </c>
      <c r="C394">
        <v>9637725</v>
      </c>
      <c r="D394" t="s">
        <v>1980</v>
      </c>
      <c r="E394" t="s">
        <v>160</v>
      </c>
      <c r="F394" t="s">
        <v>1977</v>
      </c>
      <c r="G394">
        <v>1</v>
      </c>
      <c r="H394">
        <v>1</v>
      </c>
      <c r="I394" t="s">
        <v>160</v>
      </c>
      <c r="J394">
        <v>0</v>
      </c>
      <c r="K394" t="s">
        <v>49</v>
      </c>
      <c r="L394" s="1">
        <f>+Tabla__192.168.1.8_POSEIDONSQL_APPFVT_01_tblFillRateFechas[[#This Row],[emb_cantidad]]-Tabla__192.168.1.8_POSEIDONSQL_APPFVT_01_tblFillRateFechas[[#This Row],[dev_cantidad]]</f>
        <v>1</v>
      </c>
      <c r="M394" s="1">
        <f>+IF(Tabla__192.168.1.8_POSEIDONSQL_APPFVT_01_tblFillRateFechas[[#This Row],[Cant_Resultante]]=Tabla__192.168.1.8_POSEIDONSQL_APPFVT_01_tblFillRateFechas[[#This Row],[cant_order]],1,0)</f>
        <v>1</v>
      </c>
      <c r="N3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4" s="1">
        <f>+IF(AND(Tabla__192.168.1.8_POSEIDONSQL_APPFVT_01_tblFillRateFechas[[#This Row],[Valida Cant]]=1,Tabla__192.168.1.8_POSEIDONSQL_APPFVT_01_tblFillRateFechas[[#This Row],[Valida Fec]]=1),1,0)</f>
        <v>1</v>
      </c>
      <c r="P394" s="1">
        <f>+(Tabla__192.168.1.8_POSEIDONSQL_APPFVT_01_tblFillRateFechas[[#This Row],[Cant_Resultante]]/Tabla__192.168.1.8_POSEIDONSQL_APPFVT_01_tblFillRateFechas[[#This Row],[cant_order]])*100</f>
        <v>100</v>
      </c>
      <c r="Q3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4" s="1">
        <f>+IF(Tabla__192.168.1.8_POSEIDONSQL_APPFVT_01_tblFillRateFechas[[#This Row],[cant_order]]&gt;0,1,0)</f>
        <v>1</v>
      </c>
      <c r="V394" s="1">
        <f>+IF(Tabla__192.168.1.8_POSEIDONSQL_APPFVT_01_tblFillRateFechas[[#This Row],[Resultado]]=1,1,0)</f>
        <v>1</v>
      </c>
      <c r="W394" s="1" t="str">
        <f>+Tabla__192.168.1.8_POSEIDONSQL_APPFVT_01_tblFillRateFechas[[#This Row],[con_ocnumero]]&amp;Tabla__192.168.1.8_POSEIDONSQL_APPFVT_01_tblFillRateFechas[[#This Row],[con_codigounico]]</f>
        <v>9637725-</v>
      </c>
      <c r="X3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5" spans="1:24" x14ac:dyDescent="0.25">
      <c r="A395">
        <v>4</v>
      </c>
      <c r="B395" t="s">
        <v>56</v>
      </c>
      <c r="C395">
        <v>9638095</v>
      </c>
      <c r="D395" t="s">
        <v>1980</v>
      </c>
      <c r="E395" t="s">
        <v>160</v>
      </c>
      <c r="F395" t="s">
        <v>1977</v>
      </c>
      <c r="G395">
        <v>1</v>
      </c>
      <c r="H395">
        <v>1</v>
      </c>
      <c r="I395" t="s">
        <v>160</v>
      </c>
      <c r="J395">
        <v>0</v>
      </c>
      <c r="K395" t="s">
        <v>49</v>
      </c>
      <c r="L395" s="1">
        <f>+Tabla__192.168.1.8_POSEIDONSQL_APPFVT_01_tblFillRateFechas[[#This Row],[emb_cantidad]]-Tabla__192.168.1.8_POSEIDONSQL_APPFVT_01_tblFillRateFechas[[#This Row],[dev_cantidad]]</f>
        <v>1</v>
      </c>
      <c r="M395" s="1">
        <f>+IF(Tabla__192.168.1.8_POSEIDONSQL_APPFVT_01_tblFillRateFechas[[#This Row],[Cant_Resultante]]=Tabla__192.168.1.8_POSEIDONSQL_APPFVT_01_tblFillRateFechas[[#This Row],[cant_order]],1,0)</f>
        <v>1</v>
      </c>
      <c r="N3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5" s="1">
        <f>+IF(AND(Tabla__192.168.1.8_POSEIDONSQL_APPFVT_01_tblFillRateFechas[[#This Row],[Valida Cant]]=1,Tabla__192.168.1.8_POSEIDONSQL_APPFVT_01_tblFillRateFechas[[#This Row],[Valida Fec]]=1),1,0)</f>
        <v>1</v>
      </c>
      <c r="P395" s="1">
        <f>+(Tabla__192.168.1.8_POSEIDONSQL_APPFVT_01_tblFillRateFechas[[#This Row],[Cant_Resultante]]/Tabla__192.168.1.8_POSEIDONSQL_APPFVT_01_tblFillRateFechas[[#This Row],[cant_order]])*100</f>
        <v>100</v>
      </c>
      <c r="Q3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5" s="1">
        <f>+IF(Tabla__192.168.1.8_POSEIDONSQL_APPFVT_01_tblFillRateFechas[[#This Row],[cant_order]]&gt;0,1,0)</f>
        <v>1</v>
      </c>
      <c r="V395" s="1">
        <f>+IF(Tabla__192.168.1.8_POSEIDONSQL_APPFVT_01_tblFillRateFechas[[#This Row],[Resultado]]=1,1,0)</f>
        <v>1</v>
      </c>
      <c r="W395" s="1" t="str">
        <f>+Tabla__192.168.1.8_POSEIDONSQL_APPFVT_01_tblFillRateFechas[[#This Row],[con_ocnumero]]&amp;Tabla__192.168.1.8_POSEIDONSQL_APPFVT_01_tblFillRateFechas[[#This Row],[con_codigounico]]</f>
        <v>9638095-</v>
      </c>
      <c r="X3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6" spans="1:24" x14ac:dyDescent="0.25">
      <c r="A396">
        <v>4</v>
      </c>
      <c r="B396" t="s">
        <v>56</v>
      </c>
      <c r="C396">
        <v>9638457</v>
      </c>
      <c r="D396" t="s">
        <v>1980</v>
      </c>
      <c r="E396" t="s">
        <v>160</v>
      </c>
      <c r="F396" t="s">
        <v>1977</v>
      </c>
      <c r="G396">
        <v>1</v>
      </c>
      <c r="H396">
        <v>1</v>
      </c>
      <c r="I396" t="s">
        <v>160</v>
      </c>
      <c r="J396">
        <v>0</v>
      </c>
      <c r="K396" t="s">
        <v>49</v>
      </c>
      <c r="L396" s="1">
        <f>+Tabla__192.168.1.8_POSEIDONSQL_APPFVT_01_tblFillRateFechas[[#This Row],[emb_cantidad]]-Tabla__192.168.1.8_POSEIDONSQL_APPFVT_01_tblFillRateFechas[[#This Row],[dev_cantidad]]</f>
        <v>1</v>
      </c>
      <c r="M396" s="1">
        <f>+IF(Tabla__192.168.1.8_POSEIDONSQL_APPFVT_01_tblFillRateFechas[[#This Row],[Cant_Resultante]]=Tabla__192.168.1.8_POSEIDONSQL_APPFVT_01_tblFillRateFechas[[#This Row],[cant_order]],1,0)</f>
        <v>1</v>
      </c>
      <c r="N3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6" s="1">
        <f>+IF(AND(Tabla__192.168.1.8_POSEIDONSQL_APPFVT_01_tblFillRateFechas[[#This Row],[Valida Cant]]=1,Tabla__192.168.1.8_POSEIDONSQL_APPFVT_01_tblFillRateFechas[[#This Row],[Valida Fec]]=1),1,0)</f>
        <v>1</v>
      </c>
      <c r="P396" s="1">
        <f>+(Tabla__192.168.1.8_POSEIDONSQL_APPFVT_01_tblFillRateFechas[[#This Row],[Cant_Resultante]]/Tabla__192.168.1.8_POSEIDONSQL_APPFVT_01_tblFillRateFechas[[#This Row],[cant_order]])*100</f>
        <v>100</v>
      </c>
      <c r="Q3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6" s="1">
        <f>+IF(Tabla__192.168.1.8_POSEIDONSQL_APPFVT_01_tblFillRateFechas[[#This Row],[cant_order]]&gt;0,1,0)</f>
        <v>1</v>
      </c>
      <c r="V396" s="1">
        <f>+IF(Tabla__192.168.1.8_POSEIDONSQL_APPFVT_01_tblFillRateFechas[[#This Row],[Resultado]]=1,1,0)</f>
        <v>1</v>
      </c>
      <c r="W396" s="1" t="str">
        <f>+Tabla__192.168.1.8_POSEIDONSQL_APPFVT_01_tblFillRateFechas[[#This Row],[con_ocnumero]]&amp;Tabla__192.168.1.8_POSEIDONSQL_APPFVT_01_tblFillRateFechas[[#This Row],[con_codigounico]]</f>
        <v>9638457-</v>
      </c>
      <c r="X3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7" spans="1:24" x14ac:dyDescent="0.25">
      <c r="A397">
        <v>4</v>
      </c>
      <c r="B397" t="s">
        <v>56</v>
      </c>
      <c r="C397">
        <v>9638505</v>
      </c>
      <c r="D397" t="s">
        <v>1980</v>
      </c>
      <c r="E397" t="s">
        <v>160</v>
      </c>
      <c r="F397" t="s">
        <v>1977</v>
      </c>
      <c r="G397">
        <v>1</v>
      </c>
      <c r="H397">
        <v>1</v>
      </c>
      <c r="I397" t="s">
        <v>160</v>
      </c>
      <c r="J397">
        <v>0</v>
      </c>
      <c r="K397" t="s">
        <v>49</v>
      </c>
      <c r="L397" s="1">
        <f>+Tabla__192.168.1.8_POSEIDONSQL_APPFVT_01_tblFillRateFechas[[#This Row],[emb_cantidad]]-Tabla__192.168.1.8_POSEIDONSQL_APPFVT_01_tblFillRateFechas[[#This Row],[dev_cantidad]]</f>
        <v>1</v>
      </c>
      <c r="M397" s="1">
        <f>+IF(Tabla__192.168.1.8_POSEIDONSQL_APPFVT_01_tblFillRateFechas[[#This Row],[Cant_Resultante]]=Tabla__192.168.1.8_POSEIDONSQL_APPFVT_01_tblFillRateFechas[[#This Row],[cant_order]],1,0)</f>
        <v>1</v>
      </c>
      <c r="N3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7" s="1">
        <f>+IF(AND(Tabla__192.168.1.8_POSEIDONSQL_APPFVT_01_tblFillRateFechas[[#This Row],[Valida Cant]]=1,Tabla__192.168.1.8_POSEIDONSQL_APPFVT_01_tblFillRateFechas[[#This Row],[Valida Fec]]=1),1,0)</f>
        <v>1</v>
      </c>
      <c r="P397" s="1">
        <f>+(Tabla__192.168.1.8_POSEIDONSQL_APPFVT_01_tblFillRateFechas[[#This Row],[Cant_Resultante]]/Tabla__192.168.1.8_POSEIDONSQL_APPFVT_01_tblFillRateFechas[[#This Row],[cant_order]])*100</f>
        <v>100</v>
      </c>
      <c r="Q3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7" s="1">
        <f>+IF(Tabla__192.168.1.8_POSEIDONSQL_APPFVT_01_tblFillRateFechas[[#This Row],[cant_order]]&gt;0,1,0)</f>
        <v>1</v>
      </c>
      <c r="V397" s="1">
        <f>+IF(Tabla__192.168.1.8_POSEIDONSQL_APPFVT_01_tblFillRateFechas[[#This Row],[Resultado]]=1,1,0)</f>
        <v>1</v>
      </c>
      <c r="W397" s="1" t="str">
        <f>+Tabla__192.168.1.8_POSEIDONSQL_APPFVT_01_tblFillRateFechas[[#This Row],[con_ocnumero]]&amp;Tabla__192.168.1.8_POSEIDONSQL_APPFVT_01_tblFillRateFechas[[#This Row],[con_codigounico]]</f>
        <v>9638505-</v>
      </c>
      <c r="X3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8" spans="1:24" x14ac:dyDescent="0.25">
      <c r="A398">
        <v>4</v>
      </c>
      <c r="B398" t="s">
        <v>56</v>
      </c>
      <c r="C398">
        <v>9638687</v>
      </c>
      <c r="D398" t="s">
        <v>1980</v>
      </c>
      <c r="E398" t="s">
        <v>160</v>
      </c>
      <c r="F398" t="s">
        <v>1977</v>
      </c>
      <c r="G398">
        <v>1</v>
      </c>
      <c r="H398">
        <v>1</v>
      </c>
      <c r="I398" t="s">
        <v>160</v>
      </c>
      <c r="J398">
        <v>0</v>
      </c>
      <c r="K398" t="s">
        <v>49</v>
      </c>
      <c r="L398" s="1">
        <f>+Tabla__192.168.1.8_POSEIDONSQL_APPFVT_01_tblFillRateFechas[[#This Row],[emb_cantidad]]-Tabla__192.168.1.8_POSEIDONSQL_APPFVT_01_tblFillRateFechas[[#This Row],[dev_cantidad]]</f>
        <v>1</v>
      </c>
      <c r="M398" s="1">
        <f>+IF(Tabla__192.168.1.8_POSEIDONSQL_APPFVT_01_tblFillRateFechas[[#This Row],[Cant_Resultante]]=Tabla__192.168.1.8_POSEIDONSQL_APPFVT_01_tblFillRateFechas[[#This Row],[cant_order]],1,0)</f>
        <v>1</v>
      </c>
      <c r="N3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8" s="1">
        <f>+IF(AND(Tabla__192.168.1.8_POSEIDONSQL_APPFVT_01_tblFillRateFechas[[#This Row],[Valida Cant]]=1,Tabla__192.168.1.8_POSEIDONSQL_APPFVT_01_tblFillRateFechas[[#This Row],[Valida Fec]]=1),1,0)</f>
        <v>1</v>
      </c>
      <c r="P398" s="1">
        <f>+(Tabla__192.168.1.8_POSEIDONSQL_APPFVT_01_tblFillRateFechas[[#This Row],[Cant_Resultante]]/Tabla__192.168.1.8_POSEIDONSQL_APPFVT_01_tblFillRateFechas[[#This Row],[cant_order]])*100</f>
        <v>100</v>
      </c>
      <c r="Q3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8" s="1">
        <f>+IF(Tabla__192.168.1.8_POSEIDONSQL_APPFVT_01_tblFillRateFechas[[#This Row],[cant_order]]&gt;0,1,0)</f>
        <v>1</v>
      </c>
      <c r="V398" s="1">
        <f>+IF(Tabla__192.168.1.8_POSEIDONSQL_APPFVT_01_tblFillRateFechas[[#This Row],[Resultado]]=1,1,0)</f>
        <v>1</v>
      </c>
      <c r="W398" s="1" t="str">
        <f>+Tabla__192.168.1.8_POSEIDONSQL_APPFVT_01_tblFillRateFechas[[#This Row],[con_ocnumero]]&amp;Tabla__192.168.1.8_POSEIDONSQL_APPFVT_01_tblFillRateFechas[[#This Row],[con_codigounico]]</f>
        <v>9638687-</v>
      </c>
      <c r="X3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399" spans="1:24" x14ac:dyDescent="0.25">
      <c r="A399">
        <v>4</v>
      </c>
      <c r="B399" t="s">
        <v>56</v>
      </c>
      <c r="C399">
        <v>9638754</v>
      </c>
      <c r="D399" t="s">
        <v>1980</v>
      </c>
      <c r="E399" t="s">
        <v>160</v>
      </c>
      <c r="F399" t="s">
        <v>1977</v>
      </c>
      <c r="G399">
        <v>1</v>
      </c>
      <c r="H399">
        <v>1</v>
      </c>
      <c r="I399" t="s">
        <v>160</v>
      </c>
      <c r="J399">
        <v>0</v>
      </c>
      <c r="K399" t="s">
        <v>49</v>
      </c>
      <c r="L399" s="1">
        <f>+Tabla__192.168.1.8_POSEIDONSQL_APPFVT_01_tblFillRateFechas[[#This Row],[emb_cantidad]]-Tabla__192.168.1.8_POSEIDONSQL_APPFVT_01_tblFillRateFechas[[#This Row],[dev_cantidad]]</f>
        <v>1</v>
      </c>
      <c r="M399" s="1">
        <f>+IF(Tabla__192.168.1.8_POSEIDONSQL_APPFVT_01_tblFillRateFechas[[#This Row],[Cant_Resultante]]=Tabla__192.168.1.8_POSEIDONSQL_APPFVT_01_tblFillRateFechas[[#This Row],[cant_order]],1,0)</f>
        <v>1</v>
      </c>
      <c r="N3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399" s="1">
        <f>+IF(AND(Tabla__192.168.1.8_POSEIDONSQL_APPFVT_01_tblFillRateFechas[[#This Row],[Valida Cant]]=1,Tabla__192.168.1.8_POSEIDONSQL_APPFVT_01_tblFillRateFechas[[#This Row],[Valida Fec]]=1),1,0)</f>
        <v>1</v>
      </c>
      <c r="P399" s="1">
        <f>+(Tabla__192.168.1.8_POSEIDONSQL_APPFVT_01_tblFillRateFechas[[#This Row],[Cant_Resultante]]/Tabla__192.168.1.8_POSEIDONSQL_APPFVT_01_tblFillRateFechas[[#This Row],[cant_order]])*100</f>
        <v>100</v>
      </c>
      <c r="Q3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3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3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3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399" s="1">
        <f>+IF(Tabla__192.168.1.8_POSEIDONSQL_APPFVT_01_tblFillRateFechas[[#This Row],[cant_order]]&gt;0,1,0)</f>
        <v>1</v>
      </c>
      <c r="V399" s="1">
        <f>+IF(Tabla__192.168.1.8_POSEIDONSQL_APPFVT_01_tblFillRateFechas[[#This Row],[Resultado]]=1,1,0)</f>
        <v>1</v>
      </c>
      <c r="W399" s="1" t="str">
        <f>+Tabla__192.168.1.8_POSEIDONSQL_APPFVT_01_tblFillRateFechas[[#This Row],[con_ocnumero]]&amp;Tabla__192.168.1.8_POSEIDONSQL_APPFVT_01_tblFillRateFechas[[#This Row],[con_codigounico]]</f>
        <v>9638754-</v>
      </c>
      <c r="X3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0" spans="1:24" x14ac:dyDescent="0.25">
      <c r="A400">
        <v>4</v>
      </c>
      <c r="B400" t="s">
        <v>56</v>
      </c>
      <c r="C400">
        <v>9638822</v>
      </c>
      <c r="D400" t="s">
        <v>1980</v>
      </c>
      <c r="E400" t="s">
        <v>160</v>
      </c>
      <c r="F400" t="s">
        <v>1977</v>
      </c>
      <c r="G400">
        <v>1</v>
      </c>
      <c r="H400">
        <v>1</v>
      </c>
      <c r="I400" t="s">
        <v>160</v>
      </c>
      <c r="J400">
        <v>0</v>
      </c>
      <c r="K400" t="s">
        <v>49</v>
      </c>
      <c r="L400" s="1">
        <f>+Tabla__192.168.1.8_POSEIDONSQL_APPFVT_01_tblFillRateFechas[[#This Row],[emb_cantidad]]-Tabla__192.168.1.8_POSEIDONSQL_APPFVT_01_tblFillRateFechas[[#This Row],[dev_cantidad]]</f>
        <v>1</v>
      </c>
      <c r="M400" s="1">
        <f>+IF(Tabla__192.168.1.8_POSEIDONSQL_APPFVT_01_tblFillRateFechas[[#This Row],[Cant_Resultante]]=Tabla__192.168.1.8_POSEIDONSQL_APPFVT_01_tblFillRateFechas[[#This Row],[cant_order]],1,0)</f>
        <v>1</v>
      </c>
      <c r="N4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0" s="1">
        <f>+IF(AND(Tabla__192.168.1.8_POSEIDONSQL_APPFVT_01_tblFillRateFechas[[#This Row],[Valida Cant]]=1,Tabla__192.168.1.8_POSEIDONSQL_APPFVT_01_tblFillRateFechas[[#This Row],[Valida Fec]]=1),1,0)</f>
        <v>1</v>
      </c>
      <c r="P400" s="1">
        <f>+(Tabla__192.168.1.8_POSEIDONSQL_APPFVT_01_tblFillRateFechas[[#This Row],[Cant_Resultante]]/Tabla__192.168.1.8_POSEIDONSQL_APPFVT_01_tblFillRateFechas[[#This Row],[cant_order]])*100</f>
        <v>100</v>
      </c>
      <c r="Q4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0" s="1">
        <f>+IF(Tabla__192.168.1.8_POSEIDONSQL_APPFVT_01_tblFillRateFechas[[#This Row],[cant_order]]&gt;0,1,0)</f>
        <v>1</v>
      </c>
      <c r="V400" s="1">
        <f>+IF(Tabla__192.168.1.8_POSEIDONSQL_APPFVT_01_tblFillRateFechas[[#This Row],[Resultado]]=1,1,0)</f>
        <v>1</v>
      </c>
      <c r="W400" s="1" t="str">
        <f>+Tabla__192.168.1.8_POSEIDONSQL_APPFVT_01_tblFillRateFechas[[#This Row],[con_ocnumero]]&amp;Tabla__192.168.1.8_POSEIDONSQL_APPFVT_01_tblFillRateFechas[[#This Row],[con_codigounico]]</f>
        <v>9638822-</v>
      </c>
      <c r="X4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1" spans="1:24" x14ac:dyDescent="0.25">
      <c r="A401">
        <v>4</v>
      </c>
      <c r="B401" t="s">
        <v>56</v>
      </c>
      <c r="C401">
        <v>9639087</v>
      </c>
      <c r="D401" t="s">
        <v>1980</v>
      </c>
      <c r="E401" t="s">
        <v>1969</v>
      </c>
      <c r="F401" t="s">
        <v>1977</v>
      </c>
      <c r="G401">
        <v>1</v>
      </c>
      <c r="H401">
        <v>1</v>
      </c>
      <c r="I401" t="s">
        <v>1969</v>
      </c>
      <c r="J401">
        <v>0</v>
      </c>
      <c r="K401" t="s">
        <v>49</v>
      </c>
      <c r="L401" s="1">
        <f>+Tabla__192.168.1.8_POSEIDONSQL_APPFVT_01_tblFillRateFechas[[#This Row],[emb_cantidad]]-Tabla__192.168.1.8_POSEIDONSQL_APPFVT_01_tblFillRateFechas[[#This Row],[dev_cantidad]]</f>
        <v>1</v>
      </c>
      <c r="M401" s="1">
        <f>+IF(Tabla__192.168.1.8_POSEIDONSQL_APPFVT_01_tblFillRateFechas[[#This Row],[Cant_Resultante]]=Tabla__192.168.1.8_POSEIDONSQL_APPFVT_01_tblFillRateFechas[[#This Row],[cant_order]],1,0)</f>
        <v>1</v>
      </c>
      <c r="N4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1" s="1">
        <f>+IF(AND(Tabla__192.168.1.8_POSEIDONSQL_APPFVT_01_tblFillRateFechas[[#This Row],[Valida Cant]]=1,Tabla__192.168.1.8_POSEIDONSQL_APPFVT_01_tblFillRateFechas[[#This Row],[Valida Fec]]=1),1,0)</f>
        <v>1</v>
      </c>
      <c r="P401" s="1">
        <f>+(Tabla__192.168.1.8_POSEIDONSQL_APPFVT_01_tblFillRateFechas[[#This Row],[Cant_Resultante]]/Tabla__192.168.1.8_POSEIDONSQL_APPFVT_01_tblFillRateFechas[[#This Row],[cant_order]])*100</f>
        <v>100</v>
      </c>
      <c r="Q4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1" s="1">
        <f>+IF(Tabla__192.168.1.8_POSEIDONSQL_APPFVT_01_tblFillRateFechas[[#This Row],[cant_order]]&gt;0,1,0)</f>
        <v>1</v>
      </c>
      <c r="V401" s="1">
        <f>+IF(Tabla__192.168.1.8_POSEIDONSQL_APPFVT_01_tblFillRateFechas[[#This Row],[Resultado]]=1,1,0)</f>
        <v>1</v>
      </c>
      <c r="W401" s="1" t="str">
        <f>+Tabla__192.168.1.8_POSEIDONSQL_APPFVT_01_tblFillRateFechas[[#This Row],[con_ocnumero]]&amp;Tabla__192.168.1.8_POSEIDONSQL_APPFVT_01_tblFillRateFechas[[#This Row],[con_codigounico]]</f>
        <v>9639087-</v>
      </c>
      <c r="X4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2" spans="1:24" x14ac:dyDescent="0.25">
      <c r="A402">
        <v>4</v>
      </c>
      <c r="B402" t="s">
        <v>56</v>
      </c>
      <c r="C402">
        <v>9639287</v>
      </c>
      <c r="D402" t="s">
        <v>1980</v>
      </c>
      <c r="E402" t="s">
        <v>1969</v>
      </c>
      <c r="F402" t="s">
        <v>1977</v>
      </c>
      <c r="G402">
        <v>1</v>
      </c>
      <c r="H402">
        <v>1</v>
      </c>
      <c r="I402" t="s">
        <v>1969</v>
      </c>
      <c r="J402">
        <v>0</v>
      </c>
      <c r="K402" t="s">
        <v>49</v>
      </c>
      <c r="L402" s="1">
        <f>+Tabla__192.168.1.8_POSEIDONSQL_APPFVT_01_tblFillRateFechas[[#This Row],[emb_cantidad]]-Tabla__192.168.1.8_POSEIDONSQL_APPFVT_01_tblFillRateFechas[[#This Row],[dev_cantidad]]</f>
        <v>1</v>
      </c>
      <c r="M402" s="1">
        <f>+IF(Tabla__192.168.1.8_POSEIDONSQL_APPFVT_01_tblFillRateFechas[[#This Row],[Cant_Resultante]]=Tabla__192.168.1.8_POSEIDONSQL_APPFVT_01_tblFillRateFechas[[#This Row],[cant_order]],1,0)</f>
        <v>1</v>
      </c>
      <c r="N4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2" s="1">
        <f>+IF(AND(Tabla__192.168.1.8_POSEIDONSQL_APPFVT_01_tblFillRateFechas[[#This Row],[Valida Cant]]=1,Tabla__192.168.1.8_POSEIDONSQL_APPFVT_01_tblFillRateFechas[[#This Row],[Valida Fec]]=1),1,0)</f>
        <v>1</v>
      </c>
      <c r="P402" s="1">
        <f>+(Tabla__192.168.1.8_POSEIDONSQL_APPFVT_01_tblFillRateFechas[[#This Row],[Cant_Resultante]]/Tabla__192.168.1.8_POSEIDONSQL_APPFVT_01_tblFillRateFechas[[#This Row],[cant_order]])*100</f>
        <v>100</v>
      </c>
      <c r="Q4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2" s="1">
        <f>+IF(Tabla__192.168.1.8_POSEIDONSQL_APPFVT_01_tblFillRateFechas[[#This Row],[cant_order]]&gt;0,1,0)</f>
        <v>1</v>
      </c>
      <c r="V402" s="1">
        <f>+IF(Tabla__192.168.1.8_POSEIDONSQL_APPFVT_01_tblFillRateFechas[[#This Row],[Resultado]]=1,1,0)</f>
        <v>1</v>
      </c>
      <c r="W402" s="1" t="str">
        <f>+Tabla__192.168.1.8_POSEIDONSQL_APPFVT_01_tblFillRateFechas[[#This Row],[con_ocnumero]]&amp;Tabla__192.168.1.8_POSEIDONSQL_APPFVT_01_tblFillRateFechas[[#This Row],[con_codigounico]]</f>
        <v>9639287-</v>
      </c>
      <c r="X4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3" spans="1:24" x14ac:dyDescent="0.25">
      <c r="A403">
        <v>4</v>
      </c>
      <c r="B403" t="s">
        <v>56</v>
      </c>
      <c r="C403">
        <v>9639480</v>
      </c>
      <c r="D403" t="s">
        <v>1977</v>
      </c>
      <c r="E403" t="s">
        <v>1969</v>
      </c>
      <c r="F403" t="s">
        <v>1977</v>
      </c>
      <c r="G403">
        <v>1</v>
      </c>
      <c r="H403">
        <v>1</v>
      </c>
      <c r="I403" t="s">
        <v>1969</v>
      </c>
      <c r="J403">
        <v>0</v>
      </c>
      <c r="K403" t="s">
        <v>49</v>
      </c>
      <c r="L403" s="1">
        <f>+Tabla__192.168.1.8_POSEIDONSQL_APPFVT_01_tblFillRateFechas[[#This Row],[emb_cantidad]]-Tabla__192.168.1.8_POSEIDONSQL_APPFVT_01_tblFillRateFechas[[#This Row],[dev_cantidad]]</f>
        <v>1</v>
      </c>
      <c r="M403" s="1">
        <f>+IF(Tabla__192.168.1.8_POSEIDONSQL_APPFVT_01_tblFillRateFechas[[#This Row],[Cant_Resultante]]=Tabla__192.168.1.8_POSEIDONSQL_APPFVT_01_tblFillRateFechas[[#This Row],[cant_order]],1,0)</f>
        <v>1</v>
      </c>
      <c r="N4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3" s="1">
        <f>+IF(AND(Tabla__192.168.1.8_POSEIDONSQL_APPFVT_01_tblFillRateFechas[[#This Row],[Valida Cant]]=1,Tabla__192.168.1.8_POSEIDONSQL_APPFVT_01_tblFillRateFechas[[#This Row],[Valida Fec]]=1),1,0)</f>
        <v>1</v>
      </c>
      <c r="P403" s="1">
        <f>+(Tabla__192.168.1.8_POSEIDONSQL_APPFVT_01_tblFillRateFechas[[#This Row],[Cant_Resultante]]/Tabla__192.168.1.8_POSEIDONSQL_APPFVT_01_tblFillRateFechas[[#This Row],[cant_order]])*100</f>
        <v>100</v>
      </c>
      <c r="Q4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3" s="1">
        <f>+IF(Tabla__192.168.1.8_POSEIDONSQL_APPFVT_01_tblFillRateFechas[[#This Row],[cant_order]]&gt;0,1,0)</f>
        <v>1</v>
      </c>
      <c r="V403" s="1">
        <f>+IF(Tabla__192.168.1.8_POSEIDONSQL_APPFVT_01_tblFillRateFechas[[#This Row],[Resultado]]=1,1,0)</f>
        <v>1</v>
      </c>
      <c r="W403" s="1" t="str">
        <f>+Tabla__192.168.1.8_POSEIDONSQL_APPFVT_01_tblFillRateFechas[[#This Row],[con_ocnumero]]&amp;Tabla__192.168.1.8_POSEIDONSQL_APPFVT_01_tblFillRateFechas[[#This Row],[con_codigounico]]</f>
        <v>9639480-</v>
      </c>
      <c r="X4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4" spans="1:24" x14ac:dyDescent="0.25">
      <c r="A404">
        <v>4</v>
      </c>
      <c r="B404" t="s">
        <v>56</v>
      </c>
      <c r="C404">
        <v>9639535</v>
      </c>
      <c r="D404" t="s">
        <v>1977</v>
      </c>
      <c r="E404" t="s">
        <v>1969</v>
      </c>
      <c r="F404" t="s">
        <v>1977</v>
      </c>
      <c r="G404">
        <v>1</v>
      </c>
      <c r="H404">
        <v>1</v>
      </c>
      <c r="I404" t="s">
        <v>1969</v>
      </c>
      <c r="J404">
        <v>0</v>
      </c>
      <c r="K404" t="s">
        <v>49</v>
      </c>
      <c r="L404" s="1">
        <f>+Tabla__192.168.1.8_POSEIDONSQL_APPFVT_01_tblFillRateFechas[[#This Row],[emb_cantidad]]-Tabla__192.168.1.8_POSEIDONSQL_APPFVT_01_tblFillRateFechas[[#This Row],[dev_cantidad]]</f>
        <v>1</v>
      </c>
      <c r="M404" s="1">
        <f>+IF(Tabla__192.168.1.8_POSEIDONSQL_APPFVT_01_tblFillRateFechas[[#This Row],[Cant_Resultante]]=Tabla__192.168.1.8_POSEIDONSQL_APPFVT_01_tblFillRateFechas[[#This Row],[cant_order]],1,0)</f>
        <v>1</v>
      </c>
      <c r="N4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4" s="1">
        <f>+IF(AND(Tabla__192.168.1.8_POSEIDONSQL_APPFVT_01_tblFillRateFechas[[#This Row],[Valida Cant]]=1,Tabla__192.168.1.8_POSEIDONSQL_APPFVT_01_tblFillRateFechas[[#This Row],[Valida Fec]]=1),1,0)</f>
        <v>1</v>
      </c>
      <c r="P404" s="1">
        <f>+(Tabla__192.168.1.8_POSEIDONSQL_APPFVT_01_tblFillRateFechas[[#This Row],[Cant_Resultante]]/Tabla__192.168.1.8_POSEIDONSQL_APPFVT_01_tblFillRateFechas[[#This Row],[cant_order]])*100</f>
        <v>100</v>
      </c>
      <c r="Q4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4" s="1">
        <f>+IF(Tabla__192.168.1.8_POSEIDONSQL_APPFVT_01_tblFillRateFechas[[#This Row],[cant_order]]&gt;0,1,0)</f>
        <v>1</v>
      </c>
      <c r="V404" s="1">
        <f>+IF(Tabla__192.168.1.8_POSEIDONSQL_APPFVT_01_tblFillRateFechas[[#This Row],[Resultado]]=1,1,0)</f>
        <v>1</v>
      </c>
      <c r="W404" s="1" t="str">
        <f>+Tabla__192.168.1.8_POSEIDONSQL_APPFVT_01_tblFillRateFechas[[#This Row],[con_ocnumero]]&amp;Tabla__192.168.1.8_POSEIDONSQL_APPFVT_01_tblFillRateFechas[[#This Row],[con_codigounico]]</f>
        <v>9639535-</v>
      </c>
      <c r="X4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5" spans="1:24" x14ac:dyDescent="0.25">
      <c r="A405">
        <v>4</v>
      </c>
      <c r="B405" t="s">
        <v>56</v>
      </c>
      <c r="C405">
        <v>9639647</v>
      </c>
      <c r="D405" t="s">
        <v>1977</v>
      </c>
      <c r="E405" t="s">
        <v>1969</v>
      </c>
      <c r="F405" t="s">
        <v>1962</v>
      </c>
      <c r="G405">
        <v>1</v>
      </c>
      <c r="H405">
        <v>1</v>
      </c>
      <c r="I405" t="s">
        <v>1969</v>
      </c>
      <c r="J405">
        <v>0</v>
      </c>
      <c r="K405" t="s">
        <v>49</v>
      </c>
      <c r="L405" s="1">
        <f>+Tabla__192.168.1.8_POSEIDONSQL_APPFVT_01_tblFillRateFechas[[#This Row],[emb_cantidad]]-Tabla__192.168.1.8_POSEIDONSQL_APPFVT_01_tblFillRateFechas[[#This Row],[dev_cantidad]]</f>
        <v>1</v>
      </c>
      <c r="M405" s="1">
        <f>+IF(Tabla__192.168.1.8_POSEIDONSQL_APPFVT_01_tblFillRateFechas[[#This Row],[Cant_Resultante]]=Tabla__192.168.1.8_POSEIDONSQL_APPFVT_01_tblFillRateFechas[[#This Row],[cant_order]],1,0)</f>
        <v>1</v>
      </c>
      <c r="N4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5" s="1">
        <f>+IF(AND(Tabla__192.168.1.8_POSEIDONSQL_APPFVT_01_tblFillRateFechas[[#This Row],[Valida Cant]]=1,Tabla__192.168.1.8_POSEIDONSQL_APPFVT_01_tblFillRateFechas[[#This Row],[Valida Fec]]=1),1,0)</f>
        <v>1</v>
      </c>
      <c r="P405" s="1">
        <f>+(Tabla__192.168.1.8_POSEIDONSQL_APPFVT_01_tblFillRateFechas[[#This Row],[Cant_Resultante]]/Tabla__192.168.1.8_POSEIDONSQL_APPFVT_01_tblFillRateFechas[[#This Row],[cant_order]])*100</f>
        <v>100</v>
      </c>
      <c r="Q4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5" s="1">
        <f>+IF(Tabla__192.168.1.8_POSEIDONSQL_APPFVT_01_tblFillRateFechas[[#This Row],[cant_order]]&gt;0,1,0)</f>
        <v>1</v>
      </c>
      <c r="V405" s="1">
        <f>+IF(Tabla__192.168.1.8_POSEIDONSQL_APPFVT_01_tblFillRateFechas[[#This Row],[Resultado]]=1,1,0)</f>
        <v>1</v>
      </c>
      <c r="W405" s="1" t="str">
        <f>+Tabla__192.168.1.8_POSEIDONSQL_APPFVT_01_tblFillRateFechas[[#This Row],[con_ocnumero]]&amp;Tabla__192.168.1.8_POSEIDONSQL_APPFVT_01_tblFillRateFechas[[#This Row],[con_codigounico]]</f>
        <v>9639647-</v>
      </c>
      <c r="X4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6" spans="1:24" x14ac:dyDescent="0.25">
      <c r="A406">
        <v>4</v>
      </c>
      <c r="B406" t="s">
        <v>56</v>
      </c>
      <c r="C406">
        <v>9640126</v>
      </c>
      <c r="D406" t="s">
        <v>1977</v>
      </c>
      <c r="E406" t="s">
        <v>1969</v>
      </c>
      <c r="F406" t="s">
        <v>1962</v>
      </c>
      <c r="G406">
        <v>1</v>
      </c>
      <c r="H406">
        <v>1</v>
      </c>
      <c r="I406" t="s">
        <v>1969</v>
      </c>
      <c r="J406">
        <v>0</v>
      </c>
      <c r="K406" t="s">
        <v>49</v>
      </c>
      <c r="L406" s="1">
        <f>+Tabla__192.168.1.8_POSEIDONSQL_APPFVT_01_tblFillRateFechas[[#This Row],[emb_cantidad]]-Tabla__192.168.1.8_POSEIDONSQL_APPFVT_01_tblFillRateFechas[[#This Row],[dev_cantidad]]</f>
        <v>1</v>
      </c>
      <c r="M406" s="1">
        <f>+IF(Tabla__192.168.1.8_POSEIDONSQL_APPFVT_01_tblFillRateFechas[[#This Row],[Cant_Resultante]]=Tabla__192.168.1.8_POSEIDONSQL_APPFVT_01_tblFillRateFechas[[#This Row],[cant_order]],1,0)</f>
        <v>1</v>
      </c>
      <c r="N4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6" s="1">
        <f>+IF(AND(Tabla__192.168.1.8_POSEIDONSQL_APPFVT_01_tblFillRateFechas[[#This Row],[Valida Cant]]=1,Tabla__192.168.1.8_POSEIDONSQL_APPFVT_01_tblFillRateFechas[[#This Row],[Valida Fec]]=1),1,0)</f>
        <v>1</v>
      </c>
      <c r="P406" s="1">
        <f>+(Tabla__192.168.1.8_POSEIDONSQL_APPFVT_01_tblFillRateFechas[[#This Row],[Cant_Resultante]]/Tabla__192.168.1.8_POSEIDONSQL_APPFVT_01_tblFillRateFechas[[#This Row],[cant_order]])*100</f>
        <v>100</v>
      </c>
      <c r="Q4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6" s="1">
        <f>+IF(Tabla__192.168.1.8_POSEIDONSQL_APPFVT_01_tblFillRateFechas[[#This Row],[cant_order]]&gt;0,1,0)</f>
        <v>1</v>
      </c>
      <c r="V406" s="1">
        <f>+IF(Tabla__192.168.1.8_POSEIDONSQL_APPFVT_01_tblFillRateFechas[[#This Row],[Resultado]]=1,1,0)</f>
        <v>1</v>
      </c>
      <c r="W406" s="1" t="str">
        <f>+Tabla__192.168.1.8_POSEIDONSQL_APPFVT_01_tblFillRateFechas[[#This Row],[con_ocnumero]]&amp;Tabla__192.168.1.8_POSEIDONSQL_APPFVT_01_tblFillRateFechas[[#This Row],[con_codigounico]]</f>
        <v>9640126-</v>
      </c>
      <c r="X4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7" spans="1:24" x14ac:dyDescent="0.25">
      <c r="A407">
        <v>4</v>
      </c>
      <c r="B407" t="s">
        <v>56</v>
      </c>
      <c r="C407">
        <v>9640251</v>
      </c>
      <c r="D407" t="s">
        <v>1977</v>
      </c>
      <c r="E407" t="s">
        <v>1969</v>
      </c>
      <c r="F407" t="s">
        <v>1962</v>
      </c>
      <c r="G407">
        <v>1</v>
      </c>
      <c r="H407">
        <v>1</v>
      </c>
      <c r="I407" t="s">
        <v>1969</v>
      </c>
      <c r="J407">
        <v>0</v>
      </c>
      <c r="K407" t="s">
        <v>49</v>
      </c>
      <c r="L407" s="1">
        <f>+Tabla__192.168.1.8_POSEIDONSQL_APPFVT_01_tblFillRateFechas[[#This Row],[emb_cantidad]]-Tabla__192.168.1.8_POSEIDONSQL_APPFVT_01_tblFillRateFechas[[#This Row],[dev_cantidad]]</f>
        <v>1</v>
      </c>
      <c r="M407" s="1">
        <f>+IF(Tabla__192.168.1.8_POSEIDONSQL_APPFVT_01_tblFillRateFechas[[#This Row],[Cant_Resultante]]=Tabla__192.168.1.8_POSEIDONSQL_APPFVT_01_tblFillRateFechas[[#This Row],[cant_order]],1,0)</f>
        <v>1</v>
      </c>
      <c r="N4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7" s="1">
        <f>+IF(AND(Tabla__192.168.1.8_POSEIDONSQL_APPFVT_01_tblFillRateFechas[[#This Row],[Valida Cant]]=1,Tabla__192.168.1.8_POSEIDONSQL_APPFVT_01_tblFillRateFechas[[#This Row],[Valida Fec]]=1),1,0)</f>
        <v>1</v>
      </c>
      <c r="P407" s="1">
        <f>+(Tabla__192.168.1.8_POSEIDONSQL_APPFVT_01_tblFillRateFechas[[#This Row],[Cant_Resultante]]/Tabla__192.168.1.8_POSEIDONSQL_APPFVT_01_tblFillRateFechas[[#This Row],[cant_order]])*100</f>
        <v>100</v>
      </c>
      <c r="Q4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7" s="1">
        <f>+IF(Tabla__192.168.1.8_POSEIDONSQL_APPFVT_01_tblFillRateFechas[[#This Row],[cant_order]]&gt;0,1,0)</f>
        <v>1</v>
      </c>
      <c r="V407" s="1">
        <f>+IF(Tabla__192.168.1.8_POSEIDONSQL_APPFVT_01_tblFillRateFechas[[#This Row],[Resultado]]=1,1,0)</f>
        <v>1</v>
      </c>
      <c r="W407" s="1" t="str">
        <f>+Tabla__192.168.1.8_POSEIDONSQL_APPFVT_01_tblFillRateFechas[[#This Row],[con_ocnumero]]&amp;Tabla__192.168.1.8_POSEIDONSQL_APPFVT_01_tblFillRateFechas[[#This Row],[con_codigounico]]</f>
        <v>9640251-</v>
      </c>
      <c r="X4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8" spans="1:24" x14ac:dyDescent="0.25">
      <c r="A408">
        <v>4</v>
      </c>
      <c r="B408" t="s">
        <v>56</v>
      </c>
      <c r="C408">
        <v>9640942</v>
      </c>
      <c r="D408" t="s">
        <v>1977</v>
      </c>
      <c r="E408" t="s">
        <v>1969</v>
      </c>
      <c r="F408" t="s">
        <v>1962</v>
      </c>
      <c r="G408">
        <v>1</v>
      </c>
      <c r="H408">
        <v>1</v>
      </c>
      <c r="I408" t="s">
        <v>1969</v>
      </c>
      <c r="J408">
        <v>0</v>
      </c>
      <c r="K408" t="s">
        <v>49</v>
      </c>
      <c r="L408" s="1">
        <f>+Tabla__192.168.1.8_POSEIDONSQL_APPFVT_01_tblFillRateFechas[[#This Row],[emb_cantidad]]-Tabla__192.168.1.8_POSEIDONSQL_APPFVT_01_tblFillRateFechas[[#This Row],[dev_cantidad]]</f>
        <v>1</v>
      </c>
      <c r="M408" s="1">
        <f>+IF(Tabla__192.168.1.8_POSEIDONSQL_APPFVT_01_tblFillRateFechas[[#This Row],[Cant_Resultante]]=Tabla__192.168.1.8_POSEIDONSQL_APPFVT_01_tblFillRateFechas[[#This Row],[cant_order]],1,0)</f>
        <v>1</v>
      </c>
      <c r="N4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8" s="1">
        <f>+IF(AND(Tabla__192.168.1.8_POSEIDONSQL_APPFVT_01_tblFillRateFechas[[#This Row],[Valida Cant]]=1,Tabla__192.168.1.8_POSEIDONSQL_APPFVT_01_tblFillRateFechas[[#This Row],[Valida Fec]]=1),1,0)</f>
        <v>1</v>
      </c>
      <c r="P408" s="1">
        <f>+(Tabla__192.168.1.8_POSEIDONSQL_APPFVT_01_tblFillRateFechas[[#This Row],[Cant_Resultante]]/Tabla__192.168.1.8_POSEIDONSQL_APPFVT_01_tblFillRateFechas[[#This Row],[cant_order]])*100</f>
        <v>100</v>
      </c>
      <c r="Q4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8" s="1">
        <f>+IF(Tabla__192.168.1.8_POSEIDONSQL_APPFVT_01_tblFillRateFechas[[#This Row],[cant_order]]&gt;0,1,0)</f>
        <v>1</v>
      </c>
      <c r="V408" s="1">
        <f>+IF(Tabla__192.168.1.8_POSEIDONSQL_APPFVT_01_tblFillRateFechas[[#This Row],[Resultado]]=1,1,0)</f>
        <v>1</v>
      </c>
      <c r="W408" s="1" t="str">
        <f>+Tabla__192.168.1.8_POSEIDONSQL_APPFVT_01_tblFillRateFechas[[#This Row],[con_ocnumero]]&amp;Tabla__192.168.1.8_POSEIDONSQL_APPFVT_01_tblFillRateFechas[[#This Row],[con_codigounico]]</f>
        <v>9640942-</v>
      </c>
      <c r="X4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09" spans="1:24" x14ac:dyDescent="0.25">
      <c r="A409">
        <v>4</v>
      </c>
      <c r="B409" t="s">
        <v>56</v>
      </c>
      <c r="C409">
        <v>9641143</v>
      </c>
      <c r="D409" t="s">
        <v>1977</v>
      </c>
      <c r="E409" t="s">
        <v>1969</v>
      </c>
      <c r="F409" t="s">
        <v>1962</v>
      </c>
      <c r="G409">
        <v>1</v>
      </c>
      <c r="H409">
        <v>1</v>
      </c>
      <c r="I409" t="s">
        <v>1969</v>
      </c>
      <c r="J409">
        <v>0</v>
      </c>
      <c r="K409" t="s">
        <v>49</v>
      </c>
      <c r="L409" s="1">
        <f>+Tabla__192.168.1.8_POSEIDONSQL_APPFVT_01_tblFillRateFechas[[#This Row],[emb_cantidad]]-Tabla__192.168.1.8_POSEIDONSQL_APPFVT_01_tblFillRateFechas[[#This Row],[dev_cantidad]]</f>
        <v>1</v>
      </c>
      <c r="M409" s="1">
        <f>+IF(Tabla__192.168.1.8_POSEIDONSQL_APPFVT_01_tblFillRateFechas[[#This Row],[Cant_Resultante]]=Tabla__192.168.1.8_POSEIDONSQL_APPFVT_01_tblFillRateFechas[[#This Row],[cant_order]],1,0)</f>
        <v>1</v>
      </c>
      <c r="N4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09" s="1">
        <f>+IF(AND(Tabla__192.168.1.8_POSEIDONSQL_APPFVT_01_tblFillRateFechas[[#This Row],[Valida Cant]]=1,Tabla__192.168.1.8_POSEIDONSQL_APPFVT_01_tblFillRateFechas[[#This Row],[Valida Fec]]=1),1,0)</f>
        <v>1</v>
      </c>
      <c r="P409" s="1">
        <f>+(Tabla__192.168.1.8_POSEIDONSQL_APPFVT_01_tblFillRateFechas[[#This Row],[Cant_Resultante]]/Tabla__192.168.1.8_POSEIDONSQL_APPFVT_01_tblFillRateFechas[[#This Row],[cant_order]])*100</f>
        <v>100</v>
      </c>
      <c r="Q4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09" s="1">
        <f>+IF(Tabla__192.168.1.8_POSEIDONSQL_APPFVT_01_tblFillRateFechas[[#This Row],[cant_order]]&gt;0,1,0)</f>
        <v>1</v>
      </c>
      <c r="V409" s="1">
        <f>+IF(Tabla__192.168.1.8_POSEIDONSQL_APPFVT_01_tblFillRateFechas[[#This Row],[Resultado]]=1,1,0)</f>
        <v>1</v>
      </c>
      <c r="W409" s="1" t="str">
        <f>+Tabla__192.168.1.8_POSEIDONSQL_APPFVT_01_tblFillRateFechas[[#This Row],[con_ocnumero]]&amp;Tabla__192.168.1.8_POSEIDONSQL_APPFVT_01_tblFillRateFechas[[#This Row],[con_codigounico]]</f>
        <v>9641143-</v>
      </c>
      <c r="X4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0" spans="1:24" x14ac:dyDescent="0.25">
      <c r="A410">
        <v>4</v>
      </c>
      <c r="B410" t="s">
        <v>56</v>
      </c>
      <c r="C410">
        <v>9641874</v>
      </c>
      <c r="D410" t="s">
        <v>1977</v>
      </c>
      <c r="E410" t="s">
        <v>1969</v>
      </c>
      <c r="F410" t="s">
        <v>1962</v>
      </c>
      <c r="G410">
        <v>1</v>
      </c>
      <c r="H410">
        <v>1</v>
      </c>
      <c r="I410" t="s">
        <v>1969</v>
      </c>
      <c r="J410">
        <v>0</v>
      </c>
      <c r="K410" t="s">
        <v>49</v>
      </c>
      <c r="L410" s="1">
        <f>+Tabla__192.168.1.8_POSEIDONSQL_APPFVT_01_tblFillRateFechas[[#This Row],[emb_cantidad]]-Tabla__192.168.1.8_POSEIDONSQL_APPFVT_01_tblFillRateFechas[[#This Row],[dev_cantidad]]</f>
        <v>1</v>
      </c>
      <c r="M410" s="1">
        <f>+IF(Tabla__192.168.1.8_POSEIDONSQL_APPFVT_01_tblFillRateFechas[[#This Row],[Cant_Resultante]]=Tabla__192.168.1.8_POSEIDONSQL_APPFVT_01_tblFillRateFechas[[#This Row],[cant_order]],1,0)</f>
        <v>1</v>
      </c>
      <c r="N4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0" s="1">
        <f>+IF(AND(Tabla__192.168.1.8_POSEIDONSQL_APPFVT_01_tblFillRateFechas[[#This Row],[Valida Cant]]=1,Tabla__192.168.1.8_POSEIDONSQL_APPFVT_01_tblFillRateFechas[[#This Row],[Valida Fec]]=1),1,0)</f>
        <v>1</v>
      </c>
      <c r="P410" s="1">
        <f>+(Tabla__192.168.1.8_POSEIDONSQL_APPFVT_01_tblFillRateFechas[[#This Row],[Cant_Resultante]]/Tabla__192.168.1.8_POSEIDONSQL_APPFVT_01_tblFillRateFechas[[#This Row],[cant_order]])*100</f>
        <v>100</v>
      </c>
      <c r="Q4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0" s="1">
        <f>+IF(Tabla__192.168.1.8_POSEIDONSQL_APPFVT_01_tblFillRateFechas[[#This Row],[cant_order]]&gt;0,1,0)</f>
        <v>1</v>
      </c>
      <c r="V410" s="1">
        <f>+IF(Tabla__192.168.1.8_POSEIDONSQL_APPFVT_01_tblFillRateFechas[[#This Row],[Resultado]]=1,1,0)</f>
        <v>1</v>
      </c>
      <c r="W410" s="1" t="str">
        <f>+Tabla__192.168.1.8_POSEIDONSQL_APPFVT_01_tblFillRateFechas[[#This Row],[con_ocnumero]]&amp;Tabla__192.168.1.8_POSEIDONSQL_APPFVT_01_tblFillRateFechas[[#This Row],[con_codigounico]]</f>
        <v>9641874-</v>
      </c>
      <c r="X4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1" spans="1:24" x14ac:dyDescent="0.25">
      <c r="A411">
        <v>4</v>
      </c>
      <c r="B411" t="s">
        <v>56</v>
      </c>
      <c r="C411">
        <v>9642139</v>
      </c>
      <c r="D411" t="s">
        <v>1962</v>
      </c>
      <c r="E411" t="s">
        <v>427</v>
      </c>
      <c r="F411" t="s">
        <v>1963</v>
      </c>
      <c r="G411">
        <v>1</v>
      </c>
      <c r="H411">
        <v>1</v>
      </c>
      <c r="I411" t="s">
        <v>427</v>
      </c>
      <c r="J411">
        <v>0</v>
      </c>
      <c r="K411" t="s">
        <v>49</v>
      </c>
      <c r="L411" s="1">
        <f>+Tabla__192.168.1.8_POSEIDONSQL_APPFVT_01_tblFillRateFechas[[#This Row],[emb_cantidad]]-Tabla__192.168.1.8_POSEIDONSQL_APPFVT_01_tblFillRateFechas[[#This Row],[dev_cantidad]]</f>
        <v>1</v>
      </c>
      <c r="M411" s="1">
        <f>+IF(Tabla__192.168.1.8_POSEIDONSQL_APPFVT_01_tblFillRateFechas[[#This Row],[Cant_Resultante]]=Tabla__192.168.1.8_POSEIDONSQL_APPFVT_01_tblFillRateFechas[[#This Row],[cant_order]],1,0)</f>
        <v>1</v>
      </c>
      <c r="N4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1" s="1">
        <f>+IF(AND(Tabla__192.168.1.8_POSEIDONSQL_APPFVT_01_tblFillRateFechas[[#This Row],[Valida Cant]]=1,Tabla__192.168.1.8_POSEIDONSQL_APPFVT_01_tblFillRateFechas[[#This Row],[Valida Fec]]=1),1,0)</f>
        <v>1</v>
      </c>
      <c r="P411" s="1">
        <f>+(Tabla__192.168.1.8_POSEIDONSQL_APPFVT_01_tblFillRateFechas[[#This Row],[Cant_Resultante]]/Tabla__192.168.1.8_POSEIDONSQL_APPFVT_01_tblFillRateFechas[[#This Row],[cant_order]])*100</f>
        <v>100</v>
      </c>
      <c r="Q4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1" s="1">
        <f>+IF(Tabla__192.168.1.8_POSEIDONSQL_APPFVT_01_tblFillRateFechas[[#This Row],[cant_order]]&gt;0,1,0)</f>
        <v>1</v>
      </c>
      <c r="V411" s="1">
        <f>+IF(Tabla__192.168.1.8_POSEIDONSQL_APPFVT_01_tblFillRateFechas[[#This Row],[Resultado]]=1,1,0)</f>
        <v>1</v>
      </c>
      <c r="W411" s="1" t="str">
        <f>+Tabla__192.168.1.8_POSEIDONSQL_APPFVT_01_tblFillRateFechas[[#This Row],[con_ocnumero]]&amp;Tabla__192.168.1.8_POSEIDONSQL_APPFVT_01_tblFillRateFechas[[#This Row],[con_codigounico]]</f>
        <v>9642139-</v>
      </c>
      <c r="X4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2" spans="1:24" x14ac:dyDescent="0.25">
      <c r="A412">
        <v>4</v>
      </c>
      <c r="B412" t="s">
        <v>56</v>
      </c>
      <c r="C412">
        <v>9642328</v>
      </c>
      <c r="D412" t="s">
        <v>1962</v>
      </c>
      <c r="E412" t="s">
        <v>1969</v>
      </c>
      <c r="F412" t="s">
        <v>1963</v>
      </c>
      <c r="G412">
        <v>1</v>
      </c>
      <c r="H412">
        <v>1</v>
      </c>
      <c r="I412" t="s">
        <v>1969</v>
      </c>
      <c r="J412">
        <v>0</v>
      </c>
      <c r="K412" t="s">
        <v>49</v>
      </c>
      <c r="L412" s="1">
        <f>+Tabla__192.168.1.8_POSEIDONSQL_APPFVT_01_tblFillRateFechas[[#This Row],[emb_cantidad]]-Tabla__192.168.1.8_POSEIDONSQL_APPFVT_01_tblFillRateFechas[[#This Row],[dev_cantidad]]</f>
        <v>1</v>
      </c>
      <c r="M412" s="1">
        <f>+IF(Tabla__192.168.1.8_POSEIDONSQL_APPFVT_01_tblFillRateFechas[[#This Row],[Cant_Resultante]]=Tabla__192.168.1.8_POSEIDONSQL_APPFVT_01_tblFillRateFechas[[#This Row],[cant_order]],1,0)</f>
        <v>1</v>
      </c>
      <c r="N4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2" s="1">
        <f>+IF(AND(Tabla__192.168.1.8_POSEIDONSQL_APPFVT_01_tblFillRateFechas[[#This Row],[Valida Cant]]=1,Tabla__192.168.1.8_POSEIDONSQL_APPFVT_01_tblFillRateFechas[[#This Row],[Valida Fec]]=1),1,0)</f>
        <v>1</v>
      </c>
      <c r="P412" s="1">
        <f>+(Tabla__192.168.1.8_POSEIDONSQL_APPFVT_01_tblFillRateFechas[[#This Row],[Cant_Resultante]]/Tabla__192.168.1.8_POSEIDONSQL_APPFVT_01_tblFillRateFechas[[#This Row],[cant_order]])*100</f>
        <v>100</v>
      </c>
      <c r="Q4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2" s="1">
        <f>+IF(Tabla__192.168.1.8_POSEIDONSQL_APPFVT_01_tblFillRateFechas[[#This Row],[cant_order]]&gt;0,1,0)</f>
        <v>1</v>
      </c>
      <c r="V412" s="1">
        <f>+IF(Tabla__192.168.1.8_POSEIDONSQL_APPFVT_01_tblFillRateFechas[[#This Row],[Resultado]]=1,1,0)</f>
        <v>1</v>
      </c>
      <c r="W412" s="1" t="str">
        <f>+Tabla__192.168.1.8_POSEIDONSQL_APPFVT_01_tblFillRateFechas[[#This Row],[con_ocnumero]]&amp;Tabla__192.168.1.8_POSEIDONSQL_APPFVT_01_tblFillRateFechas[[#This Row],[con_codigounico]]</f>
        <v>9642328-</v>
      </c>
      <c r="X4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3" spans="1:24" x14ac:dyDescent="0.25">
      <c r="A413">
        <v>4</v>
      </c>
      <c r="B413" t="s">
        <v>56</v>
      </c>
      <c r="C413">
        <v>9642436</v>
      </c>
      <c r="D413" t="s">
        <v>1962</v>
      </c>
      <c r="E413" t="s">
        <v>1969</v>
      </c>
      <c r="F413" t="s">
        <v>1963</v>
      </c>
      <c r="G413">
        <v>2</v>
      </c>
      <c r="H413">
        <v>2</v>
      </c>
      <c r="I413" t="s">
        <v>1969</v>
      </c>
      <c r="J413">
        <v>0</v>
      </c>
      <c r="K413" t="s">
        <v>49</v>
      </c>
      <c r="L413" s="1">
        <f>+Tabla__192.168.1.8_POSEIDONSQL_APPFVT_01_tblFillRateFechas[[#This Row],[emb_cantidad]]-Tabla__192.168.1.8_POSEIDONSQL_APPFVT_01_tblFillRateFechas[[#This Row],[dev_cantidad]]</f>
        <v>2</v>
      </c>
      <c r="M413" s="1">
        <f>+IF(Tabla__192.168.1.8_POSEIDONSQL_APPFVT_01_tblFillRateFechas[[#This Row],[Cant_Resultante]]=Tabla__192.168.1.8_POSEIDONSQL_APPFVT_01_tblFillRateFechas[[#This Row],[cant_order]],1,0)</f>
        <v>1</v>
      </c>
      <c r="N4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3" s="1">
        <f>+IF(AND(Tabla__192.168.1.8_POSEIDONSQL_APPFVT_01_tblFillRateFechas[[#This Row],[Valida Cant]]=1,Tabla__192.168.1.8_POSEIDONSQL_APPFVT_01_tblFillRateFechas[[#This Row],[Valida Fec]]=1),1,0)</f>
        <v>1</v>
      </c>
      <c r="P413" s="1">
        <f>+(Tabla__192.168.1.8_POSEIDONSQL_APPFVT_01_tblFillRateFechas[[#This Row],[Cant_Resultante]]/Tabla__192.168.1.8_POSEIDONSQL_APPFVT_01_tblFillRateFechas[[#This Row],[cant_order]])*100</f>
        <v>100</v>
      </c>
      <c r="Q4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4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4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3" s="1">
        <f>+IF(Tabla__192.168.1.8_POSEIDONSQL_APPFVT_01_tblFillRateFechas[[#This Row],[cant_order]]&gt;0,1,0)</f>
        <v>1</v>
      </c>
      <c r="V413" s="1">
        <f>+IF(Tabla__192.168.1.8_POSEIDONSQL_APPFVT_01_tblFillRateFechas[[#This Row],[Resultado]]=1,1,0)</f>
        <v>1</v>
      </c>
      <c r="W413" s="1" t="str">
        <f>+Tabla__192.168.1.8_POSEIDONSQL_APPFVT_01_tblFillRateFechas[[#This Row],[con_ocnumero]]&amp;Tabla__192.168.1.8_POSEIDONSQL_APPFVT_01_tblFillRateFechas[[#This Row],[con_codigounico]]</f>
        <v>9642436-</v>
      </c>
      <c r="X4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414" spans="1:24" x14ac:dyDescent="0.25">
      <c r="A414">
        <v>4</v>
      </c>
      <c r="B414" t="s">
        <v>56</v>
      </c>
      <c r="C414">
        <v>9643255</v>
      </c>
      <c r="D414" t="s">
        <v>1962</v>
      </c>
      <c r="E414" t="s">
        <v>1969</v>
      </c>
      <c r="F414" t="s">
        <v>1963</v>
      </c>
      <c r="G414">
        <v>1</v>
      </c>
      <c r="H414">
        <v>1</v>
      </c>
      <c r="I414" t="s">
        <v>1969</v>
      </c>
      <c r="J414">
        <v>0</v>
      </c>
      <c r="K414" t="s">
        <v>49</v>
      </c>
      <c r="L414" s="1">
        <f>+Tabla__192.168.1.8_POSEIDONSQL_APPFVT_01_tblFillRateFechas[[#This Row],[emb_cantidad]]-Tabla__192.168.1.8_POSEIDONSQL_APPFVT_01_tblFillRateFechas[[#This Row],[dev_cantidad]]</f>
        <v>1</v>
      </c>
      <c r="M414" s="1">
        <f>+IF(Tabla__192.168.1.8_POSEIDONSQL_APPFVT_01_tblFillRateFechas[[#This Row],[Cant_Resultante]]=Tabla__192.168.1.8_POSEIDONSQL_APPFVT_01_tblFillRateFechas[[#This Row],[cant_order]],1,0)</f>
        <v>1</v>
      </c>
      <c r="N4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4" s="1">
        <f>+IF(AND(Tabla__192.168.1.8_POSEIDONSQL_APPFVT_01_tblFillRateFechas[[#This Row],[Valida Cant]]=1,Tabla__192.168.1.8_POSEIDONSQL_APPFVT_01_tblFillRateFechas[[#This Row],[Valida Fec]]=1),1,0)</f>
        <v>1</v>
      </c>
      <c r="P414" s="1">
        <f>+(Tabla__192.168.1.8_POSEIDONSQL_APPFVT_01_tblFillRateFechas[[#This Row],[Cant_Resultante]]/Tabla__192.168.1.8_POSEIDONSQL_APPFVT_01_tblFillRateFechas[[#This Row],[cant_order]])*100</f>
        <v>100</v>
      </c>
      <c r="Q4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4" s="1">
        <f>+IF(Tabla__192.168.1.8_POSEIDONSQL_APPFVT_01_tblFillRateFechas[[#This Row],[cant_order]]&gt;0,1,0)</f>
        <v>1</v>
      </c>
      <c r="V414" s="1">
        <f>+IF(Tabla__192.168.1.8_POSEIDONSQL_APPFVT_01_tblFillRateFechas[[#This Row],[Resultado]]=1,1,0)</f>
        <v>1</v>
      </c>
      <c r="W414" s="1" t="str">
        <f>+Tabla__192.168.1.8_POSEIDONSQL_APPFVT_01_tblFillRateFechas[[#This Row],[con_ocnumero]]&amp;Tabla__192.168.1.8_POSEIDONSQL_APPFVT_01_tblFillRateFechas[[#This Row],[con_codigounico]]</f>
        <v>9643255-</v>
      </c>
      <c r="X4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5" spans="1:24" x14ac:dyDescent="0.25">
      <c r="A415">
        <v>4</v>
      </c>
      <c r="B415" t="s">
        <v>56</v>
      </c>
      <c r="C415">
        <v>9643490</v>
      </c>
      <c r="D415" t="s">
        <v>1962</v>
      </c>
      <c r="E415" t="s">
        <v>1969</v>
      </c>
      <c r="F415" t="s">
        <v>1963</v>
      </c>
      <c r="G415">
        <v>1</v>
      </c>
      <c r="H415">
        <v>1</v>
      </c>
      <c r="I415" t="s">
        <v>1969</v>
      </c>
      <c r="J415">
        <v>0</v>
      </c>
      <c r="K415" t="s">
        <v>49</v>
      </c>
      <c r="L415" s="1">
        <f>+Tabla__192.168.1.8_POSEIDONSQL_APPFVT_01_tblFillRateFechas[[#This Row],[emb_cantidad]]-Tabla__192.168.1.8_POSEIDONSQL_APPFVT_01_tblFillRateFechas[[#This Row],[dev_cantidad]]</f>
        <v>1</v>
      </c>
      <c r="M415" s="1">
        <f>+IF(Tabla__192.168.1.8_POSEIDONSQL_APPFVT_01_tblFillRateFechas[[#This Row],[Cant_Resultante]]=Tabla__192.168.1.8_POSEIDONSQL_APPFVT_01_tblFillRateFechas[[#This Row],[cant_order]],1,0)</f>
        <v>1</v>
      </c>
      <c r="N4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5" s="1">
        <f>+IF(AND(Tabla__192.168.1.8_POSEIDONSQL_APPFVT_01_tblFillRateFechas[[#This Row],[Valida Cant]]=1,Tabla__192.168.1.8_POSEIDONSQL_APPFVT_01_tblFillRateFechas[[#This Row],[Valida Fec]]=1),1,0)</f>
        <v>1</v>
      </c>
      <c r="P415" s="1">
        <f>+(Tabla__192.168.1.8_POSEIDONSQL_APPFVT_01_tblFillRateFechas[[#This Row],[Cant_Resultante]]/Tabla__192.168.1.8_POSEIDONSQL_APPFVT_01_tblFillRateFechas[[#This Row],[cant_order]])*100</f>
        <v>100</v>
      </c>
      <c r="Q4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5" s="1">
        <f>+IF(Tabla__192.168.1.8_POSEIDONSQL_APPFVT_01_tblFillRateFechas[[#This Row],[cant_order]]&gt;0,1,0)</f>
        <v>1</v>
      </c>
      <c r="V415" s="1">
        <f>+IF(Tabla__192.168.1.8_POSEIDONSQL_APPFVT_01_tblFillRateFechas[[#This Row],[Resultado]]=1,1,0)</f>
        <v>1</v>
      </c>
      <c r="W415" s="1" t="str">
        <f>+Tabla__192.168.1.8_POSEIDONSQL_APPFVT_01_tblFillRateFechas[[#This Row],[con_ocnumero]]&amp;Tabla__192.168.1.8_POSEIDONSQL_APPFVT_01_tblFillRateFechas[[#This Row],[con_codigounico]]</f>
        <v>9643490-</v>
      </c>
      <c r="X4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6" spans="1:24" x14ac:dyDescent="0.25">
      <c r="A416">
        <v>4</v>
      </c>
      <c r="B416" t="s">
        <v>56</v>
      </c>
      <c r="C416">
        <v>9643777</v>
      </c>
      <c r="D416" t="s">
        <v>1962</v>
      </c>
      <c r="E416" t="s">
        <v>1969</v>
      </c>
      <c r="F416" t="s">
        <v>1963</v>
      </c>
      <c r="G416">
        <v>1</v>
      </c>
      <c r="H416">
        <v>0</v>
      </c>
      <c r="I416" t="s">
        <v>12</v>
      </c>
      <c r="J416">
        <v>0</v>
      </c>
      <c r="K416" t="s">
        <v>49</v>
      </c>
      <c r="L416" s="1">
        <f>+Tabla__192.168.1.8_POSEIDONSQL_APPFVT_01_tblFillRateFechas[[#This Row],[emb_cantidad]]-Tabla__192.168.1.8_POSEIDONSQL_APPFVT_01_tblFillRateFechas[[#This Row],[dev_cantidad]]</f>
        <v>0</v>
      </c>
      <c r="M416" s="1">
        <f>+IF(Tabla__192.168.1.8_POSEIDONSQL_APPFVT_01_tblFillRateFechas[[#This Row],[Cant_Resultante]]=Tabla__192.168.1.8_POSEIDONSQL_APPFVT_01_tblFillRateFechas[[#This Row],[cant_order]],1,0)</f>
        <v>0</v>
      </c>
      <c r="N4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416" s="1">
        <f>+IF(AND(Tabla__192.168.1.8_POSEIDONSQL_APPFVT_01_tblFillRateFechas[[#This Row],[Valida Cant]]=1,Tabla__192.168.1.8_POSEIDONSQL_APPFVT_01_tblFillRateFechas[[#This Row],[Valida Fec]]=1),1,0)</f>
        <v>0</v>
      </c>
      <c r="P416" s="1">
        <f>+(Tabla__192.168.1.8_POSEIDONSQL_APPFVT_01_tblFillRateFechas[[#This Row],[Cant_Resultante]]/Tabla__192.168.1.8_POSEIDONSQL_APPFVT_01_tblFillRateFechas[[#This Row],[cant_order]])*100</f>
        <v>0</v>
      </c>
      <c r="Q4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4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4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416" s="1">
        <f>+IF(Tabla__192.168.1.8_POSEIDONSQL_APPFVT_01_tblFillRateFechas[[#This Row],[cant_order]]&gt;0,1,0)</f>
        <v>1</v>
      </c>
      <c r="V416" s="1">
        <f>+IF(Tabla__192.168.1.8_POSEIDONSQL_APPFVT_01_tblFillRateFechas[[#This Row],[Resultado]]=1,1,0)</f>
        <v>0</v>
      </c>
      <c r="W416" s="1" t="str">
        <f>+Tabla__192.168.1.8_POSEIDONSQL_APPFVT_01_tblFillRateFechas[[#This Row],[con_ocnumero]]&amp;Tabla__192.168.1.8_POSEIDONSQL_APPFVT_01_tblFillRateFechas[[#This Row],[con_codigounico]]</f>
        <v>9643777-</v>
      </c>
      <c r="X4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417" spans="1:24" x14ac:dyDescent="0.25">
      <c r="A417">
        <v>4</v>
      </c>
      <c r="B417" t="s">
        <v>56</v>
      </c>
      <c r="C417">
        <v>9644660</v>
      </c>
      <c r="D417" t="s">
        <v>1962</v>
      </c>
      <c r="E417" t="s">
        <v>163</v>
      </c>
      <c r="F417" t="s">
        <v>1963</v>
      </c>
      <c r="G417">
        <v>1</v>
      </c>
      <c r="H417">
        <v>1</v>
      </c>
      <c r="I417" t="s">
        <v>163</v>
      </c>
      <c r="J417">
        <v>0</v>
      </c>
      <c r="K417" t="s">
        <v>49</v>
      </c>
      <c r="L417" s="1">
        <f>+Tabla__192.168.1.8_POSEIDONSQL_APPFVT_01_tblFillRateFechas[[#This Row],[emb_cantidad]]-Tabla__192.168.1.8_POSEIDONSQL_APPFVT_01_tblFillRateFechas[[#This Row],[dev_cantidad]]</f>
        <v>1</v>
      </c>
      <c r="M417" s="1">
        <f>+IF(Tabla__192.168.1.8_POSEIDONSQL_APPFVT_01_tblFillRateFechas[[#This Row],[Cant_Resultante]]=Tabla__192.168.1.8_POSEIDONSQL_APPFVT_01_tblFillRateFechas[[#This Row],[cant_order]],1,0)</f>
        <v>1</v>
      </c>
      <c r="N4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7" s="1">
        <f>+IF(AND(Tabla__192.168.1.8_POSEIDONSQL_APPFVT_01_tblFillRateFechas[[#This Row],[Valida Cant]]=1,Tabla__192.168.1.8_POSEIDONSQL_APPFVT_01_tblFillRateFechas[[#This Row],[Valida Fec]]=1),1,0)</f>
        <v>1</v>
      </c>
      <c r="P417" s="1">
        <f>+(Tabla__192.168.1.8_POSEIDONSQL_APPFVT_01_tblFillRateFechas[[#This Row],[Cant_Resultante]]/Tabla__192.168.1.8_POSEIDONSQL_APPFVT_01_tblFillRateFechas[[#This Row],[cant_order]])*100</f>
        <v>100</v>
      </c>
      <c r="Q4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7" s="1">
        <f>+IF(Tabla__192.168.1.8_POSEIDONSQL_APPFVT_01_tblFillRateFechas[[#This Row],[cant_order]]&gt;0,1,0)</f>
        <v>1</v>
      </c>
      <c r="V417" s="1">
        <f>+IF(Tabla__192.168.1.8_POSEIDONSQL_APPFVT_01_tblFillRateFechas[[#This Row],[Resultado]]=1,1,0)</f>
        <v>1</v>
      </c>
      <c r="W417" s="1" t="str">
        <f>+Tabla__192.168.1.8_POSEIDONSQL_APPFVT_01_tblFillRateFechas[[#This Row],[con_ocnumero]]&amp;Tabla__192.168.1.8_POSEIDONSQL_APPFVT_01_tblFillRateFechas[[#This Row],[con_codigounico]]</f>
        <v>9644660-</v>
      </c>
      <c r="X4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8" spans="1:24" x14ac:dyDescent="0.25">
      <c r="A418">
        <v>4</v>
      </c>
      <c r="B418" t="s">
        <v>56</v>
      </c>
      <c r="C418">
        <v>9644680</v>
      </c>
      <c r="D418" t="s">
        <v>1962</v>
      </c>
      <c r="E418" t="s">
        <v>163</v>
      </c>
      <c r="F418" t="s">
        <v>1963</v>
      </c>
      <c r="G418">
        <v>1</v>
      </c>
      <c r="H418">
        <v>1</v>
      </c>
      <c r="I418" t="s">
        <v>163</v>
      </c>
      <c r="J418">
        <v>0</v>
      </c>
      <c r="K418" t="s">
        <v>49</v>
      </c>
      <c r="L418" s="1">
        <f>+Tabla__192.168.1.8_POSEIDONSQL_APPFVT_01_tblFillRateFechas[[#This Row],[emb_cantidad]]-Tabla__192.168.1.8_POSEIDONSQL_APPFVT_01_tblFillRateFechas[[#This Row],[dev_cantidad]]</f>
        <v>1</v>
      </c>
      <c r="M418" s="1">
        <f>+IF(Tabla__192.168.1.8_POSEIDONSQL_APPFVT_01_tblFillRateFechas[[#This Row],[Cant_Resultante]]=Tabla__192.168.1.8_POSEIDONSQL_APPFVT_01_tblFillRateFechas[[#This Row],[cant_order]],1,0)</f>
        <v>1</v>
      </c>
      <c r="N4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8" s="1">
        <f>+IF(AND(Tabla__192.168.1.8_POSEIDONSQL_APPFVT_01_tblFillRateFechas[[#This Row],[Valida Cant]]=1,Tabla__192.168.1.8_POSEIDONSQL_APPFVT_01_tblFillRateFechas[[#This Row],[Valida Fec]]=1),1,0)</f>
        <v>1</v>
      </c>
      <c r="P418" s="1">
        <f>+(Tabla__192.168.1.8_POSEIDONSQL_APPFVT_01_tblFillRateFechas[[#This Row],[Cant_Resultante]]/Tabla__192.168.1.8_POSEIDONSQL_APPFVT_01_tblFillRateFechas[[#This Row],[cant_order]])*100</f>
        <v>100</v>
      </c>
      <c r="Q4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8" s="1">
        <f>+IF(Tabla__192.168.1.8_POSEIDONSQL_APPFVT_01_tblFillRateFechas[[#This Row],[cant_order]]&gt;0,1,0)</f>
        <v>1</v>
      </c>
      <c r="V418" s="1">
        <f>+IF(Tabla__192.168.1.8_POSEIDONSQL_APPFVT_01_tblFillRateFechas[[#This Row],[Resultado]]=1,1,0)</f>
        <v>1</v>
      </c>
      <c r="W418" s="1" t="str">
        <f>+Tabla__192.168.1.8_POSEIDONSQL_APPFVT_01_tblFillRateFechas[[#This Row],[con_ocnumero]]&amp;Tabla__192.168.1.8_POSEIDONSQL_APPFVT_01_tblFillRateFechas[[#This Row],[con_codigounico]]</f>
        <v>9644680-</v>
      </c>
      <c r="X4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19" spans="1:24" x14ac:dyDescent="0.25">
      <c r="A419">
        <v>4</v>
      </c>
      <c r="B419" t="s">
        <v>56</v>
      </c>
      <c r="C419">
        <v>9644734</v>
      </c>
      <c r="D419" t="s">
        <v>1962</v>
      </c>
      <c r="E419" t="s">
        <v>163</v>
      </c>
      <c r="F419" t="s">
        <v>1963</v>
      </c>
      <c r="G419">
        <v>1</v>
      </c>
      <c r="H419">
        <v>1</v>
      </c>
      <c r="I419" t="s">
        <v>163</v>
      </c>
      <c r="J419">
        <v>0</v>
      </c>
      <c r="K419" t="s">
        <v>49</v>
      </c>
      <c r="L419" s="1">
        <f>+Tabla__192.168.1.8_POSEIDONSQL_APPFVT_01_tblFillRateFechas[[#This Row],[emb_cantidad]]-Tabla__192.168.1.8_POSEIDONSQL_APPFVT_01_tblFillRateFechas[[#This Row],[dev_cantidad]]</f>
        <v>1</v>
      </c>
      <c r="M419" s="1">
        <f>+IF(Tabla__192.168.1.8_POSEIDONSQL_APPFVT_01_tblFillRateFechas[[#This Row],[Cant_Resultante]]=Tabla__192.168.1.8_POSEIDONSQL_APPFVT_01_tblFillRateFechas[[#This Row],[cant_order]],1,0)</f>
        <v>1</v>
      </c>
      <c r="N4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19" s="1">
        <f>+IF(AND(Tabla__192.168.1.8_POSEIDONSQL_APPFVT_01_tblFillRateFechas[[#This Row],[Valida Cant]]=1,Tabla__192.168.1.8_POSEIDONSQL_APPFVT_01_tblFillRateFechas[[#This Row],[Valida Fec]]=1),1,0)</f>
        <v>1</v>
      </c>
      <c r="P419" s="1">
        <f>+(Tabla__192.168.1.8_POSEIDONSQL_APPFVT_01_tblFillRateFechas[[#This Row],[Cant_Resultante]]/Tabla__192.168.1.8_POSEIDONSQL_APPFVT_01_tblFillRateFechas[[#This Row],[cant_order]])*100</f>
        <v>100</v>
      </c>
      <c r="Q4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19" s="1">
        <f>+IF(Tabla__192.168.1.8_POSEIDONSQL_APPFVT_01_tblFillRateFechas[[#This Row],[cant_order]]&gt;0,1,0)</f>
        <v>1</v>
      </c>
      <c r="V419" s="1">
        <f>+IF(Tabla__192.168.1.8_POSEIDONSQL_APPFVT_01_tblFillRateFechas[[#This Row],[Resultado]]=1,1,0)</f>
        <v>1</v>
      </c>
      <c r="W419" s="1" t="str">
        <f>+Tabla__192.168.1.8_POSEIDONSQL_APPFVT_01_tblFillRateFechas[[#This Row],[con_ocnumero]]&amp;Tabla__192.168.1.8_POSEIDONSQL_APPFVT_01_tblFillRateFechas[[#This Row],[con_codigounico]]</f>
        <v>9644734-</v>
      </c>
      <c r="X4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0" spans="1:24" x14ac:dyDescent="0.25">
      <c r="A420">
        <v>4</v>
      </c>
      <c r="B420" t="s">
        <v>56</v>
      </c>
      <c r="C420">
        <v>9644936</v>
      </c>
      <c r="D420" t="s">
        <v>1962</v>
      </c>
      <c r="E420" t="s">
        <v>163</v>
      </c>
      <c r="F420" t="s">
        <v>1963</v>
      </c>
      <c r="G420">
        <v>1</v>
      </c>
      <c r="H420">
        <v>1</v>
      </c>
      <c r="I420" t="s">
        <v>163</v>
      </c>
      <c r="J420">
        <v>0</v>
      </c>
      <c r="K420" t="s">
        <v>49</v>
      </c>
      <c r="L420" s="1">
        <f>+Tabla__192.168.1.8_POSEIDONSQL_APPFVT_01_tblFillRateFechas[[#This Row],[emb_cantidad]]-Tabla__192.168.1.8_POSEIDONSQL_APPFVT_01_tblFillRateFechas[[#This Row],[dev_cantidad]]</f>
        <v>1</v>
      </c>
      <c r="M420" s="1">
        <f>+IF(Tabla__192.168.1.8_POSEIDONSQL_APPFVT_01_tblFillRateFechas[[#This Row],[Cant_Resultante]]=Tabla__192.168.1.8_POSEIDONSQL_APPFVT_01_tblFillRateFechas[[#This Row],[cant_order]],1,0)</f>
        <v>1</v>
      </c>
      <c r="N4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0" s="1">
        <f>+IF(AND(Tabla__192.168.1.8_POSEIDONSQL_APPFVT_01_tblFillRateFechas[[#This Row],[Valida Cant]]=1,Tabla__192.168.1.8_POSEIDONSQL_APPFVT_01_tblFillRateFechas[[#This Row],[Valida Fec]]=1),1,0)</f>
        <v>1</v>
      </c>
      <c r="P420" s="1">
        <f>+(Tabla__192.168.1.8_POSEIDONSQL_APPFVT_01_tblFillRateFechas[[#This Row],[Cant_Resultante]]/Tabla__192.168.1.8_POSEIDONSQL_APPFVT_01_tblFillRateFechas[[#This Row],[cant_order]])*100</f>
        <v>100</v>
      </c>
      <c r="Q4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0" s="1">
        <f>+IF(Tabla__192.168.1.8_POSEIDONSQL_APPFVT_01_tblFillRateFechas[[#This Row],[cant_order]]&gt;0,1,0)</f>
        <v>1</v>
      </c>
      <c r="V420" s="1">
        <f>+IF(Tabla__192.168.1.8_POSEIDONSQL_APPFVT_01_tblFillRateFechas[[#This Row],[Resultado]]=1,1,0)</f>
        <v>1</v>
      </c>
      <c r="W420" s="1" t="str">
        <f>+Tabla__192.168.1.8_POSEIDONSQL_APPFVT_01_tblFillRateFechas[[#This Row],[con_ocnumero]]&amp;Tabla__192.168.1.8_POSEIDONSQL_APPFVT_01_tblFillRateFechas[[#This Row],[con_codigounico]]</f>
        <v>9644936-</v>
      </c>
      <c r="X4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1" spans="1:24" x14ac:dyDescent="0.25">
      <c r="A421">
        <v>4</v>
      </c>
      <c r="B421" t="s">
        <v>56</v>
      </c>
      <c r="C421">
        <v>9645025</v>
      </c>
      <c r="D421" t="s">
        <v>1962</v>
      </c>
      <c r="E421" t="s">
        <v>163</v>
      </c>
      <c r="F421" t="s">
        <v>1963</v>
      </c>
      <c r="G421">
        <v>1</v>
      </c>
      <c r="H421">
        <v>1</v>
      </c>
      <c r="I421" t="s">
        <v>163</v>
      </c>
      <c r="J421">
        <v>0</v>
      </c>
      <c r="K421" t="s">
        <v>49</v>
      </c>
      <c r="L421" s="1">
        <f>+Tabla__192.168.1.8_POSEIDONSQL_APPFVT_01_tblFillRateFechas[[#This Row],[emb_cantidad]]-Tabla__192.168.1.8_POSEIDONSQL_APPFVT_01_tblFillRateFechas[[#This Row],[dev_cantidad]]</f>
        <v>1</v>
      </c>
      <c r="M421" s="1">
        <f>+IF(Tabla__192.168.1.8_POSEIDONSQL_APPFVT_01_tblFillRateFechas[[#This Row],[Cant_Resultante]]=Tabla__192.168.1.8_POSEIDONSQL_APPFVT_01_tblFillRateFechas[[#This Row],[cant_order]],1,0)</f>
        <v>1</v>
      </c>
      <c r="N4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1" s="1">
        <f>+IF(AND(Tabla__192.168.1.8_POSEIDONSQL_APPFVT_01_tblFillRateFechas[[#This Row],[Valida Cant]]=1,Tabla__192.168.1.8_POSEIDONSQL_APPFVT_01_tblFillRateFechas[[#This Row],[Valida Fec]]=1),1,0)</f>
        <v>1</v>
      </c>
      <c r="P421" s="1">
        <f>+(Tabla__192.168.1.8_POSEIDONSQL_APPFVT_01_tblFillRateFechas[[#This Row],[Cant_Resultante]]/Tabla__192.168.1.8_POSEIDONSQL_APPFVT_01_tblFillRateFechas[[#This Row],[cant_order]])*100</f>
        <v>100</v>
      </c>
      <c r="Q4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1" s="1">
        <f>+IF(Tabla__192.168.1.8_POSEIDONSQL_APPFVT_01_tblFillRateFechas[[#This Row],[cant_order]]&gt;0,1,0)</f>
        <v>1</v>
      </c>
      <c r="V421" s="1">
        <f>+IF(Tabla__192.168.1.8_POSEIDONSQL_APPFVT_01_tblFillRateFechas[[#This Row],[Resultado]]=1,1,0)</f>
        <v>1</v>
      </c>
      <c r="W421" s="1" t="str">
        <f>+Tabla__192.168.1.8_POSEIDONSQL_APPFVT_01_tblFillRateFechas[[#This Row],[con_ocnumero]]&amp;Tabla__192.168.1.8_POSEIDONSQL_APPFVT_01_tblFillRateFechas[[#This Row],[con_codigounico]]</f>
        <v>9645025-</v>
      </c>
      <c r="X4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2" spans="1:24" x14ac:dyDescent="0.25">
      <c r="A422">
        <v>4</v>
      </c>
      <c r="B422" t="s">
        <v>56</v>
      </c>
      <c r="C422">
        <v>9645137</v>
      </c>
      <c r="D422" t="s">
        <v>1966</v>
      </c>
      <c r="E422" t="s">
        <v>427</v>
      </c>
      <c r="F422" t="s">
        <v>1963</v>
      </c>
      <c r="G422">
        <v>1</v>
      </c>
      <c r="H422">
        <v>0</v>
      </c>
      <c r="I422" t="s">
        <v>12</v>
      </c>
      <c r="J422">
        <v>0</v>
      </c>
      <c r="K422" t="s">
        <v>49</v>
      </c>
      <c r="L422" s="1">
        <f>+Tabla__192.168.1.8_POSEIDONSQL_APPFVT_01_tblFillRateFechas[[#This Row],[emb_cantidad]]-Tabla__192.168.1.8_POSEIDONSQL_APPFVT_01_tblFillRateFechas[[#This Row],[dev_cantidad]]</f>
        <v>0</v>
      </c>
      <c r="M422" s="1">
        <f>+IF(Tabla__192.168.1.8_POSEIDONSQL_APPFVT_01_tblFillRateFechas[[#This Row],[Cant_Resultante]]=Tabla__192.168.1.8_POSEIDONSQL_APPFVT_01_tblFillRateFechas[[#This Row],[cant_order]],1,0)</f>
        <v>0</v>
      </c>
      <c r="N4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422" s="1">
        <f>+IF(AND(Tabla__192.168.1.8_POSEIDONSQL_APPFVT_01_tblFillRateFechas[[#This Row],[Valida Cant]]=1,Tabla__192.168.1.8_POSEIDONSQL_APPFVT_01_tblFillRateFechas[[#This Row],[Valida Fec]]=1),1,0)</f>
        <v>0</v>
      </c>
      <c r="P422" s="1">
        <f>+(Tabla__192.168.1.8_POSEIDONSQL_APPFVT_01_tblFillRateFechas[[#This Row],[Cant_Resultante]]/Tabla__192.168.1.8_POSEIDONSQL_APPFVT_01_tblFillRateFechas[[#This Row],[cant_order]])*100</f>
        <v>0</v>
      </c>
      <c r="Q4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4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4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422" s="1">
        <f>+IF(Tabla__192.168.1.8_POSEIDONSQL_APPFVT_01_tblFillRateFechas[[#This Row],[cant_order]]&gt;0,1,0)</f>
        <v>1</v>
      </c>
      <c r="V422" s="1">
        <f>+IF(Tabla__192.168.1.8_POSEIDONSQL_APPFVT_01_tblFillRateFechas[[#This Row],[Resultado]]=1,1,0)</f>
        <v>0</v>
      </c>
      <c r="W422" s="1" t="str">
        <f>+Tabla__192.168.1.8_POSEIDONSQL_APPFVT_01_tblFillRateFechas[[#This Row],[con_ocnumero]]&amp;Tabla__192.168.1.8_POSEIDONSQL_APPFVT_01_tblFillRateFechas[[#This Row],[con_codigounico]]</f>
        <v>9645137-</v>
      </c>
      <c r="X4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423" spans="1:24" x14ac:dyDescent="0.25">
      <c r="A423">
        <v>4</v>
      </c>
      <c r="B423" t="s">
        <v>56</v>
      </c>
      <c r="C423">
        <v>9645192</v>
      </c>
      <c r="D423" t="s">
        <v>1966</v>
      </c>
      <c r="E423" t="s">
        <v>163</v>
      </c>
      <c r="F423" t="s">
        <v>1963</v>
      </c>
      <c r="G423">
        <v>1</v>
      </c>
      <c r="H423">
        <v>1</v>
      </c>
      <c r="I423" t="s">
        <v>163</v>
      </c>
      <c r="J423">
        <v>0</v>
      </c>
      <c r="K423" t="s">
        <v>49</v>
      </c>
      <c r="L423" s="1">
        <f>+Tabla__192.168.1.8_POSEIDONSQL_APPFVT_01_tblFillRateFechas[[#This Row],[emb_cantidad]]-Tabla__192.168.1.8_POSEIDONSQL_APPFVT_01_tblFillRateFechas[[#This Row],[dev_cantidad]]</f>
        <v>1</v>
      </c>
      <c r="M423" s="1">
        <f>+IF(Tabla__192.168.1.8_POSEIDONSQL_APPFVT_01_tblFillRateFechas[[#This Row],[Cant_Resultante]]=Tabla__192.168.1.8_POSEIDONSQL_APPFVT_01_tblFillRateFechas[[#This Row],[cant_order]],1,0)</f>
        <v>1</v>
      </c>
      <c r="N4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3" s="1">
        <f>+IF(AND(Tabla__192.168.1.8_POSEIDONSQL_APPFVT_01_tblFillRateFechas[[#This Row],[Valida Cant]]=1,Tabla__192.168.1.8_POSEIDONSQL_APPFVT_01_tblFillRateFechas[[#This Row],[Valida Fec]]=1),1,0)</f>
        <v>1</v>
      </c>
      <c r="P423" s="1">
        <f>+(Tabla__192.168.1.8_POSEIDONSQL_APPFVT_01_tblFillRateFechas[[#This Row],[Cant_Resultante]]/Tabla__192.168.1.8_POSEIDONSQL_APPFVT_01_tblFillRateFechas[[#This Row],[cant_order]])*100</f>
        <v>100</v>
      </c>
      <c r="Q4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3" s="1">
        <f>+IF(Tabla__192.168.1.8_POSEIDONSQL_APPFVT_01_tblFillRateFechas[[#This Row],[cant_order]]&gt;0,1,0)</f>
        <v>1</v>
      </c>
      <c r="V423" s="1">
        <f>+IF(Tabla__192.168.1.8_POSEIDONSQL_APPFVT_01_tblFillRateFechas[[#This Row],[Resultado]]=1,1,0)</f>
        <v>1</v>
      </c>
      <c r="W423" s="1" t="str">
        <f>+Tabla__192.168.1.8_POSEIDONSQL_APPFVT_01_tblFillRateFechas[[#This Row],[con_ocnumero]]&amp;Tabla__192.168.1.8_POSEIDONSQL_APPFVT_01_tblFillRateFechas[[#This Row],[con_codigounico]]</f>
        <v>9645192-</v>
      </c>
      <c r="X4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4" spans="1:24" x14ac:dyDescent="0.25">
      <c r="A424">
        <v>4</v>
      </c>
      <c r="B424" t="s">
        <v>56</v>
      </c>
      <c r="C424">
        <v>9646881</v>
      </c>
      <c r="D424" t="s">
        <v>1966</v>
      </c>
      <c r="E424" t="s">
        <v>163</v>
      </c>
      <c r="F424" t="s">
        <v>1963</v>
      </c>
      <c r="G424">
        <v>1</v>
      </c>
      <c r="H424">
        <v>1</v>
      </c>
      <c r="I424" t="s">
        <v>163</v>
      </c>
      <c r="J424">
        <v>0</v>
      </c>
      <c r="K424" t="s">
        <v>49</v>
      </c>
      <c r="L424" s="1">
        <f>+Tabla__192.168.1.8_POSEIDONSQL_APPFVT_01_tblFillRateFechas[[#This Row],[emb_cantidad]]-Tabla__192.168.1.8_POSEIDONSQL_APPFVT_01_tblFillRateFechas[[#This Row],[dev_cantidad]]</f>
        <v>1</v>
      </c>
      <c r="M424" s="1">
        <f>+IF(Tabla__192.168.1.8_POSEIDONSQL_APPFVT_01_tblFillRateFechas[[#This Row],[Cant_Resultante]]=Tabla__192.168.1.8_POSEIDONSQL_APPFVT_01_tblFillRateFechas[[#This Row],[cant_order]],1,0)</f>
        <v>1</v>
      </c>
      <c r="N4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4" s="1">
        <f>+IF(AND(Tabla__192.168.1.8_POSEIDONSQL_APPFVT_01_tblFillRateFechas[[#This Row],[Valida Cant]]=1,Tabla__192.168.1.8_POSEIDONSQL_APPFVT_01_tblFillRateFechas[[#This Row],[Valida Fec]]=1),1,0)</f>
        <v>1</v>
      </c>
      <c r="P424" s="1">
        <f>+(Tabla__192.168.1.8_POSEIDONSQL_APPFVT_01_tblFillRateFechas[[#This Row],[Cant_Resultante]]/Tabla__192.168.1.8_POSEIDONSQL_APPFVT_01_tblFillRateFechas[[#This Row],[cant_order]])*100</f>
        <v>100</v>
      </c>
      <c r="Q4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4" s="1">
        <f>+IF(Tabla__192.168.1.8_POSEIDONSQL_APPFVT_01_tblFillRateFechas[[#This Row],[cant_order]]&gt;0,1,0)</f>
        <v>1</v>
      </c>
      <c r="V424" s="1">
        <f>+IF(Tabla__192.168.1.8_POSEIDONSQL_APPFVT_01_tblFillRateFechas[[#This Row],[Resultado]]=1,1,0)</f>
        <v>1</v>
      </c>
      <c r="W424" s="1" t="str">
        <f>+Tabla__192.168.1.8_POSEIDONSQL_APPFVT_01_tblFillRateFechas[[#This Row],[con_ocnumero]]&amp;Tabla__192.168.1.8_POSEIDONSQL_APPFVT_01_tblFillRateFechas[[#This Row],[con_codigounico]]</f>
        <v>9646881-</v>
      </c>
      <c r="X4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5" spans="1:24" x14ac:dyDescent="0.25">
      <c r="A425">
        <v>4</v>
      </c>
      <c r="B425" t="s">
        <v>56</v>
      </c>
      <c r="C425">
        <v>9647747</v>
      </c>
      <c r="D425" t="s">
        <v>1966</v>
      </c>
      <c r="E425" t="s">
        <v>427</v>
      </c>
      <c r="F425" t="s">
        <v>1963</v>
      </c>
      <c r="G425">
        <v>1</v>
      </c>
      <c r="H425">
        <v>1</v>
      </c>
      <c r="I425" t="s">
        <v>427</v>
      </c>
      <c r="J425">
        <v>0</v>
      </c>
      <c r="K425" t="s">
        <v>49</v>
      </c>
      <c r="L425" s="1">
        <f>+Tabla__192.168.1.8_POSEIDONSQL_APPFVT_01_tblFillRateFechas[[#This Row],[emb_cantidad]]-Tabla__192.168.1.8_POSEIDONSQL_APPFVT_01_tblFillRateFechas[[#This Row],[dev_cantidad]]</f>
        <v>1</v>
      </c>
      <c r="M425" s="1">
        <f>+IF(Tabla__192.168.1.8_POSEIDONSQL_APPFVT_01_tblFillRateFechas[[#This Row],[Cant_Resultante]]=Tabla__192.168.1.8_POSEIDONSQL_APPFVT_01_tblFillRateFechas[[#This Row],[cant_order]],1,0)</f>
        <v>1</v>
      </c>
      <c r="N4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5" s="1">
        <f>+IF(AND(Tabla__192.168.1.8_POSEIDONSQL_APPFVT_01_tblFillRateFechas[[#This Row],[Valida Cant]]=1,Tabla__192.168.1.8_POSEIDONSQL_APPFVT_01_tblFillRateFechas[[#This Row],[Valida Fec]]=1),1,0)</f>
        <v>1</v>
      </c>
      <c r="P425" s="1">
        <f>+(Tabla__192.168.1.8_POSEIDONSQL_APPFVT_01_tblFillRateFechas[[#This Row],[Cant_Resultante]]/Tabla__192.168.1.8_POSEIDONSQL_APPFVT_01_tblFillRateFechas[[#This Row],[cant_order]])*100</f>
        <v>100</v>
      </c>
      <c r="Q4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5" s="1">
        <f>+IF(Tabla__192.168.1.8_POSEIDONSQL_APPFVT_01_tblFillRateFechas[[#This Row],[cant_order]]&gt;0,1,0)</f>
        <v>1</v>
      </c>
      <c r="V425" s="1">
        <f>+IF(Tabla__192.168.1.8_POSEIDONSQL_APPFVT_01_tblFillRateFechas[[#This Row],[Resultado]]=1,1,0)</f>
        <v>1</v>
      </c>
      <c r="W425" s="1" t="str">
        <f>+Tabla__192.168.1.8_POSEIDONSQL_APPFVT_01_tblFillRateFechas[[#This Row],[con_ocnumero]]&amp;Tabla__192.168.1.8_POSEIDONSQL_APPFVT_01_tblFillRateFechas[[#This Row],[con_codigounico]]</f>
        <v>9647747-</v>
      </c>
      <c r="X4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6" spans="1:24" x14ac:dyDescent="0.25">
      <c r="A426">
        <v>4</v>
      </c>
      <c r="B426" t="s">
        <v>56</v>
      </c>
      <c r="C426">
        <v>9647777</v>
      </c>
      <c r="D426" t="s">
        <v>1966</v>
      </c>
      <c r="E426" t="s">
        <v>422</v>
      </c>
      <c r="F426" t="s">
        <v>1963</v>
      </c>
      <c r="G426">
        <v>1</v>
      </c>
      <c r="H426">
        <v>1</v>
      </c>
      <c r="I426" t="s">
        <v>422</v>
      </c>
      <c r="J426">
        <v>0</v>
      </c>
      <c r="K426" t="s">
        <v>49</v>
      </c>
      <c r="L426" s="1">
        <f>+Tabla__192.168.1.8_POSEIDONSQL_APPFVT_01_tblFillRateFechas[[#This Row],[emb_cantidad]]-Tabla__192.168.1.8_POSEIDONSQL_APPFVT_01_tblFillRateFechas[[#This Row],[dev_cantidad]]</f>
        <v>1</v>
      </c>
      <c r="M426" s="1">
        <f>+IF(Tabla__192.168.1.8_POSEIDONSQL_APPFVT_01_tblFillRateFechas[[#This Row],[Cant_Resultante]]=Tabla__192.168.1.8_POSEIDONSQL_APPFVT_01_tblFillRateFechas[[#This Row],[cant_order]],1,0)</f>
        <v>1</v>
      </c>
      <c r="N4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6" s="1">
        <f>+IF(AND(Tabla__192.168.1.8_POSEIDONSQL_APPFVT_01_tblFillRateFechas[[#This Row],[Valida Cant]]=1,Tabla__192.168.1.8_POSEIDONSQL_APPFVT_01_tblFillRateFechas[[#This Row],[Valida Fec]]=1),1,0)</f>
        <v>1</v>
      </c>
      <c r="P426" s="1">
        <f>+(Tabla__192.168.1.8_POSEIDONSQL_APPFVT_01_tblFillRateFechas[[#This Row],[Cant_Resultante]]/Tabla__192.168.1.8_POSEIDONSQL_APPFVT_01_tblFillRateFechas[[#This Row],[cant_order]])*100</f>
        <v>100</v>
      </c>
      <c r="Q4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6" s="1">
        <f>+IF(Tabla__192.168.1.8_POSEIDONSQL_APPFVT_01_tblFillRateFechas[[#This Row],[cant_order]]&gt;0,1,0)</f>
        <v>1</v>
      </c>
      <c r="V426" s="1">
        <f>+IF(Tabla__192.168.1.8_POSEIDONSQL_APPFVT_01_tblFillRateFechas[[#This Row],[Resultado]]=1,1,0)</f>
        <v>1</v>
      </c>
      <c r="W426" s="1" t="str">
        <f>+Tabla__192.168.1.8_POSEIDONSQL_APPFVT_01_tblFillRateFechas[[#This Row],[con_ocnumero]]&amp;Tabla__192.168.1.8_POSEIDONSQL_APPFVT_01_tblFillRateFechas[[#This Row],[con_codigounico]]</f>
        <v>9647777-</v>
      </c>
      <c r="X4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7" spans="1:24" x14ac:dyDescent="0.25">
      <c r="A427">
        <v>4</v>
      </c>
      <c r="B427" t="s">
        <v>56</v>
      </c>
      <c r="C427">
        <v>9647902</v>
      </c>
      <c r="D427" t="s">
        <v>1966</v>
      </c>
      <c r="E427" t="s">
        <v>163</v>
      </c>
      <c r="F427" t="s">
        <v>1963</v>
      </c>
      <c r="G427">
        <v>1</v>
      </c>
      <c r="H427">
        <v>1</v>
      </c>
      <c r="I427" t="s">
        <v>163</v>
      </c>
      <c r="J427">
        <v>0</v>
      </c>
      <c r="K427" t="s">
        <v>49</v>
      </c>
      <c r="L427" s="1">
        <f>+Tabla__192.168.1.8_POSEIDONSQL_APPFVT_01_tblFillRateFechas[[#This Row],[emb_cantidad]]-Tabla__192.168.1.8_POSEIDONSQL_APPFVT_01_tblFillRateFechas[[#This Row],[dev_cantidad]]</f>
        <v>1</v>
      </c>
      <c r="M427" s="1">
        <f>+IF(Tabla__192.168.1.8_POSEIDONSQL_APPFVT_01_tblFillRateFechas[[#This Row],[Cant_Resultante]]=Tabla__192.168.1.8_POSEIDONSQL_APPFVT_01_tblFillRateFechas[[#This Row],[cant_order]],1,0)</f>
        <v>1</v>
      </c>
      <c r="N4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7" s="1">
        <f>+IF(AND(Tabla__192.168.1.8_POSEIDONSQL_APPFVT_01_tblFillRateFechas[[#This Row],[Valida Cant]]=1,Tabla__192.168.1.8_POSEIDONSQL_APPFVT_01_tblFillRateFechas[[#This Row],[Valida Fec]]=1),1,0)</f>
        <v>1</v>
      </c>
      <c r="P427" s="1">
        <f>+(Tabla__192.168.1.8_POSEIDONSQL_APPFVT_01_tblFillRateFechas[[#This Row],[Cant_Resultante]]/Tabla__192.168.1.8_POSEIDONSQL_APPFVT_01_tblFillRateFechas[[#This Row],[cant_order]])*100</f>
        <v>100</v>
      </c>
      <c r="Q4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7" s="1">
        <f>+IF(Tabla__192.168.1.8_POSEIDONSQL_APPFVT_01_tblFillRateFechas[[#This Row],[cant_order]]&gt;0,1,0)</f>
        <v>1</v>
      </c>
      <c r="V427" s="1">
        <f>+IF(Tabla__192.168.1.8_POSEIDONSQL_APPFVT_01_tblFillRateFechas[[#This Row],[Resultado]]=1,1,0)</f>
        <v>1</v>
      </c>
      <c r="W427" s="1" t="str">
        <f>+Tabla__192.168.1.8_POSEIDONSQL_APPFVT_01_tblFillRateFechas[[#This Row],[con_ocnumero]]&amp;Tabla__192.168.1.8_POSEIDONSQL_APPFVT_01_tblFillRateFechas[[#This Row],[con_codigounico]]</f>
        <v>9647902-</v>
      </c>
      <c r="X4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8" spans="1:24" x14ac:dyDescent="0.25">
      <c r="A428">
        <v>4</v>
      </c>
      <c r="B428" t="s">
        <v>56</v>
      </c>
      <c r="C428">
        <v>9647994</v>
      </c>
      <c r="D428" t="s">
        <v>1966</v>
      </c>
      <c r="E428" t="s">
        <v>426</v>
      </c>
      <c r="F428" t="s">
        <v>1963</v>
      </c>
      <c r="G428">
        <v>1</v>
      </c>
      <c r="H428">
        <v>1</v>
      </c>
      <c r="I428" t="s">
        <v>426</v>
      </c>
      <c r="J428">
        <v>0</v>
      </c>
      <c r="K428" t="s">
        <v>49</v>
      </c>
      <c r="L428" s="1">
        <f>+Tabla__192.168.1.8_POSEIDONSQL_APPFVT_01_tblFillRateFechas[[#This Row],[emb_cantidad]]-Tabla__192.168.1.8_POSEIDONSQL_APPFVT_01_tblFillRateFechas[[#This Row],[dev_cantidad]]</f>
        <v>1</v>
      </c>
      <c r="M428" s="1">
        <f>+IF(Tabla__192.168.1.8_POSEIDONSQL_APPFVT_01_tblFillRateFechas[[#This Row],[Cant_Resultante]]=Tabla__192.168.1.8_POSEIDONSQL_APPFVT_01_tblFillRateFechas[[#This Row],[cant_order]],1,0)</f>
        <v>1</v>
      </c>
      <c r="N4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8" s="1">
        <f>+IF(AND(Tabla__192.168.1.8_POSEIDONSQL_APPFVT_01_tblFillRateFechas[[#This Row],[Valida Cant]]=1,Tabla__192.168.1.8_POSEIDONSQL_APPFVT_01_tblFillRateFechas[[#This Row],[Valida Fec]]=1),1,0)</f>
        <v>1</v>
      </c>
      <c r="P428" s="1">
        <f>+(Tabla__192.168.1.8_POSEIDONSQL_APPFVT_01_tblFillRateFechas[[#This Row],[Cant_Resultante]]/Tabla__192.168.1.8_POSEIDONSQL_APPFVT_01_tblFillRateFechas[[#This Row],[cant_order]])*100</f>
        <v>100</v>
      </c>
      <c r="Q4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8" s="1">
        <f>+IF(Tabla__192.168.1.8_POSEIDONSQL_APPFVT_01_tblFillRateFechas[[#This Row],[cant_order]]&gt;0,1,0)</f>
        <v>1</v>
      </c>
      <c r="V428" s="1">
        <f>+IF(Tabla__192.168.1.8_POSEIDONSQL_APPFVT_01_tblFillRateFechas[[#This Row],[Resultado]]=1,1,0)</f>
        <v>1</v>
      </c>
      <c r="W428" s="1" t="str">
        <f>+Tabla__192.168.1.8_POSEIDONSQL_APPFVT_01_tblFillRateFechas[[#This Row],[con_ocnumero]]&amp;Tabla__192.168.1.8_POSEIDONSQL_APPFVT_01_tblFillRateFechas[[#This Row],[con_codigounico]]</f>
        <v>9647994-</v>
      </c>
      <c r="X4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29" spans="1:24" x14ac:dyDescent="0.25">
      <c r="A429">
        <v>4</v>
      </c>
      <c r="B429" t="s">
        <v>56</v>
      </c>
      <c r="C429">
        <v>9648099</v>
      </c>
      <c r="D429" t="s">
        <v>1966</v>
      </c>
      <c r="E429" t="s">
        <v>163</v>
      </c>
      <c r="F429" t="s">
        <v>1963</v>
      </c>
      <c r="G429">
        <v>1</v>
      </c>
      <c r="H429">
        <v>1</v>
      </c>
      <c r="I429" t="s">
        <v>163</v>
      </c>
      <c r="J429">
        <v>0</v>
      </c>
      <c r="K429" t="s">
        <v>49</v>
      </c>
      <c r="L429" s="1">
        <f>+Tabla__192.168.1.8_POSEIDONSQL_APPFVT_01_tblFillRateFechas[[#This Row],[emb_cantidad]]-Tabla__192.168.1.8_POSEIDONSQL_APPFVT_01_tblFillRateFechas[[#This Row],[dev_cantidad]]</f>
        <v>1</v>
      </c>
      <c r="M429" s="1">
        <f>+IF(Tabla__192.168.1.8_POSEIDONSQL_APPFVT_01_tblFillRateFechas[[#This Row],[Cant_Resultante]]=Tabla__192.168.1.8_POSEIDONSQL_APPFVT_01_tblFillRateFechas[[#This Row],[cant_order]],1,0)</f>
        <v>1</v>
      </c>
      <c r="N4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29" s="1">
        <f>+IF(AND(Tabla__192.168.1.8_POSEIDONSQL_APPFVT_01_tblFillRateFechas[[#This Row],[Valida Cant]]=1,Tabla__192.168.1.8_POSEIDONSQL_APPFVT_01_tblFillRateFechas[[#This Row],[Valida Fec]]=1),1,0)</f>
        <v>1</v>
      </c>
      <c r="P429" s="1">
        <f>+(Tabla__192.168.1.8_POSEIDONSQL_APPFVT_01_tblFillRateFechas[[#This Row],[Cant_Resultante]]/Tabla__192.168.1.8_POSEIDONSQL_APPFVT_01_tblFillRateFechas[[#This Row],[cant_order]])*100</f>
        <v>100</v>
      </c>
      <c r="Q4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29" s="1">
        <f>+IF(Tabla__192.168.1.8_POSEIDONSQL_APPFVT_01_tblFillRateFechas[[#This Row],[cant_order]]&gt;0,1,0)</f>
        <v>1</v>
      </c>
      <c r="V429" s="1">
        <f>+IF(Tabla__192.168.1.8_POSEIDONSQL_APPFVT_01_tblFillRateFechas[[#This Row],[Resultado]]=1,1,0)</f>
        <v>1</v>
      </c>
      <c r="W429" s="1" t="str">
        <f>+Tabla__192.168.1.8_POSEIDONSQL_APPFVT_01_tblFillRateFechas[[#This Row],[con_ocnumero]]&amp;Tabla__192.168.1.8_POSEIDONSQL_APPFVT_01_tblFillRateFechas[[#This Row],[con_codigounico]]</f>
        <v>9648099-</v>
      </c>
      <c r="X4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0" spans="1:24" x14ac:dyDescent="0.25">
      <c r="A430">
        <v>4</v>
      </c>
      <c r="B430" t="s">
        <v>56</v>
      </c>
      <c r="C430">
        <v>9648163</v>
      </c>
      <c r="D430" t="s">
        <v>1966</v>
      </c>
      <c r="E430" t="s">
        <v>163</v>
      </c>
      <c r="F430" t="s">
        <v>1963</v>
      </c>
      <c r="G430">
        <v>1</v>
      </c>
      <c r="H430">
        <v>1</v>
      </c>
      <c r="I430" t="s">
        <v>163</v>
      </c>
      <c r="J430">
        <v>0</v>
      </c>
      <c r="K430" t="s">
        <v>49</v>
      </c>
      <c r="L430" s="1">
        <f>+Tabla__192.168.1.8_POSEIDONSQL_APPFVT_01_tblFillRateFechas[[#This Row],[emb_cantidad]]-Tabla__192.168.1.8_POSEIDONSQL_APPFVT_01_tblFillRateFechas[[#This Row],[dev_cantidad]]</f>
        <v>1</v>
      </c>
      <c r="M430" s="1">
        <f>+IF(Tabla__192.168.1.8_POSEIDONSQL_APPFVT_01_tblFillRateFechas[[#This Row],[Cant_Resultante]]=Tabla__192.168.1.8_POSEIDONSQL_APPFVT_01_tblFillRateFechas[[#This Row],[cant_order]],1,0)</f>
        <v>1</v>
      </c>
      <c r="N4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0" s="1">
        <f>+IF(AND(Tabla__192.168.1.8_POSEIDONSQL_APPFVT_01_tblFillRateFechas[[#This Row],[Valida Cant]]=1,Tabla__192.168.1.8_POSEIDONSQL_APPFVT_01_tblFillRateFechas[[#This Row],[Valida Fec]]=1),1,0)</f>
        <v>1</v>
      </c>
      <c r="P430" s="1">
        <f>+(Tabla__192.168.1.8_POSEIDONSQL_APPFVT_01_tblFillRateFechas[[#This Row],[Cant_Resultante]]/Tabla__192.168.1.8_POSEIDONSQL_APPFVT_01_tblFillRateFechas[[#This Row],[cant_order]])*100</f>
        <v>100</v>
      </c>
      <c r="Q4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0" s="1">
        <f>+IF(Tabla__192.168.1.8_POSEIDONSQL_APPFVT_01_tblFillRateFechas[[#This Row],[cant_order]]&gt;0,1,0)</f>
        <v>1</v>
      </c>
      <c r="V430" s="1">
        <f>+IF(Tabla__192.168.1.8_POSEIDONSQL_APPFVT_01_tblFillRateFechas[[#This Row],[Resultado]]=1,1,0)</f>
        <v>1</v>
      </c>
      <c r="W430" s="1" t="str">
        <f>+Tabla__192.168.1.8_POSEIDONSQL_APPFVT_01_tblFillRateFechas[[#This Row],[con_ocnumero]]&amp;Tabla__192.168.1.8_POSEIDONSQL_APPFVT_01_tblFillRateFechas[[#This Row],[con_codigounico]]</f>
        <v>9648163-</v>
      </c>
      <c r="X4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1" spans="1:24" x14ac:dyDescent="0.25">
      <c r="A431">
        <v>4</v>
      </c>
      <c r="B431" t="s">
        <v>56</v>
      </c>
      <c r="C431">
        <v>9648311</v>
      </c>
      <c r="D431" t="s">
        <v>1973</v>
      </c>
      <c r="E431" t="s">
        <v>163</v>
      </c>
      <c r="F431" t="s">
        <v>1963</v>
      </c>
      <c r="G431">
        <v>1</v>
      </c>
      <c r="H431">
        <v>1</v>
      </c>
      <c r="I431" t="s">
        <v>163</v>
      </c>
      <c r="J431">
        <v>0</v>
      </c>
      <c r="K431" t="s">
        <v>49</v>
      </c>
      <c r="L431" s="1">
        <f>+Tabla__192.168.1.8_POSEIDONSQL_APPFVT_01_tblFillRateFechas[[#This Row],[emb_cantidad]]-Tabla__192.168.1.8_POSEIDONSQL_APPFVT_01_tblFillRateFechas[[#This Row],[dev_cantidad]]</f>
        <v>1</v>
      </c>
      <c r="M431" s="1">
        <f>+IF(Tabla__192.168.1.8_POSEIDONSQL_APPFVT_01_tblFillRateFechas[[#This Row],[Cant_Resultante]]=Tabla__192.168.1.8_POSEIDONSQL_APPFVT_01_tblFillRateFechas[[#This Row],[cant_order]],1,0)</f>
        <v>1</v>
      </c>
      <c r="N4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1" s="1">
        <f>+IF(AND(Tabla__192.168.1.8_POSEIDONSQL_APPFVT_01_tblFillRateFechas[[#This Row],[Valida Cant]]=1,Tabla__192.168.1.8_POSEIDONSQL_APPFVT_01_tblFillRateFechas[[#This Row],[Valida Fec]]=1),1,0)</f>
        <v>1</v>
      </c>
      <c r="P431" s="1">
        <f>+(Tabla__192.168.1.8_POSEIDONSQL_APPFVT_01_tblFillRateFechas[[#This Row],[Cant_Resultante]]/Tabla__192.168.1.8_POSEIDONSQL_APPFVT_01_tblFillRateFechas[[#This Row],[cant_order]])*100</f>
        <v>100</v>
      </c>
      <c r="Q4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1" s="1">
        <f>+IF(Tabla__192.168.1.8_POSEIDONSQL_APPFVT_01_tblFillRateFechas[[#This Row],[cant_order]]&gt;0,1,0)</f>
        <v>1</v>
      </c>
      <c r="V431" s="1">
        <f>+IF(Tabla__192.168.1.8_POSEIDONSQL_APPFVT_01_tblFillRateFechas[[#This Row],[Resultado]]=1,1,0)</f>
        <v>1</v>
      </c>
      <c r="W431" s="1" t="str">
        <f>+Tabla__192.168.1.8_POSEIDONSQL_APPFVT_01_tblFillRateFechas[[#This Row],[con_ocnumero]]&amp;Tabla__192.168.1.8_POSEIDONSQL_APPFVT_01_tblFillRateFechas[[#This Row],[con_codigounico]]</f>
        <v>9648311-</v>
      </c>
      <c r="X4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2" spans="1:24" x14ac:dyDescent="0.25">
      <c r="A432">
        <v>4</v>
      </c>
      <c r="B432" t="s">
        <v>56</v>
      </c>
      <c r="C432">
        <v>9648807</v>
      </c>
      <c r="D432" t="s">
        <v>1973</v>
      </c>
      <c r="E432" t="s">
        <v>163</v>
      </c>
      <c r="F432" t="s">
        <v>1963</v>
      </c>
      <c r="G432">
        <v>1</v>
      </c>
      <c r="H432">
        <v>1</v>
      </c>
      <c r="I432" t="s">
        <v>163</v>
      </c>
      <c r="J432">
        <v>0</v>
      </c>
      <c r="K432" t="s">
        <v>49</v>
      </c>
      <c r="L432" s="1">
        <f>+Tabla__192.168.1.8_POSEIDONSQL_APPFVT_01_tblFillRateFechas[[#This Row],[emb_cantidad]]-Tabla__192.168.1.8_POSEIDONSQL_APPFVT_01_tblFillRateFechas[[#This Row],[dev_cantidad]]</f>
        <v>1</v>
      </c>
      <c r="M432" s="1">
        <f>+IF(Tabla__192.168.1.8_POSEIDONSQL_APPFVT_01_tblFillRateFechas[[#This Row],[Cant_Resultante]]=Tabla__192.168.1.8_POSEIDONSQL_APPFVT_01_tblFillRateFechas[[#This Row],[cant_order]],1,0)</f>
        <v>1</v>
      </c>
      <c r="N4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2" s="1">
        <f>+IF(AND(Tabla__192.168.1.8_POSEIDONSQL_APPFVT_01_tblFillRateFechas[[#This Row],[Valida Cant]]=1,Tabla__192.168.1.8_POSEIDONSQL_APPFVT_01_tblFillRateFechas[[#This Row],[Valida Fec]]=1),1,0)</f>
        <v>1</v>
      </c>
      <c r="P432" s="1">
        <f>+(Tabla__192.168.1.8_POSEIDONSQL_APPFVT_01_tblFillRateFechas[[#This Row],[Cant_Resultante]]/Tabla__192.168.1.8_POSEIDONSQL_APPFVT_01_tblFillRateFechas[[#This Row],[cant_order]])*100</f>
        <v>100</v>
      </c>
      <c r="Q4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2" s="1">
        <f>+IF(Tabla__192.168.1.8_POSEIDONSQL_APPFVT_01_tblFillRateFechas[[#This Row],[cant_order]]&gt;0,1,0)</f>
        <v>1</v>
      </c>
      <c r="V432" s="1">
        <f>+IF(Tabla__192.168.1.8_POSEIDONSQL_APPFVT_01_tblFillRateFechas[[#This Row],[Resultado]]=1,1,0)</f>
        <v>1</v>
      </c>
      <c r="W432" s="1" t="str">
        <f>+Tabla__192.168.1.8_POSEIDONSQL_APPFVT_01_tblFillRateFechas[[#This Row],[con_ocnumero]]&amp;Tabla__192.168.1.8_POSEIDONSQL_APPFVT_01_tblFillRateFechas[[#This Row],[con_codigounico]]</f>
        <v>9648807-</v>
      </c>
      <c r="X4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3" spans="1:24" x14ac:dyDescent="0.25">
      <c r="A433">
        <v>4</v>
      </c>
      <c r="B433" t="s">
        <v>56</v>
      </c>
      <c r="C433">
        <v>9648886</v>
      </c>
      <c r="D433" t="s">
        <v>1973</v>
      </c>
      <c r="E433" t="s">
        <v>163</v>
      </c>
      <c r="F433" t="s">
        <v>1963</v>
      </c>
      <c r="G433">
        <v>1</v>
      </c>
      <c r="H433">
        <v>1</v>
      </c>
      <c r="I433" t="s">
        <v>163</v>
      </c>
      <c r="J433">
        <v>0</v>
      </c>
      <c r="K433" t="s">
        <v>49</v>
      </c>
      <c r="L433" s="1">
        <f>+Tabla__192.168.1.8_POSEIDONSQL_APPFVT_01_tblFillRateFechas[[#This Row],[emb_cantidad]]-Tabla__192.168.1.8_POSEIDONSQL_APPFVT_01_tblFillRateFechas[[#This Row],[dev_cantidad]]</f>
        <v>1</v>
      </c>
      <c r="M433" s="1">
        <f>+IF(Tabla__192.168.1.8_POSEIDONSQL_APPFVT_01_tblFillRateFechas[[#This Row],[Cant_Resultante]]=Tabla__192.168.1.8_POSEIDONSQL_APPFVT_01_tblFillRateFechas[[#This Row],[cant_order]],1,0)</f>
        <v>1</v>
      </c>
      <c r="N4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3" s="1">
        <f>+IF(AND(Tabla__192.168.1.8_POSEIDONSQL_APPFVT_01_tblFillRateFechas[[#This Row],[Valida Cant]]=1,Tabla__192.168.1.8_POSEIDONSQL_APPFVT_01_tblFillRateFechas[[#This Row],[Valida Fec]]=1),1,0)</f>
        <v>1</v>
      </c>
      <c r="P433" s="1">
        <f>+(Tabla__192.168.1.8_POSEIDONSQL_APPFVT_01_tblFillRateFechas[[#This Row],[Cant_Resultante]]/Tabla__192.168.1.8_POSEIDONSQL_APPFVT_01_tblFillRateFechas[[#This Row],[cant_order]])*100</f>
        <v>100</v>
      </c>
      <c r="Q4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3" s="1">
        <f>+IF(Tabla__192.168.1.8_POSEIDONSQL_APPFVT_01_tblFillRateFechas[[#This Row],[cant_order]]&gt;0,1,0)</f>
        <v>1</v>
      </c>
      <c r="V433" s="1">
        <f>+IF(Tabla__192.168.1.8_POSEIDONSQL_APPFVT_01_tblFillRateFechas[[#This Row],[Resultado]]=1,1,0)</f>
        <v>1</v>
      </c>
      <c r="W433" s="1" t="str">
        <f>+Tabla__192.168.1.8_POSEIDONSQL_APPFVT_01_tblFillRateFechas[[#This Row],[con_ocnumero]]&amp;Tabla__192.168.1.8_POSEIDONSQL_APPFVT_01_tblFillRateFechas[[#This Row],[con_codigounico]]</f>
        <v>9648886-</v>
      </c>
      <c r="X4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4" spans="1:24" x14ac:dyDescent="0.25">
      <c r="A434">
        <v>4</v>
      </c>
      <c r="B434" t="s">
        <v>56</v>
      </c>
      <c r="C434">
        <v>9649183</v>
      </c>
      <c r="D434" t="s">
        <v>1973</v>
      </c>
      <c r="E434" t="s">
        <v>427</v>
      </c>
      <c r="F434" t="s">
        <v>1963</v>
      </c>
      <c r="G434">
        <v>1</v>
      </c>
      <c r="H434">
        <v>1</v>
      </c>
      <c r="I434" t="s">
        <v>427</v>
      </c>
      <c r="J434">
        <v>0</v>
      </c>
      <c r="K434" t="s">
        <v>49</v>
      </c>
      <c r="L434" s="1">
        <f>+Tabla__192.168.1.8_POSEIDONSQL_APPFVT_01_tblFillRateFechas[[#This Row],[emb_cantidad]]-Tabla__192.168.1.8_POSEIDONSQL_APPFVT_01_tblFillRateFechas[[#This Row],[dev_cantidad]]</f>
        <v>1</v>
      </c>
      <c r="M434" s="1">
        <f>+IF(Tabla__192.168.1.8_POSEIDONSQL_APPFVT_01_tblFillRateFechas[[#This Row],[Cant_Resultante]]=Tabla__192.168.1.8_POSEIDONSQL_APPFVT_01_tblFillRateFechas[[#This Row],[cant_order]],1,0)</f>
        <v>1</v>
      </c>
      <c r="N4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4" s="1">
        <f>+IF(AND(Tabla__192.168.1.8_POSEIDONSQL_APPFVT_01_tblFillRateFechas[[#This Row],[Valida Cant]]=1,Tabla__192.168.1.8_POSEIDONSQL_APPFVT_01_tblFillRateFechas[[#This Row],[Valida Fec]]=1),1,0)</f>
        <v>1</v>
      </c>
      <c r="P434" s="1">
        <f>+(Tabla__192.168.1.8_POSEIDONSQL_APPFVT_01_tblFillRateFechas[[#This Row],[Cant_Resultante]]/Tabla__192.168.1.8_POSEIDONSQL_APPFVT_01_tblFillRateFechas[[#This Row],[cant_order]])*100</f>
        <v>100</v>
      </c>
      <c r="Q4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4" s="1">
        <f>+IF(Tabla__192.168.1.8_POSEIDONSQL_APPFVT_01_tblFillRateFechas[[#This Row],[cant_order]]&gt;0,1,0)</f>
        <v>1</v>
      </c>
      <c r="V434" s="1">
        <f>+IF(Tabla__192.168.1.8_POSEIDONSQL_APPFVT_01_tblFillRateFechas[[#This Row],[Resultado]]=1,1,0)</f>
        <v>1</v>
      </c>
      <c r="W434" s="1" t="str">
        <f>+Tabla__192.168.1.8_POSEIDONSQL_APPFVT_01_tblFillRateFechas[[#This Row],[con_ocnumero]]&amp;Tabla__192.168.1.8_POSEIDONSQL_APPFVT_01_tblFillRateFechas[[#This Row],[con_codigounico]]</f>
        <v>9649183-</v>
      </c>
      <c r="X4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5" spans="1:24" x14ac:dyDescent="0.25">
      <c r="A435">
        <v>4</v>
      </c>
      <c r="B435" t="s">
        <v>56</v>
      </c>
      <c r="C435">
        <v>9649750</v>
      </c>
      <c r="D435" t="s">
        <v>1973</v>
      </c>
      <c r="E435" t="s">
        <v>427</v>
      </c>
      <c r="F435" t="s">
        <v>1963</v>
      </c>
      <c r="G435">
        <v>1</v>
      </c>
      <c r="H435">
        <v>1</v>
      </c>
      <c r="I435" t="s">
        <v>427</v>
      </c>
      <c r="J435">
        <v>0</v>
      </c>
      <c r="K435" t="s">
        <v>49</v>
      </c>
      <c r="L435" s="1">
        <f>+Tabla__192.168.1.8_POSEIDONSQL_APPFVT_01_tblFillRateFechas[[#This Row],[emb_cantidad]]-Tabla__192.168.1.8_POSEIDONSQL_APPFVT_01_tblFillRateFechas[[#This Row],[dev_cantidad]]</f>
        <v>1</v>
      </c>
      <c r="M435" s="1">
        <f>+IF(Tabla__192.168.1.8_POSEIDONSQL_APPFVT_01_tblFillRateFechas[[#This Row],[Cant_Resultante]]=Tabla__192.168.1.8_POSEIDONSQL_APPFVT_01_tblFillRateFechas[[#This Row],[cant_order]],1,0)</f>
        <v>1</v>
      </c>
      <c r="N4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5" s="1">
        <f>+IF(AND(Tabla__192.168.1.8_POSEIDONSQL_APPFVT_01_tblFillRateFechas[[#This Row],[Valida Cant]]=1,Tabla__192.168.1.8_POSEIDONSQL_APPFVT_01_tblFillRateFechas[[#This Row],[Valida Fec]]=1),1,0)</f>
        <v>1</v>
      </c>
      <c r="P435" s="1">
        <f>+(Tabla__192.168.1.8_POSEIDONSQL_APPFVT_01_tblFillRateFechas[[#This Row],[Cant_Resultante]]/Tabla__192.168.1.8_POSEIDONSQL_APPFVT_01_tblFillRateFechas[[#This Row],[cant_order]])*100</f>
        <v>100</v>
      </c>
      <c r="Q4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5" s="1">
        <f>+IF(Tabla__192.168.1.8_POSEIDONSQL_APPFVT_01_tblFillRateFechas[[#This Row],[cant_order]]&gt;0,1,0)</f>
        <v>1</v>
      </c>
      <c r="V435" s="1">
        <f>+IF(Tabla__192.168.1.8_POSEIDONSQL_APPFVT_01_tblFillRateFechas[[#This Row],[Resultado]]=1,1,0)</f>
        <v>1</v>
      </c>
      <c r="W435" s="1" t="str">
        <f>+Tabla__192.168.1.8_POSEIDONSQL_APPFVT_01_tblFillRateFechas[[#This Row],[con_ocnumero]]&amp;Tabla__192.168.1.8_POSEIDONSQL_APPFVT_01_tblFillRateFechas[[#This Row],[con_codigounico]]</f>
        <v>9649750-</v>
      </c>
      <c r="X4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6" spans="1:24" x14ac:dyDescent="0.25">
      <c r="A436">
        <v>4</v>
      </c>
      <c r="B436" t="s">
        <v>56</v>
      </c>
      <c r="C436">
        <v>9650097</v>
      </c>
      <c r="D436" t="s">
        <v>1973</v>
      </c>
      <c r="E436" t="s">
        <v>163</v>
      </c>
      <c r="F436" t="s">
        <v>1963</v>
      </c>
      <c r="G436">
        <v>1</v>
      </c>
      <c r="H436">
        <v>1</v>
      </c>
      <c r="I436" t="s">
        <v>163</v>
      </c>
      <c r="J436">
        <v>0</v>
      </c>
      <c r="K436" t="s">
        <v>49</v>
      </c>
      <c r="L436" s="1">
        <f>+Tabla__192.168.1.8_POSEIDONSQL_APPFVT_01_tblFillRateFechas[[#This Row],[emb_cantidad]]-Tabla__192.168.1.8_POSEIDONSQL_APPFVT_01_tblFillRateFechas[[#This Row],[dev_cantidad]]</f>
        <v>1</v>
      </c>
      <c r="M436" s="1">
        <f>+IF(Tabla__192.168.1.8_POSEIDONSQL_APPFVT_01_tblFillRateFechas[[#This Row],[Cant_Resultante]]=Tabla__192.168.1.8_POSEIDONSQL_APPFVT_01_tblFillRateFechas[[#This Row],[cant_order]],1,0)</f>
        <v>1</v>
      </c>
      <c r="N4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6" s="1">
        <f>+IF(AND(Tabla__192.168.1.8_POSEIDONSQL_APPFVT_01_tblFillRateFechas[[#This Row],[Valida Cant]]=1,Tabla__192.168.1.8_POSEIDONSQL_APPFVT_01_tblFillRateFechas[[#This Row],[Valida Fec]]=1),1,0)</f>
        <v>1</v>
      </c>
      <c r="P436" s="1">
        <f>+(Tabla__192.168.1.8_POSEIDONSQL_APPFVT_01_tblFillRateFechas[[#This Row],[Cant_Resultante]]/Tabla__192.168.1.8_POSEIDONSQL_APPFVT_01_tblFillRateFechas[[#This Row],[cant_order]])*100</f>
        <v>100</v>
      </c>
      <c r="Q4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6" s="1">
        <f>+IF(Tabla__192.168.1.8_POSEIDONSQL_APPFVT_01_tblFillRateFechas[[#This Row],[cant_order]]&gt;0,1,0)</f>
        <v>1</v>
      </c>
      <c r="V436" s="1">
        <f>+IF(Tabla__192.168.1.8_POSEIDONSQL_APPFVT_01_tblFillRateFechas[[#This Row],[Resultado]]=1,1,0)</f>
        <v>1</v>
      </c>
      <c r="W436" s="1" t="str">
        <f>+Tabla__192.168.1.8_POSEIDONSQL_APPFVT_01_tblFillRateFechas[[#This Row],[con_ocnumero]]&amp;Tabla__192.168.1.8_POSEIDONSQL_APPFVT_01_tblFillRateFechas[[#This Row],[con_codigounico]]</f>
        <v>9650097-</v>
      </c>
      <c r="X4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7" spans="1:24" x14ac:dyDescent="0.25">
      <c r="A437">
        <v>4</v>
      </c>
      <c r="B437" t="s">
        <v>56</v>
      </c>
      <c r="C437">
        <v>9651174</v>
      </c>
      <c r="D437" t="s">
        <v>1973</v>
      </c>
      <c r="E437" t="s">
        <v>163</v>
      </c>
      <c r="F437" t="s">
        <v>1963</v>
      </c>
      <c r="G437">
        <v>1</v>
      </c>
      <c r="H437">
        <v>1</v>
      </c>
      <c r="I437" t="s">
        <v>163</v>
      </c>
      <c r="J437">
        <v>0</v>
      </c>
      <c r="K437" t="s">
        <v>49</v>
      </c>
      <c r="L437" s="1">
        <f>+Tabla__192.168.1.8_POSEIDONSQL_APPFVT_01_tblFillRateFechas[[#This Row],[emb_cantidad]]-Tabla__192.168.1.8_POSEIDONSQL_APPFVT_01_tblFillRateFechas[[#This Row],[dev_cantidad]]</f>
        <v>1</v>
      </c>
      <c r="M437" s="1">
        <f>+IF(Tabla__192.168.1.8_POSEIDONSQL_APPFVT_01_tblFillRateFechas[[#This Row],[Cant_Resultante]]=Tabla__192.168.1.8_POSEIDONSQL_APPFVT_01_tblFillRateFechas[[#This Row],[cant_order]],1,0)</f>
        <v>1</v>
      </c>
      <c r="N4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7" s="1">
        <f>+IF(AND(Tabla__192.168.1.8_POSEIDONSQL_APPFVT_01_tblFillRateFechas[[#This Row],[Valida Cant]]=1,Tabla__192.168.1.8_POSEIDONSQL_APPFVT_01_tblFillRateFechas[[#This Row],[Valida Fec]]=1),1,0)</f>
        <v>1</v>
      </c>
      <c r="P437" s="1">
        <f>+(Tabla__192.168.1.8_POSEIDONSQL_APPFVT_01_tblFillRateFechas[[#This Row],[Cant_Resultante]]/Tabla__192.168.1.8_POSEIDONSQL_APPFVT_01_tblFillRateFechas[[#This Row],[cant_order]])*100</f>
        <v>100</v>
      </c>
      <c r="Q4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7" s="1">
        <f>+IF(Tabla__192.168.1.8_POSEIDONSQL_APPFVT_01_tblFillRateFechas[[#This Row],[cant_order]]&gt;0,1,0)</f>
        <v>1</v>
      </c>
      <c r="V437" s="1">
        <f>+IF(Tabla__192.168.1.8_POSEIDONSQL_APPFVT_01_tblFillRateFechas[[#This Row],[Resultado]]=1,1,0)</f>
        <v>1</v>
      </c>
      <c r="W437" s="1" t="str">
        <f>+Tabla__192.168.1.8_POSEIDONSQL_APPFVT_01_tblFillRateFechas[[#This Row],[con_ocnumero]]&amp;Tabla__192.168.1.8_POSEIDONSQL_APPFVT_01_tblFillRateFechas[[#This Row],[con_codigounico]]</f>
        <v>9651174-</v>
      </c>
      <c r="X4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38" spans="1:24" x14ac:dyDescent="0.25">
      <c r="A438">
        <v>4</v>
      </c>
      <c r="B438" t="s">
        <v>56</v>
      </c>
      <c r="C438">
        <v>9651194</v>
      </c>
      <c r="D438" t="s">
        <v>1973</v>
      </c>
      <c r="E438" t="s">
        <v>163</v>
      </c>
      <c r="F438" t="s">
        <v>1963</v>
      </c>
      <c r="G438">
        <v>2</v>
      </c>
      <c r="H438">
        <v>2</v>
      </c>
      <c r="I438" t="s">
        <v>163</v>
      </c>
      <c r="J438">
        <v>0</v>
      </c>
      <c r="K438" t="s">
        <v>49</v>
      </c>
      <c r="L438" s="1">
        <f>+Tabla__192.168.1.8_POSEIDONSQL_APPFVT_01_tblFillRateFechas[[#This Row],[emb_cantidad]]-Tabla__192.168.1.8_POSEIDONSQL_APPFVT_01_tblFillRateFechas[[#This Row],[dev_cantidad]]</f>
        <v>2</v>
      </c>
      <c r="M438" s="1">
        <f>+IF(Tabla__192.168.1.8_POSEIDONSQL_APPFVT_01_tblFillRateFechas[[#This Row],[Cant_Resultante]]=Tabla__192.168.1.8_POSEIDONSQL_APPFVT_01_tblFillRateFechas[[#This Row],[cant_order]],1,0)</f>
        <v>1</v>
      </c>
      <c r="N4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8" s="1">
        <f>+IF(AND(Tabla__192.168.1.8_POSEIDONSQL_APPFVT_01_tblFillRateFechas[[#This Row],[Valida Cant]]=1,Tabla__192.168.1.8_POSEIDONSQL_APPFVT_01_tblFillRateFechas[[#This Row],[Valida Fec]]=1),1,0)</f>
        <v>1</v>
      </c>
      <c r="P438" s="1">
        <f>+(Tabla__192.168.1.8_POSEIDONSQL_APPFVT_01_tblFillRateFechas[[#This Row],[Cant_Resultante]]/Tabla__192.168.1.8_POSEIDONSQL_APPFVT_01_tblFillRateFechas[[#This Row],[cant_order]])*100</f>
        <v>100</v>
      </c>
      <c r="Q4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4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4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8" s="1">
        <f>+IF(Tabla__192.168.1.8_POSEIDONSQL_APPFVT_01_tblFillRateFechas[[#This Row],[cant_order]]&gt;0,1,0)</f>
        <v>1</v>
      </c>
      <c r="V438" s="1">
        <f>+IF(Tabla__192.168.1.8_POSEIDONSQL_APPFVT_01_tblFillRateFechas[[#This Row],[Resultado]]=1,1,0)</f>
        <v>1</v>
      </c>
      <c r="W438" s="1" t="str">
        <f>+Tabla__192.168.1.8_POSEIDONSQL_APPFVT_01_tblFillRateFechas[[#This Row],[con_ocnumero]]&amp;Tabla__192.168.1.8_POSEIDONSQL_APPFVT_01_tblFillRateFechas[[#This Row],[con_codigounico]]</f>
        <v>9651194-</v>
      </c>
      <c r="X4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439" spans="1:24" x14ac:dyDescent="0.25">
      <c r="A439">
        <v>4</v>
      </c>
      <c r="B439" t="s">
        <v>56</v>
      </c>
      <c r="C439">
        <v>9651724</v>
      </c>
      <c r="D439" t="s">
        <v>1963</v>
      </c>
      <c r="E439" t="s">
        <v>163</v>
      </c>
      <c r="F439" t="s">
        <v>1963</v>
      </c>
      <c r="G439">
        <v>1</v>
      </c>
      <c r="H439">
        <v>1</v>
      </c>
      <c r="I439" t="s">
        <v>163</v>
      </c>
      <c r="J439">
        <v>0</v>
      </c>
      <c r="K439" t="s">
        <v>49</v>
      </c>
      <c r="L439" s="1">
        <f>+Tabla__192.168.1.8_POSEIDONSQL_APPFVT_01_tblFillRateFechas[[#This Row],[emb_cantidad]]-Tabla__192.168.1.8_POSEIDONSQL_APPFVT_01_tblFillRateFechas[[#This Row],[dev_cantidad]]</f>
        <v>1</v>
      </c>
      <c r="M439" s="1">
        <f>+IF(Tabla__192.168.1.8_POSEIDONSQL_APPFVT_01_tblFillRateFechas[[#This Row],[Cant_Resultante]]=Tabla__192.168.1.8_POSEIDONSQL_APPFVT_01_tblFillRateFechas[[#This Row],[cant_order]],1,0)</f>
        <v>1</v>
      </c>
      <c r="N4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39" s="1">
        <f>+IF(AND(Tabla__192.168.1.8_POSEIDONSQL_APPFVT_01_tblFillRateFechas[[#This Row],[Valida Cant]]=1,Tabla__192.168.1.8_POSEIDONSQL_APPFVT_01_tblFillRateFechas[[#This Row],[Valida Fec]]=1),1,0)</f>
        <v>1</v>
      </c>
      <c r="P439" s="1">
        <f>+(Tabla__192.168.1.8_POSEIDONSQL_APPFVT_01_tblFillRateFechas[[#This Row],[Cant_Resultante]]/Tabla__192.168.1.8_POSEIDONSQL_APPFVT_01_tblFillRateFechas[[#This Row],[cant_order]])*100</f>
        <v>100</v>
      </c>
      <c r="Q4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39" s="1">
        <f>+IF(Tabla__192.168.1.8_POSEIDONSQL_APPFVT_01_tblFillRateFechas[[#This Row],[cant_order]]&gt;0,1,0)</f>
        <v>1</v>
      </c>
      <c r="V439" s="1">
        <f>+IF(Tabla__192.168.1.8_POSEIDONSQL_APPFVT_01_tblFillRateFechas[[#This Row],[Resultado]]=1,1,0)</f>
        <v>1</v>
      </c>
      <c r="W439" s="1" t="str">
        <f>+Tabla__192.168.1.8_POSEIDONSQL_APPFVT_01_tblFillRateFechas[[#This Row],[con_ocnumero]]&amp;Tabla__192.168.1.8_POSEIDONSQL_APPFVT_01_tblFillRateFechas[[#This Row],[con_codigounico]]</f>
        <v>9651724-</v>
      </c>
      <c r="X4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0" spans="1:24" x14ac:dyDescent="0.25">
      <c r="A440">
        <v>4</v>
      </c>
      <c r="B440" t="s">
        <v>56</v>
      </c>
      <c r="C440">
        <v>9651865</v>
      </c>
      <c r="D440" t="s">
        <v>1963</v>
      </c>
      <c r="E440" t="s">
        <v>163</v>
      </c>
      <c r="F440" t="s">
        <v>1963</v>
      </c>
      <c r="G440">
        <v>1</v>
      </c>
      <c r="H440">
        <v>1</v>
      </c>
      <c r="I440" t="s">
        <v>163</v>
      </c>
      <c r="J440">
        <v>0</v>
      </c>
      <c r="K440" t="s">
        <v>49</v>
      </c>
      <c r="L440" s="1">
        <f>+Tabla__192.168.1.8_POSEIDONSQL_APPFVT_01_tblFillRateFechas[[#This Row],[emb_cantidad]]-Tabla__192.168.1.8_POSEIDONSQL_APPFVT_01_tblFillRateFechas[[#This Row],[dev_cantidad]]</f>
        <v>1</v>
      </c>
      <c r="M440" s="1">
        <f>+IF(Tabla__192.168.1.8_POSEIDONSQL_APPFVT_01_tblFillRateFechas[[#This Row],[Cant_Resultante]]=Tabla__192.168.1.8_POSEIDONSQL_APPFVT_01_tblFillRateFechas[[#This Row],[cant_order]],1,0)</f>
        <v>1</v>
      </c>
      <c r="N4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0" s="1">
        <f>+IF(AND(Tabla__192.168.1.8_POSEIDONSQL_APPFVT_01_tblFillRateFechas[[#This Row],[Valida Cant]]=1,Tabla__192.168.1.8_POSEIDONSQL_APPFVT_01_tblFillRateFechas[[#This Row],[Valida Fec]]=1),1,0)</f>
        <v>1</v>
      </c>
      <c r="P440" s="1">
        <f>+(Tabla__192.168.1.8_POSEIDONSQL_APPFVT_01_tblFillRateFechas[[#This Row],[Cant_Resultante]]/Tabla__192.168.1.8_POSEIDONSQL_APPFVT_01_tblFillRateFechas[[#This Row],[cant_order]])*100</f>
        <v>100</v>
      </c>
      <c r="Q4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0" s="1">
        <f>+IF(Tabla__192.168.1.8_POSEIDONSQL_APPFVT_01_tblFillRateFechas[[#This Row],[cant_order]]&gt;0,1,0)</f>
        <v>1</v>
      </c>
      <c r="V440" s="1">
        <f>+IF(Tabla__192.168.1.8_POSEIDONSQL_APPFVT_01_tblFillRateFechas[[#This Row],[Resultado]]=1,1,0)</f>
        <v>1</v>
      </c>
      <c r="W440" s="1" t="str">
        <f>+Tabla__192.168.1.8_POSEIDONSQL_APPFVT_01_tblFillRateFechas[[#This Row],[con_ocnumero]]&amp;Tabla__192.168.1.8_POSEIDONSQL_APPFVT_01_tblFillRateFechas[[#This Row],[con_codigounico]]</f>
        <v>9651865-</v>
      </c>
      <c r="X4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1" spans="1:24" x14ac:dyDescent="0.25">
      <c r="A441">
        <v>4</v>
      </c>
      <c r="B441" t="s">
        <v>56</v>
      </c>
      <c r="C441">
        <v>9651947</v>
      </c>
      <c r="D441" t="s">
        <v>1963</v>
      </c>
      <c r="E441" t="s">
        <v>163</v>
      </c>
      <c r="F441" t="s">
        <v>1963</v>
      </c>
      <c r="G441">
        <v>1</v>
      </c>
      <c r="H441">
        <v>1</v>
      </c>
      <c r="I441" t="s">
        <v>163</v>
      </c>
      <c r="J441">
        <v>0</v>
      </c>
      <c r="K441" t="s">
        <v>49</v>
      </c>
      <c r="L441" s="1">
        <f>+Tabla__192.168.1.8_POSEIDONSQL_APPFVT_01_tblFillRateFechas[[#This Row],[emb_cantidad]]-Tabla__192.168.1.8_POSEIDONSQL_APPFVT_01_tblFillRateFechas[[#This Row],[dev_cantidad]]</f>
        <v>1</v>
      </c>
      <c r="M441" s="1">
        <f>+IF(Tabla__192.168.1.8_POSEIDONSQL_APPFVT_01_tblFillRateFechas[[#This Row],[Cant_Resultante]]=Tabla__192.168.1.8_POSEIDONSQL_APPFVT_01_tblFillRateFechas[[#This Row],[cant_order]],1,0)</f>
        <v>1</v>
      </c>
      <c r="N4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1" s="1">
        <f>+IF(AND(Tabla__192.168.1.8_POSEIDONSQL_APPFVT_01_tblFillRateFechas[[#This Row],[Valida Cant]]=1,Tabla__192.168.1.8_POSEIDONSQL_APPFVT_01_tblFillRateFechas[[#This Row],[Valida Fec]]=1),1,0)</f>
        <v>1</v>
      </c>
      <c r="P441" s="1">
        <f>+(Tabla__192.168.1.8_POSEIDONSQL_APPFVT_01_tblFillRateFechas[[#This Row],[Cant_Resultante]]/Tabla__192.168.1.8_POSEIDONSQL_APPFVT_01_tblFillRateFechas[[#This Row],[cant_order]])*100</f>
        <v>100</v>
      </c>
      <c r="Q4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1" s="1">
        <f>+IF(Tabla__192.168.1.8_POSEIDONSQL_APPFVT_01_tblFillRateFechas[[#This Row],[cant_order]]&gt;0,1,0)</f>
        <v>1</v>
      </c>
      <c r="V441" s="1">
        <f>+IF(Tabla__192.168.1.8_POSEIDONSQL_APPFVT_01_tblFillRateFechas[[#This Row],[Resultado]]=1,1,0)</f>
        <v>1</v>
      </c>
      <c r="W441" s="1" t="str">
        <f>+Tabla__192.168.1.8_POSEIDONSQL_APPFVT_01_tblFillRateFechas[[#This Row],[con_ocnumero]]&amp;Tabla__192.168.1.8_POSEIDONSQL_APPFVT_01_tblFillRateFechas[[#This Row],[con_codigounico]]</f>
        <v>9651947-</v>
      </c>
      <c r="X4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2" spans="1:24" x14ac:dyDescent="0.25">
      <c r="A442">
        <v>4</v>
      </c>
      <c r="B442" t="s">
        <v>56</v>
      </c>
      <c r="C442">
        <v>9652954</v>
      </c>
      <c r="D442" t="s">
        <v>1963</v>
      </c>
      <c r="E442" t="s">
        <v>163</v>
      </c>
      <c r="F442" t="s">
        <v>162</v>
      </c>
      <c r="G442">
        <v>1</v>
      </c>
      <c r="H442">
        <v>1</v>
      </c>
      <c r="I442" t="s">
        <v>163</v>
      </c>
      <c r="J442">
        <v>0</v>
      </c>
      <c r="K442" t="s">
        <v>49</v>
      </c>
      <c r="L442" s="1">
        <f>+Tabla__192.168.1.8_POSEIDONSQL_APPFVT_01_tblFillRateFechas[[#This Row],[emb_cantidad]]-Tabla__192.168.1.8_POSEIDONSQL_APPFVT_01_tblFillRateFechas[[#This Row],[dev_cantidad]]</f>
        <v>1</v>
      </c>
      <c r="M442" s="1">
        <f>+IF(Tabla__192.168.1.8_POSEIDONSQL_APPFVT_01_tblFillRateFechas[[#This Row],[Cant_Resultante]]=Tabla__192.168.1.8_POSEIDONSQL_APPFVT_01_tblFillRateFechas[[#This Row],[cant_order]],1,0)</f>
        <v>1</v>
      </c>
      <c r="N4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2" s="1">
        <f>+IF(AND(Tabla__192.168.1.8_POSEIDONSQL_APPFVT_01_tblFillRateFechas[[#This Row],[Valida Cant]]=1,Tabla__192.168.1.8_POSEIDONSQL_APPFVT_01_tblFillRateFechas[[#This Row],[Valida Fec]]=1),1,0)</f>
        <v>1</v>
      </c>
      <c r="P442" s="1">
        <f>+(Tabla__192.168.1.8_POSEIDONSQL_APPFVT_01_tblFillRateFechas[[#This Row],[Cant_Resultante]]/Tabla__192.168.1.8_POSEIDONSQL_APPFVT_01_tblFillRateFechas[[#This Row],[cant_order]])*100</f>
        <v>100</v>
      </c>
      <c r="Q4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2" s="1">
        <f>+IF(Tabla__192.168.1.8_POSEIDONSQL_APPFVT_01_tblFillRateFechas[[#This Row],[cant_order]]&gt;0,1,0)</f>
        <v>1</v>
      </c>
      <c r="V442" s="1">
        <f>+IF(Tabla__192.168.1.8_POSEIDONSQL_APPFVT_01_tblFillRateFechas[[#This Row],[Resultado]]=1,1,0)</f>
        <v>1</v>
      </c>
      <c r="W442" s="1" t="str">
        <f>+Tabla__192.168.1.8_POSEIDONSQL_APPFVT_01_tblFillRateFechas[[#This Row],[con_ocnumero]]&amp;Tabla__192.168.1.8_POSEIDONSQL_APPFVT_01_tblFillRateFechas[[#This Row],[con_codigounico]]</f>
        <v>9652954-</v>
      </c>
      <c r="X4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3" spans="1:24" x14ac:dyDescent="0.25">
      <c r="A443">
        <v>4</v>
      </c>
      <c r="B443" t="s">
        <v>56</v>
      </c>
      <c r="C443">
        <v>9653108</v>
      </c>
      <c r="D443" t="s">
        <v>1963</v>
      </c>
      <c r="E443" t="s">
        <v>163</v>
      </c>
      <c r="F443" t="s">
        <v>162</v>
      </c>
      <c r="G443">
        <v>1</v>
      </c>
      <c r="H443">
        <v>1</v>
      </c>
      <c r="I443" t="s">
        <v>163</v>
      </c>
      <c r="J443">
        <v>0</v>
      </c>
      <c r="K443" t="s">
        <v>49</v>
      </c>
      <c r="L443" s="1">
        <f>+Tabla__192.168.1.8_POSEIDONSQL_APPFVT_01_tblFillRateFechas[[#This Row],[emb_cantidad]]-Tabla__192.168.1.8_POSEIDONSQL_APPFVT_01_tblFillRateFechas[[#This Row],[dev_cantidad]]</f>
        <v>1</v>
      </c>
      <c r="M443" s="1">
        <f>+IF(Tabla__192.168.1.8_POSEIDONSQL_APPFVT_01_tblFillRateFechas[[#This Row],[Cant_Resultante]]=Tabla__192.168.1.8_POSEIDONSQL_APPFVT_01_tblFillRateFechas[[#This Row],[cant_order]],1,0)</f>
        <v>1</v>
      </c>
      <c r="N4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3" s="1">
        <f>+IF(AND(Tabla__192.168.1.8_POSEIDONSQL_APPFVT_01_tblFillRateFechas[[#This Row],[Valida Cant]]=1,Tabla__192.168.1.8_POSEIDONSQL_APPFVT_01_tblFillRateFechas[[#This Row],[Valida Fec]]=1),1,0)</f>
        <v>1</v>
      </c>
      <c r="P443" s="1">
        <f>+(Tabla__192.168.1.8_POSEIDONSQL_APPFVT_01_tblFillRateFechas[[#This Row],[Cant_Resultante]]/Tabla__192.168.1.8_POSEIDONSQL_APPFVT_01_tblFillRateFechas[[#This Row],[cant_order]])*100</f>
        <v>100</v>
      </c>
      <c r="Q4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3" s="1">
        <f>+IF(Tabla__192.168.1.8_POSEIDONSQL_APPFVT_01_tblFillRateFechas[[#This Row],[cant_order]]&gt;0,1,0)</f>
        <v>1</v>
      </c>
      <c r="V443" s="1">
        <f>+IF(Tabla__192.168.1.8_POSEIDONSQL_APPFVT_01_tblFillRateFechas[[#This Row],[Resultado]]=1,1,0)</f>
        <v>1</v>
      </c>
      <c r="W443" s="1" t="str">
        <f>+Tabla__192.168.1.8_POSEIDONSQL_APPFVT_01_tblFillRateFechas[[#This Row],[con_ocnumero]]&amp;Tabla__192.168.1.8_POSEIDONSQL_APPFVT_01_tblFillRateFechas[[#This Row],[con_codigounico]]</f>
        <v>9653108-</v>
      </c>
      <c r="X4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4" spans="1:24" x14ac:dyDescent="0.25">
      <c r="A444">
        <v>4</v>
      </c>
      <c r="B444" t="s">
        <v>56</v>
      </c>
      <c r="C444">
        <v>9653312</v>
      </c>
      <c r="D444" t="s">
        <v>1963</v>
      </c>
      <c r="E444" t="s">
        <v>163</v>
      </c>
      <c r="F444" t="s">
        <v>162</v>
      </c>
      <c r="G444">
        <v>1</v>
      </c>
      <c r="H444">
        <v>1</v>
      </c>
      <c r="I444" t="s">
        <v>163</v>
      </c>
      <c r="J444">
        <v>0</v>
      </c>
      <c r="K444" t="s">
        <v>49</v>
      </c>
      <c r="L444" s="1">
        <f>+Tabla__192.168.1.8_POSEIDONSQL_APPFVT_01_tblFillRateFechas[[#This Row],[emb_cantidad]]-Tabla__192.168.1.8_POSEIDONSQL_APPFVT_01_tblFillRateFechas[[#This Row],[dev_cantidad]]</f>
        <v>1</v>
      </c>
      <c r="M444" s="1">
        <f>+IF(Tabla__192.168.1.8_POSEIDONSQL_APPFVT_01_tblFillRateFechas[[#This Row],[Cant_Resultante]]=Tabla__192.168.1.8_POSEIDONSQL_APPFVT_01_tblFillRateFechas[[#This Row],[cant_order]],1,0)</f>
        <v>1</v>
      </c>
      <c r="N4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4" s="1">
        <f>+IF(AND(Tabla__192.168.1.8_POSEIDONSQL_APPFVT_01_tblFillRateFechas[[#This Row],[Valida Cant]]=1,Tabla__192.168.1.8_POSEIDONSQL_APPFVT_01_tblFillRateFechas[[#This Row],[Valida Fec]]=1),1,0)</f>
        <v>1</v>
      </c>
      <c r="P444" s="1">
        <f>+(Tabla__192.168.1.8_POSEIDONSQL_APPFVT_01_tblFillRateFechas[[#This Row],[Cant_Resultante]]/Tabla__192.168.1.8_POSEIDONSQL_APPFVT_01_tblFillRateFechas[[#This Row],[cant_order]])*100</f>
        <v>100</v>
      </c>
      <c r="Q4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4" s="1">
        <f>+IF(Tabla__192.168.1.8_POSEIDONSQL_APPFVT_01_tblFillRateFechas[[#This Row],[cant_order]]&gt;0,1,0)</f>
        <v>1</v>
      </c>
      <c r="V444" s="1">
        <f>+IF(Tabla__192.168.1.8_POSEIDONSQL_APPFVT_01_tblFillRateFechas[[#This Row],[Resultado]]=1,1,0)</f>
        <v>1</v>
      </c>
      <c r="W444" s="1" t="str">
        <f>+Tabla__192.168.1.8_POSEIDONSQL_APPFVT_01_tblFillRateFechas[[#This Row],[con_ocnumero]]&amp;Tabla__192.168.1.8_POSEIDONSQL_APPFVT_01_tblFillRateFechas[[#This Row],[con_codigounico]]</f>
        <v>9653312-</v>
      </c>
      <c r="X4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5" spans="1:24" x14ac:dyDescent="0.25">
      <c r="A445">
        <v>4</v>
      </c>
      <c r="B445" t="s">
        <v>56</v>
      </c>
      <c r="C445">
        <v>9654092</v>
      </c>
      <c r="D445" t="s">
        <v>1963</v>
      </c>
      <c r="E445" t="s">
        <v>427</v>
      </c>
      <c r="F445" t="s">
        <v>162</v>
      </c>
      <c r="G445">
        <v>1</v>
      </c>
      <c r="H445">
        <v>1</v>
      </c>
      <c r="I445" t="s">
        <v>427</v>
      </c>
      <c r="J445">
        <v>0</v>
      </c>
      <c r="K445" t="s">
        <v>49</v>
      </c>
      <c r="L445" s="1">
        <f>+Tabla__192.168.1.8_POSEIDONSQL_APPFVT_01_tblFillRateFechas[[#This Row],[emb_cantidad]]-Tabla__192.168.1.8_POSEIDONSQL_APPFVT_01_tblFillRateFechas[[#This Row],[dev_cantidad]]</f>
        <v>1</v>
      </c>
      <c r="M445" s="1">
        <f>+IF(Tabla__192.168.1.8_POSEIDONSQL_APPFVT_01_tblFillRateFechas[[#This Row],[Cant_Resultante]]=Tabla__192.168.1.8_POSEIDONSQL_APPFVT_01_tblFillRateFechas[[#This Row],[cant_order]],1,0)</f>
        <v>1</v>
      </c>
      <c r="N4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5" s="1">
        <f>+IF(AND(Tabla__192.168.1.8_POSEIDONSQL_APPFVT_01_tblFillRateFechas[[#This Row],[Valida Cant]]=1,Tabla__192.168.1.8_POSEIDONSQL_APPFVT_01_tblFillRateFechas[[#This Row],[Valida Fec]]=1),1,0)</f>
        <v>1</v>
      </c>
      <c r="P445" s="1">
        <f>+(Tabla__192.168.1.8_POSEIDONSQL_APPFVT_01_tblFillRateFechas[[#This Row],[Cant_Resultante]]/Tabla__192.168.1.8_POSEIDONSQL_APPFVT_01_tblFillRateFechas[[#This Row],[cant_order]])*100</f>
        <v>100</v>
      </c>
      <c r="Q4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5" s="1">
        <f>+IF(Tabla__192.168.1.8_POSEIDONSQL_APPFVT_01_tblFillRateFechas[[#This Row],[cant_order]]&gt;0,1,0)</f>
        <v>1</v>
      </c>
      <c r="V445" s="1">
        <f>+IF(Tabla__192.168.1.8_POSEIDONSQL_APPFVT_01_tblFillRateFechas[[#This Row],[Resultado]]=1,1,0)</f>
        <v>1</v>
      </c>
      <c r="W445" s="1" t="str">
        <f>+Tabla__192.168.1.8_POSEIDONSQL_APPFVT_01_tblFillRateFechas[[#This Row],[con_ocnumero]]&amp;Tabla__192.168.1.8_POSEIDONSQL_APPFVT_01_tblFillRateFechas[[#This Row],[con_codigounico]]</f>
        <v>9654092-</v>
      </c>
      <c r="X4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6" spans="1:24" x14ac:dyDescent="0.25">
      <c r="A446">
        <v>4</v>
      </c>
      <c r="B446" t="s">
        <v>56</v>
      </c>
      <c r="C446">
        <v>9654423</v>
      </c>
      <c r="D446" t="s">
        <v>1963</v>
      </c>
      <c r="E446" t="s">
        <v>163</v>
      </c>
      <c r="F446" t="s">
        <v>162</v>
      </c>
      <c r="G446">
        <v>1</v>
      </c>
      <c r="H446">
        <v>1</v>
      </c>
      <c r="I446" t="s">
        <v>163</v>
      </c>
      <c r="J446">
        <v>0</v>
      </c>
      <c r="K446" t="s">
        <v>49</v>
      </c>
      <c r="L446" s="1">
        <f>+Tabla__192.168.1.8_POSEIDONSQL_APPFVT_01_tblFillRateFechas[[#This Row],[emb_cantidad]]-Tabla__192.168.1.8_POSEIDONSQL_APPFVT_01_tblFillRateFechas[[#This Row],[dev_cantidad]]</f>
        <v>1</v>
      </c>
      <c r="M446" s="1">
        <f>+IF(Tabla__192.168.1.8_POSEIDONSQL_APPFVT_01_tblFillRateFechas[[#This Row],[Cant_Resultante]]=Tabla__192.168.1.8_POSEIDONSQL_APPFVT_01_tblFillRateFechas[[#This Row],[cant_order]],1,0)</f>
        <v>1</v>
      </c>
      <c r="N4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6" s="1">
        <f>+IF(AND(Tabla__192.168.1.8_POSEIDONSQL_APPFVT_01_tblFillRateFechas[[#This Row],[Valida Cant]]=1,Tabla__192.168.1.8_POSEIDONSQL_APPFVT_01_tblFillRateFechas[[#This Row],[Valida Fec]]=1),1,0)</f>
        <v>1</v>
      </c>
      <c r="P446" s="1">
        <f>+(Tabla__192.168.1.8_POSEIDONSQL_APPFVT_01_tblFillRateFechas[[#This Row],[Cant_Resultante]]/Tabla__192.168.1.8_POSEIDONSQL_APPFVT_01_tblFillRateFechas[[#This Row],[cant_order]])*100</f>
        <v>100</v>
      </c>
      <c r="Q4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6" s="1">
        <f>+IF(Tabla__192.168.1.8_POSEIDONSQL_APPFVT_01_tblFillRateFechas[[#This Row],[cant_order]]&gt;0,1,0)</f>
        <v>1</v>
      </c>
      <c r="V446" s="1">
        <f>+IF(Tabla__192.168.1.8_POSEIDONSQL_APPFVT_01_tblFillRateFechas[[#This Row],[Resultado]]=1,1,0)</f>
        <v>1</v>
      </c>
      <c r="W446" s="1" t="str">
        <f>+Tabla__192.168.1.8_POSEIDONSQL_APPFVT_01_tblFillRateFechas[[#This Row],[con_ocnumero]]&amp;Tabla__192.168.1.8_POSEIDONSQL_APPFVT_01_tblFillRateFechas[[#This Row],[con_codigounico]]</f>
        <v>9654423-</v>
      </c>
      <c r="X4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7" spans="1:24" x14ac:dyDescent="0.25">
      <c r="A447">
        <v>4</v>
      </c>
      <c r="B447" t="s">
        <v>56</v>
      </c>
      <c r="C447">
        <v>9654758</v>
      </c>
      <c r="D447" t="s">
        <v>1963</v>
      </c>
      <c r="E447" t="s">
        <v>163</v>
      </c>
      <c r="F447" t="s">
        <v>162</v>
      </c>
      <c r="G447">
        <v>1</v>
      </c>
      <c r="H447">
        <v>1</v>
      </c>
      <c r="I447" t="s">
        <v>163</v>
      </c>
      <c r="J447">
        <v>0</v>
      </c>
      <c r="K447" t="s">
        <v>49</v>
      </c>
      <c r="L447" s="1">
        <f>+Tabla__192.168.1.8_POSEIDONSQL_APPFVT_01_tblFillRateFechas[[#This Row],[emb_cantidad]]-Tabla__192.168.1.8_POSEIDONSQL_APPFVT_01_tblFillRateFechas[[#This Row],[dev_cantidad]]</f>
        <v>1</v>
      </c>
      <c r="M447" s="1">
        <f>+IF(Tabla__192.168.1.8_POSEIDONSQL_APPFVT_01_tblFillRateFechas[[#This Row],[Cant_Resultante]]=Tabla__192.168.1.8_POSEIDONSQL_APPFVT_01_tblFillRateFechas[[#This Row],[cant_order]],1,0)</f>
        <v>1</v>
      </c>
      <c r="N4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7" s="1">
        <f>+IF(AND(Tabla__192.168.1.8_POSEIDONSQL_APPFVT_01_tblFillRateFechas[[#This Row],[Valida Cant]]=1,Tabla__192.168.1.8_POSEIDONSQL_APPFVT_01_tblFillRateFechas[[#This Row],[Valida Fec]]=1),1,0)</f>
        <v>1</v>
      </c>
      <c r="P447" s="1">
        <f>+(Tabla__192.168.1.8_POSEIDONSQL_APPFVT_01_tblFillRateFechas[[#This Row],[Cant_Resultante]]/Tabla__192.168.1.8_POSEIDONSQL_APPFVT_01_tblFillRateFechas[[#This Row],[cant_order]])*100</f>
        <v>100</v>
      </c>
      <c r="Q4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7" s="1">
        <f>+IF(Tabla__192.168.1.8_POSEIDONSQL_APPFVT_01_tblFillRateFechas[[#This Row],[cant_order]]&gt;0,1,0)</f>
        <v>1</v>
      </c>
      <c r="V447" s="1">
        <f>+IF(Tabla__192.168.1.8_POSEIDONSQL_APPFVT_01_tblFillRateFechas[[#This Row],[Resultado]]=1,1,0)</f>
        <v>1</v>
      </c>
      <c r="W447" s="1" t="str">
        <f>+Tabla__192.168.1.8_POSEIDONSQL_APPFVT_01_tblFillRateFechas[[#This Row],[con_ocnumero]]&amp;Tabla__192.168.1.8_POSEIDONSQL_APPFVT_01_tblFillRateFechas[[#This Row],[con_codigounico]]</f>
        <v>9654758-</v>
      </c>
      <c r="X4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8" spans="1:24" x14ac:dyDescent="0.25">
      <c r="A448">
        <v>4</v>
      </c>
      <c r="B448" t="s">
        <v>56</v>
      </c>
      <c r="C448">
        <v>9655028</v>
      </c>
      <c r="D448" t="s">
        <v>1963</v>
      </c>
      <c r="E448" t="s">
        <v>427</v>
      </c>
      <c r="F448" t="s">
        <v>162</v>
      </c>
      <c r="G448">
        <v>1</v>
      </c>
      <c r="H448">
        <v>1</v>
      </c>
      <c r="I448" t="s">
        <v>427</v>
      </c>
      <c r="J448">
        <v>0</v>
      </c>
      <c r="K448" t="s">
        <v>49</v>
      </c>
      <c r="L448" s="1">
        <f>+Tabla__192.168.1.8_POSEIDONSQL_APPFVT_01_tblFillRateFechas[[#This Row],[emb_cantidad]]-Tabla__192.168.1.8_POSEIDONSQL_APPFVT_01_tblFillRateFechas[[#This Row],[dev_cantidad]]</f>
        <v>1</v>
      </c>
      <c r="M448" s="1">
        <f>+IF(Tabla__192.168.1.8_POSEIDONSQL_APPFVT_01_tblFillRateFechas[[#This Row],[Cant_Resultante]]=Tabla__192.168.1.8_POSEIDONSQL_APPFVT_01_tblFillRateFechas[[#This Row],[cant_order]],1,0)</f>
        <v>1</v>
      </c>
      <c r="N4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8" s="1">
        <f>+IF(AND(Tabla__192.168.1.8_POSEIDONSQL_APPFVT_01_tblFillRateFechas[[#This Row],[Valida Cant]]=1,Tabla__192.168.1.8_POSEIDONSQL_APPFVT_01_tblFillRateFechas[[#This Row],[Valida Fec]]=1),1,0)</f>
        <v>1</v>
      </c>
      <c r="P448" s="1">
        <f>+(Tabla__192.168.1.8_POSEIDONSQL_APPFVT_01_tblFillRateFechas[[#This Row],[Cant_Resultante]]/Tabla__192.168.1.8_POSEIDONSQL_APPFVT_01_tblFillRateFechas[[#This Row],[cant_order]])*100</f>
        <v>100</v>
      </c>
      <c r="Q4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8" s="1">
        <f>+IF(Tabla__192.168.1.8_POSEIDONSQL_APPFVT_01_tblFillRateFechas[[#This Row],[cant_order]]&gt;0,1,0)</f>
        <v>1</v>
      </c>
      <c r="V448" s="1">
        <f>+IF(Tabla__192.168.1.8_POSEIDONSQL_APPFVT_01_tblFillRateFechas[[#This Row],[Resultado]]=1,1,0)</f>
        <v>1</v>
      </c>
      <c r="W448" s="1" t="str">
        <f>+Tabla__192.168.1.8_POSEIDONSQL_APPFVT_01_tblFillRateFechas[[#This Row],[con_ocnumero]]&amp;Tabla__192.168.1.8_POSEIDONSQL_APPFVT_01_tblFillRateFechas[[#This Row],[con_codigounico]]</f>
        <v>9655028-</v>
      </c>
      <c r="X4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49" spans="1:24" x14ac:dyDescent="0.25">
      <c r="A449">
        <v>4</v>
      </c>
      <c r="B449" t="s">
        <v>56</v>
      </c>
      <c r="C449">
        <v>9655455</v>
      </c>
      <c r="D449" t="s">
        <v>1963</v>
      </c>
      <c r="E449" t="s">
        <v>163</v>
      </c>
      <c r="F449" t="s">
        <v>162</v>
      </c>
      <c r="G449">
        <v>1</v>
      </c>
      <c r="H449">
        <v>1</v>
      </c>
      <c r="I449" t="s">
        <v>163</v>
      </c>
      <c r="J449">
        <v>0</v>
      </c>
      <c r="K449" t="s">
        <v>49</v>
      </c>
      <c r="L449" s="1">
        <f>+Tabla__192.168.1.8_POSEIDONSQL_APPFVT_01_tblFillRateFechas[[#This Row],[emb_cantidad]]-Tabla__192.168.1.8_POSEIDONSQL_APPFVT_01_tblFillRateFechas[[#This Row],[dev_cantidad]]</f>
        <v>1</v>
      </c>
      <c r="M449" s="1">
        <f>+IF(Tabla__192.168.1.8_POSEIDONSQL_APPFVT_01_tblFillRateFechas[[#This Row],[Cant_Resultante]]=Tabla__192.168.1.8_POSEIDONSQL_APPFVT_01_tblFillRateFechas[[#This Row],[cant_order]],1,0)</f>
        <v>1</v>
      </c>
      <c r="N4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49" s="1">
        <f>+IF(AND(Tabla__192.168.1.8_POSEIDONSQL_APPFVT_01_tblFillRateFechas[[#This Row],[Valida Cant]]=1,Tabla__192.168.1.8_POSEIDONSQL_APPFVT_01_tblFillRateFechas[[#This Row],[Valida Fec]]=1),1,0)</f>
        <v>1</v>
      </c>
      <c r="P449" s="1">
        <f>+(Tabla__192.168.1.8_POSEIDONSQL_APPFVT_01_tblFillRateFechas[[#This Row],[Cant_Resultante]]/Tabla__192.168.1.8_POSEIDONSQL_APPFVT_01_tblFillRateFechas[[#This Row],[cant_order]])*100</f>
        <v>100</v>
      </c>
      <c r="Q4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49" s="1">
        <f>+IF(Tabla__192.168.1.8_POSEIDONSQL_APPFVT_01_tblFillRateFechas[[#This Row],[cant_order]]&gt;0,1,0)</f>
        <v>1</v>
      </c>
      <c r="V449" s="1">
        <f>+IF(Tabla__192.168.1.8_POSEIDONSQL_APPFVT_01_tblFillRateFechas[[#This Row],[Resultado]]=1,1,0)</f>
        <v>1</v>
      </c>
      <c r="W449" s="1" t="str">
        <f>+Tabla__192.168.1.8_POSEIDONSQL_APPFVT_01_tblFillRateFechas[[#This Row],[con_ocnumero]]&amp;Tabla__192.168.1.8_POSEIDONSQL_APPFVT_01_tblFillRateFechas[[#This Row],[con_codigounico]]</f>
        <v>9655455-</v>
      </c>
      <c r="X4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0" spans="1:24" x14ac:dyDescent="0.25">
      <c r="A450">
        <v>4</v>
      </c>
      <c r="B450" t="s">
        <v>56</v>
      </c>
      <c r="C450">
        <v>9655787</v>
      </c>
      <c r="D450" t="s">
        <v>1963</v>
      </c>
      <c r="E450" t="s">
        <v>427</v>
      </c>
      <c r="F450" t="s">
        <v>162</v>
      </c>
      <c r="G450">
        <v>1</v>
      </c>
      <c r="H450">
        <v>1</v>
      </c>
      <c r="I450" t="s">
        <v>427</v>
      </c>
      <c r="J450">
        <v>0</v>
      </c>
      <c r="K450" t="s">
        <v>49</v>
      </c>
      <c r="L450" s="1">
        <f>+Tabla__192.168.1.8_POSEIDONSQL_APPFVT_01_tblFillRateFechas[[#This Row],[emb_cantidad]]-Tabla__192.168.1.8_POSEIDONSQL_APPFVT_01_tblFillRateFechas[[#This Row],[dev_cantidad]]</f>
        <v>1</v>
      </c>
      <c r="M450" s="1">
        <f>+IF(Tabla__192.168.1.8_POSEIDONSQL_APPFVT_01_tblFillRateFechas[[#This Row],[Cant_Resultante]]=Tabla__192.168.1.8_POSEIDONSQL_APPFVT_01_tblFillRateFechas[[#This Row],[cant_order]],1,0)</f>
        <v>1</v>
      </c>
      <c r="N4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0" s="1">
        <f>+IF(AND(Tabla__192.168.1.8_POSEIDONSQL_APPFVT_01_tblFillRateFechas[[#This Row],[Valida Cant]]=1,Tabla__192.168.1.8_POSEIDONSQL_APPFVT_01_tblFillRateFechas[[#This Row],[Valida Fec]]=1),1,0)</f>
        <v>1</v>
      </c>
      <c r="P450" s="1">
        <f>+(Tabla__192.168.1.8_POSEIDONSQL_APPFVT_01_tblFillRateFechas[[#This Row],[Cant_Resultante]]/Tabla__192.168.1.8_POSEIDONSQL_APPFVT_01_tblFillRateFechas[[#This Row],[cant_order]])*100</f>
        <v>100</v>
      </c>
      <c r="Q4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0" s="1">
        <f>+IF(Tabla__192.168.1.8_POSEIDONSQL_APPFVT_01_tblFillRateFechas[[#This Row],[cant_order]]&gt;0,1,0)</f>
        <v>1</v>
      </c>
      <c r="V450" s="1">
        <f>+IF(Tabla__192.168.1.8_POSEIDONSQL_APPFVT_01_tblFillRateFechas[[#This Row],[Resultado]]=1,1,0)</f>
        <v>1</v>
      </c>
      <c r="W450" s="1" t="str">
        <f>+Tabla__192.168.1.8_POSEIDONSQL_APPFVT_01_tblFillRateFechas[[#This Row],[con_ocnumero]]&amp;Tabla__192.168.1.8_POSEIDONSQL_APPFVT_01_tblFillRateFechas[[#This Row],[con_codigounico]]</f>
        <v>9655787-</v>
      </c>
      <c r="X4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1" spans="1:24" x14ac:dyDescent="0.25">
      <c r="A451">
        <v>4</v>
      </c>
      <c r="B451" t="s">
        <v>56</v>
      </c>
      <c r="C451">
        <v>9655851</v>
      </c>
      <c r="D451" t="s">
        <v>1963</v>
      </c>
      <c r="E451" t="s">
        <v>427</v>
      </c>
      <c r="F451" t="s">
        <v>162</v>
      </c>
      <c r="G451">
        <v>1</v>
      </c>
      <c r="H451">
        <v>1</v>
      </c>
      <c r="I451" t="s">
        <v>427</v>
      </c>
      <c r="J451">
        <v>0</v>
      </c>
      <c r="K451" t="s">
        <v>49</v>
      </c>
      <c r="L451" s="1">
        <f>+Tabla__192.168.1.8_POSEIDONSQL_APPFVT_01_tblFillRateFechas[[#This Row],[emb_cantidad]]-Tabla__192.168.1.8_POSEIDONSQL_APPFVT_01_tblFillRateFechas[[#This Row],[dev_cantidad]]</f>
        <v>1</v>
      </c>
      <c r="M451" s="1">
        <f>+IF(Tabla__192.168.1.8_POSEIDONSQL_APPFVT_01_tblFillRateFechas[[#This Row],[Cant_Resultante]]=Tabla__192.168.1.8_POSEIDONSQL_APPFVT_01_tblFillRateFechas[[#This Row],[cant_order]],1,0)</f>
        <v>1</v>
      </c>
      <c r="N4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1" s="1">
        <f>+IF(AND(Tabla__192.168.1.8_POSEIDONSQL_APPFVT_01_tblFillRateFechas[[#This Row],[Valida Cant]]=1,Tabla__192.168.1.8_POSEIDONSQL_APPFVT_01_tblFillRateFechas[[#This Row],[Valida Fec]]=1),1,0)</f>
        <v>1</v>
      </c>
      <c r="P451" s="1">
        <f>+(Tabla__192.168.1.8_POSEIDONSQL_APPFVT_01_tblFillRateFechas[[#This Row],[Cant_Resultante]]/Tabla__192.168.1.8_POSEIDONSQL_APPFVT_01_tblFillRateFechas[[#This Row],[cant_order]])*100</f>
        <v>100</v>
      </c>
      <c r="Q4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1" s="1">
        <f>+IF(Tabla__192.168.1.8_POSEIDONSQL_APPFVT_01_tblFillRateFechas[[#This Row],[cant_order]]&gt;0,1,0)</f>
        <v>1</v>
      </c>
      <c r="V451" s="1">
        <f>+IF(Tabla__192.168.1.8_POSEIDONSQL_APPFVT_01_tblFillRateFechas[[#This Row],[Resultado]]=1,1,0)</f>
        <v>1</v>
      </c>
      <c r="W451" s="1" t="str">
        <f>+Tabla__192.168.1.8_POSEIDONSQL_APPFVT_01_tblFillRateFechas[[#This Row],[con_ocnumero]]&amp;Tabla__192.168.1.8_POSEIDONSQL_APPFVT_01_tblFillRateFechas[[#This Row],[con_codigounico]]</f>
        <v>9655851-</v>
      </c>
      <c r="X4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2" spans="1:24" x14ac:dyDescent="0.25">
      <c r="A452">
        <v>4</v>
      </c>
      <c r="B452" t="s">
        <v>56</v>
      </c>
      <c r="C452">
        <v>9656143</v>
      </c>
      <c r="D452" t="s">
        <v>162</v>
      </c>
      <c r="E452" t="s">
        <v>427</v>
      </c>
      <c r="F452" t="s">
        <v>162</v>
      </c>
      <c r="G452">
        <v>1</v>
      </c>
      <c r="H452">
        <v>1</v>
      </c>
      <c r="I452" t="s">
        <v>427</v>
      </c>
      <c r="J452">
        <v>0</v>
      </c>
      <c r="K452" t="s">
        <v>49</v>
      </c>
      <c r="L452" s="1">
        <f>+Tabla__192.168.1.8_POSEIDONSQL_APPFVT_01_tblFillRateFechas[[#This Row],[emb_cantidad]]-Tabla__192.168.1.8_POSEIDONSQL_APPFVT_01_tblFillRateFechas[[#This Row],[dev_cantidad]]</f>
        <v>1</v>
      </c>
      <c r="M452" s="1">
        <f>+IF(Tabla__192.168.1.8_POSEIDONSQL_APPFVT_01_tblFillRateFechas[[#This Row],[Cant_Resultante]]=Tabla__192.168.1.8_POSEIDONSQL_APPFVT_01_tblFillRateFechas[[#This Row],[cant_order]],1,0)</f>
        <v>1</v>
      </c>
      <c r="N4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2" s="1">
        <f>+IF(AND(Tabla__192.168.1.8_POSEIDONSQL_APPFVT_01_tblFillRateFechas[[#This Row],[Valida Cant]]=1,Tabla__192.168.1.8_POSEIDONSQL_APPFVT_01_tblFillRateFechas[[#This Row],[Valida Fec]]=1),1,0)</f>
        <v>1</v>
      </c>
      <c r="P452" s="1">
        <f>+(Tabla__192.168.1.8_POSEIDONSQL_APPFVT_01_tblFillRateFechas[[#This Row],[Cant_Resultante]]/Tabla__192.168.1.8_POSEIDONSQL_APPFVT_01_tblFillRateFechas[[#This Row],[cant_order]])*100</f>
        <v>100</v>
      </c>
      <c r="Q4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2" s="1">
        <f>+IF(Tabla__192.168.1.8_POSEIDONSQL_APPFVT_01_tblFillRateFechas[[#This Row],[cant_order]]&gt;0,1,0)</f>
        <v>1</v>
      </c>
      <c r="V452" s="1">
        <f>+IF(Tabla__192.168.1.8_POSEIDONSQL_APPFVT_01_tblFillRateFechas[[#This Row],[Resultado]]=1,1,0)</f>
        <v>1</v>
      </c>
      <c r="W452" s="1" t="str">
        <f>+Tabla__192.168.1.8_POSEIDONSQL_APPFVT_01_tblFillRateFechas[[#This Row],[con_ocnumero]]&amp;Tabla__192.168.1.8_POSEIDONSQL_APPFVT_01_tblFillRateFechas[[#This Row],[con_codigounico]]</f>
        <v>9656143-</v>
      </c>
      <c r="X4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3" spans="1:24" x14ac:dyDescent="0.25">
      <c r="A453">
        <v>4</v>
      </c>
      <c r="B453" t="s">
        <v>56</v>
      </c>
      <c r="C453">
        <v>9656396</v>
      </c>
      <c r="D453" t="s">
        <v>162</v>
      </c>
      <c r="E453" t="s">
        <v>163</v>
      </c>
      <c r="F453" t="s">
        <v>160</v>
      </c>
      <c r="G453">
        <v>1</v>
      </c>
      <c r="H453">
        <v>1</v>
      </c>
      <c r="I453" t="s">
        <v>163</v>
      </c>
      <c r="J453">
        <v>0</v>
      </c>
      <c r="K453" t="s">
        <v>49</v>
      </c>
      <c r="L453" s="1">
        <f>+Tabla__192.168.1.8_POSEIDONSQL_APPFVT_01_tblFillRateFechas[[#This Row],[emb_cantidad]]-Tabla__192.168.1.8_POSEIDONSQL_APPFVT_01_tblFillRateFechas[[#This Row],[dev_cantidad]]</f>
        <v>1</v>
      </c>
      <c r="M453" s="1">
        <f>+IF(Tabla__192.168.1.8_POSEIDONSQL_APPFVT_01_tblFillRateFechas[[#This Row],[Cant_Resultante]]=Tabla__192.168.1.8_POSEIDONSQL_APPFVT_01_tblFillRateFechas[[#This Row],[cant_order]],1,0)</f>
        <v>1</v>
      </c>
      <c r="N4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3" s="1">
        <f>+IF(AND(Tabla__192.168.1.8_POSEIDONSQL_APPFVT_01_tblFillRateFechas[[#This Row],[Valida Cant]]=1,Tabla__192.168.1.8_POSEIDONSQL_APPFVT_01_tblFillRateFechas[[#This Row],[Valida Fec]]=1),1,0)</f>
        <v>1</v>
      </c>
      <c r="P453" s="1">
        <f>+(Tabla__192.168.1.8_POSEIDONSQL_APPFVT_01_tblFillRateFechas[[#This Row],[Cant_Resultante]]/Tabla__192.168.1.8_POSEIDONSQL_APPFVT_01_tblFillRateFechas[[#This Row],[cant_order]])*100</f>
        <v>100</v>
      </c>
      <c r="Q4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3" s="1">
        <f>+IF(Tabla__192.168.1.8_POSEIDONSQL_APPFVT_01_tblFillRateFechas[[#This Row],[cant_order]]&gt;0,1,0)</f>
        <v>1</v>
      </c>
      <c r="V453" s="1">
        <f>+IF(Tabla__192.168.1.8_POSEIDONSQL_APPFVT_01_tblFillRateFechas[[#This Row],[Resultado]]=1,1,0)</f>
        <v>1</v>
      </c>
      <c r="W453" s="1" t="str">
        <f>+Tabla__192.168.1.8_POSEIDONSQL_APPFVT_01_tblFillRateFechas[[#This Row],[con_ocnumero]]&amp;Tabla__192.168.1.8_POSEIDONSQL_APPFVT_01_tblFillRateFechas[[#This Row],[con_codigounico]]</f>
        <v>9656396-</v>
      </c>
      <c r="X4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4" spans="1:24" x14ac:dyDescent="0.25">
      <c r="A454">
        <v>4</v>
      </c>
      <c r="B454" t="s">
        <v>56</v>
      </c>
      <c r="C454">
        <v>9656549</v>
      </c>
      <c r="D454" t="s">
        <v>162</v>
      </c>
      <c r="E454" t="s">
        <v>422</v>
      </c>
      <c r="F454" t="s">
        <v>160</v>
      </c>
      <c r="G454">
        <v>1</v>
      </c>
      <c r="H454">
        <v>1</v>
      </c>
      <c r="I454" t="s">
        <v>422</v>
      </c>
      <c r="J454">
        <v>0</v>
      </c>
      <c r="K454" t="s">
        <v>49</v>
      </c>
      <c r="L454" s="1">
        <f>+Tabla__192.168.1.8_POSEIDONSQL_APPFVT_01_tblFillRateFechas[[#This Row],[emb_cantidad]]-Tabla__192.168.1.8_POSEIDONSQL_APPFVT_01_tblFillRateFechas[[#This Row],[dev_cantidad]]</f>
        <v>1</v>
      </c>
      <c r="M454" s="1">
        <f>+IF(Tabla__192.168.1.8_POSEIDONSQL_APPFVT_01_tblFillRateFechas[[#This Row],[Cant_Resultante]]=Tabla__192.168.1.8_POSEIDONSQL_APPFVT_01_tblFillRateFechas[[#This Row],[cant_order]],1,0)</f>
        <v>1</v>
      </c>
      <c r="N4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4" s="1">
        <f>+IF(AND(Tabla__192.168.1.8_POSEIDONSQL_APPFVT_01_tblFillRateFechas[[#This Row],[Valida Cant]]=1,Tabla__192.168.1.8_POSEIDONSQL_APPFVT_01_tblFillRateFechas[[#This Row],[Valida Fec]]=1),1,0)</f>
        <v>1</v>
      </c>
      <c r="P454" s="1">
        <f>+(Tabla__192.168.1.8_POSEIDONSQL_APPFVT_01_tblFillRateFechas[[#This Row],[Cant_Resultante]]/Tabla__192.168.1.8_POSEIDONSQL_APPFVT_01_tblFillRateFechas[[#This Row],[cant_order]])*100</f>
        <v>100</v>
      </c>
      <c r="Q4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4" s="1">
        <f>+IF(Tabla__192.168.1.8_POSEIDONSQL_APPFVT_01_tblFillRateFechas[[#This Row],[cant_order]]&gt;0,1,0)</f>
        <v>1</v>
      </c>
      <c r="V454" s="1">
        <f>+IF(Tabla__192.168.1.8_POSEIDONSQL_APPFVT_01_tblFillRateFechas[[#This Row],[Resultado]]=1,1,0)</f>
        <v>1</v>
      </c>
      <c r="W454" s="1" t="str">
        <f>+Tabla__192.168.1.8_POSEIDONSQL_APPFVT_01_tblFillRateFechas[[#This Row],[con_ocnumero]]&amp;Tabla__192.168.1.8_POSEIDONSQL_APPFVT_01_tblFillRateFechas[[#This Row],[con_codigounico]]</f>
        <v>9656549-</v>
      </c>
      <c r="X4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5" spans="1:24" x14ac:dyDescent="0.25">
      <c r="A455">
        <v>4</v>
      </c>
      <c r="B455" t="s">
        <v>56</v>
      </c>
      <c r="C455">
        <v>9656648</v>
      </c>
      <c r="D455" t="s">
        <v>162</v>
      </c>
      <c r="E455" t="s">
        <v>163</v>
      </c>
      <c r="F455" t="s">
        <v>160</v>
      </c>
      <c r="G455">
        <v>1</v>
      </c>
      <c r="H455">
        <v>1</v>
      </c>
      <c r="I455" t="s">
        <v>163</v>
      </c>
      <c r="J455">
        <v>0</v>
      </c>
      <c r="K455" t="s">
        <v>49</v>
      </c>
      <c r="L455" s="1">
        <f>+Tabla__192.168.1.8_POSEIDONSQL_APPFVT_01_tblFillRateFechas[[#This Row],[emb_cantidad]]-Tabla__192.168.1.8_POSEIDONSQL_APPFVT_01_tblFillRateFechas[[#This Row],[dev_cantidad]]</f>
        <v>1</v>
      </c>
      <c r="M455" s="1">
        <f>+IF(Tabla__192.168.1.8_POSEIDONSQL_APPFVT_01_tblFillRateFechas[[#This Row],[Cant_Resultante]]=Tabla__192.168.1.8_POSEIDONSQL_APPFVT_01_tblFillRateFechas[[#This Row],[cant_order]],1,0)</f>
        <v>1</v>
      </c>
      <c r="N4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5" s="1">
        <f>+IF(AND(Tabla__192.168.1.8_POSEIDONSQL_APPFVT_01_tblFillRateFechas[[#This Row],[Valida Cant]]=1,Tabla__192.168.1.8_POSEIDONSQL_APPFVT_01_tblFillRateFechas[[#This Row],[Valida Fec]]=1),1,0)</f>
        <v>1</v>
      </c>
      <c r="P455" s="1">
        <f>+(Tabla__192.168.1.8_POSEIDONSQL_APPFVT_01_tblFillRateFechas[[#This Row],[Cant_Resultante]]/Tabla__192.168.1.8_POSEIDONSQL_APPFVT_01_tblFillRateFechas[[#This Row],[cant_order]])*100</f>
        <v>100</v>
      </c>
      <c r="Q4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5" s="1">
        <f>+IF(Tabla__192.168.1.8_POSEIDONSQL_APPFVT_01_tblFillRateFechas[[#This Row],[cant_order]]&gt;0,1,0)</f>
        <v>1</v>
      </c>
      <c r="V455" s="1">
        <f>+IF(Tabla__192.168.1.8_POSEIDONSQL_APPFVT_01_tblFillRateFechas[[#This Row],[Resultado]]=1,1,0)</f>
        <v>1</v>
      </c>
      <c r="W455" s="1" t="str">
        <f>+Tabla__192.168.1.8_POSEIDONSQL_APPFVT_01_tblFillRateFechas[[#This Row],[con_ocnumero]]&amp;Tabla__192.168.1.8_POSEIDONSQL_APPFVT_01_tblFillRateFechas[[#This Row],[con_codigounico]]</f>
        <v>9656648-</v>
      </c>
      <c r="X4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6" spans="1:24" x14ac:dyDescent="0.25">
      <c r="A456">
        <v>4</v>
      </c>
      <c r="B456" t="s">
        <v>56</v>
      </c>
      <c r="C456">
        <v>9656989</v>
      </c>
      <c r="D456" t="s">
        <v>162</v>
      </c>
      <c r="E456" t="s">
        <v>426</v>
      </c>
      <c r="F456" t="s">
        <v>160</v>
      </c>
      <c r="G456">
        <v>1</v>
      </c>
      <c r="H456">
        <v>1</v>
      </c>
      <c r="I456" t="s">
        <v>426</v>
      </c>
      <c r="J456">
        <v>0</v>
      </c>
      <c r="K456" t="s">
        <v>49</v>
      </c>
      <c r="L456" s="1">
        <f>+Tabla__192.168.1.8_POSEIDONSQL_APPFVT_01_tblFillRateFechas[[#This Row],[emb_cantidad]]-Tabla__192.168.1.8_POSEIDONSQL_APPFVT_01_tblFillRateFechas[[#This Row],[dev_cantidad]]</f>
        <v>1</v>
      </c>
      <c r="M456" s="1">
        <f>+IF(Tabla__192.168.1.8_POSEIDONSQL_APPFVT_01_tblFillRateFechas[[#This Row],[Cant_Resultante]]=Tabla__192.168.1.8_POSEIDONSQL_APPFVT_01_tblFillRateFechas[[#This Row],[cant_order]],1,0)</f>
        <v>1</v>
      </c>
      <c r="N4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6" s="1">
        <f>+IF(AND(Tabla__192.168.1.8_POSEIDONSQL_APPFVT_01_tblFillRateFechas[[#This Row],[Valida Cant]]=1,Tabla__192.168.1.8_POSEIDONSQL_APPFVT_01_tblFillRateFechas[[#This Row],[Valida Fec]]=1),1,0)</f>
        <v>1</v>
      </c>
      <c r="P456" s="1">
        <f>+(Tabla__192.168.1.8_POSEIDONSQL_APPFVT_01_tblFillRateFechas[[#This Row],[Cant_Resultante]]/Tabla__192.168.1.8_POSEIDONSQL_APPFVT_01_tblFillRateFechas[[#This Row],[cant_order]])*100</f>
        <v>100</v>
      </c>
      <c r="Q4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6" s="1">
        <f>+IF(Tabla__192.168.1.8_POSEIDONSQL_APPFVT_01_tblFillRateFechas[[#This Row],[cant_order]]&gt;0,1,0)</f>
        <v>1</v>
      </c>
      <c r="V456" s="1">
        <f>+IF(Tabla__192.168.1.8_POSEIDONSQL_APPFVT_01_tblFillRateFechas[[#This Row],[Resultado]]=1,1,0)</f>
        <v>1</v>
      </c>
      <c r="W456" s="1" t="str">
        <f>+Tabla__192.168.1.8_POSEIDONSQL_APPFVT_01_tblFillRateFechas[[#This Row],[con_ocnumero]]&amp;Tabla__192.168.1.8_POSEIDONSQL_APPFVT_01_tblFillRateFechas[[#This Row],[con_codigounico]]</f>
        <v>9656989-</v>
      </c>
      <c r="X4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7" spans="1:24" x14ac:dyDescent="0.25">
      <c r="A457">
        <v>4</v>
      </c>
      <c r="B457" t="s">
        <v>56</v>
      </c>
      <c r="C457">
        <v>9657054</v>
      </c>
      <c r="D457" t="s">
        <v>162</v>
      </c>
      <c r="E457" t="s">
        <v>163</v>
      </c>
      <c r="F457" t="s">
        <v>160</v>
      </c>
      <c r="G457">
        <v>1</v>
      </c>
      <c r="H457">
        <v>1</v>
      </c>
      <c r="I457" t="s">
        <v>163</v>
      </c>
      <c r="J457">
        <v>0</v>
      </c>
      <c r="K457" t="s">
        <v>49</v>
      </c>
      <c r="L457" s="1">
        <f>+Tabla__192.168.1.8_POSEIDONSQL_APPFVT_01_tblFillRateFechas[[#This Row],[emb_cantidad]]-Tabla__192.168.1.8_POSEIDONSQL_APPFVT_01_tblFillRateFechas[[#This Row],[dev_cantidad]]</f>
        <v>1</v>
      </c>
      <c r="M457" s="1">
        <f>+IF(Tabla__192.168.1.8_POSEIDONSQL_APPFVT_01_tblFillRateFechas[[#This Row],[Cant_Resultante]]=Tabla__192.168.1.8_POSEIDONSQL_APPFVT_01_tblFillRateFechas[[#This Row],[cant_order]],1,0)</f>
        <v>1</v>
      </c>
      <c r="N4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7" s="1">
        <f>+IF(AND(Tabla__192.168.1.8_POSEIDONSQL_APPFVT_01_tblFillRateFechas[[#This Row],[Valida Cant]]=1,Tabla__192.168.1.8_POSEIDONSQL_APPFVT_01_tblFillRateFechas[[#This Row],[Valida Fec]]=1),1,0)</f>
        <v>1</v>
      </c>
      <c r="P457" s="1">
        <f>+(Tabla__192.168.1.8_POSEIDONSQL_APPFVT_01_tblFillRateFechas[[#This Row],[Cant_Resultante]]/Tabla__192.168.1.8_POSEIDONSQL_APPFVT_01_tblFillRateFechas[[#This Row],[cant_order]])*100</f>
        <v>100</v>
      </c>
      <c r="Q4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7" s="1">
        <f>+IF(Tabla__192.168.1.8_POSEIDONSQL_APPFVT_01_tblFillRateFechas[[#This Row],[cant_order]]&gt;0,1,0)</f>
        <v>1</v>
      </c>
      <c r="V457" s="1">
        <f>+IF(Tabla__192.168.1.8_POSEIDONSQL_APPFVT_01_tblFillRateFechas[[#This Row],[Resultado]]=1,1,0)</f>
        <v>1</v>
      </c>
      <c r="W457" s="1" t="str">
        <f>+Tabla__192.168.1.8_POSEIDONSQL_APPFVT_01_tblFillRateFechas[[#This Row],[con_ocnumero]]&amp;Tabla__192.168.1.8_POSEIDONSQL_APPFVT_01_tblFillRateFechas[[#This Row],[con_codigounico]]</f>
        <v>9657054-</v>
      </c>
      <c r="X4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8" spans="1:24" x14ac:dyDescent="0.25">
      <c r="A458">
        <v>4</v>
      </c>
      <c r="B458" t="s">
        <v>56</v>
      </c>
      <c r="C458">
        <v>9657472</v>
      </c>
      <c r="D458" t="s">
        <v>162</v>
      </c>
      <c r="E458" t="s">
        <v>163</v>
      </c>
      <c r="F458" t="s">
        <v>160</v>
      </c>
      <c r="G458">
        <v>1</v>
      </c>
      <c r="H458">
        <v>1</v>
      </c>
      <c r="I458" t="s">
        <v>163</v>
      </c>
      <c r="J458">
        <v>0</v>
      </c>
      <c r="K458" t="s">
        <v>49</v>
      </c>
      <c r="L458" s="1">
        <f>+Tabla__192.168.1.8_POSEIDONSQL_APPFVT_01_tblFillRateFechas[[#This Row],[emb_cantidad]]-Tabla__192.168.1.8_POSEIDONSQL_APPFVT_01_tblFillRateFechas[[#This Row],[dev_cantidad]]</f>
        <v>1</v>
      </c>
      <c r="M458" s="1">
        <f>+IF(Tabla__192.168.1.8_POSEIDONSQL_APPFVT_01_tblFillRateFechas[[#This Row],[Cant_Resultante]]=Tabla__192.168.1.8_POSEIDONSQL_APPFVT_01_tblFillRateFechas[[#This Row],[cant_order]],1,0)</f>
        <v>1</v>
      </c>
      <c r="N4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8" s="1">
        <f>+IF(AND(Tabla__192.168.1.8_POSEIDONSQL_APPFVT_01_tblFillRateFechas[[#This Row],[Valida Cant]]=1,Tabla__192.168.1.8_POSEIDONSQL_APPFVT_01_tblFillRateFechas[[#This Row],[Valida Fec]]=1),1,0)</f>
        <v>1</v>
      </c>
      <c r="P458" s="1">
        <f>+(Tabla__192.168.1.8_POSEIDONSQL_APPFVT_01_tblFillRateFechas[[#This Row],[Cant_Resultante]]/Tabla__192.168.1.8_POSEIDONSQL_APPFVT_01_tblFillRateFechas[[#This Row],[cant_order]])*100</f>
        <v>100</v>
      </c>
      <c r="Q4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8" s="1">
        <f>+IF(Tabla__192.168.1.8_POSEIDONSQL_APPFVT_01_tblFillRateFechas[[#This Row],[cant_order]]&gt;0,1,0)</f>
        <v>1</v>
      </c>
      <c r="V458" s="1">
        <f>+IF(Tabla__192.168.1.8_POSEIDONSQL_APPFVT_01_tblFillRateFechas[[#This Row],[Resultado]]=1,1,0)</f>
        <v>1</v>
      </c>
      <c r="W458" s="1" t="str">
        <f>+Tabla__192.168.1.8_POSEIDONSQL_APPFVT_01_tblFillRateFechas[[#This Row],[con_ocnumero]]&amp;Tabla__192.168.1.8_POSEIDONSQL_APPFVT_01_tblFillRateFechas[[#This Row],[con_codigounico]]</f>
        <v>9657472-</v>
      </c>
      <c r="X4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59" spans="1:24" x14ac:dyDescent="0.25">
      <c r="A459">
        <v>4</v>
      </c>
      <c r="B459" t="s">
        <v>56</v>
      </c>
      <c r="C459">
        <v>9657920</v>
      </c>
      <c r="D459" t="s">
        <v>162</v>
      </c>
      <c r="E459" t="s">
        <v>426</v>
      </c>
      <c r="F459" t="s">
        <v>160</v>
      </c>
      <c r="G459">
        <v>1</v>
      </c>
      <c r="H459">
        <v>1</v>
      </c>
      <c r="I459" t="s">
        <v>426</v>
      </c>
      <c r="J459">
        <v>0</v>
      </c>
      <c r="K459" t="s">
        <v>49</v>
      </c>
      <c r="L459" s="1">
        <f>+Tabla__192.168.1.8_POSEIDONSQL_APPFVT_01_tblFillRateFechas[[#This Row],[emb_cantidad]]-Tabla__192.168.1.8_POSEIDONSQL_APPFVT_01_tblFillRateFechas[[#This Row],[dev_cantidad]]</f>
        <v>1</v>
      </c>
      <c r="M459" s="1">
        <f>+IF(Tabla__192.168.1.8_POSEIDONSQL_APPFVT_01_tblFillRateFechas[[#This Row],[Cant_Resultante]]=Tabla__192.168.1.8_POSEIDONSQL_APPFVT_01_tblFillRateFechas[[#This Row],[cant_order]],1,0)</f>
        <v>1</v>
      </c>
      <c r="N4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59" s="1">
        <f>+IF(AND(Tabla__192.168.1.8_POSEIDONSQL_APPFVT_01_tblFillRateFechas[[#This Row],[Valida Cant]]=1,Tabla__192.168.1.8_POSEIDONSQL_APPFVT_01_tblFillRateFechas[[#This Row],[Valida Fec]]=1),1,0)</f>
        <v>1</v>
      </c>
      <c r="P459" s="1">
        <f>+(Tabla__192.168.1.8_POSEIDONSQL_APPFVT_01_tblFillRateFechas[[#This Row],[Cant_Resultante]]/Tabla__192.168.1.8_POSEIDONSQL_APPFVT_01_tblFillRateFechas[[#This Row],[cant_order]])*100</f>
        <v>100</v>
      </c>
      <c r="Q4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59" s="1">
        <f>+IF(Tabla__192.168.1.8_POSEIDONSQL_APPFVT_01_tblFillRateFechas[[#This Row],[cant_order]]&gt;0,1,0)</f>
        <v>1</v>
      </c>
      <c r="V459" s="1">
        <f>+IF(Tabla__192.168.1.8_POSEIDONSQL_APPFVT_01_tblFillRateFechas[[#This Row],[Resultado]]=1,1,0)</f>
        <v>1</v>
      </c>
      <c r="W459" s="1" t="str">
        <f>+Tabla__192.168.1.8_POSEIDONSQL_APPFVT_01_tblFillRateFechas[[#This Row],[con_ocnumero]]&amp;Tabla__192.168.1.8_POSEIDONSQL_APPFVT_01_tblFillRateFechas[[#This Row],[con_codigounico]]</f>
        <v>9657920-</v>
      </c>
      <c r="X4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0" spans="1:24" x14ac:dyDescent="0.25">
      <c r="A460">
        <v>4</v>
      </c>
      <c r="B460" t="s">
        <v>56</v>
      </c>
      <c r="C460">
        <v>9657990</v>
      </c>
      <c r="D460" t="s">
        <v>162</v>
      </c>
      <c r="E460" t="s">
        <v>163</v>
      </c>
      <c r="F460" t="s">
        <v>160</v>
      </c>
      <c r="G460">
        <v>1</v>
      </c>
      <c r="H460">
        <v>1</v>
      </c>
      <c r="I460" t="s">
        <v>163</v>
      </c>
      <c r="J460">
        <v>0</v>
      </c>
      <c r="K460" t="s">
        <v>49</v>
      </c>
      <c r="L460" s="1">
        <f>+Tabla__192.168.1.8_POSEIDONSQL_APPFVT_01_tblFillRateFechas[[#This Row],[emb_cantidad]]-Tabla__192.168.1.8_POSEIDONSQL_APPFVT_01_tblFillRateFechas[[#This Row],[dev_cantidad]]</f>
        <v>1</v>
      </c>
      <c r="M460" s="1">
        <f>+IF(Tabla__192.168.1.8_POSEIDONSQL_APPFVT_01_tblFillRateFechas[[#This Row],[Cant_Resultante]]=Tabla__192.168.1.8_POSEIDONSQL_APPFVT_01_tblFillRateFechas[[#This Row],[cant_order]],1,0)</f>
        <v>1</v>
      </c>
      <c r="N4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0" s="1">
        <f>+IF(AND(Tabla__192.168.1.8_POSEIDONSQL_APPFVT_01_tblFillRateFechas[[#This Row],[Valida Cant]]=1,Tabla__192.168.1.8_POSEIDONSQL_APPFVT_01_tblFillRateFechas[[#This Row],[Valida Fec]]=1),1,0)</f>
        <v>1</v>
      </c>
      <c r="P460" s="1">
        <f>+(Tabla__192.168.1.8_POSEIDONSQL_APPFVT_01_tblFillRateFechas[[#This Row],[Cant_Resultante]]/Tabla__192.168.1.8_POSEIDONSQL_APPFVT_01_tblFillRateFechas[[#This Row],[cant_order]])*100</f>
        <v>100</v>
      </c>
      <c r="Q4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0" s="1">
        <f>+IF(Tabla__192.168.1.8_POSEIDONSQL_APPFVT_01_tblFillRateFechas[[#This Row],[cant_order]]&gt;0,1,0)</f>
        <v>1</v>
      </c>
      <c r="V460" s="1">
        <f>+IF(Tabla__192.168.1.8_POSEIDONSQL_APPFVT_01_tblFillRateFechas[[#This Row],[Resultado]]=1,1,0)</f>
        <v>1</v>
      </c>
      <c r="W460" s="1" t="str">
        <f>+Tabla__192.168.1.8_POSEIDONSQL_APPFVT_01_tblFillRateFechas[[#This Row],[con_ocnumero]]&amp;Tabla__192.168.1.8_POSEIDONSQL_APPFVT_01_tblFillRateFechas[[#This Row],[con_codigounico]]</f>
        <v>9657990-</v>
      </c>
      <c r="X4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1" spans="1:24" x14ac:dyDescent="0.25">
      <c r="A461">
        <v>4</v>
      </c>
      <c r="B461" t="s">
        <v>56</v>
      </c>
      <c r="C461">
        <v>9658498</v>
      </c>
      <c r="D461" t="s">
        <v>162</v>
      </c>
      <c r="E461" t="s">
        <v>427</v>
      </c>
      <c r="F461" t="s">
        <v>160</v>
      </c>
      <c r="G461">
        <v>1</v>
      </c>
      <c r="H461">
        <v>1</v>
      </c>
      <c r="I461" t="s">
        <v>427</v>
      </c>
      <c r="J461">
        <v>0</v>
      </c>
      <c r="K461" t="s">
        <v>49</v>
      </c>
      <c r="L461" s="1">
        <f>+Tabla__192.168.1.8_POSEIDONSQL_APPFVT_01_tblFillRateFechas[[#This Row],[emb_cantidad]]-Tabla__192.168.1.8_POSEIDONSQL_APPFVT_01_tblFillRateFechas[[#This Row],[dev_cantidad]]</f>
        <v>1</v>
      </c>
      <c r="M461" s="1">
        <f>+IF(Tabla__192.168.1.8_POSEIDONSQL_APPFVT_01_tblFillRateFechas[[#This Row],[Cant_Resultante]]=Tabla__192.168.1.8_POSEIDONSQL_APPFVT_01_tblFillRateFechas[[#This Row],[cant_order]],1,0)</f>
        <v>1</v>
      </c>
      <c r="N4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1" s="1">
        <f>+IF(AND(Tabla__192.168.1.8_POSEIDONSQL_APPFVT_01_tblFillRateFechas[[#This Row],[Valida Cant]]=1,Tabla__192.168.1.8_POSEIDONSQL_APPFVT_01_tblFillRateFechas[[#This Row],[Valida Fec]]=1),1,0)</f>
        <v>1</v>
      </c>
      <c r="P461" s="1">
        <f>+(Tabla__192.168.1.8_POSEIDONSQL_APPFVT_01_tblFillRateFechas[[#This Row],[Cant_Resultante]]/Tabla__192.168.1.8_POSEIDONSQL_APPFVT_01_tblFillRateFechas[[#This Row],[cant_order]])*100</f>
        <v>100</v>
      </c>
      <c r="Q4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1" s="1">
        <f>+IF(Tabla__192.168.1.8_POSEIDONSQL_APPFVT_01_tblFillRateFechas[[#This Row],[cant_order]]&gt;0,1,0)</f>
        <v>1</v>
      </c>
      <c r="V461" s="1">
        <f>+IF(Tabla__192.168.1.8_POSEIDONSQL_APPFVT_01_tblFillRateFechas[[#This Row],[Resultado]]=1,1,0)</f>
        <v>1</v>
      </c>
      <c r="W461" s="1" t="str">
        <f>+Tabla__192.168.1.8_POSEIDONSQL_APPFVT_01_tblFillRateFechas[[#This Row],[con_ocnumero]]&amp;Tabla__192.168.1.8_POSEIDONSQL_APPFVT_01_tblFillRateFechas[[#This Row],[con_codigounico]]</f>
        <v>9658498-</v>
      </c>
      <c r="X4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2" spans="1:24" x14ac:dyDescent="0.25">
      <c r="A462">
        <v>4</v>
      </c>
      <c r="B462" t="s">
        <v>56</v>
      </c>
      <c r="C462">
        <v>9658582</v>
      </c>
      <c r="D462" t="s">
        <v>162</v>
      </c>
      <c r="E462" t="s">
        <v>427</v>
      </c>
      <c r="F462" t="s">
        <v>160</v>
      </c>
      <c r="G462">
        <v>1</v>
      </c>
      <c r="H462">
        <v>1</v>
      </c>
      <c r="I462" t="s">
        <v>427</v>
      </c>
      <c r="J462">
        <v>0</v>
      </c>
      <c r="K462" t="s">
        <v>49</v>
      </c>
      <c r="L462" s="1">
        <f>+Tabla__192.168.1.8_POSEIDONSQL_APPFVT_01_tblFillRateFechas[[#This Row],[emb_cantidad]]-Tabla__192.168.1.8_POSEIDONSQL_APPFVT_01_tblFillRateFechas[[#This Row],[dev_cantidad]]</f>
        <v>1</v>
      </c>
      <c r="M462" s="1">
        <f>+IF(Tabla__192.168.1.8_POSEIDONSQL_APPFVT_01_tblFillRateFechas[[#This Row],[Cant_Resultante]]=Tabla__192.168.1.8_POSEIDONSQL_APPFVT_01_tblFillRateFechas[[#This Row],[cant_order]],1,0)</f>
        <v>1</v>
      </c>
      <c r="N4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2" s="1">
        <f>+IF(AND(Tabla__192.168.1.8_POSEIDONSQL_APPFVT_01_tblFillRateFechas[[#This Row],[Valida Cant]]=1,Tabla__192.168.1.8_POSEIDONSQL_APPFVT_01_tblFillRateFechas[[#This Row],[Valida Fec]]=1),1,0)</f>
        <v>1</v>
      </c>
      <c r="P462" s="1">
        <f>+(Tabla__192.168.1.8_POSEIDONSQL_APPFVT_01_tblFillRateFechas[[#This Row],[Cant_Resultante]]/Tabla__192.168.1.8_POSEIDONSQL_APPFVT_01_tblFillRateFechas[[#This Row],[cant_order]])*100</f>
        <v>100</v>
      </c>
      <c r="Q4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2" s="1">
        <f>+IF(Tabla__192.168.1.8_POSEIDONSQL_APPFVT_01_tblFillRateFechas[[#This Row],[cant_order]]&gt;0,1,0)</f>
        <v>1</v>
      </c>
      <c r="V462" s="1">
        <f>+IF(Tabla__192.168.1.8_POSEIDONSQL_APPFVT_01_tblFillRateFechas[[#This Row],[Resultado]]=1,1,0)</f>
        <v>1</v>
      </c>
      <c r="W462" s="1" t="str">
        <f>+Tabla__192.168.1.8_POSEIDONSQL_APPFVT_01_tblFillRateFechas[[#This Row],[con_ocnumero]]&amp;Tabla__192.168.1.8_POSEIDONSQL_APPFVT_01_tblFillRateFechas[[#This Row],[con_codigounico]]</f>
        <v>9658582-</v>
      </c>
      <c r="X4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3" spans="1:24" x14ac:dyDescent="0.25">
      <c r="A463">
        <v>4</v>
      </c>
      <c r="B463" t="s">
        <v>56</v>
      </c>
      <c r="C463">
        <v>9658732</v>
      </c>
      <c r="D463" t="s">
        <v>162</v>
      </c>
      <c r="E463" t="s">
        <v>426</v>
      </c>
      <c r="F463" t="s">
        <v>160</v>
      </c>
      <c r="G463">
        <v>1</v>
      </c>
      <c r="H463">
        <v>0</v>
      </c>
      <c r="I463" t="s">
        <v>12</v>
      </c>
      <c r="J463">
        <v>0</v>
      </c>
      <c r="K463" t="s">
        <v>49</v>
      </c>
      <c r="L463" s="1">
        <f>+Tabla__192.168.1.8_POSEIDONSQL_APPFVT_01_tblFillRateFechas[[#This Row],[emb_cantidad]]-Tabla__192.168.1.8_POSEIDONSQL_APPFVT_01_tblFillRateFechas[[#This Row],[dev_cantidad]]</f>
        <v>0</v>
      </c>
      <c r="M463" s="1">
        <f>+IF(Tabla__192.168.1.8_POSEIDONSQL_APPFVT_01_tblFillRateFechas[[#This Row],[Cant_Resultante]]=Tabla__192.168.1.8_POSEIDONSQL_APPFVT_01_tblFillRateFechas[[#This Row],[cant_order]],1,0)</f>
        <v>0</v>
      </c>
      <c r="N4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463" s="1">
        <f>+IF(AND(Tabla__192.168.1.8_POSEIDONSQL_APPFVT_01_tblFillRateFechas[[#This Row],[Valida Cant]]=1,Tabla__192.168.1.8_POSEIDONSQL_APPFVT_01_tblFillRateFechas[[#This Row],[Valida Fec]]=1),1,0)</f>
        <v>0</v>
      </c>
      <c r="P463" s="1">
        <f>+(Tabla__192.168.1.8_POSEIDONSQL_APPFVT_01_tblFillRateFechas[[#This Row],[Cant_Resultante]]/Tabla__192.168.1.8_POSEIDONSQL_APPFVT_01_tblFillRateFechas[[#This Row],[cant_order]])*100</f>
        <v>0</v>
      </c>
      <c r="Q4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4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4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463" s="1">
        <f>+IF(Tabla__192.168.1.8_POSEIDONSQL_APPFVT_01_tblFillRateFechas[[#This Row],[cant_order]]&gt;0,1,0)</f>
        <v>1</v>
      </c>
      <c r="V463" s="1">
        <f>+IF(Tabla__192.168.1.8_POSEIDONSQL_APPFVT_01_tblFillRateFechas[[#This Row],[Resultado]]=1,1,0)</f>
        <v>0</v>
      </c>
      <c r="W463" s="1" t="str">
        <f>+Tabla__192.168.1.8_POSEIDONSQL_APPFVT_01_tblFillRateFechas[[#This Row],[con_ocnumero]]&amp;Tabla__192.168.1.8_POSEIDONSQL_APPFVT_01_tblFillRateFechas[[#This Row],[con_codigounico]]</f>
        <v>9658732-</v>
      </c>
      <c r="X4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464" spans="1:24" x14ac:dyDescent="0.25">
      <c r="A464">
        <v>4</v>
      </c>
      <c r="B464" t="s">
        <v>56</v>
      </c>
      <c r="C464">
        <v>9659336</v>
      </c>
      <c r="D464" t="s">
        <v>160</v>
      </c>
      <c r="E464" t="s">
        <v>427</v>
      </c>
      <c r="F464" t="s">
        <v>161</v>
      </c>
      <c r="G464">
        <v>1</v>
      </c>
      <c r="H464">
        <v>1</v>
      </c>
      <c r="I464" t="s">
        <v>427</v>
      </c>
      <c r="J464">
        <v>0</v>
      </c>
      <c r="K464" t="s">
        <v>49</v>
      </c>
      <c r="L464" s="1">
        <f>+Tabla__192.168.1.8_POSEIDONSQL_APPFVT_01_tblFillRateFechas[[#This Row],[emb_cantidad]]-Tabla__192.168.1.8_POSEIDONSQL_APPFVT_01_tblFillRateFechas[[#This Row],[dev_cantidad]]</f>
        <v>1</v>
      </c>
      <c r="M464" s="1">
        <f>+IF(Tabla__192.168.1.8_POSEIDONSQL_APPFVT_01_tblFillRateFechas[[#This Row],[Cant_Resultante]]=Tabla__192.168.1.8_POSEIDONSQL_APPFVT_01_tblFillRateFechas[[#This Row],[cant_order]],1,0)</f>
        <v>1</v>
      </c>
      <c r="N4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4" s="1">
        <f>+IF(AND(Tabla__192.168.1.8_POSEIDONSQL_APPFVT_01_tblFillRateFechas[[#This Row],[Valida Cant]]=1,Tabla__192.168.1.8_POSEIDONSQL_APPFVT_01_tblFillRateFechas[[#This Row],[Valida Fec]]=1),1,0)</f>
        <v>1</v>
      </c>
      <c r="P464" s="1">
        <f>+(Tabla__192.168.1.8_POSEIDONSQL_APPFVT_01_tblFillRateFechas[[#This Row],[Cant_Resultante]]/Tabla__192.168.1.8_POSEIDONSQL_APPFVT_01_tblFillRateFechas[[#This Row],[cant_order]])*100</f>
        <v>100</v>
      </c>
      <c r="Q4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4" s="1">
        <f>+IF(Tabla__192.168.1.8_POSEIDONSQL_APPFVT_01_tblFillRateFechas[[#This Row],[cant_order]]&gt;0,1,0)</f>
        <v>1</v>
      </c>
      <c r="V464" s="1">
        <f>+IF(Tabla__192.168.1.8_POSEIDONSQL_APPFVT_01_tblFillRateFechas[[#This Row],[Resultado]]=1,1,0)</f>
        <v>1</v>
      </c>
      <c r="W464" s="1" t="str">
        <f>+Tabla__192.168.1.8_POSEIDONSQL_APPFVT_01_tblFillRateFechas[[#This Row],[con_ocnumero]]&amp;Tabla__192.168.1.8_POSEIDONSQL_APPFVT_01_tblFillRateFechas[[#This Row],[con_codigounico]]</f>
        <v>9659336-</v>
      </c>
      <c r="X4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5" spans="1:24" x14ac:dyDescent="0.25">
      <c r="A465">
        <v>4</v>
      </c>
      <c r="B465" t="s">
        <v>56</v>
      </c>
      <c r="C465">
        <v>9659475</v>
      </c>
      <c r="D465" t="s">
        <v>160</v>
      </c>
      <c r="E465" t="s">
        <v>427</v>
      </c>
      <c r="F465" t="s">
        <v>161</v>
      </c>
      <c r="G465">
        <v>1</v>
      </c>
      <c r="H465">
        <v>1</v>
      </c>
      <c r="I465" t="s">
        <v>427</v>
      </c>
      <c r="J465">
        <v>0</v>
      </c>
      <c r="K465" t="s">
        <v>49</v>
      </c>
      <c r="L465" s="1">
        <f>+Tabla__192.168.1.8_POSEIDONSQL_APPFVT_01_tblFillRateFechas[[#This Row],[emb_cantidad]]-Tabla__192.168.1.8_POSEIDONSQL_APPFVT_01_tblFillRateFechas[[#This Row],[dev_cantidad]]</f>
        <v>1</v>
      </c>
      <c r="M465" s="1">
        <f>+IF(Tabla__192.168.1.8_POSEIDONSQL_APPFVT_01_tblFillRateFechas[[#This Row],[Cant_Resultante]]=Tabla__192.168.1.8_POSEIDONSQL_APPFVT_01_tblFillRateFechas[[#This Row],[cant_order]],1,0)</f>
        <v>1</v>
      </c>
      <c r="N4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5" s="1">
        <f>+IF(AND(Tabla__192.168.1.8_POSEIDONSQL_APPFVT_01_tblFillRateFechas[[#This Row],[Valida Cant]]=1,Tabla__192.168.1.8_POSEIDONSQL_APPFVT_01_tblFillRateFechas[[#This Row],[Valida Fec]]=1),1,0)</f>
        <v>1</v>
      </c>
      <c r="P465" s="1">
        <f>+(Tabla__192.168.1.8_POSEIDONSQL_APPFVT_01_tblFillRateFechas[[#This Row],[Cant_Resultante]]/Tabla__192.168.1.8_POSEIDONSQL_APPFVT_01_tblFillRateFechas[[#This Row],[cant_order]])*100</f>
        <v>100</v>
      </c>
      <c r="Q4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5" s="1">
        <f>+IF(Tabla__192.168.1.8_POSEIDONSQL_APPFVT_01_tblFillRateFechas[[#This Row],[cant_order]]&gt;0,1,0)</f>
        <v>1</v>
      </c>
      <c r="V465" s="1">
        <f>+IF(Tabla__192.168.1.8_POSEIDONSQL_APPFVT_01_tblFillRateFechas[[#This Row],[Resultado]]=1,1,0)</f>
        <v>1</v>
      </c>
      <c r="W465" s="1" t="str">
        <f>+Tabla__192.168.1.8_POSEIDONSQL_APPFVT_01_tblFillRateFechas[[#This Row],[con_ocnumero]]&amp;Tabla__192.168.1.8_POSEIDONSQL_APPFVT_01_tblFillRateFechas[[#This Row],[con_codigounico]]</f>
        <v>9659475-</v>
      </c>
      <c r="X4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6" spans="1:24" x14ac:dyDescent="0.25">
      <c r="A466">
        <v>4</v>
      </c>
      <c r="B466" t="s">
        <v>56</v>
      </c>
      <c r="C466">
        <v>9659490</v>
      </c>
      <c r="D466" t="s">
        <v>160</v>
      </c>
      <c r="E466" t="s">
        <v>426</v>
      </c>
      <c r="F466" t="s">
        <v>161</v>
      </c>
      <c r="G466">
        <v>1</v>
      </c>
      <c r="H466">
        <v>1</v>
      </c>
      <c r="I466" t="s">
        <v>426</v>
      </c>
      <c r="J466">
        <v>0</v>
      </c>
      <c r="K466" t="s">
        <v>49</v>
      </c>
      <c r="L466" s="1">
        <f>+Tabla__192.168.1.8_POSEIDONSQL_APPFVT_01_tblFillRateFechas[[#This Row],[emb_cantidad]]-Tabla__192.168.1.8_POSEIDONSQL_APPFVT_01_tblFillRateFechas[[#This Row],[dev_cantidad]]</f>
        <v>1</v>
      </c>
      <c r="M466" s="1">
        <f>+IF(Tabla__192.168.1.8_POSEIDONSQL_APPFVT_01_tblFillRateFechas[[#This Row],[Cant_Resultante]]=Tabla__192.168.1.8_POSEIDONSQL_APPFVT_01_tblFillRateFechas[[#This Row],[cant_order]],1,0)</f>
        <v>1</v>
      </c>
      <c r="N4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6" s="1">
        <f>+IF(AND(Tabla__192.168.1.8_POSEIDONSQL_APPFVT_01_tblFillRateFechas[[#This Row],[Valida Cant]]=1,Tabla__192.168.1.8_POSEIDONSQL_APPFVT_01_tblFillRateFechas[[#This Row],[Valida Fec]]=1),1,0)</f>
        <v>1</v>
      </c>
      <c r="P466" s="1">
        <f>+(Tabla__192.168.1.8_POSEIDONSQL_APPFVT_01_tblFillRateFechas[[#This Row],[Cant_Resultante]]/Tabla__192.168.1.8_POSEIDONSQL_APPFVT_01_tblFillRateFechas[[#This Row],[cant_order]])*100</f>
        <v>100</v>
      </c>
      <c r="Q4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6" s="1">
        <f>+IF(Tabla__192.168.1.8_POSEIDONSQL_APPFVT_01_tblFillRateFechas[[#This Row],[cant_order]]&gt;0,1,0)</f>
        <v>1</v>
      </c>
      <c r="V466" s="1">
        <f>+IF(Tabla__192.168.1.8_POSEIDONSQL_APPFVT_01_tblFillRateFechas[[#This Row],[Resultado]]=1,1,0)</f>
        <v>1</v>
      </c>
      <c r="W466" s="1" t="str">
        <f>+Tabla__192.168.1.8_POSEIDONSQL_APPFVT_01_tblFillRateFechas[[#This Row],[con_ocnumero]]&amp;Tabla__192.168.1.8_POSEIDONSQL_APPFVT_01_tblFillRateFechas[[#This Row],[con_codigounico]]</f>
        <v>9659490-</v>
      </c>
      <c r="X4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7" spans="1:24" x14ac:dyDescent="0.25">
      <c r="A467">
        <v>4</v>
      </c>
      <c r="B467" t="s">
        <v>56</v>
      </c>
      <c r="C467">
        <v>9660055</v>
      </c>
      <c r="D467" t="s">
        <v>160</v>
      </c>
      <c r="E467" t="s">
        <v>427</v>
      </c>
      <c r="F467" t="s">
        <v>161</v>
      </c>
      <c r="G467">
        <v>1</v>
      </c>
      <c r="H467">
        <v>1</v>
      </c>
      <c r="I467" t="s">
        <v>427</v>
      </c>
      <c r="J467">
        <v>0</v>
      </c>
      <c r="K467" t="s">
        <v>49</v>
      </c>
      <c r="L467" s="1">
        <f>+Tabla__192.168.1.8_POSEIDONSQL_APPFVT_01_tblFillRateFechas[[#This Row],[emb_cantidad]]-Tabla__192.168.1.8_POSEIDONSQL_APPFVT_01_tblFillRateFechas[[#This Row],[dev_cantidad]]</f>
        <v>1</v>
      </c>
      <c r="M467" s="1">
        <f>+IF(Tabla__192.168.1.8_POSEIDONSQL_APPFVT_01_tblFillRateFechas[[#This Row],[Cant_Resultante]]=Tabla__192.168.1.8_POSEIDONSQL_APPFVT_01_tblFillRateFechas[[#This Row],[cant_order]],1,0)</f>
        <v>1</v>
      </c>
      <c r="N4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7" s="1">
        <f>+IF(AND(Tabla__192.168.1.8_POSEIDONSQL_APPFVT_01_tblFillRateFechas[[#This Row],[Valida Cant]]=1,Tabla__192.168.1.8_POSEIDONSQL_APPFVT_01_tblFillRateFechas[[#This Row],[Valida Fec]]=1),1,0)</f>
        <v>1</v>
      </c>
      <c r="P467" s="1">
        <f>+(Tabla__192.168.1.8_POSEIDONSQL_APPFVT_01_tblFillRateFechas[[#This Row],[Cant_Resultante]]/Tabla__192.168.1.8_POSEIDONSQL_APPFVT_01_tblFillRateFechas[[#This Row],[cant_order]])*100</f>
        <v>100</v>
      </c>
      <c r="Q4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7" s="1">
        <f>+IF(Tabla__192.168.1.8_POSEIDONSQL_APPFVT_01_tblFillRateFechas[[#This Row],[cant_order]]&gt;0,1,0)</f>
        <v>1</v>
      </c>
      <c r="V467" s="1">
        <f>+IF(Tabla__192.168.1.8_POSEIDONSQL_APPFVT_01_tblFillRateFechas[[#This Row],[Resultado]]=1,1,0)</f>
        <v>1</v>
      </c>
      <c r="W467" s="1" t="str">
        <f>+Tabla__192.168.1.8_POSEIDONSQL_APPFVT_01_tblFillRateFechas[[#This Row],[con_ocnumero]]&amp;Tabla__192.168.1.8_POSEIDONSQL_APPFVT_01_tblFillRateFechas[[#This Row],[con_codigounico]]</f>
        <v>9660055-</v>
      </c>
      <c r="X4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8" spans="1:24" x14ac:dyDescent="0.25">
      <c r="A468">
        <v>4</v>
      </c>
      <c r="B468" t="s">
        <v>56</v>
      </c>
      <c r="C468">
        <v>9660235</v>
      </c>
      <c r="D468" t="s">
        <v>160</v>
      </c>
      <c r="E468" t="s">
        <v>427</v>
      </c>
      <c r="F468" t="s">
        <v>161</v>
      </c>
      <c r="G468">
        <v>1</v>
      </c>
      <c r="H468">
        <v>1</v>
      </c>
      <c r="I468" t="s">
        <v>427</v>
      </c>
      <c r="J468">
        <v>0</v>
      </c>
      <c r="K468" t="s">
        <v>49</v>
      </c>
      <c r="L468" s="1">
        <f>+Tabla__192.168.1.8_POSEIDONSQL_APPFVT_01_tblFillRateFechas[[#This Row],[emb_cantidad]]-Tabla__192.168.1.8_POSEIDONSQL_APPFVT_01_tblFillRateFechas[[#This Row],[dev_cantidad]]</f>
        <v>1</v>
      </c>
      <c r="M468" s="1">
        <f>+IF(Tabla__192.168.1.8_POSEIDONSQL_APPFVT_01_tblFillRateFechas[[#This Row],[Cant_Resultante]]=Tabla__192.168.1.8_POSEIDONSQL_APPFVT_01_tblFillRateFechas[[#This Row],[cant_order]],1,0)</f>
        <v>1</v>
      </c>
      <c r="N4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8" s="1">
        <f>+IF(AND(Tabla__192.168.1.8_POSEIDONSQL_APPFVT_01_tblFillRateFechas[[#This Row],[Valida Cant]]=1,Tabla__192.168.1.8_POSEIDONSQL_APPFVT_01_tblFillRateFechas[[#This Row],[Valida Fec]]=1),1,0)</f>
        <v>1</v>
      </c>
      <c r="P468" s="1">
        <f>+(Tabla__192.168.1.8_POSEIDONSQL_APPFVT_01_tblFillRateFechas[[#This Row],[Cant_Resultante]]/Tabla__192.168.1.8_POSEIDONSQL_APPFVT_01_tblFillRateFechas[[#This Row],[cant_order]])*100</f>
        <v>100</v>
      </c>
      <c r="Q4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8" s="1">
        <f>+IF(Tabla__192.168.1.8_POSEIDONSQL_APPFVT_01_tblFillRateFechas[[#This Row],[cant_order]]&gt;0,1,0)</f>
        <v>1</v>
      </c>
      <c r="V468" s="1">
        <f>+IF(Tabla__192.168.1.8_POSEIDONSQL_APPFVT_01_tblFillRateFechas[[#This Row],[Resultado]]=1,1,0)</f>
        <v>1</v>
      </c>
      <c r="W468" s="1" t="str">
        <f>+Tabla__192.168.1.8_POSEIDONSQL_APPFVT_01_tblFillRateFechas[[#This Row],[con_ocnumero]]&amp;Tabla__192.168.1.8_POSEIDONSQL_APPFVT_01_tblFillRateFechas[[#This Row],[con_codigounico]]</f>
        <v>9660235-</v>
      </c>
      <c r="X4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69" spans="1:24" x14ac:dyDescent="0.25">
      <c r="A469">
        <v>4</v>
      </c>
      <c r="B469" t="s">
        <v>56</v>
      </c>
      <c r="C469">
        <v>9661708</v>
      </c>
      <c r="D469" t="s">
        <v>160</v>
      </c>
      <c r="E469" t="s">
        <v>414</v>
      </c>
      <c r="F469" t="s">
        <v>161</v>
      </c>
      <c r="G469">
        <v>1</v>
      </c>
      <c r="H469">
        <v>1</v>
      </c>
      <c r="I469" t="s">
        <v>426</v>
      </c>
      <c r="J469">
        <v>0</v>
      </c>
      <c r="K469" t="s">
        <v>49</v>
      </c>
      <c r="L469" s="1">
        <f>+Tabla__192.168.1.8_POSEIDONSQL_APPFVT_01_tblFillRateFechas[[#This Row],[emb_cantidad]]-Tabla__192.168.1.8_POSEIDONSQL_APPFVT_01_tblFillRateFechas[[#This Row],[dev_cantidad]]</f>
        <v>1</v>
      </c>
      <c r="M469" s="1">
        <f>+IF(Tabla__192.168.1.8_POSEIDONSQL_APPFVT_01_tblFillRateFechas[[#This Row],[Cant_Resultante]]=Tabla__192.168.1.8_POSEIDONSQL_APPFVT_01_tblFillRateFechas[[#This Row],[cant_order]],1,0)</f>
        <v>1</v>
      </c>
      <c r="N4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69" s="1">
        <f>+IF(AND(Tabla__192.168.1.8_POSEIDONSQL_APPFVT_01_tblFillRateFechas[[#This Row],[Valida Cant]]=1,Tabla__192.168.1.8_POSEIDONSQL_APPFVT_01_tblFillRateFechas[[#This Row],[Valida Fec]]=1),1,0)</f>
        <v>1</v>
      </c>
      <c r="P469" s="1">
        <f>+(Tabla__192.168.1.8_POSEIDONSQL_APPFVT_01_tblFillRateFechas[[#This Row],[Cant_Resultante]]/Tabla__192.168.1.8_POSEIDONSQL_APPFVT_01_tblFillRateFechas[[#This Row],[cant_order]])*100</f>
        <v>100</v>
      </c>
      <c r="Q4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69" s="1">
        <f>+IF(Tabla__192.168.1.8_POSEIDONSQL_APPFVT_01_tblFillRateFechas[[#This Row],[cant_order]]&gt;0,1,0)</f>
        <v>1</v>
      </c>
      <c r="V469" s="1">
        <f>+IF(Tabla__192.168.1.8_POSEIDONSQL_APPFVT_01_tblFillRateFechas[[#This Row],[Resultado]]=1,1,0)</f>
        <v>1</v>
      </c>
      <c r="W469" s="1" t="str">
        <f>+Tabla__192.168.1.8_POSEIDONSQL_APPFVT_01_tblFillRateFechas[[#This Row],[con_ocnumero]]&amp;Tabla__192.168.1.8_POSEIDONSQL_APPFVT_01_tblFillRateFechas[[#This Row],[con_codigounico]]</f>
        <v>9661708-</v>
      </c>
      <c r="X4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0" spans="1:24" x14ac:dyDescent="0.25">
      <c r="A470">
        <v>4</v>
      </c>
      <c r="B470" t="s">
        <v>56</v>
      </c>
      <c r="C470">
        <v>9661929</v>
      </c>
      <c r="D470" t="s">
        <v>160</v>
      </c>
      <c r="E470" t="s">
        <v>427</v>
      </c>
      <c r="F470" t="s">
        <v>161</v>
      </c>
      <c r="G470">
        <v>1</v>
      </c>
      <c r="H470">
        <v>1</v>
      </c>
      <c r="I470" t="s">
        <v>427</v>
      </c>
      <c r="J470">
        <v>0</v>
      </c>
      <c r="K470" t="s">
        <v>49</v>
      </c>
      <c r="L470" s="1">
        <f>+Tabla__192.168.1.8_POSEIDONSQL_APPFVT_01_tblFillRateFechas[[#This Row],[emb_cantidad]]-Tabla__192.168.1.8_POSEIDONSQL_APPFVT_01_tblFillRateFechas[[#This Row],[dev_cantidad]]</f>
        <v>1</v>
      </c>
      <c r="M470" s="1">
        <f>+IF(Tabla__192.168.1.8_POSEIDONSQL_APPFVT_01_tblFillRateFechas[[#This Row],[Cant_Resultante]]=Tabla__192.168.1.8_POSEIDONSQL_APPFVT_01_tblFillRateFechas[[#This Row],[cant_order]],1,0)</f>
        <v>1</v>
      </c>
      <c r="N4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0" s="1">
        <f>+IF(AND(Tabla__192.168.1.8_POSEIDONSQL_APPFVT_01_tblFillRateFechas[[#This Row],[Valida Cant]]=1,Tabla__192.168.1.8_POSEIDONSQL_APPFVT_01_tblFillRateFechas[[#This Row],[Valida Fec]]=1),1,0)</f>
        <v>1</v>
      </c>
      <c r="P470" s="1">
        <f>+(Tabla__192.168.1.8_POSEIDONSQL_APPFVT_01_tblFillRateFechas[[#This Row],[Cant_Resultante]]/Tabla__192.168.1.8_POSEIDONSQL_APPFVT_01_tblFillRateFechas[[#This Row],[cant_order]])*100</f>
        <v>100</v>
      </c>
      <c r="Q4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0" s="1">
        <f>+IF(Tabla__192.168.1.8_POSEIDONSQL_APPFVT_01_tblFillRateFechas[[#This Row],[cant_order]]&gt;0,1,0)</f>
        <v>1</v>
      </c>
      <c r="V470" s="1">
        <f>+IF(Tabla__192.168.1.8_POSEIDONSQL_APPFVT_01_tblFillRateFechas[[#This Row],[Resultado]]=1,1,0)</f>
        <v>1</v>
      </c>
      <c r="W470" s="1" t="str">
        <f>+Tabla__192.168.1.8_POSEIDONSQL_APPFVT_01_tblFillRateFechas[[#This Row],[con_ocnumero]]&amp;Tabla__192.168.1.8_POSEIDONSQL_APPFVT_01_tblFillRateFechas[[#This Row],[con_codigounico]]</f>
        <v>9661929-</v>
      </c>
      <c r="X4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1" spans="1:24" x14ac:dyDescent="0.25">
      <c r="A471">
        <v>4</v>
      </c>
      <c r="B471" t="s">
        <v>56</v>
      </c>
      <c r="C471">
        <v>9662366</v>
      </c>
      <c r="D471" t="s">
        <v>161</v>
      </c>
      <c r="E471" t="s">
        <v>427</v>
      </c>
      <c r="F471" t="s">
        <v>161</v>
      </c>
      <c r="G471">
        <v>1</v>
      </c>
      <c r="H471">
        <v>1</v>
      </c>
      <c r="I471" t="s">
        <v>427</v>
      </c>
      <c r="J471">
        <v>0</v>
      </c>
      <c r="K471" t="s">
        <v>49</v>
      </c>
      <c r="L471" s="1">
        <f>+Tabla__192.168.1.8_POSEIDONSQL_APPFVT_01_tblFillRateFechas[[#This Row],[emb_cantidad]]-Tabla__192.168.1.8_POSEIDONSQL_APPFVT_01_tblFillRateFechas[[#This Row],[dev_cantidad]]</f>
        <v>1</v>
      </c>
      <c r="M471" s="1">
        <f>+IF(Tabla__192.168.1.8_POSEIDONSQL_APPFVT_01_tblFillRateFechas[[#This Row],[Cant_Resultante]]=Tabla__192.168.1.8_POSEIDONSQL_APPFVT_01_tblFillRateFechas[[#This Row],[cant_order]],1,0)</f>
        <v>1</v>
      </c>
      <c r="N4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1" s="1">
        <f>+IF(AND(Tabla__192.168.1.8_POSEIDONSQL_APPFVT_01_tblFillRateFechas[[#This Row],[Valida Cant]]=1,Tabla__192.168.1.8_POSEIDONSQL_APPFVT_01_tblFillRateFechas[[#This Row],[Valida Fec]]=1),1,0)</f>
        <v>1</v>
      </c>
      <c r="P471" s="1">
        <f>+(Tabla__192.168.1.8_POSEIDONSQL_APPFVT_01_tblFillRateFechas[[#This Row],[Cant_Resultante]]/Tabla__192.168.1.8_POSEIDONSQL_APPFVT_01_tblFillRateFechas[[#This Row],[cant_order]])*100</f>
        <v>100</v>
      </c>
      <c r="Q4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1" s="1">
        <f>+IF(Tabla__192.168.1.8_POSEIDONSQL_APPFVT_01_tblFillRateFechas[[#This Row],[cant_order]]&gt;0,1,0)</f>
        <v>1</v>
      </c>
      <c r="V471" s="1">
        <f>+IF(Tabla__192.168.1.8_POSEIDONSQL_APPFVT_01_tblFillRateFechas[[#This Row],[Resultado]]=1,1,0)</f>
        <v>1</v>
      </c>
      <c r="W471" s="1" t="str">
        <f>+Tabla__192.168.1.8_POSEIDONSQL_APPFVT_01_tblFillRateFechas[[#This Row],[con_ocnumero]]&amp;Tabla__192.168.1.8_POSEIDONSQL_APPFVT_01_tblFillRateFechas[[#This Row],[con_codigounico]]</f>
        <v>9662366-</v>
      </c>
      <c r="X4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2" spans="1:24" x14ac:dyDescent="0.25">
      <c r="A472">
        <v>4</v>
      </c>
      <c r="B472" t="s">
        <v>56</v>
      </c>
      <c r="C472">
        <v>9662705</v>
      </c>
      <c r="D472" t="s">
        <v>161</v>
      </c>
      <c r="E472" t="s">
        <v>427</v>
      </c>
      <c r="F472" t="s">
        <v>1969</v>
      </c>
      <c r="G472">
        <v>1</v>
      </c>
      <c r="H472">
        <v>1</v>
      </c>
      <c r="I472" t="s">
        <v>427</v>
      </c>
      <c r="J472">
        <v>0</v>
      </c>
      <c r="K472" t="s">
        <v>49</v>
      </c>
      <c r="L472" s="1">
        <f>+Tabla__192.168.1.8_POSEIDONSQL_APPFVT_01_tblFillRateFechas[[#This Row],[emb_cantidad]]-Tabla__192.168.1.8_POSEIDONSQL_APPFVT_01_tblFillRateFechas[[#This Row],[dev_cantidad]]</f>
        <v>1</v>
      </c>
      <c r="M472" s="1">
        <f>+IF(Tabla__192.168.1.8_POSEIDONSQL_APPFVT_01_tblFillRateFechas[[#This Row],[Cant_Resultante]]=Tabla__192.168.1.8_POSEIDONSQL_APPFVT_01_tblFillRateFechas[[#This Row],[cant_order]],1,0)</f>
        <v>1</v>
      </c>
      <c r="N4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2" s="1">
        <f>+IF(AND(Tabla__192.168.1.8_POSEIDONSQL_APPFVT_01_tblFillRateFechas[[#This Row],[Valida Cant]]=1,Tabla__192.168.1.8_POSEIDONSQL_APPFVT_01_tblFillRateFechas[[#This Row],[Valida Fec]]=1),1,0)</f>
        <v>1</v>
      </c>
      <c r="P472" s="1">
        <f>+(Tabla__192.168.1.8_POSEIDONSQL_APPFVT_01_tblFillRateFechas[[#This Row],[Cant_Resultante]]/Tabla__192.168.1.8_POSEIDONSQL_APPFVT_01_tblFillRateFechas[[#This Row],[cant_order]])*100</f>
        <v>100</v>
      </c>
      <c r="Q4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2" s="1">
        <f>+IF(Tabla__192.168.1.8_POSEIDONSQL_APPFVT_01_tblFillRateFechas[[#This Row],[cant_order]]&gt;0,1,0)</f>
        <v>1</v>
      </c>
      <c r="V472" s="1">
        <f>+IF(Tabla__192.168.1.8_POSEIDONSQL_APPFVT_01_tblFillRateFechas[[#This Row],[Resultado]]=1,1,0)</f>
        <v>1</v>
      </c>
      <c r="W472" s="1" t="str">
        <f>+Tabla__192.168.1.8_POSEIDONSQL_APPFVT_01_tblFillRateFechas[[#This Row],[con_ocnumero]]&amp;Tabla__192.168.1.8_POSEIDONSQL_APPFVT_01_tblFillRateFechas[[#This Row],[con_codigounico]]</f>
        <v>9662705-</v>
      </c>
      <c r="X4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3" spans="1:24" x14ac:dyDescent="0.25">
      <c r="A473">
        <v>4</v>
      </c>
      <c r="B473" t="s">
        <v>56</v>
      </c>
      <c r="C473">
        <v>9663390</v>
      </c>
      <c r="D473" t="s">
        <v>161</v>
      </c>
      <c r="E473" t="s">
        <v>426</v>
      </c>
      <c r="F473" t="s">
        <v>1969</v>
      </c>
      <c r="G473">
        <v>1</v>
      </c>
      <c r="H473">
        <v>1</v>
      </c>
      <c r="I473" t="s">
        <v>426</v>
      </c>
      <c r="J473">
        <v>0</v>
      </c>
      <c r="K473" t="s">
        <v>49</v>
      </c>
      <c r="L473" s="1">
        <f>+Tabla__192.168.1.8_POSEIDONSQL_APPFVT_01_tblFillRateFechas[[#This Row],[emb_cantidad]]-Tabla__192.168.1.8_POSEIDONSQL_APPFVT_01_tblFillRateFechas[[#This Row],[dev_cantidad]]</f>
        <v>1</v>
      </c>
      <c r="M473" s="1">
        <f>+IF(Tabla__192.168.1.8_POSEIDONSQL_APPFVT_01_tblFillRateFechas[[#This Row],[Cant_Resultante]]=Tabla__192.168.1.8_POSEIDONSQL_APPFVT_01_tblFillRateFechas[[#This Row],[cant_order]],1,0)</f>
        <v>1</v>
      </c>
      <c r="N4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3" s="1">
        <f>+IF(AND(Tabla__192.168.1.8_POSEIDONSQL_APPFVT_01_tblFillRateFechas[[#This Row],[Valida Cant]]=1,Tabla__192.168.1.8_POSEIDONSQL_APPFVT_01_tblFillRateFechas[[#This Row],[Valida Fec]]=1),1,0)</f>
        <v>1</v>
      </c>
      <c r="P473" s="1">
        <f>+(Tabla__192.168.1.8_POSEIDONSQL_APPFVT_01_tblFillRateFechas[[#This Row],[Cant_Resultante]]/Tabla__192.168.1.8_POSEIDONSQL_APPFVT_01_tblFillRateFechas[[#This Row],[cant_order]])*100</f>
        <v>100</v>
      </c>
      <c r="Q4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3" s="1">
        <f>+IF(Tabla__192.168.1.8_POSEIDONSQL_APPFVT_01_tblFillRateFechas[[#This Row],[cant_order]]&gt;0,1,0)</f>
        <v>1</v>
      </c>
      <c r="V473" s="1">
        <f>+IF(Tabla__192.168.1.8_POSEIDONSQL_APPFVT_01_tblFillRateFechas[[#This Row],[Resultado]]=1,1,0)</f>
        <v>1</v>
      </c>
      <c r="W473" s="1" t="str">
        <f>+Tabla__192.168.1.8_POSEIDONSQL_APPFVT_01_tblFillRateFechas[[#This Row],[con_ocnumero]]&amp;Tabla__192.168.1.8_POSEIDONSQL_APPFVT_01_tblFillRateFechas[[#This Row],[con_codigounico]]</f>
        <v>9663390-</v>
      </c>
      <c r="X4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4" spans="1:24" x14ac:dyDescent="0.25">
      <c r="A474">
        <v>4</v>
      </c>
      <c r="B474" t="s">
        <v>56</v>
      </c>
      <c r="C474">
        <v>9665420</v>
      </c>
      <c r="D474" t="s">
        <v>1969</v>
      </c>
      <c r="E474" t="s">
        <v>426</v>
      </c>
      <c r="F474" t="s">
        <v>163</v>
      </c>
      <c r="G474">
        <v>1</v>
      </c>
      <c r="H474">
        <v>1</v>
      </c>
      <c r="I474" t="s">
        <v>426</v>
      </c>
      <c r="J474">
        <v>0</v>
      </c>
      <c r="K474" t="s">
        <v>49</v>
      </c>
      <c r="L474" s="1">
        <f>+Tabla__192.168.1.8_POSEIDONSQL_APPFVT_01_tblFillRateFechas[[#This Row],[emb_cantidad]]-Tabla__192.168.1.8_POSEIDONSQL_APPFVT_01_tblFillRateFechas[[#This Row],[dev_cantidad]]</f>
        <v>1</v>
      </c>
      <c r="M474" s="1">
        <f>+IF(Tabla__192.168.1.8_POSEIDONSQL_APPFVT_01_tblFillRateFechas[[#This Row],[Cant_Resultante]]=Tabla__192.168.1.8_POSEIDONSQL_APPFVT_01_tblFillRateFechas[[#This Row],[cant_order]],1,0)</f>
        <v>1</v>
      </c>
      <c r="N4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4" s="1">
        <f>+IF(AND(Tabla__192.168.1.8_POSEIDONSQL_APPFVT_01_tblFillRateFechas[[#This Row],[Valida Cant]]=1,Tabla__192.168.1.8_POSEIDONSQL_APPFVT_01_tblFillRateFechas[[#This Row],[Valida Fec]]=1),1,0)</f>
        <v>1</v>
      </c>
      <c r="P474" s="1">
        <f>+(Tabla__192.168.1.8_POSEIDONSQL_APPFVT_01_tblFillRateFechas[[#This Row],[Cant_Resultante]]/Tabla__192.168.1.8_POSEIDONSQL_APPFVT_01_tblFillRateFechas[[#This Row],[cant_order]])*100</f>
        <v>100</v>
      </c>
      <c r="Q4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4" s="1">
        <f>+IF(Tabla__192.168.1.8_POSEIDONSQL_APPFVT_01_tblFillRateFechas[[#This Row],[cant_order]]&gt;0,1,0)</f>
        <v>1</v>
      </c>
      <c r="V474" s="1">
        <f>+IF(Tabla__192.168.1.8_POSEIDONSQL_APPFVT_01_tblFillRateFechas[[#This Row],[Resultado]]=1,1,0)</f>
        <v>1</v>
      </c>
      <c r="W474" s="1" t="str">
        <f>+Tabla__192.168.1.8_POSEIDONSQL_APPFVT_01_tblFillRateFechas[[#This Row],[con_ocnumero]]&amp;Tabla__192.168.1.8_POSEIDONSQL_APPFVT_01_tblFillRateFechas[[#This Row],[con_codigounico]]</f>
        <v>9665420-</v>
      </c>
      <c r="X4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5" spans="1:24" x14ac:dyDescent="0.25">
      <c r="A475">
        <v>4</v>
      </c>
      <c r="B475" t="s">
        <v>56</v>
      </c>
      <c r="C475">
        <v>9665624</v>
      </c>
      <c r="D475" t="s">
        <v>1969</v>
      </c>
      <c r="E475" t="s">
        <v>426</v>
      </c>
      <c r="F475" t="s">
        <v>163</v>
      </c>
      <c r="G475">
        <v>1</v>
      </c>
      <c r="H475">
        <v>1</v>
      </c>
      <c r="I475" t="s">
        <v>426</v>
      </c>
      <c r="J475">
        <v>0</v>
      </c>
      <c r="K475" t="s">
        <v>49</v>
      </c>
      <c r="L475" s="1">
        <f>+Tabla__192.168.1.8_POSEIDONSQL_APPFVT_01_tblFillRateFechas[[#This Row],[emb_cantidad]]-Tabla__192.168.1.8_POSEIDONSQL_APPFVT_01_tblFillRateFechas[[#This Row],[dev_cantidad]]</f>
        <v>1</v>
      </c>
      <c r="M475" s="1">
        <f>+IF(Tabla__192.168.1.8_POSEIDONSQL_APPFVT_01_tblFillRateFechas[[#This Row],[Cant_Resultante]]=Tabla__192.168.1.8_POSEIDONSQL_APPFVT_01_tblFillRateFechas[[#This Row],[cant_order]],1,0)</f>
        <v>1</v>
      </c>
      <c r="N4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5" s="1">
        <f>+IF(AND(Tabla__192.168.1.8_POSEIDONSQL_APPFVT_01_tblFillRateFechas[[#This Row],[Valida Cant]]=1,Tabla__192.168.1.8_POSEIDONSQL_APPFVT_01_tblFillRateFechas[[#This Row],[Valida Fec]]=1),1,0)</f>
        <v>1</v>
      </c>
      <c r="P475" s="1">
        <f>+(Tabla__192.168.1.8_POSEIDONSQL_APPFVT_01_tblFillRateFechas[[#This Row],[Cant_Resultante]]/Tabla__192.168.1.8_POSEIDONSQL_APPFVT_01_tblFillRateFechas[[#This Row],[cant_order]])*100</f>
        <v>100</v>
      </c>
      <c r="Q4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5" s="1">
        <f>+IF(Tabla__192.168.1.8_POSEIDONSQL_APPFVT_01_tblFillRateFechas[[#This Row],[cant_order]]&gt;0,1,0)</f>
        <v>1</v>
      </c>
      <c r="V475" s="1">
        <f>+IF(Tabla__192.168.1.8_POSEIDONSQL_APPFVT_01_tblFillRateFechas[[#This Row],[Resultado]]=1,1,0)</f>
        <v>1</v>
      </c>
      <c r="W475" s="1" t="str">
        <f>+Tabla__192.168.1.8_POSEIDONSQL_APPFVT_01_tblFillRateFechas[[#This Row],[con_ocnumero]]&amp;Tabla__192.168.1.8_POSEIDONSQL_APPFVT_01_tblFillRateFechas[[#This Row],[con_codigounico]]</f>
        <v>9665624-</v>
      </c>
      <c r="X4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6" spans="1:24" x14ac:dyDescent="0.25">
      <c r="A476">
        <v>4</v>
      </c>
      <c r="B476" t="s">
        <v>56</v>
      </c>
      <c r="C476">
        <v>9665918</v>
      </c>
      <c r="D476" t="s">
        <v>1969</v>
      </c>
      <c r="E476" t="s">
        <v>426</v>
      </c>
      <c r="F476" t="s">
        <v>163</v>
      </c>
      <c r="G476">
        <v>1</v>
      </c>
      <c r="H476">
        <v>1</v>
      </c>
      <c r="I476" t="s">
        <v>426</v>
      </c>
      <c r="J476">
        <v>0</v>
      </c>
      <c r="K476" t="s">
        <v>49</v>
      </c>
      <c r="L476" s="1">
        <f>+Tabla__192.168.1.8_POSEIDONSQL_APPFVT_01_tblFillRateFechas[[#This Row],[emb_cantidad]]-Tabla__192.168.1.8_POSEIDONSQL_APPFVT_01_tblFillRateFechas[[#This Row],[dev_cantidad]]</f>
        <v>1</v>
      </c>
      <c r="M476" s="1">
        <f>+IF(Tabla__192.168.1.8_POSEIDONSQL_APPFVT_01_tblFillRateFechas[[#This Row],[Cant_Resultante]]=Tabla__192.168.1.8_POSEIDONSQL_APPFVT_01_tblFillRateFechas[[#This Row],[cant_order]],1,0)</f>
        <v>1</v>
      </c>
      <c r="N4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6" s="1">
        <f>+IF(AND(Tabla__192.168.1.8_POSEIDONSQL_APPFVT_01_tblFillRateFechas[[#This Row],[Valida Cant]]=1,Tabla__192.168.1.8_POSEIDONSQL_APPFVT_01_tblFillRateFechas[[#This Row],[Valida Fec]]=1),1,0)</f>
        <v>1</v>
      </c>
      <c r="P476" s="1">
        <f>+(Tabla__192.168.1.8_POSEIDONSQL_APPFVT_01_tblFillRateFechas[[#This Row],[Cant_Resultante]]/Tabla__192.168.1.8_POSEIDONSQL_APPFVT_01_tblFillRateFechas[[#This Row],[cant_order]])*100</f>
        <v>100</v>
      </c>
      <c r="Q4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6" s="1">
        <f>+IF(Tabla__192.168.1.8_POSEIDONSQL_APPFVT_01_tblFillRateFechas[[#This Row],[cant_order]]&gt;0,1,0)</f>
        <v>1</v>
      </c>
      <c r="V476" s="1">
        <f>+IF(Tabla__192.168.1.8_POSEIDONSQL_APPFVT_01_tblFillRateFechas[[#This Row],[Resultado]]=1,1,0)</f>
        <v>1</v>
      </c>
      <c r="W476" s="1" t="str">
        <f>+Tabla__192.168.1.8_POSEIDONSQL_APPFVT_01_tblFillRateFechas[[#This Row],[con_ocnumero]]&amp;Tabla__192.168.1.8_POSEIDONSQL_APPFVT_01_tblFillRateFechas[[#This Row],[con_codigounico]]</f>
        <v>9665918-</v>
      </c>
      <c r="X4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7" spans="1:24" x14ac:dyDescent="0.25">
      <c r="A477">
        <v>4</v>
      </c>
      <c r="B477" t="s">
        <v>56</v>
      </c>
      <c r="C477">
        <v>9666680</v>
      </c>
      <c r="D477" t="s">
        <v>1969</v>
      </c>
      <c r="E477" t="s">
        <v>426</v>
      </c>
      <c r="F477" t="s">
        <v>163</v>
      </c>
      <c r="G477">
        <v>1</v>
      </c>
      <c r="H477">
        <v>1</v>
      </c>
      <c r="I477" t="s">
        <v>426</v>
      </c>
      <c r="J477">
        <v>0</v>
      </c>
      <c r="K477" t="s">
        <v>49</v>
      </c>
      <c r="L477" s="1">
        <f>+Tabla__192.168.1.8_POSEIDONSQL_APPFVT_01_tblFillRateFechas[[#This Row],[emb_cantidad]]-Tabla__192.168.1.8_POSEIDONSQL_APPFVT_01_tblFillRateFechas[[#This Row],[dev_cantidad]]</f>
        <v>1</v>
      </c>
      <c r="M477" s="1">
        <f>+IF(Tabla__192.168.1.8_POSEIDONSQL_APPFVT_01_tblFillRateFechas[[#This Row],[Cant_Resultante]]=Tabla__192.168.1.8_POSEIDONSQL_APPFVT_01_tblFillRateFechas[[#This Row],[cant_order]],1,0)</f>
        <v>1</v>
      </c>
      <c r="N4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7" s="1">
        <f>+IF(AND(Tabla__192.168.1.8_POSEIDONSQL_APPFVT_01_tblFillRateFechas[[#This Row],[Valida Cant]]=1,Tabla__192.168.1.8_POSEIDONSQL_APPFVT_01_tblFillRateFechas[[#This Row],[Valida Fec]]=1),1,0)</f>
        <v>1</v>
      </c>
      <c r="P477" s="1">
        <f>+(Tabla__192.168.1.8_POSEIDONSQL_APPFVT_01_tblFillRateFechas[[#This Row],[Cant_Resultante]]/Tabla__192.168.1.8_POSEIDONSQL_APPFVT_01_tblFillRateFechas[[#This Row],[cant_order]])*100</f>
        <v>100</v>
      </c>
      <c r="Q4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7" s="1">
        <f>+IF(Tabla__192.168.1.8_POSEIDONSQL_APPFVT_01_tblFillRateFechas[[#This Row],[cant_order]]&gt;0,1,0)</f>
        <v>1</v>
      </c>
      <c r="V477" s="1">
        <f>+IF(Tabla__192.168.1.8_POSEIDONSQL_APPFVT_01_tblFillRateFechas[[#This Row],[Resultado]]=1,1,0)</f>
        <v>1</v>
      </c>
      <c r="W477" s="1" t="str">
        <f>+Tabla__192.168.1.8_POSEIDONSQL_APPFVT_01_tblFillRateFechas[[#This Row],[con_ocnumero]]&amp;Tabla__192.168.1.8_POSEIDONSQL_APPFVT_01_tblFillRateFechas[[#This Row],[con_codigounico]]</f>
        <v>9666680-</v>
      </c>
      <c r="X4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8" spans="1:24" x14ac:dyDescent="0.25">
      <c r="A478">
        <v>4</v>
      </c>
      <c r="B478" t="s">
        <v>56</v>
      </c>
      <c r="C478">
        <v>9666693</v>
      </c>
      <c r="D478" t="s">
        <v>1969</v>
      </c>
      <c r="E478" t="s">
        <v>426</v>
      </c>
      <c r="F478" t="s">
        <v>163</v>
      </c>
      <c r="G478">
        <v>1</v>
      </c>
      <c r="H478">
        <v>1</v>
      </c>
      <c r="I478" t="s">
        <v>426</v>
      </c>
      <c r="J478">
        <v>0</v>
      </c>
      <c r="K478" t="s">
        <v>49</v>
      </c>
      <c r="L478" s="1">
        <f>+Tabla__192.168.1.8_POSEIDONSQL_APPFVT_01_tblFillRateFechas[[#This Row],[emb_cantidad]]-Tabla__192.168.1.8_POSEIDONSQL_APPFVT_01_tblFillRateFechas[[#This Row],[dev_cantidad]]</f>
        <v>1</v>
      </c>
      <c r="M478" s="1">
        <f>+IF(Tabla__192.168.1.8_POSEIDONSQL_APPFVT_01_tblFillRateFechas[[#This Row],[Cant_Resultante]]=Tabla__192.168.1.8_POSEIDONSQL_APPFVT_01_tblFillRateFechas[[#This Row],[cant_order]],1,0)</f>
        <v>1</v>
      </c>
      <c r="N4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8" s="1">
        <f>+IF(AND(Tabla__192.168.1.8_POSEIDONSQL_APPFVT_01_tblFillRateFechas[[#This Row],[Valida Cant]]=1,Tabla__192.168.1.8_POSEIDONSQL_APPFVT_01_tblFillRateFechas[[#This Row],[Valida Fec]]=1),1,0)</f>
        <v>1</v>
      </c>
      <c r="P478" s="1">
        <f>+(Tabla__192.168.1.8_POSEIDONSQL_APPFVT_01_tblFillRateFechas[[#This Row],[Cant_Resultante]]/Tabla__192.168.1.8_POSEIDONSQL_APPFVT_01_tblFillRateFechas[[#This Row],[cant_order]])*100</f>
        <v>100</v>
      </c>
      <c r="Q4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8" s="1">
        <f>+IF(Tabla__192.168.1.8_POSEIDONSQL_APPFVT_01_tblFillRateFechas[[#This Row],[cant_order]]&gt;0,1,0)</f>
        <v>1</v>
      </c>
      <c r="V478" s="1">
        <f>+IF(Tabla__192.168.1.8_POSEIDONSQL_APPFVT_01_tblFillRateFechas[[#This Row],[Resultado]]=1,1,0)</f>
        <v>1</v>
      </c>
      <c r="W478" s="1" t="str">
        <f>+Tabla__192.168.1.8_POSEIDONSQL_APPFVT_01_tblFillRateFechas[[#This Row],[con_ocnumero]]&amp;Tabla__192.168.1.8_POSEIDONSQL_APPFVT_01_tblFillRateFechas[[#This Row],[con_codigounico]]</f>
        <v>9666693-</v>
      </c>
      <c r="X4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79" spans="1:24" x14ac:dyDescent="0.25">
      <c r="A479">
        <v>4</v>
      </c>
      <c r="B479" t="s">
        <v>56</v>
      </c>
      <c r="C479">
        <v>9667129</v>
      </c>
      <c r="D479" t="s">
        <v>1969</v>
      </c>
      <c r="E479" t="s">
        <v>426</v>
      </c>
      <c r="F479" t="s">
        <v>163</v>
      </c>
      <c r="G479">
        <v>1</v>
      </c>
      <c r="H479">
        <v>1</v>
      </c>
      <c r="I479" t="s">
        <v>426</v>
      </c>
      <c r="J479">
        <v>0</v>
      </c>
      <c r="K479" t="s">
        <v>49</v>
      </c>
      <c r="L479" s="1">
        <f>+Tabla__192.168.1.8_POSEIDONSQL_APPFVT_01_tblFillRateFechas[[#This Row],[emb_cantidad]]-Tabla__192.168.1.8_POSEIDONSQL_APPFVT_01_tblFillRateFechas[[#This Row],[dev_cantidad]]</f>
        <v>1</v>
      </c>
      <c r="M479" s="1">
        <f>+IF(Tabla__192.168.1.8_POSEIDONSQL_APPFVT_01_tblFillRateFechas[[#This Row],[Cant_Resultante]]=Tabla__192.168.1.8_POSEIDONSQL_APPFVT_01_tblFillRateFechas[[#This Row],[cant_order]],1,0)</f>
        <v>1</v>
      </c>
      <c r="N4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79" s="1">
        <f>+IF(AND(Tabla__192.168.1.8_POSEIDONSQL_APPFVT_01_tblFillRateFechas[[#This Row],[Valida Cant]]=1,Tabla__192.168.1.8_POSEIDONSQL_APPFVT_01_tblFillRateFechas[[#This Row],[Valida Fec]]=1),1,0)</f>
        <v>1</v>
      </c>
      <c r="P479" s="1">
        <f>+(Tabla__192.168.1.8_POSEIDONSQL_APPFVT_01_tblFillRateFechas[[#This Row],[Cant_Resultante]]/Tabla__192.168.1.8_POSEIDONSQL_APPFVT_01_tblFillRateFechas[[#This Row],[cant_order]])*100</f>
        <v>100</v>
      </c>
      <c r="Q4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79" s="1">
        <f>+IF(Tabla__192.168.1.8_POSEIDONSQL_APPFVT_01_tblFillRateFechas[[#This Row],[cant_order]]&gt;0,1,0)</f>
        <v>1</v>
      </c>
      <c r="V479" s="1">
        <f>+IF(Tabla__192.168.1.8_POSEIDONSQL_APPFVT_01_tblFillRateFechas[[#This Row],[Resultado]]=1,1,0)</f>
        <v>1</v>
      </c>
      <c r="W479" s="1" t="str">
        <f>+Tabla__192.168.1.8_POSEIDONSQL_APPFVT_01_tblFillRateFechas[[#This Row],[con_ocnumero]]&amp;Tabla__192.168.1.8_POSEIDONSQL_APPFVT_01_tblFillRateFechas[[#This Row],[con_codigounico]]</f>
        <v>9667129-</v>
      </c>
      <c r="X4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0" spans="1:24" x14ac:dyDescent="0.25">
      <c r="A480">
        <v>4</v>
      </c>
      <c r="B480" t="s">
        <v>56</v>
      </c>
      <c r="C480">
        <v>9667340</v>
      </c>
      <c r="D480" t="s">
        <v>428</v>
      </c>
      <c r="E480" t="s">
        <v>1984</v>
      </c>
      <c r="F480" t="s">
        <v>163</v>
      </c>
      <c r="G480">
        <v>1</v>
      </c>
      <c r="H480">
        <v>1</v>
      </c>
      <c r="I480" t="s">
        <v>426</v>
      </c>
      <c r="J480">
        <v>0</v>
      </c>
      <c r="K480" t="s">
        <v>49</v>
      </c>
      <c r="L480" s="1">
        <f>+Tabla__192.168.1.8_POSEIDONSQL_APPFVT_01_tblFillRateFechas[[#This Row],[emb_cantidad]]-Tabla__192.168.1.8_POSEIDONSQL_APPFVT_01_tblFillRateFechas[[#This Row],[dev_cantidad]]</f>
        <v>1</v>
      </c>
      <c r="M480" s="1">
        <f>+IF(Tabla__192.168.1.8_POSEIDONSQL_APPFVT_01_tblFillRateFechas[[#This Row],[Cant_Resultante]]=Tabla__192.168.1.8_POSEIDONSQL_APPFVT_01_tblFillRateFechas[[#This Row],[cant_order]],1,0)</f>
        <v>1</v>
      </c>
      <c r="N4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0" s="1">
        <f>+IF(AND(Tabla__192.168.1.8_POSEIDONSQL_APPFVT_01_tblFillRateFechas[[#This Row],[Valida Cant]]=1,Tabla__192.168.1.8_POSEIDONSQL_APPFVT_01_tblFillRateFechas[[#This Row],[Valida Fec]]=1),1,0)</f>
        <v>1</v>
      </c>
      <c r="P480" s="1">
        <f>+(Tabla__192.168.1.8_POSEIDONSQL_APPFVT_01_tblFillRateFechas[[#This Row],[Cant_Resultante]]/Tabla__192.168.1.8_POSEIDONSQL_APPFVT_01_tblFillRateFechas[[#This Row],[cant_order]])*100</f>
        <v>100</v>
      </c>
      <c r="Q4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0" s="1">
        <f>+IF(Tabla__192.168.1.8_POSEIDONSQL_APPFVT_01_tblFillRateFechas[[#This Row],[cant_order]]&gt;0,1,0)</f>
        <v>1</v>
      </c>
      <c r="V480" s="1">
        <f>+IF(Tabla__192.168.1.8_POSEIDONSQL_APPFVT_01_tblFillRateFechas[[#This Row],[Resultado]]=1,1,0)</f>
        <v>1</v>
      </c>
      <c r="W480" s="1" t="str">
        <f>+Tabla__192.168.1.8_POSEIDONSQL_APPFVT_01_tblFillRateFechas[[#This Row],[con_ocnumero]]&amp;Tabla__192.168.1.8_POSEIDONSQL_APPFVT_01_tblFillRateFechas[[#This Row],[con_codigounico]]</f>
        <v>9667340-</v>
      </c>
      <c r="X4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1" spans="1:24" x14ac:dyDescent="0.25">
      <c r="A481">
        <v>4</v>
      </c>
      <c r="B481" t="s">
        <v>56</v>
      </c>
      <c r="C481">
        <v>9667613</v>
      </c>
      <c r="D481" t="s">
        <v>428</v>
      </c>
      <c r="E481" t="s">
        <v>426</v>
      </c>
      <c r="F481" t="s">
        <v>163</v>
      </c>
      <c r="G481">
        <v>1</v>
      </c>
      <c r="H481">
        <v>1</v>
      </c>
      <c r="I481" t="s">
        <v>426</v>
      </c>
      <c r="J481">
        <v>0</v>
      </c>
      <c r="K481" t="s">
        <v>49</v>
      </c>
      <c r="L481" s="1">
        <f>+Tabla__192.168.1.8_POSEIDONSQL_APPFVT_01_tblFillRateFechas[[#This Row],[emb_cantidad]]-Tabla__192.168.1.8_POSEIDONSQL_APPFVT_01_tblFillRateFechas[[#This Row],[dev_cantidad]]</f>
        <v>1</v>
      </c>
      <c r="M481" s="1">
        <f>+IF(Tabla__192.168.1.8_POSEIDONSQL_APPFVT_01_tblFillRateFechas[[#This Row],[Cant_Resultante]]=Tabla__192.168.1.8_POSEIDONSQL_APPFVT_01_tblFillRateFechas[[#This Row],[cant_order]],1,0)</f>
        <v>1</v>
      </c>
      <c r="N4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1" s="1">
        <f>+IF(AND(Tabla__192.168.1.8_POSEIDONSQL_APPFVT_01_tblFillRateFechas[[#This Row],[Valida Cant]]=1,Tabla__192.168.1.8_POSEIDONSQL_APPFVT_01_tblFillRateFechas[[#This Row],[Valida Fec]]=1),1,0)</f>
        <v>1</v>
      </c>
      <c r="P481" s="1">
        <f>+(Tabla__192.168.1.8_POSEIDONSQL_APPFVT_01_tblFillRateFechas[[#This Row],[Cant_Resultante]]/Tabla__192.168.1.8_POSEIDONSQL_APPFVT_01_tblFillRateFechas[[#This Row],[cant_order]])*100</f>
        <v>100</v>
      </c>
      <c r="Q4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1" s="1">
        <f>+IF(Tabla__192.168.1.8_POSEIDONSQL_APPFVT_01_tblFillRateFechas[[#This Row],[cant_order]]&gt;0,1,0)</f>
        <v>1</v>
      </c>
      <c r="V481" s="1">
        <f>+IF(Tabla__192.168.1.8_POSEIDONSQL_APPFVT_01_tblFillRateFechas[[#This Row],[Resultado]]=1,1,0)</f>
        <v>1</v>
      </c>
      <c r="W481" s="1" t="str">
        <f>+Tabla__192.168.1.8_POSEIDONSQL_APPFVT_01_tblFillRateFechas[[#This Row],[con_ocnumero]]&amp;Tabla__192.168.1.8_POSEIDONSQL_APPFVT_01_tblFillRateFechas[[#This Row],[con_codigounico]]</f>
        <v>9667613-</v>
      </c>
      <c r="X4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2" spans="1:24" x14ac:dyDescent="0.25">
      <c r="A482">
        <v>4</v>
      </c>
      <c r="B482" t="s">
        <v>56</v>
      </c>
      <c r="C482">
        <v>9667986</v>
      </c>
      <c r="D482" t="s">
        <v>428</v>
      </c>
      <c r="E482" t="s">
        <v>426</v>
      </c>
      <c r="F482" t="s">
        <v>163</v>
      </c>
      <c r="G482">
        <v>1</v>
      </c>
      <c r="H482">
        <v>1</v>
      </c>
      <c r="I482" t="s">
        <v>426</v>
      </c>
      <c r="J482">
        <v>0</v>
      </c>
      <c r="K482" t="s">
        <v>49</v>
      </c>
      <c r="L482" s="1">
        <f>+Tabla__192.168.1.8_POSEIDONSQL_APPFVT_01_tblFillRateFechas[[#This Row],[emb_cantidad]]-Tabla__192.168.1.8_POSEIDONSQL_APPFVT_01_tblFillRateFechas[[#This Row],[dev_cantidad]]</f>
        <v>1</v>
      </c>
      <c r="M482" s="1">
        <f>+IF(Tabla__192.168.1.8_POSEIDONSQL_APPFVT_01_tblFillRateFechas[[#This Row],[Cant_Resultante]]=Tabla__192.168.1.8_POSEIDONSQL_APPFVT_01_tblFillRateFechas[[#This Row],[cant_order]],1,0)</f>
        <v>1</v>
      </c>
      <c r="N4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2" s="1">
        <f>+IF(AND(Tabla__192.168.1.8_POSEIDONSQL_APPFVT_01_tblFillRateFechas[[#This Row],[Valida Cant]]=1,Tabla__192.168.1.8_POSEIDONSQL_APPFVT_01_tblFillRateFechas[[#This Row],[Valida Fec]]=1),1,0)</f>
        <v>1</v>
      </c>
      <c r="P482" s="1">
        <f>+(Tabla__192.168.1.8_POSEIDONSQL_APPFVT_01_tblFillRateFechas[[#This Row],[Cant_Resultante]]/Tabla__192.168.1.8_POSEIDONSQL_APPFVT_01_tblFillRateFechas[[#This Row],[cant_order]])*100</f>
        <v>100</v>
      </c>
      <c r="Q4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2" s="1">
        <f>+IF(Tabla__192.168.1.8_POSEIDONSQL_APPFVT_01_tblFillRateFechas[[#This Row],[cant_order]]&gt;0,1,0)</f>
        <v>1</v>
      </c>
      <c r="V482" s="1">
        <f>+IF(Tabla__192.168.1.8_POSEIDONSQL_APPFVT_01_tblFillRateFechas[[#This Row],[Resultado]]=1,1,0)</f>
        <v>1</v>
      </c>
      <c r="W482" s="1" t="str">
        <f>+Tabla__192.168.1.8_POSEIDONSQL_APPFVT_01_tblFillRateFechas[[#This Row],[con_ocnumero]]&amp;Tabla__192.168.1.8_POSEIDONSQL_APPFVT_01_tblFillRateFechas[[#This Row],[con_codigounico]]</f>
        <v>9667986-</v>
      </c>
      <c r="X4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3" spans="1:24" x14ac:dyDescent="0.25">
      <c r="A483">
        <v>4</v>
      </c>
      <c r="B483" t="s">
        <v>56</v>
      </c>
      <c r="C483">
        <v>9668333</v>
      </c>
      <c r="D483" t="s">
        <v>428</v>
      </c>
      <c r="E483" t="s">
        <v>163</v>
      </c>
      <c r="F483" t="s">
        <v>163</v>
      </c>
      <c r="G483">
        <v>1</v>
      </c>
      <c r="H483">
        <v>1</v>
      </c>
      <c r="I483" t="s">
        <v>426</v>
      </c>
      <c r="J483">
        <v>0</v>
      </c>
      <c r="K483" t="s">
        <v>49</v>
      </c>
      <c r="L483" s="1">
        <f>+Tabla__192.168.1.8_POSEIDONSQL_APPFVT_01_tblFillRateFechas[[#This Row],[emb_cantidad]]-Tabla__192.168.1.8_POSEIDONSQL_APPFVT_01_tblFillRateFechas[[#This Row],[dev_cantidad]]</f>
        <v>1</v>
      </c>
      <c r="M483" s="1">
        <f>+IF(Tabla__192.168.1.8_POSEIDONSQL_APPFVT_01_tblFillRateFechas[[#This Row],[Cant_Resultante]]=Tabla__192.168.1.8_POSEIDONSQL_APPFVT_01_tblFillRateFechas[[#This Row],[cant_order]],1,0)</f>
        <v>1</v>
      </c>
      <c r="N4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483" s="1">
        <f>+IF(AND(Tabla__192.168.1.8_POSEIDONSQL_APPFVT_01_tblFillRateFechas[[#This Row],[Valida Cant]]=1,Tabla__192.168.1.8_POSEIDONSQL_APPFVT_01_tblFillRateFechas[[#This Row],[Valida Fec]]=1),1,0)</f>
        <v>0</v>
      </c>
      <c r="P483" s="1">
        <f>+(Tabla__192.168.1.8_POSEIDONSQL_APPFVT_01_tblFillRateFechas[[#This Row],[Cant_Resultante]]/Tabla__192.168.1.8_POSEIDONSQL_APPFVT_01_tblFillRateFechas[[#This Row],[cant_order]])*100</f>
        <v>100</v>
      </c>
      <c r="Q4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3" s="1">
        <f>+IF(Tabla__192.168.1.8_POSEIDONSQL_APPFVT_01_tblFillRateFechas[[#This Row],[cant_order]]&gt;0,1,0)</f>
        <v>1</v>
      </c>
      <c r="V483" s="1">
        <f>+IF(Tabla__192.168.1.8_POSEIDONSQL_APPFVT_01_tblFillRateFechas[[#This Row],[Resultado]]=1,1,0)</f>
        <v>0</v>
      </c>
      <c r="W483" s="1" t="str">
        <f>+Tabla__192.168.1.8_POSEIDONSQL_APPFVT_01_tblFillRateFechas[[#This Row],[con_ocnumero]]&amp;Tabla__192.168.1.8_POSEIDONSQL_APPFVT_01_tblFillRateFechas[[#This Row],[con_codigounico]]</f>
        <v>9668333-</v>
      </c>
      <c r="X4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4" spans="1:24" x14ac:dyDescent="0.25">
      <c r="A484">
        <v>4</v>
      </c>
      <c r="B484" t="s">
        <v>56</v>
      </c>
      <c r="C484">
        <v>9668594</v>
      </c>
      <c r="D484" t="s">
        <v>428</v>
      </c>
      <c r="E484" t="s">
        <v>426</v>
      </c>
      <c r="F484" t="s">
        <v>163</v>
      </c>
      <c r="G484">
        <v>1</v>
      </c>
      <c r="H484">
        <v>1</v>
      </c>
      <c r="I484" t="s">
        <v>426</v>
      </c>
      <c r="J484">
        <v>0</v>
      </c>
      <c r="K484" t="s">
        <v>49</v>
      </c>
      <c r="L484" s="1">
        <f>+Tabla__192.168.1.8_POSEIDONSQL_APPFVT_01_tblFillRateFechas[[#This Row],[emb_cantidad]]-Tabla__192.168.1.8_POSEIDONSQL_APPFVT_01_tblFillRateFechas[[#This Row],[dev_cantidad]]</f>
        <v>1</v>
      </c>
      <c r="M484" s="1">
        <f>+IF(Tabla__192.168.1.8_POSEIDONSQL_APPFVT_01_tblFillRateFechas[[#This Row],[Cant_Resultante]]=Tabla__192.168.1.8_POSEIDONSQL_APPFVT_01_tblFillRateFechas[[#This Row],[cant_order]],1,0)</f>
        <v>1</v>
      </c>
      <c r="N4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4" s="1">
        <f>+IF(AND(Tabla__192.168.1.8_POSEIDONSQL_APPFVT_01_tblFillRateFechas[[#This Row],[Valida Cant]]=1,Tabla__192.168.1.8_POSEIDONSQL_APPFVT_01_tblFillRateFechas[[#This Row],[Valida Fec]]=1),1,0)</f>
        <v>1</v>
      </c>
      <c r="P484" s="1">
        <f>+(Tabla__192.168.1.8_POSEIDONSQL_APPFVT_01_tblFillRateFechas[[#This Row],[Cant_Resultante]]/Tabla__192.168.1.8_POSEIDONSQL_APPFVT_01_tblFillRateFechas[[#This Row],[cant_order]])*100</f>
        <v>100</v>
      </c>
      <c r="Q4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4" s="1">
        <f>+IF(Tabla__192.168.1.8_POSEIDONSQL_APPFVT_01_tblFillRateFechas[[#This Row],[cant_order]]&gt;0,1,0)</f>
        <v>1</v>
      </c>
      <c r="V484" s="1">
        <f>+IF(Tabla__192.168.1.8_POSEIDONSQL_APPFVT_01_tblFillRateFechas[[#This Row],[Resultado]]=1,1,0)</f>
        <v>1</v>
      </c>
      <c r="W484" s="1" t="str">
        <f>+Tabla__192.168.1.8_POSEIDONSQL_APPFVT_01_tblFillRateFechas[[#This Row],[con_ocnumero]]&amp;Tabla__192.168.1.8_POSEIDONSQL_APPFVT_01_tblFillRateFechas[[#This Row],[con_codigounico]]</f>
        <v>9668594-</v>
      </c>
      <c r="X4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5" spans="1:24" x14ac:dyDescent="0.25">
      <c r="A485">
        <v>4</v>
      </c>
      <c r="B485" t="s">
        <v>56</v>
      </c>
      <c r="C485">
        <v>9669177</v>
      </c>
      <c r="D485" t="s">
        <v>428</v>
      </c>
      <c r="E485" t="s">
        <v>422</v>
      </c>
      <c r="F485" t="s">
        <v>163</v>
      </c>
      <c r="G485">
        <v>1</v>
      </c>
      <c r="H485">
        <v>0</v>
      </c>
      <c r="I485" t="s">
        <v>12</v>
      </c>
      <c r="J485">
        <v>0</v>
      </c>
      <c r="K485" t="s">
        <v>49</v>
      </c>
      <c r="L485" s="1">
        <f>+Tabla__192.168.1.8_POSEIDONSQL_APPFVT_01_tblFillRateFechas[[#This Row],[emb_cantidad]]-Tabla__192.168.1.8_POSEIDONSQL_APPFVT_01_tblFillRateFechas[[#This Row],[dev_cantidad]]</f>
        <v>0</v>
      </c>
      <c r="M485" s="1">
        <f>+IF(Tabla__192.168.1.8_POSEIDONSQL_APPFVT_01_tblFillRateFechas[[#This Row],[Cant_Resultante]]=Tabla__192.168.1.8_POSEIDONSQL_APPFVT_01_tblFillRateFechas[[#This Row],[cant_order]],1,0)</f>
        <v>0</v>
      </c>
      <c r="N4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485" s="1">
        <f>+IF(AND(Tabla__192.168.1.8_POSEIDONSQL_APPFVT_01_tblFillRateFechas[[#This Row],[Valida Cant]]=1,Tabla__192.168.1.8_POSEIDONSQL_APPFVT_01_tblFillRateFechas[[#This Row],[Valida Fec]]=1),1,0)</f>
        <v>0</v>
      </c>
      <c r="P485" s="1">
        <f>+(Tabla__192.168.1.8_POSEIDONSQL_APPFVT_01_tblFillRateFechas[[#This Row],[Cant_Resultante]]/Tabla__192.168.1.8_POSEIDONSQL_APPFVT_01_tblFillRateFechas[[#This Row],[cant_order]])*100</f>
        <v>0</v>
      </c>
      <c r="Q4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4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4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485" s="1">
        <f>+IF(Tabla__192.168.1.8_POSEIDONSQL_APPFVT_01_tblFillRateFechas[[#This Row],[cant_order]]&gt;0,1,0)</f>
        <v>1</v>
      </c>
      <c r="V485" s="1">
        <f>+IF(Tabla__192.168.1.8_POSEIDONSQL_APPFVT_01_tblFillRateFechas[[#This Row],[Resultado]]=1,1,0)</f>
        <v>0</v>
      </c>
      <c r="W485" s="1" t="str">
        <f>+Tabla__192.168.1.8_POSEIDONSQL_APPFVT_01_tblFillRateFechas[[#This Row],[con_ocnumero]]&amp;Tabla__192.168.1.8_POSEIDONSQL_APPFVT_01_tblFillRateFechas[[#This Row],[con_codigounico]]</f>
        <v>9669177-</v>
      </c>
      <c r="X4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486" spans="1:24" x14ac:dyDescent="0.25">
      <c r="A486">
        <v>4</v>
      </c>
      <c r="B486" t="s">
        <v>56</v>
      </c>
      <c r="C486">
        <v>9669214</v>
      </c>
      <c r="D486" t="s">
        <v>428</v>
      </c>
      <c r="E486" t="s">
        <v>426</v>
      </c>
      <c r="F486" t="s">
        <v>163</v>
      </c>
      <c r="G486">
        <v>1</v>
      </c>
      <c r="H486">
        <v>1</v>
      </c>
      <c r="I486" t="s">
        <v>426</v>
      </c>
      <c r="J486">
        <v>0</v>
      </c>
      <c r="K486" t="s">
        <v>49</v>
      </c>
      <c r="L486" s="1">
        <f>+Tabla__192.168.1.8_POSEIDONSQL_APPFVT_01_tblFillRateFechas[[#This Row],[emb_cantidad]]-Tabla__192.168.1.8_POSEIDONSQL_APPFVT_01_tblFillRateFechas[[#This Row],[dev_cantidad]]</f>
        <v>1</v>
      </c>
      <c r="M486" s="1">
        <f>+IF(Tabla__192.168.1.8_POSEIDONSQL_APPFVT_01_tblFillRateFechas[[#This Row],[Cant_Resultante]]=Tabla__192.168.1.8_POSEIDONSQL_APPFVT_01_tblFillRateFechas[[#This Row],[cant_order]],1,0)</f>
        <v>1</v>
      </c>
      <c r="N4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6" s="1">
        <f>+IF(AND(Tabla__192.168.1.8_POSEIDONSQL_APPFVT_01_tblFillRateFechas[[#This Row],[Valida Cant]]=1,Tabla__192.168.1.8_POSEIDONSQL_APPFVT_01_tblFillRateFechas[[#This Row],[Valida Fec]]=1),1,0)</f>
        <v>1</v>
      </c>
      <c r="P486" s="1">
        <f>+(Tabla__192.168.1.8_POSEIDONSQL_APPFVT_01_tblFillRateFechas[[#This Row],[Cant_Resultante]]/Tabla__192.168.1.8_POSEIDONSQL_APPFVT_01_tblFillRateFechas[[#This Row],[cant_order]])*100</f>
        <v>100</v>
      </c>
      <c r="Q4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6" s="1">
        <f>+IF(Tabla__192.168.1.8_POSEIDONSQL_APPFVT_01_tblFillRateFechas[[#This Row],[cant_order]]&gt;0,1,0)</f>
        <v>1</v>
      </c>
      <c r="V486" s="1">
        <f>+IF(Tabla__192.168.1.8_POSEIDONSQL_APPFVT_01_tblFillRateFechas[[#This Row],[Resultado]]=1,1,0)</f>
        <v>1</v>
      </c>
      <c r="W486" s="1" t="str">
        <f>+Tabla__192.168.1.8_POSEIDONSQL_APPFVT_01_tblFillRateFechas[[#This Row],[con_ocnumero]]&amp;Tabla__192.168.1.8_POSEIDONSQL_APPFVT_01_tblFillRateFechas[[#This Row],[con_codigounico]]</f>
        <v>9669214-</v>
      </c>
      <c r="X4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7" spans="1:24" x14ac:dyDescent="0.25">
      <c r="A487">
        <v>4</v>
      </c>
      <c r="B487" t="s">
        <v>56</v>
      </c>
      <c r="C487">
        <v>9669234</v>
      </c>
      <c r="D487" t="s">
        <v>428</v>
      </c>
      <c r="E487" t="s">
        <v>426</v>
      </c>
      <c r="F487" t="s">
        <v>163</v>
      </c>
      <c r="G487">
        <v>1</v>
      </c>
      <c r="H487">
        <v>1</v>
      </c>
      <c r="I487" t="s">
        <v>426</v>
      </c>
      <c r="J487">
        <v>0</v>
      </c>
      <c r="K487" t="s">
        <v>49</v>
      </c>
      <c r="L487" s="1">
        <f>+Tabla__192.168.1.8_POSEIDONSQL_APPFVT_01_tblFillRateFechas[[#This Row],[emb_cantidad]]-Tabla__192.168.1.8_POSEIDONSQL_APPFVT_01_tblFillRateFechas[[#This Row],[dev_cantidad]]</f>
        <v>1</v>
      </c>
      <c r="M487" s="1">
        <f>+IF(Tabla__192.168.1.8_POSEIDONSQL_APPFVT_01_tblFillRateFechas[[#This Row],[Cant_Resultante]]=Tabla__192.168.1.8_POSEIDONSQL_APPFVT_01_tblFillRateFechas[[#This Row],[cant_order]],1,0)</f>
        <v>1</v>
      </c>
      <c r="N4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7" s="1">
        <f>+IF(AND(Tabla__192.168.1.8_POSEIDONSQL_APPFVT_01_tblFillRateFechas[[#This Row],[Valida Cant]]=1,Tabla__192.168.1.8_POSEIDONSQL_APPFVT_01_tblFillRateFechas[[#This Row],[Valida Fec]]=1),1,0)</f>
        <v>1</v>
      </c>
      <c r="P487" s="1">
        <f>+(Tabla__192.168.1.8_POSEIDONSQL_APPFVT_01_tblFillRateFechas[[#This Row],[Cant_Resultante]]/Tabla__192.168.1.8_POSEIDONSQL_APPFVT_01_tblFillRateFechas[[#This Row],[cant_order]])*100</f>
        <v>100</v>
      </c>
      <c r="Q4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7" s="1">
        <f>+IF(Tabla__192.168.1.8_POSEIDONSQL_APPFVT_01_tblFillRateFechas[[#This Row],[cant_order]]&gt;0,1,0)</f>
        <v>1</v>
      </c>
      <c r="V487" s="1">
        <f>+IF(Tabla__192.168.1.8_POSEIDONSQL_APPFVT_01_tblFillRateFechas[[#This Row],[Resultado]]=1,1,0)</f>
        <v>1</v>
      </c>
      <c r="W487" s="1" t="str">
        <f>+Tabla__192.168.1.8_POSEIDONSQL_APPFVT_01_tblFillRateFechas[[#This Row],[con_ocnumero]]&amp;Tabla__192.168.1.8_POSEIDONSQL_APPFVT_01_tblFillRateFechas[[#This Row],[con_codigounico]]</f>
        <v>9669234-</v>
      </c>
      <c r="X4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8" spans="1:24" x14ac:dyDescent="0.25">
      <c r="A488">
        <v>4</v>
      </c>
      <c r="B488" t="s">
        <v>56</v>
      </c>
      <c r="C488">
        <v>9669286</v>
      </c>
      <c r="D488" t="s">
        <v>428</v>
      </c>
      <c r="E488" t="s">
        <v>426</v>
      </c>
      <c r="F488" t="s">
        <v>163</v>
      </c>
      <c r="G488">
        <v>1</v>
      </c>
      <c r="H488">
        <v>1</v>
      </c>
      <c r="I488" t="s">
        <v>426</v>
      </c>
      <c r="J488">
        <v>0</v>
      </c>
      <c r="K488" t="s">
        <v>49</v>
      </c>
      <c r="L488" s="1">
        <f>+Tabla__192.168.1.8_POSEIDONSQL_APPFVT_01_tblFillRateFechas[[#This Row],[emb_cantidad]]-Tabla__192.168.1.8_POSEIDONSQL_APPFVT_01_tblFillRateFechas[[#This Row],[dev_cantidad]]</f>
        <v>1</v>
      </c>
      <c r="M488" s="1">
        <f>+IF(Tabla__192.168.1.8_POSEIDONSQL_APPFVT_01_tblFillRateFechas[[#This Row],[Cant_Resultante]]=Tabla__192.168.1.8_POSEIDONSQL_APPFVT_01_tblFillRateFechas[[#This Row],[cant_order]],1,0)</f>
        <v>1</v>
      </c>
      <c r="N4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8" s="1">
        <f>+IF(AND(Tabla__192.168.1.8_POSEIDONSQL_APPFVT_01_tblFillRateFechas[[#This Row],[Valida Cant]]=1,Tabla__192.168.1.8_POSEIDONSQL_APPFVT_01_tblFillRateFechas[[#This Row],[Valida Fec]]=1),1,0)</f>
        <v>1</v>
      </c>
      <c r="P488" s="1">
        <f>+(Tabla__192.168.1.8_POSEIDONSQL_APPFVT_01_tblFillRateFechas[[#This Row],[Cant_Resultante]]/Tabla__192.168.1.8_POSEIDONSQL_APPFVT_01_tblFillRateFechas[[#This Row],[cant_order]])*100</f>
        <v>100</v>
      </c>
      <c r="Q4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8" s="1">
        <f>+IF(Tabla__192.168.1.8_POSEIDONSQL_APPFVT_01_tblFillRateFechas[[#This Row],[cant_order]]&gt;0,1,0)</f>
        <v>1</v>
      </c>
      <c r="V488" s="1">
        <f>+IF(Tabla__192.168.1.8_POSEIDONSQL_APPFVT_01_tblFillRateFechas[[#This Row],[Resultado]]=1,1,0)</f>
        <v>1</v>
      </c>
      <c r="W488" s="1" t="str">
        <f>+Tabla__192.168.1.8_POSEIDONSQL_APPFVT_01_tblFillRateFechas[[#This Row],[con_ocnumero]]&amp;Tabla__192.168.1.8_POSEIDONSQL_APPFVT_01_tblFillRateFechas[[#This Row],[con_codigounico]]</f>
        <v>9669286-</v>
      </c>
      <c r="X4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89" spans="1:24" x14ac:dyDescent="0.25">
      <c r="A489">
        <v>4</v>
      </c>
      <c r="B489" t="s">
        <v>56</v>
      </c>
      <c r="C489">
        <v>9669293</v>
      </c>
      <c r="D489" t="s">
        <v>428</v>
      </c>
      <c r="E489" t="s">
        <v>426</v>
      </c>
      <c r="F489" t="s">
        <v>163</v>
      </c>
      <c r="G489">
        <v>1</v>
      </c>
      <c r="H489">
        <v>1</v>
      </c>
      <c r="I489" t="s">
        <v>426</v>
      </c>
      <c r="J489">
        <v>0</v>
      </c>
      <c r="K489" t="s">
        <v>49</v>
      </c>
      <c r="L489" s="1">
        <f>+Tabla__192.168.1.8_POSEIDONSQL_APPFVT_01_tblFillRateFechas[[#This Row],[emb_cantidad]]-Tabla__192.168.1.8_POSEIDONSQL_APPFVT_01_tblFillRateFechas[[#This Row],[dev_cantidad]]</f>
        <v>1</v>
      </c>
      <c r="M489" s="1">
        <f>+IF(Tabla__192.168.1.8_POSEIDONSQL_APPFVT_01_tblFillRateFechas[[#This Row],[Cant_Resultante]]=Tabla__192.168.1.8_POSEIDONSQL_APPFVT_01_tblFillRateFechas[[#This Row],[cant_order]],1,0)</f>
        <v>1</v>
      </c>
      <c r="N4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89" s="1">
        <f>+IF(AND(Tabla__192.168.1.8_POSEIDONSQL_APPFVT_01_tblFillRateFechas[[#This Row],[Valida Cant]]=1,Tabla__192.168.1.8_POSEIDONSQL_APPFVT_01_tblFillRateFechas[[#This Row],[Valida Fec]]=1),1,0)</f>
        <v>1</v>
      </c>
      <c r="P489" s="1">
        <f>+(Tabla__192.168.1.8_POSEIDONSQL_APPFVT_01_tblFillRateFechas[[#This Row],[Cant_Resultante]]/Tabla__192.168.1.8_POSEIDONSQL_APPFVT_01_tblFillRateFechas[[#This Row],[cant_order]])*100</f>
        <v>100</v>
      </c>
      <c r="Q4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89" s="1">
        <f>+IF(Tabla__192.168.1.8_POSEIDONSQL_APPFVT_01_tblFillRateFechas[[#This Row],[cant_order]]&gt;0,1,0)</f>
        <v>1</v>
      </c>
      <c r="V489" s="1">
        <f>+IF(Tabla__192.168.1.8_POSEIDONSQL_APPFVT_01_tblFillRateFechas[[#This Row],[Resultado]]=1,1,0)</f>
        <v>1</v>
      </c>
      <c r="W489" s="1" t="str">
        <f>+Tabla__192.168.1.8_POSEIDONSQL_APPFVT_01_tblFillRateFechas[[#This Row],[con_ocnumero]]&amp;Tabla__192.168.1.8_POSEIDONSQL_APPFVT_01_tblFillRateFechas[[#This Row],[con_codigounico]]</f>
        <v>9669293-</v>
      </c>
      <c r="X4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0" spans="1:24" x14ac:dyDescent="0.25">
      <c r="A490">
        <v>4</v>
      </c>
      <c r="B490" t="s">
        <v>56</v>
      </c>
      <c r="C490">
        <v>9669393</v>
      </c>
      <c r="D490" t="s">
        <v>1982</v>
      </c>
      <c r="E490" t="s">
        <v>426</v>
      </c>
      <c r="F490" t="s">
        <v>163</v>
      </c>
      <c r="G490">
        <v>1</v>
      </c>
      <c r="H490">
        <v>1</v>
      </c>
      <c r="I490" t="s">
        <v>426</v>
      </c>
      <c r="J490">
        <v>0</v>
      </c>
      <c r="K490" t="s">
        <v>49</v>
      </c>
      <c r="L490" s="1">
        <f>+Tabla__192.168.1.8_POSEIDONSQL_APPFVT_01_tblFillRateFechas[[#This Row],[emb_cantidad]]-Tabla__192.168.1.8_POSEIDONSQL_APPFVT_01_tblFillRateFechas[[#This Row],[dev_cantidad]]</f>
        <v>1</v>
      </c>
      <c r="M490" s="1">
        <f>+IF(Tabla__192.168.1.8_POSEIDONSQL_APPFVT_01_tblFillRateFechas[[#This Row],[Cant_Resultante]]=Tabla__192.168.1.8_POSEIDONSQL_APPFVT_01_tblFillRateFechas[[#This Row],[cant_order]],1,0)</f>
        <v>1</v>
      </c>
      <c r="N4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0" s="1">
        <f>+IF(AND(Tabla__192.168.1.8_POSEIDONSQL_APPFVT_01_tblFillRateFechas[[#This Row],[Valida Cant]]=1,Tabla__192.168.1.8_POSEIDONSQL_APPFVT_01_tblFillRateFechas[[#This Row],[Valida Fec]]=1),1,0)</f>
        <v>1</v>
      </c>
      <c r="P490" s="1">
        <f>+(Tabla__192.168.1.8_POSEIDONSQL_APPFVT_01_tblFillRateFechas[[#This Row],[Cant_Resultante]]/Tabla__192.168.1.8_POSEIDONSQL_APPFVT_01_tblFillRateFechas[[#This Row],[cant_order]])*100</f>
        <v>100</v>
      </c>
      <c r="Q4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0" s="1">
        <f>+IF(Tabla__192.168.1.8_POSEIDONSQL_APPFVT_01_tblFillRateFechas[[#This Row],[cant_order]]&gt;0,1,0)</f>
        <v>1</v>
      </c>
      <c r="V490" s="1">
        <f>+IF(Tabla__192.168.1.8_POSEIDONSQL_APPFVT_01_tblFillRateFechas[[#This Row],[Resultado]]=1,1,0)</f>
        <v>1</v>
      </c>
      <c r="W490" s="1" t="str">
        <f>+Tabla__192.168.1.8_POSEIDONSQL_APPFVT_01_tblFillRateFechas[[#This Row],[con_ocnumero]]&amp;Tabla__192.168.1.8_POSEIDONSQL_APPFVT_01_tblFillRateFechas[[#This Row],[con_codigounico]]</f>
        <v>9669393-</v>
      </c>
      <c r="X4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1" spans="1:24" x14ac:dyDescent="0.25">
      <c r="A491">
        <v>4</v>
      </c>
      <c r="B491" t="s">
        <v>56</v>
      </c>
      <c r="C491">
        <v>9669579</v>
      </c>
      <c r="D491" t="s">
        <v>1982</v>
      </c>
      <c r="E491" t="s">
        <v>426</v>
      </c>
      <c r="F491" t="s">
        <v>163</v>
      </c>
      <c r="G491">
        <v>1</v>
      </c>
      <c r="H491">
        <v>1</v>
      </c>
      <c r="I491" t="s">
        <v>426</v>
      </c>
      <c r="J491">
        <v>0</v>
      </c>
      <c r="K491" t="s">
        <v>49</v>
      </c>
      <c r="L491" s="1">
        <f>+Tabla__192.168.1.8_POSEIDONSQL_APPFVT_01_tblFillRateFechas[[#This Row],[emb_cantidad]]-Tabla__192.168.1.8_POSEIDONSQL_APPFVT_01_tblFillRateFechas[[#This Row],[dev_cantidad]]</f>
        <v>1</v>
      </c>
      <c r="M491" s="1">
        <f>+IF(Tabla__192.168.1.8_POSEIDONSQL_APPFVT_01_tblFillRateFechas[[#This Row],[Cant_Resultante]]=Tabla__192.168.1.8_POSEIDONSQL_APPFVT_01_tblFillRateFechas[[#This Row],[cant_order]],1,0)</f>
        <v>1</v>
      </c>
      <c r="N4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1" s="1">
        <f>+IF(AND(Tabla__192.168.1.8_POSEIDONSQL_APPFVT_01_tblFillRateFechas[[#This Row],[Valida Cant]]=1,Tabla__192.168.1.8_POSEIDONSQL_APPFVT_01_tblFillRateFechas[[#This Row],[Valida Fec]]=1),1,0)</f>
        <v>1</v>
      </c>
      <c r="P491" s="1">
        <f>+(Tabla__192.168.1.8_POSEIDONSQL_APPFVT_01_tblFillRateFechas[[#This Row],[Cant_Resultante]]/Tabla__192.168.1.8_POSEIDONSQL_APPFVT_01_tblFillRateFechas[[#This Row],[cant_order]])*100</f>
        <v>100</v>
      </c>
      <c r="Q4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1" s="1">
        <f>+IF(Tabla__192.168.1.8_POSEIDONSQL_APPFVT_01_tblFillRateFechas[[#This Row],[cant_order]]&gt;0,1,0)</f>
        <v>1</v>
      </c>
      <c r="V491" s="1">
        <f>+IF(Tabla__192.168.1.8_POSEIDONSQL_APPFVT_01_tblFillRateFechas[[#This Row],[Resultado]]=1,1,0)</f>
        <v>1</v>
      </c>
      <c r="W491" s="1" t="str">
        <f>+Tabla__192.168.1.8_POSEIDONSQL_APPFVT_01_tblFillRateFechas[[#This Row],[con_ocnumero]]&amp;Tabla__192.168.1.8_POSEIDONSQL_APPFVT_01_tblFillRateFechas[[#This Row],[con_codigounico]]</f>
        <v>9669579-</v>
      </c>
      <c r="X4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2" spans="1:24" x14ac:dyDescent="0.25">
      <c r="A492">
        <v>4</v>
      </c>
      <c r="B492" t="s">
        <v>56</v>
      </c>
      <c r="C492">
        <v>9670157</v>
      </c>
      <c r="D492" t="s">
        <v>1982</v>
      </c>
      <c r="E492" t="s">
        <v>426</v>
      </c>
      <c r="F492" t="s">
        <v>163</v>
      </c>
      <c r="G492">
        <v>1</v>
      </c>
      <c r="H492">
        <v>1</v>
      </c>
      <c r="I492" t="s">
        <v>426</v>
      </c>
      <c r="J492">
        <v>0</v>
      </c>
      <c r="K492" t="s">
        <v>49</v>
      </c>
      <c r="L492" s="1">
        <f>+Tabla__192.168.1.8_POSEIDONSQL_APPFVT_01_tblFillRateFechas[[#This Row],[emb_cantidad]]-Tabla__192.168.1.8_POSEIDONSQL_APPFVT_01_tblFillRateFechas[[#This Row],[dev_cantidad]]</f>
        <v>1</v>
      </c>
      <c r="M492" s="1">
        <f>+IF(Tabla__192.168.1.8_POSEIDONSQL_APPFVT_01_tblFillRateFechas[[#This Row],[Cant_Resultante]]=Tabla__192.168.1.8_POSEIDONSQL_APPFVT_01_tblFillRateFechas[[#This Row],[cant_order]],1,0)</f>
        <v>1</v>
      </c>
      <c r="N4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2" s="1">
        <f>+IF(AND(Tabla__192.168.1.8_POSEIDONSQL_APPFVT_01_tblFillRateFechas[[#This Row],[Valida Cant]]=1,Tabla__192.168.1.8_POSEIDONSQL_APPFVT_01_tblFillRateFechas[[#This Row],[Valida Fec]]=1),1,0)</f>
        <v>1</v>
      </c>
      <c r="P492" s="1">
        <f>+(Tabla__192.168.1.8_POSEIDONSQL_APPFVT_01_tblFillRateFechas[[#This Row],[Cant_Resultante]]/Tabla__192.168.1.8_POSEIDONSQL_APPFVT_01_tblFillRateFechas[[#This Row],[cant_order]])*100</f>
        <v>100</v>
      </c>
      <c r="Q4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2" s="1">
        <f>+IF(Tabla__192.168.1.8_POSEIDONSQL_APPFVT_01_tblFillRateFechas[[#This Row],[cant_order]]&gt;0,1,0)</f>
        <v>1</v>
      </c>
      <c r="V492" s="1">
        <f>+IF(Tabla__192.168.1.8_POSEIDONSQL_APPFVT_01_tblFillRateFechas[[#This Row],[Resultado]]=1,1,0)</f>
        <v>1</v>
      </c>
      <c r="W492" s="1" t="str">
        <f>+Tabla__192.168.1.8_POSEIDONSQL_APPFVT_01_tblFillRateFechas[[#This Row],[con_ocnumero]]&amp;Tabla__192.168.1.8_POSEIDONSQL_APPFVT_01_tblFillRateFechas[[#This Row],[con_codigounico]]</f>
        <v>9670157-</v>
      </c>
      <c r="X4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3" spans="1:24" x14ac:dyDescent="0.25">
      <c r="A493">
        <v>4</v>
      </c>
      <c r="B493" t="s">
        <v>56</v>
      </c>
      <c r="C493">
        <v>9670925</v>
      </c>
      <c r="D493" t="s">
        <v>1982</v>
      </c>
      <c r="E493" t="s">
        <v>426</v>
      </c>
      <c r="F493" t="s">
        <v>163</v>
      </c>
      <c r="G493">
        <v>1</v>
      </c>
      <c r="H493">
        <v>1</v>
      </c>
      <c r="I493" t="s">
        <v>426</v>
      </c>
      <c r="J493">
        <v>0</v>
      </c>
      <c r="K493" t="s">
        <v>49</v>
      </c>
      <c r="L493" s="1">
        <f>+Tabla__192.168.1.8_POSEIDONSQL_APPFVT_01_tblFillRateFechas[[#This Row],[emb_cantidad]]-Tabla__192.168.1.8_POSEIDONSQL_APPFVT_01_tblFillRateFechas[[#This Row],[dev_cantidad]]</f>
        <v>1</v>
      </c>
      <c r="M493" s="1">
        <f>+IF(Tabla__192.168.1.8_POSEIDONSQL_APPFVT_01_tblFillRateFechas[[#This Row],[Cant_Resultante]]=Tabla__192.168.1.8_POSEIDONSQL_APPFVT_01_tblFillRateFechas[[#This Row],[cant_order]],1,0)</f>
        <v>1</v>
      </c>
      <c r="N4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3" s="1">
        <f>+IF(AND(Tabla__192.168.1.8_POSEIDONSQL_APPFVT_01_tblFillRateFechas[[#This Row],[Valida Cant]]=1,Tabla__192.168.1.8_POSEIDONSQL_APPFVT_01_tblFillRateFechas[[#This Row],[Valida Fec]]=1),1,0)</f>
        <v>1</v>
      </c>
      <c r="P493" s="1">
        <f>+(Tabla__192.168.1.8_POSEIDONSQL_APPFVT_01_tblFillRateFechas[[#This Row],[Cant_Resultante]]/Tabla__192.168.1.8_POSEIDONSQL_APPFVT_01_tblFillRateFechas[[#This Row],[cant_order]])*100</f>
        <v>100</v>
      </c>
      <c r="Q4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3" s="1">
        <f>+IF(Tabla__192.168.1.8_POSEIDONSQL_APPFVT_01_tblFillRateFechas[[#This Row],[cant_order]]&gt;0,1,0)</f>
        <v>1</v>
      </c>
      <c r="V493" s="1">
        <f>+IF(Tabla__192.168.1.8_POSEIDONSQL_APPFVT_01_tblFillRateFechas[[#This Row],[Resultado]]=1,1,0)</f>
        <v>1</v>
      </c>
      <c r="W493" s="1" t="str">
        <f>+Tabla__192.168.1.8_POSEIDONSQL_APPFVT_01_tblFillRateFechas[[#This Row],[con_ocnumero]]&amp;Tabla__192.168.1.8_POSEIDONSQL_APPFVT_01_tblFillRateFechas[[#This Row],[con_codigounico]]</f>
        <v>9670925-</v>
      </c>
      <c r="X4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4" spans="1:24" x14ac:dyDescent="0.25">
      <c r="A494">
        <v>4</v>
      </c>
      <c r="B494" t="s">
        <v>56</v>
      </c>
      <c r="C494">
        <v>9671287</v>
      </c>
      <c r="D494" t="s">
        <v>1982</v>
      </c>
      <c r="E494" t="s">
        <v>426</v>
      </c>
      <c r="F494" t="s">
        <v>163</v>
      </c>
      <c r="G494">
        <v>1</v>
      </c>
      <c r="H494">
        <v>1</v>
      </c>
      <c r="I494" t="s">
        <v>426</v>
      </c>
      <c r="J494">
        <v>0</v>
      </c>
      <c r="K494" t="s">
        <v>49</v>
      </c>
      <c r="L494" s="1">
        <f>+Tabla__192.168.1.8_POSEIDONSQL_APPFVT_01_tblFillRateFechas[[#This Row],[emb_cantidad]]-Tabla__192.168.1.8_POSEIDONSQL_APPFVT_01_tblFillRateFechas[[#This Row],[dev_cantidad]]</f>
        <v>1</v>
      </c>
      <c r="M494" s="1">
        <f>+IF(Tabla__192.168.1.8_POSEIDONSQL_APPFVT_01_tblFillRateFechas[[#This Row],[Cant_Resultante]]=Tabla__192.168.1.8_POSEIDONSQL_APPFVT_01_tblFillRateFechas[[#This Row],[cant_order]],1,0)</f>
        <v>1</v>
      </c>
      <c r="N4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4" s="1">
        <f>+IF(AND(Tabla__192.168.1.8_POSEIDONSQL_APPFVT_01_tblFillRateFechas[[#This Row],[Valida Cant]]=1,Tabla__192.168.1.8_POSEIDONSQL_APPFVT_01_tblFillRateFechas[[#This Row],[Valida Fec]]=1),1,0)</f>
        <v>1</v>
      </c>
      <c r="P494" s="1">
        <f>+(Tabla__192.168.1.8_POSEIDONSQL_APPFVT_01_tblFillRateFechas[[#This Row],[Cant_Resultante]]/Tabla__192.168.1.8_POSEIDONSQL_APPFVT_01_tblFillRateFechas[[#This Row],[cant_order]])*100</f>
        <v>100</v>
      </c>
      <c r="Q4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4" s="1">
        <f>+IF(Tabla__192.168.1.8_POSEIDONSQL_APPFVT_01_tblFillRateFechas[[#This Row],[cant_order]]&gt;0,1,0)</f>
        <v>1</v>
      </c>
      <c r="V494" s="1">
        <f>+IF(Tabla__192.168.1.8_POSEIDONSQL_APPFVT_01_tblFillRateFechas[[#This Row],[Resultado]]=1,1,0)</f>
        <v>1</v>
      </c>
      <c r="W494" s="1" t="str">
        <f>+Tabla__192.168.1.8_POSEIDONSQL_APPFVT_01_tblFillRateFechas[[#This Row],[con_ocnumero]]&amp;Tabla__192.168.1.8_POSEIDONSQL_APPFVT_01_tblFillRateFechas[[#This Row],[con_codigounico]]</f>
        <v>9671287-</v>
      </c>
      <c r="X4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5" spans="1:24" x14ac:dyDescent="0.25">
      <c r="A495">
        <v>4</v>
      </c>
      <c r="B495" t="s">
        <v>56</v>
      </c>
      <c r="C495">
        <v>9672639</v>
      </c>
      <c r="D495" t="s">
        <v>163</v>
      </c>
      <c r="E495" t="s">
        <v>426</v>
      </c>
      <c r="F495" t="s">
        <v>429</v>
      </c>
      <c r="G495">
        <v>1</v>
      </c>
      <c r="H495">
        <v>1</v>
      </c>
      <c r="I495" t="s">
        <v>426</v>
      </c>
      <c r="J495">
        <v>0</v>
      </c>
      <c r="K495" t="s">
        <v>49</v>
      </c>
      <c r="L495" s="1">
        <f>+Tabla__192.168.1.8_POSEIDONSQL_APPFVT_01_tblFillRateFechas[[#This Row],[emb_cantidad]]-Tabla__192.168.1.8_POSEIDONSQL_APPFVT_01_tblFillRateFechas[[#This Row],[dev_cantidad]]</f>
        <v>1</v>
      </c>
      <c r="M495" s="1">
        <f>+IF(Tabla__192.168.1.8_POSEIDONSQL_APPFVT_01_tblFillRateFechas[[#This Row],[Cant_Resultante]]=Tabla__192.168.1.8_POSEIDONSQL_APPFVT_01_tblFillRateFechas[[#This Row],[cant_order]],1,0)</f>
        <v>1</v>
      </c>
      <c r="N4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5" s="1">
        <f>+IF(AND(Tabla__192.168.1.8_POSEIDONSQL_APPFVT_01_tblFillRateFechas[[#This Row],[Valida Cant]]=1,Tabla__192.168.1.8_POSEIDONSQL_APPFVT_01_tblFillRateFechas[[#This Row],[Valida Fec]]=1),1,0)</f>
        <v>1</v>
      </c>
      <c r="P495" s="1">
        <f>+(Tabla__192.168.1.8_POSEIDONSQL_APPFVT_01_tblFillRateFechas[[#This Row],[Cant_Resultante]]/Tabla__192.168.1.8_POSEIDONSQL_APPFVT_01_tblFillRateFechas[[#This Row],[cant_order]])*100</f>
        <v>100</v>
      </c>
      <c r="Q4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5" s="1">
        <f>+IF(Tabla__192.168.1.8_POSEIDONSQL_APPFVT_01_tblFillRateFechas[[#This Row],[cant_order]]&gt;0,1,0)</f>
        <v>1</v>
      </c>
      <c r="V495" s="1">
        <f>+IF(Tabla__192.168.1.8_POSEIDONSQL_APPFVT_01_tblFillRateFechas[[#This Row],[Resultado]]=1,1,0)</f>
        <v>1</v>
      </c>
      <c r="W495" s="1" t="str">
        <f>+Tabla__192.168.1.8_POSEIDONSQL_APPFVT_01_tblFillRateFechas[[#This Row],[con_ocnumero]]&amp;Tabla__192.168.1.8_POSEIDONSQL_APPFVT_01_tblFillRateFechas[[#This Row],[con_codigounico]]</f>
        <v>9672639-</v>
      </c>
      <c r="X4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6" spans="1:24" x14ac:dyDescent="0.25">
      <c r="A496">
        <v>4</v>
      </c>
      <c r="B496" t="s">
        <v>56</v>
      </c>
      <c r="C496">
        <v>9672960</v>
      </c>
      <c r="D496" t="s">
        <v>163</v>
      </c>
      <c r="E496" t="s">
        <v>426</v>
      </c>
      <c r="F496" t="s">
        <v>429</v>
      </c>
      <c r="G496">
        <v>1</v>
      </c>
      <c r="H496">
        <v>1</v>
      </c>
      <c r="I496" t="s">
        <v>426</v>
      </c>
      <c r="J496">
        <v>0</v>
      </c>
      <c r="K496" t="s">
        <v>49</v>
      </c>
      <c r="L496" s="1">
        <f>+Tabla__192.168.1.8_POSEIDONSQL_APPFVT_01_tblFillRateFechas[[#This Row],[emb_cantidad]]-Tabla__192.168.1.8_POSEIDONSQL_APPFVT_01_tblFillRateFechas[[#This Row],[dev_cantidad]]</f>
        <v>1</v>
      </c>
      <c r="M496" s="1">
        <f>+IF(Tabla__192.168.1.8_POSEIDONSQL_APPFVT_01_tblFillRateFechas[[#This Row],[Cant_Resultante]]=Tabla__192.168.1.8_POSEIDONSQL_APPFVT_01_tblFillRateFechas[[#This Row],[cant_order]],1,0)</f>
        <v>1</v>
      </c>
      <c r="N4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6" s="1">
        <f>+IF(AND(Tabla__192.168.1.8_POSEIDONSQL_APPFVT_01_tblFillRateFechas[[#This Row],[Valida Cant]]=1,Tabla__192.168.1.8_POSEIDONSQL_APPFVT_01_tblFillRateFechas[[#This Row],[Valida Fec]]=1),1,0)</f>
        <v>1</v>
      </c>
      <c r="P496" s="1">
        <f>+(Tabla__192.168.1.8_POSEIDONSQL_APPFVT_01_tblFillRateFechas[[#This Row],[Cant_Resultante]]/Tabla__192.168.1.8_POSEIDONSQL_APPFVT_01_tblFillRateFechas[[#This Row],[cant_order]])*100</f>
        <v>100</v>
      </c>
      <c r="Q4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6" s="1">
        <f>+IF(Tabla__192.168.1.8_POSEIDONSQL_APPFVT_01_tblFillRateFechas[[#This Row],[cant_order]]&gt;0,1,0)</f>
        <v>1</v>
      </c>
      <c r="V496" s="1">
        <f>+IF(Tabla__192.168.1.8_POSEIDONSQL_APPFVT_01_tblFillRateFechas[[#This Row],[Resultado]]=1,1,0)</f>
        <v>1</v>
      </c>
      <c r="W496" s="1" t="str">
        <f>+Tabla__192.168.1.8_POSEIDONSQL_APPFVT_01_tblFillRateFechas[[#This Row],[con_ocnumero]]&amp;Tabla__192.168.1.8_POSEIDONSQL_APPFVT_01_tblFillRateFechas[[#This Row],[con_codigounico]]</f>
        <v>9672960-</v>
      </c>
      <c r="X4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7" spans="1:24" x14ac:dyDescent="0.25">
      <c r="A497">
        <v>4</v>
      </c>
      <c r="B497" t="s">
        <v>56</v>
      </c>
      <c r="C497">
        <v>9673781</v>
      </c>
      <c r="D497" t="s">
        <v>163</v>
      </c>
      <c r="E497" t="s">
        <v>422</v>
      </c>
      <c r="F497" t="s">
        <v>429</v>
      </c>
      <c r="G497">
        <v>1</v>
      </c>
      <c r="H497">
        <v>1</v>
      </c>
      <c r="I497" t="s">
        <v>422</v>
      </c>
      <c r="J497">
        <v>0</v>
      </c>
      <c r="K497" t="s">
        <v>49</v>
      </c>
      <c r="L497" s="1">
        <f>+Tabla__192.168.1.8_POSEIDONSQL_APPFVT_01_tblFillRateFechas[[#This Row],[emb_cantidad]]-Tabla__192.168.1.8_POSEIDONSQL_APPFVT_01_tblFillRateFechas[[#This Row],[dev_cantidad]]</f>
        <v>1</v>
      </c>
      <c r="M497" s="1">
        <f>+IF(Tabla__192.168.1.8_POSEIDONSQL_APPFVT_01_tblFillRateFechas[[#This Row],[Cant_Resultante]]=Tabla__192.168.1.8_POSEIDONSQL_APPFVT_01_tblFillRateFechas[[#This Row],[cant_order]],1,0)</f>
        <v>1</v>
      </c>
      <c r="N4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7" s="1">
        <f>+IF(AND(Tabla__192.168.1.8_POSEIDONSQL_APPFVT_01_tblFillRateFechas[[#This Row],[Valida Cant]]=1,Tabla__192.168.1.8_POSEIDONSQL_APPFVT_01_tblFillRateFechas[[#This Row],[Valida Fec]]=1),1,0)</f>
        <v>1</v>
      </c>
      <c r="P497" s="1">
        <f>+(Tabla__192.168.1.8_POSEIDONSQL_APPFVT_01_tblFillRateFechas[[#This Row],[Cant_Resultante]]/Tabla__192.168.1.8_POSEIDONSQL_APPFVT_01_tblFillRateFechas[[#This Row],[cant_order]])*100</f>
        <v>100</v>
      </c>
      <c r="Q4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7" s="1">
        <f>+IF(Tabla__192.168.1.8_POSEIDONSQL_APPFVT_01_tblFillRateFechas[[#This Row],[cant_order]]&gt;0,1,0)</f>
        <v>1</v>
      </c>
      <c r="V497" s="1">
        <f>+IF(Tabla__192.168.1.8_POSEIDONSQL_APPFVT_01_tblFillRateFechas[[#This Row],[Resultado]]=1,1,0)</f>
        <v>1</v>
      </c>
      <c r="W497" s="1" t="str">
        <f>+Tabla__192.168.1.8_POSEIDONSQL_APPFVT_01_tblFillRateFechas[[#This Row],[con_ocnumero]]&amp;Tabla__192.168.1.8_POSEIDONSQL_APPFVT_01_tblFillRateFechas[[#This Row],[con_codigounico]]</f>
        <v>9673781-</v>
      </c>
      <c r="X4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8" spans="1:24" x14ac:dyDescent="0.25">
      <c r="A498">
        <v>4</v>
      </c>
      <c r="B498" t="s">
        <v>56</v>
      </c>
      <c r="C498">
        <v>9674290</v>
      </c>
      <c r="D498" t="s">
        <v>163</v>
      </c>
      <c r="E498" t="s">
        <v>422</v>
      </c>
      <c r="F498" t="s">
        <v>429</v>
      </c>
      <c r="G498">
        <v>1</v>
      </c>
      <c r="H498">
        <v>1</v>
      </c>
      <c r="I498" t="s">
        <v>422</v>
      </c>
      <c r="J498">
        <v>0</v>
      </c>
      <c r="K498" t="s">
        <v>49</v>
      </c>
      <c r="L498" s="1">
        <f>+Tabla__192.168.1.8_POSEIDONSQL_APPFVT_01_tblFillRateFechas[[#This Row],[emb_cantidad]]-Tabla__192.168.1.8_POSEIDONSQL_APPFVT_01_tblFillRateFechas[[#This Row],[dev_cantidad]]</f>
        <v>1</v>
      </c>
      <c r="M498" s="1">
        <f>+IF(Tabla__192.168.1.8_POSEIDONSQL_APPFVT_01_tblFillRateFechas[[#This Row],[Cant_Resultante]]=Tabla__192.168.1.8_POSEIDONSQL_APPFVT_01_tblFillRateFechas[[#This Row],[cant_order]],1,0)</f>
        <v>1</v>
      </c>
      <c r="N4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8" s="1">
        <f>+IF(AND(Tabla__192.168.1.8_POSEIDONSQL_APPFVT_01_tblFillRateFechas[[#This Row],[Valida Cant]]=1,Tabla__192.168.1.8_POSEIDONSQL_APPFVT_01_tblFillRateFechas[[#This Row],[Valida Fec]]=1),1,0)</f>
        <v>1</v>
      </c>
      <c r="P498" s="1">
        <f>+(Tabla__192.168.1.8_POSEIDONSQL_APPFVT_01_tblFillRateFechas[[#This Row],[Cant_Resultante]]/Tabla__192.168.1.8_POSEIDONSQL_APPFVT_01_tblFillRateFechas[[#This Row],[cant_order]])*100</f>
        <v>100</v>
      </c>
      <c r="Q4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8" s="1">
        <f>+IF(Tabla__192.168.1.8_POSEIDONSQL_APPFVT_01_tblFillRateFechas[[#This Row],[cant_order]]&gt;0,1,0)</f>
        <v>1</v>
      </c>
      <c r="V498" s="1">
        <f>+IF(Tabla__192.168.1.8_POSEIDONSQL_APPFVT_01_tblFillRateFechas[[#This Row],[Resultado]]=1,1,0)</f>
        <v>1</v>
      </c>
      <c r="W498" s="1" t="str">
        <f>+Tabla__192.168.1.8_POSEIDONSQL_APPFVT_01_tblFillRateFechas[[#This Row],[con_ocnumero]]&amp;Tabla__192.168.1.8_POSEIDONSQL_APPFVT_01_tblFillRateFechas[[#This Row],[con_codigounico]]</f>
        <v>9674290-</v>
      </c>
      <c r="X4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499" spans="1:24" x14ac:dyDescent="0.25">
      <c r="A499">
        <v>4</v>
      </c>
      <c r="B499" t="s">
        <v>56</v>
      </c>
      <c r="C499">
        <v>9674742</v>
      </c>
      <c r="D499" t="s">
        <v>163</v>
      </c>
      <c r="E499" t="s">
        <v>422</v>
      </c>
      <c r="F499" t="s">
        <v>429</v>
      </c>
      <c r="G499">
        <v>1</v>
      </c>
      <c r="H499">
        <v>1</v>
      </c>
      <c r="I499" t="s">
        <v>422</v>
      </c>
      <c r="J499">
        <v>0</v>
      </c>
      <c r="K499" t="s">
        <v>49</v>
      </c>
      <c r="L499" s="1">
        <f>+Tabla__192.168.1.8_POSEIDONSQL_APPFVT_01_tblFillRateFechas[[#This Row],[emb_cantidad]]-Tabla__192.168.1.8_POSEIDONSQL_APPFVT_01_tblFillRateFechas[[#This Row],[dev_cantidad]]</f>
        <v>1</v>
      </c>
      <c r="M499" s="1">
        <f>+IF(Tabla__192.168.1.8_POSEIDONSQL_APPFVT_01_tblFillRateFechas[[#This Row],[Cant_Resultante]]=Tabla__192.168.1.8_POSEIDONSQL_APPFVT_01_tblFillRateFechas[[#This Row],[cant_order]],1,0)</f>
        <v>1</v>
      </c>
      <c r="N4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499" s="1">
        <f>+IF(AND(Tabla__192.168.1.8_POSEIDONSQL_APPFVT_01_tblFillRateFechas[[#This Row],[Valida Cant]]=1,Tabla__192.168.1.8_POSEIDONSQL_APPFVT_01_tblFillRateFechas[[#This Row],[Valida Fec]]=1),1,0)</f>
        <v>1</v>
      </c>
      <c r="P499" s="1">
        <f>+(Tabla__192.168.1.8_POSEIDONSQL_APPFVT_01_tblFillRateFechas[[#This Row],[Cant_Resultante]]/Tabla__192.168.1.8_POSEIDONSQL_APPFVT_01_tblFillRateFechas[[#This Row],[cant_order]])*100</f>
        <v>100</v>
      </c>
      <c r="Q4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4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4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4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499" s="1">
        <f>+IF(Tabla__192.168.1.8_POSEIDONSQL_APPFVT_01_tblFillRateFechas[[#This Row],[cant_order]]&gt;0,1,0)</f>
        <v>1</v>
      </c>
      <c r="V499" s="1">
        <f>+IF(Tabla__192.168.1.8_POSEIDONSQL_APPFVT_01_tblFillRateFechas[[#This Row],[Resultado]]=1,1,0)</f>
        <v>1</v>
      </c>
      <c r="W499" s="1" t="str">
        <f>+Tabla__192.168.1.8_POSEIDONSQL_APPFVT_01_tblFillRateFechas[[#This Row],[con_ocnumero]]&amp;Tabla__192.168.1.8_POSEIDONSQL_APPFVT_01_tblFillRateFechas[[#This Row],[con_codigounico]]</f>
        <v>9674742-</v>
      </c>
      <c r="X4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0" spans="1:24" x14ac:dyDescent="0.25">
      <c r="A500">
        <v>4</v>
      </c>
      <c r="B500" t="s">
        <v>56</v>
      </c>
      <c r="C500">
        <v>9675309</v>
      </c>
      <c r="D500" t="s">
        <v>429</v>
      </c>
      <c r="E500" t="s">
        <v>422</v>
      </c>
      <c r="F500" t="s">
        <v>427</v>
      </c>
      <c r="G500">
        <v>1</v>
      </c>
      <c r="H500">
        <v>1</v>
      </c>
      <c r="I500" t="s">
        <v>422</v>
      </c>
      <c r="J500">
        <v>0</v>
      </c>
      <c r="K500" t="s">
        <v>49</v>
      </c>
      <c r="L500" s="1">
        <f>+Tabla__192.168.1.8_POSEIDONSQL_APPFVT_01_tblFillRateFechas[[#This Row],[emb_cantidad]]-Tabla__192.168.1.8_POSEIDONSQL_APPFVT_01_tblFillRateFechas[[#This Row],[dev_cantidad]]</f>
        <v>1</v>
      </c>
      <c r="M500" s="1">
        <f>+IF(Tabla__192.168.1.8_POSEIDONSQL_APPFVT_01_tblFillRateFechas[[#This Row],[Cant_Resultante]]=Tabla__192.168.1.8_POSEIDONSQL_APPFVT_01_tblFillRateFechas[[#This Row],[cant_order]],1,0)</f>
        <v>1</v>
      </c>
      <c r="N5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0" s="1">
        <f>+IF(AND(Tabla__192.168.1.8_POSEIDONSQL_APPFVT_01_tblFillRateFechas[[#This Row],[Valida Cant]]=1,Tabla__192.168.1.8_POSEIDONSQL_APPFVT_01_tblFillRateFechas[[#This Row],[Valida Fec]]=1),1,0)</f>
        <v>1</v>
      </c>
      <c r="P500" s="1">
        <f>+(Tabla__192.168.1.8_POSEIDONSQL_APPFVT_01_tblFillRateFechas[[#This Row],[Cant_Resultante]]/Tabla__192.168.1.8_POSEIDONSQL_APPFVT_01_tblFillRateFechas[[#This Row],[cant_order]])*100</f>
        <v>100</v>
      </c>
      <c r="Q5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0" s="1">
        <f>+IF(Tabla__192.168.1.8_POSEIDONSQL_APPFVT_01_tblFillRateFechas[[#This Row],[cant_order]]&gt;0,1,0)</f>
        <v>1</v>
      </c>
      <c r="V500" s="1">
        <f>+IF(Tabla__192.168.1.8_POSEIDONSQL_APPFVT_01_tblFillRateFechas[[#This Row],[Resultado]]=1,1,0)</f>
        <v>1</v>
      </c>
      <c r="W500" s="1" t="str">
        <f>+Tabla__192.168.1.8_POSEIDONSQL_APPFVT_01_tblFillRateFechas[[#This Row],[con_ocnumero]]&amp;Tabla__192.168.1.8_POSEIDONSQL_APPFVT_01_tblFillRateFechas[[#This Row],[con_codigounico]]</f>
        <v>9675309-</v>
      </c>
      <c r="X5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1" spans="1:24" x14ac:dyDescent="0.25">
      <c r="A501">
        <v>4</v>
      </c>
      <c r="B501" t="s">
        <v>56</v>
      </c>
      <c r="C501">
        <v>9676310</v>
      </c>
      <c r="D501" t="s">
        <v>429</v>
      </c>
      <c r="E501" t="s">
        <v>422</v>
      </c>
      <c r="F501" t="s">
        <v>427</v>
      </c>
      <c r="G501">
        <v>1</v>
      </c>
      <c r="H501">
        <v>1</v>
      </c>
      <c r="I501" t="s">
        <v>422</v>
      </c>
      <c r="J501">
        <v>0</v>
      </c>
      <c r="K501" t="s">
        <v>49</v>
      </c>
      <c r="L501" s="1">
        <f>+Tabla__192.168.1.8_POSEIDONSQL_APPFVT_01_tblFillRateFechas[[#This Row],[emb_cantidad]]-Tabla__192.168.1.8_POSEIDONSQL_APPFVT_01_tblFillRateFechas[[#This Row],[dev_cantidad]]</f>
        <v>1</v>
      </c>
      <c r="M501" s="1">
        <f>+IF(Tabla__192.168.1.8_POSEIDONSQL_APPFVT_01_tblFillRateFechas[[#This Row],[Cant_Resultante]]=Tabla__192.168.1.8_POSEIDONSQL_APPFVT_01_tblFillRateFechas[[#This Row],[cant_order]],1,0)</f>
        <v>1</v>
      </c>
      <c r="N5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1" s="1">
        <f>+IF(AND(Tabla__192.168.1.8_POSEIDONSQL_APPFVT_01_tblFillRateFechas[[#This Row],[Valida Cant]]=1,Tabla__192.168.1.8_POSEIDONSQL_APPFVT_01_tblFillRateFechas[[#This Row],[Valida Fec]]=1),1,0)</f>
        <v>1</v>
      </c>
      <c r="P501" s="1">
        <f>+(Tabla__192.168.1.8_POSEIDONSQL_APPFVT_01_tblFillRateFechas[[#This Row],[Cant_Resultante]]/Tabla__192.168.1.8_POSEIDONSQL_APPFVT_01_tblFillRateFechas[[#This Row],[cant_order]])*100</f>
        <v>100</v>
      </c>
      <c r="Q5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1" s="1">
        <f>+IF(Tabla__192.168.1.8_POSEIDONSQL_APPFVT_01_tblFillRateFechas[[#This Row],[cant_order]]&gt;0,1,0)</f>
        <v>1</v>
      </c>
      <c r="V501" s="1">
        <f>+IF(Tabla__192.168.1.8_POSEIDONSQL_APPFVT_01_tblFillRateFechas[[#This Row],[Resultado]]=1,1,0)</f>
        <v>1</v>
      </c>
      <c r="W501" s="1" t="str">
        <f>+Tabla__192.168.1.8_POSEIDONSQL_APPFVT_01_tblFillRateFechas[[#This Row],[con_ocnumero]]&amp;Tabla__192.168.1.8_POSEIDONSQL_APPFVT_01_tblFillRateFechas[[#This Row],[con_codigounico]]</f>
        <v>9676310-</v>
      </c>
      <c r="X5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2" spans="1:24" x14ac:dyDescent="0.25">
      <c r="A502">
        <v>4</v>
      </c>
      <c r="B502" t="s">
        <v>56</v>
      </c>
      <c r="C502">
        <v>9676707</v>
      </c>
      <c r="D502" t="s">
        <v>429</v>
      </c>
      <c r="E502" t="s">
        <v>422</v>
      </c>
      <c r="F502" t="s">
        <v>427</v>
      </c>
      <c r="G502">
        <v>1</v>
      </c>
      <c r="H502">
        <v>1</v>
      </c>
      <c r="I502" t="s">
        <v>422</v>
      </c>
      <c r="J502">
        <v>0</v>
      </c>
      <c r="K502" t="s">
        <v>49</v>
      </c>
      <c r="L502" s="1">
        <f>+Tabla__192.168.1.8_POSEIDONSQL_APPFVT_01_tblFillRateFechas[[#This Row],[emb_cantidad]]-Tabla__192.168.1.8_POSEIDONSQL_APPFVT_01_tblFillRateFechas[[#This Row],[dev_cantidad]]</f>
        <v>1</v>
      </c>
      <c r="M502" s="1">
        <f>+IF(Tabla__192.168.1.8_POSEIDONSQL_APPFVT_01_tblFillRateFechas[[#This Row],[Cant_Resultante]]=Tabla__192.168.1.8_POSEIDONSQL_APPFVT_01_tblFillRateFechas[[#This Row],[cant_order]],1,0)</f>
        <v>1</v>
      </c>
      <c r="N5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2" s="1">
        <f>+IF(AND(Tabla__192.168.1.8_POSEIDONSQL_APPFVT_01_tblFillRateFechas[[#This Row],[Valida Cant]]=1,Tabla__192.168.1.8_POSEIDONSQL_APPFVT_01_tblFillRateFechas[[#This Row],[Valida Fec]]=1),1,0)</f>
        <v>1</v>
      </c>
      <c r="P502" s="1">
        <f>+(Tabla__192.168.1.8_POSEIDONSQL_APPFVT_01_tblFillRateFechas[[#This Row],[Cant_Resultante]]/Tabla__192.168.1.8_POSEIDONSQL_APPFVT_01_tblFillRateFechas[[#This Row],[cant_order]])*100</f>
        <v>100</v>
      </c>
      <c r="Q5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2" s="1">
        <f>+IF(Tabla__192.168.1.8_POSEIDONSQL_APPFVT_01_tblFillRateFechas[[#This Row],[cant_order]]&gt;0,1,0)</f>
        <v>1</v>
      </c>
      <c r="V502" s="1">
        <f>+IF(Tabla__192.168.1.8_POSEIDONSQL_APPFVT_01_tblFillRateFechas[[#This Row],[Resultado]]=1,1,0)</f>
        <v>1</v>
      </c>
      <c r="W502" s="1" t="str">
        <f>+Tabla__192.168.1.8_POSEIDONSQL_APPFVT_01_tblFillRateFechas[[#This Row],[con_ocnumero]]&amp;Tabla__192.168.1.8_POSEIDONSQL_APPFVT_01_tblFillRateFechas[[#This Row],[con_codigounico]]</f>
        <v>9676707-</v>
      </c>
      <c r="X5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3" spans="1:24" x14ac:dyDescent="0.25">
      <c r="A503">
        <v>4</v>
      </c>
      <c r="B503" t="s">
        <v>56</v>
      </c>
      <c r="C503">
        <v>9676715</v>
      </c>
      <c r="D503" t="s">
        <v>429</v>
      </c>
      <c r="E503" t="s">
        <v>422</v>
      </c>
      <c r="F503" t="s">
        <v>427</v>
      </c>
      <c r="G503">
        <v>1</v>
      </c>
      <c r="H503">
        <v>1</v>
      </c>
      <c r="I503" t="s">
        <v>422</v>
      </c>
      <c r="J503">
        <v>0</v>
      </c>
      <c r="K503" t="s">
        <v>49</v>
      </c>
      <c r="L503" s="1">
        <f>+Tabla__192.168.1.8_POSEIDONSQL_APPFVT_01_tblFillRateFechas[[#This Row],[emb_cantidad]]-Tabla__192.168.1.8_POSEIDONSQL_APPFVT_01_tblFillRateFechas[[#This Row],[dev_cantidad]]</f>
        <v>1</v>
      </c>
      <c r="M503" s="1">
        <f>+IF(Tabla__192.168.1.8_POSEIDONSQL_APPFVT_01_tblFillRateFechas[[#This Row],[Cant_Resultante]]=Tabla__192.168.1.8_POSEIDONSQL_APPFVT_01_tblFillRateFechas[[#This Row],[cant_order]],1,0)</f>
        <v>1</v>
      </c>
      <c r="N5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3" s="1">
        <f>+IF(AND(Tabla__192.168.1.8_POSEIDONSQL_APPFVT_01_tblFillRateFechas[[#This Row],[Valida Cant]]=1,Tabla__192.168.1.8_POSEIDONSQL_APPFVT_01_tblFillRateFechas[[#This Row],[Valida Fec]]=1),1,0)</f>
        <v>1</v>
      </c>
      <c r="P503" s="1">
        <f>+(Tabla__192.168.1.8_POSEIDONSQL_APPFVT_01_tblFillRateFechas[[#This Row],[Cant_Resultante]]/Tabla__192.168.1.8_POSEIDONSQL_APPFVT_01_tblFillRateFechas[[#This Row],[cant_order]])*100</f>
        <v>100</v>
      </c>
      <c r="Q5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3" s="1">
        <f>+IF(Tabla__192.168.1.8_POSEIDONSQL_APPFVT_01_tblFillRateFechas[[#This Row],[cant_order]]&gt;0,1,0)</f>
        <v>1</v>
      </c>
      <c r="V503" s="1">
        <f>+IF(Tabla__192.168.1.8_POSEIDONSQL_APPFVT_01_tblFillRateFechas[[#This Row],[Resultado]]=1,1,0)</f>
        <v>1</v>
      </c>
      <c r="W503" s="1" t="str">
        <f>+Tabla__192.168.1.8_POSEIDONSQL_APPFVT_01_tblFillRateFechas[[#This Row],[con_ocnumero]]&amp;Tabla__192.168.1.8_POSEIDONSQL_APPFVT_01_tblFillRateFechas[[#This Row],[con_codigounico]]</f>
        <v>9676715-</v>
      </c>
      <c r="X5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4" spans="1:24" x14ac:dyDescent="0.25">
      <c r="A504">
        <v>4</v>
      </c>
      <c r="B504" t="s">
        <v>56</v>
      </c>
      <c r="C504">
        <v>9677140</v>
      </c>
      <c r="D504" t="s">
        <v>429</v>
      </c>
      <c r="E504" t="s">
        <v>422</v>
      </c>
      <c r="F504" t="s">
        <v>427</v>
      </c>
      <c r="G504">
        <v>1</v>
      </c>
      <c r="H504">
        <v>1</v>
      </c>
      <c r="I504" t="s">
        <v>422</v>
      </c>
      <c r="J504">
        <v>0</v>
      </c>
      <c r="K504" t="s">
        <v>49</v>
      </c>
      <c r="L504" s="1">
        <f>+Tabla__192.168.1.8_POSEIDONSQL_APPFVT_01_tblFillRateFechas[[#This Row],[emb_cantidad]]-Tabla__192.168.1.8_POSEIDONSQL_APPFVT_01_tblFillRateFechas[[#This Row],[dev_cantidad]]</f>
        <v>1</v>
      </c>
      <c r="M504" s="1">
        <f>+IF(Tabla__192.168.1.8_POSEIDONSQL_APPFVT_01_tblFillRateFechas[[#This Row],[Cant_Resultante]]=Tabla__192.168.1.8_POSEIDONSQL_APPFVT_01_tblFillRateFechas[[#This Row],[cant_order]],1,0)</f>
        <v>1</v>
      </c>
      <c r="N5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4" s="1">
        <f>+IF(AND(Tabla__192.168.1.8_POSEIDONSQL_APPFVT_01_tblFillRateFechas[[#This Row],[Valida Cant]]=1,Tabla__192.168.1.8_POSEIDONSQL_APPFVT_01_tblFillRateFechas[[#This Row],[Valida Fec]]=1),1,0)</f>
        <v>1</v>
      </c>
      <c r="P504" s="1">
        <f>+(Tabla__192.168.1.8_POSEIDONSQL_APPFVT_01_tblFillRateFechas[[#This Row],[Cant_Resultante]]/Tabla__192.168.1.8_POSEIDONSQL_APPFVT_01_tblFillRateFechas[[#This Row],[cant_order]])*100</f>
        <v>100</v>
      </c>
      <c r="Q5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4" s="1">
        <f>+IF(Tabla__192.168.1.8_POSEIDONSQL_APPFVT_01_tblFillRateFechas[[#This Row],[cant_order]]&gt;0,1,0)</f>
        <v>1</v>
      </c>
      <c r="V504" s="1">
        <f>+IF(Tabla__192.168.1.8_POSEIDONSQL_APPFVT_01_tblFillRateFechas[[#This Row],[Resultado]]=1,1,0)</f>
        <v>1</v>
      </c>
      <c r="W504" s="1" t="str">
        <f>+Tabla__192.168.1.8_POSEIDONSQL_APPFVT_01_tblFillRateFechas[[#This Row],[con_ocnumero]]&amp;Tabla__192.168.1.8_POSEIDONSQL_APPFVT_01_tblFillRateFechas[[#This Row],[con_codigounico]]</f>
        <v>9677140-</v>
      </c>
      <c r="X5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5" spans="1:24" x14ac:dyDescent="0.25">
      <c r="A505">
        <v>4</v>
      </c>
      <c r="B505" t="s">
        <v>56</v>
      </c>
      <c r="C505">
        <v>9678415</v>
      </c>
      <c r="D505" t="s">
        <v>427</v>
      </c>
      <c r="E505" t="s">
        <v>422</v>
      </c>
      <c r="F505" t="s">
        <v>425</v>
      </c>
      <c r="G505">
        <v>1</v>
      </c>
      <c r="H505">
        <v>1</v>
      </c>
      <c r="I505" t="s">
        <v>422</v>
      </c>
      <c r="J505">
        <v>0</v>
      </c>
      <c r="K505" t="s">
        <v>49</v>
      </c>
      <c r="L505" s="1">
        <f>+Tabla__192.168.1.8_POSEIDONSQL_APPFVT_01_tblFillRateFechas[[#This Row],[emb_cantidad]]-Tabla__192.168.1.8_POSEIDONSQL_APPFVT_01_tblFillRateFechas[[#This Row],[dev_cantidad]]</f>
        <v>1</v>
      </c>
      <c r="M505" s="1">
        <f>+IF(Tabla__192.168.1.8_POSEIDONSQL_APPFVT_01_tblFillRateFechas[[#This Row],[Cant_Resultante]]=Tabla__192.168.1.8_POSEIDONSQL_APPFVT_01_tblFillRateFechas[[#This Row],[cant_order]],1,0)</f>
        <v>1</v>
      </c>
      <c r="N5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5" s="1">
        <f>+IF(AND(Tabla__192.168.1.8_POSEIDONSQL_APPFVT_01_tblFillRateFechas[[#This Row],[Valida Cant]]=1,Tabla__192.168.1.8_POSEIDONSQL_APPFVT_01_tblFillRateFechas[[#This Row],[Valida Fec]]=1),1,0)</f>
        <v>1</v>
      </c>
      <c r="P505" s="1">
        <f>+(Tabla__192.168.1.8_POSEIDONSQL_APPFVT_01_tblFillRateFechas[[#This Row],[Cant_Resultante]]/Tabla__192.168.1.8_POSEIDONSQL_APPFVT_01_tblFillRateFechas[[#This Row],[cant_order]])*100</f>
        <v>100</v>
      </c>
      <c r="Q5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5" s="1">
        <f>+IF(Tabla__192.168.1.8_POSEIDONSQL_APPFVT_01_tblFillRateFechas[[#This Row],[cant_order]]&gt;0,1,0)</f>
        <v>1</v>
      </c>
      <c r="V505" s="1">
        <f>+IF(Tabla__192.168.1.8_POSEIDONSQL_APPFVT_01_tblFillRateFechas[[#This Row],[Resultado]]=1,1,0)</f>
        <v>1</v>
      </c>
      <c r="W505" s="1" t="str">
        <f>+Tabla__192.168.1.8_POSEIDONSQL_APPFVT_01_tblFillRateFechas[[#This Row],[con_ocnumero]]&amp;Tabla__192.168.1.8_POSEIDONSQL_APPFVT_01_tblFillRateFechas[[#This Row],[con_codigounico]]</f>
        <v>9678415-</v>
      </c>
      <c r="X5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6" spans="1:24" x14ac:dyDescent="0.25">
      <c r="A506">
        <v>4</v>
      </c>
      <c r="B506" t="s">
        <v>56</v>
      </c>
      <c r="C506">
        <v>9679359</v>
      </c>
      <c r="D506" t="s">
        <v>427</v>
      </c>
      <c r="E506" t="s">
        <v>422</v>
      </c>
      <c r="F506" t="s">
        <v>425</v>
      </c>
      <c r="G506">
        <v>1</v>
      </c>
      <c r="H506">
        <v>1</v>
      </c>
      <c r="I506" t="s">
        <v>422</v>
      </c>
      <c r="J506">
        <v>0</v>
      </c>
      <c r="K506" t="s">
        <v>49</v>
      </c>
      <c r="L506" s="1">
        <f>+Tabla__192.168.1.8_POSEIDONSQL_APPFVT_01_tblFillRateFechas[[#This Row],[emb_cantidad]]-Tabla__192.168.1.8_POSEIDONSQL_APPFVT_01_tblFillRateFechas[[#This Row],[dev_cantidad]]</f>
        <v>1</v>
      </c>
      <c r="M506" s="1">
        <f>+IF(Tabla__192.168.1.8_POSEIDONSQL_APPFVT_01_tblFillRateFechas[[#This Row],[Cant_Resultante]]=Tabla__192.168.1.8_POSEIDONSQL_APPFVT_01_tblFillRateFechas[[#This Row],[cant_order]],1,0)</f>
        <v>1</v>
      </c>
      <c r="N5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6" s="1">
        <f>+IF(AND(Tabla__192.168.1.8_POSEIDONSQL_APPFVT_01_tblFillRateFechas[[#This Row],[Valida Cant]]=1,Tabla__192.168.1.8_POSEIDONSQL_APPFVT_01_tblFillRateFechas[[#This Row],[Valida Fec]]=1),1,0)</f>
        <v>1</v>
      </c>
      <c r="P506" s="1">
        <f>+(Tabla__192.168.1.8_POSEIDONSQL_APPFVT_01_tblFillRateFechas[[#This Row],[Cant_Resultante]]/Tabla__192.168.1.8_POSEIDONSQL_APPFVT_01_tblFillRateFechas[[#This Row],[cant_order]])*100</f>
        <v>100</v>
      </c>
      <c r="Q5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6" s="1">
        <f>+IF(Tabla__192.168.1.8_POSEIDONSQL_APPFVT_01_tblFillRateFechas[[#This Row],[cant_order]]&gt;0,1,0)</f>
        <v>1</v>
      </c>
      <c r="V506" s="1">
        <f>+IF(Tabla__192.168.1.8_POSEIDONSQL_APPFVT_01_tblFillRateFechas[[#This Row],[Resultado]]=1,1,0)</f>
        <v>1</v>
      </c>
      <c r="W506" s="1" t="str">
        <f>+Tabla__192.168.1.8_POSEIDONSQL_APPFVT_01_tblFillRateFechas[[#This Row],[con_ocnumero]]&amp;Tabla__192.168.1.8_POSEIDONSQL_APPFVT_01_tblFillRateFechas[[#This Row],[con_codigounico]]</f>
        <v>9679359-</v>
      </c>
      <c r="X5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7" spans="1:24" x14ac:dyDescent="0.25">
      <c r="A507">
        <v>4</v>
      </c>
      <c r="B507" t="s">
        <v>56</v>
      </c>
      <c r="C507">
        <v>9680277</v>
      </c>
      <c r="D507" t="s">
        <v>425</v>
      </c>
      <c r="E507" t="s">
        <v>422</v>
      </c>
      <c r="F507" t="s">
        <v>426</v>
      </c>
      <c r="G507">
        <v>2</v>
      </c>
      <c r="H507">
        <v>2</v>
      </c>
      <c r="I507" t="s">
        <v>422</v>
      </c>
      <c r="J507">
        <v>0</v>
      </c>
      <c r="K507" t="s">
        <v>49</v>
      </c>
      <c r="L507" s="1">
        <f>+Tabla__192.168.1.8_POSEIDONSQL_APPFVT_01_tblFillRateFechas[[#This Row],[emb_cantidad]]-Tabla__192.168.1.8_POSEIDONSQL_APPFVT_01_tblFillRateFechas[[#This Row],[dev_cantidad]]</f>
        <v>2</v>
      </c>
      <c r="M507" s="1">
        <f>+IF(Tabla__192.168.1.8_POSEIDONSQL_APPFVT_01_tblFillRateFechas[[#This Row],[Cant_Resultante]]=Tabla__192.168.1.8_POSEIDONSQL_APPFVT_01_tblFillRateFechas[[#This Row],[cant_order]],1,0)</f>
        <v>1</v>
      </c>
      <c r="N5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7" s="1">
        <f>+IF(AND(Tabla__192.168.1.8_POSEIDONSQL_APPFVT_01_tblFillRateFechas[[#This Row],[Valida Cant]]=1,Tabla__192.168.1.8_POSEIDONSQL_APPFVT_01_tblFillRateFechas[[#This Row],[Valida Fec]]=1),1,0)</f>
        <v>1</v>
      </c>
      <c r="P507" s="1">
        <f>+(Tabla__192.168.1.8_POSEIDONSQL_APPFVT_01_tblFillRateFechas[[#This Row],[Cant_Resultante]]/Tabla__192.168.1.8_POSEIDONSQL_APPFVT_01_tblFillRateFechas[[#This Row],[cant_order]])*100</f>
        <v>100</v>
      </c>
      <c r="Q5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5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5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7" s="1">
        <f>+IF(Tabla__192.168.1.8_POSEIDONSQL_APPFVT_01_tblFillRateFechas[[#This Row],[cant_order]]&gt;0,1,0)</f>
        <v>1</v>
      </c>
      <c r="V507" s="1">
        <f>+IF(Tabla__192.168.1.8_POSEIDONSQL_APPFVT_01_tblFillRateFechas[[#This Row],[Resultado]]=1,1,0)</f>
        <v>1</v>
      </c>
      <c r="W507" s="1" t="str">
        <f>+Tabla__192.168.1.8_POSEIDONSQL_APPFVT_01_tblFillRateFechas[[#This Row],[con_ocnumero]]&amp;Tabla__192.168.1.8_POSEIDONSQL_APPFVT_01_tblFillRateFechas[[#This Row],[con_codigounico]]</f>
        <v>9680277-</v>
      </c>
      <c r="X5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508" spans="1:24" x14ac:dyDescent="0.25">
      <c r="A508">
        <v>4</v>
      </c>
      <c r="B508" t="s">
        <v>56</v>
      </c>
      <c r="C508">
        <v>9680826</v>
      </c>
      <c r="D508" t="s">
        <v>425</v>
      </c>
      <c r="E508" t="s">
        <v>422</v>
      </c>
      <c r="F508" t="s">
        <v>426</v>
      </c>
      <c r="G508">
        <v>1</v>
      </c>
      <c r="H508">
        <v>1</v>
      </c>
      <c r="I508" t="s">
        <v>422</v>
      </c>
      <c r="J508">
        <v>0</v>
      </c>
      <c r="K508" t="s">
        <v>49</v>
      </c>
      <c r="L508" s="1">
        <f>+Tabla__192.168.1.8_POSEIDONSQL_APPFVT_01_tblFillRateFechas[[#This Row],[emb_cantidad]]-Tabla__192.168.1.8_POSEIDONSQL_APPFVT_01_tblFillRateFechas[[#This Row],[dev_cantidad]]</f>
        <v>1</v>
      </c>
      <c r="M508" s="1">
        <f>+IF(Tabla__192.168.1.8_POSEIDONSQL_APPFVT_01_tblFillRateFechas[[#This Row],[Cant_Resultante]]=Tabla__192.168.1.8_POSEIDONSQL_APPFVT_01_tblFillRateFechas[[#This Row],[cant_order]],1,0)</f>
        <v>1</v>
      </c>
      <c r="N5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8" s="1">
        <f>+IF(AND(Tabla__192.168.1.8_POSEIDONSQL_APPFVT_01_tblFillRateFechas[[#This Row],[Valida Cant]]=1,Tabla__192.168.1.8_POSEIDONSQL_APPFVT_01_tblFillRateFechas[[#This Row],[Valida Fec]]=1),1,0)</f>
        <v>1</v>
      </c>
      <c r="P508" s="1">
        <f>+(Tabla__192.168.1.8_POSEIDONSQL_APPFVT_01_tblFillRateFechas[[#This Row],[Cant_Resultante]]/Tabla__192.168.1.8_POSEIDONSQL_APPFVT_01_tblFillRateFechas[[#This Row],[cant_order]])*100</f>
        <v>100</v>
      </c>
      <c r="Q5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8" s="1">
        <f>+IF(Tabla__192.168.1.8_POSEIDONSQL_APPFVT_01_tblFillRateFechas[[#This Row],[cant_order]]&gt;0,1,0)</f>
        <v>1</v>
      </c>
      <c r="V508" s="1">
        <f>+IF(Tabla__192.168.1.8_POSEIDONSQL_APPFVT_01_tblFillRateFechas[[#This Row],[Resultado]]=1,1,0)</f>
        <v>1</v>
      </c>
      <c r="W508" s="1" t="str">
        <f>+Tabla__192.168.1.8_POSEIDONSQL_APPFVT_01_tblFillRateFechas[[#This Row],[con_ocnumero]]&amp;Tabla__192.168.1.8_POSEIDONSQL_APPFVT_01_tblFillRateFechas[[#This Row],[con_codigounico]]</f>
        <v>9680826-</v>
      </c>
      <c r="X5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09" spans="1:24" x14ac:dyDescent="0.25">
      <c r="A509">
        <v>4</v>
      </c>
      <c r="B509" t="s">
        <v>56</v>
      </c>
      <c r="C509">
        <v>9681009</v>
      </c>
      <c r="D509" t="s">
        <v>425</v>
      </c>
      <c r="E509" t="s">
        <v>416</v>
      </c>
      <c r="F509" t="s">
        <v>426</v>
      </c>
      <c r="G509">
        <v>1</v>
      </c>
      <c r="H509">
        <v>1</v>
      </c>
      <c r="I509" t="s">
        <v>422</v>
      </c>
      <c r="J509">
        <v>0</v>
      </c>
      <c r="K509" t="s">
        <v>49</v>
      </c>
      <c r="L509" s="1">
        <f>+Tabla__192.168.1.8_POSEIDONSQL_APPFVT_01_tblFillRateFechas[[#This Row],[emb_cantidad]]-Tabla__192.168.1.8_POSEIDONSQL_APPFVT_01_tblFillRateFechas[[#This Row],[dev_cantidad]]</f>
        <v>1</v>
      </c>
      <c r="M509" s="1">
        <f>+IF(Tabla__192.168.1.8_POSEIDONSQL_APPFVT_01_tblFillRateFechas[[#This Row],[Cant_Resultante]]=Tabla__192.168.1.8_POSEIDONSQL_APPFVT_01_tblFillRateFechas[[#This Row],[cant_order]],1,0)</f>
        <v>1</v>
      </c>
      <c r="N5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09" s="1">
        <f>+IF(AND(Tabla__192.168.1.8_POSEIDONSQL_APPFVT_01_tblFillRateFechas[[#This Row],[Valida Cant]]=1,Tabla__192.168.1.8_POSEIDONSQL_APPFVT_01_tblFillRateFechas[[#This Row],[Valida Fec]]=1),1,0)</f>
        <v>1</v>
      </c>
      <c r="P509" s="1">
        <f>+(Tabla__192.168.1.8_POSEIDONSQL_APPFVT_01_tblFillRateFechas[[#This Row],[Cant_Resultante]]/Tabla__192.168.1.8_POSEIDONSQL_APPFVT_01_tblFillRateFechas[[#This Row],[cant_order]])*100</f>
        <v>100</v>
      </c>
      <c r="Q5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09" s="1">
        <f>+IF(Tabla__192.168.1.8_POSEIDONSQL_APPFVT_01_tblFillRateFechas[[#This Row],[cant_order]]&gt;0,1,0)</f>
        <v>1</v>
      </c>
      <c r="V509" s="1">
        <f>+IF(Tabla__192.168.1.8_POSEIDONSQL_APPFVT_01_tblFillRateFechas[[#This Row],[Resultado]]=1,1,0)</f>
        <v>1</v>
      </c>
      <c r="W509" s="1" t="str">
        <f>+Tabla__192.168.1.8_POSEIDONSQL_APPFVT_01_tblFillRateFechas[[#This Row],[con_ocnumero]]&amp;Tabla__192.168.1.8_POSEIDONSQL_APPFVT_01_tblFillRateFechas[[#This Row],[con_codigounico]]</f>
        <v>9681009-</v>
      </c>
      <c r="X5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0" spans="1:24" x14ac:dyDescent="0.25">
      <c r="A510">
        <v>4</v>
      </c>
      <c r="B510" t="s">
        <v>56</v>
      </c>
      <c r="C510">
        <v>9681826</v>
      </c>
      <c r="D510" t="s">
        <v>425</v>
      </c>
      <c r="E510" t="s">
        <v>420</v>
      </c>
      <c r="F510" t="s">
        <v>426</v>
      </c>
      <c r="G510">
        <v>1</v>
      </c>
      <c r="H510">
        <v>1</v>
      </c>
      <c r="I510" t="s">
        <v>420</v>
      </c>
      <c r="J510">
        <v>0</v>
      </c>
      <c r="K510" t="s">
        <v>49</v>
      </c>
      <c r="L510" s="1">
        <f>+Tabla__192.168.1.8_POSEIDONSQL_APPFVT_01_tblFillRateFechas[[#This Row],[emb_cantidad]]-Tabla__192.168.1.8_POSEIDONSQL_APPFVT_01_tblFillRateFechas[[#This Row],[dev_cantidad]]</f>
        <v>1</v>
      </c>
      <c r="M510" s="1">
        <f>+IF(Tabla__192.168.1.8_POSEIDONSQL_APPFVT_01_tblFillRateFechas[[#This Row],[Cant_Resultante]]=Tabla__192.168.1.8_POSEIDONSQL_APPFVT_01_tblFillRateFechas[[#This Row],[cant_order]],1,0)</f>
        <v>1</v>
      </c>
      <c r="N5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0" s="1">
        <f>+IF(AND(Tabla__192.168.1.8_POSEIDONSQL_APPFVT_01_tblFillRateFechas[[#This Row],[Valida Cant]]=1,Tabla__192.168.1.8_POSEIDONSQL_APPFVT_01_tblFillRateFechas[[#This Row],[Valida Fec]]=1),1,0)</f>
        <v>1</v>
      </c>
      <c r="P510" s="1">
        <f>+(Tabla__192.168.1.8_POSEIDONSQL_APPFVT_01_tblFillRateFechas[[#This Row],[Cant_Resultante]]/Tabla__192.168.1.8_POSEIDONSQL_APPFVT_01_tblFillRateFechas[[#This Row],[cant_order]])*100</f>
        <v>100</v>
      </c>
      <c r="Q5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0" s="1">
        <f>+IF(Tabla__192.168.1.8_POSEIDONSQL_APPFVT_01_tblFillRateFechas[[#This Row],[cant_order]]&gt;0,1,0)</f>
        <v>1</v>
      </c>
      <c r="V510" s="1">
        <f>+IF(Tabla__192.168.1.8_POSEIDONSQL_APPFVT_01_tblFillRateFechas[[#This Row],[Resultado]]=1,1,0)</f>
        <v>1</v>
      </c>
      <c r="W510" s="1" t="str">
        <f>+Tabla__192.168.1.8_POSEIDONSQL_APPFVT_01_tblFillRateFechas[[#This Row],[con_ocnumero]]&amp;Tabla__192.168.1.8_POSEIDONSQL_APPFVT_01_tblFillRateFechas[[#This Row],[con_codigounico]]</f>
        <v>9681826-</v>
      </c>
      <c r="X5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1" spans="1:24" x14ac:dyDescent="0.25">
      <c r="A511">
        <v>4</v>
      </c>
      <c r="B511" t="s">
        <v>56</v>
      </c>
      <c r="C511">
        <v>9682546</v>
      </c>
      <c r="D511" t="s">
        <v>426</v>
      </c>
      <c r="E511" t="s">
        <v>422</v>
      </c>
      <c r="F511" t="s">
        <v>415</v>
      </c>
      <c r="G511">
        <v>1</v>
      </c>
      <c r="H511">
        <v>1</v>
      </c>
      <c r="I511" t="s">
        <v>422</v>
      </c>
      <c r="J511">
        <v>0</v>
      </c>
      <c r="K511" t="s">
        <v>49</v>
      </c>
      <c r="L511" s="1">
        <f>+Tabla__192.168.1.8_POSEIDONSQL_APPFVT_01_tblFillRateFechas[[#This Row],[emb_cantidad]]-Tabla__192.168.1.8_POSEIDONSQL_APPFVT_01_tblFillRateFechas[[#This Row],[dev_cantidad]]</f>
        <v>1</v>
      </c>
      <c r="M511" s="1">
        <f>+IF(Tabla__192.168.1.8_POSEIDONSQL_APPFVT_01_tblFillRateFechas[[#This Row],[Cant_Resultante]]=Tabla__192.168.1.8_POSEIDONSQL_APPFVT_01_tblFillRateFechas[[#This Row],[cant_order]],1,0)</f>
        <v>1</v>
      </c>
      <c r="N5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1" s="1">
        <f>+IF(AND(Tabla__192.168.1.8_POSEIDONSQL_APPFVT_01_tblFillRateFechas[[#This Row],[Valida Cant]]=1,Tabla__192.168.1.8_POSEIDONSQL_APPFVT_01_tblFillRateFechas[[#This Row],[Valida Fec]]=1),1,0)</f>
        <v>1</v>
      </c>
      <c r="P511" s="1">
        <f>+(Tabla__192.168.1.8_POSEIDONSQL_APPFVT_01_tblFillRateFechas[[#This Row],[Cant_Resultante]]/Tabla__192.168.1.8_POSEIDONSQL_APPFVT_01_tblFillRateFechas[[#This Row],[cant_order]])*100</f>
        <v>100</v>
      </c>
      <c r="Q5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1" s="1">
        <f>+IF(Tabla__192.168.1.8_POSEIDONSQL_APPFVT_01_tblFillRateFechas[[#This Row],[cant_order]]&gt;0,1,0)</f>
        <v>1</v>
      </c>
      <c r="V511" s="1">
        <f>+IF(Tabla__192.168.1.8_POSEIDONSQL_APPFVT_01_tblFillRateFechas[[#This Row],[Resultado]]=1,1,0)</f>
        <v>1</v>
      </c>
      <c r="W511" s="1" t="str">
        <f>+Tabla__192.168.1.8_POSEIDONSQL_APPFVT_01_tblFillRateFechas[[#This Row],[con_ocnumero]]&amp;Tabla__192.168.1.8_POSEIDONSQL_APPFVT_01_tblFillRateFechas[[#This Row],[con_codigounico]]</f>
        <v>9682546-</v>
      </c>
      <c r="X5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2" spans="1:24" x14ac:dyDescent="0.25">
      <c r="A512">
        <v>4</v>
      </c>
      <c r="B512" t="s">
        <v>56</v>
      </c>
      <c r="C512">
        <v>9682598</v>
      </c>
      <c r="D512" t="s">
        <v>426</v>
      </c>
      <c r="E512" t="s">
        <v>420</v>
      </c>
      <c r="F512" t="s">
        <v>415</v>
      </c>
      <c r="G512">
        <v>1</v>
      </c>
      <c r="H512">
        <v>0</v>
      </c>
      <c r="I512" t="s">
        <v>12</v>
      </c>
      <c r="J512">
        <v>0</v>
      </c>
      <c r="K512" t="s">
        <v>49</v>
      </c>
      <c r="L512" s="1">
        <f>+Tabla__192.168.1.8_POSEIDONSQL_APPFVT_01_tblFillRateFechas[[#This Row],[emb_cantidad]]-Tabla__192.168.1.8_POSEIDONSQL_APPFVT_01_tblFillRateFechas[[#This Row],[dev_cantidad]]</f>
        <v>0</v>
      </c>
      <c r="M512" s="1">
        <f>+IF(Tabla__192.168.1.8_POSEIDONSQL_APPFVT_01_tblFillRateFechas[[#This Row],[Cant_Resultante]]=Tabla__192.168.1.8_POSEIDONSQL_APPFVT_01_tblFillRateFechas[[#This Row],[cant_order]],1,0)</f>
        <v>0</v>
      </c>
      <c r="N5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12" s="1">
        <f>+IF(AND(Tabla__192.168.1.8_POSEIDONSQL_APPFVT_01_tblFillRateFechas[[#This Row],[Valida Cant]]=1,Tabla__192.168.1.8_POSEIDONSQL_APPFVT_01_tblFillRateFechas[[#This Row],[Valida Fec]]=1),1,0)</f>
        <v>0</v>
      </c>
      <c r="P512" s="1">
        <f>+(Tabla__192.168.1.8_POSEIDONSQL_APPFVT_01_tblFillRateFechas[[#This Row],[Cant_Resultante]]/Tabla__192.168.1.8_POSEIDONSQL_APPFVT_01_tblFillRateFechas[[#This Row],[cant_order]])*100</f>
        <v>0</v>
      </c>
      <c r="Q5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512" s="1">
        <f>+IF(Tabla__192.168.1.8_POSEIDONSQL_APPFVT_01_tblFillRateFechas[[#This Row],[cant_order]]&gt;0,1,0)</f>
        <v>1</v>
      </c>
      <c r="V512" s="1">
        <f>+IF(Tabla__192.168.1.8_POSEIDONSQL_APPFVT_01_tblFillRateFechas[[#This Row],[Resultado]]=1,1,0)</f>
        <v>0</v>
      </c>
      <c r="W512" s="1" t="str">
        <f>+Tabla__192.168.1.8_POSEIDONSQL_APPFVT_01_tblFillRateFechas[[#This Row],[con_ocnumero]]&amp;Tabla__192.168.1.8_POSEIDONSQL_APPFVT_01_tblFillRateFechas[[#This Row],[con_codigounico]]</f>
        <v>9682598-</v>
      </c>
      <c r="X5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13" spans="1:24" x14ac:dyDescent="0.25">
      <c r="A513">
        <v>4</v>
      </c>
      <c r="B513" t="s">
        <v>56</v>
      </c>
      <c r="C513">
        <v>9685237</v>
      </c>
      <c r="D513" t="s">
        <v>430</v>
      </c>
      <c r="E513" t="s">
        <v>420</v>
      </c>
      <c r="F513" t="s">
        <v>415</v>
      </c>
      <c r="G513">
        <v>1</v>
      </c>
      <c r="H513">
        <v>1</v>
      </c>
      <c r="I513" t="s">
        <v>420</v>
      </c>
      <c r="J513">
        <v>0</v>
      </c>
      <c r="K513" t="s">
        <v>49</v>
      </c>
      <c r="L513" s="1">
        <f>+Tabla__192.168.1.8_POSEIDONSQL_APPFVT_01_tblFillRateFechas[[#This Row],[emb_cantidad]]-Tabla__192.168.1.8_POSEIDONSQL_APPFVT_01_tblFillRateFechas[[#This Row],[dev_cantidad]]</f>
        <v>1</v>
      </c>
      <c r="M513" s="1">
        <f>+IF(Tabla__192.168.1.8_POSEIDONSQL_APPFVT_01_tblFillRateFechas[[#This Row],[Cant_Resultante]]=Tabla__192.168.1.8_POSEIDONSQL_APPFVT_01_tblFillRateFechas[[#This Row],[cant_order]],1,0)</f>
        <v>1</v>
      </c>
      <c r="N5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3" s="1">
        <f>+IF(AND(Tabla__192.168.1.8_POSEIDONSQL_APPFVT_01_tblFillRateFechas[[#This Row],[Valida Cant]]=1,Tabla__192.168.1.8_POSEIDONSQL_APPFVT_01_tblFillRateFechas[[#This Row],[Valida Fec]]=1),1,0)</f>
        <v>1</v>
      </c>
      <c r="P513" s="1">
        <f>+(Tabla__192.168.1.8_POSEIDONSQL_APPFVT_01_tblFillRateFechas[[#This Row],[Cant_Resultante]]/Tabla__192.168.1.8_POSEIDONSQL_APPFVT_01_tblFillRateFechas[[#This Row],[cant_order]])*100</f>
        <v>100</v>
      </c>
      <c r="Q5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3" s="1">
        <f>+IF(Tabla__192.168.1.8_POSEIDONSQL_APPFVT_01_tblFillRateFechas[[#This Row],[cant_order]]&gt;0,1,0)</f>
        <v>1</v>
      </c>
      <c r="V513" s="1">
        <f>+IF(Tabla__192.168.1.8_POSEIDONSQL_APPFVT_01_tblFillRateFechas[[#This Row],[Resultado]]=1,1,0)</f>
        <v>1</v>
      </c>
      <c r="W513" s="1" t="str">
        <f>+Tabla__192.168.1.8_POSEIDONSQL_APPFVT_01_tblFillRateFechas[[#This Row],[con_ocnumero]]&amp;Tabla__192.168.1.8_POSEIDONSQL_APPFVT_01_tblFillRateFechas[[#This Row],[con_codigounico]]</f>
        <v>9685237-</v>
      </c>
      <c r="X5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4" spans="1:24" x14ac:dyDescent="0.25">
      <c r="A514">
        <v>4</v>
      </c>
      <c r="B514" t="s">
        <v>56</v>
      </c>
      <c r="C514">
        <v>9685449</v>
      </c>
      <c r="D514" t="s">
        <v>430</v>
      </c>
      <c r="E514" t="s">
        <v>420</v>
      </c>
      <c r="F514" t="s">
        <v>415</v>
      </c>
      <c r="G514">
        <v>1</v>
      </c>
      <c r="H514">
        <v>1</v>
      </c>
      <c r="I514" t="s">
        <v>420</v>
      </c>
      <c r="J514">
        <v>0</v>
      </c>
      <c r="K514" t="s">
        <v>49</v>
      </c>
      <c r="L514" s="1">
        <f>+Tabla__192.168.1.8_POSEIDONSQL_APPFVT_01_tblFillRateFechas[[#This Row],[emb_cantidad]]-Tabla__192.168.1.8_POSEIDONSQL_APPFVT_01_tblFillRateFechas[[#This Row],[dev_cantidad]]</f>
        <v>1</v>
      </c>
      <c r="M514" s="1">
        <f>+IF(Tabla__192.168.1.8_POSEIDONSQL_APPFVT_01_tblFillRateFechas[[#This Row],[Cant_Resultante]]=Tabla__192.168.1.8_POSEIDONSQL_APPFVT_01_tblFillRateFechas[[#This Row],[cant_order]],1,0)</f>
        <v>1</v>
      </c>
      <c r="N5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4" s="1">
        <f>+IF(AND(Tabla__192.168.1.8_POSEIDONSQL_APPFVT_01_tblFillRateFechas[[#This Row],[Valida Cant]]=1,Tabla__192.168.1.8_POSEIDONSQL_APPFVT_01_tblFillRateFechas[[#This Row],[Valida Fec]]=1),1,0)</f>
        <v>1</v>
      </c>
      <c r="P514" s="1">
        <f>+(Tabla__192.168.1.8_POSEIDONSQL_APPFVT_01_tblFillRateFechas[[#This Row],[Cant_Resultante]]/Tabla__192.168.1.8_POSEIDONSQL_APPFVT_01_tblFillRateFechas[[#This Row],[cant_order]])*100</f>
        <v>100</v>
      </c>
      <c r="Q5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4" s="1">
        <f>+IF(Tabla__192.168.1.8_POSEIDONSQL_APPFVT_01_tblFillRateFechas[[#This Row],[cant_order]]&gt;0,1,0)</f>
        <v>1</v>
      </c>
      <c r="V514" s="1">
        <f>+IF(Tabla__192.168.1.8_POSEIDONSQL_APPFVT_01_tblFillRateFechas[[#This Row],[Resultado]]=1,1,0)</f>
        <v>1</v>
      </c>
      <c r="W514" s="1" t="str">
        <f>+Tabla__192.168.1.8_POSEIDONSQL_APPFVT_01_tblFillRateFechas[[#This Row],[con_ocnumero]]&amp;Tabla__192.168.1.8_POSEIDONSQL_APPFVT_01_tblFillRateFechas[[#This Row],[con_codigounico]]</f>
        <v>9685449-</v>
      </c>
      <c r="X5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5" spans="1:24" x14ac:dyDescent="0.25">
      <c r="A515">
        <v>4</v>
      </c>
      <c r="B515" t="s">
        <v>56</v>
      </c>
      <c r="C515">
        <v>9685926</v>
      </c>
      <c r="D515" t="s">
        <v>430</v>
      </c>
      <c r="E515" t="s">
        <v>420</v>
      </c>
      <c r="F515" t="s">
        <v>415</v>
      </c>
      <c r="G515">
        <v>1</v>
      </c>
      <c r="H515">
        <v>1</v>
      </c>
      <c r="I515" t="s">
        <v>420</v>
      </c>
      <c r="J515">
        <v>0</v>
      </c>
      <c r="K515" t="s">
        <v>49</v>
      </c>
      <c r="L515" s="1">
        <f>+Tabla__192.168.1.8_POSEIDONSQL_APPFVT_01_tblFillRateFechas[[#This Row],[emb_cantidad]]-Tabla__192.168.1.8_POSEIDONSQL_APPFVT_01_tblFillRateFechas[[#This Row],[dev_cantidad]]</f>
        <v>1</v>
      </c>
      <c r="M515" s="1">
        <f>+IF(Tabla__192.168.1.8_POSEIDONSQL_APPFVT_01_tblFillRateFechas[[#This Row],[Cant_Resultante]]=Tabla__192.168.1.8_POSEIDONSQL_APPFVT_01_tblFillRateFechas[[#This Row],[cant_order]],1,0)</f>
        <v>1</v>
      </c>
      <c r="N5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5" s="1">
        <f>+IF(AND(Tabla__192.168.1.8_POSEIDONSQL_APPFVT_01_tblFillRateFechas[[#This Row],[Valida Cant]]=1,Tabla__192.168.1.8_POSEIDONSQL_APPFVT_01_tblFillRateFechas[[#This Row],[Valida Fec]]=1),1,0)</f>
        <v>1</v>
      </c>
      <c r="P515" s="1">
        <f>+(Tabla__192.168.1.8_POSEIDONSQL_APPFVT_01_tblFillRateFechas[[#This Row],[Cant_Resultante]]/Tabla__192.168.1.8_POSEIDONSQL_APPFVT_01_tblFillRateFechas[[#This Row],[cant_order]])*100</f>
        <v>100</v>
      </c>
      <c r="Q5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5" s="1">
        <f>+IF(Tabla__192.168.1.8_POSEIDONSQL_APPFVT_01_tblFillRateFechas[[#This Row],[cant_order]]&gt;0,1,0)</f>
        <v>1</v>
      </c>
      <c r="V515" s="1">
        <f>+IF(Tabla__192.168.1.8_POSEIDONSQL_APPFVT_01_tblFillRateFechas[[#This Row],[Resultado]]=1,1,0)</f>
        <v>1</v>
      </c>
      <c r="W515" s="1" t="str">
        <f>+Tabla__192.168.1.8_POSEIDONSQL_APPFVT_01_tblFillRateFechas[[#This Row],[con_ocnumero]]&amp;Tabla__192.168.1.8_POSEIDONSQL_APPFVT_01_tblFillRateFechas[[#This Row],[con_codigounico]]</f>
        <v>9685926-</v>
      </c>
      <c r="X5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6" spans="1:24" x14ac:dyDescent="0.25">
      <c r="A516">
        <v>4</v>
      </c>
      <c r="B516" t="s">
        <v>56</v>
      </c>
      <c r="C516">
        <v>9686854</v>
      </c>
      <c r="D516" t="s">
        <v>414</v>
      </c>
      <c r="E516" t="s">
        <v>420</v>
      </c>
      <c r="F516" t="s">
        <v>415</v>
      </c>
      <c r="G516">
        <v>2</v>
      </c>
      <c r="H516">
        <v>2</v>
      </c>
      <c r="I516" t="s">
        <v>420</v>
      </c>
      <c r="J516">
        <v>0</v>
      </c>
      <c r="K516" t="s">
        <v>49</v>
      </c>
      <c r="L516" s="1">
        <f>+Tabla__192.168.1.8_POSEIDONSQL_APPFVT_01_tblFillRateFechas[[#This Row],[emb_cantidad]]-Tabla__192.168.1.8_POSEIDONSQL_APPFVT_01_tblFillRateFechas[[#This Row],[dev_cantidad]]</f>
        <v>2</v>
      </c>
      <c r="M516" s="1">
        <f>+IF(Tabla__192.168.1.8_POSEIDONSQL_APPFVT_01_tblFillRateFechas[[#This Row],[Cant_Resultante]]=Tabla__192.168.1.8_POSEIDONSQL_APPFVT_01_tblFillRateFechas[[#This Row],[cant_order]],1,0)</f>
        <v>1</v>
      </c>
      <c r="N5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6" s="1">
        <f>+IF(AND(Tabla__192.168.1.8_POSEIDONSQL_APPFVT_01_tblFillRateFechas[[#This Row],[Valida Cant]]=1,Tabla__192.168.1.8_POSEIDONSQL_APPFVT_01_tblFillRateFechas[[#This Row],[Valida Fec]]=1),1,0)</f>
        <v>1</v>
      </c>
      <c r="P516" s="1">
        <f>+(Tabla__192.168.1.8_POSEIDONSQL_APPFVT_01_tblFillRateFechas[[#This Row],[Cant_Resultante]]/Tabla__192.168.1.8_POSEIDONSQL_APPFVT_01_tblFillRateFechas[[#This Row],[cant_order]])*100</f>
        <v>100</v>
      </c>
      <c r="Q5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5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5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6" s="1">
        <f>+IF(Tabla__192.168.1.8_POSEIDONSQL_APPFVT_01_tblFillRateFechas[[#This Row],[cant_order]]&gt;0,1,0)</f>
        <v>1</v>
      </c>
      <c r="V516" s="1">
        <f>+IF(Tabla__192.168.1.8_POSEIDONSQL_APPFVT_01_tblFillRateFechas[[#This Row],[Resultado]]=1,1,0)</f>
        <v>1</v>
      </c>
      <c r="W516" s="1" t="str">
        <f>+Tabla__192.168.1.8_POSEIDONSQL_APPFVT_01_tblFillRateFechas[[#This Row],[con_ocnumero]]&amp;Tabla__192.168.1.8_POSEIDONSQL_APPFVT_01_tblFillRateFechas[[#This Row],[con_codigounico]]</f>
        <v>9686854-</v>
      </c>
      <c r="X5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517" spans="1:24" x14ac:dyDescent="0.25">
      <c r="A517">
        <v>4</v>
      </c>
      <c r="B517" t="s">
        <v>56</v>
      </c>
      <c r="C517">
        <v>9687404</v>
      </c>
      <c r="D517" t="s">
        <v>414</v>
      </c>
      <c r="E517" t="s">
        <v>420</v>
      </c>
      <c r="F517" t="s">
        <v>415</v>
      </c>
      <c r="G517">
        <v>1</v>
      </c>
      <c r="H517">
        <v>1</v>
      </c>
      <c r="I517" t="s">
        <v>420</v>
      </c>
      <c r="J517">
        <v>0</v>
      </c>
      <c r="K517" t="s">
        <v>49</v>
      </c>
      <c r="L517" s="1">
        <f>+Tabla__192.168.1.8_POSEIDONSQL_APPFVT_01_tblFillRateFechas[[#This Row],[emb_cantidad]]-Tabla__192.168.1.8_POSEIDONSQL_APPFVT_01_tblFillRateFechas[[#This Row],[dev_cantidad]]</f>
        <v>1</v>
      </c>
      <c r="M517" s="1">
        <f>+IF(Tabla__192.168.1.8_POSEIDONSQL_APPFVT_01_tblFillRateFechas[[#This Row],[Cant_Resultante]]=Tabla__192.168.1.8_POSEIDONSQL_APPFVT_01_tblFillRateFechas[[#This Row],[cant_order]],1,0)</f>
        <v>1</v>
      </c>
      <c r="N5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7" s="1">
        <f>+IF(AND(Tabla__192.168.1.8_POSEIDONSQL_APPFVT_01_tblFillRateFechas[[#This Row],[Valida Cant]]=1,Tabla__192.168.1.8_POSEIDONSQL_APPFVT_01_tblFillRateFechas[[#This Row],[Valida Fec]]=1),1,0)</f>
        <v>1</v>
      </c>
      <c r="P517" s="1">
        <f>+(Tabla__192.168.1.8_POSEIDONSQL_APPFVT_01_tblFillRateFechas[[#This Row],[Cant_Resultante]]/Tabla__192.168.1.8_POSEIDONSQL_APPFVT_01_tblFillRateFechas[[#This Row],[cant_order]])*100</f>
        <v>100</v>
      </c>
      <c r="Q5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7" s="1">
        <f>+IF(Tabla__192.168.1.8_POSEIDONSQL_APPFVT_01_tblFillRateFechas[[#This Row],[cant_order]]&gt;0,1,0)</f>
        <v>1</v>
      </c>
      <c r="V517" s="1">
        <f>+IF(Tabla__192.168.1.8_POSEIDONSQL_APPFVT_01_tblFillRateFechas[[#This Row],[Resultado]]=1,1,0)</f>
        <v>1</v>
      </c>
      <c r="W517" s="1" t="str">
        <f>+Tabla__192.168.1.8_POSEIDONSQL_APPFVT_01_tblFillRateFechas[[#This Row],[con_ocnumero]]&amp;Tabla__192.168.1.8_POSEIDONSQL_APPFVT_01_tblFillRateFechas[[#This Row],[con_codigounico]]</f>
        <v>9687404-</v>
      </c>
      <c r="X5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8" spans="1:24" x14ac:dyDescent="0.25">
      <c r="A518">
        <v>4</v>
      </c>
      <c r="B518" t="s">
        <v>56</v>
      </c>
      <c r="C518">
        <v>9688057</v>
      </c>
      <c r="D518" t="s">
        <v>1984</v>
      </c>
      <c r="E518" t="s">
        <v>420</v>
      </c>
      <c r="F518" t="s">
        <v>415</v>
      </c>
      <c r="G518">
        <v>1</v>
      </c>
      <c r="H518">
        <v>1</v>
      </c>
      <c r="I518" t="s">
        <v>420</v>
      </c>
      <c r="J518">
        <v>0</v>
      </c>
      <c r="K518" t="s">
        <v>49</v>
      </c>
      <c r="L518" s="1">
        <f>+Tabla__192.168.1.8_POSEIDONSQL_APPFVT_01_tblFillRateFechas[[#This Row],[emb_cantidad]]-Tabla__192.168.1.8_POSEIDONSQL_APPFVT_01_tblFillRateFechas[[#This Row],[dev_cantidad]]</f>
        <v>1</v>
      </c>
      <c r="M518" s="1">
        <f>+IF(Tabla__192.168.1.8_POSEIDONSQL_APPFVT_01_tblFillRateFechas[[#This Row],[Cant_Resultante]]=Tabla__192.168.1.8_POSEIDONSQL_APPFVT_01_tblFillRateFechas[[#This Row],[cant_order]],1,0)</f>
        <v>1</v>
      </c>
      <c r="N5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8" s="1">
        <f>+IF(AND(Tabla__192.168.1.8_POSEIDONSQL_APPFVT_01_tblFillRateFechas[[#This Row],[Valida Cant]]=1,Tabla__192.168.1.8_POSEIDONSQL_APPFVT_01_tblFillRateFechas[[#This Row],[Valida Fec]]=1),1,0)</f>
        <v>1</v>
      </c>
      <c r="P518" s="1">
        <f>+(Tabla__192.168.1.8_POSEIDONSQL_APPFVT_01_tblFillRateFechas[[#This Row],[Cant_Resultante]]/Tabla__192.168.1.8_POSEIDONSQL_APPFVT_01_tblFillRateFechas[[#This Row],[cant_order]])*100</f>
        <v>100</v>
      </c>
      <c r="Q5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8" s="1">
        <f>+IF(Tabla__192.168.1.8_POSEIDONSQL_APPFVT_01_tblFillRateFechas[[#This Row],[cant_order]]&gt;0,1,0)</f>
        <v>1</v>
      </c>
      <c r="V518" s="1">
        <f>+IF(Tabla__192.168.1.8_POSEIDONSQL_APPFVT_01_tblFillRateFechas[[#This Row],[Resultado]]=1,1,0)</f>
        <v>1</v>
      </c>
      <c r="W518" s="1" t="str">
        <f>+Tabla__192.168.1.8_POSEIDONSQL_APPFVT_01_tblFillRateFechas[[#This Row],[con_ocnumero]]&amp;Tabla__192.168.1.8_POSEIDONSQL_APPFVT_01_tblFillRateFechas[[#This Row],[con_codigounico]]</f>
        <v>9688057-</v>
      </c>
      <c r="X5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19" spans="1:24" x14ac:dyDescent="0.25">
      <c r="A519">
        <v>4</v>
      </c>
      <c r="B519" t="s">
        <v>56</v>
      </c>
      <c r="C519">
        <v>9688354</v>
      </c>
      <c r="D519" t="s">
        <v>1984</v>
      </c>
      <c r="E519" t="s">
        <v>420</v>
      </c>
      <c r="F519" t="s">
        <v>415</v>
      </c>
      <c r="G519">
        <v>1</v>
      </c>
      <c r="H519">
        <v>1</v>
      </c>
      <c r="I519" t="s">
        <v>420</v>
      </c>
      <c r="J519">
        <v>0</v>
      </c>
      <c r="K519" t="s">
        <v>49</v>
      </c>
      <c r="L519" s="1">
        <f>+Tabla__192.168.1.8_POSEIDONSQL_APPFVT_01_tblFillRateFechas[[#This Row],[emb_cantidad]]-Tabla__192.168.1.8_POSEIDONSQL_APPFVT_01_tblFillRateFechas[[#This Row],[dev_cantidad]]</f>
        <v>1</v>
      </c>
      <c r="M519" s="1">
        <f>+IF(Tabla__192.168.1.8_POSEIDONSQL_APPFVT_01_tblFillRateFechas[[#This Row],[Cant_Resultante]]=Tabla__192.168.1.8_POSEIDONSQL_APPFVT_01_tblFillRateFechas[[#This Row],[cant_order]],1,0)</f>
        <v>1</v>
      </c>
      <c r="N5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19" s="1">
        <f>+IF(AND(Tabla__192.168.1.8_POSEIDONSQL_APPFVT_01_tblFillRateFechas[[#This Row],[Valida Cant]]=1,Tabla__192.168.1.8_POSEIDONSQL_APPFVT_01_tblFillRateFechas[[#This Row],[Valida Fec]]=1),1,0)</f>
        <v>1</v>
      </c>
      <c r="P519" s="1">
        <f>+(Tabla__192.168.1.8_POSEIDONSQL_APPFVT_01_tblFillRateFechas[[#This Row],[Cant_Resultante]]/Tabla__192.168.1.8_POSEIDONSQL_APPFVT_01_tblFillRateFechas[[#This Row],[cant_order]])*100</f>
        <v>100</v>
      </c>
      <c r="Q5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19" s="1">
        <f>+IF(Tabla__192.168.1.8_POSEIDONSQL_APPFVT_01_tblFillRateFechas[[#This Row],[cant_order]]&gt;0,1,0)</f>
        <v>1</v>
      </c>
      <c r="V519" s="1">
        <f>+IF(Tabla__192.168.1.8_POSEIDONSQL_APPFVT_01_tblFillRateFechas[[#This Row],[Resultado]]=1,1,0)</f>
        <v>1</v>
      </c>
      <c r="W519" s="1" t="str">
        <f>+Tabla__192.168.1.8_POSEIDONSQL_APPFVT_01_tblFillRateFechas[[#This Row],[con_ocnumero]]&amp;Tabla__192.168.1.8_POSEIDONSQL_APPFVT_01_tblFillRateFechas[[#This Row],[con_codigounico]]</f>
        <v>9688354-</v>
      </c>
      <c r="X5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0" spans="1:24" x14ac:dyDescent="0.25">
      <c r="A520">
        <v>4</v>
      </c>
      <c r="B520" t="s">
        <v>56</v>
      </c>
      <c r="C520">
        <v>9688707</v>
      </c>
      <c r="D520" t="s">
        <v>1985</v>
      </c>
      <c r="E520" t="s">
        <v>420</v>
      </c>
      <c r="F520" t="s">
        <v>415</v>
      </c>
      <c r="G520">
        <v>1</v>
      </c>
      <c r="H520">
        <v>1</v>
      </c>
      <c r="I520" t="s">
        <v>420</v>
      </c>
      <c r="J520">
        <v>0</v>
      </c>
      <c r="K520" t="s">
        <v>49</v>
      </c>
      <c r="L520" s="1">
        <f>+Tabla__192.168.1.8_POSEIDONSQL_APPFVT_01_tblFillRateFechas[[#This Row],[emb_cantidad]]-Tabla__192.168.1.8_POSEIDONSQL_APPFVT_01_tblFillRateFechas[[#This Row],[dev_cantidad]]</f>
        <v>1</v>
      </c>
      <c r="M520" s="1">
        <f>+IF(Tabla__192.168.1.8_POSEIDONSQL_APPFVT_01_tblFillRateFechas[[#This Row],[Cant_Resultante]]=Tabla__192.168.1.8_POSEIDONSQL_APPFVT_01_tblFillRateFechas[[#This Row],[cant_order]],1,0)</f>
        <v>1</v>
      </c>
      <c r="N5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0" s="1">
        <f>+IF(AND(Tabla__192.168.1.8_POSEIDONSQL_APPFVT_01_tblFillRateFechas[[#This Row],[Valida Cant]]=1,Tabla__192.168.1.8_POSEIDONSQL_APPFVT_01_tblFillRateFechas[[#This Row],[Valida Fec]]=1),1,0)</f>
        <v>1</v>
      </c>
      <c r="P520" s="1">
        <f>+(Tabla__192.168.1.8_POSEIDONSQL_APPFVT_01_tblFillRateFechas[[#This Row],[Cant_Resultante]]/Tabla__192.168.1.8_POSEIDONSQL_APPFVT_01_tblFillRateFechas[[#This Row],[cant_order]])*100</f>
        <v>100</v>
      </c>
      <c r="Q5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0" s="1">
        <f>+IF(Tabla__192.168.1.8_POSEIDONSQL_APPFVT_01_tblFillRateFechas[[#This Row],[cant_order]]&gt;0,1,0)</f>
        <v>1</v>
      </c>
      <c r="V520" s="1">
        <f>+IF(Tabla__192.168.1.8_POSEIDONSQL_APPFVT_01_tblFillRateFechas[[#This Row],[Resultado]]=1,1,0)</f>
        <v>1</v>
      </c>
      <c r="W520" s="1" t="str">
        <f>+Tabla__192.168.1.8_POSEIDONSQL_APPFVT_01_tblFillRateFechas[[#This Row],[con_ocnumero]]&amp;Tabla__192.168.1.8_POSEIDONSQL_APPFVT_01_tblFillRateFechas[[#This Row],[con_codigounico]]</f>
        <v>9688707-</v>
      </c>
      <c r="X5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1" spans="1:24" x14ac:dyDescent="0.25">
      <c r="A521">
        <v>4</v>
      </c>
      <c r="B521" t="s">
        <v>56</v>
      </c>
      <c r="C521">
        <v>9688846</v>
      </c>
      <c r="D521" t="s">
        <v>1985</v>
      </c>
      <c r="E521" t="s">
        <v>420</v>
      </c>
      <c r="F521" t="s">
        <v>415</v>
      </c>
      <c r="G521">
        <v>1</v>
      </c>
      <c r="H521">
        <v>1</v>
      </c>
      <c r="I521" t="s">
        <v>420</v>
      </c>
      <c r="J521">
        <v>0</v>
      </c>
      <c r="K521" t="s">
        <v>49</v>
      </c>
      <c r="L521" s="1">
        <f>+Tabla__192.168.1.8_POSEIDONSQL_APPFVT_01_tblFillRateFechas[[#This Row],[emb_cantidad]]-Tabla__192.168.1.8_POSEIDONSQL_APPFVT_01_tblFillRateFechas[[#This Row],[dev_cantidad]]</f>
        <v>1</v>
      </c>
      <c r="M521" s="1">
        <f>+IF(Tabla__192.168.1.8_POSEIDONSQL_APPFVT_01_tblFillRateFechas[[#This Row],[Cant_Resultante]]=Tabla__192.168.1.8_POSEIDONSQL_APPFVT_01_tblFillRateFechas[[#This Row],[cant_order]],1,0)</f>
        <v>1</v>
      </c>
      <c r="N5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1" s="1">
        <f>+IF(AND(Tabla__192.168.1.8_POSEIDONSQL_APPFVT_01_tblFillRateFechas[[#This Row],[Valida Cant]]=1,Tabla__192.168.1.8_POSEIDONSQL_APPFVT_01_tblFillRateFechas[[#This Row],[Valida Fec]]=1),1,0)</f>
        <v>1</v>
      </c>
      <c r="P521" s="1">
        <f>+(Tabla__192.168.1.8_POSEIDONSQL_APPFVT_01_tblFillRateFechas[[#This Row],[Cant_Resultante]]/Tabla__192.168.1.8_POSEIDONSQL_APPFVT_01_tblFillRateFechas[[#This Row],[cant_order]])*100</f>
        <v>100</v>
      </c>
      <c r="Q5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1" s="1">
        <f>+IF(Tabla__192.168.1.8_POSEIDONSQL_APPFVT_01_tblFillRateFechas[[#This Row],[cant_order]]&gt;0,1,0)</f>
        <v>1</v>
      </c>
      <c r="V521" s="1">
        <f>+IF(Tabla__192.168.1.8_POSEIDONSQL_APPFVT_01_tblFillRateFechas[[#This Row],[Resultado]]=1,1,0)</f>
        <v>1</v>
      </c>
      <c r="W521" s="1" t="str">
        <f>+Tabla__192.168.1.8_POSEIDONSQL_APPFVT_01_tblFillRateFechas[[#This Row],[con_ocnumero]]&amp;Tabla__192.168.1.8_POSEIDONSQL_APPFVT_01_tblFillRateFechas[[#This Row],[con_codigounico]]</f>
        <v>9688846-</v>
      </c>
      <c r="X5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2" spans="1:24" x14ac:dyDescent="0.25">
      <c r="A522">
        <v>4</v>
      </c>
      <c r="B522" t="s">
        <v>56</v>
      </c>
      <c r="C522">
        <v>9688982</v>
      </c>
      <c r="D522" t="s">
        <v>1985</v>
      </c>
      <c r="E522" t="s">
        <v>420</v>
      </c>
      <c r="F522" t="s">
        <v>415</v>
      </c>
      <c r="G522">
        <v>1</v>
      </c>
      <c r="H522">
        <v>1</v>
      </c>
      <c r="I522" t="s">
        <v>420</v>
      </c>
      <c r="J522">
        <v>0</v>
      </c>
      <c r="K522" t="s">
        <v>49</v>
      </c>
      <c r="L522" s="1">
        <f>+Tabla__192.168.1.8_POSEIDONSQL_APPFVT_01_tblFillRateFechas[[#This Row],[emb_cantidad]]-Tabla__192.168.1.8_POSEIDONSQL_APPFVT_01_tblFillRateFechas[[#This Row],[dev_cantidad]]</f>
        <v>1</v>
      </c>
      <c r="M522" s="1">
        <f>+IF(Tabla__192.168.1.8_POSEIDONSQL_APPFVT_01_tblFillRateFechas[[#This Row],[Cant_Resultante]]=Tabla__192.168.1.8_POSEIDONSQL_APPFVT_01_tblFillRateFechas[[#This Row],[cant_order]],1,0)</f>
        <v>1</v>
      </c>
      <c r="N5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2" s="1">
        <f>+IF(AND(Tabla__192.168.1.8_POSEIDONSQL_APPFVT_01_tblFillRateFechas[[#This Row],[Valida Cant]]=1,Tabla__192.168.1.8_POSEIDONSQL_APPFVT_01_tblFillRateFechas[[#This Row],[Valida Fec]]=1),1,0)</f>
        <v>1</v>
      </c>
      <c r="P522" s="1">
        <f>+(Tabla__192.168.1.8_POSEIDONSQL_APPFVT_01_tblFillRateFechas[[#This Row],[Cant_Resultante]]/Tabla__192.168.1.8_POSEIDONSQL_APPFVT_01_tblFillRateFechas[[#This Row],[cant_order]])*100</f>
        <v>100</v>
      </c>
      <c r="Q5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2" s="1">
        <f>+IF(Tabla__192.168.1.8_POSEIDONSQL_APPFVT_01_tblFillRateFechas[[#This Row],[cant_order]]&gt;0,1,0)</f>
        <v>1</v>
      </c>
      <c r="V522" s="1">
        <f>+IF(Tabla__192.168.1.8_POSEIDONSQL_APPFVT_01_tblFillRateFechas[[#This Row],[Resultado]]=1,1,0)</f>
        <v>1</v>
      </c>
      <c r="W522" s="1" t="str">
        <f>+Tabla__192.168.1.8_POSEIDONSQL_APPFVT_01_tblFillRateFechas[[#This Row],[con_ocnumero]]&amp;Tabla__192.168.1.8_POSEIDONSQL_APPFVT_01_tblFillRateFechas[[#This Row],[con_codigounico]]</f>
        <v>9688982-</v>
      </c>
      <c r="X5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3" spans="1:24" x14ac:dyDescent="0.25">
      <c r="A523">
        <v>4</v>
      </c>
      <c r="B523" t="s">
        <v>56</v>
      </c>
      <c r="C523">
        <v>9689674</v>
      </c>
      <c r="D523" t="s">
        <v>415</v>
      </c>
      <c r="E523" t="s">
        <v>420</v>
      </c>
      <c r="F523" t="s">
        <v>415</v>
      </c>
      <c r="G523">
        <v>1</v>
      </c>
      <c r="H523">
        <v>1</v>
      </c>
      <c r="I523" t="s">
        <v>420</v>
      </c>
      <c r="J523">
        <v>0</v>
      </c>
      <c r="K523" t="s">
        <v>49</v>
      </c>
      <c r="L523" s="1">
        <f>+Tabla__192.168.1.8_POSEIDONSQL_APPFVT_01_tblFillRateFechas[[#This Row],[emb_cantidad]]-Tabla__192.168.1.8_POSEIDONSQL_APPFVT_01_tblFillRateFechas[[#This Row],[dev_cantidad]]</f>
        <v>1</v>
      </c>
      <c r="M523" s="1">
        <f>+IF(Tabla__192.168.1.8_POSEIDONSQL_APPFVT_01_tblFillRateFechas[[#This Row],[Cant_Resultante]]=Tabla__192.168.1.8_POSEIDONSQL_APPFVT_01_tblFillRateFechas[[#This Row],[cant_order]],1,0)</f>
        <v>1</v>
      </c>
      <c r="N5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3" s="1">
        <f>+IF(AND(Tabla__192.168.1.8_POSEIDONSQL_APPFVT_01_tblFillRateFechas[[#This Row],[Valida Cant]]=1,Tabla__192.168.1.8_POSEIDONSQL_APPFVT_01_tblFillRateFechas[[#This Row],[Valida Fec]]=1),1,0)</f>
        <v>1</v>
      </c>
      <c r="P523" s="1">
        <f>+(Tabla__192.168.1.8_POSEIDONSQL_APPFVT_01_tblFillRateFechas[[#This Row],[Cant_Resultante]]/Tabla__192.168.1.8_POSEIDONSQL_APPFVT_01_tblFillRateFechas[[#This Row],[cant_order]])*100</f>
        <v>100</v>
      </c>
      <c r="Q5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3" s="1">
        <f>+IF(Tabla__192.168.1.8_POSEIDONSQL_APPFVT_01_tblFillRateFechas[[#This Row],[cant_order]]&gt;0,1,0)</f>
        <v>1</v>
      </c>
      <c r="V523" s="1">
        <f>+IF(Tabla__192.168.1.8_POSEIDONSQL_APPFVT_01_tblFillRateFechas[[#This Row],[Resultado]]=1,1,0)</f>
        <v>1</v>
      </c>
      <c r="W523" s="1" t="str">
        <f>+Tabla__192.168.1.8_POSEIDONSQL_APPFVT_01_tblFillRateFechas[[#This Row],[con_ocnumero]]&amp;Tabla__192.168.1.8_POSEIDONSQL_APPFVT_01_tblFillRateFechas[[#This Row],[con_codigounico]]</f>
        <v>9689674-</v>
      </c>
      <c r="X5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4" spans="1:24" x14ac:dyDescent="0.25">
      <c r="A524">
        <v>4</v>
      </c>
      <c r="B524" t="s">
        <v>56</v>
      </c>
      <c r="C524">
        <v>9689724</v>
      </c>
      <c r="D524" t="s">
        <v>415</v>
      </c>
      <c r="E524" t="s">
        <v>420</v>
      </c>
      <c r="F524" t="s">
        <v>415</v>
      </c>
      <c r="G524">
        <v>1</v>
      </c>
      <c r="H524">
        <v>1</v>
      </c>
      <c r="I524" t="s">
        <v>420</v>
      </c>
      <c r="J524">
        <v>0</v>
      </c>
      <c r="K524" t="s">
        <v>49</v>
      </c>
      <c r="L524" s="1">
        <f>+Tabla__192.168.1.8_POSEIDONSQL_APPFVT_01_tblFillRateFechas[[#This Row],[emb_cantidad]]-Tabla__192.168.1.8_POSEIDONSQL_APPFVT_01_tblFillRateFechas[[#This Row],[dev_cantidad]]</f>
        <v>1</v>
      </c>
      <c r="M524" s="1">
        <f>+IF(Tabla__192.168.1.8_POSEIDONSQL_APPFVT_01_tblFillRateFechas[[#This Row],[Cant_Resultante]]=Tabla__192.168.1.8_POSEIDONSQL_APPFVT_01_tblFillRateFechas[[#This Row],[cant_order]],1,0)</f>
        <v>1</v>
      </c>
      <c r="N5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4" s="1">
        <f>+IF(AND(Tabla__192.168.1.8_POSEIDONSQL_APPFVT_01_tblFillRateFechas[[#This Row],[Valida Cant]]=1,Tabla__192.168.1.8_POSEIDONSQL_APPFVT_01_tblFillRateFechas[[#This Row],[Valida Fec]]=1),1,0)</f>
        <v>1</v>
      </c>
      <c r="P524" s="1">
        <f>+(Tabla__192.168.1.8_POSEIDONSQL_APPFVT_01_tblFillRateFechas[[#This Row],[Cant_Resultante]]/Tabla__192.168.1.8_POSEIDONSQL_APPFVT_01_tblFillRateFechas[[#This Row],[cant_order]])*100</f>
        <v>100</v>
      </c>
      <c r="Q5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4" s="1">
        <f>+IF(Tabla__192.168.1.8_POSEIDONSQL_APPFVT_01_tblFillRateFechas[[#This Row],[cant_order]]&gt;0,1,0)</f>
        <v>1</v>
      </c>
      <c r="V524" s="1">
        <f>+IF(Tabla__192.168.1.8_POSEIDONSQL_APPFVT_01_tblFillRateFechas[[#This Row],[Resultado]]=1,1,0)</f>
        <v>1</v>
      </c>
      <c r="W524" s="1" t="str">
        <f>+Tabla__192.168.1.8_POSEIDONSQL_APPFVT_01_tblFillRateFechas[[#This Row],[con_ocnumero]]&amp;Tabla__192.168.1.8_POSEIDONSQL_APPFVT_01_tblFillRateFechas[[#This Row],[con_codigounico]]</f>
        <v>9689724-</v>
      </c>
      <c r="X5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5" spans="1:24" x14ac:dyDescent="0.25">
      <c r="A525">
        <v>4</v>
      </c>
      <c r="B525" t="s">
        <v>56</v>
      </c>
      <c r="C525">
        <v>9690084</v>
      </c>
      <c r="D525" t="s">
        <v>415</v>
      </c>
      <c r="E525" t="s">
        <v>420</v>
      </c>
      <c r="F525" t="s">
        <v>422</v>
      </c>
      <c r="G525">
        <v>1</v>
      </c>
      <c r="H525">
        <v>1</v>
      </c>
      <c r="I525" t="s">
        <v>420</v>
      </c>
      <c r="J525">
        <v>0</v>
      </c>
      <c r="K525" t="s">
        <v>49</v>
      </c>
      <c r="L525" s="1">
        <f>+Tabla__192.168.1.8_POSEIDONSQL_APPFVT_01_tblFillRateFechas[[#This Row],[emb_cantidad]]-Tabla__192.168.1.8_POSEIDONSQL_APPFVT_01_tblFillRateFechas[[#This Row],[dev_cantidad]]</f>
        <v>1</v>
      </c>
      <c r="M525" s="1">
        <f>+IF(Tabla__192.168.1.8_POSEIDONSQL_APPFVT_01_tblFillRateFechas[[#This Row],[Cant_Resultante]]=Tabla__192.168.1.8_POSEIDONSQL_APPFVT_01_tblFillRateFechas[[#This Row],[cant_order]],1,0)</f>
        <v>1</v>
      </c>
      <c r="N5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5" s="1">
        <f>+IF(AND(Tabla__192.168.1.8_POSEIDONSQL_APPFVT_01_tblFillRateFechas[[#This Row],[Valida Cant]]=1,Tabla__192.168.1.8_POSEIDONSQL_APPFVT_01_tblFillRateFechas[[#This Row],[Valida Fec]]=1),1,0)</f>
        <v>1</v>
      </c>
      <c r="P525" s="1">
        <f>+(Tabla__192.168.1.8_POSEIDONSQL_APPFVT_01_tblFillRateFechas[[#This Row],[Cant_Resultante]]/Tabla__192.168.1.8_POSEIDONSQL_APPFVT_01_tblFillRateFechas[[#This Row],[cant_order]])*100</f>
        <v>100</v>
      </c>
      <c r="Q5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5" s="1">
        <f>+IF(Tabla__192.168.1.8_POSEIDONSQL_APPFVT_01_tblFillRateFechas[[#This Row],[cant_order]]&gt;0,1,0)</f>
        <v>1</v>
      </c>
      <c r="V525" s="1">
        <f>+IF(Tabla__192.168.1.8_POSEIDONSQL_APPFVT_01_tblFillRateFechas[[#This Row],[Resultado]]=1,1,0)</f>
        <v>1</v>
      </c>
      <c r="W525" s="1" t="str">
        <f>+Tabla__192.168.1.8_POSEIDONSQL_APPFVT_01_tblFillRateFechas[[#This Row],[con_ocnumero]]&amp;Tabla__192.168.1.8_POSEIDONSQL_APPFVT_01_tblFillRateFechas[[#This Row],[con_codigounico]]</f>
        <v>9690084-</v>
      </c>
      <c r="X5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6" spans="1:24" x14ac:dyDescent="0.25">
      <c r="A526">
        <v>4</v>
      </c>
      <c r="B526" t="s">
        <v>56</v>
      </c>
      <c r="C526">
        <v>9690267</v>
      </c>
      <c r="D526" t="s">
        <v>415</v>
      </c>
      <c r="E526" t="s">
        <v>420</v>
      </c>
      <c r="F526" t="s">
        <v>422</v>
      </c>
      <c r="G526">
        <v>1</v>
      </c>
      <c r="H526">
        <v>1</v>
      </c>
      <c r="I526" t="s">
        <v>420</v>
      </c>
      <c r="J526">
        <v>0</v>
      </c>
      <c r="K526" t="s">
        <v>49</v>
      </c>
      <c r="L526" s="1">
        <f>+Tabla__192.168.1.8_POSEIDONSQL_APPFVT_01_tblFillRateFechas[[#This Row],[emb_cantidad]]-Tabla__192.168.1.8_POSEIDONSQL_APPFVT_01_tblFillRateFechas[[#This Row],[dev_cantidad]]</f>
        <v>1</v>
      </c>
      <c r="M526" s="1">
        <f>+IF(Tabla__192.168.1.8_POSEIDONSQL_APPFVT_01_tblFillRateFechas[[#This Row],[Cant_Resultante]]=Tabla__192.168.1.8_POSEIDONSQL_APPFVT_01_tblFillRateFechas[[#This Row],[cant_order]],1,0)</f>
        <v>1</v>
      </c>
      <c r="N5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6" s="1">
        <f>+IF(AND(Tabla__192.168.1.8_POSEIDONSQL_APPFVT_01_tblFillRateFechas[[#This Row],[Valida Cant]]=1,Tabla__192.168.1.8_POSEIDONSQL_APPFVT_01_tblFillRateFechas[[#This Row],[Valida Fec]]=1),1,0)</f>
        <v>1</v>
      </c>
      <c r="P526" s="1">
        <f>+(Tabla__192.168.1.8_POSEIDONSQL_APPFVT_01_tblFillRateFechas[[#This Row],[Cant_Resultante]]/Tabla__192.168.1.8_POSEIDONSQL_APPFVT_01_tblFillRateFechas[[#This Row],[cant_order]])*100</f>
        <v>100</v>
      </c>
      <c r="Q5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6" s="1">
        <f>+IF(Tabla__192.168.1.8_POSEIDONSQL_APPFVT_01_tblFillRateFechas[[#This Row],[cant_order]]&gt;0,1,0)</f>
        <v>1</v>
      </c>
      <c r="V526" s="1">
        <f>+IF(Tabla__192.168.1.8_POSEIDONSQL_APPFVT_01_tblFillRateFechas[[#This Row],[Resultado]]=1,1,0)</f>
        <v>1</v>
      </c>
      <c r="W526" s="1" t="str">
        <f>+Tabla__192.168.1.8_POSEIDONSQL_APPFVT_01_tblFillRateFechas[[#This Row],[con_ocnumero]]&amp;Tabla__192.168.1.8_POSEIDONSQL_APPFVT_01_tblFillRateFechas[[#This Row],[con_codigounico]]</f>
        <v>9690267-</v>
      </c>
      <c r="X5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7" spans="1:24" x14ac:dyDescent="0.25">
      <c r="A527">
        <v>4</v>
      </c>
      <c r="B527" t="s">
        <v>56</v>
      </c>
      <c r="C527">
        <v>9690704</v>
      </c>
      <c r="D527" t="s">
        <v>415</v>
      </c>
      <c r="E527" t="s">
        <v>420</v>
      </c>
      <c r="F527" t="s">
        <v>422</v>
      </c>
      <c r="G527">
        <v>1</v>
      </c>
      <c r="H527">
        <v>1</v>
      </c>
      <c r="I527" t="s">
        <v>420</v>
      </c>
      <c r="J527">
        <v>0</v>
      </c>
      <c r="K527" t="s">
        <v>49</v>
      </c>
      <c r="L527" s="1">
        <f>+Tabla__192.168.1.8_POSEIDONSQL_APPFVT_01_tblFillRateFechas[[#This Row],[emb_cantidad]]-Tabla__192.168.1.8_POSEIDONSQL_APPFVT_01_tblFillRateFechas[[#This Row],[dev_cantidad]]</f>
        <v>1</v>
      </c>
      <c r="M527" s="1">
        <f>+IF(Tabla__192.168.1.8_POSEIDONSQL_APPFVT_01_tblFillRateFechas[[#This Row],[Cant_Resultante]]=Tabla__192.168.1.8_POSEIDONSQL_APPFVT_01_tblFillRateFechas[[#This Row],[cant_order]],1,0)</f>
        <v>1</v>
      </c>
      <c r="N5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7" s="1">
        <f>+IF(AND(Tabla__192.168.1.8_POSEIDONSQL_APPFVT_01_tblFillRateFechas[[#This Row],[Valida Cant]]=1,Tabla__192.168.1.8_POSEIDONSQL_APPFVT_01_tblFillRateFechas[[#This Row],[Valida Fec]]=1),1,0)</f>
        <v>1</v>
      </c>
      <c r="P527" s="1">
        <f>+(Tabla__192.168.1.8_POSEIDONSQL_APPFVT_01_tblFillRateFechas[[#This Row],[Cant_Resultante]]/Tabla__192.168.1.8_POSEIDONSQL_APPFVT_01_tblFillRateFechas[[#This Row],[cant_order]])*100</f>
        <v>100</v>
      </c>
      <c r="Q5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7" s="1">
        <f>+IF(Tabla__192.168.1.8_POSEIDONSQL_APPFVT_01_tblFillRateFechas[[#This Row],[cant_order]]&gt;0,1,0)</f>
        <v>1</v>
      </c>
      <c r="V527" s="1">
        <f>+IF(Tabla__192.168.1.8_POSEIDONSQL_APPFVT_01_tblFillRateFechas[[#This Row],[Resultado]]=1,1,0)</f>
        <v>1</v>
      </c>
      <c r="W527" s="1" t="str">
        <f>+Tabla__192.168.1.8_POSEIDONSQL_APPFVT_01_tblFillRateFechas[[#This Row],[con_ocnumero]]&amp;Tabla__192.168.1.8_POSEIDONSQL_APPFVT_01_tblFillRateFechas[[#This Row],[con_codigounico]]</f>
        <v>9690704-</v>
      </c>
      <c r="X5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8" spans="1:24" x14ac:dyDescent="0.25">
      <c r="A528">
        <v>4</v>
      </c>
      <c r="B528" t="s">
        <v>56</v>
      </c>
      <c r="C528">
        <v>9691769</v>
      </c>
      <c r="D528" t="s">
        <v>415</v>
      </c>
      <c r="E528" t="s">
        <v>420</v>
      </c>
      <c r="F528" t="s">
        <v>422</v>
      </c>
      <c r="G528">
        <v>1</v>
      </c>
      <c r="H528">
        <v>1</v>
      </c>
      <c r="I528" t="s">
        <v>420</v>
      </c>
      <c r="J528">
        <v>0</v>
      </c>
      <c r="K528" t="s">
        <v>49</v>
      </c>
      <c r="L528" s="1">
        <f>+Tabla__192.168.1.8_POSEIDONSQL_APPFVT_01_tblFillRateFechas[[#This Row],[emb_cantidad]]-Tabla__192.168.1.8_POSEIDONSQL_APPFVT_01_tblFillRateFechas[[#This Row],[dev_cantidad]]</f>
        <v>1</v>
      </c>
      <c r="M528" s="1">
        <f>+IF(Tabla__192.168.1.8_POSEIDONSQL_APPFVT_01_tblFillRateFechas[[#This Row],[Cant_Resultante]]=Tabla__192.168.1.8_POSEIDONSQL_APPFVT_01_tblFillRateFechas[[#This Row],[cant_order]],1,0)</f>
        <v>1</v>
      </c>
      <c r="N5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28" s="1">
        <f>+IF(AND(Tabla__192.168.1.8_POSEIDONSQL_APPFVT_01_tblFillRateFechas[[#This Row],[Valida Cant]]=1,Tabla__192.168.1.8_POSEIDONSQL_APPFVT_01_tblFillRateFechas[[#This Row],[Valida Fec]]=1),1,0)</f>
        <v>1</v>
      </c>
      <c r="P528" s="1">
        <f>+(Tabla__192.168.1.8_POSEIDONSQL_APPFVT_01_tblFillRateFechas[[#This Row],[Cant_Resultante]]/Tabla__192.168.1.8_POSEIDONSQL_APPFVT_01_tblFillRateFechas[[#This Row],[cant_order]])*100</f>
        <v>100</v>
      </c>
      <c r="Q5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8" s="1">
        <f>+IF(Tabla__192.168.1.8_POSEIDONSQL_APPFVT_01_tblFillRateFechas[[#This Row],[cant_order]]&gt;0,1,0)</f>
        <v>1</v>
      </c>
      <c r="V528" s="1">
        <f>+IF(Tabla__192.168.1.8_POSEIDONSQL_APPFVT_01_tblFillRateFechas[[#This Row],[Resultado]]=1,1,0)</f>
        <v>1</v>
      </c>
      <c r="W528" s="1" t="str">
        <f>+Tabla__192.168.1.8_POSEIDONSQL_APPFVT_01_tblFillRateFechas[[#This Row],[con_ocnumero]]&amp;Tabla__192.168.1.8_POSEIDONSQL_APPFVT_01_tblFillRateFechas[[#This Row],[con_codigounico]]</f>
        <v>9691769-</v>
      </c>
      <c r="X5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29" spans="1:24" x14ac:dyDescent="0.25">
      <c r="A529">
        <v>4</v>
      </c>
      <c r="B529" t="s">
        <v>56</v>
      </c>
      <c r="C529">
        <v>9704686</v>
      </c>
      <c r="D529" t="s">
        <v>419</v>
      </c>
      <c r="E529" t="s">
        <v>163</v>
      </c>
      <c r="F529" t="s">
        <v>420</v>
      </c>
      <c r="G529">
        <v>1</v>
      </c>
      <c r="H529">
        <v>1</v>
      </c>
      <c r="I529" t="s">
        <v>421</v>
      </c>
      <c r="J529">
        <v>0</v>
      </c>
      <c r="K529" t="s">
        <v>49</v>
      </c>
      <c r="L529" s="1">
        <f>+Tabla__192.168.1.8_POSEIDONSQL_APPFVT_01_tblFillRateFechas[[#This Row],[emb_cantidad]]-Tabla__192.168.1.8_POSEIDONSQL_APPFVT_01_tblFillRateFechas[[#This Row],[dev_cantidad]]</f>
        <v>1</v>
      </c>
      <c r="M529" s="1">
        <f>+IF(Tabla__192.168.1.8_POSEIDONSQL_APPFVT_01_tblFillRateFechas[[#This Row],[Cant_Resultante]]=Tabla__192.168.1.8_POSEIDONSQL_APPFVT_01_tblFillRateFechas[[#This Row],[cant_order]],1,0)</f>
        <v>1</v>
      </c>
      <c r="N5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29" s="1">
        <f>+IF(AND(Tabla__192.168.1.8_POSEIDONSQL_APPFVT_01_tblFillRateFechas[[#This Row],[Valida Cant]]=1,Tabla__192.168.1.8_POSEIDONSQL_APPFVT_01_tblFillRateFechas[[#This Row],[Valida Fec]]=1),1,0)</f>
        <v>0</v>
      </c>
      <c r="P529" s="1">
        <f>+(Tabla__192.168.1.8_POSEIDONSQL_APPFVT_01_tblFillRateFechas[[#This Row],[Cant_Resultante]]/Tabla__192.168.1.8_POSEIDONSQL_APPFVT_01_tblFillRateFechas[[#This Row],[cant_order]])*100</f>
        <v>100</v>
      </c>
      <c r="Q5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29" s="1">
        <f>+IF(Tabla__192.168.1.8_POSEIDONSQL_APPFVT_01_tblFillRateFechas[[#This Row],[cant_order]]&gt;0,1,0)</f>
        <v>1</v>
      </c>
      <c r="V529" s="1">
        <f>+IF(Tabla__192.168.1.8_POSEIDONSQL_APPFVT_01_tblFillRateFechas[[#This Row],[Resultado]]=1,1,0)</f>
        <v>0</v>
      </c>
      <c r="W529" s="1" t="str">
        <f>+Tabla__192.168.1.8_POSEIDONSQL_APPFVT_01_tblFillRateFechas[[#This Row],[con_ocnumero]]&amp;Tabla__192.168.1.8_POSEIDONSQL_APPFVT_01_tblFillRateFechas[[#This Row],[con_codigounico]]</f>
        <v>9704686-</v>
      </c>
      <c r="X5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0" spans="1:24" x14ac:dyDescent="0.25">
      <c r="A530">
        <v>5</v>
      </c>
      <c r="B530" t="s">
        <v>57</v>
      </c>
      <c r="C530">
        <v>6503981973</v>
      </c>
      <c r="D530" t="s">
        <v>12</v>
      </c>
      <c r="E530" t="s">
        <v>1962</v>
      </c>
      <c r="F530" t="s">
        <v>12</v>
      </c>
      <c r="G530">
        <v>40</v>
      </c>
      <c r="H530">
        <v>50</v>
      </c>
      <c r="I530" t="s">
        <v>1977</v>
      </c>
      <c r="J530">
        <v>25</v>
      </c>
      <c r="K530" t="s">
        <v>49</v>
      </c>
      <c r="L530" s="1">
        <f>+Tabla__192.168.1.8_POSEIDONSQL_APPFVT_01_tblFillRateFechas[[#This Row],[emb_cantidad]]-Tabla__192.168.1.8_POSEIDONSQL_APPFVT_01_tblFillRateFechas[[#This Row],[dev_cantidad]]</f>
        <v>25</v>
      </c>
      <c r="M530" s="1">
        <f>+IF(Tabla__192.168.1.8_POSEIDONSQL_APPFVT_01_tblFillRateFechas[[#This Row],[Cant_Resultante]]=Tabla__192.168.1.8_POSEIDONSQL_APPFVT_01_tblFillRateFechas[[#This Row],[cant_order]],1,0)</f>
        <v>0</v>
      </c>
      <c r="N5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0" s="1">
        <f>+IF(AND(Tabla__192.168.1.8_POSEIDONSQL_APPFVT_01_tblFillRateFechas[[#This Row],[Valida Cant]]=1,Tabla__192.168.1.8_POSEIDONSQL_APPFVT_01_tblFillRateFechas[[#This Row],[Valida Fec]]=1),1,0)</f>
        <v>0</v>
      </c>
      <c r="P530" s="1">
        <f>+(Tabla__192.168.1.8_POSEIDONSQL_APPFVT_01_tblFillRateFechas[[#This Row],[Cant_Resultante]]/Tabla__192.168.1.8_POSEIDONSQL_APPFVT_01_tblFillRateFechas[[#This Row],[cant_order]])*100</f>
        <v>62.5</v>
      </c>
      <c r="Q5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15</v>
      </c>
      <c r="R5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10</v>
      </c>
      <c r="S5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</v>
      </c>
      <c r="T5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30</v>
      </c>
      <c r="U530" s="1">
        <f>+IF(Tabla__192.168.1.8_POSEIDONSQL_APPFVT_01_tblFillRateFechas[[#This Row],[cant_order]]&gt;0,1,0)</f>
        <v>1</v>
      </c>
      <c r="V530" s="1">
        <f>+IF(Tabla__192.168.1.8_POSEIDONSQL_APPFVT_01_tblFillRateFechas[[#This Row],[Resultado]]=1,1,0)</f>
        <v>0</v>
      </c>
      <c r="W530" s="1" t="str">
        <f>+Tabla__192.168.1.8_POSEIDONSQL_APPFVT_01_tblFillRateFechas[[#This Row],[con_ocnumero]]&amp;Tabla__192.168.1.8_POSEIDONSQL_APPFVT_01_tblFillRateFechas[[#This Row],[con_codigounico]]</f>
        <v>6503981973-</v>
      </c>
      <c r="X5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25</v>
      </c>
    </row>
    <row r="531" spans="1:24" x14ac:dyDescent="0.25">
      <c r="A531">
        <v>5</v>
      </c>
      <c r="B531" t="s">
        <v>57</v>
      </c>
      <c r="C531">
        <v>6504005711</v>
      </c>
      <c r="D531" t="s">
        <v>1975</v>
      </c>
      <c r="E531" t="s">
        <v>1971</v>
      </c>
      <c r="F531" t="s">
        <v>1978</v>
      </c>
      <c r="G531">
        <v>1</v>
      </c>
      <c r="H531">
        <v>1</v>
      </c>
      <c r="I531" t="s">
        <v>1971</v>
      </c>
      <c r="J531">
        <v>0</v>
      </c>
      <c r="K531" t="s">
        <v>49</v>
      </c>
      <c r="L531" s="1">
        <f>+Tabla__192.168.1.8_POSEIDONSQL_APPFVT_01_tblFillRateFechas[[#This Row],[emb_cantidad]]-Tabla__192.168.1.8_POSEIDONSQL_APPFVT_01_tblFillRateFechas[[#This Row],[dev_cantidad]]</f>
        <v>1</v>
      </c>
      <c r="M531" s="1">
        <f>+IF(Tabla__192.168.1.8_POSEIDONSQL_APPFVT_01_tblFillRateFechas[[#This Row],[Cant_Resultante]]=Tabla__192.168.1.8_POSEIDONSQL_APPFVT_01_tblFillRateFechas[[#This Row],[cant_order]],1,0)</f>
        <v>1</v>
      </c>
      <c r="N5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1" s="1">
        <f>+IF(AND(Tabla__192.168.1.8_POSEIDONSQL_APPFVT_01_tblFillRateFechas[[#This Row],[Valida Cant]]=1,Tabla__192.168.1.8_POSEIDONSQL_APPFVT_01_tblFillRateFechas[[#This Row],[Valida Fec]]=1),1,0)</f>
        <v>1</v>
      </c>
      <c r="P531" s="1">
        <f>+(Tabla__192.168.1.8_POSEIDONSQL_APPFVT_01_tblFillRateFechas[[#This Row],[Cant_Resultante]]/Tabla__192.168.1.8_POSEIDONSQL_APPFVT_01_tblFillRateFechas[[#This Row],[cant_order]])*100</f>
        <v>100</v>
      </c>
      <c r="Q5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1" s="1">
        <f>+IF(Tabla__192.168.1.8_POSEIDONSQL_APPFVT_01_tblFillRateFechas[[#This Row],[cant_order]]&gt;0,1,0)</f>
        <v>1</v>
      </c>
      <c r="V531" s="1">
        <f>+IF(Tabla__192.168.1.8_POSEIDONSQL_APPFVT_01_tblFillRateFechas[[#This Row],[Resultado]]=1,1,0)</f>
        <v>1</v>
      </c>
      <c r="W531" s="1" t="str">
        <f>+Tabla__192.168.1.8_POSEIDONSQL_APPFVT_01_tblFillRateFechas[[#This Row],[con_ocnumero]]&amp;Tabla__192.168.1.8_POSEIDONSQL_APPFVT_01_tblFillRateFechas[[#This Row],[con_codigounico]]</f>
        <v>6504005711-</v>
      </c>
      <c r="X5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2" spans="1:24" x14ac:dyDescent="0.25">
      <c r="A532">
        <v>5</v>
      </c>
      <c r="B532" t="s">
        <v>57</v>
      </c>
      <c r="C532">
        <v>6504006072</v>
      </c>
      <c r="D532" t="s">
        <v>1975</v>
      </c>
      <c r="E532" t="s">
        <v>1971</v>
      </c>
      <c r="F532" t="s">
        <v>1978</v>
      </c>
      <c r="G532">
        <v>1</v>
      </c>
      <c r="H532">
        <v>1</v>
      </c>
      <c r="I532" t="s">
        <v>1971</v>
      </c>
      <c r="J532">
        <v>0</v>
      </c>
      <c r="K532" t="s">
        <v>49</v>
      </c>
      <c r="L532" s="1">
        <f>+Tabla__192.168.1.8_POSEIDONSQL_APPFVT_01_tblFillRateFechas[[#This Row],[emb_cantidad]]-Tabla__192.168.1.8_POSEIDONSQL_APPFVT_01_tblFillRateFechas[[#This Row],[dev_cantidad]]</f>
        <v>1</v>
      </c>
      <c r="M532" s="1">
        <f>+IF(Tabla__192.168.1.8_POSEIDONSQL_APPFVT_01_tblFillRateFechas[[#This Row],[Cant_Resultante]]=Tabla__192.168.1.8_POSEIDONSQL_APPFVT_01_tblFillRateFechas[[#This Row],[cant_order]],1,0)</f>
        <v>1</v>
      </c>
      <c r="N5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2" s="1">
        <f>+IF(AND(Tabla__192.168.1.8_POSEIDONSQL_APPFVT_01_tblFillRateFechas[[#This Row],[Valida Cant]]=1,Tabla__192.168.1.8_POSEIDONSQL_APPFVT_01_tblFillRateFechas[[#This Row],[Valida Fec]]=1),1,0)</f>
        <v>1</v>
      </c>
      <c r="P532" s="1">
        <f>+(Tabla__192.168.1.8_POSEIDONSQL_APPFVT_01_tblFillRateFechas[[#This Row],[Cant_Resultante]]/Tabla__192.168.1.8_POSEIDONSQL_APPFVT_01_tblFillRateFechas[[#This Row],[cant_order]])*100</f>
        <v>100</v>
      </c>
      <c r="Q5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2" s="1">
        <f>+IF(Tabla__192.168.1.8_POSEIDONSQL_APPFVT_01_tblFillRateFechas[[#This Row],[cant_order]]&gt;0,1,0)</f>
        <v>1</v>
      </c>
      <c r="V532" s="1">
        <f>+IF(Tabla__192.168.1.8_POSEIDONSQL_APPFVT_01_tblFillRateFechas[[#This Row],[Resultado]]=1,1,0)</f>
        <v>1</v>
      </c>
      <c r="W532" s="1" t="str">
        <f>+Tabla__192.168.1.8_POSEIDONSQL_APPFVT_01_tblFillRateFechas[[#This Row],[con_ocnumero]]&amp;Tabla__192.168.1.8_POSEIDONSQL_APPFVT_01_tblFillRateFechas[[#This Row],[con_codigounico]]</f>
        <v>6504006072-</v>
      </c>
      <c r="X5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3" spans="1:24" x14ac:dyDescent="0.25">
      <c r="A533">
        <v>5</v>
      </c>
      <c r="B533" t="s">
        <v>57</v>
      </c>
      <c r="C533">
        <v>6504009067</v>
      </c>
      <c r="D533" t="s">
        <v>1978</v>
      </c>
      <c r="E533" t="s">
        <v>1971</v>
      </c>
      <c r="F533" t="s">
        <v>1979</v>
      </c>
      <c r="G533">
        <v>442</v>
      </c>
      <c r="H533">
        <v>301</v>
      </c>
      <c r="I533" t="s">
        <v>1971</v>
      </c>
      <c r="J533">
        <v>0</v>
      </c>
      <c r="K533" t="s">
        <v>49</v>
      </c>
      <c r="L533" s="1">
        <f>+Tabla__192.168.1.8_POSEIDONSQL_APPFVT_01_tblFillRateFechas[[#This Row],[emb_cantidad]]-Tabla__192.168.1.8_POSEIDONSQL_APPFVT_01_tblFillRateFechas[[#This Row],[dev_cantidad]]</f>
        <v>301</v>
      </c>
      <c r="M533" s="1">
        <f>+IF(Tabla__192.168.1.8_POSEIDONSQL_APPFVT_01_tblFillRateFechas[[#This Row],[Cant_Resultante]]=Tabla__192.168.1.8_POSEIDONSQL_APPFVT_01_tblFillRateFechas[[#This Row],[cant_order]],1,0)</f>
        <v>0</v>
      </c>
      <c r="N5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3" s="1">
        <f>+IF(AND(Tabla__192.168.1.8_POSEIDONSQL_APPFVT_01_tblFillRateFechas[[#This Row],[Valida Cant]]=1,Tabla__192.168.1.8_POSEIDONSQL_APPFVT_01_tblFillRateFechas[[#This Row],[Valida Fec]]=1),1,0)</f>
        <v>0</v>
      </c>
      <c r="P533" s="1">
        <f>+(Tabla__192.168.1.8_POSEIDONSQL_APPFVT_01_tblFillRateFechas[[#This Row],[Cant_Resultante]]/Tabla__192.168.1.8_POSEIDONSQL_APPFVT_01_tblFillRateFechas[[#This Row],[cant_order]])*100</f>
        <v>68.099547511312224</v>
      </c>
      <c r="Q5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301</v>
      </c>
      <c r="R5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301</v>
      </c>
      <c r="T5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141</v>
      </c>
      <c r="U533" s="1">
        <f>+IF(Tabla__192.168.1.8_POSEIDONSQL_APPFVT_01_tblFillRateFechas[[#This Row],[cant_order]]&gt;0,1,0)</f>
        <v>1</v>
      </c>
      <c r="V533" s="1">
        <f>+IF(Tabla__192.168.1.8_POSEIDONSQL_APPFVT_01_tblFillRateFechas[[#This Row],[Resultado]]=1,1,0)</f>
        <v>0</v>
      </c>
      <c r="W533" s="1" t="str">
        <f>+Tabla__192.168.1.8_POSEIDONSQL_APPFVT_01_tblFillRateFechas[[#This Row],[con_ocnumero]]&amp;Tabla__192.168.1.8_POSEIDONSQL_APPFVT_01_tblFillRateFechas[[#This Row],[con_codigounico]]</f>
        <v>6504009067-</v>
      </c>
      <c r="X5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301</v>
      </c>
    </row>
    <row r="534" spans="1:24" x14ac:dyDescent="0.25">
      <c r="A534">
        <v>5</v>
      </c>
      <c r="B534" t="s">
        <v>57</v>
      </c>
      <c r="C534">
        <v>6504011910</v>
      </c>
      <c r="D534" t="s">
        <v>1979</v>
      </c>
      <c r="E534" t="s">
        <v>1962</v>
      </c>
      <c r="F534" t="s">
        <v>1967</v>
      </c>
      <c r="G534">
        <v>1</v>
      </c>
      <c r="H534">
        <v>1</v>
      </c>
      <c r="I534" t="s">
        <v>1962</v>
      </c>
      <c r="J534">
        <v>0</v>
      </c>
      <c r="K534" t="s">
        <v>49</v>
      </c>
      <c r="L534" s="1">
        <f>+Tabla__192.168.1.8_POSEIDONSQL_APPFVT_01_tblFillRateFechas[[#This Row],[emb_cantidad]]-Tabla__192.168.1.8_POSEIDONSQL_APPFVT_01_tblFillRateFechas[[#This Row],[dev_cantidad]]</f>
        <v>1</v>
      </c>
      <c r="M534" s="1">
        <f>+IF(Tabla__192.168.1.8_POSEIDONSQL_APPFVT_01_tblFillRateFechas[[#This Row],[Cant_Resultante]]=Tabla__192.168.1.8_POSEIDONSQL_APPFVT_01_tblFillRateFechas[[#This Row],[cant_order]],1,0)</f>
        <v>1</v>
      </c>
      <c r="N5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4" s="1">
        <f>+IF(AND(Tabla__192.168.1.8_POSEIDONSQL_APPFVT_01_tblFillRateFechas[[#This Row],[Valida Cant]]=1,Tabla__192.168.1.8_POSEIDONSQL_APPFVT_01_tblFillRateFechas[[#This Row],[Valida Fec]]=1),1,0)</f>
        <v>1</v>
      </c>
      <c r="P534" s="1">
        <f>+(Tabla__192.168.1.8_POSEIDONSQL_APPFVT_01_tblFillRateFechas[[#This Row],[Cant_Resultante]]/Tabla__192.168.1.8_POSEIDONSQL_APPFVT_01_tblFillRateFechas[[#This Row],[cant_order]])*100</f>
        <v>100</v>
      </c>
      <c r="Q5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4" s="1">
        <f>+IF(Tabla__192.168.1.8_POSEIDONSQL_APPFVT_01_tblFillRateFechas[[#This Row],[cant_order]]&gt;0,1,0)</f>
        <v>1</v>
      </c>
      <c r="V534" s="1">
        <f>+IF(Tabla__192.168.1.8_POSEIDONSQL_APPFVT_01_tblFillRateFechas[[#This Row],[Resultado]]=1,1,0)</f>
        <v>1</v>
      </c>
      <c r="W534" s="1" t="str">
        <f>+Tabla__192.168.1.8_POSEIDONSQL_APPFVT_01_tblFillRateFechas[[#This Row],[con_ocnumero]]&amp;Tabla__192.168.1.8_POSEIDONSQL_APPFVT_01_tblFillRateFechas[[#This Row],[con_codigounico]]</f>
        <v>6504011910-</v>
      </c>
      <c r="X5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5" spans="1:24" x14ac:dyDescent="0.25">
      <c r="A535">
        <v>5</v>
      </c>
      <c r="B535" t="s">
        <v>57</v>
      </c>
      <c r="C535">
        <v>6504013530</v>
      </c>
      <c r="D535" t="s">
        <v>1967</v>
      </c>
      <c r="E535" t="s">
        <v>1980</v>
      </c>
      <c r="F535" t="s">
        <v>1968</v>
      </c>
      <c r="G535">
        <v>1</v>
      </c>
      <c r="H535">
        <v>1</v>
      </c>
      <c r="I535" t="s">
        <v>1971</v>
      </c>
      <c r="J535">
        <v>0</v>
      </c>
      <c r="K535" t="s">
        <v>49</v>
      </c>
      <c r="L535" s="1">
        <f>+Tabla__192.168.1.8_POSEIDONSQL_APPFVT_01_tblFillRateFechas[[#This Row],[emb_cantidad]]-Tabla__192.168.1.8_POSEIDONSQL_APPFVT_01_tblFillRateFechas[[#This Row],[dev_cantidad]]</f>
        <v>1</v>
      </c>
      <c r="M535" s="1">
        <f>+IF(Tabla__192.168.1.8_POSEIDONSQL_APPFVT_01_tblFillRateFechas[[#This Row],[Cant_Resultante]]=Tabla__192.168.1.8_POSEIDONSQL_APPFVT_01_tblFillRateFechas[[#This Row],[cant_order]],1,0)</f>
        <v>1</v>
      </c>
      <c r="N5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5" s="1">
        <f>+IF(AND(Tabla__192.168.1.8_POSEIDONSQL_APPFVT_01_tblFillRateFechas[[#This Row],[Valida Cant]]=1,Tabla__192.168.1.8_POSEIDONSQL_APPFVT_01_tblFillRateFechas[[#This Row],[Valida Fec]]=1),1,0)</f>
        <v>1</v>
      </c>
      <c r="P535" s="1">
        <f>+(Tabla__192.168.1.8_POSEIDONSQL_APPFVT_01_tblFillRateFechas[[#This Row],[Cant_Resultante]]/Tabla__192.168.1.8_POSEIDONSQL_APPFVT_01_tblFillRateFechas[[#This Row],[cant_order]])*100</f>
        <v>100</v>
      </c>
      <c r="Q5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5" s="1">
        <f>+IF(Tabla__192.168.1.8_POSEIDONSQL_APPFVT_01_tblFillRateFechas[[#This Row],[cant_order]]&gt;0,1,0)</f>
        <v>1</v>
      </c>
      <c r="V535" s="1">
        <f>+IF(Tabla__192.168.1.8_POSEIDONSQL_APPFVT_01_tblFillRateFechas[[#This Row],[Resultado]]=1,1,0)</f>
        <v>1</v>
      </c>
      <c r="W535" s="1" t="str">
        <f>+Tabla__192.168.1.8_POSEIDONSQL_APPFVT_01_tblFillRateFechas[[#This Row],[con_ocnumero]]&amp;Tabla__192.168.1.8_POSEIDONSQL_APPFVT_01_tblFillRateFechas[[#This Row],[con_codigounico]]</f>
        <v>6504013530-</v>
      </c>
      <c r="X5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6" spans="1:24" x14ac:dyDescent="0.25">
      <c r="A536">
        <v>5</v>
      </c>
      <c r="B536" t="s">
        <v>57</v>
      </c>
      <c r="C536">
        <v>6504015850</v>
      </c>
      <c r="D536" t="s">
        <v>1981</v>
      </c>
      <c r="E536" t="s">
        <v>1962</v>
      </c>
      <c r="F536" t="s">
        <v>1971</v>
      </c>
      <c r="G536">
        <v>1</v>
      </c>
      <c r="H536">
        <v>1</v>
      </c>
      <c r="I536" t="s">
        <v>1962</v>
      </c>
      <c r="J536">
        <v>0</v>
      </c>
      <c r="K536" t="s">
        <v>49</v>
      </c>
      <c r="L536" s="1">
        <f>+Tabla__192.168.1.8_POSEIDONSQL_APPFVT_01_tblFillRateFechas[[#This Row],[emb_cantidad]]-Tabla__192.168.1.8_POSEIDONSQL_APPFVT_01_tblFillRateFechas[[#This Row],[dev_cantidad]]</f>
        <v>1</v>
      </c>
      <c r="M536" s="1">
        <f>+IF(Tabla__192.168.1.8_POSEIDONSQL_APPFVT_01_tblFillRateFechas[[#This Row],[Cant_Resultante]]=Tabla__192.168.1.8_POSEIDONSQL_APPFVT_01_tblFillRateFechas[[#This Row],[cant_order]],1,0)</f>
        <v>1</v>
      </c>
      <c r="N5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6" s="1">
        <f>+IF(AND(Tabla__192.168.1.8_POSEIDONSQL_APPFVT_01_tblFillRateFechas[[#This Row],[Valida Cant]]=1,Tabla__192.168.1.8_POSEIDONSQL_APPFVT_01_tblFillRateFechas[[#This Row],[Valida Fec]]=1),1,0)</f>
        <v>1</v>
      </c>
      <c r="P536" s="1">
        <f>+(Tabla__192.168.1.8_POSEIDONSQL_APPFVT_01_tblFillRateFechas[[#This Row],[Cant_Resultante]]/Tabla__192.168.1.8_POSEIDONSQL_APPFVT_01_tblFillRateFechas[[#This Row],[cant_order]])*100</f>
        <v>100</v>
      </c>
      <c r="Q5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6" s="1">
        <f>+IF(Tabla__192.168.1.8_POSEIDONSQL_APPFVT_01_tblFillRateFechas[[#This Row],[cant_order]]&gt;0,1,0)</f>
        <v>1</v>
      </c>
      <c r="V536" s="1">
        <f>+IF(Tabla__192.168.1.8_POSEIDONSQL_APPFVT_01_tblFillRateFechas[[#This Row],[Resultado]]=1,1,0)</f>
        <v>1</v>
      </c>
      <c r="W536" s="1" t="str">
        <f>+Tabla__192.168.1.8_POSEIDONSQL_APPFVT_01_tblFillRateFechas[[#This Row],[con_ocnumero]]&amp;Tabla__192.168.1.8_POSEIDONSQL_APPFVT_01_tblFillRateFechas[[#This Row],[con_codigounico]]</f>
        <v>6504015850-</v>
      </c>
      <c r="X5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7" spans="1:24" x14ac:dyDescent="0.25">
      <c r="A537">
        <v>5</v>
      </c>
      <c r="B537" t="s">
        <v>57</v>
      </c>
      <c r="C537">
        <v>6504016942</v>
      </c>
      <c r="D537" t="s">
        <v>1971</v>
      </c>
      <c r="E537" t="s">
        <v>1963</v>
      </c>
      <c r="F537" t="s">
        <v>1965</v>
      </c>
      <c r="G537">
        <v>1</v>
      </c>
      <c r="H537">
        <v>1</v>
      </c>
      <c r="I537" t="s">
        <v>1962</v>
      </c>
      <c r="J537">
        <v>0</v>
      </c>
      <c r="K537" t="s">
        <v>49</v>
      </c>
      <c r="L537" s="1">
        <f>+Tabla__192.168.1.8_POSEIDONSQL_APPFVT_01_tblFillRateFechas[[#This Row],[emb_cantidad]]-Tabla__192.168.1.8_POSEIDONSQL_APPFVT_01_tblFillRateFechas[[#This Row],[dev_cantidad]]</f>
        <v>1</v>
      </c>
      <c r="M537" s="1">
        <f>+IF(Tabla__192.168.1.8_POSEIDONSQL_APPFVT_01_tblFillRateFechas[[#This Row],[Cant_Resultante]]=Tabla__192.168.1.8_POSEIDONSQL_APPFVT_01_tblFillRateFechas[[#This Row],[cant_order]],1,0)</f>
        <v>1</v>
      </c>
      <c r="N5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7" s="1">
        <f>+IF(AND(Tabla__192.168.1.8_POSEIDONSQL_APPFVT_01_tblFillRateFechas[[#This Row],[Valida Cant]]=1,Tabla__192.168.1.8_POSEIDONSQL_APPFVT_01_tblFillRateFechas[[#This Row],[Valida Fec]]=1),1,0)</f>
        <v>1</v>
      </c>
      <c r="P537" s="1">
        <f>+(Tabla__192.168.1.8_POSEIDONSQL_APPFVT_01_tblFillRateFechas[[#This Row],[Cant_Resultante]]/Tabla__192.168.1.8_POSEIDONSQL_APPFVT_01_tblFillRateFechas[[#This Row],[cant_order]])*100</f>
        <v>100</v>
      </c>
      <c r="Q5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7" s="1">
        <f>+IF(Tabla__192.168.1.8_POSEIDONSQL_APPFVT_01_tblFillRateFechas[[#This Row],[cant_order]]&gt;0,1,0)</f>
        <v>1</v>
      </c>
      <c r="V537" s="1">
        <f>+IF(Tabla__192.168.1.8_POSEIDONSQL_APPFVT_01_tblFillRateFechas[[#This Row],[Resultado]]=1,1,0)</f>
        <v>1</v>
      </c>
      <c r="W537" s="1" t="str">
        <f>+Tabla__192.168.1.8_POSEIDONSQL_APPFVT_01_tblFillRateFechas[[#This Row],[con_ocnumero]]&amp;Tabla__192.168.1.8_POSEIDONSQL_APPFVT_01_tblFillRateFechas[[#This Row],[con_codigounico]]</f>
        <v>6504016942-</v>
      </c>
      <c r="X5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8" spans="1:24" x14ac:dyDescent="0.25">
      <c r="A538">
        <v>5</v>
      </c>
      <c r="B538" t="s">
        <v>57</v>
      </c>
      <c r="C538">
        <v>6504017146</v>
      </c>
      <c r="D538" t="s">
        <v>1971</v>
      </c>
      <c r="E538" t="s">
        <v>160</v>
      </c>
      <c r="F538" t="s">
        <v>1965</v>
      </c>
      <c r="G538">
        <v>1</v>
      </c>
      <c r="H538">
        <v>1</v>
      </c>
      <c r="I538" t="s">
        <v>1962</v>
      </c>
      <c r="J538">
        <v>0</v>
      </c>
      <c r="K538" t="s">
        <v>49</v>
      </c>
      <c r="L538" s="1">
        <f>+Tabla__192.168.1.8_POSEIDONSQL_APPFVT_01_tblFillRateFechas[[#This Row],[emb_cantidad]]-Tabla__192.168.1.8_POSEIDONSQL_APPFVT_01_tblFillRateFechas[[#This Row],[dev_cantidad]]</f>
        <v>1</v>
      </c>
      <c r="M538" s="1">
        <f>+IF(Tabla__192.168.1.8_POSEIDONSQL_APPFVT_01_tblFillRateFechas[[#This Row],[Cant_Resultante]]=Tabla__192.168.1.8_POSEIDONSQL_APPFVT_01_tblFillRateFechas[[#This Row],[cant_order]],1,0)</f>
        <v>1</v>
      </c>
      <c r="N5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8" s="1">
        <f>+IF(AND(Tabla__192.168.1.8_POSEIDONSQL_APPFVT_01_tblFillRateFechas[[#This Row],[Valida Cant]]=1,Tabla__192.168.1.8_POSEIDONSQL_APPFVT_01_tblFillRateFechas[[#This Row],[Valida Fec]]=1),1,0)</f>
        <v>1</v>
      </c>
      <c r="P538" s="1">
        <f>+(Tabla__192.168.1.8_POSEIDONSQL_APPFVT_01_tblFillRateFechas[[#This Row],[Cant_Resultante]]/Tabla__192.168.1.8_POSEIDONSQL_APPFVT_01_tblFillRateFechas[[#This Row],[cant_order]])*100</f>
        <v>100</v>
      </c>
      <c r="Q5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8" s="1">
        <f>+IF(Tabla__192.168.1.8_POSEIDONSQL_APPFVT_01_tblFillRateFechas[[#This Row],[cant_order]]&gt;0,1,0)</f>
        <v>1</v>
      </c>
      <c r="V538" s="1">
        <f>+IF(Tabla__192.168.1.8_POSEIDONSQL_APPFVT_01_tblFillRateFechas[[#This Row],[Resultado]]=1,1,0)</f>
        <v>1</v>
      </c>
      <c r="W538" s="1" t="str">
        <f>+Tabla__192.168.1.8_POSEIDONSQL_APPFVT_01_tblFillRateFechas[[#This Row],[con_ocnumero]]&amp;Tabla__192.168.1.8_POSEIDONSQL_APPFVT_01_tblFillRateFechas[[#This Row],[con_codigounico]]</f>
        <v>6504017146-</v>
      </c>
      <c r="X5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39" spans="1:24" x14ac:dyDescent="0.25">
      <c r="A539">
        <v>5</v>
      </c>
      <c r="B539" t="s">
        <v>57</v>
      </c>
      <c r="C539">
        <v>6504018515</v>
      </c>
      <c r="D539" t="s">
        <v>1965</v>
      </c>
      <c r="E539" t="s">
        <v>1963</v>
      </c>
      <c r="F539" t="s">
        <v>1965</v>
      </c>
      <c r="G539">
        <v>1</v>
      </c>
      <c r="H539">
        <v>1</v>
      </c>
      <c r="I539" t="s">
        <v>1962</v>
      </c>
      <c r="J539">
        <v>0</v>
      </c>
      <c r="K539" t="s">
        <v>49</v>
      </c>
      <c r="L539" s="1">
        <f>+Tabla__192.168.1.8_POSEIDONSQL_APPFVT_01_tblFillRateFechas[[#This Row],[emb_cantidad]]-Tabla__192.168.1.8_POSEIDONSQL_APPFVT_01_tblFillRateFechas[[#This Row],[dev_cantidad]]</f>
        <v>1</v>
      </c>
      <c r="M539" s="1">
        <f>+IF(Tabla__192.168.1.8_POSEIDONSQL_APPFVT_01_tblFillRateFechas[[#This Row],[Cant_Resultante]]=Tabla__192.168.1.8_POSEIDONSQL_APPFVT_01_tblFillRateFechas[[#This Row],[cant_order]],1,0)</f>
        <v>1</v>
      </c>
      <c r="N5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39" s="1">
        <f>+IF(AND(Tabla__192.168.1.8_POSEIDONSQL_APPFVT_01_tblFillRateFechas[[#This Row],[Valida Cant]]=1,Tabla__192.168.1.8_POSEIDONSQL_APPFVT_01_tblFillRateFechas[[#This Row],[Valida Fec]]=1),1,0)</f>
        <v>1</v>
      </c>
      <c r="P539" s="1">
        <f>+(Tabla__192.168.1.8_POSEIDONSQL_APPFVT_01_tblFillRateFechas[[#This Row],[Cant_Resultante]]/Tabla__192.168.1.8_POSEIDONSQL_APPFVT_01_tblFillRateFechas[[#This Row],[cant_order]])*100</f>
        <v>100</v>
      </c>
      <c r="Q5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39" s="1">
        <f>+IF(Tabla__192.168.1.8_POSEIDONSQL_APPFVT_01_tblFillRateFechas[[#This Row],[cant_order]]&gt;0,1,0)</f>
        <v>1</v>
      </c>
      <c r="V539" s="1">
        <f>+IF(Tabla__192.168.1.8_POSEIDONSQL_APPFVT_01_tblFillRateFechas[[#This Row],[Resultado]]=1,1,0)</f>
        <v>1</v>
      </c>
      <c r="W539" s="1" t="str">
        <f>+Tabla__192.168.1.8_POSEIDONSQL_APPFVT_01_tblFillRateFechas[[#This Row],[con_ocnumero]]&amp;Tabla__192.168.1.8_POSEIDONSQL_APPFVT_01_tblFillRateFechas[[#This Row],[con_codigounico]]</f>
        <v>6504018515-</v>
      </c>
      <c r="X5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0" spans="1:24" x14ac:dyDescent="0.25">
      <c r="A540">
        <v>5</v>
      </c>
      <c r="B540" t="s">
        <v>57</v>
      </c>
      <c r="C540">
        <v>6504019017</v>
      </c>
      <c r="D540" t="s">
        <v>1965</v>
      </c>
      <c r="E540" t="s">
        <v>160</v>
      </c>
      <c r="F540" t="s">
        <v>1965</v>
      </c>
      <c r="G540">
        <v>1</v>
      </c>
      <c r="H540">
        <v>0</v>
      </c>
      <c r="I540" t="s">
        <v>12</v>
      </c>
      <c r="J540">
        <v>0</v>
      </c>
      <c r="K540" t="s">
        <v>49</v>
      </c>
      <c r="L540" s="1">
        <f>+Tabla__192.168.1.8_POSEIDONSQL_APPFVT_01_tblFillRateFechas[[#This Row],[emb_cantidad]]-Tabla__192.168.1.8_POSEIDONSQL_APPFVT_01_tblFillRateFechas[[#This Row],[dev_cantidad]]</f>
        <v>0</v>
      </c>
      <c r="M540" s="1">
        <f>+IF(Tabla__192.168.1.8_POSEIDONSQL_APPFVT_01_tblFillRateFechas[[#This Row],[Cant_Resultante]]=Tabla__192.168.1.8_POSEIDONSQL_APPFVT_01_tblFillRateFechas[[#This Row],[cant_order]],1,0)</f>
        <v>0</v>
      </c>
      <c r="N5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40" s="1">
        <f>+IF(AND(Tabla__192.168.1.8_POSEIDONSQL_APPFVT_01_tblFillRateFechas[[#This Row],[Valida Cant]]=1,Tabla__192.168.1.8_POSEIDONSQL_APPFVT_01_tblFillRateFechas[[#This Row],[Valida Fec]]=1),1,0)</f>
        <v>0</v>
      </c>
      <c r="P540" s="1">
        <f>+(Tabla__192.168.1.8_POSEIDONSQL_APPFVT_01_tblFillRateFechas[[#This Row],[Cant_Resultante]]/Tabla__192.168.1.8_POSEIDONSQL_APPFVT_01_tblFillRateFechas[[#This Row],[cant_order]])*100</f>
        <v>0</v>
      </c>
      <c r="Q5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540" s="1">
        <f>+IF(Tabla__192.168.1.8_POSEIDONSQL_APPFVT_01_tblFillRateFechas[[#This Row],[cant_order]]&gt;0,1,0)</f>
        <v>1</v>
      </c>
      <c r="V540" s="1">
        <f>+IF(Tabla__192.168.1.8_POSEIDONSQL_APPFVT_01_tblFillRateFechas[[#This Row],[Resultado]]=1,1,0)</f>
        <v>0</v>
      </c>
      <c r="W540" s="1" t="str">
        <f>+Tabla__192.168.1.8_POSEIDONSQL_APPFVT_01_tblFillRateFechas[[#This Row],[con_ocnumero]]&amp;Tabla__192.168.1.8_POSEIDONSQL_APPFVT_01_tblFillRateFechas[[#This Row],[con_codigounico]]</f>
        <v>6504019017-</v>
      </c>
      <c r="X5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41" spans="1:24" x14ac:dyDescent="0.25">
      <c r="A541">
        <v>5</v>
      </c>
      <c r="B541" t="s">
        <v>57</v>
      </c>
      <c r="C541">
        <v>6504019642</v>
      </c>
      <c r="D541" t="s">
        <v>1965</v>
      </c>
      <c r="E541" t="s">
        <v>160</v>
      </c>
      <c r="F541" t="s">
        <v>1980</v>
      </c>
      <c r="G541">
        <v>1</v>
      </c>
      <c r="H541">
        <v>1</v>
      </c>
      <c r="I541" t="s">
        <v>1962</v>
      </c>
      <c r="J541">
        <v>0</v>
      </c>
      <c r="K541" t="s">
        <v>49</v>
      </c>
      <c r="L541" s="1">
        <f>+Tabla__192.168.1.8_POSEIDONSQL_APPFVT_01_tblFillRateFechas[[#This Row],[emb_cantidad]]-Tabla__192.168.1.8_POSEIDONSQL_APPFVT_01_tblFillRateFechas[[#This Row],[dev_cantidad]]</f>
        <v>1</v>
      </c>
      <c r="M541" s="1">
        <f>+IF(Tabla__192.168.1.8_POSEIDONSQL_APPFVT_01_tblFillRateFechas[[#This Row],[Cant_Resultante]]=Tabla__192.168.1.8_POSEIDONSQL_APPFVT_01_tblFillRateFechas[[#This Row],[cant_order]],1,0)</f>
        <v>1</v>
      </c>
      <c r="N5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1" s="1">
        <f>+IF(AND(Tabla__192.168.1.8_POSEIDONSQL_APPFVT_01_tblFillRateFechas[[#This Row],[Valida Cant]]=1,Tabla__192.168.1.8_POSEIDONSQL_APPFVT_01_tblFillRateFechas[[#This Row],[Valida Fec]]=1),1,0)</f>
        <v>1</v>
      </c>
      <c r="P541" s="1">
        <f>+(Tabla__192.168.1.8_POSEIDONSQL_APPFVT_01_tblFillRateFechas[[#This Row],[Cant_Resultante]]/Tabla__192.168.1.8_POSEIDONSQL_APPFVT_01_tblFillRateFechas[[#This Row],[cant_order]])*100</f>
        <v>100</v>
      </c>
      <c r="Q5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1" s="1">
        <f>+IF(Tabla__192.168.1.8_POSEIDONSQL_APPFVT_01_tblFillRateFechas[[#This Row],[cant_order]]&gt;0,1,0)</f>
        <v>1</v>
      </c>
      <c r="V541" s="1">
        <f>+IF(Tabla__192.168.1.8_POSEIDONSQL_APPFVT_01_tblFillRateFechas[[#This Row],[Resultado]]=1,1,0)</f>
        <v>1</v>
      </c>
      <c r="W541" s="1" t="str">
        <f>+Tabla__192.168.1.8_POSEIDONSQL_APPFVT_01_tblFillRateFechas[[#This Row],[con_ocnumero]]&amp;Tabla__192.168.1.8_POSEIDONSQL_APPFVT_01_tblFillRateFechas[[#This Row],[con_codigounico]]</f>
        <v>6504019642-</v>
      </c>
      <c r="X5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2" spans="1:24" x14ac:dyDescent="0.25">
      <c r="A542">
        <v>5</v>
      </c>
      <c r="B542" t="s">
        <v>57</v>
      </c>
      <c r="C542">
        <v>6504021128</v>
      </c>
      <c r="D542" t="s">
        <v>1965</v>
      </c>
      <c r="E542" t="s">
        <v>1963</v>
      </c>
      <c r="F542" t="s">
        <v>1980</v>
      </c>
      <c r="G542">
        <v>114</v>
      </c>
      <c r="H542">
        <v>109</v>
      </c>
      <c r="I542" t="s">
        <v>1963</v>
      </c>
      <c r="J542">
        <v>0</v>
      </c>
      <c r="K542" t="s">
        <v>49</v>
      </c>
      <c r="L542" s="1">
        <f>+Tabla__192.168.1.8_POSEIDONSQL_APPFVT_01_tblFillRateFechas[[#This Row],[emb_cantidad]]-Tabla__192.168.1.8_POSEIDONSQL_APPFVT_01_tblFillRateFechas[[#This Row],[dev_cantidad]]</f>
        <v>109</v>
      </c>
      <c r="M542" s="1">
        <f>+IF(Tabla__192.168.1.8_POSEIDONSQL_APPFVT_01_tblFillRateFechas[[#This Row],[Cant_Resultante]]=Tabla__192.168.1.8_POSEIDONSQL_APPFVT_01_tblFillRateFechas[[#This Row],[cant_order]],1,0)</f>
        <v>0</v>
      </c>
      <c r="N5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2" s="1">
        <f>+IF(AND(Tabla__192.168.1.8_POSEIDONSQL_APPFVT_01_tblFillRateFechas[[#This Row],[Valida Cant]]=1,Tabla__192.168.1.8_POSEIDONSQL_APPFVT_01_tblFillRateFechas[[#This Row],[Valida Fec]]=1),1,0)</f>
        <v>0</v>
      </c>
      <c r="P542" s="1">
        <f>+(Tabla__192.168.1.8_POSEIDONSQL_APPFVT_01_tblFillRateFechas[[#This Row],[Cant_Resultante]]/Tabla__192.168.1.8_POSEIDONSQL_APPFVT_01_tblFillRateFechas[[#This Row],[cant_order]])*100</f>
        <v>95.614035087719301</v>
      </c>
      <c r="Q5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109</v>
      </c>
      <c r="R5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109</v>
      </c>
      <c r="T5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5</v>
      </c>
      <c r="U542" s="1">
        <f>+IF(Tabla__192.168.1.8_POSEIDONSQL_APPFVT_01_tblFillRateFechas[[#This Row],[cant_order]]&gt;0,1,0)</f>
        <v>1</v>
      </c>
      <c r="V542" s="1">
        <f>+IF(Tabla__192.168.1.8_POSEIDONSQL_APPFVT_01_tblFillRateFechas[[#This Row],[Resultado]]=1,1,0)</f>
        <v>0</v>
      </c>
      <c r="W542" s="1" t="str">
        <f>+Tabla__192.168.1.8_POSEIDONSQL_APPFVT_01_tblFillRateFechas[[#This Row],[con_ocnumero]]&amp;Tabla__192.168.1.8_POSEIDONSQL_APPFVT_01_tblFillRateFechas[[#This Row],[con_codigounico]]</f>
        <v>6504021128-</v>
      </c>
      <c r="X5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109</v>
      </c>
    </row>
    <row r="543" spans="1:24" x14ac:dyDescent="0.25">
      <c r="A543">
        <v>5</v>
      </c>
      <c r="B543" t="s">
        <v>57</v>
      </c>
      <c r="C543">
        <v>6504022070</v>
      </c>
      <c r="D543" t="s">
        <v>1980</v>
      </c>
      <c r="E543" t="s">
        <v>162</v>
      </c>
      <c r="F543" t="s">
        <v>1980</v>
      </c>
      <c r="G543">
        <v>1</v>
      </c>
      <c r="H543">
        <v>1</v>
      </c>
      <c r="I543" t="s">
        <v>1962</v>
      </c>
      <c r="J543">
        <v>0</v>
      </c>
      <c r="K543" t="s">
        <v>49</v>
      </c>
      <c r="L543" s="1">
        <f>+Tabla__192.168.1.8_POSEIDONSQL_APPFVT_01_tblFillRateFechas[[#This Row],[emb_cantidad]]-Tabla__192.168.1.8_POSEIDONSQL_APPFVT_01_tblFillRateFechas[[#This Row],[dev_cantidad]]</f>
        <v>1</v>
      </c>
      <c r="M543" s="1">
        <f>+IF(Tabla__192.168.1.8_POSEIDONSQL_APPFVT_01_tblFillRateFechas[[#This Row],[Cant_Resultante]]=Tabla__192.168.1.8_POSEIDONSQL_APPFVT_01_tblFillRateFechas[[#This Row],[cant_order]],1,0)</f>
        <v>1</v>
      </c>
      <c r="N5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3" s="1">
        <f>+IF(AND(Tabla__192.168.1.8_POSEIDONSQL_APPFVT_01_tblFillRateFechas[[#This Row],[Valida Cant]]=1,Tabla__192.168.1.8_POSEIDONSQL_APPFVT_01_tblFillRateFechas[[#This Row],[Valida Fec]]=1),1,0)</f>
        <v>1</v>
      </c>
      <c r="P543" s="1">
        <f>+(Tabla__192.168.1.8_POSEIDONSQL_APPFVT_01_tblFillRateFechas[[#This Row],[Cant_Resultante]]/Tabla__192.168.1.8_POSEIDONSQL_APPFVT_01_tblFillRateFechas[[#This Row],[cant_order]])*100</f>
        <v>100</v>
      </c>
      <c r="Q5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3" s="1">
        <f>+IF(Tabla__192.168.1.8_POSEIDONSQL_APPFVT_01_tblFillRateFechas[[#This Row],[cant_order]]&gt;0,1,0)</f>
        <v>1</v>
      </c>
      <c r="V543" s="1">
        <f>+IF(Tabla__192.168.1.8_POSEIDONSQL_APPFVT_01_tblFillRateFechas[[#This Row],[Resultado]]=1,1,0)</f>
        <v>1</v>
      </c>
      <c r="W543" s="1" t="str">
        <f>+Tabla__192.168.1.8_POSEIDONSQL_APPFVT_01_tblFillRateFechas[[#This Row],[con_ocnumero]]&amp;Tabla__192.168.1.8_POSEIDONSQL_APPFVT_01_tblFillRateFechas[[#This Row],[con_codigounico]]</f>
        <v>6504022070-</v>
      </c>
      <c r="X5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4" spans="1:24" x14ac:dyDescent="0.25">
      <c r="A544">
        <v>5</v>
      </c>
      <c r="B544" t="s">
        <v>57</v>
      </c>
      <c r="C544">
        <v>6504023078</v>
      </c>
      <c r="D544" t="s">
        <v>1980</v>
      </c>
      <c r="E544" t="s">
        <v>160</v>
      </c>
      <c r="F544" t="s">
        <v>1977</v>
      </c>
      <c r="G544">
        <v>1</v>
      </c>
      <c r="H544">
        <v>1</v>
      </c>
      <c r="I544" t="s">
        <v>160</v>
      </c>
      <c r="J544">
        <v>0</v>
      </c>
      <c r="K544" t="s">
        <v>49</v>
      </c>
      <c r="L544" s="1">
        <f>+Tabla__192.168.1.8_POSEIDONSQL_APPFVT_01_tblFillRateFechas[[#This Row],[emb_cantidad]]-Tabla__192.168.1.8_POSEIDONSQL_APPFVT_01_tblFillRateFechas[[#This Row],[dev_cantidad]]</f>
        <v>1</v>
      </c>
      <c r="M544" s="1">
        <f>+IF(Tabla__192.168.1.8_POSEIDONSQL_APPFVT_01_tblFillRateFechas[[#This Row],[Cant_Resultante]]=Tabla__192.168.1.8_POSEIDONSQL_APPFVT_01_tblFillRateFechas[[#This Row],[cant_order]],1,0)</f>
        <v>1</v>
      </c>
      <c r="N5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4" s="1">
        <f>+IF(AND(Tabla__192.168.1.8_POSEIDONSQL_APPFVT_01_tblFillRateFechas[[#This Row],[Valida Cant]]=1,Tabla__192.168.1.8_POSEIDONSQL_APPFVT_01_tblFillRateFechas[[#This Row],[Valida Fec]]=1),1,0)</f>
        <v>1</v>
      </c>
      <c r="P544" s="1">
        <f>+(Tabla__192.168.1.8_POSEIDONSQL_APPFVT_01_tblFillRateFechas[[#This Row],[Cant_Resultante]]/Tabla__192.168.1.8_POSEIDONSQL_APPFVT_01_tblFillRateFechas[[#This Row],[cant_order]])*100</f>
        <v>100</v>
      </c>
      <c r="Q5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4" s="1">
        <f>+IF(Tabla__192.168.1.8_POSEIDONSQL_APPFVT_01_tblFillRateFechas[[#This Row],[cant_order]]&gt;0,1,0)</f>
        <v>1</v>
      </c>
      <c r="V544" s="1">
        <f>+IF(Tabla__192.168.1.8_POSEIDONSQL_APPFVT_01_tblFillRateFechas[[#This Row],[Resultado]]=1,1,0)</f>
        <v>1</v>
      </c>
      <c r="W544" s="1" t="str">
        <f>+Tabla__192.168.1.8_POSEIDONSQL_APPFVT_01_tblFillRateFechas[[#This Row],[con_ocnumero]]&amp;Tabla__192.168.1.8_POSEIDONSQL_APPFVT_01_tblFillRateFechas[[#This Row],[con_codigounico]]</f>
        <v>6504023078-</v>
      </c>
      <c r="X5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5" spans="1:24" x14ac:dyDescent="0.25">
      <c r="A545">
        <v>5</v>
      </c>
      <c r="B545" t="s">
        <v>57</v>
      </c>
      <c r="C545">
        <v>6504025336</v>
      </c>
      <c r="D545" t="s">
        <v>1977</v>
      </c>
      <c r="E545" t="s">
        <v>160</v>
      </c>
      <c r="F545" t="s">
        <v>1962</v>
      </c>
      <c r="G545">
        <v>1</v>
      </c>
      <c r="H545">
        <v>1</v>
      </c>
      <c r="I545" t="s">
        <v>160</v>
      </c>
      <c r="J545">
        <v>0</v>
      </c>
      <c r="K545" t="s">
        <v>49</v>
      </c>
      <c r="L545" s="1">
        <f>+Tabla__192.168.1.8_POSEIDONSQL_APPFVT_01_tblFillRateFechas[[#This Row],[emb_cantidad]]-Tabla__192.168.1.8_POSEIDONSQL_APPFVT_01_tblFillRateFechas[[#This Row],[dev_cantidad]]</f>
        <v>1</v>
      </c>
      <c r="M545" s="1">
        <f>+IF(Tabla__192.168.1.8_POSEIDONSQL_APPFVT_01_tblFillRateFechas[[#This Row],[Cant_Resultante]]=Tabla__192.168.1.8_POSEIDONSQL_APPFVT_01_tblFillRateFechas[[#This Row],[cant_order]],1,0)</f>
        <v>1</v>
      </c>
      <c r="N5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5" s="1">
        <f>+IF(AND(Tabla__192.168.1.8_POSEIDONSQL_APPFVT_01_tblFillRateFechas[[#This Row],[Valida Cant]]=1,Tabla__192.168.1.8_POSEIDONSQL_APPFVT_01_tblFillRateFechas[[#This Row],[Valida Fec]]=1),1,0)</f>
        <v>1</v>
      </c>
      <c r="P545" s="1">
        <f>+(Tabla__192.168.1.8_POSEIDONSQL_APPFVT_01_tblFillRateFechas[[#This Row],[Cant_Resultante]]/Tabla__192.168.1.8_POSEIDONSQL_APPFVT_01_tblFillRateFechas[[#This Row],[cant_order]])*100</f>
        <v>100</v>
      </c>
      <c r="Q5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5" s="1">
        <f>+IF(Tabla__192.168.1.8_POSEIDONSQL_APPFVT_01_tblFillRateFechas[[#This Row],[cant_order]]&gt;0,1,0)</f>
        <v>1</v>
      </c>
      <c r="V545" s="1">
        <f>+IF(Tabla__192.168.1.8_POSEIDONSQL_APPFVT_01_tblFillRateFechas[[#This Row],[Resultado]]=1,1,0)</f>
        <v>1</v>
      </c>
      <c r="W545" s="1" t="str">
        <f>+Tabla__192.168.1.8_POSEIDONSQL_APPFVT_01_tblFillRateFechas[[#This Row],[con_ocnumero]]&amp;Tabla__192.168.1.8_POSEIDONSQL_APPFVT_01_tblFillRateFechas[[#This Row],[con_codigounico]]</f>
        <v>6504025336-</v>
      </c>
      <c r="X5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6" spans="1:24" x14ac:dyDescent="0.25">
      <c r="A546">
        <v>5</v>
      </c>
      <c r="B546" t="s">
        <v>57</v>
      </c>
      <c r="C546">
        <v>6504025358</v>
      </c>
      <c r="D546" t="s">
        <v>1977</v>
      </c>
      <c r="E546" t="s">
        <v>160</v>
      </c>
      <c r="F546" t="s">
        <v>1962</v>
      </c>
      <c r="G546">
        <v>1</v>
      </c>
      <c r="H546">
        <v>1</v>
      </c>
      <c r="I546" t="s">
        <v>160</v>
      </c>
      <c r="J546">
        <v>0</v>
      </c>
      <c r="K546" t="s">
        <v>49</v>
      </c>
      <c r="L546" s="1">
        <f>+Tabla__192.168.1.8_POSEIDONSQL_APPFVT_01_tblFillRateFechas[[#This Row],[emb_cantidad]]-Tabla__192.168.1.8_POSEIDONSQL_APPFVT_01_tblFillRateFechas[[#This Row],[dev_cantidad]]</f>
        <v>1</v>
      </c>
      <c r="M546" s="1">
        <f>+IF(Tabla__192.168.1.8_POSEIDONSQL_APPFVT_01_tblFillRateFechas[[#This Row],[Cant_Resultante]]=Tabla__192.168.1.8_POSEIDONSQL_APPFVT_01_tblFillRateFechas[[#This Row],[cant_order]],1,0)</f>
        <v>1</v>
      </c>
      <c r="N5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6" s="1">
        <f>+IF(AND(Tabla__192.168.1.8_POSEIDONSQL_APPFVT_01_tblFillRateFechas[[#This Row],[Valida Cant]]=1,Tabla__192.168.1.8_POSEIDONSQL_APPFVT_01_tblFillRateFechas[[#This Row],[Valida Fec]]=1),1,0)</f>
        <v>1</v>
      </c>
      <c r="P546" s="1">
        <f>+(Tabla__192.168.1.8_POSEIDONSQL_APPFVT_01_tblFillRateFechas[[#This Row],[Cant_Resultante]]/Tabla__192.168.1.8_POSEIDONSQL_APPFVT_01_tblFillRateFechas[[#This Row],[cant_order]])*100</f>
        <v>100</v>
      </c>
      <c r="Q5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6" s="1">
        <f>+IF(Tabla__192.168.1.8_POSEIDONSQL_APPFVT_01_tblFillRateFechas[[#This Row],[cant_order]]&gt;0,1,0)</f>
        <v>1</v>
      </c>
      <c r="V546" s="1">
        <f>+IF(Tabla__192.168.1.8_POSEIDONSQL_APPFVT_01_tblFillRateFechas[[#This Row],[Resultado]]=1,1,0)</f>
        <v>1</v>
      </c>
      <c r="W546" s="1" t="str">
        <f>+Tabla__192.168.1.8_POSEIDONSQL_APPFVT_01_tblFillRateFechas[[#This Row],[con_ocnumero]]&amp;Tabla__192.168.1.8_POSEIDONSQL_APPFVT_01_tblFillRateFechas[[#This Row],[con_codigounico]]</f>
        <v>6504025358-</v>
      </c>
      <c r="X5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47" spans="1:24" x14ac:dyDescent="0.25">
      <c r="A547">
        <v>5</v>
      </c>
      <c r="B547" t="s">
        <v>57</v>
      </c>
      <c r="C547">
        <v>6504026429</v>
      </c>
      <c r="D547" t="s">
        <v>1962</v>
      </c>
      <c r="E547" t="s">
        <v>161</v>
      </c>
      <c r="F547" t="s">
        <v>1963</v>
      </c>
      <c r="G547">
        <v>5</v>
      </c>
      <c r="H547">
        <v>0</v>
      </c>
      <c r="I547" t="s">
        <v>12</v>
      </c>
      <c r="J547">
        <v>0</v>
      </c>
      <c r="K547" t="s">
        <v>49</v>
      </c>
      <c r="L547" s="1">
        <f>+Tabla__192.168.1.8_POSEIDONSQL_APPFVT_01_tblFillRateFechas[[#This Row],[emb_cantidad]]-Tabla__192.168.1.8_POSEIDONSQL_APPFVT_01_tblFillRateFechas[[#This Row],[dev_cantidad]]</f>
        <v>0</v>
      </c>
      <c r="M547" s="1">
        <f>+IF(Tabla__192.168.1.8_POSEIDONSQL_APPFVT_01_tblFillRateFechas[[#This Row],[Cant_Resultante]]=Tabla__192.168.1.8_POSEIDONSQL_APPFVT_01_tblFillRateFechas[[#This Row],[cant_order]],1,0)</f>
        <v>0</v>
      </c>
      <c r="N5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47" s="1">
        <f>+IF(AND(Tabla__192.168.1.8_POSEIDONSQL_APPFVT_01_tblFillRateFechas[[#This Row],[Valida Cant]]=1,Tabla__192.168.1.8_POSEIDONSQL_APPFVT_01_tblFillRateFechas[[#This Row],[Valida Fec]]=1),1,0)</f>
        <v>0</v>
      </c>
      <c r="P547" s="1">
        <f>+(Tabla__192.168.1.8_POSEIDONSQL_APPFVT_01_tblFillRateFechas[[#This Row],[Cant_Resultante]]/Tabla__192.168.1.8_POSEIDONSQL_APPFVT_01_tblFillRateFechas[[#This Row],[cant_order]])*100</f>
        <v>0</v>
      </c>
      <c r="Q5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5</v>
      </c>
      <c r="U547" s="1">
        <f>+IF(Tabla__192.168.1.8_POSEIDONSQL_APPFVT_01_tblFillRateFechas[[#This Row],[cant_order]]&gt;0,1,0)</f>
        <v>1</v>
      </c>
      <c r="V547" s="1">
        <f>+IF(Tabla__192.168.1.8_POSEIDONSQL_APPFVT_01_tblFillRateFechas[[#This Row],[Resultado]]=1,1,0)</f>
        <v>0</v>
      </c>
      <c r="W547" s="1" t="str">
        <f>+Tabla__192.168.1.8_POSEIDONSQL_APPFVT_01_tblFillRateFechas[[#This Row],[con_ocnumero]]&amp;Tabla__192.168.1.8_POSEIDONSQL_APPFVT_01_tblFillRateFechas[[#This Row],[con_codigounico]]</f>
        <v>6504026429-</v>
      </c>
      <c r="X5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48" spans="1:24" x14ac:dyDescent="0.25">
      <c r="A548">
        <v>5</v>
      </c>
      <c r="B548" t="s">
        <v>57</v>
      </c>
      <c r="C548">
        <v>6504026454</v>
      </c>
      <c r="D548" t="s">
        <v>1962</v>
      </c>
      <c r="E548" t="s">
        <v>161</v>
      </c>
      <c r="F548" t="s">
        <v>1963</v>
      </c>
      <c r="G548">
        <v>10</v>
      </c>
      <c r="H548">
        <v>10</v>
      </c>
      <c r="I548" t="s">
        <v>1969</v>
      </c>
      <c r="J548">
        <v>0</v>
      </c>
      <c r="K548" t="s">
        <v>49</v>
      </c>
      <c r="L548" s="1">
        <f>+Tabla__192.168.1.8_POSEIDONSQL_APPFVT_01_tblFillRateFechas[[#This Row],[emb_cantidad]]-Tabla__192.168.1.8_POSEIDONSQL_APPFVT_01_tblFillRateFechas[[#This Row],[dev_cantidad]]</f>
        <v>10</v>
      </c>
      <c r="M548" s="1">
        <f>+IF(Tabla__192.168.1.8_POSEIDONSQL_APPFVT_01_tblFillRateFechas[[#This Row],[Cant_Resultante]]=Tabla__192.168.1.8_POSEIDONSQL_APPFVT_01_tblFillRateFechas[[#This Row],[cant_order]],1,0)</f>
        <v>1</v>
      </c>
      <c r="N5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48" s="1">
        <f>+IF(AND(Tabla__192.168.1.8_POSEIDONSQL_APPFVT_01_tblFillRateFechas[[#This Row],[Valida Cant]]=1,Tabla__192.168.1.8_POSEIDONSQL_APPFVT_01_tblFillRateFechas[[#This Row],[Valida Fec]]=1),1,0)</f>
        <v>0</v>
      </c>
      <c r="P548" s="1">
        <f>+(Tabla__192.168.1.8_POSEIDONSQL_APPFVT_01_tblFillRateFechas[[#This Row],[Cant_Resultante]]/Tabla__192.168.1.8_POSEIDONSQL_APPFVT_01_tblFillRateFechas[[#This Row],[cant_order]])*100</f>
        <v>100</v>
      </c>
      <c r="Q5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</v>
      </c>
      <c r="R5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</v>
      </c>
      <c r="T5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8" s="1">
        <f>+IF(Tabla__192.168.1.8_POSEIDONSQL_APPFVT_01_tblFillRateFechas[[#This Row],[cant_order]]&gt;0,1,0)</f>
        <v>1</v>
      </c>
      <c r="V548" s="1">
        <f>+IF(Tabla__192.168.1.8_POSEIDONSQL_APPFVT_01_tblFillRateFechas[[#This Row],[Resultado]]=1,1,0)</f>
        <v>0</v>
      </c>
      <c r="W548" s="1" t="str">
        <f>+Tabla__192.168.1.8_POSEIDONSQL_APPFVT_01_tblFillRateFechas[[#This Row],[con_ocnumero]]&amp;Tabla__192.168.1.8_POSEIDONSQL_APPFVT_01_tblFillRateFechas[[#This Row],[con_codigounico]]</f>
        <v>6504026454-</v>
      </c>
      <c r="X5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</v>
      </c>
    </row>
    <row r="549" spans="1:24" x14ac:dyDescent="0.25">
      <c r="A549">
        <v>5</v>
      </c>
      <c r="B549" t="s">
        <v>57</v>
      </c>
      <c r="C549">
        <v>6504027073</v>
      </c>
      <c r="D549" t="s">
        <v>1962</v>
      </c>
      <c r="E549" t="s">
        <v>163</v>
      </c>
      <c r="F549" t="s">
        <v>1963</v>
      </c>
      <c r="G549">
        <v>1</v>
      </c>
      <c r="H549">
        <v>1</v>
      </c>
      <c r="I549" t="s">
        <v>160</v>
      </c>
      <c r="J549">
        <v>0</v>
      </c>
      <c r="K549" t="s">
        <v>49</v>
      </c>
      <c r="L549" s="1">
        <f>+Tabla__192.168.1.8_POSEIDONSQL_APPFVT_01_tblFillRateFechas[[#This Row],[emb_cantidad]]-Tabla__192.168.1.8_POSEIDONSQL_APPFVT_01_tblFillRateFechas[[#This Row],[dev_cantidad]]</f>
        <v>1</v>
      </c>
      <c r="M549" s="1">
        <f>+IF(Tabla__192.168.1.8_POSEIDONSQL_APPFVT_01_tblFillRateFechas[[#This Row],[Cant_Resultante]]=Tabla__192.168.1.8_POSEIDONSQL_APPFVT_01_tblFillRateFechas[[#This Row],[cant_order]],1,0)</f>
        <v>1</v>
      </c>
      <c r="N5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49" s="1">
        <f>+IF(AND(Tabla__192.168.1.8_POSEIDONSQL_APPFVT_01_tblFillRateFechas[[#This Row],[Valida Cant]]=1,Tabla__192.168.1.8_POSEIDONSQL_APPFVT_01_tblFillRateFechas[[#This Row],[Valida Fec]]=1),1,0)</f>
        <v>1</v>
      </c>
      <c r="P549" s="1">
        <f>+(Tabla__192.168.1.8_POSEIDONSQL_APPFVT_01_tblFillRateFechas[[#This Row],[Cant_Resultante]]/Tabla__192.168.1.8_POSEIDONSQL_APPFVT_01_tblFillRateFechas[[#This Row],[cant_order]])*100</f>
        <v>100</v>
      </c>
      <c r="Q5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49" s="1">
        <f>+IF(Tabla__192.168.1.8_POSEIDONSQL_APPFVT_01_tblFillRateFechas[[#This Row],[cant_order]]&gt;0,1,0)</f>
        <v>1</v>
      </c>
      <c r="V549" s="1">
        <f>+IF(Tabla__192.168.1.8_POSEIDONSQL_APPFVT_01_tblFillRateFechas[[#This Row],[Resultado]]=1,1,0)</f>
        <v>1</v>
      </c>
      <c r="W549" s="1" t="str">
        <f>+Tabla__192.168.1.8_POSEIDONSQL_APPFVT_01_tblFillRateFechas[[#This Row],[con_ocnumero]]&amp;Tabla__192.168.1.8_POSEIDONSQL_APPFVT_01_tblFillRateFechas[[#This Row],[con_codigounico]]</f>
        <v>6504027073-</v>
      </c>
      <c r="X5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0" spans="1:24" x14ac:dyDescent="0.25">
      <c r="A550">
        <v>5</v>
      </c>
      <c r="B550" t="s">
        <v>57</v>
      </c>
      <c r="C550">
        <v>6504027308</v>
      </c>
      <c r="D550" t="s">
        <v>1966</v>
      </c>
      <c r="E550" t="s">
        <v>426</v>
      </c>
      <c r="F550" t="s">
        <v>1963</v>
      </c>
      <c r="G550">
        <v>1</v>
      </c>
      <c r="H550">
        <v>1</v>
      </c>
      <c r="I550" t="s">
        <v>160</v>
      </c>
      <c r="J550">
        <v>0</v>
      </c>
      <c r="K550" t="s">
        <v>49</v>
      </c>
      <c r="L550" s="1">
        <f>+Tabla__192.168.1.8_POSEIDONSQL_APPFVT_01_tblFillRateFechas[[#This Row],[emb_cantidad]]-Tabla__192.168.1.8_POSEIDONSQL_APPFVT_01_tblFillRateFechas[[#This Row],[dev_cantidad]]</f>
        <v>1</v>
      </c>
      <c r="M550" s="1">
        <f>+IF(Tabla__192.168.1.8_POSEIDONSQL_APPFVT_01_tblFillRateFechas[[#This Row],[Cant_Resultante]]=Tabla__192.168.1.8_POSEIDONSQL_APPFVT_01_tblFillRateFechas[[#This Row],[cant_order]],1,0)</f>
        <v>1</v>
      </c>
      <c r="N5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0" s="1">
        <f>+IF(AND(Tabla__192.168.1.8_POSEIDONSQL_APPFVT_01_tblFillRateFechas[[#This Row],[Valida Cant]]=1,Tabla__192.168.1.8_POSEIDONSQL_APPFVT_01_tblFillRateFechas[[#This Row],[Valida Fec]]=1),1,0)</f>
        <v>1</v>
      </c>
      <c r="P550" s="1">
        <f>+(Tabla__192.168.1.8_POSEIDONSQL_APPFVT_01_tblFillRateFechas[[#This Row],[Cant_Resultante]]/Tabla__192.168.1.8_POSEIDONSQL_APPFVT_01_tblFillRateFechas[[#This Row],[cant_order]])*100</f>
        <v>100</v>
      </c>
      <c r="Q5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0" s="1">
        <f>+IF(Tabla__192.168.1.8_POSEIDONSQL_APPFVT_01_tblFillRateFechas[[#This Row],[cant_order]]&gt;0,1,0)</f>
        <v>1</v>
      </c>
      <c r="V550" s="1">
        <f>+IF(Tabla__192.168.1.8_POSEIDONSQL_APPFVT_01_tblFillRateFechas[[#This Row],[Resultado]]=1,1,0)</f>
        <v>1</v>
      </c>
      <c r="W550" s="1" t="str">
        <f>+Tabla__192.168.1.8_POSEIDONSQL_APPFVT_01_tblFillRateFechas[[#This Row],[con_ocnumero]]&amp;Tabla__192.168.1.8_POSEIDONSQL_APPFVT_01_tblFillRateFechas[[#This Row],[con_codigounico]]</f>
        <v>6504027308-</v>
      </c>
      <c r="X5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1" spans="1:24" x14ac:dyDescent="0.25">
      <c r="A551">
        <v>5</v>
      </c>
      <c r="B551" t="s">
        <v>57</v>
      </c>
      <c r="C551">
        <v>6504027312</v>
      </c>
      <c r="D551" t="s">
        <v>1966</v>
      </c>
      <c r="E551" t="s">
        <v>426</v>
      </c>
      <c r="F551" t="s">
        <v>1963</v>
      </c>
      <c r="G551">
        <v>1</v>
      </c>
      <c r="H551">
        <v>1</v>
      </c>
      <c r="I551" t="s">
        <v>160</v>
      </c>
      <c r="J551">
        <v>0</v>
      </c>
      <c r="K551" t="s">
        <v>49</v>
      </c>
      <c r="L551" s="1">
        <f>+Tabla__192.168.1.8_POSEIDONSQL_APPFVT_01_tblFillRateFechas[[#This Row],[emb_cantidad]]-Tabla__192.168.1.8_POSEIDONSQL_APPFVT_01_tblFillRateFechas[[#This Row],[dev_cantidad]]</f>
        <v>1</v>
      </c>
      <c r="M551" s="1">
        <f>+IF(Tabla__192.168.1.8_POSEIDONSQL_APPFVT_01_tblFillRateFechas[[#This Row],[Cant_Resultante]]=Tabla__192.168.1.8_POSEIDONSQL_APPFVT_01_tblFillRateFechas[[#This Row],[cant_order]],1,0)</f>
        <v>1</v>
      </c>
      <c r="N5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1" s="1">
        <f>+IF(AND(Tabla__192.168.1.8_POSEIDONSQL_APPFVT_01_tblFillRateFechas[[#This Row],[Valida Cant]]=1,Tabla__192.168.1.8_POSEIDONSQL_APPFVT_01_tblFillRateFechas[[#This Row],[Valida Fec]]=1),1,0)</f>
        <v>1</v>
      </c>
      <c r="P551" s="1">
        <f>+(Tabla__192.168.1.8_POSEIDONSQL_APPFVT_01_tblFillRateFechas[[#This Row],[Cant_Resultante]]/Tabla__192.168.1.8_POSEIDONSQL_APPFVT_01_tblFillRateFechas[[#This Row],[cant_order]])*100</f>
        <v>100</v>
      </c>
      <c r="Q5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1" s="1">
        <f>+IF(Tabla__192.168.1.8_POSEIDONSQL_APPFVT_01_tblFillRateFechas[[#This Row],[cant_order]]&gt;0,1,0)</f>
        <v>1</v>
      </c>
      <c r="V551" s="1">
        <f>+IF(Tabla__192.168.1.8_POSEIDONSQL_APPFVT_01_tblFillRateFechas[[#This Row],[Resultado]]=1,1,0)</f>
        <v>1</v>
      </c>
      <c r="W551" s="1" t="str">
        <f>+Tabla__192.168.1.8_POSEIDONSQL_APPFVT_01_tblFillRateFechas[[#This Row],[con_ocnumero]]&amp;Tabla__192.168.1.8_POSEIDONSQL_APPFVT_01_tblFillRateFechas[[#This Row],[con_codigounico]]</f>
        <v>6504027312-</v>
      </c>
      <c r="X5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2" spans="1:24" x14ac:dyDescent="0.25">
      <c r="A552">
        <v>5</v>
      </c>
      <c r="B552" t="s">
        <v>57</v>
      </c>
      <c r="C552">
        <v>6504029343</v>
      </c>
      <c r="D552" t="s">
        <v>1963</v>
      </c>
      <c r="E552" t="s">
        <v>163</v>
      </c>
      <c r="F552" t="s">
        <v>162</v>
      </c>
      <c r="G552">
        <v>1</v>
      </c>
      <c r="H552">
        <v>1</v>
      </c>
      <c r="I552" t="s">
        <v>163</v>
      </c>
      <c r="J552">
        <v>0</v>
      </c>
      <c r="K552" t="s">
        <v>49</v>
      </c>
      <c r="L552" s="1">
        <f>+Tabla__192.168.1.8_POSEIDONSQL_APPFVT_01_tblFillRateFechas[[#This Row],[emb_cantidad]]-Tabla__192.168.1.8_POSEIDONSQL_APPFVT_01_tblFillRateFechas[[#This Row],[dev_cantidad]]</f>
        <v>1</v>
      </c>
      <c r="M552" s="1">
        <f>+IF(Tabla__192.168.1.8_POSEIDONSQL_APPFVT_01_tblFillRateFechas[[#This Row],[Cant_Resultante]]=Tabla__192.168.1.8_POSEIDONSQL_APPFVT_01_tblFillRateFechas[[#This Row],[cant_order]],1,0)</f>
        <v>1</v>
      </c>
      <c r="N5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2" s="1">
        <f>+IF(AND(Tabla__192.168.1.8_POSEIDONSQL_APPFVT_01_tblFillRateFechas[[#This Row],[Valida Cant]]=1,Tabla__192.168.1.8_POSEIDONSQL_APPFVT_01_tblFillRateFechas[[#This Row],[Valida Fec]]=1),1,0)</f>
        <v>1</v>
      </c>
      <c r="P552" s="1">
        <f>+(Tabla__192.168.1.8_POSEIDONSQL_APPFVT_01_tblFillRateFechas[[#This Row],[Cant_Resultante]]/Tabla__192.168.1.8_POSEIDONSQL_APPFVT_01_tblFillRateFechas[[#This Row],[cant_order]])*100</f>
        <v>100</v>
      </c>
      <c r="Q5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2" s="1">
        <f>+IF(Tabla__192.168.1.8_POSEIDONSQL_APPFVT_01_tblFillRateFechas[[#This Row],[cant_order]]&gt;0,1,0)</f>
        <v>1</v>
      </c>
      <c r="V552" s="1">
        <f>+IF(Tabla__192.168.1.8_POSEIDONSQL_APPFVT_01_tblFillRateFechas[[#This Row],[Resultado]]=1,1,0)</f>
        <v>1</v>
      </c>
      <c r="W552" s="1" t="str">
        <f>+Tabla__192.168.1.8_POSEIDONSQL_APPFVT_01_tblFillRateFechas[[#This Row],[con_ocnumero]]&amp;Tabla__192.168.1.8_POSEIDONSQL_APPFVT_01_tblFillRateFechas[[#This Row],[con_codigounico]]</f>
        <v>6504029343-</v>
      </c>
      <c r="X5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3" spans="1:24" x14ac:dyDescent="0.25">
      <c r="A553">
        <v>5</v>
      </c>
      <c r="B553" t="s">
        <v>57</v>
      </c>
      <c r="C553">
        <v>6504029352</v>
      </c>
      <c r="D553" t="s">
        <v>1963</v>
      </c>
      <c r="E553" t="s">
        <v>163</v>
      </c>
      <c r="F553" t="s">
        <v>162</v>
      </c>
      <c r="G553">
        <v>1</v>
      </c>
      <c r="H553">
        <v>1</v>
      </c>
      <c r="I553" t="s">
        <v>163</v>
      </c>
      <c r="J553">
        <v>0</v>
      </c>
      <c r="K553" t="s">
        <v>49</v>
      </c>
      <c r="L553" s="1">
        <f>+Tabla__192.168.1.8_POSEIDONSQL_APPFVT_01_tblFillRateFechas[[#This Row],[emb_cantidad]]-Tabla__192.168.1.8_POSEIDONSQL_APPFVT_01_tblFillRateFechas[[#This Row],[dev_cantidad]]</f>
        <v>1</v>
      </c>
      <c r="M553" s="1">
        <f>+IF(Tabla__192.168.1.8_POSEIDONSQL_APPFVT_01_tblFillRateFechas[[#This Row],[Cant_Resultante]]=Tabla__192.168.1.8_POSEIDONSQL_APPFVT_01_tblFillRateFechas[[#This Row],[cant_order]],1,0)</f>
        <v>1</v>
      </c>
      <c r="N5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3" s="1">
        <f>+IF(AND(Tabla__192.168.1.8_POSEIDONSQL_APPFVT_01_tblFillRateFechas[[#This Row],[Valida Cant]]=1,Tabla__192.168.1.8_POSEIDONSQL_APPFVT_01_tblFillRateFechas[[#This Row],[Valida Fec]]=1),1,0)</f>
        <v>1</v>
      </c>
      <c r="P553" s="1">
        <f>+(Tabla__192.168.1.8_POSEIDONSQL_APPFVT_01_tblFillRateFechas[[#This Row],[Cant_Resultante]]/Tabla__192.168.1.8_POSEIDONSQL_APPFVT_01_tblFillRateFechas[[#This Row],[cant_order]])*100</f>
        <v>100</v>
      </c>
      <c r="Q5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3" s="1">
        <f>+IF(Tabla__192.168.1.8_POSEIDONSQL_APPFVT_01_tblFillRateFechas[[#This Row],[cant_order]]&gt;0,1,0)</f>
        <v>1</v>
      </c>
      <c r="V553" s="1">
        <f>+IF(Tabla__192.168.1.8_POSEIDONSQL_APPFVT_01_tblFillRateFechas[[#This Row],[Resultado]]=1,1,0)</f>
        <v>1</v>
      </c>
      <c r="W553" s="1" t="str">
        <f>+Tabla__192.168.1.8_POSEIDONSQL_APPFVT_01_tblFillRateFechas[[#This Row],[con_ocnumero]]&amp;Tabla__192.168.1.8_POSEIDONSQL_APPFVT_01_tblFillRateFechas[[#This Row],[con_codigounico]]</f>
        <v>6504029352-</v>
      </c>
      <c r="X5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4" spans="1:24" x14ac:dyDescent="0.25">
      <c r="A554">
        <v>5</v>
      </c>
      <c r="B554" t="s">
        <v>57</v>
      </c>
      <c r="C554">
        <v>6504029734</v>
      </c>
      <c r="D554" t="s">
        <v>1963</v>
      </c>
      <c r="E554" t="s">
        <v>429</v>
      </c>
      <c r="F554" t="s">
        <v>162</v>
      </c>
      <c r="G554">
        <v>15</v>
      </c>
      <c r="H554">
        <v>0</v>
      </c>
      <c r="I554" t="s">
        <v>12</v>
      </c>
      <c r="J554">
        <v>0</v>
      </c>
      <c r="K554" t="s">
        <v>49</v>
      </c>
      <c r="L554" s="1">
        <f>+Tabla__192.168.1.8_POSEIDONSQL_APPFVT_01_tblFillRateFechas[[#This Row],[emb_cantidad]]-Tabla__192.168.1.8_POSEIDONSQL_APPFVT_01_tblFillRateFechas[[#This Row],[dev_cantidad]]</f>
        <v>0</v>
      </c>
      <c r="M554" s="1">
        <f>+IF(Tabla__192.168.1.8_POSEIDONSQL_APPFVT_01_tblFillRateFechas[[#This Row],[Cant_Resultante]]=Tabla__192.168.1.8_POSEIDONSQL_APPFVT_01_tblFillRateFechas[[#This Row],[cant_order]],1,0)</f>
        <v>0</v>
      </c>
      <c r="N5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54" s="1">
        <f>+IF(AND(Tabla__192.168.1.8_POSEIDONSQL_APPFVT_01_tblFillRateFechas[[#This Row],[Valida Cant]]=1,Tabla__192.168.1.8_POSEIDONSQL_APPFVT_01_tblFillRateFechas[[#This Row],[Valida Fec]]=1),1,0)</f>
        <v>0</v>
      </c>
      <c r="P554" s="1">
        <f>+(Tabla__192.168.1.8_POSEIDONSQL_APPFVT_01_tblFillRateFechas[[#This Row],[Cant_Resultante]]/Tabla__192.168.1.8_POSEIDONSQL_APPFVT_01_tblFillRateFechas[[#This Row],[cant_order]])*100</f>
        <v>0</v>
      </c>
      <c r="Q5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15</v>
      </c>
      <c r="U554" s="1">
        <f>+IF(Tabla__192.168.1.8_POSEIDONSQL_APPFVT_01_tblFillRateFechas[[#This Row],[cant_order]]&gt;0,1,0)</f>
        <v>1</v>
      </c>
      <c r="V554" s="1">
        <f>+IF(Tabla__192.168.1.8_POSEIDONSQL_APPFVT_01_tblFillRateFechas[[#This Row],[Resultado]]=1,1,0)</f>
        <v>0</v>
      </c>
      <c r="W554" s="1" t="str">
        <f>+Tabla__192.168.1.8_POSEIDONSQL_APPFVT_01_tblFillRateFechas[[#This Row],[con_ocnumero]]&amp;Tabla__192.168.1.8_POSEIDONSQL_APPFVT_01_tblFillRateFechas[[#This Row],[con_codigounico]]</f>
        <v>6504029734-</v>
      </c>
      <c r="X5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55" spans="1:24" x14ac:dyDescent="0.25">
      <c r="A555">
        <v>5</v>
      </c>
      <c r="B555" t="s">
        <v>57</v>
      </c>
      <c r="C555">
        <v>6504029825</v>
      </c>
      <c r="D555" t="s">
        <v>162</v>
      </c>
      <c r="E555" t="s">
        <v>427</v>
      </c>
      <c r="F555" t="s">
        <v>162</v>
      </c>
      <c r="G555">
        <v>15</v>
      </c>
      <c r="H555">
        <v>0</v>
      </c>
      <c r="I555" t="s">
        <v>12</v>
      </c>
      <c r="J555">
        <v>0</v>
      </c>
      <c r="K555" t="s">
        <v>49</v>
      </c>
      <c r="L555" s="1">
        <f>+Tabla__192.168.1.8_POSEIDONSQL_APPFVT_01_tblFillRateFechas[[#This Row],[emb_cantidad]]-Tabla__192.168.1.8_POSEIDONSQL_APPFVT_01_tblFillRateFechas[[#This Row],[dev_cantidad]]</f>
        <v>0</v>
      </c>
      <c r="M555" s="1">
        <f>+IF(Tabla__192.168.1.8_POSEIDONSQL_APPFVT_01_tblFillRateFechas[[#This Row],[Cant_Resultante]]=Tabla__192.168.1.8_POSEIDONSQL_APPFVT_01_tblFillRateFechas[[#This Row],[cant_order]],1,0)</f>
        <v>0</v>
      </c>
      <c r="N5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55" s="1">
        <f>+IF(AND(Tabla__192.168.1.8_POSEIDONSQL_APPFVT_01_tblFillRateFechas[[#This Row],[Valida Cant]]=1,Tabla__192.168.1.8_POSEIDONSQL_APPFVT_01_tblFillRateFechas[[#This Row],[Valida Fec]]=1),1,0)</f>
        <v>0</v>
      </c>
      <c r="P555" s="1">
        <f>+(Tabla__192.168.1.8_POSEIDONSQL_APPFVT_01_tblFillRateFechas[[#This Row],[Cant_Resultante]]/Tabla__192.168.1.8_POSEIDONSQL_APPFVT_01_tblFillRateFechas[[#This Row],[cant_order]])*100</f>
        <v>0</v>
      </c>
      <c r="Q5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15</v>
      </c>
      <c r="U555" s="1">
        <f>+IF(Tabla__192.168.1.8_POSEIDONSQL_APPFVT_01_tblFillRateFechas[[#This Row],[cant_order]]&gt;0,1,0)</f>
        <v>1</v>
      </c>
      <c r="V555" s="1">
        <f>+IF(Tabla__192.168.1.8_POSEIDONSQL_APPFVT_01_tblFillRateFechas[[#This Row],[Resultado]]=1,1,0)</f>
        <v>0</v>
      </c>
      <c r="W555" s="1" t="str">
        <f>+Tabla__192.168.1.8_POSEIDONSQL_APPFVT_01_tblFillRateFechas[[#This Row],[con_ocnumero]]&amp;Tabla__192.168.1.8_POSEIDONSQL_APPFVT_01_tblFillRateFechas[[#This Row],[con_codigounico]]</f>
        <v>6504029825-</v>
      </c>
      <c r="X5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56" spans="1:24" x14ac:dyDescent="0.25">
      <c r="A556">
        <v>5</v>
      </c>
      <c r="B556" t="s">
        <v>57</v>
      </c>
      <c r="C556">
        <v>6504031433</v>
      </c>
      <c r="D556" t="s">
        <v>162</v>
      </c>
      <c r="E556" t="s">
        <v>163</v>
      </c>
      <c r="F556" t="s">
        <v>160</v>
      </c>
      <c r="G556">
        <v>1</v>
      </c>
      <c r="H556">
        <v>1</v>
      </c>
      <c r="I556" t="s">
        <v>163</v>
      </c>
      <c r="J556">
        <v>0</v>
      </c>
      <c r="K556" t="s">
        <v>49</v>
      </c>
      <c r="L556" s="1">
        <f>+Tabla__192.168.1.8_POSEIDONSQL_APPFVT_01_tblFillRateFechas[[#This Row],[emb_cantidad]]-Tabla__192.168.1.8_POSEIDONSQL_APPFVT_01_tblFillRateFechas[[#This Row],[dev_cantidad]]</f>
        <v>1</v>
      </c>
      <c r="M556" s="1">
        <f>+IF(Tabla__192.168.1.8_POSEIDONSQL_APPFVT_01_tblFillRateFechas[[#This Row],[Cant_Resultante]]=Tabla__192.168.1.8_POSEIDONSQL_APPFVT_01_tblFillRateFechas[[#This Row],[cant_order]],1,0)</f>
        <v>1</v>
      </c>
      <c r="N5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6" s="1">
        <f>+IF(AND(Tabla__192.168.1.8_POSEIDONSQL_APPFVT_01_tblFillRateFechas[[#This Row],[Valida Cant]]=1,Tabla__192.168.1.8_POSEIDONSQL_APPFVT_01_tblFillRateFechas[[#This Row],[Valida Fec]]=1),1,0)</f>
        <v>1</v>
      </c>
      <c r="P556" s="1">
        <f>+(Tabla__192.168.1.8_POSEIDONSQL_APPFVT_01_tblFillRateFechas[[#This Row],[Cant_Resultante]]/Tabla__192.168.1.8_POSEIDONSQL_APPFVT_01_tblFillRateFechas[[#This Row],[cant_order]])*100</f>
        <v>100</v>
      </c>
      <c r="Q5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6" s="1">
        <f>+IF(Tabla__192.168.1.8_POSEIDONSQL_APPFVT_01_tblFillRateFechas[[#This Row],[cant_order]]&gt;0,1,0)</f>
        <v>1</v>
      </c>
      <c r="V556" s="1">
        <f>+IF(Tabla__192.168.1.8_POSEIDONSQL_APPFVT_01_tblFillRateFechas[[#This Row],[Resultado]]=1,1,0)</f>
        <v>1</v>
      </c>
      <c r="W556" s="1" t="str">
        <f>+Tabla__192.168.1.8_POSEIDONSQL_APPFVT_01_tblFillRateFechas[[#This Row],[con_ocnumero]]&amp;Tabla__192.168.1.8_POSEIDONSQL_APPFVT_01_tblFillRateFechas[[#This Row],[con_codigounico]]</f>
        <v>6504031433-</v>
      </c>
      <c r="X5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57" spans="1:24" x14ac:dyDescent="0.25">
      <c r="A557">
        <v>5</v>
      </c>
      <c r="B557" t="s">
        <v>57</v>
      </c>
      <c r="C557">
        <v>6504032109</v>
      </c>
      <c r="D557" t="s">
        <v>162</v>
      </c>
      <c r="E557" t="s">
        <v>163</v>
      </c>
      <c r="F557" t="s">
        <v>160</v>
      </c>
      <c r="G557">
        <v>90</v>
      </c>
      <c r="H557">
        <v>69</v>
      </c>
      <c r="I557" t="s">
        <v>1969</v>
      </c>
      <c r="J557">
        <v>0</v>
      </c>
      <c r="K557" t="s">
        <v>49</v>
      </c>
      <c r="L557" s="1">
        <f>+Tabla__192.168.1.8_POSEIDONSQL_APPFVT_01_tblFillRateFechas[[#This Row],[emb_cantidad]]-Tabla__192.168.1.8_POSEIDONSQL_APPFVT_01_tblFillRateFechas[[#This Row],[dev_cantidad]]</f>
        <v>69</v>
      </c>
      <c r="M557" s="1">
        <f>+IF(Tabla__192.168.1.8_POSEIDONSQL_APPFVT_01_tblFillRateFechas[[#This Row],[Cant_Resultante]]=Tabla__192.168.1.8_POSEIDONSQL_APPFVT_01_tblFillRateFechas[[#This Row],[cant_order]],1,0)</f>
        <v>0</v>
      </c>
      <c r="N5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7" s="1">
        <f>+IF(AND(Tabla__192.168.1.8_POSEIDONSQL_APPFVT_01_tblFillRateFechas[[#This Row],[Valida Cant]]=1,Tabla__192.168.1.8_POSEIDONSQL_APPFVT_01_tblFillRateFechas[[#This Row],[Valida Fec]]=1),1,0)</f>
        <v>0</v>
      </c>
      <c r="P557" s="1">
        <f>+(Tabla__192.168.1.8_POSEIDONSQL_APPFVT_01_tblFillRateFechas[[#This Row],[Cant_Resultante]]/Tabla__192.168.1.8_POSEIDONSQL_APPFVT_01_tblFillRateFechas[[#This Row],[cant_order]])*100</f>
        <v>76.666666666666671</v>
      </c>
      <c r="Q5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69</v>
      </c>
      <c r="R5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69</v>
      </c>
      <c r="T5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21</v>
      </c>
      <c r="U557" s="1">
        <f>+IF(Tabla__192.168.1.8_POSEIDONSQL_APPFVT_01_tblFillRateFechas[[#This Row],[cant_order]]&gt;0,1,0)</f>
        <v>1</v>
      </c>
      <c r="V557" s="1">
        <f>+IF(Tabla__192.168.1.8_POSEIDONSQL_APPFVT_01_tblFillRateFechas[[#This Row],[Resultado]]=1,1,0)</f>
        <v>0</v>
      </c>
      <c r="W557" s="1" t="str">
        <f>+Tabla__192.168.1.8_POSEIDONSQL_APPFVT_01_tblFillRateFechas[[#This Row],[con_ocnumero]]&amp;Tabla__192.168.1.8_POSEIDONSQL_APPFVT_01_tblFillRateFechas[[#This Row],[con_codigounico]]</f>
        <v>6504032109-</v>
      </c>
      <c r="X5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69</v>
      </c>
    </row>
    <row r="558" spans="1:24" x14ac:dyDescent="0.25">
      <c r="A558">
        <v>5</v>
      </c>
      <c r="B558" t="s">
        <v>57</v>
      </c>
      <c r="C558">
        <v>6504033594</v>
      </c>
      <c r="D558" t="s">
        <v>160</v>
      </c>
      <c r="E558" t="s">
        <v>426</v>
      </c>
      <c r="F558" t="s">
        <v>161</v>
      </c>
      <c r="G558">
        <v>2</v>
      </c>
      <c r="H558">
        <v>2</v>
      </c>
      <c r="I558" t="s">
        <v>427</v>
      </c>
      <c r="J558">
        <v>0</v>
      </c>
      <c r="K558" t="s">
        <v>49</v>
      </c>
      <c r="L558" s="1">
        <f>+Tabla__192.168.1.8_POSEIDONSQL_APPFVT_01_tblFillRateFechas[[#This Row],[emb_cantidad]]-Tabla__192.168.1.8_POSEIDONSQL_APPFVT_01_tblFillRateFechas[[#This Row],[dev_cantidad]]</f>
        <v>2</v>
      </c>
      <c r="M558" s="1">
        <f>+IF(Tabla__192.168.1.8_POSEIDONSQL_APPFVT_01_tblFillRateFechas[[#This Row],[Cant_Resultante]]=Tabla__192.168.1.8_POSEIDONSQL_APPFVT_01_tblFillRateFechas[[#This Row],[cant_order]],1,0)</f>
        <v>1</v>
      </c>
      <c r="N5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8" s="1">
        <f>+IF(AND(Tabla__192.168.1.8_POSEIDONSQL_APPFVT_01_tblFillRateFechas[[#This Row],[Valida Cant]]=1,Tabla__192.168.1.8_POSEIDONSQL_APPFVT_01_tblFillRateFechas[[#This Row],[Valida Fec]]=1),1,0)</f>
        <v>1</v>
      </c>
      <c r="P558" s="1">
        <f>+(Tabla__192.168.1.8_POSEIDONSQL_APPFVT_01_tblFillRateFechas[[#This Row],[Cant_Resultante]]/Tabla__192.168.1.8_POSEIDONSQL_APPFVT_01_tblFillRateFechas[[#This Row],[cant_order]])*100</f>
        <v>100</v>
      </c>
      <c r="Q5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5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5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8" s="1">
        <f>+IF(Tabla__192.168.1.8_POSEIDONSQL_APPFVT_01_tblFillRateFechas[[#This Row],[cant_order]]&gt;0,1,0)</f>
        <v>1</v>
      </c>
      <c r="V558" s="1">
        <f>+IF(Tabla__192.168.1.8_POSEIDONSQL_APPFVT_01_tblFillRateFechas[[#This Row],[Resultado]]=1,1,0)</f>
        <v>1</v>
      </c>
      <c r="W558" s="1" t="str">
        <f>+Tabla__192.168.1.8_POSEIDONSQL_APPFVT_01_tblFillRateFechas[[#This Row],[con_ocnumero]]&amp;Tabla__192.168.1.8_POSEIDONSQL_APPFVT_01_tblFillRateFechas[[#This Row],[con_codigounico]]</f>
        <v>6504033594-</v>
      </c>
      <c r="X5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559" spans="1:24" x14ac:dyDescent="0.25">
      <c r="A559">
        <v>5</v>
      </c>
      <c r="B559" t="s">
        <v>57</v>
      </c>
      <c r="C559">
        <v>6504036083</v>
      </c>
      <c r="D559" t="s">
        <v>161</v>
      </c>
      <c r="E559" t="s">
        <v>427</v>
      </c>
      <c r="F559" t="s">
        <v>1969</v>
      </c>
      <c r="G559">
        <v>1</v>
      </c>
      <c r="H559">
        <v>1</v>
      </c>
      <c r="I559" t="s">
        <v>427</v>
      </c>
      <c r="J559">
        <v>0</v>
      </c>
      <c r="K559" t="s">
        <v>49</v>
      </c>
      <c r="L559" s="1">
        <f>+Tabla__192.168.1.8_POSEIDONSQL_APPFVT_01_tblFillRateFechas[[#This Row],[emb_cantidad]]-Tabla__192.168.1.8_POSEIDONSQL_APPFVT_01_tblFillRateFechas[[#This Row],[dev_cantidad]]</f>
        <v>1</v>
      </c>
      <c r="M559" s="1">
        <f>+IF(Tabla__192.168.1.8_POSEIDONSQL_APPFVT_01_tblFillRateFechas[[#This Row],[Cant_Resultante]]=Tabla__192.168.1.8_POSEIDONSQL_APPFVT_01_tblFillRateFechas[[#This Row],[cant_order]],1,0)</f>
        <v>1</v>
      </c>
      <c r="N5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59" s="1">
        <f>+IF(AND(Tabla__192.168.1.8_POSEIDONSQL_APPFVT_01_tblFillRateFechas[[#This Row],[Valida Cant]]=1,Tabla__192.168.1.8_POSEIDONSQL_APPFVT_01_tblFillRateFechas[[#This Row],[Valida Fec]]=1),1,0)</f>
        <v>1</v>
      </c>
      <c r="P559" s="1">
        <f>+(Tabla__192.168.1.8_POSEIDONSQL_APPFVT_01_tblFillRateFechas[[#This Row],[Cant_Resultante]]/Tabla__192.168.1.8_POSEIDONSQL_APPFVT_01_tblFillRateFechas[[#This Row],[cant_order]])*100</f>
        <v>100</v>
      </c>
      <c r="Q5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59" s="1">
        <f>+IF(Tabla__192.168.1.8_POSEIDONSQL_APPFVT_01_tblFillRateFechas[[#This Row],[cant_order]]&gt;0,1,0)</f>
        <v>1</v>
      </c>
      <c r="V559" s="1">
        <f>+IF(Tabla__192.168.1.8_POSEIDONSQL_APPFVT_01_tblFillRateFechas[[#This Row],[Resultado]]=1,1,0)</f>
        <v>1</v>
      </c>
      <c r="W559" s="1" t="str">
        <f>+Tabla__192.168.1.8_POSEIDONSQL_APPFVT_01_tblFillRateFechas[[#This Row],[con_ocnumero]]&amp;Tabla__192.168.1.8_POSEIDONSQL_APPFVT_01_tblFillRateFechas[[#This Row],[con_codigounico]]</f>
        <v>6504036083-</v>
      </c>
      <c r="X5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0" spans="1:24" x14ac:dyDescent="0.25">
      <c r="A560">
        <v>5</v>
      </c>
      <c r="B560" t="s">
        <v>57</v>
      </c>
      <c r="C560">
        <v>6504036086</v>
      </c>
      <c r="D560" t="s">
        <v>161</v>
      </c>
      <c r="E560" t="s">
        <v>426</v>
      </c>
      <c r="F560" t="s">
        <v>1969</v>
      </c>
      <c r="G560">
        <v>10</v>
      </c>
      <c r="H560">
        <v>0</v>
      </c>
      <c r="I560" t="s">
        <v>12</v>
      </c>
      <c r="J560">
        <v>0</v>
      </c>
      <c r="K560" t="s">
        <v>49</v>
      </c>
      <c r="L560" s="1">
        <f>+Tabla__192.168.1.8_POSEIDONSQL_APPFVT_01_tblFillRateFechas[[#This Row],[emb_cantidad]]-Tabla__192.168.1.8_POSEIDONSQL_APPFVT_01_tblFillRateFechas[[#This Row],[dev_cantidad]]</f>
        <v>0</v>
      </c>
      <c r="M560" s="1">
        <f>+IF(Tabla__192.168.1.8_POSEIDONSQL_APPFVT_01_tblFillRateFechas[[#This Row],[Cant_Resultante]]=Tabla__192.168.1.8_POSEIDONSQL_APPFVT_01_tblFillRateFechas[[#This Row],[cant_order]],1,0)</f>
        <v>0</v>
      </c>
      <c r="N5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60" s="1">
        <f>+IF(AND(Tabla__192.168.1.8_POSEIDONSQL_APPFVT_01_tblFillRateFechas[[#This Row],[Valida Cant]]=1,Tabla__192.168.1.8_POSEIDONSQL_APPFVT_01_tblFillRateFechas[[#This Row],[Valida Fec]]=1),1,0)</f>
        <v>0</v>
      </c>
      <c r="P560" s="1">
        <f>+(Tabla__192.168.1.8_POSEIDONSQL_APPFVT_01_tblFillRateFechas[[#This Row],[Cant_Resultante]]/Tabla__192.168.1.8_POSEIDONSQL_APPFVT_01_tblFillRateFechas[[#This Row],[cant_order]])*100</f>
        <v>0</v>
      </c>
      <c r="Q5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10</v>
      </c>
      <c r="U560" s="1">
        <f>+IF(Tabla__192.168.1.8_POSEIDONSQL_APPFVT_01_tblFillRateFechas[[#This Row],[cant_order]]&gt;0,1,0)</f>
        <v>1</v>
      </c>
      <c r="V560" s="1">
        <f>+IF(Tabla__192.168.1.8_POSEIDONSQL_APPFVT_01_tblFillRateFechas[[#This Row],[Resultado]]=1,1,0)</f>
        <v>0</v>
      </c>
      <c r="W560" s="1" t="str">
        <f>+Tabla__192.168.1.8_POSEIDONSQL_APPFVT_01_tblFillRateFechas[[#This Row],[con_ocnumero]]&amp;Tabla__192.168.1.8_POSEIDONSQL_APPFVT_01_tblFillRateFechas[[#This Row],[con_codigounico]]</f>
        <v>6504036086-</v>
      </c>
      <c r="X5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61" spans="1:24" x14ac:dyDescent="0.25">
      <c r="A561">
        <v>5</v>
      </c>
      <c r="B561" t="s">
        <v>57</v>
      </c>
      <c r="C561">
        <v>6504036416</v>
      </c>
      <c r="D561" t="s">
        <v>161</v>
      </c>
      <c r="E561" t="s">
        <v>427</v>
      </c>
      <c r="F561" t="s">
        <v>1969</v>
      </c>
      <c r="G561">
        <v>1</v>
      </c>
      <c r="H561">
        <v>1</v>
      </c>
      <c r="I561" t="s">
        <v>427</v>
      </c>
      <c r="J561">
        <v>0</v>
      </c>
      <c r="K561" t="s">
        <v>49</v>
      </c>
      <c r="L561" s="1">
        <f>+Tabla__192.168.1.8_POSEIDONSQL_APPFVT_01_tblFillRateFechas[[#This Row],[emb_cantidad]]-Tabla__192.168.1.8_POSEIDONSQL_APPFVT_01_tblFillRateFechas[[#This Row],[dev_cantidad]]</f>
        <v>1</v>
      </c>
      <c r="M561" s="1">
        <f>+IF(Tabla__192.168.1.8_POSEIDONSQL_APPFVT_01_tblFillRateFechas[[#This Row],[Cant_Resultante]]=Tabla__192.168.1.8_POSEIDONSQL_APPFVT_01_tblFillRateFechas[[#This Row],[cant_order]],1,0)</f>
        <v>1</v>
      </c>
      <c r="N5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1" s="1">
        <f>+IF(AND(Tabla__192.168.1.8_POSEIDONSQL_APPFVT_01_tblFillRateFechas[[#This Row],[Valida Cant]]=1,Tabla__192.168.1.8_POSEIDONSQL_APPFVT_01_tblFillRateFechas[[#This Row],[Valida Fec]]=1),1,0)</f>
        <v>1</v>
      </c>
      <c r="P561" s="1">
        <f>+(Tabla__192.168.1.8_POSEIDONSQL_APPFVT_01_tblFillRateFechas[[#This Row],[Cant_Resultante]]/Tabla__192.168.1.8_POSEIDONSQL_APPFVT_01_tblFillRateFechas[[#This Row],[cant_order]])*100</f>
        <v>100</v>
      </c>
      <c r="Q5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1" s="1">
        <f>+IF(Tabla__192.168.1.8_POSEIDONSQL_APPFVT_01_tblFillRateFechas[[#This Row],[cant_order]]&gt;0,1,0)</f>
        <v>1</v>
      </c>
      <c r="V561" s="1">
        <f>+IF(Tabla__192.168.1.8_POSEIDONSQL_APPFVT_01_tblFillRateFechas[[#This Row],[Resultado]]=1,1,0)</f>
        <v>1</v>
      </c>
      <c r="W561" s="1" t="str">
        <f>+Tabla__192.168.1.8_POSEIDONSQL_APPFVT_01_tblFillRateFechas[[#This Row],[con_ocnumero]]&amp;Tabla__192.168.1.8_POSEIDONSQL_APPFVT_01_tblFillRateFechas[[#This Row],[con_codigounico]]</f>
        <v>6504036416-</v>
      </c>
      <c r="X5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2" spans="1:24" x14ac:dyDescent="0.25">
      <c r="A562">
        <v>5</v>
      </c>
      <c r="B562" t="s">
        <v>57</v>
      </c>
      <c r="C562">
        <v>6504038023</v>
      </c>
      <c r="D562" t="s">
        <v>1969</v>
      </c>
      <c r="E562" t="s">
        <v>422</v>
      </c>
      <c r="F562" t="s">
        <v>163</v>
      </c>
      <c r="G562">
        <v>1</v>
      </c>
      <c r="H562">
        <v>1</v>
      </c>
      <c r="I562" t="s">
        <v>422</v>
      </c>
      <c r="J562">
        <v>0</v>
      </c>
      <c r="K562" t="s">
        <v>49</v>
      </c>
      <c r="L562" s="1">
        <f>+Tabla__192.168.1.8_POSEIDONSQL_APPFVT_01_tblFillRateFechas[[#This Row],[emb_cantidad]]-Tabla__192.168.1.8_POSEIDONSQL_APPFVT_01_tblFillRateFechas[[#This Row],[dev_cantidad]]</f>
        <v>1</v>
      </c>
      <c r="M562" s="1">
        <f>+IF(Tabla__192.168.1.8_POSEIDONSQL_APPFVT_01_tblFillRateFechas[[#This Row],[Cant_Resultante]]=Tabla__192.168.1.8_POSEIDONSQL_APPFVT_01_tblFillRateFechas[[#This Row],[cant_order]],1,0)</f>
        <v>1</v>
      </c>
      <c r="N5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2" s="1">
        <f>+IF(AND(Tabla__192.168.1.8_POSEIDONSQL_APPFVT_01_tblFillRateFechas[[#This Row],[Valida Cant]]=1,Tabla__192.168.1.8_POSEIDONSQL_APPFVT_01_tblFillRateFechas[[#This Row],[Valida Fec]]=1),1,0)</f>
        <v>1</v>
      </c>
      <c r="P562" s="1">
        <f>+(Tabla__192.168.1.8_POSEIDONSQL_APPFVT_01_tblFillRateFechas[[#This Row],[Cant_Resultante]]/Tabla__192.168.1.8_POSEIDONSQL_APPFVT_01_tblFillRateFechas[[#This Row],[cant_order]])*100</f>
        <v>100</v>
      </c>
      <c r="Q5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2" s="1">
        <f>+IF(Tabla__192.168.1.8_POSEIDONSQL_APPFVT_01_tblFillRateFechas[[#This Row],[cant_order]]&gt;0,1,0)</f>
        <v>1</v>
      </c>
      <c r="V562" s="1">
        <f>+IF(Tabla__192.168.1.8_POSEIDONSQL_APPFVT_01_tblFillRateFechas[[#This Row],[Resultado]]=1,1,0)</f>
        <v>1</v>
      </c>
      <c r="W562" s="1" t="str">
        <f>+Tabla__192.168.1.8_POSEIDONSQL_APPFVT_01_tblFillRateFechas[[#This Row],[con_ocnumero]]&amp;Tabla__192.168.1.8_POSEIDONSQL_APPFVT_01_tblFillRateFechas[[#This Row],[con_codigounico]]</f>
        <v>6504038023-</v>
      </c>
      <c r="X5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3" spans="1:24" x14ac:dyDescent="0.25">
      <c r="A563">
        <v>5</v>
      </c>
      <c r="B563" t="s">
        <v>57</v>
      </c>
      <c r="C563">
        <v>6504038092</v>
      </c>
      <c r="D563" t="s">
        <v>428</v>
      </c>
      <c r="E563" t="s">
        <v>422</v>
      </c>
      <c r="F563" t="s">
        <v>163</v>
      </c>
      <c r="G563">
        <v>1</v>
      </c>
      <c r="H563">
        <v>1</v>
      </c>
      <c r="I563" t="s">
        <v>422</v>
      </c>
      <c r="J563">
        <v>0</v>
      </c>
      <c r="K563" t="s">
        <v>49</v>
      </c>
      <c r="L563" s="1">
        <f>+Tabla__192.168.1.8_POSEIDONSQL_APPFVT_01_tblFillRateFechas[[#This Row],[emb_cantidad]]-Tabla__192.168.1.8_POSEIDONSQL_APPFVT_01_tblFillRateFechas[[#This Row],[dev_cantidad]]</f>
        <v>1</v>
      </c>
      <c r="M563" s="1">
        <f>+IF(Tabla__192.168.1.8_POSEIDONSQL_APPFVT_01_tblFillRateFechas[[#This Row],[Cant_Resultante]]=Tabla__192.168.1.8_POSEIDONSQL_APPFVT_01_tblFillRateFechas[[#This Row],[cant_order]],1,0)</f>
        <v>1</v>
      </c>
      <c r="N5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3" s="1">
        <f>+IF(AND(Tabla__192.168.1.8_POSEIDONSQL_APPFVT_01_tblFillRateFechas[[#This Row],[Valida Cant]]=1,Tabla__192.168.1.8_POSEIDONSQL_APPFVT_01_tblFillRateFechas[[#This Row],[Valida Fec]]=1),1,0)</f>
        <v>1</v>
      </c>
      <c r="P563" s="1">
        <f>+(Tabla__192.168.1.8_POSEIDONSQL_APPFVT_01_tblFillRateFechas[[#This Row],[Cant_Resultante]]/Tabla__192.168.1.8_POSEIDONSQL_APPFVT_01_tblFillRateFechas[[#This Row],[cant_order]])*100</f>
        <v>100</v>
      </c>
      <c r="Q5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3" s="1">
        <f>+IF(Tabla__192.168.1.8_POSEIDONSQL_APPFVT_01_tblFillRateFechas[[#This Row],[cant_order]]&gt;0,1,0)</f>
        <v>1</v>
      </c>
      <c r="V563" s="1">
        <f>+IF(Tabla__192.168.1.8_POSEIDONSQL_APPFVT_01_tblFillRateFechas[[#This Row],[Resultado]]=1,1,0)</f>
        <v>1</v>
      </c>
      <c r="W563" s="1" t="str">
        <f>+Tabla__192.168.1.8_POSEIDONSQL_APPFVT_01_tblFillRateFechas[[#This Row],[con_ocnumero]]&amp;Tabla__192.168.1.8_POSEIDONSQL_APPFVT_01_tblFillRateFechas[[#This Row],[con_codigounico]]</f>
        <v>6504038092-</v>
      </c>
      <c r="X5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4" spans="1:24" x14ac:dyDescent="0.25">
      <c r="A564">
        <v>5</v>
      </c>
      <c r="B564" t="s">
        <v>57</v>
      </c>
      <c r="C564">
        <v>6504038311</v>
      </c>
      <c r="D564" t="s">
        <v>1982</v>
      </c>
      <c r="E564" t="s">
        <v>422</v>
      </c>
      <c r="F564" t="s">
        <v>163</v>
      </c>
      <c r="G564">
        <v>1</v>
      </c>
      <c r="H564">
        <v>1</v>
      </c>
      <c r="I564" t="s">
        <v>422</v>
      </c>
      <c r="J564">
        <v>0</v>
      </c>
      <c r="K564" t="s">
        <v>49</v>
      </c>
      <c r="L564" s="1">
        <f>+Tabla__192.168.1.8_POSEIDONSQL_APPFVT_01_tblFillRateFechas[[#This Row],[emb_cantidad]]-Tabla__192.168.1.8_POSEIDONSQL_APPFVT_01_tblFillRateFechas[[#This Row],[dev_cantidad]]</f>
        <v>1</v>
      </c>
      <c r="M564" s="1">
        <f>+IF(Tabla__192.168.1.8_POSEIDONSQL_APPFVT_01_tblFillRateFechas[[#This Row],[Cant_Resultante]]=Tabla__192.168.1.8_POSEIDONSQL_APPFVT_01_tblFillRateFechas[[#This Row],[cant_order]],1,0)</f>
        <v>1</v>
      </c>
      <c r="N5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4" s="1">
        <f>+IF(AND(Tabla__192.168.1.8_POSEIDONSQL_APPFVT_01_tblFillRateFechas[[#This Row],[Valida Cant]]=1,Tabla__192.168.1.8_POSEIDONSQL_APPFVT_01_tblFillRateFechas[[#This Row],[Valida Fec]]=1),1,0)</f>
        <v>1</v>
      </c>
      <c r="P564" s="1">
        <f>+(Tabla__192.168.1.8_POSEIDONSQL_APPFVT_01_tblFillRateFechas[[#This Row],[Cant_Resultante]]/Tabla__192.168.1.8_POSEIDONSQL_APPFVT_01_tblFillRateFechas[[#This Row],[cant_order]])*100</f>
        <v>100</v>
      </c>
      <c r="Q5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4" s="1">
        <f>+IF(Tabla__192.168.1.8_POSEIDONSQL_APPFVT_01_tblFillRateFechas[[#This Row],[cant_order]]&gt;0,1,0)</f>
        <v>1</v>
      </c>
      <c r="V564" s="1">
        <f>+IF(Tabla__192.168.1.8_POSEIDONSQL_APPFVT_01_tblFillRateFechas[[#This Row],[Resultado]]=1,1,0)</f>
        <v>1</v>
      </c>
      <c r="W564" s="1" t="str">
        <f>+Tabla__192.168.1.8_POSEIDONSQL_APPFVT_01_tblFillRateFechas[[#This Row],[con_ocnumero]]&amp;Tabla__192.168.1.8_POSEIDONSQL_APPFVT_01_tblFillRateFechas[[#This Row],[con_codigounico]]</f>
        <v>6504038311-</v>
      </c>
      <c r="X5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5" spans="1:24" x14ac:dyDescent="0.25">
      <c r="A565">
        <v>5</v>
      </c>
      <c r="B565" t="s">
        <v>57</v>
      </c>
      <c r="C565">
        <v>6504038326</v>
      </c>
      <c r="D565" t="s">
        <v>1982</v>
      </c>
      <c r="E565" t="s">
        <v>416</v>
      </c>
      <c r="F565" t="s">
        <v>163</v>
      </c>
      <c r="G565">
        <v>1</v>
      </c>
      <c r="H565">
        <v>1</v>
      </c>
      <c r="I565" t="s">
        <v>422</v>
      </c>
      <c r="J565">
        <v>0</v>
      </c>
      <c r="K565" t="s">
        <v>49</v>
      </c>
      <c r="L565" s="1">
        <f>+Tabla__192.168.1.8_POSEIDONSQL_APPFVT_01_tblFillRateFechas[[#This Row],[emb_cantidad]]-Tabla__192.168.1.8_POSEIDONSQL_APPFVT_01_tblFillRateFechas[[#This Row],[dev_cantidad]]</f>
        <v>1</v>
      </c>
      <c r="M565" s="1">
        <f>+IF(Tabla__192.168.1.8_POSEIDONSQL_APPFVT_01_tblFillRateFechas[[#This Row],[Cant_Resultante]]=Tabla__192.168.1.8_POSEIDONSQL_APPFVT_01_tblFillRateFechas[[#This Row],[cant_order]],1,0)</f>
        <v>1</v>
      </c>
      <c r="N5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5" s="1">
        <f>+IF(AND(Tabla__192.168.1.8_POSEIDONSQL_APPFVT_01_tblFillRateFechas[[#This Row],[Valida Cant]]=1,Tabla__192.168.1.8_POSEIDONSQL_APPFVT_01_tblFillRateFechas[[#This Row],[Valida Fec]]=1),1,0)</f>
        <v>1</v>
      </c>
      <c r="P565" s="1">
        <f>+(Tabla__192.168.1.8_POSEIDONSQL_APPFVT_01_tblFillRateFechas[[#This Row],[Cant_Resultante]]/Tabla__192.168.1.8_POSEIDONSQL_APPFVT_01_tblFillRateFechas[[#This Row],[cant_order]])*100</f>
        <v>100</v>
      </c>
      <c r="Q5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5" s="1">
        <f>+IF(Tabla__192.168.1.8_POSEIDONSQL_APPFVT_01_tblFillRateFechas[[#This Row],[cant_order]]&gt;0,1,0)</f>
        <v>1</v>
      </c>
      <c r="V565" s="1">
        <f>+IF(Tabla__192.168.1.8_POSEIDONSQL_APPFVT_01_tblFillRateFechas[[#This Row],[Resultado]]=1,1,0)</f>
        <v>1</v>
      </c>
      <c r="W565" s="1" t="str">
        <f>+Tabla__192.168.1.8_POSEIDONSQL_APPFVT_01_tblFillRateFechas[[#This Row],[con_ocnumero]]&amp;Tabla__192.168.1.8_POSEIDONSQL_APPFVT_01_tblFillRateFechas[[#This Row],[con_codigounico]]</f>
        <v>6504038326-</v>
      </c>
      <c r="X5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6" spans="1:24" x14ac:dyDescent="0.25">
      <c r="A566">
        <v>5</v>
      </c>
      <c r="B566" t="s">
        <v>57</v>
      </c>
      <c r="C566">
        <v>6504038365</v>
      </c>
      <c r="D566" t="s">
        <v>163</v>
      </c>
      <c r="E566" t="s">
        <v>416</v>
      </c>
      <c r="F566" t="s">
        <v>163</v>
      </c>
      <c r="G566">
        <v>1</v>
      </c>
      <c r="H566">
        <v>1</v>
      </c>
      <c r="I566" t="s">
        <v>422</v>
      </c>
      <c r="J566">
        <v>1</v>
      </c>
      <c r="K566" t="s">
        <v>49</v>
      </c>
      <c r="L566" s="1">
        <f>+Tabla__192.168.1.8_POSEIDONSQL_APPFVT_01_tblFillRateFechas[[#This Row],[emb_cantidad]]-Tabla__192.168.1.8_POSEIDONSQL_APPFVT_01_tblFillRateFechas[[#This Row],[dev_cantidad]]</f>
        <v>0</v>
      </c>
      <c r="M566" s="1">
        <f>+IF(Tabla__192.168.1.8_POSEIDONSQL_APPFVT_01_tblFillRateFechas[[#This Row],[Cant_Resultante]]=Tabla__192.168.1.8_POSEIDONSQL_APPFVT_01_tblFillRateFechas[[#This Row],[cant_order]],1,0)</f>
        <v>0</v>
      </c>
      <c r="N5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6" s="1">
        <f>+IF(AND(Tabla__192.168.1.8_POSEIDONSQL_APPFVT_01_tblFillRateFechas[[#This Row],[Valida Cant]]=1,Tabla__192.168.1.8_POSEIDONSQL_APPFVT_01_tblFillRateFechas[[#This Row],[Valida Fec]]=1),1,0)</f>
        <v>0</v>
      </c>
      <c r="P566" s="1">
        <f>+(Tabla__192.168.1.8_POSEIDONSQL_APPFVT_01_tblFillRateFechas[[#This Row],[Cant_Resultante]]/Tabla__192.168.1.8_POSEIDONSQL_APPFVT_01_tblFillRateFechas[[#This Row],[cant_order]])*100</f>
        <v>0</v>
      </c>
      <c r="Q5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-1</v>
      </c>
      <c r="T5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566" s="1">
        <f>+IF(Tabla__192.168.1.8_POSEIDONSQL_APPFVT_01_tblFillRateFechas[[#This Row],[cant_order]]&gt;0,1,0)</f>
        <v>1</v>
      </c>
      <c r="V566" s="1">
        <f>+IF(Tabla__192.168.1.8_POSEIDONSQL_APPFVT_01_tblFillRateFechas[[#This Row],[Resultado]]=1,1,0)</f>
        <v>0</v>
      </c>
      <c r="W566" s="1" t="str">
        <f>+Tabla__192.168.1.8_POSEIDONSQL_APPFVT_01_tblFillRateFechas[[#This Row],[con_ocnumero]]&amp;Tabla__192.168.1.8_POSEIDONSQL_APPFVT_01_tblFillRateFechas[[#This Row],[con_codigounico]]</f>
        <v>6504038365-</v>
      </c>
      <c r="X5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67" spans="1:24" x14ac:dyDescent="0.25">
      <c r="A567">
        <v>5</v>
      </c>
      <c r="B567" t="s">
        <v>57</v>
      </c>
      <c r="C567">
        <v>6504040904</v>
      </c>
      <c r="D567" t="s">
        <v>163</v>
      </c>
      <c r="E567" t="s">
        <v>416</v>
      </c>
      <c r="F567" t="s">
        <v>429</v>
      </c>
      <c r="G567">
        <v>1</v>
      </c>
      <c r="H567">
        <v>1</v>
      </c>
      <c r="I567" t="s">
        <v>422</v>
      </c>
      <c r="J567">
        <v>0</v>
      </c>
      <c r="K567" t="s">
        <v>49</v>
      </c>
      <c r="L567" s="1">
        <f>+Tabla__192.168.1.8_POSEIDONSQL_APPFVT_01_tblFillRateFechas[[#This Row],[emb_cantidad]]-Tabla__192.168.1.8_POSEIDONSQL_APPFVT_01_tblFillRateFechas[[#This Row],[dev_cantidad]]</f>
        <v>1</v>
      </c>
      <c r="M567" s="1">
        <f>+IF(Tabla__192.168.1.8_POSEIDONSQL_APPFVT_01_tblFillRateFechas[[#This Row],[Cant_Resultante]]=Tabla__192.168.1.8_POSEIDONSQL_APPFVT_01_tblFillRateFechas[[#This Row],[cant_order]],1,0)</f>
        <v>1</v>
      </c>
      <c r="N5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7" s="1">
        <f>+IF(AND(Tabla__192.168.1.8_POSEIDONSQL_APPFVT_01_tblFillRateFechas[[#This Row],[Valida Cant]]=1,Tabla__192.168.1.8_POSEIDONSQL_APPFVT_01_tblFillRateFechas[[#This Row],[Valida Fec]]=1),1,0)</f>
        <v>1</v>
      </c>
      <c r="P567" s="1">
        <f>+(Tabla__192.168.1.8_POSEIDONSQL_APPFVT_01_tblFillRateFechas[[#This Row],[Cant_Resultante]]/Tabla__192.168.1.8_POSEIDONSQL_APPFVT_01_tblFillRateFechas[[#This Row],[cant_order]])*100</f>
        <v>100</v>
      </c>
      <c r="Q5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67" s="1">
        <f>+IF(Tabla__192.168.1.8_POSEIDONSQL_APPFVT_01_tblFillRateFechas[[#This Row],[cant_order]]&gt;0,1,0)</f>
        <v>1</v>
      </c>
      <c r="V567" s="1">
        <f>+IF(Tabla__192.168.1.8_POSEIDONSQL_APPFVT_01_tblFillRateFechas[[#This Row],[Resultado]]=1,1,0)</f>
        <v>1</v>
      </c>
      <c r="W567" s="1" t="str">
        <f>+Tabla__192.168.1.8_POSEIDONSQL_APPFVT_01_tblFillRateFechas[[#This Row],[con_ocnumero]]&amp;Tabla__192.168.1.8_POSEIDONSQL_APPFVT_01_tblFillRateFechas[[#This Row],[con_codigounico]]</f>
        <v>6504040904-</v>
      </c>
      <c r="X5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68" spans="1:24" x14ac:dyDescent="0.25">
      <c r="A568">
        <v>5</v>
      </c>
      <c r="B568" t="s">
        <v>57</v>
      </c>
      <c r="C568">
        <v>6504042863</v>
      </c>
      <c r="D568" t="s">
        <v>429</v>
      </c>
      <c r="E568" t="s">
        <v>416</v>
      </c>
      <c r="F568" t="s">
        <v>427</v>
      </c>
      <c r="G568">
        <v>48</v>
      </c>
      <c r="H568">
        <v>0</v>
      </c>
      <c r="I568" t="s">
        <v>12</v>
      </c>
      <c r="J568">
        <v>0</v>
      </c>
      <c r="K568" t="s">
        <v>49</v>
      </c>
      <c r="L568" s="1">
        <f>+Tabla__192.168.1.8_POSEIDONSQL_APPFVT_01_tblFillRateFechas[[#This Row],[emb_cantidad]]-Tabla__192.168.1.8_POSEIDONSQL_APPFVT_01_tblFillRateFechas[[#This Row],[dev_cantidad]]</f>
        <v>0</v>
      </c>
      <c r="M568" s="1">
        <f>+IF(Tabla__192.168.1.8_POSEIDONSQL_APPFVT_01_tblFillRateFechas[[#This Row],[Cant_Resultante]]=Tabla__192.168.1.8_POSEIDONSQL_APPFVT_01_tblFillRateFechas[[#This Row],[cant_order]],1,0)</f>
        <v>0</v>
      </c>
      <c r="N5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68" s="1">
        <f>+IF(AND(Tabla__192.168.1.8_POSEIDONSQL_APPFVT_01_tblFillRateFechas[[#This Row],[Valida Cant]]=1,Tabla__192.168.1.8_POSEIDONSQL_APPFVT_01_tblFillRateFechas[[#This Row],[Valida Fec]]=1),1,0)</f>
        <v>0</v>
      </c>
      <c r="P568" s="1">
        <f>+(Tabla__192.168.1.8_POSEIDONSQL_APPFVT_01_tblFillRateFechas[[#This Row],[Cant_Resultante]]/Tabla__192.168.1.8_POSEIDONSQL_APPFVT_01_tblFillRateFechas[[#This Row],[cant_order]])*100</f>
        <v>0</v>
      </c>
      <c r="Q5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48</v>
      </c>
      <c r="U568" s="1">
        <f>+IF(Tabla__192.168.1.8_POSEIDONSQL_APPFVT_01_tblFillRateFechas[[#This Row],[cant_order]]&gt;0,1,0)</f>
        <v>1</v>
      </c>
      <c r="V568" s="1">
        <f>+IF(Tabla__192.168.1.8_POSEIDONSQL_APPFVT_01_tblFillRateFechas[[#This Row],[Resultado]]=1,1,0)</f>
        <v>0</v>
      </c>
      <c r="W568" s="1" t="str">
        <f>+Tabla__192.168.1.8_POSEIDONSQL_APPFVT_01_tblFillRateFechas[[#This Row],[con_ocnumero]]&amp;Tabla__192.168.1.8_POSEIDONSQL_APPFVT_01_tblFillRateFechas[[#This Row],[con_codigounico]]</f>
        <v>6504042863-</v>
      </c>
      <c r="X5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69" spans="1:24" x14ac:dyDescent="0.25">
      <c r="A569">
        <v>5</v>
      </c>
      <c r="B569" t="s">
        <v>57</v>
      </c>
      <c r="C569">
        <v>6504044256</v>
      </c>
      <c r="D569" t="s">
        <v>427</v>
      </c>
      <c r="E569" t="s">
        <v>416</v>
      </c>
      <c r="F569" t="s">
        <v>427</v>
      </c>
      <c r="G569">
        <v>1</v>
      </c>
      <c r="H569">
        <v>1</v>
      </c>
      <c r="I569" t="s">
        <v>422</v>
      </c>
      <c r="J569">
        <v>1</v>
      </c>
      <c r="K569" t="s">
        <v>49</v>
      </c>
      <c r="L569" s="1">
        <f>+Tabla__192.168.1.8_POSEIDONSQL_APPFVT_01_tblFillRateFechas[[#This Row],[emb_cantidad]]-Tabla__192.168.1.8_POSEIDONSQL_APPFVT_01_tblFillRateFechas[[#This Row],[dev_cantidad]]</f>
        <v>0</v>
      </c>
      <c r="M569" s="1">
        <f>+IF(Tabla__192.168.1.8_POSEIDONSQL_APPFVT_01_tblFillRateFechas[[#This Row],[Cant_Resultante]]=Tabla__192.168.1.8_POSEIDONSQL_APPFVT_01_tblFillRateFechas[[#This Row],[cant_order]],1,0)</f>
        <v>0</v>
      </c>
      <c r="N5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69" s="1">
        <f>+IF(AND(Tabla__192.168.1.8_POSEIDONSQL_APPFVT_01_tblFillRateFechas[[#This Row],[Valida Cant]]=1,Tabla__192.168.1.8_POSEIDONSQL_APPFVT_01_tblFillRateFechas[[#This Row],[Valida Fec]]=1),1,0)</f>
        <v>0</v>
      </c>
      <c r="P569" s="1">
        <f>+(Tabla__192.168.1.8_POSEIDONSQL_APPFVT_01_tblFillRateFechas[[#This Row],[Cant_Resultante]]/Tabla__192.168.1.8_POSEIDONSQL_APPFVT_01_tblFillRateFechas[[#This Row],[cant_order]])*100</f>
        <v>0</v>
      </c>
      <c r="Q5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-1</v>
      </c>
      <c r="T5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569" s="1">
        <f>+IF(Tabla__192.168.1.8_POSEIDONSQL_APPFVT_01_tblFillRateFechas[[#This Row],[cant_order]]&gt;0,1,0)</f>
        <v>1</v>
      </c>
      <c r="V569" s="1">
        <f>+IF(Tabla__192.168.1.8_POSEIDONSQL_APPFVT_01_tblFillRateFechas[[#This Row],[Resultado]]=1,1,0)</f>
        <v>0</v>
      </c>
      <c r="W569" s="1" t="str">
        <f>+Tabla__192.168.1.8_POSEIDONSQL_APPFVT_01_tblFillRateFechas[[#This Row],[con_ocnumero]]&amp;Tabla__192.168.1.8_POSEIDONSQL_APPFVT_01_tblFillRateFechas[[#This Row],[con_codigounico]]</f>
        <v>6504044256-</v>
      </c>
      <c r="X5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70" spans="1:24" x14ac:dyDescent="0.25">
      <c r="A570">
        <v>5</v>
      </c>
      <c r="B570" t="s">
        <v>57</v>
      </c>
      <c r="C570">
        <v>6504044309</v>
      </c>
      <c r="D570" t="s">
        <v>427</v>
      </c>
      <c r="E570" t="s">
        <v>422</v>
      </c>
      <c r="F570" t="s">
        <v>427</v>
      </c>
      <c r="G570">
        <v>87</v>
      </c>
      <c r="H570">
        <v>79</v>
      </c>
      <c r="I570" t="s">
        <v>422</v>
      </c>
      <c r="J570">
        <v>0</v>
      </c>
      <c r="K570" t="s">
        <v>49</v>
      </c>
      <c r="L570" s="1">
        <f>+Tabla__192.168.1.8_POSEIDONSQL_APPFVT_01_tblFillRateFechas[[#This Row],[emb_cantidad]]-Tabla__192.168.1.8_POSEIDONSQL_APPFVT_01_tblFillRateFechas[[#This Row],[dev_cantidad]]</f>
        <v>79</v>
      </c>
      <c r="M570" s="1">
        <f>+IF(Tabla__192.168.1.8_POSEIDONSQL_APPFVT_01_tblFillRateFechas[[#This Row],[Cant_Resultante]]=Tabla__192.168.1.8_POSEIDONSQL_APPFVT_01_tblFillRateFechas[[#This Row],[cant_order]],1,0)</f>
        <v>0</v>
      </c>
      <c r="N5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0" s="1">
        <f>+IF(AND(Tabla__192.168.1.8_POSEIDONSQL_APPFVT_01_tblFillRateFechas[[#This Row],[Valida Cant]]=1,Tabla__192.168.1.8_POSEIDONSQL_APPFVT_01_tblFillRateFechas[[#This Row],[Valida Fec]]=1),1,0)</f>
        <v>0</v>
      </c>
      <c r="P570" s="1">
        <f>+(Tabla__192.168.1.8_POSEIDONSQL_APPFVT_01_tblFillRateFechas[[#This Row],[Cant_Resultante]]/Tabla__192.168.1.8_POSEIDONSQL_APPFVT_01_tblFillRateFechas[[#This Row],[cant_order]])*100</f>
        <v>90.804597701149419</v>
      </c>
      <c r="Q5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79</v>
      </c>
      <c r="R5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79</v>
      </c>
      <c r="T5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8</v>
      </c>
      <c r="U570" s="1">
        <f>+IF(Tabla__192.168.1.8_POSEIDONSQL_APPFVT_01_tblFillRateFechas[[#This Row],[cant_order]]&gt;0,1,0)</f>
        <v>1</v>
      </c>
      <c r="V570" s="1">
        <f>+IF(Tabla__192.168.1.8_POSEIDONSQL_APPFVT_01_tblFillRateFechas[[#This Row],[Resultado]]=1,1,0)</f>
        <v>0</v>
      </c>
      <c r="W570" s="1" t="str">
        <f>+Tabla__192.168.1.8_POSEIDONSQL_APPFVT_01_tblFillRateFechas[[#This Row],[con_ocnumero]]&amp;Tabla__192.168.1.8_POSEIDONSQL_APPFVT_01_tblFillRateFechas[[#This Row],[con_codigounico]]</f>
        <v>6504044309-</v>
      </c>
      <c r="X5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79</v>
      </c>
    </row>
    <row r="571" spans="1:24" x14ac:dyDescent="0.25">
      <c r="A571">
        <v>5</v>
      </c>
      <c r="B571" t="s">
        <v>57</v>
      </c>
      <c r="C571">
        <v>6504045677</v>
      </c>
      <c r="D571" t="s">
        <v>425</v>
      </c>
      <c r="E571" t="s">
        <v>420</v>
      </c>
      <c r="F571" t="s">
        <v>426</v>
      </c>
      <c r="G571">
        <v>330</v>
      </c>
      <c r="H571">
        <v>330</v>
      </c>
      <c r="I571" t="s">
        <v>423</v>
      </c>
      <c r="J571">
        <v>0</v>
      </c>
      <c r="K571" t="s">
        <v>49</v>
      </c>
      <c r="L571" s="1">
        <f>+Tabla__192.168.1.8_POSEIDONSQL_APPFVT_01_tblFillRateFechas[[#This Row],[emb_cantidad]]-Tabla__192.168.1.8_POSEIDONSQL_APPFVT_01_tblFillRateFechas[[#This Row],[dev_cantidad]]</f>
        <v>330</v>
      </c>
      <c r="M571" s="1">
        <f>+IF(Tabla__192.168.1.8_POSEIDONSQL_APPFVT_01_tblFillRateFechas[[#This Row],[Cant_Resultante]]=Tabla__192.168.1.8_POSEIDONSQL_APPFVT_01_tblFillRateFechas[[#This Row],[cant_order]],1,0)</f>
        <v>1</v>
      </c>
      <c r="N5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71" s="1">
        <f>+IF(AND(Tabla__192.168.1.8_POSEIDONSQL_APPFVT_01_tblFillRateFechas[[#This Row],[Valida Cant]]=1,Tabla__192.168.1.8_POSEIDONSQL_APPFVT_01_tblFillRateFechas[[#This Row],[Valida Fec]]=1),1,0)</f>
        <v>0</v>
      </c>
      <c r="P571" s="1">
        <f>+(Tabla__192.168.1.8_POSEIDONSQL_APPFVT_01_tblFillRateFechas[[#This Row],[Cant_Resultante]]/Tabla__192.168.1.8_POSEIDONSQL_APPFVT_01_tblFillRateFechas[[#This Row],[cant_order]])*100</f>
        <v>100</v>
      </c>
      <c r="Q5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330</v>
      </c>
      <c r="R5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330</v>
      </c>
      <c r="T5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1" s="1">
        <f>+IF(Tabla__192.168.1.8_POSEIDONSQL_APPFVT_01_tblFillRateFechas[[#This Row],[cant_order]]&gt;0,1,0)</f>
        <v>1</v>
      </c>
      <c r="V571" s="1">
        <f>+IF(Tabla__192.168.1.8_POSEIDONSQL_APPFVT_01_tblFillRateFechas[[#This Row],[Resultado]]=1,1,0)</f>
        <v>0</v>
      </c>
      <c r="W571" s="1" t="str">
        <f>+Tabla__192.168.1.8_POSEIDONSQL_APPFVT_01_tblFillRateFechas[[#This Row],[con_ocnumero]]&amp;Tabla__192.168.1.8_POSEIDONSQL_APPFVT_01_tblFillRateFechas[[#This Row],[con_codigounico]]</f>
        <v>6504045677-</v>
      </c>
      <c r="X5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330</v>
      </c>
    </row>
    <row r="572" spans="1:24" x14ac:dyDescent="0.25">
      <c r="A572">
        <v>5</v>
      </c>
      <c r="B572" t="s">
        <v>57</v>
      </c>
      <c r="C572">
        <v>6504046574</v>
      </c>
      <c r="D572" t="s">
        <v>427</v>
      </c>
      <c r="E572" t="s">
        <v>416</v>
      </c>
      <c r="F572" t="s">
        <v>425</v>
      </c>
      <c r="G572">
        <v>1</v>
      </c>
      <c r="H572">
        <v>1</v>
      </c>
      <c r="I572" t="s">
        <v>422</v>
      </c>
      <c r="J572">
        <v>0</v>
      </c>
      <c r="K572" t="s">
        <v>49</v>
      </c>
      <c r="L572" s="1">
        <f>+Tabla__192.168.1.8_POSEIDONSQL_APPFVT_01_tblFillRateFechas[[#This Row],[emb_cantidad]]-Tabla__192.168.1.8_POSEIDONSQL_APPFVT_01_tblFillRateFechas[[#This Row],[dev_cantidad]]</f>
        <v>1</v>
      </c>
      <c r="M572" s="1">
        <f>+IF(Tabla__192.168.1.8_POSEIDONSQL_APPFVT_01_tblFillRateFechas[[#This Row],[Cant_Resultante]]=Tabla__192.168.1.8_POSEIDONSQL_APPFVT_01_tblFillRateFechas[[#This Row],[cant_order]],1,0)</f>
        <v>1</v>
      </c>
      <c r="N5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2" s="1">
        <f>+IF(AND(Tabla__192.168.1.8_POSEIDONSQL_APPFVT_01_tblFillRateFechas[[#This Row],[Valida Cant]]=1,Tabla__192.168.1.8_POSEIDONSQL_APPFVT_01_tblFillRateFechas[[#This Row],[Valida Fec]]=1),1,0)</f>
        <v>1</v>
      </c>
      <c r="P572" s="1">
        <f>+(Tabla__192.168.1.8_POSEIDONSQL_APPFVT_01_tblFillRateFechas[[#This Row],[Cant_Resultante]]/Tabla__192.168.1.8_POSEIDONSQL_APPFVT_01_tblFillRateFechas[[#This Row],[cant_order]])*100</f>
        <v>100</v>
      </c>
      <c r="Q5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2" s="1">
        <f>+IF(Tabla__192.168.1.8_POSEIDONSQL_APPFVT_01_tblFillRateFechas[[#This Row],[cant_order]]&gt;0,1,0)</f>
        <v>1</v>
      </c>
      <c r="V572" s="1">
        <f>+IF(Tabla__192.168.1.8_POSEIDONSQL_APPFVT_01_tblFillRateFechas[[#This Row],[Resultado]]=1,1,0)</f>
        <v>1</v>
      </c>
      <c r="W572" s="1" t="str">
        <f>+Tabla__192.168.1.8_POSEIDONSQL_APPFVT_01_tblFillRateFechas[[#This Row],[con_ocnumero]]&amp;Tabla__192.168.1.8_POSEIDONSQL_APPFVT_01_tblFillRateFechas[[#This Row],[con_codigounico]]</f>
        <v>6504046574-</v>
      </c>
      <c r="X5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3" spans="1:24" x14ac:dyDescent="0.25">
      <c r="A573">
        <v>5</v>
      </c>
      <c r="B573" t="s">
        <v>57</v>
      </c>
      <c r="C573">
        <v>6504046575</v>
      </c>
      <c r="D573" t="s">
        <v>427</v>
      </c>
      <c r="E573" t="s">
        <v>416</v>
      </c>
      <c r="F573" t="s">
        <v>425</v>
      </c>
      <c r="G573">
        <v>1</v>
      </c>
      <c r="H573">
        <v>1</v>
      </c>
      <c r="I573" t="s">
        <v>422</v>
      </c>
      <c r="J573">
        <v>0</v>
      </c>
      <c r="K573" t="s">
        <v>49</v>
      </c>
      <c r="L573" s="1">
        <f>+Tabla__192.168.1.8_POSEIDONSQL_APPFVT_01_tblFillRateFechas[[#This Row],[emb_cantidad]]-Tabla__192.168.1.8_POSEIDONSQL_APPFVT_01_tblFillRateFechas[[#This Row],[dev_cantidad]]</f>
        <v>1</v>
      </c>
      <c r="M573" s="1">
        <f>+IF(Tabla__192.168.1.8_POSEIDONSQL_APPFVT_01_tblFillRateFechas[[#This Row],[Cant_Resultante]]=Tabla__192.168.1.8_POSEIDONSQL_APPFVT_01_tblFillRateFechas[[#This Row],[cant_order]],1,0)</f>
        <v>1</v>
      </c>
      <c r="N5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3" s="1">
        <f>+IF(AND(Tabla__192.168.1.8_POSEIDONSQL_APPFVT_01_tblFillRateFechas[[#This Row],[Valida Cant]]=1,Tabla__192.168.1.8_POSEIDONSQL_APPFVT_01_tblFillRateFechas[[#This Row],[Valida Fec]]=1),1,0)</f>
        <v>1</v>
      </c>
      <c r="P573" s="1">
        <f>+(Tabla__192.168.1.8_POSEIDONSQL_APPFVT_01_tblFillRateFechas[[#This Row],[Cant_Resultante]]/Tabla__192.168.1.8_POSEIDONSQL_APPFVT_01_tblFillRateFechas[[#This Row],[cant_order]])*100</f>
        <v>100</v>
      </c>
      <c r="Q5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3" s="1">
        <f>+IF(Tabla__192.168.1.8_POSEIDONSQL_APPFVT_01_tblFillRateFechas[[#This Row],[cant_order]]&gt;0,1,0)</f>
        <v>1</v>
      </c>
      <c r="V573" s="1">
        <f>+IF(Tabla__192.168.1.8_POSEIDONSQL_APPFVT_01_tblFillRateFechas[[#This Row],[Resultado]]=1,1,0)</f>
        <v>1</v>
      </c>
      <c r="W573" s="1" t="str">
        <f>+Tabla__192.168.1.8_POSEIDONSQL_APPFVT_01_tblFillRateFechas[[#This Row],[con_ocnumero]]&amp;Tabla__192.168.1.8_POSEIDONSQL_APPFVT_01_tblFillRateFechas[[#This Row],[con_codigounico]]</f>
        <v>6504046575-</v>
      </c>
      <c r="X5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4" spans="1:24" x14ac:dyDescent="0.25">
      <c r="A574">
        <v>5</v>
      </c>
      <c r="B574" t="s">
        <v>57</v>
      </c>
      <c r="C574">
        <v>6504047237</v>
      </c>
      <c r="D574" t="s">
        <v>427</v>
      </c>
      <c r="E574" t="s">
        <v>416</v>
      </c>
      <c r="F574" t="s">
        <v>425</v>
      </c>
      <c r="G574">
        <v>1</v>
      </c>
      <c r="H574">
        <v>1</v>
      </c>
      <c r="I574" t="s">
        <v>422</v>
      </c>
      <c r="J574">
        <v>0</v>
      </c>
      <c r="K574" t="s">
        <v>49</v>
      </c>
      <c r="L574" s="1">
        <f>+Tabla__192.168.1.8_POSEIDONSQL_APPFVT_01_tblFillRateFechas[[#This Row],[emb_cantidad]]-Tabla__192.168.1.8_POSEIDONSQL_APPFVT_01_tblFillRateFechas[[#This Row],[dev_cantidad]]</f>
        <v>1</v>
      </c>
      <c r="M574" s="1">
        <f>+IF(Tabla__192.168.1.8_POSEIDONSQL_APPFVT_01_tblFillRateFechas[[#This Row],[Cant_Resultante]]=Tabla__192.168.1.8_POSEIDONSQL_APPFVT_01_tblFillRateFechas[[#This Row],[cant_order]],1,0)</f>
        <v>1</v>
      </c>
      <c r="N5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4" s="1">
        <f>+IF(AND(Tabla__192.168.1.8_POSEIDONSQL_APPFVT_01_tblFillRateFechas[[#This Row],[Valida Cant]]=1,Tabla__192.168.1.8_POSEIDONSQL_APPFVT_01_tblFillRateFechas[[#This Row],[Valida Fec]]=1),1,0)</f>
        <v>1</v>
      </c>
      <c r="P574" s="1">
        <f>+(Tabla__192.168.1.8_POSEIDONSQL_APPFVT_01_tblFillRateFechas[[#This Row],[Cant_Resultante]]/Tabla__192.168.1.8_POSEIDONSQL_APPFVT_01_tblFillRateFechas[[#This Row],[cant_order]])*100</f>
        <v>100</v>
      </c>
      <c r="Q5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4" s="1">
        <f>+IF(Tabla__192.168.1.8_POSEIDONSQL_APPFVT_01_tblFillRateFechas[[#This Row],[cant_order]]&gt;0,1,0)</f>
        <v>1</v>
      </c>
      <c r="V574" s="1">
        <f>+IF(Tabla__192.168.1.8_POSEIDONSQL_APPFVT_01_tblFillRateFechas[[#This Row],[Resultado]]=1,1,0)</f>
        <v>1</v>
      </c>
      <c r="W574" s="1" t="str">
        <f>+Tabla__192.168.1.8_POSEIDONSQL_APPFVT_01_tblFillRateFechas[[#This Row],[con_ocnumero]]&amp;Tabla__192.168.1.8_POSEIDONSQL_APPFVT_01_tblFillRateFechas[[#This Row],[con_codigounico]]</f>
        <v>6504047237-</v>
      </c>
      <c r="X5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5" spans="1:24" x14ac:dyDescent="0.25">
      <c r="A575">
        <v>5</v>
      </c>
      <c r="B575" t="s">
        <v>57</v>
      </c>
      <c r="C575">
        <v>6504047313</v>
      </c>
      <c r="D575" t="s">
        <v>427</v>
      </c>
      <c r="E575" t="s">
        <v>419</v>
      </c>
      <c r="F575" t="s">
        <v>425</v>
      </c>
      <c r="G575">
        <v>12</v>
      </c>
      <c r="H575">
        <v>0</v>
      </c>
      <c r="I575" t="s">
        <v>12</v>
      </c>
      <c r="J575">
        <v>0</v>
      </c>
      <c r="K575" t="s">
        <v>49</v>
      </c>
      <c r="L575" s="1">
        <f>+Tabla__192.168.1.8_POSEIDONSQL_APPFVT_01_tblFillRateFechas[[#This Row],[emb_cantidad]]-Tabla__192.168.1.8_POSEIDONSQL_APPFVT_01_tblFillRateFechas[[#This Row],[dev_cantidad]]</f>
        <v>0</v>
      </c>
      <c r="M575" s="1">
        <f>+IF(Tabla__192.168.1.8_POSEIDONSQL_APPFVT_01_tblFillRateFechas[[#This Row],[Cant_Resultante]]=Tabla__192.168.1.8_POSEIDONSQL_APPFVT_01_tblFillRateFechas[[#This Row],[cant_order]],1,0)</f>
        <v>0</v>
      </c>
      <c r="N5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75" s="1">
        <f>+IF(AND(Tabla__192.168.1.8_POSEIDONSQL_APPFVT_01_tblFillRateFechas[[#This Row],[Valida Cant]]=1,Tabla__192.168.1.8_POSEIDONSQL_APPFVT_01_tblFillRateFechas[[#This Row],[Valida Fec]]=1),1,0)</f>
        <v>0</v>
      </c>
      <c r="P575" s="1">
        <f>+(Tabla__192.168.1.8_POSEIDONSQL_APPFVT_01_tblFillRateFechas[[#This Row],[Cant_Resultante]]/Tabla__192.168.1.8_POSEIDONSQL_APPFVT_01_tblFillRateFechas[[#This Row],[cant_order]])*100</f>
        <v>0</v>
      </c>
      <c r="Q5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12</v>
      </c>
      <c r="U575" s="1">
        <f>+IF(Tabla__192.168.1.8_POSEIDONSQL_APPFVT_01_tblFillRateFechas[[#This Row],[cant_order]]&gt;0,1,0)</f>
        <v>1</v>
      </c>
      <c r="V575" s="1">
        <f>+IF(Tabla__192.168.1.8_POSEIDONSQL_APPFVT_01_tblFillRateFechas[[#This Row],[Resultado]]=1,1,0)</f>
        <v>0</v>
      </c>
      <c r="W575" s="1" t="str">
        <f>+Tabla__192.168.1.8_POSEIDONSQL_APPFVT_01_tblFillRateFechas[[#This Row],[con_ocnumero]]&amp;Tabla__192.168.1.8_POSEIDONSQL_APPFVT_01_tblFillRateFechas[[#This Row],[con_codigounico]]</f>
        <v>6504047313-</v>
      </c>
      <c r="X5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76" spans="1:24" x14ac:dyDescent="0.25">
      <c r="A576">
        <v>5</v>
      </c>
      <c r="B576" t="s">
        <v>57</v>
      </c>
      <c r="C576">
        <v>6504048568</v>
      </c>
      <c r="D576" t="s">
        <v>425</v>
      </c>
      <c r="E576" t="s">
        <v>416</v>
      </c>
      <c r="F576" t="s">
        <v>426</v>
      </c>
      <c r="G576">
        <v>1</v>
      </c>
      <c r="H576">
        <v>1</v>
      </c>
      <c r="I576" t="s">
        <v>422</v>
      </c>
      <c r="J576">
        <v>0</v>
      </c>
      <c r="K576" t="s">
        <v>49</v>
      </c>
      <c r="L576" s="1">
        <f>+Tabla__192.168.1.8_POSEIDONSQL_APPFVT_01_tblFillRateFechas[[#This Row],[emb_cantidad]]-Tabla__192.168.1.8_POSEIDONSQL_APPFVT_01_tblFillRateFechas[[#This Row],[dev_cantidad]]</f>
        <v>1</v>
      </c>
      <c r="M576" s="1">
        <f>+IF(Tabla__192.168.1.8_POSEIDONSQL_APPFVT_01_tblFillRateFechas[[#This Row],[Cant_Resultante]]=Tabla__192.168.1.8_POSEIDONSQL_APPFVT_01_tblFillRateFechas[[#This Row],[cant_order]],1,0)</f>
        <v>1</v>
      </c>
      <c r="N5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6" s="1">
        <f>+IF(AND(Tabla__192.168.1.8_POSEIDONSQL_APPFVT_01_tblFillRateFechas[[#This Row],[Valida Cant]]=1,Tabla__192.168.1.8_POSEIDONSQL_APPFVT_01_tblFillRateFechas[[#This Row],[Valida Fec]]=1),1,0)</f>
        <v>1</v>
      </c>
      <c r="P576" s="1">
        <f>+(Tabla__192.168.1.8_POSEIDONSQL_APPFVT_01_tblFillRateFechas[[#This Row],[Cant_Resultante]]/Tabla__192.168.1.8_POSEIDONSQL_APPFVT_01_tblFillRateFechas[[#This Row],[cant_order]])*100</f>
        <v>100</v>
      </c>
      <c r="Q5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6" s="1">
        <f>+IF(Tabla__192.168.1.8_POSEIDONSQL_APPFVT_01_tblFillRateFechas[[#This Row],[cant_order]]&gt;0,1,0)</f>
        <v>1</v>
      </c>
      <c r="V576" s="1">
        <f>+IF(Tabla__192.168.1.8_POSEIDONSQL_APPFVT_01_tblFillRateFechas[[#This Row],[Resultado]]=1,1,0)</f>
        <v>1</v>
      </c>
      <c r="W576" s="1" t="str">
        <f>+Tabla__192.168.1.8_POSEIDONSQL_APPFVT_01_tblFillRateFechas[[#This Row],[con_ocnumero]]&amp;Tabla__192.168.1.8_POSEIDONSQL_APPFVT_01_tblFillRateFechas[[#This Row],[con_codigounico]]</f>
        <v>6504048568-</v>
      </c>
      <c r="X5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7" spans="1:24" x14ac:dyDescent="0.25">
      <c r="A577">
        <v>5</v>
      </c>
      <c r="B577" t="s">
        <v>57</v>
      </c>
      <c r="C577">
        <v>6504049872</v>
      </c>
      <c r="D577" t="s">
        <v>1983</v>
      </c>
      <c r="E577" t="s">
        <v>416</v>
      </c>
      <c r="F577" t="s">
        <v>415</v>
      </c>
      <c r="G577">
        <v>1</v>
      </c>
      <c r="H577">
        <v>1</v>
      </c>
      <c r="I577" t="s">
        <v>416</v>
      </c>
      <c r="J577">
        <v>0</v>
      </c>
      <c r="K577" t="s">
        <v>49</v>
      </c>
      <c r="L577" s="1">
        <f>+Tabla__192.168.1.8_POSEIDONSQL_APPFVT_01_tblFillRateFechas[[#This Row],[emb_cantidad]]-Tabla__192.168.1.8_POSEIDONSQL_APPFVT_01_tblFillRateFechas[[#This Row],[dev_cantidad]]</f>
        <v>1</v>
      </c>
      <c r="M577" s="1">
        <f>+IF(Tabla__192.168.1.8_POSEIDONSQL_APPFVT_01_tblFillRateFechas[[#This Row],[Cant_Resultante]]=Tabla__192.168.1.8_POSEIDONSQL_APPFVT_01_tblFillRateFechas[[#This Row],[cant_order]],1,0)</f>
        <v>1</v>
      </c>
      <c r="N5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7" s="1">
        <f>+IF(AND(Tabla__192.168.1.8_POSEIDONSQL_APPFVT_01_tblFillRateFechas[[#This Row],[Valida Cant]]=1,Tabla__192.168.1.8_POSEIDONSQL_APPFVT_01_tblFillRateFechas[[#This Row],[Valida Fec]]=1),1,0)</f>
        <v>1</v>
      </c>
      <c r="P577" s="1">
        <f>+(Tabla__192.168.1.8_POSEIDONSQL_APPFVT_01_tblFillRateFechas[[#This Row],[Cant_Resultante]]/Tabla__192.168.1.8_POSEIDONSQL_APPFVT_01_tblFillRateFechas[[#This Row],[cant_order]])*100</f>
        <v>100</v>
      </c>
      <c r="Q5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7" s="1">
        <f>+IF(Tabla__192.168.1.8_POSEIDONSQL_APPFVT_01_tblFillRateFechas[[#This Row],[cant_order]]&gt;0,1,0)</f>
        <v>1</v>
      </c>
      <c r="V577" s="1">
        <f>+IF(Tabla__192.168.1.8_POSEIDONSQL_APPFVT_01_tblFillRateFechas[[#This Row],[Resultado]]=1,1,0)</f>
        <v>1</v>
      </c>
      <c r="W577" s="1" t="str">
        <f>+Tabla__192.168.1.8_POSEIDONSQL_APPFVT_01_tblFillRateFechas[[#This Row],[con_ocnumero]]&amp;Tabla__192.168.1.8_POSEIDONSQL_APPFVT_01_tblFillRateFechas[[#This Row],[con_codigounico]]</f>
        <v>6504049872-</v>
      </c>
      <c r="X5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8" spans="1:24" x14ac:dyDescent="0.25">
      <c r="A578">
        <v>5</v>
      </c>
      <c r="B578" t="s">
        <v>57</v>
      </c>
      <c r="C578">
        <v>6504049925</v>
      </c>
      <c r="D578" t="s">
        <v>426</v>
      </c>
      <c r="E578" t="s">
        <v>416</v>
      </c>
      <c r="F578" t="s">
        <v>415</v>
      </c>
      <c r="G578">
        <v>1</v>
      </c>
      <c r="H578">
        <v>1</v>
      </c>
      <c r="I578" t="s">
        <v>416</v>
      </c>
      <c r="J578">
        <v>0</v>
      </c>
      <c r="K578" t="s">
        <v>49</v>
      </c>
      <c r="L578" s="1">
        <f>+Tabla__192.168.1.8_POSEIDONSQL_APPFVT_01_tblFillRateFechas[[#This Row],[emb_cantidad]]-Tabla__192.168.1.8_POSEIDONSQL_APPFVT_01_tblFillRateFechas[[#This Row],[dev_cantidad]]</f>
        <v>1</v>
      </c>
      <c r="M578" s="1">
        <f>+IF(Tabla__192.168.1.8_POSEIDONSQL_APPFVT_01_tblFillRateFechas[[#This Row],[Cant_Resultante]]=Tabla__192.168.1.8_POSEIDONSQL_APPFVT_01_tblFillRateFechas[[#This Row],[cant_order]],1,0)</f>
        <v>1</v>
      </c>
      <c r="N5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8" s="1">
        <f>+IF(AND(Tabla__192.168.1.8_POSEIDONSQL_APPFVT_01_tblFillRateFechas[[#This Row],[Valida Cant]]=1,Tabla__192.168.1.8_POSEIDONSQL_APPFVT_01_tblFillRateFechas[[#This Row],[Valida Fec]]=1),1,0)</f>
        <v>1</v>
      </c>
      <c r="P578" s="1">
        <f>+(Tabla__192.168.1.8_POSEIDONSQL_APPFVT_01_tblFillRateFechas[[#This Row],[Cant_Resultante]]/Tabla__192.168.1.8_POSEIDONSQL_APPFVT_01_tblFillRateFechas[[#This Row],[cant_order]])*100</f>
        <v>100</v>
      </c>
      <c r="Q5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8" s="1">
        <f>+IF(Tabla__192.168.1.8_POSEIDONSQL_APPFVT_01_tblFillRateFechas[[#This Row],[cant_order]]&gt;0,1,0)</f>
        <v>1</v>
      </c>
      <c r="V578" s="1">
        <f>+IF(Tabla__192.168.1.8_POSEIDONSQL_APPFVT_01_tblFillRateFechas[[#This Row],[Resultado]]=1,1,0)</f>
        <v>1</v>
      </c>
      <c r="W578" s="1" t="str">
        <f>+Tabla__192.168.1.8_POSEIDONSQL_APPFVT_01_tblFillRateFechas[[#This Row],[con_ocnumero]]&amp;Tabla__192.168.1.8_POSEIDONSQL_APPFVT_01_tblFillRateFechas[[#This Row],[con_codigounico]]</f>
        <v>6504049925-</v>
      </c>
      <c r="X5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79" spans="1:24" x14ac:dyDescent="0.25">
      <c r="A579">
        <v>5</v>
      </c>
      <c r="B579" t="s">
        <v>57</v>
      </c>
      <c r="C579">
        <v>6504049936</v>
      </c>
      <c r="D579" t="s">
        <v>426</v>
      </c>
      <c r="E579" t="s">
        <v>416</v>
      </c>
      <c r="F579" t="s">
        <v>415</v>
      </c>
      <c r="G579">
        <v>1</v>
      </c>
      <c r="H579">
        <v>1</v>
      </c>
      <c r="I579" t="s">
        <v>416</v>
      </c>
      <c r="J579">
        <v>0</v>
      </c>
      <c r="K579" t="s">
        <v>49</v>
      </c>
      <c r="L579" s="1">
        <f>+Tabla__192.168.1.8_POSEIDONSQL_APPFVT_01_tblFillRateFechas[[#This Row],[emb_cantidad]]-Tabla__192.168.1.8_POSEIDONSQL_APPFVT_01_tblFillRateFechas[[#This Row],[dev_cantidad]]</f>
        <v>1</v>
      </c>
      <c r="M579" s="1">
        <f>+IF(Tabla__192.168.1.8_POSEIDONSQL_APPFVT_01_tblFillRateFechas[[#This Row],[Cant_Resultante]]=Tabla__192.168.1.8_POSEIDONSQL_APPFVT_01_tblFillRateFechas[[#This Row],[cant_order]],1,0)</f>
        <v>1</v>
      </c>
      <c r="N5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79" s="1">
        <f>+IF(AND(Tabla__192.168.1.8_POSEIDONSQL_APPFVT_01_tblFillRateFechas[[#This Row],[Valida Cant]]=1,Tabla__192.168.1.8_POSEIDONSQL_APPFVT_01_tblFillRateFechas[[#This Row],[Valida Fec]]=1),1,0)</f>
        <v>1</v>
      </c>
      <c r="P579" s="1">
        <f>+(Tabla__192.168.1.8_POSEIDONSQL_APPFVT_01_tblFillRateFechas[[#This Row],[Cant_Resultante]]/Tabla__192.168.1.8_POSEIDONSQL_APPFVT_01_tblFillRateFechas[[#This Row],[cant_order]])*100</f>
        <v>100</v>
      </c>
      <c r="Q5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79" s="1">
        <f>+IF(Tabla__192.168.1.8_POSEIDONSQL_APPFVT_01_tblFillRateFechas[[#This Row],[cant_order]]&gt;0,1,0)</f>
        <v>1</v>
      </c>
      <c r="V579" s="1">
        <f>+IF(Tabla__192.168.1.8_POSEIDONSQL_APPFVT_01_tblFillRateFechas[[#This Row],[Resultado]]=1,1,0)</f>
        <v>1</v>
      </c>
      <c r="W579" s="1" t="str">
        <f>+Tabla__192.168.1.8_POSEIDONSQL_APPFVT_01_tblFillRateFechas[[#This Row],[con_ocnumero]]&amp;Tabla__192.168.1.8_POSEIDONSQL_APPFVT_01_tblFillRateFechas[[#This Row],[con_codigounico]]</f>
        <v>6504049936-</v>
      </c>
      <c r="X5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0" spans="1:24" x14ac:dyDescent="0.25">
      <c r="A580">
        <v>5</v>
      </c>
      <c r="B580" t="s">
        <v>57</v>
      </c>
      <c r="C580">
        <v>6504049944</v>
      </c>
      <c r="D580" t="s">
        <v>426</v>
      </c>
      <c r="E580" t="s">
        <v>416</v>
      </c>
      <c r="F580" t="s">
        <v>415</v>
      </c>
      <c r="G580">
        <v>1</v>
      </c>
      <c r="H580">
        <v>1</v>
      </c>
      <c r="I580" t="s">
        <v>416</v>
      </c>
      <c r="J580">
        <v>0</v>
      </c>
      <c r="K580" t="s">
        <v>49</v>
      </c>
      <c r="L580" s="1">
        <f>+Tabla__192.168.1.8_POSEIDONSQL_APPFVT_01_tblFillRateFechas[[#This Row],[emb_cantidad]]-Tabla__192.168.1.8_POSEIDONSQL_APPFVT_01_tblFillRateFechas[[#This Row],[dev_cantidad]]</f>
        <v>1</v>
      </c>
      <c r="M580" s="1">
        <f>+IF(Tabla__192.168.1.8_POSEIDONSQL_APPFVT_01_tblFillRateFechas[[#This Row],[Cant_Resultante]]=Tabla__192.168.1.8_POSEIDONSQL_APPFVT_01_tblFillRateFechas[[#This Row],[cant_order]],1,0)</f>
        <v>1</v>
      </c>
      <c r="N5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0" s="1">
        <f>+IF(AND(Tabla__192.168.1.8_POSEIDONSQL_APPFVT_01_tblFillRateFechas[[#This Row],[Valida Cant]]=1,Tabla__192.168.1.8_POSEIDONSQL_APPFVT_01_tblFillRateFechas[[#This Row],[Valida Fec]]=1),1,0)</f>
        <v>1</v>
      </c>
      <c r="P580" s="1">
        <f>+(Tabla__192.168.1.8_POSEIDONSQL_APPFVT_01_tblFillRateFechas[[#This Row],[Cant_Resultante]]/Tabla__192.168.1.8_POSEIDONSQL_APPFVT_01_tblFillRateFechas[[#This Row],[cant_order]])*100</f>
        <v>100</v>
      </c>
      <c r="Q5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0" s="1">
        <f>+IF(Tabla__192.168.1.8_POSEIDONSQL_APPFVT_01_tblFillRateFechas[[#This Row],[cant_order]]&gt;0,1,0)</f>
        <v>1</v>
      </c>
      <c r="V580" s="1">
        <f>+IF(Tabla__192.168.1.8_POSEIDONSQL_APPFVT_01_tblFillRateFechas[[#This Row],[Resultado]]=1,1,0)</f>
        <v>1</v>
      </c>
      <c r="W580" s="1" t="str">
        <f>+Tabla__192.168.1.8_POSEIDONSQL_APPFVT_01_tblFillRateFechas[[#This Row],[con_ocnumero]]&amp;Tabla__192.168.1.8_POSEIDONSQL_APPFVT_01_tblFillRateFechas[[#This Row],[con_codigounico]]</f>
        <v>6504049944-</v>
      </c>
      <c r="X5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1" spans="1:24" x14ac:dyDescent="0.25">
      <c r="A581">
        <v>5</v>
      </c>
      <c r="B581" t="s">
        <v>57</v>
      </c>
      <c r="C581">
        <v>6504050671</v>
      </c>
      <c r="D581" t="s">
        <v>1983</v>
      </c>
      <c r="E581" t="s">
        <v>420</v>
      </c>
      <c r="F581" t="s">
        <v>415</v>
      </c>
      <c r="G581">
        <v>1</v>
      </c>
      <c r="H581">
        <v>1</v>
      </c>
      <c r="I581" t="s">
        <v>416</v>
      </c>
      <c r="J581">
        <v>0</v>
      </c>
      <c r="K581" t="s">
        <v>49</v>
      </c>
      <c r="L581" s="1">
        <f>+Tabla__192.168.1.8_POSEIDONSQL_APPFVT_01_tblFillRateFechas[[#This Row],[emb_cantidad]]-Tabla__192.168.1.8_POSEIDONSQL_APPFVT_01_tblFillRateFechas[[#This Row],[dev_cantidad]]</f>
        <v>1</v>
      </c>
      <c r="M581" s="1">
        <f>+IF(Tabla__192.168.1.8_POSEIDONSQL_APPFVT_01_tblFillRateFechas[[#This Row],[Cant_Resultante]]=Tabla__192.168.1.8_POSEIDONSQL_APPFVT_01_tblFillRateFechas[[#This Row],[cant_order]],1,0)</f>
        <v>1</v>
      </c>
      <c r="N5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1" s="1">
        <f>+IF(AND(Tabla__192.168.1.8_POSEIDONSQL_APPFVT_01_tblFillRateFechas[[#This Row],[Valida Cant]]=1,Tabla__192.168.1.8_POSEIDONSQL_APPFVT_01_tblFillRateFechas[[#This Row],[Valida Fec]]=1),1,0)</f>
        <v>1</v>
      </c>
      <c r="P581" s="1">
        <f>+(Tabla__192.168.1.8_POSEIDONSQL_APPFVT_01_tblFillRateFechas[[#This Row],[Cant_Resultante]]/Tabla__192.168.1.8_POSEIDONSQL_APPFVT_01_tblFillRateFechas[[#This Row],[cant_order]])*100</f>
        <v>100</v>
      </c>
      <c r="Q5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1" s="1">
        <f>+IF(Tabla__192.168.1.8_POSEIDONSQL_APPFVT_01_tblFillRateFechas[[#This Row],[cant_order]]&gt;0,1,0)</f>
        <v>1</v>
      </c>
      <c r="V581" s="1">
        <f>+IF(Tabla__192.168.1.8_POSEIDONSQL_APPFVT_01_tblFillRateFechas[[#This Row],[Resultado]]=1,1,0)</f>
        <v>1</v>
      </c>
      <c r="W581" s="1" t="str">
        <f>+Tabla__192.168.1.8_POSEIDONSQL_APPFVT_01_tblFillRateFechas[[#This Row],[con_ocnumero]]&amp;Tabla__192.168.1.8_POSEIDONSQL_APPFVT_01_tblFillRateFechas[[#This Row],[con_codigounico]]</f>
        <v>6504050671-</v>
      </c>
      <c r="X5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2" spans="1:24" x14ac:dyDescent="0.25">
      <c r="A582">
        <v>5</v>
      </c>
      <c r="B582" t="s">
        <v>57</v>
      </c>
      <c r="C582">
        <v>6504050678</v>
      </c>
      <c r="D582" t="s">
        <v>1983</v>
      </c>
      <c r="E582" t="s">
        <v>420</v>
      </c>
      <c r="F582" t="s">
        <v>415</v>
      </c>
      <c r="G582">
        <v>1</v>
      </c>
      <c r="H582">
        <v>1</v>
      </c>
      <c r="I582" t="s">
        <v>416</v>
      </c>
      <c r="J582">
        <v>0</v>
      </c>
      <c r="K582" t="s">
        <v>49</v>
      </c>
      <c r="L582" s="1">
        <f>+Tabla__192.168.1.8_POSEIDONSQL_APPFVT_01_tblFillRateFechas[[#This Row],[emb_cantidad]]-Tabla__192.168.1.8_POSEIDONSQL_APPFVT_01_tblFillRateFechas[[#This Row],[dev_cantidad]]</f>
        <v>1</v>
      </c>
      <c r="M582" s="1">
        <f>+IF(Tabla__192.168.1.8_POSEIDONSQL_APPFVT_01_tblFillRateFechas[[#This Row],[Cant_Resultante]]=Tabla__192.168.1.8_POSEIDONSQL_APPFVT_01_tblFillRateFechas[[#This Row],[cant_order]],1,0)</f>
        <v>1</v>
      </c>
      <c r="N5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2" s="1">
        <f>+IF(AND(Tabla__192.168.1.8_POSEIDONSQL_APPFVT_01_tblFillRateFechas[[#This Row],[Valida Cant]]=1,Tabla__192.168.1.8_POSEIDONSQL_APPFVT_01_tblFillRateFechas[[#This Row],[Valida Fec]]=1),1,0)</f>
        <v>1</v>
      </c>
      <c r="P582" s="1">
        <f>+(Tabla__192.168.1.8_POSEIDONSQL_APPFVT_01_tblFillRateFechas[[#This Row],[Cant_Resultante]]/Tabla__192.168.1.8_POSEIDONSQL_APPFVT_01_tblFillRateFechas[[#This Row],[cant_order]])*100</f>
        <v>100</v>
      </c>
      <c r="Q5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2" s="1">
        <f>+IF(Tabla__192.168.1.8_POSEIDONSQL_APPFVT_01_tblFillRateFechas[[#This Row],[cant_order]]&gt;0,1,0)</f>
        <v>1</v>
      </c>
      <c r="V582" s="1">
        <f>+IF(Tabla__192.168.1.8_POSEIDONSQL_APPFVT_01_tblFillRateFechas[[#This Row],[Resultado]]=1,1,0)</f>
        <v>1</v>
      </c>
      <c r="W582" s="1" t="str">
        <f>+Tabla__192.168.1.8_POSEIDONSQL_APPFVT_01_tblFillRateFechas[[#This Row],[con_ocnumero]]&amp;Tabla__192.168.1.8_POSEIDONSQL_APPFVT_01_tblFillRateFechas[[#This Row],[con_codigounico]]</f>
        <v>6504050678-</v>
      </c>
      <c r="X5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3" spans="1:24" x14ac:dyDescent="0.25">
      <c r="A583">
        <v>5</v>
      </c>
      <c r="B583" t="s">
        <v>57</v>
      </c>
      <c r="C583">
        <v>6504050686</v>
      </c>
      <c r="D583" t="s">
        <v>1983</v>
      </c>
      <c r="E583" t="s">
        <v>420</v>
      </c>
      <c r="F583" t="s">
        <v>415</v>
      </c>
      <c r="G583">
        <v>1</v>
      </c>
      <c r="H583">
        <v>1</v>
      </c>
      <c r="I583" t="s">
        <v>416</v>
      </c>
      <c r="J583">
        <v>0</v>
      </c>
      <c r="K583" t="s">
        <v>49</v>
      </c>
      <c r="L583" s="1">
        <f>+Tabla__192.168.1.8_POSEIDONSQL_APPFVT_01_tblFillRateFechas[[#This Row],[emb_cantidad]]-Tabla__192.168.1.8_POSEIDONSQL_APPFVT_01_tblFillRateFechas[[#This Row],[dev_cantidad]]</f>
        <v>1</v>
      </c>
      <c r="M583" s="1">
        <f>+IF(Tabla__192.168.1.8_POSEIDONSQL_APPFVT_01_tblFillRateFechas[[#This Row],[Cant_Resultante]]=Tabla__192.168.1.8_POSEIDONSQL_APPFVT_01_tblFillRateFechas[[#This Row],[cant_order]],1,0)</f>
        <v>1</v>
      </c>
      <c r="N5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3" s="1">
        <f>+IF(AND(Tabla__192.168.1.8_POSEIDONSQL_APPFVT_01_tblFillRateFechas[[#This Row],[Valida Cant]]=1,Tabla__192.168.1.8_POSEIDONSQL_APPFVT_01_tblFillRateFechas[[#This Row],[Valida Fec]]=1),1,0)</f>
        <v>1</v>
      </c>
      <c r="P583" s="1">
        <f>+(Tabla__192.168.1.8_POSEIDONSQL_APPFVT_01_tblFillRateFechas[[#This Row],[Cant_Resultante]]/Tabla__192.168.1.8_POSEIDONSQL_APPFVT_01_tblFillRateFechas[[#This Row],[cant_order]])*100</f>
        <v>100</v>
      </c>
      <c r="Q5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3" s="1">
        <f>+IF(Tabla__192.168.1.8_POSEIDONSQL_APPFVT_01_tblFillRateFechas[[#This Row],[cant_order]]&gt;0,1,0)</f>
        <v>1</v>
      </c>
      <c r="V583" s="1">
        <f>+IF(Tabla__192.168.1.8_POSEIDONSQL_APPFVT_01_tblFillRateFechas[[#This Row],[Resultado]]=1,1,0)</f>
        <v>1</v>
      </c>
      <c r="W583" s="1" t="str">
        <f>+Tabla__192.168.1.8_POSEIDONSQL_APPFVT_01_tblFillRateFechas[[#This Row],[con_ocnumero]]&amp;Tabla__192.168.1.8_POSEIDONSQL_APPFVT_01_tblFillRateFechas[[#This Row],[con_codigounico]]</f>
        <v>6504050686-</v>
      </c>
      <c r="X5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4" spans="1:24" x14ac:dyDescent="0.25">
      <c r="A584">
        <v>5</v>
      </c>
      <c r="B584" t="s">
        <v>57</v>
      </c>
      <c r="C584">
        <v>6504050754</v>
      </c>
      <c r="D584" t="s">
        <v>414</v>
      </c>
      <c r="E584" t="s">
        <v>420</v>
      </c>
      <c r="F584" t="s">
        <v>415</v>
      </c>
      <c r="G584">
        <v>1</v>
      </c>
      <c r="H584">
        <v>1</v>
      </c>
      <c r="I584" t="s">
        <v>416</v>
      </c>
      <c r="J584">
        <v>0</v>
      </c>
      <c r="K584" t="s">
        <v>49</v>
      </c>
      <c r="L584" s="1">
        <f>+Tabla__192.168.1.8_POSEIDONSQL_APPFVT_01_tblFillRateFechas[[#This Row],[emb_cantidad]]-Tabla__192.168.1.8_POSEIDONSQL_APPFVT_01_tblFillRateFechas[[#This Row],[dev_cantidad]]</f>
        <v>1</v>
      </c>
      <c r="M584" s="1">
        <f>+IF(Tabla__192.168.1.8_POSEIDONSQL_APPFVT_01_tblFillRateFechas[[#This Row],[Cant_Resultante]]=Tabla__192.168.1.8_POSEIDONSQL_APPFVT_01_tblFillRateFechas[[#This Row],[cant_order]],1,0)</f>
        <v>1</v>
      </c>
      <c r="N5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4" s="1">
        <f>+IF(AND(Tabla__192.168.1.8_POSEIDONSQL_APPFVT_01_tblFillRateFechas[[#This Row],[Valida Cant]]=1,Tabla__192.168.1.8_POSEIDONSQL_APPFVT_01_tblFillRateFechas[[#This Row],[Valida Fec]]=1),1,0)</f>
        <v>1</v>
      </c>
      <c r="P584" s="1">
        <f>+(Tabla__192.168.1.8_POSEIDONSQL_APPFVT_01_tblFillRateFechas[[#This Row],[Cant_Resultante]]/Tabla__192.168.1.8_POSEIDONSQL_APPFVT_01_tblFillRateFechas[[#This Row],[cant_order]])*100</f>
        <v>100</v>
      </c>
      <c r="Q5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4" s="1">
        <f>+IF(Tabla__192.168.1.8_POSEIDONSQL_APPFVT_01_tblFillRateFechas[[#This Row],[cant_order]]&gt;0,1,0)</f>
        <v>1</v>
      </c>
      <c r="V584" s="1">
        <f>+IF(Tabla__192.168.1.8_POSEIDONSQL_APPFVT_01_tblFillRateFechas[[#This Row],[Resultado]]=1,1,0)</f>
        <v>1</v>
      </c>
      <c r="W584" s="1" t="str">
        <f>+Tabla__192.168.1.8_POSEIDONSQL_APPFVT_01_tblFillRateFechas[[#This Row],[con_ocnumero]]&amp;Tabla__192.168.1.8_POSEIDONSQL_APPFVT_01_tblFillRateFechas[[#This Row],[con_codigounico]]</f>
        <v>6504050754-</v>
      </c>
      <c r="X5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5" spans="1:24" x14ac:dyDescent="0.25">
      <c r="A585">
        <v>5</v>
      </c>
      <c r="B585" t="s">
        <v>57</v>
      </c>
      <c r="C585">
        <v>6504050775</v>
      </c>
      <c r="D585" t="s">
        <v>414</v>
      </c>
      <c r="E585" t="s">
        <v>420</v>
      </c>
      <c r="F585" t="s">
        <v>415</v>
      </c>
      <c r="G585">
        <v>1</v>
      </c>
      <c r="H585">
        <v>1</v>
      </c>
      <c r="I585" t="s">
        <v>416</v>
      </c>
      <c r="J585">
        <v>0</v>
      </c>
      <c r="K585" t="s">
        <v>49</v>
      </c>
      <c r="L585" s="1">
        <f>+Tabla__192.168.1.8_POSEIDONSQL_APPFVT_01_tblFillRateFechas[[#This Row],[emb_cantidad]]-Tabla__192.168.1.8_POSEIDONSQL_APPFVT_01_tblFillRateFechas[[#This Row],[dev_cantidad]]</f>
        <v>1</v>
      </c>
      <c r="M585" s="1">
        <f>+IF(Tabla__192.168.1.8_POSEIDONSQL_APPFVT_01_tblFillRateFechas[[#This Row],[Cant_Resultante]]=Tabla__192.168.1.8_POSEIDONSQL_APPFVT_01_tblFillRateFechas[[#This Row],[cant_order]],1,0)</f>
        <v>1</v>
      </c>
      <c r="N5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5" s="1">
        <f>+IF(AND(Tabla__192.168.1.8_POSEIDONSQL_APPFVT_01_tblFillRateFechas[[#This Row],[Valida Cant]]=1,Tabla__192.168.1.8_POSEIDONSQL_APPFVT_01_tblFillRateFechas[[#This Row],[Valida Fec]]=1),1,0)</f>
        <v>1</v>
      </c>
      <c r="P585" s="1">
        <f>+(Tabla__192.168.1.8_POSEIDONSQL_APPFVT_01_tblFillRateFechas[[#This Row],[Cant_Resultante]]/Tabla__192.168.1.8_POSEIDONSQL_APPFVT_01_tblFillRateFechas[[#This Row],[cant_order]])*100</f>
        <v>100</v>
      </c>
      <c r="Q5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5" s="1">
        <f>+IF(Tabla__192.168.1.8_POSEIDONSQL_APPFVT_01_tblFillRateFechas[[#This Row],[cant_order]]&gt;0,1,0)</f>
        <v>1</v>
      </c>
      <c r="V585" s="1">
        <f>+IF(Tabla__192.168.1.8_POSEIDONSQL_APPFVT_01_tblFillRateFechas[[#This Row],[Resultado]]=1,1,0)</f>
        <v>1</v>
      </c>
      <c r="W585" s="1" t="str">
        <f>+Tabla__192.168.1.8_POSEIDONSQL_APPFVT_01_tblFillRateFechas[[#This Row],[con_ocnumero]]&amp;Tabla__192.168.1.8_POSEIDONSQL_APPFVT_01_tblFillRateFechas[[#This Row],[con_codigounico]]</f>
        <v>6504050775-</v>
      </c>
      <c r="X5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6" spans="1:24" x14ac:dyDescent="0.25">
      <c r="A586">
        <v>5</v>
      </c>
      <c r="B586" t="s">
        <v>57</v>
      </c>
      <c r="C586">
        <v>6504050782</v>
      </c>
      <c r="D586" t="s">
        <v>414</v>
      </c>
      <c r="E586" t="s">
        <v>420</v>
      </c>
      <c r="F586" t="s">
        <v>415</v>
      </c>
      <c r="G586">
        <v>1</v>
      </c>
      <c r="H586">
        <v>1</v>
      </c>
      <c r="I586" t="s">
        <v>416</v>
      </c>
      <c r="J586">
        <v>0</v>
      </c>
      <c r="K586" t="s">
        <v>49</v>
      </c>
      <c r="L586" s="1">
        <f>+Tabla__192.168.1.8_POSEIDONSQL_APPFVT_01_tblFillRateFechas[[#This Row],[emb_cantidad]]-Tabla__192.168.1.8_POSEIDONSQL_APPFVT_01_tblFillRateFechas[[#This Row],[dev_cantidad]]</f>
        <v>1</v>
      </c>
      <c r="M586" s="1">
        <f>+IF(Tabla__192.168.1.8_POSEIDONSQL_APPFVT_01_tblFillRateFechas[[#This Row],[Cant_Resultante]]=Tabla__192.168.1.8_POSEIDONSQL_APPFVT_01_tblFillRateFechas[[#This Row],[cant_order]],1,0)</f>
        <v>1</v>
      </c>
      <c r="N5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6" s="1">
        <f>+IF(AND(Tabla__192.168.1.8_POSEIDONSQL_APPFVT_01_tblFillRateFechas[[#This Row],[Valida Cant]]=1,Tabla__192.168.1.8_POSEIDONSQL_APPFVT_01_tblFillRateFechas[[#This Row],[Valida Fec]]=1),1,0)</f>
        <v>1</v>
      </c>
      <c r="P586" s="1">
        <f>+(Tabla__192.168.1.8_POSEIDONSQL_APPFVT_01_tblFillRateFechas[[#This Row],[Cant_Resultante]]/Tabla__192.168.1.8_POSEIDONSQL_APPFVT_01_tblFillRateFechas[[#This Row],[cant_order]])*100</f>
        <v>100</v>
      </c>
      <c r="Q5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6" s="1">
        <f>+IF(Tabla__192.168.1.8_POSEIDONSQL_APPFVT_01_tblFillRateFechas[[#This Row],[cant_order]]&gt;0,1,0)</f>
        <v>1</v>
      </c>
      <c r="V586" s="1">
        <f>+IF(Tabla__192.168.1.8_POSEIDONSQL_APPFVT_01_tblFillRateFechas[[#This Row],[Resultado]]=1,1,0)</f>
        <v>1</v>
      </c>
      <c r="W586" s="1" t="str">
        <f>+Tabla__192.168.1.8_POSEIDONSQL_APPFVT_01_tblFillRateFechas[[#This Row],[con_ocnumero]]&amp;Tabla__192.168.1.8_POSEIDONSQL_APPFVT_01_tblFillRateFechas[[#This Row],[con_codigounico]]</f>
        <v>6504050782-</v>
      </c>
      <c r="X5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7" spans="1:24" x14ac:dyDescent="0.25">
      <c r="A587">
        <v>5</v>
      </c>
      <c r="B587" t="s">
        <v>57</v>
      </c>
      <c r="C587">
        <v>6504054469</v>
      </c>
      <c r="D587" t="s">
        <v>1984</v>
      </c>
      <c r="E587" t="s">
        <v>420</v>
      </c>
      <c r="F587" t="s">
        <v>415</v>
      </c>
      <c r="G587">
        <v>1</v>
      </c>
      <c r="H587">
        <v>1</v>
      </c>
      <c r="I587" t="s">
        <v>416</v>
      </c>
      <c r="J587">
        <v>0</v>
      </c>
      <c r="K587" t="s">
        <v>49</v>
      </c>
      <c r="L587" s="1">
        <f>+Tabla__192.168.1.8_POSEIDONSQL_APPFVT_01_tblFillRateFechas[[#This Row],[emb_cantidad]]-Tabla__192.168.1.8_POSEIDONSQL_APPFVT_01_tblFillRateFechas[[#This Row],[dev_cantidad]]</f>
        <v>1</v>
      </c>
      <c r="M587" s="1">
        <f>+IF(Tabla__192.168.1.8_POSEIDONSQL_APPFVT_01_tblFillRateFechas[[#This Row],[Cant_Resultante]]=Tabla__192.168.1.8_POSEIDONSQL_APPFVT_01_tblFillRateFechas[[#This Row],[cant_order]],1,0)</f>
        <v>1</v>
      </c>
      <c r="N5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7" s="1">
        <f>+IF(AND(Tabla__192.168.1.8_POSEIDONSQL_APPFVT_01_tblFillRateFechas[[#This Row],[Valida Cant]]=1,Tabla__192.168.1.8_POSEIDONSQL_APPFVT_01_tblFillRateFechas[[#This Row],[Valida Fec]]=1),1,0)</f>
        <v>1</v>
      </c>
      <c r="P587" s="1">
        <f>+(Tabla__192.168.1.8_POSEIDONSQL_APPFVT_01_tblFillRateFechas[[#This Row],[Cant_Resultante]]/Tabla__192.168.1.8_POSEIDONSQL_APPFVT_01_tblFillRateFechas[[#This Row],[cant_order]])*100</f>
        <v>100</v>
      </c>
      <c r="Q5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7" s="1">
        <f>+IF(Tabla__192.168.1.8_POSEIDONSQL_APPFVT_01_tblFillRateFechas[[#This Row],[cant_order]]&gt;0,1,0)</f>
        <v>1</v>
      </c>
      <c r="V587" s="1">
        <f>+IF(Tabla__192.168.1.8_POSEIDONSQL_APPFVT_01_tblFillRateFechas[[#This Row],[Resultado]]=1,1,0)</f>
        <v>1</v>
      </c>
      <c r="W587" s="1" t="str">
        <f>+Tabla__192.168.1.8_POSEIDONSQL_APPFVT_01_tblFillRateFechas[[#This Row],[con_ocnumero]]&amp;Tabla__192.168.1.8_POSEIDONSQL_APPFVT_01_tblFillRateFechas[[#This Row],[con_codigounico]]</f>
        <v>6504054469-</v>
      </c>
      <c r="X5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8" spans="1:24" x14ac:dyDescent="0.25">
      <c r="A588">
        <v>5</v>
      </c>
      <c r="B588" t="s">
        <v>57</v>
      </c>
      <c r="C588">
        <v>6504056267</v>
      </c>
      <c r="D588" t="s">
        <v>415</v>
      </c>
      <c r="E588" t="s">
        <v>420</v>
      </c>
      <c r="F588" t="s">
        <v>422</v>
      </c>
      <c r="G588">
        <v>1</v>
      </c>
      <c r="H588">
        <v>1</v>
      </c>
      <c r="I588" t="s">
        <v>420</v>
      </c>
      <c r="J588">
        <v>0</v>
      </c>
      <c r="K588" t="s">
        <v>49</v>
      </c>
      <c r="L588" s="1">
        <f>+Tabla__192.168.1.8_POSEIDONSQL_APPFVT_01_tblFillRateFechas[[#This Row],[emb_cantidad]]-Tabla__192.168.1.8_POSEIDONSQL_APPFVT_01_tblFillRateFechas[[#This Row],[dev_cantidad]]</f>
        <v>1</v>
      </c>
      <c r="M588" s="1">
        <f>+IF(Tabla__192.168.1.8_POSEIDONSQL_APPFVT_01_tblFillRateFechas[[#This Row],[Cant_Resultante]]=Tabla__192.168.1.8_POSEIDONSQL_APPFVT_01_tblFillRateFechas[[#This Row],[cant_order]],1,0)</f>
        <v>1</v>
      </c>
      <c r="N5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8" s="1">
        <f>+IF(AND(Tabla__192.168.1.8_POSEIDONSQL_APPFVT_01_tblFillRateFechas[[#This Row],[Valida Cant]]=1,Tabla__192.168.1.8_POSEIDONSQL_APPFVT_01_tblFillRateFechas[[#This Row],[Valida Fec]]=1),1,0)</f>
        <v>1</v>
      </c>
      <c r="P588" s="1">
        <f>+(Tabla__192.168.1.8_POSEIDONSQL_APPFVT_01_tblFillRateFechas[[#This Row],[Cant_Resultante]]/Tabla__192.168.1.8_POSEIDONSQL_APPFVT_01_tblFillRateFechas[[#This Row],[cant_order]])*100</f>
        <v>100</v>
      </c>
      <c r="Q5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8" s="1">
        <f>+IF(Tabla__192.168.1.8_POSEIDONSQL_APPFVT_01_tblFillRateFechas[[#This Row],[cant_order]]&gt;0,1,0)</f>
        <v>1</v>
      </c>
      <c r="V588" s="1">
        <f>+IF(Tabla__192.168.1.8_POSEIDONSQL_APPFVT_01_tblFillRateFechas[[#This Row],[Resultado]]=1,1,0)</f>
        <v>1</v>
      </c>
      <c r="W588" s="1" t="str">
        <f>+Tabla__192.168.1.8_POSEIDONSQL_APPFVT_01_tblFillRateFechas[[#This Row],[con_ocnumero]]&amp;Tabla__192.168.1.8_POSEIDONSQL_APPFVT_01_tblFillRateFechas[[#This Row],[con_codigounico]]</f>
        <v>6504056267-</v>
      </c>
      <c r="X5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89" spans="1:24" x14ac:dyDescent="0.25">
      <c r="A589">
        <v>5</v>
      </c>
      <c r="B589" t="s">
        <v>57</v>
      </c>
      <c r="C589">
        <v>6504056282</v>
      </c>
      <c r="D589" t="s">
        <v>415</v>
      </c>
      <c r="E589" t="s">
        <v>420</v>
      </c>
      <c r="F589" t="s">
        <v>422</v>
      </c>
      <c r="G589">
        <v>1</v>
      </c>
      <c r="H589">
        <v>1</v>
      </c>
      <c r="I589" t="s">
        <v>420</v>
      </c>
      <c r="J589">
        <v>0</v>
      </c>
      <c r="K589" t="s">
        <v>49</v>
      </c>
      <c r="L589" s="1">
        <f>+Tabla__192.168.1.8_POSEIDONSQL_APPFVT_01_tblFillRateFechas[[#This Row],[emb_cantidad]]-Tabla__192.168.1.8_POSEIDONSQL_APPFVT_01_tblFillRateFechas[[#This Row],[dev_cantidad]]</f>
        <v>1</v>
      </c>
      <c r="M589" s="1">
        <f>+IF(Tabla__192.168.1.8_POSEIDONSQL_APPFVT_01_tblFillRateFechas[[#This Row],[Cant_Resultante]]=Tabla__192.168.1.8_POSEIDONSQL_APPFVT_01_tblFillRateFechas[[#This Row],[cant_order]],1,0)</f>
        <v>1</v>
      </c>
      <c r="N5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89" s="1">
        <f>+IF(AND(Tabla__192.168.1.8_POSEIDONSQL_APPFVT_01_tblFillRateFechas[[#This Row],[Valida Cant]]=1,Tabla__192.168.1.8_POSEIDONSQL_APPFVT_01_tblFillRateFechas[[#This Row],[Valida Fec]]=1),1,0)</f>
        <v>1</v>
      </c>
      <c r="P589" s="1">
        <f>+(Tabla__192.168.1.8_POSEIDONSQL_APPFVT_01_tblFillRateFechas[[#This Row],[Cant_Resultante]]/Tabla__192.168.1.8_POSEIDONSQL_APPFVT_01_tblFillRateFechas[[#This Row],[cant_order]])*100</f>
        <v>100</v>
      </c>
      <c r="Q5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89" s="1">
        <f>+IF(Tabla__192.168.1.8_POSEIDONSQL_APPFVT_01_tblFillRateFechas[[#This Row],[cant_order]]&gt;0,1,0)</f>
        <v>1</v>
      </c>
      <c r="V589" s="1">
        <f>+IF(Tabla__192.168.1.8_POSEIDONSQL_APPFVT_01_tblFillRateFechas[[#This Row],[Resultado]]=1,1,0)</f>
        <v>1</v>
      </c>
      <c r="W589" s="1" t="str">
        <f>+Tabla__192.168.1.8_POSEIDONSQL_APPFVT_01_tblFillRateFechas[[#This Row],[con_ocnumero]]&amp;Tabla__192.168.1.8_POSEIDONSQL_APPFVT_01_tblFillRateFechas[[#This Row],[con_codigounico]]</f>
        <v>6504056282-</v>
      </c>
      <c r="X5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0" spans="1:24" x14ac:dyDescent="0.25">
      <c r="A590">
        <v>6</v>
      </c>
      <c r="B590" t="s">
        <v>53</v>
      </c>
      <c r="C590">
        <v>930455</v>
      </c>
      <c r="D590" t="s">
        <v>1986</v>
      </c>
      <c r="E590" t="s">
        <v>1971</v>
      </c>
      <c r="F590" t="s">
        <v>1975</v>
      </c>
      <c r="G590">
        <v>3</v>
      </c>
      <c r="H590">
        <v>0</v>
      </c>
      <c r="I590" t="s">
        <v>12</v>
      </c>
      <c r="J590">
        <v>0</v>
      </c>
      <c r="K590" t="s">
        <v>49</v>
      </c>
      <c r="L590" s="1">
        <f>+Tabla__192.168.1.8_POSEIDONSQL_APPFVT_01_tblFillRateFechas[[#This Row],[emb_cantidad]]-Tabla__192.168.1.8_POSEIDONSQL_APPFVT_01_tblFillRateFechas[[#This Row],[dev_cantidad]]</f>
        <v>0</v>
      </c>
      <c r="M590" s="1">
        <f>+IF(Tabla__192.168.1.8_POSEIDONSQL_APPFVT_01_tblFillRateFechas[[#This Row],[Cant_Resultante]]=Tabla__192.168.1.8_POSEIDONSQL_APPFVT_01_tblFillRateFechas[[#This Row],[cant_order]],1,0)</f>
        <v>0</v>
      </c>
      <c r="N5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90" s="1">
        <f>+IF(AND(Tabla__192.168.1.8_POSEIDONSQL_APPFVT_01_tblFillRateFechas[[#This Row],[Valida Cant]]=1,Tabla__192.168.1.8_POSEIDONSQL_APPFVT_01_tblFillRateFechas[[#This Row],[Valida Fec]]=1),1,0)</f>
        <v>0</v>
      </c>
      <c r="P590" s="1">
        <f>+(Tabla__192.168.1.8_POSEIDONSQL_APPFVT_01_tblFillRateFechas[[#This Row],[Cant_Resultante]]/Tabla__192.168.1.8_POSEIDONSQL_APPFVT_01_tblFillRateFechas[[#This Row],[cant_order]])*100</f>
        <v>0</v>
      </c>
      <c r="Q5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3</v>
      </c>
      <c r="U590" s="1">
        <f>+IF(Tabla__192.168.1.8_POSEIDONSQL_APPFVT_01_tblFillRateFechas[[#This Row],[cant_order]]&gt;0,1,0)</f>
        <v>1</v>
      </c>
      <c r="V590" s="1">
        <f>+IF(Tabla__192.168.1.8_POSEIDONSQL_APPFVT_01_tblFillRateFechas[[#This Row],[Resultado]]=1,1,0)</f>
        <v>0</v>
      </c>
      <c r="W590" s="1" t="str">
        <f>+Tabla__192.168.1.8_POSEIDONSQL_APPFVT_01_tblFillRateFechas[[#This Row],[con_ocnumero]]&amp;Tabla__192.168.1.8_POSEIDONSQL_APPFVT_01_tblFillRateFechas[[#This Row],[con_codigounico]]</f>
        <v>930455-</v>
      </c>
      <c r="X5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91" spans="1:24" x14ac:dyDescent="0.25">
      <c r="A591">
        <v>6</v>
      </c>
      <c r="B591" t="s">
        <v>53</v>
      </c>
      <c r="C591">
        <v>935237</v>
      </c>
      <c r="D591" t="s">
        <v>1972</v>
      </c>
      <c r="E591" t="s">
        <v>1962</v>
      </c>
      <c r="F591" t="s">
        <v>1975</v>
      </c>
      <c r="G591">
        <v>7</v>
      </c>
      <c r="H591">
        <v>0</v>
      </c>
      <c r="I591" t="s">
        <v>12</v>
      </c>
      <c r="J591">
        <v>0</v>
      </c>
      <c r="K591" t="s">
        <v>49</v>
      </c>
      <c r="L591" s="1">
        <f>+Tabla__192.168.1.8_POSEIDONSQL_APPFVT_01_tblFillRateFechas[[#This Row],[emb_cantidad]]-Tabla__192.168.1.8_POSEIDONSQL_APPFVT_01_tblFillRateFechas[[#This Row],[dev_cantidad]]</f>
        <v>0</v>
      </c>
      <c r="M591" s="1">
        <f>+IF(Tabla__192.168.1.8_POSEIDONSQL_APPFVT_01_tblFillRateFechas[[#This Row],[Cant_Resultante]]=Tabla__192.168.1.8_POSEIDONSQL_APPFVT_01_tblFillRateFechas[[#This Row],[cant_order]],1,0)</f>
        <v>0</v>
      </c>
      <c r="N5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91" s="1">
        <f>+IF(AND(Tabla__192.168.1.8_POSEIDONSQL_APPFVT_01_tblFillRateFechas[[#This Row],[Valida Cant]]=1,Tabla__192.168.1.8_POSEIDONSQL_APPFVT_01_tblFillRateFechas[[#This Row],[Valida Fec]]=1),1,0)</f>
        <v>0</v>
      </c>
      <c r="P591" s="1">
        <f>+(Tabla__192.168.1.8_POSEIDONSQL_APPFVT_01_tblFillRateFechas[[#This Row],[Cant_Resultante]]/Tabla__192.168.1.8_POSEIDONSQL_APPFVT_01_tblFillRateFechas[[#This Row],[cant_order]])*100</f>
        <v>0</v>
      </c>
      <c r="Q5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7</v>
      </c>
      <c r="U591" s="1">
        <f>+IF(Tabla__192.168.1.8_POSEIDONSQL_APPFVT_01_tblFillRateFechas[[#This Row],[cant_order]]&gt;0,1,0)</f>
        <v>1</v>
      </c>
      <c r="V591" s="1">
        <f>+IF(Tabla__192.168.1.8_POSEIDONSQL_APPFVT_01_tblFillRateFechas[[#This Row],[Resultado]]=1,1,0)</f>
        <v>0</v>
      </c>
      <c r="W591" s="1" t="str">
        <f>+Tabla__192.168.1.8_POSEIDONSQL_APPFVT_01_tblFillRateFechas[[#This Row],[con_ocnumero]]&amp;Tabla__192.168.1.8_POSEIDONSQL_APPFVT_01_tblFillRateFechas[[#This Row],[con_codigounico]]</f>
        <v>935237-</v>
      </c>
      <c r="X5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92" spans="1:24" x14ac:dyDescent="0.25">
      <c r="A592">
        <v>6</v>
      </c>
      <c r="B592" t="s">
        <v>53</v>
      </c>
      <c r="C592">
        <v>936427</v>
      </c>
      <c r="D592" t="s">
        <v>1976</v>
      </c>
      <c r="E592" t="s">
        <v>162</v>
      </c>
      <c r="F592" t="s">
        <v>1975</v>
      </c>
      <c r="G592">
        <v>1</v>
      </c>
      <c r="H592">
        <v>1</v>
      </c>
      <c r="I592" t="s">
        <v>1963</v>
      </c>
      <c r="J592">
        <v>0</v>
      </c>
      <c r="K592" t="s">
        <v>49</v>
      </c>
      <c r="L592" s="1">
        <f>+Tabla__192.168.1.8_POSEIDONSQL_APPFVT_01_tblFillRateFechas[[#This Row],[emb_cantidad]]-Tabla__192.168.1.8_POSEIDONSQL_APPFVT_01_tblFillRateFechas[[#This Row],[dev_cantidad]]</f>
        <v>1</v>
      </c>
      <c r="M592" s="1">
        <f>+IF(Tabla__192.168.1.8_POSEIDONSQL_APPFVT_01_tblFillRateFechas[[#This Row],[Cant_Resultante]]=Tabla__192.168.1.8_POSEIDONSQL_APPFVT_01_tblFillRateFechas[[#This Row],[cant_order]],1,0)</f>
        <v>1</v>
      </c>
      <c r="N5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2" s="1">
        <f>+IF(AND(Tabla__192.168.1.8_POSEIDONSQL_APPFVT_01_tblFillRateFechas[[#This Row],[Valida Cant]]=1,Tabla__192.168.1.8_POSEIDONSQL_APPFVT_01_tblFillRateFechas[[#This Row],[Valida Fec]]=1),1,0)</f>
        <v>1</v>
      </c>
      <c r="P592" s="1">
        <f>+(Tabla__192.168.1.8_POSEIDONSQL_APPFVT_01_tblFillRateFechas[[#This Row],[Cant_Resultante]]/Tabla__192.168.1.8_POSEIDONSQL_APPFVT_01_tblFillRateFechas[[#This Row],[cant_order]])*100</f>
        <v>100</v>
      </c>
      <c r="Q5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2" s="1">
        <f>+IF(Tabla__192.168.1.8_POSEIDONSQL_APPFVT_01_tblFillRateFechas[[#This Row],[cant_order]]&gt;0,1,0)</f>
        <v>1</v>
      </c>
      <c r="V592" s="1">
        <f>+IF(Tabla__192.168.1.8_POSEIDONSQL_APPFVT_01_tblFillRateFechas[[#This Row],[Resultado]]=1,1,0)</f>
        <v>1</v>
      </c>
      <c r="W592" s="1" t="str">
        <f>+Tabla__192.168.1.8_POSEIDONSQL_APPFVT_01_tblFillRateFechas[[#This Row],[con_ocnumero]]&amp;Tabla__192.168.1.8_POSEIDONSQL_APPFVT_01_tblFillRateFechas[[#This Row],[con_codigounico]]</f>
        <v>936427-</v>
      </c>
      <c r="X5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3" spans="1:24" x14ac:dyDescent="0.25">
      <c r="A593">
        <v>6</v>
      </c>
      <c r="B593" t="s">
        <v>53</v>
      </c>
      <c r="C593">
        <v>937969</v>
      </c>
      <c r="D593" t="s">
        <v>1975</v>
      </c>
      <c r="E593" t="s">
        <v>1963</v>
      </c>
      <c r="F593" t="s">
        <v>1978</v>
      </c>
      <c r="G593">
        <v>2</v>
      </c>
      <c r="H593">
        <v>0</v>
      </c>
      <c r="I593" t="s">
        <v>12</v>
      </c>
      <c r="J593">
        <v>0</v>
      </c>
      <c r="K593" t="s">
        <v>49</v>
      </c>
      <c r="L593" s="1">
        <f>+Tabla__192.168.1.8_POSEIDONSQL_APPFVT_01_tblFillRateFechas[[#This Row],[emb_cantidad]]-Tabla__192.168.1.8_POSEIDONSQL_APPFVT_01_tblFillRateFechas[[#This Row],[dev_cantidad]]</f>
        <v>0</v>
      </c>
      <c r="M593" s="1">
        <f>+IF(Tabla__192.168.1.8_POSEIDONSQL_APPFVT_01_tblFillRateFechas[[#This Row],[Cant_Resultante]]=Tabla__192.168.1.8_POSEIDONSQL_APPFVT_01_tblFillRateFechas[[#This Row],[cant_order]],1,0)</f>
        <v>0</v>
      </c>
      <c r="N5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593" s="1">
        <f>+IF(AND(Tabla__192.168.1.8_POSEIDONSQL_APPFVT_01_tblFillRateFechas[[#This Row],[Valida Cant]]=1,Tabla__192.168.1.8_POSEIDONSQL_APPFVT_01_tblFillRateFechas[[#This Row],[Valida Fec]]=1),1,0)</f>
        <v>0</v>
      </c>
      <c r="P593" s="1">
        <f>+(Tabla__192.168.1.8_POSEIDONSQL_APPFVT_01_tblFillRateFechas[[#This Row],[Cant_Resultante]]/Tabla__192.168.1.8_POSEIDONSQL_APPFVT_01_tblFillRateFechas[[#This Row],[cant_order]])*100</f>
        <v>0</v>
      </c>
      <c r="Q5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5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5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593" s="1">
        <f>+IF(Tabla__192.168.1.8_POSEIDONSQL_APPFVT_01_tblFillRateFechas[[#This Row],[cant_order]]&gt;0,1,0)</f>
        <v>1</v>
      </c>
      <c r="V593" s="1">
        <f>+IF(Tabla__192.168.1.8_POSEIDONSQL_APPFVT_01_tblFillRateFechas[[#This Row],[Resultado]]=1,1,0)</f>
        <v>0</v>
      </c>
      <c r="W593" s="1" t="str">
        <f>+Tabla__192.168.1.8_POSEIDONSQL_APPFVT_01_tblFillRateFechas[[#This Row],[con_ocnumero]]&amp;Tabla__192.168.1.8_POSEIDONSQL_APPFVT_01_tblFillRateFechas[[#This Row],[con_codigounico]]</f>
        <v>937969-</v>
      </c>
      <c r="X5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594" spans="1:24" x14ac:dyDescent="0.25">
      <c r="A594">
        <v>6</v>
      </c>
      <c r="B594" t="s">
        <v>53</v>
      </c>
      <c r="C594">
        <v>938585</v>
      </c>
      <c r="D594" t="s">
        <v>1975</v>
      </c>
      <c r="E594" t="s">
        <v>1977</v>
      </c>
      <c r="F594" t="s">
        <v>1978</v>
      </c>
      <c r="G594">
        <v>1</v>
      </c>
      <c r="H594">
        <v>1</v>
      </c>
      <c r="I594" t="s">
        <v>1977</v>
      </c>
      <c r="J594">
        <v>0</v>
      </c>
      <c r="K594" t="s">
        <v>49</v>
      </c>
      <c r="L594" s="1">
        <f>+Tabla__192.168.1.8_POSEIDONSQL_APPFVT_01_tblFillRateFechas[[#This Row],[emb_cantidad]]-Tabla__192.168.1.8_POSEIDONSQL_APPFVT_01_tblFillRateFechas[[#This Row],[dev_cantidad]]</f>
        <v>1</v>
      </c>
      <c r="M594" s="1">
        <f>+IF(Tabla__192.168.1.8_POSEIDONSQL_APPFVT_01_tblFillRateFechas[[#This Row],[Cant_Resultante]]=Tabla__192.168.1.8_POSEIDONSQL_APPFVT_01_tblFillRateFechas[[#This Row],[cant_order]],1,0)</f>
        <v>1</v>
      </c>
      <c r="N5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4" s="1">
        <f>+IF(AND(Tabla__192.168.1.8_POSEIDONSQL_APPFVT_01_tblFillRateFechas[[#This Row],[Valida Cant]]=1,Tabla__192.168.1.8_POSEIDONSQL_APPFVT_01_tblFillRateFechas[[#This Row],[Valida Fec]]=1),1,0)</f>
        <v>1</v>
      </c>
      <c r="P594" s="1">
        <f>+(Tabla__192.168.1.8_POSEIDONSQL_APPFVT_01_tblFillRateFechas[[#This Row],[Cant_Resultante]]/Tabla__192.168.1.8_POSEIDONSQL_APPFVT_01_tblFillRateFechas[[#This Row],[cant_order]])*100</f>
        <v>100</v>
      </c>
      <c r="Q5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4" s="1">
        <f>+IF(Tabla__192.168.1.8_POSEIDONSQL_APPFVT_01_tblFillRateFechas[[#This Row],[cant_order]]&gt;0,1,0)</f>
        <v>1</v>
      </c>
      <c r="V594" s="1">
        <f>+IF(Tabla__192.168.1.8_POSEIDONSQL_APPFVT_01_tblFillRateFechas[[#This Row],[Resultado]]=1,1,0)</f>
        <v>1</v>
      </c>
      <c r="W594" s="1" t="str">
        <f>+Tabla__192.168.1.8_POSEIDONSQL_APPFVT_01_tblFillRateFechas[[#This Row],[con_ocnumero]]&amp;Tabla__192.168.1.8_POSEIDONSQL_APPFVT_01_tblFillRateFechas[[#This Row],[con_codigounico]]</f>
        <v>938585-</v>
      </c>
      <c r="X5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5" spans="1:24" x14ac:dyDescent="0.25">
      <c r="A595">
        <v>6</v>
      </c>
      <c r="B595" t="s">
        <v>53</v>
      </c>
      <c r="C595">
        <v>938696</v>
      </c>
      <c r="D595" t="s">
        <v>1975</v>
      </c>
      <c r="E595" t="s">
        <v>1980</v>
      </c>
      <c r="F595" t="s">
        <v>1978</v>
      </c>
      <c r="G595">
        <v>1</v>
      </c>
      <c r="H595">
        <v>1</v>
      </c>
      <c r="I595" t="s">
        <v>1965</v>
      </c>
      <c r="J595">
        <v>0</v>
      </c>
      <c r="K595" t="s">
        <v>49</v>
      </c>
      <c r="L595" s="1">
        <f>+Tabla__192.168.1.8_POSEIDONSQL_APPFVT_01_tblFillRateFechas[[#This Row],[emb_cantidad]]-Tabla__192.168.1.8_POSEIDONSQL_APPFVT_01_tblFillRateFechas[[#This Row],[dev_cantidad]]</f>
        <v>1</v>
      </c>
      <c r="M595" s="1">
        <f>+IF(Tabla__192.168.1.8_POSEIDONSQL_APPFVT_01_tblFillRateFechas[[#This Row],[Cant_Resultante]]=Tabla__192.168.1.8_POSEIDONSQL_APPFVT_01_tblFillRateFechas[[#This Row],[cant_order]],1,0)</f>
        <v>1</v>
      </c>
      <c r="N5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5" s="1">
        <f>+IF(AND(Tabla__192.168.1.8_POSEIDONSQL_APPFVT_01_tblFillRateFechas[[#This Row],[Valida Cant]]=1,Tabla__192.168.1.8_POSEIDONSQL_APPFVT_01_tblFillRateFechas[[#This Row],[Valida Fec]]=1),1,0)</f>
        <v>1</v>
      </c>
      <c r="P595" s="1">
        <f>+(Tabla__192.168.1.8_POSEIDONSQL_APPFVT_01_tblFillRateFechas[[#This Row],[Cant_Resultante]]/Tabla__192.168.1.8_POSEIDONSQL_APPFVT_01_tblFillRateFechas[[#This Row],[cant_order]])*100</f>
        <v>100</v>
      </c>
      <c r="Q5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5" s="1">
        <f>+IF(Tabla__192.168.1.8_POSEIDONSQL_APPFVT_01_tblFillRateFechas[[#This Row],[cant_order]]&gt;0,1,0)</f>
        <v>1</v>
      </c>
      <c r="V595" s="1">
        <f>+IF(Tabla__192.168.1.8_POSEIDONSQL_APPFVT_01_tblFillRateFechas[[#This Row],[Resultado]]=1,1,0)</f>
        <v>1</v>
      </c>
      <c r="W595" s="1" t="str">
        <f>+Tabla__192.168.1.8_POSEIDONSQL_APPFVT_01_tblFillRateFechas[[#This Row],[con_ocnumero]]&amp;Tabla__192.168.1.8_POSEIDONSQL_APPFVT_01_tblFillRateFechas[[#This Row],[con_codigounico]]</f>
        <v>938696-</v>
      </c>
      <c r="X5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6" spans="1:24" x14ac:dyDescent="0.25">
      <c r="A596">
        <v>6</v>
      </c>
      <c r="B596" t="s">
        <v>53</v>
      </c>
      <c r="C596">
        <v>940140</v>
      </c>
      <c r="D596" t="s">
        <v>1979</v>
      </c>
      <c r="E596" t="s">
        <v>1971</v>
      </c>
      <c r="F596" t="s">
        <v>1979</v>
      </c>
      <c r="G596">
        <v>1</v>
      </c>
      <c r="H596">
        <v>1</v>
      </c>
      <c r="I596" t="s">
        <v>1967</v>
      </c>
      <c r="J596">
        <v>0</v>
      </c>
      <c r="K596" t="s">
        <v>49</v>
      </c>
      <c r="L596" s="1">
        <f>+Tabla__192.168.1.8_POSEIDONSQL_APPFVT_01_tblFillRateFechas[[#This Row],[emb_cantidad]]-Tabla__192.168.1.8_POSEIDONSQL_APPFVT_01_tblFillRateFechas[[#This Row],[dev_cantidad]]</f>
        <v>1</v>
      </c>
      <c r="M596" s="1">
        <f>+IF(Tabla__192.168.1.8_POSEIDONSQL_APPFVT_01_tblFillRateFechas[[#This Row],[Cant_Resultante]]=Tabla__192.168.1.8_POSEIDONSQL_APPFVT_01_tblFillRateFechas[[#This Row],[cant_order]],1,0)</f>
        <v>1</v>
      </c>
      <c r="N5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6" s="1">
        <f>+IF(AND(Tabla__192.168.1.8_POSEIDONSQL_APPFVT_01_tblFillRateFechas[[#This Row],[Valida Cant]]=1,Tabla__192.168.1.8_POSEIDONSQL_APPFVT_01_tblFillRateFechas[[#This Row],[Valida Fec]]=1),1,0)</f>
        <v>1</v>
      </c>
      <c r="P596" s="1">
        <f>+(Tabla__192.168.1.8_POSEIDONSQL_APPFVT_01_tblFillRateFechas[[#This Row],[Cant_Resultante]]/Tabla__192.168.1.8_POSEIDONSQL_APPFVT_01_tblFillRateFechas[[#This Row],[cant_order]])*100</f>
        <v>100</v>
      </c>
      <c r="Q5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6" s="1">
        <f>+IF(Tabla__192.168.1.8_POSEIDONSQL_APPFVT_01_tblFillRateFechas[[#This Row],[cant_order]]&gt;0,1,0)</f>
        <v>1</v>
      </c>
      <c r="V596" s="1">
        <f>+IF(Tabla__192.168.1.8_POSEIDONSQL_APPFVT_01_tblFillRateFechas[[#This Row],[Resultado]]=1,1,0)</f>
        <v>1</v>
      </c>
      <c r="W596" s="1" t="str">
        <f>+Tabla__192.168.1.8_POSEIDONSQL_APPFVT_01_tblFillRateFechas[[#This Row],[con_ocnumero]]&amp;Tabla__192.168.1.8_POSEIDONSQL_APPFVT_01_tblFillRateFechas[[#This Row],[con_codigounico]]</f>
        <v>940140-</v>
      </c>
      <c r="X5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7" spans="1:24" x14ac:dyDescent="0.25">
      <c r="A597">
        <v>6</v>
      </c>
      <c r="B597" t="s">
        <v>53</v>
      </c>
      <c r="C597">
        <v>940670</v>
      </c>
      <c r="D597" t="s">
        <v>1979</v>
      </c>
      <c r="E597" t="s">
        <v>1980</v>
      </c>
      <c r="F597" t="s">
        <v>1967</v>
      </c>
      <c r="G597">
        <v>1</v>
      </c>
      <c r="H597">
        <v>1</v>
      </c>
      <c r="I597" t="s">
        <v>1965</v>
      </c>
      <c r="J597">
        <v>0</v>
      </c>
      <c r="K597" t="s">
        <v>49</v>
      </c>
      <c r="L597" s="1">
        <f>+Tabla__192.168.1.8_POSEIDONSQL_APPFVT_01_tblFillRateFechas[[#This Row],[emb_cantidad]]-Tabla__192.168.1.8_POSEIDONSQL_APPFVT_01_tblFillRateFechas[[#This Row],[dev_cantidad]]</f>
        <v>1</v>
      </c>
      <c r="M597" s="1">
        <f>+IF(Tabla__192.168.1.8_POSEIDONSQL_APPFVT_01_tblFillRateFechas[[#This Row],[Cant_Resultante]]=Tabla__192.168.1.8_POSEIDONSQL_APPFVT_01_tblFillRateFechas[[#This Row],[cant_order]],1,0)</f>
        <v>1</v>
      </c>
      <c r="N5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7" s="1">
        <f>+IF(AND(Tabla__192.168.1.8_POSEIDONSQL_APPFVT_01_tblFillRateFechas[[#This Row],[Valida Cant]]=1,Tabla__192.168.1.8_POSEIDONSQL_APPFVT_01_tblFillRateFechas[[#This Row],[Valida Fec]]=1),1,0)</f>
        <v>1</v>
      </c>
      <c r="P597" s="1">
        <f>+(Tabla__192.168.1.8_POSEIDONSQL_APPFVT_01_tblFillRateFechas[[#This Row],[Cant_Resultante]]/Tabla__192.168.1.8_POSEIDONSQL_APPFVT_01_tblFillRateFechas[[#This Row],[cant_order]])*100</f>
        <v>100</v>
      </c>
      <c r="Q5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7" s="1">
        <f>+IF(Tabla__192.168.1.8_POSEIDONSQL_APPFVT_01_tblFillRateFechas[[#This Row],[cant_order]]&gt;0,1,0)</f>
        <v>1</v>
      </c>
      <c r="V597" s="1">
        <f>+IF(Tabla__192.168.1.8_POSEIDONSQL_APPFVT_01_tblFillRateFechas[[#This Row],[Resultado]]=1,1,0)</f>
        <v>1</v>
      </c>
      <c r="W597" s="1" t="str">
        <f>+Tabla__192.168.1.8_POSEIDONSQL_APPFVT_01_tblFillRateFechas[[#This Row],[con_ocnumero]]&amp;Tabla__192.168.1.8_POSEIDONSQL_APPFVT_01_tblFillRateFechas[[#This Row],[con_codigounico]]</f>
        <v>940670-</v>
      </c>
      <c r="X5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8" spans="1:24" x14ac:dyDescent="0.25">
      <c r="A598">
        <v>6</v>
      </c>
      <c r="B598" t="s">
        <v>53</v>
      </c>
      <c r="C598">
        <v>940958</v>
      </c>
      <c r="D598" t="s">
        <v>1979</v>
      </c>
      <c r="E598" t="s">
        <v>1965</v>
      </c>
      <c r="F598" t="s">
        <v>1967</v>
      </c>
      <c r="G598">
        <v>1</v>
      </c>
      <c r="H598">
        <v>1</v>
      </c>
      <c r="I598" t="s">
        <v>1965</v>
      </c>
      <c r="J598">
        <v>0</v>
      </c>
      <c r="K598" t="s">
        <v>49</v>
      </c>
      <c r="L598" s="1">
        <f>+Tabla__192.168.1.8_POSEIDONSQL_APPFVT_01_tblFillRateFechas[[#This Row],[emb_cantidad]]-Tabla__192.168.1.8_POSEIDONSQL_APPFVT_01_tblFillRateFechas[[#This Row],[dev_cantidad]]</f>
        <v>1</v>
      </c>
      <c r="M598" s="1">
        <f>+IF(Tabla__192.168.1.8_POSEIDONSQL_APPFVT_01_tblFillRateFechas[[#This Row],[Cant_Resultante]]=Tabla__192.168.1.8_POSEIDONSQL_APPFVT_01_tblFillRateFechas[[#This Row],[cant_order]],1,0)</f>
        <v>1</v>
      </c>
      <c r="N5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8" s="1">
        <f>+IF(AND(Tabla__192.168.1.8_POSEIDONSQL_APPFVT_01_tblFillRateFechas[[#This Row],[Valida Cant]]=1,Tabla__192.168.1.8_POSEIDONSQL_APPFVT_01_tblFillRateFechas[[#This Row],[Valida Fec]]=1),1,0)</f>
        <v>1</v>
      </c>
      <c r="P598" s="1">
        <f>+(Tabla__192.168.1.8_POSEIDONSQL_APPFVT_01_tblFillRateFechas[[#This Row],[Cant_Resultante]]/Tabla__192.168.1.8_POSEIDONSQL_APPFVT_01_tblFillRateFechas[[#This Row],[cant_order]])*100</f>
        <v>100</v>
      </c>
      <c r="Q5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8" s="1">
        <f>+IF(Tabla__192.168.1.8_POSEIDONSQL_APPFVT_01_tblFillRateFechas[[#This Row],[cant_order]]&gt;0,1,0)</f>
        <v>1</v>
      </c>
      <c r="V598" s="1">
        <f>+IF(Tabla__192.168.1.8_POSEIDONSQL_APPFVT_01_tblFillRateFechas[[#This Row],[Resultado]]=1,1,0)</f>
        <v>1</v>
      </c>
      <c r="W598" s="1" t="str">
        <f>+Tabla__192.168.1.8_POSEIDONSQL_APPFVT_01_tblFillRateFechas[[#This Row],[con_ocnumero]]&amp;Tabla__192.168.1.8_POSEIDONSQL_APPFVT_01_tblFillRateFechas[[#This Row],[con_codigounico]]</f>
        <v>940958-</v>
      </c>
      <c r="X5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599" spans="1:24" x14ac:dyDescent="0.25">
      <c r="A599">
        <v>6</v>
      </c>
      <c r="B599" t="s">
        <v>53</v>
      </c>
      <c r="C599">
        <v>941708</v>
      </c>
      <c r="D599" t="s">
        <v>1967</v>
      </c>
      <c r="E599" t="s">
        <v>1977</v>
      </c>
      <c r="F599" t="s">
        <v>1968</v>
      </c>
      <c r="G599">
        <v>1</v>
      </c>
      <c r="H599">
        <v>1</v>
      </c>
      <c r="I599" t="s">
        <v>1977</v>
      </c>
      <c r="J599">
        <v>0</v>
      </c>
      <c r="K599" t="s">
        <v>49</v>
      </c>
      <c r="L599" s="1">
        <f>+Tabla__192.168.1.8_POSEIDONSQL_APPFVT_01_tblFillRateFechas[[#This Row],[emb_cantidad]]-Tabla__192.168.1.8_POSEIDONSQL_APPFVT_01_tblFillRateFechas[[#This Row],[dev_cantidad]]</f>
        <v>1</v>
      </c>
      <c r="M599" s="1">
        <f>+IF(Tabla__192.168.1.8_POSEIDONSQL_APPFVT_01_tblFillRateFechas[[#This Row],[Cant_Resultante]]=Tabla__192.168.1.8_POSEIDONSQL_APPFVT_01_tblFillRateFechas[[#This Row],[cant_order]],1,0)</f>
        <v>1</v>
      </c>
      <c r="N5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599" s="1">
        <f>+IF(AND(Tabla__192.168.1.8_POSEIDONSQL_APPFVT_01_tblFillRateFechas[[#This Row],[Valida Cant]]=1,Tabla__192.168.1.8_POSEIDONSQL_APPFVT_01_tblFillRateFechas[[#This Row],[Valida Fec]]=1),1,0)</f>
        <v>1</v>
      </c>
      <c r="P599" s="1">
        <f>+(Tabla__192.168.1.8_POSEIDONSQL_APPFVT_01_tblFillRateFechas[[#This Row],[Cant_Resultante]]/Tabla__192.168.1.8_POSEIDONSQL_APPFVT_01_tblFillRateFechas[[#This Row],[cant_order]])*100</f>
        <v>100</v>
      </c>
      <c r="Q5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5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5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5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599" s="1">
        <f>+IF(Tabla__192.168.1.8_POSEIDONSQL_APPFVT_01_tblFillRateFechas[[#This Row],[cant_order]]&gt;0,1,0)</f>
        <v>1</v>
      </c>
      <c r="V599" s="1">
        <f>+IF(Tabla__192.168.1.8_POSEIDONSQL_APPFVT_01_tblFillRateFechas[[#This Row],[Resultado]]=1,1,0)</f>
        <v>1</v>
      </c>
      <c r="W599" s="1" t="str">
        <f>+Tabla__192.168.1.8_POSEIDONSQL_APPFVT_01_tblFillRateFechas[[#This Row],[con_ocnumero]]&amp;Tabla__192.168.1.8_POSEIDONSQL_APPFVT_01_tblFillRateFechas[[#This Row],[con_codigounico]]</f>
        <v>941708-</v>
      </c>
      <c r="X5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0" spans="1:24" x14ac:dyDescent="0.25">
      <c r="A600">
        <v>6</v>
      </c>
      <c r="B600" t="s">
        <v>53</v>
      </c>
      <c r="C600">
        <v>941962</v>
      </c>
      <c r="D600" t="s">
        <v>1967</v>
      </c>
      <c r="E600" t="s">
        <v>1980</v>
      </c>
      <c r="F600" t="s">
        <v>1968</v>
      </c>
      <c r="G600">
        <v>1</v>
      </c>
      <c r="H600">
        <v>1</v>
      </c>
      <c r="I600" t="s">
        <v>1965</v>
      </c>
      <c r="J600">
        <v>0</v>
      </c>
      <c r="K600" t="s">
        <v>49</v>
      </c>
      <c r="L600" s="1">
        <f>+Tabla__192.168.1.8_POSEIDONSQL_APPFVT_01_tblFillRateFechas[[#This Row],[emb_cantidad]]-Tabla__192.168.1.8_POSEIDONSQL_APPFVT_01_tblFillRateFechas[[#This Row],[dev_cantidad]]</f>
        <v>1</v>
      </c>
      <c r="M600" s="1">
        <f>+IF(Tabla__192.168.1.8_POSEIDONSQL_APPFVT_01_tblFillRateFechas[[#This Row],[Cant_Resultante]]=Tabla__192.168.1.8_POSEIDONSQL_APPFVT_01_tblFillRateFechas[[#This Row],[cant_order]],1,0)</f>
        <v>1</v>
      </c>
      <c r="N6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0" s="1">
        <f>+IF(AND(Tabla__192.168.1.8_POSEIDONSQL_APPFVT_01_tblFillRateFechas[[#This Row],[Valida Cant]]=1,Tabla__192.168.1.8_POSEIDONSQL_APPFVT_01_tblFillRateFechas[[#This Row],[Valida Fec]]=1),1,0)</f>
        <v>1</v>
      </c>
      <c r="P600" s="1">
        <f>+(Tabla__192.168.1.8_POSEIDONSQL_APPFVT_01_tblFillRateFechas[[#This Row],[Cant_Resultante]]/Tabla__192.168.1.8_POSEIDONSQL_APPFVT_01_tblFillRateFechas[[#This Row],[cant_order]])*100</f>
        <v>100</v>
      </c>
      <c r="Q6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0" s="1">
        <f>+IF(Tabla__192.168.1.8_POSEIDONSQL_APPFVT_01_tblFillRateFechas[[#This Row],[cant_order]]&gt;0,1,0)</f>
        <v>1</v>
      </c>
      <c r="V600" s="1">
        <f>+IF(Tabla__192.168.1.8_POSEIDONSQL_APPFVT_01_tblFillRateFechas[[#This Row],[Resultado]]=1,1,0)</f>
        <v>1</v>
      </c>
      <c r="W600" s="1" t="str">
        <f>+Tabla__192.168.1.8_POSEIDONSQL_APPFVT_01_tblFillRateFechas[[#This Row],[con_ocnumero]]&amp;Tabla__192.168.1.8_POSEIDONSQL_APPFVT_01_tblFillRateFechas[[#This Row],[con_codigounico]]</f>
        <v>941962-</v>
      </c>
      <c r="X6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1" spans="1:24" x14ac:dyDescent="0.25">
      <c r="A601">
        <v>6</v>
      </c>
      <c r="B601" t="s">
        <v>53</v>
      </c>
      <c r="C601">
        <v>942065</v>
      </c>
      <c r="D601" t="s">
        <v>1968</v>
      </c>
      <c r="E601" t="s">
        <v>1977</v>
      </c>
      <c r="F601" t="s">
        <v>1971</v>
      </c>
      <c r="G601">
        <v>1</v>
      </c>
      <c r="H601">
        <v>1</v>
      </c>
      <c r="I601" t="s">
        <v>1977</v>
      </c>
      <c r="J601">
        <v>0</v>
      </c>
      <c r="K601" t="s">
        <v>49</v>
      </c>
      <c r="L601" s="1">
        <f>+Tabla__192.168.1.8_POSEIDONSQL_APPFVT_01_tblFillRateFechas[[#This Row],[emb_cantidad]]-Tabla__192.168.1.8_POSEIDONSQL_APPFVT_01_tblFillRateFechas[[#This Row],[dev_cantidad]]</f>
        <v>1</v>
      </c>
      <c r="M601" s="1">
        <f>+IF(Tabla__192.168.1.8_POSEIDONSQL_APPFVT_01_tblFillRateFechas[[#This Row],[Cant_Resultante]]=Tabla__192.168.1.8_POSEIDONSQL_APPFVT_01_tblFillRateFechas[[#This Row],[cant_order]],1,0)</f>
        <v>1</v>
      </c>
      <c r="N6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1" s="1">
        <f>+IF(AND(Tabla__192.168.1.8_POSEIDONSQL_APPFVT_01_tblFillRateFechas[[#This Row],[Valida Cant]]=1,Tabla__192.168.1.8_POSEIDONSQL_APPFVT_01_tblFillRateFechas[[#This Row],[Valida Fec]]=1),1,0)</f>
        <v>1</v>
      </c>
      <c r="P601" s="1">
        <f>+(Tabla__192.168.1.8_POSEIDONSQL_APPFVT_01_tblFillRateFechas[[#This Row],[Cant_Resultante]]/Tabla__192.168.1.8_POSEIDONSQL_APPFVT_01_tblFillRateFechas[[#This Row],[cant_order]])*100</f>
        <v>100</v>
      </c>
      <c r="Q6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1" s="1">
        <f>+IF(Tabla__192.168.1.8_POSEIDONSQL_APPFVT_01_tblFillRateFechas[[#This Row],[cant_order]]&gt;0,1,0)</f>
        <v>1</v>
      </c>
      <c r="V601" s="1">
        <f>+IF(Tabla__192.168.1.8_POSEIDONSQL_APPFVT_01_tblFillRateFechas[[#This Row],[Resultado]]=1,1,0)</f>
        <v>1</v>
      </c>
      <c r="W601" s="1" t="str">
        <f>+Tabla__192.168.1.8_POSEIDONSQL_APPFVT_01_tblFillRateFechas[[#This Row],[con_ocnumero]]&amp;Tabla__192.168.1.8_POSEIDONSQL_APPFVT_01_tblFillRateFechas[[#This Row],[con_codigounico]]</f>
        <v>942065-</v>
      </c>
      <c r="X6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2" spans="1:24" x14ac:dyDescent="0.25">
      <c r="A602">
        <v>6</v>
      </c>
      <c r="B602" t="s">
        <v>53</v>
      </c>
      <c r="C602">
        <v>942253</v>
      </c>
      <c r="D602" t="s">
        <v>1968</v>
      </c>
      <c r="E602" t="s">
        <v>160</v>
      </c>
      <c r="F602" t="s">
        <v>1971</v>
      </c>
      <c r="G602">
        <v>1</v>
      </c>
      <c r="H602">
        <v>1</v>
      </c>
      <c r="I602" t="s">
        <v>160</v>
      </c>
      <c r="J602">
        <v>0</v>
      </c>
      <c r="K602" t="s">
        <v>49</v>
      </c>
      <c r="L602" s="1">
        <f>+Tabla__192.168.1.8_POSEIDONSQL_APPFVT_01_tblFillRateFechas[[#This Row],[emb_cantidad]]-Tabla__192.168.1.8_POSEIDONSQL_APPFVT_01_tblFillRateFechas[[#This Row],[dev_cantidad]]</f>
        <v>1</v>
      </c>
      <c r="M602" s="1">
        <f>+IF(Tabla__192.168.1.8_POSEIDONSQL_APPFVT_01_tblFillRateFechas[[#This Row],[Cant_Resultante]]=Tabla__192.168.1.8_POSEIDONSQL_APPFVT_01_tblFillRateFechas[[#This Row],[cant_order]],1,0)</f>
        <v>1</v>
      </c>
      <c r="N6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2" s="1">
        <f>+IF(AND(Tabla__192.168.1.8_POSEIDONSQL_APPFVT_01_tblFillRateFechas[[#This Row],[Valida Cant]]=1,Tabla__192.168.1.8_POSEIDONSQL_APPFVT_01_tblFillRateFechas[[#This Row],[Valida Fec]]=1),1,0)</f>
        <v>1</v>
      </c>
      <c r="P602" s="1">
        <f>+(Tabla__192.168.1.8_POSEIDONSQL_APPFVT_01_tblFillRateFechas[[#This Row],[Cant_Resultante]]/Tabla__192.168.1.8_POSEIDONSQL_APPFVT_01_tblFillRateFechas[[#This Row],[cant_order]])*100</f>
        <v>100</v>
      </c>
      <c r="Q6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2" s="1">
        <f>+IF(Tabla__192.168.1.8_POSEIDONSQL_APPFVT_01_tblFillRateFechas[[#This Row],[cant_order]]&gt;0,1,0)</f>
        <v>1</v>
      </c>
      <c r="V602" s="1">
        <f>+IF(Tabla__192.168.1.8_POSEIDONSQL_APPFVT_01_tblFillRateFechas[[#This Row],[Resultado]]=1,1,0)</f>
        <v>1</v>
      </c>
      <c r="W602" s="1" t="str">
        <f>+Tabla__192.168.1.8_POSEIDONSQL_APPFVT_01_tblFillRateFechas[[#This Row],[con_ocnumero]]&amp;Tabla__192.168.1.8_POSEIDONSQL_APPFVT_01_tblFillRateFechas[[#This Row],[con_codigounico]]</f>
        <v>942253-</v>
      </c>
      <c r="X6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3" spans="1:24" x14ac:dyDescent="0.25">
      <c r="A603">
        <v>6</v>
      </c>
      <c r="B603" t="s">
        <v>53</v>
      </c>
      <c r="C603">
        <v>942615</v>
      </c>
      <c r="D603" t="s">
        <v>1968</v>
      </c>
      <c r="E603" t="s">
        <v>1962</v>
      </c>
      <c r="F603" t="s">
        <v>1971</v>
      </c>
      <c r="G603">
        <v>1</v>
      </c>
      <c r="H603">
        <v>1</v>
      </c>
      <c r="I603" t="s">
        <v>1977</v>
      </c>
      <c r="J603">
        <v>0</v>
      </c>
      <c r="K603" t="s">
        <v>49</v>
      </c>
      <c r="L603" s="1">
        <f>+Tabla__192.168.1.8_POSEIDONSQL_APPFVT_01_tblFillRateFechas[[#This Row],[emb_cantidad]]-Tabla__192.168.1.8_POSEIDONSQL_APPFVT_01_tblFillRateFechas[[#This Row],[dev_cantidad]]</f>
        <v>1</v>
      </c>
      <c r="M603" s="1">
        <f>+IF(Tabla__192.168.1.8_POSEIDONSQL_APPFVT_01_tblFillRateFechas[[#This Row],[Cant_Resultante]]=Tabla__192.168.1.8_POSEIDONSQL_APPFVT_01_tblFillRateFechas[[#This Row],[cant_order]],1,0)</f>
        <v>1</v>
      </c>
      <c r="N6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3" s="1">
        <f>+IF(AND(Tabla__192.168.1.8_POSEIDONSQL_APPFVT_01_tblFillRateFechas[[#This Row],[Valida Cant]]=1,Tabla__192.168.1.8_POSEIDONSQL_APPFVT_01_tblFillRateFechas[[#This Row],[Valida Fec]]=1),1,0)</f>
        <v>1</v>
      </c>
      <c r="P603" s="1">
        <f>+(Tabla__192.168.1.8_POSEIDONSQL_APPFVT_01_tblFillRateFechas[[#This Row],[Cant_Resultante]]/Tabla__192.168.1.8_POSEIDONSQL_APPFVT_01_tblFillRateFechas[[#This Row],[cant_order]])*100</f>
        <v>100</v>
      </c>
      <c r="Q6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3" s="1">
        <f>+IF(Tabla__192.168.1.8_POSEIDONSQL_APPFVT_01_tblFillRateFechas[[#This Row],[cant_order]]&gt;0,1,0)</f>
        <v>1</v>
      </c>
      <c r="V603" s="1">
        <f>+IF(Tabla__192.168.1.8_POSEIDONSQL_APPFVT_01_tblFillRateFechas[[#This Row],[Resultado]]=1,1,0)</f>
        <v>1</v>
      </c>
      <c r="W603" s="1" t="str">
        <f>+Tabla__192.168.1.8_POSEIDONSQL_APPFVT_01_tblFillRateFechas[[#This Row],[con_ocnumero]]&amp;Tabla__192.168.1.8_POSEIDONSQL_APPFVT_01_tblFillRateFechas[[#This Row],[con_codigounico]]</f>
        <v>942615-</v>
      </c>
      <c r="X6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4" spans="1:24" x14ac:dyDescent="0.25">
      <c r="A604">
        <v>6</v>
      </c>
      <c r="B604" t="s">
        <v>53</v>
      </c>
      <c r="C604">
        <v>942674</v>
      </c>
      <c r="D604" t="s">
        <v>1968</v>
      </c>
      <c r="E604" t="s">
        <v>1977</v>
      </c>
      <c r="F604" t="s">
        <v>1971</v>
      </c>
      <c r="G604">
        <v>1</v>
      </c>
      <c r="H604">
        <v>1</v>
      </c>
      <c r="I604" t="s">
        <v>1977</v>
      </c>
      <c r="J604">
        <v>0</v>
      </c>
      <c r="K604" t="s">
        <v>49</v>
      </c>
      <c r="L604" s="1">
        <f>+Tabla__192.168.1.8_POSEIDONSQL_APPFVT_01_tblFillRateFechas[[#This Row],[emb_cantidad]]-Tabla__192.168.1.8_POSEIDONSQL_APPFVT_01_tblFillRateFechas[[#This Row],[dev_cantidad]]</f>
        <v>1</v>
      </c>
      <c r="M604" s="1">
        <f>+IF(Tabla__192.168.1.8_POSEIDONSQL_APPFVT_01_tblFillRateFechas[[#This Row],[Cant_Resultante]]=Tabla__192.168.1.8_POSEIDONSQL_APPFVT_01_tblFillRateFechas[[#This Row],[cant_order]],1,0)</f>
        <v>1</v>
      </c>
      <c r="N6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4" s="1">
        <f>+IF(AND(Tabla__192.168.1.8_POSEIDONSQL_APPFVT_01_tblFillRateFechas[[#This Row],[Valida Cant]]=1,Tabla__192.168.1.8_POSEIDONSQL_APPFVT_01_tblFillRateFechas[[#This Row],[Valida Fec]]=1),1,0)</f>
        <v>1</v>
      </c>
      <c r="P604" s="1">
        <f>+(Tabla__192.168.1.8_POSEIDONSQL_APPFVT_01_tblFillRateFechas[[#This Row],[Cant_Resultante]]/Tabla__192.168.1.8_POSEIDONSQL_APPFVT_01_tblFillRateFechas[[#This Row],[cant_order]])*100</f>
        <v>100</v>
      </c>
      <c r="Q6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4" s="1">
        <f>+IF(Tabla__192.168.1.8_POSEIDONSQL_APPFVT_01_tblFillRateFechas[[#This Row],[cant_order]]&gt;0,1,0)</f>
        <v>1</v>
      </c>
      <c r="V604" s="1">
        <f>+IF(Tabla__192.168.1.8_POSEIDONSQL_APPFVT_01_tblFillRateFechas[[#This Row],[Resultado]]=1,1,0)</f>
        <v>1</v>
      </c>
      <c r="W604" s="1" t="str">
        <f>+Tabla__192.168.1.8_POSEIDONSQL_APPFVT_01_tblFillRateFechas[[#This Row],[con_ocnumero]]&amp;Tabla__192.168.1.8_POSEIDONSQL_APPFVT_01_tblFillRateFechas[[#This Row],[con_codigounico]]</f>
        <v>942674-</v>
      </c>
      <c r="X6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5" spans="1:24" x14ac:dyDescent="0.25">
      <c r="A605">
        <v>6</v>
      </c>
      <c r="B605" t="s">
        <v>53</v>
      </c>
      <c r="C605">
        <v>943115</v>
      </c>
      <c r="D605" t="s">
        <v>1981</v>
      </c>
      <c r="E605" t="s">
        <v>1977</v>
      </c>
      <c r="F605" t="s">
        <v>1971</v>
      </c>
      <c r="G605">
        <v>1</v>
      </c>
      <c r="H605">
        <v>1</v>
      </c>
      <c r="I605" t="s">
        <v>1977</v>
      </c>
      <c r="J605">
        <v>0</v>
      </c>
      <c r="K605" t="s">
        <v>49</v>
      </c>
      <c r="L605" s="1">
        <f>+Tabla__192.168.1.8_POSEIDONSQL_APPFVT_01_tblFillRateFechas[[#This Row],[emb_cantidad]]-Tabla__192.168.1.8_POSEIDONSQL_APPFVT_01_tblFillRateFechas[[#This Row],[dev_cantidad]]</f>
        <v>1</v>
      </c>
      <c r="M605" s="1">
        <f>+IF(Tabla__192.168.1.8_POSEIDONSQL_APPFVT_01_tblFillRateFechas[[#This Row],[Cant_Resultante]]=Tabla__192.168.1.8_POSEIDONSQL_APPFVT_01_tblFillRateFechas[[#This Row],[cant_order]],1,0)</f>
        <v>1</v>
      </c>
      <c r="N6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5" s="1">
        <f>+IF(AND(Tabla__192.168.1.8_POSEIDONSQL_APPFVT_01_tblFillRateFechas[[#This Row],[Valida Cant]]=1,Tabla__192.168.1.8_POSEIDONSQL_APPFVT_01_tblFillRateFechas[[#This Row],[Valida Fec]]=1),1,0)</f>
        <v>1</v>
      </c>
      <c r="P605" s="1">
        <f>+(Tabla__192.168.1.8_POSEIDONSQL_APPFVT_01_tblFillRateFechas[[#This Row],[Cant_Resultante]]/Tabla__192.168.1.8_POSEIDONSQL_APPFVT_01_tblFillRateFechas[[#This Row],[cant_order]])*100</f>
        <v>100</v>
      </c>
      <c r="Q6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5" s="1">
        <f>+IF(Tabla__192.168.1.8_POSEIDONSQL_APPFVT_01_tblFillRateFechas[[#This Row],[cant_order]]&gt;0,1,0)</f>
        <v>1</v>
      </c>
      <c r="V605" s="1">
        <f>+IF(Tabla__192.168.1.8_POSEIDONSQL_APPFVT_01_tblFillRateFechas[[#This Row],[Resultado]]=1,1,0)</f>
        <v>1</v>
      </c>
      <c r="W605" s="1" t="str">
        <f>+Tabla__192.168.1.8_POSEIDONSQL_APPFVT_01_tblFillRateFechas[[#This Row],[con_ocnumero]]&amp;Tabla__192.168.1.8_POSEIDONSQL_APPFVT_01_tblFillRateFechas[[#This Row],[con_codigounico]]</f>
        <v>943115-</v>
      </c>
      <c r="X6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6" spans="1:24" x14ac:dyDescent="0.25">
      <c r="A606">
        <v>6</v>
      </c>
      <c r="B606" t="s">
        <v>53</v>
      </c>
      <c r="C606">
        <v>943143</v>
      </c>
      <c r="D606" t="s">
        <v>1981</v>
      </c>
      <c r="E606" t="s">
        <v>160</v>
      </c>
      <c r="F606" t="s">
        <v>1971</v>
      </c>
      <c r="G606">
        <v>4</v>
      </c>
      <c r="H606">
        <v>4</v>
      </c>
      <c r="I606" t="s">
        <v>160</v>
      </c>
      <c r="J606">
        <v>0</v>
      </c>
      <c r="K606" t="s">
        <v>49</v>
      </c>
      <c r="L606" s="1">
        <f>+Tabla__192.168.1.8_POSEIDONSQL_APPFVT_01_tblFillRateFechas[[#This Row],[emb_cantidad]]-Tabla__192.168.1.8_POSEIDONSQL_APPFVT_01_tblFillRateFechas[[#This Row],[dev_cantidad]]</f>
        <v>4</v>
      </c>
      <c r="M606" s="1">
        <f>+IF(Tabla__192.168.1.8_POSEIDONSQL_APPFVT_01_tblFillRateFechas[[#This Row],[Cant_Resultante]]=Tabla__192.168.1.8_POSEIDONSQL_APPFVT_01_tblFillRateFechas[[#This Row],[cant_order]],1,0)</f>
        <v>1</v>
      </c>
      <c r="N6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6" s="1">
        <f>+IF(AND(Tabla__192.168.1.8_POSEIDONSQL_APPFVT_01_tblFillRateFechas[[#This Row],[Valida Cant]]=1,Tabla__192.168.1.8_POSEIDONSQL_APPFVT_01_tblFillRateFechas[[#This Row],[Valida Fec]]=1),1,0)</f>
        <v>1</v>
      </c>
      <c r="P606" s="1">
        <f>+(Tabla__192.168.1.8_POSEIDONSQL_APPFVT_01_tblFillRateFechas[[#This Row],[Cant_Resultante]]/Tabla__192.168.1.8_POSEIDONSQL_APPFVT_01_tblFillRateFechas[[#This Row],[cant_order]])*100</f>
        <v>100</v>
      </c>
      <c r="Q6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4</v>
      </c>
      <c r="R6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4</v>
      </c>
      <c r="T6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6" s="1">
        <f>+IF(Tabla__192.168.1.8_POSEIDONSQL_APPFVT_01_tblFillRateFechas[[#This Row],[cant_order]]&gt;0,1,0)</f>
        <v>1</v>
      </c>
      <c r="V606" s="1">
        <f>+IF(Tabla__192.168.1.8_POSEIDONSQL_APPFVT_01_tblFillRateFechas[[#This Row],[Resultado]]=1,1,0)</f>
        <v>1</v>
      </c>
      <c r="W606" s="1" t="str">
        <f>+Tabla__192.168.1.8_POSEIDONSQL_APPFVT_01_tblFillRateFechas[[#This Row],[con_ocnumero]]&amp;Tabla__192.168.1.8_POSEIDONSQL_APPFVT_01_tblFillRateFechas[[#This Row],[con_codigounico]]</f>
        <v>943143-</v>
      </c>
      <c r="X6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4</v>
      </c>
    </row>
    <row r="607" spans="1:24" x14ac:dyDescent="0.25">
      <c r="A607">
        <v>6</v>
      </c>
      <c r="B607" t="s">
        <v>53</v>
      </c>
      <c r="C607">
        <v>943150</v>
      </c>
      <c r="D607" t="s">
        <v>1981</v>
      </c>
      <c r="E607" t="s">
        <v>1977</v>
      </c>
      <c r="F607" t="s">
        <v>1971</v>
      </c>
      <c r="G607">
        <v>1</v>
      </c>
      <c r="H607">
        <v>1</v>
      </c>
      <c r="I607" t="s">
        <v>1977</v>
      </c>
      <c r="J607">
        <v>0</v>
      </c>
      <c r="K607" t="s">
        <v>49</v>
      </c>
      <c r="L607" s="1">
        <f>+Tabla__192.168.1.8_POSEIDONSQL_APPFVT_01_tblFillRateFechas[[#This Row],[emb_cantidad]]-Tabla__192.168.1.8_POSEIDONSQL_APPFVT_01_tblFillRateFechas[[#This Row],[dev_cantidad]]</f>
        <v>1</v>
      </c>
      <c r="M607" s="1">
        <f>+IF(Tabla__192.168.1.8_POSEIDONSQL_APPFVT_01_tblFillRateFechas[[#This Row],[Cant_Resultante]]=Tabla__192.168.1.8_POSEIDONSQL_APPFVT_01_tblFillRateFechas[[#This Row],[cant_order]],1,0)</f>
        <v>1</v>
      </c>
      <c r="N6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7" s="1">
        <f>+IF(AND(Tabla__192.168.1.8_POSEIDONSQL_APPFVT_01_tblFillRateFechas[[#This Row],[Valida Cant]]=1,Tabla__192.168.1.8_POSEIDONSQL_APPFVT_01_tblFillRateFechas[[#This Row],[Valida Fec]]=1),1,0)</f>
        <v>1</v>
      </c>
      <c r="P607" s="1">
        <f>+(Tabla__192.168.1.8_POSEIDONSQL_APPFVT_01_tblFillRateFechas[[#This Row],[Cant_Resultante]]/Tabla__192.168.1.8_POSEIDONSQL_APPFVT_01_tblFillRateFechas[[#This Row],[cant_order]])*100</f>
        <v>100</v>
      </c>
      <c r="Q6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7" s="1">
        <f>+IF(Tabla__192.168.1.8_POSEIDONSQL_APPFVT_01_tblFillRateFechas[[#This Row],[cant_order]]&gt;0,1,0)</f>
        <v>1</v>
      </c>
      <c r="V607" s="1">
        <f>+IF(Tabla__192.168.1.8_POSEIDONSQL_APPFVT_01_tblFillRateFechas[[#This Row],[Resultado]]=1,1,0)</f>
        <v>1</v>
      </c>
      <c r="W607" s="1" t="str">
        <f>+Tabla__192.168.1.8_POSEIDONSQL_APPFVT_01_tblFillRateFechas[[#This Row],[con_ocnumero]]&amp;Tabla__192.168.1.8_POSEIDONSQL_APPFVT_01_tblFillRateFechas[[#This Row],[con_codigounico]]</f>
        <v>943150-</v>
      </c>
      <c r="X6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8" spans="1:24" x14ac:dyDescent="0.25">
      <c r="A608">
        <v>6</v>
      </c>
      <c r="B608" t="s">
        <v>53</v>
      </c>
      <c r="C608">
        <v>943928</v>
      </c>
      <c r="D608" t="s">
        <v>1970</v>
      </c>
      <c r="E608" t="s">
        <v>1977</v>
      </c>
      <c r="F608" t="s">
        <v>1971</v>
      </c>
      <c r="G608">
        <v>1</v>
      </c>
      <c r="H608">
        <v>1</v>
      </c>
      <c r="I608" t="s">
        <v>1977</v>
      </c>
      <c r="J608">
        <v>0</v>
      </c>
      <c r="K608" t="s">
        <v>49</v>
      </c>
      <c r="L608" s="1">
        <f>+Tabla__192.168.1.8_POSEIDONSQL_APPFVT_01_tblFillRateFechas[[#This Row],[emb_cantidad]]-Tabla__192.168.1.8_POSEIDONSQL_APPFVT_01_tblFillRateFechas[[#This Row],[dev_cantidad]]</f>
        <v>1</v>
      </c>
      <c r="M608" s="1">
        <f>+IF(Tabla__192.168.1.8_POSEIDONSQL_APPFVT_01_tblFillRateFechas[[#This Row],[Cant_Resultante]]=Tabla__192.168.1.8_POSEIDONSQL_APPFVT_01_tblFillRateFechas[[#This Row],[cant_order]],1,0)</f>
        <v>1</v>
      </c>
      <c r="N6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8" s="1">
        <f>+IF(AND(Tabla__192.168.1.8_POSEIDONSQL_APPFVT_01_tblFillRateFechas[[#This Row],[Valida Cant]]=1,Tabla__192.168.1.8_POSEIDONSQL_APPFVT_01_tblFillRateFechas[[#This Row],[Valida Fec]]=1),1,0)</f>
        <v>1</v>
      </c>
      <c r="P608" s="1">
        <f>+(Tabla__192.168.1.8_POSEIDONSQL_APPFVT_01_tblFillRateFechas[[#This Row],[Cant_Resultante]]/Tabla__192.168.1.8_POSEIDONSQL_APPFVT_01_tblFillRateFechas[[#This Row],[cant_order]])*100</f>
        <v>100</v>
      </c>
      <c r="Q6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8" s="1">
        <f>+IF(Tabla__192.168.1.8_POSEIDONSQL_APPFVT_01_tblFillRateFechas[[#This Row],[cant_order]]&gt;0,1,0)</f>
        <v>1</v>
      </c>
      <c r="V608" s="1">
        <f>+IF(Tabla__192.168.1.8_POSEIDONSQL_APPFVT_01_tblFillRateFechas[[#This Row],[Resultado]]=1,1,0)</f>
        <v>1</v>
      </c>
      <c r="W608" s="1" t="str">
        <f>+Tabla__192.168.1.8_POSEIDONSQL_APPFVT_01_tblFillRateFechas[[#This Row],[con_ocnumero]]&amp;Tabla__192.168.1.8_POSEIDONSQL_APPFVT_01_tblFillRateFechas[[#This Row],[con_codigounico]]</f>
        <v>943928-</v>
      </c>
      <c r="X6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09" spans="1:24" x14ac:dyDescent="0.25">
      <c r="A609">
        <v>6</v>
      </c>
      <c r="B609" t="s">
        <v>53</v>
      </c>
      <c r="C609">
        <v>944181</v>
      </c>
      <c r="D609" t="s">
        <v>1970</v>
      </c>
      <c r="E609" t="s">
        <v>1977</v>
      </c>
      <c r="F609" t="s">
        <v>1971</v>
      </c>
      <c r="G609">
        <v>2</v>
      </c>
      <c r="H609">
        <v>2</v>
      </c>
      <c r="I609" t="s">
        <v>1977</v>
      </c>
      <c r="J609">
        <v>0</v>
      </c>
      <c r="K609" t="s">
        <v>49</v>
      </c>
      <c r="L609" s="1">
        <f>+Tabla__192.168.1.8_POSEIDONSQL_APPFVT_01_tblFillRateFechas[[#This Row],[emb_cantidad]]-Tabla__192.168.1.8_POSEIDONSQL_APPFVT_01_tblFillRateFechas[[#This Row],[dev_cantidad]]</f>
        <v>2</v>
      </c>
      <c r="M609" s="1">
        <f>+IF(Tabla__192.168.1.8_POSEIDONSQL_APPFVT_01_tblFillRateFechas[[#This Row],[Cant_Resultante]]=Tabla__192.168.1.8_POSEIDONSQL_APPFVT_01_tblFillRateFechas[[#This Row],[cant_order]],1,0)</f>
        <v>1</v>
      </c>
      <c r="N6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09" s="1">
        <f>+IF(AND(Tabla__192.168.1.8_POSEIDONSQL_APPFVT_01_tblFillRateFechas[[#This Row],[Valida Cant]]=1,Tabla__192.168.1.8_POSEIDONSQL_APPFVT_01_tblFillRateFechas[[#This Row],[Valida Fec]]=1),1,0)</f>
        <v>1</v>
      </c>
      <c r="P609" s="1">
        <f>+(Tabla__192.168.1.8_POSEIDONSQL_APPFVT_01_tblFillRateFechas[[#This Row],[Cant_Resultante]]/Tabla__192.168.1.8_POSEIDONSQL_APPFVT_01_tblFillRateFechas[[#This Row],[cant_order]])*100</f>
        <v>100</v>
      </c>
      <c r="Q6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6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6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09" s="1">
        <f>+IF(Tabla__192.168.1.8_POSEIDONSQL_APPFVT_01_tblFillRateFechas[[#This Row],[cant_order]]&gt;0,1,0)</f>
        <v>1</v>
      </c>
      <c r="V609" s="1">
        <f>+IF(Tabla__192.168.1.8_POSEIDONSQL_APPFVT_01_tblFillRateFechas[[#This Row],[Resultado]]=1,1,0)</f>
        <v>1</v>
      </c>
      <c r="W609" s="1" t="str">
        <f>+Tabla__192.168.1.8_POSEIDONSQL_APPFVT_01_tblFillRateFechas[[#This Row],[con_ocnumero]]&amp;Tabla__192.168.1.8_POSEIDONSQL_APPFVT_01_tblFillRateFechas[[#This Row],[con_codigounico]]</f>
        <v>944181-</v>
      </c>
      <c r="X6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610" spans="1:24" x14ac:dyDescent="0.25">
      <c r="A610">
        <v>6</v>
      </c>
      <c r="B610" t="s">
        <v>53</v>
      </c>
      <c r="C610">
        <v>944319</v>
      </c>
      <c r="D610" t="s">
        <v>1970</v>
      </c>
      <c r="E610" t="s">
        <v>160</v>
      </c>
      <c r="F610" t="s">
        <v>1971</v>
      </c>
      <c r="G610">
        <v>1</v>
      </c>
      <c r="H610">
        <v>1</v>
      </c>
      <c r="I610" t="s">
        <v>160</v>
      </c>
      <c r="J610">
        <v>0</v>
      </c>
      <c r="K610" t="s">
        <v>49</v>
      </c>
      <c r="L610" s="1">
        <f>+Tabla__192.168.1.8_POSEIDONSQL_APPFVT_01_tblFillRateFechas[[#This Row],[emb_cantidad]]-Tabla__192.168.1.8_POSEIDONSQL_APPFVT_01_tblFillRateFechas[[#This Row],[dev_cantidad]]</f>
        <v>1</v>
      </c>
      <c r="M610" s="1">
        <f>+IF(Tabla__192.168.1.8_POSEIDONSQL_APPFVT_01_tblFillRateFechas[[#This Row],[Cant_Resultante]]=Tabla__192.168.1.8_POSEIDONSQL_APPFVT_01_tblFillRateFechas[[#This Row],[cant_order]],1,0)</f>
        <v>1</v>
      </c>
      <c r="N6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0" s="1">
        <f>+IF(AND(Tabla__192.168.1.8_POSEIDONSQL_APPFVT_01_tblFillRateFechas[[#This Row],[Valida Cant]]=1,Tabla__192.168.1.8_POSEIDONSQL_APPFVT_01_tblFillRateFechas[[#This Row],[Valida Fec]]=1),1,0)</f>
        <v>1</v>
      </c>
      <c r="P610" s="1">
        <f>+(Tabla__192.168.1.8_POSEIDONSQL_APPFVT_01_tblFillRateFechas[[#This Row],[Cant_Resultante]]/Tabla__192.168.1.8_POSEIDONSQL_APPFVT_01_tblFillRateFechas[[#This Row],[cant_order]])*100</f>
        <v>100</v>
      </c>
      <c r="Q6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0" s="1">
        <f>+IF(Tabla__192.168.1.8_POSEIDONSQL_APPFVT_01_tblFillRateFechas[[#This Row],[cant_order]]&gt;0,1,0)</f>
        <v>1</v>
      </c>
      <c r="V610" s="1">
        <f>+IF(Tabla__192.168.1.8_POSEIDONSQL_APPFVT_01_tblFillRateFechas[[#This Row],[Resultado]]=1,1,0)</f>
        <v>1</v>
      </c>
      <c r="W610" s="1" t="str">
        <f>+Tabla__192.168.1.8_POSEIDONSQL_APPFVT_01_tblFillRateFechas[[#This Row],[con_ocnumero]]&amp;Tabla__192.168.1.8_POSEIDONSQL_APPFVT_01_tblFillRateFechas[[#This Row],[con_codigounico]]</f>
        <v>944319-</v>
      </c>
      <c r="X6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1" spans="1:24" x14ac:dyDescent="0.25">
      <c r="A611">
        <v>6</v>
      </c>
      <c r="B611" t="s">
        <v>53</v>
      </c>
      <c r="C611">
        <v>944649</v>
      </c>
      <c r="D611" t="s">
        <v>1970</v>
      </c>
      <c r="E611" t="s">
        <v>1977</v>
      </c>
      <c r="F611" t="s">
        <v>1971</v>
      </c>
      <c r="G611">
        <v>1</v>
      </c>
      <c r="H611">
        <v>1</v>
      </c>
      <c r="I611" t="s">
        <v>1977</v>
      </c>
      <c r="J611">
        <v>0</v>
      </c>
      <c r="K611" t="s">
        <v>49</v>
      </c>
      <c r="L611" s="1">
        <f>+Tabla__192.168.1.8_POSEIDONSQL_APPFVT_01_tblFillRateFechas[[#This Row],[emb_cantidad]]-Tabla__192.168.1.8_POSEIDONSQL_APPFVT_01_tblFillRateFechas[[#This Row],[dev_cantidad]]</f>
        <v>1</v>
      </c>
      <c r="M611" s="1">
        <f>+IF(Tabla__192.168.1.8_POSEIDONSQL_APPFVT_01_tblFillRateFechas[[#This Row],[Cant_Resultante]]=Tabla__192.168.1.8_POSEIDONSQL_APPFVT_01_tblFillRateFechas[[#This Row],[cant_order]],1,0)</f>
        <v>1</v>
      </c>
      <c r="N6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1" s="1">
        <f>+IF(AND(Tabla__192.168.1.8_POSEIDONSQL_APPFVT_01_tblFillRateFechas[[#This Row],[Valida Cant]]=1,Tabla__192.168.1.8_POSEIDONSQL_APPFVT_01_tblFillRateFechas[[#This Row],[Valida Fec]]=1),1,0)</f>
        <v>1</v>
      </c>
      <c r="P611" s="1">
        <f>+(Tabla__192.168.1.8_POSEIDONSQL_APPFVT_01_tblFillRateFechas[[#This Row],[Cant_Resultante]]/Tabla__192.168.1.8_POSEIDONSQL_APPFVT_01_tblFillRateFechas[[#This Row],[cant_order]])*100</f>
        <v>100</v>
      </c>
      <c r="Q6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1" s="1">
        <f>+IF(Tabla__192.168.1.8_POSEIDONSQL_APPFVT_01_tblFillRateFechas[[#This Row],[cant_order]]&gt;0,1,0)</f>
        <v>1</v>
      </c>
      <c r="V611" s="1">
        <f>+IF(Tabla__192.168.1.8_POSEIDONSQL_APPFVT_01_tblFillRateFechas[[#This Row],[Resultado]]=1,1,0)</f>
        <v>1</v>
      </c>
      <c r="W611" s="1" t="str">
        <f>+Tabla__192.168.1.8_POSEIDONSQL_APPFVT_01_tblFillRateFechas[[#This Row],[con_ocnumero]]&amp;Tabla__192.168.1.8_POSEIDONSQL_APPFVT_01_tblFillRateFechas[[#This Row],[con_codigounico]]</f>
        <v>944649-</v>
      </c>
      <c r="X6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2" spans="1:24" x14ac:dyDescent="0.25">
      <c r="A612">
        <v>6</v>
      </c>
      <c r="B612" t="s">
        <v>53</v>
      </c>
      <c r="C612">
        <v>944705</v>
      </c>
      <c r="D612" t="s">
        <v>1970</v>
      </c>
      <c r="E612" t="s">
        <v>1963</v>
      </c>
      <c r="F612" t="s">
        <v>1971</v>
      </c>
      <c r="G612">
        <v>1</v>
      </c>
      <c r="H612">
        <v>1</v>
      </c>
      <c r="I612" t="s">
        <v>1963</v>
      </c>
      <c r="J612">
        <v>0</v>
      </c>
      <c r="K612" t="s">
        <v>49</v>
      </c>
      <c r="L612" s="1">
        <f>+Tabla__192.168.1.8_POSEIDONSQL_APPFVT_01_tblFillRateFechas[[#This Row],[emb_cantidad]]-Tabla__192.168.1.8_POSEIDONSQL_APPFVT_01_tblFillRateFechas[[#This Row],[dev_cantidad]]</f>
        <v>1</v>
      </c>
      <c r="M612" s="1">
        <f>+IF(Tabla__192.168.1.8_POSEIDONSQL_APPFVT_01_tblFillRateFechas[[#This Row],[Cant_Resultante]]=Tabla__192.168.1.8_POSEIDONSQL_APPFVT_01_tblFillRateFechas[[#This Row],[cant_order]],1,0)</f>
        <v>1</v>
      </c>
      <c r="N6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2" s="1">
        <f>+IF(AND(Tabla__192.168.1.8_POSEIDONSQL_APPFVT_01_tblFillRateFechas[[#This Row],[Valida Cant]]=1,Tabla__192.168.1.8_POSEIDONSQL_APPFVT_01_tblFillRateFechas[[#This Row],[Valida Fec]]=1),1,0)</f>
        <v>1</v>
      </c>
      <c r="P612" s="1">
        <f>+(Tabla__192.168.1.8_POSEIDONSQL_APPFVT_01_tblFillRateFechas[[#This Row],[Cant_Resultante]]/Tabla__192.168.1.8_POSEIDONSQL_APPFVT_01_tblFillRateFechas[[#This Row],[cant_order]])*100</f>
        <v>100</v>
      </c>
      <c r="Q6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2" s="1">
        <f>+IF(Tabla__192.168.1.8_POSEIDONSQL_APPFVT_01_tblFillRateFechas[[#This Row],[cant_order]]&gt;0,1,0)</f>
        <v>1</v>
      </c>
      <c r="V612" s="1">
        <f>+IF(Tabla__192.168.1.8_POSEIDONSQL_APPFVT_01_tblFillRateFechas[[#This Row],[Resultado]]=1,1,0)</f>
        <v>1</v>
      </c>
      <c r="W612" s="1" t="str">
        <f>+Tabla__192.168.1.8_POSEIDONSQL_APPFVT_01_tblFillRateFechas[[#This Row],[con_ocnumero]]&amp;Tabla__192.168.1.8_POSEIDONSQL_APPFVT_01_tblFillRateFechas[[#This Row],[con_codigounico]]</f>
        <v>944705-</v>
      </c>
      <c r="X6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3" spans="1:24" x14ac:dyDescent="0.25">
      <c r="A613">
        <v>6</v>
      </c>
      <c r="B613" t="s">
        <v>53</v>
      </c>
      <c r="C613">
        <v>944882</v>
      </c>
      <c r="D613" t="s">
        <v>1971</v>
      </c>
      <c r="E613" t="s">
        <v>1963</v>
      </c>
      <c r="F613" t="s">
        <v>1971</v>
      </c>
      <c r="G613">
        <v>1</v>
      </c>
      <c r="H613">
        <v>1</v>
      </c>
      <c r="I613" t="s">
        <v>1963</v>
      </c>
      <c r="J613">
        <v>0</v>
      </c>
      <c r="K613" t="s">
        <v>49</v>
      </c>
      <c r="L613" s="1">
        <f>+Tabla__192.168.1.8_POSEIDONSQL_APPFVT_01_tblFillRateFechas[[#This Row],[emb_cantidad]]-Tabla__192.168.1.8_POSEIDONSQL_APPFVT_01_tblFillRateFechas[[#This Row],[dev_cantidad]]</f>
        <v>1</v>
      </c>
      <c r="M613" s="1">
        <f>+IF(Tabla__192.168.1.8_POSEIDONSQL_APPFVT_01_tblFillRateFechas[[#This Row],[Cant_Resultante]]=Tabla__192.168.1.8_POSEIDONSQL_APPFVT_01_tblFillRateFechas[[#This Row],[cant_order]],1,0)</f>
        <v>1</v>
      </c>
      <c r="N6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3" s="1">
        <f>+IF(AND(Tabla__192.168.1.8_POSEIDONSQL_APPFVT_01_tblFillRateFechas[[#This Row],[Valida Cant]]=1,Tabla__192.168.1.8_POSEIDONSQL_APPFVT_01_tblFillRateFechas[[#This Row],[Valida Fec]]=1),1,0)</f>
        <v>1</v>
      </c>
      <c r="P613" s="1">
        <f>+(Tabla__192.168.1.8_POSEIDONSQL_APPFVT_01_tblFillRateFechas[[#This Row],[Cant_Resultante]]/Tabla__192.168.1.8_POSEIDONSQL_APPFVT_01_tblFillRateFechas[[#This Row],[cant_order]])*100</f>
        <v>100</v>
      </c>
      <c r="Q6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3" s="1">
        <f>+IF(Tabla__192.168.1.8_POSEIDONSQL_APPFVT_01_tblFillRateFechas[[#This Row],[cant_order]]&gt;0,1,0)</f>
        <v>1</v>
      </c>
      <c r="V613" s="1">
        <f>+IF(Tabla__192.168.1.8_POSEIDONSQL_APPFVT_01_tblFillRateFechas[[#This Row],[Resultado]]=1,1,0)</f>
        <v>1</v>
      </c>
      <c r="W613" s="1" t="str">
        <f>+Tabla__192.168.1.8_POSEIDONSQL_APPFVT_01_tblFillRateFechas[[#This Row],[con_ocnumero]]&amp;Tabla__192.168.1.8_POSEIDONSQL_APPFVT_01_tblFillRateFechas[[#This Row],[con_codigounico]]</f>
        <v>944882-</v>
      </c>
      <c r="X6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4" spans="1:24" x14ac:dyDescent="0.25">
      <c r="A614">
        <v>6</v>
      </c>
      <c r="B614" t="s">
        <v>53</v>
      </c>
      <c r="C614">
        <v>944883</v>
      </c>
      <c r="D614" t="s">
        <v>1971</v>
      </c>
      <c r="E614" t="s">
        <v>1977</v>
      </c>
      <c r="F614" t="s">
        <v>1971</v>
      </c>
      <c r="G614">
        <v>1</v>
      </c>
      <c r="H614">
        <v>1</v>
      </c>
      <c r="I614" t="s">
        <v>1977</v>
      </c>
      <c r="J614">
        <v>0</v>
      </c>
      <c r="K614" t="s">
        <v>49</v>
      </c>
      <c r="L614" s="1">
        <f>+Tabla__192.168.1.8_POSEIDONSQL_APPFVT_01_tblFillRateFechas[[#This Row],[emb_cantidad]]-Tabla__192.168.1.8_POSEIDONSQL_APPFVT_01_tblFillRateFechas[[#This Row],[dev_cantidad]]</f>
        <v>1</v>
      </c>
      <c r="M614" s="1">
        <f>+IF(Tabla__192.168.1.8_POSEIDONSQL_APPFVT_01_tblFillRateFechas[[#This Row],[Cant_Resultante]]=Tabla__192.168.1.8_POSEIDONSQL_APPFVT_01_tblFillRateFechas[[#This Row],[cant_order]],1,0)</f>
        <v>1</v>
      </c>
      <c r="N6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4" s="1">
        <f>+IF(AND(Tabla__192.168.1.8_POSEIDONSQL_APPFVT_01_tblFillRateFechas[[#This Row],[Valida Cant]]=1,Tabla__192.168.1.8_POSEIDONSQL_APPFVT_01_tblFillRateFechas[[#This Row],[Valida Fec]]=1),1,0)</f>
        <v>1</v>
      </c>
      <c r="P614" s="1">
        <f>+(Tabla__192.168.1.8_POSEIDONSQL_APPFVT_01_tblFillRateFechas[[#This Row],[Cant_Resultante]]/Tabla__192.168.1.8_POSEIDONSQL_APPFVT_01_tblFillRateFechas[[#This Row],[cant_order]])*100</f>
        <v>100</v>
      </c>
      <c r="Q6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4" s="1">
        <f>+IF(Tabla__192.168.1.8_POSEIDONSQL_APPFVT_01_tblFillRateFechas[[#This Row],[cant_order]]&gt;0,1,0)</f>
        <v>1</v>
      </c>
      <c r="V614" s="1">
        <f>+IF(Tabla__192.168.1.8_POSEIDONSQL_APPFVT_01_tblFillRateFechas[[#This Row],[Resultado]]=1,1,0)</f>
        <v>1</v>
      </c>
      <c r="W614" s="1" t="str">
        <f>+Tabla__192.168.1.8_POSEIDONSQL_APPFVT_01_tblFillRateFechas[[#This Row],[con_ocnumero]]&amp;Tabla__192.168.1.8_POSEIDONSQL_APPFVT_01_tblFillRateFechas[[#This Row],[con_codigounico]]</f>
        <v>944883-</v>
      </c>
      <c r="X6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5" spans="1:24" x14ac:dyDescent="0.25">
      <c r="A615">
        <v>6</v>
      </c>
      <c r="B615" t="s">
        <v>53</v>
      </c>
      <c r="C615">
        <v>944887</v>
      </c>
      <c r="D615" t="s">
        <v>1971</v>
      </c>
      <c r="E615" t="s">
        <v>1977</v>
      </c>
      <c r="F615" t="s">
        <v>1971</v>
      </c>
      <c r="G615">
        <v>1</v>
      </c>
      <c r="H615">
        <v>1</v>
      </c>
      <c r="I615" t="s">
        <v>1977</v>
      </c>
      <c r="J615">
        <v>0</v>
      </c>
      <c r="K615" t="s">
        <v>49</v>
      </c>
      <c r="L615" s="1">
        <f>+Tabla__192.168.1.8_POSEIDONSQL_APPFVT_01_tblFillRateFechas[[#This Row],[emb_cantidad]]-Tabla__192.168.1.8_POSEIDONSQL_APPFVT_01_tblFillRateFechas[[#This Row],[dev_cantidad]]</f>
        <v>1</v>
      </c>
      <c r="M615" s="1">
        <f>+IF(Tabla__192.168.1.8_POSEIDONSQL_APPFVT_01_tblFillRateFechas[[#This Row],[Cant_Resultante]]=Tabla__192.168.1.8_POSEIDONSQL_APPFVT_01_tblFillRateFechas[[#This Row],[cant_order]],1,0)</f>
        <v>1</v>
      </c>
      <c r="N6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5" s="1">
        <f>+IF(AND(Tabla__192.168.1.8_POSEIDONSQL_APPFVT_01_tblFillRateFechas[[#This Row],[Valida Cant]]=1,Tabla__192.168.1.8_POSEIDONSQL_APPFVT_01_tblFillRateFechas[[#This Row],[Valida Fec]]=1),1,0)</f>
        <v>1</v>
      </c>
      <c r="P615" s="1">
        <f>+(Tabla__192.168.1.8_POSEIDONSQL_APPFVT_01_tblFillRateFechas[[#This Row],[Cant_Resultante]]/Tabla__192.168.1.8_POSEIDONSQL_APPFVT_01_tblFillRateFechas[[#This Row],[cant_order]])*100</f>
        <v>100</v>
      </c>
      <c r="Q6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5" s="1">
        <f>+IF(Tabla__192.168.1.8_POSEIDONSQL_APPFVT_01_tblFillRateFechas[[#This Row],[cant_order]]&gt;0,1,0)</f>
        <v>1</v>
      </c>
      <c r="V615" s="1">
        <f>+IF(Tabla__192.168.1.8_POSEIDONSQL_APPFVT_01_tblFillRateFechas[[#This Row],[Resultado]]=1,1,0)</f>
        <v>1</v>
      </c>
      <c r="W615" s="1" t="str">
        <f>+Tabla__192.168.1.8_POSEIDONSQL_APPFVT_01_tblFillRateFechas[[#This Row],[con_ocnumero]]&amp;Tabla__192.168.1.8_POSEIDONSQL_APPFVT_01_tblFillRateFechas[[#This Row],[con_codigounico]]</f>
        <v>944887-</v>
      </c>
      <c r="X6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6" spans="1:24" x14ac:dyDescent="0.25">
      <c r="A616">
        <v>6</v>
      </c>
      <c r="B616" t="s">
        <v>53</v>
      </c>
      <c r="C616">
        <v>944980</v>
      </c>
      <c r="D616" t="s">
        <v>1971</v>
      </c>
      <c r="E616" t="s">
        <v>163</v>
      </c>
      <c r="F616" t="s">
        <v>1971</v>
      </c>
      <c r="G616">
        <v>2</v>
      </c>
      <c r="H616">
        <v>0</v>
      </c>
      <c r="I616" t="s">
        <v>12</v>
      </c>
      <c r="J616">
        <v>0</v>
      </c>
      <c r="K616" t="s">
        <v>49</v>
      </c>
      <c r="L616" s="1">
        <f>+Tabla__192.168.1.8_POSEIDONSQL_APPFVT_01_tblFillRateFechas[[#This Row],[emb_cantidad]]-Tabla__192.168.1.8_POSEIDONSQL_APPFVT_01_tblFillRateFechas[[#This Row],[dev_cantidad]]</f>
        <v>0</v>
      </c>
      <c r="M616" s="1">
        <f>+IF(Tabla__192.168.1.8_POSEIDONSQL_APPFVT_01_tblFillRateFechas[[#This Row],[Cant_Resultante]]=Tabla__192.168.1.8_POSEIDONSQL_APPFVT_01_tblFillRateFechas[[#This Row],[cant_order]],1,0)</f>
        <v>0</v>
      </c>
      <c r="N6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616" s="1">
        <f>+IF(AND(Tabla__192.168.1.8_POSEIDONSQL_APPFVT_01_tblFillRateFechas[[#This Row],[Valida Cant]]=1,Tabla__192.168.1.8_POSEIDONSQL_APPFVT_01_tblFillRateFechas[[#This Row],[Valida Fec]]=1),1,0)</f>
        <v>0</v>
      </c>
      <c r="P616" s="1">
        <f>+(Tabla__192.168.1.8_POSEIDONSQL_APPFVT_01_tblFillRateFechas[[#This Row],[Cant_Resultante]]/Tabla__192.168.1.8_POSEIDONSQL_APPFVT_01_tblFillRateFechas[[#This Row],[cant_order]])*100</f>
        <v>0</v>
      </c>
      <c r="Q6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6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6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616" s="1">
        <f>+IF(Tabla__192.168.1.8_POSEIDONSQL_APPFVT_01_tblFillRateFechas[[#This Row],[cant_order]]&gt;0,1,0)</f>
        <v>1</v>
      </c>
      <c r="V616" s="1">
        <f>+IF(Tabla__192.168.1.8_POSEIDONSQL_APPFVT_01_tblFillRateFechas[[#This Row],[Resultado]]=1,1,0)</f>
        <v>0</v>
      </c>
      <c r="W616" s="1" t="str">
        <f>+Tabla__192.168.1.8_POSEIDONSQL_APPFVT_01_tblFillRateFechas[[#This Row],[con_ocnumero]]&amp;Tabla__192.168.1.8_POSEIDONSQL_APPFVT_01_tblFillRateFechas[[#This Row],[con_codigounico]]</f>
        <v>944980-</v>
      </c>
      <c r="X6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617" spans="1:24" x14ac:dyDescent="0.25">
      <c r="A617">
        <v>6</v>
      </c>
      <c r="B617" t="s">
        <v>53</v>
      </c>
      <c r="C617">
        <v>945141</v>
      </c>
      <c r="D617" t="s">
        <v>1971</v>
      </c>
      <c r="E617" t="s">
        <v>1962</v>
      </c>
      <c r="F617" t="s">
        <v>1965</v>
      </c>
      <c r="G617">
        <v>1</v>
      </c>
      <c r="H617">
        <v>1</v>
      </c>
      <c r="I617" t="s">
        <v>1977</v>
      </c>
      <c r="J617">
        <v>0</v>
      </c>
      <c r="K617" t="s">
        <v>49</v>
      </c>
      <c r="L617" s="1">
        <f>+Tabla__192.168.1.8_POSEIDONSQL_APPFVT_01_tblFillRateFechas[[#This Row],[emb_cantidad]]-Tabla__192.168.1.8_POSEIDONSQL_APPFVT_01_tblFillRateFechas[[#This Row],[dev_cantidad]]</f>
        <v>1</v>
      </c>
      <c r="M617" s="1">
        <f>+IF(Tabla__192.168.1.8_POSEIDONSQL_APPFVT_01_tblFillRateFechas[[#This Row],[Cant_Resultante]]=Tabla__192.168.1.8_POSEIDONSQL_APPFVT_01_tblFillRateFechas[[#This Row],[cant_order]],1,0)</f>
        <v>1</v>
      </c>
      <c r="N6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7" s="1">
        <f>+IF(AND(Tabla__192.168.1.8_POSEIDONSQL_APPFVT_01_tblFillRateFechas[[#This Row],[Valida Cant]]=1,Tabla__192.168.1.8_POSEIDONSQL_APPFVT_01_tblFillRateFechas[[#This Row],[Valida Fec]]=1),1,0)</f>
        <v>1</v>
      </c>
      <c r="P617" s="1">
        <f>+(Tabla__192.168.1.8_POSEIDONSQL_APPFVT_01_tblFillRateFechas[[#This Row],[Cant_Resultante]]/Tabla__192.168.1.8_POSEIDONSQL_APPFVT_01_tblFillRateFechas[[#This Row],[cant_order]])*100</f>
        <v>100</v>
      </c>
      <c r="Q6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7" s="1">
        <f>+IF(Tabla__192.168.1.8_POSEIDONSQL_APPFVT_01_tblFillRateFechas[[#This Row],[cant_order]]&gt;0,1,0)</f>
        <v>1</v>
      </c>
      <c r="V617" s="1">
        <f>+IF(Tabla__192.168.1.8_POSEIDONSQL_APPFVT_01_tblFillRateFechas[[#This Row],[Resultado]]=1,1,0)</f>
        <v>1</v>
      </c>
      <c r="W617" s="1" t="str">
        <f>+Tabla__192.168.1.8_POSEIDONSQL_APPFVT_01_tblFillRateFechas[[#This Row],[con_ocnumero]]&amp;Tabla__192.168.1.8_POSEIDONSQL_APPFVT_01_tblFillRateFechas[[#This Row],[con_codigounico]]</f>
        <v>945141-</v>
      </c>
      <c r="X6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8" spans="1:24" x14ac:dyDescent="0.25">
      <c r="A618">
        <v>6</v>
      </c>
      <c r="B618" t="s">
        <v>53</v>
      </c>
      <c r="C618">
        <v>945696</v>
      </c>
      <c r="D618" t="s">
        <v>1971</v>
      </c>
      <c r="E618" t="s">
        <v>1962</v>
      </c>
      <c r="F618" t="s">
        <v>1965</v>
      </c>
      <c r="G618">
        <v>1</v>
      </c>
      <c r="H618">
        <v>1</v>
      </c>
      <c r="I618" t="s">
        <v>1977</v>
      </c>
      <c r="J618">
        <v>0</v>
      </c>
      <c r="K618" t="s">
        <v>49</v>
      </c>
      <c r="L618" s="1">
        <f>+Tabla__192.168.1.8_POSEIDONSQL_APPFVT_01_tblFillRateFechas[[#This Row],[emb_cantidad]]-Tabla__192.168.1.8_POSEIDONSQL_APPFVT_01_tblFillRateFechas[[#This Row],[dev_cantidad]]</f>
        <v>1</v>
      </c>
      <c r="M618" s="1">
        <f>+IF(Tabla__192.168.1.8_POSEIDONSQL_APPFVT_01_tblFillRateFechas[[#This Row],[Cant_Resultante]]=Tabla__192.168.1.8_POSEIDONSQL_APPFVT_01_tblFillRateFechas[[#This Row],[cant_order]],1,0)</f>
        <v>1</v>
      </c>
      <c r="N6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8" s="1">
        <f>+IF(AND(Tabla__192.168.1.8_POSEIDONSQL_APPFVT_01_tblFillRateFechas[[#This Row],[Valida Cant]]=1,Tabla__192.168.1.8_POSEIDONSQL_APPFVT_01_tblFillRateFechas[[#This Row],[Valida Fec]]=1),1,0)</f>
        <v>1</v>
      </c>
      <c r="P618" s="1">
        <f>+(Tabla__192.168.1.8_POSEIDONSQL_APPFVT_01_tblFillRateFechas[[#This Row],[Cant_Resultante]]/Tabla__192.168.1.8_POSEIDONSQL_APPFVT_01_tblFillRateFechas[[#This Row],[cant_order]])*100</f>
        <v>100</v>
      </c>
      <c r="Q6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8" s="1">
        <f>+IF(Tabla__192.168.1.8_POSEIDONSQL_APPFVT_01_tblFillRateFechas[[#This Row],[cant_order]]&gt;0,1,0)</f>
        <v>1</v>
      </c>
      <c r="V618" s="1">
        <f>+IF(Tabla__192.168.1.8_POSEIDONSQL_APPFVT_01_tblFillRateFechas[[#This Row],[Resultado]]=1,1,0)</f>
        <v>1</v>
      </c>
      <c r="W618" s="1" t="str">
        <f>+Tabla__192.168.1.8_POSEIDONSQL_APPFVT_01_tblFillRateFechas[[#This Row],[con_ocnumero]]&amp;Tabla__192.168.1.8_POSEIDONSQL_APPFVT_01_tblFillRateFechas[[#This Row],[con_codigounico]]</f>
        <v>945696-</v>
      </c>
      <c r="X6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19" spans="1:24" x14ac:dyDescent="0.25">
      <c r="A619">
        <v>6</v>
      </c>
      <c r="B619" t="s">
        <v>53</v>
      </c>
      <c r="C619">
        <v>946014</v>
      </c>
      <c r="D619" t="s">
        <v>1971</v>
      </c>
      <c r="E619" t="s">
        <v>1962</v>
      </c>
      <c r="F619" t="s">
        <v>1965</v>
      </c>
      <c r="G619">
        <v>2</v>
      </c>
      <c r="H619">
        <v>2</v>
      </c>
      <c r="I619" t="s">
        <v>1977</v>
      </c>
      <c r="J619">
        <v>0</v>
      </c>
      <c r="K619" t="s">
        <v>49</v>
      </c>
      <c r="L619" s="1">
        <f>+Tabla__192.168.1.8_POSEIDONSQL_APPFVT_01_tblFillRateFechas[[#This Row],[emb_cantidad]]-Tabla__192.168.1.8_POSEIDONSQL_APPFVT_01_tblFillRateFechas[[#This Row],[dev_cantidad]]</f>
        <v>2</v>
      </c>
      <c r="M619" s="1">
        <f>+IF(Tabla__192.168.1.8_POSEIDONSQL_APPFVT_01_tblFillRateFechas[[#This Row],[Cant_Resultante]]=Tabla__192.168.1.8_POSEIDONSQL_APPFVT_01_tblFillRateFechas[[#This Row],[cant_order]],1,0)</f>
        <v>1</v>
      </c>
      <c r="N6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19" s="1">
        <f>+IF(AND(Tabla__192.168.1.8_POSEIDONSQL_APPFVT_01_tblFillRateFechas[[#This Row],[Valida Cant]]=1,Tabla__192.168.1.8_POSEIDONSQL_APPFVT_01_tblFillRateFechas[[#This Row],[Valida Fec]]=1),1,0)</f>
        <v>1</v>
      </c>
      <c r="P619" s="1">
        <f>+(Tabla__192.168.1.8_POSEIDONSQL_APPFVT_01_tblFillRateFechas[[#This Row],[Cant_Resultante]]/Tabla__192.168.1.8_POSEIDONSQL_APPFVT_01_tblFillRateFechas[[#This Row],[cant_order]])*100</f>
        <v>100</v>
      </c>
      <c r="Q6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6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6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19" s="1">
        <f>+IF(Tabla__192.168.1.8_POSEIDONSQL_APPFVT_01_tblFillRateFechas[[#This Row],[cant_order]]&gt;0,1,0)</f>
        <v>1</v>
      </c>
      <c r="V619" s="1">
        <f>+IF(Tabla__192.168.1.8_POSEIDONSQL_APPFVT_01_tblFillRateFechas[[#This Row],[Resultado]]=1,1,0)</f>
        <v>1</v>
      </c>
      <c r="W619" s="1" t="str">
        <f>+Tabla__192.168.1.8_POSEIDONSQL_APPFVT_01_tblFillRateFechas[[#This Row],[con_ocnumero]]&amp;Tabla__192.168.1.8_POSEIDONSQL_APPFVT_01_tblFillRateFechas[[#This Row],[con_codigounico]]</f>
        <v>946014-</v>
      </c>
      <c r="X6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620" spans="1:24" x14ac:dyDescent="0.25">
      <c r="A620">
        <v>6</v>
      </c>
      <c r="B620" t="s">
        <v>53</v>
      </c>
      <c r="C620">
        <v>946126</v>
      </c>
      <c r="D620" t="s">
        <v>1965</v>
      </c>
      <c r="E620" t="s">
        <v>1962</v>
      </c>
      <c r="F620" t="s">
        <v>1965</v>
      </c>
      <c r="G620">
        <v>1</v>
      </c>
      <c r="H620">
        <v>1</v>
      </c>
      <c r="I620" t="s">
        <v>1977</v>
      </c>
      <c r="J620">
        <v>0</v>
      </c>
      <c r="K620" t="s">
        <v>49</v>
      </c>
      <c r="L620" s="1">
        <f>+Tabla__192.168.1.8_POSEIDONSQL_APPFVT_01_tblFillRateFechas[[#This Row],[emb_cantidad]]-Tabla__192.168.1.8_POSEIDONSQL_APPFVT_01_tblFillRateFechas[[#This Row],[dev_cantidad]]</f>
        <v>1</v>
      </c>
      <c r="M620" s="1">
        <f>+IF(Tabla__192.168.1.8_POSEIDONSQL_APPFVT_01_tblFillRateFechas[[#This Row],[Cant_Resultante]]=Tabla__192.168.1.8_POSEIDONSQL_APPFVT_01_tblFillRateFechas[[#This Row],[cant_order]],1,0)</f>
        <v>1</v>
      </c>
      <c r="N6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0" s="1">
        <f>+IF(AND(Tabla__192.168.1.8_POSEIDONSQL_APPFVT_01_tblFillRateFechas[[#This Row],[Valida Cant]]=1,Tabla__192.168.1.8_POSEIDONSQL_APPFVT_01_tblFillRateFechas[[#This Row],[Valida Fec]]=1),1,0)</f>
        <v>1</v>
      </c>
      <c r="P620" s="1">
        <f>+(Tabla__192.168.1.8_POSEIDONSQL_APPFVT_01_tblFillRateFechas[[#This Row],[Cant_Resultante]]/Tabla__192.168.1.8_POSEIDONSQL_APPFVT_01_tblFillRateFechas[[#This Row],[cant_order]])*100</f>
        <v>100</v>
      </c>
      <c r="Q6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0" s="1">
        <f>+IF(Tabla__192.168.1.8_POSEIDONSQL_APPFVT_01_tblFillRateFechas[[#This Row],[cant_order]]&gt;0,1,0)</f>
        <v>1</v>
      </c>
      <c r="V620" s="1">
        <f>+IF(Tabla__192.168.1.8_POSEIDONSQL_APPFVT_01_tblFillRateFechas[[#This Row],[Resultado]]=1,1,0)</f>
        <v>1</v>
      </c>
      <c r="W620" s="1" t="str">
        <f>+Tabla__192.168.1.8_POSEIDONSQL_APPFVT_01_tblFillRateFechas[[#This Row],[con_ocnumero]]&amp;Tabla__192.168.1.8_POSEIDONSQL_APPFVT_01_tblFillRateFechas[[#This Row],[con_codigounico]]</f>
        <v>946126-</v>
      </c>
      <c r="X6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1" spans="1:24" x14ac:dyDescent="0.25">
      <c r="A621">
        <v>6</v>
      </c>
      <c r="B621" t="s">
        <v>53</v>
      </c>
      <c r="C621">
        <v>946227</v>
      </c>
      <c r="D621" t="s">
        <v>1965</v>
      </c>
      <c r="E621" t="s">
        <v>429</v>
      </c>
      <c r="F621" t="s">
        <v>1977</v>
      </c>
      <c r="G621">
        <v>5</v>
      </c>
      <c r="H621">
        <v>5</v>
      </c>
      <c r="I621" t="s">
        <v>1969</v>
      </c>
      <c r="J621">
        <v>0</v>
      </c>
      <c r="K621" t="s">
        <v>49</v>
      </c>
      <c r="L621" s="1">
        <f>+Tabla__192.168.1.8_POSEIDONSQL_APPFVT_01_tblFillRateFechas[[#This Row],[emb_cantidad]]-Tabla__192.168.1.8_POSEIDONSQL_APPFVT_01_tblFillRateFechas[[#This Row],[dev_cantidad]]</f>
        <v>5</v>
      </c>
      <c r="M621" s="1">
        <f>+IF(Tabla__192.168.1.8_POSEIDONSQL_APPFVT_01_tblFillRateFechas[[#This Row],[Cant_Resultante]]=Tabla__192.168.1.8_POSEIDONSQL_APPFVT_01_tblFillRateFechas[[#This Row],[cant_order]],1,0)</f>
        <v>1</v>
      </c>
      <c r="N6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1" s="1">
        <f>+IF(AND(Tabla__192.168.1.8_POSEIDONSQL_APPFVT_01_tblFillRateFechas[[#This Row],[Valida Cant]]=1,Tabla__192.168.1.8_POSEIDONSQL_APPFVT_01_tblFillRateFechas[[#This Row],[Valida Fec]]=1),1,0)</f>
        <v>1</v>
      </c>
      <c r="P621" s="1">
        <f>+(Tabla__192.168.1.8_POSEIDONSQL_APPFVT_01_tblFillRateFechas[[#This Row],[Cant_Resultante]]/Tabla__192.168.1.8_POSEIDONSQL_APPFVT_01_tblFillRateFechas[[#This Row],[cant_order]])*100</f>
        <v>100</v>
      </c>
      <c r="Q6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5</v>
      </c>
      <c r="R6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5</v>
      </c>
      <c r="T6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1" s="1">
        <f>+IF(Tabla__192.168.1.8_POSEIDONSQL_APPFVT_01_tblFillRateFechas[[#This Row],[cant_order]]&gt;0,1,0)</f>
        <v>1</v>
      </c>
      <c r="V621" s="1">
        <f>+IF(Tabla__192.168.1.8_POSEIDONSQL_APPFVT_01_tblFillRateFechas[[#This Row],[Resultado]]=1,1,0)</f>
        <v>1</v>
      </c>
      <c r="W621" s="1" t="str">
        <f>+Tabla__192.168.1.8_POSEIDONSQL_APPFVT_01_tblFillRateFechas[[#This Row],[con_ocnumero]]&amp;Tabla__192.168.1.8_POSEIDONSQL_APPFVT_01_tblFillRateFechas[[#This Row],[con_codigounico]]</f>
        <v>946227-</v>
      </c>
      <c r="X6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5</v>
      </c>
    </row>
    <row r="622" spans="1:24" x14ac:dyDescent="0.25">
      <c r="A622">
        <v>6</v>
      </c>
      <c r="B622" t="s">
        <v>53</v>
      </c>
      <c r="C622">
        <v>947156</v>
      </c>
      <c r="D622" t="s">
        <v>1965</v>
      </c>
      <c r="E622" t="s">
        <v>1963</v>
      </c>
      <c r="F622" t="s">
        <v>1980</v>
      </c>
      <c r="G622">
        <v>1</v>
      </c>
      <c r="H622">
        <v>1</v>
      </c>
      <c r="I622" t="s">
        <v>1963</v>
      </c>
      <c r="J622">
        <v>0</v>
      </c>
      <c r="K622" t="s">
        <v>49</v>
      </c>
      <c r="L622" s="1">
        <f>+Tabla__192.168.1.8_POSEIDONSQL_APPFVT_01_tblFillRateFechas[[#This Row],[emb_cantidad]]-Tabla__192.168.1.8_POSEIDONSQL_APPFVT_01_tblFillRateFechas[[#This Row],[dev_cantidad]]</f>
        <v>1</v>
      </c>
      <c r="M622" s="1">
        <f>+IF(Tabla__192.168.1.8_POSEIDONSQL_APPFVT_01_tblFillRateFechas[[#This Row],[Cant_Resultante]]=Tabla__192.168.1.8_POSEIDONSQL_APPFVT_01_tblFillRateFechas[[#This Row],[cant_order]],1,0)</f>
        <v>1</v>
      </c>
      <c r="N6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2" s="1">
        <f>+IF(AND(Tabla__192.168.1.8_POSEIDONSQL_APPFVT_01_tblFillRateFechas[[#This Row],[Valida Cant]]=1,Tabla__192.168.1.8_POSEIDONSQL_APPFVT_01_tblFillRateFechas[[#This Row],[Valida Fec]]=1),1,0)</f>
        <v>1</v>
      </c>
      <c r="P622" s="1">
        <f>+(Tabla__192.168.1.8_POSEIDONSQL_APPFVT_01_tblFillRateFechas[[#This Row],[Cant_Resultante]]/Tabla__192.168.1.8_POSEIDONSQL_APPFVT_01_tblFillRateFechas[[#This Row],[cant_order]])*100</f>
        <v>100</v>
      </c>
      <c r="Q6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2" s="1">
        <f>+IF(Tabla__192.168.1.8_POSEIDONSQL_APPFVT_01_tblFillRateFechas[[#This Row],[cant_order]]&gt;0,1,0)</f>
        <v>1</v>
      </c>
      <c r="V622" s="1">
        <f>+IF(Tabla__192.168.1.8_POSEIDONSQL_APPFVT_01_tblFillRateFechas[[#This Row],[Resultado]]=1,1,0)</f>
        <v>1</v>
      </c>
      <c r="W622" s="1" t="str">
        <f>+Tabla__192.168.1.8_POSEIDONSQL_APPFVT_01_tblFillRateFechas[[#This Row],[con_ocnumero]]&amp;Tabla__192.168.1.8_POSEIDONSQL_APPFVT_01_tblFillRateFechas[[#This Row],[con_codigounico]]</f>
        <v>947156-</v>
      </c>
      <c r="X6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3" spans="1:24" x14ac:dyDescent="0.25">
      <c r="A623">
        <v>6</v>
      </c>
      <c r="B623" t="s">
        <v>53</v>
      </c>
      <c r="C623">
        <v>947429</v>
      </c>
      <c r="D623" t="s">
        <v>1980</v>
      </c>
      <c r="E623" t="s">
        <v>162</v>
      </c>
      <c r="F623" t="s">
        <v>1977</v>
      </c>
      <c r="G623">
        <v>1</v>
      </c>
      <c r="H623">
        <v>1</v>
      </c>
      <c r="I623" t="s">
        <v>1963</v>
      </c>
      <c r="J623">
        <v>0</v>
      </c>
      <c r="K623" t="s">
        <v>49</v>
      </c>
      <c r="L623" s="1">
        <f>+Tabla__192.168.1.8_POSEIDONSQL_APPFVT_01_tblFillRateFechas[[#This Row],[emb_cantidad]]-Tabla__192.168.1.8_POSEIDONSQL_APPFVT_01_tblFillRateFechas[[#This Row],[dev_cantidad]]</f>
        <v>1</v>
      </c>
      <c r="M623" s="1">
        <f>+IF(Tabla__192.168.1.8_POSEIDONSQL_APPFVT_01_tblFillRateFechas[[#This Row],[Cant_Resultante]]=Tabla__192.168.1.8_POSEIDONSQL_APPFVT_01_tblFillRateFechas[[#This Row],[cant_order]],1,0)</f>
        <v>1</v>
      </c>
      <c r="N6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3" s="1">
        <f>+IF(AND(Tabla__192.168.1.8_POSEIDONSQL_APPFVT_01_tblFillRateFechas[[#This Row],[Valida Cant]]=1,Tabla__192.168.1.8_POSEIDONSQL_APPFVT_01_tblFillRateFechas[[#This Row],[Valida Fec]]=1),1,0)</f>
        <v>1</v>
      </c>
      <c r="P623" s="1">
        <f>+(Tabla__192.168.1.8_POSEIDONSQL_APPFVT_01_tblFillRateFechas[[#This Row],[Cant_Resultante]]/Tabla__192.168.1.8_POSEIDONSQL_APPFVT_01_tblFillRateFechas[[#This Row],[cant_order]])*100</f>
        <v>100</v>
      </c>
      <c r="Q6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3" s="1">
        <f>+IF(Tabla__192.168.1.8_POSEIDONSQL_APPFVT_01_tblFillRateFechas[[#This Row],[cant_order]]&gt;0,1,0)</f>
        <v>1</v>
      </c>
      <c r="V623" s="1">
        <f>+IF(Tabla__192.168.1.8_POSEIDONSQL_APPFVT_01_tblFillRateFechas[[#This Row],[Resultado]]=1,1,0)</f>
        <v>1</v>
      </c>
      <c r="W623" s="1" t="str">
        <f>+Tabla__192.168.1.8_POSEIDONSQL_APPFVT_01_tblFillRateFechas[[#This Row],[con_ocnumero]]&amp;Tabla__192.168.1.8_POSEIDONSQL_APPFVT_01_tblFillRateFechas[[#This Row],[con_codigounico]]</f>
        <v>947429-</v>
      </c>
      <c r="X6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4" spans="1:24" x14ac:dyDescent="0.25">
      <c r="A624">
        <v>6</v>
      </c>
      <c r="B624" t="s">
        <v>53</v>
      </c>
      <c r="C624">
        <v>947643</v>
      </c>
      <c r="D624" t="s">
        <v>1980</v>
      </c>
      <c r="E624" t="s">
        <v>160</v>
      </c>
      <c r="F624" t="s">
        <v>1977</v>
      </c>
      <c r="G624">
        <v>1</v>
      </c>
      <c r="H624">
        <v>1</v>
      </c>
      <c r="I624" t="s">
        <v>160</v>
      </c>
      <c r="J624">
        <v>0</v>
      </c>
      <c r="K624" t="s">
        <v>49</v>
      </c>
      <c r="L624" s="1">
        <f>+Tabla__192.168.1.8_POSEIDONSQL_APPFVT_01_tblFillRateFechas[[#This Row],[emb_cantidad]]-Tabla__192.168.1.8_POSEIDONSQL_APPFVT_01_tblFillRateFechas[[#This Row],[dev_cantidad]]</f>
        <v>1</v>
      </c>
      <c r="M624" s="1">
        <f>+IF(Tabla__192.168.1.8_POSEIDONSQL_APPFVT_01_tblFillRateFechas[[#This Row],[Cant_Resultante]]=Tabla__192.168.1.8_POSEIDONSQL_APPFVT_01_tblFillRateFechas[[#This Row],[cant_order]],1,0)</f>
        <v>1</v>
      </c>
      <c r="N6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4" s="1">
        <f>+IF(AND(Tabla__192.168.1.8_POSEIDONSQL_APPFVT_01_tblFillRateFechas[[#This Row],[Valida Cant]]=1,Tabla__192.168.1.8_POSEIDONSQL_APPFVT_01_tblFillRateFechas[[#This Row],[Valida Fec]]=1),1,0)</f>
        <v>1</v>
      </c>
      <c r="P624" s="1">
        <f>+(Tabla__192.168.1.8_POSEIDONSQL_APPFVT_01_tblFillRateFechas[[#This Row],[Cant_Resultante]]/Tabla__192.168.1.8_POSEIDONSQL_APPFVT_01_tblFillRateFechas[[#This Row],[cant_order]])*100</f>
        <v>100</v>
      </c>
      <c r="Q6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4" s="1">
        <f>+IF(Tabla__192.168.1.8_POSEIDONSQL_APPFVT_01_tblFillRateFechas[[#This Row],[cant_order]]&gt;0,1,0)</f>
        <v>1</v>
      </c>
      <c r="V624" s="1">
        <f>+IF(Tabla__192.168.1.8_POSEIDONSQL_APPFVT_01_tblFillRateFechas[[#This Row],[Resultado]]=1,1,0)</f>
        <v>1</v>
      </c>
      <c r="W624" s="1" t="str">
        <f>+Tabla__192.168.1.8_POSEIDONSQL_APPFVT_01_tblFillRateFechas[[#This Row],[con_ocnumero]]&amp;Tabla__192.168.1.8_POSEIDONSQL_APPFVT_01_tblFillRateFechas[[#This Row],[con_codigounico]]</f>
        <v>947643-</v>
      </c>
      <c r="X6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5" spans="1:24" x14ac:dyDescent="0.25">
      <c r="A625">
        <v>6</v>
      </c>
      <c r="B625" t="s">
        <v>53</v>
      </c>
      <c r="C625">
        <v>947872</v>
      </c>
      <c r="D625" t="s">
        <v>1980</v>
      </c>
      <c r="E625" t="s">
        <v>160</v>
      </c>
      <c r="F625" t="s">
        <v>1977</v>
      </c>
      <c r="G625">
        <v>1</v>
      </c>
      <c r="H625">
        <v>1</v>
      </c>
      <c r="I625" t="s">
        <v>160</v>
      </c>
      <c r="J625">
        <v>0</v>
      </c>
      <c r="K625" t="s">
        <v>49</v>
      </c>
      <c r="L625" s="1">
        <f>+Tabla__192.168.1.8_POSEIDONSQL_APPFVT_01_tblFillRateFechas[[#This Row],[emb_cantidad]]-Tabla__192.168.1.8_POSEIDONSQL_APPFVT_01_tblFillRateFechas[[#This Row],[dev_cantidad]]</f>
        <v>1</v>
      </c>
      <c r="M625" s="1">
        <f>+IF(Tabla__192.168.1.8_POSEIDONSQL_APPFVT_01_tblFillRateFechas[[#This Row],[Cant_Resultante]]=Tabla__192.168.1.8_POSEIDONSQL_APPFVT_01_tblFillRateFechas[[#This Row],[cant_order]],1,0)</f>
        <v>1</v>
      </c>
      <c r="N6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5" s="1">
        <f>+IF(AND(Tabla__192.168.1.8_POSEIDONSQL_APPFVT_01_tblFillRateFechas[[#This Row],[Valida Cant]]=1,Tabla__192.168.1.8_POSEIDONSQL_APPFVT_01_tblFillRateFechas[[#This Row],[Valida Fec]]=1),1,0)</f>
        <v>1</v>
      </c>
      <c r="P625" s="1">
        <f>+(Tabla__192.168.1.8_POSEIDONSQL_APPFVT_01_tblFillRateFechas[[#This Row],[Cant_Resultante]]/Tabla__192.168.1.8_POSEIDONSQL_APPFVT_01_tblFillRateFechas[[#This Row],[cant_order]])*100</f>
        <v>100</v>
      </c>
      <c r="Q6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5" s="1">
        <f>+IF(Tabla__192.168.1.8_POSEIDONSQL_APPFVT_01_tblFillRateFechas[[#This Row],[cant_order]]&gt;0,1,0)</f>
        <v>1</v>
      </c>
      <c r="V625" s="1">
        <f>+IF(Tabla__192.168.1.8_POSEIDONSQL_APPFVT_01_tblFillRateFechas[[#This Row],[Resultado]]=1,1,0)</f>
        <v>1</v>
      </c>
      <c r="W625" s="1" t="str">
        <f>+Tabla__192.168.1.8_POSEIDONSQL_APPFVT_01_tblFillRateFechas[[#This Row],[con_ocnumero]]&amp;Tabla__192.168.1.8_POSEIDONSQL_APPFVT_01_tblFillRateFechas[[#This Row],[con_codigounico]]</f>
        <v>947872-</v>
      </c>
      <c r="X6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6" spans="1:24" x14ac:dyDescent="0.25">
      <c r="A626">
        <v>6</v>
      </c>
      <c r="B626" t="s">
        <v>53</v>
      </c>
      <c r="C626">
        <v>947896</v>
      </c>
      <c r="D626" t="s">
        <v>1980</v>
      </c>
      <c r="E626" t="s">
        <v>161</v>
      </c>
      <c r="F626" t="s">
        <v>1977</v>
      </c>
      <c r="G626">
        <v>2</v>
      </c>
      <c r="H626">
        <v>2</v>
      </c>
      <c r="I626" t="s">
        <v>160</v>
      </c>
      <c r="J626">
        <v>0</v>
      </c>
      <c r="K626" t="s">
        <v>49</v>
      </c>
      <c r="L626" s="1">
        <f>+Tabla__192.168.1.8_POSEIDONSQL_APPFVT_01_tblFillRateFechas[[#This Row],[emb_cantidad]]-Tabla__192.168.1.8_POSEIDONSQL_APPFVT_01_tblFillRateFechas[[#This Row],[dev_cantidad]]</f>
        <v>2</v>
      </c>
      <c r="M626" s="1">
        <f>+IF(Tabla__192.168.1.8_POSEIDONSQL_APPFVT_01_tblFillRateFechas[[#This Row],[Cant_Resultante]]=Tabla__192.168.1.8_POSEIDONSQL_APPFVT_01_tblFillRateFechas[[#This Row],[cant_order]],1,0)</f>
        <v>1</v>
      </c>
      <c r="N6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6" s="1">
        <f>+IF(AND(Tabla__192.168.1.8_POSEIDONSQL_APPFVT_01_tblFillRateFechas[[#This Row],[Valida Cant]]=1,Tabla__192.168.1.8_POSEIDONSQL_APPFVT_01_tblFillRateFechas[[#This Row],[Valida Fec]]=1),1,0)</f>
        <v>1</v>
      </c>
      <c r="P626" s="1">
        <f>+(Tabla__192.168.1.8_POSEIDONSQL_APPFVT_01_tblFillRateFechas[[#This Row],[Cant_Resultante]]/Tabla__192.168.1.8_POSEIDONSQL_APPFVT_01_tblFillRateFechas[[#This Row],[cant_order]])*100</f>
        <v>100</v>
      </c>
      <c r="Q6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6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6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6" s="1">
        <f>+IF(Tabla__192.168.1.8_POSEIDONSQL_APPFVT_01_tblFillRateFechas[[#This Row],[cant_order]]&gt;0,1,0)</f>
        <v>1</v>
      </c>
      <c r="V626" s="1">
        <f>+IF(Tabla__192.168.1.8_POSEIDONSQL_APPFVT_01_tblFillRateFechas[[#This Row],[Resultado]]=1,1,0)</f>
        <v>1</v>
      </c>
      <c r="W626" s="1" t="str">
        <f>+Tabla__192.168.1.8_POSEIDONSQL_APPFVT_01_tblFillRateFechas[[#This Row],[con_ocnumero]]&amp;Tabla__192.168.1.8_POSEIDONSQL_APPFVT_01_tblFillRateFechas[[#This Row],[con_codigounico]]</f>
        <v>947896-</v>
      </c>
      <c r="X6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627" spans="1:24" x14ac:dyDescent="0.25">
      <c r="A627">
        <v>6</v>
      </c>
      <c r="B627" t="s">
        <v>53</v>
      </c>
      <c r="C627">
        <v>948365</v>
      </c>
      <c r="D627" t="s">
        <v>1980</v>
      </c>
      <c r="E627" t="s">
        <v>162</v>
      </c>
      <c r="F627" t="s">
        <v>1977</v>
      </c>
      <c r="G627">
        <v>1</v>
      </c>
      <c r="H627">
        <v>1</v>
      </c>
      <c r="I627" t="s">
        <v>1963</v>
      </c>
      <c r="J627">
        <v>0</v>
      </c>
      <c r="K627" t="s">
        <v>49</v>
      </c>
      <c r="L627" s="1">
        <f>+Tabla__192.168.1.8_POSEIDONSQL_APPFVT_01_tblFillRateFechas[[#This Row],[emb_cantidad]]-Tabla__192.168.1.8_POSEIDONSQL_APPFVT_01_tblFillRateFechas[[#This Row],[dev_cantidad]]</f>
        <v>1</v>
      </c>
      <c r="M627" s="1">
        <f>+IF(Tabla__192.168.1.8_POSEIDONSQL_APPFVT_01_tblFillRateFechas[[#This Row],[Cant_Resultante]]=Tabla__192.168.1.8_POSEIDONSQL_APPFVT_01_tblFillRateFechas[[#This Row],[cant_order]],1,0)</f>
        <v>1</v>
      </c>
      <c r="N6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7" s="1">
        <f>+IF(AND(Tabla__192.168.1.8_POSEIDONSQL_APPFVT_01_tblFillRateFechas[[#This Row],[Valida Cant]]=1,Tabla__192.168.1.8_POSEIDONSQL_APPFVT_01_tblFillRateFechas[[#This Row],[Valida Fec]]=1),1,0)</f>
        <v>1</v>
      </c>
      <c r="P627" s="1">
        <f>+(Tabla__192.168.1.8_POSEIDONSQL_APPFVT_01_tblFillRateFechas[[#This Row],[Cant_Resultante]]/Tabla__192.168.1.8_POSEIDONSQL_APPFVT_01_tblFillRateFechas[[#This Row],[cant_order]])*100</f>
        <v>100</v>
      </c>
      <c r="Q6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7" s="1">
        <f>+IF(Tabla__192.168.1.8_POSEIDONSQL_APPFVT_01_tblFillRateFechas[[#This Row],[cant_order]]&gt;0,1,0)</f>
        <v>1</v>
      </c>
      <c r="V627" s="1">
        <f>+IF(Tabla__192.168.1.8_POSEIDONSQL_APPFVT_01_tblFillRateFechas[[#This Row],[Resultado]]=1,1,0)</f>
        <v>1</v>
      </c>
      <c r="W627" s="1" t="str">
        <f>+Tabla__192.168.1.8_POSEIDONSQL_APPFVT_01_tblFillRateFechas[[#This Row],[con_ocnumero]]&amp;Tabla__192.168.1.8_POSEIDONSQL_APPFVT_01_tblFillRateFechas[[#This Row],[con_codigounico]]</f>
        <v>948365-</v>
      </c>
      <c r="X6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8" spans="1:24" x14ac:dyDescent="0.25">
      <c r="A628">
        <v>6</v>
      </c>
      <c r="B628" t="s">
        <v>53</v>
      </c>
      <c r="C628">
        <v>949101</v>
      </c>
      <c r="D628" t="s">
        <v>1977</v>
      </c>
      <c r="E628" t="s">
        <v>1969</v>
      </c>
      <c r="F628" t="s">
        <v>1962</v>
      </c>
      <c r="G628">
        <v>1</v>
      </c>
      <c r="H628">
        <v>1</v>
      </c>
      <c r="I628" t="s">
        <v>1969</v>
      </c>
      <c r="J628">
        <v>0</v>
      </c>
      <c r="K628" t="s">
        <v>49</v>
      </c>
      <c r="L628" s="1">
        <f>+Tabla__192.168.1.8_POSEIDONSQL_APPFVT_01_tblFillRateFechas[[#This Row],[emb_cantidad]]-Tabla__192.168.1.8_POSEIDONSQL_APPFVT_01_tblFillRateFechas[[#This Row],[dev_cantidad]]</f>
        <v>1</v>
      </c>
      <c r="M628" s="1">
        <f>+IF(Tabla__192.168.1.8_POSEIDONSQL_APPFVT_01_tblFillRateFechas[[#This Row],[Cant_Resultante]]=Tabla__192.168.1.8_POSEIDONSQL_APPFVT_01_tblFillRateFechas[[#This Row],[cant_order]],1,0)</f>
        <v>1</v>
      </c>
      <c r="N6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8" s="1">
        <f>+IF(AND(Tabla__192.168.1.8_POSEIDONSQL_APPFVT_01_tblFillRateFechas[[#This Row],[Valida Cant]]=1,Tabla__192.168.1.8_POSEIDONSQL_APPFVT_01_tblFillRateFechas[[#This Row],[Valida Fec]]=1),1,0)</f>
        <v>1</v>
      </c>
      <c r="P628" s="1">
        <f>+(Tabla__192.168.1.8_POSEIDONSQL_APPFVT_01_tblFillRateFechas[[#This Row],[Cant_Resultante]]/Tabla__192.168.1.8_POSEIDONSQL_APPFVT_01_tblFillRateFechas[[#This Row],[cant_order]])*100</f>
        <v>100</v>
      </c>
      <c r="Q6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8" s="1">
        <f>+IF(Tabla__192.168.1.8_POSEIDONSQL_APPFVT_01_tblFillRateFechas[[#This Row],[cant_order]]&gt;0,1,0)</f>
        <v>1</v>
      </c>
      <c r="V628" s="1">
        <f>+IF(Tabla__192.168.1.8_POSEIDONSQL_APPFVT_01_tblFillRateFechas[[#This Row],[Resultado]]=1,1,0)</f>
        <v>1</v>
      </c>
      <c r="W628" s="1" t="str">
        <f>+Tabla__192.168.1.8_POSEIDONSQL_APPFVT_01_tblFillRateFechas[[#This Row],[con_ocnumero]]&amp;Tabla__192.168.1.8_POSEIDONSQL_APPFVT_01_tblFillRateFechas[[#This Row],[con_codigounico]]</f>
        <v>949101-</v>
      </c>
      <c r="X6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29" spans="1:24" x14ac:dyDescent="0.25">
      <c r="A629">
        <v>6</v>
      </c>
      <c r="B629" t="s">
        <v>53</v>
      </c>
      <c r="C629">
        <v>949118</v>
      </c>
      <c r="D629" t="s">
        <v>1977</v>
      </c>
      <c r="E629" t="s">
        <v>160</v>
      </c>
      <c r="F629" t="s">
        <v>1962</v>
      </c>
      <c r="G629">
        <v>1</v>
      </c>
      <c r="H629">
        <v>1</v>
      </c>
      <c r="I629" t="s">
        <v>160</v>
      </c>
      <c r="J629">
        <v>0</v>
      </c>
      <c r="K629" t="s">
        <v>49</v>
      </c>
      <c r="L629" s="1">
        <f>+Tabla__192.168.1.8_POSEIDONSQL_APPFVT_01_tblFillRateFechas[[#This Row],[emb_cantidad]]-Tabla__192.168.1.8_POSEIDONSQL_APPFVT_01_tblFillRateFechas[[#This Row],[dev_cantidad]]</f>
        <v>1</v>
      </c>
      <c r="M629" s="1">
        <f>+IF(Tabla__192.168.1.8_POSEIDONSQL_APPFVT_01_tblFillRateFechas[[#This Row],[Cant_Resultante]]=Tabla__192.168.1.8_POSEIDONSQL_APPFVT_01_tblFillRateFechas[[#This Row],[cant_order]],1,0)</f>
        <v>1</v>
      </c>
      <c r="N6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29" s="1">
        <f>+IF(AND(Tabla__192.168.1.8_POSEIDONSQL_APPFVT_01_tblFillRateFechas[[#This Row],[Valida Cant]]=1,Tabla__192.168.1.8_POSEIDONSQL_APPFVT_01_tblFillRateFechas[[#This Row],[Valida Fec]]=1),1,0)</f>
        <v>1</v>
      </c>
      <c r="P629" s="1">
        <f>+(Tabla__192.168.1.8_POSEIDONSQL_APPFVT_01_tblFillRateFechas[[#This Row],[Cant_Resultante]]/Tabla__192.168.1.8_POSEIDONSQL_APPFVT_01_tblFillRateFechas[[#This Row],[cant_order]])*100</f>
        <v>100</v>
      </c>
      <c r="Q6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29" s="1">
        <f>+IF(Tabla__192.168.1.8_POSEIDONSQL_APPFVT_01_tblFillRateFechas[[#This Row],[cant_order]]&gt;0,1,0)</f>
        <v>1</v>
      </c>
      <c r="V629" s="1">
        <f>+IF(Tabla__192.168.1.8_POSEIDONSQL_APPFVT_01_tblFillRateFechas[[#This Row],[Resultado]]=1,1,0)</f>
        <v>1</v>
      </c>
      <c r="W629" s="1" t="str">
        <f>+Tabla__192.168.1.8_POSEIDONSQL_APPFVT_01_tblFillRateFechas[[#This Row],[con_ocnumero]]&amp;Tabla__192.168.1.8_POSEIDONSQL_APPFVT_01_tblFillRateFechas[[#This Row],[con_codigounico]]</f>
        <v>949118-</v>
      </c>
      <c r="X6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0" spans="1:24" x14ac:dyDescent="0.25">
      <c r="A630">
        <v>6</v>
      </c>
      <c r="B630" t="s">
        <v>53</v>
      </c>
      <c r="C630">
        <v>949225</v>
      </c>
      <c r="D630" t="s">
        <v>1977</v>
      </c>
      <c r="E630" t="s">
        <v>160</v>
      </c>
      <c r="F630" t="s">
        <v>1962</v>
      </c>
      <c r="G630">
        <v>1</v>
      </c>
      <c r="H630">
        <v>1</v>
      </c>
      <c r="I630" t="s">
        <v>160</v>
      </c>
      <c r="J630">
        <v>0</v>
      </c>
      <c r="K630" t="s">
        <v>49</v>
      </c>
      <c r="L630" s="1">
        <f>+Tabla__192.168.1.8_POSEIDONSQL_APPFVT_01_tblFillRateFechas[[#This Row],[emb_cantidad]]-Tabla__192.168.1.8_POSEIDONSQL_APPFVT_01_tblFillRateFechas[[#This Row],[dev_cantidad]]</f>
        <v>1</v>
      </c>
      <c r="M630" s="1">
        <f>+IF(Tabla__192.168.1.8_POSEIDONSQL_APPFVT_01_tblFillRateFechas[[#This Row],[Cant_Resultante]]=Tabla__192.168.1.8_POSEIDONSQL_APPFVT_01_tblFillRateFechas[[#This Row],[cant_order]],1,0)</f>
        <v>1</v>
      </c>
      <c r="N6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0" s="1">
        <f>+IF(AND(Tabla__192.168.1.8_POSEIDONSQL_APPFVT_01_tblFillRateFechas[[#This Row],[Valida Cant]]=1,Tabla__192.168.1.8_POSEIDONSQL_APPFVT_01_tblFillRateFechas[[#This Row],[Valida Fec]]=1),1,0)</f>
        <v>1</v>
      </c>
      <c r="P630" s="1">
        <f>+(Tabla__192.168.1.8_POSEIDONSQL_APPFVT_01_tblFillRateFechas[[#This Row],[Cant_Resultante]]/Tabla__192.168.1.8_POSEIDONSQL_APPFVT_01_tblFillRateFechas[[#This Row],[cant_order]])*100</f>
        <v>100</v>
      </c>
      <c r="Q6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0" s="1">
        <f>+IF(Tabla__192.168.1.8_POSEIDONSQL_APPFVT_01_tblFillRateFechas[[#This Row],[cant_order]]&gt;0,1,0)</f>
        <v>1</v>
      </c>
      <c r="V630" s="1">
        <f>+IF(Tabla__192.168.1.8_POSEIDONSQL_APPFVT_01_tblFillRateFechas[[#This Row],[Resultado]]=1,1,0)</f>
        <v>1</v>
      </c>
      <c r="W630" s="1" t="str">
        <f>+Tabla__192.168.1.8_POSEIDONSQL_APPFVT_01_tblFillRateFechas[[#This Row],[con_ocnumero]]&amp;Tabla__192.168.1.8_POSEIDONSQL_APPFVT_01_tblFillRateFechas[[#This Row],[con_codigounico]]</f>
        <v>949225-</v>
      </c>
      <c r="X6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1" spans="1:24" x14ac:dyDescent="0.25">
      <c r="A631">
        <v>6</v>
      </c>
      <c r="B631" t="s">
        <v>53</v>
      </c>
      <c r="C631">
        <v>950343</v>
      </c>
      <c r="D631" t="s">
        <v>1962</v>
      </c>
      <c r="E631" t="s">
        <v>425</v>
      </c>
      <c r="F631" t="s">
        <v>1963</v>
      </c>
      <c r="G631">
        <v>1</v>
      </c>
      <c r="H631">
        <v>1</v>
      </c>
      <c r="I631" t="s">
        <v>425</v>
      </c>
      <c r="J631">
        <v>0</v>
      </c>
      <c r="K631" t="s">
        <v>49</v>
      </c>
      <c r="L631" s="1">
        <f>+Tabla__192.168.1.8_POSEIDONSQL_APPFVT_01_tblFillRateFechas[[#This Row],[emb_cantidad]]-Tabla__192.168.1.8_POSEIDONSQL_APPFVT_01_tblFillRateFechas[[#This Row],[dev_cantidad]]</f>
        <v>1</v>
      </c>
      <c r="M631" s="1">
        <f>+IF(Tabla__192.168.1.8_POSEIDONSQL_APPFVT_01_tblFillRateFechas[[#This Row],[Cant_Resultante]]=Tabla__192.168.1.8_POSEIDONSQL_APPFVT_01_tblFillRateFechas[[#This Row],[cant_order]],1,0)</f>
        <v>1</v>
      </c>
      <c r="N6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1" s="1">
        <f>+IF(AND(Tabla__192.168.1.8_POSEIDONSQL_APPFVT_01_tblFillRateFechas[[#This Row],[Valida Cant]]=1,Tabla__192.168.1.8_POSEIDONSQL_APPFVT_01_tblFillRateFechas[[#This Row],[Valida Fec]]=1),1,0)</f>
        <v>1</v>
      </c>
      <c r="P631" s="1">
        <f>+(Tabla__192.168.1.8_POSEIDONSQL_APPFVT_01_tblFillRateFechas[[#This Row],[Cant_Resultante]]/Tabla__192.168.1.8_POSEIDONSQL_APPFVT_01_tblFillRateFechas[[#This Row],[cant_order]])*100</f>
        <v>100</v>
      </c>
      <c r="Q6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1" s="1">
        <f>+IF(Tabla__192.168.1.8_POSEIDONSQL_APPFVT_01_tblFillRateFechas[[#This Row],[cant_order]]&gt;0,1,0)</f>
        <v>1</v>
      </c>
      <c r="V631" s="1">
        <f>+IF(Tabla__192.168.1.8_POSEIDONSQL_APPFVT_01_tblFillRateFechas[[#This Row],[Resultado]]=1,1,0)</f>
        <v>1</v>
      </c>
      <c r="W631" s="1" t="str">
        <f>+Tabla__192.168.1.8_POSEIDONSQL_APPFVT_01_tblFillRateFechas[[#This Row],[con_ocnumero]]&amp;Tabla__192.168.1.8_POSEIDONSQL_APPFVT_01_tblFillRateFechas[[#This Row],[con_codigounico]]</f>
        <v>950343-</v>
      </c>
      <c r="X6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2" spans="1:24" x14ac:dyDescent="0.25">
      <c r="A632">
        <v>6</v>
      </c>
      <c r="B632" t="s">
        <v>53</v>
      </c>
      <c r="C632">
        <v>950345</v>
      </c>
      <c r="D632" t="s">
        <v>1962</v>
      </c>
      <c r="E632" t="s">
        <v>1969</v>
      </c>
      <c r="F632" t="s">
        <v>1963</v>
      </c>
      <c r="G632">
        <v>1</v>
      </c>
      <c r="H632">
        <v>1</v>
      </c>
      <c r="I632" t="s">
        <v>1969</v>
      </c>
      <c r="J632">
        <v>0</v>
      </c>
      <c r="K632" t="s">
        <v>49</v>
      </c>
      <c r="L632" s="1">
        <f>+Tabla__192.168.1.8_POSEIDONSQL_APPFVT_01_tblFillRateFechas[[#This Row],[emb_cantidad]]-Tabla__192.168.1.8_POSEIDONSQL_APPFVT_01_tblFillRateFechas[[#This Row],[dev_cantidad]]</f>
        <v>1</v>
      </c>
      <c r="M632" s="1">
        <f>+IF(Tabla__192.168.1.8_POSEIDONSQL_APPFVT_01_tblFillRateFechas[[#This Row],[Cant_Resultante]]=Tabla__192.168.1.8_POSEIDONSQL_APPFVT_01_tblFillRateFechas[[#This Row],[cant_order]],1,0)</f>
        <v>1</v>
      </c>
      <c r="N6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2" s="1">
        <f>+IF(AND(Tabla__192.168.1.8_POSEIDONSQL_APPFVT_01_tblFillRateFechas[[#This Row],[Valida Cant]]=1,Tabla__192.168.1.8_POSEIDONSQL_APPFVT_01_tblFillRateFechas[[#This Row],[Valida Fec]]=1),1,0)</f>
        <v>1</v>
      </c>
      <c r="P632" s="1">
        <f>+(Tabla__192.168.1.8_POSEIDONSQL_APPFVT_01_tblFillRateFechas[[#This Row],[Cant_Resultante]]/Tabla__192.168.1.8_POSEIDONSQL_APPFVT_01_tblFillRateFechas[[#This Row],[cant_order]])*100</f>
        <v>100</v>
      </c>
      <c r="Q6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2" s="1">
        <f>+IF(Tabla__192.168.1.8_POSEIDONSQL_APPFVT_01_tblFillRateFechas[[#This Row],[cant_order]]&gt;0,1,0)</f>
        <v>1</v>
      </c>
      <c r="V632" s="1">
        <f>+IF(Tabla__192.168.1.8_POSEIDONSQL_APPFVT_01_tblFillRateFechas[[#This Row],[Resultado]]=1,1,0)</f>
        <v>1</v>
      </c>
      <c r="W632" s="1" t="str">
        <f>+Tabla__192.168.1.8_POSEIDONSQL_APPFVT_01_tblFillRateFechas[[#This Row],[con_ocnumero]]&amp;Tabla__192.168.1.8_POSEIDONSQL_APPFVT_01_tblFillRateFechas[[#This Row],[con_codigounico]]</f>
        <v>950345-</v>
      </c>
      <c r="X6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3" spans="1:24" x14ac:dyDescent="0.25">
      <c r="A633">
        <v>6</v>
      </c>
      <c r="B633" t="s">
        <v>53</v>
      </c>
      <c r="C633">
        <v>950423</v>
      </c>
      <c r="D633" t="s">
        <v>1962</v>
      </c>
      <c r="E633" t="s">
        <v>161</v>
      </c>
      <c r="F633" t="s">
        <v>1963</v>
      </c>
      <c r="G633">
        <v>1</v>
      </c>
      <c r="H633">
        <v>1</v>
      </c>
      <c r="I633" t="s">
        <v>160</v>
      </c>
      <c r="J633">
        <v>0</v>
      </c>
      <c r="K633" t="s">
        <v>49</v>
      </c>
      <c r="L633" s="1">
        <f>+Tabla__192.168.1.8_POSEIDONSQL_APPFVT_01_tblFillRateFechas[[#This Row],[emb_cantidad]]-Tabla__192.168.1.8_POSEIDONSQL_APPFVT_01_tblFillRateFechas[[#This Row],[dev_cantidad]]</f>
        <v>1</v>
      </c>
      <c r="M633" s="1">
        <f>+IF(Tabla__192.168.1.8_POSEIDONSQL_APPFVT_01_tblFillRateFechas[[#This Row],[Cant_Resultante]]=Tabla__192.168.1.8_POSEIDONSQL_APPFVT_01_tblFillRateFechas[[#This Row],[cant_order]],1,0)</f>
        <v>1</v>
      </c>
      <c r="N6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3" s="1">
        <f>+IF(AND(Tabla__192.168.1.8_POSEIDONSQL_APPFVT_01_tblFillRateFechas[[#This Row],[Valida Cant]]=1,Tabla__192.168.1.8_POSEIDONSQL_APPFVT_01_tblFillRateFechas[[#This Row],[Valida Fec]]=1),1,0)</f>
        <v>1</v>
      </c>
      <c r="P633" s="1">
        <f>+(Tabla__192.168.1.8_POSEIDONSQL_APPFVT_01_tblFillRateFechas[[#This Row],[Cant_Resultante]]/Tabla__192.168.1.8_POSEIDONSQL_APPFVT_01_tblFillRateFechas[[#This Row],[cant_order]])*100</f>
        <v>100</v>
      </c>
      <c r="Q6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3" s="1">
        <f>+IF(Tabla__192.168.1.8_POSEIDONSQL_APPFVT_01_tblFillRateFechas[[#This Row],[cant_order]]&gt;0,1,0)</f>
        <v>1</v>
      </c>
      <c r="V633" s="1">
        <f>+IF(Tabla__192.168.1.8_POSEIDONSQL_APPFVT_01_tblFillRateFechas[[#This Row],[Resultado]]=1,1,0)</f>
        <v>1</v>
      </c>
      <c r="W633" s="1" t="str">
        <f>+Tabla__192.168.1.8_POSEIDONSQL_APPFVT_01_tblFillRateFechas[[#This Row],[con_ocnumero]]&amp;Tabla__192.168.1.8_POSEIDONSQL_APPFVT_01_tblFillRateFechas[[#This Row],[con_codigounico]]</f>
        <v>950423-</v>
      </c>
      <c r="X6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4" spans="1:24" x14ac:dyDescent="0.25">
      <c r="A634">
        <v>6</v>
      </c>
      <c r="B634" t="s">
        <v>53</v>
      </c>
      <c r="C634">
        <v>950838</v>
      </c>
      <c r="D634" t="s">
        <v>1962</v>
      </c>
      <c r="E634" t="s">
        <v>161</v>
      </c>
      <c r="F634" t="s">
        <v>1963</v>
      </c>
      <c r="G634">
        <v>1</v>
      </c>
      <c r="H634">
        <v>1</v>
      </c>
      <c r="I634" t="s">
        <v>160</v>
      </c>
      <c r="J634">
        <v>0</v>
      </c>
      <c r="K634" t="s">
        <v>49</v>
      </c>
      <c r="L634" s="1">
        <f>+Tabla__192.168.1.8_POSEIDONSQL_APPFVT_01_tblFillRateFechas[[#This Row],[emb_cantidad]]-Tabla__192.168.1.8_POSEIDONSQL_APPFVT_01_tblFillRateFechas[[#This Row],[dev_cantidad]]</f>
        <v>1</v>
      </c>
      <c r="M634" s="1">
        <f>+IF(Tabla__192.168.1.8_POSEIDONSQL_APPFVT_01_tblFillRateFechas[[#This Row],[Cant_Resultante]]=Tabla__192.168.1.8_POSEIDONSQL_APPFVT_01_tblFillRateFechas[[#This Row],[cant_order]],1,0)</f>
        <v>1</v>
      </c>
      <c r="N6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4" s="1">
        <f>+IF(AND(Tabla__192.168.1.8_POSEIDONSQL_APPFVT_01_tblFillRateFechas[[#This Row],[Valida Cant]]=1,Tabla__192.168.1.8_POSEIDONSQL_APPFVT_01_tblFillRateFechas[[#This Row],[Valida Fec]]=1),1,0)</f>
        <v>1</v>
      </c>
      <c r="P634" s="1">
        <f>+(Tabla__192.168.1.8_POSEIDONSQL_APPFVT_01_tblFillRateFechas[[#This Row],[Cant_Resultante]]/Tabla__192.168.1.8_POSEIDONSQL_APPFVT_01_tblFillRateFechas[[#This Row],[cant_order]])*100</f>
        <v>100</v>
      </c>
      <c r="Q6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4" s="1">
        <f>+IF(Tabla__192.168.1.8_POSEIDONSQL_APPFVT_01_tblFillRateFechas[[#This Row],[cant_order]]&gt;0,1,0)</f>
        <v>1</v>
      </c>
      <c r="V634" s="1">
        <f>+IF(Tabla__192.168.1.8_POSEIDONSQL_APPFVT_01_tblFillRateFechas[[#This Row],[Resultado]]=1,1,0)</f>
        <v>1</v>
      </c>
      <c r="W634" s="1" t="str">
        <f>+Tabla__192.168.1.8_POSEIDONSQL_APPFVT_01_tblFillRateFechas[[#This Row],[con_ocnumero]]&amp;Tabla__192.168.1.8_POSEIDONSQL_APPFVT_01_tblFillRateFechas[[#This Row],[con_codigounico]]</f>
        <v>950838-</v>
      </c>
      <c r="X6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5" spans="1:24" x14ac:dyDescent="0.25">
      <c r="A635">
        <v>6</v>
      </c>
      <c r="B635" t="s">
        <v>53</v>
      </c>
      <c r="C635">
        <v>950888</v>
      </c>
      <c r="D635" t="s">
        <v>1962</v>
      </c>
      <c r="E635" t="s">
        <v>161</v>
      </c>
      <c r="F635" t="s">
        <v>1963</v>
      </c>
      <c r="G635">
        <v>1</v>
      </c>
      <c r="H635">
        <v>1</v>
      </c>
      <c r="I635" t="s">
        <v>160</v>
      </c>
      <c r="J635">
        <v>0</v>
      </c>
      <c r="K635" t="s">
        <v>49</v>
      </c>
      <c r="L635" s="1">
        <f>+Tabla__192.168.1.8_POSEIDONSQL_APPFVT_01_tblFillRateFechas[[#This Row],[emb_cantidad]]-Tabla__192.168.1.8_POSEIDONSQL_APPFVT_01_tblFillRateFechas[[#This Row],[dev_cantidad]]</f>
        <v>1</v>
      </c>
      <c r="M635" s="1">
        <f>+IF(Tabla__192.168.1.8_POSEIDONSQL_APPFVT_01_tblFillRateFechas[[#This Row],[Cant_Resultante]]=Tabla__192.168.1.8_POSEIDONSQL_APPFVT_01_tblFillRateFechas[[#This Row],[cant_order]],1,0)</f>
        <v>1</v>
      </c>
      <c r="N6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5" s="1">
        <f>+IF(AND(Tabla__192.168.1.8_POSEIDONSQL_APPFVT_01_tblFillRateFechas[[#This Row],[Valida Cant]]=1,Tabla__192.168.1.8_POSEIDONSQL_APPFVT_01_tblFillRateFechas[[#This Row],[Valida Fec]]=1),1,0)</f>
        <v>1</v>
      </c>
      <c r="P635" s="1">
        <f>+(Tabla__192.168.1.8_POSEIDONSQL_APPFVT_01_tblFillRateFechas[[#This Row],[Cant_Resultante]]/Tabla__192.168.1.8_POSEIDONSQL_APPFVT_01_tblFillRateFechas[[#This Row],[cant_order]])*100</f>
        <v>100</v>
      </c>
      <c r="Q6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5" s="1">
        <f>+IF(Tabla__192.168.1.8_POSEIDONSQL_APPFVT_01_tblFillRateFechas[[#This Row],[cant_order]]&gt;0,1,0)</f>
        <v>1</v>
      </c>
      <c r="V635" s="1">
        <f>+IF(Tabla__192.168.1.8_POSEIDONSQL_APPFVT_01_tblFillRateFechas[[#This Row],[Resultado]]=1,1,0)</f>
        <v>1</v>
      </c>
      <c r="W635" s="1" t="str">
        <f>+Tabla__192.168.1.8_POSEIDONSQL_APPFVT_01_tblFillRateFechas[[#This Row],[con_ocnumero]]&amp;Tabla__192.168.1.8_POSEIDONSQL_APPFVT_01_tblFillRateFechas[[#This Row],[con_codigounico]]</f>
        <v>950888-</v>
      </c>
      <c r="X6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6" spans="1:24" x14ac:dyDescent="0.25">
      <c r="A636">
        <v>6</v>
      </c>
      <c r="B636" t="s">
        <v>53</v>
      </c>
      <c r="C636">
        <v>951359</v>
      </c>
      <c r="D636" t="s">
        <v>1966</v>
      </c>
      <c r="E636" t="s">
        <v>161</v>
      </c>
      <c r="F636" t="s">
        <v>1963</v>
      </c>
      <c r="G636">
        <v>1</v>
      </c>
      <c r="H636">
        <v>1</v>
      </c>
      <c r="I636" t="s">
        <v>160</v>
      </c>
      <c r="J636">
        <v>0</v>
      </c>
      <c r="K636" t="s">
        <v>49</v>
      </c>
      <c r="L636" s="1">
        <f>+Tabla__192.168.1.8_POSEIDONSQL_APPFVT_01_tblFillRateFechas[[#This Row],[emb_cantidad]]-Tabla__192.168.1.8_POSEIDONSQL_APPFVT_01_tblFillRateFechas[[#This Row],[dev_cantidad]]</f>
        <v>1</v>
      </c>
      <c r="M636" s="1">
        <f>+IF(Tabla__192.168.1.8_POSEIDONSQL_APPFVT_01_tblFillRateFechas[[#This Row],[Cant_Resultante]]=Tabla__192.168.1.8_POSEIDONSQL_APPFVT_01_tblFillRateFechas[[#This Row],[cant_order]],1,0)</f>
        <v>1</v>
      </c>
      <c r="N6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6" s="1">
        <f>+IF(AND(Tabla__192.168.1.8_POSEIDONSQL_APPFVT_01_tblFillRateFechas[[#This Row],[Valida Cant]]=1,Tabla__192.168.1.8_POSEIDONSQL_APPFVT_01_tblFillRateFechas[[#This Row],[Valida Fec]]=1),1,0)</f>
        <v>1</v>
      </c>
      <c r="P636" s="1">
        <f>+(Tabla__192.168.1.8_POSEIDONSQL_APPFVT_01_tblFillRateFechas[[#This Row],[Cant_Resultante]]/Tabla__192.168.1.8_POSEIDONSQL_APPFVT_01_tblFillRateFechas[[#This Row],[cant_order]])*100</f>
        <v>100</v>
      </c>
      <c r="Q6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6" s="1">
        <f>+IF(Tabla__192.168.1.8_POSEIDONSQL_APPFVT_01_tblFillRateFechas[[#This Row],[cant_order]]&gt;0,1,0)</f>
        <v>1</v>
      </c>
      <c r="V636" s="1">
        <f>+IF(Tabla__192.168.1.8_POSEIDONSQL_APPFVT_01_tblFillRateFechas[[#This Row],[Resultado]]=1,1,0)</f>
        <v>1</v>
      </c>
      <c r="W636" s="1" t="str">
        <f>+Tabla__192.168.1.8_POSEIDONSQL_APPFVT_01_tblFillRateFechas[[#This Row],[con_ocnumero]]&amp;Tabla__192.168.1.8_POSEIDONSQL_APPFVT_01_tblFillRateFechas[[#This Row],[con_codigounico]]</f>
        <v>951359-</v>
      </c>
      <c r="X6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7" spans="1:24" x14ac:dyDescent="0.25">
      <c r="A637">
        <v>6</v>
      </c>
      <c r="B637" t="s">
        <v>53</v>
      </c>
      <c r="C637">
        <v>951492</v>
      </c>
      <c r="D637" t="s">
        <v>1966</v>
      </c>
      <c r="E637" t="s">
        <v>161</v>
      </c>
      <c r="F637" t="s">
        <v>1963</v>
      </c>
      <c r="G637">
        <v>1</v>
      </c>
      <c r="H637">
        <v>1</v>
      </c>
      <c r="I637" t="s">
        <v>160</v>
      </c>
      <c r="J637">
        <v>0</v>
      </c>
      <c r="K637" t="s">
        <v>49</v>
      </c>
      <c r="L637" s="1">
        <f>+Tabla__192.168.1.8_POSEIDONSQL_APPFVT_01_tblFillRateFechas[[#This Row],[emb_cantidad]]-Tabla__192.168.1.8_POSEIDONSQL_APPFVT_01_tblFillRateFechas[[#This Row],[dev_cantidad]]</f>
        <v>1</v>
      </c>
      <c r="M637" s="1">
        <f>+IF(Tabla__192.168.1.8_POSEIDONSQL_APPFVT_01_tblFillRateFechas[[#This Row],[Cant_Resultante]]=Tabla__192.168.1.8_POSEIDONSQL_APPFVT_01_tblFillRateFechas[[#This Row],[cant_order]],1,0)</f>
        <v>1</v>
      </c>
      <c r="N6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7" s="1">
        <f>+IF(AND(Tabla__192.168.1.8_POSEIDONSQL_APPFVT_01_tblFillRateFechas[[#This Row],[Valida Cant]]=1,Tabla__192.168.1.8_POSEIDONSQL_APPFVT_01_tblFillRateFechas[[#This Row],[Valida Fec]]=1),1,0)</f>
        <v>1</v>
      </c>
      <c r="P637" s="1">
        <f>+(Tabla__192.168.1.8_POSEIDONSQL_APPFVT_01_tblFillRateFechas[[#This Row],[Cant_Resultante]]/Tabla__192.168.1.8_POSEIDONSQL_APPFVT_01_tblFillRateFechas[[#This Row],[cant_order]])*100</f>
        <v>100</v>
      </c>
      <c r="Q6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7" s="1">
        <f>+IF(Tabla__192.168.1.8_POSEIDONSQL_APPFVT_01_tblFillRateFechas[[#This Row],[cant_order]]&gt;0,1,0)</f>
        <v>1</v>
      </c>
      <c r="V637" s="1">
        <f>+IF(Tabla__192.168.1.8_POSEIDONSQL_APPFVT_01_tblFillRateFechas[[#This Row],[Resultado]]=1,1,0)</f>
        <v>1</v>
      </c>
      <c r="W637" s="1" t="str">
        <f>+Tabla__192.168.1.8_POSEIDONSQL_APPFVT_01_tblFillRateFechas[[#This Row],[con_ocnumero]]&amp;Tabla__192.168.1.8_POSEIDONSQL_APPFVT_01_tblFillRateFechas[[#This Row],[con_codigounico]]</f>
        <v>951492-</v>
      </c>
      <c r="X6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8" spans="1:24" x14ac:dyDescent="0.25">
      <c r="A638">
        <v>6</v>
      </c>
      <c r="B638" t="s">
        <v>53</v>
      </c>
      <c r="C638">
        <v>951564</v>
      </c>
      <c r="D638" t="s">
        <v>1966</v>
      </c>
      <c r="E638" t="s">
        <v>161</v>
      </c>
      <c r="F638" t="s">
        <v>1963</v>
      </c>
      <c r="G638">
        <v>1</v>
      </c>
      <c r="H638">
        <v>1</v>
      </c>
      <c r="I638" t="s">
        <v>160</v>
      </c>
      <c r="J638">
        <v>0</v>
      </c>
      <c r="K638" t="s">
        <v>49</v>
      </c>
      <c r="L638" s="1">
        <f>+Tabla__192.168.1.8_POSEIDONSQL_APPFVT_01_tblFillRateFechas[[#This Row],[emb_cantidad]]-Tabla__192.168.1.8_POSEIDONSQL_APPFVT_01_tblFillRateFechas[[#This Row],[dev_cantidad]]</f>
        <v>1</v>
      </c>
      <c r="M638" s="1">
        <f>+IF(Tabla__192.168.1.8_POSEIDONSQL_APPFVT_01_tblFillRateFechas[[#This Row],[Cant_Resultante]]=Tabla__192.168.1.8_POSEIDONSQL_APPFVT_01_tblFillRateFechas[[#This Row],[cant_order]],1,0)</f>
        <v>1</v>
      </c>
      <c r="N6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8" s="1">
        <f>+IF(AND(Tabla__192.168.1.8_POSEIDONSQL_APPFVT_01_tblFillRateFechas[[#This Row],[Valida Cant]]=1,Tabla__192.168.1.8_POSEIDONSQL_APPFVT_01_tblFillRateFechas[[#This Row],[Valida Fec]]=1),1,0)</f>
        <v>1</v>
      </c>
      <c r="P638" s="1">
        <f>+(Tabla__192.168.1.8_POSEIDONSQL_APPFVT_01_tblFillRateFechas[[#This Row],[Cant_Resultante]]/Tabla__192.168.1.8_POSEIDONSQL_APPFVT_01_tblFillRateFechas[[#This Row],[cant_order]])*100</f>
        <v>100</v>
      </c>
      <c r="Q6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8" s="1">
        <f>+IF(Tabla__192.168.1.8_POSEIDONSQL_APPFVT_01_tblFillRateFechas[[#This Row],[cant_order]]&gt;0,1,0)</f>
        <v>1</v>
      </c>
      <c r="V638" s="1">
        <f>+IF(Tabla__192.168.1.8_POSEIDONSQL_APPFVT_01_tblFillRateFechas[[#This Row],[Resultado]]=1,1,0)</f>
        <v>1</v>
      </c>
      <c r="W638" s="1" t="str">
        <f>+Tabla__192.168.1.8_POSEIDONSQL_APPFVT_01_tblFillRateFechas[[#This Row],[con_ocnumero]]&amp;Tabla__192.168.1.8_POSEIDONSQL_APPFVT_01_tblFillRateFechas[[#This Row],[con_codigounico]]</f>
        <v>951564-</v>
      </c>
      <c r="X6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39" spans="1:24" x14ac:dyDescent="0.25">
      <c r="A639">
        <v>6</v>
      </c>
      <c r="B639" t="s">
        <v>53</v>
      </c>
      <c r="C639">
        <v>951973</v>
      </c>
      <c r="D639" t="s">
        <v>1966</v>
      </c>
      <c r="E639" t="s">
        <v>1969</v>
      </c>
      <c r="F639" t="s">
        <v>1963</v>
      </c>
      <c r="G639">
        <v>1</v>
      </c>
      <c r="H639">
        <v>1</v>
      </c>
      <c r="I639" t="s">
        <v>1969</v>
      </c>
      <c r="J639">
        <v>0</v>
      </c>
      <c r="K639" t="s">
        <v>49</v>
      </c>
      <c r="L639" s="1">
        <f>+Tabla__192.168.1.8_POSEIDONSQL_APPFVT_01_tblFillRateFechas[[#This Row],[emb_cantidad]]-Tabla__192.168.1.8_POSEIDONSQL_APPFVT_01_tblFillRateFechas[[#This Row],[dev_cantidad]]</f>
        <v>1</v>
      </c>
      <c r="M639" s="1">
        <f>+IF(Tabla__192.168.1.8_POSEIDONSQL_APPFVT_01_tblFillRateFechas[[#This Row],[Cant_Resultante]]=Tabla__192.168.1.8_POSEIDONSQL_APPFVT_01_tblFillRateFechas[[#This Row],[cant_order]],1,0)</f>
        <v>1</v>
      </c>
      <c r="N6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39" s="1">
        <f>+IF(AND(Tabla__192.168.1.8_POSEIDONSQL_APPFVT_01_tblFillRateFechas[[#This Row],[Valida Cant]]=1,Tabla__192.168.1.8_POSEIDONSQL_APPFVT_01_tblFillRateFechas[[#This Row],[Valida Fec]]=1),1,0)</f>
        <v>1</v>
      </c>
      <c r="P639" s="1">
        <f>+(Tabla__192.168.1.8_POSEIDONSQL_APPFVT_01_tblFillRateFechas[[#This Row],[Cant_Resultante]]/Tabla__192.168.1.8_POSEIDONSQL_APPFVT_01_tblFillRateFechas[[#This Row],[cant_order]])*100</f>
        <v>100</v>
      </c>
      <c r="Q6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39" s="1">
        <f>+IF(Tabla__192.168.1.8_POSEIDONSQL_APPFVT_01_tblFillRateFechas[[#This Row],[cant_order]]&gt;0,1,0)</f>
        <v>1</v>
      </c>
      <c r="V639" s="1">
        <f>+IF(Tabla__192.168.1.8_POSEIDONSQL_APPFVT_01_tblFillRateFechas[[#This Row],[Resultado]]=1,1,0)</f>
        <v>1</v>
      </c>
      <c r="W639" s="1" t="str">
        <f>+Tabla__192.168.1.8_POSEIDONSQL_APPFVT_01_tblFillRateFechas[[#This Row],[con_ocnumero]]&amp;Tabla__192.168.1.8_POSEIDONSQL_APPFVT_01_tblFillRateFechas[[#This Row],[con_codigounico]]</f>
        <v>951973-</v>
      </c>
      <c r="X6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0" spans="1:24" x14ac:dyDescent="0.25">
      <c r="A640">
        <v>6</v>
      </c>
      <c r="B640" t="s">
        <v>53</v>
      </c>
      <c r="C640">
        <v>952354</v>
      </c>
      <c r="D640" t="s">
        <v>1973</v>
      </c>
      <c r="E640" t="s">
        <v>161</v>
      </c>
      <c r="F640" t="s">
        <v>1963</v>
      </c>
      <c r="G640">
        <v>1</v>
      </c>
      <c r="H640">
        <v>1</v>
      </c>
      <c r="I640" t="s">
        <v>160</v>
      </c>
      <c r="J640">
        <v>0</v>
      </c>
      <c r="K640" t="s">
        <v>49</v>
      </c>
      <c r="L640" s="1">
        <f>+Tabla__192.168.1.8_POSEIDONSQL_APPFVT_01_tblFillRateFechas[[#This Row],[emb_cantidad]]-Tabla__192.168.1.8_POSEIDONSQL_APPFVT_01_tblFillRateFechas[[#This Row],[dev_cantidad]]</f>
        <v>1</v>
      </c>
      <c r="M640" s="1">
        <f>+IF(Tabla__192.168.1.8_POSEIDONSQL_APPFVT_01_tblFillRateFechas[[#This Row],[Cant_Resultante]]=Tabla__192.168.1.8_POSEIDONSQL_APPFVT_01_tblFillRateFechas[[#This Row],[cant_order]],1,0)</f>
        <v>1</v>
      </c>
      <c r="N6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0" s="1">
        <f>+IF(AND(Tabla__192.168.1.8_POSEIDONSQL_APPFVT_01_tblFillRateFechas[[#This Row],[Valida Cant]]=1,Tabla__192.168.1.8_POSEIDONSQL_APPFVT_01_tblFillRateFechas[[#This Row],[Valida Fec]]=1),1,0)</f>
        <v>1</v>
      </c>
      <c r="P640" s="1">
        <f>+(Tabla__192.168.1.8_POSEIDONSQL_APPFVT_01_tblFillRateFechas[[#This Row],[Cant_Resultante]]/Tabla__192.168.1.8_POSEIDONSQL_APPFVT_01_tblFillRateFechas[[#This Row],[cant_order]])*100</f>
        <v>100</v>
      </c>
      <c r="Q6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0" s="1">
        <f>+IF(Tabla__192.168.1.8_POSEIDONSQL_APPFVT_01_tblFillRateFechas[[#This Row],[cant_order]]&gt;0,1,0)</f>
        <v>1</v>
      </c>
      <c r="V640" s="1">
        <f>+IF(Tabla__192.168.1.8_POSEIDONSQL_APPFVT_01_tblFillRateFechas[[#This Row],[Resultado]]=1,1,0)</f>
        <v>1</v>
      </c>
      <c r="W640" s="1" t="str">
        <f>+Tabla__192.168.1.8_POSEIDONSQL_APPFVT_01_tblFillRateFechas[[#This Row],[con_ocnumero]]&amp;Tabla__192.168.1.8_POSEIDONSQL_APPFVT_01_tblFillRateFechas[[#This Row],[con_codigounico]]</f>
        <v>952354-</v>
      </c>
      <c r="X6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1" spans="1:24" x14ac:dyDescent="0.25">
      <c r="A641">
        <v>6</v>
      </c>
      <c r="B641" t="s">
        <v>53</v>
      </c>
      <c r="C641">
        <v>952523</v>
      </c>
      <c r="D641" t="s">
        <v>1973</v>
      </c>
      <c r="E641" t="s">
        <v>161</v>
      </c>
      <c r="F641" t="s">
        <v>1963</v>
      </c>
      <c r="G641">
        <v>1</v>
      </c>
      <c r="H641">
        <v>1</v>
      </c>
      <c r="I641" t="s">
        <v>160</v>
      </c>
      <c r="J641">
        <v>0</v>
      </c>
      <c r="K641" t="s">
        <v>49</v>
      </c>
      <c r="L641" s="1">
        <f>+Tabla__192.168.1.8_POSEIDONSQL_APPFVT_01_tblFillRateFechas[[#This Row],[emb_cantidad]]-Tabla__192.168.1.8_POSEIDONSQL_APPFVT_01_tblFillRateFechas[[#This Row],[dev_cantidad]]</f>
        <v>1</v>
      </c>
      <c r="M641" s="1">
        <f>+IF(Tabla__192.168.1.8_POSEIDONSQL_APPFVT_01_tblFillRateFechas[[#This Row],[Cant_Resultante]]=Tabla__192.168.1.8_POSEIDONSQL_APPFVT_01_tblFillRateFechas[[#This Row],[cant_order]],1,0)</f>
        <v>1</v>
      </c>
      <c r="N6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1" s="1">
        <f>+IF(AND(Tabla__192.168.1.8_POSEIDONSQL_APPFVT_01_tblFillRateFechas[[#This Row],[Valida Cant]]=1,Tabla__192.168.1.8_POSEIDONSQL_APPFVT_01_tblFillRateFechas[[#This Row],[Valida Fec]]=1),1,0)</f>
        <v>1</v>
      </c>
      <c r="P641" s="1">
        <f>+(Tabla__192.168.1.8_POSEIDONSQL_APPFVT_01_tblFillRateFechas[[#This Row],[Cant_Resultante]]/Tabla__192.168.1.8_POSEIDONSQL_APPFVT_01_tblFillRateFechas[[#This Row],[cant_order]])*100</f>
        <v>100</v>
      </c>
      <c r="Q6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1" s="1">
        <f>+IF(Tabla__192.168.1.8_POSEIDONSQL_APPFVT_01_tblFillRateFechas[[#This Row],[cant_order]]&gt;0,1,0)</f>
        <v>1</v>
      </c>
      <c r="V641" s="1">
        <f>+IF(Tabla__192.168.1.8_POSEIDONSQL_APPFVT_01_tblFillRateFechas[[#This Row],[Resultado]]=1,1,0)</f>
        <v>1</v>
      </c>
      <c r="W641" s="1" t="str">
        <f>+Tabla__192.168.1.8_POSEIDONSQL_APPFVT_01_tblFillRateFechas[[#This Row],[con_ocnumero]]&amp;Tabla__192.168.1.8_POSEIDONSQL_APPFVT_01_tblFillRateFechas[[#This Row],[con_codigounico]]</f>
        <v>952523-</v>
      </c>
      <c r="X6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2" spans="1:24" x14ac:dyDescent="0.25">
      <c r="A642">
        <v>6</v>
      </c>
      <c r="B642" t="s">
        <v>53</v>
      </c>
      <c r="C642">
        <v>952574</v>
      </c>
      <c r="D642" t="s">
        <v>1973</v>
      </c>
      <c r="E642" t="s">
        <v>161</v>
      </c>
      <c r="F642" t="s">
        <v>1963</v>
      </c>
      <c r="G642">
        <v>1</v>
      </c>
      <c r="H642">
        <v>1</v>
      </c>
      <c r="I642" t="s">
        <v>160</v>
      </c>
      <c r="J642">
        <v>0</v>
      </c>
      <c r="K642" t="s">
        <v>49</v>
      </c>
      <c r="L642" s="1">
        <f>+Tabla__192.168.1.8_POSEIDONSQL_APPFVT_01_tblFillRateFechas[[#This Row],[emb_cantidad]]-Tabla__192.168.1.8_POSEIDONSQL_APPFVT_01_tblFillRateFechas[[#This Row],[dev_cantidad]]</f>
        <v>1</v>
      </c>
      <c r="M642" s="1">
        <f>+IF(Tabla__192.168.1.8_POSEIDONSQL_APPFVT_01_tblFillRateFechas[[#This Row],[Cant_Resultante]]=Tabla__192.168.1.8_POSEIDONSQL_APPFVT_01_tblFillRateFechas[[#This Row],[cant_order]],1,0)</f>
        <v>1</v>
      </c>
      <c r="N6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2" s="1">
        <f>+IF(AND(Tabla__192.168.1.8_POSEIDONSQL_APPFVT_01_tblFillRateFechas[[#This Row],[Valida Cant]]=1,Tabla__192.168.1.8_POSEIDONSQL_APPFVT_01_tblFillRateFechas[[#This Row],[Valida Fec]]=1),1,0)</f>
        <v>1</v>
      </c>
      <c r="P642" s="1">
        <f>+(Tabla__192.168.1.8_POSEIDONSQL_APPFVT_01_tblFillRateFechas[[#This Row],[Cant_Resultante]]/Tabla__192.168.1.8_POSEIDONSQL_APPFVT_01_tblFillRateFechas[[#This Row],[cant_order]])*100</f>
        <v>100</v>
      </c>
      <c r="Q6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2" s="1">
        <f>+IF(Tabla__192.168.1.8_POSEIDONSQL_APPFVT_01_tblFillRateFechas[[#This Row],[cant_order]]&gt;0,1,0)</f>
        <v>1</v>
      </c>
      <c r="V642" s="1">
        <f>+IF(Tabla__192.168.1.8_POSEIDONSQL_APPFVT_01_tblFillRateFechas[[#This Row],[Resultado]]=1,1,0)</f>
        <v>1</v>
      </c>
      <c r="W642" s="1" t="str">
        <f>+Tabla__192.168.1.8_POSEIDONSQL_APPFVT_01_tblFillRateFechas[[#This Row],[con_ocnumero]]&amp;Tabla__192.168.1.8_POSEIDONSQL_APPFVT_01_tblFillRateFechas[[#This Row],[con_codigounico]]</f>
        <v>952574-</v>
      </c>
      <c r="X6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3" spans="1:24" x14ac:dyDescent="0.25">
      <c r="A643">
        <v>6</v>
      </c>
      <c r="B643" t="s">
        <v>53</v>
      </c>
      <c r="C643">
        <v>952688</v>
      </c>
      <c r="D643" t="s">
        <v>1973</v>
      </c>
      <c r="E643" t="s">
        <v>161</v>
      </c>
      <c r="F643" t="s">
        <v>1963</v>
      </c>
      <c r="G643">
        <v>1</v>
      </c>
      <c r="H643">
        <v>1</v>
      </c>
      <c r="I643" t="s">
        <v>160</v>
      </c>
      <c r="J643">
        <v>0</v>
      </c>
      <c r="K643" t="s">
        <v>49</v>
      </c>
      <c r="L643" s="1">
        <f>+Tabla__192.168.1.8_POSEIDONSQL_APPFVT_01_tblFillRateFechas[[#This Row],[emb_cantidad]]-Tabla__192.168.1.8_POSEIDONSQL_APPFVT_01_tblFillRateFechas[[#This Row],[dev_cantidad]]</f>
        <v>1</v>
      </c>
      <c r="M643" s="1">
        <f>+IF(Tabla__192.168.1.8_POSEIDONSQL_APPFVT_01_tblFillRateFechas[[#This Row],[Cant_Resultante]]=Tabla__192.168.1.8_POSEIDONSQL_APPFVT_01_tblFillRateFechas[[#This Row],[cant_order]],1,0)</f>
        <v>1</v>
      </c>
      <c r="N6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3" s="1">
        <f>+IF(AND(Tabla__192.168.1.8_POSEIDONSQL_APPFVT_01_tblFillRateFechas[[#This Row],[Valida Cant]]=1,Tabla__192.168.1.8_POSEIDONSQL_APPFVT_01_tblFillRateFechas[[#This Row],[Valida Fec]]=1),1,0)</f>
        <v>1</v>
      </c>
      <c r="P643" s="1">
        <f>+(Tabla__192.168.1.8_POSEIDONSQL_APPFVT_01_tblFillRateFechas[[#This Row],[Cant_Resultante]]/Tabla__192.168.1.8_POSEIDONSQL_APPFVT_01_tblFillRateFechas[[#This Row],[cant_order]])*100</f>
        <v>100</v>
      </c>
      <c r="Q6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3" s="1">
        <f>+IF(Tabla__192.168.1.8_POSEIDONSQL_APPFVT_01_tblFillRateFechas[[#This Row],[cant_order]]&gt;0,1,0)</f>
        <v>1</v>
      </c>
      <c r="V643" s="1">
        <f>+IF(Tabla__192.168.1.8_POSEIDONSQL_APPFVT_01_tblFillRateFechas[[#This Row],[Resultado]]=1,1,0)</f>
        <v>1</v>
      </c>
      <c r="W643" s="1" t="str">
        <f>+Tabla__192.168.1.8_POSEIDONSQL_APPFVT_01_tblFillRateFechas[[#This Row],[con_ocnumero]]&amp;Tabla__192.168.1.8_POSEIDONSQL_APPFVT_01_tblFillRateFechas[[#This Row],[con_codigounico]]</f>
        <v>952688-</v>
      </c>
      <c r="X6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4" spans="1:24" x14ac:dyDescent="0.25">
      <c r="A644">
        <v>6</v>
      </c>
      <c r="B644" t="s">
        <v>53</v>
      </c>
      <c r="C644">
        <v>953134</v>
      </c>
      <c r="D644" t="s">
        <v>1963</v>
      </c>
      <c r="E644" t="s">
        <v>161</v>
      </c>
      <c r="F644" t="s">
        <v>1963</v>
      </c>
      <c r="G644">
        <v>1</v>
      </c>
      <c r="H644">
        <v>1</v>
      </c>
      <c r="I644" t="s">
        <v>160</v>
      </c>
      <c r="J644">
        <v>0</v>
      </c>
      <c r="K644" t="s">
        <v>49</v>
      </c>
      <c r="L644" s="1">
        <f>+Tabla__192.168.1.8_POSEIDONSQL_APPFVT_01_tblFillRateFechas[[#This Row],[emb_cantidad]]-Tabla__192.168.1.8_POSEIDONSQL_APPFVT_01_tblFillRateFechas[[#This Row],[dev_cantidad]]</f>
        <v>1</v>
      </c>
      <c r="M644" s="1">
        <f>+IF(Tabla__192.168.1.8_POSEIDONSQL_APPFVT_01_tblFillRateFechas[[#This Row],[Cant_Resultante]]=Tabla__192.168.1.8_POSEIDONSQL_APPFVT_01_tblFillRateFechas[[#This Row],[cant_order]],1,0)</f>
        <v>1</v>
      </c>
      <c r="N6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4" s="1">
        <f>+IF(AND(Tabla__192.168.1.8_POSEIDONSQL_APPFVT_01_tblFillRateFechas[[#This Row],[Valida Cant]]=1,Tabla__192.168.1.8_POSEIDONSQL_APPFVT_01_tblFillRateFechas[[#This Row],[Valida Fec]]=1),1,0)</f>
        <v>1</v>
      </c>
      <c r="P644" s="1">
        <f>+(Tabla__192.168.1.8_POSEIDONSQL_APPFVT_01_tblFillRateFechas[[#This Row],[Cant_Resultante]]/Tabla__192.168.1.8_POSEIDONSQL_APPFVT_01_tblFillRateFechas[[#This Row],[cant_order]])*100</f>
        <v>100</v>
      </c>
      <c r="Q6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4" s="1">
        <f>+IF(Tabla__192.168.1.8_POSEIDONSQL_APPFVT_01_tblFillRateFechas[[#This Row],[cant_order]]&gt;0,1,0)</f>
        <v>1</v>
      </c>
      <c r="V644" s="1">
        <f>+IF(Tabla__192.168.1.8_POSEIDONSQL_APPFVT_01_tblFillRateFechas[[#This Row],[Resultado]]=1,1,0)</f>
        <v>1</v>
      </c>
      <c r="W644" s="1" t="str">
        <f>+Tabla__192.168.1.8_POSEIDONSQL_APPFVT_01_tblFillRateFechas[[#This Row],[con_ocnumero]]&amp;Tabla__192.168.1.8_POSEIDONSQL_APPFVT_01_tblFillRateFechas[[#This Row],[con_codigounico]]</f>
        <v>953134-</v>
      </c>
      <c r="X6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5" spans="1:24" x14ac:dyDescent="0.25">
      <c r="A645">
        <v>6</v>
      </c>
      <c r="B645" t="s">
        <v>53</v>
      </c>
      <c r="C645">
        <v>953168</v>
      </c>
      <c r="D645" t="s">
        <v>1963</v>
      </c>
      <c r="E645" t="s">
        <v>161</v>
      </c>
      <c r="F645" t="s">
        <v>1963</v>
      </c>
      <c r="G645">
        <v>1</v>
      </c>
      <c r="H645">
        <v>1</v>
      </c>
      <c r="I645" t="s">
        <v>160</v>
      </c>
      <c r="J645">
        <v>0</v>
      </c>
      <c r="K645" t="s">
        <v>49</v>
      </c>
      <c r="L645" s="1">
        <f>+Tabla__192.168.1.8_POSEIDONSQL_APPFVT_01_tblFillRateFechas[[#This Row],[emb_cantidad]]-Tabla__192.168.1.8_POSEIDONSQL_APPFVT_01_tblFillRateFechas[[#This Row],[dev_cantidad]]</f>
        <v>1</v>
      </c>
      <c r="M645" s="1">
        <f>+IF(Tabla__192.168.1.8_POSEIDONSQL_APPFVT_01_tblFillRateFechas[[#This Row],[Cant_Resultante]]=Tabla__192.168.1.8_POSEIDONSQL_APPFVT_01_tblFillRateFechas[[#This Row],[cant_order]],1,0)</f>
        <v>1</v>
      </c>
      <c r="N6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5" s="1">
        <f>+IF(AND(Tabla__192.168.1.8_POSEIDONSQL_APPFVT_01_tblFillRateFechas[[#This Row],[Valida Cant]]=1,Tabla__192.168.1.8_POSEIDONSQL_APPFVT_01_tblFillRateFechas[[#This Row],[Valida Fec]]=1),1,0)</f>
        <v>1</v>
      </c>
      <c r="P645" s="1">
        <f>+(Tabla__192.168.1.8_POSEIDONSQL_APPFVT_01_tblFillRateFechas[[#This Row],[Cant_Resultante]]/Tabla__192.168.1.8_POSEIDONSQL_APPFVT_01_tblFillRateFechas[[#This Row],[cant_order]])*100</f>
        <v>100</v>
      </c>
      <c r="Q6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5" s="1">
        <f>+IF(Tabla__192.168.1.8_POSEIDONSQL_APPFVT_01_tblFillRateFechas[[#This Row],[cant_order]]&gt;0,1,0)</f>
        <v>1</v>
      </c>
      <c r="V645" s="1">
        <f>+IF(Tabla__192.168.1.8_POSEIDONSQL_APPFVT_01_tblFillRateFechas[[#This Row],[Resultado]]=1,1,0)</f>
        <v>1</v>
      </c>
      <c r="W645" s="1" t="str">
        <f>+Tabla__192.168.1.8_POSEIDONSQL_APPFVT_01_tblFillRateFechas[[#This Row],[con_ocnumero]]&amp;Tabla__192.168.1.8_POSEIDONSQL_APPFVT_01_tblFillRateFechas[[#This Row],[con_codigounico]]</f>
        <v>953168-</v>
      </c>
      <c r="X6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6" spans="1:24" x14ac:dyDescent="0.25">
      <c r="A646">
        <v>6</v>
      </c>
      <c r="B646" t="s">
        <v>53</v>
      </c>
      <c r="C646">
        <v>953170</v>
      </c>
      <c r="D646" t="s">
        <v>1963</v>
      </c>
      <c r="E646" t="s">
        <v>161</v>
      </c>
      <c r="F646" t="s">
        <v>1963</v>
      </c>
      <c r="G646">
        <v>1</v>
      </c>
      <c r="H646">
        <v>1</v>
      </c>
      <c r="I646" t="s">
        <v>160</v>
      </c>
      <c r="J646">
        <v>0</v>
      </c>
      <c r="K646" t="s">
        <v>49</v>
      </c>
      <c r="L646" s="1">
        <f>+Tabla__192.168.1.8_POSEIDONSQL_APPFVT_01_tblFillRateFechas[[#This Row],[emb_cantidad]]-Tabla__192.168.1.8_POSEIDONSQL_APPFVT_01_tblFillRateFechas[[#This Row],[dev_cantidad]]</f>
        <v>1</v>
      </c>
      <c r="M646" s="1">
        <f>+IF(Tabla__192.168.1.8_POSEIDONSQL_APPFVT_01_tblFillRateFechas[[#This Row],[Cant_Resultante]]=Tabla__192.168.1.8_POSEIDONSQL_APPFVT_01_tblFillRateFechas[[#This Row],[cant_order]],1,0)</f>
        <v>1</v>
      </c>
      <c r="N6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6" s="1">
        <f>+IF(AND(Tabla__192.168.1.8_POSEIDONSQL_APPFVT_01_tblFillRateFechas[[#This Row],[Valida Cant]]=1,Tabla__192.168.1.8_POSEIDONSQL_APPFVT_01_tblFillRateFechas[[#This Row],[Valida Fec]]=1),1,0)</f>
        <v>1</v>
      </c>
      <c r="P646" s="1">
        <f>+(Tabla__192.168.1.8_POSEIDONSQL_APPFVT_01_tblFillRateFechas[[#This Row],[Cant_Resultante]]/Tabla__192.168.1.8_POSEIDONSQL_APPFVT_01_tblFillRateFechas[[#This Row],[cant_order]])*100</f>
        <v>100</v>
      </c>
      <c r="Q6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6" s="1">
        <f>+IF(Tabla__192.168.1.8_POSEIDONSQL_APPFVT_01_tblFillRateFechas[[#This Row],[cant_order]]&gt;0,1,0)</f>
        <v>1</v>
      </c>
      <c r="V646" s="1">
        <f>+IF(Tabla__192.168.1.8_POSEIDONSQL_APPFVT_01_tblFillRateFechas[[#This Row],[Resultado]]=1,1,0)</f>
        <v>1</v>
      </c>
      <c r="W646" s="1" t="str">
        <f>+Tabla__192.168.1.8_POSEIDONSQL_APPFVT_01_tblFillRateFechas[[#This Row],[con_ocnumero]]&amp;Tabla__192.168.1.8_POSEIDONSQL_APPFVT_01_tblFillRateFechas[[#This Row],[con_codigounico]]</f>
        <v>953170-</v>
      </c>
      <c r="X6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7" spans="1:24" x14ac:dyDescent="0.25">
      <c r="A647">
        <v>6</v>
      </c>
      <c r="B647" t="s">
        <v>53</v>
      </c>
      <c r="C647">
        <v>953321</v>
      </c>
      <c r="D647" t="s">
        <v>1963</v>
      </c>
      <c r="E647" t="s">
        <v>414</v>
      </c>
      <c r="F647" t="s">
        <v>162</v>
      </c>
      <c r="G647">
        <v>1</v>
      </c>
      <c r="H647">
        <v>1</v>
      </c>
      <c r="I647" t="s">
        <v>425</v>
      </c>
      <c r="J647">
        <v>0</v>
      </c>
      <c r="K647" t="s">
        <v>49</v>
      </c>
      <c r="L647" s="1">
        <f>+Tabla__192.168.1.8_POSEIDONSQL_APPFVT_01_tblFillRateFechas[[#This Row],[emb_cantidad]]-Tabla__192.168.1.8_POSEIDONSQL_APPFVT_01_tblFillRateFechas[[#This Row],[dev_cantidad]]</f>
        <v>1</v>
      </c>
      <c r="M647" s="1">
        <f>+IF(Tabla__192.168.1.8_POSEIDONSQL_APPFVT_01_tblFillRateFechas[[#This Row],[Cant_Resultante]]=Tabla__192.168.1.8_POSEIDONSQL_APPFVT_01_tblFillRateFechas[[#This Row],[cant_order]],1,0)</f>
        <v>1</v>
      </c>
      <c r="N6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7" s="1">
        <f>+IF(AND(Tabla__192.168.1.8_POSEIDONSQL_APPFVT_01_tblFillRateFechas[[#This Row],[Valida Cant]]=1,Tabla__192.168.1.8_POSEIDONSQL_APPFVT_01_tblFillRateFechas[[#This Row],[Valida Fec]]=1),1,0)</f>
        <v>1</v>
      </c>
      <c r="P647" s="1">
        <f>+(Tabla__192.168.1.8_POSEIDONSQL_APPFVT_01_tblFillRateFechas[[#This Row],[Cant_Resultante]]/Tabla__192.168.1.8_POSEIDONSQL_APPFVT_01_tblFillRateFechas[[#This Row],[cant_order]])*100</f>
        <v>100</v>
      </c>
      <c r="Q6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7" s="1">
        <f>+IF(Tabla__192.168.1.8_POSEIDONSQL_APPFVT_01_tblFillRateFechas[[#This Row],[cant_order]]&gt;0,1,0)</f>
        <v>1</v>
      </c>
      <c r="V647" s="1">
        <f>+IF(Tabla__192.168.1.8_POSEIDONSQL_APPFVT_01_tblFillRateFechas[[#This Row],[Resultado]]=1,1,0)</f>
        <v>1</v>
      </c>
      <c r="W647" s="1" t="str">
        <f>+Tabla__192.168.1.8_POSEIDONSQL_APPFVT_01_tblFillRateFechas[[#This Row],[con_ocnumero]]&amp;Tabla__192.168.1.8_POSEIDONSQL_APPFVT_01_tblFillRateFechas[[#This Row],[con_codigounico]]</f>
        <v>953321-</v>
      </c>
      <c r="X6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8" spans="1:24" x14ac:dyDescent="0.25">
      <c r="A648">
        <v>6</v>
      </c>
      <c r="B648" t="s">
        <v>53</v>
      </c>
      <c r="C648">
        <v>953988</v>
      </c>
      <c r="D648" t="s">
        <v>1963</v>
      </c>
      <c r="E648" t="s">
        <v>1969</v>
      </c>
      <c r="F648" t="s">
        <v>162</v>
      </c>
      <c r="G648">
        <v>1</v>
      </c>
      <c r="H648">
        <v>1</v>
      </c>
      <c r="I648" t="s">
        <v>1969</v>
      </c>
      <c r="J648">
        <v>0</v>
      </c>
      <c r="K648" t="s">
        <v>49</v>
      </c>
      <c r="L648" s="1">
        <f>+Tabla__192.168.1.8_POSEIDONSQL_APPFVT_01_tblFillRateFechas[[#This Row],[emb_cantidad]]-Tabla__192.168.1.8_POSEIDONSQL_APPFVT_01_tblFillRateFechas[[#This Row],[dev_cantidad]]</f>
        <v>1</v>
      </c>
      <c r="M648" s="1">
        <f>+IF(Tabla__192.168.1.8_POSEIDONSQL_APPFVT_01_tblFillRateFechas[[#This Row],[Cant_Resultante]]=Tabla__192.168.1.8_POSEIDONSQL_APPFVT_01_tblFillRateFechas[[#This Row],[cant_order]],1,0)</f>
        <v>1</v>
      </c>
      <c r="N6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8" s="1">
        <f>+IF(AND(Tabla__192.168.1.8_POSEIDONSQL_APPFVT_01_tblFillRateFechas[[#This Row],[Valida Cant]]=1,Tabla__192.168.1.8_POSEIDONSQL_APPFVT_01_tblFillRateFechas[[#This Row],[Valida Fec]]=1),1,0)</f>
        <v>1</v>
      </c>
      <c r="P648" s="1">
        <f>+(Tabla__192.168.1.8_POSEIDONSQL_APPFVT_01_tblFillRateFechas[[#This Row],[Cant_Resultante]]/Tabla__192.168.1.8_POSEIDONSQL_APPFVT_01_tblFillRateFechas[[#This Row],[cant_order]])*100</f>
        <v>100</v>
      </c>
      <c r="Q6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8" s="1">
        <f>+IF(Tabla__192.168.1.8_POSEIDONSQL_APPFVT_01_tblFillRateFechas[[#This Row],[cant_order]]&gt;0,1,0)</f>
        <v>1</v>
      </c>
      <c r="V648" s="1">
        <f>+IF(Tabla__192.168.1.8_POSEIDONSQL_APPFVT_01_tblFillRateFechas[[#This Row],[Resultado]]=1,1,0)</f>
        <v>1</v>
      </c>
      <c r="W648" s="1" t="str">
        <f>+Tabla__192.168.1.8_POSEIDONSQL_APPFVT_01_tblFillRateFechas[[#This Row],[con_ocnumero]]&amp;Tabla__192.168.1.8_POSEIDONSQL_APPFVT_01_tblFillRateFechas[[#This Row],[con_codigounico]]</f>
        <v>953988-</v>
      </c>
      <c r="X6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49" spans="1:24" x14ac:dyDescent="0.25">
      <c r="A649">
        <v>6</v>
      </c>
      <c r="B649" t="s">
        <v>53</v>
      </c>
      <c r="C649">
        <v>954516</v>
      </c>
      <c r="D649" t="s">
        <v>162</v>
      </c>
      <c r="E649" t="s">
        <v>1969</v>
      </c>
      <c r="F649" t="s">
        <v>160</v>
      </c>
      <c r="G649">
        <v>1</v>
      </c>
      <c r="H649">
        <v>1</v>
      </c>
      <c r="I649" t="s">
        <v>1969</v>
      </c>
      <c r="J649">
        <v>0</v>
      </c>
      <c r="K649" t="s">
        <v>49</v>
      </c>
      <c r="L649" s="1">
        <f>+Tabla__192.168.1.8_POSEIDONSQL_APPFVT_01_tblFillRateFechas[[#This Row],[emb_cantidad]]-Tabla__192.168.1.8_POSEIDONSQL_APPFVT_01_tblFillRateFechas[[#This Row],[dev_cantidad]]</f>
        <v>1</v>
      </c>
      <c r="M649" s="1">
        <f>+IF(Tabla__192.168.1.8_POSEIDONSQL_APPFVT_01_tblFillRateFechas[[#This Row],[Cant_Resultante]]=Tabla__192.168.1.8_POSEIDONSQL_APPFVT_01_tblFillRateFechas[[#This Row],[cant_order]],1,0)</f>
        <v>1</v>
      </c>
      <c r="N6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49" s="1">
        <f>+IF(AND(Tabla__192.168.1.8_POSEIDONSQL_APPFVT_01_tblFillRateFechas[[#This Row],[Valida Cant]]=1,Tabla__192.168.1.8_POSEIDONSQL_APPFVT_01_tblFillRateFechas[[#This Row],[Valida Fec]]=1),1,0)</f>
        <v>1</v>
      </c>
      <c r="P649" s="1">
        <f>+(Tabla__192.168.1.8_POSEIDONSQL_APPFVT_01_tblFillRateFechas[[#This Row],[Cant_Resultante]]/Tabla__192.168.1.8_POSEIDONSQL_APPFVT_01_tblFillRateFechas[[#This Row],[cant_order]])*100</f>
        <v>100</v>
      </c>
      <c r="Q6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49" s="1">
        <f>+IF(Tabla__192.168.1.8_POSEIDONSQL_APPFVT_01_tblFillRateFechas[[#This Row],[cant_order]]&gt;0,1,0)</f>
        <v>1</v>
      </c>
      <c r="V649" s="1">
        <f>+IF(Tabla__192.168.1.8_POSEIDONSQL_APPFVT_01_tblFillRateFechas[[#This Row],[Resultado]]=1,1,0)</f>
        <v>1</v>
      </c>
      <c r="W649" s="1" t="str">
        <f>+Tabla__192.168.1.8_POSEIDONSQL_APPFVT_01_tblFillRateFechas[[#This Row],[con_ocnumero]]&amp;Tabla__192.168.1.8_POSEIDONSQL_APPFVT_01_tblFillRateFechas[[#This Row],[con_codigounico]]</f>
        <v>954516-</v>
      </c>
      <c r="X6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0" spans="1:24" x14ac:dyDescent="0.25">
      <c r="A650">
        <v>6</v>
      </c>
      <c r="B650" t="s">
        <v>53</v>
      </c>
      <c r="C650">
        <v>954593</v>
      </c>
      <c r="D650" t="s">
        <v>162</v>
      </c>
      <c r="E650" t="s">
        <v>1969</v>
      </c>
      <c r="F650" t="s">
        <v>160</v>
      </c>
      <c r="G650">
        <v>1</v>
      </c>
      <c r="H650">
        <v>1</v>
      </c>
      <c r="I650" t="s">
        <v>1969</v>
      </c>
      <c r="J650">
        <v>0</v>
      </c>
      <c r="K650" t="s">
        <v>49</v>
      </c>
      <c r="L650" s="1">
        <f>+Tabla__192.168.1.8_POSEIDONSQL_APPFVT_01_tblFillRateFechas[[#This Row],[emb_cantidad]]-Tabla__192.168.1.8_POSEIDONSQL_APPFVT_01_tblFillRateFechas[[#This Row],[dev_cantidad]]</f>
        <v>1</v>
      </c>
      <c r="M650" s="1">
        <f>+IF(Tabla__192.168.1.8_POSEIDONSQL_APPFVT_01_tblFillRateFechas[[#This Row],[Cant_Resultante]]=Tabla__192.168.1.8_POSEIDONSQL_APPFVT_01_tblFillRateFechas[[#This Row],[cant_order]],1,0)</f>
        <v>1</v>
      </c>
      <c r="N6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0" s="1">
        <f>+IF(AND(Tabla__192.168.1.8_POSEIDONSQL_APPFVT_01_tblFillRateFechas[[#This Row],[Valida Cant]]=1,Tabla__192.168.1.8_POSEIDONSQL_APPFVT_01_tblFillRateFechas[[#This Row],[Valida Fec]]=1),1,0)</f>
        <v>1</v>
      </c>
      <c r="P650" s="1">
        <f>+(Tabla__192.168.1.8_POSEIDONSQL_APPFVT_01_tblFillRateFechas[[#This Row],[Cant_Resultante]]/Tabla__192.168.1.8_POSEIDONSQL_APPFVT_01_tblFillRateFechas[[#This Row],[cant_order]])*100</f>
        <v>100</v>
      </c>
      <c r="Q6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0" s="1">
        <f>+IF(Tabla__192.168.1.8_POSEIDONSQL_APPFVT_01_tblFillRateFechas[[#This Row],[cant_order]]&gt;0,1,0)</f>
        <v>1</v>
      </c>
      <c r="V650" s="1">
        <f>+IF(Tabla__192.168.1.8_POSEIDONSQL_APPFVT_01_tblFillRateFechas[[#This Row],[Resultado]]=1,1,0)</f>
        <v>1</v>
      </c>
      <c r="W650" s="1" t="str">
        <f>+Tabla__192.168.1.8_POSEIDONSQL_APPFVT_01_tblFillRateFechas[[#This Row],[con_ocnumero]]&amp;Tabla__192.168.1.8_POSEIDONSQL_APPFVT_01_tblFillRateFechas[[#This Row],[con_codigounico]]</f>
        <v>954593-</v>
      </c>
      <c r="X6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1" spans="1:24" x14ac:dyDescent="0.25">
      <c r="A651">
        <v>6</v>
      </c>
      <c r="B651" t="s">
        <v>53</v>
      </c>
      <c r="C651">
        <v>954630</v>
      </c>
      <c r="D651" t="s">
        <v>162</v>
      </c>
      <c r="E651" t="s">
        <v>163</v>
      </c>
      <c r="F651" t="s">
        <v>160</v>
      </c>
      <c r="G651">
        <v>1</v>
      </c>
      <c r="H651">
        <v>1</v>
      </c>
      <c r="I651" t="s">
        <v>1969</v>
      </c>
      <c r="J651">
        <v>0</v>
      </c>
      <c r="K651" t="s">
        <v>49</v>
      </c>
      <c r="L651" s="1">
        <f>+Tabla__192.168.1.8_POSEIDONSQL_APPFVT_01_tblFillRateFechas[[#This Row],[emb_cantidad]]-Tabla__192.168.1.8_POSEIDONSQL_APPFVT_01_tblFillRateFechas[[#This Row],[dev_cantidad]]</f>
        <v>1</v>
      </c>
      <c r="M651" s="1">
        <f>+IF(Tabla__192.168.1.8_POSEIDONSQL_APPFVT_01_tblFillRateFechas[[#This Row],[Cant_Resultante]]=Tabla__192.168.1.8_POSEIDONSQL_APPFVT_01_tblFillRateFechas[[#This Row],[cant_order]],1,0)</f>
        <v>1</v>
      </c>
      <c r="N6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1" s="1">
        <f>+IF(AND(Tabla__192.168.1.8_POSEIDONSQL_APPFVT_01_tblFillRateFechas[[#This Row],[Valida Cant]]=1,Tabla__192.168.1.8_POSEIDONSQL_APPFVT_01_tblFillRateFechas[[#This Row],[Valida Fec]]=1),1,0)</f>
        <v>1</v>
      </c>
      <c r="P651" s="1">
        <f>+(Tabla__192.168.1.8_POSEIDONSQL_APPFVT_01_tblFillRateFechas[[#This Row],[Cant_Resultante]]/Tabla__192.168.1.8_POSEIDONSQL_APPFVT_01_tblFillRateFechas[[#This Row],[cant_order]])*100</f>
        <v>100</v>
      </c>
      <c r="Q6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1" s="1">
        <f>+IF(Tabla__192.168.1.8_POSEIDONSQL_APPFVT_01_tblFillRateFechas[[#This Row],[cant_order]]&gt;0,1,0)</f>
        <v>1</v>
      </c>
      <c r="V651" s="1">
        <f>+IF(Tabla__192.168.1.8_POSEIDONSQL_APPFVT_01_tblFillRateFechas[[#This Row],[Resultado]]=1,1,0)</f>
        <v>1</v>
      </c>
      <c r="W651" s="1" t="str">
        <f>+Tabla__192.168.1.8_POSEIDONSQL_APPFVT_01_tblFillRateFechas[[#This Row],[con_ocnumero]]&amp;Tabla__192.168.1.8_POSEIDONSQL_APPFVT_01_tblFillRateFechas[[#This Row],[con_codigounico]]</f>
        <v>954630-</v>
      </c>
      <c r="X6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2" spans="1:24" x14ac:dyDescent="0.25">
      <c r="A652">
        <v>6</v>
      </c>
      <c r="B652" t="s">
        <v>53</v>
      </c>
      <c r="C652">
        <v>955136</v>
      </c>
      <c r="D652" t="s">
        <v>162</v>
      </c>
      <c r="E652" t="s">
        <v>429</v>
      </c>
      <c r="F652" t="s">
        <v>160</v>
      </c>
      <c r="G652">
        <v>1</v>
      </c>
      <c r="H652">
        <v>1</v>
      </c>
      <c r="I652" t="s">
        <v>429</v>
      </c>
      <c r="J652">
        <v>0</v>
      </c>
      <c r="K652" t="s">
        <v>49</v>
      </c>
      <c r="L652" s="1">
        <f>+Tabla__192.168.1.8_POSEIDONSQL_APPFVT_01_tblFillRateFechas[[#This Row],[emb_cantidad]]-Tabla__192.168.1.8_POSEIDONSQL_APPFVT_01_tblFillRateFechas[[#This Row],[dev_cantidad]]</f>
        <v>1</v>
      </c>
      <c r="M652" s="1">
        <f>+IF(Tabla__192.168.1.8_POSEIDONSQL_APPFVT_01_tblFillRateFechas[[#This Row],[Cant_Resultante]]=Tabla__192.168.1.8_POSEIDONSQL_APPFVT_01_tblFillRateFechas[[#This Row],[cant_order]],1,0)</f>
        <v>1</v>
      </c>
      <c r="N6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2" s="1">
        <f>+IF(AND(Tabla__192.168.1.8_POSEIDONSQL_APPFVT_01_tblFillRateFechas[[#This Row],[Valida Cant]]=1,Tabla__192.168.1.8_POSEIDONSQL_APPFVT_01_tblFillRateFechas[[#This Row],[Valida Fec]]=1),1,0)</f>
        <v>1</v>
      </c>
      <c r="P652" s="1">
        <f>+(Tabla__192.168.1.8_POSEIDONSQL_APPFVT_01_tblFillRateFechas[[#This Row],[Cant_Resultante]]/Tabla__192.168.1.8_POSEIDONSQL_APPFVT_01_tblFillRateFechas[[#This Row],[cant_order]])*100</f>
        <v>100</v>
      </c>
      <c r="Q6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2" s="1">
        <f>+IF(Tabla__192.168.1.8_POSEIDONSQL_APPFVT_01_tblFillRateFechas[[#This Row],[cant_order]]&gt;0,1,0)</f>
        <v>1</v>
      </c>
      <c r="V652" s="1">
        <f>+IF(Tabla__192.168.1.8_POSEIDONSQL_APPFVT_01_tblFillRateFechas[[#This Row],[Resultado]]=1,1,0)</f>
        <v>1</v>
      </c>
      <c r="W652" s="1" t="str">
        <f>+Tabla__192.168.1.8_POSEIDONSQL_APPFVT_01_tblFillRateFechas[[#This Row],[con_ocnumero]]&amp;Tabla__192.168.1.8_POSEIDONSQL_APPFVT_01_tblFillRateFechas[[#This Row],[con_codigounico]]</f>
        <v>955136-</v>
      </c>
      <c r="X6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3" spans="1:24" x14ac:dyDescent="0.25">
      <c r="A653">
        <v>6</v>
      </c>
      <c r="B653" t="s">
        <v>53</v>
      </c>
      <c r="C653">
        <v>955843</v>
      </c>
      <c r="D653" t="s">
        <v>160</v>
      </c>
      <c r="E653" t="s">
        <v>427</v>
      </c>
      <c r="F653" t="s">
        <v>161</v>
      </c>
      <c r="G653">
        <v>1</v>
      </c>
      <c r="H653">
        <v>1</v>
      </c>
      <c r="I653" t="s">
        <v>429</v>
      </c>
      <c r="J653">
        <v>0</v>
      </c>
      <c r="K653" t="s">
        <v>49</v>
      </c>
      <c r="L653" s="1">
        <f>+Tabla__192.168.1.8_POSEIDONSQL_APPFVT_01_tblFillRateFechas[[#This Row],[emb_cantidad]]-Tabla__192.168.1.8_POSEIDONSQL_APPFVT_01_tblFillRateFechas[[#This Row],[dev_cantidad]]</f>
        <v>1</v>
      </c>
      <c r="M653" s="1">
        <f>+IF(Tabla__192.168.1.8_POSEIDONSQL_APPFVT_01_tblFillRateFechas[[#This Row],[Cant_Resultante]]=Tabla__192.168.1.8_POSEIDONSQL_APPFVT_01_tblFillRateFechas[[#This Row],[cant_order]],1,0)</f>
        <v>1</v>
      </c>
      <c r="N6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3" s="1">
        <f>+IF(AND(Tabla__192.168.1.8_POSEIDONSQL_APPFVT_01_tblFillRateFechas[[#This Row],[Valida Cant]]=1,Tabla__192.168.1.8_POSEIDONSQL_APPFVT_01_tblFillRateFechas[[#This Row],[Valida Fec]]=1),1,0)</f>
        <v>1</v>
      </c>
      <c r="P653" s="1">
        <f>+(Tabla__192.168.1.8_POSEIDONSQL_APPFVT_01_tblFillRateFechas[[#This Row],[Cant_Resultante]]/Tabla__192.168.1.8_POSEIDONSQL_APPFVT_01_tblFillRateFechas[[#This Row],[cant_order]])*100</f>
        <v>100</v>
      </c>
      <c r="Q6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3" s="1">
        <f>+IF(Tabla__192.168.1.8_POSEIDONSQL_APPFVT_01_tblFillRateFechas[[#This Row],[cant_order]]&gt;0,1,0)</f>
        <v>1</v>
      </c>
      <c r="V653" s="1">
        <f>+IF(Tabla__192.168.1.8_POSEIDONSQL_APPFVT_01_tblFillRateFechas[[#This Row],[Resultado]]=1,1,0)</f>
        <v>1</v>
      </c>
      <c r="W653" s="1" t="str">
        <f>+Tabla__192.168.1.8_POSEIDONSQL_APPFVT_01_tblFillRateFechas[[#This Row],[con_ocnumero]]&amp;Tabla__192.168.1.8_POSEIDONSQL_APPFVT_01_tblFillRateFechas[[#This Row],[con_codigounico]]</f>
        <v>955843-</v>
      </c>
      <c r="X6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4" spans="1:24" x14ac:dyDescent="0.25">
      <c r="A654">
        <v>6</v>
      </c>
      <c r="B654" t="s">
        <v>53</v>
      </c>
      <c r="C654">
        <v>955941</v>
      </c>
      <c r="D654" t="s">
        <v>160</v>
      </c>
      <c r="E654" t="s">
        <v>427</v>
      </c>
      <c r="F654" t="s">
        <v>161</v>
      </c>
      <c r="G654">
        <v>1</v>
      </c>
      <c r="H654">
        <v>1</v>
      </c>
      <c r="I654" t="s">
        <v>429</v>
      </c>
      <c r="J654">
        <v>0</v>
      </c>
      <c r="K654" t="s">
        <v>49</v>
      </c>
      <c r="L654" s="1">
        <f>+Tabla__192.168.1.8_POSEIDONSQL_APPFVT_01_tblFillRateFechas[[#This Row],[emb_cantidad]]-Tabla__192.168.1.8_POSEIDONSQL_APPFVT_01_tblFillRateFechas[[#This Row],[dev_cantidad]]</f>
        <v>1</v>
      </c>
      <c r="M654" s="1">
        <f>+IF(Tabla__192.168.1.8_POSEIDONSQL_APPFVT_01_tblFillRateFechas[[#This Row],[Cant_Resultante]]=Tabla__192.168.1.8_POSEIDONSQL_APPFVT_01_tblFillRateFechas[[#This Row],[cant_order]],1,0)</f>
        <v>1</v>
      </c>
      <c r="N6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4" s="1">
        <f>+IF(AND(Tabla__192.168.1.8_POSEIDONSQL_APPFVT_01_tblFillRateFechas[[#This Row],[Valida Cant]]=1,Tabla__192.168.1.8_POSEIDONSQL_APPFVT_01_tblFillRateFechas[[#This Row],[Valida Fec]]=1),1,0)</f>
        <v>1</v>
      </c>
      <c r="P654" s="1">
        <f>+(Tabla__192.168.1.8_POSEIDONSQL_APPFVT_01_tblFillRateFechas[[#This Row],[Cant_Resultante]]/Tabla__192.168.1.8_POSEIDONSQL_APPFVT_01_tblFillRateFechas[[#This Row],[cant_order]])*100</f>
        <v>100</v>
      </c>
      <c r="Q6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4" s="1">
        <f>+IF(Tabla__192.168.1.8_POSEIDONSQL_APPFVT_01_tblFillRateFechas[[#This Row],[cant_order]]&gt;0,1,0)</f>
        <v>1</v>
      </c>
      <c r="V654" s="1">
        <f>+IF(Tabla__192.168.1.8_POSEIDONSQL_APPFVT_01_tblFillRateFechas[[#This Row],[Resultado]]=1,1,0)</f>
        <v>1</v>
      </c>
      <c r="W654" s="1" t="str">
        <f>+Tabla__192.168.1.8_POSEIDONSQL_APPFVT_01_tblFillRateFechas[[#This Row],[con_ocnumero]]&amp;Tabla__192.168.1.8_POSEIDONSQL_APPFVT_01_tblFillRateFechas[[#This Row],[con_codigounico]]</f>
        <v>955941-</v>
      </c>
      <c r="X6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5" spans="1:24" x14ac:dyDescent="0.25">
      <c r="A655">
        <v>6</v>
      </c>
      <c r="B655" t="s">
        <v>53</v>
      </c>
      <c r="C655">
        <v>956197</v>
      </c>
      <c r="D655" t="s">
        <v>160</v>
      </c>
      <c r="E655" t="s">
        <v>426</v>
      </c>
      <c r="F655" t="s">
        <v>161</v>
      </c>
      <c r="G655">
        <v>1</v>
      </c>
      <c r="H655">
        <v>1</v>
      </c>
      <c r="I655" t="s">
        <v>425</v>
      </c>
      <c r="J655">
        <v>0</v>
      </c>
      <c r="K655" t="s">
        <v>49</v>
      </c>
      <c r="L655" s="1">
        <f>+Tabla__192.168.1.8_POSEIDONSQL_APPFVT_01_tblFillRateFechas[[#This Row],[emb_cantidad]]-Tabla__192.168.1.8_POSEIDONSQL_APPFVT_01_tblFillRateFechas[[#This Row],[dev_cantidad]]</f>
        <v>1</v>
      </c>
      <c r="M655" s="1">
        <f>+IF(Tabla__192.168.1.8_POSEIDONSQL_APPFVT_01_tblFillRateFechas[[#This Row],[Cant_Resultante]]=Tabla__192.168.1.8_POSEIDONSQL_APPFVT_01_tblFillRateFechas[[#This Row],[cant_order]],1,0)</f>
        <v>1</v>
      </c>
      <c r="N6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5" s="1">
        <f>+IF(AND(Tabla__192.168.1.8_POSEIDONSQL_APPFVT_01_tblFillRateFechas[[#This Row],[Valida Cant]]=1,Tabla__192.168.1.8_POSEIDONSQL_APPFVT_01_tblFillRateFechas[[#This Row],[Valida Fec]]=1),1,0)</f>
        <v>1</v>
      </c>
      <c r="P655" s="1">
        <f>+(Tabla__192.168.1.8_POSEIDONSQL_APPFVT_01_tblFillRateFechas[[#This Row],[Cant_Resultante]]/Tabla__192.168.1.8_POSEIDONSQL_APPFVT_01_tblFillRateFechas[[#This Row],[cant_order]])*100</f>
        <v>100</v>
      </c>
      <c r="Q6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5" s="1">
        <f>+IF(Tabla__192.168.1.8_POSEIDONSQL_APPFVT_01_tblFillRateFechas[[#This Row],[cant_order]]&gt;0,1,0)</f>
        <v>1</v>
      </c>
      <c r="V655" s="1">
        <f>+IF(Tabla__192.168.1.8_POSEIDONSQL_APPFVT_01_tblFillRateFechas[[#This Row],[Resultado]]=1,1,0)</f>
        <v>1</v>
      </c>
      <c r="W655" s="1" t="str">
        <f>+Tabla__192.168.1.8_POSEIDONSQL_APPFVT_01_tblFillRateFechas[[#This Row],[con_ocnumero]]&amp;Tabla__192.168.1.8_POSEIDONSQL_APPFVT_01_tblFillRateFechas[[#This Row],[con_codigounico]]</f>
        <v>956197-</v>
      </c>
      <c r="X6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6" spans="1:24" x14ac:dyDescent="0.25">
      <c r="A656">
        <v>6</v>
      </c>
      <c r="B656" t="s">
        <v>53</v>
      </c>
      <c r="C656">
        <v>956259</v>
      </c>
      <c r="D656" t="s">
        <v>160</v>
      </c>
      <c r="E656" t="s">
        <v>427</v>
      </c>
      <c r="F656" t="s">
        <v>161</v>
      </c>
      <c r="G656">
        <v>1</v>
      </c>
      <c r="H656">
        <v>1</v>
      </c>
      <c r="I656" t="s">
        <v>429</v>
      </c>
      <c r="J656">
        <v>0</v>
      </c>
      <c r="K656" t="s">
        <v>49</v>
      </c>
      <c r="L656" s="1">
        <f>+Tabla__192.168.1.8_POSEIDONSQL_APPFVT_01_tblFillRateFechas[[#This Row],[emb_cantidad]]-Tabla__192.168.1.8_POSEIDONSQL_APPFVT_01_tblFillRateFechas[[#This Row],[dev_cantidad]]</f>
        <v>1</v>
      </c>
      <c r="M656" s="1">
        <f>+IF(Tabla__192.168.1.8_POSEIDONSQL_APPFVT_01_tblFillRateFechas[[#This Row],[Cant_Resultante]]=Tabla__192.168.1.8_POSEIDONSQL_APPFVT_01_tblFillRateFechas[[#This Row],[cant_order]],1,0)</f>
        <v>1</v>
      </c>
      <c r="N6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6" s="1">
        <f>+IF(AND(Tabla__192.168.1.8_POSEIDONSQL_APPFVT_01_tblFillRateFechas[[#This Row],[Valida Cant]]=1,Tabla__192.168.1.8_POSEIDONSQL_APPFVT_01_tblFillRateFechas[[#This Row],[Valida Fec]]=1),1,0)</f>
        <v>1</v>
      </c>
      <c r="P656" s="1">
        <f>+(Tabla__192.168.1.8_POSEIDONSQL_APPFVT_01_tblFillRateFechas[[#This Row],[Cant_Resultante]]/Tabla__192.168.1.8_POSEIDONSQL_APPFVT_01_tblFillRateFechas[[#This Row],[cant_order]])*100</f>
        <v>100</v>
      </c>
      <c r="Q6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6" s="1">
        <f>+IF(Tabla__192.168.1.8_POSEIDONSQL_APPFVT_01_tblFillRateFechas[[#This Row],[cant_order]]&gt;0,1,0)</f>
        <v>1</v>
      </c>
      <c r="V656" s="1">
        <f>+IF(Tabla__192.168.1.8_POSEIDONSQL_APPFVT_01_tblFillRateFechas[[#This Row],[Resultado]]=1,1,0)</f>
        <v>1</v>
      </c>
      <c r="W656" s="1" t="str">
        <f>+Tabla__192.168.1.8_POSEIDONSQL_APPFVT_01_tblFillRateFechas[[#This Row],[con_ocnumero]]&amp;Tabla__192.168.1.8_POSEIDONSQL_APPFVT_01_tblFillRateFechas[[#This Row],[con_codigounico]]</f>
        <v>956259-</v>
      </c>
      <c r="X6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7" spans="1:24" x14ac:dyDescent="0.25">
      <c r="A657">
        <v>6</v>
      </c>
      <c r="B657" t="s">
        <v>53</v>
      </c>
      <c r="C657">
        <v>957132</v>
      </c>
      <c r="D657" t="s">
        <v>161</v>
      </c>
      <c r="E657" t="s">
        <v>425</v>
      </c>
      <c r="F657" t="s">
        <v>1969</v>
      </c>
      <c r="G657">
        <v>1</v>
      </c>
      <c r="H657">
        <v>1</v>
      </c>
      <c r="I657" t="s">
        <v>425</v>
      </c>
      <c r="J657">
        <v>0</v>
      </c>
      <c r="K657" t="s">
        <v>49</v>
      </c>
      <c r="L657" s="1">
        <f>+Tabla__192.168.1.8_POSEIDONSQL_APPFVT_01_tblFillRateFechas[[#This Row],[emb_cantidad]]-Tabla__192.168.1.8_POSEIDONSQL_APPFVT_01_tblFillRateFechas[[#This Row],[dev_cantidad]]</f>
        <v>1</v>
      </c>
      <c r="M657" s="1">
        <f>+IF(Tabla__192.168.1.8_POSEIDONSQL_APPFVT_01_tblFillRateFechas[[#This Row],[Cant_Resultante]]=Tabla__192.168.1.8_POSEIDONSQL_APPFVT_01_tblFillRateFechas[[#This Row],[cant_order]],1,0)</f>
        <v>1</v>
      </c>
      <c r="N6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7" s="1">
        <f>+IF(AND(Tabla__192.168.1.8_POSEIDONSQL_APPFVT_01_tblFillRateFechas[[#This Row],[Valida Cant]]=1,Tabla__192.168.1.8_POSEIDONSQL_APPFVT_01_tblFillRateFechas[[#This Row],[Valida Fec]]=1),1,0)</f>
        <v>1</v>
      </c>
      <c r="P657" s="1">
        <f>+(Tabla__192.168.1.8_POSEIDONSQL_APPFVT_01_tblFillRateFechas[[#This Row],[Cant_Resultante]]/Tabla__192.168.1.8_POSEIDONSQL_APPFVT_01_tblFillRateFechas[[#This Row],[cant_order]])*100</f>
        <v>100</v>
      </c>
      <c r="Q6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7" s="1">
        <f>+IF(Tabla__192.168.1.8_POSEIDONSQL_APPFVT_01_tblFillRateFechas[[#This Row],[cant_order]]&gt;0,1,0)</f>
        <v>1</v>
      </c>
      <c r="V657" s="1">
        <f>+IF(Tabla__192.168.1.8_POSEIDONSQL_APPFVT_01_tblFillRateFechas[[#This Row],[Resultado]]=1,1,0)</f>
        <v>1</v>
      </c>
      <c r="W657" s="1" t="str">
        <f>+Tabla__192.168.1.8_POSEIDONSQL_APPFVT_01_tblFillRateFechas[[#This Row],[con_ocnumero]]&amp;Tabla__192.168.1.8_POSEIDONSQL_APPFVT_01_tblFillRateFechas[[#This Row],[con_codigounico]]</f>
        <v>957132-</v>
      </c>
      <c r="X6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8" spans="1:24" x14ac:dyDescent="0.25">
      <c r="A658">
        <v>6</v>
      </c>
      <c r="B658" t="s">
        <v>53</v>
      </c>
      <c r="C658">
        <v>957134</v>
      </c>
      <c r="D658" t="s">
        <v>161</v>
      </c>
      <c r="E658" t="s">
        <v>429</v>
      </c>
      <c r="F658" t="s">
        <v>1969</v>
      </c>
      <c r="G658">
        <v>1</v>
      </c>
      <c r="H658">
        <v>1</v>
      </c>
      <c r="I658" t="s">
        <v>429</v>
      </c>
      <c r="J658">
        <v>0</v>
      </c>
      <c r="K658" t="s">
        <v>49</v>
      </c>
      <c r="L658" s="1">
        <f>+Tabla__192.168.1.8_POSEIDONSQL_APPFVT_01_tblFillRateFechas[[#This Row],[emb_cantidad]]-Tabla__192.168.1.8_POSEIDONSQL_APPFVT_01_tblFillRateFechas[[#This Row],[dev_cantidad]]</f>
        <v>1</v>
      </c>
      <c r="M658" s="1">
        <f>+IF(Tabla__192.168.1.8_POSEIDONSQL_APPFVT_01_tblFillRateFechas[[#This Row],[Cant_Resultante]]=Tabla__192.168.1.8_POSEIDONSQL_APPFVT_01_tblFillRateFechas[[#This Row],[cant_order]],1,0)</f>
        <v>1</v>
      </c>
      <c r="N6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8" s="1">
        <f>+IF(AND(Tabla__192.168.1.8_POSEIDONSQL_APPFVT_01_tblFillRateFechas[[#This Row],[Valida Cant]]=1,Tabla__192.168.1.8_POSEIDONSQL_APPFVT_01_tblFillRateFechas[[#This Row],[Valida Fec]]=1),1,0)</f>
        <v>1</v>
      </c>
      <c r="P658" s="1">
        <f>+(Tabla__192.168.1.8_POSEIDONSQL_APPFVT_01_tblFillRateFechas[[#This Row],[Cant_Resultante]]/Tabla__192.168.1.8_POSEIDONSQL_APPFVT_01_tblFillRateFechas[[#This Row],[cant_order]])*100</f>
        <v>100</v>
      </c>
      <c r="Q6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8" s="1">
        <f>+IF(Tabla__192.168.1.8_POSEIDONSQL_APPFVT_01_tblFillRateFechas[[#This Row],[cant_order]]&gt;0,1,0)</f>
        <v>1</v>
      </c>
      <c r="V658" s="1">
        <f>+IF(Tabla__192.168.1.8_POSEIDONSQL_APPFVT_01_tblFillRateFechas[[#This Row],[Resultado]]=1,1,0)</f>
        <v>1</v>
      </c>
      <c r="W658" s="1" t="str">
        <f>+Tabla__192.168.1.8_POSEIDONSQL_APPFVT_01_tblFillRateFechas[[#This Row],[con_ocnumero]]&amp;Tabla__192.168.1.8_POSEIDONSQL_APPFVT_01_tblFillRateFechas[[#This Row],[con_codigounico]]</f>
        <v>957134-</v>
      </c>
      <c r="X6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59" spans="1:24" x14ac:dyDescent="0.25">
      <c r="A659">
        <v>6</v>
      </c>
      <c r="B659" t="s">
        <v>53</v>
      </c>
      <c r="C659">
        <v>957386</v>
      </c>
      <c r="D659" t="s">
        <v>161</v>
      </c>
      <c r="E659" t="s">
        <v>426</v>
      </c>
      <c r="F659" t="s">
        <v>1969</v>
      </c>
      <c r="G659">
        <v>1</v>
      </c>
      <c r="H659">
        <v>1</v>
      </c>
      <c r="I659" t="s">
        <v>425</v>
      </c>
      <c r="J659">
        <v>0</v>
      </c>
      <c r="K659" t="s">
        <v>49</v>
      </c>
      <c r="L659" s="1">
        <f>+Tabla__192.168.1.8_POSEIDONSQL_APPFVT_01_tblFillRateFechas[[#This Row],[emb_cantidad]]-Tabla__192.168.1.8_POSEIDONSQL_APPFVT_01_tblFillRateFechas[[#This Row],[dev_cantidad]]</f>
        <v>1</v>
      </c>
      <c r="M659" s="1">
        <f>+IF(Tabla__192.168.1.8_POSEIDONSQL_APPFVT_01_tblFillRateFechas[[#This Row],[Cant_Resultante]]=Tabla__192.168.1.8_POSEIDONSQL_APPFVT_01_tblFillRateFechas[[#This Row],[cant_order]],1,0)</f>
        <v>1</v>
      </c>
      <c r="N6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59" s="1">
        <f>+IF(AND(Tabla__192.168.1.8_POSEIDONSQL_APPFVT_01_tblFillRateFechas[[#This Row],[Valida Cant]]=1,Tabla__192.168.1.8_POSEIDONSQL_APPFVT_01_tblFillRateFechas[[#This Row],[Valida Fec]]=1),1,0)</f>
        <v>1</v>
      </c>
      <c r="P659" s="1">
        <f>+(Tabla__192.168.1.8_POSEIDONSQL_APPFVT_01_tblFillRateFechas[[#This Row],[Cant_Resultante]]/Tabla__192.168.1.8_POSEIDONSQL_APPFVT_01_tblFillRateFechas[[#This Row],[cant_order]])*100</f>
        <v>100</v>
      </c>
      <c r="Q6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59" s="1">
        <f>+IF(Tabla__192.168.1.8_POSEIDONSQL_APPFVT_01_tblFillRateFechas[[#This Row],[cant_order]]&gt;0,1,0)</f>
        <v>1</v>
      </c>
      <c r="V659" s="1">
        <f>+IF(Tabla__192.168.1.8_POSEIDONSQL_APPFVT_01_tblFillRateFechas[[#This Row],[Resultado]]=1,1,0)</f>
        <v>1</v>
      </c>
      <c r="W659" s="1" t="str">
        <f>+Tabla__192.168.1.8_POSEIDONSQL_APPFVT_01_tblFillRateFechas[[#This Row],[con_ocnumero]]&amp;Tabla__192.168.1.8_POSEIDONSQL_APPFVT_01_tblFillRateFechas[[#This Row],[con_codigounico]]</f>
        <v>957386-</v>
      </c>
      <c r="X6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0" spans="1:24" x14ac:dyDescent="0.25">
      <c r="A660">
        <v>6</v>
      </c>
      <c r="B660" t="s">
        <v>53</v>
      </c>
      <c r="C660">
        <v>957807</v>
      </c>
      <c r="D660" t="s">
        <v>161</v>
      </c>
      <c r="E660" t="s">
        <v>427</v>
      </c>
      <c r="F660" t="s">
        <v>1969</v>
      </c>
      <c r="G660">
        <v>1</v>
      </c>
      <c r="H660">
        <v>1</v>
      </c>
      <c r="I660" t="s">
        <v>429</v>
      </c>
      <c r="J660">
        <v>0</v>
      </c>
      <c r="K660" t="s">
        <v>49</v>
      </c>
      <c r="L660" s="1">
        <f>+Tabla__192.168.1.8_POSEIDONSQL_APPFVT_01_tblFillRateFechas[[#This Row],[emb_cantidad]]-Tabla__192.168.1.8_POSEIDONSQL_APPFVT_01_tblFillRateFechas[[#This Row],[dev_cantidad]]</f>
        <v>1</v>
      </c>
      <c r="M660" s="1">
        <f>+IF(Tabla__192.168.1.8_POSEIDONSQL_APPFVT_01_tblFillRateFechas[[#This Row],[Cant_Resultante]]=Tabla__192.168.1.8_POSEIDONSQL_APPFVT_01_tblFillRateFechas[[#This Row],[cant_order]],1,0)</f>
        <v>1</v>
      </c>
      <c r="N6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0" s="1">
        <f>+IF(AND(Tabla__192.168.1.8_POSEIDONSQL_APPFVT_01_tblFillRateFechas[[#This Row],[Valida Cant]]=1,Tabla__192.168.1.8_POSEIDONSQL_APPFVT_01_tblFillRateFechas[[#This Row],[Valida Fec]]=1),1,0)</f>
        <v>1</v>
      </c>
      <c r="P660" s="1">
        <f>+(Tabla__192.168.1.8_POSEIDONSQL_APPFVT_01_tblFillRateFechas[[#This Row],[Cant_Resultante]]/Tabla__192.168.1.8_POSEIDONSQL_APPFVT_01_tblFillRateFechas[[#This Row],[cant_order]])*100</f>
        <v>100</v>
      </c>
      <c r="Q6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0" s="1">
        <f>+IF(Tabla__192.168.1.8_POSEIDONSQL_APPFVT_01_tblFillRateFechas[[#This Row],[cant_order]]&gt;0,1,0)</f>
        <v>1</v>
      </c>
      <c r="V660" s="1">
        <f>+IF(Tabla__192.168.1.8_POSEIDONSQL_APPFVT_01_tblFillRateFechas[[#This Row],[Resultado]]=1,1,0)</f>
        <v>1</v>
      </c>
      <c r="W660" s="1" t="str">
        <f>+Tabla__192.168.1.8_POSEIDONSQL_APPFVT_01_tblFillRateFechas[[#This Row],[con_ocnumero]]&amp;Tabla__192.168.1.8_POSEIDONSQL_APPFVT_01_tblFillRateFechas[[#This Row],[con_codigounico]]</f>
        <v>957807-</v>
      </c>
      <c r="X6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1" spans="1:24" x14ac:dyDescent="0.25">
      <c r="A661">
        <v>6</v>
      </c>
      <c r="B661" t="s">
        <v>53</v>
      </c>
      <c r="C661">
        <v>957894</v>
      </c>
      <c r="D661" t="s">
        <v>161</v>
      </c>
      <c r="E661" t="s">
        <v>427</v>
      </c>
      <c r="F661" t="s">
        <v>1969</v>
      </c>
      <c r="G661">
        <v>1</v>
      </c>
      <c r="H661">
        <v>1</v>
      </c>
      <c r="I661" t="s">
        <v>429</v>
      </c>
      <c r="J661">
        <v>0</v>
      </c>
      <c r="K661" t="s">
        <v>49</v>
      </c>
      <c r="L661" s="1">
        <f>+Tabla__192.168.1.8_POSEIDONSQL_APPFVT_01_tblFillRateFechas[[#This Row],[emb_cantidad]]-Tabla__192.168.1.8_POSEIDONSQL_APPFVT_01_tblFillRateFechas[[#This Row],[dev_cantidad]]</f>
        <v>1</v>
      </c>
      <c r="M661" s="1">
        <f>+IF(Tabla__192.168.1.8_POSEIDONSQL_APPFVT_01_tblFillRateFechas[[#This Row],[Cant_Resultante]]=Tabla__192.168.1.8_POSEIDONSQL_APPFVT_01_tblFillRateFechas[[#This Row],[cant_order]],1,0)</f>
        <v>1</v>
      </c>
      <c r="N6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1" s="1">
        <f>+IF(AND(Tabla__192.168.1.8_POSEIDONSQL_APPFVT_01_tblFillRateFechas[[#This Row],[Valida Cant]]=1,Tabla__192.168.1.8_POSEIDONSQL_APPFVT_01_tblFillRateFechas[[#This Row],[Valida Fec]]=1),1,0)</f>
        <v>1</v>
      </c>
      <c r="P661" s="1">
        <f>+(Tabla__192.168.1.8_POSEIDONSQL_APPFVT_01_tblFillRateFechas[[#This Row],[Cant_Resultante]]/Tabla__192.168.1.8_POSEIDONSQL_APPFVT_01_tblFillRateFechas[[#This Row],[cant_order]])*100</f>
        <v>100</v>
      </c>
      <c r="Q6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1" s="1">
        <f>+IF(Tabla__192.168.1.8_POSEIDONSQL_APPFVT_01_tblFillRateFechas[[#This Row],[cant_order]]&gt;0,1,0)</f>
        <v>1</v>
      </c>
      <c r="V661" s="1">
        <f>+IF(Tabla__192.168.1.8_POSEIDONSQL_APPFVT_01_tblFillRateFechas[[#This Row],[Resultado]]=1,1,0)</f>
        <v>1</v>
      </c>
      <c r="W661" s="1" t="str">
        <f>+Tabla__192.168.1.8_POSEIDONSQL_APPFVT_01_tblFillRateFechas[[#This Row],[con_ocnumero]]&amp;Tabla__192.168.1.8_POSEIDONSQL_APPFVT_01_tblFillRateFechas[[#This Row],[con_codigounico]]</f>
        <v>957894-</v>
      </c>
      <c r="X6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2" spans="1:24" x14ac:dyDescent="0.25">
      <c r="A662">
        <v>6</v>
      </c>
      <c r="B662" t="s">
        <v>53</v>
      </c>
      <c r="C662">
        <v>957912</v>
      </c>
      <c r="D662" t="s">
        <v>1969</v>
      </c>
      <c r="E662" t="s">
        <v>426</v>
      </c>
      <c r="F662" t="s">
        <v>1969</v>
      </c>
      <c r="G662">
        <v>1</v>
      </c>
      <c r="H662">
        <v>1</v>
      </c>
      <c r="I662" t="s">
        <v>425</v>
      </c>
      <c r="J662">
        <v>0</v>
      </c>
      <c r="K662" t="s">
        <v>49</v>
      </c>
      <c r="L662" s="1">
        <f>+Tabla__192.168.1.8_POSEIDONSQL_APPFVT_01_tblFillRateFechas[[#This Row],[emb_cantidad]]-Tabla__192.168.1.8_POSEIDONSQL_APPFVT_01_tblFillRateFechas[[#This Row],[dev_cantidad]]</f>
        <v>1</v>
      </c>
      <c r="M662" s="1">
        <f>+IF(Tabla__192.168.1.8_POSEIDONSQL_APPFVT_01_tblFillRateFechas[[#This Row],[Cant_Resultante]]=Tabla__192.168.1.8_POSEIDONSQL_APPFVT_01_tblFillRateFechas[[#This Row],[cant_order]],1,0)</f>
        <v>1</v>
      </c>
      <c r="N6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2" s="1">
        <f>+IF(AND(Tabla__192.168.1.8_POSEIDONSQL_APPFVT_01_tblFillRateFechas[[#This Row],[Valida Cant]]=1,Tabla__192.168.1.8_POSEIDONSQL_APPFVT_01_tblFillRateFechas[[#This Row],[Valida Fec]]=1),1,0)</f>
        <v>1</v>
      </c>
      <c r="P662" s="1">
        <f>+(Tabla__192.168.1.8_POSEIDONSQL_APPFVT_01_tblFillRateFechas[[#This Row],[Cant_Resultante]]/Tabla__192.168.1.8_POSEIDONSQL_APPFVT_01_tblFillRateFechas[[#This Row],[cant_order]])*100</f>
        <v>100</v>
      </c>
      <c r="Q6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2" s="1">
        <f>+IF(Tabla__192.168.1.8_POSEIDONSQL_APPFVT_01_tblFillRateFechas[[#This Row],[cant_order]]&gt;0,1,0)</f>
        <v>1</v>
      </c>
      <c r="V662" s="1">
        <f>+IF(Tabla__192.168.1.8_POSEIDONSQL_APPFVT_01_tblFillRateFechas[[#This Row],[Resultado]]=1,1,0)</f>
        <v>1</v>
      </c>
      <c r="W662" s="1" t="str">
        <f>+Tabla__192.168.1.8_POSEIDONSQL_APPFVT_01_tblFillRateFechas[[#This Row],[con_ocnumero]]&amp;Tabla__192.168.1.8_POSEIDONSQL_APPFVT_01_tblFillRateFechas[[#This Row],[con_codigounico]]</f>
        <v>957912-</v>
      </c>
      <c r="X6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3" spans="1:24" x14ac:dyDescent="0.25">
      <c r="A663">
        <v>6</v>
      </c>
      <c r="B663" t="s">
        <v>53</v>
      </c>
      <c r="C663">
        <v>958100</v>
      </c>
      <c r="D663" t="s">
        <v>1969</v>
      </c>
      <c r="E663" t="s">
        <v>425</v>
      </c>
      <c r="F663" t="s">
        <v>429</v>
      </c>
      <c r="G663">
        <v>1</v>
      </c>
      <c r="H663">
        <v>1</v>
      </c>
      <c r="I663" t="s">
        <v>425</v>
      </c>
      <c r="J663">
        <v>0</v>
      </c>
      <c r="K663" t="s">
        <v>49</v>
      </c>
      <c r="L663" s="1">
        <f>+Tabla__192.168.1.8_POSEIDONSQL_APPFVT_01_tblFillRateFechas[[#This Row],[emb_cantidad]]-Tabla__192.168.1.8_POSEIDONSQL_APPFVT_01_tblFillRateFechas[[#This Row],[dev_cantidad]]</f>
        <v>1</v>
      </c>
      <c r="M663" s="1">
        <f>+IF(Tabla__192.168.1.8_POSEIDONSQL_APPFVT_01_tblFillRateFechas[[#This Row],[Cant_Resultante]]=Tabla__192.168.1.8_POSEIDONSQL_APPFVT_01_tblFillRateFechas[[#This Row],[cant_order]],1,0)</f>
        <v>1</v>
      </c>
      <c r="N6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3" s="1">
        <f>+IF(AND(Tabla__192.168.1.8_POSEIDONSQL_APPFVT_01_tblFillRateFechas[[#This Row],[Valida Cant]]=1,Tabla__192.168.1.8_POSEIDONSQL_APPFVT_01_tblFillRateFechas[[#This Row],[Valida Fec]]=1),1,0)</f>
        <v>1</v>
      </c>
      <c r="P663" s="1">
        <f>+(Tabla__192.168.1.8_POSEIDONSQL_APPFVT_01_tblFillRateFechas[[#This Row],[Cant_Resultante]]/Tabla__192.168.1.8_POSEIDONSQL_APPFVT_01_tblFillRateFechas[[#This Row],[cant_order]])*100</f>
        <v>100</v>
      </c>
      <c r="Q6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3" s="1">
        <f>+IF(Tabla__192.168.1.8_POSEIDONSQL_APPFVT_01_tblFillRateFechas[[#This Row],[cant_order]]&gt;0,1,0)</f>
        <v>1</v>
      </c>
      <c r="V663" s="1">
        <f>+IF(Tabla__192.168.1.8_POSEIDONSQL_APPFVT_01_tblFillRateFechas[[#This Row],[Resultado]]=1,1,0)</f>
        <v>1</v>
      </c>
      <c r="W663" s="1" t="str">
        <f>+Tabla__192.168.1.8_POSEIDONSQL_APPFVT_01_tblFillRateFechas[[#This Row],[con_ocnumero]]&amp;Tabla__192.168.1.8_POSEIDONSQL_APPFVT_01_tblFillRateFechas[[#This Row],[con_codigounico]]</f>
        <v>958100-</v>
      </c>
      <c r="X6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4" spans="1:24" x14ac:dyDescent="0.25">
      <c r="A664">
        <v>6</v>
      </c>
      <c r="B664" t="s">
        <v>53</v>
      </c>
      <c r="C664">
        <v>958102</v>
      </c>
      <c r="D664" t="s">
        <v>1969</v>
      </c>
      <c r="E664" t="s">
        <v>426</v>
      </c>
      <c r="F664" t="s">
        <v>429</v>
      </c>
      <c r="G664">
        <v>1</v>
      </c>
      <c r="H664">
        <v>1</v>
      </c>
      <c r="I664" t="s">
        <v>425</v>
      </c>
      <c r="J664">
        <v>0</v>
      </c>
      <c r="K664" t="s">
        <v>49</v>
      </c>
      <c r="L664" s="1">
        <f>+Tabla__192.168.1.8_POSEIDONSQL_APPFVT_01_tblFillRateFechas[[#This Row],[emb_cantidad]]-Tabla__192.168.1.8_POSEIDONSQL_APPFVT_01_tblFillRateFechas[[#This Row],[dev_cantidad]]</f>
        <v>1</v>
      </c>
      <c r="M664" s="1">
        <f>+IF(Tabla__192.168.1.8_POSEIDONSQL_APPFVT_01_tblFillRateFechas[[#This Row],[Cant_Resultante]]=Tabla__192.168.1.8_POSEIDONSQL_APPFVT_01_tblFillRateFechas[[#This Row],[cant_order]],1,0)</f>
        <v>1</v>
      </c>
      <c r="N6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4" s="1">
        <f>+IF(AND(Tabla__192.168.1.8_POSEIDONSQL_APPFVT_01_tblFillRateFechas[[#This Row],[Valida Cant]]=1,Tabla__192.168.1.8_POSEIDONSQL_APPFVT_01_tblFillRateFechas[[#This Row],[Valida Fec]]=1),1,0)</f>
        <v>1</v>
      </c>
      <c r="P664" s="1">
        <f>+(Tabla__192.168.1.8_POSEIDONSQL_APPFVT_01_tblFillRateFechas[[#This Row],[Cant_Resultante]]/Tabla__192.168.1.8_POSEIDONSQL_APPFVT_01_tblFillRateFechas[[#This Row],[cant_order]])*100</f>
        <v>100</v>
      </c>
      <c r="Q6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4" s="1">
        <f>+IF(Tabla__192.168.1.8_POSEIDONSQL_APPFVT_01_tblFillRateFechas[[#This Row],[cant_order]]&gt;0,1,0)</f>
        <v>1</v>
      </c>
      <c r="V664" s="1">
        <f>+IF(Tabla__192.168.1.8_POSEIDONSQL_APPFVT_01_tblFillRateFechas[[#This Row],[Resultado]]=1,1,0)</f>
        <v>1</v>
      </c>
      <c r="W664" s="1" t="str">
        <f>+Tabla__192.168.1.8_POSEIDONSQL_APPFVT_01_tblFillRateFechas[[#This Row],[con_ocnumero]]&amp;Tabla__192.168.1.8_POSEIDONSQL_APPFVT_01_tblFillRateFechas[[#This Row],[con_codigounico]]</f>
        <v>958102-</v>
      </c>
      <c r="X6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5" spans="1:24" x14ac:dyDescent="0.25">
      <c r="A665">
        <v>6</v>
      </c>
      <c r="B665" t="s">
        <v>53</v>
      </c>
      <c r="C665">
        <v>958139</v>
      </c>
      <c r="D665" t="s">
        <v>1969</v>
      </c>
      <c r="E665" t="s">
        <v>415</v>
      </c>
      <c r="F665" t="s">
        <v>429</v>
      </c>
      <c r="G665">
        <v>1</v>
      </c>
      <c r="H665">
        <v>1</v>
      </c>
      <c r="I665" t="s">
        <v>415</v>
      </c>
      <c r="J665">
        <v>0</v>
      </c>
      <c r="K665" t="s">
        <v>49</v>
      </c>
      <c r="L665" s="1">
        <f>+Tabla__192.168.1.8_POSEIDONSQL_APPFVT_01_tblFillRateFechas[[#This Row],[emb_cantidad]]-Tabla__192.168.1.8_POSEIDONSQL_APPFVT_01_tblFillRateFechas[[#This Row],[dev_cantidad]]</f>
        <v>1</v>
      </c>
      <c r="M665" s="1">
        <f>+IF(Tabla__192.168.1.8_POSEIDONSQL_APPFVT_01_tblFillRateFechas[[#This Row],[Cant_Resultante]]=Tabla__192.168.1.8_POSEIDONSQL_APPFVT_01_tblFillRateFechas[[#This Row],[cant_order]],1,0)</f>
        <v>1</v>
      </c>
      <c r="N6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5" s="1">
        <f>+IF(AND(Tabla__192.168.1.8_POSEIDONSQL_APPFVT_01_tblFillRateFechas[[#This Row],[Valida Cant]]=1,Tabla__192.168.1.8_POSEIDONSQL_APPFVT_01_tblFillRateFechas[[#This Row],[Valida Fec]]=1),1,0)</f>
        <v>1</v>
      </c>
      <c r="P665" s="1">
        <f>+(Tabla__192.168.1.8_POSEIDONSQL_APPFVT_01_tblFillRateFechas[[#This Row],[Cant_Resultante]]/Tabla__192.168.1.8_POSEIDONSQL_APPFVT_01_tblFillRateFechas[[#This Row],[cant_order]])*100</f>
        <v>100</v>
      </c>
      <c r="Q6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5" s="1">
        <f>+IF(Tabla__192.168.1.8_POSEIDONSQL_APPFVT_01_tblFillRateFechas[[#This Row],[cant_order]]&gt;0,1,0)</f>
        <v>1</v>
      </c>
      <c r="V665" s="1">
        <f>+IF(Tabla__192.168.1.8_POSEIDONSQL_APPFVT_01_tblFillRateFechas[[#This Row],[Resultado]]=1,1,0)</f>
        <v>1</v>
      </c>
      <c r="W665" s="1" t="str">
        <f>+Tabla__192.168.1.8_POSEIDONSQL_APPFVT_01_tblFillRateFechas[[#This Row],[con_ocnumero]]&amp;Tabla__192.168.1.8_POSEIDONSQL_APPFVT_01_tblFillRateFechas[[#This Row],[con_codigounico]]</f>
        <v>958139-</v>
      </c>
      <c r="X6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6" spans="1:24" x14ac:dyDescent="0.25">
      <c r="A666">
        <v>6</v>
      </c>
      <c r="B666" t="s">
        <v>53</v>
      </c>
      <c r="C666">
        <v>958545</v>
      </c>
      <c r="D666" t="s">
        <v>1969</v>
      </c>
      <c r="E666" t="s">
        <v>426</v>
      </c>
      <c r="F666" t="s">
        <v>429</v>
      </c>
      <c r="G666">
        <v>1</v>
      </c>
      <c r="H666">
        <v>1</v>
      </c>
      <c r="I666" t="s">
        <v>425</v>
      </c>
      <c r="J666">
        <v>0</v>
      </c>
      <c r="K666" t="s">
        <v>49</v>
      </c>
      <c r="L666" s="1">
        <f>+Tabla__192.168.1.8_POSEIDONSQL_APPFVT_01_tblFillRateFechas[[#This Row],[emb_cantidad]]-Tabla__192.168.1.8_POSEIDONSQL_APPFVT_01_tblFillRateFechas[[#This Row],[dev_cantidad]]</f>
        <v>1</v>
      </c>
      <c r="M666" s="1">
        <f>+IF(Tabla__192.168.1.8_POSEIDONSQL_APPFVT_01_tblFillRateFechas[[#This Row],[Cant_Resultante]]=Tabla__192.168.1.8_POSEIDONSQL_APPFVT_01_tblFillRateFechas[[#This Row],[cant_order]],1,0)</f>
        <v>1</v>
      </c>
      <c r="N6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6" s="1">
        <f>+IF(AND(Tabla__192.168.1.8_POSEIDONSQL_APPFVT_01_tblFillRateFechas[[#This Row],[Valida Cant]]=1,Tabla__192.168.1.8_POSEIDONSQL_APPFVT_01_tblFillRateFechas[[#This Row],[Valida Fec]]=1),1,0)</f>
        <v>1</v>
      </c>
      <c r="P666" s="1">
        <f>+(Tabla__192.168.1.8_POSEIDONSQL_APPFVT_01_tblFillRateFechas[[#This Row],[Cant_Resultante]]/Tabla__192.168.1.8_POSEIDONSQL_APPFVT_01_tblFillRateFechas[[#This Row],[cant_order]])*100</f>
        <v>100</v>
      </c>
      <c r="Q6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6" s="1">
        <f>+IF(Tabla__192.168.1.8_POSEIDONSQL_APPFVT_01_tblFillRateFechas[[#This Row],[cant_order]]&gt;0,1,0)</f>
        <v>1</v>
      </c>
      <c r="V666" s="1">
        <f>+IF(Tabla__192.168.1.8_POSEIDONSQL_APPFVT_01_tblFillRateFechas[[#This Row],[Resultado]]=1,1,0)</f>
        <v>1</v>
      </c>
      <c r="W666" s="1" t="str">
        <f>+Tabla__192.168.1.8_POSEIDONSQL_APPFVT_01_tblFillRateFechas[[#This Row],[con_ocnumero]]&amp;Tabla__192.168.1.8_POSEIDONSQL_APPFVT_01_tblFillRateFechas[[#This Row],[con_codigounico]]</f>
        <v>958545-</v>
      </c>
      <c r="X6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7" spans="1:24" x14ac:dyDescent="0.25">
      <c r="A667">
        <v>6</v>
      </c>
      <c r="B667" t="s">
        <v>53</v>
      </c>
      <c r="C667">
        <v>958636</v>
      </c>
      <c r="D667" t="s">
        <v>1969</v>
      </c>
      <c r="E667" t="s">
        <v>425</v>
      </c>
      <c r="F667" t="s">
        <v>429</v>
      </c>
      <c r="G667">
        <v>1</v>
      </c>
      <c r="H667">
        <v>1</v>
      </c>
      <c r="I667" t="s">
        <v>425</v>
      </c>
      <c r="J667">
        <v>0</v>
      </c>
      <c r="K667" t="s">
        <v>49</v>
      </c>
      <c r="L667" s="1">
        <f>+Tabla__192.168.1.8_POSEIDONSQL_APPFVT_01_tblFillRateFechas[[#This Row],[emb_cantidad]]-Tabla__192.168.1.8_POSEIDONSQL_APPFVT_01_tblFillRateFechas[[#This Row],[dev_cantidad]]</f>
        <v>1</v>
      </c>
      <c r="M667" s="1">
        <f>+IF(Tabla__192.168.1.8_POSEIDONSQL_APPFVT_01_tblFillRateFechas[[#This Row],[Cant_Resultante]]=Tabla__192.168.1.8_POSEIDONSQL_APPFVT_01_tblFillRateFechas[[#This Row],[cant_order]],1,0)</f>
        <v>1</v>
      </c>
      <c r="N6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7" s="1">
        <f>+IF(AND(Tabla__192.168.1.8_POSEIDONSQL_APPFVT_01_tblFillRateFechas[[#This Row],[Valida Cant]]=1,Tabla__192.168.1.8_POSEIDONSQL_APPFVT_01_tblFillRateFechas[[#This Row],[Valida Fec]]=1),1,0)</f>
        <v>1</v>
      </c>
      <c r="P667" s="1">
        <f>+(Tabla__192.168.1.8_POSEIDONSQL_APPFVT_01_tblFillRateFechas[[#This Row],[Cant_Resultante]]/Tabla__192.168.1.8_POSEIDONSQL_APPFVT_01_tblFillRateFechas[[#This Row],[cant_order]])*100</f>
        <v>100</v>
      </c>
      <c r="Q6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7" s="1">
        <f>+IF(Tabla__192.168.1.8_POSEIDONSQL_APPFVT_01_tblFillRateFechas[[#This Row],[cant_order]]&gt;0,1,0)</f>
        <v>1</v>
      </c>
      <c r="V667" s="1">
        <f>+IF(Tabla__192.168.1.8_POSEIDONSQL_APPFVT_01_tblFillRateFechas[[#This Row],[Resultado]]=1,1,0)</f>
        <v>1</v>
      </c>
      <c r="W667" s="1" t="str">
        <f>+Tabla__192.168.1.8_POSEIDONSQL_APPFVT_01_tblFillRateFechas[[#This Row],[con_ocnumero]]&amp;Tabla__192.168.1.8_POSEIDONSQL_APPFVT_01_tblFillRateFechas[[#This Row],[con_codigounico]]</f>
        <v>958636-</v>
      </c>
      <c r="X6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8" spans="1:24" x14ac:dyDescent="0.25">
      <c r="A668">
        <v>6</v>
      </c>
      <c r="B668" t="s">
        <v>53</v>
      </c>
      <c r="C668">
        <v>959110</v>
      </c>
      <c r="D668" t="s">
        <v>428</v>
      </c>
      <c r="E668" t="s">
        <v>415</v>
      </c>
      <c r="F668" t="s">
        <v>429</v>
      </c>
      <c r="G668">
        <v>1</v>
      </c>
      <c r="H668">
        <v>1</v>
      </c>
      <c r="I668" t="s">
        <v>415</v>
      </c>
      <c r="J668">
        <v>0</v>
      </c>
      <c r="K668" t="s">
        <v>49</v>
      </c>
      <c r="L668" s="1">
        <f>+Tabla__192.168.1.8_POSEIDONSQL_APPFVT_01_tblFillRateFechas[[#This Row],[emb_cantidad]]-Tabla__192.168.1.8_POSEIDONSQL_APPFVT_01_tblFillRateFechas[[#This Row],[dev_cantidad]]</f>
        <v>1</v>
      </c>
      <c r="M668" s="1">
        <f>+IF(Tabla__192.168.1.8_POSEIDONSQL_APPFVT_01_tblFillRateFechas[[#This Row],[Cant_Resultante]]=Tabla__192.168.1.8_POSEIDONSQL_APPFVT_01_tblFillRateFechas[[#This Row],[cant_order]],1,0)</f>
        <v>1</v>
      </c>
      <c r="N6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8" s="1">
        <f>+IF(AND(Tabla__192.168.1.8_POSEIDONSQL_APPFVT_01_tblFillRateFechas[[#This Row],[Valida Cant]]=1,Tabla__192.168.1.8_POSEIDONSQL_APPFVT_01_tblFillRateFechas[[#This Row],[Valida Fec]]=1),1,0)</f>
        <v>1</v>
      </c>
      <c r="P668" s="1">
        <f>+(Tabla__192.168.1.8_POSEIDONSQL_APPFVT_01_tblFillRateFechas[[#This Row],[Cant_Resultante]]/Tabla__192.168.1.8_POSEIDONSQL_APPFVT_01_tblFillRateFechas[[#This Row],[cant_order]])*100</f>
        <v>100</v>
      </c>
      <c r="Q6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8" s="1">
        <f>+IF(Tabla__192.168.1.8_POSEIDONSQL_APPFVT_01_tblFillRateFechas[[#This Row],[cant_order]]&gt;0,1,0)</f>
        <v>1</v>
      </c>
      <c r="V668" s="1">
        <f>+IF(Tabla__192.168.1.8_POSEIDONSQL_APPFVT_01_tblFillRateFechas[[#This Row],[Resultado]]=1,1,0)</f>
        <v>1</v>
      </c>
      <c r="W668" s="1" t="str">
        <f>+Tabla__192.168.1.8_POSEIDONSQL_APPFVT_01_tblFillRateFechas[[#This Row],[con_ocnumero]]&amp;Tabla__192.168.1.8_POSEIDONSQL_APPFVT_01_tblFillRateFechas[[#This Row],[con_codigounico]]</f>
        <v>959110-</v>
      </c>
      <c r="X6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69" spans="1:24" x14ac:dyDescent="0.25">
      <c r="A669">
        <v>6</v>
      </c>
      <c r="B669" t="s">
        <v>53</v>
      </c>
      <c r="C669">
        <v>959337</v>
      </c>
      <c r="D669" t="s">
        <v>428</v>
      </c>
      <c r="E669" t="s">
        <v>415</v>
      </c>
      <c r="F669" t="s">
        <v>429</v>
      </c>
      <c r="G669">
        <v>1</v>
      </c>
      <c r="H669">
        <v>1</v>
      </c>
      <c r="I669" t="s">
        <v>415</v>
      </c>
      <c r="J669">
        <v>0</v>
      </c>
      <c r="K669" t="s">
        <v>49</v>
      </c>
      <c r="L669" s="1">
        <f>+Tabla__192.168.1.8_POSEIDONSQL_APPFVT_01_tblFillRateFechas[[#This Row],[emb_cantidad]]-Tabla__192.168.1.8_POSEIDONSQL_APPFVT_01_tblFillRateFechas[[#This Row],[dev_cantidad]]</f>
        <v>1</v>
      </c>
      <c r="M669" s="1">
        <f>+IF(Tabla__192.168.1.8_POSEIDONSQL_APPFVT_01_tblFillRateFechas[[#This Row],[Cant_Resultante]]=Tabla__192.168.1.8_POSEIDONSQL_APPFVT_01_tblFillRateFechas[[#This Row],[cant_order]],1,0)</f>
        <v>1</v>
      </c>
      <c r="N6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69" s="1">
        <f>+IF(AND(Tabla__192.168.1.8_POSEIDONSQL_APPFVT_01_tblFillRateFechas[[#This Row],[Valida Cant]]=1,Tabla__192.168.1.8_POSEIDONSQL_APPFVT_01_tblFillRateFechas[[#This Row],[Valida Fec]]=1),1,0)</f>
        <v>1</v>
      </c>
      <c r="P669" s="1">
        <f>+(Tabla__192.168.1.8_POSEIDONSQL_APPFVT_01_tblFillRateFechas[[#This Row],[Cant_Resultante]]/Tabla__192.168.1.8_POSEIDONSQL_APPFVT_01_tblFillRateFechas[[#This Row],[cant_order]])*100</f>
        <v>100</v>
      </c>
      <c r="Q6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69" s="1">
        <f>+IF(Tabla__192.168.1.8_POSEIDONSQL_APPFVT_01_tblFillRateFechas[[#This Row],[cant_order]]&gt;0,1,0)</f>
        <v>1</v>
      </c>
      <c r="V669" s="1">
        <f>+IF(Tabla__192.168.1.8_POSEIDONSQL_APPFVT_01_tblFillRateFechas[[#This Row],[Resultado]]=1,1,0)</f>
        <v>1</v>
      </c>
      <c r="W669" s="1" t="str">
        <f>+Tabla__192.168.1.8_POSEIDONSQL_APPFVT_01_tblFillRateFechas[[#This Row],[con_ocnumero]]&amp;Tabla__192.168.1.8_POSEIDONSQL_APPFVT_01_tblFillRateFechas[[#This Row],[con_codigounico]]</f>
        <v>959337-</v>
      </c>
      <c r="X6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0" spans="1:24" x14ac:dyDescent="0.25">
      <c r="A670">
        <v>6</v>
      </c>
      <c r="B670" t="s">
        <v>53</v>
      </c>
      <c r="C670">
        <v>959744</v>
      </c>
      <c r="D670" t="s">
        <v>428</v>
      </c>
      <c r="E670" t="s">
        <v>425</v>
      </c>
      <c r="F670" t="s">
        <v>429</v>
      </c>
      <c r="G670">
        <v>1</v>
      </c>
      <c r="H670">
        <v>1</v>
      </c>
      <c r="I670" t="s">
        <v>425</v>
      </c>
      <c r="J670">
        <v>0</v>
      </c>
      <c r="K670" t="s">
        <v>49</v>
      </c>
      <c r="L670" s="1">
        <f>+Tabla__192.168.1.8_POSEIDONSQL_APPFVT_01_tblFillRateFechas[[#This Row],[emb_cantidad]]-Tabla__192.168.1.8_POSEIDONSQL_APPFVT_01_tblFillRateFechas[[#This Row],[dev_cantidad]]</f>
        <v>1</v>
      </c>
      <c r="M670" s="1">
        <f>+IF(Tabla__192.168.1.8_POSEIDONSQL_APPFVT_01_tblFillRateFechas[[#This Row],[Cant_Resultante]]=Tabla__192.168.1.8_POSEIDONSQL_APPFVT_01_tblFillRateFechas[[#This Row],[cant_order]],1,0)</f>
        <v>1</v>
      </c>
      <c r="N6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0" s="1">
        <f>+IF(AND(Tabla__192.168.1.8_POSEIDONSQL_APPFVT_01_tblFillRateFechas[[#This Row],[Valida Cant]]=1,Tabla__192.168.1.8_POSEIDONSQL_APPFVT_01_tblFillRateFechas[[#This Row],[Valida Fec]]=1),1,0)</f>
        <v>1</v>
      </c>
      <c r="P670" s="1">
        <f>+(Tabla__192.168.1.8_POSEIDONSQL_APPFVT_01_tblFillRateFechas[[#This Row],[Cant_Resultante]]/Tabla__192.168.1.8_POSEIDONSQL_APPFVT_01_tblFillRateFechas[[#This Row],[cant_order]])*100</f>
        <v>100</v>
      </c>
      <c r="Q6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0" s="1">
        <f>+IF(Tabla__192.168.1.8_POSEIDONSQL_APPFVT_01_tblFillRateFechas[[#This Row],[cant_order]]&gt;0,1,0)</f>
        <v>1</v>
      </c>
      <c r="V670" s="1">
        <f>+IF(Tabla__192.168.1.8_POSEIDONSQL_APPFVT_01_tblFillRateFechas[[#This Row],[Resultado]]=1,1,0)</f>
        <v>1</v>
      </c>
      <c r="W670" s="1" t="str">
        <f>+Tabla__192.168.1.8_POSEIDONSQL_APPFVT_01_tblFillRateFechas[[#This Row],[con_ocnumero]]&amp;Tabla__192.168.1.8_POSEIDONSQL_APPFVT_01_tblFillRateFechas[[#This Row],[con_codigounico]]</f>
        <v>959744-</v>
      </c>
      <c r="X6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1" spans="1:24" x14ac:dyDescent="0.25">
      <c r="A671">
        <v>6</v>
      </c>
      <c r="B671" t="s">
        <v>53</v>
      </c>
      <c r="C671">
        <v>960036</v>
      </c>
      <c r="D671" t="s">
        <v>1982</v>
      </c>
      <c r="E671" t="s">
        <v>425</v>
      </c>
      <c r="F671" t="s">
        <v>429</v>
      </c>
      <c r="G671">
        <v>1</v>
      </c>
      <c r="H671">
        <v>1</v>
      </c>
      <c r="I671" t="s">
        <v>425</v>
      </c>
      <c r="J671">
        <v>0</v>
      </c>
      <c r="K671" t="s">
        <v>49</v>
      </c>
      <c r="L671" s="1">
        <f>+Tabla__192.168.1.8_POSEIDONSQL_APPFVT_01_tblFillRateFechas[[#This Row],[emb_cantidad]]-Tabla__192.168.1.8_POSEIDONSQL_APPFVT_01_tblFillRateFechas[[#This Row],[dev_cantidad]]</f>
        <v>1</v>
      </c>
      <c r="M671" s="1">
        <f>+IF(Tabla__192.168.1.8_POSEIDONSQL_APPFVT_01_tblFillRateFechas[[#This Row],[Cant_Resultante]]=Tabla__192.168.1.8_POSEIDONSQL_APPFVT_01_tblFillRateFechas[[#This Row],[cant_order]],1,0)</f>
        <v>1</v>
      </c>
      <c r="N6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1" s="1">
        <f>+IF(AND(Tabla__192.168.1.8_POSEIDONSQL_APPFVT_01_tblFillRateFechas[[#This Row],[Valida Cant]]=1,Tabla__192.168.1.8_POSEIDONSQL_APPFVT_01_tblFillRateFechas[[#This Row],[Valida Fec]]=1),1,0)</f>
        <v>1</v>
      </c>
      <c r="P671" s="1">
        <f>+(Tabla__192.168.1.8_POSEIDONSQL_APPFVT_01_tblFillRateFechas[[#This Row],[Cant_Resultante]]/Tabla__192.168.1.8_POSEIDONSQL_APPFVT_01_tblFillRateFechas[[#This Row],[cant_order]])*100</f>
        <v>100</v>
      </c>
      <c r="Q6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1" s="1">
        <f>+IF(Tabla__192.168.1.8_POSEIDONSQL_APPFVT_01_tblFillRateFechas[[#This Row],[cant_order]]&gt;0,1,0)</f>
        <v>1</v>
      </c>
      <c r="V671" s="1">
        <f>+IF(Tabla__192.168.1.8_POSEIDONSQL_APPFVT_01_tblFillRateFechas[[#This Row],[Resultado]]=1,1,0)</f>
        <v>1</v>
      </c>
      <c r="W671" s="1" t="str">
        <f>+Tabla__192.168.1.8_POSEIDONSQL_APPFVT_01_tblFillRateFechas[[#This Row],[con_ocnumero]]&amp;Tabla__192.168.1.8_POSEIDONSQL_APPFVT_01_tblFillRateFechas[[#This Row],[con_codigounico]]</f>
        <v>960036-</v>
      </c>
      <c r="X6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2" spans="1:24" x14ac:dyDescent="0.25">
      <c r="A672">
        <v>6</v>
      </c>
      <c r="B672" t="s">
        <v>53</v>
      </c>
      <c r="C672">
        <v>960049</v>
      </c>
      <c r="D672" t="s">
        <v>1982</v>
      </c>
      <c r="E672" t="s">
        <v>425</v>
      </c>
      <c r="F672" t="s">
        <v>429</v>
      </c>
      <c r="G672">
        <v>1</v>
      </c>
      <c r="H672">
        <v>1</v>
      </c>
      <c r="I672" t="s">
        <v>425</v>
      </c>
      <c r="J672">
        <v>0</v>
      </c>
      <c r="K672" t="s">
        <v>49</v>
      </c>
      <c r="L672" s="1">
        <f>+Tabla__192.168.1.8_POSEIDONSQL_APPFVT_01_tblFillRateFechas[[#This Row],[emb_cantidad]]-Tabla__192.168.1.8_POSEIDONSQL_APPFVT_01_tblFillRateFechas[[#This Row],[dev_cantidad]]</f>
        <v>1</v>
      </c>
      <c r="M672" s="1">
        <f>+IF(Tabla__192.168.1.8_POSEIDONSQL_APPFVT_01_tblFillRateFechas[[#This Row],[Cant_Resultante]]=Tabla__192.168.1.8_POSEIDONSQL_APPFVT_01_tblFillRateFechas[[#This Row],[cant_order]],1,0)</f>
        <v>1</v>
      </c>
      <c r="N6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2" s="1">
        <f>+IF(AND(Tabla__192.168.1.8_POSEIDONSQL_APPFVT_01_tblFillRateFechas[[#This Row],[Valida Cant]]=1,Tabla__192.168.1.8_POSEIDONSQL_APPFVT_01_tblFillRateFechas[[#This Row],[Valida Fec]]=1),1,0)</f>
        <v>1</v>
      </c>
      <c r="P672" s="1">
        <f>+(Tabla__192.168.1.8_POSEIDONSQL_APPFVT_01_tblFillRateFechas[[#This Row],[Cant_Resultante]]/Tabla__192.168.1.8_POSEIDONSQL_APPFVT_01_tblFillRateFechas[[#This Row],[cant_order]])*100</f>
        <v>100</v>
      </c>
      <c r="Q6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2" s="1">
        <f>+IF(Tabla__192.168.1.8_POSEIDONSQL_APPFVT_01_tblFillRateFechas[[#This Row],[cant_order]]&gt;0,1,0)</f>
        <v>1</v>
      </c>
      <c r="V672" s="1">
        <f>+IF(Tabla__192.168.1.8_POSEIDONSQL_APPFVT_01_tblFillRateFechas[[#This Row],[Resultado]]=1,1,0)</f>
        <v>1</v>
      </c>
      <c r="W672" s="1" t="str">
        <f>+Tabla__192.168.1.8_POSEIDONSQL_APPFVT_01_tblFillRateFechas[[#This Row],[con_ocnumero]]&amp;Tabla__192.168.1.8_POSEIDONSQL_APPFVT_01_tblFillRateFechas[[#This Row],[con_codigounico]]</f>
        <v>960049-</v>
      </c>
      <c r="X6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3" spans="1:24" x14ac:dyDescent="0.25">
      <c r="A673">
        <v>6</v>
      </c>
      <c r="B673" t="s">
        <v>53</v>
      </c>
      <c r="C673">
        <v>960444</v>
      </c>
      <c r="D673" t="s">
        <v>1982</v>
      </c>
      <c r="E673" t="s">
        <v>425</v>
      </c>
      <c r="F673" t="s">
        <v>429</v>
      </c>
      <c r="G673">
        <v>1</v>
      </c>
      <c r="H673">
        <v>1</v>
      </c>
      <c r="I673" t="s">
        <v>425</v>
      </c>
      <c r="J673">
        <v>0</v>
      </c>
      <c r="K673" t="s">
        <v>49</v>
      </c>
      <c r="L673" s="1">
        <f>+Tabla__192.168.1.8_POSEIDONSQL_APPFVT_01_tblFillRateFechas[[#This Row],[emb_cantidad]]-Tabla__192.168.1.8_POSEIDONSQL_APPFVT_01_tblFillRateFechas[[#This Row],[dev_cantidad]]</f>
        <v>1</v>
      </c>
      <c r="M673" s="1">
        <f>+IF(Tabla__192.168.1.8_POSEIDONSQL_APPFVT_01_tblFillRateFechas[[#This Row],[Cant_Resultante]]=Tabla__192.168.1.8_POSEIDONSQL_APPFVT_01_tblFillRateFechas[[#This Row],[cant_order]],1,0)</f>
        <v>1</v>
      </c>
      <c r="N6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3" s="1">
        <f>+IF(AND(Tabla__192.168.1.8_POSEIDONSQL_APPFVT_01_tblFillRateFechas[[#This Row],[Valida Cant]]=1,Tabla__192.168.1.8_POSEIDONSQL_APPFVT_01_tblFillRateFechas[[#This Row],[Valida Fec]]=1),1,0)</f>
        <v>1</v>
      </c>
      <c r="P673" s="1">
        <f>+(Tabla__192.168.1.8_POSEIDONSQL_APPFVT_01_tblFillRateFechas[[#This Row],[Cant_Resultante]]/Tabla__192.168.1.8_POSEIDONSQL_APPFVT_01_tblFillRateFechas[[#This Row],[cant_order]])*100</f>
        <v>100</v>
      </c>
      <c r="Q6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3" s="1">
        <f>+IF(Tabla__192.168.1.8_POSEIDONSQL_APPFVT_01_tblFillRateFechas[[#This Row],[cant_order]]&gt;0,1,0)</f>
        <v>1</v>
      </c>
      <c r="V673" s="1">
        <f>+IF(Tabla__192.168.1.8_POSEIDONSQL_APPFVT_01_tblFillRateFechas[[#This Row],[Resultado]]=1,1,0)</f>
        <v>1</v>
      </c>
      <c r="W673" s="1" t="str">
        <f>+Tabla__192.168.1.8_POSEIDONSQL_APPFVT_01_tblFillRateFechas[[#This Row],[con_ocnumero]]&amp;Tabla__192.168.1.8_POSEIDONSQL_APPFVT_01_tblFillRateFechas[[#This Row],[con_codigounico]]</f>
        <v>960444-</v>
      </c>
      <c r="X6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4" spans="1:24" x14ac:dyDescent="0.25">
      <c r="A674">
        <v>6</v>
      </c>
      <c r="B674" t="s">
        <v>53</v>
      </c>
      <c r="C674">
        <v>960447</v>
      </c>
      <c r="D674" t="s">
        <v>1982</v>
      </c>
      <c r="E674" t="s">
        <v>425</v>
      </c>
      <c r="F674" t="s">
        <v>429</v>
      </c>
      <c r="G674">
        <v>1</v>
      </c>
      <c r="H674">
        <v>1</v>
      </c>
      <c r="I674" t="s">
        <v>425</v>
      </c>
      <c r="J674">
        <v>0</v>
      </c>
      <c r="K674" t="s">
        <v>49</v>
      </c>
      <c r="L674" s="1">
        <f>+Tabla__192.168.1.8_POSEIDONSQL_APPFVT_01_tblFillRateFechas[[#This Row],[emb_cantidad]]-Tabla__192.168.1.8_POSEIDONSQL_APPFVT_01_tblFillRateFechas[[#This Row],[dev_cantidad]]</f>
        <v>1</v>
      </c>
      <c r="M674" s="1">
        <f>+IF(Tabla__192.168.1.8_POSEIDONSQL_APPFVT_01_tblFillRateFechas[[#This Row],[Cant_Resultante]]=Tabla__192.168.1.8_POSEIDONSQL_APPFVT_01_tblFillRateFechas[[#This Row],[cant_order]],1,0)</f>
        <v>1</v>
      </c>
      <c r="N6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4" s="1">
        <f>+IF(AND(Tabla__192.168.1.8_POSEIDONSQL_APPFVT_01_tblFillRateFechas[[#This Row],[Valida Cant]]=1,Tabla__192.168.1.8_POSEIDONSQL_APPFVT_01_tblFillRateFechas[[#This Row],[Valida Fec]]=1),1,0)</f>
        <v>1</v>
      </c>
      <c r="P674" s="1">
        <f>+(Tabla__192.168.1.8_POSEIDONSQL_APPFVT_01_tblFillRateFechas[[#This Row],[Cant_Resultante]]/Tabla__192.168.1.8_POSEIDONSQL_APPFVT_01_tblFillRateFechas[[#This Row],[cant_order]])*100</f>
        <v>100</v>
      </c>
      <c r="Q6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4" s="1">
        <f>+IF(Tabla__192.168.1.8_POSEIDONSQL_APPFVT_01_tblFillRateFechas[[#This Row],[cant_order]]&gt;0,1,0)</f>
        <v>1</v>
      </c>
      <c r="V674" s="1">
        <f>+IF(Tabla__192.168.1.8_POSEIDONSQL_APPFVT_01_tblFillRateFechas[[#This Row],[Resultado]]=1,1,0)</f>
        <v>1</v>
      </c>
      <c r="W674" s="1" t="str">
        <f>+Tabla__192.168.1.8_POSEIDONSQL_APPFVT_01_tblFillRateFechas[[#This Row],[con_ocnumero]]&amp;Tabla__192.168.1.8_POSEIDONSQL_APPFVT_01_tblFillRateFechas[[#This Row],[con_codigounico]]</f>
        <v>960447-</v>
      </c>
      <c r="X6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5" spans="1:24" x14ac:dyDescent="0.25">
      <c r="A675">
        <v>6</v>
      </c>
      <c r="B675" t="s">
        <v>53</v>
      </c>
      <c r="C675">
        <v>960575</v>
      </c>
      <c r="D675" t="s">
        <v>1982</v>
      </c>
      <c r="E675" t="s">
        <v>425</v>
      </c>
      <c r="F675" t="s">
        <v>429</v>
      </c>
      <c r="G675">
        <v>1</v>
      </c>
      <c r="H675">
        <v>1</v>
      </c>
      <c r="I675" t="s">
        <v>425</v>
      </c>
      <c r="J675">
        <v>0</v>
      </c>
      <c r="K675" t="s">
        <v>49</v>
      </c>
      <c r="L675" s="1">
        <f>+Tabla__192.168.1.8_POSEIDONSQL_APPFVT_01_tblFillRateFechas[[#This Row],[emb_cantidad]]-Tabla__192.168.1.8_POSEIDONSQL_APPFVT_01_tblFillRateFechas[[#This Row],[dev_cantidad]]</f>
        <v>1</v>
      </c>
      <c r="M675" s="1">
        <f>+IF(Tabla__192.168.1.8_POSEIDONSQL_APPFVT_01_tblFillRateFechas[[#This Row],[Cant_Resultante]]=Tabla__192.168.1.8_POSEIDONSQL_APPFVT_01_tblFillRateFechas[[#This Row],[cant_order]],1,0)</f>
        <v>1</v>
      </c>
      <c r="N6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5" s="1">
        <f>+IF(AND(Tabla__192.168.1.8_POSEIDONSQL_APPFVT_01_tblFillRateFechas[[#This Row],[Valida Cant]]=1,Tabla__192.168.1.8_POSEIDONSQL_APPFVT_01_tblFillRateFechas[[#This Row],[Valida Fec]]=1),1,0)</f>
        <v>1</v>
      </c>
      <c r="P675" s="1">
        <f>+(Tabla__192.168.1.8_POSEIDONSQL_APPFVT_01_tblFillRateFechas[[#This Row],[Cant_Resultante]]/Tabla__192.168.1.8_POSEIDONSQL_APPFVT_01_tblFillRateFechas[[#This Row],[cant_order]])*100</f>
        <v>100</v>
      </c>
      <c r="Q6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5" s="1">
        <f>+IF(Tabla__192.168.1.8_POSEIDONSQL_APPFVT_01_tblFillRateFechas[[#This Row],[cant_order]]&gt;0,1,0)</f>
        <v>1</v>
      </c>
      <c r="V675" s="1">
        <f>+IF(Tabla__192.168.1.8_POSEIDONSQL_APPFVT_01_tblFillRateFechas[[#This Row],[Resultado]]=1,1,0)</f>
        <v>1</v>
      </c>
      <c r="W675" s="1" t="str">
        <f>+Tabla__192.168.1.8_POSEIDONSQL_APPFVT_01_tblFillRateFechas[[#This Row],[con_ocnumero]]&amp;Tabla__192.168.1.8_POSEIDONSQL_APPFVT_01_tblFillRateFechas[[#This Row],[con_codigounico]]</f>
        <v>960575-</v>
      </c>
      <c r="X6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6" spans="1:24" x14ac:dyDescent="0.25">
      <c r="A676">
        <v>6</v>
      </c>
      <c r="B676" t="s">
        <v>53</v>
      </c>
      <c r="C676">
        <v>960809</v>
      </c>
      <c r="D676" t="s">
        <v>163</v>
      </c>
      <c r="E676" t="s">
        <v>415</v>
      </c>
      <c r="F676" t="s">
        <v>429</v>
      </c>
      <c r="G676">
        <v>1</v>
      </c>
      <c r="H676">
        <v>1</v>
      </c>
      <c r="I676" t="s">
        <v>415</v>
      </c>
      <c r="J676">
        <v>0</v>
      </c>
      <c r="K676" t="s">
        <v>49</v>
      </c>
      <c r="L676" s="1">
        <f>+Tabla__192.168.1.8_POSEIDONSQL_APPFVT_01_tblFillRateFechas[[#This Row],[emb_cantidad]]-Tabla__192.168.1.8_POSEIDONSQL_APPFVT_01_tblFillRateFechas[[#This Row],[dev_cantidad]]</f>
        <v>1</v>
      </c>
      <c r="M676" s="1">
        <f>+IF(Tabla__192.168.1.8_POSEIDONSQL_APPFVT_01_tblFillRateFechas[[#This Row],[Cant_Resultante]]=Tabla__192.168.1.8_POSEIDONSQL_APPFVT_01_tblFillRateFechas[[#This Row],[cant_order]],1,0)</f>
        <v>1</v>
      </c>
      <c r="N6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6" s="1">
        <f>+IF(AND(Tabla__192.168.1.8_POSEIDONSQL_APPFVT_01_tblFillRateFechas[[#This Row],[Valida Cant]]=1,Tabla__192.168.1.8_POSEIDONSQL_APPFVT_01_tblFillRateFechas[[#This Row],[Valida Fec]]=1),1,0)</f>
        <v>1</v>
      </c>
      <c r="P676" s="1">
        <f>+(Tabla__192.168.1.8_POSEIDONSQL_APPFVT_01_tblFillRateFechas[[#This Row],[Cant_Resultante]]/Tabla__192.168.1.8_POSEIDONSQL_APPFVT_01_tblFillRateFechas[[#This Row],[cant_order]])*100</f>
        <v>100</v>
      </c>
      <c r="Q6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6" s="1">
        <f>+IF(Tabla__192.168.1.8_POSEIDONSQL_APPFVT_01_tblFillRateFechas[[#This Row],[cant_order]]&gt;0,1,0)</f>
        <v>1</v>
      </c>
      <c r="V676" s="1">
        <f>+IF(Tabla__192.168.1.8_POSEIDONSQL_APPFVT_01_tblFillRateFechas[[#This Row],[Resultado]]=1,1,0)</f>
        <v>1</v>
      </c>
      <c r="W676" s="1" t="str">
        <f>+Tabla__192.168.1.8_POSEIDONSQL_APPFVT_01_tblFillRateFechas[[#This Row],[con_ocnumero]]&amp;Tabla__192.168.1.8_POSEIDONSQL_APPFVT_01_tblFillRateFechas[[#This Row],[con_codigounico]]</f>
        <v>960809-</v>
      </c>
      <c r="X6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7" spans="1:24" x14ac:dyDescent="0.25">
      <c r="A677">
        <v>6</v>
      </c>
      <c r="B677" t="s">
        <v>53</v>
      </c>
      <c r="C677">
        <v>960871</v>
      </c>
      <c r="D677" t="s">
        <v>163</v>
      </c>
      <c r="E677" t="s">
        <v>416</v>
      </c>
      <c r="F677" t="s">
        <v>427</v>
      </c>
      <c r="G677">
        <v>5</v>
      </c>
      <c r="H677">
        <v>3</v>
      </c>
      <c r="I677" t="s">
        <v>416</v>
      </c>
      <c r="J677">
        <v>0</v>
      </c>
      <c r="K677" t="s">
        <v>49</v>
      </c>
      <c r="L677" s="1">
        <f>+Tabla__192.168.1.8_POSEIDONSQL_APPFVT_01_tblFillRateFechas[[#This Row],[emb_cantidad]]-Tabla__192.168.1.8_POSEIDONSQL_APPFVT_01_tblFillRateFechas[[#This Row],[dev_cantidad]]</f>
        <v>3</v>
      </c>
      <c r="M677" s="1">
        <f>+IF(Tabla__192.168.1.8_POSEIDONSQL_APPFVT_01_tblFillRateFechas[[#This Row],[Cant_Resultante]]=Tabla__192.168.1.8_POSEIDONSQL_APPFVT_01_tblFillRateFechas[[#This Row],[cant_order]],1,0)</f>
        <v>0</v>
      </c>
      <c r="N6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7" s="1">
        <f>+IF(AND(Tabla__192.168.1.8_POSEIDONSQL_APPFVT_01_tblFillRateFechas[[#This Row],[Valida Cant]]=1,Tabla__192.168.1.8_POSEIDONSQL_APPFVT_01_tblFillRateFechas[[#This Row],[Valida Fec]]=1),1,0)</f>
        <v>0</v>
      </c>
      <c r="P677" s="1">
        <f>+(Tabla__192.168.1.8_POSEIDONSQL_APPFVT_01_tblFillRateFechas[[#This Row],[Cant_Resultante]]/Tabla__192.168.1.8_POSEIDONSQL_APPFVT_01_tblFillRateFechas[[#This Row],[cant_order]])*100</f>
        <v>60</v>
      </c>
      <c r="Q6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</v>
      </c>
      <c r="R6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</v>
      </c>
      <c r="T6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677" s="1">
        <f>+IF(Tabla__192.168.1.8_POSEIDONSQL_APPFVT_01_tblFillRateFechas[[#This Row],[cant_order]]&gt;0,1,0)</f>
        <v>1</v>
      </c>
      <c r="V677" s="1">
        <f>+IF(Tabla__192.168.1.8_POSEIDONSQL_APPFVT_01_tblFillRateFechas[[#This Row],[Resultado]]=1,1,0)</f>
        <v>0</v>
      </c>
      <c r="W677" s="1" t="str">
        <f>+Tabla__192.168.1.8_POSEIDONSQL_APPFVT_01_tblFillRateFechas[[#This Row],[con_ocnumero]]&amp;Tabla__192.168.1.8_POSEIDONSQL_APPFVT_01_tblFillRateFechas[[#This Row],[con_codigounico]]</f>
        <v>960871-</v>
      </c>
      <c r="X6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</v>
      </c>
    </row>
    <row r="678" spans="1:24" x14ac:dyDescent="0.25">
      <c r="A678">
        <v>6</v>
      </c>
      <c r="B678" t="s">
        <v>53</v>
      </c>
      <c r="C678">
        <v>961491</v>
      </c>
      <c r="D678" t="s">
        <v>163</v>
      </c>
      <c r="E678" t="s">
        <v>415</v>
      </c>
      <c r="F678" t="s">
        <v>429</v>
      </c>
      <c r="G678">
        <v>1</v>
      </c>
      <c r="H678">
        <v>1</v>
      </c>
      <c r="I678" t="s">
        <v>415</v>
      </c>
      <c r="J678">
        <v>0</v>
      </c>
      <c r="K678" t="s">
        <v>49</v>
      </c>
      <c r="L678" s="1">
        <f>+Tabla__192.168.1.8_POSEIDONSQL_APPFVT_01_tblFillRateFechas[[#This Row],[emb_cantidad]]-Tabla__192.168.1.8_POSEIDONSQL_APPFVT_01_tblFillRateFechas[[#This Row],[dev_cantidad]]</f>
        <v>1</v>
      </c>
      <c r="M678" s="1">
        <f>+IF(Tabla__192.168.1.8_POSEIDONSQL_APPFVT_01_tblFillRateFechas[[#This Row],[Cant_Resultante]]=Tabla__192.168.1.8_POSEIDONSQL_APPFVT_01_tblFillRateFechas[[#This Row],[cant_order]],1,0)</f>
        <v>1</v>
      </c>
      <c r="N6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8" s="1">
        <f>+IF(AND(Tabla__192.168.1.8_POSEIDONSQL_APPFVT_01_tblFillRateFechas[[#This Row],[Valida Cant]]=1,Tabla__192.168.1.8_POSEIDONSQL_APPFVT_01_tblFillRateFechas[[#This Row],[Valida Fec]]=1),1,0)</f>
        <v>1</v>
      </c>
      <c r="P678" s="1">
        <f>+(Tabla__192.168.1.8_POSEIDONSQL_APPFVT_01_tblFillRateFechas[[#This Row],[Cant_Resultante]]/Tabla__192.168.1.8_POSEIDONSQL_APPFVT_01_tblFillRateFechas[[#This Row],[cant_order]])*100</f>
        <v>100</v>
      </c>
      <c r="Q6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8" s="1">
        <f>+IF(Tabla__192.168.1.8_POSEIDONSQL_APPFVT_01_tblFillRateFechas[[#This Row],[cant_order]]&gt;0,1,0)</f>
        <v>1</v>
      </c>
      <c r="V678" s="1">
        <f>+IF(Tabla__192.168.1.8_POSEIDONSQL_APPFVT_01_tblFillRateFechas[[#This Row],[Resultado]]=1,1,0)</f>
        <v>1</v>
      </c>
      <c r="W678" s="1" t="str">
        <f>+Tabla__192.168.1.8_POSEIDONSQL_APPFVT_01_tblFillRateFechas[[#This Row],[con_ocnumero]]&amp;Tabla__192.168.1.8_POSEIDONSQL_APPFVT_01_tblFillRateFechas[[#This Row],[con_codigounico]]</f>
        <v>961491-</v>
      </c>
      <c r="X6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79" spans="1:24" x14ac:dyDescent="0.25">
      <c r="A679">
        <v>6</v>
      </c>
      <c r="B679" t="s">
        <v>53</v>
      </c>
      <c r="C679">
        <v>962976</v>
      </c>
      <c r="D679" t="s">
        <v>163</v>
      </c>
      <c r="E679" t="s">
        <v>415</v>
      </c>
      <c r="F679" t="s">
        <v>429</v>
      </c>
      <c r="G679">
        <v>1</v>
      </c>
      <c r="H679">
        <v>1</v>
      </c>
      <c r="I679" t="s">
        <v>415</v>
      </c>
      <c r="J679">
        <v>0</v>
      </c>
      <c r="K679" t="s">
        <v>49</v>
      </c>
      <c r="L679" s="1">
        <f>+Tabla__192.168.1.8_POSEIDONSQL_APPFVT_01_tblFillRateFechas[[#This Row],[emb_cantidad]]-Tabla__192.168.1.8_POSEIDONSQL_APPFVT_01_tblFillRateFechas[[#This Row],[dev_cantidad]]</f>
        <v>1</v>
      </c>
      <c r="M679" s="1">
        <f>+IF(Tabla__192.168.1.8_POSEIDONSQL_APPFVT_01_tblFillRateFechas[[#This Row],[Cant_Resultante]]=Tabla__192.168.1.8_POSEIDONSQL_APPFVT_01_tblFillRateFechas[[#This Row],[cant_order]],1,0)</f>
        <v>1</v>
      </c>
      <c r="N6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79" s="1">
        <f>+IF(AND(Tabla__192.168.1.8_POSEIDONSQL_APPFVT_01_tblFillRateFechas[[#This Row],[Valida Cant]]=1,Tabla__192.168.1.8_POSEIDONSQL_APPFVT_01_tblFillRateFechas[[#This Row],[Valida Fec]]=1),1,0)</f>
        <v>1</v>
      </c>
      <c r="P679" s="1">
        <f>+(Tabla__192.168.1.8_POSEIDONSQL_APPFVT_01_tblFillRateFechas[[#This Row],[Cant_Resultante]]/Tabla__192.168.1.8_POSEIDONSQL_APPFVT_01_tblFillRateFechas[[#This Row],[cant_order]])*100</f>
        <v>100</v>
      </c>
      <c r="Q6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79" s="1">
        <f>+IF(Tabla__192.168.1.8_POSEIDONSQL_APPFVT_01_tblFillRateFechas[[#This Row],[cant_order]]&gt;0,1,0)</f>
        <v>1</v>
      </c>
      <c r="V679" s="1">
        <f>+IF(Tabla__192.168.1.8_POSEIDONSQL_APPFVT_01_tblFillRateFechas[[#This Row],[Resultado]]=1,1,0)</f>
        <v>1</v>
      </c>
      <c r="W679" s="1" t="str">
        <f>+Tabla__192.168.1.8_POSEIDONSQL_APPFVT_01_tblFillRateFechas[[#This Row],[con_ocnumero]]&amp;Tabla__192.168.1.8_POSEIDONSQL_APPFVT_01_tblFillRateFechas[[#This Row],[con_codigounico]]</f>
        <v>962976-</v>
      </c>
      <c r="X6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0" spans="1:24" x14ac:dyDescent="0.25">
      <c r="A680">
        <v>6</v>
      </c>
      <c r="B680" t="s">
        <v>53</v>
      </c>
      <c r="C680">
        <v>963627</v>
      </c>
      <c r="D680" t="s">
        <v>429</v>
      </c>
      <c r="E680" t="s">
        <v>415</v>
      </c>
      <c r="F680" t="s">
        <v>427</v>
      </c>
      <c r="G680">
        <v>2</v>
      </c>
      <c r="H680">
        <v>2</v>
      </c>
      <c r="I680" t="s">
        <v>415</v>
      </c>
      <c r="J680">
        <v>0</v>
      </c>
      <c r="K680" t="s">
        <v>49</v>
      </c>
      <c r="L680" s="1">
        <f>+Tabla__192.168.1.8_POSEIDONSQL_APPFVT_01_tblFillRateFechas[[#This Row],[emb_cantidad]]-Tabla__192.168.1.8_POSEIDONSQL_APPFVT_01_tblFillRateFechas[[#This Row],[dev_cantidad]]</f>
        <v>2</v>
      </c>
      <c r="M680" s="1">
        <f>+IF(Tabla__192.168.1.8_POSEIDONSQL_APPFVT_01_tblFillRateFechas[[#This Row],[Cant_Resultante]]=Tabla__192.168.1.8_POSEIDONSQL_APPFVT_01_tblFillRateFechas[[#This Row],[cant_order]],1,0)</f>
        <v>1</v>
      </c>
      <c r="N6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0" s="1">
        <f>+IF(AND(Tabla__192.168.1.8_POSEIDONSQL_APPFVT_01_tblFillRateFechas[[#This Row],[Valida Cant]]=1,Tabla__192.168.1.8_POSEIDONSQL_APPFVT_01_tblFillRateFechas[[#This Row],[Valida Fec]]=1),1,0)</f>
        <v>1</v>
      </c>
      <c r="P680" s="1">
        <f>+(Tabla__192.168.1.8_POSEIDONSQL_APPFVT_01_tblFillRateFechas[[#This Row],[Cant_Resultante]]/Tabla__192.168.1.8_POSEIDONSQL_APPFVT_01_tblFillRateFechas[[#This Row],[cant_order]])*100</f>
        <v>100</v>
      </c>
      <c r="Q6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6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6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0" s="1">
        <f>+IF(Tabla__192.168.1.8_POSEIDONSQL_APPFVT_01_tblFillRateFechas[[#This Row],[cant_order]]&gt;0,1,0)</f>
        <v>1</v>
      </c>
      <c r="V680" s="1">
        <f>+IF(Tabla__192.168.1.8_POSEIDONSQL_APPFVT_01_tblFillRateFechas[[#This Row],[Resultado]]=1,1,0)</f>
        <v>1</v>
      </c>
      <c r="W680" s="1" t="str">
        <f>+Tabla__192.168.1.8_POSEIDONSQL_APPFVT_01_tblFillRateFechas[[#This Row],[con_ocnumero]]&amp;Tabla__192.168.1.8_POSEIDONSQL_APPFVT_01_tblFillRateFechas[[#This Row],[con_codigounico]]</f>
        <v>963627-</v>
      </c>
      <c r="X6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681" spans="1:24" x14ac:dyDescent="0.25">
      <c r="A681">
        <v>6</v>
      </c>
      <c r="B681" t="s">
        <v>53</v>
      </c>
      <c r="C681">
        <v>963951</v>
      </c>
      <c r="D681" t="s">
        <v>429</v>
      </c>
      <c r="E681" t="s">
        <v>415</v>
      </c>
      <c r="F681" t="s">
        <v>427</v>
      </c>
      <c r="G681">
        <v>1</v>
      </c>
      <c r="H681">
        <v>1</v>
      </c>
      <c r="I681" t="s">
        <v>415</v>
      </c>
      <c r="J681">
        <v>0</v>
      </c>
      <c r="K681" t="s">
        <v>49</v>
      </c>
      <c r="L681" s="1">
        <f>+Tabla__192.168.1.8_POSEIDONSQL_APPFVT_01_tblFillRateFechas[[#This Row],[emb_cantidad]]-Tabla__192.168.1.8_POSEIDONSQL_APPFVT_01_tblFillRateFechas[[#This Row],[dev_cantidad]]</f>
        <v>1</v>
      </c>
      <c r="M681" s="1">
        <f>+IF(Tabla__192.168.1.8_POSEIDONSQL_APPFVT_01_tblFillRateFechas[[#This Row],[Cant_Resultante]]=Tabla__192.168.1.8_POSEIDONSQL_APPFVT_01_tblFillRateFechas[[#This Row],[cant_order]],1,0)</f>
        <v>1</v>
      </c>
      <c r="N6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1" s="1">
        <f>+IF(AND(Tabla__192.168.1.8_POSEIDONSQL_APPFVT_01_tblFillRateFechas[[#This Row],[Valida Cant]]=1,Tabla__192.168.1.8_POSEIDONSQL_APPFVT_01_tblFillRateFechas[[#This Row],[Valida Fec]]=1),1,0)</f>
        <v>1</v>
      </c>
      <c r="P681" s="1">
        <f>+(Tabla__192.168.1.8_POSEIDONSQL_APPFVT_01_tblFillRateFechas[[#This Row],[Cant_Resultante]]/Tabla__192.168.1.8_POSEIDONSQL_APPFVT_01_tblFillRateFechas[[#This Row],[cant_order]])*100</f>
        <v>100</v>
      </c>
      <c r="Q6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1" s="1">
        <f>+IF(Tabla__192.168.1.8_POSEIDONSQL_APPFVT_01_tblFillRateFechas[[#This Row],[cant_order]]&gt;0,1,0)</f>
        <v>1</v>
      </c>
      <c r="V681" s="1">
        <f>+IF(Tabla__192.168.1.8_POSEIDONSQL_APPFVT_01_tblFillRateFechas[[#This Row],[Resultado]]=1,1,0)</f>
        <v>1</v>
      </c>
      <c r="W681" s="1" t="str">
        <f>+Tabla__192.168.1.8_POSEIDONSQL_APPFVT_01_tblFillRateFechas[[#This Row],[con_ocnumero]]&amp;Tabla__192.168.1.8_POSEIDONSQL_APPFVT_01_tblFillRateFechas[[#This Row],[con_codigounico]]</f>
        <v>963951-</v>
      </c>
      <c r="X6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2" spans="1:24" x14ac:dyDescent="0.25">
      <c r="A682">
        <v>6</v>
      </c>
      <c r="B682" t="s">
        <v>53</v>
      </c>
      <c r="C682">
        <v>964103</v>
      </c>
      <c r="D682" t="s">
        <v>429</v>
      </c>
      <c r="E682" t="s">
        <v>415</v>
      </c>
      <c r="F682" t="s">
        <v>427</v>
      </c>
      <c r="G682">
        <v>1</v>
      </c>
      <c r="H682">
        <v>1</v>
      </c>
      <c r="I682" t="s">
        <v>415</v>
      </c>
      <c r="J682">
        <v>0</v>
      </c>
      <c r="K682" t="s">
        <v>49</v>
      </c>
      <c r="L682" s="1">
        <f>+Tabla__192.168.1.8_POSEIDONSQL_APPFVT_01_tblFillRateFechas[[#This Row],[emb_cantidad]]-Tabla__192.168.1.8_POSEIDONSQL_APPFVT_01_tblFillRateFechas[[#This Row],[dev_cantidad]]</f>
        <v>1</v>
      </c>
      <c r="M682" s="1">
        <f>+IF(Tabla__192.168.1.8_POSEIDONSQL_APPFVT_01_tblFillRateFechas[[#This Row],[Cant_Resultante]]=Tabla__192.168.1.8_POSEIDONSQL_APPFVT_01_tblFillRateFechas[[#This Row],[cant_order]],1,0)</f>
        <v>1</v>
      </c>
      <c r="N6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2" s="1">
        <f>+IF(AND(Tabla__192.168.1.8_POSEIDONSQL_APPFVT_01_tblFillRateFechas[[#This Row],[Valida Cant]]=1,Tabla__192.168.1.8_POSEIDONSQL_APPFVT_01_tblFillRateFechas[[#This Row],[Valida Fec]]=1),1,0)</f>
        <v>1</v>
      </c>
      <c r="P682" s="1">
        <f>+(Tabla__192.168.1.8_POSEIDONSQL_APPFVT_01_tblFillRateFechas[[#This Row],[Cant_Resultante]]/Tabla__192.168.1.8_POSEIDONSQL_APPFVT_01_tblFillRateFechas[[#This Row],[cant_order]])*100</f>
        <v>100</v>
      </c>
      <c r="Q6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2" s="1">
        <f>+IF(Tabla__192.168.1.8_POSEIDONSQL_APPFVT_01_tblFillRateFechas[[#This Row],[cant_order]]&gt;0,1,0)</f>
        <v>1</v>
      </c>
      <c r="V682" s="1">
        <f>+IF(Tabla__192.168.1.8_POSEIDONSQL_APPFVT_01_tblFillRateFechas[[#This Row],[Resultado]]=1,1,0)</f>
        <v>1</v>
      </c>
      <c r="W682" s="1" t="str">
        <f>+Tabla__192.168.1.8_POSEIDONSQL_APPFVT_01_tblFillRateFechas[[#This Row],[con_ocnumero]]&amp;Tabla__192.168.1.8_POSEIDONSQL_APPFVT_01_tblFillRateFechas[[#This Row],[con_codigounico]]</f>
        <v>964103-</v>
      </c>
      <c r="X6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3" spans="1:24" x14ac:dyDescent="0.25">
      <c r="A683">
        <v>6</v>
      </c>
      <c r="B683" t="s">
        <v>53</v>
      </c>
      <c r="C683">
        <v>964165</v>
      </c>
      <c r="D683" t="s">
        <v>429</v>
      </c>
      <c r="E683" t="s">
        <v>420</v>
      </c>
      <c r="F683" t="s">
        <v>427</v>
      </c>
      <c r="G683">
        <v>1</v>
      </c>
      <c r="H683">
        <v>1</v>
      </c>
      <c r="I683" t="s">
        <v>420</v>
      </c>
      <c r="J683">
        <v>0</v>
      </c>
      <c r="K683" t="s">
        <v>49</v>
      </c>
      <c r="L683" s="1">
        <f>+Tabla__192.168.1.8_POSEIDONSQL_APPFVT_01_tblFillRateFechas[[#This Row],[emb_cantidad]]-Tabla__192.168.1.8_POSEIDONSQL_APPFVT_01_tblFillRateFechas[[#This Row],[dev_cantidad]]</f>
        <v>1</v>
      </c>
      <c r="M683" s="1">
        <f>+IF(Tabla__192.168.1.8_POSEIDONSQL_APPFVT_01_tblFillRateFechas[[#This Row],[Cant_Resultante]]=Tabla__192.168.1.8_POSEIDONSQL_APPFVT_01_tblFillRateFechas[[#This Row],[cant_order]],1,0)</f>
        <v>1</v>
      </c>
      <c r="N6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3" s="1">
        <f>+IF(AND(Tabla__192.168.1.8_POSEIDONSQL_APPFVT_01_tblFillRateFechas[[#This Row],[Valida Cant]]=1,Tabla__192.168.1.8_POSEIDONSQL_APPFVT_01_tblFillRateFechas[[#This Row],[Valida Fec]]=1),1,0)</f>
        <v>1</v>
      </c>
      <c r="P683" s="1">
        <f>+(Tabla__192.168.1.8_POSEIDONSQL_APPFVT_01_tblFillRateFechas[[#This Row],[Cant_Resultante]]/Tabla__192.168.1.8_POSEIDONSQL_APPFVT_01_tblFillRateFechas[[#This Row],[cant_order]])*100</f>
        <v>100</v>
      </c>
      <c r="Q6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3" s="1">
        <f>+IF(Tabla__192.168.1.8_POSEIDONSQL_APPFVT_01_tblFillRateFechas[[#This Row],[cant_order]]&gt;0,1,0)</f>
        <v>1</v>
      </c>
      <c r="V683" s="1">
        <f>+IF(Tabla__192.168.1.8_POSEIDONSQL_APPFVT_01_tblFillRateFechas[[#This Row],[Resultado]]=1,1,0)</f>
        <v>1</v>
      </c>
      <c r="W683" s="1" t="str">
        <f>+Tabla__192.168.1.8_POSEIDONSQL_APPFVT_01_tblFillRateFechas[[#This Row],[con_ocnumero]]&amp;Tabla__192.168.1.8_POSEIDONSQL_APPFVT_01_tblFillRateFechas[[#This Row],[con_codigounico]]</f>
        <v>964165-</v>
      </c>
      <c r="X6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4" spans="1:24" x14ac:dyDescent="0.25">
      <c r="A684">
        <v>6</v>
      </c>
      <c r="B684" t="s">
        <v>53</v>
      </c>
      <c r="C684">
        <v>965297</v>
      </c>
      <c r="D684" t="s">
        <v>425</v>
      </c>
      <c r="E684" t="s">
        <v>416</v>
      </c>
      <c r="F684" t="s">
        <v>425</v>
      </c>
      <c r="G684">
        <v>1</v>
      </c>
      <c r="H684">
        <v>2</v>
      </c>
      <c r="I684" t="s">
        <v>420</v>
      </c>
      <c r="J684">
        <v>1</v>
      </c>
      <c r="K684" t="s">
        <v>49</v>
      </c>
      <c r="L684" s="1">
        <f>+Tabla__192.168.1.8_POSEIDONSQL_APPFVT_01_tblFillRateFechas[[#This Row],[emb_cantidad]]-Tabla__192.168.1.8_POSEIDONSQL_APPFVT_01_tblFillRateFechas[[#This Row],[dev_cantidad]]</f>
        <v>1</v>
      </c>
      <c r="M684" s="1">
        <f>+IF(Tabla__192.168.1.8_POSEIDONSQL_APPFVT_01_tblFillRateFechas[[#This Row],[Cant_Resultante]]=Tabla__192.168.1.8_POSEIDONSQL_APPFVT_01_tblFillRateFechas[[#This Row],[cant_order]],1,0)</f>
        <v>1</v>
      </c>
      <c r="N6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684" s="1">
        <f>+IF(AND(Tabla__192.168.1.8_POSEIDONSQL_APPFVT_01_tblFillRateFechas[[#This Row],[Valida Cant]]=1,Tabla__192.168.1.8_POSEIDONSQL_APPFVT_01_tblFillRateFechas[[#This Row],[Valida Fec]]=1),1,0)</f>
        <v>0</v>
      </c>
      <c r="P684" s="1">
        <f>+(Tabla__192.168.1.8_POSEIDONSQL_APPFVT_01_tblFillRateFechas[[#This Row],[Cant_Resultante]]/Tabla__192.168.1.8_POSEIDONSQL_APPFVT_01_tblFillRateFechas[[#This Row],[cant_order]])*100</f>
        <v>100</v>
      </c>
      <c r="Q6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6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6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4" s="1">
        <f>+IF(Tabla__192.168.1.8_POSEIDONSQL_APPFVT_01_tblFillRateFechas[[#This Row],[cant_order]]&gt;0,1,0)</f>
        <v>1</v>
      </c>
      <c r="V684" s="1">
        <f>+IF(Tabla__192.168.1.8_POSEIDONSQL_APPFVT_01_tblFillRateFechas[[#This Row],[Resultado]]=1,1,0)</f>
        <v>0</v>
      </c>
      <c r="W684" s="1" t="str">
        <f>+Tabla__192.168.1.8_POSEIDONSQL_APPFVT_01_tblFillRateFechas[[#This Row],[con_ocnumero]]&amp;Tabla__192.168.1.8_POSEIDONSQL_APPFVT_01_tblFillRateFechas[[#This Row],[con_codigounico]]</f>
        <v>965297-</v>
      </c>
      <c r="X6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5" spans="1:24" x14ac:dyDescent="0.25">
      <c r="A685">
        <v>6</v>
      </c>
      <c r="B685" t="s">
        <v>53</v>
      </c>
      <c r="C685">
        <v>965346</v>
      </c>
      <c r="D685" t="s">
        <v>425</v>
      </c>
      <c r="E685" t="s">
        <v>416</v>
      </c>
      <c r="F685" t="s">
        <v>425</v>
      </c>
      <c r="G685">
        <v>1</v>
      </c>
      <c r="H685">
        <v>1</v>
      </c>
      <c r="I685" t="s">
        <v>416</v>
      </c>
      <c r="J685">
        <v>0</v>
      </c>
      <c r="K685" t="s">
        <v>49</v>
      </c>
      <c r="L685" s="1">
        <f>+Tabla__192.168.1.8_POSEIDONSQL_APPFVT_01_tblFillRateFechas[[#This Row],[emb_cantidad]]-Tabla__192.168.1.8_POSEIDONSQL_APPFVT_01_tblFillRateFechas[[#This Row],[dev_cantidad]]</f>
        <v>1</v>
      </c>
      <c r="M685" s="1">
        <f>+IF(Tabla__192.168.1.8_POSEIDONSQL_APPFVT_01_tblFillRateFechas[[#This Row],[Cant_Resultante]]=Tabla__192.168.1.8_POSEIDONSQL_APPFVT_01_tblFillRateFechas[[#This Row],[cant_order]],1,0)</f>
        <v>1</v>
      </c>
      <c r="N6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5" s="1">
        <f>+IF(AND(Tabla__192.168.1.8_POSEIDONSQL_APPFVT_01_tblFillRateFechas[[#This Row],[Valida Cant]]=1,Tabla__192.168.1.8_POSEIDONSQL_APPFVT_01_tblFillRateFechas[[#This Row],[Valida Fec]]=1),1,0)</f>
        <v>1</v>
      </c>
      <c r="P685" s="1">
        <f>+(Tabla__192.168.1.8_POSEIDONSQL_APPFVT_01_tblFillRateFechas[[#This Row],[Cant_Resultante]]/Tabla__192.168.1.8_POSEIDONSQL_APPFVT_01_tblFillRateFechas[[#This Row],[cant_order]])*100</f>
        <v>100</v>
      </c>
      <c r="Q6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5" s="1">
        <f>+IF(Tabla__192.168.1.8_POSEIDONSQL_APPFVT_01_tblFillRateFechas[[#This Row],[cant_order]]&gt;0,1,0)</f>
        <v>1</v>
      </c>
      <c r="V685" s="1">
        <f>+IF(Tabla__192.168.1.8_POSEIDONSQL_APPFVT_01_tblFillRateFechas[[#This Row],[Resultado]]=1,1,0)</f>
        <v>1</v>
      </c>
      <c r="W685" s="1" t="str">
        <f>+Tabla__192.168.1.8_POSEIDONSQL_APPFVT_01_tblFillRateFechas[[#This Row],[con_ocnumero]]&amp;Tabla__192.168.1.8_POSEIDONSQL_APPFVT_01_tblFillRateFechas[[#This Row],[con_codigounico]]</f>
        <v>965346-</v>
      </c>
      <c r="X6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6" spans="1:24" x14ac:dyDescent="0.25">
      <c r="A686">
        <v>6</v>
      </c>
      <c r="B686" t="s">
        <v>53</v>
      </c>
      <c r="C686">
        <v>965568</v>
      </c>
      <c r="D686" t="s">
        <v>425</v>
      </c>
      <c r="E686" t="s">
        <v>419</v>
      </c>
      <c r="F686" t="s">
        <v>426</v>
      </c>
      <c r="G686">
        <v>1</v>
      </c>
      <c r="H686">
        <v>1</v>
      </c>
      <c r="I686" t="s">
        <v>416</v>
      </c>
      <c r="J686">
        <v>0</v>
      </c>
      <c r="K686" t="s">
        <v>49</v>
      </c>
      <c r="L686" s="1">
        <f>+Tabla__192.168.1.8_POSEIDONSQL_APPFVT_01_tblFillRateFechas[[#This Row],[emb_cantidad]]-Tabla__192.168.1.8_POSEIDONSQL_APPFVT_01_tblFillRateFechas[[#This Row],[dev_cantidad]]</f>
        <v>1</v>
      </c>
      <c r="M686" s="1">
        <f>+IF(Tabla__192.168.1.8_POSEIDONSQL_APPFVT_01_tblFillRateFechas[[#This Row],[Cant_Resultante]]=Tabla__192.168.1.8_POSEIDONSQL_APPFVT_01_tblFillRateFechas[[#This Row],[cant_order]],1,0)</f>
        <v>1</v>
      </c>
      <c r="N6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6" s="1">
        <f>+IF(AND(Tabla__192.168.1.8_POSEIDONSQL_APPFVT_01_tblFillRateFechas[[#This Row],[Valida Cant]]=1,Tabla__192.168.1.8_POSEIDONSQL_APPFVT_01_tblFillRateFechas[[#This Row],[Valida Fec]]=1),1,0)</f>
        <v>1</v>
      </c>
      <c r="P686" s="1">
        <f>+(Tabla__192.168.1.8_POSEIDONSQL_APPFVT_01_tblFillRateFechas[[#This Row],[Cant_Resultante]]/Tabla__192.168.1.8_POSEIDONSQL_APPFVT_01_tblFillRateFechas[[#This Row],[cant_order]])*100</f>
        <v>100</v>
      </c>
      <c r="Q6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6" s="1">
        <f>+IF(Tabla__192.168.1.8_POSEIDONSQL_APPFVT_01_tblFillRateFechas[[#This Row],[cant_order]]&gt;0,1,0)</f>
        <v>1</v>
      </c>
      <c r="V686" s="1">
        <f>+IF(Tabla__192.168.1.8_POSEIDONSQL_APPFVT_01_tblFillRateFechas[[#This Row],[Resultado]]=1,1,0)</f>
        <v>1</v>
      </c>
      <c r="W686" s="1" t="str">
        <f>+Tabla__192.168.1.8_POSEIDONSQL_APPFVT_01_tblFillRateFechas[[#This Row],[con_ocnumero]]&amp;Tabla__192.168.1.8_POSEIDONSQL_APPFVT_01_tblFillRateFechas[[#This Row],[con_codigounico]]</f>
        <v>965568-</v>
      </c>
      <c r="X6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7" spans="1:24" x14ac:dyDescent="0.25">
      <c r="A687">
        <v>6</v>
      </c>
      <c r="B687" t="s">
        <v>53</v>
      </c>
      <c r="C687">
        <v>965729</v>
      </c>
      <c r="D687" t="s">
        <v>425</v>
      </c>
      <c r="E687" t="s">
        <v>419</v>
      </c>
      <c r="F687" t="s">
        <v>426</v>
      </c>
      <c r="G687">
        <v>1</v>
      </c>
      <c r="H687">
        <v>1</v>
      </c>
      <c r="I687" t="s">
        <v>416</v>
      </c>
      <c r="J687">
        <v>0</v>
      </c>
      <c r="K687" t="s">
        <v>49</v>
      </c>
      <c r="L687" s="1">
        <f>+Tabla__192.168.1.8_POSEIDONSQL_APPFVT_01_tblFillRateFechas[[#This Row],[emb_cantidad]]-Tabla__192.168.1.8_POSEIDONSQL_APPFVT_01_tblFillRateFechas[[#This Row],[dev_cantidad]]</f>
        <v>1</v>
      </c>
      <c r="M687" s="1">
        <f>+IF(Tabla__192.168.1.8_POSEIDONSQL_APPFVT_01_tblFillRateFechas[[#This Row],[Cant_Resultante]]=Tabla__192.168.1.8_POSEIDONSQL_APPFVT_01_tblFillRateFechas[[#This Row],[cant_order]],1,0)</f>
        <v>1</v>
      </c>
      <c r="N6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7" s="1">
        <f>+IF(AND(Tabla__192.168.1.8_POSEIDONSQL_APPFVT_01_tblFillRateFechas[[#This Row],[Valida Cant]]=1,Tabla__192.168.1.8_POSEIDONSQL_APPFVT_01_tblFillRateFechas[[#This Row],[Valida Fec]]=1),1,0)</f>
        <v>1</v>
      </c>
      <c r="P687" s="1">
        <f>+(Tabla__192.168.1.8_POSEIDONSQL_APPFVT_01_tblFillRateFechas[[#This Row],[Cant_Resultante]]/Tabla__192.168.1.8_POSEIDONSQL_APPFVT_01_tblFillRateFechas[[#This Row],[cant_order]])*100</f>
        <v>100</v>
      </c>
      <c r="Q6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7" s="1">
        <f>+IF(Tabla__192.168.1.8_POSEIDONSQL_APPFVT_01_tblFillRateFechas[[#This Row],[cant_order]]&gt;0,1,0)</f>
        <v>1</v>
      </c>
      <c r="V687" s="1">
        <f>+IF(Tabla__192.168.1.8_POSEIDONSQL_APPFVT_01_tblFillRateFechas[[#This Row],[Resultado]]=1,1,0)</f>
        <v>1</v>
      </c>
      <c r="W687" s="1" t="str">
        <f>+Tabla__192.168.1.8_POSEIDONSQL_APPFVT_01_tblFillRateFechas[[#This Row],[con_ocnumero]]&amp;Tabla__192.168.1.8_POSEIDONSQL_APPFVT_01_tblFillRateFechas[[#This Row],[con_codigounico]]</f>
        <v>965729-</v>
      </c>
      <c r="X6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8" spans="1:24" x14ac:dyDescent="0.25">
      <c r="A688">
        <v>6</v>
      </c>
      <c r="B688" t="s">
        <v>53</v>
      </c>
      <c r="C688">
        <v>965735</v>
      </c>
      <c r="D688" t="s">
        <v>425</v>
      </c>
      <c r="E688" t="s">
        <v>416</v>
      </c>
      <c r="F688" t="s">
        <v>426</v>
      </c>
      <c r="G688">
        <v>1</v>
      </c>
      <c r="H688">
        <v>1</v>
      </c>
      <c r="I688" t="s">
        <v>416</v>
      </c>
      <c r="J688">
        <v>0</v>
      </c>
      <c r="K688" t="s">
        <v>49</v>
      </c>
      <c r="L688" s="1">
        <f>+Tabla__192.168.1.8_POSEIDONSQL_APPFVT_01_tblFillRateFechas[[#This Row],[emb_cantidad]]-Tabla__192.168.1.8_POSEIDONSQL_APPFVT_01_tblFillRateFechas[[#This Row],[dev_cantidad]]</f>
        <v>1</v>
      </c>
      <c r="M688" s="1">
        <f>+IF(Tabla__192.168.1.8_POSEIDONSQL_APPFVT_01_tblFillRateFechas[[#This Row],[Cant_Resultante]]=Tabla__192.168.1.8_POSEIDONSQL_APPFVT_01_tblFillRateFechas[[#This Row],[cant_order]],1,0)</f>
        <v>1</v>
      </c>
      <c r="N6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8" s="1">
        <f>+IF(AND(Tabla__192.168.1.8_POSEIDONSQL_APPFVT_01_tblFillRateFechas[[#This Row],[Valida Cant]]=1,Tabla__192.168.1.8_POSEIDONSQL_APPFVT_01_tblFillRateFechas[[#This Row],[Valida Fec]]=1),1,0)</f>
        <v>1</v>
      </c>
      <c r="P688" s="1">
        <f>+(Tabla__192.168.1.8_POSEIDONSQL_APPFVT_01_tblFillRateFechas[[#This Row],[Cant_Resultante]]/Tabla__192.168.1.8_POSEIDONSQL_APPFVT_01_tblFillRateFechas[[#This Row],[cant_order]])*100</f>
        <v>100</v>
      </c>
      <c r="Q6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8" s="1">
        <f>+IF(Tabla__192.168.1.8_POSEIDONSQL_APPFVT_01_tblFillRateFechas[[#This Row],[cant_order]]&gt;0,1,0)</f>
        <v>1</v>
      </c>
      <c r="V688" s="1">
        <f>+IF(Tabla__192.168.1.8_POSEIDONSQL_APPFVT_01_tblFillRateFechas[[#This Row],[Resultado]]=1,1,0)</f>
        <v>1</v>
      </c>
      <c r="W688" s="1" t="str">
        <f>+Tabla__192.168.1.8_POSEIDONSQL_APPFVT_01_tblFillRateFechas[[#This Row],[con_ocnumero]]&amp;Tabla__192.168.1.8_POSEIDONSQL_APPFVT_01_tblFillRateFechas[[#This Row],[con_codigounico]]</f>
        <v>965735-</v>
      </c>
      <c r="X6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89" spans="1:24" x14ac:dyDescent="0.25">
      <c r="A689">
        <v>6</v>
      </c>
      <c r="B689" t="s">
        <v>53</v>
      </c>
      <c r="C689">
        <v>965757</v>
      </c>
      <c r="D689" t="s">
        <v>425</v>
      </c>
      <c r="E689" t="s">
        <v>419</v>
      </c>
      <c r="F689" t="s">
        <v>426</v>
      </c>
      <c r="G689">
        <v>1</v>
      </c>
      <c r="H689">
        <v>1</v>
      </c>
      <c r="I689" t="s">
        <v>416</v>
      </c>
      <c r="J689">
        <v>0</v>
      </c>
      <c r="K689" t="s">
        <v>49</v>
      </c>
      <c r="L689" s="1">
        <f>+Tabla__192.168.1.8_POSEIDONSQL_APPFVT_01_tblFillRateFechas[[#This Row],[emb_cantidad]]-Tabla__192.168.1.8_POSEIDONSQL_APPFVT_01_tblFillRateFechas[[#This Row],[dev_cantidad]]</f>
        <v>1</v>
      </c>
      <c r="M689" s="1">
        <f>+IF(Tabla__192.168.1.8_POSEIDONSQL_APPFVT_01_tblFillRateFechas[[#This Row],[Cant_Resultante]]=Tabla__192.168.1.8_POSEIDONSQL_APPFVT_01_tblFillRateFechas[[#This Row],[cant_order]],1,0)</f>
        <v>1</v>
      </c>
      <c r="N6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89" s="1">
        <f>+IF(AND(Tabla__192.168.1.8_POSEIDONSQL_APPFVT_01_tblFillRateFechas[[#This Row],[Valida Cant]]=1,Tabla__192.168.1.8_POSEIDONSQL_APPFVT_01_tblFillRateFechas[[#This Row],[Valida Fec]]=1),1,0)</f>
        <v>1</v>
      </c>
      <c r="P689" s="1">
        <f>+(Tabla__192.168.1.8_POSEIDONSQL_APPFVT_01_tblFillRateFechas[[#This Row],[Cant_Resultante]]/Tabla__192.168.1.8_POSEIDONSQL_APPFVT_01_tblFillRateFechas[[#This Row],[cant_order]])*100</f>
        <v>100</v>
      </c>
      <c r="Q6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89" s="1">
        <f>+IF(Tabla__192.168.1.8_POSEIDONSQL_APPFVT_01_tblFillRateFechas[[#This Row],[cant_order]]&gt;0,1,0)</f>
        <v>1</v>
      </c>
      <c r="V689" s="1">
        <f>+IF(Tabla__192.168.1.8_POSEIDONSQL_APPFVT_01_tblFillRateFechas[[#This Row],[Resultado]]=1,1,0)</f>
        <v>1</v>
      </c>
      <c r="W689" s="1" t="str">
        <f>+Tabla__192.168.1.8_POSEIDONSQL_APPFVT_01_tblFillRateFechas[[#This Row],[con_ocnumero]]&amp;Tabla__192.168.1.8_POSEIDONSQL_APPFVT_01_tblFillRateFechas[[#This Row],[con_codigounico]]</f>
        <v>965757-</v>
      </c>
      <c r="X6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0" spans="1:24" x14ac:dyDescent="0.25">
      <c r="A690">
        <v>6</v>
      </c>
      <c r="B690" t="s">
        <v>53</v>
      </c>
      <c r="C690">
        <v>965758</v>
      </c>
      <c r="D690" t="s">
        <v>425</v>
      </c>
      <c r="E690" t="s">
        <v>419</v>
      </c>
      <c r="F690" t="s">
        <v>426</v>
      </c>
      <c r="G690">
        <v>1</v>
      </c>
      <c r="H690">
        <v>1</v>
      </c>
      <c r="I690" t="s">
        <v>416</v>
      </c>
      <c r="J690">
        <v>0</v>
      </c>
      <c r="K690" t="s">
        <v>49</v>
      </c>
      <c r="L690" s="1">
        <f>+Tabla__192.168.1.8_POSEIDONSQL_APPFVT_01_tblFillRateFechas[[#This Row],[emb_cantidad]]-Tabla__192.168.1.8_POSEIDONSQL_APPFVT_01_tblFillRateFechas[[#This Row],[dev_cantidad]]</f>
        <v>1</v>
      </c>
      <c r="M690" s="1">
        <f>+IF(Tabla__192.168.1.8_POSEIDONSQL_APPFVT_01_tblFillRateFechas[[#This Row],[Cant_Resultante]]=Tabla__192.168.1.8_POSEIDONSQL_APPFVT_01_tblFillRateFechas[[#This Row],[cant_order]],1,0)</f>
        <v>1</v>
      </c>
      <c r="N6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0" s="1">
        <f>+IF(AND(Tabla__192.168.1.8_POSEIDONSQL_APPFVT_01_tblFillRateFechas[[#This Row],[Valida Cant]]=1,Tabla__192.168.1.8_POSEIDONSQL_APPFVT_01_tblFillRateFechas[[#This Row],[Valida Fec]]=1),1,0)</f>
        <v>1</v>
      </c>
      <c r="P690" s="1">
        <f>+(Tabla__192.168.1.8_POSEIDONSQL_APPFVT_01_tblFillRateFechas[[#This Row],[Cant_Resultante]]/Tabla__192.168.1.8_POSEIDONSQL_APPFVT_01_tblFillRateFechas[[#This Row],[cant_order]])*100</f>
        <v>100</v>
      </c>
      <c r="Q6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0" s="1">
        <f>+IF(Tabla__192.168.1.8_POSEIDONSQL_APPFVT_01_tblFillRateFechas[[#This Row],[cant_order]]&gt;0,1,0)</f>
        <v>1</v>
      </c>
      <c r="V690" s="1">
        <f>+IF(Tabla__192.168.1.8_POSEIDONSQL_APPFVT_01_tblFillRateFechas[[#This Row],[Resultado]]=1,1,0)</f>
        <v>1</v>
      </c>
      <c r="W690" s="1" t="str">
        <f>+Tabla__192.168.1.8_POSEIDONSQL_APPFVT_01_tblFillRateFechas[[#This Row],[con_ocnumero]]&amp;Tabla__192.168.1.8_POSEIDONSQL_APPFVT_01_tblFillRateFechas[[#This Row],[con_codigounico]]</f>
        <v>965758-</v>
      </c>
      <c r="X6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1" spans="1:24" x14ac:dyDescent="0.25">
      <c r="A691">
        <v>6</v>
      </c>
      <c r="B691" t="s">
        <v>53</v>
      </c>
      <c r="C691">
        <v>965962</v>
      </c>
      <c r="D691" t="s">
        <v>425</v>
      </c>
      <c r="E691" t="s">
        <v>416</v>
      </c>
      <c r="F691" t="s">
        <v>426</v>
      </c>
      <c r="G691">
        <v>1</v>
      </c>
      <c r="H691">
        <v>1</v>
      </c>
      <c r="I691" t="s">
        <v>416</v>
      </c>
      <c r="J691">
        <v>0</v>
      </c>
      <c r="K691" t="s">
        <v>49</v>
      </c>
      <c r="L691" s="1">
        <f>+Tabla__192.168.1.8_POSEIDONSQL_APPFVT_01_tblFillRateFechas[[#This Row],[emb_cantidad]]-Tabla__192.168.1.8_POSEIDONSQL_APPFVT_01_tblFillRateFechas[[#This Row],[dev_cantidad]]</f>
        <v>1</v>
      </c>
      <c r="M691" s="1">
        <f>+IF(Tabla__192.168.1.8_POSEIDONSQL_APPFVT_01_tblFillRateFechas[[#This Row],[Cant_Resultante]]=Tabla__192.168.1.8_POSEIDONSQL_APPFVT_01_tblFillRateFechas[[#This Row],[cant_order]],1,0)</f>
        <v>1</v>
      </c>
      <c r="N6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1" s="1">
        <f>+IF(AND(Tabla__192.168.1.8_POSEIDONSQL_APPFVT_01_tblFillRateFechas[[#This Row],[Valida Cant]]=1,Tabla__192.168.1.8_POSEIDONSQL_APPFVT_01_tblFillRateFechas[[#This Row],[Valida Fec]]=1),1,0)</f>
        <v>1</v>
      </c>
      <c r="P691" s="1">
        <f>+(Tabla__192.168.1.8_POSEIDONSQL_APPFVT_01_tblFillRateFechas[[#This Row],[Cant_Resultante]]/Tabla__192.168.1.8_POSEIDONSQL_APPFVT_01_tblFillRateFechas[[#This Row],[cant_order]])*100</f>
        <v>100</v>
      </c>
      <c r="Q6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1" s="1">
        <f>+IF(Tabla__192.168.1.8_POSEIDONSQL_APPFVT_01_tblFillRateFechas[[#This Row],[cant_order]]&gt;0,1,0)</f>
        <v>1</v>
      </c>
      <c r="V691" s="1">
        <f>+IF(Tabla__192.168.1.8_POSEIDONSQL_APPFVT_01_tblFillRateFechas[[#This Row],[Resultado]]=1,1,0)</f>
        <v>1</v>
      </c>
      <c r="W691" s="1" t="str">
        <f>+Tabla__192.168.1.8_POSEIDONSQL_APPFVT_01_tblFillRateFechas[[#This Row],[con_ocnumero]]&amp;Tabla__192.168.1.8_POSEIDONSQL_APPFVT_01_tblFillRateFechas[[#This Row],[con_codigounico]]</f>
        <v>965962-</v>
      </c>
      <c r="X6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2" spans="1:24" x14ac:dyDescent="0.25">
      <c r="A692">
        <v>6</v>
      </c>
      <c r="B692" t="s">
        <v>53</v>
      </c>
      <c r="C692">
        <v>965995</v>
      </c>
      <c r="D692" t="s">
        <v>425</v>
      </c>
      <c r="E692" t="s">
        <v>416</v>
      </c>
      <c r="F692" t="s">
        <v>426</v>
      </c>
      <c r="G692">
        <v>1</v>
      </c>
      <c r="H692">
        <v>1</v>
      </c>
      <c r="I692" t="s">
        <v>416</v>
      </c>
      <c r="J692">
        <v>0</v>
      </c>
      <c r="K692" t="s">
        <v>49</v>
      </c>
      <c r="L692" s="1">
        <f>+Tabla__192.168.1.8_POSEIDONSQL_APPFVT_01_tblFillRateFechas[[#This Row],[emb_cantidad]]-Tabla__192.168.1.8_POSEIDONSQL_APPFVT_01_tblFillRateFechas[[#This Row],[dev_cantidad]]</f>
        <v>1</v>
      </c>
      <c r="M692" s="1">
        <f>+IF(Tabla__192.168.1.8_POSEIDONSQL_APPFVT_01_tblFillRateFechas[[#This Row],[Cant_Resultante]]=Tabla__192.168.1.8_POSEIDONSQL_APPFVT_01_tblFillRateFechas[[#This Row],[cant_order]],1,0)</f>
        <v>1</v>
      </c>
      <c r="N6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2" s="1">
        <f>+IF(AND(Tabla__192.168.1.8_POSEIDONSQL_APPFVT_01_tblFillRateFechas[[#This Row],[Valida Cant]]=1,Tabla__192.168.1.8_POSEIDONSQL_APPFVT_01_tblFillRateFechas[[#This Row],[Valida Fec]]=1),1,0)</f>
        <v>1</v>
      </c>
      <c r="P692" s="1">
        <f>+(Tabla__192.168.1.8_POSEIDONSQL_APPFVT_01_tblFillRateFechas[[#This Row],[Cant_Resultante]]/Tabla__192.168.1.8_POSEIDONSQL_APPFVT_01_tblFillRateFechas[[#This Row],[cant_order]])*100</f>
        <v>100</v>
      </c>
      <c r="Q6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2" s="1">
        <f>+IF(Tabla__192.168.1.8_POSEIDONSQL_APPFVT_01_tblFillRateFechas[[#This Row],[cant_order]]&gt;0,1,0)</f>
        <v>1</v>
      </c>
      <c r="V692" s="1">
        <f>+IF(Tabla__192.168.1.8_POSEIDONSQL_APPFVT_01_tblFillRateFechas[[#This Row],[Resultado]]=1,1,0)</f>
        <v>1</v>
      </c>
      <c r="W692" s="1" t="str">
        <f>+Tabla__192.168.1.8_POSEIDONSQL_APPFVT_01_tblFillRateFechas[[#This Row],[con_ocnumero]]&amp;Tabla__192.168.1.8_POSEIDONSQL_APPFVT_01_tblFillRateFechas[[#This Row],[con_codigounico]]</f>
        <v>965995-</v>
      </c>
      <c r="X6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3" spans="1:24" x14ac:dyDescent="0.25">
      <c r="A693">
        <v>6</v>
      </c>
      <c r="B693" t="s">
        <v>53</v>
      </c>
      <c r="C693">
        <v>966076</v>
      </c>
      <c r="D693" t="s">
        <v>425</v>
      </c>
      <c r="E693" t="s">
        <v>416</v>
      </c>
      <c r="F693" t="s">
        <v>426</v>
      </c>
      <c r="G693">
        <v>1</v>
      </c>
      <c r="H693">
        <v>1</v>
      </c>
      <c r="I693" t="s">
        <v>416</v>
      </c>
      <c r="J693">
        <v>0</v>
      </c>
      <c r="K693" t="s">
        <v>49</v>
      </c>
      <c r="L693" s="1">
        <f>+Tabla__192.168.1.8_POSEIDONSQL_APPFVT_01_tblFillRateFechas[[#This Row],[emb_cantidad]]-Tabla__192.168.1.8_POSEIDONSQL_APPFVT_01_tblFillRateFechas[[#This Row],[dev_cantidad]]</f>
        <v>1</v>
      </c>
      <c r="M693" s="1">
        <f>+IF(Tabla__192.168.1.8_POSEIDONSQL_APPFVT_01_tblFillRateFechas[[#This Row],[Cant_Resultante]]=Tabla__192.168.1.8_POSEIDONSQL_APPFVT_01_tblFillRateFechas[[#This Row],[cant_order]],1,0)</f>
        <v>1</v>
      </c>
      <c r="N6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3" s="1">
        <f>+IF(AND(Tabla__192.168.1.8_POSEIDONSQL_APPFVT_01_tblFillRateFechas[[#This Row],[Valida Cant]]=1,Tabla__192.168.1.8_POSEIDONSQL_APPFVT_01_tblFillRateFechas[[#This Row],[Valida Fec]]=1),1,0)</f>
        <v>1</v>
      </c>
      <c r="P693" s="1">
        <f>+(Tabla__192.168.1.8_POSEIDONSQL_APPFVT_01_tblFillRateFechas[[#This Row],[Cant_Resultante]]/Tabla__192.168.1.8_POSEIDONSQL_APPFVT_01_tblFillRateFechas[[#This Row],[cant_order]])*100</f>
        <v>100</v>
      </c>
      <c r="Q6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3" s="1">
        <f>+IF(Tabla__192.168.1.8_POSEIDONSQL_APPFVT_01_tblFillRateFechas[[#This Row],[cant_order]]&gt;0,1,0)</f>
        <v>1</v>
      </c>
      <c r="V693" s="1">
        <f>+IF(Tabla__192.168.1.8_POSEIDONSQL_APPFVT_01_tblFillRateFechas[[#This Row],[Resultado]]=1,1,0)</f>
        <v>1</v>
      </c>
      <c r="W693" s="1" t="str">
        <f>+Tabla__192.168.1.8_POSEIDONSQL_APPFVT_01_tblFillRateFechas[[#This Row],[con_ocnumero]]&amp;Tabla__192.168.1.8_POSEIDONSQL_APPFVT_01_tblFillRateFechas[[#This Row],[con_codigounico]]</f>
        <v>966076-</v>
      </c>
      <c r="X6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4" spans="1:24" x14ac:dyDescent="0.25">
      <c r="A694">
        <v>6</v>
      </c>
      <c r="B694" t="s">
        <v>53</v>
      </c>
      <c r="C694">
        <v>966290</v>
      </c>
      <c r="D694" t="s">
        <v>425</v>
      </c>
      <c r="E694" t="s">
        <v>416</v>
      </c>
      <c r="F694" t="s">
        <v>426</v>
      </c>
      <c r="G694">
        <v>1</v>
      </c>
      <c r="H694">
        <v>1</v>
      </c>
      <c r="I694" t="s">
        <v>416</v>
      </c>
      <c r="J694">
        <v>0</v>
      </c>
      <c r="K694" t="s">
        <v>49</v>
      </c>
      <c r="L694" s="1">
        <f>+Tabla__192.168.1.8_POSEIDONSQL_APPFVT_01_tblFillRateFechas[[#This Row],[emb_cantidad]]-Tabla__192.168.1.8_POSEIDONSQL_APPFVT_01_tblFillRateFechas[[#This Row],[dev_cantidad]]</f>
        <v>1</v>
      </c>
      <c r="M694" s="1">
        <f>+IF(Tabla__192.168.1.8_POSEIDONSQL_APPFVT_01_tblFillRateFechas[[#This Row],[Cant_Resultante]]=Tabla__192.168.1.8_POSEIDONSQL_APPFVT_01_tblFillRateFechas[[#This Row],[cant_order]],1,0)</f>
        <v>1</v>
      </c>
      <c r="N6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4" s="1">
        <f>+IF(AND(Tabla__192.168.1.8_POSEIDONSQL_APPFVT_01_tblFillRateFechas[[#This Row],[Valida Cant]]=1,Tabla__192.168.1.8_POSEIDONSQL_APPFVT_01_tblFillRateFechas[[#This Row],[Valida Fec]]=1),1,0)</f>
        <v>1</v>
      </c>
      <c r="P694" s="1">
        <f>+(Tabla__192.168.1.8_POSEIDONSQL_APPFVT_01_tblFillRateFechas[[#This Row],[Cant_Resultante]]/Tabla__192.168.1.8_POSEIDONSQL_APPFVT_01_tblFillRateFechas[[#This Row],[cant_order]])*100</f>
        <v>100</v>
      </c>
      <c r="Q6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4" s="1">
        <f>+IF(Tabla__192.168.1.8_POSEIDONSQL_APPFVT_01_tblFillRateFechas[[#This Row],[cant_order]]&gt;0,1,0)</f>
        <v>1</v>
      </c>
      <c r="V694" s="1">
        <f>+IF(Tabla__192.168.1.8_POSEIDONSQL_APPFVT_01_tblFillRateFechas[[#This Row],[Resultado]]=1,1,0)</f>
        <v>1</v>
      </c>
      <c r="W694" s="1" t="str">
        <f>+Tabla__192.168.1.8_POSEIDONSQL_APPFVT_01_tblFillRateFechas[[#This Row],[con_ocnumero]]&amp;Tabla__192.168.1.8_POSEIDONSQL_APPFVT_01_tblFillRateFechas[[#This Row],[con_codigounico]]</f>
        <v>966290-</v>
      </c>
      <c r="X6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5" spans="1:24" x14ac:dyDescent="0.25">
      <c r="A695">
        <v>6</v>
      </c>
      <c r="B695" t="s">
        <v>53</v>
      </c>
      <c r="C695">
        <v>966452</v>
      </c>
      <c r="D695" t="s">
        <v>426</v>
      </c>
      <c r="E695" t="s">
        <v>416</v>
      </c>
      <c r="F695" t="s">
        <v>426</v>
      </c>
      <c r="G695">
        <v>1</v>
      </c>
      <c r="H695">
        <v>1</v>
      </c>
      <c r="I695" t="s">
        <v>416</v>
      </c>
      <c r="J695">
        <v>0</v>
      </c>
      <c r="K695" t="s">
        <v>49</v>
      </c>
      <c r="L695" s="1">
        <f>+Tabla__192.168.1.8_POSEIDONSQL_APPFVT_01_tblFillRateFechas[[#This Row],[emb_cantidad]]-Tabla__192.168.1.8_POSEIDONSQL_APPFVT_01_tblFillRateFechas[[#This Row],[dev_cantidad]]</f>
        <v>1</v>
      </c>
      <c r="M695" s="1">
        <f>+IF(Tabla__192.168.1.8_POSEIDONSQL_APPFVT_01_tblFillRateFechas[[#This Row],[Cant_Resultante]]=Tabla__192.168.1.8_POSEIDONSQL_APPFVT_01_tblFillRateFechas[[#This Row],[cant_order]],1,0)</f>
        <v>1</v>
      </c>
      <c r="N6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5" s="1">
        <f>+IF(AND(Tabla__192.168.1.8_POSEIDONSQL_APPFVT_01_tblFillRateFechas[[#This Row],[Valida Cant]]=1,Tabla__192.168.1.8_POSEIDONSQL_APPFVT_01_tblFillRateFechas[[#This Row],[Valida Fec]]=1),1,0)</f>
        <v>1</v>
      </c>
      <c r="P695" s="1">
        <f>+(Tabla__192.168.1.8_POSEIDONSQL_APPFVT_01_tblFillRateFechas[[#This Row],[Cant_Resultante]]/Tabla__192.168.1.8_POSEIDONSQL_APPFVT_01_tblFillRateFechas[[#This Row],[cant_order]])*100</f>
        <v>100</v>
      </c>
      <c r="Q6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5" s="1">
        <f>+IF(Tabla__192.168.1.8_POSEIDONSQL_APPFVT_01_tblFillRateFechas[[#This Row],[cant_order]]&gt;0,1,0)</f>
        <v>1</v>
      </c>
      <c r="V695" s="1">
        <f>+IF(Tabla__192.168.1.8_POSEIDONSQL_APPFVT_01_tblFillRateFechas[[#This Row],[Resultado]]=1,1,0)</f>
        <v>1</v>
      </c>
      <c r="W695" s="1" t="str">
        <f>+Tabla__192.168.1.8_POSEIDONSQL_APPFVT_01_tblFillRateFechas[[#This Row],[con_ocnumero]]&amp;Tabla__192.168.1.8_POSEIDONSQL_APPFVT_01_tblFillRateFechas[[#This Row],[con_codigounico]]</f>
        <v>966452-</v>
      </c>
      <c r="X6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6" spans="1:24" x14ac:dyDescent="0.25">
      <c r="A696">
        <v>6</v>
      </c>
      <c r="B696" t="s">
        <v>53</v>
      </c>
      <c r="C696">
        <v>966584</v>
      </c>
      <c r="D696" t="s">
        <v>426</v>
      </c>
      <c r="E696" t="s">
        <v>423</v>
      </c>
      <c r="F696" t="s">
        <v>415</v>
      </c>
      <c r="G696">
        <v>1</v>
      </c>
      <c r="H696">
        <v>1</v>
      </c>
      <c r="I696" t="s">
        <v>420</v>
      </c>
      <c r="J696">
        <v>0</v>
      </c>
      <c r="K696" t="s">
        <v>49</v>
      </c>
      <c r="L696" s="1">
        <f>+Tabla__192.168.1.8_POSEIDONSQL_APPFVT_01_tblFillRateFechas[[#This Row],[emb_cantidad]]-Tabla__192.168.1.8_POSEIDONSQL_APPFVT_01_tblFillRateFechas[[#This Row],[dev_cantidad]]</f>
        <v>1</v>
      </c>
      <c r="M696" s="1">
        <f>+IF(Tabla__192.168.1.8_POSEIDONSQL_APPFVT_01_tblFillRateFechas[[#This Row],[Cant_Resultante]]=Tabla__192.168.1.8_POSEIDONSQL_APPFVT_01_tblFillRateFechas[[#This Row],[cant_order]],1,0)</f>
        <v>1</v>
      </c>
      <c r="N6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6" s="1">
        <f>+IF(AND(Tabla__192.168.1.8_POSEIDONSQL_APPFVT_01_tblFillRateFechas[[#This Row],[Valida Cant]]=1,Tabla__192.168.1.8_POSEIDONSQL_APPFVT_01_tblFillRateFechas[[#This Row],[Valida Fec]]=1),1,0)</f>
        <v>1</v>
      </c>
      <c r="P696" s="1">
        <f>+(Tabla__192.168.1.8_POSEIDONSQL_APPFVT_01_tblFillRateFechas[[#This Row],[Cant_Resultante]]/Tabla__192.168.1.8_POSEIDONSQL_APPFVT_01_tblFillRateFechas[[#This Row],[cant_order]])*100</f>
        <v>100</v>
      </c>
      <c r="Q6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6" s="1">
        <f>+IF(Tabla__192.168.1.8_POSEIDONSQL_APPFVT_01_tblFillRateFechas[[#This Row],[cant_order]]&gt;0,1,0)</f>
        <v>1</v>
      </c>
      <c r="V696" s="1">
        <f>+IF(Tabla__192.168.1.8_POSEIDONSQL_APPFVT_01_tblFillRateFechas[[#This Row],[Resultado]]=1,1,0)</f>
        <v>1</v>
      </c>
      <c r="W696" s="1" t="str">
        <f>+Tabla__192.168.1.8_POSEIDONSQL_APPFVT_01_tblFillRateFechas[[#This Row],[con_ocnumero]]&amp;Tabla__192.168.1.8_POSEIDONSQL_APPFVT_01_tblFillRateFechas[[#This Row],[con_codigounico]]</f>
        <v>966584-</v>
      </c>
      <c r="X6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7" spans="1:24" x14ac:dyDescent="0.25">
      <c r="A697">
        <v>6</v>
      </c>
      <c r="B697" t="s">
        <v>53</v>
      </c>
      <c r="C697">
        <v>966866</v>
      </c>
      <c r="D697" t="s">
        <v>426</v>
      </c>
      <c r="E697" t="s">
        <v>420</v>
      </c>
      <c r="F697" t="s">
        <v>415</v>
      </c>
      <c r="G697">
        <v>1</v>
      </c>
      <c r="H697">
        <v>1</v>
      </c>
      <c r="I697" t="s">
        <v>420</v>
      </c>
      <c r="J697">
        <v>0</v>
      </c>
      <c r="K697" t="s">
        <v>49</v>
      </c>
      <c r="L697" s="1">
        <f>+Tabla__192.168.1.8_POSEIDONSQL_APPFVT_01_tblFillRateFechas[[#This Row],[emb_cantidad]]-Tabla__192.168.1.8_POSEIDONSQL_APPFVT_01_tblFillRateFechas[[#This Row],[dev_cantidad]]</f>
        <v>1</v>
      </c>
      <c r="M697" s="1">
        <f>+IF(Tabla__192.168.1.8_POSEIDONSQL_APPFVT_01_tblFillRateFechas[[#This Row],[Cant_Resultante]]=Tabla__192.168.1.8_POSEIDONSQL_APPFVT_01_tblFillRateFechas[[#This Row],[cant_order]],1,0)</f>
        <v>1</v>
      </c>
      <c r="N6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7" s="1">
        <f>+IF(AND(Tabla__192.168.1.8_POSEIDONSQL_APPFVT_01_tblFillRateFechas[[#This Row],[Valida Cant]]=1,Tabla__192.168.1.8_POSEIDONSQL_APPFVT_01_tblFillRateFechas[[#This Row],[Valida Fec]]=1),1,0)</f>
        <v>1</v>
      </c>
      <c r="P697" s="1">
        <f>+(Tabla__192.168.1.8_POSEIDONSQL_APPFVT_01_tblFillRateFechas[[#This Row],[Cant_Resultante]]/Tabla__192.168.1.8_POSEIDONSQL_APPFVT_01_tblFillRateFechas[[#This Row],[cant_order]])*100</f>
        <v>100</v>
      </c>
      <c r="Q6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7" s="1">
        <f>+IF(Tabla__192.168.1.8_POSEIDONSQL_APPFVT_01_tblFillRateFechas[[#This Row],[cant_order]]&gt;0,1,0)</f>
        <v>1</v>
      </c>
      <c r="V697" s="1">
        <f>+IF(Tabla__192.168.1.8_POSEIDONSQL_APPFVT_01_tblFillRateFechas[[#This Row],[Resultado]]=1,1,0)</f>
        <v>1</v>
      </c>
      <c r="W697" s="1" t="str">
        <f>+Tabla__192.168.1.8_POSEIDONSQL_APPFVT_01_tblFillRateFechas[[#This Row],[con_ocnumero]]&amp;Tabla__192.168.1.8_POSEIDONSQL_APPFVT_01_tblFillRateFechas[[#This Row],[con_codigounico]]</f>
        <v>966866-</v>
      </c>
      <c r="X6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8" spans="1:24" x14ac:dyDescent="0.25">
      <c r="A698">
        <v>6</v>
      </c>
      <c r="B698" t="s">
        <v>53</v>
      </c>
      <c r="C698">
        <v>967119</v>
      </c>
      <c r="D698" t="s">
        <v>426</v>
      </c>
      <c r="E698" t="s">
        <v>419</v>
      </c>
      <c r="F698" t="s">
        <v>415</v>
      </c>
      <c r="G698">
        <v>1</v>
      </c>
      <c r="H698">
        <v>1</v>
      </c>
      <c r="I698" t="s">
        <v>416</v>
      </c>
      <c r="J698">
        <v>0</v>
      </c>
      <c r="K698" t="s">
        <v>49</v>
      </c>
      <c r="L698" s="1">
        <f>+Tabla__192.168.1.8_POSEIDONSQL_APPFVT_01_tblFillRateFechas[[#This Row],[emb_cantidad]]-Tabla__192.168.1.8_POSEIDONSQL_APPFVT_01_tblFillRateFechas[[#This Row],[dev_cantidad]]</f>
        <v>1</v>
      </c>
      <c r="M698" s="1">
        <f>+IF(Tabla__192.168.1.8_POSEIDONSQL_APPFVT_01_tblFillRateFechas[[#This Row],[Cant_Resultante]]=Tabla__192.168.1.8_POSEIDONSQL_APPFVT_01_tblFillRateFechas[[#This Row],[cant_order]],1,0)</f>
        <v>1</v>
      </c>
      <c r="N6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8" s="1">
        <f>+IF(AND(Tabla__192.168.1.8_POSEIDONSQL_APPFVT_01_tblFillRateFechas[[#This Row],[Valida Cant]]=1,Tabla__192.168.1.8_POSEIDONSQL_APPFVT_01_tblFillRateFechas[[#This Row],[Valida Fec]]=1),1,0)</f>
        <v>1</v>
      </c>
      <c r="P698" s="1">
        <f>+(Tabla__192.168.1.8_POSEIDONSQL_APPFVT_01_tblFillRateFechas[[#This Row],[Cant_Resultante]]/Tabla__192.168.1.8_POSEIDONSQL_APPFVT_01_tblFillRateFechas[[#This Row],[cant_order]])*100</f>
        <v>100</v>
      </c>
      <c r="Q6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8" s="1">
        <f>+IF(Tabla__192.168.1.8_POSEIDONSQL_APPFVT_01_tblFillRateFechas[[#This Row],[cant_order]]&gt;0,1,0)</f>
        <v>1</v>
      </c>
      <c r="V698" s="1">
        <f>+IF(Tabla__192.168.1.8_POSEIDONSQL_APPFVT_01_tblFillRateFechas[[#This Row],[Resultado]]=1,1,0)</f>
        <v>1</v>
      </c>
      <c r="W698" s="1" t="str">
        <f>+Tabla__192.168.1.8_POSEIDONSQL_APPFVT_01_tblFillRateFechas[[#This Row],[con_ocnumero]]&amp;Tabla__192.168.1.8_POSEIDONSQL_APPFVT_01_tblFillRateFechas[[#This Row],[con_codigounico]]</f>
        <v>967119-</v>
      </c>
      <c r="X6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699" spans="1:24" x14ac:dyDescent="0.25">
      <c r="A699">
        <v>6</v>
      </c>
      <c r="B699" t="s">
        <v>53</v>
      </c>
      <c r="C699">
        <v>967221</v>
      </c>
      <c r="D699" t="s">
        <v>426</v>
      </c>
      <c r="E699" t="s">
        <v>419</v>
      </c>
      <c r="F699" t="s">
        <v>415</v>
      </c>
      <c r="G699">
        <v>1</v>
      </c>
      <c r="H699">
        <v>1</v>
      </c>
      <c r="I699" t="s">
        <v>416</v>
      </c>
      <c r="J699">
        <v>0</v>
      </c>
      <c r="K699" t="s">
        <v>49</v>
      </c>
      <c r="L699" s="1">
        <f>+Tabla__192.168.1.8_POSEIDONSQL_APPFVT_01_tblFillRateFechas[[#This Row],[emb_cantidad]]-Tabla__192.168.1.8_POSEIDONSQL_APPFVT_01_tblFillRateFechas[[#This Row],[dev_cantidad]]</f>
        <v>1</v>
      </c>
      <c r="M699" s="1">
        <f>+IF(Tabla__192.168.1.8_POSEIDONSQL_APPFVT_01_tblFillRateFechas[[#This Row],[Cant_Resultante]]=Tabla__192.168.1.8_POSEIDONSQL_APPFVT_01_tblFillRateFechas[[#This Row],[cant_order]],1,0)</f>
        <v>1</v>
      </c>
      <c r="N6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699" s="1">
        <f>+IF(AND(Tabla__192.168.1.8_POSEIDONSQL_APPFVT_01_tblFillRateFechas[[#This Row],[Valida Cant]]=1,Tabla__192.168.1.8_POSEIDONSQL_APPFVT_01_tblFillRateFechas[[#This Row],[Valida Fec]]=1),1,0)</f>
        <v>1</v>
      </c>
      <c r="P699" s="1">
        <f>+(Tabla__192.168.1.8_POSEIDONSQL_APPFVT_01_tblFillRateFechas[[#This Row],[Cant_Resultante]]/Tabla__192.168.1.8_POSEIDONSQL_APPFVT_01_tblFillRateFechas[[#This Row],[cant_order]])*100</f>
        <v>100</v>
      </c>
      <c r="Q6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6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6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6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699" s="1">
        <f>+IF(Tabla__192.168.1.8_POSEIDONSQL_APPFVT_01_tblFillRateFechas[[#This Row],[cant_order]]&gt;0,1,0)</f>
        <v>1</v>
      </c>
      <c r="V699" s="1">
        <f>+IF(Tabla__192.168.1.8_POSEIDONSQL_APPFVT_01_tblFillRateFechas[[#This Row],[Resultado]]=1,1,0)</f>
        <v>1</v>
      </c>
      <c r="W699" s="1" t="str">
        <f>+Tabla__192.168.1.8_POSEIDONSQL_APPFVT_01_tblFillRateFechas[[#This Row],[con_ocnumero]]&amp;Tabla__192.168.1.8_POSEIDONSQL_APPFVT_01_tblFillRateFechas[[#This Row],[con_codigounico]]</f>
        <v>967221-</v>
      </c>
      <c r="X6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0" spans="1:24" x14ac:dyDescent="0.25">
      <c r="A700">
        <v>6</v>
      </c>
      <c r="B700" t="s">
        <v>53</v>
      </c>
      <c r="C700">
        <v>967227</v>
      </c>
      <c r="D700" t="s">
        <v>426</v>
      </c>
      <c r="E700" t="s">
        <v>419</v>
      </c>
      <c r="F700" t="s">
        <v>415</v>
      </c>
      <c r="G700">
        <v>2</v>
      </c>
      <c r="H700">
        <v>2</v>
      </c>
      <c r="I700" t="s">
        <v>416</v>
      </c>
      <c r="J700">
        <v>0</v>
      </c>
      <c r="K700" t="s">
        <v>49</v>
      </c>
      <c r="L700" s="1">
        <f>+Tabla__192.168.1.8_POSEIDONSQL_APPFVT_01_tblFillRateFechas[[#This Row],[emb_cantidad]]-Tabla__192.168.1.8_POSEIDONSQL_APPFVT_01_tblFillRateFechas[[#This Row],[dev_cantidad]]</f>
        <v>2</v>
      </c>
      <c r="M700" s="1">
        <f>+IF(Tabla__192.168.1.8_POSEIDONSQL_APPFVT_01_tblFillRateFechas[[#This Row],[Cant_Resultante]]=Tabla__192.168.1.8_POSEIDONSQL_APPFVT_01_tblFillRateFechas[[#This Row],[cant_order]],1,0)</f>
        <v>1</v>
      </c>
      <c r="N7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0" s="1">
        <f>+IF(AND(Tabla__192.168.1.8_POSEIDONSQL_APPFVT_01_tblFillRateFechas[[#This Row],[Valida Cant]]=1,Tabla__192.168.1.8_POSEIDONSQL_APPFVT_01_tblFillRateFechas[[#This Row],[Valida Fec]]=1),1,0)</f>
        <v>1</v>
      </c>
      <c r="P700" s="1">
        <f>+(Tabla__192.168.1.8_POSEIDONSQL_APPFVT_01_tblFillRateFechas[[#This Row],[Cant_Resultante]]/Tabla__192.168.1.8_POSEIDONSQL_APPFVT_01_tblFillRateFechas[[#This Row],[cant_order]])*100</f>
        <v>100</v>
      </c>
      <c r="Q7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7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7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0" s="1">
        <f>+IF(Tabla__192.168.1.8_POSEIDONSQL_APPFVT_01_tblFillRateFechas[[#This Row],[cant_order]]&gt;0,1,0)</f>
        <v>1</v>
      </c>
      <c r="V700" s="1">
        <f>+IF(Tabla__192.168.1.8_POSEIDONSQL_APPFVT_01_tblFillRateFechas[[#This Row],[Resultado]]=1,1,0)</f>
        <v>1</v>
      </c>
      <c r="W700" s="1" t="str">
        <f>+Tabla__192.168.1.8_POSEIDONSQL_APPFVT_01_tblFillRateFechas[[#This Row],[con_ocnumero]]&amp;Tabla__192.168.1.8_POSEIDONSQL_APPFVT_01_tblFillRateFechas[[#This Row],[con_codigounico]]</f>
        <v>967227-</v>
      </c>
      <c r="X7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01" spans="1:24" x14ac:dyDescent="0.25">
      <c r="A701">
        <v>6</v>
      </c>
      <c r="B701" t="s">
        <v>53</v>
      </c>
      <c r="C701">
        <v>967383</v>
      </c>
      <c r="D701" t="s">
        <v>1983</v>
      </c>
      <c r="E701" t="s">
        <v>419</v>
      </c>
      <c r="F701" t="s">
        <v>415</v>
      </c>
      <c r="G701">
        <v>1</v>
      </c>
      <c r="H701">
        <v>1</v>
      </c>
      <c r="I701" t="s">
        <v>416</v>
      </c>
      <c r="J701">
        <v>0</v>
      </c>
      <c r="K701" t="s">
        <v>49</v>
      </c>
      <c r="L701" s="1">
        <f>+Tabla__192.168.1.8_POSEIDONSQL_APPFVT_01_tblFillRateFechas[[#This Row],[emb_cantidad]]-Tabla__192.168.1.8_POSEIDONSQL_APPFVT_01_tblFillRateFechas[[#This Row],[dev_cantidad]]</f>
        <v>1</v>
      </c>
      <c r="M701" s="1">
        <f>+IF(Tabla__192.168.1.8_POSEIDONSQL_APPFVT_01_tblFillRateFechas[[#This Row],[Cant_Resultante]]=Tabla__192.168.1.8_POSEIDONSQL_APPFVT_01_tblFillRateFechas[[#This Row],[cant_order]],1,0)</f>
        <v>1</v>
      </c>
      <c r="N7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1" s="1">
        <f>+IF(AND(Tabla__192.168.1.8_POSEIDONSQL_APPFVT_01_tblFillRateFechas[[#This Row],[Valida Cant]]=1,Tabla__192.168.1.8_POSEIDONSQL_APPFVT_01_tblFillRateFechas[[#This Row],[Valida Fec]]=1),1,0)</f>
        <v>1</v>
      </c>
      <c r="P701" s="1">
        <f>+(Tabla__192.168.1.8_POSEIDONSQL_APPFVT_01_tblFillRateFechas[[#This Row],[Cant_Resultante]]/Tabla__192.168.1.8_POSEIDONSQL_APPFVT_01_tblFillRateFechas[[#This Row],[cant_order]])*100</f>
        <v>100</v>
      </c>
      <c r="Q7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1" s="1">
        <f>+IF(Tabla__192.168.1.8_POSEIDONSQL_APPFVT_01_tblFillRateFechas[[#This Row],[cant_order]]&gt;0,1,0)</f>
        <v>1</v>
      </c>
      <c r="V701" s="1">
        <f>+IF(Tabla__192.168.1.8_POSEIDONSQL_APPFVT_01_tblFillRateFechas[[#This Row],[Resultado]]=1,1,0)</f>
        <v>1</v>
      </c>
      <c r="W701" s="1" t="str">
        <f>+Tabla__192.168.1.8_POSEIDONSQL_APPFVT_01_tblFillRateFechas[[#This Row],[con_ocnumero]]&amp;Tabla__192.168.1.8_POSEIDONSQL_APPFVT_01_tblFillRateFechas[[#This Row],[con_codigounico]]</f>
        <v>967383-</v>
      </c>
      <c r="X7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2" spans="1:24" x14ac:dyDescent="0.25">
      <c r="A702">
        <v>6</v>
      </c>
      <c r="B702" t="s">
        <v>53</v>
      </c>
      <c r="C702">
        <v>967633</v>
      </c>
      <c r="D702" t="s">
        <v>1983</v>
      </c>
      <c r="E702" t="s">
        <v>419</v>
      </c>
      <c r="F702" t="s">
        <v>415</v>
      </c>
      <c r="G702">
        <v>1</v>
      </c>
      <c r="H702">
        <v>1</v>
      </c>
      <c r="I702" t="s">
        <v>416</v>
      </c>
      <c r="J702">
        <v>0</v>
      </c>
      <c r="K702" t="s">
        <v>49</v>
      </c>
      <c r="L702" s="1">
        <f>+Tabla__192.168.1.8_POSEIDONSQL_APPFVT_01_tblFillRateFechas[[#This Row],[emb_cantidad]]-Tabla__192.168.1.8_POSEIDONSQL_APPFVT_01_tblFillRateFechas[[#This Row],[dev_cantidad]]</f>
        <v>1</v>
      </c>
      <c r="M702" s="1">
        <f>+IF(Tabla__192.168.1.8_POSEIDONSQL_APPFVT_01_tblFillRateFechas[[#This Row],[Cant_Resultante]]=Tabla__192.168.1.8_POSEIDONSQL_APPFVT_01_tblFillRateFechas[[#This Row],[cant_order]],1,0)</f>
        <v>1</v>
      </c>
      <c r="N7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2" s="1">
        <f>+IF(AND(Tabla__192.168.1.8_POSEIDONSQL_APPFVT_01_tblFillRateFechas[[#This Row],[Valida Cant]]=1,Tabla__192.168.1.8_POSEIDONSQL_APPFVT_01_tblFillRateFechas[[#This Row],[Valida Fec]]=1),1,0)</f>
        <v>1</v>
      </c>
      <c r="P702" s="1">
        <f>+(Tabla__192.168.1.8_POSEIDONSQL_APPFVT_01_tblFillRateFechas[[#This Row],[Cant_Resultante]]/Tabla__192.168.1.8_POSEIDONSQL_APPFVT_01_tblFillRateFechas[[#This Row],[cant_order]])*100</f>
        <v>100</v>
      </c>
      <c r="Q7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2" s="1">
        <f>+IF(Tabla__192.168.1.8_POSEIDONSQL_APPFVT_01_tblFillRateFechas[[#This Row],[cant_order]]&gt;0,1,0)</f>
        <v>1</v>
      </c>
      <c r="V702" s="1">
        <f>+IF(Tabla__192.168.1.8_POSEIDONSQL_APPFVT_01_tblFillRateFechas[[#This Row],[Resultado]]=1,1,0)</f>
        <v>1</v>
      </c>
      <c r="W702" s="1" t="str">
        <f>+Tabla__192.168.1.8_POSEIDONSQL_APPFVT_01_tblFillRateFechas[[#This Row],[con_ocnumero]]&amp;Tabla__192.168.1.8_POSEIDONSQL_APPFVT_01_tblFillRateFechas[[#This Row],[con_codigounico]]</f>
        <v>967633-</v>
      </c>
      <c r="X7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3" spans="1:24" x14ac:dyDescent="0.25">
      <c r="A703">
        <v>6</v>
      </c>
      <c r="B703" t="s">
        <v>53</v>
      </c>
      <c r="C703">
        <v>968048</v>
      </c>
      <c r="D703" t="s">
        <v>430</v>
      </c>
      <c r="E703" t="s">
        <v>419</v>
      </c>
      <c r="F703" t="s">
        <v>415</v>
      </c>
      <c r="G703">
        <v>1</v>
      </c>
      <c r="H703">
        <v>0</v>
      </c>
      <c r="I703" t="s">
        <v>12</v>
      </c>
      <c r="J703">
        <v>0</v>
      </c>
      <c r="K703" t="s">
        <v>49</v>
      </c>
      <c r="L703" s="1">
        <f>+Tabla__192.168.1.8_POSEIDONSQL_APPFVT_01_tblFillRateFechas[[#This Row],[emb_cantidad]]-Tabla__192.168.1.8_POSEIDONSQL_APPFVT_01_tblFillRateFechas[[#This Row],[dev_cantidad]]</f>
        <v>0</v>
      </c>
      <c r="M703" s="1">
        <f>+IF(Tabla__192.168.1.8_POSEIDONSQL_APPFVT_01_tblFillRateFechas[[#This Row],[Cant_Resultante]]=Tabla__192.168.1.8_POSEIDONSQL_APPFVT_01_tblFillRateFechas[[#This Row],[cant_order]],1,0)</f>
        <v>0</v>
      </c>
      <c r="N7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03" s="1">
        <f>+IF(AND(Tabla__192.168.1.8_POSEIDONSQL_APPFVT_01_tblFillRateFechas[[#This Row],[Valida Cant]]=1,Tabla__192.168.1.8_POSEIDONSQL_APPFVT_01_tblFillRateFechas[[#This Row],[Valida Fec]]=1),1,0)</f>
        <v>0</v>
      </c>
      <c r="P703" s="1">
        <f>+(Tabla__192.168.1.8_POSEIDONSQL_APPFVT_01_tblFillRateFechas[[#This Row],[Cant_Resultante]]/Tabla__192.168.1.8_POSEIDONSQL_APPFVT_01_tblFillRateFechas[[#This Row],[cant_order]])*100</f>
        <v>0</v>
      </c>
      <c r="Q7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703" s="1">
        <f>+IF(Tabla__192.168.1.8_POSEIDONSQL_APPFVT_01_tblFillRateFechas[[#This Row],[cant_order]]&gt;0,1,0)</f>
        <v>1</v>
      </c>
      <c r="V703" s="1">
        <f>+IF(Tabla__192.168.1.8_POSEIDONSQL_APPFVT_01_tblFillRateFechas[[#This Row],[Resultado]]=1,1,0)</f>
        <v>0</v>
      </c>
      <c r="W703" s="1" t="str">
        <f>+Tabla__192.168.1.8_POSEIDONSQL_APPFVT_01_tblFillRateFechas[[#This Row],[con_ocnumero]]&amp;Tabla__192.168.1.8_POSEIDONSQL_APPFVT_01_tblFillRateFechas[[#This Row],[con_codigounico]]</f>
        <v>968048-</v>
      </c>
      <c r="X7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04" spans="1:24" x14ac:dyDescent="0.25">
      <c r="A704">
        <v>6</v>
      </c>
      <c r="B704" t="s">
        <v>53</v>
      </c>
      <c r="C704">
        <v>968249</v>
      </c>
      <c r="D704" t="s">
        <v>414</v>
      </c>
      <c r="E704" t="s">
        <v>419</v>
      </c>
      <c r="F704" t="s">
        <v>415</v>
      </c>
      <c r="G704">
        <v>1</v>
      </c>
      <c r="H704">
        <v>1</v>
      </c>
      <c r="I704" t="s">
        <v>416</v>
      </c>
      <c r="J704">
        <v>0</v>
      </c>
      <c r="K704" t="s">
        <v>49</v>
      </c>
      <c r="L704" s="1">
        <f>+Tabla__192.168.1.8_POSEIDONSQL_APPFVT_01_tblFillRateFechas[[#This Row],[emb_cantidad]]-Tabla__192.168.1.8_POSEIDONSQL_APPFVT_01_tblFillRateFechas[[#This Row],[dev_cantidad]]</f>
        <v>1</v>
      </c>
      <c r="M704" s="1">
        <f>+IF(Tabla__192.168.1.8_POSEIDONSQL_APPFVT_01_tblFillRateFechas[[#This Row],[Cant_Resultante]]=Tabla__192.168.1.8_POSEIDONSQL_APPFVT_01_tblFillRateFechas[[#This Row],[cant_order]],1,0)</f>
        <v>1</v>
      </c>
      <c r="N7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4" s="1">
        <f>+IF(AND(Tabla__192.168.1.8_POSEIDONSQL_APPFVT_01_tblFillRateFechas[[#This Row],[Valida Cant]]=1,Tabla__192.168.1.8_POSEIDONSQL_APPFVT_01_tblFillRateFechas[[#This Row],[Valida Fec]]=1),1,0)</f>
        <v>1</v>
      </c>
      <c r="P704" s="1">
        <f>+(Tabla__192.168.1.8_POSEIDONSQL_APPFVT_01_tblFillRateFechas[[#This Row],[Cant_Resultante]]/Tabla__192.168.1.8_POSEIDONSQL_APPFVT_01_tblFillRateFechas[[#This Row],[cant_order]])*100</f>
        <v>100</v>
      </c>
      <c r="Q7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4" s="1">
        <f>+IF(Tabla__192.168.1.8_POSEIDONSQL_APPFVT_01_tblFillRateFechas[[#This Row],[cant_order]]&gt;0,1,0)</f>
        <v>1</v>
      </c>
      <c r="V704" s="1">
        <f>+IF(Tabla__192.168.1.8_POSEIDONSQL_APPFVT_01_tblFillRateFechas[[#This Row],[Resultado]]=1,1,0)</f>
        <v>1</v>
      </c>
      <c r="W704" s="1" t="str">
        <f>+Tabla__192.168.1.8_POSEIDONSQL_APPFVT_01_tblFillRateFechas[[#This Row],[con_ocnumero]]&amp;Tabla__192.168.1.8_POSEIDONSQL_APPFVT_01_tblFillRateFechas[[#This Row],[con_codigounico]]</f>
        <v>968249-</v>
      </c>
      <c r="X7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5" spans="1:24" x14ac:dyDescent="0.25">
      <c r="A705">
        <v>6</v>
      </c>
      <c r="B705" t="s">
        <v>53</v>
      </c>
      <c r="C705">
        <v>968651</v>
      </c>
      <c r="D705" t="s">
        <v>1985</v>
      </c>
      <c r="E705" t="s">
        <v>423</v>
      </c>
      <c r="F705" t="s">
        <v>415</v>
      </c>
      <c r="G705">
        <v>1</v>
      </c>
      <c r="H705">
        <v>1</v>
      </c>
      <c r="I705" t="s">
        <v>420</v>
      </c>
      <c r="J705">
        <v>0</v>
      </c>
      <c r="K705" t="s">
        <v>49</v>
      </c>
      <c r="L705" s="1">
        <f>+Tabla__192.168.1.8_POSEIDONSQL_APPFVT_01_tblFillRateFechas[[#This Row],[emb_cantidad]]-Tabla__192.168.1.8_POSEIDONSQL_APPFVT_01_tblFillRateFechas[[#This Row],[dev_cantidad]]</f>
        <v>1</v>
      </c>
      <c r="M705" s="1">
        <f>+IF(Tabla__192.168.1.8_POSEIDONSQL_APPFVT_01_tblFillRateFechas[[#This Row],[Cant_Resultante]]=Tabla__192.168.1.8_POSEIDONSQL_APPFVT_01_tblFillRateFechas[[#This Row],[cant_order]],1,0)</f>
        <v>1</v>
      </c>
      <c r="N7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5" s="1">
        <f>+IF(AND(Tabla__192.168.1.8_POSEIDONSQL_APPFVT_01_tblFillRateFechas[[#This Row],[Valida Cant]]=1,Tabla__192.168.1.8_POSEIDONSQL_APPFVT_01_tblFillRateFechas[[#This Row],[Valida Fec]]=1),1,0)</f>
        <v>1</v>
      </c>
      <c r="P705" s="1">
        <f>+(Tabla__192.168.1.8_POSEIDONSQL_APPFVT_01_tblFillRateFechas[[#This Row],[Cant_Resultante]]/Tabla__192.168.1.8_POSEIDONSQL_APPFVT_01_tblFillRateFechas[[#This Row],[cant_order]])*100</f>
        <v>100</v>
      </c>
      <c r="Q7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5" s="1">
        <f>+IF(Tabla__192.168.1.8_POSEIDONSQL_APPFVT_01_tblFillRateFechas[[#This Row],[cant_order]]&gt;0,1,0)</f>
        <v>1</v>
      </c>
      <c r="V705" s="1">
        <f>+IF(Tabla__192.168.1.8_POSEIDONSQL_APPFVT_01_tblFillRateFechas[[#This Row],[Resultado]]=1,1,0)</f>
        <v>1</v>
      </c>
      <c r="W705" s="1" t="str">
        <f>+Tabla__192.168.1.8_POSEIDONSQL_APPFVT_01_tblFillRateFechas[[#This Row],[con_ocnumero]]&amp;Tabla__192.168.1.8_POSEIDONSQL_APPFVT_01_tblFillRateFechas[[#This Row],[con_codigounico]]</f>
        <v>968651-</v>
      </c>
      <c r="X7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6" spans="1:24" x14ac:dyDescent="0.25">
      <c r="A706">
        <v>6</v>
      </c>
      <c r="B706" t="s">
        <v>53</v>
      </c>
      <c r="C706">
        <v>968785</v>
      </c>
      <c r="D706" t="s">
        <v>1985</v>
      </c>
      <c r="E706" t="s">
        <v>419</v>
      </c>
      <c r="F706" t="s">
        <v>415</v>
      </c>
      <c r="G706">
        <v>1</v>
      </c>
      <c r="H706">
        <v>1</v>
      </c>
      <c r="I706" t="s">
        <v>416</v>
      </c>
      <c r="J706">
        <v>0</v>
      </c>
      <c r="K706" t="s">
        <v>49</v>
      </c>
      <c r="L706" s="1">
        <f>+Tabla__192.168.1.8_POSEIDONSQL_APPFVT_01_tblFillRateFechas[[#This Row],[emb_cantidad]]-Tabla__192.168.1.8_POSEIDONSQL_APPFVT_01_tblFillRateFechas[[#This Row],[dev_cantidad]]</f>
        <v>1</v>
      </c>
      <c r="M706" s="1">
        <f>+IF(Tabla__192.168.1.8_POSEIDONSQL_APPFVT_01_tblFillRateFechas[[#This Row],[Cant_Resultante]]=Tabla__192.168.1.8_POSEIDONSQL_APPFVT_01_tblFillRateFechas[[#This Row],[cant_order]],1,0)</f>
        <v>1</v>
      </c>
      <c r="N7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6" s="1">
        <f>+IF(AND(Tabla__192.168.1.8_POSEIDONSQL_APPFVT_01_tblFillRateFechas[[#This Row],[Valida Cant]]=1,Tabla__192.168.1.8_POSEIDONSQL_APPFVT_01_tblFillRateFechas[[#This Row],[Valida Fec]]=1),1,0)</f>
        <v>1</v>
      </c>
      <c r="P706" s="1">
        <f>+(Tabla__192.168.1.8_POSEIDONSQL_APPFVT_01_tblFillRateFechas[[#This Row],[Cant_Resultante]]/Tabla__192.168.1.8_POSEIDONSQL_APPFVT_01_tblFillRateFechas[[#This Row],[cant_order]])*100</f>
        <v>100</v>
      </c>
      <c r="Q7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6" s="1">
        <f>+IF(Tabla__192.168.1.8_POSEIDONSQL_APPFVT_01_tblFillRateFechas[[#This Row],[cant_order]]&gt;0,1,0)</f>
        <v>1</v>
      </c>
      <c r="V706" s="1">
        <f>+IF(Tabla__192.168.1.8_POSEIDONSQL_APPFVT_01_tblFillRateFechas[[#This Row],[Resultado]]=1,1,0)</f>
        <v>1</v>
      </c>
      <c r="W706" s="1" t="str">
        <f>+Tabla__192.168.1.8_POSEIDONSQL_APPFVT_01_tblFillRateFechas[[#This Row],[con_ocnumero]]&amp;Tabla__192.168.1.8_POSEIDONSQL_APPFVT_01_tblFillRateFechas[[#This Row],[con_codigounico]]</f>
        <v>968785-</v>
      </c>
      <c r="X7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7" spans="1:24" x14ac:dyDescent="0.25">
      <c r="A707">
        <v>6</v>
      </c>
      <c r="B707" t="s">
        <v>53</v>
      </c>
      <c r="C707">
        <v>968792</v>
      </c>
      <c r="D707" t="s">
        <v>1985</v>
      </c>
      <c r="E707" t="s">
        <v>419</v>
      </c>
      <c r="F707" t="s">
        <v>415</v>
      </c>
      <c r="G707">
        <v>1</v>
      </c>
      <c r="H707">
        <v>1</v>
      </c>
      <c r="I707" t="s">
        <v>416</v>
      </c>
      <c r="J707">
        <v>0</v>
      </c>
      <c r="K707" t="s">
        <v>49</v>
      </c>
      <c r="L707" s="1">
        <f>+Tabla__192.168.1.8_POSEIDONSQL_APPFVT_01_tblFillRateFechas[[#This Row],[emb_cantidad]]-Tabla__192.168.1.8_POSEIDONSQL_APPFVT_01_tblFillRateFechas[[#This Row],[dev_cantidad]]</f>
        <v>1</v>
      </c>
      <c r="M707" s="1">
        <f>+IF(Tabla__192.168.1.8_POSEIDONSQL_APPFVT_01_tblFillRateFechas[[#This Row],[Cant_Resultante]]=Tabla__192.168.1.8_POSEIDONSQL_APPFVT_01_tblFillRateFechas[[#This Row],[cant_order]],1,0)</f>
        <v>1</v>
      </c>
      <c r="N7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7" s="1">
        <f>+IF(AND(Tabla__192.168.1.8_POSEIDONSQL_APPFVT_01_tblFillRateFechas[[#This Row],[Valida Cant]]=1,Tabla__192.168.1.8_POSEIDONSQL_APPFVT_01_tblFillRateFechas[[#This Row],[Valida Fec]]=1),1,0)</f>
        <v>1</v>
      </c>
      <c r="P707" s="1">
        <f>+(Tabla__192.168.1.8_POSEIDONSQL_APPFVT_01_tblFillRateFechas[[#This Row],[Cant_Resultante]]/Tabla__192.168.1.8_POSEIDONSQL_APPFVT_01_tblFillRateFechas[[#This Row],[cant_order]])*100</f>
        <v>100</v>
      </c>
      <c r="Q7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7" s="1">
        <f>+IF(Tabla__192.168.1.8_POSEIDONSQL_APPFVT_01_tblFillRateFechas[[#This Row],[cant_order]]&gt;0,1,0)</f>
        <v>1</v>
      </c>
      <c r="V707" s="1">
        <f>+IF(Tabla__192.168.1.8_POSEIDONSQL_APPFVT_01_tblFillRateFechas[[#This Row],[Resultado]]=1,1,0)</f>
        <v>1</v>
      </c>
      <c r="W707" s="1" t="str">
        <f>+Tabla__192.168.1.8_POSEIDONSQL_APPFVT_01_tblFillRateFechas[[#This Row],[con_ocnumero]]&amp;Tabla__192.168.1.8_POSEIDONSQL_APPFVT_01_tblFillRateFechas[[#This Row],[con_codigounico]]</f>
        <v>968792-</v>
      </c>
      <c r="X7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08" spans="1:24" x14ac:dyDescent="0.25">
      <c r="A708">
        <v>6</v>
      </c>
      <c r="B708" t="s">
        <v>53</v>
      </c>
      <c r="C708">
        <v>968858</v>
      </c>
      <c r="D708" t="s">
        <v>415</v>
      </c>
      <c r="E708" t="s">
        <v>420</v>
      </c>
      <c r="F708" t="s">
        <v>415</v>
      </c>
      <c r="G708">
        <v>1</v>
      </c>
      <c r="H708">
        <v>0</v>
      </c>
      <c r="I708" t="s">
        <v>12</v>
      </c>
      <c r="J708">
        <v>0</v>
      </c>
      <c r="K708" t="s">
        <v>49</v>
      </c>
      <c r="L708" s="1">
        <f>+Tabla__192.168.1.8_POSEIDONSQL_APPFVT_01_tblFillRateFechas[[#This Row],[emb_cantidad]]-Tabla__192.168.1.8_POSEIDONSQL_APPFVT_01_tblFillRateFechas[[#This Row],[dev_cantidad]]</f>
        <v>0</v>
      </c>
      <c r="M708" s="1">
        <f>+IF(Tabla__192.168.1.8_POSEIDONSQL_APPFVT_01_tblFillRateFechas[[#This Row],[Cant_Resultante]]=Tabla__192.168.1.8_POSEIDONSQL_APPFVT_01_tblFillRateFechas[[#This Row],[cant_order]],1,0)</f>
        <v>0</v>
      </c>
      <c r="N7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08" s="1">
        <f>+IF(AND(Tabla__192.168.1.8_POSEIDONSQL_APPFVT_01_tblFillRateFechas[[#This Row],[Valida Cant]]=1,Tabla__192.168.1.8_POSEIDONSQL_APPFVT_01_tblFillRateFechas[[#This Row],[Valida Fec]]=1),1,0)</f>
        <v>0</v>
      </c>
      <c r="P708" s="1">
        <f>+(Tabla__192.168.1.8_POSEIDONSQL_APPFVT_01_tblFillRateFechas[[#This Row],[Cant_Resultante]]/Tabla__192.168.1.8_POSEIDONSQL_APPFVT_01_tblFillRateFechas[[#This Row],[cant_order]])*100</f>
        <v>0</v>
      </c>
      <c r="Q7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708" s="1">
        <f>+IF(Tabla__192.168.1.8_POSEIDONSQL_APPFVT_01_tblFillRateFechas[[#This Row],[cant_order]]&gt;0,1,0)</f>
        <v>1</v>
      </c>
      <c r="V708" s="1">
        <f>+IF(Tabla__192.168.1.8_POSEIDONSQL_APPFVT_01_tblFillRateFechas[[#This Row],[Resultado]]=1,1,0)</f>
        <v>0</v>
      </c>
      <c r="W708" s="1" t="str">
        <f>+Tabla__192.168.1.8_POSEIDONSQL_APPFVT_01_tblFillRateFechas[[#This Row],[con_ocnumero]]&amp;Tabla__192.168.1.8_POSEIDONSQL_APPFVT_01_tblFillRateFechas[[#This Row],[con_codigounico]]</f>
        <v>968858-</v>
      </c>
      <c r="X7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09" spans="1:24" x14ac:dyDescent="0.25">
      <c r="A709">
        <v>6</v>
      </c>
      <c r="B709" t="s">
        <v>53</v>
      </c>
      <c r="C709">
        <v>968941</v>
      </c>
      <c r="D709" t="s">
        <v>415</v>
      </c>
      <c r="E709" t="s">
        <v>420</v>
      </c>
      <c r="F709" t="s">
        <v>422</v>
      </c>
      <c r="G709">
        <v>1</v>
      </c>
      <c r="H709">
        <v>1</v>
      </c>
      <c r="I709" t="s">
        <v>420</v>
      </c>
      <c r="J709">
        <v>0</v>
      </c>
      <c r="K709" t="s">
        <v>49</v>
      </c>
      <c r="L709" s="1">
        <f>+Tabla__192.168.1.8_POSEIDONSQL_APPFVT_01_tblFillRateFechas[[#This Row],[emb_cantidad]]-Tabla__192.168.1.8_POSEIDONSQL_APPFVT_01_tblFillRateFechas[[#This Row],[dev_cantidad]]</f>
        <v>1</v>
      </c>
      <c r="M709" s="1">
        <f>+IF(Tabla__192.168.1.8_POSEIDONSQL_APPFVT_01_tblFillRateFechas[[#This Row],[Cant_Resultante]]=Tabla__192.168.1.8_POSEIDONSQL_APPFVT_01_tblFillRateFechas[[#This Row],[cant_order]],1,0)</f>
        <v>1</v>
      </c>
      <c r="N7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09" s="1">
        <f>+IF(AND(Tabla__192.168.1.8_POSEIDONSQL_APPFVT_01_tblFillRateFechas[[#This Row],[Valida Cant]]=1,Tabla__192.168.1.8_POSEIDONSQL_APPFVT_01_tblFillRateFechas[[#This Row],[Valida Fec]]=1),1,0)</f>
        <v>1</v>
      </c>
      <c r="P709" s="1">
        <f>+(Tabla__192.168.1.8_POSEIDONSQL_APPFVT_01_tblFillRateFechas[[#This Row],[Cant_Resultante]]/Tabla__192.168.1.8_POSEIDONSQL_APPFVT_01_tblFillRateFechas[[#This Row],[cant_order]])*100</f>
        <v>100</v>
      </c>
      <c r="Q7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09" s="1">
        <f>+IF(Tabla__192.168.1.8_POSEIDONSQL_APPFVT_01_tblFillRateFechas[[#This Row],[cant_order]]&gt;0,1,0)</f>
        <v>1</v>
      </c>
      <c r="V709" s="1">
        <f>+IF(Tabla__192.168.1.8_POSEIDONSQL_APPFVT_01_tblFillRateFechas[[#This Row],[Resultado]]=1,1,0)</f>
        <v>1</v>
      </c>
      <c r="W709" s="1" t="str">
        <f>+Tabla__192.168.1.8_POSEIDONSQL_APPFVT_01_tblFillRateFechas[[#This Row],[con_ocnumero]]&amp;Tabla__192.168.1.8_POSEIDONSQL_APPFVT_01_tblFillRateFechas[[#This Row],[con_codigounico]]</f>
        <v>968941-</v>
      </c>
      <c r="X7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0" spans="1:24" x14ac:dyDescent="0.25">
      <c r="A710">
        <v>6</v>
      </c>
      <c r="B710" t="s">
        <v>53</v>
      </c>
      <c r="C710">
        <v>969137</v>
      </c>
      <c r="D710" t="s">
        <v>415</v>
      </c>
      <c r="E710" t="s">
        <v>423</v>
      </c>
      <c r="F710" t="s">
        <v>422</v>
      </c>
      <c r="G710">
        <v>1</v>
      </c>
      <c r="H710">
        <v>1</v>
      </c>
      <c r="I710" t="s">
        <v>420</v>
      </c>
      <c r="J710">
        <v>0</v>
      </c>
      <c r="K710" t="s">
        <v>49</v>
      </c>
      <c r="L710" s="1">
        <f>+Tabla__192.168.1.8_POSEIDONSQL_APPFVT_01_tblFillRateFechas[[#This Row],[emb_cantidad]]-Tabla__192.168.1.8_POSEIDONSQL_APPFVT_01_tblFillRateFechas[[#This Row],[dev_cantidad]]</f>
        <v>1</v>
      </c>
      <c r="M710" s="1">
        <f>+IF(Tabla__192.168.1.8_POSEIDONSQL_APPFVT_01_tblFillRateFechas[[#This Row],[Cant_Resultante]]=Tabla__192.168.1.8_POSEIDONSQL_APPFVT_01_tblFillRateFechas[[#This Row],[cant_order]],1,0)</f>
        <v>1</v>
      </c>
      <c r="N7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0" s="1">
        <f>+IF(AND(Tabla__192.168.1.8_POSEIDONSQL_APPFVT_01_tblFillRateFechas[[#This Row],[Valida Cant]]=1,Tabla__192.168.1.8_POSEIDONSQL_APPFVT_01_tblFillRateFechas[[#This Row],[Valida Fec]]=1),1,0)</f>
        <v>1</v>
      </c>
      <c r="P710" s="1">
        <f>+(Tabla__192.168.1.8_POSEIDONSQL_APPFVT_01_tblFillRateFechas[[#This Row],[Cant_Resultante]]/Tabla__192.168.1.8_POSEIDONSQL_APPFVT_01_tblFillRateFechas[[#This Row],[cant_order]])*100</f>
        <v>100</v>
      </c>
      <c r="Q7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0" s="1">
        <f>+IF(Tabla__192.168.1.8_POSEIDONSQL_APPFVT_01_tblFillRateFechas[[#This Row],[cant_order]]&gt;0,1,0)</f>
        <v>1</v>
      </c>
      <c r="V710" s="1">
        <f>+IF(Tabla__192.168.1.8_POSEIDONSQL_APPFVT_01_tblFillRateFechas[[#This Row],[Resultado]]=1,1,0)</f>
        <v>1</v>
      </c>
      <c r="W710" s="1" t="str">
        <f>+Tabla__192.168.1.8_POSEIDONSQL_APPFVT_01_tblFillRateFechas[[#This Row],[con_ocnumero]]&amp;Tabla__192.168.1.8_POSEIDONSQL_APPFVT_01_tblFillRateFechas[[#This Row],[con_codigounico]]</f>
        <v>969137-</v>
      </c>
      <c r="X7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1" spans="1:24" x14ac:dyDescent="0.25">
      <c r="A711">
        <v>6</v>
      </c>
      <c r="B711" t="s">
        <v>53</v>
      </c>
      <c r="C711">
        <v>969459</v>
      </c>
      <c r="D711" t="s">
        <v>415</v>
      </c>
      <c r="E711" t="s">
        <v>420</v>
      </c>
      <c r="F711" t="s">
        <v>422</v>
      </c>
      <c r="G711">
        <v>1</v>
      </c>
      <c r="H711">
        <v>1</v>
      </c>
      <c r="I711" t="s">
        <v>420</v>
      </c>
      <c r="J711">
        <v>0</v>
      </c>
      <c r="K711" t="s">
        <v>49</v>
      </c>
      <c r="L711" s="1">
        <f>+Tabla__192.168.1.8_POSEIDONSQL_APPFVT_01_tblFillRateFechas[[#This Row],[emb_cantidad]]-Tabla__192.168.1.8_POSEIDONSQL_APPFVT_01_tblFillRateFechas[[#This Row],[dev_cantidad]]</f>
        <v>1</v>
      </c>
      <c r="M711" s="1">
        <f>+IF(Tabla__192.168.1.8_POSEIDONSQL_APPFVT_01_tblFillRateFechas[[#This Row],[Cant_Resultante]]=Tabla__192.168.1.8_POSEIDONSQL_APPFVT_01_tblFillRateFechas[[#This Row],[cant_order]],1,0)</f>
        <v>1</v>
      </c>
      <c r="N7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1" s="1">
        <f>+IF(AND(Tabla__192.168.1.8_POSEIDONSQL_APPFVT_01_tblFillRateFechas[[#This Row],[Valida Cant]]=1,Tabla__192.168.1.8_POSEIDONSQL_APPFVT_01_tblFillRateFechas[[#This Row],[Valida Fec]]=1),1,0)</f>
        <v>1</v>
      </c>
      <c r="P711" s="1">
        <f>+(Tabla__192.168.1.8_POSEIDONSQL_APPFVT_01_tblFillRateFechas[[#This Row],[Cant_Resultante]]/Tabla__192.168.1.8_POSEIDONSQL_APPFVT_01_tblFillRateFechas[[#This Row],[cant_order]])*100</f>
        <v>100</v>
      </c>
      <c r="Q7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1" s="1">
        <f>+IF(Tabla__192.168.1.8_POSEIDONSQL_APPFVT_01_tblFillRateFechas[[#This Row],[cant_order]]&gt;0,1,0)</f>
        <v>1</v>
      </c>
      <c r="V711" s="1">
        <f>+IF(Tabla__192.168.1.8_POSEIDONSQL_APPFVT_01_tblFillRateFechas[[#This Row],[Resultado]]=1,1,0)</f>
        <v>1</v>
      </c>
      <c r="W711" s="1" t="str">
        <f>+Tabla__192.168.1.8_POSEIDONSQL_APPFVT_01_tblFillRateFechas[[#This Row],[con_ocnumero]]&amp;Tabla__192.168.1.8_POSEIDONSQL_APPFVT_01_tblFillRateFechas[[#This Row],[con_codigounico]]</f>
        <v>969459-</v>
      </c>
      <c r="X7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2" spans="1:24" x14ac:dyDescent="0.25">
      <c r="A712">
        <v>6</v>
      </c>
      <c r="B712" t="s">
        <v>53</v>
      </c>
      <c r="C712">
        <v>969596</v>
      </c>
      <c r="D712" t="s">
        <v>415</v>
      </c>
      <c r="E712" t="s">
        <v>423</v>
      </c>
      <c r="F712" t="s">
        <v>422</v>
      </c>
      <c r="G712">
        <v>1</v>
      </c>
      <c r="H712">
        <v>1</v>
      </c>
      <c r="I712" t="s">
        <v>420</v>
      </c>
      <c r="J712">
        <v>0</v>
      </c>
      <c r="K712" t="s">
        <v>49</v>
      </c>
      <c r="L712" s="1">
        <f>+Tabla__192.168.1.8_POSEIDONSQL_APPFVT_01_tblFillRateFechas[[#This Row],[emb_cantidad]]-Tabla__192.168.1.8_POSEIDONSQL_APPFVT_01_tblFillRateFechas[[#This Row],[dev_cantidad]]</f>
        <v>1</v>
      </c>
      <c r="M712" s="1">
        <f>+IF(Tabla__192.168.1.8_POSEIDONSQL_APPFVT_01_tblFillRateFechas[[#This Row],[Cant_Resultante]]=Tabla__192.168.1.8_POSEIDONSQL_APPFVT_01_tblFillRateFechas[[#This Row],[cant_order]],1,0)</f>
        <v>1</v>
      </c>
      <c r="N7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2" s="1">
        <f>+IF(AND(Tabla__192.168.1.8_POSEIDONSQL_APPFVT_01_tblFillRateFechas[[#This Row],[Valida Cant]]=1,Tabla__192.168.1.8_POSEIDONSQL_APPFVT_01_tblFillRateFechas[[#This Row],[Valida Fec]]=1),1,0)</f>
        <v>1</v>
      </c>
      <c r="P712" s="1">
        <f>+(Tabla__192.168.1.8_POSEIDONSQL_APPFVT_01_tblFillRateFechas[[#This Row],[Cant_Resultante]]/Tabla__192.168.1.8_POSEIDONSQL_APPFVT_01_tblFillRateFechas[[#This Row],[cant_order]])*100</f>
        <v>100</v>
      </c>
      <c r="Q7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2" s="1">
        <f>+IF(Tabla__192.168.1.8_POSEIDONSQL_APPFVT_01_tblFillRateFechas[[#This Row],[cant_order]]&gt;0,1,0)</f>
        <v>1</v>
      </c>
      <c r="V712" s="1">
        <f>+IF(Tabla__192.168.1.8_POSEIDONSQL_APPFVT_01_tblFillRateFechas[[#This Row],[Resultado]]=1,1,0)</f>
        <v>1</v>
      </c>
      <c r="W712" s="1" t="str">
        <f>+Tabla__192.168.1.8_POSEIDONSQL_APPFVT_01_tblFillRateFechas[[#This Row],[con_ocnumero]]&amp;Tabla__192.168.1.8_POSEIDONSQL_APPFVT_01_tblFillRateFechas[[#This Row],[con_codigounico]]</f>
        <v>969596-</v>
      </c>
      <c r="X7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3" spans="1:24" x14ac:dyDescent="0.25">
      <c r="A713">
        <v>6</v>
      </c>
      <c r="B713" t="s">
        <v>53</v>
      </c>
      <c r="C713">
        <v>969632</v>
      </c>
      <c r="D713" t="s">
        <v>415</v>
      </c>
      <c r="E713" t="s">
        <v>420</v>
      </c>
      <c r="F713" t="s">
        <v>422</v>
      </c>
      <c r="G713">
        <v>1</v>
      </c>
      <c r="H713">
        <v>1</v>
      </c>
      <c r="I713" t="s">
        <v>420</v>
      </c>
      <c r="J713">
        <v>0</v>
      </c>
      <c r="K713" t="s">
        <v>49</v>
      </c>
      <c r="L713" s="1">
        <f>+Tabla__192.168.1.8_POSEIDONSQL_APPFVT_01_tblFillRateFechas[[#This Row],[emb_cantidad]]-Tabla__192.168.1.8_POSEIDONSQL_APPFVT_01_tblFillRateFechas[[#This Row],[dev_cantidad]]</f>
        <v>1</v>
      </c>
      <c r="M713" s="1">
        <f>+IF(Tabla__192.168.1.8_POSEIDONSQL_APPFVT_01_tblFillRateFechas[[#This Row],[Cant_Resultante]]=Tabla__192.168.1.8_POSEIDONSQL_APPFVT_01_tblFillRateFechas[[#This Row],[cant_order]],1,0)</f>
        <v>1</v>
      </c>
      <c r="N7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3" s="1">
        <f>+IF(AND(Tabla__192.168.1.8_POSEIDONSQL_APPFVT_01_tblFillRateFechas[[#This Row],[Valida Cant]]=1,Tabla__192.168.1.8_POSEIDONSQL_APPFVT_01_tblFillRateFechas[[#This Row],[Valida Fec]]=1),1,0)</f>
        <v>1</v>
      </c>
      <c r="P713" s="1">
        <f>+(Tabla__192.168.1.8_POSEIDONSQL_APPFVT_01_tblFillRateFechas[[#This Row],[Cant_Resultante]]/Tabla__192.168.1.8_POSEIDONSQL_APPFVT_01_tblFillRateFechas[[#This Row],[cant_order]])*100</f>
        <v>100</v>
      </c>
      <c r="Q7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3" s="1">
        <f>+IF(Tabla__192.168.1.8_POSEIDONSQL_APPFVT_01_tblFillRateFechas[[#This Row],[cant_order]]&gt;0,1,0)</f>
        <v>1</v>
      </c>
      <c r="V713" s="1">
        <f>+IF(Tabla__192.168.1.8_POSEIDONSQL_APPFVT_01_tblFillRateFechas[[#This Row],[Resultado]]=1,1,0)</f>
        <v>1</v>
      </c>
      <c r="W713" s="1" t="str">
        <f>+Tabla__192.168.1.8_POSEIDONSQL_APPFVT_01_tblFillRateFechas[[#This Row],[con_ocnumero]]&amp;Tabla__192.168.1.8_POSEIDONSQL_APPFVT_01_tblFillRateFechas[[#This Row],[con_codigounico]]</f>
        <v>969632-</v>
      </c>
      <c r="X7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4" spans="1:24" x14ac:dyDescent="0.25">
      <c r="A714">
        <v>6</v>
      </c>
      <c r="B714" t="s">
        <v>53</v>
      </c>
      <c r="C714">
        <v>969642</v>
      </c>
      <c r="D714" t="s">
        <v>415</v>
      </c>
      <c r="E714" t="s">
        <v>420</v>
      </c>
      <c r="F714" t="s">
        <v>422</v>
      </c>
      <c r="G714">
        <v>1</v>
      </c>
      <c r="H714">
        <v>1</v>
      </c>
      <c r="I714" t="s">
        <v>420</v>
      </c>
      <c r="J714">
        <v>0</v>
      </c>
      <c r="K714" t="s">
        <v>49</v>
      </c>
      <c r="L714" s="1">
        <f>+Tabla__192.168.1.8_POSEIDONSQL_APPFVT_01_tblFillRateFechas[[#This Row],[emb_cantidad]]-Tabla__192.168.1.8_POSEIDONSQL_APPFVT_01_tblFillRateFechas[[#This Row],[dev_cantidad]]</f>
        <v>1</v>
      </c>
      <c r="M714" s="1">
        <f>+IF(Tabla__192.168.1.8_POSEIDONSQL_APPFVT_01_tblFillRateFechas[[#This Row],[Cant_Resultante]]=Tabla__192.168.1.8_POSEIDONSQL_APPFVT_01_tblFillRateFechas[[#This Row],[cant_order]],1,0)</f>
        <v>1</v>
      </c>
      <c r="N7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4" s="1">
        <f>+IF(AND(Tabla__192.168.1.8_POSEIDONSQL_APPFVT_01_tblFillRateFechas[[#This Row],[Valida Cant]]=1,Tabla__192.168.1.8_POSEIDONSQL_APPFVT_01_tblFillRateFechas[[#This Row],[Valida Fec]]=1),1,0)</f>
        <v>1</v>
      </c>
      <c r="P714" s="1">
        <f>+(Tabla__192.168.1.8_POSEIDONSQL_APPFVT_01_tblFillRateFechas[[#This Row],[Cant_Resultante]]/Tabla__192.168.1.8_POSEIDONSQL_APPFVT_01_tblFillRateFechas[[#This Row],[cant_order]])*100</f>
        <v>100</v>
      </c>
      <c r="Q7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4" s="1">
        <f>+IF(Tabla__192.168.1.8_POSEIDONSQL_APPFVT_01_tblFillRateFechas[[#This Row],[cant_order]]&gt;0,1,0)</f>
        <v>1</v>
      </c>
      <c r="V714" s="1">
        <f>+IF(Tabla__192.168.1.8_POSEIDONSQL_APPFVT_01_tblFillRateFechas[[#This Row],[Resultado]]=1,1,0)</f>
        <v>1</v>
      </c>
      <c r="W714" s="1" t="str">
        <f>+Tabla__192.168.1.8_POSEIDONSQL_APPFVT_01_tblFillRateFechas[[#This Row],[con_ocnumero]]&amp;Tabla__192.168.1.8_POSEIDONSQL_APPFVT_01_tblFillRateFechas[[#This Row],[con_codigounico]]</f>
        <v>969642-</v>
      </c>
      <c r="X7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5" spans="1:24" x14ac:dyDescent="0.25">
      <c r="A715">
        <v>6</v>
      </c>
      <c r="B715" t="s">
        <v>53</v>
      </c>
      <c r="C715">
        <v>969743</v>
      </c>
      <c r="D715" t="s">
        <v>415</v>
      </c>
      <c r="E715" t="s">
        <v>420</v>
      </c>
      <c r="F715" t="s">
        <v>422</v>
      </c>
      <c r="G715">
        <v>1</v>
      </c>
      <c r="H715">
        <v>1</v>
      </c>
      <c r="I715" t="s">
        <v>420</v>
      </c>
      <c r="J715">
        <v>0</v>
      </c>
      <c r="K715" t="s">
        <v>49</v>
      </c>
      <c r="L715" s="1">
        <f>+Tabla__192.168.1.8_POSEIDONSQL_APPFVT_01_tblFillRateFechas[[#This Row],[emb_cantidad]]-Tabla__192.168.1.8_POSEIDONSQL_APPFVT_01_tblFillRateFechas[[#This Row],[dev_cantidad]]</f>
        <v>1</v>
      </c>
      <c r="M715" s="1">
        <f>+IF(Tabla__192.168.1.8_POSEIDONSQL_APPFVT_01_tblFillRateFechas[[#This Row],[Cant_Resultante]]=Tabla__192.168.1.8_POSEIDONSQL_APPFVT_01_tblFillRateFechas[[#This Row],[cant_order]],1,0)</f>
        <v>1</v>
      </c>
      <c r="N7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5" s="1">
        <f>+IF(AND(Tabla__192.168.1.8_POSEIDONSQL_APPFVT_01_tblFillRateFechas[[#This Row],[Valida Cant]]=1,Tabla__192.168.1.8_POSEIDONSQL_APPFVT_01_tblFillRateFechas[[#This Row],[Valida Fec]]=1),1,0)</f>
        <v>1</v>
      </c>
      <c r="P715" s="1">
        <f>+(Tabla__192.168.1.8_POSEIDONSQL_APPFVT_01_tblFillRateFechas[[#This Row],[Cant_Resultante]]/Tabla__192.168.1.8_POSEIDONSQL_APPFVT_01_tblFillRateFechas[[#This Row],[cant_order]])*100</f>
        <v>100</v>
      </c>
      <c r="Q7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5" s="1">
        <f>+IF(Tabla__192.168.1.8_POSEIDONSQL_APPFVT_01_tblFillRateFechas[[#This Row],[cant_order]]&gt;0,1,0)</f>
        <v>1</v>
      </c>
      <c r="V715" s="1">
        <f>+IF(Tabla__192.168.1.8_POSEIDONSQL_APPFVT_01_tblFillRateFechas[[#This Row],[Resultado]]=1,1,0)</f>
        <v>1</v>
      </c>
      <c r="W715" s="1" t="str">
        <f>+Tabla__192.168.1.8_POSEIDONSQL_APPFVT_01_tblFillRateFechas[[#This Row],[con_ocnumero]]&amp;Tabla__192.168.1.8_POSEIDONSQL_APPFVT_01_tblFillRateFechas[[#This Row],[con_codigounico]]</f>
        <v>969743-</v>
      </c>
      <c r="X7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6" spans="1:24" x14ac:dyDescent="0.25">
      <c r="A716">
        <v>6</v>
      </c>
      <c r="B716" t="s">
        <v>53</v>
      </c>
      <c r="C716">
        <v>969781</v>
      </c>
      <c r="D716" t="s">
        <v>415</v>
      </c>
      <c r="E716" t="s">
        <v>420</v>
      </c>
      <c r="F716" t="s">
        <v>422</v>
      </c>
      <c r="G716">
        <v>1</v>
      </c>
      <c r="H716">
        <v>1</v>
      </c>
      <c r="I716" t="s">
        <v>420</v>
      </c>
      <c r="J716">
        <v>0</v>
      </c>
      <c r="K716" t="s">
        <v>49</v>
      </c>
      <c r="L716" s="1">
        <f>+Tabla__192.168.1.8_POSEIDONSQL_APPFVT_01_tblFillRateFechas[[#This Row],[emb_cantidad]]-Tabla__192.168.1.8_POSEIDONSQL_APPFVT_01_tblFillRateFechas[[#This Row],[dev_cantidad]]</f>
        <v>1</v>
      </c>
      <c r="M716" s="1">
        <f>+IF(Tabla__192.168.1.8_POSEIDONSQL_APPFVT_01_tblFillRateFechas[[#This Row],[Cant_Resultante]]=Tabla__192.168.1.8_POSEIDONSQL_APPFVT_01_tblFillRateFechas[[#This Row],[cant_order]],1,0)</f>
        <v>1</v>
      </c>
      <c r="N7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6" s="1">
        <f>+IF(AND(Tabla__192.168.1.8_POSEIDONSQL_APPFVT_01_tblFillRateFechas[[#This Row],[Valida Cant]]=1,Tabla__192.168.1.8_POSEIDONSQL_APPFVT_01_tblFillRateFechas[[#This Row],[Valida Fec]]=1),1,0)</f>
        <v>1</v>
      </c>
      <c r="P716" s="1">
        <f>+(Tabla__192.168.1.8_POSEIDONSQL_APPFVT_01_tblFillRateFechas[[#This Row],[Cant_Resultante]]/Tabla__192.168.1.8_POSEIDONSQL_APPFVT_01_tblFillRateFechas[[#This Row],[cant_order]])*100</f>
        <v>100</v>
      </c>
      <c r="Q7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6" s="1">
        <f>+IF(Tabla__192.168.1.8_POSEIDONSQL_APPFVT_01_tblFillRateFechas[[#This Row],[cant_order]]&gt;0,1,0)</f>
        <v>1</v>
      </c>
      <c r="V716" s="1">
        <f>+IF(Tabla__192.168.1.8_POSEIDONSQL_APPFVT_01_tblFillRateFechas[[#This Row],[Resultado]]=1,1,0)</f>
        <v>1</v>
      </c>
      <c r="W716" s="1" t="str">
        <f>+Tabla__192.168.1.8_POSEIDONSQL_APPFVT_01_tblFillRateFechas[[#This Row],[con_ocnumero]]&amp;Tabla__192.168.1.8_POSEIDONSQL_APPFVT_01_tblFillRateFechas[[#This Row],[con_codigounico]]</f>
        <v>969781-</v>
      </c>
      <c r="X7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7" spans="1:24" x14ac:dyDescent="0.25">
      <c r="A717">
        <v>6</v>
      </c>
      <c r="B717" t="s">
        <v>53</v>
      </c>
      <c r="C717">
        <v>969998</v>
      </c>
      <c r="D717" t="s">
        <v>422</v>
      </c>
      <c r="E717" t="s">
        <v>423</v>
      </c>
      <c r="F717" t="s">
        <v>416</v>
      </c>
      <c r="G717">
        <v>1</v>
      </c>
      <c r="H717">
        <v>1</v>
      </c>
      <c r="I717" t="s">
        <v>420</v>
      </c>
      <c r="J717">
        <v>0</v>
      </c>
      <c r="K717" t="s">
        <v>49</v>
      </c>
      <c r="L717" s="1">
        <f>+Tabla__192.168.1.8_POSEIDONSQL_APPFVT_01_tblFillRateFechas[[#This Row],[emb_cantidad]]-Tabla__192.168.1.8_POSEIDONSQL_APPFVT_01_tblFillRateFechas[[#This Row],[dev_cantidad]]</f>
        <v>1</v>
      </c>
      <c r="M717" s="1">
        <f>+IF(Tabla__192.168.1.8_POSEIDONSQL_APPFVT_01_tblFillRateFechas[[#This Row],[Cant_Resultante]]=Tabla__192.168.1.8_POSEIDONSQL_APPFVT_01_tblFillRateFechas[[#This Row],[cant_order]],1,0)</f>
        <v>1</v>
      </c>
      <c r="N7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7" s="1">
        <f>+IF(AND(Tabla__192.168.1.8_POSEIDONSQL_APPFVT_01_tblFillRateFechas[[#This Row],[Valida Cant]]=1,Tabla__192.168.1.8_POSEIDONSQL_APPFVT_01_tblFillRateFechas[[#This Row],[Valida Fec]]=1),1,0)</f>
        <v>1</v>
      </c>
      <c r="P717" s="1">
        <f>+(Tabla__192.168.1.8_POSEIDONSQL_APPFVT_01_tblFillRateFechas[[#This Row],[Cant_Resultante]]/Tabla__192.168.1.8_POSEIDONSQL_APPFVT_01_tblFillRateFechas[[#This Row],[cant_order]])*100</f>
        <v>100</v>
      </c>
      <c r="Q7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7" s="1">
        <f>+IF(Tabla__192.168.1.8_POSEIDONSQL_APPFVT_01_tblFillRateFechas[[#This Row],[cant_order]]&gt;0,1,0)</f>
        <v>1</v>
      </c>
      <c r="V717" s="1">
        <f>+IF(Tabla__192.168.1.8_POSEIDONSQL_APPFVT_01_tblFillRateFechas[[#This Row],[Resultado]]=1,1,0)</f>
        <v>1</v>
      </c>
      <c r="W717" s="1" t="str">
        <f>+Tabla__192.168.1.8_POSEIDONSQL_APPFVT_01_tblFillRateFechas[[#This Row],[con_ocnumero]]&amp;Tabla__192.168.1.8_POSEIDONSQL_APPFVT_01_tblFillRateFechas[[#This Row],[con_codigounico]]</f>
        <v>969998-</v>
      </c>
      <c r="X7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8" spans="1:24" x14ac:dyDescent="0.25">
      <c r="A718">
        <v>6</v>
      </c>
      <c r="B718" t="s">
        <v>53</v>
      </c>
      <c r="C718">
        <v>970564</v>
      </c>
      <c r="D718" t="s">
        <v>422</v>
      </c>
      <c r="E718" t="s">
        <v>423</v>
      </c>
      <c r="F718" t="s">
        <v>416</v>
      </c>
      <c r="G718">
        <v>1</v>
      </c>
      <c r="H718">
        <v>1</v>
      </c>
      <c r="I718" t="s">
        <v>420</v>
      </c>
      <c r="J718">
        <v>0</v>
      </c>
      <c r="K718" t="s">
        <v>49</v>
      </c>
      <c r="L718" s="1">
        <f>+Tabla__192.168.1.8_POSEIDONSQL_APPFVT_01_tblFillRateFechas[[#This Row],[emb_cantidad]]-Tabla__192.168.1.8_POSEIDONSQL_APPFVT_01_tblFillRateFechas[[#This Row],[dev_cantidad]]</f>
        <v>1</v>
      </c>
      <c r="M718" s="1">
        <f>+IF(Tabla__192.168.1.8_POSEIDONSQL_APPFVT_01_tblFillRateFechas[[#This Row],[Cant_Resultante]]=Tabla__192.168.1.8_POSEIDONSQL_APPFVT_01_tblFillRateFechas[[#This Row],[cant_order]],1,0)</f>
        <v>1</v>
      </c>
      <c r="N7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8" s="1">
        <f>+IF(AND(Tabla__192.168.1.8_POSEIDONSQL_APPFVT_01_tblFillRateFechas[[#This Row],[Valida Cant]]=1,Tabla__192.168.1.8_POSEIDONSQL_APPFVT_01_tblFillRateFechas[[#This Row],[Valida Fec]]=1),1,0)</f>
        <v>1</v>
      </c>
      <c r="P718" s="1">
        <f>+(Tabla__192.168.1.8_POSEIDONSQL_APPFVT_01_tblFillRateFechas[[#This Row],[Cant_Resultante]]/Tabla__192.168.1.8_POSEIDONSQL_APPFVT_01_tblFillRateFechas[[#This Row],[cant_order]])*100</f>
        <v>100</v>
      </c>
      <c r="Q7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8" s="1">
        <f>+IF(Tabla__192.168.1.8_POSEIDONSQL_APPFVT_01_tblFillRateFechas[[#This Row],[cant_order]]&gt;0,1,0)</f>
        <v>1</v>
      </c>
      <c r="V718" s="1">
        <f>+IF(Tabla__192.168.1.8_POSEIDONSQL_APPFVT_01_tblFillRateFechas[[#This Row],[Resultado]]=1,1,0)</f>
        <v>1</v>
      </c>
      <c r="W718" s="1" t="str">
        <f>+Tabla__192.168.1.8_POSEIDONSQL_APPFVT_01_tblFillRateFechas[[#This Row],[con_ocnumero]]&amp;Tabla__192.168.1.8_POSEIDONSQL_APPFVT_01_tblFillRateFechas[[#This Row],[con_codigounico]]</f>
        <v>970564-</v>
      </c>
      <c r="X7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19" spans="1:24" x14ac:dyDescent="0.25">
      <c r="A719">
        <v>6</v>
      </c>
      <c r="B719" t="s">
        <v>53</v>
      </c>
      <c r="C719">
        <v>970779</v>
      </c>
      <c r="D719" t="s">
        <v>422</v>
      </c>
      <c r="E719" t="s">
        <v>423</v>
      </c>
      <c r="F719" t="s">
        <v>416</v>
      </c>
      <c r="G719">
        <v>1</v>
      </c>
      <c r="H719">
        <v>1</v>
      </c>
      <c r="I719" t="s">
        <v>420</v>
      </c>
      <c r="J719">
        <v>0</v>
      </c>
      <c r="K719" t="s">
        <v>49</v>
      </c>
      <c r="L719" s="1">
        <f>+Tabla__192.168.1.8_POSEIDONSQL_APPFVT_01_tblFillRateFechas[[#This Row],[emb_cantidad]]-Tabla__192.168.1.8_POSEIDONSQL_APPFVT_01_tblFillRateFechas[[#This Row],[dev_cantidad]]</f>
        <v>1</v>
      </c>
      <c r="M719" s="1">
        <f>+IF(Tabla__192.168.1.8_POSEIDONSQL_APPFVT_01_tblFillRateFechas[[#This Row],[Cant_Resultante]]=Tabla__192.168.1.8_POSEIDONSQL_APPFVT_01_tblFillRateFechas[[#This Row],[cant_order]],1,0)</f>
        <v>1</v>
      </c>
      <c r="N7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19" s="1">
        <f>+IF(AND(Tabla__192.168.1.8_POSEIDONSQL_APPFVT_01_tblFillRateFechas[[#This Row],[Valida Cant]]=1,Tabla__192.168.1.8_POSEIDONSQL_APPFVT_01_tblFillRateFechas[[#This Row],[Valida Fec]]=1),1,0)</f>
        <v>1</v>
      </c>
      <c r="P719" s="1">
        <f>+(Tabla__192.168.1.8_POSEIDONSQL_APPFVT_01_tblFillRateFechas[[#This Row],[Cant_Resultante]]/Tabla__192.168.1.8_POSEIDONSQL_APPFVT_01_tblFillRateFechas[[#This Row],[cant_order]])*100</f>
        <v>100</v>
      </c>
      <c r="Q7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19" s="1">
        <f>+IF(Tabla__192.168.1.8_POSEIDONSQL_APPFVT_01_tblFillRateFechas[[#This Row],[cant_order]]&gt;0,1,0)</f>
        <v>1</v>
      </c>
      <c r="V719" s="1">
        <f>+IF(Tabla__192.168.1.8_POSEIDONSQL_APPFVT_01_tblFillRateFechas[[#This Row],[Resultado]]=1,1,0)</f>
        <v>1</v>
      </c>
      <c r="W719" s="1" t="str">
        <f>+Tabla__192.168.1.8_POSEIDONSQL_APPFVT_01_tblFillRateFechas[[#This Row],[con_ocnumero]]&amp;Tabla__192.168.1.8_POSEIDONSQL_APPFVT_01_tblFillRateFechas[[#This Row],[con_codigounico]]</f>
        <v>970779-</v>
      </c>
      <c r="X7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0" spans="1:24" x14ac:dyDescent="0.25">
      <c r="A720">
        <v>6</v>
      </c>
      <c r="B720" t="s">
        <v>53</v>
      </c>
      <c r="C720">
        <v>970878</v>
      </c>
      <c r="D720" t="s">
        <v>422</v>
      </c>
      <c r="E720" t="s">
        <v>423</v>
      </c>
      <c r="F720" t="s">
        <v>416</v>
      </c>
      <c r="G720">
        <v>1</v>
      </c>
      <c r="H720">
        <v>1</v>
      </c>
      <c r="I720" t="s">
        <v>420</v>
      </c>
      <c r="J720">
        <v>0</v>
      </c>
      <c r="K720" t="s">
        <v>49</v>
      </c>
      <c r="L720" s="1">
        <f>+Tabla__192.168.1.8_POSEIDONSQL_APPFVT_01_tblFillRateFechas[[#This Row],[emb_cantidad]]-Tabla__192.168.1.8_POSEIDONSQL_APPFVT_01_tblFillRateFechas[[#This Row],[dev_cantidad]]</f>
        <v>1</v>
      </c>
      <c r="M720" s="1">
        <f>+IF(Tabla__192.168.1.8_POSEIDONSQL_APPFVT_01_tblFillRateFechas[[#This Row],[Cant_Resultante]]=Tabla__192.168.1.8_POSEIDONSQL_APPFVT_01_tblFillRateFechas[[#This Row],[cant_order]],1,0)</f>
        <v>1</v>
      </c>
      <c r="N7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0" s="1">
        <f>+IF(AND(Tabla__192.168.1.8_POSEIDONSQL_APPFVT_01_tblFillRateFechas[[#This Row],[Valida Cant]]=1,Tabla__192.168.1.8_POSEIDONSQL_APPFVT_01_tblFillRateFechas[[#This Row],[Valida Fec]]=1),1,0)</f>
        <v>1</v>
      </c>
      <c r="P720" s="1">
        <f>+(Tabla__192.168.1.8_POSEIDONSQL_APPFVT_01_tblFillRateFechas[[#This Row],[Cant_Resultante]]/Tabla__192.168.1.8_POSEIDONSQL_APPFVT_01_tblFillRateFechas[[#This Row],[cant_order]])*100</f>
        <v>100</v>
      </c>
      <c r="Q7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0" s="1">
        <f>+IF(Tabla__192.168.1.8_POSEIDONSQL_APPFVT_01_tblFillRateFechas[[#This Row],[cant_order]]&gt;0,1,0)</f>
        <v>1</v>
      </c>
      <c r="V720" s="1">
        <f>+IF(Tabla__192.168.1.8_POSEIDONSQL_APPFVT_01_tblFillRateFechas[[#This Row],[Resultado]]=1,1,0)</f>
        <v>1</v>
      </c>
      <c r="W720" s="1" t="str">
        <f>+Tabla__192.168.1.8_POSEIDONSQL_APPFVT_01_tblFillRateFechas[[#This Row],[con_ocnumero]]&amp;Tabla__192.168.1.8_POSEIDONSQL_APPFVT_01_tblFillRateFechas[[#This Row],[con_codigounico]]</f>
        <v>970878-</v>
      </c>
      <c r="X7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1" spans="1:24" x14ac:dyDescent="0.25">
      <c r="A721">
        <v>6</v>
      </c>
      <c r="B721" t="s">
        <v>53</v>
      </c>
      <c r="C721">
        <v>971183</v>
      </c>
      <c r="D721" t="s">
        <v>417</v>
      </c>
      <c r="E721" t="s">
        <v>423</v>
      </c>
      <c r="F721" t="s">
        <v>416</v>
      </c>
      <c r="G721">
        <v>1</v>
      </c>
      <c r="H721">
        <v>1</v>
      </c>
      <c r="I721" t="s">
        <v>420</v>
      </c>
      <c r="J721">
        <v>0</v>
      </c>
      <c r="K721" t="s">
        <v>49</v>
      </c>
      <c r="L721" s="1">
        <f>+Tabla__192.168.1.8_POSEIDONSQL_APPFVT_01_tblFillRateFechas[[#This Row],[emb_cantidad]]-Tabla__192.168.1.8_POSEIDONSQL_APPFVT_01_tblFillRateFechas[[#This Row],[dev_cantidad]]</f>
        <v>1</v>
      </c>
      <c r="M721" s="1">
        <f>+IF(Tabla__192.168.1.8_POSEIDONSQL_APPFVT_01_tblFillRateFechas[[#This Row],[Cant_Resultante]]=Tabla__192.168.1.8_POSEIDONSQL_APPFVT_01_tblFillRateFechas[[#This Row],[cant_order]],1,0)</f>
        <v>1</v>
      </c>
      <c r="N7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1" s="1">
        <f>+IF(AND(Tabla__192.168.1.8_POSEIDONSQL_APPFVT_01_tblFillRateFechas[[#This Row],[Valida Cant]]=1,Tabla__192.168.1.8_POSEIDONSQL_APPFVT_01_tblFillRateFechas[[#This Row],[Valida Fec]]=1),1,0)</f>
        <v>1</v>
      </c>
      <c r="P721" s="1">
        <f>+(Tabla__192.168.1.8_POSEIDONSQL_APPFVT_01_tblFillRateFechas[[#This Row],[Cant_Resultante]]/Tabla__192.168.1.8_POSEIDONSQL_APPFVT_01_tblFillRateFechas[[#This Row],[cant_order]])*100</f>
        <v>100</v>
      </c>
      <c r="Q7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1" s="1">
        <f>+IF(Tabla__192.168.1.8_POSEIDONSQL_APPFVT_01_tblFillRateFechas[[#This Row],[cant_order]]&gt;0,1,0)</f>
        <v>1</v>
      </c>
      <c r="V721" s="1">
        <f>+IF(Tabla__192.168.1.8_POSEIDONSQL_APPFVT_01_tblFillRateFechas[[#This Row],[Resultado]]=1,1,0)</f>
        <v>1</v>
      </c>
      <c r="W721" s="1" t="str">
        <f>+Tabla__192.168.1.8_POSEIDONSQL_APPFVT_01_tblFillRateFechas[[#This Row],[con_ocnumero]]&amp;Tabla__192.168.1.8_POSEIDONSQL_APPFVT_01_tblFillRateFechas[[#This Row],[con_codigounico]]</f>
        <v>971183-</v>
      </c>
      <c r="X7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2" spans="1:24" x14ac:dyDescent="0.25">
      <c r="A722">
        <v>6</v>
      </c>
      <c r="B722" t="s">
        <v>53</v>
      </c>
      <c r="C722">
        <v>971218</v>
      </c>
      <c r="D722" t="s">
        <v>417</v>
      </c>
      <c r="E722" t="s">
        <v>423</v>
      </c>
      <c r="F722" t="s">
        <v>416</v>
      </c>
      <c r="G722">
        <v>1</v>
      </c>
      <c r="H722">
        <v>1</v>
      </c>
      <c r="I722" t="s">
        <v>420</v>
      </c>
      <c r="J722">
        <v>0</v>
      </c>
      <c r="K722" t="s">
        <v>49</v>
      </c>
      <c r="L722" s="1">
        <f>+Tabla__192.168.1.8_POSEIDONSQL_APPFVT_01_tblFillRateFechas[[#This Row],[emb_cantidad]]-Tabla__192.168.1.8_POSEIDONSQL_APPFVT_01_tblFillRateFechas[[#This Row],[dev_cantidad]]</f>
        <v>1</v>
      </c>
      <c r="M722" s="1">
        <f>+IF(Tabla__192.168.1.8_POSEIDONSQL_APPFVT_01_tblFillRateFechas[[#This Row],[Cant_Resultante]]=Tabla__192.168.1.8_POSEIDONSQL_APPFVT_01_tblFillRateFechas[[#This Row],[cant_order]],1,0)</f>
        <v>1</v>
      </c>
      <c r="N7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2" s="1">
        <f>+IF(AND(Tabla__192.168.1.8_POSEIDONSQL_APPFVT_01_tblFillRateFechas[[#This Row],[Valida Cant]]=1,Tabla__192.168.1.8_POSEIDONSQL_APPFVT_01_tblFillRateFechas[[#This Row],[Valida Fec]]=1),1,0)</f>
        <v>1</v>
      </c>
      <c r="P722" s="1">
        <f>+(Tabla__192.168.1.8_POSEIDONSQL_APPFVT_01_tblFillRateFechas[[#This Row],[Cant_Resultante]]/Tabla__192.168.1.8_POSEIDONSQL_APPFVT_01_tblFillRateFechas[[#This Row],[cant_order]])*100</f>
        <v>100</v>
      </c>
      <c r="Q7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2" s="1">
        <f>+IF(Tabla__192.168.1.8_POSEIDONSQL_APPFVT_01_tblFillRateFechas[[#This Row],[cant_order]]&gt;0,1,0)</f>
        <v>1</v>
      </c>
      <c r="V722" s="1">
        <f>+IF(Tabla__192.168.1.8_POSEIDONSQL_APPFVT_01_tblFillRateFechas[[#This Row],[Resultado]]=1,1,0)</f>
        <v>1</v>
      </c>
      <c r="W722" s="1" t="str">
        <f>+Tabla__192.168.1.8_POSEIDONSQL_APPFVT_01_tblFillRateFechas[[#This Row],[con_ocnumero]]&amp;Tabla__192.168.1.8_POSEIDONSQL_APPFVT_01_tblFillRateFechas[[#This Row],[con_codigounico]]</f>
        <v>971218-</v>
      </c>
      <c r="X7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3" spans="1:24" x14ac:dyDescent="0.25">
      <c r="A723">
        <v>6</v>
      </c>
      <c r="B723" t="s">
        <v>53</v>
      </c>
      <c r="C723">
        <v>971356</v>
      </c>
      <c r="D723" t="s">
        <v>417</v>
      </c>
      <c r="E723" t="s">
        <v>423</v>
      </c>
      <c r="F723" t="s">
        <v>416</v>
      </c>
      <c r="G723">
        <v>1</v>
      </c>
      <c r="H723">
        <v>1</v>
      </c>
      <c r="I723" t="s">
        <v>420</v>
      </c>
      <c r="J723">
        <v>0</v>
      </c>
      <c r="K723" t="s">
        <v>49</v>
      </c>
      <c r="L723" s="1">
        <f>+Tabla__192.168.1.8_POSEIDONSQL_APPFVT_01_tblFillRateFechas[[#This Row],[emb_cantidad]]-Tabla__192.168.1.8_POSEIDONSQL_APPFVT_01_tblFillRateFechas[[#This Row],[dev_cantidad]]</f>
        <v>1</v>
      </c>
      <c r="M723" s="1">
        <f>+IF(Tabla__192.168.1.8_POSEIDONSQL_APPFVT_01_tblFillRateFechas[[#This Row],[Cant_Resultante]]=Tabla__192.168.1.8_POSEIDONSQL_APPFVT_01_tblFillRateFechas[[#This Row],[cant_order]],1,0)</f>
        <v>1</v>
      </c>
      <c r="N7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3" s="1">
        <f>+IF(AND(Tabla__192.168.1.8_POSEIDONSQL_APPFVT_01_tblFillRateFechas[[#This Row],[Valida Cant]]=1,Tabla__192.168.1.8_POSEIDONSQL_APPFVT_01_tblFillRateFechas[[#This Row],[Valida Fec]]=1),1,0)</f>
        <v>1</v>
      </c>
      <c r="P723" s="1">
        <f>+(Tabla__192.168.1.8_POSEIDONSQL_APPFVT_01_tblFillRateFechas[[#This Row],[Cant_Resultante]]/Tabla__192.168.1.8_POSEIDONSQL_APPFVT_01_tblFillRateFechas[[#This Row],[cant_order]])*100</f>
        <v>100</v>
      </c>
      <c r="Q7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3" s="1">
        <f>+IF(Tabla__192.168.1.8_POSEIDONSQL_APPFVT_01_tblFillRateFechas[[#This Row],[cant_order]]&gt;0,1,0)</f>
        <v>1</v>
      </c>
      <c r="V723" s="1">
        <f>+IF(Tabla__192.168.1.8_POSEIDONSQL_APPFVT_01_tblFillRateFechas[[#This Row],[Resultado]]=1,1,0)</f>
        <v>1</v>
      </c>
      <c r="W723" s="1" t="str">
        <f>+Tabla__192.168.1.8_POSEIDONSQL_APPFVT_01_tblFillRateFechas[[#This Row],[con_ocnumero]]&amp;Tabla__192.168.1.8_POSEIDONSQL_APPFVT_01_tblFillRateFechas[[#This Row],[con_codigounico]]</f>
        <v>971356-</v>
      </c>
      <c r="X7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4" spans="1:24" x14ac:dyDescent="0.25">
      <c r="A724">
        <v>6</v>
      </c>
      <c r="B724" t="s">
        <v>53</v>
      </c>
      <c r="C724">
        <v>971383</v>
      </c>
      <c r="D724" t="s">
        <v>417</v>
      </c>
      <c r="E724" t="s">
        <v>423</v>
      </c>
      <c r="F724" t="s">
        <v>416</v>
      </c>
      <c r="G724">
        <v>1</v>
      </c>
      <c r="H724">
        <v>1</v>
      </c>
      <c r="I724" t="s">
        <v>420</v>
      </c>
      <c r="J724">
        <v>0</v>
      </c>
      <c r="K724" t="s">
        <v>49</v>
      </c>
      <c r="L724" s="1">
        <f>+Tabla__192.168.1.8_POSEIDONSQL_APPFVT_01_tblFillRateFechas[[#This Row],[emb_cantidad]]-Tabla__192.168.1.8_POSEIDONSQL_APPFVT_01_tblFillRateFechas[[#This Row],[dev_cantidad]]</f>
        <v>1</v>
      </c>
      <c r="M724" s="1">
        <f>+IF(Tabla__192.168.1.8_POSEIDONSQL_APPFVT_01_tblFillRateFechas[[#This Row],[Cant_Resultante]]=Tabla__192.168.1.8_POSEIDONSQL_APPFVT_01_tblFillRateFechas[[#This Row],[cant_order]],1,0)</f>
        <v>1</v>
      </c>
      <c r="N7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4" s="1">
        <f>+IF(AND(Tabla__192.168.1.8_POSEIDONSQL_APPFVT_01_tblFillRateFechas[[#This Row],[Valida Cant]]=1,Tabla__192.168.1.8_POSEIDONSQL_APPFVT_01_tblFillRateFechas[[#This Row],[Valida Fec]]=1),1,0)</f>
        <v>1</v>
      </c>
      <c r="P724" s="1">
        <f>+(Tabla__192.168.1.8_POSEIDONSQL_APPFVT_01_tblFillRateFechas[[#This Row],[Cant_Resultante]]/Tabla__192.168.1.8_POSEIDONSQL_APPFVT_01_tblFillRateFechas[[#This Row],[cant_order]])*100</f>
        <v>100</v>
      </c>
      <c r="Q7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4" s="1">
        <f>+IF(Tabla__192.168.1.8_POSEIDONSQL_APPFVT_01_tblFillRateFechas[[#This Row],[cant_order]]&gt;0,1,0)</f>
        <v>1</v>
      </c>
      <c r="V724" s="1">
        <f>+IF(Tabla__192.168.1.8_POSEIDONSQL_APPFVT_01_tblFillRateFechas[[#This Row],[Resultado]]=1,1,0)</f>
        <v>1</v>
      </c>
      <c r="W724" s="1" t="str">
        <f>+Tabla__192.168.1.8_POSEIDONSQL_APPFVT_01_tblFillRateFechas[[#This Row],[con_ocnumero]]&amp;Tabla__192.168.1.8_POSEIDONSQL_APPFVT_01_tblFillRateFechas[[#This Row],[con_codigounico]]</f>
        <v>971383-</v>
      </c>
      <c r="X7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5" spans="1:24" x14ac:dyDescent="0.25">
      <c r="A725">
        <v>6</v>
      </c>
      <c r="B725" t="s">
        <v>53</v>
      </c>
      <c r="C725">
        <v>971412</v>
      </c>
      <c r="D725" t="s">
        <v>417</v>
      </c>
      <c r="E725" t="s">
        <v>423</v>
      </c>
      <c r="F725" t="s">
        <v>416</v>
      </c>
      <c r="G725">
        <v>1</v>
      </c>
      <c r="H725">
        <v>1</v>
      </c>
      <c r="I725" t="s">
        <v>420</v>
      </c>
      <c r="J725">
        <v>0</v>
      </c>
      <c r="K725" t="s">
        <v>49</v>
      </c>
      <c r="L725" s="1">
        <f>+Tabla__192.168.1.8_POSEIDONSQL_APPFVT_01_tblFillRateFechas[[#This Row],[emb_cantidad]]-Tabla__192.168.1.8_POSEIDONSQL_APPFVT_01_tblFillRateFechas[[#This Row],[dev_cantidad]]</f>
        <v>1</v>
      </c>
      <c r="M725" s="1">
        <f>+IF(Tabla__192.168.1.8_POSEIDONSQL_APPFVT_01_tblFillRateFechas[[#This Row],[Cant_Resultante]]=Tabla__192.168.1.8_POSEIDONSQL_APPFVT_01_tblFillRateFechas[[#This Row],[cant_order]],1,0)</f>
        <v>1</v>
      </c>
      <c r="N7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5" s="1">
        <f>+IF(AND(Tabla__192.168.1.8_POSEIDONSQL_APPFVT_01_tblFillRateFechas[[#This Row],[Valida Cant]]=1,Tabla__192.168.1.8_POSEIDONSQL_APPFVT_01_tblFillRateFechas[[#This Row],[Valida Fec]]=1),1,0)</f>
        <v>1</v>
      </c>
      <c r="P725" s="1">
        <f>+(Tabla__192.168.1.8_POSEIDONSQL_APPFVT_01_tblFillRateFechas[[#This Row],[Cant_Resultante]]/Tabla__192.168.1.8_POSEIDONSQL_APPFVT_01_tblFillRateFechas[[#This Row],[cant_order]])*100</f>
        <v>100</v>
      </c>
      <c r="Q7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5" s="1">
        <f>+IF(Tabla__192.168.1.8_POSEIDONSQL_APPFVT_01_tblFillRateFechas[[#This Row],[cant_order]]&gt;0,1,0)</f>
        <v>1</v>
      </c>
      <c r="V725" s="1">
        <f>+IF(Tabla__192.168.1.8_POSEIDONSQL_APPFVT_01_tblFillRateFechas[[#This Row],[Resultado]]=1,1,0)</f>
        <v>1</v>
      </c>
      <c r="W725" s="1" t="str">
        <f>+Tabla__192.168.1.8_POSEIDONSQL_APPFVT_01_tblFillRateFechas[[#This Row],[con_ocnumero]]&amp;Tabla__192.168.1.8_POSEIDONSQL_APPFVT_01_tblFillRateFechas[[#This Row],[con_codigounico]]</f>
        <v>971412-</v>
      </c>
      <c r="X7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6" spans="1:24" x14ac:dyDescent="0.25">
      <c r="A726">
        <v>6</v>
      </c>
      <c r="B726" t="s">
        <v>53</v>
      </c>
      <c r="C726">
        <v>971512</v>
      </c>
      <c r="D726" t="s">
        <v>417</v>
      </c>
      <c r="E726" t="s">
        <v>423</v>
      </c>
      <c r="F726" t="s">
        <v>416</v>
      </c>
      <c r="G726">
        <v>1</v>
      </c>
      <c r="H726">
        <v>1</v>
      </c>
      <c r="I726" t="s">
        <v>420</v>
      </c>
      <c r="J726">
        <v>0</v>
      </c>
      <c r="K726" t="s">
        <v>49</v>
      </c>
      <c r="L726" s="1">
        <f>+Tabla__192.168.1.8_POSEIDONSQL_APPFVT_01_tblFillRateFechas[[#This Row],[emb_cantidad]]-Tabla__192.168.1.8_POSEIDONSQL_APPFVT_01_tblFillRateFechas[[#This Row],[dev_cantidad]]</f>
        <v>1</v>
      </c>
      <c r="M726" s="1">
        <f>+IF(Tabla__192.168.1.8_POSEIDONSQL_APPFVT_01_tblFillRateFechas[[#This Row],[Cant_Resultante]]=Tabla__192.168.1.8_POSEIDONSQL_APPFVT_01_tblFillRateFechas[[#This Row],[cant_order]],1,0)</f>
        <v>1</v>
      </c>
      <c r="N7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6" s="1">
        <f>+IF(AND(Tabla__192.168.1.8_POSEIDONSQL_APPFVT_01_tblFillRateFechas[[#This Row],[Valida Cant]]=1,Tabla__192.168.1.8_POSEIDONSQL_APPFVT_01_tblFillRateFechas[[#This Row],[Valida Fec]]=1),1,0)</f>
        <v>1</v>
      </c>
      <c r="P726" s="1">
        <f>+(Tabla__192.168.1.8_POSEIDONSQL_APPFVT_01_tblFillRateFechas[[#This Row],[Cant_Resultante]]/Tabla__192.168.1.8_POSEIDONSQL_APPFVT_01_tblFillRateFechas[[#This Row],[cant_order]])*100</f>
        <v>100</v>
      </c>
      <c r="Q7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6" s="1">
        <f>+IF(Tabla__192.168.1.8_POSEIDONSQL_APPFVT_01_tblFillRateFechas[[#This Row],[cant_order]]&gt;0,1,0)</f>
        <v>1</v>
      </c>
      <c r="V726" s="1">
        <f>+IF(Tabla__192.168.1.8_POSEIDONSQL_APPFVT_01_tblFillRateFechas[[#This Row],[Resultado]]=1,1,0)</f>
        <v>1</v>
      </c>
      <c r="W726" s="1" t="str">
        <f>+Tabla__192.168.1.8_POSEIDONSQL_APPFVT_01_tblFillRateFechas[[#This Row],[con_ocnumero]]&amp;Tabla__192.168.1.8_POSEIDONSQL_APPFVT_01_tblFillRateFechas[[#This Row],[con_codigounico]]</f>
        <v>971512-</v>
      </c>
      <c r="X7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7" spans="1:24" x14ac:dyDescent="0.25">
      <c r="A727">
        <v>6</v>
      </c>
      <c r="B727" t="s">
        <v>53</v>
      </c>
      <c r="C727">
        <v>971740</v>
      </c>
      <c r="D727" t="s">
        <v>417</v>
      </c>
      <c r="E727" t="s">
        <v>423</v>
      </c>
      <c r="F727" t="s">
        <v>416</v>
      </c>
      <c r="G727">
        <v>1</v>
      </c>
      <c r="H727">
        <v>1</v>
      </c>
      <c r="I727" t="s">
        <v>420</v>
      </c>
      <c r="J727">
        <v>0</v>
      </c>
      <c r="K727" t="s">
        <v>49</v>
      </c>
      <c r="L727" s="1">
        <f>+Tabla__192.168.1.8_POSEIDONSQL_APPFVT_01_tblFillRateFechas[[#This Row],[emb_cantidad]]-Tabla__192.168.1.8_POSEIDONSQL_APPFVT_01_tblFillRateFechas[[#This Row],[dev_cantidad]]</f>
        <v>1</v>
      </c>
      <c r="M727" s="1">
        <f>+IF(Tabla__192.168.1.8_POSEIDONSQL_APPFVT_01_tblFillRateFechas[[#This Row],[Cant_Resultante]]=Tabla__192.168.1.8_POSEIDONSQL_APPFVT_01_tblFillRateFechas[[#This Row],[cant_order]],1,0)</f>
        <v>1</v>
      </c>
      <c r="N7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7" s="1">
        <f>+IF(AND(Tabla__192.168.1.8_POSEIDONSQL_APPFVT_01_tblFillRateFechas[[#This Row],[Valida Cant]]=1,Tabla__192.168.1.8_POSEIDONSQL_APPFVT_01_tblFillRateFechas[[#This Row],[Valida Fec]]=1),1,0)</f>
        <v>1</v>
      </c>
      <c r="P727" s="1">
        <f>+(Tabla__192.168.1.8_POSEIDONSQL_APPFVT_01_tblFillRateFechas[[#This Row],[Cant_Resultante]]/Tabla__192.168.1.8_POSEIDONSQL_APPFVT_01_tblFillRateFechas[[#This Row],[cant_order]])*100</f>
        <v>100</v>
      </c>
      <c r="Q7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7" s="1">
        <f>+IF(Tabla__192.168.1.8_POSEIDONSQL_APPFVT_01_tblFillRateFechas[[#This Row],[cant_order]]&gt;0,1,0)</f>
        <v>1</v>
      </c>
      <c r="V727" s="1">
        <f>+IF(Tabla__192.168.1.8_POSEIDONSQL_APPFVT_01_tblFillRateFechas[[#This Row],[Resultado]]=1,1,0)</f>
        <v>1</v>
      </c>
      <c r="W727" s="1" t="str">
        <f>+Tabla__192.168.1.8_POSEIDONSQL_APPFVT_01_tblFillRateFechas[[#This Row],[con_ocnumero]]&amp;Tabla__192.168.1.8_POSEIDONSQL_APPFVT_01_tblFillRateFechas[[#This Row],[con_codigounico]]</f>
        <v>971740-</v>
      </c>
      <c r="X7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8" spans="1:24" x14ac:dyDescent="0.25">
      <c r="A728">
        <v>6</v>
      </c>
      <c r="B728" t="s">
        <v>53</v>
      </c>
      <c r="C728">
        <v>971760</v>
      </c>
      <c r="D728" t="s">
        <v>417</v>
      </c>
      <c r="E728" t="s">
        <v>423</v>
      </c>
      <c r="F728" t="s">
        <v>416</v>
      </c>
      <c r="G728">
        <v>1</v>
      </c>
      <c r="H728">
        <v>1</v>
      </c>
      <c r="I728" t="s">
        <v>420</v>
      </c>
      <c r="J728">
        <v>0</v>
      </c>
      <c r="K728" t="s">
        <v>49</v>
      </c>
      <c r="L728" s="1">
        <f>+Tabla__192.168.1.8_POSEIDONSQL_APPFVT_01_tblFillRateFechas[[#This Row],[emb_cantidad]]-Tabla__192.168.1.8_POSEIDONSQL_APPFVT_01_tblFillRateFechas[[#This Row],[dev_cantidad]]</f>
        <v>1</v>
      </c>
      <c r="M728" s="1">
        <f>+IF(Tabla__192.168.1.8_POSEIDONSQL_APPFVT_01_tblFillRateFechas[[#This Row],[Cant_Resultante]]=Tabla__192.168.1.8_POSEIDONSQL_APPFVT_01_tblFillRateFechas[[#This Row],[cant_order]],1,0)</f>
        <v>1</v>
      </c>
      <c r="N7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8" s="1">
        <f>+IF(AND(Tabla__192.168.1.8_POSEIDONSQL_APPFVT_01_tblFillRateFechas[[#This Row],[Valida Cant]]=1,Tabla__192.168.1.8_POSEIDONSQL_APPFVT_01_tblFillRateFechas[[#This Row],[Valida Fec]]=1),1,0)</f>
        <v>1</v>
      </c>
      <c r="P728" s="1">
        <f>+(Tabla__192.168.1.8_POSEIDONSQL_APPFVT_01_tblFillRateFechas[[#This Row],[Cant_Resultante]]/Tabla__192.168.1.8_POSEIDONSQL_APPFVT_01_tblFillRateFechas[[#This Row],[cant_order]])*100</f>
        <v>100</v>
      </c>
      <c r="Q7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8" s="1">
        <f>+IF(Tabla__192.168.1.8_POSEIDONSQL_APPFVT_01_tblFillRateFechas[[#This Row],[cant_order]]&gt;0,1,0)</f>
        <v>1</v>
      </c>
      <c r="V728" s="1">
        <f>+IF(Tabla__192.168.1.8_POSEIDONSQL_APPFVT_01_tblFillRateFechas[[#This Row],[Resultado]]=1,1,0)</f>
        <v>1</v>
      </c>
      <c r="W728" s="1" t="str">
        <f>+Tabla__192.168.1.8_POSEIDONSQL_APPFVT_01_tblFillRateFechas[[#This Row],[con_ocnumero]]&amp;Tabla__192.168.1.8_POSEIDONSQL_APPFVT_01_tblFillRateFechas[[#This Row],[con_codigounico]]</f>
        <v>971760-</v>
      </c>
      <c r="X7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29" spans="1:24" x14ac:dyDescent="0.25">
      <c r="A729">
        <v>6</v>
      </c>
      <c r="B729" t="s">
        <v>53</v>
      </c>
      <c r="C729">
        <v>971857</v>
      </c>
      <c r="D729" t="s">
        <v>418</v>
      </c>
      <c r="E729" t="s">
        <v>423</v>
      </c>
      <c r="F729" t="s">
        <v>416</v>
      </c>
      <c r="G729">
        <v>1</v>
      </c>
      <c r="H729">
        <v>1</v>
      </c>
      <c r="I729" t="s">
        <v>420</v>
      </c>
      <c r="J729">
        <v>0</v>
      </c>
      <c r="K729" t="s">
        <v>49</v>
      </c>
      <c r="L729" s="1">
        <f>+Tabla__192.168.1.8_POSEIDONSQL_APPFVT_01_tblFillRateFechas[[#This Row],[emb_cantidad]]-Tabla__192.168.1.8_POSEIDONSQL_APPFVT_01_tblFillRateFechas[[#This Row],[dev_cantidad]]</f>
        <v>1</v>
      </c>
      <c r="M729" s="1">
        <f>+IF(Tabla__192.168.1.8_POSEIDONSQL_APPFVT_01_tblFillRateFechas[[#This Row],[Cant_Resultante]]=Tabla__192.168.1.8_POSEIDONSQL_APPFVT_01_tblFillRateFechas[[#This Row],[cant_order]],1,0)</f>
        <v>1</v>
      </c>
      <c r="N7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29" s="1">
        <f>+IF(AND(Tabla__192.168.1.8_POSEIDONSQL_APPFVT_01_tblFillRateFechas[[#This Row],[Valida Cant]]=1,Tabla__192.168.1.8_POSEIDONSQL_APPFVT_01_tblFillRateFechas[[#This Row],[Valida Fec]]=1),1,0)</f>
        <v>1</v>
      </c>
      <c r="P729" s="1">
        <f>+(Tabla__192.168.1.8_POSEIDONSQL_APPFVT_01_tblFillRateFechas[[#This Row],[Cant_Resultante]]/Tabla__192.168.1.8_POSEIDONSQL_APPFVT_01_tblFillRateFechas[[#This Row],[cant_order]])*100</f>
        <v>100</v>
      </c>
      <c r="Q7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29" s="1">
        <f>+IF(Tabla__192.168.1.8_POSEIDONSQL_APPFVT_01_tblFillRateFechas[[#This Row],[cant_order]]&gt;0,1,0)</f>
        <v>1</v>
      </c>
      <c r="V729" s="1">
        <f>+IF(Tabla__192.168.1.8_POSEIDONSQL_APPFVT_01_tblFillRateFechas[[#This Row],[Resultado]]=1,1,0)</f>
        <v>1</v>
      </c>
      <c r="W729" s="1" t="str">
        <f>+Tabla__192.168.1.8_POSEIDONSQL_APPFVT_01_tblFillRateFechas[[#This Row],[con_ocnumero]]&amp;Tabla__192.168.1.8_POSEIDONSQL_APPFVT_01_tblFillRateFechas[[#This Row],[con_codigounico]]</f>
        <v>971857-</v>
      </c>
      <c r="X7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0" spans="1:24" x14ac:dyDescent="0.25">
      <c r="A730">
        <v>6</v>
      </c>
      <c r="B730" t="s">
        <v>53</v>
      </c>
      <c r="C730">
        <v>971932</v>
      </c>
      <c r="D730" t="s">
        <v>418</v>
      </c>
      <c r="E730" t="s">
        <v>423</v>
      </c>
      <c r="F730" t="s">
        <v>416</v>
      </c>
      <c r="G730">
        <v>1</v>
      </c>
      <c r="H730">
        <v>1</v>
      </c>
      <c r="I730" t="s">
        <v>420</v>
      </c>
      <c r="J730">
        <v>0</v>
      </c>
      <c r="K730" t="s">
        <v>49</v>
      </c>
      <c r="L730" s="1">
        <f>+Tabla__192.168.1.8_POSEIDONSQL_APPFVT_01_tblFillRateFechas[[#This Row],[emb_cantidad]]-Tabla__192.168.1.8_POSEIDONSQL_APPFVT_01_tblFillRateFechas[[#This Row],[dev_cantidad]]</f>
        <v>1</v>
      </c>
      <c r="M730" s="1">
        <f>+IF(Tabla__192.168.1.8_POSEIDONSQL_APPFVT_01_tblFillRateFechas[[#This Row],[Cant_Resultante]]=Tabla__192.168.1.8_POSEIDONSQL_APPFVT_01_tblFillRateFechas[[#This Row],[cant_order]],1,0)</f>
        <v>1</v>
      </c>
      <c r="N7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0" s="1">
        <f>+IF(AND(Tabla__192.168.1.8_POSEIDONSQL_APPFVT_01_tblFillRateFechas[[#This Row],[Valida Cant]]=1,Tabla__192.168.1.8_POSEIDONSQL_APPFVT_01_tblFillRateFechas[[#This Row],[Valida Fec]]=1),1,0)</f>
        <v>1</v>
      </c>
      <c r="P730" s="1">
        <f>+(Tabla__192.168.1.8_POSEIDONSQL_APPFVT_01_tblFillRateFechas[[#This Row],[Cant_Resultante]]/Tabla__192.168.1.8_POSEIDONSQL_APPFVT_01_tblFillRateFechas[[#This Row],[cant_order]])*100</f>
        <v>100</v>
      </c>
      <c r="Q7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0" s="1">
        <f>+IF(Tabla__192.168.1.8_POSEIDONSQL_APPFVT_01_tblFillRateFechas[[#This Row],[cant_order]]&gt;0,1,0)</f>
        <v>1</v>
      </c>
      <c r="V730" s="1">
        <f>+IF(Tabla__192.168.1.8_POSEIDONSQL_APPFVT_01_tblFillRateFechas[[#This Row],[Resultado]]=1,1,0)</f>
        <v>1</v>
      </c>
      <c r="W730" s="1" t="str">
        <f>+Tabla__192.168.1.8_POSEIDONSQL_APPFVT_01_tblFillRateFechas[[#This Row],[con_ocnumero]]&amp;Tabla__192.168.1.8_POSEIDONSQL_APPFVT_01_tblFillRateFechas[[#This Row],[con_codigounico]]</f>
        <v>971932-</v>
      </c>
      <c r="X7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1" spans="1:24" x14ac:dyDescent="0.25">
      <c r="A731">
        <v>6</v>
      </c>
      <c r="B731" t="s">
        <v>53</v>
      </c>
      <c r="C731">
        <v>971947</v>
      </c>
      <c r="D731" t="s">
        <v>418</v>
      </c>
      <c r="E731" t="s">
        <v>423</v>
      </c>
      <c r="F731" t="s">
        <v>416</v>
      </c>
      <c r="G731">
        <v>1</v>
      </c>
      <c r="H731">
        <v>1</v>
      </c>
      <c r="I731" t="s">
        <v>420</v>
      </c>
      <c r="J731">
        <v>0</v>
      </c>
      <c r="K731" t="s">
        <v>49</v>
      </c>
      <c r="L731" s="1">
        <f>+Tabla__192.168.1.8_POSEIDONSQL_APPFVT_01_tblFillRateFechas[[#This Row],[emb_cantidad]]-Tabla__192.168.1.8_POSEIDONSQL_APPFVT_01_tblFillRateFechas[[#This Row],[dev_cantidad]]</f>
        <v>1</v>
      </c>
      <c r="M731" s="1">
        <f>+IF(Tabla__192.168.1.8_POSEIDONSQL_APPFVT_01_tblFillRateFechas[[#This Row],[Cant_Resultante]]=Tabla__192.168.1.8_POSEIDONSQL_APPFVT_01_tblFillRateFechas[[#This Row],[cant_order]],1,0)</f>
        <v>1</v>
      </c>
      <c r="N7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1" s="1">
        <f>+IF(AND(Tabla__192.168.1.8_POSEIDONSQL_APPFVT_01_tblFillRateFechas[[#This Row],[Valida Cant]]=1,Tabla__192.168.1.8_POSEIDONSQL_APPFVT_01_tblFillRateFechas[[#This Row],[Valida Fec]]=1),1,0)</f>
        <v>1</v>
      </c>
      <c r="P731" s="1">
        <f>+(Tabla__192.168.1.8_POSEIDONSQL_APPFVT_01_tblFillRateFechas[[#This Row],[Cant_Resultante]]/Tabla__192.168.1.8_POSEIDONSQL_APPFVT_01_tblFillRateFechas[[#This Row],[cant_order]])*100</f>
        <v>100</v>
      </c>
      <c r="Q7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1" s="1">
        <f>+IF(Tabla__192.168.1.8_POSEIDONSQL_APPFVT_01_tblFillRateFechas[[#This Row],[cant_order]]&gt;0,1,0)</f>
        <v>1</v>
      </c>
      <c r="V731" s="1">
        <f>+IF(Tabla__192.168.1.8_POSEIDONSQL_APPFVT_01_tblFillRateFechas[[#This Row],[Resultado]]=1,1,0)</f>
        <v>1</v>
      </c>
      <c r="W731" s="1" t="str">
        <f>+Tabla__192.168.1.8_POSEIDONSQL_APPFVT_01_tblFillRateFechas[[#This Row],[con_ocnumero]]&amp;Tabla__192.168.1.8_POSEIDONSQL_APPFVT_01_tblFillRateFechas[[#This Row],[con_codigounico]]</f>
        <v>971947-</v>
      </c>
      <c r="X7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2" spans="1:24" x14ac:dyDescent="0.25">
      <c r="A732">
        <v>6</v>
      </c>
      <c r="B732" t="s">
        <v>53</v>
      </c>
      <c r="C732">
        <v>972171</v>
      </c>
      <c r="D732" t="s">
        <v>418</v>
      </c>
      <c r="E732" t="s">
        <v>423</v>
      </c>
      <c r="F732" t="s">
        <v>416</v>
      </c>
      <c r="G732">
        <v>1</v>
      </c>
      <c r="H732">
        <v>1</v>
      </c>
      <c r="I732" t="s">
        <v>420</v>
      </c>
      <c r="J732">
        <v>0</v>
      </c>
      <c r="K732" t="s">
        <v>49</v>
      </c>
      <c r="L732" s="1">
        <f>+Tabla__192.168.1.8_POSEIDONSQL_APPFVT_01_tblFillRateFechas[[#This Row],[emb_cantidad]]-Tabla__192.168.1.8_POSEIDONSQL_APPFVT_01_tblFillRateFechas[[#This Row],[dev_cantidad]]</f>
        <v>1</v>
      </c>
      <c r="M732" s="1">
        <f>+IF(Tabla__192.168.1.8_POSEIDONSQL_APPFVT_01_tblFillRateFechas[[#This Row],[Cant_Resultante]]=Tabla__192.168.1.8_POSEIDONSQL_APPFVT_01_tblFillRateFechas[[#This Row],[cant_order]],1,0)</f>
        <v>1</v>
      </c>
      <c r="N7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2" s="1">
        <f>+IF(AND(Tabla__192.168.1.8_POSEIDONSQL_APPFVT_01_tblFillRateFechas[[#This Row],[Valida Cant]]=1,Tabla__192.168.1.8_POSEIDONSQL_APPFVT_01_tblFillRateFechas[[#This Row],[Valida Fec]]=1),1,0)</f>
        <v>1</v>
      </c>
      <c r="P732" s="1">
        <f>+(Tabla__192.168.1.8_POSEIDONSQL_APPFVT_01_tblFillRateFechas[[#This Row],[Cant_Resultante]]/Tabla__192.168.1.8_POSEIDONSQL_APPFVT_01_tblFillRateFechas[[#This Row],[cant_order]])*100</f>
        <v>100</v>
      </c>
      <c r="Q7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2" s="1">
        <f>+IF(Tabla__192.168.1.8_POSEIDONSQL_APPFVT_01_tblFillRateFechas[[#This Row],[cant_order]]&gt;0,1,0)</f>
        <v>1</v>
      </c>
      <c r="V732" s="1">
        <f>+IF(Tabla__192.168.1.8_POSEIDONSQL_APPFVT_01_tblFillRateFechas[[#This Row],[Resultado]]=1,1,0)</f>
        <v>1</v>
      </c>
      <c r="W732" s="1" t="str">
        <f>+Tabla__192.168.1.8_POSEIDONSQL_APPFVT_01_tblFillRateFechas[[#This Row],[con_ocnumero]]&amp;Tabla__192.168.1.8_POSEIDONSQL_APPFVT_01_tblFillRateFechas[[#This Row],[con_codigounico]]</f>
        <v>972171-</v>
      </c>
      <c r="X7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3" spans="1:24" x14ac:dyDescent="0.25">
      <c r="A733">
        <v>6</v>
      </c>
      <c r="B733" t="s">
        <v>53</v>
      </c>
      <c r="C733">
        <v>972401</v>
      </c>
      <c r="D733" t="s">
        <v>418</v>
      </c>
      <c r="E733" t="s">
        <v>423</v>
      </c>
      <c r="F733" t="s">
        <v>416</v>
      </c>
      <c r="G733">
        <v>1</v>
      </c>
      <c r="H733">
        <v>1</v>
      </c>
      <c r="I733" t="s">
        <v>420</v>
      </c>
      <c r="J733">
        <v>0</v>
      </c>
      <c r="K733" t="s">
        <v>49</v>
      </c>
      <c r="L733" s="1">
        <f>+Tabla__192.168.1.8_POSEIDONSQL_APPFVT_01_tblFillRateFechas[[#This Row],[emb_cantidad]]-Tabla__192.168.1.8_POSEIDONSQL_APPFVT_01_tblFillRateFechas[[#This Row],[dev_cantidad]]</f>
        <v>1</v>
      </c>
      <c r="M733" s="1">
        <f>+IF(Tabla__192.168.1.8_POSEIDONSQL_APPFVT_01_tblFillRateFechas[[#This Row],[Cant_Resultante]]=Tabla__192.168.1.8_POSEIDONSQL_APPFVT_01_tblFillRateFechas[[#This Row],[cant_order]],1,0)</f>
        <v>1</v>
      </c>
      <c r="N7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3" s="1">
        <f>+IF(AND(Tabla__192.168.1.8_POSEIDONSQL_APPFVT_01_tblFillRateFechas[[#This Row],[Valida Cant]]=1,Tabla__192.168.1.8_POSEIDONSQL_APPFVT_01_tblFillRateFechas[[#This Row],[Valida Fec]]=1),1,0)</f>
        <v>1</v>
      </c>
      <c r="P733" s="1">
        <f>+(Tabla__192.168.1.8_POSEIDONSQL_APPFVT_01_tblFillRateFechas[[#This Row],[Cant_Resultante]]/Tabla__192.168.1.8_POSEIDONSQL_APPFVT_01_tblFillRateFechas[[#This Row],[cant_order]])*100</f>
        <v>100</v>
      </c>
      <c r="Q7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3" s="1">
        <f>+IF(Tabla__192.168.1.8_POSEIDONSQL_APPFVT_01_tblFillRateFechas[[#This Row],[cant_order]]&gt;0,1,0)</f>
        <v>1</v>
      </c>
      <c r="V733" s="1">
        <f>+IF(Tabla__192.168.1.8_POSEIDONSQL_APPFVT_01_tblFillRateFechas[[#This Row],[Resultado]]=1,1,0)</f>
        <v>1</v>
      </c>
      <c r="W733" s="1" t="str">
        <f>+Tabla__192.168.1.8_POSEIDONSQL_APPFVT_01_tblFillRateFechas[[#This Row],[con_ocnumero]]&amp;Tabla__192.168.1.8_POSEIDONSQL_APPFVT_01_tblFillRateFechas[[#This Row],[con_codigounico]]</f>
        <v>972401-</v>
      </c>
      <c r="X7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4" spans="1:24" x14ac:dyDescent="0.25">
      <c r="A734">
        <v>6</v>
      </c>
      <c r="B734" t="s">
        <v>53</v>
      </c>
      <c r="C734">
        <v>972485</v>
      </c>
      <c r="D734" t="s">
        <v>418</v>
      </c>
      <c r="E734" t="s">
        <v>423</v>
      </c>
      <c r="F734" t="s">
        <v>416</v>
      </c>
      <c r="G734">
        <v>1</v>
      </c>
      <c r="H734">
        <v>1</v>
      </c>
      <c r="I734" t="s">
        <v>420</v>
      </c>
      <c r="J734">
        <v>0</v>
      </c>
      <c r="K734" t="s">
        <v>49</v>
      </c>
      <c r="L734" s="1">
        <f>+Tabla__192.168.1.8_POSEIDONSQL_APPFVT_01_tblFillRateFechas[[#This Row],[emb_cantidad]]-Tabla__192.168.1.8_POSEIDONSQL_APPFVT_01_tblFillRateFechas[[#This Row],[dev_cantidad]]</f>
        <v>1</v>
      </c>
      <c r="M734" s="1">
        <f>+IF(Tabla__192.168.1.8_POSEIDONSQL_APPFVT_01_tblFillRateFechas[[#This Row],[Cant_Resultante]]=Tabla__192.168.1.8_POSEIDONSQL_APPFVT_01_tblFillRateFechas[[#This Row],[cant_order]],1,0)</f>
        <v>1</v>
      </c>
      <c r="N7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4" s="1">
        <f>+IF(AND(Tabla__192.168.1.8_POSEIDONSQL_APPFVT_01_tblFillRateFechas[[#This Row],[Valida Cant]]=1,Tabla__192.168.1.8_POSEIDONSQL_APPFVT_01_tblFillRateFechas[[#This Row],[Valida Fec]]=1),1,0)</f>
        <v>1</v>
      </c>
      <c r="P734" s="1">
        <f>+(Tabla__192.168.1.8_POSEIDONSQL_APPFVT_01_tblFillRateFechas[[#This Row],[Cant_Resultante]]/Tabla__192.168.1.8_POSEIDONSQL_APPFVT_01_tblFillRateFechas[[#This Row],[cant_order]])*100</f>
        <v>100</v>
      </c>
      <c r="Q7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4" s="1">
        <f>+IF(Tabla__192.168.1.8_POSEIDONSQL_APPFVT_01_tblFillRateFechas[[#This Row],[cant_order]]&gt;0,1,0)</f>
        <v>1</v>
      </c>
      <c r="V734" s="1">
        <f>+IF(Tabla__192.168.1.8_POSEIDONSQL_APPFVT_01_tblFillRateFechas[[#This Row],[Resultado]]=1,1,0)</f>
        <v>1</v>
      </c>
      <c r="W734" s="1" t="str">
        <f>+Tabla__192.168.1.8_POSEIDONSQL_APPFVT_01_tblFillRateFechas[[#This Row],[con_ocnumero]]&amp;Tabla__192.168.1.8_POSEIDONSQL_APPFVT_01_tblFillRateFechas[[#This Row],[con_codigounico]]</f>
        <v>972485-</v>
      </c>
      <c r="X7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5" spans="1:24" x14ac:dyDescent="0.25">
      <c r="A735">
        <v>6</v>
      </c>
      <c r="B735" t="s">
        <v>53</v>
      </c>
      <c r="C735">
        <v>972489</v>
      </c>
      <c r="D735" t="s">
        <v>418</v>
      </c>
      <c r="E735" t="s">
        <v>423</v>
      </c>
      <c r="F735" t="s">
        <v>416</v>
      </c>
      <c r="G735">
        <v>1</v>
      </c>
      <c r="H735">
        <v>1</v>
      </c>
      <c r="I735" t="s">
        <v>420</v>
      </c>
      <c r="J735">
        <v>0</v>
      </c>
      <c r="K735" t="s">
        <v>49</v>
      </c>
      <c r="L735" s="1">
        <f>+Tabla__192.168.1.8_POSEIDONSQL_APPFVT_01_tblFillRateFechas[[#This Row],[emb_cantidad]]-Tabla__192.168.1.8_POSEIDONSQL_APPFVT_01_tblFillRateFechas[[#This Row],[dev_cantidad]]</f>
        <v>1</v>
      </c>
      <c r="M735" s="1">
        <f>+IF(Tabla__192.168.1.8_POSEIDONSQL_APPFVT_01_tblFillRateFechas[[#This Row],[Cant_Resultante]]=Tabla__192.168.1.8_POSEIDONSQL_APPFVT_01_tblFillRateFechas[[#This Row],[cant_order]],1,0)</f>
        <v>1</v>
      </c>
      <c r="N7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5" s="1">
        <f>+IF(AND(Tabla__192.168.1.8_POSEIDONSQL_APPFVT_01_tblFillRateFechas[[#This Row],[Valida Cant]]=1,Tabla__192.168.1.8_POSEIDONSQL_APPFVT_01_tblFillRateFechas[[#This Row],[Valida Fec]]=1),1,0)</f>
        <v>1</v>
      </c>
      <c r="P735" s="1">
        <f>+(Tabla__192.168.1.8_POSEIDONSQL_APPFVT_01_tblFillRateFechas[[#This Row],[Cant_Resultante]]/Tabla__192.168.1.8_POSEIDONSQL_APPFVT_01_tblFillRateFechas[[#This Row],[cant_order]])*100</f>
        <v>100</v>
      </c>
      <c r="Q7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5" s="1">
        <f>+IF(Tabla__192.168.1.8_POSEIDONSQL_APPFVT_01_tblFillRateFechas[[#This Row],[cant_order]]&gt;0,1,0)</f>
        <v>1</v>
      </c>
      <c r="V735" s="1">
        <f>+IF(Tabla__192.168.1.8_POSEIDONSQL_APPFVT_01_tblFillRateFechas[[#This Row],[Resultado]]=1,1,0)</f>
        <v>1</v>
      </c>
      <c r="W735" s="1" t="str">
        <f>+Tabla__192.168.1.8_POSEIDONSQL_APPFVT_01_tblFillRateFechas[[#This Row],[con_ocnumero]]&amp;Tabla__192.168.1.8_POSEIDONSQL_APPFVT_01_tblFillRateFechas[[#This Row],[con_codigounico]]</f>
        <v>972489-</v>
      </c>
      <c r="X7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6" spans="1:24" x14ac:dyDescent="0.25">
      <c r="A736">
        <v>6</v>
      </c>
      <c r="B736" t="s">
        <v>53</v>
      </c>
      <c r="C736">
        <v>972599</v>
      </c>
      <c r="D736" t="s">
        <v>418</v>
      </c>
      <c r="E736" t="s">
        <v>423</v>
      </c>
      <c r="F736" t="s">
        <v>416</v>
      </c>
      <c r="G736">
        <v>1</v>
      </c>
      <c r="H736">
        <v>1</v>
      </c>
      <c r="I736" t="s">
        <v>420</v>
      </c>
      <c r="J736">
        <v>0</v>
      </c>
      <c r="K736" t="s">
        <v>49</v>
      </c>
      <c r="L736" s="1">
        <f>+Tabla__192.168.1.8_POSEIDONSQL_APPFVT_01_tblFillRateFechas[[#This Row],[emb_cantidad]]-Tabla__192.168.1.8_POSEIDONSQL_APPFVT_01_tblFillRateFechas[[#This Row],[dev_cantidad]]</f>
        <v>1</v>
      </c>
      <c r="M736" s="1">
        <f>+IF(Tabla__192.168.1.8_POSEIDONSQL_APPFVT_01_tblFillRateFechas[[#This Row],[Cant_Resultante]]=Tabla__192.168.1.8_POSEIDONSQL_APPFVT_01_tblFillRateFechas[[#This Row],[cant_order]],1,0)</f>
        <v>1</v>
      </c>
      <c r="N7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6" s="1">
        <f>+IF(AND(Tabla__192.168.1.8_POSEIDONSQL_APPFVT_01_tblFillRateFechas[[#This Row],[Valida Cant]]=1,Tabla__192.168.1.8_POSEIDONSQL_APPFVT_01_tblFillRateFechas[[#This Row],[Valida Fec]]=1),1,0)</f>
        <v>1</v>
      </c>
      <c r="P736" s="1">
        <f>+(Tabla__192.168.1.8_POSEIDONSQL_APPFVT_01_tblFillRateFechas[[#This Row],[Cant_Resultante]]/Tabla__192.168.1.8_POSEIDONSQL_APPFVT_01_tblFillRateFechas[[#This Row],[cant_order]])*100</f>
        <v>100</v>
      </c>
      <c r="Q7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6" s="1">
        <f>+IF(Tabla__192.168.1.8_POSEIDONSQL_APPFVT_01_tblFillRateFechas[[#This Row],[cant_order]]&gt;0,1,0)</f>
        <v>1</v>
      </c>
      <c r="V736" s="1">
        <f>+IF(Tabla__192.168.1.8_POSEIDONSQL_APPFVT_01_tblFillRateFechas[[#This Row],[Resultado]]=1,1,0)</f>
        <v>1</v>
      </c>
      <c r="W736" s="1" t="str">
        <f>+Tabla__192.168.1.8_POSEIDONSQL_APPFVT_01_tblFillRateFechas[[#This Row],[con_ocnumero]]&amp;Tabla__192.168.1.8_POSEIDONSQL_APPFVT_01_tblFillRateFechas[[#This Row],[con_codigounico]]</f>
        <v>972599-</v>
      </c>
      <c r="X7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7" spans="1:24" x14ac:dyDescent="0.25">
      <c r="A737">
        <v>6</v>
      </c>
      <c r="B737" t="s">
        <v>53</v>
      </c>
      <c r="C737">
        <v>972606</v>
      </c>
      <c r="D737" t="s">
        <v>416</v>
      </c>
      <c r="E737" t="s">
        <v>423</v>
      </c>
      <c r="F737" t="s">
        <v>416</v>
      </c>
      <c r="G737">
        <v>1</v>
      </c>
      <c r="H737">
        <v>1</v>
      </c>
      <c r="I737" t="s">
        <v>420</v>
      </c>
      <c r="J737">
        <v>0</v>
      </c>
      <c r="K737" t="s">
        <v>49</v>
      </c>
      <c r="L737" s="1">
        <f>+Tabla__192.168.1.8_POSEIDONSQL_APPFVT_01_tblFillRateFechas[[#This Row],[emb_cantidad]]-Tabla__192.168.1.8_POSEIDONSQL_APPFVT_01_tblFillRateFechas[[#This Row],[dev_cantidad]]</f>
        <v>1</v>
      </c>
      <c r="M737" s="1">
        <f>+IF(Tabla__192.168.1.8_POSEIDONSQL_APPFVT_01_tblFillRateFechas[[#This Row],[Cant_Resultante]]=Tabla__192.168.1.8_POSEIDONSQL_APPFVT_01_tblFillRateFechas[[#This Row],[cant_order]],1,0)</f>
        <v>1</v>
      </c>
      <c r="N7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7" s="1">
        <f>+IF(AND(Tabla__192.168.1.8_POSEIDONSQL_APPFVT_01_tblFillRateFechas[[#This Row],[Valida Cant]]=1,Tabla__192.168.1.8_POSEIDONSQL_APPFVT_01_tblFillRateFechas[[#This Row],[Valida Fec]]=1),1,0)</f>
        <v>1</v>
      </c>
      <c r="P737" s="1">
        <f>+(Tabla__192.168.1.8_POSEIDONSQL_APPFVT_01_tblFillRateFechas[[#This Row],[Cant_Resultante]]/Tabla__192.168.1.8_POSEIDONSQL_APPFVT_01_tblFillRateFechas[[#This Row],[cant_order]])*100</f>
        <v>100</v>
      </c>
      <c r="Q7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7" s="1">
        <f>+IF(Tabla__192.168.1.8_POSEIDONSQL_APPFVT_01_tblFillRateFechas[[#This Row],[cant_order]]&gt;0,1,0)</f>
        <v>1</v>
      </c>
      <c r="V737" s="1">
        <f>+IF(Tabla__192.168.1.8_POSEIDONSQL_APPFVT_01_tblFillRateFechas[[#This Row],[Resultado]]=1,1,0)</f>
        <v>1</v>
      </c>
      <c r="W737" s="1" t="str">
        <f>+Tabla__192.168.1.8_POSEIDONSQL_APPFVT_01_tblFillRateFechas[[#This Row],[con_ocnumero]]&amp;Tabla__192.168.1.8_POSEIDONSQL_APPFVT_01_tblFillRateFechas[[#This Row],[con_codigounico]]</f>
        <v>972606-</v>
      </c>
      <c r="X7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8" spans="1:24" x14ac:dyDescent="0.25">
      <c r="A738">
        <v>6</v>
      </c>
      <c r="B738" t="s">
        <v>53</v>
      </c>
      <c r="C738">
        <v>972704</v>
      </c>
      <c r="D738" t="s">
        <v>416</v>
      </c>
      <c r="E738" t="s">
        <v>423</v>
      </c>
      <c r="F738" t="s">
        <v>416</v>
      </c>
      <c r="G738">
        <v>1</v>
      </c>
      <c r="H738">
        <v>1</v>
      </c>
      <c r="I738" t="s">
        <v>420</v>
      </c>
      <c r="J738">
        <v>0</v>
      </c>
      <c r="K738" t="s">
        <v>49</v>
      </c>
      <c r="L738" s="1">
        <f>+Tabla__192.168.1.8_POSEIDONSQL_APPFVT_01_tblFillRateFechas[[#This Row],[emb_cantidad]]-Tabla__192.168.1.8_POSEIDONSQL_APPFVT_01_tblFillRateFechas[[#This Row],[dev_cantidad]]</f>
        <v>1</v>
      </c>
      <c r="M738" s="1">
        <f>+IF(Tabla__192.168.1.8_POSEIDONSQL_APPFVT_01_tblFillRateFechas[[#This Row],[Cant_Resultante]]=Tabla__192.168.1.8_POSEIDONSQL_APPFVT_01_tblFillRateFechas[[#This Row],[cant_order]],1,0)</f>
        <v>1</v>
      </c>
      <c r="N7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8" s="1">
        <f>+IF(AND(Tabla__192.168.1.8_POSEIDONSQL_APPFVT_01_tblFillRateFechas[[#This Row],[Valida Cant]]=1,Tabla__192.168.1.8_POSEIDONSQL_APPFVT_01_tblFillRateFechas[[#This Row],[Valida Fec]]=1),1,0)</f>
        <v>1</v>
      </c>
      <c r="P738" s="1">
        <f>+(Tabla__192.168.1.8_POSEIDONSQL_APPFVT_01_tblFillRateFechas[[#This Row],[Cant_Resultante]]/Tabla__192.168.1.8_POSEIDONSQL_APPFVT_01_tblFillRateFechas[[#This Row],[cant_order]])*100</f>
        <v>100</v>
      </c>
      <c r="Q7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8" s="1">
        <f>+IF(Tabla__192.168.1.8_POSEIDONSQL_APPFVT_01_tblFillRateFechas[[#This Row],[cant_order]]&gt;0,1,0)</f>
        <v>1</v>
      </c>
      <c r="V738" s="1">
        <f>+IF(Tabla__192.168.1.8_POSEIDONSQL_APPFVT_01_tblFillRateFechas[[#This Row],[Resultado]]=1,1,0)</f>
        <v>1</v>
      </c>
      <c r="W738" s="1" t="str">
        <f>+Tabla__192.168.1.8_POSEIDONSQL_APPFVT_01_tblFillRateFechas[[#This Row],[con_ocnumero]]&amp;Tabla__192.168.1.8_POSEIDONSQL_APPFVT_01_tblFillRateFechas[[#This Row],[con_codigounico]]</f>
        <v>972704-</v>
      </c>
      <c r="X7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39" spans="1:24" x14ac:dyDescent="0.25">
      <c r="A739">
        <v>6</v>
      </c>
      <c r="B739" t="s">
        <v>53</v>
      </c>
      <c r="C739">
        <v>973167</v>
      </c>
      <c r="D739" t="s">
        <v>416</v>
      </c>
      <c r="E739" t="s">
        <v>423</v>
      </c>
      <c r="F739" t="s">
        <v>419</v>
      </c>
      <c r="G739">
        <v>1</v>
      </c>
      <c r="H739">
        <v>1</v>
      </c>
      <c r="I739" t="s">
        <v>420</v>
      </c>
      <c r="J739">
        <v>0</v>
      </c>
      <c r="K739" t="s">
        <v>49</v>
      </c>
      <c r="L739" s="1">
        <f>+Tabla__192.168.1.8_POSEIDONSQL_APPFVT_01_tblFillRateFechas[[#This Row],[emb_cantidad]]-Tabla__192.168.1.8_POSEIDONSQL_APPFVT_01_tblFillRateFechas[[#This Row],[dev_cantidad]]</f>
        <v>1</v>
      </c>
      <c r="M739" s="1">
        <f>+IF(Tabla__192.168.1.8_POSEIDONSQL_APPFVT_01_tblFillRateFechas[[#This Row],[Cant_Resultante]]=Tabla__192.168.1.8_POSEIDONSQL_APPFVT_01_tblFillRateFechas[[#This Row],[cant_order]],1,0)</f>
        <v>1</v>
      </c>
      <c r="N7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39" s="1">
        <f>+IF(AND(Tabla__192.168.1.8_POSEIDONSQL_APPFVT_01_tblFillRateFechas[[#This Row],[Valida Cant]]=1,Tabla__192.168.1.8_POSEIDONSQL_APPFVT_01_tblFillRateFechas[[#This Row],[Valida Fec]]=1),1,0)</f>
        <v>1</v>
      </c>
      <c r="P739" s="1">
        <f>+(Tabla__192.168.1.8_POSEIDONSQL_APPFVT_01_tblFillRateFechas[[#This Row],[Cant_Resultante]]/Tabla__192.168.1.8_POSEIDONSQL_APPFVT_01_tblFillRateFechas[[#This Row],[cant_order]])*100</f>
        <v>100</v>
      </c>
      <c r="Q7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39" s="1">
        <f>+IF(Tabla__192.168.1.8_POSEIDONSQL_APPFVT_01_tblFillRateFechas[[#This Row],[cant_order]]&gt;0,1,0)</f>
        <v>1</v>
      </c>
      <c r="V739" s="1">
        <f>+IF(Tabla__192.168.1.8_POSEIDONSQL_APPFVT_01_tblFillRateFechas[[#This Row],[Resultado]]=1,1,0)</f>
        <v>1</v>
      </c>
      <c r="W739" s="1" t="str">
        <f>+Tabla__192.168.1.8_POSEIDONSQL_APPFVT_01_tblFillRateFechas[[#This Row],[con_ocnumero]]&amp;Tabla__192.168.1.8_POSEIDONSQL_APPFVT_01_tblFillRateFechas[[#This Row],[con_codigounico]]</f>
        <v>973167-</v>
      </c>
      <c r="X7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40" spans="1:24" x14ac:dyDescent="0.25">
      <c r="A740">
        <v>6</v>
      </c>
      <c r="B740" t="s">
        <v>53</v>
      </c>
      <c r="C740">
        <v>973632</v>
      </c>
      <c r="D740" t="s">
        <v>419</v>
      </c>
      <c r="E740" t="s">
        <v>423</v>
      </c>
      <c r="F740" t="s">
        <v>419</v>
      </c>
      <c r="G740">
        <v>1</v>
      </c>
      <c r="H740">
        <v>1</v>
      </c>
      <c r="I740" t="s">
        <v>420</v>
      </c>
      <c r="J740">
        <v>0</v>
      </c>
      <c r="K740" t="s">
        <v>49</v>
      </c>
      <c r="L740" s="1">
        <f>+Tabla__192.168.1.8_POSEIDONSQL_APPFVT_01_tblFillRateFechas[[#This Row],[emb_cantidad]]-Tabla__192.168.1.8_POSEIDONSQL_APPFVT_01_tblFillRateFechas[[#This Row],[dev_cantidad]]</f>
        <v>1</v>
      </c>
      <c r="M740" s="1">
        <f>+IF(Tabla__192.168.1.8_POSEIDONSQL_APPFVT_01_tblFillRateFechas[[#This Row],[Cant_Resultante]]=Tabla__192.168.1.8_POSEIDONSQL_APPFVT_01_tblFillRateFechas[[#This Row],[cant_order]],1,0)</f>
        <v>1</v>
      </c>
      <c r="N7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40" s="1">
        <f>+IF(AND(Tabla__192.168.1.8_POSEIDONSQL_APPFVT_01_tblFillRateFechas[[#This Row],[Valida Cant]]=1,Tabla__192.168.1.8_POSEIDONSQL_APPFVT_01_tblFillRateFechas[[#This Row],[Valida Fec]]=1),1,0)</f>
        <v>1</v>
      </c>
      <c r="P740" s="1">
        <f>+(Tabla__192.168.1.8_POSEIDONSQL_APPFVT_01_tblFillRateFechas[[#This Row],[Cant_Resultante]]/Tabla__192.168.1.8_POSEIDONSQL_APPFVT_01_tblFillRateFechas[[#This Row],[cant_order]])*100</f>
        <v>100</v>
      </c>
      <c r="Q7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40" s="1">
        <f>+IF(Tabla__192.168.1.8_POSEIDONSQL_APPFVT_01_tblFillRateFechas[[#This Row],[cant_order]]&gt;0,1,0)</f>
        <v>1</v>
      </c>
      <c r="V740" s="1">
        <f>+IF(Tabla__192.168.1.8_POSEIDONSQL_APPFVT_01_tblFillRateFechas[[#This Row],[Resultado]]=1,1,0)</f>
        <v>1</v>
      </c>
      <c r="W740" s="1" t="str">
        <f>+Tabla__192.168.1.8_POSEIDONSQL_APPFVT_01_tblFillRateFechas[[#This Row],[con_ocnumero]]&amp;Tabla__192.168.1.8_POSEIDONSQL_APPFVT_01_tblFillRateFechas[[#This Row],[con_codigounico]]</f>
        <v>973632-</v>
      </c>
      <c r="X7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41" spans="1:24" x14ac:dyDescent="0.25">
      <c r="A741">
        <v>6</v>
      </c>
      <c r="B741" t="s">
        <v>53</v>
      </c>
      <c r="C741">
        <v>973763</v>
      </c>
      <c r="D741" t="s">
        <v>419</v>
      </c>
      <c r="E741" t="s">
        <v>423</v>
      </c>
      <c r="F741" t="s">
        <v>420</v>
      </c>
      <c r="G741">
        <v>1</v>
      </c>
      <c r="H741">
        <v>1</v>
      </c>
      <c r="I741" t="s">
        <v>421</v>
      </c>
      <c r="J741">
        <v>0</v>
      </c>
      <c r="K741" t="s">
        <v>49</v>
      </c>
      <c r="L741" s="1">
        <f>+Tabla__192.168.1.8_POSEIDONSQL_APPFVT_01_tblFillRateFechas[[#This Row],[emb_cantidad]]-Tabla__192.168.1.8_POSEIDONSQL_APPFVT_01_tblFillRateFechas[[#This Row],[dev_cantidad]]</f>
        <v>1</v>
      </c>
      <c r="M741" s="1">
        <f>+IF(Tabla__192.168.1.8_POSEIDONSQL_APPFVT_01_tblFillRateFechas[[#This Row],[Cant_Resultante]]=Tabla__192.168.1.8_POSEIDONSQL_APPFVT_01_tblFillRateFechas[[#This Row],[cant_order]],1,0)</f>
        <v>1</v>
      </c>
      <c r="N7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41" s="1">
        <f>+IF(AND(Tabla__192.168.1.8_POSEIDONSQL_APPFVT_01_tblFillRateFechas[[#This Row],[Valida Cant]]=1,Tabla__192.168.1.8_POSEIDONSQL_APPFVT_01_tblFillRateFechas[[#This Row],[Valida Fec]]=1),1,0)</f>
        <v>0</v>
      </c>
      <c r="P741" s="1">
        <f>+(Tabla__192.168.1.8_POSEIDONSQL_APPFVT_01_tblFillRateFechas[[#This Row],[Cant_Resultante]]/Tabla__192.168.1.8_POSEIDONSQL_APPFVT_01_tblFillRateFechas[[#This Row],[cant_order]])*100</f>
        <v>100</v>
      </c>
      <c r="Q7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41" s="1">
        <f>+IF(Tabla__192.168.1.8_POSEIDONSQL_APPFVT_01_tblFillRateFechas[[#This Row],[cant_order]]&gt;0,1,0)</f>
        <v>1</v>
      </c>
      <c r="V741" s="1">
        <f>+IF(Tabla__192.168.1.8_POSEIDONSQL_APPFVT_01_tblFillRateFechas[[#This Row],[Resultado]]=1,1,0)</f>
        <v>0</v>
      </c>
      <c r="W741" s="1" t="str">
        <f>+Tabla__192.168.1.8_POSEIDONSQL_APPFVT_01_tblFillRateFechas[[#This Row],[con_ocnumero]]&amp;Tabla__192.168.1.8_POSEIDONSQL_APPFVT_01_tblFillRateFechas[[#This Row],[con_codigounico]]</f>
        <v>973763-</v>
      </c>
      <c r="X7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42" spans="1:24" x14ac:dyDescent="0.25">
      <c r="A742">
        <v>7</v>
      </c>
      <c r="B742" t="s">
        <v>424</v>
      </c>
      <c r="C742">
        <v>438203</v>
      </c>
      <c r="D742" t="s">
        <v>1971</v>
      </c>
      <c r="E742" t="s">
        <v>426</v>
      </c>
      <c r="F742" t="s">
        <v>1965</v>
      </c>
      <c r="G742">
        <v>100</v>
      </c>
      <c r="H742">
        <v>100</v>
      </c>
      <c r="I742" t="s">
        <v>1962</v>
      </c>
      <c r="J742">
        <v>0</v>
      </c>
      <c r="K742" t="s">
        <v>49</v>
      </c>
      <c r="L742" s="1">
        <f>+Tabla__192.168.1.8_POSEIDONSQL_APPFVT_01_tblFillRateFechas[[#This Row],[emb_cantidad]]-Tabla__192.168.1.8_POSEIDONSQL_APPFVT_01_tblFillRateFechas[[#This Row],[dev_cantidad]]</f>
        <v>100</v>
      </c>
      <c r="M742" s="1">
        <f>+IF(Tabla__192.168.1.8_POSEIDONSQL_APPFVT_01_tblFillRateFechas[[#This Row],[Cant_Resultante]]=Tabla__192.168.1.8_POSEIDONSQL_APPFVT_01_tblFillRateFechas[[#This Row],[cant_order]],1,0)</f>
        <v>1</v>
      </c>
      <c r="N7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42" s="1">
        <f>+IF(AND(Tabla__192.168.1.8_POSEIDONSQL_APPFVT_01_tblFillRateFechas[[#This Row],[Valida Cant]]=1,Tabla__192.168.1.8_POSEIDONSQL_APPFVT_01_tblFillRateFechas[[#This Row],[Valida Fec]]=1),1,0)</f>
        <v>1</v>
      </c>
      <c r="P742" s="1">
        <f>+(Tabla__192.168.1.8_POSEIDONSQL_APPFVT_01_tblFillRateFechas[[#This Row],[Cant_Resultante]]/Tabla__192.168.1.8_POSEIDONSQL_APPFVT_01_tblFillRateFechas[[#This Row],[cant_order]])*100</f>
        <v>100</v>
      </c>
      <c r="Q7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100</v>
      </c>
      <c r="R7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100</v>
      </c>
      <c r="T7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42" s="1">
        <f>+IF(Tabla__192.168.1.8_POSEIDONSQL_APPFVT_01_tblFillRateFechas[[#This Row],[cant_order]]&gt;0,1,0)</f>
        <v>1</v>
      </c>
      <c r="V742" s="1">
        <f>+IF(Tabla__192.168.1.8_POSEIDONSQL_APPFVT_01_tblFillRateFechas[[#This Row],[Resultado]]=1,1,0)</f>
        <v>1</v>
      </c>
      <c r="W742" s="1" t="str">
        <f>+Tabla__192.168.1.8_POSEIDONSQL_APPFVT_01_tblFillRateFechas[[#This Row],[con_ocnumero]]&amp;Tabla__192.168.1.8_POSEIDONSQL_APPFVT_01_tblFillRateFechas[[#This Row],[con_codigounico]]</f>
        <v>438203-</v>
      </c>
      <c r="X7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100</v>
      </c>
    </row>
    <row r="743" spans="1:24" x14ac:dyDescent="0.25">
      <c r="A743">
        <v>8</v>
      </c>
      <c r="B743" t="s">
        <v>10</v>
      </c>
      <c r="C743">
        <v>1700540080</v>
      </c>
      <c r="D743" t="s">
        <v>1977</v>
      </c>
      <c r="E743" t="s">
        <v>161</v>
      </c>
      <c r="F743" t="s">
        <v>1962</v>
      </c>
      <c r="G743">
        <v>3</v>
      </c>
      <c r="H743">
        <v>2</v>
      </c>
      <c r="I743" t="s">
        <v>162</v>
      </c>
      <c r="J743">
        <v>0</v>
      </c>
      <c r="K743" t="s">
        <v>49</v>
      </c>
      <c r="L743" s="1">
        <f>+Tabla__192.168.1.8_POSEIDONSQL_APPFVT_01_tblFillRateFechas[[#This Row],[emb_cantidad]]-Tabla__192.168.1.8_POSEIDONSQL_APPFVT_01_tblFillRateFechas[[#This Row],[dev_cantidad]]</f>
        <v>2</v>
      </c>
      <c r="M743" s="1">
        <f>+IF(Tabla__192.168.1.8_POSEIDONSQL_APPFVT_01_tblFillRateFechas[[#This Row],[Cant_Resultante]]=Tabla__192.168.1.8_POSEIDONSQL_APPFVT_01_tblFillRateFechas[[#This Row],[cant_order]],1,0)</f>
        <v>0</v>
      </c>
      <c r="N7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43" s="1">
        <f>+IF(AND(Tabla__192.168.1.8_POSEIDONSQL_APPFVT_01_tblFillRateFechas[[#This Row],[Valida Cant]]=1,Tabla__192.168.1.8_POSEIDONSQL_APPFVT_01_tblFillRateFechas[[#This Row],[Valida Fec]]=1),1,0)</f>
        <v>0</v>
      </c>
      <c r="P743" s="1">
        <f>+(Tabla__192.168.1.8_POSEIDONSQL_APPFVT_01_tblFillRateFechas[[#This Row],[Cant_Resultante]]/Tabla__192.168.1.8_POSEIDONSQL_APPFVT_01_tblFillRateFechas[[#This Row],[cant_order]])*100</f>
        <v>66.666666666666657</v>
      </c>
      <c r="Q7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7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7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743" s="1">
        <f>+IF(Tabla__192.168.1.8_POSEIDONSQL_APPFVT_01_tblFillRateFechas[[#This Row],[cant_order]]&gt;0,1,0)</f>
        <v>1</v>
      </c>
      <c r="V743" s="1">
        <f>+IF(Tabla__192.168.1.8_POSEIDONSQL_APPFVT_01_tblFillRateFechas[[#This Row],[Resultado]]=1,1,0)</f>
        <v>0</v>
      </c>
      <c r="W743" s="1" t="str">
        <f>+Tabla__192.168.1.8_POSEIDONSQL_APPFVT_01_tblFillRateFechas[[#This Row],[con_ocnumero]]&amp;Tabla__192.168.1.8_POSEIDONSQL_APPFVT_01_tblFillRateFechas[[#This Row],[con_codigounico]]</f>
        <v>1700540080-</v>
      </c>
      <c r="X7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44" spans="1:24" x14ac:dyDescent="0.25">
      <c r="A744">
        <v>8</v>
      </c>
      <c r="B744" t="s">
        <v>10</v>
      </c>
      <c r="C744">
        <v>4300420528</v>
      </c>
      <c r="D744" t="s">
        <v>1971</v>
      </c>
      <c r="E744" t="s">
        <v>1980</v>
      </c>
      <c r="F744" t="s">
        <v>1965</v>
      </c>
      <c r="G744">
        <v>8</v>
      </c>
      <c r="H744">
        <v>0</v>
      </c>
      <c r="I744" t="s">
        <v>12</v>
      </c>
      <c r="J744">
        <v>0</v>
      </c>
      <c r="K744" t="s">
        <v>49</v>
      </c>
      <c r="L744" s="1">
        <f>+Tabla__192.168.1.8_POSEIDONSQL_APPFVT_01_tblFillRateFechas[[#This Row],[emb_cantidad]]-Tabla__192.168.1.8_POSEIDONSQL_APPFVT_01_tblFillRateFechas[[#This Row],[dev_cantidad]]</f>
        <v>0</v>
      </c>
      <c r="M744" s="1">
        <f>+IF(Tabla__192.168.1.8_POSEIDONSQL_APPFVT_01_tblFillRateFechas[[#This Row],[Cant_Resultante]]=Tabla__192.168.1.8_POSEIDONSQL_APPFVT_01_tblFillRateFechas[[#This Row],[cant_order]],1,0)</f>
        <v>0</v>
      </c>
      <c r="N7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44" s="1">
        <f>+IF(AND(Tabla__192.168.1.8_POSEIDONSQL_APPFVT_01_tblFillRateFechas[[#This Row],[Valida Cant]]=1,Tabla__192.168.1.8_POSEIDONSQL_APPFVT_01_tblFillRateFechas[[#This Row],[Valida Fec]]=1),1,0)</f>
        <v>0</v>
      </c>
      <c r="P744" s="1">
        <f>+(Tabla__192.168.1.8_POSEIDONSQL_APPFVT_01_tblFillRateFechas[[#This Row],[Cant_Resultante]]/Tabla__192.168.1.8_POSEIDONSQL_APPFVT_01_tblFillRateFechas[[#This Row],[cant_order]])*100</f>
        <v>0</v>
      </c>
      <c r="Q7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8</v>
      </c>
      <c r="U744" s="1">
        <f>+IF(Tabla__192.168.1.8_POSEIDONSQL_APPFVT_01_tblFillRateFechas[[#This Row],[cant_order]]&gt;0,1,0)</f>
        <v>1</v>
      </c>
      <c r="V744" s="1">
        <f>+IF(Tabla__192.168.1.8_POSEIDONSQL_APPFVT_01_tblFillRateFechas[[#This Row],[Resultado]]=1,1,0)</f>
        <v>0</v>
      </c>
      <c r="W744" s="1" t="str">
        <f>+Tabla__192.168.1.8_POSEIDONSQL_APPFVT_01_tblFillRateFechas[[#This Row],[con_ocnumero]]&amp;Tabla__192.168.1.8_POSEIDONSQL_APPFVT_01_tblFillRateFechas[[#This Row],[con_codigounico]]</f>
        <v>4300420528-</v>
      </c>
      <c r="X7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45" spans="1:24" x14ac:dyDescent="0.25">
      <c r="A745">
        <v>8</v>
      </c>
      <c r="B745" t="s">
        <v>10</v>
      </c>
      <c r="C745">
        <v>4300420530</v>
      </c>
      <c r="D745" t="s">
        <v>1962</v>
      </c>
      <c r="E745" t="s">
        <v>1973</v>
      </c>
      <c r="F745" t="s">
        <v>1963</v>
      </c>
      <c r="G745">
        <v>5</v>
      </c>
      <c r="H745">
        <v>0</v>
      </c>
      <c r="I745" t="s">
        <v>12</v>
      </c>
      <c r="J745">
        <v>0</v>
      </c>
      <c r="K745" t="s">
        <v>49</v>
      </c>
      <c r="L745" s="1">
        <f>+Tabla__192.168.1.8_POSEIDONSQL_APPFVT_01_tblFillRateFechas[[#This Row],[emb_cantidad]]-Tabla__192.168.1.8_POSEIDONSQL_APPFVT_01_tblFillRateFechas[[#This Row],[dev_cantidad]]</f>
        <v>0</v>
      </c>
      <c r="M745" s="1">
        <f>+IF(Tabla__192.168.1.8_POSEIDONSQL_APPFVT_01_tblFillRateFechas[[#This Row],[Cant_Resultante]]=Tabla__192.168.1.8_POSEIDONSQL_APPFVT_01_tblFillRateFechas[[#This Row],[cant_order]],1,0)</f>
        <v>0</v>
      </c>
      <c r="N7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45" s="1">
        <f>+IF(AND(Tabla__192.168.1.8_POSEIDONSQL_APPFVT_01_tblFillRateFechas[[#This Row],[Valida Cant]]=1,Tabla__192.168.1.8_POSEIDONSQL_APPFVT_01_tblFillRateFechas[[#This Row],[Valida Fec]]=1),1,0)</f>
        <v>0</v>
      </c>
      <c r="P745" s="1">
        <f>+(Tabla__192.168.1.8_POSEIDONSQL_APPFVT_01_tblFillRateFechas[[#This Row],[Cant_Resultante]]/Tabla__192.168.1.8_POSEIDONSQL_APPFVT_01_tblFillRateFechas[[#This Row],[cant_order]])*100</f>
        <v>0</v>
      </c>
      <c r="Q7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5</v>
      </c>
      <c r="U745" s="1">
        <f>+IF(Tabla__192.168.1.8_POSEIDONSQL_APPFVT_01_tblFillRateFechas[[#This Row],[cant_order]]&gt;0,1,0)</f>
        <v>1</v>
      </c>
      <c r="V745" s="1">
        <f>+IF(Tabla__192.168.1.8_POSEIDONSQL_APPFVT_01_tblFillRateFechas[[#This Row],[Resultado]]=1,1,0)</f>
        <v>0</v>
      </c>
      <c r="W745" s="1" t="str">
        <f>+Tabla__192.168.1.8_POSEIDONSQL_APPFVT_01_tblFillRateFechas[[#This Row],[con_ocnumero]]&amp;Tabla__192.168.1.8_POSEIDONSQL_APPFVT_01_tblFillRateFechas[[#This Row],[con_codigounico]]</f>
        <v>4300420530-</v>
      </c>
      <c r="X7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46" spans="1:24" x14ac:dyDescent="0.25">
      <c r="A746">
        <v>8</v>
      </c>
      <c r="B746" t="s">
        <v>10</v>
      </c>
      <c r="C746">
        <v>4300420534</v>
      </c>
      <c r="D746" t="s">
        <v>1969</v>
      </c>
      <c r="E746" t="s">
        <v>1982</v>
      </c>
      <c r="F746" t="s">
        <v>163</v>
      </c>
      <c r="G746">
        <v>1</v>
      </c>
      <c r="H746">
        <v>0</v>
      </c>
      <c r="I746" t="s">
        <v>12</v>
      </c>
      <c r="J746">
        <v>0</v>
      </c>
      <c r="K746" t="s">
        <v>49</v>
      </c>
      <c r="L746" s="1">
        <f>+Tabla__192.168.1.8_POSEIDONSQL_APPFVT_01_tblFillRateFechas[[#This Row],[emb_cantidad]]-Tabla__192.168.1.8_POSEIDONSQL_APPFVT_01_tblFillRateFechas[[#This Row],[dev_cantidad]]</f>
        <v>0</v>
      </c>
      <c r="M746" s="1">
        <f>+IF(Tabla__192.168.1.8_POSEIDONSQL_APPFVT_01_tblFillRateFechas[[#This Row],[Cant_Resultante]]=Tabla__192.168.1.8_POSEIDONSQL_APPFVT_01_tblFillRateFechas[[#This Row],[cant_order]],1,0)</f>
        <v>0</v>
      </c>
      <c r="N7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46" s="1">
        <f>+IF(AND(Tabla__192.168.1.8_POSEIDONSQL_APPFVT_01_tblFillRateFechas[[#This Row],[Valida Cant]]=1,Tabla__192.168.1.8_POSEIDONSQL_APPFVT_01_tblFillRateFechas[[#This Row],[Valida Fec]]=1),1,0)</f>
        <v>0</v>
      </c>
      <c r="P746" s="1">
        <f>+(Tabla__192.168.1.8_POSEIDONSQL_APPFVT_01_tblFillRateFechas[[#This Row],[Cant_Resultante]]/Tabla__192.168.1.8_POSEIDONSQL_APPFVT_01_tblFillRateFechas[[#This Row],[cant_order]])*100</f>
        <v>0</v>
      </c>
      <c r="Q7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746" s="1">
        <f>+IF(Tabla__192.168.1.8_POSEIDONSQL_APPFVT_01_tblFillRateFechas[[#This Row],[cant_order]]&gt;0,1,0)</f>
        <v>1</v>
      </c>
      <c r="V746" s="1">
        <f>+IF(Tabla__192.168.1.8_POSEIDONSQL_APPFVT_01_tblFillRateFechas[[#This Row],[Resultado]]=1,1,0)</f>
        <v>0</v>
      </c>
      <c r="W746" s="1" t="str">
        <f>+Tabla__192.168.1.8_POSEIDONSQL_APPFVT_01_tblFillRateFechas[[#This Row],[con_ocnumero]]&amp;Tabla__192.168.1.8_POSEIDONSQL_APPFVT_01_tblFillRateFechas[[#This Row],[con_codigounico]]</f>
        <v>4300420534-</v>
      </c>
      <c r="X7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47" spans="1:24" x14ac:dyDescent="0.25">
      <c r="A747">
        <v>8</v>
      </c>
      <c r="B747" t="s">
        <v>10</v>
      </c>
      <c r="C747">
        <v>4300420535</v>
      </c>
      <c r="D747" t="s">
        <v>1969</v>
      </c>
      <c r="E747" t="s">
        <v>1982</v>
      </c>
      <c r="F747" t="s">
        <v>163</v>
      </c>
      <c r="G747">
        <v>1</v>
      </c>
      <c r="H747">
        <v>0</v>
      </c>
      <c r="I747" t="s">
        <v>12</v>
      </c>
      <c r="J747">
        <v>0</v>
      </c>
      <c r="K747" t="s">
        <v>49</v>
      </c>
      <c r="L747" s="1">
        <f>+Tabla__192.168.1.8_POSEIDONSQL_APPFVT_01_tblFillRateFechas[[#This Row],[emb_cantidad]]-Tabla__192.168.1.8_POSEIDONSQL_APPFVT_01_tblFillRateFechas[[#This Row],[dev_cantidad]]</f>
        <v>0</v>
      </c>
      <c r="M747" s="1">
        <f>+IF(Tabla__192.168.1.8_POSEIDONSQL_APPFVT_01_tblFillRateFechas[[#This Row],[Cant_Resultante]]=Tabla__192.168.1.8_POSEIDONSQL_APPFVT_01_tblFillRateFechas[[#This Row],[cant_order]],1,0)</f>
        <v>0</v>
      </c>
      <c r="N7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47" s="1">
        <f>+IF(AND(Tabla__192.168.1.8_POSEIDONSQL_APPFVT_01_tblFillRateFechas[[#This Row],[Valida Cant]]=1,Tabla__192.168.1.8_POSEIDONSQL_APPFVT_01_tblFillRateFechas[[#This Row],[Valida Fec]]=1),1,0)</f>
        <v>0</v>
      </c>
      <c r="P747" s="1">
        <f>+(Tabla__192.168.1.8_POSEIDONSQL_APPFVT_01_tblFillRateFechas[[#This Row],[Cant_Resultante]]/Tabla__192.168.1.8_POSEIDONSQL_APPFVT_01_tblFillRateFechas[[#This Row],[cant_order]])*100</f>
        <v>0</v>
      </c>
      <c r="Q7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747" s="1">
        <f>+IF(Tabla__192.168.1.8_POSEIDONSQL_APPFVT_01_tblFillRateFechas[[#This Row],[cant_order]]&gt;0,1,0)</f>
        <v>1</v>
      </c>
      <c r="V747" s="1">
        <f>+IF(Tabla__192.168.1.8_POSEIDONSQL_APPFVT_01_tblFillRateFechas[[#This Row],[Resultado]]=1,1,0)</f>
        <v>0</v>
      </c>
      <c r="W747" s="1" t="str">
        <f>+Tabla__192.168.1.8_POSEIDONSQL_APPFVT_01_tblFillRateFechas[[#This Row],[con_ocnumero]]&amp;Tabla__192.168.1.8_POSEIDONSQL_APPFVT_01_tblFillRateFechas[[#This Row],[con_codigounico]]</f>
        <v>4300420535-</v>
      </c>
      <c r="X7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48" spans="1:24" x14ac:dyDescent="0.25">
      <c r="A748">
        <v>8</v>
      </c>
      <c r="B748" t="s">
        <v>10</v>
      </c>
      <c r="C748">
        <v>4300420539</v>
      </c>
      <c r="D748" t="s">
        <v>430</v>
      </c>
      <c r="E748" t="s">
        <v>1984</v>
      </c>
      <c r="F748" t="s">
        <v>415</v>
      </c>
      <c r="G748">
        <v>7</v>
      </c>
      <c r="H748">
        <v>0</v>
      </c>
      <c r="I748" t="s">
        <v>12</v>
      </c>
      <c r="J748">
        <v>0</v>
      </c>
      <c r="K748" t="s">
        <v>49</v>
      </c>
      <c r="L748" s="1">
        <f>+Tabla__192.168.1.8_POSEIDONSQL_APPFVT_01_tblFillRateFechas[[#This Row],[emb_cantidad]]-Tabla__192.168.1.8_POSEIDONSQL_APPFVT_01_tblFillRateFechas[[#This Row],[dev_cantidad]]</f>
        <v>0</v>
      </c>
      <c r="M748" s="1">
        <f>+IF(Tabla__192.168.1.8_POSEIDONSQL_APPFVT_01_tblFillRateFechas[[#This Row],[Cant_Resultante]]=Tabla__192.168.1.8_POSEIDONSQL_APPFVT_01_tblFillRateFechas[[#This Row],[cant_order]],1,0)</f>
        <v>0</v>
      </c>
      <c r="N7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48" s="1">
        <f>+IF(AND(Tabla__192.168.1.8_POSEIDONSQL_APPFVT_01_tblFillRateFechas[[#This Row],[Valida Cant]]=1,Tabla__192.168.1.8_POSEIDONSQL_APPFVT_01_tblFillRateFechas[[#This Row],[Valida Fec]]=1),1,0)</f>
        <v>0</v>
      </c>
      <c r="P748" s="1">
        <f>+(Tabla__192.168.1.8_POSEIDONSQL_APPFVT_01_tblFillRateFechas[[#This Row],[Cant_Resultante]]/Tabla__192.168.1.8_POSEIDONSQL_APPFVT_01_tblFillRateFechas[[#This Row],[cant_order]])*100</f>
        <v>0</v>
      </c>
      <c r="Q7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7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7</v>
      </c>
      <c r="U748" s="1">
        <f>+IF(Tabla__192.168.1.8_POSEIDONSQL_APPFVT_01_tblFillRateFechas[[#This Row],[cant_order]]&gt;0,1,0)</f>
        <v>1</v>
      </c>
      <c r="V748" s="1">
        <f>+IF(Tabla__192.168.1.8_POSEIDONSQL_APPFVT_01_tblFillRateFechas[[#This Row],[Resultado]]=1,1,0)</f>
        <v>0</v>
      </c>
      <c r="W748" s="1" t="str">
        <f>+Tabla__192.168.1.8_POSEIDONSQL_APPFVT_01_tblFillRateFechas[[#This Row],[con_ocnumero]]&amp;Tabla__192.168.1.8_POSEIDONSQL_APPFVT_01_tblFillRateFechas[[#This Row],[con_codigounico]]</f>
        <v>4300420539-</v>
      </c>
      <c r="X7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49" spans="1:24" x14ac:dyDescent="0.25">
      <c r="A749">
        <v>8</v>
      </c>
      <c r="B749" t="s">
        <v>10</v>
      </c>
      <c r="C749">
        <v>4450422362</v>
      </c>
      <c r="D749" t="s">
        <v>1971</v>
      </c>
      <c r="E749" t="s">
        <v>1977</v>
      </c>
      <c r="F749" t="s">
        <v>1971</v>
      </c>
      <c r="G749">
        <v>195</v>
      </c>
      <c r="H749">
        <v>195</v>
      </c>
      <c r="I749" t="s">
        <v>1980</v>
      </c>
      <c r="J749">
        <v>0</v>
      </c>
      <c r="K749" t="s">
        <v>49</v>
      </c>
      <c r="L749" s="1">
        <f>+Tabla__192.168.1.8_POSEIDONSQL_APPFVT_01_tblFillRateFechas[[#This Row],[emb_cantidad]]-Tabla__192.168.1.8_POSEIDONSQL_APPFVT_01_tblFillRateFechas[[#This Row],[dev_cantidad]]</f>
        <v>195</v>
      </c>
      <c r="M749" s="1">
        <f>+IF(Tabla__192.168.1.8_POSEIDONSQL_APPFVT_01_tblFillRateFechas[[#This Row],[Cant_Resultante]]=Tabla__192.168.1.8_POSEIDONSQL_APPFVT_01_tblFillRateFechas[[#This Row],[cant_order]],1,0)</f>
        <v>1</v>
      </c>
      <c r="N7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49" s="1">
        <f>+IF(AND(Tabla__192.168.1.8_POSEIDONSQL_APPFVT_01_tblFillRateFechas[[#This Row],[Valida Cant]]=1,Tabla__192.168.1.8_POSEIDONSQL_APPFVT_01_tblFillRateFechas[[#This Row],[Valida Fec]]=1),1,0)</f>
        <v>1</v>
      </c>
      <c r="P749" s="1">
        <f>+(Tabla__192.168.1.8_POSEIDONSQL_APPFVT_01_tblFillRateFechas[[#This Row],[Cant_Resultante]]/Tabla__192.168.1.8_POSEIDONSQL_APPFVT_01_tblFillRateFechas[[#This Row],[cant_order]])*100</f>
        <v>100</v>
      </c>
      <c r="Q7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195</v>
      </c>
      <c r="R7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195</v>
      </c>
      <c r="T7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49" s="1">
        <f>+IF(Tabla__192.168.1.8_POSEIDONSQL_APPFVT_01_tblFillRateFechas[[#This Row],[cant_order]]&gt;0,1,0)</f>
        <v>1</v>
      </c>
      <c r="V749" s="1">
        <f>+IF(Tabla__192.168.1.8_POSEIDONSQL_APPFVT_01_tblFillRateFechas[[#This Row],[Resultado]]=1,1,0)</f>
        <v>1</v>
      </c>
      <c r="W749" s="1" t="str">
        <f>+Tabla__192.168.1.8_POSEIDONSQL_APPFVT_01_tblFillRateFechas[[#This Row],[con_ocnumero]]&amp;Tabla__192.168.1.8_POSEIDONSQL_APPFVT_01_tblFillRateFechas[[#This Row],[con_codigounico]]</f>
        <v>4450422362-</v>
      </c>
      <c r="X7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195</v>
      </c>
    </row>
    <row r="750" spans="1:24" x14ac:dyDescent="0.25">
      <c r="A750">
        <v>8</v>
      </c>
      <c r="B750" t="s">
        <v>10</v>
      </c>
      <c r="C750">
        <v>4450422363</v>
      </c>
      <c r="D750" t="s">
        <v>1968</v>
      </c>
      <c r="E750" t="s">
        <v>1965</v>
      </c>
      <c r="F750" t="s">
        <v>1968</v>
      </c>
      <c r="G750">
        <v>34</v>
      </c>
      <c r="H750">
        <v>34</v>
      </c>
      <c r="I750" t="s">
        <v>1965</v>
      </c>
      <c r="J750">
        <v>0</v>
      </c>
      <c r="K750" t="s">
        <v>49</v>
      </c>
      <c r="L750" s="1">
        <f>+Tabla__192.168.1.8_POSEIDONSQL_APPFVT_01_tblFillRateFechas[[#This Row],[emb_cantidad]]-Tabla__192.168.1.8_POSEIDONSQL_APPFVT_01_tblFillRateFechas[[#This Row],[dev_cantidad]]</f>
        <v>34</v>
      </c>
      <c r="M750" s="1">
        <f>+IF(Tabla__192.168.1.8_POSEIDONSQL_APPFVT_01_tblFillRateFechas[[#This Row],[Cant_Resultante]]=Tabla__192.168.1.8_POSEIDONSQL_APPFVT_01_tblFillRateFechas[[#This Row],[cant_order]],1,0)</f>
        <v>1</v>
      </c>
      <c r="N7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0" s="1">
        <f>+IF(AND(Tabla__192.168.1.8_POSEIDONSQL_APPFVT_01_tblFillRateFechas[[#This Row],[Valida Cant]]=1,Tabla__192.168.1.8_POSEIDONSQL_APPFVT_01_tblFillRateFechas[[#This Row],[Valida Fec]]=1),1,0)</f>
        <v>1</v>
      </c>
      <c r="P750" s="1">
        <f>+(Tabla__192.168.1.8_POSEIDONSQL_APPFVT_01_tblFillRateFechas[[#This Row],[Cant_Resultante]]/Tabla__192.168.1.8_POSEIDONSQL_APPFVT_01_tblFillRateFechas[[#This Row],[cant_order]])*100</f>
        <v>100</v>
      </c>
      <c r="Q7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34</v>
      </c>
      <c r="R7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34</v>
      </c>
      <c r="T7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0" s="1">
        <f>+IF(Tabla__192.168.1.8_POSEIDONSQL_APPFVT_01_tblFillRateFechas[[#This Row],[cant_order]]&gt;0,1,0)</f>
        <v>1</v>
      </c>
      <c r="V750" s="1">
        <f>+IF(Tabla__192.168.1.8_POSEIDONSQL_APPFVT_01_tblFillRateFechas[[#This Row],[Resultado]]=1,1,0)</f>
        <v>1</v>
      </c>
      <c r="W750" s="1" t="str">
        <f>+Tabla__192.168.1.8_POSEIDONSQL_APPFVT_01_tblFillRateFechas[[#This Row],[con_ocnumero]]&amp;Tabla__192.168.1.8_POSEIDONSQL_APPFVT_01_tblFillRateFechas[[#This Row],[con_codigounico]]</f>
        <v>4450422363-</v>
      </c>
      <c r="X7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34</v>
      </c>
    </row>
    <row r="751" spans="1:24" x14ac:dyDescent="0.25">
      <c r="A751">
        <v>8</v>
      </c>
      <c r="B751" t="s">
        <v>10</v>
      </c>
      <c r="C751">
        <v>4450422370</v>
      </c>
      <c r="D751" t="s">
        <v>1971</v>
      </c>
      <c r="E751" t="s">
        <v>1977</v>
      </c>
      <c r="F751" t="s">
        <v>1971</v>
      </c>
      <c r="G751">
        <v>38</v>
      </c>
      <c r="H751">
        <v>38</v>
      </c>
      <c r="I751" t="s">
        <v>1977</v>
      </c>
      <c r="J751">
        <v>0</v>
      </c>
      <c r="K751" t="s">
        <v>49</v>
      </c>
      <c r="L751" s="1">
        <f>+Tabla__192.168.1.8_POSEIDONSQL_APPFVT_01_tblFillRateFechas[[#This Row],[emb_cantidad]]-Tabla__192.168.1.8_POSEIDONSQL_APPFVT_01_tblFillRateFechas[[#This Row],[dev_cantidad]]</f>
        <v>38</v>
      </c>
      <c r="M751" s="1">
        <f>+IF(Tabla__192.168.1.8_POSEIDONSQL_APPFVT_01_tblFillRateFechas[[#This Row],[Cant_Resultante]]=Tabla__192.168.1.8_POSEIDONSQL_APPFVT_01_tblFillRateFechas[[#This Row],[cant_order]],1,0)</f>
        <v>1</v>
      </c>
      <c r="N7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1" s="1">
        <f>+IF(AND(Tabla__192.168.1.8_POSEIDONSQL_APPFVT_01_tblFillRateFechas[[#This Row],[Valida Cant]]=1,Tabla__192.168.1.8_POSEIDONSQL_APPFVT_01_tblFillRateFechas[[#This Row],[Valida Fec]]=1),1,0)</f>
        <v>1</v>
      </c>
      <c r="P751" s="1">
        <f>+(Tabla__192.168.1.8_POSEIDONSQL_APPFVT_01_tblFillRateFechas[[#This Row],[Cant_Resultante]]/Tabla__192.168.1.8_POSEIDONSQL_APPFVT_01_tblFillRateFechas[[#This Row],[cant_order]])*100</f>
        <v>100</v>
      </c>
      <c r="Q7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38</v>
      </c>
      <c r="R7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38</v>
      </c>
      <c r="T7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1" s="1">
        <f>+IF(Tabla__192.168.1.8_POSEIDONSQL_APPFVT_01_tblFillRateFechas[[#This Row],[cant_order]]&gt;0,1,0)</f>
        <v>1</v>
      </c>
      <c r="V751" s="1">
        <f>+IF(Tabla__192.168.1.8_POSEIDONSQL_APPFVT_01_tblFillRateFechas[[#This Row],[Resultado]]=1,1,0)</f>
        <v>1</v>
      </c>
      <c r="W751" s="1" t="str">
        <f>+Tabla__192.168.1.8_POSEIDONSQL_APPFVT_01_tblFillRateFechas[[#This Row],[con_ocnumero]]&amp;Tabla__192.168.1.8_POSEIDONSQL_APPFVT_01_tblFillRateFechas[[#This Row],[con_codigounico]]</f>
        <v>4450422370-</v>
      </c>
      <c r="X7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38</v>
      </c>
    </row>
    <row r="752" spans="1:24" x14ac:dyDescent="0.25">
      <c r="A752">
        <v>8</v>
      </c>
      <c r="B752" t="s">
        <v>10</v>
      </c>
      <c r="C752">
        <v>4450422371</v>
      </c>
      <c r="D752" t="s">
        <v>1971</v>
      </c>
      <c r="E752" t="s">
        <v>1963</v>
      </c>
      <c r="F752" t="s">
        <v>1965</v>
      </c>
      <c r="G752">
        <v>93</v>
      </c>
      <c r="H752">
        <v>93</v>
      </c>
      <c r="I752" t="s">
        <v>1977</v>
      </c>
      <c r="J752">
        <v>0</v>
      </c>
      <c r="K752" t="s">
        <v>49</v>
      </c>
      <c r="L752" s="1">
        <f>+Tabla__192.168.1.8_POSEIDONSQL_APPFVT_01_tblFillRateFechas[[#This Row],[emb_cantidad]]-Tabla__192.168.1.8_POSEIDONSQL_APPFVT_01_tblFillRateFechas[[#This Row],[dev_cantidad]]</f>
        <v>93</v>
      </c>
      <c r="M752" s="1">
        <f>+IF(Tabla__192.168.1.8_POSEIDONSQL_APPFVT_01_tblFillRateFechas[[#This Row],[Cant_Resultante]]=Tabla__192.168.1.8_POSEIDONSQL_APPFVT_01_tblFillRateFechas[[#This Row],[cant_order]],1,0)</f>
        <v>1</v>
      </c>
      <c r="N7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2" s="1">
        <f>+IF(AND(Tabla__192.168.1.8_POSEIDONSQL_APPFVT_01_tblFillRateFechas[[#This Row],[Valida Cant]]=1,Tabla__192.168.1.8_POSEIDONSQL_APPFVT_01_tblFillRateFechas[[#This Row],[Valida Fec]]=1),1,0)</f>
        <v>1</v>
      </c>
      <c r="P752" s="1">
        <f>+(Tabla__192.168.1.8_POSEIDONSQL_APPFVT_01_tblFillRateFechas[[#This Row],[Cant_Resultante]]/Tabla__192.168.1.8_POSEIDONSQL_APPFVT_01_tblFillRateFechas[[#This Row],[cant_order]])*100</f>
        <v>100</v>
      </c>
      <c r="Q7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93</v>
      </c>
      <c r="R7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93</v>
      </c>
      <c r="T7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2" s="1">
        <f>+IF(Tabla__192.168.1.8_POSEIDONSQL_APPFVT_01_tblFillRateFechas[[#This Row],[cant_order]]&gt;0,1,0)</f>
        <v>1</v>
      </c>
      <c r="V752" s="1">
        <f>+IF(Tabla__192.168.1.8_POSEIDONSQL_APPFVT_01_tblFillRateFechas[[#This Row],[Resultado]]=1,1,0)</f>
        <v>1</v>
      </c>
      <c r="W752" s="1" t="str">
        <f>+Tabla__192.168.1.8_POSEIDONSQL_APPFVT_01_tblFillRateFechas[[#This Row],[con_ocnumero]]&amp;Tabla__192.168.1.8_POSEIDONSQL_APPFVT_01_tblFillRateFechas[[#This Row],[con_codigounico]]</f>
        <v>4450422371-</v>
      </c>
      <c r="X7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93</v>
      </c>
    </row>
    <row r="753" spans="1:24" x14ac:dyDescent="0.25">
      <c r="A753">
        <v>8</v>
      </c>
      <c r="B753" t="s">
        <v>10</v>
      </c>
      <c r="C753">
        <v>4450422377</v>
      </c>
      <c r="D753" t="s">
        <v>1977</v>
      </c>
      <c r="E753" t="s">
        <v>161</v>
      </c>
      <c r="F753" t="s">
        <v>1962</v>
      </c>
      <c r="G753">
        <v>44</v>
      </c>
      <c r="H753">
        <v>44</v>
      </c>
      <c r="I753" t="s">
        <v>160</v>
      </c>
      <c r="J753">
        <v>0</v>
      </c>
      <c r="K753" t="s">
        <v>49</v>
      </c>
      <c r="L753" s="1">
        <f>+Tabla__192.168.1.8_POSEIDONSQL_APPFVT_01_tblFillRateFechas[[#This Row],[emb_cantidad]]-Tabla__192.168.1.8_POSEIDONSQL_APPFVT_01_tblFillRateFechas[[#This Row],[dev_cantidad]]</f>
        <v>44</v>
      </c>
      <c r="M753" s="1">
        <f>+IF(Tabla__192.168.1.8_POSEIDONSQL_APPFVT_01_tblFillRateFechas[[#This Row],[Cant_Resultante]]=Tabla__192.168.1.8_POSEIDONSQL_APPFVT_01_tblFillRateFechas[[#This Row],[cant_order]],1,0)</f>
        <v>1</v>
      </c>
      <c r="N7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3" s="1">
        <f>+IF(AND(Tabla__192.168.1.8_POSEIDONSQL_APPFVT_01_tblFillRateFechas[[#This Row],[Valida Cant]]=1,Tabla__192.168.1.8_POSEIDONSQL_APPFVT_01_tblFillRateFechas[[#This Row],[Valida Fec]]=1),1,0)</f>
        <v>1</v>
      </c>
      <c r="P753" s="1">
        <f>+(Tabla__192.168.1.8_POSEIDONSQL_APPFVT_01_tblFillRateFechas[[#This Row],[Cant_Resultante]]/Tabla__192.168.1.8_POSEIDONSQL_APPFVT_01_tblFillRateFechas[[#This Row],[cant_order]])*100</f>
        <v>100</v>
      </c>
      <c r="Q7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44</v>
      </c>
      <c r="R7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44</v>
      </c>
      <c r="T7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3" s="1">
        <f>+IF(Tabla__192.168.1.8_POSEIDONSQL_APPFVT_01_tblFillRateFechas[[#This Row],[cant_order]]&gt;0,1,0)</f>
        <v>1</v>
      </c>
      <c r="V753" s="1">
        <f>+IF(Tabla__192.168.1.8_POSEIDONSQL_APPFVT_01_tblFillRateFechas[[#This Row],[Resultado]]=1,1,0)</f>
        <v>1</v>
      </c>
      <c r="W753" s="1" t="str">
        <f>+Tabla__192.168.1.8_POSEIDONSQL_APPFVT_01_tblFillRateFechas[[#This Row],[con_ocnumero]]&amp;Tabla__192.168.1.8_POSEIDONSQL_APPFVT_01_tblFillRateFechas[[#This Row],[con_codigounico]]</f>
        <v>4450422377-</v>
      </c>
      <c r="X7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44</v>
      </c>
    </row>
    <row r="754" spans="1:24" x14ac:dyDescent="0.25">
      <c r="A754">
        <v>8</v>
      </c>
      <c r="B754" t="s">
        <v>10</v>
      </c>
      <c r="C754">
        <v>4450422378</v>
      </c>
      <c r="D754" t="s">
        <v>1977</v>
      </c>
      <c r="E754" t="s">
        <v>161</v>
      </c>
      <c r="F754" t="s">
        <v>1963</v>
      </c>
      <c r="G754">
        <v>202</v>
      </c>
      <c r="H754">
        <v>202</v>
      </c>
      <c r="I754" t="s">
        <v>160</v>
      </c>
      <c r="J754">
        <v>0</v>
      </c>
      <c r="K754" t="s">
        <v>49</v>
      </c>
      <c r="L754" s="1">
        <f>+Tabla__192.168.1.8_POSEIDONSQL_APPFVT_01_tblFillRateFechas[[#This Row],[emb_cantidad]]-Tabla__192.168.1.8_POSEIDONSQL_APPFVT_01_tblFillRateFechas[[#This Row],[dev_cantidad]]</f>
        <v>202</v>
      </c>
      <c r="M754" s="1">
        <f>+IF(Tabla__192.168.1.8_POSEIDONSQL_APPFVT_01_tblFillRateFechas[[#This Row],[Cant_Resultante]]=Tabla__192.168.1.8_POSEIDONSQL_APPFVT_01_tblFillRateFechas[[#This Row],[cant_order]],1,0)</f>
        <v>1</v>
      </c>
      <c r="N7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4" s="1">
        <f>+IF(AND(Tabla__192.168.1.8_POSEIDONSQL_APPFVT_01_tblFillRateFechas[[#This Row],[Valida Cant]]=1,Tabla__192.168.1.8_POSEIDONSQL_APPFVT_01_tblFillRateFechas[[#This Row],[Valida Fec]]=1),1,0)</f>
        <v>1</v>
      </c>
      <c r="P754" s="1">
        <f>+(Tabla__192.168.1.8_POSEIDONSQL_APPFVT_01_tblFillRateFechas[[#This Row],[Cant_Resultante]]/Tabla__192.168.1.8_POSEIDONSQL_APPFVT_01_tblFillRateFechas[[#This Row],[cant_order]])*100</f>
        <v>100</v>
      </c>
      <c r="Q7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202</v>
      </c>
      <c r="R7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202</v>
      </c>
      <c r="T7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4" s="1">
        <f>+IF(Tabla__192.168.1.8_POSEIDONSQL_APPFVT_01_tblFillRateFechas[[#This Row],[cant_order]]&gt;0,1,0)</f>
        <v>1</v>
      </c>
      <c r="V754" s="1">
        <f>+IF(Tabla__192.168.1.8_POSEIDONSQL_APPFVT_01_tblFillRateFechas[[#This Row],[Resultado]]=1,1,0)</f>
        <v>1</v>
      </c>
      <c r="W754" s="1" t="str">
        <f>+Tabla__192.168.1.8_POSEIDONSQL_APPFVT_01_tblFillRateFechas[[#This Row],[con_ocnumero]]&amp;Tabla__192.168.1.8_POSEIDONSQL_APPFVT_01_tblFillRateFechas[[#This Row],[con_codigounico]]</f>
        <v>4450422378-</v>
      </c>
      <c r="X7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202</v>
      </c>
    </row>
    <row r="755" spans="1:24" x14ac:dyDescent="0.25">
      <c r="A755">
        <v>8</v>
      </c>
      <c r="B755" t="s">
        <v>10</v>
      </c>
      <c r="C755">
        <v>4450422388</v>
      </c>
      <c r="D755" t="s">
        <v>1963</v>
      </c>
      <c r="E755" t="s">
        <v>163</v>
      </c>
      <c r="F755" t="s">
        <v>162</v>
      </c>
      <c r="G755">
        <v>41</v>
      </c>
      <c r="H755">
        <v>41</v>
      </c>
      <c r="I755" t="s">
        <v>161</v>
      </c>
      <c r="J755">
        <v>0</v>
      </c>
      <c r="K755" t="s">
        <v>49</v>
      </c>
      <c r="L755" s="1">
        <f>+Tabla__192.168.1.8_POSEIDONSQL_APPFVT_01_tblFillRateFechas[[#This Row],[emb_cantidad]]-Tabla__192.168.1.8_POSEIDONSQL_APPFVT_01_tblFillRateFechas[[#This Row],[dev_cantidad]]</f>
        <v>41</v>
      </c>
      <c r="M755" s="1">
        <f>+IF(Tabla__192.168.1.8_POSEIDONSQL_APPFVT_01_tblFillRateFechas[[#This Row],[Cant_Resultante]]=Tabla__192.168.1.8_POSEIDONSQL_APPFVT_01_tblFillRateFechas[[#This Row],[cant_order]],1,0)</f>
        <v>1</v>
      </c>
      <c r="N7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5" s="1">
        <f>+IF(AND(Tabla__192.168.1.8_POSEIDONSQL_APPFVT_01_tblFillRateFechas[[#This Row],[Valida Cant]]=1,Tabla__192.168.1.8_POSEIDONSQL_APPFVT_01_tblFillRateFechas[[#This Row],[Valida Fec]]=1),1,0)</f>
        <v>1</v>
      </c>
      <c r="P755" s="1">
        <f>+(Tabla__192.168.1.8_POSEIDONSQL_APPFVT_01_tblFillRateFechas[[#This Row],[Cant_Resultante]]/Tabla__192.168.1.8_POSEIDONSQL_APPFVT_01_tblFillRateFechas[[#This Row],[cant_order]])*100</f>
        <v>100</v>
      </c>
      <c r="Q7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41</v>
      </c>
      <c r="R7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41</v>
      </c>
      <c r="T7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5" s="1">
        <f>+IF(Tabla__192.168.1.8_POSEIDONSQL_APPFVT_01_tblFillRateFechas[[#This Row],[cant_order]]&gt;0,1,0)</f>
        <v>1</v>
      </c>
      <c r="V755" s="1">
        <f>+IF(Tabla__192.168.1.8_POSEIDONSQL_APPFVT_01_tblFillRateFechas[[#This Row],[Resultado]]=1,1,0)</f>
        <v>1</v>
      </c>
      <c r="W755" s="1" t="str">
        <f>+Tabla__192.168.1.8_POSEIDONSQL_APPFVT_01_tblFillRateFechas[[#This Row],[con_ocnumero]]&amp;Tabla__192.168.1.8_POSEIDONSQL_APPFVT_01_tblFillRateFechas[[#This Row],[con_codigounico]]</f>
        <v>4450422388-</v>
      </c>
      <c r="X7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41</v>
      </c>
    </row>
    <row r="756" spans="1:24" x14ac:dyDescent="0.25">
      <c r="A756">
        <v>8</v>
      </c>
      <c r="B756" t="s">
        <v>10</v>
      </c>
      <c r="C756">
        <v>4450422389</v>
      </c>
      <c r="D756" t="s">
        <v>1963</v>
      </c>
      <c r="E756" t="s">
        <v>163</v>
      </c>
      <c r="F756" t="s">
        <v>162</v>
      </c>
      <c r="G756">
        <v>31</v>
      </c>
      <c r="H756">
        <v>31</v>
      </c>
      <c r="I756" t="s">
        <v>161</v>
      </c>
      <c r="J756">
        <v>0</v>
      </c>
      <c r="K756" t="s">
        <v>49</v>
      </c>
      <c r="L756" s="1">
        <f>+Tabla__192.168.1.8_POSEIDONSQL_APPFVT_01_tblFillRateFechas[[#This Row],[emb_cantidad]]-Tabla__192.168.1.8_POSEIDONSQL_APPFVT_01_tblFillRateFechas[[#This Row],[dev_cantidad]]</f>
        <v>31</v>
      </c>
      <c r="M756" s="1">
        <f>+IF(Tabla__192.168.1.8_POSEIDONSQL_APPFVT_01_tblFillRateFechas[[#This Row],[Cant_Resultante]]=Tabla__192.168.1.8_POSEIDONSQL_APPFVT_01_tblFillRateFechas[[#This Row],[cant_order]],1,0)</f>
        <v>1</v>
      </c>
      <c r="N7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6" s="1">
        <f>+IF(AND(Tabla__192.168.1.8_POSEIDONSQL_APPFVT_01_tblFillRateFechas[[#This Row],[Valida Cant]]=1,Tabla__192.168.1.8_POSEIDONSQL_APPFVT_01_tblFillRateFechas[[#This Row],[Valida Fec]]=1),1,0)</f>
        <v>1</v>
      </c>
      <c r="P756" s="1">
        <f>+(Tabla__192.168.1.8_POSEIDONSQL_APPFVT_01_tblFillRateFechas[[#This Row],[Cant_Resultante]]/Tabla__192.168.1.8_POSEIDONSQL_APPFVT_01_tblFillRateFechas[[#This Row],[cant_order]])*100</f>
        <v>100</v>
      </c>
      <c r="Q7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31</v>
      </c>
      <c r="R7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31</v>
      </c>
      <c r="T7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6" s="1">
        <f>+IF(Tabla__192.168.1.8_POSEIDONSQL_APPFVT_01_tblFillRateFechas[[#This Row],[cant_order]]&gt;0,1,0)</f>
        <v>1</v>
      </c>
      <c r="V756" s="1">
        <f>+IF(Tabla__192.168.1.8_POSEIDONSQL_APPFVT_01_tblFillRateFechas[[#This Row],[Resultado]]=1,1,0)</f>
        <v>1</v>
      </c>
      <c r="W756" s="1" t="str">
        <f>+Tabla__192.168.1.8_POSEIDONSQL_APPFVT_01_tblFillRateFechas[[#This Row],[con_ocnumero]]&amp;Tabla__192.168.1.8_POSEIDONSQL_APPFVT_01_tblFillRateFechas[[#This Row],[con_codigounico]]</f>
        <v>4450422389-</v>
      </c>
      <c r="X7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31</v>
      </c>
    </row>
    <row r="757" spans="1:24" x14ac:dyDescent="0.25">
      <c r="A757">
        <v>8</v>
      </c>
      <c r="B757" t="s">
        <v>10</v>
      </c>
      <c r="C757">
        <v>4450422391</v>
      </c>
      <c r="D757" t="s">
        <v>161</v>
      </c>
      <c r="E757" t="s">
        <v>426</v>
      </c>
      <c r="F757" t="s">
        <v>163</v>
      </c>
      <c r="G757">
        <v>294</v>
      </c>
      <c r="H757">
        <v>294</v>
      </c>
      <c r="I757" t="s">
        <v>426</v>
      </c>
      <c r="J757">
        <v>6</v>
      </c>
      <c r="K757" t="s">
        <v>49</v>
      </c>
      <c r="L757" s="1">
        <f>+Tabla__192.168.1.8_POSEIDONSQL_APPFVT_01_tblFillRateFechas[[#This Row],[emb_cantidad]]-Tabla__192.168.1.8_POSEIDONSQL_APPFVT_01_tblFillRateFechas[[#This Row],[dev_cantidad]]</f>
        <v>288</v>
      </c>
      <c r="M757" s="1">
        <f>+IF(Tabla__192.168.1.8_POSEIDONSQL_APPFVT_01_tblFillRateFechas[[#This Row],[Cant_Resultante]]=Tabla__192.168.1.8_POSEIDONSQL_APPFVT_01_tblFillRateFechas[[#This Row],[cant_order]],1,0)</f>
        <v>0</v>
      </c>
      <c r="N7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7" s="1">
        <f>+IF(AND(Tabla__192.168.1.8_POSEIDONSQL_APPFVT_01_tblFillRateFechas[[#This Row],[Valida Cant]]=1,Tabla__192.168.1.8_POSEIDONSQL_APPFVT_01_tblFillRateFechas[[#This Row],[Valida Fec]]=1),1,0)</f>
        <v>0</v>
      </c>
      <c r="P757" s="1">
        <f>+(Tabla__192.168.1.8_POSEIDONSQL_APPFVT_01_tblFillRateFechas[[#This Row],[Cant_Resultante]]/Tabla__192.168.1.8_POSEIDONSQL_APPFVT_01_tblFillRateFechas[[#This Row],[cant_order]])*100</f>
        <v>97.959183673469383</v>
      </c>
      <c r="Q7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288</v>
      </c>
      <c r="R7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282</v>
      </c>
      <c r="T7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12</v>
      </c>
      <c r="U757" s="1">
        <f>+IF(Tabla__192.168.1.8_POSEIDONSQL_APPFVT_01_tblFillRateFechas[[#This Row],[cant_order]]&gt;0,1,0)</f>
        <v>1</v>
      </c>
      <c r="V757" s="1">
        <f>+IF(Tabla__192.168.1.8_POSEIDONSQL_APPFVT_01_tblFillRateFechas[[#This Row],[Resultado]]=1,1,0)</f>
        <v>0</v>
      </c>
      <c r="W757" s="1" t="str">
        <f>+Tabla__192.168.1.8_POSEIDONSQL_APPFVT_01_tblFillRateFechas[[#This Row],[con_ocnumero]]&amp;Tabla__192.168.1.8_POSEIDONSQL_APPFVT_01_tblFillRateFechas[[#This Row],[con_codigounico]]</f>
        <v>4450422391-</v>
      </c>
      <c r="X7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288</v>
      </c>
    </row>
    <row r="758" spans="1:24" x14ac:dyDescent="0.25">
      <c r="A758">
        <v>8</v>
      </c>
      <c r="B758" t="s">
        <v>10</v>
      </c>
      <c r="C758">
        <v>4450422392</v>
      </c>
      <c r="D758" t="s">
        <v>161</v>
      </c>
      <c r="E758" t="s">
        <v>425</v>
      </c>
      <c r="F758" t="s">
        <v>1969</v>
      </c>
      <c r="G758">
        <v>65</v>
      </c>
      <c r="H758">
        <v>65</v>
      </c>
      <c r="I758" t="s">
        <v>427</v>
      </c>
      <c r="J758">
        <v>0</v>
      </c>
      <c r="K758" t="s">
        <v>49</v>
      </c>
      <c r="L758" s="1">
        <f>+Tabla__192.168.1.8_POSEIDONSQL_APPFVT_01_tblFillRateFechas[[#This Row],[emb_cantidad]]-Tabla__192.168.1.8_POSEIDONSQL_APPFVT_01_tblFillRateFechas[[#This Row],[dev_cantidad]]</f>
        <v>65</v>
      </c>
      <c r="M758" s="1">
        <f>+IF(Tabla__192.168.1.8_POSEIDONSQL_APPFVT_01_tblFillRateFechas[[#This Row],[Cant_Resultante]]=Tabla__192.168.1.8_POSEIDONSQL_APPFVT_01_tblFillRateFechas[[#This Row],[cant_order]],1,0)</f>
        <v>1</v>
      </c>
      <c r="N7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8" s="1">
        <f>+IF(AND(Tabla__192.168.1.8_POSEIDONSQL_APPFVT_01_tblFillRateFechas[[#This Row],[Valida Cant]]=1,Tabla__192.168.1.8_POSEIDONSQL_APPFVT_01_tblFillRateFechas[[#This Row],[Valida Fec]]=1),1,0)</f>
        <v>1</v>
      </c>
      <c r="P758" s="1">
        <f>+(Tabla__192.168.1.8_POSEIDONSQL_APPFVT_01_tblFillRateFechas[[#This Row],[Cant_Resultante]]/Tabla__192.168.1.8_POSEIDONSQL_APPFVT_01_tblFillRateFechas[[#This Row],[cant_order]])*100</f>
        <v>100</v>
      </c>
      <c r="Q7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65</v>
      </c>
      <c r="R7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65</v>
      </c>
      <c r="T7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58" s="1">
        <f>+IF(Tabla__192.168.1.8_POSEIDONSQL_APPFVT_01_tblFillRateFechas[[#This Row],[cant_order]]&gt;0,1,0)</f>
        <v>1</v>
      </c>
      <c r="V758" s="1">
        <f>+IF(Tabla__192.168.1.8_POSEIDONSQL_APPFVT_01_tblFillRateFechas[[#This Row],[Resultado]]=1,1,0)</f>
        <v>1</v>
      </c>
      <c r="W758" s="1" t="str">
        <f>+Tabla__192.168.1.8_POSEIDONSQL_APPFVT_01_tblFillRateFechas[[#This Row],[con_ocnumero]]&amp;Tabla__192.168.1.8_POSEIDONSQL_APPFVT_01_tblFillRateFechas[[#This Row],[con_codigounico]]</f>
        <v>4450422392-</v>
      </c>
      <c r="X7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65</v>
      </c>
    </row>
    <row r="759" spans="1:24" x14ac:dyDescent="0.25">
      <c r="A759">
        <v>8</v>
      </c>
      <c r="B759" t="s">
        <v>10</v>
      </c>
      <c r="C759">
        <v>4450422397</v>
      </c>
      <c r="D759" t="s">
        <v>163</v>
      </c>
      <c r="E759" t="s">
        <v>414</v>
      </c>
      <c r="F759" t="s">
        <v>429</v>
      </c>
      <c r="G759">
        <v>183</v>
      </c>
      <c r="H759">
        <v>130</v>
      </c>
      <c r="I759" t="s">
        <v>426</v>
      </c>
      <c r="J759">
        <v>2</v>
      </c>
      <c r="K759" t="s">
        <v>49</v>
      </c>
      <c r="L759" s="1">
        <f>+Tabla__192.168.1.8_POSEIDONSQL_APPFVT_01_tblFillRateFechas[[#This Row],[emb_cantidad]]-Tabla__192.168.1.8_POSEIDONSQL_APPFVT_01_tblFillRateFechas[[#This Row],[dev_cantidad]]</f>
        <v>128</v>
      </c>
      <c r="M759" s="1">
        <f>+IF(Tabla__192.168.1.8_POSEIDONSQL_APPFVT_01_tblFillRateFechas[[#This Row],[Cant_Resultante]]=Tabla__192.168.1.8_POSEIDONSQL_APPFVT_01_tblFillRateFechas[[#This Row],[cant_order]],1,0)</f>
        <v>0</v>
      </c>
      <c r="N7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59" s="1">
        <f>+IF(AND(Tabla__192.168.1.8_POSEIDONSQL_APPFVT_01_tblFillRateFechas[[#This Row],[Valida Cant]]=1,Tabla__192.168.1.8_POSEIDONSQL_APPFVT_01_tblFillRateFechas[[#This Row],[Valida Fec]]=1),1,0)</f>
        <v>0</v>
      </c>
      <c r="P759" s="1">
        <f>+(Tabla__192.168.1.8_POSEIDONSQL_APPFVT_01_tblFillRateFechas[[#This Row],[Cant_Resultante]]/Tabla__192.168.1.8_POSEIDONSQL_APPFVT_01_tblFillRateFechas[[#This Row],[cant_order]])*100</f>
        <v>69.945355191256837</v>
      </c>
      <c r="Q7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128</v>
      </c>
      <c r="R7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126</v>
      </c>
      <c r="T7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57</v>
      </c>
      <c r="U759" s="1">
        <f>+IF(Tabla__192.168.1.8_POSEIDONSQL_APPFVT_01_tblFillRateFechas[[#This Row],[cant_order]]&gt;0,1,0)</f>
        <v>1</v>
      </c>
      <c r="V759" s="1">
        <f>+IF(Tabla__192.168.1.8_POSEIDONSQL_APPFVT_01_tblFillRateFechas[[#This Row],[Resultado]]=1,1,0)</f>
        <v>0</v>
      </c>
      <c r="W759" s="1" t="str">
        <f>+Tabla__192.168.1.8_POSEIDONSQL_APPFVT_01_tblFillRateFechas[[#This Row],[con_ocnumero]]&amp;Tabla__192.168.1.8_POSEIDONSQL_APPFVT_01_tblFillRateFechas[[#This Row],[con_codigounico]]</f>
        <v>4450422397-</v>
      </c>
      <c r="X7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128</v>
      </c>
    </row>
    <row r="760" spans="1:24" x14ac:dyDescent="0.25">
      <c r="A760">
        <v>8</v>
      </c>
      <c r="B760" t="s">
        <v>10</v>
      </c>
      <c r="C760">
        <v>4450422400</v>
      </c>
      <c r="D760" t="s">
        <v>425</v>
      </c>
      <c r="E760" t="s">
        <v>422</v>
      </c>
      <c r="F760" t="s">
        <v>415</v>
      </c>
      <c r="G760">
        <v>119</v>
      </c>
      <c r="H760">
        <v>119</v>
      </c>
      <c r="I760" t="s">
        <v>422</v>
      </c>
      <c r="J760">
        <v>0</v>
      </c>
      <c r="K760" t="s">
        <v>49</v>
      </c>
      <c r="L760" s="1">
        <f>+Tabla__192.168.1.8_POSEIDONSQL_APPFVT_01_tblFillRateFechas[[#This Row],[emb_cantidad]]-Tabla__192.168.1.8_POSEIDONSQL_APPFVT_01_tblFillRateFechas[[#This Row],[dev_cantidad]]</f>
        <v>119</v>
      </c>
      <c r="M760" s="1">
        <f>+IF(Tabla__192.168.1.8_POSEIDONSQL_APPFVT_01_tblFillRateFechas[[#This Row],[Cant_Resultante]]=Tabla__192.168.1.8_POSEIDONSQL_APPFVT_01_tblFillRateFechas[[#This Row],[cant_order]],1,0)</f>
        <v>1</v>
      </c>
      <c r="N7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0" s="1">
        <f>+IF(AND(Tabla__192.168.1.8_POSEIDONSQL_APPFVT_01_tblFillRateFechas[[#This Row],[Valida Cant]]=1,Tabla__192.168.1.8_POSEIDONSQL_APPFVT_01_tblFillRateFechas[[#This Row],[Valida Fec]]=1),1,0)</f>
        <v>1</v>
      </c>
      <c r="P760" s="1">
        <f>+(Tabla__192.168.1.8_POSEIDONSQL_APPFVT_01_tblFillRateFechas[[#This Row],[Cant_Resultante]]/Tabla__192.168.1.8_POSEIDONSQL_APPFVT_01_tblFillRateFechas[[#This Row],[cant_order]])*100</f>
        <v>100</v>
      </c>
      <c r="Q7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119</v>
      </c>
      <c r="R7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119</v>
      </c>
      <c r="T7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0" s="1">
        <f>+IF(Tabla__192.168.1.8_POSEIDONSQL_APPFVT_01_tblFillRateFechas[[#This Row],[cant_order]]&gt;0,1,0)</f>
        <v>1</v>
      </c>
      <c r="V760" s="1">
        <f>+IF(Tabla__192.168.1.8_POSEIDONSQL_APPFVT_01_tblFillRateFechas[[#This Row],[Resultado]]=1,1,0)</f>
        <v>1</v>
      </c>
      <c r="W760" s="1" t="str">
        <f>+Tabla__192.168.1.8_POSEIDONSQL_APPFVT_01_tblFillRateFechas[[#This Row],[con_ocnumero]]&amp;Tabla__192.168.1.8_POSEIDONSQL_APPFVT_01_tblFillRateFechas[[#This Row],[con_codigounico]]</f>
        <v>4450422400-</v>
      </c>
      <c r="X7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119</v>
      </c>
    </row>
    <row r="761" spans="1:24" x14ac:dyDescent="0.25">
      <c r="A761">
        <v>8</v>
      </c>
      <c r="B761" t="s">
        <v>10</v>
      </c>
      <c r="C761">
        <v>4450422405</v>
      </c>
      <c r="D761" t="s">
        <v>414</v>
      </c>
      <c r="E761" t="s">
        <v>416</v>
      </c>
      <c r="F761" t="s">
        <v>415</v>
      </c>
      <c r="G761">
        <v>3</v>
      </c>
      <c r="H761">
        <v>3</v>
      </c>
      <c r="I761" t="s">
        <v>416</v>
      </c>
      <c r="J761">
        <v>0</v>
      </c>
      <c r="K761" t="s">
        <v>49</v>
      </c>
      <c r="L761" s="1">
        <f>+Tabla__192.168.1.8_POSEIDONSQL_APPFVT_01_tblFillRateFechas[[#This Row],[emb_cantidad]]-Tabla__192.168.1.8_POSEIDONSQL_APPFVT_01_tblFillRateFechas[[#This Row],[dev_cantidad]]</f>
        <v>3</v>
      </c>
      <c r="M761" s="1">
        <f>+IF(Tabla__192.168.1.8_POSEIDONSQL_APPFVT_01_tblFillRateFechas[[#This Row],[Cant_Resultante]]=Tabla__192.168.1.8_POSEIDONSQL_APPFVT_01_tblFillRateFechas[[#This Row],[cant_order]],1,0)</f>
        <v>1</v>
      </c>
      <c r="N7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1" s="1">
        <f>+IF(AND(Tabla__192.168.1.8_POSEIDONSQL_APPFVT_01_tblFillRateFechas[[#This Row],[Valida Cant]]=1,Tabla__192.168.1.8_POSEIDONSQL_APPFVT_01_tblFillRateFechas[[#This Row],[Valida Fec]]=1),1,0)</f>
        <v>1</v>
      </c>
      <c r="P761" s="1">
        <f>+(Tabla__192.168.1.8_POSEIDONSQL_APPFVT_01_tblFillRateFechas[[#This Row],[Cant_Resultante]]/Tabla__192.168.1.8_POSEIDONSQL_APPFVT_01_tblFillRateFechas[[#This Row],[cant_order]])*100</f>
        <v>100</v>
      </c>
      <c r="Q7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</v>
      </c>
      <c r="R7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</v>
      </c>
      <c r="T7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1" s="1">
        <f>+IF(Tabla__192.168.1.8_POSEIDONSQL_APPFVT_01_tblFillRateFechas[[#This Row],[cant_order]]&gt;0,1,0)</f>
        <v>1</v>
      </c>
      <c r="V761" s="1">
        <f>+IF(Tabla__192.168.1.8_POSEIDONSQL_APPFVT_01_tblFillRateFechas[[#This Row],[Resultado]]=1,1,0)</f>
        <v>1</v>
      </c>
      <c r="W761" s="1" t="str">
        <f>+Tabla__192.168.1.8_POSEIDONSQL_APPFVT_01_tblFillRateFechas[[#This Row],[con_ocnumero]]&amp;Tabla__192.168.1.8_POSEIDONSQL_APPFVT_01_tblFillRateFechas[[#This Row],[con_codigounico]]</f>
        <v>4450422405-</v>
      </c>
      <c r="X7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</v>
      </c>
    </row>
    <row r="762" spans="1:24" x14ac:dyDescent="0.25">
      <c r="A762">
        <v>8</v>
      </c>
      <c r="B762" t="s">
        <v>10</v>
      </c>
      <c r="C762">
        <v>4450422406</v>
      </c>
      <c r="D762" t="s">
        <v>414</v>
      </c>
      <c r="E762" t="s">
        <v>416</v>
      </c>
      <c r="F762" t="s">
        <v>415</v>
      </c>
      <c r="G762">
        <v>105</v>
      </c>
      <c r="H762">
        <v>105</v>
      </c>
      <c r="I762" t="s">
        <v>416</v>
      </c>
      <c r="J762">
        <v>0</v>
      </c>
      <c r="K762" t="s">
        <v>49</v>
      </c>
      <c r="L762" s="1">
        <f>+Tabla__192.168.1.8_POSEIDONSQL_APPFVT_01_tblFillRateFechas[[#This Row],[emb_cantidad]]-Tabla__192.168.1.8_POSEIDONSQL_APPFVT_01_tblFillRateFechas[[#This Row],[dev_cantidad]]</f>
        <v>105</v>
      </c>
      <c r="M762" s="1">
        <f>+IF(Tabla__192.168.1.8_POSEIDONSQL_APPFVT_01_tblFillRateFechas[[#This Row],[Cant_Resultante]]=Tabla__192.168.1.8_POSEIDONSQL_APPFVT_01_tblFillRateFechas[[#This Row],[cant_order]],1,0)</f>
        <v>1</v>
      </c>
      <c r="N7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2" s="1">
        <f>+IF(AND(Tabla__192.168.1.8_POSEIDONSQL_APPFVT_01_tblFillRateFechas[[#This Row],[Valida Cant]]=1,Tabla__192.168.1.8_POSEIDONSQL_APPFVT_01_tblFillRateFechas[[#This Row],[Valida Fec]]=1),1,0)</f>
        <v>1</v>
      </c>
      <c r="P762" s="1">
        <f>+(Tabla__192.168.1.8_POSEIDONSQL_APPFVT_01_tblFillRateFechas[[#This Row],[Cant_Resultante]]/Tabla__192.168.1.8_POSEIDONSQL_APPFVT_01_tblFillRateFechas[[#This Row],[cant_order]])*100</f>
        <v>100</v>
      </c>
      <c r="Q7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105</v>
      </c>
      <c r="R7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105</v>
      </c>
      <c r="T7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2" s="1">
        <f>+IF(Tabla__192.168.1.8_POSEIDONSQL_APPFVT_01_tblFillRateFechas[[#This Row],[cant_order]]&gt;0,1,0)</f>
        <v>1</v>
      </c>
      <c r="V762" s="1">
        <f>+IF(Tabla__192.168.1.8_POSEIDONSQL_APPFVT_01_tblFillRateFechas[[#This Row],[Resultado]]=1,1,0)</f>
        <v>1</v>
      </c>
      <c r="W762" s="1" t="str">
        <f>+Tabla__192.168.1.8_POSEIDONSQL_APPFVT_01_tblFillRateFechas[[#This Row],[con_ocnumero]]&amp;Tabla__192.168.1.8_POSEIDONSQL_APPFVT_01_tblFillRateFechas[[#This Row],[con_codigounico]]</f>
        <v>4450422406-</v>
      </c>
      <c r="X7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105</v>
      </c>
    </row>
    <row r="763" spans="1:24" x14ac:dyDescent="0.25">
      <c r="A763">
        <v>8</v>
      </c>
      <c r="B763" t="s">
        <v>10</v>
      </c>
      <c r="C763">
        <v>4450422409</v>
      </c>
      <c r="D763" t="s">
        <v>415</v>
      </c>
      <c r="E763" t="s">
        <v>423</v>
      </c>
      <c r="F763" t="s">
        <v>422</v>
      </c>
      <c r="G763">
        <v>25</v>
      </c>
      <c r="H763">
        <v>25</v>
      </c>
      <c r="I763" t="s">
        <v>423</v>
      </c>
      <c r="J763">
        <v>0</v>
      </c>
      <c r="K763" t="s">
        <v>49</v>
      </c>
      <c r="L763" s="1">
        <f>+Tabla__192.168.1.8_POSEIDONSQL_APPFVT_01_tblFillRateFechas[[#This Row],[emb_cantidad]]-Tabla__192.168.1.8_POSEIDONSQL_APPFVT_01_tblFillRateFechas[[#This Row],[dev_cantidad]]</f>
        <v>25</v>
      </c>
      <c r="M763" s="1">
        <f>+IF(Tabla__192.168.1.8_POSEIDONSQL_APPFVT_01_tblFillRateFechas[[#This Row],[Cant_Resultante]]=Tabla__192.168.1.8_POSEIDONSQL_APPFVT_01_tblFillRateFechas[[#This Row],[cant_order]],1,0)</f>
        <v>1</v>
      </c>
      <c r="N7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3" s="1">
        <f>+IF(AND(Tabla__192.168.1.8_POSEIDONSQL_APPFVT_01_tblFillRateFechas[[#This Row],[Valida Cant]]=1,Tabla__192.168.1.8_POSEIDONSQL_APPFVT_01_tblFillRateFechas[[#This Row],[Valida Fec]]=1),1,0)</f>
        <v>1</v>
      </c>
      <c r="P763" s="1">
        <f>+(Tabla__192.168.1.8_POSEIDONSQL_APPFVT_01_tblFillRateFechas[[#This Row],[Cant_Resultante]]/Tabla__192.168.1.8_POSEIDONSQL_APPFVT_01_tblFillRateFechas[[#This Row],[cant_order]])*100</f>
        <v>100</v>
      </c>
      <c r="Q7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25</v>
      </c>
      <c r="R7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25</v>
      </c>
      <c r="T7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3" s="1">
        <f>+IF(Tabla__192.168.1.8_POSEIDONSQL_APPFVT_01_tblFillRateFechas[[#This Row],[cant_order]]&gt;0,1,0)</f>
        <v>1</v>
      </c>
      <c r="V763" s="1">
        <f>+IF(Tabla__192.168.1.8_POSEIDONSQL_APPFVT_01_tblFillRateFechas[[#This Row],[Resultado]]=1,1,0)</f>
        <v>1</v>
      </c>
      <c r="W763" s="1" t="str">
        <f>+Tabla__192.168.1.8_POSEIDONSQL_APPFVT_01_tblFillRateFechas[[#This Row],[con_ocnumero]]&amp;Tabla__192.168.1.8_POSEIDONSQL_APPFVT_01_tblFillRateFechas[[#This Row],[con_codigounico]]</f>
        <v>4450422409-</v>
      </c>
      <c r="X7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25</v>
      </c>
    </row>
    <row r="764" spans="1:24" x14ac:dyDescent="0.25">
      <c r="A764">
        <v>8</v>
      </c>
      <c r="B764" t="s">
        <v>10</v>
      </c>
      <c r="C764">
        <v>4450422410</v>
      </c>
      <c r="D764" t="s">
        <v>415</v>
      </c>
      <c r="E764" t="s">
        <v>423</v>
      </c>
      <c r="F764" t="s">
        <v>416</v>
      </c>
      <c r="G764">
        <v>102</v>
      </c>
      <c r="H764">
        <v>102</v>
      </c>
      <c r="I764" t="s">
        <v>423</v>
      </c>
      <c r="J764">
        <v>0</v>
      </c>
      <c r="K764" t="s">
        <v>49</v>
      </c>
      <c r="L764" s="1">
        <f>+Tabla__192.168.1.8_POSEIDONSQL_APPFVT_01_tblFillRateFechas[[#This Row],[emb_cantidad]]-Tabla__192.168.1.8_POSEIDONSQL_APPFVT_01_tblFillRateFechas[[#This Row],[dev_cantidad]]</f>
        <v>102</v>
      </c>
      <c r="M764" s="1">
        <f>+IF(Tabla__192.168.1.8_POSEIDONSQL_APPFVT_01_tblFillRateFechas[[#This Row],[Cant_Resultante]]=Tabla__192.168.1.8_POSEIDONSQL_APPFVT_01_tblFillRateFechas[[#This Row],[cant_order]],1,0)</f>
        <v>1</v>
      </c>
      <c r="N7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4" s="1">
        <f>+IF(AND(Tabla__192.168.1.8_POSEIDONSQL_APPFVT_01_tblFillRateFechas[[#This Row],[Valida Cant]]=1,Tabla__192.168.1.8_POSEIDONSQL_APPFVT_01_tblFillRateFechas[[#This Row],[Valida Fec]]=1),1,0)</f>
        <v>1</v>
      </c>
      <c r="P764" s="1">
        <f>+(Tabla__192.168.1.8_POSEIDONSQL_APPFVT_01_tblFillRateFechas[[#This Row],[Cant_Resultante]]/Tabla__192.168.1.8_POSEIDONSQL_APPFVT_01_tblFillRateFechas[[#This Row],[cant_order]])*100</f>
        <v>100</v>
      </c>
      <c r="Q7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102</v>
      </c>
      <c r="R7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102</v>
      </c>
      <c r="T7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4" s="1">
        <f>+IF(Tabla__192.168.1.8_POSEIDONSQL_APPFVT_01_tblFillRateFechas[[#This Row],[cant_order]]&gt;0,1,0)</f>
        <v>1</v>
      </c>
      <c r="V764" s="1">
        <f>+IF(Tabla__192.168.1.8_POSEIDONSQL_APPFVT_01_tblFillRateFechas[[#This Row],[Resultado]]=1,1,0)</f>
        <v>1</v>
      </c>
      <c r="W764" s="1" t="str">
        <f>+Tabla__192.168.1.8_POSEIDONSQL_APPFVT_01_tblFillRateFechas[[#This Row],[con_ocnumero]]&amp;Tabla__192.168.1.8_POSEIDONSQL_APPFVT_01_tblFillRateFechas[[#This Row],[con_codigounico]]</f>
        <v>4450422410-</v>
      </c>
      <c r="X7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102</v>
      </c>
    </row>
    <row r="765" spans="1:24" x14ac:dyDescent="0.25">
      <c r="A765">
        <v>8</v>
      </c>
      <c r="B765" t="s">
        <v>10</v>
      </c>
      <c r="C765">
        <v>6150420338</v>
      </c>
      <c r="D765" t="s">
        <v>161</v>
      </c>
      <c r="E765" t="s">
        <v>426</v>
      </c>
      <c r="F765" t="s">
        <v>1969</v>
      </c>
      <c r="G765">
        <v>298</v>
      </c>
      <c r="H765">
        <v>298</v>
      </c>
      <c r="I765" t="s">
        <v>425</v>
      </c>
      <c r="J765">
        <v>0</v>
      </c>
      <c r="K765" t="s">
        <v>49</v>
      </c>
      <c r="L765" s="1">
        <f>+Tabla__192.168.1.8_POSEIDONSQL_APPFVT_01_tblFillRateFechas[[#This Row],[emb_cantidad]]-Tabla__192.168.1.8_POSEIDONSQL_APPFVT_01_tblFillRateFechas[[#This Row],[dev_cantidad]]</f>
        <v>298</v>
      </c>
      <c r="M765" s="1">
        <f>+IF(Tabla__192.168.1.8_POSEIDONSQL_APPFVT_01_tblFillRateFechas[[#This Row],[Cant_Resultante]]=Tabla__192.168.1.8_POSEIDONSQL_APPFVT_01_tblFillRateFechas[[#This Row],[cant_order]],1,0)</f>
        <v>1</v>
      </c>
      <c r="N7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5" s="1">
        <f>+IF(AND(Tabla__192.168.1.8_POSEIDONSQL_APPFVT_01_tblFillRateFechas[[#This Row],[Valida Cant]]=1,Tabla__192.168.1.8_POSEIDONSQL_APPFVT_01_tblFillRateFechas[[#This Row],[Valida Fec]]=1),1,0)</f>
        <v>1</v>
      </c>
      <c r="P765" s="1">
        <f>+(Tabla__192.168.1.8_POSEIDONSQL_APPFVT_01_tblFillRateFechas[[#This Row],[Cant_Resultante]]/Tabla__192.168.1.8_POSEIDONSQL_APPFVT_01_tblFillRateFechas[[#This Row],[cant_order]])*100</f>
        <v>100</v>
      </c>
      <c r="Q7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298</v>
      </c>
      <c r="R7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298</v>
      </c>
      <c r="T7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5" s="1">
        <f>+IF(Tabla__192.168.1.8_POSEIDONSQL_APPFVT_01_tblFillRateFechas[[#This Row],[cant_order]]&gt;0,1,0)</f>
        <v>1</v>
      </c>
      <c r="V765" s="1">
        <f>+IF(Tabla__192.168.1.8_POSEIDONSQL_APPFVT_01_tblFillRateFechas[[#This Row],[Resultado]]=1,1,0)</f>
        <v>1</v>
      </c>
      <c r="W765" s="1" t="str">
        <f>+Tabla__192.168.1.8_POSEIDONSQL_APPFVT_01_tblFillRateFechas[[#This Row],[con_ocnumero]]&amp;Tabla__192.168.1.8_POSEIDONSQL_APPFVT_01_tblFillRateFechas[[#This Row],[con_codigounico]]</f>
        <v>6150420338-</v>
      </c>
      <c r="X7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298</v>
      </c>
    </row>
    <row r="766" spans="1:24" x14ac:dyDescent="0.25">
      <c r="A766">
        <v>8</v>
      </c>
      <c r="B766" t="s">
        <v>10</v>
      </c>
      <c r="C766">
        <v>9450544494</v>
      </c>
      <c r="D766" t="s">
        <v>1968</v>
      </c>
      <c r="E766" t="s">
        <v>1977</v>
      </c>
      <c r="F766" t="s">
        <v>1968</v>
      </c>
      <c r="G766">
        <v>1</v>
      </c>
      <c r="H766">
        <v>1</v>
      </c>
      <c r="I766" t="s">
        <v>1962</v>
      </c>
      <c r="J766">
        <v>1</v>
      </c>
      <c r="K766" t="s">
        <v>49</v>
      </c>
      <c r="L766" s="1">
        <f>+Tabla__192.168.1.8_POSEIDONSQL_APPFVT_01_tblFillRateFechas[[#This Row],[emb_cantidad]]-Tabla__192.168.1.8_POSEIDONSQL_APPFVT_01_tblFillRateFechas[[#This Row],[dev_cantidad]]</f>
        <v>0</v>
      </c>
      <c r="M766" s="1">
        <f>+IF(Tabla__192.168.1.8_POSEIDONSQL_APPFVT_01_tblFillRateFechas[[#This Row],[Cant_Resultante]]=Tabla__192.168.1.8_POSEIDONSQL_APPFVT_01_tblFillRateFechas[[#This Row],[cant_order]],1,0)</f>
        <v>0</v>
      </c>
      <c r="N7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766" s="1">
        <f>+IF(AND(Tabla__192.168.1.8_POSEIDONSQL_APPFVT_01_tblFillRateFechas[[#This Row],[Valida Cant]]=1,Tabla__192.168.1.8_POSEIDONSQL_APPFVT_01_tblFillRateFechas[[#This Row],[Valida Fec]]=1),1,0)</f>
        <v>0</v>
      </c>
      <c r="P766" s="1">
        <f>+(Tabla__192.168.1.8_POSEIDONSQL_APPFVT_01_tblFillRateFechas[[#This Row],[Cant_Resultante]]/Tabla__192.168.1.8_POSEIDONSQL_APPFVT_01_tblFillRateFechas[[#This Row],[cant_order]])*100</f>
        <v>0</v>
      </c>
      <c r="Q7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7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-1</v>
      </c>
      <c r="T7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766" s="1">
        <f>+IF(Tabla__192.168.1.8_POSEIDONSQL_APPFVT_01_tblFillRateFechas[[#This Row],[cant_order]]&gt;0,1,0)</f>
        <v>1</v>
      </c>
      <c r="V766" s="1">
        <f>+IF(Tabla__192.168.1.8_POSEIDONSQL_APPFVT_01_tblFillRateFechas[[#This Row],[Resultado]]=1,1,0)</f>
        <v>0</v>
      </c>
      <c r="W766" s="1" t="str">
        <f>+Tabla__192.168.1.8_POSEIDONSQL_APPFVT_01_tblFillRateFechas[[#This Row],[con_ocnumero]]&amp;Tabla__192.168.1.8_POSEIDONSQL_APPFVT_01_tblFillRateFechas[[#This Row],[con_codigounico]]</f>
        <v>9450544494-</v>
      </c>
      <c r="X7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767" spans="1:24" x14ac:dyDescent="0.25">
      <c r="A767">
        <v>8</v>
      </c>
      <c r="B767" t="s">
        <v>10</v>
      </c>
      <c r="C767">
        <v>9450544593</v>
      </c>
      <c r="D767" t="s">
        <v>1968</v>
      </c>
      <c r="E767" t="s">
        <v>1977</v>
      </c>
      <c r="F767" t="s">
        <v>1968</v>
      </c>
      <c r="G767">
        <v>1</v>
      </c>
      <c r="H767">
        <v>1</v>
      </c>
      <c r="I767" t="s">
        <v>1977</v>
      </c>
      <c r="J767">
        <v>0</v>
      </c>
      <c r="K767" t="s">
        <v>49</v>
      </c>
      <c r="L767" s="1">
        <f>+Tabla__192.168.1.8_POSEIDONSQL_APPFVT_01_tblFillRateFechas[[#This Row],[emb_cantidad]]-Tabla__192.168.1.8_POSEIDONSQL_APPFVT_01_tblFillRateFechas[[#This Row],[dev_cantidad]]</f>
        <v>1</v>
      </c>
      <c r="M767" s="1">
        <f>+IF(Tabla__192.168.1.8_POSEIDONSQL_APPFVT_01_tblFillRateFechas[[#This Row],[Cant_Resultante]]=Tabla__192.168.1.8_POSEIDONSQL_APPFVT_01_tblFillRateFechas[[#This Row],[cant_order]],1,0)</f>
        <v>1</v>
      </c>
      <c r="N7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7" s="1">
        <f>+IF(AND(Tabla__192.168.1.8_POSEIDONSQL_APPFVT_01_tblFillRateFechas[[#This Row],[Valida Cant]]=1,Tabla__192.168.1.8_POSEIDONSQL_APPFVT_01_tblFillRateFechas[[#This Row],[Valida Fec]]=1),1,0)</f>
        <v>1</v>
      </c>
      <c r="P767" s="1">
        <f>+(Tabla__192.168.1.8_POSEIDONSQL_APPFVT_01_tblFillRateFechas[[#This Row],[Cant_Resultante]]/Tabla__192.168.1.8_POSEIDONSQL_APPFVT_01_tblFillRateFechas[[#This Row],[cant_order]])*100</f>
        <v>100</v>
      </c>
      <c r="Q7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7" s="1">
        <f>+IF(Tabla__192.168.1.8_POSEIDONSQL_APPFVT_01_tblFillRateFechas[[#This Row],[cant_order]]&gt;0,1,0)</f>
        <v>1</v>
      </c>
      <c r="V767" s="1">
        <f>+IF(Tabla__192.168.1.8_POSEIDONSQL_APPFVT_01_tblFillRateFechas[[#This Row],[Resultado]]=1,1,0)</f>
        <v>1</v>
      </c>
      <c r="W767" s="1" t="str">
        <f>+Tabla__192.168.1.8_POSEIDONSQL_APPFVT_01_tblFillRateFechas[[#This Row],[con_ocnumero]]&amp;Tabla__192.168.1.8_POSEIDONSQL_APPFVT_01_tblFillRateFechas[[#This Row],[con_codigounico]]</f>
        <v>9450544593-</v>
      </c>
      <c r="X7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68" spans="1:24" x14ac:dyDescent="0.25">
      <c r="A768">
        <v>8</v>
      </c>
      <c r="B768" t="s">
        <v>10</v>
      </c>
      <c r="C768">
        <v>9450544679</v>
      </c>
      <c r="D768" t="s">
        <v>1968</v>
      </c>
      <c r="E768" t="s">
        <v>1977</v>
      </c>
      <c r="F768" t="s">
        <v>1968</v>
      </c>
      <c r="G768">
        <v>2</v>
      </c>
      <c r="H768">
        <v>2</v>
      </c>
      <c r="I768" t="s">
        <v>1977</v>
      </c>
      <c r="J768">
        <v>0</v>
      </c>
      <c r="K768" t="s">
        <v>49</v>
      </c>
      <c r="L768" s="1">
        <f>+Tabla__192.168.1.8_POSEIDONSQL_APPFVT_01_tblFillRateFechas[[#This Row],[emb_cantidad]]-Tabla__192.168.1.8_POSEIDONSQL_APPFVT_01_tblFillRateFechas[[#This Row],[dev_cantidad]]</f>
        <v>2</v>
      </c>
      <c r="M768" s="1">
        <f>+IF(Tabla__192.168.1.8_POSEIDONSQL_APPFVT_01_tblFillRateFechas[[#This Row],[Cant_Resultante]]=Tabla__192.168.1.8_POSEIDONSQL_APPFVT_01_tblFillRateFechas[[#This Row],[cant_order]],1,0)</f>
        <v>1</v>
      </c>
      <c r="N7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8" s="1">
        <f>+IF(AND(Tabla__192.168.1.8_POSEIDONSQL_APPFVT_01_tblFillRateFechas[[#This Row],[Valida Cant]]=1,Tabla__192.168.1.8_POSEIDONSQL_APPFVT_01_tblFillRateFechas[[#This Row],[Valida Fec]]=1),1,0)</f>
        <v>1</v>
      </c>
      <c r="P768" s="1">
        <f>+(Tabla__192.168.1.8_POSEIDONSQL_APPFVT_01_tblFillRateFechas[[#This Row],[Cant_Resultante]]/Tabla__192.168.1.8_POSEIDONSQL_APPFVT_01_tblFillRateFechas[[#This Row],[cant_order]])*100</f>
        <v>100</v>
      </c>
      <c r="Q7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7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7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8" s="1">
        <f>+IF(Tabla__192.168.1.8_POSEIDONSQL_APPFVT_01_tblFillRateFechas[[#This Row],[cant_order]]&gt;0,1,0)</f>
        <v>1</v>
      </c>
      <c r="V768" s="1">
        <f>+IF(Tabla__192.168.1.8_POSEIDONSQL_APPFVT_01_tblFillRateFechas[[#This Row],[Resultado]]=1,1,0)</f>
        <v>1</v>
      </c>
      <c r="W768" s="1" t="str">
        <f>+Tabla__192.168.1.8_POSEIDONSQL_APPFVT_01_tblFillRateFechas[[#This Row],[con_ocnumero]]&amp;Tabla__192.168.1.8_POSEIDONSQL_APPFVT_01_tblFillRateFechas[[#This Row],[con_codigounico]]</f>
        <v>9450544679-</v>
      </c>
      <c r="X7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69" spans="1:24" x14ac:dyDescent="0.25">
      <c r="A769">
        <v>8</v>
      </c>
      <c r="B769" t="s">
        <v>10</v>
      </c>
      <c r="C769">
        <v>9450544734</v>
      </c>
      <c r="D769" t="s">
        <v>1968</v>
      </c>
      <c r="E769" t="s">
        <v>1977</v>
      </c>
      <c r="F769" t="s">
        <v>1968</v>
      </c>
      <c r="G769">
        <v>1</v>
      </c>
      <c r="H769">
        <v>1</v>
      </c>
      <c r="I769" t="s">
        <v>1977</v>
      </c>
      <c r="J769">
        <v>0</v>
      </c>
      <c r="K769" t="s">
        <v>49</v>
      </c>
      <c r="L769" s="1">
        <f>+Tabla__192.168.1.8_POSEIDONSQL_APPFVT_01_tblFillRateFechas[[#This Row],[emb_cantidad]]-Tabla__192.168.1.8_POSEIDONSQL_APPFVT_01_tblFillRateFechas[[#This Row],[dev_cantidad]]</f>
        <v>1</v>
      </c>
      <c r="M769" s="1">
        <f>+IF(Tabla__192.168.1.8_POSEIDONSQL_APPFVT_01_tblFillRateFechas[[#This Row],[Cant_Resultante]]=Tabla__192.168.1.8_POSEIDONSQL_APPFVT_01_tblFillRateFechas[[#This Row],[cant_order]],1,0)</f>
        <v>1</v>
      </c>
      <c r="N7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69" s="1">
        <f>+IF(AND(Tabla__192.168.1.8_POSEIDONSQL_APPFVT_01_tblFillRateFechas[[#This Row],[Valida Cant]]=1,Tabla__192.168.1.8_POSEIDONSQL_APPFVT_01_tblFillRateFechas[[#This Row],[Valida Fec]]=1),1,0)</f>
        <v>1</v>
      </c>
      <c r="P769" s="1">
        <f>+(Tabla__192.168.1.8_POSEIDONSQL_APPFVT_01_tblFillRateFechas[[#This Row],[Cant_Resultante]]/Tabla__192.168.1.8_POSEIDONSQL_APPFVT_01_tblFillRateFechas[[#This Row],[cant_order]])*100</f>
        <v>100</v>
      </c>
      <c r="Q7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69" s="1">
        <f>+IF(Tabla__192.168.1.8_POSEIDONSQL_APPFVT_01_tblFillRateFechas[[#This Row],[cant_order]]&gt;0,1,0)</f>
        <v>1</v>
      </c>
      <c r="V769" s="1">
        <f>+IF(Tabla__192.168.1.8_POSEIDONSQL_APPFVT_01_tblFillRateFechas[[#This Row],[Resultado]]=1,1,0)</f>
        <v>1</v>
      </c>
      <c r="W769" s="1" t="str">
        <f>+Tabla__192.168.1.8_POSEIDONSQL_APPFVT_01_tblFillRateFechas[[#This Row],[con_ocnumero]]&amp;Tabla__192.168.1.8_POSEIDONSQL_APPFVT_01_tblFillRateFechas[[#This Row],[con_codigounico]]</f>
        <v>9450544734-</v>
      </c>
      <c r="X7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0" spans="1:24" x14ac:dyDescent="0.25">
      <c r="A770">
        <v>8</v>
      </c>
      <c r="B770" t="s">
        <v>10</v>
      </c>
      <c r="C770">
        <v>9450544749</v>
      </c>
      <c r="D770" t="s">
        <v>1968</v>
      </c>
      <c r="E770" t="s">
        <v>1977</v>
      </c>
      <c r="F770" t="s">
        <v>1968</v>
      </c>
      <c r="G770">
        <v>1</v>
      </c>
      <c r="H770">
        <v>1</v>
      </c>
      <c r="I770" t="s">
        <v>1977</v>
      </c>
      <c r="J770">
        <v>0</v>
      </c>
      <c r="K770" t="s">
        <v>49</v>
      </c>
      <c r="L770" s="1">
        <f>+Tabla__192.168.1.8_POSEIDONSQL_APPFVT_01_tblFillRateFechas[[#This Row],[emb_cantidad]]-Tabla__192.168.1.8_POSEIDONSQL_APPFVT_01_tblFillRateFechas[[#This Row],[dev_cantidad]]</f>
        <v>1</v>
      </c>
      <c r="M770" s="1">
        <f>+IF(Tabla__192.168.1.8_POSEIDONSQL_APPFVT_01_tblFillRateFechas[[#This Row],[Cant_Resultante]]=Tabla__192.168.1.8_POSEIDONSQL_APPFVT_01_tblFillRateFechas[[#This Row],[cant_order]],1,0)</f>
        <v>1</v>
      </c>
      <c r="N7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0" s="1">
        <f>+IF(AND(Tabla__192.168.1.8_POSEIDONSQL_APPFVT_01_tblFillRateFechas[[#This Row],[Valida Cant]]=1,Tabla__192.168.1.8_POSEIDONSQL_APPFVT_01_tblFillRateFechas[[#This Row],[Valida Fec]]=1),1,0)</f>
        <v>1</v>
      </c>
      <c r="P770" s="1">
        <f>+(Tabla__192.168.1.8_POSEIDONSQL_APPFVT_01_tblFillRateFechas[[#This Row],[Cant_Resultante]]/Tabla__192.168.1.8_POSEIDONSQL_APPFVT_01_tblFillRateFechas[[#This Row],[cant_order]])*100</f>
        <v>100</v>
      </c>
      <c r="Q7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0" s="1">
        <f>+IF(Tabla__192.168.1.8_POSEIDONSQL_APPFVT_01_tblFillRateFechas[[#This Row],[cant_order]]&gt;0,1,0)</f>
        <v>1</v>
      </c>
      <c r="V770" s="1">
        <f>+IF(Tabla__192.168.1.8_POSEIDONSQL_APPFVT_01_tblFillRateFechas[[#This Row],[Resultado]]=1,1,0)</f>
        <v>1</v>
      </c>
      <c r="W770" s="1" t="str">
        <f>+Tabla__192.168.1.8_POSEIDONSQL_APPFVT_01_tblFillRateFechas[[#This Row],[con_ocnumero]]&amp;Tabla__192.168.1.8_POSEIDONSQL_APPFVT_01_tblFillRateFechas[[#This Row],[con_codigounico]]</f>
        <v>9450544749-</v>
      </c>
      <c r="X7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1" spans="1:24" x14ac:dyDescent="0.25">
      <c r="A771">
        <v>8</v>
      </c>
      <c r="B771" t="s">
        <v>10</v>
      </c>
      <c r="C771">
        <v>9450544750</v>
      </c>
      <c r="D771" t="s">
        <v>1968</v>
      </c>
      <c r="E771" t="s">
        <v>1977</v>
      </c>
      <c r="F771" t="s">
        <v>1968</v>
      </c>
      <c r="G771">
        <v>1</v>
      </c>
      <c r="H771">
        <v>1</v>
      </c>
      <c r="I771" t="s">
        <v>1977</v>
      </c>
      <c r="J771">
        <v>0</v>
      </c>
      <c r="K771" t="s">
        <v>49</v>
      </c>
      <c r="L771" s="1">
        <f>+Tabla__192.168.1.8_POSEIDONSQL_APPFVT_01_tblFillRateFechas[[#This Row],[emb_cantidad]]-Tabla__192.168.1.8_POSEIDONSQL_APPFVT_01_tblFillRateFechas[[#This Row],[dev_cantidad]]</f>
        <v>1</v>
      </c>
      <c r="M771" s="1">
        <f>+IF(Tabla__192.168.1.8_POSEIDONSQL_APPFVT_01_tblFillRateFechas[[#This Row],[Cant_Resultante]]=Tabla__192.168.1.8_POSEIDONSQL_APPFVT_01_tblFillRateFechas[[#This Row],[cant_order]],1,0)</f>
        <v>1</v>
      </c>
      <c r="N7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1" s="1">
        <f>+IF(AND(Tabla__192.168.1.8_POSEIDONSQL_APPFVT_01_tblFillRateFechas[[#This Row],[Valida Cant]]=1,Tabla__192.168.1.8_POSEIDONSQL_APPFVT_01_tblFillRateFechas[[#This Row],[Valida Fec]]=1),1,0)</f>
        <v>1</v>
      </c>
      <c r="P771" s="1">
        <f>+(Tabla__192.168.1.8_POSEIDONSQL_APPFVT_01_tblFillRateFechas[[#This Row],[Cant_Resultante]]/Tabla__192.168.1.8_POSEIDONSQL_APPFVT_01_tblFillRateFechas[[#This Row],[cant_order]])*100</f>
        <v>100</v>
      </c>
      <c r="Q7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1" s="1">
        <f>+IF(Tabla__192.168.1.8_POSEIDONSQL_APPFVT_01_tblFillRateFechas[[#This Row],[cant_order]]&gt;0,1,0)</f>
        <v>1</v>
      </c>
      <c r="V771" s="1">
        <f>+IF(Tabla__192.168.1.8_POSEIDONSQL_APPFVT_01_tblFillRateFechas[[#This Row],[Resultado]]=1,1,0)</f>
        <v>1</v>
      </c>
      <c r="W771" s="1" t="str">
        <f>+Tabla__192.168.1.8_POSEIDONSQL_APPFVT_01_tblFillRateFechas[[#This Row],[con_ocnumero]]&amp;Tabla__192.168.1.8_POSEIDONSQL_APPFVT_01_tblFillRateFechas[[#This Row],[con_codigounico]]</f>
        <v>9450544750-</v>
      </c>
      <c r="X7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2" spans="1:24" x14ac:dyDescent="0.25">
      <c r="A772">
        <v>8</v>
      </c>
      <c r="B772" t="s">
        <v>10</v>
      </c>
      <c r="C772">
        <v>9450544751</v>
      </c>
      <c r="D772" t="s">
        <v>1968</v>
      </c>
      <c r="E772" t="s">
        <v>1977</v>
      </c>
      <c r="F772" t="s">
        <v>1968</v>
      </c>
      <c r="G772">
        <v>1</v>
      </c>
      <c r="H772">
        <v>1</v>
      </c>
      <c r="I772" t="s">
        <v>1977</v>
      </c>
      <c r="J772">
        <v>0</v>
      </c>
      <c r="K772" t="s">
        <v>49</v>
      </c>
      <c r="L772" s="1">
        <f>+Tabla__192.168.1.8_POSEIDONSQL_APPFVT_01_tblFillRateFechas[[#This Row],[emb_cantidad]]-Tabla__192.168.1.8_POSEIDONSQL_APPFVT_01_tblFillRateFechas[[#This Row],[dev_cantidad]]</f>
        <v>1</v>
      </c>
      <c r="M772" s="1">
        <f>+IF(Tabla__192.168.1.8_POSEIDONSQL_APPFVT_01_tblFillRateFechas[[#This Row],[Cant_Resultante]]=Tabla__192.168.1.8_POSEIDONSQL_APPFVT_01_tblFillRateFechas[[#This Row],[cant_order]],1,0)</f>
        <v>1</v>
      </c>
      <c r="N7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2" s="1">
        <f>+IF(AND(Tabla__192.168.1.8_POSEIDONSQL_APPFVT_01_tblFillRateFechas[[#This Row],[Valida Cant]]=1,Tabla__192.168.1.8_POSEIDONSQL_APPFVT_01_tblFillRateFechas[[#This Row],[Valida Fec]]=1),1,0)</f>
        <v>1</v>
      </c>
      <c r="P772" s="1">
        <f>+(Tabla__192.168.1.8_POSEIDONSQL_APPFVT_01_tblFillRateFechas[[#This Row],[Cant_Resultante]]/Tabla__192.168.1.8_POSEIDONSQL_APPFVT_01_tblFillRateFechas[[#This Row],[cant_order]])*100</f>
        <v>100</v>
      </c>
      <c r="Q7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2" s="1">
        <f>+IF(Tabla__192.168.1.8_POSEIDONSQL_APPFVT_01_tblFillRateFechas[[#This Row],[cant_order]]&gt;0,1,0)</f>
        <v>1</v>
      </c>
      <c r="V772" s="1">
        <f>+IF(Tabla__192.168.1.8_POSEIDONSQL_APPFVT_01_tblFillRateFechas[[#This Row],[Resultado]]=1,1,0)</f>
        <v>1</v>
      </c>
      <c r="W772" s="1" t="str">
        <f>+Tabla__192.168.1.8_POSEIDONSQL_APPFVT_01_tblFillRateFechas[[#This Row],[con_ocnumero]]&amp;Tabla__192.168.1.8_POSEIDONSQL_APPFVT_01_tblFillRateFechas[[#This Row],[con_codigounico]]</f>
        <v>9450544751-</v>
      </c>
      <c r="X7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3" spans="1:24" x14ac:dyDescent="0.25">
      <c r="A773">
        <v>8</v>
      </c>
      <c r="B773" t="s">
        <v>10</v>
      </c>
      <c r="C773">
        <v>9450544752</v>
      </c>
      <c r="D773" t="s">
        <v>1968</v>
      </c>
      <c r="E773" t="s">
        <v>1977</v>
      </c>
      <c r="F773" t="s">
        <v>1968</v>
      </c>
      <c r="G773">
        <v>1</v>
      </c>
      <c r="H773">
        <v>1</v>
      </c>
      <c r="I773" t="s">
        <v>1977</v>
      </c>
      <c r="J773">
        <v>0</v>
      </c>
      <c r="K773" t="s">
        <v>49</v>
      </c>
      <c r="L773" s="1">
        <f>+Tabla__192.168.1.8_POSEIDONSQL_APPFVT_01_tblFillRateFechas[[#This Row],[emb_cantidad]]-Tabla__192.168.1.8_POSEIDONSQL_APPFVT_01_tblFillRateFechas[[#This Row],[dev_cantidad]]</f>
        <v>1</v>
      </c>
      <c r="M773" s="1">
        <f>+IF(Tabla__192.168.1.8_POSEIDONSQL_APPFVT_01_tblFillRateFechas[[#This Row],[Cant_Resultante]]=Tabla__192.168.1.8_POSEIDONSQL_APPFVT_01_tblFillRateFechas[[#This Row],[cant_order]],1,0)</f>
        <v>1</v>
      </c>
      <c r="N7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3" s="1">
        <f>+IF(AND(Tabla__192.168.1.8_POSEIDONSQL_APPFVT_01_tblFillRateFechas[[#This Row],[Valida Cant]]=1,Tabla__192.168.1.8_POSEIDONSQL_APPFVT_01_tblFillRateFechas[[#This Row],[Valida Fec]]=1),1,0)</f>
        <v>1</v>
      </c>
      <c r="P773" s="1">
        <f>+(Tabla__192.168.1.8_POSEIDONSQL_APPFVT_01_tblFillRateFechas[[#This Row],[Cant_Resultante]]/Tabla__192.168.1.8_POSEIDONSQL_APPFVT_01_tblFillRateFechas[[#This Row],[cant_order]])*100</f>
        <v>100</v>
      </c>
      <c r="Q7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3" s="1">
        <f>+IF(Tabla__192.168.1.8_POSEIDONSQL_APPFVT_01_tblFillRateFechas[[#This Row],[cant_order]]&gt;0,1,0)</f>
        <v>1</v>
      </c>
      <c r="V773" s="1">
        <f>+IF(Tabla__192.168.1.8_POSEIDONSQL_APPFVT_01_tblFillRateFechas[[#This Row],[Resultado]]=1,1,0)</f>
        <v>1</v>
      </c>
      <c r="W773" s="1" t="str">
        <f>+Tabla__192.168.1.8_POSEIDONSQL_APPFVT_01_tblFillRateFechas[[#This Row],[con_ocnumero]]&amp;Tabla__192.168.1.8_POSEIDONSQL_APPFVT_01_tblFillRateFechas[[#This Row],[con_codigounico]]</f>
        <v>9450544752-</v>
      </c>
      <c r="X7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4" spans="1:24" x14ac:dyDescent="0.25">
      <c r="A774">
        <v>8</v>
      </c>
      <c r="B774" t="s">
        <v>10</v>
      </c>
      <c r="C774">
        <v>9450544757</v>
      </c>
      <c r="D774" t="s">
        <v>1968</v>
      </c>
      <c r="E774" t="s">
        <v>1977</v>
      </c>
      <c r="F774" t="s">
        <v>1968</v>
      </c>
      <c r="G774">
        <v>1</v>
      </c>
      <c r="H774">
        <v>1</v>
      </c>
      <c r="I774" t="s">
        <v>1977</v>
      </c>
      <c r="J774">
        <v>0</v>
      </c>
      <c r="K774" t="s">
        <v>49</v>
      </c>
      <c r="L774" s="1">
        <f>+Tabla__192.168.1.8_POSEIDONSQL_APPFVT_01_tblFillRateFechas[[#This Row],[emb_cantidad]]-Tabla__192.168.1.8_POSEIDONSQL_APPFVT_01_tblFillRateFechas[[#This Row],[dev_cantidad]]</f>
        <v>1</v>
      </c>
      <c r="M774" s="1">
        <f>+IF(Tabla__192.168.1.8_POSEIDONSQL_APPFVT_01_tblFillRateFechas[[#This Row],[Cant_Resultante]]=Tabla__192.168.1.8_POSEIDONSQL_APPFVT_01_tblFillRateFechas[[#This Row],[cant_order]],1,0)</f>
        <v>1</v>
      </c>
      <c r="N7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4" s="1">
        <f>+IF(AND(Tabla__192.168.1.8_POSEIDONSQL_APPFVT_01_tblFillRateFechas[[#This Row],[Valida Cant]]=1,Tabla__192.168.1.8_POSEIDONSQL_APPFVT_01_tblFillRateFechas[[#This Row],[Valida Fec]]=1),1,0)</f>
        <v>1</v>
      </c>
      <c r="P774" s="1">
        <f>+(Tabla__192.168.1.8_POSEIDONSQL_APPFVT_01_tblFillRateFechas[[#This Row],[Cant_Resultante]]/Tabla__192.168.1.8_POSEIDONSQL_APPFVT_01_tblFillRateFechas[[#This Row],[cant_order]])*100</f>
        <v>100</v>
      </c>
      <c r="Q7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4" s="1">
        <f>+IF(Tabla__192.168.1.8_POSEIDONSQL_APPFVT_01_tblFillRateFechas[[#This Row],[cant_order]]&gt;0,1,0)</f>
        <v>1</v>
      </c>
      <c r="V774" s="1">
        <f>+IF(Tabla__192.168.1.8_POSEIDONSQL_APPFVT_01_tblFillRateFechas[[#This Row],[Resultado]]=1,1,0)</f>
        <v>1</v>
      </c>
      <c r="W774" s="1" t="str">
        <f>+Tabla__192.168.1.8_POSEIDONSQL_APPFVT_01_tblFillRateFechas[[#This Row],[con_ocnumero]]&amp;Tabla__192.168.1.8_POSEIDONSQL_APPFVT_01_tblFillRateFechas[[#This Row],[con_codigounico]]</f>
        <v>9450544757-</v>
      </c>
      <c r="X7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5" spans="1:24" x14ac:dyDescent="0.25">
      <c r="A775">
        <v>8</v>
      </c>
      <c r="B775" t="s">
        <v>10</v>
      </c>
      <c r="C775">
        <v>9450544790</v>
      </c>
      <c r="D775" t="s">
        <v>1968</v>
      </c>
      <c r="E775" t="s">
        <v>1977</v>
      </c>
      <c r="F775" t="s">
        <v>1968</v>
      </c>
      <c r="G775">
        <v>1</v>
      </c>
      <c r="H775">
        <v>1</v>
      </c>
      <c r="I775" t="s">
        <v>1977</v>
      </c>
      <c r="J775">
        <v>0</v>
      </c>
      <c r="K775" t="s">
        <v>49</v>
      </c>
      <c r="L775" s="1">
        <f>+Tabla__192.168.1.8_POSEIDONSQL_APPFVT_01_tblFillRateFechas[[#This Row],[emb_cantidad]]-Tabla__192.168.1.8_POSEIDONSQL_APPFVT_01_tblFillRateFechas[[#This Row],[dev_cantidad]]</f>
        <v>1</v>
      </c>
      <c r="M775" s="1">
        <f>+IF(Tabla__192.168.1.8_POSEIDONSQL_APPFVT_01_tblFillRateFechas[[#This Row],[Cant_Resultante]]=Tabla__192.168.1.8_POSEIDONSQL_APPFVT_01_tblFillRateFechas[[#This Row],[cant_order]],1,0)</f>
        <v>1</v>
      </c>
      <c r="N7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5" s="1">
        <f>+IF(AND(Tabla__192.168.1.8_POSEIDONSQL_APPFVT_01_tblFillRateFechas[[#This Row],[Valida Cant]]=1,Tabla__192.168.1.8_POSEIDONSQL_APPFVT_01_tblFillRateFechas[[#This Row],[Valida Fec]]=1),1,0)</f>
        <v>1</v>
      </c>
      <c r="P775" s="1">
        <f>+(Tabla__192.168.1.8_POSEIDONSQL_APPFVT_01_tblFillRateFechas[[#This Row],[Cant_Resultante]]/Tabla__192.168.1.8_POSEIDONSQL_APPFVT_01_tblFillRateFechas[[#This Row],[cant_order]])*100</f>
        <v>100</v>
      </c>
      <c r="Q7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5" s="1">
        <f>+IF(Tabla__192.168.1.8_POSEIDONSQL_APPFVT_01_tblFillRateFechas[[#This Row],[cant_order]]&gt;0,1,0)</f>
        <v>1</v>
      </c>
      <c r="V775" s="1">
        <f>+IF(Tabla__192.168.1.8_POSEIDONSQL_APPFVT_01_tblFillRateFechas[[#This Row],[Resultado]]=1,1,0)</f>
        <v>1</v>
      </c>
      <c r="W775" s="1" t="str">
        <f>+Tabla__192.168.1.8_POSEIDONSQL_APPFVT_01_tblFillRateFechas[[#This Row],[con_ocnumero]]&amp;Tabla__192.168.1.8_POSEIDONSQL_APPFVT_01_tblFillRateFechas[[#This Row],[con_codigounico]]</f>
        <v>9450544790-</v>
      </c>
      <c r="X7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6" spans="1:24" x14ac:dyDescent="0.25">
      <c r="A776">
        <v>8</v>
      </c>
      <c r="B776" t="s">
        <v>10</v>
      </c>
      <c r="C776">
        <v>9450544797</v>
      </c>
      <c r="D776" t="s">
        <v>1968</v>
      </c>
      <c r="E776" t="s">
        <v>1977</v>
      </c>
      <c r="F776" t="s">
        <v>1968</v>
      </c>
      <c r="G776">
        <v>1</v>
      </c>
      <c r="H776">
        <v>1</v>
      </c>
      <c r="I776" t="s">
        <v>1977</v>
      </c>
      <c r="J776">
        <v>0</v>
      </c>
      <c r="K776" t="s">
        <v>49</v>
      </c>
      <c r="L776" s="1">
        <f>+Tabla__192.168.1.8_POSEIDONSQL_APPFVT_01_tblFillRateFechas[[#This Row],[emb_cantidad]]-Tabla__192.168.1.8_POSEIDONSQL_APPFVT_01_tblFillRateFechas[[#This Row],[dev_cantidad]]</f>
        <v>1</v>
      </c>
      <c r="M776" s="1">
        <f>+IF(Tabla__192.168.1.8_POSEIDONSQL_APPFVT_01_tblFillRateFechas[[#This Row],[Cant_Resultante]]=Tabla__192.168.1.8_POSEIDONSQL_APPFVT_01_tblFillRateFechas[[#This Row],[cant_order]],1,0)</f>
        <v>1</v>
      </c>
      <c r="N7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6" s="1">
        <f>+IF(AND(Tabla__192.168.1.8_POSEIDONSQL_APPFVT_01_tblFillRateFechas[[#This Row],[Valida Cant]]=1,Tabla__192.168.1.8_POSEIDONSQL_APPFVT_01_tblFillRateFechas[[#This Row],[Valida Fec]]=1),1,0)</f>
        <v>1</v>
      </c>
      <c r="P776" s="1">
        <f>+(Tabla__192.168.1.8_POSEIDONSQL_APPFVT_01_tblFillRateFechas[[#This Row],[Cant_Resultante]]/Tabla__192.168.1.8_POSEIDONSQL_APPFVT_01_tblFillRateFechas[[#This Row],[cant_order]])*100</f>
        <v>100</v>
      </c>
      <c r="Q7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6" s="1">
        <f>+IF(Tabla__192.168.1.8_POSEIDONSQL_APPFVT_01_tblFillRateFechas[[#This Row],[cant_order]]&gt;0,1,0)</f>
        <v>1</v>
      </c>
      <c r="V776" s="1">
        <f>+IF(Tabla__192.168.1.8_POSEIDONSQL_APPFVT_01_tblFillRateFechas[[#This Row],[Resultado]]=1,1,0)</f>
        <v>1</v>
      </c>
      <c r="W776" s="1" t="str">
        <f>+Tabla__192.168.1.8_POSEIDONSQL_APPFVT_01_tblFillRateFechas[[#This Row],[con_ocnumero]]&amp;Tabla__192.168.1.8_POSEIDONSQL_APPFVT_01_tblFillRateFechas[[#This Row],[con_codigounico]]</f>
        <v>9450544797-</v>
      </c>
      <c r="X7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7" spans="1:24" x14ac:dyDescent="0.25">
      <c r="A777">
        <v>8</v>
      </c>
      <c r="B777" t="s">
        <v>10</v>
      </c>
      <c r="C777">
        <v>9450544804</v>
      </c>
      <c r="D777" t="s">
        <v>1968</v>
      </c>
      <c r="E777" t="s">
        <v>428</v>
      </c>
      <c r="F777" t="s">
        <v>1971</v>
      </c>
      <c r="G777">
        <v>101</v>
      </c>
      <c r="H777">
        <v>85</v>
      </c>
      <c r="I777" t="s">
        <v>1962</v>
      </c>
      <c r="J777">
        <v>0</v>
      </c>
      <c r="K777" t="s">
        <v>49</v>
      </c>
      <c r="L777" s="1">
        <f>+Tabla__192.168.1.8_POSEIDONSQL_APPFVT_01_tblFillRateFechas[[#This Row],[emb_cantidad]]-Tabla__192.168.1.8_POSEIDONSQL_APPFVT_01_tblFillRateFechas[[#This Row],[dev_cantidad]]</f>
        <v>85</v>
      </c>
      <c r="M777" s="1">
        <f>+IF(Tabla__192.168.1.8_POSEIDONSQL_APPFVT_01_tblFillRateFechas[[#This Row],[Cant_Resultante]]=Tabla__192.168.1.8_POSEIDONSQL_APPFVT_01_tblFillRateFechas[[#This Row],[cant_order]],1,0)</f>
        <v>0</v>
      </c>
      <c r="N7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7" s="1">
        <f>+IF(AND(Tabla__192.168.1.8_POSEIDONSQL_APPFVT_01_tblFillRateFechas[[#This Row],[Valida Cant]]=1,Tabla__192.168.1.8_POSEIDONSQL_APPFVT_01_tblFillRateFechas[[#This Row],[Valida Fec]]=1),1,0)</f>
        <v>0</v>
      </c>
      <c r="P777" s="1">
        <f>+(Tabla__192.168.1.8_POSEIDONSQL_APPFVT_01_tblFillRateFechas[[#This Row],[Cant_Resultante]]/Tabla__192.168.1.8_POSEIDONSQL_APPFVT_01_tblFillRateFechas[[#This Row],[cant_order]])*100</f>
        <v>84.158415841584159</v>
      </c>
      <c r="Q7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85</v>
      </c>
      <c r="R7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85</v>
      </c>
      <c r="T7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16</v>
      </c>
      <c r="U777" s="1">
        <f>+IF(Tabla__192.168.1.8_POSEIDONSQL_APPFVT_01_tblFillRateFechas[[#This Row],[cant_order]]&gt;0,1,0)</f>
        <v>1</v>
      </c>
      <c r="V777" s="1">
        <f>+IF(Tabla__192.168.1.8_POSEIDONSQL_APPFVT_01_tblFillRateFechas[[#This Row],[Resultado]]=1,1,0)</f>
        <v>0</v>
      </c>
      <c r="W777" s="1" t="str">
        <f>+Tabla__192.168.1.8_POSEIDONSQL_APPFVT_01_tblFillRateFechas[[#This Row],[con_ocnumero]]&amp;Tabla__192.168.1.8_POSEIDONSQL_APPFVT_01_tblFillRateFechas[[#This Row],[con_codigounico]]</f>
        <v>9450544804-</v>
      </c>
      <c r="X7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85</v>
      </c>
    </row>
    <row r="778" spans="1:24" x14ac:dyDescent="0.25">
      <c r="A778">
        <v>8</v>
      </c>
      <c r="B778" t="s">
        <v>10</v>
      </c>
      <c r="C778">
        <v>9450544931</v>
      </c>
      <c r="D778" t="s">
        <v>1971</v>
      </c>
      <c r="E778" t="s">
        <v>161</v>
      </c>
      <c r="F778" t="s">
        <v>1965</v>
      </c>
      <c r="G778">
        <v>1</v>
      </c>
      <c r="H778">
        <v>1</v>
      </c>
      <c r="I778" t="s">
        <v>1977</v>
      </c>
      <c r="J778">
        <v>0</v>
      </c>
      <c r="K778" t="s">
        <v>49</v>
      </c>
      <c r="L778" s="1">
        <f>+Tabla__192.168.1.8_POSEIDONSQL_APPFVT_01_tblFillRateFechas[[#This Row],[emb_cantidad]]-Tabla__192.168.1.8_POSEIDONSQL_APPFVT_01_tblFillRateFechas[[#This Row],[dev_cantidad]]</f>
        <v>1</v>
      </c>
      <c r="M778" s="1">
        <f>+IF(Tabla__192.168.1.8_POSEIDONSQL_APPFVT_01_tblFillRateFechas[[#This Row],[Cant_Resultante]]=Tabla__192.168.1.8_POSEIDONSQL_APPFVT_01_tblFillRateFechas[[#This Row],[cant_order]],1,0)</f>
        <v>1</v>
      </c>
      <c r="N7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8" s="1">
        <f>+IF(AND(Tabla__192.168.1.8_POSEIDONSQL_APPFVT_01_tblFillRateFechas[[#This Row],[Valida Cant]]=1,Tabla__192.168.1.8_POSEIDONSQL_APPFVT_01_tblFillRateFechas[[#This Row],[Valida Fec]]=1),1,0)</f>
        <v>1</v>
      </c>
      <c r="P778" s="1">
        <f>+(Tabla__192.168.1.8_POSEIDONSQL_APPFVT_01_tblFillRateFechas[[#This Row],[Cant_Resultante]]/Tabla__192.168.1.8_POSEIDONSQL_APPFVT_01_tblFillRateFechas[[#This Row],[cant_order]])*100</f>
        <v>100</v>
      </c>
      <c r="Q7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8" s="1">
        <f>+IF(Tabla__192.168.1.8_POSEIDONSQL_APPFVT_01_tblFillRateFechas[[#This Row],[cant_order]]&gt;0,1,0)</f>
        <v>1</v>
      </c>
      <c r="V778" s="1">
        <f>+IF(Tabla__192.168.1.8_POSEIDONSQL_APPFVT_01_tblFillRateFechas[[#This Row],[Resultado]]=1,1,0)</f>
        <v>1</v>
      </c>
      <c r="W778" s="1" t="str">
        <f>+Tabla__192.168.1.8_POSEIDONSQL_APPFVT_01_tblFillRateFechas[[#This Row],[con_ocnumero]]&amp;Tabla__192.168.1.8_POSEIDONSQL_APPFVT_01_tblFillRateFechas[[#This Row],[con_codigounico]]</f>
        <v>9450544931-</v>
      </c>
      <c r="X7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79" spans="1:24" x14ac:dyDescent="0.25">
      <c r="A779">
        <v>8</v>
      </c>
      <c r="B779" t="s">
        <v>10</v>
      </c>
      <c r="C779">
        <v>9450544934</v>
      </c>
      <c r="D779" t="s">
        <v>1971</v>
      </c>
      <c r="E779" t="s">
        <v>161</v>
      </c>
      <c r="F779" t="s">
        <v>1965</v>
      </c>
      <c r="G779">
        <v>1</v>
      </c>
      <c r="H779">
        <v>1</v>
      </c>
      <c r="I779" t="s">
        <v>1977</v>
      </c>
      <c r="J779">
        <v>0</v>
      </c>
      <c r="K779" t="s">
        <v>49</v>
      </c>
      <c r="L779" s="1">
        <f>+Tabla__192.168.1.8_POSEIDONSQL_APPFVT_01_tblFillRateFechas[[#This Row],[emb_cantidad]]-Tabla__192.168.1.8_POSEIDONSQL_APPFVT_01_tblFillRateFechas[[#This Row],[dev_cantidad]]</f>
        <v>1</v>
      </c>
      <c r="M779" s="1">
        <f>+IF(Tabla__192.168.1.8_POSEIDONSQL_APPFVT_01_tblFillRateFechas[[#This Row],[Cant_Resultante]]=Tabla__192.168.1.8_POSEIDONSQL_APPFVT_01_tblFillRateFechas[[#This Row],[cant_order]],1,0)</f>
        <v>1</v>
      </c>
      <c r="N7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79" s="1">
        <f>+IF(AND(Tabla__192.168.1.8_POSEIDONSQL_APPFVT_01_tblFillRateFechas[[#This Row],[Valida Cant]]=1,Tabla__192.168.1.8_POSEIDONSQL_APPFVT_01_tblFillRateFechas[[#This Row],[Valida Fec]]=1),1,0)</f>
        <v>1</v>
      </c>
      <c r="P779" s="1">
        <f>+(Tabla__192.168.1.8_POSEIDONSQL_APPFVT_01_tblFillRateFechas[[#This Row],[Cant_Resultante]]/Tabla__192.168.1.8_POSEIDONSQL_APPFVT_01_tblFillRateFechas[[#This Row],[cant_order]])*100</f>
        <v>100</v>
      </c>
      <c r="Q7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79" s="1">
        <f>+IF(Tabla__192.168.1.8_POSEIDONSQL_APPFVT_01_tblFillRateFechas[[#This Row],[cant_order]]&gt;0,1,0)</f>
        <v>1</v>
      </c>
      <c r="V779" s="1">
        <f>+IF(Tabla__192.168.1.8_POSEIDONSQL_APPFVT_01_tblFillRateFechas[[#This Row],[Resultado]]=1,1,0)</f>
        <v>1</v>
      </c>
      <c r="W779" s="1" t="str">
        <f>+Tabla__192.168.1.8_POSEIDONSQL_APPFVT_01_tblFillRateFechas[[#This Row],[con_ocnumero]]&amp;Tabla__192.168.1.8_POSEIDONSQL_APPFVT_01_tblFillRateFechas[[#This Row],[con_codigounico]]</f>
        <v>9450544934-</v>
      </c>
      <c r="X7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0" spans="1:24" x14ac:dyDescent="0.25">
      <c r="A780">
        <v>8</v>
      </c>
      <c r="B780" t="s">
        <v>10</v>
      </c>
      <c r="C780">
        <v>9450544940</v>
      </c>
      <c r="D780" t="s">
        <v>1971</v>
      </c>
      <c r="E780" t="s">
        <v>1969</v>
      </c>
      <c r="F780" t="s">
        <v>1965</v>
      </c>
      <c r="G780">
        <v>1</v>
      </c>
      <c r="H780">
        <v>1</v>
      </c>
      <c r="I780" t="s">
        <v>1977</v>
      </c>
      <c r="J780">
        <v>0</v>
      </c>
      <c r="K780" t="s">
        <v>49</v>
      </c>
      <c r="L780" s="1">
        <f>+Tabla__192.168.1.8_POSEIDONSQL_APPFVT_01_tblFillRateFechas[[#This Row],[emb_cantidad]]-Tabla__192.168.1.8_POSEIDONSQL_APPFVT_01_tblFillRateFechas[[#This Row],[dev_cantidad]]</f>
        <v>1</v>
      </c>
      <c r="M780" s="1">
        <f>+IF(Tabla__192.168.1.8_POSEIDONSQL_APPFVT_01_tblFillRateFechas[[#This Row],[Cant_Resultante]]=Tabla__192.168.1.8_POSEIDONSQL_APPFVT_01_tblFillRateFechas[[#This Row],[cant_order]],1,0)</f>
        <v>1</v>
      </c>
      <c r="N7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0" s="1">
        <f>+IF(AND(Tabla__192.168.1.8_POSEIDONSQL_APPFVT_01_tblFillRateFechas[[#This Row],[Valida Cant]]=1,Tabla__192.168.1.8_POSEIDONSQL_APPFVT_01_tblFillRateFechas[[#This Row],[Valida Fec]]=1),1,0)</f>
        <v>1</v>
      </c>
      <c r="P780" s="1">
        <f>+(Tabla__192.168.1.8_POSEIDONSQL_APPFVT_01_tblFillRateFechas[[#This Row],[Cant_Resultante]]/Tabla__192.168.1.8_POSEIDONSQL_APPFVT_01_tblFillRateFechas[[#This Row],[cant_order]])*100</f>
        <v>100</v>
      </c>
      <c r="Q7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0" s="1">
        <f>+IF(Tabla__192.168.1.8_POSEIDONSQL_APPFVT_01_tblFillRateFechas[[#This Row],[cant_order]]&gt;0,1,0)</f>
        <v>1</v>
      </c>
      <c r="V780" s="1">
        <f>+IF(Tabla__192.168.1.8_POSEIDONSQL_APPFVT_01_tblFillRateFechas[[#This Row],[Resultado]]=1,1,0)</f>
        <v>1</v>
      </c>
      <c r="W780" s="1" t="str">
        <f>+Tabla__192.168.1.8_POSEIDONSQL_APPFVT_01_tblFillRateFechas[[#This Row],[con_ocnumero]]&amp;Tabla__192.168.1.8_POSEIDONSQL_APPFVT_01_tblFillRateFechas[[#This Row],[con_codigounico]]</f>
        <v>9450544940-</v>
      </c>
      <c r="X7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1" spans="1:24" x14ac:dyDescent="0.25">
      <c r="A781">
        <v>8</v>
      </c>
      <c r="B781" t="s">
        <v>10</v>
      </c>
      <c r="C781">
        <v>9450545030</v>
      </c>
      <c r="D781" t="s">
        <v>1980</v>
      </c>
      <c r="E781" t="s">
        <v>163</v>
      </c>
      <c r="F781" t="s">
        <v>1977</v>
      </c>
      <c r="G781">
        <v>1</v>
      </c>
      <c r="H781">
        <v>1</v>
      </c>
      <c r="I781" t="s">
        <v>161</v>
      </c>
      <c r="J781">
        <v>0</v>
      </c>
      <c r="K781" t="s">
        <v>49</v>
      </c>
      <c r="L781" s="1">
        <f>+Tabla__192.168.1.8_POSEIDONSQL_APPFVT_01_tblFillRateFechas[[#This Row],[emb_cantidad]]-Tabla__192.168.1.8_POSEIDONSQL_APPFVT_01_tblFillRateFechas[[#This Row],[dev_cantidad]]</f>
        <v>1</v>
      </c>
      <c r="M781" s="1">
        <f>+IF(Tabla__192.168.1.8_POSEIDONSQL_APPFVT_01_tblFillRateFechas[[#This Row],[Cant_Resultante]]=Tabla__192.168.1.8_POSEIDONSQL_APPFVT_01_tblFillRateFechas[[#This Row],[cant_order]],1,0)</f>
        <v>1</v>
      </c>
      <c r="N7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1" s="1">
        <f>+IF(AND(Tabla__192.168.1.8_POSEIDONSQL_APPFVT_01_tblFillRateFechas[[#This Row],[Valida Cant]]=1,Tabla__192.168.1.8_POSEIDONSQL_APPFVT_01_tblFillRateFechas[[#This Row],[Valida Fec]]=1),1,0)</f>
        <v>1</v>
      </c>
      <c r="P781" s="1">
        <f>+(Tabla__192.168.1.8_POSEIDONSQL_APPFVT_01_tblFillRateFechas[[#This Row],[Cant_Resultante]]/Tabla__192.168.1.8_POSEIDONSQL_APPFVT_01_tblFillRateFechas[[#This Row],[cant_order]])*100</f>
        <v>100</v>
      </c>
      <c r="Q7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1" s="1">
        <f>+IF(Tabla__192.168.1.8_POSEIDONSQL_APPFVT_01_tblFillRateFechas[[#This Row],[cant_order]]&gt;0,1,0)</f>
        <v>1</v>
      </c>
      <c r="V781" s="1">
        <f>+IF(Tabla__192.168.1.8_POSEIDONSQL_APPFVT_01_tblFillRateFechas[[#This Row],[Resultado]]=1,1,0)</f>
        <v>1</v>
      </c>
      <c r="W781" s="1" t="str">
        <f>+Tabla__192.168.1.8_POSEIDONSQL_APPFVT_01_tblFillRateFechas[[#This Row],[con_ocnumero]]&amp;Tabla__192.168.1.8_POSEIDONSQL_APPFVT_01_tblFillRateFechas[[#This Row],[con_codigounico]]</f>
        <v>9450545030-</v>
      </c>
      <c r="X7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2" spans="1:24" x14ac:dyDescent="0.25">
      <c r="A782">
        <v>8</v>
      </c>
      <c r="B782" t="s">
        <v>10</v>
      </c>
      <c r="C782">
        <v>9450545071</v>
      </c>
      <c r="D782" t="s">
        <v>1977</v>
      </c>
      <c r="E782" t="s">
        <v>163</v>
      </c>
      <c r="F782" t="s">
        <v>1962</v>
      </c>
      <c r="G782">
        <v>1</v>
      </c>
      <c r="H782">
        <v>1</v>
      </c>
      <c r="I782" t="s">
        <v>161</v>
      </c>
      <c r="J782">
        <v>0</v>
      </c>
      <c r="K782" t="s">
        <v>49</v>
      </c>
      <c r="L782" s="1">
        <f>+Tabla__192.168.1.8_POSEIDONSQL_APPFVT_01_tblFillRateFechas[[#This Row],[emb_cantidad]]-Tabla__192.168.1.8_POSEIDONSQL_APPFVT_01_tblFillRateFechas[[#This Row],[dev_cantidad]]</f>
        <v>1</v>
      </c>
      <c r="M782" s="1">
        <f>+IF(Tabla__192.168.1.8_POSEIDONSQL_APPFVT_01_tblFillRateFechas[[#This Row],[Cant_Resultante]]=Tabla__192.168.1.8_POSEIDONSQL_APPFVT_01_tblFillRateFechas[[#This Row],[cant_order]],1,0)</f>
        <v>1</v>
      </c>
      <c r="N7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2" s="1">
        <f>+IF(AND(Tabla__192.168.1.8_POSEIDONSQL_APPFVT_01_tblFillRateFechas[[#This Row],[Valida Cant]]=1,Tabla__192.168.1.8_POSEIDONSQL_APPFVT_01_tblFillRateFechas[[#This Row],[Valida Fec]]=1),1,0)</f>
        <v>1</v>
      </c>
      <c r="P782" s="1">
        <f>+(Tabla__192.168.1.8_POSEIDONSQL_APPFVT_01_tblFillRateFechas[[#This Row],[Cant_Resultante]]/Tabla__192.168.1.8_POSEIDONSQL_APPFVT_01_tblFillRateFechas[[#This Row],[cant_order]])*100</f>
        <v>100</v>
      </c>
      <c r="Q7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2" s="1">
        <f>+IF(Tabla__192.168.1.8_POSEIDONSQL_APPFVT_01_tblFillRateFechas[[#This Row],[cant_order]]&gt;0,1,0)</f>
        <v>1</v>
      </c>
      <c r="V782" s="1">
        <f>+IF(Tabla__192.168.1.8_POSEIDONSQL_APPFVT_01_tblFillRateFechas[[#This Row],[Resultado]]=1,1,0)</f>
        <v>1</v>
      </c>
      <c r="W782" s="1" t="str">
        <f>+Tabla__192.168.1.8_POSEIDONSQL_APPFVT_01_tblFillRateFechas[[#This Row],[con_ocnumero]]&amp;Tabla__192.168.1.8_POSEIDONSQL_APPFVT_01_tblFillRateFechas[[#This Row],[con_codigounico]]</f>
        <v>9450545071-</v>
      </c>
      <c r="X7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3" spans="1:24" x14ac:dyDescent="0.25">
      <c r="A783">
        <v>8</v>
      </c>
      <c r="B783" t="s">
        <v>10</v>
      </c>
      <c r="C783">
        <v>9450545093</v>
      </c>
      <c r="D783" t="s">
        <v>1962</v>
      </c>
      <c r="E783" t="s">
        <v>1982</v>
      </c>
      <c r="F783" t="s">
        <v>1963</v>
      </c>
      <c r="G783">
        <v>2</v>
      </c>
      <c r="H783">
        <v>2</v>
      </c>
      <c r="I783" t="s">
        <v>161</v>
      </c>
      <c r="J783">
        <v>0</v>
      </c>
      <c r="K783" t="s">
        <v>49</v>
      </c>
      <c r="L783" s="1">
        <f>+Tabla__192.168.1.8_POSEIDONSQL_APPFVT_01_tblFillRateFechas[[#This Row],[emb_cantidad]]-Tabla__192.168.1.8_POSEIDONSQL_APPFVT_01_tblFillRateFechas[[#This Row],[dev_cantidad]]</f>
        <v>2</v>
      </c>
      <c r="M783" s="1">
        <f>+IF(Tabla__192.168.1.8_POSEIDONSQL_APPFVT_01_tblFillRateFechas[[#This Row],[Cant_Resultante]]=Tabla__192.168.1.8_POSEIDONSQL_APPFVT_01_tblFillRateFechas[[#This Row],[cant_order]],1,0)</f>
        <v>1</v>
      </c>
      <c r="N7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3" s="1">
        <f>+IF(AND(Tabla__192.168.1.8_POSEIDONSQL_APPFVT_01_tblFillRateFechas[[#This Row],[Valida Cant]]=1,Tabla__192.168.1.8_POSEIDONSQL_APPFVT_01_tblFillRateFechas[[#This Row],[Valida Fec]]=1),1,0)</f>
        <v>1</v>
      </c>
      <c r="P783" s="1">
        <f>+(Tabla__192.168.1.8_POSEIDONSQL_APPFVT_01_tblFillRateFechas[[#This Row],[Cant_Resultante]]/Tabla__192.168.1.8_POSEIDONSQL_APPFVT_01_tblFillRateFechas[[#This Row],[cant_order]])*100</f>
        <v>100</v>
      </c>
      <c r="Q7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7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7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3" s="1">
        <f>+IF(Tabla__192.168.1.8_POSEIDONSQL_APPFVT_01_tblFillRateFechas[[#This Row],[cant_order]]&gt;0,1,0)</f>
        <v>1</v>
      </c>
      <c r="V783" s="1">
        <f>+IF(Tabla__192.168.1.8_POSEIDONSQL_APPFVT_01_tblFillRateFechas[[#This Row],[Resultado]]=1,1,0)</f>
        <v>1</v>
      </c>
      <c r="W783" s="1" t="str">
        <f>+Tabla__192.168.1.8_POSEIDONSQL_APPFVT_01_tblFillRateFechas[[#This Row],[con_ocnumero]]&amp;Tabla__192.168.1.8_POSEIDONSQL_APPFVT_01_tblFillRateFechas[[#This Row],[con_codigounico]]</f>
        <v>9450545093-</v>
      </c>
      <c r="X7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84" spans="1:24" x14ac:dyDescent="0.25">
      <c r="A784">
        <v>8</v>
      </c>
      <c r="B784" t="s">
        <v>10</v>
      </c>
      <c r="C784">
        <v>9450545111</v>
      </c>
      <c r="D784" t="s">
        <v>1962</v>
      </c>
      <c r="E784" t="s">
        <v>429</v>
      </c>
      <c r="F784" t="s">
        <v>1963</v>
      </c>
      <c r="G784">
        <v>1</v>
      </c>
      <c r="H784">
        <v>1</v>
      </c>
      <c r="I784" t="s">
        <v>161</v>
      </c>
      <c r="J784">
        <v>0</v>
      </c>
      <c r="K784" t="s">
        <v>49</v>
      </c>
      <c r="L784" s="1">
        <f>+Tabla__192.168.1.8_POSEIDONSQL_APPFVT_01_tblFillRateFechas[[#This Row],[emb_cantidad]]-Tabla__192.168.1.8_POSEIDONSQL_APPFVT_01_tblFillRateFechas[[#This Row],[dev_cantidad]]</f>
        <v>1</v>
      </c>
      <c r="M784" s="1">
        <f>+IF(Tabla__192.168.1.8_POSEIDONSQL_APPFVT_01_tblFillRateFechas[[#This Row],[Cant_Resultante]]=Tabla__192.168.1.8_POSEIDONSQL_APPFVT_01_tblFillRateFechas[[#This Row],[cant_order]],1,0)</f>
        <v>1</v>
      </c>
      <c r="N7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4" s="1">
        <f>+IF(AND(Tabla__192.168.1.8_POSEIDONSQL_APPFVT_01_tblFillRateFechas[[#This Row],[Valida Cant]]=1,Tabla__192.168.1.8_POSEIDONSQL_APPFVT_01_tblFillRateFechas[[#This Row],[Valida Fec]]=1),1,0)</f>
        <v>1</v>
      </c>
      <c r="P784" s="1">
        <f>+(Tabla__192.168.1.8_POSEIDONSQL_APPFVT_01_tblFillRateFechas[[#This Row],[Cant_Resultante]]/Tabla__192.168.1.8_POSEIDONSQL_APPFVT_01_tblFillRateFechas[[#This Row],[cant_order]])*100</f>
        <v>100</v>
      </c>
      <c r="Q7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4" s="1">
        <f>+IF(Tabla__192.168.1.8_POSEIDONSQL_APPFVT_01_tblFillRateFechas[[#This Row],[cant_order]]&gt;0,1,0)</f>
        <v>1</v>
      </c>
      <c r="V784" s="1">
        <f>+IF(Tabla__192.168.1.8_POSEIDONSQL_APPFVT_01_tblFillRateFechas[[#This Row],[Resultado]]=1,1,0)</f>
        <v>1</v>
      </c>
      <c r="W784" s="1" t="str">
        <f>+Tabla__192.168.1.8_POSEIDONSQL_APPFVT_01_tblFillRateFechas[[#This Row],[con_ocnumero]]&amp;Tabla__192.168.1.8_POSEIDONSQL_APPFVT_01_tblFillRateFechas[[#This Row],[con_codigounico]]</f>
        <v>9450545111-</v>
      </c>
      <c r="X7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5" spans="1:24" x14ac:dyDescent="0.25">
      <c r="A785">
        <v>8</v>
      </c>
      <c r="B785" t="s">
        <v>10</v>
      </c>
      <c r="C785">
        <v>9450545116</v>
      </c>
      <c r="D785" t="s">
        <v>1962</v>
      </c>
      <c r="E785" t="s">
        <v>429</v>
      </c>
      <c r="F785" t="s">
        <v>1963</v>
      </c>
      <c r="G785">
        <v>1</v>
      </c>
      <c r="H785">
        <v>1</v>
      </c>
      <c r="I785" t="s">
        <v>161</v>
      </c>
      <c r="J785">
        <v>0</v>
      </c>
      <c r="K785" t="s">
        <v>49</v>
      </c>
      <c r="L785" s="1">
        <f>+Tabla__192.168.1.8_POSEIDONSQL_APPFVT_01_tblFillRateFechas[[#This Row],[emb_cantidad]]-Tabla__192.168.1.8_POSEIDONSQL_APPFVT_01_tblFillRateFechas[[#This Row],[dev_cantidad]]</f>
        <v>1</v>
      </c>
      <c r="M785" s="1">
        <f>+IF(Tabla__192.168.1.8_POSEIDONSQL_APPFVT_01_tblFillRateFechas[[#This Row],[Cant_Resultante]]=Tabla__192.168.1.8_POSEIDONSQL_APPFVT_01_tblFillRateFechas[[#This Row],[cant_order]],1,0)</f>
        <v>1</v>
      </c>
      <c r="N7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5" s="1">
        <f>+IF(AND(Tabla__192.168.1.8_POSEIDONSQL_APPFVT_01_tblFillRateFechas[[#This Row],[Valida Cant]]=1,Tabla__192.168.1.8_POSEIDONSQL_APPFVT_01_tblFillRateFechas[[#This Row],[Valida Fec]]=1),1,0)</f>
        <v>1</v>
      </c>
      <c r="P785" s="1">
        <f>+(Tabla__192.168.1.8_POSEIDONSQL_APPFVT_01_tblFillRateFechas[[#This Row],[Cant_Resultante]]/Tabla__192.168.1.8_POSEIDONSQL_APPFVT_01_tblFillRateFechas[[#This Row],[cant_order]])*100</f>
        <v>100</v>
      </c>
      <c r="Q7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5" s="1">
        <f>+IF(Tabla__192.168.1.8_POSEIDONSQL_APPFVT_01_tblFillRateFechas[[#This Row],[cant_order]]&gt;0,1,0)</f>
        <v>1</v>
      </c>
      <c r="V785" s="1">
        <f>+IF(Tabla__192.168.1.8_POSEIDONSQL_APPFVT_01_tblFillRateFechas[[#This Row],[Resultado]]=1,1,0)</f>
        <v>1</v>
      </c>
      <c r="W785" s="1" t="str">
        <f>+Tabla__192.168.1.8_POSEIDONSQL_APPFVT_01_tblFillRateFechas[[#This Row],[con_ocnumero]]&amp;Tabla__192.168.1.8_POSEIDONSQL_APPFVT_01_tblFillRateFechas[[#This Row],[con_codigounico]]</f>
        <v>9450545116-</v>
      </c>
      <c r="X7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6" spans="1:24" x14ac:dyDescent="0.25">
      <c r="A786">
        <v>8</v>
      </c>
      <c r="B786" t="s">
        <v>10</v>
      </c>
      <c r="C786">
        <v>9450545117</v>
      </c>
      <c r="D786" t="s">
        <v>1962</v>
      </c>
      <c r="E786" t="s">
        <v>163</v>
      </c>
      <c r="F786" t="s">
        <v>1963</v>
      </c>
      <c r="G786">
        <v>1</v>
      </c>
      <c r="H786">
        <v>1</v>
      </c>
      <c r="I786" t="s">
        <v>161</v>
      </c>
      <c r="J786">
        <v>0</v>
      </c>
      <c r="K786" t="s">
        <v>49</v>
      </c>
      <c r="L786" s="1">
        <f>+Tabla__192.168.1.8_POSEIDONSQL_APPFVT_01_tblFillRateFechas[[#This Row],[emb_cantidad]]-Tabla__192.168.1.8_POSEIDONSQL_APPFVT_01_tblFillRateFechas[[#This Row],[dev_cantidad]]</f>
        <v>1</v>
      </c>
      <c r="M786" s="1">
        <f>+IF(Tabla__192.168.1.8_POSEIDONSQL_APPFVT_01_tblFillRateFechas[[#This Row],[Cant_Resultante]]=Tabla__192.168.1.8_POSEIDONSQL_APPFVT_01_tblFillRateFechas[[#This Row],[cant_order]],1,0)</f>
        <v>1</v>
      </c>
      <c r="N7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6" s="1">
        <f>+IF(AND(Tabla__192.168.1.8_POSEIDONSQL_APPFVT_01_tblFillRateFechas[[#This Row],[Valida Cant]]=1,Tabla__192.168.1.8_POSEIDONSQL_APPFVT_01_tblFillRateFechas[[#This Row],[Valida Fec]]=1),1,0)</f>
        <v>1</v>
      </c>
      <c r="P786" s="1">
        <f>+(Tabla__192.168.1.8_POSEIDONSQL_APPFVT_01_tblFillRateFechas[[#This Row],[Cant_Resultante]]/Tabla__192.168.1.8_POSEIDONSQL_APPFVT_01_tblFillRateFechas[[#This Row],[cant_order]])*100</f>
        <v>100</v>
      </c>
      <c r="Q7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6" s="1">
        <f>+IF(Tabla__192.168.1.8_POSEIDONSQL_APPFVT_01_tblFillRateFechas[[#This Row],[cant_order]]&gt;0,1,0)</f>
        <v>1</v>
      </c>
      <c r="V786" s="1">
        <f>+IF(Tabla__192.168.1.8_POSEIDONSQL_APPFVT_01_tblFillRateFechas[[#This Row],[Resultado]]=1,1,0)</f>
        <v>1</v>
      </c>
      <c r="W786" s="1" t="str">
        <f>+Tabla__192.168.1.8_POSEIDONSQL_APPFVT_01_tblFillRateFechas[[#This Row],[con_ocnumero]]&amp;Tabla__192.168.1.8_POSEIDONSQL_APPFVT_01_tblFillRateFechas[[#This Row],[con_codigounico]]</f>
        <v>9450545117-</v>
      </c>
      <c r="X7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7" spans="1:24" x14ac:dyDescent="0.25">
      <c r="A787">
        <v>8</v>
      </c>
      <c r="B787" t="s">
        <v>10</v>
      </c>
      <c r="C787">
        <v>9450545182</v>
      </c>
      <c r="D787" t="s">
        <v>1963</v>
      </c>
      <c r="E787" t="s">
        <v>1982</v>
      </c>
      <c r="F787" t="s">
        <v>162</v>
      </c>
      <c r="G787">
        <v>2</v>
      </c>
      <c r="H787">
        <v>2</v>
      </c>
      <c r="I787" t="s">
        <v>161</v>
      </c>
      <c r="J787">
        <v>0</v>
      </c>
      <c r="K787" t="s">
        <v>49</v>
      </c>
      <c r="L787" s="1">
        <f>+Tabla__192.168.1.8_POSEIDONSQL_APPFVT_01_tblFillRateFechas[[#This Row],[emb_cantidad]]-Tabla__192.168.1.8_POSEIDONSQL_APPFVT_01_tblFillRateFechas[[#This Row],[dev_cantidad]]</f>
        <v>2</v>
      </c>
      <c r="M787" s="1">
        <f>+IF(Tabla__192.168.1.8_POSEIDONSQL_APPFVT_01_tblFillRateFechas[[#This Row],[Cant_Resultante]]=Tabla__192.168.1.8_POSEIDONSQL_APPFVT_01_tblFillRateFechas[[#This Row],[cant_order]],1,0)</f>
        <v>1</v>
      </c>
      <c r="N7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7" s="1">
        <f>+IF(AND(Tabla__192.168.1.8_POSEIDONSQL_APPFVT_01_tblFillRateFechas[[#This Row],[Valida Cant]]=1,Tabla__192.168.1.8_POSEIDONSQL_APPFVT_01_tblFillRateFechas[[#This Row],[Valida Fec]]=1),1,0)</f>
        <v>1</v>
      </c>
      <c r="P787" s="1">
        <f>+(Tabla__192.168.1.8_POSEIDONSQL_APPFVT_01_tblFillRateFechas[[#This Row],[Cant_Resultante]]/Tabla__192.168.1.8_POSEIDONSQL_APPFVT_01_tblFillRateFechas[[#This Row],[cant_order]])*100</f>
        <v>100</v>
      </c>
      <c r="Q7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7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7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7" s="1">
        <f>+IF(Tabla__192.168.1.8_POSEIDONSQL_APPFVT_01_tblFillRateFechas[[#This Row],[cant_order]]&gt;0,1,0)</f>
        <v>1</v>
      </c>
      <c r="V787" s="1">
        <f>+IF(Tabla__192.168.1.8_POSEIDONSQL_APPFVT_01_tblFillRateFechas[[#This Row],[Resultado]]=1,1,0)</f>
        <v>1</v>
      </c>
      <c r="W787" s="1" t="str">
        <f>+Tabla__192.168.1.8_POSEIDONSQL_APPFVT_01_tblFillRateFechas[[#This Row],[con_ocnumero]]&amp;Tabla__192.168.1.8_POSEIDONSQL_APPFVT_01_tblFillRateFechas[[#This Row],[con_codigounico]]</f>
        <v>9450545182-</v>
      </c>
      <c r="X7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88" spans="1:24" x14ac:dyDescent="0.25">
      <c r="A788">
        <v>8</v>
      </c>
      <c r="B788" t="s">
        <v>10</v>
      </c>
      <c r="C788">
        <v>9450545210</v>
      </c>
      <c r="D788" t="s">
        <v>1963</v>
      </c>
      <c r="E788" t="s">
        <v>1982</v>
      </c>
      <c r="F788" t="s">
        <v>162</v>
      </c>
      <c r="G788">
        <v>1</v>
      </c>
      <c r="H788">
        <v>1</v>
      </c>
      <c r="I788" t="s">
        <v>161</v>
      </c>
      <c r="J788">
        <v>0</v>
      </c>
      <c r="K788" t="s">
        <v>49</v>
      </c>
      <c r="L788" s="1">
        <f>+Tabla__192.168.1.8_POSEIDONSQL_APPFVT_01_tblFillRateFechas[[#This Row],[emb_cantidad]]-Tabla__192.168.1.8_POSEIDONSQL_APPFVT_01_tblFillRateFechas[[#This Row],[dev_cantidad]]</f>
        <v>1</v>
      </c>
      <c r="M788" s="1">
        <f>+IF(Tabla__192.168.1.8_POSEIDONSQL_APPFVT_01_tblFillRateFechas[[#This Row],[Cant_Resultante]]=Tabla__192.168.1.8_POSEIDONSQL_APPFVT_01_tblFillRateFechas[[#This Row],[cant_order]],1,0)</f>
        <v>1</v>
      </c>
      <c r="N7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8" s="1">
        <f>+IF(AND(Tabla__192.168.1.8_POSEIDONSQL_APPFVT_01_tblFillRateFechas[[#This Row],[Valida Cant]]=1,Tabla__192.168.1.8_POSEIDONSQL_APPFVT_01_tblFillRateFechas[[#This Row],[Valida Fec]]=1),1,0)</f>
        <v>1</v>
      </c>
      <c r="P788" s="1">
        <f>+(Tabla__192.168.1.8_POSEIDONSQL_APPFVT_01_tblFillRateFechas[[#This Row],[Cant_Resultante]]/Tabla__192.168.1.8_POSEIDONSQL_APPFVT_01_tblFillRateFechas[[#This Row],[cant_order]])*100</f>
        <v>100</v>
      </c>
      <c r="Q7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8" s="1">
        <f>+IF(Tabla__192.168.1.8_POSEIDONSQL_APPFVT_01_tblFillRateFechas[[#This Row],[cant_order]]&gt;0,1,0)</f>
        <v>1</v>
      </c>
      <c r="V788" s="1">
        <f>+IF(Tabla__192.168.1.8_POSEIDONSQL_APPFVT_01_tblFillRateFechas[[#This Row],[Resultado]]=1,1,0)</f>
        <v>1</v>
      </c>
      <c r="W788" s="1" t="str">
        <f>+Tabla__192.168.1.8_POSEIDONSQL_APPFVT_01_tblFillRateFechas[[#This Row],[con_ocnumero]]&amp;Tabla__192.168.1.8_POSEIDONSQL_APPFVT_01_tblFillRateFechas[[#This Row],[con_codigounico]]</f>
        <v>9450545210-</v>
      </c>
      <c r="X7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89" spans="1:24" x14ac:dyDescent="0.25">
      <c r="A789">
        <v>8</v>
      </c>
      <c r="B789" t="s">
        <v>10</v>
      </c>
      <c r="C789">
        <v>9450545244</v>
      </c>
      <c r="D789" t="s">
        <v>1963</v>
      </c>
      <c r="E789" t="s">
        <v>427</v>
      </c>
      <c r="F789" t="s">
        <v>162</v>
      </c>
      <c r="G789">
        <v>2</v>
      </c>
      <c r="H789">
        <v>2</v>
      </c>
      <c r="I789" t="s">
        <v>161</v>
      </c>
      <c r="J789">
        <v>0</v>
      </c>
      <c r="K789" t="s">
        <v>49</v>
      </c>
      <c r="L789" s="1">
        <f>+Tabla__192.168.1.8_POSEIDONSQL_APPFVT_01_tblFillRateFechas[[#This Row],[emb_cantidad]]-Tabla__192.168.1.8_POSEIDONSQL_APPFVT_01_tblFillRateFechas[[#This Row],[dev_cantidad]]</f>
        <v>2</v>
      </c>
      <c r="M789" s="1">
        <f>+IF(Tabla__192.168.1.8_POSEIDONSQL_APPFVT_01_tblFillRateFechas[[#This Row],[Cant_Resultante]]=Tabla__192.168.1.8_POSEIDONSQL_APPFVT_01_tblFillRateFechas[[#This Row],[cant_order]],1,0)</f>
        <v>1</v>
      </c>
      <c r="N7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89" s="1">
        <f>+IF(AND(Tabla__192.168.1.8_POSEIDONSQL_APPFVT_01_tblFillRateFechas[[#This Row],[Valida Cant]]=1,Tabla__192.168.1.8_POSEIDONSQL_APPFVT_01_tblFillRateFechas[[#This Row],[Valida Fec]]=1),1,0)</f>
        <v>1</v>
      </c>
      <c r="P789" s="1">
        <f>+(Tabla__192.168.1.8_POSEIDONSQL_APPFVT_01_tblFillRateFechas[[#This Row],[Cant_Resultante]]/Tabla__192.168.1.8_POSEIDONSQL_APPFVT_01_tblFillRateFechas[[#This Row],[cant_order]])*100</f>
        <v>100</v>
      </c>
      <c r="Q7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7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7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89" s="1">
        <f>+IF(Tabla__192.168.1.8_POSEIDONSQL_APPFVT_01_tblFillRateFechas[[#This Row],[cant_order]]&gt;0,1,0)</f>
        <v>1</v>
      </c>
      <c r="V789" s="1">
        <f>+IF(Tabla__192.168.1.8_POSEIDONSQL_APPFVT_01_tblFillRateFechas[[#This Row],[Resultado]]=1,1,0)</f>
        <v>1</v>
      </c>
      <c r="W789" s="1" t="str">
        <f>+Tabla__192.168.1.8_POSEIDONSQL_APPFVT_01_tblFillRateFechas[[#This Row],[con_ocnumero]]&amp;Tabla__192.168.1.8_POSEIDONSQL_APPFVT_01_tblFillRateFechas[[#This Row],[con_codigounico]]</f>
        <v>9450545244-</v>
      </c>
      <c r="X7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790" spans="1:24" x14ac:dyDescent="0.25">
      <c r="A790">
        <v>8</v>
      </c>
      <c r="B790" t="s">
        <v>10</v>
      </c>
      <c r="C790">
        <v>9450545280</v>
      </c>
      <c r="D790" t="s">
        <v>162</v>
      </c>
      <c r="E790" t="s">
        <v>425</v>
      </c>
      <c r="F790" t="s">
        <v>160</v>
      </c>
      <c r="G790">
        <v>1</v>
      </c>
      <c r="H790">
        <v>1</v>
      </c>
      <c r="I790" t="s">
        <v>429</v>
      </c>
      <c r="J790">
        <v>0</v>
      </c>
      <c r="K790" t="s">
        <v>49</v>
      </c>
      <c r="L790" s="1">
        <f>+Tabla__192.168.1.8_POSEIDONSQL_APPFVT_01_tblFillRateFechas[[#This Row],[emb_cantidad]]-Tabla__192.168.1.8_POSEIDONSQL_APPFVT_01_tblFillRateFechas[[#This Row],[dev_cantidad]]</f>
        <v>1</v>
      </c>
      <c r="M790" s="1">
        <f>+IF(Tabla__192.168.1.8_POSEIDONSQL_APPFVT_01_tblFillRateFechas[[#This Row],[Cant_Resultante]]=Tabla__192.168.1.8_POSEIDONSQL_APPFVT_01_tblFillRateFechas[[#This Row],[cant_order]],1,0)</f>
        <v>1</v>
      </c>
      <c r="N7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0" s="1">
        <f>+IF(AND(Tabla__192.168.1.8_POSEIDONSQL_APPFVT_01_tblFillRateFechas[[#This Row],[Valida Cant]]=1,Tabla__192.168.1.8_POSEIDONSQL_APPFVT_01_tblFillRateFechas[[#This Row],[Valida Fec]]=1),1,0)</f>
        <v>1</v>
      </c>
      <c r="P790" s="1">
        <f>+(Tabla__192.168.1.8_POSEIDONSQL_APPFVT_01_tblFillRateFechas[[#This Row],[Cant_Resultante]]/Tabla__192.168.1.8_POSEIDONSQL_APPFVT_01_tblFillRateFechas[[#This Row],[cant_order]])*100</f>
        <v>100</v>
      </c>
      <c r="Q7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0" s="1">
        <f>+IF(Tabla__192.168.1.8_POSEIDONSQL_APPFVT_01_tblFillRateFechas[[#This Row],[cant_order]]&gt;0,1,0)</f>
        <v>1</v>
      </c>
      <c r="V790" s="1">
        <f>+IF(Tabla__192.168.1.8_POSEIDONSQL_APPFVT_01_tblFillRateFechas[[#This Row],[Resultado]]=1,1,0)</f>
        <v>1</v>
      </c>
      <c r="W790" s="1" t="str">
        <f>+Tabla__192.168.1.8_POSEIDONSQL_APPFVT_01_tblFillRateFechas[[#This Row],[con_ocnumero]]&amp;Tabla__192.168.1.8_POSEIDONSQL_APPFVT_01_tblFillRateFechas[[#This Row],[con_codigounico]]</f>
        <v>9450545280-</v>
      </c>
      <c r="X7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1" spans="1:24" x14ac:dyDescent="0.25">
      <c r="A791">
        <v>8</v>
      </c>
      <c r="B791" t="s">
        <v>10</v>
      </c>
      <c r="C791">
        <v>9450545291</v>
      </c>
      <c r="D791" t="s">
        <v>162</v>
      </c>
      <c r="E791" t="s">
        <v>427</v>
      </c>
      <c r="F791" t="s">
        <v>160</v>
      </c>
      <c r="G791">
        <v>1</v>
      </c>
      <c r="H791">
        <v>1</v>
      </c>
      <c r="I791" t="s">
        <v>429</v>
      </c>
      <c r="J791">
        <v>0</v>
      </c>
      <c r="K791" t="s">
        <v>49</v>
      </c>
      <c r="L791" s="1">
        <f>+Tabla__192.168.1.8_POSEIDONSQL_APPFVT_01_tblFillRateFechas[[#This Row],[emb_cantidad]]-Tabla__192.168.1.8_POSEIDONSQL_APPFVT_01_tblFillRateFechas[[#This Row],[dev_cantidad]]</f>
        <v>1</v>
      </c>
      <c r="M791" s="1">
        <f>+IF(Tabla__192.168.1.8_POSEIDONSQL_APPFVT_01_tblFillRateFechas[[#This Row],[Cant_Resultante]]=Tabla__192.168.1.8_POSEIDONSQL_APPFVT_01_tblFillRateFechas[[#This Row],[cant_order]],1,0)</f>
        <v>1</v>
      </c>
      <c r="N7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1" s="1">
        <f>+IF(AND(Tabla__192.168.1.8_POSEIDONSQL_APPFVT_01_tblFillRateFechas[[#This Row],[Valida Cant]]=1,Tabla__192.168.1.8_POSEIDONSQL_APPFVT_01_tblFillRateFechas[[#This Row],[Valida Fec]]=1),1,0)</f>
        <v>1</v>
      </c>
      <c r="P791" s="1">
        <f>+(Tabla__192.168.1.8_POSEIDONSQL_APPFVT_01_tblFillRateFechas[[#This Row],[Cant_Resultante]]/Tabla__192.168.1.8_POSEIDONSQL_APPFVT_01_tblFillRateFechas[[#This Row],[cant_order]])*100</f>
        <v>100</v>
      </c>
      <c r="Q7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1" s="1">
        <f>+IF(Tabla__192.168.1.8_POSEIDONSQL_APPFVT_01_tblFillRateFechas[[#This Row],[cant_order]]&gt;0,1,0)</f>
        <v>1</v>
      </c>
      <c r="V791" s="1">
        <f>+IF(Tabla__192.168.1.8_POSEIDONSQL_APPFVT_01_tblFillRateFechas[[#This Row],[Resultado]]=1,1,0)</f>
        <v>1</v>
      </c>
      <c r="W791" s="1" t="str">
        <f>+Tabla__192.168.1.8_POSEIDONSQL_APPFVT_01_tblFillRateFechas[[#This Row],[con_ocnumero]]&amp;Tabla__192.168.1.8_POSEIDONSQL_APPFVT_01_tblFillRateFechas[[#This Row],[con_codigounico]]</f>
        <v>9450545291-</v>
      </c>
      <c r="X7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2" spans="1:24" x14ac:dyDescent="0.25">
      <c r="A792">
        <v>8</v>
      </c>
      <c r="B792" t="s">
        <v>10</v>
      </c>
      <c r="C792">
        <v>9450545296</v>
      </c>
      <c r="D792" t="s">
        <v>162</v>
      </c>
      <c r="E792" t="s">
        <v>1985</v>
      </c>
      <c r="F792" t="s">
        <v>160</v>
      </c>
      <c r="G792">
        <v>1</v>
      </c>
      <c r="H792">
        <v>1</v>
      </c>
      <c r="I792" t="s">
        <v>429</v>
      </c>
      <c r="J792">
        <v>0</v>
      </c>
      <c r="K792" t="s">
        <v>49</v>
      </c>
      <c r="L792" s="1">
        <f>+Tabla__192.168.1.8_POSEIDONSQL_APPFVT_01_tblFillRateFechas[[#This Row],[emb_cantidad]]-Tabla__192.168.1.8_POSEIDONSQL_APPFVT_01_tblFillRateFechas[[#This Row],[dev_cantidad]]</f>
        <v>1</v>
      </c>
      <c r="M792" s="1">
        <f>+IF(Tabla__192.168.1.8_POSEIDONSQL_APPFVT_01_tblFillRateFechas[[#This Row],[Cant_Resultante]]=Tabla__192.168.1.8_POSEIDONSQL_APPFVT_01_tblFillRateFechas[[#This Row],[cant_order]],1,0)</f>
        <v>1</v>
      </c>
      <c r="N7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2" s="1">
        <f>+IF(AND(Tabla__192.168.1.8_POSEIDONSQL_APPFVT_01_tblFillRateFechas[[#This Row],[Valida Cant]]=1,Tabla__192.168.1.8_POSEIDONSQL_APPFVT_01_tblFillRateFechas[[#This Row],[Valida Fec]]=1),1,0)</f>
        <v>1</v>
      </c>
      <c r="P792" s="1">
        <f>+(Tabla__192.168.1.8_POSEIDONSQL_APPFVT_01_tblFillRateFechas[[#This Row],[Cant_Resultante]]/Tabla__192.168.1.8_POSEIDONSQL_APPFVT_01_tblFillRateFechas[[#This Row],[cant_order]])*100</f>
        <v>100</v>
      </c>
      <c r="Q7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2" s="1">
        <f>+IF(Tabla__192.168.1.8_POSEIDONSQL_APPFVT_01_tblFillRateFechas[[#This Row],[cant_order]]&gt;0,1,0)</f>
        <v>1</v>
      </c>
      <c r="V792" s="1">
        <f>+IF(Tabla__192.168.1.8_POSEIDONSQL_APPFVT_01_tblFillRateFechas[[#This Row],[Resultado]]=1,1,0)</f>
        <v>1</v>
      </c>
      <c r="W792" s="1" t="str">
        <f>+Tabla__192.168.1.8_POSEIDONSQL_APPFVT_01_tblFillRateFechas[[#This Row],[con_ocnumero]]&amp;Tabla__192.168.1.8_POSEIDONSQL_APPFVT_01_tblFillRateFechas[[#This Row],[con_codigounico]]</f>
        <v>9450545296-</v>
      </c>
      <c r="X7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3" spans="1:24" x14ac:dyDescent="0.25">
      <c r="A793">
        <v>8</v>
      </c>
      <c r="B793" t="s">
        <v>10</v>
      </c>
      <c r="C793">
        <v>9450545322</v>
      </c>
      <c r="D793" t="s">
        <v>160</v>
      </c>
      <c r="E793" t="s">
        <v>425</v>
      </c>
      <c r="F793" t="s">
        <v>161</v>
      </c>
      <c r="G793">
        <v>1</v>
      </c>
      <c r="H793">
        <v>1</v>
      </c>
      <c r="I793" t="s">
        <v>429</v>
      </c>
      <c r="J793">
        <v>0</v>
      </c>
      <c r="K793" t="s">
        <v>49</v>
      </c>
      <c r="L793" s="1">
        <f>+Tabla__192.168.1.8_POSEIDONSQL_APPFVT_01_tblFillRateFechas[[#This Row],[emb_cantidad]]-Tabla__192.168.1.8_POSEIDONSQL_APPFVT_01_tblFillRateFechas[[#This Row],[dev_cantidad]]</f>
        <v>1</v>
      </c>
      <c r="M793" s="1">
        <f>+IF(Tabla__192.168.1.8_POSEIDONSQL_APPFVT_01_tblFillRateFechas[[#This Row],[Cant_Resultante]]=Tabla__192.168.1.8_POSEIDONSQL_APPFVT_01_tblFillRateFechas[[#This Row],[cant_order]],1,0)</f>
        <v>1</v>
      </c>
      <c r="N7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3" s="1">
        <f>+IF(AND(Tabla__192.168.1.8_POSEIDONSQL_APPFVT_01_tblFillRateFechas[[#This Row],[Valida Cant]]=1,Tabla__192.168.1.8_POSEIDONSQL_APPFVT_01_tblFillRateFechas[[#This Row],[Valida Fec]]=1),1,0)</f>
        <v>1</v>
      </c>
      <c r="P793" s="1">
        <f>+(Tabla__192.168.1.8_POSEIDONSQL_APPFVT_01_tblFillRateFechas[[#This Row],[Cant_Resultante]]/Tabla__192.168.1.8_POSEIDONSQL_APPFVT_01_tblFillRateFechas[[#This Row],[cant_order]])*100</f>
        <v>100</v>
      </c>
      <c r="Q7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3" s="1">
        <f>+IF(Tabla__192.168.1.8_POSEIDONSQL_APPFVT_01_tblFillRateFechas[[#This Row],[cant_order]]&gt;0,1,0)</f>
        <v>1</v>
      </c>
      <c r="V793" s="1">
        <f>+IF(Tabla__192.168.1.8_POSEIDONSQL_APPFVT_01_tblFillRateFechas[[#This Row],[Resultado]]=1,1,0)</f>
        <v>1</v>
      </c>
      <c r="W793" s="1" t="str">
        <f>+Tabla__192.168.1.8_POSEIDONSQL_APPFVT_01_tblFillRateFechas[[#This Row],[con_ocnumero]]&amp;Tabla__192.168.1.8_POSEIDONSQL_APPFVT_01_tblFillRateFechas[[#This Row],[con_codigounico]]</f>
        <v>9450545322-</v>
      </c>
      <c r="X7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4" spans="1:24" x14ac:dyDescent="0.25">
      <c r="A794">
        <v>8</v>
      </c>
      <c r="B794" t="s">
        <v>10</v>
      </c>
      <c r="C794">
        <v>9450545344</v>
      </c>
      <c r="D794" t="s">
        <v>160</v>
      </c>
      <c r="E794" t="s">
        <v>1985</v>
      </c>
      <c r="F794" t="s">
        <v>161</v>
      </c>
      <c r="G794">
        <v>1</v>
      </c>
      <c r="H794">
        <v>1</v>
      </c>
      <c r="I794" t="s">
        <v>429</v>
      </c>
      <c r="J794">
        <v>0</v>
      </c>
      <c r="K794" t="s">
        <v>49</v>
      </c>
      <c r="L794" s="1">
        <f>+Tabla__192.168.1.8_POSEIDONSQL_APPFVT_01_tblFillRateFechas[[#This Row],[emb_cantidad]]-Tabla__192.168.1.8_POSEIDONSQL_APPFVT_01_tblFillRateFechas[[#This Row],[dev_cantidad]]</f>
        <v>1</v>
      </c>
      <c r="M794" s="1">
        <f>+IF(Tabla__192.168.1.8_POSEIDONSQL_APPFVT_01_tblFillRateFechas[[#This Row],[Cant_Resultante]]=Tabla__192.168.1.8_POSEIDONSQL_APPFVT_01_tblFillRateFechas[[#This Row],[cant_order]],1,0)</f>
        <v>1</v>
      </c>
      <c r="N7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4" s="1">
        <f>+IF(AND(Tabla__192.168.1.8_POSEIDONSQL_APPFVT_01_tblFillRateFechas[[#This Row],[Valida Cant]]=1,Tabla__192.168.1.8_POSEIDONSQL_APPFVT_01_tblFillRateFechas[[#This Row],[Valida Fec]]=1),1,0)</f>
        <v>1</v>
      </c>
      <c r="P794" s="1">
        <f>+(Tabla__192.168.1.8_POSEIDONSQL_APPFVT_01_tblFillRateFechas[[#This Row],[Cant_Resultante]]/Tabla__192.168.1.8_POSEIDONSQL_APPFVT_01_tblFillRateFechas[[#This Row],[cant_order]])*100</f>
        <v>100</v>
      </c>
      <c r="Q7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4" s="1">
        <f>+IF(Tabla__192.168.1.8_POSEIDONSQL_APPFVT_01_tblFillRateFechas[[#This Row],[cant_order]]&gt;0,1,0)</f>
        <v>1</v>
      </c>
      <c r="V794" s="1">
        <f>+IF(Tabla__192.168.1.8_POSEIDONSQL_APPFVT_01_tblFillRateFechas[[#This Row],[Resultado]]=1,1,0)</f>
        <v>1</v>
      </c>
      <c r="W794" s="1" t="str">
        <f>+Tabla__192.168.1.8_POSEIDONSQL_APPFVT_01_tblFillRateFechas[[#This Row],[con_ocnumero]]&amp;Tabla__192.168.1.8_POSEIDONSQL_APPFVT_01_tblFillRateFechas[[#This Row],[con_codigounico]]</f>
        <v>9450545344-</v>
      </c>
      <c r="X7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5" spans="1:24" x14ac:dyDescent="0.25">
      <c r="A795">
        <v>8</v>
      </c>
      <c r="B795" t="s">
        <v>10</v>
      </c>
      <c r="C795">
        <v>9450545377</v>
      </c>
      <c r="D795" t="s">
        <v>161</v>
      </c>
      <c r="E795" t="s">
        <v>1985</v>
      </c>
      <c r="F795" t="s">
        <v>1969</v>
      </c>
      <c r="G795">
        <v>1</v>
      </c>
      <c r="H795">
        <v>1</v>
      </c>
      <c r="I795" t="s">
        <v>429</v>
      </c>
      <c r="J795">
        <v>0</v>
      </c>
      <c r="K795" t="s">
        <v>49</v>
      </c>
      <c r="L795" s="1">
        <f>+Tabla__192.168.1.8_POSEIDONSQL_APPFVT_01_tblFillRateFechas[[#This Row],[emb_cantidad]]-Tabla__192.168.1.8_POSEIDONSQL_APPFVT_01_tblFillRateFechas[[#This Row],[dev_cantidad]]</f>
        <v>1</v>
      </c>
      <c r="M795" s="1">
        <f>+IF(Tabla__192.168.1.8_POSEIDONSQL_APPFVT_01_tblFillRateFechas[[#This Row],[Cant_Resultante]]=Tabla__192.168.1.8_POSEIDONSQL_APPFVT_01_tblFillRateFechas[[#This Row],[cant_order]],1,0)</f>
        <v>1</v>
      </c>
      <c r="N7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5" s="1">
        <f>+IF(AND(Tabla__192.168.1.8_POSEIDONSQL_APPFVT_01_tblFillRateFechas[[#This Row],[Valida Cant]]=1,Tabla__192.168.1.8_POSEIDONSQL_APPFVT_01_tblFillRateFechas[[#This Row],[Valida Fec]]=1),1,0)</f>
        <v>1</v>
      </c>
      <c r="P795" s="1">
        <f>+(Tabla__192.168.1.8_POSEIDONSQL_APPFVT_01_tblFillRateFechas[[#This Row],[Cant_Resultante]]/Tabla__192.168.1.8_POSEIDONSQL_APPFVT_01_tblFillRateFechas[[#This Row],[cant_order]])*100</f>
        <v>100</v>
      </c>
      <c r="Q7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5" s="1">
        <f>+IF(Tabla__192.168.1.8_POSEIDONSQL_APPFVT_01_tblFillRateFechas[[#This Row],[cant_order]]&gt;0,1,0)</f>
        <v>1</v>
      </c>
      <c r="V795" s="1">
        <f>+IF(Tabla__192.168.1.8_POSEIDONSQL_APPFVT_01_tblFillRateFechas[[#This Row],[Resultado]]=1,1,0)</f>
        <v>1</v>
      </c>
      <c r="W795" s="1" t="str">
        <f>+Tabla__192.168.1.8_POSEIDONSQL_APPFVT_01_tblFillRateFechas[[#This Row],[con_ocnumero]]&amp;Tabla__192.168.1.8_POSEIDONSQL_APPFVT_01_tblFillRateFechas[[#This Row],[con_codigounico]]</f>
        <v>9450545377-</v>
      </c>
      <c r="X7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6" spans="1:24" x14ac:dyDescent="0.25">
      <c r="A796">
        <v>8</v>
      </c>
      <c r="B796" t="s">
        <v>10</v>
      </c>
      <c r="C796">
        <v>9450545443</v>
      </c>
      <c r="D796" t="s">
        <v>1969</v>
      </c>
      <c r="E796" t="s">
        <v>1985</v>
      </c>
      <c r="F796" t="s">
        <v>163</v>
      </c>
      <c r="G796">
        <v>1</v>
      </c>
      <c r="H796">
        <v>1</v>
      </c>
      <c r="I796" t="s">
        <v>429</v>
      </c>
      <c r="J796">
        <v>0</v>
      </c>
      <c r="K796" t="s">
        <v>49</v>
      </c>
      <c r="L796" s="1">
        <f>+Tabla__192.168.1.8_POSEIDONSQL_APPFVT_01_tblFillRateFechas[[#This Row],[emb_cantidad]]-Tabla__192.168.1.8_POSEIDONSQL_APPFVT_01_tblFillRateFechas[[#This Row],[dev_cantidad]]</f>
        <v>1</v>
      </c>
      <c r="M796" s="1">
        <f>+IF(Tabla__192.168.1.8_POSEIDONSQL_APPFVT_01_tblFillRateFechas[[#This Row],[Cant_Resultante]]=Tabla__192.168.1.8_POSEIDONSQL_APPFVT_01_tblFillRateFechas[[#This Row],[cant_order]],1,0)</f>
        <v>1</v>
      </c>
      <c r="N7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6" s="1">
        <f>+IF(AND(Tabla__192.168.1.8_POSEIDONSQL_APPFVT_01_tblFillRateFechas[[#This Row],[Valida Cant]]=1,Tabla__192.168.1.8_POSEIDONSQL_APPFVT_01_tblFillRateFechas[[#This Row],[Valida Fec]]=1),1,0)</f>
        <v>1</v>
      </c>
      <c r="P796" s="1">
        <f>+(Tabla__192.168.1.8_POSEIDONSQL_APPFVT_01_tblFillRateFechas[[#This Row],[Cant_Resultante]]/Tabla__192.168.1.8_POSEIDONSQL_APPFVT_01_tblFillRateFechas[[#This Row],[cant_order]])*100</f>
        <v>100</v>
      </c>
      <c r="Q7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6" s="1">
        <f>+IF(Tabla__192.168.1.8_POSEIDONSQL_APPFVT_01_tblFillRateFechas[[#This Row],[cant_order]]&gt;0,1,0)</f>
        <v>1</v>
      </c>
      <c r="V796" s="1">
        <f>+IF(Tabla__192.168.1.8_POSEIDONSQL_APPFVT_01_tblFillRateFechas[[#This Row],[Resultado]]=1,1,0)</f>
        <v>1</v>
      </c>
      <c r="W796" s="1" t="str">
        <f>+Tabla__192.168.1.8_POSEIDONSQL_APPFVT_01_tblFillRateFechas[[#This Row],[con_ocnumero]]&amp;Tabla__192.168.1.8_POSEIDONSQL_APPFVT_01_tblFillRateFechas[[#This Row],[con_codigounico]]</f>
        <v>9450545443-</v>
      </c>
      <c r="X7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7" spans="1:24" x14ac:dyDescent="0.25">
      <c r="A797">
        <v>8</v>
      </c>
      <c r="B797" t="s">
        <v>10</v>
      </c>
      <c r="C797">
        <v>9450545444</v>
      </c>
      <c r="D797" t="s">
        <v>1969</v>
      </c>
      <c r="E797" t="s">
        <v>1985</v>
      </c>
      <c r="F797" t="s">
        <v>163</v>
      </c>
      <c r="G797">
        <v>1</v>
      </c>
      <c r="H797">
        <v>1</v>
      </c>
      <c r="I797" t="s">
        <v>429</v>
      </c>
      <c r="J797">
        <v>0</v>
      </c>
      <c r="K797" t="s">
        <v>49</v>
      </c>
      <c r="L797" s="1">
        <f>+Tabla__192.168.1.8_POSEIDONSQL_APPFVT_01_tblFillRateFechas[[#This Row],[emb_cantidad]]-Tabla__192.168.1.8_POSEIDONSQL_APPFVT_01_tblFillRateFechas[[#This Row],[dev_cantidad]]</f>
        <v>1</v>
      </c>
      <c r="M797" s="1">
        <f>+IF(Tabla__192.168.1.8_POSEIDONSQL_APPFVT_01_tblFillRateFechas[[#This Row],[Cant_Resultante]]=Tabla__192.168.1.8_POSEIDONSQL_APPFVT_01_tblFillRateFechas[[#This Row],[cant_order]],1,0)</f>
        <v>1</v>
      </c>
      <c r="N7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7" s="1">
        <f>+IF(AND(Tabla__192.168.1.8_POSEIDONSQL_APPFVT_01_tblFillRateFechas[[#This Row],[Valida Cant]]=1,Tabla__192.168.1.8_POSEIDONSQL_APPFVT_01_tblFillRateFechas[[#This Row],[Valida Fec]]=1),1,0)</f>
        <v>1</v>
      </c>
      <c r="P797" s="1">
        <f>+(Tabla__192.168.1.8_POSEIDONSQL_APPFVT_01_tblFillRateFechas[[#This Row],[Cant_Resultante]]/Tabla__192.168.1.8_POSEIDONSQL_APPFVT_01_tblFillRateFechas[[#This Row],[cant_order]])*100</f>
        <v>100</v>
      </c>
      <c r="Q7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7" s="1">
        <f>+IF(Tabla__192.168.1.8_POSEIDONSQL_APPFVT_01_tblFillRateFechas[[#This Row],[cant_order]]&gt;0,1,0)</f>
        <v>1</v>
      </c>
      <c r="V797" s="1">
        <f>+IF(Tabla__192.168.1.8_POSEIDONSQL_APPFVT_01_tblFillRateFechas[[#This Row],[Resultado]]=1,1,0)</f>
        <v>1</v>
      </c>
      <c r="W797" s="1" t="str">
        <f>+Tabla__192.168.1.8_POSEIDONSQL_APPFVT_01_tblFillRateFechas[[#This Row],[con_ocnumero]]&amp;Tabla__192.168.1.8_POSEIDONSQL_APPFVT_01_tblFillRateFechas[[#This Row],[con_codigounico]]</f>
        <v>9450545444-</v>
      </c>
      <c r="X7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8" spans="1:24" x14ac:dyDescent="0.25">
      <c r="A798">
        <v>8</v>
      </c>
      <c r="B798" t="s">
        <v>10</v>
      </c>
      <c r="C798">
        <v>9450545506</v>
      </c>
      <c r="D798" t="s">
        <v>163</v>
      </c>
      <c r="E798" t="s">
        <v>422</v>
      </c>
      <c r="F798" t="s">
        <v>429</v>
      </c>
      <c r="G798">
        <v>1</v>
      </c>
      <c r="H798">
        <v>1</v>
      </c>
      <c r="I798" t="s">
        <v>425</v>
      </c>
      <c r="J798">
        <v>0</v>
      </c>
      <c r="K798" t="s">
        <v>49</v>
      </c>
      <c r="L798" s="1">
        <f>+Tabla__192.168.1.8_POSEIDONSQL_APPFVT_01_tblFillRateFechas[[#This Row],[emb_cantidad]]-Tabla__192.168.1.8_POSEIDONSQL_APPFVT_01_tblFillRateFechas[[#This Row],[dev_cantidad]]</f>
        <v>1</v>
      </c>
      <c r="M798" s="1">
        <f>+IF(Tabla__192.168.1.8_POSEIDONSQL_APPFVT_01_tblFillRateFechas[[#This Row],[Cant_Resultante]]=Tabla__192.168.1.8_POSEIDONSQL_APPFVT_01_tblFillRateFechas[[#This Row],[cant_order]],1,0)</f>
        <v>1</v>
      </c>
      <c r="N7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8" s="1">
        <f>+IF(AND(Tabla__192.168.1.8_POSEIDONSQL_APPFVT_01_tblFillRateFechas[[#This Row],[Valida Cant]]=1,Tabla__192.168.1.8_POSEIDONSQL_APPFVT_01_tblFillRateFechas[[#This Row],[Valida Fec]]=1),1,0)</f>
        <v>1</v>
      </c>
      <c r="P798" s="1">
        <f>+(Tabla__192.168.1.8_POSEIDONSQL_APPFVT_01_tblFillRateFechas[[#This Row],[Cant_Resultante]]/Tabla__192.168.1.8_POSEIDONSQL_APPFVT_01_tblFillRateFechas[[#This Row],[cant_order]])*100</f>
        <v>100</v>
      </c>
      <c r="Q7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8" s="1">
        <f>+IF(Tabla__192.168.1.8_POSEIDONSQL_APPFVT_01_tblFillRateFechas[[#This Row],[cant_order]]&gt;0,1,0)</f>
        <v>1</v>
      </c>
      <c r="V798" s="1">
        <f>+IF(Tabla__192.168.1.8_POSEIDONSQL_APPFVT_01_tblFillRateFechas[[#This Row],[Resultado]]=1,1,0)</f>
        <v>1</v>
      </c>
      <c r="W798" s="1" t="str">
        <f>+Tabla__192.168.1.8_POSEIDONSQL_APPFVT_01_tblFillRateFechas[[#This Row],[con_ocnumero]]&amp;Tabla__192.168.1.8_POSEIDONSQL_APPFVT_01_tblFillRateFechas[[#This Row],[con_codigounico]]</f>
        <v>9450545506-</v>
      </c>
      <c r="X7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799" spans="1:24" x14ac:dyDescent="0.25">
      <c r="A799">
        <v>8</v>
      </c>
      <c r="B799" t="s">
        <v>10</v>
      </c>
      <c r="C799">
        <v>9450545519</v>
      </c>
      <c r="D799" t="s">
        <v>163</v>
      </c>
      <c r="E799" t="s">
        <v>415</v>
      </c>
      <c r="F799" t="s">
        <v>429</v>
      </c>
      <c r="G799">
        <v>1</v>
      </c>
      <c r="H799">
        <v>1</v>
      </c>
      <c r="I799" t="s">
        <v>425</v>
      </c>
      <c r="J799">
        <v>0</v>
      </c>
      <c r="K799" t="s">
        <v>49</v>
      </c>
      <c r="L799" s="1">
        <f>+Tabla__192.168.1.8_POSEIDONSQL_APPFVT_01_tblFillRateFechas[[#This Row],[emb_cantidad]]-Tabla__192.168.1.8_POSEIDONSQL_APPFVT_01_tblFillRateFechas[[#This Row],[dev_cantidad]]</f>
        <v>1</v>
      </c>
      <c r="M799" s="1">
        <f>+IF(Tabla__192.168.1.8_POSEIDONSQL_APPFVT_01_tblFillRateFechas[[#This Row],[Cant_Resultante]]=Tabla__192.168.1.8_POSEIDONSQL_APPFVT_01_tblFillRateFechas[[#This Row],[cant_order]],1,0)</f>
        <v>1</v>
      </c>
      <c r="N7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799" s="1">
        <f>+IF(AND(Tabla__192.168.1.8_POSEIDONSQL_APPFVT_01_tblFillRateFechas[[#This Row],[Valida Cant]]=1,Tabla__192.168.1.8_POSEIDONSQL_APPFVT_01_tblFillRateFechas[[#This Row],[Valida Fec]]=1),1,0)</f>
        <v>1</v>
      </c>
      <c r="P799" s="1">
        <f>+(Tabla__192.168.1.8_POSEIDONSQL_APPFVT_01_tblFillRateFechas[[#This Row],[Cant_Resultante]]/Tabla__192.168.1.8_POSEIDONSQL_APPFVT_01_tblFillRateFechas[[#This Row],[cant_order]])*100</f>
        <v>100</v>
      </c>
      <c r="Q7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7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7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7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799" s="1">
        <f>+IF(Tabla__192.168.1.8_POSEIDONSQL_APPFVT_01_tblFillRateFechas[[#This Row],[cant_order]]&gt;0,1,0)</f>
        <v>1</v>
      </c>
      <c r="V799" s="1">
        <f>+IF(Tabla__192.168.1.8_POSEIDONSQL_APPFVT_01_tblFillRateFechas[[#This Row],[Resultado]]=1,1,0)</f>
        <v>1</v>
      </c>
      <c r="W799" s="1" t="str">
        <f>+Tabla__192.168.1.8_POSEIDONSQL_APPFVT_01_tblFillRateFechas[[#This Row],[con_ocnumero]]&amp;Tabla__192.168.1.8_POSEIDONSQL_APPFVT_01_tblFillRateFechas[[#This Row],[con_codigounico]]</f>
        <v>9450545519-</v>
      </c>
      <c r="X7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0" spans="1:24" x14ac:dyDescent="0.25">
      <c r="A800">
        <v>8</v>
      </c>
      <c r="B800" t="s">
        <v>10</v>
      </c>
      <c r="C800">
        <v>9450545531</v>
      </c>
      <c r="D800" t="s">
        <v>163</v>
      </c>
      <c r="E800" t="s">
        <v>1985</v>
      </c>
      <c r="F800" t="s">
        <v>429</v>
      </c>
      <c r="G800">
        <v>1</v>
      </c>
      <c r="H800">
        <v>2</v>
      </c>
      <c r="I800" t="s">
        <v>415</v>
      </c>
      <c r="J800">
        <v>1</v>
      </c>
      <c r="K800" t="s">
        <v>49</v>
      </c>
      <c r="L800" s="1">
        <f>+Tabla__192.168.1.8_POSEIDONSQL_APPFVT_01_tblFillRateFechas[[#This Row],[emb_cantidad]]-Tabla__192.168.1.8_POSEIDONSQL_APPFVT_01_tblFillRateFechas[[#This Row],[dev_cantidad]]</f>
        <v>1</v>
      </c>
      <c r="M800" s="1">
        <f>+IF(Tabla__192.168.1.8_POSEIDONSQL_APPFVT_01_tblFillRateFechas[[#This Row],[Cant_Resultante]]=Tabla__192.168.1.8_POSEIDONSQL_APPFVT_01_tblFillRateFechas[[#This Row],[cant_order]],1,0)</f>
        <v>1</v>
      </c>
      <c r="N8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00" s="1">
        <f>+IF(AND(Tabla__192.168.1.8_POSEIDONSQL_APPFVT_01_tblFillRateFechas[[#This Row],[Valida Cant]]=1,Tabla__192.168.1.8_POSEIDONSQL_APPFVT_01_tblFillRateFechas[[#This Row],[Valida Fec]]=1),1,0)</f>
        <v>0</v>
      </c>
      <c r="P800" s="1">
        <f>+(Tabla__192.168.1.8_POSEIDONSQL_APPFVT_01_tblFillRateFechas[[#This Row],[Cant_Resultante]]/Tabla__192.168.1.8_POSEIDONSQL_APPFVT_01_tblFillRateFechas[[#This Row],[cant_order]])*100</f>
        <v>100</v>
      </c>
      <c r="Q8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8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0" s="1">
        <f>+IF(Tabla__192.168.1.8_POSEIDONSQL_APPFVT_01_tblFillRateFechas[[#This Row],[cant_order]]&gt;0,1,0)</f>
        <v>1</v>
      </c>
      <c r="V800" s="1">
        <f>+IF(Tabla__192.168.1.8_POSEIDONSQL_APPFVT_01_tblFillRateFechas[[#This Row],[Resultado]]=1,1,0)</f>
        <v>0</v>
      </c>
      <c r="W800" s="1" t="str">
        <f>+Tabla__192.168.1.8_POSEIDONSQL_APPFVT_01_tblFillRateFechas[[#This Row],[con_ocnumero]]&amp;Tabla__192.168.1.8_POSEIDONSQL_APPFVT_01_tblFillRateFechas[[#This Row],[con_codigounico]]</f>
        <v>9450545531-</v>
      </c>
      <c r="X8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1" spans="1:24" x14ac:dyDescent="0.25">
      <c r="A801">
        <v>8</v>
      </c>
      <c r="B801" t="s">
        <v>10</v>
      </c>
      <c r="C801">
        <v>9450545535</v>
      </c>
      <c r="D801" t="s">
        <v>163</v>
      </c>
      <c r="E801" t="s">
        <v>422</v>
      </c>
      <c r="F801" t="s">
        <v>429</v>
      </c>
      <c r="G801">
        <v>1</v>
      </c>
      <c r="H801">
        <v>1</v>
      </c>
      <c r="I801" t="s">
        <v>425</v>
      </c>
      <c r="J801">
        <v>0</v>
      </c>
      <c r="K801" t="s">
        <v>49</v>
      </c>
      <c r="L801" s="1">
        <f>+Tabla__192.168.1.8_POSEIDONSQL_APPFVT_01_tblFillRateFechas[[#This Row],[emb_cantidad]]-Tabla__192.168.1.8_POSEIDONSQL_APPFVT_01_tblFillRateFechas[[#This Row],[dev_cantidad]]</f>
        <v>1</v>
      </c>
      <c r="M801" s="1">
        <f>+IF(Tabla__192.168.1.8_POSEIDONSQL_APPFVT_01_tblFillRateFechas[[#This Row],[Cant_Resultante]]=Tabla__192.168.1.8_POSEIDONSQL_APPFVT_01_tblFillRateFechas[[#This Row],[cant_order]],1,0)</f>
        <v>1</v>
      </c>
      <c r="N8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1" s="1">
        <f>+IF(AND(Tabla__192.168.1.8_POSEIDONSQL_APPFVT_01_tblFillRateFechas[[#This Row],[Valida Cant]]=1,Tabla__192.168.1.8_POSEIDONSQL_APPFVT_01_tblFillRateFechas[[#This Row],[Valida Fec]]=1),1,0)</f>
        <v>1</v>
      </c>
      <c r="P801" s="1">
        <f>+(Tabla__192.168.1.8_POSEIDONSQL_APPFVT_01_tblFillRateFechas[[#This Row],[Cant_Resultante]]/Tabla__192.168.1.8_POSEIDONSQL_APPFVT_01_tblFillRateFechas[[#This Row],[cant_order]])*100</f>
        <v>100</v>
      </c>
      <c r="Q8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1" s="1">
        <f>+IF(Tabla__192.168.1.8_POSEIDONSQL_APPFVT_01_tblFillRateFechas[[#This Row],[cant_order]]&gt;0,1,0)</f>
        <v>1</v>
      </c>
      <c r="V801" s="1">
        <f>+IF(Tabla__192.168.1.8_POSEIDONSQL_APPFVT_01_tblFillRateFechas[[#This Row],[Resultado]]=1,1,0)</f>
        <v>1</v>
      </c>
      <c r="W801" s="1" t="str">
        <f>+Tabla__192.168.1.8_POSEIDONSQL_APPFVT_01_tblFillRateFechas[[#This Row],[con_ocnumero]]&amp;Tabla__192.168.1.8_POSEIDONSQL_APPFVT_01_tblFillRateFechas[[#This Row],[con_codigounico]]</f>
        <v>9450545535-</v>
      </c>
      <c r="X8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2" spans="1:24" x14ac:dyDescent="0.25">
      <c r="A802">
        <v>8</v>
      </c>
      <c r="B802" t="s">
        <v>10</v>
      </c>
      <c r="C802">
        <v>9450545536</v>
      </c>
      <c r="D802" t="s">
        <v>163</v>
      </c>
      <c r="E802" t="s">
        <v>423</v>
      </c>
      <c r="F802" t="s">
        <v>429</v>
      </c>
      <c r="G802">
        <v>1</v>
      </c>
      <c r="H802">
        <v>1</v>
      </c>
      <c r="I802" t="s">
        <v>425</v>
      </c>
      <c r="J802">
        <v>0</v>
      </c>
      <c r="K802" t="s">
        <v>49</v>
      </c>
      <c r="L802" s="1">
        <f>+Tabla__192.168.1.8_POSEIDONSQL_APPFVT_01_tblFillRateFechas[[#This Row],[emb_cantidad]]-Tabla__192.168.1.8_POSEIDONSQL_APPFVT_01_tblFillRateFechas[[#This Row],[dev_cantidad]]</f>
        <v>1</v>
      </c>
      <c r="M802" s="1">
        <f>+IF(Tabla__192.168.1.8_POSEIDONSQL_APPFVT_01_tblFillRateFechas[[#This Row],[Cant_Resultante]]=Tabla__192.168.1.8_POSEIDONSQL_APPFVT_01_tblFillRateFechas[[#This Row],[cant_order]],1,0)</f>
        <v>1</v>
      </c>
      <c r="N8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2" s="1">
        <f>+IF(AND(Tabla__192.168.1.8_POSEIDONSQL_APPFVT_01_tblFillRateFechas[[#This Row],[Valida Cant]]=1,Tabla__192.168.1.8_POSEIDONSQL_APPFVT_01_tblFillRateFechas[[#This Row],[Valida Fec]]=1),1,0)</f>
        <v>1</v>
      </c>
      <c r="P802" s="1">
        <f>+(Tabla__192.168.1.8_POSEIDONSQL_APPFVT_01_tblFillRateFechas[[#This Row],[Cant_Resultante]]/Tabla__192.168.1.8_POSEIDONSQL_APPFVT_01_tblFillRateFechas[[#This Row],[cant_order]])*100</f>
        <v>100</v>
      </c>
      <c r="Q8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2" s="1">
        <f>+IF(Tabla__192.168.1.8_POSEIDONSQL_APPFVT_01_tblFillRateFechas[[#This Row],[cant_order]]&gt;0,1,0)</f>
        <v>1</v>
      </c>
      <c r="V802" s="1">
        <f>+IF(Tabla__192.168.1.8_POSEIDONSQL_APPFVT_01_tblFillRateFechas[[#This Row],[Resultado]]=1,1,0)</f>
        <v>1</v>
      </c>
      <c r="W802" s="1" t="str">
        <f>+Tabla__192.168.1.8_POSEIDONSQL_APPFVT_01_tblFillRateFechas[[#This Row],[con_ocnumero]]&amp;Tabla__192.168.1.8_POSEIDONSQL_APPFVT_01_tblFillRateFechas[[#This Row],[con_codigounico]]</f>
        <v>9450545536-</v>
      </c>
      <c r="X8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3" spans="1:24" x14ac:dyDescent="0.25">
      <c r="A803">
        <v>8</v>
      </c>
      <c r="B803" t="s">
        <v>10</v>
      </c>
      <c r="C803">
        <v>9450545537</v>
      </c>
      <c r="D803" t="s">
        <v>163</v>
      </c>
      <c r="E803" t="s">
        <v>422</v>
      </c>
      <c r="F803" t="s">
        <v>429</v>
      </c>
      <c r="G803">
        <v>1</v>
      </c>
      <c r="H803">
        <v>1</v>
      </c>
      <c r="I803" t="s">
        <v>425</v>
      </c>
      <c r="J803">
        <v>0</v>
      </c>
      <c r="K803" t="s">
        <v>49</v>
      </c>
      <c r="L803" s="1">
        <f>+Tabla__192.168.1.8_POSEIDONSQL_APPFVT_01_tblFillRateFechas[[#This Row],[emb_cantidad]]-Tabla__192.168.1.8_POSEIDONSQL_APPFVT_01_tblFillRateFechas[[#This Row],[dev_cantidad]]</f>
        <v>1</v>
      </c>
      <c r="M803" s="1">
        <f>+IF(Tabla__192.168.1.8_POSEIDONSQL_APPFVT_01_tblFillRateFechas[[#This Row],[Cant_Resultante]]=Tabla__192.168.1.8_POSEIDONSQL_APPFVT_01_tblFillRateFechas[[#This Row],[cant_order]],1,0)</f>
        <v>1</v>
      </c>
      <c r="N8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3" s="1">
        <f>+IF(AND(Tabla__192.168.1.8_POSEIDONSQL_APPFVT_01_tblFillRateFechas[[#This Row],[Valida Cant]]=1,Tabla__192.168.1.8_POSEIDONSQL_APPFVT_01_tblFillRateFechas[[#This Row],[Valida Fec]]=1),1,0)</f>
        <v>1</v>
      </c>
      <c r="P803" s="1">
        <f>+(Tabla__192.168.1.8_POSEIDONSQL_APPFVT_01_tblFillRateFechas[[#This Row],[Cant_Resultante]]/Tabla__192.168.1.8_POSEIDONSQL_APPFVT_01_tblFillRateFechas[[#This Row],[cant_order]])*100</f>
        <v>100</v>
      </c>
      <c r="Q8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3" s="1">
        <f>+IF(Tabla__192.168.1.8_POSEIDONSQL_APPFVT_01_tblFillRateFechas[[#This Row],[cant_order]]&gt;0,1,0)</f>
        <v>1</v>
      </c>
      <c r="V803" s="1">
        <f>+IF(Tabla__192.168.1.8_POSEIDONSQL_APPFVT_01_tblFillRateFechas[[#This Row],[Resultado]]=1,1,0)</f>
        <v>1</v>
      </c>
      <c r="W803" s="1" t="str">
        <f>+Tabla__192.168.1.8_POSEIDONSQL_APPFVT_01_tblFillRateFechas[[#This Row],[con_ocnumero]]&amp;Tabla__192.168.1.8_POSEIDONSQL_APPFVT_01_tblFillRateFechas[[#This Row],[con_codigounico]]</f>
        <v>9450545537-</v>
      </c>
      <c r="X8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4" spans="1:24" x14ac:dyDescent="0.25">
      <c r="A804">
        <v>8</v>
      </c>
      <c r="B804" t="s">
        <v>10</v>
      </c>
      <c r="C804">
        <v>9450545538</v>
      </c>
      <c r="D804" t="s">
        <v>163</v>
      </c>
      <c r="E804" t="s">
        <v>415</v>
      </c>
      <c r="F804" t="s">
        <v>429</v>
      </c>
      <c r="G804">
        <v>1</v>
      </c>
      <c r="H804">
        <v>1</v>
      </c>
      <c r="I804" t="s">
        <v>425</v>
      </c>
      <c r="J804">
        <v>0</v>
      </c>
      <c r="K804" t="s">
        <v>49</v>
      </c>
      <c r="L804" s="1">
        <f>+Tabla__192.168.1.8_POSEIDONSQL_APPFVT_01_tblFillRateFechas[[#This Row],[emb_cantidad]]-Tabla__192.168.1.8_POSEIDONSQL_APPFVT_01_tblFillRateFechas[[#This Row],[dev_cantidad]]</f>
        <v>1</v>
      </c>
      <c r="M804" s="1">
        <f>+IF(Tabla__192.168.1.8_POSEIDONSQL_APPFVT_01_tblFillRateFechas[[#This Row],[Cant_Resultante]]=Tabla__192.168.1.8_POSEIDONSQL_APPFVT_01_tblFillRateFechas[[#This Row],[cant_order]],1,0)</f>
        <v>1</v>
      </c>
      <c r="N8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4" s="1">
        <f>+IF(AND(Tabla__192.168.1.8_POSEIDONSQL_APPFVT_01_tblFillRateFechas[[#This Row],[Valida Cant]]=1,Tabla__192.168.1.8_POSEIDONSQL_APPFVT_01_tblFillRateFechas[[#This Row],[Valida Fec]]=1),1,0)</f>
        <v>1</v>
      </c>
      <c r="P804" s="1">
        <f>+(Tabla__192.168.1.8_POSEIDONSQL_APPFVT_01_tblFillRateFechas[[#This Row],[Cant_Resultante]]/Tabla__192.168.1.8_POSEIDONSQL_APPFVT_01_tblFillRateFechas[[#This Row],[cant_order]])*100</f>
        <v>100</v>
      </c>
      <c r="Q8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4" s="1">
        <f>+IF(Tabla__192.168.1.8_POSEIDONSQL_APPFVT_01_tblFillRateFechas[[#This Row],[cant_order]]&gt;0,1,0)</f>
        <v>1</v>
      </c>
      <c r="V804" s="1">
        <f>+IF(Tabla__192.168.1.8_POSEIDONSQL_APPFVT_01_tblFillRateFechas[[#This Row],[Resultado]]=1,1,0)</f>
        <v>1</v>
      </c>
      <c r="W804" s="1" t="str">
        <f>+Tabla__192.168.1.8_POSEIDONSQL_APPFVT_01_tblFillRateFechas[[#This Row],[con_ocnumero]]&amp;Tabla__192.168.1.8_POSEIDONSQL_APPFVT_01_tblFillRateFechas[[#This Row],[con_codigounico]]</f>
        <v>9450545538-</v>
      </c>
      <c r="X8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5" spans="1:24" x14ac:dyDescent="0.25">
      <c r="A805">
        <v>8</v>
      </c>
      <c r="B805" t="s">
        <v>10</v>
      </c>
      <c r="C805">
        <v>9450545599</v>
      </c>
      <c r="D805" t="s">
        <v>429</v>
      </c>
      <c r="E805" t="s">
        <v>418</v>
      </c>
      <c r="F805" t="s">
        <v>427</v>
      </c>
      <c r="G805">
        <v>1</v>
      </c>
      <c r="H805">
        <v>1</v>
      </c>
      <c r="I805" t="s">
        <v>425</v>
      </c>
      <c r="J805">
        <v>0</v>
      </c>
      <c r="K805" t="s">
        <v>49</v>
      </c>
      <c r="L805" s="1">
        <f>+Tabla__192.168.1.8_POSEIDONSQL_APPFVT_01_tblFillRateFechas[[#This Row],[emb_cantidad]]-Tabla__192.168.1.8_POSEIDONSQL_APPFVT_01_tblFillRateFechas[[#This Row],[dev_cantidad]]</f>
        <v>1</v>
      </c>
      <c r="M805" s="1">
        <f>+IF(Tabla__192.168.1.8_POSEIDONSQL_APPFVT_01_tblFillRateFechas[[#This Row],[Cant_Resultante]]=Tabla__192.168.1.8_POSEIDONSQL_APPFVT_01_tblFillRateFechas[[#This Row],[cant_order]],1,0)</f>
        <v>1</v>
      </c>
      <c r="N8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5" s="1">
        <f>+IF(AND(Tabla__192.168.1.8_POSEIDONSQL_APPFVT_01_tblFillRateFechas[[#This Row],[Valida Cant]]=1,Tabla__192.168.1.8_POSEIDONSQL_APPFVT_01_tblFillRateFechas[[#This Row],[Valida Fec]]=1),1,0)</f>
        <v>1</v>
      </c>
      <c r="P805" s="1">
        <f>+(Tabla__192.168.1.8_POSEIDONSQL_APPFVT_01_tblFillRateFechas[[#This Row],[Cant_Resultante]]/Tabla__192.168.1.8_POSEIDONSQL_APPFVT_01_tblFillRateFechas[[#This Row],[cant_order]])*100</f>
        <v>100</v>
      </c>
      <c r="Q8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5" s="1">
        <f>+IF(Tabla__192.168.1.8_POSEIDONSQL_APPFVT_01_tblFillRateFechas[[#This Row],[cant_order]]&gt;0,1,0)</f>
        <v>1</v>
      </c>
      <c r="V805" s="1">
        <f>+IF(Tabla__192.168.1.8_POSEIDONSQL_APPFVT_01_tblFillRateFechas[[#This Row],[Resultado]]=1,1,0)</f>
        <v>1</v>
      </c>
      <c r="W805" s="1" t="str">
        <f>+Tabla__192.168.1.8_POSEIDONSQL_APPFVT_01_tblFillRateFechas[[#This Row],[con_ocnumero]]&amp;Tabla__192.168.1.8_POSEIDONSQL_APPFVT_01_tblFillRateFechas[[#This Row],[con_codigounico]]</f>
        <v>9450545599-</v>
      </c>
      <c r="X8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6" spans="1:24" x14ac:dyDescent="0.25">
      <c r="A806">
        <v>8</v>
      </c>
      <c r="B806" t="s">
        <v>10</v>
      </c>
      <c r="C806">
        <v>9450545600</v>
      </c>
      <c r="D806" t="s">
        <v>429</v>
      </c>
      <c r="E806" t="s">
        <v>418</v>
      </c>
      <c r="F806" t="s">
        <v>427</v>
      </c>
      <c r="G806">
        <v>2</v>
      </c>
      <c r="H806">
        <v>2</v>
      </c>
      <c r="I806" t="s">
        <v>425</v>
      </c>
      <c r="J806">
        <v>0</v>
      </c>
      <c r="K806" t="s">
        <v>49</v>
      </c>
      <c r="L806" s="1">
        <f>+Tabla__192.168.1.8_POSEIDONSQL_APPFVT_01_tblFillRateFechas[[#This Row],[emb_cantidad]]-Tabla__192.168.1.8_POSEIDONSQL_APPFVT_01_tblFillRateFechas[[#This Row],[dev_cantidad]]</f>
        <v>2</v>
      </c>
      <c r="M806" s="1">
        <f>+IF(Tabla__192.168.1.8_POSEIDONSQL_APPFVT_01_tblFillRateFechas[[#This Row],[Cant_Resultante]]=Tabla__192.168.1.8_POSEIDONSQL_APPFVT_01_tblFillRateFechas[[#This Row],[cant_order]],1,0)</f>
        <v>1</v>
      </c>
      <c r="N8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6" s="1">
        <f>+IF(AND(Tabla__192.168.1.8_POSEIDONSQL_APPFVT_01_tblFillRateFechas[[#This Row],[Valida Cant]]=1,Tabla__192.168.1.8_POSEIDONSQL_APPFVT_01_tblFillRateFechas[[#This Row],[Valida Fec]]=1),1,0)</f>
        <v>1</v>
      </c>
      <c r="P806" s="1">
        <f>+(Tabla__192.168.1.8_POSEIDONSQL_APPFVT_01_tblFillRateFechas[[#This Row],[Cant_Resultante]]/Tabla__192.168.1.8_POSEIDONSQL_APPFVT_01_tblFillRateFechas[[#This Row],[cant_order]])*100</f>
        <v>100</v>
      </c>
      <c r="Q8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8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8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6" s="1">
        <f>+IF(Tabla__192.168.1.8_POSEIDONSQL_APPFVT_01_tblFillRateFechas[[#This Row],[cant_order]]&gt;0,1,0)</f>
        <v>1</v>
      </c>
      <c r="V806" s="1">
        <f>+IF(Tabla__192.168.1.8_POSEIDONSQL_APPFVT_01_tblFillRateFechas[[#This Row],[Resultado]]=1,1,0)</f>
        <v>1</v>
      </c>
      <c r="W806" s="1" t="str">
        <f>+Tabla__192.168.1.8_POSEIDONSQL_APPFVT_01_tblFillRateFechas[[#This Row],[con_ocnumero]]&amp;Tabla__192.168.1.8_POSEIDONSQL_APPFVT_01_tblFillRateFechas[[#This Row],[con_codigounico]]</f>
        <v>9450545600-</v>
      </c>
      <c r="X8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807" spans="1:24" x14ac:dyDescent="0.25">
      <c r="A807">
        <v>8</v>
      </c>
      <c r="B807" t="s">
        <v>10</v>
      </c>
      <c r="C807">
        <v>9450545633</v>
      </c>
      <c r="D807" t="s">
        <v>427</v>
      </c>
      <c r="E807" t="s">
        <v>1985</v>
      </c>
      <c r="F807" t="s">
        <v>425</v>
      </c>
      <c r="G807">
        <v>1</v>
      </c>
      <c r="H807">
        <v>1</v>
      </c>
      <c r="I807" t="s">
        <v>425</v>
      </c>
      <c r="J807">
        <v>0</v>
      </c>
      <c r="K807" t="s">
        <v>49</v>
      </c>
      <c r="L807" s="1">
        <f>+Tabla__192.168.1.8_POSEIDONSQL_APPFVT_01_tblFillRateFechas[[#This Row],[emb_cantidad]]-Tabla__192.168.1.8_POSEIDONSQL_APPFVT_01_tblFillRateFechas[[#This Row],[dev_cantidad]]</f>
        <v>1</v>
      </c>
      <c r="M807" s="1">
        <f>+IF(Tabla__192.168.1.8_POSEIDONSQL_APPFVT_01_tblFillRateFechas[[#This Row],[Cant_Resultante]]=Tabla__192.168.1.8_POSEIDONSQL_APPFVT_01_tblFillRateFechas[[#This Row],[cant_order]],1,0)</f>
        <v>1</v>
      </c>
      <c r="N8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7" s="1">
        <f>+IF(AND(Tabla__192.168.1.8_POSEIDONSQL_APPFVT_01_tblFillRateFechas[[#This Row],[Valida Cant]]=1,Tabla__192.168.1.8_POSEIDONSQL_APPFVT_01_tblFillRateFechas[[#This Row],[Valida Fec]]=1),1,0)</f>
        <v>1</v>
      </c>
      <c r="P807" s="1">
        <f>+(Tabla__192.168.1.8_POSEIDONSQL_APPFVT_01_tblFillRateFechas[[#This Row],[Cant_Resultante]]/Tabla__192.168.1.8_POSEIDONSQL_APPFVT_01_tblFillRateFechas[[#This Row],[cant_order]])*100</f>
        <v>100</v>
      </c>
      <c r="Q8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7" s="1">
        <f>+IF(Tabla__192.168.1.8_POSEIDONSQL_APPFVT_01_tblFillRateFechas[[#This Row],[cant_order]]&gt;0,1,0)</f>
        <v>1</v>
      </c>
      <c r="V807" s="1">
        <f>+IF(Tabla__192.168.1.8_POSEIDONSQL_APPFVT_01_tblFillRateFechas[[#This Row],[Resultado]]=1,1,0)</f>
        <v>1</v>
      </c>
      <c r="W807" s="1" t="str">
        <f>+Tabla__192.168.1.8_POSEIDONSQL_APPFVT_01_tblFillRateFechas[[#This Row],[con_ocnumero]]&amp;Tabla__192.168.1.8_POSEIDONSQL_APPFVT_01_tblFillRateFechas[[#This Row],[con_codigounico]]</f>
        <v>9450545633-</v>
      </c>
      <c r="X8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8" spans="1:24" x14ac:dyDescent="0.25">
      <c r="A808">
        <v>8</v>
      </c>
      <c r="B808" t="s">
        <v>10</v>
      </c>
      <c r="C808">
        <v>9450545643</v>
      </c>
      <c r="D808" t="s">
        <v>427</v>
      </c>
      <c r="E808" t="s">
        <v>418</v>
      </c>
      <c r="F808" t="s">
        <v>425</v>
      </c>
      <c r="G808">
        <v>1</v>
      </c>
      <c r="H808">
        <v>1</v>
      </c>
      <c r="I808" t="s">
        <v>425</v>
      </c>
      <c r="J808">
        <v>0</v>
      </c>
      <c r="K808" t="s">
        <v>49</v>
      </c>
      <c r="L808" s="1">
        <f>+Tabla__192.168.1.8_POSEIDONSQL_APPFVT_01_tblFillRateFechas[[#This Row],[emb_cantidad]]-Tabla__192.168.1.8_POSEIDONSQL_APPFVT_01_tblFillRateFechas[[#This Row],[dev_cantidad]]</f>
        <v>1</v>
      </c>
      <c r="M808" s="1">
        <f>+IF(Tabla__192.168.1.8_POSEIDONSQL_APPFVT_01_tblFillRateFechas[[#This Row],[Cant_Resultante]]=Tabla__192.168.1.8_POSEIDONSQL_APPFVT_01_tblFillRateFechas[[#This Row],[cant_order]],1,0)</f>
        <v>1</v>
      </c>
      <c r="N8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8" s="1">
        <f>+IF(AND(Tabla__192.168.1.8_POSEIDONSQL_APPFVT_01_tblFillRateFechas[[#This Row],[Valida Cant]]=1,Tabla__192.168.1.8_POSEIDONSQL_APPFVT_01_tblFillRateFechas[[#This Row],[Valida Fec]]=1),1,0)</f>
        <v>1</v>
      </c>
      <c r="P808" s="1">
        <f>+(Tabla__192.168.1.8_POSEIDONSQL_APPFVT_01_tblFillRateFechas[[#This Row],[Cant_Resultante]]/Tabla__192.168.1.8_POSEIDONSQL_APPFVT_01_tblFillRateFechas[[#This Row],[cant_order]])*100</f>
        <v>100</v>
      </c>
      <c r="Q8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8" s="1">
        <f>+IF(Tabla__192.168.1.8_POSEIDONSQL_APPFVT_01_tblFillRateFechas[[#This Row],[cant_order]]&gt;0,1,0)</f>
        <v>1</v>
      </c>
      <c r="V808" s="1">
        <f>+IF(Tabla__192.168.1.8_POSEIDONSQL_APPFVT_01_tblFillRateFechas[[#This Row],[Resultado]]=1,1,0)</f>
        <v>1</v>
      </c>
      <c r="W808" s="1" t="str">
        <f>+Tabla__192.168.1.8_POSEIDONSQL_APPFVT_01_tblFillRateFechas[[#This Row],[con_ocnumero]]&amp;Tabla__192.168.1.8_POSEIDONSQL_APPFVT_01_tblFillRateFechas[[#This Row],[con_codigounico]]</f>
        <v>9450545643-</v>
      </c>
      <c r="X8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09" spans="1:24" x14ac:dyDescent="0.25">
      <c r="A809">
        <v>8</v>
      </c>
      <c r="B809" t="s">
        <v>10</v>
      </c>
      <c r="C809">
        <v>9450545648</v>
      </c>
      <c r="D809" t="s">
        <v>427</v>
      </c>
      <c r="E809" t="s">
        <v>422</v>
      </c>
      <c r="F809" t="s">
        <v>425</v>
      </c>
      <c r="G809">
        <v>16</v>
      </c>
      <c r="H809">
        <v>16</v>
      </c>
      <c r="I809" t="s">
        <v>415</v>
      </c>
      <c r="J809">
        <v>0</v>
      </c>
      <c r="K809" t="s">
        <v>49</v>
      </c>
      <c r="L809" s="1">
        <f>+Tabla__192.168.1.8_POSEIDONSQL_APPFVT_01_tblFillRateFechas[[#This Row],[emb_cantidad]]-Tabla__192.168.1.8_POSEIDONSQL_APPFVT_01_tblFillRateFechas[[#This Row],[dev_cantidad]]</f>
        <v>16</v>
      </c>
      <c r="M809" s="1">
        <f>+IF(Tabla__192.168.1.8_POSEIDONSQL_APPFVT_01_tblFillRateFechas[[#This Row],[Cant_Resultante]]=Tabla__192.168.1.8_POSEIDONSQL_APPFVT_01_tblFillRateFechas[[#This Row],[cant_order]],1,0)</f>
        <v>1</v>
      </c>
      <c r="N8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09" s="1">
        <f>+IF(AND(Tabla__192.168.1.8_POSEIDONSQL_APPFVT_01_tblFillRateFechas[[#This Row],[Valida Cant]]=1,Tabla__192.168.1.8_POSEIDONSQL_APPFVT_01_tblFillRateFechas[[#This Row],[Valida Fec]]=1),1,0)</f>
        <v>1</v>
      </c>
      <c r="P809" s="1">
        <f>+(Tabla__192.168.1.8_POSEIDONSQL_APPFVT_01_tblFillRateFechas[[#This Row],[Cant_Resultante]]/Tabla__192.168.1.8_POSEIDONSQL_APPFVT_01_tblFillRateFechas[[#This Row],[cant_order]])*100</f>
        <v>100</v>
      </c>
      <c r="Q8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16</v>
      </c>
      <c r="R8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16</v>
      </c>
      <c r="T8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09" s="1">
        <f>+IF(Tabla__192.168.1.8_POSEIDONSQL_APPFVT_01_tblFillRateFechas[[#This Row],[cant_order]]&gt;0,1,0)</f>
        <v>1</v>
      </c>
      <c r="V809" s="1">
        <f>+IF(Tabla__192.168.1.8_POSEIDONSQL_APPFVT_01_tblFillRateFechas[[#This Row],[Resultado]]=1,1,0)</f>
        <v>1</v>
      </c>
      <c r="W809" s="1" t="str">
        <f>+Tabla__192.168.1.8_POSEIDONSQL_APPFVT_01_tblFillRateFechas[[#This Row],[con_ocnumero]]&amp;Tabla__192.168.1.8_POSEIDONSQL_APPFVT_01_tblFillRateFechas[[#This Row],[con_codigounico]]</f>
        <v>9450545648-</v>
      </c>
      <c r="X8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16</v>
      </c>
    </row>
    <row r="810" spans="1:24" x14ac:dyDescent="0.25">
      <c r="A810">
        <v>8</v>
      </c>
      <c r="B810" t="s">
        <v>10</v>
      </c>
      <c r="C810">
        <v>9450545672</v>
      </c>
      <c r="D810" t="s">
        <v>425</v>
      </c>
      <c r="E810" t="s">
        <v>422</v>
      </c>
      <c r="F810" t="s">
        <v>426</v>
      </c>
      <c r="G810">
        <v>1</v>
      </c>
      <c r="H810">
        <v>1</v>
      </c>
      <c r="I810" t="s">
        <v>415</v>
      </c>
      <c r="J810">
        <v>0</v>
      </c>
      <c r="K810" t="s">
        <v>49</v>
      </c>
      <c r="L810" s="1">
        <f>+Tabla__192.168.1.8_POSEIDONSQL_APPFVT_01_tblFillRateFechas[[#This Row],[emb_cantidad]]-Tabla__192.168.1.8_POSEIDONSQL_APPFVT_01_tblFillRateFechas[[#This Row],[dev_cantidad]]</f>
        <v>1</v>
      </c>
      <c r="M810" s="1">
        <f>+IF(Tabla__192.168.1.8_POSEIDONSQL_APPFVT_01_tblFillRateFechas[[#This Row],[Cant_Resultante]]=Tabla__192.168.1.8_POSEIDONSQL_APPFVT_01_tblFillRateFechas[[#This Row],[cant_order]],1,0)</f>
        <v>1</v>
      </c>
      <c r="N8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0" s="1">
        <f>+IF(AND(Tabla__192.168.1.8_POSEIDONSQL_APPFVT_01_tblFillRateFechas[[#This Row],[Valida Cant]]=1,Tabla__192.168.1.8_POSEIDONSQL_APPFVT_01_tblFillRateFechas[[#This Row],[Valida Fec]]=1),1,0)</f>
        <v>1</v>
      </c>
      <c r="P810" s="1">
        <f>+(Tabla__192.168.1.8_POSEIDONSQL_APPFVT_01_tblFillRateFechas[[#This Row],[Cant_Resultante]]/Tabla__192.168.1.8_POSEIDONSQL_APPFVT_01_tblFillRateFechas[[#This Row],[cant_order]])*100</f>
        <v>100</v>
      </c>
      <c r="Q8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0" s="1">
        <f>+IF(Tabla__192.168.1.8_POSEIDONSQL_APPFVT_01_tblFillRateFechas[[#This Row],[cant_order]]&gt;0,1,0)</f>
        <v>1</v>
      </c>
      <c r="V810" s="1">
        <f>+IF(Tabla__192.168.1.8_POSEIDONSQL_APPFVT_01_tblFillRateFechas[[#This Row],[Resultado]]=1,1,0)</f>
        <v>1</v>
      </c>
      <c r="W810" s="1" t="str">
        <f>+Tabla__192.168.1.8_POSEIDONSQL_APPFVT_01_tblFillRateFechas[[#This Row],[con_ocnumero]]&amp;Tabla__192.168.1.8_POSEIDONSQL_APPFVT_01_tblFillRateFechas[[#This Row],[con_codigounico]]</f>
        <v>9450545672-</v>
      </c>
      <c r="X8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1" spans="1:24" x14ac:dyDescent="0.25">
      <c r="A811">
        <v>8</v>
      </c>
      <c r="B811" t="s">
        <v>10</v>
      </c>
      <c r="C811">
        <v>9450545673</v>
      </c>
      <c r="D811" t="s">
        <v>425</v>
      </c>
      <c r="E811" t="s">
        <v>1985</v>
      </c>
      <c r="F811" t="s">
        <v>426</v>
      </c>
      <c r="G811">
        <v>1</v>
      </c>
      <c r="H811">
        <v>1</v>
      </c>
      <c r="I811" t="s">
        <v>415</v>
      </c>
      <c r="J811">
        <v>0</v>
      </c>
      <c r="K811" t="s">
        <v>49</v>
      </c>
      <c r="L811" s="1">
        <f>+Tabla__192.168.1.8_POSEIDONSQL_APPFVT_01_tblFillRateFechas[[#This Row],[emb_cantidad]]-Tabla__192.168.1.8_POSEIDONSQL_APPFVT_01_tblFillRateFechas[[#This Row],[dev_cantidad]]</f>
        <v>1</v>
      </c>
      <c r="M811" s="1">
        <f>+IF(Tabla__192.168.1.8_POSEIDONSQL_APPFVT_01_tblFillRateFechas[[#This Row],[Cant_Resultante]]=Tabla__192.168.1.8_POSEIDONSQL_APPFVT_01_tblFillRateFechas[[#This Row],[cant_order]],1,0)</f>
        <v>1</v>
      </c>
      <c r="N8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11" s="1">
        <f>+IF(AND(Tabla__192.168.1.8_POSEIDONSQL_APPFVT_01_tblFillRateFechas[[#This Row],[Valida Cant]]=1,Tabla__192.168.1.8_POSEIDONSQL_APPFVT_01_tblFillRateFechas[[#This Row],[Valida Fec]]=1),1,0)</f>
        <v>0</v>
      </c>
      <c r="P811" s="1">
        <f>+(Tabla__192.168.1.8_POSEIDONSQL_APPFVT_01_tblFillRateFechas[[#This Row],[Cant_Resultante]]/Tabla__192.168.1.8_POSEIDONSQL_APPFVT_01_tblFillRateFechas[[#This Row],[cant_order]])*100</f>
        <v>100</v>
      </c>
      <c r="Q8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1" s="1">
        <f>+IF(Tabla__192.168.1.8_POSEIDONSQL_APPFVT_01_tblFillRateFechas[[#This Row],[cant_order]]&gt;0,1,0)</f>
        <v>1</v>
      </c>
      <c r="V811" s="1">
        <f>+IF(Tabla__192.168.1.8_POSEIDONSQL_APPFVT_01_tblFillRateFechas[[#This Row],[Resultado]]=1,1,0)</f>
        <v>0</v>
      </c>
      <c r="W811" s="1" t="str">
        <f>+Tabla__192.168.1.8_POSEIDONSQL_APPFVT_01_tblFillRateFechas[[#This Row],[con_ocnumero]]&amp;Tabla__192.168.1.8_POSEIDONSQL_APPFVT_01_tblFillRateFechas[[#This Row],[con_codigounico]]</f>
        <v>9450545673-</v>
      </c>
      <c r="X8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2" spans="1:24" x14ac:dyDescent="0.25">
      <c r="A812">
        <v>8</v>
      </c>
      <c r="B812" t="s">
        <v>10</v>
      </c>
      <c r="C812">
        <v>9450545722</v>
      </c>
      <c r="D812" t="s">
        <v>426</v>
      </c>
      <c r="E812" t="s">
        <v>423</v>
      </c>
      <c r="F812" t="s">
        <v>415</v>
      </c>
      <c r="G812">
        <v>1</v>
      </c>
      <c r="H812">
        <v>1</v>
      </c>
      <c r="I812" t="s">
        <v>416</v>
      </c>
      <c r="J812">
        <v>0</v>
      </c>
      <c r="K812" t="s">
        <v>49</v>
      </c>
      <c r="L812" s="1">
        <f>+Tabla__192.168.1.8_POSEIDONSQL_APPFVT_01_tblFillRateFechas[[#This Row],[emb_cantidad]]-Tabla__192.168.1.8_POSEIDONSQL_APPFVT_01_tblFillRateFechas[[#This Row],[dev_cantidad]]</f>
        <v>1</v>
      </c>
      <c r="M812" s="1">
        <f>+IF(Tabla__192.168.1.8_POSEIDONSQL_APPFVT_01_tblFillRateFechas[[#This Row],[Cant_Resultante]]=Tabla__192.168.1.8_POSEIDONSQL_APPFVT_01_tblFillRateFechas[[#This Row],[cant_order]],1,0)</f>
        <v>1</v>
      </c>
      <c r="N8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2" s="1">
        <f>+IF(AND(Tabla__192.168.1.8_POSEIDONSQL_APPFVT_01_tblFillRateFechas[[#This Row],[Valida Cant]]=1,Tabla__192.168.1.8_POSEIDONSQL_APPFVT_01_tblFillRateFechas[[#This Row],[Valida Fec]]=1),1,0)</f>
        <v>1</v>
      </c>
      <c r="P812" s="1">
        <f>+(Tabla__192.168.1.8_POSEIDONSQL_APPFVT_01_tblFillRateFechas[[#This Row],[Cant_Resultante]]/Tabla__192.168.1.8_POSEIDONSQL_APPFVT_01_tblFillRateFechas[[#This Row],[cant_order]])*100</f>
        <v>100</v>
      </c>
      <c r="Q8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2" s="1">
        <f>+IF(Tabla__192.168.1.8_POSEIDONSQL_APPFVT_01_tblFillRateFechas[[#This Row],[cant_order]]&gt;0,1,0)</f>
        <v>1</v>
      </c>
      <c r="V812" s="1">
        <f>+IF(Tabla__192.168.1.8_POSEIDONSQL_APPFVT_01_tblFillRateFechas[[#This Row],[Resultado]]=1,1,0)</f>
        <v>1</v>
      </c>
      <c r="W812" s="1" t="str">
        <f>+Tabla__192.168.1.8_POSEIDONSQL_APPFVT_01_tblFillRateFechas[[#This Row],[con_ocnumero]]&amp;Tabla__192.168.1.8_POSEIDONSQL_APPFVT_01_tblFillRateFechas[[#This Row],[con_codigounico]]</f>
        <v>9450545722-</v>
      </c>
      <c r="X8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3" spans="1:24" x14ac:dyDescent="0.25">
      <c r="A813">
        <v>8</v>
      </c>
      <c r="B813" t="s">
        <v>10</v>
      </c>
      <c r="C813">
        <v>9450545739</v>
      </c>
      <c r="D813" t="s">
        <v>426</v>
      </c>
      <c r="E813" t="s">
        <v>416</v>
      </c>
      <c r="F813" t="s">
        <v>415</v>
      </c>
      <c r="G813">
        <v>1</v>
      </c>
      <c r="H813">
        <v>1</v>
      </c>
      <c r="I813" t="s">
        <v>416</v>
      </c>
      <c r="J813">
        <v>0</v>
      </c>
      <c r="K813" t="s">
        <v>49</v>
      </c>
      <c r="L813" s="1">
        <f>+Tabla__192.168.1.8_POSEIDONSQL_APPFVT_01_tblFillRateFechas[[#This Row],[emb_cantidad]]-Tabla__192.168.1.8_POSEIDONSQL_APPFVT_01_tblFillRateFechas[[#This Row],[dev_cantidad]]</f>
        <v>1</v>
      </c>
      <c r="M813" s="1">
        <f>+IF(Tabla__192.168.1.8_POSEIDONSQL_APPFVT_01_tblFillRateFechas[[#This Row],[Cant_Resultante]]=Tabla__192.168.1.8_POSEIDONSQL_APPFVT_01_tblFillRateFechas[[#This Row],[cant_order]],1,0)</f>
        <v>1</v>
      </c>
      <c r="N8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3" s="1">
        <f>+IF(AND(Tabla__192.168.1.8_POSEIDONSQL_APPFVT_01_tblFillRateFechas[[#This Row],[Valida Cant]]=1,Tabla__192.168.1.8_POSEIDONSQL_APPFVT_01_tblFillRateFechas[[#This Row],[Valida Fec]]=1),1,0)</f>
        <v>1</v>
      </c>
      <c r="P813" s="1">
        <f>+(Tabla__192.168.1.8_POSEIDONSQL_APPFVT_01_tblFillRateFechas[[#This Row],[Cant_Resultante]]/Tabla__192.168.1.8_POSEIDONSQL_APPFVT_01_tblFillRateFechas[[#This Row],[cant_order]])*100</f>
        <v>100</v>
      </c>
      <c r="Q8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3" s="1">
        <f>+IF(Tabla__192.168.1.8_POSEIDONSQL_APPFVT_01_tblFillRateFechas[[#This Row],[cant_order]]&gt;0,1,0)</f>
        <v>1</v>
      </c>
      <c r="V813" s="1">
        <f>+IF(Tabla__192.168.1.8_POSEIDONSQL_APPFVT_01_tblFillRateFechas[[#This Row],[Resultado]]=1,1,0)</f>
        <v>1</v>
      </c>
      <c r="W813" s="1" t="str">
        <f>+Tabla__192.168.1.8_POSEIDONSQL_APPFVT_01_tblFillRateFechas[[#This Row],[con_ocnumero]]&amp;Tabla__192.168.1.8_POSEIDONSQL_APPFVT_01_tblFillRateFechas[[#This Row],[con_codigounico]]</f>
        <v>9450545739-</v>
      </c>
      <c r="X8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4" spans="1:24" x14ac:dyDescent="0.25">
      <c r="A814">
        <v>8</v>
      </c>
      <c r="B814" t="s">
        <v>10</v>
      </c>
      <c r="C814">
        <v>9450545918</v>
      </c>
      <c r="D814" t="s">
        <v>415</v>
      </c>
      <c r="E814" t="s">
        <v>420</v>
      </c>
      <c r="F814" t="s">
        <v>422</v>
      </c>
      <c r="G814">
        <v>1</v>
      </c>
      <c r="H814">
        <v>1</v>
      </c>
      <c r="I814" t="s">
        <v>419</v>
      </c>
      <c r="J814">
        <v>0</v>
      </c>
      <c r="K814" t="s">
        <v>49</v>
      </c>
      <c r="L814" s="1">
        <f>+Tabla__192.168.1.8_POSEIDONSQL_APPFVT_01_tblFillRateFechas[[#This Row],[emb_cantidad]]-Tabla__192.168.1.8_POSEIDONSQL_APPFVT_01_tblFillRateFechas[[#This Row],[dev_cantidad]]</f>
        <v>1</v>
      </c>
      <c r="M814" s="1">
        <f>+IF(Tabla__192.168.1.8_POSEIDONSQL_APPFVT_01_tblFillRateFechas[[#This Row],[Cant_Resultante]]=Tabla__192.168.1.8_POSEIDONSQL_APPFVT_01_tblFillRateFechas[[#This Row],[cant_order]],1,0)</f>
        <v>1</v>
      </c>
      <c r="N8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4" s="1">
        <f>+IF(AND(Tabla__192.168.1.8_POSEIDONSQL_APPFVT_01_tblFillRateFechas[[#This Row],[Valida Cant]]=1,Tabla__192.168.1.8_POSEIDONSQL_APPFVT_01_tblFillRateFechas[[#This Row],[Valida Fec]]=1),1,0)</f>
        <v>1</v>
      </c>
      <c r="P814" s="1">
        <f>+(Tabla__192.168.1.8_POSEIDONSQL_APPFVT_01_tblFillRateFechas[[#This Row],[Cant_Resultante]]/Tabla__192.168.1.8_POSEIDONSQL_APPFVT_01_tblFillRateFechas[[#This Row],[cant_order]])*100</f>
        <v>100</v>
      </c>
      <c r="Q8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4" s="1">
        <f>+IF(Tabla__192.168.1.8_POSEIDONSQL_APPFVT_01_tblFillRateFechas[[#This Row],[cant_order]]&gt;0,1,0)</f>
        <v>1</v>
      </c>
      <c r="V814" s="1">
        <f>+IF(Tabla__192.168.1.8_POSEIDONSQL_APPFVT_01_tblFillRateFechas[[#This Row],[Resultado]]=1,1,0)</f>
        <v>1</v>
      </c>
      <c r="W814" s="1" t="str">
        <f>+Tabla__192.168.1.8_POSEIDONSQL_APPFVT_01_tblFillRateFechas[[#This Row],[con_ocnumero]]&amp;Tabla__192.168.1.8_POSEIDONSQL_APPFVT_01_tblFillRateFechas[[#This Row],[con_codigounico]]</f>
        <v>9450545918-</v>
      </c>
      <c r="X8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5" spans="1:24" x14ac:dyDescent="0.25">
      <c r="A815">
        <v>9</v>
      </c>
      <c r="B815" t="s">
        <v>48</v>
      </c>
      <c r="C815">
        <v>9175816</v>
      </c>
      <c r="D815" t="s">
        <v>12</v>
      </c>
      <c r="E815" t="s">
        <v>1977</v>
      </c>
      <c r="F815" t="s">
        <v>12</v>
      </c>
      <c r="G815">
        <v>1</v>
      </c>
      <c r="H815">
        <v>1</v>
      </c>
      <c r="I815" t="s">
        <v>1987</v>
      </c>
      <c r="J815">
        <v>0</v>
      </c>
      <c r="K815" t="s">
        <v>49</v>
      </c>
      <c r="L815" s="1">
        <f>+Tabla__192.168.1.8_POSEIDONSQL_APPFVT_01_tblFillRateFechas[[#This Row],[emb_cantidad]]-Tabla__192.168.1.8_POSEIDONSQL_APPFVT_01_tblFillRateFechas[[#This Row],[dev_cantidad]]</f>
        <v>1</v>
      </c>
      <c r="M815" s="1">
        <f>+IF(Tabla__192.168.1.8_POSEIDONSQL_APPFVT_01_tblFillRateFechas[[#This Row],[Cant_Resultante]]=Tabla__192.168.1.8_POSEIDONSQL_APPFVT_01_tblFillRateFechas[[#This Row],[cant_order]],1,0)</f>
        <v>1</v>
      </c>
      <c r="N8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5" s="1">
        <f>+IF(AND(Tabla__192.168.1.8_POSEIDONSQL_APPFVT_01_tblFillRateFechas[[#This Row],[Valida Cant]]=1,Tabla__192.168.1.8_POSEIDONSQL_APPFVT_01_tblFillRateFechas[[#This Row],[Valida Fec]]=1),1,0)</f>
        <v>1</v>
      </c>
      <c r="P815" s="1">
        <f>+(Tabla__192.168.1.8_POSEIDONSQL_APPFVT_01_tblFillRateFechas[[#This Row],[Cant_Resultante]]/Tabla__192.168.1.8_POSEIDONSQL_APPFVT_01_tblFillRateFechas[[#This Row],[cant_order]])*100</f>
        <v>100</v>
      </c>
      <c r="Q8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5" s="1">
        <f>+IF(Tabla__192.168.1.8_POSEIDONSQL_APPFVT_01_tblFillRateFechas[[#This Row],[cant_order]]&gt;0,1,0)</f>
        <v>1</v>
      </c>
      <c r="V815" s="1">
        <f>+IF(Tabla__192.168.1.8_POSEIDONSQL_APPFVT_01_tblFillRateFechas[[#This Row],[Resultado]]=1,1,0)</f>
        <v>1</v>
      </c>
      <c r="W815" s="1" t="str">
        <f>+Tabla__192.168.1.8_POSEIDONSQL_APPFVT_01_tblFillRateFechas[[#This Row],[con_ocnumero]]&amp;Tabla__192.168.1.8_POSEIDONSQL_APPFVT_01_tblFillRateFechas[[#This Row],[con_codigounico]]</f>
        <v>9175816-</v>
      </c>
      <c r="X8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6" spans="1:24" x14ac:dyDescent="0.25">
      <c r="A816">
        <v>9</v>
      </c>
      <c r="B816" t="s">
        <v>48</v>
      </c>
      <c r="C816">
        <v>9176737</v>
      </c>
      <c r="D816" t="s">
        <v>12</v>
      </c>
      <c r="E816" t="s">
        <v>1962</v>
      </c>
      <c r="F816" t="s">
        <v>12</v>
      </c>
      <c r="G816">
        <v>1</v>
      </c>
      <c r="H816">
        <v>1</v>
      </c>
      <c r="I816" t="s">
        <v>1987</v>
      </c>
      <c r="J816">
        <v>0</v>
      </c>
      <c r="K816" t="s">
        <v>49</v>
      </c>
      <c r="L816" s="1">
        <f>+Tabla__192.168.1.8_POSEIDONSQL_APPFVT_01_tblFillRateFechas[[#This Row],[emb_cantidad]]-Tabla__192.168.1.8_POSEIDONSQL_APPFVT_01_tblFillRateFechas[[#This Row],[dev_cantidad]]</f>
        <v>1</v>
      </c>
      <c r="M816" s="1">
        <f>+IF(Tabla__192.168.1.8_POSEIDONSQL_APPFVT_01_tblFillRateFechas[[#This Row],[Cant_Resultante]]=Tabla__192.168.1.8_POSEIDONSQL_APPFVT_01_tblFillRateFechas[[#This Row],[cant_order]],1,0)</f>
        <v>1</v>
      </c>
      <c r="N8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6" s="1">
        <f>+IF(AND(Tabla__192.168.1.8_POSEIDONSQL_APPFVT_01_tblFillRateFechas[[#This Row],[Valida Cant]]=1,Tabla__192.168.1.8_POSEIDONSQL_APPFVT_01_tblFillRateFechas[[#This Row],[Valida Fec]]=1),1,0)</f>
        <v>1</v>
      </c>
      <c r="P816" s="1">
        <f>+(Tabla__192.168.1.8_POSEIDONSQL_APPFVT_01_tblFillRateFechas[[#This Row],[Cant_Resultante]]/Tabla__192.168.1.8_POSEIDONSQL_APPFVT_01_tblFillRateFechas[[#This Row],[cant_order]])*100</f>
        <v>100</v>
      </c>
      <c r="Q8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6" s="1">
        <f>+IF(Tabla__192.168.1.8_POSEIDONSQL_APPFVT_01_tblFillRateFechas[[#This Row],[cant_order]]&gt;0,1,0)</f>
        <v>1</v>
      </c>
      <c r="V816" s="1">
        <f>+IF(Tabla__192.168.1.8_POSEIDONSQL_APPFVT_01_tblFillRateFechas[[#This Row],[Resultado]]=1,1,0)</f>
        <v>1</v>
      </c>
      <c r="W816" s="1" t="str">
        <f>+Tabla__192.168.1.8_POSEIDONSQL_APPFVT_01_tblFillRateFechas[[#This Row],[con_ocnumero]]&amp;Tabla__192.168.1.8_POSEIDONSQL_APPFVT_01_tblFillRateFechas[[#This Row],[con_codigounico]]</f>
        <v>9176737-</v>
      </c>
      <c r="X8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7" spans="1:24" x14ac:dyDescent="0.25">
      <c r="A817">
        <v>9</v>
      </c>
      <c r="B817" t="s">
        <v>48</v>
      </c>
      <c r="C817">
        <v>9179737</v>
      </c>
      <c r="D817" t="s">
        <v>12</v>
      </c>
      <c r="E817" t="s">
        <v>161</v>
      </c>
      <c r="F817" t="s">
        <v>12</v>
      </c>
      <c r="G817">
        <v>1</v>
      </c>
      <c r="H817">
        <v>1</v>
      </c>
      <c r="I817" t="s">
        <v>1988</v>
      </c>
      <c r="J817">
        <v>0</v>
      </c>
      <c r="K817" t="s">
        <v>49</v>
      </c>
      <c r="L817" s="1">
        <f>+Tabla__192.168.1.8_POSEIDONSQL_APPFVT_01_tblFillRateFechas[[#This Row],[emb_cantidad]]-Tabla__192.168.1.8_POSEIDONSQL_APPFVT_01_tblFillRateFechas[[#This Row],[dev_cantidad]]</f>
        <v>1</v>
      </c>
      <c r="M817" s="1">
        <f>+IF(Tabla__192.168.1.8_POSEIDONSQL_APPFVT_01_tblFillRateFechas[[#This Row],[Cant_Resultante]]=Tabla__192.168.1.8_POSEIDONSQL_APPFVT_01_tblFillRateFechas[[#This Row],[cant_order]],1,0)</f>
        <v>1</v>
      </c>
      <c r="N8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7" s="1">
        <f>+IF(AND(Tabla__192.168.1.8_POSEIDONSQL_APPFVT_01_tblFillRateFechas[[#This Row],[Valida Cant]]=1,Tabla__192.168.1.8_POSEIDONSQL_APPFVT_01_tblFillRateFechas[[#This Row],[Valida Fec]]=1),1,0)</f>
        <v>1</v>
      </c>
      <c r="P817" s="1">
        <f>+(Tabla__192.168.1.8_POSEIDONSQL_APPFVT_01_tblFillRateFechas[[#This Row],[Cant_Resultante]]/Tabla__192.168.1.8_POSEIDONSQL_APPFVT_01_tblFillRateFechas[[#This Row],[cant_order]])*100</f>
        <v>100</v>
      </c>
      <c r="Q8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7" s="1">
        <f>+IF(Tabla__192.168.1.8_POSEIDONSQL_APPFVT_01_tblFillRateFechas[[#This Row],[cant_order]]&gt;0,1,0)</f>
        <v>1</v>
      </c>
      <c r="V817" s="1">
        <f>+IF(Tabla__192.168.1.8_POSEIDONSQL_APPFVT_01_tblFillRateFechas[[#This Row],[Resultado]]=1,1,0)</f>
        <v>1</v>
      </c>
      <c r="W817" s="1" t="str">
        <f>+Tabla__192.168.1.8_POSEIDONSQL_APPFVT_01_tblFillRateFechas[[#This Row],[con_ocnumero]]&amp;Tabla__192.168.1.8_POSEIDONSQL_APPFVT_01_tblFillRateFechas[[#This Row],[con_codigounico]]</f>
        <v>9179737-</v>
      </c>
      <c r="X8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8" spans="1:24" x14ac:dyDescent="0.25">
      <c r="A818">
        <v>9</v>
      </c>
      <c r="B818" t="s">
        <v>48</v>
      </c>
      <c r="C818">
        <v>9179840</v>
      </c>
      <c r="D818" t="s">
        <v>12</v>
      </c>
      <c r="E818" t="s">
        <v>161</v>
      </c>
      <c r="F818" t="s">
        <v>12</v>
      </c>
      <c r="G818">
        <v>1</v>
      </c>
      <c r="H818">
        <v>1</v>
      </c>
      <c r="I818" t="s">
        <v>1962</v>
      </c>
      <c r="J818">
        <v>0</v>
      </c>
      <c r="K818" t="s">
        <v>49</v>
      </c>
      <c r="L818" s="1">
        <f>+Tabla__192.168.1.8_POSEIDONSQL_APPFVT_01_tblFillRateFechas[[#This Row],[emb_cantidad]]-Tabla__192.168.1.8_POSEIDONSQL_APPFVT_01_tblFillRateFechas[[#This Row],[dev_cantidad]]</f>
        <v>1</v>
      </c>
      <c r="M818" s="1">
        <f>+IF(Tabla__192.168.1.8_POSEIDONSQL_APPFVT_01_tblFillRateFechas[[#This Row],[Cant_Resultante]]=Tabla__192.168.1.8_POSEIDONSQL_APPFVT_01_tblFillRateFechas[[#This Row],[cant_order]],1,0)</f>
        <v>1</v>
      </c>
      <c r="N8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8" s="1">
        <f>+IF(AND(Tabla__192.168.1.8_POSEIDONSQL_APPFVT_01_tblFillRateFechas[[#This Row],[Valida Cant]]=1,Tabla__192.168.1.8_POSEIDONSQL_APPFVT_01_tblFillRateFechas[[#This Row],[Valida Fec]]=1),1,0)</f>
        <v>1</v>
      </c>
      <c r="P818" s="1">
        <f>+(Tabla__192.168.1.8_POSEIDONSQL_APPFVT_01_tblFillRateFechas[[#This Row],[Cant_Resultante]]/Tabla__192.168.1.8_POSEIDONSQL_APPFVT_01_tblFillRateFechas[[#This Row],[cant_order]])*100</f>
        <v>100</v>
      </c>
      <c r="Q8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8" s="1">
        <f>+IF(Tabla__192.168.1.8_POSEIDONSQL_APPFVT_01_tblFillRateFechas[[#This Row],[cant_order]]&gt;0,1,0)</f>
        <v>1</v>
      </c>
      <c r="V818" s="1">
        <f>+IF(Tabla__192.168.1.8_POSEIDONSQL_APPFVT_01_tblFillRateFechas[[#This Row],[Resultado]]=1,1,0)</f>
        <v>1</v>
      </c>
      <c r="W818" s="1" t="str">
        <f>+Tabla__192.168.1.8_POSEIDONSQL_APPFVT_01_tblFillRateFechas[[#This Row],[con_ocnumero]]&amp;Tabla__192.168.1.8_POSEIDONSQL_APPFVT_01_tblFillRateFechas[[#This Row],[con_codigounico]]</f>
        <v>9179840-</v>
      </c>
      <c r="X8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19" spans="1:24" x14ac:dyDescent="0.25">
      <c r="A819">
        <v>9</v>
      </c>
      <c r="B819" t="s">
        <v>48</v>
      </c>
      <c r="C819">
        <v>9180949</v>
      </c>
      <c r="D819" t="s">
        <v>12</v>
      </c>
      <c r="E819" t="s">
        <v>428</v>
      </c>
      <c r="F819" t="s">
        <v>12</v>
      </c>
      <c r="G819">
        <v>1</v>
      </c>
      <c r="H819">
        <v>1</v>
      </c>
      <c r="I819" t="s">
        <v>1986</v>
      </c>
      <c r="J819">
        <v>0</v>
      </c>
      <c r="K819" t="s">
        <v>49</v>
      </c>
      <c r="L819" s="1">
        <f>+Tabla__192.168.1.8_POSEIDONSQL_APPFVT_01_tblFillRateFechas[[#This Row],[emb_cantidad]]-Tabla__192.168.1.8_POSEIDONSQL_APPFVT_01_tblFillRateFechas[[#This Row],[dev_cantidad]]</f>
        <v>1</v>
      </c>
      <c r="M819" s="1">
        <f>+IF(Tabla__192.168.1.8_POSEIDONSQL_APPFVT_01_tblFillRateFechas[[#This Row],[Cant_Resultante]]=Tabla__192.168.1.8_POSEIDONSQL_APPFVT_01_tblFillRateFechas[[#This Row],[cant_order]],1,0)</f>
        <v>1</v>
      </c>
      <c r="N8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19" s="1">
        <f>+IF(AND(Tabla__192.168.1.8_POSEIDONSQL_APPFVT_01_tblFillRateFechas[[#This Row],[Valida Cant]]=1,Tabla__192.168.1.8_POSEIDONSQL_APPFVT_01_tblFillRateFechas[[#This Row],[Valida Fec]]=1),1,0)</f>
        <v>1</v>
      </c>
      <c r="P819" s="1">
        <f>+(Tabla__192.168.1.8_POSEIDONSQL_APPFVT_01_tblFillRateFechas[[#This Row],[Cant_Resultante]]/Tabla__192.168.1.8_POSEIDONSQL_APPFVT_01_tblFillRateFechas[[#This Row],[cant_order]])*100</f>
        <v>100</v>
      </c>
      <c r="Q8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19" s="1">
        <f>+IF(Tabla__192.168.1.8_POSEIDONSQL_APPFVT_01_tblFillRateFechas[[#This Row],[cant_order]]&gt;0,1,0)</f>
        <v>1</v>
      </c>
      <c r="V819" s="1">
        <f>+IF(Tabla__192.168.1.8_POSEIDONSQL_APPFVT_01_tblFillRateFechas[[#This Row],[Resultado]]=1,1,0)</f>
        <v>1</v>
      </c>
      <c r="W819" s="1" t="str">
        <f>+Tabla__192.168.1.8_POSEIDONSQL_APPFVT_01_tblFillRateFechas[[#This Row],[con_ocnumero]]&amp;Tabla__192.168.1.8_POSEIDONSQL_APPFVT_01_tblFillRateFechas[[#This Row],[con_codigounico]]</f>
        <v>9180949-</v>
      </c>
      <c r="X8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20" spans="1:24" x14ac:dyDescent="0.25">
      <c r="A820">
        <v>9</v>
      </c>
      <c r="B820" t="s">
        <v>48</v>
      </c>
      <c r="C820">
        <v>9181883</v>
      </c>
      <c r="D820" t="s">
        <v>12</v>
      </c>
      <c r="E820" t="s">
        <v>1982</v>
      </c>
      <c r="F820" t="s">
        <v>12</v>
      </c>
      <c r="G820">
        <v>1</v>
      </c>
      <c r="H820">
        <v>1</v>
      </c>
      <c r="I820" t="s">
        <v>1972</v>
      </c>
      <c r="J820">
        <v>0</v>
      </c>
      <c r="K820" t="s">
        <v>49</v>
      </c>
      <c r="L820" s="1">
        <f>+Tabla__192.168.1.8_POSEIDONSQL_APPFVT_01_tblFillRateFechas[[#This Row],[emb_cantidad]]-Tabla__192.168.1.8_POSEIDONSQL_APPFVT_01_tblFillRateFechas[[#This Row],[dev_cantidad]]</f>
        <v>1</v>
      </c>
      <c r="M820" s="1">
        <f>+IF(Tabla__192.168.1.8_POSEIDONSQL_APPFVT_01_tblFillRateFechas[[#This Row],[Cant_Resultante]]=Tabla__192.168.1.8_POSEIDONSQL_APPFVT_01_tblFillRateFechas[[#This Row],[cant_order]],1,0)</f>
        <v>1</v>
      </c>
      <c r="N8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0" s="1">
        <f>+IF(AND(Tabla__192.168.1.8_POSEIDONSQL_APPFVT_01_tblFillRateFechas[[#This Row],[Valida Cant]]=1,Tabla__192.168.1.8_POSEIDONSQL_APPFVT_01_tblFillRateFechas[[#This Row],[Valida Fec]]=1),1,0)</f>
        <v>1</v>
      </c>
      <c r="P820" s="1">
        <f>+(Tabla__192.168.1.8_POSEIDONSQL_APPFVT_01_tblFillRateFechas[[#This Row],[Cant_Resultante]]/Tabla__192.168.1.8_POSEIDONSQL_APPFVT_01_tblFillRateFechas[[#This Row],[cant_order]])*100</f>
        <v>100</v>
      </c>
      <c r="Q8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0" s="1">
        <f>+IF(Tabla__192.168.1.8_POSEIDONSQL_APPFVT_01_tblFillRateFechas[[#This Row],[cant_order]]&gt;0,1,0)</f>
        <v>1</v>
      </c>
      <c r="V820" s="1">
        <f>+IF(Tabla__192.168.1.8_POSEIDONSQL_APPFVT_01_tblFillRateFechas[[#This Row],[Resultado]]=1,1,0)</f>
        <v>1</v>
      </c>
      <c r="W820" s="1" t="str">
        <f>+Tabla__192.168.1.8_POSEIDONSQL_APPFVT_01_tblFillRateFechas[[#This Row],[con_ocnumero]]&amp;Tabla__192.168.1.8_POSEIDONSQL_APPFVT_01_tblFillRateFechas[[#This Row],[con_codigounico]]</f>
        <v>9181883-</v>
      </c>
      <c r="X8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21" spans="1:24" x14ac:dyDescent="0.25">
      <c r="A821">
        <v>9</v>
      </c>
      <c r="B821" t="s">
        <v>48</v>
      </c>
      <c r="C821">
        <v>9182636</v>
      </c>
      <c r="D821" t="s">
        <v>12</v>
      </c>
      <c r="E821" t="s">
        <v>429</v>
      </c>
      <c r="F821" t="s">
        <v>12</v>
      </c>
      <c r="G821">
        <v>1</v>
      </c>
      <c r="H821">
        <v>1</v>
      </c>
      <c r="I821" t="s">
        <v>1972</v>
      </c>
      <c r="J821">
        <v>0</v>
      </c>
      <c r="K821" t="s">
        <v>49</v>
      </c>
      <c r="L821" s="1">
        <f>+Tabla__192.168.1.8_POSEIDONSQL_APPFVT_01_tblFillRateFechas[[#This Row],[emb_cantidad]]-Tabla__192.168.1.8_POSEIDONSQL_APPFVT_01_tblFillRateFechas[[#This Row],[dev_cantidad]]</f>
        <v>1</v>
      </c>
      <c r="M821" s="1">
        <f>+IF(Tabla__192.168.1.8_POSEIDONSQL_APPFVT_01_tblFillRateFechas[[#This Row],[Cant_Resultante]]=Tabla__192.168.1.8_POSEIDONSQL_APPFVT_01_tblFillRateFechas[[#This Row],[cant_order]],1,0)</f>
        <v>1</v>
      </c>
      <c r="N8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1" s="1">
        <f>+IF(AND(Tabla__192.168.1.8_POSEIDONSQL_APPFVT_01_tblFillRateFechas[[#This Row],[Valida Cant]]=1,Tabla__192.168.1.8_POSEIDONSQL_APPFVT_01_tblFillRateFechas[[#This Row],[Valida Fec]]=1),1,0)</f>
        <v>1</v>
      </c>
      <c r="P821" s="1">
        <f>+(Tabla__192.168.1.8_POSEIDONSQL_APPFVT_01_tblFillRateFechas[[#This Row],[Cant_Resultante]]/Tabla__192.168.1.8_POSEIDONSQL_APPFVT_01_tblFillRateFechas[[#This Row],[cant_order]])*100</f>
        <v>100</v>
      </c>
      <c r="Q8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1" s="1">
        <f>+IF(Tabla__192.168.1.8_POSEIDONSQL_APPFVT_01_tblFillRateFechas[[#This Row],[cant_order]]&gt;0,1,0)</f>
        <v>1</v>
      </c>
      <c r="V821" s="1">
        <f>+IF(Tabla__192.168.1.8_POSEIDONSQL_APPFVT_01_tblFillRateFechas[[#This Row],[Resultado]]=1,1,0)</f>
        <v>1</v>
      </c>
      <c r="W821" s="1" t="str">
        <f>+Tabla__192.168.1.8_POSEIDONSQL_APPFVT_01_tblFillRateFechas[[#This Row],[con_ocnumero]]&amp;Tabla__192.168.1.8_POSEIDONSQL_APPFVT_01_tblFillRateFechas[[#This Row],[con_codigounico]]</f>
        <v>9182636-</v>
      </c>
      <c r="X8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22" spans="1:24" x14ac:dyDescent="0.25">
      <c r="A822">
        <v>9</v>
      </c>
      <c r="B822" t="s">
        <v>48</v>
      </c>
      <c r="C822">
        <v>9189076</v>
      </c>
      <c r="D822" t="s">
        <v>1967</v>
      </c>
      <c r="E822" t="s">
        <v>418</v>
      </c>
      <c r="F822" t="s">
        <v>1968</v>
      </c>
      <c r="G822">
        <v>1</v>
      </c>
      <c r="H822">
        <v>1</v>
      </c>
      <c r="I822" t="s">
        <v>1980</v>
      </c>
      <c r="J822">
        <v>0</v>
      </c>
      <c r="K822" t="s">
        <v>49</v>
      </c>
      <c r="L822" s="1">
        <f>+Tabla__192.168.1.8_POSEIDONSQL_APPFVT_01_tblFillRateFechas[[#This Row],[emb_cantidad]]-Tabla__192.168.1.8_POSEIDONSQL_APPFVT_01_tblFillRateFechas[[#This Row],[dev_cantidad]]</f>
        <v>1</v>
      </c>
      <c r="M822" s="1">
        <f>+IF(Tabla__192.168.1.8_POSEIDONSQL_APPFVT_01_tblFillRateFechas[[#This Row],[Cant_Resultante]]=Tabla__192.168.1.8_POSEIDONSQL_APPFVT_01_tblFillRateFechas[[#This Row],[cant_order]],1,0)</f>
        <v>1</v>
      </c>
      <c r="N8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2" s="1">
        <f>+IF(AND(Tabla__192.168.1.8_POSEIDONSQL_APPFVT_01_tblFillRateFechas[[#This Row],[Valida Cant]]=1,Tabla__192.168.1.8_POSEIDONSQL_APPFVT_01_tblFillRateFechas[[#This Row],[Valida Fec]]=1),1,0)</f>
        <v>1</v>
      </c>
      <c r="P822" s="1">
        <f>+(Tabla__192.168.1.8_POSEIDONSQL_APPFVT_01_tblFillRateFechas[[#This Row],[Cant_Resultante]]/Tabla__192.168.1.8_POSEIDONSQL_APPFVT_01_tblFillRateFechas[[#This Row],[cant_order]])*100</f>
        <v>100</v>
      </c>
      <c r="Q8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2" s="1">
        <f>+IF(Tabla__192.168.1.8_POSEIDONSQL_APPFVT_01_tblFillRateFechas[[#This Row],[cant_order]]&gt;0,1,0)</f>
        <v>1</v>
      </c>
      <c r="V822" s="1">
        <f>+IF(Tabla__192.168.1.8_POSEIDONSQL_APPFVT_01_tblFillRateFechas[[#This Row],[Resultado]]=1,1,0)</f>
        <v>1</v>
      </c>
      <c r="W822" s="1" t="str">
        <f>+Tabla__192.168.1.8_POSEIDONSQL_APPFVT_01_tblFillRateFechas[[#This Row],[con_ocnumero]]&amp;Tabla__192.168.1.8_POSEIDONSQL_APPFVT_01_tblFillRateFechas[[#This Row],[con_codigounico]]</f>
        <v>9189076-</v>
      </c>
      <c r="X8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23" spans="1:24" x14ac:dyDescent="0.25">
      <c r="A823">
        <v>9</v>
      </c>
      <c r="B823" t="s">
        <v>48</v>
      </c>
      <c r="C823">
        <v>9195713</v>
      </c>
      <c r="D823" t="s">
        <v>1963</v>
      </c>
      <c r="E823" t="s">
        <v>161</v>
      </c>
      <c r="F823" t="s">
        <v>162</v>
      </c>
      <c r="G823">
        <v>16</v>
      </c>
      <c r="H823">
        <v>16</v>
      </c>
      <c r="I823" t="s">
        <v>163</v>
      </c>
      <c r="J823">
        <v>0</v>
      </c>
      <c r="K823" t="s">
        <v>49</v>
      </c>
      <c r="L823" s="1">
        <f>+Tabla__192.168.1.8_POSEIDONSQL_APPFVT_01_tblFillRateFechas[[#This Row],[emb_cantidad]]-Tabla__192.168.1.8_POSEIDONSQL_APPFVT_01_tblFillRateFechas[[#This Row],[dev_cantidad]]</f>
        <v>16</v>
      </c>
      <c r="M823" s="1">
        <f>+IF(Tabla__192.168.1.8_POSEIDONSQL_APPFVT_01_tblFillRateFechas[[#This Row],[Cant_Resultante]]=Tabla__192.168.1.8_POSEIDONSQL_APPFVT_01_tblFillRateFechas[[#This Row],[cant_order]],1,0)</f>
        <v>1</v>
      </c>
      <c r="N8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23" s="1">
        <f>+IF(AND(Tabla__192.168.1.8_POSEIDONSQL_APPFVT_01_tblFillRateFechas[[#This Row],[Valida Cant]]=1,Tabla__192.168.1.8_POSEIDONSQL_APPFVT_01_tblFillRateFechas[[#This Row],[Valida Fec]]=1),1,0)</f>
        <v>0</v>
      </c>
      <c r="P823" s="1">
        <f>+(Tabla__192.168.1.8_POSEIDONSQL_APPFVT_01_tblFillRateFechas[[#This Row],[Cant_Resultante]]/Tabla__192.168.1.8_POSEIDONSQL_APPFVT_01_tblFillRateFechas[[#This Row],[cant_order]])*100</f>
        <v>100</v>
      </c>
      <c r="Q8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16</v>
      </c>
      <c r="R8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16</v>
      </c>
      <c r="T8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3" s="1">
        <f>+IF(Tabla__192.168.1.8_POSEIDONSQL_APPFVT_01_tblFillRateFechas[[#This Row],[cant_order]]&gt;0,1,0)</f>
        <v>1</v>
      </c>
      <c r="V823" s="1">
        <f>+IF(Tabla__192.168.1.8_POSEIDONSQL_APPFVT_01_tblFillRateFechas[[#This Row],[Resultado]]=1,1,0)</f>
        <v>0</v>
      </c>
      <c r="W823" s="1" t="str">
        <f>+Tabla__192.168.1.8_POSEIDONSQL_APPFVT_01_tblFillRateFechas[[#This Row],[con_ocnumero]]&amp;Tabla__192.168.1.8_POSEIDONSQL_APPFVT_01_tblFillRateFechas[[#This Row],[con_codigounico]]</f>
        <v>9195713-</v>
      </c>
      <c r="X8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16</v>
      </c>
    </row>
    <row r="824" spans="1:24" x14ac:dyDescent="0.25">
      <c r="A824">
        <v>9</v>
      </c>
      <c r="B824" t="s">
        <v>48</v>
      </c>
      <c r="C824">
        <v>9197926</v>
      </c>
      <c r="D824" t="s">
        <v>160</v>
      </c>
      <c r="E824" t="s">
        <v>427</v>
      </c>
      <c r="F824" t="s">
        <v>1969</v>
      </c>
      <c r="G824">
        <v>180</v>
      </c>
      <c r="H824">
        <v>180</v>
      </c>
      <c r="I824" t="s">
        <v>429</v>
      </c>
      <c r="J824">
        <v>0</v>
      </c>
      <c r="K824" t="s">
        <v>49</v>
      </c>
      <c r="L824" s="1">
        <f>+Tabla__192.168.1.8_POSEIDONSQL_APPFVT_01_tblFillRateFechas[[#This Row],[emb_cantidad]]-Tabla__192.168.1.8_POSEIDONSQL_APPFVT_01_tblFillRateFechas[[#This Row],[dev_cantidad]]</f>
        <v>180</v>
      </c>
      <c r="M824" s="1">
        <f>+IF(Tabla__192.168.1.8_POSEIDONSQL_APPFVT_01_tblFillRateFechas[[#This Row],[Cant_Resultante]]=Tabla__192.168.1.8_POSEIDONSQL_APPFVT_01_tblFillRateFechas[[#This Row],[cant_order]],1,0)</f>
        <v>1</v>
      </c>
      <c r="N8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4" s="1">
        <f>+IF(AND(Tabla__192.168.1.8_POSEIDONSQL_APPFVT_01_tblFillRateFechas[[#This Row],[Valida Cant]]=1,Tabla__192.168.1.8_POSEIDONSQL_APPFVT_01_tblFillRateFechas[[#This Row],[Valida Fec]]=1),1,0)</f>
        <v>1</v>
      </c>
      <c r="P824" s="1">
        <f>+(Tabla__192.168.1.8_POSEIDONSQL_APPFVT_01_tblFillRateFechas[[#This Row],[Cant_Resultante]]/Tabla__192.168.1.8_POSEIDONSQL_APPFVT_01_tblFillRateFechas[[#This Row],[cant_order]])*100</f>
        <v>100</v>
      </c>
      <c r="Q8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180</v>
      </c>
      <c r="R8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180</v>
      </c>
      <c r="T8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4" s="1">
        <f>+IF(Tabla__192.168.1.8_POSEIDONSQL_APPFVT_01_tblFillRateFechas[[#This Row],[cant_order]]&gt;0,1,0)</f>
        <v>1</v>
      </c>
      <c r="V824" s="1">
        <f>+IF(Tabla__192.168.1.8_POSEIDONSQL_APPFVT_01_tblFillRateFechas[[#This Row],[Resultado]]=1,1,0)</f>
        <v>1</v>
      </c>
      <c r="W824" s="1" t="str">
        <f>+Tabla__192.168.1.8_POSEIDONSQL_APPFVT_01_tblFillRateFechas[[#This Row],[con_ocnumero]]&amp;Tabla__192.168.1.8_POSEIDONSQL_APPFVT_01_tblFillRateFechas[[#This Row],[con_codigounico]]</f>
        <v>9197926-</v>
      </c>
      <c r="X8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180</v>
      </c>
    </row>
    <row r="825" spans="1:24" x14ac:dyDescent="0.25">
      <c r="A825">
        <v>9</v>
      </c>
      <c r="B825" t="s">
        <v>48</v>
      </c>
      <c r="C825">
        <v>9197927</v>
      </c>
      <c r="D825" t="s">
        <v>160</v>
      </c>
      <c r="E825" t="s">
        <v>427</v>
      </c>
      <c r="F825" t="s">
        <v>1969</v>
      </c>
      <c r="G825">
        <v>12</v>
      </c>
      <c r="H825">
        <v>12</v>
      </c>
      <c r="I825" t="s">
        <v>427</v>
      </c>
      <c r="J825">
        <v>0</v>
      </c>
      <c r="K825" t="s">
        <v>49</v>
      </c>
      <c r="L825" s="1">
        <f>+Tabla__192.168.1.8_POSEIDONSQL_APPFVT_01_tblFillRateFechas[[#This Row],[emb_cantidad]]-Tabla__192.168.1.8_POSEIDONSQL_APPFVT_01_tblFillRateFechas[[#This Row],[dev_cantidad]]</f>
        <v>12</v>
      </c>
      <c r="M825" s="1">
        <f>+IF(Tabla__192.168.1.8_POSEIDONSQL_APPFVT_01_tblFillRateFechas[[#This Row],[Cant_Resultante]]=Tabla__192.168.1.8_POSEIDONSQL_APPFVT_01_tblFillRateFechas[[#This Row],[cant_order]],1,0)</f>
        <v>1</v>
      </c>
      <c r="N8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5" s="1">
        <f>+IF(AND(Tabla__192.168.1.8_POSEIDONSQL_APPFVT_01_tblFillRateFechas[[#This Row],[Valida Cant]]=1,Tabla__192.168.1.8_POSEIDONSQL_APPFVT_01_tblFillRateFechas[[#This Row],[Valida Fec]]=1),1,0)</f>
        <v>1</v>
      </c>
      <c r="P825" s="1">
        <f>+(Tabla__192.168.1.8_POSEIDONSQL_APPFVT_01_tblFillRateFechas[[#This Row],[Cant_Resultante]]/Tabla__192.168.1.8_POSEIDONSQL_APPFVT_01_tblFillRateFechas[[#This Row],[cant_order]])*100</f>
        <v>100</v>
      </c>
      <c r="Q8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12</v>
      </c>
      <c r="R8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12</v>
      </c>
      <c r="T8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5" s="1">
        <f>+IF(Tabla__192.168.1.8_POSEIDONSQL_APPFVT_01_tblFillRateFechas[[#This Row],[cant_order]]&gt;0,1,0)</f>
        <v>1</v>
      </c>
      <c r="V825" s="1">
        <f>+IF(Tabla__192.168.1.8_POSEIDONSQL_APPFVT_01_tblFillRateFechas[[#This Row],[Resultado]]=1,1,0)</f>
        <v>1</v>
      </c>
      <c r="W825" s="1" t="str">
        <f>+Tabla__192.168.1.8_POSEIDONSQL_APPFVT_01_tblFillRateFechas[[#This Row],[con_ocnumero]]&amp;Tabla__192.168.1.8_POSEIDONSQL_APPFVT_01_tblFillRateFechas[[#This Row],[con_codigounico]]</f>
        <v>9197927-</v>
      </c>
      <c r="X8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12</v>
      </c>
    </row>
    <row r="826" spans="1:24" x14ac:dyDescent="0.25">
      <c r="A826">
        <v>9</v>
      </c>
      <c r="B826" t="s">
        <v>48</v>
      </c>
      <c r="C826">
        <v>9198487</v>
      </c>
      <c r="D826" t="s">
        <v>161</v>
      </c>
      <c r="E826" t="s">
        <v>425</v>
      </c>
      <c r="F826" t="s">
        <v>1969</v>
      </c>
      <c r="G826">
        <v>20</v>
      </c>
      <c r="H826">
        <v>20</v>
      </c>
      <c r="I826" t="s">
        <v>425</v>
      </c>
      <c r="J826">
        <v>0</v>
      </c>
      <c r="K826" t="s">
        <v>49</v>
      </c>
      <c r="L826" s="1">
        <f>+Tabla__192.168.1.8_POSEIDONSQL_APPFVT_01_tblFillRateFechas[[#This Row],[emb_cantidad]]-Tabla__192.168.1.8_POSEIDONSQL_APPFVT_01_tblFillRateFechas[[#This Row],[dev_cantidad]]</f>
        <v>20</v>
      </c>
      <c r="M826" s="1">
        <f>+IF(Tabla__192.168.1.8_POSEIDONSQL_APPFVT_01_tblFillRateFechas[[#This Row],[Cant_Resultante]]=Tabla__192.168.1.8_POSEIDONSQL_APPFVT_01_tblFillRateFechas[[#This Row],[cant_order]],1,0)</f>
        <v>1</v>
      </c>
      <c r="N8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6" s="1">
        <f>+IF(AND(Tabla__192.168.1.8_POSEIDONSQL_APPFVT_01_tblFillRateFechas[[#This Row],[Valida Cant]]=1,Tabla__192.168.1.8_POSEIDONSQL_APPFVT_01_tblFillRateFechas[[#This Row],[Valida Fec]]=1),1,0)</f>
        <v>1</v>
      </c>
      <c r="P826" s="1">
        <f>+(Tabla__192.168.1.8_POSEIDONSQL_APPFVT_01_tblFillRateFechas[[#This Row],[Cant_Resultante]]/Tabla__192.168.1.8_POSEIDONSQL_APPFVT_01_tblFillRateFechas[[#This Row],[cant_order]])*100</f>
        <v>100</v>
      </c>
      <c r="Q8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20</v>
      </c>
      <c r="R8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20</v>
      </c>
      <c r="T8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6" s="1">
        <f>+IF(Tabla__192.168.1.8_POSEIDONSQL_APPFVT_01_tblFillRateFechas[[#This Row],[cant_order]]&gt;0,1,0)</f>
        <v>1</v>
      </c>
      <c r="V826" s="1">
        <f>+IF(Tabla__192.168.1.8_POSEIDONSQL_APPFVT_01_tblFillRateFechas[[#This Row],[Resultado]]=1,1,0)</f>
        <v>1</v>
      </c>
      <c r="W826" s="1" t="str">
        <f>+Tabla__192.168.1.8_POSEIDONSQL_APPFVT_01_tblFillRateFechas[[#This Row],[con_ocnumero]]&amp;Tabla__192.168.1.8_POSEIDONSQL_APPFVT_01_tblFillRateFechas[[#This Row],[con_codigounico]]</f>
        <v>9198487-</v>
      </c>
      <c r="X8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20</v>
      </c>
    </row>
    <row r="827" spans="1:24" x14ac:dyDescent="0.25">
      <c r="A827">
        <v>9</v>
      </c>
      <c r="B827" t="s">
        <v>48</v>
      </c>
      <c r="C827">
        <v>9204926</v>
      </c>
      <c r="D827" t="s">
        <v>415</v>
      </c>
      <c r="E827" t="s">
        <v>419</v>
      </c>
      <c r="F827" t="s">
        <v>422</v>
      </c>
      <c r="G827">
        <v>25</v>
      </c>
      <c r="H827">
        <v>25</v>
      </c>
      <c r="I827" t="s">
        <v>419</v>
      </c>
      <c r="J827">
        <v>0</v>
      </c>
      <c r="K827" t="s">
        <v>49</v>
      </c>
      <c r="L827" s="1">
        <f>+Tabla__192.168.1.8_POSEIDONSQL_APPFVT_01_tblFillRateFechas[[#This Row],[emb_cantidad]]-Tabla__192.168.1.8_POSEIDONSQL_APPFVT_01_tblFillRateFechas[[#This Row],[dev_cantidad]]</f>
        <v>25</v>
      </c>
      <c r="M827" s="1">
        <f>+IF(Tabla__192.168.1.8_POSEIDONSQL_APPFVT_01_tblFillRateFechas[[#This Row],[Cant_Resultante]]=Tabla__192.168.1.8_POSEIDONSQL_APPFVT_01_tblFillRateFechas[[#This Row],[cant_order]],1,0)</f>
        <v>1</v>
      </c>
      <c r="N8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7" s="1">
        <f>+IF(AND(Tabla__192.168.1.8_POSEIDONSQL_APPFVT_01_tblFillRateFechas[[#This Row],[Valida Cant]]=1,Tabla__192.168.1.8_POSEIDONSQL_APPFVT_01_tblFillRateFechas[[#This Row],[Valida Fec]]=1),1,0)</f>
        <v>1</v>
      </c>
      <c r="P827" s="1">
        <f>+(Tabla__192.168.1.8_POSEIDONSQL_APPFVT_01_tblFillRateFechas[[#This Row],[Cant_Resultante]]/Tabla__192.168.1.8_POSEIDONSQL_APPFVT_01_tblFillRateFechas[[#This Row],[cant_order]])*100</f>
        <v>100</v>
      </c>
      <c r="Q8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25</v>
      </c>
      <c r="R8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25</v>
      </c>
      <c r="T8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7" s="1">
        <f>+IF(Tabla__192.168.1.8_POSEIDONSQL_APPFVT_01_tblFillRateFechas[[#This Row],[cant_order]]&gt;0,1,0)</f>
        <v>1</v>
      </c>
      <c r="V827" s="1">
        <f>+IF(Tabla__192.168.1.8_POSEIDONSQL_APPFVT_01_tblFillRateFechas[[#This Row],[Resultado]]=1,1,0)</f>
        <v>1</v>
      </c>
      <c r="W827" s="1" t="str">
        <f>+Tabla__192.168.1.8_POSEIDONSQL_APPFVT_01_tblFillRateFechas[[#This Row],[con_ocnumero]]&amp;Tabla__192.168.1.8_POSEIDONSQL_APPFVT_01_tblFillRateFechas[[#This Row],[con_codigounico]]</f>
        <v>9204926-</v>
      </c>
      <c r="X8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25</v>
      </c>
    </row>
    <row r="828" spans="1:24" x14ac:dyDescent="0.25">
      <c r="A828">
        <v>10</v>
      </c>
      <c r="B828" t="s">
        <v>1989</v>
      </c>
      <c r="C828">
        <v>31</v>
      </c>
      <c r="D828" t="s">
        <v>1980</v>
      </c>
      <c r="E828" t="s">
        <v>1962</v>
      </c>
      <c r="F828" t="s">
        <v>1980</v>
      </c>
      <c r="G828">
        <v>10</v>
      </c>
      <c r="H828">
        <v>10</v>
      </c>
      <c r="I828" t="s">
        <v>1962</v>
      </c>
      <c r="J828">
        <v>0</v>
      </c>
      <c r="K828" t="s">
        <v>49</v>
      </c>
      <c r="L828" s="1">
        <f>+Tabla__192.168.1.8_POSEIDONSQL_APPFVT_01_tblFillRateFechas[[#This Row],[emb_cantidad]]-Tabla__192.168.1.8_POSEIDONSQL_APPFVT_01_tblFillRateFechas[[#This Row],[dev_cantidad]]</f>
        <v>10</v>
      </c>
      <c r="M828" s="1">
        <f>+IF(Tabla__192.168.1.8_POSEIDONSQL_APPFVT_01_tblFillRateFechas[[#This Row],[Cant_Resultante]]=Tabla__192.168.1.8_POSEIDONSQL_APPFVT_01_tblFillRateFechas[[#This Row],[cant_order]],1,0)</f>
        <v>1</v>
      </c>
      <c r="N8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8" s="1">
        <f>+IF(AND(Tabla__192.168.1.8_POSEIDONSQL_APPFVT_01_tblFillRateFechas[[#This Row],[Valida Cant]]=1,Tabla__192.168.1.8_POSEIDONSQL_APPFVT_01_tblFillRateFechas[[#This Row],[Valida Fec]]=1),1,0)</f>
        <v>1</v>
      </c>
      <c r="P828" s="1">
        <f>+(Tabla__192.168.1.8_POSEIDONSQL_APPFVT_01_tblFillRateFechas[[#This Row],[Cant_Resultante]]/Tabla__192.168.1.8_POSEIDONSQL_APPFVT_01_tblFillRateFechas[[#This Row],[cant_order]])*100</f>
        <v>100</v>
      </c>
      <c r="Q8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</v>
      </c>
      <c r="R8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</v>
      </c>
      <c r="T8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8" s="1">
        <f>+IF(Tabla__192.168.1.8_POSEIDONSQL_APPFVT_01_tblFillRateFechas[[#This Row],[cant_order]]&gt;0,1,0)</f>
        <v>1</v>
      </c>
      <c r="V828" s="1">
        <f>+IF(Tabla__192.168.1.8_POSEIDONSQL_APPFVT_01_tblFillRateFechas[[#This Row],[Resultado]]=1,1,0)</f>
        <v>1</v>
      </c>
      <c r="W828" s="1" t="str">
        <f>+Tabla__192.168.1.8_POSEIDONSQL_APPFVT_01_tblFillRateFechas[[#This Row],[con_ocnumero]]&amp;Tabla__192.168.1.8_POSEIDONSQL_APPFVT_01_tblFillRateFechas[[#This Row],[con_codigounico]]</f>
        <v>31-</v>
      </c>
      <c r="X8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</v>
      </c>
    </row>
    <row r="829" spans="1:24" x14ac:dyDescent="0.25">
      <c r="A829">
        <v>10</v>
      </c>
      <c r="B829" t="s">
        <v>1989</v>
      </c>
      <c r="C829">
        <v>32</v>
      </c>
      <c r="D829" t="s">
        <v>1980</v>
      </c>
      <c r="E829" t="s">
        <v>1962</v>
      </c>
      <c r="F829" t="s">
        <v>1980</v>
      </c>
      <c r="G829">
        <v>100</v>
      </c>
      <c r="H829">
        <v>100</v>
      </c>
      <c r="I829" t="s">
        <v>1962</v>
      </c>
      <c r="J829">
        <v>0</v>
      </c>
      <c r="K829" t="s">
        <v>49</v>
      </c>
      <c r="L829" s="1">
        <f>+Tabla__192.168.1.8_POSEIDONSQL_APPFVT_01_tblFillRateFechas[[#This Row],[emb_cantidad]]-Tabla__192.168.1.8_POSEIDONSQL_APPFVT_01_tblFillRateFechas[[#This Row],[dev_cantidad]]</f>
        <v>100</v>
      </c>
      <c r="M829" s="1">
        <f>+IF(Tabla__192.168.1.8_POSEIDONSQL_APPFVT_01_tblFillRateFechas[[#This Row],[Cant_Resultante]]=Tabla__192.168.1.8_POSEIDONSQL_APPFVT_01_tblFillRateFechas[[#This Row],[cant_order]],1,0)</f>
        <v>1</v>
      </c>
      <c r="N8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29" s="1">
        <f>+IF(AND(Tabla__192.168.1.8_POSEIDONSQL_APPFVT_01_tblFillRateFechas[[#This Row],[Valida Cant]]=1,Tabla__192.168.1.8_POSEIDONSQL_APPFVT_01_tblFillRateFechas[[#This Row],[Valida Fec]]=1),1,0)</f>
        <v>1</v>
      </c>
      <c r="P829" s="1">
        <f>+(Tabla__192.168.1.8_POSEIDONSQL_APPFVT_01_tblFillRateFechas[[#This Row],[Cant_Resultante]]/Tabla__192.168.1.8_POSEIDONSQL_APPFVT_01_tblFillRateFechas[[#This Row],[cant_order]])*100</f>
        <v>100</v>
      </c>
      <c r="Q8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100</v>
      </c>
      <c r="R8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100</v>
      </c>
      <c r="T8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29" s="1">
        <f>+IF(Tabla__192.168.1.8_POSEIDONSQL_APPFVT_01_tblFillRateFechas[[#This Row],[cant_order]]&gt;0,1,0)</f>
        <v>1</v>
      </c>
      <c r="V829" s="1">
        <f>+IF(Tabla__192.168.1.8_POSEIDONSQL_APPFVT_01_tblFillRateFechas[[#This Row],[Resultado]]=1,1,0)</f>
        <v>1</v>
      </c>
      <c r="W829" s="1" t="str">
        <f>+Tabla__192.168.1.8_POSEIDONSQL_APPFVT_01_tblFillRateFechas[[#This Row],[con_ocnumero]]&amp;Tabla__192.168.1.8_POSEIDONSQL_APPFVT_01_tblFillRateFechas[[#This Row],[con_codigounico]]</f>
        <v>32-</v>
      </c>
      <c r="X8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100</v>
      </c>
    </row>
    <row r="830" spans="1:24" x14ac:dyDescent="0.25">
      <c r="A830">
        <v>24</v>
      </c>
      <c r="B830" t="s">
        <v>54</v>
      </c>
      <c r="C830">
        <v>5096593</v>
      </c>
      <c r="D830" t="s">
        <v>12</v>
      </c>
      <c r="E830" t="s">
        <v>1962</v>
      </c>
      <c r="F830" t="s">
        <v>12</v>
      </c>
      <c r="G830">
        <v>18</v>
      </c>
      <c r="H830">
        <v>9</v>
      </c>
      <c r="I830" t="s">
        <v>1990</v>
      </c>
      <c r="J830">
        <v>0</v>
      </c>
      <c r="K830" t="s">
        <v>49</v>
      </c>
      <c r="L830" s="1">
        <f>+Tabla__192.168.1.8_POSEIDONSQL_APPFVT_01_tblFillRateFechas[[#This Row],[emb_cantidad]]-Tabla__192.168.1.8_POSEIDONSQL_APPFVT_01_tblFillRateFechas[[#This Row],[dev_cantidad]]</f>
        <v>9</v>
      </c>
      <c r="M830" s="1">
        <f>+IF(Tabla__192.168.1.8_POSEIDONSQL_APPFVT_01_tblFillRateFechas[[#This Row],[Cant_Resultante]]=Tabla__192.168.1.8_POSEIDONSQL_APPFVT_01_tblFillRateFechas[[#This Row],[cant_order]],1,0)</f>
        <v>0</v>
      </c>
      <c r="N8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0" s="1">
        <f>+IF(AND(Tabla__192.168.1.8_POSEIDONSQL_APPFVT_01_tblFillRateFechas[[#This Row],[Valida Cant]]=1,Tabla__192.168.1.8_POSEIDONSQL_APPFVT_01_tblFillRateFechas[[#This Row],[Valida Fec]]=1),1,0)</f>
        <v>0</v>
      </c>
      <c r="P830" s="1">
        <f>+(Tabla__192.168.1.8_POSEIDONSQL_APPFVT_01_tblFillRateFechas[[#This Row],[Cant_Resultante]]/Tabla__192.168.1.8_POSEIDONSQL_APPFVT_01_tblFillRateFechas[[#This Row],[cant_order]])*100</f>
        <v>50</v>
      </c>
      <c r="Q8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9</v>
      </c>
      <c r="R8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9</v>
      </c>
      <c r="T8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9</v>
      </c>
      <c r="U830" s="1">
        <f>+IF(Tabla__192.168.1.8_POSEIDONSQL_APPFVT_01_tblFillRateFechas[[#This Row],[cant_order]]&gt;0,1,0)</f>
        <v>1</v>
      </c>
      <c r="V830" s="1">
        <f>+IF(Tabla__192.168.1.8_POSEIDONSQL_APPFVT_01_tblFillRateFechas[[#This Row],[Resultado]]=1,1,0)</f>
        <v>0</v>
      </c>
      <c r="W830" s="1" t="str">
        <f>+Tabla__192.168.1.8_POSEIDONSQL_APPFVT_01_tblFillRateFechas[[#This Row],[con_ocnumero]]&amp;Tabla__192.168.1.8_POSEIDONSQL_APPFVT_01_tblFillRateFechas[[#This Row],[con_codigounico]]</f>
        <v>5096593-</v>
      </c>
      <c r="X8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9</v>
      </c>
    </row>
    <row r="831" spans="1:24" x14ac:dyDescent="0.25">
      <c r="A831">
        <v>24</v>
      </c>
      <c r="B831" t="s">
        <v>54</v>
      </c>
      <c r="C831">
        <v>5096657</v>
      </c>
      <c r="D831" t="s">
        <v>12</v>
      </c>
      <c r="E831" t="s">
        <v>1962</v>
      </c>
      <c r="F831" t="s">
        <v>12</v>
      </c>
      <c r="G831">
        <v>1</v>
      </c>
      <c r="H831">
        <v>0</v>
      </c>
      <c r="I831" t="s">
        <v>12</v>
      </c>
      <c r="J831">
        <v>0</v>
      </c>
      <c r="K831" t="s">
        <v>49</v>
      </c>
      <c r="L831" s="1">
        <f>+Tabla__192.168.1.8_POSEIDONSQL_APPFVT_01_tblFillRateFechas[[#This Row],[emb_cantidad]]-Tabla__192.168.1.8_POSEIDONSQL_APPFVT_01_tblFillRateFechas[[#This Row],[dev_cantidad]]</f>
        <v>0</v>
      </c>
      <c r="M831" s="1">
        <f>+IF(Tabla__192.168.1.8_POSEIDONSQL_APPFVT_01_tblFillRateFechas[[#This Row],[Cant_Resultante]]=Tabla__192.168.1.8_POSEIDONSQL_APPFVT_01_tblFillRateFechas[[#This Row],[cant_order]],1,0)</f>
        <v>0</v>
      </c>
      <c r="N8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31" s="1">
        <f>+IF(AND(Tabla__192.168.1.8_POSEIDONSQL_APPFVT_01_tblFillRateFechas[[#This Row],[Valida Cant]]=1,Tabla__192.168.1.8_POSEIDONSQL_APPFVT_01_tblFillRateFechas[[#This Row],[Valida Fec]]=1),1,0)</f>
        <v>0</v>
      </c>
      <c r="P831" s="1">
        <f>+(Tabla__192.168.1.8_POSEIDONSQL_APPFVT_01_tblFillRateFechas[[#This Row],[Cant_Resultante]]/Tabla__192.168.1.8_POSEIDONSQL_APPFVT_01_tblFillRateFechas[[#This Row],[cant_order]])*100</f>
        <v>0</v>
      </c>
      <c r="Q8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31" s="1">
        <f>+IF(Tabla__192.168.1.8_POSEIDONSQL_APPFVT_01_tblFillRateFechas[[#This Row],[cant_order]]&gt;0,1,0)</f>
        <v>1</v>
      </c>
      <c r="V831" s="1">
        <f>+IF(Tabla__192.168.1.8_POSEIDONSQL_APPFVT_01_tblFillRateFechas[[#This Row],[Resultado]]=1,1,0)</f>
        <v>0</v>
      </c>
      <c r="W831" s="1" t="str">
        <f>+Tabla__192.168.1.8_POSEIDONSQL_APPFVT_01_tblFillRateFechas[[#This Row],[con_ocnumero]]&amp;Tabla__192.168.1.8_POSEIDONSQL_APPFVT_01_tblFillRateFechas[[#This Row],[con_codigounico]]</f>
        <v>5096657-</v>
      </c>
      <c r="X8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32" spans="1:24" x14ac:dyDescent="0.25">
      <c r="A832">
        <v>24</v>
      </c>
      <c r="B832" t="s">
        <v>54</v>
      </c>
      <c r="C832">
        <v>5096674</v>
      </c>
      <c r="D832" t="s">
        <v>12</v>
      </c>
      <c r="E832" t="s">
        <v>1962</v>
      </c>
      <c r="F832" t="s">
        <v>12</v>
      </c>
      <c r="G832">
        <v>1</v>
      </c>
      <c r="H832">
        <v>0</v>
      </c>
      <c r="I832" t="s">
        <v>12</v>
      </c>
      <c r="J832">
        <v>0</v>
      </c>
      <c r="K832" t="s">
        <v>49</v>
      </c>
      <c r="L832" s="1">
        <f>+Tabla__192.168.1.8_POSEIDONSQL_APPFVT_01_tblFillRateFechas[[#This Row],[emb_cantidad]]-Tabla__192.168.1.8_POSEIDONSQL_APPFVT_01_tblFillRateFechas[[#This Row],[dev_cantidad]]</f>
        <v>0</v>
      </c>
      <c r="M832" s="1">
        <f>+IF(Tabla__192.168.1.8_POSEIDONSQL_APPFVT_01_tblFillRateFechas[[#This Row],[Cant_Resultante]]=Tabla__192.168.1.8_POSEIDONSQL_APPFVT_01_tblFillRateFechas[[#This Row],[cant_order]],1,0)</f>
        <v>0</v>
      </c>
      <c r="N8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32" s="1">
        <f>+IF(AND(Tabla__192.168.1.8_POSEIDONSQL_APPFVT_01_tblFillRateFechas[[#This Row],[Valida Cant]]=1,Tabla__192.168.1.8_POSEIDONSQL_APPFVT_01_tblFillRateFechas[[#This Row],[Valida Fec]]=1),1,0)</f>
        <v>0</v>
      </c>
      <c r="P832" s="1">
        <f>+(Tabla__192.168.1.8_POSEIDONSQL_APPFVT_01_tblFillRateFechas[[#This Row],[Cant_Resultante]]/Tabla__192.168.1.8_POSEIDONSQL_APPFVT_01_tblFillRateFechas[[#This Row],[cant_order]])*100</f>
        <v>0</v>
      </c>
      <c r="Q8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32" s="1">
        <f>+IF(Tabla__192.168.1.8_POSEIDONSQL_APPFVT_01_tblFillRateFechas[[#This Row],[cant_order]]&gt;0,1,0)</f>
        <v>1</v>
      </c>
      <c r="V832" s="1">
        <f>+IF(Tabla__192.168.1.8_POSEIDONSQL_APPFVT_01_tblFillRateFechas[[#This Row],[Resultado]]=1,1,0)</f>
        <v>0</v>
      </c>
      <c r="W832" s="1" t="str">
        <f>+Tabla__192.168.1.8_POSEIDONSQL_APPFVT_01_tblFillRateFechas[[#This Row],[con_ocnumero]]&amp;Tabla__192.168.1.8_POSEIDONSQL_APPFVT_01_tblFillRateFechas[[#This Row],[con_codigounico]]</f>
        <v>5096674-</v>
      </c>
      <c r="X8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33" spans="1:24" x14ac:dyDescent="0.25">
      <c r="A833">
        <v>24</v>
      </c>
      <c r="B833" t="s">
        <v>54</v>
      </c>
      <c r="C833">
        <v>5097721</v>
      </c>
      <c r="D833" t="s">
        <v>1991</v>
      </c>
      <c r="E833" t="s">
        <v>1971</v>
      </c>
      <c r="F833" t="s">
        <v>1978</v>
      </c>
      <c r="G833">
        <v>1</v>
      </c>
      <c r="H833">
        <v>1</v>
      </c>
      <c r="I833" t="s">
        <v>1971</v>
      </c>
      <c r="J833">
        <v>0</v>
      </c>
      <c r="K833" t="s">
        <v>49</v>
      </c>
      <c r="L833" s="1">
        <f>+Tabla__192.168.1.8_POSEIDONSQL_APPFVT_01_tblFillRateFechas[[#This Row],[emb_cantidad]]-Tabla__192.168.1.8_POSEIDONSQL_APPFVT_01_tblFillRateFechas[[#This Row],[dev_cantidad]]</f>
        <v>1</v>
      </c>
      <c r="M833" s="1">
        <f>+IF(Tabla__192.168.1.8_POSEIDONSQL_APPFVT_01_tblFillRateFechas[[#This Row],[Cant_Resultante]]=Tabla__192.168.1.8_POSEIDONSQL_APPFVT_01_tblFillRateFechas[[#This Row],[cant_order]],1,0)</f>
        <v>1</v>
      </c>
      <c r="N8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3" s="1">
        <f>+IF(AND(Tabla__192.168.1.8_POSEIDONSQL_APPFVT_01_tblFillRateFechas[[#This Row],[Valida Cant]]=1,Tabla__192.168.1.8_POSEIDONSQL_APPFVT_01_tblFillRateFechas[[#This Row],[Valida Fec]]=1),1,0)</f>
        <v>1</v>
      </c>
      <c r="P833" s="1">
        <f>+(Tabla__192.168.1.8_POSEIDONSQL_APPFVT_01_tblFillRateFechas[[#This Row],[Cant_Resultante]]/Tabla__192.168.1.8_POSEIDONSQL_APPFVT_01_tblFillRateFechas[[#This Row],[cant_order]])*100</f>
        <v>100</v>
      </c>
      <c r="Q8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3" s="1">
        <f>+IF(Tabla__192.168.1.8_POSEIDONSQL_APPFVT_01_tblFillRateFechas[[#This Row],[cant_order]]&gt;0,1,0)</f>
        <v>1</v>
      </c>
      <c r="V833" s="1">
        <f>+IF(Tabla__192.168.1.8_POSEIDONSQL_APPFVT_01_tblFillRateFechas[[#This Row],[Resultado]]=1,1,0)</f>
        <v>1</v>
      </c>
      <c r="W833" s="1" t="str">
        <f>+Tabla__192.168.1.8_POSEIDONSQL_APPFVT_01_tblFillRateFechas[[#This Row],[con_ocnumero]]&amp;Tabla__192.168.1.8_POSEIDONSQL_APPFVT_01_tblFillRateFechas[[#This Row],[con_codigounico]]</f>
        <v>5097721-</v>
      </c>
      <c r="X8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4" spans="1:24" x14ac:dyDescent="0.25">
      <c r="A834">
        <v>24</v>
      </c>
      <c r="B834" t="s">
        <v>54</v>
      </c>
      <c r="C834">
        <v>5098216</v>
      </c>
      <c r="D834" t="s">
        <v>1972</v>
      </c>
      <c r="E834" t="s">
        <v>1971</v>
      </c>
      <c r="F834" t="s">
        <v>1972</v>
      </c>
      <c r="G834">
        <v>1</v>
      </c>
      <c r="H834">
        <v>1</v>
      </c>
      <c r="I834" t="s">
        <v>1971</v>
      </c>
      <c r="J834">
        <v>0</v>
      </c>
      <c r="K834" t="s">
        <v>49</v>
      </c>
      <c r="L834" s="1">
        <f>+Tabla__192.168.1.8_POSEIDONSQL_APPFVT_01_tblFillRateFechas[[#This Row],[emb_cantidad]]-Tabla__192.168.1.8_POSEIDONSQL_APPFVT_01_tblFillRateFechas[[#This Row],[dev_cantidad]]</f>
        <v>1</v>
      </c>
      <c r="M834" s="1">
        <f>+IF(Tabla__192.168.1.8_POSEIDONSQL_APPFVT_01_tblFillRateFechas[[#This Row],[Cant_Resultante]]=Tabla__192.168.1.8_POSEIDONSQL_APPFVT_01_tblFillRateFechas[[#This Row],[cant_order]],1,0)</f>
        <v>1</v>
      </c>
      <c r="N8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4" s="1">
        <f>+IF(AND(Tabla__192.168.1.8_POSEIDONSQL_APPFVT_01_tblFillRateFechas[[#This Row],[Valida Cant]]=1,Tabla__192.168.1.8_POSEIDONSQL_APPFVT_01_tblFillRateFechas[[#This Row],[Valida Fec]]=1),1,0)</f>
        <v>1</v>
      </c>
      <c r="P834" s="1">
        <f>+(Tabla__192.168.1.8_POSEIDONSQL_APPFVT_01_tblFillRateFechas[[#This Row],[Cant_Resultante]]/Tabla__192.168.1.8_POSEIDONSQL_APPFVT_01_tblFillRateFechas[[#This Row],[cant_order]])*100</f>
        <v>100</v>
      </c>
      <c r="Q8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4" s="1">
        <f>+IF(Tabla__192.168.1.8_POSEIDONSQL_APPFVT_01_tblFillRateFechas[[#This Row],[cant_order]]&gt;0,1,0)</f>
        <v>1</v>
      </c>
      <c r="V834" s="1">
        <f>+IF(Tabla__192.168.1.8_POSEIDONSQL_APPFVT_01_tblFillRateFechas[[#This Row],[Resultado]]=1,1,0)</f>
        <v>1</v>
      </c>
      <c r="W834" s="1" t="str">
        <f>+Tabla__192.168.1.8_POSEIDONSQL_APPFVT_01_tblFillRateFechas[[#This Row],[con_ocnumero]]&amp;Tabla__192.168.1.8_POSEIDONSQL_APPFVT_01_tblFillRateFechas[[#This Row],[con_codigounico]]</f>
        <v>5098216-</v>
      </c>
      <c r="X8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5" spans="1:24" x14ac:dyDescent="0.25">
      <c r="A835">
        <v>24</v>
      </c>
      <c r="B835" t="s">
        <v>54</v>
      </c>
      <c r="C835">
        <v>5098347</v>
      </c>
      <c r="D835" t="s">
        <v>1972</v>
      </c>
      <c r="E835" t="s">
        <v>1977</v>
      </c>
      <c r="F835" t="s">
        <v>1975</v>
      </c>
      <c r="G835">
        <v>1</v>
      </c>
      <c r="H835">
        <v>1</v>
      </c>
      <c r="I835" t="s">
        <v>1980</v>
      </c>
      <c r="J835">
        <v>0</v>
      </c>
      <c r="K835" t="s">
        <v>49</v>
      </c>
      <c r="L835" s="1">
        <f>+Tabla__192.168.1.8_POSEIDONSQL_APPFVT_01_tblFillRateFechas[[#This Row],[emb_cantidad]]-Tabla__192.168.1.8_POSEIDONSQL_APPFVT_01_tblFillRateFechas[[#This Row],[dev_cantidad]]</f>
        <v>1</v>
      </c>
      <c r="M835" s="1">
        <f>+IF(Tabla__192.168.1.8_POSEIDONSQL_APPFVT_01_tblFillRateFechas[[#This Row],[Cant_Resultante]]=Tabla__192.168.1.8_POSEIDONSQL_APPFVT_01_tblFillRateFechas[[#This Row],[cant_order]],1,0)</f>
        <v>1</v>
      </c>
      <c r="N8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5" s="1">
        <f>+IF(AND(Tabla__192.168.1.8_POSEIDONSQL_APPFVT_01_tblFillRateFechas[[#This Row],[Valida Cant]]=1,Tabla__192.168.1.8_POSEIDONSQL_APPFVT_01_tblFillRateFechas[[#This Row],[Valida Fec]]=1),1,0)</f>
        <v>1</v>
      </c>
      <c r="P835" s="1">
        <f>+(Tabla__192.168.1.8_POSEIDONSQL_APPFVT_01_tblFillRateFechas[[#This Row],[Cant_Resultante]]/Tabla__192.168.1.8_POSEIDONSQL_APPFVT_01_tblFillRateFechas[[#This Row],[cant_order]])*100</f>
        <v>100</v>
      </c>
      <c r="Q8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5" s="1">
        <f>+IF(Tabla__192.168.1.8_POSEIDONSQL_APPFVT_01_tblFillRateFechas[[#This Row],[cant_order]]&gt;0,1,0)</f>
        <v>1</v>
      </c>
      <c r="V835" s="1">
        <f>+IF(Tabla__192.168.1.8_POSEIDONSQL_APPFVT_01_tblFillRateFechas[[#This Row],[Resultado]]=1,1,0)</f>
        <v>1</v>
      </c>
      <c r="W835" s="1" t="str">
        <f>+Tabla__192.168.1.8_POSEIDONSQL_APPFVT_01_tblFillRateFechas[[#This Row],[con_ocnumero]]&amp;Tabla__192.168.1.8_POSEIDONSQL_APPFVT_01_tblFillRateFechas[[#This Row],[con_codigounico]]</f>
        <v>5098347-</v>
      </c>
      <c r="X8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6" spans="1:24" x14ac:dyDescent="0.25">
      <c r="A836">
        <v>24</v>
      </c>
      <c r="B836" t="s">
        <v>54</v>
      </c>
      <c r="C836">
        <v>5098959</v>
      </c>
      <c r="D836" t="s">
        <v>1975</v>
      </c>
      <c r="E836" t="s">
        <v>1971</v>
      </c>
      <c r="F836" t="s">
        <v>1978</v>
      </c>
      <c r="G836">
        <v>1</v>
      </c>
      <c r="H836">
        <v>1</v>
      </c>
      <c r="I836" t="s">
        <v>1971</v>
      </c>
      <c r="J836">
        <v>0</v>
      </c>
      <c r="K836" t="s">
        <v>49</v>
      </c>
      <c r="L836" s="1">
        <f>+Tabla__192.168.1.8_POSEIDONSQL_APPFVT_01_tblFillRateFechas[[#This Row],[emb_cantidad]]-Tabla__192.168.1.8_POSEIDONSQL_APPFVT_01_tblFillRateFechas[[#This Row],[dev_cantidad]]</f>
        <v>1</v>
      </c>
      <c r="M836" s="1">
        <f>+IF(Tabla__192.168.1.8_POSEIDONSQL_APPFVT_01_tblFillRateFechas[[#This Row],[Cant_Resultante]]=Tabla__192.168.1.8_POSEIDONSQL_APPFVT_01_tblFillRateFechas[[#This Row],[cant_order]],1,0)</f>
        <v>1</v>
      </c>
      <c r="N8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6" s="1">
        <f>+IF(AND(Tabla__192.168.1.8_POSEIDONSQL_APPFVT_01_tblFillRateFechas[[#This Row],[Valida Cant]]=1,Tabla__192.168.1.8_POSEIDONSQL_APPFVT_01_tblFillRateFechas[[#This Row],[Valida Fec]]=1),1,0)</f>
        <v>1</v>
      </c>
      <c r="P836" s="1">
        <f>+(Tabla__192.168.1.8_POSEIDONSQL_APPFVT_01_tblFillRateFechas[[#This Row],[Cant_Resultante]]/Tabla__192.168.1.8_POSEIDONSQL_APPFVT_01_tblFillRateFechas[[#This Row],[cant_order]])*100</f>
        <v>100</v>
      </c>
      <c r="Q8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6" s="1">
        <f>+IF(Tabla__192.168.1.8_POSEIDONSQL_APPFVT_01_tblFillRateFechas[[#This Row],[cant_order]]&gt;0,1,0)</f>
        <v>1</v>
      </c>
      <c r="V836" s="1">
        <f>+IF(Tabla__192.168.1.8_POSEIDONSQL_APPFVT_01_tblFillRateFechas[[#This Row],[Resultado]]=1,1,0)</f>
        <v>1</v>
      </c>
      <c r="W836" s="1" t="str">
        <f>+Tabla__192.168.1.8_POSEIDONSQL_APPFVT_01_tblFillRateFechas[[#This Row],[con_ocnumero]]&amp;Tabla__192.168.1.8_POSEIDONSQL_APPFVT_01_tblFillRateFechas[[#This Row],[con_codigounico]]</f>
        <v>5098959-</v>
      </c>
      <c r="X8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7" spans="1:24" x14ac:dyDescent="0.25">
      <c r="A837">
        <v>24</v>
      </c>
      <c r="B837" t="s">
        <v>54</v>
      </c>
      <c r="C837">
        <v>5098961</v>
      </c>
      <c r="D837" t="s">
        <v>1975</v>
      </c>
      <c r="E837" t="s">
        <v>1963</v>
      </c>
      <c r="F837" t="s">
        <v>1978</v>
      </c>
      <c r="G837">
        <v>1</v>
      </c>
      <c r="H837">
        <v>1</v>
      </c>
      <c r="I837" t="s">
        <v>1962</v>
      </c>
      <c r="J837">
        <v>0</v>
      </c>
      <c r="K837" t="s">
        <v>49</v>
      </c>
      <c r="L837" s="1">
        <f>+Tabla__192.168.1.8_POSEIDONSQL_APPFVT_01_tblFillRateFechas[[#This Row],[emb_cantidad]]-Tabla__192.168.1.8_POSEIDONSQL_APPFVT_01_tblFillRateFechas[[#This Row],[dev_cantidad]]</f>
        <v>1</v>
      </c>
      <c r="M837" s="1">
        <f>+IF(Tabla__192.168.1.8_POSEIDONSQL_APPFVT_01_tblFillRateFechas[[#This Row],[Cant_Resultante]]=Tabla__192.168.1.8_POSEIDONSQL_APPFVT_01_tblFillRateFechas[[#This Row],[cant_order]],1,0)</f>
        <v>1</v>
      </c>
      <c r="N8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7" s="1">
        <f>+IF(AND(Tabla__192.168.1.8_POSEIDONSQL_APPFVT_01_tblFillRateFechas[[#This Row],[Valida Cant]]=1,Tabla__192.168.1.8_POSEIDONSQL_APPFVT_01_tblFillRateFechas[[#This Row],[Valida Fec]]=1),1,0)</f>
        <v>1</v>
      </c>
      <c r="P837" s="1">
        <f>+(Tabla__192.168.1.8_POSEIDONSQL_APPFVT_01_tblFillRateFechas[[#This Row],[Cant_Resultante]]/Tabla__192.168.1.8_POSEIDONSQL_APPFVT_01_tblFillRateFechas[[#This Row],[cant_order]])*100</f>
        <v>100</v>
      </c>
      <c r="Q8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7" s="1">
        <f>+IF(Tabla__192.168.1.8_POSEIDONSQL_APPFVT_01_tblFillRateFechas[[#This Row],[cant_order]]&gt;0,1,0)</f>
        <v>1</v>
      </c>
      <c r="V837" s="1">
        <f>+IF(Tabla__192.168.1.8_POSEIDONSQL_APPFVT_01_tblFillRateFechas[[#This Row],[Resultado]]=1,1,0)</f>
        <v>1</v>
      </c>
      <c r="W837" s="1" t="str">
        <f>+Tabla__192.168.1.8_POSEIDONSQL_APPFVT_01_tblFillRateFechas[[#This Row],[con_ocnumero]]&amp;Tabla__192.168.1.8_POSEIDONSQL_APPFVT_01_tblFillRateFechas[[#This Row],[con_codigounico]]</f>
        <v>5098961-</v>
      </c>
      <c r="X8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8" spans="1:24" x14ac:dyDescent="0.25">
      <c r="A838">
        <v>24</v>
      </c>
      <c r="B838" t="s">
        <v>54</v>
      </c>
      <c r="C838">
        <v>5098969</v>
      </c>
      <c r="D838" t="s">
        <v>1978</v>
      </c>
      <c r="E838" t="s">
        <v>1980</v>
      </c>
      <c r="F838" t="s">
        <v>1978</v>
      </c>
      <c r="G838">
        <v>1</v>
      </c>
      <c r="H838">
        <v>1</v>
      </c>
      <c r="I838" t="s">
        <v>1980</v>
      </c>
      <c r="J838">
        <v>0</v>
      </c>
      <c r="K838" t="s">
        <v>49</v>
      </c>
      <c r="L838" s="1">
        <f>+Tabla__192.168.1.8_POSEIDONSQL_APPFVT_01_tblFillRateFechas[[#This Row],[emb_cantidad]]-Tabla__192.168.1.8_POSEIDONSQL_APPFVT_01_tblFillRateFechas[[#This Row],[dev_cantidad]]</f>
        <v>1</v>
      </c>
      <c r="M838" s="1">
        <f>+IF(Tabla__192.168.1.8_POSEIDONSQL_APPFVT_01_tblFillRateFechas[[#This Row],[Cant_Resultante]]=Tabla__192.168.1.8_POSEIDONSQL_APPFVT_01_tblFillRateFechas[[#This Row],[cant_order]],1,0)</f>
        <v>1</v>
      </c>
      <c r="N8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8" s="1">
        <f>+IF(AND(Tabla__192.168.1.8_POSEIDONSQL_APPFVT_01_tblFillRateFechas[[#This Row],[Valida Cant]]=1,Tabla__192.168.1.8_POSEIDONSQL_APPFVT_01_tblFillRateFechas[[#This Row],[Valida Fec]]=1),1,0)</f>
        <v>1</v>
      </c>
      <c r="P838" s="1">
        <f>+(Tabla__192.168.1.8_POSEIDONSQL_APPFVT_01_tblFillRateFechas[[#This Row],[Cant_Resultante]]/Tabla__192.168.1.8_POSEIDONSQL_APPFVT_01_tblFillRateFechas[[#This Row],[cant_order]])*100</f>
        <v>100</v>
      </c>
      <c r="Q8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8" s="1">
        <f>+IF(Tabla__192.168.1.8_POSEIDONSQL_APPFVT_01_tblFillRateFechas[[#This Row],[cant_order]]&gt;0,1,0)</f>
        <v>1</v>
      </c>
      <c r="V838" s="1">
        <f>+IF(Tabla__192.168.1.8_POSEIDONSQL_APPFVT_01_tblFillRateFechas[[#This Row],[Resultado]]=1,1,0)</f>
        <v>1</v>
      </c>
      <c r="W838" s="1" t="str">
        <f>+Tabla__192.168.1.8_POSEIDONSQL_APPFVT_01_tblFillRateFechas[[#This Row],[con_ocnumero]]&amp;Tabla__192.168.1.8_POSEIDONSQL_APPFVT_01_tblFillRateFechas[[#This Row],[con_codigounico]]</f>
        <v>5098969-</v>
      </c>
      <c r="X8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39" spans="1:24" x14ac:dyDescent="0.25">
      <c r="A839">
        <v>24</v>
      </c>
      <c r="B839" t="s">
        <v>54</v>
      </c>
      <c r="C839">
        <v>5099042</v>
      </c>
      <c r="D839" t="s">
        <v>1978</v>
      </c>
      <c r="E839" t="s">
        <v>1971</v>
      </c>
      <c r="F839" t="s">
        <v>1979</v>
      </c>
      <c r="G839">
        <v>1</v>
      </c>
      <c r="H839">
        <v>1</v>
      </c>
      <c r="I839" t="s">
        <v>1971</v>
      </c>
      <c r="J839">
        <v>0</v>
      </c>
      <c r="K839" t="s">
        <v>49</v>
      </c>
      <c r="L839" s="1">
        <f>+Tabla__192.168.1.8_POSEIDONSQL_APPFVT_01_tblFillRateFechas[[#This Row],[emb_cantidad]]-Tabla__192.168.1.8_POSEIDONSQL_APPFVT_01_tblFillRateFechas[[#This Row],[dev_cantidad]]</f>
        <v>1</v>
      </c>
      <c r="M839" s="1">
        <f>+IF(Tabla__192.168.1.8_POSEIDONSQL_APPFVT_01_tblFillRateFechas[[#This Row],[Cant_Resultante]]=Tabla__192.168.1.8_POSEIDONSQL_APPFVT_01_tblFillRateFechas[[#This Row],[cant_order]],1,0)</f>
        <v>1</v>
      </c>
      <c r="N8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39" s="1">
        <f>+IF(AND(Tabla__192.168.1.8_POSEIDONSQL_APPFVT_01_tblFillRateFechas[[#This Row],[Valida Cant]]=1,Tabla__192.168.1.8_POSEIDONSQL_APPFVT_01_tblFillRateFechas[[#This Row],[Valida Fec]]=1),1,0)</f>
        <v>1</v>
      </c>
      <c r="P839" s="1">
        <f>+(Tabla__192.168.1.8_POSEIDONSQL_APPFVT_01_tblFillRateFechas[[#This Row],[Cant_Resultante]]/Tabla__192.168.1.8_POSEIDONSQL_APPFVT_01_tblFillRateFechas[[#This Row],[cant_order]])*100</f>
        <v>100</v>
      </c>
      <c r="Q8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39" s="1">
        <f>+IF(Tabla__192.168.1.8_POSEIDONSQL_APPFVT_01_tblFillRateFechas[[#This Row],[cant_order]]&gt;0,1,0)</f>
        <v>1</v>
      </c>
      <c r="V839" s="1">
        <f>+IF(Tabla__192.168.1.8_POSEIDONSQL_APPFVT_01_tblFillRateFechas[[#This Row],[Resultado]]=1,1,0)</f>
        <v>1</v>
      </c>
      <c r="W839" s="1" t="str">
        <f>+Tabla__192.168.1.8_POSEIDONSQL_APPFVT_01_tblFillRateFechas[[#This Row],[con_ocnumero]]&amp;Tabla__192.168.1.8_POSEIDONSQL_APPFVT_01_tblFillRateFechas[[#This Row],[con_codigounico]]</f>
        <v>5099042-</v>
      </c>
      <c r="X8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0" spans="1:24" x14ac:dyDescent="0.25">
      <c r="A840">
        <v>24</v>
      </c>
      <c r="B840" t="s">
        <v>54</v>
      </c>
      <c r="C840">
        <v>5099151</v>
      </c>
      <c r="D840" t="s">
        <v>1978</v>
      </c>
      <c r="E840" t="s">
        <v>1980</v>
      </c>
      <c r="F840" t="s">
        <v>1979</v>
      </c>
      <c r="G840">
        <v>1</v>
      </c>
      <c r="H840">
        <v>1</v>
      </c>
      <c r="I840" t="s">
        <v>1980</v>
      </c>
      <c r="J840">
        <v>0</v>
      </c>
      <c r="K840" t="s">
        <v>49</v>
      </c>
      <c r="L840" s="1">
        <f>+Tabla__192.168.1.8_POSEIDONSQL_APPFVT_01_tblFillRateFechas[[#This Row],[emb_cantidad]]-Tabla__192.168.1.8_POSEIDONSQL_APPFVT_01_tblFillRateFechas[[#This Row],[dev_cantidad]]</f>
        <v>1</v>
      </c>
      <c r="M840" s="1">
        <f>+IF(Tabla__192.168.1.8_POSEIDONSQL_APPFVT_01_tblFillRateFechas[[#This Row],[Cant_Resultante]]=Tabla__192.168.1.8_POSEIDONSQL_APPFVT_01_tblFillRateFechas[[#This Row],[cant_order]],1,0)</f>
        <v>1</v>
      </c>
      <c r="N8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0" s="1">
        <f>+IF(AND(Tabla__192.168.1.8_POSEIDONSQL_APPFVT_01_tblFillRateFechas[[#This Row],[Valida Cant]]=1,Tabla__192.168.1.8_POSEIDONSQL_APPFVT_01_tblFillRateFechas[[#This Row],[Valida Fec]]=1),1,0)</f>
        <v>1</v>
      </c>
      <c r="P840" s="1">
        <f>+(Tabla__192.168.1.8_POSEIDONSQL_APPFVT_01_tblFillRateFechas[[#This Row],[Cant_Resultante]]/Tabla__192.168.1.8_POSEIDONSQL_APPFVT_01_tblFillRateFechas[[#This Row],[cant_order]])*100</f>
        <v>100</v>
      </c>
      <c r="Q8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0" s="1">
        <f>+IF(Tabla__192.168.1.8_POSEIDONSQL_APPFVT_01_tblFillRateFechas[[#This Row],[cant_order]]&gt;0,1,0)</f>
        <v>1</v>
      </c>
      <c r="V840" s="1">
        <f>+IF(Tabla__192.168.1.8_POSEIDONSQL_APPFVT_01_tblFillRateFechas[[#This Row],[Resultado]]=1,1,0)</f>
        <v>1</v>
      </c>
      <c r="W840" s="1" t="str">
        <f>+Tabla__192.168.1.8_POSEIDONSQL_APPFVT_01_tblFillRateFechas[[#This Row],[con_ocnumero]]&amp;Tabla__192.168.1.8_POSEIDONSQL_APPFVT_01_tblFillRateFechas[[#This Row],[con_codigounico]]</f>
        <v>5099151-</v>
      </c>
      <c r="X8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1" spans="1:24" x14ac:dyDescent="0.25">
      <c r="A841">
        <v>24</v>
      </c>
      <c r="B841" t="s">
        <v>54</v>
      </c>
      <c r="C841">
        <v>5099219</v>
      </c>
      <c r="D841" t="s">
        <v>1978</v>
      </c>
      <c r="E841" t="s">
        <v>1965</v>
      </c>
      <c r="F841" t="s">
        <v>1967</v>
      </c>
      <c r="G841">
        <v>1</v>
      </c>
      <c r="H841">
        <v>1</v>
      </c>
      <c r="I841" t="s">
        <v>1971</v>
      </c>
      <c r="J841">
        <v>0</v>
      </c>
      <c r="K841" t="s">
        <v>49</v>
      </c>
      <c r="L841" s="1">
        <f>+Tabla__192.168.1.8_POSEIDONSQL_APPFVT_01_tblFillRateFechas[[#This Row],[emb_cantidad]]-Tabla__192.168.1.8_POSEIDONSQL_APPFVT_01_tblFillRateFechas[[#This Row],[dev_cantidad]]</f>
        <v>1</v>
      </c>
      <c r="M841" s="1">
        <f>+IF(Tabla__192.168.1.8_POSEIDONSQL_APPFVT_01_tblFillRateFechas[[#This Row],[Cant_Resultante]]=Tabla__192.168.1.8_POSEIDONSQL_APPFVT_01_tblFillRateFechas[[#This Row],[cant_order]],1,0)</f>
        <v>1</v>
      </c>
      <c r="N8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1" s="1">
        <f>+IF(AND(Tabla__192.168.1.8_POSEIDONSQL_APPFVT_01_tblFillRateFechas[[#This Row],[Valida Cant]]=1,Tabla__192.168.1.8_POSEIDONSQL_APPFVT_01_tblFillRateFechas[[#This Row],[Valida Fec]]=1),1,0)</f>
        <v>1</v>
      </c>
      <c r="P841" s="1">
        <f>+(Tabla__192.168.1.8_POSEIDONSQL_APPFVT_01_tblFillRateFechas[[#This Row],[Cant_Resultante]]/Tabla__192.168.1.8_POSEIDONSQL_APPFVT_01_tblFillRateFechas[[#This Row],[cant_order]])*100</f>
        <v>100</v>
      </c>
      <c r="Q8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1" s="1">
        <f>+IF(Tabla__192.168.1.8_POSEIDONSQL_APPFVT_01_tblFillRateFechas[[#This Row],[cant_order]]&gt;0,1,0)</f>
        <v>1</v>
      </c>
      <c r="V841" s="1">
        <f>+IF(Tabla__192.168.1.8_POSEIDONSQL_APPFVT_01_tblFillRateFechas[[#This Row],[Resultado]]=1,1,0)</f>
        <v>1</v>
      </c>
      <c r="W841" s="1" t="str">
        <f>+Tabla__192.168.1.8_POSEIDONSQL_APPFVT_01_tblFillRateFechas[[#This Row],[con_ocnumero]]&amp;Tabla__192.168.1.8_POSEIDONSQL_APPFVT_01_tblFillRateFechas[[#This Row],[con_codigounico]]</f>
        <v>5099219-</v>
      </c>
      <c r="X8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2" spans="1:24" x14ac:dyDescent="0.25">
      <c r="A842">
        <v>24</v>
      </c>
      <c r="B842" t="s">
        <v>54</v>
      </c>
      <c r="C842">
        <v>5099240</v>
      </c>
      <c r="D842" t="s">
        <v>1979</v>
      </c>
      <c r="E842" t="s">
        <v>1965</v>
      </c>
      <c r="F842" t="s">
        <v>1967</v>
      </c>
      <c r="G842">
        <v>1</v>
      </c>
      <c r="H842">
        <v>1</v>
      </c>
      <c r="I842" t="s">
        <v>1971</v>
      </c>
      <c r="J842">
        <v>0</v>
      </c>
      <c r="K842" t="s">
        <v>49</v>
      </c>
      <c r="L842" s="1">
        <f>+Tabla__192.168.1.8_POSEIDONSQL_APPFVT_01_tblFillRateFechas[[#This Row],[emb_cantidad]]-Tabla__192.168.1.8_POSEIDONSQL_APPFVT_01_tblFillRateFechas[[#This Row],[dev_cantidad]]</f>
        <v>1</v>
      </c>
      <c r="M842" s="1">
        <f>+IF(Tabla__192.168.1.8_POSEIDONSQL_APPFVT_01_tblFillRateFechas[[#This Row],[Cant_Resultante]]=Tabla__192.168.1.8_POSEIDONSQL_APPFVT_01_tblFillRateFechas[[#This Row],[cant_order]],1,0)</f>
        <v>1</v>
      </c>
      <c r="N8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2" s="1">
        <f>+IF(AND(Tabla__192.168.1.8_POSEIDONSQL_APPFVT_01_tblFillRateFechas[[#This Row],[Valida Cant]]=1,Tabla__192.168.1.8_POSEIDONSQL_APPFVT_01_tblFillRateFechas[[#This Row],[Valida Fec]]=1),1,0)</f>
        <v>1</v>
      </c>
      <c r="P842" s="1">
        <f>+(Tabla__192.168.1.8_POSEIDONSQL_APPFVT_01_tblFillRateFechas[[#This Row],[Cant_Resultante]]/Tabla__192.168.1.8_POSEIDONSQL_APPFVT_01_tblFillRateFechas[[#This Row],[cant_order]])*100</f>
        <v>100</v>
      </c>
      <c r="Q8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2" s="1">
        <f>+IF(Tabla__192.168.1.8_POSEIDONSQL_APPFVT_01_tblFillRateFechas[[#This Row],[cant_order]]&gt;0,1,0)</f>
        <v>1</v>
      </c>
      <c r="V842" s="1">
        <f>+IF(Tabla__192.168.1.8_POSEIDONSQL_APPFVT_01_tblFillRateFechas[[#This Row],[Resultado]]=1,1,0)</f>
        <v>1</v>
      </c>
      <c r="W842" s="1" t="str">
        <f>+Tabla__192.168.1.8_POSEIDONSQL_APPFVT_01_tblFillRateFechas[[#This Row],[con_ocnumero]]&amp;Tabla__192.168.1.8_POSEIDONSQL_APPFVT_01_tblFillRateFechas[[#This Row],[con_codigounico]]</f>
        <v>5099240-</v>
      </c>
      <c r="X8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3" spans="1:24" x14ac:dyDescent="0.25">
      <c r="A843">
        <v>24</v>
      </c>
      <c r="B843" t="s">
        <v>54</v>
      </c>
      <c r="C843">
        <v>5099362</v>
      </c>
      <c r="D843" t="s">
        <v>1979</v>
      </c>
      <c r="E843" t="s">
        <v>1977</v>
      </c>
      <c r="F843" t="s">
        <v>1967</v>
      </c>
      <c r="G843">
        <v>8</v>
      </c>
      <c r="H843">
        <v>0</v>
      </c>
      <c r="I843" t="s">
        <v>12</v>
      </c>
      <c r="J843">
        <v>0</v>
      </c>
      <c r="K843" t="s">
        <v>49</v>
      </c>
      <c r="L843" s="1">
        <f>+Tabla__192.168.1.8_POSEIDONSQL_APPFVT_01_tblFillRateFechas[[#This Row],[emb_cantidad]]-Tabla__192.168.1.8_POSEIDONSQL_APPFVT_01_tblFillRateFechas[[#This Row],[dev_cantidad]]</f>
        <v>0</v>
      </c>
      <c r="M843" s="1">
        <f>+IF(Tabla__192.168.1.8_POSEIDONSQL_APPFVT_01_tblFillRateFechas[[#This Row],[Cant_Resultante]]=Tabla__192.168.1.8_POSEIDONSQL_APPFVT_01_tblFillRateFechas[[#This Row],[cant_order]],1,0)</f>
        <v>0</v>
      </c>
      <c r="N8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43" s="1">
        <f>+IF(AND(Tabla__192.168.1.8_POSEIDONSQL_APPFVT_01_tblFillRateFechas[[#This Row],[Valida Cant]]=1,Tabla__192.168.1.8_POSEIDONSQL_APPFVT_01_tblFillRateFechas[[#This Row],[Valida Fec]]=1),1,0)</f>
        <v>0</v>
      </c>
      <c r="P843" s="1">
        <f>+(Tabla__192.168.1.8_POSEIDONSQL_APPFVT_01_tblFillRateFechas[[#This Row],[Cant_Resultante]]/Tabla__192.168.1.8_POSEIDONSQL_APPFVT_01_tblFillRateFechas[[#This Row],[cant_order]])*100</f>
        <v>0</v>
      </c>
      <c r="Q8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8</v>
      </c>
      <c r="U843" s="1">
        <f>+IF(Tabla__192.168.1.8_POSEIDONSQL_APPFVT_01_tblFillRateFechas[[#This Row],[cant_order]]&gt;0,1,0)</f>
        <v>1</v>
      </c>
      <c r="V843" s="1">
        <f>+IF(Tabla__192.168.1.8_POSEIDONSQL_APPFVT_01_tblFillRateFechas[[#This Row],[Resultado]]=1,1,0)</f>
        <v>0</v>
      </c>
      <c r="W843" s="1" t="str">
        <f>+Tabla__192.168.1.8_POSEIDONSQL_APPFVT_01_tblFillRateFechas[[#This Row],[con_ocnumero]]&amp;Tabla__192.168.1.8_POSEIDONSQL_APPFVT_01_tblFillRateFechas[[#This Row],[con_codigounico]]</f>
        <v>5099362-</v>
      </c>
      <c r="X8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44" spans="1:24" x14ac:dyDescent="0.25">
      <c r="A844">
        <v>24</v>
      </c>
      <c r="B844" t="s">
        <v>54</v>
      </c>
      <c r="C844">
        <v>5099462</v>
      </c>
      <c r="D844" t="s">
        <v>1967</v>
      </c>
      <c r="E844" t="s">
        <v>1962</v>
      </c>
      <c r="F844" t="s">
        <v>1968</v>
      </c>
      <c r="G844">
        <v>1097</v>
      </c>
      <c r="H844">
        <v>990</v>
      </c>
      <c r="I844" t="s">
        <v>1977</v>
      </c>
      <c r="J844">
        <v>404</v>
      </c>
      <c r="K844" t="s">
        <v>49</v>
      </c>
      <c r="L844" s="1">
        <f>+Tabla__192.168.1.8_POSEIDONSQL_APPFVT_01_tblFillRateFechas[[#This Row],[emb_cantidad]]-Tabla__192.168.1.8_POSEIDONSQL_APPFVT_01_tblFillRateFechas[[#This Row],[dev_cantidad]]</f>
        <v>586</v>
      </c>
      <c r="M844" s="1">
        <f>+IF(Tabla__192.168.1.8_POSEIDONSQL_APPFVT_01_tblFillRateFechas[[#This Row],[Cant_Resultante]]=Tabla__192.168.1.8_POSEIDONSQL_APPFVT_01_tblFillRateFechas[[#This Row],[cant_order]],1,0)</f>
        <v>0</v>
      </c>
      <c r="N8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4" s="1">
        <f>+IF(AND(Tabla__192.168.1.8_POSEIDONSQL_APPFVT_01_tblFillRateFechas[[#This Row],[Valida Cant]]=1,Tabla__192.168.1.8_POSEIDONSQL_APPFVT_01_tblFillRateFechas[[#This Row],[Valida Fec]]=1),1,0)</f>
        <v>0</v>
      </c>
      <c r="P844" s="1">
        <f>+(Tabla__192.168.1.8_POSEIDONSQL_APPFVT_01_tblFillRateFechas[[#This Row],[Cant_Resultante]]/Tabla__192.168.1.8_POSEIDONSQL_APPFVT_01_tblFillRateFechas[[#This Row],[cant_order]])*100</f>
        <v>53.418413855970826</v>
      </c>
      <c r="Q8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586</v>
      </c>
      <c r="R8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182</v>
      </c>
      <c r="T8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915</v>
      </c>
      <c r="U844" s="1">
        <f>+IF(Tabla__192.168.1.8_POSEIDONSQL_APPFVT_01_tblFillRateFechas[[#This Row],[cant_order]]&gt;0,1,0)</f>
        <v>1</v>
      </c>
      <c r="V844" s="1">
        <f>+IF(Tabla__192.168.1.8_POSEIDONSQL_APPFVT_01_tblFillRateFechas[[#This Row],[Resultado]]=1,1,0)</f>
        <v>0</v>
      </c>
      <c r="W844" s="1" t="str">
        <f>+Tabla__192.168.1.8_POSEIDONSQL_APPFVT_01_tblFillRateFechas[[#This Row],[con_ocnumero]]&amp;Tabla__192.168.1.8_POSEIDONSQL_APPFVT_01_tblFillRateFechas[[#This Row],[con_codigounico]]</f>
        <v>5099462-</v>
      </c>
      <c r="X8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586</v>
      </c>
    </row>
    <row r="845" spans="1:24" x14ac:dyDescent="0.25">
      <c r="A845">
        <v>24</v>
      </c>
      <c r="B845" t="s">
        <v>54</v>
      </c>
      <c r="C845">
        <v>5099481</v>
      </c>
      <c r="D845" t="s">
        <v>1967</v>
      </c>
      <c r="E845" t="s">
        <v>160</v>
      </c>
      <c r="F845" t="s">
        <v>1968</v>
      </c>
      <c r="G845">
        <v>2</v>
      </c>
      <c r="H845">
        <v>0</v>
      </c>
      <c r="I845" t="s">
        <v>12</v>
      </c>
      <c r="J845">
        <v>0</v>
      </c>
      <c r="K845" t="s">
        <v>49</v>
      </c>
      <c r="L845" s="1">
        <f>+Tabla__192.168.1.8_POSEIDONSQL_APPFVT_01_tblFillRateFechas[[#This Row],[emb_cantidad]]-Tabla__192.168.1.8_POSEIDONSQL_APPFVT_01_tblFillRateFechas[[#This Row],[dev_cantidad]]</f>
        <v>0</v>
      </c>
      <c r="M845" s="1">
        <f>+IF(Tabla__192.168.1.8_POSEIDONSQL_APPFVT_01_tblFillRateFechas[[#This Row],[Cant_Resultante]]=Tabla__192.168.1.8_POSEIDONSQL_APPFVT_01_tblFillRateFechas[[#This Row],[cant_order]],1,0)</f>
        <v>0</v>
      </c>
      <c r="N8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45" s="1">
        <f>+IF(AND(Tabla__192.168.1.8_POSEIDONSQL_APPFVT_01_tblFillRateFechas[[#This Row],[Valida Cant]]=1,Tabla__192.168.1.8_POSEIDONSQL_APPFVT_01_tblFillRateFechas[[#This Row],[Valida Fec]]=1),1,0)</f>
        <v>0</v>
      </c>
      <c r="P845" s="1">
        <f>+(Tabla__192.168.1.8_POSEIDONSQL_APPFVT_01_tblFillRateFechas[[#This Row],[Cant_Resultante]]/Tabla__192.168.1.8_POSEIDONSQL_APPFVT_01_tblFillRateFechas[[#This Row],[cant_order]])*100</f>
        <v>0</v>
      </c>
      <c r="Q8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845" s="1">
        <f>+IF(Tabla__192.168.1.8_POSEIDONSQL_APPFVT_01_tblFillRateFechas[[#This Row],[cant_order]]&gt;0,1,0)</f>
        <v>1</v>
      </c>
      <c r="V845" s="1">
        <f>+IF(Tabla__192.168.1.8_POSEIDONSQL_APPFVT_01_tblFillRateFechas[[#This Row],[Resultado]]=1,1,0)</f>
        <v>0</v>
      </c>
      <c r="W845" s="1" t="str">
        <f>+Tabla__192.168.1.8_POSEIDONSQL_APPFVT_01_tblFillRateFechas[[#This Row],[con_ocnumero]]&amp;Tabla__192.168.1.8_POSEIDONSQL_APPFVT_01_tblFillRateFechas[[#This Row],[con_codigounico]]</f>
        <v>5099481-</v>
      </c>
      <c r="X8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46" spans="1:24" x14ac:dyDescent="0.25">
      <c r="A846">
        <v>24</v>
      </c>
      <c r="B846" t="s">
        <v>54</v>
      </c>
      <c r="C846">
        <v>5099718</v>
      </c>
      <c r="D846" t="s">
        <v>1968</v>
      </c>
      <c r="E846" t="s">
        <v>160</v>
      </c>
      <c r="F846" t="s">
        <v>1971</v>
      </c>
      <c r="G846">
        <v>1</v>
      </c>
      <c r="H846">
        <v>1</v>
      </c>
      <c r="I846" t="s">
        <v>1962</v>
      </c>
      <c r="J846">
        <v>0</v>
      </c>
      <c r="K846" t="s">
        <v>49</v>
      </c>
      <c r="L846" s="1">
        <f>+Tabla__192.168.1.8_POSEIDONSQL_APPFVT_01_tblFillRateFechas[[#This Row],[emb_cantidad]]-Tabla__192.168.1.8_POSEIDONSQL_APPFVT_01_tblFillRateFechas[[#This Row],[dev_cantidad]]</f>
        <v>1</v>
      </c>
      <c r="M846" s="1">
        <f>+IF(Tabla__192.168.1.8_POSEIDONSQL_APPFVT_01_tblFillRateFechas[[#This Row],[Cant_Resultante]]=Tabla__192.168.1.8_POSEIDONSQL_APPFVT_01_tblFillRateFechas[[#This Row],[cant_order]],1,0)</f>
        <v>1</v>
      </c>
      <c r="N8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6" s="1">
        <f>+IF(AND(Tabla__192.168.1.8_POSEIDONSQL_APPFVT_01_tblFillRateFechas[[#This Row],[Valida Cant]]=1,Tabla__192.168.1.8_POSEIDONSQL_APPFVT_01_tblFillRateFechas[[#This Row],[Valida Fec]]=1),1,0)</f>
        <v>1</v>
      </c>
      <c r="P846" s="1">
        <f>+(Tabla__192.168.1.8_POSEIDONSQL_APPFVT_01_tblFillRateFechas[[#This Row],[Cant_Resultante]]/Tabla__192.168.1.8_POSEIDONSQL_APPFVT_01_tblFillRateFechas[[#This Row],[cant_order]])*100</f>
        <v>100</v>
      </c>
      <c r="Q8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6" s="1">
        <f>+IF(Tabla__192.168.1.8_POSEIDONSQL_APPFVT_01_tblFillRateFechas[[#This Row],[cant_order]]&gt;0,1,0)</f>
        <v>1</v>
      </c>
      <c r="V846" s="1">
        <f>+IF(Tabla__192.168.1.8_POSEIDONSQL_APPFVT_01_tblFillRateFechas[[#This Row],[Resultado]]=1,1,0)</f>
        <v>1</v>
      </c>
      <c r="W846" s="1" t="str">
        <f>+Tabla__192.168.1.8_POSEIDONSQL_APPFVT_01_tblFillRateFechas[[#This Row],[con_ocnumero]]&amp;Tabla__192.168.1.8_POSEIDONSQL_APPFVT_01_tblFillRateFechas[[#This Row],[con_codigounico]]</f>
        <v>5099718-</v>
      </c>
      <c r="X8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7" spans="1:24" x14ac:dyDescent="0.25">
      <c r="A847">
        <v>24</v>
      </c>
      <c r="B847" t="s">
        <v>54</v>
      </c>
      <c r="C847">
        <v>5100233</v>
      </c>
      <c r="D847" t="s">
        <v>1970</v>
      </c>
      <c r="E847" t="s">
        <v>161</v>
      </c>
      <c r="F847" t="s">
        <v>1962</v>
      </c>
      <c r="G847">
        <v>1</v>
      </c>
      <c r="H847">
        <v>1</v>
      </c>
      <c r="I847" t="s">
        <v>160</v>
      </c>
      <c r="J847">
        <v>0</v>
      </c>
      <c r="K847" t="s">
        <v>49</v>
      </c>
      <c r="L847" s="1">
        <f>+Tabla__192.168.1.8_POSEIDONSQL_APPFVT_01_tblFillRateFechas[[#This Row],[emb_cantidad]]-Tabla__192.168.1.8_POSEIDONSQL_APPFVT_01_tblFillRateFechas[[#This Row],[dev_cantidad]]</f>
        <v>1</v>
      </c>
      <c r="M847" s="1">
        <f>+IF(Tabla__192.168.1.8_POSEIDONSQL_APPFVT_01_tblFillRateFechas[[#This Row],[Cant_Resultante]]=Tabla__192.168.1.8_POSEIDONSQL_APPFVT_01_tblFillRateFechas[[#This Row],[cant_order]],1,0)</f>
        <v>1</v>
      </c>
      <c r="N8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7" s="1">
        <f>+IF(AND(Tabla__192.168.1.8_POSEIDONSQL_APPFVT_01_tblFillRateFechas[[#This Row],[Valida Cant]]=1,Tabla__192.168.1.8_POSEIDONSQL_APPFVT_01_tblFillRateFechas[[#This Row],[Valida Fec]]=1),1,0)</f>
        <v>1</v>
      </c>
      <c r="P847" s="1">
        <f>+(Tabla__192.168.1.8_POSEIDONSQL_APPFVT_01_tblFillRateFechas[[#This Row],[Cant_Resultante]]/Tabla__192.168.1.8_POSEIDONSQL_APPFVT_01_tblFillRateFechas[[#This Row],[cant_order]])*100</f>
        <v>100</v>
      </c>
      <c r="Q8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7" s="1">
        <f>+IF(Tabla__192.168.1.8_POSEIDONSQL_APPFVT_01_tblFillRateFechas[[#This Row],[cant_order]]&gt;0,1,0)</f>
        <v>1</v>
      </c>
      <c r="V847" s="1">
        <f>+IF(Tabla__192.168.1.8_POSEIDONSQL_APPFVT_01_tblFillRateFechas[[#This Row],[Resultado]]=1,1,0)</f>
        <v>1</v>
      </c>
      <c r="W847" s="1" t="str">
        <f>+Tabla__192.168.1.8_POSEIDONSQL_APPFVT_01_tblFillRateFechas[[#This Row],[con_ocnumero]]&amp;Tabla__192.168.1.8_POSEIDONSQL_APPFVT_01_tblFillRateFechas[[#This Row],[con_codigounico]]</f>
        <v>5100233-</v>
      </c>
      <c r="X8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48" spans="1:24" x14ac:dyDescent="0.25">
      <c r="A848">
        <v>24</v>
      </c>
      <c r="B848" t="s">
        <v>54</v>
      </c>
      <c r="C848">
        <v>5100902</v>
      </c>
      <c r="D848" t="s">
        <v>1980</v>
      </c>
      <c r="E848" t="s">
        <v>1982</v>
      </c>
      <c r="F848" t="s">
        <v>1977</v>
      </c>
      <c r="G848">
        <v>30</v>
      </c>
      <c r="H848">
        <v>0</v>
      </c>
      <c r="I848" t="s">
        <v>12</v>
      </c>
      <c r="J848">
        <v>0</v>
      </c>
      <c r="K848" t="s">
        <v>49</v>
      </c>
      <c r="L848" s="1">
        <f>+Tabla__192.168.1.8_POSEIDONSQL_APPFVT_01_tblFillRateFechas[[#This Row],[emb_cantidad]]-Tabla__192.168.1.8_POSEIDONSQL_APPFVT_01_tblFillRateFechas[[#This Row],[dev_cantidad]]</f>
        <v>0</v>
      </c>
      <c r="M848" s="1">
        <f>+IF(Tabla__192.168.1.8_POSEIDONSQL_APPFVT_01_tblFillRateFechas[[#This Row],[Cant_Resultante]]=Tabla__192.168.1.8_POSEIDONSQL_APPFVT_01_tblFillRateFechas[[#This Row],[cant_order]],1,0)</f>
        <v>0</v>
      </c>
      <c r="N8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48" s="1">
        <f>+IF(AND(Tabla__192.168.1.8_POSEIDONSQL_APPFVT_01_tblFillRateFechas[[#This Row],[Valida Cant]]=1,Tabla__192.168.1.8_POSEIDONSQL_APPFVT_01_tblFillRateFechas[[#This Row],[Valida Fec]]=1),1,0)</f>
        <v>0</v>
      </c>
      <c r="P848" s="1">
        <f>+(Tabla__192.168.1.8_POSEIDONSQL_APPFVT_01_tblFillRateFechas[[#This Row],[Cant_Resultante]]/Tabla__192.168.1.8_POSEIDONSQL_APPFVT_01_tblFillRateFechas[[#This Row],[cant_order]])*100</f>
        <v>0</v>
      </c>
      <c r="Q8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30</v>
      </c>
      <c r="U848" s="1">
        <f>+IF(Tabla__192.168.1.8_POSEIDONSQL_APPFVT_01_tblFillRateFechas[[#This Row],[cant_order]]&gt;0,1,0)</f>
        <v>1</v>
      </c>
      <c r="V848" s="1">
        <f>+IF(Tabla__192.168.1.8_POSEIDONSQL_APPFVT_01_tblFillRateFechas[[#This Row],[Resultado]]=1,1,0)</f>
        <v>0</v>
      </c>
      <c r="W848" s="1" t="str">
        <f>+Tabla__192.168.1.8_POSEIDONSQL_APPFVT_01_tblFillRateFechas[[#This Row],[con_ocnumero]]&amp;Tabla__192.168.1.8_POSEIDONSQL_APPFVT_01_tblFillRateFechas[[#This Row],[con_codigounico]]</f>
        <v>5100902-</v>
      </c>
      <c r="X8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49" spans="1:24" x14ac:dyDescent="0.25">
      <c r="A849">
        <v>24</v>
      </c>
      <c r="B849" t="s">
        <v>54</v>
      </c>
      <c r="C849">
        <v>5101013</v>
      </c>
      <c r="D849" t="s">
        <v>1980</v>
      </c>
      <c r="E849" t="s">
        <v>1982</v>
      </c>
      <c r="F849" t="s">
        <v>1977</v>
      </c>
      <c r="G849">
        <v>30</v>
      </c>
      <c r="H849">
        <v>30</v>
      </c>
      <c r="I849" t="s">
        <v>1962</v>
      </c>
      <c r="J849">
        <v>0</v>
      </c>
      <c r="K849" t="s">
        <v>49</v>
      </c>
      <c r="L849" s="1">
        <f>+Tabla__192.168.1.8_POSEIDONSQL_APPFVT_01_tblFillRateFechas[[#This Row],[emb_cantidad]]-Tabla__192.168.1.8_POSEIDONSQL_APPFVT_01_tblFillRateFechas[[#This Row],[dev_cantidad]]</f>
        <v>30</v>
      </c>
      <c r="M849" s="1">
        <f>+IF(Tabla__192.168.1.8_POSEIDONSQL_APPFVT_01_tblFillRateFechas[[#This Row],[Cant_Resultante]]=Tabla__192.168.1.8_POSEIDONSQL_APPFVT_01_tblFillRateFechas[[#This Row],[cant_order]],1,0)</f>
        <v>1</v>
      </c>
      <c r="N8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49" s="1">
        <f>+IF(AND(Tabla__192.168.1.8_POSEIDONSQL_APPFVT_01_tblFillRateFechas[[#This Row],[Valida Cant]]=1,Tabla__192.168.1.8_POSEIDONSQL_APPFVT_01_tblFillRateFechas[[#This Row],[Valida Fec]]=1),1,0)</f>
        <v>1</v>
      </c>
      <c r="P849" s="1">
        <f>+(Tabla__192.168.1.8_POSEIDONSQL_APPFVT_01_tblFillRateFechas[[#This Row],[Cant_Resultante]]/Tabla__192.168.1.8_POSEIDONSQL_APPFVT_01_tblFillRateFechas[[#This Row],[cant_order]])*100</f>
        <v>100</v>
      </c>
      <c r="Q8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30</v>
      </c>
      <c r="R8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30</v>
      </c>
      <c r="T8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49" s="1">
        <f>+IF(Tabla__192.168.1.8_POSEIDONSQL_APPFVT_01_tblFillRateFechas[[#This Row],[cant_order]]&gt;0,1,0)</f>
        <v>1</v>
      </c>
      <c r="V849" s="1">
        <f>+IF(Tabla__192.168.1.8_POSEIDONSQL_APPFVT_01_tblFillRateFechas[[#This Row],[Resultado]]=1,1,0)</f>
        <v>1</v>
      </c>
      <c r="W849" s="1" t="str">
        <f>+Tabla__192.168.1.8_POSEIDONSQL_APPFVT_01_tblFillRateFechas[[#This Row],[con_ocnumero]]&amp;Tabla__192.168.1.8_POSEIDONSQL_APPFVT_01_tblFillRateFechas[[#This Row],[con_codigounico]]</f>
        <v>5101013-</v>
      </c>
      <c r="X8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30</v>
      </c>
    </row>
    <row r="850" spans="1:24" x14ac:dyDescent="0.25">
      <c r="A850">
        <v>24</v>
      </c>
      <c r="B850" t="s">
        <v>54</v>
      </c>
      <c r="C850">
        <v>5101084</v>
      </c>
      <c r="D850" t="s">
        <v>1980</v>
      </c>
      <c r="E850" t="s">
        <v>162</v>
      </c>
      <c r="F850" t="s">
        <v>1977</v>
      </c>
      <c r="G850">
        <v>1</v>
      </c>
      <c r="H850">
        <v>1</v>
      </c>
      <c r="I850" t="s">
        <v>162</v>
      </c>
      <c r="J850">
        <v>0</v>
      </c>
      <c r="K850" t="s">
        <v>49</v>
      </c>
      <c r="L850" s="1">
        <f>+Tabla__192.168.1.8_POSEIDONSQL_APPFVT_01_tblFillRateFechas[[#This Row],[emb_cantidad]]-Tabla__192.168.1.8_POSEIDONSQL_APPFVT_01_tblFillRateFechas[[#This Row],[dev_cantidad]]</f>
        <v>1</v>
      </c>
      <c r="M850" s="1">
        <f>+IF(Tabla__192.168.1.8_POSEIDONSQL_APPFVT_01_tblFillRateFechas[[#This Row],[Cant_Resultante]]=Tabla__192.168.1.8_POSEIDONSQL_APPFVT_01_tblFillRateFechas[[#This Row],[cant_order]],1,0)</f>
        <v>1</v>
      </c>
      <c r="N8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0" s="1">
        <f>+IF(AND(Tabla__192.168.1.8_POSEIDONSQL_APPFVT_01_tblFillRateFechas[[#This Row],[Valida Cant]]=1,Tabla__192.168.1.8_POSEIDONSQL_APPFVT_01_tblFillRateFechas[[#This Row],[Valida Fec]]=1),1,0)</f>
        <v>1</v>
      </c>
      <c r="P850" s="1">
        <f>+(Tabla__192.168.1.8_POSEIDONSQL_APPFVT_01_tblFillRateFechas[[#This Row],[Cant_Resultante]]/Tabla__192.168.1.8_POSEIDONSQL_APPFVT_01_tblFillRateFechas[[#This Row],[cant_order]])*100</f>
        <v>100</v>
      </c>
      <c r="Q8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0" s="1">
        <f>+IF(Tabla__192.168.1.8_POSEIDONSQL_APPFVT_01_tblFillRateFechas[[#This Row],[cant_order]]&gt;0,1,0)</f>
        <v>1</v>
      </c>
      <c r="V850" s="1">
        <f>+IF(Tabla__192.168.1.8_POSEIDONSQL_APPFVT_01_tblFillRateFechas[[#This Row],[Resultado]]=1,1,0)</f>
        <v>1</v>
      </c>
      <c r="W850" s="1" t="str">
        <f>+Tabla__192.168.1.8_POSEIDONSQL_APPFVT_01_tblFillRateFechas[[#This Row],[con_ocnumero]]&amp;Tabla__192.168.1.8_POSEIDONSQL_APPFVT_01_tblFillRateFechas[[#This Row],[con_codigounico]]</f>
        <v>5101084-</v>
      </c>
      <c r="X8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1" spans="1:24" x14ac:dyDescent="0.25">
      <c r="A851">
        <v>24</v>
      </c>
      <c r="B851" t="s">
        <v>54</v>
      </c>
      <c r="C851">
        <v>5101219</v>
      </c>
      <c r="D851" t="s">
        <v>1977</v>
      </c>
      <c r="E851" t="s">
        <v>429</v>
      </c>
      <c r="F851" t="s">
        <v>1962</v>
      </c>
      <c r="G851">
        <v>1</v>
      </c>
      <c r="H851">
        <v>1</v>
      </c>
      <c r="I851" t="s">
        <v>163</v>
      </c>
      <c r="J851">
        <v>0</v>
      </c>
      <c r="K851" t="s">
        <v>49</v>
      </c>
      <c r="L851" s="1">
        <f>+Tabla__192.168.1.8_POSEIDONSQL_APPFVT_01_tblFillRateFechas[[#This Row],[emb_cantidad]]-Tabla__192.168.1.8_POSEIDONSQL_APPFVT_01_tblFillRateFechas[[#This Row],[dev_cantidad]]</f>
        <v>1</v>
      </c>
      <c r="M851" s="1">
        <f>+IF(Tabla__192.168.1.8_POSEIDONSQL_APPFVT_01_tblFillRateFechas[[#This Row],[Cant_Resultante]]=Tabla__192.168.1.8_POSEIDONSQL_APPFVT_01_tblFillRateFechas[[#This Row],[cant_order]],1,0)</f>
        <v>1</v>
      </c>
      <c r="N8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1" s="1">
        <f>+IF(AND(Tabla__192.168.1.8_POSEIDONSQL_APPFVT_01_tblFillRateFechas[[#This Row],[Valida Cant]]=1,Tabla__192.168.1.8_POSEIDONSQL_APPFVT_01_tblFillRateFechas[[#This Row],[Valida Fec]]=1),1,0)</f>
        <v>1</v>
      </c>
      <c r="P851" s="1">
        <f>+(Tabla__192.168.1.8_POSEIDONSQL_APPFVT_01_tblFillRateFechas[[#This Row],[Cant_Resultante]]/Tabla__192.168.1.8_POSEIDONSQL_APPFVT_01_tblFillRateFechas[[#This Row],[cant_order]])*100</f>
        <v>100</v>
      </c>
      <c r="Q8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1" s="1">
        <f>+IF(Tabla__192.168.1.8_POSEIDONSQL_APPFVT_01_tblFillRateFechas[[#This Row],[cant_order]]&gt;0,1,0)</f>
        <v>1</v>
      </c>
      <c r="V851" s="1">
        <f>+IF(Tabla__192.168.1.8_POSEIDONSQL_APPFVT_01_tblFillRateFechas[[#This Row],[Resultado]]=1,1,0)</f>
        <v>1</v>
      </c>
      <c r="W851" s="1" t="str">
        <f>+Tabla__192.168.1.8_POSEIDONSQL_APPFVT_01_tblFillRateFechas[[#This Row],[con_ocnumero]]&amp;Tabla__192.168.1.8_POSEIDONSQL_APPFVT_01_tblFillRateFechas[[#This Row],[con_codigounico]]</f>
        <v>5101219-</v>
      </c>
      <c r="X8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2" spans="1:24" x14ac:dyDescent="0.25">
      <c r="A852">
        <v>24</v>
      </c>
      <c r="B852" t="s">
        <v>54</v>
      </c>
      <c r="C852">
        <v>5101343</v>
      </c>
      <c r="D852" t="s">
        <v>1962</v>
      </c>
      <c r="E852" t="s">
        <v>1982</v>
      </c>
      <c r="F852" t="s">
        <v>1963</v>
      </c>
      <c r="G852">
        <v>1310</v>
      </c>
      <c r="H852">
        <v>340</v>
      </c>
      <c r="I852" t="s">
        <v>160</v>
      </c>
      <c r="J852">
        <v>0</v>
      </c>
      <c r="K852" t="s">
        <v>49</v>
      </c>
      <c r="L852" s="1">
        <f>+Tabla__192.168.1.8_POSEIDONSQL_APPFVT_01_tblFillRateFechas[[#This Row],[emb_cantidad]]-Tabla__192.168.1.8_POSEIDONSQL_APPFVT_01_tblFillRateFechas[[#This Row],[dev_cantidad]]</f>
        <v>340</v>
      </c>
      <c r="M852" s="1">
        <f>+IF(Tabla__192.168.1.8_POSEIDONSQL_APPFVT_01_tblFillRateFechas[[#This Row],[Cant_Resultante]]=Tabla__192.168.1.8_POSEIDONSQL_APPFVT_01_tblFillRateFechas[[#This Row],[cant_order]],1,0)</f>
        <v>0</v>
      </c>
      <c r="N8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2" s="1">
        <f>+IF(AND(Tabla__192.168.1.8_POSEIDONSQL_APPFVT_01_tblFillRateFechas[[#This Row],[Valida Cant]]=1,Tabla__192.168.1.8_POSEIDONSQL_APPFVT_01_tblFillRateFechas[[#This Row],[Valida Fec]]=1),1,0)</f>
        <v>0</v>
      </c>
      <c r="P852" s="1">
        <f>+(Tabla__192.168.1.8_POSEIDONSQL_APPFVT_01_tblFillRateFechas[[#This Row],[Cant_Resultante]]/Tabla__192.168.1.8_POSEIDONSQL_APPFVT_01_tblFillRateFechas[[#This Row],[cant_order]])*100</f>
        <v>25.954198473282442</v>
      </c>
      <c r="Q8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340</v>
      </c>
      <c r="R8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340</v>
      </c>
      <c r="T8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970</v>
      </c>
      <c r="U852" s="1">
        <f>+IF(Tabla__192.168.1.8_POSEIDONSQL_APPFVT_01_tblFillRateFechas[[#This Row],[cant_order]]&gt;0,1,0)</f>
        <v>1</v>
      </c>
      <c r="V852" s="1">
        <f>+IF(Tabla__192.168.1.8_POSEIDONSQL_APPFVT_01_tblFillRateFechas[[#This Row],[Resultado]]=1,1,0)</f>
        <v>0</v>
      </c>
      <c r="W852" s="1" t="str">
        <f>+Tabla__192.168.1.8_POSEIDONSQL_APPFVT_01_tblFillRateFechas[[#This Row],[con_ocnumero]]&amp;Tabla__192.168.1.8_POSEIDONSQL_APPFVT_01_tblFillRateFechas[[#This Row],[con_codigounico]]</f>
        <v>5101343-</v>
      </c>
      <c r="X8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340</v>
      </c>
    </row>
    <row r="853" spans="1:24" x14ac:dyDescent="0.25">
      <c r="A853">
        <v>24</v>
      </c>
      <c r="B853" t="s">
        <v>54</v>
      </c>
      <c r="C853">
        <v>5101382</v>
      </c>
      <c r="D853" t="s">
        <v>1962</v>
      </c>
      <c r="E853" t="s">
        <v>428</v>
      </c>
      <c r="F853" t="s">
        <v>1963</v>
      </c>
      <c r="G853">
        <v>1</v>
      </c>
      <c r="H853">
        <v>1</v>
      </c>
      <c r="I853" t="s">
        <v>162</v>
      </c>
      <c r="J853">
        <v>0</v>
      </c>
      <c r="K853" t="s">
        <v>49</v>
      </c>
      <c r="L853" s="1">
        <f>+Tabla__192.168.1.8_POSEIDONSQL_APPFVT_01_tblFillRateFechas[[#This Row],[emb_cantidad]]-Tabla__192.168.1.8_POSEIDONSQL_APPFVT_01_tblFillRateFechas[[#This Row],[dev_cantidad]]</f>
        <v>1</v>
      </c>
      <c r="M853" s="1">
        <f>+IF(Tabla__192.168.1.8_POSEIDONSQL_APPFVT_01_tblFillRateFechas[[#This Row],[Cant_Resultante]]=Tabla__192.168.1.8_POSEIDONSQL_APPFVT_01_tblFillRateFechas[[#This Row],[cant_order]],1,0)</f>
        <v>1</v>
      </c>
      <c r="N8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3" s="1">
        <f>+IF(AND(Tabla__192.168.1.8_POSEIDONSQL_APPFVT_01_tblFillRateFechas[[#This Row],[Valida Cant]]=1,Tabla__192.168.1.8_POSEIDONSQL_APPFVT_01_tblFillRateFechas[[#This Row],[Valida Fec]]=1),1,0)</f>
        <v>1</v>
      </c>
      <c r="P853" s="1">
        <f>+(Tabla__192.168.1.8_POSEIDONSQL_APPFVT_01_tblFillRateFechas[[#This Row],[Cant_Resultante]]/Tabla__192.168.1.8_POSEIDONSQL_APPFVT_01_tblFillRateFechas[[#This Row],[cant_order]])*100</f>
        <v>100</v>
      </c>
      <c r="Q8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3" s="1">
        <f>+IF(Tabla__192.168.1.8_POSEIDONSQL_APPFVT_01_tblFillRateFechas[[#This Row],[cant_order]]&gt;0,1,0)</f>
        <v>1</v>
      </c>
      <c r="V853" s="1">
        <f>+IF(Tabla__192.168.1.8_POSEIDONSQL_APPFVT_01_tblFillRateFechas[[#This Row],[Resultado]]=1,1,0)</f>
        <v>1</v>
      </c>
      <c r="W853" s="1" t="str">
        <f>+Tabla__192.168.1.8_POSEIDONSQL_APPFVT_01_tblFillRateFechas[[#This Row],[con_ocnumero]]&amp;Tabla__192.168.1.8_POSEIDONSQL_APPFVT_01_tblFillRateFechas[[#This Row],[con_codigounico]]</f>
        <v>5101382-</v>
      </c>
      <c r="X8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4" spans="1:24" x14ac:dyDescent="0.25">
      <c r="A854">
        <v>24</v>
      </c>
      <c r="B854" t="s">
        <v>54</v>
      </c>
      <c r="C854">
        <v>5101545</v>
      </c>
      <c r="D854" t="s">
        <v>1962</v>
      </c>
      <c r="E854" t="s">
        <v>163</v>
      </c>
      <c r="F854" t="s">
        <v>1963</v>
      </c>
      <c r="G854">
        <v>1</v>
      </c>
      <c r="H854">
        <v>1</v>
      </c>
      <c r="I854" t="s">
        <v>163</v>
      </c>
      <c r="J854">
        <v>0</v>
      </c>
      <c r="K854" t="s">
        <v>49</v>
      </c>
      <c r="L854" s="1">
        <f>+Tabla__192.168.1.8_POSEIDONSQL_APPFVT_01_tblFillRateFechas[[#This Row],[emb_cantidad]]-Tabla__192.168.1.8_POSEIDONSQL_APPFVT_01_tblFillRateFechas[[#This Row],[dev_cantidad]]</f>
        <v>1</v>
      </c>
      <c r="M854" s="1">
        <f>+IF(Tabla__192.168.1.8_POSEIDONSQL_APPFVT_01_tblFillRateFechas[[#This Row],[Cant_Resultante]]=Tabla__192.168.1.8_POSEIDONSQL_APPFVT_01_tblFillRateFechas[[#This Row],[cant_order]],1,0)</f>
        <v>1</v>
      </c>
      <c r="N8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4" s="1">
        <f>+IF(AND(Tabla__192.168.1.8_POSEIDONSQL_APPFVT_01_tblFillRateFechas[[#This Row],[Valida Cant]]=1,Tabla__192.168.1.8_POSEIDONSQL_APPFVT_01_tblFillRateFechas[[#This Row],[Valida Fec]]=1),1,0)</f>
        <v>1</v>
      </c>
      <c r="P854" s="1">
        <f>+(Tabla__192.168.1.8_POSEIDONSQL_APPFVT_01_tblFillRateFechas[[#This Row],[Cant_Resultante]]/Tabla__192.168.1.8_POSEIDONSQL_APPFVT_01_tblFillRateFechas[[#This Row],[cant_order]])*100</f>
        <v>100</v>
      </c>
      <c r="Q8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4" s="1">
        <f>+IF(Tabla__192.168.1.8_POSEIDONSQL_APPFVT_01_tblFillRateFechas[[#This Row],[cant_order]]&gt;0,1,0)</f>
        <v>1</v>
      </c>
      <c r="V854" s="1">
        <f>+IF(Tabla__192.168.1.8_POSEIDONSQL_APPFVT_01_tblFillRateFechas[[#This Row],[Resultado]]=1,1,0)</f>
        <v>1</v>
      </c>
      <c r="W854" s="1" t="str">
        <f>+Tabla__192.168.1.8_POSEIDONSQL_APPFVT_01_tblFillRateFechas[[#This Row],[con_ocnumero]]&amp;Tabla__192.168.1.8_POSEIDONSQL_APPFVT_01_tblFillRateFechas[[#This Row],[con_codigounico]]</f>
        <v>5101545-</v>
      </c>
      <c r="X8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5" spans="1:24" x14ac:dyDescent="0.25">
      <c r="A855">
        <v>24</v>
      </c>
      <c r="B855" t="s">
        <v>54</v>
      </c>
      <c r="C855">
        <v>5101609</v>
      </c>
      <c r="D855" t="s">
        <v>1966</v>
      </c>
      <c r="E855" t="s">
        <v>419</v>
      </c>
      <c r="F855" t="s">
        <v>1963</v>
      </c>
      <c r="G855">
        <v>1</v>
      </c>
      <c r="H855">
        <v>1</v>
      </c>
      <c r="I855" t="s">
        <v>419</v>
      </c>
      <c r="J855">
        <v>0</v>
      </c>
      <c r="K855" t="s">
        <v>49</v>
      </c>
      <c r="L855" s="1">
        <f>+Tabla__192.168.1.8_POSEIDONSQL_APPFVT_01_tblFillRateFechas[[#This Row],[emb_cantidad]]-Tabla__192.168.1.8_POSEIDONSQL_APPFVT_01_tblFillRateFechas[[#This Row],[dev_cantidad]]</f>
        <v>1</v>
      </c>
      <c r="M855" s="1">
        <f>+IF(Tabla__192.168.1.8_POSEIDONSQL_APPFVT_01_tblFillRateFechas[[#This Row],[Cant_Resultante]]=Tabla__192.168.1.8_POSEIDONSQL_APPFVT_01_tblFillRateFechas[[#This Row],[cant_order]],1,0)</f>
        <v>1</v>
      </c>
      <c r="N8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5" s="1">
        <f>+IF(AND(Tabla__192.168.1.8_POSEIDONSQL_APPFVT_01_tblFillRateFechas[[#This Row],[Valida Cant]]=1,Tabla__192.168.1.8_POSEIDONSQL_APPFVT_01_tblFillRateFechas[[#This Row],[Valida Fec]]=1),1,0)</f>
        <v>1</v>
      </c>
      <c r="P855" s="1">
        <f>+(Tabla__192.168.1.8_POSEIDONSQL_APPFVT_01_tblFillRateFechas[[#This Row],[Cant_Resultante]]/Tabla__192.168.1.8_POSEIDONSQL_APPFVT_01_tblFillRateFechas[[#This Row],[cant_order]])*100</f>
        <v>100</v>
      </c>
      <c r="Q8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5" s="1">
        <f>+IF(Tabla__192.168.1.8_POSEIDONSQL_APPFVT_01_tblFillRateFechas[[#This Row],[cant_order]]&gt;0,1,0)</f>
        <v>1</v>
      </c>
      <c r="V855" s="1">
        <f>+IF(Tabla__192.168.1.8_POSEIDONSQL_APPFVT_01_tblFillRateFechas[[#This Row],[Resultado]]=1,1,0)</f>
        <v>1</v>
      </c>
      <c r="W855" s="1" t="str">
        <f>+Tabla__192.168.1.8_POSEIDONSQL_APPFVT_01_tblFillRateFechas[[#This Row],[con_ocnumero]]&amp;Tabla__192.168.1.8_POSEIDONSQL_APPFVT_01_tblFillRateFechas[[#This Row],[con_codigounico]]</f>
        <v>5101609-</v>
      </c>
      <c r="X8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6" spans="1:24" x14ac:dyDescent="0.25">
      <c r="A856">
        <v>24</v>
      </c>
      <c r="B856" t="s">
        <v>54</v>
      </c>
      <c r="C856">
        <v>5101799</v>
      </c>
      <c r="D856" t="s">
        <v>1966</v>
      </c>
      <c r="E856" t="s">
        <v>163</v>
      </c>
      <c r="F856" t="s">
        <v>1963</v>
      </c>
      <c r="G856">
        <v>1</v>
      </c>
      <c r="H856">
        <v>1</v>
      </c>
      <c r="I856" t="s">
        <v>163</v>
      </c>
      <c r="J856">
        <v>0</v>
      </c>
      <c r="K856" t="s">
        <v>49</v>
      </c>
      <c r="L856" s="1">
        <f>+Tabla__192.168.1.8_POSEIDONSQL_APPFVT_01_tblFillRateFechas[[#This Row],[emb_cantidad]]-Tabla__192.168.1.8_POSEIDONSQL_APPFVT_01_tblFillRateFechas[[#This Row],[dev_cantidad]]</f>
        <v>1</v>
      </c>
      <c r="M856" s="1">
        <f>+IF(Tabla__192.168.1.8_POSEIDONSQL_APPFVT_01_tblFillRateFechas[[#This Row],[Cant_Resultante]]=Tabla__192.168.1.8_POSEIDONSQL_APPFVT_01_tblFillRateFechas[[#This Row],[cant_order]],1,0)</f>
        <v>1</v>
      </c>
      <c r="N8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6" s="1">
        <f>+IF(AND(Tabla__192.168.1.8_POSEIDONSQL_APPFVT_01_tblFillRateFechas[[#This Row],[Valida Cant]]=1,Tabla__192.168.1.8_POSEIDONSQL_APPFVT_01_tblFillRateFechas[[#This Row],[Valida Fec]]=1),1,0)</f>
        <v>1</v>
      </c>
      <c r="P856" s="1">
        <f>+(Tabla__192.168.1.8_POSEIDONSQL_APPFVT_01_tblFillRateFechas[[#This Row],[Cant_Resultante]]/Tabla__192.168.1.8_POSEIDONSQL_APPFVT_01_tblFillRateFechas[[#This Row],[cant_order]])*100</f>
        <v>100</v>
      </c>
      <c r="Q8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6" s="1">
        <f>+IF(Tabla__192.168.1.8_POSEIDONSQL_APPFVT_01_tblFillRateFechas[[#This Row],[cant_order]]&gt;0,1,0)</f>
        <v>1</v>
      </c>
      <c r="V856" s="1">
        <f>+IF(Tabla__192.168.1.8_POSEIDONSQL_APPFVT_01_tblFillRateFechas[[#This Row],[Resultado]]=1,1,0)</f>
        <v>1</v>
      </c>
      <c r="W856" s="1" t="str">
        <f>+Tabla__192.168.1.8_POSEIDONSQL_APPFVT_01_tblFillRateFechas[[#This Row],[con_ocnumero]]&amp;Tabla__192.168.1.8_POSEIDONSQL_APPFVT_01_tblFillRateFechas[[#This Row],[con_codigounico]]</f>
        <v>5101799-</v>
      </c>
      <c r="X8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7" spans="1:24" x14ac:dyDescent="0.25">
      <c r="A857">
        <v>24</v>
      </c>
      <c r="B857" t="s">
        <v>54</v>
      </c>
      <c r="C857">
        <v>5101844</v>
      </c>
      <c r="D857" t="s">
        <v>1966</v>
      </c>
      <c r="E857" t="s">
        <v>163</v>
      </c>
      <c r="F857" t="s">
        <v>1963</v>
      </c>
      <c r="G857">
        <v>1</v>
      </c>
      <c r="H857">
        <v>1</v>
      </c>
      <c r="I857" t="s">
        <v>163</v>
      </c>
      <c r="J857">
        <v>0</v>
      </c>
      <c r="K857" t="s">
        <v>49</v>
      </c>
      <c r="L857" s="1">
        <f>+Tabla__192.168.1.8_POSEIDONSQL_APPFVT_01_tblFillRateFechas[[#This Row],[emb_cantidad]]-Tabla__192.168.1.8_POSEIDONSQL_APPFVT_01_tblFillRateFechas[[#This Row],[dev_cantidad]]</f>
        <v>1</v>
      </c>
      <c r="M857" s="1">
        <f>+IF(Tabla__192.168.1.8_POSEIDONSQL_APPFVT_01_tblFillRateFechas[[#This Row],[Cant_Resultante]]=Tabla__192.168.1.8_POSEIDONSQL_APPFVT_01_tblFillRateFechas[[#This Row],[cant_order]],1,0)</f>
        <v>1</v>
      </c>
      <c r="N8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7" s="1">
        <f>+IF(AND(Tabla__192.168.1.8_POSEIDONSQL_APPFVT_01_tblFillRateFechas[[#This Row],[Valida Cant]]=1,Tabla__192.168.1.8_POSEIDONSQL_APPFVT_01_tblFillRateFechas[[#This Row],[Valida Fec]]=1),1,0)</f>
        <v>1</v>
      </c>
      <c r="P857" s="1">
        <f>+(Tabla__192.168.1.8_POSEIDONSQL_APPFVT_01_tblFillRateFechas[[#This Row],[Cant_Resultante]]/Tabla__192.168.1.8_POSEIDONSQL_APPFVT_01_tblFillRateFechas[[#This Row],[cant_order]])*100</f>
        <v>100</v>
      </c>
      <c r="Q8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7" s="1">
        <f>+IF(Tabla__192.168.1.8_POSEIDONSQL_APPFVT_01_tblFillRateFechas[[#This Row],[cant_order]]&gt;0,1,0)</f>
        <v>1</v>
      </c>
      <c r="V857" s="1">
        <f>+IF(Tabla__192.168.1.8_POSEIDONSQL_APPFVT_01_tblFillRateFechas[[#This Row],[Resultado]]=1,1,0)</f>
        <v>1</v>
      </c>
      <c r="W857" s="1" t="str">
        <f>+Tabla__192.168.1.8_POSEIDONSQL_APPFVT_01_tblFillRateFechas[[#This Row],[con_ocnumero]]&amp;Tabla__192.168.1.8_POSEIDONSQL_APPFVT_01_tblFillRateFechas[[#This Row],[con_codigounico]]</f>
        <v>5101844-</v>
      </c>
      <c r="X8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8" spans="1:24" x14ac:dyDescent="0.25">
      <c r="A858">
        <v>24</v>
      </c>
      <c r="B858" t="s">
        <v>54</v>
      </c>
      <c r="C858">
        <v>5102039</v>
      </c>
      <c r="D858" t="s">
        <v>1973</v>
      </c>
      <c r="E858" t="s">
        <v>163</v>
      </c>
      <c r="F858" t="s">
        <v>1963</v>
      </c>
      <c r="G858">
        <v>1</v>
      </c>
      <c r="H858">
        <v>1</v>
      </c>
      <c r="I858" t="s">
        <v>163</v>
      </c>
      <c r="J858">
        <v>0</v>
      </c>
      <c r="K858" t="s">
        <v>49</v>
      </c>
      <c r="L858" s="1">
        <f>+Tabla__192.168.1.8_POSEIDONSQL_APPFVT_01_tblFillRateFechas[[#This Row],[emb_cantidad]]-Tabla__192.168.1.8_POSEIDONSQL_APPFVT_01_tblFillRateFechas[[#This Row],[dev_cantidad]]</f>
        <v>1</v>
      </c>
      <c r="M858" s="1">
        <f>+IF(Tabla__192.168.1.8_POSEIDONSQL_APPFVT_01_tblFillRateFechas[[#This Row],[Cant_Resultante]]=Tabla__192.168.1.8_POSEIDONSQL_APPFVT_01_tblFillRateFechas[[#This Row],[cant_order]],1,0)</f>
        <v>1</v>
      </c>
      <c r="N8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8" s="1">
        <f>+IF(AND(Tabla__192.168.1.8_POSEIDONSQL_APPFVT_01_tblFillRateFechas[[#This Row],[Valida Cant]]=1,Tabla__192.168.1.8_POSEIDONSQL_APPFVT_01_tblFillRateFechas[[#This Row],[Valida Fec]]=1),1,0)</f>
        <v>1</v>
      </c>
      <c r="P858" s="1">
        <f>+(Tabla__192.168.1.8_POSEIDONSQL_APPFVT_01_tblFillRateFechas[[#This Row],[Cant_Resultante]]/Tabla__192.168.1.8_POSEIDONSQL_APPFVT_01_tblFillRateFechas[[#This Row],[cant_order]])*100</f>
        <v>100</v>
      </c>
      <c r="Q8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58" s="1">
        <f>+IF(Tabla__192.168.1.8_POSEIDONSQL_APPFVT_01_tblFillRateFechas[[#This Row],[cant_order]]&gt;0,1,0)</f>
        <v>1</v>
      </c>
      <c r="V858" s="1">
        <f>+IF(Tabla__192.168.1.8_POSEIDONSQL_APPFVT_01_tblFillRateFechas[[#This Row],[Resultado]]=1,1,0)</f>
        <v>1</v>
      </c>
      <c r="W858" s="1" t="str">
        <f>+Tabla__192.168.1.8_POSEIDONSQL_APPFVT_01_tblFillRateFechas[[#This Row],[con_ocnumero]]&amp;Tabla__192.168.1.8_POSEIDONSQL_APPFVT_01_tblFillRateFechas[[#This Row],[con_codigounico]]</f>
        <v>5102039-</v>
      </c>
      <c r="X8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59" spans="1:24" x14ac:dyDescent="0.25">
      <c r="A859">
        <v>24</v>
      </c>
      <c r="B859" t="s">
        <v>54</v>
      </c>
      <c r="C859">
        <v>5102070</v>
      </c>
      <c r="D859" t="s">
        <v>1963</v>
      </c>
      <c r="E859" t="s">
        <v>1982</v>
      </c>
      <c r="F859" t="s">
        <v>162</v>
      </c>
      <c r="G859">
        <v>400</v>
      </c>
      <c r="H859">
        <v>200</v>
      </c>
      <c r="I859" t="s">
        <v>160</v>
      </c>
      <c r="J859">
        <v>0</v>
      </c>
      <c r="K859" t="s">
        <v>49</v>
      </c>
      <c r="L859" s="1">
        <f>+Tabla__192.168.1.8_POSEIDONSQL_APPFVT_01_tblFillRateFechas[[#This Row],[emb_cantidad]]-Tabla__192.168.1.8_POSEIDONSQL_APPFVT_01_tblFillRateFechas[[#This Row],[dev_cantidad]]</f>
        <v>200</v>
      </c>
      <c r="M859" s="1">
        <f>+IF(Tabla__192.168.1.8_POSEIDONSQL_APPFVT_01_tblFillRateFechas[[#This Row],[Cant_Resultante]]=Tabla__192.168.1.8_POSEIDONSQL_APPFVT_01_tblFillRateFechas[[#This Row],[cant_order]],1,0)</f>
        <v>0</v>
      </c>
      <c r="N8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59" s="1">
        <f>+IF(AND(Tabla__192.168.1.8_POSEIDONSQL_APPFVT_01_tblFillRateFechas[[#This Row],[Valida Cant]]=1,Tabla__192.168.1.8_POSEIDONSQL_APPFVT_01_tblFillRateFechas[[#This Row],[Valida Fec]]=1),1,0)</f>
        <v>0</v>
      </c>
      <c r="P859" s="1">
        <f>+(Tabla__192.168.1.8_POSEIDONSQL_APPFVT_01_tblFillRateFechas[[#This Row],[Cant_Resultante]]/Tabla__192.168.1.8_POSEIDONSQL_APPFVT_01_tblFillRateFechas[[#This Row],[cant_order]])*100</f>
        <v>50</v>
      </c>
      <c r="Q8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200</v>
      </c>
      <c r="R8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200</v>
      </c>
      <c r="T8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200</v>
      </c>
      <c r="U859" s="1">
        <f>+IF(Tabla__192.168.1.8_POSEIDONSQL_APPFVT_01_tblFillRateFechas[[#This Row],[cant_order]]&gt;0,1,0)</f>
        <v>1</v>
      </c>
      <c r="V859" s="1">
        <f>+IF(Tabla__192.168.1.8_POSEIDONSQL_APPFVT_01_tblFillRateFechas[[#This Row],[Resultado]]=1,1,0)</f>
        <v>0</v>
      </c>
      <c r="W859" s="1" t="str">
        <f>+Tabla__192.168.1.8_POSEIDONSQL_APPFVT_01_tblFillRateFechas[[#This Row],[con_ocnumero]]&amp;Tabla__192.168.1.8_POSEIDONSQL_APPFVT_01_tblFillRateFechas[[#This Row],[con_codigounico]]</f>
        <v>5102070-</v>
      </c>
      <c r="X8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200</v>
      </c>
    </row>
    <row r="860" spans="1:24" x14ac:dyDescent="0.25">
      <c r="A860">
        <v>24</v>
      </c>
      <c r="B860" t="s">
        <v>54</v>
      </c>
      <c r="C860">
        <v>5102329</v>
      </c>
      <c r="D860" t="s">
        <v>1963</v>
      </c>
      <c r="E860" t="s">
        <v>163</v>
      </c>
      <c r="F860" t="s">
        <v>162</v>
      </c>
      <c r="G860">
        <v>1</v>
      </c>
      <c r="H860">
        <v>1</v>
      </c>
      <c r="I860" t="s">
        <v>163</v>
      </c>
      <c r="J860">
        <v>0</v>
      </c>
      <c r="K860" t="s">
        <v>49</v>
      </c>
      <c r="L860" s="1">
        <f>+Tabla__192.168.1.8_POSEIDONSQL_APPFVT_01_tblFillRateFechas[[#This Row],[emb_cantidad]]-Tabla__192.168.1.8_POSEIDONSQL_APPFVT_01_tblFillRateFechas[[#This Row],[dev_cantidad]]</f>
        <v>1</v>
      </c>
      <c r="M860" s="1">
        <f>+IF(Tabla__192.168.1.8_POSEIDONSQL_APPFVT_01_tblFillRateFechas[[#This Row],[Cant_Resultante]]=Tabla__192.168.1.8_POSEIDONSQL_APPFVT_01_tblFillRateFechas[[#This Row],[cant_order]],1,0)</f>
        <v>1</v>
      </c>
      <c r="N8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0" s="1">
        <f>+IF(AND(Tabla__192.168.1.8_POSEIDONSQL_APPFVT_01_tblFillRateFechas[[#This Row],[Valida Cant]]=1,Tabla__192.168.1.8_POSEIDONSQL_APPFVT_01_tblFillRateFechas[[#This Row],[Valida Fec]]=1),1,0)</f>
        <v>1</v>
      </c>
      <c r="P860" s="1">
        <f>+(Tabla__192.168.1.8_POSEIDONSQL_APPFVT_01_tblFillRateFechas[[#This Row],[Cant_Resultante]]/Tabla__192.168.1.8_POSEIDONSQL_APPFVT_01_tblFillRateFechas[[#This Row],[cant_order]])*100</f>
        <v>100</v>
      </c>
      <c r="Q8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0" s="1">
        <f>+IF(Tabla__192.168.1.8_POSEIDONSQL_APPFVT_01_tblFillRateFechas[[#This Row],[cant_order]]&gt;0,1,0)</f>
        <v>1</v>
      </c>
      <c r="V860" s="1">
        <f>+IF(Tabla__192.168.1.8_POSEIDONSQL_APPFVT_01_tblFillRateFechas[[#This Row],[Resultado]]=1,1,0)</f>
        <v>1</v>
      </c>
      <c r="W860" s="1" t="str">
        <f>+Tabla__192.168.1.8_POSEIDONSQL_APPFVT_01_tblFillRateFechas[[#This Row],[con_ocnumero]]&amp;Tabla__192.168.1.8_POSEIDONSQL_APPFVT_01_tblFillRateFechas[[#This Row],[con_codigounico]]</f>
        <v>5102329-</v>
      </c>
      <c r="X8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1" spans="1:24" x14ac:dyDescent="0.25">
      <c r="A861">
        <v>24</v>
      </c>
      <c r="B861" t="s">
        <v>54</v>
      </c>
      <c r="C861">
        <v>5102384</v>
      </c>
      <c r="D861" t="s">
        <v>162</v>
      </c>
      <c r="E861" t="s">
        <v>163</v>
      </c>
      <c r="F861" t="s">
        <v>160</v>
      </c>
      <c r="G861">
        <v>1</v>
      </c>
      <c r="H861">
        <v>1</v>
      </c>
      <c r="I861" t="s">
        <v>163</v>
      </c>
      <c r="J861">
        <v>0</v>
      </c>
      <c r="K861" t="s">
        <v>49</v>
      </c>
      <c r="L861" s="1">
        <f>+Tabla__192.168.1.8_POSEIDONSQL_APPFVT_01_tblFillRateFechas[[#This Row],[emb_cantidad]]-Tabla__192.168.1.8_POSEIDONSQL_APPFVT_01_tblFillRateFechas[[#This Row],[dev_cantidad]]</f>
        <v>1</v>
      </c>
      <c r="M861" s="1">
        <f>+IF(Tabla__192.168.1.8_POSEIDONSQL_APPFVT_01_tblFillRateFechas[[#This Row],[Cant_Resultante]]=Tabla__192.168.1.8_POSEIDONSQL_APPFVT_01_tblFillRateFechas[[#This Row],[cant_order]],1,0)</f>
        <v>1</v>
      </c>
      <c r="N8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1" s="1">
        <f>+IF(AND(Tabla__192.168.1.8_POSEIDONSQL_APPFVT_01_tblFillRateFechas[[#This Row],[Valida Cant]]=1,Tabla__192.168.1.8_POSEIDONSQL_APPFVT_01_tblFillRateFechas[[#This Row],[Valida Fec]]=1),1,0)</f>
        <v>1</v>
      </c>
      <c r="P861" s="1">
        <f>+(Tabla__192.168.1.8_POSEIDONSQL_APPFVT_01_tblFillRateFechas[[#This Row],[Cant_Resultante]]/Tabla__192.168.1.8_POSEIDONSQL_APPFVT_01_tblFillRateFechas[[#This Row],[cant_order]])*100</f>
        <v>100</v>
      </c>
      <c r="Q8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1" s="1">
        <f>+IF(Tabla__192.168.1.8_POSEIDONSQL_APPFVT_01_tblFillRateFechas[[#This Row],[cant_order]]&gt;0,1,0)</f>
        <v>1</v>
      </c>
      <c r="V861" s="1">
        <f>+IF(Tabla__192.168.1.8_POSEIDONSQL_APPFVT_01_tblFillRateFechas[[#This Row],[Resultado]]=1,1,0)</f>
        <v>1</v>
      </c>
      <c r="W861" s="1" t="str">
        <f>+Tabla__192.168.1.8_POSEIDONSQL_APPFVT_01_tblFillRateFechas[[#This Row],[con_ocnumero]]&amp;Tabla__192.168.1.8_POSEIDONSQL_APPFVT_01_tblFillRateFechas[[#This Row],[con_codigounico]]</f>
        <v>5102384-</v>
      </c>
      <c r="X8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2" spans="1:24" x14ac:dyDescent="0.25">
      <c r="A862">
        <v>24</v>
      </c>
      <c r="B862" t="s">
        <v>54</v>
      </c>
      <c r="C862">
        <v>5102386</v>
      </c>
      <c r="D862" t="s">
        <v>162</v>
      </c>
      <c r="E862" t="s">
        <v>163</v>
      </c>
      <c r="F862" t="s">
        <v>160</v>
      </c>
      <c r="G862">
        <v>1</v>
      </c>
      <c r="H862">
        <v>1</v>
      </c>
      <c r="I862" t="s">
        <v>163</v>
      </c>
      <c r="J862">
        <v>0</v>
      </c>
      <c r="K862" t="s">
        <v>49</v>
      </c>
      <c r="L862" s="1">
        <f>+Tabla__192.168.1.8_POSEIDONSQL_APPFVT_01_tblFillRateFechas[[#This Row],[emb_cantidad]]-Tabla__192.168.1.8_POSEIDONSQL_APPFVT_01_tblFillRateFechas[[#This Row],[dev_cantidad]]</f>
        <v>1</v>
      </c>
      <c r="M862" s="1">
        <f>+IF(Tabla__192.168.1.8_POSEIDONSQL_APPFVT_01_tblFillRateFechas[[#This Row],[Cant_Resultante]]=Tabla__192.168.1.8_POSEIDONSQL_APPFVT_01_tblFillRateFechas[[#This Row],[cant_order]],1,0)</f>
        <v>1</v>
      </c>
      <c r="N8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2" s="1">
        <f>+IF(AND(Tabla__192.168.1.8_POSEIDONSQL_APPFVT_01_tblFillRateFechas[[#This Row],[Valida Cant]]=1,Tabla__192.168.1.8_POSEIDONSQL_APPFVT_01_tblFillRateFechas[[#This Row],[Valida Fec]]=1),1,0)</f>
        <v>1</v>
      </c>
      <c r="P862" s="1">
        <f>+(Tabla__192.168.1.8_POSEIDONSQL_APPFVT_01_tblFillRateFechas[[#This Row],[Cant_Resultante]]/Tabla__192.168.1.8_POSEIDONSQL_APPFVT_01_tblFillRateFechas[[#This Row],[cant_order]])*100</f>
        <v>100</v>
      </c>
      <c r="Q8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2" s="1">
        <f>+IF(Tabla__192.168.1.8_POSEIDONSQL_APPFVT_01_tblFillRateFechas[[#This Row],[cant_order]]&gt;0,1,0)</f>
        <v>1</v>
      </c>
      <c r="V862" s="1">
        <f>+IF(Tabla__192.168.1.8_POSEIDONSQL_APPFVT_01_tblFillRateFechas[[#This Row],[Resultado]]=1,1,0)</f>
        <v>1</v>
      </c>
      <c r="W862" s="1" t="str">
        <f>+Tabla__192.168.1.8_POSEIDONSQL_APPFVT_01_tblFillRateFechas[[#This Row],[con_ocnumero]]&amp;Tabla__192.168.1.8_POSEIDONSQL_APPFVT_01_tblFillRateFechas[[#This Row],[con_codigounico]]</f>
        <v>5102386-</v>
      </c>
      <c r="X8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3" spans="1:24" x14ac:dyDescent="0.25">
      <c r="A863">
        <v>24</v>
      </c>
      <c r="B863" t="s">
        <v>54</v>
      </c>
      <c r="C863">
        <v>5102503</v>
      </c>
      <c r="D863" t="s">
        <v>162</v>
      </c>
      <c r="E863" t="s">
        <v>163</v>
      </c>
      <c r="F863" t="s">
        <v>160</v>
      </c>
      <c r="G863">
        <v>1</v>
      </c>
      <c r="H863">
        <v>1</v>
      </c>
      <c r="I863" t="s">
        <v>163</v>
      </c>
      <c r="J863">
        <v>0</v>
      </c>
      <c r="K863" t="s">
        <v>49</v>
      </c>
      <c r="L863" s="1">
        <f>+Tabla__192.168.1.8_POSEIDONSQL_APPFVT_01_tblFillRateFechas[[#This Row],[emb_cantidad]]-Tabla__192.168.1.8_POSEIDONSQL_APPFVT_01_tblFillRateFechas[[#This Row],[dev_cantidad]]</f>
        <v>1</v>
      </c>
      <c r="M863" s="1">
        <f>+IF(Tabla__192.168.1.8_POSEIDONSQL_APPFVT_01_tblFillRateFechas[[#This Row],[Cant_Resultante]]=Tabla__192.168.1.8_POSEIDONSQL_APPFVT_01_tblFillRateFechas[[#This Row],[cant_order]],1,0)</f>
        <v>1</v>
      </c>
      <c r="N8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3" s="1">
        <f>+IF(AND(Tabla__192.168.1.8_POSEIDONSQL_APPFVT_01_tblFillRateFechas[[#This Row],[Valida Cant]]=1,Tabla__192.168.1.8_POSEIDONSQL_APPFVT_01_tblFillRateFechas[[#This Row],[Valida Fec]]=1),1,0)</f>
        <v>1</v>
      </c>
      <c r="P863" s="1">
        <f>+(Tabla__192.168.1.8_POSEIDONSQL_APPFVT_01_tblFillRateFechas[[#This Row],[Cant_Resultante]]/Tabla__192.168.1.8_POSEIDONSQL_APPFVT_01_tblFillRateFechas[[#This Row],[cant_order]])*100</f>
        <v>100</v>
      </c>
      <c r="Q8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3" s="1">
        <f>+IF(Tabla__192.168.1.8_POSEIDONSQL_APPFVT_01_tblFillRateFechas[[#This Row],[cant_order]]&gt;0,1,0)</f>
        <v>1</v>
      </c>
      <c r="V863" s="1">
        <f>+IF(Tabla__192.168.1.8_POSEIDONSQL_APPFVT_01_tblFillRateFechas[[#This Row],[Resultado]]=1,1,0)</f>
        <v>1</v>
      </c>
      <c r="W863" s="1" t="str">
        <f>+Tabla__192.168.1.8_POSEIDONSQL_APPFVT_01_tblFillRateFechas[[#This Row],[con_ocnumero]]&amp;Tabla__192.168.1.8_POSEIDONSQL_APPFVT_01_tblFillRateFechas[[#This Row],[con_codigounico]]</f>
        <v>5102503-</v>
      </c>
      <c r="X8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4" spans="1:24" x14ac:dyDescent="0.25">
      <c r="A864">
        <v>24</v>
      </c>
      <c r="B864" t="s">
        <v>54</v>
      </c>
      <c r="C864">
        <v>5102601</v>
      </c>
      <c r="D864" t="s">
        <v>162</v>
      </c>
      <c r="E864" t="s">
        <v>163</v>
      </c>
      <c r="F864" t="s">
        <v>160</v>
      </c>
      <c r="G864">
        <v>1</v>
      </c>
      <c r="H864">
        <v>1</v>
      </c>
      <c r="I864" t="s">
        <v>163</v>
      </c>
      <c r="J864">
        <v>0</v>
      </c>
      <c r="K864" t="s">
        <v>49</v>
      </c>
      <c r="L864" s="1">
        <f>+Tabla__192.168.1.8_POSEIDONSQL_APPFVT_01_tblFillRateFechas[[#This Row],[emb_cantidad]]-Tabla__192.168.1.8_POSEIDONSQL_APPFVT_01_tblFillRateFechas[[#This Row],[dev_cantidad]]</f>
        <v>1</v>
      </c>
      <c r="M864" s="1">
        <f>+IF(Tabla__192.168.1.8_POSEIDONSQL_APPFVT_01_tblFillRateFechas[[#This Row],[Cant_Resultante]]=Tabla__192.168.1.8_POSEIDONSQL_APPFVT_01_tblFillRateFechas[[#This Row],[cant_order]],1,0)</f>
        <v>1</v>
      </c>
      <c r="N8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4" s="1">
        <f>+IF(AND(Tabla__192.168.1.8_POSEIDONSQL_APPFVT_01_tblFillRateFechas[[#This Row],[Valida Cant]]=1,Tabla__192.168.1.8_POSEIDONSQL_APPFVT_01_tblFillRateFechas[[#This Row],[Valida Fec]]=1),1,0)</f>
        <v>1</v>
      </c>
      <c r="P864" s="1">
        <f>+(Tabla__192.168.1.8_POSEIDONSQL_APPFVT_01_tblFillRateFechas[[#This Row],[Cant_Resultante]]/Tabla__192.168.1.8_POSEIDONSQL_APPFVT_01_tblFillRateFechas[[#This Row],[cant_order]])*100</f>
        <v>100</v>
      </c>
      <c r="Q8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4" s="1">
        <f>+IF(Tabla__192.168.1.8_POSEIDONSQL_APPFVT_01_tblFillRateFechas[[#This Row],[cant_order]]&gt;0,1,0)</f>
        <v>1</v>
      </c>
      <c r="V864" s="1">
        <f>+IF(Tabla__192.168.1.8_POSEIDONSQL_APPFVT_01_tblFillRateFechas[[#This Row],[Resultado]]=1,1,0)</f>
        <v>1</v>
      </c>
      <c r="W864" s="1" t="str">
        <f>+Tabla__192.168.1.8_POSEIDONSQL_APPFVT_01_tblFillRateFechas[[#This Row],[con_ocnumero]]&amp;Tabla__192.168.1.8_POSEIDONSQL_APPFVT_01_tblFillRateFechas[[#This Row],[con_codigounico]]</f>
        <v>5102601-</v>
      </c>
      <c r="X8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5" spans="1:24" x14ac:dyDescent="0.25">
      <c r="A865">
        <v>24</v>
      </c>
      <c r="B865" t="s">
        <v>54</v>
      </c>
      <c r="C865">
        <v>5102640</v>
      </c>
      <c r="D865" t="s">
        <v>162</v>
      </c>
      <c r="E865" t="s">
        <v>163</v>
      </c>
      <c r="F865" t="s">
        <v>160</v>
      </c>
      <c r="G865">
        <v>1</v>
      </c>
      <c r="H865">
        <v>1</v>
      </c>
      <c r="I865" t="s">
        <v>163</v>
      </c>
      <c r="J865">
        <v>0</v>
      </c>
      <c r="K865" t="s">
        <v>49</v>
      </c>
      <c r="L865" s="1">
        <f>+Tabla__192.168.1.8_POSEIDONSQL_APPFVT_01_tblFillRateFechas[[#This Row],[emb_cantidad]]-Tabla__192.168.1.8_POSEIDONSQL_APPFVT_01_tblFillRateFechas[[#This Row],[dev_cantidad]]</f>
        <v>1</v>
      </c>
      <c r="M865" s="1">
        <f>+IF(Tabla__192.168.1.8_POSEIDONSQL_APPFVT_01_tblFillRateFechas[[#This Row],[Cant_Resultante]]=Tabla__192.168.1.8_POSEIDONSQL_APPFVT_01_tblFillRateFechas[[#This Row],[cant_order]],1,0)</f>
        <v>1</v>
      </c>
      <c r="N8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5" s="1">
        <f>+IF(AND(Tabla__192.168.1.8_POSEIDONSQL_APPFVT_01_tblFillRateFechas[[#This Row],[Valida Cant]]=1,Tabla__192.168.1.8_POSEIDONSQL_APPFVT_01_tblFillRateFechas[[#This Row],[Valida Fec]]=1),1,0)</f>
        <v>1</v>
      </c>
      <c r="P865" s="1">
        <f>+(Tabla__192.168.1.8_POSEIDONSQL_APPFVT_01_tblFillRateFechas[[#This Row],[Cant_Resultante]]/Tabla__192.168.1.8_POSEIDONSQL_APPFVT_01_tblFillRateFechas[[#This Row],[cant_order]])*100</f>
        <v>100</v>
      </c>
      <c r="Q8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5" s="1">
        <f>+IF(Tabla__192.168.1.8_POSEIDONSQL_APPFVT_01_tblFillRateFechas[[#This Row],[cant_order]]&gt;0,1,0)</f>
        <v>1</v>
      </c>
      <c r="V865" s="1">
        <f>+IF(Tabla__192.168.1.8_POSEIDONSQL_APPFVT_01_tblFillRateFechas[[#This Row],[Resultado]]=1,1,0)</f>
        <v>1</v>
      </c>
      <c r="W865" s="1" t="str">
        <f>+Tabla__192.168.1.8_POSEIDONSQL_APPFVT_01_tblFillRateFechas[[#This Row],[con_ocnumero]]&amp;Tabla__192.168.1.8_POSEIDONSQL_APPFVT_01_tblFillRateFechas[[#This Row],[con_codigounico]]</f>
        <v>5102640-</v>
      </c>
      <c r="X8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6" spans="1:24" x14ac:dyDescent="0.25">
      <c r="A866">
        <v>24</v>
      </c>
      <c r="B866" t="s">
        <v>54</v>
      </c>
      <c r="C866">
        <v>5102644</v>
      </c>
      <c r="D866" t="s">
        <v>162</v>
      </c>
      <c r="E866" t="s">
        <v>163</v>
      </c>
      <c r="F866" t="s">
        <v>160</v>
      </c>
      <c r="G866">
        <v>1</v>
      </c>
      <c r="H866">
        <v>1</v>
      </c>
      <c r="I866" t="s">
        <v>163</v>
      </c>
      <c r="J866">
        <v>0</v>
      </c>
      <c r="K866" t="s">
        <v>49</v>
      </c>
      <c r="L866" s="1">
        <f>+Tabla__192.168.1.8_POSEIDONSQL_APPFVT_01_tblFillRateFechas[[#This Row],[emb_cantidad]]-Tabla__192.168.1.8_POSEIDONSQL_APPFVT_01_tblFillRateFechas[[#This Row],[dev_cantidad]]</f>
        <v>1</v>
      </c>
      <c r="M866" s="1">
        <f>+IF(Tabla__192.168.1.8_POSEIDONSQL_APPFVT_01_tblFillRateFechas[[#This Row],[Cant_Resultante]]=Tabla__192.168.1.8_POSEIDONSQL_APPFVT_01_tblFillRateFechas[[#This Row],[cant_order]],1,0)</f>
        <v>1</v>
      </c>
      <c r="N8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6" s="1">
        <f>+IF(AND(Tabla__192.168.1.8_POSEIDONSQL_APPFVT_01_tblFillRateFechas[[#This Row],[Valida Cant]]=1,Tabla__192.168.1.8_POSEIDONSQL_APPFVT_01_tblFillRateFechas[[#This Row],[Valida Fec]]=1),1,0)</f>
        <v>1</v>
      </c>
      <c r="P866" s="1">
        <f>+(Tabla__192.168.1.8_POSEIDONSQL_APPFVT_01_tblFillRateFechas[[#This Row],[Cant_Resultante]]/Tabla__192.168.1.8_POSEIDONSQL_APPFVT_01_tblFillRateFechas[[#This Row],[cant_order]])*100</f>
        <v>100</v>
      </c>
      <c r="Q8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6" s="1">
        <f>+IF(Tabla__192.168.1.8_POSEIDONSQL_APPFVT_01_tblFillRateFechas[[#This Row],[cant_order]]&gt;0,1,0)</f>
        <v>1</v>
      </c>
      <c r="V866" s="1">
        <f>+IF(Tabla__192.168.1.8_POSEIDONSQL_APPFVT_01_tblFillRateFechas[[#This Row],[Resultado]]=1,1,0)</f>
        <v>1</v>
      </c>
      <c r="W866" s="1" t="str">
        <f>+Tabla__192.168.1.8_POSEIDONSQL_APPFVT_01_tblFillRateFechas[[#This Row],[con_ocnumero]]&amp;Tabla__192.168.1.8_POSEIDONSQL_APPFVT_01_tblFillRateFechas[[#This Row],[con_codigounico]]</f>
        <v>5102644-</v>
      </c>
      <c r="X8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7" spans="1:24" x14ac:dyDescent="0.25">
      <c r="A867">
        <v>24</v>
      </c>
      <c r="B867" t="s">
        <v>54</v>
      </c>
      <c r="C867">
        <v>5102658</v>
      </c>
      <c r="D867" t="s">
        <v>162</v>
      </c>
      <c r="E867" t="s">
        <v>422</v>
      </c>
      <c r="F867" t="s">
        <v>160</v>
      </c>
      <c r="G867">
        <v>1</v>
      </c>
      <c r="H867">
        <v>1</v>
      </c>
      <c r="I867" t="s">
        <v>422</v>
      </c>
      <c r="J867">
        <v>0</v>
      </c>
      <c r="K867" t="s">
        <v>49</v>
      </c>
      <c r="L867" s="1">
        <f>+Tabla__192.168.1.8_POSEIDONSQL_APPFVT_01_tblFillRateFechas[[#This Row],[emb_cantidad]]-Tabla__192.168.1.8_POSEIDONSQL_APPFVT_01_tblFillRateFechas[[#This Row],[dev_cantidad]]</f>
        <v>1</v>
      </c>
      <c r="M867" s="1">
        <f>+IF(Tabla__192.168.1.8_POSEIDONSQL_APPFVT_01_tblFillRateFechas[[#This Row],[Cant_Resultante]]=Tabla__192.168.1.8_POSEIDONSQL_APPFVT_01_tblFillRateFechas[[#This Row],[cant_order]],1,0)</f>
        <v>1</v>
      </c>
      <c r="N8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7" s="1">
        <f>+IF(AND(Tabla__192.168.1.8_POSEIDONSQL_APPFVT_01_tblFillRateFechas[[#This Row],[Valida Cant]]=1,Tabla__192.168.1.8_POSEIDONSQL_APPFVT_01_tblFillRateFechas[[#This Row],[Valida Fec]]=1),1,0)</f>
        <v>1</v>
      </c>
      <c r="P867" s="1">
        <f>+(Tabla__192.168.1.8_POSEIDONSQL_APPFVT_01_tblFillRateFechas[[#This Row],[Cant_Resultante]]/Tabla__192.168.1.8_POSEIDONSQL_APPFVT_01_tblFillRateFechas[[#This Row],[cant_order]])*100</f>
        <v>100</v>
      </c>
      <c r="Q8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7" s="1">
        <f>+IF(Tabla__192.168.1.8_POSEIDONSQL_APPFVT_01_tblFillRateFechas[[#This Row],[cant_order]]&gt;0,1,0)</f>
        <v>1</v>
      </c>
      <c r="V867" s="1">
        <f>+IF(Tabla__192.168.1.8_POSEIDONSQL_APPFVT_01_tblFillRateFechas[[#This Row],[Resultado]]=1,1,0)</f>
        <v>1</v>
      </c>
      <c r="W867" s="1" t="str">
        <f>+Tabla__192.168.1.8_POSEIDONSQL_APPFVT_01_tblFillRateFechas[[#This Row],[con_ocnumero]]&amp;Tabla__192.168.1.8_POSEIDONSQL_APPFVT_01_tblFillRateFechas[[#This Row],[con_codigounico]]</f>
        <v>5102658-</v>
      </c>
      <c r="X8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8" spans="1:24" x14ac:dyDescent="0.25">
      <c r="A868">
        <v>24</v>
      </c>
      <c r="B868" t="s">
        <v>54</v>
      </c>
      <c r="C868">
        <v>5102671</v>
      </c>
      <c r="D868" t="s">
        <v>162</v>
      </c>
      <c r="E868" t="s">
        <v>429</v>
      </c>
      <c r="F868" t="s">
        <v>160</v>
      </c>
      <c r="G868">
        <v>1</v>
      </c>
      <c r="H868">
        <v>1</v>
      </c>
      <c r="I868" t="s">
        <v>163</v>
      </c>
      <c r="J868">
        <v>0</v>
      </c>
      <c r="K868" t="s">
        <v>49</v>
      </c>
      <c r="L868" s="1">
        <f>+Tabla__192.168.1.8_POSEIDONSQL_APPFVT_01_tblFillRateFechas[[#This Row],[emb_cantidad]]-Tabla__192.168.1.8_POSEIDONSQL_APPFVT_01_tblFillRateFechas[[#This Row],[dev_cantidad]]</f>
        <v>1</v>
      </c>
      <c r="M868" s="1">
        <f>+IF(Tabla__192.168.1.8_POSEIDONSQL_APPFVT_01_tblFillRateFechas[[#This Row],[Cant_Resultante]]=Tabla__192.168.1.8_POSEIDONSQL_APPFVT_01_tblFillRateFechas[[#This Row],[cant_order]],1,0)</f>
        <v>1</v>
      </c>
      <c r="N8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8" s="1">
        <f>+IF(AND(Tabla__192.168.1.8_POSEIDONSQL_APPFVT_01_tblFillRateFechas[[#This Row],[Valida Cant]]=1,Tabla__192.168.1.8_POSEIDONSQL_APPFVT_01_tblFillRateFechas[[#This Row],[Valida Fec]]=1),1,0)</f>
        <v>1</v>
      </c>
      <c r="P868" s="1">
        <f>+(Tabla__192.168.1.8_POSEIDONSQL_APPFVT_01_tblFillRateFechas[[#This Row],[Cant_Resultante]]/Tabla__192.168.1.8_POSEIDONSQL_APPFVT_01_tblFillRateFechas[[#This Row],[cant_order]])*100</f>
        <v>100</v>
      </c>
      <c r="Q8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8" s="1">
        <f>+IF(Tabla__192.168.1.8_POSEIDONSQL_APPFVT_01_tblFillRateFechas[[#This Row],[cant_order]]&gt;0,1,0)</f>
        <v>1</v>
      </c>
      <c r="V868" s="1">
        <f>+IF(Tabla__192.168.1.8_POSEIDONSQL_APPFVT_01_tblFillRateFechas[[#This Row],[Resultado]]=1,1,0)</f>
        <v>1</v>
      </c>
      <c r="W868" s="1" t="str">
        <f>+Tabla__192.168.1.8_POSEIDONSQL_APPFVT_01_tblFillRateFechas[[#This Row],[con_ocnumero]]&amp;Tabla__192.168.1.8_POSEIDONSQL_APPFVT_01_tblFillRateFechas[[#This Row],[con_codigounico]]</f>
        <v>5102671-</v>
      </c>
      <c r="X8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69" spans="1:24" x14ac:dyDescent="0.25">
      <c r="A869">
        <v>24</v>
      </c>
      <c r="B869" t="s">
        <v>54</v>
      </c>
      <c r="C869">
        <v>5102747</v>
      </c>
      <c r="D869" t="s">
        <v>160</v>
      </c>
      <c r="E869" t="s">
        <v>429</v>
      </c>
      <c r="F869" t="s">
        <v>161</v>
      </c>
      <c r="G869">
        <v>1</v>
      </c>
      <c r="H869">
        <v>1</v>
      </c>
      <c r="I869" t="s">
        <v>163</v>
      </c>
      <c r="J869">
        <v>0</v>
      </c>
      <c r="K869" t="s">
        <v>49</v>
      </c>
      <c r="L869" s="1">
        <f>+Tabla__192.168.1.8_POSEIDONSQL_APPFVT_01_tblFillRateFechas[[#This Row],[emb_cantidad]]-Tabla__192.168.1.8_POSEIDONSQL_APPFVT_01_tblFillRateFechas[[#This Row],[dev_cantidad]]</f>
        <v>1</v>
      </c>
      <c r="M869" s="1">
        <f>+IF(Tabla__192.168.1.8_POSEIDONSQL_APPFVT_01_tblFillRateFechas[[#This Row],[Cant_Resultante]]=Tabla__192.168.1.8_POSEIDONSQL_APPFVT_01_tblFillRateFechas[[#This Row],[cant_order]],1,0)</f>
        <v>1</v>
      </c>
      <c r="N8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69" s="1">
        <f>+IF(AND(Tabla__192.168.1.8_POSEIDONSQL_APPFVT_01_tblFillRateFechas[[#This Row],[Valida Cant]]=1,Tabla__192.168.1.8_POSEIDONSQL_APPFVT_01_tblFillRateFechas[[#This Row],[Valida Fec]]=1),1,0)</f>
        <v>1</v>
      </c>
      <c r="P869" s="1">
        <f>+(Tabla__192.168.1.8_POSEIDONSQL_APPFVT_01_tblFillRateFechas[[#This Row],[Cant_Resultante]]/Tabla__192.168.1.8_POSEIDONSQL_APPFVT_01_tblFillRateFechas[[#This Row],[cant_order]])*100</f>
        <v>100</v>
      </c>
      <c r="Q8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69" s="1">
        <f>+IF(Tabla__192.168.1.8_POSEIDONSQL_APPFVT_01_tblFillRateFechas[[#This Row],[cant_order]]&gt;0,1,0)</f>
        <v>1</v>
      </c>
      <c r="V869" s="1">
        <f>+IF(Tabla__192.168.1.8_POSEIDONSQL_APPFVT_01_tblFillRateFechas[[#This Row],[Resultado]]=1,1,0)</f>
        <v>1</v>
      </c>
      <c r="W869" s="1" t="str">
        <f>+Tabla__192.168.1.8_POSEIDONSQL_APPFVT_01_tblFillRateFechas[[#This Row],[con_ocnumero]]&amp;Tabla__192.168.1.8_POSEIDONSQL_APPFVT_01_tblFillRateFechas[[#This Row],[con_codigounico]]</f>
        <v>5102747-</v>
      </c>
      <c r="X8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0" spans="1:24" x14ac:dyDescent="0.25">
      <c r="A870">
        <v>24</v>
      </c>
      <c r="B870" t="s">
        <v>54</v>
      </c>
      <c r="C870">
        <v>5102771</v>
      </c>
      <c r="D870" t="s">
        <v>160</v>
      </c>
      <c r="E870" t="s">
        <v>429</v>
      </c>
      <c r="F870" t="s">
        <v>161</v>
      </c>
      <c r="G870">
        <v>1</v>
      </c>
      <c r="H870">
        <v>1</v>
      </c>
      <c r="I870" t="s">
        <v>163</v>
      </c>
      <c r="J870">
        <v>0</v>
      </c>
      <c r="K870" t="s">
        <v>49</v>
      </c>
      <c r="L870" s="1">
        <f>+Tabla__192.168.1.8_POSEIDONSQL_APPFVT_01_tblFillRateFechas[[#This Row],[emb_cantidad]]-Tabla__192.168.1.8_POSEIDONSQL_APPFVT_01_tblFillRateFechas[[#This Row],[dev_cantidad]]</f>
        <v>1</v>
      </c>
      <c r="M870" s="1">
        <f>+IF(Tabla__192.168.1.8_POSEIDONSQL_APPFVT_01_tblFillRateFechas[[#This Row],[Cant_Resultante]]=Tabla__192.168.1.8_POSEIDONSQL_APPFVT_01_tblFillRateFechas[[#This Row],[cant_order]],1,0)</f>
        <v>1</v>
      </c>
      <c r="N8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0" s="1">
        <f>+IF(AND(Tabla__192.168.1.8_POSEIDONSQL_APPFVT_01_tblFillRateFechas[[#This Row],[Valida Cant]]=1,Tabla__192.168.1.8_POSEIDONSQL_APPFVT_01_tblFillRateFechas[[#This Row],[Valida Fec]]=1),1,0)</f>
        <v>1</v>
      </c>
      <c r="P870" s="1">
        <f>+(Tabla__192.168.1.8_POSEIDONSQL_APPFVT_01_tblFillRateFechas[[#This Row],[Cant_Resultante]]/Tabla__192.168.1.8_POSEIDONSQL_APPFVT_01_tblFillRateFechas[[#This Row],[cant_order]])*100</f>
        <v>100</v>
      </c>
      <c r="Q8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0" s="1">
        <f>+IF(Tabla__192.168.1.8_POSEIDONSQL_APPFVT_01_tblFillRateFechas[[#This Row],[cant_order]]&gt;0,1,0)</f>
        <v>1</v>
      </c>
      <c r="V870" s="1">
        <f>+IF(Tabla__192.168.1.8_POSEIDONSQL_APPFVT_01_tblFillRateFechas[[#This Row],[Resultado]]=1,1,0)</f>
        <v>1</v>
      </c>
      <c r="W870" s="1" t="str">
        <f>+Tabla__192.168.1.8_POSEIDONSQL_APPFVT_01_tblFillRateFechas[[#This Row],[con_ocnumero]]&amp;Tabla__192.168.1.8_POSEIDONSQL_APPFVT_01_tblFillRateFechas[[#This Row],[con_codigounico]]</f>
        <v>5102771-</v>
      </c>
      <c r="X8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1" spans="1:24" x14ac:dyDescent="0.25">
      <c r="A871">
        <v>24</v>
      </c>
      <c r="B871" t="s">
        <v>54</v>
      </c>
      <c r="C871">
        <v>5102884</v>
      </c>
      <c r="D871" t="s">
        <v>160</v>
      </c>
      <c r="E871" t="s">
        <v>420</v>
      </c>
      <c r="F871" t="s">
        <v>161</v>
      </c>
      <c r="G871">
        <v>1</v>
      </c>
      <c r="H871">
        <v>1</v>
      </c>
      <c r="I871" t="s">
        <v>419</v>
      </c>
      <c r="J871">
        <v>0</v>
      </c>
      <c r="K871" t="s">
        <v>49</v>
      </c>
      <c r="L871" s="1">
        <f>+Tabla__192.168.1.8_POSEIDONSQL_APPFVT_01_tblFillRateFechas[[#This Row],[emb_cantidad]]-Tabla__192.168.1.8_POSEIDONSQL_APPFVT_01_tblFillRateFechas[[#This Row],[dev_cantidad]]</f>
        <v>1</v>
      </c>
      <c r="M871" s="1">
        <f>+IF(Tabla__192.168.1.8_POSEIDONSQL_APPFVT_01_tblFillRateFechas[[#This Row],[Cant_Resultante]]=Tabla__192.168.1.8_POSEIDONSQL_APPFVT_01_tblFillRateFechas[[#This Row],[cant_order]],1,0)</f>
        <v>1</v>
      </c>
      <c r="N8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1" s="1">
        <f>+IF(AND(Tabla__192.168.1.8_POSEIDONSQL_APPFVT_01_tblFillRateFechas[[#This Row],[Valida Cant]]=1,Tabla__192.168.1.8_POSEIDONSQL_APPFVT_01_tblFillRateFechas[[#This Row],[Valida Fec]]=1),1,0)</f>
        <v>1</v>
      </c>
      <c r="P871" s="1">
        <f>+(Tabla__192.168.1.8_POSEIDONSQL_APPFVT_01_tblFillRateFechas[[#This Row],[Cant_Resultante]]/Tabla__192.168.1.8_POSEIDONSQL_APPFVT_01_tblFillRateFechas[[#This Row],[cant_order]])*100</f>
        <v>100</v>
      </c>
      <c r="Q8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1" s="1">
        <f>+IF(Tabla__192.168.1.8_POSEIDONSQL_APPFVT_01_tblFillRateFechas[[#This Row],[cant_order]]&gt;0,1,0)</f>
        <v>1</v>
      </c>
      <c r="V871" s="1">
        <f>+IF(Tabla__192.168.1.8_POSEIDONSQL_APPFVT_01_tblFillRateFechas[[#This Row],[Resultado]]=1,1,0)</f>
        <v>1</v>
      </c>
      <c r="W871" s="1" t="str">
        <f>+Tabla__192.168.1.8_POSEIDONSQL_APPFVT_01_tblFillRateFechas[[#This Row],[con_ocnumero]]&amp;Tabla__192.168.1.8_POSEIDONSQL_APPFVT_01_tblFillRateFechas[[#This Row],[con_codigounico]]</f>
        <v>5102884-</v>
      </c>
      <c r="X8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2" spans="1:24" x14ac:dyDescent="0.25">
      <c r="A872">
        <v>24</v>
      </c>
      <c r="B872" t="s">
        <v>54</v>
      </c>
      <c r="C872">
        <v>5102893</v>
      </c>
      <c r="D872" t="s">
        <v>160</v>
      </c>
      <c r="E872" t="s">
        <v>429</v>
      </c>
      <c r="F872" t="s">
        <v>161</v>
      </c>
      <c r="G872">
        <v>1</v>
      </c>
      <c r="H872">
        <v>1</v>
      </c>
      <c r="I872" t="s">
        <v>163</v>
      </c>
      <c r="J872">
        <v>0</v>
      </c>
      <c r="K872" t="s">
        <v>49</v>
      </c>
      <c r="L872" s="1">
        <f>+Tabla__192.168.1.8_POSEIDONSQL_APPFVT_01_tblFillRateFechas[[#This Row],[emb_cantidad]]-Tabla__192.168.1.8_POSEIDONSQL_APPFVT_01_tblFillRateFechas[[#This Row],[dev_cantidad]]</f>
        <v>1</v>
      </c>
      <c r="M872" s="1">
        <f>+IF(Tabla__192.168.1.8_POSEIDONSQL_APPFVT_01_tblFillRateFechas[[#This Row],[Cant_Resultante]]=Tabla__192.168.1.8_POSEIDONSQL_APPFVT_01_tblFillRateFechas[[#This Row],[cant_order]],1,0)</f>
        <v>1</v>
      </c>
      <c r="N8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2" s="1">
        <f>+IF(AND(Tabla__192.168.1.8_POSEIDONSQL_APPFVT_01_tblFillRateFechas[[#This Row],[Valida Cant]]=1,Tabla__192.168.1.8_POSEIDONSQL_APPFVT_01_tblFillRateFechas[[#This Row],[Valida Fec]]=1),1,0)</f>
        <v>1</v>
      </c>
      <c r="P872" s="1">
        <f>+(Tabla__192.168.1.8_POSEIDONSQL_APPFVT_01_tblFillRateFechas[[#This Row],[Cant_Resultante]]/Tabla__192.168.1.8_POSEIDONSQL_APPFVT_01_tblFillRateFechas[[#This Row],[cant_order]])*100</f>
        <v>100</v>
      </c>
      <c r="Q8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2" s="1">
        <f>+IF(Tabla__192.168.1.8_POSEIDONSQL_APPFVT_01_tblFillRateFechas[[#This Row],[cant_order]]&gt;0,1,0)</f>
        <v>1</v>
      </c>
      <c r="V872" s="1">
        <f>+IF(Tabla__192.168.1.8_POSEIDONSQL_APPFVT_01_tblFillRateFechas[[#This Row],[Resultado]]=1,1,0)</f>
        <v>1</v>
      </c>
      <c r="W872" s="1" t="str">
        <f>+Tabla__192.168.1.8_POSEIDONSQL_APPFVT_01_tblFillRateFechas[[#This Row],[con_ocnumero]]&amp;Tabla__192.168.1.8_POSEIDONSQL_APPFVT_01_tblFillRateFechas[[#This Row],[con_codigounico]]</f>
        <v>5102893-</v>
      </c>
      <c r="X8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3" spans="1:24" x14ac:dyDescent="0.25">
      <c r="A873">
        <v>24</v>
      </c>
      <c r="B873" t="s">
        <v>54</v>
      </c>
      <c r="C873">
        <v>5103077</v>
      </c>
      <c r="D873" t="s">
        <v>160</v>
      </c>
      <c r="E873" t="s">
        <v>429</v>
      </c>
      <c r="F873" t="s">
        <v>161</v>
      </c>
      <c r="G873">
        <v>1</v>
      </c>
      <c r="H873">
        <v>1</v>
      </c>
      <c r="I873" t="s">
        <v>163</v>
      </c>
      <c r="J873">
        <v>0</v>
      </c>
      <c r="K873" t="s">
        <v>49</v>
      </c>
      <c r="L873" s="1">
        <f>+Tabla__192.168.1.8_POSEIDONSQL_APPFVT_01_tblFillRateFechas[[#This Row],[emb_cantidad]]-Tabla__192.168.1.8_POSEIDONSQL_APPFVT_01_tblFillRateFechas[[#This Row],[dev_cantidad]]</f>
        <v>1</v>
      </c>
      <c r="M873" s="1">
        <f>+IF(Tabla__192.168.1.8_POSEIDONSQL_APPFVT_01_tblFillRateFechas[[#This Row],[Cant_Resultante]]=Tabla__192.168.1.8_POSEIDONSQL_APPFVT_01_tblFillRateFechas[[#This Row],[cant_order]],1,0)</f>
        <v>1</v>
      </c>
      <c r="N8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3" s="1">
        <f>+IF(AND(Tabla__192.168.1.8_POSEIDONSQL_APPFVT_01_tblFillRateFechas[[#This Row],[Valida Cant]]=1,Tabla__192.168.1.8_POSEIDONSQL_APPFVT_01_tblFillRateFechas[[#This Row],[Valida Fec]]=1),1,0)</f>
        <v>1</v>
      </c>
      <c r="P873" s="1">
        <f>+(Tabla__192.168.1.8_POSEIDONSQL_APPFVT_01_tblFillRateFechas[[#This Row],[Cant_Resultante]]/Tabla__192.168.1.8_POSEIDONSQL_APPFVT_01_tblFillRateFechas[[#This Row],[cant_order]])*100</f>
        <v>100</v>
      </c>
      <c r="Q8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3" s="1">
        <f>+IF(Tabla__192.168.1.8_POSEIDONSQL_APPFVT_01_tblFillRateFechas[[#This Row],[cant_order]]&gt;0,1,0)</f>
        <v>1</v>
      </c>
      <c r="V873" s="1">
        <f>+IF(Tabla__192.168.1.8_POSEIDONSQL_APPFVT_01_tblFillRateFechas[[#This Row],[Resultado]]=1,1,0)</f>
        <v>1</v>
      </c>
      <c r="W873" s="1" t="str">
        <f>+Tabla__192.168.1.8_POSEIDONSQL_APPFVT_01_tblFillRateFechas[[#This Row],[con_ocnumero]]&amp;Tabla__192.168.1.8_POSEIDONSQL_APPFVT_01_tblFillRateFechas[[#This Row],[con_codigounico]]</f>
        <v>5103077-</v>
      </c>
      <c r="X8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4" spans="1:24" x14ac:dyDescent="0.25">
      <c r="A874">
        <v>24</v>
      </c>
      <c r="B874" t="s">
        <v>54</v>
      </c>
      <c r="C874">
        <v>5103162</v>
      </c>
      <c r="D874" t="s">
        <v>160</v>
      </c>
      <c r="E874" t="s">
        <v>429</v>
      </c>
      <c r="F874" t="s">
        <v>161</v>
      </c>
      <c r="G874">
        <v>1</v>
      </c>
      <c r="H874">
        <v>1</v>
      </c>
      <c r="I874" t="s">
        <v>163</v>
      </c>
      <c r="J874">
        <v>0</v>
      </c>
      <c r="K874" t="s">
        <v>49</v>
      </c>
      <c r="L874" s="1">
        <f>+Tabla__192.168.1.8_POSEIDONSQL_APPFVT_01_tblFillRateFechas[[#This Row],[emb_cantidad]]-Tabla__192.168.1.8_POSEIDONSQL_APPFVT_01_tblFillRateFechas[[#This Row],[dev_cantidad]]</f>
        <v>1</v>
      </c>
      <c r="M874" s="1">
        <f>+IF(Tabla__192.168.1.8_POSEIDONSQL_APPFVT_01_tblFillRateFechas[[#This Row],[Cant_Resultante]]=Tabla__192.168.1.8_POSEIDONSQL_APPFVT_01_tblFillRateFechas[[#This Row],[cant_order]],1,0)</f>
        <v>1</v>
      </c>
      <c r="N8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4" s="1">
        <f>+IF(AND(Tabla__192.168.1.8_POSEIDONSQL_APPFVT_01_tblFillRateFechas[[#This Row],[Valida Cant]]=1,Tabla__192.168.1.8_POSEIDONSQL_APPFVT_01_tblFillRateFechas[[#This Row],[Valida Fec]]=1),1,0)</f>
        <v>1</v>
      </c>
      <c r="P874" s="1">
        <f>+(Tabla__192.168.1.8_POSEIDONSQL_APPFVT_01_tblFillRateFechas[[#This Row],[Cant_Resultante]]/Tabla__192.168.1.8_POSEIDONSQL_APPFVT_01_tblFillRateFechas[[#This Row],[cant_order]])*100</f>
        <v>100</v>
      </c>
      <c r="Q8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4" s="1">
        <f>+IF(Tabla__192.168.1.8_POSEIDONSQL_APPFVT_01_tblFillRateFechas[[#This Row],[cant_order]]&gt;0,1,0)</f>
        <v>1</v>
      </c>
      <c r="V874" s="1">
        <f>+IF(Tabla__192.168.1.8_POSEIDONSQL_APPFVT_01_tblFillRateFechas[[#This Row],[Resultado]]=1,1,0)</f>
        <v>1</v>
      </c>
      <c r="W874" s="1" t="str">
        <f>+Tabla__192.168.1.8_POSEIDONSQL_APPFVT_01_tblFillRateFechas[[#This Row],[con_ocnumero]]&amp;Tabla__192.168.1.8_POSEIDONSQL_APPFVT_01_tblFillRateFechas[[#This Row],[con_codigounico]]</f>
        <v>5103162-</v>
      </c>
      <c r="X8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5" spans="1:24" x14ac:dyDescent="0.25">
      <c r="A875">
        <v>24</v>
      </c>
      <c r="B875" t="s">
        <v>54</v>
      </c>
      <c r="C875">
        <v>5103234</v>
      </c>
      <c r="D875" t="s">
        <v>160</v>
      </c>
      <c r="E875" t="s">
        <v>429</v>
      </c>
      <c r="F875" t="s">
        <v>161</v>
      </c>
      <c r="G875">
        <v>1</v>
      </c>
      <c r="H875">
        <v>1</v>
      </c>
      <c r="I875" t="s">
        <v>163</v>
      </c>
      <c r="J875">
        <v>0</v>
      </c>
      <c r="K875" t="s">
        <v>49</v>
      </c>
      <c r="L875" s="1">
        <f>+Tabla__192.168.1.8_POSEIDONSQL_APPFVT_01_tblFillRateFechas[[#This Row],[emb_cantidad]]-Tabla__192.168.1.8_POSEIDONSQL_APPFVT_01_tblFillRateFechas[[#This Row],[dev_cantidad]]</f>
        <v>1</v>
      </c>
      <c r="M875" s="1">
        <f>+IF(Tabla__192.168.1.8_POSEIDONSQL_APPFVT_01_tblFillRateFechas[[#This Row],[Cant_Resultante]]=Tabla__192.168.1.8_POSEIDONSQL_APPFVT_01_tblFillRateFechas[[#This Row],[cant_order]],1,0)</f>
        <v>1</v>
      </c>
      <c r="N8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5" s="1">
        <f>+IF(AND(Tabla__192.168.1.8_POSEIDONSQL_APPFVT_01_tblFillRateFechas[[#This Row],[Valida Cant]]=1,Tabla__192.168.1.8_POSEIDONSQL_APPFVT_01_tblFillRateFechas[[#This Row],[Valida Fec]]=1),1,0)</f>
        <v>1</v>
      </c>
      <c r="P875" s="1">
        <f>+(Tabla__192.168.1.8_POSEIDONSQL_APPFVT_01_tblFillRateFechas[[#This Row],[Cant_Resultante]]/Tabla__192.168.1.8_POSEIDONSQL_APPFVT_01_tblFillRateFechas[[#This Row],[cant_order]])*100</f>
        <v>100</v>
      </c>
      <c r="Q8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5" s="1">
        <f>+IF(Tabla__192.168.1.8_POSEIDONSQL_APPFVT_01_tblFillRateFechas[[#This Row],[cant_order]]&gt;0,1,0)</f>
        <v>1</v>
      </c>
      <c r="V875" s="1">
        <f>+IF(Tabla__192.168.1.8_POSEIDONSQL_APPFVT_01_tblFillRateFechas[[#This Row],[Resultado]]=1,1,0)</f>
        <v>1</v>
      </c>
      <c r="W875" s="1" t="str">
        <f>+Tabla__192.168.1.8_POSEIDONSQL_APPFVT_01_tblFillRateFechas[[#This Row],[con_ocnumero]]&amp;Tabla__192.168.1.8_POSEIDONSQL_APPFVT_01_tblFillRateFechas[[#This Row],[con_codigounico]]</f>
        <v>5103234-</v>
      </c>
      <c r="X8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6" spans="1:24" x14ac:dyDescent="0.25">
      <c r="A876">
        <v>24</v>
      </c>
      <c r="B876" t="s">
        <v>54</v>
      </c>
      <c r="C876">
        <v>5103237</v>
      </c>
      <c r="D876" t="s">
        <v>160</v>
      </c>
      <c r="E876" t="s">
        <v>429</v>
      </c>
      <c r="F876" t="s">
        <v>161</v>
      </c>
      <c r="G876">
        <v>1</v>
      </c>
      <c r="H876">
        <v>1</v>
      </c>
      <c r="I876" t="s">
        <v>163</v>
      </c>
      <c r="J876">
        <v>0</v>
      </c>
      <c r="K876" t="s">
        <v>49</v>
      </c>
      <c r="L876" s="1">
        <f>+Tabla__192.168.1.8_POSEIDONSQL_APPFVT_01_tblFillRateFechas[[#This Row],[emb_cantidad]]-Tabla__192.168.1.8_POSEIDONSQL_APPFVT_01_tblFillRateFechas[[#This Row],[dev_cantidad]]</f>
        <v>1</v>
      </c>
      <c r="M876" s="1">
        <f>+IF(Tabla__192.168.1.8_POSEIDONSQL_APPFVT_01_tblFillRateFechas[[#This Row],[Cant_Resultante]]=Tabla__192.168.1.8_POSEIDONSQL_APPFVT_01_tblFillRateFechas[[#This Row],[cant_order]],1,0)</f>
        <v>1</v>
      </c>
      <c r="N8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6" s="1">
        <f>+IF(AND(Tabla__192.168.1.8_POSEIDONSQL_APPFVT_01_tblFillRateFechas[[#This Row],[Valida Cant]]=1,Tabla__192.168.1.8_POSEIDONSQL_APPFVT_01_tblFillRateFechas[[#This Row],[Valida Fec]]=1),1,0)</f>
        <v>1</v>
      </c>
      <c r="P876" s="1">
        <f>+(Tabla__192.168.1.8_POSEIDONSQL_APPFVT_01_tblFillRateFechas[[#This Row],[Cant_Resultante]]/Tabla__192.168.1.8_POSEIDONSQL_APPFVT_01_tblFillRateFechas[[#This Row],[cant_order]])*100</f>
        <v>100</v>
      </c>
      <c r="Q8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6" s="1">
        <f>+IF(Tabla__192.168.1.8_POSEIDONSQL_APPFVT_01_tblFillRateFechas[[#This Row],[cant_order]]&gt;0,1,0)</f>
        <v>1</v>
      </c>
      <c r="V876" s="1">
        <f>+IF(Tabla__192.168.1.8_POSEIDONSQL_APPFVT_01_tblFillRateFechas[[#This Row],[Resultado]]=1,1,0)</f>
        <v>1</v>
      </c>
      <c r="W876" s="1" t="str">
        <f>+Tabla__192.168.1.8_POSEIDONSQL_APPFVT_01_tblFillRateFechas[[#This Row],[con_ocnumero]]&amp;Tabla__192.168.1.8_POSEIDONSQL_APPFVT_01_tblFillRateFechas[[#This Row],[con_codigounico]]</f>
        <v>5103237-</v>
      </c>
      <c r="X8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7" spans="1:24" x14ac:dyDescent="0.25">
      <c r="A877">
        <v>24</v>
      </c>
      <c r="B877" t="s">
        <v>54</v>
      </c>
      <c r="C877">
        <v>5103279</v>
      </c>
      <c r="D877" t="s">
        <v>160</v>
      </c>
      <c r="E877" t="s">
        <v>429</v>
      </c>
      <c r="F877" t="s">
        <v>161</v>
      </c>
      <c r="G877">
        <v>1</v>
      </c>
      <c r="H877">
        <v>1</v>
      </c>
      <c r="I877" t="s">
        <v>163</v>
      </c>
      <c r="J877">
        <v>0</v>
      </c>
      <c r="K877" t="s">
        <v>49</v>
      </c>
      <c r="L877" s="1">
        <f>+Tabla__192.168.1.8_POSEIDONSQL_APPFVT_01_tblFillRateFechas[[#This Row],[emb_cantidad]]-Tabla__192.168.1.8_POSEIDONSQL_APPFVT_01_tblFillRateFechas[[#This Row],[dev_cantidad]]</f>
        <v>1</v>
      </c>
      <c r="M877" s="1">
        <f>+IF(Tabla__192.168.1.8_POSEIDONSQL_APPFVT_01_tblFillRateFechas[[#This Row],[Cant_Resultante]]=Tabla__192.168.1.8_POSEIDONSQL_APPFVT_01_tblFillRateFechas[[#This Row],[cant_order]],1,0)</f>
        <v>1</v>
      </c>
      <c r="N8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7" s="1">
        <f>+IF(AND(Tabla__192.168.1.8_POSEIDONSQL_APPFVT_01_tblFillRateFechas[[#This Row],[Valida Cant]]=1,Tabla__192.168.1.8_POSEIDONSQL_APPFVT_01_tblFillRateFechas[[#This Row],[Valida Fec]]=1),1,0)</f>
        <v>1</v>
      </c>
      <c r="P877" s="1">
        <f>+(Tabla__192.168.1.8_POSEIDONSQL_APPFVT_01_tblFillRateFechas[[#This Row],[Cant_Resultante]]/Tabla__192.168.1.8_POSEIDONSQL_APPFVT_01_tblFillRateFechas[[#This Row],[cant_order]])*100</f>
        <v>100</v>
      </c>
      <c r="Q8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7" s="1">
        <f>+IF(Tabla__192.168.1.8_POSEIDONSQL_APPFVT_01_tblFillRateFechas[[#This Row],[cant_order]]&gt;0,1,0)</f>
        <v>1</v>
      </c>
      <c r="V877" s="1">
        <f>+IF(Tabla__192.168.1.8_POSEIDONSQL_APPFVT_01_tblFillRateFechas[[#This Row],[Resultado]]=1,1,0)</f>
        <v>1</v>
      </c>
      <c r="W877" s="1" t="str">
        <f>+Tabla__192.168.1.8_POSEIDONSQL_APPFVT_01_tblFillRateFechas[[#This Row],[con_ocnumero]]&amp;Tabla__192.168.1.8_POSEIDONSQL_APPFVT_01_tblFillRateFechas[[#This Row],[con_codigounico]]</f>
        <v>5103279-</v>
      </c>
      <c r="X8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78" spans="1:24" x14ac:dyDescent="0.25">
      <c r="A878">
        <v>24</v>
      </c>
      <c r="B878" t="s">
        <v>54</v>
      </c>
      <c r="C878">
        <v>5103292</v>
      </c>
      <c r="D878" t="s">
        <v>160</v>
      </c>
      <c r="E878" t="s">
        <v>419</v>
      </c>
      <c r="F878" t="s">
        <v>161</v>
      </c>
      <c r="G878">
        <v>2</v>
      </c>
      <c r="H878">
        <v>4</v>
      </c>
      <c r="I878" t="s">
        <v>413</v>
      </c>
      <c r="J878">
        <v>2</v>
      </c>
      <c r="K878" t="s">
        <v>49</v>
      </c>
      <c r="L878" s="1">
        <f>+Tabla__192.168.1.8_POSEIDONSQL_APPFVT_01_tblFillRateFechas[[#This Row],[emb_cantidad]]-Tabla__192.168.1.8_POSEIDONSQL_APPFVT_01_tblFillRateFechas[[#This Row],[dev_cantidad]]</f>
        <v>2</v>
      </c>
      <c r="M878" s="1">
        <f>+IF(Tabla__192.168.1.8_POSEIDONSQL_APPFVT_01_tblFillRateFechas[[#This Row],[Cant_Resultante]]=Tabla__192.168.1.8_POSEIDONSQL_APPFVT_01_tblFillRateFechas[[#This Row],[cant_order]],1,0)</f>
        <v>1</v>
      </c>
      <c r="N8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78" s="1">
        <f>+IF(AND(Tabla__192.168.1.8_POSEIDONSQL_APPFVT_01_tblFillRateFechas[[#This Row],[Valida Cant]]=1,Tabla__192.168.1.8_POSEIDONSQL_APPFVT_01_tblFillRateFechas[[#This Row],[Valida Fec]]=1),1,0)</f>
        <v>0</v>
      </c>
      <c r="P878" s="1">
        <f>+(Tabla__192.168.1.8_POSEIDONSQL_APPFVT_01_tblFillRateFechas[[#This Row],[Cant_Resultante]]/Tabla__192.168.1.8_POSEIDONSQL_APPFVT_01_tblFillRateFechas[[#This Row],[cant_order]])*100</f>
        <v>100</v>
      </c>
      <c r="Q8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8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8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8" s="1">
        <f>+IF(Tabla__192.168.1.8_POSEIDONSQL_APPFVT_01_tblFillRateFechas[[#This Row],[cant_order]]&gt;0,1,0)</f>
        <v>1</v>
      </c>
      <c r="V878" s="1">
        <f>+IF(Tabla__192.168.1.8_POSEIDONSQL_APPFVT_01_tblFillRateFechas[[#This Row],[Resultado]]=1,1,0)</f>
        <v>0</v>
      </c>
      <c r="W878" s="1" t="str">
        <f>+Tabla__192.168.1.8_POSEIDONSQL_APPFVT_01_tblFillRateFechas[[#This Row],[con_ocnumero]]&amp;Tabla__192.168.1.8_POSEIDONSQL_APPFVT_01_tblFillRateFechas[[#This Row],[con_codigounico]]</f>
        <v>5103292-</v>
      </c>
      <c r="X8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879" spans="1:24" x14ac:dyDescent="0.25">
      <c r="A879">
        <v>24</v>
      </c>
      <c r="B879" t="s">
        <v>54</v>
      </c>
      <c r="C879">
        <v>5103426</v>
      </c>
      <c r="D879" t="s">
        <v>161</v>
      </c>
      <c r="E879" t="s">
        <v>419</v>
      </c>
      <c r="F879" t="s">
        <v>1969</v>
      </c>
      <c r="G879">
        <v>1</v>
      </c>
      <c r="H879">
        <v>1</v>
      </c>
      <c r="I879" t="s">
        <v>419</v>
      </c>
      <c r="J879">
        <v>0</v>
      </c>
      <c r="K879" t="s">
        <v>49</v>
      </c>
      <c r="L879" s="1">
        <f>+Tabla__192.168.1.8_POSEIDONSQL_APPFVT_01_tblFillRateFechas[[#This Row],[emb_cantidad]]-Tabla__192.168.1.8_POSEIDONSQL_APPFVT_01_tblFillRateFechas[[#This Row],[dev_cantidad]]</f>
        <v>1</v>
      </c>
      <c r="M879" s="1">
        <f>+IF(Tabla__192.168.1.8_POSEIDONSQL_APPFVT_01_tblFillRateFechas[[#This Row],[Cant_Resultante]]=Tabla__192.168.1.8_POSEIDONSQL_APPFVT_01_tblFillRateFechas[[#This Row],[cant_order]],1,0)</f>
        <v>1</v>
      </c>
      <c r="N8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79" s="1">
        <f>+IF(AND(Tabla__192.168.1.8_POSEIDONSQL_APPFVT_01_tblFillRateFechas[[#This Row],[Valida Cant]]=1,Tabla__192.168.1.8_POSEIDONSQL_APPFVT_01_tblFillRateFechas[[#This Row],[Valida Fec]]=1),1,0)</f>
        <v>1</v>
      </c>
      <c r="P879" s="1">
        <f>+(Tabla__192.168.1.8_POSEIDONSQL_APPFVT_01_tblFillRateFechas[[#This Row],[Cant_Resultante]]/Tabla__192.168.1.8_POSEIDONSQL_APPFVT_01_tblFillRateFechas[[#This Row],[cant_order]])*100</f>
        <v>100</v>
      </c>
      <c r="Q8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79" s="1">
        <f>+IF(Tabla__192.168.1.8_POSEIDONSQL_APPFVT_01_tblFillRateFechas[[#This Row],[cant_order]]&gt;0,1,0)</f>
        <v>1</v>
      </c>
      <c r="V879" s="1">
        <f>+IF(Tabla__192.168.1.8_POSEIDONSQL_APPFVT_01_tblFillRateFechas[[#This Row],[Resultado]]=1,1,0)</f>
        <v>1</v>
      </c>
      <c r="W879" s="1" t="str">
        <f>+Tabla__192.168.1.8_POSEIDONSQL_APPFVT_01_tblFillRateFechas[[#This Row],[con_ocnumero]]&amp;Tabla__192.168.1.8_POSEIDONSQL_APPFVT_01_tblFillRateFechas[[#This Row],[con_codigounico]]</f>
        <v>5103426-</v>
      </c>
      <c r="X8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0" spans="1:24" x14ac:dyDescent="0.25">
      <c r="A880">
        <v>24</v>
      </c>
      <c r="B880" t="s">
        <v>54</v>
      </c>
      <c r="C880">
        <v>5103550</v>
      </c>
      <c r="D880" t="s">
        <v>161</v>
      </c>
      <c r="E880" t="s">
        <v>430</v>
      </c>
      <c r="F880" t="s">
        <v>1969</v>
      </c>
      <c r="G880">
        <v>1810</v>
      </c>
      <c r="H880">
        <v>1440</v>
      </c>
      <c r="I880" t="s">
        <v>1983</v>
      </c>
      <c r="J880">
        <v>1</v>
      </c>
      <c r="K880" t="s">
        <v>49</v>
      </c>
      <c r="L880" s="1">
        <f>+Tabla__192.168.1.8_POSEIDONSQL_APPFVT_01_tblFillRateFechas[[#This Row],[emb_cantidad]]-Tabla__192.168.1.8_POSEIDONSQL_APPFVT_01_tblFillRateFechas[[#This Row],[dev_cantidad]]</f>
        <v>1439</v>
      </c>
      <c r="M880" s="1">
        <f>+IF(Tabla__192.168.1.8_POSEIDONSQL_APPFVT_01_tblFillRateFechas[[#This Row],[Cant_Resultante]]=Tabla__192.168.1.8_POSEIDONSQL_APPFVT_01_tblFillRateFechas[[#This Row],[cant_order]],1,0)</f>
        <v>0</v>
      </c>
      <c r="N8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0" s="1">
        <f>+IF(AND(Tabla__192.168.1.8_POSEIDONSQL_APPFVT_01_tblFillRateFechas[[#This Row],[Valida Cant]]=1,Tabla__192.168.1.8_POSEIDONSQL_APPFVT_01_tblFillRateFechas[[#This Row],[Valida Fec]]=1),1,0)</f>
        <v>0</v>
      </c>
      <c r="P880" s="1">
        <f>+(Tabla__192.168.1.8_POSEIDONSQL_APPFVT_01_tblFillRateFechas[[#This Row],[Cant_Resultante]]/Tabla__192.168.1.8_POSEIDONSQL_APPFVT_01_tblFillRateFechas[[#This Row],[cant_order]])*100</f>
        <v>79.502762430939228</v>
      </c>
      <c r="Q8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1439</v>
      </c>
      <c r="R8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1438</v>
      </c>
      <c r="T8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372</v>
      </c>
      <c r="U880" s="1">
        <f>+IF(Tabla__192.168.1.8_POSEIDONSQL_APPFVT_01_tblFillRateFechas[[#This Row],[cant_order]]&gt;0,1,0)</f>
        <v>1</v>
      </c>
      <c r="V880" s="1">
        <f>+IF(Tabla__192.168.1.8_POSEIDONSQL_APPFVT_01_tblFillRateFechas[[#This Row],[Resultado]]=1,1,0)</f>
        <v>0</v>
      </c>
      <c r="W880" s="1" t="str">
        <f>+Tabla__192.168.1.8_POSEIDONSQL_APPFVT_01_tblFillRateFechas[[#This Row],[con_ocnumero]]&amp;Tabla__192.168.1.8_POSEIDONSQL_APPFVT_01_tblFillRateFechas[[#This Row],[con_codigounico]]</f>
        <v>5103550-</v>
      </c>
      <c r="X8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1439</v>
      </c>
    </row>
    <row r="881" spans="1:24" x14ac:dyDescent="0.25">
      <c r="A881">
        <v>24</v>
      </c>
      <c r="B881" t="s">
        <v>54</v>
      </c>
      <c r="C881">
        <v>5103577</v>
      </c>
      <c r="D881" t="s">
        <v>1969</v>
      </c>
      <c r="E881" t="s">
        <v>419</v>
      </c>
      <c r="F881" t="s">
        <v>1969</v>
      </c>
      <c r="G881">
        <v>1</v>
      </c>
      <c r="H881">
        <v>1</v>
      </c>
      <c r="I881" t="s">
        <v>419</v>
      </c>
      <c r="J881">
        <v>0</v>
      </c>
      <c r="K881" t="s">
        <v>49</v>
      </c>
      <c r="L881" s="1">
        <f>+Tabla__192.168.1.8_POSEIDONSQL_APPFVT_01_tblFillRateFechas[[#This Row],[emb_cantidad]]-Tabla__192.168.1.8_POSEIDONSQL_APPFVT_01_tblFillRateFechas[[#This Row],[dev_cantidad]]</f>
        <v>1</v>
      </c>
      <c r="M881" s="1">
        <f>+IF(Tabla__192.168.1.8_POSEIDONSQL_APPFVT_01_tblFillRateFechas[[#This Row],[Cant_Resultante]]=Tabla__192.168.1.8_POSEIDONSQL_APPFVT_01_tblFillRateFechas[[#This Row],[cant_order]],1,0)</f>
        <v>1</v>
      </c>
      <c r="N8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1" s="1">
        <f>+IF(AND(Tabla__192.168.1.8_POSEIDONSQL_APPFVT_01_tblFillRateFechas[[#This Row],[Valida Cant]]=1,Tabla__192.168.1.8_POSEIDONSQL_APPFVT_01_tblFillRateFechas[[#This Row],[Valida Fec]]=1),1,0)</f>
        <v>1</v>
      </c>
      <c r="P881" s="1">
        <f>+(Tabla__192.168.1.8_POSEIDONSQL_APPFVT_01_tblFillRateFechas[[#This Row],[Cant_Resultante]]/Tabla__192.168.1.8_POSEIDONSQL_APPFVT_01_tblFillRateFechas[[#This Row],[cant_order]])*100</f>
        <v>100</v>
      </c>
      <c r="Q8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1" s="1">
        <f>+IF(Tabla__192.168.1.8_POSEIDONSQL_APPFVT_01_tblFillRateFechas[[#This Row],[cant_order]]&gt;0,1,0)</f>
        <v>1</v>
      </c>
      <c r="V881" s="1">
        <f>+IF(Tabla__192.168.1.8_POSEIDONSQL_APPFVT_01_tblFillRateFechas[[#This Row],[Resultado]]=1,1,0)</f>
        <v>1</v>
      </c>
      <c r="W881" s="1" t="str">
        <f>+Tabla__192.168.1.8_POSEIDONSQL_APPFVT_01_tblFillRateFechas[[#This Row],[con_ocnumero]]&amp;Tabla__192.168.1.8_POSEIDONSQL_APPFVT_01_tblFillRateFechas[[#This Row],[con_codigounico]]</f>
        <v>5103577-</v>
      </c>
      <c r="X8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2" spans="1:24" x14ac:dyDescent="0.25">
      <c r="A882">
        <v>24</v>
      </c>
      <c r="B882" t="s">
        <v>54</v>
      </c>
      <c r="C882">
        <v>5103760</v>
      </c>
      <c r="D882" t="s">
        <v>1969</v>
      </c>
      <c r="E882" t="s">
        <v>420</v>
      </c>
      <c r="F882" t="s">
        <v>163</v>
      </c>
      <c r="G882">
        <v>1</v>
      </c>
      <c r="H882">
        <v>1</v>
      </c>
      <c r="I882" t="s">
        <v>419</v>
      </c>
      <c r="J882">
        <v>0</v>
      </c>
      <c r="K882" t="s">
        <v>49</v>
      </c>
      <c r="L882" s="1">
        <f>+Tabla__192.168.1.8_POSEIDONSQL_APPFVT_01_tblFillRateFechas[[#This Row],[emb_cantidad]]-Tabla__192.168.1.8_POSEIDONSQL_APPFVT_01_tblFillRateFechas[[#This Row],[dev_cantidad]]</f>
        <v>1</v>
      </c>
      <c r="M882" s="1">
        <f>+IF(Tabla__192.168.1.8_POSEIDONSQL_APPFVT_01_tblFillRateFechas[[#This Row],[Cant_Resultante]]=Tabla__192.168.1.8_POSEIDONSQL_APPFVT_01_tblFillRateFechas[[#This Row],[cant_order]],1,0)</f>
        <v>1</v>
      </c>
      <c r="N8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2" s="1">
        <f>+IF(AND(Tabla__192.168.1.8_POSEIDONSQL_APPFVT_01_tblFillRateFechas[[#This Row],[Valida Cant]]=1,Tabla__192.168.1.8_POSEIDONSQL_APPFVT_01_tblFillRateFechas[[#This Row],[Valida Fec]]=1),1,0)</f>
        <v>1</v>
      </c>
      <c r="P882" s="1">
        <f>+(Tabla__192.168.1.8_POSEIDONSQL_APPFVT_01_tblFillRateFechas[[#This Row],[Cant_Resultante]]/Tabla__192.168.1.8_POSEIDONSQL_APPFVT_01_tblFillRateFechas[[#This Row],[cant_order]])*100</f>
        <v>100</v>
      </c>
      <c r="Q8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2" s="1">
        <f>+IF(Tabla__192.168.1.8_POSEIDONSQL_APPFVT_01_tblFillRateFechas[[#This Row],[cant_order]]&gt;0,1,0)</f>
        <v>1</v>
      </c>
      <c r="V882" s="1">
        <f>+IF(Tabla__192.168.1.8_POSEIDONSQL_APPFVT_01_tblFillRateFechas[[#This Row],[Resultado]]=1,1,0)</f>
        <v>1</v>
      </c>
      <c r="W882" s="1" t="str">
        <f>+Tabla__192.168.1.8_POSEIDONSQL_APPFVT_01_tblFillRateFechas[[#This Row],[con_ocnumero]]&amp;Tabla__192.168.1.8_POSEIDONSQL_APPFVT_01_tblFillRateFechas[[#This Row],[con_codigounico]]</f>
        <v>5103760-</v>
      </c>
      <c r="X8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3" spans="1:24" x14ac:dyDescent="0.25">
      <c r="A883">
        <v>24</v>
      </c>
      <c r="B883" t="s">
        <v>54</v>
      </c>
      <c r="C883">
        <v>5103776</v>
      </c>
      <c r="D883" t="s">
        <v>1969</v>
      </c>
      <c r="E883" t="s">
        <v>419</v>
      </c>
      <c r="F883" t="s">
        <v>163</v>
      </c>
      <c r="G883">
        <v>1</v>
      </c>
      <c r="H883">
        <v>0</v>
      </c>
      <c r="I883" t="s">
        <v>12</v>
      </c>
      <c r="J883">
        <v>0</v>
      </c>
      <c r="K883" t="s">
        <v>49</v>
      </c>
      <c r="L883" s="1">
        <f>+Tabla__192.168.1.8_POSEIDONSQL_APPFVT_01_tblFillRateFechas[[#This Row],[emb_cantidad]]-Tabla__192.168.1.8_POSEIDONSQL_APPFVT_01_tblFillRateFechas[[#This Row],[dev_cantidad]]</f>
        <v>0</v>
      </c>
      <c r="M883" s="1">
        <f>+IF(Tabla__192.168.1.8_POSEIDONSQL_APPFVT_01_tblFillRateFechas[[#This Row],[Cant_Resultante]]=Tabla__192.168.1.8_POSEIDONSQL_APPFVT_01_tblFillRateFechas[[#This Row],[cant_order]],1,0)</f>
        <v>0</v>
      </c>
      <c r="N8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83" s="1">
        <f>+IF(AND(Tabla__192.168.1.8_POSEIDONSQL_APPFVT_01_tblFillRateFechas[[#This Row],[Valida Cant]]=1,Tabla__192.168.1.8_POSEIDONSQL_APPFVT_01_tblFillRateFechas[[#This Row],[Valida Fec]]=1),1,0)</f>
        <v>0</v>
      </c>
      <c r="P883" s="1">
        <f>+(Tabla__192.168.1.8_POSEIDONSQL_APPFVT_01_tblFillRateFechas[[#This Row],[Cant_Resultante]]/Tabla__192.168.1.8_POSEIDONSQL_APPFVT_01_tblFillRateFechas[[#This Row],[cant_order]])*100</f>
        <v>0</v>
      </c>
      <c r="Q8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8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883" s="1">
        <f>+IF(Tabla__192.168.1.8_POSEIDONSQL_APPFVT_01_tblFillRateFechas[[#This Row],[cant_order]]&gt;0,1,0)</f>
        <v>1</v>
      </c>
      <c r="V883" s="1">
        <f>+IF(Tabla__192.168.1.8_POSEIDONSQL_APPFVT_01_tblFillRateFechas[[#This Row],[Resultado]]=1,1,0)</f>
        <v>0</v>
      </c>
      <c r="W883" s="1" t="str">
        <f>+Tabla__192.168.1.8_POSEIDONSQL_APPFVT_01_tblFillRateFechas[[#This Row],[con_ocnumero]]&amp;Tabla__192.168.1.8_POSEIDONSQL_APPFVT_01_tblFillRateFechas[[#This Row],[con_codigounico]]</f>
        <v>5103776-</v>
      </c>
      <c r="X8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884" spans="1:24" x14ac:dyDescent="0.25">
      <c r="A884">
        <v>24</v>
      </c>
      <c r="B884" t="s">
        <v>54</v>
      </c>
      <c r="C884">
        <v>5103799</v>
      </c>
      <c r="D884" t="s">
        <v>1969</v>
      </c>
      <c r="E884" t="s">
        <v>419</v>
      </c>
      <c r="F884" t="s">
        <v>163</v>
      </c>
      <c r="G884">
        <v>1</v>
      </c>
      <c r="H884">
        <v>1</v>
      </c>
      <c r="I884" t="s">
        <v>419</v>
      </c>
      <c r="J884">
        <v>0</v>
      </c>
      <c r="K884" t="s">
        <v>49</v>
      </c>
      <c r="L884" s="1">
        <f>+Tabla__192.168.1.8_POSEIDONSQL_APPFVT_01_tblFillRateFechas[[#This Row],[emb_cantidad]]-Tabla__192.168.1.8_POSEIDONSQL_APPFVT_01_tblFillRateFechas[[#This Row],[dev_cantidad]]</f>
        <v>1</v>
      </c>
      <c r="M884" s="1">
        <f>+IF(Tabla__192.168.1.8_POSEIDONSQL_APPFVT_01_tblFillRateFechas[[#This Row],[Cant_Resultante]]=Tabla__192.168.1.8_POSEIDONSQL_APPFVT_01_tblFillRateFechas[[#This Row],[cant_order]],1,0)</f>
        <v>1</v>
      </c>
      <c r="N8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4" s="1">
        <f>+IF(AND(Tabla__192.168.1.8_POSEIDONSQL_APPFVT_01_tblFillRateFechas[[#This Row],[Valida Cant]]=1,Tabla__192.168.1.8_POSEIDONSQL_APPFVT_01_tblFillRateFechas[[#This Row],[Valida Fec]]=1),1,0)</f>
        <v>1</v>
      </c>
      <c r="P884" s="1">
        <f>+(Tabla__192.168.1.8_POSEIDONSQL_APPFVT_01_tblFillRateFechas[[#This Row],[Cant_Resultante]]/Tabla__192.168.1.8_POSEIDONSQL_APPFVT_01_tblFillRateFechas[[#This Row],[cant_order]])*100</f>
        <v>100</v>
      </c>
      <c r="Q8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4" s="1">
        <f>+IF(Tabla__192.168.1.8_POSEIDONSQL_APPFVT_01_tblFillRateFechas[[#This Row],[cant_order]]&gt;0,1,0)</f>
        <v>1</v>
      </c>
      <c r="V884" s="1">
        <f>+IF(Tabla__192.168.1.8_POSEIDONSQL_APPFVT_01_tblFillRateFechas[[#This Row],[Resultado]]=1,1,0)</f>
        <v>1</v>
      </c>
      <c r="W884" s="1" t="str">
        <f>+Tabla__192.168.1.8_POSEIDONSQL_APPFVT_01_tblFillRateFechas[[#This Row],[con_ocnumero]]&amp;Tabla__192.168.1.8_POSEIDONSQL_APPFVT_01_tblFillRateFechas[[#This Row],[con_codigounico]]</f>
        <v>5103799-</v>
      </c>
      <c r="X8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5" spans="1:24" x14ac:dyDescent="0.25">
      <c r="A885">
        <v>24</v>
      </c>
      <c r="B885" t="s">
        <v>54</v>
      </c>
      <c r="C885">
        <v>5103830</v>
      </c>
      <c r="D885" t="s">
        <v>1969</v>
      </c>
      <c r="E885" t="s">
        <v>419</v>
      </c>
      <c r="F885" t="s">
        <v>163</v>
      </c>
      <c r="G885">
        <v>1</v>
      </c>
      <c r="H885">
        <v>1</v>
      </c>
      <c r="I885" t="s">
        <v>419</v>
      </c>
      <c r="J885">
        <v>0</v>
      </c>
      <c r="K885" t="s">
        <v>49</v>
      </c>
      <c r="L885" s="1">
        <f>+Tabla__192.168.1.8_POSEIDONSQL_APPFVT_01_tblFillRateFechas[[#This Row],[emb_cantidad]]-Tabla__192.168.1.8_POSEIDONSQL_APPFVT_01_tblFillRateFechas[[#This Row],[dev_cantidad]]</f>
        <v>1</v>
      </c>
      <c r="M885" s="1">
        <f>+IF(Tabla__192.168.1.8_POSEIDONSQL_APPFVT_01_tblFillRateFechas[[#This Row],[Cant_Resultante]]=Tabla__192.168.1.8_POSEIDONSQL_APPFVT_01_tblFillRateFechas[[#This Row],[cant_order]],1,0)</f>
        <v>1</v>
      </c>
      <c r="N8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5" s="1">
        <f>+IF(AND(Tabla__192.168.1.8_POSEIDONSQL_APPFVT_01_tblFillRateFechas[[#This Row],[Valida Cant]]=1,Tabla__192.168.1.8_POSEIDONSQL_APPFVT_01_tblFillRateFechas[[#This Row],[Valida Fec]]=1),1,0)</f>
        <v>1</v>
      </c>
      <c r="P885" s="1">
        <f>+(Tabla__192.168.1.8_POSEIDONSQL_APPFVT_01_tblFillRateFechas[[#This Row],[Cant_Resultante]]/Tabla__192.168.1.8_POSEIDONSQL_APPFVT_01_tblFillRateFechas[[#This Row],[cant_order]])*100</f>
        <v>100</v>
      </c>
      <c r="Q8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5" s="1">
        <f>+IF(Tabla__192.168.1.8_POSEIDONSQL_APPFVT_01_tblFillRateFechas[[#This Row],[cant_order]]&gt;0,1,0)</f>
        <v>1</v>
      </c>
      <c r="V885" s="1">
        <f>+IF(Tabla__192.168.1.8_POSEIDONSQL_APPFVT_01_tblFillRateFechas[[#This Row],[Resultado]]=1,1,0)</f>
        <v>1</v>
      </c>
      <c r="W885" s="1" t="str">
        <f>+Tabla__192.168.1.8_POSEIDONSQL_APPFVT_01_tblFillRateFechas[[#This Row],[con_ocnumero]]&amp;Tabla__192.168.1.8_POSEIDONSQL_APPFVT_01_tblFillRateFechas[[#This Row],[con_codigounico]]</f>
        <v>5103830-</v>
      </c>
      <c r="X8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6" spans="1:24" x14ac:dyDescent="0.25">
      <c r="A886">
        <v>24</v>
      </c>
      <c r="B886" t="s">
        <v>54</v>
      </c>
      <c r="C886">
        <v>5103832</v>
      </c>
      <c r="D886" t="s">
        <v>1969</v>
      </c>
      <c r="E886" t="s">
        <v>419</v>
      </c>
      <c r="F886" t="s">
        <v>163</v>
      </c>
      <c r="G886">
        <v>1</v>
      </c>
      <c r="H886">
        <v>1</v>
      </c>
      <c r="I886" t="s">
        <v>419</v>
      </c>
      <c r="J886">
        <v>0</v>
      </c>
      <c r="K886" t="s">
        <v>49</v>
      </c>
      <c r="L886" s="1">
        <f>+Tabla__192.168.1.8_POSEIDONSQL_APPFVT_01_tblFillRateFechas[[#This Row],[emb_cantidad]]-Tabla__192.168.1.8_POSEIDONSQL_APPFVT_01_tblFillRateFechas[[#This Row],[dev_cantidad]]</f>
        <v>1</v>
      </c>
      <c r="M886" s="1">
        <f>+IF(Tabla__192.168.1.8_POSEIDONSQL_APPFVT_01_tblFillRateFechas[[#This Row],[Cant_Resultante]]=Tabla__192.168.1.8_POSEIDONSQL_APPFVT_01_tblFillRateFechas[[#This Row],[cant_order]],1,0)</f>
        <v>1</v>
      </c>
      <c r="N8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6" s="1">
        <f>+IF(AND(Tabla__192.168.1.8_POSEIDONSQL_APPFVT_01_tblFillRateFechas[[#This Row],[Valida Cant]]=1,Tabla__192.168.1.8_POSEIDONSQL_APPFVT_01_tblFillRateFechas[[#This Row],[Valida Fec]]=1),1,0)</f>
        <v>1</v>
      </c>
      <c r="P886" s="1">
        <f>+(Tabla__192.168.1.8_POSEIDONSQL_APPFVT_01_tblFillRateFechas[[#This Row],[Cant_Resultante]]/Tabla__192.168.1.8_POSEIDONSQL_APPFVT_01_tblFillRateFechas[[#This Row],[cant_order]])*100</f>
        <v>100</v>
      </c>
      <c r="Q8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6" s="1">
        <f>+IF(Tabla__192.168.1.8_POSEIDONSQL_APPFVT_01_tblFillRateFechas[[#This Row],[cant_order]]&gt;0,1,0)</f>
        <v>1</v>
      </c>
      <c r="V886" s="1">
        <f>+IF(Tabla__192.168.1.8_POSEIDONSQL_APPFVT_01_tblFillRateFechas[[#This Row],[Resultado]]=1,1,0)</f>
        <v>1</v>
      </c>
      <c r="W886" s="1" t="str">
        <f>+Tabla__192.168.1.8_POSEIDONSQL_APPFVT_01_tblFillRateFechas[[#This Row],[con_ocnumero]]&amp;Tabla__192.168.1.8_POSEIDONSQL_APPFVT_01_tblFillRateFechas[[#This Row],[con_codigounico]]</f>
        <v>5103832-</v>
      </c>
      <c r="X8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7" spans="1:24" x14ac:dyDescent="0.25">
      <c r="A887">
        <v>24</v>
      </c>
      <c r="B887" t="s">
        <v>54</v>
      </c>
      <c r="C887">
        <v>5103835</v>
      </c>
      <c r="D887" t="s">
        <v>428</v>
      </c>
      <c r="E887" t="s">
        <v>420</v>
      </c>
      <c r="F887" t="s">
        <v>163</v>
      </c>
      <c r="G887">
        <v>1</v>
      </c>
      <c r="H887">
        <v>1</v>
      </c>
      <c r="I887" t="s">
        <v>419</v>
      </c>
      <c r="J887">
        <v>0</v>
      </c>
      <c r="K887" t="s">
        <v>49</v>
      </c>
      <c r="L887" s="1">
        <f>+Tabla__192.168.1.8_POSEIDONSQL_APPFVT_01_tblFillRateFechas[[#This Row],[emb_cantidad]]-Tabla__192.168.1.8_POSEIDONSQL_APPFVT_01_tblFillRateFechas[[#This Row],[dev_cantidad]]</f>
        <v>1</v>
      </c>
      <c r="M887" s="1">
        <f>+IF(Tabla__192.168.1.8_POSEIDONSQL_APPFVT_01_tblFillRateFechas[[#This Row],[Cant_Resultante]]=Tabla__192.168.1.8_POSEIDONSQL_APPFVT_01_tblFillRateFechas[[#This Row],[cant_order]],1,0)</f>
        <v>1</v>
      </c>
      <c r="N8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7" s="1">
        <f>+IF(AND(Tabla__192.168.1.8_POSEIDONSQL_APPFVT_01_tblFillRateFechas[[#This Row],[Valida Cant]]=1,Tabla__192.168.1.8_POSEIDONSQL_APPFVT_01_tblFillRateFechas[[#This Row],[Valida Fec]]=1),1,0)</f>
        <v>1</v>
      </c>
      <c r="P887" s="1">
        <f>+(Tabla__192.168.1.8_POSEIDONSQL_APPFVT_01_tblFillRateFechas[[#This Row],[Cant_Resultante]]/Tabla__192.168.1.8_POSEIDONSQL_APPFVT_01_tblFillRateFechas[[#This Row],[cant_order]])*100</f>
        <v>100</v>
      </c>
      <c r="Q8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7" s="1">
        <f>+IF(Tabla__192.168.1.8_POSEIDONSQL_APPFVT_01_tblFillRateFechas[[#This Row],[cant_order]]&gt;0,1,0)</f>
        <v>1</v>
      </c>
      <c r="V887" s="1">
        <f>+IF(Tabla__192.168.1.8_POSEIDONSQL_APPFVT_01_tblFillRateFechas[[#This Row],[Resultado]]=1,1,0)</f>
        <v>1</v>
      </c>
      <c r="W887" s="1" t="str">
        <f>+Tabla__192.168.1.8_POSEIDONSQL_APPFVT_01_tblFillRateFechas[[#This Row],[con_ocnumero]]&amp;Tabla__192.168.1.8_POSEIDONSQL_APPFVT_01_tblFillRateFechas[[#This Row],[con_codigounico]]</f>
        <v>5103835-</v>
      </c>
      <c r="X8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8" spans="1:24" x14ac:dyDescent="0.25">
      <c r="A888">
        <v>24</v>
      </c>
      <c r="B888" t="s">
        <v>54</v>
      </c>
      <c r="C888">
        <v>5103895</v>
      </c>
      <c r="D888" t="s">
        <v>428</v>
      </c>
      <c r="E888" t="s">
        <v>420</v>
      </c>
      <c r="F888" t="s">
        <v>163</v>
      </c>
      <c r="G888">
        <v>1</v>
      </c>
      <c r="H888">
        <v>1</v>
      </c>
      <c r="I888" t="s">
        <v>419</v>
      </c>
      <c r="J888">
        <v>0</v>
      </c>
      <c r="K888" t="s">
        <v>49</v>
      </c>
      <c r="L888" s="1">
        <f>+Tabla__192.168.1.8_POSEIDONSQL_APPFVT_01_tblFillRateFechas[[#This Row],[emb_cantidad]]-Tabla__192.168.1.8_POSEIDONSQL_APPFVT_01_tblFillRateFechas[[#This Row],[dev_cantidad]]</f>
        <v>1</v>
      </c>
      <c r="M888" s="1">
        <f>+IF(Tabla__192.168.1.8_POSEIDONSQL_APPFVT_01_tblFillRateFechas[[#This Row],[Cant_Resultante]]=Tabla__192.168.1.8_POSEIDONSQL_APPFVT_01_tblFillRateFechas[[#This Row],[cant_order]],1,0)</f>
        <v>1</v>
      </c>
      <c r="N8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88" s="1">
        <f>+IF(AND(Tabla__192.168.1.8_POSEIDONSQL_APPFVT_01_tblFillRateFechas[[#This Row],[Valida Cant]]=1,Tabla__192.168.1.8_POSEIDONSQL_APPFVT_01_tblFillRateFechas[[#This Row],[Valida Fec]]=1),1,0)</f>
        <v>1</v>
      </c>
      <c r="P888" s="1">
        <f>+(Tabla__192.168.1.8_POSEIDONSQL_APPFVT_01_tblFillRateFechas[[#This Row],[Cant_Resultante]]/Tabla__192.168.1.8_POSEIDONSQL_APPFVT_01_tblFillRateFechas[[#This Row],[cant_order]])*100</f>
        <v>100</v>
      </c>
      <c r="Q8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8" s="1">
        <f>+IF(Tabla__192.168.1.8_POSEIDONSQL_APPFVT_01_tblFillRateFechas[[#This Row],[cant_order]]&gt;0,1,0)</f>
        <v>1</v>
      </c>
      <c r="V888" s="1">
        <f>+IF(Tabla__192.168.1.8_POSEIDONSQL_APPFVT_01_tblFillRateFechas[[#This Row],[Resultado]]=1,1,0)</f>
        <v>1</v>
      </c>
      <c r="W888" s="1" t="str">
        <f>+Tabla__192.168.1.8_POSEIDONSQL_APPFVT_01_tblFillRateFechas[[#This Row],[con_ocnumero]]&amp;Tabla__192.168.1.8_POSEIDONSQL_APPFVT_01_tblFillRateFechas[[#This Row],[con_codigounico]]</f>
        <v>5103895-</v>
      </c>
      <c r="X8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89" spans="1:24" x14ac:dyDescent="0.25">
      <c r="A889">
        <v>24</v>
      </c>
      <c r="B889" t="s">
        <v>54</v>
      </c>
      <c r="C889">
        <v>5104128</v>
      </c>
      <c r="D889" t="s">
        <v>1982</v>
      </c>
      <c r="E889" t="s">
        <v>419</v>
      </c>
      <c r="F889" t="s">
        <v>163</v>
      </c>
      <c r="G889">
        <v>1</v>
      </c>
      <c r="H889">
        <v>2</v>
      </c>
      <c r="I889" t="s">
        <v>413</v>
      </c>
      <c r="J889">
        <v>1</v>
      </c>
      <c r="K889" t="s">
        <v>49</v>
      </c>
      <c r="L889" s="1">
        <f>+Tabla__192.168.1.8_POSEIDONSQL_APPFVT_01_tblFillRateFechas[[#This Row],[emb_cantidad]]-Tabla__192.168.1.8_POSEIDONSQL_APPFVT_01_tblFillRateFechas[[#This Row],[dev_cantidad]]</f>
        <v>1</v>
      </c>
      <c r="M889" s="1">
        <f>+IF(Tabla__192.168.1.8_POSEIDONSQL_APPFVT_01_tblFillRateFechas[[#This Row],[Cant_Resultante]]=Tabla__192.168.1.8_POSEIDONSQL_APPFVT_01_tblFillRateFechas[[#This Row],[cant_order]],1,0)</f>
        <v>1</v>
      </c>
      <c r="N8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889" s="1">
        <f>+IF(AND(Tabla__192.168.1.8_POSEIDONSQL_APPFVT_01_tblFillRateFechas[[#This Row],[Valida Cant]]=1,Tabla__192.168.1.8_POSEIDONSQL_APPFVT_01_tblFillRateFechas[[#This Row],[Valida Fec]]=1),1,0)</f>
        <v>0</v>
      </c>
      <c r="P889" s="1">
        <f>+(Tabla__192.168.1.8_POSEIDONSQL_APPFVT_01_tblFillRateFechas[[#This Row],[Cant_Resultante]]/Tabla__192.168.1.8_POSEIDONSQL_APPFVT_01_tblFillRateFechas[[#This Row],[cant_order]])*100</f>
        <v>100</v>
      </c>
      <c r="Q8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8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8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89" s="1">
        <f>+IF(Tabla__192.168.1.8_POSEIDONSQL_APPFVT_01_tblFillRateFechas[[#This Row],[cant_order]]&gt;0,1,0)</f>
        <v>1</v>
      </c>
      <c r="V889" s="1">
        <f>+IF(Tabla__192.168.1.8_POSEIDONSQL_APPFVT_01_tblFillRateFechas[[#This Row],[Resultado]]=1,1,0)</f>
        <v>0</v>
      </c>
      <c r="W889" s="1" t="str">
        <f>+Tabla__192.168.1.8_POSEIDONSQL_APPFVT_01_tblFillRateFechas[[#This Row],[con_ocnumero]]&amp;Tabla__192.168.1.8_POSEIDONSQL_APPFVT_01_tblFillRateFechas[[#This Row],[con_codigounico]]</f>
        <v>5104128-</v>
      </c>
      <c r="X8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0" spans="1:24" x14ac:dyDescent="0.25">
      <c r="A890">
        <v>24</v>
      </c>
      <c r="B890" t="s">
        <v>54</v>
      </c>
      <c r="C890">
        <v>5104129</v>
      </c>
      <c r="D890" t="s">
        <v>1982</v>
      </c>
      <c r="E890" t="s">
        <v>419</v>
      </c>
      <c r="F890" t="s">
        <v>163</v>
      </c>
      <c r="G890">
        <v>1</v>
      </c>
      <c r="H890">
        <v>1</v>
      </c>
      <c r="I890" t="s">
        <v>419</v>
      </c>
      <c r="J890">
        <v>0</v>
      </c>
      <c r="K890" t="s">
        <v>49</v>
      </c>
      <c r="L890" s="1">
        <f>+Tabla__192.168.1.8_POSEIDONSQL_APPFVT_01_tblFillRateFechas[[#This Row],[emb_cantidad]]-Tabla__192.168.1.8_POSEIDONSQL_APPFVT_01_tblFillRateFechas[[#This Row],[dev_cantidad]]</f>
        <v>1</v>
      </c>
      <c r="M890" s="1">
        <f>+IF(Tabla__192.168.1.8_POSEIDONSQL_APPFVT_01_tblFillRateFechas[[#This Row],[Cant_Resultante]]=Tabla__192.168.1.8_POSEIDONSQL_APPFVT_01_tblFillRateFechas[[#This Row],[cant_order]],1,0)</f>
        <v>1</v>
      </c>
      <c r="N8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0" s="1">
        <f>+IF(AND(Tabla__192.168.1.8_POSEIDONSQL_APPFVT_01_tblFillRateFechas[[#This Row],[Valida Cant]]=1,Tabla__192.168.1.8_POSEIDONSQL_APPFVT_01_tblFillRateFechas[[#This Row],[Valida Fec]]=1),1,0)</f>
        <v>1</v>
      </c>
      <c r="P890" s="1">
        <f>+(Tabla__192.168.1.8_POSEIDONSQL_APPFVT_01_tblFillRateFechas[[#This Row],[Cant_Resultante]]/Tabla__192.168.1.8_POSEIDONSQL_APPFVT_01_tblFillRateFechas[[#This Row],[cant_order]])*100</f>
        <v>100</v>
      </c>
      <c r="Q8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0" s="1">
        <f>+IF(Tabla__192.168.1.8_POSEIDONSQL_APPFVT_01_tblFillRateFechas[[#This Row],[cant_order]]&gt;0,1,0)</f>
        <v>1</v>
      </c>
      <c r="V890" s="1">
        <f>+IF(Tabla__192.168.1.8_POSEIDONSQL_APPFVT_01_tblFillRateFechas[[#This Row],[Resultado]]=1,1,0)</f>
        <v>1</v>
      </c>
      <c r="W890" s="1" t="str">
        <f>+Tabla__192.168.1.8_POSEIDONSQL_APPFVT_01_tblFillRateFechas[[#This Row],[con_ocnumero]]&amp;Tabla__192.168.1.8_POSEIDONSQL_APPFVT_01_tblFillRateFechas[[#This Row],[con_codigounico]]</f>
        <v>5104129-</v>
      </c>
      <c r="X8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1" spans="1:24" x14ac:dyDescent="0.25">
      <c r="A891">
        <v>24</v>
      </c>
      <c r="B891" t="s">
        <v>54</v>
      </c>
      <c r="C891">
        <v>5104187</v>
      </c>
      <c r="D891" t="s">
        <v>1982</v>
      </c>
      <c r="E891" t="s">
        <v>419</v>
      </c>
      <c r="F891" t="s">
        <v>163</v>
      </c>
      <c r="G891">
        <v>1</v>
      </c>
      <c r="H891">
        <v>1</v>
      </c>
      <c r="I891" t="s">
        <v>419</v>
      </c>
      <c r="J891">
        <v>0</v>
      </c>
      <c r="K891" t="s">
        <v>49</v>
      </c>
      <c r="L891" s="1">
        <f>+Tabla__192.168.1.8_POSEIDONSQL_APPFVT_01_tblFillRateFechas[[#This Row],[emb_cantidad]]-Tabla__192.168.1.8_POSEIDONSQL_APPFVT_01_tblFillRateFechas[[#This Row],[dev_cantidad]]</f>
        <v>1</v>
      </c>
      <c r="M891" s="1">
        <f>+IF(Tabla__192.168.1.8_POSEIDONSQL_APPFVT_01_tblFillRateFechas[[#This Row],[Cant_Resultante]]=Tabla__192.168.1.8_POSEIDONSQL_APPFVT_01_tblFillRateFechas[[#This Row],[cant_order]],1,0)</f>
        <v>1</v>
      </c>
      <c r="N8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1" s="1">
        <f>+IF(AND(Tabla__192.168.1.8_POSEIDONSQL_APPFVT_01_tblFillRateFechas[[#This Row],[Valida Cant]]=1,Tabla__192.168.1.8_POSEIDONSQL_APPFVT_01_tblFillRateFechas[[#This Row],[Valida Fec]]=1),1,0)</f>
        <v>1</v>
      </c>
      <c r="P891" s="1">
        <f>+(Tabla__192.168.1.8_POSEIDONSQL_APPFVT_01_tblFillRateFechas[[#This Row],[Cant_Resultante]]/Tabla__192.168.1.8_POSEIDONSQL_APPFVT_01_tblFillRateFechas[[#This Row],[cant_order]])*100</f>
        <v>100</v>
      </c>
      <c r="Q8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1" s="1">
        <f>+IF(Tabla__192.168.1.8_POSEIDONSQL_APPFVT_01_tblFillRateFechas[[#This Row],[cant_order]]&gt;0,1,0)</f>
        <v>1</v>
      </c>
      <c r="V891" s="1">
        <f>+IF(Tabla__192.168.1.8_POSEIDONSQL_APPFVT_01_tblFillRateFechas[[#This Row],[Resultado]]=1,1,0)</f>
        <v>1</v>
      </c>
      <c r="W891" s="1" t="str">
        <f>+Tabla__192.168.1.8_POSEIDONSQL_APPFVT_01_tblFillRateFechas[[#This Row],[con_ocnumero]]&amp;Tabla__192.168.1.8_POSEIDONSQL_APPFVT_01_tblFillRateFechas[[#This Row],[con_codigounico]]</f>
        <v>5104187-</v>
      </c>
      <c r="X8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2" spans="1:24" x14ac:dyDescent="0.25">
      <c r="A892">
        <v>24</v>
      </c>
      <c r="B892" t="s">
        <v>54</v>
      </c>
      <c r="C892">
        <v>5104250</v>
      </c>
      <c r="D892" t="s">
        <v>1982</v>
      </c>
      <c r="E892" t="s">
        <v>420</v>
      </c>
      <c r="F892" t="s">
        <v>163</v>
      </c>
      <c r="G892">
        <v>1</v>
      </c>
      <c r="H892">
        <v>1</v>
      </c>
      <c r="I892" t="s">
        <v>419</v>
      </c>
      <c r="J892">
        <v>0</v>
      </c>
      <c r="K892" t="s">
        <v>49</v>
      </c>
      <c r="L892" s="1">
        <f>+Tabla__192.168.1.8_POSEIDONSQL_APPFVT_01_tblFillRateFechas[[#This Row],[emb_cantidad]]-Tabla__192.168.1.8_POSEIDONSQL_APPFVT_01_tblFillRateFechas[[#This Row],[dev_cantidad]]</f>
        <v>1</v>
      </c>
      <c r="M892" s="1">
        <f>+IF(Tabla__192.168.1.8_POSEIDONSQL_APPFVT_01_tblFillRateFechas[[#This Row],[Cant_Resultante]]=Tabla__192.168.1.8_POSEIDONSQL_APPFVT_01_tblFillRateFechas[[#This Row],[cant_order]],1,0)</f>
        <v>1</v>
      </c>
      <c r="N8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2" s="1">
        <f>+IF(AND(Tabla__192.168.1.8_POSEIDONSQL_APPFVT_01_tblFillRateFechas[[#This Row],[Valida Cant]]=1,Tabla__192.168.1.8_POSEIDONSQL_APPFVT_01_tblFillRateFechas[[#This Row],[Valida Fec]]=1),1,0)</f>
        <v>1</v>
      </c>
      <c r="P892" s="1">
        <f>+(Tabla__192.168.1.8_POSEIDONSQL_APPFVT_01_tblFillRateFechas[[#This Row],[Cant_Resultante]]/Tabla__192.168.1.8_POSEIDONSQL_APPFVT_01_tblFillRateFechas[[#This Row],[cant_order]])*100</f>
        <v>100</v>
      </c>
      <c r="Q8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2" s="1">
        <f>+IF(Tabla__192.168.1.8_POSEIDONSQL_APPFVT_01_tblFillRateFechas[[#This Row],[cant_order]]&gt;0,1,0)</f>
        <v>1</v>
      </c>
      <c r="V892" s="1">
        <f>+IF(Tabla__192.168.1.8_POSEIDONSQL_APPFVT_01_tblFillRateFechas[[#This Row],[Resultado]]=1,1,0)</f>
        <v>1</v>
      </c>
      <c r="W892" s="1" t="str">
        <f>+Tabla__192.168.1.8_POSEIDONSQL_APPFVT_01_tblFillRateFechas[[#This Row],[con_ocnumero]]&amp;Tabla__192.168.1.8_POSEIDONSQL_APPFVT_01_tblFillRateFechas[[#This Row],[con_codigounico]]</f>
        <v>5104250-</v>
      </c>
      <c r="X8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3" spans="1:24" x14ac:dyDescent="0.25">
      <c r="A893">
        <v>24</v>
      </c>
      <c r="B893" t="s">
        <v>54</v>
      </c>
      <c r="C893">
        <v>5104292</v>
      </c>
      <c r="D893" t="s">
        <v>163</v>
      </c>
      <c r="E893" t="s">
        <v>419</v>
      </c>
      <c r="F893" t="s">
        <v>429</v>
      </c>
      <c r="G893">
        <v>1</v>
      </c>
      <c r="H893">
        <v>1</v>
      </c>
      <c r="I893" t="s">
        <v>419</v>
      </c>
      <c r="J893">
        <v>0</v>
      </c>
      <c r="K893" t="s">
        <v>49</v>
      </c>
      <c r="L893" s="1">
        <f>+Tabla__192.168.1.8_POSEIDONSQL_APPFVT_01_tblFillRateFechas[[#This Row],[emb_cantidad]]-Tabla__192.168.1.8_POSEIDONSQL_APPFVT_01_tblFillRateFechas[[#This Row],[dev_cantidad]]</f>
        <v>1</v>
      </c>
      <c r="M893" s="1">
        <f>+IF(Tabla__192.168.1.8_POSEIDONSQL_APPFVT_01_tblFillRateFechas[[#This Row],[Cant_Resultante]]=Tabla__192.168.1.8_POSEIDONSQL_APPFVT_01_tblFillRateFechas[[#This Row],[cant_order]],1,0)</f>
        <v>1</v>
      </c>
      <c r="N8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3" s="1">
        <f>+IF(AND(Tabla__192.168.1.8_POSEIDONSQL_APPFVT_01_tblFillRateFechas[[#This Row],[Valida Cant]]=1,Tabla__192.168.1.8_POSEIDONSQL_APPFVT_01_tblFillRateFechas[[#This Row],[Valida Fec]]=1),1,0)</f>
        <v>1</v>
      </c>
      <c r="P893" s="1">
        <f>+(Tabla__192.168.1.8_POSEIDONSQL_APPFVT_01_tblFillRateFechas[[#This Row],[Cant_Resultante]]/Tabla__192.168.1.8_POSEIDONSQL_APPFVT_01_tblFillRateFechas[[#This Row],[cant_order]])*100</f>
        <v>100</v>
      </c>
      <c r="Q8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3" s="1">
        <f>+IF(Tabla__192.168.1.8_POSEIDONSQL_APPFVT_01_tblFillRateFechas[[#This Row],[cant_order]]&gt;0,1,0)</f>
        <v>1</v>
      </c>
      <c r="V893" s="1">
        <f>+IF(Tabla__192.168.1.8_POSEIDONSQL_APPFVT_01_tblFillRateFechas[[#This Row],[Resultado]]=1,1,0)</f>
        <v>1</v>
      </c>
      <c r="W893" s="1" t="str">
        <f>+Tabla__192.168.1.8_POSEIDONSQL_APPFVT_01_tblFillRateFechas[[#This Row],[con_ocnumero]]&amp;Tabla__192.168.1.8_POSEIDONSQL_APPFVT_01_tblFillRateFechas[[#This Row],[con_codigounico]]</f>
        <v>5104292-</v>
      </c>
      <c r="X8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4" spans="1:24" x14ac:dyDescent="0.25">
      <c r="A894">
        <v>24</v>
      </c>
      <c r="B894" t="s">
        <v>54</v>
      </c>
      <c r="C894">
        <v>5104346</v>
      </c>
      <c r="D894" t="s">
        <v>163</v>
      </c>
      <c r="E894" t="s">
        <v>420</v>
      </c>
      <c r="F894" t="s">
        <v>429</v>
      </c>
      <c r="G894">
        <v>1</v>
      </c>
      <c r="H894">
        <v>1</v>
      </c>
      <c r="I894" t="s">
        <v>419</v>
      </c>
      <c r="J894">
        <v>0</v>
      </c>
      <c r="K894" t="s">
        <v>49</v>
      </c>
      <c r="L894" s="1">
        <f>+Tabla__192.168.1.8_POSEIDONSQL_APPFVT_01_tblFillRateFechas[[#This Row],[emb_cantidad]]-Tabla__192.168.1.8_POSEIDONSQL_APPFVT_01_tblFillRateFechas[[#This Row],[dev_cantidad]]</f>
        <v>1</v>
      </c>
      <c r="M894" s="1">
        <f>+IF(Tabla__192.168.1.8_POSEIDONSQL_APPFVT_01_tblFillRateFechas[[#This Row],[Cant_Resultante]]=Tabla__192.168.1.8_POSEIDONSQL_APPFVT_01_tblFillRateFechas[[#This Row],[cant_order]],1,0)</f>
        <v>1</v>
      </c>
      <c r="N8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4" s="1">
        <f>+IF(AND(Tabla__192.168.1.8_POSEIDONSQL_APPFVT_01_tblFillRateFechas[[#This Row],[Valida Cant]]=1,Tabla__192.168.1.8_POSEIDONSQL_APPFVT_01_tblFillRateFechas[[#This Row],[Valida Fec]]=1),1,0)</f>
        <v>1</v>
      </c>
      <c r="P894" s="1">
        <f>+(Tabla__192.168.1.8_POSEIDONSQL_APPFVT_01_tblFillRateFechas[[#This Row],[Cant_Resultante]]/Tabla__192.168.1.8_POSEIDONSQL_APPFVT_01_tblFillRateFechas[[#This Row],[cant_order]])*100</f>
        <v>100</v>
      </c>
      <c r="Q8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4" s="1">
        <f>+IF(Tabla__192.168.1.8_POSEIDONSQL_APPFVT_01_tblFillRateFechas[[#This Row],[cant_order]]&gt;0,1,0)</f>
        <v>1</v>
      </c>
      <c r="V894" s="1">
        <f>+IF(Tabla__192.168.1.8_POSEIDONSQL_APPFVT_01_tblFillRateFechas[[#This Row],[Resultado]]=1,1,0)</f>
        <v>1</v>
      </c>
      <c r="W894" s="1" t="str">
        <f>+Tabla__192.168.1.8_POSEIDONSQL_APPFVT_01_tblFillRateFechas[[#This Row],[con_ocnumero]]&amp;Tabla__192.168.1.8_POSEIDONSQL_APPFVT_01_tblFillRateFechas[[#This Row],[con_codigounico]]</f>
        <v>5104346-</v>
      </c>
      <c r="X8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5" spans="1:24" x14ac:dyDescent="0.25">
      <c r="A895">
        <v>24</v>
      </c>
      <c r="B895" t="s">
        <v>54</v>
      </c>
      <c r="C895">
        <v>5104451</v>
      </c>
      <c r="D895" t="s">
        <v>163</v>
      </c>
      <c r="E895" t="s">
        <v>419</v>
      </c>
      <c r="F895" t="s">
        <v>429</v>
      </c>
      <c r="G895">
        <v>1</v>
      </c>
      <c r="H895">
        <v>1</v>
      </c>
      <c r="I895" t="s">
        <v>419</v>
      </c>
      <c r="J895">
        <v>0</v>
      </c>
      <c r="K895" t="s">
        <v>49</v>
      </c>
      <c r="L895" s="1">
        <f>+Tabla__192.168.1.8_POSEIDONSQL_APPFVT_01_tblFillRateFechas[[#This Row],[emb_cantidad]]-Tabla__192.168.1.8_POSEIDONSQL_APPFVT_01_tblFillRateFechas[[#This Row],[dev_cantidad]]</f>
        <v>1</v>
      </c>
      <c r="M895" s="1">
        <f>+IF(Tabla__192.168.1.8_POSEIDONSQL_APPFVT_01_tblFillRateFechas[[#This Row],[Cant_Resultante]]=Tabla__192.168.1.8_POSEIDONSQL_APPFVT_01_tblFillRateFechas[[#This Row],[cant_order]],1,0)</f>
        <v>1</v>
      </c>
      <c r="N8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5" s="1">
        <f>+IF(AND(Tabla__192.168.1.8_POSEIDONSQL_APPFVT_01_tblFillRateFechas[[#This Row],[Valida Cant]]=1,Tabla__192.168.1.8_POSEIDONSQL_APPFVT_01_tblFillRateFechas[[#This Row],[Valida Fec]]=1),1,0)</f>
        <v>1</v>
      </c>
      <c r="P895" s="1">
        <f>+(Tabla__192.168.1.8_POSEIDONSQL_APPFVT_01_tblFillRateFechas[[#This Row],[Cant_Resultante]]/Tabla__192.168.1.8_POSEIDONSQL_APPFVT_01_tblFillRateFechas[[#This Row],[cant_order]])*100</f>
        <v>100</v>
      </c>
      <c r="Q8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5" s="1">
        <f>+IF(Tabla__192.168.1.8_POSEIDONSQL_APPFVT_01_tblFillRateFechas[[#This Row],[cant_order]]&gt;0,1,0)</f>
        <v>1</v>
      </c>
      <c r="V895" s="1">
        <f>+IF(Tabla__192.168.1.8_POSEIDONSQL_APPFVT_01_tblFillRateFechas[[#This Row],[Resultado]]=1,1,0)</f>
        <v>1</v>
      </c>
      <c r="W895" s="1" t="str">
        <f>+Tabla__192.168.1.8_POSEIDONSQL_APPFVT_01_tblFillRateFechas[[#This Row],[con_ocnumero]]&amp;Tabla__192.168.1.8_POSEIDONSQL_APPFVT_01_tblFillRateFechas[[#This Row],[con_codigounico]]</f>
        <v>5104451-</v>
      </c>
      <c r="X8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6" spans="1:24" x14ac:dyDescent="0.25">
      <c r="A896">
        <v>24</v>
      </c>
      <c r="B896" t="s">
        <v>54</v>
      </c>
      <c r="C896">
        <v>5104551</v>
      </c>
      <c r="D896" t="s">
        <v>163</v>
      </c>
      <c r="E896" t="s">
        <v>419</v>
      </c>
      <c r="F896" t="s">
        <v>429</v>
      </c>
      <c r="G896">
        <v>1</v>
      </c>
      <c r="H896">
        <v>1</v>
      </c>
      <c r="I896" t="s">
        <v>419</v>
      </c>
      <c r="J896">
        <v>0</v>
      </c>
      <c r="K896" t="s">
        <v>49</v>
      </c>
      <c r="L896" s="1">
        <f>+Tabla__192.168.1.8_POSEIDONSQL_APPFVT_01_tblFillRateFechas[[#This Row],[emb_cantidad]]-Tabla__192.168.1.8_POSEIDONSQL_APPFVT_01_tblFillRateFechas[[#This Row],[dev_cantidad]]</f>
        <v>1</v>
      </c>
      <c r="M896" s="1">
        <f>+IF(Tabla__192.168.1.8_POSEIDONSQL_APPFVT_01_tblFillRateFechas[[#This Row],[Cant_Resultante]]=Tabla__192.168.1.8_POSEIDONSQL_APPFVT_01_tblFillRateFechas[[#This Row],[cant_order]],1,0)</f>
        <v>1</v>
      </c>
      <c r="N8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6" s="1">
        <f>+IF(AND(Tabla__192.168.1.8_POSEIDONSQL_APPFVT_01_tblFillRateFechas[[#This Row],[Valida Cant]]=1,Tabla__192.168.1.8_POSEIDONSQL_APPFVT_01_tblFillRateFechas[[#This Row],[Valida Fec]]=1),1,0)</f>
        <v>1</v>
      </c>
      <c r="P896" s="1">
        <f>+(Tabla__192.168.1.8_POSEIDONSQL_APPFVT_01_tblFillRateFechas[[#This Row],[Cant_Resultante]]/Tabla__192.168.1.8_POSEIDONSQL_APPFVT_01_tblFillRateFechas[[#This Row],[cant_order]])*100</f>
        <v>100</v>
      </c>
      <c r="Q8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6" s="1">
        <f>+IF(Tabla__192.168.1.8_POSEIDONSQL_APPFVT_01_tblFillRateFechas[[#This Row],[cant_order]]&gt;0,1,0)</f>
        <v>1</v>
      </c>
      <c r="V896" s="1">
        <f>+IF(Tabla__192.168.1.8_POSEIDONSQL_APPFVT_01_tblFillRateFechas[[#This Row],[Resultado]]=1,1,0)</f>
        <v>1</v>
      </c>
      <c r="W896" s="1" t="str">
        <f>+Tabla__192.168.1.8_POSEIDONSQL_APPFVT_01_tblFillRateFechas[[#This Row],[con_ocnumero]]&amp;Tabla__192.168.1.8_POSEIDONSQL_APPFVT_01_tblFillRateFechas[[#This Row],[con_codigounico]]</f>
        <v>5104551-</v>
      </c>
      <c r="X8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7" spans="1:24" x14ac:dyDescent="0.25">
      <c r="A897">
        <v>24</v>
      </c>
      <c r="B897" t="s">
        <v>54</v>
      </c>
      <c r="C897">
        <v>5104553</v>
      </c>
      <c r="D897" t="s">
        <v>163</v>
      </c>
      <c r="E897" t="s">
        <v>419</v>
      </c>
      <c r="F897" t="s">
        <v>429</v>
      </c>
      <c r="G897">
        <v>1</v>
      </c>
      <c r="H897">
        <v>1</v>
      </c>
      <c r="I897" t="s">
        <v>419</v>
      </c>
      <c r="J897">
        <v>0</v>
      </c>
      <c r="K897" t="s">
        <v>49</v>
      </c>
      <c r="L897" s="1">
        <f>+Tabla__192.168.1.8_POSEIDONSQL_APPFVT_01_tblFillRateFechas[[#This Row],[emb_cantidad]]-Tabla__192.168.1.8_POSEIDONSQL_APPFVT_01_tblFillRateFechas[[#This Row],[dev_cantidad]]</f>
        <v>1</v>
      </c>
      <c r="M897" s="1">
        <f>+IF(Tabla__192.168.1.8_POSEIDONSQL_APPFVT_01_tblFillRateFechas[[#This Row],[Cant_Resultante]]=Tabla__192.168.1.8_POSEIDONSQL_APPFVT_01_tblFillRateFechas[[#This Row],[cant_order]],1,0)</f>
        <v>1</v>
      </c>
      <c r="N8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7" s="1">
        <f>+IF(AND(Tabla__192.168.1.8_POSEIDONSQL_APPFVT_01_tblFillRateFechas[[#This Row],[Valida Cant]]=1,Tabla__192.168.1.8_POSEIDONSQL_APPFVT_01_tblFillRateFechas[[#This Row],[Valida Fec]]=1),1,0)</f>
        <v>1</v>
      </c>
      <c r="P897" s="1">
        <f>+(Tabla__192.168.1.8_POSEIDONSQL_APPFVT_01_tblFillRateFechas[[#This Row],[Cant_Resultante]]/Tabla__192.168.1.8_POSEIDONSQL_APPFVT_01_tblFillRateFechas[[#This Row],[cant_order]])*100</f>
        <v>100</v>
      </c>
      <c r="Q8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7" s="1">
        <f>+IF(Tabla__192.168.1.8_POSEIDONSQL_APPFVT_01_tblFillRateFechas[[#This Row],[cant_order]]&gt;0,1,0)</f>
        <v>1</v>
      </c>
      <c r="V897" s="1">
        <f>+IF(Tabla__192.168.1.8_POSEIDONSQL_APPFVT_01_tblFillRateFechas[[#This Row],[Resultado]]=1,1,0)</f>
        <v>1</v>
      </c>
      <c r="W897" s="1" t="str">
        <f>+Tabla__192.168.1.8_POSEIDONSQL_APPFVT_01_tblFillRateFechas[[#This Row],[con_ocnumero]]&amp;Tabla__192.168.1.8_POSEIDONSQL_APPFVT_01_tblFillRateFechas[[#This Row],[con_codigounico]]</f>
        <v>5104553-</v>
      </c>
      <c r="X8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8" spans="1:24" x14ac:dyDescent="0.25">
      <c r="A898">
        <v>24</v>
      </c>
      <c r="B898" t="s">
        <v>54</v>
      </c>
      <c r="C898">
        <v>5104556</v>
      </c>
      <c r="D898" t="s">
        <v>163</v>
      </c>
      <c r="E898" t="s">
        <v>419</v>
      </c>
      <c r="F898" t="s">
        <v>429</v>
      </c>
      <c r="G898">
        <v>1</v>
      </c>
      <c r="H898">
        <v>1</v>
      </c>
      <c r="I898" t="s">
        <v>419</v>
      </c>
      <c r="J898">
        <v>0</v>
      </c>
      <c r="K898" t="s">
        <v>49</v>
      </c>
      <c r="L898" s="1">
        <f>+Tabla__192.168.1.8_POSEIDONSQL_APPFVT_01_tblFillRateFechas[[#This Row],[emb_cantidad]]-Tabla__192.168.1.8_POSEIDONSQL_APPFVT_01_tblFillRateFechas[[#This Row],[dev_cantidad]]</f>
        <v>1</v>
      </c>
      <c r="M898" s="1">
        <f>+IF(Tabla__192.168.1.8_POSEIDONSQL_APPFVT_01_tblFillRateFechas[[#This Row],[Cant_Resultante]]=Tabla__192.168.1.8_POSEIDONSQL_APPFVT_01_tblFillRateFechas[[#This Row],[cant_order]],1,0)</f>
        <v>1</v>
      </c>
      <c r="N8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8" s="1">
        <f>+IF(AND(Tabla__192.168.1.8_POSEIDONSQL_APPFVT_01_tblFillRateFechas[[#This Row],[Valida Cant]]=1,Tabla__192.168.1.8_POSEIDONSQL_APPFVT_01_tblFillRateFechas[[#This Row],[Valida Fec]]=1),1,0)</f>
        <v>1</v>
      </c>
      <c r="P898" s="1">
        <f>+(Tabla__192.168.1.8_POSEIDONSQL_APPFVT_01_tblFillRateFechas[[#This Row],[Cant_Resultante]]/Tabla__192.168.1.8_POSEIDONSQL_APPFVT_01_tblFillRateFechas[[#This Row],[cant_order]])*100</f>
        <v>100</v>
      </c>
      <c r="Q8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8" s="1">
        <f>+IF(Tabla__192.168.1.8_POSEIDONSQL_APPFVT_01_tblFillRateFechas[[#This Row],[cant_order]]&gt;0,1,0)</f>
        <v>1</v>
      </c>
      <c r="V898" s="1">
        <f>+IF(Tabla__192.168.1.8_POSEIDONSQL_APPFVT_01_tblFillRateFechas[[#This Row],[Resultado]]=1,1,0)</f>
        <v>1</v>
      </c>
      <c r="W898" s="1" t="str">
        <f>+Tabla__192.168.1.8_POSEIDONSQL_APPFVT_01_tblFillRateFechas[[#This Row],[con_ocnumero]]&amp;Tabla__192.168.1.8_POSEIDONSQL_APPFVT_01_tblFillRateFechas[[#This Row],[con_codigounico]]</f>
        <v>5104556-</v>
      </c>
      <c r="X8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899" spans="1:24" x14ac:dyDescent="0.25">
      <c r="A899">
        <v>24</v>
      </c>
      <c r="B899" t="s">
        <v>54</v>
      </c>
      <c r="C899">
        <v>5104573</v>
      </c>
      <c r="D899" t="s">
        <v>163</v>
      </c>
      <c r="E899" t="s">
        <v>420</v>
      </c>
      <c r="F899" t="s">
        <v>429</v>
      </c>
      <c r="G899">
        <v>1</v>
      </c>
      <c r="H899">
        <v>1</v>
      </c>
      <c r="I899" t="s">
        <v>419</v>
      </c>
      <c r="J899">
        <v>0</v>
      </c>
      <c r="K899" t="s">
        <v>49</v>
      </c>
      <c r="L899" s="1">
        <f>+Tabla__192.168.1.8_POSEIDONSQL_APPFVT_01_tblFillRateFechas[[#This Row],[emb_cantidad]]-Tabla__192.168.1.8_POSEIDONSQL_APPFVT_01_tblFillRateFechas[[#This Row],[dev_cantidad]]</f>
        <v>1</v>
      </c>
      <c r="M899" s="1">
        <f>+IF(Tabla__192.168.1.8_POSEIDONSQL_APPFVT_01_tblFillRateFechas[[#This Row],[Cant_Resultante]]=Tabla__192.168.1.8_POSEIDONSQL_APPFVT_01_tblFillRateFechas[[#This Row],[cant_order]],1,0)</f>
        <v>1</v>
      </c>
      <c r="N8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899" s="1">
        <f>+IF(AND(Tabla__192.168.1.8_POSEIDONSQL_APPFVT_01_tblFillRateFechas[[#This Row],[Valida Cant]]=1,Tabla__192.168.1.8_POSEIDONSQL_APPFVT_01_tblFillRateFechas[[#This Row],[Valida Fec]]=1),1,0)</f>
        <v>1</v>
      </c>
      <c r="P899" s="1">
        <f>+(Tabla__192.168.1.8_POSEIDONSQL_APPFVT_01_tblFillRateFechas[[#This Row],[Cant_Resultante]]/Tabla__192.168.1.8_POSEIDONSQL_APPFVT_01_tblFillRateFechas[[#This Row],[cant_order]])*100</f>
        <v>100</v>
      </c>
      <c r="Q8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8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8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8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899" s="1">
        <f>+IF(Tabla__192.168.1.8_POSEIDONSQL_APPFVT_01_tblFillRateFechas[[#This Row],[cant_order]]&gt;0,1,0)</f>
        <v>1</v>
      </c>
      <c r="V899" s="1">
        <f>+IF(Tabla__192.168.1.8_POSEIDONSQL_APPFVT_01_tblFillRateFechas[[#This Row],[Resultado]]=1,1,0)</f>
        <v>1</v>
      </c>
      <c r="W899" s="1" t="str">
        <f>+Tabla__192.168.1.8_POSEIDONSQL_APPFVT_01_tblFillRateFechas[[#This Row],[con_ocnumero]]&amp;Tabla__192.168.1.8_POSEIDONSQL_APPFVT_01_tblFillRateFechas[[#This Row],[con_codigounico]]</f>
        <v>5104573-</v>
      </c>
      <c r="X8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0" spans="1:24" x14ac:dyDescent="0.25">
      <c r="A900">
        <v>24</v>
      </c>
      <c r="B900" t="s">
        <v>54</v>
      </c>
      <c r="C900">
        <v>5104590</v>
      </c>
      <c r="D900" t="s">
        <v>163</v>
      </c>
      <c r="E900" t="s">
        <v>419</v>
      </c>
      <c r="F900" t="s">
        <v>429</v>
      </c>
      <c r="G900">
        <v>1</v>
      </c>
      <c r="H900">
        <v>1</v>
      </c>
      <c r="I900" t="s">
        <v>419</v>
      </c>
      <c r="J900">
        <v>0</v>
      </c>
      <c r="K900" t="s">
        <v>49</v>
      </c>
      <c r="L900" s="1">
        <f>+Tabla__192.168.1.8_POSEIDONSQL_APPFVT_01_tblFillRateFechas[[#This Row],[emb_cantidad]]-Tabla__192.168.1.8_POSEIDONSQL_APPFVT_01_tblFillRateFechas[[#This Row],[dev_cantidad]]</f>
        <v>1</v>
      </c>
      <c r="M900" s="1">
        <f>+IF(Tabla__192.168.1.8_POSEIDONSQL_APPFVT_01_tblFillRateFechas[[#This Row],[Cant_Resultante]]=Tabla__192.168.1.8_POSEIDONSQL_APPFVT_01_tblFillRateFechas[[#This Row],[cant_order]],1,0)</f>
        <v>1</v>
      </c>
      <c r="N9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0" s="1">
        <f>+IF(AND(Tabla__192.168.1.8_POSEIDONSQL_APPFVT_01_tblFillRateFechas[[#This Row],[Valida Cant]]=1,Tabla__192.168.1.8_POSEIDONSQL_APPFVT_01_tblFillRateFechas[[#This Row],[Valida Fec]]=1),1,0)</f>
        <v>1</v>
      </c>
      <c r="P900" s="1">
        <f>+(Tabla__192.168.1.8_POSEIDONSQL_APPFVT_01_tblFillRateFechas[[#This Row],[Cant_Resultante]]/Tabla__192.168.1.8_POSEIDONSQL_APPFVT_01_tblFillRateFechas[[#This Row],[cant_order]])*100</f>
        <v>100</v>
      </c>
      <c r="Q9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0" s="1">
        <f>+IF(Tabla__192.168.1.8_POSEIDONSQL_APPFVT_01_tblFillRateFechas[[#This Row],[cant_order]]&gt;0,1,0)</f>
        <v>1</v>
      </c>
      <c r="V900" s="1">
        <f>+IF(Tabla__192.168.1.8_POSEIDONSQL_APPFVT_01_tblFillRateFechas[[#This Row],[Resultado]]=1,1,0)</f>
        <v>1</v>
      </c>
      <c r="W900" s="1" t="str">
        <f>+Tabla__192.168.1.8_POSEIDONSQL_APPFVT_01_tblFillRateFechas[[#This Row],[con_ocnumero]]&amp;Tabla__192.168.1.8_POSEIDONSQL_APPFVT_01_tblFillRateFechas[[#This Row],[con_codigounico]]</f>
        <v>5104590-</v>
      </c>
      <c r="X9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1" spans="1:24" x14ac:dyDescent="0.25">
      <c r="A901">
        <v>24</v>
      </c>
      <c r="B901" t="s">
        <v>54</v>
      </c>
      <c r="C901">
        <v>5104611</v>
      </c>
      <c r="D901" t="s">
        <v>163</v>
      </c>
      <c r="E901" t="s">
        <v>419</v>
      </c>
      <c r="F901" t="s">
        <v>429</v>
      </c>
      <c r="G901">
        <v>1</v>
      </c>
      <c r="H901">
        <v>1</v>
      </c>
      <c r="I901" t="s">
        <v>419</v>
      </c>
      <c r="J901">
        <v>0</v>
      </c>
      <c r="K901" t="s">
        <v>49</v>
      </c>
      <c r="L901" s="1">
        <f>+Tabla__192.168.1.8_POSEIDONSQL_APPFVT_01_tblFillRateFechas[[#This Row],[emb_cantidad]]-Tabla__192.168.1.8_POSEIDONSQL_APPFVT_01_tblFillRateFechas[[#This Row],[dev_cantidad]]</f>
        <v>1</v>
      </c>
      <c r="M901" s="1">
        <f>+IF(Tabla__192.168.1.8_POSEIDONSQL_APPFVT_01_tblFillRateFechas[[#This Row],[Cant_Resultante]]=Tabla__192.168.1.8_POSEIDONSQL_APPFVT_01_tblFillRateFechas[[#This Row],[cant_order]],1,0)</f>
        <v>1</v>
      </c>
      <c r="N9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1" s="1">
        <f>+IF(AND(Tabla__192.168.1.8_POSEIDONSQL_APPFVT_01_tblFillRateFechas[[#This Row],[Valida Cant]]=1,Tabla__192.168.1.8_POSEIDONSQL_APPFVT_01_tblFillRateFechas[[#This Row],[Valida Fec]]=1),1,0)</f>
        <v>1</v>
      </c>
      <c r="P901" s="1">
        <f>+(Tabla__192.168.1.8_POSEIDONSQL_APPFVT_01_tblFillRateFechas[[#This Row],[Cant_Resultante]]/Tabla__192.168.1.8_POSEIDONSQL_APPFVT_01_tblFillRateFechas[[#This Row],[cant_order]])*100</f>
        <v>100</v>
      </c>
      <c r="Q9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1" s="1">
        <f>+IF(Tabla__192.168.1.8_POSEIDONSQL_APPFVT_01_tblFillRateFechas[[#This Row],[cant_order]]&gt;0,1,0)</f>
        <v>1</v>
      </c>
      <c r="V901" s="1">
        <f>+IF(Tabla__192.168.1.8_POSEIDONSQL_APPFVT_01_tblFillRateFechas[[#This Row],[Resultado]]=1,1,0)</f>
        <v>1</v>
      </c>
      <c r="W901" s="1" t="str">
        <f>+Tabla__192.168.1.8_POSEIDONSQL_APPFVT_01_tblFillRateFechas[[#This Row],[con_ocnumero]]&amp;Tabla__192.168.1.8_POSEIDONSQL_APPFVT_01_tblFillRateFechas[[#This Row],[con_codigounico]]</f>
        <v>5104611-</v>
      </c>
      <c r="X9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2" spans="1:24" x14ac:dyDescent="0.25">
      <c r="A902">
        <v>24</v>
      </c>
      <c r="B902" t="s">
        <v>54</v>
      </c>
      <c r="C902">
        <v>5104683</v>
      </c>
      <c r="D902" t="s">
        <v>429</v>
      </c>
      <c r="E902" t="s">
        <v>419</v>
      </c>
      <c r="F902" t="s">
        <v>429</v>
      </c>
      <c r="G902">
        <v>1</v>
      </c>
      <c r="H902">
        <v>1</v>
      </c>
      <c r="I902" t="s">
        <v>419</v>
      </c>
      <c r="J902">
        <v>0</v>
      </c>
      <c r="K902" t="s">
        <v>49</v>
      </c>
      <c r="L902" s="1">
        <f>+Tabla__192.168.1.8_POSEIDONSQL_APPFVT_01_tblFillRateFechas[[#This Row],[emb_cantidad]]-Tabla__192.168.1.8_POSEIDONSQL_APPFVT_01_tblFillRateFechas[[#This Row],[dev_cantidad]]</f>
        <v>1</v>
      </c>
      <c r="M902" s="1">
        <f>+IF(Tabla__192.168.1.8_POSEIDONSQL_APPFVT_01_tblFillRateFechas[[#This Row],[Cant_Resultante]]=Tabla__192.168.1.8_POSEIDONSQL_APPFVT_01_tblFillRateFechas[[#This Row],[cant_order]],1,0)</f>
        <v>1</v>
      </c>
      <c r="N9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2" s="1">
        <f>+IF(AND(Tabla__192.168.1.8_POSEIDONSQL_APPFVT_01_tblFillRateFechas[[#This Row],[Valida Cant]]=1,Tabla__192.168.1.8_POSEIDONSQL_APPFVT_01_tblFillRateFechas[[#This Row],[Valida Fec]]=1),1,0)</f>
        <v>1</v>
      </c>
      <c r="P902" s="1">
        <f>+(Tabla__192.168.1.8_POSEIDONSQL_APPFVT_01_tblFillRateFechas[[#This Row],[Cant_Resultante]]/Tabla__192.168.1.8_POSEIDONSQL_APPFVT_01_tblFillRateFechas[[#This Row],[cant_order]])*100</f>
        <v>100</v>
      </c>
      <c r="Q9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2" s="1">
        <f>+IF(Tabla__192.168.1.8_POSEIDONSQL_APPFVT_01_tblFillRateFechas[[#This Row],[cant_order]]&gt;0,1,0)</f>
        <v>1</v>
      </c>
      <c r="V902" s="1">
        <f>+IF(Tabla__192.168.1.8_POSEIDONSQL_APPFVT_01_tblFillRateFechas[[#This Row],[Resultado]]=1,1,0)</f>
        <v>1</v>
      </c>
      <c r="W902" s="1" t="str">
        <f>+Tabla__192.168.1.8_POSEIDONSQL_APPFVT_01_tblFillRateFechas[[#This Row],[con_ocnumero]]&amp;Tabla__192.168.1.8_POSEIDONSQL_APPFVT_01_tblFillRateFechas[[#This Row],[con_codigounico]]</f>
        <v>5104683-</v>
      </c>
      <c r="X9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3" spans="1:24" x14ac:dyDescent="0.25">
      <c r="A903">
        <v>24</v>
      </c>
      <c r="B903" t="s">
        <v>54</v>
      </c>
      <c r="C903">
        <v>5104799</v>
      </c>
      <c r="D903" t="s">
        <v>429</v>
      </c>
      <c r="E903" t="s">
        <v>420</v>
      </c>
      <c r="F903" t="s">
        <v>427</v>
      </c>
      <c r="G903">
        <v>1</v>
      </c>
      <c r="H903">
        <v>1</v>
      </c>
      <c r="I903" t="s">
        <v>419</v>
      </c>
      <c r="J903">
        <v>0</v>
      </c>
      <c r="K903" t="s">
        <v>49</v>
      </c>
      <c r="L903" s="1">
        <f>+Tabla__192.168.1.8_POSEIDONSQL_APPFVT_01_tblFillRateFechas[[#This Row],[emb_cantidad]]-Tabla__192.168.1.8_POSEIDONSQL_APPFVT_01_tblFillRateFechas[[#This Row],[dev_cantidad]]</f>
        <v>1</v>
      </c>
      <c r="M903" s="1">
        <f>+IF(Tabla__192.168.1.8_POSEIDONSQL_APPFVT_01_tblFillRateFechas[[#This Row],[Cant_Resultante]]=Tabla__192.168.1.8_POSEIDONSQL_APPFVT_01_tblFillRateFechas[[#This Row],[cant_order]],1,0)</f>
        <v>1</v>
      </c>
      <c r="N9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3" s="1">
        <f>+IF(AND(Tabla__192.168.1.8_POSEIDONSQL_APPFVT_01_tblFillRateFechas[[#This Row],[Valida Cant]]=1,Tabla__192.168.1.8_POSEIDONSQL_APPFVT_01_tblFillRateFechas[[#This Row],[Valida Fec]]=1),1,0)</f>
        <v>1</v>
      </c>
      <c r="P903" s="1">
        <f>+(Tabla__192.168.1.8_POSEIDONSQL_APPFVT_01_tblFillRateFechas[[#This Row],[Cant_Resultante]]/Tabla__192.168.1.8_POSEIDONSQL_APPFVT_01_tblFillRateFechas[[#This Row],[cant_order]])*100</f>
        <v>100</v>
      </c>
      <c r="Q9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3" s="1">
        <f>+IF(Tabla__192.168.1.8_POSEIDONSQL_APPFVT_01_tblFillRateFechas[[#This Row],[cant_order]]&gt;0,1,0)</f>
        <v>1</v>
      </c>
      <c r="V903" s="1">
        <f>+IF(Tabla__192.168.1.8_POSEIDONSQL_APPFVT_01_tblFillRateFechas[[#This Row],[Resultado]]=1,1,0)</f>
        <v>1</v>
      </c>
      <c r="W903" s="1" t="str">
        <f>+Tabla__192.168.1.8_POSEIDONSQL_APPFVT_01_tblFillRateFechas[[#This Row],[con_ocnumero]]&amp;Tabla__192.168.1.8_POSEIDONSQL_APPFVT_01_tblFillRateFechas[[#This Row],[con_codigounico]]</f>
        <v>5104799-</v>
      </c>
      <c r="X9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4" spans="1:24" x14ac:dyDescent="0.25">
      <c r="A904">
        <v>24</v>
      </c>
      <c r="B904" t="s">
        <v>54</v>
      </c>
      <c r="C904">
        <v>5104876</v>
      </c>
      <c r="D904" t="s">
        <v>429</v>
      </c>
      <c r="E904" t="s">
        <v>419</v>
      </c>
      <c r="F904" t="s">
        <v>427</v>
      </c>
      <c r="G904">
        <v>1</v>
      </c>
      <c r="H904">
        <v>1</v>
      </c>
      <c r="I904" t="s">
        <v>419</v>
      </c>
      <c r="J904">
        <v>0</v>
      </c>
      <c r="K904" t="s">
        <v>49</v>
      </c>
      <c r="L904" s="1">
        <f>+Tabla__192.168.1.8_POSEIDONSQL_APPFVT_01_tblFillRateFechas[[#This Row],[emb_cantidad]]-Tabla__192.168.1.8_POSEIDONSQL_APPFVT_01_tblFillRateFechas[[#This Row],[dev_cantidad]]</f>
        <v>1</v>
      </c>
      <c r="M904" s="1">
        <f>+IF(Tabla__192.168.1.8_POSEIDONSQL_APPFVT_01_tblFillRateFechas[[#This Row],[Cant_Resultante]]=Tabla__192.168.1.8_POSEIDONSQL_APPFVT_01_tblFillRateFechas[[#This Row],[cant_order]],1,0)</f>
        <v>1</v>
      </c>
      <c r="N9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4" s="1">
        <f>+IF(AND(Tabla__192.168.1.8_POSEIDONSQL_APPFVT_01_tblFillRateFechas[[#This Row],[Valida Cant]]=1,Tabla__192.168.1.8_POSEIDONSQL_APPFVT_01_tblFillRateFechas[[#This Row],[Valida Fec]]=1),1,0)</f>
        <v>1</v>
      </c>
      <c r="P904" s="1">
        <f>+(Tabla__192.168.1.8_POSEIDONSQL_APPFVT_01_tblFillRateFechas[[#This Row],[Cant_Resultante]]/Tabla__192.168.1.8_POSEIDONSQL_APPFVT_01_tblFillRateFechas[[#This Row],[cant_order]])*100</f>
        <v>100</v>
      </c>
      <c r="Q9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4" s="1">
        <f>+IF(Tabla__192.168.1.8_POSEIDONSQL_APPFVT_01_tblFillRateFechas[[#This Row],[cant_order]]&gt;0,1,0)</f>
        <v>1</v>
      </c>
      <c r="V904" s="1">
        <f>+IF(Tabla__192.168.1.8_POSEIDONSQL_APPFVT_01_tblFillRateFechas[[#This Row],[Resultado]]=1,1,0)</f>
        <v>1</v>
      </c>
      <c r="W904" s="1" t="str">
        <f>+Tabla__192.168.1.8_POSEIDONSQL_APPFVT_01_tblFillRateFechas[[#This Row],[con_ocnumero]]&amp;Tabla__192.168.1.8_POSEIDONSQL_APPFVT_01_tblFillRateFechas[[#This Row],[con_codigounico]]</f>
        <v>5104876-</v>
      </c>
      <c r="X9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5" spans="1:24" x14ac:dyDescent="0.25">
      <c r="A905">
        <v>24</v>
      </c>
      <c r="B905" t="s">
        <v>54</v>
      </c>
      <c r="C905">
        <v>5104911</v>
      </c>
      <c r="D905" t="s">
        <v>429</v>
      </c>
      <c r="E905" t="s">
        <v>420</v>
      </c>
      <c r="F905" t="s">
        <v>427</v>
      </c>
      <c r="G905">
        <v>1</v>
      </c>
      <c r="H905">
        <v>1</v>
      </c>
      <c r="I905" t="s">
        <v>419</v>
      </c>
      <c r="J905">
        <v>0</v>
      </c>
      <c r="K905" t="s">
        <v>49</v>
      </c>
      <c r="L905" s="1">
        <f>+Tabla__192.168.1.8_POSEIDONSQL_APPFVT_01_tblFillRateFechas[[#This Row],[emb_cantidad]]-Tabla__192.168.1.8_POSEIDONSQL_APPFVT_01_tblFillRateFechas[[#This Row],[dev_cantidad]]</f>
        <v>1</v>
      </c>
      <c r="M905" s="1">
        <f>+IF(Tabla__192.168.1.8_POSEIDONSQL_APPFVT_01_tblFillRateFechas[[#This Row],[Cant_Resultante]]=Tabla__192.168.1.8_POSEIDONSQL_APPFVT_01_tblFillRateFechas[[#This Row],[cant_order]],1,0)</f>
        <v>1</v>
      </c>
      <c r="N9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5" s="1">
        <f>+IF(AND(Tabla__192.168.1.8_POSEIDONSQL_APPFVT_01_tblFillRateFechas[[#This Row],[Valida Cant]]=1,Tabla__192.168.1.8_POSEIDONSQL_APPFVT_01_tblFillRateFechas[[#This Row],[Valida Fec]]=1),1,0)</f>
        <v>1</v>
      </c>
      <c r="P905" s="1">
        <f>+(Tabla__192.168.1.8_POSEIDONSQL_APPFVT_01_tblFillRateFechas[[#This Row],[Cant_Resultante]]/Tabla__192.168.1.8_POSEIDONSQL_APPFVT_01_tblFillRateFechas[[#This Row],[cant_order]])*100</f>
        <v>100</v>
      </c>
      <c r="Q9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5" s="1">
        <f>+IF(Tabla__192.168.1.8_POSEIDONSQL_APPFVT_01_tblFillRateFechas[[#This Row],[cant_order]]&gt;0,1,0)</f>
        <v>1</v>
      </c>
      <c r="V905" s="1">
        <f>+IF(Tabla__192.168.1.8_POSEIDONSQL_APPFVT_01_tblFillRateFechas[[#This Row],[Resultado]]=1,1,0)</f>
        <v>1</v>
      </c>
      <c r="W905" s="1" t="str">
        <f>+Tabla__192.168.1.8_POSEIDONSQL_APPFVT_01_tblFillRateFechas[[#This Row],[con_ocnumero]]&amp;Tabla__192.168.1.8_POSEIDONSQL_APPFVT_01_tblFillRateFechas[[#This Row],[con_codigounico]]</f>
        <v>5104911-</v>
      </c>
      <c r="X9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6" spans="1:24" x14ac:dyDescent="0.25">
      <c r="A906">
        <v>24</v>
      </c>
      <c r="B906" t="s">
        <v>54</v>
      </c>
      <c r="C906">
        <v>5104949</v>
      </c>
      <c r="D906" t="s">
        <v>429</v>
      </c>
      <c r="E906" t="s">
        <v>419</v>
      </c>
      <c r="F906" t="s">
        <v>427</v>
      </c>
      <c r="G906">
        <v>1</v>
      </c>
      <c r="H906">
        <v>1</v>
      </c>
      <c r="I906" t="s">
        <v>419</v>
      </c>
      <c r="J906">
        <v>0</v>
      </c>
      <c r="K906" t="s">
        <v>49</v>
      </c>
      <c r="L906" s="1">
        <f>+Tabla__192.168.1.8_POSEIDONSQL_APPFVT_01_tblFillRateFechas[[#This Row],[emb_cantidad]]-Tabla__192.168.1.8_POSEIDONSQL_APPFVT_01_tblFillRateFechas[[#This Row],[dev_cantidad]]</f>
        <v>1</v>
      </c>
      <c r="M906" s="1">
        <f>+IF(Tabla__192.168.1.8_POSEIDONSQL_APPFVT_01_tblFillRateFechas[[#This Row],[Cant_Resultante]]=Tabla__192.168.1.8_POSEIDONSQL_APPFVT_01_tblFillRateFechas[[#This Row],[cant_order]],1,0)</f>
        <v>1</v>
      </c>
      <c r="N9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6" s="1">
        <f>+IF(AND(Tabla__192.168.1.8_POSEIDONSQL_APPFVT_01_tblFillRateFechas[[#This Row],[Valida Cant]]=1,Tabla__192.168.1.8_POSEIDONSQL_APPFVT_01_tblFillRateFechas[[#This Row],[Valida Fec]]=1),1,0)</f>
        <v>1</v>
      </c>
      <c r="P906" s="1">
        <f>+(Tabla__192.168.1.8_POSEIDONSQL_APPFVT_01_tblFillRateFechas[[#This Row],[Cant_Resultante]]/Tabla__192.168.1.8_POSEIDONSQL_APPFVT_01_tblFillRateFechas[[#This Row],[cant_order]])*100</f>
        <v>100</v>
      </c>
      <c r="Q9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6" s="1">
        <f>+IF(Tabla__192.168.1.8_POSEIDONSQL_APPFVT_01_tblFillRateFechas[[#This Row],[cant_order]]&gt;0,1,0)</f>
        <v>1</v>
      </c>
      <c r="V906" s="1">
        <f>+IF(Tabla__192.168.1.8_POSEIDONSQL_APPFVT_01_tblFillRateFechas[[#This Row],[Resultado]]=1,1,0)</f>
        <v>1</v>
      </c>
      <c r="W906" s="1" t="str">
        <f>+Tabla__192.168.1.8_POSEIDONSQL_APPFVT_01_tblFillRateFechas[[#This Row],[con_ocnumero]]&amp;Tabla__192.168.1.8_POSEIDONSQL_APPFVT_01_tblFillRateFechas[[#This Row],[con_codigounico]]</f>
        <v>5104949-</v>
      </c>
      <c r="X9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7" spans="1:24" x14ac:dyDescent="0.25">
      <c r="A907">
        <v>24</v>
      </c>
      <c r="B907" t="s">
        <v>54</v>
      </c>
      <c r="C907">
        <v>5105036</v>
      </c>
      <c r="D907" t="s">
        <v>427</v>
      </c>
      <c r="E907" t="s">
        <v>419</v>
      </c>
      <c r="F907" t="s">
        <v>425</v>
      </c>
      <c r="G907">
        <v>1</v>
      </c>
      <c r="H907">
        <v>1</v>
      </c>
      <c r="I907" t="s">
        <v>419</v>
      </c>
      <c r="J907">
        <v>0</v>
      </c>
      <c r="K907" t="s">
        <v>49</v>
      </c>
      <c r="L907" s="1">
        <f>+Tabla__192.168.1.8_POSEIDONSQL_APPFVT_01_tblFillRateFechas[[#This Row],[emb_cantidad]]-Tabla__192.168.1.8_POSEIDONSQL_APPFVT_01_tblFillRateFechas[[#This Row],[dev_cantidad]]</f>
        <v>1</v>
      </c>
      <c r="M907" s="1">
        <f>+IF(Tabla__192.168.1.8_POSEIDONSQL_APPFVT_01_tblFillRateFechas[[#This Row],[Cant_Resultante]]=Tabla__192.168.1.8_POSEIDONSQL_APPFVT_01_tblFillRateFechas[[#This Row],[cant_order]],1,0)</f>
        <v>1</v>
      </c>
      <c r="N9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7" s="1">
        <f>+IF(AND(Tabla__192.168.1.8_POSEIDONSQL_APPFVT_01_tblFillRateFechas[[#This Row],[Valida Cant]]=1,Tabla__192.168.1.8_POSEIDONSQL_APPFVT_01_tblFillRateFechas[[#This Row],[Valida Fec]]=1),1,0)</f>
        <v>1</v>
      </c>
      <c r="P907" s="1">
        <f>+(Tabla__192.168.1.8_POSEIDONSQL_APPFVT_01_tblFillRateFechas[[#This Row],[Cant_Resultante]]/Tabla__192.168.1.8_POSEIDONSQL_APPFVT_01_tblFillRateFechas[[#This Row],[cant_order]])*100</f>
        <v>100</v>
      </c>
      <c r="Q9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7" s="1">
        <f>+IF(Tabla__192.168.1.8_POSEIDONSQL_APPFVT_01_tblFillRateFechas[[#This Row],[cant_order]]&gt;0,1,0)</f>
        <v>1</v>
      </c>
      <c r="V907" s="1">
        <f>+IF(Tabla__192.168.1.8_POSEIDONSQL_APPFVT_01_tblFillRateFechas[[#This Row],[Resultado]]=1,1,0)</f>
        <v>1</v>
      </c>
      <c r="W907" s="1" t="str">
        <f>+Tabla__192.168.1.8_POSEIDONSQL_APPFVT_01_tblFillRateFechas[[#This Row],[con_ocnumero]]&amp;Tabla__192.168.1.8_POSEIDONSQL_APPFVT_01_tblFillRateFechas[[#This Row],[con_codigounico]]</f>
        <v>5105036-</v>
      </c>
      <c r="X9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08" spans="1:24" x14ac:dyDescent="0.25">
      <c r="A908">
        <v>24</v>
      </c>
      <c r="B908" t="s">
        <v>54</v>
      </c>
      <c r="C908">
        <v>5105054</v>
      </c>
      <c r="D908" t="s">
        <v>427</v>
      </c>
      <c r="E908" t="s">
        <v>418</v>
      </c>
      <c r="F908" t="s">
        <v>425</v>
      </c>
      <c r="G908">
        <v>750</v>
      </c>
      <c r="H908">
        <v>700</v>
      </c>
      <c r="I908" t="s">
        <v>422</v>
      </c>
      <c r="J908">
        <v>0</v>
      </c>
      <c r="K908" t="s">
        <v>49</v>
      </c>
      <c r="L908" s="1">
        <f>+Tabla__192.168.1.8_POSEIDONSQL_APPFVT_01_tblFillRateFechas[[#This Row],[emb_cantidad]]-Tabla__192.168.1.8_POSEIDONSQL_APPFVT_01_tblFillRateFechas[[#This Row],[dev_cantidad]]</f>
        <v>700</v>
      </c>
      <c r="M908" s="1">
        <f>+IF(Tabla__192.168.1.8_POSEIDONSQL_APPFVT_01_tblFillRateFechas[[#This Row],[Cant_Resultante]]=Tabla__192.168.1.8_POSEIDONSQL_APPFVT_01_tblFillRateFechas[[#This Row],[cant_order]],1,0)</f>
        <v>0</v>
      </c>
      <c r="N9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8" s="1">
        <f>+IF(AND(Tabla__192.168.1.8_POSEIDONSQL_APPFVT_01_tblFillRateFechas[[#This Row],[Valida Cant]]=1,Tabla__192.168.1.8_POSEIDONSQL_APPFVT_01_tblFillRateFechas[[#This Row],[Valida Fec]]=1),1,0)</f>
        <v>0</v>
      </c>
      <c r="P908" s="1">
        <f>+(Tabla__192.168.1.8_POSEIDONSQL_APPFVT_01_tblFillRateFechas[[#This Row],[Cant_Resultante]]/Tabla__192.168.1.8_POSEIDONSQL_APPFVT_01_tblFillRateFechas[[#This Row],[cant_order]])*100</f>
        <v>93.333333333333329</v>
      </c>
      <c r="Q9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700</v>
      </c>
      <c r="R9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700</v>
      </c>
      <c r="T9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50</v>
      </c>
      <c r="U908" s="1">
        <f>+IF(Tabla__192.168.1.8_POSEIDONSQL_APPFVT_01_tblFillRateFechas[[#This Row],[cant_order]]&gt;0,1,0)</f>
        <v>1</v>
      </c>
      <c r="V908" s="1">
        <f>+IF(Tabla__192.168.1.8_POSEIDONSQL_APPFVT_01_tblFillRateFechas[[#This Row],[Resultado]]=1,1,0)</f>
        <v>0</v>
      </c>
      <c r="W908" s="1" t="str">
        <f>+Tabla__192.168.1.8_POSEIDONSQL_APPFVT_01_tblFillRateFechas[[#This Row],[con_ocnumero]]&amp;Tabla__192.168.1.8_POSEIDONSQL_APPFVT_01_tblFillRateFechas[[#This Row],[con_codigounico]]</f>
        <v>5105054-</v>
      </c>
      <c r="X9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700</v>
      </c>
    </row>
    <row r="909" spans="1:24" x14ac:dyDescent="0.25">
      <c r="A909">
        <v>24</v>
      </c>
      <c r="B909" t="s">
        <v>54</v>
      </c>
      <c r="C909">
        <v>5105087</v>
      </c>
      <c r="D909" t="s">
        <v>427</v>
      </c>
      <c r="E909" t="s">
        <v>420</v>
      </c>
      <c r="F909" t="s">
        <v>425</v>
      </c>
      <c r="G909">
        <v>1</v>
      </c>
      <c r="H909">
        <v>1</v>
      </c>
      <c r="I909" t="s">
        <v>419</v>
      </c>
      <c r="J909">
        <v>0</v>
      </c>
      <c r="K909" t="s">
        <v>49</v>
      </c>
      <c r="L909" s="1">
        <f>+Tabla__192.168.1.8_POSEIDONSQL_APPFVT_01_tblFillRateFechas[[#This Row],[emb_cantidad]]-Tabla__192.168.1.8_POSEIDONSQL_APPFVT_01_tblFillRateFechas[[#This Row],[dev_cantidad]]</f>
        <v>1</v>
      </c>
      <c r="M909" s="1">
        <f>+IF(Tabla__192.168.1.8_POSEIDONSQL_APPFVT_01_tblFillRateFechas[[#This Row],[Cant_Resultante]]=Tabla__192.168.1.8_POSEIDONSQL_APPFVT_01_tblFillRateFechas[[#This Row],[cant_order]],1,0)</f>
        <v>1</v>
      </c>
      <c r="N9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09" s="1">
        <f>+IF(AND(Tabla__192.168.1.8_POSEIDONSQL_APPFVT_01_tblFillRateFechas[[#This Row],[Valida Cant]]=1,Tabla__192.168.1.8_POSEIDONSQL_APPFVT_01_tblFillRateFechas[[#This Row],[Valida Fec]]=1),1,0)</f>
        <v>1</v>
      </c>
      <c r="P909" s="1">
        <f>+(Tabla__192.168.1.8_POSEIDONSQL_APPFVT_01_tblFillRateFechas[[#This Row],[Cant_Resultante]]/Tabla__192.168.1.8_POSEIDONSQL_APPFVT_01_tblFillRateFechas[[#This Row],[cant_order]])*100</f>
        <v>100</v>
      </c>
      <c r="Q9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09" s="1">
        <f>+IF(Tabla__192.168.1.8_POSEIDONSQL_APPFVT_01_tblFillRateFechas[[#This Row],[cant_order]]&gt;0,1,0)</f>
        <v>1</v>
      </c>
      <c r="V909" s="1">
        <f>+IF(Tabla__192.168.1.8_POSEIDONSQL_APPFVT_01_tblFillRateFechas[[#This Row],[Resultado]]=1,1,0)</f>
        <v>1</v>
      </c>
      <c r="W909" s="1" t="str">
        <f>+Tabla__192.168.1.8_POSEIDONSQL_APPFVT_01_tblFillRateFechas[[#This Row],[con_ocnumero]]&amp;Tabla__192.168.1.8_POSEIDONSQL_APPFVT_01_tblFillRateFechas[[#This Row],[con_codigounico]]</f>
        <v>5105087-</v>
      </c>
      <c r="X9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0" spans="1:24" x14ac:dyDescent="0.25">
      <c r="A910">
        <v>24</v>
      </c>
      <c r="B910" t="s">
        <v>54</v>
      </c>
      <c r="C910">
        <v>5105088</v>
      </c>
      <c r="D910" t="s">
        <v>427</v>
      </c>
      <c r="E910" t="s">
        <v>419</v>
      </c>
      <c r="F910" t="s">
        <v>425</v>
      </c>
      <c r="G910">
        <v>1</v>
      </c>
      <c r="H910">
        <v>1</v>
      </c>
      <c r="I910" t="s">
        <v>419</v>
      </c>
      <c r="J910">
        <v>0</v>
      </c>
      <c r="K910" t="s">
        <v>49</v>
      </c>
      <c r="L910" s="1">
        <f>+Tabla__192.168.1.8_POSEIDONSQL_APPFVT_01_tblFillRateFechas[[#This Row],[emb_cantidad]]-Tabla__192.168.1.8_POSEIDONSQL_APPFVT_01_tblFillRateFechas[[#This Row],[dev_cantidad]]</f>
        <v>1</v>
      </c>
      <c r="M910" s="1">
        <f>+IF(Tabla__192.168.1.8_POSEIDONSQL_APPFVT_01_tblFillRateFechas[[#This Row],[Cant_Resultante]]=Tabla__192.168.1.8_POSEIDONSQL_APPFVT_01_tblFillRateFechas[[#This Row],[cant_order]],1,0)</f>
        <v>1</v>
      </c>
      <c r="N9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0" s="1">
        <f>+IF(AND(Tabla__192.168.1.8_POSEIDONSQL_APPFVT_01_tblFillRateFechas[[#This Row],[Valida Cant]]=1,Tabla__192.168.1.8_POSEIDONSQL_APPFVT_01_tblFillRateFechas[[#This Row],[Valida Fec]]=1),1,0)</f>
        <v>1</v>
      </c>
      <c r="P910" s="1">
        <f>+(Tabla__192.168.1.8_POSEIDONSQL_APPFVT_01_tblFillRateFechas[[#This Row],[Cant_Resultante]]/Tabla__192.168.1.8_POSEIDONSQL_APPFVT_01_tblFillRateFechas[[#This Row],[cant_order]])*100</f>
        <v>100</v>
      </c>
      <c r="Q9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0" s="1">
        <f>+IF(Tabla__192.168.1.8_POSEIDONSQL_APPFVT_01_tblFillRateFechas[[#This Row],[cant_order]]&gt;0,1,0)</f>
        <v>1</v>
      </c>
      <c r="V910" s="1">
        <f>+IF(Tabla__192.168.1.8_POSEIDONSQL_APPFVT_01_tblFillRateFechas[[#This Row],[Resultado]]=1,1,0)</f>
        <v>1</v>
      </c>
      <c r="W910" s="1" t="str">
        <f>+Tabla__192.168.1.8_POSEIDONSQL_APPFVT_01_tblFillRateFechas[[#This Row],[con_ocnumero]]&amp;Tabla__192.168.1.8_POSEIDONSQL_APPFVT_01_tblFillRateFechas[[#This Row],[con_codigounico]]</f>
        <v>5105088-</v>
      </c>
      <c r="X9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1" spans="1:24" x14ac:dyDescent="0.25">
      <c r="A911">
        <v>24</v>
      </c>
      <c r="B911" t="s">
        <v>54</v>
      </c>
      <c r="C911">
        <v>5105321</v>
      </c>
      <c r="D911" t="s">
        <v>425</v>
      </c>
      <c r="E911" t="s">
        <v>420</v>
      </c>
      <c r="F911" t="s">
        <v>426</v>
      </c>
      <c r="G911">
        <v>1</v>
      </c>
      <c r="H911">
        <v>1</v>
      </c>
      <c r="I911" t="s">
        <v>419</v>
      </c>
      <c r="J911">
        <v>0</v>
      </c>
      <c r="K911" t="s">
        <v>49</v>
      </c>
      <c r="L911" s="1">
        <f>+Tabla__192.168.1.8_POSEIDONSQL_APPFVT_01_tblFillRateFechas[[#This Row],[emb_cantidad]]-Tabla__192.168.1.8_POSEIDONSQL_APPFVT_01_tblFillRateFechas[[#This Row],[dev_cantidad]]</f>
        <v>1</v>
      </c>
      <c r="M911" s="1">
        <f>+IF(Tabla__192.168.1.8_POSEIDONSQL_APPFVT_01_tblFillRateFechas[[#This Row],[Cant_Resultante]]=Tabla__192.168.1.8_POSEIDONSQL_APPFVT_01_tblFillRateFechas[[#This Row],[cant_order]],1,0)</f>
        <v>1</v>
      </c>
      <c r="N9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1" s="1">
        <f>+IF(AND(Tabla__192.168.1.8_POSEIDONSQL_APPFVT_01_tblFillRateFechas[[#This Row],[Valida Cant]]=1,Tabla__192.168.1.8_POSEIDONSQL_APPFVT_01_tblFillRateFechas[[#This Row],[Valida Fec]]=1),1,0)</f>
        <v>1</v>
      </c>
      <c r="P911" s="1">
        <f>+(Tabla__192.168.1.8_POSEIDONSQL_APPFVT_01_tblFillRateFechas[[#This Row],[Cant_Resultante]]/Tabla__192.168.1.8_POSEIDONSQL_APPFVT_01_tblFillRateFechas[[#This Row],[cant_order]])*100</f>
        <v>100</v>
      </c>
      <c r="Q9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1" s="1">
        <f>+IF(Tabla__192.168.1.8_POSEIDONSQL_APPFVT_01_tblFillRateFechas[[#This Row],[cant_order]]&gt;0,1,0)</f>
        <v>1</v>
      </c>
      <c r="V911" s="1">
        <f>+IF(Tabla__192.168.1.8_POSEIDONSQL_APPFVT_01_tblFillRateFechas[[#This Row],[Resultado]]=1,1,0)</f>
        <v>1</v>
      </c>
      <c r="W911" s="1" t="str">
        <f>+Tabla__192.168.1.8_POSEIDONSQL_APPFVT_01_tblFillRateFechas[[#This Row],[con_ocnumero]]&amp;Tabla__192.168.1.8_POSEIDONSQL_APPFVT_01_tblFillRateFechas[[#This Row],[con_codigounico]]</f>
        <v>5105321-</v>
      </c>
      <c r="X9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2" spans="1:24" x14ac:dyDescent="0.25">
      <c r="A912">
        <v>24</v>
      </c>
      <c r="B912" t="s">
        <v>54</v>
      </c>
      <c r="C912">
        <v>5105358</v>
      </c>
      <c r="D912" t="s">
        <v>425</v>
      </c>
      <c r="E912" t="s">
        <v>420</v>
      </c>
      <c r="F912" t="s">
        <v>426</v>
      </c>
      <c r="G912">
        <v>1</v>
      </c>
      <c r="H912">
        <v>1</v>
      </c>
      <c r="I912" t="s">
        <v>419</v>
      </c>
      <c r="J912">
        <v>0</v>
      </c>
      <c r="K912" t="s">
        <v>49</v>
      </c>
      <c r="L912" s="1">
        <f>+Tabla__192.168.1.8_POSEIDONSQL_APPFVT_01_tblFillRateFechas[[#This Row],[emb_cantidad]]-Tabla__192.168.1.8_POSEIDONSQL_APPFVT_01_tblFillRateFechas[[#This Row],[dev_cantidad]]</f>
        <v>1</v>
      </c>
      <c r="M912" s="1">
        <f>+IF(Tabla__192.168.1.8_POSEIDONSQL_APPFVT_01_tblFillRateFechas[[#This Row],[Cant_Resultante]]=Tabla__192.168.1.8_POSEIDONSQL_APPFVT_01_tblFillRateFechas[[#This Row],[cant_order]],1,0)</f>
        <v>1</v>
      </c>
      <c r="N9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2" s="1">
        <f>+IF(AND(Tabla__192.168.1.8_POSEIDONSQL_APPFVT_01_tblFillRateFechas[[#This Row],[Valida Cant]]=1,Tabla__192.168.1.8_POSEIDONSQL_APPFVT_01_tblFillRateFechas[[#This Row],[Valida Fec]]=1),1,0)</f>
        <v>1</v>
      </c>
      <c r="P912" s="1">
        <f>+(Tabla__192.168.1.8_POSEIDONSQL_APPFVT_01_tblFillRateFechas[[#This Row],[Cant_Resultante]]/Tabla__192.168.1.8_POSEIDONSQL_APPFVT_01_tblFillRateFechas[[#This Row],[cant_order]])*100</f>
        <v>100</v>
      </c>
      <c r="Q9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2" s="1">
        <f>+IF(Tabla__192.168.1.8_POSEIDONSQL_APPFVT_01_tblFillRateFechas[[#This Row],[cant_order]]&gt;0,1,0)</f>
        <v>1</v>
      </c>
      <c r="V912" s="1">
        <f>+IF(Tabla__192.168.1.8_POSEIDONSQL_APPFVT_01_tblFillRateFechas[[#This Row],[Resultado]]=1,1,0)</f>
        <v>1</v>
      </c>
      <c r="W912" s="1" t="str">
        <f>+Tabla__192.168.1.8_POSEIDONSQL_APPFVT_01_tblFillRateFechas[[#This Row],[con_ocnumero]]&amp;Tabla__192.168.1.8_POSEIDONSQL_APPFVT_01_tblFillRateFechas[[#This Row],[con_codigounico]]</f>
        <v>5105358-</v>
      </c>
      <c r="X9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3" spans="1:24" x14ac:dyDescent="0.25">
      <c r="A913">
        <v>24</v>
      </c>
      <c r="B913" t="s">
        <v>54</v>
      </c>
      <c r="C913">
        <v>5105408</v>
      </c>
      <c r="D913" t="s">
        <v>425</v>
      </c>
      <c r="E913" t="s">
        <v>420</v>
      </c>
      <c r="F913" t="s">
        <v>426</v>
      </c>
      <c r="G913">
        <v>1</v>
      </c>
      <c r="H913">
        <v>1</v>
      </c>
      <c r="I913" t="s">
        <v>419</v>
      </c>
      <c r="J913">
        <v>0</v>
      </c>
      <c r="K913" t="s">
        <v>49</v>
      </c>
      <c r="L913" s="1">
        <f>+Tabla__192.168.1.8_POSEIDONSQL_APPFVT_01_tblFillRateFechas[[#This Row],[emb_cantidad]]-Tabla__192.168.1.8_POSEIDONSQL_APPFVT_01_tblFillRateFechas[[#This Row],[dev_cantidad]]</f>
        <v>1</v>
      </c>
      <c r="M913" s="1">
        <f>+IF(Tabla__192.168.1.8_POSEIDONSQL_APPFVT_01_tblFillRateFechas[[#This Row],[Cant_Resultante]]=Tabla__192.168.1.8_POSEIDONSQL_APPFVT_01_tblFillRateFechas[[#This Row],[cant_order]],1,0)</f>
        <v>1</v>
      </c>
      <c r="N9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3" s="1">
        <f>+IF(AND(Tabla__192.168.1.8_POSEIDONSQL_APPFVT_01_tblFillRateFechas[[#This Row],[Valida Cant]]=1,Tabla__192.168.1.8_POSEIDONSQL_APPFVT_01_tblFillRateFechas[[#This Row],[Valida Fec]]=1),1,0)</f>
        <v>1</v>
      </c>
      <c r="P913" s="1">
        <f>+(Tabla__192.168.1.8_POSEIDONSQL_APPFVT_01_tblFillRateFechas[[#This Row],[Cant_Resultante]]/Tabla__192.168.1.8_POSEIDONSQL_APPFVT_01_tblFillRateFechas[[#This Row],[cant_order]])*100</f>
        <v>100</v>
      </c>
      <c r="Q9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3" s="1">
        <f>+IF(Tabla__192.168.1.8_POSEIDONSQL_APPFVT_01_tblFillRateFechas[[#This Row],[cant_order]]&gt;0,1,0)</f>
        <v>1</v>
      </c>
      <c r="V913" s="1">
        <f>+IF(Tabla__192.168.1.8_POSEIDONSQL_APPFVT_01_tblFillRateFechas[[#This Row],[Resultado]]=1,1,0)</f>
        <v>1</v>
      </c>
      <c r="W913" s="1" t="str">
        <f>+Tabla__192.168.1.8_POSEIDONSQL_APPFVT_01_tblFillRateFechas[[#This Row],[con_ocnumero]]&amp;Tabla__192.168.1.8_POSEIDONSQL_APPFVT_01_tblFillRateFechas[[#This Row],[con_codigounico]]</f>
        <v>5105408-</v>
      </c>
      <c r="X9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4" spans="1:24" x14ac:dyDescent="0.25">
      <c r="A914">
        <v>24</v>
      </c>
      <c r="B914" t="s">
        <v>54</v>
      </c>
      <c r="C914">
        <v>5105461</v>
      </c>
      <c r="D914" t="s">
        <v>425</v>
      </c>
      <c r="E914" t="s">
        <v>420</v>
      </c>
      <c r="F914" t="s">
        <v>426</v>
      </c>
      <c r="G914">
        <v>1</v>
      </c>
      <c r="H914">
        <v>1</v>
      </c>
      <c r="I914" t="s">
        <v>419</v>
      </c>
      <c r="J914">
        <v>0</v>
      </c>
      <c r="K914" t="s">
        <v>49</v>
      </c>
      <c r="L914" s="1">
        <f>+Tabla__192.168.1.8_POSEIDONSQL_APPFVT_01_tblFillRateFechas[[#This Row],[emb_cantidad]]-Tabla__192.168.1.8_POSEIDONSQL_APPFVT_01_tblFillRateFechas[[#This Row],[dev_cantidad]]</f>
        <v>1</v>
      </c>
      <c r="M914" s="1">
        <f>+IF(Tabla__192.168.1.8_POSEIDONSQL_APPFVT_01_tblFillRateFechas[[#This Row],[Cant_Resultante]]=Tabla__192.168.1.8_POSEIDONSQL_APPFVT_01_tblFillRateFechas[[#This Row],[cant_order]],1,0)</f>
        <v>1</v>
      </c>
      <c r="N9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4" s="1">
        <f>+IF(AND(Tabla__192.168.1.8_POSEIDONSQL_APPFVT_01_tblFillRateFechas[[#This Row],[Valida Cant]]=1,Tabla__192.168.1.8_POSEIDONSQL_APPFVT_01_tblFillRateFechas[[#This Row],[Valida Fec]]=1),1,0)</f>
        <v>1</v>
      </c>
      <c r="P914" s="1">
        <f>+(Tabla__192.168.1.8_POSEIDONSQL_APPFVT_01_tblFillRateFechas[[#This Row],[Cant_Resultante]]/Tabla__192.168.1.8_POSEIDONSQL_APPFVT_01_tblFillRateFechas[[#This Row],[cant_order]])*100</f>
        <v>100</v>
      </c>
      <c r="Q9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4" s="1">
        <f>+IF(Tabla__192.168.1.8_POSEIDONSQL_APPFVT_01_tblFillRateFechas[[#This Row],[cant_order]]&gt;0,1,0)</f>
        <v>1</v>
      </c>
      <c r="V914" s="1">
        <f>+IF(Tabla__192.168.1.8_POSEIDONSQL_APPFVT_01_tblFillRateFechas[[#This Row],[Resultado]]=1,1,0)</f>
        <v>1</v>
      </c>
      <c r="W914" s="1" t="str">
        <f>+Tabla__192.168.1.8_POSEIDONSQL_APPFVT_01_tblFillRateFechas[[#This Row],[con_ocnumero]]&amp;Tabla__192.168.1.8_POSEIDONSQL_APPFVT_01_tblFillRateFechas[[#This Row],[con_codigounico]]</f>
        <v>5105461-</v>
      </c>
      <c r="X9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5" spans="1:24" x14ac:dyDescent="0.25">
      <c r="A915">
        <v>24</v>
      </c>
      <c r="B915" t="s">
        <v>54</v>
      </c>
      <c r="C915">
        <v>5105468</v>
      </c>
      <c r="D915" t="s">
        <v>425</v>
      </c>
      <c r="E915" t="s">
        <v>419</v>
      </c>
      <c r="F915" t="s">
        <v>426</v>
      </c>
      <c r="G915">
        <v>1</v>
      </c>
      <c r="H915">
        <v>1</v>
      </c>
      <c r="I915" t="s">
        <v>419</v>
      </c>
      <c r="J915">
        <v>0</v>
      </c>
      <c r="K915" t="s">
        <v>49</v>
      </c>
      <c r="L915" s="1">
        <f>+Tabla__192.168.1.8_POSEIDONSQL_APPFVT_01_tblFillRateFechas[[#This Row],[emb_cantidad]]-Tabla__192.168.1.8_POSEIDONSQL_APPFVT_01_tblFillRateFechas[[#This Row],[dev_cantidad]]</f>
        <v>1</v>
      </c>
      <c r="M915" s="1">
        <f>+IF(Tabla__192.168.1.8_POSEIDONSQL_APPFVT_01_tblFillRateFechas[[#This Row],[Cant_Resultante]]=Tabla__192.168.1.8_POSEIDONSQL_APPFVT_01_tblFillRateFechas[[#This Row],[cant_order]],1,0)</f>
        <v>1</v>
      </c>
      <c r="N9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5" s="1">
        <f>+IF(AND(Tabla__192.168.1.8_POSEIDONSQL_APPFVT_01_tblFillRateFechas[[#This Row],[Valida Cant]]=1,Tabla__192.168.1.8_POSEIDONSQL_APPFVT_01_tblFillRateFechas[[#This Row],[Valida Fec]]=1),1,0)</f>
        <v>1</v>
      </c>
      <c r="P915" s="1">
        <f>+(Tabla__192.168.1.8_POSEIDONSQL_APPFVT_01_tblFillRateFechas[[#This Row],[Cant_Resultante]]/Tabla__192.168.1.8_POSEIDONSQL_APPFVT_01_tblFillRateFechas[[#This Row],[cant_order]])*100</f>
        <v>100</v>
      </c>
      <c r="Q9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5" s="1">
        <f>+IF(Tabla__192.168.1.8_POSEIDONSQL_APPFVT_01_tblFillRateFechas[[#This Row],[cant_order]]&gt;0,1,0)</f>
        <v>1</v>
      </c>
      <c r="V915" s="1">
        <f>+IF(Tabla__192.168.1.8_POSEIDONSQL_APPFVT_01_tblFillRateFechas[[#This Row],[Resultado]]=1,1,0)</f>
        <v>1</v>
      </c>
      <c r="W915" s="1" t="str">
        <f>+Tabla__192.168.1.8_POSEIDONSQL_APPFVT_01_tblFillRateFechas[[#This Row],[con_ocnumero]]&amp;Tabla__192.168.1.8_POSEIDONSQL_APPFVT_01_tblFillRateFechas[[#This Row],[con_codigounico]]</f>
        <v>5105468-</v>
      </c>
      <c r="X9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6" spans="1:24" x14ac:dyDescent="0.25">
      <c r="A916">
        <v>24</v>
      </c>
      <c r="B916" t="s">
        <v>54</v>
      </c>
      <c r="C916">
        <v>5105472</v>
      </c>
      <c r="D916" t="s">
        <v>425</v>
      </c>
      <c r="E916" t="s">
        <v>420</v>
      </c>
      <c r="F916" t="s">
        <v>426</v>
      </c>
      <c r="G916">
        <v>1</v>
      </c>
      <c r="H916">
        <v>1</v>
      </c>
      <c r="I916" t="s">
        <v>419</v>
      </c>
      <c r="J916">
        <v>0</v>
      </c>
      <c r="K916" t="s">
        <v>49</v>
      </c>
      <c r="L916" s="1">
        <f>+Tabla__192.168.1.8_POSEIDONSQL_APPFVT_01_tblFillRateFechas[[#This Row],[emb_cantidad]]-Tabla__192.168.1.8_POSEIDONSQL_APPFVT_01_tblFillRateFechas[[#This Row],[dev_cantidad]]</f>
        <v>1</v>
      </c>
      <c r="M916" s="1">
        <f>+IF(Tabla__192.168.1.8_POSEIDONSQL_APPFVT_01_tblFillRateFechas[[#This Row],[Cant_Resultante]]=Tabla__192.168.1.8_POSEIDONSQL_APPFVT_01_tblFillRateFechas[[#This Row],[cant_order]],1,0)</f>
        <v>1</v>
      </c>
      <c r="N9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6" s="1">
        <f>+IF(AND(Tabla__192.168.1.8_POSEIDONSQL_APPFVT_01_tblFillRateFechas[[#This Row],[Valida Cant]]=1,Tabla__192.168.1.8_POSEIDONSQL_APPFVT_01_tblFillRateFechas[[#This Row],[Valida Fec]]=1),1,0)</f>
        <v>1</v>
      </c>
      <c r="P916" s="1">
        <f>+(Tabla__192.168.1.8_POSEIDONSQL_APPFVT_01_tblFillRateFechas[[#This Row],[Cant_Resultante]]/Tabla__192.168.1.8_POSEIDONSQL_APPFVT_01_tblFillRateFechas[[#This Row],[cant_order]])*100</f>
        <v>100</v>
      </c>
      <c r="Q9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6" s="1">
        <f>+IF(Tabla__192.168.1.8_POSEIDONSQL_APPFVT_01_tblFillRateFechas[[#This Row],[cant_order]]&gt;0,1,0)</f>
        <v>1</v>
      </c>
      <c r="V916" s="1">
        <f>+IF(Tabla__192.168.1.8_POSEIDONSQL_APPFVT_01_tblFillRateFechas[[#This Row],[Resultado]]=1,1,0)</f>
        <v>1</v>
      </c>
      <c r="W916" s="1" t="str">
        <f>+Tabla__192.168.1.8_POSEIDONSQL_APPFVT_01_tblFillRateFechas[[#This Row],[con_ocnumero]]&amp;Tabla__192.168.1.8_POSEIDONSQL_APPFVT_01_tblFillRateFechas[[#This Row],[con_codigounico]]</f>
        <v>5105472-</v>
      </c>
      <c r="X9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7" spans="1:24" x14ac:dyDescent="0.25">
      <c r="A917">
        <v>24</v>
      </c>
      <c r="B917" t="s">
        <v>54</v>
      </c>
      <c r="C917">
        <v>5105695</v>
      </c>
      <c r="D917" t="s">
        <v>426</v>
      </c>
      <c r="E917" t="s">
        <v>420</v>
      </c>
      <c r="F917" t="s">
        <v>415</v>
      </c>
      <c r="G917">
        <v>1</v>
      </c>
      <c r="H917">
        <v>1</v>
      </c>
      <c r="I917" t="s">
        <v>419</v>
      </c>
      <c r="J917">
        <v>0</v>
      </c>
      <c r="K917" t="s">
        <v>49</v>
      </c>
      <c r="L917" s="1">
        <f>+Tabla__192.168.1.8_POSEIDONSQL_APPFVT_01_tblFillRateFechas[[#This Row],[emb_cantidad]]-Tabla__192.168.1.8_POSEIDONSQL_APPFVT_01_tblFillRateFechas[[#This Row],[dev_cantidad]]</f>
        <v>1</v>
      </c>
      <c r="M917" s="1">
        <f>+IF(Tabla__192.168.1.8_POSEIDONSQL_APPFVT_01_tblFillRateFechas[[#This Row],[Cant_Resultante]]=Tabla__192.168.1.8_POSEIDONSQL_APPFVT_01_tblFillRateFechas[[#This Row],[cant_order]],1,0)</f>
        <v>1</v>
      </c>
      <c r="N9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7" s="1">
        <f>+IF(AND(Tabla__192.168.1.8_POSEIDONSQL_APPFVT_01_tblFillRateFechas[[#This Row],[Valida Cant]]=1,Tabla__192.168.1.8_POSEIDONSQL_APPFVT_01_tblFillRateFechas[[#This Row],[Valida Fec]]=1),1,0)</f>
        <v>1</v>
      </c>
      <c r="P917" s="1">
        <f>+(Tabla__192.168.1.8_POSEIDONSQL_APPFVT_01_tblFillRateFechas[[#This Row],[Cant_Resultante]]/Tabla__192.168.1.8_POSEIDONSQL_APPFVT_01_tblFillRateFechas[[#This Row],[cant_order]])*100</f>
        <v>100</v>
      </c>
      <c r="Q9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7" s="1">
        <f>+IF(Tabla__192.168.1.8_POSEIDONSQL_APPFVT_01_tblFillRateFechas[[#This Row],[cant_order]]&gt;0,1,0)</f>
        <v>1</v>
      </c>
      <c r="V917" s="1">
        <f>+IF(Tabla__192.168.1.8_POSEIDONSQL_APPFVT_01_tblFillRateFechas[[#This Row],[Resultado]]=1,1,0)</f>
        <v>1</v>
      </c>
      <c r="W917" s="1" t="str">
        <f>+Tabla__192.168.1.8_POSEIDONSQL_APPFVT_01_tblFillRateFechas[[#This Row],[con_ocnumero]]&amp;Tabla__192.168.1.8_POSEIDONSQL_APPFVT_01_tblFillRateFechas[[#This Row],[con_codigounico]]</f>
        <v>5105695-</v>
      </c>
      <c r="X9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8" spans="1:24" x14ac:dyDescent="0.25">
      <c r="A918">
        <v>24</v>
      </c>
      <c r="B918" t="s">
        <v>54</v>
      </c>
      <c r="C918">
        <v>5105709</v>
      </c>
      <c r="D918" t="s">
        <v>426</v>
      </c>
      <c r="E918" t="s">
        <v>420</v>
      </c>
      <c r="F918" t="s">
        <v>415</v>
      </c>
      <c r="G918">
        <v>1</v>
      </c>
      <c r="H918">
        <v>1</v>
      </c>
      <c r="I918" t="s">
        <v>419</v>
      </c>
      <c r="J918">
        <v>0</v>
      </c>
      <c r="K918" t="s">
        <v>49</v>
      </c>
      <c r="L918" s="1">
        <f>+Tabla__192.168.1.8_POSEIDONSQL_APPFVT_01_tblFillRateFechas[[#This Row],[emb_cantidad]]-Tabla__192.168.1.8_POSEIDONSQL_APPFVT_01_tblFillRateFechas[[#This Row],[dev_cantidad]]</f>
        <v>1</v>
      </c>
      <c r="M918" s="1">
        <f>+IF(Tabla__192.168.1.8_POSEIDONSQL_APPFVT_01_tblFillRateFechas[[#This Row],[Cant_Resultante]]=Tabla__192.168.1.8_POSEIDONSQL_APPFVT_01_tblFillRateFechas[[#This Row],[cant_order]],1,0)</f>
        <v>1</v>
      </c>
      <c r="N9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8" s="1">
        <f>+IF(AND(Tabla__192.168.1.8_POSEIDONSQL_APPFVT_01_tblFillRateFechas[[#This Row],[Valida Cant]]=1,Tabla__192.168.1.8_POSEIDONSQL_APPFVT_01_tblFillRateFechas[[#This Row],[Valida Fec]]=1),1,0)</f>
        <v>1</v>
      </c>
      <c r="P918" s="1">
        <f>+(Tabla__192.168.1.8_POSEIDONSQL_APPFVT_01_tblFillRateFechas[[#This Row],[Cant_Resultante]]/Tabla__192.168.1.8_POSEIDONSQL_APPFVT_01_tblFillRateFechas[[#This Row],[cant_order]])*100</f>
        <v>100</v>
      </c>
      <c r="Q9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8" s="1">
        <f>+IF(Tabla__192.168.1.8_POSEIDONSQL_APPFVT_01_tblFillRateFechas[[#This Row],[cant_order]]&gt;0,1,0)</f>
        <v>1</v>
      </c>
      <c r="V918" s="1">
        <f>+IF(Tabla__192.168.1.8_POSEIDONSQL_APPFVT_01_tblFillRateFechas[[#This Row],[Resultado]]=1,1,0)</f>
        <v>1</v>
      </c>
      <c r="W918" s="1" t="str">
        <f>+Tabla__192.168.1.8_POSEIDONSQL_APPFVT_01_tblFillRateFechas[[#This Row],[con_ocnumero]]&amp;Tabla__192.168.1.8_POSEIDONSQL_APPFVT_01_tblFillRateFechas[[#This Row],[con_codigounico]]</f>
        <v>5105709-</v>
      </c>
      <c r="X9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19" spans="1:24" x14ac:dyDescent="0.25">
      <c r="A919">
        <v>24</v>
      </c>
      <c r="B919" t="s">
        <v>54</v>
      </c>
      <c r="C919">
        <v>5105814</v>
      </c>
      <c r="D919" t="s">
        <v>1983</v>
      </c>
      <c r="E919" t="s">
        <v>419</v>
      </c>
      <c r="F919" t="s">
        <v>415</v>
      </c>
      <c r="G919">
        <v>1</v>
      </c>
      <c r="H919">
        <v>1</v>
      </c>
      <c r="I919" t="s">
        <v>419</v>
      </c>
      <c r="J919">
        <v>0</v>
      </c>
      <c r="K919" t="s">
        <v>49</v>
      </c>
      <c r="L919" s="1">
        <f>+Tabla__192.168.1.8_POSEIDONSQL_APPFVT_01_tblFillRateFechas[[#This Row],[emb_cantidad]]-Tabla__192.168.1.8_POSEIDONSQL_APPFVT_01_tblFillRateFechas[[#This Row],[dev_cantidad]]</f>
        <v>1</v>
      </c>
      <c r="M919" s="1">
        <f>+IF(Tabla__192.168.1.8_POSEIDONSQL_APPFVT_01_tblFillRateFechas[[#This Row],[Cant_Resultante]]=Tabla__192.168.1.8_POSEIDONSQL_APPFVT_01_tblFillRateFechas[[#This Row],[cant_order]],1,0)</f>
        <v>1</v>
      </c>
      <c r="N9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19" s="1">
        <f>+IF(AND(Tabla__192.168.1.8_POSEIDONSQL_APPFVT_01_tblFillRateFechas[[#This Row],[Valida Cant]]=1,Tabla__192.168.1.8_POSEIDONSQL_APPFVT_01_tblFillRateFechas[[#This Row],[Valida Fec]]=1),1,0)</f>
        <v>1</v>
      </c>
      <c r="P919" s="1">
        <f>+(Tabla__192.168.1.8_POSEIDONSQL_APPFVT_01_tblFillRateFechas[[#This Row],[Cant_Resultante]]/Tabla__192.168.1.8_POSEIDONSQL_APPFVT_01_tblFillRateFechas[[#This Row],[cant_order]])*100</f>
        <v>100</v>
      </c>
      <c r="Q9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19" s="1">
        <f>+IF(Tabla__192.168.1.8_POSEIDONSQL_APPFVT_01_tblFillRateFechas[[#This Row],[cant_order]]&gt;0,1,0)</f>
        <v>1</v>
      </c>
      <c r="V919" s="1">
        <f>+IF(Tabla__192.168.1.8_POSEIDONSQL_APPFVT_01_tblFillRateFechas[[#This Row],[Resultado]]=1,1,0)</f>
        <v>1</v>
      </c>
      <c r="W919" s="1" t="str">
        <f>+Tabla__192.168.1.8_POSEIDONSQL_APPFVT_01_tblFillRateFechas[[#This Row],[con_ocnumero]]&amp;Tabla__192.168.1.8_POSEIDONSQL_APPFVT_01_tblFillRateFechas[[#This Row],[con_codigounico]]</f>
        <v>5105814-</v>
      </c>
      <c r="X9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0" spans="1:24" x14ac:dyDescent="0.25">
      <c r="A920">
        <v>24</v>
      </c>
      <c r="B920" t="s">
        <v>54</v>
      </c>
      <c r="C920">
        <v>5105916</v>
      </c>
      <c r="D920" t="s">
        <v>1983</v>
      </c>
      <c r="E920" t="s">
        <v>420</v>
      </c>
      <c r="F920" t="s">
        <v>415</v>
      </c>
      <c r="G920">
        <v>1</v>
      </c>
      <c r="H920">
        <v>1</v>
      </c>
      <c r="I920" t="s">
        <v>419</v>
      </c>
      <c r="J920">
        <v>0</v>
      </c>
      <c r="K920" t="s">
        <v>49</v>
      </c>
      <c r="L920" s="1">
        <f>+Tabla__192.168.1.8_POSEIDONSQL_APPFVT_01_tblFillRateFechas[[#This Row],[emb_cantidad]]-Tabla__192.168.1.8_POSEIDONSQL_APPFVT_01_tblFillRateFechas[[#This Row],[dev_cantidad]]</f>
        <v>1</v>
      </c>
      <c r="M920" s="1">
        <f>+IF(Tabla__192.168.1.8_POSEIDONSQL_APPFVT_01_tblFillRateFechas[[#This Row],[Cant_Resultante]]=Tabla__192.168.1.8_POSEIDONSQL_APPFVT_01_tblFillRateFechas[[#This Row],[cant_order]],1,0)</f>
        <v>1</v>
      </c>
      <c r="N9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0" s="1">
        <f>+IF(AND(Tabla__192.168.1.8_POSEIDONSQL_APPFVT_01_tblFillRateFechas[[#This Row],[Valida Cant]]=1,Tabla__192.168.1.8_POSEIDONSQL_APPFVT_01_tblFillRateFechas[[#This Row],[Valida Fec]]=1),1,0)</f>
        <v>1</v>
      </c>
      <c r="P920" s="1">
        <f>+(Tabla__192.168.1.8_POSEIDONSQL_APPFVT_01_tblFillRateFechas[[#This Row],[Cant_Resultante]]/Tabla__192.168.1.8_POSEIDONSQL_APPFVT_01_tblFillRateFechas[[#This Row],[cant_order]])*100</f>
        <v>100</v>
      </c>
      <c r="Q9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0" s="1">
        <f>+IF(Tabla__192.168.1.8_POSEIDONSQL_APPFVT_01_tblFillRateFechas[[#This Row],[cant_order]]&gt;0,1,0)</f>
        <v>1</v>
      </c>
      <c r="V920" s="1">
        <f>+IF(Tabla__192.168.1.8_POSEIDONSQL_APPFVT_01_tblFillRateFechas[[#This Row],[Resultado]]=1,1,0)</f>
        <v>1</v>
      </c>
      <c r="W920" s="1" t="str">
        <f>+Tabla__192.168.1.8_POSEIDONSQL_APPFVT_01_tblFillRateFechas[[#This Row],[con_ocnumero]]&amp;Tabla__192.168.1.8_POSEIDONSQL_APPFVT_01_tblFillRateFechas[[#This Row],[con_codigounico]]</f>
        <v>5105916-</v>
      </c>
      <c r="X9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1" spans="1:24" x14ac:dyDescent="0.25">
      <c r="A921">
        <v>24</v>
      </c>
      <c r="B921" t="s">
        <v>54</v>
      </c>
      <c r="C921">
        <v>5105988</v>
      </c>
      <c r="D921" t="s">
        <v>430</v>
      </c>
      <c r="E921" t="s">
        <v>415</v>
      </c>
      <c r="F921" t="s">
        <v>415</v>
      </c>
      <c r="G921">
        <v>1</v>
      </c>
      <c r="H921">
        <v>1</v>
      </c>
      <c r="I921" t="s">
        <v>422</v>
      </c>
      <c r="J921">
        <v>0</v>
      </c>
      <c r="K921" t="s">
        <v>49</v>
      </c>
      <c r="L921" s="1">
        <f>+Tabla__192.168.1.8_POSEIDONSQL_APPFVT_01_tblFillRateFechas[[#This Row],[emb_cantidad]]-Tabla__192.168.1.8_POSEIDONSQL_APPFVT_01_tblFillRateFechas[[#This Row],[dev_cantidad]]</f>
        <v>1</v>
      </c>
      <c r="M921" s="1">
        <f>+IF(Tabla__192.168.1.8_POSEIDONSQL_APPFVT_01_tblFillRateFechas[[#This Row],[Cant_Resultante]]=Tabla__192.168.1.8_POSEIDONSQL_APPFVT_01_tblFillRateFechas[[#This Row],[cant_order]],1,0)</f>
        <v>1</v>
      </c>
      <c r="N9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21" s="1">
        <f>+IF(AND(Tabla__192.168.1.8_POSEIDONSQL_APPFVT_01_tblFillRateFechas[[#This Row],[Valida Cant]]=1,Tabla__192.168.1.8_POSEIDONSQL_APPFVT_01_tblFillRateFechas[[#This Row],[Valida Fec]]=1),1,0)</f>
        <v>0</v>
      </c>
      <c r="P921" s="1">
        <f>+(Tabla__192.168.1.8_POSEIDONSQL_APPFVT_01_tblFillRateFechas[[#This Row],[Cant_Resultante]]/Tabla__192.168.1.8_POSEIDONSQL_APPFVT_01_tblFillRateFechas[[#This Row],[cant_order]])*100</f>
        <v>100</v>
      </c>
      <c r="Q9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1" s="1">
        <f>+IF(Tabla__192.168.1.8_POSEIDONSQL_APPFVT_01_tblFillRateFechas[[#This Row],[cant_order]]&gt;0,1,0)</f>
        <v>1</v>
      </c>
      <c r="V921" s="1">
        <f>+IF(Tabla__192.168.1.8_POSEIDONSQL_APPFVT_01_tblFillRateFechas[[#This Row],[Resultado]]=1,1,0)</f>
        <v>0</v>
      </c>
      <c r="W921" s="1" t="str">
        <f>+Tabla__192.168.1.8_POSEIDONSQL_APPFVT_01_tblFillRateFechas[[#This Row],[con_ocnumero]]&amp;Tabla__192.168.1.8_POSEIDONSQL_APPFVT_01_tblFillRateFechas[[#This Row],[con_codigounico]]</f>
        <v>5105988-</v>
      </c>
      <c r="X9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2" spans="1:24" x14ac:dyDescent="0.25">
      <c r="A922">
        <v>24</v>
      </c>
      <c r="B922" t="s">
        <v>54</v>
      </c>
      <c r="C922">
        <v>5106024</v>
      </c>
      <c r="D922" t="s">
        <v>414</v>
      </c>
      <c r="E922" t="s">
        <v>419</v>
      </c>
      <c r="F922" t="s">
        <v>415</v>
      </c>
      <c r="G922">
        <v>1</v>
      </c>
      <c r="H922">
        <v>1</v>
      </c>
      <c r="I922" t="s">
        <v>419</v>
      </c>
      <c r="J922">
        <v>0</v>
      </c>
      <c r="K922" t="s">
        <v>49</v>
      </c>
      <c r="L922" s="1">
        <f>+Tabla__192.168.1.8_POSEIDONSQL_APPFVT_01_tblFillRateFechas[[#This Row],[emb_cantidad]]-Tabla__192.168.1.8_POSEIDONSQL_APPFVT_01_tblFillRateFechas[[#This Row],[dev_cantidad]]</f>
        <v>1</v>
      </c>
      <c r="M922" s="1">
        <f>+IF(Tabla__192.168.1.8_POSEIDONSQL_APPFVT_01_tblFillRateFechas[[#This Row],[Cant_Resultante]]=Tabla__192.168.1.8_POSEIDONSQL_APPFVT_01_tblFillRateFechas[[#This Row],[cant_order]],1,0)</f>
        <v>1</v>
      </c>
      <c r="N9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2" s="1">
        <f>+IF(AND(Tabla__192.168.1.8_POSEIDONSQL_APPFVT_01_tblFillRateFechas[[#This Row],[Valida Cant]]=1,Tabla__192.168.1.8_POSEIDONSQL_APPFVT_01_tblFillRateFechas[[#This Row],[Valida Fec]]=1),1,0)</f>
        <v>1</v>
      </c>
      <c r="P922" s="1">
        <f>+(Tabla__192.168.1.8_POSEIDONSQL_APPFVT_01_tblFillRateFechas[[#This Row],[Cant_Resultante]]/Tabla__192.168.1.8_POSEIDONSQL_APPFVT_01_tblFillRateFechas[[#This Row],[cant_order]])*100</f>
        <v>100</v>
      </c>
      <c r="Q9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2" s="1">
        <f>+IF(Tabla__192.168.1.8_POSEIDONSQL_APPFVT_01_tblFillRateFechas[[#This Row],[cant_order]]&gt;0,1,0)</f>
        <v>1</v>
      </c>
      <c r="V922" s="1">
        <f>+IF(Tabla__192.168.1.8_POSEIDONSQL_APPFVT_01_tblFillRateFechas[[#This Row],[Resultado]]=1,1,0)</f>
        <v>1</v>
      </c>
      <c r="W922" s="1" t="str">
        <f>+Tabla__192.168.1.8_POSEIDONSQL_APPFVT_01_tblFillRateFechas[[#This Row],[con_ocnumero]]&amp;Tabla__192.168.1.8_POSEIDONSQL_APPFVT_01_tblFillRateFechas[[#This Row],[con_codigounico]]</f>
        <v>5106024-</v>
      </c>
      <c r="X9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3" spans="1:24" x14ac:dyDescent="0.25">
      <c r="A923">
        <v>24</v>
      </c>
      <c r="B923" t="s">
        <v>54</v>
      </c>
      <c r="C923">
        <v>5106057</v>
      </c>
      <c r="D923" t="s">
        <v>414</v>
      </c>
      <c r="E923" t="s">
        <v>420</v>
      </c>
      <c r="F923" t="s">
        <v>415</v>
      </c>
      <c r="G923">
        <v>1</v>
      </c>
      <c r="H923">
        <v>1</v>
      </c>
      <c r="I923" t="s">
        <v>419</v>
      </c>
      <c r="J923">
        <v>0</v>
      </c>
      <c r="K923" t="s">
        <v>49</v>
      </c>
      <c r="L923" s="1">
        <f>+Tabla__192.168.1.8_POSEIDONSQL_APPFVT_01_tblFillRateFechas[[#This Row],[emb_cantidad]]-Tabla__192.168.1.8_POSEIDONSQL_APPFVT_01_tblFillRateFechas[[#This Row],[dev_cantidad]]</f>
        <v>1</v>
      </c>
      <c r="M923" s="1">
        <f>+IF(Tabla__192.168.1.8_POSEIDONSQL_APPFVT_01_tblFillRateFechas[[#This Row],[Cant_Resultante]]=Tabla__192.168.1.8_POSEIDONSQL_APPFVT_01_tblFillRateFechas[[#This Row],[cant_order]],1,0)</f>
        <v>1</v>
      </c>
      <c r="N9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3" s="1">
        <f>+IF(AND(Tabla__192.168.1.8_POSEIDONSQL_APPFVT_01_tblFillRateFechas[[#This Row],[Valida Cant]]=1,Tabla__192.168.1.8_POSEIDONSQL_APPFVT_01_tblFillRateFechas[[#This Row],[Valida Fec]]=1),1,0)</f>
        <v>1</v>
      </c>
      <c r="P923" s="1">
        <f>+(Tabla__192.168.1.8_POSEIDONSQL_APPFVT_01_tblFillRateFechas[[#This Row],[Cant_Resultante]]/Tabla__192.168.1.8_POSEIDONSQL_APPFVT_01_tblFillRateFechas[[#This Row],[cant_order]])*100</f>
        <v>100</v>
      </c>
      <c r="Q9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3" s="1">
        <f>+IF(Tabla__192.168.1.8_POSEIDONSQL_APPFVT_01_tblFillRateFechas[[#This Row],[cant_order]]&gt;0,1,0)</f>
        <v>1</v>
      </c>
      <c r="V923" s="1">
        <f>+IF(Tabla__192.168.1.8_POSEIDONSQL_APPFVT_01_tblFillRateFechas[[#This Row],[Resultado]]=1,1,0)</f>
        <v>1</v>
      </c>
      <c r="W923" s="1" t="str">
        <f>+Tabla__192.168.1.8_POSEIDONSQL_APPFVT_01_tblFillRateFechas[[#This Row],[con_ocnumero]]&amp;Tabla__192.168.1.8_POSEIDONSQL_APPFVT_01_tblFillRateFechas[[#This Row],[con_codigounico]]</f>
        <v>5106057-</v>
      </c>
      <c r="X9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4" spans="1:24" x14ac:dyDescent="0.25">
      <c r="A924">
        <v>24</v>
      </c>
      <c r="B924" t="s">
        <v>54</v>
      </c>
      <c r="C924">
        <v>5106070</v>
      </c>
      <c r="D924" t="s">
        <v>414</v>
      </c>
      <c r="E924" t="s">
        <v>419</v>
      </c>
      <c r="F924" t="s">
        <v>415</v>
      </c>
      <c r="G924">
        <v>1</v>
      </c>
      <c r="H924">
        <v>1</v>
      </c>
      <c r="I924" t="s">
        <v>419</v>
      </c>
      <c r="J924">
        <v>0</v>
      </c>
      <c r="K924" t="s">
        <v>49</v>
      </c>
      <c r="L924" s="1">
        <f>+Tabla__192.168.1.8_POSEIDONSQL_APPFVT_01_tblFillRateFechas[[#This Row],[emb_cantidad]]-Tabla__192.168.1.8_POSEIDONSQL_APPFVT_01_tblFillRateFechas[[#This Row],[dev_cantidad]]</f>
        <v>1</v>
      </c>
      <c r="M924" s="1">
        <f>+IF(Tabla__192.168.1.8_POSEIDONSQL_APPFVT_01_tblFillRateFechas[[#This Row],[Cant_Resultante]]=Tabla__192.168.1.8_POSEIDONSQL_APPFVT_01_tblFillRateFechas[[#This Row],[cant_order]],1,0)</f>
        <v>1</v>
      </c>
      <c r="N9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4" s="1">
        <f>+IF(AND(Tabla__192.168.1.8_POSEIDONSQL_APPFVT_01_tblFillRateFechas[[#This Row],[Valida Cant]]=1,Tabla__192.168.1.8_POSEIDONSQL_APPFVT_01_tblFillRateFechas[[#This Row],[Valida Fec]]=1),1,0)</f>
        <v>1</v>
      </c>
      <c r="P924" s="1">
        <f>+(Tabla__192.168.1.8_POSEIDONSQL_APPFVT_01_tblFillRateFechas[[#This Row],[Cant_Resultante]]/Tabla__192.168.1.8_POSEIDONSQL_APPFVT_01_tblFillRateFechas[[#This Row],[cant_order]])*100</f>
        <v>100</v>
      </c>
      <c r="Q9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4" s="1">
        <f>+IF(Tabla__192.168.1.8_POSEIDONSQL_APPFVT_01_tblFillRateFechas[[#This Row],[cant_order]]&gt;0,1,0)</f>
        <v>1</v>
      </c>
      <c r="V924" s="1">
        <f>+IF(Tabla__192.168.1.8_POSEIDONSQL_APPFVT_01_tblFillRateFechas[[#This Row],[Resultado]]=1,1,0)</f>
        <v>1</v>
      </c>
      <c r="W924" s="1" t="str">
        <f>+Tabla__192.168.1.8_POSEIDONSQL_APPFVT_01_tblFillRateFechas[[#This Row],[con_ocnumero]]&amp;Tabla__192.168.1.8_POSEIDONSQL_APPFVT_01_tblFillRateFechas[[#This Row],[con_codigounico]]</f>
        <v>5106070-</v>
      </c>
      <c r="X9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5" spans="1:24" x14ac:dyDescent="0.25">
      <c r="A925">
        <v>24</v>
      </c>
      <c r="B925" t="s">
        <v>54</v>
      </c>
      <c r="C925">
        <v>5106113</v>
      </c>
      <c r="D925" t="s">
        <v>1984</v>
      </c>
      <c r="E925" t="s">
        <v>420</v>
      </c>
      <c r="F925" t="s">
        <v>415</v>
      </c>
      <c r="G925">
        <v>1</v>
      </c>
      <c r="H925">
        <v>1</v>
      </c>
      <c r="I925" t="s">
        <v>419</v>
      </c>
      <c r="J925">
        <v>0</v>
      </c>
      <c r="K925" t="s">
        <v>49</v>
      </c>
      <c r="L925" s="1">
        <f>+Tabla__192.168.1.8_POSEIDONSQL_APPFVT_01_tblFillRateFechas[[#This Row],[emb_cantidad]]-Tabla__192.168.1.8_POSEIDONSQL_APPFVT_01_tblFillRateFechas[[#This Row],[dev_cantidad]]</f>
        <v>1</v>
      </c>
      <c r="M925" s="1">
        <f>+IF(Tabla__192.168.1.8_POSEIDONSQL_APPFVT_01_tblFillRateFechas[[#This Row],[Cant_Resultante]]=Tabla__192.168.1.8_POSEIDONSQL_APPFVT_01_tblFillRateFechas[[#This Row],[cant_order]],1,0)</f>
        <v>1</v>
      </c>
      <c r="N9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5" s="1">
        <f>+IF(AND(Tabla__192.168.1.8_POSEIDONSQL_APPFVT_01_tblFillRateFechas[[#This Row],[Valida Cant]]=1,Tabla__192.168.1.8_POSEIDONSQL_APPFVT_01_tblFillRateFechas[[#This Row],[Valida Fec]]=1),1,0)</f>
        <v>1</v>
      </c>
      <c r="P925" s="1">
        <f>+(Tabla__192.168.1.8_POSEIDONSQL_APPFVT_01_tblFillRateFechas[[#This Row],[Cant_Resultante]]/Tabla__192.168.1.8_POSEIDONSQL_APPFVT_01_tblFillRateFechas[[#This Row],[cant_order]])*100</f>
        <v>100</v>
      </c>
      <c r="Q9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5" s="1">
        <f>+IF(Tabla__192.168.1.8_POSEIDONSQL_APPFVT_01_tblFillRateFechas[[#This Row],[cant_order]]&gt;0,1,0)</f>
        <v>1</v>
      </c>
      <c r="V925" s="1">
        <f>+IF(Tabla__192.168.1.8_POSEIDONSQL_APPFVT_01_tblFillRateFechas[[#This Row],[Resultado]]=1,1,0)</f>
        <v>1</v>
      </c>
      <c r="W925" s="1" t="str">
        <f>+Tabla__192.168.1.8_POSEIDONSQL_APPFVT_01_tblFillRateFechas[[#This Row],[con_ocnumero]]&amp;Tabla__192.168.1.8_POSEIDONSQL_APPFVT_01_tblFillRateFechas[[#This Row],[con_codigounico]]</f>
        <v>5106113-</v>
      </c>
      <c r="X9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6" spans="1:24" x14ac:dyDescent="0.25">
      <c r="A926">
        <v>24</v>
      </c>
      <c r="B926" t="s">
        <v>54</v>
      </c>
      <c r="C926">
        <v>5106348</v>
      </c>
      <c r="D926" t="s">
        <v>415</v>
      </c>
      <c r="E926" t="s">
        <v>420</v>
      </c>
      <c r="F926" t="s">
        <v>422</v>
      </c>
      <c r="G926">
        <v>1</v>
      </c>
      <c r="H926">
        <v>1</v>
      </c>
      <c r="I926" t="s">
        <v>419</v>
      </c>
      <c r="J926">
        <v>0</v>
      </c>
      <c r="K926" t="s">
        <v>49</v>
      </c>
      <c r="L926" s="1">
        <f>+Tabla__192.168.1.8_POSEIDONSQL_APPFVT_01_tblFillRateFechas[[#This Row],[emb_cantidad]]-Tabla__192.168.1.8_POSEIDONSQL_APPFVT_01_tblFillRateFechas[[#This Row],[dev_cantidad]]</f>
        <v>1</v>
      </c>
      <c r="M926" s="1">
        <f>+IF(Tabla__192.168.1.8_POSEIDONSQL_APPFVT_01_tblFillRateFechas[[#This Row],[Cant_Resultante]]=Tabla__192.168.1.8_POSEIDONSQL_APPFVT_01_tblFillRateFechas[[#This Row],[cant_order]],1,0)</f>
        <v>1</v>
      </c>
      <c r="N9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6" s="1">
        <f>+IF(AND(Tabla__192.168.1.8_POSEIDONSQL_APPFVT_01_tblFillRateFechas[[#This Row],[Valida Cant]]=1,Tabla__192.168.1.8_POSEIDONSQL_APPFVT_01_tblFillRateFechas[[#This Row],[Valida Fec]]=1),1,0)</f>
        <v>1</v>
      </c>
      <c r="P926" s="1">
        <f>+(Tabla__192.168.1.8_POSEIDONSQL_APPFVT_01_tblFillRateFechas[[#This Row],[Cant_Resultante]]/Tabla__192.168.1.8_POSEIDONSQL_APPFVT_01_tblFillRateFechas[[#This Row],[cant_order]])*100</f>
        <v>100</v>
      </c>
      <c r="Q9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6" s="1">
        <f>+IF(Tabla__192.168.1.8_POSEIDONSQL_APPFVT_01_tblFillRateFechas[[#This Row],[cant_order]]&gt;0,1,0)</f>
        <v>1</v>
      </c>
      <c r="V926" s="1">
        <f>+IF(Tabla__192.168.1.8_POSEIDONSQL_APPFVT_01_tblFillRateFechas[[#This Row],[Resultado]]=1,1,0)</f>
        <v>1</v>
      </c>
      <c r="W926" s="1" t="str">
        <f>+Tabla__192.168.1.8_POSEIDONSQL_APPFVT_01_tblFillRateFechas[[#This Row],[con_ocnumero]]&amp;Tabla__192.168.1.8_POSEIDONSQL_APPFVT_01_tblFillRateFechas[[#This Row],[con_codigounico]]</f>
        <v>5106348-</v>
      </c>
      <c r="X9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7" spans="1:24" x14ac:dyDescent="0.25">
      <c r="A927">
        <v>24</v>
      </c>
      <c r="B927" t="s">
        <v>54</v>
      </c>
      <c r="C927">
        <v>5106558</v>
      </c>
      <c r="D927" t="s">
        <v>415</v>
      </c>
      <c r="E927" t="s">
        <v>420</v>
      </c>
      <c r="F927" t="s">
        <v>422</v>
      </c>
      <c r="G927">
        <v>1</v>
      </c>
      <c r="H927">
        <v>1</v>
      </c>
      <c r="I927" t="s">
        <v>419</v>
      </c>
      <c r="J927">
        <v>0</v>
      </c>
      <c r="K927" t="s">
        <v>49</v>
      </c>
      <c r="L927" s="1">
        <f>+Tabla__192.168.1.8_POSEIDONSQL_APPFVT_01_tblFillRateFechas[[#This Row],[emb_cantidad]]-Tabla__192.168.1.8_POSEIDONSQL_APPFVT_01_tblFillRateFechas[[#This Row],[dev_cantidad]]</f>
        <v>1</v>
      </c>
      <c r="M927" s="1">
        <f>+IF(Tabla__192.168.1.8_POSEIDONSQL_APPFVT_01_tblFillRateFechas[[#This Row],[Cant_Resultante]]=Tabla__192.168.1.8_POSEIDONSQL_APPFVT_01_tblFillRateFechas[[#This Row],[cant_order]],1,0)</f>
        <v>1</v>
      </c>
      <c r="N9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7" s="1">
        <f>+IF(AND(Tabla__192.168.1.8_POSEIDONSQL_APPFVT_01_tblFillRateFechas[[#This Row],[Valida Cant]]=1,Tabla__192.168.1.8_POSEIDONSQL_APPFVT_01_tblFillRateFechas[[#This Row],[Valida Fec]]=1),1,0)</f>
        <v>1</v>
      </c>
      <c r="P927" s="1">
        <f>+(Tabla__192.168.1.8_POSEIDONSQL_APPFVT_01_tblFillRateFechas[[#This Row],[Cant_Resultante]]/Tabla__192.168.1.8_POSEIDONSQL_APPFVT_01_tblFillRateFechas[[#This Row],[cant_order]])*100</f>
        <v>100</v>
      </c>
      <c r="Q9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7" s="1">
        <f>+IF(Tabla__192.168.1.8_POSEIDONSQL_APPFVT_01_tblFillRateFechas[[#This Row],[cant_order]]&gt;0,1,0)</f>
        <v>1</v>
      </c>
      <c r="V927" s="1">
        <f>+IF(Tabla__192.168.1.8_POSEIDONSQL_APPFVT_01_tblFillRateFechas[[#This Row],[Resultado]]=1,1,0)</f>
        <v>1</v>
      </c>
      <c r="W927" s="1" t="str">
        <f>+Tabla__192.168.1.8_POSEIDONSQL_APPFVT_01_tblFillRateFechas[[#This Row],[con_ocnumero]]&amp;Tabla__192.168.1.8_POSEIDONSQL_APPFVT_01_tblFillRateFechas[[#This Row],[con_codigounico]]</f>
        <v>5106558-</v>
      </c>
      <c r="X9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8" spans="1:24" x14ac:dyDescent="0.25">
      <c r="A928">
        <v>3</v>
      </c>
      <c r="B928" t="s">
        <v>50</v>
      </c>
      <c r="C928">
        <v>50052132</v>
      </c>
      <c r="D928" t="s">
        <v>1969</v>
      </c>
      <c r="E928" t="s">
        <v>415</v>
      </c>
      <c r="F928" t="s">
        <v>163</v>
      </c>
      <c r="G928">
        <v>1</v>
      </c>
      <c r="H928">
        <v>2</v>
      </c>
      <c r="I928" t="s">
        <v>415</v>
      </c>
      <c r="J928">
        <v>1</v>
      </c>
      <c r="K928" t="s">
        <v>1326</v>
      </c>
      <c r="L928" s="1">
        <f>+Tabla__192.168.1.8_POSEIDONSQL_APPFVT_01_tblFillRateFechas[[#This Row],[emb_cantidad]]-Tabla__192.168.1.8_POSEIDONSQL_APPFVT_01_tblFillRateFechas[[#This Row],[dev_cantidad]]</f>
        <v>1</v>
      </c>
      <c r="M928" s="1">
        <f>+IF(Tabla__192.168.1.8_POSEIDONSQL_APPFVT_01_tblFillRateFechas[[#This Row],[Cant_Resultante]]=Tabla__192.168.1.8_POSEIDONSQL_APPFVT_01_tblFillRateFechas[[#This Row],[cant_order]],1,0)</f>
        <v>1</v>
      </c>
      <c r="N9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8" s="1">
        <f>+IF(AND(Tabla__192.168.1.8_POSEIDONSQL_APPFVT_01_tblFillRateFechas[[#This Row],[Valida Cant]]=1,Tabla__192.168.1.8_POSEIDONSQL_APPFVT_01_tblFillRateFechas[[#This Row],[Valida Fec]]=1),1,0)</f>
        <v>1</v>
      </c>
      <c r="P928" s="1">
        <f>+(Tabla__192.168.1.8_POSEIDONSQL_APPFVT_01_tblFillRateFechas[[#This Row],[Cant_Resultante]]/Tabla__192.168.1.8_POSEIDONSQL_APPFVT_01_tblFillRateFechas[[#This Row],[cant_order]])*100</f>
        <v>100</v>
      </c>
      <c r="Q9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8" s="1">
        <f>+IF(Tabla__192.168.1.8_POSEIDONSQL_APPFVT_01_tblFillRateFechas[[#This Row],[cant_order]]&gt;0,1,0)</f>
        <v>1</v>
      </c>
      <c r="V928" s="1">
        <f>+IF(Tabla__192.168.1.8_POSEIDONSQL_APPFVT_01_tblFillRateFechas[[#This Row],[Resultado]]=1,1,0)</f>
        <v>1</v>
      </c>
      <c r="W928" s="1" t="str">
        <f>+Tabla__192.168.1.8_POSEIDONSQL_APPFVT_01_tblFillRateFechas[[#This Row],[con_ocnumero]]&amp;Tabla__192.168.1.8_POSEIDONSQL_APPFVT_01_tblFillRateFechas[[#This Row],[con_codigounico]]</f>
        <v>5005213236090240</v>
      </c>
      <c r="X9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29" spans="1:24" x14ac:dyDescent="0.25">
      <c r="A929">
        <v>3</v>
      </c>
      <c r="B929" t="s">
        <v>50</v>
      </c>
      <c r="C929">
        <v>50051498</v>
      </c>
      <c r="D929" t="s">
        <v>1981</v>
      </c>
      <c r="E929" t="s">
        <v>428</v>
      </c>
      <c r="F929" t="s">
        <v>1971</v>
      </c>
      <c r="G929">
        <v>1</v>
      </c>
      <c r="H929">
        <v>1</v>
      </c>
      <c r="I929" t="s">
        <v>162</v>
      </c>
      <c r="J929">
        <v>0</v>
      </c>
      <c r="K929" t="s">
        <v>1130</v>
      </c>
      <c r="L929" s="1">
        <f>+Tabla__192.168.1.8_POSEIDONSQL_APPFVT_01_tblFillRateFechas[[#This Row],[emb_cantidad]]-Tabla__192.168.1.8_POSEIDONSQL_APPFVT_01_tblFillRateFechas[[#This Row],[dev_cantidad]]</f>
        <v>1</v>
      </c>
      <c r="M929" s="1">
        <f>+IF(Tabla__192.168.1.8_POSEIDONSQL_APPFVT_01_tblFillRateFechas[[#This Row],[Cant_Resultante]]=Tabla__192.168.1.8_POSEIDONSQL_APPFVT_01_tblFillRateFechas[[#This Row],[cant_order]],1,0)</f>
        <v>1</v>
      </c>
      <c r="N9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29" s="1">
        <f>+IF(AND(Tabla__192.168.1.8_POSEIDONSQL_APPFVT_01_tblFillRateFechas[[#This Row],[Valida Cant]]=1,Tabla__192.168.1.8_POSEIDONSQL_APPFVT_01_tblFillRateFechas[[#This Row],[Valida Fec]]=1),1,0)</f>
        <v>1</v>
      </c>
      <c r="P929" s="1">
        <f>+(Tabla__192.168.1.8_POSEIDONSQL_APPFVT_01_tblFillRateFechas[[#This Row],[Cant_Resultante]]/Tabla__192.168.1.8_POSEIDONSQL_APPFVT_01_tblFillRateFechas[[#This Row],[cant_order]])*100</f>
        <v>100</v>
      </c>
      <c r="Q9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29" s="1">
        <f>+IF(Tabla__192.168.1.8_POSEIDONSQL_APPFVT_01_tblFillRateFechas[[#This Row],[cant_order]]&gt;0,1,0)</f>
        <v>1</v>
      </c>
      <c r="V929" s="1">
        <f>+IF(Tabla__192.168.1.8_POSEIDONSQL_APPFVT_01_tblFillRateFechas[[#This Row],[Resultado]]=1,1,0)</f>
        <v>1</v>
      </c>
      <c r="W929" s="1" t="str">
        <f>+Tabla__192.168.1.8_POSEIDONSQL_APPFVT_01_tblFillRateFechas[[#This Row],[con_ocnumero]]&amp;Tabla__192.168.1.8_POSEIDONSQL_APPFVT_01_tblFillRateFechas[[#This Row],[con_codigounico]]</f>
        <v>5005149836163999</v>
      </c>
      <c r="X9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0" spans="1:24" x14ac:dyDescent="0.25">
      <c r="A930">
        <v>3</v>
      </c>
      <c r="B930" t="s">
        <v>50</v>
      </c>
      <c r="C930">
        <v>50051991</v>
      </c>
      <c r="D930" t="s">
        <v>162</v>
      </c>
      <c r="E930" t="s">
        <v>416</v>
      </c>
      <c r="F930" t="s">
        <v>160</v>
      </c>
      <c r="G930">
        <v>1</v>
      </c>
      <c r="H930">
        <v>3</v>
      </c>
      <c r="I930" t="s">
        <v>415</v>
      </c>
      <c r="J930">
        <v>2</v>
      </c>
      <c r="K930" t="s">
        <v>1655</v>
      </c>
      <c r="L930" s="1">
        <f>+Tabla__192.168.1.8_POSEIDONSQL_APPFVT_01_tblFillRateFechas[[#This Row],[emb_cantidad]]-Tabla__192.168.1.8_POSEIDONSQL_APPFVT_01_tblFillRateFechas[[#This Row],[dev_cantidad]]</f>
        <v>1</v>
      </c>
      <c r="M930" s="1">
        <f>+IF(Tabla__192.168.1.8_POSEIDONSQL_APPFVT_01_tblFillRateFechas[[#This Row],[Cant_Resultante]]=Tabla__192.168.1.8_POSEIDONSQL_APPFVT_01_tblFillRateFechas[[#This Row],[cant_order]],1,0)</f>
        <v>1</v>
      </c>
      <c r="N9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0" s="1">
        <f>+IF(AND(Tabla__192.168.1.8_POSEIDONSQL_APPFVT_01_tblFillRateFechas[[#This Row],[Valida Cant]]=1,Tabla__192.168.1.8_POSEIDONSQL_APPFVT_01_tblFillRateFechas[[#This Row],[Valida Fec]]=1),1,0)</f>
        <v>1</v>
      </c>
      <c r="P930" s="1">
        <f>+(Tabla__192.168.1.8_POSEIDONSQL_APPFVT_01_tblFillRateFechas[[#This Row],[Cant_Resultante]]/Tabla__192.168.1.8_POSEIDONSQL_APPFVT_01_tblFillRateFechas[[#This Row],[cant_order]])*100</f>
        <v>100</v>
      </c>
      <c r="Q9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0" s="1">
        <f>+IF(Tabla__192.168.1.8_POSEIDONSQL_APPFVT_01_tblFillRateFechas[[#This Row],[cant_order]]&gt;0,1,0)</f>
        <v>1</v>
      </c>
      <c r="V930" s="1">
        <f>+IF(Tabla__192.168.1.8_POSEIDONSQL_APPFVT_01_tblFillRateFechas[[#This Row],[Resultado]]=1,1,0)</f>
        <v>1</v>
      </c>
      <c r="W930" s="1" t="str">
        <f>+Tabla__192.168.1.8_POSEIDONSQL_APPFVT_01_tblFillRateFechas[[#This Row],[con_ocnumero]]&amp;Tabla__192.168.1.8_POSEIDONSQL_APPFVT_01_tblFillRateFechas[[#This Row],[con_codigounico]]</f>
        <v>5005199136164103</v>
      </c>
      <c r="X9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1" spans="1:24" x14ac:dyDescent="0.25">
      <c r="A931">
        <v>3</v>
      </c>
      <c r="B931" t="s">
        <v>50</v>
      </c>
      <c r="C931">
        <v>50052369</v>
      </c>
      <c r="D931" t="s">
        <v>425</v>
      </c>
      <c r="E931" t="s">
        <v>423</v>
      </c>
      <c r="F931" t="s">
        <v>426</v>
      </c>
      <c r="G931">
        <v>1</v>
      </c>
      <c r="H931">
        <v>1</v>
      </c>
      <c r="I931" t="s">
        <v>416</v>
      </c>
      <c r="J931">
        <v>0</v>
      </c>
      <c r="K931" t="s">
        <v>656</v>
      </c>
      <c r="L931" s="1">
        <f>+Tabla__192.168.1.8_POSEIDONSQL_APPFVT_01_tblFillRateFechas[[#This Row],[emb_cantidad]]-Tabla__192.168.1.8_POSEIDONSQL_APPFVT_01_tblFillRateFechas[[#This Row],[dev_cantidad]]</f>
        <v>1</v>
      </c>
      <c r="M931" s="1">
        <f>+IF(Tabla__192.168.1.8_POSEIDONSQL_APPFVT_01_tblFillRateFechas[[#This Row],[Cant_Resultante]]=Tabla__192.168.1.8_POSEIDONSQL_APPFVT_01_tblFillRateFechas[[#This Row],[cant_order]],1,0)</f>
        <v>1</v>
      </c>
      <c r="N9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1" s="1">
        <f>+IF(AND(Tabla__192.168.1.8_POSEIDONSQL_APPFVT_01_tblFillRateFechas[[#This Row],[Valida Cant]]=1,Tabla__192.168.1.8_POSEIDONSQL_APPFVT_01_tblFillRateFechas[[#This Row],[Valida Fec]]=1),1,0)</f>
        <v>1</v>
      </c>
      <c r="P931" s="1">
        <f>+(Tabla__192.168.1.8_POSEIDONSQL_APPFVT_01_tblFillRateFechas[[#This Row],[Cant_Resultante]]/Tabla__192.168.1.8_POSEIDONSQL_APPFVT_01_tblFillRateFechas[[#This Row],[cant_order]])*100</f>
        <v>100</v>
      </c>
      <c r="Q9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1" s="1">
        <f>+IF(Tabla__192.168.1.8_POSEIDONSQL_APPFVT_01_tblFillRateFechas[[#This Row],[cant_order]]&gt;0,1,0)</f>
        <v>1</v>
      </c>
      <c r="V931" s="1">
        <f>+IF(Tabla__192.168.1.8_POSEIDONSQL_APPFVT_01_tblFillRateFechas[[#This Row],[Resultado]]=1,1,0)</f>
        <v>1</v>
      </c>
      <c r="W931" s="1" t="str">
        <f>+Tabla__192.168.1.8_POSEIDONSQL_APPFVT_01_tblFillRateFechas[[#This Row],[con_ocnumero]]&amp;Tabla__192.168.1.8_POSEIDONSQL_APPFVT_01_tblFillRateFechas[[#This Row],[con_codigounico]]</f>
        <v>5005236936164176</v>
      </c>
      <c r="X9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2" spans="1:24" x14ac:dyDescent="0.25">
      <c r="A932">
        <v>3</v>
      </c>
      <c r="B932" t="s">
        <v>50</v>
      </c>
      <c r="C932">
        <v>50051839</v>
      </c>
      <c r="D932" t="s">
        <v>1966</v>
      </c>
      <c r="E932" t="s">
        <v>429</v>
      </c>
      <c r="F932" t="s">
        <v>1963</v>
      </c>
      <c r="G932">
        <v>1</v>
      </c>
      <c r="H932">
        <v>1</v>
      </c>
      <c r="I932" t="s">
        <v>161</v>
      </c>
      <c r="J932">
        <v>0</v>
      </c>
      <c r="K932" t="s">
        <v>548</v>
      </c>
      <c r="L932" s="1">
        <f>+Tabla__192.168.1.8_POSEIDONSQL_APPFVT_01_tblFillRateFechas[[#This Row],[emb_cantidad]]-Tabla__192.168.1.8_POSEIDONSQL_APPFVT_01_tblFillRateFechas[[#This Row],[dev_cantidad]]</f>
        <v>1</v>
      </c>
      <c r="M932" s="1">
        <f>+IF(Tabla__192.168.1.8_POSEIDONSQL_APPFVT_01_tblFillRateFechas[[#This Row],[Cant_Resultante]]=Tabla__192.168.1.8_POSEIDONSQL_APPFVT_01_tblFillRateFechas[[#This Row],[cant_order]],1,0)</f>
        <v>1</v>
      </c>
      <c r="N9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2" s="1">
        <f>+IF(AND(Tabla__192.168.1.8_POSEIDONSQL_APPFVT_01_tblFillRateFechas[[#This Row],[Valida Cant]]=1,Tabla__192.168.1.8_POSEIDONSQL_APPFVT_01_tblFillRateFechas[[#This Row],[Valida Fec]]=1),1,0)</f>
        <v>1</v>
      </c>
      <c r="P932" s="1">
        <f>+(Tabla__192.168.1.8_POSEIDONSQL_APPFVT_01_tblFillRateFechas[[#This Row],[Cant_Resultante]]/Tabla__192.168.1.8_POSEIDONSQL_APPFVT_01_tblFillRateFechas[[#This Row],[cant_order]])*100</f>
        <v>100</v>
      </c>
      <c r="Q9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2" s="1">
        <f>+IF(Tabla__192.168.1.8_POSEIDONSQL_APPFVT_01_tblFillRateFechas[[#This Row],[cant_order]]&gt;0,1,0)</f>
        <v>1</v>
      </c>
      <c r="V932" s="1">
        <f>+IF(Tabla__192.168.1.8_POSEIDONSQL_APPFVT_01_tblFillRateFechas[[#This Row],[Resultado]]=1,1,0)</f>
        <v>1</v>
      </c>
      <c r="W932" s="1" t="str">
        <f>+Tabla__192.168.1.8_POSEIDONSQL_APPFVT_01_tblFillRateFechas[[#This Row],[con_ocnumero]]&amp;Tabla__192.168.1.8_POSEIDONSQL_APPFVT_01_tblFillRateFechas[[#This Row],[con_codigounico]]</f>
        <v>5005183936277470</v>
      </c>
      <c r="X9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3" spans="1:24" x14ac:dyDescent="0.25">
      <c r="A933">
        <v>3</v>
      </c>
      <c r="B933" t="s">
        <v>50</v>
      </c>
      <c r="C933">
        <v>50051889</v>
      </c>
      <c r="D933" t="s">
        <v>1973</v>
      </c>
      <c r="E933" t="s">
        <v>427</v>
      </c>
      <c r="F933" t="s">
        <v>1963</v>
      </c>
      <c r="G933">
        <v>1</v>
      </c>
      <c r="H933">
        <v>1</v>
      </c>
      <c r="I933" t="s">
        <v>161</v>
      </c>
      <c r="J933">
        <v>0</v>
      </c>
      <c r="K933" t="s">
        <v>556</v>
      </c>
      <c r="L933" s="1">
        <f>+Tabla__192.168.1.8_POSEIDONSQL_APPFVT_01_tblFillRateFechas[[#This Row],[emb_cantidad]]-Tabla__192.168.1.8_POSEIDONSQL_APPFVT_01_tblFillRateFechas[[#This Row],[dev_cantidad]]</f>
        <v>1</v>
      </c>
      <c r="M933" s="1">
        <f>+IF(Tabla__192.168.1.8_POSEIDONSQL_APPFVT_01_tblFillRateFechas[[#This Row],[Cant_Resultante]]=Tabla__192.168.1.8_POSEIDONSQL_APPFVT_01_tblFillRateFechas[[#This Row],[cant_order]],1,0)</f>
        <v>1</v>
      </c>
      <c r="N9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3" s="1">
        <f>+IF(AND(Tabla__192.168.1.8_POSEIDONSQL_APPFVT_01_tblFillRateFechas[[#This Row],[Valida Cant]]=1,Tabla__192.168.1.8_POSEIDONSQL_APPFVT_01_tblFillRateFechas[[#This Row],[Valida Fec]]=1),1,0)</f>
        <v>1</v>
      </c>
      <c r="P933" s="1">
        <f>+(Tabla__192.168.1.8_POSEIDONSQL_APPFVT_01_tblFillRateFechas[[#This Row],[Cant_Resultante]]/Tabla__192.168.1.8_POSEIDONSQL_APPFVT_01_tblFillRateFechas[[#This Row],[cant_order]])*100</f>
        <v>100</v>
      </c>
      <c r="Q9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3" s="1">
        <f>+IF(Tabla__192.168.1.8_POSEIDONSQL_APPFVT_01_tblFillRateFechas[[#This Row],[cant_order]]&gt;0,1,0)</f>
        <v>1</v>
      </c>
      <c r="V933" s="1">
        <f>+IF(Tabla__192.168.1.8_POSEIDONSQL_APPFVT_01_tblFillRateFechas[[#This Row],[Resultado]]=1,1,0)</f>
        <v>1</v>
      </c>
      <c r="W933" s="1" t="str">
        <f>+Tabla__192.168.1.8_POSEIDONSQL_APPFVT_01_tblFillRateFechas[[#This Row],[con_ocnumero]]&amp;Tabla__192.168.1.8_POSEIDONSQL_APPFVT_01_tblFillRateFechas[[#This Row],[con_codigounico]]</f>
        <v>5005188936277505</v>
      </c>
      <c r="X9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4" spans="1:24" x14ac:dyDescent="0.25">
      <c r="A934">
        <v>3</v>
      </c>
      <c r="B934" t="s">
        <v>50</v>
      </c>
      <c r="C934">
        <v>50051991</v>
      </c>
      <c r="D934" t="s">
        <v>162</v>
      </c>
      <c r="E934" t="s">
        <v>415</v>
      </c>
      <c r="F934" t="s">
        <v>160</v>
      </c>
      <c r="G934">
        <v>1</v>
      </c>
      <c r="H934">
        <v>3</v>
      </c>
      <c r="I934" t="s">
        <v>415</v>
      </c>
      <c r="J934">
        <v>2</v>
      </c>
      <c r="K934" t="s">
        <v>1651</v>
      </c>
      <c r="L934" s="1">
        <f>+Tabla__192.168.1.8_POSEIDONSQL_APPFVT_01_tblFillRateFechas[[#This Row],[emb_cantidad]]-Tabla__192.168.1.8_POSEIDONSQL_APPFVT_01_tblFillRateFechas[[#This Row],[dev_cantidad]]</f>
        <v>1</v>
      </c>
      <c r="M934" s="1">
        <f>+IF(Tabla__192.168.1.8_POSEIDONSQL_APPFVT_01_tblFillRateFechas[[#This Row],[Cant_Resultante]]=Tabla__192.168.1.8_POSEIDONSQL_APPFVT_01_tblFillRateFechas[[#This Row],[cant_order]],1,0)</f>
        <v>1</v>
      </c>
      <c r="N9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4" s="1">
        <f>+IF(AND(Tabla__192.168.1.8_POSEIDONSQL_APPFVT_01_tblFillRateFechas[[#This Row],[Valida Cant]]=1,Tabla__192.168.1.8_POSEIDONSQL_APPFVT_01_tblFillRateFechas[[#This Row],[Valida Fec]]=1),1,0)</f>
        <v>1</v>
      </c>
      <c r="P934" s="1">
        <f>+(Tabla__192.168.1.8_POSEIDONSQL_APPFVT_01_tblFillRateFechas[[#This Row],[Cant_Resultante]]/Tabla__192.168.1.8_POSEIDONSQL_APPFVT_01_tblFillRateFechas[[#This Row],[cant_order]])*100</f>
        <v>100</v>
      </c>
      <c r="Q9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4" s="1">
        <f>+IF(Tabla__192.168.1.8_POSEIDONSQL_APPFVT_01_tblFillRateFechas[[#This Row],[cant_order]]&gt;0,1,0)</f>
        <v>1</v>
      </c>
      <c r="V934" s="1">
        <f>+IF(Tabla__192.168.1.8_POSEIDONSQL_APPFVT_01_tblFillRateFechas[[#This Row],[Resultado]]=1,1,0)</f>
        <v>1</v>
      </c>
      <c r="W934" s="1" t="str">
        <f>+Tabla__192.168.1.8_POSEIDONSQL_APPFVT_01_tblFillRateFechas[[#This Row],[con_ocnumero]]&amp;Tabla__192.168.1.8_POSEIDONSQL_APPFVT_01_tblFillRateFechas[[#This Row],[con_codigounico]]</f>
        <v>5005199136277538</v>
      </c>
      <c r="X9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5" spans="1:24" x14ac:dyDescent="0.25">
      <c r="A935">
        <v>3</v>
      </c>
      <c r="B935" t="s">
        <v>50</v>
      </c>
      <c r="C935">
        <v>50051311</v>
      </c>
      <c r="D935" t="s">
        <v>1978</v>
      </c>
      <c r="E935" t="s">
        <v>1963</v>
      </c>
      <c r="F935" t="s">
        <v>1979</v>
      </c>
      <c r="G935">
        <v>1</v>
      </c>
      <c r="H935">
        <v>1</v>
      </c>
      <c r="I935" t="s">
        <v>1965</v>
      </c>
      <c r="J935">
        <v>0</v>
      </c>
      <c r="K935" t="s">
        <v>1956</v>
      </c>
      <c r="L935" s="1">
        <f>+Tabla__192.168.1.8_POSEIDONSQL_APPFVT_01_tblFillRateFechas[[#This Row],[emb_cantidad]]-Tabla__192.168.1.8_POSEIDONSQL_APPFVT_01_tblFillRateFechas[[#This Row],[dev_cantidad]]</f>
        <v>1</v>
      </c>
      <c r="M935" s="1">
        <f>+IF(Tabla__192.168.1.8_POSEIDONSQL_APPFVT_01_tblFillRateFechas[[#This Row],[Cant_Resultante]]=Tabla__192.168.1.8_POSEIDONSQL_APPFVT_01_tblFillRateFechas[[#This Row],[cant_order]],1,0)</f>
        <v>1</v>
      </c>
      <c r="N9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5" s="1">
        <f>+IF(AND(Tabla__192.168.1.8_POSEIDONSQL_APPFVT_01_tblFillRateFechas[[#This Row],[Valida Cant]]=1,Tabla__192.168.1.8_POSEIDONSQL_APPFVT_01_tblFillRateFechas[[#This Row],[Valida Fec]]=1),1,0)</f>
        <v>1</v>
      </c>
      <c r="P935" s="1">
        <f>+(Tabla__192.168.1.8_POSEIDONSQL_APPFVT_01_tblFillRateFechas[[#This Row],[Cant_Resultante]]/Tabla__192.168.1.8_POSEIDONSQL_APPFVT_01_tblFillRateFechas[[#This Row],[cant_order]])*100</f>
        <v>100</v>
      </c>
      <c r="Q9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5" s="1">
        <f>+IF(Tabla__192.168.1.8_POSEIDONSQL_APPFVT_01_tblFillRateFechas[[#This Row],[cant_order]]&gt;0,1,0)</f>
        <v>1</v>
      </c>
      <c r="V935" s="1">
        <f>+IF(Tabla__192.168.1.8_POSEIDONSQL_APPFVT_01_tblFillRateFechas[[#This Row],[Resultado]]=1,1,0)</f>
        <v>1</v>
      </c>
      <c r="W935" s="1" t="str">
        <f>+Tabla__192.168.1.8_POSEIDONSQL_APPFVT_01_tblFillRateFechas[[#This Row],[con_ocnumero]]&amp;Tabla__192.168.1.8_POSEIDONSQL_APPFVT_01_tblFillRateFechas[[#This Row],[con_codigounico]]</f>
        <v>5005131136312073</v>
      </c>
      <c r="X9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6" spans="1:24" x14ac:dyDescent="0.25">
      <c r="A936">
        <v>3</v>
      </c>
      <c r="B936" t="s">
        <v>50</v>
      </c>
      <c r="C936">
        <v>50051795</v>
      </c>
      <c r="D936" t="s">
        <v>1962</v>
      </c>
      <c r="E936" t="s">
        <v>163</v>
      </c>
      <c r="F936" t="s">
        <v>1963</v>
      </c>
      <c r="G936">
        <v>1</v>
      </c>
      <c r="H936">
        <v>1</v>
      </c>
      <c r="I936" t="s">
        <v>161</v>
      </c>
      <c r="J936">
        <v>0</v>
      </c>
      <c r="K936" t="s">
        <v>565</v>
      </c>
      <c r="L936" s="1">
        <f>+Tabla__192.168.1.8_POSEIDONSQL_APPFVT_01_tblFillRateFechas[[#This Row],[emb_cantidad]]-Tabla__192.168.1.8_POSEIDONSQL_APPFVT_01_tblFillRateFechas[[#This Row],[dev_cantidad]]</f>
        <v>1</v>
      </c>
      <c r="M936" s="1">
        <f>+IF(Tabla__192.168.1.8_POSEIDONSQL_APPFVT_01_tblFillRateFechas[[#This Row],[Cant_Resultante]]=Tabla__192.168.1.8_POSEIDONSQL_APPFVT_01_tblFillRateFechas[[#This Row],[cant_order]],1,0)</f>
        <v>1</v>
      </c>
      <c r="N9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6" s="1">
        <f>+IF(AND(Tabla__192.168.1.8_POSEIDONSQL_APPFVT_01_tblFillRateFechas[[#This Row],[Valida Cant]]=1,Tabla__192.168.1.8_POSEIDONSQL_APPFVT_01_tblFillRateFechas[[#This Row],[Valida Fec]]=1),1,0)</f>
        <v>1</v>
      </c>
      <c r="P936" s="1">
        <f>+(Tabla__192.168.1.8_POSEIDONSQL_APPFVT_01_tblFillRateFechas[[#This Row],[Cant_Resultante]]/Tabla__192.168.1.8_POSEIDONSQL_APPFVT_01_tblFillRateFechas[[#This Row],[cant_order]])*100</f>
        <v>100</v>
      </c>
      <c r="Q9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6" s="1">
        <f>+IF(Tabla__192.168.1.8_POSEIDONSQL_APPFVT_01_tblFillRateFechas[[#This Row],[cant_order]]&gt;0,1,0)</f>
        <v>1</v>
      </c>
      <c r="V936" s="1">
        <f>+IF(Tabla__192.168.1.8_POSEIDONSQL_APPFVT_01_tblFillRateFechas[[#This Row],[Resultado]]=1,1,0)</f>
        <v>1</v>
      </c>
      <c r="W936" s="1" t="str">
        <f>+Tabla__192.168.1.8_POSEIDONSQL_APPFVT_01_tblFillRateFechas[[#This Row],[con_ocnumero]]&amp;Tabla__192.168.1.8_POSEIDONSQL_APPFVT_01_tblFillRateFechas[[#This Row],[con_codigounico]]</f>
        <v>5005179536312274</v>
      </c>
      <c r="X9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7" spans="1:24" x14ac:dyDescent="0.25">
      <c r="A937">
        <v>3</v>
      </c>
      <c r="B937" t="s">
        <v>50</v>
      </c>
      <c r="C937">
        <v>50051839</v>
      </c>
      <c r="D937" t="s">
        <v>1966</v>
      </c>
      <c r="E937" t="s">
        <v>429</v>
      </c>
      <c r="F937" t="s">
        <v>1963</v>
      </c>
      <c r="G937">
        <v>1</v>
      </c>
      <c r="H937">
        <v>1</v>
      </c>
      <c r="I937" t="s">
        <v>161</v>
      </c>
      <c r="J937">
        <v>0</v>
      </c>
      <c r="K937" t="s">
        <v>550</v>
      </c>
      <c r="L937" s="1">
        <f>+Tabla__192.168.1.8_POSEIDONSQL_APPFVT_01_tblFillRateFechas[[#This Row],[emb_cantidad]]-Tabla__192.168.1.8_POSEIDONSQL_APPFVT_01_tblFillRateFechas[[#This Row],[dev_cantidad]]</f>
        <v>1</v>
      </c>
      <c r="M937" s="1">
        <f>+IF(Tabla__192.168.1.8_POSEIDONSQL_APPFVT_01_tblFillRateFechas[[#This Row],[Cant_Resultante]]=Tabla__192.168.1.8_POSEIDONSQL_APPFVT_01_tblFillRateFechas[[#This Row],[cant_order]],1,0)</f>
        <v>1</v>
      </c>
      <c r="N9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7" s="1">
        <f>+IF(AND(Tabla__192.168.1.8_POSEIDONSQL_APPFVT_01_tblFillRateFechas[[#This Row],[Valida Cant]]=1,Tabla__192.168.1.8_POSEIDONSQL_APPFVT_01_tblFillRateFechas[[#This Row],[Valida Fec]]=1),1,0)</f>
        <v>1</v>
      </c>
      <c r="P937" s="1">
        <f>+(Tabla__192.168.1.8_POSEIDONSQL_APPFVT_01_tblFillRateFechas[[#This Row],[Cant_Resultante]]/Tabla__192.168.1.8_POSEIDONSQL_APPFVT_01_tblFillRateFechas[[#This Row],[cant_order]])*100</f>
        <v>100</v>
      </c>
      <c r="Q9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7" s="1">
        <f>+IF(Tabla__192.168.1.8_POSEIDONSQL_APPFVT_01_tblFillRateFechas[[#This Row],[cant_order]]&gt;0,1,0)</f>
        <v>1</v>
      </c>
      <c r="V937" s="1">
        <f>+IF(Tabla__192.168.1.8_POSEIDONSQL_APPFVT_01_tblFillRateFechas[[#This Row],[Resultado]]=1,1,0)</f>
        <v>1</v>
      </c>
      <c r="W937" s="1" t="str">
        <f>+Tabla__192.168.1.8_POSEIDONSQL_APPFVT_01_tblFillRateFechas[[#This Row],[con_ocnumero]]&amp;Tabla__192.168.1.8_POSEIDONSQL_APPFVT_01_tblFillRateFechas[[#This Row],[con_codigounico]]</f>
        <v>5005183936350450</v>
      </c>
      <c r="X9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8" spans="1:24" x14ac:dyDescent="0.25">
      <c r="A938">
        <v>3</v>
      </c>
      <c r="B938" t="s">
        <v>50</v>
      </c>
      <c r="C938">
        <v>50051260</v>
      </c>
      <c r="D938" t="s">
        <v>1975</v>
      </c>
      <c r="E938" t="s">
        <v>1980</v>
      </c>
      <c r="F938" t="s">
        <v>1978</v>
      </c>
      <c r="G938">
        <v>1</v>
      </c>
      <c r="H938">
        <v>1</v>
      </c>
      <c r="I938" t="s">
        <v>1965</v>
      </c>
      <c r="J938">
        <v>0</v>
      </c>
      <c r="K938" t="s">
        <v>728</v>
      </c>
      <c r="L938" s="1">
        <f>+Tabla__192.168.1.8_POSEIDONSQL_APPFVT_01_tblFillRateFechas[[#This Row],[emb_cantidad]]-Tabla__192.168.1.8_POSEIDONSQL_APPFVT_01_tblFillRateFechas[[#This Row],[dev_cantidad]]</f>
        <v>1</v>
      </c>
      <c r="M938" s="1">
        <f>+IF(Tabla__192.168.1.8_POSEIDONSQL_APPFVT_01_tblFillRateFechas[[#This Row],[Cant_Resultante]]=Tabla__192.168.1.8_POSEIDONSQL_APPFVT_01_tblFillRateFechas[[#This Row],[cant_order]],1,0)</f>
        <v>1</v>
      </c>
      <c r="N9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8" s="1">
        <f>+IF(AND(Tabla__192.168.1.8_POSEIDONSQL_APPFVT_01_tblFillRateFechas[[#This Row],[Valida Cant]]=1,Tabla__192.168.1.8_POSEIDONSQL_APPFVT_01_tblFillRateFechas[[#This Row],[Valida Fec]]=1),1,0)</f>
        <v>1</v>
      </c>
      <c r="P938" s="1">
        <f>+(Tabla__192.168.1.8_POSEIDONSQL_APPFVT_01_tblFillRateFechas[[#This Row],[Cant_Resultante]]/Tabla__192.168.1.8_POSEIDONSQL_APPFVT_01_tblFillRateFechas[[#This Row],[cant_order]])*100</f>
        <v>100</v>
      </c>
      <c r="Q9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8" s="1">
        <f>+IF(Tabla__192.168.1.8_POSEIDONSQL_APPFVT_01_tblFillRateFechas[[#This Row],[cant_order]]&gt;0,1,0)</f>
        <v>1</v>
      </c>
      <c r="V938" s="1">
        <f>+IF(Tabla__192.168.1.8_POSEIDONSQL_APPFVT_01_tblFillRateFechas[[#This Row],[Resultado]]=1,1,0)</f>
        <v>1</v>
      </c>
      <c r="W938" s="1" t="str">
        <f>+Tabla__192.168.1.8_POSEIDONSQL_APPFVT_01_tblFillRateFechas[[#This Row],[con_ocnumero]]&amp;Tabla__192.168.1.8_POSEIDONSQL_APPFVT_01_tblFillRateFechas[[#This Row],[con_codigounico]]</f>
        <v>5005126036356308</v>
      </c>
      <c r="X9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39" spans="1:24" x14ac:dyDescent="0.25">
      <c r="A939">
        <v>3</v>
      </c>
      <c r="B939" t="s">
        <v>50</v>
      </c>
      <c r="C939">
        <v>50052171</v>
      </c>
      <c r="D939" t="s">
        <v>428</v>
      </c>
      <c r="E939" t="s">
        <v>415</v>
      </c>
      <c r="F939" t="s">
        <v>163</v>
      </c>
      <c r="G939">
        <v>1</v>
      </c>
      <c r="H939">
        <v>2</v>
      </c>
      <c r="I939" t="s">
        <v>415</v>
      </c>
      <c r="J939">
        <v>1</v>
      </c>
      <c r="K939" t="s">
        <v>1474</v>
      </c>
      <c r="L939" s="1">
        <f>+Tabla__192.168.1.8_POSEIDONSQL_APPFVT_01_tblFillRateFechas[[#This Row],[emb_cantidad]]-Tabla__192.168.1.8_POSEIDONSQL_APPFVT_01_tblFillRateFechas[[#This Row],[dev_cantidad]]</f>
        <v>1</v>
      </c>
      <c r="M939" s="1">
        <f>+IF(Tabla__192.168.1.8_POSEIDONSQL_APPFVT_01_tblFillRateFechas[[#This Row],[Cant_Resultante]]=Tabla__192.168.1.8_POSEIDONSQL_APPFVT_01_tblFillRateFechas[[#This Row],[cant_order]],1,0)</f>
        <v>1</v>
      </c>
      <c r="N9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39" s="1">
        <f>+IF(AND(Tabla__192.168.1.8_POSEIDONSQL_APPFVT_01_tblFillRateFechas[[#This Row],[Valida Cant]]=1,Tabla__192.168.1.8_POSEIDONSQL_APPFVT_01_tblFillRateFechas[[#This Row],[Valida Fec]]=1),1,0)</f>
        <v>1</v>
      </c>
      <c r="P939" s="1">
        <f>+(Tabla__192.168.1.8_POSEIDONSQL_APPFVT_01_tblFillRateFechas[[#This Row],[Cant_Resultante]]/Tabla__192.168.1.8_POSEIDONSQL_APPFVT_01_tblFillRateFechas[[#This Row],[cant_order]])*100</f>
        <v>100</v>
      </c>
      <c r="Q9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39" s="1">
        <f>+IF(Tabla__192.168.1.8_POSEIDONSQL_APPFVT_01_tblFillRateFechas[[#This Row],[cant_order]]&gt;0,1,0)</f>
        <v>1</v>
      </c>
      <c r="V939" s="1">
        <f>+IF(Tabla__192.168.1.8_POSEIDONSQL_APPFVT_01_tblFillRateFechas[[#This Row],[Resultado]]=1,1,0)</f>
        <v>1</v>
      </c>
      <c r="W939" s="1" t="str">
        <f>+Tabla__192.168.1.8_POSEIDONSQL_APPFVT_01_tblFillRateFechas[[#This Row],[con_ocnumero]]&amp;Tabla__192.168.1.8_POSEIDONSQL_APPFVT_01_tblFillRateFechas[[#This Row],[con_codigounico]]</f>
        <v>5005217136813580</v>
      </c>
      <c r="X9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0" spans="1:24" x14ac:dyDescent="0.25">
      <c r="A940">
        <v>3</v>
      </c>
      <c r="B940" t="s">
        <v>50</v>
      </c>
      <c r="C940">
        <v>50051098</v>
      </c>
      <c r="D940" t="s">
        <v>1972</v>
      </c>
      <c r="E940" t="s">
        <v>1971</v>
      </c>
      <c r="F940" t="s">
        <v>1975</v>
      </c>
      <c r="G940">
        <v>1</v>
      </c>
      <c r="H940">
        <v>1</v>
      </c>
      <c r="I940" t="s">
        <v>1967</v>
      </c>
      <c r="J940">
        <v>0</v>
      </c>
      <c r="K940" t="s">
        <v>712</v>
      </c>
      <c r="L940" s="1">
        <f>+Tabla__192.168.1.8_POSEIDONSQL_APPFVT_01_tblFillRateFechas[[#This Row],[emb_cantidad]]-Tabla__192.168.1.8_POSEIDONSQL_APPFVT_01_tblFillRateFechas[[#This Row],[dev_cantidad]]</f>
        <v>1</v>
      </c>
      <c r="M940" s="1">
        <f>+IF(Tabla__192.168.1.8_POSEIDONSQL_APPFVT_01_tblFillRateFechas[[#This Row],[Cant_Resultante]]=Tabla__192.168.1.8_POSEIDONSQL_APPFVT_01_tblFillRateFechas[[#This Row],[cant_order]],1,0)</f>
        <v>1</v>
      </c>
      <c r="N9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40" s="1">
        <f>+IF(AND(Tabla__192.168.1.8_POSEIDONSQL_APPFVT_01_tblFillRateFechas[[#This Row],[Valida Cant]]=1,Tabla__192.168.1.8_POSEIDONSQL_APPFVT_01_tblFillRateFechas[[#This Row],[Valida Fec]]=1),1,0)</f>
        <v>1</v>
      </c>
      <c r="P940" s="1">
        <f>+(Tabla__192.168.1.8_POSEIDONSQL_APPFVT_01_tblFillRateFechas[[#This Row],[Cant_Resultante]]/Tabla__192.168.1.8_POSEIDONSQL_APPFVT_01_tblFillRateFechas[[#This Row],[cant_order]])*100</f>
        <v>100</v>
      </c>
      <c r="Q9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0" s="1">
        <f>+IF(Tabla__192.168.1.8_POSEIDONSQL_APPFVT_01_tblFillRateFechas[[#This Row],[cant_order]]&gt;0,1,0)</f>
        <v>1</v>
      </c>
      <c r="V940" s="1">
        <f>+IF(Tabla__192.168.1.8_POSEIDONSQL_APPFVT_01_tblFillRateFechas[[#This Row],[Resultado]]=1,1,0)</f>
        <v>1</v>
      </c>
      <c r="W940" s="1" t="str">
        <f>+Tabla__192.168.1.8_POSEIDONSQL_APPFVT_01_tblFillRateFechas[[#This Row],[con_ocnumero]]&amp;Tabla__192.168.1.8_POSEIDONSQL_APPFVT_01_tblFillRateFechas[[#This Row],[con_codigounico]]</f>
        <v>5005109836975661</v>
      </c>
      <c r="X9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1" spans="1:24" x14ac:dyDescent="0.25">
      <c r="A941">
        <v>3</v>
      </c>
      <c r="B941" t="s">
        <v>50</v>
      </c>
      <c r="C941">
        <v>50052369</v>
      </c>
      <c r="D941" t="s">
        <v>425</v>
      </c>
      <c r="E941" t="s">
        <v>419</v>
      </c>
      <c r="F941" t="s">
        <v>426</v>
      </c>
      <c r="G941">
        <v>1</v>
      </c>
      <c r="H941">
        <v>0</v>
      </c>
      <c r="I941" t="s">
        <v>12</v>
      </c>
      <c r="J941">
        <v>0</v>
      </c>
      <c r="K941" t="s">
        <v>1992</v>
      </c>
      <c r="L941" s="1">
        <f>+Tabla__192.168.1.8_POSEIDONSQL_APPFVT_01_tblFillRateFechas[[#This Row],[emb_cantidad]]-Tabla__192.168.1.8_POSEIDONSQL_APPFVT_01_tblFillRateFechas[[#This Row],[dev_cantidad]]</f>
        <v>0</v>
      </c>
      <c r="M941" s="1">
        <f>+IF(Tabla__192.168.1.8_POSEIDONSQL_APPFVT_01_tblFillRateFechas[[#This Row],[Cant_Resultante]]=Tabla__192.168.1.8_POSEIDONSQL_APPFVT_01_tblFillRateFechas[[#This Row],[cant_order]],1,0)</f>
        <v>0</v>
      </c>
      <c r="N9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41" s="1">
        <f>+IF(AND(Tabla__192.168.1.8_POSEIDONSQL_APPFVT_01_tblFillRateFechas[[#This Row],[Valida Cant]]=1,Tabla__192.168.1.8_POSEIDONSQL_APPFVT_01_tblFillRateFechas[[#This Row],[Valida Fec]]=1),1,0)</f>
        <v>0</v>
      </c>
      <c r="P941" s="1">
        <f>+(Tabla__192.168.1.8_POSEIDONSQL_APPFVT_01_tblFillRateFechas[[#This Row],[Cant_Resultante]]/Tabla__192.168.1.8_POSEIDONSQL_APPFVT_01_tblFillRateFechas[[#This Row],[cant_order]])*100</f>
        <v>0</v>
      </c>
      <c r="Q9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941" s="1">
        <f>+IF(Tabla__192.168.1.8_POSEIDONSQL_APPFVT_01_tblFillRateFechas[[#This Row],[cant_order]]&gt;0,1,0)</f>
        <v>1</v>
      </c>
      <c r="V941" s="1">
        <f>+IF(Tabla__192.168.1.8_POSEIDONSQL_APPFVT_01_tblFillRateFechas[[#This Row],[Resultado]]=1,1,0)</f>
        <v>0</v>
      </c>
      <c r="W941" s="1" t="str">
        <f>+Tabla__192.168.1.8_POSEIDONSQL_APPFVT_01_tblFillRateFechas[[#This Row],[con_ocnumero]]&amp;Tabla__192.168.1.8_POSEIDONSQL_APPFVT_01_tblFillRateFechas[[#This Row],[con_codigounico]]</f>
        <v>5005236936978190</v>
      </c>
      <c r="X9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42" spans="1:24" x14ac:dyDescent="0.25">
      <c r="A942">
        <v>3</v>
      </c>
      <c r="B942" t="s">
        <v>50</v>
      </c>
      <c r="C942">
        <v>50052250</v>
      </c>
      <c r="D942" t="s">
        <v>163</v>
      </c>
      <c r="E942" t="s">
        <v>415</v>
      </c>
      <c r="F942" t="s">
        <v>429</v>
      </c>
      <c r="G942">
        <v>1</v>
      </c>
      <c r="H942">
        <v>1</v>
      </c>
      <c r="I942" t="s">
        <v>422</v>
      </c>
      <c r="J942">
        <v>0</v>
      </c>
      <c r="K942" t="s">
        <v>874</v>
      </c>
      <c r="L942" s="1">
        <f>+Tabla__192.168.1.8_POSEIDONSQL_APPFVT_01_tblFillRateFechas[[#This Row],[emb_cantidad]]-Tabla__192.168.1.8_POSEIDONSQL_APPFVT_01_tblFillRateFechas[[#This Row],[dev_cantidad]]</f>
        <v>1</v>
      </c>
      <c r="M942" s="1">
        <f>+IF(Tabla__192.168.1.8_POSEIDONSQL_APPFVT_01_tblFillRateFechas[[#This Row],[Cant_Resultante]]=Tabla__192.168.1.8_POSEIDONSQL_APPFVT_01_tblFillRateFechas[[#This Row],[cant_order]],1,0)</f>
        <v>1</v>
      </c>
      <c r="N9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42" s="1">
        <f>+IF(AND(Tabla__192.168.1.8_POSEIDONSQL_APPFVT_01_tblFillRateFechas[[#This Row],[Valida Cant]]=1,Tabla__192.168.1.8_POSEIDONSQL_APPFVT_01_tblFillRateFechas[[#This Row],[Valida Fec]]=1),1,0)</f>
        <v>0</v>
      </c>
      <c r="P942" s="1">
        <f>+(Tabla__192.168.1.8_POSEIDONSQL_APPFVT_01_tblFillRateFechas[[#This Row],[Cant_Resultante]]/Tabla__192.168.1.8_POSEIDONSQL_APPFVT_01_tblFillRateFechas[[#This Row],[cant_order]])*100</f>
        <v>100</v>
      </c>
      <c r="Q9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2" s="1">
        <f>+IF(Tabla__192.168.1.8_POSEIDONSQL_APPFVT_01_tblFillRateFechas[[#This Row],[cant_order]]&gt;0,1,0)</f>
        <v>1</v>
      </c>
      <c r="V942" s="1">
        <f>+IF(Tabla__192.168.1.8_POSEIDONSQL_APPFVT_01_tblFillRateFechas[[#This Row],[Resultado]]=1,1,0)</f>
        <v>0</v>
      </c>
      <c r="W942" s="1" t="str">
        <f>+Tabla__192.168.1.8_POSEIDONSQL_APPFVT_01_tblFillRateFechas[[#This Row],[con_ocnumero]]&amp;Tabla__192.168.1.8_POSEIDONSQL_APPFVT_01_tblFillRateFechas[[#This Row],[con_codigounico]]</f>
        <v>5005225037190379</v>
      </c>
      <c r="X9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3" spans="1:24" x14ac:dyDescent="0.25">
      <c r="A943">
        <v>3</v>
      </c>
      <c r="B943" t="s">
        <v>50</v>
      </c>
      <c r="C943">
        <v>50051410</v>
      </c>
      <c r="D943" t="s">
        <v>1967</v>
      </c>
      <c r="E943" t="s">
        <v>1966</v>
      </c>
      <c r="F943" t="s">
        <v>1968</v>
      </c>
      <c r="G943">
        <v>1</v>
      </c>
      <c r="H943">
        <v>1</v>
      </c>
      <c r="I943" t="s">
        <v>1965</v>
      </c>
      <c r="J943">
        <v>0</v>
      </c>
      <c r="K943" t="s">
        <v>1949</v>
      </c>
      <c r="L943" s="1">
        <f>+Tabla__192.168.1.8_POSEIDONSQL_APPFVT_01_tblFillRateFechas[[#This Row],[emb_cantidad]]-Tabla__192.168.1.8_POSEIDONSQL_APPFVT_01_tblFillRateFechas[[#This Row],[dev_cantidad]]</f>
        <v>1</v>
      </c>
      <c r="M943" s="1">
        <f>+IF(Tabla__192.168.1.8_POSEIDONSQL_APPFVT_01_tblFillRateFechas[[#This Row],[Cant_Resultante]]=Tabla__192.168.1.8_POSEIDONSQL_APPFVT_01_tblFillRateFechas[[#This Row],[cant_order]],1,0)</f>
        <v>1</v>
      </c>
      <c r="N9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43" s="1">
        <f>+IF(AND(Tabla__192.168.1.8_POSEIDONSQL_APPFVT_01_tblFillRateFechas[[#This Row],[Valida Cant]]=1,Tabla__192.168.1.8_POSEIDONSQL_APPFVT_01_tblFillRateFechas[[#This Row],[Valida Fec]]=1),1,0)</f>
        <v>1</v>
      </c>
      <c r="P943" s="1">
        <f>+(Tabla__192.168.1.8_POSEIDONSQL_APPFVT_01_tblFillRateFechas[[#This Row],[Cant_Resultante]]/Tabla__192.168.1.8_POSEIDONSQL_APPFVT_01_tblFillRateFechas[[#This Row],[cant_order]])*100</f>
        <v>100</v>
      </c>
      <c r="Q9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3" s="1">
        <f>+IF(Tabla__192.168.1.8_POSEIDONSQL_APPFVT_01_tblFillRateFechas[[#This Row],[cant_order]]&gt;0,1,0)</f>
        <v>1</v>
      </c>
      <c r="V943" s="1">
        <f>+IF(Tabla__192.168.1.8_POSEIDONSQL_APPFVT_01_tblFillRateFechas[[#This Row],[Resultado]]=1,1,0)</f>
        <v>1</v>
      </c>
      <c r="W943" s="1" t="str">
        <f>+Tabla__192.168.1.8_POSEIDONSQL_APPFVT_01_tblFillRateFechas[[#This Row],[con_ocnumero]]&amp;Tabla__192.168.1.8_POSEIDONSQL_APPFVT_01_tblFillRateFechas[[#This Row],[con_codigounico]]</f>
        <v>5005141037363725</v>
      </c>
      <c r="X9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4" spans="1:24" x14ac:dyDescent="0.25">
      <c r="A944">
        <v>3</v>
      </c>
      <c r="B944" t="s">
        <v>50</v>
      </c>
      <c r="C944">
        <v>50051498</v>
      </c>
      <c r="D944" t="s">
        <v>1981</v>
      </c>
      <c r="E944" t="s">
        <v>1963</v>
      </c>
      <c r="F944" t="s">
        <v>1971</v>
      </c>
      <c r="G944">
        <v>1</v>
      </c>
      <c r="H944">
        <v>1</v>
      </c>
      <c r="I944" t="s">
        <v>1977</v>
      </c>
      <c r="J944">
        <v>0</v>
      </c>
      <c r="K944" t="s">
        <v>1411</v>
      </c>
      <c r="L944" s="1">
        <f>+Tabla__192.168.1.8_POSEIDONSQL_APPFVT_01_tblFillRateFechas[[#This Row],[emb_cantidad]]-Tabla__192.168.1.8_POSEIDONSQL_APPFVT_01_tblFillRateFechas[[#This Row],[dev_cantidad]]</f>
        <v>1</v>
      </c>
      <c r="M944" s="1">
        <f>+IF(Tabla__192.168.1.8_POSEIDONSQL_APPFVT_01_tblFillRateFechas[[#This Row],[Cant_Resultante]]=Tabla__192.168.1.8_POSEIDONSQL_APPFVT_01_tblFillRateFechas[[#This Row],[cant_order]],1,0)</f>
        <v>1</v>
      </c>
      <c r="N9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44" s="1">
        <f>+IF(AND(Tabla__192.168.1.8_POSEIDONSQL_APPFVT_01_tblFillRateFechas[[#This Row],[Valida Cant]]=1,Tabla__192.168.1.8_POSEIDONSQL_APPFVT_01_tblFillRateFechas[[#This Row],[Valida Fec]]=1),1,0)</f>
        <v>1</v>
      </c>
      <c r="P944" s="1">
        <f>+(Tabla__192.168.1.8_POSEIDONSQL_APPFVT_01_tblFillRateFechas[[#This Row],[Cant_Resultante]]/Tabla__192.168.1.8_POSEIDONSQL_APPFVT_01_tblFillRateFechas[[#This Row],[cant_order]])*100</f>
        <v>100</v>
      </c>
      <c r="Q9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4" s="1">
        <f>+IF(Tabla__192.168.1.8_POSEIDONSQL_APPFVT_01_tblFillRateFechas[[#This Row],[cant_order]]&gt;0,1,0)</f>
        <v>1</v>
      </c>
      <c r="V944" s="1">
        <f>+IF(Tabla__192.168.1.8_POSEIDONSQL_APPFVT_01_tblFillRateFechas[[#This Row],[Resultado]]=1,1,0)</f>
        <v>1</v>
      </c>
      <c r="W944" s="1" t="str">
        <f>+Tabla__192.168.1.8_POSEIDONSQL_APPFVT_01_tblFillRateFechas[[#This Row],[con_ocnumero]]&amp;Tabla__192.168.1.8_POSEIDONSQL_APPFVT_01_tblFillRateFechas[[#This Row],[con_codigounico]]</f>
        <v>5005149837363758</v>
      </c>
      <c r="X9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5" spans="1:24" x14ac:dyDescent="0.25">
      <c r="A945">
        <v>3</v>
      </c>
      <c r="B945" t="s">
        <v>50</v>
      </c>
      <c r="C945">
        <v>50051991</v>
      </c>
      <c r="D945" t="s">
        <v>162</v>
      </c>
      <c r="E945" t="s">
        <v>415</v>
      </c>
      <c r="F945" t="s">
        <v>160</v>
      </c>
      <c r="G945">
        <v>1</v>
      </c>
      <c r="H945">
        <v>3</v>
      </c>
      <c r="I945" t="s">
        <v>415</v>
      </c>
      <c r="J945">
        <v>2</v>
      </c>
      <c r="K945" t="s">
        <v>1652</v>
      </c>
      <c r="L945" s="1">
        <f>+Tabla__192.168.1.8_POSEIDONSQL_APPFVT_01_tblFillRateFechas[[#This Row],[emb_cantidad]]-Tabla__192.168.1.8_POSEIDONSQL_APPFVT_01_tblFillRateFechas[[#This Row],[dev_cantidad]]</f>
        <v>1</v>
      </c>
      <c r="M945" s="1">
        <f>+IF(Tabla__192.168.1.8_POSEIDONSQL_APPFVT_01_tblFillRateFechas[[#This Row],[Cant_Resultante]]=Tabla__192.168.1.8_POSEIDONSQL_APPFVT_01_tblFillRateFechas[[#This Row],[cant_order]],1,0)</f>
        <v>1</v>
      </c>
      <c r="N9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45" s="1">
        <f>+IF(AND(Tabla__192.168.1.8_POSEIDONSQL_APPFVT_01_tblFillRateFechas[[#This Row],[Valida Cant]]=1,Tabla__192.168.1.8_POSEIDONSQL_APPFVT_01_tblFillRateFechas[[#This Row],[Valida Fec]]=1),1,0)</f>
        <v>1</v>
      </c>
      <c r="P945" s="1">
        <f>+(Tabla__192.168.1.8_POSEIDONSQL_APPFVT_01_tblFillRateFechas[[#This Row],[Cant_Resultante]]/Tabla__192.168.1.8_POSEIDONSQL_APPFVT_01_tblFillRateFechas[[#This Row],[cant_order]])*100</f>
        <v>100</v>
      </c>
      <c r="Q9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5" s="1">
        <f>+IF(Tabla__192.168.1.8_POSEIDONSQL_APPFVT_01_tblFillRateFechas[[#This Row],[cant_order]]&gt;0,1,0)</f>
        <v>1</v>
      </c>
      <c r="V945" s="1">
        <f>+IF(Tabla__192.168.1.8_POSEIDONSQL_APPFVT_01_tblFillRateFechas[[#This Row],[Resultado]]=1,1,0)</f>
        <v>1</v>
      </c>
      <c r="W945" s="1" t="str">
        <f>+Tabla__192.168.1.8_POSEIDONSQL_APPFVT_01_tblFillRateFechas[[#This Row],[con_ocnumero]]&amp;Tabla__192.168.1.8_POSEIDONSQL_APPFVT_01_tblFillRateFechas[[#This Row],[con_codigounico]]</f>
        <v>5005199137364090</v>
      </c>
      <c r="X9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6" spans="1:24" x14ac:dyDescent="0.25">
      <c r="A946">
        <v>3</v>
      </c>
      <c r="B946" t="s">
        <v>50</v>
      </c>
      <c r="C946">
        <v>50052132</v>
      </c>
      <c r="D946" t="s">
        <v>1969</v>
      </c>
      <c r="E946" t="s">
        <v>415</v>
      </c>
      <c r="F946" t="s">
        <v>163</v>
      </c>
      <c r="G946">
        <v>1</v>
      </c>
      <c r="H946">
        <v>2</v>
      </c>
      <c r="I946" t="s">
        <v>415</v>
      </c>
      <c r="J946">
        <v>1</v>
      </c>
      <c r="K946" t="s">
        <v>1324</v>
      </c>
      <c r="L946" s="1">
        <f>+Tabla__192.168.1.8_POSEIDONSQL_APPFVT_01_tblFillRateFechas[[#This Row],[emb_cantidad]]-Tabla__192.168.1.8_POSEIDONSQL_APPFVT_01_tblFillRateFechas[[#This Row],[dev_cantidad]]</f>
        <v>1</v>
      </c>
      <c r="M946" s="1">
        <f>+IF(Tabla__192.168.1.8_POSEIDONSQL_APPFVT_01_tblFillRateFechas[[#This Row],[Cant_Resultante]]=Tabla__192.168.1.8_POSEIDONSQL_APPFVT_01_tblFillRateFechas[[#This Row],[cant_order]],1,0)</f>
        <v>1</v>
      </c>
      <c r="N9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46" s="1">
        <f>+IF(AND(Tabla__192.168.1.8_POSEIDONSQL_APPFVT_01_tblFillRateFechas[[#This Row],[Valida Cant]]=1,Tabla__192.168.1.8_POSEIDONSQL_APPFVT_01_tblFillRateFechas[[#This Row],[Valida Fec]]=1),1,0)</f>
        <v>1</v>
      </c>
      <c r="P946" s="1">
        <f>+(Tabla__192.168.1.8_POSEIDONSQL_APPFVT_01_tblFillRateFechas[[#This Row],[Cant_Resultante]]/Tabla__192.168.1.8_POSEIDONSQL_APPFVT_01_tblFillRateFechas[[#This Row],[cant_order]])*100</f>
        <v>100</v>
      </c>
      <c r="Q9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6" s="1">
        <f>+IF(Tabla__192.168.1.8_POSEIDONSQL_APPFVT_01_tblFillRateFechas[[#This Row],[cant_order]]&gt;0,1,0)</f>
        <v>1</v>
      </c>
      <c r="V946" s="1">
        <f>+IF(Tabla__192.168.1.8_POSEIDONSQL_APPFVT_01_tblFillRateFechas[[#This Row],[Resultado]]=1,1,0)</f>
        <v>1</v>
      </c>
      <c r="W946" s="1" t="str">
        <f>+Tabla__192.168.1.8_POSEIDONSQL_APPFVT_01_tblFillRateFechas[[#This Row],[con_ocnumero]]&amp;Tabla__192.168.1.8_POSEIDONSQL_APPFVT_01_tblFillRateFechas[[#This Row],[con_codigounico]]</f>
        <v>5005213237364135</v>
      </c>
      <c r="X9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47" spans="1:24" x14ac:dyDescent="0.25">
      <c r="A947">
        <v>3</v>
      </c>
      <c r="B947" t="s">
        <v>50</v>
      </c>
      <c r="C947">
        <v>50052250</v>
      </c>
      <c r="D947" t="s">
        <v>163</v>
      </c>
      <c r="E947" t="s">
        <v>415</v>
      </c>
      <c r="F947" t="s">
        <v>429</v>
      </c>
      <c r="G947">
        <v>1</v>
      </c>
      <c r="H947">
        <v>0</v>
      </c>
      <c r="I947" t="s">
        <v>12</v>
      </c>
      <c r="J947">
        <v>0</v>
      </c>
      <c r="K947" t="s">
        <v>872</v>
      </c>
      <c r="L947" s="1">
        <f>+Tabla__192.168.1.8_POSEIDONSQL_APPFVT_01_tblFillRateFechas[[#This Row],[emb_cantidad]]-Tabla__192.168.1.8_POSEIDONSQL_APPFVT_01_tblFillRateFechas[[#This Row],[dev_cantidad]]</f>
        <v>0</v>
      </c>
      <c r="M947" s="1">
        <f>+IF(Tabla__192.168.1.8_POSEIDONSQL_APPFVT_01_tblFillRateFechas[[#This Row],[Cant_Resultante]]=Tabla__192.168.1.8_POSEIDONSQL_APPFVT_01_tblFillRateFechas[[#This Row],[cant_order]],1,0)</f>
        <v>0</v>
      </c>
      <c r="N9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47" s="1">
        <f>+IF(AND(Tabla__192.168.1.8_POSEIDONSQL_APPFVT_01_tblFillRateFechas[[#This Row],[Valida Cant]]=1,Tabla__192.168.1.8_POSEIDONSQL_APPFVT_01_tblFillRateFechas[[#This Row],[Valida Fec]]=1),1,0)</f>
        <v>0</v>
      </c>
      <c r="P947" s="1">
        <f>+(Tabla__192.168.1.8_POSEIDONSQL_APPFVT_01_tblFillRateFechas[[#This Row],[Cant_Resultante]]/Tabla__192.168.1.8_POSEIDONSQL_APPFVT_01_tblFillRateFechas[[#This Row],[cant_order]])*100</f>
        <v>0</v>
      </c>
      <c r="Q9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947" s="1">
        <f>+IF(Tabla__192.168.1.8_POSEIDONSQL_APPFVT_01_tblFillRateFechas[[#This Row],[cant_order]]&gt;0,1,0)</f>
        <v>1</v>
      </c>
      <c r="V947" s="1">
        <f>+IF(Tabla__192.168.1.8_POSEIDONSQL_APPFVT_01_tblFillRateFechas[[#This Row],[Resultado]]=1,1,0)</f>
        <v>0</v>
      </c>
      <c r="W947" s="1" t="str">
        <f>+Tabla__192.168.1.8_POSEIDONSQL_APPFVT_01_tblFillRateFechas[[#This Row],[con_ocnumero]]&amp;Tabla__192.168.1.8_POSEIDONSQL_APPFVT_01_tblFillRateFechas[[#This Row],[con_codigounico]]</f>
        <v>5005225037364256</v>
      </c>
      <c r="X9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48" spans="1:24" x14ac:dyDescent="0.25">
      <c r="A948">
        <v>3</v>
      </c>
      <c r="B948" t="s">
        <v>50</v>
      </c>
      <c r="C948">
        <v>50052296</v>
      </c>
      <c r="D948" t="s">
        <v>429</v>
      </c>
      <c r="E948" t="s">
        <v>416</v>
      </c>
      <c r="F948" t="s">
        <v>427</v>
      </c>
      <c r="G948">
        <v>1</v>
      </c>
      <c r="H948">
        <v>0</v>
      </c>
      <c r="I948" t="s">
        <v>12</v>
      </c>
      <c r="J948">
        <v>0</v>
      </c>
      <c r="K948" t="s">
        <v>648</v>
      </c>
      <c r="L948" s="1">
        <f>+Tabla__192.168.1.8_POSEIDONSQL_APPFVT_01_tblFillRateFechas[[#This Row],[emb_cantidad]]-Tabla__192.168.1.8_POSEIDONSQL_APPFVT_01_tblFillRateFechas[[#This Row],[dev_cantidad]]</f>
        <v>0</v>
      </c>
      <c r="M948" s="1">
        <f>+IF(Tabla__192.168.1.8_POSEIDONSQL_APPFVT_01_tblFillRateFechas[[#This Row],[Cant_Resultante]]=Tabla__192.168.1.8_POSEIDONSQL_APPFVT_01_tblFillRateFechas[[#This Row],[cant_order]],1,0)</f>
        <v>0</v>
      </c>
      <c r="N9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48" s="1">
        <f>+IF(AND(Tabla__192.168.1.8_POSEIDONSQL_APPFVT_01_tblFillRateFechas[[#This Row],[Valida Cant]]=1,Tabla__192.168.1.8_POSEIDONSQL_APPFVT_01_tblFillRateFechas[[#This Row],[Valida Fec]]=1),1,0)</f>
        <v>0</v>
      </c>
      <c r="P948" s="1">
        <f>+(Tabla__192.168.1.8_POSEIDONSQL_APPFVT_01_tblFillRateFechas[[#This Row],[Cant_Resultante]]/Tabla__192.168.1.8_POSEIDONSQL_APPFVT_01_tblFillRateFechas[[#This Row],[cant_order]])*100</f>
        <v>0</v>
      </c>
      <c r="Q9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948" s="1">
        <f>+IF(Tabla__192.168.1.8_POSEIDONSQL_APPFVT_01_tblFillRateFechas[[#This Row],[cant_order]]&gt;0,1,0)</f>
        <v>1</v>
      </c>
      <c r="V948" s="1">
        <f>+IF(Tabla__192.168.1.8_POSEIDONSQL_APPFVT_01_tblFillRateFechas[[#This Row],[Resultado]]=1,1,0)</f>
        <v>0</v>
      </c>
      <c r="W948" s="1" t="str">
        <f>+Tabla__192.168.1.8_POSEIDONSQL_APPFVT_01_tblFillRateFechas[[#This Row],[con_ocnumero]]&amp;Tabla__192.168.1.8_POSEIDONSQL_APPFVT_01_tblFillRateFechas[[#This Row],[con_codigounico]]</f>
        <v>5005229637364272</v>
      </c>
      <c r="X9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49" spans="1:24" x14ac:dyDescent="0.25">
      <c r="A949">
        <v>3</v>
      </c>
      <c r="B949" t="s">
        <v>50</v>
      </c>
      <c r="C949">
        <v>50052296</v>
      </c>
      <c r="D949" t="s">
        <v>429</v>
      </c>
      <c r="E949" t="s">
        <v>416</v>
      </c>
      <c r="F949" t="s">
        <v>427</v>
      </c>
      <c r="G949">
        <v>1</v>
      </c>
      <c r="H949">
        <v>1</v>
      </c>
      <c r="I949" t="s">
        <v>422</v>
      </c>
      <c r="J949">
        <v>0</v>
      </c>
      <c r="K949" t="s">
        <v>867</v>
      </c>
      <c r="L949" s="1">
        <f>+Tabla__192.168.1.8_POSEIDONSQL_APPFVT_01_tblFillRateFechas[[#This Row],[emb_cantidad]]-Tabla__192.168.1.8_POSEIDONSQL_APPFVT_01_tblFillRateFechas[[#This Row],[dev_cantidad]]</f>
        <v>1</v>
      </c>
      <c r="M949" s="1">
        <f>+IF(Tabla__192.168.1.8_POSEIDONSQL_APPFVT_01_tblFillRateFechas[[#This Row],[Cant_Resultante]]=Tabla__192.168.1.8_POSEIDONSQL_APPFVT_01_tblFillRateFechas[[#This Row],[cant_order]],1,0)</f>
        <v>1</v>
      </c>
      <c r="N9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49" s="1">
        <f>+IF(AND(Tabla__192.168.1.8_POSEIDONSQL_APPFVT_01_tblFillRateFechas[[#This Row],[Valida Cant]]=1,Tabla__192.168.1.8_POSEIDONSQL_APPFVT_01_tblFillRateFechas[[#This Row],[Valida Fec]]=1),1,0)</f>
        <v>1</v>
      </c>
      <c r="P949" s="1">
        <f>+(Tabla__192.168.1.8_POSEIDONSQL_APPFVT_01_tblFillRateFechas[[#This Row],[Cant_Resultante]]/Tabla__192.168.1.8_POSEIDONSQL_APPFVT_01_tblFillRateFechas[[#This Row],[cant_order]])*100</f>
        <v>100</v>
      </c>
      <c r="Q9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49" s="1">
        <f>+IF(Tabla__192.168.1.8_POSEIDONSQL_APPFVT_01_tblFillRateFechas[[#This Row],[cant_order]]&gt;0,1,0)</f>
        <v>1</v>
      </c>
      <c r="V949" s="1">
        <f>+IF(Tabla__192.168.1.8_POSEIDONSQL_APPFVT_01_tblFillRateFechas[[#This Row],[Resultado]]=1,1,0)</f>
        <v>1</v>
      </c>
      <c r="W949" s="1" t="str">
        <f>+Tabla__192.168.1.8_POSEIDONSQL_APPFVT_01_tblFillRateFechas[[#This Row],[con_ocnumero]]&amp;Tabla__192.168.1.8_POSEIDONSQL_APPFVT_01_tblFillRateFechas[[#This Row],[con_codigounico]]</f>
        <v>5005229637791438</v>
      </c>
      <c r="X9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0" spans="1:24" x14ac:dyDescent="0.25">
      <c r="A950">
        <v>3</v>
      </c>
      <c r="B950" t="s">
        <v>50</v>
      </c>
      <c r="C950">
        <v>50050997</v>
      </c>
      <c r="D950" t="s">
        <v>12</v>
      </c>
      <c r="E950" t="s">
        <v>1980</v>
      </c>
      <c r="F950" t="s">
        <v>12</v>
      </c>
      <c r="G950">
        <v>1</v>
      </c>
      <c r="H950">
        <v>1</v>
      </c>
      <c r="I950" t="s">
        <v>1967</v>
      </c>
      <c r="J950">
        <v>0</v>
      </c>
      <c r="K950" t="s">
        <v>1770</v>
      </c>
      <c r="L950" s="1">
        <f>+Tabla__192.168.1.8_POSEIDONSQL_APPFVT_01_tblFillRateFechas[[#This Row],[emb_cantidad]]-Tabla__192.168.1.8_POSEIDONSQL_APPFVT_01_tblFillRateFechas[[#This Row],[dev_cantidad]]</f>
        <v>1</v>
      </c>
      <c r="M950" s="1">
        <f>+IF(Tabla__192.168.1.8_POSEIDONSQL_APPFVT_01_tblFillRateFechas[[#This Row],[Cant_Resultante]]=Tabla__192.168.1.8_POSEIDONSQL_APPFVT_01_tblFillRateFechas[[#This Row],[cant_order]],1,0)</f>
        <v>1</v>
      </c>
      <c r="N9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0" s="1">
        <f>+IF(AND(Tabla__192.168.1.8_POSEIDONSQL_APPFVT_01_tblFillRateFechas[[#This Row],[Valida Cant]]=1,Tabla__192.168.1.8_POSEIDONSQL_APPFVT_01_tblFillRateFechas[[#This Row],[Valida Fec]]=1),1,0)</f>
        <v>1</v>
      </c>
      <c r="P950" s="1">
        <f>+(Tabla__192.168.1.8_POSEIDONSQL_APPFVT_01_tblFillRateFechas[[#This Row],[Cant_Resultante]]/Tabla__192.168.1.8_POSEIDONSQL_APPFVT_01_tblFillRateFechas[[#This Row],[cant_order]])*100</f>
        <v>100</v>
      </c>
      <c r="Q9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0" s="1">
        <f>+IF(Tabla__192.168.1.8_POSEIDONSQL_APPFVT_01_tblFillRateFechas[[#This Row],[cant_order]]&gt;0,1,0)</f>
        <v>1</v>
      </c>
      <c r="V950" s="1">
        <f>+IF(Tabla__192.168.1.8_POSEIDONSQL_APPFVT_01_tblFillRateFechas[[#This Row],[Resultado]]=1,1,0)</f>
        <v>1</v>
      </c>
      <c r="W950" s="1" t="str">
        <f>+Tabla__192.168.1.8_POSEIDONSQL_APPFVT_01_tblFillRateFechas[[#This Row],[con_ocnumero]]&amp;Tabla__192.168.1.8_POSEIDONSQL_APPFVT_01_tblFillRateFechas[[#This Row],[con_codigounico]]</f>
        <v>5005099738656597</v>
      </c>
      <c r="X9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1" spans="1:24" x14ac:dyDescent="0.25">
      <c r="A951">
        <v>3</v>
      </c>
      <c r="B951" t="s">
        <v>50</v>
      </c>
      <c r="C951">
        <v>50051047</v>
      </c>
      <c r="D951" t="s">
        <v>12</v>
      </c>
      <c r="E951" t="s">
        <v>1971</v>
      </c>
      <c r="F951" t="s">
        <v>1972</v>
      </c>
      <c r="G951">
        <v>1</v>
      </c>
      <c r="H951">
        <v>1</v>
      </c>
      <c r="I951" t="s">
        <v>1967</v>
      </c>
      <c r="J951">
        <v>0</v>
      </c>
      <c r="K951" t="s">
        <v>443</v>
      </c>
      <c r="L951" s="1">
        <f>+Tabla__192.168.1.8_POSEIDONSQL_APPFVT_01_tblFillRateFechas[[#This Row],[emb_cantidad]]-Tabla__192.168.1.8_POSEIDONSQL_APPFVT_01_tblFillRateFechas[[#This Row],[dev_cantidad]]</f>
        <v>1</v>
      </c>
      <c r="M951" s="1">
        <f>+IF(Tabla__192.168.1.8_POSEIDONSQL_APPFVT_01_tblFillRateFechas[[#This Row],[Cant_Resultante]]=Tabla__192.168.1.8_POSEIDONSQL_APPFVT_01_tblFillRateFechas[[#This Row],[cant_order]],1,0)</f>
        <v>1</v>
      </c>
      <c r="N9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1" s="1">
        <f>+IF(AND(Tabla__192.168.1.8_POSEIDONSQL_APPFVT_01_tblFillRateFechas[[#This Row],[Valida Cant]]=1,Tabla__192.168.1.8_POSEIDONSQL_APPFVT_01_tblFillRateFechas[[#This Row],[Valida Fec]]=1),1,0)</f>
        <v>1</v>
      </c>
      <c r="P951" s="1">
        <f>+(Tabla__192.168.1.8_POSEIDONSQL_APPFVT_01_tblFillRateFechas[[#This Row],[Cant_Resultante]]/Tabla__192.168.1.8_POSEIDONSQL_APPFVT_01_tblFillRateFechas[[#This Row],[cant_order]])*100</f>
        <v>100</v>
      </c>
      <c r="Q9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1" s="1">
        <f>+IF(Tabla__192.168.1.8_POSEIDONSQL_APPFVT_01_tblFillRateFechas[[#This Row],[cant_order]]&gt;0,1,0)</f>
        <v>1</v>
      </c>
      <c r="V951" s="1">
        <f>+IF(Tabla__192.168.1.8_POSEIDONSQL_APPFVT_01_tblFillRateFechas[[#This Row],[Resultado]]=1,1,0)</f>
        <v>1</v>
      </c>
      <c r="W951" s="1" t="str">
        <f>+Tabla__192.168.1.8_POSEIDONSQL_APPFVT_01_tblFillRateFechas[[#This Row],[con_ocnumero]]&amp;Tabla__192.168.1.8_POSEIDONSQL_APPFVT_01_tblFillRateFechas[[#This Row],[con_codigounico]]</f>
        <v>5005104738656919</v>
      </c>
      <c r="X9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2" spans="1:24" x14ac:dyDescent="0.25">
      <c r="A952">
        <v>3</v>
      </c>
      <c r="B952" t="s">
        <v>50</v>
      </c>
      <c r="C952">
        <v>50051097</v>
      </c>
      <c r="D952" t="s">
        <v>1972</v>
      </c>
      <c r="E952" t="s">
        <v>1971</v>
      </c>
      <c r="F952" t="s">
        <v>1975</v>
      </c>
      <c r="G952">
        <v>1</v>
      </c>
      <c r="H952">
        <v>1</v>
      </c>
      <c r="I952" t="s">
        <v>1967</v>
      </c>
      <c r="J952">
        <v>0</v>
      </c>
      <c r="K952" t="s">
        <v>711</v>
      </c>
      <c r="L952" s="1">
        <f>+Tabla__192.168.1.8_POSEIDONSQL_APPFVT_01_tblFillRateFechas[[#This Row],[emb_cantidad]]-Tabla__192.168.1.8_POSEIDONSQL_APPFVT_01_tblFillRateFechas[[#This Row],[dev_cantidad]]</f>
        <v>1</v>
      </c>
      <c r="M952" s="1">
        <f>+IF(Tabla__192.168.1.8_POSEIDONSQL_APPFVT_01_tblFillRateFechas[[#This Row],[Cant_Resultante]]=Tabla__192.168.1.8_POSEIDONSQL_APPFVT_01_tblFillRateFechas[[#This Row],[cant_order]],1,0)</f>
        <v>1</v>
      </c>
      <c r="N9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2" s="1">
        <f>+IF(AND(Tabla__192.168.1.8_POSEIDONSQL_APPFVT_01_tblFillRateFechas[[#This Row],[Valida Cant]]=1,Tabla__192.168.1.8_POSEIDONSQL_APPFVT_01_tblFillRateFechas[[#This Row],[Valida Fec]]=1),1,0)</f>
        <v>1</v>
      </c>
      <c r="P952" s="1">
        <f>+(Tabla__192.168.1.8_POSEIDONSQL_APPFVT_01_tblFillRateFechas[[#This Row],[Cant_Resultante]]/Tabla__192.168.1.8_POSEIDONSQL_APPFVT_01_tblFillRateFechas[[#This Row],[cant_order]])*100</f>
        <v>100</v>
      </c>
      <c r="Q9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2" s="1">
        <f>+IF(Tabla__192.168.1.8_POSEIDONSQL_APPFVT_01_tblFillRateFechas[[#This Row],[cant_order]]&gt;0,1,0)</f>
        <v>1</v>
      </c>
      <c r="V952" s="1">
        <f>+IF(Tabla__192.168.1.8_POSEIDONSQL_APPFVT_01_tblFillRateFechas[[#This Row],[Resultado]]=1,1,0)</f>
        <v>1</v>
      </c>
      <c r="W952" s="1" t="str">
        <f>+Tabla__192.168.1.8_POSEIDONSQL_APPFVT_01_tblFillRateFechas[[#This Row],[con_ocnumero]]&amp;Tabla__192.168.1.8_POSEIDONSQL_APPFVT_01_tblFillRateFechas[[#This Row],[con_codigounico]]</f>
        <v>5005109738657162</v>
      </c>
      <c r="X9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3" spans="1:24" x14ac:dyDescent="0.25">
      <c r="A953">
        <v>3</v>
      </c>
      <c r="B953" t="s">
        <v>50</v>
      </c>
      <c r="C953">
        <v>50051097</v>
      </c>
      <c r="D953" t="s">
        <v>1972</v>
      </c>
      <c r="E953" t="s">
        <v>1980</v>
      </c>
      <c r="F953" t="s">
        <v>1975</v>
      </c>
      <c r="G953">
        <v>1</v>
      </c>
      <c r="H953">
        <v>1</v>
      </c>
      <c r="I953" t="s">
        <v>1965</v>
      </c>
      <c r="J953">
        <v>0</v>
      </c>
      <c r="K953" t="s">
        <v>730</v>
      </c>
      <c r="L953" s="1">
        <f>+Tabla__192.168.1.8_POSEIDONSQL_APPFVT_01_tblFillRateFechas[[#This Row],[emb_cantidad]]-Tabla__192.168.1.8_POSEIDONSQL_APPFVT_01_tblFillRateFechas[[#This Row],[dev_cantidad]]</f>
        <v>1</v>
      </c>
      <c r="M953" s="1">
        <f>+IF(Tabla__192.168.1.8_POSEIDONSQL_APPFVT_01_tblFillRateFechas[[#This Row],[Cant_Resultante]]=Tabla__192.168.1.8_POSEIDONSQL_APPFVT_01_tblFillRateFechas[[#This Row],[cant_order]],1,0)</f>
        <v>1</v>
      </c>
      <c r="N9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3" s="1">
        <f>+IF(AND(Tabla__192.168.1.8_POSEIDONSQL_APPFVT_01_tblFillRateFechas[[#This Row],[Valida Cant]]=1,Tabla__192.168.1.8_POSEIDONSQL_APPFVT_01_tblFillRateFechas[[#This Row],[Valida Fec]]=1),1,0)</f>
        <v>1</v>
      </c>
      <c r="P953" s="1">
        <f>+(Tabla__192.168.1.8_POSEIDONSQL_APPFVT_01_tblFillRateFechas[[#This Row],[Cant_Resultante]]/Tabla__192.168.1.8_POSEIDONSQL_APPFVT_01_tblFillRateFechas[[#This Row],[cant_order]])*100</f>
        <v>100</v>
      </c>
      <c r="Q9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3" s="1">
        <f>+IF(Tabla__192.168.1.8_POSEIDONSQL_APPFVT_01_tblFillRateFechas[[#This Row],[cant_order]]&gt;0,1,0)</f>
        <v>1</v>
      </c>
      <c r="V953" s="1">
        <f>+IF(Tabla__192.168.1.8_POSEIDONSQL_APPFVT_01_tblFillRateFechas[[#This Row],[Resultado]]=1,1,0)</f>
        <v>1</v>
      </c>
      <c r="W953" s="1" t="str">
        <f>+Tabla__192.168.1.8_POSEIDONSQL_APPFVT_01_tblFillRateFechas[[#This Row],[con_ocnumero]]&amp;Tabla__192.168.1.8_POSEIDONSQL_APPFVT_01_tblFillRateFechas[[#This Row],[con_codigounico]]</f>
        <v>5005109738657250</v>
      </c>
      <c r="X9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4" spans="1:24" x14ac:dyDescent="0.25">
      <c r="A954">
        <v>3</v>
      </c>
      <c r="B954" t="s">
        <v>50</v>
      </c>
      <c r="C954">
        <v>50051147</v>
      </c>
      <c r="D954" t="s">
        <v>1976</v>
      </c>
      <c r="E954" t="s">
        <v>1965</v>
      </c>
      <c r="F954" t="s">
        <v>1975</v>
      </c>
      <c r="G954">
        <v>1</v>
      </c>
      <c r="H954">
        <v>1</v>
      </c>
      <c r="I954" t="s">
        <v>1965</v>
      </c>
      <c r="J954">
        <v>0</v>
      </c>
      <c r="K954" t="s">
        <v>1040</v>
      </c>
      <c r="L954" s="1">
        <f>+Tabla__192.168.1.8_POSEIDONSQL_APPFVT_01_tblFillRateFechas[[#This Row],[emb_cantidad]]-Tabla__192.168.1.8_POSEIDONSQL_APPFVT_01_tblFillRateFechas[[#This Row],[dev_cantidad]]</f>
        <v>1</v>
      </c>
      <c r="M954" s="1">
        <f>+IF(Tabla__192.168.1.8_POSEIDONSQL_APPFVT_01_tblFillRateFechas[[#This Row],[Cant_Resultante]]=Tabla__192.168.1.8_POSEIDONSQL_APPFVT_01_tblFillRateFechas[[#This Row],[cant_order]],1,0)</f>
        <v>1</v>
      </c>
      <c r="N9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4" s="1">
        <f>+IF(AND(Tabla__192.168.1.8_POSEIDONSQL_APPFVT_01_tblFillRateFechas[[#This Row],[Valida Cant]]=1,Tabla__192.168.1.8_POSEIDONSQL_APPFVT_01_tblFillRateFechas[[#This Row],[Valida Fec]]=1),1,0)</f>
        <v>1</v>
      </c>
      <c r="P954" s="1">
        <f>+(Tabla__192.168.1.8_POSEIDONSQL_APPFVT_01_tblFillRateFechas[[#This Row],[Cant_Resultante]]/Tabla__192.168.1.8_POSEIDONSQL_APPFVT_01_tblFillRateFechas[[#This Row],[cant_order]])*100</f>
        <v>100</v>
      </c>
      <c r="Q9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4" s="1">
        <f>+IF(Tabla__192.168.1.8_POSEIDONSQL_APPFVT_01_tblFillRateFechas[[#This Row],[cant_order]]&gt;0,1,0)</f>
        <v>1</v>
      </c>
      <c r="V954" s="1">
        <f>+IF(Tabla__192.168.1.8_POSEIDONSQL_APPFVT_01_tblFillRateFechas[[#This Row],[Resultado]]=1,1,0)</f>
        <v>1</v>
      </c>
      <c r="W954" s="1" t="str">
        <f>+Tabla__192.168.1.8_POSEIDONSQL_APPFVT_01_tblFillRateFechas[[#This Row],[con_ocnumero]]&amp;Tabla__192.168.1.8_POSEIDONSQL_APPFVT_01_tblFillRateFechas[[#This Row],[con_codigounico]]</f>
        <v>5005114738657480</v>
      </c>
      <c r="X9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5" spans="1:24" x14ac:dyDescent="0.25">
      <c r="A955">
        <v>3</v>
      </c>
      <c r="B955" t="s">
        <v>50</v>
      </c>
      <c r="C955">
        <v>50051208</v>
      </c>
      <c r="D955" t="s">
        <v>1974</v>
      </c>
      <c r="E955" t="s">
        <v>1965</v>
      </c>
      <c r="F955" t="s">
        <v>1975</v>
      </c>
      <c r="G955">
        <v>1</v>
      </c>
      <c r="H955">
        <v>1</v>
      </c>
      <c r="I955" t="s">
        <v>1965</v>
      </c>
      <c r="J955">
        <v>0</v>
      </c>
      <c r="K955" t="s">
        <v>1044</v>
      </c>
      <c r="L955" s="1">
        <f>+Tabla__192.168.1.8_POSEIDONSQL_APPFVT_01_tblFillRateFechas[[#This Row],[emb_cantidad]]-Tabla__192.168.1.8_POSEIDONSQL_APPFVT_01_tblFillRateFechas[[#This Row],[dev_cantidad]]</f>
        <v>1</v>
      </c>
      <c r="M955" s="1">
        <f>+IF(Tabla__192.168.1.8_POSEIDONSQL_APPFVT_01_tblFillRateFechas[[#This Row],[Cant_Resultante]]=Tabla__192.168.1.8_POSEIDONSQL_APPFVT_01_tblFillRateFechas[[#This Row],[cant_order]],1,0)</f>
        <v>1</v>
      </c>
      <c r="N9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5" s="1">
        <f>+IF(AND(Tabla__192.168.1.8_POSEIDONSQL_APPFVT_01_tblFillRateFechas[[#This Row],[Valida Cant]]=1,Tabla__192.168.1.8_POSEIDONSQL_APPFVT_01_tblFillRateFechas[[#This Row],[Valida Fec]]=1),1,0)</f>
        <v>1</v>
      </c>
      <c r="P955" s="1">
        <f>+(Tabla__192.168.1.8_POSEIDONSQL_APPFVT_01_tblFillRateFechas[[#This Row],[Cant_Resultante]]/Tabla__192.168.1.8_POSEIDONSQL_APPFVT_01_tblFillRateFechas[[#This Row],[cant_order]])*100</f>
        <v>100</v>
      </c>
      <c r="Q9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5" s="1">
        <f>+IF(Tabla__192.168.1.8_POSEIDONSQL_APPFVT_01_tblFillRateFechas[[#This Row],[cant_order]]&gt;0,1,0)</f>
        <v>1</v>
      </c>
      <c r="V955" s="1">
        <f>+IF(Tabla__192.168.1.8_POSEIDONSQL_APPFVT_01_tblFillRateFechas[[#This Row],[Resultado]]=1,1,0)</f>
        <v>1</v>
      </c>
      <c r="W955" s="1" t="str">
        <f>+Tabla__192.168.1.8_POSEIDONSQL_APPFVT_01_tblFillRateFechas[[#This Row],[con_ocnumero]]&amp;Tabla__192.168.1.8_POSEIDONSQL_APPFVT_01_tblFillRateFechas[[#This Row],[con_codigounico]]</f>
        <v>5005120838657980</v>
      </c>
      <c r="X9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6" spans="1:24" x14ac:dyDescent="0.25">
      <c r="A956">
        <v>3</v>
      </c>
      <c r="B956" t="s">
        <v>50</v>
      </c>
      <c r="C956">
        <v>50051208</v>
      </c>
      <c r="D956" t="s">
        <v>1974</v>
      </c>
      <c r="E956" t="s">
        <v>1962</v>
      </c>
      <c r="F956" t="s">
        <v>1975</v>
      </c>
      <c r="G956">
        <v>1</v>
      </c>
      <c r="H956">
        <v>1</v>
      </c>
      <c r="I956" t="s">
        <v>1965</v>
      </c>
      <c r="J956">
        <v>0</v>
      </c>
      <c r="K956" t="s">
        <v>1046</v>
      </c>
      <c r="L956" s="1">
        <f>+Tabla__192.168.1.8_POSEIDONSQL_APPFVT_01_tblFillRateFechas[[#This Row],[emb_cantidad]]-Tabla__192.168.1.8_POSEIDONSQL_APPFVT_01_tblFillRateFechas[[#This Row],[dev_cantidad]]</f>
        <v>1</v>
      </c>
      <c r="M956" s="1">
        <f>+IF(Tabla__192.168.1.8_POSEIDONSQL_APPFVT_01_tblFillRateFechas[[#This Row],[Cant_Resultante]]=Tabla__192.168.1.8_POSEIDONSQL_APPFVT_01_tblFillRateFechas[[#This Row],[cant_order]],1,0)</f>
        <v>1</v>
      </c>
      <c r="N9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6" s="1">
        <f>+IF(AND(Tabla__192.168.1.8_POSEIDONSQL_APPFVT_01_tblFillRateFechas[[#This Row],[Valida Cant]]=1,Tabla__192.168.1.8_POSEIDONSQL_APPFVT_01_tblFillRateFechas[[#This Row],[Valida Fec]]=1),1,0)</f>
        <v>1</v>
      </c>
      <c r="P956" s="1">
        <f>+(Tabla__192.168.1.8_POSEIDONSQL_APPFVT_01_tblFillRateFechas[[#This Row],[Cant_Resultante]]/Tabla__192.168.1.8_POSEIDONSQL_APPFVT_01_tblFillRateFechas[[#This Row],[cant_order]])*100</f>
        <v>100</v>
      </c>
      <c r="Q9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6" s="1">
        <f>+IF(Tabla__192.168.1.8_POSEIDONSQL_APPFVT_01_tblFillRateFechas[[#This Row],[cant_order]]&gt;0,1,0)</f>
        <v>1</v>
      </c>
      <c r="V956" s="1">
        <f>+IF(Tabla__192.168.1.8_POSEIDONSQL_APPFVT_01_tblFillRateFechas[[#This Row],[Resultado]]=1,1,0)</f>
        <v>1</v>
      </c>
      <c r="W956" s="1" t="str">
        <f>+Tabla__192.168.1.8_POSEIDONSQL_APPFVT_01_tblFillRateFechas[[#This Row],[con_ocnumero]]&amp;Tabla__192.168.1.8_POSEIDONSQL_APPFVT_01_tblFillRateFechas[[#This Row],[con_codigounico]]</f>
        <v>5005120838658010</v>
      </c>
      <c r="X9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7" spans="1:24" x14ac:dyDescent="0.25">
      <c r="A957">
        <v>3</v>
      </c>
      <c r="B957" t="s">
        <v>50</v>
      </c>
      <c r="C957">
        <v>50051208</v>
      </c>
      <c r="D957" t="s">
        <v>1974</v>
      </c>
      <c r="E957" t="s">
        <v>1980</v>
      </c>
      <c r="F957" t="s">
        <v>1975</v>
      </c>
      <c r="G957">
        <v>1</v>
      </c>
      <c r="H957">
        <v>1</v>
      </c>
      <c r="I957" t="s">
        <v>1965</v>
      </c>
      <c r="J957">
        <v>0</v>
      </c>
      <c r="K957" t="s">
        <v>1045</v>
      </c>
      <c r="L957" s="1">
        <f>+Tabla__192.168.1.8_POSEIDONSQL_APPFVT_01_tblFillRateFechas[[#This Row],[emb_cantidad]]-Tabla__192.168.1.8_POSEIDONSQL_APPFVT_01_tblFillRateFechas[[#This Row],[dev_cantidad]]</f>
        <v>1</v>
      </c>
      <c r="M957" s="1">
        <f>+IF(Tabla__192.168.1.8_POSEIDONSQL_APPFVT_01_tblFillRateFechas[[#This Row],[Cant_Resultante]]=Tabla__192.168.1.8_POSEIDONSQL_APPFVT_01_tblFillRateFechas[[#This Row],[cant_order]],1,0)</f>
        <v>1</v>
      </c>
      <c r="N9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7" s="1">
        <f>+IF(AND(Tabla__192.168.1.8_POSEIDONSQL_APPFVT_01_tblFillRateFechas[[#This Row],[Valida Cant]]=1,Tabla__192.168.1.8_POSEIDONSQL_APPFVT_01_tblFillRateFechas[[#This Row],[Valida Fec]]=1),1,0)</f>
        <v>1</v>
      </c>
      <c r="P957" s="1">
        <f>+(Tabla__192.168.1.8_POSEIDONSQL_APPFVT_01_tblFillRateFechas[[#This Row],[Cant_Resultante]]/Tabla__192.168.1.8_POSEIDONSQL_APPFVT_01_tblFillRateFechas[[#This Row],[cant_order]])*100</f>
        <v>100</v>
      </c>
      <c r="Q9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7" s="1">
        <f>+IF(Tabla__192.168.1.8_POSEIDONSQL_APPFVT_01_tblFillRateFechas[[#This Row],[cant_order]]&gt;0,1,0)</f>
        <v>1</v>
      </c>
      <c r="V957" s="1">
        <f>+IF(Tabla__192.168.1.8_POSEIDONSQL_APPFVT_01_tblFillRateFechas[[#This Row],[Resultado]]=1,1,0)</f>
        <v>1</v>
      </c>
      <c r="W957" s="1" t="str">
        <f>+Tabla__192.168.1.8_POSEIDONSQL_APPFVT_01_tblFillRateFechas[[#This Row],[con_ocnumero]]&amp;Tabla__192.168.1.8_POSEIDONSQL_APPFVT_01_tblFillRateFechas[[#This Row],[con_codigounico]]</f>
        <v>5005120838658012</v>
      </c>
      <c r="X9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8" spans="1:24" x14ac:dyDescent="0.25">
      <c r="A958">
        <v>3</v>
      </c>
      <c r="B958" t="s">
        <v>50</v>
      </c>
      <c r="C958">
        <v>50051208</v>
      </c>
      <c r="D958" t="s">
        <v>1974</v>
      </c>
      <c r="E958" t="s">
        <v>1962</v>
      </c>
      <c r="F958" t="s">
        <v>1975</v>
      </c>
      <c r="G958">
        <v>1</v>
      </c>
      <c r="H958">
        <v>2</v>
      </c>
      <c r="I958" t="s">
        <v>1977</v>
      </c>
      <c r="J958">
        <v>1</v>
      </c>
      <c r="K958" t="s">
        <v>776</v>
      </c>
      <c r="L958" s="1">
        <f>+Tabla__192.168.1.8_POSEIDONSQL_APPFVT_01_tblFillRateFechas[[#This Row],[emb_cantidad]]-Tabla__192.168.1.8_POSEIDONSQL_APPFVT_01_tblFillRateFechas[[#This Row],[dev_cantidad]]</f>
        <v>1</v>
      </c>
      <c r="M958" s="1">
        <f>+IF(Tabla__192.168.1.8_POSEIDONSQL_APPFVT_01_tblFillRateFechas[[#This Row],[Cant_Resultante]]=Tabla__192.168.1.8_POSEIDONSQL_APPFVT_01_tblFillRateFechas[[#This Row],[cant_order]],1,0)</f>
        <v>1</v>
      </c>
      <c r="N9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8" s="1">
        <f>+IF(AND(Tabla__192.168.1.8_POSEIDONSQL_APPFVT_01_tblFillRateFechas[[#This Row],[Valida Cant]]=1,Tabla__192.168.1.8_POSEIDONSQL_APPFVT_01_tblFillRateFechas[[#This Row],[Valida Fec]]=1),1,0)</f>
        <v>1</v>
      </c>
      <c r="P958" s="1">
        <f>+(Tabla__192.168.1.8_POSEIDONSQL_APPFVT_01_tblFillRateFechas[[#This Row],[Cant_Resultante]]/Tabla__192.168.1.8_POSEIDONSQL_APPFVT_01_tblFillRateFechas[[#This Row],[cant_order]])*100</f>
        <v>100</v>
      </c>
      <c r="Q9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8" s="1">
        <f>+IF(Tabla__192.168.1.8_POSEIDONSQL_APPFVT_01_tblFillRateFechas[[#This Row],[cant_order]]&gt;0,1,0)</f>
        <v>1</v>
      </c>
      <c r="V958" s="1">
        <f>+IF(Tabla__192.168.1.8_POSEIDONSQL_APPFVT_01_tblFillRateFechas[[#This Row],[Resultado]]=1,1,0)</f>
        <v>1</v>
      </c>
      <c r="W958" s="1" t="str">
        <f>+Tabla__192.168.1.8_POSEIDONSQL_APPFVT_01_tblFillRateFechas[[#This Row],[con_ocnumero]]&amp;Tabla__192.168.1.8_POSEIDONSQL_APPFVT_01_tblFillRateFechas[[#This Row],[con_codigounico]]</f>
        <v>5005120838658092</v>
      </c>
      <c r="X9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59" spans="1:24" x14ac:dyDescent="0.25">
      <c r="A959">
        <v>3</v>
      </c>
      <c r="B959" t="s">
        <v>50</v>
      </c>
      <c r="C959">
        <v>50051259</v>
      </c>
      <c r="D959" t="s">
        <v>1975</v>
      </c>
      <c r="E959" t="s">
        <v>1962</v>
      </c>
      <c r="F959" t="s">
        <v>1978</v>
      </c>
      <c r="G959">
        <v>1</v>
      </c>
      <c r="H959">
        <v>1</v>
      </c>
      <c r="I959" t="s">
        <v>1965</v>
      </c>
      <c r="J959">
        <v>0</v>
      </c>
      <c r="K959" t="s">
        <v>727</v>
      </c>
      <c r="L959" s="1">
        <f>+Tabla__192.168.1.8_POSEIDONSQL_APPFVT_01_tblFillRateFechas[[#This Row],[emb_cantidad]]-Tabla__192.168.1.8_POSEIDONSQL_APPFVT_01_tblFillRateFechas[[#This Row],[dev_cantidad]]</f>
        <v>1</v>
      </c>
      <c r="M959" s="1">
        <f>+IF(Tabla__192.168.1.8_POSEIDONSQL_APPFVT_01_tblFillRateFechas[[#This Row],[Cant_Resultante]]=Tabla__192.168.1.8_POSEIDONSQL_APPFVT_01_tblFillRateFechas[[#This Row],[cant_order]],1,0)</f>
        <v>1</v>
      </c>
      <c r="N9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59" s="1">
        <f>+IF(AND(Tabla__192.168.1.8_POSEIDONSQL_APPFVT_01_tblFillRateFechas[[#This Row],[Valida Cant]]=1,Tabla__192.168.1.8_POSEIDONSQL_APPFVT_01_tblFillRateFechas[[#This Row],[Valida Fec]]=1),1,0)</f>
        <v>1</v>
      </c>
      <c r="P959" s="1">
        <f>+(Tabla__192.168.1.8_POSEIDONSQL_APPFVT_01_tblFillRateFechas[[#This Row],[Cant_Resultante]]/Tabla__192.168.1.8_POSEIDONSQL_APPFVT_01_tblFillRateFechas[[#This Row],[cant_order]])*100</f>
        <v>100</v>
      </c>
      <c r="Q9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59" s="1">
        <f>+IF(Tabla__192.168.1.8_POSEIDONSQL_APPFVT_01_tblFillRateFechas[[#This Row],[cant_order]]&gt;0,1,0)</f>
        <v>1</v>
      </c>
      <c r="V959" s="1">
        <f>+IF(Tabla__192.168.1.8_POSEIDONSQL_APPFVT_01_tblFillRateFechas[[#This Row],[Resultado]]=1,1,0)</f>
        <v>1</v>
      </c>
      <c r="W959" s="1" t="str">
        <f>+Tabla__192.168.1.8_POSEIDONSQL_APPFVT_01_tblFillRateFechas[[#This Row],[con_ocnumero]]&amp;Tabla__192.168.1.8_POSEIDONSQL_APPFVT_01_tblFillRateFechas[[#This Row],[con_codigounico]]</f>
        <v>5005125938658258</v>
      </c>
      <c r="X9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0" spans="1:24" x14ac:dyDescent="0.25">
      <c r="A960">
        <v>3</v>
      </c>
      <c r="B960" t="s">
        <v>50</v>
      </c>
      <c r="C960">
        <v>50051259</v>
      </c>
      <c r="D960" t="s">
        <v>1975</v>
      </c>
      <c r="E960" t="s">
        <v>1980</v>
      </c>
      <c r="F960" t="s">
        <v>1978</v>
      </c>
      <c r="G960">
        <v>1</v>
      </c>
      <c r="H960">
        <v>1</v>
      </c>
      <c r="I960" t="s">
        <v>1965</v>
      </c>
      <c r="J960">
        <v>0</v>
      </c>
      <c r="K960" t="s">
        <v>726</v>
      </c>
      <c r="L960" s="1">
        <f>+Tabla__192.168.1.8_POSEIDONSQL_APPFVT_01_tblFillRateFechas[[#This Row],[emb_cantidad]]-Tabla__192.168.1.8_POSEIDONSQL_APPFVT_01_tblFillRateFechas[[#This Row],[dev_cantidad]]</f>
        <v>1</v>
      </c>
      <c r="M960" s="1">
        <f>+IF(Tabla__192.168.1.8_POSEIDONSQL_APPFVT_01_tblFillRateFechas[[#This Row],[Cant_Resultante]]=Tabla__192.168.1.8_POSEIDONSQL_APPFVT_01_tblFillRateFechas[[#This Row],[cant_order]],1,0)</f>
        <v>1</v>
      </c>
      <c r="N9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0" s="1">
        <f>+IF(AND(Tabla__192.168.1.8_POSEIDONSQL_APPFVT_01_tblFillRateFechas[[#This Row],[Valida Cant]]=1,Tabla__192.168.1.8_POSEIDONSQL_APPFVT_01_tblFillRateFechas[[#This Row],[Valida Fec]]=1),1,0)</f>
        <v>1</v>
      </c>
      <c r="P960" s="1">
        <f>+(Tabla__192.168.1.8_POSEIDONSQL_APPFVT_01_tblFillRateFechas[[#This Row],[Cant_Resultante]]/Tabla__192.168.1.8_POSEIDONSQL_APPFVT_01_tblFillRateFechas[[#This Row],[cant_order]])*100</f>
        <v>100</v>
      </c>
      <c r="Q9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0" s="1">
        <f>+IF(Tabla__192.168.1.8_POSEIDONSQL_APPFVT_01_tblFillRateFechas[[#This Row],[cant_order]]&gt;0,1,0)</f>
        <v>1</v>
      </c>
      <c r="V960" s="1">
        <f>+IF(Tabla__192.168.1.8_POSEIDONSQL_APPFVT_01_tblFillRateFechas[[#This Row],[Resultado]]=1,1,0)</f>
        <v>1</v>
      </c>
      <c r="W960" s="1" t="str">
        <f>+Tabla__192.168.1.8_POSEIDONSQL_APPFVT_01_tblFillRateFechas[[#This Row],[con_ocnumero]]&amp;Tabla__192.168.1.8_POSEIDONSQL_APPFVT_01_tblFillRateFechas[[#This Row],[con_codigounico]]</f>
        <v>5005125938658395</v>
      </c>
      <c r="X9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1" spans="1:24" x14ac:dyDescent="0.25">
      <c r="A961">
        <v>3</v>
      </c>
      <c r="B961" t="s">
        <v>50</v>
      </c>
      <c r="C961">
        <v>50051310</v>
      </c>
      <c r="D961" t="s">
        <v>1978</v>
      </c>
      <c r="E961" t="s">
        <v>1963</v>
      </c>
      <c r="F961" t="s">
        <v>1979</v>
      </c>
      <c r="G961">
        <v>1</v>
      </c>
      <c r="H961">
        <v>1</v>
      </c>
      <c r="I961" t="s">
        <v>1965</v>
      </c>
      <c r="J961">
        <v>0</v>
      </c>
      <c r="K961" t="s">
        <v>1953</v>
      </c>
      <c r="L961" s="1">
        <f>+Tabla__192.168.1.8_POSEIDONSQL_APPFVT_01_tblFillRateFechas[[#This Row],[emb_cantidad]]-Tabla__192.168.1.8_POSEIDONSQL_APPFVT_01_tblFillRateFechas[[#This Row],[dev_cantidad]]</f>
        <v>1</v>
      </c>
      <c r="M961" s="1">
        <f>+IF(Tabla__192.168.1.8_POSEIDONSQL_APPFVT_01_tblFillRateFechas[[#This Row],[Cant_Resultante]]=Tabla__192.168.1.8_POSEIDONSQL_APPFVT_01_tblFillRateFechas[[#This Row],[cant_order]],1,0)</f>
        <v>1</v>
      </c>
      <c r="N9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1" s="1">
        <f>+IF(AND(Tabla__192.168.1.8_POSEIDONSQL_APPFVT_01_tblFillRateFechas[[#This Row],[Valida Cant]]=1,Tabla__192.168.1.8_POSEIDONSQL_APPFVT_01_tblFillRateFechas[[#This Row],[Valida Fec]]=1),1,0)</f>
        <v>1</v>
      </c>
      <c r="P961" s="1">
        <f>+(Tabla__192.168.1.8_POSEIDONSQL_APPFVT_01_tblFillRateFechas[[#This Row],[Cant_Resultante]]/Tabla__192.168.1.8_POSEIDONSQL_APPFVT_01_tblFillRateFechas[[#This Row],[cant_order]])*100</f>
        <v>100</v>
      </c>
      <c r="Q9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1" s="1">
        <f>+IF(Tabla__192.168.1.8_POSEIDONSQL_APPFVT_01_tblFillRateFechas[[#This Row],[cant_order]]&gt;0,1,0)</f>
        <v>1</v>
      </c>
      <c r="V961" s="1">
        <f>+IF(Tabla__192.168.1.8_POSEIDONSQL_APPFVT_01_tblFillRateFechas[[#This Row],[Resultado]]=1,1,0)</f>
        <v>1</v>
      </c>
      <c r="W961" s="1" t="str">
        <f>+Tabla__192.168.1.8_POSEIDONSQL_APPFVT_01_tblFillRateFechas[[#This Row],[con_ocnumero]]&amp;Tabla__192.168.1.8_POSEIDONSQL_APPFVT_01_tblFillRateFechas[[#This Row],[con_codigounico]]</f>
        <v>5005131038658843</v>
      </c>
      <c r="X9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2" spans="1:24" x14ac:dyDescent="0.25">
      <c r="A962">
        <v>3</v>
      </c>
      <c r="B962" t="s">
        <v>50</v>
      </c>
      <c r="C962">
        <v>50051310</v>
      </c>
      <c r="D962" t="s">
        <v>1978</v>
      </c>
      <c r="E962" t="s">
        <v>1966</v>
      </c>
      <c r="F962" t="s">
        <v>1979</v>
      </c>
      <c r="G962">
        <v>1</v>
      </c>
      <c r="H962">
        <v>1</v>
      </c>
      <c r="I962" t="s">
        <v>1965</v>
      </c>
      <c r="J962">
        <v>0</v>
      </c>
      <c r="K962" t="s">
        <v>1952</v>
      </c>
      <c r="L962" s="1">
        <f>+Tabla__192.168.1.8_POSEIDONSQL_APPFVT_01_tblFillRateFechas[[#This Row],[emb_cantidad]]-Tabla__192.168.1.8_POSEIDONSQL_APPFVT_01_tblFillRateFechas[[#This Row],[dev_cantidad]]</f>
        <v>1</v>
      </c>
      <c r="M962" s="1">
        <f>+IF(Tabla__192.168.1.8_POSEIDONSQL_APPFVT_01_tblFillRateFechas[[#This Row],[Cant_Resultante]]=Tabla__192.168.1.8_POSEIDONSQL_APPFVT_01_tblFillRateFechas[[#This Row],[cant_order]],1,0)</f>
        <v>1</v>
      </c>
      <c r="N9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2" s="1">
        <f>+IF(AND(Tabla__192.168.1.8_POSEIDONSQL_APPFVT_01_tblFillRateFechas[[#This Row],[Valida Cant]]=1,Tabla__192.168.1.8_POSEIDONSQL_APPFVT_01_tblFillRateFechas[[#This Row],[Valida Fec]]=1),1,0)</f>
        <v>1</v>
      </c>
      <c r="P962" s="1">
        <f>+(Tabla__192.168.1.8_POSEIDONSQL_APPFVT_01_tblFillRateFechas[[#This Row],[Cant_Resultante]]/Tabla__192.168.1.8_POSEIDONSQL_APPFVT_01_tblFillRateFechas[[#This Row],[cant_order]])*100</f>
        <v>100</v>
      </c>
      <c r="Q9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2" s="1">
        <f>+IF(Tabla__192.168.1.8_POSEIDONSQL_APPFVT_01_tblFillRateFechas[[#This Row],[cant_order]]&gt;0,1,0)</f>
        <v>1</v>
      </c>
      <c r="V962" s="1">
        <f>+IF(Tabla__192.168.1.8_POSEIDONSQL_APPFVT_01_tblFillRateFechas[[#This Row],[Resultado]]=1,1,0)</f>
        <v>1</v>
      </c>
      <c r="W962" s="1" t="str">
        <f>+Tabla__192.168.1.8_POSEIDONSQL_APPFVT_01_tblFillRateFechas[[#This Row],[con_ocnumero]]&amp;Tabla__192.168.1.8_POSEIDONSQL_APPFVT_01_tblFillRateFechas[[#This Row],[con_codigounico]]</f>
        <v>5005131038658853</v>
      </c>
      <c r="X9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3" spans="1:24" x14ac:dyDescent="0.25">
      <c r="A963">
        <v>3</v>
      </c>
      <c r="B963" t="s">
        <v>50</v>
      </c>
      <c r="C963">
        <v>50051361</v>
      </c>
      <c r="D963" t="s">
        <v>1979</v>
      </c>
      <c r="E963" t="s">
        <v>1962</v>
      </c>
      <c r="F963" t="s">
        <v>1967</v>
      </c>
      <c r="G963">
        <v>1</v>
      </c>
      <c r="H963">
        <v>1</v>
      </c>
      <c r="I963" t="s">
        <v>1965</v>
      </c>
      <c r="J963">
        <v>0</v>
      </c>
      <c r="K963" t="s">
        <v>1957</v>
      </c>
      <c r="L963" s="1">
        <f>+Tabla__192.168.1.8_POSEIDONSQL_APPFVT_01_tblFillRateFechas[[#This Row],[emb_cantidad]]-Tabla__192.168.1.8_POSEIDONSQL_APPFVT_01_tblFillRateFechas[[#This Row],[dev_cantidad]]</f>
        <v>1</v>
      </c>
      <c r="M963" s="1">
        <f>+IF(Tabla__192.168.1.8_POSEIDONSQL_APPFVT_01_tblFillRateFechas[[#This Row],[Cant_Resultante]]=Tabla__192.168.1.8_POSEIDONSQL_APPFVT_01_tblFillRateFechas[[#This Row],[cant_order]],1,0)</f>
        <v>1</v>
      </c>
      <c r="N9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3" s="1">
        <f>+IF(AND(Tabla__192.168.1.8_POSEIDONSQL_APPFVT_01_tblFillRateFechas[[#This Row],[Valida Cant]]=1,Tabla__192.168.1.8_POSEIDONSQL_APPFVT_01_tblFillRateFechas[[#This Row],[Valida Fec]]=1),1,0)</f>
        <v>1</v>
      </c>
      <c r="P963" s="1">
        <f>+(Tabla__192.168.1.8_POSEIDONSQL_APPFVT_01_tblFillRateFechas[[#This Row],[Cant_Resultante]]/Tabla__192.168.1.8_POSEIDONSQL_APPFVT_01_tblFillRateFechas[[#This Row],[cant_order]])*100</f>
        <v>100</v>
      </c>
      <c r="Q9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3" s="1">
        <f>+IF(Tabla__192.168.1.8_POSEIDONSQL_APPFVT_01_tblFillRateFechas[[#This Row],[cant_order]]&gt;0,1,0)</f>
        <v>1</v>
      </c>
      <c r="V963" s="1">
        <f>+IF(Tabla__192.168.1.8_POSEIDONSQL_APPFVT_01_tblFillRateFechas[[#This Row],[Resultado]]=1,1,0)</f>
        <v>1</v>
      </c>
      <c r="W963" s="1" t="str">
        <f>+Tabla__192.168.1.8_POSEIDONSQL_APPFVT_01_tblFillRateFechas[[#This Row],[con_ocnumero]]&amp;Tabla__192.168.1.8_POSEIDONSQL_APPFVT_01_tblFillRateFechas[[#This Row],[con_codigounico]]</f>
        <v>5005136138659016</v>
      </c>
      <c r="X9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4" spans="1:24" x14ac:dyDescent="0.25">
      <c r="A964">
        <v>3</v>
      </c>
      <c r="B964" t="s">
        <v>50</v>
      </c>
      <c r="C964">
        <v>50051361</v>
      </c>
      <c r="D964" t="s">
        <v>1979</v>
      </c>
      <c r="E964" t="s">
        <v>1969</v>
      </c>
      <c r="F964" t="s">
        <v>1967</v>
      </c>
      <c r="G964">
        <v>1</v>
      </c>
      <c r="H964">
        <v>1</v>
      </c>
      <c r="I964" t="s">
        <v>1965</v>
      </c>
      <c r="J964">
        <v>0</v>
      </c>
      <c r="K964" t="s">
        <v>1958</v>
      </c>
      <c r="L964" s="1">
        <f>+Tabla__192.168.1.8_POSEIDONSQL_APPFVT_01_tblFillRateFechas[[#This Row],[emb_cantidad]]-Tabla__192.168.1.8_POSEIDONSQL_APPFVT_01_tblFillRateFechas[[#This Row],[dev_cantidad]]</f>
        <v>1</v>
      </c>
      <c r="M964" s="1">
        <f>+IF(Tabla__192.168.1.8_POSEIDONSQL_APPFVT_01_tblFillRateFechas[[#This Row],[Cant_Resultante]]=Tabla__192.168.1.8_POSEIDONSQL_APPFVT_01_tblFillRateFechas[[#This Row],[cant_order]],1,0)</f>
        <v>1</v>
      </c>
      <c r="N9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4" s="1">
        <f>+IF(AND(Tabla__192.168.1.8_POSEIDONSQL_APPFVT_01_tblFillRateFechas[[#This Row],[Valida Cant]]=1,Tabla__192.168.1.8_POSEIDONSQL_APPFVT_01_tblFillRateFechas[[#This Row],[Valida Fec]]=1),1,0)</f>
        <v>1</v>
      </c>
      <c r="P964" s="1">
        <f>+(Tabla__192.168.1.8_POSEIDONSQL_APPFVT_01_tblFillRateFechas[[#This Row],[Cant_Resultante]]/Tabla__192.168.1.8_POSEIDONSQL_APPFVT_01_tblFillRateFechas[[#This Row],[cant_order]])*100</f>
        <v>100</v>
      </c>
      <c r="Q9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4" s="1">
        <f>+IF(Tabla__192.168.1.8_POSEIDONSQL_APPFVT_01_tblFillRateFechas[[#This Row],[cant_order]]&gt;0,1,0)</f>
        <v>1</v>
      </c>
      <c r="V964" s="1">
        <f>+IF(Tabla__192.168.1.8_POSEIDONSQL_APPFVT_01_tblFillRateFechas[[#This Row],[Resultado]]=1,1,0)</f>
        <v>1</v>
      </c>
      <c r="W964" s="1" t="str">
        <f>+Tabla__192.168.1.8_POSEIDONSQL_APPFVT_01_tblFillRateFechas[[#This Row],[con_ocnumero]]&amp;Tabla__192.168.1.8_POSEIDONSQL_APPFVT_01_tblFillRateFechas[[#This Row],[con_codigounico]]</f>
        <v>5005136138659045</v>
      </c>
      <c r="X9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5" spans="1:24" x14ac:dyDescent="0.25">
      <c r="A965">
        <v>3</v>
      </c>
      <c r="B965" t="s">
        <v>50</v>
      </c>
      <c r="C965">
        <v>50051409</v>
      </c>
      <c r="D965" t="s">
        <v>1967</v>
      </c>
      <c r="E965" t="s">
        <v>160</v>
      </c>
      <c r="F965" t="s">
        <v>1968</v>
      </c>
      <c r="G965">
        <v>1</v>
      </c>
      <c r="H965">
        <v>1</v>
      </c>
      <c r="I965" t="s">
        <v>1965</v>
      </c>
      <c r="J965">
        <v>0</v>
      </c>
      <c r="K965" t="s">
        <v>1947</v>
      </c>
      <c r="L965" s="1">
        <f>+Tabla__192.168.1.8_POSEIDONSQL_APPFVT_01_tblFillRateFechas[[#This Row],[emb_cantidad]]-Tabla__192.168.1.8_POSEIDONSQL_APPFVT_01_tblFillRateFechas[[#This Row],[dev_cantidad]]</f>
        <v>1</v>
      </c>
      <c r="M965" s="1">
        <f>+IF(Tabla__192.168.1.8_POSEIDONSQL_APPFVT_01_tblFillRateFechas[[#This Row],[Cant_Resultante]]=Tabla__192.168.1.8_POSEIDONSQL_APPFVT_01_tblFillRateFechas[[#This Row],[cant_order]],1,0)</f>
        <v>1</v>
      </c>
      <c r="N9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5" s="1">
        <f>+IF(AND(Tabla__192.168.1.8_POSEIDONSQL_APPFVT_01_tblFillRateFechas[[#This Row],[Valida Cant]]=1,Tabla__192.168.1.8_POSEIDONSQL_APPFVT_01_tblFillRateFechas[[#This Row],[Valida Fec]]=1),1,0)</f>
        <v>1</v>
      </c>
      <c r="P965" s="1">
        <f>+(Tabla__192.168.1.8_POSEIDONSQL_APPFVT_01_tblFillRateFechas[[#This Row],[Cant_Resultante]]/Tabla__192.168.1.8_POSEIDONSQL_APPFVT_01_tblFillRateFechas[[#This Row],[cant_order]])*100</f>
        <v>100</v>
      </c>
      <c r="Q9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5" s="1">
        <f>+IF(Tabla__192.168.1.8_POSEIDONSQL_APPFVT_01_tblFillRateFechas[[#This Row],[cant_order]]&gt;0,1,0)</f>
        <v>1</v>
      </c>
      <c r="V965" s="1">
        <f>+IF(Tabla__192.168.1.8_POSEIDONSQL_APPFVT_01_tblFillRateFechas[[#This Row],[Resultado]]=1,1,0)</f>
        <v>1</v>
      </c>
      <c r="W965" s="1" t="str">
        <f>+Tabla__192.168.1.8_POSEIDONSQL_APPFVT_01_tblFillRateFechas[[#This Row],[con_ocnumero]]&amp;Tabla__192.168.1.8_POSEIDONSQL_APPFVT_01_tblFillRateFechas[[#This Row],[con_codigounico]]</f>
        <v>5005140938659306</v>
      </c>
      <c r="X9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6" spans="1:24" x14ac:dyDescent="0.25">
      <c r="A966">
        <v>3</v>
      </c>
      <c r="B966" t="s">
        <v>50</v>
      </c>
      <c r="C966">
        <v>50051450</v>
      </c>
      <c r="D966" t="s">
        <v>1968</v>
      </c>
      <c r="E966" t="s">
        <v>162</v>
      </c>
      <c r="F966" t="s">
        <v>1971</v>
      </c>
      <c r="G966">
        <v>1</v>
      </c>
      <c r="H966">
        <v>1</v>
      </c>
      <c r="I966" t="s">
        <v>1977</v>
      </c>
      <c r="J966">
        <v>0</v>
      </c>
      <c r="K966" t="s">
        <v>1568</v>
      </c>
      <c r="L966" s="1">
        <f>+Tabla__192.168.1.8_POSEIDONSQL_APPFVT_01_tblFillRateFechas[[#This Row],[emb_cantidad]]-Tabla__192.168.1.8_POSEIDONSQL_APPFVT_01_tblFillRateFechas[[#This Row],[dev_cantidad]]</f>
        <v>1</v>
      </c>
      <c r="M966" s="1">
        <f>+IF(Tabla__192.168.1.8_POSEIDONSQL_APPFVT_01_tblFillRateFechas[[#This Row],[Cant_Resultante]]=Tabla__192.168.1.8_POSEIDONSQL_APPFVT_01_tblFillRateFechas[[#This Row],[cant_order]],1,0)</f>
        <v>1</v>
      </c>
      <c r="N9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6" s="1">
        <f>+IF(AND(Tabla__192.168.1.8_POSEIDONSQL_APPFVT_01_tblFillRateFechas[[#This Row],[Valida Cant]]=1,Tabla__192.168.1.8_POSEIDONSQL_APPFVT_01_tblFillRateFechas[[#This Row],[Valida Fec]]=1),1,0)</f>
        <v>1</v>
      </c>
      <c r="P966" s="1">
        <f>+(Tabla__192.168.1.8_POSEIDONSQL_APPFVT_01_tblFillRateFechas[[#This Row],[Cant_Resultante]]/Tabla__192.168.1.8_POSEIDONSQL_APPFVT_01_tblFillRateFechas[[#This Row],[cant_order]])*100</f>
        <v>100</v>
      </c>
      <c r="Q9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6" s="1">
        <f>+IF(Tabla__192.168.1.8_POSEIDONSQL_APPFVT_01_tblFillRateFechas[[#This Row],[cant_order]]&gt;0,1,0)</f>
        <v>1</v>
      </c>
      <c r="V966" s="1">
        <f>+IF(Tabla__192.168.1.8_POSEIDONSQL_APPFVT_01_tblFillRateFechas[[#This Row],[Resultado]]=1,1,0)</f>
        <v>1</v>
      </c>
      <c r="W966" s="1" t="str">
        <f>+Tabla__192.168.1.8_POSEIDONSQL_APPFVT_01_tblFillRateFechas[[#This Row],[con_ocnumero]]&amp;Tabla__192.168.1.8_POSEIDONSQL_APPFVT_01_tblFillRateFechas[[#This Row],[con_codigounico]]</f>
        <v>5005145038659572</v>
      </c>
      <c r="X9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7" spans="1:24" x14ac:dyDescent="0.25">
      <c r="A967">
        <v>3</v>
      </c>
      <c r="B967" t="s">
        <v>50</v>
      </c>
      <c r="C967">
        <v>50051450</v>
      </c>
      <c r="D967" t="s">
        <v>1968</v>
      </c>
      <c r="E967" t="s">
        <v>1973</v>
      </c>
      <c r="F967" t="s">
        <v>1971</v>
      </c>
      <c r="G967">
        <v>1</v>
      </c>
      <c r="H967">
        <v>1</v>
      </c>
      <c r="I967" t="s">
        <v>1977</v>
      </c>
      <c r="J967">
        <v>0</v>
      </c>
      <c r="K967" t="s">
        <v>1566</v>
      </c>
      <c r="L967" s="1">
        <f>+Tabla__192.168.1.8_POSEIDONSQL_APPFVT_01_tblFillRateFechas[[#This Row],[emb_cantidad]]-Tabla__192.168.1.8_POSEIDONSQL_APPFVT_01_tblFillRateFechas[[#This Row],[dev_cantidad]]</f>
        <v>1</v>
      </c>
      <c r="M967" s="1">
        <f>+IF(Tabla__192.168.1.8_POSEIDONSQL_APPFVT_01_tblFillRateFechas[[#This Row],[Cant_Resultante]]=Tabla__192.168.1.8_POSEIDONSQL_APPFVT_01_tblFillRateFechas[[#This Row],[cant_order]],1,0)</f>
        <v>1</v>
      </c>
      <c r="N9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7" s="1">
        <f>+IF(AND(Tabla__192.168.1.8_POSEIDONSQL_APPFVT_01_tblFillRateFechas[[#This Row],[Valida Cant]]=1,Tabla__192.168.1.8_POSEIDONSQL_APPFVT_01_tblFillRateFechas[[#This Row],[Valida Fec]]=1),1,0)</f>
        <v>1</v>
      </c>
      <c r="P967" s="1">
        <f>+(Tabla__192.168.1.8_POSEIDONSQL_APPFVT_01_tblFillRateFechas[[#This Row],[Cant_Resultante]]/Tabla__192.168.1.8_POSEIDONSQL_APPFVT_01_tblFillRateFechas[[#This Row],[cant_order]])*100</f>
        <v>100</v>
      </c>
      <c r="Q9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7" s="1">
        <f>+IF(Tabla__192.168.1.8_POSEIDONSQL_APPFVT_01_tblFillRateFechas[[#This Row],[cant_order]]&gt;0,1,0)</f>
        <v>1</v>
      </c>
      <c r="V967" s="1">
        <f>+IF(Tabla__192.168.1.8_POSEIDONSQL_APPFVT_01_tblFillRateFechas[[#This Row],[Resultado]]=1,1,0)</f>
        <v>1</v>
      </c>
      <c r="W967" s="1" t="str">
        <f>+Tabla__192.168.1.8_POSEIDONSQL_APPFVT_01_tblFillRateFechas[[#This Row],[con_ocnumero]]&amp;Tabla__192.168.1.8_POSEIDONSQL_APPFVT_01_tblFillRateFechas[[#This Row],[con_codigounico]]</f>
        <v>5005145038659635</v>
      </c>
      <c r="X9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8" spans="1:24" x14ac:dyDescent="0.25">
      <c r="A968">
        <v>3</v>
      </c>
      <c r="B968" t="s">
        <v>50</v>
      </c>
      <c r="C968">
        <v>50051450</v>
      </c>
      <c r="D968" t="s">
        <v>1968</v>
      </c>
      <c r="E968" t="s">
        <v>162</v>
      </c>
      <c r="F968" t="s">
        <v>1971</v>
      </c>
      <c r="G968">
        <v>1</v>
      </c>
      <c r="H968">
        <v>1</v>
      </c>
      <c r="I968" t="s">
        <v>1977</v>
      </c>
      <c r="J968">
        <v>0</v>
      </c>
      <c r="K968" t="s">
        <v>1567</v>
      </c>
      <c r="L968" s="1">
        <f>+Tabla__192.168.1.8_POSEIDONSQL_APPFVT_01_tblFillRateFechas[[#This Row],[emb_cantidad]]-Tabla__192.168.1.8_POSEIDONSQL_APPFVT_01_tblFillRateFechas[[#This Row],[dev_cantidad]]</f>
        <v>1</v>
      </c>
      <c r="M968" s="1">
        <f>+IF(Tabla__192.168.1.8_POSEIDONSQL_APPFVT_01_tblFillRateFechas[[#This Row],[Cant_Resultante]]=Tabla__192.168.1.8_POSEIDONSQL_APPFVT_01_tblFillRateFechas[[#This Row],[cant_order]],1,0)</f>
        <v>1</v>
      </c>
      <c r="N9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8" s="1">
        <f>+IF(AND(Tabla__192.168.1.8_POSEIDONSQL_APPFVT_01_tblFillRateFechas[[#This Row],[Valida Cant]]=1,Tabla__192.168.1.8_POSEIDONSQL_APPFVT_01_tblFillRateFechas[[#This Row],[Valida Fec]]=1),1,0)</f>
        <v>1</v>
      </c>
      <c r="P968" s="1">
        <f>+(Tabla__192.168.1.8_POSEIDONSQL_APPFVT_01_tblFillRateFechas[[#This Row],[Cant_Resultante]]/Tabla__192.168.1.8_POSEIDONSQL_APPFVT_01_tblFillRateFechas[[#This Row],[cant_order]])*100</f>
        <v>100</v>
      </c>
      <c r="Q9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8" s="1">
        <f>+IF(Tabla__192.168.1.8_POSEIDONSQL_APPFVT_01_tblFillRateFechas[[#This Row],[cant_order]]&gt;0,1,0)</f>
        <v>1</v>
      </c>
      <c r="V968" s="1">
        <f>+IF(Tabla__192.168.1.8_POSEIDONSQL_APPFVT_01_tblFillRateFechas[[#This Row],[Resultado]]=1,1,0)</f>
        <v>1</v>
      </c>
      <c r="W968" s="1" t="str">
        <f>+Tabla__192.168.1.8_POSEIDONSQL_APPFVT_01_tblFillRateFechas[[#This Row],[con_ocnumero]]&amp;Tabla__192.168.1.8_POSEIDONSQL_APPFVT_01_tblFillRateFechas[[#This Row],[con_codigounico]]</f>
        <v>5005145038659684</v>
      </c>
      <c r="X9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69" spans="1:24" x14ac:dyDescent="0.25">
      <c r="A969">
        <v>3</v>
      </c>
      <c r="B969" t="s">
        <v>50</v>
      </c>
      <c r="C969">
        <v>50051450</v>
      </c>
      <c r="D969" t="s">
        <v>1968</v>
      </c>
      <c r="E969" t="s">
        <v>428</v>
      </c>
      <c r="F969" t="s">
        <v>1971</v>
      </c>
      <c r="G969">
        <v>1</v>
      </c>
      <c r="H969">
        <v>1</v>
      </c>
      <c r="I969" t="s">
        <v>162</v>
      </c>
      <c r="J969">
        <v>0</v>
      </c>
      <c r="K969" t="s">
        <v>1139</v>
      </c>
      <c r="L969" s="1">
        <f>+Tabla__192.168.1.8_POSEIDONSQL_APPFVT_01_tblFillRateFechas[[#This Row],[emb_cantidad]]-Tabla__192.168.1.8_POSEIDONSQL_APPFVT_01_tblFillRateFechas[[#This Row],[dev_cantidad]]</f>
        <v>1</v>
      </c>
      <c r="M969" s="1">
        <f>+IF(Tabla__192.168.1.8_POSEIDONSQL_APPFVT_01_tblFillRateFechas[[#This Row],[Cant_Resultante]]=Tabla__192.168.1.8_POSEIDONSQL_APPFVT_01_tblFillRateFechas[[#This Row],[cant_order]],1,0)</f>
        <v>1</v>
      </c>
      <c r="N9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69" s="1">
        <f>+IF(AND(Tabla__192.168.1.8_POSEIDONSQL_APPFVT_01_tblFillRateFechas[[#This Row],[Valida Cant]]=1,Tabla__192.168.1.8_POSEIDONSQL_APPFVT_01_tblFillRateFechas[[#This Row],[Valida Fec]]=1),1,0)</f>
        <v>1</v>
      </c>
      <c r="P969" s="1">
        <f>+(Tabla__192.168.1.8_POSEIDONSQL_APPFVT_01_tblFillRateFechas[[#This Row],[Cant_Resultante]]/Tabla__192.168.1.8_POSEIDONSQL_APPFVT_01_tblFillRateFechas[[#This Row],[cant_order]])*100</f>
        <v>100</v>
      </c>
      <c r="Q9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69" s="1">
        <f>+IF(Tabla__192.168.1.8_POSEIDONSQL_APPFVT_01_tblFillRateFechas[[#This Row],[cant_order]]&gt;0,1,0)</f>
        <v>1</v>
      </c>
      <c r="V969" s="1">
        <f>+IF(Tabla__192.168.1.8_POSEIDONSQL_APPFVT_01_tblFillRateFechas[[#This Row],[Resultado]]=1,1,0)</f>
        <v>1</v>
      </c>
      <c r="W969" s="1" t="str">
        <f>+Tabla__192.168.1.8_POSEIDONSQL_APPFVT_01_tblFillRateFechas[[#This Row],[con_ocnumero]]&amp;Tabla__192.168.1.8_POSEIDONSQL_APPFVT_01_tblFillRateFechas[[#This Row],[con_codigounico]]</f>
        <v>5005145038659723</v>
      </c>
      <c r="X9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0" spans="1:24" x14ac:dyDescent="0.25">
      <c r="A970">
        <v>3</v>
      </c>
      <c r="B970" t="s">
        <v>50</v>
      </c>
      <c r="C970">
        <v>50051497</v>
      </c>
      <c r="D970" t="s">
        <v>1981</v>
      </c>
      <c r="E970" t="s">
        <v>428</v>
      </c>
      <c r="F970" t="s">
        <v>1971</v>
      </c>
      <c r="G970">
        <v>1</v>
      </c>
      <c r="H970">
        <v>1</v>
      </c>
      <c r="I970" t="s">
        <v>162</v>
      </c>
      <c r="J970">
        <v>0</v>
      </c>
      <c r="K970" t="s">
        <v>1141</v>
      </c>
      <c r="L970" s="1">
        <f>+Tabla__192.168.1.8_POSEIDONSQL_APPFVT_01_tblFillRateFechas[[#This Row],[emb_cantidad]]-Tabla__192.168.1.8_POSEIDONSQL_APPFVT_01_tblFillRateFechas[[#This Row],[dev_cantidad]]</f>
        <v>1</v>
      </c>
      <c r="M970" s="1">
        <f>+IF(Tabla__192.168.1.8_POSEIDONSQL_APPFVT_01_tblFillRateFechas[[#This Row],[Cant_Resultante]]=Tabla__192.168.1.8_POSEIDONSQL_APPFVT_01_tblFillRateFechas[[#This Row],[cant_order]],1,0)</f>
        <v>1</v>
      </c>
      <c r="N9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0" s="1">
        <f>+IF(AND(Tabla__192.168.1.8_POSEIDONSQL_APPFVT_01_tblFillRateFechas[[#This Row],[Valida Cant]]=1,Tabla__192.168.1.8_POSEIDONSQL_APPFVT_01_tblFillRateFechas[[#This Row],[Valida Fec]]=1),1,0)</f>
        <v>1</v>
      </c>
      <c r="P970" s="1">
        <f>+(Tabla__192.168.1.8_POSEIDONSQL_APPFVT_01_tblFillRateFechas[[#This Row],[Cant_Resultante]]/Tabla__192.168.1.8_POSEIDONSQL_APPFVT_01_tblFillRateFechas[[#This Row],[cant_order]])*100</f>
        <v>100</v>
      </c>
      <c r="Q9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0" s="1">
        <f>+IF(Tabla__192.168.1.8_POSEIDONSQL_APPFVT_01_tblFillRateFechas[[#This Row],[cant_order]]&gt;0,1,0)</f>
        <v>1</v>
      </c>
      <c r="V970" s="1">
        <f>+IF(Tabla__192.168.1.8_POSEIDONSQL_APPFVT_01_tblFillRateFechas[[#This Row],[Resultado]]=1,1,0)</f>
        <v>1</v>
      </c>
      <c r="W970" s="1" t="str">
        <f>+Tabla__192.168.1.8_POSEIDONSQL_APPFVT_01_tblFillRateFechas[[#This Row],[con_ocnumero]]&amp;Tabla__192.168.1.8_POSEIDONSQL_APPFVT_01_tblFillRateFechas[[#This Row],[con_codigounico]]</f>
        <v>5005149738659804</v>
      </c>
      <c r="X9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1" spans="1:24" x14ac:dyDescent="0.25">
      <c r="A971">
        <v>3</v>
      </c>
      <c r="B971" t="s">
        <v>50</v>
      </c>
      <c r="C971">
        <v>50051549</v>
      </c>
      <c r="D971" t="s">
        <v>1970</v>
      </c>
      <c r="E971" t="s">
        <v>162</v>
      </c>
      <c r="F971" t="s">
        <v>1971</v>
      </c>
      <c r="G971">
        <v>1</v>
      </c>
      <c r="H971">
        <v>1</v>
      </c>
      <c r="I971" t="s">
        <v>1977</v>
      </c>
      <c r="J971">
        <v>0</v>
      </c>
      <c r="K971" t="s">
        <v>1417</v>
      </c>
      <c r="L971" s="1">
        <f>+Tabla__192.168.1.8_POSEIDONSQL_APPFVT_01_tblFillRateFechas[[#This Row],[emb_cantidad]]-Tabla__192.168.1.8_POSEIDONSQL_APPFVT_01_tblFillRateFechas[[#This Row],[dev_cantidad]]</f>
        <v>1</v>
      </c>
      <c r="M971" s="1">
        <f>+IF(Tabla__192.168.1.8_POSEIDONSQL_APPFVT_01_tblFillRateFechas[[#This Row],[Cant_Resultante]]=Tabla__192.168.1.8_POSEIDONSQL_APPFVT_01_tblFillRateFechas[[#This Row],[cant_order]],1,0)</f>
        <v>1</v>
      </c>
      <c r="N9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1" s="1">
        <f>+IF(AND(Tabla__192.168.1.8_POSEIDONSQL_APPFVT_01_tblFillRateFechas[[#This Row],[Valida Cant]]=1,Tabla__192.168.1.8_POSEIDONSQL_APPFVT_01_tblFillRateFechas[[#This Row],[Valida Fec]]=1),1,0)</f>
        <v>1</v>
      </c>
      <c r="P971" s="1">
        <f>+(Tabla__192.168.1.8_POSEIDONSQL_APPFVT_01_tblFillRateFechas[[#This Row],[Cant_Resultante]]/Tabla__192.168.1.8_POSEIDONSQL_APPFVT_01_tblFillRateFechas[[#This Row],[cant_order]])*100</f>
        <v>100</v>
      </c>
      <c r="Q9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1" s="1">
        <f>+IF(Tabla__192.168.1.8_POSEIDONSQL_APPFVT_01_tblFillRateFechas[[#This Row],[cant_order]]&gt;0,1,0)</f>
        <v>1</v>
      </c>
      <c r="V971" s="1">
        <f>+IF(Tabla__192.168.1.8_POSEIDONSQL_APPFVT_01_tblFillRateFechas[[#This Row],[Resultado]]=1,1,0)</f>
        <v>1</v>
      </c>
      <c r="W971" s="1" t="str">
        <f>+Tabla__192.168.1.8_POSEIDONSQL_APPFVT_01_tblFillRateFechas[[#This Row],[con_ocnumero]]&amp;Tabla__192.168.1.8_POSEIDONSQL_APPFVT_01_tblFillRateFechas[[#This Row],[con_codigounico]]</f>
        <v>5005154938660194</v>
      </c>
      <c r="X9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2" spans="1:24" x14ac:dyDescent="0.25">
      <c r="A972">
        <v>3</v>
      </c>
      <c r="B972" t="s">
        <v>50</v>
      </c>
      <c r="C972">
        <v>50051549</v>
      </c>
      <c r="D972" t="s">
        <v>1970</v>
      </c>
      <c r="E972" t="s">
        <v>162</v>
      </c>
      <c r="F972" t="s">
        <v>1971</v>
      </c>
      <c r="G972">
        <v>1</v>
      </c>
      <c r="H972">
        <v>1</v>
      </c>
      <c r="I972" t="s">
        <v>1977</v>
      </c>
      <c r="J972">
        <v>0</v>
      </c>
      <c r="K972" t="s">
        <v>1416</v>
      </c>
      <c r="L972" s="1">
        <f>+Tabla__192.168.1.8_POSEIDONSQL_APPFVT_01_tblFillRateFechas[[#This Row],[emb_cantidad]]-Tabla__192.168.1.8_POSEIDONSQL_APPFVT_01_tblFillRateFechas[[#This Row],[dev_cantidad]]</f>
        <v>1</v>
      </c>
      <c r="M972" s="1">
        <f>+IF(Tabla__192.168.1.8_POSEIDONSQL_APPFVT_01_tblFillRateFechas[[#This Row],[Cant_Resultante]]=Tabla__192.168.1.8_POSEIDONSQL_APPFVT_01_tblFillRateFechas[[#This Row],[cant_order]],1,0)</f>
        <v>1</v>
      </c>
      <c r="N9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2" s="1">
        <f>+IF(AND(Tabla__192.168.1.8_POSEIDONSQL_APPFVT_01_tblFillRateFechas[[#This Row],[Valida Cant]]=1,Tabla__192.168.1.8_POSEIDONSQL_APPFVT_01_tblFillRateFechas[[#This Row],[Valida Fec]]=1),1,0)</f>
        <v>1</v>
      </c>
      <c r="P972" s="1">
        <f>+(Tabla__192.168.1.8_POSEIDONSQL_APPFVT_01_tblFillRateFechas[[#This Row],[Cant_Resultante]]/Tabla__192.168.1.8_POSEIDONSQL_APPFVT_01_tblFillRateFechas[[#This Row],[cant_order]])*100</f>
        <v>100</v>
      </c>
      <c r="Q9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2" s="1">
        <f>+IF(Tabla__192.168.1.8_POSEIDONSQL_APPFVT_01_tblFillRateFechas[[#This Row],[cant_order]]&gt;0,1,0)</f>
        <v>1</v>
      </c>
      <c r="V972" s="1">
        <f>+IF(Tabla__192.168.1.8_POSEIDONSQL_APPFVT_01_tblFillRateFechas[[#This Row],[Resultado]]=1,1,0)</f>
        <v>1</v>
      </c>
      <c r="W972" s="1" t="str">
        <f>+Tabla__192.168.1.8_POSEIDONSQL_APPFVT_01_tblFillRateFechas[[#This Row],[con_ocnumero]]&amp;Tabla__192.168.1.8_POSEIDONSQL_APPFVT_01_tblFillRateFechas[[#This Row],[con_codigounico]]</f>
        <v>5005154938660303</v>
      </c>
      <c r="X9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3" spans="1:24" x14ac:dyDescent="0.25">
      <c r="A973">
        <v>3</v>
      </c>
      <c r="B973" t="s">
        <v>50</v>
      </c>
      <c r="C973">
        <v>50051596</v>
      </c>
      <c r="D973" t="s">
        <v>1971</v>
      </c>
      <c r="E973" t="s">
        <v>161</v>
      </c>
      <c r="F973" t="s">
        <v>1965</v>
      </c>
      <c r="G973">
        <v>1</v>
      </c>
      <c r="H973">
        <v>1</v>
      </c>
      <c r="I973" t="s">
        <v>162</v>
      </c>
      <c r="J973">
        <v>0</v>
      </c>
      <c r="K973" t="s">
        <v>1133</v>
      </c>
      <c r="L973" s="1">
        <f>+Tabla__192.168.1.8_POSEIDONSQL_APPFVT_01_tblFillRateFechas[[#This Row],[emb_cantidad]]-Tabla__192.168.1.8_POSEIDONSQL_APPFVT_01_tblFillRateFechas[[#This Row],[dev_cantidad]]</f>
        <v>1</v>
      </c>
      <c r="M973" s="1">
        <f>+IF(Tabla__192.168.1.8_POSEIDONSQL_APPFVT_01_tblFillRateFechas[[#This Row],[Cant_Resultante]]=Tabla__192.168.1.8_POSEIDONSQL_APPFVT_01_tblFillRateFechas[[#This Row],[cant_order]],1,0)</f>
        <v>1</v>
      </c>
      <c r="N9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3" s="1">
        <f>+IF(AND(Tabla__192.168.1.8_POSEIDONSQL_APPFVT_01_tblFillRateFechas[[#This Row],[Valida Cant]]=1,Tabla__192.168.1.8_POSEIDONSQL_APPFVT_01_tblFillRateFechas[[#This Row],[Valida Fec]]=1),1,0)</f>
        <v>1</v>
      </c>
      <c r="P973" s="1">
        <f>+(Tabla__192.168.1.8_POSEIDONSQL_APPFVT_01_tblFillRateFechas[[#This Row],[Cant_Resultante]]/Tabla__192.168.1.8_POSEIDONSQL_APPFVT_01_tblFillRateFechas[[#This Row],[cant_order]])*100</f>
        <v>100</v>
      </c>
      <c r="Q9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3" s="1">
        <f>+IF(Tabla__192.168.1.8_POSEIDONSQL_APPFVT_01_tblFillRateFechas[[#This Row],[cant_order]]&gt;0,1,0)</f>
        <v>1</v>
      </c>
      <c r="V973" s="1">
        <f>+IF(Tabla__192.168.1.8_POSEIDONSQL_APPFVT_01_tblFillRateFechas[[#This Row],[Resultado]]=1,1,0)</f>
        <v>1</v>
      </c>
      <c r="W973" s="1" t="str">
        <f>+Tabla__192.168.1.8_POSEIDONSQL_APPFVT_01_tblFillRateFechas[[#This Row],[con_ocnumero]]&amp;Tabla__192.168.1.8_POSEIDONSQL_APPFVT_01_tblFillRateFechas[[#This Row],[con_codigounico]]</f>
        <v>5005159638660420</v>
      </c>
      <c r="X9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4" spans="1:24" x14ac:dyDescent="0.25">
      <c r="A974">
        <v>3</v>
      </c>
      <c r="B974" t="s">
        <v>50</v>
      </c>
      <c r="C974">
        <v>50051596</v>
      </c>
      <c r="D974" t="s">
        <v>1971</v>
      </c>
      <c r="E974" t="s">
        <v>161</v>
      </c>
      <c r="F974" t="s">
        <v>1965</v>
      </c>
      <c r="G974">
        <v>1</v>
      </c>
      <c r="H974">
        <v>1</v>
      </c>
      <c r="I974" t="s">
        <v>162</v>
      </c>
      <c r="J974">
        <v>0</v>
      </c>
      <c r="K974" t="s">
        <v>1134</v>
      </c>
      <c r="L974" s="1">
        <f>+Tabla__192.168.1.8_POSEIDONSQL_APPFVT_01_tblFillRateFechas[[#This Row],[emb_cantidad]]-Tabla__192.168.1.8_POSEIDONSQL_APPFVT_01_tblFillRateFechas[[#This Row],[dev_cantidad]]</f>
        <v>1</v>
      </c>
      <c r="M974" s="1">
        <f>+IF(Tabla__192.168.1.8_POSEIDONSQL_APPFVT_01_tblFillRateFechas[[#This Row],[Cant_Resultante]]=Tabla__192.168.1.8_POSEIDONSQL_APPFVT_01_tblFillRateFechas[[#This Row],[cant_order]],1,0)</f>
        <v>1</v>
      </c>
      <c r="N9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4" s="1">
        <f>+IF(AND(Tabla__192.168.1.8_POSEIDONSQL_APPFVT_01_tblFillRateFechas[[#This Row],[Valida Cant]]=1,Tabla__192.168.1.8_POSEIDONSQL_APPFVT_01_tblFillRateFechas[[#This Row],[Valida Fec]]=1),1,0)</f>
        <v>1</v>
      </c>
      <c r="P974" s="1">
        <f>+(Tabla__192.168.1.8_POSEIDONSQL_APPFVT_01_tblFillRateFechas[[#This Row],[Cant_Resultante]]/Tabla__192.168.1.8_POSEIDONSQL_APPFVT_01_tblFillRateFechas[[#This Row],[cant_order]])*100</f>
        <v>100</v>
      </c>
      <c r="Q9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4" s="1">
        <f>+IF(Tabla__192.168.1.8_POSEIDONSQL_APPFVT_01_tblFillRateFechas[[#This Row],[cant_order]]&gt;0,1,0)</f>
        <v>1</v>
      </c>
      <c r="V974" s="1">
        <f>+IF(Tabla__192.168.1.8_POSEIDONSQL_APPFVT_01_tblFillRateFechas[[#This Row],[Resultado]]=1,1,0)</f>
        <v>1</v>
      </c>
      <c r="W974" s="1" t="str">
        <f>+Tabla__192.168.1.8_POSEIDONSQL_APPFVT_01_tblFillRateFechas[[#This Row],[con_ocnumero]]&amp;Tabla__192.168.1.8_POSEIDONSQL_APPFVT_01_tblFillRateFechas[[#This Row],[con_codigounico]]</f>
        <v>5005159638660549</v>
      </c>
      <c r="X9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5" spans="1:24" x14ac:dyDescent="0.25">
      <c r="A975">
        <v>3</v>
      </c>
      <c r="B975" t="s">
        <v>50</v>
      </c>
      <c r="C975">
        <v>50051596</v>
      </c>
      <c r="D975" t="s">
        <v>1971</v>
      </c>
      <c r="E975" t="s">
        <v>161</v>
      </c>
      <c r="F975" t="s">
        <v>1965</v>
      </c>
      <c r="G975">
        <v>1</v>
      </c>
      <c r="H975">
        <v>1</v>
      </c>
      <c r="I975" t="s">
        <v>162</v>
      </c>
      <c r="J975">
        <v>0</v>
      </c>
      <c r="K975" t="s">
        <v>1135</v>
      </c>
      <c r="L975" s="1">
        <f>+Tabla__192.168.1.8_POSEIDONSQL_APPFVT_01_tblFillRateFechas[[#This Row],[emb_cantidad]]-Tabla__192.168.1.8_POSEIDONSQL_APPFVT_01_tblFillRateFechas[[#This Row],[dev_cantidad]]</f>
        <v>1</v>
      </c>
      <c r="M975" s="1">
        <f>+IF(Tabla__192.168.1.8_POSEIDONSQL_APPFVT_01_tblFillRateFechas[[#This Row],[Cant_Resultante]]=Tabla__192.168.1.8_POSEIDONSQL_APPFVT_01_tblFillRateFechas[[#This Row],[cant_order]],1,0)</f>
        <v>1</v>
      </c>
      <c r="N9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5" s="1">
        <f>+IF(AND(Tabla__192.168.1.8_POSEIDONSQL_APPFVT_01_tblFillRateFechas[[#This Row],[Valida Cant]]=1,Tabla__192.168.1.8_POSEIDONSQL_APPFVT_01_tblFillRateFechas[[#This Row],[Valida Fec]]=1),1,0)</f>
        <v>1</v>
      </c>
      <c r="P975" s="1">
        <f>+(Tabla__192.168.1.8_POSEIDONSQL_APPFVT_01_tblFillRateFechas[[#This Row],[Cant_Resultante]]/Tabla__192.168.1.8_POSEIDONSQL_APPFVT_01_tblFillRateFechas[[#This Row],[cant_order]])*100</f>
        <v>100</v>
      </c>
      <c r="Q9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5" s="1">
        <f>+IF(Tabla__192.168.1.8_POSEIDONSQL_APPFVT_01_tblFillRateFechas[[#This Row],[cant_order]]&gt;0,1,0)</f>
        <v>1</v>
      </c>
      <c r="V975" s="1">
        <f>+IF(Tabla__192.168.1.8_POSEIDONSQL_APPFVT_01_tblFillRateFechas[[#This Row],[Resultado]]=1,1,0)</f>
        <v>1</v>
      </c>
      <c r="W975" s="1" t="str">
        <f>+Tabla__192.168.1.8_POSEIDONSQL_APPFVT_01_tblFillRateFechas[[#This Row],[con_ocnumero]]&amp;Tabla__192.168.1.8_POSEIDONSQL_APPFVT_01_tblFillRateFechas[[#This Row],[con_codigounico]]</f>
        <v>5005159638660594</v>
      </c>
      <c r="X9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6" spans="1:24" x14ac:dyDescent="0.25">
      <c r="A976">
        <v>3</v>
      </c>
      <c r="B976" t="s">
        <v>50</v>
      </c>
      <c r="C976">
        <v>50051648</v>
      </c>
      <c r="D976" t="s">
        <v>1965</v>
      </c>
      <c r="E976" t="s">
        <v>428</v>
      </c>
      <c r="F976" t="s">
        <v>1980</v>
      </c>
      <c r="G976">
        <v>1</v>
      </c>
      <c r="H976">
        <v>1</v>
      </c>
      <c r="I976" t="s">
        <v>162</v>
      </c>
      <c r="J976">
        <v>0</v>
      </c>
      <c r="K976" t="s">
        <v>1138</v>
      </c>
      <c r="L976" s="1">
        <f>+Tabla__192.168.1.8_POSEIDONSQL_APPFVT_01_tblFillRateFechas[[#This Row],[emb_cantidad]]-Tabla__192.168.1.8_POSEIDONSQL_APPFVT_01_tblFillRateFechas[[#This Row],[dev_cantidad]]</f>
        <v>1</v>
      </c>
      <c r="M976" s="1">
        <f>+IF(Tabla__192.168.1.8_POSEIDONSQL_APPFVT_01_tblFillRateFechas[[#This Row],[Cant_Resultante]]=Tabla__192.168.1.8_POSEIDONSQL_APPFVT_01_tblFillRateFechas[[#This Row],[cant_order]],1,0)</f>
        <v>1</v>
      </c>
      <c r="N9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6" s="1">
        <f>+IF(AND(Tabla__192.168.1.8_POSEIDONSQL_APPFVT_01_tblFillRateFechas[[#This Row],[Valida Cant]]=1,Tabla__192.168.1.8_POSEIDONSQL_APPFVT_01_tblFillRateFechas[[#This Row],[Valida Fec]]=1),1,0)</f>
        <v>1</v>
      </c>
      <c r="P976" s="1">
        <f>+(Tabla__192.168.1.8_POSEIDONSQL_APPFVT_01_tblFillRateFechas[[#This Row],[Cant_Resultante]]/Tabla__192.168.1.8_POSEIDONSQL_APPFVT_01_tblFillRateFechas[[#This Row],[cant_order]])*100</f>
        <v>100</v>
      </c>
      <c r="Q9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6" s="1">
        <f>+IF(Tabla__192.168.1.8_POSEIDONSQL_APPFVT_01_tblFillRateFechas[[#This Row],[cant_order]]&gt;0,1,0)</f>
        <v>1</v>
      </c>
      <c r="V976" s="1">
        <f>+IF(Tabla__192.168.1.8_POSEIDONSQL_APPFVT_01_tblFillRateFechas[[#This Row],[Resultado]]=1,1,0)</f>
        <v>1</v>
      </c>
      <c r="W976" s="1" t="str">
        <f>+Tabla__192.168.1.8_POSEIDONSQL_APPFVT_01_tblFillRateFechas[[#This Row],[con_ocnumero]]&amp;Tabla__192.168.1.8_POSEIDONSQL_APPFVT_01_tblFillRateFechas[[#This Row],[con_codigounico]]</f>
        <v>5005164838660826</v>
      </c>
      <c r="X9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7" spans="1:24" x14ac:dyDescent="0.25">
      <c r="A977">
        <v>3</v>
      </c>
      <c r="B977" t="s">
        <v>50</v>
      </c>
      <c r="C977">
        <v>50051747</v>
      </c>
      <c r="D977" t="s">
        <v>1977</v>
      </c>
      <c r="E977" t="s">
        <v>425</v>
      </c>
      <c r="F977" t="s">
        <v>1962</v>
      </c>
      <c r="G977">
        <v>1</v>
      </c>
      <c r="H977">
        <v>1</v>
      </c>
      <c r="I977" t="s">
        <v>162</v>
      </c>
      <c r="J977">
        <v>0</v>
      </c>
      <c r="K977" t="s">
        <v>1425</v>
      </c>
      <c r="L977" s="1">
        <f>+Tabla__192.168.1.8_POSEIDONSQL_APPFVT_01_tblFillRateFechas[[#This Row],[emb_cantidad]]-Tabla__192.168.1.8_POSEIDONSQL_APPFVT_01_tblFillRateFechas[[#This Row],[dev_cantidad]]</f>
        <v>1</v>
      </c>
      <c r="M977" s="1">
        <f>+IF(Tabla__192.168.1.8_POSEIDONSQL_APPFVT_01_tblFillRateFechas[[#This Row],[Cant_Resultante]]=Tabla__192.168.1.8_POSEIDONSQL_APPFVT_01_tblFillRateFechas[[#This Row],[cant_order]],1,0)</f>
        <v>1</v>
      </c>
      <c r="N9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7" s="1">
        <f>+IF(AND(Tabla__192.168.1.8_POSEIDONSQL_APPFVT_01_tblFillRateFechas[[#This Row],[Valida Cant]]=1,Tabla__192.168.1.8_POSEIDONSQL_APPFVT_01_tblFillRateFechas[[#This Row],[Valida Fec]]=1),1,0)</f>
        <v>1</v>
      </c>
      <c r="P977" s="1">
        <f>+(Tabla__192.168.1.8_POSEIDONSQL_APPFVT_01_tblFillRateFechas[[#This Row],[Cant_Resultante]]/Tabla__192.168.1.8_POSEIDONSQL_APPFVT_01_tblFillRateFechas[[#This Row],[cant_order]])*100</f>
        <v>100</v>
      </c>
      <c r="Q9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7" s="1">
        <f>+IF(Tabla__192.168.1.8_POSEIDONSQL_APPFVT_01_tblFillRateFechas[[#This Row],[cant_order]]&gt;0,1,0)</f>
        <v>1</v>
      </c>
      <c r="V977" s="1">
        <f>+IF(Tabla__192.168.1.8_POSEIDONSQL_APPFVT_01_tblFillRateFechas[[#This Row],[Resultado]]=1,1,0)</f>
        <v>1</v>
      </c>
      <c r="W977" s="1" t="str">
        <f>+Tabla__192.168.1.8_POSEIDONSQL_APPFVT_01_tblFillRateFechas[[#This Row],[con_ocnumero]]&amp;Tabla__192.168.1.8_POSEIDONSQL_APPFVT_01_tblFillRateFechas[[#This Row],[con_codigounico]]</f>
        <v>5005174738661550</v>
      </c>
      <c r="X9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8" spans="1:24" x14ac:dyDescent="0.25">
      <c r="A978">
        <v>3</v>
      </c>
      <c r="B978" t="s">
        <v>50</v>
      </c>
      <c r="C978">
        <v>50051747</v>
      </c>
      <c r="D978" t="s">
        <v>1977</v>
      </c>
      <c r="E978" t="s">
        <v>163</v>
      </c>
      <c r="F978" t="s">
        <v>1962</v>
      </c>
      <c r="G978">
        <v>1</v>
      </c>
      <c r="H978">
        <v>1</v>
      </c>
      <c r="I978" t="s">
        <v>162</v>
      </c>
      <c r="J978">
        <v>0</v>
      </c>
      <c r="K978" t="s">
        <v>1424</v>
      </c>
      <c r="L978" s="1">
        <f>+Tabla__192.168.1.8_POSEIDONSQL_APPFVT_01_tblFillRateFechas[[#This Row],[emb_cantidad]]-Tabla__192.168.1.8_POSEIDONSQL_APPFVT_01_tblFillRateFechas[[#This Row],[dev_cantidad]]</f>
        <v>1</v>
      </c>
      <c r="M978" s="1">
        <f>+IF(Tabla__192.168.1.8_POSEIDONSQL_APPFVT_01_tblFillRateFechas[[#This Row],[Cant_Resultante]]=Tabla__192.168.1.8_POSEIDONSQL_APPFVT_01_tblFillRateFechas[[#This Row],[cant_order]],1,0)</f>
        <v>1</v>
      </c>
      <c r="N9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8" s="1">
        <f>+IF(AND(Tabla__192.168.1.8_POSEIDONSQL_APPFVT_01_tblFillRateFechas[[#This Row],[Valida Cant]]=1,Tabla__192.168.1.8_POSEIDONSQL_APPFVT_01_tblFillRateFechas[[#This Row],[Valida Fec]]=1),1,0)</f>
        <v>1</v>
      </c>
      <c r="P978" s="1">
        <f>+(Tabla__192.168.1.8_POSEIDONSQL_APPFVT_01_tblFillRateFechas[[#This Row],[Cant_Resultante]]/Tabla__192.168.1.8_POSEIDONSQL_APPFVT_01_tblFillRateFechas[[#This Row],[cant_order]])*100</f>
        <v>100</v>
      </c>
      <c r="Q9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8" s="1">
        <f>+IF(Tabla__192.168.1.8_POSEIDONSQL_APPFVT_01_tblFillRateFechas[[#This Row],[cant_order]]&gt;0,1,0)</f>
        <v>1</v>
      </c>
      <c r="V978" s="1">
        <f>+IF(Tabla__192.168.1.8_POSEIDONSQL_APPFVT_01_tblFillRateFechas[[#This Row],[Resultado]]=1,1,0)</f>
        <v>1</v>
      </c>
      <c r="W978" s="1" t="str">
        <f>+Tabla__192.168.1.8_POSEIDONSQL_APPFVT_01_tblFillRateFechas[[#This Row],[con_ocnumero]]&amp;Tabla__192.168.1.8_POSEIDONSQL_APPFVT_01_tblFillRateFechas[[#This Row],[con_codigounico]]</f>
        <v>5005174738661636</v>
      </c>
      <c r="X9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79" spans="1:24" x14ac:dyDescent="0.25">
      <c r="A979">
        <v>3</v>
      </c>
      <c r="B979" t="s">
        <v>50</v>
      </c>
      <c r="C979">
        <v>50051794</v>
      </c>
      <c r="D979" t="s">
        <v>1962</v>
      </c>
      <c r="E979" t="s">
        <v>415</v>
      </c>
      <c r="F979" t="s">
        <v>1963</v>
      </c>
      <c r="G979">
        <v>1</v>
      </c>
      <c r="H979">
        <v>1</v>
      </c>
      <c r="I979" t="s">
        <v>161</v>
      </c>
      <c r="J979">
        <v>0</v>
      </c>
      <c r="K979" t="s">
        <v>563</v>
      </c>
      <c r="L979" s="1">
        <f>+Tabla__192.168.1.8_POSEIDONSQL_APPFVT_01_tblFillRateFechas[[#This Row],[emb_cantidad]]-Tabla__192.168.1.8_POSEIDONSQL_APPFVT_01_tblFillRateFechas[[#This Row],[dev_cantidad]]</f>
        <v>1</v>
      </c>
      <c r="M979" s="1">
        <f>+IF(Tabla__192.168.1.8_POSEIDONSQL_APPFVT_01_tblFillRateFechas[[#This Row],[Cant_Resultante]]=Tabla__192.168.1.8_POSEIDONSQL_APPFVT_01_tblFillRateFechas[[#This Row],[cant_order]],1,0)</f>
        <v>1</v>
      </c>
      <c r="N9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79" s="1">
        <f>+IF(AND(Tabla__192.168.1.8_POSEIDONSQL_APPFVT_01_tblFillRateFechas[[#This Row],[Valida Cant]]=1,Tabla__192.168.1.8_POSEIDONSQL_APPFVT_01_tblFillRateFechas[[#This Row],[Valida Fec]]=1),1,0)</f>
        <v>1</v>
      </c>
      <c r="P979" s="1">
        <f>+(Tabla__192.168.1.8_POSEIDONSQL_APPFVT_01_tblFillRateFechas[[#This Row],[Cant_Resultante]]/Tabla__192.168.1.8_POSEIDONSQL_APPFVT_01_tblFillRateFechas[[#This Row],[cant_order]])*100</f>
        <v>100</v>
      </c>
      <c r="Q9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79" s="1">
        <f>+IF(Tabla__192.168.1.8_POSEIDONSQL_APPFVT_01_tblFillRateFechas[[#This Row],[cant_order]]&gt;0,1,0)</f>
        <v>1</v>
      </c>
      <c r="V979" s="1">
        <f>+IF(Tabla__192.168.1.8_POSEIDONSQL_APPFVT_01_tblFillRateFechas[[#This Row],[Resultado]]=1,1,0)</f>
        <v>1</v>
      </c>
      <c r="W979" s="1" t="str">
        <f>+Tabla__192.168.1.8_POSEIDONSQL_APPFVT_01_tblFillRateFechas[[#This Row],[con_ocnumero]]&amp;Tabla__192.168.1.8_POSEIDONSQL_APPFVT_01_tblFillRateFechas[[#This Row],[con_codigounico]]</f>
        <v>5005179438661787</v>
      </c>
      <c r="X9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0" spans="1:24" x14ac:dyDescent="0.25">
      <c r="A980">
        <v>3</v>
      </c>
      <c r="B980" t="s">
        <v>50</v>
      </c>
      <c r="C980">
        <v>50051838</v>
      </c>
      <c r="D980" t="s">
        <v>1966</v>
      </c>
      <c r="E980" t="s">
        <v>429</v>
      </c>
      <c r="F980" t="s">
        <v>1963</v>
      </c>
      <c r="G980">
        <v>1</v>
      </c>
      <c r="H980">
        <v>1</v>
      </c>
      <c r="I980" t="s">
        <v>161</v>
      </c>
      <c r="J980">
        <v>0</v>
      </c>
      <c r="K980" t="s">
        <v>546</v>
      </c>
      <c r="L980" s="1">
        <f>+Tabla__192.168.1.8_POSEIDONSQL_APPFVT_01_tblFillRateFechas[[#This Row],[emb_cantidad]]-Tabla__192.168.1.8_POSEIDONSQL_APPFVT_01_tblFillRateFechas[[#This Row],[dev_cantidad]]</f>
        <v>1</v>
      </c>
      <c r="M980" s="1">
        <f>+IF(Tabla__192.168.1.8_POSEIDONSQL_APPFVT_01_tblFillRateFechas[[#This Row],[Cant_Resultante]]=Tabla__192.168.1.8_POSEIDONSQL_APPFVT_01_tblFillRateFechas[[#This Row],[cant_order]],1,0)</f>
        <v>1</v>
      </c>
      <c r="N9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0" s="1">
        <f>+IF(AND(Tabla__192.168.1.8_POSEIDONSQL_APPFVT_01_tblFillRateFechas[[#This Row],[Valida Cant]]=1,Tabla__192.168.1.8_POSEIDONSQL_APPFVT_01_tblFillRateFechas[[#This Row],[Valida Fec]]=1),1,0)</f>
        <v>1</v>
      </c>
      <c r="P980" s="1">
        <f>+(Tabla__192.168.1.8_POSEIDONSQL_APPFVT_01_tblFillRateFechas[[#This Row],[Cant_Resultante]]/Tabla__192.168.1.8_POSEIDONSQL_APPFVT_01_tblFillRateFechas[[#This Row],[cant_order]])*100</f>
        <v>100</v>
      </c>
      <c r="Q9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0" s="1">
        <f>+IF(Tabla__192.168.1.8_POSEIDONSQL_APPFVT_01_tblFillRateFechas[[#This Row],[cant_order]]&gt;0,1,0)</f>
        <v>1</v>
      </c>
      <c r="V980" s="1">
        <f>+IF(Tabla__192.168.1.8_POSEIDONSQL_APPFVT_01_tblFillRateFechas[[#This Row],[Resultado]]=1,1,0)</f>
        <v>1</v>
      </c>
      <c r="W980" s="1" t="str">
        <f>+Tabla__192.168.1.8_POSEIDONSQL_APPFVT_01_tblFillRateFechas[[#This Row],[con_ocnumero]]&amp;Tabla__192.168.1.8_POSEIDONSQL_APPFVT_01_tblFillRateFechas[[#This Row],[con_codigounico]]</f>
        <v>5005183838662020</v>
      </c>
      <c r="X9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1" spans="1:24" x14ac:dyDescent="0.25">
      <c r="A981">
        <v>3</v>
      </c>
      <c r="B981" t="s">
        <v>50</v>
      </c>
      <c r="C981">
        <v>50051838</v>
      </c>
      <c r="D981" t="s">
        <v>1966</v>
      </c>
      <c r="E981" t="s">
        <v>419</v>
      </c>
      <c r="F981" t="s">
        <v>1963</v>
      </c>
      <c r="G981">
        <v>1</v>
      </c>
      <c r="H981">
        <v>1</v>
      </c>
      <c r="I981" t="s">
        <v>161</v>
      </c>
      <c r="J981">
        <v>0</v>
      </c>
      <c r="K981" t="s">
        <v>547</v>
      </c>
      <c r="L981" s="1">
        <f>+Tabla__192.168.1.8_POSEIDONSQL_APPFVT_01_tblFillRateFechas[[#This Row],[emb_cantidad]]-Tabla__192.168.1.8_POSEIDONSQL_APPFVT_01_tblFillRateFechas[[#This Row],[dev_cantidad]]</f>
        <v>1</v>
      </c>
      <c r="M981" s="1">
        <f>+IF(Tabla__192.168.1.8_POSEIDONSQL_APPFVT_01_tblFillRateFechas[[#This Row],[Cant_Resultante]]=Tabla__192.168.1.8_POSEIDONSQL_APPFVT_01_tblFillRateFechas[[#This Row],[cant_order]],1,0)</f>
        <v>1</v>
      </c>
      <c r="N9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1" s="1">
        <f>+IF(AND(Tabla__192.168.1.8_POSEIDONSQL_APPFVT_01_tblFillRateFechas[[#This Row],[Valida Cant]]=1,Tabla__192.168.1.8_POSEIDONSQL_APPFVT_01_tblFillRateFechas[[#This Row],[Valida Fec]]=1),1,0)</f>
        <v>1</v>
      </c>
      <c r="P981" s="1">
        <f>+(Tabla__192.168.1.8_POSEIDONSQL_APPFVT_01_tblFillRateFechas[[#This Row],[Cant_Resultante]]/Tabla__192.168.1.8_POSEIDONSQL_APPFVT_01_tblFillRateFechas[[#This Row],[cant_order]])*100</f>
        <v>100</v>
      </c>
      <c r="Q9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1" s="1">
        <f>+IF(Tabla__192.168.1.8_POSEIDONSQL_APPFVT_01_tblFillRateFechas[[#This Row],[cant_order]]&gt;0,1,0)</f>
        <v>1</v>
      </c>
      <c r="V981" s="1">
        <f>+IF(Tabla__192.168.1.8_POSEIDONSQL_APPFVT_01_tblFillRateFechas[[#This Row],[Resultado]]=1,1,0)</f>
        <v>1</v>
      </c>
      <c r="W981" s="1" t="str">
        <f>+Tabla__192.168.1.8_POSEIDONSQL_APPFVT_01_tblFillRateFechas[[#This Row],[con_ocnumero]]&amp;Tabla__192.168.1.8_POSEIDONSQL_APPFVT_01_tblFillRateFechas[[#This Row],[con_codigounico]]</f>
        <v>5005183838662101</v>
      </c>
      <c r="X9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2" spans="1:24" x14ac:dyDescent="0.25">
      <c r="A982">
        <v>3</v>
      </c>
      <c r="B982" t="s">
        <v>50</v>
      </c>
      <c r="C982">
        <v>50051888</v>
      </c>
      <c r="D982" t="s">
        <v>1973</v>
      </c>
      <c r="E982" t="s">
        <v>429</v>
      </c>
      <c r="F982" t="s">
        <v>1963</v>
      </c>
      <c r="G982">
        <v>1</v>
      </c>
      <c r="H982">
        <v>1</v>
      </c>
      <c r="I982" t="s">
        <v>161</v>
      </c>
      <c r="J982">
        <v>0</v>
      </c>
      <c r="K982" t="s">
        <v>552</v>
      </c>
      <c r="L982" s="1">
        <f>+Tabla__192.168.1.8_POSEIDONSQL_APPFVT_01_tblFillRateFechas[[#This Row],[emb_cantidad]]-Tabla__192.168.1.8_POSEIDONSQL_APPFVT_01_tblFillRateFechas[[#This Row],[dev_cantidad]]</f>
        <v>1</v>
      </c>
      <c r="M982" s="1">
        <f>+IF(Tabla__192.168.1.8_POSEIDONSQL_APPFVT_01_tblFillRateFechas[[#This Row],[Cant_Resultante]]=Tabla__192.168.1.8_POSEIDONSQL_APPFVT_01_tblFillRateFechas[[#This Row],[cant_order]],1,0)</f>
        <v>1</v>
      </c>
      <c r="N9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2" s="1">
        <f>+IF(AND(Tabla__192.168.1.8_POSEIDONSQL_APPFVT_01_tblFillRateFechas[[#This Row],[Valida Cant]]=1,Tabla__192.168.1.8_POSEIDONSQL_APPFVT_01_tblFillRateFechas[[#This Row],[Valida Fec]]=1),1,0)</f>
        <v>1</v>
      </c>
      <c r="P982" s="1">
        <f>+(Tabla__192.168.1.8_POSEIDONSQL_APPFVT_01_tblFillRateFechas[[#This Row],[Cant_Resultante]]/Tabla__192.168.1.8_POSEIDONSQL_APPFVT_01_tblFillRateFechas[[#This Row],[cant_order]])*100</f>
        <v>100</v>
      </c>
      <c r="Q9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2" s="1">
        <f>+IF(Tabla__192.168.1.8_POSEIDONSQL_APPFVT_01_tblFillRateFechas[[#This Row],[cant_order]]&gt;0,1,0)</f>
        <v>1</v>
      </c>
      <c r="V982" s="1">
        <f>+IF(Tabla__192.168.1.8_POSEIDONSQL_APPFVT_01_tblFillRateFechas[[#This Row],[Resultado]]=1,1,0)</f>
        <v>1</v>
      </c>
      <c r="W982" s="1" t="str">
        <f>+Tabla__192.168.1.8_POSEIDONSQL_APPFVT_01_tblFillRateFechas[[#This Row],[con_ocnumero]]&amp;Tabla__192.168.1.8_POSEIDONSQL_APPFVT_01_tblFillRateFechas[[#This Row],[con_codigounico]]</f>
        <v>5005188838662439</v>
      </c>
      <c r="X9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3" spans="1:24" x14ac:dyDescent="0.25">
      <c r="A983">
        <v>3</v>
      </c>
      <c r="B983" t="s">
        <v>50</v>
      </c>
      <c r="C983">
        <v>50051888</v>
      </c>
      <c r="D983" t="s">
        <v>1973</v>
      </c>
      <c r="E983" t="s">
        <v>427</v>
      </c>
      <c r="F983" t="s">
        <v>1963</v>
      </c>
      <c r="G983">
        <v>1</v>
      </c>
      <c r="H983">
        <v>1</v>
      </c>
      <c r="I983" t="s">
        <v>161</v>
      </c>
      <c r="J983">
        <v>0</v>
      </c>
      <c r="K983" t="s">
        <v>553</v>
      </c>
      <c r="L983" s="1">
        <f>+Tabla__192.168.1.8_POSEIDONSQL_APPFVT_01_tblFillRateFechas[[#This Row],[emb_cantidad]]-Tabla__192.168.1.8_POSEIDONSQL_APPFVT_01_tblFillRateFechas[[#This Row],[dev_cantidad]]</f>
        <v>1</v>
      </c>
      <c r="M983" s="1">
        <f>+IF(Tabla__192.168.1.8_POSEIDONSQL_APPFVT_01_tblFillRateFechas[[#This Row],[Cant_Resultante]]=Tabla__192.168.1.8_POSEIDONSQL_APPFVT_01_tblFillRateFechas[[#This Row],[cant_order]],1,0)</f>
        <v>1</v>
      </c>
      <c r="N9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3" s="1">
        <f>+IF(AND(Tabla__192.168.1.8_POSEIDONSQL_APPFVT_01_tblFillRateFechas[[#This Row],[Valida Cant]]=1,Tabla__192.168.1.8_POSEIDONSQL_APPFVT_01_tblFillRateFechas[[#This Row],[Valida Fec]]=1),1,0)</f>
        <v>1</v>
      </c>
      <c r="P983" s="1">
        <f>+(Tabla__192.168.1.8_POSEIDONSQL_APPFVT_01_tblFillRateFechas[[#This Row],[Cant_Resultante]]/Tabla__192.168.1.8_POSEIDONSQL_APPFVT_01_tblFillRateFechas[[#This Row],[cant_order]])*100</f>
        <v>100</v>
      </c>
      <c r="Q9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3" s="1">
        <f>+IF(Tabla__192.168.1.8_POSEIDONSQL_APPFVT_01_tblFillRateFechas[[#This Row],[cant_order]]&gt;0,1,0)</f>
        <v>1</v>
      </c>
      <c r="V983" s="1">
        <f>+IF(Tabla__192.168.1.8_POSEIDONSQL_APPFVT_01_tblFillRateFechas[[#This Row],[Resultado]]=1,1,0)</f>
        <v>1</v>
      </c>
      <c r="W983" s="1" t="str">
        <f>+Tabla__192.168.1.8_POSEIDONSQL_APPFVT_01_tblFillRateFechas[[#This Row],[con_ocnumero]]&amp;Tabla__192.168.1.8_POSEIDONSQL_APPFVT_01_tblFillRateFechas[[#This Row],[con_codigounico]]</f>
        <v>5005188838662502</v>
      </c>
      <c r="X9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4" spans="1:24" x14ac:dyDescent="0.25">
      <c r="A984">
        <v>3</v>
      </c>
      <c r="B984" t="s">
        <v>50</v>
      </c>
      <c r="C984">
        <v>50051939</v>
      </c>
      <c r="D984" t="s">
        <v>1963</v>
      </c>
      <c r="E984" t="s">
        <v>425</v>
      </c>
      <c r="F984" t="s">
        <v>162</v>
      </c>
      <c r="G984">
        <v>1</v>
      </c>
      <c r="H984">
        <v>3</v>
      </c>
      <c r="I984" t="s">
        <v>415</v>
      </c>
      <c r="J984">
        <v>2</v>
      </c>
      <c r="K984" t="s">
        <v>1186</v>
      </c>
      <c r="L984" s="1">
        <f>+Tabla__192.168.1.8_POSEIDONSQL_APPFVT_01_tblFillRateFechas[[#This Row],[emb_cantidad]]-Tabla__192.168.1.8_POSEIDONSQL_APPFVT_01_tblFillRateFechas[[#This Row],[dev_cantidad]]</f>
        <v>1</v>
      </c>
      <c r="M984" s="1">
        <f>+IF(Tabla__192.168.1.8_POSEIDONSQL_APPFVT_01_tblFillRateFechas[[#This Row],[Cant_Resultante]]=Tabla__192.168.1.8_POSEIDONSQL_APPFVT_01_tblFillRateFechas[[#This Row],[cant_order]],1,0)</f>
        <v>1</v>
      </c>
      <c r="N9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84" s="1">
        <f>+IF(AND(Tabla__192.168.1.8_POSEIDONSQL_APPFVT_01_tblFillRateFechas[[#This Row],[Valida Cant]]=1,Tabla__192.168.1.8_POSEIDONSQL_APPFVT_01_tblFillRateFechas[[#This Row],[Valida Fec]]=1),1,0)</f>
        <v>0</v>
      </c>
      <c r="P984" s="1">
        <f>+(Tabla__192.168.1.8_POSEIDONSQL_APPFVT_01_tblFillRateFechas[[#This Row],[Cant_Resultante]]/Tabla__192.168.1.8_POSEIDONSQL_APPFVT_01_tblFillRateFechas[[#This Row],[cant_order]])*100</f>
        <v>100</v>
      </c>
      <c r="Q9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4" s="1">
        <f>+IF(Tabla__192.168.1.8_POSEIDONSQL_APPFVT_01_tblFillRateFechas[[#This Row],[cant_order]]&gt;0,1,0)</f>
        <v>1</v>
      </c>
      <c r="V984" s="1">
        <f>+IF(Tabla__192.168.1.8_POSEIDONSQL_APPFVT_01_tblFillRateFechas[[#This Row],[Resultado]]=1,1,0)</f>
        <v>0</v>
      </c>
      <c r="W984" s="1" t="str">
        <f>+Tabla__192.168.1.8_POSEIDONSQL_APPFVT_01_tblFillRateFechas[[#This Row],[con_ocnumero]]&amp;Tabla__192.168.1.8_POSEIDONSQL_APPFVT_01_tblFillRateFechas[[#This Row],[con_codigounico]]</f>
        <v>5005193938662903</v>
      </c>
      <c r="X9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5" spans="1:24" x14ac:dyDescent="0.25">
      <c r="A985">
        <v>3</v>
      </c>
      <c r="B985" t="s">
        <v>50</v>
      </c>
      <c r="C985">
        <v>50051990</v>
      </c>
      <c r="D985" t="s">
        <v>162</v>
      </c>
      <c r="E985" t="s">
        <v>415</v>
      </c>
      <c r="F985" t="s">
        <v>160</v>
      </c>
      <c r="G985">
        <v>1</v>
      </c>
      <c r="H985">
        <v>3</v>
      </c>
      <c r="I985" t="s">
        <v>415</v>
      </c>
      <c r="J985">
        <v>2</v>
      </c>
      <c r="K985" t="s">
        <v>1648</v>
      </c>
      <c r="L985" s="1">
        <f>+Tabla__192.168.1.8_POSEIDONSQL_APPFVT_01_tblFillRateFechas[[#This Row],[emb_cantidad]]-Tabla__192.168.1.8_POSEIDONSQL_APPFVT_01_tblFillRateFechas[[#This Row],[dev_cantidad]]</f>
        <v>1</v>
      </c>
      <c r="M985" s="1">
        <f>+IF(Tabla__192.168.1.8_POSEIDONSQL_APPFVT_01_tblFillRateFechas[[#This Row],[Cant_Resultante]]=Tabla__192.168.1.8_POSEIDONSQL_APPFVT_01_tblFillRateFechas[[#This Row],[cant_order]],1,0)</f>
        <v>1</v>
      </c>
      <c r="N9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5" s="1">
        <f>+IF(AND(Tabla__192.168.1.8_POSEIDONSQL_APPFVT_01_tblFillRateFechas[[#This Row],[Valida Cant]]=1,Tabla__192.168.1.8_POSEIDONSQL_APPFVT_01_tblFillRateFechas[[#This Row],[Valida Fec]]=1),1,0)</f>
        <v>1</v>
      </c>
      <c r="P985" s="1">
        <f>+(Tabla__192.168.1.8_POSEIDONSQL_APPFVT_01_tblFillRateFechas[[#This Row],[Cant_Resultante]]/Tabla__192.168.1.8_POSEIDONSQL_APPFVT_01_tblFillRateFechas[[#This Row],[cant_order]])*100</f>
        <v>100</v>
      </c>
      <c r="Q9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5" s="1">
        <f>+IF(Tabla__192.168.1.8_POSEIDONSQL_APPFVT_01_tblFillRateFechas[[#This Row],[cant_order]]&gt;0,1,0)</f>
        <v>1</v>
      </c>
      <c r="V985" s="1">
        <f>+IF(Tabla__192.168.1.8_POSEIDONSQL_APPFVT_01_tblFillRateFechas[[#This Row],[Resultado]]=1,1,0)</f>
        <v>1</v>
      </c>
      <c r="W985" s="1" t="str">
        <f>+Tabla__192.168.1.8_POSEIDONSQL_APPFVT_01_tblFillRateFechas[[#This Row],[con_ocnumero]]&amp;Tabla__192.168.1.8_POSEIDONSQL_APPFVT_01_tblFillRateFechas[[#This Row],[con_codigounico]]</f>
        <v>5005199038663381</v>
      </c>
      <c r="X9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6" spans="1:24" x14ac:dyDescent="0.25">
      <c r="A986">
        <v>3</v>
      </c>
      <c r="B986" t="s">
        <v>50</v>
      </c>
      <c r="C986">
        <v>50051990</v>
      </c>
      <c r="D986" t="s">
        <v>162</v>
      </c>
      <c r="E986" t="s">
        <v>415</v>
      </c>
      <c r="F986" t="s">
        <v>160</v>
      </c>
      <c r="G986">
        <v>1</v>
      </c>
      <c r="H986">
        <v>3</v>
      </c>
      <c r="I986" t="s">
        <v>415</v>
      </c>
      <c r="J986">
        <v>2</v>
      </c>
      <c r="K986" t="s">
        <v>1649</v>
      </c>
      <c r="L986" s="1">
        <f>+Tabla__192.168.1.8_POSEIDONSQL_APPFVT_01_tblFillRateFechas[[#This Row],[emb_cantidad]]-Tabla__192.168.1.8_POSEIDONSQL_APPFVT_01_tblFillRateFechas[[#This Row],[dev_cantidad]]</f>
        <v>1</v>
      </c>
      <c r="M986" s="1">
        <f>+IF(Tabla__192.168.1.8_POSEIDONSQL_APPFVT_01_tblFillRateFechas[[#This Row],[Cant_Resultante]]=Tabla__192.168.1.8_POSEIDONSQL_APPFVT_01_tblFillRateFechas[[#This Row],[cant_order]],1,0)</f>
        <v>1</v>
      </c>
      <c r="N9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6" s="1">
        <f>+IF(AND(Tabla__192.168.1.8_POSEIDONSQL_APPFVT_01_tblFillRateFechas[[#This Row],[Valida Cant]]=1,Tabla__192.168.1.8_POSEIDONSQL_APPFVT_01_tblFillRateFechas[[#This Row],[Valida Fec]]=1),1,0)</f>
        <v>1</v>
      </c>
      <c r="P986" s="1">
        <f>+(Tabla__192.168.1.8_POSEIDONSQL_APPFVT_01_tblFillRateFechas[[#This Row],[Cant_Resultante]]/Tabla__192.168.1.8_POSEIDONSQL_APPFVT_01_tblFillRateFechas[[#This Row],[cant_order]])*100</f>
        <v>100</v>
      </c>
      <c r="Q9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6" s="1">
        <f>+IF(Tabla__192.168.1.8_POSEIDONSQL_APPFVT_01_tblFillRateFechas[[#This Row],[cant_order]]&gt;0,1,0)</f>
        <v>1</v>
      </c>
      <c r="V986" s="1">
        <f>+IF(Tabla__192.168.1.8_POSEIDONSQL_APPFVT_01_tblFillRateFechas[[#This Row],[Resultado]]=1,1,0)</f>
        <v>1</v>
      </c>
      <c r="W986" s="1" t="str">
        <f>+Tabla__192.168.1.8_POSEIDONSQL_APPFVT_01_tblFillRateFechas[[#This Row],[con_ocnumero]]&amp;Tabla__192.168.1.8_POSEIDONSQL_APPFVT_01_tblFillRateFechas[[#This Row],[con_codigounico]]</f>
        <v>5005199038663386</v>
      </c>
      <c r="X9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7" spans="1:24" x14ac:dyDescent="0.25">
      <c r="A987">
        <v>3</v>
      </c>
      <c r="B987" t="s">
        <v>50</v>
      </c>
      <c r="C987">
        <v>50051990</v>
      </c>
      <c r="D987" t="s">
        <v>162</v>
      </c>
      <c r="E987" t="s">
        <v>419</v>
      </c>
      <c r="F987" t="s">
        <v>160</v>
      </c>
      <c r="G987">
        <v>1</v>
      </c>
      <c r="H987">
        <v>3</v>
      </c>
      <c r="I987" t="s">
        <v>415</v>
      </c>
      <c r="J987">
        <v>2</v>
      </c>
      <c r="K987" t="s">
        <v>1650</v>
      </c>
      <c r="L987" s="1">
        <f>+Tabla__192.168.1.8_POSEIDONSQL_APPFVT_01_tblFillRateFechas[[#This Row],[emb_cantidad]]-Tabla__192.168.1.8_POSEIDONSQL_APPFVT_01_tblFillRateFechas[[#This Row],[dev_cantidad]]</f>
        <v>1</v>
      </c>
      <c r="M987" s="1">
        <f>+IF(Tabla__192.168.1.8_POSEIDONSQL_APPFVT_01_tblFillRateFechas[[#This Row],[Cant_Resultante]]=Tabla__192.168.1.8_POSEIDONSQL_APPFVT_01_tblFillRateFechas[[#This Row],[cant_order]],1,0)</f>
        <v>1</v>
      </c>
      <c r="N9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7" s="1">
        <f>+IF(AND(Tabla__192.168.1.8_POSEIDONSQL_APPFVT_01_tblFillRateFechas[[#This Row],[Valida Cant]]=1,Tabla__192.168.1.8_POSEIDONSQL_APPFVT_01_tblFillRateFechas[[#This Row],[Valida Fec]]=1),1,0)</f>
        <v>1</v>
      </c>
      <c r="P987" s="1">
        <f>+(Tabla__192.168.1.8_POSEIDONSQL_APPFVT_01_tblFillRateFechas[[#This Row],[Cant_Resultante]]/Tabla__192.168.1.8_POSEIDONSQL_APPFVT_01_tblFillRateFechas[[#This Row],[cant_order]])*100</f>
        <v>100</v>
      </c>
      <c r="Q9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7" s="1">
        <f>+IF(Tabla__192.168.1.8_POSEIDONSQL_APPFVT_01_tblFillRateFechas[[#This Row],[cant_order]]&gt;0,1,0)</f>
        <v>1</v>
      </c>
      <c r="V987" s="1">
        <f>+IF(Tabla__192.168.1.8_POSEIDONSQL_APPFVT_01_tblFillRateFechas[[#This Row],[Resultado]]=1,1,0)</f>
        <v>1</v>
      </c>
      <c r="W987" s="1" t="str">
        <f>+Tabla__192.168.1.8_POSEIDONSQL_APPFVT_01_tblFillRateFechas[[#This Row],[con_ocnumero]]&amp;Tabla__192.168.1.8_POSEIDONSQL_APPFVT_01_tblFillRateFechas[[#This Row],[con_codigounico]]</f>
        <v>5005199038663403</v>
      </c>
      <c r="X9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8" spans="1:24" x14ac:dyDescent="0.25">
      <c r="A988">
        <v>3</v>
      </c>
      <c r="B988" t="s">
        <v>50</v>
      </c>
      <c r="C988">
        <v>50052041</v>
      </c>
      <c r="D988" t="s">
        <v>160</v>
      </c>
      <c r="E988" t="s">
        <v>415</v>
      </c>
      <c r="F988" t="s">
        <v>161</v>
      </c>
      <c r="G988">
        <v>1</v>
      </c>
      <c r="H988">
        <v>3</v>
      </c>
      <c r="I988" t="s">
        <v>415</v>
      </c>
      <c r="J988">
        <v>2</v>
      </c>
      <c r="K988" t="s">
        <v>1671</v>
      </c>
      <c r="L988" s="1">
        <f>+Tabla__192.168.1.8_POSEIDONSQL_APPFVT_01_tblFillRateFechas[[#This Row],[emb_cantidad]]-Tabla__192.168.1.8_POSEIDONSQL_APPFVT_01_tblFillRateFechas[[#This Row],[dev_cantidad]]</f>
        <v>1</v>
      </c>
      <c r="M988" s="1">
        <f>+IF(Tabla__192.168.1.8_POSEIDONSQL_APPFVT_01_tblFillRateFechas[[#This Row],[Cant_Resultante]]=Tabla__192.168.1.8_POSEIDONSQL_APPFVT_01_tblFillRateFechas[[#This Row],[cant_order]],1,0)</f>
        <v>1</v>
      </c>
      <c r="N9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88" s="1">
        <f>+IF(AND(Tabla__192.168.1.8_POSEIDONSQL_APPFVT_01_tblFillRateFechas[[#This Row],[Valida Cant]]=1,Tabla__192.168.1.8_POSEIDONSQL_APPFVT_01_tblFillRateFechas[[#This Row],[Valida Fec]]=1),1,0)</f>
        <v>1</v>
      </c>
      <c r="P988" s="1">
        <f>+(Tabla__192.168.1.8_POSEIDONSQL_APPFVT_01_tblFillRateFechas[[#This Row],[Cant_Resultante]]/Tabla__192.168.1.8_POSEIDONSQL_APPFVT_01_tblFillRateFechas[[#This Row],[cant_order]])*100</f>
        <v>100</v>
      </c>
      <c r="Q9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-1</v>
      </c>
      <c r="R9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2</v>
      </c>
      <c r="S9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8" s="1">
        <f>+IF(Tabla__192.168.1.8_POSEIDONSQL_APPFVT_01_tblFillRateFechas[[#This Row],[cant_order]]&gt;0,1,0)</f>
        <v>1</v>
      </c>
      <c r="V988" s="1">
        <f>+IF(Tabla__192.168.1.8_POSEIDONSQL_APPFVT_01_tblFillRateFechas[[#This Row],[Resultado]]=1,1,0)</f>
        <v>1</v>
      </c>
      <c r="W988" s="1" t="str">
        <f>+Tabla__192.168.1.8_POSEIDONSQL_APPFVT_01_tblFillRateFechas[[#This Row],[con_ocnumero]]&amp;Tabla__192.168.1.8_POSEIDONSQL_APPFVT_01_tblFillRateFechas[[#This Row],[con_codigounico]]</f>
        <v>5005204138663455</v>
      </c>
      <c r="X9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89" spans="1:24" x14ac:dyDescent="0.25">
      <c r="A989">
        <v>3</v>
      </c>
      <c r="B989" t="s">
        <v>50</v>
      </c>
      <c r="C989">
        <v>50052041</v>
      </c>
      <c r="D989" t="s">
        <v>160</v>
      </c>
      <c r="E989" t="s">
        <v>422</v>
      </c>
      <c r="F989" t="s">
        <v>161</v>
      </c>
      <c r="G989">
        <v>1</v>
      </c>
      <c r="H989">
        <v>4</v>
      </c>
      <c r="I989" t="s">
        <v>423</v>
      </c>
      <c r="J989">
        <v>3</v>
      </c>
      <c r="K989" t="s">
        <v>1528</v>
      </c>
      <c r="L989" s="1">
        <f>+Tabla__192.168.1.8_POSEIDONSQL_APPFVT_01_tblFillRateFechas[[#This Row],[emb_cantidad]]-Tabla__192.168.1.8_POSEIDONSQL_APPFVT_01_tblFillRateFechas[[#This Row],[dev_cantidad]]</f>
        <v>1</v>
      </c>
      <c r="M989" s="1">
        <f>+IF(Tabla__192.168.1.8_POSEIDONSQL_APPFVT_01_tblFillRateFechas[[#This Row],[Cant_Resultante]]=Tabla__192.168.1.8_POSEIDONSQL_APPFVT_01_tblFillRateFechas[[#This Row],[cant_order]],1,0)</f>
        <v>1</v>
      </c>
      <c r="N9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89" s="1">
        <f>+IF(AND(Tabla__192.168.1.8_POSEIDONSQL_APPFVT_01_tblFillRateFechas[[#This Row],[Valida Cant]]=1,Tabla__192.168.1.8_POSEIDONSQL_APPFVT_01_tblFillRateFechas[[#This Row],[Valida Fec]]=1),1,0)</f>
        <v>0</v>
      </c>
      <c r="P989" s="1">
        <f>+(Tabla__192.168.1.8_POSEIDONSQL_APPFVT_01_tblFillRateFechas[[#This Row],[Cant_Resultante]]/Tabla__192.168.1.8_POSEIDONSQL_APPFVT_01_tblFillRateFechas[[#This Row],[cant_order]])*100</f>
        <v>100</v>
      </c>
      <c r="Q9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-2</v>
      </c>
      <c r="R9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3</v>
      </c>
      <c r="S9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89" s="1">
        <f>+IF(Tabla__192.168.1.8_POSEIDONSQL_APPFVT_01_tblFillRateFechas[[#This Row],[cant_order]]&gt;0,1,0)</f>
        <v>1</v>
      </c>
      <c r="V989" s="1">
        <f>+IF(Tabla__192.168.1.8_POSEIDONSQL_APPFVT_01_tblFillRateFechas[[#This Row],[Resultado]]=1,1,0)</f>
        <v>0</v>
      </c>
      <c r="W989" s="1" t="str">
        <f>+Tabla__192.168.1.8_POSEIDONSQL_APPFVT_01_tblFillRateFechas[[#This Row],[con_ocnumero]]&amp;Tabla__192.168.1.8_POSEIDONSQL_APPFVT_01_tblFillRateFechas[[#This Row],[con_codigounico]]</f>
        <v>5005204138663587</v>
      </c>
      <c r="X9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0" spans="1:24" x14ac:dyDescent="0.25">
      <c r="A990">
        <v>3</v>
      </c>
      <c r="B990" t="s">
        <v>50</v>
      </c>
      <c r="C990">
        <v>50052088</v>
      </c>
      <c r="D990" t="s">
        <v>161</v>
      </c>
      <c r="E990" t="s">
        <v>415</v>
      </c>
      <c r="F990" t="s">
        <v>1969</v>
      </c>
      <c r="G990">
        <v>1</v>
      </c>
      <c r="H990">
        <v>2</v>
      </c>
      <c r="I990" t="s">
        <v>415</v>
      </c>
      <c r="J990">
        <v>1</v>
      </c>
      <c r="K990" t="s">
        <v>1479</v>
      </c>
      <c r="L990" s="1">
        <f>+Tabla__192.168.1.8_POSEIDONSQL_APPFVT_01_tblFillRateFechas[[#This Row],[emb_cantidad]]-Tabla__192.168.1.8_POSEIDONSQL_APPFVT_01_tblFillRateFechas[[#This Row],[dev_cantidad]]</f>
        <v>1</v>
      </c>
      <c r="M990" s="1">
        <f>+IF(Tabla__192.168.1.8_POSEIDONSQL_APPFVT_01_tblFillRateFechas[[#This Row],[Cant_Resultante]]=Tabla__192.168.1.8_POSEIDONSQL_APPFVT_01_tblFillRateFechas[[#This Row],[cant_order]],1,0)</f>
        <v>1</v>
      </c>
      <c r="N9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0" s="1">
        <f>+IF(AND(Tabla__192.168.1.8_POSEIDONSQL_APPFVT_01_tblFillRateFechas[[#This Row],[Valida Cant]]=1,Tabla__192.168.1.8_POSEIDONSQL_APPFVT_01_tblFillRateFechas[[#This Row],[Valida Fec]]=1),1,0)</f>
        <v>1</v>
      </c>
      <c r="P990" s="1">
        <f>+(Tabla__192.168.1.8_POSEIDONSQL_APPFVT_01_tblFillRateFechas[[#This Row],[Cant_Resultante]]/Tabla__192.168.1.8_POSEIDONSQL_APPFVT_01_tblFillRateFechas[[#This Row],[cant_order]])*100</f>
        <v>100</v>
      </c>
      <c r="Q9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0" s="1">
        <f>+IF(Tabla__192.168.1.8_POSEIDONSQL_APPFVT_01_tblFillRateFechas[[#This Row],[cant_order]]&gt;0,1,0)</f>
        <v>1</v>
      </c>
      <c r="V990" s="1">
        <f>+IF(Tabla__192.168.1.8_POSEIDONSQL_APPFVT_01_tblFillRateFechas[[#This Row],[Resultado]]=1,1,0)</f>
        <v>1</v>
      </c>
      <c r="W990" s="1" t="str">
        <f>+Tabla__192.168.1.8_POSEIDONSQL_APPFVT_01_tblFillRateFechas[[#This Row],[con_ocnumero]]&amp;Tabla__192.168.1.8_POSEIDONSQL_APPFVT_01_tblFillRateFechas[[#This Row],[con_codigounico]]</f>
        <v>5005208838663780</v>
      </c>
      <c r="X9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1" spans="1:24" x14ac:dyDescent="0.25">
      <c r="A991">
        <v>3</v>
      </c>
      <c r="B991" t="s">
        <v>50</v>
      </c>
      <c r="C991">
        <v>50052088</v>
      </c>
      <c r="D991" t="s">
        <v>161</v>
      </c>
      <c r="E991" t="s">
        <v>419</v>
      </c>
      <c r="F991" t="s">
        <v>1969</v>
      </c>
      <c r="G991">
        <v>1</v>
      </c>
      <c r="H991">
        <v>2</v>
      </c>
      <c r="I991" t="s">
        <v>415</v>
      </c>
      <c r="J991">
        <v>1</v>
      </c>
      <c r="K991" t="s">
        <v>1480</v>
      </c>
      <c r="L991" s="1">
        <f>+Tabla__192.168.1.8_POSEIDONSQL_APPFVT_01_tblFillRateFechas[[#This Row],[emb_cantidad]]-Tabla__192.168.1.8_POSEIDONSQL_APPFVT_01_tblFillRateFechas[[#This Row],[dev_cantidad]]</f>
        <v>1</v>
      </c>
      <c r="M991" s="1">
        <f>+IF(Tabla__192.168.1.8_POSEIDONSQL_APPFVT_01_tblFillRateFechas[[#This Row],[Cant_Resultante]]=Tabla__192.168.1.8_POSEIDONSQL_APPFVT_01_tblFillRateFechas[[#This Row],[cant_order]],1,0)</f>
        <v>1</v>
      </c>
      <c r="N9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1" s="1">
        <f>+IF(AND(Tabla__192.168.1.8_POSEIDONSQL_APPFVT_01_tblFillRateFechas[[#This Row],[Valida Cant]]=1,Tabla__192.168.1.8_POSEIDONSQL_APPFVT_01_tblFillRateFechas[[#This Row],[Valida Fec]]=1),1,0)</f>
        <v>1</v>
      </c>
      <c r="P991" s="1">
        <f>+(Tabla__192.168.1.8_POSEIDONSQL_APPFVT_01_tblFillRateFechas[[#This Row],[Cant_Resultante]]/Tabla__192.168.1.8_POSEIDONSQL_APPFVT_01_tblFillRateFechas[[#This Row],[cant_order]])*100</f>
        <v>100</v>
      </c>
      <c r="Q9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1" s="1">
        <f>+IF(Tabla__192.168.1.8_POSEIDONSQL_APPFVT_01_tblFillRateFechas[[#This Row],[cant_order]]&gt;0,1,0)</f>
        <v>1</v>
      </c>
      <c r="V991" s="1">
        <f>+IF(Tabla__192.168.1.8_POSEIDONSQL_APPFVT_01_tblFillRateFechas[[#This Row],[Resultado]]=1,1,0)</f>
        <v>1</v>
      </c>
      <c r="W991" s="1" t="str">
        <f>+Tabla__192.168.1.8_POSEIDONSQL_APPFVT_01_tblFillRateFechas[[#This Row],[con_ocnumero]]&amp;Tabla__192.168.1.8_POSEIDONSQL_APPFVT_01_tblFillRateFechas[[#This Row],[con_codigounico]]</f>
        <v>5005208838663978</v>
      </c>
      <c r="X9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2" spans="1:24" x14ac:dyDescent="0.25">
      <c r="A992">
        <v>3</v>
      </c>
      <c r="B992" t="s">
        <v>50</v>
      </c>
      <c r="C992">
        <v>50052210</v>
      </c>
      <c r="D992" t="s">
        <v>1982</v>
      </c>
      <c r="E992" t="s">
        <v>419</v>
      </c>
      <c r="F992" t="s">
        <v>163</v>
      </c>
      <c r="G992">
        <v>1</v>
      </c>
      <c r="H992">
        <v>2</v>
      </c>
      <c r="I992" t="s">
        <v>415</v>
      </c>
      <c r="J992">
        <v>1</v>
      </c>
      <c r="K992" t="s">
        <v>1476</v>
      </c>
      <c r="L992" s="1">
        <f>+Tabla__192.168.1.8_POSEIDONSQL_APPFVT_01_tblFillRateFechas[[#This Row],[emb_cantidad]]-Tabla__192.168.1.8_POSEIDONSQL_APPFVT_01_tblFillRateFechas[[#This Row],[dev_cantidad]]</f>
        <v>1</v>
      </c>
      <c r="M992" s="1">
        <f>+IF(Tabla__192.168.1.8_POSEIDONSQL_APPFVT_01_tblFillRateFechas[[#This Row],[Cant_Resultante]]=Tabla__192.168.1.8_POSEIDONSQL_APPFVT_01_tblFillRateFechas[[#This Row],[cant_order]],1,0)</f>
        <v>1</v>
      </c>
      <c r="N9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2" s="1">
        <f>+IF(AND(Tabla__192.168.1.8_POSEIDONSQL_APPFVT_01_tblFillRateFechas[[#This Row],[Valida Cant]]=1,Tabla__192.168.1.8_POSEIDONSQL_APPFVT_01_tblFillRateFechas[[#This Row],[Valida Fec]]=1),1,0)</f>
        <v>1</v>
      </c>
      <c r="P992" s="1">
        <f>+(Tabla__192.168.1.8_POSEIDONSQL_APPFVT_01_tblFillRateFechas[[#This Row],[Cant_Resultante]]/Tabla__192.168.1.8_POSEIDONSQL_APPFVT_01_tblFillRateFechas[[#This Row],[cant_order]])*100</f>
        <v>100</v>
      </c>
      <c r="Q9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2" s="1">
        <f>+IF(Tabla__192.168.1.8_POSEIDONSQL_APPFVT_01_tblFillRateFechas[[#This Row],[cant_order]]&gt;0,1,0)</f>
        <v>1</v>
      </c>
      <c r="V992" s="1">
        <f>+IF(Tabla__192.168.1.8_POSEIDONSQL_APPFVT_01_tblFillRateFechas[[#This Row],[Resultado]]=1,1,0)</f>
        <v>1</v>
      </c>
      <c r="W992" s="1" t="str">
        <f>+Tabla__192.168.1.8_POSEIDONSQL_APPFVT_01_tblFillRateFechas[[#This Row],[con_ocnumero]]&amp;Tabla__192.168.1.8_POSEIDONSQL_APPFVT_01_tblFillRateFechas[[#This Row],[con_codigounico]]</f>
        <v>5005221038664568</v>
      </c>
      <c r="X9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3" spans="1:24" x14ac:dyDescent="0.25">
      <c r="A993">
        <v>3</v>
      </c>
      <c r="B993" t="s">
        <v>50</v>
      </c>
      <c r="C993">
        <v>50052210</v>
      </c>
      <c r="D993" t="s">
        <v>1982</v>
      </c>
      <c r="E993" t="s">
        <v>423</v>
      </c>
      <c r="F993" t="s">
        <v>163</v>
      </c>
      <c r="G993">
        <v>1</v>
      </c>
      <c r="H993">
        <v>2</v>
      </c>
      <c r="I993" t="s">
        <v>415</v>
      </c>
      <c r="J993">
        <v>1</v>
      </c>
      <c r="K993" t="s">
        <v>1477</v>
      </c>
      <c r="L993" s="1">
        <f>+Tabla__192.168.1.8_POSEIDONSQL_APPFVT_01_tblFillRateFechas[[#This Row],[emb_cantidad]]-Tabla__192.168.1.8_POSEIDONSQL_APPFVT_01_tblFillRateFechas[[#This Row],[dev_cantidad]]</f>
        <v>1</v>
      </c>
      <c r="M993" s="1">
        <f>+IF(Tabla__192.168.1.8_POSEIDONSQL_APPFVT_01_tblFillRateFechas[[#This Row],[Cant_Resultante]]=Tabla__192.168.1.8_POSEIDONSQL_APPFVT_01_tblFillRateFechas[[#This Row],[cant_order]],1,0)</f>
        <v>1</v>
      </c>
      <c r="N9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3" s="1">
        <f>+IF(AND(Tabla__192.168.1.8_POSEIDONSQL_APPFVT_01_tblFillRateFechas[[#This Row],[Valida Cant]]=1,Tabla__192.168.1.8_POSEIDONSQL_APPFVT_01_tblFillRateFechas[[#This Row],[Valida Fec]]=1),1,0)</f>
        <v>1</v>
      </c>
      <c r="P993" s="1">
        <f>+(Tabla__192.168.1.8_POSEIDONSQL_APPFVT_01_tblFillRateFechas[[#This Row],[Cant_Resultante]]/Tabla__192.168.1.8_POSEIDONSQL_APPFVT_01_tblFillRateFechas[[#This Row],[cant_order]])*100</f>
        <v>100</v>
      </c>
      <c r="Q9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1</v>
      </c>
      <c r="S9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3" s="1">
        <f>+IF(Tabla__192.168.1.8_POSEIDONSQL_APPFVT_01_tblFillRateFechas[[#This Row],[cant_order]]&gt;0,1,0)</f>
        <v>1</v>
      </c>
      <c r="V993" s="1">
        <f>+IF(Tabla__192.168.1.8_POSEIDONSQL_APPFVT_01_tblFillRateFechas[[#This Row],[Resultado]]=1,1,0)</f>
        <v>1</v>
      </c>
      <c r="W993" s="1" t="str">
        <f>+Tabla__192.168.1.8_POSEIDONSQL_APPFVT_01_tblFillRateFechas[[#This Row],[con_ocnumero]]&amp;Tabla__192.168.1.8_POSEIDONSQL_APPFVT_01_tblFillRateFechas[[#This Row],[con_codigounico]]</f>
        <v>5005221038664717</v>
      </c>
      <c r="X9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4" spans="1:24" x14ac:dyDescent="0.25">
      <c r="A994">
        <v>3</v>
      </c>
      <c r="B994" t="s">
        <v>50</v>
      </c>
      <c r="C994">
        <v>50052249</v>
      </c>
      <c r="D994" t="s">
        <v>163</v>
      </c>
      <c r="E994" t="s">
        <v>415</v>
      </c>
      <c r="F994" t="s">
        <v>429</v>
      </c>
      <c r="G994">
        <v>1</v>
      </c>
      <c r="H994">
        <v>0</v>
      </c>
      <c r="I994" t="s">
        <v>12</v>
      </c>
      <c r="J994">
        <v>0</v>
      </c>
      <c r="K994" t="s">
        <v>869</v>
      </c>
      <c r="L994" s="1">
        <f>+Tabla__192.168.1.8_POSEIDONSQL_APPFVT_01_tblFillRateFechas[[#This Row],[emb_cantidad]]-Tabla__192.168.1.8_POSEIDONSQL_APPFVT_01_tblFillRateFechas[[#This Row],[dev_cantidad]]</f>
        <v>0</v>
      </c>
      <c r="M994" s="1">
        <f>+IF(Tabla__192.168.1.8_POSEIDONSQL_APPFVT_01_tblFillRateFechas[[#This Row],[Cant_Resultante]]=Tabla__192.168.1.8_POSEIDONSQL_APPFVT_01_tblFillRateFechas[[#This Row],[cant_order]],1,0)</f>
        <v>0</v>
      </c>
      <c r="N9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94" s="1">
        <f>+IF(AND(Tabla__192.168.1.8_POSEIDONSQL_APPFVT_01_tblFillRateFechas[[#This Row],[Valida Cant]]=1,Tabla__192.168.1.8_POSEIDONSQL_APPFVT_01_tblFillRateFechas[[#This Row],[Valida Fec]]=1),1,0)</f>
        <v>0</v>
      </c>
      <c r="P994" s="1">
        <f>+(Tabla__192.168.1.8_POSEIDONSQL_APPFVT_01_tblFillRateFechas[[#This Row],[Cant_Resultante]]/Tabla__192.168.1.8_POSEIDONSQL_APPFVT_01_tblFillRateFechas[[#This Row],[cant_order]])*100</f>
        <v>0</v>
      </c>
      <c r="Q9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994" s="1">
        <f>+IF(Tabla__192.168.1.8_POSEIDONSQL_APPFVT_01_tblFillRateFechas[[#This Row],[cant_order]]&gt;0,1,0)</f>
        <v>1</v>
      </c>
      <c r="V994" s="1">
        <f>+IF(Tabla__192.168.1.8_POSEIDONSQL_APPFVT_01_tblFillRateFechas[[#This Row],[Resultado]]=1,1,0)</f>
        <v>0</v>
      </c>
      <c r="W994" s="1" t="str">
        <f>+Tabla__192.168.1.8_POSEIDONSQL_APPFVT_01_tblFillRateFechas[[#This Row],[con_ocnumero]]&amp;Tabla__192.168.1.8_POSEIDONSQL_APPFVT_01_tblFillRateFechas[[#This Row],[con_codigounico]]</f>
        <v>5005224938664853</v>
      </c>
      <c r="X9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95" spans="1:24" x14ac:dyDescent="0.25">
      <c r="A995">
        <v>3</v>
      </c>
      <c r="B995" t="s">
        <v>50</v>
      </c>
      <c r="C995">
        <v>50052249</v>
      </c>
      <c r="D995" t="s">
        <v>163</v>
      </c>
      <c r="E995" t="s">
        <v>422</v>
      </c>
      <c r="F995" t="s">
        <v>429</v>
      </c>
      <c r="G995">
        <v>1</v>
      </c>
      <c r="H995">
        <v>1</v>
      </c>
      <c r="I995" t="s">
        <v>422</v>
      </c>
      <c r="J995">
        <v>0</v>
      </c>
      <c r="K995" t="s">
        <v>870</v>
      </c>
      <c r="L995" s="1">
        <f>+Tabla__192.168.1.8_POSEIDONSQL_APPFVT_01_tblFillRateFechas[[#This Row],[emb_cantidad]]-Tabla__192.168.1.8_POSEIDONSQL_APPFVT_01_tblFillRateFechas[[#This Row],[dev_cantidad]]</f>
        <v>1</v>
      </c>
      <c r="M995" s="1">
        <f>+IF(Tabla__192.168.1.8_POSEIDONSQL_APPFVT_01_tblFillRateFechas[[#This Row],[Cant_Resultante]]=Tabla__192.168.1.8_POSEIDONSQL_APPFVT_01_tblFillRateFechas[[#This Row],[cant_order]],1,0)</f>
        <v>1</v>
      </c>
      <c r="N9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5" s="1">
        <f>+IF(AND(Tabla__192.168.1.8_POSEIDONSQL_APPFVT_01_tblFillRateFechas[[#This Row],[Valida Cant]]=1,Tabla__192.168.1.8_POSEIDONSQL_APPFVT_01_tblFillRateFechas[[#This Row],[Valida Fec]]=1),1,0)</f>
        <v>1</v>
      </c>
      <c r="P995" s="1">
        <f>+(Tabla__192.168.1.8_POSEIDONSQL_APPFVT_01_tblFillRateFechas[[#This Row],[Cant_Resultante]]/Tabla__192.168.1.8_POSEIDONSQL_APPFVT_01_tblFillRateFechas[[#This Row],[cant_order]])*100</f>
        <v>100</v>
      </c>
      <c r="Q9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5" s="1">
        <f>+IF(Tabla__192.168.1.8_POSEIDONSQL_APPFVT_01_tblFillRateFechas[[#This Row],[cant_order]]&gt;0,1,0)</f>
        <v>1</v>
      </c>
      <c r="V995" s="1">
        <f>+IF(Tabla__192.168.1.8_POSEIDONSQL_APPFVT_01_tblFillRateFechas[[#This Row],[Resultado]]=1,1,0)</f>
        <v>1</v>
      </c>
      <c r="W995" s="1" t="str">
        <f>+Tabla__192.168.1.8_POSEIDONSQL_APPFVT_01_tblFillRateFechas[[#This Row],[con_ocnumero]]&amp;Tabla__192.168.1.8_POSEIDONSQL_APPFVT_01_tblFillRateFechas[[#This Row],[con_codigounico]]</f>
        <v>5005224938664986</v>
      </c>
      <c r="X9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6" spans="1:24" x14ac:dyDescent="0.25">
      <c r="A996">
        <v>3</v>
      </c>
      <c r="B996" t="s">
        <v>50</v>
      </c>
      <c r="C996">
        <v>50052330</v>
      </c>
      <c r="D996" t="s">
        <v>427</v>
      </c>
      <c r="E996" t="s">
        <v>416</v>
      </c>
      <c r="F996" t="s">
        <v>425</v>
      </c>
      <c r="G996">
        <v>1</v>
      </c>
      <c r="H996">
        <v>0</v>
      </c>
      <c r="I996" t="s">
        <v>12</v>
      </c>
      <c r="J996">
        <v>0</v>
      </c>
      <c r="K996" t="s">
        <v>889</v>
      </c>
      <c r="L996" s="1">
        <f>+Tabla__192.168.1.8_POSEIDONSQL_APPFVT_01_tblFillRateFechas[[#This Row],[emb_cantidad]]-Tabla__192.168.1.8_POSEIDONSQL_APPFVT_01_tblFillRateFechas[[#This Row],[dev_cantidad]]</f>
        <v>0</v>
      </c>
      <c r="M996" s="1">
        <f>+IF(Tabla__192.168.1.8_POSEIDONSQL_APPFVT_01_tblFillRateFechas[[#This Row],[Cant_Resultante]]=Tabla__192.168.1.8_POSEIDONSQL_APPFVT_01_tblFillRateFechas[[#This Row],[cant_order]],1,0)</f>
        <v>0</v>
      </c>
      <c r="N9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96" s="1">
        <f>+IF(AND(Tabla__192.168.1.8_POSEIDONSQL_APPFVT_01_tblFillRateFechas[[#This Row],[Valida Cant]]=1,Tabla__192.168.1.8_POSEIDONSQL_APPFVT_01_tblFillRateFechas[[#This Row],[Valida Fec]]=1),1,0)</f>
        <v>0</v>
      </c>
      <c r="P996" s="1">
        <f>+(Tabla__192.168.1.8_POSEIDONSQL_APPFVT_01_tblFillRateFechas[[#This Row],[Cant_Resultante]]/Tabla__192.168.1.8_POSEIDONSQL_APPFVT_01_tblFillRateFechas[[#This Row],[cant_order]])*100</f>
        <v>0</v>
      </c>
      <c r="Q9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996" s="1">
        <f>+IF(Tabla__192.168.1.8_POSEIDONSQL_APPFVT_01_tblFillRateFechas[[#This Row],[cant_order]]&gt;0,1,0)</f>
        <v>1</v>
      </c>
      <c r="V996" s="1">
        <f>+IF(Tabla__192.168.1.8_POSEIDONSQL_APPFVT_01_tblFillRateFechas[[#This Row],[Resultado]]=1,1,0)</f>
        <v>0</v>
      </c>
      <c r="W996" s="1" t="str">
        <f>+Tabla__192.168.1.8_POSEIDONSQL_APPFVT_01_tblFillRateFechas[[#This Row],[con_ocnumero]]&amp;Tabla__192.168.1.8_POSEIDONSQL_APPFVT_01_tblFillRateFechas[[#This Row],[con_codigounico]]</f>
        <v>5005233038665387</v>
      </c>
      <c r="X9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97" spans="1:24" x14ac:dyDescent="0.25">
      <c r="A997">
        <v>3</v>
      </c>
      <c r="B997" t="s">
        <v>50</v>
      </c>
      <c r="C997">
        <v>50052368</v>
      </c>
      <c r="D997" t="s">
        <v>425</v>
      </c>
      <c r="E997" t="s">
        <v>416</v>
      </c>
      <c r="F997" t="s">
        <v>426</v>
      </c>
      <c r="G997">
        <v>1</v>
      </c>
      <c r="H997">
        <v>0</v>
      </c>
      <c r="I997" t="s">
        <v>12</v>
      </c>
      <c r="J997">
        <v>0</v>
      </c>
      <c r="K997" t="s">
        <v>1993</v>
      </c>
      <c r="L997" s="1">
        <f>+Tabla__192.168.1.8_POSEIDONSQL_APPFVT_01_tblFillRateFechas[[#This Row],[emb_cantidad]]-Tabla__192.168.1.8_POSEIDONSQL_APPFVT_01_tblFillRateFechas[[#This Row],[dev_cantidad]]</f>
        <v>0</v>
      </c>
      <c r="M997" s="1">
        <f>+IF(Tabla__192.168.1.8_POSEIDONSQL_APPFVT_01_tblFillRateFechas[[#This Row],[Cant_Resultante]]=Tabla__192.168.1.8_POSEIDONSQL_APPFVT_01_tblFillRateFechas[[#This Row],[cant_order]],1,0)</f>
        <v>0</v>
      </c>
      <c r="N9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97" s="1">
        <f>+IF(AND(Tabla__192.168.1.8_POSEIDONSQL_APPFVT_01_tblFillRateFechas[[#This Row],[Valida Cant]]=1,Tabla__192.168.1.8_POSEIDONSQL_APPFVT_01_tblFillRateFechas[[#This Row],[Valida Fec]]=1),1,0)</f>
        <v>0</v>
      </c>
      <c r="P997" s="1">
        <f>+(Tabla__192.168.1.8_POSEIDONSQL_APPFVT_01_tblFillRateFechas[[#This Row],[Cant_Resultante]]/Tabla__192.168.1.8_POSEIDONSQL_APPFVT_01_tblFillRateFechas[[#This Row],[cant_order]])*100</f>
        <v>0</v>
      </c>
      <c r="Q9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9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997" s="1">
        <f>+IF(Tabla__192.168.1.8_POSEIDONSQL_APPFVT_01_tblFillRateFechas[[#This Row],[cant_order]]&gt;0,1,0)</f>
        <v>1</v>
      </c>
      <c r="V997" s="1">
        <f>+IF(Tabla__192.168.1.8_POSEIDONSQL_APPFVT_01_tblFillRateFechas[[#This Row],[Resultado]]=1,1,0)</f>
        <v>0</v>
      </c>
      <c r="W997" s="1" t="str">
        <f>+Tabla__192.168.1.8_POSEIDONSQL_APPFVT_01_tblFillRateFechas[[#This Row],[con_ocnumero]]&amp;Tabla__192.168.1.8_POSEIDONSQL_APPFVT_01_tblFillRateFechas[[#This Row],[con_codigounico]]</f>
        <v>5005236838665507</v>
      </c>
      <c r="X9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998" spans="1:24" x14ac:dyDescent="0.25">
      <c r="A998">
        <v>3</v>
      </c>
      <c r="B998" t="s">
        <v>50</v>
      </c>
      <c r="C998">
        <v>50052459</v>
      </c>
      <c r="D998" t="s">
        <v>430</v>
      </c>
      <c r="E998" t="s">
        <v>420</v>
      </c>
      <c r="F998" t="s">
        <v>415</v>
      </c>
      <c r="G998">
        <v>1</v>
      </c>
      <c r="H998">
        <v>1</v>
      </c>
      <c r="I998" t="s">
        <v>416</v>
      </c>
      <c r="J998">
        <v>0</v>
      </c>
      <c r="K998" t="s">
        <v>657</v>
      </c>
      <c r="L998" s="1">
        <f>+Tabla__192.168.1.8_POSEIDONSQL_APPFVT_01_tblFillRateFechas[[#This Row],[emb_cantidad]]-Tabla__192.168.1.8_POSEIDONSQL_APPFVT_01_tblFillRateFechas[[#This Row],[dev_cantidad]]</f>
        <v>1</v>
      </c>
      <c r="M998" s="1">
        <f>+IF(Tabla__192.168.1.8_POSEIDONSQL_APPFVT_01_tblFillRateFechas[[#This Row],[Cant_Resultante]]=Tabla__192.168.1.8_POSEIDONSQL_APPFVT_01_tblFillRateFechas[[#This Row],[cant_order]],1,0)</f>
        <v>1</v>
      </c>
      <c r="N9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998" s="1">
        <f>+IF(AND(Tabla__192.168.1.8_POSEIDONSQL_APPFVT_01_tblFillRateFechas[[#This Row],[Valida Cant]]=1,Tabla__192.168.1.8_POSEIDONSQL_APPFVT_01_tblFillRateFechas[[#This Row],[Valida Fec]]=1),1,0)</f>
        <v>1</v>
      </c>
      <c r="P998" s="1">
        <f>+(Tabla__192.168.1.8_POSEIDONSQL_APPFVT_01_tblFillRateFechas[[#This Row],[Cant_Resultante]]/Tabla__192.168.1.8_POSEIDONSQL_APPFVT_01_tblFillRateFechas[[#This Row],[cant_order]])*100</f>
        <v>100</v>
      </c>
      <c r="Q9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9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9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998" s="1">
        <f>+IF(Tabla__192.168.1.8_POSEIDONSQL_APPFVT_01_tblFillRateFechas[[#This Row],[cant_order]]&gt;0,1,0)</f>
        <v>1</v>
      </c>
      <c r="V998" s="1">
        <f>+IF(Tabla__192.168.1.8_POSEIDONSQL_APPFVT_01_tblFillRateFechas[[#This Row],[Resultado]]=1,1,0)</f>
        <v>1</v>
      </c>
      <c r="W998" s="1" t="str">
        <f>+Tabla__192.168.1.8_POSEIDONSQL_APPFVT_01_tblFillRateFechas[[#This Row],[con_ocnumero]]&amp;Tabla__192.168.1.8_POSEIDONSQL_APPFVT_01_tblFillRateFechas[[#This Row],[con_codigounico]]</f>
        <v>5005245938666031</v>
      </c>
      <c r="X9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999" spans="1:24" x14ac:dyDescent="0.25">
      <c r="A999">
        <v>9</v>
      </c>
      <c r="B999" t="s">
        <v>48</v>
      </c>
      <c r="C999">
        <v>9199196</v>
      </c>
      <c r="D999" t="s">
        <v>1969</v>
      </c>
      <c r="E999" t="s">
        <v>426</v>
      </c>
      <c r="F999" t="s">
        <v>163</v>
      </c>
      <c r="G999">
        <v>1</v>
      </c>
      <c r="H999">
        <v>1</v>
      </c>
      <c r="I999" t="s">
        <v>416</v>
      </c>
      <c r="J999">
        <v>1</v>
      </c>
      <c r="K999" t="s">
        <v>1318</v>
      </c>
      <c r="L999" s="1">
        <f>+Tabla__192.168.1.8_POSEIDONSQL_APPFVT_01_tblFillRateFechas[[#This Row],[emb_cantidad]]-Tabla__192.168.1.8_POSEIDONSQL_APPFVT_01_tblFillRateFechas[[#This Row],[dev_cantidad]]</f>
        <v>0</v>
      </c>
      <c r="M999" s="1">
        <f>+IF(Tabla__192.168.1.8_POSEIDONSQL_APPFVT_01_tblFillRateFechas[[#This Row],[Cant_Resultante]]=Tabla__192.168.1.8_POSEIDONSQL_APPFVT_01_tblFillRateFechas[[#This Row],[cant_order]],1,0)</f>
        <v>0</v>
      </c>
      <c r="N9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999" s="1">
        <f>+IF(AND(Tabla__192.168.1.8_POSEIDONSQL_APPFVT_01_tblFillRateFechas[[#This Row],[Valida Cant]]=1,Tabla__192.168.1.8_POSEIDONSQL_APPFVT_01_tblFillRateFechas[[#This Row],[Valida Fec]]=1),1,0)</f>
        <v>0</v>
      </c>
      <c r="P999" s="1">
        <f>+(Tabla__192.168.1.8_POSEIDONSQL_APPFVT_01_tblFillRateFechas[[#This Row],[Cant_Resultante]]/Tabla__192.168.1.8_POSEIDONSQL_APPFVT_01_tblFillRateFechas[[#This Row],[cant_order]])*100</f>
        <v>0</v>
      </c>
      <c r="Q9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9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9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-1</v>
      </c>
      <c r="T9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2</v>
      </c>
      <c r="U999" s="1">
        <f>+IF(Tabla__192.168.1.8_POSEIDONSQL_APPFVT_01_tblFillRateFechas[[#This Row],[cant_order]]&gt;0,1,0)</f>
        <v>1</v>
      </c>
      <c r="V999" s="1">
        <f>+IF(Tabla__192.168.1.8_POSEIDONSQL_APPFVT_01_tblFillRateFechas[[#This Row],[Resultado]]=1,1,0)</f>
        <v>0</v>
      </c>
      <c r="W999" s="1" t="str">
        <f>+Tabla__192.168.1.8_POSEIDONSQL_APPFVT_01_tblFillRateFechas[[#This Row],[con_ocnumero]]&amp;Tabla__192.168.1.8_POSEIDONSQL_APPFVT_01_tblFillRateFechas[[#This Row],[con_codigounico]]</f>
        <v>91991960030121809075091013061</v>
      </c>
      <c r="X9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000" spans="1:24" x14ac:dyDescent="0.25">
      <c r="A1000">
        <v>9</v>
      </c>
      <c r="B1000" t="s">
        <v>48</v>
      </c>
      <c r="C1000">
        <v>9179720</v>
      </c>
      <c r="D1000" t="s">
        <v>12</v>
      </c>
      <c r="E1000" t="s">
        <v>1980</v>
      </c>
      <c r="F1000" t="s">
        <v>12</v>
      </c>
      <c r="G1000">
        <v>1</v>
      </c>
      <c r="H1000">
        <v>1</v>
      </c>
      <c r="I1000" t="s">
        <v>1980</v>
      </c>
      <c r="J1000">
        <v>0</v>
      </c>
      <c r="K1000" t="s">
        <v>689</v>
      </c>
      <c r="L1000" s="1">
        <f>+Tabla__192.168.1.8_POSEIDONSQL_APPFVT_01_tblFillRateFechas[[#This Row],[emb_cantidad]]-Tabla__192.168.1.8_POSEIDONSQL_APPFVT_01_tblFillRateFechas[[#This Row],[dev_cantidad]]</f>
        <v>1</v>
      </c>
      <c r="M1000" s="1">
        <f>+IF(Tabla__192.168.1.8_POSEIDONSQL_APPFVT_01_tblFillRateFechas[[#This Row],[Cant_Resultante]]=Tabla__192.168.1.8_POSEIDONSQL_APPFVT_01_tblFillRateFechas[[#This Row],[cant_order]],1,0)</f>
        <v>1</v>
      </c>
      <c r="N10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0" s="1">
        <f>+IF(AND(Tabla__192.168.1.8_POSEIDONSQL_APPFVT_01_tblFillRateFechas[[#This Row],[Valida Cant]]=1,Tabla__192.168.1.8_POSEIDONSQL_APPFVT_01_tblFillRateFechas[[#This Row],[Valida Fec]]=1),1,0)</f>
        <v>1</v>
      </c>
      <c r="P1000" s="1">
        <f>+(Tabla__192.168.1.8_POSEIDONSQL_APPFVT_01_tblFillRateFechas[[#This Row],[Cant_Resultante]]/Tabla__192.168.1.8_POSEIDONSQL_APPFVT_01_tblFillRateFechas[[#This Row],[cant_order]])*100</f>
        <v>100</v>
      </c>
      <c r="Q10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0" s="1">
        <f>+IF(Tabla__192.168.1.8_POSEIDONSQL_APPFVT_01_tblFillRateFechas[[#This Row],[cant_order]]&gt;0,1,0)</f>
        <v>1</v>
      </c>
      <c r="V1000" s="1">
        <f>+IF(Tabla__192.168.1.8_POSEIDONSQL_APPFVT_01_tblFillRateFechas[[#This Row],[Resultado]]=1,1,0)</f>
        <v>1</v>
      </c>
      <c r="W1000" s="1" t="str">
        <f>+Tabla__192.168.1.8_POSEIDONSQL_APPFVT_01_tblFillRateFechas[[#This Row],[con_ocnumero]]&amp;Tabla__192.168.1.8_POSEIDONSQL_APPFVT_01_tblFillRateFechas[[#This Row],[con_codigounico]]</f>
        <v>91797200040331808069810015875</v>
      </c>
      <c r="X10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1" spans="1:24" x14ac:dyDescent="0.25">
      <c r="A1001">
        <v>9</v>
      </c>
      <c r="B1001" t="s">
        <v>48</v>
      </c>
      <c r="C1001">
        <v>9182783</v>
      </c>
      <c r="D1001" t="s">
        <v>12</v>
      </c>
      <c r="E1001" t="s">
        <v>1963</v>
      </c>
      <c r="F1001" t="s">
        <v>12</v>
      </c>
      <c r="G1001">
        <v>1</v>
      </c>
      <c r="H1001">
        <v>1</v>
      </c>
      <c r="I1001" t="s">
        <v>1963</v>
      </c>
      <c r="J1001">
        <v>0</v>
      </c>
      <c r="K1001" t="s">
        <v>1082</v>
      </c>
      <c r="L1001" s="1">
        <f>+Tabla__192.168.1.8_POSEIDONSQL_APPFVT_01_tblFillRateFechas[[#This Row],[emb_cantidad]]-Tabla__192.168.1.8_POSEIDONSQL_APPFVT_01_tblFillRateFechas[[#This Row],[dev_cantidad]]</f>
        <v>1</v>
      </c>
      <c r="M1001" s="1">
        <f>+IF(Tabla__192.168.1.8_POSEIDONSQL_APPFVT_01_tblFillRateFechas[[#This Row],[Cant_Resultante]]=Tabla__192.168.1.8_POSEIDONSQL_APPFVT_01_tblFillRateFechas[[#This Row],[cant_order]],1,0)</f>
        <v>1</v>
      </c>
      <c r="N10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1" s="1">
        <f>+IF(AND(Tabla__192.168.1.8_POSEIDONSQL_APPFVT_01_tblFillRateFechas[[#This Row],[Valida Cant]]=1,Tabla__192.168.1.8_POSEIDONSQL_APPFVT_01_tblFillRateFechas[[#This Row],[Valida Fec]]=1),1,0)</f>
        <v>1</v>
      </c>
      <c r="P1001" s="1">
        <f>+(Tabla__192.168.1.8_POSEIDONSQL_APPFVT_01_tblFillRateFechas[[#This Row],[Cant_Resultante]]/Tabla__192.168.1.8_POSEIDONSQL_APPFVT_01_tblFillRateFechas[[#This Row],[cant_order]])*100</f>
        <v>100</v>
      </c>
      <c r="Q10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1" s="1">
        <f>+IF(Tabla__192.168.1.8_POSEIDONSQL_APPFVT_01_tblFillRateFechas[[#This Row],[cant_order]]&gt;0,1,0)</f>
        <v>1</v>
      </c>
      <c r="V1001" s="1">
        <f>+IF(Tabla__192.168.1.8_POSEIDONSQL_APPFVT_01_tblFillRateFechas[[#This Row],[Resultado]]=1,1,0)</f>
        <v>1</v>
      </c>
      <c r="W1001" s="1" t="str">
        <f>+Tabla__192.168.1.8_POSEIDONSQL_APPFVT_01_tblFillRateFechas[[#This Row],[con_ocnumero]]&amp;Tabla__192.168.1.8_POSEIDONSQL_APPFVT_01_tblFillRateFechas[[#This Row],[con_codigounico]]</f>
        <v>91827830040331808119920015924</v>
      </c>
      <c r="X10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2" spans="1:24" x14ac:dyDescent="0.25">
      <c r="A1002">
        <v>9</v>
      </c>
      <c r="B1002" t="s">
        <v>48</v>
      </c>
      <c r="C1002">
        <v>9187212</v>
      </c>
      <c r="D1002" t="s">
        <v>1975</v>
      </c>
      <c r="E1002" t="s">
        <v>1963</v>
      </c>
      <c r="F1002" t="s">
        <v>1978</v>
      </c>
      <c r="G1002">
        <v>1</v>
      </c>
      <c r="H1002">
        <v>1</v>
      </c>
      <c r="I1002" t="s">
        <v>1963</v>
      </c>
      <c r="J1002">
        <v>0</v>
      </c>
      <c r="K1002" t="s">
        <v>772</v>
      </c>
      <c r="L1002" s="1">
        <f>+Tabla__192.168.1.8_POSEIDONSQL_APPFVT_01_tblFillRateFechas[[#This Row],[emb_cantidad]]-Tabla__192.168.1.8_POSEIDONSQL_APPFVT_01_tblFillRateFechas[[#This Row],[dev_cantidad]]</f>
        <v>1</v>
      </c>
      <c r="M1002" s="1">
        <f>+IF(Tabla__192.168.1.8_POSEIDONSQL_APPFVT_01_tblFillRateFechas[[#This Row],[Cant_Resultante]]=Tabla__192.168.1.8_POSEIDONSQL_APPFVT_01_tblFillRateFechas[[#This Row],[cant_order]],1,0)</f>
        <v>1</v>
      </c>
      <c r="N10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2" s="1">
        <f>+IF(AND(Tabla__192.168.1.8_POSEIDONSQL_APPFVT_01_tblFillRateFechas[[#This Row],[Valida Cant]]=1,Tabla__192.168.1.8_POSEIDONSQL_APPFVT_01_tblFillRateFechas[[#This Row],[Valida Fec]]=1),1,0)</f>
        <v>1</v>
      </c>
      <c r="P1002" s="1">
        <f>+(Tabla__192.168.1.8_POSEIDONSQL_APPFVT_01_tblFillRateFechas[[#This Row],[Cant_Resultante]]/Tabla__192.168.1.8_POSEIDONSQL_APPFVT_01_tblFillRateFechas[[#This Row],[cant_order]])*100</f>
        <v>100</v>
      </c>
      <c r="Q10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2" s="1">
        <f>+IF(Tabla__192.168.1.8_POSEIDONSQL_APPFVT_01_tblFillRateFechas[[#This Row],[cant_order]]&gt;0,1,0)</f>
        <v>1</v>
      </c>
      <c r="V1002" s="1">
        <f>+IF(Tabla__192.168.1.8_POSEIDONSQL_APPFVT_01_tblFillRateFechas[[#This Row],[Resultado]]=1,1,0)</f>
        <v>1</v>
      </c>
      <c r="W1002" s="1" t="str">
        <f>+Tabla__192.168.1.8_POSEIDONSQL_APPFVT_01_tblFillRateFechas[[#This Row],[con_ocnumero]]&amp;Tabla__192.168.1.8_POSEIDONSQL_APPFVT_01_tblFillRateFechas[[#This Row],[con_codigounico]]</f>
        <v>91872120040331808200063015973</v>
      </c>
      <c r="X10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3" spans="1:24" x14ac:dyDescent="0.25">
      <c r="A1003">
        <v>9</v>
      </c>
      <c r="B1003" t="s">
        <v>48</v>
      </c>
      <c r="C1003">
        <v>9180795</v>
      </c>
      <c r="D1003" t="s">
        <v>12</v>
      </c>
      <c r="E1003" t="s">
        <v>1962</v>
      </c>
      <c r="F1003" t="s">
        <v>12</v>
      </c>
      <c r="G1003">
        <v>1</v>
      </c>
      <c r="H1003">
        <v>1</v>
      </c>
      <c r="I1003" t="s">
        <v>1962</v>
      </c>
      <c r="J1003">
        <v>0</v>
      </c>
      <c r="K1003" t="s">
        <v>710</v>
      </c>
      <c r="L1003" s="1">
        <f>+Tabla__192.168.1.8_POSEIDONSQL_APPFVT_01_tblFillRateFechas[[#This Row],[emb_cantidad]]-Tabla__192.168.1.8_POSEIDONSQL_APPFVT_01_tblFillRateFechas[[#This Row],[dev_cantidad]]</f>
        <v>1</v>
      </c>
      <c r="M1003" s="1">
        <f>+IF(Tabla__192.168.1.8_POSEIDONSQL_APPFVT_01_tblFillRateFechas[[#This Row],[Cant_Resultante]]=Tabla__192.168.1.8_POSEIDONSQL_APPFVT_01_tblFillRateFechas[[#This Row],[cant_order]],1,0)</f>
        <v>1</v>
      </c>
      <c r="N10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3" s="1">
        <f>+IF(AND(Tabla__192.168.1.8_POSEIDONSQL_APPFVT_01_tblFillRateFechas[[#This Row],[Valida Cant]]=1,Tabla__192.168.1.8_POSEIDONSQL_APPFVT_01_tblFillRateFechas[[#This Row],[Valida Fec]]=1),1,0)</f>
        <v>1</v>
      </c>
      <c r="P1003" s="1">
        <f>+(Tabla__192.168.1.8_POSEIDONSQL_APPFVT_01_tblFillRateFechas[[#This Row],[Cant_Resultante]]/Tabla__192.168.1.8_POSEIDONSQL_APPFVT_01_tblFillRateFechas[[#This Row],[cant_order]])*100</f>
        <v>100</v>
      </c>
      <c r="Q10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3" s="1">
        <f>+IF(Tabla__192.168.1.8_POSEIDONSQL_APPFVT_01_tblFillRateFechas[[#This Row],[cant_order]]&gt;0,1,0)</f>
        <v>1</v>
      </c>
      <c r="V1003" s="1">
        <f>+IF(Tabla__192.168.1.8_POSEIDONSQL_APPFVT_01_tblFillRateFechas[[#This Row],[Resultado]]=1,1,0)</f>
        <v>1</v>
      </c>
      <c r="W1003" s="1" t="str">
        <f>+Tabla__192.168.1.8_POSEIDONSQL_APPFVT_01_tblFillRateFechas[[#This Row],[con_ocnumero]]&amp;Tabla__192.168.1.8_POSEIDONSQL_APPFVT_01_tblFillRateFechas[[#This Row],[con_codigounico]]</f>
        <v>91807950040391808073520000537</v>
      </c>
      <c r="X10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4" spans="1:24" x14ac:dyDescent="0.25">
      <c r="A1004">
        <v>9</v>
      </c>
      <c r="B1004" t="s">
        <v>48</v>
      </c>
      <c r="C1004">
        <v>9184141</v>
      </c>
      <c r="D1004" t="s">
        <v>12</v>
      </c>
      <c r="E1004" t="s">
        <v>1969</v>
      </c>
      <c r="F1004" t="s">
        <v>12</v>
      </c>
      <c r="G1004">
        <v>1</v>
      </c>
      <c r="H1004">
        <v>1</v>
      </c>
      <c r="I1004" t="s">
        <v>1969</v>
      </c>
      <c r="J1004">
        <v>0</v>
      </c>
      <c r="K1004" t="s">
        <v>1406</v>
      </c>
      <c r="L1004" s="1">
        <f>+Tabla__192.168.1.8_POSEIDONSQL_APPFVT_01_tblFillRateFechas[[#This Row],[emb_cantidad]]-Tabla__192.168.1.8_POSEIDONSQL_APPFVT_01_tblFillRateFechas[[#This Row],[dev_cantidad]]</f>
        <v>1</v>
      </c>
      <c r="M1004" s="1">
        <f>+IF(Tabla__192.168.1.8_POSEIDONSQL_APPFVT_01_tblFillRateFechas[[#This Row],[Cant_Resultante]]=Tabla__192.168.1.8_POSEIDONSQL_APPFVT_01_tblFillRateFechas[[#This Row],[cant_order]],1,0)</f>
        <v>1</v>
      </c>
      <c r="N10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4" s="1">
        <f>+IF(AND(Tabla__192.168.1.8_POSEIDONSQL_APPFVT_01_tblFillRateFechas[[#This Row],[Valida Cant]]=1,Tabla__192.168.1.8_POSEIDONSQL_APPFVT_01_tblFillRateFechas[[#This Row],[Valida Fec]]=1),1,0)</f>
        <v>1</v>
      </c>
      <c r="P1004" s="1">
        <f>+(Tabla__192.168.1.8_POSEIDONSQL_APPFVT_01_tblFillRateFechas[[#This Row],[Cant_Resultante]]/Tabla__192.168.1.8_POSEIDONSQL_APPFVT_01_tblFillRateFechas[[#This Row],[cant_order]])*100</f>
        <v>100</v>
      </c>
      <c r="Q10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4" s="1">
        <f>+IF(Tabla__192.168.1.8_POSEIDONSQL_APPFVT_01_tblFillRateFechas[[#This Row],[cant_order]]&gt;0,1,0)</f>
        <v>1</v>
      </c>
      <c r="V1004" s="1">
        <f>+IF(Tabla__192.168.1.8_POSEIDONSQL_APPFVT_01_tblFillRateFechas[[#This Row],[Resultado]]=1,1,0)</f>
        <v>1</v>
      </c>
      <c r="W1004" s="1" t="str">
        <f>+Tabla__192.168.1.8_POSEIDONSQL_APPFVT_01_tblFillRateFechas[[#This Row],[con_ocnumero]]&amp;Tabla__192.168.1.8_POSEIDONSQL_APPFVT_01_tblFillRateFechas[[#This Row],[con_codigounico]]</f>
        <v>91841410040391808143633000577</v>
      </c>
      <c r="X10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5" spans="1:24" x14ac:dyDescent="0.25">
      <c r="A1005">
        <v>9</v>
      </c>
      <c r="B1005" t="s">
        <v>48</v>
      </c>
      <c r="C1005">
        <v>9187962</v>
      </c>
      <c r="D1005" t="s">
        <v>1978</v>
      </c>
      <c r="E1005" t="s">
        <v>1980</v>
      </c>
      <c r="F1005" t="s">
        <v>1979</v>
      </c>
      <c r="G1005">
        <v>1</v>
      </c>
      <c r="H1005">
        <v>1</v>
      </c>
      <c r="I1005" t="s">
        <v>1980</v>
      </c>
      <c r="J1005">
        <v>0</v>
      </c>
      <c r="K1005" t="s">
        <v>1208</v>
      </c>
      <c r="L1005" s="1">
        <f>+Tabla__192.168.1.8_POSEIDONSQL_APPFVT_01_tblFillRateFechas[[#This Row],[emb_cantidad]]-Tabla__192.168.1.8_POSEIDONSQL_APPFVT_01_tblFillRateFechas[[#This Row],[dev_cantidad]]</f>
        <v>1</v>
      </c>
      <c r="M1005" s="1">
        <f>+IF(Tabla__192.168.1.8_POSEIDONSQL_APPFVT_01_tblFillRateFechas[[#This Row],[Cant_Resultante]]=Tabla__192.168.1.8_POSEIDONSQL_APPFVT_01_tblFillRateFechas[[#This Row],[cant_order]],1,0)</f>
        <v>1</v>
      </c>
      <c r="N10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5" s="1">
        <f>+IF(AND(Tabla__192.168.1.8_POSEIDONSQL_APPFVT_01_tblFillRateFechas[[#This Row],[Valida Cant]]=1,Tabla__192.168.1.8_POSEIDONSQL_APPFVT_01_tblFillRateFechas[[#This Row],[Valida Fec]]=1),1,0)</f>
        <v>1</v>
      </c>
      <c r="P1005" s="1">
        <f>+(Tabla__192.168.1.8_POSEIDONSQL_APPFVT_01_tblFillRateFechas[[#This Row],[Cant_Resultante]]/Tabla__192.168.1.8_POSEIDONSQL_APPFVT_01_tblFillRateFechas[[#This Row],[cant_order]])*100</f>
        <v>100</v>
      </c>
      <c r="Q10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5" s="1">
        <f>+IF(Tabla__192.168.1.8_POSEIDONSQL_APPFVT_01_tblFillRateFechas[[#This Row],[cant_order]]&gt;0,1,0)</f>
        <v>1</v>
      </c>
      <c r="V1005" s="1">
        <f>+IF(Tabla__192.168.1.8_POSEIDONSQL_APPFVT_01_tblFillRateFechas[[#This Row],[Resultado]]=1,1,0)</f>
        <v>1</v>
      </c>
      <c r="W1005" s="1" t="str">
        <f>+Tabla__192.168.1.8_POSEIDONSQL_APPFVT_01_tblFillRateFechas[[#This Row],[con_ocnumero]]&amp;Tabla__192.168.1.8_POSEIDONSQL_APPFVT_01_tblFillRateFechas[[#This Row],[con_codigounico]]</f>
        <v>91879620040391808213755000623</v>
      </c>
      <c r="X10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6" spans="1:24" x14ac:dyDescent="0.25">
      <c r="A1006">
        <v>9</v>
      </c>
      <c r="B1006" t="s">
        <v>48</v>
      </c>
      <c r="C1006">
        <v>9194705</v>
      </c>
      <c r="D1006" t="s">
        <v>1966</v>
      </c>
      <c r="E1006" t="s">
        <v>1969</v>
      </c>
      <c r="F1006" t="s">
        <v>1963</v>
      </c>
      <c r="G1006">
        <v>1</v>
      </c>
      <c r="H1006">
        <v>1</v>
      </c>
      <c r="I1006" t="s">
        <v>1969</v>
      </c>
      <c r="J1006">
        <v>0</v>
      </c>
      <c r="K1006" t="s">
        <v>1637</v>
      </c>
      <c r="L1006" s="1">
        <f>+Tabla__192.168.1.8_POSEIDONSQL_APPFVT_01_tblFillRateFechas[[#This Row],[emb_cantidad]]-Tabla__192.168.1.8_POSEIDONSQL_APPFVT_01_tblFillRateFechas[[#This Row],[dev_cantidad]]</f>
        <v>1</v>
      </c>
      <c r="M1006" s="1">
        <f>+IF(Tabla__192.168.1.8_POSEIDONSQL_APPFVT_01_tblFillRateFechas[[#This Row],[Cant_Resultante]]=Tabla__192.168.1.8_POSEIDONSQL_APPFVT_01_tblFillRateFechas[[#This Row],[cant_order]],1,0)</f>
        <v>1</v>
      </c>
      <c r="N10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6" s="1">
        <f>+IF(AND(Tabla__192.168.1.8_POSEIDONSQL_APPFVT_01_tblFillRateFechas[[#This Row],[Valida Cant]]=1,Tabla__192.168.1.8_POSEIDONSQL_APPFVT_01_tblFillRateFechas[[#This Row],[Valida Fec]]=1),1,0)</f>
        <v>1</v>
      </c>
      <c r="P1006" s="1">
        <f>+(Tabla__192.168.1.8_POSEIDONSQL_APPFVT_01_tblFillRateFechas[[#This Row],[Cant_Resultante]]/Tabla__192.168.1.8_POSEIDONSQL_APPFVT_01_tblFillRateFechas[[#This Row],[cant_order]])*100</f>
        <v>100</v>
      </c>
      <c r="Q10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6" s="1">
        <f>+IF(Tabla__192.168.1.8_POSEIDONSQL_APPFVT_01_tblFillRateFechas[[#This Row],[cant_order]]&gt;0,1,0)</f>
        <v>1</v>
      </c>
      <c r="V1006" s="1">
        <f>+IF(Tabla__192.168.1.8_POSEIDONSQL_APPFVT_01_tblFillRateFechas[[#This Row],[Resultado]]=1,1,0)</f>
        <v>1</v>
      </c>
      <c r="W1006" s="1" t="str">
        <f>+Tabla__192.168.1.8_POSEIDONSQL_APPFVT_01_tblFillRateFechas[[#This Row],[con_ocnumero]]&amp;Tabla__192.168.1.8_POSEIDONSQL_APPFVT_01_tblFillRateFechas[[#This Row],[con_codigounico]]</f>
        <v>91947050040391809013952000690</v>
      </c>
      <c r="X10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7" spans="1:24" x14ac:dyDescent="0.25">
      <c r="A1007">
        <v>9</v>
      </c>
      <c r="B1007" t="s">
        <v>48</v>
      </c>
      <c r="C1007">
        <v>9194705</v>
      </c>
      <c r="D1007" t="s">
        <v>1966</v>
      </c>
      <c r="E1007" t="s">
        <v>1969</v>
      </c>
      <c r="F1007" t="s">
        <v>1963</v>
      </c>
      <c r="G1007">
        <v>1</v>
      </c>
      <c r="H1007">
        <v>1</v>
      </c>
      <c r="I1007" t="s">
        <v>1969</v>
      </c>
      <c r="J1007">
        <v>0</v>
      </c>
      <c r="K1007" t="s">
        <v>1636</v>
      </c>
      <c r="L1007" s="1">
        <f>+Tabla__192.168.1.8_POSEIDONSQL_APPFVT_01_tblFillRateFechas[[#This Row],[emb_cantidad]]-Tabla__192.168.1.8_POSEIDONSQL_APPFVT_01_tblFillRateFechas[[#This Row],[dev_cantidad]]</f>
        <v>1</v>
      </c>
      <c r="M1007" s="1">
        <f>+IF(Tabla__192.168.1.8_POSEIDONSQL_APPFVT_01_tblFillRateFechas[[#This Row],[Cant_Resultante]]=Tabla__192.168.1.8_POSEIDONSQL_APPFVT_01_tblFillRateFechas[[#This Row],[cant_order]],1,0)</f>
        <v>1</v>
      </c>
      <c r="N10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7" s="1">
        <f>+IF(AND(Tabla__192.168.1.8_POSEIDONSQL_APPFVT_01_tblFillRateFechas[[#This Row],[Valida Cant]]=1,Tabla__192.168.1.8_POSEIDONSQL_APPFVT_01_tblFillRateFechas[[#This Row],[Valida Fec]]=1),1,0)</f>
        <v>1</v>
      </c>
      <c r="P1007" s="1">
        <f>+(Tabla__192.168.1.8_POSEIDONSQL_APPFVT_01_tblFillRateFechas[[#This Row],[Cant_Resultante]]/Tabla__192.168.1.8_POSEIDONSQL_APPFVT_01_tblFillRateFechas[[#This Row],[cant_order]])*100</f>
        <v>100</v>
      </c>
      <c r="Q10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7" s="1">
        <f>+IF(Tabla__192.168.1.8_POSEIDONSQL_APPFVT_01_tblFillRateFechas[[#This Row],[cant_order]]&gt;0,1,0)</f>
        <v>1</v>
      </c>
      <c r="V1007" s="1">
        <f>+IF(Tabla__192.168.1.8_POSEIDONSQL_APPFVT_01_tblFillRateFechas[[#This Row],[Resultado]]=1,1,0)</f>
        <v>1</v>
      </c>
      <c r="W1007" s="1" t="str">
        <f>+Tabla__192.168.1.8_POSEIDONSQL_APPFVT_01_tblFillRateFechas[[#This Row],[con_ocnumero]]&amp;Tabla__192.168.1.8_POSEIDONSQL_APPFVT_01_tblFillRateFechas[[#This Row],[con_codigounico]]</f>
        <v>91947050040391809013952000691</v>
      </c>
      <c r="X10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8" spans="1:24" x14ac:dyDescent="0.25">
      <c r="A1008">
        <v>9</v>
      </c>
      <c r="B1008" t="s">
        <v>48</v>
      </c>
      <c r="C1008">
        <v>9205942</v>
      </c>
      <c r="D1008" t="s">
        <v>422</v>
      </c>
      <c r="E1008" t="s">
        <v>420</v>
      </c>
      <c r="F1008" t="s">
        <v>416</v>
      </c>
      <c r="G1008">
        <v>1</v>
      </c>
      <c r="H1008">
        <v>1</v>
      </c>
      <c r="I1008" t="s">
        <v>420</v>
      </c>
      <c r="J1008">
        <v>0</v>
      </c>
      <c r="K1008" t="s">
        <v>1356</v>
      </c>
      <c r="L1008" s="1">
        <f>+Tabla__192.168.1.8_POSEIDONSQL_APPFVT_01_tblFillRateFechas[[#This Row],[emb_cantidad]]-Tabla__192.168.1.8_POSEIDONSQL_APPFVT_01_tblFillRateFechas[[#This Row],[dev_cantidad]]</f>
        <v>1</v>
      </c>
      <c r="M1008" s="1">
        <f>+IF(Tabla__192.168.1.8_POSEIDONSQL_APPFVT_01_tblFillRateFechas[[#This Row],[Cant_Resultante]]=Tabla__192.168.1.8_POSEIDONSQL_APPFVT_01_tblFillRateFechas[[#This Row],[cant_order]],1,0)</f>
        <v>1</v>
      </c>
      <c r="N10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8" s="1">
        <f>+IF(AND(Tabla__192.168.1.8_POSEIDONSQL_APPFVT_01_tblFillRateFechas[[#This Row],[Valida Cant]]=1,Tabla__192.168.1.8_POSEIDONSQL_APPFVT_01_tblFillRateFechas[[#This Row],[Valida Fec]]=1),1,0)</f>
        <v>1</v>
      </c>
      <c r="P1008" s="1">
        <f>+(Tabla__192.168.1.8_POSEIDONSQL_APPFVT_01_tblFillRateFechas[[#This Row],[Cant_Resultante]]/Tabla__192.168.1.8_POSEIDONSQL_APPFVT_01_tblFillRateFechas[[#This Row],[cant_order]])*100</f>
        <v>100</v>
      </c>
      <c r="Q10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8" s="1">
        <f>+IF(Tabla__192.168.1.8_POSEIDONSQL_APPFVT_01_tblFillRateFechas[[#This Row],[cant_order]]&gt;0,1,0)</f>
        <v>1</v>
      </c>
      <c r="V1008" s="1">
        <f>+IF(Tabla__192.168.1.8_POSEIDONSQL_APPFVT_01_tblFillRateFechas[[#This Row],[Resultado]]=1,1,0)</f>
        <v>1</v>
      </c>
      <c r="W1008" s="1" t="str">
        <f>+Tabla__192.168.1.8_POSEIDONSQL_APPFVT_01_tblFillRateFechas[[#This Row],[con_ocnumero]]&amp;Tabla__192.168.1.8_POSEIDONSQL_APPFVT_01_tblFillRateFechas[[#This Row],[con_codigounico]]</f>
        <v>92059420040391809214267000787</v>
      </c>
      <c r="X10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09" spans="1:24" x14ac:dyDescent="0.25">
      <c r="A1009">
        <v>9</v>
      </c>
      <c r="B1009" t="s">
        <v>48</v>
      </c>
      <c r="C1009">
        <v>9205273</v>
      </c>
      <c r="D1009" t="s">
        <v>415</v>
      </c>
      <c r="E1009" t="s">
        <v>420</v>
      </c>
      <c r="F1009" t="s">
        <v>422</v>
      </c>
      <c r="G1009">
        <v>1</v>
      </c>
      <c r="H1009">
        <v>1</v>
      </c>
      <c r="I1009" t="s">
        <v>420</v>
      </c>
      <c r="J1009">
        <v>0</v>
      </c>
      <c r="K1009" t="s">
        <v>927</v>
      </c>
      <c r="L1009" s="1">
        <f>+Tabla__192.168.1.8_POSEIDONSQL_APPFVT_01_tblFillRateFechas[[#This Row],[emb_cantidad]]-Tabla__192.168.1.8_POSEIDONSQL_APPFVT_01_tblFillRateFechas[[#This Row],[dev_cantidad]]</f>
        <v>1</v>
      </c>
      <c r="M1009" s="1">
        <f>+IF(Tabla__192.168.1.8_POSEIDONSQL_APPFVT_01_tblFillRateFechas[[#This Row],[Cant_Resultante]]=Tabla__192.168.1.8_POSEIDONSQL_APPFVT_01_tblFillRateFechas[[#This Row],[cant_order]],1,0)</f>
        <v>1</v>
      </c>
      <c r="N10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09" s="1">
        <f>+IF(AND(Tabla__192.168.1.8_POSEIDONSQL_APPFVT_01_tblFillRateFechas[[#This Row],[Valida Cant]]=1,Tabla__192.168.1.8_POSEIDONSQL_APPFVT_01_tblFillRateFechas[[#This Row],[Valida Fec]]=1),1,0)</f>
        <v>1</v>
      </c>
      <c r="P1009" s="1">
        <f>+(Tabla__192.168.1.8_POSEIDONSQL_APPFVT_01_tblFillRateFechas[[#This Row],[Cant_Resultante]]/Tabla__192.168.1.8_POSEIDONSQL_APPFVT_01_tblFillRateFechas[[#This Row],[cant_order]])*100</f>
        <v>100</v>
      </c>
      <c r="Q10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09" s="1">
        <f>+IF(Tabla__192.168.1.8_POSEIDONSQL_APPFVT_01_tblFillRateFechas[[#This Row],[cant_order]]&gt;0,1,0)</f>
        <v>1</v>
      </c>
      <c r="V1009" s="1">
        <f>+IF(Tabla__192.168.1.8_POSEIDONSQL_APPFVT_01_tblFillRateFechas[[#This Row],[Resultado]]=1,1,0)</f>
        <v>1</v>
      </c>
      <c r="W1009" s="1" t="str">
        <f>+Tabla__192.168.1.8_POSEIDONSQL_APPFVT_01_tblFillRateFechas[[#This Row],[con_ocnumero]]&amp;Tabla__192.168.1.8_POSEIDONSQL_APPFVT_01_tblFillRateFechas[[#This Row],[con_codigounico]]</f>
        <v>92052730070561809203948000921</v>
      </c>
      <c r="X10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0" spans="1:24" x14ac:dyDescent="0.25">
      <c r="A1010">
        <v>9</v>
      </c>
      <c r="B1010" t="s">
        <v>48</v>
      </c>
      <c r="C1010">
        <v>9187416</v>
      </c>
      <c r="D1010" t="s">
        <v>1975</v>
      </c>
      <c r="E1010" t="s">
        <v>1971</v>
      </c>
      <c r="F1010" t="s">
        <v>1978</v>
      </c>
      <c r="G1010">
        <v>1</v>
      </c>
      <c r="H1010">
        <v>1</v>
      </c>
      <c r="I1010" t="s">
        <v>1971</v>
      </c>
      <c r="J1010">
        <v>0</v>
      </c>
      <c r="K1010" t="s">
        <v>1053</v>
      </c>
      <c r="L1010" s="1">
        <f>+Tabla__192.168.1.8_POSEIDONSQL_APPFVT_01_tblFillRateFechas[[#This Row],[emb_cantidad]]-Tabla__192.168.1.8_POSEIDONSQL_APPFVT_01_tblFillRateFechas[[#This Row],[dev_cantidad]]</f>
        <v>1</v>
      </c>
      <c r="M1010" s="1">
        <f>+IF(Tabla__192.168.1.8_POSEIDONSQL_APPFVT_01_tblFillRateFechas[[#This Row],[Cant_Resultante]]=Tabla__192.168.1.8_POSEIDONSQL_APPFVT_01_tblFillRateFechas[[#This Row],[cant_order]],1,0)</f>
        <v>1</v>
      </c>
      <c r="N10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0" s="1">
        <f>+IF(AND(Tabla__192.168.1.8_POSEIDONSQL_APPFVT_01_tblFillRateFechas[[#This Row],[Valida Cant]]=1,Tabla__192.168.1.8_POSEIDONSQL_APPFVT_01_tblFillRateFechas[[#This Row],[Valida Fec]]=1),1,0)</f>
        <v>1</v>
      </c>
      <c r="P1010" s="1">
        <f>+(Tabla__192.168.1.8_POSEIDONSQL_APPFVT_01_tblFillRateFechas[[#This Row],[Cant_Resultante]]/Tabla__192.168.1.8_POSEIDONSQL_APPFVT_01_tblFillRateFechas[[#This Row],[cant_order]])*100</f>
        <v>100</v>
      </c>
      <c r="Q10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0" s="1">
        <f>+IF(Tabla__192.168.1.8_POSEIDONSQL_APPFVT_01_tblFillRateFechas[[#This Row],[cant_order]]&gt;0,1,0)</f>
        <v>1</v>
      </c>
      <c r="V1010" s="1">
        <f>+IF(Tabla__192.168.1.8_POSEIDONSQL_APPFVT_01_tblFillRateFechas[[#This Row],[Resultado]]=1,1,0)</f>
        <v>1</v>
      </c>
      <c r="W1010" s="1" t="str">
        <f>+Tabla__192.168.1.8_POSEIDONSQL_APPFVT_01_tblFillRateFechas[[#This Row],[con_ocnumero]]&amp;Tabla__192.168.1.8_POSEIDONSQL_APPFVT_01_tblFillRateFechas[[#This Row],[con_codigounico]]</f>
        <v>91874160090051808200156002904</v>
      </c>
      <c r="X10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1" spans="1:24" x14ac:dyDescent="0.25">
      <c r="A1011">
        <v>9</v>
      </c>
      <c r="B1011" t="s">
        <v>48</v>
      </c>
      <c r="C1011">
        <v>9203291</v>
      </c>
      <c r="D1011" t="s">
        <v>426</v>
      </c>
      <c r="E1011" t="s">
        <v>416</v>
      </c>
      <c r="F1011" t="s">
        <v>415</v>
      </c>
      <c r="G1011">
        <v>1</v>
      </c>
      <c r="H1011">
        <v>0</v>
      </c>
      <c r="I1011" t="s">
        <v>12</v>
      </c>
      <c r="J1011">
        <v>0</v>
      </c>
      <c r="K1011" t="s">
        <v>1919</v>
      </c>
      <c r="L1011" s="1">
        <f>+Tabla__192.168.1.8_POSEIDONSQL_APPFVT_01_tblFillRateFechas[[#This Row],[emb_cantidad]]-Tabla__192.168.1.8_POSEIDONSQL_APPFVT_01_tblFillRateFechas[[#This Row],[dev_cantidad]]</f>
        <v>0</v>
      </c>
      <c r="M1011" s="1">
        <f>+IF(Tabla__192.168.1.8_POSEIDONSQL_APPFVT_01_tblFillRateFechas[[#This Row],[Cant_Resultante]]=Tabla__192.168.1.8_POSEIDONSQL_APPFVT_01_tblFillRateFechas[[#This Row],[cant_order]],1,0)</f>
        <v>0</v>
      </c>
      <c r="N10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011" s="1">
        <f>+IF(AND(Tabla__192.168.1.8_POSEIDONSQL_APPFVT_01_tblFillRateFechas[[#This Row],[Valida Cant]]=1,Tabla__192.168.1.8_POSEIDONSQL_APPFVT_01_tblFillRateFechas[[#This Row],[Valida Fec]]=1),1,0)</f>
        <v>0</v>
      </c>
      <c r="P1011" s="1">
        <f>+(Tabla__192.168.1.8_POSEIDONSQL_APPFVT_01_tblFillRateFechas[[#This Row],[Cant_Resultante]]/Tabla__192.168.1.8_POSEIDONSQL_APPFVT_01_tblFillRateFechas[[#This Row],[cant_order]])*100</f>
        <v>0</v>
      </c>
      <c r="Q10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0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0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011" s="1">
        <f>+IF(Tabla__192.168.1.8_POSEIDONSQL_APPFVT_01_tblFillRateFechas[[#This Row],[cant_order]]&gt;0,1,0)</f>
        <v>1</v>
      </c>
      <c r="V1011" s="1">
        <f>+IF(Tabla__192.168.1.8_POSEIDONSQL_APPFVT_01_tblFillRateFechas[[#This Row],[Resultado]]=1,1,0)</f>
        <v>0</v>
      </c>
      <c r="W1011" s="1" t="str">
        <f>+Tabla__192.168.1.8_POSEIDONSQL_APPFVT_01_tblFillRateFechas[[#This Row],[con_ocnumero]]&amp;Tabla__192.168.1.8_POSEIDONSQL_APPFVT_01_tblFillRateFechas[[#This Row],[con_codigounico]]</f>
        <v>92032910090051809140573002942</v>
      </c>
      <c r="X10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012" spans="1:24" x14ac:dyDescent="0.25">
      <c r="A1012">
        <v>9</v>
      </c>
      <c r="B1012" t="s">
        <v>48</v>
      </c>
      <c r="C1012">
        <v>9189989</v>
      </c>
      <c r="D1012" t="s">
        <v>1981</v>
      </c>
      <c r="E1012" t="s">
        <v>1963</v>
      </c>
      <c r="F1012" t="s">
        <v>1971</v>
      </c>
      <c r="G1012">
        <v>1</v>
      </c>
      <c r="H1012">
        <v>1</v>
      </c>
      <c r="I1012" t="s">
        <v>1963</v>
      </c>
      <c r="J1012">
        <v>0</v>
      </c>
      <c r="K1012" t="s">
        <v>764</v>
      </c>
      <c r="L1012" s="1">
        <f>+Tabla__192.168.1.8_POSEIDONSQL_APPFVT_01_tblFillRateFechas[[#This Row],[emb_cantidad]]-Tabla__192.168.1.8_POSEIDONSQL_APPFVT_01_tblFillRateFechas[[#This Row],[dev_cantidad]]</f>
        <v>1</v>
      </c>
      <c r="M1012" s="1">
        <f>+IF(Tabla__192.168.1.8_POSEIDONSQL_APPFVT_01_tblFillRateFechas[[#This Row],[Cant_Resultante]]=Tabla__192.168.1.8_POSEIDONSQL_APPFVT_01_tblFillRateFechas[[#This Row],[cant_order]],1,0)</f>
        <v>1</v>
      </c>
      <c r="N10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2" s="1">
        <f>+IF(AND(Tabla__192.168.1.8_POSEIDONSQL_APPFVT_01_tblFillRateFechas[[#This Row],[Valida Cant]]=1,Tabla__192.168.1.8_POSEIDONSQL_APPFVT_01_tblFillRateFechas[[#This Row],[Valida Fec]]=1),1,0)</f>
        <v>1</v>
      </c>
      <c r="P1012" s="1">
        <f>+(Tabla__192.168.1.8_POSEIDONSQL_APPFVT_01_tblFillRateFechas[[#This Row],[Cant_Resultante]]/Tabla__192.168.1.8_POSEIDONSQL_APPFVT_01_tblFillRateFechas[[#This Row],[cant_order]])*100</f>
        <v>100</v>
      </c>
      <c r="Q10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2" s="1">
        <f>+IF(Tabla__192.168.1.8_POSEIDONSQL_APPFVT_01_tblFillRateFechas[[#This Row],[cant_order]]&gt;0,1,0)</f>
        <v>1</v>
      </c>
      <c r="V1012" s="1">
        <f>+IF(Tabla__192.168.1.8_POSEIDONSQL_APPFVT_01_tblFillRateFechas[[#This Row],[Resultado]]=1,1,0)</f>
        <v>1</v>
      </c>
      <c r="W1012" s="1" t="str">
        <f>+Tabla__192.168.1.8_POSEIDONSQL_APPFVT_01_tblFillRateFechas[[#This Row],[con_ocnumero]]&amp;Tabla__192.168.1.8_POSEIDONSQL_APPFVT_01_tblFillRateFechas[[#This Row],[con_codigounico]]</f>
        <v>91899890090091808258587011630</v>
      </c>
      <c r="X10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3" spans="1:24" x14ac:dyDescent="0.25">
      <c r="A1013">
        <v>9</v>
      </c>
      <c r="B1013" t="s">
        <v>48</v>
      </c>
      <c r="C1013">
        <v>9191186</v>
      </c>
      <c r="D1013" t="s">
        <v>1971</v>
      </c>
      <c r="E1013" t="s">
        <v>1963</v>
      </c>
      <c r="F1013" t="s">
        <v>1965</v>
      </c>
      <c r="G1013">
        <v>1</v>
      </c>
      <c r="H1013">
        <v>1</v>
      </c>
      <c r="I1013" t="s">
        <v>1963</v>
      </c>
      <c r="J1013">
        <v>0</v>
      </c>
      <c r="K1013" t="s">
        <v>1392</v>
      </c>
      <c r="L1013" s="1">
        <f>+Tabla__192.168.1.8_POSEIDONSQL_APPFVT_01_tblFillRateFechas[[#This Row],[emb_cantidad]]-Tabla__192.168.1.8_POSEIDONSQL_APPFVT_01_tblFillRateFechas[[#This Row],[dev_cantidad]]</f>
        <v>1</v>
      </c>
      <c r="M1013" s="1">
        <f>+IF(Tabla__192.168.1.8_POSEIDONSQL_APPFVT_01_tblFillRateFechas[[#This Row],[Cant_Resultante]]=Tabla__192.168.1.8_POSEIDONSQL_APPFVT_01_tblFillRateFechas[[#This Row],[cant_order]],1,0)</f>
        <v>1</v>
      </c>
      <c r="N10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3" s="1">
        <f>+IF(AND(Tabla__192.168.1.8_POSEIDONSQL_APPFVT_01_tblFillRateFechas[[#This Row],[Valida Cant]]=1,Tabla__192.168.1.8_POSEIDONSQL_APPFVT_01_tblFillRateFechas[[#This Row],[Valida Fec]]=1),1,0)</f>
        <v>1</v>
      </c>
      <c r="P1013" s="1">
        <f>+(Tabla__192.168.1.8_POSEIDONSQL_APPFVT_01_tblFillRateFechas[[#This Row],[Cant_Resultante]]/Tabla__192.168.1.8_POSEIDONSQL_APPFVT_01_tblFillRateFechas[[#This Row],[cant_order]])*100</f>
        <v>100</v>
      </c>
      <c r="Q10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3" s="1">
        <f>+IF(Tabla__192.168.1.8_POSEIDONSQL_APPFVT_01_tblFillRateFechas[[#This Row],[cant_order]]&gt;0,1,0)</f>
        <v>1</v>
      </c>
      <c r="V1013" s="1">
        <f>+IF(Tabla__192.168.1.8_POSEIDONSQL_APPFVT_01_tblFillRateFechas[[#This Row],[Resultado]]=1,1,0)</f>
        <v>1</v>
      </c>
      <c r="W1013" s="1" t="str">
        <f>+Tabla__192.168.1.8_POSEIDONSQL_APPFVT_01_tblFillRateFechas[[#This Row],[con_ocnumero]]&amp;Tabla__192.168.1.8_POSEIDONSQL_APPFVT_01_tblFillRateFechas[[#This Row],[con_codigounico]]</f>
        <v>91911860090091808278647011632</v>
      </c>
      <c r="X10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4" spans="1:24" x14ac:dyDescent="0.25">
      <c r="A1014">
        <v>9</v>
      </c>
      <c r="B1014" t="s">
        <v>48</v>
      </c>
      <c r="C1014">
        <v>9181185</v>
      </c>
      <c r="D1014" t="s">
        <v>12</v>
      </c>
      <c r="E1014" t="s">
        <v>1962</v>
      </c>
      <c r="F1014" t="s">
        <v>12</v>
      </c>
      <c r="G1014">
        <v>1</v>
      </c>
      <c r="H1014">
        <v>1</v>
      </c>
      <c r="I1014" t="s">
        <v>1962</v>
      </c>
      <c r="J1014">
        <v>0</v>
      </c>
      <c r="K1014" t="s">
        <v>706</v>
      </c>
      <c r="L1014" s="1">
        <f>+Tabla__192.168.1.8_POSEIDONSQL_APPFVT_01_tblFillRateFechas[[#This Row],[emb_cantidad]]-Tabla__192.168.1.8_POSEIDONSQL_APPFVT_01_tblFillRateFechas[[#This Row],[dev_cantidad]]</f>
        <v>1</v>
      </c>
      <c r="M1014" s="1">
        <f>+IF(Tabla__192.168.1.8_POSEIDONSQL_APPFVT_01_tblFillRateFechas[[#This Row],[Cant_Resultante]]=Tabla__192.168.1.8_POSEIDONSQL_APPFVT_01_tblFillRateFechas[[#This Row],[cant_order]],1,0)</f>
        <v>1</v>
      </c>
      <c r="N10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4" s="1">
        <f>+IF(AND(Tabla__192.168.1.8_POSEIDONSQL_APPFVT_01_tblFillRateFechas[[#This Row],[Valida Cant]]=1,Tabla__192.168.1.8_POSEIDONSQL_APPFVT_01_tblFillRateFechas[[#This Row],[Valida Fec]]=1),1,0)</f>
        <v>1</v>
      </c>
      <c r="P1014" s="1">
        <f>+(Tabla__192.168.1.8_POSEIDONSQL_APPFVT_01_tblFillRateFechas[[#This Row],[Cant_Resultante]]/Tabla__192.168.1.8_POSEIDONSQL_APPFVT_01_tblFillRateFechas[[#This Row],[cant_order]])*100</f>
        <v>100</v>
      </c>
      <c r="Q10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4" s="1">
        <f>+IF(Tabla__192.168.1.8_POSEIDONSQL_APPFVT_01_tblFillRateFechas[[#This Row],[cant_order]]&gt;0,1,0)</f>
        <v>1</v>
      </c>
      <c r="V1014" s="1">
        <f>+IF(Tabla__192.168.1.8_POSEIDONSQL_APPFVT_01_tblFillRateFechas[[#This Row],[Resultado]]=1,1,0)</f>
        <v>1</v>
      </c>
      <c r="W1014" s="1" t="str">
        <f>+Tabla__192.168.1.8_POSEIDONSQL_APPFVT_01_tblFillRateFechas[[#This Row],[con_ocnumero]]&amp;Tabla__192.168.1.8_POSEIDONSQL_APPFVT_01_tblFillRateFechas[[#This Row],[con_codigounico]]</f>
        <v>91811850090231808081925018527</v>
      </c>
      <c r="X10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5" spans="1:24" x14ac:dyDescent="0.25">
      <c r="A1015">
        <v>9</v>
      </c>
      <c r="B1015" t="s">
        <v>48</v>
      </c>
      <c r="C1015">
        <v>9181783</v>
      </c>
      <c r="D1015" t="s">
        <v>12</v>
      </c>
      <c r="E1015" t="s">
        <v>1963</v>
      </c>
      <c r="F1015" t="s">
        <v>12</v>
      </c>
      <c r="G1015">
        <v>1</v>
      </c>
      <c r="H1015">
        <v>1</v>
      </c>
      <c r="I1015" t="s">
        <v>1963</v>
      </c>
      <c r="J1015">
        <v>0</v>
      </c>
      <c r="K1015" t="s">
        <v>1083</v>
      </c>
      <c r="L1015" s="1">
        <f>+Tabla__192.168.1.8_POSEIDONSQL_APPFVT_01_tblFillRateFechas[[#This Row],[emb_cantidad]]-Tabla__192.168.1.8_POSEIDONSQL_APPFVT_01_tblFillRateFechas[[#This Row],[dev_cantidad]]</f>
        <v>1</v>
      </c>
      <c r="M1015" s="1">
        <f>+IF(Tabla__192.168.1.8_POSEIDONSQL_APPFVT_01_tblFillRateFechas[[#This Row],[Cant_Resultante]]=Tabla__192.168.1.8_POSEIDONSQL_APPFVT_01_tblFillRateFechas[[#This Row],[cant_order]],1,0)</f>
        <v>1</v>
      </c>
      <c r="N10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5" s="1">
        <f>+IF(AND(Tabla__192.168.1.8_POSEIDONSQL_APPFVT_01_tblFillRateFechas[[#This Row],[Valida Cant]]=1,Tabla__192.168.1.8_POSEIDONSQL_APPFVT_01_tblFillRateFechas[[#This Row],[Valida Fec]]=1),1,0)</f>
        <v>1</v>
      </c>
      <c r="P1015" s="1">
        <f>+(Tabla__192.168.1.8_POSEIDONSQL_APPFVT_01_tblFillRateFechas[[#This Row],[Cant_Resultante]]/Tabla__192.168.1.8_POSEIDONSQL_APPFVT_01_tblFillRateFechas[[#This Row],[cant_order]])*100</f>
        <v>100</v>
      </c>
      <c r="Q10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5" s="1">
        <f>+IF(Tabla__192.168.1.8_POSEIDONSQL_APPFVT_01_tblFillRateFechas[[#This Row],[cant_order]]&gt;0,1,0)</f>
        <v>1</v>
      </c>
      <c r="V1015" s="1">
        <f>+IF(Tabla__192.168.1.8_POSEIDONSQL_APPFVT_01_tblFillRateFechas[[#This Row],[Resultado]]=1,1,0)</f>
        <v>1</v>
      </c>
      <c r="W1015" s="1" t="str">
        <f>+Tabla__192.168.1.8_POSEIDONSQL_APPFVT_01_tblFillRateFechas[[#This Row],[con_ocnumero]]&amp;Tabla__192.168.1.8_POSEIDONSQL_APPFVT_01_tblFillRateFechas[[#This Row],[con_codigounico]]</f>
        <v>91817830100271808090678008188</v>
      </c>
      <c r="X10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6" spans="1:24" x14ac:dyDescent="0.25">
      <c r="A1016">
        <v>9</v>
      </c>
      <c r="B1016" t="s">
        <v>48</v>
      </c>
      <c r="C1016">
        <v>9189296</v>
      </c>
      <c r="D1016" t="s">
        <v>1967</v>
      </c>
      <c r="E1016" t="s">
        <v>1980</v>
      </c>
      <c r="F1016" t="s">
        <v>1968</v>
      </c>
      <c r="G1016">
        <v>1</v>
      </c>
      <c r="H1016">
        <v>1</v>
      </c>
      <c r="I1016" t="s">
        <v>1980</v>
      </c>
      <c r="J1016">
        <v>0</v>
      </c>
      <c r="K1016" t="s">
        <v>1941</v>
      </c>
      <c r="L1016" s="1">
        <f>+Tabla__192.168.1.8_POSEIDONSQL_APPFVT_01_tblFillRateFechas[[#This Row],[emb_cantidad]]-Tabla__192.168.1.8_POSEIDONSQL_APPFVT_01_tblFillRateFechas[[#This Row],[dev_cantidad]]</f>
        <v>1</v>
      </c>
      <c r="M1016" s="1">
        <f>+IF(Tabla__192.168.1.8_POSEIDONSQL_APPFVT_01_tblFillRateFechas[[#This Row],[Cant_Resultante]]=Tabla__192.168.1.8_POSEIDONSQL_APPFVT_01_tblFillRateFechas[[#This Row],[cant_order]],1,0)</f>
        <v>1</v>
      </c>
      <c r="N10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6" s="1">
        <f>+IF(AND(Tabla__192.168.1.8_POSEIDONSQL_APPFVT_01_tblFillRateFechas[[#This Row],[Valida Cant]]=1,Tabla__192.168.1.8_POSEIDONSQL_APPFVT_01_tblFillRateFechas[[#This Row],[Valida Fec]]=1),1,0)</f>
        <v>1</v>
      </c>
      <c r="P1016" s="1">
        <f>+(Tabla__192.168.1.8_POSEIDONSQL_APPFVT_01_tblFillRateFechas[[#This Row],[Cant_Resultante]]/Tabla__192.168.1.8_POSEIDONSQL_APPFVT_01_tblFillRateFechas[[#This Row],[cant_order]])*100</f>
        <v>100</v>
      </c>
      <c r="Q10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6" s="1">
        <f>+IF(Tabla__192.168.1.8_POSEIDONSQL_APPFVT_01_tblFillRateFechas[[#This Row],[cant_order]]&gt;0,1,0)</f>
        <v>1</v>
      </c>
      <c r="V1016" s="1">
        <f>+IF(Tabla__192.168.1.8_POSEIDONSQL_APPFVT_01_tblFillRateFechas[[#This Row],[Resultado]]=1,1,0)</f>
        <v>1</v>
      </c>
      <c r="W1016" s="1" t="str">
        <f>+Tabla__192.168.1.8_POSEIDONSQL_APPFVT_01_tblFillRateFechas[[#This Row],[con_ocnumero]]&amp;Tabla__192.168.1.8_POSEIDONSQL_APPFVT_01_tblFillRateFechas[[#This Row],[con_codigounico]]</f>
        <v>91892960120951808239116049290</v>
      </c>
      <c r="X10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7" spans="1:24" x14ac:dyDescent="0.25">
      <c r="A1017">
        <v>9</v>
      </c>
      <c r="B1017" t="s">
        <v>48</v>
      </c>
      <c r="C1017">
        <v>9183199</v>
      </c>
      <c r="D1017" t="s">
        <v>12</v>
      </c>
      <c r="E1017" t="s">
        <v>1969</v>
      </c>
      <c r="F1017" t="s">
        <v>12</v>
      </c>
      <c r="G1017">
        <v>1</v>
      </c>
      <c r="H1017">
        <v>1</v>
      </c>
      <c r="I1017" t="s">
        <v>1969</v>
      </c>
      <c r="J1017">
        <v>0</v>
      </c>
      <c r="K1017" t="s">
        <v>1404</v>
      </c>
      <c r="L1017" s="1">
        <f>+Tabla__192.168.1.8_POSEIDONSQL_APPFVT_01_tblFillRateFechas[[#This Row],[emb_cantidad]]-Tabla__192.168.1.8_POSEIDONSQL_APPFVT_01_tblFillRateFechas[[#This Row],[dev_cantidad]]</f>
        <v>1</v>
      </c>
      <c r="M1017" s="1">
        <f>+IF(Tabla__192.168.1.8_POSEIDONSQL_APPFVT_01_tblFillRateFechas[[#This Row],[Cant_Resultante]]=Tabla__192.168.1.8_POSEIDONSQL_APPFVT_01_tblFillRateFechas[[#This Row],[cant_order]],1,0)</f>
        <v>1</v>
      </c>
      <c r="N10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7" s="1">
        <f>+IF(AND(Tabla__192.168.1.8_POSEIDONSQL_APPFVT_01_tblFillRateFechas[[#This Row],[Valida Cant]]=1,Tabla__192.168.1.8_POSEIDONSQL_APPFVT_01_tblFillRateFechas[[#This Row],[Valida Fec]]=1),1,0)</f>
        <v>1</v>
      </c>
      <c r="P1017" s="1">
        <f>+(Tabla__192.168.1.8_POSEIDONSQL_APPFVT_01_tblFillRateFechas[[#This Row],[Cant_Resultante]]/Tabla__192.168.1.8_POSEIDONSQL_APPFVT_01_tblFillRateFechas[[#This Row],[cant_order]])*100</f>
        <v>100</v>
      </c>
      <c r="Q10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7" s="1">
        <f>+IF(Tabla__192.168.1.8_POSEIDONSQL_APPFVT_01_tblFillRateFechas[[#This Row],[cant_order]]&gt;0,1,0)</f>
        <v>1</v>
      </c>
      <c r="V1017" s="1">
        <f>+IF(Tabla__192.168.1.8_POSEIDONSQL_APPFVT_01_tblFillRateFechas[[#This Row],[Resultado]]=1,1,0)</f>
        <v>1</v>
      </c>
      <c r="W1017" s="1" t="str">
        <f>+Tabla__192.168.1.8_POSEIDONSQL_APPFVT_01_tblFillRateFechas[[#This Row],[con_ocnumero]]&amp;Tabla__192.168.1.8_POSEIDONSQL_APPFVT_01_tblFillRateFechas[[#This Row],[con_codigounico]]</f>
        <v>91831990140181808129943009857</v>
      </c>
      <c r="X10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8" spans="1:24" x14ac:dyDescent="0.25">
      <c r="A1018">
        <v>9</v>
      </c>
      <c r="B1018" t="s">
        <v>48</v>
      </c>
      <c r="C1018">
        <v>9192685</v>
      </c>
      <c r="D1018" t="s">
        <v>1980</v>
      </c>
      <c r="E1018" t="s">
        <v>160</v>
      </c>
      <c r="F1018" t="s">
        <v>1977</v>
      </c>
      <c r="G1018">
        <v>1</v>
      </c>
      <c r="H1018">
        <v>1</v>
      </c>
      <c r="I1018" t="s">
        <v>160</v>
      </c>
      <c r="J1018">
        <v>0</v>
      </c>
      <c r="K1018" t="s">
        <v>803</v>
      </c>
      <c r="L1018" s="1">
        <f>+Tabla__192.168.1.8_POSEIDONSQL_APPFVT_01_tblFillRateFechas[[#This Row],[emb_cantidad]]-Tabla__192.168.1.8_POSEIDONSQL_APPFVT_01_tblFillRateFechas[[#This Row],[dev_cantidad]]</f>
        <v>1</v>
      </c>
      <c r="M1018" s="1">
        <f>+IF(Tabla__192.168.1.8_POSEIDONSQL_APPFVT_01_tblFillRateFechas[[#This Row],[Cant_Resultante]]=Tabla__192.168.1.8_POSEIDONSQL_APPFVT_01_tblFillRateFechas[[#This Row],[cant_order]],1,0)</f>
        <v>1</v>
      </c>
      <c r="N10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8" s="1">
        <f>+IF(AND(Tabla__192.168.1.8_POSEIDONSQL_APPFVT_01_tblFillRateFechas[[#This Row],[Valida Cant]]=1,Tabla__192.168.1.8_POSEIDONSQL_APPFVT_01_tblFillRateFechas[[#This Row],[Valida Fec]]=1),1,0)</f>
        <v>1</v>
      </c>
      <c r="P1018" s="1">
        <f>+(Tabla__192.168.1.8_POSEIDONSQL_APPFVT_01_tblFillRateFechas[[#This Row],[Cant_Resultante]]/Tabla__192.168.1.8_POSEIDONSQL_APPFVT_01_tblFillRateFechas[[#This Row],[cant_order]])*100</f>
        <v>100</v>
      </c>
      <c r="Q10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8" s="1">
        <f>+IF(Tabla__192.168.1.8_POSEIDONSQL_APPFVT_01_tblFillRateFechas[[#This Row],[cant_order]]&gt;0,1,0)</f>
        <v>1</v>
      </c>
      <c r="V1018" s="1">
        <f>+IF(Tabla__192.168.1.8_POSEIDONSQL_APPFVT_01_tblFillRateFechas[[#This Row],[Resultado]]=1,1,0)</f>
        <v>1</v>
      </c>
      <c r="W1018" s="1" t="str">
        <f>+Tabla__192.168.1.8_POSEIDONSQL_APPFVT_01_tblFillRateFechas[[#This Row],[con_ocnumero]]&amp;Tabla__192.168.1.8_POSEIDONSQL_APPFVT_01_tblFillRateFechas[[#This Row],[con_codigounico]]</f>
        <v>91926850140181808290263009900</v>
      </c>
      <c r="X10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19" spans="1:24" x14ac:dyDescent="0.25">
      <c r="A1019">
        <v>9</v>
      </c>
      <c r="B1019" t="s">
        <v>48</v>
      </c>
      <c r="C1019">
        <v>9194469</v>
      </c>
      <c r="D1019" t="s">
        <v>1966</v>
      </c>
      <c r="E1019" t="s">
        <v>1969</v>
      </c>
      <c r="F1019" t="s">
        <v>1963</v>
      </c>
      <c r="G1019">
        <v>1</v>
      </c>
      <c r="H1019">
        <v>1</v>
      </c>
      <c r="I1019" t="s">
        <v>1969</v>
      </c>
      <c r="J1019">
        <v>0</v>
      </c>
      <c r="K1019" t="s">
        <v>1803</v>
      </c>
      <c r="L1019" s="1">
        <f>+Tabla__192.168.1.8_POSEIDONSQL_APPFVT_01_tblFillRateFechas[[#This Row],[emb_cantidad]]-Tabla__192.168.1.8_POSEIDONSQL_APPFVT_01_tblFillRateFechas[[#This Row],[dev_cantidad]]</f>
        <v>1</v>
      </c>
      <c r="M1019" s="1">
        <f>+IF(Tabla__192.168.1.8_POSEIDONSQL_APPFVT_01_tblFillRateFechas[[#This Row],[Cant_Resultante]]=Tabla__192.168.1.8_POSEIDONSQL_APPFVT_01_tblFillRateFechas[[#This Row],[cant_order]],1,0)</f>
        <v>1</v>
      </c>
      <c r="N10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19" s="1">
        <f>+IF(AND(Tabla__192.168.1.8_POSEIDONSQL_APPFVT_01_tblFillRateFechas[[#This Row],[Valida Cant]]=1,Tabla__192.168.1.8_POSEIDONSQL_APPFVT_01_tblFillRateFechas[[#This Row],[Valida Fec]]=1),1,0)</f>
        <v>1</v>
      </c>
      <c r="P1019" s="1">
        <f>+(Tabla__192.168.1.8_POSEIDONSQL_APPFVT_01_tblFillRateFechas[[#This Row],[Cant_Resultante]]/Tabla__192.168.1.8_POSEIDONSQL_APPFVT_01_tblFillRateFechas[[#This Row],[cant_order]])*100</f>
        <v>100</v>
      </c>
      <c r="Q10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19" s="1">
        <f>+IF(Tabla__192.168.1.8_POSEIDONSQL_APPFVT_01_tblFillRateFechas[[#This Row],[cant_order]]&gt;0,1,0)</f>
        <v>1</v>
      </c>
      <c r="V1019" s="1">
        <f>+IF(Tabla__192.168.1.8_POSEIDONSQL_APPFVT_01_tblFillRateFechas[[#This Row],[Resultado]]=1,1,0)</f>
        <v>1</v>
      </c>
      <c r="W1019" s="1" t="str">
        <f>+Tabla__192.168.1.8_POSEIDONSQL_APPFVT_01_tblFillRateFechas[[#This Row],[con_ocnumero]]&amp;Tabla__192.168.1.8_POSEIDONSQL_APPFVT_01_tblFillRateFechas[[#This Row],[con_codigounico]]</f>
        <v>91944690140181809010340009906</v>
      </c>
      <c r="X10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0" spans="1:24" x14ac:dyDescent="0.25">
      <c r="A1020">
        <v>9</v>
      </c>
      <c r="B1020" t="s">
        <v>48</v>
      </c>
      <c r="C1020">
        <v>9203034</v>
      </c>
      <c r="D1020" t="s">
        <v>425</v>
      </c>
      <c r="E1020" t="s">
        <v>420</v>
      </c>
      <c r="F1020" t="s">
        <v>426</v>
      </c>
      <c r="G1020">
        <v>1</v>
      </c>
      <c r="H1020">
        <v>1</v>
      </c>
      <c r="I1020" t="s">
        <v>420</v>
      </c>
      <c r="J1020">
        <v>0</v>
      </c>
      <c r="K1020" t="s">
        <v>1347</v>
      </c>
      <c r="L1020" s="1">
        <f>+Tabla__192.168.1.8_POSEIDONSQL_APPFVT_01_tblFillRateFechas[[#This Row],[emb_cantidad]]-Tabla__192.168.1.8_POSEIDONSQL_APPFVT_01_tblFillRateFechas[[#This Row],[dev_cantidad]]</f>
        <v>1</v>
      </c>
      <c r="M1020" s="1">
        <f>+IF(Tabla__192.168.1.8_POSEIDONSQL_APPFVT_01_tblFillRateFechas[[#This Row],[Cant_Resultante]]=Tabla__192.168.1.8_POSEIDONSQL_APPFVT_01_tblFillRateFechas[[#This Row],[cant_order]],1,0)</f>
        <v>1</v>
      </c>
      <c r="N10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0" s="1">
        <f>+IF(AND(Tabla__192.168.1.8_POSEIDONSQL_APPFVT_01_tblFillRateFechas[[#This Row],[Valida Cant]]=1,Tabla__192.168.1.8_POSEIDONSQL_APPFVT_01_tblFillRateFechas[[#This Row],[Valida Fec]]=1),1,0)</f>
        <v>1</v>
      </c>
      <c r="P1020" s="1">
        <f>+(Tabla__192.168.1.8_POSEIDONSQL_APPFVT_01_tblFillRateFechas[[#This Row],[Cant_Resultante]]/Tabla__192.168.1.8_POSEIDONSQL_APPFVT_01_tblFillRateFechas[[#This Row],[cant_order]])*100</f>
        <v>100</v>
      </c>
      <c r="Q10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0" s="1">
        <f>+IF(Tabla__192.168.1.8_POSEIDONSQL_APPFVT_01_tblFillRateFechas[[#This Row],[cant_order]]&gt;0,1,0)</f>
        <v>1</v>
      </c>
      <c r="V1020" s="1">
        <f>+IF(Tabla__192.168.1.8_POSEIDONSQL_APPFVT_01_tblFillRateFechas[[#This Row],[Resultado]]=1,1,0)</f>
        <v>1</v>
      </c>
      <c r="W1020" s="1" t="str">
        <f>+Tabla__192.168.1.8_POSEIDONSQL_APPFVT_01_tblFillRateFechas[[#This Row],[con_ocnumero]]&amp;Tabla__192.168.1.8_POSEIDONSQL_APPFVT_01_tblFillRateFechas[[#This Row],[con_codigounico]]</f>
        <v>92030340140181809130902009946</v>
      </c>
      <c r="X10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1" spans="1:24" x14ac:dyDescent="0.25">
      <c r="A1021">
        <v>9</v>
      </c>
      <c r="B1021" t="s">
        <v>48</v>
      </c>
      <c r="C1021">
        <v>9186487</v>
      </c>
      <c r="D1021" t="s">
        <v>1976</v>
      </c>
      <c r="E1021" t="s">
        <v>1962</v>
      </c>
      <c r="F1021" t="s">
        <v>1975</v>
      </c>
      <c r="G1021">
        <v>1</v>
      </c>
      <c r="H1021">
        <v>1</v>
      </c>
      <c r="I1021" t="s">
        <v>1962</v>
      </c>
      <c r="J1021">
        <v>0</v>
      </c>
      <c r="K1021" t="s">
        <v>700</v>
      </c>
      <c r="L1021" s="1">
        <f>+Tabla__192.168.1.8_POSEIDONSQL_APPFVT_01_tblFillRateFechas[[#This Row],[emb_cantidad]]-Tabla__192.168.1.8_POSEIDONSQL_APPFVT_01_tblFillRateFechas[[#This Row],[dev_cantidad]]</f>
        <v>1</v>
      </c>
      <c r="M1021" s="1">
        <f>+IF(Tabla__192.168.1.8_POSEIDONSQL_APPFVT_01_tblFillRateFechas[[#This Row],[Cant_Resultante]]=Tabla__192.168.1.8_POSEIDONSQL_APPFVT_01_tblFillRateFechas[[#This Row],[cant_order]],1,0)</f>
        <v>1</v>
      </c>
      <c r="N10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1" s="1">
        <f>+IF(AND(Tabla__192.168.1.8_POSEIDONSQL_APPFVT_01_tblFillRateFechas[[#This Row],[Valida Cant]]=1,Tabla__192.168.1.8_POSEIDONSQL_APPFVT_01_tblFillRateFechas[[#This Row],[Valida Fec]]=1),1,0)</f>
        <v>1</v>
      </c>
      <c r="P1021" s="1">
        <f>+(Tabla__192.168.1.8_POSEIDONSQL_APPFVT_01_tblFillRateFechas[[#This Row],[Cant_Resultante]]/Tabla__192.168.1.8_POSEIDONSQL_APPFVT_01_tblFillRateFechas[[#This Row],[cant_order]])*100</f>
        <v>100</v>
      </c>
      <c r="Q10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1" s="1">
        <f>+IF(Tabla__192.168.1.8_POSEIDONSQL_APPFVT_01_tblFillRateFechas[[#This Row],[cant_order]]&gt;0,1,0)</f>
        <v>1</v>
      </c>
      <c r="V1021" s="1">
        <f>+IF(Tabla__192.168.1.8_POSEIDONSQL_APPFVT_01_tblFillRateFechas[[#This Row],[Resultado]]=1,1,0)</f>
        <v>1</v>
      </c>
      <c r="W1021" s="1" t="str">
        <f>+Tabla__192.168.1.8_POSEIDONSQL_APPFVT_01_tblFillRateFechas[[#This Row],[con_ocnumero]]&amp;Tabla__192.168.1.8_POSEIDONSQL_APPFVT_01_tblFillRateFechas[[#This Row],[con_codigounico]]</f>
        <v>91864870140341808180920011570</v>
      </c>
      <c r="X10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2" spans="1:24" x14ac:dyDescent="0.25">
      <c r="A1022">
        <v>9</v>
      </c>
      <c r="B1022" t="s">
        <v>48</v>
      </c>
      <c r="C1022">
        <v>9194606</v>
      </c>
      <c r="D1022" t="s">
        <v>1966</v>
      </c>
      <c r="E1022" t="s">
        <v>1969</v>
      </c>
      <c r="F1022" t="s">
        <v>1963</v>
      </c>
      <c r="G1022">
        <v>1</v>
      </c>
      <c r="H1022">
        <v>1</v>
      </c>
      <c r="I1022" t="s">
        <v>1969</v>
      </c>
      <c r="J1022">
        <v>0</v>
      </c>
      <c r="K1022" t="s">
        <v>1630</v>
      </c>
      <c r="L1022" s="1">
        <f>+Tabla__192.168.1.8_POSEIDONSQL_APPFVT_01_tblFillRateFechas[[#This Row],[emb_cantidad]]-Tabla__192.168.1.8_POSEIDONSQL_APPFVT_01_tblFillRateFechas[[#This Row],[dev_cantidad]]</f>
        <v>1</v>
      </c>
      <c r="M1022" s="1">
        <f>+IF(Tabla__192.168.1.8_POSEIDONSQL_APPFVT_01_tblFillRateFechas[[#This Row],[Cant_Resultante]]=Tabla__192.168.1.8_POSEIDONSQL_APPFVT_01_tblFillRateFechas[[#This Row],[cant_order]],1,0)</f>
        <v>1</v>
      </c>
      <c r="N10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2" s="1">
        <f>+IF(AND(Tabla__192.168.1.8_POSEIDONSQL_APPFVT_01_tblFillRateFechas[[#This Row],[Valida Cant]]=1,Tabla__192.168.1.8_POSEIDONSQL_APPFVT_01_tblFillRateFechas[[#This Row],[Valida Fec]]=1),1,0)</f>
        <v>1</v>
      </c>
      <c r="P1022" s="1">
        <f>+(Tabla__192.168.1.8_POSEIDONSQL_APPFVT_01_tblFillRateFechas[[#This Row],[Cant_Resultante]]/Tabla__192.168.1.8_POSEIDONSQL_APPFVT_01_tblFillRateFechas[[#This Row],[cant_order]])*100</f>
        <v>100</v>
      </c>
      <c r="Q10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2" s="1">
        <f>+IF(Tabla__192.168.1.8_POSEIDONSQL_APPFVT_01_tblFillRateFechas[[#This Row],[cant_order]]&gt;0,1,0)</f>
        <v>1</v>
      </c>
      <c r="V1022" s="1">
        <f>+IF(Tabla__192.168.1.8_POSEIDONSQL_APPFVT_01_tblFillRateFechas[[#This Row],[Resultado]]=1,1,0)</f>
        <v>1</v>
      </c>
      <c r="W1022" s="1" t="str">
        <f>+Tabla__192.168.1.8_POSEIDONSQL_APPFVT_01_tblFillRateFechas[[#This Row],[con_ocnumero]]&amp;Tabla__192.168.1.8_POSEIDONSQL_APPFVT_01_tblFillRateFechas[[#This Row],[con_codigounico]]</f>
        <v>91946060140341809011287011631</v>
      </c>
      <c r="X10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3" spans="1:24" x14ac:dyDescent="0.25">
      <c r="A1023">
        <v>9</v>
      </c>
      <c r="B1023" t="s">
        <v>48</v>
      </c>
      <c r="C1023">
        <v>9194606</v>
      </c>
      <c r="D1023" t="s">
        <v>1966</v>
      </c>
      <c r="E1023" t="s">
        <v>1969</v>
      </c>
      <c r="F1023" t="s">
        <v>1963</v>
      </c>
      <c r="G1023">
        <v>1</v>
      </c>
      <c r="H1023">
        <v>1</v>
      </c>
      <c r="I1023" t="s">
        <v>1969</v>
      </c>
      <c r="J1023">
        <v>0</v>
      </c>
      <c r="K1023" t="s">
        <v>1628</v>
      </c>
      <c r="L1023" s="1">
        <f>+Tabla__192.168.1.8_POSEIDONSQL_APPFVT_01_tblFillRateFechas[[#This Row],[emb_cantidad]]-Tabla__192.168.1.8_POSEIDONSQL_APPFVT_01_tblFillRateFechas[[#This Row],[dev_cantidad]]</f>
        <v>1</v>
      </c>
      <c r="M1023" s="1">
        <f>+IF(Tabla__192.168.1.8_POSEIDONSQL_APPFVT_01_tblFillRateFechas[[#This Row],[Cant_Resultante]]=Tabla__192.168.1.8_POSEIDONSQL_APPFVT_01_tblFillRateFechas[[#This Row],[cant_order]],1,0)</f>
        <v>1</v>
      </c>
      <c r="N10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3" s="1">
        <f>+IF(AND(Tabla__192.168.1.8_POSEIDONSQL_APPFVT_01_tblFillRateFechas[[#This Row],[Valida Cant]]=1,Tabla__192.168.1.8_POSEIDONSQL_APPFVT_01_tblFillRateFechas[[#This Row],[Valida Fec]]=1),1,0)</f>
        <v>1</v>
      </c>
      <c r="P1023" s="1">
        <f>+(Tabla__192.168.1.8_POSEIDONSQL_APPFVT_01_tblFillRateFechas[[#This Row],[Cant_Resultante]]/Tabla__192.168.1.8_POSEIDONSQL_APPFVT_01_tblFillRateFechas[[#This Row],[cant_order]])*100</f>
        <v>100</v>
      </c>
      <c r="Q10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3" s="1">
        <f>+IF(Tabla__192.168.1.8_POSEIDONSQL_APPFVT_01_tblFillRateFechas[[#This Row],[cant_order]]&gt;0,1,0)</f>
        <v>1</v>
      </c>
      <c r="V1023" s="1">
        <f>+IF(Tabla__192.168.1.8_POSEIDONSQL_APPFVT_01_tblFillRateFechas[[#This Row],[Resultado]]=1,1,0)</f>
        <v>1</v>
      </c>
      <c r="W1023" s="1" t="str">
        <f>+Tabla__192.168.1.8_POSEIDONSQL_APPFVT_01_tblFillRateFechas[[#This Row],[con_ocnumero]]&amp;Tabla__192.168.1.8_POSEIDONSQL_APPFVT_01_tblFillRateFechas[[#This Row],[con_codigounico]]</f>
        <v>91946060140341809011287011632</v>
      </c>
      <c r="X10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4" spans="1:24" x14ac:dyDescent="0.25">
      <c r="A1024">
        <v>9</v>
      </c>
      <c r="B1024" t="s">
        <v>48</v>
      </c>
      <c r="C1024">
        <v>9184737</v>
      </c>
      <c r="D1024" t="s">
        <v>12</v>
      </c>
      <c r="E1024" t="s">
        <v>1969</v>
      </c>
      <c r="F1024" t="s">
        <v>12</v>
      </c>
      <c r="G1024">
        <v>1</v>
      </c>
      <c r="H1024">
        <v>1</v>
      </c>
      <c r="I1024" t="s">
        <v>1969</v>
      </c>
      <c r="J1024">
        <v>0</v>
      </c>
      <c r="K1024" t="s">
        <v>1402</v>
      </c>
      <c r="L1024" s="1">
        <f>+Tabla__192.168.1.8_POSEIDONSQL_APPFVT_01_tblFillRateFechas[[#This Row],[emb_cantidad]]-Tabla__192.168.1.8_POSEIDONSQL_APPFVT_01_tblFillRateFechas[[#This Row],[dev_cantidad]]</f>
        <v>1</v>
      </c>
      <c r="M1024" s="1">
        <f>+IF(Tabla__192.168.1.8_POSEIDONSQL_APPFVT_01_tblFillRateFechas[[#This Row],[Cant_Resultante]]=Tabla__192.168.1.8_POSEIDONSQL_APPFVT_01_tblFillRateFechas[[#This Row],[cant_order]],1,0)</f>
        <v>1</v>
      </c>
      <c r="N10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4" s="1">
        <f>+IF(AND(Tabla__192.168.1.8_POSEIDONSQL_APPFVT_01_tblFillRateFechas[[#This Row],[Valida Cant]]=1,Tabla__192.168.1.8_POSEIDONSQL_APPFVT_01_tblFillRateFechas[[#This Row],[Valida Fec]]=1),1,0)</f>
        <v>1</v>
      </c>
      <c r="P1024" s="1">
        <f>+(Tabla__192.168.1.8_POSEIDONSQL_APPFVT_01_tblFillRateFechas[[#This Row],[Cant_Resultante]]/Tabla__192.168.1.8_POSEIDONSQL_APPFVT_01_tblFillRateFechas[[#This Row],[cant_order]])*100</f>
        <v>100</v>
      </c>
      <c r="Q10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4" s="1">
        <f>+IF(Tabla__192.168.1.8_POSEIDONSQL_APPFVT_01_tblFillRateFechas[[#This Row],[cant_order]]&gt;0,1,0)</f>
        <v>1</v>
      </c>
      <c r="V1024" s="1">
        <f>+IF(Tabla__192.168.1.8_POSEIDONSQL_APPFVT_01_tblFillRateFechas[[#This Row],[Resultado]]=1,1,0)</f>
        <v>1</v>
      </c>
      <c r="W1024" s="1" t="str">
        <f>+Tabla__192.168.1.8_POSEIDONSQL_APPFVT_01_tblFillRateFechas[[#This Row],[con_ocnumero]]&amp;Tabla__192.168.1.8_POSEIDONSQL_APPFVT_01_tblFillRateFechas[[#This Row],[con_codigounico]]</f>
        <v>91847370160331808159459016452</v>
      </c>
      <c r="X10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5" spans="1:24" x14ac:dyDescent="0.25">
      <c r="A1025">
        <v>9</v>
      </c>
      <c r="B1025" t="s">
        <v>48</v>
      </c>
      <c r="C1025">
        <v>9183199</v>
      </c>
      <c r="D1025" t="s">
        <v>12</v>
      </c>
      <c r="E1025" t="s">
        <v>1969</v>
      </c>
      <c r="F1025" t="s">
        <v>12</v>
      </c>
      <c r="G1025">
        <v>1</v>
      </c>
      <c r="H1025">
        <v>1</v>
      </c>
      <c r="I1025" t="s">
        <v>1969</v>
      </c>
      <c r="J1025">
        <v>0</v>
      </c>
      <c r="K1025" t="s">
        <v>1405</v>
      </c>
      <c r="L1025" s="1">
        <f>+Tabla__192.168.1.8_POSEIDONSQL_APPFVT_01_tblFillRateFechas[[#This Row],[emb_cantidad]]-Tabla__192.168.1.8_POSEIDONSQL_APPFVT_01_tblFillRateFechas[[#This Row],[dev_cantidad]]</f>
        <v>1</v>
      </c>
      <c r="M1025" s="1">
        <f>+IF(Tabla__192.168.1.8_POSEIDONSQL_APPFVT_01_tblFillRateFechas[[#This Row],[Cant_Resultante]]=Tabla__192.168.1.8_POSEIDONSQL_APPFVT_01_tblFillRateFechas[[#This Row],[cant_order]],1,0)</f>
        <v>1</v>
      </c>
      <c r="N10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5" s="1">
        <f>+IF(AND(Tabla__192.168.1.8_POSEIDONSQL_APPFVT_01_tblFillRateFechas[[#This Row],[Valida Cant]]=1,Tabla__192.168.1.8_POSEIDONSQL_APPFVT_01_tblFillRateFechas[[#This Row],[Valida Fec]]=1),1,0)</f>
        <v>1</v>
      </c>
      <c r="P1025" s="1">
        <f>+(Tabla__192.168.1.8_POSEIDONSQL_APPFVT_01_tblFillRateFechas[[#This Row],[Cant_Resultante]]/Tabla__192.168.1.8_POSEIDONSQL_APPFVT_01_tblFillRateFechas[[#This Row],[cant_order]])*100</f>
        <v>100</v>
      </c>
      <c r="Q10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5" s="1">
        <f>+IF(Tabla__192.168.1.8_POSEIDONSQL_APPFVT_01_tblFillRateFechas[[#This Row],[cant_order]]&gt;0,1,0)</f>
        <v>1</v>
      </c>
      <c r="V1025" s="1">
        <f>+IF(Tabla__192.168.1.8_POSEIDONSQL_APPFVT_01_tblFillRateFechas[[#This Row],[Resultado]]=1,1,0)</f>
        <v>1</v>
      </c>
      <c r="W1025" s="1" t="str">
        <f>+Tabla__192.168.1.8_POSEIDONSQL_APPFVT_01_tblFillRateFechas[[#This Row],[con_ocnumero]]&amp;Tabla__192.168.1.8_POSEIDONSQL_APPFVT_01_tblFillRateFechas[[#This Row],[con_codigounico]]</f>
        <v>91831990180211808123398008015</v>
      </c>
      <c r="X10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6" spans="1:24" x14ac:dyDescent="0.25">
      <c r="A1026">
        <v>9</v>
      </c>
      <c r="B1026" t="s">
        <v>48</v>
      </c>
      <c r="C1026">
        <v>9189255</v>
      </c>
      <c r="D1026" t="s">
        <v>1967</v>
      </c>
      <c r="E1026" t="s">
        <v>1971</v>
      </c>
      <c r="F1026" t="s">
        <v>1968</v>
      </c>
      <c r="G1026">
        <v>1</v>
      </c>
      <c r="H1026">
        <v>1</v>
      </c>
      <c r="I1026" t="s">
        <v>1971</v>
      </c>
      <c r="J1026">
        <v>0</v>
      </c>
      <c r="K1026" t="s">
        <v>1939</v>
      </c>
      <c r="L1026" s="1">
        <f>+Tabla__192.168.1.8_POSEIDONSQL_APPFVT_01_tblFillRateFechas[[#This Row],[emb_cantidad]]-Tabla__192.168.1.8_POSEIDONSQL_APPFVT_01_tblFillRateFechas[[#This Row],[dev_cantidad]]</f>
        <v>1</v>
      </c>
      <c r="M1026" s="1">
        <f>+IF(Tabla__192.168.1.8_POSEIDONSQL_APPFVT_01_tblFillRateFechas[[#This Row],[Cant_Resultante]]=Tabla__192.168.1.8_POSEIDONSQL_APPFVT_01_tblFillRateFechas[[#This Row],[cant_order]],1,0)</f>
        <v>1</v>
      </c>
      <c r="N10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6" s="1">
        <f>+IF(AND(Tabla__192.168.1.8_POSEIDONSQL_APPFVT_01_tblFillRateFechas[[#This Row],[Valida Cant]]=1,Tabla__192.168.1.8_POSEIDONSQL_APPFVT_01_tblFillRateFechas[[#This Row],[Valida Fec]]=1),1,0)</f>
        <v>1</v>
      </c>
      <c r="P1026" s="1">
        <f>+(Tabla__192.168.1.8_POSEIDONSQL_APPFVT_01_tblFillRateFechas[[#This Row],[Cant_Resultante]]/Tabla__192.168.1.8_POSEIDONSQL_APPFVT_01_tblFillRateFechas[[#This Row],[cant_order]])*100</f>
        <v>100</v>
      </c>
      <c r="Q10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6" s="1">
        <f>+IF(Tabla__192.168.1.8_POSEIDONSQL_APPFVT_01_tblFillRateFechas[[#This Row],[cant_order]]&gt;0,1,0)</f>
        <v>1</v>
      </c>
      <c r="V1026" s="1">
        <f>+IF(Tabla__192.168.1.8_POSEIDONSQL_APPFVT_01_tblFillRateFechas[[#This Row],[Resultado]]=1,1,0)</f>
        <v>1</v>
      </c>
      <c r="W1026" s="1" t="str">
        <f>+Tabla__192.168.1.8_POSEIDONSQL_APPFVT_01_tblFillRateFechas[[#This Row],[con_ocnumero]]&amp;Tabla__192.168.1.8_POSEIDONSQL_APPFVT_01_tblFillRateFechas[[#This Row],[con_codigounico]]</f>
        <v>91892550180211808233579008089</v>
      </c>
      <c r="X10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7" spans="1:24" x14ac:dyDescent="0.25">
      <c r="A1027">
        <v>9</v>
      </c>
      <c r="B1027" t="s">
        <v>48</v>
      </c>
      <c r="C1027">
        <v>9188368</v>
      </c>
      <c r="D1027" t="s">
        <v>1979</v>
      </c>
      <c r="E1027" t="s">
        <v>1962</v>
      </c>
      <c r="F1027" t="s">
        <v>1967</v>
      </c>
      <c r="G1027">
        <v>1</v>
      </c>
      <c r="H1027">
        <v>1</v>
      </c>
      <c r="I1027" t="s">
        <v>1962</v>
      </c>
      <c r="J1027">
        <v>0</v>
      </c>
      <c r="K1027" t="s">
        <v>1552</v>
      </c>
      <c r="L1027" s="1">
        <f>+Tabla__192.168.1.8_POSEIDONSQL_APPFVT_01_tblFillRateFechas[[#This Row],[emb_cantidad]]-Tabla__192.168.1.8_POSEIDONSQL_APPFVT_01_tblFillRateFechas[[#This Row],[dev_cantidad]]</f>
        <v>1</v>
      </c>
      <c r="M1027" s="1">
        <f>+IF(Tabla__192.168.1.8_POSEIDONSQL_APPFVT_01_tblFillRateFechas[[#This Row],[Cant_Resultante]]=Tabla__192.168.1.8_POSEIDONSQL_APPFVT_01_tblFillRateFechas[[#This Row],[cant_order]],1,0)</f>
        <v>1</v>
      </c>
      <c r="N10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7" s="1">
        <f>+IF(AND(Tabla__192.168.1.8_POSEIDONSQL_APPFVT_01_tblFillRateFechas[[#This Row],[Valida Cant]]=1,Tabla__192.168.1.8_POSEIDONSQL_APPFVT_01_tblFillRateFechas[[#This Row],[Valida Fec]]=1),1,0)</f>
        <v>1</v>
      </c>
      <c r="P1027" s="1">
        <f>+(Tabla__192.168.1.8_POSEIDONSQL_APPFVT_01_tblFillRateFechas[[#This Row],[Cant_Resultante]]/Tabla__192.168.1.8_POSEIDONSQL_APPFVT_01_tblFillRateFechas[[#This Row],[cant_order]])*100</f>
        <v>100</v>
      </c>
      <c r="Q10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7" s="1">
        <f>+IF(Tabla__192.168.1.8_POSEIDONSQL_APPFVT_01_tblFillRateFechas[[#This Row],[cant_order]]&gt;0,1,0)</f>
        <v>1</v>
      </c>
      <c r="V1027" s="1">
        <f>+IF(Tabla__192.168.1.8_POSEIDONSQL_APPFVT_01_tblFillRateFechas[[#This Row],[Resultado]]=1,1,0)</f>
        <v>1</v>
      </c>
      <c r="W1027" s="1" t="str">
        <f>+Tabla__192.168.1.8_POSEIDONSQL_APPFVT_01_tblFillRateFechas[[#This Row],[con_ocnumero]]&amp;Tabla__192.168.1.8_POSEIDONSQL_APPFVT_01_tblFillRateFechas[[#This Row],[con_codigounico]]</f>
        <v>91883680180631808226900012147</v>
      </c>
      <c r="X10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8" spans="1:24" x14ac:dyDescent="0.25">
      <c r="A1028">
        <v>9</v>
      </c>
      <c r="B1028" t="s">
        <v>48</v>
      </c>
      <c r="C1028">
        <v>9194705</v>
      </c>
      <c r="D1028" t="s">
        <v>1966</v>
      </c>
      <c r="E1028" t="s">
        <v>1969</v>
      </c>
      <c r="F1028" t="s">
        <v>1963</v>
      </c>
      <c r="G1028">
        <v>1</v>
      </c>
      <c r="H1028">
        <v>1</v>
      </c>
      <c r="I1028" t="s">
        <v>1969</v>
      </c>
      <c r="J1028">
        <v>0</v>
      </c>
      <c r="K1028" t="s">
        <v>1638</v>
      </c>
      <c r="L1028" s="1">
        <f>+Tabla__192.168.1.8_POSEIDONSQL_APPFVT_01_tblFillRateFechas[[#This Row],[emb_cantidad]]-Tabla__192.168.1.8_POSEIDONSQL_APPFVT_01_tblFillRateFechas[[#This Row],[dev_cantidad]]</f>
        <v>1</v>
      </c>
      <c r="M1028" s="1">
        <f>+IF(Tabla__192.168.1.8_POSEIDONSQL_APPFVT_01_tblFillRateFechas[[#This Row],[Cant_Resultante]]=Tabla__192.168.1.8_POSEIDONSQL_APPFVT_01_tblFillRateFechas[[#This Row],[cant_order]],1,0)</f>
        <v>1</v>
      </c>
      <c r="N10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8" s="1">
        <f>+IF(AND(Tabla__192.168.1.8_POSEIDONSQL_APPFVT_01_tblFillRateFechas[[#This Row],[Valida Cant]]=1,Tabla__192.168.1.8_POSEIDONSQL_APPFVT_01_tblFillRateFechas[[#This Row],[Valida Fec]]=1),1,0)</f>
        <v>1</v>
      </c>
      <c r="P1028" s="1">
        <f>+(Tabla__192.168.1.8_POSEIDONSQL_APPFVT_01_tblFillRateFechas[[#This Row],[Cant_Resultante]]/Tabla__192.168.1.8_POSEIDONSQL_APPFVT_01_tblFillRateFechas[[#This Row],[cant_order]])*100</f>
        <v>100</v>
      </c>
      <c r="Q10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8" s="1">
        <f>+IF(Tabla__192.168.1.8_POSEIDONSQL_APPFVT_01_tblFillRateFechas[[#This Row],[cant_order]]&gt;0,1,0)</f>
        <v>1</v>
      </c>
      <c r="V1028" s="1">
        <f>+IF(Tabla__192.168.1.8_POSEIDONSQL_APPFVT_01_tblFillRateFechas[[#This Row],[Resultado]]=1,1,0)</f>
        <v>1</v>
      </c>
      <c r="W1028" s="1" t="str">
        <f>+Tabla__192.168.1.8_POSEIDONSQL_APPFVT_01_tblFillRateFechas[[#This Row],[con_ocnumero]]&amp;Tabla__192.168.1.8_POSEIDONSQL_APPFVT_01_tblFillRateFechas[[#This Row],[con_codigounico]]</f>
        <v>91947050180631809017052012206</v>
      </c>
      <c r="X10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29" spans="1:24" x14ac:dyDescent="0.25">
      <c r="A1029">
        <v>9</v>
      </c>
      <c r="B1029" t="s">
        <v>48</v>
      </c>
      <c r="C1029">
        <v>9185897</v>
      </c>
      <c r="D1029" t="s">
        <v>1972</v>
      </c>
      <c r="E1029" t="s">
        <v>1980</v>
      </c>
      <c r="F1029" t="s">
        <v>1975</v>
      </c>
      <c r="G1029">
        <v>1</v>
      </c>
      <c r="H1029">
        <v>1</v>
      </c>
      <c r="I1029" t="s">
        <v>1980</v>
      </c>
      <c r="J1029">
        <v>0</v>
      </c>
      <c r="K1029" t="s">
        <v>693</v>
      </c>
      <c r="L1029" s="1">
        <f>+Tabla__192.168.1.8_POSEIDONSQL_APPFVT_01_tblFillRateFechas[[#This Row],[emb_cantidad]]-Tabla__192.168.1.8_POSEIDONSQL_APPFVT_01_tblFillRateFechas[[#This Row],[dev_cantidad]]</f>
        <v>1</v>
      </c>
      <c r="M1029" s="1">
        <f>+IF(Tabla__192.168.1.8_POSEIDONSQL_APPFVT_01_tblFillRateFechas[[#This Row],[Cant_Resultante]]=Tabla__192.168.1.8_POSEIDONSQL_APPFVT_01_tblFillRateFechas[[#This Row],[cant_order]],1,0)</f>
        <v>1</v>
      </c>
      <c r="N10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29" s="1">
        <f>+IF(AND(Tabla__192.168.1.8_POSEIDONSQL_APPFVT_01_tblFillRateFechas[[#This Row],[Valida Cant]]=1,Tabla__192.168.1.8_POSEIDONSQL_APPFVT_01_tblFillRateFechas[[#This Row],[Valida Fec]]=1),1,0)</f>
        <v>1</v>
      </c>
      <c r="P1029" s="1">
        <f>+(Tabla__192.168.1.8_POSEIDONSQL_APPFVT_01_tblFillRateFechas[[#This Row],[Cant_Resultante]]/Tabla__192.168.1.8_POSEIDONSQL_APPFVT_01_tblFillRateFechas[[#This Row],[cant_order]])*100</f>
        <v>100</v>
      </c>
      <c r="Q10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29" s="1">
        <f>+IF(Tabla__192.168.1.8_POSEIDONSQL_APPFVT_01_tblFillRateFechas[[#This Row],[cant_order]]&gt;0,1,0)</f>
        <v>1</v>
      </c>
      <c r="V1029" s="1">
        <f>+IF(Tabla__192.168.1.8_POSEIDONSQL_APPFVT_01_tblFillRateFechas[[#This Row],[Resultado]]=1,1,0)</f>
        <v>1</v>
      </c>
      <c r="W1029" s="1" t="str">
        <f>+Tabla__192.168.1.8_POSEIDONSQL_APPFVT_01_tblFillRateFechas[[#This Row],[con_ocnumero]]&amp;Tabla__192.168.1.8_POSEIDONSQL_APPFVT_01_tblFillRateFechas[[#This Row],[con_codigounico]]</f>
        <v>91858970180711808170665007049</v>
      </c>
      <c r="X10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0" spans="1:24" x14ac:dyDescent="0.25">
      <c r="A1030">
        <v>9</v>
      </c>
      <c r="B1030" t="s">
        <v>48</v>
      </c>
      <c r="C1030">
        <v>9200280</v>
      </c>
      <c r="D1030" t="s">
        <v>1982</v>
      </c>
      <c r="E1030" t="s">
        <v>420</v>
      </c>
      <c r="F1030" t="s">
        <v>163</v>
      </c>
      <c r="G1030">
        <v>1</v>
      </c>
      <c r="H1030">
        <v>1</v>
      </c>
      <c r="I1030" t="s">
        <v>420</v>
      </c>
      <c r="J1030">
        <v>0</v>
      </c>
      <c r="K1030" t="s">
        <v>1002</v>
      </c>
      <c r="L1030" s="1">
        <f>+Tabla__192.168.1.8_POSEIDONSQL_APPFVT_01_tblFillRateFechas[[#This Row],[emb_cantidad]]-Tabla__192.168.1.8_POSEIDONSQL_APPFVT_01_tblFillRateFechas[[#This Row],[dev_cantidad]]</f>
        <v>1</v>
      </c>
      <c r="M1030" s="1">
        <f>+IF(Tabla__192.168.1.8_POSEIDONSQL_APPFVT_01_tblFillRateFechas[[#This Row],[Cant_Resultante]]=Tabla__192.168.1.8_POSEIDONSQL_APPFVT_01_tblFillRateFechas[[#This Row],[cant_order]],1,0)</f>
        <v>1</v>
      </c>
      <c r="N10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0" s="1">
        <f>+IF(AND(Tabla__192.168.1.8_POSEIDONSQL_APPFVT_01_tblFillRateFechas[[#This Row],[Valida Cant]]=1,Tabla__192.168.1.8_POSEIDONSQL_APPFVT_01_tblFillRateFechas[[#This Row],[Valida Fec]]=1),1,0)</f>
        <v>1</v>
      </c>
      <c r="P1030" s="1">
        <f>+(Tabla__192.168.1.8_POSEIDONSQL_APPFVT_01_tblFillRateFechas[[#This Row],[Cant_Resultante]]/Tabla__192.168.1.8_POSEIDONSQL_APPFVT_01_tblFillRateFechas[[#This Row],[cant_order]])*100</f>
        <v>100</v>
      </c>
      <c r="Q10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0" s="1">
        <f>+IF(Tabla__192.168.1.8_POSEIDONSQL_APPFVT_01_tblFillRateFechas[[#This Row],[cant_order]]&gt;0,1,0)</f>
        <v>1</v>
      </c>
      <c r="V1030" s="1">
        <f>+IF(Tabla__192.168.1.8_POSEIDONSQL_APPFVT_01_tblFillRateFechas[[#This Row],[Resultado]]=1,1,0)</f>
        <v>1</v>
      </c>
      <c r="W1030" s="1" t="str">
        <f>+Tabla__192.168.1.8_POSEIDONSQL_APPFVT_01_tblFillRateFechas[[#This Row],[con_ocnumero]]&amp;Tabla__192.168.1.8_POSEIDONSQL_APPFVT_01_tblFillRateFechas[[#This Row],[con_codigounico]]</f>
        <v>92002800190451809093512011957</v>
      </c>
      <c r="X10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1" spans="1:24" x14ac:dyDescent="0.25">
      <c r="A1031">
        <v>9</v>
      </c>
      <c r="B1031" t="s">
        <v>48</v>
      </c>
      <c r="C1031">
        <v>9190500</v>
      </c>
      <c r="D1031" t="s">
        <v>1970</v>
      </c>
      <c r="E1031" t="s">
        <v>1963</v>
      </c>
      <c r="F1031" t="s">
        <v>1971</v>
      </c>
      <c r="G1031">
        <v>1</v>
      </c>
      <c r="H1031">
        <v>1</v>
      </c>
      <c r="I1031" t="s">
        <v>1963</v>
      </c>
      <c r="J1031">
        <v>0</v>
      </c>
      <c r="K1031" t="s">
        <v>757</v>
      </c>
      <c r="L1031" s="1">
        <f>+Tabla__192.168.1.8_POSEIDONSQL_APPFVT_01_tblFillRateFechas[[#This Row],[emb_cantidad]]-Tabla__192.168.1.8_POSEIDONSQL_APPFVT_01_tblFillRateFechas[[#This Row],[dev_cantidad]]</f>
        <v>1</v>
      </c>
      <c r="M1031" s="1">
        <f>+IF(Tabla__192.168.1.8_POSEIDONSQL_APPFVT_01_tblFillRateFechas[[#This Row],[Cant_Resultante]]=Tabla__192.168.1.8_POSEIDONSQL_APPFVT_01_tblFillRateFechas[[#This Row],[cant_order]],1,0)</f>
        <v>1</v>
      </c>
      <c r="N10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1" s="1">
        <f>+IF(AND(Tabla__192.168.1.8_POSEIDONSQL_APPFVT_01_tblFillRateFechas[[#This Row],[Valida Cant]]=1,Tabla__192.168.1.8_POSEIDONSQL_APPFVT_01_tblFillRateFechas[[#This Row],[Valida Fec]]=1),1,0)</f>
        <v>1</v>
      </c>
      <c r="P1031" s="1">
        <f>+(Tabla__192.168.1.8_POSEIDONSQL_APPFVT_01_tblFillRateFechas[[#This Row],[Cant_Resultante]]/Tabla__192.168.1.8_POSEIDONSQL_APPFVT_01_tblFillRateFechas[[#This Row],[cant_order]])*100</f>
        <v>100</v>
      </c>
      <c r="Q10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1" s="1">
        <f>+IF(Tabla__192.168.1.8_POSEIDONSQL_APPFVT_01_tblFillRateFechas[[#This Row],[cant_order]]&gt;0,1,0)</f>
        <v>1</v>
      </c>
      <c r="V1031" s="1">
        <f>+IF(Tabla__192.168.1.8_POSEIDONSQL_APPFVT_01_tblFillRateFechas[[#This Row],[Resultado]]=1,1,0)</f>
        <v>1</v>
      </c>
      <c r="W1031" s="1" t="str">
        <f>+Tabla__192.168.1.8_POSEIDONSQL_APPFVT_01_tblFillRateFechas[[#This Row],[con_ocnumero]]&amp;Tabla__192.168.1.8_POSEIDONSQL_APPFVT_01_tblFillRateFechas[[#This Row],[con_codigounico]]</f>
        <v>91905000220611808269220002192</v>
      </c>
      <c r="X10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2" spans="1:24" x14ac:dyDescent="0.25">
      <c r="A1032">
        <v>9</v>
      </c>
      <c r="B1032" t="s">
        <v>48</v>
      </c>
      <c r="C1032">
        <v>9179977</v>
      </c>
      <c r="D1032" t="s">
        <v>12</v>
      </c>
      <c r="E1032" t="s">
        <v>1969</v>
      </c>
      <c r="F1032" t="s">
        <v>12</v>
      </c>
      <c r="G1032">
        <v>1</v>
      </c>
      <c r="H1032">
        <v>1</v>
      </c>
      <c r="I1032" t="s">
        <v>1969</v>
      </c>
      <c r="J1032">
        <v>0</v>
      </c>
      <c r="K1032" t="s">
        <v>1407</v>
      </c>
      <c r="L1032" s="1">
        <f>+Tabla__192.168.1.8_POSEIDONSQL_APPFVT_01_tblFillRateFechas[[#This Row],[emb_cantidad]]-Tabla__192.168.1.8_POSEIDONSQL_APPFVT_01_tblFillRateFechas[[#This Row],[dev_cantidad]]</f>
        <v>1</v>
      </c>
      <c r="M1032" s="1">
        <f>+IF(Tabla__192.168.1.8_POSEIDONSQL_APPFVT_01_tblFillRateFechas[[#This Row],[Cant_Resultante]]=Tabla__192.168.1.8_POSEIDONSQL_APPFVT_01_tblFillRateFechas[[#This Row],[cant_order]],1,0)</f>
        <v>1</v>
      </c>
      <c r="N10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2" s="1">
        <f>+IF(AND(Tabla__192.168.1.8_POSEIDONSQL_APPFVT_01_tblFillRateFechas[[#This Row],[Valida Cant]]=1,Tabla__192.168.1.8_POSEIDONSQL_APPFVT_01_tblFillRateFechas[[#This Row],[Valida Fec]]=1),1,0)</f>
        <v>1</v>
      </c>
      <c r="P1032" s="1">
        <f>+(Tabla__192.168.1.8_POSEIDONSQL_APPFVT_01_tblFillRateFechas[[#This Row],[Cant_Resultante]]/Tabla__192.168.1.8_POSEIDONSQL_APPFVT_01_tblFillRateFechas[[#This Row],[cant_order]])*100</f>
        <v>100</v>
      </c>
      <c r="Q10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2" s="1">
        <f>+IF(Tabla__192.168.1.8_POSEIDONSQL_APPFVT_01_tblFillRateFechas[[#This Row],[cant_order]]&gt;0,1,0)</f>
        <v>1</v>
      </c>
      <c r="V1032" s="1">
        <f>+IF(Tabla__192.168.1.8_POSEIDONSQL_APPFVT_01_tblFillRateFechas[[#This Row],[Resultado]]=1,1,0)</f>
        <v>1</v>
      </c>
      <c r="W1032" s="1" t="str">
        <f>+Tabla__192.168.1.8_POSEIDONSQL_APPFVT_01_tblFillRateFechas[[#This Row],[con_ocnumero]]&amp;Tabla__192.168.1.8_POSEIDONSQL_APPFVT_01_tblFillRateFechas[[#This Row],[con_codigounico]]</f>
        <v>91799770220731808065681010101</v>
      </c>
      <c r="X10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3" spans="1:24" x14ac:dyDescent="0.25">
      <c r="A1033">
        <v>9</v>
      </c>
      <c r="B1033" t="s">
        <v>48</v>
      </c>
      <c r="C1033">
        <v>9189618</v>
      </c>
      <c r="D1033" t="s">
        <v>1968</v>
      </c>
      <c r="E1033" t="s">
        <v>160</v>
      </c>
      <c r="F1033" t="s">
        <v>1971</v>
      </c>
      <c r="G1033">
        <v>1</v>
      </c>
      <c r="H1033">
        <v>1</v>
      </c>
      <c r="I1033" t="s">
        <v>160</v>
      </c>
      <c r="J1033">
        <v>0</v>
      </c>
      <c r="K1033" t="s">
        <v>1088</v>
      </c>
      <c r="L1033" s="1">
        <f>+Tabla__192.168.1.8_POSEIDONSQL_APPFVT_01_tblFillRateFechas[[#This Row],[emb_cantidad]]-Tabla__192.168.1.8_POSEIDONSQL_APPFVT_01_tblFillRateFechas[[#This Row],[dev_cantidad]]</f>
        <v>1</v>
      </c>
      <c r="M1033" s="1">
        <f>+IF(Tabla__192.168.1.8_POSEIDONSQL_APPFVT_01_tblFillRateFechas[[#This Row],[Cant_Resultante]]=Tabla__192.168.1.8_POSEIDONSQL_APPFVT_01_tblFillRateFechas[[#This Row],[cant_order]],1,0)</f>
        <v>1</v>
      </c>
      <c r="N10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3" s="1">
        <f>+IF(AND(Tabla__192.168.1.8_POSEIDONSQL_APPFVT_01_tblFillRateFechas[[#This Row],[Valida Cant]]=1,Tabla__192.168.1.8_POSEIDONSQL_APPFVT_01_tblFillRateFechas[[#This Row],[Valida Fec]]=1),1,0)</f>
        <v>1</v>
      </c>
      <c r="P1033" s="1">
        <f>+(Tabla__192.168.1.8_POSEIDONSQL_APPFVT_01_tblFillRateFechas[[#This Row],[Cant_Resultante]]/Tabla__192.168.1.8_POSEIDONSQL_APPFVT_01_tblFillRateFechas[[#This Row],[cant_order]])*100</f>
        <v>100</v>
      </c>
      <c r="Q10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3" s="1">
        <f>+IF(Tabla__192.168.1.8_POSEIDONSQL_APPFVT_01_tblFillRateFechas[[#This Row],[cant_order]]&gt;0,1,0)</f>
        <v>1</v>
      </c>
      <c r="V1033" s="1">
        <f>+IF(Tabla__192.168.1.8_POSEIDONSQL_APPFVT_01_tblFillRateFechas[[#This Row],[Resultado]]=1,1,0)</f>
        <v>1</v>
      </c>
      <c r="W1033" s="1" t="str">
        <f>+Tabla__192.168.1.8_POSEIDONSQL_APPFVT_01_tblFillRateFechas[[#This Row],[con_ocnumero]]&amp;Tabla__192.168.1.8_POSEIDONSQL_APPFVT_01_tblFillRateFechas[[#This Row],[con_codigounico]]</f>
        <v>91896180220731808246443010330</v>
      </c>
      <c r="X10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4" spans="1:24" x14ac:dyDescent="0.25">
      <c r="A1034">
        <v>9</v>
      </c>
      <c r="B1034" t="s">
        <v>48</v>
      </c>
      <c r="C1034">
        <v>9189745</v>
      </c>
      <c r="D1034" t="s">
        <v>1968</v>
      </c>
      <c r="E1034" t="s">
        <v>1962</v>
      </c>
      <c r="F1034" t="s">
        <v>1971</v>
      </c>
      <c r="G1034">
        <v>1</v>
      </c>
      <c r="H1034">
        <v>1</v>
      </c>
      <c r="I1034" t="s">
        <v>1962</v>
      </c>
      <c r="J1034">
        <v>0</v>
      </c>
      <c r="K1034" t="s">
        <v>748</v>
      </c>
      <c r="L1034" s="1">
        <f>+Tabla__192.168.1.8_POSEIDONSQL_APPFVT_01_tblFillRateFechas[[#This Row],[emb_cantidad]]-Tabla__192.168.1.8_POSEIDONSQL_APPFVT_01_tblFillRateFechas[[#This Row],[dev_cantidad]]</f>
        <v>1</v>
      </c>
      <c r="M1034" s="1">
        <f>+IF(Tabla__192.168.1.8_POSEIDONSQL_APPFVT_01_tblFillRateFechas[[#This Row],[Cant_Resultante]]=Tabla__192.168.1.8_POSEIDONSQL_APPFVT_01_tblFillRateFechas[[#This Row],[cant_order]],1,0)</f>
        <v>1</v>
      </c>
      <c r="N10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4" s="1">
        <f>+IF(AND(Tabla__192.168.1.8_POSEIDONSQL_APPFVT_01_tblFillRateFechas[[#This Row],[Valida Cant]]=1,Tabla__192.168.1.8_POSEIDONSQL_APPFVT_01_tblFillRateFechas[[#This Row],[Valida Fec]]=1),1,0)</f>
        <v>1</v>
      </c>
      <c r="P1034" s="1">
        <f>+(Tabla__192.168.1.8_POSEIDONSQL_APPFVT_01_tblFillRateFechas[[#This Row],[Cant_Resultante]]/Tabla__192.168.1.8_POSEIDONSQL_APPFVT_01_tblFillRateFechas[[#This Row],[cant_order]])*100</f>
        <v>100</v>
      </c>
      <c r="Q10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4" s="1">
        <f>+IF(Tabla__192.168.1.8_POSEIDONSQL_APPFVT_01_tblFillRateFechas[[#This Row],[cant_order]]&gt;0,1,0)</f>
        <v>1</v>
      </c>
      <c r="V1034" s="1">
        <f>+IF(Tabla__192.168.1.8_POSEIDONSQL_APPFVT_01_tblFillRateFechas[[#This Row],[Resultado]]=1,1,0)</f>
        <v>1</v>
      </c>
      <c r="W1034" s="1" t="str">
        <f>+Tabla__192.168.1.8_POSEIDONSQL_APPFVT_01_tblFillRateFechas[[#This Row],[con_ocnumero]]&amp;Tabla__192.168.1.8_POSEIDONSQL_APPFVT_01_tblFillRateFechas[[#This Row],[con_codigounico]]</f>
        <v>91897450250041808247694007578</v>
      </c>
      <c r="X10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5" spans="1:24" x14ac:dyDescent="0.25">
      <c r="A1035">
        <v>9</v>
      </c>
      <c r="B1035" t="s">
        <v>48</v>
      </c>
      <c r="C1035">
        <v>9199724</v>
      </c>
      <c r="D1035" t="s">
        <v>428</v>
      </c>
      <c r="E1035" t="s">
        <v>426</v>
      </c>
      <c r="F1035" t="s">
        <v>163</v>
      </c>
      <c r="G1035">
        <v>1</v>
      </c>
      <c r="H1035">
        <v>1</v>
      </c>
      <c r="I1035" t="s">
        <v>426</v>
      </c>
      <c r="J1035">
        <v>0</v>
      </c>
      <c r="K1035" t="s">
        <v>967</v>
      </c>
      <c r="L1035" s="1">
        <f>+Tabla__192.168.1.8_POSEIDONSQL_APPFVT_01_tblFillRateFechas[[#This Row],[emb_cantidad]]-Tabla__192.168.1.8_POSEIDONSQL_APPFVT_01_tblFillRateFechas[[#This Row],[dev_cantidad]]</f>
        <v>1</v>
      </c>
      <c r="M1035" s="1">
        <f>+IF(Tabla__192.168.1.8_POSEIDONSQL_APPFVT_01_tblFillRateFechas[[#This Row],[Cant_Resultante]]=Tabla__192.168.1.8_POSEIDONSQL_APPFVT_01_tblFillRateFechas[[#This Row],[cant_order]],1,0)</f>
        <v>1</v>
      </c>
      <c r="N10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5" s="1">
        <f>+IF(AND(Tabla__192.168.1.8_POSEIDONSQL_APPFVT_01_tblFillRateFechas[[#This Row],[Valida Cant]]=1,Tabla__192.168.1.8_POSEIDONSQL_APPFVT_01_tblFillRateFechas[[#This Row],[Valida Fec]]=1),1,0)</f>
        <v>1</v>
      </c>
      <c r="P1035" s="1">
        <f>+(Tabla__192.168.1.8_POSEIDONSQL_APPFVT_01_tblFillRateFechas[[#This Row],[Cant_Resultante]]/Tabla__192.168.1.8_POSEIDONSQL_APPFVT_01_tblFillRateFechas[[#This Row],[cant_order]])*100</f>
        <v>100</v>
      </c>
      <c r="Q10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5" s="1">
        <f>+IF(Tabla__192.168.1.8_POSEIDONSQL_APPFVT_01_tblFillRateFechas[[#This Row],[cant_order]]&gt;0,1,0)</f>
        <v>1</v>
      </c>
      <c r="V1035" s="1">
        <f>+IF(Tabla__192.168.1.8_POSEIDONSQL_APPFVT_01_tblFillRateFechas[[#This Row],[Resultado]]=1,1,0)</f>
        <v>1</v>
      </c>
      <c r="W1035" s="1" t="str">
        <f>+Tabla__192.168.1.8_POSEIDONSQL_APPFVT_01_tblFillRateFechas[[#This Row],[con_ocnumero]]&amp;Tabla__192.168.1.8_POSEIDONSQL_APPFVT_01_tblFillRateFechas[[#This Row],[con_codigounico]]</f>
        <v>91997240250041809087975007636</v>
      </c>
      <c r="X10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6" spans="1:24" x14ac:dyDescent="0.25">
      <c r="A1036">
        <v>9</v>
      </c>
      <c r="B1036" t="s">
        <v>48</v>
      </c>
      <c r="C1036">
        <v>9194511</v>
      </c>
      <c r="D1036" t="s">
        <v>1966</v>
      </c>
      <c r="E1036" t="s">
        <v>1969</v>
      </c>
      <c r="F1036" t="s">
        <v>1963</v>
      </c>
      <c r="G1036">
        <v>1</v>
      </c>
      <c r="H1036">
        <v>1</v>
      </c>
      <c r="I1036" t="s">
        <v>1969</v>
      </c>
      <c r="J1036">
        <v>0</v>
      </c>
      <c r="K1036" t="s">
        <v>1805</v>
      </c>
      <c r="L1036" s="1">
        <f>+Tabla__192.168.1.8_POSEIDONSQL_APPFVT_01_tblFillRateFechas[[#This Row],[emb_cantidad]]-Tabla__192.168.1.8_POSEIDONSQL_APPFVT_01_tblFillRateFechas[[#This Row],[dev_cantidad]]</f>
        <v>1</v>
      </c>
      <c r="M1036" s="1">
        <f>+IF(Tabla__192.168.1.8_POSEIDONSQL_APPFVT_01_tblFillRateFechas[[#This Row],[Cant_Resultante]]=Tabla__192.168.1.8_POSEIDONSQL_APPFVT_01_tblFillRateFechas[[#This Row],[cant_order]],1,0)</f>
        <v>1</v>
      </c>
      <c r="N10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6" s="1">
        <f>+IF(AND(Tabla__192.168.1.8_POSEIDONSQL_APPFVT_01_tblFillRateFechas[[#This Row],[Valida Cant]]=1,Tabla__192.168.1.8_POSEIDONSQL_APPFVT_01_tblFillRateFechas[[#This Row],[Valida Fec]]=1),1,0)</f>
        <v>1</v>
      </c>
      <c r="P1036" s="1">
        <f>+(Tabla__192.168.1.8_POSEIDONSQL_APPFVT_01_tblFillRateFechas[[#This Row],[Cant_Resultante]]/Tabla__192.168.1.8_POSEIDONSQL_APPFVT_01_tblFillRateFechas[[#This Row],[cant_order]])*100</f>
        <v>100</v>
      </c>
      <c r="Q10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6" s="1">
        <f>+IF(Tabla__192.168.1.8_POSEIDONSQL_APPFVT_01_tblFillRateFechas[[#This Row],[cant_order]]&gt;0,1,0)</f>
        <v>1</v>
      </c>
      <c r="V1036" s="1">
        <f>+IF(Tabla__192.168.1.8_POSEIDONSQL_APPFVT_01_tblFillRateFechas[[#This Row],[Resultado]]=1,1,0)</f>
        <v>1</v>
      </c>
      <c r="W1036" s="1" t="str">
        <f>+Tabla__192.168.1.8_POSEIDONSQL_APPFVT_01_tblFillRateFechas[[#This Row],[con_ocnumero]]&amp;Tabla__192.168.1.8_POSEIDONSQL_APPFVT_01_tblFillRateFechas[[#This Row],[con_codigounico]]</f>
        <v>91945110260351809011930006120</v>
      </c>
      <c r="X10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7" spans="1:24" x14ac:dyDescent="0.25">
      <c r="A1037">
        <v>9</v>
      </c>
      <c r="B1037" t="s">
        <v>48</v>
      </c>
      <c r="C1037">
        <v>9185855</v>
      </c>
      <c r="D1037" t="s">
        <v>1972</v>
      </c>
      <c r="E1037" t="s">
        <v>1971</v>
      </c>
      <c r="F1037" t="s">
        <v>1975</v>
      </c>
      <c r="G1037">
        <v>1</v>
      </c>
      <c r="H1037">
        <v>1</v>
      </c>
      <c r="I1037" t="s">
        <v>1980</v>
      </c>
      <c r="J1037">
        <v>0</v>
      </c>
      <c r="K1037" t="s">
        <v>687</v>
      </c>
      <c r="L1037" s="1">
        <f>+Tabla__192.168.1.8_POSEIDONSQL_APPFVT_01_tblFillRateFechas[[#This Row],[emb_cantidad]]-Tabla__192.168.1.8_POSEIDONSQL_APPFVT_01_tblFillRateFechas[[#This Row],[dev_cantidad]]</f>
        <v>1</v>
      </c>
      <c r="M1037" s="1">
        <f>+IF(Tabla__192.168.1.8_POSEIDONSQL_APPFVT_01_tblFillRateFechas[[#This Row],[Cant_Resultante]]=Tabla__192.168.1.8_POSEIDONSQL_APPFVT_01_tblFillRateFechas[[#This Row],[cant_order]],1,0)</f>
        <v>1</v>
      </c>
      <c r="N10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037" s="1">
        <f>+IF(AND(Tabla__192.168.1.8_POSEIDONSQL_APPFVT_01_tblFillRateFechas[[#This Row],[Valida Cant]]=1,Tabla__192.168.1.8_POSEIDONSQL_APPFVT_01_tblFillRateFechas[[#This Row],[Valida Fec]]=1),1,0)</f>
        <v>0</v>
      </c>
      <c r="P1037" s="1">
        <f>+(Tabla__192.168.1.8_POSEIDONSQL_APPFVT_01_tblFillRateFechas[[#This Row],[Cant_Resultante]]/Tabla__192.168.1.8_POSEIDONSQL_APPFVT_01_tblFillRateFechas[[#This Row],[cant_order]])*100</f>
        <v>100</v>
      </c>
      <c r="Q10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7" s="1">
        <f>+IF(Tabla__192.168.1.8_POSEIDONSQL_APPFVT_01_tblFillRateFechas[[#This Row],[cant_order]]&gt;0,1,0)</f>
        <v>1</v>
      </c>
      <c r="V1037" s="1">
        <f>+IF(Tabla__192.168.1.8_POSEIDONSQL_APPFVT_01_tblFillRateFechas[[#This Row],[Resultado]]=1,1,0)</f>
        <v>0</v>
      </c>
      <c r="W1037" s="1" t="str">
        <f>+Tabla__192.168.1.8_POSEIDONSQL_APPFVT_01_tblFillRateFechas[[#This Row],[con_ocnumero]]&amp;Tabla__192.168.1.8_POSEIDONSQL_APPFVT_01_tblFillRateFechas[[#This Row],[con_codigounico]]</f>
        <v>91858550260591808174337008712</v>
      </c>
      <c r="X10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8" spans="1:24" x14ac:dyDescent="0.25">
      <c r="A1038">
        <v>9</v>
      </c>
      <c r="B1038" t="s">
        <v>48</v>
      </c>
      <c r="C1038">
        <v>9194606</v>
      </c>
      <c r="D1038" t="s">
        <v>1966</v>
      </c>
      <c r="E1038" t="s">
        <v>426</v>
      </c>
      <c r="F1038" t="s">
        <v>1963</v>
      </c>
      <c r="G1038">
        <v>1</v>
      </c>
      <c r="H1038">
        <v>1</v>
      </c>
      <c r="I1038" t="s">
        <v>426</v>
      </c>
      <c r="J1038">
        <v>0</v>
      </c>
      <c r="K1038" t="s">
        <v>1176</v>
      </c>
      <c r="L1038" s="1">
        <f>+Tabla__192.168.1.8_POSEIDONSQL_APPFVT_01_tblFillRateFechas[[#This Row],[emb_cantidad]]-Tabla__192.168.1.8_POSEIDONSQL_APPFVT_01_tblFillRateFechas[[#This Row],[dev_cantidad]]</f>
        <v>1</v>
      </c>
      <c r="M1038" s="1">
        <f>+IF(Tabla__192.168.1.8_POSEIDONSQL_APPFVT_01_tblFillRateFechas[[#This Row],[Cant_Resultante]]=Tabla__192.168.1.8_POSEIDONSQL_APPFVT_01_tblFillRateFechas[[#This Row],[cant_order]],1,0)</f>
        <v>1</v>
      </c>
      <c r="N10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8" s="1">
        <f>+IF(AND(Tabla__192.168.1.8_POSEIDONSQL_APPFVT_01_tblFillRateFechas[[#This Row],[Valida Cant]]=1,Tabla__192.168.1.8_POSEIDONSQL_APPFVT_01_tblFillRateFechas[[#This Row],[Valida Fec]]=1),1,0)</f>
        <v>1</v>
      </c>
      <c r="P1038" s="1">
        <f>+(Tabla__192.168.1.8_POSEIDONSQL_APPFVT_01_tblFillRateFechas[[#This Row],[Cant_Resultante]]/Tabla__192.168.1.8_POSEIDONSQL_APPFVT_01_tblFillRateFechas[[#This Row],[cant_order]])*100</f>
        <v>100</v>
      </c>
      <c r="Q10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8" s="1">
        <f>+IF(Tabla__192.168.1.8_POSEIDONSQL_APPFVT_01_tblFillRateFechas[[#This Row],[cant_order]]&gt;0,1,0)</f>
        <v>1</v>
      </c>
      <c r="V1038" s="1">
        <f>+IF(Tabla__192.168.1.8_POSEIDONSQL_APPFVT_01_tblFillRateFechas[[#This Row],[Resultado]]=1,1,0)</f>
        <v>1</v>
      </c>
      <c r="W1038" s="1" t="str">
        <f>+Tabla__192.168.1.8_POSEIDONSQL_APPFVT_01_tblFillRateFechas[[#This Row],[con_ocnumero]]&amp;Tabla__192.168.1.8_POSEIDONSQL_APPFVT_01_tblFillRateFechas[[#This Row],[con_codigounico]]</f>
        <v>91946060260591809014697008850</v>
      </c>
      <c r="X10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39" spans="1:24" x14ac:dyDescent="0.25">
      <c r="A1039">
        <v>9</v>
      </c>
      <c r="B1039" t="s">
        <v>48</v>
      </c>
      <c r="C1039">
        <v>9198446</v>
      </c>
      <c r="D1039" t="s">
        <v>161</v>
      </c>
      <c r="E1039" t="s">
        <v>422</v>
      </c>
      <c r="F1039" t="s">
        <v>1969</v>
      </c>
      <c r="G1039">
        <v>1</v>
      </c>
      <c r="H1039">
        <v>1</v>
      </c>
      <c r="I1039" t="s">
        <v>426</v>
      </c>
      <c r="J1039">
        <v>0</v>
      </c>
      <c r="K1039" t="s">
        <v>1321</v>
      </c>
      <c r="L1039" s="1">
        <f>+Tabla__192.168.1.8_POSEIDONSQL_APPFVT_01_tblFillRateFechas[[#This Row],[emb_cantidad]]-Tabla__192.168.1.8_POSEIDONSQL_APPFVT_01_tblFillRateFechas[[#This Row],[dev_cantidad]]</f>
        <v>1</v>
      </c>
      <c r="M1039" s="1">
        <f>+IF(Tabla__192.168.1.8_POSEIDONSQL_APPFVT_01_tblFillRateFechas[[#This Row],[Cant_Resultante]]=Tabla__192.168.1.8_POSEIDONSQL_APPFVT_01_tblFillRateFechas[[#This Row],[cant_order]],1,0)</f>
        <v>1</v>
      </c>
      <c r="N10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39" s="1">
        <f>+IF(AND(Tabla__192.168.1.8_POSEIDONSQL_APPFVT_01_tblFillRateFechas[[#This Row],[Valida Cant]]=1,Tabla__192.168.1.8_POSEIDONSQL_APPFVT_01_tblFillRateFechas[[#This Row],[Valida Fec]]=1),1,0)</f>
        <v>1</v>
      </c>
      <c r="P1039" s="1">
        <f>+(Tabla__192.168.1.8_POSEIDONSQL_APPFVT_01_tblFillRateFechas[[#This Row],[Cant_Resultante]]/Tabla__192.168.1.8_POSEIDONSQL_APPFVT_01_tblFillRateFechas[[#This Row],[cant_order]])*100</f>
        <v>100</v>
      </c>
      <c r="Q10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39" s="1">
        <f>+IF(Tabla__192.168.1.8_POSEIDONSQL_APPFVT_01_tblFillRateFechas[[#This Row],[cant_order]]&gt;0,1,0)</f>
        <v>1</v>
      </c>
      <c r="V1039" s="1">
        <f>+IF(Tabla__192.168.1.8_POSEIDONSQL_APPFVT_01_tblFillRateFechas[[#This Row],[Resultado]]=1,1,0)</f>
        <v>1</v>
      </c>
      <c r="W1039" s="1" t="str">
        <f>+Tabla__192.168.1.8_POSEIDONSQL_APPFVT_01_tblFillRateFechas[[#This Row],[con_ocnumero]]&amp;Tabla__192.168.1.8_POSEIDONSQL_APPFVT_01_tblFillRateFechas[[#This Row],[con_codigounico]]</f>
        <v>91984460260591809064846008917</v>
      </c>
      <c r="X10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0" spans="1:24" x14ac:dyDescent="0.25">
      <c r="A1040">
        <v>9</v>
      </c>
      <c r="B1040" t="s">
        <v>48</v>
      </c>
      <c r="C1040">
        <v>9199539</v>
      </c>
      <c r="D1040" t="s">
        <v>1969</v>
      </c>
      <c r="E1040" t="s">
        <v>426</v>
      </c>
      <c r="F1040" t="s">
        <v>163</v>
      </c>
      <c r="G1040">
        <v>1</v>
      </c>
      <c r="H1040">
        <v>1</v>
      </c>
      <c r="I1040" t="s">
        <v>426</v>
      </c>
      <c r="J1040">
        <v>0</v>
      </c>
      <c r="K1040" t="s">
        <v>1311</v>
      </c>
      <c r="L1040" s="1">
        <f>+Tabla__192.168.1.8_POSEIDONSQL_APPFVT_01_tblFillRateFechas[[#This Row],[emb_cantidad]]-Tabla__192.168.1.8_POSEIDONSQL_APPFVT_01_tblFillRateFechas[[#This Row],[dev_cantidad]]</f>
        <v>1</v>
      </c>
      <c r="M1040" s="1">
        <f>+IF(Tabla__192.168.1.8_POSEIDONSQL_APPFVT_01_tblFillRateFechas[[#This Row],[Cant_Resultante]]=Tabla__192.168.1.8_POSEIDONSQL_APPFVT_01_tblFillRateFechas[[#This Row],[cant_order]],1,0)</f>
        <v>1</v>
      </c>
      <c r="N10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0" s="1">
        <f>+IF(AND(Tabla__192.168.1.8_POSEIDONSQL_APPFVT_01_tblFillRateFechas[[#This Row],[Valida Cant]]=1,Tabla__192.168.1.8_POSEIDONSQL_APPFVT_01_tblFillRateFechas[[#This Row],[Valida Fec]]=1),1,0)</f>
        <v>1</v>
      </c>
      <c r="P1040" s="1">
        <f>+(Tabla__192.168.1.8_POSEIDONSQL_APPFVT_01_tblFillRateFechas[[#This Row],[Cant_Resultante]]/Tabla__192.168.1.8_POSEIDONSQL_APPFVT_01_tblFillRateFechas[[#This Row],[cant_order]])*100</f>
        <v>100</v>
      </c>
      <c r="Q10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0" s="1">
        <f>+IF(Tabla__192.168.1.8_POSEIDONSQL_APPFVT_01_tblFillRateFechas[[#This Row],[cant_order]]&gt;0,1,0)</f>
        <v>1</v>
      </c>
      <c r="V1040" s="1">
        <f>+IF(Tabla__192.168.1.8_POSEIDONSQL_APPFVT_01_tblFillRateFechas[[#This Row],[Resultado]]=1,1,0)</f>
        <v>1</v>
      </c>
      <c r="W1040" s="1" t="str">
        <f>+Tabla__192.168.1.8_POSEIDONSQL_APPFVT_01_tblFillRateFechas[[#This Row],[con_ocnumero]]&amp;Tabla__192.168.1.8_POSEIDONSQL_APPFVT_01_tblFillRateFechas[[#This Row],[con_codigounico]]</f>
        <v>91995390260591809074883008943</v>
      </c>
      <c r="X10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1" spans="1:24" x14ac:dyDescent="0.25">
      <c r="A1041">
        <v>9</v>
      </c>
      <c r="B1041" t="s">
        <v>48</v>
      </c>
      <c r="C1041">
        <v>9199767</v>
      </c>
      <c r="D1041" t="s">
        <v>428</v>
      </c>
      <c r="E1041" t="s">
        <v>426</v>
      </c>
      <c r="F1041" t="s">
        <v>163</v>
      </c>
      <c r="G1041">
        <v>1</v>
      </c>
      <c r="H1041">
        <v>1</v>
      </c>
      <c r="I1041" t="s">
        <v>426</v>
      </c>
      <c r="J1041">
        <v>0</v>
      </c>
      <c r="K1041" t="s">
        <v>970</v>
      </c>
      <c r="L1041" s="1">
        <f>+Tabla__192.168.1.8_POSEIDONSQL_APPFVT_01_tblFillRateFechas[[#This Row],[emb_cantidad]]-Tabla__192.168.1.8_POSEIDONSQL_APPFVT_01_tblFillRateFechas[[#This Row],[dev_cantidad]]</f>
        <v>1</v>
      </c>
      <c r="M1041" s="1">
        <f>+IF(Tabla__192.168.1.8_POSEIDONSQL_APPFVT_01_tblFillRateFechas[[#This Row],[Cant_Resultante]]=Tabla__192.168.1.8_POSEIDONSQL_APPFVT_01_tblFillRateFechas[[#This Row],[cant_order]],1,0)</f>
        <v>1</v>
      </c>
      <c r="N10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1" s="1">
        <f>+IF(AND(Tabla__192.168.1.8_POSEIDONSQL_APPFVT_01_tblFillRateFechas[[#This Row],[Valida Cant]]=1,Tabla__192.168.1.8_POSEIDONSQL_APPFVT_01_tblFillRateFechas[[#This Row],[Valida Fec]]=1),1,0)</f>
        <v>1</v>
      </c>
      <c r="P1041" s="1">
        <f>+(Tabla__192.168.1.8_POSEIDONSQL_APPFVT_01_tblFillRateFechas[[#This Row],[Cant_Resultante]]/Tabla__192.168.1.8_POSEIDONSQL_APPFVT_01_tblFillRateFechas[[#This Row],[cant_order]])*100</f>
        <v>100</v>
      </c>
      <c r="Q10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1" s="1">
        <f>+IF(Tabla__192.168.1.8_POSEIDONSQL_APPFVT_01_tblFillRateFechas[[#This Row],[cant_order]]&gt;0,1,0)</f>
        <v>1</v>
      </c>
      <c r="V1041" s="1">
        <f>+IF(Tabla__192.168.1.8_POSEIDONSQL_APPFVT_01_tblFillRateFechas[[#This Row],[Resultado]]=1,1,0)</f>
        <v>1</v>
      </c>
      <c r="W1041" s="1" t="str">
        <f>+Tabla__192.168.1.8_POSEIDONSQL_APPFVT_01_tblFillRateFechas[[#This Row],[con_ocnumero]]&amp;Tabla__192.168.1.8_POSEIDONSQL_APPFVT_01_tblFillRateFechas[[#This Row],[con_codigounico]]</f>
        <v>91997670260591809084899008949</v>
      </c>
      <c r="X10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2" spans="1:24" x14ac:dyDescent="0.25">
      <c r="A1042">
        <v>9</v>
      </c>
      <c r="B1042" t="s">
        <v>48</v>
      </c>
      <c r="C1042">
        <v>9186487</v>
      </c>
      <c r="D1042" t="s">
        <v>1976</v>
      </c>
      <c r="E1042" t="s">
        <v>1962</v>
      </c>
      <c r="F1042" t="s">
        <v>1975</v>
      </c>
      <c r="G1042">
        <v>1</v>
      </c>
      <c r="H1042">
        <v>1</v>
      </c>
      <c r="I1042" t="s">
        <v>1962</v>
      </c>
      <c r="J1042">
        <v>0</v>
      </c>
      <c r="K1042" t="s">
        <v>701</v>
      </c>
      <c r="L1042" s="1">
        <f>+Tabla__192.168.1.8_POSEIDONSQL_APPFVT_01_tblFillRateFechas[[#This Row],[emb_cantidad]]-Tabla__192.168.1.8_POSEIDONSQL_APPFVT_01_tblFillRateFechas[[#This Row],[dev_cantidad]]</f>
        <v>1</v>
      </c>
      <c r="M1042" s="1">
        <f>+IF(Tabla__192.168.1.8_POSEIDONSQL_APPFVT_01_tblFillRateFechas[[#This Row],[Cant_Resultante]]=Tabla__192.168.1.8_POSEIDONSQL_APPFVT_01_tblFillRateFechas[[#This Row],[cant_order]],1,0)</f>
        <v>1</v>
      </c>
      <c r="N10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2" s="1">
        <f>+IF(AND(Tabla__192.168.1.8_POSEIDONSQL_APPFVT_01_tblFillRateFechas[[#This Row],[Valida Cant]]=1,Tabla__192.168.1.8_POSEIDONSQL_APPFVT_01_tblFillRateFechas[[#This Row],[Valida Fec]]=1),1,0)</f>
        <v>1</v>
      </c>
      <c r="P1042" s="1">
        <f>+(Tabla__192.168.1.8_POSEIDONSQL_APPFVT_01_tblFillRateFechas[[#This Row],[Cant_Resultante]]/Tabla__192.168.1.8_POSEIDONSQL_APPFVT_01_tblFillRateFechas[[#This Row],[cant_order]])*100</f>
        <v>100</v>
      </c>
      <c r="Q10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2" s="1">
        <f>+IF(Tabla__192.168.1.8_POSEIDONSQL_APPFVT_01_tblFillRateFechas[[#This Row],[cant_order]]&gt;0,1,0)</f>
        <v>1</v>
      </c>
      <c r="V1042" s="1">
        <f>+IF(Tabla__192.168.1.8_POSEIDONSQL_APPFVT_01_tblFillRateFechas[[#This Row],[Resultado]]=1,1,0)</f>
        <v>1</v>
      </c>
      <c r="W1042" s="1" t="str">
        <f>+Tabla__192.168.1.8_POSEIDONSQL_APPFVT_01_tblFillRateFechas[[#This Row],[con_ocnumero]]&amp;Tabla__192.168.1.8_POSEIDONSQL_APPFVT_01_tblFillRateFechas[[#This Row],[con_codigounico]]</f>
        <v>91864870260601808189886013310</v>
      </c>
      <c r="X10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3" spans="1:24" x14ac:dyDescent="0.25">
      <c r="A1043">
        <v>9</v>
      </c>
      <c r="B1043" t="s">
        <v>48</v>
      </c>
      <c r="C1043">
        <v>9203626</v>
      </c>
      <c r="D1043" t="s">
        <v>1983</v>
      </c>
      <c r="E1043" t="s">
        <v>420</v>
      </c>
      <c r="F1043" t="s">
        <v>415</v>
      </c>
      <c r="G1043">
        <v>1</v>
      </c>
      <c r="H1043">
        <v>1</v>
      </c>
      <c r="I1043" t="s">
        <v>420</v>
      </c>
      <c r="J1043">
        <v>0</v>
      </c>
      <c r="K1043" t="s">
        <v>1929</v>
      </c>
      <c r="L1043" s="1">
        <f>+Tabla__192.168.1.8_POSEIDONSQL_APPFVT_01_tblFillRateFechas[[#This Row],[emb_cantidad]]-Tabla__192.168.1.8_POSEIDONSQL_APPFVT_01_tblFillRateFechas[[#This Row],[dev_cantidad]]</f>
        <v>1</v>
      </c>
      <c r="M1043" s="1">
        <f>+IF(Tabla__192.168.1.8_POSEIDONSQL_APPFVT_01_tblFillRateFechas[[#This Row],[Cant_Resultante]]=Tabla__192.168.1.8_POSEIDONSQL_APPFVT_01_tblFillRateFechas[[#This Row],[cant_order]],1,0)</f>
        <v>1</v>
      </c>
      <c r="N10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3" s="1">
        <f>+IF(AND(Tabla__192.168.1.8_POSEIDONSQL_APPFVT_01_tblFillRateFechas[[#This Row],[Valida Cant]]=1,Tabla__192.168.1.8_POSEIDONSQL_APPFVT_01_tblFillRateFechas[[#This Row],[Valida Fec]]=1),1,0)</f>
        <v>1</v>
      </c>
      <c r="P1043" s="1">
        <f>+(Tabla__192.168.1.8_POSEIDONSQL_APPFVT_01_tblFillRateFechas[[#This Row],[Cant_Resultante]]/Tabla__192.168.1.8_POSEIDONSQL_APPFVT_01_tblFillRateFechas[[#This Row],[cant_order]])*100</f>
        <v>100</v>
      </c>
      <c r="Q10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3" s="1">
        <f>+IF(Tabla__192.168.1.8_POSEIDONSQL_APPFVT_01_tblFillRateFechas[[#This Row],[cant_order]]&gt;0,1,0)</f>
        <v>1</v>
      </c>
      <c r="V1043" s="1">
        <f>+IF(Tabla__192.168.1.8_POSEIDONSQL_APPFVT_01_tblFillRateFechas[[#This Row],[Resultado]]=1,1,0)</f>
        <v>1</v>
      </c>
      <c r="W1043" s="1" t="str">
        <f>+Tabla__192.168.1.8_POSEIDONSQL_APPFVT_01_tblFillRateFechas[[#This Row],[con_ocnumero]]&amp;Tabla__192.168.1.8_POSEIDONSQL_APPFVT_01_tblFillRateFechas[[#This Row],[con_codigounico]]</f>
        <v>92036260260601809150146013385</v>
      </c>
      <c r="X10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4" spans="1:24" x14ac:dyDescent="0.25">
      <c r="A1044">
        <v>9</v>
      </c>
      <c r="B1044" t="s">
        <v>48</v>
      </c>
      <c r="C1044">
        <v>9188645</v>
      </c>
      <c r="D1044" t="s">
        <v>1979</v>
      </c>
      <c r="E1044" t="s">
        <v>160</v>
      </c>
      <c r="F1044" t="s">
        <v>1967</v>
      </c>
      <c r="G1044">
        <v>1</v>
      </c>
      <c r="H1044">
        <v>1</v>
      </c>
      <c r="I1044" t="s">
        <v>160</v>
      </c>
      <c r="J1044">
        <v>0</v>
      </c>
      <c r="K1044" t="s">
        <v>1091</v>
      </c>
      <c r="L1044" s="1">
        <f>+Tabla__192.168.1.8_POSEIDONSQL_APPFVT_01_tblFillRateFechas[[#This Row],[emb_cantidad]]-Tabla__192.168.1.8_POSEIDONSQL_APPFVT_01_tblFillRateFechas[[#This Row],[dev_cantidad]]</f>
        <v>1</v>
      </c>
      <c r="M1044" s="1">
        <f>+IF(Tabla__192.168.1.8_POSEIDONSQL_APPFVT_01_tblFillRateFechas[[#This Row],[Cant_Resultante]]=Tabla__192.168.1.8_POSEIDONSQL_APPFVT_01_tblFillRateFechas[[#This Row],[cant_order]],1,0)</f>
        <v>1</v>
      </c>
      <c r="N10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4" s="1">
        <f>+IF(AND(Tabla__192.168.1.8_POSEIDONSQL_APPFVT_01_tblFillRateFechas[[#This Row],[Valida Cant]]=1,Tabla__192.168.1.8_POSEIDONSQL_APPFVT_01_tblFillRateFechas[[#This Row],[Valida Fec]]=1),1,0)</f>
        <v>1</v>
      </c>
      <c r="P1044" s="1">
        <f>+(Tabla__192.168.1.8_POSEIDONSQL_APPFVT_01_tblFillRateFechas[[#This Row],[Cant_Resultante]]/Tabla__192.168.1.8_POSEIDONSQL_APPFVT_01_tblFillRateFechas[[#This Row],[cant_order]])*100</f>
        <v>100</v>
      </c>
      <c r="Q10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4" s="1">
        <f>+IF(Tabla__192.168.1.8_POSEIDONSQL_APPFVT_01_tblFillRateFechas[[#This Row],[cant_order]]&gt;0,1,0)</f>
        <v>1</v>
      </c>
      <c r="V1044" s="1">
        <f>+IF(Tabla__192.168.1.8_POSEIDONSQL_APPFVT_01_tblFillRateFechas[[#This Row],[Resultado]]=1,1,0)</f>
        <v>1</v>
      </c>
      <c r="W1044" s="1" t="str">
        <f>+Tabla__192.168.1.8_POSEIDONSQL_APPFVT_01_tblFillRateFechas[[#This Row],[con_ocnumero]]&amp;Tabla__192.168.1.8_POSEIDONSQL_APPFVT_01_tblFillRateFechas[[#This Row],[con_codigounico]]</f>
        <v>91886450260751808225359008985</v>
      </c>
      <c r="X10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5" spans="1:24" x14ac:dyDescent="0.25">
      <c r="A1045">
        <v>9</v>
      </c>
      <c r="B1045" t="s">
        <v>48</v>
      </c>
      <c r="C1045">
        <v>9194172</v>
      </c>
      <c r="D1045" t="s">
        <v>1962</v>
      </c>
      <c r="E1045" t="s">
        <v>1969</v>
      </c>
      <c r="F1045" t="s">
        <v>1963</v>
      </c>
      <c r="G1045">
        <v>1</v>
      </c>
      <c r="H1045">
        <v>1</v>
      </c>
      <c r="I1045" t="s">
        <v>1969</v>
      </c>
      <c r="J1045">
        <v>0</v>
      </c>
      <c r="K1045" t="s">
        <v>1802</v>
      </c>
      <c r="L1045" s="1">
        <f>+Tabla__192.168.1.8_POSEIDONSQL_APPFVT_01_tblFillRateFechas[[#This Row],[emb_cantidad]]-Tabla__192.168.1.8_POSEIDONSQL_APPFVT_01_tblFillRateFechas[[#This Row],[dev_cantidad]]</f>
        <v>1</v>
      </c>
      <c r="M1045" s="1">
        <f>+IF(Tabla__192.168.1.8_POSEIDONSQL_APPFVT_01_tblFillRateFechas[[#This Row],[Cant_Resultante]]=Tabla__192.168.1.8_POSEIDONSQL_APPFVT_01_tblFillRateFechas[[#This Row],[cant_order]],1,0)</f>
        <v>1</v>
      </c>
      <c r="N10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5" s="1">
        <f>+IF(AND(Tabla__192.168.1.8_POSEIDONSQL_APPFVT_01_tblFillRateFechas[[#This Row],[Valida Cant]]=1,Tabla__192.168.1.8_POSEIDONSQL_APPFVT_01_tblFillRateFechas[[#This Row],[Valida Fec]]=1),1,0)</f>
        <v>1</v>
      </c>
      <c r="P1045" s="1">
        <f>+(Tabla__192.168.1.8_POSEIDONSQL_APPFVT_01_tblFillRateFechas[[#This Row],[Cant_Resultante]]/Tabla__192.168.1.8_POSEIDONSQL_APPFVT_01_tblFillRateFechas[[#This Row],[cant_order]])*100</f>
        <v>100</v>
      </c>
      <c r="Q10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5" s="1">
        <f>+IF(Tabla__192.168.1.8_POSEIDONSQL_APPFVT_01_tblFillRateFechas[[#This Row],[cant_order]]&gt;0,1,0)</f>
        <v>1</v>
      </c>
      <c r="V1045" s="1">
        <f>+IF(Tabla__192.168.1.8_POSEIDONSQL_APPFVT_01_tblFillRateFechas[[#This Row],[Resultado]]=1,1,0)</f>
        <v>1</v>
      </c>
      <c r="W1045" s="1" t="str">
        <f>+Tabla__192.168.1.8_POSEIDONSQL_APPFVT_01_tblFillRateFechas[[#This Row],[con_ocnumero]]&amp;Tabla__192.168.1.8_POSEIDONSQL_APPFVT_01_tblFillRateFechas[[#This Row],[con_codigounico]]</f>
        <v>91941720260751808315783009080</v>
      </c>
      <c r="X10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6" spans="1:24" x14ac:dyDescent="0.25">
      <c r="A1046">
        <v>9</v>
      </c>
      <c r="B1046" t="s">
        <v>48</v>
      </c>
      <c r="C1046">
        <v>9181856</v>
      </c>
      <c r="D1046" t="s">
        <v>12</v>
      </c>
      <c r="E1046" t="s">
        <v>1962</v>
      </c>
      <c r="F1046" t="s">
        <v>12</v>
      </c>
      <c r="G1046">
        <v>1</v>
      </c>
      <c r="H1046">
        <v>1</v>
      </c>
      <c r="I1046" t="s">
        <v>1962</v>
      </c>
      <c r="J1046">
        <v>0</v>
      </c>
      <c r="K1046" t="s">
        <v>709</v>
      </c>
      <c r="L1046" s="1">
        <f>+Tabla__192.168.1.8_POSEIDONSQL_APPFVT_01_tblFillRateFechas[[#This Row],[emb_cantidad]]-Tabla__192.168.1.8_POSEIDONSQL_APPFVT_01_tblFillRateFechas[[#This Row],[dev_cantidad]]</f>
        <v>1</v>
      </c>
      <c r="M1046" s="1">
        <f>+IF(Tabla__192.168.1.8_POSEIDONSQL_APPFVT_01_tblFillRateFechas[[#This Row],[Cant_Resultante]]=Tabla__192.168.1.8_POSEIDONSQL_APPFVT_01_tblFillRateFechas[[#This Row],[cant_order]],1,0)</f>
        <v>1</v>
      </c>
      <c r="N10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6" s="1">
        <f>+IF(AND(Tabla__192.168.1.8_POSEIDONSQL_APPFVT_01_tblFillRateFechas[[#This Row],[Valida Cant]]=1,Tabla__192.168.1.8_POSEIDONSQL_APPFVT_01_tblFillRateFechas[[#This Row],[Valida Fec]]=1),1,0)</f>
        <v>1</v>
      </c>
      <c r="P1046" s="1">
        <f>+(Tabla__192.168.1.8_POSEIDONSQL_APPFVT_01_tblFillRateFechas[[#This Row],[Cant_Resultante]]/Tabla__192.168.1.8_POSEIDONSQL_APPFVT_01_tblFillRateFechas[[#This Row],[cant_order]])*100</f>
        <v>100</v>
      </c>
      <c r="Q10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6" s="1">
        <f>+IF(Tabla__192.168.1.8_POSEIDONSQL_APPFVT_01_tblFillRateFechas[[#This Row],[cant_order]]&gt;0,1,0)</f>
        <v>1</v>
      </c>
      <c r="V1046" s="1">
        <f>+IF(Tabla__192.168.1.8_POSEIDONSQL_APPFVT_01_tblFillRateFechas[[#This Row],[Resultado]]=1,1,0)</f>
        <v>1</v>
      </c>
      <c r="W1046" s="1" t="str">
        <f>+Tabla__192.168.1.8_POSEIDONSQL_APPFVT_01_tblFillRateFechas[[#This Row],[con_ocnumero]]&amp;Tabla__192.168.1.8_POSEIDONSQL_APPFVT_01_tblFillRateFechas[[#This Row],[con_codigounico]]</f>
        <v>91818560320101808094895004255</v>
      </c>
      <c r="X10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7" spans="1:24" x14ac:dyDescent="0.25">
      <c r="A1047">
        <v>9</v>
      </c>
      <c r="B1047" t="s">
        <v>48</v>
      </c>
      <c r="C1047">
        <v>9180363</v>
      </c>
      <c r="D1047" t="s">
        <v>12</v>
      </c>
      <c r="E1047" t="s">
        <v>1980</v>
      </c>
      <c r="F1047" t="s">
        <v>12</v>
      </c>
      <c r="G1047">
        <v>1</v>
      </c>
      <c r="H1047">
        <v>1</v>
      </c>
      <c r="I1047" t="s">
        <v>1980</v>
      </c>
      <c r="J1047">
        <v>0</v>
      </c>
      <c r="K1047" t="s">
        <v>695</v>
      </c>
      <c r="L1047" s="1">
        <f>+Tabla__192.168.1.8_POSEIDONSQL_APPFVT_01_tblFillRateFechas[[#This Row],[emb_cantidad]]-Tabla__192.168.1.8_POSEIDONSQL_APPFVT_01_tblFillRateFechas[[#This Row],[dev_cantidad]]</f>
        <v>1</v>
      </c>
      <c r="M1047" s="1">
        <f>+IF(Tabla__192.168.1.8_POSEIDONSQL_APPFVT_01_tblFillRateFechas[[#This Row],[Cant_Resultante]]=Tabla__192.168.1.8_POSEIDONSQL_APPFVT_01_tblFillRateFechas[[#This Row],[cant_order]],1,0)</f>
        <v>1</v>
      </c>
      <c r="N10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7" s="1">
        <f>+IF(AND(Tabla__192.168.1.8_POSEIDONSQL_APPFVT_01_tblFillRateFechas[[#This Row],[Valida Cant]]=1,Tabla__192.168.1.8_POSEIDONSQL_APPFVT_01_tblFillRateFechas[[#This Row],[Valida Fec]]=1),1,0)</f>
        <v>1</v>
      </c>
      <c r="P1047" s="1">
        <f>+(Tabla__192.168.1.8_POSEIDONSQL_APPFVT_01_tblFillRateFechas[[#This Row],[Cant_Resultante]]/Tabla__192.168.1.8_POSEIDONSQL_APPFVT_01_tblFillRateFechas[[#This Row],[cant_order]])*100</f>
        <v>100</v>
      </c>
      <c r="Q10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7" s="1">
        <f>+IF(Tabla__192.168.1.8_POSEIDONSQL_APPFVT_01_tblFillRateFechas[[#This Row],[cant_order]]&gt;0,1,0)</f>
        <v>1</v>
      </c>
      <c r="V1047" s="1">
        <f>+IF(Tabla__192.168.1.8_POSEIDONSQL_APPFVT_01_tblFillRateFechas[[#This Row],[Resultado]]=1,1,0)</f>
        <v>1</v>
      </c>
      <c r="W1047" s="1" t="str">
        <f>+Tabla__192.168.1.8_POSEIDONSQL_APPFVT_01_tblFillRateFechas[[#This Row],[con_ocnumero]]&amp;Tabla__192.168.1.8_POSEIDONSQL_APPFVT_01_tblFillRateFechas[[#This Row],[con_codigounico]]</f>
        <v>91803630320411808070773012776</v>
      </c>
      <c r="X10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8" spans="1:24" x14ac:dyDescent="0.25">
      <c r="A1048">
        <v>9</v>
      </c>
      <c r="B1048" t="s">
        <v>48</v>
      </c>
      <c r="C1048">
        <v>9195213</v>
      </c>
      <c r="D1048" t="s">
        <v>1973</v>
      </c>
      <c r="E1048" t="s">
        <v>163</v>
      </c>
      <c r="F1048" t="s">
        <v>1963</v>
      </c>
      <c r="G1048">
        <v>1</v>
      </c>
      <c r="H1048">
        <v>1</v>
      </c>
      <c r="I1048" t="s">
        <v>163</v>
      </c>
      <c r="J1048">
        <v>0</v>
      </c>
      <c r="K1048" t="s">
        <v>1817</v>
      </c>
      <c r="L1048" s="1">
        <f>+Tabla__192.168.1.8_POSEIDONSQL_APPFVT_01_tblFillRateFechas[[#This Row],[emb_cantidad]]-Tabla__192.168.1.8_POSEIDONSQL_APPFVT_01_tblFillRateFechas[[#This Row],[dev_cantidad]]</f>
        <v>1</v>
      </c>
      <c r="M1048" s="1">
        <f>+IF(Tabla__192.168.1.8_POSEIDONSQL_APPFVT_01_tblFillRateFechas[[#This Row],[Cant_Resultante]]=Tabla__192.168.1.8_POSEIDONSQL_APPFVT_01_tblFillRateFechas[[#This Row],[cant_order]],1,0)</f>
        <v>1</v>
      </c>
      <c r="N10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8" s="1">
        <f>+IF(AND(Tabla__192.168.1.8_POSEIDONSQL_APPFVT_01_tblFillRateFechas[[#This Row],[Valida Cant]]=1,Tabla__192.168.1.8_POSEIDONSQL_APPFVT_01_tblFillRateFechas[[#This Row],[Valida Fec]]=1),1,0)</f>
        <v>1</v>
      </c>
      <c r="P1048" s="1">
        <f>+(Tabla__192.168.1.8_POSEIDONSQL_APPFVT_01_tblFillRateFechas[[#This Row],[Cant_Resultante]]/Tabla__192.168.1.8_POSEIDONSQL_APPFVT_01_tblFillRateFechas[[#This Row],[cant_order]])*100</f>
        <v>100</v>
      </c>
      <c r="Q10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8" s="1">
        <f>+IF(Tabla__192.168.1.8_POSEIDONSQL_APPFVT_01_tblFillRateFechas[[#This Row],[cant_order]]&gt;0,1,0)</f>
        <v>1</v>
      </c>
      <c r="V1048" s="1">
        <f>+IF(Tabla__192.168.1.8_POSEIDONSQL_APPFVT_01_tblFillRateFechas[[#This Row],[Resultado]]=1,1,0)</f>
        <v>1</v>
      </c>
      <c r="W1048" s="1" t="str">
        <f>+Tabla__192.168.1.8_POSEIDONSQL_APPFVT_01_tblFillRateFechas[[#This Row],[con_ocnumero]]&amp;Tabla__192.168.1.8_POSEIDONSQL_APPFVT_01_tblFillRateFechas[[#This Row],[con_codigounico]]</f>
        <v>91952130320651809025175012587</v>
      </c>
      <c r="X10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49" spans="1:24" x14ac:dyDescent="0.25">
      <c r="A1049">
        <v>9</v>
      </c>
      <c r="B1049" t="s">
        <v>48</v>
      </c>
      <c r="C1049">
        <v>9191186</v>
      </c>
      <c r="D1049" t="s">
        <v>1971</v>
      </c>
      <c r="E1049" t="s">
        <v>1980</v>
      </c>
      <c r="F1049" t="s">
        <v>1965</v>
      </c>
      <c r="G1049">
        <v>1</v>
      </c>
      <c r="H1049">
        <v>1</v>
      </c>
      <c r="I1049" t="s">
        <v>1980</v>
      </c>
      <c r="J1049">
        <v>0</v>
      </c>
      <c r="K1049" t="s">
        <v>1241</v>
      </c>
      <c r="L1049" s="1">
        <f>+Tabla__192.168.1.8_POSEIDONSQL_APPFVT_01_tblFillRateFechas[[#This Row],[emb_cantidad]]-Tabla__192.168.1.8_POSEIDONSQL_APPFVT_01_tblFillRateFechas[[#This Row],[dev_cantidad]]</f>
        <v>1</v>
      </c>
      <c r="M1049" s="1">
        <f>+IF(Tabla__192.168.1.8_POSEIDONSQL_APPFVT_01_tblFillRateFechas[[#This Row],[Cant_Resultante]]=Tabla__192.168.1.8_POSEIDONSQL_APPFVT_01_tblFillRateFechas[[#This Row],[cant_order]],1,0)</f>
        <v>1</v>
      </c>
      <c r="N10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49" s="1">
        <f>+IF(AND(Tabla__192.168.1.8_POSEIDONSQL_APPFVT_01_tblFillRateFechas[[#This Row],[Valida Cant]]=1,Tabla__192.168.1.8_POSEIDONSQL_APPFVT_01_tblFillRateFechas[[#This Row],[Valida Fec]]=1),1,0)</f>
        <v>1</v>
      </c>
      <c r="P1049" s="1">
        <f>+(Tabla__192.168.1.8_POSEIDONSQL_APPFVT_01_tblFillRateFechas[[#This Row],[Cant_Resultante]]/Tabla__192.168.1.8_POSEIDONSQL_APPFVT_01_tblFillRateFechas[[#This Row],[cant_order]])*100</f>
        <v>100</v>
      </c>
      <c r="Q10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49" s="1">
        <f>+IF(Tabla__192.168.1.8_POSEIDONSQL_APPFVT_01_tblFillRateFechas[[#This Row],[cant_order]]&gt;0,1,0)</f>
        <v>1</v>
      </c>
      <c r="V1049" s="1">
        <f>+IF(Tabla__192.168.1.8_POSEIDONSQL_APPFVT_01_tblFillRateFechas[[#This Row],[Resultado]]=1,1,0)</f>
        <v>1</v>
      </c>
      <c r="W1049" s="1" t="str">
        <f>+Tabla__192.168.1.8_POSEIDONSQL_APPFVT_01_tblFillRateFechas[[#This Row],[con_ocnumero]]&amp;Tabla__192.168.1.8_POSEIDONSQL_APPFVT_01_tblFillRateFechas[[#This Row],[con_codigounico]]</f>
        <v>91911860320661808270453001591</v>
      </c>
      <c r="X10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0" spans="1:24" x14ac:dyDescent="0.25">
      <c r="A1050">
        <v>9</v>
      </c>
      <c r="B1050" t="s">
        <v>48</v>
      </c>
      <c r="C1050">
        <v>9199081</v>
      </c>
      <c r="D1050" t="s">
        <v>1969</v>
      </c>
      <c r="E1050" t="s">
        <v>163</v>
      </c>
      <c r="F1050" t="s">
        <v>163</v>
      </c>
      <c r="G1050">
        <v>2</v>
      </c>
      <c r="H1050">
        <v>2</v>
      </c>
      <c r="I1050" t="s">
        <v>427</v>
      </c>
      <c r="J1050">
        <v>0</v>
      </c>
      <c r="K1050" t="s">
        <v>1698</v>
      </c>
      <c r="L1050" s="1">
        <f>+Tabla__192.168.1.8_POSEIDONSQL_APPFVT_01_tblFillRateFechas[[#This Row],[emb_cantidad]]-Tabla__192.168.1.8_POSEIDONSQL_APPFVT_01_tblFillRateFechas[[#This Row],[dev_cantidad]]</f>
        <v>2</v>
      </c>
      <c r="M1050" s="1">
        <f>+IF(Tabla__192.168.1.8_POSEIDONSQL_APPFVT_01_tblFillRateFechas[[#This Row],[Cant_Resultante]]=Tabla__192.168.1.8_POSEIDONSQL_APPFVT_01_tblFillRateFechas[[#This Row],[cant_order]],1,0)</f>
        <v>1</v>
      </c>
      <c r="N10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050" s="1">
        <f>+IF(AND(Tabla__192.168.1.8_POSEIDONSQL_APPFVT_01_tblFillRateFechas[[#This Row],[Valida Cant]]=1,Tabla__192.168.1.8_POSEIDONSQL_APPFVT_01_tblFillRateFechas[[#This Row],[Valida Fec]]=1),1,0)</f>
        <v>0</v>
      </c>
      <c r="P1050" s="1">
        <f>+(Tabla__192.168.1.8_POSEIDONSQL_APPFVT_01_tblFillRateFechas[[#This Row],[Cant_Resultante]]/Tabla__192.168.1.8_POSEIDONSQL_APPFVT_01_tblFillRateFechas[[#This Row],[cant_order]])*100</f>
        <v>100</v>
      </c>
      <c r="Q10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0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0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0" s="1">
        <f>+IF(Tabla__192.168.1.8_POSEIDONSQL_APPFVT_01_tblFillRateFechas[[#This Row],[cant_order]]&gt;0,1,0)</f>
        <v>1</v>
      </c>
      <c r="V1050" s="1">
        <f>+IF(Tabla__192.168.1.8_POSEIDONSQL_APPFVT_01_tblFillRateFechas[[#This Row],[Resultado]]=1,1,0)</f>
        <v>0</v>
      </c>
      <c r="W1050" s="1" t="str">
        <f>+Tabla__192.168.1.8_POSEIDONSQL_APPFVT_01_tblFillRateFechas[[#This Row],[con_ocnumero]]&amp;Tabla__192.168.1.8_POSEIDONSQL_APPFVT_01_tblFillRateFechas[[#This Row],[con_codigounico]]</f>
        <v>91990810320661809070775001640</v>
      </c>
      <c r="X10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051" spans="1:24" x14ac:dyDescent="0.25">
      <c r="A1051">
        <v>9</v>
      </c>
      <c r="B1051" t="s">
        <v>48</v>
      </c>
      <c r="C1051">
        <v>9204396</v>
      </c>
      <c r="D1051" t="s">
        <v>414</v>
      </c>
      <c r="E1051" t="s">
        <v>422</v>
      </c>
      <c r="F1051" t="s">
        <v>415</v>
      </c>
      <c r="G1051">
        <v>1</v>
      </c>
      <c r="H1051">
        <v>1</v>
      </c>
      <c r="I1051" t="s">
        <v>422</v>
      </c>
      <c r="J1051">
        <v>0</v>
      </c>
      <c r="K1051" t="s">
        <v>1905</v>
      </c>
      <c r="L1051" s="1">
        <f>+Tabla__192.168.1.8_POSEIDONSQL_APPFVT_01_tblFillRateFechas[[#This Row],[emb_cantidad]]-Tabla__192.168.1.8_POSEIDONSQL_APPFVT_01_tblFillRateFechas[[#This Row],[dev_cantidad]]</f>
        <v>1</v>
      </c>
      <c r="M1051" s="1">
        <f>+IF(Tabla__192.168.1.8_POSEIDONSQL_APPFVT_01_tblFillRateFechas[[#This Row],[Cant_Resultante]]=Tabla__192.168.1.8_POSEIDONSQL_APPFVT_01_tblFillRateFechas[[#This Row],[cant_order]],1,0)</f>
        <v>1</v>
      </c>
      <c r="N10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1" s="1">
        <f>+IF(AND(Tabla__192.168.1.8_POSEIDONSQL_APPFVT_01_tblFillRateFechas[[#This Row],[Valida Cant]]=1,Tabla__192.168.1.8_POSEIDONSQL_APPFVT_01_tblFillRateFechas[[#This Row],[Valida Fec]]=1),1,0)</f>
        <v>1</v>
      </c>
      <c r="P1051" s="1">
        <f>+(Tabla__192.168.1.8_POSEIDONSQL_APPFVT_01_tblFillRateFechas[[#This Row],[Cant_Resultante]]/Tabla__192.168.1.8_POSEIDONSQL_APPFVT_01_tblFillRateFechas[[#This Row],[cant_order]])*100</f>
        <v>100</v>
      </c>
      <c r="Q10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1" s="1">
        <f>+IF(Tabla__192.168.1.8_POSEIDONSQL_APPFVT_01_tblFillRateFechas[[#This Row],[cant_order]]&gt;0,1,0)</f>
        <v>1</v>
      </c>
      <c r="V1051" s="1">
        <f>+IF(Tabla__192.168.1.8_POSEIDONSQL_APPFVT_01_tblFillRateFechas[[#This Row],[Resultado]]=1,1,0)</f>
        <v>1</v>
      </c>
      <c r="W1051" s="1" t="str">
        <f>+Tabla__192.168.1.8_POSEIDONSQL_APPFVT_01_tblFillRateFechas[[#This Row],[con_ocnumero]]&amp;Tabla__192.168.1.8_POSEIDONSQL_APPFVT_01_tblFillRateFechas[[#This Row],[con_codigounico]]</f>
        <v>92043960320661809171065001683</v>
      </c>
      <c r="X10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2" spans="1:24" x14ac:dyDescent="0.25">
      <c r="A1052">
        <v>9</v>
      </c>
      <c r="B1052" t="s">
        <v>48</v>
      </c>
      <c r="C1052">
        <v>9205783</v>
      </c>
      <c r="D1052" t="s">
        <v>422</v>
      </c>
      <c r="E1052" t="s">
        <v>420</v>
      </c>
      <c r="F1052" t="s">
        <v>416</v>
      </c>
      <c r="G1052">
        <v>1</v>
      </c>
      <c r="H1052">
        <v>1</v>
      </c>
      <c r="I1052" t="s">
        <v>420</v>
      </c>
      <c r="J1052">
        <v>0</v>
      </c>
      <c r="K1052" t="s">
        <v>1353</v>
      </c>
      <c r="L1052" s="1">
        <f>+Tabla__192.168.1.8_POSEIDONSQL_APPFVT_01_tblFillRateFechas[[#This Row],[emb_cantidad]]-Tabla__192.168.1.8_POSEIDONSQL_APPFVT_01_tblFillRateFechas[[#This Row],[dev_cantidad]]</f>
        <v>1</v>
      </c>
      <c r="M1052" s="1">
        <f>+IF(Tabla__192.168.1.8_POSEIDONSQL_APPFVT_01_tblFillRateFechas[[#This Row],[Cant_Resultante]]=Tabla__192.168.1.8_POSEIDONSQL_APPFVT_01_tblFillRateFechas[[#This Row],[cant_order]],1,0)</f>
        <v>1</v>
      </c>
      <c r="N10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2" s="1">
        <f>+IF(AND(Tabla__192.168.1.8_POSEIDONSQL_APPFVT_01_tblFillRateFechas[[#This Row],[Valida Cant]]=1,Tabla__192.168.1.8_POSEIDONSQL_APPFVT_01_tblFillRateFechas[[#This Row],[Valida Fec]]=1),1,0)</f>
        <v>1</v>
      </c>
      <c r="P1052" s="1">
        <f>+(Tabla__192.168.1.8_POSEIDONSQL_APPFVT_01_tblFillRateFechas[[#This Row],[Cant_Resultante]]/Tabla__192.168.1.8_POSEIDONSQL_APPFVT_01_tblFillRateFechas[[#This Row],[cant_order]])*100</f>
        <v>100</v>
      </c>
      <c r="Q10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2" s="1">
        <f>+IF(Tabla__192.168.1.8_POSEIDONSQL_APPFVT_01_tblFillRateFechas[[#This Row],[cant_order]]&gt;0,1,0)</f>
        <v>1</v>
      </c>
      <c r="V1052" s="1">
        <f>+IF(Tabla__192.168.1.8_POSEIDONSQL_APPFVT_01_tblFillRateFechas[[#This Row],[Resultado]]=1,1,0)</f>
        <v>1</v>
      </c>
      <c r="W1052" s="1" t="str">
        <f>+Tabla__192.168.1.8_POSEIDONSQL_APPFVT_01_tblFillRateFechas[[#This Row],[con_ocnumero]]&amp;Tabla__192.168.1.8_POSEIDONSQL_APPFVT_01_tblFillRateFechas[[#This Row],[con_codigounico]]</f>
        <v>92057830320661809211110001691</v>
      </c>
      <c r="X10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3" spans="1:24" x14ac:dyDescent="0.25">
      <c r="A1053">
        <v>9</v>
      </c>
      <c r="B1053" t="s">
        <v>48</v>
      </c>
      <c r="C1053">
        <v>9180795</v>
      </c>
      <c r="D1053" t="s">
        <v>12</v>
      </c>
      <c r="E1053" t="s">
        <v>1980</v>
      </c>
      <c r="F1053" t="s">
        <v>12</v>
      </c>
      <c r="G1053">
        <v>1</v>
      </c>
      <c r="H1053">
        <v>1</v>
      </c>
      <c r="I1053" t="s">
        <v>1980</v>
      </c>
      <c r="J1053">
        <v>0</v>
      </c>
      <c r="K1053" t="s">
        <v>697</v>
      </c>
      <c r="L1053" s="1">
        <f>+Tabla__192.168.1.8_POSEIDONSQL_APPFVT_01_tblFillRateFechas[[#This Row],[emb_cantidad]]-Tabla__192.168.1.8_POSEIDONSQL_APPFVT_01_tblFillRateFechas[[#This Row],[dev_cantidad]]</f>
        <v>1</v>
      </c>
      <c r="M1053" s="1">
        <f>+IF(Tabla__192.168.1.8_POSEIDONSQL_APPFVT_01_tblFillRateFechas[[#This Row],[Cant_Resultante]]=Tabla__192.168.1.8_POSEIDONSQL_APPFVT_01_tblFillRateFechas[[#This Row],[cant_order]],1,0)</f>
        <v>1</v>
      </c>
      <c r="N10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3" s="1">
        <f>+IF(AND(Tabla__192.168.1.8_POSEIDONSQL_APPFVT_01_tblFillRateFechas[[#This Row],[Valida Cant]]=1,Tabla__192.168.1.8_POSEIDONSQL_APPFVT_01_tblFillRateFechas[[#This Row],[Valida Fec]]=1),1,0)</f>
        <v>1</v>
      </c>
      <c r="P1053" s="1">
        <f>+(Tabla__192.168.1.8_POSEIDONSQL_APPFVT_01_tblFillRateFechas[[#This Row],[Cant_Resultante]]/Tabla__192.168.1.8_POSEIDONSQL_APPFVT_01_tblFillRateFechas[[#This Row],[cant_order]])*100</f>
        <v>100</v>
      </c>
      <c r="Q10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3" s="1">
        <f>+IF(Tabla__192.168.1.8_POSEIDONSQL_APPFVT_01_tblFillRateFechas[[#This Row],[cant_order]]&gt;0,1,0)</f>
        <v>1</v>
      </c>
      <c r="V1053" s="1">
        <f>+IF(Tabla__192.168.1.8_POSEIDONSQL_APPFVT_01_tblFillRateFechas[[#This Row],[Resultado]]=1,1,0)</f>
        <v>1</v>
      </c>
      <c r="W1053" s="1" t="str">
        <f>+Tabla__192.168.1.8_POSEIDONSQL_APPFVT_01_tblFillRateFechas[[#This Row],[con_ocnumero]]&amp;Tabla__192.168.1.8_POSEIDONSQL_APPFVT_01_tblFillRateFechas[[#This Row],[con_codigounico]]</f>
        <v>91807950390050000676148850101</v>
      </c>
      <c r="X10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4" spans="1:24" x14ac:dyDescent="0.25">
      <c r="A1054">
        <v>9</v>
      </c>
      <c r="B1054" t="s">
        <v>48</v>
      </c>
      <c r="C1054">
        <v>9181409</v>
      </c>
      <c r="D1054" t="s">
        <v>12</v>
      </c>
      <c r="E1054" t="s">
        <v>1962</v>
      </c>
      <c r="F1054" t="s">
        <v>12</v>
      </c>
      <c r="G1054">
        <v>1</v>
      </c>
      <c r="H1054">
        <v>1</v>
      </c>
      <c r="I1054" t="s">
        <v>1962</v>
      </c>
      <c r="J1054">
        <v>0</v>
      </c>
      <c r="K1054" t="s">
        <v>707</v>
      </c>
      <c r="L1054" s="1">
        <f>+Tabla__192.168.1.8_POSEIDONSQL_APPFVT_01_tblFillRateFechas[[#This Row],[emb_cantidad]]-Tabla__192.168.1.8_POSEIDONSQL_APPFVT_01_tblFillRateFechas[[#This Row],[dev_cantidad]]</f>
        <v>1</v>
      </c>
      <c r="M1054" s="1">
        <f>+IF(Tabla__192.168.1.8_POSEIDONSQL_APPFVT_01_tblFillRateFechas[[#This Row],[Cant_Resultante]]=Tabla__192.168.1.8_POSEIDONSQL_APPFVT_01_tblFillRateFechas[[#This Row],[cant_order]],1,0)</f>
        <v>1</v>
      </c>
      <c r="N10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4" s="1">
        <f>+IF(AND(Tabla__192.168.1.8_POSEIDONSQL_APPFVT_01_tblFillRateFechas[[#This Row],[Valida Cant]]=1,Tabla__192.168.1.8_POSEIDONSQL_APPFVT_01_tblFillRateFechas[[#This Row],[Valida Fec]]=1),1,0)</f>
        <v>1</v>
      </c>
      <c r="P1054" s="1">
        <f>+(Tabla__192.168.1.8_POSEIDONSQL_APPFVT_01_tblFillRateFechas[[#This Row],[Cant_Resultante]]/Tabla__192.168.1.8_POSEIDONSQL_APPFVT_01_tblFillRateFechas[[#This Row],[cant_order]])*100</f>
        <v>100</v>
      </c>
      <c r="Q10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4" s="1">
        <f>+IF(Tabla__192.168.1.8_POSEIDONSQL_APPFVT_01_tblFillRateFechas[[#This Row],[cant_order]]&gt;0,1,0)</f>
        <v>1</v>
      </c>
      <c r="V1054" s="1">
        <f>+IF(Tabla__192.168.1.8_POSEIDONSQL_APPFVT_01_tblFillRateFechas[[#This Row],[Resultado]]=1,1,0)</f>
        <v>1</v>
      </c>
      <c r="W1054" s="1" t="str">
        <f>+Tabla__192.168.1.8_POSEIDONSQL_APPFVT_01_tblFillRateFechas[[#This Row],[con_ocnumero]]&amp;Tabla__192.168.1.8_POSEIDONSQL_APPFVT_01_tblFillRateFechas[[#This Row],[con_codigounico]]</f>
        <v>91814090390050000676479520102</v>
      </c>
      <c r="X10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5" spans="1:24" x14ac:dyDescent="0.25">
      <c r="A1055">
        <v>9</v>
      </c>
      <c r="B1055" t="s">
        <v>48</v>
      </c>
      <c r="C1055">
        <v>9181934</v>
      </c>
      <c r="D1055" t="s">
        <v>12</v>
      </c>
      <c r="E1055" t="s">
        <v>1962</v>
      </c>
      <c r="F1055" t="s">
        <v>12</v>
      </c>
      <c r="G1055">
        <v>1</v>
      </c>
      <c r="H1055">
        <v>1</v>
      </c>
      <c r="I1055" t="s">
        <v>1962</v>
      </c>
      <c r="J1055">
        <v>0</v>
      </c>
      <c r="K1055" t="s">
        <v>705</v>
      </c>
      <c r="L1055" s="1">
        <f>+Tabla__192.168.1.8_POSEIDONSQL_APPFVT_01_tblFillRateFechas[[#This Row],[emb_cantidad]]-Tabla__192.168.1.8_POSEIDONSQL_APPFVT_01_tblFillRateFechas[[#This Row],[dev_cantidad]]</f>
        <v>1</v>
      </c>
      <c r="M1055" s="1">
        <f>+IF(Tabla__192.168.1.8_POSEIDONSQL_APPFVT_01_tblFillRateFechas[[#This Row],[Cant_Resultante]]=Tabla__192.168.1.8_POSEIDONSQL_APPFVT_01_tblFillRateFechas[[#This Row],[cant_order]],1,0)</f>
        <v>1</v>
      </c>
      <c r="N10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5" s="1">
        <f>+IF(AND(Tabla__192.168.1.8_POSEIDONSQL_APPFVT_01_tblFillRateFechas[[#This Row],[Valida Cant]]=1,Tabla__192.168.1.8_POSEIDONSQL_APPFVT_01_tblFillRateFechas[[#This Row],[Valida Fec]]=1),1,0)</f>
        <v>1</v>
      </c>
      <c r="P1055" s="1">
        <f>+(Tabla__192.168.1.8_POSEIDONSQL_APPFVT_01_tblFillRateFechas[[#This Row],[Cant_Resultante]]/Tabla__192.168.1.8_POSEIDONSQL_APPFVT_01_tblFillRateFechas[[#This Row],[cant_order]])*100</f>
        <v>100</v>
      </c>
      <c r="Q10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5" s="1">
        <f>+IF(Tabla__192.168.1.8_POSEIDONSQL_APPFVT_01_tblFillRateFechas[[#This Row],[cant_order]]&gt;0,1,0)</f>
        <v>1</v>
      </c>
      <c r="V1055" s="1">
        <f>+IF(Tabla__192.168.1.8_POSEIDONSQL_APPFVT_01_tblFillRateFechas[[#This Row],[Resultado]]=1,1,0)</f>
        <v>1</v>
      </c>
      <c r="W1055" s="1" t="str">
        <f>+Tabla__192.168.1.8_POSEIDONSQL_APPFVT_01_tblFillRateFechas[[#This Row],[con_ocnumero]]&amp;Tabla__192.168.1.8_POSEIDONSQL_APPFVT_01_tblFillRateFechas[[#This Row],[con_codigounico]]</f>
        <v>91819340390050000677318860102</v>
      </c>
      <c r="X10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6" spans="1:24" x14ac:dyDescent="0.25">
      <c r="A1056">
        <v>9</v>
      </c>
      <c r="B1056" t="s">
        <v>48</v>
      </c>
      <c r="C1056">
        <v>9182367</v>
      </c>
      <c r="D1056" t="s">
        <v>12</v>
      </c>
      <c r="E1056" t="s">
        <v>1971</v>
      </c>
      <c r="F1056" t="s">
        <v>12</v>
      </c>
      <c r="G1056">
        <v>1</v>
      </c>
      <c r="H1056">
        <v>1</v>
      </c>
      <c r="I1056" t="s">
        <v>1971</v>
      </c>
      <c r="J1056">
        <v>0</v>
      </c>
      <c r="K1056" t="s">
        <v>1745</v>
      </c>
      <c r="L1056" s="1">
        <f>+Tabla__192.168.1.8_POSEIDONSQL_APPFVT_01_tblFillRateFechas[[#This Row],[emb_cantidad]]-Tabla__192.168.1.8_POSEIDONSQL_APPFVT_01_tblFillRateFechas[[#This Row],[dev_cantidad]]</f>
        <v>1</v>
      </c>
      <c r="M1056" s="1">
        <f>+IF(Tabla__192.168.1.8_POSEIDONSQL_APPFVT_01_tblFillRateFechas[[#This Row],[Cant_Resultante]]=Tabla__192.168.1.8_POSEIDONSQL_APPFVT_01_tblFillRateFechas[[#This Row],[cant_order]],1,0)</f>
        <v>1</v>
      </c>
      <c r="N10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6" s="1">
        <f>+IF(AND(Tabla__192.168.1.8_POSEIDONSQL_APPFVT_01_tblFillRateFechas[[#This Row],[Valida Cant]]=1,Tabla__192.168.1.8_POSEIDONSQL_APPFVT_01_tblFillRateFechas[[#This Row],[Valida Fec]]=1),1,0)</f>
        <v>1</v>
      </c>
      <c r="P1056" s="1">
        <f>+(Tabla__192.168.1.8_POSEIDONSQL_APPFVT_01_tblFillRateFechas[[#This Row],[Cant_Resultante]]/Tabla__192.168.1.8_POSEIDONSQL_APPFVT_01_tblFillRateFechas[[#This Row],[cant_order]])*100</f>
        <v>100</v>
      </c>
      <c r="Q10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6" s="1">
        <f>+IF(Tabla__192.168.1.8_POSEIDONSQL_APPFVT_01_tblFillRateFechas[[#This Row],[cant_order]]&gt;0,1,0)</f>
        <v>1</v>
      </c>
      <c r="V1056" s="1">
        <f>+IF(Tabla__192.168.1.8_POSEIDONSQL_APPFVT_01_tblFillRateFechas[[#This Row],[Resultado]]=1,1,0)</f>
        <v>1</v>
      </c>
      <c r="W1056" s="1" t="str">
        <f>+Tabla__192.168.1.8_POSEIDONSQL_APPFVT_01_tblFillRateFechas[[#This Row],[con_ocnumero]]&amp;Tabla__192.168.1.8_POSEIDONSQL_APPFVT_01_tblFillRateFechas[[#This Row],[con_codigounico]]</f>
        <v>91823670390050000677764950101</v>
      </c>
      <c r="X10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7" spans="1:24" x14ac:dyDescent="0.25">
      <c r="A1057">
        <v>9</v>
      </c>
      <c r="B1057" t="s">
        <v>48</v>
      </c>
      <c r="C1057">
        <v>9182743</v>
      </c>
      <c r="D1057" t="s">
        <v>12</v>
      </c>
      <c r="E1057" t="s">
        <v>1971</v>
      </c>
      <c r="F1057" t="s">
        <v>12</v>
      </c>
      <c r="G1057">
        <v>1</v>
      </c>
      <c r="H1057">
        <v>1</v>
      </c>
      <c r="I1057" t="s">
        <v>1971</v>
      </c>
      <c r="J1057">
        <v>0</v>
      </c>
      <c r="K1057" t="s">
        <v>1746</v>
      </c>
      <c r="L1057" s="1">
        <f>+Tabla__192.168.1.8_POSEIDONSQL_APPFVT_01_tblFillRateFechas[[#This Row],[emb_cantidad]]-Tabla__192.168.1.8_POSEIDONSQL_APPFVT_01_tblFillRateFechas[[#This Row],[dev_cantidad]]</f>
        <v>1</v>
      </c>
      <c r="M1057" s="1">
        <f>+IF(Tabla__192.168.1.8_POSEIDONSQL_APPFVT_01_tblFillRateFechas[[#This Row],[Cant_Resultante]]=Tabla__192.168.1.8_POSEIDONSQL_APPFVT_01_tblFillRateFechas[[#This Row],[cant_order]],1,0)</f>
        <v>1</v>
      </c>
      <c r="N10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7" s="1">
        <f>+IF(AND(Tabla__192.168.1.8_POSEIDONSQL_APPFVT_01_tblFillRateFechas[[#This Row],[Valida Cant]]=1,Tabla__192.168.1.8_POSEIDONSQL_APPFVT_01_tblFillRateFechas[[#This Row],[Valida Fec]]=1),1,0)</f>
        <v>1</v>
      </c>
      <c r="P1057" s="1">
        <f>+(Tabla__192.168.1.8_POSEIDONSQL_APPFVT_01_tblFillRateFechas[[#This Row],[Cant_Resultante]]/Tabla__192.168.1.8_POSEIDONSQL_APPFVT_01_tblFillRateFechas[[#This Row],[cant_order]])*100</f>
        <v>100</v>
      </c>
      <c r="Q10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7" s="1">
        <f>+IF(Tabla__192.168.1.8_POSEIDONSQL_APPFVT_01_tblFillRateFechas[[#This Row],[cant_order]]&gt;0,1,0)</f>
        <v>1</v>
      </c>
      <c r="V1057" s="1">
        <f>+IF(Tabla__192.168.1.8_POSEIDONSQL_APPFVT_01_tblFillRateFechas[[#This Row],[Resultado]]=1,1,0)</f>
        <v>1</v>
      </c>
      <c r="W1057" s="1" t="str">
        <f>+Tabla__192.168.1.8_POSEIDONSQL_APPFVT_01_tblFillRateFechas[[#This Row],[con_ocnumero]]&amp;Tabla__192.168.1.8_POSEIDONSQL_APPFVT_01_tblFillRateFechas[[#This Row],[con_codigounico]]</f>
        <v>91827430390050000678211450102</v>
      </c>
      <c r="X10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8" spans="1:24" x14ac:dyDescent="0.25">
      <c r="A1058">
        <v>9</v>
      </c>
      <c r="B1058" t="s">
        <v>48</v>
      </c>
      <c r="C1058">
        <v>9183128</v>
      </c>
      <c r="D1058" t="s">
        <v>12</v>
      </c>
      <c r="E1058" t="s">
        <v>1971</v>
      </c>
      <c r="F1058" t="s">
        <v>12</v>
      </c>
      <c r="G1058">
        <v>1</v>
      </c>
      <c r="H1058">
        <v>1</v>
      </c>
      <c r="I1058" t="s">
        <v>1971</v>
      </c>
      <c r="J1058">
        <v>0</v>
      </c>
      <c r="K1058" t="s">
        <v>1747</v>
      </c>
      <c r="L1058" s="1">
        <f>+Tabla__192.168.1.8_POSEIDONSQL_APPFVT_01_tblFillRateFechas[[#This Row],[emb_cantidad]]-Tabla__192.168.1.8_POSEIDONSQL_APPFVT_01_tblFillRateFechas[[#This Row],[dev_cantidad]]</f>
        <v>1</v>
      </c>
      <c r="M1058" s="1">
        <f>+IF(Tabla__192.168.1.8_POSEIDONSQL_APPFVT_01_tblFillRateFechas[[#This Row],[Cant_Resultante]]=Tabla__192.168.1.8_POSEIDONSQL_APPFVT_01_tblFillRateFechas[[#This Row],[cant_order]],1,0)</f>
        <v>1</v>
      </c>
      <c r="N10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8" s="1">
        <f>+IF(AND(Tabla__192.168.1.8_POSEIDONSQL_APPFVT_01_tblFillRateFechas[[#This Row],[Valida Cant]]=1,Tabla__192.168.1.8_POSEIDONSQL_APPFVT_01_tblFillRateFechas[[#This Row],[Valida Fec]]=1),1,0)</f>
        <v>1</v>
      </c>
      <c r="P1058" s="1">
        <f>+(Tabla__192.168.1.8_POSEIDONSQL_APPFVT_01_tblFillRateFechas[[#This Row],[Cant_Resultante]]/Tabla__192.168.1.8_POSEIDONSQL_APPFVT_01_tblFillRateFechas[[#This Row],[cant_order]])*100</f>
        <v>100</v>
      </c>
      <c r="Q10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8" s="1">
        <f>+IF(Tabla__192.168.1.8_POSEIDONSQL_APPFVT_01_tblFillRateFechas[[#This Row],[cant_order]]&gt;0,1,0)</f>
        <v>1</v>
      </c>
      <c r="V1058" s="1">
        <f>+IF(Tabla__192.168.1.8_POSEIDONSQL_APPFVT_01_tblFillRateFechas[[#This Row],[Resultado]]=1,1,0)</f>
        <v>1</v>
      </c>
      <c r="W1058" s="1" t="str">
        <f>+Tabla__192.168.1.8_POSEIDONSQL_APPFVT_01_tblFillRateFechas[[#This Row],[con_ocnumero]]&amp;Tabla__192.168.1.8_POSEIDONSQL_APPFVT_01_tblFillRateFechas[[#This Row],[con_codigounico]]</f>
        <v>91831280390050000678668680101</v>
      </c>
      <c r="X10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59" spans="1:24" x14ac:dyDescent="0.25">
      <c r="A1059">
        <v>9</v>
      </c>
      <c r="B1059" t="s">
        <v>48</v>
      </c>
      <c r="C1059">
        <v>9183169</v>
      </c>
      <c r="D1059" t="s">
        <v>12</v>
      </c>
      <c r="E1059" t="s">
        <v>1971</v>
      </c>
      <c r="F1059" t="s">
        <v>12</v>
      </c>
      <c r="G1059">
        <v>1</v>
      </c>
      <c r="H1059">
        <v>1</v>
      </c>
      <c r="I1059" t="s">
        <v>1971</v>
      </c>
      <c r="J1059">
        <v>0</v>
      </c>
      <c r="K1059" t="s">
        <v>1744</v>
      </c>
      <c r="L1059" s="1">
        <f>+Tabla__192.168.1.8_POSEIDONSQL_APPFVT_01_tblFillRateFechas[[#This Row],[emb_cantidad]]-Tabla__192.168.1.8_POSEIDONSQL_APPFVT_01_tblFillRateFechas[[#This Row],[dev_cantidad]]</f>
        <v>1</v>
      </c>
      <c r="M1059" s="1">
        <f>+IF(Tabla__192.168.1.8_POSEIDONSQL_APPFVT_01_tblFillRateFechas[[#This Row],[Cant_Resultante]]=Tabla__192.168.1.8_POSEIDONSQL_APPFVT_01_tblFillRateFechas[[#This Row],[cant_order]],1,0)</f>
        <v>1</v>
      </c>
      <c r="N10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59" s="1">
        <f>+IF(AND(Tabla__192.168.1.8_POSEIDONSQL_APPFVT_01_tblFillRateFechas[[#This Row],[Valida Cant]]=1,Tabla__192.168.1.8_POSEIDONSQL_APPFVT_01_tblFillRateFechas[[#This Row],[Valida Fec]]=1),1,0)</f>
        <v>1</v>
      </c>
      <c r="P1059" s="1">
        <f>+(Tabla__192.168.1.8_POSEIDONSQL_APPFVT_01_tblFillRateFechas[[#This Row],[Cant_Resultante]]/Tabla__192.168.1.8_POSEIDONSQL_APPFVT_01_tblFillRateFechas[[#This Row],[cant_order]])*100</f>
        <v>100</v>
      </c>
      <c r="Q10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59" s="1">
        <f>+IF(Tabla__192.168.1.8_POSEIDONSQL_APPFVT_01_tblFillRateFechas[[#This Row],[cant_order]]&gt;0,1,0)</f>
        <v>1</v>
      </c>
      <c r="V1059" s="1">
        <f>+IF(Tabla__192.168.1.8_POSEIDONSQL_APPFVT_01_tblFillRateFechas[[#This Row],[Resultado]]=1,1,0)</f>
        <v>1</v>
      </c>
      <c r="W1059" s="1" t="str">
        <f>+Tabla__192.168.1.8_POSEIDONSQL_APPFVT_01_tblFillRateFechas[[#This Row],[con_ocnumero]]&amp;Tabla__192.168.1.8_POSEIDONSQL_APPFVT_01_tblFillRateFechas[[#This Row],[con_codigounico]]</f>
        <v>91831690390050000678672090102</v>
      </c>
      <c r="X10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0" spans="1:24" x14ac:dyDescent="0.25">
      <c r="A1060">
        <v>9</v>
      </c>
      <c r="B1060" t="s">
        <v>48</v>
      </c>
      <c r="C1060">
        <v>9190968</v>
      </c>
      <c r="D1060" t="s">
        <v>1971</v>
      </c>
      <c r="E1060" t="s">
        <v>1963</v>
      </c>
      <c r="F1060" t="s">
        <v>1965</v>
      </c>
      <c r="G1060">
        <v>1</v>
      </c>
      <c r="H1060">
        <v>1</v>
      </c>
      <c r="I1060" t="s">
        <v>1963</v>
      </c>
      <c r="J1060">
        <v>0</v>
      </c>
      <c r="K1060" t="s">
        <v>1388</v>
      </c>
      <c r="L1060" s="1">
        <f>+Tabla__192.168.1.8_POSEIDONSQL_APPFVT_01_tblFillRateFechas[[#This Row],[emb_cantidad]]-Tabla__192.168.1.8_POSEIDONSQL_APPFVT_01_tblFillRateFechas[[#This Row],[dev_cantidad]]</f>
        <v>1</v>
      </c>
      <c r="M1060" s="1">
        <f>+IF(Tabla__192.168.1.8_POSEIDONSQL_APPFVT_01_tblFillRateFechas[[#This Row],[Cant_Resultante]]=Tabla__192.168.1.8_POSEIDONSQL_APPFVT_01_tblFillRateFechas[[#This Row],[cant_order]],1,0)</f>
        <v>1</v>
      </c>
      <c r="N10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0" s="1">
        <f>+IF(AND(Tabla__192.168.1.8_POSEIDONSQL_APPFVT_01_tblFillRateFechas[[#This Row],[Valida Cant]]=1,Tabla__192.168.1.8_POSEIDONSQL_APPFVT_01_tblFillRateFechas[[#This Row],[Valida Fec]]=1),1,0)</f>
        <v>1</v>
      </c>
      <c r="P1060" s="1">
        <f>+(Tabla__192.168.1.8_POSEIDONSQL_APPFVT_01_tblFillRateFechas[[#This Row],[Cant_Resultante]]/Tabla__192.168.1.8_POSEIDONSQL_APPFVT_01_tblFillRateFechas[[#This Row],[cant_order]])*100</f>
        <v>100</v>
      </c>
      <c r="Q10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0" s="1">
        <f>+IF(Tabla__192.168.1.8_POSEIDONSQL_APPFVT_01_tblFillRateFechas[[#This Row],[cant_order]]&gt;0,1,0)</f>
        <v>1</v>
      </c>
      <c r="V1060" s="1">
        <f>+IF(Tabla__192.168.1.8_POSEIDONSQL_APPFVT_01_tblFillRateFechas[[#This Row],[Resultado]]=1,1,0)</f>
        <v>1</v>
      </c>
      <c r="W1060" s="1" t="str">
        <f>+Tabla__192.168.1.8_POSEIDONSQL_APPFVT_01_tblFillRateFechas[[#This Row],[con_ocnumero]]&amp;Tabla__192.168.1.8_POSEIDONSQL_APPFVT_01_tblFillRateFechas[[#This Row],[con_codigounico]]</f>
        <v>91909680390050000678835840101</v>
      </c>
      <c r="X10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1" spans="1:24" x14ac:dyDescent="0.25">
      <c r="A1061">
        <v>9</v>
      </c>
      <c r="B1061" t="s">
        <v>48</v>
      </c>
      <c r="C1061">
        <v>9183759</v>
      </c>
      <c r="D1061" t="s">
        <v>12</v>
      </c>
      <c r="E1061" t="s">
        <v>1962</v>
      </c>
      <c r="F1061" t="s">
        <v>12</v>
      </c>
      <c r="G1061">
        <v>1</v>
      </c>
      <c r="H1061">
        <v>1</v>
      </c>
      <c r="I1061" t="s">
        <v>1962</v>
      </c>
      <c r="J1061">
        <v>0</v>
      </c>
      <c r="K1061" t="s">
        <v>704</v>
      </c>
      <c r="L1061" s="1">
        <f>+Tabla__192.168.1.8_POSEIDONSQL_APPFVT_01_tblFillRateFechas[[#This Row],[emb_cantidad]]-Tabla__192.168.1.8_POSEIDONSQL_APPFVT_01_tblFillRateFechas[[#This Row],[dev_cantidad]]</f>
        <v>1</v>
      </c>
      <c r="M1061" s="1">
        <f>+IF(Tabla__192.168.1.8_POSEIDONSQL_APPFVT_01_tblFillRateFechas[[#This Row],[Cant_Resultante]]=Tabla__192.168.1.8_POSEIDONSQL_APPFVT_01_tblFillRateFechas[[#This Row],[cant_order]],1,0)</f>
        <v>1</v>
      </c>
      <c r="N10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1" s="1">
        <f>+IF(AND(Tabla__192.168.1.8_POSEIDONSQL_APPFVT_01_tblFillRateFechas[[#This Row],[Valida Cant]]=1,Tabla__192.168.1.8_POSEIDONSQL_APPFVT_01_tblFillRateFechas[[#This Row],[Valida Fec]]=1),1,0)</f>
        <v>1</v>
      </c>
      <c r="P1061" s="1">
        <f>+(Tabla__192.168.1.8_POSEIDONSQL_APPFVT_01_tblFillRateFechas[[#This Row],[Cant_Resultante]]/Tabla__192.168.1.8_POSEIDONSQL_APPFVT_01_tblFillRateFechas[[#This Row],[cant_order]])*100</f>
        <v>100</v>
      </c>
      <c r="Q10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1" s="1">
        <f>+IF(Tabla__192.168.1.8_POSEIDONSQL_APPFVT_01_tblFillRateFechas[[#This Row],[cant_order]]&gt;0,1,0)</f>
        <v>1</v>
      </c>
      <c r="V1061" s="1">
        <f>+IF(Tabla__192.168.1.8_POSEIDONSQL_APPFVT_01_tblFillRateFechas[[#This Row],[Resultado]]=1,1,0)</f>
        <v>1</v>
      </c>
      <c r="W1061" s="1" t="str">
        <f>+Tabla__192.168.1.8_POSEIDONSQL_APPFVT_01_tblFillRateFechas[[#This Row],[con_ocnumero]]&amp;Tabla__192.168.1.8_POSEIDONSQL_APPFVT_01_tblFillRateFechas[[#This Row],[con_codigounico]]</f>
        <v>91837590390050000679180520101</v>
      </c>
      <c r="X10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2" spans="1:24" x14ac:dyDescent="0.25">
      <c r="A1062">
        <v>9</v>
      </c>
      <c r="B1062" t="s">
        <v>48</v>
      </c>
      <c r="C1062">
        <v>9183880</v>
      </c>
      <c r="D1062" t="s">
        <v>12</v>
      </c>
      <c r="E1062" t="s">
        <v>1971</v>
      </c>
      <c r="F1062" t="s">
        <v>12</v>
      </c>
      <c r="G1062">
        <v>1</v>
      </c>
      <c r="H1062">
        <v>1</v>
      </c>
      <c r="I1062" t="s">
        <v>1971</v>
      </c>
      <c r="J1062">
        <v>0</v>
      </c>
      <c r="K1062" t="s">
        <v>1754</v>
      </c>
      <c r="L1062" s="1">
        <f>+Tabla__192.168.1.8_POSEIDONSQL_APPFVT_01_tblFillRateFechas[[#This Row],[emb_cantidad]]-Tabla__192.168.1.8_POSEIDONSQL_APPFVT_01_tblFillRateFechas[[#This Row],[dev_cantidad]]</f>
        <v>1</v>
      </c>
      <c r="M1062" s="1">
        <f>+IF(Tabla__192.168.1.8_POSEIDONSQL_APPFVT_01_tblFillRateFechas[[#This Row],[Cant_Resultante]]=Tabla__192.168.1.8_POSEIDONSQL_APPFVT_01_tblFillRateFechas[[#This Row],[cant_order]],1,0)</f>
        <v>1</v>
      </c>
      <c r="N10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2" s="1">
        <f>+IF(AND(Tabla__192.168.1.8_POSEIDONSQL_APPFVT_01_tblFillRateFechas[[#This Row],[Valida Cant]]=1,Tabla__192.168.1.8_POSEIDONSQL_APPFVT_01_tblFillRateFechas[[#This Row],[Valida Fec]]=1),1,0)</f>
        <v>1</v>
      </c>
      <c r="P1062" s="1">
        <f>+(Tabla__192.168.1.8_POSEIDONSQL_APPFVT_01_tblFillRateFechas[[#This Row],[Cant_Resultante]]/Tabla__192.168.1.8_POSEIDONSQL_APPFVT_01_tblFillRateFechas[[#This Row],[cant_order]])*100</f>
        <v>100</v>
      </c>
      <c r="Q10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2" s="1">
        <f>+IF(Tabla__192.168.1.8_POSEIDONSQL_APPFVT_01_tblFillRateFechas[[#This Row],[cant_order]]&gt;0,1,0)</f>
        <v>1</v>
      </c>
      <c r="V1062" s="1">
        <f>+IF(Tabla__192.168.1.8_POSEIDONSQL_APPFVT_01_tblFillRateFechas[[#This Row],[Resultado]]=1,1,0)</f>
        <v>1</v>
      </c>
      <c r="W1062" s="1" t="str">
        <f>+Tabla__192.168.1.8_POSEIDONSQL_APPFVT_01_tblFillRateFechas[[#This Row],[con_ocnumero]]&amp;Tabla__192.168.1.8_POSEIDONSQL_APPFVT_01_tblFillRateFechas[[#This Row],[con_codigounico]]</f>
        <v>91838800390050000679328120101</v>
      </c>
      <c r="X10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3" spans="1:24" x14ac:dyDescent="0.25">
      <c r="A1063">
        <v>9</v>
      </c>
      <c r="B1063" t="s">
        <v>48</v>
      </c>
      <c r="C1063">
        <v>9184436</v>
      </c>
      <c r="D1063" t="s">
        <v>12</v>
      </c>
      <c r="E1063" t="s">
        <v>1971</v>
      </c>
      <c r="F1063" t="s">
        <v>12</v>
      </c>
      <c r="G1063">
        <v>1</v>
      </c>
      <c r="H1063">
        <v>1</v>
      </c>
      <c r="I1063" t="s">
        <v>1971</v>
      </c>
      <c r="J1063">
        <v>0</v>
      </c>
      <c r="K1063" t="s">
        <v>1759</v>
      </c>
      <c r="L1063" s="1">
        <f>+Tabla__192.168.1.8_POSEIDONSQL_APPFVT_01_tblFillRateFechas[[#This Row],[emb_cantidad]]-Tabla__192.168.1.8_POSEIDONSQL_APPFVT_01_tblFillRateFechas[[#This Row],[dev_cantidad]]</f>
        <v>1</v>
      </c>
      <c r="M1063" s="1">
        <f>+IF(Tabla__192.168.1.8_POSEIDONSQL_APPFVT_01_tblFillRateFechas[[#This Row],[Cant_Resultante]]=Tabla__192.168.1.8_POSEIDONSQL_APPFVT_01_tblFillRateFechas[[#This Row],[cant_order]],1,0)</f>
        <v>1</v>
      </c>
      <c r="N10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3" s="1">
        <f>+IF(AND(Tabla__192.168.1.8_POSEIDONSQL_APPFVT_01_tblFillRateFechas[[#This Row],[Valida Cant]]=1,Tabla__192.168.1.8_POSEIDONSQL_APPFVT_01_tblFillRateFechas[[#This Row],[Valida Fec]]=1),1,0)</f>
        <v>1</v>
      </c>
      <c r="P1063" s="1">
        <f>+(Tabla__192.168.1.8_POSEIDONSQL_APPFVT_01_tblFillRateFechas[[#This Row],[Cant_Resultante]]/Tabla__192.168.1.8_POSEIDONSQL_APPFVT_01_tblFillRateFechas[[#This Row],[cant_order]])*100</f>
        <v>100</v>
      </c>
      <c r="Q10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3" s="1">
        <f>+IF(Tabla__192.168.1.8_POSEIDONSQL_APPFVT_01_tblFillRateFechas[[#This Row],[cant_order]]&gt;0,1,0)</f>
        <v>1</v>
      </c>
      <c r="V1063" s="1">
        <f>+IF(Tabla__192.168.1.8_POSEIDONSQL_APPFVT_01_tblFillRateFechas[[#This Row],[Resultado]]=1,1,0)</f>
        <v>1</v>
      </c>
      <c r="W1063" s="1" t="str">
        <f>+Tabla__192.168.1.8_POSEIDONSQL_APPFVT_01_tblFillRateFechas[[#This Row],[con_ocnumero]]&amp;Tabla__192.168.1.8_POSEIDONSQL_APPFVT_01_tblFillRateFechas[[#This Row],[con_codigounico]]</f>
        <v>91844360390050000679811930101</v>
      </c>
      <c r="X10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4" spans="1:24" x14ac:dyDescent="0.25">
      <c r="A1064">
        <v>9</v>
      </c>
      <c r="B1064" t="s">
        <v>48</v>
      </c>
      <c r="C1064">
        <v>9184736</v>
      </c>
      <c r="D1064" t="s">
        <v>12</v>
      </c>
      <c r="E1064" t="s">
        <v>1971</v>
      </c>
      <c r="F1064" t="s">
        <v>12</v>
      </c>
      <c r="G1064">
        <v>1</v>
      </c>
      <c r="H1064">
        <v>1</v>
      </c>
      <c r="I1064" t="s">
        <v>1971</v>
      </c>
      <c r="J1064">
        <v>0</v>
      </c>
      <c r="K1064" t="s">
        <v>1758</v>
      </c>
      <c r="L1064" s="1">
        <f>+Tabla__192.168.1.8_POSEIDONSQL_APPFVT_01_tblFillRateFechas[[#This Row],[emb_cantidad]]-Tabla__192.168.1.8_POSEIDONSQL_APPFVT_01_tblFillRateFechas[[#This Row],[dev_cantidad]]</f>
        <v>1</v>
      </c>
      <c r="M1064" s="1">
        <f>+IF(Tabla__192.168.1.8_POSEIDONSQL_APPFVT_01_tblFillRateFechas[[#This Row],[Cant_Resultante]]=Tabla__192.168.1.8_POSEIDONSQL_APPFVT_01_tblFillRateFechas[[#This Row],[cant_order]],1,0)</f>
        <v>1</v>
      </c>
      <c r="N10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4" s="1">
        <f>+IF(AND(Tabla__192.168.1.8_POSEIDONSQL_APPFVT_01_tblFillRateFechas[[#This Row],[Valida Cant]]=1,Tabla__192.168.1.8_POSEIDONSQL_APPFVT_01_tblFillRateFechas[[#This Row],[Valida Fec]]=1),1,0)</f>
        <v>1</v>
      </c>
      <c r="P1064" s="1">
        <f>+(Tabla__192.168.1.8_POSEIDONSQL_APPFVT_01_tblFillRateFechas[[#This Row],[Cant_Resultante]]/Tabla__192.168.1.8_POSEIDONSQL_APPFVT_01_tblFillRateFechas[[#This Row],[cant_order]])*100</f>
        <v>100</v>
      </c>
      <c r="Q10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4" s="1">
        <f>+IF(Tabla__192.168.1.8_POSEIDONSQL_APPFVT_01_tblFillRateFechas[[#This Row],[cant_order]]&gt;0,1,0)</f>
        <v>1</v>
      </c>
      <c r="V1064" s="1">
        <f>+IF(Tabla__192.168.1.8_POSEIDONSQL_APPFVT_01_tblFillRateFechas[[#This Row],[Resultado]]=1,1,0)</f>
        <v>1</v>
      </c>
      <c r="W1064" s="1" t="str">
        <f>+Tabla__192.168.1.8_POSEIDONSQL_APPFVT_01_tblFillRateFechas[[#This Row],[con_ocnumero]]&amp;Tabla__192.168.1.8_POSEIDONSQL_APPFVT_01_tblFillRateFechas[[#This Row],[con_codigounico]]</f>
        <v>91847360390050000680403030102</v>
      </c>
      <c r="X10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5" spans="1:24" x14ac:dyDescent="0.25">
      <c r="A1065">
        <v>9</v>
      </c>
      <c r="B1065" t="s">
        <v>48</v>
      </c>
      <c r="C1065">
        <v>9185165</v>
      </c>
      <c r="D1065" t="s">
        <v>12</v>
      </c>
      <c r="E1065" t="s">
        <v>1971</v>
      </c>
      <c r="F1065" t="s">
        <v>1972</v>
      </c>
      <c r="G1065">
        <v>1</v>
      </c>
      <c r="H1065">
        <v>1</v>
      </c>
      <c r="I1065" t="s">
        <v>1971</v>
      </c>
      <c r="J1065">
        <v>0</v>
      </c>
      <c r="K1065" t="s">
        <v>688</v>
      </c>
      <c r="L1065" s="1">
        <f>+Tabla__192.168.1.8_POSEIDONSQL_APPFVT_01_tblFillRateFechas[[#This Row],[emb_cantidad]]-Tabla__192.168.1.8_POSEIDONSQL_APPFVT_01_tblFillRateFechas[[#This Row],[dev_cantidad]]</f>
        <v>1</v>
      </c>
      <c r="M1065" s="1">
        <f>+IF(Tabla__192.168.1.8_POSEIDONSQL_APPFVT_01_tblFillRateFechas[[#This Row],[Cant_Resultante]]=Tabla__192.168.1.8_POSEIDONSQL_APPFVT_01_tblFillRateFechas[[#This Row],[cant_order]],1,0)</f>
        <v>1</v>
      </c>
      <c r="N10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5" s="1">
        <f>+IF(AND(Tabla__192.168.1.8_POSEIDONSQL_APPFVT_01_tblFillRateFechas[[#This Row],[Valida Cant]]=1,Tabla__192.168.1.8_POSEIDONSQL_APPFVT_01_tblFillRateFechas[[#This Row],[Valida Fec]]=1),1,0)</f>
        <v>1</v>
      </c>
      <c r="P1065" s="1">
        <f>+(Tabla__192.168.1.8_POSEIDONSQL_APPFVT_01_tblFillRateFechas[[#This Row],[Cant_Resultante]]/Tabla__192.168.1.8_POSEIDONSQL_APPFVT_01_tblFillRateFechas[[#This Row],[cant_order]])*100</f>
        <v>100</v>
      </c>
      <c r="Q10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5" s="1">
        <f>+IF(Tabla__192.168.1.8_POSEIDONSQL_APPFVT_01_tblFillRateFechas[[#This Row],[cant_order]]&gt;0,1,0)</f>
        <v>1</v>
      </c>
      <c r="V1065" s="1">
        <f>+IF(Tabla__192.168.1.8_POSEIDONSQL_APPFVT_01_tblFillRateFechas[[#This Row],[Resultado]]=1,1,0)</f>
        <v>1</v>
      </c>
      <c r="W1065" s="1" t="str">
        <f>+Tabla__192.168.1.8_POSEIDONSQL_APPFVT_01_tblFillRateFechas[[#This Row],[con_ocnumero]]&amp;Tabla__192.168.1.8_POSEIDONSQL_APPFVT_01_tblFillRateFechas[[#This Row],[con_codigounico]]</f>
        <v>91851650390050000680667200103</v>
      </c>
      <c r="X10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6" spans="1:24" x14ac:dyDescent="0.25">
      <c r="A1066">
        <v>9</v>
      </c>
      <c r="B1066" t="s">
        <v>48</v>
      </c>
      <c r="C1066">
        <v>9185285</v>
      </c>
      <c r="D1066" t="s">
        <v>12</v>
      </c>
      <c r="E1066" t="s">
        <v>1971</v>
      </c>
      <c r="F1066" t="s">
        <v>1972</v>
      </c>
      <c r="G1066">
        <v>1</v>
      </c>
      <c r="H1066">
        <v>1</v>
      </c>
      <c r="I1066" t="s">
        <v>1980</v>
      </c>
      <c r="J1066">
        <v>0</v>
      </c>
      <c r="K1066" t="s">
        <v>685</v>
      </c>
      <c r="L1066" s="1">
        <f>+Tabla__192.168.1.8_POSEIDONSQL_APPFVT_01_tblFillRateFechas[[#This Row],[emb_cantidad]]-Tabla__192.168.1.8_POSEIDONSQL_APPFVT_01_tblFillRateFechas[[#This Row],[dev_cantidad]]</f>
        <v>1</v>
      </c>
      <c r="M1066" s="1">
        <f>+IF(Tabla__192.168.1.8_POSEIDONSQL_APPFVT_01_tblFillRateFechas[[#This Row],[Cant_Resultante]]=Tabla__192.168.1.8_POSEIDONSQL_APPFVT_01_tblFillRateFechas[[#This Row],[cant_order]],1,0)</f>
        <v>1</v>
      </c>
      <c r="N10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066" s="1">
        <f>+IF(AND(Tabla__192.168.1.8_POSEIDONSQL_APPFVT_01_tblFillRateFechas[[#This Row],[Valida Cant]]=1,Tabla__192.168.1.8_POSEIDONSQL_APPFVT_01_tblFillRateFechas[[#This Row],[Valida Fec]]=1),1,0)</f>
        <v>0</v>
      </c>
      <c r="P1066" s="1">
        <f>+(Tabla__192.168.1.8_POSEIDONSQL_APPFVT_01_tblFillRateFechas[[#This Row],[Cant_Resultante]]/Tabla__192.168.1.8_POSEIDONSQL_APPFVT_01_tblFillRateFechas[[#This Row],[cant_order]])*100</f>
        <v>100</v>
      </c>
      <c r="Q10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6" s="1">
        <f>+IF(Tabla__192.168.1.8_POSEIDONSQL_APPFVT_01_tblFillRateFechas[[#This Row],[cant_order]]&gt;0,1,0)</f>
        <v>1</v>
      </c>
      <c r="V1066" s="1">
        <f>+IF(Tabla__192.168.1.8_POSEIDONSQL_APPFVT_01_tblFillRateFechas[[#This Row],[Resultado]]=1,1,0)</f>
        <v>0</v>
      </c>
      <c r="W1066" s="1" t="str">
        <f>+Tabla__192.168.1.8_POSEIDONSQL_APPFVT_01_tblFillRateFechas[[#This Row],[con_ocnumero]]&amp;Tabla__192.168.1.8_POSEIDONSQL_APPFVT_01_tblFillRateFechas[[#This Row],[con_codigounico]]</f>
        <v>91852850390050000683997860102</v>
      </c>
      <c r="X10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7" spans="1:24" x14ac:dyDescent="0.25">
      <c r="A1067">
        <v>9</v>
      </c>
      <c r="B1067" t="s">
        <v>48</v>
      </c>
      <c r="C1067">
        <v>9185362</v>
      </c>
      <c r="D1067" t="s">
        <v>12</v>
      </c>
      <c r="E1067" t="s">
        <v>1971</v>
      </c>
      <c r="F1067" t="s">
        <v>1972</v>
      </c>
      <c r="G1067">
        <v>1</v>
      </c>
      <c r="H1067">
        <v>1</v>
      </c>
      <c r="I1067" t="s">
        <v>1980</v>
      </c>
      <c r="J1067">
        <v>0</v>
      </c>
      <c r="K1067" t="s">
        <v>686</v>
      </c>
      <c r="L1067" s="1">
        <f>+Tabla__192.168.1.8_POSEIDONSQL_APPFVT_01_tblFillRateFechas[[#This Row],[emb_cantidad]]-Tabla__192.168.1.8_POSEIDONSQL_APPFVT_01_tblFillRateFechas[[#This Row],[dev_cantidad]]</f>
        <v>1</v>
      </c>
      <c r="M1067" s="1">
        <f>+IF(Tabla__192.168.1.8_POSEIDONSQL_APPFVT_01_tblFillRateFechas[[#This Row],[Cant_Resultante]]=Tabla__192.168.1.8_POSEIDONSQL_APPFVT_01_tblFillRateFechas[[#This Row],[cant_order]],1,0)</f>
        <v>1</v>
      </c>
      <c r="N10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067" s="1">
        <f>+IF(AND(Tabla__192.168.1.8_POSEIDONSQL_APPFVT_01_tblFillRateFechas[[#This Row],[Valida Cant]]=1,Tabla__192.168.1.8_POSEIDONSQL_APPFVT_01_tblFillRateFechas[[#This Row],[Valida Fec]]=1),1,0)</f>
        <v>0</v>
      </c>
      <c r="P1067" s="1">
        <f>+(Tabla__192.168.1.8_POSEIDONSQL_APPFVT_01_tblFillRateFechas[[#This Row],[Cant_Resultante]]/Tabla__192.168.1.8_POSEIDONSQL_APPFVT_01_tblFillRateFechas[[#This Row],[cant_order]])*100</f>
        <v>100</v>
      </c>
      <c r="Q10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7" s="1">
        <f>+IF(Tabla__192.168.1.8_POSEIDONSQL_APPFVT_01_tblFillRateFechas[[#This Row],[cant_order]]&gt;0,1,0)</f>
        <v>1</v>
      </c>
      <c r="V1067" s="1">
        <f>+IF(Tabla__192.168.1.8_POSEIDONSQL_APPFVT_01_tblFillRateFechas[[#This Row],[Resultado]]=1,1,0)</f>
        <v>0</v>
      </c>
      <c r="W1067" s="1" t="str">
        <f>+Tabla__192.168.1.8_POSEIDONSQL_APPFVT_01_tblFillRateFechas[[#This Row],[con_ocnumero]]&amp;Tabla__192.168.1.8_POSEIDONSQL_APPFVT_01_tblFillRateFechas[[#This Row],[con_codigounico]]</f>
        <v>91853620390050000684049220102</v>
      </c>
      <c r="X10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8" spans="1:24" x14ac:dyDescent="0.25">
      <c r="A1068">
        <v>9</v>
      </c>
      <c r="B1068" t="s">
        <v>48</v>
      </c>
      <c r="C1068">
        <v>9185644</v>
      </c>
      <c r="D1068" t="s">
        <v>12</v>
      </c>
      <c r="E1068" t="s">
        <v>1980</v>
      </c>
      <c r="F1068" t="s">
        <v>1972</v>
      </c>
      <c r="G1068">
        <v>1</v>
      </c>
      <c r="H1068">
        <v>1</v>
      </c>
      <c r="I1068" t="s">
        <v>1980</v>
      </c>
      <c r="J1068">
        <v>0</v>
      </c>
      <c r="K1068" t="s">
        <v>692</v>
      </c>
      <c r="L1068" s="1">
        <f>+Tabla__192.168.1.8_POSEIDONSQL_APPFVT_01_tblFillRateFechas[[#This Row],[emb_cantidad]]-Tabla__192.168.1.8_POSEIDONSQL_APPFVT_01_tblFillRateFechas[[#This Row],[dev_cantidad]]</f>
        <v>1</v>
      </c>
      <c r="M1068" s="1">
        <f>+IF(Tabla__192.168.1.8_POSEIDONSQL_APPFVT_01_tblFillRateFechas[[#This Row],[Cant_Resultante]]=Tabla__192.168.1.8_POSEIDONSQL_APPFVT_01_tblFillRateFechas[[#This Row],[cant_order]],1,0)</f>
        <v>1</v>
      </c>
      <c r="N10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8" s="1">
        <f>+IF(AND(Tabla__192.168.1.8_POSEIDONSQL_APPFVT_01_tblFillRateFechas[[#This Row],[Valida Cant]]=1,Tabla__192.168.1.8_POSEIDONSQL_APPFVT_01_tblFillRateFechas[[#This Row],[Valida Fec]]=1),1,0)</f>
        <v>1</v>
      </c>
      <c r="P1068" s="1">
        <f>+(Tabla__192.168.1.8_POSEIDONSQL_APPFVT_01_tblFillRateFechas[[#This Row],[Cant_Resultante]]/Tabla__192.168.1.8_POSEIDONSQL_APPFVT_01_tblFillRateFechas[[#This Row],[cant_order]])*100</f>
        <v>100</v>
      </c>
      <c r="Q10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8" s="1">
        <f>+IF(Tabla__192.168.1.8_POSEIDONSQL_APPFVT_01_tblFillRateFechas[[#This Row],[cant_order]]&gt;0,1,0)</f>
        <v>1</v>
      </c>
      <c r="V1068" s="1">
        <f>+IF(Tabla__192.168.1.8_POSEIDONSQL_APPFVT_01_tblFillRateFechas[[#This Row],[Resultado]]=1,1,0)</f>
        <v>1</v>
      </c>
      <c r="W1068" s="1" t="str">
        <f>+Tabla__192.168.1.8_POSEIDONSQL_APPFVT_01_tblFillRateFechas[[#This Row],[con_ocnumero]]&amp;Tabla__192.168.1.8_POSEIDONSQL_APPFVT_01_tblFillRateFechas[[#This Row],[con_codigounico]]</f>
        <v>91856440390050000684231500102</v>
      </c>
      <c r="X10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69" spans="1:24" x14ac:dyDescent="0.25">
      <c r="A1069">
        <v>9</v>
      </c>
      <c r="B1069" t="s">
        <v>48</v>
      </c>
      <c r="C1069">
        <v>9186055</v>
      </c>
      <c r="D1069" t="s">
        <v>1972</v>
      </c>
      <c r="E1069" t="s">
        <v>1980</v>
      </c>
      <c r="F1069" t="s">
        <v>1975</v>
      </c>
      <c r="G1069">
        <v>1</v>
      </c>
      <c r="H1069">
        <v>1</v>
      </c>
      <c r="I1069" t="s">
        <v>1980</v>
      </c>
      <c r="J1069">
        <v>0</v>
      </c>
      <c r="K1069" t="s">
        <v>694</v>
      </c>
      <c r="L1069" s="1">
        <f>+Tabla__192.168.1.8_POSEIDONSQL_APPFVT_01_tblFillRateFechas[[#This Row],[emb_cantidad]]-Tabla__192.168.1.8_POSEIDONSQL_APPFVT_01_tblFillRateFechas[[#This Row],[dev_cantidad]]</f>
        <v>1</v>
      </c>
      <c r="M1069" s="1">
        <f>+IF(Tabla__192.168.1.8_POSEIDONSQL_APPFVT_01_tblFillRateFechas[[#This Row],[Cant_Resultante]]=Tabla__192.168.1.8_POSEIDONSQL_APPFVT_01_tblFillRateFechas[[#This Row],[cant_order]],1,0)</f>
        <v>1</v>
      </c>
      <c r="N10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69" s="1">
        <f>+IF(AND(Tabla__192.168.1.8_POSEIDONSQL_APPFVT_01_tblFillRateFechas[[#This Row],[Valida Cant]]=1,Tabla__192.168.1.8_POSEIDONSQL_APPFVT_01_tblFillRateFechas[[#This Row],[Valida Fec]]=1),1,0)</f>
        <v>1</v>
      </c>
      <c r="P1069" s="1">
        <f>+(Tabla__192.168.1.8_POSEIDONSQL_APPFVT_01_tblFillRateFechas[[#This Row],[Cant_Resultante]]/Tabla__192.168.1.8_POSEIDONSQL_APPFVT_01_tblFillRateFechas[[#This Row],[cant_order]])*100</f>
        <v>100</v>
      </c>
      <c r="Q10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69" s="1">
        <f>+IF(Tabla__192.168.1.8_POSEIDONSQL_APPFVT_01_tblFillRateFechas[[#This Row],[cant_order]]&gt;0,1,0)</f>
        <v>1</v>
      </c>
      <c r="V1069" s="1">
        <f>+IF(Tabla__192.168.1.8_POSEIDONSQL_APPFVT_01_tblFillRateFechas[[#This Row],[Resultado]]=1,1,0)</f>
        <v>1</v>
      </c>
      <c r="W1069" s="1" t="str">
        <f>+Tabla__192.168.1.8_POSEIDONSQL_APPFVT_01_tblFillRateFechas[[#This Row],[con_ocnumero]]&amp;Tabla__192.168.1.8_POSEIDONSQL_APPFVT_01_tblFillRateFechas[[#This Row],[con_codigounico]]</f>
        <v>91860550390050000684582490101</v>
      </c>
      <c r="X10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0" spans="1:24" x14ac:dyDescent="0.25">
      <c r="A1070">
        <v>9</v>
      </c>
      <c r="B1070" t="s">
        <v>48</v>
      </c>
      <c r="C1070">
        <v>9186444</v>
      </c>
      <c r="D1070" t="s">
        <v>1976</v>
      </c>
      <c r="E1070" t="s">
        <v>1962</v>
      </c>
      <c r="F1070" t="s">
        <v>1975</v>
      </c>
      <c r="G1070">
        <v>1</v>
      </c>
      <c r="H1070">
        <v>1</v>
      </c>
      <c r="I1070" t="s">
        <v>1962</v>
      </c>
      <c r="J1070">
        <v>0</v>
      </c>
      <c r="K1070" t="s">
        <v>699</v>
      </c>
      <c r="L1070" s="1">
        <f>+Tabla__192.168.1.8_POSEIDONSQL_APPFVT_01_tblFillRateFechas[[#This Row],[emb_cantidad]]-Tabla__192.168.1.8_POSEIDONSQL_APPFVT_01_tblFillRateFechas[[#This Row],[dev_cantidad]]</f>
        <v>1</v>
      </c>
      <c r="M1070" s="1">
        <f>+IF(Tabla__192.168.1.8_POSEIDONSQL_APPFVT_01_tblFillRateFechas[[#This Row],[Cant_Resultante]]=Tabla__192.168.1.8_POSEIDONSQL_APPFVT_01_tblFillRateFechas[[#This Row],[cant_order]],1,0)</f>
        <v>1</v>
      </c>
      <c r="N10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0" s="1">
        <f>+IF(AND(Tabla__192.168.1.8_POSEIDONSQL_APPFVT_01_tblFillRateFechas[[#This Row],[Valida Cant]]=1,Tabla__192.168.1.8_POSEIDONSQL_APPFVT_01_tblFillRateFechas[[#This Row],[Valida Fec]]=1),1,0)</f>
        <v>1</v>
      </c>
      <c r="P1070" s="1">
        <f>+(Tabla__192.168.1.8_POSEIDONSQL_APPFVT_01_tblFillRateFechas[[#This Row],[Cant_Resultante]]/Tabla__192.168.1.8_POSEIDONSQL_APPFVT_01_tblFillRateFechas[[#This Row],[cant_order]])*100</f>
        <v>100</v>
      </c>
      <c r="Q10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0" s="1">
        <f>+IF(Tabla__192.168.1.8_POSEIDONSQL_APPFVT_01_tblFillRateFechas[[#This Row],[cant_order]]&gt;0,1,0)</f>
        <v>1</v>
      </c>
      <c r="V1070" s="1">
        <f>+IF(Tabla__192.168.1.8_POSEIDONSQL_APPFVT_01_tblFillRateFechas[[#This Row],[Resultado]]=1,1,0)</f>
        <v>1</v>
      </c>
      <c r="W1070" s="1" t="str">
        <f>+Tabla__192.168.1.8_POSEIDONSQL_APPFVT_01_tblFillRateFechas[[#This Row],[con_ocnumero]]&amp;Tabla__192.168.1.8_POSEIDONSQL_APPFVT_01_tblFillRateFechas[[#This Row],[con_codigounico]]</f>
        <v>91864440390050000684985780102</v>
      </c>
      <c r="X10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1" spans="1:24" x14ac:dyDescent="0.25">
      <c r="A1071">
        <v>9</v>
      </c>
      <c r="B1071" t="s">
        <v>48</v>
      </c>
      <c r="C1071">
        <v>9186762</v>
      </c>
      <c r="D1071" t="s">
        <v>1974</v>
      </c>
      <c r="E1071" t="s">
        <v>1971</v>
      </c>
      <c r="F1071" t="s">
        <v>1975</v>
      </c>
      <c r="G1071">
        <v>1</v>
      </c>
      <c r="H1071">
        <v>1</v>
      </c>
      <c r="I1071" t="s">
        <v>1971</v>
      </c>
      <c r="J1071">
        <v>0</v>
      </c>
      <c r="K1071" t="s">
        <v>476</v>
      </c>
      <c r="L1071" s="1">
        <f>+Tabla__192.168.1.8_POSEIDONSQL_APPFVT_01_tblFillRateFechas[[#This Row],[emb_cantidad]]-Tabla__192.168.1.8_POSEIDONSQL_APPFVT_01_tblFillRateFechas[[#This Row],[dev_cantidad]]</f>
        <v>1</v>
      </c>
      <c r="M1071" s="1">
        <f>+IF(Tabla__192.168.1.8_POSEIDONSQL_APPFVT_01_tblFillRateFechas[[#This Row],[Cant_Resultante]]=Tabla__192.168.1.8_POSEIDONSQL_APPFVT_01_tblFillRateFechas[[#This Row],[cant_order]],1,0)</f>
        <v>1</v>
      </c>
      <c r="N10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1" s="1">
        <f>+IF(AND(Tabla__192.168.1.8_POSEIDONSQL_APPFVT_01_tblFillRateFechas[[#This Row],[Valida Cant]]=1,Tabla__192.168.1.8_POSEIDONSQL_APPFVT_01_tblFillRateFechas[[#This Row],[Valida Fec]]=1),1,0)</f>
        <v>1</v>
      </c>
      <c r="P1071" s="1">
        <f>+(Tabla__192.168.1.8_POSEIDONSQL_APPFVT_01_tblFillRateFechas[[#This Row],[Cant_Resultante]]/Tabla__192.168.1.8_POSEIDONSQL_APPFVT_01_tblFillRateFechas[[#This Row],[cant_order]])*100</f>
        <v>100</v>
      </c>
      <c r="Q10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1" s="1">
        <f>+IF(Tabla__192.168.1.8_POSEIDONSQL_APPFVT_01_tblFillRateFechas[[#This Row],[cant_order]]&gt;0,1,0)</f>
        <v>1</v>
      </c>
      <c r="V1071" s="1">
        <f>+IF(Tabla__192.168.1.8_POSEIDONSQL_APPFVT_01_tblFillRateFechas[[#This Row],[Resultado]]=1,1,0)</f>
        <v>1</v>
      </c>
      <c r="W1071" s="1" t="str">
        <f>+Tabla__192.168.1.8_POSEIDONSQL_APPFVT_01_tblFillRateFechas[[#This Row],[con_ocnumero]]&amp;Tabla__192.168.1.8_POSEIDONSQL_APPFVT_01_tblFillRateFechas[[#This Row],[con_codigounico]]</f>
        <v>91867620390050000685231230101</v>
      </c>
      <c r="X10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2" spans="1:24" x14ac:dyDescent="0.25">
      <c r="A1072">
        <v>9</v>
      </c>
      <c r="B1072" t="s">
        <v>48</v>
      </c>
      <c r="C1072">
        <v>9186762</v>
      </c>
      <c r="D1072" t="s">
        <v>1974</v>
      </c>
      <c r="E1072" t="s">
        <v>1971</v>
      </c>
      <c r="F1072" t="s">
        <v>1975</v>
      </c>
      <c r="G1072">
        <v>1</v>
      </c>
      <c r="H1072">
        <v>1</v>
      </c>
      <c r="I1072" t="s">
        <v>1971</v>
      </c>
      <c r="J1072">
        <v>0</v>
      </c>
      <c r="K1072" t="s">
        <v>477</v>
      </c>
      <c r="L1072" s="1">
        <f>+Tabla__192.168.1.8_POSEIDONSQL_APPFVT_01_tblFillRateFechas[[#This Row],[emb_cantidad]]-Tabla__192.168.1.8_POSEIDONSQL_APPFVT_01_tblFillRateFechas[[#This Row],[dev_cantidad]]</f>
        <v>1</v>
      </c>
      <c r="M1072" s="1">
        <f>+IF(Tabla__192.168.1.8_POSEIDONSQL_APPFVT_01_tblFillRateFechas[[#This Row],[Cant_Resultante]]=Tabla__192.168.1.8_POSEIDONSQL_APPFVT_01_tblFillRateFechas[[#This Row],[cant_order]],1,0)</f>
        <v>1</v>
      </c>
      <c r="N10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2" s="1">
        <f>+IF(AND(Tabla__192.168.1.8_POSEIDONSQL_APPFVT_01_tblFillRateFechas[[#This Row],[Valida Cant]]=1,Tabla__192.168.1.8_POSEIDONSQL_APPFVT_01_tblFillRateFechas[[#This Row],[Valida Fec]]=1),1,0)</f>
        <v>1</v>
      </c>
      <c r="P1072" s="1">
        <f>+(Tabla__192.168.1.8_POSEIDONSQL_APPFVT_01_tblFillRateFechas[[#This Row],[Cant_Resultante]]/Tabla__192.168.1.8_POSEIDONSQL_APPFVT_01_tblFillRateFechas[[#This Row],[cant_order]])*100</f>
        <v>100</v>
      </c>
      <c r="Q10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2" s="1">
        <f>+IF(Tabla__192.168.1.8_POSEIDONSQL_APPFVT_01_tblFillRateFechas[[#This Row],[cant_order]]&gt;0,1,0)</f>
        <v>1</v>
      </c>
      <c r="V1072" s="1">
        <f>+IF(Tabla__192.168.1.8_POSEIDONSQL_APPFVT_01_tblFillRateFechas[[#This Row],[Resultado]]=1,1,0)</f>
        <v>1</v>
      </c>
      <c r="W1072" s="1" t="str">
        <f>+Tabla__192.168.1.8_POSEIDONSQL_APPFVT_01_tblFillRateFechas[[#This Row],[con_ocnumero]]&amp;Tabla__192.168.1.8_POSEIDONSQL_APPFVT_01_tblFillRateFechas[[#This Row],[con_codigounico]]</f>
        <v>91867620390050000685308350101</v>
      </c>
      <c r="X10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3" spans="1:24" x14ac:dyDescent="0.25">
      <c r="A1073">
        <v>9</v>
      </c>
      <c r="B1073" t="s">
        <v>48</v>
      </c>
      <c r="C1073">
        <v>9186889</v>
      </c>
      <c r="D1073" t="s">
        <v>1974</v>
      </c>
      <c r="E1073" t="s">
        <v>1971</v>
      </c>
      <c r="F1073" t="s">
        <v>1975</v>
      </c>
      <c r="G1073">
        <v>1</v>
      </c>
      <c r="H1073">
        <v>1</v>
      </c>
      <c r="I1073" t="s">
        <v>1971</v>
      </c>
      <c r="J1073">
        <v>0</v>
      </c>
      <c r="K1073" t="s">
        <v>479</v>
      </c>
      <c r="L1073" s="1">
        <f>+Tabla__192.168.1.8_POSEIDONSQL_APPFVT_01_tblFillRateFechas[[#This Row],[emb_cantidad]]-Tabla__192.168.1.8_POSEIDONSQL_APPFVT_01_tblFillRateFechas[[#This Row],[dev_cantidad]]</f>
        <v>1</v>
      </c>
      <c r="M1073" s="1">
        <f>+IF(Tabla__192.168.1.8_POSEIDONSQL_APPFVT_01_tblFillRateFechas[[#This Row],[Cant_Resultante]]=Tabla__192.168.1.8_POSEIDONSQL_APPFVT_01_tblFillRateFechas[[#This Row],[cant_order]],1,0)</f>
        <v>1</v>
      </c>
      <c r="N10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3" s="1">
        <f>+IF(AND(Tabla__192.168.1.8_POSEIDONSQL_APPFVT_01_tblFillRateFechas[[#This Row],[Valida Cant]]=1,Tabla__192.168.1.8_POSEIDONSQL_APPFVT_01_tblFillRateFechas[[#This Row],[Valida Fec]]=1),1,0)</f>
        <v>1</v>
      </c>
      <c r="P1073" s="1">
        <f>+(Tabla__192.168.1.8_POSEIDONSQL_APPFVT_01_tblFillRateFechas[[#This Row],[Cant_Resultante]]/Tabla__192.168.1.8_POSEIDONSQL_APPFVT_01_tblFillRateFechas[[#This Row],[cant_order]])*100</f>
        <v>100</v>
      </c>
      <c r="Q10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3" s="1">
        <f>+IF(Tabla__192.168.1.8_POSEIDONSQL_APPFVT_01_tblFillRateFechas[[#This Row],[cant_order]]&gt;0,1,0)</f>
        <v>1</v>
      </c>
      <c r="V1073" s="1">
        <f>+IF(Tabla__192.168.1.8_POSEIDONSQL_APPFVT_01_tblFillRateFechas[[#This Row],[Resultado]]=1,1,0)</f>
        <v>1</v>
      </c>
      <c r="W1073" s="1" t="str">
        <f>+Tabla__192.168.1.8_POSEIDONSQL_APPFVT_01_tblFillRateFechas[[#This Row],[con_ocnumero]]&amp;Tabla__192.168.1.8_POSEIDONSQL_APPFVT_01_tblFillRateFechas[[#This Row],[con_codigounico]]</f>
        <v>91868890390050000685365730101</v>
      </c>
      <c r="X10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4" spans="1:24" x14ac:dyDescent="0.25">
      <c r="A1074">
        <v>9</v>
      </c>
      <c r="B1074" t="s">
        <v>48</v>
      </c>
      <c r="C1074">
        <v>9186889</v>
      </c>
      <c r="D1074" t="s">
        <v>1974</v>
      </c>
      <c r="E1074" t="s">
        <v>1980</v>
      </c>
      <c r="F1074" t="s">
        <v>1975</v>
      </c>
      <c r="G1074">
        <v>1</v>
      </c>
      <c r="H1074">
        <v>1</v>
      </c>
      <c r="I1074" t="s">
        <v>1980</v>
      </c>
      <c r="J1074">
        <v>0</v>
      </c>
      <c r="K1074" t="s">
        <v>691</v>
      </c>
      <c r="L1074" s="1">
        <f>+Tabla__192.168.1.8_POSEIDONSQL_APPFVT_01_tblFillRateFechas[[#This Row],[emb_cantidad]]-Tabla__192.168.1.8_POSEIDONSQL_APPFVT_01_tblFillRateFechas[[#This Row],[dev_cantidad]]</f>
        <v>1</v>
      </c>
      <c r="M1074" s="1">
        <f>+IF(Tabla__192.168.1.8_POSEIDONSQL_APPFVT_01_tblFillRateFechas[[#This Row],[Cant_Resultante]]=Tabla__192.168.1.8_POSEIDONSQL_APPFVT_01_tblFillRateFechas[[#This Row],[cant_order]],1,0)</f>
        <v>1</v>
      </c>
      <c r="N10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4" s="1">
        <f>+IF(AND(Tabla__192.168.1.8_POSEIDONSQL_APPFVT_01_tblFillRateFechas[[#This Row],[Valida Cant]]=1,Tabla__192.168.1.8_POSEIDONSQL_APPFVT_01_tblFillRateFechas[[#This Row],[Valida Fec]]=1),1,0)</f>
        <v>1</v>
      </c>
      <c r="P1074" s="1">
        <f>+(Tabla__192.168.1.8_POSEIDONSQL_APPFVT_01_tblFillRateFechas[[#This Row],[Cant_Resultante]]/Tabla__192.168.1.8_POSEIDONSQL_APPFVT_01_tblFillRateFechas[[#This Row],[cant_order]])*100</f>
        <v>100</v>
      </c>
      <c r="Q10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4" s="1">
        <f>+IF(Tabla__192.168.1.8_POSEIDONSQL_APPFVT_01_tblFillRateFechas[[#This Row],[cant_order]]&gt;0,1,0)</f>
        <v>1</v>
      </c>
      <c r="V1074" s="1">
        <f>+IF(Tabla__192.168.1.8_POSEIDONSQL_APPFVT_01_tblFillRateFechas[[#This Row],[Resultado]]=1,1,0)</f>
        <v>1</v>
      </c>
      <c r="W1074" s="1" t="str">
        <f>+Tabla__192.168.1.8_POSEIDONSQL_APPFVT_01_tblFillRateFechas[[#This Row],[con_ocnumero]]&amp;Tabla__192.168.1.8_POSEIDONSQL_APPFVT_01_tblFillRateFechas[[#This Row],[con_codigounico]]</f>
        <v>91868890390050000685376050101</v>
      </c>
      <c r="X10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5" spans="1:24" x14ac:dyDescent="0.25">
      <c r="A1075">
        <v>9</v>
      </c>
      <c r="B1075" t="s">
        <v>48</v>
      </c>
      <c r="C1075">
        <v>9186889</v>
      </c>
      <c r="D1075" t="s">
        <v>1974</v>
      </c>
      <c r="E1075" t="s">
        <v>1971</v>
      </c>
      <c r="F1075" t="s">
        <v>1975</v>
      </c>
      <c r="G1075">
        <v>1</v>
      </c>
      <c r="H1075">
        <v>1</v>
      </c>
      <c r="I1075" t="s">
        <v>1971</v>
      </c>
      <c r="J1075">
        <v>0</v>
      </c>
      <c r="K1075" t="s">
        <v>478</v>
      </c>
      <c r="L1075" s="1">
        <f>+Tabla__192.168.1.8_POSEIDONSQL_APPFVT_01_tblFillRateFechas[[#This Row],[emb_cantidad]]-Tabla__192.168.1.8_POSEIDONSQL_APPFVT_01_tblFillRateFechas[[#This Row],[dev_cantidad]]</f>
        <v>1</v>
      </c>
      <c r="M1075" s="1">
        <f>+IF(Tabla__192.168.1.8_POSEIDONSQL_APPFVT_01_tblFillRateFechas[[#This Row],[Cant_Resultante]]=Tabla__192.168.1.8_POSEIDONSQL_APPFVT_01_tblFillRateFechas[[#This Row],[cant_order]],1,0)</f>
        <v>1</v>
      </c>
      <c r="N10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5" s="1">
        <f>+IF(AND(Tabla__192.168.1.8_POSEIDONSQL_APPFVT_01_tblFillRateFechas[[#This Row],[Valida Cant]]=1,Tabla__192.168.1.8_POSEIDONSQL_APPFVT_01_tblFillRateFechas[[#This Row],[Valida Fec]]=1),1,0)</f>
        <v>1</v>
      </c>
      <c r="P1075" s="1">
        <f>+(Tabla__192.168.1.8_POSEIDONSQL_APPFVT_01_tblFillRateFechas[[#This Row],[Cant_Resultante]]/Tabla__192.168.1.8_POSEIDONSQL_APPFVT_01_tblFillRateFechas[[#This Row],[cant_order]])*100</f>
        <v>100</v>
      </c>
      <c r="Q10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5" s="1">
        <f>+IF(Tabla__192.168.1.8_POSEIDONSQL_APPFVT_01_tblFillRateFechas[[#This Row],[cant_order]]&gt;0,1,0)</f>
        <v>1</v>
      </c>
      <c r="V1075" s="1">
        <f>+IF(Tabla__192.168.1.8_POSEIDONSQL_APPFVT_01_tblFillRateFechas[[#This Row],[Resultado]]=1,1,0)</f>
        <v>1</v>
      </c>
      <c r="W1075" s="1" t="str">
        <f>+Tabla__192.168.1.8_POSEIDONSQL_APPFVT_01_tblFillRateFechas[[#This Row],[con_ocnumero]]&amp;Tabla__192.168.1.8_POSEIDONSQL_APPFVT_01_tblFillRateFechas[[#This Row],[con_codigounico]]</f>
        <v>91868890390050000685381830101</v>
      </c>
      <c r="X10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6" spans="1:24" x14ac:dyDescent="0.25">
      <c r="A1076">
        <v>9</v>
      </c>
      <c r="B1076" t="s">
        <v>48</v>
      </c>
      <c r="C1076">
        <v>9186988</v>
      </c>
      <c r="D1076" t="s">
        <v>1974</v>
      </c>
      <c r="E1076" t="s">
        <v>1971</v>
      </c>
      <c r="F1076" t="s">
        <v>1975</v>
      </c>
      <c r="G1076">
        <v>2</v>
      </c>
      <c r="H1076">
        <v>2</v>
      </c>
      <c r="I1076" t="s">
        <v>1971</v>
      </c>
      <c r="J1076">
        <v>0</v>
      </c>
      <c r="K1076" t="s">
        <v>473</v>
      </c>
      <c r="L1076" s="1">
        <f>+Tabla__192.168.1.8_POSEIDONSQL_APPFVT_01_tblFillRateFechas[[#This Row],[emb_cantidad]]-Tabla__192.168.1.8_POSEIDONSQL_APPFVT_01_tblFillRateFechas[[#This Row],[dev_cantidad]]</f>
        <v>2</v>
      </c>
      <c r="M1076" s="1">
        <f>+IF(Tabla__192.168.1.8_POSEIDONSQL_APPFVT_01_tblFillRateFechas[[#This Row],[Cant_Resultante]]=Tabla__192.168.1.8_POSEIDONSQL_APPFVT_01_tblFillRateFechas[[#This Row],[cant_order]],1,0)</f>
        <v>1</v>
      </c>
      <c r="N10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6" s="1">
        <f>+IF(AND(Tabla__192.168.1.8_POSEIDONSQL_APPFVT_01_tblFillRateFechas[[#This Row],[Valida Cant]]=1,Tabla__192.168.1.8_POSEIDONSQL_APPFVT_01_tblFillRateFechas[[#This Row],[Valida Fec]]=1),1,0)</f>
        <v>1</v>
      </c>
      <c r="P1076" s="1">
        <f>+(Tabla__192.168.1.8_POSEIDONSQL_APPFVT_01_tblFillRateFechas[[#This Row],[Cant_Resultante]]/Tabla__192.168.1.8_POSEIDONSQL_APPFVT_01_tblFillRateFechas[[#This Row],[cant_order]])*100</f>
        <v>100</v>
      </c>
      <c r="Q10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0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0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6" s="1">
        <f>+IF(Tabla__192.168.1.8_POSEIDONSQL_APPFVT_01_tblFillRateFechas[[#This Row],[cant_order]]&gt;0,1,0)</f>
        <v>1</v>
      </c>
      <c r="V1076" s="1">
        <f>+IF(Tabla__192.168.1.8_POSEIDONSQL_APPFVT_01_tblFillRateFechas[[#This Row],[Resultado]]=1,1,0)</f>
        <v>1</v>
      </c>
      <c r="W1076" s="1" t="str">
        <f>+Tabla__192.168.1.8_POSEIDONSQL_APPFVT_01_tblFillRateFechas[[#This Row],[con_ocnumero]]&amp;Tabla__192.168.1.8_POSEIDONSQL_APPFVT_01_tblFillRateFechas[[#This Row],[con_codigounico]]</f>
        <v>91869880390050000685422840101</v>
      </c>
      <c r="X10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077" spans="1:24" x14ac:dyDescent="0.25">
      <c r="A1077">
        <v>9</v>
      </c>
      <c r="B1077" t="s">
        <v>48</v>
      </c>
      <c r="C1077">
        <v>9186988</v>
      </c>
      <c r="D1077" t="s">
        <v>1974</v>
      </c>
      <c r="E1077" t="s">
        <v>1971</v>
      </c>
      <c r="F1077" t="s">
        <v>1975</v>
      </c>
      <c r="G1077">
        <v>1</v>
      </c>
      <c r="H1077">
        <v>1</v>
      </c>
      <c r="I1077" t="s">
        <v>1971</v>
      </c>
      <c r="J1077">
        <v>0</v>
      </c>
      <c r="K1077" t="s">
        <v>470</v>
      </c>
      <c r="L1077" s="1">
        <f>+Tabla__192.168.1.8_POSEIDONSQL_APPFVT_01_tblFillRateFechas[[#This Row],[emb_cantidad]]-Tabla__192.168.1.8_POSEIDONSQL_APPFVT_01_tblFillRateFechas[[#This Row],[dev_cantidad]]</f>
        <v>1</v>
      </c>
      <c r="M1077" s="1">
        <f>+IF(Tabla__192.168.1.8_POSEIDONSQL_APPFVT_01_tblFillRateFechas[[#This Row],[Cant_Resultante]]=Tabla__192.168.1.8_POSEIDONSQL_APPFVT_01_tblFillRateFechas[[#This Row],[cant_order]],1,0)</f>
        <v>1</v>
      </c>
      <c r="N10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7" s="1">
        <f>+IF(AND(Tabla__192.168.1.8_POSEIDONSQL_APPFVT_01_tblFillRateFechas[[#This Row],[Valida Cant]]=1,Tabla__192.168.1.8_POSEIDONSQL_APPFVT_01_tblFillRateFechas[[#This Row],[Valida Fec]]=1),1,0)</f>
        <v>1</v>
      </c>
      <c r="P1077" s="1">
        <f>+(Tabla__192.168.1.8_POSEIDONSQL_APPFVT_01_tblFillRateFechas[[#This Row],[Cant_Resultante]]/Tabla__192.168.1.8_POSEIDONSQL_APPFVT_01_tblFillRateFechas[[#This Row],[cant_order]])*100</f>
        <v>100</v>
      </c>
      <c r="Q10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7" s="1">
        <f>+IF(Tabla__192.168.1.8_POSEIDONSQL_APPFVT_01_tblFillRateFechas[[#This Row],[cant_order]]&gt;0,1,0)</f>
        <v>1</v>
      </c>
      <c r="V1077" s="1">
        <f>+IF(Tabla__192.168.1.8_POSEIDONSQL_APPFVT_01_tblFillRateFechas[[#This Row],[Resultado]]=1,1,0)</f>
        <v>1</v>
      </c>
      <c r="W1077" s="1" t="str">
        <f>+Tabla__192.168.1.8_POSEIDONSQL_APPFVT_01_tblFillRateFechas[[#This Row],[con_ocnumero]]&amp;Tabla__192.168.1.8_POSEIDONSQL_APPFVT_01_tblFillRateFechas[[#This Row],[con_codigounico]]</f>
        <v>91869880390050000685441220101</v>
      </c>
      <c r="X10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8" spans="1:24" x14ac:dyDescent="0.25">
      <c r="A1078">
        <v>9</v>
      </c>
      <c r="B1078" t="s">
        <v>48</v>
      </c>
      <c r="C1078">
        <v>9187037</v>
      </c>
      <c r="D1078" t="s">
        <v>1975</v>
      </c>
      <c r="E1078" t="s">
        <v>1980</v>
      </c>
      <c r="F1078" t="s">
        <v>1975</v>
      </c>
      <c r="G1078">
        <v>1</v>
      </c>
      <c r="H1078">
        <v>1</v>
      </c>
      <c r="I1078" t="s">
        <v>1980</v>
      </c>
      <c r="J1078">
        <v>0</v>
      </c>
      <c r="K1078" t="s">
        <v>690</v>
      </c>
      <c r="L1078" s="1">
        <f>+Tabla__192.168.1.8_POSEIDONSQL_APPFVT_01_tblFillRateFechas[[#This Row],[emb_cantidad]]-Tabla__192.168.1.8_POSEIDONSQL_APPFVT_01_tblFillRateFechas[[#This Row],[dev_cantidad]]</f>
        <v>1</v>
      </c>
      <c r="M1078" s="1">
        <f>+IF(Tabla__192.168.1.8_POSEIDONSQL_APPFVT_01_tblFillRateFechas[[#This Row],[Cant_Resultante]]=Tabla__192.168.1.8_POSEIDONSQL_APPFVT_01_tblFillRateFechas[[#This Row],[cant_order]],1,0)</f>
        <v>1</v>
      </c>
      <c r="N10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8" s="1">
        <f>+IF(AND(Tabla__192.168.1.8_POSEIDONSQL_APPFVT_01_tblFillRateFechas[[#This Row],[Valida Cant]]=1,Tabla__192.168.1.8_POSEIDONSQL_APPFVT_01_tblFillRateFechas[[#This Row],[Valida Fec]]=1),1,0)</f>
        <v>1</v>
      </c>
      <c r="P1078" s="1">
        <f>+(Tabla__192.168.1.8_POSEIDONSQL_APPFVT_01_tblFillRateFechas[[#This Row],[Cant_Resultante]]/Tabla__192.168.1.8_POSEIDONSQL_APPFVT_01_tblFillRateFechas[[#This Row],[cant_order]])*100</f>
        <v>100</v>
      </c>
      <c r="Q10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8" s="1">
        <f>+IF(Tabla__192.168.1.8_POSEIDONSQL_APPFVT_01_tblFillRateFechas[[#This Row],[cant_order]]&gt;0,1,0)</f>
        <v>1</v>
      </c>
      <c r="V1078" s="1">
        <f>+IF(Tabla__192.168.1.8_POSEIDONSQL_APPFVT_01_tblFillRateFechas[[#This Row],[Resultado]]=1,1,0)</f>
        <v>1</v>
      </c>
      <c r="W1078" s="1" t="str">
        <f>+Tabla__192.168.1.8_POSEIDONSQL_APPFVT_01_tblFillRateFechas[[#This Row],[con_ocnumero]]&amp;Tabla__192.168.1.8_POSEIDONSQL_APPFVT_01_tblFillRateFechas[[#This Row],[con_codigounico]]</f>
        <v>91870370390050000685545090101</v>
      </c>
      <c r="X10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79" spans="1:24" x14ac:dyDescent="0.25">
      <c r="A1079">
        <v>9</v>
      </c>
      <c r="B1079" t="s">
        <v>48</v>
      </c>
      <c r="C1079">
        <v>9187211</v>
      </c>
      <c r="D1079" t="s">
        <v>1975</v>
      </c>
      <c r="E1079" t="s">
        <v>1971</v>
      </c>
      <c r="F1079" t="s">
        <v>1978</v>
      </c>
      <c r="G1079">
        <v>1</v>
      </c>
      <c r="H1079">
        <v>1</v>
      </c>
      <c r="I1079" t="s">
        <v>1971</v>
      </c>
      <c r="J1079">
        <v>0</v>
      </c>
      <c r="K1079" t="s">
        <v>1058</v>
      </c>
      <c r="L1079" s="1">
        <f>+Tabla__192.168.1.8_POSEIDONSQL_APPFVT_01_tblFillRateFechas[[#This Row],[emb_cantidad]]-Tabla__192.168.1.8_POSEIDONSQL_APPFVT_01_tblFillRateFechas[[#This Row],[dev_cantidad]]</f>
        <v>1</v>
      </c>
      <c r="M1079" s="1">
        <f>+IF(Tabla__192.168.1.8_POSEIDONSQL_APPFVT_01_tblFillRateFechas[[#This Row],[Cant_Resultante]]=Tabla__192.168.1.8_POSEIDONSQL_APPFVT_01_tblFillRateFechas[[#This Row],[cant_order]],1,0)</f>
        <v>1</v>
      </c>
      <c r="N10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79" s="1">
        <f>+IF(AND(Tabla__192.168.1.8_POSEIDONSQL_APPFVT_01_tblFillRateFechas[[#This Row],[Valida Cant]]=1,Tabla__192.168.1.8_POSEIDONSQL_APPFVT_01_tblFillRateFechas[[#This Row],[Valida Fec]]=1),1,0)</f>
        <v>1</v>
      </c>
      <c r="P1079" s="1">
        <f>+(Tabla__192.168.1.8_POSEIDONSQL_APPFVT_01_tblFillRateFechas[[#This Row],[Cant_Resultante]]/Tabla__192.168.1.8_POSEIDONSQL_APPFVT_01_tblFillRateFechas[[#This Row],[cant_order]])*100</f>
        <v>100</v>
      </c>
      <c r="Q10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79" s="1">
        <f>+IF(Tabla__192.168.1.8_POSEIDONSQL_APPFVT_01_tblFillRateFechas[[#This Row],[cant_order]]&gt;0,1,0)</f>
        <v>1</v>
      </c>
      <c r="V1079" s="1">
        <f>+IF(Tabla__192.168.1.8_POSEIDONSQL_APPFVT_01_tblFillRateFechas[[#This Row],[Resultado]]=1,1,0)</f>
        <v>1</v>
      </c>
      <c r="W1079" s="1" t="str">
        <f>+Tabla__192.168.1.8_POSEIDONSQL_APPFVT_01_tblFillRateFechas[[#This Row],[con_ocnumero]]&amp;Tabla__192.168.1.8_POSEIDONSQL_APPFVT_01_tblFillRateFechas[[#This Row],[con_codigounico]]</f>
        <v>91872110390050000685667990101</v>
      </c>
      <c r="X10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0" spans="1:24" x14ac:dyDescent="0.25">
      <c r="A1080">
        <v>9</v>
      </c>
      <c r="B1080" t="s">
        <v>48</v>
      </c>
      <c r="C1080">
        <v>9187211</v>
      </c>
      <c r="D1080" t="s">
        <v>1975</v>
      </c>
      <c r="E1080" t="s">
        <v>1971</v>
      </c>
      <c r="F1080" t="s">
        <v>1978</v>
      </c>
      <c r="G1080">
        <v>1</v>
      </c>
      <c r="H1080">
        <v>1</v>
      </c>
      <c r="I1080" t="s">
        <v>1971</v>
      </c>
      <c r="J1080">
        <v>0</v>
      </c>
      <c r="K1080" t="s">
        <v>1057</v>
      </c>
      <c r="L1080" s="1">
        <f>+Tabla__192.168.1.8_POSEIDONSQL_APPFVT_01_tblFillRateFechas[[#This Row],[emb_cantidad]]-Tabla__192.168.1.8_POSEIDONSQL_APPFVT_01_tblFillRateFechas[[#This Row],[dev_cantidad]]</f>
        <v>1</v>
      </c>
      <c r="M1080" s="1">
        <f>+IF(Tabla__192.168.1.8_POSEIDONSQL_APPFVT_01_tblFillRateFechas[[#This Row],[Cant_Resultante]]=Tabla__192.168.1.8_POSEIDONSQL_APPFVT_01_tblFillRateFechas[[#This Row],[cant_order]],1,0)</f>
        <v>1</v>
      </c>
      <c r="N10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0" s="1">
        <f>+IF(AND(Tabla__192.168.1.8_POSEIDONSQL_APPFVT_01_tblFillRateFechas[[#This Row],[Valida Cant]]=1,Tabla__192.168.1.8_POSEIDONSQL_APPFVT_01_tblFillRateFechas[[#This Row],[Valida Fec]]=1),1,0)</f>
        <v>1</v>
      </c>
      <c r="P1080" s="1">
        <f>+(Tabla__192.168.1.8_POSEIDONSQL_APPFVT_01_tblFillRateFechas[[#This Row],[Cant_Resultante]]/Tabla__192.168.1.8_POSEIDONSQL_APPFVT_01_tblFillRateFechas[[#This Row],[cant_order]])*100</f>
        <v>100</v>
      </c>
      <c r="Q10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0" s="1">
        <f>+IF(Tabla__192.168.1.8_POSEIDONSQL_APPFVT_01_tblFillRateFechas[[#This Row],[cant_order]]&gt;0,1,0)</f>
        <v>1</v>
      </c>
      <c r="V1080" s="1">
        <f>+IF(Tabla__192.168.1.8_POSEIDONSQL_APPFVT_01_tblFillRateFechas[[#This Row],[Resultado]]=1,1,0)</f>
        <v>1</v>
      </c>
      <c r="W1080" s="1" t="str">
        <f>+Tabla__192.168.1.8_POSEIDONSQL_APPFVT_01_tblFillRateFechas[[#This Row],[con_ocnumero]]&amp;Tabla__192.168.1.8_POSEIDONSQL_APPFVT_01_tblFillRateFechas[[#This Row],[con_codigounico]]</f>
        <v>91872110390050000685688830101</v>
      </c>
      <c r="X10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1" spans="1:24" x14ac:dyDescent="0.25">
      <c r="A1081">
        <v>9</v>
      </c>
      <c r="B1081" t="s">
        <v>48</v>
      </c>
      <c r="C1081">
        <v>9187253</v>
      </c>
      <c r="D1081" t="s">
        <v>1975</v>
      </c>
      <c r="E1081" t="s">
        <v>1963</v>
      </c>
      <c r="F1081" t="s">
        <v>1978</v>
      </c>
      <c r="G1081">
        <v>1</v>
      </c>
      <c r="H1081">
        <v>1</v>
      </c>
      <c r="I1081" t="s">
        <v>1963</v>
      </c>
      <c r="J1081">
        <v>0</v>
      </c>
      <c r="K1081" t="s">
        <v>773</v>
      </c>
      <c r="L1081" s="1">
        <f>+Tabla__192.168.1.8_POSEIDONSQL_APPFVT_01_tblFillRateFechas[[#This Row],[emb_cantidad]]-Tabla__192.168.1.8_POSEIDONSQL_APPFVT_01_tblFillRateFechas[[#This Row],[dev_cantidad]]</f>
        <v>1</v>
      </c>
      <c r="M1081" s="1">
        <f>+IF(Tabla__192.168.1.8_POSEIDONSQL_APPFVT_01_tblFillRateFechas[[#This Row],[Cant_Resultante]]=Tabla__192.168.1.8_POSEIDONSQL_APPFVT_01_tblFillRateFechas[[#This Row],[cant_order]],1,0)</f>
        <v>1</v>
      </c>
      <c r="N10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1" s="1">
        <f>+IF(AND(Tabla__192.168.1.8_POSEIDONSQL_APPFVT_01_tblFillRateFechas[[#This Row],[Valida Cant]]=1,Tabla__192.168.1.8_POSEIDONSQL_APPFVT_01_tblFillRateFechas[[#This Row],[Valida Fec]]=1),1,0)</f>
        <v>1</v>
      </c>
      <c r="P1081" s="1">
        <f>+(Tabla__192.168.1.8_POSEIDONSQL_APPFVT_01_tblFillRateFechas[[#This Row],[Cant_Resultante]]/Tabla__192.168.1.8_POSEIDONSQL_APPFVT_01_tblFillRateFechas[[#This Row],[cant_order]])*100</f>
        <v>100</v>
      </c>
      <c r="Q10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1" s="1">
        <f>+IF(Tabla__192.168.1.8_POSEIDONSQL_APPFVT_01_tblFillRateFechas[[#This Row],[cant_order]]&gt;0,1,0)</f>
        <v>1</v>
      </c>
      <c r="V1081" s="1">
        <f>+IF(Tabla__192.168.1.8_POSEIDONSQL_APPFVT_01_tblFillRateFechas[[#This Row],[Resultado]]=1,1,0)</f>
        <v>1</v>
      </c>
      <c r="W1081" s="1" t="str">
        <f>+Tabla__192.168.1.8_POSEIDONSQL_APPFVT_01_tblFillRateFechas[[#This Row],[con_ocnumero]]&amp;Tabla__192.168.1.8_POSEIDONSQL_APPFVT_01_tblFillRateFechas[[#This Row],[con_codigounico]]</f>
        <v>91872530390050000685717100102</v>
      </c>
      <c r="X10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2" spans="1:24" x14ac:dyDescent="0.25">
      <c r="A1082">
        <v>9</v>
      </c>
      <c r="B1082" t="s">
        <v>48</v>
      </c>
      <c r="C1082">
        <v>9187293</v>
      </c>
      <c r="D1082" t="s">
        <v>1975</v>
      </c>
      <c r="E1082" t="s">
        <v>1980</v>
      </c>
      <c r="F1082" t="s">
        <v>1978</v>
      </c>
      <c r="G1082">
        <v>1</v>
      </c>
      <c r="H1082">
        <v>1</v>
      </c>
      <c r="I1082" t="s">
        <v>1980</v>
      </c>
      <c r="J1082">
        <v>0</v>
      </c>
      <c r="K1082" t="s">
        <v>1065</v>
      </c>
      <c r="L1082" s="1">
        <f>+Tabla__192.168.1.8_POSEIDONSQL_APPFVT_01_tblFillRateFechas[[#This Row],[emb_cantidad]]-Tabla__192.168.1.8_POSEIDONSQL_APPFVT_01_tblFillRateFechas[[#This Row],[dev_cantidad]]</f>
        <v>1</v>
      </c>
      <c r="M1082" s="1">
        <f>+IF(Tabla__192.168.1.8_POSEIDONSQL_APPFVT_01_tblFillRateFechas[[#This Row],[Cant_Resultante]]=Tabla__192.168.1.8_POSEIDONSQL_APPFVT_01_tblFillRateFechas[[#This Row],[cant_order]],1,0)</f>
        <v>1</v>
      </c>
      <c r="N10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2" s="1">
        <f>+IF(AND(Tabla__192.168.1.8_POSEIDONSQL_APPFVT_01_tblFillRateFechas[[#This Row],[Valida Cant]]=1,Tabla__192.168.1.8_POSEIDONSQL_APPFVT_01_tblFillRateFechas[[#This Row],[Valida Fec]]=1),1,0)</f>
        <v>1</v>
      </c>
      <c r="P1082" s="1">
        <f>+(Tabla__192.168.1.8_POSEIDONSQL_APPFVT_01_tblFillRateFechas[[#This Row],[Cant_Resultante]]/Tabla__192.168.1.8_POSEIDONSQL_APPFVT_01_tblFillRateFechas[[#This Row],[cant_order]])*100</f>
        <v>100</v>
      </c>
      <c r="Q10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2" s="1">
        <f>+IF(Tabla__192.168.1.8_POSEIDONSQL_APPFVT_01_tblFillRateFechas[[#This Row],[cant_order]]&gt;0,1,0)</f>
        <v>1</v>
      </c>
      <c r="V1082" s="1">
        <f>+IF(Tabla__192.168.1.8_POSEIDONSQL_APPFVT_01_tblFillRateFechas[[#This Row],[Resultado]]=1,1,0)</f>
        <v>1</v>
      </c>
      <c r="W1082" s="1" t="str">
        <f>+Tabla__192.168.1.8_POSEIDONSQL_APPFVT_01_tblFillRateFechas[[#This Row],[con_ocnumero]]&amp;Tabla__192.168.1.8_POSEIDONSQL_APPFVT_01_tblFillRateFechas[[#This Row],[con_codigounico]]</f>
        <v>91872930390050000685724160101</v>
      </c>
      <c r="X10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3" spans="1:24" x14ac:dyDescent="0.25">
      <c r="A1083">
        <v>9</v>
      </c>
      <c r="B1083" t="s">
        <v>48</v>
      </c>
      <c r="C1083">
        <v>9187293</v>
      </c>
      <c r="D1083" t="s">
        <v>1975</v>
      </c>
      <c r="E1083" t="s">
        <v>1971</v>
      </c>
      <c r="F1083" t="s">
        <v>1978</v>
      </c>
      <c r="G1083">
        <v>1</v>
      </c>
      <c r="H1083">
        <v>1</v>
      </c>
      <c r="I1083" t="s">
        <v>1971</v>
      </c>
      <c r="J1083">
        <v>0</v>
      </c>
      <c r="K1083" t="s">
        <v>1059</v>
      </c>
      <c r="L1083" s="1">
        <f>+Tabla__192.168.1.8_POSEIDONSQL_APPFVT_01_tblFillRateFechas[[#This Row],[emb_cantidad]]-Tabla__192.168.1.8_POSEIDONSQL_APPFVT_01_tblFillRateFechas[[#This Row],[dev_cantidad]]</f>
        <v>1</v>
      </c>
      <c r="M1083" s="1">
        <f>+IF(Tabla__192.168.1.8_POSEIDONSQL_APPFVT_01_tblFillRateFechas[[#This Row],[Cant_Resultante]]=Tabla__192.168.1.8_POSEIDONSQL_APPFVT_01_tblFillRateFechas[[#This Row],[cant_order]],1,0)</f>
        <v>1</v>
      </c>
      <c r="N10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3" s="1">
        <f>+IF(AND(Tabla__192.168.1.8_POSEIDONSQL_APPFVT_01_tblFillRateFechas[[#This Row],[Valida Cant]]=1,Tabla__192.168.1.8_POSEIDONSQL_APPFVT_01_tblFillRateFechas[[#This Row],[Valida Fec]]=1),1,0)</f>
        <v>1</v>
      </c>
      <c r="P1083" s="1">
        <f>+(Tabla__192.168.1.8_POSEIDONSQL_APPFVT_01_tblFillRateFechas[[#This Row],[Cant_Resultante]]/Tabla__192.168.1.8_POSEIDONSQL_APPFVT_01_tblFillRateFechas[[#This Row],[cant_order]])*100</f>
        <v>100</v>
      </c>
      <c r="Q10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3" s="1">
        <f>+IF(Tabla__192.168.1.8_POSEIDONSQL_APPFVT_01_tblFillRateFechas[[#This Row],[cant_order]]&gt;0,1,0)</f>
        <v>1</v>
      </c>
      <c r="V1083" s="1">
        <f>+IF(Tabla__192.168.1.8_POSEIDONSQL_APPFVT_01_tblFillRateFechas[[#This Row],[Resultado]]=1,1,0)</f>
        <v>1</v>
      </c>
      <c r="W1083" s="1" t="str">
        <f>+Tabla__192.168.1.8_POSEIDONSQL_APPFVT_01_tblFillRateFechas[[#This Row],[con_ocnumero]]&amp;Tabla__192.168.1.8_POSEIDONSQL_APPFVT_01_tblFillRateFechas[[#This Row],[con_codigounico]]</f>
        <v>91872930390050000685752460101</v>
      </c>
      <c r="X10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4" spans="1:24" x14ac:dyDescent="0.25">
      <c r="A1084">
        <v>9</v>
      </c>
      <c r="B1084" t="s">
        <v>48</v>
      </c>
      <c r="C1084">
        <v>9187508</v>
      </c>
      <c r="D1084" t="s">
        <v>1975</v>
      </c>
      <c r="E1084" t="s">
        <v>1980</v>
      </c>
      <c r="F1084" t="s">
        <v>1978</v>
      </c>
      <c r="G1084">
        <v>1</v>
      </c>
      <c r="H1084">
        <v>1</v>
      </c>
      <c r="I1084" t="s">
        <v>1980</v>
      </c>
      <c r="J1084">
        <v>0</v>
      </c>
      <c r="K1084" t="s">
        <v>1060</v>
      </c>
      <c r="L1084" s="1">
        <f>+Tabla__192.168.1.8_POSEIDONSQL_APPFVT_01_tblFillRateFechas[[#This Row],[emb_cantidad]]-Tabla__192.168.1.8_POSEIDONSQL_APPFVT_01_tblFillRateFechas[[#This Row],[dev_cantidad]]</f>
        <v>1</v>
      </c>
      <c r="M1084" s="1">
        <f>+IF(Tabla__192.168.1.8_POSEIDONSQL_APPFVT_01_tblFillRateFechas[[#This Row],[Cant_Resultante]]=Tabla__192.168.1.8_POSEIDONSQL_APPFVT_01_tblFillRateFechas[[#This Row],[cant_order]],1,0)</f>
        <v>1</v>
      </c>
      <c r="N10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4" s="1">
        <f>+IF(AND(Tabla__192.168.1.8_POSEIDONSQL_APPFVT_01_tblFillRateFechas[[#This Row],[Valida Cant]]=1,Tabla__192.168.1.8_POSEIDONSQL_APPFVT_01_tblFillRateFechas[[#This Row],[Valida Fec]]=1),1,0)</f>
        <v>1</v>
      </c>
      <c r="P1084" s="1">
        <f>+(Tabla__192.168.1.8_POSEIDONSQL_APPFVT_01_tblFillRateFechas[[#This Row],[Cant_Resultante]]/Tabla__192.168.1.8_POSEIDONSQL_APPFVT_01_tblFillRateFechas[[#This Row],[cant_order]])*100</f>
        <v>100</v>
      </c>
      <c r="Q10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4" s="1">
        <f>+IF(Tabla__192.168.1.8_POSEIDONSQL_APPFVT_01_tblFillRateFechas[[#This Row],[cant_order]]&gt;0,1,0)</f>
        <v>1</v>
      </c>
      <c r="V1084" s="1">
        <f>+IF(Tabla__192.168.1.8_POSEIDONSQL_APPFVT_01_tblFillRateFechas[[#This Row],[Resultado]]=1,1,0)</f>
        <v>1</v>
      </c>
      <c r="W1084" s="1" t="str">
        <f>+Tabla__192.168.1.8_POSEIDONSQL_APPFVT_01_tblFillRateFechas[[#This Row],[con_ocnumero]]&amp;Tabla__192.168.1.8_POSEIDONSQL_APPFVT_01_tblFillRateFechas[[#This Row],[con_codigounico]]</f>
        <v>91875080390050000685869280101</v>
      </c>
      <c r="X10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5" spans="1:24" x14ac:dyDescent="0.25">
      <c r="A1085">
        <v>9</v>
      </c>
      <c r="B1085" t="s">
        <v>48</v>
      </c>
      <c r="C1085">
        <v>9187552</v>
      </c>
      <c r="D1085" t="s">
        <v>1975</v>
      </c>
      <c r="E1085" t="s">
        <v>1971</v>
      </c>
      <c r="F1085" t="s">
        <v>1978</v>
      </c>
      <c r="G1085">
        <v>2</v>
      </c>
      <c r="H1085">
        <v>2</v>
      </c>
      <c r="I1085" t="s">
        <v>1971</v>
      </c>
      <c r="J1085">
        <v>0</v>
      </c>
      <c r="K1085" t="s">
        <v>1054</v>
      </c>
      <c r="L1085" s="1">
        <f>+Tabla__192.168.1.8_POSEIDONSQL_APPFVT_01_tblFillRateFechas[[#This Row],[emb_cantidad]]-Tabla__192.168.1.8_POSEIDONSQL_APPFVT_01_tblFillRateFechas[[#This Row],[dev_cantidad]]</f>
        <v>2</v>
      </c>
      <c r="M1085" s="1">
        <f>+IF(Tabla__192.168.1.8_POSEIDONSQL_APPFVT_01_tblFillRateFechas[[#This Row],[Cant_Resultante]]=Tabla__192.168.1.8_POSEIDONSQL_APPFVT_01_tblFillRateFechas[[#This Row],[cant_order]],1,0)</f>
        <v>1</v>
      </c>
      <c r="N10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5" s="1">
        <f>+IF(AND(Tabla__192.168.1.8_POSEIDONSQL_APPFVT_01_tblFillRateFechas[[#This Row],[Valida Cant]]=1,Tabla__192.168.1.8_POSEIDONSQL_APPFVT_01_tblFillRateFechas[[#This Row],[Valida Fec]]=1),1,0)</f>
        <v>1</v>
      </c>
      <c r="P1085" s="1">
        <f>+(Tabla__192.168.1.8_POSEIDONSQL_APPFVT_01_tblFillRateFechas[[#This Row],[Cant_Resultante]]/Tabla__192.168.1.8_POSEIDONSQL_APPFVT_01_tblFillRateFechas[[#This Row],[cant_order]])*100</f>
        <v>100</v>
      </c>
      <c r="Q10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0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0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5" s="1">
        <f>+IF(Tabla__192.168.1.8_POSEIDONSQL_APPFVT_01_tblFillRateFechas[[#This Row],[cant_order]]&gt;0,1,0)</f>
        <v>1</v>
      </c>
      <c r="V1085" s="1">
        <f>+IF(Tabla__192.168.1.8_POSEIDONSQL_APPFVT_01_tblFillRateFechas[[#This Row],[Resultado]]=1,1,0)</f>
        <v>1</v>
      </c>
      <c r="W1085" s="1" t="str">
        <f>+Tabla__192.168.1.8_POSEIDONSQL_APPFVT_01_tblFillRateFechas[[#This Row],[con_ocnumero]]&amp;Tabla__192.168.1.8_POSEIDONSQL_APPFVT_01_tblFillRateFechas[[#This Row],[con_codigounico]]</f>
        <v>91875520390050000685898320101</v>
      </c>
      <c r="X10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086" spans="1:24" x14ac:dyDescent="0.25">
      <c r="A1086">
        <v>9</v>
      </c>
      <c r="B1086" t="s">
        <v>48</v>
      </c>
      <c r="C1086">
        <v>9187822</v>
      </c>
      <c r="D1086" t="s">
        <v>1978</v>
      </c>
      <c r="E1086" t="s">
        <v>1980</v>
      </c>
      <c r="F1086" t="s">
        <v>1979</v>
      </c>
      <c r="G1086">
        <v>1</v>
      </c>
      <c r="H1086">
        <v>1</v>
      </c>
      <c r="I1086" t="s">
        <v>1980</v>
      </c>
      <c r="J1086">
        <v>0</v>
      </c>
      <c r="K1086" t="s">
        <v>1207</v>
      </c>
      <c r="L1086" s="1">
        <f>+Tabla__192.168.1.8_POSEIDONSQL_APPFVT_01_tblFillRateFechas[[#This Row],[emb_cantidad]]-Tabla__192.168.1.8_POSEIDONSQL_APPFVT_01_tblFillRateFechas[[#This Row],[dev_cantidad]]</f>
        <v>1</v>
      </c>
      <c r="M1086" s="1">
        <f>+IF(Tabla__192.168.1.8_POSEIDONSQL_APPFVT_01_tblFillRateFechas[[#This Row],[Cant_Resultante]]=Tabla__192.168.1.8_POSEIDONSQL_APPFVT_01_tblFillRateFechas[[#This Row],[cant_order]],1,0)</f>
        <v>1</v>
      </c>
      <c r="N10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6" s="1">
        <f>+IF(AND(Tabla__192.168.1.8_POSEIDONSQL_APPFVT_01_tblFillRateFechas[[#This Row],[Valida Cant]]=1,Tabla__192.168.1.8_POSEIDONSQL_APPFVT_01_tblFillRateFechas[[#This Row],[Valida Fec]]=1),1,0)</f>
        <v>1</v>
      </c>
      <c r="P1086" s="1">
        <f>+(Tabla__192.168.1.8_POSEIDONSQL_APPFVT_01_tblFillRateFechas[[#This Row],[Cant_Resultante]]/Tabla__192.168.1.8_POSEIDONSQL_APPFVT_01_tblFillRateFechas[[#This Row],[cant_order]])*100</f>
        <v>100</v>
      </c>
      <c r="Q10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6" s="1">
        <f>+IF(Tabla__192.168.1.8_POSEIDONSQL_APPFVT_01_tblFillRateFechas[[#This Row],[cant_order]]&gt;0,1,0)</f>
        <v>1</v>
      </c>
      <c r="V1086" s="1">
        <f>+IF(Tabla__192.168.1.8_POSEIDONSQL_APPFVT_01_tblFillRateFechas[[#This Row],[Resultado]]=1,1,0)</f>
        <v>1</v>
      </c>
      <c r="W1086" s="1" t="str">
        <f>+Tabla__192.168.1.8_POSEIDONSQL_APPFVT_01_tblFillRateFechas[[#This Row],[con_ocnumero]]&amp;Tabla__192.168.1.8_POSEIDONSQL_APPFVT_01_tblFillRateFechas[[#This Row],[con_codigounico]]</f>
        <v>91878220390050000685930820101</v>
      </c>
      <c r="X10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7" spans="1:24" x14ac:dyDescent="0.25">
      <c r="A1087">
        <v>9</v>
      </c>
      <c r="B1087" t="s">
        <v>48</v>
      </c>
      <c r="C1087">
        <v>9187591</v>
      </c>
      <c r="D1087" t="s">
        <v>1978</v>
      </c>
      <c r="E1087" t="s">
        <v>1962</v>
      </c>
      <c r="F1087" t="s">
        <v>1978</v>
      </c>
      <c r="G1087">
        <v>1</v>
      </c>
      <c r="H1087">
        <v>1</v>
      </c>
      <c r="I1087" t="s">
        <v>1962</v>
      </c>
      <c r="J1087">
        <v>0</v>
      </c>
      <c r="K1087" t="s">
        <v>1215</v>
      </c>
      <c r="L1087" s="1">
        <f>+Tabla__192.168.1.8_POSEIDONSQL_APPFVT_01_tblFillRateFechas[[#This Row],[emb_cantidad]]-Tabla__192.168.1.8_POSEIDONSQL_APPFVT_01_tblFillRateFechas[[#This Row],[dev_cantidad]]</f>
        <v>1</v>
      </c>
      <c r="M1087" s="1">
        <f>+IF(Tabla__192.168.1.8_POSEIDONSQL_APPFVT_01_tblFillRateFechas[[#This Row],[Cant_Resultante]]=Tabla__192.168.1.8_POSEIDONSQL_APPFVT_01_tblFillRateFechas[[#This Row],[cant_order]],1,0)</f>
        <v>1</v>
      </c>
      <c r="N10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7" s="1">
        <f>+IF(AND(Tabla__192.168.1.8_POSEIDONSQL_APPFVT_01_tblFillRateFechas[[#This Row],[Valida Cant]]=1,Tabla__192.168.1.8_POSEIDONSQL_APPFVT_01_tblFillRateFechas[[#This Row],[Valida Fec]]=1),1,0)</f>
        <v>1</v>
      </c>
      <c r="P1087" s="1">
        <f>+(Tabla__192.168.1.8_POSEIDONSQL_APPFVT_01_tblFillRateFechas[[#This Row],[Cant_Resultante]]/Tabla__192.168.1.8_POSEIDONSQL_APPFVT_01_tblFillRateFechas[[#This Row],[cant_order]])*100</f>
        <v>100</v>
      </c>
      <c r="Q10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7" s="1">
        <f>+IF(Tabla__192.168.1.8_POSEIDONSQL_APPFVT_01_tblFillRateFechas[[#This Row],[cant_order]]&gt;0,1,0)</f>
        <v>1</v>
      </c>
      <c r="V1087" s="1">
        <f>+IF(Tabla__192.168.1.8_POSEIDONSQL_APPFVT_01_tblFillRateFechas[[#This Row],[Resultado]]=1,1,0)</f>
        <v>1</v>
      </c>
      <c r="W1087" s="1" t="str">
        <f>+Tabla__192.168.1.8_POSEIDONSQL_APPFVT_01_tblFillRateFechas[[#This Row],[con_ocnumero]]&amp;Tabla__192.168.1.8_POSEIDONSQL_APPFVT_01_tblFillRateFechas[[#This Row],[con_codigounico]]</f>
        <v>91875910390050000685972910101</v>
      </c>
      <c r="X10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8" spans="1:24" x14ac:dyDescent="0.25">
      <c r="A1088">
        <v>9</v>
      </c>
      <c r="B1088" t="s">
        <v>48</v>
      </c>
      <c r="C1088">
        <v>9187591</v>
      </c>
      <c r="D1088" t="s">
        <v>1978</v>
      </c>
      <c r="E1088" t="s">
        <v>1971</v>
      </c>
      <c r="F1088" t="s">
        <v>1978</v>
      </c>
      <c r="G1088">
        <v>1</v>
      </c>
      <c r="H1088">
        <v>1</v>
      </c>
      <c r="I1088" t="s">
        <v>1971</v>
      </c>
      <c r="J1088">
        <v>0</v>
      </c>
      <c r="K1088" t="s">
        <v>1055</v>
      </c>
      <c r="L1088" s="1">
        <f>+Tabla__192.168.1.8_POSEIDONSQL_APPFVT_01_tblFillRateFechas[[#This Row],[emb_cantidad]]-Tabla__192.168.1.8_POSEIDONSQL_APPFVT_01_tblFillRateFechas[[#This Row],[dev_cantidad]]</f>
        <v>1</v>
      </c>
      <c r="M1088" s="1">
        <f>+IF(Tabla__192.168.1.8_POSEIDONSQL_APPFVT_01_tblFillRateFechas[[#This Row],[Cant_Resultante]]=Tabla__192.168.1.8_POSEIDONSQL_APPFVT_01_tblFillRateFechas[[#This Row],[cant_order]],1,0)</f>
        <v>1</v>
      </c>
      <c r="N10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8" s="1">
        <f>+IF(AND(Tabla__192.168.1.8_POSEIDONSQL_APPFVT_01_tblFillRateFechas[[#This Row],[Valida Cant]]=1,Tabla__192.168.1.8_POSEIDONSQL_APPFVT_01_tblFillRateFechas[[#This Row],[Valida Fec]]=1),1,0)</f>
        <v>1</v>
      </c>
      <c r="P1088" s="1">
        <f>+(Tabla__192.168.1.8_POSEIDONSQL_APPFVT_01_tblFillRateFechas[[#This Row],[Cant_Resultante]]/Tabla__192.168.1.8_POSEIDONSQL_APPFVT_01_tblFillRateFechas[[#This Row],[cant_order]])*100</f>
        <v>100</v>
      </c>
      <c r="Q10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8" s="1">
        <f>+IF(Tabla__192.168.1.8_POSEIDONSQL_APPFVT_01_tblFillRateFechas[[#This Row],[cant_order]]&gt;0,1,0)</f>
        <v>1</v>
      </c>
      <c r="V1088" s="1">
        <f>+IF(Tabla__192.168.1.8_POSEIDONSQL_APPFVT_01_tblFillRateFechas[[#This Row],[Resultado]]=1,1,0)</f>
        <v>1</v>
      </c>
      <c r="W1088" s="1" t="str">
        <f>+Tabla__192.168.1.8_POSEIDONSQL_APPFVT_01_tblFillRateFechas[[#This Row],[con_ocnumero]]&amp;Tabla__192.168.1.8_POSEIDONSQL_APPFVT_01_tblFillRateFechas[[#This Row],[con_codigounico]]</f>
        <v>91875910390050000685989090101</v>
      </c>
      <c r="X10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89" spans="1:24" x14ac:dyDescent="0.25">
      <c r="A1089">
        <v>9</v>
      </c>
      <c r="B1089" t="s">
        <v>48</v>
      </c>
      <c r="C1089">
        <v>9187591</v>
      </c>
      <c r="D1089" t="s">
        <v>1978</v>
      </c>
      <c r="E1089" t="s">
        <v>1971</v>
      </c>
      <c r="F1089" t="s">
        <v>1978</v>
      </c>
      <c r="G1089">
        <v>1</v>
      </c>
      <c r="H1089">
        <v>1</v>
      </c>
      <c r="I1089" t="s">
        <v>1971</v>
      </c>
      <c r="J1089">
        <v>0</v>
      </c>
      <c r="K1089" t="s">
        <v>1056</v>
      </c>
      <c r="L1089" s="1">
        <f>+Tabla__192.168.1.8_POSEIDONSQL_APPFVT_01_tblFillRateFechas[[#This Row],[emb_cantidad]]-Tabla__192.168.1.8_POSEIDONSQL_APPFVT_01_tblFillRateFechas[[#This Row],[dev_cantidad]]</f>
        <v>1</v>
      </c>
      <c r="M1089" s="1">
        <f>+IF(Tabla__192.168.1.8_POSEIDONSQL_APPFVT_01_tblFillRateFechas[[#This Row],[Cant_Resultante]]=Tabla__192.168.1.8_POSEIDONSQL_APPFVT_01_tblFillRateFechas[[#This Row],[cant_order]],1,0)</f>
        <v>1</v>
      </c>
      <c r="N10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89" s="1">
        <f>+IF(AND(Tabla__192.168.1.8_POSEIDONSQL_APPFVT_01_tblFillRateFechas[[#This Row],[Valida Cant]]=1,Tabla__192.168.1.8_POSEIDONSQL_APPFVT_01_tblFillRateFechas[[#This Row],[Valida Fec]]=1),1,0)</f>
        <v>1</v>
      </c>
      <c r="P1089" s="1">
        <f>+(Tabla__192.168.1.8_POSEIDONSQL_APPFVT_01_tblFillRateFechas[[#This Row],[Cant_Resultante]]/Tabla__192.168.1.8_POSEIDONSQL_APPFVT_01_tblFillRateFechas[[#This Row],[cant_order]])*100</f>
        <v>100</v>
      </c>
      <c r="Q10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89" s="1">
        <f>+IF(Tabla__192.168.1.8_POSEIDONSQL_APPFVT_01_tblFillRateFechas[[#This Row],[cant_order]]&gt;0,1,0)</f>
        <v>1</v>
      </c>
      <c r="V1089" s="1">
        <f>+IF(Tabla__192.168.1.8_POSEIDONSQL_APPFVT_01_tblFillRateFechas[[#This Row],[Resultado]]=1,1,0)</f>
        <v>1</v>
      </c>
      <c r="W1089" s="1" t="str">
        <f>+Tabla__192.168.1.8_POSEIDONSQL_APPFVT_01_tblFillRateFechas[[#This Row],[con_ocnumero]]&amp;Tabla__192.168.1.8_POSEIDONSQL_APPFVT_01_tblFillRateFechas[[#This Row],[con_codigounico]]</f>
        <v>91875910390050000685993630106</v>
      </c>
      <c r="X10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0" spans="1:24" x14ac:dyDescent="0.25">
      <c r="A1090">
        <v>9</v>
      </c>
      <c r="B1090" t="s">
        <v>48</v>
      </c>
      <c r="C1090">
        <v>9187591</v>
      </c>
      <c r="D1090" t="s">
        <v>1978</v>
      </c>
      <c r="E1090" t="s">
        <v>1980</v>
      </c>
      <c r="F1090" t="s">
        <v>1978</v>
      </c>
      <c r="G1090">
        <v>1</v>
      </c>
      <c r="H1090">
        <v>1</v>
      </c>
      <c r="I1090" t="s">
        <v>1980</v>
      </c>
      <c r="J1090">
        <v>0</v>
      </c>
      <c r="K1090" t="s">
        <v>1064</v>
      </c>
      <c r="L1090" s="1">
        <f>+Tabla__192.168.1.8_POSEIDONSQL_APPFVT_01_tblFillRateFechas[[#This Row],[emb_cantidad]]-Tabla__192.168.1.8_POSEIDONSQL_APPFVT_01_tblFillRateFechas[[#This Row],[dev_cantidad]]</f>
        <v>1</v>
      </c>
      <c r="M1090" s="1">
        <f>+IF(Tabla__192.168.1.8_POSEIDONSQL_APPFVT_01_tblFillRateFechas[[#This Row],[Cant_Resultante]]=Tabla__192.168.1.8_POSEIDONSQL_APPFVT_01_tblFillRateFechas[[#This Row],[cant_order]],1,0)</f>
        <v>1</v>
      </c>
      <c r="N10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0" s="1">
        <f>+IF(AND(Tabla__192.168.1.8_POSEIDONSQL_APPFVT_01_tblFillRateFechas[[#This Row],[Valida Cant]]=1,Tabla__192.168.1.8_POSEIDONSQL_APPFVT_01_tblFillRateFechas[[#This Row],[Valida Fec]]=1),1,0)</f>
        <v>1</v>
      </c>
      <c r="P1090" s="1">
        <f>+(Tabla__192.168.1.8_POSEIDONSQL_APPFVT_01_tblFillRateFechas[[#This Row],[Cant_Resultante]]/Tabla__192.168.1.8_POSEIDONSQL_APPFVT_01_tblFillRateFechas[[#This Row],[cant_order]])*100</f>
        <v>100</v>
      </c>
      <c r="Q10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0" s="1">
        <f>+IF(Tabla__192.168.1.8_POSEIDONSQL_APPFVT_01_tblFillRateFechas[[#This Row],[cant_order]]&gt;0,1,0)</f>
        <v>1</v>
      </c>
      <c r="V1090" s="1">
        <f>+IF(Tabla__192.168.1.8_POSEIDONSQL_APPFVT_01_tblFillRateFechas[[#This Row],[Resultado]]=1,1,0)</f>
        <v>1</v>
      </c>
      <c r="W1090" s="1" t="str">
        <f>+Tabla__192.168.1.8_POSEIDONSQL_APPFVT_01_tblFillRateFechas[[#This Row],[con_ocnumero]]&amp;Tabla__192.168.1.8_POSEIDONSQL_APPFVT_01_tblFillRateFechas[[#This Row],[con_codigounico]]</f>
        <v>91875910390050000686030320101</v>
      </c>
      <c r="X10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1" spans="1:24" x14ac:dyDescent="0.25">
      <c r="A1091">
        <v>9</v>
      </c>
      <c r="B1091" t="s">
        <v>48</v>
      </c>
      <c r="C1091">
        <v>9187661</v>
      </c>
      <c r="D1091" t="s">
        <v>1978</v>
      </c>
      <c r="E1091" t="s">
        <v>1980</v>
      </c>
      <c r="F1091" t="s">
        <v>1979</v>
      </c>
      <c r="G1091">
        <v>1</v>
      </c>
      <c r="H1091">
        <v>1</v>
      </c>
      <c r="I1091" t="s">
        <v>1980</v>
      </c>
      <c r="J1091">
        <v>0</v>
      </c>
      <c r="K1091" t="s">
        <v>1213</v>
      </c>
      <c r="L1091" s="1">
        <f>+Tabla__192.168.1.8_POSEIDONSQL_APPFVT_01_tblFillRateFechas[[#This Row],[emb_cantidad]]-Tabla__192.168.1.8_POSEIDONSQL_APPFVT_01_tblFillRateFechas[[#This Row],[dev_cantidad]]</f>
        <v>1</v>
      </c>
      <c r="M1091" s="1">
        <f>+IF(Tabla__192.168.1.8_POSEIDONSQL_APPFVT_01_tblFillRateFechas[[#This Row],[Cant_Resultante]]=Tabla__192.168.1.8_POSEIDONSQL_APPFVT_01_tblFillRateFechas[[#This Row],[cant_order]],1,0)</f>
        <v>1</v>
      </c>
      <c r="N10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1" s="1">
        <f>+IF(AND(Tabla__192.168.1.8_POSEIDONSQL_APPFVT_01_tblFillRateFechas[[#This Row],[Valida Cant]]=1,Tabla__192.168.1.8_POSEIDONSQL_APPFVT_01_tblFillRateFechas[[#This Row],[Valida Fec]]=1),1,0)</f>
        <v>1</v>
      </c>
      <c r="P1091" s="1">
        <f>+(Tabla__192.168.1.8_POSEIDONSQL_APPFVT_01_tblFillRateFechas[[#This Row],[Cant_Resultante]]/Tabla__192.168.1.8_POSEIDONSQL_APPFVT_01_tblFillRateFechas[[#This Row],[cant_order]])*100</f>
        <v>100</v>
      </c>
      <c r="Q10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1" s="1">
        <f>+IF(Tabla__192.168.1.8_POSEIDONSQL_APPFVT_01_tblFillRateFechas[[#This Row],[cant_order]]&gt;0,1,0)</f>
        <v>1</v>
      </c>
      <c r="V1091" s="1">
        <f>+IF(Tabla__192.168.1.8_POSEIDONSQL_APPFVT_01_tblFillRateFechas[[#This Row],[Resultado]]=1,1,0)</f>
        <v>1</v>
      </c>
      <c r="W1091" s="1" t="str">
        <f>+Tabla__192.168.1.8_POSEIDONSQL_APPFVT_01_tblFillRateFechas[[#This Row],[con_ocnumero]]&amp;Tabla__192.168.1.8_POSEIDONSQL_APPFVT_01_tblFillRateFechas[[#This Row],[con_codigounico]]</f>
        <v>91876610390050000686060540101</v>
      </c>
      <c r="X10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2" spans="1:24" x14ac:dyDescent="0.25">
      <c r="A1092">
        <v>9</v>
      </c>
      <c r="B1092" t="s">
        <v>48</v>
      </c>
      <c r="C1092">
        <v>9187750</v>
      </c>
      <c r="D1092" t="s">
        <v>1978</v>
      </c>
      <c r="E1092" t="s">
        <v>1980</v>
      </c>
      <c r="F1092" t="s">
        <v>1979</v>
      </c>
      <c r="G1092">
        <v>1</v>
      </c>
      <c r="H1092">
        <v>1</v>
      </c>
      <c r="I1092" t="s">
        <v>1980</v>
      </c>
      <c r="J1092">
        <v>0</v>
      </c>
      <c r="K1092" t="s">
        <v>1206</v>
      </c>
      <c r="L1092" s="1">
        <f>+Tabla__192.168.1.8_POSEIDONSQL_APPFVT_01_tblFillRateFechas[[#This Row],[emb_cantidad]]-Tabla__192.168.1.8_POSEIDONSQL_APPFVT_01_tblFillRateFechas[[#This Row],[dev_cantidad]]</f>
        <v>1</v>
      </c>
      <c r="M1092" s="1">
        <f>+IF(Tabla__192.168.1.8_POSEIDONSQL_APPFVT_01_tblFillRateFechas[[#This Row],[Cant_Resultante]]=Tabla__192.168.1.8_POSEIDONSQL_APPFVT_01_tblFillRateFechas[[#This Row],[cant_order]],1,0)</f>
        <v>1</v>
      </c>
      <c r="N10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2" s="1">
        <f>+IF(AND(Tabla__192.168.1.8_POSEIDONSQL_APPFVT_01_tblFillRateFechas[[#This Row],[Valida Cant]]=1,Tabla__192.168.1.8_POSEIDONSQL_APPFVT_01_tblFillRateFechas[[#This Row],[Valida Fec]]=1),1,0)</f>
        <v>1</v>
      </c>
      <c r="P1092" s="1">
        <f>+(Tabla__192.168.1.8_POSEIDONSQL_APPFVT_01_tblFillRateFechas[[#This Row],[Cant_Resultante]]/Tabla__192.168.1.8_POSEIDONSQL_APPFVT_01_tblFillRateFechas[[#This Row],[cant_order]])*100</f>
        <v>100</v>
      </c>
      <c r="Q10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2" s="1">
        <f>+IF(Tabla__192.168.1.8_POSEIDONSQL_APPFVT_01_tblFillRateFechas[[#This Row],[cant_order]]&gt;0,1,0)</f>
        <v>1</v>
      </c>
      <c r="V1092" s="1">
        <f>+IF(Tabla__192.168.1.8_POSEIDONSQL_APPFVT_01_tblFillRateFechas[[#This Row],[Resultado]]=1,1,0)</f>
        <v>1</v>
      </c>
      <c r="W1092" s="1" t="str">
        <f>+Tabla__192.168.1.8_POSEIDONSQL_APPFVT_01_tblFillRateFechas[[#This Row],[con_ocnumero]]&amp;Tabla__192.168.1.8_POSEIDONSQL_APPFVT_01_tblFillRateFechas[[#This Row],[con_codigounico]]</f>
        <v>91877500390050000686112020101</v>
      </c>
      <c r="X10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3" spans="1:24" x14ac:dyDescent="0.25">
      <c r="A1093">
        <v>9</v>
      </c>
      <c r="B1093" t="s">
        <v>48</v>
      </c>
      <c r="C1093">
        <v>9188002</v>
      </c>
      <c r="D1093" t="s">
        <v>1978</v>
      </c>
      <c r="E1093" t="s">
        <v>1980</v>
      </c>
      <c r="F1093" t="s">
        <v>1979</v>
      </c>
      <c r="G1093">
        <v>1</v>
      </c>
      <c r="H1093">
        <v>1</v>
      </c>
      <c r="I1093" t="s">
        <v>1980</v>
      </c>
      <c r="J1093">
        <v>0</v>
      </c>
      <c r="K1093" t="s">
        <v>1209</v>
      </c>
      <c r="L1093" s="1">
        <f>+Tabla__192.168.1.8_POSEIDONSQL_APPFVT_01_tblFillRateFechas[[#This Row],[emb_cantidad]]-Tabla__192.168.1.8_POSEIDONSQL_APPFVT_01_tblFillRateFechas[[#This Row],[dev_cantidad]]</f>
        <v>1</v>
      </c>
      <c r="M1093" s="1">
        <f>+IF(Tabla__192.168.1.8_POSEIDONSQL_APPFVT_01_tblFillRateFechas[[#This Row],[Cant_Resultante]]=Tabla__192.168.1.8_POSEIDONSQL_APPFVT_01_tblFillRateFechas[[#This Row],[cant_order]],1,0)</f>
        <v>1</v>
      </c>
      <c r="N10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3" s="1">
        <f>+IF(AND(Tabla__192.168.1.8_POSEIDONSQL_APPFVT_01_tblFillRateFechas[[#This Row],[Valida Cant]]=1,Tabla__192.168.1.8_POSEIDONSQL_APPFVT_01_tblFillRateFechas[[#This Row],[Valida Fec]]=1),1,0)</f>
        <v>1</v>
      </c>
      <c r="P1093" s="1">
        <f>+(Tabla__192.168.1.8_POSEIDONSQL_APPFVT_01_tblFillRateFechas[[#This Row],[Cant_Resultante]]/Tabla__192.168.1.8_POSEIDONSQL_APPFVT_01_tblFillRateFechas[[#This Row],[cant_order]])*100</f>
        <v>100</v>
      </c>
      <c r="Q10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3" s="1">
        <f>+IF(Tabla__192.168.1.8_POSEIDONSQL_APPFVT_01_tblFillRateFechas[[#This Row],[cant_order]]&gt;0,1,0)</f>
        <v>1</v>
      </c>
      <c r="V1093" s="1">
        <f>+IF(Tabla__192.168.1.8_POSEIDONSQL_APPFVT_01_tblFillRateFechas[[#This Row],[Resultado]]=1,1,0)</f>
        <v>1</v>
      </c>
      <c r="W1093" s="1" t="str">
        <f>+Tabla__192.168.1.8_POSEIDONSQL_APPFVT_01_tblFillRateFechas[[#This Row],[con_ocnumero]]&amp;Tabla__192.168.1.8_POSEIDONSQL_APPFVT_01_tblFillRateFechas[[#This Row],[con_codigounico]]</f>
        <v>91880020390050000686214630101</v>
      </c>
      <c r="X10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4" spans="1:24" x14ac:dyDescent="0.25">
      <c r="A1094">
        <v>9</v>
      </c>
      <c r="B1094" t="s">
        <v>48</v>
      </c>
      <c r="C1094">
        <v>9188118</v>
      </c>
      <c r="D1094" t="s">
        <v>1978</v>
      </c>
      <c r="E1094" t="s">
        <v>1980</v>
      </c>
      <c r="F1094" t="s">
        <v>1979</v>
      </c>
      <c r="G1094">
        <v>1</v>
      </c>
      <c r="H1094">
        <v>1</v>
      </c>
      <c r="I1094" t="s">
        <v>1980</v>
      </c>
      <c r="J1094">
        <v>0</v>
      </c>
      <c r="K1094" t="s">
        <v>1211</v>
      </c>
      <c r="L1094" s="1">
        <f>+Tabla__192.168.1.8_POSEIDONSQL_APPFVT_01_tblFillRateFechas[[#This Row],[emb_cantidad]]-Tabla__192.168.1.8_POSEIDONSQL_APPFVT_01_tblFillRateFechas[[#This Row],[dev_cantidad]]</f>
        <v>1</v>
      </c>
      <c r="M1094" s="1">
        <f>+IF(Tabla__192.168.1.8_POSEIDONSQL_APPFVT_01_tblFillRateFechas[[#This Row],[Cant_Resultante]]=Tabla__192.168.1.8_POSEIDONSQL_APPFVT_01_tblFillRateFechas[[#This Row],[cant_order]],1,0)</f>
        <v>1</v>
      </c>
      <c r="N10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4" s="1">
        <f>+IF(AND(Tabla__192.168.1.8_POSEIDONSQL_APPFVT_01_tblFillRateFechas[[#This Row],[Valida Cant]]=1,Tabla__192.168.1.8_POSEIDONSQL_APPFVT_01_tblFillRateFechas[[#This Row],[Valida Fec]]=1),1,0)</f>
        <v>1</v>
      </c>
      <c r="P1094" s="1">
        <f>+(Tabla__192.168.1.8_POSEIDONSQL_APPFVT_01_tblFillRateFechas[[#This Row],[Cant_Resultante]]/Tabla__192.168.1.8_POSEIDONSQL_APPFVT_01_tblFillRateFechas[[#This Row],[cant_order]])*100</f>
        <v>100</v>
      </c>
      <c r="Q10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4" s="1">
        <f>+IF(Tabla__192.168.1.8_POSEIDONSQL_APPFVT_01_tblFillRateFechas[[#This Row],[cant_order]]&gt;0,1,0)</f>
        <v>1</v>
      </c>
      <c r="V1094" s="1">
        <f>+IF(Tabla__192.168.1.8_POSEIDONSQL_APPFVT_01_tblFillRateFechas[[#This Row],[Resultado]]=1,1,0)</f>
        <v>1</v>
      </c>
      <c r="W1094" s="1" t="str">
        <f>+Tabla__192.168.1.8_POSEIDONSQL_APPFVT_01_tblFillRateFechas[[#This Row],[con_ocnumero]]&amp;Tabla__192.168.1.8_POSEIDONSQL_APPFVT_01_tblFillRateFechas[[#This Row],[con_codigounico]]</f>
        <v>91881180390050000686260870101</v>
      </c>
      <c r="X10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5" spans="1:24" x14ac:dyDescent="0.25">
      <c r="A1095">
        <v>9</v>
      </c>
      <c r="B1095" t="s">
        <v>48</v>
      </c>
      <c r="C1095">
        <v>9188118</v>
      </c>
      <c r="D1095" t="s">
        <v>1978</v>
      </c>
      <c r="E1095" t="s">
        <v>1980</v>
      </c>
      <c r="F1095" t="s">
        <v>1979</v>
      </c>
      <c r="G1095">
        <v>1</v>
      </c>
      <c r="H1095">
        <v>1</v>
      </c>
      <c r="I1095" t="s">
        <v>1980</v>
      </c>
      <c r="J1095">
        <v>0</v>
      </c>
      <c r="K1095" t="s">
        <v>1210</v>
      </c>
      <c r="L1095" s="1">
        <f>+Tabla__192.168.1.8_POSEIDONSQL_APPFVT_01_tblFillRateFechas[[#This Row],[emb_cantidad]]-Tabla__192.168.1.8_POSEIDONSQL_APPFVT_01_tblFillRateFechas[[#This Row],[dev_cantidad]]</f>
        <v>1</v>
      </c>
      <c r="M1095" s="1">
        <f>+IF(Tabla__192.168.1.8_POSEIDONSQL_APPFVT_01_tblFillRateFechas[[#This Row],[Cant_Resultante]]=Tabla__192.168.1.8_POSEIDONSQL_APPFVT_01_tblFillRateFechas[[#This Row],[cant_order]],1,0)</f>
        <v>1</v>
      </c>
      <c r="N10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5" s="1">
        <f>+IF(AND(Tabla__192.168.1.8_POSEIDONSQL_APPFVT_01_tblFillRateFechas[[#This Row],[Valida Cant]]=1,Tabla__192.168.1.8_POSEIDONSQL_APPFVT_01_tblFillRateFechas[[#This Row],[Valida Fec]]=1),1,0)</f>
        <v>1</v>
      </c>
      <c r="P1095" s="1">
        <f>+(Tabla__192.168.1.8_POSEIDONSQL_APPFVT_01_tblFillRateFechas[[#This Row],[Cant_Resultante]]/Tabla__192.168.1.8_POSEIDONSQL_APPFVT_01_tblFillRateFechas[[#This Row],[cant_order]])*100</f>
        <v>100</v>
      </c>
      <c r="Q10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5" s="1">
        <f>+IF(Tabla__192.168.1.8_POSEIDONSQL_APPFVT_01_tblFillRateFechas[[#This Row],[cant_order]]&gt;0,1,0)</f>
        <v>1</v>
      </c>
      <c r="V1095" s="1">
        <f>+IF(Tabla__192.168.1.8_POSEIDONSQL_APPFVT_01_tblFillRateFechas[[#This Row],[Resultado]]=1,1,0)</f>
        <v>1</v>
      </c>
      <c r="W1095" s="1" t="str">
        <f>+Tabla__192.168.1.8_POSEIDONSQL_APPFVT_01_tblFillRateFechas[[#This Row],[con_ocnumero]]&amp;Tabla__192.168.1.8_POSEIDONSQL_APPFVT_01_tblFillRateFechas[[#This Row],[con_codigounico]]</f>
        <v>91881180390050000686265710101</v>
      </c>
      <c r="X10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6" spans="1:24" x14ac:dyDescent="0.25">
      <c r="A1096">
        <v>9</v>
      </c>
      <c r="B1096" t="s">
        <v>48</v>
      </c>
      <c r="C1096">
        <v>9188174</v>
      </c>
      <c r="D1096" t="s">
        <v>1978</v>
      </c>
      <c r="E1096" t="s">
        <v>1980</v>
      </c>
      <c r="F1096" t="s">
        <v>1979</v>
      </c>
      <c r="G1096">
        <v>1</v>
      </c>
      <c r="H1096">
        <v>1</v>
      </c>
      <c r="I1096" t="s">
        <v>1980</v>
      </c>
      <c r="J1096">
        <v>0</v>
      </c>
      <c r="K1096" t="s">
        <v>1212</v>
      </c>
      <c r="L1096" s="1">
        <f>+Tabla__192.168.1.8_POSEIDONSQL_APPFVT_01_tblFillRateFechas[[#This Row],[emb_cantidad]]-Tabla__192.168.1.8_POSEIDONSQL_APPFVT_01_tblFillRateFechas[[#This Row],[dev_cantidad]]</f>
        <v>1</v>
      </c>
      <c r="M1096" s="1">
        <f>+IF(Tabla__192.168.1.8_POSEIDONSQL_APPFVT_01_tblFillRateFechas[[#This Row],[Cant_Resultante]]=Tabla__192.168.1.8_POSEIDONSQL_APPFVT_01_tblFillRateFechas[[#This Row],[cant_order]],1,0)</f>
        <v>1</v>
      </c>
      <c r="N10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6" s="1">
        <f>+IF(AND(Tabla__192.168.1.8_POSEIDONSQL_APPFVT_01_tblFillRateFechas[[#This Row],[Valida Cant]]=1,Tabla__192.168.1.8_POSEIDONSQL_APPFVT_01_tblFillRateFechas[[#This Row],[Valida Fec]]=1),1,0)</f>
        <v>1</v>
      </c>
      <c r="P1096" s="1">
        <f>+(Tabla__192.168.1.8_POSEIDONSQL_APPFVT_01_tblFillRateFechas[[#This Row],[Cant_Resultante]]/Tabla__192.168.1.8_POSEIDONSQL_APPFVT_01_tblFillRateFechas[[#This Row],[cant_order]])*100</f>
        <v>100</v>
      </c>
      <c r="Q10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6" s="1">
        <f>+IF(Tabla__192.168.1.8_POSEIDONSQL_APPFVT_01_tblFillRateFechas[[#This Row],[cant_order]]&gt;0,1,0)</f>
        <v>1</v>
      </c>
      <c r="V1096" s="1">
        <f>+IF(Tabla__192.168.1.8_POSEIDONSQL_APPFVT_01_tblFillRateFechas[[#This Row],[Resultado]]=1,1,0)</f>
        <v>1</v>
      </c>
      <c r="W1096" s="1" t="str">
        <f>+Tabla__192.168.1.8_POSEIDONSQL_APPFVT_01_tblFillRateFechas[[#This Row],[con_ocnumero]]&amp;Tabla__192.168.1.8_POSEIDONSQL_APPFVT_01_tblFillRateFechas[[#This Row],[con_codigounico]]</f>
        <v>91881740390050000686381630101</v>
      </c>
      <c r="X10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7" spans="1:24" x14ac:dyDescent="0.25">
      <c r="A1097">
        <v>9</v>
      </c>
      <c r="B1097" t="s">
        <v>48</v>
      </c>
      <c r="C1097">
        <v>9188174</v>
      </c>
      <c r="D1097" t="s">
        <v>1979</v>
      </c>
      <c r="E1097" t="s">
        <v>1962</v>
      </c>
      <c r="F1097" t="s">
        <v>1979</v>
      </c>
      <c r="G1097">
        <v>1</v>
      </c>
      <c r="H1097">
        <v>1</v>
      </c>
      <c r="I1097" t="s">
        <v>1962</v>
      </c>
      <c r="J1097">
        <v>0</v>
      </c>
      <c r="K1097" t="s">
        <v>1214</v>
      </c>
      <c r="L1097" s="1">
        <f>+Tabla__192.168.1.8_POSEIDONSQL_APPFVT_01_tblFillRateFechas[[#This Row],[emb_cantidad]]-Tabla__192.168.1.8_POSEIDONSQL_APPFVT_01_tblFillRateFechas[[#This Row],[dev_cantidad]]</f>
        <v>1</v>
      </c>
      <c r="M1097" s="1">
        <f>+IF(Tabla__192.168.1.8_POSEIDONSQL_APPFVT_01_tblFillRateFechas[[#This Row],[Cant_Resultante]]=Tabla__192.168.1.8_POSEIDONSQL_APPFVT_01_tblFillRateFechas[[#This Row],[cant_order]],1,0)</f>
        <v>1</v>
      </c>
      <c r="N10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7" s="1">
        <f>+IF(AND(Tabla__192.168.1.8_POSEIDONSQL_APPFVT_01_tblFillRateFechas[[#This Row],[Valida Cant]]=1,Tabla__192.168.1.8_POSEIDONSQL_APPFVT_01_tblFillRateFechas[[#This Row],[Valida Fec]]=1),1,0)</f>
        <v>1</v>
      </c>
      <c r="P1097" s="1">
        <f>+(Tabla__192.168.1.8_POSEIDONSQL_APPFVT_01_tblFillRateFechas[[#This Row],[Cant_Resultante]]/Tabla__192.168.1.8_POSEIDONSQL_APPFVT_01_tblFillRateFechas[[#This Row],[cant_order]])*100</f>
        <v>100</v>
      </c>
      <c r="Q10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7" s="1">
        <f>+IF(Tabla__192.168.1.8_POSEIDONSQL_APPFVT_01_tblFillRateFechas[[#This Row],[cant_order]]&gt;0,1,0)</f>
        <v>1</v>
      </c>
      <c r="V1097" s="1">
        <f>+IF(Tabla__192.168.1.8_POSEIDONSQL_APPFVT_01_tblFillRateFechas[[#This Row],[Resultado]]=1,1,0)</f>
        <v>1</v>
      </c>
      <c r="W1097" s="1" t="str">
        <f>+Tabla__192.168.1.8_POSEIDONSQL_APPFVT_01_tblFillRateFechas[[#This Row],[con_ocnumero]]&amp;Tabla__192.168.1.8_POSEIDONSQL_APPFVT_01_tblFillRateFechas[[#This Row],[con_codigounico]]</f>
        <v>91881740390050000686411090101</v>
      </c>
      <c r="X10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8" spans="1:24" x14ac:dyDescent="0.25">
      <c r="A1098">
        <v>9</v>
      </c>
      <c r="B1098" t="s">
        <v>48</v>
      </c>
      <c r="C1098">
        <v>9188334</v>
      </c>
      <c r="D1098" t="s">
        <v>1979</v>
      </c>
      <c r="E1098" t="s">
        <v>1980</v>
      </c>
      <c r="F1098" t="s">
        <v>1967</v>
      </c>
      <c r="G1098">
        <v>1</v>
      </c>
      <c r="H1098">
        <v>1</v>
      </c>
      <c r="I1098" t="s">
        <v>1980</v>
      </c>
      <c r="J1098">
        <v>0</v>
      </c>
      <c r="K1098" t="s">
        <v>1548</v>
      </c>
      <c r="L1098" s="1">
        <f>+Tabla__192.168.1.8_POSEIDONSQL_APPFVT_01_tblFillRateFechas[[#This Row],[emb_cantidad]]-Tabla__192.168.1.8_POSEIDONSQL_APPFVT_01_tblFillRateFechas[[#This Row],[dev_cantidad]]</f>
        <v>1</v>
      </c>
      <c r="M1098" s="1">
        <f>+IF(Tabla__192.168.1.8_POSEIDONSQL_APPFVT_01_tblFillRateFechas[[#This Row],[Cant_Resultante]]=Tabla__192.168.1.8_POSEIDONSQL_APPFVT_01_tblFillRateFechas[[#This Row],[cant_order]],1,0)</f>
        <v>1</v>
      </c>
      <c r="N10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8" s="1">
        <f>+IF(AND(Tabla__192.168.1.8_POSEIDONSQL_APPFVT_01_tblFillRateFechas[[#This Row],[Valida Cant]]=1,Tabla__192.168.1.8_POSEIDONSQL_APPFVT_01_tblFillRateFechas[[#This Row],[Valida Fec]]=1),1,0)</f>
        <v>1</v>
      </c>
      <c r="P1098" s="1">
        <f>+(Tabla__192.168.1.8_POSEIDONSQL_APPFVT_01_tblFillRateFechas[[#This Row],[Cant_Resultante]]/Tabla__192.168.1.8_POSEIDONSQL_APPFVT_01_tblFillRateFechas[[#This Row],[cant_order]])*100</f>
        <v>100</v>
      </c>
      <c r="Q10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8" s="1">
        <f>+IF(Tabla__192.168.1.8_POSEIDONSQL_APPFVT_01_tblFillRateFechas[[#This Row],[cant_order]]&gt;0,1,0)</f>
        <v>1</v>
      </c>
      <c r="V1098" s="1">
        <f>+IF(Tabla__192.168.1.8_POSEIDONSQL_APPFVT_01_tblFillRateFechas[[#This Row],[Resultado]]=1,1,0)</f>
        <v>1</v>
      </c>
      <c r="W1098" s="1" t="str">
        <f>+Tabla__192.168.1.8_POSEIDONSQL_APPFVT_01_tblFillRateFechas[[#This Row],[con_ocnumero]]&amp;Tabla__192.168.1.8_POSEIDONSQL_APPFVT_01_tblFillRateFechas[[#This Row],[con_codigounico]]</f>
        <v>91883340390050000689558690101</v>
      </c>
      <c r="X10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099" spans="1:24" x14ac:dyDescent="0.25">
      <c r="A1099">
        <v>9</v>
      </c>
      <c r="B1099" t="s">
        <v>48</v>
      </c>
      <c r="C1099">
        <v>9188334</v>
      </c>
      <c r="D1099" t="s">
        <v>1979</v>
      </c>
      <c r="E1099" t="s">
        <v>1962</v>
      </c>
      <c r="F1099" t="s">
        <v>1967</v>
      </c>
      <c r="G1099">
        <v>1</v>
      </c>
      <c r="H1099">
        <v>1</v>
      </c>
      <c r="I1099" t="s">
        <v>1962</v>
      </c>
      <c r="J1099">
        <v>0</v>
      </c>
      <c r="K1099" t="s">
        <v>1551</v>
      </c>
      <c r="L1099" s="1">
        <f>+Tabla__192.168.1.8_POSEIDONSQL_APPFVT_01_tblFillRateFechas[[#This Row],[emb_cantidad]]-Tabla__192.168.1.8_POSEIDONSQL_APPFVT_01_tblFillRateFechas[[#This Row],[dev_cantidad]]</f>
        <v>1</v>
      </c>
      <c r="M1099" s="1">
        <f>+IF(Tabla__192.168.1.8_POSEIDONSQL_APPFVT_01_tblFillRateFechas[[#This Row],[Cant_Resultante]]=Tabla__192.168.1.8_POSEIDONSQL_APPFVT_01_tblFillRateFechas[[#This Row],[cant_order]],1,0)</f>
        <v>1</v>
      </c>
      <c r="N10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099" s="1">
        <f>+IF(AND(Tabla__192.168.1.8_POSEIDONSQL_APPFVT_01_tblFillRateFechas[[#This Row],[Valida Cant]]=1,Tabla__192.168.1.8_POSEIDONSQL_APPFVT_01_tblFillRateFechas[[#This Row],[Valida Fec]]=1),1,0)</f>
        <v>1</v>
      </c>
      <c r="P1099" s="1">
        <f>+(Tabla__192.168.1.8_POSEIDONSQL_APPFVT_01_tblFillRateFechas[[#This Row],[Cant_Resultante]]/Tabla__192.168.1.8_POSEIDONSQL_APPFVT_01_tblFillRateFechas[[#This Row],[cant_order]])*100</f>
        <v>100</v>
      </c>
      <c r="Q10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0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0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0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099" s="1">
        <f>+IF(Tabla__192.168.1.8_POSEIDONSQL_APPFVT_01_tblFillRateFechas[[#This Row],[cant_order]]&gt;0,1,0)</f>
        <v>1</v>
      </c>
      <c r="V1099" s="1">
        <f>+IF(Tabla__192.168.1.8_POSEIDONSQL_APPFVT_01_tblFillRateFechas[[#This Row],[Resultado]]=1,1,0)</f>
        <v>1</v>
      </c>
      <c r="W1099" s="1" t="str">
        <f>+Tabla__192.168.1.8_POSEIDONSQL_APPFVT_01_tblFillRateFechas[[#This Row],[con_ocnumero]]&amp;Tabla__192.168.1.8_POSEIDONSQL_APPFVT_01_tblFillRateFechas[[#This Row],[con_codigounico]]</f>
        <v>91883340390050000689596040101</v>
      </c>
      <c r="X10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0" spans="1:24" x14ac:dyDescent="0.25">
      <c r="A1100">
        <v>9</v>
      </c>
      <c r="B1100" t="s">
        <v>48</v>
      </c>
      <c r="C1100">
        <v>9188368</v>
      </c>
      <c r="D1100" t="s">
        <v>1979</v>
      </c>
      <c r="E1100" t="s">
        <v>1962</v>
      </c>
      <c r="F1100" t="s">
        <v>1967</v>
      </c>
      <c r="G1100">
        <v>1</v>
      </c>
      <c r="H1100">
        <v>1</v>
      </c>
      <c r="I1100" t="s">
        <v>1962</v>
      </c>
      <c r="J1100">
        <v>0</v>
      </c>
      <c r="K1100" t="s">
        <v>1553</v>
      </c>
      <c r="L1100" s="1">
        <f>+Tabla__192.168.1.8_POSEIDONSQL_APPFVT_01_tblFillRateFechas[[#This Row],[emb_cantidad]]-Tabla__192.168.1.8_POSEIDONSQL_APPFVT_01_tblFillRateFechas[[#This Row],[dev_cantidad]]</f>
        <v>1</v>
      </c>
      <c r="M1100" s="1">
        <f>+IF(Tabla__192.168.1.8_POSEIDONSQL_APPFVT_01_tblFillRateFechas[[#This Row],[Cant_Resultante]]=Tabla__192.168.1.8_POSEIDONSQL_APPFVT_01_tblFillRateFechas[[#This Row],[cant_order]],1,0)</f>
        <v>1</v>
      </c>
      <c r="N11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0" s="1">
        <f>+IF(AND(Tabla__192.168.1.8_POSEIDONSQL_APPFVT_01_tblFillRateFechas[[#This Row],[Valida Cant]]=1,Tabla__192.168.1.8_POSEIDONSQL_APPFVT_01_tblFillRateFechas[[#This Row],[Valida Fec]]=1),1,0)</f>
        <v>1</v>
      </c>
      <c r="P1100" s="1">
        <f>+(Tabla__192.168.1.8_POSEIDONSQL_APPFVT_01_tblFillRateFechas[[#This Row],[Cant_Resultante]]/Tabla__192.168.1.8_POSEIDONSQL_APPFVT_01_tblFillRateFechas[[#This Row],[cant_order]])*100</f>
        <v>100</v>
      </c>
      <c r="Q11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0" s="1">
        <f>+IF(Tabla__192.168.1.8_POSEIDONSQL_APPFVT_01_tblFillRateFechas[[#This Row],[cant_order]]&gt;0,1,0)</f>
        <v>1</v>
      </c>
      <c r="V1100" s="1">
        <f>+IF(Tabla__192.168.1.8_POSEIDONSQL_APPFVT_01_tblFillRateFechas[[#This Row],[Resultado]]=1,1,0)</f>
        <v>1</v>
      </c>
      <c r="W1100" s="1" t="str">
        <f>+Tabla__192.168.1.8_POSEIDONSQL_APPFVT_01_tblFillRateFechas[[#This Row],[con_ocnumero]]&amp;Tabla__192.168.1.8_POSEIDONSQL_APPFVT_01_tblFillRateFechas[[#This Row],[con_codigounico]]</f>
        <v>91883680390050000689603780101</v>
      </c>
      <c r="X11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1" spans="1:24" x14ac:dyDescent="0.25">
      <c r="A1101">
        <v>9</v>
      </c>
      <c r="B1101" t="s">
        <v>48</v>
      </c>
      <c r="C1101">
        <v>9188460</v>
      </c>
      <c r="D1101" t="s">
        <v>1979</v>
      </c>
      <c r="E1101" t="s">
        <v>1971</v>
      </c>
      <c r="F1101" t="s">
        <v>1967</v>
      </c>
      <c r="G1101">
        <v>1</v>
      </c>
      <c r="H1101">
        <v>1</v>
      </c>
      <c r="I1101" t="s">
        <v>1971</v>
      </c>
      <c r="J1101">
        <v>0</v>
      </c>
      <c r="K1101" t="s">
        <v>1547</v>
      </c>
      <c r="L1101" s="1">
        <f>+Tabla__192.168.1.8_POSEIDONSQL_APPFVT_01_tblFillRateFechas[[#This Row],[emb_cantidad]]-Tabla__192.168.1.8_POSEIDONSQL_APPFVT_01_tblFillRateFechas[[#This Row],[dev_cantidad]]</f>
        <v>1</v>
      </c>
      <c r="M1101" s="1">
        <f>+IF(Tabla__192.168.1.8_POSEIDONSQL_APPFVT_01_tblFillRateFechas[[#This Row],[Cant_Resultante]]=Tabla__192.168.1.8_POSEIDONSQL_APPFVT_01_tblFillRateFechas[[#This Row],[cant_order]],1,0)</f>
        <v>1</v>
      </c>
      <c r="N11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1" s="1">
        <f>+IF(AND(Tabla__192.168.1.8_POSEIDONSQL_APPFVT_01_tblFillRateFechas[[#This Row],[Valida Cant]]=1,Tabla__192.168.1.8_POSEIDONSQL_APPFVT_01_tblFillRateFechas[[#This Row],[Valida Fec]]=1),1,0)</f>
        <v>1</v>
      </c>
      <c r="P1101" s="1">
        <f>+(Tabla__192.168.1.8_POSEIDONSQL_APPFVT_01_tblFillRateFechas[[#This Row],[Cant_Resultante]]/Tabla__192.168.1.8_POSEIDONSQL_APPFVT_01_tblFillRateFechas[[#This Row],[cant_order]])*100</f>
        <v>100</v>
      </c>
      <c r="Q11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1" s="1">
        <f>+IF(Tabla__192.168.1.8_POSEIDONSQL_APPFVT_01_tblFillRateFechas[[#This Row],[cant_order]]&gt;0,1,0)</f>
        <v>1</v>
      </c>
      <c r="V1101" s="1">
        <f>+IF(Tabla__192.168.1.8_POSEIDONSQL_APPFVT_01_tblFillRateFechas[[#This Row],[Resultado]]=1,1,0)</f>
        <v>1</v>
      </c>
      <c r="W1101" s="1" t="str">
        <f>+Tabla__192.168.1.8_POSEIDONSQL_APPFVT_01_tblFillRateFechas[[#This Row],[con_ocnumero]]&amp;Tabla__192.168.1.8_POSEIDONSQL_APPFVT_01_tblFillRateFechas[[#This Row],[con_codigounico]]</f>
        <v>91884600390050000689672770103</v>
      </c>
      <c r="X11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2" spans="1:24" x14ac:dyDescent="0.25">
      <c r="A1102">
        <v>9</v>
      </c>
      <c r="B1102" t="s">
        <v>48</v>
      </c>
      <c r="C1102">
        <v>9188644</v>
      </c>
      <c r="D1102" t="s">
        <v>1979</v>
      </c>
      <c r="E1102" t="s">
        <v>1980</v>
      </c>
      <c r="F1102" t="s">
        <v>1967</v>
      </c>
      <c r="G1102">
        <v>1</v>
      </c>
      <c r="H1102">
        <v>1</v>
      </c>
      <c r="I1102" t="s">
        <v>1980</v>
      </c>
      <c r="J1102">
        <v>0</v>
      </c>
      <c r="K1102" t="s">
        <v>1549</v>
      </c>
      <c r="L1102" s="1">
        <f>+Tabla__192.168.1.8_POSEIDONSQL_APPFVT_01_tblFillRateFechas[[#This Row],[emb_cantidad]]-Tabla__192.168.1.8_POSEIDONSQL_APPFVT_01_tblFillRateFechas[[#This Row],[dev_cantidad]]</f>
        <v>1</v>
      </c>
      <c r="M1102" s="1">
        <f>+IF(Tabla__192.168.1.8_POSEIDONSQL_APPFVT_01_tblFillRateFechas[[#This Row],[Cant_Resultante]]=Tabla__192.168.1.8_POSEIDONSQL_APPFVT_01_tblFillRateFechas[[#This Row],[cant_order]],1,0)</f>
        <v>1</v>
      </c>
      <c r="N11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2" s="1">
        <f>+IF(AND(Tabla__192.168.1.8_POSEIDONSQL_APPFVT_01_tblFillRateFechas[[#This Row],[Valida Cant]]=1,Tabla__192.168.1.8_POSEIDONSQL_APPFVT_01_tblFillRateFechas[[#This Row],[Valida Fec]]=1),1,0)</f>
        <v>1</v>
      </c>
      <c r="P1102" s="1">
        <f>+(Tabla__192.168.1.8_POSEIDONSQL_APPFVT_01_tblFillRateFechas[[#This Row],[Cant_Resultante]]/Tabla__192.168.1.8_POSEIDONSQL_APPFVT_01_tblFillRateFechas[[#This Row],[cant_order]])*100</f>
        <v>100</v>
      </c>
      <c r="Q11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2" s="1">
        <f>+IF(Tabla__192.168.1.8_POSEIDONSQL_APPFVT_01_tblFillRateFechas[[#This Row],[cant_order]]&gt;0,1,0)</f>
        <v>1</v>
      </c>
      <c r="V1102" s="1">
        <f>+IF(Tabla__192.168.1.8_POSEIDONSQL_APPFVT_01_tblFillRateFechas[[#This Row],[Resultado]]=1,1,0)</f>
        <v>1</v>
      </c>
      <c r="W1102" s="1" t="str">
        <f>+Tabla__192.168.1.8_POSEIDONSQL_APPFVT_01_tblFillRateFechas[[#This Row],[con_ocnumero]]&amp;Tabla__192.168.1.8_POSEIDONSQL_APPFVT_01_tblFillRateFechas[[#This Row],[con_codigounico]]</f>
        <v>91886440390050000689730190101</v>
      </c>
      <c r="X11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3" spans="1:24" x14ac:dyDescent="0.25">
      <c r="A1103">
        <v>9</v>
      </c>
      <c r="B1103" t="s">
        <v>48</v>
      </c>
      <c r="C1103">
        <v>9188762</v>
      </c>
      <c r="D1103" t="s">
        <v>1979</v>
      </c>
      <c r="E1103" t="s">
        <v>160</v>
      </c>
      <c r="F1103" t="s">
        <v>1967</v>
      </c>
      <c r="G1103">
        <v>1</v>
      </c>
      <c r="H1103">
        <v>1</v>
      </c>
      <c r="I1103" t="s">
        <v>160</v>
      </c>
      <c r="J1103">
        <v>0</v>
      </c>
      <c r="K1103" t="s">
        <v>1090</v>
      </c>
      <c r="L1103" s="1">
        <f>+Tabla__192.168.1.8_POSEIDONSQL_APPFVT_01_tblFillRateFechas[[#This Row],[emb_cantidad]]-Tabla__192.168.1.8_POSEIDONSQL_APPFVT_01_tblFillRateFechas[[#This Row],[dev_cantidad]]</f>
        <v>1</v>
      </c>
      <c r="M1103" s="1">
        <f>+IF(Tabla__192.168.1.8_POSEIDONSQL_APPFVT_01_tblFillRateFechas[[#This Row],[Cant_Resultante]]=Tabla__192.168.1.8_POSEIDONSQL_APPFVT_01_tblFillRateFechas[[#This Row],[cant_order]],1,0)</f>
        <v>1</v>
      </c>
      <c r="N11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3" s="1">
        <f>+IF(AND(Tabla__192.168.1.8_POSEIDONSQL_APPFVT_01_tblFillRateFechas[[#This Row],[Valida Cant]]=1,Tabla__192.168.1.8_POSEIDONSQL_APPFVT_01_tblFillRateFechas[[#This Row],[Valida Fec]]=1),1,0)</f>
        <v>1</v>
      </c>
      <c r="P1103" s="1">
        <f>+(Tabla__192.168.1.8_POSEIDONSQL_APPFVT_01_tblFillRateFechas[[#This Row],[Cant_Resultante]]/Tabla__192.168.1.8_POSEIDONSQL_APPFVT_01_tblFillRateFechas[[#This Row],[cant_order]])*100</f>
        <v>100</v>
      </c>
      <c r="Q11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3" s="1">
        <f>+IF(Tabla__192.168.1.8_POSEIDONSQL_APPFVT_01_tblFillRateFechas[[#This Row],[cant_order]]&gt;0,1,0)</f>
        <v>1</v>
      </c>
      <c r="V1103" s="1">
        <f>+IF(Tabla__192.168.1.8_POSEIDONSQL_APPFVT_01_tblFillRateFechas[[#This Row],[Resultado]]=1,1,0)</f>
        <v>1</v>
      </c>
      <c r="W1103" s="1" t="str">
        <f>+Tabla__192.168.1.8_POSEIDONSQL_APPFVT_01_tblFillRateFechas[[#This Row],[con_ocnumero]]&amp;Tabla__192.168.1.8_POSEIDONSQL_APPFVT_01_tblFillRateFechas[[#This Row],[con_codigounico]]</f>
        <v>91887620390050000689836650102</v>
      </c>
      <c r="X11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4" spans="1:24" x14ac:dyDescent="0.25">
      <c r="A1104">
        <v>9</v>
      </c>
      <c r="B1104" t="s">
        <v>48</v>
      </c>
      <c r="C1104">
        <v>9188761</v>
      </c>
      <c r="D1104" t="s">
        <v>1979</v>
      </c>
      <c r="E1104" t="s">
        <v>1980</v>
      </c>
      <c r="F1104" t="s">
        <v>1967</v>
      </c>
      <c r="G1104">
        <v>1</v>
      </c>
      <c r="H1104">
        <v>1</v>
      </c>
      <c r="I1104" t="s">
        <v>1980</v>
      </c>
      <c r="J1104">
        <v>0</v>
      </c>
      <c r="K1104" t="s">
        <v>1550</v>
      </c>
      <c r="L1104" s="1">
        <f>+Tabla__192.168.1.8_POSEIDONSQL_APPFVT_01_tblFillRateFechas[[#This Row],[emb_cantidad]]-Tabla__192.168.1.8_POSEIDONSQL_APPFVT_01_tblFillRateFechas[[#This Row],[dev_cantidad]]</f>
        <v>1</v>
      </c>
      <c r="M1104" s="1">
        <f>+IF(Tabla__192.168.1.8_POSEIDONSQL_APPFVT_01_tblFillRateFechas[[#This Row],[Cant_Resultante]]=Tabla__192.168.1.8_POSEIDONSQL_APPFVT_01_tblFillRateFechas[[#This Row],[cant_order]],1,0)</f>
        <v>1</v>
      </c>
      <c r="N11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4" s="1">
        <f>+IF(AND(Tabla__192.168.1.8_POSEIDONSQL_APPFVT_01_tblFillRateFechas[[#This Row],[Valida Cant]]=1,Tabla__192.168.1.8_POSEIDONSQL_APPFVT_01_tblFillRateFechas[[#This Row],[Valida Fec]]=1),1,0)</f>
        <v>1</v>
      </c>
      <c r="P1104" s="1">
        <f>+(Tabla__192.168.1.8_POSEIDONSQL_APPFVT_01_tblFillRateFechas[[#This Row],[Cant_Resultante]]/Tabla__192.168.1.8_POSEIDONSQL_APPFVT_01_tblFillRateFechas[[#This Row],[cant_order]])*100</f>
        <v>100</v>
      </c>
      <c r="Q11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4" s="1">
        <f>+IF(Tabla__192.168.1.8_POSEIDONSQL_APPFVT_01_tblFillRateFechas[[#This Row],[cant_order]]&gt;0,1,0)</f>
        <v>1</v>
      </c>
      <c r="V1104" s="1">
        <f>+IF(Tabla__192.168.1.8_POSEIDONSQL_APPFVT_01_tblFillRateFechas[[#This Row],[Resultado]]=1,1,0)</f>
        <v>1</v>
      </c>
      <c r="W1104" s="1" t="str">
        <f>+Tabla__192.168.1.8_POSEIDONSQL_APPFVT_01_tblFillRateFechas[[#This Row],[con_ocnumero]]&amp;Tabla__192.168.1.8_POSEIDONSQL_APPFVT_01_tblFillRateFechas[[#This Row],[con_codigounico]]</f>
        <v>91887610390050000689838260101</v>
      </c>
      <c r="X11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5" spans="1:24" x14ac:dyDescent="0.25">
      <c r="A1105">
        <v>9</v>
      </c>
      <c r="B1105" t="s">
        <v>48</v>
      </c>
      <c r="C1105">
        <v>9188773</v>
      </c>
      <c r="D1105" t="s">
        <v>1967</v>
      </c>
      <c r="E1105" t="s">
        <v>1963</v>
      </c>
      <c r="F1105" t="s">
        <v>1967</v>
      </c>
      <c r="G1105">
        <v>1</v>
      </c>
      <c r="H1105">
        <v>1</v>
      </c>
      <c r="I1105" t="s">
        <v>1963</v>
      </c>
      <c r="J1105">
        <v>0</v>
      </c>
      <c r="K1105" t="s">
        <v>768</v>
      </c>
      <c r="L1105" s="1">
        <f>+Tabla__192.168.1.8_POSEIDONSQL_APPFVT_01_tblFillRateFechas[[#This Row],[emb_cantidad]]-Tabla__192.168.1.8_POSEIDONSQL_APPFVT_01_tblFillRateFechas[[#This Row],[dev_cantidad]]</f>
        <v>1</v>
      </c>
      <c r="M1105" s="1">
        <f>+IF(Tabla__192.168.1.8_POSEIDONSQL_APPFVT_01_tblFillRateFechas[[#This Row],[Cant_Resultante]]=Tabla__192.168.1.8_POSEIDONSQL_APPFVT_01_tblFillRateFechas[[#This Row],[cant_order]],1,0)</f>
        <v>1</v>
      </c>
      <c r="N11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5" s="1">
        <f>+IF(AND(Tabla__192.168.1.8_POSEIDONSQL_APPFVT_01_tblFillRateFechas[[#This Row],[Valida Cant]]=1,Tabla__192.168.1.8_POSEIDONSQL_APPFVT_01_tblFillRateFechas[[#This Row],[Valida Fec]]=1),1,0)</f>
        <v>1</v>
      </c>
      <c r="P1105" s="1">
        <f>+(Tabla__192.168.1.8_POSEIDONSQL_APPFVT_01_tblFillRateFechas[[#This Row],[Cant_Resultante]]/Tabla__192.168.1.8_POSEIDONSQL_APPFVT_01_tblFillRateFechas[[#This Row],[cant_order]])*100</f>
        <v>100</v>
      </c>
      <c r="Q11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5" s="1">
        <f>+IF(Tabla__192.168.1.8_POSEIDONSQL_APPFVT_01_tblFillRateFechas[[#This Row],[cant_order]]&gt;0,1,0)</f>
        <v>1</v>
      </c>
      <c r="V1105" s="1">
        <f>+IF(Tabla__192.168.1.8_POSEIDONSQL_APPFVT_01_tblFillRateFechas[[#This Row],[Resultado]]=1,1,0)</f>
        <v>1</v>
      </c>
      <c r="W1105" s="1" t="str">
        <f>+Tabla__192.168.1.8_POSEIDONSQL_APPFVT_01_tblFillRateFechas[[#This Row],[con_ocnumero]]&amp;Tabla__192.168.1.8_POSEIDONSQL_APPFVT_01_tblFillRateFechas[[#This Row],[con_codigounico]]</f>
        <v>91887730390050000689918760101</v>
      </c>
      <c r="X11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6" spans="1:24" x14ac:dyDescent="0.25">
      <c r="A1106">
        <v>9</v>
      </c>
      <c r="B1106" t="s">
        <v>48</v>
      </c>
      <c r="C1106">
        <v>9188836</v>
      </c>
      <c r="D1106" t="s">
        <v>1967</v>
      </c>
      <c r="E1106" t="s">
        <v>1963</v>
      </c>
      <c r="F1106" t="s">
        <v>1967</v>
      </c>
      <c r="G1106">
        <v>1</v>
      </c>
      <c r="H1106">
        <v>1</v>
      </c>
      <c r="I1106" t="s">
        <v>1963</v>
      </c>
      <c r="J1106">
        <v>0</v>
      </c>
      <c r="K1106" t="s">
        <v>769</v>
      </c>
      <c r="L1106" s="1">
        <f>+Tabla__192.168.1.8_POSEIDONSQL_APPFVT_01_tblFillRateFechas[[#This Row],[emb_cantidad]]-Tabla__192.168.1.8_POSEIDONSQL_APPFVT_01_tblFillRateFechas[[#This Row],[dev_cantidad]]</f>
        <v>1</v>
      </c>
      <c r="M1106" s="1">
        <f>+IF(Tabla__192.168.1.8_POSEIDONSQL_APPFVT_01_tblFillRateFechas[[#This Row],[Cant_Resultante]]=Tabla__192.168.1.8_POSEIDONSQL_APPFVT_01_tblFillRateFechas[[#This Row],[cant_order]],1,0)</f>
        <v>1</v>
      </c>
      <c r="N11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6" s="1">
        <f>+IF(AND(Tabla__192.168.1.8_POSEIDONSQL_APPFVT_01_tblFillRateFechas[[#This Row],[Valida Cant]]=1,Tabla__192.168.1.8_POSEIDONSQL_APPFVT_01_tblFillRateFechas[[#This Row],[Valida Fec]]=1),1,0)</f>
        <v>1</v>
      </c>
      <c r="P1106" s="1">
        <f>+(Tabla__192.168.1.8_POSEIDONSQL_APPFVT_01_tblFillRateFechas[[#This Row],[Cant_Resultante]]/Tabla__192.168.1.8_POSEIDONSQL_APPFVT_01_tblFillRateFechas[[#This Row],[cant_order]])*100</f>
        <v>100</v>
      </c>
      <c r="Q11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6" s="1">
        <f>+IF(Tabla__192.168.1.8_POSEIDONSQL_APPFVT_01_tblFillRateFechas[[#This Row],[cant_order]]&gt;0,1,0)</f>
        <v>1</v>
      </c>
      <c r="V1106" s="1">
        <f>+IF(Tabla__192.168.1.8_POSEIDONSQL_APPFVT_01_tblFillRateFechas[[#This Row],[Resultado]]=1,1,0)</f>
        <v>1</v>
      </c>
      <c r="W1106" s="1" t="str">
        <f>+Tabla__192.168.1.8_POSEIDONSQL_APPFVT_01_tblFillRateFechas[[#This Row],[con_ocnumero]]&amp;Tabla__192.168.1.8_POSEIDONSQL_APPFVT_01_tblFillRateFechas[[#This Row],[con_codigounico]]</f>
        <v>91888360390050000689987710101</v>
      </c>
      <c r="X11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7" spans="1:24" x14ac:dyDescent="0.25">
      <c r="A1107">
        <v>9</v>
      </c>
      <c r="B1107" t="s">
        <v>48</v>
      </c>
      <c r="C1107">
        <v>9188858</v>
      </c>
      <c r="D1107" t="s">
        <v>1967</v>
      </c>
      <c r="E1107" t="s">
        <v>1963</v>
      </c>
      <c r="F1107" t="s">
        <v>1968</v>
      </c>
      <c r="G1107">
        <v>1</v>
      </c>
      <c r="H1107">
        <v>1</v>
      </c>
      <c r="I1107" t="s">
        <v>1963</v>
      </c>
      <c r="J1107">
        <v>0</v>
      </c>
      <c r="K1107" t="s">
        <v>770</v>
      </c>
      <c r="L1107" s="1">
        <f>+Tabla__192.168.1.8_POSEIDONSQL_APPFVT_01_tblFillRateFechas[[#This Row],[emb_cantidad]]-Tabla__192.168.1.8_POSEIDONSQL_APPFVT_01_tblFillRateFechas[[#This Row],[dev_cantidad]]</f>
        <v>1</v>
      </c>
      <c r="M1107" s="1">
        <f>+IF(Tabla__192.168.1.8_POSEIDONSQL_APPFVT_01_tblFillRateFechas[[#This Row],[Cant_Resultante]]=Tabla__192.168.1.8_POSEIDONSQL_APPFVT_01_tblFillRateFechas[[#This Row],[cant_order]],1,0)</f>
        <v>1</v>
      </c>
      <c r="N11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7" s="1">
        <f>+IF(AND(Tabla__192.168.1.8_POSEIDONSQL_APPFVT_01_tblFillRateFechas[[#This Row],[Valida Cant]]=1,Tabla__192.168.1.8_POSEIDONSQL_APPFVT_01_tblFillRateFechas[[#This Row],[Valida Fec]]=1),1,0)</f>
        <v>1</v>
      </c>
      <c r="P1107" s="1">
        <f>+(Tabla__192.168.1.8_POSEIDONSQL_APPFVT_01_tblFillRateFechas[[#This Row],[Cant_Resultante]]/Tabla__192.168.1.8_POSEIDONSQL_APPFVT_01_tblFillRateFechas[[#This Row],[cant_order]])*100</f>
        <v>100</v>
      </c>
      <c r="Q11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7" s="1">
        <f>+IF(Tabla__192.168.1.8_POSEIDONSQL_APPFVT_01_tblFillRateFechas[[#This Row],[cant_order]]&gt;0,1,0)</f>
        <v>1</v>
      </c>
      <c r="V1107" s="1">
        <f>+IF(Tabla__192.168.1.8_POSEIDONSQL_APPFVT_01_tblFillRateFechas[[#This Row],[Resultado]]=1,1,0)</f>
        <v>1</v>
      </c>
      <c r="W1107" s="1" t="str">
        <f>+Tabla__192.168.1.8_POSEIDONSQL_APPFVT_01_tblFillRateFechas[[#This Row],[con_ocnumero]]&amp;Tabla__192.168.1.8_POSEIDONSQL_APPFVT_01_tblFillRateFechas[[#This Row],[con_codigounico]]</f>
        <v>91888580390050000690092970101</v>
      </c>
      <c r="X11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8" spans="1:24" x14ac:dyDescent="0.25">
      <c r="A1108">
        <v>9</v>
      </c>
      <c r="B1108" t="s">
        <v>48</v>
      </c>
      <c r="C1108">
        <v>9188933</v>
      </c>
      <c r="D1108" t="s">
        <v>1967</v>
      </c>
      <c r="E1108" t="s">
        <v>1980</v>
      </c>
      <c r="F1108" t="s">
        <v>1968</v>
      </c>
      <c r="G1108">
        <v>1</v>
      </c>
      <c r="H1108">
        <v>1</v>
      </c>
      <c r="I1108" t="s">
        <v>1980</v>
      </c>
      <c r="J1108">
        <v>0</v>
      </c>
      <c r="K1108" t="s">
        <v>1944</v>
      </c>
      <c r="L1108" s="1">
        <f>+Tabla__192.168.1.8_POSEIDONSQL_APPFVT_01_tblFillRateFechas[[#This Row],[emb_cantidad]]-Tabla__192.168.1.8_POSEIDONSQL_APPFVT_01_tblFillRateFechas[[#This Row],[dev_cantidad]]</f>
        <v>1</v>
      </c>
      <c r="M1108" s="1">
        <f>+IF(Tabla__192.168.1.8_POSEIDONSQL_APPFVT_01_tblFillRateFechas[[#This Row],[Cant_Resultante]]=Tabla__192.168.1.8_POSEIDONSQL_APPFVT_01_tblFillRateFechas[[#This Row],[cant_order]],1,0)</f>
        <v>1</v>
      </c>
      <c r="N11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8" s="1">
        <f>+IF(AND(Tabla__192.168.1.8_POSEIDONSQL_APPFVT_01_tblFillRateFechas[[#This Row],[Valida Cant]]=1,Tabla__192.168.1.8_POSEIDONSQL_APPFVT_01_tblFillRateFechas[[#This Row],[Valida Fec]]=1),1,0)</f>
        <v>1</v>
      </c>
      <c r="P1108" s="1">
        <f>+(Tabla__192.168.1.8_POSEIDONSQL_APPFVT_01_tblFillRateFechas[[#This Row],[Cant_Resultante]]/Tabla__192.168.1.8_POSEIDONSQL_APPFVT_01_tblFillRateFechas[[#This Row],[cant_order]])*100</f>
        <v>100</v>
      </c>
      <c r="Q11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8" s="1">
        <f>+IF(Tabla__192.168.1.8_POSEIDONSQL_APPFVT_01_tblFillRateFechas[[#This Row],[cant_order]]&gt;0,1,0)</f>
        <v>1</v>
      </c>
      <c r="V1108" s="1">
        <f>+IF(Tabla__192.168.1.8_POSEIDONSQL_APPFVT_01_tblFillRateFechas[[#This Row],[Resultado]]=1,1,0)</f>
        <v>1</v>
      </c>
      <c r="W1108" s="1" t="str">
        <f>+Tabla__192.168.1.8_POSEIDONSQL_APPFVT_01_tblFillRateFechas[[#This Row],[con_ocnumero]]&amp;Tabla__192.168.1.8_POSEIDONSQL_APPFVT_01_tblFillRateFechas[[#This Row],[con_codigounico]]</f>
        <v>91889330390050000690141000101</v>
      </c>
      <c r="X11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09" spans="1:24" x14ac:dyDescent="0.25">
      <c r="A1109">
        <v>9</v>
      </c>
      <c r="B1109" t="s">
        <v>48</v>
      </c>
      <c r="C1109">
        <v>9188972</v>
      </c>
      <c r="D1109" t="s">
        <v>1967</v>
      </c>
      <c r="E1109" t="s">
        <v>1962</v>
      </c>
      <c r="F1109" t="s">
        <v>1968</v>
      </c>
      <c r="G1109">
        <v>1</v>
      </c>
      <c r="H1109">
        <v>1</v>
      </c>
      <c r="I1109" t="s">
        <v>1962</v>
      </c>
      <c r="J1109">
        <v>0</v>
      </c>
      <c r="K1109" t="s">
        <v>1945</v>
      </c>
      <c r="L1109" s="1">
        <f>+Tabla__192.168.1.8_POSEIDONSQL_APPFVT_01_tblFillRateFechas[[#This Row],[emb_cantidad]]-Tabla__192.168.1.8_POSEIDONSQL_APPFVT_01_tblFillRateFechas[[#This Row],[dev_cantidad]]</f>
        <v>1</v>
      </c>
      <c r="M1109" s="1">
        <f>+IF(Tabla__192.168.1.8_POSEIDONSQL_APPFVT_01_tblFillRateFechas[[#This Row],[Cant_Resultante]]=Tabla__192.168.1.8_POSEIDONSQL_APPFVT_01_tblFillRateFechas[[#This Row],[cant_order]],1,0)</f>
        <v>1</v>
      </c>
      <c r="N11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09" s="1">
        <f>+IF(AND(Tabla__192.168.1.8_POSEIDONSQL_APPFVT_01_tblFillRateFechas[[#This Row],[Valida Cant]]=1,Tabla__192.168.1.8_POSEIDONSQL_APPFVT_01_tblFillRateFechas[[#This Row],[Valida Fec]]=1),1,0)</f>
        <v>1</v>
      </c>
      <c r="P1109" s="1">
        <f>+(Tabla__192.168.1.8_POSEIDONSQL_APPFVT_01_tblFillRateFechas[[#This Row],[Cant_Resultante]]/Tabla__192.168.1.8_POSEIDONSQL_APPFVT_01_tblFillRateFechas[[#This Row],[cant_order]])*100</f>
        <v>100</v>
      </c>
      <c r="Q11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09" s="1">
        <f>+IF(Tabla__192.168.1.8_POSEIDONSQL_APPFVT_01_tblFillRateFechas[[#This Row],[cant_order]]&gt;0,1,0)</f>
        <v>1</v>
      </c>
      <c r="V1109" s="1">
        <f>+IF(Tabla__192.168.1.8_POSEIDONSQL_APPFVT_01_tblFillRateFechas[[#This Row],[Resultado]]=1,1,0)</f>
        <v>1</v>
      </c>
      <c r="W1109" s="1" t="str">
        <f>+Tabla__192.168.1.8_POSEIDONSQL_APPFVT_01_tblFillRateFechas[[#This Row],[con_ocnumero]]&amp;Tabla__192.168.1.8_POSEIDONSQL_APPFVT_01_tblFillRateFechas[[#This Row],[con_codigounico]]</f>
        <v>91889720390050000690206130101</v>
      </c>
      <c r="X11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0" spans="1:24" x14ac:dyDescent="0.25">
      <c r="A1110">
        <v>9</v>
      </c>
      <c r="B1110" t="s">
        <v>48</v>
      </c>
      <c r="C1110">
        <v>9189018</v>
      </c>
      <c r="D1110" t="s">
        <v>1967</v>
      </c>
      <c r="E1110" t="s">
        <v>1980</v>
      </c>
      <c r="F1110" t="s">
        <v>1968</v>
      </c>
      <c r="G1110">
        <v>1</v>
      </c>
      <c r="H1110">
        <v>1</v>
      </c>
      <c r="I1110" t="s">
        <v>1980</v>
      </c>
      <c r="J1110">
        <v>0</v>
      </c>
      <c r="K1110" t="s">
        <v>1940</v>
      </c>
      <c r="L1110" s="1">
        <f>+Tabla__192.168.1.8_POSEIDONSQL_APPFVT_01_tblFillRateFechas[[#This Row],[emb_cantidad]]-Tabla__192.168.1.8_POSEIDONSQL_APPFVT_01_tblFillRateFechas[[#This Row],[dev_cantidad]]</f>
        <v>1</v>
      </c>
      <c r="M1110" s="1">
        <f>+IF(Tabla__192.168.1.8_POSEIDONSQL_APPFVT_01_tblFillRateFechas[[#This Row],[Cant_Resultante]]=Tabla__192.168.1.8_POSEIDONSQL_APPFVT_01_tblFillRateFechas[[#This Row],[cant_order]],1,0)</f>
        <v>1</v>
      </c>
      <c r="N11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0" s="1">
        <f>+IF(AND(Tabla__192.168.1.8_POSEIDONSQL_APPFVT_01_tblFillRateFechas[[#This Row],[Valida Cant]]=1,Tabla__192.168.1.8_POSEIDONSQL_APPFVT_01_tblFillRateFechas[[#This Row],[Valida Fec]]=1),1,0)</f>
        <v>1</v>
      </c>
      <c r="P1110" s="1">
        <f>+(Tabla__192.168.1.8_POSEIDONSQL_APPFVT_01_tblFillRateFechas[[#This Row],[Cant_Resultante]]/Tabla__192.168.1.8_POSEIDONSQL_APPFVT_01_tblFillRateFechas[[#This Row],[cant_order]])*100</f>
        <v>100</v>
      </c>
      <c r="Q11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0" s="1">
        <f>+IF(Tabla__192.168.1.8_POSEIDONSQL_APPFVT_01_tblFillRateFechas[[#This Row],[cant_order]]&gt;0,1,0)</f>
        <v>1</v>
      </c>
      <c r="V1110" s="1">
        <f>+IF(Tabla__192.168.1.8_POSEIDONSQL_APPFVT_01_tblFillRateFechas[[#This Row],[Resultado]]=1,1,0)</f>
        <v>1</v>
      </c>
      <c r="W1110" s="1" t="str">
        <f>+Tabla__192.168.1.8_POSEIDONSQL_APPFVT_01_tblFillRateFechas[[#This Row],[con_ocnumero]]&amp;Tabla__192.168.1.8_POSEIDONSQL_APPFVT_01_tblFillRateFechas[[#This Row],[con_codigounico]]</f>
        <v>91890180390050000690234440101</v>
      </c>
      <c r="X11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1" spans="1:24" x14ac:dyDescent="0.25">
      <c r="A1111">
        <v>9</v>
      </c>
      <c r="B1111" t="s">
        <v>48</v>
      </c>
      <c r="C1111">
        <v>9189123</v>
      </c>
      <c r="D1111" t="s">
        <v>1967</v>
      </c>
      <c r="E1111" t="s">
        <v>160</v>
      </c>
      <c r="F1111" t="s">
        <v>1968</v>
      </c>
      <c r="G1111">
        <v>1</v>
      </c>
      <c r="H1111">
        <v>1</v>
      </c>
      <c r="I1111" t="s">
        <v>160</v>
      </c>
      <c r="J1111">
        <v>0</v>
      </c>
      <c r="K1111" t="s">
        <v>1089</v>
      </c>
      <c r="L1111" s="1">
        <f>+Tabla__192.168.1.8_POSEIDONSQL_APPFVT_01_tblFillRateFechas[[#This Row],[emb_cantidad]]-Tabla__192.168.1.8_POSEIDONSQL_APPFVT_01_tblFillRateFechas[[#This Row],[dev_cantidad]]</f>
        <v>1</v>
      </c>
      <c r="M1111" s="1">
        <f>+IF(Tabla__192.168.1.8_POSEIDONSQL_APPFVT_01_tblFillRateFechas[[#This Row],[Cant_Resultante]]=Tabla__192.168.1.8_POSEIDONSQL_APPFVT_01_tblFillRateFechas[[#This Row],[cant_order]],1,0)</f>
        <v>1</v>
      </c>
      <c r="N11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1" s="1">
        <f>+IF(AND(Tabla__192.168.1.8_POSEIDONSQL_APPFVT_01_tblFillRateFechas[[#This Row],[Valida Cant]]=1,Tabla__192.168.1.8_POSEIDONSQL_APPFVT_01_tblFillRateFechas[[#This Row],[Valida Fec]]=1),1,0)</f>
        <v>1</v>
      </c>
      <c r="P1111" s="1">
        <f>+(Tabla__192.168.1.8_POSEIDONSQL_APPFVT_01_tblFillRateFechas[[#This Row],[Cant_Resultante]]/Tabla__192.168.1.8_POSEIDONSQL_APPFVT_01_tblFillRateFechas[[#This Row],[cant_order]])*100</f>
        <v>100</v>
      </c>
      <c r="Q11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1" s="1">
        <f>+IF(Tabla__192.168.1.8_POSEIDONSQL_APPFVT_01_tblFillRateFechas[[#This Row],[cant_order]]&gt;0,1,0)</f>
        <v>1</v>
      </c>
      <c r="V1111" s="1">
        <f>+IF(Tabla__192.168.1.8_POSEIDONSQL_APPFVT_01_tblFillRateFechas[[#This Row],[Resultado]]=1,1,0)</f>
        <v>1</v>
      </c>
      <c r="W1111" s="1" t="str">
        <f>+Tabla__192.168.1.8_POSEIDONSQL_APPFVT_01_tblFillRateFechas[[#This Row],[con_ocnumero]]&amp;Tabla__192.168.1.8_POSEIDONSQL_APPFVT_01_tblFillRateFechas[[#This Row],[con_codigounico]]</f>
        <v>91891230390050000690350150102</v>
      </c>
      <c r="X11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2" spans="1:24" x14ac:dyDescent="0.25">
      <c r="A1112">
        <v>9</v>
      </c>
      <c r="B1112" t="s">
        <v>48</v>
      </c>
      <c r="C1112">
        <v>9189296</v>
      </c>
      <c r="D1112" t="s">
        <v>1967</v>
      </c>
      <c r="E1112" t="s">
        <v>1980</v>
      </c>
      <c r="F1112" t="s">
        <v>1968</v>
      </c>
      <c r="G1112">
        <v>1</v>
      </c>
      <c r="H1112">
        <v>1</v>
      </c>
      <c r="I1112" t="s">
        <v>1980</v>
      </c>
      <c r="J1112">
        <v>0</v>
      </c>
      <c r="K1112" t="s">
        <v>1942</v>
      </c>
      <c r="L1112" s="1">
        <f>+Tabla__192.168.1.8_POSEIDONSQL_APPFVT_01_tblFillRateFechas[[#This Row],[emb_cantidad]]-Tabla__192.168.1.8_POSEIDONSQL_APPFVT_01_tblFillRateFechas[[#This Row],[dev_cantidad]]</f>
        <v>1</v>
      </c>
      <c r="M1112" s="1">
        <f>+IF(Tabla__192.168.1.8_POSEIDONSQL_APPFVT_01_tblFillRateFechas[[#This Row],[Cant_Resultante]]=Tabla__192.168.1.8_POSEIDONSQL_APPFVT_01_tblFillRateFechas[[#This Row],[cant_order]],1,0)</f>
        <v>1</v>
      </c>
      <c r="N11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2" s="1">
        <f>+IF(AND(Tabla__192.168.1.8_POSEIDONSQL_APPFVT_01_tblFillRateFechas[[#This Row],[Valida Cant]]=1,Tabla__192.168.1.8_POSEIDONSQL_APPFVT_01_tblFillRateFechas[[#This Row],[Valida Fec]]=1),1,0)</f>
        <v>1</v>
      </c>
      <c r="P1112" s="1">
        <f>+(Tabla__192.168.1.8_POSEIDONSQL_APPFVT_01_tblFillRateFechas[[#This Row],[Cant_Resultante]]/Tabla__192.168.1.8_POSEIDONSQL_APPFVT_01_tblFillRateFechas[[#This Row],[cant_order]])*100</f>
        <v>100</v>
      </c>
      <c r="Q11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2" s="1">
        <f>+IF(Tabla__192.168.1.8_POSEIDONSQL_APPFVT_01_tblFillRateFechas[[#This Row],[cant_order]]&gt;0,1,0)</f>
        <v>1</v>
      </c>
      <c r="V1112" s="1">
        <f>+IF(Tabla__192.168.1.8_POSEIDONSQL_APPFVT_01_tblFillRateFechas[[#This Row],[Resultado]]=1,1,0)</f>
        <v>1</v>
      </c>
      <c r="W1112" s="1" t="str">
        <f>+Tabla__192.168.1.8_POSEIDONSQL_APPFVT_01_tblFillRateFechas[[#This Row],[con_ocnumero]]&amp;Tabla__192.168.1.8_POSEIDONSQL_APPFVT_01_tblFillRateFechas[[#This Row],[con_codigounico]]</f>
        <v>91892960390050000690444630101</v>
      </c>
      <c r="X11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3" spans="1:24" x14ac:dyDescent="0.25">
      <c r="A1113">
        <v>9</v>
      </c>
      <c r="B1113" t="s">
        <v>48</v>
      </c>
      <c r="C1113">
        <v>9189296</v>
      </c>
      <c r="D1113" t="s">
        <v>1968</v>
      </c>
      <c r="E1113" t="s">
        <v>1963</v>
      </c>
      <c r="F1113" t="s">
        <v>1968</v>
      </c>
      <c r="G1113">
        <v>1</v>
      </c>
      <c r="H1113">
        <v>1</v>
      </c>
      <c r="I1113" t="s">
        <v>1963</v>
      </c>
      <c r="J1113">
        <v>0</v>
      </c>
      <c r="K1113" t="s">
        <v>766</v>
      </c>
      <c r="L1113" s="1">
        <f>+Tabla__192.168.1.8_POSEIDONSQL_APPFVT_01_tblFillRateFechas[[#This Row],[emb_cantidad]]-Tabla__192.168.1.8_POSEIDONSQL_APPFVT_01_tblFillRateFechas[[#This Row],[dev_cantidad]]</f>
        <v>1</v>
      </c>
      <c r="M1113" s="1">
        <f>+IF(Tabla__192.168.1.8_POSEIDONSQL_APPFVT_01_tblFillRateFechas[[#This Row],[Cant_Resultante]]=Tabla__192.168.1.8_POSEIDONSQL_APPFVT_01_tblFillRateFechas[[#This Row],[cant_order]],1,0)</f>
        <v>1</v>
      </c>
      <c r="N11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3" s="1">
        <f>+IF(AND(Tabla__192.168.1.8_POSEIDONSQL_APPFVT_01_tblFillRateFechas[[#This Row],[Valida Cant]]=1,Tabla__192.168.1.8_POSEIDONSQL_APPFVT_01_tblFillRateFechas[[#This Row],[Valida Fec]]=1),1,0)</f>
        <v>1</v>
      </c>
      <c r="P1113" s="1">
        <f>+(Tabla__192.168.1.8_POSEIDONSQL_APPFVT_01_tblFillRateFechas[[#This Row],[Cant_Resultante]]/Tabla__192.168.1.8_POSEIDONSQL_APPFVT_01_tblFillRateFechas[[#This Row],[cant_order]])*100</f>
        <v>100</v>
      </c>
      <c r="Q11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3" s="1">
        <f>+IF(Tabla__192.168.1.8_POSEIDONSQL_APPFVT_01_tblFillRateFechas[[#This Row],[cant_order]]&gt;0,1,0)</f>
        <v>1</v>
      </c>
      <c r="V1113" s="1">
        <f>+IF(Tabla__192.168.1.8_POSEIDONSQL_APPFVT_01_tblFillRateFechas[[#This Row],[Resultado]]=1,1,0)</f>
        <v>1</v>
      </c>
      <c r="W1113" s="1" t="str">
        <f>+Tabla__192.168.1.8_POSEIDONSQL_APPFVT_01_tblFillRateFechas[[#This Row],[con_ocnumero]]&amp;Tabla__192.168.1.8_POSEIDONSQL_APPFVT_01_tblFillRateFechas[[#This Row],[con_codigounico]]</f>
        <v>91892960390050000690490070105</v>
      </c>
      <c r="X11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4" spans="1:24" x14ac:dyDescent="0.25">
      <c r="A1114">
        <v>9</v>
      </c>
      <c r="B1114" t="s">
        <v>48</v>
      </c>
      <c r="C1114">
        <v>9189296</v>
      </c>
      <c r="D1114" t="s">
        <v>1968</v>
      </c>
      <c r="E1114" t="s">
        <v>1980</v>
      </c>
      <c r="F1114" t="s">
        <v>1968</v>
      </c>
      <c r="G1114">
        <v>1</v>
      </c>
      <c r="H1114">
        <v>1</v>
      </c>
      <c r="I1114" t="s">
        <v>1980</v>
      </c>
      <c r="J1114">
        <v>0</v>
      </c>
      <c r="K1114" t="s">
        <v>1943</v>
      </c>
      <c r="L1114" s="1">
        <f>+Tabla__192.168.1.8_POSEIDONSQL_APPFVT_01_tblFillRateFechas[[#This Row],[emb_cantidad]]-Tabla__192.168.1.8_POSEIDONSQL_APPFVT_01_tblFillRateFechas[[#This Row],[dev_cantidad]]</f>
        <v>1</v>
      </c>
      <c r="M1114" s="1">
        <f>+IF(Tabla__192.168.1.8_POSEIDONSQL_APPFVT_01_tblFillRateFechas[[#This Row],[Cant_Resultante]]=Tabla__192.168.1.8_POSEIDONSQL_APPFVT_01_tblFillRateFechas[[#This Row],[cant_order]],1,0)</f>
        <v>1</v>
      </c>
      <c r="N11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4" s="1">
        <f>+IF(AND(Tabla__192.168.1.8_POSEIDONSQL_APPFVT_01_tblFillRateFechas[[#This Row],[Valida Cant]]=1,Tabla__192.168.1.8_POSEIDONSQL_APPFVT_01_tblFillRateFechas[[#This Row],[Valida Fec]]=1),1,0)</f>
        <v>1</v>
      </c>
      <c r="P1114" s="1">
        <f>+(Tabla__192.168.1.8_POSEIDONSQL_APPFVT_01_tblFillRateFechas[[#This Row],[Cant_Resultante]]/Tabla__192.168.1.8_POSEIDONSQL_APPFVT_01_tblFillRateFechas[[#This Row],[cant_order]])*100</f>
        <v>100</v>
      </c>
      <c r="Q11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4" s="1">
        <f>+IF(Tabla__192.168.1.8_POSEIDONSQL_APPFVT_01_tblFillRateFechas[[#This Row],[cant_order]]&gt;0,1,0)</f>
        <v>1</v>
      </c>
      <c r="V1114" s="1">
        <f>+IF(Tabla__192.168.1.8_POSEIDONSQL_APPFVT_01_tblFillRateFechas[[#This Row],[Resultado]]=1,1,0)</f>
        <v>1</v>
      </c>
      <c r="W1114" s="1" t="str">
        <f>+Tabla__192.168.1.8_POSEIDONSQL_APPFVT_01_tblFillRateFechas[[#This Row],[con_ocnumero]]&amp;Tabla__192.168.1.8_POSEIDONSQL_APPFVT_01_tblFillRateFechas[[#This Row],[con_codigounico]]</f>
        <v>91892960390050000690511680101</v>
      </c>
      <c r="X11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5" spans="1:24" x14ac:dyDescent="0.25">
      <c r="A1115">
        <v>9</v>
      </c>
      <c r="B1115" t="s">
        <v>48</v>
      </c>
      <c r="C1115">
        <v>9190215</v>
      </c>
      <c r="D1115" t="s">
        <v>1981</v>
      </c>
      <c r="E1115" t="s">
        <v>1962</v>
      </c>
      <c r="F1115" t="s">
        <v>1971</v>
      </c>
      <c r="G1115">
        <v>1</v>
      </c>
      <c r="H1115">
        <v>1</v>
      </c>
      <c r="I1115" t="s">
        <v>1962</v>
      </c>
      <c r="J1115">
        <v>0</v>
      </c>
      <c r="K1115" t="s">
        <v>733</v>
      </c>
      <c r="L1115" s="1">
        <f>+Tabla__192.168.1.8_POSEIDONSQL_APPFVT_01_tblFillRateFechas[[#This Row],[emb_cantidad]]-Tabla__192.168.1.8_POSEIDONSQL_APPFVT_01_tblFillRateFechas[[#This Row],[dev_cantidad]]</f>
        <v>1</v>
      </c>
      <c r="M1115" s="1">
        <f>+IF(Tabla__192.168.1.8_POSEIDONSQL_APPFVT_01_tblFillRateFechas[[#This Row],[Cant_Resultante]]=Tabla__192.168.1.8_POSEIDONSQL_APPFVT_01_tblFillRateFechas[[#This Row],[cant_order]],1,0)</f>
        <v>1</v>
      </c>
      <c r="N11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5" s="1">
        <f>+IF(AND(Tabla__192.168.1.8_POSEIDONSQL_APPFVT_01_tblFillRateFechas[[#This Row],[Valida Cant]]=1,Tabla__192.168.1.8_POSEIDONSQL_APPFVT_01_tblFillRateFechas[[#This Row],[Valida Fec]]=1),1,0)</f>
        <v>1</v>
      </c>
      <c r="P1115" s="1">
        <f>+(Tabla__192.168.1.8_POSEIDONSQL_APPFVT_01_tblFillRateFechas[[#This Row],[Cant_Resultante]]/Tabla__192.168.1.8_POSEIDONSQL_APPFVT_01_tblFillRateFechas[[#This Row],[cant_order]])*100</f>
        <v>100</v>
      </c>
      <c r="Q11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5" s="1">
        <f>+IF(Tabla__192.168.1.8_POSEIDONSQL_APPFVT_01_tblFillRateFechas[[#This Row],[cant_order]]&gt;0,1,0)</f>
        <v>1</v>
      </c>
      <c r="V1115" s="1">
        <f>+IF(Tabla__192.168.1.8_POSEIDONSQL_APPFVT_01_tblFillRateFechas[[#This Row],[Resultado]]=1,1,0)</f>
        <v>1</v>
      </c>
      <c r="W1115" s="1" t="str">
        <f>+Tabla__192.168.1.8_POSEIDONSQL_APPFVT_01_tblFillRateFechas[[#This Row],[con_ocnumero]]&amp;Tabla__192.168.1.8_POSEIDONSQL_APPFVT_01_tblFillRateFechas[[#This Row],[con_codigounico]]</f>
        <v>91902150390050000690584090101</v>
      </c>
      <c r="X11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6" spans="1:24" x14ac:dyDescent="0.25">
      <c r="A1116">
        <v>9</v>
      </c>
      <c r="B1116" t="s">
        <v>48</v>
      </c>
      <c r="C1116">
        <v>9189454</v>
      </c>
      <c r="D1116" t="s">
        <v>1968</v>
      </c>
      <c r="E1116" t="s">
        <v>1963</v>
      </c>
      <c r="F1116" t="s">
        <v>1971</v>
      </c>
      <c r="G1116">
        <v>1</v>
      </c>
      <c r="H1116">
        <v>1</v>
      </c>
      <c r="I1116" t="s">
        <v>1963</v>
      </c>
      <c r="J1116">
        <v>0</v>
      </c>
      <c r="K1116" t="s">
        <v>767</v>
      </c>
      <c r="L1116" s="1">
        <f>+Tabla__192.168.1.8_POSEIDONSQL_APPFVT_01_tblFillRateFechas[[#This Row],[emb_cantidad]]-Tabla__192.168.1.8_POSEIDONSQL_APPFVT_01_tblFillRateFechas[[#This Row],[dev_cantidad]]</f>
        <v>1</v>
      </c>
      <c r="M1116" s="1">
        <f>+IF(Tabla__192.168.1.8_POSEIDONSQL_APPFVT_01_tblFillRateFechas[[#This Row],[Cant_Resultante]]=Tabla__192.168.1.8_POSEIDONSQL_APPFVT_01_tblFillRateFechas[[#This Row],[cant_order]],1,0)</f>
        <v>1</v>
      </c>
      <c r="N11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6" s="1">
        <f>+IF(AND(Tabla__192.168.1.8_POSEIDONSQL_APPFVT_01_tblFillRateFechas[[#This Row],[Valida Cant]]=1,Tabla__192.168.1.8_POSEIDONSQL_APPFVT_01_tblFillRateFechas[[#This Row],[Valida Fec]]=1),1,0)</f>
        <v>1</v>
      </c>
      <c r="P1116" s="1">
        <f>+(Tabla__192.168.1.8_POSEIDONSQL_APPFVT_01_tblFillRateFechas[[#This Row],[Cant_Resultante]]/Tabla__192.168.1.8_POSEIDONSQL_APPFVT_01_tblFillRateFechas[[#This Row],[cant_order]])*100</f>
        <v>100</v>
      </c>
      <c r="Q11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6" s="1">
        <f>+IF(Tabla__192.168.1.8_POSEIDONSQL_APPFVT_01_tblFillRateFechas[[#This Row],[cant_order]]&gt;0,1,0)</f>
        <v>1</v>
      </c>
      <c r="V1116" s="1">
        <f>+IF(Tabla__192.168.1.8_POSEIDONSQL_APPFVT_01_tblFillRateFechas[[#This Row],[Resultado]]=1,1,0)</f>
        <v>1</v>
      </c>
      <c r="W1116" s="1" t="str">
        <f>+Tabla__192.168.1.8_POSEIDONSQL_APPFVT_01_tblFillRateFechas[[#This Row],[con_ocnumero]]&amp;Tabla__192.168.1.8_POSEIDONSQL_APPFVT_01_tblFillRateFechas[[#This Row],[con_codigounico]]</f>
        <v>91894540390050000690732330101</v>
      </c>
      <c r="X11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7" spans="1:24" x14ac:dyDescent="0.25">
      <c r="A1117">
        <v>9</v>
      </c>
      <c r="B1117" t="s">
        <v>48</v>
      </c>
      <c r="C1117">
        <v>9189454</v>
      </c>
      <c r="D1117" t="s">
        <v>1968</v>
      </c>
      <c r="E1117" t="s">
        <v>1962</v>
      </c>
      <c r="F1117" t="s">
        <v>1971</v>
      </c>
      <c r="G1117">
        <v>1</v>
      </c>
      <c r="H1117">
        <v>1</v>
      </c>
      <c r="I1117" t="s">
        <v>1962</v>
      </c>
      <c r="J1117">
        <v>0</v>
      </c>
      <c r="K1117" t="s">
        <v>749</v>
      </c>
      <c r="L1117" s="1">
        <f>+Tabla__192.168.1.8_POSEIDONSQL_APPFVT_01_tblFillRateFechas[[#This Row],[emb_cantidad]]-Tabla__192.168.1.8_POSEIDONSQL_APPFVT_01_tblFillRateFechas[[#This Row],[dev_cantidad]]</f>
        <v>1</v>
      </c>
      <c r="M1117" s="1">
        <f>+IF(Tabla__192.168.1.8_POSEIDONSQL_APPFVT_01_tblFillRateFechas[[#This Row],[Cant_Resultante]]=Tabla__192.168.1.8_POSEIDONSQL_APPFVT_01_tblFillRateFechas[[#This Row],[cant_order]],1,0)</f>
        <v>1</v>
      </c>
      <c r="N11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7" s="1">
        <f>+IF(AND(Tabla__192.168.1.8_POSEIDONSQL_APPFVT_01_tblFillRateFechas[[#This Row],[Valida Cant]]=1,Tabla__192.168.1.8_POSEIDONSQL_APPFVT_01_tblFillRateFechas[[#This Row],[Valida Fec]]=1),1,0)</f>
        <v>1</v>
      </c>
      <c r="P1117" s="1">
        <f>+(Tabla__192.168.1.8_POSEIDONSQL_APPFVT_01_tblFillRateFechas[[#This Row],[Cant_Resultante]]/Tabla__192.168.1.8_POSEIDONSQL_APPFVT_01_tblFillRateFechas[[#This Row],[cant_order]])*100</f>
        <v>100</v>
      </c>
      <c r="Q11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7" s="1">
        <f>+IF(Tabla__192.168.1.8_POSEIDONSQL_APPFVT_01_tblFillRateFechas[[#This Row],[cant_order]]&gt;0,1,0)</f>
        <v>1</v>
      </c>
      <c r="V1117" s="1">
        <f>+IF(Tabla__192.168.1.8_POSEIDONSQL_APPFVT_01_tblFillRateFechas[[#This Row],[Resultado]]=1,1,0)</f>
        <v>1</v>
      </c>
      <c r="W1117" s="1" t="str">
        <f>+Tabla__192.168.1.8_POSEIDONSQL_APPFVT_01_tblFillRateFechas[[#This Row],[con_ocnumero]]&amp;Tabla__192.168.1.8_POSEIDONSQL_APPFVT_01_tblFillRateFechas[[#This Row],[con_codigounico]]</f>
        <v>91894540390050000690735470101</v>
      </c>
      <c r="X11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8" spans="1:24" x14ac:dyDescent="0.25">
      <c r="A1118">
        <v>9</v>
      </c>
      <c r="B1118" t="s">
        <v>48</v>
      </c>
      <c r="C1118">
        <v>9189482</v>
      </c>
      <c r="D1118" t="s">
        <v>1968</v>
      </c>
      <c r="E1118" t="s">
        <v>1962</v>
      </c>
      <c r="F1118" t="s">
        <v>1971</v>
      </c>
      <c r="G1118">
        <v>1</v>
      </c>
      <c r="H1118">
        <v>1</v>
      </c>
      <c r="I1118" t="s">
        <v>1962</v>
      </c>
      <c r="J1118">
        <v>0</v>
      </c>
      <c r="K1118" t="s">
        <v>745</v>
      </c>
      <c r="L1118" s="1">
        <f>+Tabla__192.168.1.8_POSEIDONSQL_APPFVT_01_tblFillRateFechas[[#This Row],[emb_cantidad]]-Tabla__192.168.1.8_POSEIDONSQL_APPFVT_01_tblFillRateFechas[[#This Row],[dev_cantidad]]</f>
        <v>1</v>
      </c>
      <c r="M1118" s="1">
        <f>+IF(Tabla__192.168.1.8_POSEIDONSQL_APPFVT_01_tblFillRateFechas[[#This Row],[Cant_Resultante]]=Tabla__192.168.1.8_POSEIDONSQL_APPFVT_01_tblFillRateFechas[[#This Row],[cant_order]],1,0)</f>
        <v>1</v>
      </c>
      <c r="N11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8" s="1">
        <f>+IF(AND(Tabla__192.168.1.8_POSEIDONSQL_APPFVT_01_tblFillRateFechas[[#This Row],[Valida Cant]]=1,Tabla__192.168.1.8_POSEIDONSQL_APPFVT_01_tblFillRateFechas[[#This Row],[Valida Fec]]=1),1,0)</f>
        <v>1</v>
      </c>
      <c r="P1118" s="1">
        <f>+(Tabla__192.168.1.8_POSEIDONSQL_APPFVT_01_tblFillRateFechas[[#This Row],[Cant_Resultante]]/Tabla__192.168.1.8_POSEIDONSQL_APPFVT_01_tblFillRateFechas[[#This Row],[cant_order]])*100</f>
        <v>100</v>
      </c>
      <c r="Q11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8" s="1">
        <f>+IF(Tabla__192.168.1.8_POSEIDONSQL_APPFVT_01_tblFillRateFechas[[#This Row],[cant_order]]&gt;0,1,0)</f>
        <v>1</v>
      </c>
      <c r="V1118" s="1">
        <f>+IF(Tabla__192.168.1.8_POSEIDONSQL_APPFVT_01_tblFillRateFechas[[#This Row],[Resultado]]=1,1,0)</f>
        <v>1</v>
      </c>
      <c r="W1118" s="1" t="str">
        <f>+Tabla__192.168.1.8_POSEIDONSQL_APPFVT_01_tblFillRateFechas[[#This Row],[con_ocnumero]]&amp;Tabla__192.168.1.8_POSEIDONSQL_APPFVT_01_tblFillRateFechas[[#This Row],[con_codigounico]]</f>
        <v>91894820390050000690743060101</v>
      </c>
      <c r="X11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19" spans="1:24" x14ac:dyDescent="0.25">
      <c r="A1119">
        <v>9</v>
      </c>
      <c r="B1119" t="s">
        <v>48</v>
      </c>
      <c r="C1119">
        <v>9189539</v>
      </c>
      <c r="D1119" t="s">
        <v>1968</v>
      </c>
      <c r="E1119" t="s">
        <v>160</v>
      </c>
      <c r="F1119" t="s">
        <v>1971</v>
      </c>
      <c r="G1119">
        <v>1</v>
      </c>
      <c r="H1119">
        <v>1</v>
      </c>
      <c r="I1119" t="s">
        <v>160</v>
      </c>
      <c r="J1119">
        <v>0</v>
      </c>
      <c r="K1119" t="s">
        <v>1087</v>
      </c>
      <c r="L1119" s="1">
        <f>+Tabla__192.168.1.8_POSEIDONSQL_APPFVT_01_tblFillRateFechas[[#This Row],[emb_cantidad]]-Tabla__192.168.1.8_POSEIDONSQL_APPFVT_01_tblFillRateFechas[[#This Row],[dev_cantidad]]</f>
        <v>1</v>
      </c>
      <c r="M1119" s="1">
        <f>+IF(Tabla__192.168.1.8_POSEIDONSQL_APPFVT_01_tblFillRateFechas[[#This Row],[Cant_Resultante]]=Tabla__192.168.1.8_POSEIDONSQL_APPFVT_01_tblFillRateFechas[[#This Row],[cant_order]],1,0)</f>
        <v>1</v>
      </c>
      <c r="N11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19" s="1">
        <f>+IF(AND(Tabla__192.168.1.8_POSEIDONSQL_APPFVT_01_tblFillRateFechas[[#This Row],[Valida Cant]]=1,Tabla__192.168.1.8_POSEIDONSQL_APPFVT_01_tblFillRateFechas[[#This Row],[Valida Fec]]=1),1,0)</f>
        <v>1</v>
      </c>
      <c r="P1119" s="1">
        <f>+(Tabla__192.168.1.8_POSEIDONSQL_APPFVT_01_tblFillRateFechas[[#This Row],[Cant_Resultante]]/Tabla__192.168.1.8_POSEIDONSQL_APPFVT_01_tblFillRateFechas[[#This Row],[cant_order]])*100</f>
        <v>100</v>
      </c>
      <c r="Q11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19" s="1">
        <f>+IF(Tabla__192.168.1.8_POSEIDONSQL_APPFVT_01_tblFillRateFechas[[#This Row],[cant_order]]&gt;0,1,0)</f>
        <v>1</v>
      </c>
      <c r="V1119" s="1">
        <f>+IF(Tabla__192.168.1.8_POSEIDONSQL_APPFVT_01_tblFillRateFechas[[#This Row],[Resultado]]=1,1,0)</f>
        <v>1</v>
      </c>
      <c r="W1119" s="1" t="str">
        <f>+Tabla__192.168.1.8_POSEIDONSQL_APPFVT_01_tblFillRateFechas[[#This Row],[con_ocnumero]]&amp;Tabla__192.168.1.8_POSEIDONSQL_APPFVT_01_tblFillRateFechas[[#This Row],[con_codigounico]]</f>
        <v>91895390390050000690818270101</v>
      </c>
      <c r="X11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0" spans="1:24" x14ac:dyDescent="0.25">
      <c r="A1120">
        <v>9</v>
      </c>
      <c r="B1120" t="s">
        <v>48</v>
      </c>
      <c r="C1120">
        <v>9189539</v>
      </c>
      <c r="D1120" t="s">
        <v>1968</v>
      </c>
      <c r="E1120" t="s">
        <v>1963</v>
      </c>
      <c r="F1120" t="s">
        <v>1971</v>
      </c>
      <c r="G1120">
        <v>1</v>
      </c>
      <c r="H1120">
        <v>1</v>
      </c>
      <c r="I1120" t="s">
        <v>1963</v>
      </c>
      <c r="J1120">
        <v>0</v>
      </c>
      <c r="K1120" t="s">
        <v>765</v>
      </c>
      <c r="L1120" s="1">
        <f>+Tabla__192.168.1.8_POSEIDONSQL_APPFVT_01_tblFillRateFechas[[#This Row],[emb_cantidad]]-Tabla__192.168.1.8_POSEIDONSQL_APPFVT_01_tblFillRateFechas[[#This Row],[dev_cantidad]]</f>
        <v>1</v>
      </c>
      <c r="M1120" s="1">
        <f>+IF(Tabla__192.168.1.8_POSEIDONSQL_APPFVT_01_tblFillRateFechas[[#This Row],[Cant_Resultante]]=Tabla__192.168.1.8_POSEIDONSQL_APPFVT_01_tblFillRateFechas[[#This Row],[cant_order]],1,0)</f>
        <v>1</v>
      </c>
      <c r="N11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0" s="1">
        <f>+IF(AND(Tabla__192.168.1.8_POSEIDONSQL_APPFVT_01_tblFillRateFechas[[#This Row],[Valida Cant]]=1,Tabla__192.168.1.8_POSEIDONSQL_APPFVT_01_tblFillRateFechas[[#This Row],[Valida Fec]]=1),1,0)</f>
        <v>1</v>
      </c>
      <c r="P1120" s="1">
        <f>+(Tabla__192.168.1.8_POSEIDONSQL_APPFVT_01_tblFillRateFechas[[#This Row],[Cant_Resultante]]/Tabla__192.168.1.8_POSEIDONSQL_APPFVT_01_tblFillRateFechas[[#This Row],[cant_order]])*100</f>
        <v>100</v>
      </c>
      <c r="Q11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0" s="1">
        <f>+IF(Tabla__192.168.1.8_POSEIDONSQL_APPFVT_01_tblFillRateFechas[[#This Row],[cant_order]]&gt;0,1,0)</f>
        <v>1</v>
      </c>
      <c r="V1120" s="1">
        <f>+IF(Tabla__192.168.1.8_POSEIDONSQL_APPFVT_01_tblFillRateFechas[[#This Row],[Resultado]]=1,1,0)</f>
        <v>1</v>
      </c>
      <c r="W1120" s="1" t="str">
        <f>+Tabla__192.168.1.8_POSEIDONSQL_APPFVT_01_tblFillRateFechas[[#This Row],[con_ocnumero]]&amp;Tabla__192.168.1.8_POSEIDONSQL_APPFVT_01_tblFillRateFechas[[#This Row],[con_codigounico]]</f>
        <v>91895390390050000690837380103</v>
      </c>
      <c r="X11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1" spans="1:24" x14ac:dyDescent="0.25">
      <c r="A1121">
        <v>9</v>
      </c>
      <c r="B1121" t="s">
        <v>48</v>
      </c>
      <c r="C1121">
        <v>9189711</v>
      </c>
      <c r="D1121" t="s">
        <v>1968</v>
      </c>
      <c r="E1121" t="s">
        <v>1962</v>
      </c>
      <c r="F1121" t="s">
        <v>1971</v>
      </c>
      <c r="G1121">
        <v>1</v>
      </c>
      <c r="H1121">
        <v>1</v>
      </c>
      <c r="I1121" t="s">
        <v>1962</v>
      </c>
      <c r="J1121">
        <v>0</v>
      </c>
      <c r="K1121" t="s">
        <v>747</v>
      </c>
      <c r="L1121" s="1">
        <f>+Tabla__192.168.1.8_POSEIDONSQL_APPFVT_01_tblFillRateFechas[[#This Row],[emb_cantidad]]-Tabla__192.168.1.8_POSEIDONSQL_APPFVT_01_tblFillRateFechas[[#This Row],[dev_cantidad]]</f>
        <v>1</v>
      </c>
      <c r="M1121" s="1">
        <f>+IF(Tabla__192.168.1.8_POSEIDONSQL_APPFVT_01_tblFillRateFechas[[#This Row],[Cant_Resultante]]=Tabla__192.168.1.8_POSEIDONSQL_APPFVT_01_tblFillRateFechas[[#This Row],[cant_order]],1,0)</f>
        <v>1</v>
      </c>
      <c r="N11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1" s="1">
        <f>+IF(AND(Tabla__192.168.1.8_POSEIDONSQL_APPFVT_01_tblFillRateFechas[[#This Row],[Valida Cant]]=1,Tabla__192.168.1.8_POSEIDONSQL_APPFVT_01_tblFillRateFechas[[#This Row],[Valida Fec]]=1),1,0)</f>
        <v>1</v>
      </c>
      <c r="P1121" s="1">
        <f>+(Tabla__192.168.1.8_POSEIDONSQL_APPFVT_01_tblFillRateFechas[[#This Row],[Cant_Resultante]]/Tabla__192.168.1.8_POSEIDONSQL_APPFVT_01_tblFillRateFechas[[#This Row],[cant_order]])*100</f>
        <v>100</v>
      </c>
      <c r="Q11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1" s="1">
        <f>+IF(Tabla__192.168.1.8_POSEIDONSQL_APPFVT_01_tblFillRateFechas[[#This Row],[cant_order]]&gt;0,1,0)</f>
        <v>1</v>
      </c>
      <c r="V1121" s="1">
        <f>+IF(Tabla__192.168.1.8_POSEIDONSQL_APPFVT_01_tblFillRateFechas[[#This Row],[Resultado]]=1,1,0)</f>
        <v>1</v>
      </c>
      <c r="W1121" s="1" t="str">
        <f>+Tabla__192.168.1.8_POSEIDONSQL_APPFVT_01_tblFillRateFechas[[#This Row],[con_ocnumero]]&amp;Tabla__192.168.1.8_POSEIDONSQL_APPFVT_01_tblFillRateFechas[[#This Row],[con_codigounico]]</f>
        <v>91897110390050000690928380101</v>
      </c>
      <c r="X11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2" spans="1:24" x14ac:dyDescent="0.25">
      <c r="A1122">
        <v>9</v>
      </c>
      <c r="B1122" t="s">
        <v>48</v>
      </c>
      <c r="C1122">
        <v>9189791</v>
      </c>
      <c r="D1122" t="s">
        <v>1968</v>
      </c>
      <c r="E1122" t="s">
        <v>1962</v>
      </c>
      <c r="F1122" t="s">
        <v>1971</v>
      </c>
      <c r="G1122">
        <v>1</v>
      </c>
      <c r="H1122">
        <v>1</v>
      </c>
      <c r="I1122" t="s">
        <v>1962</v>
      </c>
      <c r="J1122">
        <v>0</v>
      </c>
      <c r="K1122" t="s">
        <v>739</v>
      </c>
      <c r="L1122" s="1">
        <f>+Tabla__192.168.1.8_POSEIDONSQL_APPFVT_01_tblFillRateFechas[[#This Row],[emb_cantidad]]-Tabla__192.168.1.8_POSEIDONSQL_APPFVT_01_tblFillRateFechas[[#This Row],[dev_cantidad]]</f>
        <v>1</v>
      </c>
      <c r="M1122" s="1">
        <f>+IF(Tabla__192.168.1.8_POSEIDONSQL_APPFVT_01_tblFillRateFechas[[#This Row],[Cant_Resultante]]=Tabla__192.168.1.8_POSEIDONSQL_APPFVT_01_tblFillRateFechas[[#This Row],[cant_order]],1,0)</f>
        <v>1</v>
      </c>
      <c r="N11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2" s="1">
        <f>+IF(AND(Tabla__192.168.1.8_POSEIDONSQL_APPFVT_01_tblFillRateFechas[[#This Row],[Valida Cant]]=1,Tabla__192.168.1.8_POSEIDONSQL_APPFVT_01_tblFillRateFechas[[#This Row],[Valida Fec]]=1),1,0)</f>
        <v>1</v>
      </c>
      <c r="P1122" s="1">
        <f>+(Tabla__192.168.1.8_POSEIDONSQL_APPFVT_01_tblFillRateFechas[[#This Row],[Cant_Resultante]]/Tabla__192.168.1.8_POSEIDONSQL_APPFVT_01_tblFillRateFechas[[#This Row],[cant_order]])*100</f>
        <v>100</v>
      </c>
      <c r="Q11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2" s="1">
        <f>+IF(Tabla__192.168.1.8_POSEIDONSQL_APPFVT_01_tblFillRateFechas[[#This Row],[cant_order]]&gt;0,1,0)</f>
        <v>1</v>
      </c>
      <c r="V1122" s="1">
        <f>+IF(Tabla__192.168.1.8_POSEIDONSQL_APPFVT_01_tblFillRateFechas[[#This Row],[Resultado]]=1,1,0)</f>
        <v>1</v>
      </c>
      <c r="W1122" s="1" t="str">
        <f>+Tabla__192.168.1.8_POSEIDONSQL_APPFVT_01_tblFillRateFechas[[#This Row],[con_ocnumero]]&amp;Tabla__192.168.1.8_POSEIDONSQL_APPFVT_01_tblFillRateFechas[[#This Row],[con_codigounico]]</f>
        <v>91897910390050000690974210101</v>
      </c>
      <c r="X11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3" spans="1:24" x14ac:dyDescent="0.25">
      <c r="A1123">
        <v>9</v>
      </c>
      <c r="B1123" t="s">
        <v>48</v>
      </c>
      <c r="C1123">
        <v>9189841</v>
      </c>
      <c r="D1123" t="s">
        <v>1981</v>
      </c>
      <c r="E1123" t="s">
        <v>1962</v>
      </c>
      <c r="F1123" t="s">
        <v>1971</v>
      </c>
      <c r="G1123">
        <v>1</v>
      </c>
      <c r="H1123">
        <v>1</v>
      </c>
      <c r="I1123" t="s">
        <v>1962</v>
      </c>
      <c r="J1123">
        <v>0</v>
      </c>
      <c r="K1123" t="s">
        <v>740</v>
      </c>
      <c r="L1123" s="1">
        <f>+Tabla__192.168.1.8_POSEIDONSQL_APPFVT_01_tblFillRateFechas[[#This Row],[emb_cantidad]]-Tabla__192.168.1.8_POSEIDONSQL_APPFVT_01_tblFillRateFechas[[#This Row],[dev_cantidad]]</f>
        <v>1</v>
      </c>
      <c r="M1123" s="1">
        <f>+IF(Tabla__192.168.1.8_POSEIDONSQL_APPFVT_01_tblFillRateFechas[[#This Row],[Cant_Resultante]]=Tabla__192.168.1.8_POSEIDONSQL_APPFVT_01_tblFillRateFechas[[#This Row],[cant_order]],1,0)</f>
        <v>1</v>
      </c>
      <c r="N11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3" s="1">
        <f>+IF(AND(Tabla__192.168.1.8_POSEIDONSQL_APPFVT_01_tblFillRateFechas[[#This Row],[Valida Cant]]=1,Tabla__192.168.1.8_POSEIDONSQL_APPFVT_01_tblFillRateFechas[[#This Row],[Valida Fec]]=1),1,0)</f>
        <v>1</v>
      </c>
      <c r="P1123" s="1">
        <f>+(Tabla__192.168.1.8_POSEIDONSQL_APPFVT_01_tblFillRateFechas[[#This Row],[Cant_Resultante]]/Tabla__192.168.1.8_POSEIDONSQL_APPFVT_01_tblFillRateFechas[[#This Row],[cant_order]])*100</f>
        <v>100</v>
      </c>
      <c r="Q11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3" s="1">
        <f>+IF(Tabla__192.168.1.8_POSEIDONSQL_APPFVT_01_tblFillRateFechas[[#This Row],[cant_order]]&gt;0,1,0)</f>
        <v>1</v>
      </c>
      <c r="V1123" s="1">
        <f>+IF(Tabla__192.168.1.8_POSEIDONSQL_APPFVT_01_tblFillRateFechas[[#This Row],[Resultado]]=1,1,0)</f>
        <v>1</v>
      </c>
      <c r="W1123" s="1" t="str">
        <f>+Tabla__192.168.1.8_POSEIDONSQL_APPFVT_01_tblFillRateFechas[[#This Row],[con_ocnumero]]&amp;Tabla__192.168.1.8_POSEIDONSQL_APPFVT_01_tblFillRateFechas[[#This Row],[con_codigounico]]</f>
        <v>91898410390050000691010710101</v>
      </c>
      <c r="X11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4" spans="1:24" x14ac:dyDescent="0.25">
      <c r="A1124">
        <v>9</v>
      </c>
      <c r="B1124" t="s">
        <v>48</v>
      </c>
      <c r="C1124">
        <v>9189841</v>
      </c>
      <c r="D1124" t="s">
        <v>1981</v>
      </c>
      <c r="E1124" t="s">
        <v>1962</v>
      </c>
      <c r="F1124" t="s">
        <v>1971</v>
      </c>
      <c r="G1124">
        <v>1</v>
      </c>
      <c r="H1124">
        <v>1</v>
      </c>
      <c r="I1124" t="s">
        <v>1962</v>
      </c>
      <c r="J1124">
        <v>0</v>
      </c>
      <c r="K1124" t="s">
        <v>742</v>
      </c>
      <c r="L1124" s="1">
        <f>+Tabla__192.168.1.8_POSEIDONSQL_APPFVT_01_tblFillRateFechas[[#This Row],[emb_cantidad]]-Tabla__192.168.1.8_POSEIDONSQL_APPFVT_01_tblFillRateFechas[[#This Row],[dev_cantidad]]</f>
        <v>1</v>
      </c>
      <c r="M1124" s="1">
        <f>+IF(Tabla__192.168.1.8_POSEIDONSQL_APPFVT_01_tblFillRateFechas[[#This Row],[Cant_Resultante]]=Tabla__192.168.1.8_POSEIDONSQL_APPFVT_01_tblFillRateFechas[[#This Row],[cant_order]],1,0)</f>
        <v>1</v>
      </c>
      <c r="N11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4" s="1">
        <f>+IF(AND(Tabla__192.168.1.8_POSEIDONSQL_APPFVT_01_tblFillRateFechas[[#This Row],[Valida Cant]]=1,Tabla__192.168.1.8_POSEIDONSQL_APPFVT_01_tblFillRateFechas[[#This Row],[Valida Fec]]=1),1,0)</f>
        <v>1</v>
      </c>
      <c r="P1124" s="1">
        <f>+(Tabla__192.168.1.8_POSEIDONSQL_APPFVT_01_tblFillRateFechas[[#This Row],[Cant_Resultante]]/Tabla__192.168.1.8_POSEIDONSQL_APPFVT_01_tblFillRateFechas[[#This Row],[cant_order]])*100</f>
        <v>100</v>
      </c>
      <c r="Q11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4" s="1">
        <f>+IF(Tabla__192.168.1.8_POSEIDONSQL_APPFVT_01_tblFillRateFechas[[#This Row],[cant_order]]&gt;0,1,0)</f>
        <v>1</v>
      </c>
      <c r="V1124" s="1">
        <f>+IF(Tabla__192.168.1.8_POSEIDONSQL_APPFVT_01_tblFillRateFechas[[#This Row],[Resultado]]=1,1,0)</f>
        <v>1</v>
      </c>
      <c r="W1124" s="1" t="str">
        <f>+Tabla__192.168.1.8_POSEIDONSQL_APPFVT_01_tblFillRateFechas[[#This Row],[con_ocnumero]]&amp;Tabla__192.168.1.8_POSEIDONSQL_APPFVT_01_tblFillRateFechas[[#This Row],[con_codigounico]]</f>
        <v>91898410390050000691046030101</v>
      </c>
      <c r="X11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5" spans="1:24" x14ac:dyDescent="0.25">
      <c r="A1125">
        <v>9</v>
      </c>
      <c r="B1125" t="s">
        <v>48</v>
      </c>
      <c r="C1125">
        <v>9189841</v>
      </c>
      <c r="D1125" t="s">
        <v>1981</v>
      </c>
      <c r="E1125" t="s">
        <v>1962</v>
      </c>
      <c r="F1125" t="s">
        <v>1971</v>
      </c>
      <c r="G1125">
        <v>1</v>
      </c>
      <c r="H1125">
        <v>1</v>
      </c>
      <c r="I1125" t="s">
        <v>1962</v>
      </c>
      <c r="J1125">
        <v>0</v>
      </c>
      <c r="K1125" t="s">
        <v>741</v>
      </c>
      <c r="L1125" s="1">
        <f>+Tabla__192.168.1.8_POSEIDONSQL_APPFVT_01_tblFillRateFechas[[#This Row],[emb_cantidad]]-Tabla__192.168.1.8_POSEIDONSQL_APPFVT_01_tblFillRateFechas[[#This Row],[dev_cantidad]]</f>
        <v>1</v>
      </c>
      <c r="M1125" s="1">
        <f>+IF(Tabla__192.168.1.8_POSEIDONSQL_APPFVT_01_tblFillRateFechas[[#This Row],[Cant_Resultante]]=Tabla__192.168.1.8_POSEIDONSQL_APPFVT_01_tblFillRateFechas[[#This Row],[cant_order]],1,0)</f>
        <v>1</v>
      </c>
      <c r="N11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5" s="1">
        <f>+IF(AND(Tabla__192.168.1.8_POSEIDONSQL_APPFVT_01_tblFillRateFechas[[#This Row],[Valida Cant]]=1,Tabla__192.168.1.8_POSEIDONSQL_APPFVT_01_tblFillRateFechas[[#This Row],[Valida Fec]]=1),1,0)</f>
        <v>1</v>
      </c>
      <c r="P1125" s="1">
        <f>+(Tabla__192.168.1.8_POSEIDONSQL_APPFVT_01_tblFillRateFechas[[#This Row],[Cant_Resultante]]/Tabla__192.168.1.8_POSEIDONSQL_APPFVT_01_tblFillRateFechas[[#This Row],[cant_order]])*100</f>
        <v>100</v>
      </c>
      <c r="Q11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5" s="1">
        <f>+IF(Tabla__192.168.1.8_POSEIDONSQL_APPFVT_01_tblFillRateFechas[[#This Row],[cant_order]]&gt;0,1,0)</f>
        <v>1</v>
      </c>
      <c r="V1125" s="1">
        <f>+IF(Tabla__192.168.1.8_POSEIDONSQL_APPFVT_01_tblFillRateFechas[[#This Row],[Resultado]]=1,1,0)</f>
        <v>1</v>
      </c>
      <c r="W1125" s="1" t="str">
        <f>+Tabla__192.168.1.8_POSEIDONSQL_APPFVT_01_tblFillRateFechas[[#This Row],[con_ocnumero]]&amp;Tabla__192.168.1.8_POSEIDONSQL_APPFVT_01_tblFillRateFechas[[#This Row],[con_codigounico]]</f>
        <v>91898410390050000691046640103</v>
      </c>
      <c r="X11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6" spans="1:24" x14ac:dyDescent="0.25">
      <c r="A1126">
        <v>9</v>
      </c>
      <c r="B1126" t="s">
        <v>48</v>
      </c>
      <c r="C1126">
        <v>9189912</v>
      </c>
      <c r="D1126" t="s">
        <v>1981</v>
      </c>
      <c r="E1126" t="s">
        <v>1962</v>
      </c>
      <c r="F1126" t="s">
        <v>1971</v>
      </c>
      <c r="G1126">
        <v>1</v>
      </c>
      <c r="H1126">
        <v>1</v>
      </c>
      <c r="I1126" t="s">
        <v>1962</v>
      </c>
      <c r="J1126">
        <v>0</v>
      </c>
      <c r="K1126" t="s">
        <v>743</v>
      </c>
      <c r="L1126" s="1">
        <f>+Tabla__192.168.1.8_POSEIDONSQL_APPFVT_01_tblFillRateFechas[[#This Row],[emb_cantidad]]-Tabla__192.168.1.8_POSEIDONSQL_APPFVT_01_tblFillRateFechas[[#This Row],[dev_cantidad]]</f>
        <v>1</v>
      </c>
      <c r="M1126" s="1">
        <f>+IF(Tabla__192.168.1.8_POSEIDONSQL_APPFVT_01_tblFillRateFechas[[#This Row],[Cant_Resultante]]=Tabla__192.168.1.8_POSEIDONSQL_APPFVT_01_tblFillRateFechas[[#This Row],[cant_order]],1,0)</f>
        <v>1</v>
      </c>
      <c r="N11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6" s="1">
        <f>+IF(AND(Tabla__192.168.1.8_POSEIDONSQL_APPFVT_01_tblFillRateFechas[[#This Row],[Valida Cant]]=1,Tabla__192.168.1.8_POSEIDONSQL_APPFVT_01_tblFillRateFechas[[#This Row],[Valida Fec]]=1),1,0)</f>
        <v>1</v>
      </c>
      <c r="P1126" s="1">
        <f>+(Tabla__192.168.1.8_POSEIDONSQL_APPFVT_01_tblFillRateFechas[[#This Row],[Cant_Resultante]]/Tabla__192.168.1.8_POSEIDONSQL_APPFVT_01_tblFillRateFechas[[#This Row],[cant_order]])*100</f>
        <v>100</v>
      </c>
      <c r="Q11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6" s="1">
        <f>+IF(Tabla__192.168.1.8_POSEIDONSQL_APPFVT_01_tblFillRateFechas[[#This Row],[cant_order]]&gt;0,1,0)</f>
        <v>1</v>
      </c>
      <c r="V1126" s="1">
        <f>+IF(Tabla__192.168.1.8_POSEIDONSQL_APPFVT_01_tblFillRateFechas[[#This Row],[Resultado]]=1,1,0)</f>
        <v>1</v>
      </c>
      <c r="W1126" s="1" t="str">
        <f>+Tabla__192.168.1.8_POSEIDONSQL_APPFVT_01_tblFillRateFechas[[#This Row],[con_ocnumero]]&amp;Tabla__192.168.1.8_POSEIDONSQL_APPFVT_01_tblFillRateFechas[[#This Row],[con_codigounico]]</f>
        <v>91899120390050000691150200102</v>
      </c>
      <c r="X11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7" spans="1:24" x14ac:dyDescent="0.25">
      <c r="A1127">
        <v>9</v>
      </c>
      <c r="B1127" t="s">
        <v>48</v>
      </c>
      <c r="C1127">
        <v>9189969</v>
      </c>
      <c r="D1127" t="s">
        <v>1981</v>
      </c>
      <c r="E1127" t="s">
        <v>1969</v>
      </c>
      <c r="F1127" t="s">
        <v>1971</v>
      </c>
      <c r="G1127">
        <v>1</v>
      </c>
      <c r="H1127">
        <v>1</v>
      </c>
      <c r="I1127" t="s">
        <v>1969</v>
      </c>
      <c r="J1127">
        <v>0</v>
      </c>
      <c r="K1127" t="s">
        <v>1399</v>
      </c>
      <c r="L1127" s="1">
        <f>+Tabla__192.168.1.8_POSEIDONSQL_APPFVT_01_tblFillRateFechas[[#This Row],[emb_cantidad]]-Tabla__192.168.1.8_POSEIDONSQL_APPFVT_01_tblFillRateFechas[[#This Row],[dev_cantidad]]</f>
        <v>1</v>
      </c>
      <c r="M1127" s="1">
        <f>+IF(Tabla__192.168.1.8_POSEIDONSQL_APPFVT_01_tblFillRateFechas[[#This Row],[Cant_Resultante]]=Tabla__192.168.1.8_POSEIDONSQL_APPFVT_01_tblFillRateFechas[[#This Row],[cant_order]],1,0)</f>
        <v>1</v>
      </c>
      <c r="N11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7" s="1">
        <f>+IF(AND(Tabla__192.168.1.8_POSEIDONSQL_APPFVT_01_tblFillRateFechas[[#This Row],[Valida Cant]]=1,Tabla__192.168.1.8_POSEIDONSQL_APPFVT_01_tblFillRateFechas[[#This Row],[Valida Fec]]=1),1,0)</f>
        <v>1</v>
      </c>
      <c r="P1127" s="1">
        <f>+(Tabla__192.168.1.8_POSEIDONSQL_APPFVT_01_tblFillRateFechas[[#This Row],[Cant_Resultante]]/Tabla__192.168.1.8_POSEIDONSQL_APPFVT_01_tblFillRateFechas[[#This Row],[cant_order]])*100</f>
        <v>100</v>
      </c>
      <c r="Q11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7" s="1">
        <f>+IF(Tabla__192.168.1.8_POSEIDONSQL_APPFVT_01_tblFillRateFechas[[#This Row],[cant_order]]&gt;0,1,0)</f>
        <v>1</v>
      </c>
      <c r="V1127" s="1">
        <f>+IF(Tabla__192.168.1.8_POSEIDONSQL_APPFVT_01_tblFillRateFechas[[#This Row],[Resultado]]=1,1,0)</f>
        <v>1</v>
      </c>
      <c r="W1127" s="1" t="str">
        <f>+Tabla__192.168.1.8_POSEIDONSQL_APPFVT_01_tblFillRateFechas[[#This Row],[con_ocnumero]]&amp;Tabla__192.168.1.8_POSEIDONSQL_APPFVT_01_tblFillRateFechas[[#This Row],[con_codigounico]]</f>
        <v>91899690390050000691210270101</v>
      </c>
      <c r="X11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8" spans="1:24" x14ac:dyDescent="0.25">
      <c r="A1128">
        <v>9</v>
      </c>
      <c r="B1128" t="s">
        <v>48</v>
      </c>
      <c r="C1128">
        <v>9189989</v>
      </c>
      <c r="D1128" t="s">
        <v>1981</v>
      </c>
      <c r="E1128" t="s">
        <v>1962</v>
      </c>
      <c r="F1128" t="s">
        <v>1971</v>
      </c>
      <c r="G1128">
        <v>1</v>
      </c>
      <c r="H1128">
        <v>1</v>
      </c>
      <c r="I1128" t="s">
        <v>1962</v>
      </c>
      <c r="J1128">
        <v>0</v>
      </c>
      <c r="K1128" t="s">
        <v>744</v>
      </c>
      <c r="L1128" s="1">
        <f>+Tabla__192.168.1.8_POSEIDONSQL_APPFVT_01_tblFillRateFechas[[#This Row],[emb_cantidad]]-Tabla__192.168.1.8_POSEIDONSQL_APPFVT_01_tblFillRateFechas[[#This Row],[dev_cantidad]]</f>
        <v>1</v>
      </c>
      <c r="M1128" s="1">
        <f>+IF(Tabla__192.168.1.8_POSEIDONSQL_APPFVT_01_tblFillRateFechas[[#This Row],[Cant_Resultante]]=Tabla__192.168.1.8_POSEIDONSQL_APPFVT_01_tblFillRateFechas[[#This Row],[cant_order]],1,0)</f>
        <v>1</v>
      </c>
      <c r="N11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8" s="1">
        <f>+IF(AND(Tabla__192.168.1.8_POSEIDONSQL_APPFVT_01_tblFillRateFechas[[#This Row],[Valida Cant]]=1,Tabla__192.168.1.8_POSEIDONSQL_APPFVT_01_tblFillRateFechas[[#This Row],[Valida Fec]]=1),1,0)</f>
        <v>1</v>
      </c>
      <c r="P1128" s="1">
        <f>+(Tabla__192.168.1.8_POSEIDONSQL_APPFVT_01_tblFillRateFechas[[#This Row],[Cant_Resultante]]/Tabla__192.168.1.8_POSEIDONSQL_APPFVT_01_tblFillRateFechas[[#This Row],[cant_order]])*100</f>
        <v>100</v>
      </c>
      <c r="Q11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8" s="1">
        <f>+IF(Tabla__192.168.1.8_POSEIDONSQL_APPFVT_01_tblFillRateFechas[[#This Row],[cant_order]]&gt;0,1,0)</f>
        <v>1</v>
      </c>
      <c r="V1128" s="1">
        <f>+IF(Tabla__192.168.1.8_POSEIDONSQL_APPFVT_01_tblFillRateFechas[[#This Row],[Resultado]]=1,1,0)</f>
        <v>1</v>
      </c>
      <c r="W1128" s="1" t="str">
        <f>+Tabla__192.168.1.8_POSEIDONSQL_APPFVT_01_tblFillRateFechas[[#This Row],[con_ocnumero]]&amp;Tabla__192.168.1.8_POSEIDONSQL_APPFVT_01_tblFillRateFechas[[#This Row],[con_codigounico]]</f>
        <v>91899890390050000691237610103</v>
      </c>
      <c r="X11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29" spans="1:24" x14ac:dyDescent="0.25">
      <c r="A1129">
        <v>9</v>
      </c>
      <c r="B1129" t="s">
        <v>48</v>
      </c>
      <c r="C1129">
        <v>9190054</v>
      </c>
      <c r="D1129" t="s">
        <v>1981</v>
      </c>
      <c r="E1129" t="s">
        <v>1962</v>
      </c>
      <c r="F1129" t="s">
        <v>1971</v>
      </c>
      <c r="G1129">
        <v>1</v>
      </c>
      <c r="H1129">
        <v>1</v>
      </c>
      <c r="I1129" t="s">
        <v>1962</v>
      </c>
      <c r="J1129">
        <v>0</v>
      </c>
      <c r="K1129" t="s">
        <v>518</v>
      </c>
      <c r="L1129" s="1">
        <f>+Tabla__192.168.1.8_POSEIDONSQL_APPFVT_01_tblFillRateFechas[[#This Row],[emb_cantidad]]-Tabla__192.168.1.8_POSEIDONSQL_APPFVT_01_tblFillRateFechas[[#This Row],[dev_cantidad]]</f>
        <v>1</v>
      </c>
      <c r="M1129" s="1">
        <f>+IF(Tabla__192.168.1.8_POSEIDONSQL_APPFVT_01_tblFillRateFechas[[#This Row],[Cant_Resultante]]=Tabla__192.168.1.8_POSEIDONSQL_APPFVT_01_tblFillRateFechas[[#This Row],[cant_order]],1,0)</f>
        <v>1</v>
      </c>
      <c r="N11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29" s="1">
        <f>+IF(AND(Tabla__192.168.1.8_POSEIDONSQL_APPFVT_01_tblFillRateFechas[[#This Row],[Valida Cant]]=1,Tabla__192.168.1.8_POSEIDONSQL_APPFVT_01_tblFillRateFechas[[#This Row],[Valida Fec]]=1),1,0)</f>
        <v>1</v>
      </c>
      <c r="P1129" s="1">
        <f>+(Tabla__192.168.1.8_POSEIDONSQL_APPFVT_01_tblFillRateFechas[[#This Row],[Cant_Resultante]]/Tabla__192.168.1.8_POSEIDONSQL_APPFVT_01_tblFillRateFechas[[#This Row],[cant_order]])*100</f>
        <v>100</v>
      </c>
      <c r="Q11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29" s="1">
        <f>+IF(Tabla__192.168.1.8_POSEIDONSQL_APPFVT_01_tblFillRateFechas[[#This Row],[cant_order]]&gt;0,1,0)</f>
        <v>1</v>
      </c>
      <c r="V1129" s="1">
        <f>+IF(Tabla__192.168.1.8_POSEIDONSQL_APPFVT_01_tblFillRateFechas[[#This Row],[Resultado]]=1,1,0)</f>
        <v>1</v>
      </c>
      <c r="W1129" s="1" t="str">
        <f>+Tabla__192.168.1.8_POSEIDONSQL_APPFVT_01_tblFillRateFechas[[#This Row],[con_ocnumero]]&amp;Tabla__192.168.1.8_POSEIDONSQL_APPFVT_01_tblFillRateFechas[[#This Row],[con_codigounico]]</f>
        <v>91900540390050000691294650101</v>
      </c>
      <c r="X11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0" spans="1:24" x14ac:dyDescent="0.25">
      <c r="A1130">
        <v>9</v>
      </c>
      <c r="B1130" t="s">
        <v>48</v>
      </c>
      <c r="C1130">
        <v>9190054</v>
      </c>
      <c r="D1130" t="s">
        <v>1981</v>
      </c>
      <c r="E1130" t="s">
        <v>1969</v>
      </c>
      <c r="F1130" t="s">
        <v>1971</v>
      </c>
      <c r="G1130">
        <v>1</v>
      </c>
      <c r="H1130">
        <v>1</v>
      </c>
      <c r="I1130" t="s">
        <v>1969</v>
      </c>
      <c r="J1130">
        <v>0</v>
      </c>
      <c r="K1130" t="s">
        <v>1398</v>
      </c>
      <c r="L1130" s="1">
        <f>+Tabla__192.168.1.8_POSEIDONSQL_APPFVT_01_tblFillRateFechas[[#This Row],[emb_cantidad]]-Tabla__192.168.1.8_POSEIDONSQL_APPFVT_01_tblFillRateFechas[[#This Row],[dev_cantidad]]</f>
        <v>1</v>
      </c>
      <c r="M1130" s="1">
        <f>+IF(Tabla__192.168.1.8_POSEIDONSQL_APPFVT_01_tblFillRateFechas[[#This Row],[Cant_Resultante]]=Tabla__192.168.1.8_POSEIDONSQL_APPFVT_01_tblFillRateFechas[[#This Row],[cant_order]],1,0)</f>
        <v>1</v>
      </c>
      <c r="N11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0" s="1">
        <f>+IF(AND(Tabla__192.168.1.8_POSEIDONSQL_APPFVT_01_tblFillRateFechas[[#This Row],[Valida Cant]]=1,Tabla__192.168.1.8_POSEIDONSQL_APPFVT_01_tblFillRateFechas[[#This Row],[Valida Fec]]=1),1,0)</f>
        <v>1</v>
      </c>
      <c r="P1130" s="1">
        <f>+(Tabla__192.168.1.8_POSEIDONSQL_APPFVT_01_tblFillRateFechas[[#This Row],[Cant_Resultante]]/Tabla__192.168.1.8_POSEIDONSQL_APPFVT_01_tblFillRateFechas[[#This Row],[cant_order]])*100</f>
        <v>100</v>
      </c>
      <c r="Q11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0" s="1">
        <f>+IF(Tabla__192.168.1.8_POSEIDONSQL_APPFVT_01_tblFillRateFechas[[#This Row],[cant_order]]&gt;0,1,0)</f>
        <v>1</v>
      </c>
      <c r="V1130" s="1">
        <f>+IF(Tabla__192.168.1.8_POSEIDONSQL_APPFVT_01_tblFillRateFechas[[#This Row],[Resultado]]=1,1,0)</f>
        <v>1</v>
      </c>
      <c r="W1130" s="1" t="str">
        <f>+Tabla__192.168.1.8_POSEIDONSQL_APPFVT_01_tblFillRateFechas[[#This Row],[con_ocnumero]]&amp;Tabla__192.168.1.8_POSEIDONSQL_APPFVT_01_tblFillRateFechas[[#This Row],[con_codigounico]]</f>
        <v>91900540390050000691312730102</v>
      </c>
      <c r="X11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1" spans="1:24" x14ac:dyDescent="0.25">
      <c r="A1131">
        <v>9</v>
      </c>
      <c r="B1131" t="s">
        <v>48</v>
      </c>
      <c r="C1131">
        <v>9190115</v>
      </c>
      <c r="D1131" t="s">
        <v>1981</v>
      </c>
      <c r="E1131" t="s">
        <v>160</v>
      </c>
      <c r="F1131" t="s">
        <v>1971</v>
      </c>
      <c r="G1131">
        <v>1</v>
      </c>
      <c r="H1131">
        <v>1</v>
      </c>
      <c r="I1131" t="s">
        <v>160</v>
      </c>
      <c r="J1131">
        <v>0</v>
      </c>
      <c r="K1131" t="s">
        <v>1085</v>
      </c>
      <c r="L1131" s="1">
        <f>+Tabla__192.168.1.8_POSEIDONSQL_APPFVT_01_tblFillRateFechas[[#This Row],[emb_cantidad]]-Tabla__192.168.1.8_POSEIDONSQL_APPFVT_01_tblFillRateFechas[[#This Row],[dev_cantidad]]</f>
        <v>1</v>
      </c>
      <c r="M1131" s="1">
        <f>+IF(Tabla__192.168.1.8_POSEIDONSQL_APPFVT_01_tblFillRateFechas[[#This Row],[Cant_Resultante]]=Tabla__192.168.1.8_POSEIDONSQL_APPFVT_01_tblFillRateFechas[[#This Row],[cant_order]],1,0)</f>
        <v>1</v>
      </c>
      <c r="N11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1" s="1">
        <f>+IF(AND(Tabla__192.168.1.8_POSEIDONSQL_APPFVT_01_tblFillRateFechas[[#This Row],[Valida Cant]]=1,Tabla__192.168.1.8_POSEIDONSQL_APPFVT_01_tblFillRateFechas[[#This Row],[Valida Fec]]=1),1,0)</f>
        <v>1</v>
      </c>
      <c r="P1131" s="1">
        <f>+(Tabla__192.168.1.8_POSEIDONSQL_APPFVT_01_tblFillRateFechas[[#This Row],[Cant_Resultante]]/Tabla__192.168.1.8_POSEIDONSQL_APPFVT_01_tblFillRateFechas[[#This Row],[cant_order]])*100</f>
        <v>100</v>
      </c>
      <c r="Q11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1" s="1">
        <f>+IF(Tabla__192.168.1.8_POSEIDONSQL_APPFVT_01_tblFillRateFechas[[#This Row],[cant_order]]&gt;0,1,0)</f>
        <v>1</v>
      </c>
      <c r="V1131" s="1">
        <f>+IF(Tabla__192.168.1.8_POSEIDONSQL_APPFVT_01_tblFillRateFechas[[#This Row],[Resultado]]=1,1,0)</f>
        <v>1</v>
      </c>
      <c r="W1131" s="1" t="str">
        <f>+Tabla__192.168.1.8_POSEIDONSQL_APPFVT_01_tblFillRateFechas[[#This Row],[con_ocnumero]]&amp;Tabla__192.168.1.8_POSEIDONSQL_APPFVT_01_tblFillRateFechas[[#This Row],[con_codigounico]]</f>
        <v>91901150390050000691333220101</v>
      </c>
      <c r="X11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2" spans="1:24" x14ac:dyDescent="0.25">
      <c r="A1132">
        <v>9</v>
      </c>
      <c r="B1132" t="s">
        <v>48</v>
      </c>
      <c r="C1132">
        <v>9190115</v>
      </c>
      <c r="D1132" t="s">
        <v>1981</v>
      </c>
      <c r="E1132" t="s">
        <v>1962</v>
      </c>
      <c r="F1132" t="s">
        <v>1971</v>
      </c>
      <c r="G1132">
        <v>1</v>
      </c>
      <c r="H1132">
        <v>1</v>
      </c>
      <c r="I1132" t="s">
        <v>1962</v>
      </c>
      <c r="J1132">
        <v>0</v>
      </c>
      <c r="K1132" t="s">
        <v>519</v>
      </c>
      <c r="L1132" s="1">
        <f>+Tabla__192.168.1.8_POSEIDONSQL_APPFVT_01_tblFillRateFechas[[#This Row],[emb_cantidad]]-Tabla__192.168.1.8_POSEIDONSQL_APPFVT_01_tblFillRateFechas[[#This Row],[dev_cantidad]]</f>
        <v>1</v>
      </c>
      <c r="M1132" s="1">
        <f>+IF(Tabla__192.168.1.8_POSEIDONSQL_APPFVT_01_tblFillRateFechas[[#This Row],[Cant_Resultante]]=Tabla__192.168.1.8_POSEIDONSQL_APPFVT_01_tblFillRateFechas[[#This Row],[cant_order]],1,0)</f>
        <v>1</v>
      </c>
      <c r="N11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2" s="1">
        <f>+IF(AND(Tabla__192.168.1.8_POSEIDONSQL_APPFVT_01_tblFillRateFechas[[#This Row],[Valida Cant]]=1,Tabla__192.168.1.8_POSEIDONSQL_APPFVT_01_tblFillRateFechas[[#This Row],[Valida Fec]]=1),1,0)</f>
        <v>1</v>
      </c>
      <c r="P1132" s="1">
        <f>+(Tabla__192.168.1.8_POSEIDONSQL_APPFVT_01_tblFillRateFechas[[#This Row],[Cant_Resultante]]/Tabla__192.168.1.8_POSEIDONSQL_APPFVT_01_tblFillRateFechas[[#This Row],[cant_order]])*100</f>
        <v>100</v>
      </c>
      <c r="Q11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2" s="1">
        <f>+IF(Tabla__192.168.1.8_POSEIDONSQL_APPFVT_01_tblFillRateFechas[[#This Row],[cant_order]]&gt;0,1,0)</f>
        <v>1</v>
      </c>
      <c r="V1132" s="1">
        <f>+IF(Tabla__192.168.1.8_POSEIDONSQL_APPFVT_01_tblFillRateFechas[[#This Row],[Resultado]]=1,1,0)</f>
        <v>1</v>
      </c>
      <c r="W1132" s="1" t="str">
        <f>+Tabla__192.168.1.8_POSEIDONSQL_APPFVT_01_tblFillRateFechas[[#This Row],[con_ocnumero]]&amp;Tabla__192.168.1.8_POSEIDONSQL_APPFVT_01_tblFillRateFechas[[#This Row],[con_codigounico]]</f>
        <v>91901150390050000691343200101</v>
      </c>
      <c r="X11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3" spans="1:24" x14ac:dyDescent="0.25">
      <c r="A1133">
        <v>9</v>
      </c>
      <c r="B1133" t="s">
        <v>48</v>
      </c>
      <c r="C1133">
        <v>9190150</v>
      </c>
      <c r="D1133" t="s">
        <v>1981</v>
      </c>
      <c r="E1133" t="s">
        <v>1962</v>
      </c>
      <c r="F1133" t="s">
        <v>1971</v>
      </c>
      <c r="G1133">
        <v>1</v>
      </c>
      <c r="H1133">
        <v>1</v>
      </c>
      <c r="I1133" t="s">
        <v>1962</v>
      </c>
      <c r="J1133">
        <v>0</v>
      </c>
      <c r="K1133" t="s">
        <v>520</v>
      </c>
      <c r="L1133" s="1">
        <f>+Tabla__192.168.1.8_POSEIDONSQL_APPFVT_01_tblFillRateFechas[[#This Row],[emb_cantidad]]-Tabla__192.168.1.8_POSEIDONSQL_APPFVT_01_tblFillRateFechas[[#This Row],[dev_cantidad]]</f>
        <v>1</v>
      </c>
      <c r="M1133" s="1">
        <f>+IF(Tabla__192.168.1.8_POSEIDONSQL_APPFVT_01_tblFillRateFechas[[#This Row],[Cant_Resultante]]=Tabla__192.168.1.8_POSEIDONSQL_APPFVT_01_tblFillRateFechas[[#This Row],[cant_order]],1,0)</f>
        <v>1</v>
      </c>
      <c r="N11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3" s="1">
        <f>+IF(AND(Tabla__192.168.1.8_POSEIDONSQL_APPFVT_01_tblFillRateFechas[[#This Row],[Valida Cant]]=1,Tabla__192.168.1.8_POSEIDONSQL_APPFVT_01_tblFillRateFechas[[#This Row],[Valida Fec]]=1),1,0)</f>
        <v>1</v>
      </c>
      <c r="P1133" s="1">
        <f>+(Tabla__192.168.1.8_POSEIDONSQL_APPFVT_01_tblFillRateFechas[[#This Row],[Cant_Resultante]]/Tabla__192.168.1.8_POSEIDONSQL_APPFVT_01_tblFillRateFechas[[#This Row],[cant_order]])*100</f>
        <v>100</v>
      </c>
      <c r="Q11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3" s="1">
        <f>+IF(Tabla__192.168.1.8_POSEIDONSQL_APPFVT_01_tblFillRateFechas[[#This Row],[cant_order]]&gt;0,1,0)</f>
        <v>1</v>
      </c>
      <c r="V1133" s="1">
        <f>+IF(Tabla__192.168.1.8_POSEIDONSQL_APPFVT_01_tblFillRateFechas[[#This Row],[Resultado]]=1,1,0)</f>
        <v>1</v>
      </c>
      <c r="W1133" s="1" t="str">
        <f>+Tabla__192.168.1.8_POSEIDONSQL_APPFVT_01_tblFillRateFechas[[#This Row],[con_ocnumero]]&amp;Tabla__192.168.1.8_POSEIDONSQL_APPFVT_01_tblFillRateFechas[[#This Row],[con_codigounico]]</f>
        <v>91901500390050000691345400101</v>
      </c>
      <c r="X11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4" spans="1:24" x14ac:dyDescent="0.25">
      <c r="A1134">
        <v>9</v>
      </c>
      <c r="B1134" t="s">
        <v>48</v>
      </c>
      <c r="C1134">
        <v>9190258</v>
      </c>
      <c r="D1134" t="s">
        <v>1981</v>
      </c>
      <c r="E1134" t="s">
        <v>1962</v>
      </c>
      <c r="F1134" t="s">
        <v>1971</v>
      </c>
      <c r="G1134">
        <v>1</v>
      </c>
      <c r="H1134">
        <v>1</v>
      </c>
      <c r="I1134" t="s">
        <v>1962</v>
      </c>
      <c r="J1134">
        <v>0</v>
      </c>
      <c r="K1134" t="s">
        <v>734</v>
      </c>
      <c r="L1134" s="1">
        <f>+Tabla__192.168.1.8_POSEIDONSQL_APPFVT_01_tblFillRateFechas[[#This Row],[emb_cantidad]]-Tabla__192.168.1.8_POSEIDONSQL_APPFVT_01_tblFillRateFechas[[#This Row],[dev_cantidad]]</f>
        <v>1</v>
      </c>
      <c r="M1134" s="1">
        <f>+IF(Tabla__192.168.1.8_POSEIDONSQL_APPFVT_01_tblFillRateFechas[[#This Row],[Cant_Resultante]]=Tabla__192.168.1.8_POSEIDONSQL_APPFVT_01_tblFillRateFechas[[#This Row],[cant_order]],1,0)</f>
        <v>1</v>
      </c>
      <c r="N11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4" s="1">
        <f>+IF(AND(Tabla__192.168.1.8_POSEIDONSQL_APPFVT_01_tblFillRateFechas[[#This Row],[Valida Cant]]=1,Tabla__192.168.1.8_POSEIDONSQL_APPFVT_01_tblFillRateFechas[[#This Row],[Valida Fec]]=1),1,0)</f>
        <v>1</v>
      </c>
      <c r="P1134" s="1">
        <f>+(Tabla__192.168.1.8_POSEIDONSQL_APPFVT_01_tblFillRateFechas[[#This Row],[Cant_Resultante]]/Tabla__192.168.1.8_POSEIDONSQL_APPFVT_01_tblFillRateFechas[[#This Row],[cant_order]])*100</f>
        <v>100</v>
      </c>
      <c r="Q11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4" s="1">
        <f>+IF(Tabla__192.168.1.8_POSEIDONSQL_APPFVT_01_tblFillRateFechas[[#This Row],[cant_order]]&gt;0,1,0)</f>
        <v>1</v>
      </c>
      <c r="V1134" s="1">
        <f>+IF(Tabla__192.168.1.8_POSEIDONSQL_APPFVT_01_tblFillRateFechas[[#This Row],[Resultado]]=1,1,0)</f>
        <v>1</v>
      </c>
      <c r="W1134" s="1" t="str">
        <f>+Tabla__192.168.1.8_POSEIDONSQL_APPFVT_01_tblFillRateFechas[[#This Row],[con_ocnumero]]&amp;Tabla__192.168.1.8_POSEIDONSQL_APPFVT_01_tblFillRateFechas[[#This Row],[con_codigounico]]</f>
        <v>91902580390050000691453590101</v>
      </c>
      <c r="X11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5" spans="1:24" x14ac:dyDescent="0.25">
      <c r="A1135">
        <v>9</v>
      </c>
      <c r="B1135" t="s">
        <v>48</v>
      </c>
      <c r="C1135">
        <v>9190309</v>
      </c>
      <c r="D1135" t="s">
        <v>1970</v>
      </c>
      <c r="E1135" t="s">
        <v>1962</v>
      </c>
      <c r="F1135" t="s">
        <v>1971</v>
      </c>
      <c r="G1135">
        <v>1</v>
      </c>
      <c r="H1135">
        <v>1</v>
      </c>
      <c r="I1135" t="s">
        <v>1962</v>
      </c>
      <c r="J1135">
        <v>0</v>
      </c>
      <c r="K1135" t="s">
        <v>738</v>
      </c>
      <c r="L1135" s="1">
        <f>+Tabla__192.168.1.8_POSEIDONSQL_APPFVT_01_tblFillRateFechas[[#This Row],[emb_cantidad]]-Tabla__192.168.1.8_POSEIDONSQL_APPFVT_01_tblFillRateFechas[[#This Row],[dev_cantidad]]</f>
        <v>1</v>
      </c>
      <c r="M1135" s="1">
        <f>+IF(Tabla__192.168.1.8_POSEIDONSQL_APPFVT_01_tblFillRateFechas[[#This Row],[Cant_Resultante]]=Tabla__192.168.1.8_POSEIDONSQL_APPFVT_01_tblFillRateFechas[[#This Row],[cant_order]],1,0)</f>
        <v>1</v>
      </c>
      <c r="N11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5" s="1">
        <f>+IF(AND(Tabla__192.168.1.8_POSEIDONSQL_APPFVT_01_tblFillRateFechas[[#This Row],[Valida Cant]]=1,Tabla__192.168.1.8_POSEIDONSQL_APPFVT_01_tblFillRateFechas[[#This Row],[Valida Fec]]=1),1,0)</f>
        <v>1</v>
      </c>
      <c r="P1135" s="1">
        <f>+(Tabla__192.168.1.8_POSEIDONSQL_APPFVT_01_tblFillRateFechas[[#This Row],[Cant_Resultante]]/Tabla__192.168.1.8_POSEIDONSQL_APPFVT_01_tblFillRateFechas[[#This Row],[cant_order]])*100</f>
        <v>100</v>
      </c>
      <c r="Q11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5" s="1">
        <f>+IF(Tabla__192.168.1.8_POSEIDONSQL_APPFVT_01_tblFillRateFechas[[#This Row],[cant_order]]&gt;0,1,0)</f>
        <v>1</v>
      </c>
      <c r="V1135" s="1">
        <f>+IF(Tabla__192.168.1.8_POSEIDONSQL_APPFVT_01_tblFillRateFechas[[#This Row],[Resultado]]=1,1,0)</f>
        <v>1</v>
      </c>
      <c r="W1135" s="1" t="str">
        <f>+Tabla__192.168.1.8_POSEIDONSQL_APPFVT_01_tblFillRateFechas[[#This Row],[con_ocnumero]]&amp;Tabla__192.168.1.8_POSEIDONSQL_APPFVT_01_tblFillRateFechas[[#This Row],[con_codigounico]]</f>
        <v>91903090390050000691525200101</v>
      </c>
      <c r="X11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6" spans="1:24" x14ac:dyDescent="0.25">
      <c r="A1136">
        <v>9</v>
      </c>
      <c r="B1136" t="s">
        <v>48</v>
      </c>
      <c r="C1136">
        <v>9190309</v>
      </c>
      <c r="D1136" t="s">
        <v>1970</v>
      </c>
      <c r="E1136" t="s">
        <v>1962</v>
      </c>
      <c r="F1136" t="s">
        <v>1971</v>
      </c>
      <c r="G1136">
        <v>1</v>
      </c>
      <c r="H1136">
        <v>1</v>
      </c>
      <c r="I1136" t="s">
        <v>1962</v>
      </c>
      <c r="J1136">
        <v>0</v>
      </c>
      <c r="K1136" t="s">
        <v>735</v>
      </c>
      <c r="L1136" s="1">
        <f>+Tabla__192.168.1.8_POSEIDONSQL_APPFVT_01_tblFillRateFechas[[#This Row],[emb_cantidad]]-Tabla__192.168.1.8_POSEIDONSQL_APPFVT_01_tblFillRateFechas[[#This Row],[dev_cantidad]]</f>
        <v>1</v>
      </c>
      <c r="M1136" s="1">
        <f>+IF(Tabla__192.168.1.8_POSEIDONSQL_APPFVT_01_tblFillRateFechas[[#This Row],[Cant_Resultante]]=Tabla__192.168.1.8_POSEIDONSQL_APPFVT_01_tblFillRateFechas[[#This Row],[cant_order]],1,0)</f>
        <v>1</v>
      </c>
      <c r="N11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6" s="1">
        <f>+IF(AND(Tabla__192.168.1.8_POSEIDONSQL_APPFVT_01_tblFillRateFechas[[#This Row],[Valida Cant]]=1,Tabla__192.168.1.8_POSEIDONSQL_APPFVT_01_tblFillRateFechas[[#This Row],[Valida Fec]]=1),1,0)</f>
        <v>1</v>
      </c>
      <c r="P1136" s="1">
        <f>+(Tabla__192.168.1.8_POSEIDONSQL_APPFVT_01_tblFillRateFechas[[#This Row],[Cant_Resultante]]/Tabla__192.168.1.8_POSEIDONSQL_APPFVT_01_tblFillRateFechas[[#This Row],[cant_order]])*100</f>
        <v>100</v>
      </c>
      <c r="Q11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6" s="1">
        <f>+IF(Tabla__192.168.1.8_POSEIDONSQL_APPFVT_01_tblFillRateFechas[[#This Row],[cant_order]]&gt;0,1,0)</f>
        <v>1</v>
      </c>
      <c r="V1136" s="1">
        <f>+IF(Tabla__192.168.1.8_POSEIDONSQL_APPFVT_01_tblFillRateFechas[[#This Row],[Resultado]]=1,1,0)</f>
        <v>1</v>
      </c>
      <c r="W1136" s="1" t="str">
        <f>+Tabla__192.168.1.8_POSEIDONSQL_APPFVT_01_tblFillRateFechas[[#This Row],[con_ocnumero]]&amp;Tabla__192.168.1.8_POSEIDONSQL_APPFVT_01_tblFillRateFechas[[#This Row],[con_codigounico]]</f>
        <v>91903090390050000691530760101</v>
      </c>
      <c r="X11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7" spans="1:24" x14ac:dyDescent="0.25">
      <c r="A1137">
        <v>9</v>
      </c>
      <c r="B1137" t="s">
        <v>48</v>
      </c>
      <c r="C1137">
        <v>9190425</v>
      </c>
      <c r="D1137" t="s">
        <v>1970</v>
      </c>
      <c r="E1137" t="s">
        <v>427</v>
      </c>
      <c r="F1137" t="s">
        <v>1971</v>
      </c>
      <c r="G1137">
        <v>1</v>
      </c>
      <c r="H1137">
        <v>1</v>
      </c>
      <c r="I1137" t="s">
        <v>427</v>
      </c>
      <c r="J1137">
        <v>0</v>
      </c>
      <c r="K1137" t="s">
        <v>1170</v>
      </c>
      <c r="L1137" s="1">
        <f>+Tabla__192.168.1.8_POSEIDONSQL_APPFVT_01_tblFillRateFechas[[#This Row],[emb_cantidad]]-Tabla__192.168.1.8_POSEIDONSQL_APPFVT_01_tblFillRateFechas[[#This Row],[dev_cantidad]]</f>
        <v>1</v>
      </c>
      <c r="M1137" s="1">
        <f>+IF(Tabla__192.168.1.8_POSEIDONSQL_APPFVT_01_tblFillRateFechas[[#This Row],[Cant_Resultante]]=Tabla__192.168.1.8_POSEIDONSQL_APPFVT_01_tblFillRateFechas[[#This Row],[cant_order]],1,0)</f>
        <v>1</v>
      </c>
      <c r="N11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7" s="1">
        <f>+IF(AND(Tabla__192.168.1.8_POSEIDONSQL_APPFVT_01_tblFillRateFechas[[#This Row],[Valida Cant]]=1,Tabla__192.168.1.8_POSEIDONSQL_APPFVT_01_tblFillRateFechas[[#This Row],[Valida Fec]]=1),1,0)</f>
        <v>1</v>
      </c>
      <c r="P1137" s="1">
        <f>+(Tabla__192.168.1.8_POSEIDONSQL_APPFVT_01_tblFillRateFechas[[#This Row],[Cant_Resultante]]/Tabla__192.168.1.8_POSEIDONSQL_APPFVT_01_tblFillRateFechas[[#This Row],[cant_order]])*100</f>
        <v>100</v>
      </c>
      <c r="Q11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7" s="1">
        <f>+IF(Tabla__192.168.1.8_POSEIDONSQL_APPFVT_01_tblFillRateFechas[[#This Row],[cant_order]]&gt;0,1,0)</f>
        <v>1</v>
      </c>
      <c r="V1137" s="1">
        <f>+IF(Tabla__192.168.1.8_POSEIDONSQL_APPFVT_01_tblFillRateFechas[[#This Row],[Resultado]]=1,1,0)</f>
        <v>1</v>
      </c>
      <c r="W1137" s="1" t="str">
        <f>+Tabla__192.168.1.8_POSEIDONSQL_APPFVT_01_tblFillRateFechas[[#This Row],[con_ocnumero]]&amp;Tabla__192.168.1.8_POSEIDONSQL_APPFVT_01_tblFillRateFechas[[#This Row],[con_codigounico]]</f>
        <v>91904250390050000691700510101</v>
      </c>
      <c r="X11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8" spans="1:24" x14ac:dyDescent="0.25">
      <c r="A1138">
        <v>9</v>
      </c>
      <c r="B1138" t="s">
        <v>48</v>
      </c>
      <c r="C1138">
        <v>9190425</v>
      </c>
      <c r="D1138" t="s">
        <v>1970</v>
      </c>
      <c r="E1138" t="s">
        <v>1963</v>
      </c>
      <c r="F1138" t="s">
        <v>1971</v>
      </c>
      <c r="G1138">
        <v>1</v>
      </c>
      <c r="H1138">
        <v>1</v>
      </c>
      <c r="I1138" t="s">
        <v>1963</v>
      </c>
      <c r="J1138">
        <v>0</v>
      </c>
      <c r="K1138" t="s">
        <v>756</v>
      </c>
      <c r="L1138" s="1">
        <f>+Tabla__192.168.1.8_POSEIDONSQL_APPFVT_01_tblFillRateFechas[[#This Row],[emb_cantidad]]-Tabla__192.168.1.8_POSEIDONSQL_APPFVT_01_tblFillRateFechas[[#This Row],[dev_cantidad]]</f>
        <v>1</v>
      </c>
      <c r="M1138" s="1">
        <f>+IF(Tabla__192.168.1.8_POSEIDONSQL_APPFVT_01_tblFillRateFechas[[#This Row],[Cant_Resultante]]=Tabla__192.168.1.8_POSEIDONSQL_APPFVT_01_tblFillRateFechas[[#This Row],[cant_order]],1,0)</f>
        <v>1</v>
      </c>
      <c r="N11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8" s="1">
        <f>+IF(AND(Tabla__192.168.1.8_POSEIDONSQL_APPFVT_01_tblFillRateFechas[[#This Row],[Valida Cant]]=1,Tabla__192.168.1.8_POSEIDONSQL_APPFVT_01_tblFillRateFechas[[#This Row],[Valida Fec]]=1),1,0)</f>
        <v>1</v>
      </c>
      <c r="P1138" s="1">
        <f>+(Tabla__192.168.1.8_POSEIDONSQL_APPFVT_01_tblFillRateFechas[[#This Row],[Cant_Resultante]]/Tabla__192.168.1.8_POSEIDONSQL_APPFVT_01_tblFillRateFechas[[#This Row],[cant_order]])*100</f>
        <v>100</v>
      </c>
      <c r="Q11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8" s="1">
        <f>+IF(Tabla__192.168.1.8_POSEIDONSQL_APPFVT_01_tblFillRateFechas[[#This Row],[cant_order]]&gt;0,1,0)</f>
        <v>1</v>
      </c>
      <c r="V1138" s="1">
        <f>+IF(Tabla__192.168.1.8_POSEIDONSQL_APPFVT_01_tblFillRateFechas[[#This Row],[Resultado]]=1,1,0)</f>
        <v>1</v>
      </c>
      <c r="W1138" s="1" t="str">
        <f>+Tabla__192.168.1.8_POSEIDONSQL_APPFVT_01_tblFillRateFechas[[#This Row],[con_ocnumero]]&amp;Tabla__192.168.1.8_POSEIDONSQL_APPFVT_01_tblFillRateFechas[[#This Row],[con_codigounico]]</f>
        <v>91904250390050000691704320101</v>
      </c>
      <c r="X11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39" spans="1:24" x14ac:dyDescent="0.25">
      <c r="A1139">
        <v>9</v>
      </c>
      <c r="B1139" t="s">
        <v>48</v>
      </c>
      <c r="C1139">
        <v>9190458</v>
      </c>
      <c r="D1139" t="s">
        <v>1970</v>
      </c>
      <c r="E1139" t="s">
        <v>1969</v>
      </c>
      <c r="F1139" t="s">
        <v>1971</v>
      </c>
      <c r="G1139">
        <v>1</v>
      </c>
      <c r="H1139">
        <v>1</v>
      </c>
      <c r="I1139" t="s">
        <v>1969</v>
      </c>
      <c r="J1139">
        <v>0</v>
      </c>
      <c r="K1139" t="s">
        <v>1396</v>
      </c>
      <c r="L1139" s="1">
        <f>+Tabla__192.168.1.8_POSEIDONSQL_APPFVT_01_tblFillRateFechas[[#This Row],[emb_cantidad]]-Tabla__192.168.1.8_POSEIDONSQL_APPFVT_01_tblFillRateFechas[[#This Row],[dev_cantidad]]</f>
        <v>1</v>
      </c>
      <c r="M1139" s="1">
        <f>+IF(Tabla__192.168.1.8_POSEIDONSQL_APPFVT_01_tblFillRateFechas[[#This Row],[Cant_Resultante]]=Tabla__192.168.1.8_POSEIDONSQL_APPFVT_01_tblFillRateFechas[[#This Row],[cant_order]],1,0)</f>
        <v>1</v>
      </c>
      <c r="N11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39" s="1">
        <f>+IF(AND(Tabla__192.168.1.8_POSEIDONSQL_APPFVT_01_tblFillRateFechas[[#This Row],[Valida Cant]]=1,Tabla__192.168.1.8_POSEIDONSQL_APPFVT_01_tblFillRateFechas[[#This Row],[Valida Fec]]=1),1,0)</f>
        <v>1</v>
      </c>
      <c r="P1139" s="1">
        <f>+(Tabla__192.168.1.8_POSEIDONSQL_APPFVT_01_tblFillRateFechas[[#This Row],[Cant_Resultante]]/Tabla__192.168.1.8_POSEIDONSQL_APPFVT_01_tblFillRateFechas[[#This Row],[cant_order]])*100</f>
        <v>100</v>
      </c>
      <c r="Q11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39" s="1">
        <f>+IF(Tabla__192.168.1.8_POSEIDONSQL_APPFVT_01_tblFillRateFechas[[#This Row],[cant_order]]&gt;0,1,0)</f>
        <v>1</v>
      </c>
      <c r="V1139" s="1">
        <f>+IF(Tabla__192.168.1.8_POSEIDONSQL_APPFVT_01_tblFillRateFechas[[#This Row],[Resultado]]=1,1,0)</f>
        <v>1</v>
      </c>
      <c r="W1139" s="1" t="str">
        <f>+Tabla__192.168.1.8_POSEIDONSQL_APPFVT_01_tblFillRateFechas[[#This Row],[con_ocnumero]]&amp;Tabla__192.168.1.8_POSEIDONSQL_APPFVT_01_tblFillRateFechas[[#This Row],[con_codigounico]]</f>
        <v>91904580390050000691727250103</v>
      </c>
      <c r="X11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0" spans="1:24" x14ac:dyDescent="0.25">
      <c r="A1140">
        <v>9</v>
      </c>
      <c r="B1140" t="s">
        <v>48</v>
      </c>
      <c r="C1140">
        <v>9190500</v>
      </c>
      <c r="D1140" t="s">
        <v>1970</v>
      </c>
      <c r="E1140" t="s">
        <v>1963</v>
      </c>
      <c r="F1140" t="s">
        <v>1971</v>
      </c>
      <c r="G1140">
        <v>1</v>
      </c>
      <c r="H1140">
        <v>1</v>
      </c>
      <c r="I1140" t="s">
        <v>1963</v>
      </c>
      <c r="J1140">
        <v>0</v>
      </c>
      <c r="K1140" t="s">
        <v>758</v>
      </c>
      <c r="L1140" s="1">
        <f>+Tabla__192.168.1.8_POSEIDONSQL_APPFVT_01_tblFillRateFechas[[#This Row],[emb_cantidad]]-Tabla__192.168.1.8_POSEIDONSQL_APPFVT_01_tblFillRateFechas[[#This Row],[dev_cantidad]]</f>
        <v>1</v>
      </c>
      <c r="M1140" s="1">
        <f>+IF(Tabla__192.168.1.8_POSEIDONSQL_APPFVT_01_tblFillRateFechas[[#This Row],[Cant_Resultante]]=Tabla__192.168.1.8_POSEIDONSQL_APPFVT_01_tblFillRateFechas[[#This Row],[cant_order]],1,0)</f>
        <v>1</v>
      </c>
      <c r="N11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0" s="1">
        <f>+IF(AND(Tabla__192.168.1.8_POSEIDONSQL_APPFVT_01_tblFillRateFechas[[#This Row],[Valida Cant]]=1,Tabla__192.168.1.8_POSEIDONSQL_APPFVT_01_tblFillRateFechas[[#This Row],[Valida Fec]]=1),1,0)</f>
        <v>1</v>
      </c>
      <c r="P1140" s="1">
        <f>+(Tabla__192.168.1.8_POSEIDONSQL_APPFVT_01_tblFillRateFechas[[#This Row],[Cant_Resultante]]/Tabla__192.168.1.8_POSEIDONSQL_APPFVT_01_tblFillRateFechas[[#This Row],[cant_order]])*100</f>
        <v>100</v>
      </c>
      <c r="Q11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0" s="1">
        <f>+IF(Tabla__192.168.1.8_POSEIDONSQL_APPFVT_01_tblFillRateFechas[[#This Row],[cant_order]]&gt;0,1,0)</f>
        <v>1</v>
      </c>
      <c r="V1140" s="1">
        <f>+IF(Tabla__192.168.1.8_POSEIDONSQL_APPFVT_01_tblFillRateFechas[[#This Row],[Resultado]]=1,1,0)</f>
        <v>1</v>
      </c>
      <c r="W1140" s="1" t="str">
        <f>+Tabla__192.168.1.8_POSEIDONSQL_APPFVT_01_tblFillRateFechas[[#This Row],[con_ocnumero]]&amp;Tabla__192.168.1.8_POSEIDONSQL_APPFVT_01_tblFillRateFechas[[#This Row],[con_codigounico]]</f>
        <v>91905000390050000691773760101</v>
      </c>
      <c r="X11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1" spans="1:24" x14ac:dyDescent="0.25">
      <c r="A1141">
        <v>9</v>
      </c>
      <c r="B1141" t="s">
        <v>48</v>
      </c>
      <c r="C1141">
        <v>9190558</v>
      </c>
      <c r="D1141" t="s">
        <v>1970</v>
      </c>
      <c r="E1141" t="s">
        <v>426</v>
      </c>
      <c r="F1141" t="s">
        <v>1971</v>
      </c>
      <c r="G1141">
        <v>1</v>
      </c>
      <c r="H1141">
        <v>1</v>
      </c>
      <c r="I1141" t="s">
        <v>426</v>
      </c>
      <c r="J1141">
        <v>0</v>
      </c>
      <c r="K1141" t="s">
        <v>1179</v>
      </c>
      <c r="L1141" s="1">
        <f>+Tabla__192.168.1.8_POSEIDONSQL_APPFVT_01_tblFillRateFechas[[#This Row],[emb_cantidad]]-Tabla__192.168.1.8_POSEIDONSQL_APPFVT_01_tblFillRateFechas[[#This Row],[dev_cantidad]]</f>
        <v>1</v>
      </c>
      <c r="M1141" s="1">
        <f>+IF(Tabla__192.168.1.8_POSEIDONSQL_APPFVT_01_tblFillRateFechas[[#This Row],[Cant_Resultante]]=Tabla__192.168.1.8_POSEIDONSQL_APPFVT_01_tblFillRateFechas[[#This Row],[cant_order]],1,0)</f>
        <v>1</v>
      </c>
      <c r="N11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1" s="1">
        <f>+IF(AND(Tabla__192.168.1.8_POSEIDONSQL_APPFVT_01_tblFillRateFechas[[#This Row],[Valida Cant]]=1,Tabla__192.168.1.8_POSEIDONSQL_APPFVT_01_tblFillRateFechas[[#This Row],[Valida Fec]]=1),1,0)</f>
        <v>1</v>
      </c>
      <c r="P1141" s="1">
        <f>+(Tabla__192.168.1.8_POSEIDONSQL_APPFVT_01_tblFillRateFechas[[#This Row],[Cant_Resultante]]/Tabla__192.168.1.8_POSEIDONSQL_APPFVT_01_tblFillRateFechas[[#This Row],[cant_order]])*100</f>
        <v>100</v>
      </c>
      <c r="Q11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1" s="1">
        <f>+IF(Tabla__192.168.1.8_POSEIDONSQL_APPFVT_01_tblFillRateFechas[[#This Row],[cant_order]]&gt;0,1,0)</f>
        <v>1</v>
      </c>
      <c r="V1141" s="1">
        <f>+IF(Tabla__192.168.1.8_POSEIDONSQL_APPFVT_01_tblFillRateFechas[[#This Row],[Resultado]]=1,1,0)</f>
        <v>1</v>
      </c>
      <c r="W1141" s="1" t="str">
        <f>+Tabla__192.168.1.8_POSEIDONSQL_APPFVT_01_tblFillRateFechas[[#This Row],[con_ocnumero]]&amp;Tabla__192.168.1.8_POSEIDONSQL_APPFVT_01_tblFillRateFechas[[#This Row],[con_codigounico]]</f>
        <v>91905580390050000691801820101</v>
      </c>
      <c r="X11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2" spans="1:24" x14ac:dyDescent="0.25">
      <c r="A1142">
        <v>9</v>
      </c>
      <c r="B1142" t="s">
        <v>48</v>
      </c>
      <c r="C1142">
        <v>9190558</v>
      </c>
      <c r="D1142" t="s">
        <v>1970</v>
      </c>
      <c r="E1142" t="s">
        <v>1963</v>
      </c>
      <c r="F1142" t="s">
        <v>1971</v>
      </c>
      <c r="G1142">
        <v>1</v>
      </c>
      <c r="H1142">
        <v>1</v>
      </c>
      <c r="I1142" t="s">
        <v>1963</v>
      </c>
      <c r="J1142">
        <v>0</v>
      </c>
      <c r="K1142" t="s">
        <v>761</v>
      </c>
      <c r="L1142" s="1">
        <f>+Tabla__192.168.1.8_POSEIDONSQL_APPFVT_01_tblFillRateFechas[[#This Row],[emb_cantidad]]-Tabla__192.168.1.8_POSEIDONSQL_APPFVT_01_tblFillRateFechas[[#This Row],[dev_cantidad]]</f>
        <v>1</v>
      </c>
      <c r="M1142" s="1">
        <f>+IF(Tabla__192.168.1.8_POSEIDONSQL_APPFVT_01_tblFillRateFechas[[#This Row],[Cant_Resultante]]=Tabla__192.168.1.8_POSEIDONSQL_APPFVT_01_tblFillRateFechas[[#This Row],[cant_order]],1,0)</f>
        <v>1</v>
      </c>
      <c r="N11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2" s="1">
        <f>+IF(AND(Tabla__192.168.1.8_POSEIDONSQL_APPFVT_01_tblFillRateFechas[[#This Row],[Valida Cant]]=1,Tabla__192.168.1.8_POSEIDONSQL_APPFVT_01_tblFillRateFechas[[#This Row],[Valida Fec]]=1),1,0)</f>
        <v>1</v>
      </c>
      <c r="P1142" s="1">
        <f>+(Tabla__192.168.1.8_POSEIDONSQL_APPFVT_01_tblFillRateFechas[[#This Row],[Cant_Resultante]]/Tabla__192.168.1.8_POSEIDONSQL_APPFVT_01_tblFillRateFechas[[#This Row],[cant_order]])*100</f>
        <v>100</v>
      </c>
      <c r="Q11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2" s="1">
        <f>+IF(Tabla__192.168.1.8_POSEIDONSQL_APPFVT_01_tblFillRateFechas[[#This Row],[cant_order]]&gt;0,1,0)</f>
        <v>1</v>
      </c>
      <c r="V1142" s="1">
        <f>+IF(Tabla__192.168.1.8_POSEIDONSQL_APPFVT_01_tblFillRateFechas[[#This Row],[Resultado]]=1,1,0)</f>
        <v>1</v>
      </c>
      <c r="W1142" s="1" t="str">
        <f>+Tabla__192.168.1.8_POSEIDONSQL_APPFVT_01_tblFillRateFechas[[#This Row],[con_ocnumero]]&amp;Tabla__192.168.1.8_POSEIDONSQL_APPFVT_01_tblFillRateFechas[[#This Row],[con_codigounico]]</f>
        <v>91905580390050000691802710101</v>
      </c>
      <c r="X11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3" spans="1:24" x14ac:dyDescent="0.25">
      <c r="A1143">
        <v>9</v>
      </c>
      <c r="B1143" t="s">
        <v>48</v>
      </c>
      <c r="C1143">
        <v>9190635</v>
      </c>
      <c r="D1143" t="s">
        <v>1970</v>
      </c>
      <c r="E1143" t="s">
        <v>1963</v>
      </c>
      <c r="F1143" t="s">
        <v>1971</v>
      </c>
      <c r="G1143">
        <v>1</v>
      </c>
      <c r="H1143">
        <v>1</v>
      </c>
      <c r="I1143" t="s">
        <v>1963</v>
      </c>
      <c r="J1143">
        <v>0</v>
      </c>
      <c r="K1143" t="s">
        <v>762</v>
      </c>
      <c r="L1143" s="1">
        <f>+Tabla__192.168.1.8_POSEIDONSQL_APPFVT_01_tblFillRateFechas[[#This Row],[emb_cantidad]]-Tabla__192.168.1.8_POSEIDONSQL_APPFVT_01_tblFillRateFechas[[#This Row],[dev_cantidad]]</f>
        <v>1</v>
      </c>
      <c r="M1143" s="1">
        <f>+IF(Tabla__192.168.1.8_POSEIDONSQL_APPFVT_01_tblFillRateFechas[[#This Row],[Cant_Resultante]]=Tabla__192.168.1.8_POSEIDONSQL_APPFVT_01_tblFillRateFechas[[#This Row],[cant_order]],1,0)</f>
        <v>1</v>
      </c>
      <c r="N11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3" s="1">
        <f>+IF(AND(Tabla__192.168.1.8_POSEIDONSQL_APPFVT_01_tblFillRateFechas[[#This Row],[Valida Cant]]=1,Tabla__192.168.1.8_POSEIDONSQL_APPFVT_01_tblFillRateFechas[[#This Row],[Valida Fec]]=1),1,0)</f>
        <v>1</v>
      </c>
      <c r="P1143" s="1">
        <f>+(Tabla__192.168.1.8_POSEIDONSQL_APPFVT_01_tblFillRateFechas[[#This Row],[Cant_Resultante]]/Tabla__192.168.1.8_POSEIDONSQL_APPFVT_01_tblFillRateFechas[[#This Row],[cant_order]])*100</f>
        <v>100</v>
      </c>
      <c r="Q11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3" s="1">
        <f>+IF(Tabla__192.168.1.8_POSEIDONSQL_APPFVT_01_tblFillRateFechas[[#This Row],[cant_order]]&gt;0,1,0)</f>
        <v>1</v>
      </c>
      <c r="V1143" s="1">
        <f>+IF(Tabla__192.168.1.8_POSEIDONSQL_APPFVT_01_tblFillRateFechas[[#This Row],[Resultado]]=1,1,0)</f>
        <v>1</v>
      </c>
      <c r="W1143" s="1" t="str">
        <f>+Tabla__192.168.1.8_POSEIDONSQL_APPFVT_01_tblFillRateFechas[[#This Row],[con_ocnumero]]&amp;Tabla__192.168.1.8_POSEIDONSQL_APPFVT_01_tblFillRateFechas[[#This Row],[con_codigounico]]</f>
        <v>91906350390050000691878920101</v>
      </c>
      <c r="X11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4" spans="1:24" x14ac:dyDescent="0.25">
      <c r="A1144">
        <v>9</v>
      </c>
      <c r="B1144" t="s">
        <v>48</v>
      </c>
      <c r="C1144">
        <v>9190696</v>
      </c>
      <c r="D1144" t="s">
        <v>1970</v>
      </c>
      <c r="E1144" t="s">
        <v>1969</v>
      </c>
      <c r="F1144" t="s">
        <v>1971</v>
      </c>
      <c r="G1144">
        <v>1</v>
      </c>
      <c r="H1144">
        <v>1</v>
      </c>
      <c r="I1144" t="s">
        <v>1969</v>
      </c>
      <c r="J1144">
        <v>0</v>
      </c>
      <c r="K1144" t="s">
        <v>1397</v>
      </c>
      <c r="L1144" s="1">
        <f>+Tabla__192.168.1.8_POSEIDONSQL_APPFVT_01_tblFillRateFechas[[#This Row],[emb_cantidad]]-Tabla__192.168.1.8_POSEIDONSQL_APPFVT_01_tblFillRateFechas[[#This Row],[dev_cantidad]]</f>
        <v>1</v>
      </c>
      <c r="M1144" s="1">
        <f>+IF(Tabla__192.168.1.8_POSEIDONSQL_APPFVT_01_tblFillRateFechas[[#This Row],[Cant_Resultante]]=Tabla__192.168.1.8_POSEIDONSQL_APPFVT_01_tblFillRateFechas[[#This Row],[cant_order]],1,0)</f>
        <v>1</v>
      </c>
      <c r="N11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4" s="1">
        <f>+IF(AND(Tabla__192.168.1.8_POSEIDONSQL_APPFVT_01_tblFillRateFechas[[#This Row],[Valida Cant]]=1,Tabla__192.168.1.8_POSEIDONSQL_APPFVT_01_tblFillRateFechas[[#This Row],[Valida Fec]]=1),1,0)</f>
        <v>1</v>
      </c>
      <c r="P1144" s="1">
        <f>+(Tabla__192.168.1.8_POSEIDONSQL_APPFVT_01_tblFillRateFechas[[#This Row],[Cant_Resultante]]/Tabla__192.168.1.8_POSEIDONSQL_APPFVT_01_tblFillRateFechas[[#This Row],[cant_order]])*100</f>
        <v>100</v>
      </c>
      <c r="Q11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4" s="1">
        <f>+IF(Tabla__192.168.1.8_POSEIDONSQL_APPFVT_01_tblFillRateFechas[[#This Row],[cant_order]]&gt;0,1,0)</f>
        <v>1</v>
      </c>
      <c r="V1144" s="1">
        <f>+IF(Tabla__192.168.1.8_POSEIDONSQL_APPFVT_01_tblFillRateFechas[[#This Row],[Resultado]]=1,1,0)</f>
        <v>1</v>
      </c>
      <c r="W1144" s="1" t="str">
        <f>+Tabla__192.168.1.8_POSEIDONSQL_APPFVT_01_tblFillRateFechas[[#This Row],[con_ocnumero]]&amp;Tabla__192.168.1.8_POSEIDONSQL_APPFVT_01_tblFillRateFechas[[#This Row],[con_codigounico]]</f>
        <v>91906960390050000691890900101</v>
      </c>
      <c r="X11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5" spans="1:24" x14ac:dyDescent="0.25">
      <c r="A1145">
        <v>9</v>
      </c>
      <c r="B1145" t="s">
        <v>48</v>
      </c>
      <c r="C1145">
        <v>9190696</v>
      </c>
      <c r="D1145" t="s">
        <v>1970</v>
      </c>
      <c r="E1145" t="s">
        <v>1980</v>
      </c>
      <c r="F1145" t="s">
        <v>1971</v>
      </c>
      <c r="G1145">
        <v>1</v>
      </c>
      <c r="H1145">
        <v>1</v>
      </c>
      <c r="I1145" t="s">
        <v>1980</v>
      </c>
      <c r="J1145">
        <v>0</v>
      </c>
      <c r="K1145" t="s">
        <v>517</v>
      </c>
      <c r="L1145" s="1">
        <f>+Tabla__192.168.1.8_POSEIDONSQL_APPFVT_01_tblFillRateFechas[[#This Row],[emb_cantidad]]-Tabla__192.168.1.8_POSEIDONSQL_APPFVT_01_tblFillRateFechas[[#This Row],[dev_cantidad]]</f>
        <v>1</v>
      </c>
      <c r="M1145" s="1">
        <f>+IF(Tabla__192.168.1.8_POSEIDONSQL_APPFVT_01_tblFillRateFechas[[#This Row],[Cant_Resultante]]=Tabla__192.168.1.8_POSEIDONSQL_APPFVT_01_tblFillRateFechas[[#This Row],[cant_order]],1,0)</f>
        <v>1</v>
      </c>
      <c r="N11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5" s="1">
        <f>+IF(AND(Tabla__192.168.1.8_POSEIDONSQL_APPFVT_01_tblFillRateFechas[[#This Row],[Valida Cant]]=1,Tabla__192.168.1.8_POSEIDONSQL_APPFVT_01_tblFillRateFechas[[#This Row],[Valida Fec]]=1),1,0)</f>
        <v>1</v>
      </c>
      <c r="P1145" s="1">
        <f>+(Tabla__192.168.1.8_POSEIDONSQL_APPFVT_01_tblFillRateFechas[[#This Row],[Cant_Resultante]]/Tabla__192.168.1.8_POSEIDONSQL_APPFVT_01_tblFillRateFechas[[#This Row],[cant_order]])*100</f>
        <v>100</v>
      </c>
      <c r="Q11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5" s="1">
        <f>+IF(Tabla__192.168.1.8_POSEIDONSQL_APPFVT_01_tblFillRateFechas[[#This Row],[cant_order]]&gt;0,1,0)</f>
        <v>1</v>
      </c>
      <c r="V1145" s="1">
        <f>+IF(Tabla__192.168.1.8_POSEIDONSQL_APPFVT_01_tblFillRateFechas[[#This Row],[Resultado]]=1,1,0)</f>
        <v>1</v>
      </c>
      <c r="W1145" s="1" t="str">
        <f>+Tabla__192.168.1.8_POSEIDONSQL_APPFVT_01_tblFillRateFechas[[#This Row],[con_ocnumero]]&amp;Tabla__192.168.1.8_POSEIDONSQL_APPFVT_01_tblFillRateFechas[[#This Row],[con_codigounico]]</f>
        <v>91906960390050000691916540102</v>
      </c>
      <c r="X11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6" spans="1:24" x14ac:dyDescent="0.25">
      <c r="A1146">
        <v>9</v>
      </c>
      <c r="B1146" t="s">
        <v>48</v>
      </c>
      <c r="C1146">
        <v>9190819</v>
      </c>
      <c r="D1146" t="s">
        <v>1970</v>
      </c>
      <c r="E1146" t="s">
        <v>1963</v>
      </c>
      <c r="F1146" t="s">
        <v>1971</v>
      </c>
      <c r="G1146">
        <v>1</v>
      </c>
      <c r="H1146">
        <v>1</v>
      </c>
      <c r="I1146" t="s">
        <v>1963</v>
      </c>
      <c r="J1146">
        <v>0</v>
      </c>
      <c r="K1146" t="s">
        <v>752</v>
      </c>
      <c r="L1146" s="1">
        <f>+Tabla__192.168.1.8_POSEIDONSQL_APPFVT_01_tblFillRateFechas[[#This Row],[emb_cantidad]]-Tabla__192.168.1.8_POSEIDONSQL_APPFVT_01_tblFillRateFechas[[#This Row],[dev_cantidad]]</f>
        <v>1</v>
      </c>
      <c r="M1146" s="1">
        <f>+IF(Tabla__192.168.1.8_POSEIDONSQL_APPFVT_01_tblFillRateFechas[[#This Row],[Cant_Resultante]]=Tabla__192.168.1.8_POSEIDONSQL_APPFVT_01_tblFillRateFechas[[#This Row],[cant_order]],1,0)</f>
        <v>1</v>
      </c>
      <c r="N11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6" s="1">
        <f>+IF(AND(Tabla__192.168.1.8_POSEIDONSQL_APPFVT_01_tblFillRateFechas[[#This Row],[Valida Cant]]=1,Tabla__192.168.1.8_POSEIDONSQL_APPFVT_01_tblFillRateFechas[[#This Row],[Valida Fec]]=1),1,0)</f>
        <v>1</v>
      </c>
      <c r="P1146" s="1">
        <f>+(Tabla__192.168.1.8_POSEIDONSQL_APPFVT_01_tblFillRateFechas[[#This Row],[Cant_Resultante]]/Tabla__192.168.1.8_POSEIDONSQL_APPFVT_01_tblFillRateFechas[[#This Row],[cant_order]])*100</f>
        <v>100</v>
      </c>
      <c r="Q11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6" s="1">
        <f>+IF(Tabla__192.168.1.8_POSEIDONSQL_APPFVT_01_tblFillRateFechas[[#This Row],[cant_order]]&gt;0,1,0)</f>
        <v>1</v>
      </c>
      <c r="V1146" s="1">
        <f>+IF(Tabla__192.168.1.8_POSEIDONSQL_APPFVT_01_tblFillRateFechas[[#This Row],[Resultado]]=1,1,0)</f>
        <v>1</v>
      </c>
      <c r="W1146" s="1" t="str">
        <f>+Tabla__192.168.1.8_POSEIDONSQL_APPFVT_01_tblFillRateFechas[[#This Row],[con_ocnumero]]&amp;Tabla__192.168.1.8_POSEIDONSQL_APPFVT_01_tblFillRateFechas[[#This Row],[con_codigounico]]</f>
        <v>91908190390050000691956960101</v>
      </c>
      <c r="X11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7" spans="1:24" x14ac:dyDescent="0.25">
      <c r="A1147">
        <v>9</v>
      </c>
      <c r="B1147" t="s">
        <v>48</v>
      </c>
      <c r="C1147">
        <v>9190767</v>
      </c>
      <c r="D1147" t="s">
        <v>1970</v>
      </c>
      <c r="E1147" t="s">
        <v>1963</v>
      </c>
      <c r="F1147" t="s">
        <v>1971</v>
      </c>
      <c r="G1147">
        <v>1</v>
      </c>
      <c r="H1147">
        <v>1</v>
      </c>
      <c r="I1147" t="s">
        <v>1963</v>
      </c>
      <c r="J1147">
        <v>0</v>
      </c>
      <c r="K1147" t="s">
        <v>750</v>
      </c>
      <c r="L1147" s="1">
        <f>+Tabla__192.168.1.8_POSEIDONSQL_APPFVT_01_tblFillRateFechas[[#This Row],[emb_cantidad]]-Tabla__192.168.1.8_POSEIDONSQL_APPFVT_01_tblFillRateFechas[[#This Row],[dev_cantidad]]</f>
        <v>1</v>
      </c>
      <c r="M1147" s="1">
        <f>+IF(Tabla__192.168.1.8_POSEIDONSQL_APPFVT_01_tblFillRateFechas[[#This Row],[Cant_Resultante]]=Tabla__192.168.1.8_POSEIDONSQL_APPFVT_01_tblFillRateFechas[[#This Row],[cant_order]],1,0)</f>
        <v>1</v>
      </c>
      <c r="N11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7" s="1">
        <f>+IF(AND(Tabla__192.168.1.8_POSEIDONSQL_APPFVT_01_tblFillRateFechas[[#This Row],[Valida Cant]]=1,Tabla__192.168.1.8_POSEIDONSQL_APPFVT_01_tblFillRateFechas[[#This Row],[Valida Fec]]=1),1,0)</f>
        <v>1</v>
      </c>
      <c r="P1147" s="1">
        <f>+(Tabla__192.168.1.8_POSEIDONSQL_APPFVT_01_tblFillRateFechas[[#This Row],[Cant_Resultante]]/Tabla__192.168.1.8_POSEIDONSQL_APPFVT_01_tblFillRateFechas[[#This Row],[cant_order]])*100</f>
        <v>100</v>
      </c>
      <c r="Q11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7" s="1">
        <f>+IF(Tabla__192.168.1.8_POSEIDONSQL_APPFVT_01_tblFillRateFechas[[#This Row],[cant_order]]&gt;0,1,0)</f>
        <v>1</v>
      </c>
      <c r="V1147" s="1">
        <f>+IF(Tabla__192.168.1.8_POSEIDONSQL_APPFVT_01_tblFillRateFechas[[#This Row],[Resultado]]=1,1,0)</f>
        <v>1</v>
      </c>
      <c r="W1147" s="1" t="str">
        <f>+Tabla__192.168.1.8_POSEIDONSQL_APPFVT_01_tblFillRateFechas[[#This Row],[con_ocnumero]]&amp;Tabla__192.168.1.8_POSEIDONSQL_APPFVT_01_tblFillRateFechas[[#This Row],[con_codigounico]]</f>
        <v>91907670390050000691957140101</v>
      </c>
      <c r="X11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8" spans="1:24" x14ac:dyDescent="0.25">
      <c r="A1148">
        <v>9</v>
      </c>
      <c r="B1148" t="s">
        <v>48</v>
      </c>
      <c r="C1148">
        <v>9190767</v>
      </c>
      <c r="D1148" t="s">
        <v>1970</v>
      </c>
      <c r="E1148" t="s">
        <v>1963</v>
      </c>
      <c r="F1148" t="s">
        <v>1971</v>
      </c>
      <c r="G1148">
        <v>1</v>
      </c>
      <c r="H1148">
        <v>1</v>
      </c>
      <c r="I1148" t="s">
        <v>1963</v>
      </c>
      <c r="J1148">
        <v>0</v>
      </c>
      <c r="K1148" t="s">
        <v>751</v>
      </c>
      <c r="L1148" s="1">
        <f>+Tabla__192.168.1.8_POSEIDONSQL_APPFVT_01_tblFillRateFechas[[#This Row],[emb_cantidad]]-Tabla__192.168.1.8_POSEIDONSQL_APPFVT_01_tblFillRateFechas[[#This Row],[dev_cantidad]]</f>
        <v>1</v>
      </c>
      <c r="M1148" s="1">
        <f>+IF(Tabla__192.168.1.8_POSEIDONSQL_APPFVT_01_tblFillRateFechas[[#This Row],[Cant_Resultante]]=Tabla__192.168.1.8_POSEIDONSQL_APPFVT_01_tblFillRateFechas[[#This Row],[cant_order]],1,0)</f>
        <v>1</v>
      </c>
      <c r="N11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8" s="1">
        <f>+IF(AND(Tabla__192.168.1.8_POSEIDONSQL_APPFVT_01_tblFillRateFechas[[#This Row],[Valida Cant]]=1,Tabla__192.168.1.8_POSEIDONSQL_APPFVT_01_tblFillRateFechas[[#This Row],[Valida Fec]]=1),1,0)</f>
        <v>1</v>
      </c>
      <c r="P1148" s="1">
        <f>+(Tabla__192.168.1.8_POSEIDONSQL_APPFVT_01_tblFillRateFechas[[#This Row],[Cant_Resultante]]/Tabla__192.168.1.8_POSEIDONSQL_APPFVT_01_tblFillRateFechas[[#This Row],[cant_order]])*100</f>
        <v>100</v>
      </c>
      <c r="Q11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8" s="1">
        <f>+IF(Tabla__192.168.1.8_POSEIDONSQL_APPFVT_01_tblFillRateFechas[[#This Row],[cant_order]]&gt;0,1,0)</f>
        <v>1</v>
      </c>
      <c r="V1148" s="1">
        <f>+IF(Tabla__192.168.1.8_POSEIDONSQL_APPFVT_01_tblFillRateFechas[[#This Row],[Resultado]]=1,1,0)</f>
        <v>1</v>
      </c>
      <c r="W1148" s="1" t="str">
        <f>+Tabla__192.168.1.8_POSEIDONSQL_APPFVT_01_tblFillRateFechas[[#This Row],[con_ocnumero]]&amp;Tabla__192.168.1.8_POSEIDONSQL_APPFVT_01_tblFillRateFechas[[#This Row],[con_codigounico]]</f>
        <v>91907670390050000691959110101</v>
      </c>
      <c r="X11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49" spans="1:24" x14ac:dyDescent="0.25">
      <c r="A1149">
        <v>9</v>
      </c>
      <c r="B1149" t="s">
        <v>48</v>
      </c>
      <c r="C1149">
        <v>9190819</v>
      </c>
      <c r="D1149" t="s">
        <v>1970</v>
      </c>
      <c r="E1149" t="s">
        <v>160</v>
      </c>
      <c r="F1149" t="s">
        <v>1971</v>
      </c>
      <c r="G1149">
        <v>1</v>
      </c>
      <c r="H1149">
        <v>1</v>
      </c>
      <c r="I1149" t="s">
        <v>160</v>
      </c>
      <c r="J1149">
        <v>0</v>
      </c>
      <c r="K1149" t="s">
        <v>1084</v>
      </c>
      <c r="L1149" s="1">
        <f>+Tabla__192.168.1.8_POSEIDONSQL_APPFVT_01_tblFillRateFechas[[#This Row],[emb_cantidad]]-Tabla__192.168.1.8_POSEIDONSQL_APPFVT_01_tblFillRateFechas[[#This Row],[dev_cantidad]]</f>
        <v>1</v>
      </c>
      <c r="M1149" s="1">
        <f>+IF(Tabla__192.168.1.8_POSEIDONSQL_APPFVT_01_tblFillRateFechas[[#This Row],[Cant_Resultante]]=Tabla__192.168.1.8_POSEIDONSQL_APPFVT_01_tblFillRateFechas[[#This Row],[cant_order]],1,0)</f>
        <v>1</v>
      </c>
      <c r="N11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49" s="1">
        <f>+IF(AND(Tabla__192.168.1.8_POSEIDONSQL_APPFVT_01_tblFillRateFechas[[#This Row],[Valida Cant]]=1,Tabla__192.168.1.8_POSEIDONSQL_APPFVT_01_tblFillRateFechas[[#This Row],[Valida Fec]]=1),1,0)</f>
        <v>1</v>
      </c>
      <c r="P1149" s="1">
        <f>+(Tabla__192.168.1.8_POSEIDONSQL_APPFVT_01_tblFillRateFechas[[#This Row],[Cant_Resultante]]/Tabla__192.168.1.8_POSEIDONSQL_APPFVT_01_tblFillRateFechas[[#This Row],[cant_order]])*100</f>
        <v>100</v>
      </c>
      <c r="Q11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49" s="1">
        <f>+IF(Tabla__192.168.1.8_POSEIDONSQL_APPFVT_01_tblFillRateFechas[[#This Row],[cant_order]]&gt;0,1,0)</f>
        <v>1</v>
      </c>
      <c r="V1149" s="1">
        <f>+IF(Tabla__192.168.1.8_POSEIDONSQL_APPFVT_01_tblFillRateFechas[[#This Row],[Resultado]]=1,1,0)</f>
        <v>1</v>
      </c>
      <c r="W1149" s="1" t="str">
        <f>+Tabla__192.168.1.8_POSEIDONSQL_APPFVT_01_tblFillRateFechas[[#This Row],[con_ocnumero]]&amp;Tabla__192.168.1.8_POSEIDONSQL_APPFVT_01_tblFillRateFechas[[#This Row],[con_codigounico]]</f>
        <v>91908190390050000691963890101</v>
      </c>
      <c r="X11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0" spans="1:24" x14ac:dyDescent="0.25">
      <c r="A1150">
        <v>9</v>
      </c>
      <c r="B1150" t="s">
        <v>48</v>
      </c>
      <c r="C1150">
        <v>9191001</v>
      </c>
      <c r="D1150" t="s">
        <v>1971</v>
      </c>
      <c r="E1150" t="s">
        <v>160</v>
      </c>
      <c r="F1150" t="s">
        <v>1965</v>
      </c>
      <c r="G1150">
        <v>1</v>
      </c>
      <c r="H1150">
        <v>1</v>
      </c>
      <c r="I1150" t="s">
        <v>160</v>
      </c>
      <c r="J1150">
        <v>0</v>
      </c>
      <c r="K1150" t="s">
        <v>1394</v>
      </c>
      <c r="L1150" s="1">
        <f>+Tabla__192.168.1.8_POSEIDONSQL_APPFVT_01_tblFillRateFechas[[#This Row],[emb_cantidad]]-Tabla__192.168.1.8_POSEIDONSQL_APPFVT_01_tblFillRateFechas[[#This Row],[dev_cantidad]]</f>
        <v>1</v>
      </c>
      <c r="M1150" s="1">
        <f>+IF(Tabla__192.168.1.8_POSEIDONSQL_APPFVT_01_tblFillRateFechas[[#This Row],[Cant_Resultante]]=Tabla__192.168.1.8_POSEIDONSQL_APPFVT_01_tblFillRateFechas[[#This Row],[cant_order]],1,0)</f>
        <v>1</v>
      </c>
      <c r="N11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0" s="1">
        <f>+IF(AND(Tabla__192.168.1.8_POSEIDONSQL_APPFVT_01_tblFillRateFechas[[#This Row],[Valida Cant]]=1,Tabla__192.168.1.8_POSEIDONSQL_APPFVT_01_tblFillRateFechas[[#This Row],[Valida Fec]]=1),1,0)</f>
        <v>1</v>
      </c>
      <c r="P1150" s="1">
        <f>+(Tabla__192.168.1.8_POSEIDONSQL_APPFVT_01_tblFillRateFechas[[#This Row],[Cant_Resultante]]/Tabla__192.168.1.8_POSEIDONSQL_APPFVT_01_tblFillRateFechas[[#This Row],[cant_order]])*100</f>
        <v>100</v>
      </c>
      <c r="Q11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0" s="1">
        <f>+IF(Tabla__192.168.1.8_POSEIDONSQL_APPFVT_01_tblFillRateFechas[[#This Row],[cant_order]]&gt;0,1,0)</f>
        <v>1</v>
      </c>
      <c r="V1150" s="1">
        <f>+IF(Tabla__192.168.1.8_POSEIDONSQL_APPFVT_01_tblFillRateFechas[[#This Row],[Resultado]]=1,1,0)</f>
        <v>1</v>
      </c>
      <c r="W1150" s="1" t="str">
        <f>+Tabla__192.168.1.8_POSEIDONSQL_APPFVT_01_tblFillRateFechas[[#This Row],[con_ocnumero]]&amp;Tabla__192.168.1.8_POSEIDONSQL_APPFVT_01_tblFillRateFechas[[#This Row],[con_codigounico]]</f>
        <v>91910010390050000692005530101</v>
      </c>
      <c r="X11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1" spans="1:24" x14ac:dyDescent="0.25">
      <c r="A1151">
        <v>9</v>
      </c>
      <c r="B1151" t="s">
        <v>48</v>
      </c>
      <c r="C1151">
        <v>9190935</v>
      </c>
      <c r="D1151" t="s">
        <v>1971</v>
      </c>
      <c r="E1151" t="s">
        <v>1963</v>
      </c>
      <c r="F1151" t="s">
        <v>1965</v>
      </c>
      <c r="G1151">
        <v>1</v>
      </c>
      <c r="H1151">
        <v>0</v>
      </c>
      <c r="I1151" t="s">
        <v>12</v>
      </c>
      <c r="J1151">
        <v>0</v>
      </c>
      <c r="K1151" t="s">
        <v>1385</v>
      </c>
      <c r="L1151" s="1">
        <f>+Tabla__192.168.1.8_POSEIDONSQL_APPFVT_01_tblFillRateFechas[[#This Row],[emb_cantidad]]-Tabla__192.168.1.8_POSEIDONSQL_APPFVT_01_tblFillRateFechas[[#This Row],[dev_cantidad]]</f>
        <v>0</v>
      </c>
      <c r="M1151" s="1">
        <f>+IF(Tabla__192.168.1.8_POSEIDONSQL_APPFVT_01_tblFillRateFechas[[#This Row],[Cant_Resultante]]=Tabla__192.168.1.8_POSEIDONSQL_APPFVT_01_tblFillRateFechas[[#This Row],[cant_order]],1,0)</f>
        <v>0</v>
      </c>
      <c r="N11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151" s="1">
        <f>+IF(AND(Tabla__192.168.1.8_POSEIDONSQL_APPFVT_01_tblFillRateFechas[[#This Row],[Valida Cant]]=1,Tabla__192.168.1.8_POSEIDONSQL_APPFVT_01_tblFillRateFechas[[#This Row],[Valida Fec]]=1),1,0)</f>
        <v>0</v>
      </c>
      <c r="P1151" s="1">
        <f>+(Tabla__192.168.1.8_POSEIDONSQL_APPFVT_01_tblFillRateFechas[[#This Row],[Cant_Resultante]]/Tabla__192.168.1.8_POSEIDONSQL_APPFVT_01_tblFillRateFechas[[#This Row],[cant_order]])*100</f>
        <v>0</v>
      </c>
      <c r="Q11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1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1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151" s="1">
        <f>+IF(Tabla__192.168.1.8_POSEIDONSQL_APPFVT_01_tblFillRateFechas[[#This Row],[cant_order]]&gt;0,1,0)</f>
        <v>1</v>
      </c>
      <c r="V1151" s="1">
        <f>+IF(Tabla__192.168.1.8_POSEIDONSQL_APPFVT_01_tblFillRateFechas[[#This Row],[Resultado]]=1,1,0)</f>
        <v>0</v>
      </c>
      <c r="W1151" s="1" t="str">
        <f>+Tabla__192.168.1.8_POSEIDONSQL_APPFVT_01_tblFillRateFechas[[#This Row],[con_ocnumero]]&amp;Tabla__192.168.1.8_POSEIDONSQL_APPFVT_01_tblFillRateFechas[[#This Row],[con_codigounico]]</f>
        <v>91909350390050000692052190101</v>
      </c>
      <c r="X11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152" spans="1:24" x14ac:dyDescent="0.25">
      <c r="A1152">
        <v>9</v>
      </c>
      <c r="B1152" t="s">
        <v>48</v>
      </c>
      <c r="C1152">
        <v>9190819</v>
      </c>
      <c r="D1152" t="s">
        <v>1971</v>
      </c>
      <c r="E1152" t="s">
        <v>1969</v>
      </c>
      <c r="F1152" t="s">
        <v>1971</v>
      </c>
      <c r="G1152">
        <v>1</v>
      </c>
      <c r="H1152">
        <v>1</v>
      </c>
      <c r="I1152" t="s">
        <v>1969</v>
      </c>
      <c r="J1152">
        <v>0</v>
      </c>
      <c r="K1152" t="s">
        <v>1395</v>
      </c>
      <c r="L1152" s="1">
        <f>+Tabla__192.168.1.8_POSEIDONSQL_APPFVT_01_tblFillRateFechas[[#This Row],[emb_cantidad]]-Tabla__192.168.1.8_POSEIDONSQL_APPFVT_01_tblFillRateFechas[[#This Row],[dev_cantidad]]</f>
        <v>1</v>
      </c>
      <c r="M1152" s="1">
        <f>+IF(Tabla__192.168.1.8_POSEIDONSQL_APPFVT_01_tblFillRateFechas[[#This Row],[Cant_Resultante]]=Tabla__192.168.1.8_POSEIDONSQL_APPFVT_01_tblFillRateFechas[[#This Row],[cant_order]],1,0)</f>
        <v>1</v>
      </c>
      <c r="N11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2" s="1">
        <f>+IF(AND(Tabla__192.168.1.8_POSEIDONSQL_APPFVT_01_tblFillRateFechas[[#This Row],[Valida Cant]]=1,Tabla__192.168.1.8_POSEIDONSQL_APPFVT_01_tblFillRateFechas[[#This Row],[Valida Fec]]=1),1,0)</f>
        <v>1</v>
      </c>
      <c r="P1152" s="1">
        <f>+(Tabla__192.168.1.8_POSEIDONSQL_APPFVT_01_tblFillRateFechas[[#This Row],[Cant_Resultante]]/Tabla__192.168.1.8_POSEIDONSQL_APPFVT_01_tblFillRateFechas[[#This Row],[cant_order]])*100</f>
        <v>100</v>
      </c>
      <c r="Q11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2" s="1">
        <f>+IF(Tabla__192.168.1.8_POSEIDONSQL_APPFVT_01_tblFillRateFechas[[#This Row],[cant_order]]&gt;0,1,0)</f>
        <v>1</v>
      </c>
      <c r="V1152" s="1">
        <f>+IF(Tabla__192.168.1.8_POSEIDONSQL_APPFVT_01_tblFillRateFechas[[#This Row],[Resultado]]=1,1,0)</f>
        <v>1</v>
      </c>
      <c r="W1152" s="1" t="str">
        <f>+Tabla__192.168.1.8_POSEIDONSQL_APPFVT_01_tblFillRateFechas[[#This Row],[con_ocnumero]]&amp;Tabla__192.168.1.8_POSEIDONSQL_APPFVT_01_tblFillRateFechas[[#This Row],[con_codigounico]]</f>
        <v>91908190390050000692061470101</v>
      </c>
      <c r="X11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3" spans="1:24" x14ac:dyDescent="0.25">
      <c r="A1153">
        <v>9</v>
      </c>
      <c r="B1153" t="s">
        <v>48</v>
      </c>
      <c r="C1153">
        <v>9190819</v>
      </c>
      <c r="D1153" t="s">
        <v>1971</v>
      </c>
      <c r="E1153" t="s">
        <v>1963</v>
      </c>
      <c r="F1153" t="s">
        <v>1971</v>
      </c>
      <c r="G1153">
        <v>1</v>
      </c>
      <c r="H1153">
        <v>1</v>
      </c>
      <c r="I1153" t="s">
        <v>1963</v>
      </c>
      <c r="J1153">
        <v>0</v>
      </c>
      <c r="K1153" t="s">
        <v>753</v>
      </c>
      <c r="L1153" s="1">
        <f>+Tabla__192.168.1.8_POSEIDONSQL_APPFVT_01_tblFillRateFechas[[#This Row],[emb_cantidad]]-Tabla__192.168.1.8_POSEIDONSQL_APPFVT_01_tblFillRateFechas[[#This Row],[dev_cantidad]]</f>
        <v>1</v>
      </c>
      <c r="M1153" s="1">
        <f>+IF(Tabla__192.168.1.8_POSEIDONSQL_APPFVT_01_tblFillRateFechas[[#This Row],[Cant_Resultante]]=Tabla__192.168.1.8_POSEIDONSQL_APPFVT_01_tblFillRateFechas[[#This Row],[cant_order]],1,0)</f>
        <v>1</v>
      </c>
      <c r="N11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3" s="1">
        <f>+IF(AND(Tabla__192.168.1.8_POSEIDONSQL_APPFVT_01_tblFillRateFechas[[#This Row],[Valida Cant]]=1,Tabla__192.168.1.8_POSEIDONSQL_APPFVT_01_tblFillRateFechas[[#This Row],[Valida Fec]]=1),1,0)</f>
        <v>1</v>
      </c>
      <c r="P1153" s="1">
        <f>+(Tabla__192.168.1.8_POSEIDONSQL_APPFVT_01_tblFillRateFechas[[#This Row],[Cant_Resultante]]/Tabla__192.168.1.8_POSEIDONSQL_APPFVT_01_tblFillRateFechas[[#This Row],[cant_order]])*100</f>
        <v>100</v>
      </c>
      <c r="Q11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3" s="1">
        <f>+IF(Tabla__192.168.1.8_POSEIDONSQL_APPFVT_01_tblFillRateFechas[[#This Row],[cant_order]]&gt;0,1,0)</f>
        <v>1</v>
      </c>
      <c r="V1153" s="1">
        <f>+IF(Tabla__192.168.1.8_POSEIDONSQL_APPFVT_01_tblFillRateFechas[[#This Row],[Resultado]]=1,1,0)</f>
        <v>1</v>
      </c>
      <c r="W1153" s="1" t="str">
        <f>+Tabla__192.168.1.8_POSEIDONSQL_APPFVT_01_tblFillRateFechas[[#This Row],[con_ocnumero]]&amp;Tabla__192.168.1.8_POSEIDONSQL_APPFVT_01_tblFillRateFechas[[#This Row],[con_codigounico]]</f>
        <v>91908190390050000692064680101</v>
      </c>
      <c r="X11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4" spans="1:24" x14ac:dyDescent="0.25">
      <c r="A1154">
        <v>9</v>
      </c>
      <c r="B1154" t="s">
        <v>48</v>
      </c>
      <c r="C1154">
        <v>9190819</v>
      </c>
      <c r="D1154" t="s">
        <v>1971</v>
      </c>
      <c r="E1154" t="s">
        <v>1963</v>
      </c>
      <c r="F1154" t="s">
        <v>1971</v>
      </c>
      <c r="G1154">
        <v>1</v>
      </c>
      <c r="H1154">
        <v>1</v>
      </c>
      <c r="I1154" t="s">
        <v>1963</v>
      </c>
      <c r="J1154">
        <v>0</v>
      </c>
      <c r="K1154" t="s">
        <v>754</v>
      </c>
      <c r="L1154" s="1">
        <f>+Tabla__192.168.1.8_POSEIDONSQL_APPFVT_01_tblFillRateFechas[[#This Row],[emb_cantidad]]-Tabla__192.168.1.8_POSEIDONSQL_APPFVT_01_tblFillRateFechas[[#This Row],[dev_cantidad]]</f>
        <v>1</v>
      </c>
      <c r="M1154" s="1">
        <f>+IF(Tabla__192.168.1.8_POSEIDONSQL_APPFVT_01_tblFillRateFechas[[#This Row],[Cant_Resultante]]=Tabla__192.168.1.8_POSEIDONSQL_APPFVT_01_tblFillRateFechas[[#This Row],[cant_order]],1,0)</f>
        <v>1</v>
      </c>
      <c r="N11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4" s="1">
        <f>+IF(AND(Tabla__192.168.1.8_POSEIDONSQL_APPFVT_01_tblFillRateFechas[[#This Row],[Valida Cant]]=1,Tabla__192.168.1.8_POSEIDONSQL_APPFVT_01_tblFillRateFechas[[#This Row],[Valida Fec]]=1),1,0)</f>
        <v>1</v>
      </c>
      <c r="P1154" s="1">
        <f>+(Tabla__192.168.1.8_POSEIDONSQL_APPFVT_01_tblFillRateFechas[[#This Row],[Cant_Resultante]]/Tabla__192.168.1.8_POSEIDONSQL_APPFVT_01_tblFillRateFechas[[#This Row],[cant_order]])*100</f>
        <v>100</v>
      </c>
      <c r="Q11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4" s="1">
        <f>+IF(Tabla__192.168.1.8_POSEIDONSQL_APPFVT_01_tblFillRateFechas[[#This Row],[cant_order]]&gt;0,1,0)</f>
        <v>1</v>
      </c>
      <c r="V1154" s="1">
        <f>+IF(Tabla__192.168.1.8_POSEIDONSQL_APPFVT_01_tblFillRateFechas[[#This Row],[Resultado]]=1,1,0)</f>
        <v>1</v>
      </c>
      <c r="W1154" s="1" t="str">
        <f>+Tabla__192.168.1.8_POSEIDONSQL_APPFVT_01_tblFillRateFechas[[#This Row],[con_ocnumero]]&amp;Tabla__192.168.1.8_POSEIDONSQL_APPFVT_01_tblFillRateFechas[[#This Row],[con_codigounico]]</f>
        <v>91908190390050000692075080101</v>
      </c>
      <c r="X11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5" spans="1:24" x14ac:dyDescent="0.25">
      <c r="A1155">
        <v>9</v>
      </c>
      <c r="B1155" t="s">
        <v>48</v>
      </c>
      <c r="C1155">
        <v>9190819</v>
      </c>
      <c r="D1155" t="s">
        <v>1971</v>
      </c>
      <c r="E1155" t="s">
        <v>1963</v>
      </c>
      <c r="F1155" t="s">
        <v>1971</v>
      </c>
      <c r="G1155">
        <v>1</v>
      </c>
      <c r="H1155">
        <v>1</v>
      </c>
      <c r="I1155" t="s">
        <v>1963</v>
      </c>
      <c r="J1155">
        <v>0</v>
      </c>
      <c r="K1155" t="s">
        <v>755</v>
      </c>
      <c r="L1155" s="1">
        <f>+Tabla__192.168.1.8_POSEIDONSQL_APPFVT_01_tblFillRateFechas[[#This Row],[emb_cantidad]]-Tabla__192.168.1.8_POSEIDONSQL_APPFVT_01_tblFillRateFechas[[#This Row],[dev_cantidad]]</f>
        <v>1</v>
      </c>
      <c r="M1155" s="1">
        <f>+IF(Tabla__192.168.1.8_POSEIDONSQL_APPFVT_01_tblFillRateFechas[[#This Row],[Cant_Resultante]]=Tabla__192.168.1.8_POSEIDONSQL_APPFVT_01_tblFillRateFechas[[#This Row],[cant_order]],1,0)</f>
        <v>1</v>
      </c>
      <c r="N11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5" s="1">
        <f>+IF(AND(Tabla__192.168.1.8_POSEIDONSQL_APPFVT_01_tblFillRateFechas[[#This Row],[Valida Cant]]=1,Tabla__192.168.1.8_POSEIDONSQL_APPFVT_01_tblFillRateFechas[[#This Row],[Valida Fec]]=1),1,0)</f>
        <v>1</v>
      </c>
      <c r="P1155" s="1">
        <f>+(Tabla__192.168.1.8_POSEIDONSQL_APPFVT_01_tblFillRateFechas[[#This Row],[Cant_Resultante]]/Tabla__192.168.1.8_POSEIDONSQL_APPFVT_01_tblFillRateFechas[[#This Row],[cant_order]])*100</f>
        <v>100</v>
      </c>
      <c r="Q11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5" s="1">
        <f>+IF(Tabla__192.168.1.8_POSEIDONSQL_APPFVT_01_tblFillRateFechas[[#This Row],[cant_order]]&gt;0,1,0)</f>
        <v>1</v>
      </c>
      <c r="V1155" s="1">
        <f>+IF(Tabla__192.168.1.8_POSEIDONSQL_APPFVT_01_tblFillRateFechas[[#This Row],[Resultado]]=1,1,0)</f>
        <v>1</v>
      </c>
      <c r="W1155" s="1" t="str">
        <f>+Tabla__192.168.1.8_POSEIDONSQL_APPFVT_01_tblFillRateFechas[[#This Row],[con_ocnumero]]&amp;Tabla__192.168.1.8_POSEIDONSQL_APPFVT_01_tblFillRateFechas[[#This Row],[con_codigounico]]</f>
        <v>91908190390050000692089950101</v>
      </c>
      <c r="X11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6" spans="1:24" x14ac:dyDescent="0.25">
      <c r="A1156">
        <v>9</v>
      </c>
      <c r="B1156" t="s">
        <v>48</v>
      </c>
      <c r="C1156">
        <v>9190935</v>
      </c>
      <c r="D1156" t="s">
        <v>1971</v>
      </c>
      <c r="E1156" t="s">
        <v>1963</v>
      </c>
      <c r="F1156" t="s">
        <v>1965</v>
      </c>
      <c r="G1156">
        <v>1</v>
      </c>
      <c r="H1156">
        <v>1</v>
      </c>
      <c r="I1156" t="s">
        <v>1963</v>
      </c>
      <c r="J1156">
        <v>0</v>
      </c>
      <c r="K1156" t="s">
        <v>1387</v>
      </c>
      <c r="L1156" s="1">
        <f>+Tabla__192.168.1.8_POSEIDONSQL_APPFVT_01_tblFillRateFechas[[#This Row],[emb_cantidad]]-Tabla__192.168.1.8_POSEIDONSQL_APPFVT_01_tblFillRateFechas[[#This Row],[dev_cantidad]]</f>
        <v>1</v>
      </c>
      <c r="M1156" s="1">
        <f>+IF(Tabla__192.168.1.8_POSEIDONSQL_APPFVT_01_tblFillRateFechas[[#This Row],[Cant_Resultante]]=Tabla__192.168.1.8_POSEIDONSQL_APPFVT_01_tblFillRateFechas[[#This Row],[cant_order]],1,0)</f>
        <v>1</v>
      </c>
      <c r="N11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6" s="1">
        <f>+IF(AND(Tabla__192.168.1.8_POSEIDONSQL_APPFVT_01_tblFillRateFechas[[#This Row],[Valida Cant]]=1,Tabla__192.168.1.8_POSEIDONSQL_APPFVT_01_tblFillRateFechas[[#This Row],[Valida Fec]]=1),1,0)</f>
        <v>1</v>
      </c>
      <c r="P1156" s="1">
        <f>+(Tabla__192.168.1.8_POSEIDONSQL_APPFVT_01_tblFillRateFechas[[#This Row],[Cant_Resultante]]/Tabla__192.168.1.8_POSEIDONSQL_APPFVT_01_tblFillRateFechas[[#This Row],[cant_order]])*100</f>
        <v>100</v>
      </c>
      <c r="Q11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6" s="1">
        <f>+IF(Tabla__192.168.1.8_POSEIDONSQL_APPFVT_01_tblFillRateFechas[[#This Row],[cant_order]]&gt;0,1,0)</f>
        <v>1</v>
      </c>
      <c r="V1156" s="1">
        <f>+IF(Tabla__192.168.1.8_POSEIDONSQL_APPFVT_01_tblFillRateFechas[[#This Row],[Resultado]]=1,1,0)</f>
        <v>1</v>
      </c>
      <c r="W1156" s="1" t="str">
        <f>+Tabla__192.168.1.8_POSEIDONSQL_APPFVT_01_tblFillRateFechas[[#This Row],[con_ocnumero]]&amp;Tabla__192.168.1.8_POSEIDONSQL_APPFVT_01_tblFillRateFechas[[#This Row],[con_codigounico]]</f>
        <v>91909350390050000692164270101</v>
      </c>
      <c r="X11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7" spans="1:24" x14ac:dyDescent="0.25">
      <c r="A1157">
        <v>9</v>
      </c>
      <c r="B1157" t="s">
        <v>48</v>
      </c>
      <c r="C1157">
        <v>9190935</v>
      </c>
      <c r="D1157" t="s">
        <v>1971</v>
      </c>
      <c r="E1157" t="s">
        <v>1963</v>
      </c>
      <c r="F1157" t="s">
        <v>1965</v>
      </c>
      <c r="G1157">
        <v>2</v>
      </c>
      <c r="H1157">
        <v>2</v>
      </c>
      <c r="I1157" t="s">
        <v>1963</v>
      </c>
      <c r="J1157">
        <v>0</v>
      </c>
      <c r="K1157" t="s">
        <v>1386</v>
      </c>
      <c r="L1157" s="1">
        <f>+Tabla__192.168.1.8_POSEIDONSQL_APPFVT_01_tblFillRateFechas[[#This Row],[emb_cantidad]]-Tabla__192.168.1.8_POSEIDONSQL_APPFVT_01_tblFillRateFechas[[#This Row],[dev_cantidad]]</f>
        <v>2</v>
      </c>
      <c r="M1157" s="1">
        <f>+IF(Tabla__192.168.1.8_POSEIDONSQL_APPFVT_01_tblFillRateFechas[[#This Row],[Cant_Resultante]]=Tabla__192.168.1.8_POSEIDONSQL_APPFVT_01_tblFillRateFechas[[#This Row],[cant_order]],1,0)</f>
        <v>1</v>
      </c>
      <c r="N11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7" s="1">
        <f>+IF(AND(Tabla__192.168.1.8_POSEIDONSQL_APPFVT_01_tblFillRateFechas[[#This Row],[Valida Cant]]=1,Tabla__192.168.1.8_POSEIDONSQL_APPFVT_01_tblFillRateFechas[[#This Row],[Valida Fec]]=1),1,0)</f>
        <v>1</v>
      </c>
      <c r="P1157" s="1">
        <f>+(Tabla__192.168.1.8_POSEIDONSQL_APPFVT_01_tblFillRateFechas[[#This Row],[Cant_Resultante]]/Tabla__192.168.1.8_POSEIDONSQL_APPFVT_01_tblFillRateFechas[[#This Row],[cant_order]])*100</f>
        <v>100</v>
      </c>
      <c r="Q11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1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1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7" s="1">
        <f>+IF(Tabla__192.168.1.8_POSEIDONSQL_APPFVT_01_tblFillRateFechas[[#This Row],[cant_order]]&gt;0,1,0)</f>
        <v>1</v>
      </c>
      <c r="V1157" s="1">
        <f>+IF(Tabla__192.168.1.8_POSEIDONSQL_APPFVT_01_tblFillRateFechas[[#This Row],[Resultado]]=1,1,0)</f>
        <v>1</v>
      </c>
      <c r="W1157" s="1" t="str">
        <f>+Tabla__192.168.1.8_POSEIDONSQL_APPFVT_01_tblFillRateFechas[[#This Row],[con_ocnumero]]&amp;Tabla__192.168.1.8_POSEIDONSQL_APPFVT_01_tblFillRateFechas[[#This Row],[con_codigounico]]</f>
        <v>91909350390050000692170620101</v>
      </c>
      <c r="X11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158" spans="1:24" x14ac:dyDescent="0.25">
      <c r="A1158">
        <v>9</v>
      </c>
      <c r="B1158" t="s">
        <v>48</v>
      </c>
      <c r="C1158">
        <v>9190968</v>
      </c>
      <c r="D1158" t="s">
        <v>1971</v>
      </c>
      <c r="E1158" t="s">
        <v>1963</v>
      </c>
      <c r="F1158" t="s">
        <v>1965</v>
      </c>
      <c r="G1158">
        <v>1</v>
      </c>
      <c r="H1158">
        <v>1</v>
      </c>
      <c r="I1158" t="s">
        <v>1963</v>
      </c>
      <c r="J1158">
        <v>0</v>
      </c>
      <c r="K1158" t="s">
        <v>1390</v>
      </c>
      <c r="L1158" s="1">
        <f>+Tabla__192.168.1.8_POSEIDONSQL_APPFVT_01_tblFillRateFechas[[#This Row],[emb_cantidad]]-Tabla__192.168.1.8_POSEIDONSQL_APPFVT_01_tblFillRateFechas[[#This Row],[dev_cantidad]]</f>
        <v>1</v>
      </c>
      <c r="M1158" s="1">
        <f>+IF(Tabla__192.168.1.8_POSEIDONSQL_APPFVT_01_tblFillRateFechas[[#This Row],[Cant_Resultante]]=Tabla__192.168.1.8_POSEIDONSQL_APPFVT_01_tblFillRateFechas[[#This Row],[cant_order]],1,0)</f>
        <v>1</v>
      </c>
      <c r="N11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8" s="1">
        <f>+IF(AND(Tabla__192.168.1.8_POSEIDONSQL_APPFVT_01_tblFillRateFechas[[#This Row],[Valida Cant]]=1,Tabla__192.168.1.8_POSEIDONSQL_APPFVT_01_tblFillRateFechas[[#This Row],[Valida Fec]]=1),1,0)</f>
        <v>1</v>
      </c>
      <c r="P1158" s="1">
        <f>+(Tabla__192.168.1.8_POSEIDONSQL_APPFVT_01_tblFillRateFechas[[#This Row],[Cant_Resultante]]/Tabla__192.168.1.8_POSEIDONSQL_APPFVT_01_tblFillRateFechas[[#This Row],[cant_order]])*100</f>
        <v>100</v>
      </c>
      <c r="Q11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8" s="1">
        <f>+IF(Tabla__192.168.1.8_POSEIDONSQL_APPFVT_01_tblFillRateFechas[[#This Row],[cant_order]]&gt;0,1,0)</f>
        <v>1</v>
      </c>
      <c r="V1158" s="1">
        <f>+IF(Tabla__192.168.1.8_POSEIDONSQL_APPFVT_01_tblFillRateFechas[[#This Row],[Resultado]]=1,1,0)</f>
        <v>1</v>
      </c>
      <c r="W1158" s="1" t="str">
        <f>+Tabla__192.168.1.8_POSEIDONSQL_APPFVT_01_tblFillRateFechas[[#This Row],[con_ocnumero]]&amp;Tabla__192.168.1.8_POSEIDONSQL_APPFVT_01_tblFillRateFechas[[#This Row],[con_codigounico]]</f>
        <v>91909680390050000692197710101</v>
      </c>
      <c r="X11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59" spans="1:24" x14ac:dyDescent="0.25">
      <c r="A1159">
        <v>9</v>
      </c>
      <c r="B1159" t="s">
        <v>48</v>
      </c>
      <c r="C1159">
        <v>9190968</v>
      </c>
      <c r="D1159" t="s">
        <v>1971</v>
      </c>
      <c r="E1159" t="s">
        <v>1963</v>
      </c>
      <c r="F1159" t="s">
        <v>1965</v>
      </c>
      <c r="G1159">
        <v>1</v>
      </c>
      <c r="H1159">
        <v>1</v>
      </c>
      <c r="I1159" t="s">
        <v>1963</v>
      </c>
      <c r="J1159">
        <v>0</v>
      </c>
      <c r="K1159" t="s">
        <v>1389</v>
      </c>
      <c r="L1159" s="1">
        <f>+Tabla__192.168.1.8_POSEIDONSQL_APPFVT_01_tblFillRateFechas[[#This Row],[emb_cantidad]]-Tabla__192.168.1.8_POSEIDONSQL_APPFVT_01_tblFillRateFechas[[#This Row],[dev_cantidad]]</f>
        <v>1</v>
      </c>
      <c r="M1159" s="1">
        <f>+IF(Tabla__192.168.1.8_POSEIDONSQL_APPFVT_01_tblFillRateFechas[[#This Row],[Cant_Resultante]]=Tabla__192.168.1.8_POSEIDONSQL_APPFVT_01_tblFillRateFechas[[#This Row],[cant_order]],1,0)</f>
        <v>1</v>
      </c>
      <c r="N11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59" s="1">
        <f>+IF(AND(Tabla__192.168.1.8_POSEIDONSQL_APPFVT_01_tblFillRateFechas[[#This Row],[Valida Cant]]=1,Tabla__192.168.1.8_POSEIDONSQL_APPFVT_01_tblFillRateFechas[[#This Row],[Valida Fec]]=1),1,0)</f>
        <v>1</v>
      </c>
      <c r="P1159" s="1">
        <f>+(Tabla__192.168.1.8_POSEIDONSQL_APPFVT_01_tblFillRateFechas[[#This Row],[Cant_Resultante]]/Tabla__192.168.1.8_POSEIDONSQL_APPFVT_01_tblFillRateFechas[[#This Row],[cant_order]])*100</f>
        <v>100</v>
      </c>
      <c r="Q11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59" s="1">
        <f>+IF(Tabla__192.168.1.8_POSEIDONSQL_APPFVT_01_tblFillRateFechas[[#This Row],[cant_order]]&gt;0,1,0)</f>
        <v>1</v>
      </c>
      <c r="V1159" s="1">
        <f>+IF(Tabla__192.168.1.8_POSEIDONSQL_APPFVT_01_tblFillRateFechas[[#This Row],[Resultado]]=1,1,0)</f>
        <v>1</v>
      </c>
      <c r="W1159" s="1" t="str">
        <f>+Tabla__192.168.1.8_POSEIDONSQL_APPFVT_01_tblFillRateFechas[[#This Row],[con_ocnumero]]&amp;Tabla__192.168.1.8_POSEIDONSQL_APPFVT_01_tblFillRateFechas[[#This Row],[con_codigounico]]</f>
        <v>91909680390050000692241400101</v>
      </c>
      <c r="X11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0" spans="1:24" x14ac:dyDescent="0.25">
      <c r="A1160">
        <v>9</v>
      </c>
      <c r="B1160" t="s">
        <v>48</v>
      </c>
      <c r="C1160">
        <v>9191186</v>
      </c>
      <c r="D1160" t="s">
        <v>1971</v>
      </c>
      <c r="E1160" t="s">
        <v>1963</v>
      </c>
      <c r="F1160" t="s">
        <v>1965</v>
      </c>
      <c r="G1160">
        <v>1</v>
      </c>
      <c r="H1160">
        <v>1</v>
      </c>
      <c r="I1160" t="s">
        <v>1963</v>
      </c>
      <c r="J1160">
        <v>0</v>
      </c>
      <c r="K1160" t="s">
        <v>1393</v>
      </c>
      <c r="L1160" s="1">
        <f>+Tabla__192.168.1.8_POSEIDONSQL_APPFVT_01_tblFillRateFechas[[#This Row],[emb_cantidad]]-Tabla__192.168.1.8_POSEIDONSQL_APPFVT_01_tblFillRateFechas[[#This Row],[dev_cantidad]]</f>
        <v>1</v>
      </c>
      <c r="M1160" s="1">
        <f>+IF(Tabla__192.168.1.8_POSEIDONSQL_APPFVT_01_tblFillRateFechas[[#This Row],[Cant_Resultante]]=Tabla__192.168.1.8_POSEIDONSQL_APPFVT_01_tblFillRateFechas[[#This Row],[cant_order]],1,0)</f>
        <v>1</v>
      </c>
      <c r="N11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0" s="1">
        <f>+IF(AND(Tabla__192.168.1.8_POSEIDONSQL_APPFVT_01_tblFillRateFechas[[#This Row],[Valida Cant]]=1,Tabla__192.168.1.8_POSEIDONSQL_APPFVT_01_tblFillRateFechas[[#This Row],[Valida Fec]]=1),1,0)</f>
        <v>1</v>
      </c>
      <c r="P1160" s="1">
        <f>+(Tabla__192.168.1.8_POSEIDONSQL_APPFVT_01_tblFillRateFechas[[#This Row],[Cant_Resultante]]/Tabla__192.168.1.8_POSEIDONSQL_APPFVT_01_tblFillRateFechas[[#This Row],[cant_order]])*100</f>
        <v>100</v>
      </c>
      <c r="Q11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0" s="1">
        <f>+IF(Tabla__192.168.1.8_POSEIDONSQL_APPFVT_01_tblFillRateFechas[[#This Row],[cant_order]]&gt;0,1,0)</f>
        <v>1</v>
      </c>
      <c r="V1160" s="1">
        <f>+IF(Tabla__192.168.1.8_POSEIDONSQL_APPFVT_01_tblFillRateFechas[[#This Row],[Resultado]]=1,1,0)</f>
        <v>1</v>
      </c>
      <c r="W1160" s="1" t="str">
        <f>+Tabla__192.168.1.8_POSEIDONSQL_APPFVT_01_tblFillRateFechas[[#This Row],[con_ocnumero]]&amp;Tabla__192.168.1.8_POSEIDONSQL_APPFVT_01_tblFillRateFechas[[#This Row],[con_codigounico]]</f>
        <v>91911860390050000692365060101</v>
      </c>
      <c r="X11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1" spans="1:24" x14ac:dyDescent="0.25">
      <c r="A1161">
        <v>9</v>
      </c>
      <c r="B1161" t="s">
        <v>48</v>
      </c>
      <c r="C1161">
        <v>9191186</v>
      </c>
      <c r="D1161" t="s">
        <v>1971</v>
      </c>
      <c r="E1161" t="s">
        <v>1963</v>
      </c>
      <c r="F1161" t="s">
        <v>1965</v>
      </c>
      <c r="G1161">
        <v>1</v>
      </c>
      <c r="H1161">
        <v>1</v>
      </c>
      <c r="I1161" t="s">
        <v>1963</v>
      </c>
      <c r="J1161">
        <v>0</v>
      </c>
      <c r="K1161" t="s">
        <v>1391</v>
      </c>
      <c r="L1161" s="1">
        <f>+Tabla__192.168.1.8_POSEIDONSQL_APPFVT_01_tblFillRateFechas[[#This Row],[emb_cantidad]]-Tabla__192.168.1.8_POSEIDONSQL_APPFVT_01_tblFillRateFechas[[#This Row],[dev_cantidad]]</f>
        <v>1</v>
      </c>
      <c r="M1161" s="1">
        <f>+IF(Tabla__192.168.1.8_POSEIDONSQL_APPFVT_01_tblFillRateFechas[[#This Row],[Cant_Resultante]]=Tabla__192.168.1.8_POSEIDONSQL_APPFVT_01_tblFillRateFechas[[#This Row],[cant_order]],1,0)</f>
        <v>1</v>
      </c>
      <c r="N11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1" s="1">
        <f>+IF(AND(Tabla__192.168.1.8_POSEIDONSQL_APPFVT_01_tblFillRateFechas[[#This Row],[Valida Cant]]=1,Tabla__192.168.1.8_POSEIDONSQL_APPFVT_01_tblFillRateFechas[[#This Row],[Valida Fec]]=1),1,0)</f>
        <v>1</v>
      </c>
      <c r="P1161" s="1">
        <f>+(Tabla__192.168.1.8_POSEIDONSQL_APPFVT_01_tblFillRateFechas[[#This Row],[Cant_Resultante]]/Tabla__192.168.1.8_POSEIDONSQL_APPFVT_01_tblFillRateFechas[[#This Row],[cant_order]])*100</f>
        <v>100</v>
      </c>
      <c r="Q11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1" s="1">
        <f>+IF(Tabla__192.168.1.8_POSEIDONSQL_APPFVT_01_tblFillRateFechas[[#This Row],[cant_order]]&gt;0,1,0)</f>
        <v>1</v>
      </c>
      <c r="V1161" s="1">
        <f>+IF(Tabla__192.168.1.8_POSEIDONSQL_APPFVT_01_tblFillRateFechas[[#This Row],[Resultado]]=1,1,0)</f>
        <v>1</v>
      </c>
      <c r="W1161" s="1" t="str">
        <f>+Tabla__192.168.1.8_POSEIDONSQL_APPFVT_01_tblFillRateFechas[[#This Row],[con_ocnumero]]&amp;Tabla__192.168.1.8_POSEIDONSQL_APPFVT_01_tblFillRateFechas[[#This Row],[con_codigounico]]</f>
        <v>91911860390050000692391110101</v>
      </c>
      <c r="X11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2" spans="1:24" x14ac:dyDescent="0.25">
      <c r="A1162">
        <v>9</v>
      </c>
      <c r="B1162" t="s">
        <v>48</v>
      </c>
      <c r="C1162">
        <v>9191389</v>
      </c>
      <c r="D1162" t="s">
        <v>1971</v>
      </c>
      <c r="E1162" t="s">
        <v>1963</v>
      </c>
      <c r="F1162" t="s">
        <v>1965</v>
      </c>
      <c r="G1162">
        <v>1</v>
      </c>
      <c r="H1162">
        <v>1</v>
      </c>
      <c r="I1162" t="s">
        <v>1963</v>
      </c>
      <c r="J1162">
        <v>0</v>
      </c>
      <c r="K1162" t="s">
        <v>1384</v>
      </c>
      <c r="L1162" s="1">
        <f>+Tabla__192.168.1.8_POSEIDONSQL_APPFVT_01_tblFillRateFechas[[#This Row],[emb_cantidad]]-Tabla__192.168.1.8_POSEIDONSQL_APPFVT_01_tblFillRateFechas[[#This Row],[dev_cantidad]]</f>
        <v>1</v>
      </c>
      <c r="M1162" s="1">
        <f>+IF(Tabla__192.168.1.8_POSEIDONSQL_APPFVT_01_tblFillRateFechas[[#This Row],[Cant_Resultante]]=Tabla__192.168.1.8_POSEIDONSQL_APPFVT_01_tblFillRateFechas[[#This Row],[cant_order]],1,0)</f>
        <v>1</v>
      </c>
      <c r="N11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2" s="1">
        <f>+IF(AND(Tabla__192.168.1.8_POSEIDONSQL_APPFVT_01_tblFillRateFechas[[#This Row],[Valida Cant]]=1,Tabla__192.168.1.8_POSEIDONSQL_APPFVT_01_tblFillRateFechas[[#This Row],[Valida Fec]]=1),1,0)</f>
        <v>1</v>
      </c>
      <c r="P1162" s="1">
        <f>+(Tabla__192.168.1.8_POSEIDONSQL_APPFVT_01_tblFillRateFechas[[#This Row],[Cant_Resultante]]/Tabla__192.168.1.8_POSEIDONSQL_APPFVT_01_tblFillRateFechas[[#This Row],[cant_order]])*100</f>
        <v>100</v>
      </c>
      <c r="Q11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2" s="1">
        <f>+IF(Tabla__192.168.1.8_POSEIDONSQL_APPFVT_01_tblFillRateFechas[[#This Row],[cant_order]]&gt;0,1,0)</f>
        <v>1</v>
      </c>
      <c r="V1162" s="1">
        <f>+IF(Tabla__192.168.1.8_POSEIDONSQL_APPFVT_01_tblFillRateFechas[[#This Row],[Resultado]]=1,1,0)</f>
        <v>1</v>
      </c>
      <c r="W1162" s="1" t="str">
        <f>+Tabla__192.168.1.8_POSEIDONSQL_APPFVT_01_tblFillRateFechas[[#This Row],[con_ocnumero]]&amp;Tabla__192.168.1.8_POSEIDONSQL_APPFVT_01_tblFillRateFechas[[#This Row],[con_codigounico]]</f>
        <v>91913890390050000692483660101</v>
      </c>
      <c r="X11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3" spans="1:24" x14ac:dyDescent="0.25">
      <c r="A1163">
        <v>9</v>
      </c>
      <c r="B1163" t="s">
        <v>48</v>
      </c>
      <c r="C1163">
        <v>9191325</v>
      </c>
      <c r="D1163" t="s">
        <v>1971</v>
      </c>
      <c r="E1163" t="s">
        <v>1980</v>
      </c>
      <c r="F1163" t="s">
        <v>1965</v>
      </c>
      <c r="G1163">
        <v>1</v>
      </c>
      <c r="H1163">
        <v>1</v>
      </c>
      <c r="I1163" t="s">
        <v>1980</v>
      </c>
      <c r="J1163">
        <v>0</v>
      </c>
      <c r="K1163" t="s">
        <v>1240</v>
      </c>
      <c r="L1163" s="1">
        <f>+Tabla__192.168.1.8_POSEIDONSQL_APPFVT_01_tblFillRateFechas[[#This Row],[emb_cantidad]]-Tabla__192.168.1.8_POSEIDONSQL_APPFVT_01_tblFillRateFechas[[#This Row],[dev_cantidad]]</f>
        <v>1</v>
      </c>
      <c r="M1163" s="1">
        <f>+IF(Tabla__192.168.1.8_POSEIDONSQL_APPFVT_01_tblFillRateFechas[[#This Row],[Cant_Resultante]]=Tabla__192.168.1.8_POSEIDONSQL_APPFVT_01_tblFillRateFechas[[#This Row],[cant_order]],1,0)</f>
        <v>1</v>
      </c>
      <c r="N11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3" s="1">
        <f>+IF(AND(Tabla__192.168.1.8_POSEIDONSQL_APPFVT_01_tblFillRateFechas[[#This Row],[Valida Cant]]=1,Tabla__192.168.1.8_POSEIDONSQL_APPFVT_01_tblFillRateFechas[[#This Row],[Valida Fec]]=1),1,0)</f>
        <v>1</v>
      </c>
      <c r="P1163" s="1">
        <f>+(Tabla__192.168.1.8_POSEIDONSQL_APPFVT_01_tblFillRateFechas[[#This Row],[Cant_Resultante]]/Tabla__192.168.1.8_POSEIDONSQL_APPFVT_01_tblFillRateFechas[[#This Row],[cant_order]])*100</f>
        <v>100</v>
      </c>
      <c r="Q11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3" s="1">
        <f>+IF(Tabla__192.168.1.8_POSEIDONSQL_APPFVT_01_tblFillRateFechas[[#This Row],[cant_order]]&gt;0,1,0)</f>
        <v>1</v>
      </c>
      <c r="V1163" s="1">
        <f>+IF(Tabla__192.168.1.8_POSEIDONSQL_APPFVT_01_tblFillRateFechas[[#This Row],[Resultado]]=1,1,0)</f>
        <v>1</v>
      </c>
      <c r="W1163" s="1" t="str">
        <f>+Tabla__192.168.1.8_POSEIDONSQL_APPFVT_01_tblFillRateFechas[[#This Row],[con_ocnumero]]&amp;Tabla__192.168.1.8_POSEIDONSQL_APPFVT_01_tblFillRateFechas[[#This Row],[con_codigounico]]</f>
        <v>91913250390050000692491220101</v>
      </c>
      <c r="X11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4" spans="1:24" x14ac:dyDescent="0.25">
      <c r="A1164">
        <v>9</v>
      </c>
      <c r="B1164" t="s">
        <v>48</v>
      </c>
      <c r="C1164">
        <v>9191641</v>
      </c>
      <c r="D1164" t="s">
        <v>1965</v>
      </c>
      <c r="E1164" t="s">
        <v>1963</v>
      </c>
      <c r="F1164" t="s">
        <v>1980</v>
      </c>
      <c r="G1164">
        <v>1</v>
      </c>
      <c r="H1164">
        <v>1</v>
      </c>
      <c r="I1164" t="s">
        <v>1963</v>
      </c>
      <c r="J1164">
        <v>0</v>
      </c>
      <c r="K1164" t="s">
        <v>1786</v>
      </c>
      <c r="L1164" s="1">
        <f>+Tabla__192.168.1.8_POSEIDONSQL_APPFVT_01_tblFillRateFechas[[#This Row],[emb_cantidad]]-Tabla__192.168.1.8_POSEIDONSQL_APPFVT_01_tblFillRateFechas[[#This Row],[dev_cantidad]]</f>
        <v>1</v>
      </c>
      <c r="M1164" s="1">
        <f>+IF(Tabla__192.168.1.8_POSEIDONSQL_APPFVT_01_tblFillRateFechas[[#This Row],[Cant_Resultante]]=Tabla__192.168.1.8_POSEIDONSQL_APPFVT_01_tblFillRateFechas[[#This Row],[cant_order]],1,0)</f>
        <v>1</v>
      </c>
      <c r="N11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4" s="1">
        <f>+IF(AND(Tabla__192.168.1.8_POSEIDONSQL_APPFVT_01_tblFillRateFechas[[#This Row],[Valida Cant]]=1,Tabla__192.168.1.8_POSEIDONSQL_APPFVT_01_tblFillRateFechas[[#This Row],[Valida Fec]]=1),1,0)</f>
        <v>1</v>
      </c>
      <c r="P1164" s="1">
        <f>+(Tabla__192.168.1.8_POSEIDONSQL_APPFVT_01_tblFillRateFechas[[#This Row],[Cant_Resultante]]/Tabla__192.168.1.8_POSEIDONSQL_APPFVT_01_tblFillRateFechas[[#This Row],[cant_order]])*100</f>
        <v>100</v>
      </c>
      <c r="Q11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4" s="1">
        <f>+IF(Tabla__192.168.1.8_POSEIDONSQL_APPFVT_01_tblFillRateFechas[[#This Row],[cant_order]]&gt;0,1,0)</f>
        <v>1</v>
      </c>
      <c r="V1164" s="1">
        <f>+IF(Tabla__192.168.1.8_POSEIDONSQL_APPFVT_01_tblFillRateFechas[[#This Row],[Resultado]]=1,1,0)</f>
        <v>1</v>
      </c>
      <c r="W1164" s="1" t="str">
        <f>+Tabla__192.168.1.8_POSEIDONSQL_APPFVT_01_tblFillRateFechas[[#This Row],[con_ocnumero]]&amp;Tabla__192.168.1.8_POSEIDONSQL_APPFVT_01_tblFillRateFechas[[#This Row],[con_codigounico]]</f>
        <v>91916410390050000692541910103</v>
      </c>
      <c r="X11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5" spans="1:24" x14ac:dyDescent="0.25">
      <c r="A1165">
        <v>9</v>
      </c>
      <c r="B1165" t="s">
        <v>48</v>
      </c>
      <c r="C1165">
        <v>9192431</v>
      </c>
      <c r="D1165" t="s">
        <v>1980</v>
      </c>
      <c r="E1165" t="s">
        <v>160</v>
      </c>
      <c r="F1165" t="s">
        <v>1977</v>
      </c>
      <c r="G1165">
        <v>1</v>
      </c>
      <c r="H1165">
        <v>1</v>
      </c>
      <c r="I1165" t="s">
        <v>160</v>
      </c>
      <c r="J1165">
        <v>0</v>
      </c>
      <c r="K1165" t="s">
        <v>809</v>
      </c>
      <c r="L1165" s="1">
        <f>+Tabla__192.168.1.8_POSEIDONSQL_APPFVT_01_tblFillRateFechas[[#This Row],[emb_cantidad]]-Tabla__192.168.1.8_POSEIDONSQL_APPFVT_01_tblFillRateFechas[[#This Row],[dev_cantidad]]</f>
        <v>1</v>
      </c>
      <c r="M1165" s="1">
        <f>+IF(Tabla__192.168.1.8_POSEIDONSQL_APPFVT_01_tblFillRateFechas[[#This Row],[Cant_Resultante]]=Tabla__192.168.1.8_POSEIDONSQL_APPFVT_01_tblFillRateFechas[[#This Row],[cant_order]],1,0)</f>
        <v>1</v>
      </c>
      <c r="N11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5" s="1">
        <f>+IF(AND(Tabla__192.168.1.8_POSEIDONSQL_APPFVT_01_tblFillRateFechas[[#This Row],[Valida Cant]]=1,Tabla__192.168.1.8_POSEIDONSQL_APPFVT_01_tblFillRateFechas[[#This Row],[Valida Fec]]=1),1,0)</f>
        <v>1</v>
      </c>
      <c r="P1165" s="1">
        <f>+(Tabla__192.168.1.8_POSEIDONSQL_APPFVT_01_tblFillRateFechas[[#This Row],[Cant_Resultante]]/Tabla__192.168.1.8_POSEIDONSQL_APPFVT_01_tblFillRateFechas[[#This Row],[cant_order]])*100</f>
        <v>100</v>
      </c>
      <c r="Q11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5" s="1">
        <f>+IF(Tabla__192.168.1.8_POSEIDONSQL_APPFVT_01_tblFillRateFechas[[#This Row],[cant_order]]&gt;0,1,0)</f>
        <v>1</v>
      </c>
      <c r="V1165" s="1">
        <f>+IF(Tabla__192.168.1.8_POSEIDONSQL_APPFVT_01_tblFillRateFechas[[#This Row],[Resultado]]=1,1,0)</f>
        <v>1</v>
      </c>
      <c r="W1165" s="1" t="str">
        <f>+Tabla__192.168.1.8_POSEIDONSQL_APPFVT_01_tblFillRateFechas[[#This Row],[con_ocnumero]]&amp;Tabla__192.168.1.8_POSEIDONSQL_APPFVT_01_tblFillRateFechas[[#This Row],[con_codigounico]]</f>
        <v>91924310390050000692734210103</v>
      </c>
      <c r="X11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6" spans="1:24" x14ac:dyDescent="0.25">
      <c r="A1166">
        <v>9</v>
      </c>
      <c r="B1166" t="s">
        <v>48</v>
      </c>
      <c r="C1166">
        <v>9191641</v>
      </c>
      <c r="D1166" t="s">
        <v>1965</v>
      </c>
      <c r="E1166" t="s">
        <v>160</v>
      </c>
      <c r="F1166" t="s">
        <v>1980</v>
      </c>
      <c r="G1166">
        <v>1</v>
      </c>
      <c r="H1166">
        <v>1</v>
      </c>
      <c r="I1166" t="s">
        <v>160</v>
      </c>
      <c r="J1166">
        <v>0</v>
      </c>
      <c r="K1166" t="s">
        <v>1792</v>
      </c>
      <c r="L1166" s="1">
        <f>+Tabla__192.168.1.8_POSEIDONSQL_APPFVT_01_tblFillRateFechas[[#This Row],[emb_cantidad]]-Tabla__192.168.1.8_POSEIDONSQL_APPFVT_01_tblFillRateFechas[[#This Row],[dev_cantidad]]</f>
        <v>1</v>
      </c>
      <c r="M1166" s="1">
        <f>+IF(Tabla__192.168.1.8_POSEIDONSQL_APPFVT_01_tblFillRateFechas[[#This Row],[Cant_Resultante]]=Tabla__192.168.1.8_POSEIDONSQL_APPFVT_01_tblFillRateFechas[[#This Row],[cant_order]],1,0)</f>
        <v>1</v>
      </c>
      <c r="N11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6" s="1">
        <f>+IF(AND(Tabla__192.168.1.8_POSEIDONSQL_APPFVT_01_tblFillRateFechas[[#This Row],[Valida Cant]]=1,Tabla__192.168.1.8_POSEIDONSQL_APPFVT_01_tblFillRateFechas[[#This Row],[Valida Fec]]=1),1,0)</f>
        <v>1</v>
      </c>
      <c r="P1166" s="1">
        <f>+(Tabla__192.168.1.8_POSEIDONSQL_APPFVT_01_tblFillRateFechas[[#This Row],[Cant_Resultante]]/Tabla__192.168.1.8_POSEIDONSQL_APPFVT_01_tblFillRateFechas[[#This Row],[cant_order]])*100</f>
        <v>100</v>
      </c>
      <c r="Q11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6" s="1">
        <f>+IF(Tabla__192.168.1.8_POSEIDONSQL_APPFVT_01_tblFillRateFechas[[#This Row],[cant_order]]&gt;0,1,0)</f>
        <v>1</v>
      </c>
      <c r="V1166" s="1">
        <f>+IF(Tabla__192.168.1.8_POSEIDONSQL_APPFVT_01_tblFillRateFechas[[#This Row],[Resultado]]=1,1,0)</f>
        <v>1</v>
      </c>
      <c r="W1166" s="1" t="str">
        <f>+Tabla__192.168.1.8_POSEIDONSQL_APPFVT_01_tblFillRateFechas[[#This Row],[con_ocnumero]]&amp;Tabla__192.168.1.8_POSEIDONSQL_APPFVT_01_tblFillRateFechas[[#This Row],[con_codigounico]]</f>
        <v>91916410390050000692757300102</v>
      </c>
      <c r="X11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7" spans="1:24" x14ac:dyDescent="0.25">
      <c r="A1167">
        <v>9</v>
      </c>
      <c r="B1167" t="s">
        <v>48</v>
      </c>
      <c r="C1167">
        <v>9191718</v>
      </c>
      <c r="D1167" t="s">
        <v>1965</v>
      </c>
      <c r="E1167" t="s">
        <v>163</v>
      </c>
      <c r="F1167" t="s">
        <v>1980</v>
      </c>
      <c r="G1167">
        <v>1</v>
      </c>
      <c r="H1167">
        <v>1</v>
      </c>
      <c r="I1167" t="s">
        <v>163</v>
      </c>
      <c r="J1167">
        <v>0</v>
      </c>
      <c r="K1167" t="s">
        <v>1794</v>
      </c>
      <c r="L1167" s="1">
        <f>+Tabla__192.168.1.8_POSEIDONSQL_APPFVT_01_tblFillRateFechas[[#This Row],[emb_cantidad]]-Tabla__192.168.1.8_POSEIDONSQL_APPFVT_01_tblFillRateFechas[[#This Row],[dev_cantidad]]</f>
        <v>1</v>
      </c>
      <c r="M1167" s="1">
        <f>+IF(Tabla__192.168.1.8_POSEIDONSQL_APPFVT_01_tblFillRateFechas[[#This Row],[Cant_Resultante]]=Tabla__192.168.1.8_POSEIDONSQL_APPFVT_01_tblFillRateFechas[[#This Row],[cant_order]],1,0)</f>
        <v>1</v>
      </c>
      <c r="N11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7" s="1">
        <f>+IF(AND(Tabla__192.168.1.8_POSEIDONSQL_APPFVT_01_tblFillRateFechas[[#This Row],[Valida Cant]]=1,Tabla__192.168.1.8_POSEIDONSQL_APPFVT_01_tblFillRateFechas[[#This Row],[Valida Fec]]=1),1,0)</f>
        <v>1</v>
      </c>
      <c r="P1167" s="1">
        <f>+(Tabla__192.168.1.8_POSEIDONSQL_APPFVT_01_tblFillRateFechas[[#This Row],[Cant_Resultante]]/Tabla__192.168.1.8_POSEIDONSQL_APPFVT_01_tblFillRateFechas[[#This Row],[cant_order]])*100</f>
        <v>100</v>
      </c>
      <c r="Q11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7" s="1">
        <f>+IF(Tabla__192.168.1.8_POSEIDONSQL_APPFVT_01_tblFillRateFechas[[#This Row],[cant_order]]&gt;0,1,0)</f>
        <v>1</v>
      </c>
      <c r="V1167" s="1">
        <f>+IF(Tabla__192.168.1.8_POSEIDONSQL_APPFVT_01_tblFillRateFechas[[#This Row],[Resultado]]=1,1,0)</f>
        <v>1</v>
      </c>
      <c r="W1167" s="1" t="str">
        <f>+Tabla__192.168.1.8_POSEIDONSQL_APPFVT_01_tblFillRateFechas[[#This Row],[con_ocnumero]]&amp;Tabla__192.168.1.8_POSEIDONSQL_APPFVT_01_tblFillRateFechas[[#This Row],[con_codigounico]]</f>
        <v>91917180390050000692897010101</v>
      </c>
      <c r="X11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8" spans="1:24" x14ac:dyDescent="0.25">
      <c r="A1168">
        <v>9</v>
      </c>
      <c r="B1168" t="s">
        <v>48</v>
      </c>
      <c r="C1168">
        <v>9191778</v>
      </c>
      <c r="D1168" t="s">
        <v>1965</v>
      </c>
      <c r="E1168" t="s">
        <v>1969</v>
      </c>
      <c r="F1168" t="s">
        <v>1980</v>
      </c>
      <c r="G1168">
        <v>1</v>
      </c>
      <c r="H1168">
        <v>1</v>
      </c>
      <c r="I1168" t="s">
        <v>1969</v>
      </c>
      <c r="J1168">
        <v>0</v>
      </c>
      <c r="K1168" t="s">
        <v>1121</v>
      </c>
      <c r="L1168" s="1">
        <f>+Tabla__192.168.1.8_POSEIDONSQL_APPFVT_01_tblFillRateFechas[[#This Row],[emb_cantidad]]-Tabla__192.168.1.8_POSEIDONSQL_APPFVT_01_tblFillRateFechas[[#This Row],[dev_cantidad]]</f>
        <v>1</v>
      </c>
      <c r="M1168" s="1">
        <f>+IF(Tabla__192.168.1.8_POSEIDONSQL_APPFVT_01_tblFillRateFechas[[#This Row],[Cant_Resultante]]=Tabla__192.168.1.8_POSEIDONSQL_APPFVT_01_tblFillRateFechas[[#This Row],[cant_order]],1,0)</f>
        <v>1</v>
      </c>
      <c r="N11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8" s="1">
        <f>+IF(AND(Tabla__192.168.1.8_POSEIDONSQL_APPFVT_01_tblFillRateFechas[[#This Row],[Valida Cant]]=1,Tabla__192.168.1.8_POSEIDONSQL_APPFVT_01_tblFillRateFechas[[#This Row],[Valida Fec]]=1),1,0)</f>
        <v>1</v>
      </c>
      <c r="P1168" s="1">
        <f>+(Tabla__192.168.1.8_POSEIDONSQL_APPFVT_01_tblFillRateFechas[[#This Row],[Cant_Resultante]]/Tabla__192.168.1.8_POSEIDONSQL_APPFVT_01_tblFillRateFechas[[#This Row],[cant_order]])*100</f>
        <v>100</v>
      </c>
      <c r="Q11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8" s="1">
        <f>+IF(Tabla__192.168.1.8_POSEIDONSQL_APPFVT_01_tblFillRateFechas[[#This Row],[cant_order]]&gt;0,1,0)</f>
        <v>1</v>
      </c>
      <c r="V1168" s="1">
        <f>+IF(Tabla__192.168.1.8_POSEIDONSQL_APPFVT_01_tblFillRateFechas[[#This Row],[Resultado]]=1,1,0)</f>
        <v>1</v>
      </c>
      <c r="W1168" s="1" t="str">
        <f>+Tabla__192.168.1.8_POSEIDONSQL_APPFVT_01_tblFillRateFechas[[#This Row],[con_ocnumero]]&amp;Tabla__192.168.1.8_POSEIDONSQL_APPFVT_01_tblFillRateFechas[[#This Row],[con_codigounico]]</f>
        <v>91917780390050000692912600101</v>
      </c>
      <c r="X11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69" spans="1:24" x14ac:dyDescent="0.25">
      <c r="A1169">
        <v>9</v>
      </c>
      <c r="B1169" t="s">
        <v>48</v>
      </c>
      <c r="C1169">
        <v>9191778</v>
      </c>
      <c r="D1169" t="s">
        <v>1965</v>
      </c>
      <c r="E1169" t="s">
        <v>1969</v>
      </c>
      <c r="F1169" t="s">
        <v>1980</v>
      </c>
      <c r="G1169">
        <v>1</v>
      </c>
      <c r="H1169">
        <v>1</v>
      </c>
      <c r="I1169" t="s">
        <v>1969</v>
      </c>
      <c r="J1169">
        <v>0</v>
      </c>
      <c r="K1169" t="s">
        <v>1122</v>
      </c>
      <c r="L1169" s="1">
        <f>+Tabla__192.168.1.8_POSEIDONSQL_APPFVT_01_tblFillRateFechas[[#This Row],[emb_cantidad]]-Tabla__192.168.1.8_POSEIDONSQL_APPFVT_01_tblFillRateFechas[[#This Row],[dev_cantidad]]</f>
        <v>1</v>
      </c>
      <c r="M1169" s="1">
        <f>+IF(Tabla__192.168.1.8_POSEIDONSQL_APPFVT_01_tblFillRateFechas[[#This Row],[Cant_Resultante]]=Tabla__192.168.1.8_POSEIDONSQL_APPFVT_01_tblFillRateFechas[[#This Row],[cant_order]],1,0)</f>
        <v>1</v>
      </c>
      <c r="N11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69" s="1">
        <f>+IF(AND(Tabla__192.168.1.8_POSEIDONSQL_APPFVT_01_tblFillRateFechas[[#This Row],[Valida Cant]]=1,Tabla__192.168.1.8_POSEIDONSQL_APPFVT_01_tblFillRateFechas[[#This Row],[Valida Fec]]=1),1,0)</f>
        <v>1</v>
      </c>
      <c r="P1169" s="1">
        <f>+(Tabla__192.168.1.8_POSEIDONSQL_APPFVT_01_tblFillRateFechas[[#This Row],[Cant_Resultante]]/Tabla__192.168.1.8_POSEIDONSQL_APPFVT_01_tblFillRateFechas[[#This Row],[cant_order]])*100</f>
        <v>100</v>
      </c>
      <c r="Q11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69" s="1">
        <f>+IF(Tabla__192.168.1.8_POSEIDONSQL_APPFVT_01_tblFillRateFechas[[#This Row],[cant_order]]&gt;0,1,0)</f>
        <v>1</v>
      </c>
      <c r="V1169" s="1">
        <f>+IF(Tabla__192.168.1.8_POSEIDONSQL_APPFVT_01_tblFillRateFechas[[#This Row],[Resultado]]=1,1,0)</f>
        <v>1</v>
      </c>
      <c r="W1169" s="1" t="str">
        <f>+Tabla__192.168.1.8_POSEIDONSQL_APPFVT_01_tblFillRateFechas[[#This Row],[con_ocnumero]]&amp;Tabla__192.168.1.8_POSEIDONSQL_APPFVT_01_tblFillRateFechas[[#This Row],[con_codigounico]]</f>
        <v>91917780390050000692918200101</v>
      </c>
      <c r="X11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0" spans="1:24" x14ac:dyDescent="0.25">
      <c r="A1170">
        <v>9</v>
      </c>
      <c r="B1170" t="s">
        <v>48</v>
      </c>
      <c r="C1170">
        <v>9191907</v>
      </c>
      <c r="D1170" t="s">
        <v>1965</v>
      </c>
      <c r="E1170" t="s">
        <v>160</v>
      </c>
      <c r="F1170" t="s">
        <v>1980</v>
      </c>
      <c r="G1170">
        <v>1</v>
      </c>
      <c r="H1170">
        <v>1</v>
      </c>
      <c r="I1170" t="s">
        <v>160</v>
      </c>
      <c r="J1170">
        <v>0</v>
      </c>
      <c r="K1170" t="s">
        <v>1793</v>
      </c>
      <c r="L1170" s="1">
        <f>+Tabla__192.168.1.8_POSEIDONSQL_APPFVT_01_tblFillRateFechas[[#This Row],[emb_cantidad]]-Tabla__192.168.1.8_POSEIDONSQL_APPFVT_01_tblFillRateFechas[[#This Row],[dev_cantidad]]</f>
        <v>1</v>
      </c>
      <c r="M1170" s="1">
        <f>+IF(Tabla__192.168.1.8_POSEIDONSQL_APPFVT_01_tblFillRateFechas[[#This Row],[Cant_Resultante]]=Tabla__192.168.1.8_POSEIDONSQL_APPFVT_01_tblFillRateFechas[[#This Row],[cant_order]],1,0)</f>
        <v>1</v>
      </c>
      <c r="N11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0" s="1">
        <f>+IF(AND(Tabla__192.168.1.8_POSEIDONSQL_APPFVT_01_tblFillRateFechas[[#This Row],[Valida Cant]]=1,Tabla__192.168.1.8_POSEIDONSQL_APPFVT_01_tblFillRateFechas[[#This Row],[Valida Fec]]=1),1,0)</f>
        <v>1</v>
      </c>
      <c r="P1170" s="1">
        <f>+(Tabla__192.168.1.8_POSEIDONSQL_APPFVT_01_tblFillRateFechas[[#This Row],[Cant_Resultante]]/Tabla__192.168.1.8_POSEIDONSQL_APPFVT_01_tblFillRateFechas[[#This Row],[cant_order]])*100</f>
        <v>100</v>
      </c>
      <c r="Q11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0" s="1">
        <f>+IF(Tabla__192.168.1.8_POSEIDONSQL_APPFVT_01_tblFillRateFechas[[#This Row],[cant_order]]&gt;0,1,0)</f>
        <v>1</v>
      </c>
      <c r="V1170" s="1">
        <f>+IF(Tabla__192.168.1.8_POSEIDONSQL_APPFVT_01_tblFillRateFechas[[#This Row],[Resultado]]=1,1,0)</f>
        <v>1</v>
      </c>
      <c r="W1170" s="1" t="str">
        <f>+Tabla__192.168.1.8_POSEIDONSQL_APPFVT_01_tblFillRateFechas[[#This Row],[con_ocnumero]]&amp;Tabla__192.168.1.8_POSEIDONSQL_APPFVT_01_tblFillRateFechas[[#This Row],[con_codigounico]]</f>
        <v>91919070390050000692937940101</v>
      </c>
      <c r="X11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1" spans="1:24" x14ac:dyDescent="0.25">
      <c r="A1171">
        <v>9</v>
      </c>
      <c r="B1171" t="s">
        <v>48</v>
      </c>
      <c r="C1171">
        <v>9191962</v>
      </c>
      <c r="D1171" t="s">
        <v>1965</v>
      </c>
      <c r="E1171" t="s">
        <v>160</v>
      </c>
      <c r="F1171" t="s">
        <v>1980</v>
      </c>
      <c r="G1171">
        <v>1</v>
      </c>
      <c r="H1171">
        <v>1</v>
      </c>
      <c r="I1171" t="s">
        <v>160</v>
      </c>
      <c r="J1171">
        <v>0</v>
      </c>
      <c r="K1171" t="s">
        <v>1787</v>
      </c>
      <c r="L1171" s="1">
        <f>+Tabla__192.168.1.8_POSEIDONSQL_APPFVT_01_tblFillRateFechas[[#This Row],[emb_cantidad]]-Tabla__192.168.1.8_POSEIDONSQL_APPFVT_01_tblFillRateFechas[[#This Row],[dev_cantidad]]</f>
        <v>1</v>
      </c>
      <c r="M1171" s="1">
        <f>+IF(Tabla__192.168.1.8_POSEIDONSQL_APPFVT_01_tblFillRateFechas[[#This Row],[Cant_Resultante]]=Tabla__192.168.1.8_POSEIDONSQL_APPFVT_01_tblFillRateFechas[[#This Row],[cant_order]],1,0)</f>
        <v>1</v>
      </c>
      <c r="N11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1" s="1">
        <f>+IF(AND(Tabla__192.168.1.8_POSEIDONSQL_APPFVT_01_tblFillRateFechas[[#This Row],[Valida Cant]]=1,Tabla__192.168.1.8_POSEIDONSQL_APPFVT_01_tblFillRateFechas[[#This Row],[Valida Fec]]=1),1,0)</f>
        <v>1</v>
      </c>
      <c r="P1171" s="1">
        <f>+(Tabla__192.168.1.8_POSEIDONSQL_APPFVT_01_tblFillRateFechas[[#This Row],[Cant_Resultante]]/Tabla__192.168.1.8_POSEIDONSQL_APPFVT_01_tblFillRateFechas[[#This Row],[cant_order]])*100</f>
        <v>100</v>
      </c>
      <c r="Q11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1" s="1">
        <f>+IF(Tabla__192.168.1.8_POSEIDONSQL_APPFVT_01_tblFillRateFechas[[#This Row],[cant_order]]&gt;0,1,0)</f>
        <v>1</v>
      </c>
      <c r="V1171" s="1">
        <f>+IF(Tabla__192.168.1.8_POSEIDONSQL_APPFVT_01_tblFillRateFechas[[#This Row],[Resultado]]=1,1,0)</f>
        <v>1</v>
      </c>
      <c r="W1171" s="1" t="str">
        <f>+Tabla__192.168.1.8_POSEIDONSQL_APPFVT_01_tblFillRateFechas[[#This Row],[con_ocnumero]]&amp;Tabla__192.168.1.8_POSEIDONSQL_APPFVT_01_tblFillRateFechas[[#This Row],[con_codigounico]]</f>
        <v>91919620390050000692995790101</v>
      </c>
      <c r="X11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2" spans="1:24" x14ac:dyDescent="0.25">
      <c r="A1172">
        <v>9</v>
      </c>
      <c r="B1172" t="s">
        <v>48</v>
      </c>
      <c r="C1172">
        <v>9192065</v>
      </c>
      <c r="D1172" t="s">
        <v>1965</v>
      </c>
      <c r="E1172" t="s">
        <v>160</v>
      </c>
      <c r="F1172" t="s">
        <v>1980</v>
      </c>
      <c r="G1172">
        <v>1</v>
      </c>
      <c r="H1172">
        <v>1</v>
      </c>
      <c r="I1172" t="s">
        <v>160</v>
      </c>
      <c r="J1172">
        <v>0</v>
      </c>
      <c r="K1172" t="s">
        <v>1788</v>
      </c>
      <c r="L1172" s="1">
        <f>+Tabla__192.168.1.8_POSEIDONSQL_APPFVT_01_tblFillRateFechas[[#This Row],[emb_cantidad]]-Tabla__192.168.1.8_POSEIDONSQL_APPFVT_01_tblFillRateFechas[[#This Row],[dev_cantidad]]</f>
        <v>1</v>
      </c>
      <c r="M1172" s="1">
        <f>+IF(Tabla__192.168.1.8_POSEIDONSQL_APPFVT_01_tblFillRateFechas[[#This Row],[Cant_Resultante]]=Tabla__192.168.1.8_POSEIDONSQL_APPFVT_01_tblFillRateFechas[[#This Row],[cant_order]],1,0)</f>
        <v>1</v>
      </c>
      <c r="N11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2" s="1">
        <f>+IF(AND(Tabla__192.168.1.8_POSEIDONSQL_APPFVT_01_tblFillRateFechas[[#This Row],[Valida Cant]]=1,Tabla__192.168.1.8_POSEIDONSQL_APPFVT_01_tblFillRateFechas[[#This Row],[Valida Fec]]=1),1,0)</f>
        <v>1</v>
      </c>
      <c r="P1172" s="1">
        <f>+(Tabla__192.168.1.8_POSEIDONSQL_APPFVT_01_tblFillRateFechas[[#This Row],[Cant_Resultante]]/Tabla__192.168.1.8_POSEIDONSQL_APPFVT_01_tblFillRateFechas[[#This Row],[cant_order]])*100</f>
        <v>100</v>
      </c>
      <c r="Q11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2" s="1">
        <f>+IF(Tabla__192.168.1.8_POSEIDONSQL_APPFVT_01_tblFillRateFechas[[#This Row],[cant_order]]&gt;0,1,0)</f>
        <v>1</v>
      </c>
      <c r="V1172" s="1">
        <f>+IF(Tabla__192.168.1.8_POSEIDONSQL_APPFVT_01_tblFillRateFechas[[#This Row],[Resultado]]=1,1,0)</f>
        <v>1</v>
      </c>
      <c r="W1172" s="1" t="str">
        <f>+Tabla__192.168.1.8_POSEIDONSQL_APPFVT_01_tblFillRateFechas[[#This Row],[con_ocnumero]]&amp;Tabla__192.168.1.8_POSEIDONSQL_APPFVT_01_tblFillRateFechas[[#This Row],[con_codigounico]]</f>
        <v>91920650390050000693069770101</v>
      </c>
      <c r="X11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3" spans="1:24" x14ac:dyDescent="0.25">
      <c r="A1173">
        <v>9</v>
      </c>
      <c r="B1173" t="s">
        <v>48</v>
      </c>
      <c r="C1173">
        <v>9192245</v>
      </c>
      <c r="D1173" t="s">
        <v>1965</v>
      </c>
      <c r="E1173" t="s">
        <v>160</v>
      </c>
      <c r="F1173" t="s">
        <v>1980</v>
      </c>
      <c r="G1173">
        <v>1</v>
      </c>
      <c r="H1173">
        <v>1</v>
      </c>
      <c r="I1173" t="s">
        <v>160</v>
      </c>
      <c r="J1173">
        <v>0</v>
      </c>
      <c r="K1173" t="s">
        <v>1790</v>
      </c>
      <c r="L1173" s="1">
        <f>+Tabla__192.168.1.8_POSEIDONSQL_APPFVT_01_tblFillRateFechas[[#This Row],[emb_cantidad]]-Tabla__192.168.1.8_POSEIDONSQL_APPFVT_01_tblFillRateFechas[[#This Row],[dev_cantidad]]</f>
        <v>1</v>
      </c>
      <c r="M1173" s="1">
        <f>+IF(Tabla__192.168.1.8_POSEIDONSQL_APPFVT_01_tblFillRateFechas[[#This Row],[Cant_Resultante]]=Tabla__192.168.1.8_POSEIDONSQL_APPFVT_01_tblFillRateFechas[[#This Row],[cant_order]],1,0)</f>
        <v>1</v>
      </c>
      <c r="N11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3" s="1">
        <f>+IF(AND(Tabla__192.168.1.8_POSEIDONSQL_APPFVT_01_tblFillRateFechas[[#This Row],[Valida Cant]]=1,Tabla__192.168.1.8_POSEIDONSQL_APPFVT_01_tblFillRateFechas[[#This Row],[Valida Fec]]=1),1,0)</f>
        <v>1</v>
      </c>
      <c r="P1173" s="1">
        <f>+(Tabla__192.168.1.8_POSEIDONSQL_APPFVT_01_tblFillRateFechas[[#This Row],[Cant_Resultante]]/Tabla__192.168.1.8_POSEIDONSQL_APPFVT_01_tblFillRateFechas[[#This Row],[cant_order]])*100</f>
        <v>100</v>
      </c>
      <c r="Q11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3" s="1">
        <f>+IF(Tabla__192.168.1.8_POSEIDONSQL_APPFVT_01_tblFillRateFechas[[#This Row],[cant_order]]&gt;0,1,0)</f>
        <v>1</v>
      </c>
      <c r="V1173" s="1">
        <f>+IF(Tabla__192.168.1.8_POSEIDONSQL_APPFVT_01_tblFillRateFechas[[#This Row],[Resultado]]=1,1,0)</f>
        <v>1</v>
      </c>
      <c r="W1173" s="1" t="str">
        <f>+Tabla__192.168.1.8_POSEIDONSQL_APPFVT_01_tblFillRateFechas[[#This Row],[con_ocnumero]]&amp;Tabla__192.168.1.8_POSEIDONSQL_APPFVT_01_tblFillRateFechas[[#This Row],[con_codigounico]]</f>
        <v>91922450390050000693122980101</v>
      </c>
      <c r="X11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4" spans="1:24" x14ac:dyDescent="0.25">
      <c r="A1174">
        <v>9</v>
      </c>
      <c r="B1174" t="s">
        <v>48</v>
      </c>
      <c r="C1174">
        <v>9192222</v>
      </c>
      <c r="D1174" t="s">
        <v>1965</v>
      </c>
      <c r="E1174" t="s">
        <v>160</v>
      </c>
      <c r="F1174" t="s">
        <v>1980</v>
      </c>
      <c r="G1174">
        <v>1</v>
      </c>
      <c r="H1174">
        <v>1</v>
      </c>
      <c r="I1174" t="s">
        <v>160</v>
      </c>
      <c r="J1174">
        <v>0</v>
      </c>
      <c r="K1174" t="s">
        <v>1789</v>
      </c>
      <c r="L1174" s="1">
        <f>+Tabla__192.168.1.8_POSEIDONSQL_APPFVT_01_tblFillRateFechas[[#This Row],[emb_cantidad]]-Tabla__192.168.1.8_POSEIDONSQL_APPFVT_01_tblFillRateFechas[[#This Row],[dev_cantidad]]</f>
        <v>1</v>
      </c>
      <c r="M1174" s="1">
        <f>+IF(Tabla__192.168.1.8_POSEIDONSQL_APPFVT_01_tblFillRateFechas[[#This Row],[Cant_Resultante]]=Tabla__192.168.1.8_POSEIDONSQL_APPFVT_01_tblFillRateFechas[[#This Row],[cant_order]],1,0)</f>
        <v>1</v>
      </c>
      <c r="N11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4" s="1">
        <f>+IF(AND(Tabla__192.168.1.8_POSEIDONSQL_APPFVT_01_tblFillRateFechas[[#This Row],[Valida Cant]]=1,Tabla__192.168.1.8_POSEIDONSQL_APPFVT_01_tblFillRateFechas[[#This Row],[Valida Fec]]=1),1,0)</f>
        <v>1</v>
      </c>
      <c r="P1174" s="1">
        <f>+(Tabla__192.168.1.8_POSEIDONSQL_APPFVT_01_tblFillRateFechas[[#This Row],[Cant_Resultante]]/Tabla__192.168.1.8_POSEIDONSQL_APPFVT_01_tblFillRateFechas[[#This Row],[cant_order]])*100</f>
        <v>100</v>
      </c>
      <c r="Q11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4" s="1">
        <f>+IF(Tabla__192.168.1.8_POSEIDONSQL_APPFVT_01_tblFillRateFechas[[#This Row],[cant_order]]&gt;0,1,0)</f>
        <v>1</v>
      </c>
      <c r="V1174" s="1">
        <f>+IF(Tabla__192.168.1.8_POSEIDONSQL_APPFVT_01_tblFillRateFechas[[#This Row],[Resultado]]=1,1,0)</f>
        <v>1</v>
      </c>
      <c r="W1174" s="1" t="str">
        <f>+Tabla__192.168.1.8_POSEIDONSQL_APPFVT_01_tblFillRateFechas[[#This Row],[con_ocnumero]]&amp;Tabla__192.168.1.8_POSEIDONSQL_APPFVT_01_tblFillRateFechas[[#This Row],[con_codigounico]]</f>
        <v>91922220390050000693134950101</v>
      </c>
      <c r="X11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5" spans="1:24" x14ac:dyDescent="0.25">
      <c r="A1175">
        <v>9</v>
      </c>
      <c r="B1175" t="s">
        <v>48</v>
      </c>
      <c r="C1175">
        <v>9192245</v>
      </c>
      <c r="D1175" t="s">
        <v>1980</v>
      </c>
      <c r="E1175" t="s">
        <v>160</v>
      </c>
      <c r="F1175" t="s">
        <v>1980</v>
      </c>
      <c r="G1175">
        <v>1</v>
      </c>
      <c r="H1175">
        <v>1</v>
      </c>
      <c r="I1175" t="s">
        <v>160</v>
      </c>
      <c r="J1175">
        <v>0</v>
      </c>
      <c r="K1175" t="s">
        <v>1791</v>
      </c>
      <c r="L1175" s="1">
        <f>+Tabla__192.168.1.8_POSEIDONSQL_APPFVT_01_tblFillRateFechas[[#This Row],[emb_cantidad]]-Tabla__192.168.1.8_POSEIDONSQL_APPFVT_01_tblFillRateFechas[[#This Row],[dev_cantidad]]</f>
        <v>1</v>
      </c>
      <c r="M1175" s="1">
        <f>+IF(Tabla__192.168.1.8_POSEIDONSQL_APPFVT_01_tblFillRateFechas[[#This Row],[Cant_Resultante]]=Tabla__192.168.1.8_POSEIDONSQL_APPFVT_01_tblFillRateFechas[[#This Row],[cant_order]],1,0)</f>
        <v>1</v>
      </c>
      <c r="N11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5" s="1">
        <f>+IF(AND(Tabla__192.168.1.8_POSEIDONSQL_APPFVT_01_tblFillRateFechas[[#This Row],[Valida Cant]]=1,Tabla__192.168.1.8_POSEIDONSQL_APPFVT_01_tblFillRateFechas[[#This Row],[Valida Fec]]=1),1,0)</f>
        <v>1</v>
      </c>
      <c r="P1175" s="1">
        <f>+(Tabla__192.168.1.8_POSEIDONSQL_APPFVT_01_tblFillRateFechas[[#This Row],[Cant_Resultante]]/Tabla__192.168.1.8_POSEIDONSQL_APPFVT_01_tblFillRateFechas[[#This Row],[cant_order]])*100</f>
        <v>100</v>
      </c>
      <c r="Q11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5" s="1">
        <f>+IF(Tabla__192.168.1.8_POSEIDONSQL_APPFVT_01_tblFillRateFechas[[#This Row],[cant_order]]&gt;0,1,0)</f>
        <v>1</v>
      </c>
      <c r="V1175" s="1">
        <f>+IF(Tabla__192.168.1.8_POSEIDONSQL_APPFVT_01_tblFillRateFechas[[#This Row],[Resultado]]=1,1,0)</f>
        <v>1</v>
      </c>
      <c r="W1175" s="1" t="str">
        <f>+Tabla__192.168.1.8_POSEIDONSQL_APPFVT_01_tblFillRateFechas[[#This Row],[con_ocnumero]]&amp;Tabla__192.168.1.8_POSEIDONSQL_APPFVT_01_tblFillRateFechas[[#This Row],[con_codigounico]]</f>
        <v>91922450390050000693191540101</v>
      </c>
      <c r="X11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6" spans="1:24" x14ac:dyDescent="0.25">
      <c r="A1176">
        <v>9</v>
      </c>
      <c r="B1176" t="s">
        <v>48</v>
      </c>
      <c r="C1176">
        <v>9192245</v>
      </c>
      <c r="D1176" t="s">
        <v>1980</v>
      </c>
      <c r="E1176" t="s">
        <v>416</v>
      </c>
      <c r="F1176" t="s">
        <v>1980</v>
      </c>
      <c r="G1176">
        <v>1</v>
      </c>
      <c r="H1176">
        <v>1</v>
      </c>
      <c r="I1176" t="s">
        <v>416</v>
      </c>
      <c r="J1176">
        <v>0</v>
      </c>
      <c r="K1176" t="s">
        <v>1000</v>
      </c>
      <c r="L1176" s="1">
        <f>+Tabla__192.168.1.8_POSEIDONSQL_APPFVT_01_tblFillRateFechas[[#This Row],[emb_cantidad]]-Tabla__192.168.1.8_POSEIDONSQL_APPFVT_01_tblFillRateFechas[[#This Row],[dev_cantidad]]</f>
        <v>1</v>
      </c>
      <c r="M1176" s="1">
        <f>+IF(Tabla__192.168.1.8_POSEIDONSQL_APPFVT_01_tblFillRateFechas[[#This Row],[Cant_Resultante]]=Tabla__192.168.1.8_POSEIDONSQL_APPFVT_01_tblFillRateFechas[[#This Row],[cant_order]],1,0)</f>
        <v>1</v>
      </c>
      <c r="N11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6" s="1">
        <f>+IF(AND(Tabla__192.168.1.8_POSEIDONSQL_APPFVT_01_tblFillRateFechas[[#This Row],[Valida Cant]]=1,Tabla__192.168.1.8_POSEIDONSQL_APPFVT_01_tblFillRateFechas[[#This Row],[Valida Fec]]=1),1,0)</f>
        <v>1</v>
      </c>
      <c r="P1176" s="1">
        <f>+(Tabla__192.168.1.8_POSEIDONSQL_APPFVT_01_tblFillRateFechas[[#This Row],[Cant_Resultante]]/Tabla__192.168.1.8_POSEIDONSQL_APPFVT_01_tblFillRateFechas[[#This Row],[cant_order]])*100</f>
        <v>100</v>
      </c>
      <c r="Q11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6" s="1">
        <f>+IF(Tabla__192.168.1.8_POSEIDONSQL_APPFVT_01_tblFillRateFechas[[#This Row],[cant_order]]&gt;0,1,0)</f>
        <v>1</v>
      </c>
      <c r="V1176" s="1">
        <f>+IF(Tabla__192.168.1.8_POSEIDONSQL_APPFVT_01_tblFillRateFechas[[#This Row],[Resultado]]=1,1,0)</f>
        <v>1</v>
      </c>
      <c r="W1176" s="1" t="str">
        <f>+Tabla__192.168.1.8_POSEIDONSQL_APPFVT_01_tblFillRateFechas[[#This Row],[con_ocnumero]]&amp;Tabla__192.168.1.8_POSEIDONSQL_APPFVT_01_tblFillRateFechas[[#This Row],[con_codigounico]]</f>
        <v>91922450390050000693207240101</v>
      </c>
      <c r="X11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7" spans="1:24" x14ac:dyDescent="0.25">
      <c r="A1177">
        <v>9</v>
      </c>
      <c r="B1177" t="s">
        <v>48</v>
      </c>
      <c r="C1177">
        <v>9193124</v>
      </c>
      <c r="D1177" t="s">
        <v>1977</v>
      </c>
      <c r="E1177" t="s">
        <v>1969</v>
      </c>
      <c r="F1177" t="s">
        <v>1962</v>
      </c>
      <c r="G1177">
        <v>1</v>
      </c>
      <c r="H1177">
        <v>1</v>
      </c>
      <c r="I1177" t="s">
        <v>1969</v>
      </c>
      <c r="J1177">
        <v>0</v>
      </c>
      <c r="K1177" t="s">
        <v>1265</v>
      </c>
      <c r="L1177" s="1">
        <f>+Tabla__192.168.1.8_POSEIDONSQL_APPFVT_01_tblFillRateFechas[[#This Row],[emb_cantidad]]-Tabla__192.168.1.8_POSEIDONSQL_APPFVT_01_tblFillRateFechas[[#This Row],[dev_cantidad]]</f>
        <v>1</v>
      </c>
      <c r="M1177" s="1">
        <f>+IF(Tabla__192.168.1.8_POSEIDONSQL_APPFVT_01_tblFillRateFechas[[#This Row],[Cant_Resultante]]=Tabla__192.168.1.8_POSEIDONSQL_APPFVT_01_tblFillRateFechas[[#This Row],[cant_order]],1,0)</f>
        <v>1</v>
      </c>
      <c r="N11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7" s="1">
        <f>+IF(AND(Tabla__192.168.1.8_POSEIDONSQL_APPFVT_01_tblFillRateFechas[[#This Row],[Valida Cant]]=1,Tabla__192.168.1.8_POSEIDONSQL_APPFVT_01_tblFillRateFechas[[#This Row],[Valida Fec]]=1),1,0)</f>
        <v>1</v>
      </c>
      <c r="P1177" s="1">
        <f>+(Tabla__192.168.1.8_POSEIDONSQL_APPFVT_01_tblFillRateFechas[[#This Row],[Cant_Resultante]]/Tabla__192.168.1.8_POSEIDONSQL_APPFVT_01_tblFillRateFechas[[#This Row],[cant_order]])*100</f>
        <v>100</v>
      </c>
      <c r="Q11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7" s="1">
        <f>+IF(Tabla__192.168.1.8_POSEIDONSQL_APPFVT_01_tblFillRateFechas[[#This Row],[cant_order]]&gt;0,1,0)</f>
        <v>1</v>
      </c>
      <c r="V1177" s="1">
        <f>+IF(Tabla__192.168.1.8_POSEIDONSQL_APPFVT_01_tblFillRateFechas[[#This Row],[Resultado]]=1,1,0)</f>
        <v>1</v>
      </c>
      <c r="W1177" s="1" t="str">
        <f>+Tabla__192.168.1.8_POSEIDONSQL_APPFVT_01_tblFillRateFechas[[#This Row],[con_ocnumero]]&amp;Tabla__192.168.1.8_POSEIDONSQL_APPFVT_01_tblFillRateFechas[[#This Row],[con_codigounico]]</f>
        <v>91931240390050000693238100101</v>
      </c>
      <c r="X11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8" spans="1:24" x14ac:dyDescent="0.25">
      <c r="A1178">
        <v>9</v>
      </c>
      <c r="B1178" t="s">
        <v>48</v>
      </c>
      <c r="C1178">
        <v>9192484</v>
      </c>
      <c r="D1178" t="s">
        <v>1980</v>
      </c>
      <c r="E1178" t="s">
        <v>160</v>
      </c>
      <c r="F1178" t="s">
        <v>1977</v>
      </c>
      <c r="G1178">
        <v>1</v>
      </c>
      <c r="H1178">
        <v>1</v>
      </c>
      <c r="I1178" t="s">
        <v>160</v>
      </c>
      <c r="J1178">
        <v>0</v>
      </c>
      <c r="K1178" t="s">
        <v>1118</v>
      </c>
      <c r="L1178" s="1">
        <f>+Tabla__192.168.1.8_POSEIDONSQL_APPFVT_01_tblFillRateFechas[[#This Row],[emb_cantidad]]-Tabla__192.168.1.8_POSEIDONSQL_APPFVT_01_tblFillRateFechas[[#This Row],[dev_cantidad]]</f>
        <v>1</v>
      </c>
      <c r="M1178" s="1">
        <f>+IF(Tabla__192.168.1.8_POSEIDONSQL_APPFVT_01_tblFillRateFechas[[#This Row],[Cant_Resultante]]=Tabla__192.168.1.8_POSEIDONSQL_APPFVT_01_tblFillRateFechas[[#This Row],[cant_order]],1,0)</f>
        <v>1</v>
      </c>
      <c r="N11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8" s="1">
        <f>+IF(AND(Tabla__192.168.1.8_POSEIDONSQL_APPFVT_01_tblFillRateFechas[[#This Row],[Valida Cant]]=1,Tabla__192.168.1.8_POSEIDONSQL_APPFVT_01_tblFillRateFechas[[#This Row],[Valida Fec]]=1),1,0)</f>
        <v>1</v>
      </c>
      <c r="P1178" s="1">
        <f>+(Tabla__192.168.1.8_POSEIDONSQL_APPFVT_01_tblFillRateFechas[[#This Row],[Cant_Resultante]]/Tabla__192.168.1.8_POSEIDONSQL_APPFVT_01_tblFillRateFechas[[#This Row],[cant_order]])*100</f>
        <v>100</v>
      </c>
      <c r="Q11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8" s="1">
        <f>+IF(Tabla__192.168.1.8_POSEIDONSQL_APPFVT_01_tblFillRateFechas[[#This Row],[cant_order]]&gt;0,1,0)</f>
        <v>1</v>
      </c>
      <c r="V1178" s="1">
        <f>+IF(Tabla__192.168.1.8_POSEIDONSQL_APPFVT_01_tblFillRateFechas[[#This Row],[Resultado]]=1,1,0)</f>
        <v>1</v>
      </c>
      <c r="W1178" s="1" t="str">
        <f>+Tabla__192.168.1.8_POSEIDONSQL_APPFVT_01_tblFillRateFechas[[#This Row],[con_ocnumero]]&amp;Tabla__192.168.1.8_POSEIDONSQL_APPFVT_01_tblFillRateFechas[[#This Row],[con_codigounico]]</f>
        <v>91924840390050000693360580101</v>
      </c>
      <c r="X11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79" spans="1:24" x14ac:dyDescent="0.25">
      <c r="A1179">
        <v>9</v>
      </c>
      <c r="B1179" t="s">
        <v>48</v>
      </c>
      <c r="C1179">
        <v>9192484</v>
      </c>
      <c r="D1179" t="s">
        <v>1980</v>
      </c>
      <c r="E1179" t="s">
        <v>160</v>
      </c>
      <c r="F1179" t="s">
        <v>1977</v>
      </c>
      <c r="G1179">
        <v>1</v>
      </c>
      <c r="H1179">
        <v>1</v>
      </c>
      <c r="I1179" t="s">
        <v>160</v>
      </c>
      <c r="J1179">
        <v>0</v>
      </c>
      <c r="K1179" t="s">
        <v>810</v>
      </c>
      <c r="L1179" s="1">
        <f>+Tabla__192.168.1.8_POSEIDONSQL_APPFVT_01_tblFillRateFechas[[#This Row],[emb_cantidad]]-Tabla__192.168.1.8_POSEIDONSQL_APPFVT_01_tblFillRateFechas[[#This Row],[dev_cantidad]]</f>
        <v>1</v>
      </c>
      <c r="M1179" s="1">
        <f>+IF(Tabla__192.168.1.8_POSEIDONSQL_APPFVT_01_tblFillRateFechas[[#This Row],[Cant_Resultante]]=Tabla__192.168.1.8_POSEIDONSQL_APPFVT_01_tblFillRateFechas[[#This Row],[cant_order]],1,0)</f>
        <v>1</v>
      </c>
      <c r="N11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79" s="1">
        <f>+IF(AND(Tabla__192.168.1.8_POSEIDONSQL_APPFVT_01_tblFillRateFechas[[#This Row],[Valida Cant]]=1,Tabla__192.168.1.8_POSEIDONSQL_APPFVT_01_tblFillRateFechas[[#This Row],[Valida Fec]]=1),1,0)</f>
        <v>1</v>
      </c>
      <c r="P1179" s="1">
        <f>+(Tabla__192.168.1.8_POSEIDONSQL_APPFVT_01_tblFillRateFechas[[#This Row],[Cant_Resultante]]/Tabla__192.168.1.8_POSEIDONSQL_APPFVT_01_tblFillRateFechas[[#This Row],[cant_order]])*100</f>
        <v>100</v>
      </c>
      <c r="Q11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79" s="1">
        <f>+IF(Tabla__192.168.1.8_POSEIDONSQL_APPFVT_01_tblFillRateFechas[[#This Row],[cant_order]]&gt;0,1,0)</f>
        <v>1</v>
      </c>
      <c r="V1179" s="1">
        <f>+IF(Tabla__192.168.1.8_POSEIDONSQL_APPFVT_01_tblFillRateFechas[[#This Row],[Resultado]]=1,1,0)</f>
        <v>1</v>
      </c>
      <c r="W1179" s="1" t="str">
        <f>+Tabla__192.168.1.8_POSEIDONSQL_APPFVT_01_tblFillRateFechas[[#This Row],[con_ocnumero]]&amp;Tabla__192.168.1.8_POSEIDONSQL_APPFVT_01_tblFillRateFechas[[#This Row],[con_codigounico]]</f>
        <v>91924840390050000693492390101</v>
      </c>
      <c r="X11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0" spans="1:24" x14ac:dyDescent="0.25">
      <c r="A1180">
        <v>9</v>
      </c>
      <c r="B1180" t="s">
        <v>48</v>
      </c>
      <c r="C1180">
        <v>9192484</v>
      </c>
      <c r="D1180" t="s">
        <v>1980</v>
      </c>
      <c r="E1180" t="s">
        <v>1969</v>
      </c>
      <c r="F1180" t="s">
        <v>1977</v>
      </c>
      <c r="G1180">
        <v>1</v>
      </c>
      <c r="H1180">
        <v>1</v>
      </c>
      <c r="I1180" t="s">
        <v>1969</v>
      </c>
      <c r="J1180">
        <v>0</v>
      </c>
      <c r="K1180" t="s">
        <v>1120</v>
      </c>
      <c r="L1180" s="1">
        <f>+Tabla__192.168.1.8_POSEIDONSQL_APPFVT_01_tblFillRateFechas[[#This Row],[emb_cantidad]]-Tabla__192.168.1.8_POSEIDONSQL_APPFVT_01_tblFillRateFechas[[#This Row],[dev_cantidad]]</f>
        <v>1</v>
      </c>
      <c r="M1180" s="1">
        <f>+IF(Tabla__192.168.1.8_POSEIDONSQL_APPFVT_01_tblFillRateFechas[[#This Row],[Cant_Resultante]]=Tabla__192.168.1.8_POSEIDONSQL_APPFVT_01_tblFillRateFechas[[#This Row],[cant_order]],1,0)</f>
        <v>1</v>
      </c>
      <c r="N11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0" s="1">
        <f>+IF(AND(Tabla__192.168.1.8_POSEIDONSQL_APPFVT_01_tblFillRateFechas[[#This Row],[Valida Cant]]=1,Tabla__192.168.1.8_POSEIDONSQL_APPFVT_01_tblFillRateFechas[[#This Row],[Valida Fec]]=1),1,0)</f>
        <v>1</v>
      </c>
      <c r="P1180" s="1">
        <f>+(Tabla__192.168.1.8_POSEIDONSQL_APPFVT_01_tblFillRateFechas[[#This Row],[Cant_Resultante]]/Tabla__192.168.1.8_POSEIDONSQL_APPFVT_01_tblFillRateFechas[[#This Row],[cant_order]])*100</f>
        <v>100</v>
      </c>
      <c r="Q11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0" s="1">
        <f>+IF(Tabla__192.168.1.8_POSEIDONSQL_APPFVT_01_tblFillRateFechas[[#This Row],[cant_order]]&gt;0,1,0)</f>
        <v>1</v>
      </c>
      <c r="V1180" s="1">
        <f>+IF(Tabla__192.168.1.8_POSEIDONSQL_APPFVT_01_tblFillRateFechas[[#This Row],[Resultado]]=1,1,0)</f>
        <v>1</v>
      </c>
      <c r="W1180" s="1" t="str">
        <f>+Tabla__192.168.1.8_POSEIDONSQL_APPFVT_01_tblFillRateFechas[[#This Row],[con_ocnumero]]&amp;Tabla__192.168.1.8_POSEIDONSQL_APPFVT_01_tblFillRateFechas[[#This Row],[con_codigounico]]</f>
        <v>91924840390050000693504280102</v>
      </c>
      <c r="X11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1" spans="1:24" x14ac:dyDescent="0.25">
      <c r="A1181">
        <v>9</v>
      </c>
      <c r="B1181" t="s">
        <v>48</v>
      </c>
      <c r="C1181">
        <v>9192624</v>
      </c>
      <c r="D1181" t="s">
        <v>1980</v>
      </c>
      <c r="E1181" t="s">
        <v>427</v>
      </c>
      <c r="F1181" t="s">
        <v>1977</v>
      </c>
      <c r="G1181">
        <v>1</v>
      </c>
      <c r="H1181">
        <v>1</v>
      </c>
      <c r="I1181" t="s">
        <v>427</v>
      </c>
      <c r="J1181">
        <v>0</v>
      </c>
      <c r="K1181" t="s">
        <v>1168</v>
      </c>
      <c r="L1181" s="1">
        <f>+Tabla__192.168.1.8_POSEIDONSQL_APPFVT_01_tblFillRateFechas[[#This Row],[emb_cantidad]]-Tabla__192.168.1.8_POSEIDONSQL_APPFVT_01_tblFillRateFechas[[#This Row],[dev_cantidad]]</f>
        <v>1</v>
      </c>
      <c r="M1181" s="1">
        <f>+IF(Tabla__192.168.1.8_POSEIDONSQL_APPFVT_01_tblFillRateFechas[[#This Row],[Cant_Resultante]]=Tabla__192.168.1.8_POSEIDONSQL_APPFVT_01_tblFillRateFechas[[#This Row],[cant_order]],1,0)</f>
        <v>1</v>
      </c>
      <c r="N11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1" s="1">
        <f>+IF(AND(Tabla__192.168.1.8_POSEIDONSQL_APPFVT_01_tblFillRateFechas[[#This Row],[Valida Cant]]=1,Tabla__192.168.1.8_POSEIDONSQL_APPFVT_01_tblFillRateFechas[[#This Row],[Valida Fec]]=1),1,0)</f>
        <v>1</v>
      </c>
      <c r="P1181" s="1">
        <f>+(Tabla__192.168.1.8_POSEIDONSQL_APPFVT_01_tblFillRateFechas[[#This Row],[Cant_Resultante]]/Tabla__192.168.1.8_POSEIDONSQL_APPFVT_01_tblFillRateFechas[[#This Row],[cant_order]])*100</f>
        <v>100</v>
      </c>
      <c r="Q11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1" s="1">
        <f>+IF(Tabla__192.168.1.8_POSEIDONSQL_APPFVT_01_tblFillRateFechas[[#This Row],[cant_order]]&gt;0,1,0)</f>
        <v>1</v>
      </c>
      <c r="V1181" s="1">
        <f>+IF(Tabla__192.168.1.8_POSEIDONSQL_APPFVT_01_tblFillRateFechas[[#This Row],[Resultado]]=1,1,0)</f>
        <v>1</v>
      </c>
      <c r="W1181" s="1" t="str">
        <f>+Tabla__192.168.1.8_POSEIDONSQL_APPFVT_01_tblFillRateFechas[[#This Row],[con_ocnumero]]&amp;Tabla__192.168.1.8_POSEIDONSQL_APPFVT_01_tblFillRateFechas[[#This Row],[con_codigounico]]</f>
        <v>91926240390050000693544380101</v>
      </c>
      <c r="X11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2" spans="1:24" x14ac:dyDescent="0.25">
      <c r="A1182">
        <v>9</v>
      </c>
      <c r="B1182" t="s">
        <v>48</v>
      </c>
      <c r="C1182">
        <v>9192624</v>
      </c>
      <c r="D1182" t="s">
        <v>1980</v>
      </c>
      <c r="E1182" t="s">
        <v>160</v>
      </c>
      <c r="F1182" t="s">
        <v>1977</v>
      </c>
      <c r="G1182">
        <v>1</v>
      </c>
      <c r="H1182">
        <v>1</v>
      </c>
      <c r="I1182" t="s">
        <v>160</v>
      </c>
      <c r="J1182">
        <v>0</v>
      </c>
      <c r="K1182" t="s">
        <v>801</v>
      </c>
      <c r="L1182" s="1">
        <f>+Tabla__192.168.1.8_POSEIDONSQL_APPFVT_01_tblFillRateFechas[[#This Row],[emb_cantidad]]-Tabla__192.168.1.8_POSEIDONSQL_APPFVT_01_tblFillRateFechas[[#This Row],[dev_cantidad]]</f>
        <v>1</v>
      </c>
      <c r="M1182" s="1">
        <f>+IF(Tabla__192.168.1.8_POSEIDONSQL_APPFVT_01_tblFillRateFechas[[#This Row],[Cant_Resultante]]=Tabla__192.168.1.8_POSEIDONSQL_APPFVT_01_tblFillRateFechas[[#This Row],[cant_order]],1,0)</f>
        <v>1</v>
      </c>
      <c r="N11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2" s="1">
        <f>+IF(AND(Tabla__192.168.1.8_POSEIDONSQL_APPFVT_01_tblFillRateFechas[[#This Row],[Valida Cant]]=1,Tabla__192.168.1.8_POSEIDONSQL_APPFVT_01_tblFillRateFechas[[#This Row],[Valida Fec]]=1),1,0)</f>
        <v>1</v>
      </c>
      <c r="P1182" s="1">
        <f>+(Tabla__192.168.1.8_POSEIDONSQL_APPFVT_01_tblFillRateFechas[[#This Row],[Cant_Resultante]]/Tabla__192.168.1.8_POSEIDONSQL_APPFVT_01_tblFillRateFechas[[#This Row],[cant_order]])*100</f>
        <v>100</v>
      </c>
      <c r="Q11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2" s="1">
        <f>+IF(Tabla__192.168.1.8_POSEIDONSQL_APPFVT_01_tblFillRateFechas[[#This Row],[cant_order]]&gt;0,1,0)</f>
        <v>1</v>
      </c>
      <c r="V1182" s="1">
        <f>+IF(Tabla__192.168.1.8_POSEIDONSQL_APPFVT_01_tblFillRateFechas[[#This Row],[Resultado]]=1,1,0)</f>
        <v>1</v>
      </c>
      <c r="W1182" s="1" t="str">
        <f>+Tabla__192.168.1.8_POSEIDONSQL_APPFVT_01_tblFillRateFechas[[#This Row],[con_ocnumero]]&amp;Tabla__192.168.1.8_POSEIDONSQL_APPFVT_01_tblFillRateFechas[[#This Row],[con_codigounico]]</f>
        <v>91926240390050000693559760101</v>
      </c>
      <c r="X11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3" spans="1:24" x14ac:dyDescent="0.25">
      <c r="A1183">
        <v>9</v>
      </c>
      <c r="B1183" t="s">
        <v>48</v>
      </c>
      <c r="C1183">
        <v>9192685</v>
      </c>
      <c r="D1183" t="s">
        <v>1980</v>
      </c>
      <c r="E1183" t="s">
        <v>160</v>
      </c>
      <c r="F1183" t="s">
        <v>1977</v>
      </c>
      <c r="G1183">
        <v>1</v>
      </c>
      <c r="H1183">
        <v>1</v>
      </c>
      <c r="I1183" t="s">
        <v>160</v>
      </c>
      <c r="J1183">
        <v>0</v>
      </c>
      <c r="K1183" t="s">
        <v>802</v>
      </c>
      <c r="L1183" s="1">
        <f>+Tabla__192.168.1.8_POSEIDONSQL_APPFVT_01_tblFillRateFechas[[#This Row],[emb_cantidad]]-Tabla__192.168.1.8_POSEIDONSQL_APPFVT_01_tblFillRateFechas[[#This Row],[dev_cantidad]]</f>
        <v>1</v>
      </c>
      <c r="M1183" s="1">
        <f>+IF(Tabla__192.168.1.8_POSEIDONSQL_APPFVT_01_tblFillRateFechas[[#This Row],[Cant_Resultante]]=Tabla__192.168.1.8_POSEIDONSQL_APPFVT_01_tblFillRateFechas[[#This Row],[cant_order]],1,0)</f>
        <v>1</v>
      </c>
      <c r="N11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3" s="1">
        <f>+IF(AND(Tabla__192.168.1.8_POSEIDONSQL_APPFVT_01_tblFillRateFechas[[#This Row],[Valida Cant]]=1,Tabla__192.168.1.8_POSEIDONSQL_APPFVT_01_tblFillRateFechas[[#This Row],[Valida Fec]]=1),1,0)</f>
        <v>1</v>
      </c>
      <c r="P1183" s="1">
        <f>+(Tabla__192.168.1.8_POSEIDONSQL_APPFVT_01_tblFillRateFechas[[#This Row],[Cant_Resultante]]/Tabla__192.168.1.8_POSEIDONSQL_APPFVT_01_tblFillRateFechas[[#This Row],[cant_order]])*100</f>
        <v>100</v>
      </c>
      <c r="Q11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3" s="1">
        <f>+IF(Tabla__192.168.1.8_POSEIDONSQL_APPFVT_01_tblFillRateFechas[[#This Row],[cant_order]]&gt;0,1,0)</f>
        <v>1</v>
      </c>
      <c r="V1183" s="1">
        <f>+IF(Tabla__192.168.1.8_POSEIDONSQL_APPFVT_01_tblFillRateFechas[[#This Row],[Resultado]]=1,1,0)</f>
        <v>1</v>
      </c>
      <c r="W1183" s="1" t="str">
        <f>+Tabla__192.168.1.8_POSEIDONSQL_APPFVT_01_tblFillRateFechas[[#This Row],[con_ocnumero]]&amp;Tabla__192.168.1.8_POSEIDONSQL_APPFVT_01_tblFillRateFechas[[#This Row],[con_codigounico]]</f>
        <v>91926850390050000693581460101</v>
      </c>
      <c r="X11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4" spans="1:24" x14ac:dyDescent="0.25">
      <c r="A1184">
        <v>9</v>
      </c>
      <c r="B1184" t="s">
        <v>48</v>
      </c>
      <c r="C1184">
        <v>9192685</v>
      </c>
      <c r="D1184" t="s">
        <v>1980</v>
      </c>
      <c r="E1184" t="s">
        <v>1969</v>
      </c>
      <c r="F1184" t="s">
        <v>1977</v>
      </c>
      <c r="G1184">
        <v>1</v>
      </c>
      <c r="H1184">
        <v>1</v>
      </c>
      <c r="I1184" t="s">
        <v>1969</v>
      </c>
      <c r="J1184">
        <v>0</v>
      </c>
      <c r="K1184" t="s">
        <v>1119</v>
      </c>
      <c r="L1184" s="1">
        <f>+Tabla__192.168.1.8_POSEIDONSQL_APPFVT_01_tblFillRateFechas[[#This Row],[emb_cantidad]]-Tabla__192.168.1.8_POSEIDONSQL_APPFVT_01_tblFillRateFechas[[#This Row],[dev_cantidad]]</f>
        <v>1</v>
      </c>
      <c r="M1184" s="1">
        <f>+IF(Tabla__192.168.1.8_POSEIDONSQL_APPFVT_01_tblFillRateFechas[[#This Row],[Cant_Resultante]]=Tabla__192.168.1.8_POSEIDONSQL_APPFVT_01_tblFillRateFechas[[#This Row],[cant_order]],1,0)</f>
        <v>1</v>
      </c>
      <c r="N11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4" s="1">
        <f>+IF(AND(Tabla__192.168.1.8_POSEIDONSQL_APPFVT_01_tblFillRateFechas[[#This Row],[Valida Cant]]=1,Tabla__192.168.1.8_POSEIDONSQL_APPFVT_01_tblFillRateFechas[[#This Row],[Valida Fec]]=1),1,0)</f>
        <v>1</v>
      </c>
      <c r="P1184" s="1">
        <f>+(Tabla__192.168.1.8_POSEIDONSQL_APPFVT_01_tblFillRateFechas[[#This Row],[Cant_Resultante]]/Tabla__192.168.1.8_POSEIDONSQL_APPFVT_01_tblFillRateFechas[[#This Row],[cant_order]])*100</f>
        <v>100</v>
      </c>
      <c r="Q11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4" s="1">
        <f>+IF(Tabla__192.168.1.8_POSEIDONSQL_APPFVT_01_tblFillRateFechas[[#This Row],[cant_order]]&gt;0,1,0)</f>
        <v>1</v>
      </c>
      <c r="V1184" s="1">
        <f>+IF(Tabla__192.168.1.8_POSEIDONSQL_APPFVT_01_tblFillRateFechas[[#This Row],[Resultado]]=1,1,0)</f>
        <v>1</v>
      </c>
      <c r="W1184" s="1" t="str">
        <f>+Tabla__192.168.1.8_POSEIDONSQL_APPFVT_01_tblFillRateFechas[[#This Row],[con_ocnumero]]&amp;Tabla__192.168.1.8_POSEIDONSQL_APPFVT_01_tblFillRateFechas[[#This Row],[con_codigounico]]</f>
        <v>91926850390050000693596560101</v>
      </c>
      <c r="X11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5" spans="1:24" x14ac:dyDescent="0.25">
      <c r="A1185">
        <v>9</v>
      </c>
      <c r="B1185" t="s">
        <v>48</v>
      </c>
      <c r="C1185">
        <v>9192740</v>
      </c>
      <c r="D1185" t="s">
        <v>1980</v>
      </c>
      <c r="E1185" t="s">
        <v>1963</v>
      </c>
      <c r="F1185" t="s">
        <v>1977</v>
      </c>
      <c r="G1185">
        <v>1</v>
      </c>
      <c r="H1185">
        <v>1</v>
      </c>
      <c r="I1185" t="s">
        <v>1963</v>
      </c>
      <c r="J1185">
        <v>0</v>
      </c>
      <c r="K1185" t="s">
        <v>800</v>
      </c>
      <c r="L1185" s="1">
        <f>+Tabla__192.168.1.8_POSEIDONSQL_APPFVT_01_tblFillRateFechas[[#This Row],[emb_cantidad]]-Tabla__192.168.1.8_POSEIDONSQL_APPFVT_01_tblFillRateFechas[[#This Row],[dev_cantidad]]</f>
        <v>1</v>
      </c>
      <c r="M1185" s="1">
        <f>+IF(Tabla__192.168.1.8_POSEIDONSQL_APPFVT_01_tblFillRateFechas[[#This Row],[Cant_Resultante]]=Tabla__192.168.1.8_POSEIDONSQL_APPFVT_01_tblFillRateFechas[[#This Row],[cant_order]],1,0)</f>
        <v>1</v>
      </c>
      <c r="N11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5" s="1">
        <f>+IF(AND(Tabla__192.168.1.8_POSEIDONSQL_APPFVT_01_tblFillRateFechas[[#This Row],[Valida Cant]]=1,Tabla__192.168.1.8_POSEIDONSQL_APPFVT_01_tblFillRateFechas[[#This Row],[Valida Fec]]=1),1,0)</f>
        <v>1</v>
      </c>
      <c r="P1185" s="1">
        <f>+(Tabla__192.168.1.8_POSEIDONSQL_APPFVT_01_tblFillRateFechas[[#This Row],[Cant_Resultante]]/Tabla__192.168.1.8_POSEIDONSQL_APPFVT_01_tblFillRateFechas[[#This Row],[cant_order]])*100</f>
        <v>100</v>
      </c>
      <c r="Q11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5" s="1">
        <f>+IF(Tabla__192.168.1.8_POSEIDONSQL_APPFVT_01_tblFillRateFechas[[#This Row],[cant_order]]&gt;0,1,0)</f>
        <v>1</v>
      </c>
      <c r="V1185" s="1">
        <f>+IF(Tabla__192.168.1.8_POSEIDONSQL_APPFVT_01_tblFillRateFechas[[#This Row],[Resultado]]=1,1,0)</f>
        <v>1</v>
      </c>
      <c r="W1185" s="1" t="str">
        <f>+Tabla__192.168.1.8_POSEIDONSQL_APPFVT_01_tblFillRateFechas[[#This Row],[con_ocnumero]]&amp;Tabla__192.168.1.8_POSEIDONSQL_APPFVT_01_tblFillRateFechas[[#This Row],[con_codigounico]]</f>
        <v>91927400390050000693629520101</v>
      </c>
      <c r="X11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6" spans="1:24" x14ac:dyDescent="0.25">
      <c r="A1186">
        <v>9</v>
      </c>
      <c r="B1186" t="s">
        <v>48</v>
      </c>
      <c r="C1186">
        <v>9192901</v>
      </c>
      <c r="D1186" t="s">
        <v>1980</v>
      </c>
      <c r="E1186" t="s">
        <v>160</v>
      </c>
      <c r="F1186" t="s">
        <v>1977</v>
      </c>
      <c r="G1186">
        <v>1</v>
      </c>
      <c r="H1186">
        <v>1</v>
      </c>
      <c r="I1186" t="s">
        <v>160</v>
      </c>
      <c r="J1186">
        <v>0</v>
      </c>
      <c r="K1186" t="s">
        <v>804</v>
      </c>
      <c r="L1186" s="1">
        <f>+Tabla__192.168.1.8_POSEIDONSQL_APPFVT_01_tblFillRateFechas[[#This Row],[emb_cantidad]]-Tabla__192.168.1.8_POSEIDONSQL_APPFVT_01_tblFillRateFechas[[#This Row],[dev_cantidad]]</f>
        <v>1</v>
      </c>
      <c r="M1186" s="1">
        <f>+IF(Tabla__192.168.1.8_POSEIDONSQL_APPFVT_01_tblFillRateFechas[[#This Row],[Cant_Resultante]]=Tabla__192.168.1.8_POSEIDONSQL_APPFVT_01_tblFillRateFechas[[#This Row],[cant_order]],1,0)</f>
        <v>1</v>
      </c>
      <c r="N11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6" s="1">
        <f>+IF(AND(Tabla__192.168.1.8_POSEIDONSQL_APPFVT_01_tblFillRateFechas[[#This Row],[Valida Cant]]=1,Tabla__192.168.1.8_POSEIDONSQL_APPFVT_01_tblFillRateFechas[[#This Row],[Valida Fec]]=1),1,0)</f>
        <v>1</v>
      </c>
      <c r="P1186" s="1">
        <f>+(Tabla__192.168.1.8_POSEIDONSQL_APPFVT_01_tblFillRateFechas[[#This Row],[Cant_Resultante]]/Tabla__192.168.1.8_POSEIDONSQL_APPFVT_01_tblFillRateFechas[[#This Row],[cant_order]])*100</f>
        <v>100</v>
      </c>
      <c r="Q11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6" s="1">
        <f>+IF(Tabla__192.168.1.8_POSEIDONSQL_APPFVT_01_tblFillRateFechas[[#This Row],[cant_order]]&gt;0,1,0)</f>
        <v>1</v>
      </c>
      <c r="V1186" s="1">
        <f>+IF(Tabla__192.168.1.8_POSEIDONSQL_APPFVT_01_tblFillRateFechas[[#This Row],[Resultado]]=1,1,0)</f>
        <v>1</v>
      </c>
      <c r="W1186" s="1" t="str">
        <f>+Tabla__192.168.1.8_POSEIDONSQL_APPFVT_01_tblFillRateFechas[[#This Row],[con_ocnumero]]&amp;Tabla__192.168.1.8_POSEIDONSQL_APPFVT_01_tblFillRateFechas[[#This Row],[con_codigounico]]</f>
        <v>91929010390050000693729160101</v>
      </c>
      <c r="X11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7" spans="1:24" x14ac:dyDescent="0.25">
      <c r="A1187">
        <v>9</v>
      </c>
      <c r="B1187" t="s">
        <v>48</v>
      </c>
      <c r="C1187">
        <v>9192942</v>
      </c>
      <c r="D1187" t="s">
        <v>1980</v>
      </c>
      <c r="E1187" t="s">
        <v>160</v>
      </c>
      <c r="F1187" t="s">
        <v>1977</v>
      </c>
      <c r="G1187">
        <v>1</v>
      </c>
      <c r="H1187">
        <v>1</v>
      </c>
      <c r="I1187" t="s">
        <v>160</v>
      </c>
      <c r="J1187">
        <v>0</v>
      </c>
      <c r="K1187" t="s">
        <v>805</v>
      </c>
      <c r="L1187" s="1">
        <f>+Tabla__192.168.1.8_POSEIDONSQL_APPFVT_01_tblFillRateFechas[[#This Row],[emb_cantidad]]-Tabla__192.168.1.8_POSEIDONSQL_APPFVT_01_tblFillRateFechas[[#This Row],[dev_cantidad]]</f>
        <v>1</v>
      </c>
      <c r="M1187" s="1">
        <f>+IF(Tabla__192.168.1.8_POSEIDONSQL_APPFVT_01_tblFillRateFechas[[#This Row],[Cant_Resultante]]=Tabla__192.168.1.8_POSEIDONSQL_APPFVT_01_tblFillRateFechas[[#This Row],[cant_order]],1,0)</f>
        <v>1</v>
      </c>
      <c r="N11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7" s="1">
        <f>+IF(AND(Tabla__192.168.1.8_POSEIDONSQL_APPFVT_01_tblFillRateFechas[[#This Row],[Valida Cant]]=1,Tabla__192.168.1.8_POSEIDONSQL_APPFVT_01_tblFillRateFechas[[#This Row],[Valida Fec]]=1),1,0)</f>
        <v>1</v>
      </c>
      <c r="P1187" s="1">
        <f>+(Tabla__192.168.1.8_POSEIDONSQL_APPFVT_01_tblFillRateFechas[[#This Row],[Cant_Resultante]]/Tabla__192.168.1.8_POSEIDONSQL_APPFVT_01_tblFillRateFechas[[#This Row],[cant_order]])*100</f>
        <v>100</v>
      </c>
      <c r="Q11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7" s="1">
        <f>+IF(Tabla__192.168.1.8_POSEIDONSQL_APPFVT_01_tblFillRateFechas[[#This Row],[cant_order]]&gt;0,1,0)</f>
        <v>1</v>
      </c>
      <c r="V1187" s="1">
        <f>+IF(Tabla__192.168.1.8_POSEIDONSQL_APPFVT_01_tblFillRateFechas[[#This Row],[Resultado]]=1,1,0)</f>
        <v>1</v>
      </c>
      <c r="W1187" s="1" t="str">
        <f>+Tabla__192.168.1.8_POSEIDONSQL_APPFVT_01_tblFillRateFechas[[#This Row],[con_ocnumero]]&amp;Tabla__192.168.1.8_POSEIDONSQL_APPFVT_01_tblFillRateFechas[[#This Row],[con_codigounico]]</f>
        <v>91929420390050000693733480101</v>
      </c>
      <c r="X11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8" spans="1:24" x14ac:dyDescent="0.25">
      <c r="A1188">
        <v>9</v>
      </c>
      <c r="B1188" t="s">
        <v>48</v>
      </c>
      <c r="C1188">
        <v>9192968</v>
      </c>
      <c r="D1188" t="s">
        <v>1977</v>
      </c>
      <c r="E1188" t="s">
        <v>160</v>
      </c>
      <c r="F1188" t="s">
        <v>1977</v>
      </c>
      <c r="G1188">
        <v>1</v>
      </c>
      <c r="H1188">
        <v>1</v>
      </c>
      <c r="I1188" t="s">
        <v>160</v>
      </c>
      <c r="J1188">
        <v>0</v>
      </c>
      <c r="K1188" t="s">
        <v>806</v>
      </c>
      <c r="L1188" s="1">
        <f>+Tabla__192.168.1.8_POSEIDONSQL_APPFVT_01_tblFillRateFechas[[#This Row],[emb_cantidad]]-Tabla__192.168.1.8_POSEIDONSQL_APPFVT_01_tblFillRateFechas[[#This Row],[dev_cantidad]]</f>
        <v>1</v>
      </c>
      <c r="M1188" s="1">
        <f>+IF(Tabla__192.168.1.8_POSEIDONSQL_APPFVT_01_tblFillRateFechas[[#This Row],[Cant_Resultante]]=Tabla__192.168.1.8_POSEIDONSQL_APPFVT_01_tblFillRateFechas[[#This Row],[cant_order]],1,0)</f>
        <v>1</v>
      </c>
      <c r="N11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8" s="1">
        <f>+IF(AND(Tabla__192.168.1.8_POSEIDONSQL_APPFVT_01_tblFillRateFechas[[#This Row],[Valida Cant]]=1,Tabla__192.168.1.8_POSEIDONSQL_APPFVT_01_tblFillRateFechas[[#This Row],[Valida Fec]]=1),1,0)</f>
        <v>1</v>
      </c>
      <c r="P1188" s="1">
        <f>+(Tabla__192.168.1.8_POSEIDONSQL_APPFVT_01_tblFillRateFechas[[#This Row],[Cant_Resultante]]/Tabla__192.168.1.8_POSEIDONSQL_APPFVT_01_tblFillRateFechas[[#This Row],[cant_order]])*100</f>
        <v>100</v>
      </c>
      <c r="Q11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8" s="1">
        <f>+IF(Tabla__192.168.1.8_POSEIDONSQL_APPFVT_01_tblFillRateFechas[[#This Row],[cant_order]]&gt;0,1,0)</f>
        <v>1</v>
      </c>
      <c r="V1188" s="1">
        <f>+IF(Tabla__192.168.1.8_POSEIDONSQL_APPFVT_01_tblFillRateFechas[[#This Row],[Resultado]]=1,1,0)</f>
        <v>1</v>
      </c>
      <c r="W1188" s="1" t="str">
        <f>+Tabla__192.168.1.8_POSEIDONSQL_APPFVT_01_tblFillRateFechas[[#This Row],[con_ocnumero]]&amp;Tabla__192.168.1.8_POSEIDONSQL_APPFVT_01_tblFillRateFechas[[#This Row],[con_codigounico]]</f>
        <v>91929680390050000693804760101</v>
      </c>
      <c r="X11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89" spans="1:24" x14ac:dyDescent="0.25">
      <c r="A1189">
        <v>9</v>
      </c>
      <c r="B1189" t="s">
        <v>48</v>
      </c>
      <c r="C1189">
        <v>9192968</v>
      </c>
      <c r="D1189" t="s">
        <v>1977</v>
      </c>
      <c r="E1189" t="s">
        <v>160</v>
      </c>
      <c r="F1189" t="s">
        <v>1977</v>
      </c>
      <c r="G1189">
        <v>1</v>
      </c>
      <c r="H1189">
        <v>1</v>
      </c>
      <c r="I1189" t="s">
        <v>160</v>
      </c>
      <c r="J1189">
        <v>0</v>
      </c>
      <c r="K1189" t="s">
        <v>807</v>
      </c>
      <c r="L1189" s="1">
        <f>+Tabla__192.168.1.8_POSEIDONSQL_APPFVT_01_tblFillRateFechas[[#This Row],[emb_cantidad]]-Tabla__192.168.1.8_POSEIDONSQL_APPFVT_01_tblFillRateFechas[[#This Row],[dev_cantidad]]</f>
        <v>1</v>
      </c>
      <c r="M1189" s="1">
        <f>+IF(Tabla__192.168.1.8_POSEIDONSQL_APPFVT_01_tblFillRateFechas[[#This Row],[Cant_Resultante]]=Tabla__192.168.1.8_POSEIDONSQL_APPFVT_01_tblFillRateFechas[[#This Row],[cant_order]],1,0)</f>
        <v>1</v>
      </c>
      <c r="N11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89" s="1">
        <f>+IF(AND(Tabla__192.168.1.8_POSEIDONSQL_APPFVT_01_tblFillRateFechas[[#This Row],[Valida Cant]]=1,Tabla__192.168.1.8_POSEIDONSQL_APPFVT_01_tblFillRateFechas[[#This Row],[Valida Fec]]=1),1,0)</f>
        <v>1</v>
      </c>
      <c r="P1189" s="1">
        <f>+(Tabla__192.168.1.8_POSEIDONSQL_APPFVT_01_tblFillRateFechas[[#This Row],[Cant_Resultante]]/Tabla__192.168.1.8_POSEIDONSQL_APPFVT_01_tblFillRateFechas[[#This Row],[cant_order]])*100</f>
        <v>100</v>
      </c>
      <c r="Q11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89" s="1">
        <f>+IF(Tabla__192.168.1.8_POSEIDONSQL_APPFVT_01_tblFillRateFechas[[#This Row],[cant_order]]&gt;0,1,0)</f>
        <v>1</v>
      </c>
      <c r="V1189" s="1">
        <f>+IF(Tabla__192.168.1.8_POSEIDONSQL_APPFVT_01_tblFillRateFechas[[#This Row],[Resultado]]=1,1,0)</f>
        <v>1</v>
      </c>
      <c r="W1189" s="1" t="str">
        <f>+Tabla__192.168.1.8_POSEIDONSQL_APPFVT_01_tblFillRateFechas[[#This Row],[con_ocnumero]]&amp;Tabla__192.168.1.8_POSEIDONSQL_APPFVT_01_tblFillRateFechas[[#This Row],[con_codigounico]]</f>
        <v>91929680390050000693832550101</v>
      </c>
      <c r="X11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0" spans="1:24" x14ac:dyDescent="0.25">
      <c r="A1190">
        <v>9</v>
      </c>
      <c r="B1190" t="s">
        <v>48</v>
      </c>
      <c r="C1190">
        <v>9192968</v>
      </c>
      <c r="D1190" t="s">
        <v>1977</v>
      </c>
      <c r="E1190" t="s">
        <v>427</v>
      </c>
      <c r="F1190" t="s">
        <v>1977</v>
      </c>
      <c r="G1190">
        <v>1</v>
      </c>
      <c r="H1190">
        <v>1</v>
      </c>
      <c r="I1190" t="s">
        <v>427</v>
      </c>
      <c r="J1190">
        <v>0</v>
      </c>
      <c r="K1190" t="s">
        <v>1169</v>
      </c>
      <c r="L1190" s="1">
        <f>+Tabla__192.168.1.8_POSEIDONSQL_APPFVT_01_tblFillRateFechas[[#This Row],[emb_cantidad]]-Tabla__192.168.1.8_POSEIDONSQL_APPFVT_01_tblFillRateFechas[[#This Row],[dev_cantidad]]</f>
        <v>1</v>
      </c>
      <c r="M1190" s="1">
        <f>+IF(Tabla__192.168.1.8_POSEIDONSQL_APPFVT_01_tblFillRateFechas[[#This Row],[Cant_Resultante]]=Tabla__192.168.1.8_POSEIDONSQL_APPFVT_01_tblFillRateFechas[[#This Row],[cant_order]],1,0)</f>
        <v>1</v>
      </c>
      <c r="N11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0" s="1">
        <f>+IF(AND(Tabla__192.168.1.8_POSEIDONSQL_APPFVT_01_tblFillRateFechas[[#This Row],[Valida Cant]]=1,Tabla__192.168.1.8_POSEIDONSQL_APPFVT_01_tblFillRateFechas[[#This Row],[Valida Fec]]=1),1,0)</f>
        <v>1</v>
      </c>
      <c r="P1190" s="1">
        <f>+(Tabla__192.168.1.8_POSEIDONSQL_APPFVT_01_tblFillRateFechas[[#This Row],[Cant_Resultante]]/Tabla__192.168.1.8_POSEIDONSQL_APPFVT_01_tblFillRateFechas[[#This Row],[cant_order]])*100</f>
        <v>100</v>
      </c>
      <c r="Q11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0" s="1">
        <f>+IF(Tabla__192.168.1.8_POSEIDONSQL_APPFVT_01_tblFillRateFechas[[#This Row],[cant_order]]&gt;0,1,0)</f>
        <v>1</v>
      </c>
      <c r="V1190" s="1">
        <f>+IF(Tabla__192.168.1.8_POSEIDONSQL_APPFVT_01_tblFillRateFechas[[#This Row],[Resultado]]=1,1,0)</f>
        <v>1</v>
      </c>
      <c r="W1190" s="1" t="str">
        <f>+Tabla__192.168.1.8_POSEIDONSQL_APPFVT_01_tblFillRateFechas[[#This Row],[con_ocnumero]]&amp;Tabla__192.168.1.8_POSEIDONSQL_APPFVT_01_tblFillRateFechas[[#This Row],[con_codigounico]]</f>
        <v>91929680390050000693911100101</v>
      </c>
      <c r="X11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1" spans="1:24" x14ac:dyDescent="0.25">
      <c r="A1191">
        <v>9</v>
      </c>
      <c r="B1191" t="s">
        <v>48</v>
      </c>
      <c r="C1191">
        <v>9192968</v>
      </c>
      <c r="D1191" t="s">
        <v>1977</v>
      </c>
      <c r="E1191" t="s">
        <v>160</v>
      </c>
      <c r="F1191" t="s">
        <v>1977</v>
      </c>
      <c r="G1191">
        <v>1</v>
      </c>
      <c r="H1191">
        <v>1</v>
      </c>
      <c r="I1191" t="s">
        <v>160</v>
      </c>
      <c r="J1191">
        <v>0</v>
      </c>
      <c r="K1191" t="s">
        <v>808</v>
      </c>
      <c r="L1191" s="1">
        <f>+Tabla__192.168.1.8_POSEIDONSQL_APPFVT_01_tblFillRateFechas[[#This Row],[emb_cantidad]]-Tabla__192.168.1.8_POSEIDONSQL_APPFVT_01_tblFillRateFechas[[#This Row],[dev_cantidad]]</f>
        <v>1</v>
      </c>
      <c r="M1191" s="1">
        <f>+IF(Tabla__192.168.1.8_POSEIDONSQL_APPFVT_01_tblFillRateFechas[[#This Row],[Cant_Resultante]]=Tabla__192.168.1.8_POSEIDONSQL_APPFVT_01_tblFillRateFechas[[#This Row],[cant_order]],1,0)</f>
        <v>1</v>
      </c>
      <c r="N11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1" s="1">
        <f>+IF(AND(Tabla__192.168.1.8_POSEIDONSQL_APPFVT_01_tblFillRateFechas[[#This Row],[Valida Cant]]=1,Tabla__192.168.1.8_POSEIDONSQL_APPFVT_01_tblFillRateFechas[[#This Row],[Valida Fec]]=1),1,0)</f>
        <v>1</v>
      </c>
      <c r="P1191" s="1">
        <f>+(Tabla__192.168.1.8_POSEIDONSQL_APPFVT_01_tblFillRateFechas[[#This Row],[Cant_Resultante]]/Tabla__192.168.1.8_POSEIDONSQL_APPFVT_01_tblFillRateFechas[[#This Row],[cant_order]])*100</f>
        <v>100</v>
      </c>
      <c r="Q11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1" s="1">
        <f>+IF(Tabla__192.168.1.8_POSEIDONSQL_APPFVT_01_tblFillRateFechas[[#This Row],[cant_order]]&gt;0,1,0)</f>
        <v>1</v>
      </c>
      <c r="V1191" s="1">
        <f>+IF(Tabla__192.168.1.8_POSEIDONSQL_APPFVT_01_tblFillRateFechas[[#This Row],[Resultado]]=1,1,0)</f>
        <v>1</v>
      </c>
      <c r="W1191" s="1" t="str">
        <f>+Tabla__192.168.1.8_POSEIDONSQL_APPFVT_01_tblFillRateFechas[[#This Row],[con_ocnumero]]&amp;Tabla__192.168.1.8_POSEIDONSQL_APPFVT_01_tblFillRateFechas[[#This Row],[con_codigounico]]</f>
        <v>91929680390050000693912190101</v>
      </c>
      <c r="X11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2" spans="1:24" x14ac:dyDescent="0.25">
      <c r="A1192">
        <v>9</v>
      </c>
      <c r="B1192" t="s">
        <v>48</v>
      </c>
      <c r="C1192">
        <v>9197571</v>
      </c>
      <c r="D1192" t="s">
        <v>160</v>
      </c>
      <c r="E1192" t="s">
        <v>426</v>
      </c>
      <c r="F1192" t="s">
        <v>161</v>
      </c>
      <c r="G1192">
        <v>1</v>
      </c>
      <c r="H1192">
        <v>1</v>
      </c>
      <c r="I1192" t="s">
        <v>426</v>
      </c>
      <c r="J1192">
        <v>0</v>
      </c>
      <c r="K1192" t="s">
        <v>1862</v>
      </c>
      <c r="L1192" s="1">
        <f>+Tabla__192.168.1.8_POSEIDONSQL_APPFVT_01_tblFillRateFechas[[#This Row],[emb_cantidad]]-Tabla__192.168.1.8_POSEIDONSQL_APPFVT_01_tblFillRateFechas[[#This Row],[dev_cantidad]]</f>
        <v>1</v>
      </c>
      <c r="M1192" s="1">
        <f>+IF(Tabla__192.168.1.8_POSEIDONSQL_APPFVT_01_tblFillRateFechas[[#This Row],[Cant_Resultante]]=Tabla__192.168.1.8_POSEIDONSQL_APPFVT_01_tblFillRateFechas[[#This Row],[cant_order]],1,0)</f>
        <v>1</v>
      </c>
      <c r="N11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2" s="1">
        <f>+IF(AND(Tabla__192.168.1.8_POSEIDONSQL_APPFVT_01_tblFillRateFechas[[#This Row],[Valida Cant]]=1,Tabla__192.168.1.8_POSEIDONSQL_APPFVT_01_tblFillRateFechas[[#This Row],[Valida Fec]]=1),1,0)</f>
        <v>1</v>
      </c>
      <c r="P1192" s="1">
        <f>+(Tabla__192.168.1.8_POSEIDONSQL_APPFVT_01_tblFillRateFechas[[#This Row],[Cant_Resultante]]/Tabla__192.168.1.8_POSEIDONSQL_APPFVT_01_tblFillRateFechas[[#This Row],[cant_order]])*100</f>
        <v>100</v>
      </c>
      <c r="Q11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2" s="1">
        <f>+IF(Tabla__192.168.1.8_POSEIDONSQL_APPFVT_01_tblFillRateFechas[[#This Row],[cant_order]]&gt;0,1,0)</f>
        <v>1</v>
      </c>
      <c r="V1192" s="1">
        <f>+IF(Tabla__192.168.1.8_POSEIDONSQL_APPFVT_01_tblFillRateFechas[[#This Row],[Resultado]]=1,1,0)</f>
        <v>1</v>
      </c>
      <c r="W1192" s="1" t="str">
        <f>+Tabla__192.168.1.8_POSEIDONSQL_APPFVT_01_tblFillRateFechas[[#This Row],[con_ocnumero]]&amp;Tabla__192.168.1.8_POSEIDONSQL_APPFVT_01_tblFillRateFechas[[#This Row],[con_codigounico]]</f>
        <v>91975710390050000693967000101</v>
      </c>
      <c r="X11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3" spans="1:24" x14ac:dyDescent="0.25">
      <c r="A1193">
        <v>9</v>
      </c>
      <c r="B1193" t="s">
        <v>48</v>
      </c>
      <c r="C1193">
        <v>9193160</v>
      </c>
      <c r="D1193" t="s">
        <v>1977</v>
      </c>
      <c r="E1193" t="s">
        <v>160</v>
      </c>
      <c r="F1193" t="s">
        <v>1962</v>
      </c>
      <c r="G1193">
        <v>1</v>
      </c>
      <c r="H1193">
        <v>1</v>
      </c>
      <c r="I1193" t="s">
        <v>160</v>
      </c>
      <c r="J1193">
        <v>0</v>
      </c>
      <c r="K1193" t="s">
        <v>1262</v>
      </c>
      <c r="L1193" s="1">
        <f>+Tabla__192.168.1.8_POSEIDONSQL_APPFVT_01_tblFillRateFechas[[#This Row],[emb_cantidad]]-Tabla__192.168.1.8_POSEIDONSQL_APPFVT_01_tblFillRateFechas[[#This Row],[dev_cantidad]]</f>
        <v>1</v>
      </c>
      <c r="M1193" s="1">
        <f>+IF(Tabla__192.168.1.8_POSEIDONSQL_APPFVT_01_tblFillRateFechas[[#This Row],[Cant_Resultante]]=Tabla__192.168.1.8_POSEIDONSQL_APPFVT_01_tblFillRateFechas[[#This Row],[cant_order]],1,0)</f>
        <v>1</v>
      </c>
      <c r="N11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3" s="1">
        <f>+IF(AND(Tabla__192.168.1.8_POSEIDONSQL_APPFVT_01_tblFillRateFechas[[#This Row],[Valida Cant]]=1,Tabla__192.168.1.8_POSEIDONSQL_APPFVT_01_tblFillRateFechas[[#This Row],[Valida Fec]]=1),1,0)</f>
        <v>1</v>
      </c>
      <c r="P1193" s="1">
        <f>+(Tabla__192.168.1.8_POSEIDONSQL_APPFVT_01_tblFillRateFechas[[#This Row],[Cant_Resultante]]/Tabla__192.168.1.8_POSEIDONSQL_APPFVT_01_tblFillRateFechas[[#This Row],[cant_order]])*100</f>
        <v>100</v>
      </c>
      <c r="Q11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3" s="1">
        <f>+IF(Tabla__192.168.1.8_POSEIDONSQL_APPFVT_01_tblFillRateFechas[[#This Row],[cant_order]]&gt;0,1,0)</f>
        <v>1</v>
      </c>
      <c r="V1193" s="1">
        <f>+IF(Tabla__192.168.1.8_POSEIDONSQL_APPFVT_01_tblFillRateFechas[[#This Row],[Resultado]]=1,1,0)</f>
        <v>1</v>
      </c>
      <c r="W1193" s="1" t="str">
        <f>+Tabla__192.168.1.8_POSEIDONSQL_APPFVT_01_tblFillRateFechas[[#This Row],[con_ocnumero]]&amp;Tabla__192.168.1.8_POSEIDONSQL_APPFVT_01_tblFillRateFechas[[#This Row],[con_codigounico]]</f>
        <v>91931600390050000694012220103</v>
      </c>
      <c r="X11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4" spans="1:24" x14ac:dyDescent="0.25">
      <c r="A1194">
        <v>9</v>
      </c>
      <c r="B1194" t="s">
        <v>48</v>
      </c>
      <c r="C1194">
        <v>9193254</v>
      </c>
      <c r="D1194" t="s">
        <v>1977</v>
      </c>
      <c r="E1194" t="s">
        <v>160</v>
      </c>
      <c r="F1194" t="s">
        <v>1962</v>
      </c>
      <c r="G1194">
        <v>1</v>
      </c>
      <c r="H1194">
        <v>1</v>
      </c>
      <c r="I1194" t="s">
        <v>160</v>
      </c>
      <c r="J1194">
        <v>0</v>
      </c>
      <c r="K1194" t="s">
        <v>1263</v>
      </c>
      <c r="L1194" s="1">
        <f>+Tabla__192.168.1.8_POSEIDONSQL_APPFVT_01_tblFillRateFechas[[#This Row],[emb_cantidad]]-Tabla__192.168.1.8_POSEIDONSQL_APPFVT_01_tblFillRateFechas[[#This Row],[dev_cantidad]]</f>
        <v>1</v>
      </c>
      <c r="M1194" s="1">
        <f>+IF(Tabla__192.168.1.8_POSEIDONSQL_APPFVT_01_tblFillRateFechas[[#This Row],[Cant_Resultante]]=Tabla__192.168.1.8_POSEIDONSQL_APPFVT_01_tblFillRateFechas[[#This Row],[cant_order]],1,0)</f>
        <v>1</v>
      </c>
      <c r="N11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4" s="1">
        <f>+IF(AND(Tabla__192.168.1.8_POSEIDONSQL_APPFVT_01_tblFillRateFechas[[#This Row],[Valida Cant]]=1,Tabla__192.168.1.8_POSEIDONSQL_APPFVT_01_tblFillRateFechas[[#This Row],[Valida Fec]]=1),1,0)</f>
        <v>1</v>
      </c>
      <c r="P1194" s="1">
        <f>+(Tabla__192.168.1.8_POSEIDONSQL_APPFVT_01_tblFillRateFechas[[#This Row],[Cant_Resultante]]/Tabla__192.168.1.8_POSEIDONSQL_APPFVT_01_tblFillRateFechas[[#This Row],[cant_order]])*100</f>
        <v>100</v>
      </c>
      <c r="Q11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4" s="1">
        <f>+IF(Tabla__192.168.1.8_POSEIDONSQL_APPFVT_01_tblFillRateFechas[[#This Row],[cant_order]]&gt;0,1,0)</f>
        <v>1</v>
      </c>
      <c r="V1194" s="1">
        <f>+IF(Tabla__192.168.1.8_POSEIDONSQL_APPFVT_01_tblFillRateFechas[[#This Row],[Resultado]]=1,1,0)</f>
        <v>1</v>
      </c>
      <c r="W1194" s="1" t="str">
        <f>+Tabla__192.168.1.8_POSEIDONSQL_APPFVT_01_tblFillRateFechas[[#This Row],[con_ocnumero]]&amp;Tabla__192.168.1.8_POSEIDONSQL_APPFVT_01_tblFillRateFechas[[#This Row],[con_codigounico]]</f>
        <v>91932540390050000694132500101</v>
      </c>
      <c r="X11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5" spans="1:24" x14ac:dyDescent="0.25">
      <c r="A1195">
        <v>9</v>
      </c>
      <c r="B1195" t="s">
        <v>48</v>
      </c>
      <c r="C1195">
        <v>9193403</v>
      </c>
      <c r="D1195" t="s">
        <v>1977</v>
      </c>
      <c r="E1195" t="s">
        <v>160</v>
      </c>
      <c r="F1195" t="s">
        <v>1962</v>
      </c>
      <c r="G1195">
        <v>1</v>
      </c>
      <c r="H1195">
        <v>1</v>
      </c>
      <c r="I1195" t="s">
        <v>160</v>
      </c>
      <c r="J1195">
        <v>0</v>
      </c>
      <c r="K1195" t="s">
        <v>1264</v>
      </c>
      <c r="L1195" s="1">
        <f>+Tabla__192.168.1.8_POSEIDONSQL_APPFVT_01_tblFillRateFechas[[#This Row],[emb_cantidad]]-Tabla__192.168.1.8_POSEIDONSQL_APPFVT_01_tblFillRateFechas[[#This Row],[dev_cantidad]]</f>
        <v>1</v>
      </c>
      <c r="M1195" s="1">
        <f>+IF(Tabla__192.168.1.8_POSEIDONSQL_APPFVT_01_tblFillRateFechas[[#This Row],[Cant_Resultante]]=Tabla__192.168.1.8_POSEIDONSQL_APPFVT_01_tblFillRateFechas[[#This Row],[cant_order]],1,0)</f>
        <v>1</v>
      </c>
      <c r="N11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5" s="1">
        <f>+IF(AND(Tabla__192.168.1.8_POSEIDONSQL_APPFVT_01_tblFillRateFechas[[#This Row],[Valida Cant]]=1,Tabla__192.168.1.8_POSEIDONSQL_APPFVT_01_tblFillRateFechas[[#This Row],[Valida Fec]]=1),1,0)</f>
        <v>1</v>
      </c>
      <c r="P1195" s="1">
        <f>+(Tabla__192.168.1.8_POSEIDONSQL_APPFVT_01_tblFillRateFechas[[#This Row],[Cant_Resultante]]/Tabla__192.168.1.8_POSEIDONSQL_APPFVT_01_tblFillRateFechas[[#This Row],[cant_order]])*100</f>
        <v>100</v>
      </c>
      <c r="Q11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5" s="1">
        <f>+IF(Tabla__192.168.1.8_POSEIDONSQL_APPFVT_01_tblFillRateFechas[[#This Row],[cant_order]]&gt;0,1,0)</f>
        <v>1</v>
      </c>
      <c r="V1195" s="1">
        <f>+IF(Tabla__192.168.1.8_POSEIDONSQL_APPFVT_01_tblFillRateFechas[[#This Row],[Resultado]]=1,1,0)</f>
        <v>1</v>
      </c>
      <c r="W1195" s="1" t="str">
        <f>+Tabla__192.168.1.8_POSEIDONSQL_APPFVT_01_tblFillRateFechas[[#This Row],[con_ocnumero]]&amp;Tabla__192.168.1.8_POSEIDONSQL_APPFVT_01_tblFillRateFechas[[#This Row],[con_codigounico]]</f>
        <v>91934030390050000694220060101</v>
      </c>
      <c r="X11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6" spans="1:24" x14ac:dyDescent="0.25">
      <c r="A1196">
        <v>9</v>
      </c>
      <c r="B1196" t="s">
        <v>48</v>
      </c>
      <c r="C1196">
        <v>9193447</v>
      </c>
      <c r="D1196" t="s">
        <v>1977</v>
      </c>
      <c r="E1196" t="s">
        <v>163</v>
      </c>
      <c r="F1196" t="s">
        <v>1962</v>
      </c>
      <c r="G1196">
        <v>1</v>
      </c>
      <c r="H1196">
        <v>1</v>
      </c>
      <c r="I1196" t="s">
        <v>163</v>
      </c>
      <c r="J1196">
        <v>0</v>
      </c>
      <c r="K1196" t="s">
        <v>1267</v>
      </c>
      <c r="L1196" s="1">
        <f>+Tabla__192.168.1.8_POSEIDONSQL_APPFVT_01_tblFillRateFechas[[#This Row],[emb_cantidad]]-Tabla__192.168.1.8_POSEIDONSQL_APPFVT_01_tblFillRateFechas[[#This Row],[dev_cantidad]]</f>
        <v>1</v>
      </c>
      <c r="M1196" s="1">
        <f>+IF(Tabla__192.168.1.8_POSEIDONSQL_APPFVT_01_tblFillRateFechas[[#This Row],[Cant_Resultante]]=Tabla__192.168.1.8_POSEIDONSQL_APPFVT_01_tblFillRateFechas[[#This Row],[cant_order]],1,0)</f>
        <v>1</v>
      </c>
      <c r="N11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6" s="1">
        <f>+IF(AND(Tabla__192.168.1.8_POSEIDONSQL_APPFVT_01_tblFillRateFechas[[#This Row],[Valida Cant]]=1,Tabla__192.168.1.8_POSEIDONSQL_APPFVT_01_tblFillRateFechas[[#This Row],[Valida Fec]]=1),1,0)</f>
        <v>1</v>
      </c>
      <c r="P1196" s="1">
        <f>+(Tabla__192.168.1.8_POSEIDONSQL_APPFVT_01_tblFillRateFechas[[#This Row],[Cant_Resultante]]/Tabla__192.168.1.8_POSEIDONSQL_APPFVT_01_tblFillRateFechas[[#This Row],[cant_order]])*100</f>
        <v>100</v>
      </c>
      <c r="Q11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6" s="1">
        <f>+IF(Tabla__192.168.1.8_POSEIDONSQL_APPFVT_01_tblFillRateFechas[[#This Row],[cant_order]]&gt;0,1,0)</f>
        <v>1</v>
      </c>
      <c r="V1196" s="1">
        <f>+IF(Tabla__192.168.1.8_POSEIDONSQL_APPFVT_01_tblFillRateFechas[[#This Row],[Resultado]]=1,1,0)</f>
        <v>1</v>
      </c>
      <c r="W1196" s="1" t="str">
        <f>+Tabla__192.168.1.8_POSEIDONSQL_APPFVT_01_tblFillRateFechas[[#This Row],[con_ocnumero]]&amp;Tabla__192.168.1.8_POSEIDONSQL_APPFVT_01_tblFillRateFechas[[#This Row],[con_codigounico]]</f>
        <v>91934470390050000694263390102</v>
      </c>
      <c r="X11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7" spans="1:24" x14ac:dyDescent="0.25">
      <c r="A1197">
        <v>9</v>
      </c>
      <c r="B1197" t="s">
        <v>48</v>
      </c>
      <c r="C1197">
        <v>9193553</v>
      </c>
      <c r="D1197" t="s">
        <v>1977</v>
      </c>
      <c r="E1197" t="s">
        <v>427</v>
      </c>
      <c r="F1197" t="s">
        <v>1962</v>
      </c>
      <c r="G1197">
        <v>1</v>
      </c>
      <c r="H1197">
        <v>1</v>
      </c>
      <c r="I1197" t="s">
        <v>427</v>
      </c>
      <c r="J1197">
        <v>0</v>
      </c>
      <c r="K1197" t="s">
        <v>1167</v>
      </c>
      <c r="L1197" s="1">
        <f>+Tabla__192.168.1.8_POSEIDONSQL_APPFVT_01_tblFillRateFechas[[#This Row],[emb_cantidad]]-Tabla__192.168.1.8_POSEIDONSQL_APPFVT_01_tblFillRateFechas[[#This Row],[dev_cantidad]]</f>
        <v>1</v>
      </c>
      <c r="M1197" s="1">
        <f>+IF(Tabla__192.168.1.8_POSEIDONSQL_APPFVT_01_tblFillRateFechas[[#This Row],[Cant_Resultante]]=Tabla__192.168.1.8_POSEIDONSQL_APPFVT_01_tblFillRateFechas[[#This Row],[cant_order]],1,0)</f>
        <v>1</v>
      </c>
      <c r="N11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7" s="1">
        <f>+IF(AND(Tabla__192.168.1.8_POSEIDONSQL_APPFVT_01_tblFillRateFechas[[#This Row],[Valida Cant]]=1,Tabla__192.168.1.8_POSEIDONSQL_APPFVT_01_tblFillRateFechas[[#This Row],[Valida Fec]]=1),1,0)</f>
        <v>1</v>
      </c>
      <c r="P1197" s="1">
        <f>+(Tabla__192.168.1.8_POSEIDONSQL_APPFVT_01_tblFillRateFechas[[#This Row],[Cant_Resultante]]/Tabla__192.168.1.8_POSEIDONSQL_APPFVT_01_tblFillRateFechas[[#This Row],[cant_order]])*100</f>
        <v>100</v>
      </c>
      <c r="Q11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7" s="1">
        <f>+IF(Tabla__192.168.1.8_POSEIDONSQL_APPFVT_01_tblFillRateFechas[[#This Row],[cant_order]]&gt;0,1,0)</f>
        <v>1</v>
      </c>
      <c r="V1197" s="1">
        <f>+IF(Tabla__192.168.1.8_POSEIDONSQL_APPFVT_01_tblFillRateFechas[[#This Row],[Resultado]]=1,1,0)</f>
        <v>1</v>
      </c>
      <c r="W1197" s="1" t="str">
        <f>+Tabla__192.168.1.8_POSEIDONSQL_APPFVT_01_tblFillRateFechas[[#This Row],[con_ocnumero]]&amp;Tabla__192.168.1.8_POSEIDONSQL_APPFVT_01_tblFillRateFechas[[#This Row],[con_codigounico]]</f>
        <v>91935530390050000694331390101</v>
      </c>
      <c r="X11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8" spans="1:24" x14ac:dyDescent="0.25">
      <c r="A1198">
        <v>9</v>
      </c>
      <c r="B1198" t="s">
        <v>48</v>
      </c>
      <c r="C1198">
        <v>9193625</v>
      </c>
      <c r="D1198" t="s">
        <v>1962</v>
      </c>
      <c r="E1198" t="s">
        <v>163</v>
      </c>
      <c r="F1198" t="s">
        <v>1962</v>
      </c>
      <c r="G1198">
        <v>1</v>
      </c>
      <c r="H1198">
        <v>1</v>
      </c>
      <c r="I1198" t="s">
        <v>163</v>
      </c>
      <c r="J1198">
        <v>0</v>
      </c>
      <c r="K1198" t="s">
        <v>1266</v>
      </c>
      <c r="L1198" s="1">
        <f>+Tabla__192.168.1.8_POSEIDONSQL_APPFVT_01_tblFillRateFechas[[#This Row],[emb_cantidad]]-Tabla__192.168.1.8_POSEIDONSQL_APPFVT_01_tblFillRateFechas[[#This Row],[dev_cantidad]]</f>
        <v>1</v>
      </c>
      <c r="M1198" s="1">
        <f>+IF(Tabla__192.168.1.8_POSEIDONSQL_APPFVT_01_tblFillRateFechas[[#This Row],[Cant_Resultante]]=Tabla__192.168.1.8_POSEIDONSQL_APPFVT_01_tblFillRateFechas[[#This Row],[cant_order]],1,0)</f>
        <v>1</v>
      </c>
      <c r="N11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8" s="1">
        <f>+IF(AND(Tabla__192.168.1.8_POSEIDONSQL_APPFVT_01_tblFillRateFechas[[#This Row],[Valida Cant]]=1,Tabla__192.168.1.8_POSEIDONSQL_APPFVT_01_tblFillRateFechas[[#This Row],[Valida Fec]]=1),1,0)</f>
        <v>1</v>
      </c>
      <c r="P1198" s="1">
        <f>+(Tabla__192.168.1.8_POSEIDONSQL_APPFVT_01_tblFillRateFechas[[#This Row],[Cant_Resultante]]/Tabla__192.168.1.8_POSEIDONSQL_APPFVT_01_tblFillRateFechas[[#This Row],[cant_order]])*100</f>
        <v>100</v>
      </c>
      <c r="Q11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8" s="1">
        <f>+IF(Tabla__192.168.1.8_POSEIDONSQL_APPFVT_01_tblFillRateFechas[[#This Row],[cant_order]]&gt;0,1,0)</f>
        <v>1</v>
      </c>
      <c r="V1198" s="1">
        <f>+IF(Tabla__192.168.1.8_POSEIDONSQL_APPFVT_01_tblFillRateFechas[[#This Row],[Resultado]]=1,1,0)</f>
        <v>1</v>
      </c>
      <c r="W1198" s="1" t="str">
        <f>+Tabla__192.168.1.8_POSEIDONSQL_APPFVT_01_tblFillRateFechas[[#This Row],[con_ocnumero]]&amp;Tabla__192.168.1.8_POSEIDONSQL_APPFVT_01_tblFillRateFechas[[#This Row],[con_codigounico]]</f>
        <v>91936250390050000694401040102</v>
      </c>
      <c r="X11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199" spans="1:24" x14ac:dyDescent="0.25">
      <c r="A1199">
        <v>9</v>
      </c>
      <c r="B1199" t="s">
        <v>48</v>
      </c>
      <c r="C1199">
        <v>9193936</v>
      </c>
      <c r="D1199" t="s">
        <v>1962</v>
      </c>
      <c r="E1199" t="s">
        <v>426</v>
      </c>
      <c r="F1199" t="s">
        <v>1963</v>
      </c>
      <c r="G1199">
        <v>1</v>
      </c>
      <c r="H1199">
        <v>1</v>
      </c>
      <c r="I1199" t="s">
        <v>426</v>
      </c>
      <c r="J1199">
        <v>0</v>
      </c>
      <c r="K1199" t="s">
        <v>1177</v>
      </c>
      <c r="L1199" s="1">
        <f>+Tabla__192.168.1.8_POSEIDONSQL_APPFVT_01_tblFillRateFechas[[#This Row],[emb_cantidad]]-Tabla__192.168.1.8_POSEIDONSQL_APPFVT_01_tblFillRateFechas[[#This Row],[dev_cantidad]]</f>
        <v>1</v>
      </c>
      <c r="M1199" s="1">
        <f>+IF(Tabla__192.168.1.8_POSEIDONSQL_APPFVT_01_tblFillRateFechas[[#This Row],[Cant_Resultante]]=Tabla__192.168.1.8_POSEIDONSQL_APPFVT_01_tblFillRateFechas[[#This Row],[cant_order]],1,0)</f>
        <v>1</v>
      </c>
      <c r="N11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199" s="1">
        <f>+IF(AND(Tabla__192.168.1.8_POSEIDONSQL_APPFVT_01_tblFillRateFechas[[#This Row],[Valida Cant]]=1,Tabla__192.168.1.8_POSEIDONSQL_APPFVT_01_tblFillRateFechas[[#This Row],[Valida Fec]]=1),1,0)</f>
        <v>1</v>
      </c>
      <c r="P1199" s="1">
        <f>+(Tabla__192.168.1.8_POSEIDONSQL_APPFVT_01_tblFillRateFechas[[#This Row],[Cant_Resultante]]/Tabla__192.168.1.8_POSEIDONSQL_APPFVT_01_tblFillRateFechas[[#This Row],[cant_order]])*100</f>
        <v>100</v>
      </c>
      <c r="Q11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1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1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1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199" s="1">
        <f>+IF(Tabla__192.168.1.8_POSEIDONSQL_APPFVT_01_tblFillRateFechas[[#This Row],[cant_order]]&gt;0,1,0)</f>
        <v>1</v>
      </c>
      <c r="V1199" s="1">
        <f>+IF(Tabla__192.168.1.8_POSEIDONSQL_APPFVT_01_tblFillRateFechas[[#This Row],[Resultado]]=1,1,0)</f>
        <v>1</v>
      </c>
      <c r="W1199" s="1" t="str">
        <f>+Tabla__192.168.1.8_POSEIDONSQL_APPFVT_01_tblFillRateFechas[[#This Row],[con_ocnumero]]&amp;Tabla__192.168.1.8_POSEIDONSQL_APPFVT_01_tblFillRateFechas[[#This Row],[con_codigounico]]</f>
        <v>91939360390050000694513370104</v>
      </c>
      <c r="X11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0" spans="1:24" x14ac:dyDescent="0.25">
      <c r="A1200">
        <v>9</v>
      </c>
      <c r="B1200" t="s">
        <v>48</v>
      </c>
      <c r="C1200">
        <v>9193752</v>
      </c>
      <c r="D1200" t="s">
        <v>1962</v>
      </c>
      <c r="E1200" t="s">
        <v>1969</v>
      </c>
      <c r="F1200" t="s">
        <v>1963</v>
      </c>
      <c r="G1200">
        <v>1</v>
      </c>
      <c r="H1200">
        <v>1</v>
      </c>
      <c r="I1200" t="s">
        <v>1969</v>
      </c>
      <c r="J1200">
        <v>0</v>
      </c>
      <c r="K1200" t="s">
        <v>1806</v>
      </c>
      <c r="L1200" s="1">
        <f>+Tabla__192.168.1.8_POSEIDONSQL_APPFVT_01_tblFillRateFechas[[#This Row],[emb_cantidad]]-Tabla__192.168.1.8_POSEIDONSQL_APPFVT_01_tblFillRateFechas[[#This Row],[dev_cantidad]]</f>
        <v>1</v>
      </c>
      <c r="M1200" s="1">
        <f>+IF(Tabla__192.168.1.8_POSEIDONSQL_APPFVT_01_tblFillRateFechas[[#This Row],[Cant_Resultante]]=Tabla__192.168.1.8_POSEIDONSQL_APPFVT_01_tblFillRateFechas[[#This Row],[cant_order]],1,0)</f>
        <v>1</v>
      </c>
      <c r="N12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0" s="1">
        <f>+IF(AND(Tabla__192.168.1.8_POSEIDONSQL_APPFVT_01_tblFillRateFechas[[#This Row],[Valida Cant]]=1,Tabla__192.168.1.8_POSEIDONSQL_APPFVT_01_tblFillRateFechas[[#This Row],[Valida Fec]]=1),1,0)</f>
        <v>1</v>
      </c>
      <c r="P1200" s="1">
        <f>+(Tabla__192.168.1.8_POSEIDONSQL_APPFVT_01_tblFillRateFechas[[#This Row],[Cant_Resultante]]/Tabla__192.168.1.8_POSEIDONSQL_APPFVT_01_tblFillRateFechas[[#This Row],[cant_order]])*100</f>
        <v>100</v>
      </c>
      <c r="Q12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0" s="1">
        <f>+IF(Tabla__192.168.1.8_POSEIDONSQL_APPFVT_01_tblFillRateFechas[[#This Row],[cant_order]]&gt;0,1,0)</f>
        <v>1</v>
      </c>
      <c r="V1200" s="1">
        <f>+IF(Tabla__192.168.1.8_POSEIDONSQL_APPFVT_01_tblFillRateFechas[[#This Row],[Resultado]]=1,1,0)</f>
        <v>1</v>
      </c>
      <c r="W1200" s="1" t="str">
        <f>+Tabla__192.168.1.8_POSEIDONSQL_APPFVT_01_tblFillRateFechas[[#This Row],[con_ocnumero]]&amp;Tabla__192.168.1.8_POSEIDONSQL_APPFVT_01_tblFillRateFechas[[#This Row],[con_codigounico]]</f>
        <v>91937520390050000694556430101</v>
      </c>
      <c r="X12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1" spans="1:24" x14ac:dyDescent="0.25">
      <c r="A1201">
        <v>9</v>
      </c>
      <c r="B1201" t="s">
        <v>48</v>
      </c>
      <c r="C1201">
        <v>9193752</v>
      </c>
      <c r="D1201" t="s">
        <v>1962</v>
      </c>
      <c r="E1201" t="s">
        <v>1969</v>
      </c>
      <c r="F1201" t="s">
        <v>1963</v>
      </c>
      <c r="G1201">
        <v>1</v>
      </c>
      <c r="H1201">
        <v>1</v>
      </c>
      <c r="I1201" t="s">
        <v>1969</v>
      </c>
      <c r="J1201">
        <v>0</v>
      </c>
      <c r="K1201" t="s">
        <v>1807</v>
      </c>
      <c r="L1201" s="1">
        <f>+Tabla__192.168.1.8_POSEIDONSQL_APPFVT_01_tblFillRateFechas[[#This Row],[emb_cantidad]]-Tabla__192.168.1.8_POSEIDONSQL_APPFVT_01_tblFillRateFechas[[#This Row],[dev_cantidad]]</f>
        <v>1</v>
      </c>
      <c r="M1201" s="1">
        <f>+IF(Tabla__192.168.1.8_POSEIDONSQL_APPFVT_01_tblFillRateFechas[[#This Row],[Cant_Resultante]]=Tabla__192.168.1.8_POSEIDONSQL_APPFVT_01_tblFillRateFechas[[#This Row],[cant_order]],1,0)</f>
        <v>1</v>
      </c>
      <c r="N12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1" s="1">
        <f>+IF(AND(Tabla__192.168.1.8_POSEIDONSQL_APPFVT_01_tblFillRateFechas[[#This Row],[Valida Cant]]=1,Tabla__192.168.1.8_POSEIDONSQL_APPFVT_01_tblFillRateFechas[[#This Row],[Valida Fec]]=1),1,0)</f>
        <v>1</v>
      </c>
      <c r="P1201" s="1">
        <f>+(Tabla__192.168.1.8_POSEIDONSQL_APPFVT_01_tblFillRateFechas[[#This Row],[Cant_Resultante]]/Tabla__192.168.1.8_POSEIDONSQL_APPFVT_01_tblFillRateFechas[[#This Row],[cant_order]])*100</f>
        <v>100</v>
      </c>
      <c r="Q12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1" s="1">
        <f>+IF(Tabla__192.168.1.8_POSEIDONSQL_APPFVT_01_tblFillRateFechas[[#This Row],[cant_order]]&gt;0,1,0)</f>
        <v>1</v>
      </c>
      <c r="V1201" s="1">
        <f>+IF(Tabla__192.168.1.8_POSEIDONSQL_APPFVT_01_tblFillRateFechas[[#This Row],[Resultado]]=1,1,0)</f>
        <v>1</v>
      </c>
      <c r="W1201" s="1" t="str">
        <f>+Tabla__192.168.1.8_POSEIDONSQL_APPFVT_01_tblFillRateFechas[[#This Row],[con_ocnumero]]&amp;Tabla__192.168.1.8_POSEIDONSQL_APPFVT_01_tblFillRateFechas[[#This Row],[con_codigounico]]</f>
        <v>91937520390050000694556930102</v>
      </c>
      <c r="X12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2" spans="1:24" x14ac:dyDescent="0.25">
      <c r="A1202">
        <v>9</v>
      </c>
      <c r="B1202" t="s">
        <v>48</v>
      </c>
      <c r="C1202">
        <v>9193752</v>
      </c>
      <c r="D1202" t="s">
        <v>1962</v>
      </c>
      <c r="E1202" t="s">
        <v>163</v>
      </c>
      <c r="F1202" t="s">
        <v>1963</v>
      </c>
      <c r="G1202">
        <v>1</v>
      </c>
      <c r="H1202">
        <v>1</v>
      </c>
      <c r="I1202" t="s">
        <v>163</v>
      </c>
      <c r="J1202">
        <v>0</v>
      </c>
      <c r="K1202" t="s">
        <v>537</v>
      </c>
      <c r="L1202" s="1">
        <f>+Tabla__192.168.1.8_POSEIDONSQL_APPFVT_01_tblFillRateFechas[[#This Row],[emb_cantidad]]-Tabla__192.168.1.8_POSEIDONSQL_APPFVT_01_tblFillRateFechas[[#This Row],[dev_cantidad]]</f>
        <v>1</v>
      </c>
      <c r="M1202" s="1">
        <f>+IF(Tabla__192.168.1.8_POSEIDONSQL_APPFVT_01_tblFillRateFechas[[#This Row],[Cant_Resultante]]=Tabla__192.168.1.8_POSEIDONSQL_APPFVT_01_tblFillRateFechas[[#This Row],[cant_order]],1,0)</f>
        <v>1</v>
      </c>
      <c r="N12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2" s="1">
        <f>+IF(AND(Tabla__192.168.1.8_POSEIDONSQL_APPFVT_01_tblFillRateFechas[[#This Row],[Valida Cant]]=1,Tabla__192.168.1.8_POSEIDONSQL_APPFVT_01_tblFillRateFechas[[#This Row],[Valida Fec]]=1),1,0)</f>
        <v>1</v>
      </c>
      <c r="P1202" s="1">
        <f>+(Tabla__192.168.1.8_POSEIDONSQL_APPFVT_01_tblFillRateFechas[[#This Row],[Cant_Resultante]]/Tabla__192.168.1.8_POSEIDONSQL_APPFVT_01_tblFillRateFechas[[#This Row],[cant_order]])*100</f>
        <v>100</v>
      </c>
      <c r="Q12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2" s="1">
        <f>+IF(Tabla__192.168.1.8_POSEIDONSQL_APPFVT_01_tblFillRateFechas[[#This Row],[cant_order]]&gt;0,1,0)</f>
        <v>1</v>
      </c>
      <c r="V1202" s="1">
        <f>+IF(Tabla__192.168.1.8_POSEIDONSQL_APPFVT_01_tblFillRateFechas[[#This Row],[Resultado]]=1,1,0)</f>
        <v>1</v>
      </c>
      <c r="W1202" s="1" t="str">
        <f>+Tabla__192.168.1.8_POSEIDONSQL_APPFVT_01_tblFillRateFechas[[#This Row],[con_ocnumero]]&amp;Tabla__192.168.1.8_POSEIDONSQL_APPFVT_01_tblFillRateFechas[[#This Row],[con_codigounico]]</f>
        <v>91937520390050000694594210101</v>
      </c>
      <c r="X12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3" spans="1:24" x14ac:dyDescent="0.25">
      <c r="A1203">
        <v>9</v>
      </c>
      <c r="B1203" t="s">
        <v>48</v>
      </c>
      <c r="C1203">
        <v>9193779</v>
      </c>
      <c r="D1203" t="s">
        <v>1962</v>
      </c>
      <c r="E1203" t="s">
        <v>1969</v>
      </c>
      <c r="F1203" t="s">
        <v>1963</v>
      </c>
      <c r="G1203">
        <v>1</v>
      </c>
      <c r="H1203">
        <v>1</v>
      </c>
      <c r="I1203" t="s">
        <v>1969</v>
      </c>
      <c r="J1203">
        <v>0</v>
      </c>
      <c r="K1203" t="s">
        <v>1808</v>
      </c>
      <c r="L1203" s="1">
        <f>+Tabla__192.168.1.8_POSEIDONSQL_APPFVT_01_tblFillRateFechas[[#This Row],[emb_cantidad]]-Tabla__192.168.1.8_POSEIDONSQL_APPFVT_01_tblFillRateFechas[[#This Row],[dev_cantidad]]</f>
        <v>1</v>
      </c>
      <c r="M1203" s="1">
        <f>+IF(Tabla__192.168.1.8_POSEIDONSQL_APPFVT_01_tblFillRateFechas[[#This Row],[Cant_Resultante]]=Tabla__192.168.1.8_POSEIDONSQL_APPFVT_01_tblFillRateFechas[[#This Row],[cant_order]],1,0)</f>
        <v>1</v>
      </c>
      <c r="N12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3" s="1">
        <f>+IF(AND(Tabla__192.168.1.8_POSEIDONSQL_APPFVT_01_tblFillRateFechas[[#This Row],[Valida Cant]]=1,Tabla__192.168.1.8_POSEIDONSQL_APPFVT_01_tblFillRateFechas[[#This Row],[Valida Fec]]=1),1,0)</f>
        <v>1</v>
      </c>
      <c r="P1203" s="1">
        <f>+(Tabla__192.168.1.8_POSEIDONSQL_APPFVT_01_tblFillRateFechas[[#This Row],[Cant_Resultante]]/Tabla__192.168.1.8_POSEIDONSQL_APPFVT_01_tblFillRateFechas[[#This Row],[cant_order]])*100</f>
        <v>100</v>
      </c>
      <c r="Q12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3" s="1">
        <f>+IF(Tabla__192.168.1.8_POSEIDONSQL_APPFVT_01_tblFillRateFechas[[#This Row],[cant_order]]&gt;0,1,0)</f>
        <v>1</v>
      </c>
      <c r="V1203" s="1">
        <f>+IF(Tabla__192.168.1.8_POSEIDONSQL_APPFVT_01_tblFillRateFechas[[#This Row],[Resultado]]=1,1,0)</f>
        <v>1</v>
      </c>
      <c r="W1203" s="1" t="str">
        <f>+Tabla__192.168.1.8_POSEIDONSQL_APPFVT_01_tblFillRateFechas[[#This Row],[con_ocnumero]]&amp;Tabla__192.168.1.8_POSEIDONSQL_APPFVT_01_tblFillRateFechas[[#This Row],[con_codigounico]]</f>
        <v>91937790390050000694622350101</v>
      </c>
      <c r="X12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4" spans="1:24" x14ac:dyDescent="0.25">
      <c r="A1204">
        <v>9</v>
      </c>
      <c r="B1204" t="s">
        <v>48</v>
      </c>
      <c r="C1204">
        <v>9193833</v>
      </c>
      <c r="D1204" t="s">
        <v>1962</v>
      </c>
      <c r="E1204" t="s">
        <v>1969</v>
      </c>
      <c r="F1204" t="s">
        <v>1963</v>
      </c>
      <c r="G1204">
        <v>1</v>
      </c>
      <c r="H1204">
        <v>1</v>
      </c>
      <c r="I1204" t="s">
        <v>1969</v>
      </c>
      <c r="J1204">
        <v>0</v>
      </c>
      <c r="K1204" t="s">
        <v>1809</v>
      </c>
      <c r="L1204" s="1">
        <f>+Tabla__192.168.1.8_POSEIDONSQL_APPFVT_01_tblFillRateFechas[[#This Row],[emb_cantidad]]-Tabla__192.168.1.8_POSEIDONSQL_APPFVT_01_tblFillRateFechas[[#This Row],[dev_cantidad]]</f>
        <v>1</v>
      </c>
      <c r="M1204" s="1">
        <f>+IF(Tabla__192.168.1.8_POSEIDONSQL_APPFVT_01_tblFillRateFechas[[#This Row],[Cant_Resultante]]=Tabla__192.168.1.8_POSEIDONSQL_APPFVT_01_tblFillRateFechas[[#This Row],[cant_order]],1,0)</f>
        <v>1</v>
      </c>
      <c r="N12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4" s="1">
        <f>+IF(AND(Tabla__192.168.1.8_POSEIDONSQL_APPFVT_01_tblFillRateFechas[[#This Row],[Valida Cant]]=1,Tabla__192.168.1.8_POSEIDONSQL_APPFVT_01_tblFillRateFechas[[#This Row],[Valida Fec]]=1),1,0)</f>
        <v>1</v>
      </c>
      <c r="P1204" s="1">
        <f>+(Tabla__192.168.1.8_POSEIDONSQL_APPFVT_01_tblFillRateFechas[[#This Row],[Cant_Resultante]]/Tabla__192.168.1.8_POSEIDONSQL_APPFVT_01_tblFillRateFechas[[#This Row],[cant_order]])*100</f>
        <v>100</v>
      </c>
      <c r="Q12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4" s="1">
        <f>+IF(Tabla__192.168.1.8_POSEIDONSQL_APPFVT_01_tblFillRateFechas[[#This Row],[cant_order]]&gt;0,1,0)</f>
        <v>1</v>
      </c>
      <c r="V1204" s="1">
        <f>+IF(Tabla__192.168.1.8_POSEIDONSQL_APPFVT_01_tblFillRateFechas[[#This Row],[Resultado]]=1,1,0)</f>
        <v>1</v>
      </c>
      <c r="W1204" s="1" t="str">
        <f>+Tabla__192.168.1.8_POSEIDONSQL_APPFVT_01_tblFillRateFechas[[#This Row],[con_ocnumero]]&amp;Tabla__192.168.1.8_POSEIDONSQL_APPFVT_01_tblFillRateFechas[[#This Row],[con_codigounico]]</f>
        <v>91938330390050000694634810101</v>
      </c>
      <c r="X12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5" spans="1:24" x14ac:dyDescent="0.25">
      <c r="A1205">
        <v>9</v>
      </c>
      <c r="B1205" t="s">
        <v>48</v>
      </c>
      <c r="C1205">
        <v>9193873</v>
      </c>
      <c r="D1205" t="s">
        <v>1962</v>
      </c>
      <c r="E1205" t="s">
        <v>1969</v>
      </c>
      <c r="F1205" t="s">
        <v>1963</v>
      </c>
      <c r="G1205">
        <v>1</v>
      </c>
      <c r="H1205">
        <v>1</v>
      </c>
      <c r="I1205" t="s">
        <v>1969</v>
      </c>
      <c r="J1205">
        <v>0</v>
      </c>
      <c r="K1205" t="s">
        <v>1811</v>
      </c>
      <c r="L1205" s="1">
        <f>+Tabla__192.168.1.8_POSEIDONSQL_APPFVT_01_tblFillRateFechas[[#This Row],[emb_cantidad]]-Tabla__192.168.1.8_POSEIDONSQL_APPFVT_01_tblFillRateFechas[[#This Row],[dev_cantidad]]</f>
        <v>1</v>
      </c>
      <c r="M1205" s="1">
        <f>+IF(Tabla__192.168.1.8_POSEIDONSQL_APPFVT_01_tblFillRateFechas[[#This Row],[Cant_Resultante]]=Tabla__192.168.1.8_POSEIDONSQL_APPFVT_01_tblFillRateFechas[[#This Row],[cant_order]],1,0)</f>
        <v>1</v>
      </c>
      <c r="N12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5" s="1">
        <f>+IF(AND(Tabla__192.168.1.8_POSEIDONSQL_APPFVT_01_tblFillRateFechas[[#This Row],[Valida Cant]]=1,Tabla__192.168.1.8_POSEIDONSQL_APPFVT_01_tblFillRateFechas[[#This Row],[Valida Fec]]=1),1,0)</f>
        <v>1</v>
      </c>
      <c r="P1205" s="1">
        <f>+(Tabla__192.168.1.8_POSEIDONSQL_APPFVT_01_tblFillRateFechas[[#This Row],[Cant_Resultante]]/Tabla__192.168.1.8_POSEIDONSQL_APPFVT_01_tblFillRateFechas[[#This Row],[cant_order]])*100</f>
        <v>100</v>
      </c>
      <c r="Q12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5" s="1">
        <f>+IF(Tabla__192.168.1.8_POSEIDONSQL_APPFVT_01_tblFillRateFechas[[#This Row],[cant_order]]&gt;0,1,0)</f>
        <v>1</v>
      </c>
      <c r="V1205" s="1">
        <f>+IF(Tabla__192.168.1.8_POSEIDONSQL_APPFVT_01_tblFillRateFechas[[#This Row],[Resultado]]=1,1,0)</f>
        <v>1</v>
      </c>
      <c r="W1205" s="1" t="str">
        <f>+Tabla__192.168.1.8_POSEIDONSQL_APPFVT_01_tblFillRateFechas[[#This Row],[con_ocnumero]]&amp;Tabla__192.168.1.8_POSEIDONSQL_APPFVT_01_tblFillRateFechas[[#This Row],[con_codigounico]]</f>
        <v>91938730390050000694671340101</v>
      </c>
      <c r="X12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6" spans="1:24" x14ac:dyDescent="0.25">
      <c r="A1206">
        <v>9</v>
      </c>
      <c r="B1206" t="s">
        <v>48</v>
      </c>
      <c r="C1206">
        <v>9193872</v>
      </c>
      <c r="D1206" t="s">
        <v>1962</v>
      </c>
      <c r="E1206" t="s">
        <v>1969</v>
      </c>
      <c r="F1206" t="s">
        <v>1963</v>
      </c>
      <c r="G1206">
        <v>1</v>
      </c>
      <c r="H1206">
        <v>1</v>
      </c>
      <c r="I1206" t="s">
        <v>1969</v>
      </c>
      <c r="J1206">
        <v>0</v>
      </c>
      <c r="K1206" t="s">
        <v>1810</v>
      </c>
      <c r="L1206" s="1">
        <f>+Tabla__192.168.1.8_POSEIDONSQL_APPFVT_01_tblFillRateFechas[[#This Row],[emb_cantidad]]-Tabla__192.168.1.8_POSEIDONSQL_APPFVT_01_tblFillRateFechas[[#This Row],[dev_cantidad]]</f>
        <v>1</v>
      </c>
      <c r="M1206" s="1">
        <f>+IF(Tabla__192.168.1.8_POSEIDONSQL_APPFVT_01_tblFillRateFechas[[#This Row],[Cant_Resultante]]=Tabla__192.168.1.8_POSEIDONSQL_APPFVT_01_tblFillRateFechas[[#This Row],[cant_order]],1,0)</f>
        <v>1</v>
      </c>
      <c r="N12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6" s="1">
        <f>+IF(AND(Tabla__192.168.1.8_POSEIDONSQL_APPFVT_01_tblFillRateFechas[[#This Row],[Valida Cant]]=1,Tabla__192.168.1.8_POSEIDONSQL_APPFVT_01_tblFillRateFechas[[#This Row],[Valida Fec]]=1),1,0)</f>
        <v>1</v>
      </c>
      <c r="P1206" s="1">
        <f>+(Tabla__192.168.1.8_POSEIDONSQL_APPFVT_01_tblFillRateFechas[[#This Row],[Cant_Resultante]]/Tabla__192.168.1.8_POSEIDONSQL_APPFVT_01_tblFillRateFechas[[#This Row],[cant_order]])*100</f>
        <v>100</v>
      </c>
      <c r="Q12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6" s="1">
        <f>+IF(Tabla__192.168.1.8_POSEIDONSQL_APPFVT_01_tblFillRateFechas[[#This Row],[cant_order]]&gt;0,1,0)</f>
        <v>1</v>
      </c>
      <c r="V1206" s="1">
        <f>+IF(Tabla__192.168.1.8_POSEIDONSQL_APPFVT_01_tblFillRateFechas[[#This Row],[Resultado]]=1,1,0)</f>
        <v>1</v>
      </c>
      <c r="W1206" s="1" t="str">
        <f>+Tabla__192.168.1.8_POSEIDONSQL_APPFVT_01_tblFillRateFechas[[#This Row],[con_ocnumero]]&amp;Tabla__192.168.1.8_POSEIDONSQL_APPFVT_01_tblFillRateFechas[[#This Row],[con_codigounico]]</f>
        <v>91938720390050000694702060101</v>
      </c>
      <c r="X12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7" spans="1:24" x14ac:dyDescent="0.25">
      <c r="A1207">
        <v>9</v>
      </c>
      <c r="B1207" t="s">
        <v>48</v>
      </c>
      <c r="C1207">
        <v>9193936</v>
      </c>
      <c r="D1207" t="s">
        <v>1962</v>
      </c>
      <c r="E1207" t="s">
        <v>1969</v>
      </c>
      <c r="F1207" t="s">
        <v>1963</v>
      </c>
      <c r="G1207">
        <v>1</v>
      </c>
      <c r="H1207">
        <v>1</v>
      </c>
      <c r="I1207" t="s">
        <v>1969</v>
      </c>
      <c r="J1207">
        <v>0</v>
      </c>
      <c r="K1207" t="s">
        <v>1799</v>
      </c>
      <c r="L1207" s="1">
        <f>+Tabla__192.168.1.8_POSEIDONSQL_APPFVT_01_tblFillRateFechas[[#This Row],[emb_cantidad]]-Tabla__192.168.1.8_POSEIDONSQL_APPFVT_01_tblFillRateFechas[[#This Row],[dev_cantidad]]</f>
        <v>1</v>
      </c>
      <c r="M1207" s="1">
        <f>+IF(Tabla__192.168.1.8_POSEIDONSQL_APPFVT_01_tblFillRateFechas[[#This Row],[Cant_Resultante]]=Tabla__192.168.1.8_POSEIDONSQL_APPFVT_01_tblFillRateFechas[[#This Row],[cant_order]],1,0)</f>
        <v>1</v>
      </c>
      <c r="N12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7" s="1">
        <f>+IF(AND(Tabla__192.168.1.8_POSEIDONSQL_APPFVT_01_tblFillRateFechas[[#This Row],[Valida Cant]]=1,Tabla__192.168.1.8_POSEIDONSQL_APPFVT_01_tblFillRateFechas[[#This Row],[Valida Fec]]=1),1,0)</f>
        <v>1</v>
      </c>
      <c r="P1207" s="1">
        <f>+(Tabla__192.168.1.8_POSEIDONSQL_APPFVT_01_tblFillRateFechas[[#This Row],[Cant_Resultante]]/Tabla__192.168.1.8_POSEIDONSQL_APPFVT_01_tblFillRateFechas[[#This Row],[cant_order]])*100</f>
        <v>100</v>
      </c>
      <c r="Q12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7" s="1">
        <f>+IF(Tabla__192.168.1.8_POSEIDONSQL_APPFVT_01_tblFillRateFechas[[#This Row],[cant_order]]&gt;0,1,0)</f>
        <v>1</v>
      </c>
      <c r="V1207" s="1">
        <f>+IF(Tabla__192.168.1.8_POSEIDONSQL_APPFVT_01_tblFillRateFechas[[#This Row],[Resultado]]=1,1,0)</f>
        <v>1</v>
      </c>
      <c r="W1207" s="1" t="str">
        <f>+Tabla__192.168.1.8_POSEIDONSQL_APPFVT_01_tblFillRateFechas[[#This Row],[con_ocnumero]]&amp;Tabla__192.168.1.8_POSEIDONSQL_APPFVT_01_tblFillRateFechas[[#This Row],[con_codigounico]]</f>
        <v>91939360390050000694703460101</v>
      </c>
      <c r="X12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8" spans="1:24" x14ac:dyDescent="0.25">
      <c r="A1208">
        <v>9</v>
      </c>
      <c r="B1208" t="s">
        <v>48</v>
      </c>
      <c r="C1208">
        <v>9193936</v>
      </c>
      <c r="D1208" t="s">
        <v>1962</v>
      </c>
      <c r="E1208" t="s">
        <v>1969</v>
      </c>
      <c r="F1208" t="s">
        <v>1963</v>
      </c>
      <c r="G1208">
        <v>1</v>
      </c>
      <c r="H1208">
        <v>1</v>
      </c>
      <c r="I1208" t="s">
        <v>1969</v>
      </c>
      <c r="J1208">
        <v>0</v>
      </c>
      <c r="K1208" t="s">
        <v>1800</v>
      </c>
      <c r="L1208" s="1">
        <f>+Tabla__192.168.1.8_POSEIDONSQL_APPFVT_01_tblFillRateFechas[[#This Row],[emb_cantidad]]-Tabla__192.168.1.8_POSEIDONSQL_APPFVT_01_tblFillRateFechas[[#This Row],[dev_cantidad]]</f>
        <v>1</v>
      </c>
      <c r="M1208" s="1">
        <f>+IF(Tabla__192.168.1.8_POSEIDONSQL_APPFVT_01_tblFillRateFechas[[#This Row],[Cant_Resultante]]=Tabla__192.168.1.8_POSEIDONSQL_APPFVT_01_tblFillRateFechas[[#This Row],[cant_order]],1,0)</f>
        <v>1</v>
      </c>
      <c r="N12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8" s="1">
        <f>+IF(AND(Tabla__192.168.1.8_POSEIDONSQL_APPFVT_01_tblFillRateFechas[[#This Row],[Valida Cant]]=1,Tabla__192.168.1.8_POSEIDONSQL_APPFVT_01_tblFillRateFechas[[#This Row],[Valida Fec]]=1),1,0)</f>
        <v>1</v>
      </c>
      <c r="P1208" s="1">
        <f>+(Tabla__192.168.1.8_POSEIDONSQL_APPFVT_01_tblFillRateFechas[[#This Row],[Cant_Resultante]]/Tabla__192.168.1.8_POSEIDONSQL_APPFVT_01_tblFillRateFechas[[#This Row],[cant_order]])*100</f>
        <v>100</v>
      </c>
      <c r="Q12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8" s="1">
        <f>+IF(Tabla__192.168.1.8_POSEIDONSQL_APPFVT_01_tblFillRateFechas[[#This Row],[cant_order]]&gt;0,1,0)</f>
        <v>1</v>
      </c>
      <c r="V1208" s="1">
        <f>+IF(Tabla__192.168.1.8_POSEIDONSQL_APPFVT_01_tblFillRateFechas[[#This Row],[Resultado]]=1,1,0)</f>
        <v>1</v>
      </c>
      <c r="W1208" s="1" t="str">
        <f>+Tabla__192.168.1.8_POSEIDONSQL_APPFVT_01_tblFillRateFechas[[#This Row],[con_ocnumero]]&amp;Tabla__192.168.1.8_POSEIDONSQL_APPFVT_01_tblFillRateFechas[[#This Row],[con_codigounico]]</f>
        <v>91939360390050000694713660101</v>
      </c>
      <c r="X12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09" spans="1:24" x14ac:dyDescent="0.25">
      <c r="A1209">
        <v>9</v>
      </c>
      <c r="B1209" t="s">
        <v>48</v>
      </c>
      <c r="C1209">
        <v>9193999</v>
      </c>
      <c r="D1209" t="s">
        <v>1962</v>
      </c>
      <c r="E1209" t="s">
        <v>1969</v>
      </c>
      <c r="F1209" t="s">
        <v>1963</v>
      </c>
      <c r="G1209">
        <v>1</v>
      </c>
      <c r="H1209">
        <v>1</v>
      </c>
      <c r="I1209" t="s">
        <v>1969</v>
      </c>
      <c r="J1209">
        <v>0</v>
      </c>
      <c r="K1209" t="s">
        <v>1801</v>
      </c>
      <c r="L1209" s="1">
        <f>+Tabla__192.168.1.8_POSEIDONSQL_APPFVT_01_tblFillRateFechas[[#This Row],[emb_cantidad]]-Tabla__192.168.1.8_POSEIDONSQL_APPFVT_01_tblFillRateFechas[[#This Row],[dev_cantidad]]</f>
        <v>1</v>
      </c>
      <c r="M1209" s="1">
        <f>+IF(Tabla__192.168.1.8_POSEIDONSQL_APPFVT_01_tblFillRateFechas[[#This Row],[Cant_Resultante]]=Tabla__192.168.1.8_POSEIDONSQL_APPFVT_01_tblFillRateFechas[[#This Row],[cant_order]],1,0)</f>
        <v>1</v>
      </c>
      <c r="N12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09" s="1">
        <f>+IF(AND(Tabla__192.168.1.8_POSEIDONSQL_APPFVT_01_tblFillRateFechas[[#This Row],[Valida Cant]]=1,Tabla__192.168.1.8_POSEIDONSQL_APPFVT_01_tblFillRateFechas[[#This Row],[Valida Fec]]=1),1,0)</f>
        <v>1</v>
      </c>
      <c r="P1209" s="1">
        <f>+(Tabla__192.168.1.8_POSEIDONSQL_APPFVT_01_tblFillRateFechas[[#This Row],[Cant_Resultante]]/Tabla__192.168.1.8_POSEIDONSQL_APPFVT_01_tblFillRateFechas[[#This Row],[cant_order]])*100</f>
        <v>100</v>
      </c>
      <c r="Q12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09" s="1">
        <f>+IF(Tabla__192.168.1.8_POSEIDONSQL_APPFVT_01_tblFillRateFechas[[#This Row],[cant_order]]&gt;0,1,0)</f>
        <v>1</v>
      </c>
      <c r="V1209" s="1">
        <f>+IF(Tabla__192.168.1.8_POSEIDONSQL_APPFVT_01_tblFillRateFechas[[#This Row],[Resultado]]=1,1,0)</f>
        <v>1</v>
      </c>
      <c r="W1209" s="1" t="str">
        <f>+Tabla__192.168.1.8_POSEIDONSQL_APPFVT_01_tblFillRateFechas[[#This Row],[con_ocnumero]]&amp;Tabla__192.168.1.8_POSEIDONSQL_APPFVT_01_tblFillRateFechas[[#This Row],[con_codigounico]]</f>
        <v>91939990390050000694753190101</v>
      </c>
      <c r="X12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0" spans="1:24" x14ac:dyDescent="0.25">
      <c r="A1210">
        <v>9</v>
      </c>
      <c r="B1210" t="s">
        <v>48</v>
      </c>
      <c r="C1210">
        <v>9193999</v>
      </c>
      <c r="D1210" t="s">
        <v>1962</v>
      </c>
      <c r="E1210" t="s">
        <v>163</v>
      </c>
      <c r="F1210" t="s">
        <v>1963</v>
      </c>
      <c r="G1210">
        <v>1</v>
      </c>
      <c r="H1210">
        <v>1</v>
      </c>
      <c r="I1210" t="s">
        <v>163</v>
      </c>
      <c r="J1210">
        <v>0</v>
      </c>
      <c r="K1210" t="s">
        <v>1834</v>
      </c>
      <c r="L1210" s="1">
        <f>+Tabla__192.168.1.8_POSEIDONSQL_APPFVT_01_tblFillRateFechas[[#This Row],[emb_cantidad]]-Tabla__192.168.1.8_POSEIDONSQL_APPFVT_01_tblFillRateFechas[[#This Row],[dev_cantidad]]</f>
        <v>1</v>
      </c>
      <c r="M1210" s="1">
        <f>+IF(Tabla__192.168.1.8_POSEIDONSQL_APPFVT_01_tblFillRateFechas[[#This Row],[Cant_Resultante]]=Tabla__192.168.1.8_POSEIDONSQL_APPFVT_01_tblFillRateFechas[[#This Row],[cant_order]],1,0)</f>
        <v>1</v>
      </c>
      <c r="N12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0" s="1">
        <f>+IF(AND(Tabla__192.168.1.8_POSEIDONSQL_APPFVT_01_tblFillRateFechas[[#This Row],[Valida Cant]]=1,Tabla__192.168.1.8_POSEIDONSQL_APPFVT_01_tblFillRateFechas[[#This Row],[Valida Fec]]=1),1,0)</f>
        <v>1</v>
      </c>
      <c r="P1210" s="1">
        <f>+(Tabla__192.168.1.8_POSEIDONSQL_APPFVT_01_tblFillRateFechas[[#This Row],[Cant_Resultante]]/Tabla__192.168.1.8_POSEIDONSQL_APPFVT_01_tblFillRateFechas[[#This Row],[cant_order]])*100</f>
        <v>100</v>
      </c>
      <c r="Q12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0" s="1">
        <f>+IF(Tabla__192.168.1.8_POSEIDONSQL_APPFVT_01_tblFillRateFechas[[#This Row],[cant_order]]&gt;0,1,0)</f>
        <v>1</v>
      </c>
      <c r="V1210" s="1">
        <f>+IF(Tabla__192.168.1.8_POSEIDONSQL_APPFVT_01_tblFillRateFechas[[#This Row],[Resultado]]=1,1,0)</f>
        <v>1</v>
      </c>
      <c r="W1210" s="1" t="str">
        <f>+Tabla__192.168.1.8_POSEIDONSQL_APPFVT_01_tblFillRateFechas[[#This Row],[con_ocnumero]]&amp;Tabla__192.168.1.8_POSEIDONSQL_APPFVT_01_tblFillRateFechas[[#This Row],[con_codigounico]]</f>
        <v>91939990390050000694782760101</v>
      </c>
      <c r="X12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1" spans="1:24" x14ac:dyDescent="0.25">
      <c r="A1211">
        <v>9</v>
      </c>
      <c r="B1211" t="s">
        <v>48</v>
      </c>
      <c r="C1211">
        <v>9194295</v>
      </c>
      <c r="D1211" t="s">
        <v>1962</v>
      </c>
      <c r="E1211" t="s">
        <v>163</v>
      </c>
      <c r="F1211" t="s">
        <v>1963</v>
      </c>
      <c r="G1211">
        <v>1</v>
      </c>
      <c r="H1211">
        <v>1</v>
      </c>
      <c r="I1211" t="s">
        <v>163</v>
      </c>
      <c r="J1211">
        <v>0</v>
      </c>
      <c r="K1211" t="s">
        <v>536</v>
      </c>
      <c r="L1211" s="1">
        <f>+Tabla__192.168.1.8_POSEIDONSQL_APPFVT_01_tblFillRateFechas[[#This Row],[emb_cantidad]]-Tabla__192.168.1.8_POSEIDONSQL_APPFVT_01_tblFillRateFechas[[#This Row],[dev_cantidad]]</f>
        <v>1</v>
      </c>
      <c r="M1211" s="1">
        <f>+IF(Tabla__192.168.1.8_POSEIDONSQL_APPFVT_01_tblFillRateFechas[[#This Row],[Cant_Resultante]]=Tabla__192.168.1.8_POSEIDONSQL_APPFVT_01_tblFillRateFechas[[#This Row],[cant_order]],1,0)</f>
        <v>1</v>
      </c>
      <c r="N12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1" s="1">
        <f>+IF(AND(Tabla__192.168.1.8_POSEIDONSQL_APPFVT_01_tblFillRateFechas[[#This Row],[Valida Cant]]=1,Tabla__192.168.1.8_POSEIDONSQL_APPFVT_01_tblFillRateFechas[[#This Row],[Valida Fec]]=1),1,0)</f>
        <v>1</v>
      </c>
      <c r="P1211" s="1">
        <f>+(Tabla__192.168.1.8_POSEIDONSQL_APPFVT_01_tblFillRateFechas[[#This Row],[Cant_Resultante]]/Tabla__192.168.1.8_POSEIDONSQL_APPFVT_01_tblFillRateFechas[[#This Row],[cant_order]])*100</f>
        <v>100</v>
      </c>
      <c r="Q12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1" s="1">
        <f>+IF(Tabla__192.168.1.8_POSEIDONSQL_APPFVT_01_tblFillRateFechas[[#This Row],[cant_order]]&gt;0,1,0)</f>
        <v>1</v>
      </c>
      <c r="V1211" s="1">
        <f>+IF(Tabla__192.168.1.8_POSEIDONSQL_APPFVT_01_tblFillRateFechas[[#This Row],[Resultado]]=1,1,0)</f>
        <v>1</v>
      </c>
      <c r="W1211" s="1" t="str">
        <f>+Tabla__192.168.1.8_POSEIDONSQL_APPFVT_01_tblFillRateFechas[[#This Row],[con_ocnumero]]&amp;Tabla__192.168.1.8_POSEIDONSQL_APPFVT_01_tblFillRateFechas[[#This Row],[con_codigounico]]</f>
        <v>91942950390050000694941510101</v>
      </c>
      <c r="X12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2" spans="1:24" x14ac:dyDescent="0.25">
      <c r="A1212">
        <v>9</v>
      </c>
      <c r="B1212" t="s">
        <v>48</v>
      </c>
      <c r="C1212">
        <v>9194295</v>
      </c>
      <c r="D1212" t="s">
        <v>1966</v>
      </c>
      <c r="E1212" t="s">
        <v>427</v>
      </c>
      <c r="F1212" t="s">
        <v>1963</v>
      </c>
      <c r="G1212">
        <v>1</v>
      </c>
      <c r="H1212">
        <v>1</v>
      </c>
      <c r="I1212" t="s">
        <v>427</v>
      </c>
      <c r="J1212">
        <v>0</v>
      </c>
      <c r="K1212" t="s">
        <v>1166</v>
      </c>
      <c r="L1212" s="1">
        <f>+Tabla__192.168.1.8_POSEIDONSQL_APPFVT_01_tblFillRateFechas[[#This Row],[emb_cantidad]]-Tabla__192.168.1.8_POSEIDONSQL_APPFVT_01_tblFillRateFechas[[#This Row],[dev_cantidad]]</f>
        <v>1</v>
      </c>
      <c r="M1212" s="1">
        <f>+IF(Tabla__192.168.1.8_POSEIDONSQL_APPFVT_01_tblFillRateFechas[[#This Row],[Cant_Resultante]]=Tabla__192.168.1.8_POSEIDONSQL_APPFVT_01_tblFillRateFechas[[#This Row],[cant_order]],1,0)</f>
        <v>1</v>
      </c>
      <c r="N12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2" s="1">
        <f>+IF(AND(Tabla__192.168.1.8_POSEIDONSQL_APPFVT_01_tblFillRateFechas[[#This Row],[Valida Cant]]=1,Tabla__192.168.1.8_POSEIDONSQL_APPFVT_01_tblFillRateFechas[[#This Row],[Valida Fec]]=1),1,0)</f>
        <v>1</v>
      </c>
      <c r="P1212" s="1">
        <f>+(Tabla__192.168.1.8_POSEIDONSQL_APPFVT_01_tblFillRateFechas[[#This Row],[Cant_Resultante]]/Tabla__192.168.1.8_POSEIDONSQL_APPFVT_01_tblFillRateFechas[[#This Row],[cant_order]])*100</f>
        <v>100</v>
      </c>
      <c r="Q12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2" s="1">
        <f>+IF(Tabla__192.168.1.8_POSEIDONSQL_APPFVT_01_tblFillRateFechas[[#This Row],[cant_order]]&gt;0,1,0)</f>
        <v>1</v>
      </c>
      <c r="V1212" s="1">
        <f>+IF(Tabla__192.168.1.8_POSEIDONSQL_APPFVT_01_tblFillRateFechas[[#This Row],[Resultado]]=1,1,0)</f>
        <v>1</v>
      </c>
      <c r="W1212" s="1" t="str">
        <f>+Tabla__192.168.1.8_POSEIDONSQL_APPFVT_01_tblFillRateFechas[[#This Row],[con_ocnumero]]&amp;Tabla__192.168.1.8_POSEIDONSQL_APPFVT_01_tblFillRateFechas[[#This Row],[con_codigounico]]</f>
        <v>91942950390050000694975740101</v>
      </c>
      <c r="X12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3" spans="1:24" x14ac:dyDescent="0.25">
      <c r="A1213">
        <v>9</v>
      </c>
      <c r="B1213" t="s">
        <v>48</v>
      </c>
      <c r="C1213">
        <v>9194295</v>
      </c>
      <c r="D1213" t="s">
        <v>1966</v>
      </c>
      <c r="E1213" t="s">
        <v>427</v>
      </c>
      <c r="F1213" t="s">
        <v>1963</v>
      </c>
      <c r="G1213">
        <v>1</v>
      </c>
      <c r="H1213">
        <v>1</v>
      </c>
      <c r="I1213" t="s">
        <v>427</v>
      </c>
      <c r="J1213">
        <v>0</v>
      </c>
      <c r="K1213" t="s">
        <v>1165</v>
      </c>
      <c r="L1213" s="1">
        <f>+Tabla__192.168.1.8_POSEIDONSQL_APPFVT_01_tblFillRateFechas[[#This Row],[emb_cantidad]]-Tabla__192.168.1.8_POSEIDONSQL_APPFVT_01_tblFillRateFechas[[#This Row],[dev_cantidad]]</f>
        <v>1</v>
      </c>
      <c r="M1213" s="1">
        <f>+IF(Tabla__192.168.1.8_POSEIDONSQL_APPFVT_01_tblFillRateFechas[[#This Row],[Cant_Resultante]]=Tabla__192.168.1.8_POSEIDONSQL_APPFVT_01_tblFillRateFechas[[#This Row],[cant_order]],1,0)</f>
        <v>1</v>
      </c>
      <c r="N12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3" s="1">
        <f>+IF(AND(Tabla__192.168.1.8_POSEIDONSQL_APPFVT_01_tblFillRateFechas[[#This Row],[Valida Cant]]=1,Tabla__192.168.1.8_POSEIDONSQL_APPFVT_01_tblFillRateFechas[[#This Row],[Valida Fec]]=1),1,0)</f>
        <v>1</v>
      </c>
      <c r="P1213" s="1">
        <f>+(Tabla__192.168.1.8_POSEIDONSQL_APPFVT_01_tblFillRateFechas[[#This Row],[Cant_Resultante]]/Tabla__192.168.1.8_POSEIDONSQL_APPFVT_01_tblFillRateFechas[[#This Row],[cant_order]])*100</f>
        <v>100</v>
      </c>
      <c r="Q12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3" s="1">
        <f>+IF(Tabla__192.168.1.8_POSEIDONSQL_APPFVT_01_tblFillRateFechas[[#This Row],[cant_order]]&gt;0,1,0)</f>
        <v>1</v>
      </c>
      <c r="V1213" s="1">
        <f>+IF(Tabla__192.168.1.8_POSEIDONSQL_APPFVT_01_tblFillRateFechas[[#This Row],[Resultado]]=1,1,0)</f>
        <v>1</v>
      </c>
      <c r="W1213" s="1" t="str">
        <f>+Tabla__192.168.1.8_POSEIDONSQL_APPFVT_01_tblFillRateFechas[[#This Row],[con_ocnumero]]&amp;Tabla__192.168.1.8_POSEIDONSQL_APPFVT_01_tblFillRateFechas[[#This Row],[con_codigounico]]</f>
        <v>91942950390050000695002150102</v>
      </c>
      <c r="X12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4" spans="1:24" x14ac:dyDescent="0.25">
      <c r="A1214">
        <v>9</v>
      </c>
      <c r="B1214" t="s">
        <v>48</v>
      </c>
      <c r="C1214">
        <v>9200870</v>
      </c>
      <c r="D1214" t="s">
        <v>163</v>
      </c>
      <c r="E1214" t="s">
        <v>416</v>
      </c>
      <c r="F1214" t="s">
        <v>429</v>
      </c>
      <c r="G1214">
        <v>1</v>
      </c>
      <c r="H1214">
        <v>0</v>
      </c>
      <c r="I1214" t="s">
        <v>12</v>
      </c>
      <c r="J1214">
        <v>0</v>
      </c>
      <c r="K1214" t="s">
        <v>992</v>
      </c>
      <c r="L1214" s="1">
        <f>+Tabla__192.168.1.8_POSEIDONSQL_APPFVT_01_tblFillRateFechas[[#This Row],[emb_cantidad]]-Tabla__192.168.1.8_POSEIDONSQL_APPFVT_01_tblFillRateFechas[[#This Row],[dev_cantidad]]</f>
        <v>0</v>
      </c>
      <c r="M1214" s="1">
        <f>+IF(Tabla__192.168.1.8_POSEIDONSQL_APPFVT_01_tblFillRateFechas[[#This Row],[Cant_Resultante]]=Tabla__192.168.1.8_POSEIDONSQL_APPFVT_01_tblFillRateFechas[[#This Row],[cant_order]],1,0)</f>
        <v>0</v>
      </c>
      <c r="N12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214" s="1">
        <f>+IF(AND(Tabla__192.168.1.8_POSEIDONSQL_APPFVT_01_tblFillRateFechas[[#This Row],[Valida Cant]]=1,Tabla__192.168.1.8_POSEIDONSQL_APPFVT_01_tblFillRateFechas[[#This Row],[Valida Fec]]=1),1,0)</f>
        <v>0</v>
      </c>
      <c r="P1214" s="1">
        <f>+(Tabla__192.168.1.8_POSEIDONSQL_APPFVT_01_tblFillRateFechas[[#This Row],[Cant_Resultante]]/Tabla__192.168.1.8_POSEIDONSQL_APPFVT_01_tblFillRateFechas[[#This Row],[cant_order]])*100</f>
        <v>0</v>
      </c>
      <c r="Q12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0</v>
      </c>
      <c r="R12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0</v>
      </c>
      <c r="T12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1</v>
      </c>
      <c r="U1214" s="1">
        <f>+IF(Tabla__192.168.1.8_POSEIDONSQL_APPFVT_01_tblFillRateFechas[[#This Row],[cant_order]]&gt;0,1,0)</f>
        <v>1</v>
      </c>
      <c r="V1214" s="1">
        <f>+IF(Tabla__192.168.1.8_POSEIDONSQL_APPFVT_01_tblFillRateFechas[[#This Row],[Resultado]]=1,1,0)</f>
        <v>0</v>
      </c>
      <c r="W1214" s="1" t="str">
        <f>+Tabla__192.168.1.8_POSEIDONSQL_APPFVT_01_tblFillRateFechas[[#This Row],[con_ocnumero]]&amp;Tabla__192.168.1.8_POSEIDONSQL_APPFVT_01_tblFillRateFechas[[#This Row],[con_codigounico]]</f>
        <v>92008700390050000695179450101</v>
      </c>
      <c r="X12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0</v>
      </c>
    </row>
    <row r="1215" spans="1:24" x14ac:dyDescent="0.25">
      <c r="A1215">
        <v>9</v>
      </c>
      <c r="B1215" t="s">
        <v>48</v>
      </c>
      <c r="C1215">
        <v>9194511</v>
      </c>
      <c r="D1215" t="s">
        <v>1966</v>
      </c>
      <c r="E1215" t="s">
        <v>1969</v>
      </c>
      <c r="F1215" t="s">
        <v>1963</v>
      </c>
      <c r="G1215">
        <v>1</v>
      </c>
      <c r="H1215">
        <v>1</v>
      </c>
      <c r="I1215" t="s">
        <v>1969</v>
      </c>
      <c r="J1215">
        <v>0</v>
      </c>
      <c r="K1215" t="s">
        <v>1804</v>
      </c>
      <c r="L1215" s="1">
        <f>+Tabla__192.168.1.8_POSEIDONSQL_APPFVT_01_tblFillRateFechas[[#This Row],[emb_cantidad]]-Tabla__192.168.1.8_POSEIDONSQL_APPFVT_01_tblFillRateFechas[[#This Row],[dev_cantidad]]</f>
        <v>1</v>
      </c>
      <c r="M1215" s="1">
        <f>+IF(Tabla__192.168.1.8_POSEIDONSQL_APPFVT_01_tblFillRateFechas[[#This Row],[Cant_Resultante]]=Tabla__192.168.1.8_POSEIDONSQL_APPFVT_01_tblFillRateFechas[[#This Row],[cant_order]],1,0)</f>
        <v>1</v>
      </c>
      <c r="N12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5" s="1">
        <f>+IF(AND(Tabla__192.168.1.8_POSEIDONSQL_APPFVT_01_tblFillRateFechas[[#This Row],[Valida Cant]]=1,Tabla__192.168.1.8_POSEIDONSQL_APPFVT_01_tblFillRateFechas[[#This Row],[Valida Fec]]=1),1,0)</f>
        <v>1</v>
      </c>
      <c r="P1215" s="1">
        <f>+(Tabla__192.168.1.8_POSEIDONSQL_APPFVT_01_tblFillRateFechas[[#This Row],[Cant_Resultante]]/Tabla__192.168.1.8_POSEIDONSQL_APPFVT_01_tblFillRateFechas[[#This Row],[cant_order]])*100</f>
        <v>100</v>
      </c>
      <c r="Q12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5" s="1">
        <f>+IF(Tabla__192.168.1.8_POSEIDONSQL_APPFVT_01_tblFillRateFechas[[#This Row],[cant_order]]&gt;0,1,0)</f>
        <v>1</v>
      </c>
      <c r="V1215" s="1">
        <f>+IF(Tabla__192.168.1.8_POSEIDONSQL_APPFVT_01_tblFillRateFechas[[#This Row],[Resultado]]=1,1,0)</f>
        <v>1</v>
      </c>
      <c r="W1215" s="1" t="str">
        <f>+Tabla__192.168.1.8_POSEIDONSQL_APPFVT_01_tblFillRateFechas[[#This Row],[con_ocnumero]]&amp;Tabla__192.168.1.8_POSEIDONSQL_APPFVT_01_tblFillRateFechas[[#This Row],[con_codigounico]]</f>
        <v>91945110390050000695239660102</v>
      </c>
      <c r="X12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6" spans="1:24" x14ac:dyDescent="0.25">
      <c r="A1216">
        <v>9</v>
      </c>
      <c r="B1216" t="s">
        <v>48</v>
      </c>
      <c r="C1216">
        <v>9194606</v>
      </c>
      <c r="D1216" t="s">
        <v>1966</v>
      </c>
      <c r="E1216" t="s">
        <v>1969</v>
      </c>
      <c r="F1216" t="s">
        <v>1963</v>
      </c>
      <c r="G1216">
        <v>1</v>
      </c>
      <c r="H1216">
        <v>1</v>
      </c>
      <c r="I1216" t="s">
        <v>1969</v>
      </c>
      <c r="J1216">
        <v>0</v>
      </c>
      <c r="K1216" t="s">
        <v>1632</v>
      </c>
      <c r="L1216" s="1">
        <f>+Tabla__192.168.1.8_POSEIDONSQL_APPFVT_01_tblFillRateFechas[[#This Row],[emb_cantidad]]-Tabla__192.168.1.8_POSEIDONSQL_APPFVT_01_tblFillRateFechas[[#This Row],[dev_cantidad]]</f>
        <v>1</v>
      </c>
      <c r="M1216" s="1">
        <f>+IF(Tabla__192.168.1.8_POSEIDONSQL_APPFVT_01_tblFillRateFechas[[#This Row],[Cant_Resultante]]=Tabla__192.168.1.8_POSEIDONSQL_APPFVT_01_tblFillRateFechas[[#This Row],[cant_order]],1,0)</f>
        <v>1</v>
      </c>
      <c r="N12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6" s="1">
        <f>+IF(AND(Tabla__192.168.1.8_POSEIDONSQL_APPFVT_01_tblFillRateFechas[[#This Row],[Valida Cant]]=1,Tabla__192.168.1.8_POSEIDONSQL_APPFVT_01_tblFillRateFechas[[#This Row],[Valida Fec]]=1),1,0)</f>
        <v>1</v>
      </c>
      <c r="P1216" s="1">
        <f>+(Tabla__192.168.1.8_POSEIDONSQL_APPFVT_01_tblFillRateFechas[[#This Row],[Cant_Resultante]]/Tabla__192.168.1.8_POSEIDONSQL_APPFVT_01_tblFillRateFechas[[#This Row],[cant_order]])*100</f>
        <v>100</v>
      </c>
      <c r="Q12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6" s="1">
        <f>+IF(Tabla__192.168.1.8_POSEIDONSQL_APPFVT_01_tblFillRateFechas[[#This Row],[cant_order]]&gt;0,1,0)</f>
        <v>1</v>
      </c>
      <c r="V1216" s="1">
        <f>+IF(Tabla__192.168.1.8_POSEIDONSQL_APPFVT_01_tblFillRateFechas[[#This Row],[Resultado]]=1,1,0)</f>
        <v>1</v>
      </c>
      <c r="W1216" s="1" t="str">
        <f>+Tabla__192.168.1.8_POSEIDONSQL_APPFVT_01_tblFillRateFechas[[#This Row],[con_ocnumero]]&amp;Tabla__192.168.1.8_POSEIDONSQL_APPFVT_01_tblFillRateFechas[[#This Row],[con_codigounico]]</f>
        <v>91946060390050000695286990101</v>
      </c>
      <c r="X12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7" spans="1:24" x14ac:dyDescent="0.25">
      <c r="A1217">
        <v>9</v>
      </c>
      <c r="B1217" t="s">
        <v>48</v>
      </c>
      <c r="C1217">
        <v>9194606</v>
      </c>
      <c r="D1217" t="s">
        <v>1966</v>
      </c>
      <c r="E1217" t="s">
        <v>1969</v>
      </c>
      <c r="F1217" t="s">
        <v>1963</v>
      </c>
      <c r="G1217">
        <v>1</v>
      </c>
      <c r="H1217">
        <v>1</v>
      </c>
      <c r="I1217" t="s">
        <v>1969</v>
      </c>
      <c r="J1217">
        <v>0</v>
      </c>
      <c r="K1217" t="s">
        <v>1629</v>
      </c>
      <c r="L1217" s="1">
        <f>+Tabla__192.168.1.8_POSEIDONSQL_APPFVT_01_tblFillRateFechas[[#This Row],[emb_cantidad]]-Tabla__192.168.1.8_POSEIDONSQL_APPFVT_01_tblFillRateFechas[[#This Row],[dev_cantidad]]</f>
        <v>1</v>
      </c>
      <c r="M1217" s="1">
        <f>+IF(Tabla__192.168.1.8_POSEIDONSQL_APPFVT_01_tblFillRateFechas[[#This Row],[Cant_Resultante]]=Tabla__192.168.1.8_POSEIDONSQL_APPFVT_01_tblFillRateFechas[[#This Row],[cant_order]],1,0)</f>
        <v>1</v>
      </c>
      <c r="N12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7" s="1">
        <f>+IF(AND(Tabla__192.168.1.8_POSEIDONSQL_APPFVT_01_tblFillRateFechas[[#This Row],[Valida Cant]]=1,Tabla__192.168.1.8_POSEIDONSQL_APPFVT_01_tblFillRateFechas[[#This Row],[Valida Fec]]=1),1,0)</f>
        <v>1</v>
      </c>
      <c r="P1217" s="1">
        <f>+(Tabla__192.168.1.8_POSEIDONSQL_APPFVT_01_tblFillRateFechas[[#This Row],[Cant_Resultante]]/Tabla__192.168.1.8_POSEIDONSQL_APPFVT_01_tblFillRateFechas[[#This Row],[cant_order]])*100</f>
        <v>100</v>
      </c>
      <c r="Q12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7" s="1">
        <f>+IF(Tabla__192.168.1.8_POSEIDONSQL_APPFVT_01_tblFillRateFechas[[#This Row],[cant_order]]&gt;0,1,0)</f>
        <v>1</v>
      </c>
      <c r="V1217" s="1">
        <f>+IF(Tabla__192.168.1.8_POSEIDONSQL_APPFVT_01_tblFillRateFechas[[#This Row],[Resultado]]=1,1,0)</f>
        <v>1</v>
      </c>
      <c r="W1217" s="1" t="str">
        <f>+Tabla__192.168.1.8_POSEIDONSQL_APPFVT_01_tblFillRateFechas[[#This Row],[con_ocnumero]]&amp;Tabla__192.168.1.8_POSEIDONSQL_APPFVT_01_tblFillRateFechas[[#This Row],[con_codigounico]]</f>
        <v>91946060390050000695287340101</v>
      </c>
      <c r="X12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8" spans="1:24" x14ac:dyDescent="0.25">
      <c r="A1218">
        <v>9</v>
      </c>
      <c r="B1218" t="s">
        <v>48</v>
      </c>
      <c r="C1218">
        <v>9194606</v>
      </c>
      <c r="D1218" t="s">
        <v>1966</v>
      </c>
      <c r="E1218" t="s">
        <v>1969</v>
      </c>
      <c r="F1218" t="s">
        <v>1963</v>
      </c>
      <c r="G1218">
        <v>1</v>
      </c>
      <c r="H1218">
        <v>1</v>
      </c>
      <c r="I1218" t="s">
        <v>1969</v>
      </c>
      <c r="J1218">
        <v>0</v>
      </c>
      <c r="K1218" t="s">
        <v>1631</v>
      </c>
      <c r="L1218" s="1">
        <f>+Tabla__192.168.1.8_POSEIDONSQL_APPFVT_01_tblFillRateFechas[[#This Row],[emb_cantidad]]-Tabla__192.168.1.8_POSEIDONSQL_APPFVT_01_tblFillRateFechas[[#This Row],[dev_cantidad]]</f>
        <v>1</v>
      </c>
      <c r="M1218" s="1">
        <f>+IF(Tabla__192.168.1.8_POSEIDONSQL_APPFVT_01_tblFillRateFechas[[#This Row],[Cant_Resultante]]=Tabla__192.168.1.8_POSEIDONSQL_APPFVT_01_tblFillRateFechas[[#This Row],[cant_order]],1,0)</f>
        <v>1</v>
      </c>
      <c r="N12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8" s="1">
        <f>+IF(AND(Tabla__192.168.1.8_POSEIDONSQL_APPFVT_01_tblFillRateFechas[[#This Row],[Valida Cant]]=1,Tabla__192.168.1.8_POSEIDONSQL_APPFVT_01_tblFillRateFechas[[#This Row],[Valida Fec]]=1),1,0)</f>
        <v>1</v>
      </c>
      <c r="P1218" s="1">
        <f>+(Tabla__192.168.1.8_POSEIDONSQL_APPFVT_01_tblFillRateFechas[[#This Row],[Cant_Resultante]]/Tabla__192.168.1.8_POSEIDONSQL_APPFVT_01_tblFillRateFechas[[#This Row],[cant_order]])*100</f>
        <v>100</v>
      </c>
      <c r="Q12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8" s="1">
        <f>+IF(Tabla__192.168.1.8_POSEIDONSQL_APPFVT_01_tblFillRateFechas[[#This Row],[cant_order]]&gt;0,1,0)</f>
        <v>1</v>
      </c>
      <c r="V1218" s="1">
        <f>+IF(Tabla__192.168.1.8_POSEIDONSQL_APPFVT_01_tblFillRateFechas[[#This Row],[Resultado]]=1,1,0)</f>
        <v>1</v>
      </c>
      <c r="W1218" s="1" t="str">
        <f>+Tabla__192.168.1.8_POSEIDONSQL_APPFVT_01_tblFillRateFechas[[#This Row],[con_ocnumero]]&amp;Tabla__192.168.1.8_POSEIDONSQL_APPFVT_01_tblFillRateFechas[[#This Row],[con_codigounico]]</f>
        <v>91946060390050000695301370101</v>
      </c>
      <c r="X12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19" spans="1:24" x14ac:dyDescent="0.25">
      <c r="A1219">
        <v>9</v>
      </c>
      <c r="B1219" t="s">
        <v>48</v>
      </c>
      <c r="C1219">
        <v>9194652</v>
      </c>
      <c r="D1219" t="s">
        <v>1966</v>
      </c>
      <c r="E1219" t="s">
        <v>1969</v>
      </c>
      <c r="F1219" t="s">
        <v>1963</v>
      </c>
      <c r="G1219">
        <v>1</v>
      </c>
      <c r="H1219">
        <v>1</v>
      </c>
      <c r="I1219" t="s">
        <v>1969</v>
      </c>
      <c r="J1219">
        <v>0</v>
      </c>
      <c r="K1219" t="s">
        <v>1635</v>
      </c>
      <c r="L1219" s="1">
        <f>+Tabla__192.168.1.8_POSEIDONSQL_APPFVT_01_tblFillRateFechas[[#This Row],[emb_cantidad]]-Tabla__192.168.1.8_POSEIDONSQL_APPFVT_01_tblFillRateFechas[[#This Row],[dev_cantidad]]</f>
        <v>1</v>
      </c>
      <c r="M1219" s="1">
        <f>+IF(Tabla__192.168.1.8_POSEIDONSQL_APPFVT_01_tblFillRateFechas[[#This Row],[Cant_Resultante]]=Tabla__192.168.1.8_POSEIDONSQL_APPFVT_01_tblFillRateFechas[[#This Row],[cant_order]],1,0)</f>
        <v>1</v>
      </c>
      <c r="N12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19" s="1">
        <f>+IF(AND(Tabla__192.168.1.8_POSEIDONSQL_APPFVT_01_tblFillRateFechas[[#This Row],[Valida Cant]]=1,Tabla__192.168.1.8_POSEIDONSQL_APPFVT_01_tblFillRateFechas[[#This Row],[Valida Fec]]=1),1,0)</f>
        <v>1</v>
      </c>
      <c r="P1219" s="1">
        <f>+(Tabla__192.168.1.8_POSEIDONSQL_APPFVT_01_tblFillRateFechas[[#This Row],[Cant_Resultante]]/Tabla__192.168.1.8_POSEIDONSQL_APPFVT_01_tblFillRateFechas[[#This Row],[cant_order]])*100</f>
        <v>100</v>
      </c>
      <c r="Q12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19" s="1">
        <f>+IF(Tabla__192.168.1.8_POSEIDONSQL_APPFVT_01_tblFillRateFechas[[#This Row],[cant_order]]&gt;0,1,0)</f>
        <v>1</v>
      </c>
      <c r="V1219" s="1">
        <f>+IF(Tabla__192.168.1.8_POSEIDONSQL_APPFVT_01_tblFillRateFechas[[#This Row],[Resultado]]=1,1,0)</f>
        <v>1</v>
      </c>
      <c r="W1219" s="1" t="str">
        <f>+Tabla__192.168.1.8_POSEIDONSQL_APPFVT_01_tblFillRateFechas[[#This Row],[con_ocnumero]]&amp;Tabla__192.168.1.8_POSEIDONSQL_APPFVT_01_tblFillRateFechas[[#This Row],[con_codigounico]]</f>
        <v>91946520390050000695316120101</v>
      </c>
      <c r="X12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0" spans="1:24" x14ac:dyDescent="0.25">
      <c r="A1220">
        <v>9</v>
      </c>
      <c r="B1220" t="s">
        <v>48</v>
      </c>
      <c r="C1220">
        <v>9194652</v>
      </c>
      <c r="D1220" t="s">
        <v>1966</v>
      </c>
      <c r="E1220" t="s">
        <v>1969</v>
      </c>
      <c r="F1220" t="s">
        <v>1963</v>
      </c>
      <c r="G1220">
        <v>1</v>
      </c>
      <c r="H1220">
        <v>1</v>
      </c>
      <c r="I1220" t="s">
        <v>1969</v>
      </c>
      <c r="J1220">
        <v>0</v>
      </c>
      <c r="K1220" t="s">
        <v>1634</v>
      </c>
      <c r="L1220" s="1">
        <f>+Tabla__192.168.1.8_POSEIDONSQL_APPFVT_01_tblFillRateFechas[[#This Row],[emb_cantidad]]-Tabla__192.168.1.8_POSEIDONSQL_APPFVT_01_tblFillRateFechas[[#This Row],[dev_cantidad]]</f>
        <v>1</v>
      </c>
      <c r="M1220" s="1">
        <f>+IF(Tabla__192.168.1.8_POSEIDONSQL_APPFVT_01_tblFillRateFechas[[#This Row],[Cant_Resultante]]=Tabla__192.168.1.8_POSEIDONSQL_APPFVT_01_tblFillRateFechas[[#This Row],[cant_order]],1,0)</f>
        <v>1</v>
      </c>
      <c r="N12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0" s="1">
        <f>+IF(AND(Tabla__192.168.1.8_POSEIDONSQL_APPFVT_01_tblFillRateFechas[[#This Row],[Valida Cant]]=1,Tabla__192.168.1.8_POSEIDONSQL_APPFVT_01_tblFillRateFechas[[#This Row],[Valida Fec]]=1),1,0)</f>
        <v>1</v>
      </c>
      <c r="P1220" s="1">
        <f>+(Tabla__192.168.1.8_POSEIDONSQL_APPFVT_01_tblFillRateFechas[[#This Row],[Cant_Resultante]]/Tabla__192.168.1.8_POSEIDONSQL_APPFVT_01_tblFillRateFechas[[#This Row],[cant_order]])*100</f>
        <v>100</v>
      </c>
      <c r="Q12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0" s="1">
        <f>+IF(Tabla__192.168.1.8_POSEIDONSQL_APPFVT_01_tblFillRateFechas[[#This Row],[cant_order]]&gt;0,1,0)</f>
        <v>1</v>
      </c>
      <c r="V1220" s="1">
        <f>+IF(Tabla__192.168.1.8_POSEIDONSQL_APPFVT_01_tblFillRateFechas[[#This Row],[Resultado]]=1,1,0)</f>
        <v>1</v>
      </c>
      <c r="W1220" s="1" t="str">
        <f>+Tabla__192.168.1.8_POSEIDONSQL_APPFVT_01_tblFillRateFechas[[#This Row],[con_ocnumero]]&amp;Tabla__192.168.1.8_POSEIDONSQL_APPFVT_01_tblFillRateFechas[[#This Row],[con_codigounico]]</f>
        <v>91946520390050000695316440101</v>
      </c>
      <c r="X12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1" spans="1:24" x14ac:dyDescent="0.25">
      <c r="A1221">
        <v>9</v>
      </c>
      <c r="B1221" t="s">
        <v>48</v>
      </c>
      <c r="C1221">
        <v>9194823</v>
      </c>
      <c r="D1221" t="s">
        <v>1973</v>
      </c>
      <c r="E1221" t="s">
        <v>1969</v>
      </c>
      <c r="F1221" t="s">
        <v>1963</v>
      </c>
      <c r="G1221">
        <v>1</v>
      </c>
      <c r="H1221">
        <v>1</v>
      </c>
      <c r="I1221" t="s">
        <v>1969</v>
      </c>
      <c r="J1221">
        <v>0</v>
      </c>
      <c r="K1221" t="s">
        <v>1798</v>
      </c>
      <c r="L1221" s="1">
        <f>+Tabla__192.168.1.8_POSEIDONSQL_APPFVT_01_tblFillRateFechas[[#This Row],[emb_cantidad]]-Tabla__192.168.1.8_POSEIDONSQL_APPFVT_01_tblFillRateFechas[[#This Row],[dev_cantidad]]</f>
        <v>1</v>
      </c>
      <c r="M1221" s="1">
        <f>+IF(Tabla__192.168.1.8_POSEIDONSQL_APPFVT_01_tblFillRateFechas[[#This Row],[Cant_Resultante]]=Tabla__192.168.1.8_POSEIDONSQL_APPFVT_01_tblFillRateFechas[[#This Row],[cant_order]],1,0)</f>
        <v>1</v>
      </c>
      <c r="N12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1" s="1">
        <f>+IF(AND(Tabla__192.168.1.8_POSEIDONSQL_APPFVT_01_tblFillRateFechas[[#This Row],[Valida Cant]]=1,Tabla__192.168.1.8_POSEIDONSQL_APPFVT_01_tblFillRateFechas[[#This Row],[Valida Fec]]=1),1,0)</f>
        <v>1</v>
      </c>
      <c r="P1221" s="1">
        <f>+(Tabla__192.168.1.8_POSEIDONSQL_APPFVT_01_tblFillRateFechas[[#This Row],[Cant_Resultante]]/Tabla__192.168.1.8_POSEIDONSQL_APPFVT_01_tblFillRateFechas[[#This Row],[cant_order]])*100</f>
        <v>100</v>
      </c>
      <c r="Q12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1" s="1">
        <f>+IF(Tabla__192.168.1.8_POSEIDONSQL_APPFVT_01_tblFillRateFechas[[#This Row],[cant_order]]&gt;0,1,0)</f>
        <v>1</v>
      </c>
      <c r="V1221" s="1">
        <f>+IF(Tabla__192.168.1.8_POSEIDONSQL_APPFVT_01_tblFillRateFechas[[#This Row],[Resultado]]=1,1,0)</f>
        <v>1</v>
      </c>
      <c r="W1221" s="1" t="str">
        <f>+Tabla__192.168.1.8_POSEIDONSQL_APPFVT_01_tblFillRateFechas[[#This Row],[con_ocnumero]]&amp;Tabla__192.168.1.8_POSEIDONSQL_APPFVT_01_tblFillRateFechas[[#This Row],[con_codigounico]]</f>
        <v>91948230390050000695352910101</v>
      </c>
      <c r="X12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2" spans="1:24" x14ac:dyDescent="0.25">
      <c r="A1222">
        <v>9</v>
      </c>
      <c r="B1222" t="s">
        <v>48</v>
      </c>
      <c r="C1222">
        <v>9194823</v>
      </c>
      <c r="D1222" t="s">
        <v>1966</v>
      </c>
      <c r="E1222" t="s">
        <v>1969</v>
      </c>
      <c r="F1222" t="s">
        <v>1963</v>
      </c>
      <c r="G1222">
        <v>1</v>
      </c>
      <c r="H1222">
        <v>1</v>
      </c>
      <c r="I1222" t="s">
        <v>1969</v>
      </c>
      <c r="J1222">
        <v>0</v>
      </c>
      <c r="K1222" t="s">
        <v>1797</v>
      </c>
      <c r="L1222" s="1">
        <f>+Tabla__192.168.1.8_POSEIDONSQL_APPFVT_01_tblFillRateFechas[[#This Row],[emb_cantidad]]-Tabla__192.168.1.8_POSEIDONSQL_APPFVT_01_tblFillRateFechas[[#This Row],[dev_cantidad]]</f>
        <v>1</v>
      </c>
      <c r="M1222" s="1">
        <f>+IF(Tabla__192.168.1.8_POSEIDONSQL_APPFVT_01_tblFillRateFechas[[#This Row],[Cant_Resultante]]=Tabla__192.168.1.8_POSEIDONSQL_APPFVT_01_tblFillRateFechas[[#This Row],[cant_order]],1,0)</f>
        <v>1</v>
      </c>
      <c r="N12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2" s="1">
        <f>+IF(AND(Tabla__192.168.1.8_POSEIDONSQL_APPFVT_01_tblFillRateFechas[[#This Row],[Valida Cant]]=1,Tabla__192.168.1.8_POSEIDONSQL_APPFVT_01_tblFillRateFechas[[#This Row],[Valida Fec]]=1),1,0)</f>
        <v>1</v>
      </c>
      <c r="P1222" s="1">
        <f>+(Tabla__192.168.1.8_POSEIDONSQL_APPFVT_01_tblFillRateFechas[[#This Row],[Cant_Resultante]]/Tabla__192.168.1.8_POSEIDONSQL_APPFVT_01_tblFillRateFechas[[#This Row],[cant_order]])*100</f>
        <v>100</v>
      </c>
      <c r="Q12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2" s="1">
        <f>+IF(Tabla__192.168.1.8_POSEIDONSQL_APPFVT_01_tblFillRateFechas[[#This Row],[cant_order]]&gt;0,1,0)</f>
        <v>1</v>
      </c>
      <c r="V1222" s="1">
        <f>+IF(Tabla__192.168.1.8_POSEIDONSQL_APPFVT_01_tblFillRateFechas[[#This Row],[Resultado]]=1,1,0)</f>
        <v>1</v>
      </c>
      <c r="W1222" s="1" t="str">
        <f>+Tabla__192.168.1.8_POSEIDONSQL_APPFVT_01_tblFillRateFechas[[#This Row],[con_ocnumero]]&amp;Tabla__192.168.1.8_POSEIDONSQL_APPFVT_01_tblFillRateFechas[[#This Row],[con_codigounico]]</f>
        <v>91948230390050000695397680101</v>
      </c>
      <c r="X12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3" spans="1:24" x14ac:dyDescent="0.25">
      <c r="A1223">
        <v>9</v>
      </c>
      <c r="B1223" t="s">
        <v>48</v>
      </c>
      <c r="C1223">
        <v>9194823</v>
      </c>
      <c r="D1223" t="s">
        <v>1973</v>
      </c>
      <c r="E1223" t="s">
        <v>163</v>
      </c>
      <c r="F1223" t="s">
        <v>1963</v>
      </c>
      <c r="G1223">
        <v>1</v>
      </c>
      <c r="H1223">
        <v>1</v>
      </c>
      <c r="I1223" t="s">
        <v>163</v>
      </c>
      <c r="J1223">
        <v>0</v>
      </c>
      <c r="K1223" t="s">
        <v>1830</v>
      </c>
      <c r="L1223" s="1">
        <f>+Tabla__192.168.1.8_POSEIDONSQL_APPFVT_01_tblFillRateFechas[[#This Row],[emb_cantidad]]-Tabla__192.168.1.8_POSEIDONSQL_APPFVT_01_tblFillRateFechas[[#This Row],[dev_cantidad]]</f>
        <v>1</v>
      </c>
      <c r="M1223" s="1">
        <f>+IF(Tabla__192.168.1.8_POSEIDONSQL_APPFVT_01_tblFillRateFechas[[#This Row],[Cant_Resultante]]=Tabla__192.168.1.8_POSEIDONSQL_APPFVT_01_tblFillRateFechas[[#This Row],[cant_order]],1,0)</f>
        <v>1</v>
      </c>
      <c r="N12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3" s="1">
        <f>+IF(AND(Tabla__192.168.1.8_POSEIDONSQL_APPFVT_01_tblFillRateFechas[[#This Row],[Valida Cant]]=1,Tabla__192.168.1.8_POSEIDONSQL_APPFVT_01_tblFillRateFechas[[#This Row],[Valida Fec]]=1),1,0)</f>
        <v>1</v>
      </c>
      <c r="P1223" s="1">
        <f>+(Tabla__192.168.1.8_POSEIDONSQL_APPFVT_01_tblFillRateFechas[[#This Row],[Cant_Resultante]]/Tabla__192.168.1.8_POSEIDONSQL_APPFVT_01_tblFillRateFechas[[#This Row],[cant_order]])*100</f>
        <v>100</v>
      </c>
      <c r="Q12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3" s="1">
        <f>+IF(Tabla__192.168.1.8_POSEIDONSQL_APPFVT_01_tblFillRateFechas[[#This Row],[cant_order]]&gt;0,1,0)</f>
        <v>1</v>
      </c>
      <c r="V1223" s="1">
        <f>+IF(Tabla__192.168.1.8_POSEIDONSQL_APPFVT_01_tblFillRateFechas[[#This Row],[Resultado]]=1,1,0)</f>
        <v>1</v>
      </c>
      <c r="W1223" s="1" t="str">
        <f>+Tabla__192.168.1.8_POSEIDONSQL_APPFVT_01_tblFillRateFechas[[#This Row],[con_ocnumero]]&amp;Tabla__192.168.1.8_POSEIDONSQL_APPFVT_01_tblFillRateFechas[[#This Row],[con_codigounico]]</f>
        <v>91948230390050000695539660101</v>
      </c>
      <c r="X12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4" spans="1:24" x14ac:dyDescent="0.25">
      <c r="A1224">
        <v>9</v>
      </c>
      <c r="B1224" t="s">
        <v>48</v>
      </c>
      <c r="C1224">
        <v>9195001</v>
      </c>
      <c r="D1224" t="s">
        <v>1973</v>
      </c>
      <c r="E1224" t="s">
        <v>163</v>
      </c>
      <c r="F1224" t="s">
        <v>1963</v>
      </c>
      <c r="G1224">
        <v>1</v>
      </c>
      <c r="H1224">
        <v>1</v>
      </c>
      <c r="I1224" t="s">
        <v>163</v>
      </c>
      <c r="J1224">
        <v>0</v>
      </c>
      <c r="K1224" t="s">
        <v>1831</v>
      </c>
      <c r="L1224" s="1">
        <f>+Tabla__192.168.1.8_POSEIDONSQL_APPFVT_01_tblFillRateFechas[[#This Row],[emb_cantidad]]-Tabla__192.168.1.8_POSEIDONSQL_APPFVT_01_tblFillRateFechas[[#This Row],[dev_cantidad]]</f>
        <v>1</v>
      </c>
      <c r="M1224" s="1">
        <f>+IF(Tabla__192.168.1.8_POSEIDONSQL_APPFVT_01_tblFillRateFechas[[#This Row],[Cant_Resultante]]=Tabla__192.168.1.8_POSEIDONSQL_APPFVT_01_tblFillRateFechas[[#This Row],[cant_order]],1,0)</f>
        <v>1</v>
      </c>
      <c r="N12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4" s="1">
        <f>+IF(AND(Tabla__192.168.1.8_POSEIDONSQL_APPFVT_01_tblFillRateFechas[[#This Row],[Valida Cant]]=1,Tabla__192.168.1.8_POSEIDONSQL_APPFVT_01_tblFillRateFechas[[#This Row],[Valida Fec]]=1),1,0)</f>
        <v>1</v>
      </c>
      <c r="P1224" s="1">
        <f>+(Tabla__192.168.1.8_POSEIDONSQL_APPFVT_01_tblFillRateFechas[[#This Row],[Cant_Resultante]]/Tabla__192.168.1.8_POSEIDONSQL_APPFVT_01_tblFillRateFechas[[#This Row],[cant_order]])*100</f>
        <v>100</v>
      </c>
      <c r="Q12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4" s="1">
        <f>+IF(Tabla__192.168.1.8_POSEIDONSQL_APPFVT_01_tblFillRateFechas[[#This Row],[cant_order]]&gt;0,1,0)</f>
        <v>1</v>
      </c>
      <c r="V1224" s="1">
        <f>+IF(Tabla__192.168.1.8_POSEIDONSQL_APPFVT_01_tblFillRateFechas[[#This Row],[Resultado]]=1,1,0)</f>
        <v>1</v>
      </c>
      <c r="W1224" s="1" t="str">
        <f>+Tabla__192.168.1.8_POSEIDONSQL_APPFVT_01_tblFillRateFechas[[#This Row],[con_ocnumero]]&amp;Tabla__192.168.1.8_POSEIDONSQL_APPFVT_01_tblFillRateFechas[[#This Row],[con_codigounico]]</f>
        <v>91950010390050000695666520101</v>
      </c>
      <c r="X12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5" spans="1:24" x14ac:dyDescent="0.25">
      <c r="A1225">
        <v>9</v>
      </c>
      <c r="B1225" t="s">
        <v>48</v>
      </c>
      <c r="C1225">
        <v>9195052</v>
      </c>
      <c r="D1225" t="s">
        <v>1973</v>
      </c>
      <c r="E1225" t="s">
        <v>163</v>
      </c>
      <c r="F1225" t="s">
        <v>1963</v>
      </c>
      <c r="G1225">
        <v>1</v>
      </c>
      <c r="H1225">
        <v>1</v>
      </c>
      <c r="I1225" t="s">
        <v>163</v>
      </c>
      <c r="J1225">
        <v>0</v>
      </c>
      <c r="K1225" t="s">
        <v>1812</v>
      </c>
      <c r="L1225" s="1">
        <f>+Tabla__192.168.1.8_POSEIDONSQL_APPFVT_01_tblFillRateFechas[[#This Row],[emb_cantidad]]-Tabla__192.168.1.8_POSEIDONSQL_APPFVT_01_tblFillRateFechas[[#This Row],[dev_cantidad]]</f>
        <v>1</v>
      </c>
      <c r="M1225" s="1">
        <f>+IF(Tabla__192.168.1.8_POSEIDONSQL_APPFVT_01_tblFillRateFechas[[#This Row],[Cant_Resultante]]=Tabla__192.168.1.8_POSEIDONSQL_APPFVT_01_tblFillRateFechas[[#This Row],[cant_order]],1,0)</f>
        <v>1</v>
      </c>
      <c r="N12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5" s="1">
        <f>+IF(AND(Tabla__192.168.1.8_POSEIDONSQL_APPFVT_01_tblFillRateFechas[[#This Row],[Valida Cant]]=1,Tabla__192.168.1.8_POSEIDONSQL_APPFVT_01_tblFillRateFechas[[#This Row],[Valida Fec]]=1),1,0)</f>
        <v>1</v>
      </c>
      <c r="P1225" s="1">
        <f>+(Tabla__192.168.1.8_POSEIDONSQL_APPFVT_01_tblFillRateFechas[[#This Row],[Cant_Resultante]]/Tabla__192.168.1.8_POSEIDONSQL_APPFVT_01_tblFillRateFechas[[#This Row],[cant_order]])*100</f>
        <v>100</v>
      </c>
      <c r="Q12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5" s="1">
        <f>+IF(Tabla__192.168.1.8_POSEIDONSQL_APPFVT_01_tblFillRateFechas[[#This Row],[cant_order]]&gt;0,1,0)</f>
        <v>1</v>
      </c>
      <c r="V1225" s="1">
        <f>+IF(Tabla__192.168.1.8_POSEIDONSQL_APPFVT_01_tblFillRateFechas[[#This Row],[Resultado]]=1,1,0)</f>
        <v>1</v>
      </c>
      <c r="W1225" s="1" t="str">
        <f>+Tabla__192.168.1.8_POSEIDONSQL_APPFVT_01_tblFillRateFechas[[#This Row],[con_ocnumero]]&amp;Tabla__192.168.1.8_POSEIDONSQL_APPFVT_01_tblFillRateFechas[[#This Row],[con_codigounico]]</f>
        <v>91950520390050000695673260101</v>
      </c>
      <c r="X12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6" spans="1:24" x14ac:dyDescent="0.25">
      <c r="A1226">
        <v>9</v>
      </c>
      <c r="B1226" t="s">
        <v>48</v>
      </c>
      <c r="C1226">
        <v>9195001</v>
      </c>
      <c r="D1226" t="s">
        <v>1973</v>
      </c>
      <c r="E1226" t="s">
        <v>163</v>
      </c>
      <c r="F1226" t="s">
        <v>1963</v>
      </c>
      <c r="G1226">
        <v>1</v>
      </c>
      <c r="H1226">
        <v>1</v>
      </c>
      <c r="I1226" t="s">
        <v>163</v>
      </c>
      <c r="J1226">
        <v>0</v>
      </c>
      <c r="K1226" t="s">
        <v>1832</v>
      </c>
      <c r="L1226" s="1">
        <f>+Tabla__192.168.1.8_POSEIDONSQL_APPFVT_01_tblFillRateFechas[[#This Row],[emb_cantidad]]-Tabla__192.168.1.8_POSEIDONSQL_APPFVT_01_tblFillRateFechas[[#This Row],[dev_cantidad]]</f>
        <v>1</v>
      </c>
      <c r="M1226" s="1">
        <f>+IF(Tabla__192.168.1.8_POSEIDONSQL_APPFVT_01_tblFillRateFechas[[#This Row],[Cant_Resultante]]=Tabla__192.168.1.8_POSEIDONSQL_APPFVT_01_tblFillRateFechas[[#This Row],[cant_order]],1,0)</f>
        <v>1</v>
      </c>
      <c r="N12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6" s="1">
        <f>+IF(AND(Tabla__192.168.1.8_POSEIDONSQL_APPFVT_01_tblFillRateFechas[[#This Row],[Valida Cant]]=1,Tabla__192.168.1.8_POSEIDONSQL_APPFVT_01_tblFillRateFechas[[#This Row],[Valida Fec]]=1),1,0)</f>
        <v>1</v>
      </c>
      <c r="P1226" s="1">
        <f>+(Tabla__192.168.1.8_POSEIDONSQL_APPFVT_01_tblFillRateFechas[[#This Row],[Cant_Resultante]]/Tabla__192.168.1.8_POSEIDONSQL_APPFVT_01_tblFillRateFechas[[#This Row],[cant_order]])*100</f>
        <v>100</v>
      </c>
      <c r="Q12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6" s="1">
        <f>+IF(Tabla__192.168.1.8_POSEIDONSQL_APPFVT_01_tblFillRateFechas[[#This Row],[cant_order]]&gt;0,1,0)</f>
        <v>1</v>
      </c>
      <c r="V1226" s="1">
        <f>+IF(Tabla__192.168.1.8_POSEIDONSQL_APPFVT_01_tblFillRateFechas[[#This Row],[Resultado]]=1,1,0)</f>
        <v>1</v>
      </c>
      <c r="W1226" s="1" t="str">
        <f>+Tabla__192.168.1.8_POSEIDONSQL_APPFVT_01_tblFillRateFechas[[#This Row],[con_ocnumero]]&amp;Tabla__192.168.1.8_POSEIDONSQL_APPFVT_01_tblFillRateFechas[[#This Row],[con_codigounico]]</f>
        <v>91950010390050000695676990101</v>
      </c>
      <c r="X12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7" spans="1:24" x14ac:dyDescent="0.25">
      <c r="A1227">
        <v>9</v>
      </c>
      <c r="B1227" t="s">
        <v>48</v>
      </c>
      <c r="C1227">
        <v>9195052</v>
      </c>
      <c r="D1227" t="s">
        <v>1973</v>
      </c>
      <c r="E1227" t="s">
        <v>426</v>
      </c>
      <c r="F1227" t="s">
        <v>1963</v>
      </c>
      <c r="G1227">
        <v>1</v>
      </c>
      <c r="H1227">
        <v>1</v>
      </c>
      <c r="I1227" t="s">
        <v>426</v>
      </c>
      <c r="J1227">
        <v>0</v>
      </c>
      <c r="K1227" t="s">
        <v>1172</v>
      </c>
      <c r="L1227" s="1">
        <f>+Tabla__192.168.1.8_POSEIDONSQL_APPFVT_01_tblFillRateFechas[[#This Row],[emb_cantidad]]-Tabla__192.168.1.8_POSEIDONSQL_APPFVT_01_tblFillRateFechas[[#This Row],[dev_cantidad]]</f>
        <v>1</v>
      </c>
      <c r="M1227" s="1">
        <f>+IF(Tabla__192.168.1.8_POSEIDONSQL_APPFVT_01_tblFillRateFechas[[#This Row],[Cant_Resultante]]=Tabla__192.168.1.8_POSEIDONSQL_APPFVT_01_tblFillRateFechas[[#This Row],[cant_order]],1,0)</f>
        <v>1</v>
      </c>
      <c r="N12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7" s="1">
        <f>+IF(AND(Tabla__192.168.1.8_POSEIDONSQL_APPFVT_01_tblFillRateFechas[[#This Row],[Valida Cant]]=1,Tabla__192.168.1.8_POSEIDONSQL_APPFVT_01_tblFillRateFechas[[#This Row],[Valida Fec]]=1),1,0)</f>
        <v>1</v>
      </c>
      <c r="P1227" s="1">
        <f>+(Tabla__192.168.1.8_POSEIDONSQL_APPFVT_01_tblFillRateFechas[[#This Row],[Cant_Resultante]]/Tabla__192.168.1.8_POSEIDONSQL_APPFVT_01_tblFillRateFechas[[#This Row],[cant_order]])*100</f>
        <v>100</v>
      </c>
      <c r="Q12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7" s="1">
        <f>+IF(Tabla__192.168.1.8_POSEIDONSQL_APPFVT_01_tblFillRateFechas[[#This Row],[cant_order]]&gt;0,1,0)</f>
        <v>1</v>
      </c>
      <c r="V1227" s="1">
        <f>+IF(Tabla__192.168.1.8_POSEIDONSQL_APPFVT_01_tblFillRateFechas[[#This Row],[Resultado]]=1,1,0)</f>
        <v>1</v>
      </c>
      <c r="W1227" s="1" t="str">
        <f>+Tabla__192.168.1.8_POSEIDONSQL_APPFVT_01_tblFillRateFechas[[#This Row],[con_ocnumero]]&amp;Tabla__192.168.1.8_POSEIDONSQL_APPFVT_01_tblFillRateFechas[[#This Row],[con_codigounico]]</f>
        <v>91950520390050000695691680101</v>
      </c>
      <c r="X12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8" spans="1:24" x14ac:dyDescent="0.25">
      <c r="A1228">
        <v>9</v>
      </c>
      <c r="B1228" t="s">
        <v>48</v>
      </c>
      <c r="C1228">
        <v>9195052</v>
      </c>
      <c r="D1228" t="s">
        <v>1973</v>
      </c>
      <c r="E1228" t="s">
        <v>163</v>
      </c>
      <c r="F1228" t="s">
        <v>1963</v>
      </c>
      <c r="G1228">
        <v>1</v>
      </c>
      <c r="H1228">
        <v>1</v>
      </c>
      <c r="I1228" t="s">
        <v>163</v>
      </c>
      <c r="J1228">
        <v>0</v>
      </c>
      <c r="K1228" t="s">
        <v>1815</v>
      </c>
      <c r="L1228" s="1">
        <f>+Tabla__192.168.1.8_POSEIDONSQL_APPFVT_01_tblFillRateFechas[[#This Row],[emb_cantidad]]-Tabla__192.168.1.8_POSEIDONSQL_APPFVT_01_tblFillRateFechas[[#This Row],[dev_cantidad]]</f>
        <v>1</v>
      </c>
      <c r="M1228" s="1">
        <f>+IF(Tabla__192.168.1.8_POSEIDONSQL_APPFVT_01_tblFillRateFechas[[#This Row],[Cant_Resultante]]=Tabla__192.168.1.8_POSEIDONSQL_APPFVT_01_tblFillRateFechas[[#This Row],[cant_order]],1,0)</f>
        <v>1</v>
      </c>
      <c r="N12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8" s="1">
        <f>+IF(AND(Tabla__192.168.1.8_POSEIDONSQL_APPFVT_01_tblFillRateFechas[[#This Row],[Valida Cant]]=1,Tabla__192.168.1.8_POSEIDONSQL_APPFVT_01_tblFillRateFechas[[#This Row],[Valida Fec]]=1),1,0)</f>
        <v>1</v>
      </c>
      <c r="P1228" s="1">
        <f>+(Tabla__192.168.1.8_POSEIDONSQL_APPFVT_01_tblFillRateFechas[[#This Row],[Cant_Resultante]]/Tabla__192.168.1.8_POSEIDONSQL_APPFVT_01_tblFillRateFechas[[#This Row],[cant_order]])*100</f>
        <v>100</v>
      </c>
      <c r="Q12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8" s="1">
        <f>+IF(Tabla__192.168.1.8_POSEIDONSQL_APPFVT_01_tblFillRateFechas[[#This Row],[cant_order]]&gt;0,1,0)</f>
        <v>1</v>
      </c>
      <c r="V1228" s="1">
        <f>+IF(Tabla__192.168.1.8_POSEIDONSQL_APPFVT_01_tblFillRateFechas[[#This Row],[Resultado]]=1,1,0)</f>
        <v>1</v>
      </c>
      <c r="W1228" s="1" t="str">
        <f>+Tabla__192.168.1.8_POSEIDONSQL_APPFVT_01_tblFillRateFechas[[#This Row],[con_ocnumero]]&amp;Tabla__192.168.1.8_POSEIDONSQL_APPFVT_01_tblFillRateFechas[[#This Row],[con_codigounico]]</f>
        <v>91950520390050000695707000101</v>
      </c>
      <c r="X12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29" spans="1:24" x14ac:dyDescent="0.25">
      <c r="A1229">
        <v>9</v>
      </c>
      <c r="B1229" t="s">
        <v>48</v>
      </c>
      <c r="C1229">
        <v>9195424</v>
      </c>
      <c r="D1229" t="s">
        <v>1963</v>
      </c>
      <c r="E1229" t="s">
        <v>163</v>
      </c>
      <c r="F1229" t="s">
        <v>1963</v>
      </c>
      <c r="G1229">
        <v>1</v>
      </c>
      <c r="H1229">
        <v>1</v>
      </c>
      <c r="I1229" t="s">
        <v>163</v>
      </c>
      <c r="J1229">
        <v>0</v>
      </c>
      <c r="K1229" t="s">
        <v>1821</v>
      </c>
      <c r="L1229" s="1">
        <f>+Tabla__192.168.1.8_POSEIDONSQL_APPFVT_01_tblFillRateFechas[[#This Row],[emb_cantidad]]-Tabla__192.168.1.8_POSEIDONSQL_APPFVT_01_tblFillRateFechas[[#This Row],[dev_cantidad]]</f>
        <v>1</v>
      </c>
      <c r="M1229" s="1">
        <f>+IF(Tabla__192.168.1.8_POSEIDONSQL_APPFVT_01_tblFillRateFechas[[#This Row],[Cant_Resultante]]=Tabla__192.168.1.8_POSEIDONSQL_APPFVT_01_tblFillRateFechas[[#This Row],[cant_order]],1,0)</f>
        <v>1</v>
      </c>
      <c r="N12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29" s="1">
        <f>+IF(AND(Tabla__192.168.1.8_POSEIDONSQL_APPFVT_01_tblFillRateFechas[[#This Row],[Valida Cant]]=1,Tabla__192.168.1.8_POSEIDONSQL_APPFVT_01_tblFillRateFechas[[#This Row],[Valida Fec]]=1),1,0)</f>
        <v>1</v>
      </c>
      <c r="P1229" s="1">
        <f>+(Tabla__192.168.1.8_POSEIDONSQL_APPFVT_01_tblFillRateFechas[[#This Row],[Cant_Resultante]]/Tabla__192.168.1.8_POSEIDONSQL_APPFVT_01_tblFillRateFechas[[#This Row],[cant_order]])*100</f>
        <v>100</v>
      </c>
      <c r="Q12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29" s="1">
        <f>+IF(Tabla__192.168.1.8_POSEIDONSQL_APPFVT_01_tblFillRateFechas[[#This Row],[cant_order]]&gt;0,1,0)</f>
        <v>1</v>
      </c>
      <c r="V1229" s="1">
        <f>+IF(Tabla__192.168.1.8_POSEIDONSQL_APPFVT_01_tblFillRateFechas[[#This Row],[Resultado]]=1,1,0)</f>
        <v>1</v>
      </c>
      <c r="W1229" s="1" t="str">
        <f>+Tabla__192.168.1.8_POSEIDONSQL_APPFVT_01_tblFillRateFechas[[#This Row],[con_ocnumero]]&amp;Tabla__192.168.1.8_POSEIDONSQL_APPFVT_01_tblFillRateFechas[[#This Row],[con_codigounico]]</f>
        <v>91954240390050000695712190101</v>
      </c>
      <c r="X12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0" spans="1:24" x14ac:dyDescent="0.25">
      <c r="A1230">
        <v>9</v>
      </c>
      <c r="B1230" t="s">
        <v>48</v>
      </c>
      <c r="C1230">
        <v>9195052</v>
      </c>
      <c r="D1230" t="s">
        <v>1973</v>
      </c>
      <c r="E1230" t="s">
        <v>426</v>
      </c>
      <c r="F1230" t="s">
        <v>1963</v>
      </c>
      <c r="G1230">
        <v>1</v>
      </c>
      <c r="H1230">
        <v>1</v>
      </c>
      <c r="I1230" t="s">
        <v>426</v>
      </c>
      <c r="J1230">
        <v>0</v>
      </c>
      <c r="K1230" t="s">
        <v>1173</v>
      </c>
      <c r="L1230" s="1">
        <f>+Tabla__192.168.1.8_POSEIDONSQL_APPFVT_01_tblFillRateFechas[[#This Row],[emb_cantidad]]-Tabla__192.168.1.8_POSEIDONSQL_APPFVT_01_tblFillRateFechas[[#This Row],[dev_cantidad]]</f>
        <v>1</v>
      </c>
      <c r="M1230" s="1">
        <f>+IF(Tabla__192.168.1.8_POSEIDONSQL_APPFVT_01_tblFillRateFechas[[#This Row],[Cant_Resultante]]=Tabla__192.168.1.8_POSEIDONSQL_APPFVT_01_tblFillRateFechas[[#This Row],[cant_order]],1,0)</f>
        <v>1</v>
      </c>
      <c r="N12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0" s="1">
        <f>+IF(AND(Tabla__192.168.1.8_POSEIDONSQL_APPFVT_01_tblFillRateFechas[[#This Row],[Valida Cant]]=1,Tabla__192.168.1.8_POSEIDONSQL_APPFVT_01_tblFillRateFechas[[#This Row],[Valida Fec]]=1),1,0)</f>
        <v>1</v>
      </c>
      <c r="P1230" s="1">
        <f>+(Tabla__192.168.1.8_POSEIDONSQL_APPFVT_01_tblFillRateFechas[[#This Row],[Cant_Resultante]]/Tabla__192.168.1.8_POSEIDONSQL_APPFVT_01_tblFillRateFechas[[#This Row],[cant_order]])*100</f>
        <v>100</v>
      </c>
      <c r="Q12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0" s="1">
        <f>+IF(Tabla__192.168.1.8_POSEIDONSQL_APPFVT_01_tblFillRateFechas[[#This Row],[cant_order]]&gt;0,1,0)</f>
        <v>1</v>
      </c>
      <c r="V1230" s="1">
        <f>+IF(Tabla__192.168.1.8_POSEIDONSQL_APPFVT_01_tblFillRateFechas[[#This Row],[Resultado]]=1,1,0)</f>
        <v>1</v>
      </c>
      <c r="W1230" s="1" t="str">
        <f>+Tabla__192.168.1.8_POSEIDONSQL_APPFVT_01_tblFillRateFechas[[#This Row],[con_ocnumero]]&amp;Tabla__192.168.1.8_POSEIDONSQL_APPFVT_01_tblFillRateFechas[[#This Row],[con_codigounico]]</f>
        <v>91950520390050000695715320101</v>
      </c>
      <c r="X12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1" spans="1:24" x14ac:dyDescent="0.25">
      <c r="A1231">
        <v>9</v>
      </c>
      <c r="B1231" t="s">
        <v>48</v>
      </c>
      <c r="C1231">
        <v>9195052</v>
      </c>
      <c r="D1231" t="s">
        <v>1973</v>
      </c>
      <c r="E1231" t="s">
        <v>163</v>
      </c>
      <c r="F1231" t="s">
        <v>1963</v>
      </c>
      <c r="G1231">
        <v>1</v>
      </c>
      <c r="H1231">
        <v>1</v>
      </c>
      <c r="I1231" t="s">
        <v>163</v>
      </c>
      <c r="J1231">
        <v>0</v>
      </c>
      <c r="K1231" t="s">
        <v>1816</v>
      </c>
      <c r="L1231" s="1">
        <f>+Tabla__192.168.1.8_POSEIDONSQL_APPFVT_01_tblFillRateFechas[[#This Row],[emb_cantidad]]-Tabla__192.168.1.8_POSEIDONSQL_APPFVT_01_tblFillRateFechas[[#This Row],[dev_cantidad]]</f>
        <v>1</v>
      </c>
      <c r="M1231" s="1">
        <f>+IF(Tabla__192.168.1.8_POSEIDONSQL_APPFVT_01_tblFillRateFechas[[#This Row],[Cant_Resultante]]=Tabla__192.168.1.8_POSEIDONSQL_APPFVT_01_tblFillRateFechas[[#This Row],[cant_order]],1,0)</f>
        <v>1</v>
      </c>
      <c r="N12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1" s="1">
        <f>+IF(AND(Tabla__192.168.1.8_POSEIDONSQL_APPFVT_01_tblFillRateFechas[[#This Row],[Valida Cant]]=1,Tabla__192.168.1.8_POSEIDONSQL_APPFVT_01_tblFillRateFechas[[#This Row],[Valida Fec]]=1),1,0)</f>
        <v>1</v>
      </c>
      <c r="P1231" s="1">
        <f>+(Tabla__192.168.1.8_POSEIDONSQL_APPFVT_01_tblFillRateFechas[[#This Row],[Cant_Resultante]]/Tabla__192.168.1.8_POSEIDONSQL_APPFVT_01_tblFillRateFechas[[#This Row],[cant_order]])*100</f>
        <v>100</v>
      </c>
      <c r="Q12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1" s="1">
        <f>+IF(Tabla__192.168.1.8_POSEIDONSQL_APPFVT_01_tblFillRateFechas[[#This Row],[cant_order]]&gt;0,1,0)</f>
        <v>1</v>
      </c>
      <c r="V1231" s="1">
        <f>+IF(Tabla__192.168.1.8_POSEIDONSQL_APPFVT_01_tblFillRateFechas[[#This Row],[Resultado]]=1,1,0)</f>
        <v>1</v>
      </c>
      <c r="W1231" s="1" t="str">
        <f>+Tabla__192.168.1.8_POSEIDONSQL_APPFVT_01_tblFillRateFechas[[#This Row],[con_ocnumero]]&amp;Tabla__192.168.1.8_POSEIDONSQL_APPFVT_01_tblFillRateFechas[[#This Row],[con_codigounico]]</f>
        <v>91950520390050000695716030101</v>
      </c>
      <c r="X12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2" spans="1:24" x14ac:dyDescent="0.25">
      <c r="A1232">
        <v>9</v>
      </c>
      <c r="B1232" t="s">
        <v>48</v>
      </c>
      <c r="C1232">
        <v>9195052</v>
      </c>
      <c r="D1232" t="s">
        <v>1973</v>
      </c>
      <c r="E1232" t="s">
        <v>163</v>
      </c>
      <c r="F1232" t="s">
        <v>1963</v>
      </c>
      <c r="G1232">
        <v>1</v>
      </c>
      <c r="H1232">
        <v>1</v>
      </c>
      <c r="I1232" t="s">
        <v>163</v>
      </c>
      <c r="J1232">
        <v>0</v>
      </c>
      <c r="K1232" t="s">
        <v>1813</v>
      </c>
      <c r="L1232" s="1">
        <f>+Tabla__192.168.1.8_POSEIDONSQL_APPFVT_01_tblFillRateFechas[[#This Row],[emb_cantidad]]-Tabla__192.168.1.8_POSEIDONSQL_APPFVT_01_tblFillRateFechas[[#This Row],[dev_cantidad]]</f>
        <v>1</v>
      </c>
      <c r="M1232" s="1">
        <f>+IF(Tabla__192.168.1.8_POSEIDONSQL_APPFVT_01_tblFillRateFechas[[#This Row],[Cant_Resultante]]=Tabla__192.168.1.8_POSEIDONSQL_APPFVT_01_tblFillRateFechas[[#This Row],[cant_order]],1,0)</f>
        <v>1</v>
      </c>
      <c r="N12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2" s="1">
        <f>+IF(AND(Tabla__192.168.1.8_POSEIDONSQL_APPFVT_01_tblFillRateFechas[[#This Row],[Valida Cant]]=1,Tabla__192.168.1.8_POSEIDONSQL_APPFVT_01_tblFillRateFechas[[#This Row],[Valida Fec]]=1),1,0)</f>
        <v>1</v>
      </c>
      <c r="P1232" s="1">
        <f>+(Tabla__192.168.1.8_POSEIDONSQL_APPFVT_01_tblFillRateFechas[[#This Row],[Cant_Resultante]]/Tabla__192.168.1.8_POSEIDONSQL_APPFVT_01_tblFillRateFechas[[#This Row],[cant_order]])*100</f>
        <v>100</v>
      </c>
      <c r="Q12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2" s="1">
        <f>+IF(Tabla__192.168.1.8_POSEIDONSQL_APPFVT_01_tblFillRateFechas[[#This Row],[cant_order]]&gt;0,1,0)</f>
        <v>1</v>
      </c>
      <c r="V1232" s="1">
        <f>+IF(Tabla__192.168.1.8_POSEIDONSQL_APPFVT_01_tblFillRateFechas[[#This Row],[Resultado]]=1,1,0)</f>
        <v>1</v>
      </c>
      <c r="W1232" s="1" t="str">
        <f>+Tabla__192.168.1.8_POSEIDONSQL_APPFVT_01_tblFillRateFechas[[#This Row],[con_ocnumero]]&amp;Tabla__192.168.1.8_POSEIDONSQL_APPFVT_01_tblFillRateFechas[[#This Row],[con_codigounico]]</f>
        <v>91950520390050000695726470101</v>
      </c>
      <c r="X12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3" spans="1:24" x14ac:dyDescent="0.25">
      <c r="A1233">
        <v>9</v>
      </c>
      <c r="B1233" t="s">
        <v>48</v>
      </c>
      <c r="C1233">
        <v>9195110</v>
      </c>
      <c r="D1233" t="s">
        <v>1973</v>
      </c>
      <c r="E1233" t="s">
        <v>427</v>
      </c>
      <c r="F1233" t="s">
        <v>1963</v>
      </c>
      <c r="G1233">
        <v>1</v>
      </c>
      <c r="H1233">
        <v>1</v>
      </c>
      <c r="I1233" t="s">
        <v>427</v>
      </c>
      <c r="J1233">
        <v>0</v>
      </c>
      <c r="K1233" t="s">
        <v>1164</v>
      </c>
      <c r="L1233" s="1">
        <f>+Tabla__192.168.1.8_POSEIDONSQL_APPFVT_01_tblFillRateFechas[[#This Row],[emb_cantidad]]-Tabla__192.168.1.8_POSEIDONSQL_APPFVT_01_tblFillRateFechas[[#This Row],[dev_cantidad]]</f>
        <v>1</v>
      </c>
      <c r="M1233" s="1">
        <f>+IF(Tabla__192.168.1.8_POSEIDONSQL_APPFVT_01_tblFillRateFechas[[#This Row],[Cant_Resultante]]=Tabla__192.168.1.8_POSEIDONSQL_APPFVT_01_tblFillRateFechas[[#This Row],[cant_order]],1,0)</f>
        <v>1</v>
      </c>
      <c r="N12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3" s="1">
        <f>+IF(AND(Tabla__192.168.1.8_POSEIDONSQL_APPFVT_01_tblFillRateFechas[[#This Row],[Valida Cant]]=1,Tabla__192.168.1.8_POSEIDONSQL_APPFVT_01_tblFillRateFechas[[#This Row],[Valida Fec]]=1),1,0)</f>
        <v>1</v>
      </c>
      <c r="P1233" s="1">
        <f>+(Tabla__192.168.1.8_POSEIDONSQL_APPFVT_01_tblFillRateFechas[[#This Row],[Cant_Resultante]]/Tabla__192.168.1.8_POSEIDONSQL_APPFVT_01_tblFillRateFechas[[#This Row],[cant_order]])*100</f>
        <v>100</v>
      </c>
      <c r="Q12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3" s="1">
        <f>+IF(Tabla__192.168.1.8_POSEIDONSQL_APPFVT_01_tblFillRateFechas[[#This Row],[cant_order]]&gt;0,1,0)</f>
        <v>1</v>
      </c>
      <c r="V1233" s="1">
        <f>+IF(Tabla__192.168.1.8_POSEIDONSQL_APPFVT_01_tblFillRateFechas[[#This Row],[Resultado]]=1,1,0)</f>
        <v>1</v>
      </c>
      <c r="W1233" s="1" t="str">
        <f>+Tabla__192.168.1.8_POSEIDONSQL_APPFVT_01_tblFillRateFechas[[#This Row],[con_ocnumero]]&amp;Tabla__192.168.1.8_POSEIDONSQL_APPFVT_01_tblFillRateFechas[[#This Row],[con_codigounico]]</f>
        <v>91951100390050000695733990101</v>
      </c>
      <c r="X12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4" spans="1:24" x14ac:dyDescent="0.25">
      <c r="A1234">
        <v>9</v>
      </c>
      <c r="B1234" t="s">
        <v>48</v>
      </c>
      <c r="C1234">
        <v>9195110</v>
      </c>
      <c r="D1234" t="s">
        <v>1973</v>
      </c>
      <c r="E1234" t="s">
        <v>163</v>
      </c>
      <c r="F1234" t="s">
        <v>1963</v>
      </c>
      <c r="G1234">
        <v>1</v>
      </c>
      <c r="H1234">
        <v>1</v>
      </c>
      <c r="I1234" t="s">
        <v>163</v>
      </c>
      <c r="J1234">
        <v>0</v>
      </c>
      <c r="K1234" t="s">
        <v>853</v>
      </c>
      <c r="L1234" s="1">
        <f>+Tabla__192.168.1.8_POSEIDONSQL_APPFVT_01_tblFillRateFechas[[#This Row],[emb_cantidad]]-Tabla__192.168.1.8_POSEIDONSQL_APPFVT_01_tblFillRateFechas[[#This Row],[dev_cantidad]]</f>
        <v>1</v>
      </c>
      <c r="M1234" s="1">
        <f>+IF(Tabla__192.168.1.8_POSEIDONSQL_APPFVT_01_tblFillRateFechas[[#This Row],[Cant_Resultante]]=Tabla__192.168.1.8_POSEIDONSQL_APPFVT_01_tblFillRateFechas[[#This Row],[cant_order]],1,0)</f>
        <v>1</v>
      </c>
      <c r="N12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4" s="1">
        <f>+IF(AND(Tabla__192.168.1.8_POSEIDONSQL_APPFVT_01_tblFillRateFechas[[#This Row],[Valida Cant]]=1,Tabla__192.168.1.8_POSEIDONSQL_APPFVT_01_tblFillRateFechas[[#This Row],[Valida Fec]]=1),1,0)</f>
        <v>1</v>
      </c>
      <c r="P1234" s="1">
        <f>+(Tabla__192.168.1.8_POSEIDONSQL_APPFVT_01_tblFillRateFechas[[#This Row],[Cant_Resultante]]/Tabla__192.168.1.8_POSEIDONSQL_APPFVT_01_tblFillRateFechas[[#This Row],[cant_order]])*100</f>
        <v>100</v>
      </c>
      <c r="Q12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4" s="1">
        <f>+IF(Tabla__192.168.1.8_POSEIDONSQL_APPFVT_01_tblFillRateFechas[[#This Row],[cant_order]]&gt;0,1,0)</f>
        <v>1</v>
      </c>
      <c r="V1234" s="1">
        <f>+IF(Tabla__192.168.1.8_POSEIDONSQL_APPFVT_01_tblFillRateFechas[[#This Row],[Resultado]]=1,1,0)</f>
        <v>1</v>
      </c>
      <c r="W1234" s="1" t="str">
        <f>+Tabla__192.168.1.8_POSEIDONSQL_APPFVT_01_tblFillRateFechas[[#This Row],[con_ocnumero]]&amp;Tabla__192.168.1.8_POSEIDONSQL_APPFVT_01_tblFillRateFechas[[#This Row],[con_codigounico]]</f>
        <v>91951100390050000695740350101</v>
      </c>
      <c r="X12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5" spans="1:24" x14ac:dyDescent="0.25">
      <c r="A1235">
        <v>9</v>
      </c>
      <c r="B1235" t="s">
        <v>48</v>
      </c>
      <c r="C1235">
        <v>9195424</v>
      </c>
      <c r="D1235" t="s">
        <v>1973</v>
      </c>
      <c r="E1235" t="s">
        <v>163</v>
      </c>
      <c r="F1235" t="s">
        <v>1963</v>
      </c>
      <c r="G1235">
        <v>1</v>
      </c>
      <c r="H1235">
        <v>1</v>
      </c>
      <c r="I1235" t="s">
        <v>163</v>
      </c>
      <c r="J1235">
        <v>0</v>
      </c>
      <c r="K1235" t="s">
        <v>1827</v>
      </c>
      <c r="L1235" s="1">
        <f>+Tabla__192.168.1.8_POSEIDONSQL_APPFVT_01_tblFillRateFechas[[#This Row],[emb_cantidad]]-Tabla__192.168.1.8_POSEIDONSQL_APPFVT_01_tblFillRateFechas[[#This Row],[dev_cantidad]]</f>
        <v>1</v>
      </c>
      <c r="M1235" s="1">
        <f>+IF(Tabla__192.168.1.8_POSEIDONSQL_APPFVT_01_tblFillRateFechas[[#This Row],[Cant_Resultante]]=Tabla__192.168.1.8_POSEIDONSQL_APPFVT_01_tblFillRateFechas[[#This Row],[cant_order]],1,0)</f>
        <v>1</v>
      </c>
      <c r="N12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5" s="1">
        <f>+IF(AND(Tabla__192.168.1.8_POSEIDONSQL_APPFVT_01_tblFillRateFechas[[#This Row],[Valida Cant]]=1,Tabla__192.168.1.8_POSEIDONSQL_APPFVT_01_tblFillRateFechas[[#This Row],[Valida Fec]]=1),1,0)</f>
        <v>1</v>
      </c>
      <c r="P1235" s="1">
        <f>+(Tabla__192.168.1.8_POSEIDONSQL_APPFVT_01_tblFillRateFechas[[#This Row],[Cant_Resultante]]/Tabla__192.168.1.8_POSEIDONSQL_APPFVT_01_tblFillRateFechas[[#This Row],[cant_order]])*100</f>
        <v>100</v>
      </c>
      <c r="Q12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5" s="1">
        <f>+IF(Tabla__192.168.1.8_POSEIDONSQL_APPFVT_01_tblFillRateFechas[[#This Row],[cant_order]]&gt;0,1,0)</f>
        <v>1</v>
      </c>
      <c r="V1235" s="1">
        <f>+IF(Tabla__192.168.1.8_POSEIDONSQL_APPFVT_01_tblFillRateFechas[[#This Row],[Resultado]]=1,1,0)</f>
        <v>1</v>
      </c>
      <c r="W1235" s="1" t="str">
        <f>+Tabla__192.168.1.8_POSEIDONSQL_APPFVT_01_tblFillRateFechas[[#This Row],[con_ocnumero]]&amp;Tabla__192.168.1.8_POSEIDONSQL_APPFVT_01_tblFillRateFechas[[#This Row],[con_codigounico]]</f>
        <v>91954240390050000695768880101</v>
      </c>
      <c r="X12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6" spans="1:24" x14ac:dyDescent="0.25">
      <c r="A1236">
        <v>9</v>
      </c>
      <c r="B1236" t="s">
        <v>48</v>
      </c>
      <c r="C1236">
        <v>9195156</v>
      </c>
      <c r="D1236" t="s">
        <v>1973</v>
      </c>
      <c r="E1236" t="s">
        <v>426</v>
      </c>
      <c r="F1236" t="s">
        <v>1963</v>
      </c>
      <c r="G1236">
        <v>1</v>
      </c>
      <c r="H1236">
        <v>1</v>
      </c>
      <c r="I1236" t="s">
        <v>426</v>
      </c>
      <c r="J1236">
        <v>0</v>
      </c>
      <c r="K1236" t="s">
        <v>1174</v>
      </c>
      <c r="L1236" s="1">
        <f>+Tabla__192.168.1.8_POSEIDONSQL_APPFVT_01_tblFillRateFechas[[#This Row],[emb_cantidad]]-Tabla__192.168.1.8_POSEIDONSQL_APPFVT_01_tblFillRateFechas[[#This Row],[dev_cantidad]]</f>
        <v>1</v>
      </c>
      <c r="M1236" s="1">
        <f>+IF(Tabla__192.168.1.8_POSEIDONSQL_APPFVT_01_tblFillRateFechas[[#This Row],[Cant_Resultante]]=Tabla__192.168.1.8_POSEIDONSQL_APPFVT_01_tblFillRateFechas[[#This Row],[cant_order]],1,0)</f>
        <v>1</v>
      </c>
      <c r="N12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6" s="1">
        <f>+IF(AND(Tabla__192.168.1.8_POSEIDONSQL_APPFVT_01_tblFillRateFechas[[#This Row],[Valida Cant]]=1,Tabla__192.168.1.8_POSEIDONSQL_APPFVT_01_tblFillRateFechas[[#This Row],[Valida Fec]]=1),1,0)</f>
        <v>1</v>
      </c>
      <c r="P1236" s="1">
        <f>+(Tabla__192.168.1.8_POSEIDONSQL_APPFVT_01_tblFillRateFechas[[#This Row],[Cant_Resultante]]/Tabla__192.168.1.8_POSEIDONSQL_APPFVT_01_tblFillRateFechas[[#This Row],[cant_order]])*100</f>
        <v>100</v>
      </c>
      <c r="Q12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6" s="1">
        <f>+IF(Tabla__192.168.1.8_POSEIDONSQL_APPFVT_01_tblFillRateFechas[[#This Row],[cant_order]]&gt;0,1,0)</f>
        <v>1</v>
      </c>
      <c r="V1236" s="1">
        <f>+IF(Tabla__192.168.1.8_POSEIDONSQL_APPFVT_01_tblFillRateFechas[[#This Row],[Resultado]]=1,1,0)</f>
        <v>1</v>
      </c>
      <c r="W1236" s="1" t="str">
        <f>+Tabla__192.168.1.8_POSEIDONSQL_APPFVT_01_tblFillRateFechas[[#This Row],[con_ocnumero]]&amp;Tabla__192.168.1.8_POSEIDONSQL_APPFVT_01_tblFillRateFechas[[#This Row],[con_codigounico]]</f>
        <v>91951560390050000695781060101</v>
      </c>
      <c r="X12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7" spans="1:24" x14ac:dyDescent="0.25">
      <c r="A1237">
        <v>9</v>
      </c>
      <c r="B1237" t="s">
        <v>48</v>
      </c>
      <c r="C1237">
        <v>9195790</v>
      </c>
      <c r="D1237" t="s">
        <v>1963</v>
      </c>
      <c r="E1237" t="s">
        <v>163</v>
      </c>
      <c r="F1237" t="s">
        <v>162</v>
      </c>
      <c r="G1237">
        <v>1</v>
      </c>
      <c r="H1237">
        <v>1</v>
      </c>
      <c r="I1237" t="s">
        <v>163</v>
      </c>
      <c r="J1237">
        <v>0</v>
      </c>
      <c r="K1237" t="s">
        <v>846</v>
      </c>
      <c r="L1237" s="1">
        <f>+Tabla__192.168.1.8_POSEIDONSQL_APPFVT_01_tblFillRateFechas[[#This Row],[emb_cantidad]]-Tabla__192.168.1.8_POSEIDONSQL_APPFVT_01_tblFillRateFechas[[#This Row],[dev_cantidad]]</f>
        <v>1</v>
      </c>
      <c r="M1237" s="1">
        <f>+IF(Tabla__192.168.1.8_POSEIDONSQL_APPFVT_01_tblFillRateFechas[[#This Row],[Cant_Resultante]]=Tabla__192.168.1.8_POSEIDONSQL_APPFVT_01_tblFillRateFechas[[#This Row],[cant_order]],1,0)</f>
        <v>1</v>
      </c>
      <c r="N12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7" s="1">
        <f>+IF(AND(Tabla__192.168.1.8_POSEIDONSQL_APPFVT_01_tblFillRateFechas[[#This Row],[Valida Cant]]=1,Tabla__192.168.1.8_POSEIDONSQL_APPFVT_01_tblFillRateFechas[[#This Row],[Valida Fec]]=1),1,0)</f>
        <v>1</v>
      </c>
      <c r="P1237" s="1">
        <f>+(Tabla__192.168.1.8_POSEIDONSQL_APPFVT_01_tblFillRateFechas[[#This Row],[Cant_Resultante]]/Tabla__192.168.1.8_POSEIDONSQL_APPFVT_01_tblFillRateFechas[[#This Row],[cant_order]])*100</f>
        <v>100</v>
      </c>
      <c r="Q12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7" s="1">
        <f>+IF(Tabla__192.168.1.8_POSEIDONSQL_APPFVT_01_tblFillRateFechas[[#This Row],[cant_order]]&gt;0,1,0)</f>
        <v>1</v>
      </c>
      <c r="V1237" s="1">
        <f>+IF(Tabla__192.168.1.8_POSEIDONSQL_APPFVT_01_tblFillRateFechas[[#This Row],[Resultado]]=1,1,0)</f>
        <v>1</v>
      </c>
      <c r="W1237" s="1" t="str">
        <f>+Tabla__192.168.1.8_POSEIDONSQL_APPFVT_01_tblFillRateFechas[[#This Row],[con_ocnumero]]&amp;Tabla__192.168.1.8_POSEIDONSQL_APPFVT_01_tblFillRateFechas[[#This Row],[con_codigounico]]</f>
        <v>91957900390050000695823690101</v>
      </c>
      <c r="X12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8" spans="1:24" x14ac:dyDescent="0.25">
      <c r="A1238">
        <v>9</v>
      </c>
      <c r="B1238" t="s">
        <v>48</v>
      </c>
      <c r="C1238">
        <v>9195790</v>
      </c>
      <c r="D1238" t="s">
        <v>1963</v>
      </c>
      <c r="E1238" t="s">
        <v>163</v>
      </c>
      <c r="F1238" t="s">
        <v>162</v>
      </c>
      <c r="G1238">
        <v>1</v>
      </c>
      <c r="H1238">
        <v>1</v>
      </c>
      <c r="I1238" t="s">
        <v>163</v>
      </c>
      <c r="J1238">
        <v>0</v>
      </c>
      <c r="K1238" t="s">
        <v>847</v>
      </c>
      <c r="L1238" s="1">
        <f>+Tabla__192.168.1.8_POSEIDONSQL_APPFVT_01_tblFillRateFechas[[#This Row],[emb_cantidad]]-Tabla__192.168.1.8_POSEIDONSQL_APPFVT_01_tblFillRateFechas[[#This Row],[dev_cantidad]]</f>
        <v>1</v>
      </c>
      <c r="M1238" s="1">
        <f>+IF(Tabla__192.168.1.8_POSEIDONSQL_APPFVT_01_tblFillRateFechas[[#This Row],[Cant_Resultante]]=Tabla__192.168.1.8_POSEIDONSQL_APPFVT_01_tblFillRateFechas[[#This Row],[cant_order]],1,0)</f>
        <v>1</v>
      </c>
      <c r="N12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8" s="1">
        <f>+IF(AND(Tabla__192.168.1.8_POSEIDONSQL_APPFVT_01_tblFillRateFechas[[#This Row],[Valida Cant]]=1,Tabla__192.168.1.8_POSEIDONSQL_APPFVT_01_tblFillRateFechas[[#This Row],[Valida Fec]]=1),1,0)</f>
        <v>1</v>
      </c>
      <c r="P1238" s="1">
        <f>+(Tabla__192.168.1.8_POSEIDONSQL_APPFVT_01_tblFillRateFechas[[#This Row],[Cant_Resultante]]/Tabla__192.168.1.8_POSEIDONSQL_APPFVT_01_tblFillRateFechas[[#This Row],[cant_order]])*100</f>
        <v>100</v>
      </c>
      <c r="Q12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8" s="1">
        <f>+IF(Tabla__192.168.1.8_POSEIDONSQL_APPFVT_01_tblFillRateFechas[[#This Row],[cant_order]]&gt;0,1,0)</f>
        <v>1</v>
      </c>
      <c r="V1238" s="1">
        <f>+IF(Tabla__192.168.1.8_POSEIDONSQL_APPFVT_01_tblFillRateFechas[[#This Row],[Resultado]]=1,1,0)</f>
        <v>1</v>
      </c>
      <c r="W1238" s="1" t="str">
        <f>+Tabla__192.168.1.8_POSEIDONSQL_APPFVT_01_tblFillRateFechas[[#This Row],[con_ocnumero]]&amp;Tabla__192.168.1.8_POSEIDONSQL_APPFVT_01_tblFillRateFechas[[#This Row],[con_codigounico]]</f>
        <v>91957900390050000695823740102</v>
      </c>
      <c r="X12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39" spans="1:24" x14ac:dyDescent="0.25">
      <c r="A1239">
        <v>9</v>
      </c>
      <c r="B1239" t="s">
        <v>48</v>
      </c>
      <c r="C1239">
        <v>9195265</v>
      </c>
      <c r="D1239" t="s">
        <v>1973</v>
      </c>
      <c r="E1239" t="s">
        <v>163</v>
      </c>
      <c r="F1239" t="s">
        <v>1963</v>
      </c>
      <c r="G1239">
        <v>1</v>
      </c>
      <c r="H1239">
        <v>1</v>
      </c>
      <c r="I1239" t="s">
        <v>163</v>
      </c>
      <c r="J1239">
        <v>0</v>
      </c>
      <c r="K1239" t="s">
        <v>1819</v>
      </c>
      <c r="L1239" s="1">
        <f>+Tabla__192.168.1.8_POSEIDONSQL_APPFVT_01_tblFillRateFechas[[#This Row],[emb_cantidad]]-Tabla__192.168.1.8_POSEIDONSQL_APPFVT_01_tblFillRateFechas[[#This Row],[dev_cantidad]]</f>
        <v>1</v>
      </c>
      <c r="M1239" s="1">
        <f>+IF(Tabla__192.168.1.8_POSEIDONSQL_APPFVT_01_tblFillRateFechas[[#This Row],[Cant_Resultante]]=Tabla__192.168.1.8_POSEIDONSQL_APPFVT_01_tblFillRateFechas[[#This Row],[cant_order]],1,0)</f>
        <v>1</v>
      </c>
      <c r="N12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39" s="1">
        <f>+IF(AND(Tabla__192.168.1.8_POSEIDONSQL_APPFVT_01_tblFillRateFechas[[#This Row],[Valida Cant]]=1,Tabla__192.168.1.8_POSEIDONSQL_APPFVT_01_tblFillRateFechas[[#This Row],[Valida Fec]]=1),1,0)</f>
        <v>1</v>
      </c>
      <c r="P1239" s="1">
        <f>+(Tabla__192.168.1.8_POSEIDONSQL_APPFVT_01_tblFillRateFechas[[#This Row],[Cant_Resultante]]/Tabla__192.168.1.8_POSEIDONSQL_APPFVT_01_tblFillRateFechas[[#This Row],[cant_order]])*100</f>
        <v>100</v>
      </c>
      <c r="Q12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39" s="1">
        <f>+IF(Tabla__192.168.1.8_POSEIDONSQL_APPFVT_01_tblFillRateFechas[[#This Row],[cant_order]]&gt;0,1,0)</f>
        <v>1</v>
      </c>
      <c r="V1239" s="1">
        <f>+IF(Tabla__192.168.1.8_POSEIDONSQL_APPFVT_01_tblFillRateFechas[[#This Row],[Resultado]]=1,1,0)</f>
        <v>1</v>
      </c>
      <c r="W1239" s="1" t="str">
        <f>+Tabla__192.168.1.8_POSEIDONSQL_APPFVT_01_tblFillRateFechas[[#This Row],[con_ocnumero]]&amp;Tabla__192.168.1.8_POSEIDONSQL_APPFVT_01_tblFillRateFechas[[#This Row],[con_codigounico]]</f>
        <v>91952650390050000695823860101</v>
      </c>
      <c r="X12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0" spans="1:24" x14ac:dyDescent="0.25">
      <c r="A1240">
        <v>9</v>
      </c>
      <c r="B1240" t="s">
        <v>48</v>
      </c>
      <c r="C1240">
        <v>9195265</v>
      </c>
      <c r="D1240" t="s">
        <v>1973</v>
      </c>
      <c r="E1240" t="s">
        <v>163</v>
      </c>
      <c r="F1240" t="s">
        <v>1963</v>
      </c>
      <c r="G1240">
        <v>1</v>
      </c>
      <c r="H1240">
        <v>1</v>
      </c>
      <c r="I1240" t="s">
        <v>163</v>
      </c>
      <c r="J1240">
        <v>0</v>
      </c>
      <c r="K1240" t="s">
        <v>1818</v>
      </c>
      <c r="L1240" s="1">
        <f>+Tabla__192.168.1.8_POSEIDONSQL_APPFVT_01_tblFillRateFechas[[#This Row],[emb_cantidad]]-Tabla__192.168.1.8_POSEIDONSQL_APPFVT_01_tblFillRateFechas[[#This Row],[dev_cantidad]]</f>
        <v>1</v>
      </c>
      <c r="M1240" s="1">
        <f>+IF(Tabla__192.168.1.8_POSEIDONSQL_APPFVT_01_tblFillRateFechas[[#This Row],[Cant_Resultante]]=Tabla__192.168.1.8_POSEIDONSQL_APPFVT_01_tblFillRateFechas[[#This Row],[cant_order]],1,0)</f>
        <v>1</v>
      </c>
      <c r="N12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0" s="1">
        <f>+IF(AND(Tabla__192.168.1.8_POSEIDONSQL_APPFVT_01_tblFillRateFechas[[#This Row],[Valida Cant]]=1,Tabla__192.168.1.8_POSEIDONSQL_APPFVT_01_tblFillRateFechas[[#This Row],[Valida Fec]]=1),1,0)</f>
        <v>1</v>
      </c>
      <c r="P1240" s="1">
        <f>+(Tabla__192.168.1.8_POSEIDONSQL_APPFVT_01_tblFillRateFechas[[#This Row],[Cant_Resultante]]/Tabla__192.168.1.8_POSEIDONSQL_APPFVT_01_tblFillRateFechas[[#This Row],[cant_order]])*100</f>
        <v>100</v>
      </c>
      <c r="Q12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0" s="1">
        <f>+IF(Tabla__192.168.1.8_POSEIDONSQL_APPFVT_01_tblFillRateFechas[[#This Row],[cant_order]]&gt;0,1,0)</f>
        <v>1</v>
      </c>
      <c r="V1240" s="1">
        <f>+IF(Tabla__192.168.1.8_POSEIDONSQL_APPFVT_01_tblFillRateFechas[[#This Row],[Resultado]]=1,1,0)</f>
        <v>1</v>
      </c>
      <c r="W1240" s="1" t="str">
        <f>+Tabla__192.168.1.8_POSEIDONSQL_APPFVT_01_tblFillRateFechas[[#This Row],[con_ocnumero]]&amp;Tabla__192.168.1.8_POSEIDONSQL_APPFVT_01_tblFillRateFechas[[#This Row],[con_codigounico]]</f>
        <v>91952650390050000695848890101</v>
      </c>
      <c r="X12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1" spans="1:24" x14ac:dyDescent="0.25">
      <c r="A1241">
        <v>9</v>
      </c>
      <c r="B1241" t="s">
        <v>48</v>
      </c>
      <c r="C1241">
        <v>9195424</v>
      </c>
      <c r="D1241" t="s">
        <v>1973</v>
      </c>
      <c r="E1241" t="s">
        <v>163</v>
      </c>
      <c r="F1241" t="s">
        <v>1963</v>
      </c>
      <c r="G1241">
        <v>1</v>
      </c>
      <c r="H1241">
        <v>1</v>
      </c>
      <c r="I1241" t="s">
        <v>163</v>
      </c>
      <c r="J1241">
        <v>0</v>
      </c>
      <c r="K1241" t="s">
        <v>1825</v>
      </c>
      <c r="L1241" s="1">
        <f>+Tabla__192.168.1.8_POSEIDONSQL_APPFVT_01_tblFillRateFechas[[#This Row],[emb_cantidad]]-Tabla__192.168.1.8_POSEIDONSQL_APPFVT_01_tblFillRateFechas[[#This Row],[dev_cantidad]]</f>
        <v>1</v>
      </c>
      <c r="M1241" s="1">
        <f>+IF(Tabla__192.168.1.8_POSEIDONSQL_APPFVT_01_tblFillRateFechas[[#This Row],[Cant_Resultante]]=Tabla__192.168.1.8_POSEIDONSQL_APPFVT_01_tblFillRateFechas[[#This Row],[cant_order]],1,0)</f>
        <v>1</v>
      </c>
      <c r="N12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1" s="1">
        <f>+IF(AND(Tabla__192.168.1.8_POSEIDONSQL_APPFVT_01_tblFillRateFechas[[#This Row],[Valida Cant]]=1,Tabla__192.168.1.8_POSEIDONSQL_APPFVT_01_tblFillRateFechas[[#This Row],[Valida Fec]]=1),1,0)</f>
        <v>1</v>
      </c>
      <c r="P1241" s="1">
        <f>+(Tabla__192.168.1.8_POSEIDONSQL_APPFVT_01_tblFillRateFechas[[#This Row],[Cant_Resultante]]/Tabla__192.168.1.8_POSEIDONSQL_APPFVT_01_tblFillRateFechas[[#This Row],[cant_order]])*100</f>
        <v>100</v>
      </c>
      <c r="Q12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1" s="1">
        <f>+IF(Tabla__192.168.1.8_POSEIDONSQL_APPFVT_01_tblFillRateFechas[[#This Row],[cant_order]]&gt;0,1,0)</f>
        <v>1</v>
      </c>
      <c r="V1241" s="1">
        <f>+IF(Tabla__192.168.1.8_POSEIDONSQL_APPFVT_01_tblFillRateFechas[[#This Row],[Resultado]]=1,1,0)</f>
        <v>1</v>
      </c>
      <c r="W1241" s="1" t="str">
        <f>+Tabla__192.168.1.8_POSEIDONSQL_APPFVT_01_tblFillRateFechas[[#This Row],[con_ocnumero]]&amp;Tabla__192.168.1.8_POSEIDONSQL_APPFVT_01_tblFillRateFechas[[#This Row],[con_codigounico]]</f>
        <v>91954240390050000695857570101</v>
      </c>
      <c r="X12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2" spans="1:24" x14ac:dyDescent="0.25">
      <c r="A1242">
        <v>9</v>
      </c>
      <c r="B1242" t="s">
        <v>48</v>
      </c>
      <c r="C1242">
        <v>9195265</v>
      </c>
      <c r="D1242" t="s">
        <v>1973</v>
      </c>
      <c r="E1242" t="s">
        <v>426</v>
      </c>
      <c r="F1242" t="s">
        <v>1963</v>
      </c>
      <c r="G1242">
        <v>1</v>
      </c>
      <c r="H1242">
        <v>1</v>
      </c>
      <c r="I1242" t="s">
        <v>426</v>
      </c>
      <c r="J1242">
        <v>0</v>
      </c>
      <c r="K1242" t="s">
        <v>1175</v>
      </c>
      <c r="L1242" s="1">
        <f>+Tabla__192.168.1.8_POSEIDONSQL_APPFVT_01_tblFillRateFechas[[#This Row],[emb_cantidad]]-Tabla__192.168.1.8_POSEIDONSQL_APPFVT_01_tblFillRateFechas[[#This Row],[dev_cantidad]]</f>
        <v>1</v>
      </c>
      <c r="M1242" s="1">
        <f>+IF(Tabla__192.168.1.8_POSEIDONSQL_APPFVT_01_tblFillRateFechas[[#This Row],[Cant_Resultante]]=Tabla__192.168.1.8_POSEIDONSQL_APPFVT_01_tblFillRateFechas[[#This Row],[cant_order]],1,0)</f>
        <v>1</v>
      </c>
      <c r="N12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2" s="1">
        <f>+IF(AND(Tabla__192.168.1.8_POSEIDONSQL_APPFVT_01_tblFillRateFechas[[#This Row],[Valida Cant]]=1,Tabla__192.168.1.8_POSEIDONSQL_APPFVT_01_tblFillRateFechas[[#This Row],[Valida Fec]]=1),1,0)</f>
        <v>1</v>
      </c>
      <c r="P1242" s="1">
        <f>+(Tabla__192.168.1.8_POSEIDONSQL_APPFVT_01_tblFillRateFechas[[#This Row],[Cant_Resultante]]/Tabla__192.168.1.8_POSEIDONSQL_APPFVT_01_tblFillRateFechas[[#This Row],[cant_order]])*100</f>
        <v>100</v>
      </c>
      <c r="Q12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2" s="1">
        <f>+IF(Tabla__192.168.1.8_POSEIDONSQL_APPFVT_01_tblFillRateFechas[[#This Row],[cant_order]]&gt;0,1,0)</f>
        <v>1</v>
      </c>
      <c r="V1242" s="1">
        <f>+IF(Tabla__192.168.1.8_POSEIDONSQL_APPFVT_01_tblFillRateFechas[[#This Row],[Resultado]]=1,1,0)</f>
        <v>1</v>
      </c>
      <c r="W1242" s="1" t="str">
        <f>+Tabla__192.168.1.8_POSEIDONSQL_APPFVT_01_tblFillRateFechas[[#This Row],[con_ocnumero]]&amp;Tabla__192.168.1.8_POSEIDONSQL_APPFVT_01_tblFillRateFechas[[#This Row],[con_codigounico]]</f>
        <v>91952650390050000695858770101</v>
      </c>
      <c r="X12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3" spans="1:24" x14ac:dyDescent="0.25">
      <c r="A1243">
        <v>9</v>
      </c>
      <c r="B1243" t="s">
        <v>48</v>
      </c>
      <c r="C1243">
        <v>9195265</v>
      </c>
      <c r="D1243" t="s">
        <v>1973</v>
      </c>
      <c r="E1243" t="s">
        <v>163</v>
      </c>
      <c r="F1243" t="s">
        <v>1963</v>
      </c>
      <c r="G1243">
        <v>1</v>
      </c>
      <c r="H1243">
        <v>1</v>
      </c>
      <c r="I1243" t="s">
        <v>163</v>
      </c>
      <c r="J1243">
        <v>0</v>
      </c>
      <c r="K1243" t="s">
        <v>1820</v>
      </c>
      <c r="L1243" s="1">
        <f>+Tabla__192.168.1.8_POSEIDONSQL_APPFVT_01_tblFillRateFechas[[#This Row],[emb_cantidad]]-Tabla__192.168.1.8_POSEIDONSQL_APPFVT_01_tblFillRateFechas[[#This Row],[dev_cantidad]]</f>
        <v>1</v>
      </c>
      <c r="M1243" s="1">
        <f>+IF(Tabla__192.168.1.8_POSEIDONSQL_APPFVT_01_tblFillRateFechas[[#This Row],[Cant_Resultante]]=Tabla__192.168.1.8_POSEIDONSQL_APPFVT_01_tblFillRateFechas[[#This Row],[cant_order]],1,0)</f>
        <v>1</v>
      </c>
      <c r="N12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3" s="1">
        <f>+IF(AND(Tabla__192.168.1.8_POSEIDONSQL_APPFVT_01_tblFillRateFechas[[#This Row],[Valida Cant]]=1,Tabla__192.168.1.8_POSEIDONSQL_APPFVT_01_tblFillRateFechas[[#This Row],[Valida Fec]]=1),1,0)</f>
        <v>1</v>
      </c>
      <c r="P1243" s="1">
        <f>+(Tabla__192.168.1.8_POSEIDONSQL_APPFVT_01_tblFillRateFechas[[#This Row],[Cant_Resultante]]/Tabla__192.168.1.8_POSEIDONSQL_APPFVT_01_tblFillRateFechas[[#This Row],[cant_order]])*100</f>
        <v>100</v>
      </c>
      <c r="Q12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3" s="1">
        <f>+IF(Tabla__192.168.1.8_POSEIDONSQL_APPFVT_01_tblFillRateFechas[[#This Row],[cant_order]]&gt;0,1,0)</f>
        <v>1</v>
      </c>
      <c r="V1243" s="1">
        <f>+IF(Tabla__192.168.1.8_POSEIDONSQL_APPFVT_01_tblFillRateFechas[[#This Row],[Resultado]]=1,1,0)</f>
        <v>1</v>
      </c>
      <c r="W1243" s="1" t="str">
        <f>+Tabla__192.168.1.8_POSEIDONSQL_APPFVT_01_tblFillRateFechas[[#This Row],[con_ocnumero]]&amp;Tabla__192.168.1.8_POSEIDONSQL_APPFVT_01_tblFillRateFechas[[#This Row],[con_codigounico]]</f>
        <v>91952650390050000695862240101</v>
      </c>
      <c r="X12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4" spans="1:24" x14ac:dyDescent="0.25">
      <c r="A1244">
        <v>9</v>
      </c>
      <c r="B1244" t="s">
        <v>48</v>
      </c>
      <c r="C1244">
        <v>9195424</v>
      </c>
      <c r="D1244" t="s">
        <v>1973</v>
      </c>
      <c r="E1244" t="s">
        <v>163</v>
      </c>
      <c r="F1244" t="s">
        <v>1963</v>
      </c>
      <c r="G1244">
        <v>1</v>
      </c>
      <c r="H1244">
        <v>1</v>
      </c>
      <c r="I1244" t="s">
        <v>163</v>
      </c>
      <c r="J1244">
        <v>0</v>
      </c>
      <c r="K1244" t="s">
        <v>1822</v>
      </c>
      <c r="L1244" s="1">
        <f>+Tabla__192.168.1.8_POSEIDONSQL_APPFVT_01_tblFillRateFechas[[#This Row],[emb_cantidad]]-Tabla__192.168.1.8_POSEIDONSQL_APPFVT_01_tblFillRateFechas[[#This Row],[dev_cantidad]]</f>
        <v>1</v>
      </c>
      <c r="M1244" s="1">
        <f>+IF(Tabla__192.168.1.8_POSEIDONSQL_APPFVT_01_tblFillRateFechas[[#This Row],[Cant_Resultante]]=Tabla__192.168.1.8_POSEIDONSQL_APPFVT_01_tblFillRateFechas[[#This Row],[cant_order]],1,0)</f>
        <v>1</v>
      </c>
      <c r="N12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4" s="1">
        <f>+IF(AND(Tabla__192.168.1.8_POSEIDONSQL_APPFVT_01_tblFillRateFechas[[#This Row],[Valida Cant]]=1,Tabla__192.168.1.8_POSEIDONSQL_APPFVT_01_tblFillRateFechas[[#This Row],[Valida Fec]]=1),1,0)</f>
        <v>1</v>
      </c>
      <c r="P1244" s="1">
        <f>+(Tabla__192.168.1.8_POSEIDONSQL_APPFVT_01_tblFillRateFechas[[#This Row],[Cant_Resultante]]/Tabla__192.168.1.8_POSEIDONSQL_APPFVT_01_tblFillRateFechas[[#This Row],[cant_order]])*100</f>
        <v>100</v>
      </c>
      <c r="Q12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4" s="1">
        <f>+IF(Tabla__192.168.1.8_POSEIDONSQL_APPFVT_01_tblFillRateFechas[[#This Row],[cant_order]]&gt;0,1,0)</f>
        <v>1</v>
      </c>
      <c r="V1244" s="1">
        <f>+IF(Tabla__192.168.1.8_POSEIDONSQL_APPFVT_01_tblFillRateFechas[[#This Row],[Resultado]]=1,1,0)</f>
        <v>1</v>
      </c>
      <c r="W1244" s="1" t="str">
        <f>+Tabla__192.168.1.8_POSEIDONSQL_APPFVT_01_tblFillRateFechas[[#This Row],[con_ocnumero]]&amp;Tabla__192.168.1.8_POSEIDONSQL_APPFVT_01_tblFillRateFechas[[#This Row],[con_codigounico]]</f>
        <v>91954240390050000695907820101</v>
      </c>
      <c r="X12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5" spans="1:24" x14ac:dyDescent="0.25">
      <c r="A1245">
        <v>9</v>
      </c>
      <c r="B1245" t="s">
        <v>48</v>
      </c>
      <c r="C1245">
        <v>9195424</v>
      </c>
      <c r="D1245" t="s">
        <v>1963</v>
      </c>
      <c r="E1245" t="s">
        <v>163</v>
      </c>
      <c r="F1245" t="s">
        <v>1963</v>
      </c>
      <c r="G1245">
        <v>1</v>
      </c>
      <c r="H1245">
        <v>1</v>
      </c>
      <c r="I1245" t="s">
        <v>163</v>
      </c>
      <c r="J1245">
        <v>0</v>
      </c>
      <c r="K1245" t="s">
        <v>1826</v>
      </c>
      <c r="L1245" s="1">
        <f>+Tabla__192.168.1.8_POSEIDONSQL_APPFVT_01_tblFillRateFechas[[#This Row],[emb_cantidad]]-Tabla__192.168.1.8_POSEIDONSQL_APPFVT_01_tblFillRateFechas[[#This Row],[dev_cantidad]]</f>
        <v>1</v>
      </c>
      <c r="M1245" s="1">
        <f>+IF(Tabla__192.168.1.8_POSEIDONSQL_APPFVT_01_tblFillRateFechas[[#This Row],[Cant_Resultante]]=Tabla__192.168.1.8_POSEIDONSQL_APPFVT_01_tblFillRateFechas[[#This Row],[cant_order]],1,0)</f>
        <v>1</v>
      </c>
      <c r="N12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5" s="1">
        <f>+IF(AND(Tabla__192.168.1.8_POSEIDONSQL_APPFVT_01_tblFillRateFechas[[#This Row],[Valida Cant]]=1,Tabla__192.168.1.8_POSEIDONSQL_APPFVT_01_tblFillRateFechas[[#This Row],[Valida Fec]]=1),1,0)</f>
        <v>1</v>
      </c>
      <c r="P1245" s="1">
        <f>+(Tabla__192.168.1.8_POSEIDONSQL_APPFVT_01_tblFillRateFechas[[#This Row],[Cant_Resultante]]/Tabla__192.168.1.8_POSEIDONSQL_APPFVT_01_tblFillRateFechas[[#This Row],[cant_order]])*100</f>
        <v>100</v>
      </c>
      <c r="Q12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5" s="1">
        <f>+IF(Tabla__192.168.1.8_POSEIDONSQL_APPFVT_01_tblFillRateFechas[[#This Row],[cant_order]]&gt;0,1,0)</f>
        <v>1</v>
      </c>
      <c r="V1245" s="1">
        <f>+IF(Tabla__192.168.1.8_POSEIDONSQL_APPFVT_01_tblFillRateFechas[[#This Row],[Resultado]]=1,1,0)</f>
        <v>1</v>
      </c>
      <c r="W1245" s="1" t="str">
        <f>+Tabla__192.168.1.8_POSEIDONSQL_APPFVT_01_tblFillRateFechas[[#This Row],[con_ocnumero]]&amp;Tabla__192.168.1.8_POSEIDONSQL_APPFVT_01_tblFillRateFechas[[#This Row],[con_codigounico]]</f>
        <v>91954240390050000696032150102</v>
      </c>
      <c r="X12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6" spans="1:24" x14ac:dyDescent="0.25">
      <c r="A1246">
        <v>9</v>
      </c>
      <c r="B1246" t="s">
        <v>48</v>
      </c>
      <c r="C1246">
        <v>9195424</v>
      </c>
      <c r="D1246" t="s">
        <v>1963</v>
      </c>
      <c r="E1246" t="s">
        <v>163</v>
      </c>
      <c r="F1246" t="s">
        <v>1963</v>
      </c>
      <c r="G1246">
        <v>1</v>
      </c>
      <c r="H1246">
        <v>1</v>
      </c>
      <c r="I1246" t="s">
        <v>163</v>
      </c>
      <c r="J1246">
        <v>0</v>
      </c>
      <c r="K1246" t="s">
        <v>1823</v>
      </c>
      <c r="L1246" s="1">
        <f>+Tabla__192.168.1.8_POSEIDONSQL_APPFVT_01_tblFillRateFechas[[#This Row],[emb_cantidad]]-Tabla__192.168.1.8_POSEIDONSQL_APPFVT_01_tblFillRateFechas[[#This Row],[dev_cantidad]]</f>
        <v>1</v>
      </c>
      <c r="M1246" s="1">
        <f>+IF(Tabla__192.168.1.8_POSEIDONSQL_APPFVT_01_tblFillRateFechas[[#This Row],[Cant_Resultante]]=Tabla__192.168.1.8_POSEIDONSQL_APPFVT_01_tblFillRateFechas[[#This Row],[cant_order]],1,0)</f>
        <v>1</v>
      </c>
      <c r="N12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6" s="1">
        <f>+IF(AND(Tabla__192.168.1.8_POSEIDONSQL_APPFVT_01_tblFillRateFechas[[#This Row],[Valida Cant]]=1,Tabla__192.168.1.8_POSEIDONSQL_APPFVT_01_tblFillRateFechas[[#This Row],[Valida Fec]]=1),1,0)</f>
        <v>1</v>
      </c>
      <c r="P1246" s="1">
        <f>+(Tabla__192.168.1.8_POSEIDONSQL_APPFVT_01_tblFillRateFechas[[#This Row],[Cant_Resultante]]/Tabla__192.168.1.8_POSEIDONSQL_APPFVT_01_tblFillRateFechas[[#This Row],[cant_order]])*100</f>
        <v>100</v>
      </c>
      <c r="Q12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6" s="1">
        <f>+IF(Tabla__192.168.1.8_POSEIDONSQL_APPFVT_01_tblFillRateFechas[[#This Row],[cant_order]]&gt;0,1,0)</f>
        <v>1</v>
      </c>
      <c r="V1246" s="1">
        <f>+IF(Tabla__192.168.1.8_POSEIDONSQL_APPFVT_01_tblFillRateFechas[[#This Row],[Resultado]]=1,1,0)</f>
        <v>1</v>
      </c>
      <c r="W1246" s="1" t="str">
        <f>+Tabla__192.168.1.8_POSEIDONSQL_APPFVT_01_tblFillRateFechas[[#This Row],[con_ocnumero]]&amp;Tabla__192.168.1.8_POSEIDONSQL_APPFVT_01_tblFillRateFechas[[#This Row],[con_codigounico]]</f>
        <v>91954240390050000696035430101</v>
      </c>
      <c r="X12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7" spans="1:24" x14ac:dyDescent="0.25">
      <c r="A1247">
        <v>9</v>
      </c>
      <c r="B1247" t="s">
        <v>48</v>
      </c>
      <c r="C1247">
        <v>9195542</v>
      </c>
      <c r="D1247" t="s">
        <v>1963</v>
      </c>
      <c r="E1247" t="s">
        <v>163</v>
      </c>
      <c r="F1247" t="s">
        <v>162</v>
      </c>
      <c r="G1247">
        <v>1</v>
      </c>
      <c r="H1247">
        <v>1</v>
      </c>
      <c r="I1247" t="s">
        <v>163</v>
      </c>
      <c r="J1247">
        <v>0</v>
      </c>
      <c r="K1247" t="s">
        <v>841</v>
      </c>
      <c r="L1247" s="1">
        <f>+Tabla__192.168.1.8_POSEIDONSQL_APPFVT_01_tblFillRateFechas[[#This Row],[emb_cantidad]]-Tabla__192.168.1.8_POSEIDONSQL_APPFVT_01_tblFillRateFechas[[#This Row],[dev_cantidad]]</f>
        <v>1</v>
      </c>
      <c r="M1247" s="1">
        <f>+IF(Tabla__192.168.1.8_POSEIDONSQL_APPFVT_01_tblFillRateFechas[[#This Row],[Cant_Resultante]]=Tabla__192.168.1.8_POSEIDONSQL_APPFVT_01_tblFillRateFechas[[#This Row],[cant_order]],1,0)</f>
        <v>1</v>
      </c>
      <c r="N12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7" s="1">
        <f>+IF(AND(Tabla__192.168.1.8_POSEIDONSQL_APPFVT_01_tblFillRateFechas[[#This Row],[Valida Cant]]=1,Tabla__192.168.1.8_POSEIDONSQL_APPFVT_01_tblFillRateFechas[[#This Row],[Valida Fec]]=1),1,0)</f>
        <v>1</v>
      </c>
      <c r="P1247" s="1">
        <f>+(Tabla__192.168.1.8_POSEIDONSQL_APPFVT_01_tblFillRateFechas[[#This Row],[Cant_Resultante]]/Tabla__192.168.1.8_POSEIDONSQL_APPFVT_01_tblFillRateFechas[[#This Row],[cant_order]])*100</f>
        <v>100</v>
      </c>
      <c r="Q12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7" s="1">
        <f>+IF(Tabla__192.168.1.8_POSEIDONSQL_APPFVT_01_tblFillRateFechas[[#This Row],[cant_order]]&gt;0,1,0)</f>
        <v>1</v>
      </c>
      <c r="V1247" s="1">
        <f>+IF(Tabla__192.168.1.8_POSEIDONSQL_APPFVT_01_tblFillRateFechas[[#This Row],[Resultado]]=1,1,0)</f>
        <v>1</v>
      </c>
      <c r="W1247" s="1" t="str">
        <f>+Tabla__192.168.1.8_POSEIDONSQL_APPFVT_01_tblFillRateFechas[[#This Row],[con_ocnumero]]&amp;Tabla__192.168.1.8_POSEIDONSQL_APPFVT_01_tblFillRateFechas[[#This Row],[con_codigounico]]</f>
        <v>91955420390050000696040850101</v>
      </c>
      <c r="X12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8" spans="1:24" x14ac:dyDescent="0.25">
      <c r="A1248">
        <v>9</v>
      </c>
      <c r="B1248" t="s">
        <v>48</v>
      </c>
      <c r="C1248">
        <v>9195424</v>
      </c>
      <c r="D1248" t="s">
        <v>1963</v>
      </c>
      <c r="E1248" t="s">
        <v>163</v>
      </c>
      <c r="F1248" t="s">
        <v>1963</v>
      </c>
      <c r="G1248">
        <v>1</v>
      </c>
      <c r="H1248">
        <v>1</v>
      </c>
      <c r="I1248" t="s">
        <v>163</v>
      </c>
      <c r="J1248">
        <v>0</v>
      </c>
      <c r="K1248" t="s">
        <v>1824</v>
      </c>
      <c r="L1248" s="1">
        <f>+Tabla__192.168.1.8_POSEIDONSQL_APPFVT_01_tblFillRateFechas[[#This Row],[emb_cantidad]]-Tabla__192.168.1.8_POSEIDONSQL_APPFVT_01_tblFillRateFechas[[#This Row],[dev_cantidad]]</f>
        <v>1</v>
      </c>
      <c r="M1248" s="1">
        <f>+IF(Tabla__192.168.1.8_POSEIDONSQL_APPFVT_01_tblFillRateFechas[[#This Row],[Cant_Resultante]]=Tabla__192.168.1.8_POSEIDONSQL_APPFVT_01_tblFillRateFechas[[#This Row],[cant_order]],1,0)</f>
        <v>1</v>
      </c>
      <c r="N12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8" s="1">
        <f>+IF(AND(Tabla__192.168.1.8_POSEIDONSQL_APPFVT_01_tblFillRateFechas[[#This Row],[Valida Cant]]=1,Tabla__192.168.1.8_POSEIDONSQL_APPFVT_01_tblFillRateFechas[[#This Row],[Valida Fec]]=1),1,0)</f>
        <v>1</v>
      </c>
      <c r="P1248" s="1">
        <f>+(Tabla__192.168.1.8_POSEIDONSQL_APPFVT_01_tblFillRateFechas[[#This Row],[Cant_Resultante]]/Tabla__192.168.1.8_POSEIDONSQL_APPFVT_01_tblFillRateFechas[[#This Row],[cant_order]])*100</f>
        <v>100</v>
      </c>
      <c r="Q12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8" s="1">
        <f>+IF(Tabla__192.168.1.8_POSEIDONSQL_APPFVT_01_tblFillRateFechas[[#This Row],[cant_order]]&gt;0,1,0)</f>
        <v>1</v>
      </c>
      <c r="V1248" s="1">
        <f>+IF(Tabla__192.168.1.8_POSEIDONSQL_APPFVT_01_tblFillRateFechas[[#This Row],[Resultado]]=1,1,0)</f>
        <v>1</v>
      </c>
      <c r="W1248" s="1" t="str">
        <f>+Tabla__192.168.1.8_POSEIDONSQL_APPFVT_01_tblFillRateFechas[[#This Row],[con_ocnumero]]&amp;Tabla__192.168.1.8_POSEIDONSQL_APPFVT_01_tblFillRateFechas[[#This Row],[con_codigounico]]</f>
        <v>91954240390050000696043400101</v>
      </c>
      <c r="X12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49" spans="1:24" x14ac:dyDescent="0.25">
      <c r="A1249">
        <v>9</v>
      </c>
      <c r="B1249" t="s">
        <v>48</v>
      </c>
      <c r="C1249">
        <v>9195542</v>
      </c>
      <c r="D1249" t="s">
        <v>1963</v>
      </c>
      <c r="E1249" t="s">
        <v>163</v>
      </c>
      <c r="F1249" t="s">
        <v>162</v>
      </c>
      <c r="G1249">
        <v>1</v>
      </c>
      <c r="H1249">
        <v>1</v>
      </c>
      <c r="I1249" t="s">
        <v>163</v>
      </c>
      <c r="J1249">
        <v>0</v>
      </c>
      <c r="K1249" t="s">
        <v>842</v>
      </c>
      <c r="L1249" s="1">
        <f>+Tabla__192.168.1.8_POSEIDONSQL_APPFVT_01_tblFillRateFechas[[#This Row],[emb_cantidad]]-Tabla__192.168.1.8_POSEIDONSQL_APPFVT_01_tblFillRateFechas[[#This Row],[dev_cantidad]]</f>
        <v>1</v>
      </c>
      <c r="M1249" s="1">
        <f>+IF(Tabla__192.168.1.8_POSEIDONSQL_APPFVT_01_tblFillRateFechas[[#This Row],[Cant_Resultante]]=Tabla__192.168.1.8_POSEIDONSQL_APPFVT_01_tblFillRateFechas[[#This Row],[cant_order]],1,0)</f>
        <v>1</v>
      </c>
      <c r="N12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49" s="1">
        <f>+IF(AND(Tabla__192.168.1.8_POSEIDONSQL_APPFVT_01_tblFillRateFechas[[#This Row],[Valida Cant]]=1,Tabla__192.168.1.8_POSEIDONSQL_APPFVT_01_tblFillRateFechas[[#This Row],[Valida Fec]]=1),1,0)</f>
        <v>1</v>
      </c>
      <c r="P1249" s="1">
        <f>+(Tabla__192.168.1.8_POSEIDONSQL_APPFVT_01_tblFillRateFechas[[#This Row],[Cant_Resultante]]/Tabla__192.168.1.8_POSEIDONSQL_APPFVT_01_tblFillRateFechas[[#This Row],[cant_order]])*100</f>
        <v>100</v>
      </c>
      <c r="Q12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49" s="1">
        <f>+IF(Tabla__192.168.1.8_POSEIDONSQL_APPFVT_01_tblFillRateFechas[[#This Row],[cant_order]]&gt;0,1,0)</f>
        <v>1</v>
      </c>
      <c r="V1249" s="1">
        <f>+IF(Tabla__192.168.1.8_POSEIDONSQL_APPFVT_01_tblFillRateFechas[[#This Row],[Resultado]]=1,1,0)</f>
        <v>1</v>
      </c>
      <c r="W1249" s="1" t="str">
        <f>+Tabla__192.168.1.8_POSEIDONSQL_APPFVT_01_tblFillRateFechas[[#This Row],[con_ocnumero]]&amp;Tabla__192.168.1.8_POSEIDONSQL_APPFVT_01_tblFillRateFechas[[#This Row],[con_codigounico]]</f>
        <v>91955420390050000696080740101</v>
      </c>
      <c r="X12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0" spans="1:24" x14ac:dyDescent="0.25">
      <c r="A1250">
        <v>9</v>
      </c>
      <c r="B1250" t="s">
        <v>48</v>
      </c>
      <c r="C1250">
        <v>9195683</v>
      </c>
      <c r="D1250" t="s">
        <v>1963</v>
      </c>
      <c r="E1250" t="s">
        <v>163</v>
      </c>
      <c r="F1250" t="s">
        <v>162</v>
      </c>
      <c r="G1250">
        <v>1</v>
      </c>
      <c r="H1250">
        <v>1</v>
      </c>
      <c r="I1250" t="s">
        <v>163</v>
      </c>
      <c r="J1250">
        <v>0</v>
      </c>
      <c r="K1250" t="s">
        <v>843</v>
      </c>
      <c r="L1250" s="1">
        <f>+Tabla__192.168.1.8_POSEIDONSQL_APPFVT_01_tblFillRateFechas[[#This Row],[emb_cantidad]]-Tabla__192.168.1.8_POSEIDONSQL_APPFVT_01_tblFillRateFechas[[#This Row],[dev_cantidad]]</f>
        <v>1</v>
      </c>
      <c r="M1250" s="1">
        <f>+IF(Tabla__192.168.1.8_POSEIDONSQL_APPFVT_01_tblFillRateFechas[[#This Row],[Cant_Resultante]]=Tabla__192.168.1.8_POSEIDONSQL_APPFVT_01_tblFillRateFechas[[#This Row],[cant_order]],1,0)</f>
        <v>1</v>
      </c>
      <c r="N12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0" s="1">
        <f>+IF(AND(Tabla__192.168.1.8_POSEIDONSQL_APPFVT_01_tblFillRateFechas[[#This Row],[Valida Cant]]=1,Tabla__192.168.1.8_POSEIDONSQL_APPFVT_01_tblFillRateFechas[[#This Row],[Valida Fec]]=1),1,0)</f>
        <v>1</v>
      </c>
      <c r="P1250" s="1">
        <f>+(Tabla__192.168.1.8_POSEIDONSQL_APPFVT_01_tblFillRateFechas[[#This Row],[Cant_Resultante]]/Tabla__192.168.1.8_POSEIDONSQL_APPFVT_01_tblFillRateFechas[[#This Row],[cant_order]])*100</f>
        <v>100</v>
      </c>
      <c r="Q12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0" s="1">
        <f>+IF(Tabla__192.168.1.8_POSEIDONSQL_APPFVT_01_tblFillRateFechas[[#This Row],[cant_order]]&gt;0,1,0)</f>
        <v>1</v>
      </c>
      <c r="V1250" s="1">
        <f>+IF(Tabla__192.168.1.8_POSEIDONSQL_APPFVT_01_tblFillRateFechas[[#This Row],[Resultado]]=1,1,0)</f>
        <v>1</v>
      </c>
      <c r="W1250" s="1" t="str">
        <f>+Tabla__192.168.1.8_POSEIDONSQL_APPFVT_01_tblFillRateFechas[[#This Row],[con_ocnumero]]&amp;Tabla__192.168.1.8_POSEIDONSQL_APPFVT_01_tblFillRateFechas[[#This Row],[con_codigounico]]</f>
        <v>91956830390050000696204820101</v>
      </c>
      <c r="X12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1" spans="1:24" x14ac:dyDescent="0.25">
      <c r="A1251">
        <v>9</v>
      </c>
      <c r="B1251" t="s">
        <v>48</v>
      </c>
      <c r="C1251">
        <v>9195790</v>
      </c>
      <c r="D1251" t="s">
        <v>1963</v>
      </c>
      <c r="E1251" t="s">
        <v>426</v>
      </c>
      <c r="F1251" t="s">
        <v>162</v>
      </c>
      <c r="G1251">
        <v>1</v>
      </c>
      <c r="H1251">
        <v>1</v>
      </c>
      <c r="I1251" t="s">
        <v>426</v>
      </c>
      <c r="J1251">
        <v>0</v>
      </c>
      <c r="K1251" t="s">
        <v>1171</v>
      </c>
      <c r="L1251" s="1">
        <f>+Tabla__192.168.1.8_POSEIDONSQL_APPFVT_01_tblFillRateFechas[[#This Row],[emb_cantidad]]-Tabla__192.168.1.8_POSEIDONSQL_APPFVT_01_tblFillRateFechas[[#This Row],[dev_cantidad]]</f>
        <v>1</v>
      </c>
      <c r="M1251" s="1">
        <f>+IF(Tabla__192.168.1.8_POSEIDONSQL_APPFVT_01_tblFillRateFechas[[#This Row],[Cant_Resultante]]=Tabla__192.168.1.8_POSEIDONSQL_APPFVT_01_tblFillRateFechas[[#This Row],[cant_order]],1,0)</f>
        <v>1</v>
      </c>
      <c r="N12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1" s="1">
        <f>+IF(AND(Tabla__192.168.1.8_POSEIDONSQL_APPFVT_01_tblFillRateFechas[[#This Row],[Valida Cant]]=1,Tabla__192.168.1.8_POSEIDONSQL_APPFVT_01_tblFillRateFechas[[#This Row],[Valida Fec]]=1),1,0)</f>
        <v>1</v>
      </c>
      <c r="P1251" s="1">
        <f>+(Tabla__192.168.1.8_POSEIDONSQL_APPFVT_01_tblFillRateFechas[[#This Row],[Cant_Resultante]]/Tabla__192.168.1.8_POSEIDONSQL_APPFVT_01_tblFillRateFechas[[#This Row],[cant_order]])*100</f>
        <v>100</v>
      </c>
      <c r="Q12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1" s="1">
        <f>+IF(Tabla__192.168.1.8_POSEIDONSQL_APPFVT_01_tblFillRateFechas[[#This Row],[cant_order]]&gt;0,1,0)</f>
        <v>1</v>
      </c>
      <c r="V1251" s="1">
        <f>+IF(Tabla__192.168.1.8_POSEIDONSQL_APPFVT_01_tblFillRateFechas[[#This Row],[Resultado]]=1,1,0)</f>
        <v>1</v>
      </c>
      <c r="W1251" s="1" t="str">
        <f>+Tabla__192.168.1.8_POSEIDONSQL_APPFVT_01_tblFillRateFechas[[#This Row],[con_ocnumero]]&amp;Tabla__192.168.1.8_POSEIDONSQL_APPFVT_01_tblFillRateFechas[[#This Row],[con_codigounico]]</f>
        <v>91957900390050000696290650101</v>
      </c>
      <c r="X12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2" spans="1:24" x14ac:dyDescent="0.25">
      <c r="A1252">
        <v>9</v>
      </c>
      <c r="B1252" t="s">
        <v>48</v>
      </c>
      <c r="C1252">
        <v>9195790</v>
      </c>
      <c r="D1252" t="s">
        <v>1963</v>
      </c>
      <c r="E1252" t="s">
        <v>163</v>
      </c>
      <c r="F1252" t="s">
        <v>162</v>
      </c>
      <c r="G1252">
        <v>1</v>
      </c>
      <c r="H1252">
        <v>1</v>
      </c>
      <c r="I1252" t="s">
        <v>163</v>
      </c>
      <c r="J1252">
        <v>0</v>
      </c>
      <c r="K1252" t="s">
        <v>844</v>
      </c>
      <c r="L1252" s="1">
        <f>+Tabla__192.168.1.8_POSEIDONSQL_APPFVT_01_tblFillRateFechas[[#This Row],[emb_cantidad]]-Tabla__192.168.1.8_POSEIDONSQL_APPFVT_01_tblFillRateFechas[[#This Row],[dev_cantidad]]</f>
        <v>1</v>
      </c>
      <c r="M1252" s="1">
        <f>+IF(Tabla__192.168.1.8_POSEIDONSQL_APPFVT_01_tblFillRateFechas[[#This Row],[Cant_Resultante]]=Tabla__192.168.1.8_POSEIDONSQL_APPFVT_01_tblFillRateFechas[[#This Row],[cant_order]],1,0)</f>
        <v>1</v>
      </c>
      <c r="N12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2" s="1">
        <f>+IF(AND(Tabla__192.168.1.8_POSEIDONSQL_APPFVT_01_tblFillRateFechas[[#This Row],[Valida Cant]]=1,Tabla__192.168.1.8_POSEIDONSQL_APPFVT_01_tblFillRateFechas[[#This Row],[Valida Fec]]=1),1,0)</f>
        <v>1</v>
      </c>
      <c r="P1252" s="1">
        <f>+(Tabla__192.168.1.8_POSEIDONSQL_APPFVT_01_tblFillRateFechas[[#This Row],[Cant_Resultante]]/Tabla__192.168.1.8_POSEIDONSQL_APPFVT_01_tblFillRateFechas[[#This Row],[cant_order]])*100</f>
        <v>100</v>
      </c>
      <c r="Q12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2" s="1">
        <f>+IF(Tabla__192.168.1.8_POSEIDONSQL_APPFVT_01_tblFillRateFechas[[#This Row],[cant_order]]&gt;0,1,0)</f>
        <v>1</v>
      </c>
      <c r="V1252" s="1">
        <f>+IF(Tabla__192.168.1.8_POSEIDONSQL_APPFVT_01_tblFillRateFechas[[#This Row],[Resultado]]=1,1,0)</f>
        <v>1</v>
      </c>
      <c r="W1252" s="1" t="str">
        <f>+Tabla__192.168.1.8_POSEIDONSQL_APPFVT_01_tblFillRateFechas[[#This Row],[con_ocnumero]]&amp;Tabla__192.168.1.8_POSEIDONSQL_APPFVT_01_tblFillRateFechas[[#This Row],[con_codigounico]]</f>
        <v>91957900390050000696294610101</v>
      </c>
      <c r="X12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3" spans="1:24" x14ac:dyDescent="0.25">
      <c r="A1253">
        <v>9</v>
      </c>
      <c r="B1253" t="s">
        <v>48</v>
      </c>
      <c r="C1253">
        <v>9195790</v>
      </c>
      <c r="D1253" t="s">
        <v>1963</v>
      </c>
      <c r="E1253" t="s">
        <v>163</v>
      </c>
      <c r="F1253" t="s">
        <v>162</v>
      </c>
      <c r="G1253">
        <v>1</v>
      </c>
      <c r="H1253">
        <v>1</v>
      </c>
      <c r="I1253" t="s">
        <v>163</v>
      </c>
      <c r="J1253">
        <v>0</v>
      </c>
      <c r="K1253" t="s">
        <v>845</v>
      </c>
      <c r="L1253" s="1">
        <f>+Tabla__192.168.1.8_POSEIDONSQL_APPFVT_01_tblFillRateFechas[[#This Row],[emb_cantidad]]-Tabla__192.168.1.8_POSEIDONSQL_APPFVT_01_tblFillRateFechas[[#This Row],[dev_cantidad]]</f>
        <v>1</v>
      </c>
      <c r="M1253" s="1">
        <f>+IF(Tabla__192.168.1.8_POSEIDONSQL_APPFVT_01_tblFillRateFechas[[#This Row],[Cant_Resultante]]=Tabla__192.168.1.8_POSEIDONSQL_APPFVT_01_tblFillRateFechas[[#This Row],[cant_order]],1,0)</f>
        <v>1</v>
      </c>
      <c r="N12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3" s="1">
        <f>+IF(AND(Tabla__192.168.1.8_POSEIDONSQL_APPFVT_01_tblFillRateFechas[[#This Row],[Valida Cant]]=1,Tabla__192.168.1.8_POSEIDONSQL_APPFVT_01_tblFillRateFechas[[#This Row],[Valida Fec]]=1),1,0)</f>
        <v>1</v>
      </c>
      <c r="P1253" s="1">
        <f>+(Tabla__192.168.1.8_POSEIDONSQL_APPFVT_01_tblFillRateFechas[[#This Row],[Cant_Resultante]]/Tabla__192.168.1.8_POSEIDONSQL_APPFVT_01_tblFillRateFechas[[#This Row],[cant_order]])*100</f>
        <v>100</v>
      </c>
      <c r="Q12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3" s="1">
        <f>+IF(Tabla__192.168.1.8_POSEIDONSQL_APPFVT_01_tblFillRateFechas[[#This Row],[cant_order]]&gt;0,1,0)</f>
        <v>1</v>
      </c>
      <c r="V1253" s="1">
        <f>+IF(Tabla__192.168.1.8_POSEIDONSQL_APPFVT_01_tblFillRateFechas[[#This Row],[Resultado]]=1,1,0)</f>
        <v>1</v>
      </c>
      <c r="W1253" s="1" t="str">
        <f>+Tabla__192.168.1.8_POSEIDONSQL_APPFVT_01_tblFillRateFechas[[#This Row],[con_ocnumero]]&amp;Tabla__192.168.1.8_POSEIDONSQL_APPFVT_01_tblFillRateFechas[[#This Row],[con_codigounico]]</f>
        <v>91957900390050000696314450101</v>
      </c>
      <c r="X12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4" spans="1:24" x14ac:dyDescent="0.25">
      <c r="A1254">
        <v>9</v>
      </c>
      <c r="B1254" t="s">
        <v>48</v>
      </c>
      <c r="C1254">
        <v>9195937</v>
      </c>
      <c r="D1254" t="s">
        <v>1963</v>
      </c>
      <c r="E1254" t="s">
        <v>163</v>
      </c>
      <c r="F1254" t="s">
        <v>162</v>
      </c>
      <c r="G1254">
        <v>1</v>
      </c>
      <c r="H1254">
        <v>1</v>
      </c>
      <c r="I1254" t="s">
        <v>163</v>
      </c>
      <c r="J1254">
        <v>0</v>
      </c>
      <c r="K1254" t="s">
        <v>848</v>
      </c>
      <c r="L1254" s="1">
        <f>+Tabla__192.168.1.8_POSEIDONSQL_APPFVT_01_tblFillRateFechas[[#This Row],[emb_cantidad]]-Tabla__192.168.1.8_POSEIDONSQL_APPFVT_01_tblFillRateFechas[[#This Row],[dev_cantidad]]</f>
        <v>1</v>
      </c>
      <c r="M1254" s="1">
        <f>+IF(Tabla__192.168.1.8_POSEIDONSQL_APPFVT_01_tblFillRateFechas[[#This Row],[Cant_Resultante]]=Tabla__192.168.1.8_POSEIDONSQL_APPFVT_01_tblFillRateFechas[[#This Row],[cant_order]],1,0)</f>
        <v>1</v>
      </c>
      <c r="N12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4" s="1">
        <f>+IF(AND(Tabla__192.168.1.8_POSEIDONSQL_APPFVT_01_tblFillRateFechas[[#This Row],[Valida Cant]]=1,Tabla__192.168.1.8_POSEIDONSQL_APPFVT_01_tblFillRateFechas[[#This Row],[Valida Fec]]=1),1,0)</f>
        <v>1</v>
      </c>
      <c r="P1254" s="1">
        <f>+(Tabla__192.168.1.8_POSEIDONSQL_APPFVT_01_tblFillRateFechas[[#This Row],[Cant_Resultante]]/Tabla__192.168.1.8_POSEIDONSQL_APPFVT_01_tblFillRateFechas[[#This Row],[cant_order]])*100</f>
        <v>100</v>
      </c>
      <c r="Q12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4" s="1">
        <f>+IF(Tabla__192.168.1.8_POSEIDONSQL_APPFVT_01_tblFillRateFechas[[#This Row],[cant_order]]&gt;0,1,0)</f>
        <v>1</v>
      </c>
      <c r="V1254" s="1">
        <f>+IF(Tabla__192.168.1.8_POSEIDONSQL_APPFVT_01_tblFillRateFechas[[#This Row],[Resultado]]=1,1,0)</f>
        <v>1</v>
      </c>
      <c r="W1254" s="1" t="str">
        <f>+Tabla__192.168.1.8_POSEIDONSQL_APPFVT_01_tblFillRateFechas[[#This Row],[con_ocnumero]]&amp;Tabla__192.168.1.8_POSEIDONSQL_APPFVT_01_tblFillRateFechas[[#This Row],[con_codigounico]]</f>
        <v>91959370390050000696365930101</v>
      </c>
      <c r="X12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5" spans="1:24" x14ac:dyDescent="0.25">
      <c r="A1255">
        <v>9</v>
      </c>
      <c r="B1255" t="s">
        <v>48</v>
      </c>
      <c r="C1255">
        <v>9195937</v>
      </c>
      <c r="D1255" t="s">
        <v>1963</v>
      </c>
      <c r="E1255" t="s">
        <v>160</v>
      </c>
      <c r="F1255" t="s">
        <v>162</v>
      </c>
      <c r="G1255">
        <v>1</v>
      </c>
      <c r="H1255">
        <v>1</v>
      </c>
      <c r="I1255" t="s">
        <v>160</v>
      </c>
      <c r="J1255">
        <v>0</v>
      </c>
      <c r="K1255" t="s">
        <v>813</v>
      </c>
      <c r="L1255" s="1">
        <f>+Tabla__192.168.1.8_POSEIDONSQL_APPFVT_01_tblFillRateFechas[[#This Row],[emb_cantidad]]-Tabla__192.168.1.8_POSEIDONSQL_APPFVT_01_tblFillRateFechas[[#This Row],[dev_cantidad]]</f>
        <v>1</v>
      </c>
      <c r="M1255" s="1">
        <f>+IF(Tabla__192.168.1.8_POSEIDONSQL_APPFVT_01_tblFillRateFechas[[#This Row],[Cant_Resultante]]=Tabla__192.168.1.8_POSEIDONSQL_APPFVT_01_tblFillRateFechas[[#This Row],[cant_order]],1,0)</f>
        <v>1</v>
      </c>
      <c r="N12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5" s="1">
        <f>+IF(AND(Tabla__192.168.1.8_POSEIDONSQL_APPFVT_01_tblFillRateFechas[[#This Row],[Valida Cant]]=1,Tabla__192.168.1.8_POSEIDONSQL_APPFVT_01_tblFillRateFechas[[#This Row],[Valida Fec]]=1),1,0)</f>
        <v>1</v>
      </c>
      <c r="P1255" s="1">
        <f>+(Tabla__192.168.1.8_POSEIDONSQL_APPFVT_01_tblFillRateFechas[[#This Row],[Cant_Resultante]]/Tabla__192.168.1.8_POSEIDONSQL_APPFVT_01_tblFillRateFechas[[#This Row],[cant_order]])*100</f>
        <v>100</v>
      </c>
      <c r="Q12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5" s="1">
        <f>+IF(Tabla__192.168.1.8_POSEIDONSQL_APPFVT_01_tblFillRateFechas[[#This Row],[cant_order]]&gt;0,1,0)</f>
        <v>1</v>
      </c>
      <c r="V1255" s="1">
        <f>+IF(Tabla__192.168.1.8_POSEIDONSQL_APPFVT_01_tblFillRateFechas[[#This Row],[Resultado]]=1,1,0)</f>
        <v>1</v>
      </c>
      <c r="W1255" s="1" t="str">
        <f>+Tabla__192.168.1.8_POSEIDONSQL_APPFVT_01_tblFillRateFechas[[#This Row],[con_ocnumero]]&amp;Tabla__192.168.1.8_POSEIDONSQL_APPFVT_01_tblFillRateFechas[[#This Row],[con_codigounico]]</f>
        <v>91959370390050000696397510101</v>
      </c>
      <c r="X12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6" spans="1:24" x14ac:dyDescent="0.25">
      <c r="A1256">
        <v>9</v>
      </c>
      <c r="B1256" t="s">
        <v>48</v>
      </c>
      <c r="C1256">
        <v>9196067</v>
      </c>
      <c r="D1256" t="s">
        <v>1963</v>
      </c>
      <c r="E1256" t="s">
        <v>163</v>
      </c>
      <c r="F1256" t="s">
        <v>162</v>
      </c>
      <c r="G1256">
        <v>1</v>
      </c>
      <c r="H1256">
        <v>1</v>
      </c>
      <c r="I1256" t="s">
        <v>163</v>
      </c>
      <c r="J1256">
        <v>0</v>
      </c>
      <c r="K1256" t="s">
        <v>850</v>
      </c>
      <c r="L1256" s="1">
        <f>+Tabla__192.168.1.8_POSEIDONSQL_APPFVT_01_tblFillRateFechas[[#This Row],[emb_cantidad]]-Tabla__192.168.1.8_POSEIDONSQL_APPFVT_01_tblFillRateFechas[[#This Row],[dev_cantidad]]</f>
        <v>1</v>
      </c>
      <c r="M1256" s="1">
        <f>+IF(Tabla__192.168.1.8_POSEIDONSQL_APPFVT_01_tblFillRateFechas[[#This Row],[Cant_Resultante]]=Tabla__192.168.1.8_POSEIDONSQL_APPFVT_01_tblFillRateFechas[[#This Row],[cant_order]],1,0)</f>
        <v>1</v>
      </c>
      <c r="N12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6" s="1">
        <f>+IF(AND(Tabla__192.168.1.8_POSEIDONSQL_APPFVT_01_tblFillRateFechas[[#This Row],[Valida Cant]]=1,Tabla__192.168.1.8_POSEIDONSQL_APPFVT_01_tblFillRateFechas[[#This Row],[Valida Fec]]=1),1,0)</f>
        <v>1</v>
      </c>
      <c r="P1256" s="1">
        <f>+(Tabla__192.168.1.8_POSEIDONSQL_APPFVT_01_tblFillRateFechas[[#This Row],[Cant_Resultante]]/Tabla__192.168.1.8_POSEIDONSQL_APPFVT_01_tblFillRateFechas[[#This Row],[cant_order]])*100</f>
        <v>100</v>
      </c>
      <c r="Q12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6" s="1">
        <f>+IF(Tabla__192.168.1.8_POSEIDONSQL_APPFVT_01_tblFillRateFechas[[#This Row],[cant_order]]&gt;0,1,0)</f>
        <v>1</v>
      </c>
      <c r="V1256" s="1">
        <f>+IF(Tabla__192.168.1.8_POSEIDONSQL_APPFVT_01_tblFillRateFechas[[#This Row],[Resultado]]=1,1,0)</f>
        <v>1</v>
      </c>
      <c r="W1256" s="1" t="str">
        <f>+Tabla__192.168.1.8_POSEIDONSQL_APPFVT_01_tblFillRateFechas[[#This Row],[con_ocnumero]]&amp;Tabla__192.168.1.8_POSEIDONSQL_APPFVT_01_tblFillRateFechas[[#This Row],[con_codigounico]]</f>
        <v>91960670390050000696453130101</v>
      </c>
      <c r="X12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7" spans="1:24" x14ac:dyDescent="0.25">
      <c r="A1257">
        <v>9</v>
      </c>
      <c r="B1257" t="s">
        <v>48</v>
      </c>
      <c r="C1257">
        <v>9196067</v>
      </c>
      <c r="D1257" t="s">
        <v>1963</v>
      </c>
      <c r="E1257" t="s">
        <v>163</v>
      </c>
      <c r="F1257" t="s">
        <v>162</v>
      </c>
      <c r="G1257">
        <v>1</v>
      </c>
      <c r="H1257">
        <v>1</v>
      </c>
      <c r="I1257" t="s">
        <v>163</v>
      </c>
      <c r="J1257">
        <v>0</v>
      </c>
      <c r="K1257" t="s">
        <v>1162</v>
      </c>
      <c r="L1257" s="1">
        <f>+Tabla__192.168.1.8_POSEIDONSQL_APPFVT_01_tblFillRateFechas[[#This Row],[emb_cantidad]]-Tabla__192.168.1.8_POSEIDONSQL_APPFVT_01_tblFillRateFechas[[#This Row],[dev_cantidad]]</f>
        <v>1</v>
      </c>
      <c r="M1257" s="1">
        <f>+IF(Tabla__192.168.1.8_POSEIDONSQL_APPFVT_01_tblFillRateFechas[[#This Row],[Cant_Resultante]]=Tabla__192.168.1.8_POSEIDONSQL_APPFVT_01_tblFillRateFechas[[#This Row],[cant_order]],1,0)</f>
        <v>1</v>
      </c>
      <c r="N12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7" s="1">
        <f>+IF(AND(Tabla__192.168.1.8_POSEIDONSQL_APPFVT_01_tblFillRateFechas[[#This Row],[Valida Cant]]=1,Tabla__192.168.1.8_POSEIDONSQL_APPFVT_01_tblFillRateFechas[[#This Row],[Valida Fec]]=1),1,0)</f>
        <v>1</v>
      </c>
      <c r="P1257" s="1">
        <f>+(Tabla__192.168.1.8_POSEIDONSQL_APPFVT_01_tblFillRateFechas[[#This Row],[Cant_Resultante]]/Tabla__192.168.1.8_POSEIDONSQL_APPFVT_01_tblFillRateFechas[[#This Row],[cant_order]])*100</f>
        <v>100</v>
      </c>
      <c r="Q12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7" s="1">
        <f>+IF(Tabla__192.168.1.8_POSEIDONSQL_APPFVT_01_tblFillRateFechas[[#This Row],[cant_order]]&gt;0,1,0)</f>
        <v>1</v>
      </c>
      <c r="V1257" s="1">
        <f>+IF(Tabla__192.168.1.8_POSEIDONSQL_APPFVT_01_tblFillRateFechas[[#This Row],[Resultado]]=1,1,0)</f>
        <v>1</v>
      </c>
      <c r="W1257" s="1" t="str">
        <f>+Tabla__192.168.1.8_POSEIDONSQL_APPFVT_01_tblFillRateFechas[[#This Row],[con_ocnumero]]&amp;Tabla__192.168.1.8_POSEIDONSQL_APPFVT_01_tblFillRateFechas[[#This Row],[con_codigounico]]</f>
        <v>91960670390050000696468760101</v>
      </c>
      <c r="X12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8" spans="1:24" x14ac:dyDescent="0.25">
      <c r="A1258">
        <v>9</v>
      </c>
      <c r="B1258" t="s">
        <v>48</v>
      </c>
      <c r="C1258">
        <v>9196067</v>
      </c>
      <c r="D1258" t="s">
        <v>1963</v>
      </c>
      <c r="E1258" t="s">
        <v>163</v>
      </c>
      <c r="F1258" t="s">
        <v>162</v>
      </c>
      <c r="G1258">
        <v>1</v>
      </c>
      <c r="H1258">
        <v>1</v>
      </c>
      <c r="I1258" t="s">
        <v>163</v>
      </c>
      <c r="J1258">
        <v>0</v>
      </c>
      <c r="K1258" t="s">
        <v>849</v>
      </c>
      <c r="L1258" s="1">
        <f>+Tabla__192.168.1.8_POSEIDONSQL_APPFVT_01_tblFillRateFechas[[#This Row],[emb_cantidad]]-Tabla__192.168.1.8_POSEIDONSQL_APPFVT_01_tblFillRateFechas[[#This Row],[dev_cantidad]]</f>
        <v>1</v>
      </c>
      <c r="M1258" s="1">
        <f>+IF(Tabla__192.168.1.8_POSEIDONSQL_APPFVT_01_tblFillRateFechas[[#This Row],[Cant_Resultante]]=Tabla__192.168.1.8_POSEIDONSQL_APPFVT_01_tblFillRateFechas[[#This Row],[cant_order]],1,0)</f>
        <v>1</v>
      </c>
      <c r="N12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8" s="1">
        <f>+IF(AND(Tabla__192.168.1.8_POSEIDONSQL_APPFVT_01_tblFillRateFechas[[#This Row],[Valida Cant]]=1,Tabla__192.168.1.8_POSEIDONSQL_APPFVT_01_tblFillRateFechas[[#This Row],[Valida Fec]]=1),1,0)</f>
        <v>1</v>
      </c>
      <c r="P1258" s="1">
        <f>+(Tabla__192.168.1.8_POSEIDONSQL_APPFVT_01_tblFillRateFechas[[#This Row],[Cant_Resultante]]/Tabla__192.168.1.8_POSEIDONSQL_APPFVT_01_tblFillRateFechas[[#This Row],[cant_order]])*100</f>
        <v>100</v>
      </c>
      <c r="Q12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8" s="1">
        <f>+IF(Tabla__192.168.1.8_POSEIDONSQL_APPFVT_01_tblFillRateFechas[[#This Row],[cant_order]]&gt;0,1,0)</f>
        <v>1</v>
      </c>
      <c r="V1258" s="1">
        <f>+IF(Tabla__192.168.1.8_POSEIDONSQL_APPFVT_01_tblFillRateFechas[[#This Row],[Resultado]]=1,1,0)</f>
        <v>1</v>
      </c>
      <c r="W1258" s="1" t="str">
        <f>+Tabla__192.168.1.8_POSEIDONSQL_APPFVT_01_tblFillRateFechas[[#This Row],[con_ocnumero]]&amp;Tabla__192.168.1.8_POSEIDONSQL_APPFVT_01_tblFillRateFechas[[#This Row],[con_codigounico]]</f>
        <v>91960670390050000696469470101</v>
      </c>
      <c r="X12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59" spans="1:24" x14ac:dyDescent="0.25">
      <c r="A1259">
        <v>9</v>
      </c>
      <c r="B1259" t="s">
        <v>48</v>
      </c>
      <c r="C1259">
        <v>9196174</v>
      </c>
      <c r="D1259" t="s">
        <v>1963</v>
      </c>
      <c r="E1259" t="s">
        <v>163</v>
      </c>
      <c r="F1259" t="s">
        <v>162</v>
      </c>
      <c r="G1259">
        <v>1</v>
      </c>
      <c r="H1259">
        <v>1</v>
      </c>
      <c r="I1259" t="s">
        <v>163</v>
      </c>
      <c r="J1259">
        <v>0</v>
      </c>
      <c r="K1259" t="s">
        <v>838</v>
      </c>
      <c r="L1259" s="1">
        <f>+Tabla__192.168.1.8_POSEIDONSQL_APPFVT_01_tblFillRateFechas[[#This Row],[emb_cantidad]]-Tabla__192.168.1.8_POSEIDONSQL_APPFVT_01_tblFillRateFechas[[#This Row],[dev_cantidad]]</f>
        <v>1</v>
      </c>
      <c r="M1259" s="1">
        <f>+IF(Tabla__192.168.1.8_POSEIDONSQL_APPFVT_01_tblFillRateFechas[[#This Row],[Cant_Resultante]]=Tabla__192.168.1.8_POSEIDONSQL_APPFVT_01_tblFillRateFechas[[#This Row],[cant_order]],1,0)</f>
        <v>1</v>
      </c>
      <c r="N12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59" s="1">
        <f>+IF(AND(Tabla__192.168.1.8_POSEIDONSQL_APPFVT_01_tblFillRateFechas[[#This Row],[Valida Cant]]=1,Tabla__192.168.1.8_POSEIDONSQL_APPFVT_01_tblFillRateFechas[[#This Row],[Valida Fec]]=1),1,0)</f>
        <v>1</v>
      </c>
      <c r="P1259" s="1">
        <f>+(Tabla__192.168.1.8_POSEIDONSQL_APPFVT_01_tblFillRateFechas[[#This Row],[Cant_Resultante]]/Tabla__192.168.1.8_POSEIDONSQL_APPFVT_01_tblFillRateFechas[[#This Row],[cant_order]])*100</f>
        <v>100</v>
      </c>
      <c r="Q12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59" s="1">
        <f>+IF(Tabla__192.168.1.8_POSEIDONSQL_APPFVT_01_tblFillRateFechas[[#This Row],[cant_order]]&gt;0,1,0)</f>
        <v>1</v>
      </c>
      <c r="V1259" s="1">
        <f>+IF(Tabla__192.168.1.8_POSEIDONSQL_APPFVT_01_tblFillRateFechas[[#This Row],[Resultado]]=1,1,0)</f>
        <v>1</v>
      </c>
      <c r="W1259" s="1" t="str">
        <f>+Tabla__192.168.1.8_POSEIDONSQL_APPFVT_01_tblFillRateFechas[[#This Row],[con_ocnumero]]&amp;Tabla__192.168.1.8_POSEIDONSQL_APPFVT_01_tblFillRateFechas[[#This Row],[con_codigounico]]</f>
        <v>91961740390050000696483780101</v>
      </c>
      <c r="X12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0" spans="1:24" x14ac:dyDescent="0.25">
      <c r="A1260">
        <v>9</v>
      </c>
      <c r="B1260" t="s">
        <v>48</v>
      </c>
      <c r="C1260">
        <v>9196174</v>
      </c>
      <c r="D1260" t="s">
        <v>1963</v>
      </c>
      <c r="E1260" t="s">
        <v>163</v>
      </c>
      <c r="F1260" t="s">
        <v>162</v>
      </c>
      <c r="G1260">
        <v>1</v>
      </c>
      <c r="H1260">
        <v>1</v>
      </c>
      <c r="I1260" t="s">
        <v>163</v>
      </c>
      <c r="J1260">
        <v>0</v>
      </c>
      <c r="K1260" t="s">
        <v>837</v>
      </c>
      <c r="L1260" s="1">
        <f>+Tabla__192.168.1.8_POSEIDONSQL_APPFVT_01_tblFillRateFechas[[#This Row],[emb_cantidad]]-Tabla__192.168.1.8_POSEIDONSQL_APPFVT_01_tblFillRateFechas[[#This Row],[dev_cantidad]]</f>
        <v>1</v>
      </c>
      <c r="M1260" s="1">
        <f>+IF(Tabla__192.168.1.8_POSEIDONSQL_APPFVT_01_tblFillRateFechas[[#This Row],[Cant_Resultante]]=Tabla__192.168.1.8_POSEIDONSQL_APPFVT_01_tblFillRateFechas[[#This Row],[cant_order]],1,0)</f>
        <v>1</v>
      </c>
      <c r="N12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0" s="1">
        <f>+IF(AND(Tabla__192.168.1.8_POSEIDONSQL_APPFVT_01_tblFillRateFechas[[#This Row],[Valida Cant]]=1,Tabla__192.168.1.8_POSEIDONSQL_APPFVT_01_tblFillRateFechas[[#This Row],[Valida Fec]]=1),1,0)</f>
        <v>1</v>
      </c>
      <c r="P1260" s="1">
        <f>+(Tabla__192.168.1.8_POSEIDONSQL_APPFVT_01_tblFillRateFechas[[#This Row],[Cant_Resultante]]/Tabla__192.168.1.8_POSEIDONSQL_APPFVT_01_tblFillRateFechas[[#This Row],[cant_order]])*100</f>
        <v>100</v>
      </c>
      <c r="Q12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0" s="1">
        <f>+IF(Tabla__192.168.1.8_POSEIDONSQL_APPFVT_01_tblFillRateFechas[[#This Row],[cant_order]]&gt;0,1,0)</f>
        <v>1</v>
      </c>
      <c r="V1260" s="1">
        <f>+IF(Tabla__192.168.1.8_POSEIDONSQL_APPFVT_01_tblFillRateFechas[[#This Row],[Resultado]]=1,1,0)</f>
        <v>1</v>
      </c>
      <c r="W1260" s="1" t="str">
        <f>+Tabla__192.168.1.8_POSEIDONSQL_APPFVT_01_tblFillRateFechas[[#This Row],[con_ocnumero]]&amp;Tabla__192.168.1.8_POSEIDONSQL_APPFVT_01_tblFillRateFechas[[#This Row],[con_codigounico]]</f>
        <v>91961740390050000696504570101</v>
      </c>
      <c r="X12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1" spans="1:24" x14ac:dyDescent="0.25">
      <c r="A1261">
        <v>9</v>
      </c>
      <c r="B1261" t="s">
        <v>48</v>
      </c>
      <c r="C1261">
        <v>9196249</v>
      </c>
      <c r="D1261" t="s">
        <v>162</v>
      </c>
      <c r="E1261" t="s">
        <v>163</v>
      </c>
      <c r="F1261" t="s">
        <v>162</v>
      </c>
      <c r="G1261">
        <v>1</v>
      </c>
      <c r="H1261">
        <v>1</v>
      </c>
      <c r="I1261" t="s">
        <v>163</v>
      </c>
      <c r="J1261">
        <v>0</v>
      </c>
      <c r="K1261" t="s">
        <v>840</v>
      </c>
      <c r="L1261" s="1">
        <f>+Tabla__192.168.1.8_POSEIDONSQL_APPFVT_01_tblFillRateFechas[[#This Row],[emb_cantidad]]-Tabla__192.168.1.8_POSEIDONSQL_APPFVT_01_tblFillRateFechas[[#This Row],[dev_cantidad]]</f>
        <v>1</v>
      </c>
      <c r="M1261" s="1">
        <f>+IF(Tabla__192.168.1.8_POSEIDONSQL_APPFVT_01_tblFillRateFechas[[#This Row],[Cant_Resultante]]=Tabla__192.168.1.8_POSEIDONSQL_APPFVT_01_tblFillRateFechas[[#This Row],[cant_order]],1,0)</f>
        <v>1</v>
      </c>
      <c r="N12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1" s="1">
        <f>+IF(AND(Tabla__192.168.1.8_POSEIDONSQL_APPFVT_01_tblFillRateFechas[[#This Row],[Valida Cant]]=1,Tabla__192.168.1.8_POSEIDONSQL_APPFVT_01_tblFillRateFechas[[#This Row],[Valida Fec]]=1),1,0)</f>
        <v>1</v>
      </c>
      <c r="P1261" s="1">
        <f>+(Tabla__192.168.1.8_POSEIDONSQL_APPFVT_01_tblFillRateFechas[[#This Row],[Cant_Resultante]]/Tabla__192.168.1.8_POSEIDONSQL_APPFVT_01_tblFillRateFechas[[#This Row],[cant_order]])*100</f>
        <v>100</v>
      </c>
      <c r="Q12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1" s="1">
        <f>+IF(Tabla__192.168.1.8_POSEIDONSQL_APPFVT_01_tblFillRateFechas[[#This Row],[cant_order]]&gt;0,1,0)</f>
        <v>1</v>
      </c>
      <c r="V1261" s="1">
        <f>+IF(Tabla__192.168.1.8_POSEIDONSQL_APPFVT_01_tblFillRateFechas[[#This Row],[Resultado]]=1,1,0)</f>
        <v>1</v>
      </c>
      <c r="W1261" s="1" t="str">
        <f>+Tabla__192.168.1.8_POSEIDONSQL_APPFVT_01_tblFillRateFechas[[#This Row],[con_ocnumero]]&amp;Tabla__192.168.1.8_POSEIDONSQL_APPFVT_01_tblFillRateFechas[[#This Row],[con_codigounico]]</f>
        <v>91962490390050000696572690101</v>
      </c>
      <c r="X12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2" spans="1:24" x14ac:dyDescent="0.25">
      <c r="A1262">
        <v>9</v>
      </c>
      <c r="B1262" t="s">
        <v>48</v>
      </c>
      <c r="C1262">
        <v>9196249</v>
      </c>
      <c r="D1262" t="s">
        <v>162</v>
      </c>
      <c r="E1262" t="s">
        <v>427</v>
      </c>
      <c r="F1262" t="s">
        <v>162</v>
      </c>
      <c r="G1262">
        <v>1</v>
      </c>
      <c r="H1262">
        <v>1</v>
      </c>
      <c r="I1262" t="s">
        <v>427</v>
      </c>
      <c r="J1262">
        <v>0</v>
      </c>
      <c r="K1262" t="s">
        <v>1163</v>
      </c>
      <c r="L1262" s="1">
        <f>+Tabla__192.168.1.8_POSEIDONSQL_APPFVT_01_tblFillRateFechas[[#This Row],[emb_cantidad]]-Tabla__192.168.1.8_POSEIDONSQL_APPFVT_01_tblFillRateFechas[[#This Row],[dev_cantidad]]</f>
        <v>1</v>
      </c>
      <c r="M1262" s="1">
        <f>+IF(Tabla__192.168.1.8_POSEIDONSQL_APPFVT_01_tblFillRateFechas[[#This Row],[Cant_Resultante]]=Tabla__192.168.1.8_POSEIDONSQL_APPFVT_01_tblFillRateFechas[[#This Row],[cant_order]],1,0)</f>
        <v>1</v>
      </c>
      <c r="N12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2" s="1">
        <f>+IF(AND(Tabla__192.168.1.8_POSEIDONSQL_APPFVT_01_tblFillRateFechas[[#This Row],[Valida Cant]]=1,Tabla__192.168.1.8_POSEIDONSQL_APPFVT_01_tblFillRateFechas[[#This Row],[Valida Fec]]=1),1,0)</f>
        <v>1</v>
      </c>
      <c r="P1262" s="1">
        <f>+(Tabla__192.168.1.8_POSEIDONSQL_APPFVT_01_tblFillRateFechas[[#This Row],[Cant_Resultante]]/Tabla__192.168.1.8_POSEIDONSQL_APPFVT_01_tblFillRateFechas[[#This Row],[cant_order]])*100</f>
        <v>100</v>
      </c>
      <c r="Q12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2" s="1">
        <f>+IF(Tabla__192.168.1.8_POSEIDONSQL_APPFVT_01_tblFillRateFechas[[#This Row],[cant_order]]&gt;0,1,0)</f>
        <v>1</v>
      </c>
      <c r="V1262" s="1">
        <f>+IF(Tabla__192.168.1.8_POSEIDONSQL_APPFVT_01_tblFillRateFechas[[#This Row],[Resultado]]=1,1,0)</f>
        <v>1</v>
      </c>
      <c r="W1262" s="1" t="str">
        <f>+Tabla__192.168.1.8_POSEIDONSQL_APPFVT_01_tblFillRateFechas[[#This Row],[con_ocnumero]]&amp;Tabla__192.168.1.8_POSEIDONSQL_APPFVT_01_tblFillRateFechas[[#This Row],[con_codigounico]]</f>
        <v>91962490390050000696631480102</v>
      </c>
      <c r="X12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3" spans="1:24" x14ac:dyDescent="0.25">
      <c r="A1263">
        <v>9</v>
      </c>
      <c r="B1263" t="s">
        <v>48</v>
      </c>
      <c r="C1263">
        <v>9196249</v>
      </c>
      <c r="D1263" t="s">
        <v>162</v>
      </c>
      <c r="E1263" t="s">
        <v>163</v>
      </c>
      <c r="F1263" t="s">
        <v>162</v>
      </c>
      <c r="G1263">
        <v>1</v>
      </c>
      <c r="H1263">
        <v>1</v>
      </c>
      <c r="I1263" t="s">
        <v>163</v>
      </c>
      <c r="J1263">
        <v>0</v>
      </c>
      <c r="K1263" t="s">
        <v>839</v>
      </c>
      <c r="L1263" s="1">
        <f>+Tabla__192.168.1.8_POSEIDONSQL_APPFVT_01_tblFillRateFechas[[#This Row],[emb_cantidad]]-Tabla__192.168.1.8_POSEIDONSQL_APPFVT_01_tblFillRateFechas[[#This Row],[dev_cantidad]]</f>
        <v>1</v>
      </c>
      <c r="M1263" s="1">
        <f>+IF(Tabla__192.168.1.8_POSEIDONSQL_APPFVT_01_tblFillRateFechas[[#This Row],[Cant_Resultante]]=Tabla__192.168.1.8_POSEIDONSQL_APPFVT_01_tblFillRateFechas[[#This Row],[cant_order]],1,0)</f>
        <v>1</v>
      </c>
      <c r="N12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3" s="1">
        <f>+IF(AND(Tabla__192.168.1.8_POSEIDONSQL_APPFVT_01_tblFillRateFechas[[#This Row],[Valida Cant]]=1,Tabla__192.168.1.8_POSEIDONSQL_APPFVT_01_tblFillRateFechas[[#This Row],[Valida Fec]]=1),1,0)</f>
        <v>1</v>
      </c>
      <c r="P1263" s="1">
        <f>+(Tabla__192.168.1.8_POSEIDONSQL_APPFVT_01_tblFillRateFechas[[#This Row],[Cant_Resultante]]/Tabla__192.168.1.8_POSEIDONSQL_APPFVT_01_tblFillRateFechas[[#This Row],[cant_order]])*100</f>
        <v>100</v>
      </c>
      <c r="Q12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3" s="1">
        <f>+IF(Tabla__192.168.1.8_POSEIDONSQL_APPFVT_01_tblFillRateFechas[[#This Row],[cant_order]]&gt;0,1,0)</f>
        <v>1</v>
      </c>
      <c r="V1263" s="1">
        <f>+IF(Tabla__192.168.1.8_POSEIDONSQL_APPFVT_01_tblFillRateFechas[[#This Row],[Resultado]]=1,1,0)</f>
        <v>1</v>
      </c>
      <c r="W1263" s="1" t="str">
        <f>+Tabla__192.168.1.8_POSEIDONSQL_APPFVT_01_tblFillRateFechas[[#This Row],[con_ocnumero]]&amp;Tabla__192.168.1.8_POSEIDONSQL_APPFVT_01_tblFillRateFechas[[#This Row],[con_codigounico]]</f>
        <v>91962490390050000696633110101</v>
      </c>
      <c r="X12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4" spans="1:24" x14ac:dyDescent="0.25">
      <c r="A1264">
        <v>9</v>
      </c>
      <c r="B1264" t="s">
        <v>48</v>
      </c>
      <c r="C1264">
        <v>9196372</v>
      </c>
      <c r="D1264" t="s">
        <v>162</v>
      </c>
      <c r="E1264" t="s">
        <v>427</v>
      </c>
      <c r="F1264" t="s">
        <v>160</v>
      </c>
      <c r="G1264">
        <v>1</v>
      </c>
      <c r="H1264">
        <v>1</v>
      </c>
      <c r="I1264" t="s">
        <v>427</v>
      </c>
      <c r="J1264">
        <v>0</v>
      </c>
      <c r="K1264" t="s">
        <v>1470</v>
      </c>
      <c r="L1264" s="1">
        <f>+Tabla__192.168.1.8_POSEIDONSQL_APPFVT_01_tblFillRateFechas[[#This Row],[emb_cantidad]]-Tabla__192.168.1.8_POSEIDONSQL_APPFVT_01_tblFillRateFechas[[#This Row],[dev_cantidad]]</f>
        <v>1</v>
      </c>
      <c r="M1264" s="1">
        <f>+IF(Tabla__192.168.1.8_POSEIDONSQL_APPFVT_01_tblFillRateFechas[[#This Row],[Cant_Resultante]]=Tabla__192.168.1.8_POSEIDONSQL_APPFVT_01_tblFillRateFechas[[#This Row],[cant_order]],1,0)</f>
        <v>1</v>
      </c>
      <c r="N12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4" s="1">
        <f>+IF(AND(Tabla__192.168.1.8_POSEIDONSQL_APPFVT_01_tblFillRateFechas[[#This Row],[Valida Cant]]=1,Tabla__192.168.1.8_POSEIDONSQL_APPFVT_01_tblFillRateFechas[[#This Row],[Valida Fec]]=1),1,0)</f>
        <v>1</v>
      </c>
      <c r="P1264" s="1">
        <f>+(Tabla__192.168.1.8_POSEIDONSQL_APPFVT_01_tblFillRateFechas[[#This Row],[Cant_Resultante]]/Tabla__192.168.1.8_POSEIDONSQL_APPFVT_01_tblFillRateFechas[[#This Row],[cant_order]])*100</f>
        <v>100</v>
      </c>
      <c r="Q12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4" s="1">
        <f>+IF(Tabla__192.168.1.8_POSEIDONSQL_APPFVT_01_tblFillRateFechas[[#This Row],[cant_order]]&gt;0,1,0)</f>
        <v>1</v>
      </c>
      <c r="V1264" s="1">
        <f>+IF(Tabla__192.168.1.8_POSEIDONSQL_APPFVT_01_tblFillRateFechas[[#This Row],[Resultado]]=1,1,0)</f>
        <v>1</v>
      </c>
      <c r="W1264" s="1" t="str">
        <f>+Tabla__192.168.1.8_POSEIDONSQL_APPFVT_01_tblFillRateFechas[[#This Row],[con_ocnumero]]&amp;Tabla__192.168.1.8_POSEIDONSQL_APPFVT_01_tblFillRateFechas[[#This Row],[con_codigounico]]</f>
        <v>91963720390050000696694300101</v>
      </c>
      <c r="X12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5" spans="1:24" x14ac:dyDescent="0.25">
      <c r="A1265">
        <v>9</v>
      </c>
      <c r="B1265" t="s">
        <v>48</v>
      </c>
      <c r="C1265">
        <v>9197134</v>
      </c>
      <c r="D1265" t="s">
        <v>162</v>
      </c>
      <c r="E1265" t="s">
        <v>427</v>
      </c>
      <c r="F1265" t="s">
        <v>160</v>
      </c>
      <c r="G1265">
        <v>1</v>
      </c>
      <c r="H1265">
        <v>1</v>
      </c>
      <c r="I1265" t="s">
        <v>427</v>
      </c>
      <c r="J1265">
        <v>0</v>
      </c>
      <c r="K1265" t="s">
        <v>1464</v>
      </c>
      <c r="L1265" s="1">
        <f>+Tabla__192.168.1.8_POSEIDONSQL_APPFVT_01_tblFillRateFechas[[#This Row],[emb_cantidad]]-Tabla__192.168.1.8_POSEIDONSQL_APPFVT_01_tblFillRateFechas[[#This Row],[dev_cantidad]]</f>
        <v>1</v>
      </c>
      <c r="M1265" s="1">
        <f>+IF(Tabla__192.168.1.8_POSEIDONSQL_APPFVT_01_tblFillRateFechas[[#This Row],[Cant_Resultante]]=Tabla__192.168.1.8_POSEIDONSQL_APPFVT_01_tblFillRateFechas[[#This Row],[cant_order]],1,0)</f>
        <v>1</v>
      </c>
      <c r="N12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5" s="1">
        <f>+IF(AND(Tabla__192.168.1.8_POSEIDONSQL_APPFVT_01_tblFillRateFechas[[#This Row],[Valida Cant]]=1,Tabla__192.168.1.8_POSEIDONSQL_APPFVT_01_tblFillRateFechas[[#This Row],[Valida Fec]]=1),1,0)</f>
        <v>1</v>
      </c>
      <c r="P1265" s="1">
        <f>+(Tabla__192.168.1.8_POSEIDONSQL_APPFVT_01_tblFillRateFechas[[#This Row],[Cant_Resultante]]/Tabla__192.168.1.8_POSEIDONSQL_APPFVT_01_tblFillRateFechas[[#This Row],[cant_order]])*100</f>
        <v>100</v>
      </c>
      <c r="Q12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5" s="1">
        <f>+IF(Tabla__192.168.1.8_POSEIDONSQL_APPFVT_01_tblFillRateFechas[[#This Row],[cant_order]]&gt;0,1,0)</f>
        <v>1</v>
      </c>
      <c r="V1265" s="1">
        <f>+IF(Tabla__192.168.1.8_POSEIDONSQL_APPFVT_01_tblFillRateFechas[[#This Row],[Resultado]]=1,1,0)</f>
        <v>1</v>
      </c>
      <c r="W1265" s="1" t="str">
        <f>+Tabla__192.168.1.8_POSEIDONSQL_APPFVT_01_tblFillRateFechas[[#This Row],[con_ocnumero]]&amp;Tabla__192.168.1.8_POSEIDONSQL_APPFVT_01_tblFillRateFechas[[#This Row],[con_codigounico]]</f>
        <v>91971340390050000696758020101</v>
      </c>
      <c r="X12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6" spans="1:24" x14ac:dyDescent="0.25">
      <c r="A1266">
        <v>9</v>
      </c>
      <c r="B1266" t="s">
        <v>48</v>
      </c>
      <c r="C1266">
        <v>9196754</v>
      </c>
      <c r="D1266" t="s">
        <v>162</v>
      </c>
      <c r="E1266" t="s">
        <v>163</v>
      </c>
      <c r="F1266" t="s">
        <v>160</v>
      </c>
      <c r="G1266">
        <v>1</v>
      </c>
      <c r="H1266">
        <v>1</v>
      </c>
      <c r="I1266" t="s">
        <v>163</v>
      </c>
      <c r="J1266">
        <v>0</v>
      </c>
      <c r="K1266" t="s">
        <v>1463</v>
      </c>
      <c r="L1266" s="1">
        <f>+Tabla__192.168.1.8_POSEIDONSQL_APPFVT_01_tblFillRateFechas[[#This Row],[emb_cantidad]]-Tabla__192.168.1.8_POSEIDONSQL_APPFVT_01_tblFillRateFechas[[#This Row],[dev_cantidad]]</f>
        <v>1</v>
      </c>
      <c r="M1266" s="1">
        <f>+IF(Tabla__192.168.1.8_POSEIDONSQL_APPFVT_01_tblFillRateFechas[[#This Row],[Cant_Resultante]]=Tabla__192.168.1.8_POSEIDONSQL_APPFVT_01_tblFillRateFechas[[#This Row],[cant_order]],1,0)</f>
        <v>1</v>
      </c>
      <c r="N12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6" s="1">
        <f>+IF(AND(Tabla__192.168.1.8_POSEIDONSQL_APPFVT_01_tblFillRateFechas[[#This Row],[Valida Cant]]=1,Tabla__192.168.1.8_POSEIDONSQL_APPFVT_01_tblFillRateFechas[[#This Row],[Valida Fec]]=1),1,0)</f>
        <v>1</v>
      </c>
      <c r="P1266" s="1">
        <f>+(Tabla__192.168.1.8_POSEIDONSQL_APPFVT_01_tblFillRateFechas[[#This Row],[Cant_Resultante]]/Tabla__192.168.1.8_POSEIDONSQL_APPFVT_01_tblFillRateFechas[[#This Row],[cant_order]])*100</f>
        <v>100</v>
      </c>
      <c r="Q12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6" s="1">
        <f>+IF(Tabla__192.168.1.8_POSEIDONSQL_APPFVT_01_tblFillRateFechas[[#This Row],[cant_order]]&gt;0,1,0)</f>
        <v>1</v>
      </c>
      <c r="V1266" s="1">
        <f>+IF(Tabla__192.168.1.8_POSEIDONSQL_APPFVT_01_tblFillRateFechas[[#This Row],[Resultado]]=1,1,0)</f>
        <v>1</v>
      </c>
      <c r="W1266" s="1" t="str">
        <f>+Tabla__192.168.1.8_POSEIDONSQL_APPFVT_01_tblFillRateFechas[[#This Row],[con_ocnumero]]&amp;Tabla__192.168.1.8_POSEIDONSQL_APPFVT_01_tblFillRateFechas[[#This Row],[con_codigounico]]</f>
        <v>91967540390050000696933010101</v>
      </c>
      <c r="X12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7" spans="1:24" x14ac:dyDescent="0.25">
      <c r="A1267">
        <v>9</v>
      </c>
      <c r="B1267" t="s">
        <v>48</v>
      </c>
      <c r="C1267">
        <v>9197008</v>
      </c>
      <c r="D1267" t="s">
        <v>162</v>
      </c>
      <c r="E1267" t="s">
        <v>427</v>
      </c>
      <c r="F1267" t="s">
        <v>160</v>
      </c>
      <c r="G1267">
        <v>1</v>
      </c>
      <c r="H1267">
        <v>1</v>
      </c>
      <c r="I1267" t="s">
        <v>427</v>
      </c>
      <c r="J1267">
        <v>0</v>
      </c>
      <c r="K1267" t="s">
        <v>1471</v>
      </c>
      <c r="L1267" s="1">
        <f>+Tabla__192.168.1.8_POSEIDONSQL_APPFVT_01_tblFillRateFechas[[#This Row],[emb_cantidad]]-Tabla__192.168.1.8_POSEIDONSQL_APPFVT_01_tblFillRateFechas[[#This Row],[dev_cantidad]]</f>
        <v>1</v>
      </c>
      <c r="M1267" s="1">
        <f>+IF(Tabla__192.168.1.8_POSEIDONSQL_APPFVT_01_tblFillRateFechas[[#This Row],[Cant_Resultante]]=Tabla__192.168.1.8_POSEIDONSQL_APPFVT_01_tblFillRateFechas[[#This Row],[cant_order]],1,0)</f>
        <v>1</v>
      </c>
      <c r="N12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7" s="1">
        <f>+IF(AND(Tabla__192.168.1.8_POSEIDONSQL_APPFVT_01_tblFillRateFechas[[#This Row],[Valida Cant]]=1,Tabla__192.168.1.8_POSEIDONSQL_APPFVT_01_tblFillRateFechas[[#This Row],[Valida Fec]]=1),1,0)</f>
        <v>1</v>
      </c>
      <c r="P1267" s="1">
        <f>+(Tabla__192.168.1.8_POSEIDONSQL_APPFVT_01_tblFillRateFechas[[#This Row],[Cant_Resultante]]/Tabla__192.168.1.8_POSEIDONSQL_APPFVT_01_tblFillRateFechas[[#This Row],[cant_order]])*100</f>
        <v>100</v>
      </c>
      <c r="Q12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7" s="1">
        <f>+IF(Tabla__192.168.1.8_POSEIDONSQL_APPFVT_01_tblFillRateFechas[[#This Row],[cant_order]]&gt;0,1,0)</f>
        <v>1</v>
      </c>
      <c r="V1267" s="1">
        <f>+IF(Tabla__192.168.1.8_POSEIDONSQL_APPFVT_01_tblFillRateFechas[[#This Row],[Resultado]]=1,1,0)</f>
        <v>1</v>
      </c>
      <c r="W1267" s="1" t="str">
        <f>+Tabla__192.168.1.8_POSEIDONSQL_APPFVT_01_tblFillRateFechas[[#This Row],[con_ocnumero]]&amp;Tabla__192.168.1.8_POSEIDONSQL_APPFVT_01_tblFillRateFechas[[#This Row],[con_codigounico]]</f>
        <v>91970080390050000696975160101</v>
      </c>
      <c r="X12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8" spans="1:24" x14ac:dyDescent="0.25">
      <c r="A1268">
        <v>9</v>
      </c>
      <c r="B1268" t="s">
        <v>48</v>
      </c>
      <c r="C1268">
        <v>9197008</v>
      </c>
      <c r="D1268" t="s">
        <v>162</v>
      </c>
      <c r="E1268" t="s">
        <v>422</v>
      </c>
      <c r="F1268" t="s">
        <v>160</v>
      </c>
      <c r="G1268">
        <v>1</v>
      </c>
      <c r="H1268">
        <v>1</v>
      </c>
      <c r="I1268" t="s">
        <v>426</v>
      </c>
      <c r="J1268">
        <v>0</v>
      </c>
      <c r="K1268" t="s">
        <v>644</v>
      </c>
      <c r="L1268" s="1">
        <f>+Tabla__192.168.1.8_POSEIDONSQL_APPFVT_01_tblFillRateFechas[[#This Row],[emb_cantidad]]-Tabla__192.168.1.8_POSEIDONSQL_APPFVT_01_tblFillRateFechas[[#This Row],[dev_cantidad]]</f>
        <v>1</v>
      </c>
      <c r="M1268" s="1">
        <f>+IF(Tabla__192.168.1.8_POSEIDONSQL_APPFVT_01_tblFillRateFechas[[#This Row],[Cant_Resultante]]=Tabla__192.168.1.8_POSEIDONSQL_APPFVT_01_tblFillRateFechas[[#This Row],[cant_order]],1,0)</f>
        <v>1</v>
      </c>
      <c r="N12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8" s="1">
        <f>+IF(AND(Tabla__192.168.1.8_POSEIDONSQL_APPFVT_01_tblFillRateFechas[[#This Row],[Valida Cant]]=1,Tabla__192.168.1.8_POSEIDONSQL_APPFVT_01_tblFillRateFechas[[#This Row],[Valida Fec]]=1),1,0)</f>
        <v>1</v>
      </c>
      <c r="P1268" s="1">
        <f>+(Tabla__192.168.1.8_POSEIDONSQL_APPFVT_01_tblFillRateFechas[[#This Row],[Cant_Resultante]]/Tabla__192.168.1.8_POSEIDONSQL_APPFVT_01_tblFillRateFechas[[#This Row],[cant_order]])*100</f>
        <v>100</v>
      </c>
      <c r="Q12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8" s="1">
        <f>+IF(Tabla__192.168.1.8_POSEIDONSQL_APPFVT_01_tblFillRateFechas[[#This Row],[cant_order]]&gt;0,1,0)</f>
        <v>1</v>
      </c>
      <c r="V1268" s="1">
        <f>+IF(Tabla__192.168.1.8_POSEIDONSQL_APPFVT_01_tblFillRateFechas[[#This Row],[Resultado]]=1,1,0)</f>
        <v>1</v>
      </c>
      <c r="W1268" s="1" t="str">
        <f>+Tabla__192.168.1.8_POSEIDONSQL_APPFVT_01_tblFillRateFechas[[#This Row],[con_ocnumero]]&amp;Tabla__192.168.1.8_POSEIDONSQL_APPFVT_01_tblFillRateFechas[[#This Row],[con_codigounico]]</f>
        <v>91970080390050000697015070101</v>
      </c>
      <c r="X12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69" spans="1:24" x14ac:dyDescent="0.25">
      <c r="A1269">
        <v>9</v>
      </c>
      <c r="B1269" t="s">
        <v>48</v>
      </c>
      <c r="C1269">
        <v>9197076</v>
      </c>
      <c r="D1269" t="s">
        <v>162</v>
      </c>
      <c r="E1269" t="s">
        <v>427</v>
      </c>
      <c r="F1269" t="s">
        <v>160</v>
      </c>
      <c r="G1269">
        <v>1</v>
      </c>
      <c r="H1269">
        <v>1</v>
      </c>
      <c r="I1269" t="s">
        <v>427</v>
      </c>
      <c r="J1269">
        <v>0</v>
      </c>
      <c r="K1269" t="s">
        <v>1472</v>
      </c>
      <c r="L1269" s="1">
        <f>+Tabla__192.168.1.8_POSEIDONSQL_APPFVT_01_tblFillRateFechas[[#This Row],[emb_cantidad]]-Tabla__192.168.1.8_POSEIDONSQL_APPFVT_01_tblFillRateFechas[[#This Row],[dev_cantidad]]</f>
        <v>1</v>
      </c>
      <c r="M1269" s="1">
        <f>+IF(Tabla__192.168.1.8_POSEIDONSQL_APPFVT_01_tblFillRateFechas[[#This Row],[Cant_Resultante]]=Tabla__192.168.1.8_POSEIDONSQL_APPFVT_01_tblFillRateFechas[[#This Row],[cant_order]],1,0)</f>
        <v>1</v>
      </c>
      <c r="N12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69" s="1">
        <f>+IF(AND(Tabla__192.168.1.8_POSEIDONSQL_APPFVT_01_tblFillRateFechas[[#This Row],[Valida Cant]]=1,Tabla__192.168.1.8_POSEIDONSQL_APPFVT_01_tblFillRateFechas[[#This Row],[Valida Fec]]=1),1,0)</f>
        <v>1</v>
      </c>
      <c r="P1269" s="1">
        <f>+(Tabla__192.168.1.8_POSEIDONSQL_APPFVT_01_tblFillRateFechas[[#This Row],[Cant_Resultante]]/Tabla__192.168.1.8_POSEIDONSQL_APPFVT_01_tblFillRateFechas[[#This Row],[cant_order]])*100</f>
        <v>100</v>
      </c>
      <c r="Q12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69" s="1">
        <f>+IF(Tabla__192.168.1.8_POSEIDONSQL_APPFVT_01_tblFillRateFechas[[#This Row],[cant_order]]&gt;0,1,0)</f>
        <v>1</v>
      </c>
      <c r="V1269" s="1">
        <f>+IF(Tabla__192.168.1.8_POSEIDONSQL_APPFVT_01_tblFillRateFechas[[#This Row],[Resultado]]=1,1,0)</f>
        <v>1</v>
      </c>
      <c r="W1269" s="1" t="str">
        <f>+Tabla__192.168.1.8_POSEIDONSQL_APPFVT_01_tblFillRateFechas[[#This Row],[con_ocnumero]]&amp;Tabla__192.168.1.8_POSEIDONSQL_APPFVT_01_tblFillRateFechas[[#This Row],[con_codigounico]]</f>
        <v>91970760390050000697022040101</v>
      </c>
      <c r="X12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0" spans="1:24" x14ac:dyDescent="0.25">
      <c r="A1270">
        <v>9</v>
      </c>
      <c r="B1270" t="s">
        <v>48</v>
      </c>
      <c r="C1270">
        <v>9197187</v>
      </c>
      <c r="D1270" t="s">
        <v>162</v>
      </c>
      <c r="E1270" t="s">
        <v>427</v>
      </c>
      <c r="F1270" t="s">
        <v>160</v>
      </c>
      <c r="G1270">
        <v>1</v>
      </c>
      <c r="H1270">
        <v>1</v>
      </c>
      <c r="I1270" t="s">
        <v>427</v>
      </c>
      <c r="J1270">
        <v>0</v>
      </c>
      <c r="K1270" t="s">
        <v>1465</v>
      </c>
      <c r="L1270" s="1">
        <f>+Tabla__192.168.1.8_POSEIDONSQL_APPFVT_01_tblFillRateFechas[[#This Row],[emb_cantidad]]-Tabla__192.168.1.8_POSEIDONSQL_APPFVT_01_tblFillRateFechas[[#This Row],[dev_cantidad]]</f>
        <v>1</v>
      </c>
      <c r="M1270" s="1">
        <f>+IF(Tabla__192.168.1.8_POSEIDONSQL_APPFVT_01_tblFillRateFechas[[#This Row],[Cant_Resultante]]=Tabla__192.168.1.8_POSEIDONSQL_APPFVT_01_tblFillRateFechas[[#This Row],[cant_order]],1,0)</f>
        <v>1</v>
      </c>
      <c r="N12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0" s="1">
        <f>+IF(AND(Tabla__192.168.1.8_POSEIDONSQL_APPFVT_01_tblFillRateFechas[[#This Row],[Valida Cant]]=1,Tabla__192.168.1.8_POSEIDONSQL_APPFVT_01_tblFillRateFechas[[#This Row],[Valida Fec]]=1),1,0)</f>
        <v>1</v>
      </c>
      <c r="P1270" s="1">
        <f>+(Tabla__192.168.1.8_POSEIDONSQL_APPFVT_01_tblFillRateFechas[[#This Row],[Cant_Resultante]]/Tabla__192.168.1.8_POSEIDONSQL_APPFVT_01_tblFillRateFechas[[#This Row],[cant_order]])*100</f>
        <v>100</v>
      </c>
      <c r="Q12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0" s="1">
        <f>+IF(Tabla__192.168.1.8_POSEIDONSQL_APPFVT_01_tblFillRateFechas[[#This Row],[cant_order]]&gt;0,1,0)</f>
        <v>1</v>
      </c>
      <c r="V1270" s="1">
        <f>+IF(Tabla__192.168.1.8_POSEIDONSQL_APPFVT_01_tblFillRateFechas[[#This Row],[Resultado]]=1,1,0)</f>
        <v>1</v>
      </c>
      <c r="W1270" s="1" t="str">
        <f>+Tabla__192.168.1.8_POSEIDONSQL_APPFVT_01_tblFillRateFechas[[#This Row],[con_ocnumero]]&amp;Tabla__192.168.1.8_POSEIDONSQL_APPFVT_01_tblFillRateFechas[[#This Row],[con_codigounico]]</f>
        <v>91971870390050000697085190101</v>
      </c>
      <c r="X12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1" spans="1:24" x14ac:dyDescent="0.25">
      <c r="A1271">
        <v>9</v>
      </c>
      <c r="B1271" t="s">
        <v>48</v>
      </c>
      <c r="C1271">
        <v>9197240</v>
      </c>
      <c r="D1271" t="s">
        <v>162</v>
      </c>
      <c r="E1271" t="s">
        <v>426</v>
      </c>
      <c r="F1271" t="s">
        <v>160</v>
      </c>
      <c r="G1271">
        <v>1</v>
      </c>
      <c r="H1271">
        <v>1</v>
      </c>
      <c r="I1271" t="s">
        <v>426</v>
      </c>
      <c r="J1271">
        <v>0</v>
      </c>
      <c r="K1271" t="s">
        <v>1865</v>
      </c>
      <c r="L1271" s="1">
        <f>+Tabla__192.168.1.8_POSEIDONSQL_APPFVT_01_tblFillRateFechas[[#This Row],[emb_cantidad]]-Tabla__192.168.1.8_POSEIDONSQL_APPFVT_01_tblFillRateFechas[[#This Row],[dev_cantidad]]</f>
        <v>1</v>
      </c>
      <c r="M1271" s="1">
        <f>+IF(Tabla__192.168.1.8_POSEIDONSQL_APPFVT_01_tblFillRateFechas[[#This Row],[Cant_Resultante]]=Tabla__192.168.1.8_POSEIDONSQL_APPFVT_01_tblFillRateFechas[[#This Row],[cant_order]],1,0)</f>
        <v>1</v>
      </c>
      <c r="N12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1" s="1">
        <f>+IF(AND(Tabla__192.168.1.8_POSEIDONSQL_APPFVT_01_tblFillRateFechas[[#This Row],[Valida Cant]]=1,Tabla__192.168.1.8_POSEIDONSQL_APPFVT_01_tblFillRateFechas[[#This Row],[Valida Fec]]=1),1,0)</f>
        <v>1</v>
      </c>
      <c r="P1271" s="1">
        <f>+(Tabla__192.168.1.8_POSEIDONSQL_APPFVT_01_tblFillRateFechas[[#This Row],[Cant_Resultante]]/Tabla__192.168.1.8_POSEIDONSQL_APPFVT_01_tblFillRateFechas[[#This Row],[cant_order]])*100</f>
        <v>100</v>
      </c>
      <c r="Q12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1" s="1">
        <f>+IF(Tabla__192.168.1.8_POSEIDONSQL_APPFVT_01_tblFillRateFechas[[#This Row],[cant_order]]&gt;0,1,0)</f>
        <v>1</v>
      </c>
      <c r="V1271" s="1">
        <f>+IF(Tabla__192.168.1.8_POSEIDONSQL_APPFVT_01_tblFillRateFechas[[#This Row],[Resultado]]=1,1,0)</f>
        <v>1</v>
      </c>
      <c r="W1271" s="1" t="str">
        <f>+Tabla__192.168.1.8_POSEIDONSQL_APPFVT_01_tblFillRateFechas[[#This Row],[con_ocnumero]]&amp;Tabla__192.168.1.8_POSEIDONSQL_APPFVT_01_tblFillRateFechas[[#This Row],[con_codigounico]]</f>
        <v>91972400390050000697099710101</v>
      </c>
      <c r="X12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2" spans="1:24" x14ac:dyDescent="0.25">
      <c r="A1272">
        <v>9</v>
      </c>
      <c r="B1272" t="s">
        <v>48</v>
      </c>
      <c r="C1272">
        <v>9197208</v>
      </c>
      <c r="D1272" t="s">
        <v>162</v>
      </c>
      <c r="E1272" t="s">
        <v>1969</v>
      </c>
      <c r="F1272" t="s">
        <v>160</v>
      </c>
      <c r="G1272">
        <v>1</v>
      </c>
      <c r="H1272">
        <v>1</v>
      </c>
      <c r="I1272" t="s">
        <v>1969</v>
      </c>
      <c r="J1272">
        <v>0</v>
      </c>
      <c r="K1272" t="s">
        <v>1462</v>
      </c>
      <c r="L1272" s="1">
        <f>+Tabla__192.168.1.8_POSEIDONSQL_APPFVT_01_tblFillRateFechas[[#This Row],[emb_cantidad]]-Tabla__192.168.1.8_POSEIDONSQL_APPFVT_01_tblFillRateFechas[[#This Row],[dev_cantidad]]</f>
        <v>1</v>
      </c>
      <c r="M1272" s="1">
        <f>+IF(Tabla__192.168.1.8_POSEIDONSQL_APPFVT_01_tblFillRateFechas[[#This Row],[Cant_Resultante]]=Tabla__192.168.1.8_POSEIDONSQL_APPFVT_01_tblFillRateFechas[[#This Row],[cant_order]],1,0)</f>
        <v>1</v>
      </c>
      <c r="N12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2" s="1">
        <f>+IF(AND(Tabla__192.168.1.8_POSEIDONSQL_APPFVT_01_tblFillRateFechas[[#This Row],[Valida Cant]]=1,Tabla__192.168.1.8_POSEIDONSQL_APPFVT_01_tblFillRateFechas[[#This Row],[Valida Fec]]=1),1,0)</f>
        <v>1</v>
      </c>
      <c r="P1272" s="1">
        <f>+(Tabla__192.168.1.8_POSEIDONSQL_APPFVT_01_tblFillRateFechas[[#This Row],[Cant_Resultante]]/Tabla__192.168.1.8_POSEIDONSQL_APPFVT_01_tblFillRateFechas[[#This Row],[cant_order]])*100</f>
        <v>100</v>
      </c>
      <c r="Q12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2" s="1">
        <f>+IF(Tabla__192.168.1.8_POSEIDONSQL_APPFVT_01_tblFillRateFechas[[#This Row],[cant_order]]&gt;0,1,0)</f>
        <v>1</v>
      </c>
      <c r="V1272" s="1">
        <f>+IF(Tabla__192.168.1.8_POSEIDONSQL_APPFVT_01_tblFillRateFechas[[#This Row],[Resultado]]=1,1,0)</f>
        <v>1</v>
      </c>
      <c r="W1272" s="1" t="str">
        <f>+Tabla__192.168.1.8_POSEIDONSQL_APPFVT_01_tblFillRateFechas[[#This Row],[con_ocnumero]]&amp;Tabla__192.168.1.8_POSEIDONSQL_APPFVT_01_tblFillRateFechas[[#This Row],[con_codigounico]]</f>
        <v>91972080390050000697100120101</v>
      </c>
      <c r="X12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3" spans="1:24" x14ac:dyDescent="0.25">
      <c r="A1273">
        <v>9</v>
      </c>
      <c r="B1273" t="s">
        <v>48</v>
      </c>
      <c r="C1273">
        <v>9197240</v>
      </c>
      <c r="D1273" t="s">
        <v>162</v>
      </c>
      <c r="E1273" t="s">
        <v>427</v>
      </c>
      <c r="F1273" t="s">
        <v>160</v>
      </c>
      <c r="G1273">
        <v>1</v>
      </c>
      <c r="H1273">
        <v>1</v>
      </c>
      <c r="I1273" t="s">
        <v>427</v>
      </c>
      <c r="J1273">
        <v>0</v>
      </c>
      <c r="K1273" t="s">
        <v>1467</v>
      </c>
      <c r="L1273" s="1">
        <f>+Tabla__192.168.1.8_POSEIDONSQL_APPFVT_01_tblFillRateFechas[[#This Row],[emb_cantidad]]-Tabla__192.168.1.8_POSEIDONSQL_APPFVT_01_tblFillRateFechas[[#This Row],[dev_cantidad]]</f>
        <v>1</v>
      </c>
      <c r="M1273" s="1">
        <f>+IF(Tabla__192.168.1.8_POSEIDONSQL_APPFVT_01_tblFillRateFechas[[#This Row],[Cant_Resultante]]=Tabla__192.168.1.8_POSEIDONSQL_APPFVT_01_tblFillRateFechas[[#This Row],[cant_order]],1,0)</f>
        <v>1</v>
      </c>
      <c r="N12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3" s="1">
        <f>+IF(AND(Tabla__192.168.1.8_POSEIDONSQL_APPFVT_01_tblFillRateFechas[[#This Row],[Valida Cant]]=1,Tabla__192.168.1.8_POSEIDONSQL_APPFVT_01_tblFillRateFechas[[#This Row],[Valida Fec]]=1),1,0)</f>
        <v>1</v>
      </c>
      <c r="P1273" s="1">
        <f>+(Tabla__192.168.1.8_POSEIDONSQL_APPFVT_01_tblFillRateFechas[[#This Row],[Cant_Resultante]]/Tabla__192.168.1.8_POSEIDONSQL_APPFVT_01_tblFillRateFechas[[#This Row],[cant_order]])*100</f>
        <v>100</v>
      </c>
      <c r="Q12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3" s="1">
        <f>+IF(Tabla__192.168.1.8_POSEIDONSQL_APPFVT_01_tblFillRateFechas[[#This Row],[cant_order]]&gt;0,1,0)</f>
        <v>1</v>
      </c>
      <c r="V1273" s="1">
        <f>+IF(Tabla__192.168.1.8_POSEIDONSQL_APPFVT_01_tblFillRateFechas[[#This Row],[Resultado]]=1,1,0)</f>
        <v>1</v>
      </c>
      <c r="W1273" s="1" t="str">
        <f>+Tabla__192.168.1.8_POSEIDONSQL_APPFVT_01_tblFillRateFechas[[#This Row],[con_ocnumero]]&amp;Tabla__192.168.1.8_POSEIDONSQL_APPFVT_01_tblFillRateFechas[[#This Row],[con_codigounico]]</f>
        <v>91972400390050000697105730101</v>
      </c>
      <c r="X12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4" spans="1:24" x14ac:dyDescent="0.25">
      <c r="A1274">
        <v>9</v>
      </c>
      <c r="B1274" t="s">
        <v>48</v>
      </c>
      <c r="C1274">
        <v>9197240</v>
      </c>
      <c r="D1274" t="s">
        <v>162</v>
      </c>
      <c r="E1274" t="s">
        <v>427</v>
      </c>
      <c r="F1274" t="s">
        <v>160</v>
      </c>
      <c r="G1274">
        <v>1</v>
      </c>
      <c r="H1274">
        <v>1</v>
      </c>
      <c r="I1274" t="s">
        <v>427</v>
      </c>
      <c r="J1274">
        <v>0</v>
      </c>
      <c r="K1274" t="s">
        <v>1466</v>
      </c>
      <c r="L1274" s="1">
        <f>+Tabla__192.168.1.8_POSEIDONSQL_APPFVT_01_tblFillRateFechas[[#This Row],[emb_cantidad]]-Tabla__192.168.1.8_POSEIDONSQL_APPFVT_01_tblFillRateFechas[[#This Row],[dev_cantidad]]</f>
        <v>1</v>
      </c>
      <c r="M1274" s="1">
        <f>+IF(Tabla__192.168.1.8_POSEIDONSQL_APPFVT_01_tblFillRateFechas[[#This Row],[Cant_Resultante]]=Tabla__192.168.1.8_POSEIDONSQL_APPFVT_01_tblFillRateFechas[[#This Row],[cant_order]],1,0)</f>
        <v>1</v>
      </c>
      <c r="N12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4" s="1">
        <f>+IF(AND(Tabla__192.168.1.8_POSEIDONSQL_APPFVT_01_tblFillRateFechas[[#This Row],[Valida Cant]]=1,Tabla__192.168.1.8_POSEIDONSQL_APPFVT_01_tblFillRateFechas[[#This Row],[Valida Fec]]=1),1,0)</f>
        <v>1</v>
      </c>
      <c r="P1274" s="1">
        <f>+(Tabla__192.168.1.8_POSEIDONSQL_APPFVT_01_tblFillRateFechas[[#This Row],[Cant_Resultante]]/Tabla__192.168.1.8_POSEIDONSQL_APPFVT_01_tblFillRateFechas[[#This Row],[cant_order]])*100</f>
        <v>100</v>
      </c>
      <c r="Q12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4" s="1">
        <f>+IF(Tabla__192.168.1.8_POSEIDONSQL_APPFVT_01_tblFillRateFechas[[#This Row],[cant_order]]&gt;0,1,0)</f>
        <v>1</v>
      </c>
      <c r="V1274" s="1">
        <f>+IF(Tabla__192.168.1.8_POSEIDONSQL_APPFVT_01_tblFillRateFechas[[#This Row],[Resultado]]=1,1,0)</f>
        <v>1</v>
      </c>
      <c r="W1274" s="1" t="str">
        <f>+Tabla__192.168.1.8_POSEIDONSQL_APPFVT_01_tblFillRateFechas[[#This Row],[con_ocnumero]]&amp;Tabla__192.168.1.8_POSEIDONSQL_APPFVT_01_tblFillRateFechas[[#This Row],[con_codigounico]]</f>
        <v>91972400390050000697107070101</v>
      </c>
      <c r="X12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5" spans="1:24" x14ac:dyDescent="0.25">
      <c r="A1275">
        <v>9</v>
      </c>
      <c r="B1275" t="s">
        <v>48</v>
      </c>
      <c r="C1275">
        <v>9197273</v>
      </c>
      <c r="D1275" t="s">
        <v>162</v>
      </c>
      <c r="E1275" t="s">
        <v>427</v>
      </c>
      <c r="F1275" t="s">
        <v>160</v>
      </c>
      <c r="G1275">
        <v>1</v>
      </c>
      <c r="H1275">
        <v>1</v>
      </c>
      <c r="I1275" t="s">
        <v>427</v>
      </c>
      <c r="J1275">
        <v>0</v>
      </c>
      <c r="K1275" t="s">
        <v>1469</v>
      </c>
      <c r="L1275" s="1">
        <f>+Tabla__192.168.1.8_POSEIDONSQL_APPFVT_01_tblFillRateFechas[[#This Row],[emb_cantidad]]-Tabla__192.168.1.8_POSEIDONSQL_APPFVT_01_tblFillRateFechas[[#This Row],[dev_cantidad]]</f>
        <v>1</v>
      </c>
      <c r="M1275" s="1">
        <f>+IF(Tabla__192.168.1.8_POSEIDONSQL_APPFVT_01_tblFillRateFechas[[#This Row],[Cant_Resultante]]=Tabla__192.168.1.8_POSEIDONSQL_APPFVT_01_tblFillRateFechas[[#This Row],[cant_order]],1,0)</f>
        <v>1</v>
      </c>
      <c r="N12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5" s="1">
        <f>+IF(AND(Tabla__192.168.1.8_POSEIDONSQL_APPFVT_01_tblFillRateFechas[[#This Row],[Valida Cant]]=1,Tabla__192.168.1.8_POSEIDONSQL_APPFVT_01_tblFillRateFechas[[#This Row],[Valida Fec]]=1),1,0)</f>
        <v>1</v>
      </c>
      <c r="P1275" s="1">
        <f>+(Tabla__192.168.1.8_POSEIDONSQL_APPFVT_01_tblFillRateFechas[[#This Row],[Cant_Resultante]]/Tabla__192.168.1.8_POSEIDONSQL_APPFVT_01_tblFillRateFechas[[#This Row],[cant_order]])*100</f>
        <v>100</v>
      </c>
      <c r="Q12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5" s="1">
        <f>+IF(Tabla__192.168.1.8_POSEIDONSQL_APPFVT_01_tblFillRateFechas[[#This Row],[cant_order]]&gt;0,1,0)</f>
        <v>1</v>
      </c>
      <c r="V1275" s="1">
        <f>+IF(Tabla__192.168.1.8_POSEIDONSQL_APPFVT_01_tblFillRateFechas[[#This Row],[Resultado]]=1,1,0)</f>
        <v>1</v>
      </c>
      <c r="W1275" s="1" t="str">
        <f>+Tabla__192.168.1.8_POSEIDONSQL_APPFVT_01_tblFillRateFechas[[#This Row],[con_ocnumero]]&amp;Tabla__192.168.1.8_POSEIDONSQL_APPFVT_01_tblFillRateFechas[[#This Row],[con_codigounico]]</f>
        <v>91972730390050000697114510101</v>
      </c>
      <c r="X12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6" spans="1:24" x14ac:dyDescent="0.25">
      <c r="A1276">
        <v>9</v>
      </c>
      <c r="B1276" t="s">
        <v>48</v>
      </c>
      <c r="C1276">
        <v>9197273</v>
      </c>
      <c r="D1276" t="s">
        <v>162</v>
      </c>
      <c r="E1276" t="s">
        <v>427</v>
      </c>
      <c r="F1276" t="s">
        <v>160</v>
      </c>
      <c r="G1276">
        <v>1</v>
      </c>
      <c r="H1276">
        <v>1</v>
      </c>
      <c r="I1276" t="s">
        <v>427</v>
      </c>
      <c r="J1276">
        <v>0</v>
      </c>
      <c r="K1276" t="s">
        <v>1468</v>
      </c>
      <c r="L1276" s="1">
        <f>+Tabla__192.168.1.8_POSEIDONSQL_APPFVT_01_tblFillRateFechas[[#This Row],[emb_cantidad]]-Tabla__192.168.1.8_POSEIDONSQL_APPFVT_01_tblFillRateFechas[[#This Row],[dev_cantidad]]</f>
        <v>1</v>
      </c>
      <c r="M1276" s="1">
        <f>+IF(Tabla__192.168.1.8_POSEIDONSQL_APPFVT_01_tblFillRateFechas[[#This Row],[Cant_Resultante]]=Tabla__192.168.1.8_POSEIDONSQL_APPFVT_01_tblFillRateFechas[[#This Row],[cant_order]],1,0)</f>
        <v>1</v>
      </c>
      <c r="N12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6" s="1">
        <f>+IF(AND(Tabla__192.168.1.8_POSEIDONSQL_APPFVT_01_tblFillRateFechas[[#This Row],[Valida Cant]]=1,Tabla__192.168.1.8_POSEIDONSQL_APPFVT_01_tblFillRateFechas[[#This Row],[Valida Fec]]=1),1,0)</f>
        <v>1</v>
      </c>
      <c r="P1276" s="1">
        <f>+(Tabla__192.168.1.8_POSEIDONSQL_APPFVT_01_tblFillRateFechas[[#This Row],[Cant_Resultante]]/Tabla__192.168.1.8_POSEIDONSQL_APPFVT_01_tblFillRateFechas[[#This Row],[cant_order]])*100</f>
        <v>100</v>
      </c>
      <c r="Q12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6" s="1">
        <f>+IF(Tabla__192.168.1.8_POSEIDONSQL_APPFVT_01_tblFillRateFechas[[#This Row],[cant_order]]&gt;0,1,0)</f>
        <v>1</v>
      </c>
      <c r="V1276" s="1">
        <f>+IF(Tabla__192.168.1.8_POSEIDONSQL_APPFVT_01_tblFillRateFechas[[#This Row],[Resultado]]=1,1,0)</f>
        <v>1</v>
      </c>
      <c r="W1276" s="1" t="str">
        <f>+Tabla__192.168.1.8_POSEIDONSQL_APPFVT_01_tblFillRateFechas[[#This Row],[con_ocnumero]]&amp;Tabla__192.168.1.8_POSEIDONSQL_APPFVT_01_tblFillRateFechas[[#This Row],[con_codigounico]]</f>
        <v>91972730390050000697115460101</v>
      </c>
      <c r="X12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7" spans="1:24" x14ac:dyDescent="0.25">
      <c r="A1277">
        <v>9</v>
      </c>
      <c r="B1277" t="s">
        <v>48</v>
      </c>
      <c r="C1277">
        <v>9197273</v>
      </c>
      <c r="D1277" t="s">
        <v>162</v>
      </c>
      <c r="E1277" t="s">
        <v>426</v>
      </c>
      <c r="F1277" t="s">
        <v>160</v>
      </c>
      <c r="G1277">
        <v>1</v>
      </c>
      <c r="H1277">
        <v>1</v>
      </c>
      <c r="I1277" t="s">
        <v>426</v>
      </c>
      <c r="J1277">
        <v>0</v>
      </c>
      <c r="K1277" t="s">
        <v>1866</v>
      </c>
      <c r="L1277" s="1">
        <f>+Tabla__192.168.1.8_POSEIDONSQL_APPFVT_01_tblFillRateFechas[[#This Row],[emb_cantidad]]-Tabla__192.168.1.8_POSEIDONSQL_APPFVT_01_tblFillRateFechas[[#This Row],[dev_cantidad]]</f>
        <v>1</v>
      </c>
      <c r="M1277" s="1">
        <f>+IF(Tabla__192.168.1.8_POSEIDONSQL_APPFVT_01_tblFillRateFechas[[#This Row],[Cant_Resultante]]=Tabla__192.168.1.8_POSEIDONSQL_APPFVT_01_tblFillRateFechas[[#This Row],[cant_order]],1,0)</f>
        <v>1</v>
      </c>
      <c r="N12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7" s="1">
        <f>+IF(AND(Tabla__192.168.1.8_POSEIDONSQL_APPFVT_01_tblFillRateFechas[[#This Row],[Valida Cant]]=1,Tabla__192.168.1.8_POSEIDONSQL_APPFVT_01_tblFillRateFechas[[#This Row],[Valida Fec]]=1),1,0)</f>
        <v>1</v>
      </c>
      <c r="P1277" s="1">
        <f>+(Tabla__192.168.1.8_POSEIDONSQL_APPFVT_01_tblFillRateFechas[[#This Row],[Cant_Resultante]]/Tabla__192.168.1.8_POSEIDONSQL_APPFVT_01_tblFillRateFechas[[#This Row],[cant_order]])*100</f>
        <v>100</v>
      </c>
      <c r="Q12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7" s="1">
        <f>+IF(Tabla__192.168.1.8_POSEIDONSQL_APPFVT_01_tblFillRateFechas[[#This Row],[cant_order]]&gt;0,1,0)</f>
        <v>1</v>
      </c>
      <c r="V1277" s="1">
        <f>+IF(Tabla__192.168.1.8_POSEIDONSQL_APPFVT_01_tblFillRateFechas[[#This Row],[Resultado]]=1,1,0)</f>
        <v>1</v>
      </c>
      <c r="W1277" s="1" t="str">
        <f>+Tabla__192.168.1.8_POSEIDONSQL_APPFVT_01_tblFillRateFechas[[#This Row],[con_ocnumero]]&amp;Tabla__192.168.1.8_POSEIDONSQL_APPFVT_01_tblFillRateFechas[[#This Row],[con_codigounico]]</f>
        <v>91972730390050000697134290101</v>
      </c>
      <c r="X12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8" spans="1:24" x14ac:dyDescent="0.25">
      <c r="A1278">
        <v>9</v>
      </c>
      <c r="B1278" t="s">
        <v>48</v>
      </c>
      <c r="C1278">
        <v>9197775</v>
      </c>
      <c r="D1278" t="s">
        <v>160</v>
      </c>
      <c r="E1278" t="s">
        <v>426</v>
      </c>
      <c r="F1278" t="s">
        <v>161</v>
      </c>
      <c r="G1278">
        <v>1</v>
      </c>
      <c r="H1278">
        <v>1</v>
      </c>
      <c r="I1278" t="s">
        <v>426</v>
      </c>
      <c r="J1278">
        <v>0</v>
      </c>
      <c r="K1278" t="s">
        <v>1864</v>
      </c>
      <c r="L1278" s="1">
        <f>+Tabla__192.168.1.8_POSEIDONSQL_APPFVT_01_tblFillRateFechas[[#This Row],[emb_cantidad]]-Tabla__192.168.1.8_POSEIDONSQL_APPFVT_01_tblFillRateFechas[[#This Row],[dev_cantidad]]</f>
        <v>1</v>
      </c>
      <c r="M1278" s="1">
        <f>+IF(Tabla__192.168.1.8_POSEIDONSQL_APPFVT_01_tblFillRateFechas[[#This Row],[Cant_Resultante]]=Tabla__192.168.1.8_POSEIDONSQL_APPFVT_01_tblFillRateFechas[[#This Row],[cant_order]],1,0)</f>
        <v>1</v>
      </c>
      <c r="N12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8" s="1">
        <f>+IF(AND(Tabla__192.168.1.8_POSEIDONSQL_APPFVT_01_tblFillRateFechas[[#This Row],[Valida Cant]]=1,Tabla__192.168.1.8_POSEIDONSQL_APPFVT_01_tblFillRateFechas[[#This Row],[Valida Fec]]=1),1,0)</f>
        <v>1</v>
      </c>
      <c r="P1278" s="1">
        <f>+(Tabla__192.168.1.8_POSEIDONSQL_APPFVT_01_tblFillRateFechas[[#This Row],[Cant_Resultante]]/Tabla__192.168.1.8_POSEIDONSQL_APPFVT_01_tblFillRateFechas[[#This Row],[cant_order]])*100</f>
        <v>100</v>
      </c>
      <c r="Q12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8" s="1">
        <f>+IF(Tabla__192.168.1.8_POSEIDONSQL_APPFVT_01_tblFillRateFechas[[#This Row],[cant_order]]&gt;0,1,0)</f>
        <v>1</v>
      </c>
      <c r="V1278" s="1">
        <f>+IF(Tabla__192.168.1.8_POSEIDONSQL_APPFVT_01_tblFillRateFechas[[#This Row],[Resultado]]=1,1,0)</f>
        <v>1</v>
      </c>
      <c r="W1278" s="1" t="str">
        <f>+Tabla__192.168.1.8_POSEIDONSQL_APPFVT_01_tblFillRateFechas[[#This Row],[con_ocnumero]]&amp;Tabla__192.168.1.8_POSEIDONSQL_APPFVT_01_tblFillRateFechas[[#This Row],[con_codigounico]]</f>
        <v>91977750390050000697219240103</v>
      </c>
      <c r="X12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79" spans="1:24" x14ac:dyDescent="0.25">
      <c r="A1279">
        <v>9</v>
      </c>
      <c r="B1279" t="s">
        <v>48</v>
      </c>
      <c r="C1279">
        <v>9197392</v>
      </c>
      <c r="D1279" t="s">
        <v>160</v>
      </c>
      <c r="E1279" t="s">
        <v>427</v>
      </c>
      <c r="F1279" t="s">
        <v>161</v>
      </c>
      <c r="G1279">
        <v>1</v>
      </c>
      <c r="H1279">
        <v>1</v>
      </c>
      <c r="I1279" t="s">
        <v>427</v>
      </c>
      <c r="J1279">
        <v>0</v>
      </c>
      <c r="K1279" t="s">
        <v>1859</v>
      </c>
      <c r="L1279" s="1">
        <f>+Tabla__192.168.1.8_POSEIDONSQL_APPFVT_01_tblFillRateFechas[[#This Row],[emb_cantidad]]-Tabla__192.168.1.8_POSEIDONSQL_APPFVT_01_tblFillRateFechas[[#This Row],[dev_cantidad]]</f>
        <v>1</v>
      </c>
      <c r="M1279" s="1">
        <f>+IF(Tabla__192.168.1.8_POSEIDONSQL_APPFVT_01_tblFillRateFechas[[#This Row],[Cant_Resultante]]=Tabla__192.168.1.8_POSEIDONSQL_APPFVT_01_tblFillRateFechas[[#This Row],[cant_order]],1,0)</f>
        <v>1</v>
      </c>
      <c r="N12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79" s="1">
        <f>+IF(AND(Tabla__192.168.1.8_POSEIDONSQL_APPFVT_01_tblFillRateFechas[[#This Row],[Valida Cant]]=1,Tabla__192.168.1.8_POSEIDONSQL_APPFVT_01_tblFillRateFechas[[#This Row],[Valida Fec]]=1),1,0)</f>
        <v>1</v>
      </c>
      <c r="P1279" s="1">
        <f>+(Tabla__192.168.1.8_POSEIDONSQL_APPFVT_01_tblFillRateFechas[[#This Row],[Cant_Resultante]]/Tabla__192.168.1.8_POSEIDONSQL_APPFVT_01_tblFillRateFechas[[#This Row],[cant_order]])*100</f>
        <v>100</v>
      </c>
      <c r="Q12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79" s="1">
        <f>+IF(Tabla__192.168.1.8_POSEIDONSQL_APPFVT_01_tblFillRateFechas[[#This Row],[cant_order]]&gt;0,1,0)</f>
        <v>1</v>
      </c>
      <c r="V1279" s="1">
        <f>+IF(Tabla__192.168.1.8_POSEIDONSQL_APPFVT_01_tblFillRateFechas[[#This Row],[Resultado]]=1,1,0)</f>
        <v>1</v>
      </c>
      <c r="W1279" s="1" t="str">
        <f>+Tabla__192.168.1.8_POSEIDONSQL_APPFVT_01_tblFillRateFechas[[#This Row],[con_ocnumero]]&amp;Tabla__192.168.1.8_POSEIDONSQL_APPFVT_01_tblFillRateFechas[[#This Row],[con_codigounico]]</f>
        <v>91973920390050000697254930101</v>
      </c>
      <c r="X12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0" spans="1:24" x14ac:dyDescent="0.25">
      <c r="A1280">
        <v>9</v>
      </c>
      <c r="B1280" t="s">
        <v>48</v>
      </c>
      <c r="C1280">
        <v>9197775</v>
      </c>
      <c r="D1280" t="s">
        <v>160</v>
      </c>
      <c r="E1280" t="s">
        <v>416</v>
      </c>
      <c r="F1280" t="s">
        <v>161</v>
      </c>
      <c r="G1280">
        <v>1</v>
      </c>
      <c r="H1280">
        <v>1</v>
      </c>
      <c r="I1280" t="s">
        <v>416</v>
      </c>
      <c r="J1280">
        <v>0</v>
      </c>
      <c r="K1280" t="s">
        <v>999</v>
      </c>
      <c r="L1280" s="1">
        <f>+Tabla__192.168.1.8_POSEIDONSQL_APPFVT_01_tblFillRateFechas[[#This Row],[emb_cantidad]]-Tabla__192.168.1.8_POSEIDONSQL_APPFVT_01_tblFillRateFechas[[#This Row],[dev_cantidad]]</f>
        <v>1</v>
      </c>
      <c r="M1280" s="1">
        <f>+IF(Tabla__192.168.1.8_POSEIDONSQL_APPFVT_01_tblFillRateFechas[[#This Row],[Cant_Resultante]]=Tabla__192.168.1.8_POSEIDONSQL_APPFVT_01_tblFillRateFechas[[#This Row],[cant_order]],1,0)</f>
        <v>1</v>
      </c>
      <c r="N12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0" s="1">
        <f>+IF(AND(Tabla__192.168.1.8_POSEIDONSQL_APPFVT_01_tblFillRateFechas[[#This Row],[Valida Cant]]=1,Tabla__192.168.1.8_POSEIDONSQL_APPFVT_01_tblFillRateFechas[[#This Row],[Valida Fec]]=1),1,0)</f>
        <v>1</v>
      </c>
      <c r="P1280" s="1">
        <f>+(Tabla__192.168.1.8_POSEIDONSQL_APPFVT_01_tblFillRateFechas[[#This Row],[Cant_Resultante]]/Tabla__192.168.1.8_POSEIDONSQL_APPFVT_01_tblFillRateFechas[[#This Row],[cant_order]])*100</f>
        <v>100</v>
      </c>
      <c r="Q12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0" s="1">
        <f>+IF(Tabla__192.168.1.8_POSEIDONSQL_APPFVT_01_tblFillRateFechas[[#This Row],[cant_order]]&gt;0,1,0)</f>
        <v>1</v>
      </c>
      <c r="V1280" s="1">
        <f>+IF(Tabla__192.168.1.8_POSEIDONSQL_APPFVT_01_tblFillRateFechas[[#This Row],[Resultado]]=1,1,0)</f>
        <v>1</v>
      </c>
      <c r="W1280" s="1" t="str">
        <f>+Tabla__192.168.1.8_POSEIDONSQL_APPFVT_01_tblFillRateFechas[[#This Row],[con_ocnumero]]&amp;Tabla__192.168.1.8_POSEIDONSQL_APPFVT_01_tblFillRateFechas[[#This Row],[con_codigounico]]</f>
        <v>91977750390050000697330370101</v>
      </c>
      <c r="X12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1" spans="1:24" x14ac:dyDescent="0.25">
      <c r="A1281">
        <v>9</v>
      </c>
      <c r="B1281" t="s">
        <v>48</v>
      </c>
      <c r="C1281">
        <v>9197495</v>
      </c>
      <c r="D1281" t="s">
        <v>160</v>
      </c>
      <c r="E1281" t="s">
        <v>427</v>
      </c>
      <c r="F1281" t="s">
        <v>161</v>
      </c>
      <c r="G1281">
        <v>1</v>
      </c>
      <c r="H1281">
        <v>1</v>
      </c>
      <c r="I1281" t="s">
        <v>427</v>
      </c>
      <c r="J1281">
        <v>0</v>
      </c>
      <c r="K1281" t="s">
        <v>1855</v>
      </c>
      <c r="L1281" s="1">
        <f>+Tabla__192.168.1.8_POSEIDONSQL_APPFVT_01_tblFillRateFechas[[#This Row],[emb_cantidad]]-Tabla__192.168.1.8_POSEIDONSQL_APPFVT_01_tblFillRateFechas[[#This Row],[dev_cantidad]]</f>
        <v>1</v>
      </c>
      <c r="M1281" s="1">
        <f>+IF(Tabla__192.168.1.8_POSEIDONSQL_APPFVT_01_tblFillRateFechas[[#This Row],[Cant_Resultante]]=Tabla__192.168.1.8_POSEIDONSQL_APPFVT_01_tblFillRateFechas[[#This Row],[cant_order]],1,0)</f>
        <v>1</v>
      </c>
      <c r="N12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1" s="1">
        <f>+IF(AND(Tabla__192.168.1.8_POSEIDONSQL_APPFVT_01_tblFillRateFechas[[#This Row],[Valida Cant]]=1,Tabla__192.168.1.8_POSEIDONSQL_APPFVT_01_tblFillRateFechas[[#This Row],[Valida Fec]]=1),1,0)</f>
        <v>1</v>
      </c>
      <c r="P1281" s="1">
        <f>+(Tabla__192.168.1.8_POSEIDONSQL_APPFVT_01_tblFillRateFechas[[#This Row],[Cant_Resultante]]/Tabla__192.168.1.8_POSEIDONSQL_APPFVT_01_tblFillRateFechas[[#This Row],[cant_order]])*100</f>
        <v>100</v>
      </c>
      <c r="Q12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1" s="1">
        <f>+IF(Tabla__192.168.1.8_POSEIDONSQL_APPFVT_01_tblFillRateFechas[[#This Row],[cant_order]]&gt;0,1,0)</f>
        <v>1</v>
      </c>
      <c r="V1281" s="1">
        <f>+IF(Tabla__192.168.1.8_POSEIDONSQL_APPFVT_01_tblFillRateFechas[[#This Row],[Resultado]]=1,1,0)</f>
        <v>1</v>
      </c>
      <c r="W1281" s="1" t="str">
        <f>+Tabla__192.168.1.8_POSEIDONSQL_APPFVT_01_tblFillRateFechas[[#This Row],[con_ocnumero]]&amp;Tabla__192.168.1.8_POSEIDONSQL_APPFVT_01_tblFillRateFechas[[#This Row],[con_codigounico]]</f>
        <v>91974950390050000697573640101</v>
      </c>
      <c r="X12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2" spans="1:24" x14ac:dyDescent="0.25">
      <c r="A1282">
        <v>9</v>
      </c>
      <c r="B1282" t="s">
        <v>48</v>
      </c>
      <c r="C1282">
        <v>9197571</v>
      </c>
      <c r="D1282" t="s">
        <v>160</v>
      </c>
      <c r="E1282" t="s">
        <v>427</v>
      </c>
      <c r="F1282" t="s">
        <v>161</v>
      </c>
      <c r="G1282">
        <v>1</v>
      </c>
      <c r="H1282">
        <v>1</v>
      </c>
      <c r="I1282" t="s">
        <v>427</v>
      </c>
      <c r="J1282">
        <v>0</v>
      </c>
      <c r="K1282" t="s">
        <v>1856</v>
      </c>
      <c r="L1282" s="1">
        <f>+Tabla__192.168.1.8_POSEIDONSQL_APPFVT_01_tblFillRateFechas[[#This Row],[emb_cantidad]]-Tabla__192.168.1.8_POSEIDONSQL_APPFVT_01_tblFillRateFechas[[#This Row],[dev_cantidad]]</f>
        <v>1</v>
      </c>
      <c r="M1282" s="1">
        <f>+IF(Tabla__192.168.1.8_POSEIDONSQL_APPFVT_01_tblFillRateFechas[[#This Row],[Cant_Resultante]]=Tabla__192.168.1.8_POSEIDONSQL_APPFVT_01_tblFillRateFechas[[#This Row],[cant_order]],1,0)</f>
        <v>1</v>
      </c>
      <c r="N12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2" s="1">
        <f>+IF(AND(Tabla__192.168.1.8_POSEIDONSQL_APPFVT_01_tblFillRateFechas[[#This Row],[Valida Cant]]=1,Tabla__192.168.1.8_POSEIDONSQL_APPFVT_01_tblFillRateFechas[[#This Row],[Valida Fec]]=1),1,0)</f>
        <v>1</v>
      </c>
      <c r="P1282" s="1">
        <f>+(Tabla__192.168.1.8_POSEIDONSQL_APPFVT_01_tblFillRateFechas[[#This Row],[Cant_Resultante]]/Tabla__192.168.1.8_POSEIDONSQL_APPFVT_01_tblFillRateFechas[[#This Row],[cant_order]])*100</f>
        <v>100</v>
      </c>
      <c r="Q12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2" s="1">
        <f>+IF(Tabla__192.168.1.8_POSEIDONSQL_APPFVT_01_tblFillRateFechas[[#This Row],[cant_order]]&gt;0,1,0)</f>
        <v>1</v>
      </c>
      <c r="V1282" s="1">
        <f>+IF(Tabla__192.168.1.8_POSEIDONSQL_APPFVT_01_tblFillRateFechas[[#This Row],[Resultado]]=1,1,0)</f>
        <v>1</v>
      </c>
      <c r="W1282" s="1" t="str">
        <f>+Tabla__192.168.1.8_POSEIDONSQL_APPFVT_01_tblFillRateFechas[[#This Row],[con_ocnumero]]&amp;Tabla__192.168.1.8_POSEIDONSQL_APPFVT_01_tblFillRateFechas[[#This Row],[con_codigounico]]</f>
        <v>91975710390050000697674880101</v>
      </c>
      <c r="X12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3" spans="1:24" x14ac:dyDescent="0.25">
      <c r="A1283">
        <v>9</v>
      </c>
      <c r="B1283" t="s">
        <v>48</v>
      </c>
      <c r="C1283">
        <v>9197571</v>
      </c>
      <c r="D1283" t="s">
        <v>160</v>
      </c>
      <c r="E1283" t="s">
        <v>416</v>
      </c>
      <c r="F1283" t="s">
        <v>161</v>
      </c>
      <c r="G1283">
        <v>1</v>
      </c>
      <c r="H1283">
        <v>1</v>
      </c>
      <c r="I1283" t="s">
        <v>416</v>
      </c>
      <c r="J1283">
        <v>0</v>
      </c>
      <c r="K1283" t="s">
        <v>998</v>
      </c>
      <c r="L1283" s="1">
        <f>+Tabla__192.168.1.8_POSEIDONSQL_APPFVT_01_tblFillRateFechas[[#This Row],[emb_cantidad]]-Tabla__192.168.1.8_POSEIDONSQL_APPFVT_01_tblFillRateFechas[[#This Row],[dev_cantidad]]</f>
        <v>1</v>
      </c>
      <c r="M1283" s="1">
        <f>+IF(Tabla__192.168.1.8_POSEIDONSQL_APPFVT_01_tblFillRateFechas[[#This Row],[Cant_Resultante]]=Tabla__192.168.1.8_POSEIDONSQL_APPFVT_01_tblFillRateFechas[[#This Row],[cant_order]],1,0)</f>
        <v>1</v>
      </c>
      <c r="N12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3" s="1">
        <f>+IF(AND(Tabla__192.168.1.8_POSEIDONSQL_APPFVT_01_tblFillRateFechas[[#This Row],[Valida Cant]]=1,Tabla__192.168.1.8_POSEIDONSQL_APPFVT_01_tblFillRateFechas[[#This Row],[Valida Fec]]=1),1,0)</f>
        <v>1</v>
      </c>
      <c r="P1283" s="1">
        <f>+(Tabla__192.168.1.8_POSEIDONSQL_APPFVT_01_tblFillRateFechas[[#This Row],[Cant_Resultante]]/Tabla__192.168.1.8_POSEIDONSQL_APPFVT_01_tblFillRateFechas[[#This Row],[cant_order]])*100</f>
        <v>100</v>
      </c>
      <c r="Q12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3" s="1">
        <f>+IF(Tabla__192.168.1.8_POSEIDONSQL_APPFVT_01_tblFillRateFechas[[#This Row],[cant_order]]&gt;0,1,0)</f>
        <v>1</v>
      </c>
      <c r="V1283" s="1">
        <f>+IF(Tabla__192.168.1.8_POSEIDONSQL_APPFVT_01_tblFillRateFechas[[#This Row],[Resultado]]=1,1,0)</f>
        <v>1</v>
      </c>
      <c r="W1283" s="1" t="str">
        <f>+Tabla__192.168.1.8_POSEIDONSQL_APPFVT_01_tblFillRateFechas[[#This Row],[con_ocnumero]]&amp;Tabla__192.168.1.8_POSEIDONSQL_APPFVT_01_tblFillRateFechas[[#This Row],[con_codigounico]]</f>
        <v>91975710390050000697758990101</v>
      </c>
      <c r="X12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4" spans="1:24" x14ac:dyDescent="0.25">
      <c r="A1284">
        <v>9</v>
      </c>
      <c r="B1284" t="s">
        <v>48</v>
      </c>
      <c r="C1284">
        <v>9197775</v>
      </c>
      <c r="D1284" t="s">
        <v>160</v>
      </c>
      <c r="E1284" t="s">
        <v>427</v>
      </c>
      <c r="F1284" t="s">
        <v>161</v>
      </c>
      <c r="G1284">
        <v>1</v>
      </c>
      <c r="H1284">
        <v>1</v>
      </c>
      <c r="I1284" t="s">
        <v>427</v>
      </c>
      <c r="J1284">
        <v>0</v>
      </c>
      <c r="K1284" t="s">
        <v>1857</v>
      </c>
      <c r="L1284" s="1">
        <f>+Tabla__192.168.1.8_POSEIDONSQL_APPFVT_01_tblFillRateFechas[[#This Row],[emb_cantidad]]-Tabla__192.168.1.8_POSEIDONSQL_APPFVT_01_tblFillRateFechas[[#This Row],[dev_cantidad]]</f>
        <v>1</v>
      </c>
      <c r="M1284" s="1">
        <f>+IF(Tabla__192.168.1.8_POSEIDONSQL_APPFVT_01_tblFillRateFechas[[#This Row],[Cant_Resultante]]=Tabla__192.168.1.8_POSEIDONSQL_APPFVT_01_tblFillRateFechas[[#This Row],[cant_order]],1,0)</f>
        <v>1</v>
      </c>
      <c r="N12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4" s="1">
        <f>+IF(AND(Tabla__192.168.1.8_POSEIDONSQL_APPFVT_01_tblFillRateFechas[[#This Row],[Valida Cant]]=1,Tabla__192.168.1.8_POSEIDONSQL_APPFVT_01_tblFillRateFechas[[#This Row],[Valida Fec]]=1),1,0)</f>
        <v>1</v>
      </c>
      <c r="P1284" s="1">
        <f>+(Tabla__192.168.1.8_POSEIDONSQL_APPFVT_01_tblFillRateFechas[[#This Row],[Cant_Resultante]]/Tabla__192.168.1.8_POSEIDONSQL_APPFVT_01_tblFillRateFechas[[#This Row],[cant_order]])*100</f>
        <v>100</v>
      </c>
      <c r="Q12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4" s="1">
        <f>+IF(Tabla__192.168.1.8_POSEIDONSQL_APPFVT_01_tblFillRateFechas[[#This Row],[cant_order]]&gt;0,1,0)</f>
        <v>1</v>
      </c>
      <c r="V1284" s="1">
        <f>+IF(Tabla__192.168.1.8_POSEIDONSQL_APPFVT_01_tblFillRateFechas[[#This Row],[Resultado]]=1,1,0)</f>
        <v>1</v>
      </c>
      <c r="W1284" s="1" t="str">
        <f>+Tabla__192.168.1.8_POSEIDONSQL_APPFVT_01_tblFillRateFechas[[#This Row],[con_ocnumero]]&amp;Tabla__192.168.1.8_POSEIDONSQL_APPFVT_01_tblFillRateFechas[[#This Row],[con_codigounico]]</f>
        <v>91977750390050000697834900101</v>
      </c>
      <c r="X12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5" spans="1:24" x14ac:dyDescent="0.25">
      <c r="A1285">
        <v>9</v>
      </c>
      <c r="B1285" t="s">
        <v>48</v>
      </c>
      <c r="C1285">
        <v>9197775</v>
      </c>
      <c r="D1285" t="s">
        <v>160</v>
      </c>
      <c r="E1285" t="s">
        <v>426</v>
      </c>
      <c r="F1285" t="s">
        <v>161</v>
      </c>
      <c r="G1285">
        <v>1</v>
      </c>
      <c r="H1285">
        <v>1</v>
      </c>
      <c r="I1285" t="s">
        <v>426</v>
      </c>
      <c r="J1285">
        <v>0</v>
      </c>
      <c r="K1285" t="s">
        <v>1863</v>
      </c>
      <c r="L1285" s="1">
        <f>+Tabla__192.168.1.8_POSEIDONSQL_APPFVT_01_tblFillRateFechas[[#This Row],[emb_cantidad]]-Tabla__192.168.1.8_POSEIDONSQL_APPFVT_01_tblFillRateFechas[[#This Row],[dev_cantidad]]</f>
        <v>1</v>
      </c>
      <c r="M1285" s="1">
        <f>+IF(Tabla__192.168.1.8_POSEIDONSQL_APPFVT_01_tblFillRateFechas[[#This Row],[Cant_Resultante]]=Tabla__192.168.1.8_POSEIDONSQL_APPFVT_01_tblFillRateFechas[[#This Row],[cant_order]],1,0)</f>
        <v>1</v>
      </c>
      <c r="N12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5" s="1">
        <f>+IF(AND(Tabla__192.168.1.8_POSEIDONSQL_APPFVT_01_tblFillRateFechas[[#This Row],[Valida Cant]]=1,Tabla__192.168.1.8_POSEIDONSQL_APPFVT_01_tblFillRateFechas[[#This Row],[Valida Fec]]=1),1,0)</f>
        <v>1</v>
      </c>
      <c r="P1285" s="1">
        <f>+(Tabla__192.168.1.8_POSEIDONSQL_APPFVT_01_tblFillRateFechas[[#This Row],[Cant_Resultante]]/Tabla__192.168.1.8_POSEIDONSQL_APPFVT_01_tblFillRateFechas[[#This Row],[cant_order]])*100</f>
        <v>100</v>
      </c>
      <c r="Q12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5" s="1">
        <f>+IF(Tabla__192.168.1.8_POSEIDONSQL_APPFVT_01_tblFillRateFechas[[#This Row],[cant_order]]&gt;0,1,0)</f>
        <v>1</v>
      </c>
      <c r="V1285" s="1">
        <f>+IF(Tabla__192.168.1.8_POSEIDONSQL_APPFVT_01_tblFillRateFechas[[#This Row],[Resultado]]=1,1,0)</f>
        <v>1</v>
      </c>
      <c r="W1285" s="1" t="str">
        <f>+Tabla__192.168.1.8_POSEIDONSQL_APPFVT_01_tblFillRateFechas[[#This Row],[con_ocnumero]]&amp;Tabla__192.168.1.8_POSEIDONSQL_APPFVT_01_tblFillRateFechas[[#This Row],[con_codigounico]]</f>
        <v>91977750390050000697850080101</v>
      </c>
      <c r="X12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6" spans="1:24" x14ac:dyDescent="0.25">
      <c r="A1286">
        <v>9</v>
      </c>
      <c r="B1286" t="s">
        <v>48</v>
      </c>
      <c r="C1286">
        <v>9197775</v>
      </c>
      <c r="D1286" t="s">
        <v>160</v>
      </c>
      <c r="E1286" t="s">
        <v>427</v>
      </c>
      <c r="F1286" t="s">
        <v>161</v>
      </c>
      <c r="G1286">
        <v>1</v>
      </c>
      <c r="H1286">
        <v>1</v>
      </c>
      <c r="I1286" t="s">
        <v>427</v>
      </c>
      <c r="J1286">
        <v>0</v>
      </c>
      <c r="K1286" t="s">
        <v>1858</v>
      </c>
      <c r="L1286" s="1">
        <f>+Tabla__192.168.1.8_POSEIDONSQL_APPFVT_01_tblFillRateFechas[[#This Row],[emb_cantidad]]-Tabla__192.168.1.8_POSEIDONSQL_APPFVT_01_tblFillRateFechas[[#This Row],[dev_cantidad]]</f>
        <v>1</v>
      </c>
      <c r="M1286" s="1">
        <f>+IF(Tabla__192.168.1.8_POSEIDONSQL_APPFVT_01_tblFillRateFechas[[#This Row],[Cant_Resultante]]=Tabla__192.168.1.8_POSEIDONSQL_APPFVT_01_tblFillRateFechas[[#This Row],[cant_order]],1,0)</f>
        <v>1</v>
      </c>
      <c r="N12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6" s="1">
        <f>+IF(AND(Tabla__192.168.1.8_POSEIDONSQL_APPFVT_01_tblFillRateFechas[[#This Row],[Valida Cant]]=1,Tabla__192.168.1.8_POSEIDONSQL_APPFVT_01_tblFillRateFechas[[#This Row],[Valida Fec]]=1),1,0)</f>
        <v>1</v>
      </c>
      <c r="P1286" s="1">
        <f>+(Tabla__192.168.1.8_POSEIDONSQL_APPFVT_01_tblFillRateFechas[[#This Row],[Cant_Resultante]]/Tabla__192.168.1.8_POSEIDONSQL_APPFVT_01_tblFillRateFechas[[#This Row],[cant_order]])*100</f>
        <v>100</v>
      </c>
      <c r="Q12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6" s="1">
        <f>+IF(Tabla__192.168.1.8_POSEIDONSQL_APPFVT_01_tblFillRateFechas[[#This Row],[cant_order]]&gt;0,1,0)</f>
        <v>1</v>
      </c>
      <c r="V1286" s="1">
        <f>+IF(Tabla__192.168.1.8_POSEIDONSQL_APPFVT_01_tblFillRateFechas[[#This Row],[Resultado]]=1,1,0)</f>
        <v>1</v>
      </c>
      <c r="W1286" s="1" t="str">
        <f>+Tabla__192.168.1.8_POSEIDONSQL_APPFVT_01_tblFillRateFechas[[#This Row],[con_ocnumero]]&amp;Tabla__192.168.1.8_POSEIDONSQL_APPFVT_01_tblFillRateFechas[[#This Row],[con_codigounico]]</f>
        <v>91977750390050000697875570103</v>
      </c>
      <c r="X12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7" spans="1:24" x14ac:dyDescent="0.25">
      <c r="A1287">
        <v>9</v>
      </c>
      <c r="B1287" t="s">
        <v>48</v>
      </c>
      <c r="C1287">
        <v>9197943</v>
      </c>
      <c r="D1287" t="s">
        <v>160</v>
      </c>
      <c r="E1287" t="s">
        <v>422</v>
      </c>
      <c r="F1287" t="s">
        <v>161</v>
      </c>
      <c r="G1287">
        <v>1</v>
      </c>
      <c r="H1287">
        <v>1</v>
      </c>
      <c r="I1287" t="s">
        <v>426</v>
      </c>
      <c r="J1287">
        <v>0</v>
      </c>
      <c r="K1287" t="s">
        <v>1320</v>
      </c>
      <c r="L1287" s="1">
        <f>+Tabla__192.168.1.8_POSEIDONSQL_APPFVT_01_tblFillRateFechas[[#This Row],[emb_cantidad]]-Tabla__192.168.1.8_POSEIDONSQL_APPFVT_01_tblFillRateFechas[[#This Row],[dev_cantidad]]</f>
        <v>1</v>
      </c>
      <c r="M1287" s="1">
        <f>+IF(Tabla__192.168.1.8_POSEIDONSQL_APPFVT_01_tblFillRateFechas[[#This Row],[Cant_Resultante]]=Tabla__192.168.1.8_POSEIDONSQL_APPFVT_01_tblFillRateFechas[[#This Row],[cant_order]],1,0)</f>
        <v>1</v>
      </c>
      <c r="N12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7" s="1">
        <f>+IF(AND(Tabla__192.168.1.8_POSEIDONSQL_APPFVT_01_tblFillRateFechas[[#This Row],[Valida Cant]]=1,Tabla__192.168.1.8_POSEIDONSQL_APPFVT_01_tblFillRateFechas[[#This Row],[Valida Fec]]=1),1,0)</f>
        <v>1</v>
      </c>
      <c r="P1287" s="1">
        <f>+(Tabla__192.168.1.8_POSEIDONSQL_APPFVT_01_tblFillRateFechas[[#This Row],[Cant_Resultante]]/Tabla__192.168.1.8_POSEIDONSQL_APPFVT_01_tblFillRateFechas[[#This Row],[cant_order]])*100</f>
        <v>100</v>
      </c>
      <c r="Q12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7" s="1">
        <f>+IF(Tabla__192.168.1.8_POSEIDONSQL_APPFVT_01_tblFillRateFechas[[#This Row],[cant_order]]&gt;0,1,0)</f>
        <v>1</v>
      </c>
      <c r="V1287" s="1">
        <f>+IF(Tabla__192.168.1.8_POSEIDONSQL_APPFVT_01_tblFillRateFechas[[#This Row],[Resultado]]=1,1,0)</f>
        <v>1</v>
      </c>
      <c r="W1287" s="1" t="str">
        <f>+Tabla__192.168.1.8_POSEIDONSQL_APPFVT_01_tblFillRateFechas[[#This Row],[con_ocnumero]]&amp;Tabla__192.168.1.8_POSEIDONSQL_APPFVT_01_tblFillRateFechas[[#This Row],[con_codigounico]]</f>
        <v>91979430390050000697905340101</v>
      </c>
      <c r="X12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8" spans="1:24" x14ac:dyDescent="0.25">
      <c r="A1288">
        <v>9</v>
      </c>
      <c r="B1288" t="s">
        <v>48</v>
      </c>
      <c r="C1288">
        <v>9197865</v>
      </c>
      <c r="D1288" t="s">
        <v>160</v>
      </c>
      <c r="E1288" t="s">
        <v>427</v>
      </c>
      <c r="F1288" t="s">
        <v>161</v>
      </c>
      <c r="G1288">
        <v>1</v>
      </c>
      <c r="H1288">
        <v>1</v>
      </c>
      <c r="I1288" t="s">
        <v>427</v>
      </c>
      <c r="J1288">
        <v>0</v>
      </c>
      <c r="K1288" t="s">
        <v>1867</v>
      </c>
      <c r="L1288" s="1">
        <f>+Tabla__192.168.1.8_POSEIDONSQL_APPFVT_01_tblFillRateFechas[[#This Row],[emb_cantidad]]-Tabla__192.168.1.8_POSEIDONSQL_APPFVT_01_tblFillRateFechas[[#This Row],[dev_cantidad]]</f>
        <v>1</v>
      </c>
      <c r="M1288" s="1">
        <f>+IF(Tabla__192.168.1.8_POSEIDONSQL_APPFVT_01_tblFillRateFechas[[#This Row],[Cant_Resultante]]=Tabla__192.168.1.8_POSEIDONSQL_APPFVT_01_tblFillRateFechas[[#This Row],[cant_order]],1,0)</f>
        <v>1</v>
      </c>
      <c r="N12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8" s="1">
        <f>+IF(AND(Tabla__192.168.1.8_POSEIDONSQL_APPFVT_01_tblFillRateFechas[[#This Row],[Valida Cant]]=1,Tabla__192.168.1.8_POSEIDONSQL_APPFVT_01_tblFillRateFechas[[#This Row],[Valida Fec]]=1),1,0)</f>
        <v>1</v>
      </c>
      <c r="P1288" s="1">
        <f>+(Tabla__192.168.1.8_POSEIDONSQL_APPFVT_01_tblFillRateFechas[[#This Row],[Cant_Resultante]]/Tabla__192.168.1.8_POSEIDONSQL_APPFVT_01_tblFillRateFechas[[#This Row],[cant_order]])*100</f>
        <v>100</v>
      </c>
      <c r="Q12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8" s="1">
        <f>+IF(Tabla__192.168.1.8_POSEIDONSQL_APPFVT_01_tblFillRateFechas[[#This Row],[cant_order]]&gt;0,1,0)</f>
        <v>1</v>
      </c>
      <c r="V1288" s="1">
        <f>+IF(Tabla__192.168.1.8_POSEIDONSQL_APPFVT_01_tblFillRateFechas[[#This Row],[Resultado]]=1,1,0)</f>
        <v>1</v>
      </c>
      <c r="W1288" s="1" t="str">
        <f>+Tabla__192.168.1.8_POSEIDONSQL_APPFVT_01_tblFillRateFechas[[#This Row],[con_ocnumero]]&amp;Tabla__192.168.1.8_POSEIDONSQL_APPFVT_01_tblFillRateFechas[[#This Row],[con_codigounico]]</f>
        <v>91978650390050000697944130101</v>
      </c>
      <c r="X12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89" spans="1:24" x14ac:dyDescent="0.25">
      <c r="A1289">
        <v>9</v>
      </c>
      <c r="B1289" t="s">
        <v>48</v>
      </c>
      <c r="C1289">
        <v>9197943</v>
      </c>
      <c r="D1289" t="s">
        <v>160</v>
      </c>
      <c r="E1289" t="s">
        <v>427</v>
      </c>
      <c r="F1289" t="s">
        <v>161</v>
      </c>
      <c r="G1289">
        <v>1</v>
      </c>
      <c r="H1289">
        <v>1</v>
      </c>
      <c r="I1289" t="s">
        <v>427</v>
      </c>
      <c r="J1289">
        <v>0</v>
      </c>
      <c r="K1289" t="s">
        <v>1851</v>
      </c>
      <c r="L1289" s="1">
        <f>+Tabla__192.168.1.8_POSEIDONSQL_APPFVT_01_tblFillRateFechas[[#This Row],[emb_cantidad]]-Tabla__192.168.1.8_POSEIDONSQL_APPFVT_01_tblFillRateFechas[[#This Row],[dev_cantidad]]</f>
        <v>1</v>
      </c>
      <c r="M1289" s="1">
        <f>+IF(Tabla__192.168.1.8_POSEIDONSQL_APPFVT_01_tblFillRateFechas[[#This Row],[Cant_Resultante]]=Tabla__192.168.1.8_POSEIDONSQL_APPFVT_01_tblFillRateFechas[[#This Row],[cant_order]],1,0)</f>
        <v>1</v>
      </c>
      <c r="N12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89" s="1">
        <f>+IF(AND(Tabla__192.168.1.8_POSEIDONSQL_APPFVT_01_tblFillRateFechas[[#This Row],[Valida Cant]]=1,Tabla__192.168.1.8_POSEIDONSQL_APPFVT_01_tblFillRateFechas[[#This Row],[Valida Fec]]=1),1,0)</f>
        <v>1</v>
      </c>
      <c r="P1289" s="1">
        <f>+(Tabla__192.168.1.8_POSEIDONSQL_APPFVT_01_tblFillRateFechas[[#This Row],[Cant_Resultante]]/Tabla__192.168.1.8_POSEIDONSQL_APPFVT_01_tblFillRateFechas[[#This Row],[cant_order]])*100</f>
        <v>100</v>
      </c>
      <c r="Q12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89" s="1">
        <f>+IF(Tabla__192.168.1.8_POSEIDONSQL_APPFVT_01_tblFillRateFechas[[#This Row],[cant_order]]&gt;0,1,0)</f>
        <v>1</v>
      </c>
      <c r="V1289" s="1">
        <f>+IF(Tabla__192.168.1.8_POSEIDONSQL_APPFVT_01_tblFillRateFechas[[#This Row],[Resultado]]=1,1,0)</f>
        <v>1</v>
      </c>
      <c r="W1289" s="1" t="str">
        <f>+Tabla__192.168.1.8_POSEIDONSQL_APPFVT_01_tblFillRateFechas[[#This Row],[con_ocnumero]]&amp;Tabla__192.168.1.8_POSEIDONSQL_APPFVT_01_tblFillRateFechas[[#This Row],[con_codigounico]]</f>
        <v>91979430390050000697993910101</v>
      </c>
      <c r="X12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0" spans="1:24" x14ac:dyDescent="0.25">
      <c r="A1290">
        <v>9</v>
      </c>
      <c r="B1290" t="s">
        <v>48</v>
      </c>
      <c r="C1290">
        <v>9198013</v>
      </c>
      <c r="D1290" t="s">
        <v>160</v>
      </c>
      <c r="E1290" t="s">
        <v>427</v>
      </c>
      <c r="F1290" t="s">
        <v>161</v>
      </c>
      <c r="G1290">
        <v>1</v>
      </c>
      <c r="H1290">
        <v>1</v>
      </c>
      <c r="I1290" t="s">
        <v>427</v>
      </c>
      <c r="J1290">
        <v>0</v>
      </c>
      <c r="K1290" t="s">
        <v>1852</v>
      </c>
      <c r="L1290" s="1">
        <f>+Tabla__192.168.1.8_POSEIDONSQL_APPFVT_01_tblFillRateFechas[[#This Row],[emb_cantidad]]-Tabla__192.168.1.8_POSEIDONSQL_APPFVT_01_tblFillRateFechas[[#This Row],[dev_cantidad]]</f>
        <v>1</v>
      </c>
      <c r="M1290" s="1">
        <f>+IF(Tabla__192.168.1.8_POSEIDONSQL_APPFVT_01_tblFillRateFechas[[#This Row],[Cant_Resultante]]=Tabla__192.168.1.8_POSEIDONSQL_APPFVT_01_tblFillRateFechas[[#This Row],[cant_order]],1,0)</f>
        <v>1</v>
      </c>
      <c r="N12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0" s="1">
        <f>+IF(AND(Tabla__192.168.1.8_POSEIDONSQL_APPFVT_01_tblFillRateFechas[[#This Row],[Valida Cant]]=1,Tabla__192.168.1.8_POSEIDONSQL_APPFVT_01_tblFillRateFechas[[#This Row],[Valida Fec]]=1),1,0)</f>
        <v>1</v>
      </c>
      <c r="P1290" s="1">
        <f>+(Tabla__192.168.1.8_POSEIDONSQL_APPFVT_01_tblFillRateFechas[[#This Row],[Cant_Resultante]]/Tabla__192.168.1.8_POSEIDONSQL_APPFVT_01_tblFillRateFechas[[#This Row],[cant_order]])*100</f>
        <v>100</v>
      </c>
      <c r="Q12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0" s="1">
        <f>+IF(Tabla__192.168.1.8_POSEIDONSQL_APPFVT_01_tblFillRateFechas[[#This Row],[cant_order]]&gt;0,1,0)</f>
        <v>1</v>
      </c>
      <c r="V1290" s="1">
        <f>+IF(Tabla__192.168.1.8_POSEIDONSQL_APPFVT_01_tblFillRateFechas[[#This Row],[Resultado]]=1,1,0)</f>
        <v>1</v>
      </c>
      <c r="W1290" s="1" t="str">
        <f>+Tabla__192.168.1.8_POSEIDONSQL_APPFVT_01_tblFillRateFechas[[#This Row],[con_ocnumero]]&amp;Tabla__192.168.1.8_POSEIDONSQL_APPFVT_01_tblFillRateFechas[[#This Row],[con_codigounico]]</f>
        <v>91980130390050000697999230101</v>
      </c>
      <c r="X12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1" spans="1:24" x14ac:dyDescent="0.25">
      <c r="A1291">
        <v>9</v>
      </c>
      <c r="B1291" t="s">
        <v>48</v>
      </c>
      <c r="C1291">
        <v>9198060</v>
      </c>
      <c r="D1291" t="s">
        <v>160</v>
      </c>
      <c r="E1291" t="s">
        <v>426</v>
      </c>
      <c r="F1291" t="s">
        <v>161</v>
      </c>
      <c r="G1291">
        <v>1</v>
      </c>
      <c r="H1291">
        <v>1</v>
      </c>
      <c r="I1291" t="s">
        <v>426</v>
      </c>
      <c r="J1291">
        <v>0</v>
      </c>
      <c r="K1291" t="s">
        <v>1860</v>
      </c>
      <c r="L1291" s="1">
        <f>+Tabla__192.168.1.8_POSEIDONSQL_APPFVT_01_tblFillRateFechas[[#This Row],[emb_cantidad]]-Tabla__192.168.1.8_POSEIDONSQL_APPFVT_01_tblFillRateFechas[[#This Row],[dev_cantidad]]</f>
        <v>1</v>
      </c>
      <c r="M1291" s="1">
        <f>+IF(Tabla__192.168.1.8_POSEIDONSQL_APPFVT_01_tblFillRateFechas[[#This Row],[Cant_Resultante]]=Tabla__192.168.1.8_POSEIDONSQL_APPFVT_01_tblFillRateFechas[[#This Row],[cant_order]],1,0)</f>
        <v>1</v>
      </c>
      <c r="N12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1" s="1">
        <f>+IF(AND(Tabla__192.168.1.8_POSEIDONSQL_APPFVT_01_tblFillRateFechas[[#This Row],[Valida Cant]]=1,Tabla__192.168.1.8_POSEIDONSQL_APPFVT_01_tblFillRateFechas[[#This Row],[Valida Fec]]=1),1,0)</f>
        <v>1</v>
      </c>
      <c r="P1291" s="1">
        <f>+(Tabla__192.168.1.8_POSEIDONSQL_APPFVT_01_tblFillRateFechas[[#This Row],[Cant_Resultante]]/Tabla__192.168.1.8_POSEIDONSQL_APPFVT_01_tblFillRateFechas[[#This Row],[cant_order]])*100</f>
        <v>100</v>
      </c>
      <c r="Q12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1" s="1">
        <f>+IF(Tabla__192.168.1.8_POSEIDONSQL_APPFVT_01_tblFillRateFechas[[#This Row],[cant_order]]&gt;0,1,0)</f>
        <v>1</v>
      </c>
      <c r="V1291" s="1">
        <f>+IF(Tabla__192.168.1.8_POSEIDONSQL_APPFVT_01_tblFillRateFechas[[#This Row],[Resultado]]=1,1,0)</f>
        <v>1</v>
      </c>
      <c r="W1291" s="1" t="str">
        <f>+Tabla__192.168.1.8_POSEIDONSQL_APPFVT_01_tblFillRateFechas[[#This Row],[con_ocnumero]]&amp;Tabla__192.168.1.8_POSEIDONSQL_APPFVT_01_tblFillRateFechas[[#This Row],[con_codigounico]]</f>
        <v>91980600390050000698106430101</v>
      </c>
      <c r="X12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2" spans="1:24" x14ac:dyDescent="0.25">
      <c r="A1292">
        <v>9</v>
      </c>
      <c r="B1292" t="s">
        <v>48</v>
      </c>
      <c r="C1292">
        <v>9198181</v>
      </c>
      <c r="D1292" t="s">
        <v>161</v>
      </c>
      <c r="E1292" t="s">
        <v>427</v>
      </c>
      <c r="F1292" t="s">
        <v>161</v>
      </c>
      <c r="G1292">
        <v>1</v>
      </c>
      <c r="H1292">
        <v>1</v>
      </c>
      <c r="I1292" t="s">
        <v>427</v>
      </c>
      <c r="J1292">
        <v>0</v>
      </c>
      <c r="K1292" t="s">
        <v>1854</v>
      </c>
      <c r="L1292" s="1">
        <f>+Tabla__192.168.1.8_POSEIDONSQL_APPFVT_01_tblFillRateFechas[[#This Row],[emb_cantidad]]-Tabla__192.168.1.8_POSEIDONSQL_APPFVT_01_tblFillRateFechas[[#This Row],[dev_cantidad]]</f>
        <v>1</v>
      </c>
      <c r="M1292" s="1">
        <f>+IF(Tabla__192.168.1.8_POSEIDONSQL_APPFVT_01_tblFillRateFechas[[#This Row],[Cant_Resultante]]=Tabla__192.168.1.8_POSEIDONSQL_APPFVT_01_tblFillRateFechas[[#This Row],[cant_order]],1,0)</f>
        <v>1</v>
      </c>
      <c r="N12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2" s="1">
        <f>+IF(AND(Tabla__192.168.1.8_POSEIDONSQL_APPFVT_01_tblFillRateFechas[[#This Row],[Valida Cant]]=1,Tabla__192.168.1.8_POSEIDONSQL_APPFVT_01_tblFillRateFechas[[#This Row],[Valida Fec]]=1),1,0)</f>
        <v>1</v>
      </c>
      <c r="P1292" s="1">
        <f>+(Tabla__192.168.1.8_POSEIDONSQL_APPFVT_01_tblFillRateFechas[[#This Row],[Cant_Resultante]]/Tabla__192.168.1.8_POSEIDONSQL_APPFVT_01_tblFillRateFechas[[#This Row],[cant_order]])*100</f>
        <v>100</v>
      </c>
      <c r="Q12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2" s="1">
        <f>+IF(Tabla__192.168.1.8_POSEIDONSQL_APPFVT_01_tblFillRateFechas[[#This Row],[cant_order]]&gt;0,1,0)</f>
        <v>1</v>
      </c>
      <c r="V1292" s="1">
        <f>+IF(Tabla__192.168.1.8_POSEIDONSQL_APPFVT_01_tblFillRateFechas[[#This Row],[Resultado]]=1,1,0)</f>
        <v>1</v>
      </c>
      <c r="W1292" s="1" t="str">
        <f>+Tabla__192.168.1.8_POSEIDONSQL_APPFVT_01_tblFillRateFechas[[#This Row],[con_ocnumero]]&amp;Tabla__192.168.1.8_POSEIDONSQL_APPFVT_01_tblFillRateFechas[[#This Row],[con_codigounico]]</f>
        <v>91981810390050000698263730101</v>
      </c>
      <c r="X12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3" spans="1:24" x14ac:dyDescent="0.25">
      <c r="A1293">
        <v>9</v>
      </c>
      <c r="B1293" t="s">
        <v>48</v>
      </c>
      <c r="C1293">
        <v>9198181</v>
      </c>
      <c r="D1293" t="s">
        <v>161</v>
      </c>
      <c r="E1293" t="s">
        <v>426</v>
      </c>
      <c r="F1293" t="s">
        <v>161</v>
      </c>
      <c r="G1293">
        <v>1</v>
      </c>
      <c r="H1293">
        <v>1</v>
      </c>
      <c r="I1293" t="s">
        <v>426</v>
      </c>
      <c r="J1293">
        <v>0</v>
      </c>
      <c r="K1293" t="s">
        <v>1861</v>
      </c>
      <c r="L1293" s="1">
        <f>+Tabla__192.168.1.8_POSEIDONSQL_APPFVT_01_tblFillRateFechas[[#This Row],[emb_cantidad]]-Tabla__192.168.1.8_POSEIDONSQL_APPFVT_01_tblFillRateFechas[[#This Row],[dev_cantidad]]</f>
        <v>1</v>
      </c>
      <c r="M1293" s="1">
        <f>+IF(Tabla__192.168.1.8_POSEIDONSQL_APPFVT_01_tblFillRateFechas[[#This Row],[Cant_Resultante]]=Tabla__192.168.1.8_POSEIDONSQL_APPFVT_01_tblFillRateFechas[[#This Row],[cant_order]],1,0)</f>
        <v>1</v>
      </c>
      <c r="N12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3" s="1">
        <f>+IF(AND(Tabla__192.168.1.8_POSEIDONSQL_APPFVT_01_tblFillRateFechas[[#This Row],[Valida Cant]]=1,Tabla__192.168.1.8_POSEIDONSQL_APPFVT_01_tblFillRateFechas[[#This Row],[Valida Fec]]=1),1,0)</f>
        <v>1</v>
      </c>
      <c r="P1293" s="1">
        <f>+(Tabla__192.168.1.8_POSEIDONSQL_APPFVT_01_tblFillRateFechas[[#This Row],[Cant_Resultante]]/Tabla__192.168.1.8_POSEIDONSQL_APPFVT_01_tblFillRateFechas[[#This Row],[cant_order]])*100</f>
        <v>100</v>
      </c>
      <c r="Q12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3" s="1">
        <f>+IF(Tabla__192.168.1.8_POSEIDONSQL_APPFVT_01_tblFillRateFechas[[#This Row],[cant_order]]&gt;0,1,0)</f>
        <v>1</v>
      </c>
      <c r="V1293" s="1">
        <f>+IF(Tabla__192.168.1.8_POSEIDONSQL_APPFVT_01_tblFillRateFechas[[#This Row],[Resultado]]=1,1,0)</f>
        <v>1</v>
      </c>
      <c r="W1293" s="1" t="str">
        <f>+Tabla__192.168.1.8_POSEIDONSQL_APPFVT_01_tblFillRateFechas[[#This Row],[con_ocnumero]]&amp;Tabla__192.168.1.8_POSEIDONSQL_APPFVT_01_tblFillRateFechas[[#This Row],[con_codigounico]]</f>
        <v>91981810390050000698359000101</v>
      </c>
      <c r="X12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4" spans="1:24" x14ac:dyDescent="0.25">
      <c r="A1294">
        <v>9</v>
      </c>
      <c r="B1294" t="s">
        <v>48</v>
      </c>
      <c r="C1294">
        <v>9198181</v>
      </c>
      <c r="D1294" t="s">
        <v>161</v>
      </c>
      <c r="E1294" t="s">
        <v>427</v>
      </c>
      <c r="F1294" t="s">
        <v>161</v>
      </c>
      <c r="G1294">
        <v>1</v>
      </c>
      <c r="H1294">
        <v>1</v>
      </c>
      <c r="I1294" t="s">
        <v>427</v>
      </c>
      <c r="J1294">
        <v>0</v>
      </c>
      <c r="K1294" t="s">
        <v>1853</v>
      </c>
      <c r="L1294" s="1">
        <f>+Tabla__192.168.1.8_POSEIDONSQL_APPFVT_01_tblFillRateFechas[[#This Row],[emb_cantidad]]-Tabla__192.168.1.8_POSEIDONSQL_APPFVT_01_tblFillRateFechas[[#This Row],[dev_cantidad]]</f>
        <v>1</v>
      </c>
      <c r="M1294" s="1">
        <f>+IF(Tabla__192.168.1.8_POSEIDONSQL_APPFVT_01_tblFillRateFechas[[#This Row],[Cant_Resultante]]=Tabla__192.168.1.8_POSEIDONSQL_APPFVT_01_tblFillRateFechas[[#This Row],[cant_order]],1,0)</f>
        <v>1</v>
      </c>
      <c r="N12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4" s="1">
        <f>+IF(AND(Tabla__192.168.1.8_POSEIDONSQL_APPFVT_01_tblFillRateFechas[[#This Row],[Valida Cant]]=1,Tabla__192.168.1.8_POSEIDONSQL_APPFVT_01_tblFillRateFechas[[#This Row],[Valida Fec]]=1),1,0)</f>
        <v>1</v>
      </c>
      <c r="P1294" s="1">
        <f>+(Tabla__192.168.1.8_POSEIDONSQL_APPFVT_01_tblFillRateFechas[[#This Row],[Cant_Resultante]]/Tabla__192.168.1.8_POSEIDONSQL_APPFVT_01_tblFillRateFechas[[#This Row],[cant_order]])*100</f>
        <v>100</v>
      </c>
      <c r="Q12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4" s="1">
        <f>+IF(Tabla__192.168.1.8_POSEIDONSQL_APPFVT_01_tblFillRateFechas[[#This Row],[cant_order]]&gt;0,1,0)</f>
        <v>1</v>
      </c>
      <c r="V1294" s="1">
        <f>+IF(Tabla__192.168.1.8_POSEIDONSQL_APPFVT_01_tblFillRateFechas[[#This Row],[Resultado]]=1,1,0)</f>
        <v>1</v>
      </c>
      <c r="W1294" s="1" t="str">
        <f>+Tabla__192.168.1.8_POSEIDONSQL_APPFVT_01_tblFillRateFechas[[#This Row],[con_ocnumero]]&amp;Tabla__192.168.1.8_POSEIDONSQL_APPFVT_01_tblFillRateFechas[[#This Row],[con_codigounico]]</f>
        <v>91981810390050000698409420101</v>
      </c>
      <c r="X12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5" spans="1:24" x14ac:dyDescent="0.25">
      <c r="A1295">
        <v>9</v>
      </c>
      <c r="B1295" t="s">
        <v>48</v>
      </c>
      <c r="C1295">
        <v>9200323</v>
      </c>
      <c r="D1295" t="s">
        <v>1982</v>
      </c>
      <c r="E1295" t="s">
        <v>422</v>
      </c>
      <c r="F1295" t="s">
        <v>163</v>
      </c>
      <c r="G1295">
        <v>1</v>
      </c>
      <c r="H1295">
        <v>1</v>
      </c>
      <c r="I1295" t="s">
        <v>426</v>
      </c>
      <c r="J1295">
        <v>0</v>
      </c>
      <c r="K1295" t="s">
        <v>966</v>
      </c>
      <c r="L1295" s="1">
        <f>+Tabla__192.168.1.8_POSEIDONSQL_APPFVT_01_tblFillRateFechas[[#This Row],[emb_cantidad]]-Tabla__192.168.1.8_POSEIDONSQL_APPFVT_01_tblFillRateFechas[[#This Row],[dev_cantidad]]</f>
        <v>1</v>
      </c>
      <c r="M1295" s="1">
        <f>+IF(Tabla__192.168.1.8_POSEIDONSQL_APPFVT_01_tblFillRateFechas[[#This Row],[Cant_Resultante]]=Tabla__192.168.1.8_POSEIDONSQL_APPFVT_01_tblFillRateFechas[[#This Row],[cant_order]],1,0)</f>
        <v>1</v>
      </c>
      <c r="N12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5" s="1">
        <f>+IF(AND(Tabla__192.168.1.8_POSEIDONSQL_APPFVT_01_tblFillRateFechas[[#This Row],[Valida Cant]]=1,Tabla__192.168.1.8_POSEIDONSQL_APPFVT_01_tblFillRateFechas[[#This Row],[Valida Fec]]=1),1,0)</f>
        <v>1</v>
      </c>
      <c r="P1295" s="1">
        <f>+(Tabla__192.168.1.8_POSEIDONSQL_APPFVT_01_tblFillRateFechas[[#This Row],[Cant_Resultante]]/Tabla__192.168.1.8_POSEIDONSQL_APPFVT_01_tblFillRateFechas[[#This Row],[cant_order]])*100</f>
        <v>100</v>
      </c>
      <c r="Q12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5" s="1">
        <f>+IF(Tabla__192.168.1.8_POSEIDONSQL_APPFVT_01_tblFillRateFechas[[#This Row],[cant_order]]&gt;0,1,0)</f>
        <v>1</v>
      </c>
      <c r="V1295" s="1">
        <f>+IF(Tabla__192.168.1.8_POSEIDONSQL_APPFVT_01_tblFillRateFechas[[#This Row],[Resultado]]=1,1,0)</f>
        <v>1</v>
      </c>
      <c r="W1295" s="1" t="str">
        <f>+Tabla__192.168.1.8_POSEIDONSQL_APPFVT_01_tblFillRateFechas[[#This Row],[con_ocnumero]]&amp;Tabla__192.168.1.8_POSEIDONSQL_APPFVT_01_tblFillRateFechas[[#This Row],[con_codigounico]]</f>
        <v>92003230390050000698484240102</v>
      </c>
      <c r="X12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6" spans="1:24" x14ac:dyDescent="0.25">
      <c r="A1296">
        <v>9</v>
      </c>
      <c r="B1296" t="s">
        <v>48</v>
      </c>
      <c r="C1296">
        <v>9198361</v>
      </c>
      <c r="D1296" t="s">
        <v>161</v>
      </c>
      <c r="E1296" t="s">
        <v>427</v>
      </c>
      <c r="F1296" t="s">
        <v>1969</v>
      </c>
      <c r="G1296">
        <v>1</v>
      </c>
      <c r="H1296">
        <v>1</v>
      </c>
      <c r="I1296" t="s">
        <v>427</v>
      </c>
      <c r="J1296">
        <v>0</v>
      </c>
      <c r="K1296" t="s">
        <v>597</v>
      </c>
      <c r="L1296" s="1">
        <f>+Tabla__192.168.1.8_POSEIDONSQL_APPFVT_01_tblFillRateFechas[[#This Row],[emb_cantidad]]-Tabla__192.168.1.8_POSEIDONSQL_APPFVT_01_tblFillRateFechas[[#This Row],[dev_cantidad]]</f>
        <v>1</v>
      </c>
      <c r="M1296" s="1">
        <f>+IF(Tabla__192.168.1.8_POSEIDONSQL_APPFVT_01_tblFillRateFechas[[#This Row],[Cant_Resultante]]=Tabla__192.168.1.8_POSEIDONSQL_APPFVT_01_tblFillRateFechas[[#This Row],[cant_order]],1,0)</f>
        <v>1</v>
      </c>
      <c r="N12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6" s="1">
        <f>+IF(AND(Tabla__192.168.1.8_POSEIDONSQL_APPFVT_01_tblFillRateFechas[[#This Row],[Valida Cant]]=1,Tabla__192.168.1.8_POSEIDONSQL_APPFVT_01_tblFillRateFechas[[#This Row],[Valida Fec]]=1),1,0)</f>
        <v>1</v>
      </c>
      <c r="P1296" s="1">
        <f>+(Tabla__192.168.1.8_POSEIDONSQL_APPFVT_01_tblFillRateFechas[[#This Row],[Cant_Resultante]]/Tabla__192.168.1.8_POSEIDONSQL_APPFVT_01_tblFillRateFechas[[#This Row],[cant_order]])*100</f>
        <v>100</v>
      </c>
      <c r="Q12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6" s="1">
        <f>+IF(Tabla__192.168.1.8_POSEIDONSQL_APPFVT_01_tblFillRateFechas[[#This Row],[cant_order]]&gt;0,1,0)</f>
        <v>1</v>
      </c>
      <c r="V1296" s="1">
        <f>+IF(Tabla__192.168.1.8_POSEIDONSQL_APPFVT_01_tblFillRateFechas[[#This Row],[Resultado]]=1,1,0)</f>
        <v>1</v>
      </c>
      <c r="W1296" s="1" t="str">
        <f>+Tabla__192.168.1.8_POSEIDONSQL_APPFVT_01_tblFillRateFechas[[#This Row],[con_ocnumero]]&amp;Tabla__192.168.1.8_POSEIDONSQL_APPFVT_01_tblFillRateFechas[[#This Row],[con_codigounico]]</f>
        <v>91983610390050000700006020101</v>
      </c>
      <c r="X12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7" spans="1:24" x14ac:dyDescent="0.25">
      <c r="A1297">
        <v>9</v>
      </c>
      <c r="B1297" t="s">
        <v>48</v>
      </c>
      <c r="C1297">
        <v>9198529</v>
      </c>
      <c r="D1297" t="s">
        <v>161</v>
      </c>
      <c r="E1297" t="s">
        <v>163</v>
      </c>
      <c r="F1297" t="s">
        <v>1969</v>
      </c>
      <c r="G1297">
        <v>1</v>
      </c>
      <c r="H1297">
        <v>1</v>
      </c>
      <c r="I1297" t="s">
        <v>163</v>
      </c>
      <c r="J1297">
        <v>0</v>
      </c>
      <c r="K1297" t="s">
        <v>591</v>
      </c>
      <c r="L1297" s="1">
        <f>+Tabla__192.168.1.8_POSEIDONSQL_APPFVT_01_tblFillRateFechas[[#This Row],[emb_cantidad]]-Tabla__192.168.1.8_POSEIDONSQL_APPFVT_01_tblFillRateFechas[[#This Row],[dev_cantidad]]</f>
        <v>1</v>
      </c>
      <c r="M1297" s="1">
        <f>+IF(Tabla__192.168.1.8_POSEIDONSQL_APPFVT_01_tblFillRateFechas[[#This Row],[Cant_Resultante]]=Tabla__192.168.1.8_POSEIDONSQL_APPFVT_01_tblFillRateFechas[[#This Row],[cant_order]],1,0)</f>
        <v>1</v>
      </c>
      <c r="N12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7" s="1">
        <f>+IF(AND(Tabla__192.168.1.8_POSEIDONSQL_APPFVT_01_tblFillRateFechas[[#This Row],[Valida Cant]]=1,Tabla__192.168.1.8_POSEIDONSQL_APPFVT_01_tblFillRateFechas[[#This Row],[Valida Fec]]=1),1,0)</f>
        <v>1</v>
      </c>
      <c r="P1297" s="1">
        <f>+(Tabla__192.168.1.8_POSEIDONSQL_APPFVT_01_tblFillRateFechas[[#This Row],[Cant_Resultante]]/Tabla__192.168.1.8_POSEIDONSQL_APPFVT_01_tblFillRateFechas[[#This Row],[cant_order]])*100</f>
        <v>100</v>
      </c>
      <c r="Q12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7" s="1">
        <f>+IF(Tabla__192.168.1.8_POSEIDONSQL_APPFVT_01_tblFillRateFechas[[#This Row],[cant_order]]&gt;0,1,0)</f>
        <v>1</v>
      </c>
      <c r="V1297" s="1">
        <f>+IF(Tabla__192.168.1.8_POSEIDONSQL_APPFVT_01_tblFillRateFechas[[#This Row],[Resultado]]=1,1,0)</f>
        <v>1</v>
      </c>
      <c r="W1297" s="1" t="str">
        <f>+Tabla__192.168.1.8_POSEIDONSQL_APPFVT_01_tblFillRateFechas[[#This Row],[con_ocnumero]]&amp;Tabla__192.168.1.8_POSEIDONSQL_APPFVT_01_tblFillRateFechas[[#This Row],[con_codigounico]]</f>
        <v>91985290390050000701277060102</v>
      </c>
      <c r="X12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8" spans="1:24" x14ac:dyDescent="0.25">
      <c r="A1298">
        <v>9</v>
      </c>
      <c r="B1298" t="s">
        <v>48</v>
      </c>
      <c r="C1298">
        <v>9198651</v>
      </c>
      <c r="D1298" t="s">
        <v>161</v>
      </c>
      <c r="E1298" t="s">
        <v>427</v>
      </c>
      <c r="F1298" t="s">
        <v>1969</v>
      </c>
      <c r="G1298">
        <v>1</v>
      </c>
      <c r="H1298">
        <v>1</v>
      </c>
      <c r="I1298" t="s">
        <v>427</v>
      </c>
      <c r="J1298">
        <v>0</v>
      </c>
      <c r="K1298" t="s">
        <v>595</v>
      </c>
      <c r="L1298" s="1">
        <f>+Tabla__192.168.1.8_POSEIDONSQL_APPFVT_01_tblFillRateFechas[[#This Row],[emb_cantidad]]-Tabla__192.168.1.8_POSEIDONSQL_APPFVT_01_tblFillRateFechas[[#This Row],[dev_cantidad]]</f>
        <v>1</v>
      </c>
      <c r="M1298" s="1">
        <f>+IF(Tabla__192.168.1.8_POSEIDONSQL_APPFVT_01_tblFillRateFechas[[#This Row],[Cant_Resultante]]=Tabla__192.168.1.8_POSEIDONSQL_APPFVT_01_tblFillRateFechas[[#This Row],[cant_order]],1,0)</f>
        <v>1</v>
      </c>
      <c r="N12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8" s="1">
        <f>+IF(AND(Tabla__192.168.1.8_POSEIDONSQL_APPFVT_01_tblFillRateFechas[[#This Row],[Valida Cant]]=1,Tabla__192.168.1.8_POSEIDONSQL_APPFVT_01_tblFillRateFechas[[#This Row],[Valida Fec]]=1),1,0)</f>
        <v>1</v>
      </c>
      <c r="P1298" s="1">
        <f>+(Tabla__192.168.1.8_POSEIDONSQL_APPFVT_01_tblFillRateFechas[[#This Row],[Cant_Resultante]]/Tabla__192.168.1.8_POSEIDONSQL_APPFVT_01_tblFillRateFechas[[#This Row],[cant_order]])*100</f>
        <v>100</v>
      </c>
      <c r="Q12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8" s="1">
        <f>+IF(Tabla__192.168.1.8_POSEIDONSQL_APPFVT_01_tblFillRateFechas[[#This Row],[cant_order]]&gt;0,1,0)</f>
        <v>1</v>
      </c>
      <c r="V1298" s="1">
        <f>+IF(Tabla__192.168.1.8_POSEIDONSQL_APPFVT_01_tblFillRateFechas[[#This Row],[Resultado]]=1,1,0)</f>
        <v>1</v>
      </c>
      <c r="W1298" s="1" t="str">
        <f>+Tabla__192.168.1.8_POSEIDONSQL_APPFVT_01_tblFillRateFechas[[#This Row],[con_ocnumero]]&amp;Tabla__192.168.1.8_POSEIDONSQL_APPFVT_01_tblFillRateFechas[[#This Row],[con_codigounico]]</f>
        <v>91986510390050000701421280102</v>
      </c>
      <c r="X12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299" spans="1:24" x14ac:dyDescent="0.25">
      <c r="A1299">
        <v>9</v>
      </c>
      <c r="B1299" t="s">
        <v>48</v>
      </c>
      <c r="C1299">
        <v>9198650</v>
      </c>
      <c r="D1299" t="s">
        <v>161</v>
      </c>
      <c r="E1299" t="s">
        <v>427</v>
      </c>
      <c r="F1299" t="s">
        <v>1969</v>
      </c>
      <c r="G1299">
        <v>1</v>
      </c>
      <c r="H1299">
        <v>1</v>
      </c>
      <c r="I1299" t="s">
        <v>427</v>
      </c>
      <c r="J1299">
        <v>0</v>
      </c>
      <c r="K1299" t="s">
        <v>594</v>
      </c>
      <c r="L1299" s="1">
        <f>+Tabla__192.168.1.8_POSEIDONSQL_APPFVT_01_tblFillRateFechas[[#This Row],[emb_cantidad]]-Tabla__192.168.1.8_POSEIDONSQL_APPFVT_01_tblFillRateFechas[[#This Row],[dev_cantidad]]</f>
        <v>1</v>
      </c>
      <c r="M1299" s="1">
        <f>+IF(Tabla__192.168.1.8_POSEIDONSQL_APPFVT_01_tblFillRateFechas[[#This Row],[Cant_Resultante]]=Tabla__192.168.1.8_POSEIDONSQL_APPFVT_01_tblFillRateFechas[[#This Row],[cant_order]],1,0)</f>
        <v>1</v>
      </c>
      <c r="N12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299" s="1">
        <f>+IF(AND(Tabla__192.168.1.8_POSEIDONSQL_APPFVT_01_tblFillRateFechas[[#This Row],[Valida Cant]]=1,Tabla__192.168.1.8_POSEIDONSQL_APPFVT_01_tblFillRateFechas[[#This Row],[Valida Fec]]=1),1,0)</f>
        <v>1</v>
      </c>
      <c r="P1299" s="1">
        <f>+(Tabla__192.168.1.8_POSEIDONSQL_APPFVT_01_tblFillRateFechas[[#This Row],[Cant_Resultante]]/Tabla__192.168.1.8_POSEIDONSQL_APPFVT_01_tblFillRateFechas[[#This Row],[cant_order]])*100</f>
        <v>100</v>
      </c>
      <c r="Q12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2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2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2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299" s="1">
        <f>+IF(Tabla__192.168.1.8_POSEIDONSQL_APPFVT_01_tblFillRateFechas[[#This Row],[cant_order]]&gt;0,1,0)</f>
        <v>1</v>
      </c>
      <c r="V1299" s="1">
        <f>+IF(Tabla__192.168.1.8_POSEIDONSQL_APPFVT_01_tblFillRateFechas[[#This Row],[Resultado]]=1,1,0)</f>
        <v>1</v>
      </c>
      <c r="W1299" s="1" t="str">
        <f>+Tabla__192.168.1.8_POSEIDONSQL_APPFVT_01_tblFillRateFechas[[#This Row],[con_ocnumero]]&amp;Tabla__192.168.1.8_POSEIDONSQL_APPFVT_01_tblFillRateFechas[[#This Row],[con_codigounico]]</f>
        <v>91986500390050000701439470102</v>
      </c>
      <c r="X12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0" spans="1:24" x14ac:dyDescent="0.25">
      <c r="A1300">
        <v>9</v>
      </c>
      <c r="B1300" t="s">
        <v>48</v>
      </c>
      <c r="C1300">
        <v>9198747</v>
      </c>
      <c r="D1300" t="s">
        <v>161</v>
      </c>
      <c r="E1300" t="s">
        <v>427</v>
      </c>
      <c r="F1300" t="s">
        <v>1969</v>
      </c>
      <c r="G1300">
        <v>1</v>
      </c>
      <c r="H1300">
        <v>1</v>
      </c>
      <c r="I1300" t="s">
        <v>427</v>
      </c>
      <c r="J1300">
        <v>0</v>
      </c>
      <c r="K1300" t="s">
        <v>596</v>
      </c>
      <c r="L1300" s="1">
        <f>+Tabla__192.168.1.8_POSEIDONSQL_APPFVT_01_tblFillRateFechas[[#This Row],[emb_cantidad]]-Tabla__192.168.1.8_POSEIDONSQL_APPFVT_01_tblFillRateFechas[[#This Row],[dev_cantidad]]</f>
        <v>1</v>
      </c>
      <c r="M1300" s="1">
        <f>+IF(Tabla__192.168.1.8_POSEIDONSQL_APPFVT_01_tblFillRateFechas[[#This Row],[Cant_Resultante]]=Tabla__192.168.1.8_POSEIDONSQL_APPFVT_01_tblFillRateFechas[[#This Row],[cant_order]],1,0)</f>
        <v>1</v>
      </c>
      <c r="N13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0" s="1">
        <f>+IF(AND(Tabla__192.168.1.8_POSEIDONSQL_APPFVT_01_tblFillRateFechas[[#This Row],[Valida Cant]]=1,Tabla__192.168.1.8_POSEIDONSQL_APPFVT_01_tblFillRateFechas[[#This Row],[Valida Fec]]=1),1,0)</f>
        <v>1</v>
      </c>
      <c r="P1300" s="1">
        <f>+(Tabla__192.168.1.8_POSEIDONSQL_APPFVT_01_tblFillRateFechas[[#This Row],[Cant_Resultante]]/Tabla__192.168.1.8_POSEIDONSQL_APPFVT_01_tblFillRateFechas[[#This Row],[cant_order]])*100</f>
        <v>100</v>
      </c>
      <c r="Q13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0" s="1">
        <f>+IF(Tabla__192.168.1.8_POSEIDONSQL_APPFVT_01_tblFillRateFechas[[#This Row],[cant_order]]&gt;0,1,0)</f>
        <v>1</v>
      </c>
      <c r="V1300" s="1">
        <f>+IF(Tabla__192.168.1.8_POSEIDONSQL_APPFVT_01_tblFillRateFechas[[#This Row],[Resultado]]=1,1,0)</f>
        <v>1</v>
      </c>
      <c r="W1300" s="1" t="str">
        <f>+Tabla__192.168.1.8_POSEIDONSQL_APPFVT_01_tblFillRateFechas[[#This Row],[con_ocnumero]]&amp;Tabla__192.168.1.8_POSEIDONSQL_APPFVT_01_tblFillRateFechas[[#This Row],[con_codigounico]]</f>
        <v>91987470390050000701464610101</v>
      </c>
      <c r="X13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1" spans="1:24" x14ac:dyDescent="0.25">
      <c r="A1301">
        <v>9</v>
      </c>
      <c r="B1301" t="s">
        <v>48</v>
      </c>
      <c r="C1301">
        <v>9198789</v>
      </c>
      <c r="D1301" t="s">
        <v>161</v>
      </c>
      <c r="E1301" t="s">
        <v>422</v>
      </c>
      <c r="F1301" t="s">
        <v>1969</v>
      </c>
      <c r="G1301">
        <v>1</v>
      </c>
      <c r="H1301">
        <v>1</v>
      </c>
      <c r="I1301" t="s">
        <v>426</v>
      </c>
      <c r="J1301">
        <v>0</v>
      </c>
      <c r="K1301" t="s">
        <v>1319</v>
      </c>
      <c r="L1301" s="1">
        <f>+Tabla__192.168.1.8_POSEIDONSQL_APPFVT_01_tblFillRateFechas[[#This Row],[emb_cantidad]]-Tabla__192.168.1.8_POSEIDONSQL_APPFVT_01_tblFillRateFechas[[#This Row],[dev_cantidad]]</f>
        <v>1</v>
      </c>
      <c r="M1301" s="1">
        <f>+IF(Tabla__192.168.1.8_POSEIDONSQL_APPFVT_01_tblFillRateFechas[[#This Row],[Cant_Resultante]]=Tabla__192.168.1.8_POSEIDONSQL_APPFVT_01_tblFillRateFechas[[#This Row],[cant_order]],1,0)</f>
        <v>1</v>
      </c>
      <c r="N13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1" s="1">
        <f>+IF(AND(Tabla__192.168.1.8_POSEIDONSQL_APPFVT_01_tblFillRateFechas[[#This Row],[Valida Cant]]=1,Tabla__192.168.1.8_POSEIDONSQL_APPFVT_01_tblFillRateFechas[[#This Row],[Valida Fec]]=1),1,0)</f>
        <v>1</v>
      </c>
      <c r="P1301" s="1">
        <f>+(Tabla__192.168.1.8_POSEIDONSQL_APPFVT_01_tblFillRateFechas[[#This Row],[Cant_Resultante]]/Tabla__192.168.1.8_POSEIDONSQL_APPFVT_01_tblFillRateFechas[[#This Row],[cant_order]])*100</f>
        <v>100</v>
      </c>
      <c r="Q13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1" s="1">
        <f>+IF(Tabla__192.168.1.8_POSEIDONSQL_APPFVT_01_tblFillRateFechas[[#This Row],[cant_order]]&gt;0,1,0)</f>
        <v>1</v>
      </c>
      <c r="V1301" s="1">
        <f>+IF(Tabla__192.168.1.8_POSEIDONSQL_APPFVT_01_tblFillRateFechas[[#This Row],[Resultado]]=1,1,0)</f>
        <v>1</v>
      </c>
      <c r="W1301" s="1" t="str">
        <f>+Tabla__192.168.1.8_POSEIDONSQL_APPFVT_01_tblFillRateFechas[[#This Row],[con_ocnumero]]&amp;Tabla__192.168.1.8_POSEIDONSQL_APPFVT_01_tblFillRateFechas[[#This Row],[con_codigounico]]</f>
        <v>91987890390050000701482980101</v>
      </c>
      <c r="X13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2" spans="1:24" x14ac:dyDescent="0.25">
      <c r="A1302">
        <v>9</v>
      </c>
      <c r="B1302" t="s">
        <v>48</v>
      </c>
      <c r="C1302">
        <v>9198826</v>
      </c>
      <c r="D1302" t="s">
        <v>161</v>
      </c>
      <c r="E1302" t="s">
        <v>427</v>
      </c>
      <c r="F1302" t="s">
        <v>1969</v>
      </c>
      <c r="G1302">
        <v>1</v>
      </c>
      <c r="H1302">
        <v>1</v>
      </c>
      <c r="I1302" t="s">
        <v>427</v>
      </c>
      <c r="J1302">
        <v>0</v>
      </c>
      <c r="K1302" t="s">
        <v>592</v>
      </c>
      <c r="L1302" s="1">
        <f>+Tabla__192.168.1.8_POSEIDONSQL_APPFVT_01_tblFillRateFechas[[#This Row],[emb_cantidad]]-Tabla__192.168.1.8_POSEIDONSQL_APPFVT_01_tblFillRateFechas[[#This Row],[dev_cantidad]]</f>
        <v>1</v>
      </c>
      <c r="M1302" s="1">
        <f>+IF(Tabla__192.168.1.8_POSEIDONSQL_APPFVT_01_tblFillRateFechas[[#This Row],[Cant_Resultante]]=Tabla__192.168.1.8_POSEIDONSQL_APPFVT_01_tblFillRateFechas[[#This Row],[cant_order]],1,0)</f>
        <v>1</v>
      </c>
      <c r="N13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2" s="1">
        <f>+IF(AND(Tabla__192.168.1.8_POSEIDONSQL_APPFVT_01_tblFillRateFechas[[#This Row],[Valida Cant]]=1,Tabla__192.168.1.8_POSEIDONSQL_APPFVT_01_tblFillRateFechas[[#This Row],[Valida Fec]]=1),1,0)</f>
        <v>1</v>
      </c>
      <c r="P1302" s="1">
        <f>+(Tabla__192.168.1.8_POSEIDONSQL_APPFVT_01_tblFillRateFechas[[#This Row],[Cant_Resultante]]/Tabla__192.168.1.8_POSEIDONSQL_APPFVT_01_tblFillRateFechas[[#This Row],[cant_order]])*100</f>
        <v>100</v>
      </c>
      <c r="Q13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2" s="1">
        <f>+IF(Tabla__192.168.1.8_POSEIDONSQL_APPFVT_01_tblFillRateFechas[[#This Row],[cant_order]]&gt;0,1,0)</f>
        <v>1</v>
      </c>
      <c r="V1302" s="1">
        <f>+IF(Tabla__192.168.1.8_POSEIDONSQL_APPFVT_01_tblFillRateFechas[[#This Row],[Resultado]]=1,1,0)</f>
        <v>1</v>
      </c>
      <c r="W1302" s="1" t="str">
        <f>+Tabla__192.168.1.8_POSEIDONSQL_APPFVT_01_tblFillRateFechas[[#This Row],[con_ocnumero]]&amp;Tabla__192.168.1.8_POSEIDONSQL_APPFVT_01_tblFillRateFechas[[#This Row],[con_codigounico]]</f>
        <v>91988260390050000701514700101</v>
      </c>
      <c r="X13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3" spans="1:24" x14ac:dyDescent="0.25">
      <c r="A1303">
        <v>9</v>
      </c>
      <c r="B1303" t="s">
        <v>48</v>
      </c>
      <c r="C1303">
        <v>9198903</v>
      </c>
      <c r="D1303" t="s">
        <v>161</v>
      </c>
      <c r="E1303" t="s">
        <v>422</v>
      </c>
      <c r="F1303" t="s">
        <v>1969</v>
      </c>
      <c r="G1303">
        <v>1</v>
      </c>
      <c r="H1303">
        <v>1</v>
      </c>
      <c r="I1303" t="s">
        <v>426</v>
      </c>
      <c r="J1303">
        <v>0</v>
      </c>
      <c r="K1303" t="s">
        <v>1314</v>
      </c>
      <c r="L1303" s="1">
        <f>+Tabla__192.168.1.8_POSEIDONSQL_APPFVT_01_tblFillRateFechas[[#This Row],[emb_cantidad]]-Tabla__192.168.1.8_POSEIDONSQL_APPFVT_01_tblFillRateFechas[[#This Row],[dev_cantidad]]</f>
        <v>1</v>
      </c>
      <c r="M1303" s="1">
        <f>+IF(Tabla__192.168.1.8_POSEIDONSQL_APPFVT_01_tblFillRateFechas[[#This Row],[Cant_Resultante]]=Tabla__192.168.1.8_POSEIDONSQL_APPFVT_01_tblFillRateFechas[[#This Row],[cant_order]],1,0)</f>
        <v>1</v>
      </c>
      <c r="N13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3" s="1">
        <f>+IF(AND(Tabla__192.168.1.8_POSEIDONSQL_APPFVT_01_tblFillRateFechas[[#This Row],[Valida Cant]]=1,Tabla__192.168.1.8_POSEIDONSQL_APPFVT_01_tblFillRateFechas[[#This Row],[Valida Fec]]=1),1,0)</f>
        <v>1</v>
      </c>
      <c r="P1303" s="1">
        <f>+(Tabla__192.168.1.8_POSEIDONSQL_APPFVT_01_tblFillRateFechas[[#This Row],[Cant_Resultante]]/Tabla__192.168.1.8_POSEIDONSQL_APPFVT_01_tblFillRateFechas[[#This Row],[cant_order]])*100</f>
        <v>100</v>
      </c>
      <c r="Q13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3" s="1">
        <f>+IF(Tabla__192.168.1.8_POSEIDONSQL_APPFVT_01_tblFillRateFechas[[#This Row],[cant_order]]&gt;0,1,0)</f>
        <v>1</v>
      </c>
      <c r="V1303" s="1">
        <f>+IF(Tabla__192.168.1.8_POSEIDONSQL_APPFVT_01_tblFillRateFechas[[#This Row],[Resultado]]=1,1,0)</f>
        <v>1</v>
      </c>
      <c r="W1303" s="1" t="str">
        <f>+Tabla__192.168.1.8_POSEIDONSQL_APPFVT_01_tblFillRateFechas[[#This Row],[con_ocnumero]]&amp;Tabla__192.168.1.8_POSEIDONSQL_APPFVT_01_tblFillRateFechas[[#This Row],[con_codigounico]]</f>
        <v>91989030390050000701560780101</v>
      </c>
      <c r="X13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4" spans="1:24" x14ac:dyDescent="0.25">
      <c r="A1304">
        <v>9</v>
      </c>
      <c r="B1304" t="s">
        <v>48</v>
      </c>
      <c r="C1304">
        <v>9198903</v>
      </c>
      <c r="D1304" t="s">
        <v>161</v>
      </c>
      <c r="E1304" t="s">
        <v>427</v>
      </c>
      <c r="F1304" t="s">
        <v>1969</v>
      </c>
      <c r="G1304">
        <v>1</v>
      </c>
      <c r="H1304">
        <v>1</v>
      </c>
      <c r="I1304" t="s">
        <v>427</v>
      </c>
      <c r="J1304">
        <v>0</v>
      </c>
      <c r="K1304" t="s">
        <v>593</v>
      </c>
      <c r="L1304" s="1">
        <f>+Tabla__192.168.1.8_POSEIDONSQL_APPFVT_01_tblFillRateFechas[[#This Row],[emb_cantidad]]-Tabla__192.168.1.8_POSEIDONSQL_APPFVT_01_tblFillRateFechas[[#This Row],[dev_cantidad]]</f>
        <v>1</v>
      </c>
      <c r="M1304" s="1">
        <f>+IF(Tabla__192.168.1.8_POSEIDONSQL_APPFVT_01_tblFillRateFechas[[#This Row],[Cant_Resultante]]=Tabla__192.168.1.8_POSEIDONSQL_APPFVT_01_tblFillRateFechas[[#This Row],[cant_order]],1,0)</f>
        <v>1</v>
      </c>
      <c r="N13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4" s="1">
        <f>+IF(AND(Tabla__192.168.1.8_POSEIDONSQL_APPFVT_01_tblFillRateFechas[[#This Row],[Valida Cant]]=1,Tabla__192.168.1.8_POSEIDONSQL_APPFVT_01_tblFillRateFechas[[#This Row],[Valida Fec]]=1),1,0)</f>
        <v>1</v>
      </c>
      <c r="P1304" s="1">
        <f>+(Tabla__192.168.1.8_POSEIDONSQL_APPFVT_01_tblFillRateFechas[[#This Row],[Cant_Resultante]]/Tabla__192.168.1.8_POSEIDONSQL_APPFVT_01_tblFillRateFechas[[#This Row],[cant_order]])*100</f>
        <v>100</v>
      </c>
      <c r="Q13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4" s="1">
        <f>+IF(Tabla__192.168.1.8_POSEIDONSQL_APPFVT_01_tblFillRateFechas[[#This Row],[cant_order]]&gt;0,1,0)</f>
        <v>1</v>
      </c>
      <c r="V1304" s="1">
        <f>+IF(Tabla__192.168.1.8_POSEIDONSQL_APPFVT_01_tblFillRateFechas[[#This Row],[Resultado]]=1,1,0)</f>
        <v>1</v>
      </c>
      <c r="W1304" s="1" t="str">
        <f>+Tabla__192.168.1.8_POSEIDONSQL_APPFVT_01_tblFillRateFechas[[#This Row],[con_ocnumero]]&amp;Tabla__192.168.1.8_POSEIDONSQL_APPFVT_01_tblFillRateFechas[[#This Row],[con_codigounico]]</f>
        <v>91989030390050000701566460101</v>
      </c>
      <c r="X13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5" spans="1:24" x14ac:dyDescent="0.25">
      <c r="A1305">
        <v>9</v>
      </c>
      <c r="B1305" t="s">
        <v>48</v>
      </c>
      <c r="C1305">
        <v>9198903</v>
      </c>
      <c r="D1305" t="s">
        <v>161</v>
      </c>
      <c r="E1305" t="s">
        <v>426</v>
      </c>
      <c r="F1305" t="s">
        <v>1969</v>
      </c>
      <c r="G1305">
        <v>1</v>
      </c>
      <c r="H1305">
        <v>1</v>
      </c>
      <c r="I1305" t="s">
        <v>426</v>
      </c>
      <c r="J1305">
        <v>0</v>
      </c>
      <c r="K1305" t="s">
        <v>603</v>
      </c>
      <c r="L1305" s="1">
        <f>+Tabla__192.168.1.8_POSEIDONSQL_APPFVT_01_tblFillRateFechas[[#This Row],[emb_cantidad]]-Tabla__192.168.1.8_POSEIDONSQL_APPFVT_01_tblFillRateFechas[[#This Row],[dev_cantidad]]</f>
        <v>1</v>
      </c>
      <c r="M1305" s="1">
        <f>+IF(Tabla__192.168.1.8_POSEIDONSQL_APPFVT_01_tblFillRateFechas[[#This Row],[Cant_Resultante]]=Tabla__192.168.1.8_POSEIDONSQL_APPFVT_01_tblFillRateFechas[[#This Row],[cant_order]],1,0)</f>
        <v>1</v>
      </c>
      <c r="N13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5" s="1">
        <f>+IF(AND(Tabla__192.168.1.8_POSEIDONSQL_APPFVT_01_tblFillRateFechas[[#This Row],[Valida Cant]]=1,Tabla__192.168.1.8_POSEIDONSQL_APPFVT_01_tblFillRateFechas[[#This Row],[Valida Fec]]=1),1,0)</f>
        <v>1</v>
      </c>
      <c r="P1305" s="1">
        <f>+(Tabla__192.168.1.8_POSEIDONSQL_APPFVT_01_tblFillRateFechas[[#This Row],[Cant_Resultante]]/Tabla__192.168.1.8_POSEIDONSQL_APPFVT_01_tblFillRateFechas[[#This Row],[cant_order]])*100</f>
        <v>100</v>
      </c>
      <c r="Q13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5" s="1">
        <f>+IF(Tabla__192.168.1.8_POSEIDONSQL_APPFVT_01_tblFillRateFechas[[#This Row],[cant_order]]&gt;0,1,0)</f>
        <v>1</v>
      </c>
      <c r="V1305" s="1">
        <f>+IF(Tabla__192.168.1.8_POSEIDONSQL_APPFVT_01_tblFillRateFechas[[#This Row],[Resultado]]=1,1,0)</f>
        <v>1</v>
      </c>
      <c r="W1305" s="1" t="str">
        <f>+Tabla__192.168.1.8_POSEIDONSQL_APPFVT_01_tblFillRateFechas[[#This Row],[con_ocnumero]]&amp;Tabla__192.168.1.8_POSEIDONSQL_APPFVT_01_tblFillRateFechas[[#This Row],[con_codigounico]]</f>
        <v>91989030390050000701571530101</v>
      </c>
      <c r="X13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6" spans="1:24" x14ac:dyDescent="0.25">
      <c r="A1306">
        <v>9</v>
      </c>
      <c r="B1306" t="s">
        <v>48</v>
      </c>
      <c r="C1306">
        <v>9198903</v>
      </c>
      <c r="D1306" t="s">
        <v>1969</v>
      </c>
      <c r="E1306" t="s">
        <v>422</v>
      </c>
      <c r="F1306" t="s">
        <v>1969</v>
      </c>
      <c r="G1306">
        <v>1</v>
      </c>
      <c r="H1306">
        <v>1</v>
      </c>
      <c r="I1306" t="s">
        <v>426</v>
      </c>
      <c r="J1306">
        <v>0</v>
      </c>
      <c r="K1306" t="s">
        <v>1315</v>
      </c>
      <c r="L1306" s="1">
        <f>+Tabla__192.168.1.8_POSEIDONSQL_APPFVT_01_tblFillRateFechas[[#This Row],[emb_cantidad]]-Tabla__192.168.1.8_POSEIDONSQL_APPFVT_01_tblFillRateFechas[[#This Row],[dev_cantidad]]</f>
        <v>1</v>
      </c>
      <c r="M1306" s="1">
        <f>+IF(Tabla__192.168.1.8_POSEIDONSQL_APPFVT_01_tblFillRateFechas[[#This Row],[Cant_Resultante]]=Tabla__192.168.1.8_POSEIDONSQL_APPFVT_01_tblFillRateFechas[[#This Row],[cant_order]],1,0)</f>
        <v>1</v>
      </c>
      <c r="N13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6" s="1">
        <f>+IF(AND(Tabla__192.168.1.8_POSEIDONSQL_APPFVT_01_tblFillRateFechas[[#This Row],[Valida Cant]]=1,Tabla__192.168.1.8_POSEIDONSQL_APPFVT_01_tblFillRateFechas[[#This Row],[Valida Fec]]=1),1,0)</f>
        <v>1</v>
      </c>
      <c r="P1306" s="1">
        <f>+(Tabla__192.168.1.8_POSEIDONSQL_APPFVT_01_tblFillRateFechas[[#This Row],[Cant_Resultante]]/Tabla__192.168.1.8_POSEIDONSQL_APPFVT_01_tblFillRateFechas[[#This Row],[cant_order]])*100</f>
        <v>100</v>
      </c>
      <c r="Q13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6" s="1">
        <f>+IF(Tabla__192.168.1.8_POSEIDONSQL_APPFVT_01_tblFillRateFechas[[#This Row],[cant_order]]&gt;0,1,0)</f>
        <v>1</v>
      </c>
      <c r="V1306" s="1">
        <f>+IF(Tabla__192.168.1.8_POSEIDONSQL_APPFVT_01_tblFillRateFechas[[#This Row],[Resultado]]=1,1,0)</f>
        <v>1</v>
      </c>
      <c r="W1306" s="1" t="str">
        <f>+Tabla__192.168.1.8_POSEIDONSQL_APPFVT_01_tblFillRateFechas[[#This Row],[con_ocnumero]]&amp;Tabla__192.168.1.8_POSEIDONSQL_APPFVT_01_tblFillRateFechas[[#This Row],[con_codigounico]]</f>
        <v>91989030390050000701600390101</v>
      </c>
      <c r="X13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7" spans="1:24" x14ac:dyDescent="0.25">
      <c r="A1307">
        <v>9</v>
      </c>
      <c r="B1307" t="s">
        <v>48</v>
      </c>
      <c r="C1307">
        <v>9198903</v>
      </c>
      <c r="D1307" t="s">
        <v>1969</v>
      </c>
      <c r="E1307" t="s">
        <v>426</v>
      </c>
      <c r="F1307" t="s">
        <v>1969</v>
      </c>
      <c r="G1307">
        <v>1</v>
      </c>
      <c r="H1307">
        <v>1</v>
      </c>
      <c r="I1307" t="s">
        <v>426</v>
      </c>
      <c r="J1307">
        <v>0</v>
      </c>
      <c r="K1307" t="s">
        <v>599</v>
      </c>
      <c r="L1307" s="1">
        <f>+Tabla__192.168.1.8_POSEIDONSQL_APPFVT_01_tblFillRateFechas[[#This Row],[emb_cantidad]]-Tabla__192.168.1.8_POSEIDONSQL_APPFVT_01_tblFillRateFechas[[#This Row],[dev_cantidad]]</f>
        <v>1</v>
      </c>
      <c r="M1307" s="1">
        <f>+IF(Tabla__192.168.1.8_POSEIDONSQL_APPFVT_01_tblFillRateFechas[[#This Row],[Cant_Resultante]]=Tabla__192.168.1.8_POSEIDONSQL_APPFVT_01_tblFillRateFechas[[#This Row],[cant_order]],1,0)</f>
        <v>1</v>
      </c>
      <c r="N13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7" s="1">
        <f>+IF(AND(Tabla__192.168.1.8_POSEIDONSQL_APPFVT_01_tblFillRateFechas[[#This Row],[Valida Cant]]=1,Tabla__192.168.1.8_POSEIDONSQL_APPFVT_01_tblFillRateFechas[[#This Row],[Valida Fec]]=1),1,0)</f>
        <v>1</v>
      </c>
      <c r="P1307" s="1">
        <f>+(Tabla__192.168.1.8_POSEIDONSQL_APPFVT_01_tblFillRateFechas[[#This Row],[Cant_Resultante]]/Tabla__192.168.1.8_POSEIDONSQL_APPFVT_01_tblFillRateFechas[[#This Row],[cant_order]])*100</f>
        <v>100</v>
      </c>
      <c r="Q13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7" s="1">
        <f>+IF(Tabla__192.168.1.8_POSEIDONSQL_APPFVT_01_tblFillRateFechas[[#This Row],[cant_order]]&gt;0,1,0)</f>
        <v>1</v>
      </c>
      <c r="V1307" s="1">
        <f>+IF(Tabla__192.168.1.8_POSEIDONSQL_APPFVT_01_tblFillRateFechas[[#This Row],[Resultado]]=1,1,0)</f>
        <v>1</v>
      </c>
      <c r="W1307" s="1" t="str">
        <f>+Tabla__192.168.1.8_POSEIDONSQL_APPFVT_01_tblFillRateFechas[[#This Row],[con_ocnumero]]&amp;Tabla__192.168.1.8_POSEIDONSQL_APPFVT_01_tblFillRateFechas[[#This Row],[con_codigounico]]</f>
        <v>91989030390050000701605850101</v>
      </c>
      <c r="X13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8" spans="1:24" x14ac:dyDescent="0.25">
      <c r="A1308">
        <v>9</v>
      </c>
      <c r="B1308" t="s">
        <v>48</v>
      </c>
      <c r="C1308">
        <v>9198903</v>
      </c>
      <c r="D1308" t="s">
        <v>1969</v>
      </c>
      <c r="E1308" t="s">
        <v>426</v>
      </c>
      <c r="F1308" t="s">
        <v>1969</v>
      </c>
      <c r="G1308">
        <v>1</v>
      </c>
      <c r="H1308">
        <v>1</v>
      </c>
      <c r="I1308" t="s">
        <v>426</v>
      </c>
      <c r="J1308">
        <v>0</v>
      </c>
      <c r="K1308" t="s">
        <v>601</v>
      </c>
      <c r="L1308" s="1">
        <f>+Tabla__192.168.1.8_POSEIDONSQL_APPFVT_01_tblFillRateFechas[[#This Row],[emb_cantidad]]-Tabla__192.168.1.8_POSEIDONSQL_APPFVT_01_tblFillRateFechas[[#This Row],[dev_cantidad]]</f>
        <v>1</v>
      </c>
      <c r="M1308" s="1">
        <f>+IF(Tabla__192.168.1.8_POSEIDONSQL_APPFVT_01_tblFillRateFechas[[#This Row],[Cant_Resultante]]=Tabla__192.168.1.8_POSEIDONSQL_APPFVT_01_tblFillRateFechas[[#This Row],[cant_order]],1,0)</f>
        <v>1</v>
      </c>
      <c r="N13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8" s="1">
        <f>+IF(AND(Tabla__192.168.1.8_POSEIDONSQL_APPFVT_01_tblFillRateFechas[[#This Row],[Valida Cant]]=1,Tabla__192.168.1.8_POSEIDONSQL_APPFVT_01_tblFillRateFechas[[#This Row],[Valida Fec]]=1),1,0)</f>
        <v>1</v>
      </c>
      <c r="P1308" s="1">
        <f>+(Tabla__192.168.1.8_POSEIDONSQL_APPFVT_01_tblFillRateFechas[[#This Row],[Cant_Resultante]]/Tabla__192.168.1.8_POSEIDONSQL_APPFVT_01_tblFillRateFechas[[#This Row],[cant_order]])*100</f>
        <v>100</v>
      </c>
      <c r="Q13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8" s="1">
        <f>+IF(Tabla__192.168.1.8_POSEIDONSQL_APPFVT_01_tblFillRateFechas[[#This Row],[cant_order]]&gt;0,1,0)</f>
        <v>1</v>
      </c>
      <c r="V1308" s="1">
        <f>+IF(Tabla__192.168.1.8_POSEIDONSQL_APPFVT_01_tblFillRateFechas[[#This Row],[Resultado]]=1,1,0)</f>
        <v>1</v>
      </c>
      <c r="W1308" s="1" t="str">
        <f>+Tabla__192.168.1.8_POSEIDONSQL_APPFVT_01_tblFillRateFechas[[#This Row],[con_ocnumero]]&amp;Tabla__192.168.1.8_POSEIDONSQL_APPFVT_01_tblFillRateFechas[[#This Row],[con_codigounico]]</f>
        <v>91989030390050000701634210101</v>
      </c>
      <c r="X13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09" spans="1:24" x14ac:dyDescent="0.25">
      <c r="A1309">
        <v>9</v>
      </c>
      <c r="B1309" t="s">
        <v>48</v>
      </c>
      <c r="C1309">
        <v>9198903</v>
      </c>
      <c r="D1309" t="s">
        <v>1969</v>
      </c>
      <c r="E1309" t="s">
        <v>426</v>
      </c>
      <c r="F1309" t="s">
        <v>1969</v>
      </c>
      <c r="G1309">
        <v>1</v>
      </c>
      <c r="H1309">
        <v>1</v>
      </c>
      <c r="I1309" t="s">
        <v>426</v>
      </c>
      <c r="J1309">
        <v>0</v>
      </c>
      <c r="K1309" t="s">
        <v>604</v>
      </c>
      <c r="L1309" s="1">
        <f>+Tabla__192.168.1.8_POSEIDONSQL_APPFVT_01_tblFillRateFechas[[#This Row],[emb_cantidad]]-Tabla__192.168.1.8_POSEIDONSQL_APPFVT_01_tblFillRateFechas[[#This Row],[dev_cantidad]]</f>
        <v>1</v>
      </c>
      <c r="M1309" s="1">
        <f>+IF(Tabla__192.168.1.8_POSEIDONSQL_APPFVT_01_tblFillRateFechas[[#This Row],[Cant_Resultante]]=Tabla__192.168.1.8_POSEIDONSQL_APPFVT_01_tblFillRateFechas[[#This Row],[cant_order]],1,0)</f>
        <v>1</v>
      </c>
      <c r="N13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09" s="1">
        <f>+IF(AND(Tabla__192.168.1.8_POSEIDONSQL_APPFVT_01_tblFillRateFechas[[#This Row],[Valida Cant]]=1,Tabla__192.168.1.8_POSEIDONSQL_APPFVT_01_tblFillRateFechas[[#This Row],[Valida Fec]]=1),1,0)</f>
        <v>1</v>
      </c>
      <c r="P1309" s="1">
        <f>+(Tabla__192.168.1.8_POSEIDONSQL_APPFVT_01_tblFillRateFechas[[#This Row],[Cant_Resultante]]/Tabla__192.168.1.8_POSEIDONSQL_APPFVT_01_tblFillRateFechas[[#This Row],[cant_order]])*100</f>
        <v>100</v>
      </c>
      <c r="Q13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09" s="1">
        <f>+IF(Tabla__192.168.1.8_POSEIDONSQL_APPFVT_01_tblFillRateFechas[[#This Row],[cant_order]]&gt;0,1,0)</f>
        <v>1</v>
      </c>
      <c r="V1309" s="1">
        <f>+IF(Tabla__192.168.1.8_POSEIDONSQL_APPFVT_01_tblFillRateFechas[[#This Row],[Resultado]]=1,1,0)</f>
        <v>1</v>
      </c>
      <c r="W1309" s="1" t="str">
        <f>+Tabla__192.168.1.8_POSEIDONSQL_APPFVT_01_tblFillRateFechas[[#This Row],[con_ocnumero]]&amp;Tabla__192.168.1.8_POSEIDONSQL_APPFVT_01_tblFillRateFechas[[#This Row],[con_codigounico]]</f>
        <v>91989030390050000701668910101</v>
      </c>
      <c r="X13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0" spans="1:24" x14ac:dyDescent="0.25">
      <c r="A1310">
        <v>9</v>
      </c>
      <c r="B1310" t="s">
        <v>48</v>
      </c>
      <c r="C1310">
        <v>9198903</v>
      </c>
      <c r="D1310" t="s">
        <v>1969</v>
      </c>
      <c r="E1310" t="s">
        <v>426</v>
      </c>
      <c r="F1310" t="s">
        <v>1969</v>
      </c>
      <c r="G1310">
        <v>1</v>
      </c>
      <c r="H1310">
        <v>1</v>
      </c>
      <c r="I1310" t="s">
        <v>426</v>
      </c>
      <c r="J1310">
        <v>0</v>
      </c>
      <c r="K1310" t="s">
        <v>602</v>
      </c>
      <c r="L1310" s="1">
        <f>+Tabla__192.168.1.8_POSEIDONSQL_APPFVT_01_tblFillRateFechas[[#This Row],[emb_cantidad]]-Tabla__192.168.1.8_POSEIDONSQL_APPFVT_01_tblFillRateFechas[[#This Row],[dev_cantidad]]</f>
        <v>1</v>
      </c>
      <c r="M1310" s="1">
        <f>+IF(Tabla__192.168.1.8_POSEIDONSQL_APPFVT_01_tblFillRateFechas[[#This Row],[Cant_Resultante]]=Tabla__192.168.1.8_POSEIDONSQL_APPFVT_01_tblFillRateFechas[[#This Row],[cant_order]],1,0)</f>
        <v>1</v>
      </c>
      <c r="N13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0" s="1">
        <f>+IF(AND(Tabla__192.168.1.8_POSEIDONSQL_APPFVT_01_tblFillRateFechas[[#This Row],[Valida Cant]]=1,Tabla__192.168.1.8_POSEIDONSQL_APPFVT_01_tblFillRateFechas[[#This Row],[Valida Fec]]=1),1,0)</f>
        <v>1</v>
      </c>
      <c r="P1310" s="1">
        <f>+(Tabla__192.168.1.8_POSEIDONSQL_APPFVT_01_tblFillRateFechas[[#This Row],[Cant_Resultante]]/Tabla__192.168.1.8_POSEIDONSQL_APPFVT_01_tblFillRateFechas[[#This Row],[cant_order]])*100</f>
        <v>100</v>
      </c>
      <c r="Q13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0" s="1">
        <f>+IF(Tabla__192.168.1.8_POSEIDONSQL_APPFVT_01_tblFillRateFechas[[#This Row],[cant_order]]&gt;0,1,0)</f>
        <v>1</v>
      </c>
      <c r="V1310" s="1">
        <f>+IF(Tabla__192.168.1.8_POSEIDONSQL_APPFVT_01_tblFillRateFechas[[#This Row],[Resultado]]=1,1,0)</f>
        <v>1</v>
      </c>
      <c r="W1310" s="1" t="str">
        <f>+Tabla__192.168.1.8_POSEIDONSQL_APPFVT_01_tblFillRateFechas[[#This Row],[con_ocnumero]]&amp;Tabla__192.168.1.8_POSEIDONSQL_APPFVT_01_tblFillRateFechas[[#This Row],[con_codigounico]]</f>
        <v>91989030390050000701684740101</v>
      </c>
      <c r="X13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1" spans="1:24" x14ac:dyDescent="0.25">
      <c r="A1311">
        <v>9</v>
      </c>
      <c r="B1311" t="s">
        <v>48</v>
      </c>
      <c r="C1311">
        <v>9198903</v>
      </c>
      <c r="D1311" t="s">
        <v>1969</v>
      </c>
      <c r="E1311" t="s">
        <v>426</v>
      </c>
      <c r="F1311" t="s">
        <v>1969</v>
      </c>
      <c r="G1311">
        <v>1</v>
      </c>
      <c r="H1311">
        <v>1</v>
      </c>
      <c r="I1311" t="s">
        <v>426</v>
      </c>
      <c r="J1311">
        <v>0</v>
      </c>
      <c r="K1311" t="s">
        <v>600</v>
      </c>
      <c r="L1311" s="1">
        <f>+Tabla__192.168.1.8_POSEIDONSQL_APPFVT_01_tblFillRateFechas[[#This Row],[emb_cantidad]]-Tabla__192.168.1.8_POSEIDONSQL_APPFVT_01_tblFillRateFechas[[#This Row],[dev_cantidad]]</f>
        <v>1</v>
      </c>
      <c r="M1311" s="1">
        <f>+IF(Tabla__192.168.1.8_POSEIDONSQL_APPFVT_01_tblFillRateFechas[[#This Row],[Cant_Resultante]]=Tabla__192.168.1.8_POSEIDONSQL_APPFVT_01_tblFillRateFechas[[#This Row],[cant_order]],1,0)</f>
        <v>1</v>
      </c>
      <c r="N13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1" s="1">
        <f>+IF(AND(Tabla__192.168.1.8_POSEIDONSQL_APPFVT_01_tblFillRateFechas[[#This Row],[Valida Cant]]=1,Tabla__192.168.1.8_POSEIDONSQL_APPFVT_01_tblFillRateFechas[[#This Row],[Valida Fec]]=1),1,0)</f>
        <v>1</v>
      </c>
      <c r="P1311" s="1">
        <f>+(Tabla__192.168.1.8_POSEIDONSQL_APPFVT_01_tblFillRateFechas[[#This Row],[Cant_Resultante]]/Tabla__192.168.1.8_POSEIDONSQL_APPFVT_01_tblFillRateFechas[[#This Row],[cant_order]])*100</f>
        <v>100</v>
      </c>
      <c r="Q13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1" s="1">
        <f>+IF(Tabla__192.168.1.8_POSEIDONSQL_APPFVT_01_tblFillRateFechas[[#This Row],[cant_order]]&gt;0,1,0)</f>
        <v>1</v>
      </c>
      <c r="V1311" s="1">
        <f>+IF(Tabla__192.168.1.8_POSEIDONSQL_APPFVT_01_tblFillRateFechas[[#This Row],[Resultado]]=1,1,0)</f>
        <v>1</v>
      </c>
      <c r="W1311" s="1" t="str">
        <f>+Tabla__192.168.1.8_POSEIDONSQL_APPFVT_01_tblFillRateFechas[[#This Row],[con_ocnumero]]&amp;Tabla__192.168.1.8_POSEIDONSQL_APPFVT_01_tblFillRateFechas[[#This Row],[con_codigounico]]</f>
        <v>91989030390050000701723510101</v>
      </c>
      <c r="X13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2" spans="1:24" x14ac:dyDescent="0.25">
      <c r="A1312">
        <v>9</v>
      </c>
      <c r="B1312" t="s">
        <v>48</v>
      </c>
      <c r="C1312">
        <v>9199003</v>
      </c>
      <c r="D1312" t="s">
        <v>1969</v>
      </c>
      <c r="E1312" t="s">
        <v>422</v>
      </c>
      <c r="F1312" t="s">
        <v>163</v>
      </c>
      <c r="G1312">
        <v>1</v>
      </c>
      <c r="H1312">
        <v>1</v>
      </c>
      <c r="I1312" t="s">
        <v>426</v>
      </c>
      <c r="J1312">
        <v>0</v>
      </c>
      <c r="K1312" t="s">
        <v>1316</v>
      </c>
      <c r="L1312" s="1">
        <f>+Tabla__192.168.1.8_POSEIDONSQL_APPFVT_01_tblFillRateFechas[[#This Row],[emb_cantidad]]-Tabla__192.168.1.8_POSEIDONSQL_APPFVT_01_tblFillRateFechas[[#This Row],[dev_cantidad]]</f>
        <v>1</v>
      </c>
      <c r="M1312" s="1">
        <f>+IF(Tabla__192.168.1.8_POSEIDONSQL_APPFVT_01_tblFillRateFechas[[#This Row],[Cant_Resultante]]=Tabla__192.168.1.8_POSEIDONSQL_APPFVT_01_tblFillRateFechas[[#This Row],[cant_order]],1,0)</f>
        <v>1</v>
      </c>
      <c r="N13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2" s="1">
        <f>+IF(AND(Tabla__192.168.1.8_POSEIDONSQL_APPFVT_01_tblFillRateFechas[[#This Row],[Valida Cant]]=1,Tabla__192.168.1.8_POSEIDONSQL_APPFVT_01_tblFillRateFechas[[#This Row],[Valida Fec]]=1),1,0)</f>
        <v>1</v>
      </c>
      <c r="P1312" s="1">
        <f>+(Tabla__192.168.1.8_POSEIDONSQL_APPFVT_01_tblFillRateFechas[[#This Row],[Cant_Resultante]]/Tabla__192.168.1.8_POSEIDONSQL_APPFVT_01_tblFillRateFechas[[#This Row],[cant_order]])*100</f>
        <v>100</v>
      </c>
      <c r="Q13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2" s="1">
        <f>+IF(Tabla__192.168.1.8_POSEIDONSQL_APPFVT_01_tblFillRateFechas[[#This Row],[cant_order]]&gt;0,1,0)</f>
        <v>1</v>
      </c>
      <c r="V1312" s="1">
        <f>+IF(Tabla__192.168.1.8_POSEIDONSQL_APPFVT_01_tblFillRateFechas[[#This Row],[Resultado]]=1,1,0)</f>
        <v>1</v>
      </c>
      <c r="W1312" s="1" t="str">
        <f>+Tabla__192.168.1.8_POSEIDONSQL_APPFVT_01_tblFillRateFechas[[#This Row],[con_ocnumero]]&amp;Tabla__192.168.1.8_POSEIDONSQL_APPFVT_01_tblFillRateFechas[[#This Row],[con_codigounico]]</f>
        <v>91990030390050000701785390101</v>
      </c>
      <c r="X13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3" spans="1:24" x14ac:dyDescent="0.25">
      <c r="A1313">
        <v>9</v>
      </c>
      <c r="B1313" t="s">
        <v>48</v>
      </c>
      <c r="C1313">
        <v>9199081</v>
      </c>
      <c r="D1313" t="s">
        <v>1969</v>
      </c>
      <c r="E1313" t="s">
        <v>426</v>
      </c>
      <c r="F1313" t="s">
        <v>163</v>
      </c>
      <c r="G1313">
        <v>1</v>
      </c>
      <c r="H1313">
        <v>1</v>
      </c>
      <c r="I1313" t="s">
        <v>426</v>
      </c>
      <c r="J1313">
        <v>0</v>
      </c>
      <c r="K1313" t="s">
        <v>1317</v>
      </c>
      <c r="L1313" s="1">
        <f>+Tabla__192.168.1.8_POSEIDONSQL_APPFVT_01_tblFillRateFechas[[#This Row],[emb_cantidad]]-Tabla__192.168.1.8_POSEIDONSQL_APPFVT_01_tblFillRateFechas[[#This Row],[dev_cantidad]]</f>
        <v>1</v>
      </c>
      <c r="M1313" s="1">
        <f>+IF(Tabla__192.168.1.8_POSEIDONSQL_APPFVT_01_tblFillRateFechas[[#This Row],[Cant_Resultante]]=Tabla__192.168.1.8_POSEIDONSQL_APPFVT_01_tblFillRateFechas[[#This Row],[cant_order]],1,0)</f>
        <v>1</v>
      </c>
      <c r="N13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3" s="1">
        <f>+IF(AND(Tabla__192.168.1.8_POSEIDONSQL_APPFVT_01_tblFillRateFechas[[#This Row],[Valida Cant]]=1,Tabla__192.168.1.8_POSEIDONSQL_APPFVT_01_tblFillRateFechas[[#This Row],[Valida Fec]]=1),1,0)</f>
        <v>1</v>
      </c>
      <c r="P1313" s="1">
        <f>+(Tabla__192.168.1.8_POSEIDONSQL_APPFVT_01_tblFillRateFechas[[#This Row],[Cant_Resultante]]/Tabla__192.168.1.8_POSEIDONSQL_APPFVT_01_tblFillRateFechas[[#This Row],[cant_order]])*100</f>
        <v>100</v>
      </c>
      <c r="Q13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3" s="1">
        <f>+IF(Tabla__192.168.1.8_POSEIDONSQL_APPFVT_01_tblFillRateFechas[[#This Row],[cant_order]]&gt;0,1,0)</f>
        <v>1</v>
      </c>
      <c r="V1313" s="1">
        <f>+IF(Tabla__192.168.1.8_POSEIDONSQL_APPFVT_01_tblFillRateFechas[[#This Row],[Resultado]]=1,1,0)</f>
        <v>1</v>
      </c>
      <c r="W1313" s="1" t="str">
        <f>+Tabla__192.168.1.8_POSEIDONSQL_APPFVT_01_tblFillRateFechas[[#This Row],[con_ocnumero]]&amp;Tabla__192.168.1.8_POSEIDONSQL_APPFVT_01_tblFillRateFechas[[#This Row],[con_codigounico]]</f>
        <v>91990810390050000701859730101</v>
      </c>
      <c r="X13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4" spans="1:24" x14ac:dyDescent="0.25">
      <c r="A1314">
        <v>9</v>
      </c>
      <c r="B1314" t="s">
        <v>48</v>
      </c>
      <c r="C1314">
        <v>9199081</v>
      </c>
      <c r="D1314" t="s">
        <v>1969</v>
      </c>
      <c r="E1314" t="s">
        <v>163</v>
      </c>
      <c r="F1314" t="s">
        <v>163</v>
      </c>
      <c r="G1314">
        <v>1</v>
      </c>
      <c r="H1314">
        <v>1</v>
      </c>
      <c r="I1314" t="s">
        <v>427</v>
      </c>
      <c r="J1314">
        <v>0</v>
      </c>
      <c r="K1314" t="s">
        <v>1697</v>
      </c>
      <c r="L1314" s="1">
        <f>+Tabla__192.168.1.8_POSEIDONSQL_APPFVT_01_tblFillRateFechas[[#This Row],[emb_cantidad]]-Tabla__192.168.1.8_POSEIDONSQL_APPFVT_01_tblFillRateFechas[[#This Row],[dev_cantidad]]</f>
        <v>1</v>
      </c>
      <c r="M1314" s="1">
        <f>+IF(Tabla__192.168.1.8_POSEIDONSQL_APPFVT_01_tblFillRateFechas[[#This Row],[Cant_Resultante]]=Tabla__192.168.1.8_POSEIDONSQL_APPFVT_01_tblFillRateFechas[[#This Row],[cant_order]],1,0)</f>
        <v>1</v>
      </c>
      <c r="N13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14" s="1">
        <f>+IF(AND(Tabla__192.168.1.8_POSEIDONSQL_APPFVT_01_tblFillRateFechas[[#This Row],[Valida Cant]]=1,Tabla__192.168.1.8_POSEIDONSQL_APPFVT_01_tblFillRateFechas[[#This Row],[Valida Fec]]=1),1,0)</f>
        <v>0</v>
      </c>
      <c r="P1314" s="1">
        <f>+(Tabla__192.168.1.8_POSEIDONSQL_APPFVT_01_tblFillRateFechas[[#This Row],[Cant_Resultante]]/Tabla__192.168.1.8_POSEIDONSQL_APPFVT_01_tblFillRateFechas[[#This Row],[cant_order]])*100</f>
        <v>100</v>
      </c>
      <c r="Q13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4" s="1">
        <f>+IF(Tabla__192.168.1.8_POSEIDONSQL_APPFVT_01_tblFillRateFechas[[#This Row],[cant_order]]&gt;0,1,0)</f>
        <v>1</v>
      </c>
      <c r="V1314" s="1">
        <f>+IF(Tabla__192.168.1.8_POSEIDONSQL_APPFVT_01_tblFillRateFechas[[#This Row],[Resultado]]=1,1,0)</f>
        <v>0</v>
      </c>
      <c r="W1314" s="1" t="str">
        <f>+Tabla__192.168.1.8_POSEIDONSQL_APPFVT_01_tblFillRateFechas[[#This Row],[con_ocnumero]]&amp;Tabla__192.168.1.8_POSEIDONSQL_APPFVT_01_tblFillRateFechas[[#This Row],[con_codigounico]]</f>
        <v>91990810390050000701871280101</v>
      </c>
      <c r="X13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5" spans="1:24" x14ac:dyDescent="0.25">
      <c r="A1315">
        <v>9</v>
      </c>
      <c r="B1315" t="s">
        <v>48</v>
      </c>
      <c r="C1315">
        <v>9199368</v>
      </c>
      <c r="D1315" t="s">
        <v>1969</v>
      </c>
      <c r="E1315" t="s">
        <v>416</v>
      </c>
      <c r="F1315" t="s">
        <v>163</v>
      </c>
      <c r="G1315">
        <v>1</v>
      </c>
      <c r="H1315">
        <v>1</v>
      </c>
      <c r="I1315" t="s">
        <v>416</v>
      </c>
      <c r="J1315">
        <v>0</v>
      </c>
      <c r="K1315" t="s">
        <v>997</v>
      </c>
      <c r="L1315" s="1">
        <f>+Tabla__192.168.1.8_POSEIDONSQL_APPFVT_01_tblFillRateFechas[[#This Row],[emb_cantidad]]-Tabla__192.168.1.8_POSEIDONSQL_APPFVT_01_tblFillRateFechas[[#This Row],[dev_cantidad]]</f>
        <v>1</v>
      </c>
      <c r="M1315" s="1">
        <f>+IF(Tabla__192.168.1.8_POSEIDONSQL_APPFVT_01_tblFillRateFechas[[#This Row],[Cant_Resultante]]=Tabla__192.168.1.8_POSEIDONSQL_APPFVT_01_tblFillRateFechas[[#This Row],[cant_order]],1,0)</f>
        <v>1</v>
      </c>
      <c r="N13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5" s="1">
        <f>+IF(AND(Tabla__192.168.1.8_POSEIDONSQL_APPFVT_01_tblFillRateFechas[[#This Row],[Valida Cant]]=1,Tabla__192.168.1.8_POSEIDONSQL_APPFVT_01_tblFillRateFechas[[#This Row],[Valida Fec]]=1),1,0)</f>
        <v>1</v>
      </c>
      <c r="P1315" s="1">
        <f>+(Tabla__192.168.1.8_POSEIDONSQL_APPFVT_01_tblFillRateFechas[[#This Row],[Cant_Resultante]]/Tabla__192.168.1.8_POSEIDONSQL_APPFVT_01_tblFillRateFechas[[#This Row],[cant_order]])*100</f>
        <v>100</v>
      </c>
      <c r="Q13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5" s="1">
        <f>+IF(Tabla__192.168.1.8_POSEIDONSQL_APPFVT_01_tblFillRateFechas[[#This Row],[cant_order]]&gt;0,1,0)</f>
        <v>1</v>
      </c>
      <c r="V1315" s="1">
        <f>+IF(Tabla__192.168.1.8_POSEIDONSQL_APPFVT_01_tblFillRateFechas[[#This Row],[Resultado]]=1,1,0)</f>
        <v>1</v>
      </c>
      <c r="W1315" s="1" t="str">
        <f>+Tabla__192.168.1.8_POSEIDONSQL_APPFVT_01_tblFillRateFechas[[#This Row],[con_ocnumero]]&amp;Tabla__192.168.1.8_POSEIDONSQL_APPFVT_01_tblFillRateFechas[[#This Row],[con_codigounico]]</f>
        <v>91993680390050000701925710101</v>
      </c>
      <c r="X13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6" spans="1:24" x14ac:dyDescent="0.25">
      <c r="A1316">
        <v>9</v>
      </c>
      <c r="B1316" t="s">
        <v>48</v>
      </c>
      <c r="C1316">
        <v>9199311</v>
      </c>
      <c r="D1316" t="s">
        <v>1969</v>
      </c>
      <c r="E1316" t="s">
        <v>426</v>
      </c>
      <c r="F1316" t="s">
        <v>163</v>
      </c>
      <c r="G1316">
        <v>1</v>
      </c>
      <c r="H1316">
        <v>1</v>
      </c>
      <c r="I1316" t="s">
        <v>426</v>
      </c>
      <c r="J1316">
        <v>0</v>
      </c>
      <c r="K1316" t="s">
        <v>1307</v>
      </c>
      <c r="L1316" s="1">
        <f>+Tabla__192.168.1.8_POSEIDONSQL_APPFVT_01_tblFillRateFechas[[#This Row],[emb_cantidad]]-Tabla__192.168.1.8_POSEIDONSQL_APPFVT_01_tblFillRateFechas[[#This Row],[dev_cantidad]]</f>
        <v>1</v>
      </c>
      <c r="M1316" s="1">
        <f>+IF(Tabla__192.168.1.8_POSEIDONSQL_APPFVT_01_tblFillRateFechas[[#This Row],[Cant_Resultante]]=Tabla__192.168.1.8_POSEIDONSQL_APPFVT_01_tblFillRateFechas[[#This Row],[cant_order]],1,0)</f>
        <v>1</v>
      </c>
      <c r="N13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6" s="1">
        <f>+IF(AND(Tabla__192.168.1.8_POSEIDONSQL_APPFVT_01_tblFillRateFechas[[#This Row],[Valida Cant]]=1,Tabla__192.168.1.8_POSEIDONSQL_APPFVT_01_tblFillRateFechas[[#This Row],[Valida Fec]]=1),1,0)</f>
        <v>1</v>
      </c>
      <c r="P1316" s="1">
        <f>+(Tabla__192.168.1.8_POSEIDONSQL_APPFVT_01_tblFillRateFechas[[#This Row],[Cant_Resultante]]/Tabla__192.168.1.8_POSEIDONSQL_APPFVT_01_tblFillRateFechas[[#This Row],[cant_order]])*100</f>
        <v>100</v>
      </c>
      <c r="Q13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6" s="1">
        <f>+IF(Tabla__192.168.1.8_POSEIDONSQL_APPFVT_01_tblFillRateFechas[[#This Row],[cant_order]]&gt;0,1,0)</f>
        <v>1</v>
      </c>
      <c r="V1316" s="1">
        <f>+IF(Tabla__192.168.1.8_POSEIDONSQL_APPFVT_01_tblFillRateFechas[[#This Row],[Resultado]]=1,1,0)</f>
        <v>1</v>
      </c>
      <c r="W1316" s="1" t="str">
        <f>+Tabla__192.168.1.8_POSEIDONSQL_APPFVT_01_tblFillRateFechas[[#This Row],[con_ocnumero]]&amp;Tabla__192.168.1.8_POSEIDONSQL_APPFVT_01_tblFillRateFechas[[#This Row],[con_codigounico]]</f>
        <v>91993110390050000702005960101</v>
      </c>
      <c r="X13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7" spans="1:24" x14ac:dyDescent="0.25">
      <c r="A1317">
        <v>9</v>
      </c>
      <c r="B1317" t="s">
        <v>48</v>
      </c>
      <c r="C1317">
        <v>9199427</v>
      </c>
      <c r="D1317" t="s">
        <v>1969</v>
      </c>
      <c r="E1317" t="s">
        <v>426</v>
      </c>
      <c r="F1317" t="s">
        <v>163</v>
      </c>
      <c r="G1317">
        <v>1</v>
      </c>
      <c r="H1317">
        <v>1</v>
      </c>
      <c r="I1317" t="s">
        <v>426</v>
      </c>
      <c r="J1317">
        <v>0</v>
      </c>
      <c r="K1317" t="s">
        <v>1309</v>
      </c>
      <c r="L1317" s="1">
        <f>+Tabla__192.168.1.8_POSEIDONSQL_APPFVT_01_tblFillRateFechas[[#This Row],[emb_cantidad]]-Tabla__192.168.1.8_POSEIDONSQL_APPFVT_01_tblFillRateFechas[[#This Row],[dev_cantidad]]</f>
        <v>1</v>
      </c>
      <c r="M1317" s="1">
        <f>+IF(Tabla__192.168.1.8_POSEIDONSQL_APPFVT_01_tblFillRateFechas[[#This Row],[Cant_Resultante]]=Tabla__192.168.1.8_POSEIDONSQL_APPFVT_01_tblFillRateFechas[[#This Row],[cant_order]],1,0)</f>
        <v>1</v>
      </c>
      <c r="N13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7" s="1">
        <f>+IF(AND(Tabla__192.168.1.8_POSEIDONSQL_APPFVT_01_tblFillRateFechas[[#This Row],[Valida Cant]]=1,Tabla__192.168.1.8_POSEIDONSQL_APPFVT_01_tblFillRateFechas[[#This Row],[Valida Fec]]=1),1,0)</f>
        <v>1</v>
      </c>
      <c r="P1317" s="1">
        <f>+(Tabla__192.168.1.8_POSEIDONSQL_APPFVT_01_tblFillRateFechas[[#This Row],[Cant_Resultante]]/Tabla__192.168.1.8_POSEIDONSQL_APPFVT_01_tblFillRateFechas[[#This Row],[cant_order]])*100</f>
        <v>100</v>
      </c>
      <c r="Q13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7" s="1">
        <f>+IF(Tabla__192.168.1.8_POSEIDONSQL_APPFVT_01_tblFillRateFechas[[#This Row],[cant_order]]&gt;0,1,0)</f>
        <v>1</v>
      </c>
      <c r="V1317" s="1">
        <f>+IF(Tabla__192.168.1.8_POSEIDONSQL_APPFVT_01_tblFillRateFechas[[#This Row],[Resultado]]=1,1,0)</f>
        <v>1</v>
      </c>
      <c r="W1317" s="1" t="str">
        <f>+Tabla__192.168.1.8_POSEIDONSQL_APPFVT_01_tblFillRateFechas[[#This Row],[con_ocnumero]]&amp;Tabla__192.168.1.8_POSEIDONSQL_APPFVT_01_tblFillRateFechas[[#This Row],[con_codigounico]]</f>
        <v>91994270390050000702055740101</v>
      </c>
      <c r="X13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8" spans="1:24" x14ac:dyDescent="0.25">
      <c r="A1318">
        <v>9</v>
      </c>
      <c r="B1318" t="s">
        <v>48</v>
      </c>
      <c r="C1318">
        <v>9199427</v>
      </c>
      <c r="D1318" t="s">
        <v>1969</v>
      </c>
      <c r="E1318" t="s">
        <v>422</v>
      </c>
      <c r="F1318" t="s">
        <v>163</v>
      </c>
      <c r="G1318">
        <v>1</v>
      </c>
      <c r="H1318">
        <v>1</v>
      </c>
      <c r="I1318" t="s">
        <v>426</v>
      </c>
      <c r="J1318">
        <v>0</v>
      </c>
      <c r="K1318" t="s">
        <v>1310</v>
      </c>
      <c r="L1318" s="1">
        <f>+Tabla__192.168.1.8_POSEIDONSQL_APPFVT_01_tblFillRateFechas[[#This Row],[emb_cantidad]]-Tabla__192.168.1.8_POSEIDONSQL_APPFVT_01_tblFillRateFechas[[#This Row],[dev_cantidad]]</f>
        <v>1</v>
      </c>
      <c r="M1318" s="1">
        <f>+IF(Tabla__192.168.1.8_POSEIDONSQL_APPFVT_01_tblFillRateFechas[[#This Row],[Cant_Resultante]]=Tabla__192.168.1.8_POSEIDONSQL_APPFVT_01_tblFillRateFechas[[#This Row],[cant_order]],1,0)</f>
        <v>1</v>
      </c>
      <c r="N13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18" s="1">
        <f>+IF(AND(Tabla__192.168.1.8_POSEIDONSQL_APPFVT_01_tblFillRateFechas[[#This Row],[Valida Cant]]=1,Tabla__192.168.1.8_POSEIDONSQL_APPFVT_01_tblFillRateFechas[[#This Row],[Valida Fec]]=1),1,0)</f>
        <v>1</v>
      </c>
      <c r="P1318" s="1">
        <f>+(Tabla__192.168.1.8_POSEIDONSQL_APPFVT_01_tblFillRateFechas[[#This Row],[Cant_Resultante]]/Tabla__192.168.1.8_POSEIDONSQL_APPFVT_01_tblFillRateFechas[[#This Row],[cant_order]])*100</f>
        <v>100</v>
      </c>
      <c r="Q13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8" s="1">
        <f>+IF(Tabla__192.168.1.8_POSEIDONSQL_APPFVT_01_tblFillRateFechas[[#This Row],[cant_order]]&gt;0,1,0)</f>
        <v>1</v>
      </c>
      <c r="V1318" s="1">
        <f>+IF(Tabla__192.168.1.8_POSEIDONSQL_APPFVT_01_tblFillRateFechas[[#This Row],[Resultado]]=1,1,0)</f>
        <v>1</v>
      </c>
      <c r="W1318" s="1" t="str">
        <f>+Tabla__192.168.1.8_POSEIDONSQL_APPFVT_01_tblFillRateFechas[[#This Row],[con_ocnumero]]&amp;Tabla__192.168.1.8_POSEIDONSQL_APPFVT_01_tblFillRateFechas[[#This Row],[con_codigounico]]</f>
        <v>91994270390050000702056550101</v>
      </c>
      <c r="X13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19" spans="1:24" x14ac:dyDescent="0.25">
      <c r="A1319">
        <v>9</v>
      </c>
      <c r="B1319" t="s">
        <v>48</v>
      </c>
      <c r="C1319">
        <v>9199368</v>
      </c>
      <c r="D1319" t="s">
        <v>1969</v>
      </c>
      <c r="E1319" t="s">
        <v>163</v>
      </c>
      <c r="F1319" t="s">
        <v>163</v>
      </c>
      <c r="G1319">
        <v>1</v>
      </c>
      <c r="H1319">
        <v>1</v>
      </c>
      <c r="I1319" t="s">
        <v>427</v>
      </c>
      <c r="J1319">
        <v>0</v>
      </c>
      <c r="K1319" t="s">
        <v>1694</v>
      </c>
      <c r="L1319" s="1">
        <f>+Tabla__192.168.1.8_POSEIDONSQL_APPFVT_01_tblFillRateFechas[[#This Row],[emb_cantidad]]-Tabla__192.168.1.8_POSEIDONSQL_APPFVT_01_tblFillRateFechas[[#This Row],[dev_cantidad]]</f>
        <v>1</v>
      </c>
      <c r="M1319" s="1">
        <f>+IF(Tabla__192.168.1.8_POSEIDONSQL_APPFVT_01_tblFillRateFechas[[#This Row],[Cant_Resultante]]=Tabla__192.168.1.8_POSEIDONSQL_APPFVT_01_tblFillRateFechas[[#This Row],[cant_order]],1,0)</f>
        <v>1</v>
      </c>
      <c r="N13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19" s="1">
        <f>+IF(AND(Tabla__192.168.1.8_POSEIDONSQL_APPFVT_01_tblFillRateFechas[[#This Row],[Valida Cant]]=1,Tabla__192.168.1.8_POSEIDONSQL_APPFVT_01_tblFillRateFechas[[#This Row],[Valida Fec]]=1),1,0)</f>
        <v>0</v>
      </c>
      <c r="P1319" s="1">
        <f>+(Tabla__192.168.1.8_POSEIDONSQL_APPFVT_01_tblFillRateFechas[[#This Row],[Cant_Resultante]]/Tabla__192.168.1.8_POSEIDONSQL_APPFVT_01_tblFillRateFechas[[#This Row],[cant_order]])*100</f>
        <v>100</v>
      </c>
      <c r="Q13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19" s="1">
        <f>+IF(Tabla__192.168.1.8_POSEIDONSQL_APPFVT_01_tblFillRateFechas[[#This Row],[cant_order]]&gt;0,1,0)</f>
        <v>1</v>
      </c>
      <c r="V1319" s="1">
        <f>+IF(Tabla__192.168.1.8_POSEIDONSQL_APPFVT_01_tblFillRateFechas[[#This Row],[Resultado]]=1,1,0)</f>
        <v>0</v>
      </c>
      <c r="W1319" s="1" t="str">
        <f>+Tabla__192.168.1.8_POSEIDONSQL_APPFVT_01_tblFillRateFechas[[#This Row],[con_ocnumero]]&amp;Tabla__192.168.1.8_POSEIDONSQL_APPFVT_01_tblFillRateFechas[[#This Row],[con_codigounico]]</f>
        <v>91993680390050000702072320101</v>
      </c>
      <c r="X13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0" spans="1:24" x14ac:dyDescent="0.25">
      <c r="A1320">
        <v>9</v>
      </c>
      <c r="B1320" t="s">
        <v>48</v>
      </c>
      <c r="C1320">
        <v>9199368</v>
      </c>
      <c r="D1320" t="s">
        <v>1969</v>
      </c>
      <c r="E1320" t="s">
        <v>426</v>
      </c>
      <c r="F1320" t="s">
        <v>163</v>
      </c>
      <c r="G1320">
        <v>1</v>
      </c>
      <c r="H1320">
        <v>1</v>
      </c>
      <c r="I1320" t="s">
        <v>426</v>
      </c>
      <c r="J1320">
        <v>0</v>
      </c>
      <c r="K1320" t="s">
        <v>1308</v>
      </c>
      <c r="L1320" s="1">
        <f>+Tabla__192.168.1.8_POSEIDONSQL_APPFVT_01_tblFillRateFechas[[#This Row],[emb_cantidad]]-Tabla__192.168.1.8_POSEIDONSQL_APPFVT_01_tblFillRateFechas[[#This Row],[dev_cantidad]]</f>
        <v>1</v>
      </c>
      <c r="M1320" s="1">
        <f>+IF(Tabla__192.168.1.8_POSEIDONSQL_APPFVT_01_tblFillRateFechas[[#This Row],[Cant_Resultante]]=Tabla__192.168.1.8_POSEIDONSQL_APPFVT_01_tblFillRateFechas[[#This Row],[cant_order]],1,0)</f>
        <v>1</v>
      </c>
      <c r="N13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0" s="1">
        <f>+IF(AND(Tabla__192.168.1.8_POSEIDONSQL_APPFVT_01_tblFillRateFechas[[#This Row],[Valida Cant]]=1,Tabla__192.168.1.8_POSEIDONSQL_APPFVT_01_tblFillRateFechas[[#This Row],[Valida Fec]]=1),1,0)</f>
        <v>1</v>
      </c>
      <c r="P1320" s="1">
        <f>+(Tabla__192.168.1.8_POSEIDONSQL_APPFVT_01_tblFillRateFechas[[#This Row],[Cant_Resultante]]/Tabla__192.168.1.8_POSEIDONSQL_APPFVT_01_tblFillRateFechas[[#This Row],[cant_order]])*100</f>
        <v>100</v>
      </c>
      <c r="Q13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0" s="1">
        <f>+IF(Tabla__192.168.1.8_POSEIDONSQL_APPFVT_01_tblFillRateFechas[[#This Row],[cant_order]]&gt;0,1,0)</f>
        <v>1</v>
      </c>
      <c r="V1320" s="1">
        <f>+IF(Tabla__192.168.1.8_POSEIDONSQL_APPFVT_01_tblFillRateFechas[[#This Row],[Resultado]]=1,1,0)</f>
        <v>1</v>
      </c>
      <c r="W1320" s="1" t="str">
        <f>+Tabla__192.168.1.8_POSEIDONSQL_APPFVT_01_tblFillRateFechas[[#This Row],[con_ocnumero]]&amp;Tabla__192.168.1.8_POSEIDONSQL_APPFVT_01_tblFillRateFechas[[#This Row],[con_codigounico]]</f>
        <v>91993680390050000702078270101</v>
      </c>
      <c r="X13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1" spans="1:24" x14ac:dyDescent="0.25">
      <c r="A1321">
        <v>9</v>
      </c>
      <c r="B1321" t="s">
        <v>48</v>
      </c>
      <c r="C1321">
        <v>9199427</v>
      </c>
      <c r="D1321" t="s">
        <v>1969</v>
      </c>
      <c r="E1321" t="s">
        <v>163</v>
      </c>
      <c r="F1321" t="s">
        <v>163</v>
      </c>
      <c r="G1321">
        <v>1</v>
      </c>
      <c r="H1321">
        <v>1</v>
      </c>
      <c r="I1321" t="s">
        <v>427</v>
      </c>
      <c r="J1321">
        <v>0</v>
      </c>
      <c r="K1321" t="s">
        <v>1695</v>
      </c>
      <c r="L1321" s="1">
        <f>+Tabla__192.168.1.8_POSEIDONSQL_APPFVT_01_tblFillRateFechas[[#This Row],[emb_cantidad]]-Tabla__192.168.1.8_POSEIDONSQL_APPFVT_01_tblFillRateFechas[[#This Row],[dev_cantidad]]</f>
        <v>1</v>
      </c>
      <c r="M1321" s="1">
        <f>+IF(Tabla__192.168.1.8_POSEIDONSQL_APPFVT_01_tblFillRateFechas[[#This Row],[Cant_Resultante]]=Tabla__192.168.1.8_POSEIDONSQL_APPFVT_01_tblFillRateFechas[[#This Row],[cant_order]],1,0)</f>
        <v>1</v>
      </c>
      <c r="N13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21" s="1">
        <f>+IF(AND(Tabla__192.168.1.8_POSEIDONSQL_APPFVT_01_tblFillRateFechas[[#This Row],[Valida Cant]]=1,Tabla__192.168.1.8_POSEIDONSQL_APPFVT_01_tblFillRateFechas[[#This Row],[Valida Fec]]=1),1,0)</f>
        <v>0</v>
      </c>
      <c r="P1321" s="1">
        <f>+(Tabla__192.168.1.8_POSEIDONSQL_APPFVT_01_tblFillRateFechas[[#This Row],[Cant_Resultante]]/Tabla__192.168.1.8_POSEIDONSQL_APPFVT_01_tblFillRateFechas[[#This Row],[cant_order]])*100</f>
        <v>100</v>
      </c>
      <c r="Q13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1" s="1">
        <f>+IF(Tabla__192.168.1.8_POSEIDONSQL_APPFVT_01_tblFillRateFechas[[#This Row],[cant_order]]&gt;0,1,0)</f>
        <v>1</v>
      </c>
      <c r="V1321" s="1">
        <f>+IF(Tabla__192.168.1.8_POSEIDONSQL_APPFVT_01_tblFillRateFechas[[#This Row],[Resultado]]=1,1,0)</f>
        <v>0</v>
      </c>
      <c r="W1321" s="1" t="str">
        <f>+Tabla__192.168.1.8_POSEIDONSQL_APPFVT_01_tblFillRateFechas[[#This Row],[con_ocnumero]]&amp;Tabla__192.168.1.8_POSEIDONSQL_APPFVT_01_tblFillRateFechas[[#This Row],[con_codigounico]]</f>
        <v>91994270390050000702087190101</v>
      </c>
      <c r="X13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2" spans="1:24" x14ac:dyDescent="0.25">
      <c r="A1322">
        <v>9</v>
      </c>
      <c r="B1322" t="s">
        <v>48</v>
      </c>
      <c r="C1322">
        <v>9199497</v>
      </c>
      <c r="D1322" t="s">
        <v>1969</v>
      </c>
      <c r="E1322" t="s">
        <v>163</v>
      </c>
      <c r="F1322" t="s">
        <v>163</v>
      </c>
      <c r="G1322">
        <v>1</v>
      </c>
      <c r="H1322">
        <v>1</v>
      </c>
      <c r="I1322" t="s">
        <v>427</v>
      </c>
      <c r="J1322">
        <v>0</v>
      </c>
      <c r="K1322" t="s">
        <v>1696</v>
      </c>
      <c r="L1322" s="1">
        <f>+Tabla__192.168.1.8_POSEIDONSQL_APPFVT_01_tblFillRateFechas[[#This Row],[emb_cantidad]]-Tabla__192.168.1.8_POSEIDONSQL_APPFVT_01_tblFillRateFechas[[#This Row],[dev_cantidad]]</f>
        <v>1</v>
      </c>
      <c r="M1322" s="1">
        <f>+IF(Tabla__192.168.1.8_POSEIDONSQL_APPFVT_01_tblFillRateFechas[[#This Row],[Cant_Resultante]]=Tabla__192.168.1.8_POSEIDONSQL_APPFVT_01_tblFillRateFechas[[#This Row],[cant_order]],1,0)</f>
        <v>1</v>
      </c>
      <c r="N13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22" s="1">
        <f>+IF(AND(Tabla__192.168.1.8_POSEIDONSQL_APPFVT_01_tblFillRateFechas[[#This Row],[Valida Cant]]=1,Tabla__192.168.1.8_POSEIDONSQL_APPFVT_01_tblFillRateFechas[[#This Row],[Valida Fec]]=1),1,0)</f>
        <v>0</v>
      </c>
      <c r="P1322" s="1">
        <f>+(Tabla__192.168.1.8_POSEIDONSQL_APPFVT_01_tblFillRateFechas[[#This Row],[Cant_Resultante]]/Tabla__192.168.1.8_POSEIDONSQL_APPFVT_01_tblFillRateFechas[[#This Row],[cant_order]])*100</f>
        <v>100</v>
      </c>
      <c r="Q13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2" s="1">
        <f>+IF(Tabla__192.168.1.8_POSEIDONSQL_APPFVT_01_tblFillRateFechas[[#This Row],[cant_order]]&gt;0,1,0)</f>
        <v>1</v>
      </c>
      <c r="V1322" s="1">
        <f>+IF(Tabla__192.168.1.8_POSEIDONSQL_APPFVT_01_tblFillRateFechas[[#This Row],[Resultado]]=1,1,0)</f>
        <v>0</v>
      </c>
      <c r="W1322" s="1" t="str">
        <f>+Tabla__192.168.1.8_POSEIDONSQL_APPFVT_01_tblFillRateFechas[[#This Row],[con_ocnumero]]&amp;Tabla__192.168.1.8_POSEIDONSQL_APPFVT_01_tblFillRateFechas[[#This Row],[con_codigounico]]</f>
        <v>91994970390050000702102400101</v>
      </c>
      <c r="X13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3" spans="1:24" x14ac:dyDescent="0.25">
      <c r="A1323">
        <v>9</v>
      </c>
      <c r="B1323" t="s">
        <v>48</v>
      </c>
      <c r="C1323">
        <v>9199640</v>
      </c>
      <c r="D1323" t="s">
        <v>428</v>
      </c>
      <c r="E1323" t="s">
        <v>427</v>
      </c>
      <c r="F1323" t="s">
        <v>163</v>
      </c>
      <c r="G1323">
        <v>1</v>
      </c>
      <c r="H1323">
        <v>1</v>
      </c>
      <c r="I1323" t="s">
        <v>427</v>
      </c>
      <c r="J1323">
        <v>0</v>
      </c>
      <c r="K1323" t="s">
        <v>958</v>
      </c>
      <c r="L1323" s="1">
        <f>+Tabla__192.168.1.8_POSEIDONSQL_APPFVT_01_tblFillRateFechas[[#This Row],[emb_cantidad]]-Tabla__192.168.1.8_POSEIDONSQL_APPFVT_01_tblFillRateFechas[[#This Row],[dev_cantidad]]</f>
        <v>1</v>
      </c>
      <c r="M1323" s="1">
        <f>+IF(Tabla__192.168.1.8_POSEIDONSQL_APPFVT_01_tblFillRateFechas[[#This Row],[Cant_Resultante]]=Tabla__192.168.1.8_POSEIDONSQL_APPFVT_01_tblFillRateFechas[[#This Row],[cant_order]],1,0)</f>
        <v>1</v>
      </c>
      <c r="N13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3" s="1">
        <f>+IF(AND(Tabla__192.168.1.8_POSEIDONSQL_APPFVT_01_tblFillRateFechas[[#This Row],[Valida Cant]]=1,Tabla__192.168.1.8_POSEIDONSQL_APPFVT_01_tblFillRateFechas[[#This Row],[Valida Fec]]=1),1,0)</f>
        <v>1</v>
      </c>
      <c r="P1323" s="1">
        <f>+(Tabla__192.168.1.8_POSEIDONSQL_APPFVT_01_tblFillRateFechas[[#This Row],[Cant_Resultante]]/Tabla__192.168.1.8_POSEIDONSQL_APPFVT_01_tblFillRateFechas[[#This Row],[cant_order]])*100</f>
        <v>100</v>
      </c>
      <c r="Q13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3" s="1">
        <f>+IF(Tabla__192.168.1.8_POSEIDONSQL_APPFVT_01_tblFillRateFechas[[#This Row],[cant_order]]&gt;0,1,0)</f>
        <v>1</v>
      </c>
      <c r="V1323" s="1">
        <f>+IF(Tabla__192.168.1.8_POSEIDONSQL_APPFVT_01_tblFillRateFechas[[#This Row],[Resultado]]=1,1,0)</f>
        <v>1</v>
      </c>
      <c r="W1323" s="1" t="str">
        <f>+Tabla__192.168.1.8_POSEIDONSQL_APPFVT_01_tblFillRateFechas[[#This Row],[con_ocnumero]]&amp;Tabla__192.168.1.8_POSEIDONSQL_APPFVT_01_tblFillRateFechas[[#This Row],[con_codigounico]]</f>
        <v>91996400390050000702163120101</v>
      </c>
      <c r="X13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4" spans="1:24" x14ac:dyDescent="0.25">
      <c r="A1324">
        <v>9</v>
      </c>
      <c r="B1324" t="s">
        <v>48</v>
      </c>
      <c r="C1324">
        <v>9199539</v>
      </c>
      <c r="D1324" t="s">
        <v>428</v>
      </c>
      <c r="E1324" t="s">
        <v>426</v>
      </c>
      <c r="F1324" t="s">
        <v>163</v>
      </c>
      <c r="G1324">
        <v>1</v>
      </c>
      <c r="H1324">
        <v>1</v>
      </c>
      <c r="I1324" t="s">
        <v>426</v>
      </c>
      <c r="J1324">
        <v>0</v>
      </c>
      <c r="K1324" t="s">
        <v>1312</v>
      </c>
      <c r="L1324" s="1">
        <f>+Tabla__192.168.1.8_POSEIDONSQL_APPFVT_01_tblFillRateFechas[[#This Row],[emb_cantidad]]-Tabla__192.168.1.8_POSEIDONSQL_APPFVT_01_tblFillRateFechas[[#This Row],[dev_cantidad]]</f>
        <v>1</v>
      </c>
      <c r="M1324" s="1">
        <f>+IF(Tabla__192.168.1.8_POSEIDONSQL_APPFVT_01_tblFillRateFechas[[#This Row],[Cant_Resultante]]=Tabla__192.168.1.8_POSEIDONSQL_APPFVT_01_tblFillRateFechas[[#This Row],[cant_order]],1,0)</f>
        <v>1</v>
      </c>
      <c r="N13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4" s="1">
        <f>+IF(AND(Tabla__192.168.1.8_POSEIDONSQL_APPFVT_01_tblFillRateFechas[[#This Row],[Valida Cant]]=1,Tabla__192.168.1.8_POSEIDONSQL_APPFVT_01_tblFillRateFechas[[#This Row],[Valida Fec]]=1),1,0)</f>
        <v>1</v>
      </c>
      <c r="P1324" s="1">
        <f>+(Tabla__192.168.1.8_POSEIDONSQL_APPFVT_01_tblFillRateFechas[[#This Row],[Cant_Resultante]]/Tabla__192.168.1.8_POSEIDONSQL_APPFVT_01_tblFillRateFechas[[#This Row],[cant_order]])*100</f>
        <v>100</v>
      </c>
      <c r="Q13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4" s="1">
        <f>+IF(Tabla__192.168.1.8_POSEIDONSQL_APPFVT_01_tblFillRateFechas[[#This Row],[cant_order]]&gt;0,1,0)</f>
        <v>1</v>
      </c>
      <c r="V1324" s="1">
        <f>+IF(Tabla__192.168.1.8_POSEIDONSQL_APPFVT_01_tblFillRateFechas[[#This Row],[Resultado]]=1,1,0)</f>
        <v>1</v>
      </c>
      <c r="W1324" s="1" t="str">
        <f>+Tabla__192.168.1.8_POSEIDONSQL_APPFVT_01_tblFillRateFechas[[#This Row],[con_ocnumero]]&amp;Tabla__192.168.1.8_POSEIDONSQL_APPFVT_01_tblFillRateFechas[[#This Row],[con_codigounico]]</f>
        <v>91995390390050000702185600101</v>
      </c>
      <c r="X13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5" spans="1:24" x14ac:dyDescent="0.25">
      <c r="A1325">
        <v>9</v>
      </c>
      <c r="B1325" t="s">
        <v>48</v>
      </c>
      <c r="C1325">
        <v>9199539</v>
      </c>
      <c r="D1325" t="s">
        <v>428</v>
      </c>
      <c r="E1325" t="s">
        <v>427</v>
      </c>
      <c r="F1325" t="s">
        <v>163</v>
      </c>
      <c r="G1325">
        <v>1</v>
      </c>
      <c r="H1325">
        <v>1</v>
      </c>
      <c r="I1325" t="s">
        <v>427</v>
      </c>
      <c r="J1325">
        <v>0</v>
      </c>
      <c r="K1325" t="s">
        <v>956</v>
      </c>
      <c r="L1325" s="1">
        <f>+Tabla__192.168.1.8_POSEIDONSQL_APPFVT_01_tblFillRateFechas[[#This Row],[emb_cantidad]]-Tabla__192.168.1.8_POSEIDONSQL_APPFVT_01_tblFillRateFechas[[#This Row],[dev_cantidad]]</f>
        <v>1</v>
      </c>
      <c r="M1325" s="1">
        <f>+IF(Tabla__192.168.1.8_POSEIDONSQL_APPFVT_01_tblFillRateFechas[[#This Row],[Cant_Resultante]]=Tabla__192.168.1.8_POSEIDONSQL_APPFVT_01_tblFillRateFechas[[#This Row],[cant_order]],1,0)</f>
        <v>1</v>
      </c>
      <c r="N13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5" s="1">
        <f>+IF(AND(Tabla__192.168.1.8_POSEIDONSQL_APPFVT_01_tblFillRateFechas[[#This Row],[Valida Cant]]=1,Tabla__192.168.1.8_POSEIDONSQL_APPFVT_01_tblFillRateFechas[[#This Row],[Valida Fec]]=1),1,0)</f>
        <v>1</v>
      </c>
      <c r="P1325" s="1">
        <f>+(Tabla__192.168.1.8_POSEIDONSQL_APPFVT_01_tblFillRateFechas[[#This Row],[Cant_Resultante]]/Tabla__192.168.1.8_POSEIDONSQL_APPFVT_01_tblFillRateFechas[[#This Row],[cant_order]])*100</f>
        <v>100</v>
      </c>
      <c r="Q13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5" s="1">
        <f>+IF(Tabla__192.168.1.8_POSEIDONSQL_APPFVT_01_tblFillRateFechas[[#This Row],[cant_order]]&gt;0,1,0)</f>
        <v>1</v>
      </c>
      <c r="V1325" s="1">
        <f>+IF(Tabla__192.168.1.8_POSEIDONSQL_APPFVT_01_tblFillRateFechas[[#This Row],[Resultado]]=1,1,0)</f>
        <v>1</v>
      </c>
      <c r="W1325" s="1" t="str">
        <f>+Tabla__192.168.1.8_POSEIDONSQL_APPFVT_01_tblFillRateFechas[[#This Row],[con_ocnumero]]&amp;Tabla__192.168.1.8_POSEIDONSQL_APPFVT_01_tblFillRateFechas[[#This Row],[con_codigounico]]</f>
        <v>91995390390050000702186340101</v>
      </c>
      <c r="X13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6" spans="1:24" x14ac:dyDescent="0.25">
      <c r="A1326">
        <v>9</v>
      </c>
      <c r="B1326" t="s">
        <v>48</v>
      </c>
      <c r="C1326">
        <v>9199539</v>
      </c>
      <c r="D1326" t="s">
        <v>428</v>
      </c>
      <c r="E1326" t="s">
        <v>427</v>
      </c>
      <c r="F1326" t="s">
        <v>163</v>
      </c>
      <c r="G1326">
        <v>1</v>
      </c>
      <c r="H1326">
        <v>1</v>
      </c>
      <c r="I1326" t="s">
        <v>427</v>
      </c>
      <c r="J1326">
        <v>0</v>
      </c>
      <c r="K1326" t="s">
        <v>957</v>
      </c>
      <c r="L1326" s="1">
        <f>+Tabla__192.168.1.8_POSEIDONSQL_APPFVT_01_tblFillRateFechas[[#This Row],[emb_cantidad]]-Tabla__192.168.1.8_POSEIDONSQL_APPFVT_01_tblFillRateFechas[[#This Row],[dev_cantidad]]</f>
        <v>1</v>
      </c>
      <c r="M1326" s="1">
        <f>+IF(Tabla__192.168.1.8_POSEIDONSQL_APPFVT_01_tblFillRateFechas[[#This Row],[Cant_Resultante]]=Tabla__192.168.1.8_POSEIDONSQL_APPFVT_01_tblFillRateFechas[[#This Row],[cant_order]],1,0)</f>
        <v>1</v>
      </c>
      <c r="N13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6" s="1">
        <f>+IF(AND(Tabla__192.168.1.8_POSEIDONSQL_APPFVT_01_tblFillRateFechas[[#This Row],[Valida Cant]]=1,Tabla__192.168.1.8_POSEIDONSQL_APPFVT_01_tblFillRateFechas[[#This Row],[Valida Fec]]=1),1,0)</f>
        <v>1</v>
      </c>
      <c r="P1326" s="1">
        <f>+(Tabla__192.168.1.8_POSEIDONSQL_APPFVT_01_tblFillRateFechas[[#This Row],[Cant_Resultante]]/Tabla__192.168.1.8_POSEIDONSQL_APPFVT_01_tblFillRateFechas[[#This Row],[cant_order]])*100</f>
        <v>100</v>
      </c>
      <c r="Q13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6" s="1">
        <f>+IF(Tabla__192.168.1.8_POSEIDONSQL_APPFVT_01_tblFillRateFechas[[#This Row],[cant_order]]&gt;0,1,0)</f>
        <v>1</v>
      </c>
      <c r="V1326" s="1">
        <f>+IF(Tabla__192.168.1.8_POSEIDONSQL_APPFVT_01_tblFillRateFechas[[#This Row],[Resultado]]=1,1,0)</f>
        <v>1</v>
      </c>
      <c r="W1326" s="1" t="str">
        <f>+Tabla__192.168.1.8_POSEIDONSQL_APPFVT_01_tblFillRateFechas[[#This Row],[con_ocnumero]]&amp;Tabla__192.168.1.8_POSEIDONSQL_APPFVT_01_tblFillRateFechas[[#This Row],[con_codigounico]]</f>
        <v>91995390390050000702228150101</v>
      </c>
      <c r="X13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7" spans="1:24" x14ac:dyDescent="0.25">
      <c r="A1327">
        <v>9</v>
      </c>
      <c r="B1327" t="s">
        <v>48</v>
      </c>
      <c r="C1327">
        <v>9199539</v>
      </c>
      <c r="D1327" t="s">
        <v>428</v>
      </c>
      <c r="E1327" t="s">
        <v>422</v>
      </c>
      <c r="F1327" t="s">
        <v>163</v>
      </c>
      <c r="G1327">
        <v>1</v>
      </c>
      <c r="H1327">
        <v>1</v>
      </c>
      <c r="I1327" t="s">
        <v>426</v>
      </c>
      <c r="J1327">
        <v>0</v>
      </c>
      <c r="K1327" t="s">
        <v>1313</v>
      </c>
      <c r="L1327" s="1">
        <f>+Tabla__192.168.1.8_POSEIDONSQL_APPFVT_01_tblFillRateFechas[[#This Row],[emb_cantidad]]-Tabla__192.168.1.8_POSEIDONSQL_APPFVT_01_tblFillRateFechas[[#This Row],[dev_cantidad]]</f>
        <v>1</v>
      </c>
      <c r="M1327" s="1">
        <f>+IF(Tabla__192.168.1.8_POSEIDONSQL_APPFVT_01_tblFillRateFechas[[#This Row],[Cant_Resultante]]=Tabla__192.168.1.8_POSEIDONSQL_APPFVT_01_tblFillRateFechas[[#This Row],[cant_order]],1,0)</f>
        <v>1</v>
      </c>
      <c r="N13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7" s="1">
        <f>+IF(AND(Tabla__192.168.1.8_POSEIDONSQL_APPFVT_01_tblFillRateFechas[[#This Row],[Valida Cant]]=1,Tabla__192.168.1.8_POSEIDONSQL_APPFVT_01_tblFillRateFechas[[#This Row],[Valida Fec]]=1),1,0)</f>
        <v>1</v>
      </c>
      <c r="P1327" s="1">
        <f>+(Tabla__192.168.1.8_POSEIDONSQL_APPFVT_01_tblFillRateFechas[[#This Row],[Cant_Resultante]]/Tabla__192.168.1.8_POSEIDONSQL_APPFVT_01_tblFillRateFechas[[#This Row],[cant_order]])*100</f>
        <v>100</v>
      </c>
      <c r="Q13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7" s="1">
        <f>+IF(Tabla__192.168.1.8_POSEIDONSQL_APPFVT_01_tblFillRateFechas[[#This Row],[cant_order]]&gt;0,1,0)</f>
        <v>1</v>
      </c>
      <c r="V1327" s="1">
        <f>+IF(Tabla__192.168.1.8_POSEIDONSQL_APPFVT_01_tblFillRateFechas[[#This Row],[Resultado]]=1,1,0)</f>
        <v>1</v>
      </c>
      <c r="W1327" s="1" t="str">
        <f>+Tabla__192.168.1.8_POSEIDONSQL_APPFVT_01_tblFillRateFechas[[#This Row],[con_ocnumero]]&amp;Tabla__192.168.1.8_POSEIDONSQL_APPFVT_01_tblFillRateFechas[[#This Row],[con_codigounico]]</f>
        <v>91995390390050000702261530101</v>
      </c>
      <c r="X13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8" spans="1:24" x14ac:dyDescent="0.25">
      <c r="A1328">
        <v>9</v>
      </c>
      <c r="B1328" t="s">
        <v>48</v>
      </c>
      <c r="C1328">
        <v>9199724</v>
      </c>
      <c r="D1328" t="s">
        <v>428</v>
      </c>
      <c r="E1328" t="s">
        <v>426</v>
      </c>
      <c r="F1328" t="s">
        <v>163</v>
      </c>
      <c r="G1328">
        <v>1</v>
      </c>
      <c r="H1328">
        <v>1</v>
      </c>
      <c r="I1328" t="s">
        <v>426</v>
      </c>
      <c r="J1328">
        <v>0</v>
      </c>
      <c r="K1328" t="s">
        <v>968</v>
      </c>
      <c r="L1328" s="1">
        <f>+Tabla__192.168.1.8_POSEIDONSQL_APPFVT_01_tblFillRateFechas[[#This Row],[emb_cantidad]]-Tabla__192.168.1.8_POSEIDONSQL_APPFVT_01_tblFillRateFechas[[#This Row],[dev_cantidad]]</f>
        <v>1</v>
      </c>
      <c r="M1328" s="1">
        <f>+IF(Tabla__192.168.1.8_POSEIDONSQL_APPFVT_01_tblFillRateFechas[[#This Row],[Cant_Resultante]]=Tabla__192.168.1.8_POSEIDONSQL_APPFVT_01_tblFillRateFechas[[#This Row],[cant_order]],1,0)</f>
        <v>1</v>
      </c>
      <c r="N13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8" s="1">
        <f>+IF(AND(Tabla__192.168.1.8_POSEIDONSQL_APPFVT_01_tblFillRateFechas[[#This Row],[Valida Cant]]=1,Tabla__192.168.1.8_POSEIDONSQL_APPFVT_01_tblFillRateFechas[[#This Row],[Valida Fec]]=1),1,0)</f>
        <v>1</v>
      </c>
      <c r="P1328" s="1">
        <f>+(Tabla__192.168.1.8_POSEIDONSQL_APPFVT_01_tblFillRateFechas[[#This Row],[Cant_Resultante]]/Tabla__192.168.1.8_POSEIDONSQL_APPFVT_01_tblFillRateFechas[[#This Row],[cant_order]])*100</f>
        <v>100</v>
      </c>
      <c r="Q13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8" s="1">
        <f>+IF(Tabla__192.168.1.8_POSEIDONSQL_APPFVT_01_tblFillRateFechas[[#This Row],[cant_order]]&gt;0,1,0)</f>
        <v>1</v>
      </c>
      <c r="V1328" s="1">
        <f>+IF(Tabla__192.168.1.8_POSEIDONSQL_APPFVT_01_tblFillRateFechas[[#This Row],[Resultado]]=1,1,0)</f>
        <v>1</v>
      </c>
      <c r="W1328" s="1" t="str">
        <f>+Tabla__192.168.1.8_POSEIDONSQL_APPFVT_01_tblFillRateFechas[[#This Row],[con_ocnumero]]&amp;Tabla__192.168.1.8_POSEIDONSQL_APPFVT_01_tblFillRateFechas[[#This Row],[con_codigounico]]</f>
        <v>91997240390050000702452600102</v>
      </c>
      <c r="X13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29" spans="1:24" x14ac:dyDescent="0.25">
      <c r="A1329">
        <v>9</v>
      </c>
      <c r="B1329" t="s">
        <v>48</v>
      </c>
      <c r="C1329">
        <v>9199724</v>
      </c>
      <c r="D1329" t="s">
        <v>428</v>
      </c>
      <c r="E1329" t="s">
        <v>426</v>
      </c>
      <c r="F1329" t="s">
        <v>163</v>
      </c>
      <c r="G1329">
        <v>1</v>
      </c>
      <c r="H1329">
        <v>1</v>
      </c>
      <c r="I1329" t="s">
        <v>426</v>
      </c>
      <c r="J1329">
        <v>0</v>
      </c>
      <c r="K1329" t="s">
        <v>969</v>
      </c>
      <c r="L1329" s="1">
        <f>+Tabla__192.168.1.8_POSEIDONSQL_APPFVT_01_tblFillRateFechas[[#This Row],[emb_cantidad]]-Tabla__192.168.1.8_POSEIDONSQL_APPFVT_01_tblFillRateFechas[[#This Row],[dev_cantidad]]</f>
        <v>1</v>
      </c>
      <c r="M1329" s="1">
        <f>+IF(Tabla__192.168.1.8_POSEIDONSQL_APPFVT_01_tblFillRateFechas[[#This Row],[Cant_Resultante]]=Tabla__192.168.1.8_POSEIDONSQL_APPFVT_01_tblFillRateFechas[[#This Row],[cant_order]],1,0)</f>
        <v>1</v>
      </c>
      <c r="N13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29" s="1">
        <f>+IF(AND(Tabla__192.168.1.8_POSEIDONSQL_APPFVT_01_tblFillRateFechas[[#This Row],[Valida Cant]]=1,Tabla__192.168.1.8_POSEIDONSQL_APPFVT_01_tblFillRateFechas[[#This Row],[Valida Fec]]=1),1,0)</f>
        <v>1</v>
      </c>
      <c r="P1329" s="1">
        <f>+(Tabla__192.168.1.8_POSEIDONSQL_APPFVT_01_tblFillRateFechas[[#This Row],[Cant_Resultante]]/Tabla__192.168.1.8_POSEIDONSQL_APPFVT_01_tblFillRateFechas[[#This Row],[cant_order]])*100</f>
        <v>100</v>
      </c>
      <c r="Q13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29" s="1">
        <f>+IF(Tabla__192.168.1.8_POSEIDONSQL_APPFVT_01_tblFillRateFechas[[#This Row],[cant_order]]&gt;0,1,0)</f>
        <v>1</v>
      </c>
      <c r="V1329" s="1">
        <f>+IF(Tabla__192.168.1.8_POSEIDONSQL_APPFVT_01_tblFillRateFechas[[#This Row],[Resultado]]=1,1,0)</f>
        <v>1</v>
      </c>
      <c r="W1329" s="1" t="str">
        <f>+Tabla__192.168.1.8_POSEIDONSQL_APPFVT_01_tblFillRateFechas[[#This Row],[con_ocnumero]]&amp;Tabla__192.168.1.8_POSEIDONSQL_APPFVT_01_tblFillRateFechas[[#This Row],[con_codigounico]]</f>
        <v>91997240390050000702461770101</v>
      </c>
      <c r="X13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0" spans="1:24" x14ac:dyDescent="0.25">
      <c r="A1330">
        <v>9</v>
      </c>
      <c r="B1330" t="s">
        <v>48</v>
      </c>
      <c r="C1330">
        <v>9199767</v>
      </c>
      <c r="D1330" t="s">
        <v>428</v>
      </c>
      <c r="E1330" t="s">
        <v>426</v>
      </c>
      <c r="F1330" t="s">
        <v>163</v>
      </c>
      <c r="G1330">
        <v>1</v>
      </c>
      <c r="H1330">
        <v>1</v>
      </c>
      <c r="I1330" t="s">
        <v>426</v>
      </c>
      <c r="J1330">
        <v>0</v>
      </c>
      <c r="K1330" t="s">
        <v>971</v>
      </c>
      <c r="L1330" s="1">
        <f>+Tabla__192.168.1.8_POSEIDONSQL_APPFVT_01_tblFillRateFechas[[#This Row],[emb_cantidad]]-Tabla__192.168.1.8_POSEIDONSQL_APPFVT_01_tblFillRateFechas[[#This Row],[dev_cantidad]]</f>
        <v>1</v>
      </c>
      <c r="M1330" s="1">
        <f>+IF(Tabla__192.168.1.8_POSEIDONSQL_APPFVT_01_tblFillRateFechas[[#This Row],[Cant_Resultante]]=Tabla__192.168.1.8_POSEIDONSQL_APPFVT_01_tblFillRateFechas[[#This Row],[cant_order]],1,0)</f>
        <v>1</v>
      </c>
      <c r="N13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0" s="1">
        <f>+IF(AND(Tabla__192.168.1.8_POSEIDONSQL_APPFVT_01_tblFillRateFechas[[#This Row],[Valida Cant]]=1,Tabla__192.168.1.8_POSEIDONSQL_APPFVT_01_tblFillRateFechas[[#This Row],[Valida Fec]]=1),1,0)</f>
        <v>1</v>
      </c>
      <c r="P1330" s="1">
        <f>+(Tabla__192.168.1.8_POSEIDONSQL_APPFVT_01_tblFillRateFechas[[#This Row],[Cant_Resultante]]/Tabla__192.168.1.8_POSEIDONSQL_APPFVT_01_tblFillRateFechas[[#This Row],[cant_order]])*100</f>
        <v>100</v>
      </c>
      <c r="Q13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0" s="1">
        <f>+IF(Tabla__192.168.1.8_POSEIDONSQL_APPFVT_01_tblFillRateFechas[[#This Row],[cant_order]]&gt;0,1,0)</f>
        <v>1</v>
      </c>
      <c r="V1330" s="1">
        <f>+IF(Tabla__192.168.1.8_POSEIDONSQL_APPFVT_01_tblFillRateFechas[[#This Row],[Resultado]]=1,1,0)</f>
        <v>1</v>
      </c>
      <c r="W1330" s="1" t="str">
        <f>+Tabla__192.168.1.8_POSEIDONSQL_APPFVT_01_tblFillRateFechas[[#This Row],[con_ocnumero]]&amp;Tabla__192.168.1.8_POSEIDONSQL_APPFVT_01_tblFillRateFechas[[#This Row],[con_codigounico]]</f>
        <v>91997670390050000702520460101</v>
      </c>
      <c r="X13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1" spans="1:24" x14ac:dyDescent="0.25">
      <c r="A1331">
        <v>9</v>
      </c>
      <c r="B1331" t="s">
        <v>48</v>
      </c>
      <c r="C1331">
        <v>9199849</v>
      </c>
      <c r="D1331" t="s">
        <v>428</v>
      </c>
      <c r="E1331" t="s">
        <v>426</v>
      </c>
      <c r="F1331" t="s">
        <v>163</v>
      </c>
      <c r="G1331">
        <v>1</v>
      </c>
      <c r="H1331">
        <v>1</v>
      </c>
      <c r="I1331" t="s">
        <v>426</v>
      </c>
      <c r="J1331">
        <v>0</v>
      </c>
      <c r="K1331" t="s">
        <v>972</v>
      </c>
      <c r="L1331" s="1">
        <f>+Tabla__192.168.1.8_POSEIDONSQL_APPFVT_01_tblFillRateFechas[[#This Row],[emb_cantidad]]-Tabla__192.168.1.8_POSEIDONSQL_APPFVT_01_tblFillRateFechas[[#This Row],[dev_cantidad]]</f>
        <v>1</v>
      </c>
      <c r="M1331" s="1">
        <f>+IF(Tabla__192.168.1.8_POSEIDONSQL_APPFVT_01_tblFillRateFechas[[#This Row],[Cant_Resultante]]=Tabla__192.168.1.8_POSEIDONSQL_APPFVT_01_tblFillRateFechas[[#This Row],[cant_order]],1,0)</f>
        <v>1</v>
      </c>
      <c r="N13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1" s="1">
        <f>+IF(AND(Tabla__192.168.1.8_POSEIDONSQL_APPFVT_01_tblFillRateFechas[[#This Row],[Valida Cant]]=1,Tabla__192.168.1.8_POSEIDONSQL_APPFVT_01_tblFillRateFechas[[#This Row],[Valida Fec]]=1),1,0)</f>
        <v>1</v>
      </c>
      <c r="P1331" s="1">
        <f>+(Tabla__192.168.1.8_POSEIDONSQL_APPFVT_01_tblFillRateFechas[[#This Row],[Cant_Resultante]]/Tabla__192.168.1.8_POSEIDONSQL_APPFVT_01_tblFillRateFechas[[#This Row],[cant_order]])*100</f>
        <v>100</v>
      </c>
      <c r="Q13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1" s="1">
        <f>+IF(Tabla__192.168.1.8_POSEIDONSQL_APPFVT_01_tblFillRateFechas[[#This Row],[cant_order]]&gt;0,1,0)</f>
        <v>1</v>
      </c>
      <c r="V1331" s="1">
        <f>+IF(Tabla__192.168.1.8_POSEIDONSQL_APPFVT_01_tblFillRateFechas[[#This Row],[Resultado]]=1,1,0)</f>
        <v>1</v>
      </c>
      <c r="W1331" s="1" t="str">
        <f>+Tabla__192.168.1.8_POSEIDONSQL_APPFVT_01_tblFillRateFechas[[#This Row],[con_ocnumero]]&amp;Tabla__192.168.1.8_POSEIDONSQL_APPFVT_01_tblFillRateFechas[[#This Row],[con_codigounico]]</f>
        <v>91998490390050000702570430101</v>
      </c>
      <c r="X13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2" spans="1:24" x14ac:dyDescent="0.25">
      <c r="A1332">
        <v>9</v>
      </c>
      <c r="B1332" t="s">
        <v>48</v>
      </c>
      <c r="C1332">
        <v>9199899</v>
      </c>
      <c r="D1332" t="s">
        <v>428</v>
      </c>
      <c r="E1332" t="s">
        <v>426</v>
      </c>
      <c r="F1332" t="s">
        <v>163</v>
      </c>
      <c r="G1332">
        <v>1</v>
      </c>
      <c r="H1332">
        <v>1</v>
      </c>
      <c r="I1332" t="s">
        <v>426</v>
      </c>
      <c r="J1332">
        <v>0</v>
      </c>
      <c r="K1332" t="s">
        <v>973</v>
      </c>
      <c r="L1332" s="1">
        <f>+Tabla__192.168.1.8_POSEIDONSQL_APPFVT_01_tblFillRateFechas[[#This Row],[emb_cantidad]]-Tabla__192.168.1.8_POSEIDONSQL_APPFVT_01_tblFillRateFechas[[#This Row],[dev_cantidad]]</f>
        <v>1</v>
      </c>
      <c r="M1332" s="1">
        <f>+IF(Tabla__192.168.1.8_POSEIDONSQL_APPFVT_01_tblFillRateFechas[[#This Row],[Cant_Resultante]]=Tabla__192.168.1.8_POSEIDONSQL_APPFVT_01_tblFillRateFechas[[#This Row],[cant_order]],1,0)</f>
        <v>1</v>
      </c>
      <c r="N13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2" s="1">
        <f>+IF(AND(Tabla__192.168.1.8_POSEIDONSQL_APPFVT_01_tblFillRateFechas[[#This Row],[Valida Cant]]=1,Tabla__192.168.1.8_POSEIDONSQL_APPFVT_01_tblFillRateFechas[[#This Row],[Valida Fec]]=1),1,0)</f>
        <v>1</v>
      </c>
      <c r="P1332" s="1">
        <f>+(Tabla__192.168.1.8_POSEIDONSQL_APPFVT_01_tblFillRateFechas[[#This Row],[Cant_Resultante]]/Tabla__192.168.1.8_POSEIDONSQL_APPFVT_01_tblFillRateFechas[[#This Row],[cant_order]])*100</f>
        <v>100</v>
      </c>
      <c r="Q13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2" s="1">
        <f>+IF(Tabla__192.168.1.8_POSEIDONSQL_APPFVT_01_tblFillRateFechas[[#This Row],[cant_order]]&gt;0,1,0)</f>
        <v>1</v>
      </c>
      <c r="V1332" s="1">
        <f>+IF(Tabla__192.168.1.8_POSEIDONSQL_APPFVT_01_tblFillRateFechas[[#This Row],[Resultado]]=1,1,0)</f>
        <v>1</v>
      </c>
      <c r="W1332" s="1" t="str">
        <f>+Tabla__192.168.1.8_POSEIDONSQL_APPFVT_01_tblFillRateFechas[[#This Row],[con_ocnumero]]&amp;Tabla__192.168.1.8_POSEIDONSQL_APPFVT_01_tblFillRateFechas[[#This Row],[con_codigounico]]</f>
        <v>91998990390050000702604870101</v>
      </c>
      <c r="X13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3" spans="1:24" x14ac:dyDescent="0.25">
      <c r="A1333">
        <v>9</v>
      </c>
      <c r="B1333" t="s">
        <v>48</v>
      </c>
      <c r="C1333">
        <v>9199936</v>
      </c>
      <c r="D1333" t="s">
        <v>428</v>
      </c>
      <c r="E1333" t="s">
        <v>426</v>
      </c>
      <c r="F1333" t="s">
        <v>163</v>
      </c>
      <c r="G1333">
        <v>1</v>
      </c>
      <c r="H1333">
        <v>1</v>
      </c>
      <c r="I1333" t="s">
        <v>426</v>
      </c>
      <c r="J1333">
        <v>0</v>
      </c>
      <c r="K1333" t="s">
        <v>1305</v>
      </c>
      <c r="L1333" s="1">
        <f>+Tabla__192.168.1.8_POSEIDONSQL_APPFVT_01_tblFillRateFechas[[#This Row],[emb_cantidad]]-Tabla__192.168.1.8_POSEIDONSQL_APPFVT_01_tblFillRateFechas[[#This Row],[dev_cantidad]]</f>
        <v>1</v>
      </c>
      <c r="M1333" s="1">
        <f>+IF(Tabla__192.168.1.8_POSEIDONSQL_APPFVT_01_tblFillRateFechas[[#This Row],[Cant_Resultante]]=Tabla__192.168.1.8_POSEIDONSQL_APPFVT_01_tblFillRateFechas[[#This Row],[cant_order]],1,0)</f>
        <v>1</v>
      </c>
      <c r="N13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3" s="1">
        <f>+IF(AND(Tabla__192.168.1.8_POSEIDONSQL_APPFVT_01_tblFillRateFechas[[#This Row],[Valida Cant]]=1,Tabla__192.168.1.8_POSEIDONSQL_APPFVT_01_tblFillRateFechas[[#This Row],[Valida Fec]]=1),1,0)</f>
        <v>1</v>
      </c>
      <c r="P1333" s="1">
        <f>+(Tabla__192.168.1.8_POSEIDONSQL_APPFVT_01_tblFillRateFechas[[#This Row],[Cant_Resultante]]/Tabla__192.168.1.8_POSEIDONSQL_APPFVT_01_tblFillRateFechas[[#This Row],[cant_order]])*100</f>
        <v>100</v>
      </c>
      <c r="Q13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3" s="1">
        <f>+IF(Tabla__192.168.1.8_POSEIDONSQL_APPFVT_01_tblFillRateFechas[[#This Row],[cant_order]]&gt;0,1,0)</f>
        <v>1</v>
      </c>
      <c r="V1333" s="1">
        <f>+IF(Tabla__192.168.1.8_POSEIDONSQL_APPFVT_01_tblFillRateFechas[[#This Row],[Resultado]]=1,1,0)</f>
        <v>1</v>
      </c>
      <c r="W1333" s="1" t="str">
        <f>+Tabla__192.168.1.8_POSEIDONSQL_APPFVT_01_tblFillRateFechas[[#This Row],[con_ocnumero]]&amp;Tabla__192.168.1.8_POSEIDONSQL_APPFVT_01_tblFillRateFechas[[#This Row],[con_codigounico]]</f>
        <v>91999360390050000702628870101</v>
      </c>
      <c r="X13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4" spans="1:24" x14ac:dyDescent="0.25">
      <c r="A1334">
        <v>9</v>
      </c>
      <c r="B1334" t="s">
        <v>48</v>
      </c>
      <c r="C1334">
        <v>9200007</v>
      </c>
      <c r="D1334" t="s">
        <v>428</v>
      </c>
      <c r="E1334" t="s">
        <v>426</v>
      </c>
      <c r="F1334" t="s">
        <v>163</v>
      </c>
      <c r="G1334">
        <v>1</v>
      </c>
      <c r="H1334">
        <v>1</v>
      </c>
      <c r="I1334" t="s">
        <v>426</v>
      </c>
      <c r="J1334">
        <v>0</v>
      </c>
      <c r="K1334" t="s">
        <v>1306</v>
      </c>
      <c r="L1334" s="1">
        <f>+Tabla__192.168.1.8_POSEIDONSQL_APPFVT_01_tblFillRateFechas[[#This Row],[emb_cantidad]]-Tabla__192.168.1.8_POSEIDONSQL_APPFVT_01_tblFillRateFechas[[#This Row],[dev_cantidad]]</f>
        <v>1</v>
      </c>
      <c r="M1334" s="1">
        <f>+IF(Tabla__192.168.1.8_POSEIDONSQL_APPFVT_01_tblFillRateFechas[[#This Row],[Cant_Resultante]]=Tabla__192.168.1.8_POSEIDONSQL_APPFVT_01_tblFillRateFechas[[#This Row],[cant_order]],1,0)</f>
        <v>1</v>
      </c>
      <c r="N13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4" s="1">
        <f>+IF(AND(Tabla__192.168.1.8_POSEIDONSQL_APPFVT_01_tblFillRateFechas[[#This Row],[Valida Cant]]=1,Tabla__192.168.1.8_POSEIDONSQL_APPFVT_01_tblFillRateFechas[[#This Row],[Valida Fec]]=1),1,0)</f>
        <v>1</v>
      </c>
      <c r="P1334" s="1">
        <f>+(Tabla__192.168.1.8_POSEIDONSQL_APPFVT_01_tblFillRateFechas[[#This Row],[Cant_Resultante]]/Tabla__192.168.1.8_POSEIDONSQL_APPFVT_01_tblFillRateFechas[[#This Row],[cant_order]])*100</f>
        <v>100</v>
      </c>
      <c r="Q13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4" s="1">
        <f>+IF(Tabla__192.168.1.8_POSEIDONSQL_APPFVT_01_tblFillRateFechas[[#This Row],[cant_order]]&gt;0,1,0)</f>
        <v>1</v>
      </c>
      <c r="V1334" s="1">
        <f>+IF(Tabla__192.168.1.8_POSEIDONSQL_APPFVT_01_tblFillRateFechas[[#This Row],[Resultado]]=1,1,0)</f>
        <v>1</v>
      </c>
      <c r="W1334" s="1" t="str">
        <f>+Tabla__192.168.1.8_POSEIDONSQL_APPFVT_01_tblFillRateFechas[[#This Row],[con_ocnumero]]&amp;Tabla__192.168.1.8_POSEIDONSQL_APPFVT_01_tblFillRateFechas[[#This Row],[con_codigounico]]</f>
        <v>92000070390050000702686580101</v>
      </c>
      <c r="X13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5" spans="1:24" x14ac:dyDescent="0.25">
      <c r="A1335">
        <v>9</v>
      </c>
      <c r="B1335" t="s">
        <v>48</v>
      </c>
      <c r="C1335">
        <v>9200116</v>
      </c>
      <c r="D1335" t="s">
        <v>1982</v>
      </c>
      <c r="E1335" t="s">
        <v>422</v>
      </c>
      <c r="F1335" t="s">
        <v>163</v>
      </c>
      <c r="G1335">
        <v>1</v>
      </c>
      <c r="H1335">
        <v>1</v>
      </c>
      <c r="I1335" t="s">
        <v>426</v>
      </c>
      <c r="J1335">
        <v>0</v>
      </c>
      <c r="K1335" t="s">
        <v>965</v>
      </c>
      <c r="L1335" s="1">
        <f>+Tabla__192.168.1.8_POSEIDONSQL_APPFVT_01_tblFillRateFechas[[#This Row],[emb_cantidad]]-Tabla__192.168.1.8_POSEIDONSQL_APPFVT_01_tblFillRateFechas[[#This Row],[dev_cantidad]]</f>
        <v>1</v>
      </c>
      <c r="M1335" s="1">
        <f>+IF(Tabla__192.168.1.8_POSEIDONSQL_APPFVT_01_tblFillRateFechas[[#This Row],[Cant_Resultante]]=Tabla__192.168.1.8_POSEIDONSQL_APPFVT_01_tblFillRateFechas[[#This Row],[cant_order]],1,0)</f>
        <v>1</v>
      </c>
      <c r="N13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5" s="1">
        <f>+IF(AND(Tabla__192.168.1.8_POSEIDONSQL_APPFVT_01_tblFillRateFechas[[#This Row],[Valida Cant]]=1,Tabla__192.168.1.8_POSEIDONSQL_APPFVT_01_tblFillRateFechas[[#This Row],[Valida Fec]]=1),1,0)</f>
        <v>1</v>
      </c>
      <c r="P1335" s="1">
        <f>+(Tabla__192.168.1.8_POSEIDONSQL_APPFVT_01_tblFillRateFechas[[#This Row],[Cant_Resultante]]/Tabla__192.168.1.8_POSEIDONSQL_APPFVT_01_tblFillRateFechas[[#This Row],[cant_order]])*100</f>
        <v>100</v>
      </c>
      <c r="Q13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5" s="1">
        <f>+IF(Tabla__192.168.1.8_POSEIDONSQL_APPFVT_01_tblFillRateFechas[[#This Row],[cant_order]]&gt;0,1,0)</f>
        <v>1</v>
      </c>
      <c r="V1335" s="1">
        <f>+IF(Tabla__192.168.1.8_POSEIDONSQL_APPFVT_01_tblFillRateFechas[[#This Row],[Resultado]]=1,1,0)</f>
        <v>1</v>
      </c>
      <c r="W1335" s="1" t="str">
        <f>+Tabla__192.168.1.8_POSEIDONSQL_APPFVT_01_tblFillRateFechas[[#This Row],[con_ocnumero]]&amp;Tabla__192.168.1.8_POSEIDONSQL_APPFVT_01_tblFillRateFechas[[#This Row],[con_codigounico]]</f>
        <v>92001160390050000702810250102</v>
      </c>
      <c r="X13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6" spans="1:24" x14ac:dyDescent="0.25">
      <c r="A1336">
        <v>9</v>
      </c>
      <c r="B1336" t="s">
        <v>48</v>
      </c>
      <c r="C1336">
        <v>9200231</v>
      </c>
      <c r="D1336" t="s">
        <v>1982</v>
      </c>
      <c r="E1336" t="s">
        <v>416</v>
      </c>
      <c r="F1336" t="s">
        <v>163</v>
      </c>
      <c r="G1336">
        <v>1</v>
      </c>
      <c r="H1336">
        <v>1</v>
      </c>
      <c r="I1336" t="s">
        <v>416</v>
      </c>
      <c r="J1336">
        <v>0</v>
      </c>
      <c r="K1336" t="s">
        <v>996</v>
      </c>
      <c r="L1336" s="1">
        <f>+Tabla__192.168.1.8_POSEIDONSQL_APPFVT_01_tblFillRateFechas[[#This Row],[emb_cantidad]]-Tabla__192.168.1.8_POSEIDONSQL_APPFVT_01_tblFillRateFechas[[#This Row],[dev_cantidad]]</f>
        <v>1</v>
      </c>
      <c r="M1336" s="1">
        <f>+IF(Tabla__192.168.1.8_POSEIDONSQL_APPFVT_01_tblFillRateFechas[[#This Row],[Cant_Resultante]]=Tabla__192.168.1.8_POSEIDONSQL_APPFVT_01_tblFillRateFechas[[#This Row],[cant_order]],1,0)</f>
        <v>1</v>
      </c>
      <c r="N13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6" s="1">
        <f>+IF(AND(Tabla__192.168.1.8_POSEIDONSQL_APPFVT_01_tblFillRateFechas[[#This Row],[Valida Cant]]=1,Tabla__192.168.1.8_POSEIDONSQL_APPFVT_01_tblFillRateFechas[[#This Row],[Valida Fec]]=1),1,0)</f>
        <v>1</v>
      </c>
      <c r="P1336" s="1">
        <f>+(Tabla__192.168.1.8_POSEIDONSQL_APPFVT_01_tblFillRateFechas[[#This Row],[Cant_Resultante]]/Tabla__192.168.1.8_POSEIDONSQL_APPFVT_01_tblFillRateFechas[[#This Row],[cant_order]])*100</f>
        <v>100</v>
      </c>
      <c r="Q13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6" s="1">
        <f>+IF(Tabla__192.168.1.8_POSEIDONSQL_APPFVT_01_tblFillRateFechas[[#This Row],[cant_order]]&gt;0,1,0)</f>
        <v>1</v>
      </c>
      <c r="V1336" s="1">
        <f>+IF(Tabla__192.168.1.8_POSEIDONSQL_APPFVT_01_tblFillRateFechas[[#This Row],[Resultado]]=1,1,0)</f>
        <v>1</v>
      </c>
      <c r="W1336" s="1" t="str">
        <f>+Tabla__192.168.1.8_POSEIDONSQL_APPFVT_01_tblFillRateFechas[[#This Row],[con_ocnumero]]&amp;Tabla__192.168.1.8_POSEIDONSQL_APPFVT_01_tblFillRateFechas[[#This Row],[con_codigounico]]</f>
        <v>92002310390050000702883430101</v>
      </c>
      <c r="X13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7" spans="1:24" x14ac:dyDescent="0.25">
      <c r="A1337">
        <v>9</v>
      </c>
      <c r="B1337" t="s">
        <v>48</v>
      </c>
      <c r="C1337">
        <v>9200076</v>
      </c>
      <c r="D1337" t="s">
        <v>1982</v>
      </c>
      <c r="E1337" t="s">
        <v>416</v>
      </c>
      <c r="F1337" t="s">
        <v>163</v>
      </c>
      <c r="G1337">
        <v>1</v>
      </c>
      <c r="H1337">
        <v>1</v>
      </c>
      <c r="I1337" t="s">
        <v>416</v>
      </c>
      <c r="J1337">
        <v>0</v>
      </c>
      <c r="K1337" t="s">
        <v>994</v>
      </c>
      <c r="L1337" s="1">
        <f>+Tabla__192.168.1.8_POSEIDONSQL_APPFVT_01_tblFillRateFechas[[#This Row],[emb_cantidad]]-Tabla__192.168.1.8_POSEIDONSQL_APPFVT_01_tblFillRateFechas[[#This Row],[dev_cantidad]]</f>
        <v>1</v>
      </c>
      <c r="M1337" s="1">
        <f>+IF(Tabla__192.168.1.8_POSEIDONSQL_APPFVT_01_tblFillRateFechas[[#This Row],[Cant_Resultante]]=Tabla__192.168.1.8_POSEIDONSQL_APPFVT_01_tblFillRateFechas[[#This Row],[cant_order]],1,0)</f>
        <v>1</v>
      </c>
      <c r="N13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7" s="1">
        <f>+IF(AND(Tabla__192.168.1.8_POSEIDONSQL_APPFVT_01_tblFillRateFechas[[#This Row],[Valida Cant]]=1,Tabla__192.168.1.8_POSEIDONSQL_APPFVT_01_tblFillRateFechas[[#This Row],[Valida Fec]]=1),1,0)</f>
        <v>1</v>
      </c>
      <c r="P1337" s="1">
        <f>+(Tabla__192.168.1.8_POSEIDONSQL_APPFVT_01_tblFillRateFechas[[#This Row],[Cant_Resultante]]/Tabla__192.168.1.8_POSEIDONSQL_APPFVT_01_tblFillRateFechas[[#This Row],[cant_order]])*100</f>
        <v>100</v>
      </c>
      <c r="Q13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7" s="1">
        <f>+IF(Tabla__192.168.1.8_POSEIDONSQL_APPFVT_01_tblFillRateFechas[[#This Row],[cant_order]]&gt;0,1,0)</f>
        <v>1</v>
      </c>
      <c r="V1337" s="1">
        <f>+IF(Tabla__192.168.1.8_POSEIDONSQL_APPFVT_01_tblFillRateFechas[[#This Row],[Resultado]]=1,1,0)</f>
        <v>1</v>
      </c>
      <c r="W1337" s="1" t="str">
        <f>+Tabla__192.168.1.8_POSEIDONSQL_APPFVT_01_tblFillRateFechas[[#This Row],[con_ocnumero]]&amp;Tabla__192.168.1.8_POSEIDONSQL_APPFVT_01_tblFillRateFechas[[#This Row],[con_codigounico]]</f>
        <v>92000760390050000702886070101</v>
      </c>
      <c r="X13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8" spans="1:24" x14ac:dyDescent="0.25">
      <c r="A1338">
        <v>9</v>
      </c>
      <c r="B1338" t="s">
        <v>48</v>
      </c>
      <c r="C1338">
        <v>9200176</v>
      </c>
      <c r="D1338" t="s">
        <v>1982</v>
      </c>
      <c r="E1338" t="s">
        <v>416</v>
      </c>
      <c r="F1338" t="s">
        <v>163</v>
      </c>
      <c r="G1338">
        <v>1</v>
      </c>
      <c r="H1338">
        <v>1</v>
      </c>
      <c r="I1338" t="s">
        <v>416</v>
      </c>
      <c r="J1338">
        <v>0</v>
      </c>
      <c r="K1338" t="s">
        <v>995</v>
      </c>
      <c r="L1338" s="1">
        <f>+Tabla__192.168.1.8_POSEIDONSQL_APPFVT_01_tblFillRateFechas[[#This Row],[emb_cantidad]]-Tabla__192.168.1.8_POSEIDONSQL_APPFVT_01_tblFillRateFechas[[#This Row],[dev_cantidad]]</f>
        <v>1</v>
      </c>
      <c r="M1338" s="1">
        <f>+IF(Tabla__192.168.1.8_POSEIDONSQL_APPFVT_01_tblFillRateFechas[[#This Row],[Cant_Resultante]]=Tabla__192.168.1.8_POSEIDONSQL_APPFVT_01_tblFillRateFechas[[#This Row],[cant_order]],1,0)</f>
        <v>1</v>
      </c>
      <c r="N13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8" s="1">
        <f>+IF(AND(Tabla__192.168.1.8_POSEIDONSQL_APPFVT_01_tblFillRateFechas[[#This Row],[Valida Cant]]=1,Tabla__192.168.1.8_POSEIDONSQL_APPFVT_01_tblFillRateFechas[[#This Row],[Valida Fec]]=1),1,0)</f>
        <v>1</v>
      </c>
      <c r="P1338" s="1">
        <f>+(Tabla__192.168.1.8_POSEIDONSQL_APPFVT_01_tblFillRateFechas[[#This Row],[Cant_Resultante]]/Tabla__192.168.1.8_POSEIDONSQL_APPFVT_01_tblFillRateFechas[[#This Row],[cant_order]])*100</f>
        <v>100</v>
      </c>
      <c r="Q13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8" s="1">
        <f>+IF(Tabla__192.168.1.8_POSEIDONSQL_APPFVT_01_tblFillRateFechas[[#This Row],[cant_order]]&gt;0,1,0)</f>
        <v>1</v>
      </c>
      <c r="V1338" s="1">
        <f>+IF(Tabla__192.168.1.8_POSEIDONSQL_APPFVT_01_tblFillRateFechas[[#This Row],[Resultado]]=1,1,0)</f>
        <v>1</v>
      </c>
      <c r="W1338" s="1" t="str">
        <f>+Tabla__192.168.1.8_POSEIDONSQL_APPFVT_01_tblFillRateFechas[[#This Row],[con_ocnumero]]&amp;Tabla__192.168.1.8_POSEIDONSQL_APPFVT_01_tblFillRateFechas[[#This Row],[con_codigounico]]</f>
        <v>92001760390050000703017610101</v>
      </c>
      <c r="X13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39" spans="1:24" x14ac:dyDescent="0.25">
      <c r="A1339">
        <v>9</v>
      </c>
      <c r="B1339" t="s">
        <v>48</v>
      </c>
      <c r="C1339">
        <v>9200176</v>
      </c>
      <c r="D1339" t="s">
        <v>1982</v>
      </c>
      <c r="E1339" t="s">
        <v>427</v>
      </c>
      <c r="F1339" t="s">
        <v>163</v>
      </c>
      <c r="G1339">
        <v>1</v>
      </c>
      <c r="H1339">
        <v>1</v>
      </c>
      <c r="I1339" t="s">
        <v>427</v>
      </c>
      <c r="J1339">
        <v>0</v>
      </c>
      <c r="K1339" t="s">
        <v>954</v>
      </c>
      <c r="L1339" s="1">
        <f>+Tabla__192.168.1.8_POSEIDONSQL_APPFVT_01_tblFillRateFechas[[#This Row],[emb_cantidad]]-Tabla__192.168.1.8_POSEIDONSQL_APPFVT_01_tblFillRateFechas[[#This Row],[dev_cantidad]]</f>
        <v>1</v>
      </c>
      <c r="M1339" s="1">
        <f>+IF(Tabla__192.168.1.8_POSEIDONSQL_APPFVT_01_tblFillRateFechas[[#This Row],[Cant_Resultante]]=Tabla__192.168.1.8_POSEIDONSQL_APPFVT_01_tblFillRateFechas[[#This Row],[cant_order]],1,0)</f>
        <v>1</v>
      </c>
      <c r="N13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39" s="1">
        <f>+IF(AND(Tabla__192.168.1.8_POSEIDONSQL_APPFVT_01_tblFillRateFechas[[#This Row],[Valida Cant]]=1,Tabla__192.168.1.8_POSEIDONSQL_APPFVT_01_tblFillRateFechas[[#This Row],[Valida Fec]]=1),1,0)</f>
        <v>1</v>
      </c>
      <c r="P1339" s="1">
        <f>+(Tabla__192.168.1.8_POSEIDONSQL_APPFVT_01_tblFillRateFechas[[#This Row],[Cant_Resultante]]/Tabla__192.168.1.8_POSEIDONSQL_APPFVT_01_tblFillRateFechas[[#This Row],[cant_order]])*100</f>
        <v>100</v>
      </c>
      <c r="Q13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39" s="1">
        <f>+IF(Tabla__192.168.1.8_POSEIDONSQL_APPFVT_01_tblFillRateFechas[[#This Row],[cant_order]]&gt;0,1,0)</f>
        <v>1</v>
      </c>
      <c r="V1339" s="1">
        <f>+IF(Tabla__192.168.1.8_POSEIDONSQL_APPFVT_01_tblFillRateFechas[[#This Row],[Resultado]]=1,1,0)</f>
        <v>1</v>
      </c>
      <c r="W1339" s="1" t="str">
        <f>+Tabla__192.168.1.8_POSEIDONSQL_APPFVT_01_tblFillRateFechas[[#This Row],[con_ocnumero]]&amp;Tabla__192.168.1.8_POSEIDONSQL_APPFVT_01_tblFillRateFechas[[#This Row],[con_codigounico]]</f>
        <v>92001760390050000703046810101</v>
      </c>
      <c r="X13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0" spans="1:24" x14ac:dyDescent="0.25">
      <c r="A1340">
        <v>9</v>
      </c>
      <c r="B1340" t="s">
        <v>48</v>
      </c>
      <c r="C1340">
        <v>9200280</v>
      </c>
      <c r="D1340" t="s">
        <v>1982</v>
      </c>
      <c r="E1340" t="s">
        <v>427</v>
      </c>
      <c r="F1340" t="s">
        <v>163</v>
      </c>
      <c r="G1340">
        <v>1</v>
      </c>
      <c r="H1340">
        <v>1</v>
      </c>
      <c r="I1340" t="s">
        <v>427</v>
      </c>
      <c r="J1340">
        <v>0</v>
      </c>
      <c r="K1340" t="s">
        <v>955</v>
      </c>
      <c r="L1340" s="1">
        <f>+Tabla__192.168.1.8_POSEIDONSQL_APPFVT_01_tblFillRateFechas[[#This Row],[emb_cantidad]]-Tabla__192.168.1.8_POSEIDONSQL_APPFVT_01_tblFillRateFechas[[#This Row],[dev_cantidad]]</f>
        <v>1</v>
      </c>
      <c r="M1340" s="1">
        <f>+IF(Tabla__192.168.1.8_POSEIDONSQL_APPFVT_01_tblFillRateFechas[[#This Row],[Cant_Resultante]]=Tabla__192.168.1.8_POSEIDONSQL_APPFVT_01_tblFillRateFechas[[#This Row],[cant_order]],1,0)</f>
        <v>1</v>
      </c>
      <c r="N13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0" s="1">
        <f>+IF(AND(Tabla__192.168.1.8_POSEIDONSQL_APPFVT_01_tblFillRateFechas[[#This Row],[Valida Cant]]=1,Tabla__192.168.1.8_POSEIDONSQL_APPFVT_01_tblFillRateFechas[[#This Row],[Valida Fec]]=1),1,0)</f>
        <v>1</v>
      </c>
      <c r="P1340" s="1">
        <f>+(Tabla__192.168.1.8_POSEIDONSQL_APPFVT_01_tblFillRateFechas[[#This Row],[Cant_Resultante]]/Tabla__192.168.1.8_POSEIDONSQL_APPFVT_01_tblFillRateFechas[[#This Row],[cant_order]])*100</f>
        <v>100</v>
      </c>
      <c r="Q13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0" s="1">
        <f>+IF(Tabla__192.168.1.8_POSEIDONSQL_APPFVT_01_tblFillRateFechas[[#This Row],[cant_order]]&gt;0,1,0)</f>
        <v>1</v>
      </c>
      <c r="V1340" s="1">
        <f>+IF(Tabla__192.168.1.8_POSEIDONSQL_APPFVT_01_tblFillRateFechas[[#This Row],[Resultado]]=1,1,0)</f>
        <v>1</v>
      </c>
      <c r="W1340" s="1" t="str">
        <f>+Tabla__192.168.1.8_POSEIDONSQL_APPFVT_01_tblFillRateFechas[[#This Row],[con_ocnumero]]&amp;Tabla__192.168.1.8_POSEIDONSQL_APPFVT_01_tblFillRateFechas[[#This Row],[con_codigounico]]</f>
        <v>92002800390050000703112350101</v>
      </c>
      <c r="X13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1" spans="1:24" x14ac:dyDescent="0.25">
      <c r="A1341">
        <v>9</v>
      </c>
      <c r="B1341" t="s">
        <v>48</v>
      </c>
      <c r="C1341">
        <v>9200499</v>
      </c>
      <c r="D1341" t="s">
        <v>163</v>
      </c>
      <c r="E1341" t="s">
        <v>422</v>
      </c>
      <c r="F1341" t="s">
        <v>163</v>
      </c>
      <c r="G1341">
        <v>1</v>
      </c>
      <c r="H1341">
        <v>1</v>
      </c>
      <c r="I1341" t="s">
        <v>426</v>
      </c>
      <c r="J1341">
        <v>0</v>
      </c>
      <c r="K1341" t="s">
        <v>963</v>
      </c>
      <c r="L1341" s="1">
        <f>+Tabla__192.168.1.8_POSEIDONSQL_APPFVT_01_tblFillRateFechas[[#This Row],[emb_cantidad]]-Tabla__192.168.1.8_POSEIDONSQL_APPFVT_01_tblFillRateFechas[[#This Row],[dev_cantidad]]</f>
        <v>1</v>
      </c>
      <c r="M1341" s="1">
        <f>+IF(Tabla__192.168.1.8_POSEIDONSQL_APPFVT_01_tblFillRateFechas[[#This Row],[Cant_Resultante]]=Tabla__192.168.1.8_POSEIDONSQL_APPFVT_01_tblFillRateFechas[[#This Row],[cant_order]],1,0)</f>
        <v>1</v>
      </c>
      <c r="N13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1" s="1">
        <f>+IF(AND(Tabla__192.168.1.8_POSEIDONSQL_APPFVT_01_tblFillRateFechas[[#This Row],[Valida Cant]]=1,Tabla__192.168.1.8_POSEIDONSQL_APPFVT_01_tblFillRateFechas[[#This Row],[Valida Fec]]=1),1,0)</f>
        <v>1</v>
      </c>
      <c r="P1341" s="1">
        <f>+(Tabla__192.168.1.8_POSEIDONSQL_APPFVT_01_tblFillRateFechas[[#This Row],[Cant_Resultante]]/Tabla__192.168.1.8_POSEIDONSQL_APPFVT_01_tblFillRateFechas[[#This Row],[cant_order]])*100</f>
        <v>100</v>
      </c>
      <c r="Q13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1" s="1">
        <f>+IF(Tabla__192.168.1.8_POSEIDONSQL_APPFVT_01_tblFillRateFechas[[#This Row],[cant_order]]&gt;0,1,0)</f>
        <v>1</v>
      </c>
      <c r="V1341" s="1">
        <f>+IF(Tabla__192.168.1.8_POSEIDONSQL_APPFVT_01_tblFillRateFechas[[#This Row],[Resultado]]=1,1,0)</f>
        <v>1</v>
      </c>
      <c r="W1341" s="1" t="str">
        <f>+Tabla__192.168.1.8_POSEIDONSQL_APPFVT_01_tblFillRateFechas[[#This Row],[con_ocnumero]]&amp;Tabla__192.168.1.8_POSEIDONSQL_APPFVT_01_tblFillRateFechas[[#This Row],[con_codigounico]]</f>
        <v>92004990390050000703114750101</v>
      </c>
      <c r="X13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2" spans="1:24" x14ac:dyDescent="0.25">
      <c r="A1342">
        <v>9</v>
      </c>
      <c r="B1342" t="s">
        <v>48</v>
      </c>
      <c r="C1342">
        <v>9200499</v>
      </c>
      <c r="D1342" t="s">
        <v>1982</v>
      </c>
      <c r="E1342" t="s">
        <v>427</v>
      </c>
      <c r="F1342" t="s">
        <v>163</v>
      </c>
      <c r="G1342">
        <v>2</v>
      </c>
      <c r="H1342">
        <v>2</v>
      </c>
      <c r="I1342" t="s">
        <v>427</v>
      </c>
      <c r="J1342">
        <v>0</v>
      </c>
      <c r="K1342" t="s">
        <v>953</v>
      </c>
      <c r="L1342" s="1">
        <f>+Tabla__192.168.1.8_POSEIDONSQL_APPFVT_01_tblFillRateFechas[[#This Row],[emb_cantidad]]-Tabla__192.168.1.8_POSEIDONSQL_APPFVT_01_tblFillRateFechas[[#This Row],[dev_cantidad]]</f>
        <v>2</v>
      </c>
      <c r="M1342" s="1">
        <f>+IF(Tabla__192.168.1.8_POSEIDONSQL_APPFVT_01_tblFillRateFechas[[#This Row],[Cant_Resultante]]=Tabla__192.168.1.8_POSEIDONSQL_APPFVT_01_tblFillRateFechas[[#This Row],[cant_order]],1,0)</f>
        <v>1</v>
      </c>
      <c r="N13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2" s="1">
        <f>+IF(AND(Tabla__192.168.1.8_POSEIDONSQL_APPFVT_01_tblFillRateFechas[[#This Row],[Valida Cant]]=1,Tabla__192.168.1.8_POSEIDONSQL_APPFVT_01_tblFillRateFechas[[#This Row],[Valida Fec]]=1),1,0)</f>
        <v>1</v>
      </c>
      <c r="P1342" s="1">
        <f>+(Tabla__192.168.1.8_POSEIDONSQL_APPFVT_01_tblFillRateFechas[[#This Row],[Cant_Resultante]]/Tabla__192.168.1.8_POSEIDONSQL_APPFVT_01_tblFillRateFechas[[#This Row],[cant_order]])*100</f>
        <v>100</v>
      </c>
      <c r="Q13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3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3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2" s="1">
        <f>+IF(Tabla__192.168.1.8_POSEIDONSQL_APPFVT_01_tblFillRateFechas[[#This Row],[cant_order]]&gt;0,1,0)</f>
        <v>1</v>
      </c>
      <c r="V1342" s="1">
        <f>+IF(Tabla__192.168.1.8_POSEIDONSQL_APPFVT_01_tblFillRateFechas[[#This Row],[Resultado]]=1,1,0)</f>
        <v>1</v>
      </c>
      <c r="W1342" s="1" t="str">
        <f>+Tabla__192.168.1.8_POSEIDONSQL_APPFVT_01_tblFillRateFechas[[#This Row],[con_ocnumero]]&amp;Tabla__192.168.1.8_POSEIDONSQL_APPFVT_01_tblFillRateFechas[[#This Row],[con_codigounico]]</f>
        <v>92004990390050000703121550101</v>
      </c>
      <c r="X13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343" spans="1:24" x14ac:dyDescent="0.25">
      <c r="A1343">
        <v>9</v>
      </c>
      <c r="B1343" t="s">
        <v>48</v>
      </c>
      <c r="C1343">
        <v>9200371</v>
      </c>
      <c r="D1343" t="s">
        <v>1982</v>
      </c>
      <c r="E1343" t="s">
        <v>416</v>
      </c>
      <c r="F1343" t="s">
        <v>163</v>
      </c>
      <c r="G1343">
        <v>1</v>
      </c>
      <c r="H1343">
        <v>1</v>
      </c>
      <c r="I1343" t="s">
        <v>416</v>
      </c>
      <c r="J1343">
        <v>0</v>
      </c>
      <c r="K1343" t="s">
        <v>993</v>
      </c>
      <c r="L1343" s="1">
        <f>+Tabla__192.168.1.8_POSEIDONSQL_APPFVT_01_tblFillRateFechas[[#This Row],[emb_cantidad]]-Tabla__192.168.1.8_POSEIDONSQL_APPFVT_01_tblFillRateFechas[[#This Row],[dev_cantidad]]</f>
        <v>1</v>
      </c>
      <c r="M1343" s="1">
        <f>+IF(Tabla__192.168.1.8_POSEIDONSQL_APPFVT_01_tblFillRateFechas[[#This Row],[Cant_Resultante]]=Tabla__192.168.1.8_POSEIDONSQL_APPFVT_01_tblFillRateFechas[[#This Row],[cant_order]],1,0)</f>
        <v>1</v>
      </c>
      <c r="N13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3" s="1">
        <f>+IF(AND(Tabla__192.168.1.8_POSEIDONSQL_APPFVT_01_tblFillRateFechas[[#This Row],[Valida Cant]]=1,Tabla__192.168.1.8_POSEIDONSQL_APPFVT_01_tblFillRateFechas[[#This Row],[Valida Fec]]=1),1,0)</f>
        <v>1</v>
      </c>
      <c r="P1343" s="1">
        <f>+(Tabla__192.168.1.8_POSEIDONSQL_APPFVT_01_tblFillRateFechas[[#This Row],[Cant_Resultante]]/Tabla__192.168.1.8_POSEIDONSQL_APPFVT_01_tblFillRateFechas[[#This Row],[cant_order]])*100</f>
        <v>100</v>
      </c>
      <c r="Q13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3" s="1">
        <f>+IF(Tabla__192.168.1.8_POSEIDONSQL_APPFVT_01_tblFillRateFechas[[#This Row],[cant_order]]&gt;0,1,0)</f>
        <v>1</v>
      </c>
      <c r="V1343" s="1">
        <f>+IF(Tabla__192.168.1.8_POSEIDONSQL_APPFVT_01_tblFillRateFechas[[#This Row],[Resultado]]=1,1,0)</f>
        <v>1</v>
      </c>
      <c r="W1343" s="1" t="str">
        <f>+Tabla__192.168.1.8_POSEIDONSQL_APPFVT_01_tblFillRateFechas[[#This Row],[con_ocnumero]]&amp;Tabla__192.168.1.8_POSEIDONSQL_APPFVT_01_tblFillRateFechas[[#This Row],[con_codigounico]]</f>
        <v>92003710390050000703173390102</v>
      </c>
      <c r="X13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4" spans="1:24" x14ac:dyDescent="0.25">
      <c r="A1344">
        <v>9</v>
      </c>
      <c r="B1344" t="s">
        <v>48</v>
      </c>
      <c r="C1344">
        <v>9200371</v>
      </c>
      <c r="D1344" t="s">
        <v>1982</v>
      </c>
      <c r="E1344" t="s">
        <v>422</v>
      </c>
      <c r="F1344" t="s">
        <v>163</v>
      </c>
      <c r="G1344">
        <v>1</v>
      </c>
      <c r="H1344">
        <v>1</v>
      </c>
      <c r="I1344" t="s">
        <v>426</v>
      </c>
      <c r="J1344">
        <v>0</v>
      </c>
      <c r="K1344" t="s">
        <v>960</v>
      </c>
      <c r="L1344" s="1">
        <f>+Tabla__192.168.1.8_POSEIDONSQL_APPFVT_01_tblFillRateFechas[[#This Row],[emb_cantidad]]-Tabla__192.168.1.8_POSEIDONSQL_APPFVT_01_tblFillRateFechas[[#This Row],[dev_cantidad]]</f>
        <v>1</v>
      </c>
      <c r="M1344" s="1">
        <f>+IF(Tabla__192.168.1.8_POSEIDONSQL_APPFVT_01_tblFillRateFechas[[#This Row],[Cant_Resultante]]=Tabla__192.168.1.8_POSEIDONSQL_APPFVT_01_tblFillRateFechas[[#This Row],[cant_order]],1,0)</f>
        <v>1</v>
      </c>
      <c r="N13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4" s="1">
        <f>+IF(AND(Tabla__192.168.1.8_POSEIDONSQL_APPFVT_01_tblFillRateFechas[[#This Row],[Valida Cant]]=1,Tabla__192.168.1.8_POSEIDONSQL_APPFVT_01_tblFillRateFechas[[#This Row],[Valida Fec]]=1),1,0)</f>
        <v>1</v>
      </c>
      <c r="P1344" s="1">
        <f>+(Tabla__192.168.1.8_POSEIDONSQL_APPFVT_01_tblFillRateFechas[[#This Row],[Cant_Resultante]]/Tabla__192.168.1.8_POSEIDONSQL_APPFVT_01_tblFillRateFechas[[#This Row],[cant_order]])*100</f>
        <v>100</v>
      </c>
      <c r="Q13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4" s="1">
        <f>+IF(Tabla__192.168.1.8_POSEIDONSQL_APPFVT_01_tblFillRateFechas[[#This Row],[cant_order]]&gt;0,1,0)</f>
        <v>1</v>
      </c>
      <c r="V1344" s="1">
        <f>+IF(Tabla__192.168.1.8_POSEIDONSQL_APPFVT_01_tblFillRateFechas[[#This Row],[Resultado]]=1,1,0)</f>
        <v>1</v>
      </c>
      <c r="W1344" s="1" t="str">
        <f>+Tabla__192.168.1.8_POSEIDONSQL_APPFVT_01_tblFillRateFechas[[#This Row],[con_ocnumero]]&amp;Tabla__192.168.1.8_POSEIDONSQL_APPFVT_01_tblFillRateFechas[[#This Row],[con_codigounico]]</f>
        <v>92003710390050000703173780104</v>
      </c>
      <c r="X13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5" spans="1:24" x14ac:dyDescent="0.25">
      <c r="A1345">
        <v>9</v>
      </c>
      <c r="B1345" t="s">
        <v>48</v>
      </c>
      <c r="C1345">
        <v>9200371</v>
      </c>
      <c r="D1345" t="s">
        <v>1982</v>
      </c>
      <c r="E1345" t="s">
        <v>422</v>
      </c>
      <c r="F1345" t="s">
        <v>163</v>
      </c>
      <c r="G1345">
        <v>1</v>
      </c>
      <c r="H1345">
        <v>1</v>
      </c>
      <c r="I1345" t="s">
        <v>426</v>
      </c>
      <c r="J1345">
        <v>0</v>
      </c>
      <c r="K1345" t="s">
        <v>961</v>
      </c>
      <c r="L1345" s="1">
        <f>+Tabla__192.168.1.8_POSEIDONSQL_APPFVT_01_tblFillRateFechas[[#This Row],[emb_cantidad]]-Tabla__192.168.1.8_POSEIDONSQL_APPFVT_01_tblFillRateFechas[[#This Row],[dev_cantidad]]</f>
        <v>1</v>
      </c>
      <c r="M1345" s="1">
        <f>+IF(Tabla__192.168.1.8_POSEIDONSQL_APPFVT_01_tblFillRateFechas[[#This Row],[Cant_Resultante]]=Tabla__192.168.1.8_POSEIDONSQL_APPFVT_01_tblFillRateFechas[[#This Row],[cant_order]],1,0)</f>
        <v>1</v>
      </c>
      <c r="N13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5" s="1">
        <f>+IF(AND(Tabla__192.168.1.8_POSEIDONSQL_APPFVT_01_tblFillRateFechas[[#This Row],[Valida Cant]]=1,Tabla__192.168.1.8_POSEIDONSQL_APPFVT_01_tblFillRateFechas[[#This Row],[Valida Fec]]=1),1,0)</f>
        <v>1</v>
      </c>
      <c r="P1345" s="1">
        <f>+(Tabla__192.168.1.8_POSEIDONSQL_APPFVT_01_tblFillRateFechas[[#This Row],[Cant_Resultante]]/Tabla__192.168.1.8_POSEIDONSQL_APPFVT_01_tblFillRateFechas[[#This Row],[cant_order]])*100</f>
        <v>100</v>
      </c>
      <c r="Q13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5" s="1">
        <f>+IF(Tabla__192.168.1.8_POSEIDONSQL_APPFVT_01_tblFillRateFechas[[#This Row],[cant_order]]&gt;0,1,0)</f>
        <v>1</v>
      </c>
      <c r="V1345" s="1">
        <f>+IF(Tabla__192.168.1.8_POSEIDONSQL_APPFVT_01_tblFillRateFechas[[#This Row],[Resultado]]=1,1,0)</f>
        <v>1</v>
      </c>
      <c r="W1345" s="1" t="str">
        <f>+Tabla__192.168.1.8_POSEIDONSQL_APPFVT_01_tblFillRateFechas[[#This Row],[con_ocnumero]]&amp;Tabla__192.168.1.8_POSEIDONSQL_APPFVT_01_tblFillRateFechas[[#This Row],[con_codigounico]]</f>
        <v>92003710390050000703199340101</v>
      </c>
      <c r="X13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6" spans="1:24" x14ac:dyDescent="0.25">
      <c r="A1346">
        <v>9</v>
      </c>
      <c r="B1346" t="s">
        <v>48</v>
      </c>
      <c r="C1346">
        <v>9200410</v>
      </c>
      <c r="D1346" t="s">
        <v>1982</v>
      </c>
      <c r="E1346" t="s">
        <v>422</v>
      </c>
      <c r="F1346" t="s">
        <v>163</v>
      </c>
      <c r="G1346">
        <v>1</v>
      </c>
      <c r="H1346">
        <v>1</v>
      </c>
      <c r="I1346" t="s">
        <v>426</v>
      </c>
      <c r="J1346">
        <v>0</v>
      </c>
      <c r="K1346" t="s">
        <v>962</v>
      </c>
      <c r="L1346" s="1">
        <f>+Tabla__192.168.1.8_POSEIDONSQL_APPFVT_01_tblFillRateFechas[[#This Row],[emb_cantidad]]-Tabla__192.168.1.8_POSEIDONSQL_APPFVT_01_tblFillRateFechas[[#This Row],[dev_cantidad]]</f>
        <v>1</v>
      </c>
      <c r="M1346" s="1">
        <f>+IF(Tabla__192.168.1.8_POSEIDONSQL_APPFVT_01_tblFillRateFechas[[#This Row],[Cant_Resultante]]=Tabla__192.168.1.8_POSEIDONSQL_APPFVT_01_tblFillRateFechas[[#This Row],[cant_order]],1,0)</f>
        <v>1</v>
      </c>
      <c r="N13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6" s="1">
        <f>+IF(AND(Tabla__192.168.1.8_POSEIDONSQL_APPFVT_01_tblFillRateFechas[[#This Row],[Valida Cant]]=1,Tabla__192.168.1.8_POSEIDONSQL_APPFVT_01_tblFillRateFechas[[#This Row],[Valida Fec]]=1),1,0)</f>
        <v>1</v>
      </c>
      <c r="P1346" s="1">
        <f>+(Tabla__192.168.1.8_POSEIDONSQL_APPFVT_01_tblFillRateFechas[[#This Row],[Cant_Resultante]]/Tabla__192.168.1.8_POSEIDONSQL_APPFVT_01_tblFillRateFechas[[#This Row],[cant_order]])*100</f>
        <v>100</v>
      </c>
      <c r="Q13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6" s="1">
        <f>+IF(Tabla__192.168.1.8_POSEIDONSQL_APPFVT_01_tblFillRateFechas[[#This Row],[cant_order]]&gt;0,1,0)</f>
        <v>1</v>
      </c>
      <c r="V1346" s="1">
        <f>+IF(Tabla__192.168.1.8_POSEIDONSQL_APPFVT_01_tblFillRateFechas[[#This Row],[Resultado]]=1,1,0)</f>
        <v>1</v>
      </c>
      <c r="W1346" s="1" t="str">
        <f>+Tabla__192.168.1.8_POSEIDONSQL_APPFVT_01_tblFillRateFechas[[#This Row],[con_ocnumero]]&amp;Tabla__192.168.1.8_POSEIDONSQL_APPFVT_01_tblFillRateFechas[[#This Row],[con_codigounico]]</f>
        <v>92004100390050000703213670101</v>
      </c>
      <c r="X13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7" spans="1:24" x14ac:dyDescent="0.25">
      <c r="A1347">
        <v>9</v>
      </c>
      <c r="B1347" t="s">
        <v>48</v>
      </c>
      <c r="C1347">
        <v>9200371</v>
      </c>
      <c r="D1347" t="s">
        <v>1982</v>
      </c>
      <c r="E1347" t="s">
        <v>426</v>
      </c>
      <c r="F1347" t="s">
        <v>163</v>
      </c>
      <c r="G1347">
        <v>1</v>
      </c>
      <c r="H1347">
        <v>1</v>
      </c>
      <c r="I1347" t="s">
        <v>426</v>
      </c>
      <c r="J1347">
        <v>0</v>
      </c>
      <c r="K1347" t="s">
        <v>959</v>
      </c>
      <c r="L1347" s="1">
        <f>+Tabla__192.168.1.8_POSEIDONSQL_APPFVT_01_tblFillRateFechas[[#This Row],[emb_cantidad]]-Tabla__192.168.1.8_POSEIDONSQL_APPFVT_01_tblFillRateFechas[[#This Row],[dev_cantidad]]</f>
        <v>1</v>
      </c>
      <c r="M1347" s="1">
        <f>+IF(Tabla__192.168.1.8_POSEIDONSQL_APPFVT_01_tblFillRateFechas[[#This Row],[Cant_Resultante]]=Tabla__192.168.1.8_POSEIDONSQL_APPFVT_01_tblFillRateFechas[[#This Row],[cant_order]],1,0)</f>
        <v>1</v>
      </c>
      <c r="N13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7" s="1">
        <f>+IF(AND(Tabla__192.168.1.8_POSEIDONSQL_APPFVT_01_tblFillRateFechas[[#This Row],[Valida Cant]]=1,Tabla__192.168.1.8_POSEIDONSQL_APPFVT_01_tblFillRateFechas[[#This Row],[Valida Fec]]=1),1,0)</f>
        <v>1</v>
      </c>
      <c r="P1347" s="1">
        <f>+(Tabla__192.168.1.8_POSEIDONSQL_APPFVT_01_tblFillRateFechas[[#This Row],[Cant_Resultante]]/Tabla__192.168.1.8_POSEIDONSQL_APPFVT_01_tblFillRateFechas[[#This Row],[cant_order]])*100</f>
        <v>100</v>
      </c>
      <c r="Q13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7" s="1">
        <f>+IF(Tabla__192.168.1.8_POSEIDONSQL_APPFVT_01_tblFillRateFechas[[#This Row],[cant_order]]&gt;0,1,0)</f>
        <v>1</v>
      </c>
      <c r="V1347" s="1">
        <f>+IF(Tabla__192.168.1.8_POSEIDONSQL_APPFVT_01_tblFillRateFechas[[#This Row],[Resultado]]=1,1,0)</f>
        <v>1</v>
      </c>
      <c r="W1347" s="1" t="str">
        <f>+Tabla__192.168.1.8_POSEIDONSQL_APPFVT_01_tblFillRateFechas[[#This Row],[con_ocnumero]]&amp;Tabla__192.168.1.8_POSEIDONSQL_APPFVT_01_tblFillRateFechas[[#This Row],[con_codigounico]]</f>
        <v>92003710390050000703214060101</v>
      </c>
      <c r="X13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8" spans="1:24" x14ac:dyDescent="0.25">
      <c r="A1348">
        <v>9</v>
      </c>
      <c r="B1348" t="s">
        <v>48</v>
      </c>
      <c r="C1348">
        <v>9200499</v>
      </c>
      <c r="D1348" t="s">
        <v>1982</v>
      </c>
      <c r="E1348" t="s">
        <v>427</v>
      </c>
      <c r="F1348" t="s">
        <v>163</v>
      </c>
      <c r="G1348">
        <v>1</v>
      </c>
      <c r="H1348">
        <v>1</v>
      </c>
      <c r="I1348" t="s">
        <v>427</v>
      </c>
      <c r="J1348">
        <v>0</v>
      </c>
      <c r="K1348" t="s">
        <v>952</v>
      </c>
      <c r="L1348" s="1">
        <f>+Tabla__192.168.1.8_POSEIDONSQL_APPFVT_01_tblFillRateFechas[[#This Row],[emb_cantidad]]-Tabla__192.168.1.8_POSEIDONSQL_APPFVT_01_tblFillRateFechas[[#This Row],[dev_cantidad]]</f>
        <v>1</v>
      </c>
      <c r="M1348" s="1">
        <f>+IF(Tabla__192.168.1.8_POSEIDONSQL_APPFVT_01_tblFillRateFechas[[#This Row],[Cant_Resultante]]=Tabla__192.168.1.8_POSEIDONSQL_APPFVT_01_tblFillRateFechas[[#This Row],[cant_order]],1,0)</f>
        <v>1</v>
      </c>
      <c r="N13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8" s="1">
        <f>+IF(AND(Tabla__192.168.1.8_POSEIDONSQL_APPFVT_01_tblFillRateFechas[[#This Row],[Valida Cant]]=1,Tabla__192.168.1.8_POSEIDONSQL_APPFVT_01_tblFillRateFechas[[#This Row],[Valida Fec]]=1),1,0)</f>
        <v>1</v>
      </c>
      <c r="P1348" s="1">
        <f>+(Tabla__192.168.1.8_POSEIDONSQL_APPFVT_01_tblFillRateFechas[[#This Row],[Cant_Resultante]]/Tabla__192.168.1.8_POSEIDONSQL_APPFVT_01_tblFillRateFechas[[#This Row],[cant_order]])*100</f>
        <v>100</v>
      </c>
      <c r="Q13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8" s="1">
        <f>+IF(Tabla__192.168.1.8_POSEIDONSQL_APPFVT_01_tblFillRateFechas[[#This Row],[cant_order]]&gt;0,1,0)</f>
        <v>1</v>
      </c>
      <c r="V1348" s="1">
        <f>+IF(Tabla__192.168.1.8_POSEIDONSQL_APPFVT_01_tblFillRateFechas[[#This Row],[Resultado]]=1,1,0)</f>
        <v>1</v>
      </c>
      <c r="W1348" s="1" t="str">
        <f>+Tabla__192.168.1.8_POSEIDONSQL_APPFVT_01_tblFillRateFechas[[#This Row],[con_ocnumero]]&amp;Tabla__192.168.1.8_POSEIDONSQL_APPFVT_01_tblFillRateFechas[[#This Row],[con_codigounico]]</f>
        <v>92004990390050000703260980101</v>
      </c>
      <c r="X13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49" spans="1:24" x14ac:dyDescent="0.25">
      <c r="A1349">
        <v>9</v>
      </c>
      <c r="B1349" t="s">
        <v>48</v>
      </c>
      <c r="C1349">
        <v>9200870</v>
      </c>
      <c r="D1349" t="s">
        <v>163</v>
      </c>
      <c r="E1349" t="s">
        <v>420</v>
      </c>
      <c r="F1349" t="s">
        <v>429</v>
      </c>
      <c r="G1349">
        <v>1</v>
      </c>
      <c r="H1349">
        <v>1</v>
      </c>
      <c r="I1349" t="s">
        <v>420</v>
      </c>
      <c r="J1349">
        <v>0</v>
      </c>
      <c r="K1349" t="s">
        <v>1001</v>
      </c>
      <c r="L1349" s="1">
        <f>+Tabla__192.168.1.8_POSEIDONSQL_APPFVT_01_tblFillRateFechas[[#This Row],[emb_cantidad]]-Tabla__192.168.1.8_POSEIDONSQL_APPFVT_01_tblFillRateFechas[[#This Row],[dev_cantidad]]</f>
        <v>1</v>
      </c>
      <c r="M1349" s="1">
        <f>+IF(Tabla__192.168.1.8_POSEIDONSQL_APPFVT_01_tblFillRateFechas[[#This Row],[Cant_Resultante]]=Tabla__192.168.1.8_POSEIDONSQL_APPFVT_01_tblFillRateFechas[[#This Row],[cant_order]],1,0)</f>
        <v>1</v>
      </c>
      <c r="N13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49" s="1">
        <f>+IF(AND(Tabla__192.168.1.8_POSEIDONSQL_APPFVT_01_tblFillRateFechas[[#This Row],[Valida Cant]]=1,Tabla__192.168.1.8_POSEIDONSQL_APPFVT_01_tblFillRateFechas[[#This Row],[Valida Fec]]=1),1,0)</f>
        <v>1</v>
      </c>
      <c r="P1349" s="1">
        <f>+(Tabla__192.168.1.8_POSEIDONSQL_APPFVT_01_tblFillRateFechas[[#This Row],[Cant_Resultante]]/Tabla__192.168.1.8_POSEIDONSQL_APPFVT_01_tblFillRateFechas[[#This Row],[cant_order]])*100</f>
        <v>100</v>
      </c>
      <c r="Q13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49" s="1">
        <f>+IF(Tabla__192.168.1.8_POSEIDONSQL_APPFVT_01_tblFillRateFechas[[#This Row],[cant_order]]&gt;0,1,0)</f>
        <v>1</v>
      </c>
      <c r="V1349" s="1">
        <f>+IF(Tabla__192.168.1.8_POSEIDONSQL_APPFVT_01_tblFillRateFechas[[#This Row],[Resultado]]=1,1,0)</f>
        <v>1</v>
      </c>
      <c r="W1349" s="1" t="str">
        <f>+Tabla__192.168.1.8_POSEIDONSQL_APPFVT_01_tblFillRateFechas[[#This Row],[con_ocnumero]]&amp;Tabla__192.168.1.8_POSEIDONSQL_APPFVT_01_tblFillRateFechas[[#This Row],[con_codigounico]]</f>
        <v>92008700390050000703320110101</v>
      </c>
      <c r="X13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0" spans="1:24" x14ac:dyDescent="0.25">
      <c r="A1350">
        <v>9</v>
      </c>
      <c r="B1350" t="s">
        <v>48</v>
      </c>
      <c r="C1350">
        <v>9200499</v>
      </c>
      <c r="D1350" t="s">
        <v>163</v>
      </c>
      <c r="E1350" t="s">
        <v>422</v>
      </c>
      <c r="F1350" t="s">
        <v>163</v>
      </c>
      <c r="G1350">
        <v>1</v>
      </c>
      <c r="H1350">
        <v>1</v>
      </c>
      <c r="I1350" t="s">
        <v>426</v>
      </c>
      <c r="J1350">
        <v>0</v>
      </c>
      <c r="K1350" t="s">
        <v>964</v>
      </c>
      <c r="L1350" s="1">
        <f>+Tabla__192.168.1.8_POSEIDONSQL_APPFVT_01_tblFillRateFechas[[#This Row],[emb_cantidad]]-Tabla__192.168.1.8_POSEIDONSQL_APPFVT_01_tblFillRateFechas[[#This Row],[dev_cantidad]]</f>
        <v>1</v>
      </c>
      <c r="M1350" s="1">
        <f>+IF(Tabla__192.168.1.8_POSEIDONSQL_APPFVT_01_tblFillRateFechas[[#This Row],[Cant_Resultante]]=Tabla__192.168.1.8_POSEIDONSQL_APPFVT_01_tblFillRateFechas[[#This Row],[cant_order]],1,0)</f>
        <v>1</v>
      </c>
      <c r="N13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0" s="1">
        <f>+IF(AND(Tabla__192.168.1.8_POSEIDONSQL_APPFVT_01_tblFillRateFechas[[#This Row],[Valida Cant]]=1,Tabla__192.168.1.8_POSEIDONSQL_APPFVT_01_tblFillRateFechas[[#This Row],[Valida Fec]]=1),1,0)</f>
        <v>1</v>
      </c>
      <c r="P1350" s="1">
        <f>+(Tabla__192.168.1.8_POSEIDONSQL_APPFVT_01_tblFillRateFechas[[#This Row],[Cant_Resultante]]/Tabla__192.168.1.8_POSEIDONSQL_APPFVT_01_tblFillRateFechas[[#This Row],[cant_order]])*100</f>
        <v>100</v>
      </c>
      <c r="Q13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0" s="1">
        <f>+IF(Tabla__192.168.1.8_POSEIDONSQL_APPFVT_01_tblFillRateFechas[[#This Row],[cant_order]]&gt;0,1,0)</f>
        <v>1</v>
      </c>
      <c r="V1350" s="1">
        <f>+IF(Tabla__192.168.1.8_POSEIDONSQL_APPFVT_01_tblFillRateFechas[[#This Row],[Resultado]]=1,1,0)</f>
        <v>1</v>
      </c>
      <c r="W1350" s="1" t="str">
        <f>+Tabla__192.168.1.8_POSEIDONSQL_APPFVT_01_tblFillRateFechas[[#This Row],[con_ocnumero]]&amp;Tabla__192.168.1.8_POSEIDONSQL_APPFVT_01_tblFillRateFechas[[#This Row],[con_codigounico]]</f>
        <v>92004990390050000703424070101</v>
      </c>
      <c r="X13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1" spans="1:24" x14ac:dyDescent="0.25">
      <c r="A1351">
        <v>9</v>
      </c>
      <c r="B1351" t="s">
        <v>48</v>
      </c>
      <c r="C1351">
        <v>9200661</v>
      </c>
      <c r="D1351" t="s">
        <v>163</v>
      </c>
      <c r="E1351" t="s">
        <v>422</v>
      </c>
      <c r="F1351" t="s">
        <v>429</v>
      </c>
      <c r="G1351">
        <v>1</v>
      </c>
      <c r="H1351">
        <v>1</v>
      </c>
      <c r="I1351" t="s">
        <v>426</v>
      </c>
      <c r="J1351">
        <v>0</v>
      </c>
      <c r="K1351" t="s">
        <v>1690</v>
      </c>
      <c r="L1351" s="1">
        <f>+Tabla__192.168.1.8_POSEIDONSQL_APPFVT_01_tblFillRateFechas[[#This Row],[emb_cantidad]]-Tabla__192.168.1.8_POSEIDONSQL_APPFVT_01_tblFillRateFechas[[#This Row],[dev_cantidad]]</f>
        <v>1</v>
      </c>
      <c r="M1351" s="1">
        <f>+IF(Tabla__192.168.1.8_POSEIDONSQL_APPFVT_01_tblFillRateFechas[[#This Row],[Cant_Resultante]]=Tabla__192.168.1.8_POSEIDONSQL_APPFVT_01_tblFillRateFechas[[#This Row],[cant_order]],1,0)</f>
        <v>1</v>
      </c>
      <c r="N13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1" s="1">
        <f>+IF(AND(Tabla__192.168.1.8_POSEIDONSQL_APPFVT_01_tblFillRateFechas[[#This Row],[Valida Cant]]=1,Tabla__192.168.1.8_POSEIDONSQL_APPFVT_01_tblFillRateFechas[[#This Row],[Valida Fec]]=1),1,0)</f>
        <v>1</v>
      </c>
      <c r="P1351" s="1">
        <f>+(Tabla__192.168.1.8_POSEIDONSQL_APPFVT_01_tblFillRateFechas[[#This Row],[Cant_Resultante]]/Tabla__192.168.1.8_POSEIDONSQL_APPFVT_01_tblFillRateFechas[[#This Row],[cant_order]])*100</f>
        <v>100</v>
      </c>
      <c r="Q13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1" s="1">
        <f>+IF(Tabla__192.168.1.8_POSEIDONSQL_APPFVT_01_tblFillRateFechas[[#This Row],[cant_order]]&gt;0,1,0)</f>
        <v>1</v>
      </c>
      <c r="V1351" s="1">
        <f>+IF(Tabla__192.168.1.8_POSEIDONSQL_APPFVT_01_tblFillRateFechas[[#This Row],[Resultado]]=1,1,0)</f>
        <v>1</v>
      </c>
      <c r="W1351" s="1" t="str">
        <f>+Tabla__192.168.1.8_POSEIDONSQL_APPFVT_01_tblFillRateFechas[[#This Row],[con_ocnumero]]&amp;Tabla__192.168.1.8_POSEIDONSQL_APPFVT_01_tblFillRateFechas[[#This Row],[con_codigounico]]</f>
        <v>92006610390050000703577310102</v>
      </c>
      <c r="X13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2" spans="1:24" x14ac:dyDescent="0.25">
      <c r="A1352">
        <v>9</v>
      </c>
      <c r="B1352" t="s">
        <v>48</v>
      </c>
      <c r="C1352">
        <v>9200750</v>
      </c>
      <c r="D1352" t="s">
        <v>163</v>
      </c>
      <c r="E1352" t="s">
        <v>422</v>
      </c>
      <c r="F1352" t="s">
        <v>429</v>
      </c>
      <c r="G1352">
        <v>1</v>
      </c>
      <c r="H1352">
        <v>1</v>
      </c>
      <c r="I1352" t="s">
        <v>426</v>
      </c>
      <c r="J1352">
        <v>0</v>
      </c>
      <c r="K1352" t="s">
        <v>1692</v>
      </c>
      <c r="L1352" s="1">
        <f>+Tabla__192.168.1.8_POSEIDONSQL_APPFVT_01_tblFillRateFechas[[#This Row],[emb_cantidad]]-Tabla__192.168.1.8_POSEIDONSQL_APPFVT_01_tblFillRateFechas[[#This Row],[dev_cantidad]]</f>
        <v>1</v>
      </c>
      <c r="M1352" s="1">
        <f>+IF(Tabla__192.168.1.8_POSEIDONSQL_APPFVT_01_tblFillRateFechas[[#This Row],[Cant_Resultante]]=Tabla__192.168.1.8_POSEIDONSQL_APPFVT_01_tblFillRateFechas[[#This Row],[cant_order]],1,0)</f>
        <v>1</v>
      </c>
      <c r="N13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2" s="1">
        <f>+IF(AND(Tabla__192.168.1.8_POSEIDONSQL_APPFVT_01_tblFillRateFechas[[#This Row],[Valida Cant]]=1,Tabla__192.168.1.8_POSEIDONSQL_APPFVT_01_tblFillRateFechas[[#This Row],[Valida Fec]]=1),1,0)</f>
        <v>1</v>
      </c>
      <c r="P1352" s="1">
        <f>+(Tabla__192.168.1.8_POSEIDONSQL_APPFVT_01_tblFillRateFechas[[#This Row],[Cant_Resultante]]/Tabla__192.168.1.8_POSEIDONSQL_APPFVT_01_tblFillRateFechas[[#This Row],[cant_order]])*100</f>
        <v>100</v>
      </c>
      <c r="Q13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2" s="1">
        <f>+IF(Tabla__192.168.1.8_POSEIDONSQL_APPFVT_01_tblFillRateFechas[[#This Row],[cant_order]]&gt;0,1,0)</f>
        <v>1</v>
      </c>
      <c r="V1352" s="1">
        <f>+IF(Tabla__192.168.1.8_POSEIDONSQL_APPFVT_01_tblFillRateFechas[[#This Row],[Resultado]]=1,1,0)</f>
        <v>1</v>
      </c>
      <c r="W1352" s="1" t="str">
        <f>+Tabla__192.168.1.8_POSEIDONSQL_APPFVT_01_tblFillRateFechas[[#This Row],[con_ocnumero]]&amp;Tabla__192.168.1.8_POSEIDONSQL_APPFVT_01_tblFillRateFechas[[#This Row],[con_codigounico]]</f>
        <v>92007500390050000703596000101</v>
      </c>
      <c r="X13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3" spans="1:24" x14ac:dyDescent="0.25">
      <c r="A1353">
        <v>9</v>
      </c>
      <c r="B1353" t="s">
        <v>48</v>
      </c>
      <c r="C1353">
        <v>9200702</v>
      </c>
      <c r="D1353" t="s">
        <v>163</v>
      </c>
      <c r="E1353" t="s">
        <v>427</v>
      </c>
      <c r="F1353" t="s">
        <v>429</v>
      </c>
      <c r="G1353">
        <v>1</v>
      </c>
      <c r="H1353">
        <v>1</v>
      </c>
      <c r="I1353" t="s">
        <v>427</v>
      </c>
      <c r="J1353">
        <v>0</v>
      </c>
      <c r="K1353" t="s">
        <v>1685</v>
      </c>
      <c r="L1353" s="1">
        <f>+Tabla__192.168.1.8_POSEIDONSQL_APPFVT_01_tblFillRateFechas[[#This Row],[emb_cantidad]]-Tabla__192.168.1.8_POSEIDONSQL_APPFVT_01_tblFillRateFechas[[#This Row],[dev_cantidad]]</f>
        <v>1</v>
      </c>
      <c r="M1353" s="1">
        <f>+IF(Tabla__192.168.1.8_POSEIDONSQL_APPFVT_01_tblFillRateFechas[[#This Row],[Cant_Resultante]]=Tabla__192.168.1.8_POSEIDONSQL_APPFVT_01_tblFillRateFechas[[#This Row],[cant_order]],1,0)</f>
        <v>1</v>
      </c>
      <c r="N13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3" s="1">
        <f>+IF(AND(Tabla__192.168.1.8_POSEIDONSQL_APPFVT_01_tblFillRateFechas[[#This Row],[Valida Cant]]=1,Tabla__192.168.1.8_POSEIDONSQL_APPFVT_01_tblFillRateFechas[[#This Row],[Valida Fec]]=1),1,0)</f>
        <v>1</v>
      </c>
      <c r="P1353" s="1">
        <f>+(Tabla__192.168.1.8_POSEIDONSQL_APPFVT_01_tblFillRateFechas[[#This Row],[Cant_Resultante]]/Tabla__192.168.1.8_POSEIDONSQL_APPFVT_01_tblFillRateFechas[[#This Row],[cant_order]])*100</f>
        <v>100</v>
      </c>
      <c r="Q13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3" s="1">
        <f>+IF(Tabla__192.168.1.8_POSEIDONSQL_APPFVT_01_tblFillRateFechas[[#This Row],[cant_order]]&gt;0,1,0)</f>
        <v>1</v>
      </c>
      <c r="V1353" s="1">
        <f>+IF(Tabla__192.168.1.8_POSEIDONSQL_APPFVT_01_tblFillRateFechas[[#This Row],[Resultado]]=1,1,0)</f>
        <v>1</v>
      </c>
      <c r="W1353" s="1" t="str">
        <f>+Tabla__192.168.1.8_POSEIDONSQL_APPFVT_01_tblFillRateFechas[[#This Row],[con_ocnumero]]&amp;Tabla__192.168.1.8_POSEIDONSQL_APPFVT_01_tblFillRateFechas[[#This Row],[con_codigounico]]</f>
        <v>92007020390050000703634730101</v>
      </c>
      <c r="X13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4" spans="1:24" x14ac:dyDescent="0.25">
      <c r="A1354">
        <v>9</v>
      </c>
      <c r="B1354" t="s">
        <v>48</v>
      </c>
      <c r="C1354">
        <v>9200702</v>
      </c>
      <c r="D1354" t="s">
        <v>163</v>
      </c>
      <c r="E1354" t="s">
        <v>422</v>
      </c>
      <c r="F1354" t="s">
        <v>429</v>
      </c>
      <c r="G1354">
        <v>1</v>
      </c>
      <c r="H1354">
        <v>1</v>
      </c>
      <c r="I1354" t="s">
        <v>426</v>
      </c>
      <c r="J1354">
        <v>0</v>
      </c>
      <c r="K1354" t="s">
        <v>1691</v>
      </c>
      <c r="L1354" s="1">
        <f>+Tabla__192.168.1.8_POSEIDONSQL_APPFVT_01_tblFillRateFechas[[#This Row],[emb_cantidad]]-Tabla__192.168.1.8_POSEIDONSQL_APPFVT_01_tblFillRateFechas[[#This Row],[dev_cantidad]]</f>
        <v>1</v>
      </c>
      <c r="M1354" s="1">
        <f>+IF(Tabla__192.168.1.8_POSEIDONSQL_APPFVT_01_tblFillRateFechas[[#This Row],[Cant_Resultante]]=Tabla__192.168.1.8_POSEIDONSQL_APPFVT_01_tblFillRateFechas[[#This Row],[cant_order]],1,0)</f>
        <v>1</v>
      </c>
      <c r="N13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4" s="1">
        <f>+IF(AND(Tabla__192.168.1.8_POSEIDONSQL_APPFVT_01_tblFillRateFechas[[#This Row],[Valida Cant]]=1,Tabla__192.168.1.8_POSEIDONSQL_APPFVT_01_tblFillRateFechas[[#This Row],[Valida Fec]]=1),1,0)</f>
        <v>1</v>
      </c>
      <c r="P1354" s="1">
        <f>+(Tabla__192.168.1.8_POSEIDONSQL_APPFVT_01_tblFillRateFechas[[#This Row],[Cant_Resultante]]/Tabla__192.168.1.8_POSEIDONSQL_APPFVT_01_tblFillRateFechas[[#This Row],[cant_order]])*100</f>
        <v>100</v>
      </c>
      <c r="Q13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4" s="1">
        <f>+IF(Tabla__192.168.1.8_POSEIDONSQL_APPFVT_01_tblFillRateFechas[[#This Row],[cant_order]]&gt;0,1,0)</f>
        <v>1</v>
      </c>
      <c r="V1354" s="1">
        <f>+IF(Tabla__192.168.1.8_POSEIDONSQL_APPFVT_01_tblFillRateFechas[[#This Row],[Resultado]]=1,1,0)</f>
        <v>1</v>
      </c>
      <c r="W1354" s="1" t="str">
        <f>+Tabla__192.168.1.8_POSEIDONSQL_APPFVT_01_tblFillRateFechas[[#This Row],[con_ocnumero]]&amp;Tabla__192.168.1.8_POSEIDONSQL_APPFVT_01_tblFillRateFechas[[#This Row],[con_codigounico]]</f>
        <v>92007020390050000703642670101</v>
      </c>
      <c r="X13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5" spans="1:24" x14ac:dyDescent="0.25">
      <c r="A1355">
        <v>9</v>
      </c>
      <c r="B1355" t="s">
        <v>48</v>
      </c>
      <c r="C1355">
        <v>9200870</v>
      </c>
      <c r="D1355" t="s">
        <v>163</v>
      </c>
      <c r="E1355" t="s">
        <v>427</v>
      </c>
      <c r="F1355" t="s">
        <v>429</v>
      </c>
      <c r="G1355">
        <v>1</v>
      </c>
      <c r="H1355">
        <v>1</v>
      </c>
      <c r="I1355" t="s">
        <v>427</v>
      </c>
      <c r="J1355">
        <v>0</v>
      </c>
      <c r="K1355" t="s">
        <v>1682</v>
      </c>
      <c r="L1355" s="1">
        <f>+Tabla__192.168.1.8_POSEIDONSQL_APPFVT_01_tblFillRateFechas[[#This Row],[emb_cantidad]]-Tabla__192.168.1.8_POSEIDONSQL_APPFVT_01_tblFillRateFechas[[#This Row],[dev_cantidad]]</f>
        <v>1</v>
      </c>
      <c r="M1355" s="1">
        <f>+IF(Tabla__192.168.1.8_POSEIDONSQL_APPFVT_01_tblFillRateFechas[[#This Row],[Cant_Resultante]]=Tabla__192.168.1.8_POSEIDONSQL_APPFVT_01_tblFillRateFechas[[#This Row],[cant_order]],1,0)</f>
        <v>1</v>
      </c>
      <c r="N13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5" s="1">
        <f>+IF(AND(Tabla__192.168.1.8_POSEIDONSQL_APPFVT_01_tblFillRateFechas[[#This Row],[Valida Cant]]=1,Tabla__192.168.1.8_POSEIDONSQL_APPFVT_01_tblFillRateFechas[[#This Row],[Valida Fec]]=1),1,0)</f>
        <v>1</v>
      </c>
      <c r="P1355" s="1">
        <f>+(Tabla__192.168.1.8_POSEIDONSQL_APPFVT_01_tblFillRateFechas[[#This Row],[Cant_Resultante]]/Tabla__192.168.1.8_POSEIDONSQL_APPFVT_01_tblFillRateFechas[[#This Row],[cant_order]])*100</f>
        <v>100</v>
      </c>
      <c r="Q13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5" s="1">
        <f>+IF(Tabla__192.168.1.8_POSEIDONSQL_APPFVT_01_tblFillRateFechas[[#This Row],[cant_order]]&gt;0,1,0)</f>
        <v>1</v>
      </c>
      <c r="V1355" s="1">
        <f>+IF(Tabla__192.168.1.8_POSEIDONSQL_APPFVT_01_tblFillRateFechas[[#This Row],[Resultado]]=1,1,0)</f>
        <v>1</v>
      </c>
      <c r="W1355" s="1" t="str">
        <f>+Tabla__192.168.1.8_POSEIDONSQL_APPFVT_01_tblFillRateFechas[[#This Row],[con_ocnumero]]&amp;Tabla__192.168.1.8_POSEIDONSQL_APPFVT_01_tblFillRateFechas[[#This Row],[con_codigounico]]</f>
        <v>92008700390050000703702280101</v>
      </c>
      <c r="X13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6" spans="1:24" x14ac:dyDescent="0.25">
      <c r="A1356">
        <v>9</v>
      </c>
      <c r="B1356" t="s">
        <v>48</v>
      </c>
      <c r="C1356">
        <v>9201099</v>
      </c>
      <c r="D1356" t="s">
        <v>163</v>
      </c>
      <c r="E1356" t="s">
        <v>427</v>
      </c>
      <c r="F1356" t="s">
        <v>429</v>
      </c>
      <c r="G1356">
        <v>1</v>
      </c>
      <c r="H1356">
        <v>1</v>
      </c>
      <c r="I1356" t="s">
        <v>427</v>
      </c>
      <c r="J1356">
        <v>0</v>
      </c>
      <c r="K1356" t="s">
        <v>1683</v>
      </c>
      <c r="L1356" s="1">
        <f>+Tabla__192.168.1.8_POSEIDONSQL_APPFVT_01_tblFillRateFechas[[#This Row],[emb_cantidad]]-Tabla__192.168.1.8_POSEIDONSQL_APPFVT_01_tblFillRateFechas[[#This Row],[dev_cantidad]]</f>
        <v>1</v>
      </c>
      <c r="M1356" s="1">
        <f>+IF(Tabla__192.168.1.8_POSEIDONSQL_APPFVT_01_tblFillRateFechas[[#This Row],[Cant_Resultante]]=Tabla__192.168.1.8_POSEIDONSQL_APPFVT_01_tblFillRateFechas[[#This Row],[cant_order]],1,0)</f>
        <v>1</v>
      </c>
      <c r="N13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6" s="1">
        <f>+IF(AND(Tabla__192.168.1.8_POSEIDONSQL_APPFVT_01_tblFillRateFechas[[#This Row],[Valida Cant]]=1,Tabla__192.168.1.8_POSEIDONSQL_APPFVT_01_tblFillRateFechas[[#This Row],[Valida Fec]]=1),1,0)</f>
        <v>1</v>
      </c>
      <c r="P1356" s="1">
        <f>+(Tabla__192.168.1.8_POSEIDONSQL_APPFVT_01_tblFillRateFechas[[#This Row],[Cant_Resultante]]/Tabla__192.168.1.8_POSEIDONSQL_APPFVT_01_tblFillRateFechas[[#This Row],[cant_order]])*100</f>
        <v>100</v>
      </c>
      <c r="Q13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6" s="1">
        <f>+IF(Tabla__192.168.1.8_POSEIDONSQL_APPFVT_01_tblFillRateFechas[[#This Row],[cant_order]]&gt;0,1,0)</f>
        <v>1</v>
      </c>
      <c r="V1356" s="1">
        <f>+IF(Tabla__192.168.1.8_POSEIDONSQL_APPFVT_01_tblFillRateFechas[[#This Row],[Resultado]]=1,1,0)</f>
        <v>1</v>
      </c>
      <c r="W1356" s="1" t="str">
        <f>+Tabla__192.168.1.8_POSEIDONSQL_APPFVT_01_tblFillRateFechas[[#This Row],[con_ocnumero]]&amp;Tabla__192.168.1.8_POSEIDONSQL_APPFVT_01_tblFillRateFechas[[#This Row],[con_codigounico]]</f>
        <v>92010990390050000703829640101</v>
      </c>
      <c r="X13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7" spans="1:24" x14ac:dyDescent="0.25">
      <c r="A1357">
        <v>9</v>
      </c>
      <c r="B1357" t="s">
        <v>48</v>
      </c>
      <c r="C1357">
        <v>9201143</v>
      </c>
      <c r="D1357" t="s">
        <v>163</v>
      </c>
      <c r="E1357" t="s">
        <v>426</v>
      </c>
      <c r="F1357" t="s">
        <v>429</v>
      </c>
      <c r="G1357">
        <v>1</v>
      </c>
      <c r="H1357">
        <v>1</v>
      </c>
      <c r="I1357" t="s">
        <v>426</v>
      </c>
      <c r="J1357">
        <v>0</v>
      </c>
      <c r="K1357" t="s">
        <v>1687</v>
      </c>
      <c r="L1357" s="1">
        <f>+Tabla__192.168.1.8_POSEIDONSQL_APPFVT_01_tblFillRateFechas[[#This Row],[emb_cantidad]]-Tabla__192.168.1.8_POSEIDONSQL_APPFVT_01_tblFillRateFechas[[#This Row],[dev_cantidad]]</f>
        <v>1</v>
      </c>
      <c r="M1357" s="1">
        <f>+IF(Tabla__192.168.1.8_POSEIDONSQL_APPFVT_01_tblFillRateFechas[[#This Row],[Cant_Resultante]]=Tabla__192.168.1.8_POSEIDONSQL_APPFVT_01_tblFillRateFechas[[#This Row],[cant_order]],1,0)</f>
        <v>1</v>
      </c>
      <c r="N13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7" s="1">
        <f>+IF(AND(Tabla__192.168.1.8_POSEIDONSQL_APPFVT_01_tblFillRateFechas[[#This Row],[Valida Cant]]=1,Tabla__192.168.1.8_POSEIDONSQL_APPFVT_01_tblFillRateFechas[[#This Row],[Valida Fec]]=1),1,0)</f>
        <v>1</v>
      </c>
      <c r="P1357" s="1">
        <f>+(Tabla__192.168.1.8_POSEIDONSQL_APPFVT_01_tblFillRateFechas[[#This Row],[Cant_Resultante]]/Tabla__192.168.1.8_POSEIDONSQL_APPFVT_01_tblFillRateFechas[[#This Row],[cant_order]])*100</f>
        <v>100</v>
      </c>
      <c r="Q13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7" s="1">
        <f>+IF(Tabla__192.168.1.8_POSEIDONSQL_APPFVT_01_tblFillRateFechas[[#This Row],[cant_order]]&gt;0,1,0)</f>
        <v>1</v>
      </c>
      <c r="V1357" s="1">
        <f>+IF(Tabla__192.168.1.8_POSEIDONSQL_APPFVT_01_tblFillRateFechas[[#This Row],[Resultado]]=1,1,0)</f>
        <v>1</v>
      </c>
      <c r="W1357" s="1" t="str">
        <f>+Tabla__192.168.1.8_POSEIDONSQL_APPFVT_01_tblFillRateFechas[[#This Row],[con_ocnumero]]&amp;Tabla__192.168.1.8_POSEIDONSQL_APPFVT_01_tblFillRateFechas[[#This Row],[con_codigounico]]</f>
        <v>92011430390050000703881980101</v>
      </c>
      <c r="X13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8" spans="1:24" x14ac:dyDescent="0.25">
      <c r="A1358">
        <v>9</v>
      </c>
      <c r="B1358" t="s">
        <v>48</v>
      </c>
      <c r="C1358">
        <v>9201537</v>
      </c>
      <c r="D1358" t="s">
        <v>429</v>
      </c>
      <c r="E1358" t="s">
        <v>427</v>
      </c>
      <c r="F1358" t="s">
        <v>427</v>
      </c>
      <c r="G1358">
        <v>1</v>
      </c>
      <c r="H1358">
        <v>1</v>
      </c>
      <c r="I1358" t="s">
        <v>426</v>
      </c>
      <c r="J1358">
        <v>0</v>
      </c>
      <c r="K1358" t="s">
        <v>635</v>
      </c>
      <c r="L1358" s="1">
        <f>+Tabla__192.168.1.8_POSEIDONSQL_APPFVT_01_tblFillRateFechas[[#This Row],[emb_cantidad]]-Tabla__192.168.1.8_POSEIDONSQL_APPFVT_01_tblFillRateFechas[[#This Row],[dev_cantidad]]</f>
        <v>1</v>
      </c>
      <c r="M1358" s="1">
        <f>+IF(Tabla__192.168.1.8_POSEIDONSQL_APPFVT_01_tblFillRateFechas[[#This Row],[Cant_Resultante]]=Tabla__192.168.1.8_POSEIDONSQL_APPFVT_01_tblFillRateFechas[[#This Row],[cant_order]],1,0)</f>
        <v>1</v>
      </c>
      <c r="N13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58" s="1">
        <f>+IF(AND(Tabla__192.168.1.8_POSEIDONSQL_APPFVT_01_tblFillRateFechas[[#This Row],[Valida Cant]]=1,Tabla__192.168.1.8_POSEIDONSQL_APPFVT_01_tblFillRateFechas[[#This Row],[Valida Fec]]=1),1,0)</f>
        <v>0</v>
      </c>
      <c r="P1358" s="1">
        <f>+(Tabla__192.168.1.8_POSEIDONSQL_APPFVT_01_tblFillRateFechas[[#This Row],[Cant_Resultante]]/Tabla__192.168.1.8_POSEIDONSQL_APPFVT_01_tblFillRateFechas[[#This Row],[cant_order]])*100</f>
        <v>100</v>
      </c>
      <c r="Q13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8" s="1">
        <f>+IF(Tabla__192.168.1.8_POSEIDONSQL_APPFVT_01_tblFillRateFechas[[#This Row],[cant_order]]&gt;0,1,0)</f>
        <v>1</v>
      </c>
      <c r="V1358" s="1">
        <f>+IF(Tabla__192.168.1.8_POSEIDONSQL_APPFVT_01_tblFillRateFechas[[#This Row],[Resultado]]=1,1,0)</f>
        <v>0</v>
      </c>
      <c r="W1358" s="1" t="str">
        <f>+Tabla__192.168.1.8_POSEIDONSQL_APPFVT_01_tblFillRateFechas[[#This Row],[con_ocnumero]]&amp;Tabla__192.168.1.8_POSEIDONSQL_APPFVT_01_tblFillRateFechas[[#This Row],[con_codigounico]]</f>
        <v>92015370390050000704007130101</v>
      </c>
      <c r="X13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59" spans="1:24" x14ac:dyDescent="0.25">
      <c r="A1359">
        <v>9</v>
      </c>
      <c r="B1359" t="s">
        <v>48</v>
      </c>
      <c r="C1359">
        <v>9201252</v>
      </c>
      <c r="D1359" t="s">
        <v>429</v>
      </c>
      <c r="E1359" t="s">
        <v>422</v>
      </c>
      <c r="F1359" t="s">
        <v>429</v>
      </c>
      <c r="G1359">
        <v>1</v>
      </c>
      <c r="H1359">
        <v>1</v>
      </c>
      <c r="I1359" t="s">
        <v>426</v>
      </c>
      <c r="J1359">
        <v>0</v>
      </c>
      <c r="K1359" t="s">
        <v>1689</v>
      </c>
      <c r="L1359" s="1">
        <f>+Tabla__192.168.1.8_POSEIDONSQL_APPFVT_01_tblFillRateFechas[[#This Row],[emb_cantidad]]-Tabla__192.168.1.8_POSEIDONSQL_APPFVT_01_tblFillRateFechas[[#This Row],[dev_cantidad]]</f>
        <v>1</v>
      </c>
      <c r="M1359" s="1">
        <f>+IF(Tabla__192.168.1.8_POSEIDONSQL_APPFVT_01_tblFillRateFechas[[#This Row],[Cant_Resultante]]=Tabla__192.168.1.8_POSEIDONSQL_APPFVT_01_tblFillRateFechas[[#This Row],[cant_order]],1,0)</f>
        <v>1</v>
      </c>
      <c r="N13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59" s="1">
        <f>+IF(AND(Tabla__192.168.1.8_POSEIDONSQL_APPFVT_01_tblFillRateFechas[[#This Row],[Valida Cant]]=1,Tabla__192.168.1.8_POSEIDONSQL_APPFVT_01_tblFillRateFechas[[#This Row],[Valida Fec]]=1),1,0)</f>
        <v>1</v>
      </c>
      <c r="P1359" s="1">
        <f>+(Tabla__192.168.1.8_POSEIDONSQL_APPFVT_01_tblFillRateFechas[[#This Row],[Cant_Resultante]]/Tabla__192.168.1.8_POSEIDONSQL_APPFVT_01_tblFillRateFechas[[#This Row],[cant_order]])*100</f>
        <v>100</v>
      </c>
      <c r="Q13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59" s="1">
        <f>+IF(Tabla__192.168.1.8_POSEIDONSQL_APPFVT_01_tblFillRateFechas[[#This Row],[cant_order]]&gt;0,1,0)</f>
        <v>1</v>
      </c>
      <c r="V1359" s="1">
        <f>+IF(Tabla__192.168.1.8_POSEIDONSQL_APPFVT_01_tblFillRateFechas[[#This Row],[Resultado]]=1,1,0)</f>
        <v>1</v>
      </c>
      <c r="W1359" s="1" t="str">
        <f>+Tabla__192.168.1.8_POSEIDONSQL_APPFVT_01_tblFillRateFechas[[#This Row],[con_ocnumero]]&amp;Tabla__192.168.1.8_POSEIDONSQL_APPFVT_01_tblFillRateFechas[[#This Row],[con_codigounico]]</f>
        <v>92012520390050000704008370101</v>
      </c>
      <c r="X13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0" spans="1:24" x14ac:dyDescent="0.25">
      <c r="A1360">
        <v>9</v>
      </c>
      <c r="B1360" t="s">
        <v>48</v>
      </c>
      <c r="C1360">
        <v>9201251</v>
      </c>
      <c r="D1360" t="s">
        <v>429</v>
      </c>
      <c r="E1360" t="s">
        <v>427</v>
      </c>
      <c r="F1360" t="s">
        <v>429</v>
      </c>
      <c r="G1360">
        <v>1</v>
      </c>
      <c r="H1360">
        <v>1</v>
      </c>
      <c r="I1360" t="s">
        <v>427</v>
      </c>
      <c r="J1360">
        <v>0</v>
      </c>
      <c r="K1360" t="s">
        <v>1684</v>
      </c>
      <c r="L1360" s="1">
        <f>+Tabla__192.168.1.8_POSEIDONSQL_APPFVT_01_tblFillRateFechas[[#This Row],[emb_cantidad]]-Tabla__192.168.1.8_POSEIDONSQL_APPFVT_01_tblFillRateFechas[[#This Row],[dev_cantidad]]</f>
        <v>1</v>
      </c>
      <c r="M1360" s="1">
        <f>+IF(Tabla__192.168.1.8_POSEIDONSQL_APPFVT_01_tblFillRateFechas[[#This Row],[Cant_Resultante]]=Tabla__192.168.1.8_POSEIDONSQL_APPFVT_01_tblFillRateFechas[[#This Row],[cant_order]],1,0)</f>
        <v>1</v>
      </c>
      <c r="N13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0" s="1">
        <f>+IF(AND(Tabla__192.168.1.8_POSEIDONSQL_APPFVT_01_tblFillRateFechas[[#This Row],[Valida Cant]]=1,Tabla__192.168.1.8_POSEIDONSQL_APPFVT_01_tblFillRateFechas[[#This Row],[Valida Fec]]=1),1,0)</f>
        <v>1</v>
      </c>
      <c r="P1360" s="1">
        <f>+(Tabla__192.168.1.8_POSEIDONSQL_APPFVT_01_tblFillRateFechas[[#This Row],[Cant_Resultante]]/Tabla__192.168.1.8_POSEIDONSQL_APPFVT_01_tblFillRateFechas[[#This Row],[cant_order]])*100</f>
        <v>100</v>
      </c>
      <c r="Q13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0" s="1">
        <f>+IF(Tabla__192.168.1.8_POSEIDONSQL_APPFVT_01_tblFillRateFechas[[#This Row],[cant_order]]&gt;0,1,0)</f>
        <v>1</v>
      </c>
      <c r="V1360" s="1">
        <f>+IF(Tabla__192.168.1.8_POSEIDONSQL_APPFVT_01_tblFillRateFechas[[#This Row],[Resultado]]=1,1,0)</f>
        <v>1</v>
      </c>
      <c r="W1360" s="1" t="str">
        <f>+Tabla__192.168.1.8_POSEIDONSQL_APPFVT_01_tblFillRateFechas[[#This Row],[con_ocnumero]]&amp;Tabla__192.168.1.8_POSEIDONSQL_APPFVT_01_tblFillRateFechas[[#This Row],[con_codigounico]]</f>
        <v>92012510390050000704074140101</v>
      </c>
      <c r="X13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1" spans="1:24" x14ac:dyDescent="0.25">
      <c r="A1361">
        <v>9</v>
      </c>
      <c r="B1361" t="s">
        <v>48</v>
      </c>
      <c r="C1361">
        <v>9201251</v>
      </c>
      <c r="D1361" t="s">
        <v>429</v>
      </c>
      <c r="E1361" t="s">
        <v>422</v>
      </c>
      <c r="F1361" t="s">
        <v>429</v>
      </c>
      <c r="G1361">
        <v>1</v>
      </c>
      <c r="H1361">
        <v>1</v>
      </c>
      <c r="I1361" t="s">
        <v>426</v>
      </c>
      <c r="J1361">
        <v>0</v>
      </c>
      <c r="K1361" t="s">
        <v>1688</v>
      </c>
      <c r="L1361" s="1">
        <f>+Tabla__192.168.1.8_POSEIDONSQL_APPFVT_01_tblFillRateFechas[[#This Row],[emb_cantidad]]-Tabla__192.168.1.8_POSEIDONSQL_APPFVT_01_tblFillRateFechas[[#This Row],[dev_cantidad]]</f>
        <v>1</v>
      </c>
      <c r="M1361" s="1">
        <f>+IF(Tabla__192.168.1.8_POSEIDONSQL_APPFVT_01_tblFillRateFechas[[#This Row],[Cant_Resultante]]=Tabla__192.168.1.8_POSEIDONSQL_APPFVT_01_tblFillRateFechas[[#This Row],[cant_order]],1,0)</f>
        <v>1</v>
      </c>
      <c r="N13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1" s="1">
        <f>+IF(AND(Tabla__192.168.1.8_POSEIDONSQL_APPFVT_01_tblFillRateFechas[[#This Row],[Valida Cant]]=1,Tabla__192.168.1.8_POSEIDONSQL_APPFVT_01_tblFillRateFechas[[#This Row],[Valida Fec]]=1),1,0)</f>
        <v>1</v>
      </c>
      <c r="P1361" s="1">
        <f>+(Tabla__192.168.1.8_POSEIDONSQL_APPFVT_01_tblFillRateFechas[[#This Row],[Cant_Resultante]]/Tabla__192.168.1.8_POSEIDONSQL_APPFVT_01_tblFillRateFechas[[#This Row],[cant_order]])*100</f>
        <v>100</v>
      </c>
      <c r="Q13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1" s="1">
        <f>+IF(Tabla__192.168.1.8_POSEIDONSQL_APPFVT_01_tblFillRateFechas[[#This Row],[cant_order]]&gt;0,1,0)</f>
        <v>1</v>
      </c>
      <c r="V1361" s="1">
        <f>+IF(Tabla__192.168.1.8_POSEIDONSQL_APPFVT_01_tblFillRateFechas[[#This Row],[Resultado]]=1,1,0)</f>
        <v>1</v>
      </c>
      <c r="W1361" s="1" t="str">
        <f>+Tabla__192.168.1.8_POSEIDONSQL_APPFVT_01_tblFillRateFechas[[#This Row],[con_ocnumero]]&amp;Tabla__192.168.1.8_POSEIDONSQL_APPFVT_01_tblFillRateFechas[[#This Row],[con_codigounico]]</f>
        <v>92012510390050000704086460101</v>
      </c>
      <c r="X13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2" spans="1:24" x14ac:dyDescent="0.25">
      <c r="A1362">
        <v>9</v>
      </c>
      <c r="B1362" t="s">
        <v>48</v>
      </c>
      <c r="C1362">
        <v>9201326</v>
      </c>
      <c r="D1362" t="s">
        <v>429</v>
      </c>
      <c r="E1362" t="s">
        <v>426</v>
      </c>
      <c r="F1362" t="s">
        <v>427</v>
      </c>
      <c r="G1362">
        <v>2</v>
      </c>
      <c r="H1362">
        <v>2</v>
      </c>
      <c r="I1362" t="s">
        <v>426</v>
      </c>
      <c r="J1362">
        <v>0</v>
      </c>
      <c r="K1362" t="s">
        <v>639</v>
      </c>
      <c r="L1362" s="1">
        <f>+Tabla__192.168.1.8_POSEIDONSQL_APPFVT_01_tblFillRateFechas[[#This Row],[emb_cantidad]]-Tabla__192.168.1.8_POSEIDONSQL_APPFVT_01_tblFillRateFechas[[#This Row],[dev_cantidad]]</f>
        <v>2</v>
      </c>
      <c r="M1362" s="1">
        <f>+IF(Tabla__192.168.1.8_POSEIDONSQL_APPFVT_01_tblFillRateFechas[[#This Row],[Cant_Resultante]]=Tabla__192.168.1.8_POSEIDONSQL_APPFVT_01_tblFillRateFechas[[#This Row],[cant_order]],1,0)</f>
        <v>1</v>
      </c>
      <c r="N13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2" s="1">
        <f>+IF(AND(Tabla__192.168.1.8_POSEIDONSQL_APPFVT_01_tblFillRateFechas[[#This Row],[Valida Cant]]=1,Tabla__192.168.1.8_POSEIDONSQL_APPFVT_01_tblFillRateFechas[[#This Row],[Valida Fec]]=1),1,0)</f>
        <v>1</v>
      </c>
      <c r="P1362" s="1">
        <f>+(Tabla__192.168.1.8_POSEIDONSQL_APPFVT_01_tblFillRateFechas[[#This Row],[Cant_Resultante]]/Tabla__192.168.1.8_POSEIDONSQL_APPFVT_01_tblFillRateFechas[[#This Row],[cant_order]])*100</f>
        <v>100</v>
      </c>
      <c r="Q13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3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3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2" s="1">
        <f>+IF(Tabla__192.168.1.8_POSEIDONSQL_APPFVT_01_tblFillRateFechas[[#This Row],[cant_order]]&gt;0,1,0)</f>
        <v>1</v>
      </c>
      <c r="V1362" s="1">
        <f>+IF(Tabla__192.168.1.8_POSEIDONSQL_APPFVT_01_tblFillRateFechas[[#This Row],[Resultado]]=1,1,0)</f>
        <v>1</v>
      </c>
      <c r="W1362" s="1" t="str">
        <f>+Tabla__192.168.1.8_POSEIDONSQL_APPFVT_01_tblFillRateFechas[[#This Row],[con_ocnumero]]&amp;Tabla__192.168.1.8_POSEIDONSQL_APPFVT_01_tblFillRateFechas[[#This Row],[con_codigounico]]</f>
        <v>92013260390050000704120690101</v>
      </c>
      <c r="X13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363" spans="1:24" x14ac:dyDescent="0.25">
      <c r="A1363">
        <v>9</v>
      </c>
      <c r="B1363" t="s">
        <v>48</v>
      </c>
      <c r="C1363">
        <v>9201479</v>
      </c>
      <c r="D1363" t="s">
        <v>429</v>
      </c>
      <c r="E1363" t="s">
        <v>416</v>
      </c>
      <c r="F1363" t="s">
        <v>427</v>
      </c>
      <c r="G1363">
        <v>1</v>
      </c>
      <c r="H1363">
        <v>1</v>
      </c>
      <c r="I1363" t="s">
        <v>416</v>
      </c>
      <c r="J1363">
        <v>0</v>
      </c>
      <c r="K1363" t="s">
        <v>989</v>
      </c>
      <c r="L1363" s="1">
        <f>+Tabla__192.168.1.8_POSEIDONSQL_APPFVT_01_tblFillRateFechas[[#This Row],[emb_cantidad]]-Tabla__192.168.1.8_POSEIDONSQL_APPFVT_01_tblFillRateFechas[[#This Row],[dev_cantidad]]</f>
        <v>1</v>
      </c>
      <c r="M1363" s="1">
        <f>+IF(Tabla__192.168.1.8_POSEIDONSQL_APPFVT_01_tblFillRateFechas[[#This Row],[Cant_Resultante]]=Tabla__192.168.1.8_POSEIDONSQL_APPFVT_01_tblFillRateFechas[[#This Row],[cant_order]],1,0)</f>
        <v>1</v>
      </c>
      <c r="N13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3" s="1">
        <f>+IF(AND(Tabla__192.168.1.8_POSEIDONSQL_APPFVT_01_tblFillRateFechas[[#This Row],[Valida Cant]]=1,Tabla__192.168.1.8_POSEIDONSQL_APPFVT_01_tblFillRateFechas[[#This Row],[Valida Fec]]=1),1,0)</f>
        <v>1</v>
      </c>
      <c r="P1363" s="1">
        <f>+(Tabla__192.168.1.8_POSEIDONSQL_APPFVT_01_tblFillRateFechas[[#This Row],[Cant_Resultante]]/Tabla__192.168.1.8_POSEIDONSQL_APPFVT_01_tblFillRateFechas[[#This Row],[cant_order]])*100</f>
        <v>100</v>
      </c>
      <c r="Q13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3" s="1">
        <f>+IF(Tabla__192.168.1.8_POSEIDONSQL_APPFVT_01_tblFillRateFechas[[#This Row],[cant_order]]&gt;0,1,0)</f>
        <v>1</v>
      </c>
      <c r="V1363" s="1">
        <f>+IF(Tabla__192.168.1.8_POSEIDONSQL_APPFVT_01_tblFillRateFechas[[#This Row],[Resultado]]=1,1,0)</f>
        <v>1</v>
      </c>
      <c r="W1363" s="1" t="str">
        <f>+Tabla__192.168.1.8_POSEIDONSQL_APPFVT_01_tblFillRateFechas[[#This Row],[con_ocnumero]]&amp;Tabla__192.168.1.8_POSEIDONSQL_APPFVT_01_tblFillRateFechas[[#This Row],[con_codigounico]]</f>
        <v>92014790390050000704263160101</v>
      </c>
      <c r="X13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4" spans="1:24" x14ac:dyDescent="0.25">
      <c r="A1364">
        <v>9</v>
      </c>
      <c r="B1364" t="s">
        <v>48</v>
      </c>
      <c r="C1364">
        <v>9201537</v>
      </c>
      <c r="D1364" t="s">
        <v>429</v>
      </c>
      <c r="E1364" t="s">
        <v>426</v>
      </c>
      <c r="F1364" t="s">
        <v>427</v>
      </c>
      <c r="G1364">
        <v>1</v>
      </c>
      <c r="H1364">
        <v>1</v>
      </c>
      <c r="I1364" t="s">
        <v>426</v>
      </c>
      <c r="J1364">
        <v>0</v>
      </c>
      <c r="K1364" t="s">
        <v>640</v>
      </c>
      <c r="L1364" s="1">
        <f>+Tabla__192.168.1.8_POSEIDONSQL_APPFVT_01_tblFillRateFechas[[#This Row],[emb_cantidad]]-Tabla__192.168.1.8_POSEIDONSQL_APPFVT_01_tblFillRateFechas[[#This Row],[dev_cantidad]]</f>
        <v>1</v>
      </c>
      <c r="M1364" s="1">
        <f>+IF(Tabla__192.168.1.8_POSEIDONSQL_APPFVT_01_tblFillRateFechas[[#This Row],[Cant_Resultante]]=Tabla__192.168.1.8_POSEIDONSQL_APPFVT_01_tblFillRateFechas[[#This Row],[cant_order]],1,0)</f>
        <v>1</v>
      </c>
      <c r="N13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4" s="1">
        <f>+IF(AND(Tabla__192.168.1.8_POSEIDONSQL_APPFVT_01_tblFillRateFechas[[#This Row],[Valida Cant]]=1,Tabla__192.168.1.8_POSEIDONSQL_APPFVT_01_tblFillRateFechas[[#This Row],[Valida Fec]]=1),1,0)</f>
        <v>1</v>
      </c>
      <c r="P1364" s="1">
        <f>+(Tabla__192.168.1.8_POSEIDONSQL_APPFVT_01_tblFillRateFechas[[#This Row],[Cant_Resultante]]/Tabla__192.168.1.8_POSEIDONSQL_APPFVT_01_tblFillRateFechas[[#This Row],[cant_order]])*100</f>
        <v>100</v>
      </c>
      <c r="Q13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4" s="1">
        <f>+IF(Tabla__192.168.1.8_POSEIDONSQL_APPFVT_01_tblFillRateFechas[[#This Row],[cant_order]]&gt;0,1,0)</f>
        <v>1</v>
      </c>
      <c r="V1364" s="1">
        <f>+IF(Tabla__192.168.1.8_POSEIDONSQL_APPFVT_01_tblFillRateFechas[[#This Row],[Resultado]]=1,1,0)</f>
        <v>1</v>
      </c>
      <c r="W1364" s="1" t="str">
        <f>+Tabla__192.168.1.8_POSEIDONSQL_APPFVT_01_tblFillRateFechas[[#This Row],[con_ocnumero]]&amp;Tabla__192.168.1.8_POSEIDONSQL_APPFVT_01_tblFillRateFechas[[#This Row],[con_codigounico]]</f>
        <v>92015370390050000704321250101</v>
      </c>
      <c r="X13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5" spans="1:24" x14ac:dyDescent="0.25">
      <c r="A1365">
        <v>9</v>
      </c>
      <c r="B1365" t="s">
        <v>48</v>
      </c>
      <c r="C1365">
        <v>9201667</v>
      </c>
      <c r="D1365" t="s">
        <v>429</v>
      </c>
      <c r="E1365" t="s">
        <v>416</v>
      </c>
      <c r="F1365" t="s">
        <v>427</v>
      </c>
      <c r="G1365">
        <v>1</v>
      </c>
      <c r="H1365">
        <v>1</v>
      </c>
      <c r="I1365" t="s">
        <v>416</v>
      </c>
      <c r="J1365">
        <v>0</v>
      </c>
      <c r="K1365" t="s">
        <v>990</v>
      </c>
      <c r="L1365" s="1">
        <f>+Tabla__192.168.1.8_POSEIDONSQL_APPFVT_01_tblFillRateFechas[[#This Row],[emb_cantidad]]-Tabla__192.168.1.8_POSEIDONSQL_APPFVT_01_tblFillRateFechas[[#This Row],[dev_cantidad]]</f>
        <v>1</v>
      </c>
      <c r="M1365" s="1">
        <f>+IF(Tabla__192.168.1.8_POSEIDONSQL_APPFVT_01_tblFillRateFechas[[#This Row],[Cant_Resultante]]=Tabla__192.168.1.8_POSEIDONSQL_APPFVT_01_tblFillRateFechas[[#This Row],[cant_order]],1,0)</f>
        <v>1</v>
      </c>
      <c r="N13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5" s="1">
        <f>+IF(AND(Tabla__192.168.1.8_POSEIDONSQL_APPFVT_01_tblFillRateFechas[[#This Row],[Valida Cant]]=1,Tabla__192.168.1.8_POSEIDONSQL_APPFVT_01_tblFillRateFechas[[#This Row],[Valida Fec]]=1),1,0)</f>
        <v>1</v>
      </c>
      <c r="P1365" s="1">
        <f>+(Tabla__192.168.1.8_POSEIDONSQL_APPFVT_01_tblFillRateFechas[[#This Row],[Cant_Resultante]]/Tabla__192.168.1.8_POSEIDONSQL_APPFVT_01_tblFillRateFechas[[#This Row],[cant_order]])*100</f>
        <v>100</v>
      </c>
      <c r="Q13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5" s="1">
        <f>+IF(Tabla__192.168.1.8_POSEIDONSQL_APPFVT_01_tblFillRateFechas[[#This Row],[cant_order]]&gt;0,1,0)</f>
        <v>1</v>
      </c>
      <c r="V1365" s="1">
        <f>+IF(Tabla__192.168.1.8_POSEIDONSQL_APPFVT_01_tblFillRateFechas[[#This Row],[Resultado]]=1,1,0)</f>
        <v>1</v>
      </c>
      <c r="W1365" s="1" t="str">
        <f>+Tabla__192.168.1.8_POSEIDONSQL_APPFVT_01_tblFillRateFechas[[#This Row],[con_ocnumero]]&amp;Tabla__192.168.1.8_POSEIDONSQL_APPFVT_01_tblFillRateFechas[[#This Row],[con_codigounico]]</f>
        <v>92016670390050000704459290102</v>
      </c>
      <c r="X13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6" spans="1:24" x14ac:dyDescent="0.25">
      <c r="A1366">
        <v>9</v>
      </c>
      <c r="B1366" t="s">
        <v>48</v>
      </c>
      <c r="C1366">
        <v>9201719</v>
      </c>
      <c r="D1366" t="s">
        <v>429</v>
      </c>
      <c r="E1366" t="s">
        <v>422</v>
      </c>
      <c r="F1366" t="s">
        <v>427</v>
      </c>
      <c r="G1366">
        <v>1</v>
      </c>
      <c r="H1366">
        <v>1</v>
      </c>
      <c r="I1366" t="s">
        <v>426</v>
      </c>
      <c r="J1366">
        <v>0</v>
      </c>
      <c r="K1366" t="s">
        <v>641</v>
      </c>
      <c r="L1366" s="1">
        <f>+Tabla__192.168.1.8_POSEIDONSQL_APPFVT_01_tblFillRateFechas[[#This Row],[emb_cantidad]]-Tabla__192.168.1.8_POSEIDONSQL_APPFVT_01_tblFillRateFechas[[#This Row],[dev_cantidad]]</f>
        <v>1</v>
      </c>
      <c r="M1366" s="1">
        <f>+IF(Tabla__192.168.1.8_POSEIDONSQL_APPFVT_01_tblFillRateFechas[[#This Row],[Cant_Resultante]]=Tabla__192.168.1.8_POSEIDONSQL_APPFVT_01_tblFillRateFechas[[#This Row],[cant_order]],1,0)</f>
        <v>1</v>
      </c>
      <c r="N13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6" s="1">
        <f>+IF(AND(Tabla__192.168.1.8_POSEIDONSQL_APPFVT_01_tblFillRateFechas[[#This Row],[Valida Cant]]=1,Tabla__192.168.1.8_POSEIDONSQL_APPFVT_01_tblFillRateFechas[[#This Row],[Valida Fec]]=1),1,0)</f>
        <v>1</v>
      </c>
      <c r="P1366" s="1">
        <f>+(Tabla__192.168.1.8_POSEIDONSQL_APPFVT_01_tblFillRateFechas[[#This Row],[Cant_Resultante]]/Tabla__192.168.1.8_POSEIDONSQL_APPFVT_01_tblFillRateFechas[[#This Row],[cant_order]])*100</f>
        <v>100</v>
      </c>
      <c r="Q13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6" s="1">
        <f>+IF(Tabla__192.168.1.8_POSEIDONSQL_APPFVT_01_tblFillRateFechas[[#This Row],[cant_order]]&gt;0,1,0)</f>
        <v>1</v>
      </c>
      <c r="V1366" s="1">
        <f>+IF(Tabla__192.168.1.8_POSEIDONSQL_APPFVT_01_tblFillRateFechas[[#This Row],[Resultado]]=1,1,0)</f>
        <v>1</v>
      </c>
      <c r="W1366" s="1" t="str">
        <f>+Tabla__192.168.1.8_POSEIDONSQL_APPFVT_01_tblFillRateFechas[[#This Row],[con_ocnumero]]&amp;Tabla__192.168.1.8_POSEIDONSQL_APPFVT_01_tblFillRateFechas[[#This Row],[con_codigounico]]</f>
        <v>92017190390050000704469800101</v>
      </c>
      <c r="X13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7" spans="1:24" x14ac:dyDescent="0.25">
      <c r="A1367">
        <v>9</v>
      </c>
      <c r="B1367" t="s">
        <v>48</v>
      </c>
      <c r="C1367">
        <v>9201767</v>
      </c>
      <c r="D1367" t="s">
        <v>429</v>
      </c>
      <c r="E1367" t="s">
        <v>416</v>
      </c>
      <c r="F1367" t="s">
        <v>427</v>
      </c>
      <c r="G1367">
        <v>1</v>
      </c>
      <c r="H1367">
        <v>1</v>
      </c>
      <c r="I1367" t="s">
        <v>416</v>
      </c>
      <c r="J1367">
        <v>0</v>
      </c>
      <c r="K1367" t="s">
        <v>991</v>
      </c>
      <c r="L1367" s="1">
        <f>+Tabla__192.168.1.8_POSEIDONSQL_APPFVT_01_tblFillRateFechas[[#This Row],[emb_cantidad]]-Tabla__192.168.1.8_POSEIDONSQL_APPFVT_01_tblFillRateFechas[[#This Row],[dev_cantidad]]</f>
        <v>1</v>
      </c>
      <c r="M1367" s="1">
        <f>+IF(Tabla__192.168.1.8_POSEIDONSQL_APPFVT_01_tblFillRateFechas[[#This Row],[Cant_Resultante]]=Tabla__192.168.1.8_POSEIDONSQL_APPFVT_01_tblFillRateFechas[[#This Row],[cant_order]],1,0)</f>
        <v>1</v>
      </c>
      <c r="N13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7" s="1">
        <f>+IF(AND(Tabla__192.168.1.8_POSEIDONSQL_APPFVT_01_tblFillRateFechas[[#This Row],[Valida Cant]]=1,Tabla__192.168.1.8_POSEIDONSQL_APPFVT_01_tblFillRateFechas[[#This Row],[Valida Fec]]=1),1,0)</f>
        <v>1</v>
      </c>
      <c r="P1367" s="1">
        <f>+(Tabla__192.168.1.8_POSEIDONSQL_APPFVT_01_tblFillRateFechas[[#This Row],[Cant_Resultante]]/Tabla__192.168.1.8_POSEIDONSQL_APPFVT_01_tblFillRateFechas[[#This Row],[cant_order]])*100</f>
        <v>100</v>
      </c>
      <c r="Q13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7" s="1">
        <f>+IF(Tabla__192.168.1.8_POSEIDONSQL_APPFVT_01_tblFillRateFechas[[#This Row],[cant_order]]&gt;0,1,0)</f>
        <v>1</v>
      </c>
      <c r="V1367" s="1">
        <f>+IF(Tabla__192.168.1.8_POSEIDONSQL_APPFVT_01_tblFillRateFechas[[#This Row],[Resultado]]=1,1,0)</f>
        <v>1</v>
      </c>
      <c r="W1367" s="1" t="str">
        <f>+Tabla__192.168.1.8_POSEIDONSQL_APPFVT_01_tblFillRateFechas[[#This Row],[con_ocnumero]]&amp;Tabla__192.168.1.8_POSEIDONSQL_APPFVT_01_tblFillRateFechas[[#This Row],[con_codigounico]]</f>
        <v>92017670390050000704512440101</v>
      </c>
      <c r="X13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8" spans="1:24" x14ac:dyDescent="0.25">
      <c r="A1368">
        <v>9</v>
      </c>
      <c r="B1368" t="s">
        <v>48</v>
      </c>
      <c r="C1368">
        <v>9201905</v>
      </c>
      <c r="D1368" t="s">
        <v>429</v>
      </c>
      <c r="E1368" t="s">
        <v>426</v>
      </c>
      <c r="F1368" t="s">
        <v>427</v>
      </c>
      <c r="G1368">
        <v>1</v>
      </c>
      <c r="H1368">
        <v>1</v>
      </c>
      <c r="I1368" t="s">
        <v>426</v>
      </c>
      <c r="J1368">
        <v>0</v>
      </c>
      <c r="K1368" t="s">
        <v>636</v>
      </c>
      <c r="L1368" s="1">
        <f>+Tabla__192.168.1.8_POSEIDONSQL_APPFVT_01_tblFillRateFechas[[#This Row],[emb_cantidad]]-Tabla__192.168.1.8_POSEIDONSQL_APPFVT_01_tblFillRateFechas[[#This Row],[dev_cantidad]]</f>
        <v>1</v>
      </c>
      <c r="M1368" s="1">
        <f>+IF(Tabla__192.168.1.8_POSEIDONSQL_APPFVT_01_tblFillRateFechas[[#This Row],[Cant_Resultante]]=Tabla__192.168.1.8_POSEIDONSQL_APPFVT_01_tblFillRateFechas[[#This Row],[cant_order]],1,0)</f>
        <v>1</v>
      </c>
      <c r="N13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68" s="1">
        <f>+IF(AND(Tabla__192.168.1.8_POSEIDONSQL_APPFVT_01_tblFillRateFechas[[#This Row],[Valida Cant]]=1,Tabla__192.168.1.8_POSEIDONSQL_APPFVT_01_tblFillRateFechas[[#This Row],[Valida Fec]]=1),1,0)</f>
        <v>1</v>
      </c>
      <c r="P1368" s="1">
        <f>+(Tabla__192.168.1.8_POSEIDONSQL_APPFVT_01_tblFillRateFechas[[#This Row],[Cant_Resultante]]/Tabla__192.168.1.8_POSEIDONSQL_APPFVT_01_tblFillRateFechas[[#This Row],[cant_order]])*100</f>
        <v>100</v>
      </c>
      <c r="Q13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8" s="1">
        <f>+IF(Tabla__192.168.1.8_POSEIDONSQL_APPFVT_01_tblFillRateFechas[[#This Row],[cant_order]]&gt;0,1,0)</f>
        <v>1</v>
      </c>
      <c r="V1368" s="1">
        <f>+IF(Tabla__192.168.1.8_POSEIDONSQL_APPFVT_01_tblFillRateFechas[[#This Row],[Resultado]]=1,1,0)</f>
        <v>1</v>
      </c>
      <c r="W1368" s="1" t="str">
        <f>+Tabla__192.168.1.8_POSEIDONSQL_APPFVT_01_tblFillRateFechas[[#This Row],[con_ocnumero]]&amp;Tabla__192.168.1.8_POSEIDONSQL_APPFVT_01_tblFillRateFechas[[#This Row],[con_codigounico]]</f>
        <v>92019050390050000704654800101</v>
      </c>
      <c r="X13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69" spans="1:24" x14ac:dyDescent="0.25">
      <c r="A1369">
        <v>9</v>
      </c>
      <c r="B1369" t="s">
        <v>48</v>
      </c>
      <c r="C1369">
        <v>9202002</v>
      </c>
      <c r="D1369" t="s">
        <v>427</v>
      </c>
      <c r="E1369" t="s">
        <v>427</v>
      </c>
      <c r="F1369" t="s">
        <v>425</v>
      </c>
      <c r="G1369">
        <v>1</v>
      </c>
      <c r="H1369">
        <v>1</v>
      </c>
      <c r="I1369" t="s">
        <v>426</v>
      </c>
      <c r="J1369">
        <v>0</v>
      </c>
      <c r="K1369" t="s">
        <v>886</v>
      </c>
      <c r="L1369" s="1">
        <f>+Tabla__192.168.1.8_POSEIDONSQL_APPFVT_01_tblFillRateFechas[[#This Row],[emb_cantidad]]-Tabla__192.168.1.8_POSEIDONSQL_APPFVT_01_tblFillRateFechas[[#This Row],[dev_cantidad]]</f>
        <v>1</v>
      </c>
      <c r="M1369" s="1">
        <f>+IF(Tabla__192.168.1.8_POSEIDONSQL_APPFVT_01_tblFillRateFechas[[#This Row],[Cant_Resultante]]=Tabla__192.168.1.8_POSEIDONSQL_APPFVT_01_tblFillRateFechas[[#This Row],[cant_order]],1,0)</f>
        <v>1</v>
      </c>
      <c r="N13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69" s="1">
        <f>+IF(AND(Tabla__192.168.1.8_POSEIDONSQL_APPFVT_01_tblFillRateFechas[[#This Row],[Valida Cant]]=1,Tabla__192.168.1.8_POSEIDONSQL_APPFVT_01_tblFillRateFechas[[#This Row],[Valida Fec]]=1),1,0)</f>
        <v>0</v>
      </c>
      <c r="P1369" s="1">
        <f>+(Tabla__192.168.1.8_POSEIDONSQL_APPFVT_01_tblFillRateFechas[[#This Row],[Cant_Resultante]]/Tabla__192.168.1.8_POSEIDONSQL_APPFVT_01_tblFillRateFechas[[#This Row],[cant_order]])*100</f>
        <v>100</v>
      </c>
      <c r="Q13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69" s="1">
        <f>+IF(Tabla__192.168.1.8_POSEIDONSQL_APPFVT_01_tblFillRateFechas[[#This Row],[cant_order]]&gt;0,1,0)</f>
        <v>1</v>
      </c>
      <c r="V1369" s="1">
        <f>+IF(Tabla__192.168.1.8_POSEIDONSQL_APPFVT_01_tblFillRateFechas[[#This Row],[Resultado]]=1,1,0)</f>
        <v>0</v>
      </c>
      <c r="W1369" s="1" t="str">
        <f>+Tabla__192.168.1.8_POSEIDONSQL_APPFVT_01_tblFillRateFechas[[#This Row],[con_ocnumero]]&amp;Tabla__192.168.1.8_POSEIDONSQL_APPFVT_01_tblFillRateFechas[[#This Row],[con_codigounico]]</f>
        <v>92020020390050000704690510101</v>
      </c>
      <c r="X13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0" spans="1:24" x14ac:dyDescent="0.25">
      <c r="A1370">
        <v>9</v>
      </c>
      <c r="B1370" t="s">
        <v>48</v>
      </c>
      <c r="C1370">
        <v>9201905</v>
      </c>
      <c r="D1370" t="s">
        <v>427</v>
      </c>
      <c r="E1370" t="s">
        <v>427</v>
      </c>
      <c r="F1370" t="s">
        <v>427</v>
      </c>
      <c r="G1370">
        <v>1</v>
      </c>
      <c r="H1370">
        <v>1</v>
      </c>
      <c r="I1370" t="s">
        <v>426</v>
      </c>
      <c r="J1370">
        <v>0</v>
      </c>
      <c r="K1370" t="s">
        <v>632</v>
      </c>
      <c r="L1370" s="1">
        <f>+Tabla__192.168.1.8_POSEIDONSQL_APPFVT_01_tblFillRateFechas[[#This Row],[emb_cantidad]]-Tabla__192.168.1.8_POSEIDONSQL_APPFVT_01_tblFillRateFechas[[#This Row],[dev_cantidad]]</f>
        <v>1</v>
      </c>
      <c r="M1370" s="1">
        <f>+IF(Tabla__192.168.1.8_POSEIDONSQL_APPFVT_01_tblFillRateFechas[[#This Row],[Cant_Resultante]]=Tabla__192.168.1.8_POSEIDONSQL_APPFVT_01_tblFillRateFechas[[#This Row],[cant_order]],1,0)</f>
        <v>1</v>
      </c>
      <c r="N13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70" s="1">
        <f>+IF(AND(Tabla__192.168.1.8_POSEIDONSQL_APPFVT_01_tblFillRateFechas[[#This Row],[Valida Cant]]=1,Tabla__192.168.1.8_POSEIDONSQL_APPFVT_01_tblFillRateFechas[[#This Row],[Valida Fec]]=1),1,0)</f>
        <v>0</v>
      </c>
      <c r="P1370" s="1">
        <f>+(Tabla__192.168.1.8_POSEIDONSQL_APPFVT_01_tblFillRateFechas[[#This Row],[Cant_Resultante]]/Tabla__192.168.1.8_POSEIDONSQL_APPFVT_01_tblFillRateFechas[[#This Row],[cant_order]])*100</f>
        <v>100</v>
      </c>
      <c r="Q13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0" s="1">
        <f>+IF(Tabla__192.168.1.8_POSEIDONSQL_APPFVT_01_tblFillRateFechas[[#This Row],[cant_order]]&gt;0,1,0)</f>
        <v>1</v>
      </c>
      <c r="V1370" s="1">
        <f>+IF(Tabla__192.168.1.8_POSEIDONSQL_APPFVT_01_tblFillRateFechas[[#This Row],[Resultado]]=1,1,0)</f>
        <v>0</v>
      </c>
      <c r="W1370" s="1" t="str">
        <f>+Tabla__192.168.1.8_POSEIDONSQL_APPFVT_01_tblFillRateFechas[[#This Row],[con_ocnumero]]&amp;Tabla__192.168.1.8_POSEIDONSQL_APPFVT_01_tblFillRateFechas[[#This Row],[con_codigounico]]</f>
        <v>92019050390050000704725230101</v>
      </c>
      <c r="X13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1" spans="1:24" x14ac:dyDescent="0.25">
      <c r="A1371">
        <v>9</v>
      </c>
      <c r="B1371" t="s">
        <v>48</v>
      </c>
      <c r="C1371">
        <v>9202247</v>
      </c>
      <c r="D1371" t="s">
        <v>427</v>
      </c>
      <c r="E1371" t="s">
        <v>416</v>
      </c>
      <c r="F1371" t="s">
        <v>425</v>
      </c>
      <c r="G1371">
        <v>1</v>
      </c>
      <c r="H1371">
        <v>1</v>
      </c>
      <c r="I1371" t="s">
        <v>416</v>
      </c>
      <c r="J1371">
        <v>0</v>
      </c>
      <c r="K1371" t="s">
        <v>988</v>
      </c>
      <c r="L1371" s="1">
        <f>+Tabla__192.168.1.8_POSEIDONSQL_APPFVT_01_tblFillRateFechas[[#This Row],[emb_cantidad]]-Tabla__192.168.1.8_POSEIDONSQL_APPFVT_01_tblFillRateFechas[[#This Row],[dev_cantidad]]</f>
        <v>1</v>
      </c>
      <c r="M1371" s="1">
        <f>+IF(Tabla__192.168.1.8_POSEIDONSQL_APPFVT_01_tblFillRateFechas[[#This Row],[Cant_Resultante]]=Tabla__192.168.1.8_POSEIDONSQL_APPFVT_01_tblFillRateFechas[[#This Row],[cant_order]],1,0)</f>
        <v>1</v>
      </c>
      <c r="N137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1" s="1">
        <f>+IF(AND(Tabla__192.168.1.8_POSEIDONSQL_APPFVT_01_tblFillRateFechas[[#This Row],[Valida Cant]]=1,Tabla__192.168.1.8_POSEIDONSQL_APPFVT_01_tblFillRateFechas[[#This Row],[Valida Fec]]=1),1,0)</f>
        <v>1</v>
      </c>
      <c r="P1371" s="1">
        <f>+(Tabla__192.168.1.8_POSEIDONSQL_APPFVT_01_tblFillRateFechas[[#This Row],[Cant_Resultante]]/Tabla__192.168.1.8_POSEIDONSQL_APPFVT_01_tblFillRateFechas[[#This Row],[cant_order]])*100</f>
        <v>100</v>
      </c>
      <c r="Q137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1" s="1">
        <f>+IF(Tabla__192.168.1.8_POSEIDONSQL_APPFVT_01_tblFillRateFechas[[#This Row],[cant_order]]&gt;0,1,0)</f>
        <v>1</v>
      </c>
      <c r="V1371" s="1">
        <f>+IF(Tabla__192.168.1.8_POSEIDONSQL_APPFVT_01_tblFillRateFechas[[#This Row],[Resultado]]=1,1,0)</f>
        <v>1</v>
      </c>
      <c r="W1371" s="1" t="str">
        <f>+Tabla__192.168.1.8_POSEIDONSQL_APPFVT_01_tblFillRateFechas[[#This Row],[con_ocnumero]]&amp;Tabla__192.168.1.8_POSEIDONSQL_APPFVT_01_tblFillRateFechas[[#This Row],[con_codigounico]]</f>
        <v>92022470390050000705091830102</v>
      </c>
      <c r="X137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2" spans="1:24" x14ac:dyDescent="0.25">
      <c r="A1372">
        <v>9</v>
      </c>
      <c r="B1372" t="s">
        <v>48</v>
      </c>
      <c r="C1372">
        <v>9202477</v>
      </c>
      <c r="D1372" t="s">
        <v>427</v>
      </c>
      <c r="E1372" t="s">
        <v>426</v>
      </c>
      <c r="F1372" t="s">
        <v>425</v>
      </c>
      <c r="G1372">
        <v>1</v>
      </c>
      <c r="H1372">
        <v>1</v>
      </c>
      <c r="I1372" t="s">
        <v>426</v>
      </c>
      <c r="J1372">
        <v>0</v>
      </c>
      <c r="K1372" t="s">
        <v>887</v>
      </c>
      <c r="L1372" s="1">
        <f>+Tabla__192.168.1.8_POSEIDONSQL_APPFVT_01_tblFillRateFechas[[#This Row],[emb_cantidad]]-Tabla__192.168.1.8_POSEIDONSQL_APPFVT_01_tblFillRateFechas[[#This Row],[dev_cantidad]]</f>
        <v>1</v>
      </c>
      <c r="M1372" s="1">
        <f>+IF(Tabla__192.168.1.8_POSEIDONSQL_APPFVT_01_tblFillRateFechas[[#This Row],[Cant_Resultante]]=Tabla__192.168.1.8_POSEIDONSQL_APPFVT_01_tblFillRateFechas[[#This Row],[cant_order]],1,0)</f>
        <v>1</v>
      </c>
      <c r="N137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2" s="1">
        <f>+IF(AND(Tabla__192.168.1.8_POSEIDONSQL_APPFVT_01_tblFillRateFechas[[#This Row],[Valida Cant]]=1,Tabla__192.168.1.8_POSEIDONSQL_APPFVT_01_tblFillRateFechas[[#This Row],[Valida Fec]]=1),1,0)</f>
        <v>1</v>
      </c>
      <c r="P1372" s="1">
        <f>+(Tabla__192.168.1.8_POSEIDONSQL_APPFVT_01_tblFillRateFechas[[#This Row],[Cant_Resultante]]/Tabla__192.168.1.8_POSEIDONSQL_APPFVT_01_tblFillRateFechas[[#This Row],[cant_order]])*100</f>
        <v>100</v>
      </c>
      <c r="Q137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2" s="1">
        <f>+IF(Tabla__192.168.1.8_POSEIDONSQL_APPFVT_01_tblFillRateFechas[[#This Row],[cant_order]]&gt;0,1,0)</f>
        <v>1</v>
      </c>
      <c r="V1372" s="1">
        <f>+IF(Tabla__192.168.1.8_POSEIDONSQL_APPFVT_01_tblFillRateFechas[[#This Row],[Resultado]]=1,1,0)</f>
        <v>1</v>
      </c>
      <c r="W1372" s="1" t="str">
        <f>+Tabla__192.168.1.8_POSEIDONSQL_APPFVT_01_tblFillRateFechas[[#This Row],[con_ocnumero]]&amp;Tabla__192.168.1.8_POSEIDONSQL_APPFVT_01_tblFillRateFechas[[#This Row],[con_codigounico]]</f>
        <v>92024770390050000705249390101</v>
      </c>
      <c r="X137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3" spans="1:24" x14ac:dyDescent="0.25">
      <c r="A1373">
        <v>9</v>
      </c>
      <c r="B1373" t="s">
        <v>48</v>
      </c>
      <c r="C1373">
        <v>9202694</v>
      </c>
      <c r="D1373" t="s">
        <v>425</v>
      </c>
      <c r="E1373" t="s">
        <v>416</v>
      </c>
      <c r="F1373" t="s">
        <v>426</v>
      </c>
      <c r="G1373">
        <v>1</v>
      </c>
      <c r="H1373">
        <v>1</v>
      </c>
      <c r="I1373" t="s">
        <v>416</v>
      </c>
      <c r="J1373">
        <v>0</v>
      </c>
      <c r="K1373" t="s">
        <v>1345</v>
      </c>
      <c r="L1373" s="1">
        <f>+Tabla__192.168.1.8_POSEIDONSQL_APPFVT_01_tblFillRateFechas[[#This Row],[emb_cantidad]]-Tabla__192.168.1.8_POSEIDONSQL_APPFVT_01_tblFillRateFechas[[#This Row],[dev_cantidad]]</f>
        <v>1</v>
      </c>
      <c r="M1373" s="1">
        <f>+IF(Tabla__192.168.1.8_POSEIDONSQL_APPFVT_01_tblFillRateFechas[[#This Row],[Cant_Resultante]]=Tabla__192.168.1.8_POSEIDONSQL_APPFVT_01_tblFillRateFechas[[#This Row],[cant_order]],1,0)</f>
        <v>1</v>
      </c>
      <c r="N137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3" s="1">
        <f>+IF(AND(Tabla__192.168.1.8_POSEIDONSQL_APPFVT_01_tblFillRateFechas[[#This Row],[Valida Cant]]=1,Tabla__192.168.1.8_POSEIDONSQL_APPFVT_01_tblFillRateFechas[[#This Row],[Valida Fec]]=1),1,0)</f>
        <v>1</v>
      </c>
      <c r="P1373" s="1">
        <f>+(Tabla__192.168.1.8_POSEIDONSQL_APPFVT_01_tblFillRateFechas[[#This Row],[Cant_Resultante]]/Tabla__192.168.1.8_POSEIDONSQL_APPFVT_01_tblFillRateFechas[[#This Row],[cant_order]])*100</f>
        <v>100</v>
      </c>
      <c r="Q137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3" s="1">
        <f>+IF(Tabla__192.168.1.8_POSEIDONSQL_APPFVT_01_tblFillRateFechas[[#This Row],[cant_order]]&gt;0,1,0)</f>
        <v>1</v>
      </c>
      <c r="V1373" s="1">
        <f>+IF(Tabla__192.168.1.8_POSEIDONSQL_APPFVT_01_tblFillRateFechas[[#This Row],[Resultado]]=1,1,0)</f>
        <v>1</v>
      </c>
      <c r="W1373" s="1" t="str">
        <f>+Tabla__192.168.1.8_POSEIDONSQL_APPFVT_01_tblFillRateFechas[[#This Row],[con_ocnumero]]&amp;Tabla__192.168.1.8_POSEIDONSQL_APPFVT_01_tblFillRateFechas[[#This Row],[con_codigounico]]</f>
        <v>92026940390050000705366940102</v>
      </c>
      <c r="X137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4" spans="1:24" x14ac:dyDescent="0.25">
      <c r="A1374">
        <v>9</v>
      </c>
      <c r="B1374" t="s">
        <v>48</v>
      </c>
      <c r="C1374">
        <v>9202661</v>
      </c>
      <c r="D1374" t="s">
        <v>425</v>
      </c>
      <c r="E1374" t="s">
        <v>422</v>
      </c>
      <c r="F1374" t="s">
        <v>426</v>
      </c>
      <c r="G1374">
        <v>1</v>
      </c>
      <c r="H1374">
        <v>1</v>
      </c>
      <c r="I1374" t="s">
        <v>422</v>
      </c>
      <c r="J1374">
        <v>0</v>
      </c>
      <c r="K1374" t="s">
        <v>1344</v>
      </c>
      <c r="L1374" s="1">
        <f>+Tabla__192.168.1.8_POSEIDONSQL_APPFVT_01_tblFillRateFechas[[#This Row],[emb_cantidad]]-Tabla__192.168.1.8_POSEIDONSQL_APPFVT_01_tblFillRateFechas[[#This Row],[dev_cantidad]]</f>
        <v>1</v>
      </c>
      <c r="M1374" s="1">
        <f>+IF(Tabla__192.168.1.8_POSEIDONSQL_APPFVT_01_tblFillRateFechas[[#This Row],[Cant_Resultante]]=Tabla__192.168.1.8_POSEIDONSQL_APPFVT_01_tblFillRateFechas[[#This Row],[cant_order]],1,0)</f>
        <v>1</v>
      </c>
      <c r="N137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4" s="1">
        <f>+IF(AND(Tabla__192.168.1.8_POSEIDONSQL_APPFVT_01_tblFillRateFechas[[#This Row],[Valida Cant]]=1,Tabla__192.168.1.8_POSEIDONSQL_APPFVT_01_tblFillRateFechas[[#This Row],[Valida Fec]]=1),1,0)</f>
        <v>1</v>
      </c>
      <c r="P1374" s="1">
        <f>+(Tabla__192.168.1.8_POSEIDONSQL_APPFVT_01_tblFillRateFechas[[#This Row],[Cant_Resultante]]/Tabla__192.168.1.8_POSEIDONSQL_APPFVT_01_tblFillRateFechas[[#This Row],[cant_order]])*100</f>
        <v>100</v>
      </c>
      <c r="Q137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4" s="1">
        <f>+IF(Tabla__192.168.1.8_POSEIDONSQL_APPFVT_01_tblFillRateFechas[[#This Row],[cant_order]]&gt;0,1,0)</f>
        <v>1</v>
      </c>
      <c r="V1374" s="1">
        <f>+IF(Tabla__192.168.1.8_POSEIDONSQL_APPFVT_01_tblFillRateFechas[[#This Row],[Resultado]]=1,1,0)</f>
        <v>1</v>
      </c>
      <c r="W1374" s="1" t="str">
        <f>+Tabla__192.168.1.8_POSEIDONSQL_APPFVT_01_tblFillRateFechas[[#This Row],[con_ocnumero]]&amp;Tabla__192.168.1.8_POSEIDONSQL_APPFVT_01_tblFillRateFechas[[#This Row],[con_codigounico]]</f>
        <v>92026610390050000705391160101</v>
      </c>
      <c r="X137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5" spans="1:24" x14ac:dyDescent="0.25">
      <c r="A1375">
        <v>9</v>
      </c>
      <c r="B1375" t="s">
        <v>48</v>
      </c>
      <c r="C1375">
        <v>9202565</v>
      </c>
      <c r="D1375" t="s">
        <v>425</v>
      </c>
      <c r="E1375" t="s">
        <v>426</v>
      </c>
      <c r="F1375" t="s">
        <v>425</v>
      </c>
      <c r="G1375">
        <v>1</v>
      </c>
      <c r="H1375">
        <v>1</v>
      </c>
      <c r="I1375" t="s">
        <v>426</v>
      </c>
      <c r="J1375">
        <v>0</v>
      </c>
      <c r="K1375" t="s">
        <v>888</v>
      </c>
      <c r="L1375" s="1">
        <f>+Tabla__192.168.1.8_POSEIDONSQL_APPFVT_01_tblFillRateFechas[[#This Row],[emb_cantidad]]-Tabla__192.168.1.8_POSEIDONSQL_APPFVT_01_tblFillRateFechas[[#This Row],[dev_cantidad]]</f>
        <v>1</v>
      </c>
      <c r="M1375" s="1">
        <f>+IF(Tabla__192.168.1.8_POSEIDONSQL_APPFVT_01_tblFillRateFechas[[#This Row],[Cant_Resultante]]=Tabla__192.168.1.8_POSEIDONSQL_APPFVT_01_tblFillRateFechas[[#This Row],[cant_order]],1,0)</f>
        <v>1</v>
      </c>
      <c r="N137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5" s="1">
        <f>+IF(AND(Tabla__192.168.1.8_POSEIDONSQL_APPFVT_01_tblFillRateFechas[[#This Row],[Valida Cant]]=1,Tabla__192.168.1.8_POSEIDONSQL_APPFVT_01_tblFillRateFechas[[#This Row],[Valida Fec]]=1),1,0)</f>
        <v>1</v>
      </c>
      <c r="P1375" s="1">
        <f>+(Tabla__192.168.1.8_POSEIDONSQL_APPFVT_01_tblFillRateFechas[[#This Row],[Cant_Resultante]]/Tabla__192.168.1.8_POSEIDONSQL_APPFVT_01_tblFillRateFechas[[#This Row],[cant_order]])*100</f>
        <v>100</v>
      </c>
      <c r="Q137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5" s="1">
        <f>+IF(Tabla__192.168.1.8_POSEIDONSQL_APPFVT_01_tblFillRateFechas[[#This Row],[cant_order]]&gt;0,1,0)</f>
        <v>1</v>
      </c>
      <c r="V1375" s="1">
        <f>+IF(Tabla__192.168.1.8_POSEIDONSQL_APPFVT_01_tblFillRateFechas[[#This Row],[Resultado]]=1,1,0)</f>
        <v>1</v>
      </c>
      <c r="W1375" s="1" t="str">
        <f>+Tabla__192.168.1.8_POSEIDONSQL_APPFVT_01_tblFillRateFechas[[#This Row],[con_ocnumero]]&amp;Tabla__192.168.1.8_POSEIDONSQL_APPFVT_01_tblFillRateFechas[[#This Row],[con_codigounico]]</f>
        <v>92025650390050000705438010101</v>
      </c>
      <c r="X137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6" spans="1:24" x14ac:dyDescent="0.25">
      <c r="A1376">
        <v>9</v>
      </c>
      <c r="B1376" t="s">
        <v>48</v>
      </c>
      <c r="C1376">
        <v>9202693</v>
      </c>
      <c r="D1376" t="s">
        <v>425</v>
      </c>
      <c r="E1376" t="s">
        <v>426</v>
      </c>
      <c r="F1376" t="s">
        <v>426</v>
      </c>
      <c r="G1376">
        <v>1</v>
      </c>
      <c r="H1376">
        <v>1</v>
      </c>
      <c r="I1376" t="s">
        <v>422</v>
      </c>
      <c r="J1376">
        <v>0</v>
      </c>
      <c r="K1376" t="s">
        <v>1349</v>
      </c>
      <c r="L1376" s="1">
        <f>+Tabla__192.168.1.8_POSEIDONSQL_APPFVT_01_tblFillRateFechas[[#This Row],[emb_cantidad]]-Tabla__192.168.1.8_POSEIDONSQL_APPFVT_01_tblFillRateFechas[[#This Row],[dev_cantidad]]</f>
        <v>1</v>
      </c>
      <c r="M1376" s="1">
        <f>+IF(Tabla__192.168.1.8_POSEIDONSQL_APPFVT_01_tblFillRateFechas[[#This Row],[Cant_Resultante]]=Tabla__192.168.1.8_POSEIDONSQL_APPFVT_01_tblFillRateFechas[[#This Row],[cant_order]],1,0)</f>
        <v>1</v>
      </c>
      <c r="N137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76" s="1">
        <f>+IF(AND(Tabla__192.168.1.8_POSEIDONSQL_APPFVT_01_tblFillRateFechas[[#This Row],[Valida Cant]]=1,Tabla__192.168.1.8_POSEIDONSQL_APPFVT_01_tblFillRateFechas[[#This Row],[Valida Fec]]=1),1,0)</f>
        <v>0</v>
      </c>
      <c r="P1376" s="1">
        <f>+(Tabla__192.168.1.8_POSEIDONSQL_APPFVT_01_tblFillRateFechas[[#This Row],[Cant_Resultante]]/Tabla__192.168.1.8_POSEIDONSQL_APPFVT_01_tblFillRateFechas[[#This Row],[cant_order]])*100</f>
        <v>100</v>
      </c>
      <c r="Q137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6" s="1">
        <f>+IF(Tabla__192.168.1.8_POSEIDONSQL_APPFVT_01_tblFillRateFechas[[#This Row],[cant_order]]&gt;0,1,0)</f>
        <v>1</v>
      </c>
      <c r="V1376" s="1">
        <f>+IF(Tabla__192.168.1.8_POSEIDONSQL_APPFVT_01_tblFillRateFechas[[#This Row],[Resultado]]=1,1,0)</f>
        <v>0</v>
      </c>
      <c r="W1376" s="1" t="str">
        <f>+Tabla__192.168.1.8_POSEIDONSQL_APPFVT_01_tblFillRateFechas[[#This Row],[con_ocnumero]]&amp;Tabla__192.168.1.8_POSEIDONSQL_APPFVT_01_tblFillRateFechas[[#This Row],[con_codigounico]]</f>
        <v>92026930390050000705550600101</v>
      </c>
      <c r="X137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7" spans="1:24" x14ac:dyDescent="0.25">
      <c r="A1377">
        <v>9</v>
      </c>
      <c r="B1377" t="s">
        <v>48</v>
      </c>
      <c r="C1377">
        <v>9202764</v>
      </c>
      <c r="D1377" t="s">
        <v>425</v>
      </c>
      <c r="E1377" t="s">
        <v>426</v>
      </c>
      <c r="F1377" t="s">
        <v>426</v>
      </c>
      <c r="G1377">
        <v>1</v>
      </c>
      <c r="H1377">
        <v>1</v>
      </c>
      <c r="I1377" t="s">
        <v>422</v>
      </c>
      <c r="J1377">
        <v>0</v>
      </c>
      <c r="K1377" t="s">
        <v>1350</v>
      </c>
      <c r="L1377" s="1">
        <f>+Tabla__192.168.1.8_POSEIDONSQL_APPFVT_01_tblFillRateFechas[[#This Row],[emb_cantidad]]-Tabla__192.168.1.8_POSEIDONSQL_APPFVT_01_tblFillRateFechas[[#This Row],[dev_cantidad]]</f>
        <v>1</v>
      </c>
      <c r="M1377" s="1">
        <f>+IF(Tabla__192.168.1.8_POSEIDONSQL_APPFVT_01_tblFillRateFechas[[#This Row],[Cant_Resultante]]=Tabla__192.168.1.8_POSEIDONSQL_APPFVT_01_tblFillRateFechas[[#This Row],[cant_order]],1,0)</f>
        <v>1</v>
      </c>
      <c r="N137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377" s="1">
        <f>+IF(AND(Tabla__192.168.1.8_POSEIDONSQL_APPFVT_01_tblFillRateFechas[[#This Row],[Valida Cant]]=1,Tabla__192.168.1.8_POSEIDONSQL_APPFVT_01_tblFillRateFechas[[#This Row],[Valida Fec]]=1),1,0)</f>
        <v>0</v>
      </c>
      <c r="P1377" s="1">
        <f>+(Tabla__192.168.1.8_POSEIDONSQL_APPFVT_01_tblFillRateFechas[[#This Row],[Cant_Resultante]]/Tabla__192.168.1.8_POSEIDONSQL_APPFVT_01_tblFillRateFechas[[#This Row],[cant_order]])*100</f>
        <v>100</v>
      </c>
      <c r="Q137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7" s="1">
        <f>+IF(Tabla__192.168.1.8_POSEIDONSQL_APPFVT_01_tblFillRateFechas[[#This Row],[cant_order]]&gt;0,1,0)</f>
        <v>1</v>
      </c>
      <c r="V1377" s="1">
        <f>+IF(Tabla__192.168.1.8_POSEIDONSQL_APPFVT_01_tblFillRateFechas[[#This Row],[Resultado]]=1,1,0)</f>
        <v>0</v>
      </c>
      <c r="W1377" s="1" t="str">
        <f>+Tabla__192.168.1.8_POSEIDONSQL_APPFVT_01_tblFillRateFechas[[#This Row],[con_ocnumero]]&amp;Tabla__192.168.1.8_POSEIDONSQL_APPFVT_01_tblFillRateFechas[[#This Row],[con_codigounico]]</f>
        <v>92027640390050000705582900101</v>
      </c>
      <c r="X137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8" spans="1:24" x14ac:dyDescent="0.25">
      <c r="A1378">
        <v>9</v>
      </c>
      <c r="B1378" t="s">
        <v>48</v>
      </c>
      <c r="C1378">
        <v>9202990</v>
      </c>
      <c r="D1378" t="s">
        <v>425</v>
      </c>
      <c r="E1378" t="s">
        <v>420</v>
      </c>
      <c r="F1378" t="s">
        <v>426</v>
      </c>
      <c r="G1378">
        <v>1</v>
      </c>
      <c r="H1378">
        <v>1</v>
      </c>
      <c r="I1378" t="s">
        <v>420</v>
      </c>
      <c r="J1378">
        <v>0</v>
      </c>
      <c r="K1378" t="s">
        <v>1346</v>
      </c>
      <c r="L1378" s="1">
        <f>+Tabla__192.168.1.8_POSEIDONSQL_APPFVT_01_tblFillRateFechas[[#This Row],[emb_cantidad]]-Tabla__192.168.1.8_POSEIDONSQL_APPFVT_01_tblFillRateFechas[[#This Row],[dev_cantidad]]</f>
        <v>1</v>
      </c>
      <c r="M1378" s="1">
        <f>+IF(Tabla__192.168.1.8_POSEIDONSQL_APPFVT_01_tblFillRateFechas[[#This Row],[Cant_Resultante]]=Tabla__192.168.1.8_POSEIDONSQL_APPFVT_01_tblFillRateFechas[[#This Row],[cant_order]],1,0)</f>
        <v>1</v>
      </c>
      <c r="N137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8" s="1">
        <f>+IF(AND(Tabla__192.168.1.8_POSEIDONSQL_APPFVT_01_tblFillRateFechas[[#This Row],[Valida Cant]]=1,Tabla__192.168.1.8_POSEIDONSQL_APPFVT_01_tblFillRateFechas[[#This Row],[Valida Fec]]=1),1,0)</f>
        <v>1</v>
      </c>
      <c r="P1378" s="1">
        <f>+(Tabla__192.168.1.8_POSEIDONSQL_APPFVT_01_tblFillRateFechas[[#This Row],[Cant_Resultante]]/Tabla__192.168.1.8_POSEIDONSQL_APPFVT_01_tblFillRateFechas[[#This Row],[cant_order]])*100</f>
        <v>100</v>
      </c>
      <c r="Q137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8" s="1">
        <f>+IF(Tabla__192.168.1.8_POSEIDONSQL_APPFVT_01_tblFillRateFechas[[#This Row],[cant_order]]&gt;0,1,0)</f>
        <v>1</v>
      </c>
      <c r="V1378" s="1">
        <f>+IF(Tabla__192.168.1.8_POSEIDONSQL_APPFVT_01_tblFillRateFechas[[#This Row],[Resultado]]=1,1,0)</f>
        <v>1</v>
      </c>
      <c r="W1378" s="1" t="str">
        <f>+Tabla__192.168.1.8_POSEIDONSQL_APPFVT_01_tblFillRateFechas[[#This Row],[con_ocnumero]]&amp;Tabla__192.168.1.8_POSEIDONSQL_APPFVT_01_tblFillRateFechas[[#This Row],[con_codigounico]]</f>
        <v>92029900390050000705785030101</v>
      </c>
      <c r="X137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79" spans="1:24" x14ac:dyDescent="0.25">
      <c r="A1379">
        <v>9</v>
      </c>
      <c r="B1379" t="s">
        <v>48</v>
      </c>
      <c r="C1379">
        <v>9203107</v>
      </c>
      <c r="D1379" t="s">
        <v>425</v>
      </c>
      <c r="E1379" t="s">
        <v>420</v>
      </c>
      <c r="F1379" t="s">
        <v>426</v>
      </c>
      <c r="G1379">
        <v>1</v>
      </c>
      <c r="H1379">
        <v>1</v>
      </c>
      <c r="I1379" t="s">
        <v>420</v>
      </c>
      <c r="J1379">
        <v>0</v>
      </c>
      <c r="K1379" t="s">
        <v>1348</v>
      </c>
      <c r="L1379" s="1">
        <f>+Tabla__192.168.1.8_POSEIDONSQL_APPFVT_01_tblFillRateFechas[[#This Row],[emb_cantidad]]-Tabla__192.168.1.8_POSEIDONSQL_APPFVT_01_tblFillRateFechas[[#This Row],[dev_cantidad]]</f>
        <v>1</v>
      </c>
      <c r="M1379" s="1">
        <f>+IF(Tabla__192.168.1.8_POSEIDONSQL_APPFVT_01_tblFillRateFechas[[#This Row],[Cant_Resultante]]=Tabla__192.168.1.8_POSEIDONSQL_APPFVT_01_tblFillRateFechas[[#This Row],[cant_order]],1,0)</f>
        <v>1</v>
      </c>
      <c r="N137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79" s="1">
        <f>+IF(AND(Tabla__192.168.1.8_POSEIDONSQL_APPFVT_01_tblFillRateFechas[[#This Row],[Valida Cant]]=1,Tabla__192.168.1.8_POSEIDONSQL_APPFVT_01_tblFillRateFechas[[#This Row],[Valida Fec]]=1),1,0)</f>
        <v>1</v>
      </c>
      <c r="P1379" s="1">
        <f>+(Tabla__192.168.1.8_POSEIDONSQL_APPFVT_01_tblFillRateFechas[[#This Row],[Cant_Resultante]]/Tabla__192.168.1.8_POSEIDONSQL_APPFVT_01_tblFillRateFechas[[#This Row],[cant_order]])*100</f>
        <v>100</v>
      </c>
      <c r="Q137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7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7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7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79" s="1">
        <f>+IF(Tabla__192.168.1.8_POSEIDONSQL_APPFVT_01_tblFillRateFechas[[#This Row],[cant_order]]&gt;0,1,0)</f>
        <v>1</v>
      </c>
      <c r="V1379" s="1">
        <f>+IF(Tabla__192.168.1.8_POSEIDONSQL_APPFVT_01_tblFillRateFechas[[#This Row],[Resultado]]=1,1,0)</f>
        <v>1</v>
      </c>
      <c r="W1379" s="1" t="str">
        <f>+Tabla__192.168.1.8_POSEIDONSQL_APPFVT_01_tblFillRateFechas[[#This Row],[con_ocnumero]]&amp;Tabla__192.168.1.8_POSEIDONSQL_APPFVT_01_tblFillRateFechas[[#This Row],[con_codigounico]]</f>
        <v>92031070390050000705844950101</v>
      </c>
      <c r="X137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0" spans="1:24" x14ac:dyDescent="0.25">
      <c r="A1380">
        <v>9</v>
      </c>
      <c r="B1380" t="s">
        <v>48</v>
      </c>
      <c r="C1380">
        <v>9203325</v>
      </c>
      <c r="D1380" t="s">
        <v>426</v>
      </c>
      <c r="E1380" t="s">
        <v>416</v>
      </c>
      <c r="F1380" t="s">
        <v>415</v>
      </c>
      <c r="G1380">
        <v>1</v>
      </c>
      <c r="H1380">
        <v>1</v>
      </c>
      <c r="I1380" t="s">
        <v>416</v>
      </c>
      <c r="J1380">
        <v>0</v>
      </c>
      <c r="K1380" t="s">
        <v>1920</v>
      </c>
      <c r="L1380" s="1">
        <f>+Tabla__192.168.1.8_POSEIDONSQL_APPFVT_01_tblFillRateFechas[[#This Row],[emb_cantidad]]-Tabla__192.168.1.8_POSEIDONSQL_APPFVT_01_tblFillRateFechas[[#This Row],[dev_cantidad]]</f>
        <v>1</v>
      </c>
      <c r="M1380" s="1">
        <f>+IF(Tabla__192.168.1.8_POSEIDONSQL_APPFVT_01_tblFillRateFechas[[#This Row],[Cant_Resultante]]=Tabla__192.168.1.8_POSEIDONSQL_APPFVT_01_tblFillRateFechas[[#This Row],[cant_order]],1,0)</f>
        <v>1</v>
      </c>
      <c r="N138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0" s="1">
        <f>+IF(AND(Tabla__192.168.1.8_POSEIDONSQL_APPFVT_01_tblFillRateFechas[[#This Row],[Valida Cant]]=1,Tabla__192.168.1.8_POSEIDONSQL_APPFVT_01_tblFillRateFechas[[#This Row],[Valida Fec]]=1),1,0)</f>
        <v>1</v>
      </c>
      <c r="P1380" s="1">
        <f>+(Tabla__192.168.1.8_POSEIDONSQL_APPFVT_01_tblFillRateFechas[[#This Row],[Cant_Resultante]]/Tabla__192.168.1.8_POSEIDONSQL_APPFVT_01_tblFillRateFechas[[#This Row],[cant_order]])*100</f>
        <v>100</v>
      </c>
      <c r="Q138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0" s="1">
        <f>+IF(Tabla__192.168.1.8_POSEIDONSQL_APPFVT_01_tblFillRateFechas[[#This Row],[cant_order]]&gt;0,1,0)</f>
        <v>1</v>
      </c>
      <c r="V1380" s="1">
        <f>+IF(Tabla__192.168.1.8_POSEIDONSQL_APPFVT_01_tblFillRateFechas[[#This Row],[Resultado]]=1,1,0)</f>
        <v>1</v>
      </c>
      <c r="W1380" s="1" t="str">
        <f>+Tabla__192.168.1.8_POSEIDONSQL_APPFVT_01_tblFillRateFechas[[#This Row],[con_ocnumero]]&amp;Tabla__192.168.1.8_POSEIDONSQL_APPFVT_01_tblFillRateFechas[[#This Row],[con_codigounico]]</f>
        <v>92033250390050000705988130103</v>
      </c>
      <c r="X138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1" spans="1:24" x14ac:dyDescent="0.25">
      <c r="A1381">
        <v>9</v>
      </c>
      <c r="B1381" t="s">
        <v>48</v>
      </c>
      <c r="C1381">
        <v>9203264</v>
      </c>
      <c r="D1381" t="s">
        <v>426</v>
      </c>
      <c r="E1381" t="s">
        <v>422</v>
      </c>
      <c r="F1381" t="s">
        <v>415</v>
      </c>
      <c r="G1381">
        <v>1</v>
      </c>
      <c r="H1381">
        <v>1</v>
      </c>
      <c r="I1381" t="s">
        <v>422</v>
      </c>
      <c r="J1381">
        <v>0</v>
      </c>
      <c r="K1381" t="s">
        <v>1912</v>
      </c>
      <c r="L1381" s="1">
        <f>+Tabla__192.168.1.8_POSEIDONSQL_APPFVT_01_tblFillRateFechas[[#This Row],[emb_cantidad]]-Tabla__192.168.1.8_POSEIDONSQL_APPFVT_01_tblFillRateFechas[[#This Row],[dev_cantidad]]</f>
        <v>1</v>
      </c>
      <c r="M1381" s="1">
        <f>+IF(Tabla__192.168.1.8_POSEIDONSQL_APPFVT_01_tblFillRateFechas[[#This Row],[Cant_Resultante]]=Tabla__192.168.1.8_POSEIDONSQL_APPFVT_01_tblFillRateFechas[[#This Row],[cant_order]],1,0)</f>
        <v>1</v>
      </c>
      <c r="N138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1" s="1">
        <f>+IF(AND(Tabla__192.168.1.8_POSEIDONSQL_APPFVT_01_tblFillRateFechas[[#This Row],[Valida Cant]]=1,Tabla__192.168.1.8_POSEIDONSQL_APPFVT_01_tblFillRateFechas[[#This Row],[Valida Fec]]=1),1,0)</f>
        <v>1</v>
      </c>
      <c r="P1381" s="1">
        <f>+(Tabla__192.168.1.8_POSEIDONSQL_APPFVT_01_tblFillRateFechas[[#This Row],[Cant_Resultante]]/Tabla__192.168.1.8_POSEIDONSQL_APPFVT_01_tblFillRateFechas[[#This Row],[cant_order]])*100</f>
        <v>100</v>
      </c>
      <c r="Q138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1" s="1">
        <f>+IF(Tabla__192.168.1.8_POSEIDONSQL_APPFVT_01_tblFillRateFechas[[#This Row],[cant_order]]&gt;0,1,0)</f>
        <v>1</v>
      </c>
      <c r="V1381" s="1">
        <f>+IF(Tabla__192.168.1.8_POSEIDONSQL_APPFVT_01_tblFillRateFechas[[#This Row],[Resultado]]=1,1,0)</f>
        <v>1</v>
      </c>
      <c r="W1381" s="1" t="str">
        <f>+Tabla__192.168.1.8_POSEIDONSQL_APPFVT_01_tblFillRateFechas[[#This Row],[con_ocnumero]]&amp;Tabla__192.168.1.8_POSEIDONSQL_APPFVT_01_tblFillRateFechas[[#This Row],[con_codigounico]]</f>
        <v>92032640390050000706078210101</v>
      </c>
      <c r="X138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2" spans="1:24" x14ac:dyDescent="0.25">
      <c r="A1382">
        <v>9</v>
      </c>
      <c r="B1382" t="s">
        <v>48</v>
      </c>
      <c r="C1382">
        <v>9203264</v>
      </c>
      <c r="D1382" t="s">
        <v>426</v>
      </c>
      <c r="E1382" t="s">
        <v>420</v>
      </c>
      <c r="F1382" t="s">
        <v>415</v>
      </c>
      <c r="G1382">
        <v>1</v>
      </c>
      <c r="H1382">
        <v>1</v>
      </c>
      <c r="I1382" t="s">
        <v>420</v>
      </c>
      <c r="J1382">
        <v>0</v>
      </c>
      <c r="K1382" t="s">
        <v>1931</v>
      </c>
      <c r="L1382" s="1">
        <f>+Tabla__192.168.1.8_POSEIDONSQL_APPFVT_01_tblFillRateFechas[[#This Row],[emb_cantidad]]-Tabla__192.168.1.8_POSEIDONSQL_APPFVT_01_tblFillRateFechas[[#This Row],[dev_cantidad]]</f>
        <v>1</v>
      </c>
      <c r="M1382" s="1">
        <f>+IF(Tabla__192.168.1.8_POSEIDONSQL_APPFVT_01_tblFillRateFechas[[#This Row],[Cant_Resultante]]=Tabla__192.168.1.8_POSEIDONSQL_APPFVT_01_tblFillRateFechas[[#This Row],[cant_order]],1,0)</f>
        <v>1</v>
      </c>
      <c r="N138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2" s="1">
        <f>+IF(AND(Tabla__192.168.1.8_POSEIDONSQL_APPFVT_01_tblFillRateFechas[[#This Row],[Valida Cant]]=1,Tabla__192.168.1.8_POSEIDONSQL_APPFVT_01_tblFillRateFechas[[#This Row],[Valida Fec]]=1),1,0)</f>
        <v>1</v>
      </c>
      <c r="P1382" s="1">
        <f>+(Tabla__192.168.1.8_POSEIDONSQL_APPFVT_01_tblFillRateFechas[[#This Row],[Cant_Resultante]]/Tabla__192.168.1.8_POSEIDONSQL_APPFVT_01_tblFillRateFechas[[#This Row],[cant_order]])*100</f>
        <v>100</v>
      </c>
      <c r="Q138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2" s="1">
        <f>+IF(Tabla__192.168.1.8_POSEIDONSQL_APPFVT_01_tblFillRateFechas[[#This Row],[cant_order]]&gt;0,1,0)</f>
        <v>1</v>
      </c>
      <c r="V1382" s="1">
        <f>+IF(Tabla__192.168.1.8_POSEIDONSQL_APPFVT_01_tblFillRateFechas[[#This Row],[Resultado]]=1,1,0)</f>
        <v>1</v>
      </c>
      <c r="W1382" s="1" t="str">
        <f>+Tabla__192.168.1.8_POSEIDONSQL_APPFVT_01_tblFillRateFechas[[#This Row],[con_ocnumero]]&amp;Tabla__192.168.1.8_POSEIDONSQL_APPFVT_01_tblFillRateFechas[[#This Row],[con_codigounico]]</f>
        <v>92032640390050000706080530101</v>
      </c>
      <c r="X138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3" spans="1:24" x14ac:dyDescent="0.25">
      <c r="A1383">
        <v>9</v>
      </c>
      <c r="B1383" t="s">
        <v>48</v>
      </c>
      <c r="C1383">
        <v>9203441</v>
      </c>
      <c r="D1383" t="s">
        <v>426</v>
      </c>
      <c r="E1383" t="s">
        <v>422</v>
      </c>
      <c r="F1383" t="s">
        <v>415</v>
      </c>
      <c r="G1383">
        <v>1</v>
      </c>
      <c r="H1383">
        <v>1</v>
      </c>
      <c r="I1383" t="s">
        <v>422</v>
      </c>
      <c r="J1383">
        <v>0</v>
      </c>
      <c r="K1383" t="s">
        <v>1914</v>
      </c>
      <c r="L1383" s="1">
        <f>+Tabla__192.168.1.8_POSEIDONSQL_APPFVT_01_tblFillRateFechas[[#This Row],[emb_cantidad]]-Tabla__192.168.1.8_POSEIDONSQL_APPFVT_01_tblFillRateFechas[[#This Row],[dev_cantidad]]</f>
        <v>1</v>
      </c>
      <c r="M1383" s="1">
        <f>+IF(Tabla__192.168.1.8_POSEIDONSQL_APPFVT_01_tblFillRateFechas[[#This Row],[Cant_Resultante]]=Tabla__192.168.1.8_POSEIDONSQL_APPFVT_01_tblFillRateFechas[[#This Row],[cant_order]],1,0)</f>
        <v>1</v>
      </c>
      <c r="N138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3" s="1">
        <f>+IF(AND(Tabla__192.168.1.8_POSEIDONSQL_APPFVT_01_tblFillRateFechas[[#This Row],[Valida Cant]]=1,Tabla__192.168.1.8_POSEIDONSQL_APPFVT_01_tblFillRateFechas[[#This Row],[Valida Fec]]=1),1,0)</f>
        <v>1</v>
      </c>
      <c r="P1383" s="1">
        <f>+(Tabla__192.168.1.8_POSEIDONSQL_APPFVT_01_tblFillRateFechas[[#This Row],[Cant_Resultante]]/Tabla__192.168.1.8_POSEIDONSQL_APPFVT_01_tblFillRateFechas[[#This Row],[cant_order]])*100</f>
        <v>100</v>
      </c>
      <c r="Q138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3" s="1">
        <f>+IF(Tabla__192.168.1.8_POSEIDONSQL_APPFVT_01_tblFillRateFechas[[#This Row],[cant_order]]&gt;0,1,0)</f>
        <v>1</v>
      </c>
      <c r="V1383" s="1">
        <f>+IF(Tabla__192.168.1.8_POSEIDONSQL_APPFVT_01_tblFillRateFechas[[#This Row],[Resultado]]=1,1,0)</f>
        <v>1</v>
      </c>
      <c r="W1383" s="1" t="str">
        <f>+Tabla__192.168.1.8_POSEIDONSQL_APPFVT_01_tblFillRateFechas[[#This Row],[con_ocnumero]]&amp;Tabla__192.168.1.8_POSEIDONSQL_APPFVT_01_tblFillRateFechas[[#This Row],[con_codigounico]]</f>
        <v>92034410390050000706133650101</v>
      </c>
      <c r="X138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4" spans="1:24" x14ac:dyDescent="0.25">
      <c r="A1384">
        <v>9</v>
      </c>
      <c r="B1384" t="s">
        <v>48</v>
      </c>
      <c r="C1384">
        <v>9203356</v>
      </c>
      <c r="D1384" t="s">
        <v>426</v>
      </c>
      <c r="E1384" t="s">
        <v>422</v>
      </c>
      <c r="F1384" t="s">
        <v>415</v>
      </c>
      <c r="G1384">
        <v>1</v>
      </c>
      <c r="H1384">
        <v>1</v>
      </c>
      <c r="I1384" t="s">
        <v>422</v>
      </c>
      <c r="J1384">
        <v>0</v>
      </c>
      <c r="K1384" t="s">
        <v>1913</v>
      </c>
      <c r="L1384" s="1">
        <f>+Tabla__192.168.1.8_POSEIDONSQL_APPFVT_01_tblFillRateFechas[[#This Row],[emb_cantidad]]-Tabla__192.168.1.8_POSEIDONSQL_APPFVT_01_tblFillRateFechas[[#This Row],[dev_cantidad]]</f>
        <v>1</v>
      </c>
      <c r="M1384" s="1">
        <f>+IF(Tabla__192.168.1.8_POSEIDONSQL_APPFVT_01_tblFillRateFechas[[#This Row],[Cant_Resultante]]=Tabla__192.168.1.8_POSEIDONSQL_APPFVT_01_tblFillRateFechas[[#This Row],[cant_order]],1,0)</f>
        <v>1</v>
      </c>
      <c r="N138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4" s="1">
        <f>+IF(AND(Tabla__192.168.1.8_POSEIDONSQL_APPFVT_01_tblFillRateFechas[[#This Row],[Valida Cant]]=1,Tabla__192.168.1.8_POSEIDONSQL_APPFVT_01_tblFillRateFechas[[#This Row],[Valida Fec]]=1),1,0)</f>
        <v>1</v>
      </c>
      <c r="P1384" s="1">
        <f>+(Tabla__192.168.1.8_POSEIDONSQL_APPFVT_01_tblFillRateFechas[[#This Row],[Cant_Resultante]]/Tabla__192.168.1.8_POSEIDONSQL_APPFVT_01_tblFillRateFechas[[#This Row],[cant_order]])*100</f>
        <v>100</v>
      </c>
      <c r="Q138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4" s="1">
        <f>+IF(Tabla__192.168.1.8_POSEIDONSQL_APPFVT_01_tblFillRateFechas[[#This Row],[cant_order]]&gt;0,1,0)</f>
        <v>1</v>
      </c>
      <c r="V1384" s="1">
        <f>+IF(Tabla__192.168.1.8_POSEIDONSQL_APPFVT_01_tblFillRateFechas[[#This Row],[Resultado]]=1,1,0)</f>
        <v>1</v>
      </c>
      <c r="W1384" s="1" t="str">
        <f>+Tabla__192.168.1.8_POSEIDONSQL_APPFVT_01_tblFillRateFechas[[#This Row],[con_ocnumero]]&amp;Tabla__192.168.1.8_POSEIDONSQL_APPFVT_01_tblFillRateFechas[[#This Row],[con_codigounico]]</f>
        <v>92033560390050000706177670101</v>
      </c>
      <c r="X138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5" spans="1:24" x14ac:dyDescent="0.25">
      <c r="A1385">
        <v>9</v>
      </c>
      <c r="B1385" t="s">
        <v>48</v>
      </c>
      <c r="C1385">
        <v>9203406</v>
      </c>
      <c r="D1385" t="s">
        <v>426</v>
      </c>
      <c r="E1385" t="s">
        <v>416</v>
      </c>
      <c r="F1385" t="s">
        <v>415</v>
      </c>
      <c r="G1385">
        <v>1</v>
      </c>
      <c r="H1385">
        <v>1</v>
      </c>
      <c r="I1385" t="s">
        <v>416</v>
      </c>
      <c r="J1385">
        <v>0</v>
      </c>
      <c r="K1385" t="s">
        <v>1921</v>
      </c>
      <c r="L1385" s="1">
        <f>+Tabla__192.168.1.8_POSEIDONSQL_APPFVT_01_tblFillRateFechas[[#This Row],[emb_cantidad]]-Tabla__192.168.1.8_POSEIDONSQL_APPFVT_01_tblFillRateFechas[[#This Row],[dev_cantidad]]</f>
        <v>1</v>
      </c>
      <c r="M1385" s="1">
        <f>+IF(Tabla__192.168.1.8_POSEIDONSQL_APPFVT_01_tblFillRateFechas[[#This Row],[Cant_Resultante]]=Tabla__192.168.1.8_POSEIDONSQL_APPFVT_01_tblFillRateFechas[[#This Row],[cant_order]],1,0)</f>
        <v>1</v>
      </c>
      <c r="N138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5" s="1">
        <f>+IF(AND(Tabla__192.168.1.8_POSEIDONSQL_APPFVT_01_tblFillRateFechas[[#This Row],[Valida Cant]]=1,Tabla__192.168.1.8_POSEIDONSQL_APPFVT_01_tblFillRateFechas[[#This Row],[Valida Fec]]=1),1,0)</f>
        <v>1</v>
      </c>
      <c r="P1385" s="1">
        <f>+(Tabla__192.168.1.8_POSEIDONSQL_APPFVT_01_tblFillRateFechas[[#This Row],[Cant_Resultante]]/Tabla__192.168.1.8_POSEIDONSQL_APPFVT_01_tblFillRateFechas[[#This Row],[cant_order]])*100</f>
        <v>100</v>
      </c>
      <c r="Q138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5" s="1">
        <f>+IF(Tabla__192.168.1.8_POSEIDONSQL_APPFVT_01_tblFillRateFechas[[#This Row],[cant_order]]&gt;0,1,0)</f>
        <v>1</v>
      </c>
      <c r="V1385" s="1">
        <f>+IF(Tabla__192.168.1.8_POSEIDONSQL_APPFVT_01_tblFillRateFechas[[#This Row],[Resultado]]=1,1,0)</f>
        <v>1</v>
      </c>
      <c r="W1385" s="1" t="str">
        <f>+Tabla__192.168.1.8_POSEIDONSQL_APPFVT_01_tblFillRateFechas[[#This Row],[con_ocnumero]]&amp;Tabla__192.168.1.8_POSEIDONSQL_APPFVT_01_tblFillRateFechas[[#This Row],[con_codigounico]]</f>
        <v>92034060390050000706219110101</v>
      </c>
      <c r="X138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6" spans="1:24" x14ac:dyDescent="0.25">
      <c r="A1386">
        <v>9</v>
      </c>
      <c r="B1386" t="s">
        <v>48</v>
      </c>
      <c r="C1386">
        <v>9203490</v>
      </c>
      <c r="D1386" t="s">
        <v>426</v>
      </c>
      <c r="E1386" t="s">
        <v>416</v>
      </c>
      <c r="F1386" t="s">
        <v>415</v>
      </c>
      <c r="G1386">
        <v>1</v>
      </c>
      <c r="H1386">
        <v>1</v>
      </c>
      <c r="I1386" t="s">
        <v>416</v>
      </c>
      <c r="J1386">
        <v>0</v>
      </c>
      <c r="K1386" t="s">
        <v>1916</v>
      </c>
      <c r="L1386" s="1">
        <f>+Tabla__192.168.1.8_POSEIDONSQL_APPFVT_01_tblFillRateFechas[[#This Row],[emb_cantidad]]-Tabla__192.168.1.8_POSEIDONSQL_APPFVT_01_tblFillRateFechas[[#This Row],[dev_cantidad]]</f>
        <v>1</v>
      </c>
      <c r="M1386" s="1">
        <f>+IF(Tabla__192.168.1.8_POSEIDONSQL_APPFVT_01_tblFillRateFechas[[#This Row],[Cant_Resultante]]=Tabla__192.168.1.8_POSEIDONSQL_APPFVT_01_tblFillRateFechas[[#This Row],[cant_order]],1,0)</f>
        <v>1</v>
      </c>
      <c r="N138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6" s="1">
        <f>+IF(AND(Tabla__192.168.1.8_POSEIDONSQL_APPFVT_01_tblFillRateFechas[[#This Row],[Valida Cant]]=1,Tabla__192.168.1.8_POSEIDONSQL_APPFVT_01_tblFillRateFechas[[#This Row],[Valida Fec]]=1),1,0)</f>
        <v>1</v>
      </c>
      <c r="P1386" s="1">
        <f>+(Tabla__192.168.1.8_POSEIDONSQL_APPFVT_01_tblFillRateFechas[[#This Row],[Cant_Resultante]]/Tabla__192.168.1.8_POSEIDONSQL_APPFVT_01_tblFillRateFechas[[#This Row],[cant_order]])*100</f>
        <v>100</v>
      </c>
      <c r="Q138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6" s="1">
        <f>+IF(Tabla__192.168.1.8_POSEIDONSQL_APPFVT_01_tblFillRateFechas[[#This Row],[cant_order]]&gt;0,1,0)</f>
        <v>1</v>
      </c>
      <c r="V1386" s="1">
        <f>+IF(Tabla__192.168.1.8_POSEIDONSQL_APPFVT_01_tblFillRateFechas[[#This Row],[Resultado]]=1,1,0)</f>
        <v>1</v>
      </c>
      <c r="W1386" s="1" t="str">
        <f>+Tabla__192.168.1.8_POSEIDONSQL_APPFVT_01_tblFillRateFechas[[#This Row],[con_ocnumero]]&amp;Tabla__192.168.1.8_POSEIDONSQL_APPFVT_01_tblFillRateFechas[[#This Row],[con_codigounico]]</f>
        <v>92034900390050000706253050101</v>
      </c>
      <c r="X138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7" spans="1:24" x14ac:dyDescent="0.25">
      <c r="A1387">
        <v>9</v>
      </c>
      <c r="B1387" t="s">
        <v>48</v>
      </c>
      <c r="C1387">
        <v>9203556</v>
      </c>
      <c r="D1387" t="s">
        <v>1983</v>
      </c>
      <c r="E1387" t="s">
        <v>416</v>
      </c>
      <c r="F1387" t="s">
        <v>415</v>
      </c>
      <c r="G1387">
        <v>2</v>
      </c>
      <c r="H1387">
        <v>2</v>
      </c>
      <c r="I1387" t="s">
        <v>416</v>
      </c>
      <c r="J1387">
        <v>0</v>
      </c>
      <c r="K1387" t="s">
        <v>1917</v>
      </c>
      <c r="L1387" s="1">
        <f>+Tabla__192.168.1.8_POSEIDONSQL_APPFVT_01_tblFillRateFechas[[#This Row],[emb_cantidad]]-Tabla__192.168.1.8_POSEIDONSQL_APPFVT_01_tblFillRateFechas[[#This Row],[dev_cantidad]]</f>
        <v>2</v>
      </c>
      <c r="M1387" s="1">
        <f>+IF(Tabla__192.168.1.8_POSEIDONSQL_APPFVT_01_tblFillRateFechas[[#This Row],[Cant_Resultante]]=Tabla__192.168.1.8_POSEIDONSQL_APPFVT_01_tblFillRateFechas[[#This Row],[cant_order]],1,0)</f>
        <v>1</v>
      </c>
      <c r="N138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7" s="1">
        <f>+IF(AND(Tabla__192.168.1.8_POSEIDONSQL_APPFVT_01_tblFillRateFechas[[#This Row],[Valida Cant]]=1,Tabla__192.168.1.8_POSEIDONSQL_APPFVT_01_tblFillRateFechas[[#This Row],[Valida Fec]]=1),1,0)</f>
        <v>1</v>
      </c>
      <c r="P1387" s="1">
        <f>+(Tabla__192.168.1.8_POSEIDONSQL_APPFVT_01_tblFillRateFechas[[#This Row],[Cant_Resultante]]/Tabla__192.168.1.8_POSEIDONSQL_APPFVT_01_tblFillRateFechas[[#This Row],[cant_order]])*100</f>
        <v>100</v>
      </c>
      <c r="Q138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2</v>
      </c>
      <c r="R138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2</v>
      </c>
      <c r="T138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7" s="1">
        <f>+IF(Tabla__192.168.1.8_POSEIDONSQL_APPFVT_01_tblFillRateFechas[[#This Row],[cant_order]]&gt;0,1,0)</f>
        <v>1</v>
      </c>
      <c r="V1387" s="1">
        <f>+IF(Tabla__192.168.1.8_POSEIDONSQL_APPFVT_01_tblFillRateFechas[[#This Row],[Resultado]]=1,1,0)</f>
        <v>1</v>
      </c>
      <c r="W1387" s="1" t="str">
        <f>+Tabla__192.168.1.8_POSEIDONSQL_APPFVT_01_tblFillRateFechas[[#This Row],[con_ocnumero]]&amp;Tabla__192.168.1.8_POSEIDONSQL_APPFVT_01_tblFillRateFechas[[#This Row],[con_codigounico]]</f>
        <v>92035560390050000706373780101</v>
      </c>
      <c r="X138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2</v>
      </c>
    </row>
    <row r="1388" spans="1:24" x14ac:dyDescent="0.25">
      <c r="A1388">
        <v>9</v>
      </c>
      <c r="B1388" t="s">
        <v>48</v>
      </c>
      <c r="C1388">
        <v>9203592</v>
      </c>
      <c r="D1388" t="s">
        <v>1983</v>
      </c>
      <c r="E1388" t="s">
        <v>416</v>
      </c>
      <c r="F1388" t="s">
        <v>415</v>
      </c>
      <c r="G1388">
        <v>1</v>
      </c>
      <c r="H1388">
        <v>1</v>
      </c>
      <c r="I1388" t="s">
        <v>416</v>
      </c>
      <c r="J1388">
        <v>0</v>
      </c>
      <c r="K1388" t="s">
        <v>1918</v>
      </c>
      <c r="L1388" s="1">
        <f>+Tabla__192.168.1.8_POSEIDONSQL_APPFVT_01_tblFillRateFechas[[#This Row],[emb_cantidad]]-Tabla__192.168.1.8_POSEIDONSQL_APPFVT_01_tblFillRateFechas[[#This Row],[dev_cantidad]]</f>
        <v>1</v>
      </c>
      <c r="M1388" s="1">
        <f>+IF(Tabla__192.168.1.8_POSEIDONSQL_APPFVT_01_tblFillRateFechas[[#This Row],[Cant_Resultante]]=Tabla__192.168.1.8_POSEIDONSQL_APPFVT_01_tblFillRateFechas[[#This Row],[cant_order]],1,0)</f>
        <v>1</v>
      </c>
      <c r="N138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8" s="1">
        <f>+IF(AND(Tabla__192.168.1.8_POSEIDONSQL_APPFVT_01_tblFillRateFechas[[#This Row],[Valida Cant]]=1,Tabla__192.168.1.8_POSEIDONSQL_APPFVT_01_tblFillRateFechas[[#This Row],[Valida Fec]]=1),1,0)</f>
        <v>1</v>
      </c>
      <c r="P1388" s="1">
        <f>+(Tabla__192.168.1.8_POSEIDONSQL_APPFVT_01_tblFillRateFechas[[#This Row],[Cant_Resultante]]/Tabla__192.168.1.8_POSEIDONSQL_APPFVT_01_tblFillRateFechas[[#This Row],[cant_order]])*100</f>
        <v>100</v>
      </c>
      <c r="Q138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8" s="1">
        <f>+IF(Tabla__192.168.1.8_POSEIDONSQL_APPFVT_01_tblFillRateFechas[[#This Row],[cant_order]]&gt;0,1,0)</f>
        <v>1</v>
      </c>
      <c r="V1388" s="1">
        <f>+IF(Tabla__192.168.1.8_POSEIDONSQL_APPFVT_01_tblFillRateFechas[[#This Row],[Resultado]]=1,1,0)</f>
        <v>1</v>
      </c>
      <c r="W1388" s="1" t="str">
        <f>+Tabla__192.168.1.8_POSEIDONSQL_APPFVT_01_tblFillRateFechas[[#This Row],[con_ocnumero]]&amp;Tabla__192.168.1.8_POSEIDONSQL_APPFVT_01_tblFillRateFechas[[#This Row],[con_codigounico]]</f>
        <v>92035920390050000706395810101</v>
      </c>
      <c r="X138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89" spans="1:24" x14ac:dyDescent="0.25">
      <c r="A1389">
        <v>9</v>
      </c>
      <c r="B1389" t="s">
        <v>48</v>
      </c>
      <c r="C1389">
        <v>9203746</v>
      </c>
      <c r="D1389" t="s">
        <v>1983</v>
      </c>
      <c r="E1389" t="s">
        <v>422</v>
      </c>
      <c r="F1389" t="s">
        <v>415</v>
      </c>
      <c r="G1389">
        <v>1</v>
      </c>
      <c r="H1389">
        <v>1</v>
      </c>
      <c r="I1389" t="s">
        <v>422</v>
      </c>
      <c r="J1389">
        <v>0</v>
      </c>
      <c r="K1389" t="s">
        <v>1907</v>
      </c>
      <c r="L1389" s="1">
        <f>+Tabla__192.168.1.8_POSEIDONSQL_APPFVT_01_tblFillRateFechas[[#This Row],[emb_cantidad]]-Tabla__192.168.1.8_POSEIDONSQL_APPFVT_01_tblFillRateFechas[[#This Row],[dev_cantidad]]</f>
        <v>1</v>
      </c>
      <c r="M1389" s="1">
        <f>+IF(Tabla__192.168.1.8_POSEIDONSQL_APPFVT_01_tblFillRateFechas[[#This Row],[Cant_Resultante]]=Tabla__192.168.1.8_POSEIDONSQL_APPFVT_01_tblFillRateFechas[[#This Row],[cant_order]],1,0)</f>
        <v>1</v>
      </c>
      <c r="N138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89" s="1">
        <f>+IF(AND(Tabla__192.168.1.8_POSEIDONSQL_APPFVT_01_tblFillRateFechas[[#This Row],[Valida Cant]]=1,Tabla__192.168.1.8_POSEIDONSQL_APPFVT_01_tblFillRateFechas[[#This Row],[Valida Fec]]=1),1,0)</f>
        <v>1</v>
      </c>
      <c r="P1389" s="1">
        <f>+(Tabla__192.168.1.8_POSEIDONSQL_APPFVT_01_tblFillRateFechas[[#This Row],[Cant_Resultante]]/Tabla__192.168.1.8_POSEIDONSQL_APPFVT_01_tblFillRateFechas[[#This Row],[cant_order]])*100</f>
        <v>100</v>
      </c>
      <c r="Q138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8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8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8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89" s="1">
        <f>+IF(Tabla__192.168.1.8_POSEIDONSQL_APPFVT_01_tblFillRateFechas[[#This Row],[cant_order]]&gt;0,1,0)</f>
        <v>1</v>
      </c>
      <c r="V1389" s="1">
        <f>+IF(Tabla__192.168.1.8_POSEIDONSQL_APPFVT_01_tblFillRateFechas[[#This Row],[Resultado]]=1,1,0)</f>
        <v>1</v>
      </c>
      <c r="W1389" s="1" t="str">
        <f>+Tabla__192.168.1.8_POSEIDONSQL_APPFVT_01_tblFillRateFechas[[#This Row],[con_ocnumero]]&amp;Tabla__192.168.1.8_POSEIDONSQL_APPFVT_01_tblFillRateFechas[[#This Row],[con_codigounico]]</f>
        <v>92037460390050000706591910101</v>
      </c>
      <c r="X138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0" spans="1:24" x14ac:dyDescent="0.25">
      <c r="A1390">
        <v>9</v>
      </c>
      <c r="B1390" t="s">
        <v>48</v>
      </c>
      <c r="C1390">
        <v>9203819</v>
      </c>
      <c r="D1390" t="s">
        <v>1983</v>
      </c>
      <c r="E1390" t="s">
        <v>420</v>
      </c>
      <c r="F1390" t="s">
        <v>415</v>
      </c>
      <c r="G1390">
        <v>1</v>
      </c>
      <c r="H1390">
        <v>1</v>
      </c>
      <c r="I1390" t="s">
        <v>420</v>
      </c>
      <c r="J1390">
        <v>0</v>
      </c>
      <c r="K1390" t="s">
        <v>1924</v>
      </c>
      <c r="L1390" s="1">
        <f>+Tabla__192.168.1.8_POSEIDONSQL_APPFVT_01_tblFillRateFechas[[#This Row],[emb_cantidad]]-Tabla__192.168.1.8_POSEIDONSQL_APPFVT_01_tblFillRateFechas[[#This Row],[dev_cantidad]]</f>
        <v>1</v>
      </c>
      <c r="M1390" s="1">
        <f>+IF(Tabla__192.168.1.8_POSEIDONSQL_APPFVT_01_tblFillRateFechas[[#This Row],[Cant_Resultante]]=Tabla__192.168.1.8_POSEIDONSQL_APPFVT_01_tblFillRateFechas[[#This Row],[cant_order]],1,0)</f>
        <v>1</v>
      </c>
      <c r="N139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0" s="1">
        <f>+IF(AND(Tabla__192.168.1.8_POSEIDONSQL_APPFVT_01_tblFillRateFechas[[#This Row],[Valida Cant]]=1,Tabla__192.168.1.8_POSEIDONSQL_APPFVT_01_tblFillRateFechas[[#This Row],[Valida Fec]]=1),1,0)</f>
        <v>1</v>
      </c>
      <c r="P1390" s="1">
        <f>+(Tabla__192.168.1.8_POSEIDONSQL_APPFVT_01_tblFillRateFechas[[#This Row],[Cant_Resultante]]/Tabla__192.168.1.8_POSEIDONSQL_APPFVT_01_tblFillRateFechas[[#This Row],[cant_order]])*100</f>
        <v>100</v>
      </c>
      <c r="Q139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0" s="1">
        <f>+IF(Tabla__192.168.1.8_POSEIDONSQL_APPFVT_01_tblFillRateFechas[[#This Row],[cant_order]]&gt;0,1,0)</f>
        <v>1</v>
      </c>
      <c r="V1390" s="1">
        <f>+IF(Tabla__192.168.1.8_POSEIDONSQL_APPFVT_01_tblFillRateFechas[[#This Row],[Resultado]]=1,1,0)</f>
        <v>1</v>
      </c>
      <c r="W1390" s="1" t="str">
        <f>+Tabla__192.168.1.8_POSEIDONSQL_APPFVT_01_tblFillRateFechas[[#This Row],[con_ocnumero]]&amp;Tabla__192.168.1.8_POSEIDONSQL_APPFVT_01_tblFillRateFechas[[#This Row],[con_codigounico]]</f>
        <v>92038190390050000706681600101</v>
      </c>
      <c r="X139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1" spans="1:24" x14ac:dyDescent="0.25">
      <c r="A1391">
        <v>9</v>
      </c>
      <c r="B1391" t="s">
        <v>48</v>
      </c>
      <c r="C1391">
        <v>9203879</v>
      </c>
      <c r="D1391" t="s">
        <v>430</v>
      </c>
      <c r="E1391" t="s">
        <v>422</v>
      </c>
      <c r="F1391" t="s">
        <v>415</v>
      </c>
      <c r="G1391">
        <v>1</v>
      </c>
      <c r="H1391">
        <v>1</v>
      </c>
      <c r="I1391" t="s">
        <v>422</v>
      </c>
      <c r="J1391">
        <v>0</v>
      </c>
      <c r="K1391" t="s">
        <v>1909</v>
      </c>
      <c r="L1391" s="1">
        <f>+Tabla__192.168.1.8_POSEIDONSQL_APPFVT_01_tblFillRateFechas[[#This Row],[emb_cantidad]]-Tabla__192.168.1.8_POSEIDONSQL_APPFVT_01_tblFillRateFechas[[#This Row],[dev_cantidad]]</f>
        <v>1</v>
      </c>
      <c r="M1391" s="1">
        <f>+IF(Tabla__192.168.1.8_POSEIDONSQL_APPFVT_01_tblFillRateFechas[[#This Row],[Cant_Resultante]]=Tabla__192.168.1.8_POSEIDONSQL_APPFVT_01_tblFillRateFechas[[#This Row],[cant_order]],1,0)</f>
        <v>1</v>
      </c>
      <c r="N139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1" s="1">
        <f>+IF(AND(Tabla__192.168.1.8_POSEIDONSQL_APPFVT_01_tblFillRateFechas[[#This Row],[Valida Cant]]=1,Tabla__192.168.1.8_POSEIDONSQL_APPFVT_01_tblFillRateFechas[[#This Row],[Valida Fec]]=1),1,0)</f>
        <v>1</v>
      </c>
      <c r="P1391" s="1">
        <f>+(Tabla__192.168.1.8_POSEIDONSQL_APPFVT_01_tblFillRateFechas[[#This Row],[Cant_Resultante]]/Tabla__192.168.1.8_POSEIDONSQL_APPFVT_01_tblFillRateFechas[[#This Row],[cant_order]])*100</f>
        <v>100</v>
      </c>
      <c r="Q139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1" s="1">
        <f>+IF(Tabla__192.168.1.8_POSEIDONSQL_APPFVT_01_tblFillRateFechas[[#This Row],[cant_order]]&gt;0,1,0)</f>
        <v>1</v>
      </c>
      <c r="V1391" s="1">
        <f>+IF(Tabla__192.168.1.8_POSEIDONSQL_APPFVT_01_tblFillRateFechas[[#This Row],[Resultado]]=1,1,0)</f>
        <v>1</v>
      </c>
      <c r="W1391" s="1" t="str">
        <f>+Tabla__192.168.1.8_POSEIDONSQL_APPFVT_01_tblFillRateFechas[[#This Row],[con_ocnumero]]&amp;Tabla__192.168.1.8_POSEIDONSQL_APPFVT_01_tblFillRateFechas[[#This Row],[con_codigounico]]</f>
        <v>92038790390050000706699620101</v>
      </c>
      <c r="X139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2" spans="1:24" x14ac:dyDescent="0.25">
      <c r="A1392">
        <v>9</v>
      </c>
      <c r="B1392" t="s">
        <v>48</v>
      </c>
      <c r="C1392">
        <v>9203850</v>
      </c>
      <c r="D1392" t="s">
        <v>430</v>
      </c>
      <c r="E1392" t="s">
        <v>422</v>
      </c>
      <c r="F1392" t="s">
        <v>415</v>
      </c>
      <c r="G1392">
        <v>1</v>
      </c>
      <c r="H1392">
        <v>1</v>
      </c>
      <c r="I1392" t="s">
        <v>422</v>
      </c>
      <c r="J1392">
        <v>0</v>
      </c>
      <c r="K1392" t="s">
        <v>1908</v>
      </c>
      <c r="L1392" s="1">
        <f>+Tabla__192.168.1.8_POSEIDONSQL_APPFVT_01_tblFillRateFechas[[#This Row],[emb_cantidad]]-Tabla__192.168.1.8_POSEIDONSQL_APPFVT_01_tblFillRateFechas[[#This Row],[dev_cantidad]]</f>
        <v>1</v>
      </c>
      <c r="M1392" s="1">
        <f>+IF(Tabla__192.168.1.8_POSEIDONSQL_APPFVT_01_tblFillRateFechas[[#This Row],[Cant_Resultante]]=Tabla__192.168.1.8_POSEIDONSQL_APPFVT_01_tblFillRateFechas[[#This Row],[cant_order]],1,0)</f>
        <v>1</v>
      </c>
      <c r="N139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2" s="1">
        <f>+IF(AND(Tabla__192.168.1.8_POSEIDONSQL_APPFVT_01_tblFillRateFechas[[#This Row],[Valida Cant]]=1,Tabla__192.168.1.8_POSEIDONSQL_APPFVT_01_tblFillRateFechas[[#This Row],[Valida Fec]]=1),1,0)</f>
        <v>1</v>
      </c>
      <c r="P1392" s="1">
        <f>+(Tabla__192.168.1.8_POSEIDONSQL_APPFVT_01_tblFillRateFechas[[#This Row],[Cant_Resultante]]/Tabla__192.168.1.8_POSEIDONSQL_APPFVT_01_tblFillRateFechas[[#This Row],[cant_order]])*100</f>
        <v>100</v>
      </c>
      <c r="Q139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2" s="1">
        <f>+IF(Tabla__192.168.1.8_POSEIDONSQL_APPFVT_01_tblFillRateFechas[[#This Row],[cant_order]]&gt;0,1,0)</f>
        <v>1</v>
      </c>
      <c r="V1392" s="1">
        <f>+IF(Tabla__192.168.1.8_POSEIDONSQL_APPFVT_01_tblFillRateFechas[[#This Row],[Resultado]]=1,1,0)</f>
        <v>1</v>
      </c>
      <c r="W1392" s="1" t="str">
        <f>+Tabla__192.168.1.8_POSEIDONSQL_APPFVT_01_tblFillRateFechas[[#This Row],[con_ocnumero]]&amp;Tabla__192.168.1.8_POSEIDONSQL_APPFVT_01_tblFillRateFechas[[#This Row],[con_codigounico]]</f>
        <v>92038500390050000706747350101</v>
      </c>
      <c r="X139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3" spans="1:24" x14ac:dyDescent="0.25">
      <c r="A1393">
        <v>9</v>
      </c>
      <c r="B1393" t="s">
        <v>48</v>
      </c>
      <c r="C1393">
        <v>9203971</v>
      </c>
      <c r="D1393" t="s">
        <v>430</v>
      </c>
      <c r="E1393" t="s">
        <v>420</v>
      </c>
      <c r="F1393" t="s">
        <v>415</v>
      </c>
      <c r="G1393">
        <v>1</v>
      </c>
      <c r="H1393">
        <v>1</v>
      </c>
      <c r="I1393" t="s">
        <v>420</v>
      </c>
      <c r="J1393">
        <v>0</v>
      </c>
      <c r="K1393" t="s">
        <v>1925</v>
      </c>
      <c r="L1393" s="1">
        <f>+Tabla__192.168.1.8_POSEIDONSQL_APPFVT_01_tblFillRateFechas[[#This Row],[emb_cantidad]]-Tabla__192.168.1.8_POSEIDONSQL_APPFVT_01_tblFillRateFechas[[#This Row],[dev_cantidad]]</f>
        <v>1</v>
      </c>
      <c r="M1393" s="1">
        <f>+IF(Tabla__192.168.1.8_POSEIDONSQL_APPFVT_01_tblFillRateFechas[[#This Row],[Cant_Resultante]]=Tabla__192.168.1.8_POSEIDONSQL_APPFVT_01_tblFillRateFechas[[#This Row],[cant_order]],1,0)</f>
        <v>1</v>
      </c>
      <c r="N139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3" s="1">
        <f>+IF(AND(Tabla__192.168.1.8_POSEIDONSQL_APPFVT_01_tblFillRateFechas[[#This Row],[Valida Cant]]=1,Tabla__192.168.1.8_POSEIDONSQL_APPFVT_01_tblFillRateFechas[[#This Row],[Valida Fec]]=1),1,0)</f>
        <v>1</v>
      </c>
      <c r="P1393" s="1">
        <f>+(Tabla__192.168.1.8_POSEIDONSQL_APPFVT_01_tblFillRateFechas[[#This Row],[Cant_Resultante]]/Tabla__192.168.1.8_POSEIDONSQL_APPFVT_01_tblFillRateFechas[[#This Row],[cant_order]])*100</f>
        <v>100</v>
      </c>
      <c r="Q139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3" s="1">
        <f>+IF(Tabla__192.168.1.8_POSEIDONSQL_APPFVT_01_tblFillRateFechas[[#This Row],[cant_order]]&gt;0,1,0)</f>
        <v>1</v>
      </c>
      <c r="V1393" s="1">
        <f>+IF(Tabla__192.168.1.8_POSEIDONSQL_APPFVT_01_tblFillRateFechas[[#This Row],[Resultado]]=1,1,0)</f>
        <v>1</v>
      </c>
      <c r="W1393" s="1" t="str">
        <f>+Tabla__192.168.1.8_POSEIDONSQL_APPFVT_01_tblFillRateFechas[[#This Row],[con_ocnumero]]&amp;Tabla__192.168.1.8_POSEIDONSQL_APPFVT_01_tblFillRateFechas[[#This Row],[con_codigounico]]</f>
        <v>92039710390050000706843230101</v>
      </c>
      <c r="X139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4" spans="1:24" x14ac:dyDescent="0.25">
      <c r="A1394">
        <v>9</v>
      </c>
      <c r="B1394" t="s">
        <v>48</v>
      </c>
      <c r="C1394">
        <v>9203971</v>
      </c>
      <c r="D1394" t="s">
        <v>430</v>
      </c>
      <c r="E1394" t="s">
        <v>420</v>
      </c>
      <c r="F1394" t="s">
        <v>415</v>
      </c>
      <c r="G1394">
        <v>1</v>
      </c>
      <c r="H1394">
        <v>1</v>
      </c>
      <c r="I1394" t="s">
        <v>420</v>
      </c>
      <c r="J1394">
        <v>0</v>
      </c>
      <c r="K1394" t="s">
        <v>1926</v>
      </c>
      <c r="L1394" s="1">
        <f>+Tabla__192.168.1.8_POSEIDONSQL_APPFVT_01_tblFillRateFechas[[#This Row],[emb_cantidad]]-Tabla__192.168.1.8_POSEIDONSQL_APPFVT_01_tblFillRateFechas[[#This Row],[dev_cantidad]]</f>
        <v>1</v>
      </c>
      <c r="M1394" s="1">
        <f>+IF(Tabla__192.168.1.8_POSEIDONSQL_APPFVT_01_tblFillRateFechas[[#This Row],[Cant_Resultante]]=Tabla__192.168.1.8_POSEIDONSQL_APPFVT_01_tblFillRateFechas[[#This Row],[cant_order]],1,0)</f>
        <v>1</v>
      </c>
      <c r="N139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4" s="1">
        <f>+IF(AND(Tabla__192.168.1.8_POSEIDONSQL_APPFVT_01_tblFillRateFechas[[#This Row],[Valida Cant]]=1,Tabla__192.168.1.8_POSEIDONSQL_APPFVT_01_tblFillRateFechas[[#This Row],[Valida Fec]]=1),1,0)</f>
        <v>1</v>
      </c>
      <c r="P1394" s="1">
        <f>+(Tabla__192.168.1.8_POSEIDONSQL_APPFVT_01_tblFillRateFechas[[#This Row],[Cant_Resultante]]/Tabla__192.168.1.8_POSEIDONSQL_APPFVT_01_tblFillRateFechas[[#This Row],[cant_order]])*100</f>
        <v>100</v>
      </c>
      <c r="Q139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4" s="1">
        <f>+IF(Tabla__192.168.1.8_POSEIDONSQL_APPFVT_01_tblFillRateFechas[[#This Row],[cant_order]]&gt;0,1,0)</f>
        <v>1</v>
      </c>
      <c r="V1394" s="1">
        <f>+IF(Tabla__192.168.1.8_POSEIDONSQL_APPFVT_01_tblFillRateFechas[[#This Row],[Resultado]]=1,1,0)</f>
        <v>1</v>
      </c>
      <c r="W1394" s="1" t="str">
        <f>+Tabla__192.168.1.8_POSEIDONSQL_APPFVT_01_tblFillRateFechas[[#This Row],[con_ocnumero]]&amp;Tabla__192.168.1.8_POSEIDONSQL_APPFVT_01_tblFillRateFechas[[#This Row],[con_codigounico]]</f>
        <v>92039710390050000706933980101</v>
      </c>
      <c r="X139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5" spans="1:24" x14ac:dyDescent="0.25">
      <c r="A1395">
        <v>9</v>
      </c>
      <c r="B1395" t="s">
        <v>48</v>
      </c>
      <c r="C1395">
        <v>9204006</v>
      </c>
      <c r="D1395" t="s">
        <v>430</v>
      </c>
      <c r="E1395" t="s">
        <v>422</v>
      </c>
      <c r="F1395" t="s">
        <v>415</v>
      </c>
      <c r="G1395">
        <v>1</v>
      </c>
      <c r="H1395">
        <v>1</v>
      </c>
      <c r="I1395" t="s">
        <v>422</v>
      </c>
      <c r="J1395">
        <v>0</v>
      </c>
      <c r="K1395" t="s">
        <v>1910</v>
      </c>
      <c r="L1395" s="1">
        <f>+Tabla__192.168.1.8_POSEIDONSQL_APPFVT_01_tblFillRateFechas[[#This Row],[emb_cantidad]]-Tabla__192.168.1.8_POSEIDONSQL_APPFVT_01_tblFillRateFechas[[#This Row],[dev_cantidad]]</f>
        <v>1</v>
      </c>
      <c r="M1395" s="1">
        <f>+IF(Tabla__192.168.1.8_POSEIDONSQL_APPFVT_01_tblFillRateFechas[[#This Row],[Cant_Resultante]]=Tabla__192.168.1.8_POSEIDONSQL_APPFVT_01_tblFillRateFechas[[#This Row],[cant_order]],1,0)</f>
        <v>1</v>
      </c>
      <c r="N139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5" s="1">
        <f>+IF(AND(Tabla__192.168.1.8_POSEIDONSQL_APPFVT_01_tblFillRateFechas[[#This Row],[Valida Cant]]=1,Tabla__192.168.1.8_POSEIDONSQL_APPFVT_01_tblFillRateFechas[[#This Row],[Valida Fec]]=1),1,0)</f>
        <v>1</v>
      </c>
      <c r="P1395" s="1">
        <f>+(Tabla__192.168.1.8_POSEIDONSQL_APPFVT_01_tblFillRateFechas[[#This Row],[Cant_Resultante]]/Tabla__192.168.1.8_POSEIDONSQL_APPFVT_01_tblFillRateFechas[[#This Row],[cant_order]])*100</f>
        <v>100</v>
      </c>
      <c r="Q139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5" s="1">
        <f>+IF(Tabla__192.168.1.8_POSEIDONSQL_APPFVT_01_tblFillRateFechas[[#This Row],[cant_order]]&gt;0,1,0)</f>
        <v>1</v>
      </c>
      <c r="V1395" s="1">
        <f>+IF(Tabla__192.168.1.8_POSEIDONSQL_APPFVT_01_tblFillRateFechas[[#This Row],[Resultado]]=1,1,0)</f>
        <v>1</v>
      </c>
      <c r="W1395" s="1" t="str">
        <f>+Tabla__192.168.1.8_POSEIDONSQL_APPFVT_01_tblFillRateFechas[[#This Row],[con_ocnumero]]&amp;Tabla__192.168.1.8_POSEIDONSQL_APPFVT_01_tblFillRateFechas[[#This Row],[con_codigounico]]</f>
        <v>92040060390050000706963810101</v>
      </c>
      <c r="X139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6" spans="1:24" x14ac:dyDescent="0.25">
      <c r="A1396">
        <v>9</v>
      </c>
      <c r="B1396" t="s">
        <v>48</v>
      </c>
      <c r="C1396">
        <v>9204167</v>
      </c>
      <c r="D1396" t="s">
        <v>430</v>
      </c>
      <c r="E1396" t="s">
        <v>420</v>
      </c>
      <c r="F1396" t="s">
        <v>415</v>
      </c>
      <c r="G1396">
        <v>1</v>
      </c>
      <c r="H1396">
        <v>1</v>
      </c>
      <c r="I1396" t="s">
        <v>420</v>
      </c>
      <c r="J1396">
        <v>0</v>
      </c>
      <c r="K1396" t="s">
        <v>1922</v>
      </c>
      <c r="L1396" s="1">
        <f>+Tabla__192.168.1.8_POSEIDONSQL_APPFVT_01_tblFillRateFechas[[#This Row],[emb_cantidad]]-Tabla__192.168.1.8_POSEIDONSQL_APPFVT_01_tblFillRateFechas[[#This Row],[dev_cantidad]]</f>
        <v>1</v>
      </c>
      <c r="M1396" s="1">
        <f>+IF(Tabla__192.168.1.8_POSEIDONSQL_APPFVT_01_tblFillRateFechas[[#This Row],[Cant_Resultante]]=Tabla__192.168.1.8_POSEIDONSQL_APPFVT_01_tblFillRateFechas[[#This Row],[cant_order]],1,0)</f>
        <v>1</v>
      </c>
      <c r="N139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6" s="1">
        <f>+IF(AND(Tabla__192.168.1.8_POSEIDONSQL_APPFVT_01_tblFillRateFechas[[#This Row],[Valida Cant]]=1,Tabla__192.168.1.8_POSEIDONSQL_APPFVT_01_tblFillRateFechas[[#This Row],[Valida Fec]]=1),1,0)</f>
        <v>1</v>
      </c>
      <c r="P1396" s="1">
        <f>+(Tabla__192.168.1.8_POSEIDONSQL_APPFVT_01_tblFillRateFechas[[#This Row],[Cant_Resultante]]/Tabla__192.168.1.8_POSEIDONSQL_APPFVT_01_tblFillRateFechas[[#This Row],[cant_order]])*100</f>
        <v>100</v>
      </c>
      <c r="Q139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6" s="1">
        <f>+IF(Tabla__192.168.1.8_POSEIDONSQL_APPFVT_01_tblFillRateFechas[[#This Row],[cant_order]]&gt;0,1,0)</f>
        <v>1</v>
      </c>
      <c r="V1396" s="1">
        <f>+IF(Tabla__192.168.1.8_POSEIDONSQL_APPFVT_01_tblFillRateFechas[[#This Row],[Resultado]]=1,1,0)</f>
        <v>1</v>
      </c>
      <c r="W1396" s="1" t="str">
        <f>+Tabla__192.168.1.8_POSEIDONSQL_APPFVT_01_tblFillRateFechas[[#This Row],[con_ocnumero]]&amp;Tabla__192.168.1.8_POSEIDONSQL_APPFVT_01_tblFillRateFechas[[#This Row],[con_codigounico]]</f>
        <v>92041670390050000706968560102</v>
      </c>
      <c r="X139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7" spans="1:24" x14ac:dyDescent="0.25">
      <c r="A1397">
        <v>9</v>
      </c>
      <c r="B1397" t="s">
        <v>48</v>
      </c>
      <c r="C1397">
        <v>9204006</v>
      </c>
      <c r="D1397" t="s">
        <v>430</v>
      </c>
      <c r="E1397" t="s">
        <v>420</v>
      </c>
      <c r="F1397" t="s">
        <v>415</v>
      </c>
      <c r="G1397">
        <v>1</v>
      </c>
      <c r="H1397">
        <v>1</v>
      </c>
      <c r="I1397" t="s">
        <v>420</v>
      </c>
      <c r="J1397">
        <v>0</v>
      </c>
      <c r="K1397" t="s">
        <v>1927</v>
      </c>
      <c r="L1397" s="1">
        <f>+Tabla__192.168.1.8_POSEIDONSQL_APPFVT_01_tblFillRateFechas[[#This Row],[emb_cantidad]]-Tabla__192.168.1.8_POSEIDONSQL_APPFVT_01_tblFillRateFechas[[#This Row],[dev_cantidad]]</f>
        <v>1</v>
      </c>
      <c r="M1397" s="1">
        <f>+IF(Tabla__192.168.1.8_POSEIDONSQL_APPFVT_01_tblFillRateFechas[[#This Row],[Cant_Resultante]]=Tabla__192.168.1.8_POSEIDONSQL_APPFVT_01_tblFillRateFechas[[#This Row],[cant_order]],1,0)</f>
        <v>1</v>
      </c>
      <c r="N139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7" s="1">
        <f>+IF(AND(Tabla__192.168.1.8_POSEIDONSQL_APPFVT_01_tblFillRateFechas[[#This Row],[Valida Cant]]=1,Tabla__192.168.1.8_POSEIDONSQL_APPFVT_01_tblFillRateFechas[[#This Row],[Valida Fec]]=1),1,0)</f>
        <v>1</v>
      </c>
      <c r="P1397" s="1">
        <f>+(Tabla__192.168.1.8_POSEIDONSQL_APPFVT_01_tblFillRateFechas[[#This Row],[Cant_Resultante]]/Tabla__192.168.1.8_POSEIDONSQL_APPFVT_01_tblFillRateFechas[[#This Row],[cant_order]])*100</f>
        <v>100</v>
      </c>
      <c r="Q139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7" s="1">
        <f>+IF(Tabla__192.168.1.8_POSEIDONSQL_APPFVT_01_tblFillRateFechas[[#This Row],[cant_order]]&gt;0,1,0)</f>
        <v>1</v>
      </c>
      <c r="V1397" s="1">
        <f>+IF(Tabla__192.168.1.8_POSEIDONSQL_APPFVT_01_tblFillRateFechas[[#This Row],[Resultado]]=1,1,0)</f>
        <v>1</v>
      </c>
      <c r="W1397" s="1" t="str">
        <f>+Tabla__192.168.1.8_POSEIDONSQL_APPFVT_01_tblFillRateFechas[[#This Row],[con_ocnumero]]&amp;Tabla__192.168.1.8_POSEIDONSQL_APPFVT_01_tblFillRateFechas[[#This Row],[con_codigounico]]</f>
        <v>92040060390050000706974680101</v>
      </c>
      <c r="X139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8" spans="1:24" x14ac:dyDescent="0.25">
      <c r="A1398">
        <v>9</v>
      </c>
      <c r="B1398" t="s">
        <v>48</v>
      </c>
      <c r="C1398">
        <v>9204216</v>
      </c>
      <c r="D1398" t="s">
        <v>414</v>
      </c>
      <c r="E1398" t="s">
        <v>422</v>
      </c>
      <c r="F1398" t="s">
        <v>415</v>
      </c>
      <c r="G1398">
        <v>1</v>
      </c>
      <c r="H1398">
        <v>1</v>
      </c>
      <c r="I1398" t="s">
        <v>422</v>
      </c>
      <c r="J1398">
        <v>0</v>
      </c>
      <c r="K1398" t="s">
        <v>1904</v>
      </c>
      <c r="L1398" s="1">
        <f>+Tabla__192.168.1.8_POSEIDONSQL_APPFVT_01_tblFillRateFechas[[#This Row],[emb_cantidad]]-Tabla__192.168.1.8_POSEIDONSQL_APPFVT_01_tblFillRateFechas[[#This Row],[dev_cantidad]]</f>
        <v>1</v>
      </c>
      <c r="M1398" s="1">
        <f>+IF(Tabla__192.168.1.8_POSEIDONSQL_APPFVT_01_tblFillRateFechas[[#This Row],[Cant_Resultante]]=Tabla__192.168.1.8_POSEIDONSQL_APPFVT_01_tblFillRateFechas[[#This Row],[cant_order]],1,0)</f>
        <v>1</v>
      </c>
      <c r="N139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8" s="1">
        <f>+IF(AND(Tabla__192.168.1.8_POSEIDONSQL_APPFVT_01_tblFillRateFechas[[#This Row],[Valida Cant]]=1,Tabla__192.168.1.8_POSEIDONSQL_APPFVT_01_tblFillRateFechas[[#This Row],[Valida Fec]]=1),1,0)</f>
        <v>1</v>
      </c>
      <c r="P1398" s="1">
        <f>+(Tabla__192.168.1.8_POSEIDONSQL_APPFVT_01_tblFillRateFechas[[#This Row],[Cant_Resultante]]/Tabla__192.168.1.8_POSEIDONSQL_APPFVT_01_tblFillRateFechas[[#This Row],[cant_order]])*100</f>
        <v>100</v>
      </c>
      <c r="Q139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8" s="1">
        <f>+IF(Tabla__192.168.1.8_POSEIDONSQL_APPFVT_01_tblFillRateFechas[[#This Row],[cant_order]]&gt;0,1,0)</f>
        <v>1</v>
      </c>
      <c r="V1398" s="1">
        <f>+IF(Tabla__192.168.1.8_POSEIDONSQL_APPFVT_01_tblFillRateFechas[[#This Row],[Resultado]]=1,1,0)</f>
        <v>1</v>
      </c>
      <c r="W1398" s="1" t="str">
        <f>+Tabla__192.168.1.8_POSEIDONSQL_APPFVT_01_tblFillRateFechas[[#This Row],[con_ocnumero]]&amp;Tabla__192.168.1.8_POSEIDONSQL_APPFVT_01_tblFillRateFechas[[#This Row],[con_codigounico]]</f>
        <v>92042160390050000707153870101</v>
      </c>
      <c r="X139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399" spans="1:24" x14ac:dyDescent="0.25">
      <c r="A1399">
        <v>9</v>
      </c>
      <c r="B1399" t="s">
        <v>48</v>
      </c>
      <c r="C1399">
        <v>9204433</v>
      </c>
      <c r="D1399" t="s">
        <v>414</v>
      </c>
      <c r="E1399" t="s">
        <v>420</v>
      </c>
      <c r="F1399" t="s">
        <v>415</v>
      </c>
      <c r="G1399">
        <v>1</v>
      </c>
      <c r="H1399">
        <v>1</v>
      </c>
      <c r="I1399" t="s">
        <v>420</v>
      </c>
      <c r="J1399">
        <v>0</v>
      </c>
      <c r="K1399" t="s">
        <v>1923</v>
      </c>
      <c r="L1399" s="1">
        <f>+Tabla__192.168.1.8_POSEIDONSQL_APPFVT_01_tblFillRateFechas[[#This Row],[emb_cantidad]]-Tabla__192.168.1.8_POSEIDONSQL_APPFVT_01_tblFillRateFechas[[#This Row],[dev_cantidad]]</f>
        <v>1</v>
      </c>
      <c r="M1399" s="1">
        <f>+IF(Tabla__192.168.1.8_POSEIDONSQL_APPFVT_01_tblFillRateFechas[[#This Row],[Cant_Resultante]]=Tabla__192.168.1.8_POSEIDONSQL_APPFVT_01_tblFillRateFechas[[#This Row],[cant_order]],1,0)</f>
        <v>1</v>
      </c>
      <c r="N139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399" s="1">
        <f>+IF(AND(Tabla__192.168.1.8_POSEIDONSQL_APPFVT_01_tblFillRateFechas[[#This Row],[Valida Cant]]=1,Tabla__192.168.1.8_POSEIDONSQL_APPFVT_01_tblFillRateFechas[[#This Row],[Valida Fec]]=1),1,0)</f>
        <v>1</v>
      </c>
      <c r="P1399" s="1">
        <f>+(Tabla__192.168.1.8_POSEIDONSQL_APPFVT_01_tblFillRateFechas[[#This Row],[Cant_Resultante]]/Tabla__192.168.1.8_POSEIDONSQL_APPFVT_01_tblFillRateFechas[[#This Row],[cant_order]])*100</f>
        <v>100</v>
      </c>
      <c r="Q139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39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39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39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399" s="1">
        <f>+IF(Tabla__192.168.1.8_POSEIDONSQL_APPFVT_01_tblFillRateFechas[[#This Row],[cant_order]]&gt;0,1,0)</f>
        <v>1</v>
      </c>
      <c r="V1399" s="1">
        <f>+IF(Tabla__192.168.1.8_POSEIDONSQL_APPFVT_01_tblFillRateFechas[[#This Row],[Resultado]]=1,1,0)</f>
        <v>1</v>
      </c>
      <c r="W1399" s="1" t="str">
        <f>+Tabla__192.168.1.8_POSEIDONSQL_APPFVT_01_tblFillRateFechas[[#This Row],[con_ocnumero]]&amp;Tabla__192.168.1.8_POSEIDONSQL_APPFVT_01_tblFillRateFechas[[#This Row],[con_codigounico]]</f>
        <v>92044330390050000707393610103</v>
      </c>
      <c r="X139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0" spans="1:24" x14ac:dyDescent="0.25">
      <c r="A1400">
        <v>9</v>
      </c>
      <c r="B1400" t="s">
        <v>48</v>
      </c>
      <c r="C1400">
        <v>9204465</v>
      </c>
      <c r="D1400" t="s">
        <v>1984</v>
      </c>
      <c r="E1400" t="s">
        <v>422</v>
      </c>
      <c r="F1400" t="s">
        <v>415</v>
      </c>
      <c r="G1400">
        <v>1</v>
      </c>
      <c r="H1400">
        <v>1</v>
      </c>
      <c r="I1400" t="s">
        <v>422</v>
      </c>
      <c r="J1400">
        <v>0</v>
      </c>
      <c r="K1400" t="s">
        <v>1906</v>
      </c>
      <c r="L1400" s="1">
        <f>+Tabla__192.168.1.8_POSEIDONSQL_APPFVT_01_tblFillRateFechas[[#This Row],[emb_cantidad]]-Tabla__192.168.1.8_POSEIDONSQL_APPFVT_01_tblFillRateFechas[[#This Row],[dev_cantidad]]</f>
        <v>1</v>
      </c>
      <c r="M1400" s="1">
        <f>+IF(Tabla__192.168.1.8_POSEIDONSQL_APPFVT_01_tblFillRateFechas[[#This Row],[Cant_Resultante]]=Tabla__192.168.1.8_POSEIDONSQL_APPFVT_01_tblFillRateFechas[[#This Row],[cant_order]],1,0)</f>
        <v>1</v>
      </c>
      <c r="N140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0" s="1">
        <f>+IF(AND(Tabla__192.168.1.8_POSEIDONSQL_APPFVT_01_tblFillRateFechas[[#This Row],[Valida Cant]]=1,Tabla__192.168.1.8_POSEIDONSQL_APPFVT_01_tblFillRateFechas[[#This Row],[Valida Fec]]=1),1,0)</f>
        <v>1</v>
      </c>
      <c r="P1400" s="1">
        <f>+(Tabla__192.168.1.8_POSEIDONSQL_APPFVT_01_tblFillRateFechas[[#This Row],[Cant_Resultante]]/Tabla__192.168.1.8_POSEIDONSQL_APPFVT_01_tblFillRateFechas[[#This Row],[cant_order]])*100</f>
        <v>100</v>
      </c>
      <c r="Q140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0" s="1">
        <f>+IF(Tabla__192.168.1.8_POSEIDONSQL_APPFVT_01_tblFillRateFechas[[#This Row],[cant_order]]&gt;0,1,0)</f>
        <v>1</v>
      </c>
      <c r="V1400" s="1">
        <f>+IF(Tabla__192.168.1.8_POSEIDONSQL_APPFVT_01_tblFillRateFechas[[#This Row],[Resultado]]=1,1,0)</f>
        <v>1</v>
      </c>
      <c r="W1400" s="1" t="str">
        <f>+Tabla__192.168.1.8_POSEIDONSQL_APPFVT_01_tblFillRateFechas[[#This Row],[con_ocnumero]]&amp;Tabla__192.168.1.8_POSEIDONSQL_APPFVT_01_tblFillRateFechas[[#This Row],[con_codigounico]]</f>
        <v>92044650390050000707471210101</v>
      </c>
      <c r="X140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1" spans="1:24" x14ac:dyDescent="0.25">
      <c r="A1401">
        <v>9</v>
      </c>
      <c r="B1401" t="s">
        <v>48</v>
      </c>
      <c r="C1401">
        <v>9204556</v>
      </c>
      <c r="D1401" t="s">
        <v>1984</v>
      </c>
      <c r="E1401" t="s">
        <v>416</v>
      </c>
      <c r="F1401" t="s">
        <v>415</v>
      </c>
      <c r="G1401">
        <v>1</v>
      </c>
      <c r="H1401">
        <v>1</v>
      </c>
      <c r="I1401" t="s">
        <v>416</v>
      </c>
      <c r="J1401">
        <v>0</v>
      </c>
      <c r="K1401" t="s">
        <v>1915</v>
      </c>
      <c r="L1401" s="1">
        <f>+Tabla__192.168.1.8_POSEIDONSQL_APPFVT_01_tblFillRateFechas[[#This Row],[emb_cantidad]]-Tabla__192.168.1.8_POSEIDONSQL_APPFVT_01_tblFillRateFechas[[#This Row],[dev_cantidad]]</f>
        <v>1</v>
      </c>
      <c r="M1401" s="1">
        <f>+IF(Tabla__192.168.1.8_POSEIDONSQL_APPFVT_01_tblFillRateFechas[[#This Row],[Cant_Resultante]]=Tabla__192.168.1.8_POSEIDONSQL_APPFVT_01_tblFillRateFechas[[#This Row],[cant_order]],1,0)</f>
        <v>1</v>
      </c>
      <c r="N140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1" s="1">
        <f>+IF(AND(Tabla__192.168.1.8_POSEIDONSQL_APPFVT_01_tblFillRateFechas[[#This Row],[Valida Cant]]=1,Tabla__192.168.1.8_POSEIDONSQL_APPFVT_01_tblFillRateFechas[[#This Row],[Valida Fec]]=1),1,0)</f>
        <v>1</v>
      </c>
      <c r="P1401" s="1">
        <f>+(Tabla__192.168.1.8_POSEIDONSQL_APPFVT_01_tblFillRateFechas[[#This Row],[Cant_Resultante]]/Tabla__192.168.1.8_POSEIDONSQL_APPFVT_01_tblFillRateFechas[[#This Row],[cant_order]])*100</f>
        <v>100</v>
      </c>
      <c r="Q140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1" s="1">
        <f>+IF(Tabla__192.168.1.8_POSEIDONSQL_APPFVT_01_tblFillRateFechas[[#This Row],[cant_order]]&gt;0,1,0)</f>
        <v>1</v>
      </c>
      <c r="V1401" s="1">
        <f>+IF(Tabla__192.168.1.8_POSEIDONSQL_APPFVT_01_tblFillRateFechas[[#This Row],[Resultado]]=1,1,0)</f>
        <v>1</v>
      </c>
      <c r="W1401" s="1" t="str">
        <f>+Tabla__192.168.1.8_POSEIDONSQL_APPFVT_01_tblFillRateFechas[[#This Row],[con_ocnumero]]&amp;Tabla__192.168.1.8_POSEIDONSQL_APPFVT_01_tblFillRateFechas[[#This Row],[con_codigounico]]</f>
        <v>92045560390050000707686400102</v>
      </c>
      <c r="X140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2" spans="1:24" x14ac:dyDescent="0.25">
      <c r="A1402">
        <v>9</v>
      </c>
      <c r="B1402" t="s">
        <v>48</v>
      </c>
      <c r="C1402">
        <v>9204574</v>
      </c>
      <c r="D1402" t="s">
        <v>1984</v>
      </c>
      <c r="E1402" t="s">
        <v>422</v>
      </c>
      <c r="F1402" t="s">
        <v>415</v>
      </c>
      <c r="G1402">
        <v>1</v>
      </c>
      <c r="H1402">
        <v>1</v>
      </c>
      <c r="I1402" t="s">
        <v>422</v>
      </c>
      <c r="J1402">
        <v>0</v>
      </c>
      <c r="K1402" t="s">
        <v>1932</v>
      </c>
      <c r="L1402" s="1">
        <f>+Tabla__192.168.1.8_POSEIDONSQL_APPFVT_01_tblFillRateFechas[[#This Row],[emb_cantidad]]-Tabla__192.168.1.8_POSEIDONSQL_APPFVT_01_tblFillRateFechas[[#This Row],[dev_cantidad]]</f>
        <v>1</v>
      </c>
      <c r="M1402" s="1">
        <f>+IF(Tabla__192.168.1.8_POSEIDONSQL_APPFVT_01_tblFillRateFechas[[#This Row],[Cant_Resultante]]=Tabla__192.168.1.8_POSEIDONSQL_APPFVT_01_tblFillRateFechas[[#This Row],[cant_order]],1,0)</f>
        <v>1</v>
      </c>
      <c r="N140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2" s="1">
        <f>+IF(AND(Tabla__192.168.1.8_POSEIDONSQL_APPFVT_01_tblFillRateFechas[[#This Row],[Valida Cant]]=1,Tabla__192.168.1.8_POSEIDONSQL_APPFVT_01_tblFillRateFechas[[#This Row],[Valida Fec]]=1),1,0)</f>
        <v>1</v>
      </c>
      <c r="P1402" s="1">
        <f>+(Tabla__192.168.1.8_POSEIDONSQL_APPFVT_01_tblFillRateFechas[[#This Row],[Cant_Resultante]]/Tabla__192.168.1.8_POSEIDONSQL_APPFVT_01_tblFillRateFechas[[#This Row],[cant_order]])*100</f>
        <v>100</v>
      </c>
      <c r="Q140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2" s="1">
        <f>+IF(Tabla__192.168.1.8_POSEIDONSQL_APPFVT_01_tblFillRateFechas[[#This Row],[cant_order]]&gt;0,1,0)</f>
        <v>1</v>
      </c>
      <c r="V1402" s="1">
        <f>+IF(Tabla__192.168.1.8_POSEIDONSQL_APPFVT_01_tblFillRateFechas[[#This Row],[Resultado]]=1,1,0)</f>
        <v>1</v>
      </c>
      <c r="W1402" s="1" t="str">
        <f>+Tabla__192.168.1.8_POSEIDONSQL_APPFVT_01_tblFillRateFechas[[#This Row],[con_ocnumero]]&amp;Tabla__192.168.1.8_POSEIDONSQL_APPFVT_01_tblFillRateFechas[[#This Row],[con_codigounico]]</f>
        <v>92045740390050000707701800101</v>
      </c>
      <c r="X140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3" spans="1:24" x14ac:dyDescent="0.25">
      <c r="A1403">
        <v>9</v>
      </c>
      <c r="B1403" t="s">
        <v>48</v>
      </c>
      <c r="C1403">
        <v>9204773</v>
      </c>
      <c r="D1403" t="s">
        <v>415</v>
      </c>
      <c r="E1403" t="s">
        <v>420</v>
      </c>
      <c r="F1403" t="s">
        <v>422</v>
      </c>
      <c r="G1403">
        <v>1</v>
      </c>
      <c r="H1403">
        <v>1</v>
      </c>
      <c r="I1403" t="s">
        <v>420</v>
      </c>
      <c r="J1403">
        <v>0</v>
      </c>
      <c r="K1403" t="s">
        <v>1005</v>
      </c>
      <c r="L1403" s="1">
        <f>+Tabla__192.168.1.8_POSEIDONSQL_APPFVT_01_tblFillRateFechas[[#This Row],[emb_cantidad]]-Tabla__192.168.1.8_POSEIDONSQL_APPFVT_01_tblFillRateFechas[[#This Row],[dev_cantidad]]</f>
        <v>1</v>
      </c>
      <c r="M1403" s="1">
        <f>+IF(Tabla__192.168.1.8_POSEIDONSQL_APPFVT_01_tblFillRateFechas[[#This Row],[Cant_Resultante]]=Tabla__192.168.1.8_POSEIDONSQL_APPFVT_01_tblFillRateFechas[[#This Row],[cant_order]],1,0)</f>
        <v>1</v>
      </c>
      <c r="N140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3" s="1">
        <f>+IF(AND(Tabla__192.168.1.8_POSEIDONSQL_APPFVT_01_tblFillRateFechas[[#This Row],[Valida Cant]]=1,Tabla__192.168.1.8_POSEIDONSQL_APPFVT_01_tblFillRateFechas[[#This Row],[Valida Fec]]=1),1,0)</f>
        <v>1</v>
      </c>
      <c r="P1403" s="1">
        <f>+(Tabla__192.168.1.8_POSEIDONSQL_APPFVT_01_tblFillRateFechas[[#This Row],[Cant_Resultante]]/Tabla__192.168.1.8_POSEIDONSQL_APPFVT_01_tblFillRateFechas[[#This Row],[cant_order]])*100</f>
        <v>100</v>
      </c>
      <c r="Q140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3" s="1">
        <f>+IF(Tabla__192.168.1.8_POSEIDONSQL_APPFVT_01_tblFillRateFechas[[#This Row],[cant_order]]&gt;0,1,0)</f>
        <v>1</v>
      </c>
      <c r="V1403" s="1">
        <f>+IF(Tabla__192.168.1.8_POSEIDONSQL_APPFVT_01_tblFillRateFechas[[#This Row],[Resultado]]=1,1,0)</f>
        <v>1</v>
      </c>
      <c r="W1403" s="1" t="str">
        <f>+Tabla__192.168.1.8_POSEIDONSQL_APPFVT_01_tblFillRateFechas[[#This Row],[con_ocnumero]]&amp;Tabla__192.168.1.8_POSEIDONSQL_APPFVT_01_tblFillRateFechas[[#This Row],[con_codigounico]]</f>
        <v>92047730390050000707719640101</v>
      </c>
      <c r="X140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4" spans="1:24" x14ac:dyDescent="0.25">
      <c r="A1404">
        <v>9</v>
      </c>
      <c r="B1404" t="s">
        <v>48</v>
      </c>
      <c r="C1404">
        <v>9204607</v>
      </c>
      <c r="D1404" t="s">
        <v>1984</v>
      </c>
      <c r="E1404" t="s">
        <v>422</v>
      </c>
      <c r="F1404" t="s">
        <v>415</v>
      </c>
      <c r="G1404">
        <v>1</v>
      </c>
      <c r="H1404">
        <v>1</v>
      </c>
      <c r="I1404" t="s">
        <v>422</v>
      </c>
      <c r="J1404">
        <v>0</v>
      </c>
      <c r="K1404" t="s">
        <v>1902</v>
      </c>
      <c r="L1404" s="1">
        <f>+Tabla__192.168.1.8_POSEIDONSQL_APPFVT_01_tblFillRateFechas[[#This Row],[emb_cantidad]]-Tabla__192.168.1.8_POSEIDONSQL_APPFVT_01_tblFillRateFechas[[#This Row],[dev_cantidad]]</f>
        <v>1</v>
      </c>
      <c r="M1404" s="1">
        <f>+IF(Tabla__192.168.1.8_POSEIDONSQL_APPFVT_01_tblFillRateFechas[[#This Row],[Cant_Resultante]]=Tabla__192.168.1.8_POSEIDONSQL_APPFVT_01_tblFillRateFechas[[#This Row],[cant_order]],1,0)</f>
        <v>1</v>
      </c>
      <c r="N140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4" s="1">
        <f>+IF(AND(Tabla__192.168.1.8_POSEIDONSQL_APPFVT_01_tblFillRateFechas[[#This Row],[Valida Cant]]=1,Tabla__192.168.1.8_POSEIDONSQL_APPFVT_01_tblFillRateFechas[[#This Row],[Valida Fec]]=1),1,0)</f>
        <v>1</v>
      </c>
      <c r="P1404" s="1">
        <f>+(Tabla__192.168.1.8_POSEIDONSQL_APPFVT_01_tblFillRateFechas[[#This Row],[Cant_Resultante]]/Tabla__192.168.1.8_POSEIDONSQL_APPFVT_01_tblFillRateFechas[[#This Row],[cant_order]])*100</f>
        <v>100</v>
      </c>
      <c r="Q140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4" s="1">
        <f>+IF(Tabla__192.168.1.8_POSEIDONSQL_APPFVT_01_tblFillRateFechas[[#This Row],[cant_order]]&gt;0,1,0)</f>
        <v>1</v>
      </c>
      <c r="V1404" s="1">
        <f>+IF(Tabla__192.168.1.8_POSEIDONSQL_APPFVT_01_tblFillRateFechas[[#This Row],[Resultado]]=1,1,0)</f>
        <v>1</v>
      </c>
      <c r="W1404" s="1" t="str">
        <f>+Tabla__192.168.1.8_POSEIDONSQL_APPFVT_01_tblFillRateFechas[[#This Row],[con_ocnumero]]&amp;Tabla__192.168.1.8_POSEIDONSQL_APPFVT_01_tblFillRateFechas[[#This Row],[con_codigounico]]</f>
        <v>92046070390050000707761910101</v>
      </c>
      <c r="X140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5" spans="1:24" x14ac:dyDescent="0.25">
      <c r="A1405">
        <v>9</v>
      </c>
      <c r="B1405" t="s">
        <v>48</v>
      </c>
      <c r="C1405">
        <v>9204708</v>
      </c>
      <c r="D1405" t="s">
        <v>1985</v>
      </c>
      <c r="E1405" t="s">
        <v>422</v>
      </c>
      <c r="F1405" t="s">
        <v>415</v>
      </c>
      <c r="G1405">
        <v>1</v>
      </c>
      <c r="H1405">
        <v>1</v>
      </c>
      <c r="I1405" t="s">
        <v>422</v>
      </c>
      <c r="J1405">
        <v>0</v>
      </c>
      <c r="K1405" t="s">
        <v>1903</v>
      </c>
      <c r="L1405" s="1">
        <f>+Tabla__192.168.1.8_POSEIDONSQL_APPFVT_01_tblFillRateFechas[[#This Row],[emb_cantidad]]-Tabla__192.168.1.8_POSEIDONSQL_APPFVT_01_tblFillRateFechas[[#This Row],[dev_cantidad]]</f>
        <v>1</v>
      </c>
      <c r="M1405" s="1">
        <f>+IF(Tabla__192.168.1.8_POSEIDONSQL_APPFVT_01_tblFillRateFechas[[#This Row],[Cant_Resultante]]=Tabla__192.168.1.8_POSEIDONSQL_APPFVT_01_tblFillRateFechas[[#This Row],[cant_order]],1,0)</f>
        <v>1</v>
      </c>
      <c r="N140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5" s="1">
        <f>+IF(AND(Tabla__192.168.1.8_POSEIDONSQL_APPFVT_01_tblFillRateFechas[[#This Row],[Valida Cant]]=1,Tabla__192.168.1.8_POSEIDONSQL_APPFVT_01_tblFillRateFechas[[#This Row],[Valida Fec]]=1),1,0)</f>
        <v>1</v>
      </c>
      <c r="P1405" s="1">
        <f>+(Tabla__192.168.1.8_POSEIDONSQL_APPFVT_01_tblFillRateFechas[[#This Row],[Cant_Resultante]]/Tabla__192.168.1.8_POSEIDONSQL_APPFVT_01_tblFillRateFechas[[#This Row],[cant_order]])*100</f>
        <v>100</v>
      </c>
      <c r="Q140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5" s="1">
        <f>+IF(Tabla__192.168.1.8_POSEIDONSQL_APPFVT_01_tblFillRateFechas[[#This Row],[cant_order]]&gt;0,1,0)</f>
        <v>1</v>
      </c>
      <c r="V1405" s="1">
        <f>+IF(Tabla__192.168.1.8_POSEIDONSQL_APPFVT_01_tblFillRateFechas[[#This Row],[Resultado]]=1,1,0)</f>
        <v>1</v>
      </c>
      <c r="W1405" s="1" t="str">
        <f>+Tabla__192.168.1.8_POSEIDONSQL_APPFVT_01_tblFillRateFechas[[#This Row],[con_ocnumero]]&amp;Tabla__192.168.1.8_POSEIDONSQL_APPFVT_01_tblFillRateFechas[[#This Row],[con_codigounico]]</f>
        <v>92047080390050000708057120101</v>
      </c>
      <c r="X140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6" spans="1:24" x14ac:dyDescent="0.25">
      <c r="A1406">
        <v>9</v>
      </c>
      <c r="B1406" t="s">
        <v>48</v>
      </c>
      <c r="C1406">
        <v>9204773</v>
      </c>
      <c r="D1406" t="s">
        <v>1985</v>
      </c>
      <c r="E1406" t="s">
        <v>420</v>
      </c>
      <c r="F1406" t="s">
        <v>422</v>
      </c>
      <c r="G1406">
        <v>1</v>
      </c>
      <c r="H1406">
        <v>1</v>
      </c>
      <c r="I1406" t="s">
        <v>420</v>
      </c>
      <c r="J1406">
        <v>0</v>
      </c>
      <c r="K1406" t="s">
        <v>1006</v>
      </c>
      <c r="L1406" s="1">
        <f>+Tabla__192.168.1.8_POSEIDONSQL_APPFVT_01_tblFillRateFechas[[#This Row],[emb_cantidad]]-Tabla__192.168.1.8_POSEIDONSQL_APPFVT_01_tblFillRateFechas[[#This Row],[dev_cantidad]]</f>
        <v>1</v>
      </c>
      <c r="M1406" s="1">
        <f>+IF(Tabla__192.168.1.8_POSEIDONSQL_APPFVT_01_tblFillRateFechas[[#This Row],[Cant_Resultante]]=Tabla__192.168.1.8_POSEIDONSQL_APPFVT_01_tblFillRateFechas[[#This Row],[cant_order]],1,0)</f>
        <v>1</v>
      </c>
      <c r="N140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6" s="1">
        <f>+IF(AND(Tabla__192.168.1.8_POSEIDONSQL_APPFVT_01_tblFillRateFechas[[#This Row],[Valida Cant]]=1,Tabla__192.168.1.8_POSEIDONSQL_APPFVT_01_tblFillRateFechas[[#This Row],[Valida Fec]]=1),1,0)</f>
        <v>1</v>
      </c>
      <c r="P1406" s="1">
        <f>+(Tabla__192.168.1.8_POSEIDONSQL_APPFVT_01_tblFillRateFechas[[#This Row],[Cant_Resultante]]/Tabla__192.168.1.8_POSEIDONSQL_APPFVT_01_tblFillRateFechas[[#This Row],[cant_order]])*100</f>
        <v>100</v>
      </c>
      <c r="Q140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6" s="1">
        <f>+IF(Tabla__192.168.1.8_POSEIDONSQL_APPFVT_01_tblFillRateFechas[[#This Row],[cant_order]]&gt;0,1,0)</f>
        <v>1</v>
      </c>
      <c r="V1406" s="1">
        <f>+IF(Tabla__192.168.1.8_POSEIDONSQL_APPFVT_01_tblFillRateFechas[[#This Row],[Resultado]]=1,1,0)</f>
        <v>1</v>
      </c>
      <c r="W1406" s="1" t="str">
        <f>+Tabla__192.168.1.8_POSEIDONSQL_APPFVT_01_tblFillRateFechas[[#This Row],[con_ocnumero]]&amp;Tabla__192.168.1.8_POSEIDONSQL_APPFVT_01_tblFillRateFechas[[#This Row],[con_codigounico]]</f>
        <v>92047730390050000708141220102</v>
      </c>
      <c r="X140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7" spans="1:24" x14ac:dyDescent="0.25">
      <c r="A1407">
        <v>9</v>
      </c>
      <c r="B1407" t="s">
        <v>48</v>
      </c>
      <c r="C1407">
        <v>9205448</v>
      </c>
      <c r="D1407" t="s">
        <v>422</v>
      </c>
      <c r="E1407" t="s">
        <v>420</v>
      </c>
      <c r="F1407" t="s">
        <v>422</v>
      </c>
      <c r="G1407">
        <v>1</v>
      </c>
      <c r="H1407">
        <v>1</v>
      </c>
      <c r="I1407" t="s">
        <v>420</v>
      </c>
      <c r="J1407">
        <v>0</v>
      </c>
      <c r="K1407" t="s">
        <v>1004</v>
      </c>
      <c r="L1407" s="1">
        <f>+Tabla__192.168.1.8_POSEIDONSQL_APPFVT_01_tblFillRateFechas[[#This Row],[emb_cantidad]]-Tabla__192.168.1.8_POSEIDONSQL_APPFVT_01_tblFillRateFechas[[#This Row],[dev_cantidad]]</f>
        <v>1</v>
      </c>
      <c r="M1407" s="1">
        <f>+IF(Tabla__192.168.1.8_POSEIDONSQL_APPFVT_01_tblFillRateFechas[[#This Row],[Cant_Resultante]]=Tabla__192.168.1.8_POSEIDONSQL_APPFVT_01_tblFillRateFechas[[#This Row],[cant_order]],1,0)</f>
        <v>1</v>
      </c>
      <c r="N140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7" s="1">
        <f>+IF(AND(Tabla__192.168.1.8_POSEIDONSQL_APPFVT_01_tblFillRateFechas[[#This Row],[Valida Cant]]=1,Tabla__192.168.1.8_POSEIDONSQL_APPFVT_01_tblFillRateFechas[[#This Row],[Valida Fec]]=1),1,0)</f>
        <v>1</v>
      </c>
      <c r="P1407" s="1">
        <f>+(Tabla__192.168.1.8_POSEIDONSQL_APPFVT_01_tblFillRateFechas[[#This Row],[Cant_Resultante]]/Tabla__192.168.1.8_POSEIDONSQL_APPFVT_01_tblFillRateFechas[[#This Row],[cant_order]])*100</f>
        <v>100</v>
      </c>
      <c r="Q140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7" s="1">
        <f>+IF(Tabla__192.168.1.8_POSEIDONSQL_APPFVT_01_tblFillRateFechas[[#This Row],[cant_order]]&gt;0,1,0)</f>
        <v>1</v>
      </c>
      <c r="V1407" s="1">
        <f>+IF(Tabla__192.168.1.8_POSEIDONSQL_APPFVT_01_tblFillRateFechas[[#This Row],[Resultado]]=1,1,0)</f>
        <v>1</v>
      </c>
      <c r="W1407" s="1" t="str">
        <f>+Tabla__192.168.1.8_POSEIDONSQL_APPFVT_01_tblFillRateFechas[[#This Row],[con_ocnumero]]&amp;Tabla__192.168.1.8_POSEIDONSQL_APPFVT_01_tblFillRateFechas[[#This Row],[con_codigounico]]</f>
        <v>92054480390050000708159070101</v>
      </c>
      <c r="X140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8" spans="1:24" x14ac:dyDescent="0.25">
      <c r="A1408">
        <v>9</v>
      </c>
      <c r="B1408" t="s">
        <v>48</v>
      </c>
      <c r="C1408">
        <v>9204773</v>
      </c>
      <c r="D1408" t="s">
        <v>415</v>
      </c>
      <c r="E1408" t="s">
        <v>420</v>
      </c>
      <c r="F1408" t="s">
        <v>422</v>
      </c>
      <c r="G1408">
        <v>1</v>
      </c>
      <c r="H1408">
        <v>1</v>
      </c>
      <c r="I1408" t="s">
        <v>420</v>
      </c>
      <c r="J1408">
        <v>0</v>
      </c>
      <c r="K1408" t="s">
        <v>1007</v>
      </c>
      <c r="L1408" s="1">
        <f>+Tabla__192.168.1.8_POSEIDONSQL_APPFVT_01_tblFillRateFechas[[#This Row],[emb_cantidad]]-Tabla__192.168.1.8_POSEIDONSQL_APPFVT_01_tblFillRateFechas[[#This Row],[dev_cantidad]]</f>
        <v>1</v>
      </c>
      <c r="M1408" s="1">
        <f>+IF(Tabla__192.168.1.8_POSEIDONSQL_APPFVT_01_tblFillRateFechas[[#This Row],[Cant_Resultante]]=Tabla__192.168.1.8_POSEIDONSQL_APPFVT_01_tblFillRateFechas[[#This Row],[cant_order]],1,0)</f>
        <v>1</v>
      </c>
      <c r="N140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8" s="1">
        <f>+IF(AND(Tabla__192.168.1.8_POSEIDONSQL_APPFVT_01_tblFillRateFechas[[#This Row],[Valida Cant]]=1,Tabla__192.168.1.8_POSEIDONSQL_APPFVT_01_tblFillRateFechas[[#This Row],[Valida Fec]]=1),1,0)</f>
        <v>1</v>
      </c>
      <c r="P1408" s="1">
        <f>+(Tabla__192.168.1.8_POSEIDONSQL_APPFVT_01_tblFillRateFechas[[#This Row],[Cant_Resultante]]/Tabla__192.168.1.8_POSEIDONSQL_APPFVT_01_tblFillRateFechas[[#This Row],[cant_order]])*100</f>
        <v>100</v>
      </c>
      <c r="Q140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8" s="1">
        <f>+IF(Tabla__192.168.1.8_POSEIDONSQL_APPFVT_01_tblFillRateFechas[[#This Row],[cant_order]]&gt;0,1,0)</f>
        <v>1</v>
      </c>
      <c r="V1408" s="1">
        <f>+IF(Tabla__192.168.1.8_POSEIDONSQL_APPFVT_01_tblFillRateFechas[[#This Row],[Resultado]]=1,1,0)</f>
        <v>1</v>
      </c>
      <c r="W1408" s="1" t="str">
        <f>+Tabla__192.168.1.8_POSEIDONSQL_APPFVT_01_tblFillRateFechas[[#This Row],[con_ocnumero]]&amp;Tabla__192.168.1.8_POSEIDONSQL_APPFVT_01_tblFillRateFechas[[#This Row],[con_codigounico]]</f>
        <v>92047730390050000708185990101</v>
      </c>
      <c r="X140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09" spans="1:24" x14ac:dyDescent="0.25">
      <c r="A1409">
        <v>9</v>
      </c>
      <c r="B1409" t="s">
        <v>48</v>
      </c>
      <c r="C1409">
        <v>9204870</v>
      </c>
      <c r="D1409" t="s">
        <v>415</v>
      </c>
      <c r="E1409" t="s">
        <v>420</v>
      </c>
      <c r="F1409" t="s">
        <v>422</v>
      </c>
      <c r="G1409">
        <v>1</v>
      </c>
      <c r="H1409">
        <v>1</v>
      </c>
      <c r="I1409" t="s">
        <v>420</v>
      </c>
      <c r="J1409">
        <v>0</v>
      </c>
      <c r="K1409" t="s">
        <v>1008</v>
      </c>
      <c r="L1409" s="1">
        <f>+Tabla__192.168.1.8_POSEIDONSQL_APPFVT_01_tblFillRateFechas[[#This Row],[emb_cantidad]]-Tabla__192.168.1.8_POSEIDONSQL_APPFVT_01_tblFillRateFechas[[#This Row],[dev_cantidad]]</f>
        <v>1</v>
      </c>
      <c r="M1409" s="1">
        <f>+IF(Tabla__192.168.1.8_POSEIDONSQL_APPFVT_01_tblFillRateFechas[[#This Row],[Cant_Resultante]]=Tabla__192.168.1.8_POSEIDONSQL_APPFVT_01_tblFillRateFechas[[#This Row],[cant_order]],1,0)</f>
        <v>1</v>
      </c>
      <c r="N140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09" s="1">
        <f>+IF(AND(Tabla__192.168.1.8_POSEIDONSQL_APPFVT_01_tblFillRateFechas[[#This Row],[Valida Cant]]=1,Tabla__192.168.1.8_POSEIDONSQL_APPFVT_01_tblFillRateFechas[[#This Row],[Valida Fec]]=1),1,0)</f>
        <v>1</v>
      </c>
      <c r="P1409" s="1">
        <f>+(Tabla__192.168.1.8_POSEIDONSQL_APPFVT_01_tblFillRateFechas[[#This Row],[Cant_Resultante]]/Tabla__192.168.1.8_POSEIDONSQL_APPFVT_01_tblFillRateFechas[[#This Row],[cant_order]])*100</f>
        <v>100</v>
      </c>
      <c r="Q140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0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0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0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09" s="1">
        <f>+IF(Tabla__192.168.1.8_POSEIDONSQL_APPFVT_01_tblFillRateFechas[[#This Row],[cant_order]]&gt;0,1,0)</f>
        <v>1</v>
      </c>
      <c r="V1409" s="1">
        <f>+IF(Tabla__192.168.1.8_POSEIDONSQL_APPFVT_01_tblFillRateFechas[[#This Row],[Resultado]]=1,1,0)</f>
        <v>1</v>
      </c>
      <c r="W1409" s="1" t="str">
        <f>+Tabla__192.168.1.8_POSEIDONSQL_APPFVT_01_tblFillRateFechas[[#This Row],[con_ocnumero]]&amp;Tabla__192.168.1.8_POSEIDONSQL_APPFVT_01_tblFillRateFechas[[#This Row],[con_codigounico]]</f>
        <v>92048700390050000708305740101</v>
      </c>
      <c r="X140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0" spans="1:24" x14ac:dyDescent="0.25">
      <c r="A1410">
        <v>9</v>
      </c>
      <c r="B1410" t="s">
        <v>48</v>
      </c>
      <c r="C1410">
        <v>9205323</v>
      </c>
      <c r="D1410" t="s">
        <v>415</v>
      </c>
      <c r="E1410" t="s">
        <v>420</v>
      </c>
      <c r="F1410" t="s">
        <v>422</v>
      </c>
      <c r="G1410">
        <v>1</v>
      </c>
      <c r="H1410">
        <v>1</v>
      </c>
      <c r="I1410" t="s">
        <v>420</v>
      </c>
      <c r="J1410">
        <v>0</v>
      </c>
      <c r="K1410" t="s">
        <v>928</v>
      </c>
      <c r="L1410" s="1">
        <f>+Tabla__192.168.1.8_POSEIDONSQL_APPFVT_01_tblFillRateFechas[[#This Row],[emb_cantidad]]-Tabla__192.168.1.8_POSEIDONSQL_APPFVT_01_tblFillRateFechas[[#This Row],[dev_cantidad]]</f>
        <v>1</v>
      </c>
      <c r="M1410" s="1">
        <f>+IF(Tabla__192.168.1.8_POSEIDONSQL_APPFVT_01_tblFillRateFechas[[#This Row],[Cant_Resultante]]=Tabla__192.168.1.8_POSEIDONSQL_APPFVT_01_tblFillRateFechas[[#This Row],[cant_order]],1,0)</f>
        <v>1</v>
      </c>
      <c r="N141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0" s="1">
        <f>+IF(AND(Tabla__192.168.1.8_POSEIDONSQL_APPFVT_01_tblFillRateFechas[[#This Row],[Valida Cant]]=1,Tabla__192.168.1.8_POSEIDONSQL_APPFVT_01_tblFillRateFechas[[#This Row],[Valida Fec]]=1),1,0)</f>
        <v>1</v>
      </c>
      <c r="P1410" s="1">
        <f>+(Tabla__192.168.1.8_POSEIDONSQL_APPFVT_01_tblFillRateFechas[[#This Row],[Cant_Resultante]]/Tabla__192.168.1.8_POSEIDONSQL_APPFVT_01_tblFillRateFechas[[#This Row],[cant_order]])*100</f>
        <v>100</v>
      </c>
      <c r="Q141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0" s="1">
        <f>+IF(Tabla__192.168.1.8_POSEIDONSQL_APPFVT_01_tblFillRateFechas[[#This Row],[cant_order]]&gt;0,1,0)</f>
        <v>1</v>
      </c>
      <c r="V1410" s="1">
        <f>+IF(Tabla__192.168.1.8_POSEIDONSQL_APPFVT_01_tblFillRateFechas[[#This Row],[Resultado]]=1,1,0)</f>
        <v>1</v>
      </c>
      <c r="W1410" s="1" t="str">
        <f>+Tabla__192.168.1.8_POSEIDONSQL_APPFVT_01_tblFillRateFechas[[#This Row],[con_ocnumero]]&amp;Tabla__192.168.1.8_POSEIDONSQL_APPFVT_01_tblFillRateFechas[[#This Row],[con_codigounico]]</f>
        <v>92053230390050000708398760101</v>
      </c>
      <c r="X141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1" spans="1:24" x14ac:dyDescent="0.25">
      <c r="A1411">
        <v>9</v>
      </c>
      <c r="B1411" t="s">
        <v>48</v>
      </c>
      <c r="C1411">
        <v>9205127</v>
      </c>
      <c r="D1411" t="s">
        <v>415</v>
      </c>
      <c r="E1411" t="s">
        <v>420</v>
      </c>
      <c r="F1411" t="s">
        <v>422</v>
      </c>
      <c r="G1411">
        <v>1</v>
      </c>
      <c r="H1411">
        <v>1</v>
      </c>
      <c r="I1411" t="s">
        <v>420</v>
      </c>
      <c r="J1411">
        <v>0</v>
      </c>
      <c r="K1411" t="s">
        <v>926</v>
      </c>
      <c r="L1411" s="1">
        <f>+Tabla__192.168.1.8_POSEIDONSQL_APPFVT_01_tblFillRateFechas[[#This Row],[emb_cantidad]]-Tabla__192.168.1.8_POSEIDONSQL_APPFVT_01_tblFillRateFechas[[#This Row],[dev_cantidad]]</f>
        <v>1</v>
      </c>
      <c r="M1411" s="1">
        <f>+IF(Tabla__192.168.1.8_POSEIDONSQL_APPFVT_01_tblFillRateFechas[[#This Row],[Cant_Resultante]]=Tabla__192.168.1.8_POSEIDONSQL_APPFVT_01_tblFillRateFechas[[#This Row],[cant_order]],1,0)</f>
        <v>1</v>
      </c>
      <c r="N141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1" s="1">
        <f>+IF(AND(Tabla__192.168.1.8_POSEIDONSQL_APPFVT_01_tblFillRateFechas[[#This Row],[Valida Cant]]=1,Tabla__192.168.1.8_POSEIDONSQL_APPFVT_01_tblFillRateFechas[[#This Row],[Valida Fec]]=1),1,0)</f>
        <v>1</v>
      </c>
      <c r="P1411" s="1">
        <f>+(Tabla__192.168.1.8_POSEIDONSQL_APPFVT_01_tblFillRateFechas[[#This Row],[Cant_Resultante]]/Tabla__192.168.1.8_POSEIDONSQL_APPFVT_01_tblFillRateFechas[[#This Row],[cant_order]])*100</f>
        <v>100</v>
      </c>
      <c r="Q141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1" s="1">
        <f>+IF(Tabla__192.168.1.8_POSEIDONSQL_APPFVT_01_tblFillRateFechas[[#This Row],[cant_order]]&gt;0,1,0)</f>
        <v>1</v>
      </c>
      <c r="V1411" s="1">
        <f>+IF(Tabla__192.168.1.8_POSEIDONSQL_APPFVT_01_tblFillRateFechas[[#This Row],[Resultado]]=1,1,0)</f>
        <v>1</v>
      </c>
      <c r="W1411" s="1" t="str">
        <f>+Tabla__192.168.1.8_POSEIDONSQL_APPFVT_01_tblFillRateFechas[[#This Row],[con_ocnumero]]&amp;Tabla__192.168.1.8_POSEIDONSQL_APPFVT_01_tblFillRateFechas[[#This Row],[con_codigounico]]</f>
        <v>92051270390050000708442440103</v>
      </c>
      <c r="X141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2" spans="1:24" x14ac:dyDescent="0.25">
      <c r="A1412">
        <v>9</v>
      </c>
      <c r="B1412" t="s">
        <v>48</v>
      </c>
      <c r="C1412">
        <v>9205448</v>
      </c>
      <c r="D1412" t="s">
        <v>415</v>
      </c>
      <c r="E1412" t="s">
        <v>420</v>
      </c>
      <c r="F1412" t="s">
        <v>422</v>
      </c>
      <c r="G1412">
        <v>1</v>
      </c>
      <c r="H1412">
        <v>1</v>
      </c>
      <c r="I1412" t="s">
        <v>420</v>
      </c>
      <c r="J1412">
        <v>0</v>
      </c>
      <c r="K1412" t="s">
        <v>1003</v>
      </c>
      <c r="L1412" s="1">
        <f>+Tabla__192.168.1.8_POSEIDONSQL_APPFVT_01_tblFillRateFechas[[#This Row],[emb_cantidad]]-Tabla__192.168.1.8_POSEIDONSQL_APPFVT_01_tblFillRateFechas[[#This Row],[dev_cantidad]]</f>
        <v>1</v>
      </c>
      <c r="M1412" s="1">
        <f>+IF(Tabla__192.168.1.8_POSEIDONSQL_APPFVT_01_tblFillRateFechas[[#This Row],[Cant_Resultante]]=Tabla__192.168.1.8_POSEIDONSQL_APPFVT_01_tblFillRateFechas[[#This Row],[cant_order]],1,0)</f>
        <v>1</v>
      </c>
      <c r="N141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2" s="1">
        <f>+IF(AND(Tabla__192.168.1.8_POSEIDONSQL_APPFVT_01_tblFillRateFechas[[#This Row],[Valida Cant]]=1,Tabla__192.168.1.8_POSEIDONSQL_APPFVT_01_tblFillRateFechas[[#This Row],[Valida Fec]]=1),1,0)</f>
        <v>1</v>
      </c>
      <c r="P1412" s="1">
        <f>+(Tabla__192.168.1.8_POSEIDONSQL_APPFVT_01_tblFillRateFechas[[#This Row],[Cant_Resultante]]/Tabla__192.168.1.8_POSEIDONSQL_APPFVT_01_tblFillRateFechas[[#This Row],[cant_order]])*100</f>
        <v>100</v>
      </c>
      <c r="Q141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2" s="1">
        <f>+IF(Tabla__192.168.1.8_POSEIDONSQL_APPFVT_01_tblFillRateFechas[[#This Row],[cant_order]]&gt;0,1,0)</f>
        <v>1</v>
      </c>
      <c r="V1412" s="1">
        <f>+IF(Tabla__192.168.1.8_POSEIDONSQL_APPFVT_01_tblFillRateFechas[[#This Row],[Resultado]]=1,1,0)</f>
        <v>1</v>
      </c>
      <c r="W1412" s="1" t="str">
        <f>+Tabla__192.168.1.8_POSEIDONSQL_APPFVT_01_tblFillRateFechas[[#This Row],[con_ocnumero]]&amp;Tabla__192.168.1.8_POSEIDONSQL_APPFVT_01_tblFillRateFechas[[#This Row],[con_codigounico]]</f>
        <v>92054480390050000708620470101</v>
      </c>
      <c r="X141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3" spans="1:24" x14ac:dyDescent="0.25">
      <c r="A1413">
        <v>9</v>
      </c>
      <c r="B1413" t="s">
        <v>48</v>
      </c>
      <c r="C1413">
        <v>9205650</v>
      </c>
      <c r="D1413" t="s">
        <v>422</v>
      </c>
      <c r="E1413" t="s">
        <v>420</v>
      </c>
      <c r="F1413" t="s">
        <v>416</v>
      </c>
      <c r="G1413">
        <v>1</v>
      </c>
      <c r="H1413">
        <v>1</v>
      </c>
      <c r="I1413" t="s">
        <v>420</v>
      </c>
      <c r="J1413">
        <v>0</v>
      </c>
      <c r="K1413" t="s">
        <v>1361</v>
      </c>
      <c r="L1413" s="1">
        <f>+Tabla__192.168.1.8_POSEIDONSQL_APPFVT_01_tblFillRateFechas[[#This Row],[emb_cantidad]]-Tabla__192.168.1.8_POSEIDONSQL_APPFVT_01_tblFillRateFechas[[#This Row],[dev_cantidad]]</f>
        <v>1</v>
      </c>
      <c r="M1413" s="1">
        <f>+IF(Tabla__192.168.1.8_POSEIDONSQL_APPFVT_01_tblFillRateFechas[[#This Row],[Cant_Resultante]]=Tabla__192.168.1.8_POSEIDONSQL_APPFVT_01_tblFillRateFechas[[#This Row],[cant_order]],1,0)</f>
        <v>1</v>
      </c>
      <c r="N141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3" s="1">
        <f>+IF(AND(Tabla__192.168.1.8_POSEIDONSQL_APPFVT_01_tblFillRateFechas[[#This Row],[Valida Cant]]=1,Tabla__192.168.1.8_POSEIDONSQL_APPFVT_01_tblFillRateFechas[[#This Row],[Valida Fec]]=1),1,0)</f>
        <v>1</v>
      </c>
      <c r="P1413" s="1">
        <f>+(Tabla__192.168.1.8_POSEIDONSQL_APPFVT_01_tblFillRateFechas[[#This Row],[Cant_Resultante]]/Tabla__192.168.1.8_POSEIDONSQL_APPFVT_01_tblFillRateFechas[[#This Row],[cant_order]])*100</f>
        <v>100</v>
      </c>
      <c r="Q141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3" s="1">
        <f>+IF(Tabla__192.168.1.8_POSEIDONSQL_APPFVT_01_tblFillRateFechas[[#This Row],[cant_order]]&gt;0,1,0)</f>
        <v>1</v>
      </c>
      <c r="V1413" s="1">
        <f>+IF(Tabla__192.168.1.8_POSEIDONSQL_APPFVT_01_tblFillRateFechas[[#This Row],[Resultado]]=1,1,0)</f>
        <v>1</v>
      </c>
      <c r="W1413" s="1" t="str">
        <f>+Tabla__192.168.1.8_POSEIDONSQL_APPFVT_01_tblFillRateFechas[[#This Row],[con_ocnumero]]&amp;Tabla__192.168.1.8_POSEIDONSQL_APPFVT_01_tblFillRateFechas[[#This Row],[con_codigounico]]</f>
        <v>92056500390050000708816330101</v>
      </c>
      <c r="X141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4" spans="1:24" x14ac:dyDescent="0.25">
      <c r="A1414">
        <v>9</v>
      </c>
      <c r="B1414" t="s">
        <v>48</v>
      </c>
      <c r="C1414">
        <v>9205691</v>
      </c>
      <c r="D1414" t="s">
        <v>422</v>
      </c>
      <c r="E1414" t="s">
        <v>420</v>
      </c>
      <c r="F1414" t="s">
        <v>416</v>
      </c>
      <c r="G1414">
        <v>1</v>
      </c>
      <c r="H1414">
        <v>1</v>
      </c>
      <c r="I1414" t="s">
        <v>420</v>
      </c>
      <c r="J1414">
        <v>0</v>
      </c>
      <c r="K1414" t="s">
        <v>1363</v>
      </c>
      <c r="L1414" s="1">
        <f>+Tabla__192.168.1.8_POSEIDONSQL_APPFVT_01_tblFillRateFechas[[#This Row],[emb_cantidad]]-Tabla__192.168.1.8_POSEIDONSQL_APPFVT_01_tblFillRateFechas[[#This Row],[dev_cantidad]]</f>
        <v>1</v>
      </c>
      <c r="M1414" s="1">
        <f>+IF(Tabla__192.168.1.8_POSEIDONSQL_APPFVT_01_tblFillRateFechas[[#This Row],[Cant_Resultante]]=Tabla__192.168.1.8_POSEIDONSQL_APPFVT_01_tblFillRateFechas[[#This Row],[cant_order]],1,0)</f>
        <v>1</v>
      </c>
      <c r="N141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4" s="1">
        <f>+IF(AND(Tabla__192.168.1.8_POSEIDONSQL_APPFVT_01_tblFillRateFechas[[#This Row],[Valida Cant]]=1,Tabla__192.168.1.8_POSEIDONSQL_APPFVT_01_tblFillRateFechas[[#This Row],[Valida Fec]]=1),1,0)</f>
        <v>1</v>
      </c>
      <c r="P1414" s="1">
        <f>+(Tabla__192.168.1.8_POSEIDONSQL_APPFVT_01_tblFillRateFechas[[#This Row],[Cant_Resultante]]/Tabla__192.168.1.8_POSEIDONSQL_APPFVT_01_tblFillRateFechas[[#This Row],[cant_order]])*100</f>
        <v>100</v>
      </c>
      <c r="Q141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4" s="1">
        <f>+IF(Tabla__192.168.1.8_POSEIDONSQL_APPFVT_01_tblFillRateFechas[[#This Row],[cant_order]]&gt;0,1,0)</f>
        <v>1</v>
      </c>
      <c r="V1414" s="1">
        <f>+IF(Tabla__192.168.1.8_POSEIDONSQL_APPFVT_01_tblFillRateFechas[[#This Row],[Resultado]]=1,1,0)</f>
        <v>1</v>
      </c>
      <c r="W1414" s="1" t="str">
        <f>+Tabla__192.168.1.8_POSEIDONSQL_APPFVT_01_tblFillRateFechas[[#This Row],[con_ocnumero]]&amp;Tabla__192.168.1.8_POSEIDONSQL_APPFVT_01_tblFillRateFechas[[#This Row],[con_codigounico]]</f>
        <v>92056910390050000708820210101</v>
      </c>
      <c r="X141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5" spans="1:24" x14ac:dyDescent="0.25">
      <c r="A1415">
        <v>9</v>
      </c>
      <c r="B1415" t="s">
        <v>48</v>
      </c>
      <c r="C1415">
        <v>9205691</v>
      </c>
      <c r="D1415" t="s">
        <v>422</v>
      </c>
      <c r="E1415" t="s">
        <v>420</v>
      </c>
      <c r="F1415" t="s">
        <v>416</v>
      </c>
      <c r="G1415">
        <v>1</v>
      </c>
      <c r="H1415">
        <v>1</v>
      </c>
      <c r="I1415" t="s">
        <v>420</v>
      </c>
      <c r="J1415">
        <v>0</v>
      </c>
      <c r="K1415" t="s">
        <v>1362</v>
      </c>
      <c r="L1415" s="1">
        <f>+Tabla__192.168.1.8_POSEIDONSQL_APPFVT_01_tblFillRateFechas[[#This Row],[emb_cantidad]]-Tabla__192.168.1.8_POSEIDONSQL_APPFVT_01_tblFillRateFechas[[#This Row],[dev_cantidad]]</f>
        <v>1</v>
      </c>
      <c r="M1415" s="1">
        <f>+IF(Tabla__192.168.1.8_POSEIDONSQL_APPFVT_01_tblFillRateFechas[[#This Row],[Cant_Resultante]]=Tabla__192.168.1.8_POSEIDONSQL_APPFVT_01_tblFillRateFechas[[#This Row],[cant_order]],1,0)</f>
        <v>1</v>
      </c>
      <c r="N141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5" s="1">
        <f>+IF(AND(Tabla__192.168.1.8_POSEIDONSQL_APPFVT_01_tblFillRateFechas[[#This Row],[Valida Cant]]=1,Tabla__192.168.1.8_POSEIDONSQL_APPFVT_01_tblFillRateFechas[[#This Row],[Valida Fec]]=1),1,0)</f>
        <v>1</v>
      </c>
      <c r="P1415" s="1">
        <f>+(Tabla__192.168.1.8_POSEIDONSQL_APPFVT_01_tblFillRateFechas[[#This Row],[Cant_Resultante]]/Tabla__192.168.1.8_POSEIDONSQL_APPFVT_01_tblFillRateFechas[[#This Row],[cant_order]])*100</f>
        <v>100</v>
      </c>
      <c r="Q141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5" s="1">
        <f>+IF(Tabla__192.168.1.8_POSEIDONSQL_APPFVT_01_tblFillRateFechas[[#This Row],[cant_order]]&gt;0,1,0)</f>
        <v>1</v>
      </c>
      <c r="V1415" s="1">
        <f>+IF(Tabla__192.168.1.8_POSEIDONSQL_APPFVT_01_tblFillRateFechas[[#This Row],[Resultado]]=1,1,0)</f>
        <v>1</v>
      </c>
      <c r="W1415" s="1" t="str">
        <f>+Tabla__192.168.1.8_POSEIDONSQL_APPFVT_01_tblFillRateFechas[[#This Row],[con_ocnumero]]&amp;Tabla__192.168.1.8_POSEIDONSQL_APPFVT_01_tblFillRateFechas[[#This Row],[con_codigounico]]</f>
        <v>92056910390050000708840840101</v>
      </c>
      <c r="X141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6" spans="1:24" x14ac:dyDescent="0.25">
      <c r="A1416">
        <v>9</v>
      </c>
      <c r="B1416" t="s">
        <v>48</v>
      </c>
      <c r="C1416">
        <v>9205901</v>
      </c>
      <c r="D1416" t="s">
        <v>422</v>
      </c>
      <c r="E1416" t="s">
        <v>420</v>
      </c>
      <c r="F1416" t="s">
        <v>416</v>
      </c>
      <c r="G1416">
        <v>1</v>
      </c>
      <c r="H1416">
        <v>1</v>
      </c>
      <c r="I1416" t="s">
        <v>420</v>
      </c>
      <c r="J1416">
        <v>0</v>
      </c>
      <c r="K1416" t="s">
        <v>1355</v>
      </c>
      <c r="L1416" s="1">
        <f>+Tabla__192.168.1.8_POSEIDONSQL_APPFVT_01_tblFillRateFechas[[#This Row],[emb_cantidad]]-Tabla__192.168.1.8_POSEIDONSQL_APPFVT_01_tblFillRateFechas[[#This Row],[dev_cantidad]]</f>
        <v>1</v>
      </c>
      <c r="M1416" s="1">
        <f>+IF(Tabla__192.168.1.8_POSEIDONSQL_APPFVT_01_tblFillRateFechas[[#This Row],[Cant_Resultante]]=Tabla__192.168.1.8_POSEIDONSQL_APPFVT_01_tblFillRateFechas[[#This Row],[cant_order]],1,0)</f>
        <v>1</v>
      </c>
      <c r="N141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6" s="1">
        <f>+IF(AND(Tabla__192.168.1.8_POSEIDONSQL_APPFVT_01_tblFillRateFechas[[#This Row],[Valida Cant]]=1,Tabla__192.168.1.8_POSEIDONSQL_APPFVT_01_tblFillRateFechas[[#This Row],[Valida Fec]]=1),1,0)</f>
        <v>1</v>
      </c>
      <c r="P1416" s="1">
        <f>+(Tabla__192.168.1.8_POSEIDONSQL_APPFVT_01_tblFillRateFechas[[#This Row],[Cant_Resultante]]/Tabla__192.168.1.8_POSEIDONSQL_APPFVT_01_tblFillRateFechas[[#This Row],[cant_order]])*100</f>
        <v>100</v>
      </c>
      <c r="Q141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6" s="1">
        <f>+IF(Tabla__192.168.1.8_POSEIDONSQL_APPFVT_01_tblFillRateFechas[[#This Row],[cant_order]]&gt;0,1,0)</f>
        <v>1</v>
      </c>
      <c r="V1416" s="1">
        <f>+IF(Tabla__192.168.1.8_POSEIDONSQL_APPFVT_01_tblFillRateFechas[[#This Row],[Resultado]]=1,1,0)</f>
        <v>1</v>
      </c>
      <c r="W1416" s="1" t="str">
        <f>+Tabla__192.168.1.8_POSEIDONSQL_APPFVT_01_tblFillRateFechas[[#This Row],[con_ocnumero]]&amp;Tabla__192.168.1.8_POSEIDONSQL_APPFVT_01_tblFillRateFechas[[#This Row],[con_codigounico]]</f>
        <v>92059010390050000708984030102</v>
      </c>
      <c r="X141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7" spans="1:24" x14ac:dyDescent="0.25">
      <c r="A1417">
        <v>9</v>
      </c>
      <c r="B1417" t="s">
        <v>48</v>
      </c>
      <c r="C1417">
        <v>9206012</v>
      </c>
      <c r="D1417" t="s">
        <v>422</v>
      </c>
      <c r="E1417" t="s">
        <v>420</v>
      </c>
      <c r="F1417" t="s">
        <v>416</v>
      </c>
      <c r="G1417">
        <v>1</v>
      </c>
      <c r="H1417">
        <v>1</v>
      </c>
      <c r="I1417" t="s">
        <v>420</v>
      </c>
      <c r="J1417">
        <v>0</v>
      </c>
      <c r="K1417" t="s">
        <v>1357</v>
      </c>
      <c r="L1417" s="1">
        <f>+Tabla__192.168.1.8_POSEIDONSQL_APPFVT_01_tblFillRateFechas[[#This Row],[emb_cantidad]]-Tabla__192.168.1.8_POSEIDONSQL_APPFVT_01_tblFillRateFechas[[#This Row],[dev_cantidad]]</f>
        <v>1</v>
      </c>
      <c r="M1417" s="1">
        <f>+IF(Tabla__192.168.1.8_POSEIDONSQL_APPFVT_01_tblFillRateFechas[[#This Row],[Cant_Resultante]]=Tabla__192.168.1.8_POSEIDONSQL_APPFVT_01_tblFillRateFechas[[#This Row],[cant_order]],1,0)</f>
        <v>1</v>
      </c>
      <c r="N141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7" s="1">
        <f>+IF(AND(Tabla__192.168.1.8_POSEIDONSQL_APPFVT_01_tblFillRateFechas[[#This Row],[Valida Cant]]=1,Tabla__192.168.1.8_POSEIDONSQL_APPFVT_01_tblFillRateFechas[[#This Row],[Valida Fec]]=1),1,0)</f>
        <v>1</v>
      </c>
      <c r="P1417" s="1">
        <f>+(Tabla__192.168.1.8_POSEIDONSQL_APPFVT_01_tblFillRateFechas[[#This Row],[Cant_Resultante]]/Tabla__192.168.1.8_POSEIDONSQL_APPFVT_01_tblFillRateFechas[[#This Row],[cant_order]])*100</f>
        <v>100</v>
      </c>
      <c r="Q141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7" s="1">
        <f>+IF(Tabla__192.168.1.8_POSEIDONSQL_APPFVT_01_tblFillRateFechas[[#This Row],[cant_order]]&gt;0,1,0)</f>
        <v>1</v>
      </c>
      <c r="V1417" s="1">
        <f>+IF(Tabla__192.168.1.8_POSEIDONSQL_APPFVT_01_tblFillRateFechas[[#This Row],[Resultado]]=1,1,0)</f>
        <v>1</v>
      </c>
      <c r="W1417" s="1" t="str">
        <f>+Tabla__192.168.1.8_POSEIDONSQL_APPFVT_01_tblFillRateFechas[[#This Row],[con_ocnumero]]&amp;Tabla__192.168.1.8_POSEIDONSQL_APPFVT_01_tblFillRateFechas[[#This Row],[con_codigounico]]</f>
        <v>92060120390050000709027820101</v>
      </c>
      <c r="X141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8" spans="1:24" x14ac:dyDescent="0.25">
      <c r="A1418">
        <v>9</v>
      </c>
      <c r="B1418" t="s">
        <v>48</v>
      </c>
      <c r="C1418">
        <v>9206176</v>
      </c>
      <c r="D1418" t="s">
        <v>417</v>
      </c>
      <c r="E1418" t="s">
        <v>420</v>
      </c>
      <c r="F1418" t="s">
        <v>416</v>
      </c>
      <c r="G1418">
        <v>1</v>
      </c>
      <c r="H1418">
        <v>1</v>
      </c>
      <c r="I1418" t="s">
        <v>420</v>
      </c>
      <c r="J1418">
        <v>0</v>
      </c>
      <c r="K1418" t="s">
        <v>1358</v>
      </c>
      <c r="L1418" s="1">
        <f>+Tabla__192.168.1.8_POSEIDONSQL_APPFVT_01_tblFillRateFechas[[#This Row],[emb_cantidad]]-Tabla__192.168.1.8_POSEIDONSQL_APPFVT_01_tblFillRateFechas[[#This Row],[dev_cantidad]]</f>
        <v>1</v>
      </c>
      <c r="M1418" s="1">
        <f>+IF(Tabla__192.168.1.8_POSEIDONSQL_APPFVT_01_tblFillRateFechas[[#This Row],[Cant_Resultante]]=Tabla__192.168.1.8_POSEIDONSQL_APPFVT_01_tblFillRateFechas[[#This Row],[cant_order]],1,0)</f>
        <v>1</v>
      </c>
      <c r="N141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8" s="1">
        <f>+IF(AND(Tabla__192.168.1.8_POSEIDONSQL_APPFVT_01_tblFillRateFechas[[#This Row],[Valida Cant]]=1,Tabla__192.168.1.8_POSEIDONSQL_APPFVT_01_tblFillRateFechas[[#This Row],[Valida Fec]]=1),1,0)</f>
        <v>1</v>
      </c>
      <c r="P1418" s="1">
        <f>+(Tabla__192.168.1.8_POSEIDONSQL_APPFVT_01_tblFillRateFechas[[#This Row],[Cant_Resultante]]/Tabla__192.168.1.8_POSEIDONSQL_APPFVT_01_tblFillRateFechas[[#This Row],[cant_order]])*100</f>
        <v>100</v>
      </c>
      <c r="Q141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8" s="1">
        <f>+IF(Tabla__192.168.1.8_POSEIDONSQL_APPFVT_01_tblFillRateFechas[[#This Row],[cant_order]]&gt;0,1,0)</f>
        <v>1</v>
      </c>
      <c r="V1418" s="1">
        <f>+IF(Tabla__192.168.1.8_POSEIDONSQL_APPFVT_01_tblFillRateFechas[[#This Row],[Resultado]]=1,1,0)</f>
        <v>1</v>
      </c>
      <c r="W1418" s="1" t="str">
        <f>+Tabla__192.168.1.8_POSEIDONSQL_APPFVT_01_tblFillRateFechas[[#This Row],[con_ocnumero]]&amp;Tabla__192.168.1.8_POSEIDONSQL_APPFVT_01_tblFillRateFechas[[#This Row],[con_codigounico]]</f>
        <v>92061760390050000709251710101</v>
      </c>
      <c r="X141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19" spans="1:24" x14ac:dyDescent="0.25">
      <c r="A1419">
        <v>9</v>
      </c>
      <c r="B1419" t="s">
        <v>48</v>
      </c>
      <c r="C1419">
        <v>9206176</v>
      </c>
      <c r="D1419" t="s">
        <v>417</v>
      </c>
      <c r="E1419" t="s">
        <v>420</v>
      </c>
      <c r="F1419" t="s">
        <v>416</v>
      </c>
      <c r="G1419">
        <v>1</v>
      </c>
      <c r="H1419">
        <v>1</v>
      </c>
      <c r="I1419" t="s">
        <v>420</v>
      </c>
      <c r="J1419">
        <v>0</v>
      </c>
      <c r="K1419" t="s">
        <v>1359</v>
      </c>
      <c r="L1419" s="1">
        <f>+Tabla__192.168.1.8_POSEIDONSQL_APPFVT_01_tblFillRateFechas[[#This Row],[emb_cantidad]]-Tabla__192.168.1.8_POSEIDONSQL_APPFVT_01_tblFillRateFechas[[#This Row],[dev_cantidad]]</f>
        <v>1</v>
      </c>
      <c r="M1419" s="1">
        <f>+IF(Tabla__192.168.1.8_POSEIDONSQL_APPFVT_01_tblFillRateFechas[[#This Row],[Cant_Resultante]]=Tabla__192.168.1.8_POSEIDONSQL_APPFVT_01_tblFillRateFechas[[#This Row],[cant_order]],1,0)</f>
        <v>1</v>
      </c>
      <c r="N141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19" s="1">
        <f>+IF(AND(Tabla__192.168.1.8_POSEIDONSQL_APPFVT_01_tblFillRateFechas[[#This Row],[Valida Cant]]=1,Tabla__192.168.1.8_POSEIDONSQL_APPFVT_01_tblFillRateFechas[[#This Row],[Valida Fec]]=1),1,0)</f>
        <v>1</v>
      </c>
      <c r="P1419" s="1">
        <f>+(Tabla__192.168.1.8_POSEIDONSQL_APPFVT_01_tblFillRateFechas[[#This Row],[Cant_Resultante]]/Tabla__192.168.1.8_POSEIDONSQL_APPFVT_01_tblFillRateFechas[[#This Row],[cant_order]])*100</f>
        <v>100</v>
      </c>
      <c r="Q141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1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1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1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19" s="1">
        <f>+IF(Tabla__192.168.1.8_POSEIDONSQL_APPFVT_01_tblFillRateFechas[[#This Row],[cant_order]]&gt;0,1,0)</f>
        <v>1</v>
      </c>
      <c r="V1419" s="1">
        <f>+IF(Tabla__192.168.1.8_POSEIDONSQL_APPFVT_01_tblFillRateFechas[[#This Row],[Resultado]]=1,1,0)</f>
        <v>1</v>
      </c>
      <c r="W1419" s="1" t="str">
        <f>+Tabla__192.168.1.8_POSEIDONSQL_APPFVT_01_tblFillRateFechas[[#This Row],[con_ocnumero]]&amp;Tabla__192.168.1.8_POSEIDONSQL_APPFVT_01_tblFillRateFechas[[#This Row],[con_codigounico]]</f>
        <v>92061760390050000709252950101</v>
      </c>
      <c r="X141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0" spans="1:24" x14ac:dyDescent="0.25">
      <c r="A1420">
        <v>9</v>
      </c>
      <c r="B1420" t="s">
        <v>48</v>
      </c>
      <c r="C1420">
        <v>9206236</v>
      </c>
      <c r="D1420" t="s">
        <v>417</v>
      </c>
      <c r="E1420" t="s">
        <v>420</v>
      </c>
      <c r="F1420" t="s">
        <v>416</v>
      </c>
      <c r="G1420">
        <v>1</v>
      </c>
      <c r="H1420">
        <v>1</v>
      </c>
      <c r="I1420" t="s">
        <v>420</v>
      </c>
      <c r="J1420">
        <v>0</v>
      </c>
      <c r="K1420" t="s">
        <v>1360</v>
      </c>
      <c r="L1420" s="1">
        <f>+Tabla__192.168.1.8_POSEIDONSQL_APPFVT_01_tblFillRateFechas[[#This Row],[emb_cantidad]]-Tabla__192.168.1.8_POSEIDONSQL_APPFVT_01_tblFillRateFechas[[#This Row],[dev_cantidad]]</f>
        <v>1</v>
      </c>
      <c r="M1420" s="1">
        <f>+IF(Tabla__192.168.1.8_POSEIDONSQL_APPFVT_01_tblFillRateFechas[[#This Row],[Cant_Resultante]]=Tabla__192.168.1.8_POSEIDONSQL_APPFVT_01_tblFillRateFechas[[#This Row],[cant_order]],1,0)</f>
        <v>1</v>
      </c>
      <c r="N142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0" s="1">
        <f>+IF(AND(Tabla__192.168.1.8_POSEIDONSQL_APPFVT_01_tblFillRateFechas[[#This Row],[Valida Cant]]=1,Tabla__192.168.1.8_POSEIDONSQL_APPFVT_01_tblFillRateFechas[[#This Row],[Valida Fec]]=1),1,0)</f>
        <v>1</v>
      </c>
      <c r="P1420" s="1">
        <f>+(Tabla__192.168.1.8_POSEIDONSQL_APPFVT_01_tblFillRateFechas[[#This Row],[Cant_Resultante]]/Tabla__192.168.1.8_POSEIDONSQL_APPFVT_01_tblFillRateFechas[[#This Row],[cant_order]])*100</f>
        <v>100</v>
      </c>
      <c r="Q142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0" s="1">
        <f>+IF(Tabla__192.168.1.8_POSEIDONSQL_APPFVT_01_tblFillRateFechas[[#This Row],[cant_order]]&gt;0,1,0)</f>
        <v>1</v>
      </c>
      <c r="V1420" s="1">
        <f>+IF(Tabla__192.168.1.8_POSEIDONSQL_APPFVT_01_tblFillRateFechas[[#This Row],[Resultado]]=1,1,0)</f>
        <v>1</v>
      </c>
      <c r="W1420" s="1" t="str">
        <f>+Tabla__192.168.1.8_POSEIDONSQL_APPFVT_01_tblFillRateFechas[[#This Row],[con_ocnumero]]&amp;Tabla__192.168.1.8_POSEIDONSQL_APPFVT_01_tblFillRateFechas[[#This Row],[con_codigounico]]</f>
        <v>92062360390050000709284840101</v>
      </c>
      <c r="X142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1" spans="1:24" x14ac:dyDescent="0.25">
      <c r="A1421">
        <v>9</v>
      </c>
      <c r="B1421" t="s">
        <v>48</v>
      </c>
      <c r="C1421">
        <v>9206490</v>
      </c>
      <c r="D1421" t="s">
        <v>418</v>
      </c>
      <c r="E1421" t="s">
        <v>420</v>
      </c>
      <c r="F1421" t="s">
        <v>416</v>
      </c>
      <c r="G1421">
        <v>1</v>
      </c>
      <c r="H1421">
        <v>1</v>
      </c>
      <c r="I1421" t="s">
        <v>420</v>
      </c>
      <c r="J1421">
        <v>0</v>
      </c>
      <c r="K1421" t="s">
        <v>1038</v>
      </c>
      <c r="L1421" s="1">
        <f>+Tabla__192.168.1.8_POSEIDONSQL_APPFVT_01_tblFillRateFechas[[#This Row],[emb_cantidad]]-Tabla__192.168.1.8_POSEIDONSQL_APPFVT_01_tblFillRateFechas[[#This Row],[dev_cantidad]]</f>
        <v>1</v>
      </c>
      <c r="M1421" s="1">
        <f>+IF(Tabla__192.168.1.8_POSEIDONSQL_APPFVT_01_tblFillRateFechas[[#This Row],[Cant_Resultante]]=Tabla__192.168.1.8_POSEIDONSQL_APPFVT_01_tblFillRateFechas[[#This Row],[cant_order]],1,0)</f>
        <v>1</v>
      </c>
      <c r="N142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1" s="1">
        <f>+IF(AND(Tabla__192.168.1.8_POSEIDONSQL_APPFVT_01_tblFillRateFechas[[#This Row],[Valida Cant]]=1,Tabla__192.168.1.8_POSEIDONSQL_APPFVT_01_tblFillRateFechas[[#This Row],[Valida Fec]]=1),1,0)</f>
        <v>1</v>
      </c>
      <c r="P1421" s="1">
        <f>+(Tabla__192.168.1.8_POSEIDONSQL_APPFVT_01_tblFillRateFechas[[#This Row],[Cant_Resultante]]/Tabla__192.168.1.8_POSEIDONSQL_APPFVT_01_tblFillRateFechas[[#This Row],[cant_order]])*100</f>
        <v>100</v>
      </c>
      <c r="Q142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1" s="1">
        <f>+IF(Tabla__192.168.1.8_POSEIDONSQL_APPFVT_01_tblFillRateFechas[[#This Row],[cant_order]]&gt;0,1,0)</f>
        <v>1</v>
      </c>
      <c r="V1421" s="1">
        <f>+IF(Tabla__192.168.1.8_POSEIDONSQL_APPFVT_01_tblFillRateFechas[[#This Row],[Resultado]]=1,1,0)</f>
        <v>1</v>
      </c>
      <c r="W1421" s="1" t="str">
        <f>+Tabla__192.168.1.8_POSEIDONSQL_APPFVT_01_tblFillRateFechas[[#This Row],[con_ocnumero]]&amp;Tabla__192.168.1.8_POSEIDONSQL_APPFVT_01_tblFillRateFechas[[#This Row],[con_codigounico]]</f>
        <v>92064900390050000709468150101</v>
      </c>
      <c r="X142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2" spans="1:24" x14ac:dyDescent="0.25">
      <c r="A1422">
        <v>9</v>
      </c>
      <c r="B1422" t="s">
        <v>48</v>
      </c>
      <c r="C1422">
        <v>9206587</v>
      </c>
      <c r="D1422" t="s">
        <v>418</v>
      </c>
      <c r="E1422" t="s">
        <v>420</v>
      </c>
      <c r="F1422" t="s">
        <v>416</v>
      </c>
      <c r="G1422">
        <v>1</v>
      </c>
      <c r="H1422">
        <v>1</v>
      </c>
      <c r="I1422" t="s">
        <v>420</v>
      </c>
      <c r="J1422">
        <v>0</v>
      </c>
      <c r="K1422" t="s">
        <v>1039</v>
      </c>
      <c r="L1422" s="1">
        <f>+Tabla__192.168.1.8_POSEIDONSQL_APPFVT_01_tblFillRateFechas[[#This Row],[emb_cantidad]]-Tabla__192.168.1.8_POSEIDONSQL_APPFVT_01_tblFillRateFechas[[#This Row],[dev_cantidad]]</f>
        <v>1</v>
      </c>
      <c r="M1422" s="1">
        <f>+IF(Tabla__192.168.1.8_POSEIDONSQL_APPFVT_01_tblFillRateFechas[[#This Row],[Cant_Resultante]]=Tabla__192.168.1.8_POSEIDONSQL_APPFVT_01_tblFillRateFechas[[#This Row],[cant_order]],1,0)</f>
        <v>1</v>
      </c>
      <c r="N142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2" s="1">
        <f>+IF(AND(Tabla__192.168.1.8_POSEIDONSQL_APPFVT_01_tblFillRateFechas[[#This Row],[Valida Cant]]=1,Tabla__192.168.1.8_POSEIDONSQL_APPFVT_01_tblFillRateFechas[[#This Row],[Valida Fec]]=1),1,0)</f>
        <v>1</v>
      </c>
      <c r="P1422" s="1">
        <f>+(Tabla__192.168.1.8_POSEIDONSQL_APPFVT_01_tblFillRateFechas[[#This Row],[Cant_Resultante]]/Tabla__192.168.1.8_POSEIDONSQL_APPFVT_01_tblFillRateFechas[[#This Row],[cant_order]])*100</f>
        <v>100</v>
      </c>
      <c r="Q142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2" s="1">
        <f>+IF(Tabla__192.168.1.8_POSEIDONSQL_APPFVT_01_tblFillRateFechas[[#This Row],[cant_order]]&gt;0,1,0)</f>
        <v>1</v>
      </c>
      <c r="V1422" s="1">
        <f>+IF(Tabla__192.168.1.8_POSEIDONSQL_APPFVT_01_tblFillRateFechas[[#This Row],[Resultado]]=1,1,0)</f>
        <v>1</v>
      </c>
      <c r="W1422" s="1" t="str">
        <f>+Tabla__192.168.1.8_POSEIDONSQL_APPFVT_01_tblFillRateFechas[[#This Row],[con_ocnumero]]&amp;Tabla__192.168.1.8_POSEIDONSQL_APPFVT_01_tblFillRateFechas[[#This Row],[con_codigounico]]</f>
        <v>92065870390050000709580450101</v>
      </c>
      <c r="X142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3" spans="1:24" x14ac:dyDescent="0.25">
      <c r="A1423">
        <v>9</v>
      </c>
      <c r="B1423" t="s">
        <v>48</v>
      </c>
      <c r="C1423">
        <v>9206802</v>
      </c>
      <c r="D1423" t="s">
        <v>418</v>
      </c>
      <c r="E1423" t="s">
        <v>420</v>
      </c>
      <c r="F1423" t="s">
        <v>416</v>
      </c>
      <c r="G1423">
        <v>1</v>
      </c>
      <c r="H1423">
        <v>1</v>
      </c>
      <c r="I1423" t="s">
        <v>420</v>
      </c>
      <c r="J1423">
        <v>0</v>
      </c>
      <c r="K1423" t="s">
        <v>360</v>
      </c>
      <c r="L1423" s="1">
        <f>+Tabla__192.168.1.8_POSEIDONSQL_APPFVT_01_tblFillRateFechas[[#This Row],[emb_cantidad]]-Tabla__192.168.1.8_POSEIDONSQL_APPFVT_01_tblFillRateFechas[[#This Row],[dev_cantidad]]</f>
        <v>1</v>
      </c>
      <c r="M1423" s="1">
        <f>+IF(Tabla__192.168.1.8_POSEIDONSQL_APPFVT_01_tblFillRateFechas[[#This Row],[Cant_Resultante]]=Tabla__192.168.1.8_POSEIDONSQL_APPFVT_01_tblFillRateFechas[[#This Row],[cant_order]],1,0)</f>
        <v>1</v>
      </c>
      <c r="N142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3" s="1">
        <f>+IF(AND(Tabla__192.168.1.8_POSEIDONSQL_APPFVT_01_tblFillRateFechas[[#This Row],[Valida Cant]]=1,Tabla__192.168.1.8_POSEIDONSQL_APPFVT_01_tblFillRateFechas[[#This Row],[Valida Fec]]=1),1,0)</f>
        <v>1</v>
      </c>
      <c r="P1423" s="1">
        <f>+(Tabla__192.168.1.8_POSEIDONSQL_APPFVT_01_tblFillRateFechas[[#This Row],[Cant_Resultante]]/Tabla__192.168.1.8_POSEIDONSQL_APPFVT_01_tblFillRateFechas[[#This Row],[cant_order]])*100</f>
        <v>100</v>
      </c>
      <c r="Q142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3" s="1">
        <f>+IF(Tabla__192.168.1.8_POSEIDONSQL_APPFVT_01_tblFillRateFechas[[#This Row],[cant_order]]&gt;0,1,0)</f>
        <v>1</v>
      </c>
      <c r="V1423" s="1">
        <f>+IF(Tabla__192.168.1.8_POSEIDONSQL_APPFVT_01_tblFillRateFechas[[#This Row],[Resultado]]=1,1,0)</f>
        <v>1</v>
      </c>
      <c r="W1423" s="1" t="str">
        <f>+Tabla__192.168.1.8_POSEIDONSQL_APPFVT_01_tblFillRateFechas[[#This Row],[con_ocnumero]]&amp;Tabla__192.168.1.8_POSEIDONSQL_APPFVT_01_tblFillRateFechas[[#This Row],[con_codigounico]]</f>
        <v>92068020390050000709706670101</v>
      </c>
      <c r="X142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4" spans="1:24" x14ac:dyDescent="0.25">
      <c r="A1424">
        <v>9</v>
      </c>
      <c r="B1424" t="s">
        <v>48</v>
      </c>
      <c r="C1424">
        <v>9207004</v>
      </c>
      <c r="D1424" t="s">
        <v>416</v>
      </c>
      <c r="E1424" t="s">
        <v>420</v>
      </c>
      <c r="F1424" t="s">
        <v>419</v>
      </c>
      <c r="G1424">
        <v>1</v>
      </c>
      <c r="H1424">
        <v>1</v>
      </c>
      <c r="I1424" t="s">
        <v>420</v>
      </c>
      <c r="J1424">
        <v>0</v>
      </c>
      <c r="K1424" t="s">
        <v>1369</v>
      </c>
      <c r="L1424" s="1">
        <f>+Tabla__192.168.1.8_POSEIDONSQL_APPFVT_01_tblFillRateFechas[[#This Row],[emb_cantidad]]-Tabla__192.168.1.8_POSEIDONSQL_APPFVT_01_tblFillRateFechas[[#This Row],[dev_cantidad]]</f>
        <v>1</v>
      </c>
      <c r="M1424" s="1">
        <f>+IF(Tabla__192.168.1.8_POSEIDONSQL_APPFVT_01_tblFillRateFechas[[#This Row],[Cant_Resultante]]=Tabla__192.168.1.8_POSEIDONSQL_APPFVT_01_tblFillRateFechas[[#This Row],[cant_order]],1,0)</f>
        <v>1</v>
      </c>
      <c r="N142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4" s="1">
        <f>+IF(AND(Tabla__192.168.1.8_POSEIDONSQL_APPFVT_01_tblFillRateFechas[[#This Row],[Valida Cant]]=1,Tabla__192.168.1.8_POSEIDONSQL_APPFVT_01_tblFillRateFechas[[#This Row],[Valida Fec]]=1),1,0)</f>
        <v>1</v>
      </c>
      <c r="P1424" s="1">
        <f>+(Tabla__192.168.1.8_POSEIDONSQL_APPFVT_01_tblFillRateFechas[[#This Row],[Cant_Resultante]]/Tabla__192.168.1.8_POSEIDONSQL_APPFVT_01_tblFillRateFechas[[#This Row],[cant_order]])*100</f>
        <v>100</v>
      </c>
      <c r="Q142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4" s="1">
        <f>+IF(Tabla__192.168.1.8_POSEIDONSQL_APPFVT_01_tblFillRateFechas[[#This Row],[cant_order]]&gt;0,1,0)</f>
        <v>1</v>
      </c>
      <c r="V1424" s="1">
        <f>+IF(Tabla__192.168.1.8_POSEIDONSQL_APPFVT_01_tblFillRateFechas[[#This Row],[Resultado]]=1,1,0)</f>
        <v>1</v>
      </c>
      <c r="W1424" s="1" t="str">
        <f>+Tabla__192.168.1.8_POSEIDONSQL_APPFVT_01_tblFillRateFechas[[#This Row],[con_ocnumero]]&amp;Tabla__192.168.1.8_POSEIDONSQL_APPFVT_01_tblFillRateFechas[[#This Row],[con_codigounico]]</f>
        <v>92070040390050000709864620101</v>
      </c>
      <c r="X142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5" spans="1:24" x14ac:dyDescent="0.25">
      <c r="A1425">
        <v>9</v>
      </c>
      <c r="B1425" t="s">
        <v>48</v>
      </c>
      <c r="C1425">
        <v>9207142</v>
      </c>
      <c r="D1425" t="s">
        <v>416</v>
      </c>
      <c r="E1425" t="s">
        <v>420</v>
      </c>
      <c r="F1425" t="s">
        <v>419</v>
      </c>
      <c r="G1425">
        <v>1</v>
      </c>
      <c r="H1425">
        <v>1</v>
      </c>
      <c r="I1425" t="s">
        <v>420</v>
      </c>
      <c r="J1425">
        <v>0</v>
      </c>
      <c r="K1425" t="s">
        <v>1370</v>
      </c>
      <c r="L1425" s="1">
        <f>+Tabla__192.168.1.8_POSEIDONSQL_APPFVT_01_tblFillRateFechas[[#This Row],[emb_cantidad]]-Tabla__192.168.1.8_POSEIDONSQL_APPFVT_01_tblFillRateFechas[[#This Row],[dev_cantidad]]</f>
        <v>1</v>
      </c>
      <c r="M1425" s="1">
        <f>+IF(Tabla__192.168.1.8_POSEIDONSQL_APPFVT_01_tblFillRateFechas[[#This Row],[Cant_Resultante]]=Tabla__192.168.1.8_POSEIDONSQL_APPFVT_01_tblFillRateFechas[[#This Row],[cant_order]],1,0)</f>
        <v>1</v>
      </c>
      <c r="N142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5" s="1">
        <f>+IF(AND(Tabla__192.168.1.8_POSEIDONSQL_APPFVT_01_tblFillRateFechas[[#This Row],[Valida Cant]]=1,Tabla__192.168.1.8_POSEIDONSQL_APPFVT_01_tblFillRateFechas[[#This Row],[Valida Fec]]=1),1,0)</f>
        <v>1</v>
      </c>
      <c r="P1425" s="1">
        <f>+(Tabla__192.168.1.8_POSEIDONSQL_APPFVT_01_tblFillRateFechas[[#This Row],[Cant_Resultante]]/Tabla__192.168.1.8_POSEIDONSQL_APPFVT_01_tblFillRateFechas[[#This Row],[cant_order]])*100</f>
        <v>100</v>
      </c>
      <c r="Q142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5" s="1">
        <f>+IF(Tabla__192.168.1.8_POSEIDONSQL_APPFVT_01_tblFillRateFechas[[#This Row],[cant_order]]&gt;0,1,0)</f>
        <v>1</v>
      </c>
      <c r="V1425" s="1">
        <f>+IF(Tabla__192.168.1.8_POSEIDONSQL_APPFVT_01_tblFillRateFechas[[#This Row],[Resultado]]=1,1,0)</f>
        <v>1</v>
      </c>
      <c r="W1425" s="1" t="str">
        <f>+Tabla__192.168.1.8_POSEIDONSQL_APPFVT_01_tblFillRateFechas[[#This Row],[con_ocnumero]]&amp;Tabla__192.168.1.8_POSEIDONSQL_APPFVT_01_tblFillRateFechas[[#This Row],[con_codigounico]]</f>
        <v>92071420390050000709955230101</v>
      </c>
      <c r="X142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6" spans="1:24" x14ac:dyDescent="0.25">
      <c r="A1426">
        <v>9</v>
      </c>
      <c r="B1426" t="s">
        <v>48</v>
      </c>
      <c r="C1426">
        <v>9207253</v>
      </c>
      <c r="D1426" t="s">
        <v>416</v>
      </c>
      <c r="E1426" t="s">
        <v>420</v>
      </c>
      <c r="F1426" t="s">
        <v>419</v>
      </c>
      <c r="G1426">
        <v>1</v>
      </c>
      <c r="H1426">
        <v>1</v>
      </c>
      <c r="I1426" t="s">
        <v>420</v>
      </c>
      <c r="J1426">
        <v>0</v>
      </c>
      <c r="K1426" t="s">
        <v>365</v>
      </c>
      <c r="L1426" s="1">
        <f>+Tabla__192.168.1.8_POSEIDONSQL_APPFVT_01_tblFillRateFechas[[#This Row],[emb_cantidad]]-Tabla__192.168.1.8_POSEIDONSQL_APPFVT_01_tblFillRateFechas[[#This Row],[dev_cantidad]]</f>
        <v>1</v>
      </c>
      <c r="M1426" s="1">
        <f>+IF(Tabla__192.168.1.8_POSEIDONSQL_APPFVT_01_tblFillRateFechas[[#This Row],[Cant_Resultante]]=Tabla__192.168.1.8_POSEIDONSQL_APPFVT_01_tblFillRateFechas[[#This Row],[cant_order]],1,0)</f>
        <v>1</v>
      </c>
      <c r="N142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6" s="1">
        <f>+IF(AND(Tabla__192.168.1.8_POSEIDONSQL_APPFVT_01_tblFillRateFechas[[#This Row],[Valida Cant]]=1,Tabla__192.168.1.8_POSEIDONSQL_APPFVT_01_tblFillRateFechas[[#This Row],[Valida Fec]]=1),1,0)</f>
        <v>1</v>
      </c>
      <c r="P1426" s="1">
        <f>+(Tabla__192.168.1.8_POSEIDONSQL_APPFVT_01_tblFillRateFechas[[#This Row],[Cant_Resultante]]/Tabla__192.168.1.8_POSEIDONSQL_APPFVT_01_tblFillRateFechas[[#This Row],[cant_order]])*100</f>
        <v>100</v>
      </c>
      <c r="Q142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6" s="1">
        <f>+IF(Tabla__192.168.1.8_POSEIDONSQL_APPFVT_01_tblFillRateFechas[[#This Row],[cant_order]]&gt;0,1,0)</f>
        <v>1</v>
      </c>
      <c r="V1426" s="1">
        <f>+IF(Tabla__192.168.1.8_POSEIDONSQL_APPFVT_01_tblFillRateFechas[[#This Row],[Resultado]]=1,1,0)</f>
        <v>1</v>
      </c>
      <c r="W1426" s="1" t="str">
        <f>+Tabla__192.168.1.8_POSEIDONSQL_APPFVT_01_tblFillRateFechas[[#This Row],[con_ocnumero]]&amp;Tabla__192.168.1.8_POSEIDONSQL_APPFVT_01_tblFillRateFechas[[#This Row],[con_codigounico]]</f>
        <v>92072530390050000709978000101</v>
      </c>
      <c r="X142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7" spans="1:24" x14ac:dyDescent="0.25">
      <c r="A1427">
        <v>9</v>
      </c>
      <c r="B1427" t="s">
        <v>48</v>
      </c>
      <c r="C1427">
        <v>9207209</v>
      </c>
      <c r="D1427" t="s">
        <v>416</v>
      </c>
      <c r="E1427" t="s">
        <v>420</v>
      </c>
      <c r="F1427" t="s">
        <v>419</v>
      </c>
      <c r="G1427">
        <v>1</v>
      </c>
      <c r="H1427">
        <v>1</v>
      </c>
      <c r="I1427" t="s">
        <v>420</v>
      </c>
      <c r="J1427">
        <v>0</v>
      </c>
      <c r="K1427" t="s">
        <v>362</v>
      </c>
      <c r="L1427" s="1">
        <f>+Tabla__192.168.1.8_POSEIDONSQL_APPFVT_01_tblFillRateFechas[[#This Row],[emb_cantidad]]-Tabla__192.168.1.8_POSEIDONSQL_APPFVT_01_tblFillRateFechas[[#This Row],[dev_cantidad]]</f>
        <v>1</v>
      </c>
      <c r="M1427" s="1">
        <f>+IF(Tabla__192.168.1.8_POSEIDONSQL_APPFVT_01_tblFillRateFechas[[#This Row],[Cant_Resultante]]=Tabla__192.168.1.8_POSEIDONSQL_APPFVT_01_tblFillRateFechas[[#This Row],[cant_order]],1,0)</f>
        <v>1</v>
      </c>
      <c r="N142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7" s="1">
        <f>+IF(AND(Tabla__192.168.1.8_POSEIDONSQL_APPFVT_01_tblFillRateFechas[[#This Row],[Valida Cant]]=1,Tabla__192.168.1.8_POSEIDONSQL_APPFVT_01_tblFillRateFechas[[#This Row],[Valida Fec]]=1),1,0)</f>
        <v>1</v>
      </c>
      <c r="P1427" s="1">
        <f>+(Tabla__192.168.1.8_POSEIDONSQL_APPFVT_01_tblFillRateFechas[[#This Row],[Cant_Resultante]]/Tabla__192.168.1.8_POSEIDONSQL_APPFVT_01_tblFillRateFechas[[#This Row],[cant_order]])*100</f>
        <v>100</v>
      </c>
      <c r="Q142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7" s="1">
        <f>+IF(Tabla__192.168.1.8_POSEIDONSQL_APPFVT_01_tblFillRateFechas[[#This Row],[cant_order]]&gt;0,1,0)</f>
        <v>1</v>
      </c>
      <c r="V1427" s="1">
        <f>+IF(Tabla__192.168.1.8_POSEIDONSQL_APPFVT_01_tblFillRateFechas[[#This Row],[Resultado]]=1,1,0)</f>
        <v>1</v>
      </c>
      <c r="W1427" s="1" t="str">
        <f>+Tabla__192.168.1.8_POSEIDONSQL_APPFVT_01_tblFillRateFechas[[#This Row],[con_ocnumero]]&amp;Tabla__192.168.1.8_POSEIDONSQL_APPFVT_01_tblFillRateFechas[[#This Row],[con_codigounico]]</f>
        <v>92072090390050000709989550101</v>
      </c>
      <c r="X142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8" spans="1:24" x14ac:dyDescent="0.25">
      <c r="A1428">
        <v>9</v>
      </c>
      <c r="B1428" t="s">
        <v>48</v>
      </c>
      <c r="C1428">
        <v>9207253</v>
      </c>
      <c r="D1428" t="s">
        <v>416</v>
      </c>
      <c r="E1428" t="s">
        <v>420</v>
      </c>
      <c r="F1428" t="s">
        <v>419</v>
      </c>
      <c r="G1428">
        <v>1</v>
      </c>
      <c r="H1428">
        <v>1</v>
      </c>
      <c r="I1428" t="s">
        <v>420</v>
      </c>
      <c r="J1428">
        <v>0</v>
      </c>
      <c r="K1428" t="s">
        <v>368</v>
      </c>
      <c r="L1428" s="1">
        <f>+Tabla__192.168.1.8_POSEIDONSQL_APPFVT_01_tblFillRateFechas[[#This Row],[emb_cantidad]]-Tabla__192.168.1.8_POSEIDONSQL_APPFVT_01_tblFillRateFechas[[#This Row],[dev_cantidad]]</f>
        <v>1</v>
      </c>
      <c r="M1428" s="1">
        <f>+IF(Tabla__192.168.1.8_POSEIDONSQL_APPFVT_01_tblFillRateFechas[[#This Row],[Cant_Resultante]]=Tabla__192.168.1.8_POSEIDONSQL_APPFVT_01_tblFillRateFechas[[#This Row],[cant_order]],1,0)</f>
        <v>1</v>
      </c>
      <c r="N142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8" s="1">
        <f>+IF(AND(Tabla__192.168.1.8_POSEIDONSQL_APPFVT_01_tblFillRateFechas[[#This Row],[Valida Cant]]=1,Tabla__192.168.1.8_POSEIDONSQL_APPFVT_01_tblFillRateFechas[[#This Row],[Valida Fec]]=1),1,0)</f>
        <v>1</v>
      </c>
      <c r="P1428" s="1">
        <f>+(Tabla__192.168.1.8_POSEIDONSQL_APPFVT_01_tblFillRateFechas[[#This Row],[Cant_Resultante]]/Tabla__192.168.1.8_POSEIDONSQL_APPFVT_01_tblFillRateFechas[[#This Row],[cant_order]])*100</f>
        <v>100</v>
      </c>
      <c r="Q142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8" s="1">
        <f>+IF(Tabla__192.168.1.8_POSEIDONSQL_APPFVT_01_tblFillRateFechas[[#This Row],[cant_order]]&gt;0,1,0)</f>
        <v>1</v>
      </c>
      <c r="V1428" s="1">
        <f>+IF(Tabla__192.168.1.8_POSEIDONSQL_APPFVT_01_tblFillRateFechas[[#This Row],[Resultado]]=1,1,0)</f>
        <v>1</v>
      </c>
      <c r="W1428" s="1" t="str">
        <f>+Tabla__192.168.1.8_POSEIDONSQL_APPFVT_01_tblFillRateFechas[[#This Row],[con_ocnumero]]&amp;Tabla__192.168.1.8_POSEIDONSQL_APPFVT_01_tblFillRateFechas[[#This Row],[con_codigounico]]</f>
        <v>92072530390050000710042090102</v>
      </c>
      <c r="X142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29" spans="1:24" x14ac:dyDescent="0.25">
      <c r="A1429">
        <v>9</v>
      </c>
      <c r="B1429" t="s">
        <v>48</v>
      </c>
      <c r="C1429">
        <v>9207431</v>
      </c>
      <c r="D1429" t="s">
        <v>416</v>
      </c>
      <c r="E1429" t="s">
        <v>420</v>
      </c>
      <c r="F1429" t="s">
        <v>419</v>
      </c>
      <c r="G1429">
        <v>1</v>
      </c>
      <c r="H1429">
        <v>1</v>
      </c>
      <c r="I1429" t="s">
        <v>420</v>
      </c>
      <c r="J1429">
        <v>0</v>
      </c>
      <c r="K1429" t="s">
        <v>1368</v>
      </c>
      <c r="L1429" s="1">
        <f>+Tabla__192.168.1.8_POSEIDONSQL_APPFVT_01_tblFillRateFechas[[#This Row],[emb_cantidad]]-Tabla__192.168.1.8_POSEIDONSQL_APPFVT_01_tblFillRateFechas[[#This Row],[dev_cantidad]]</f>
        <v>1</v>
      </c>
      <c r="M1429" s="1">
        <f>+IF(Tabla__192.168.1.8_POSEIDONSQL_APPFVT_01_tblFillRateFechas[[#This Row],[Cant_Resultante]]=Tabla__192.168.1.8_POSEIDONSQL_APPFVT_01_tblFillRateFechas[[#This Row],[cant_order]],1,0)</f>
        <v>1</v>
      </c>
      <c r="N142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29" s="1">
        <f>+IF(AND(Tabla__192.168.1.8_POSEIDONSQL_APPFVT_01_tblFillRateFechas[[#This Row],[Valida Cant]]=1,Tabla__192.168.1.8_POSEIDONSQL_APPFVT_01_tblFillRateFechas[[#This Row],[Valida Fec]]=1),1,0)</f>
        <v>1</v>
      </c>
      <c r="P1429" s="1">
        <f>+(Tabla__192.168.1.8_POSEIDONSQL_APPFVT_01_tblFillRateFechas[[#This Row],[Cant_Resultante]]/Tabla__192.168.1.8_POSEIDONSQL_APPFVT_01_tblFillRateFechas[[#This Row],[cant_order]])*100</f>
        <v>100</v>
      </c>
      <c r="Q142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2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2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2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29" s="1">
        <f>+IF(Tabla__192.168.1.8_POSEIDONSQL_APPFVT_01_tblFillRateFechas[[#This Row],[cant_order]]&gt;0,1,0)</f>
        <v>1</v>
      </c>
      <c r="V1429" s="1">
        <f>+IF(Tabla__192.168.1.8_POSEIDONSQL_APPFVT_01_tblFillRateFechas[[#This Row],[Resultado]]=1,1,0)</f>
        <v>1</v>
      </c>
      <c r="W1429" s="1" t="str">
        <f>+Tabla__192.168.1.8_POSEIDONSQL_APPFVT_01_tblFillRateFechas[[#This Row],[con_ocnumero]]&amp;Tabla__192.168.1.8_POSEIDONSQL_APPFVT_01_tblFillRateFechas[[#This Row],[con_codigounico]]</f>
        <v>92074310390050000710176300101</v>
      </c>
      <c r="X142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0" spans="1:24" x14ac:dyDescent="0.25">
      <c r="A1430">
        <v>9</v>
      </c>
      <c r="B1430" t="s">
        <v>48</v>
      </c>
      <c r="C1430">
        <v>9208052</v>
      </c>
      <c r="D1430" t="s">
        <v>419</v>
      </c>
      <c r="E1430" t="s">
        <v>420</v>
      </c>
      <c r="F1430" t="s">
        <v>420</v>
      </c>
      <c r="G1430">
        <v>1</v>
      </c>
      <c r="H1430">
        <v>1</v>
      </c>
      <c r="I1430" t="s">
        <v>421</v>
      </c>
      <c r="J1430">
        <v>0</v>
      </c>
      <c r="K1430" t="s">
        <v>1531</v>
      </c>
      <c r="L1430" s="1">
        <f>+Tabla__192.168.1.8_POSEIDONSQL_APPFVT_01_tblFillRateFechas[[#This Row],[emb_cantidad]]-Tabla__192.168.1.8_POSEIDONSQL_APPFVT_01_tblFillRateFechas[[#This Row],[dev_cantidad]]</f>
        <v>1</v>
      </c>
      <c r="M1430" s="1">
        <f>+IF(Tabla__192.168.1.8_POSEIDONSQL_APPFVT_01_tblFillRateFechas[[#This Row],[Cant_Resultante]]=Tabla__192.168.1.8_POSEIDONSQL_APPFVT_01_tblFillRateFechas[[#This Row],[cant_order]],1,0)</f>
        <v>1</v>
      </c>
      <c r="N143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30" s="1">
        <f>+IF(AND(Tabla__192.168.1.8_POSEIDONSQL_APPFVT_01_tblFillRateFechas[[#This Row],[Valida Cant]]=1,Tabla__192.168.1.8_POSEIDONSQL_APPFVT_01_tblFillRateFechas[[#This Row],[Valida Fec]]=1),1,0)</f>
        <v>0</v>
      </c>
      <c r="P1430" s="1">
        <f>+(Tabla__192.168.1.8_POSEIDONSQL_APPFVT_01_tblFillRateFechas[[#This Row],[Cant_Resultante]]/Tabla__192.168.1.8_POSEIDONSQL_APPFVT_01_tblFillRateFechas[[#This Row],[cant_order]])*100</f>
        <v>100</v>
      </c>
      <c r="Q143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0" s="1">
        <f>+IF(Tabla__192.168.1.8_POSEIDONSQL_APPFVT_01_tblFillRateFechas[[#This Row],[cant_order]]&gt;0,1,0)</f>
        <v>1</v>
      </c>
      <c r="V1430" s="1">
        <f>+IF(Tabla__192.168.1.8_POSEIDONSQL_APPFVT_01_tblFillRateFechas[[#This Row],[Resultado]]=1,1,0)</f>
        <v>0</v>
      </c>
      <c r="W1430" s="1" t="str">
        <f>+Tabla__192.168.1.8_POSEIDONSQL_APPFVT_01_tblFillRateFechas[[#This Row],[con_ocnumero]]&amp;Tabla__192.168.1.8_POSEIDONSQL_APPFVT_01_tblFillRateFechas[[#This Row],[con_codigounico]]</f>
        <v>92080520390050000710570400101</v>
      </c>
      <c r="X143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1" spans="1:24" x14ac:dyDescent="0.25">
      <c r="A1431">
        <v>9</v>
      </c>
      <c r="B1431" t="s">
        <v>48</v>
      </c>
      <c r="C1431">
        <v>9208324</v>
      </c>
      <c r="D1431" t="s">
        <v>419</v>
      </c>
      <c r="E1431" t="s">
        <v>420</v>
      </c>
      <c r="F1431" t="s">
        <v>420</v>
      </c>
      <c r="G1431">
        <v>1</v>
      </c>
      <c r="H1431">
        <v>1</v>
      </c>
      <c r="I1431" t="s">
        <v>421</v>
      </c>
      <c r="J1431">
        <v>0</v>
      </c>
      <c r="K1431" t="s">
        <v>1533</v>
      </c>
      <c r="L1431" s="1">
        <f>+Tabla__192.168.1.8_POSEIDONSQL_APPFVT_01_tblFillRateFechas[[#This Row],[emb_cantidad]]-Tabla__192.168.1.8_POSEIDONSQL_APPFVT_01_tblFillRateFechas[[#This Row],[dev_cantidad]]</f>
        <v>1</v>
      </c>
      <c r="M1431" s="1">
        <f>+IF(Tabla__192.168.1.8_POSEIDONSQL_APPFVT_01_tblFillRateFechas[[#This Row],[Cant_Resultante]]=Tabla__192.168.1.8_POSEIDONSQL_APPFVT_01_tblFillRateFechas[[#This Row],[cant_order]],1,0)</f>
        <v>1</v>
      </c>
      <c r="N143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31" s="1">
        <f>+IF(AND(Tabla__192.168.1.8_POSEIDONSQL_APPFVT_01_tblFillRateFechas[[#This Row],[Valida Cant]]=1,Tabla__192.168.1.8_POSEIDONSQL_APPFVT_01_tblFillRateFechas[[#This Row],[Valida Fec]]=1),1,0)</f>
        <v>0</v>
      </c>
      <c r="P1431" s="1">
        <f>+(Tabla__192.168.1.8_POSEIDONSQL_APPFVT_01_tblFillRateFechas[[#This Row],[Cant_Resultante]]/Tabla__192.168.1.8_POSEIDONSQL_APPFVT_01_tblFillRateFechas[[#This Row],[cant_order]])*100</f>
        <v>100</v>
      </c>
      <c r="Q143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1" s="1">
        <f>+IF(Tabla__192.168.1.8_POSEIDONSQL_APPFVT_01_tblFillRateFechas[[#This Row],[cant_order]]&gt;0,1,0)</f>
        <v>1</v>
      </c>
      <c r="V1431" s="1">
        <f>+IF(Tabla__192.168.1.8_POSEIDONSQL_APPFVT_01_tblFillRateFechas[[#This Row],[Resultado]]=1,1,0)</f>
        <v>0</v>
      </c>
      <c r="W1431" s="1" t="str">
        <f>+Tabla__192.168.1.8_POSEIDONSQL_APPFVT_01_tblFillRateFechas[[#This Row],[con_ocnumero]]&amp;Tabla__192.168.1.8_POSEIDONSQL_APPFVT_01_tblFillRateFechas[[#This Row],[con_codigounico]]</f>
        <v>92083240390050000710671400101</v>
      </c>
      <c r="X143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2" spans="1:24" x14ac:dyDescent="0.25">
      <c r="A1432">
        <v>9</v>
      </c>
      <c r="B1432" t="s">
        <v>48</v>
      </c>
      <c r="C1432">
        <v>9208324</v>
      </c>
      <c r="D1432" t="s">
        <v>419</v>
      </c>
      <c r="E1432" t="s">
        <v>420</v>
      </c>
      <c r="F1432" t="s">
        <v>420</v>
      </c>
      <c r="G1432">
        <v>1</v>
      </c>
      <c r="H1432">
        <v>1</v>
      </c>
      <c r="I1432" t="s">
        <v>421</v>
      </c>
      <c r="J1432">
        <v>0</v>
      </c>
      <c r="K1432" t="s">
        <v>1532</v>
      </c>
      <c r="L1432" s="1">
        <f>+Tabla__192.168.1.8_POSEIDONSQL_APPFVT_01_tblFillRateFechas[[#This Row],[emb_cantidad]]-Tabla__192.168.1.8_POSEIDONSQL_APPFVT_01_tblFillRateFechas[[#This Row],[dev_cantidad]]</f>
        <v>1</v>
      </c>
      <c r="M1432" s="1">
        <f>+IF(Tabla__192.168.1.8_POSEIDONSQL_APPFVT_01_tblFillRateFechas[[#This Row],[Cant_Resultante]]=Tabla__192.168.1.8_POSEIDONSQL_APPFVT_01_tblFillRateFechas[[#This Row],[cant_order]],1,0)</f>
        <v>1</v>
      </c>
      <c r="N143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32" s="1">
        <f>+IF(AND(Tabla__192.168.1.8_POSEIDONSQL_APPFVT_01_tblFillRateFechas[[#This Row],[Valida Cant]]=1,Tabla__192.168.1.8_POSEIDONSQL_APPFVT_01_tblFillRateFechas[[#This Row],[Valida Fec]]=1),1,0)</f>
        <v>0</v>
      </c>
      <c r="P1432" s="1">
        <f>+(Tabla__192.168.1.8_POSEIDONSQL_APPFVT_01_tblFillRateFechas[[#This Row],[Cant_Resultante]]/Tabla__192.168.1.8_POSEIDONSQL_APPFVT_01_tblFillRateFechas[[#This Row],[cant_order]])*100</f>
        <v>100</v>
      </c>
      <c r="Q143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2" s="1">
        <f>+IF(Tabla__192.168.1.8_POSEIDONSQL_APPFVT_01_tblFillRateFechas[[#This Row],[cant_order]]&gt;0,1,0)</f>
        <v>1</v>
      </c>
      <c r="V1432" s="1">
        <f>+IF(Tabla__192.168.1.8_POSEIDONSQL_APPFVT_01_tblFillRateFechas[[#This Row],[Resultado]]=1,1,0)</f>
        <v>0</v>
      </c>
      <c r="W1432" s="1" t="str">
        <f>+Tabla__192.168.1.8_POSEIDONSQL_APPFVT_01_tblFillRateFechas[[#This Row],[con_ocnumero]]&amp;Tabla__192.168.1.8_POSEIDONSQL_APPFVT_01_tblFillRateFechas[[#This Row],[con_codigounico]]</f>
        <v>92083240390050000710690270101</v>
      </c>
      <c r="X143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3" spans="1:24" x14ac:dyDescent="0.25">
      <c r="A1433">
        <v>9</v>
      </c>
      <c r="B1433" t="s">
        <v>48</v>
      </c>
      <c r="C1433">
        <v>9208445</v>
      </c>
      <c r="D1433" t="s">
        <v>420</v>
      </c>
      <c r="E1433" t="s">
        <v>420</v>
      </c>
      <c r="F1433" t="s">
        <v>423</v>
      </c>
      <c r="G1433">
        <v>1</v>
      </c>
      <c r="H1433">
        <v>1</v>
      </c>
      <c r="I1433" t="s">
        <v>413</v>
      </c>
      <c r="J1433">
        <v>0</v>
      </c>
      <c r="K1433" t="s">
        <v>1534</v>
      </c>
      <c r="L1433" s="1">
        <f>+Tabla__192.168.1.8_POSEIDONSQL_APPFVT_01_tblFillRateFechas[[#This Row],[emb_cantidad]]-Tabla__192.168.1.8_POSEIDONSQL_APPFVT_01_tblFillRateFechas[[#This Row],[dev_cantidad]]</f>
        <v>1</v>
      </c>
      <c r="M1433" s="1">
        <f>+IF(Tabla__192.168.1.8_POSEIDONSQL_APPFVT_01_tblFillRateFechas[[#This Row],[Cant_Resultante]]=Tabla__192.168.1.8_POSEIDONSQL_APPFVT_01_tblFillRateFechas[[#This Row],[cant_order]],1,0)</f>
        <v>1</v>
      </c>
      <c r="N143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33" s="1">
        <f>+IF(AND(Tabla__192.168.1.8_POSEIDONSQL_APPFVT_01_tblFillRateFechas[[#This Row],[Valida Cant]]=1,Tabla__192.168.1.8_POSEIDONSQL_APPFVT_01_tblFillRateFechas[[#This Row],[Valida Fec]]=1),1,0)</f>
        <v>0</v>
      </c>
      <c r="P1433" s="1">
        <f>+(Tabla__192.168.1.8_POSEIDONSQL_APPFVT_01_tblFillRateFechas[[#This Row],[Cant_Resultante]]/Tabla__192.168.1.8_POSEIDONSQL_APPFVT_01_tblFillRateFechas[[#This Row],[cant_order]])*100</f>
        <v>100</v>
      </c>
      <c r="Q143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3" s="1">
        <f>+IF(Tabla__192.168.1.8_POSEIDONSQL_APPFVT_01_tblFillRateFechas[[#This Row],[cant_order]]&gt;0,1,0)</f>
        <v>1</v>
      </c>
      <c r="V1433" s="1">
        <f>+IF(Tabla__192.168.1.8_POSEIDONSQL_APPFVT_01_tblFillRateFechas[[#This Row],[Resultado]]=1,1,0)</f>
        <v>0</v>
      </c>
      <c r="W1433" s="1" t="str">
        <f>+Tabla__192.168.1.8_POSEIDONSQL_APPFVT_01_tblFillRateFechas[[#This Row],[con_ocnumero]]&amp;Tabla__192.168.1.8_POSEIDONSQL_APPFVT_01_tblFillRateFechas[[#This Row],[con_codigounico]]</f>
        <v>92084450390050000710705580101</v>
      </c>
      <c r="X143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4" spans="1:24" x14ac:dyDescent="0.25">
      <c r="A1434">
        <v>9</v>
      </c>
      <c r="B1434" t="s">
        <v>48</v>
      </c>
      <c r="C1434">
        <v>9208374</v>
      </c>
      <c r="D1434" t="s">
        <v>419</v>
      </c>
      <c r="E1434" t="s">
        <v>420</v>
      </c>
      <c r="F1434" t="s">
        <v>420</v>
      </c>
      <c r="G1434">
        <v>1</v>
      </c>
      <c r="H1434">
        <v>1</v>
      </c>
      <c r="I1434" t="s">
        <v>421</v>
      </c>
      <c r="J1434">
        <v>0</v>
      </c>
      <c r="K1434" t="s">
        <v>394</v>
      </c>
      <c r="L1434" s="1">
        <f>+Tabla__192.168.1.8_POSEIDONSQL_APPFVT_01_tblFillRateFechas[[#This Row],[emb_cantidad]]-Tabla__192.168.1.8_POSEIDONSQL_APPFVT_01_tblFillRateFechas[[#This Row],[dev_cantidad]]</f>
        <v>1</v>
      </c>
      <c r="M1434" s="1">
        <f>+IF(Tabla__192.168.1.8_POSEIDONSQL_APPFVT_01_tblFillRateFechas[[#This Row],[Cant_Resultante]]=Tabla__192.168.1.8_POSEIDONSQL_APPFVT_01_tblFillRateFechas[[#This Row],[cant_order]],1,0)</f>
        <v>1</v>
      </c>
      <c r="N143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34" s="1">
        <f>+IF(AND(Tabla__192.168.1.8_POSEIDONSQL_APPFVT_01_tblFillRateFechas[[#This Row],[Valida Cant]]=1,Tabla__192.168.1.8_POSEIDONSQL_APPFVT_01_tblFillRateFechas[[#This Row],[Valida Fec]]=1),1,0)</f>
        <v>0</v>
      </c>
      <c r="P1434" s="1">
        <f>+(Tabla__192.168.1.8_POSEIDONSQL_APPFVT_01_tblFillRateFechas[[#This Row],[Cant_Resultante]]/Tabla__192.168.1.8_POSEIDONSQL_APPFVT_01_tblFillRateFechas[[#This Row],[cant_order]])*100</f>
        <v>100</v>
      </c>
      <c r="Q143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4" s="1">
        <f>+IF(Tabla__192.168.1.8_POSEIDONSQL_APPFVT_01_tblFillRateFechas[[#This Row],[cant_order]]&gt;0,1,0)</f>
        <v>1</v>
      </c>
      <c r="V1434" s="1">
        <f>+IF(Tabla__192.168.1.8_POSEIDONSQL_APPFVT_01_tblFillRateFechas[[#This Row],[Resultado]]=1,1,0)</f>
        <v>0</v>
      </c>
      <c r="W1434" s="1" t="str">
        <f>+Tabla__192.168.1.8_POSEIDONSQL_APPFVT_01_tblFillRateFechas[[#This Row],[con_ocnumero]]&amp;Tabla__192.168.1.8_POSEIDONSQL_APPFVT_01_tblFillRateFechas[[#This Row],[con_codigounico]]</f>
        <v>92083740390050000710715510101</v>
      </c>
      <c r="X143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5" spans="1:24" x14ac:dyDescent="0.25">
      <c r="A1435">
        <v>9</v>
      </c>
      <c r="B1435" t="s">
        <v>48</v>
      </c>
      <c r="C1435">
        <v>9208374</v>
      </c>
      <c r="D1435" t="s">
        <v>420</v>
      </c>
      <c r="E1435" t="s">
        <v>420</v>
      </c>
      <c r="F1435" t="s">
        <v>420</v>
      </c>
      <c r="G1435">
        <v>1</v>
      </c>
      <c r="H1435">
        <v>1</v>
      </c>
      <c r="I1435" t="s">
        <v>421</v>
      </c>
      <c r="J1435">
        <v>0</v>
      </c>
      <c r="K1435" t="s">
        <v>393</v>
      </c>
      <c r="L1435" s="1">
        <f>+Tabla__192.168.1.8_POSEIDONSQL_APPFVT_01_tblFillRateFechas[[#This Row],[emb_cantidad]]-Tabla__192.168.1.8_POSEIDONSQL_APPFVT_01_tblFillRateFechas[[#This Row],[dev_cantidad]]</f>
        <v>1</v>
      </c>
      <c r="M1435" s="1">
        <f>+IF(Tabla__192.168.1.8_POSEIDONSQL_APPFVT_01_tblFillRateFechas[[#This Row],[Cant_Resultante]]=Tabla__192.168.1.8_POSEIDONSQL_APPFVT_01_tblFillRateFechas[[#This Row],[cant_order]],1,0)</f>
        <v>1</v>
      </c>
      <c r="N143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35" s="1">
        <f>+IF(AND(Tabla__192.168.1.8_POSEIDONSQL_APPFVT_01_tblFillRateFechas[[#This Row],[Valida Cant]]=1,Tabla__192.168.1.8_POSEIDONSQL_APPFVT_01_tblFillRateFechas[[#This Row],[Valida Fec]]=1),1,0)</f>
        <v>0</v>
      </c>
      <c r="P1435" s="1">
        <f>+(Tabla__192.168.1.8_POSEIDONSQL_APPFVT_01_tblFillRateFechas[[#This Row],[Cant_Resultante]]/Tabla__192.168.1.8_POSEIDONSQL_APPFVT_01_tblFillRateFechas[[#This Row],[cant_order]])*100</f>
        <v>100</v>
      </c>
      <c r="Q143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5" s="1">
        <f>+IF(Tabla__192.168.1.8_POSEIDONSQL_APPFVT_01_tblFillRateFechas[[#This Row],[cant_order]]&gt;0,1,0)</f>
        <v>1</v>
      </c>
      <c r="V1435" s="1">
        <f>+IF(Tabla__192.168.1.8_POSEIDONSQL_APPFVT_01_tblFillRateFechas[[#This Row],[Resultado]]=1,1,0)</f>
        <v>0</v>
      </c>
      <c r="W1435" s="1" t="str">
        <f>+Tabla__192.168.1.8_POSEIDONSQL_APPFVT_01_tblFillRateFechas[[#This Row],[con_ocnumero]]&amp;Tabla__192.168.1.8_POSEIDONSQL_APPFVT_01_tblFillRateFechas[[#This Row],[con_codigounico]]</f>
        <v>92083740390050000710768030101</v>
      </c>
      <c r="X143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6" spans="1:24" x14ac:dyDescent="0.25">
      <c r="A1436">
        <v>9</v>
      </c>
      <c r="B1436" t="s">
        <v>48</v>
      </c>
      <c r="C1436">
        <v>9192624</v>
      </c>
      <c r="D1436" t="s">
        <v>1980</v>
      </c>
      <c r="E1436" t="s">
        <v>1962</v>
      </c>
      <c r="F1436" t="s">
        <v>1977</v>
      </c>
      <c r="G1436">
        <v>1</v>
      </c>
      <c r="H1436">
        <v>1</v>
      </c>
      <c r="I1436" t="s">
        <v>1962</v>
      </c>
      <c r="J1436">
        <v>0</v>
      </c>
      <c r="K1436" t="s">
        <v>799</v>
      </c>
      <c r="L1436" s="1">
        <f>+Tabla__192.168.1.8_POSEIDONSQL_APPFVT_01_tblFillRateFechas[[#This Row],[emb_cantidad]]-Tabla__192.168.1.8_POSEIDONSQL_APPFVT_01_tblFillRateFechas[[#This Row],[dev_cantidad]]</f>
        <v>1</v>
      </c>
      <c r="M1436" s="1">
        <f>+IF(Tabla__192.168.1.8_POSEIDONSQL_APPFVT_01_tblFillRateFechas[[#This Row],[Cant_Resultante]]=Tabla__192.168.1.8_POSEIDONSQL_APPFVT_01_tblFillRateFechas[[#This Row],[cant_order]],1,0)</f>
        <v>1</v>
      </c>
      <c r="N143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36" s="1">
        <f>+IF(AND(Tabla__192.168.1.8_POSEIDONSQL_APPFVT_01_tblFillRateFechas[[#This Row],[Valida Cant]]=1,Tabla__192.168.1.8_POSEIDONSQL_APPFVT_01_tblFillRateFechas[[#This Row],[Valida Fec]]=1),1,0)</f>
        <v>1</v>
      </c>
      <c r="P1436" s="1">
        <f>+(Tabla__192.168.1.8_POSEIDONSQL_APPFVT_01_tblFillRateFechas[[#This Row],[Cant_Resultante]]/Tabla__192.168.1.8_POSEIDONSQL_APPFVT_01_tblFillRateFechas[[#This Row],[cant_order]])*100</f>
        <v>100</v>
      </c>
      <c r="Q143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6" s="1">
        <f>+IF(Tabla__192.168.1.8_POSEIDONSQL_APPFVT_01_tblFillRateFechas[[#This Row],[cant_order]]&gt;0,1,0)</f>
        <v>1</v>
      </c>
      <c r="V1436" s="1">
        <f>+IF(Tabla__192.168.1.8_POSEIDONSQL_APPFVT_01_tblFillRateFechas[[#This Row],[Resultado]]=1,1,0)</f>
        <v>1</v>
      </c>
      <c r="W1436" s="1" t="str">
        <f>+Tabla__192.168.1.8_POSEIDONSQL_APPFVT_01_tblFillRateFechas[[#This Row],[con_ocnumero]]&amp;Tabla__192.168.1.8_POSEIDONSQL_APPFVT_01_tblFillRateFechas[[#This Row],[con_codigounico]]</f>
        <v>91926240450451808297930013502</v>
      </c>
      <c r="X143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7" spans="1:24" x14ac:dyDescent="0.25">
      <c r="A1437">
        <v>9</v>
      </c>
      <c r="B1437" t="s">
        <v>48</v>
      </c>
      <c r="C1437">
        <v>9203479</v>
      </c>
      <c r="D1437" t="s">
        <v>426</v>
      </c>
      <c r="E1437" t="s">
        <v>420</v>
      </c>
      <c r="F1437" t="s">
        <v>415</v>
      </c>
      <c r="G1437">
        <v>1</v>
      </c>
      <c r="H1437">
        <v>1</v>
      </c>
      <c r="I1437" t="s">
        <v>420</v>
      </c>
      <c r="J1437">
        <v>0</v>
      </c>
      <c r="K1437" t="s">
        <v>1928</v>
      </c>
      <c r="L1437" s="1">
        <f>+Tabla__192.168.1.8_POSEIDONSQL_APPFVT_01_tblFillRateFechas[[#This Row],[emb_cantidad]]-Tabla__192.168.1.8_POSEIDONSQL_APPFVT_01_tblFillRateFechas[[#This Row],[dev_cantidad]]</f>
        <v>1</v>
      </c>
      <c r="M1437" s="1">
        <f>+IF(Tabla__192.168.1.8_POSEIDONSQL_APPFVT_01_tblFillRateFechas[[#This Row],[Cant_Resultante]]=Tabla__192.168.1.8_POSEIDONSQL_APPFVT_01_tblFillRateFechas[[#This Row],[cant_order]],1,0)</f>
        <v>1</v>
      </c>
      <c r="N143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37" s="1">
        <f>+IF(AND(Tabla__192.168.1.8_POSEIDONSQL_APPFVT_01_tblFillRateFechas[[#This Row],[Valida Cant]]=1,Tabla__192.168.1.8_POSEIDONSQL_APPFVT_01_tblFillRateFechas[[#This Row],[Valida Fec]]=1),1,0)</f>
        <v>1</v>
      </c>
      <c r="P1437" s="1">
        <f>+(Tabla__192.168.1.8_POSEIDONSQL_APPFVT_01_tblFillRateFechas[[#This Row],[Cant_Resultante]]/Tabla__192.168.1.8_POSEIDONSQL_APPFVT_01_tblFillRateFechas[[#This Row],[cant_order]])*100</f>
        <v>100</v>
      </c>
      <c r="Q143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7" s="1">
        <f>+IF(Tabla__192.168.1.8_POSEIDONSQL_APPFVT_01_tblFillRateFechas[[#This Row],[cant_order]]&gt;0,1,0)</f>
        <v>1</v>
      </c>
      <c r="V1437" s="1">
        <f>+IF(Tabla__192.168.1.8_POSEIDONSQL_APPFVT_01_tblFillRateFechas[[#This Row],[Resultado]]=1,1,0)</f>
        <v>1</v>
      </c>
      <c r="W1437" s="1" t="str">
        <f>+Tabla__192.168.1.8_POSEIDONSQL_APPFVT_01_tblFillRateFechas[[#This Row],[con_ocnumero]]&amp;Tabla__192.168.1.8_POSEIDONSQL_APPFVT_01_tblFillRateFechas[[#This Row],[con_codigounico]]</f>
        <v>92034790450451809148287013601</v>
      </c>
      <c r="X143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8" spans="1:24" x14ac:dyDescent="0.25">
      <c r="A1438">
        <v>9</v>
      </c>
      <c r="B1438" t="s">
        <v>48</v>
      </c>
      <c r="C1438">
        <v>9203716</v>
      </c>
      <c r="D1438" t="s">
        <v>1983</v>
      </c>
      <c r="E1438" t="s">
        <v>420</v>
      </c>
      <c r="F1438" t="s">
        <v>415</v>
      </c>
      <c r="G1438">
        <v>1</v>
      </c>
      <c r="H1438">
        <v>1</v>
      </c>
      <c r="I1438" t="s">
        <v>420</v>
      </c>
      <c r="J1438">
        <v>0</v>
      </c>
      <c r="K1438" t="s">
        <v>1930</v>
      </c>
      <c r="L1438" s="1">
        <f>+Tabla__192.168.1.8_POSEIDONSQL_APPFVT_01_tblFillRateFechas[[#This Row],[emb_cantidad]]-Tabla__192.168.1.8_POSEIDONSQL_APPFVT_01_tblFillRateFechas[[#This Row],[dev_cantidad]]</f>
        <v>1</v>
      </c>
      <c r="M1438" s="1">
        <f>+IF(Tabla__192.168.1.8_POSEIDONSQL_APPFVT_01_tblFillRateFechas[[#This Row],[Cant_Resultante]]=Tabla__192.168.1.8_POSEIDONSQL_APPFVT_01_tblFillRateFechas[[#This Row],[cant_order]],1,0)</f>
        <v>1</v>
      </c>
      <c r="N143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38" s="1">
        <f>+IF(AND(Tabla__192.168.1.8_POSEIDONSQL_APPFVT_01_tblFillRateFechas[[#This Row],[Valida Cant]]=1,Tabla__192.168.1.8_POSEIDONSQL_APPFVT_01_tblFillRateFechas[[#This Row],[Valida Fec]]=1),1,0)</f>
        <v>1</v>
      </c>
      <c r="P1438" s="1">
        <f>+(Tabla__192.168.1.8_POSEIDONSQL_APPFVT_01_tblFillRateFechas[[#This Row],[Cant_Resultante]]/Tabla__192.168.1.8_POSEIDONSQL_APPFVT_01_tblFillRateFechas[[#This Row],[cant_order]])*100</f>
        <v>100</v>
      </c>
      <c r="Q143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8" s="1">
        <f>+IF(Tabla__192.168.1.8_POSEIDONSQL_APPFVT_01_tblFillRateFechas[[#This Row],[cant_order]]&gt;0,1,0)</f>
        <v>1</v>
      </c>
      <c r="V1438" s="1">
        <f>+IF(Tabla__192.168.1.8_POSEIDONSQL_APPFVT_01_tblFillRateFechas[[#This Row],[Resultado]]=1,1,0)</f>
        <v>1</v>
      </c>
      <c r="W1438" s="1" t="str">
        <f>+Tabla__192.168.1.8_POSEIDONSQL_APPFVT_01_tblFillRateFechas[[#This Row],[con_ocnumero]]&amp;Tabla__192.168.1.8_POSEIDONSQL_APPFVT_01_tblFillRateFechas[[#This Row],[con_codigounico]]</f>
        <v>92037160450451809158300013604</v>
      </c>
      <c r="X143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39" spans="1:24" x14ac:dyDescent="0.25">
      <c r="A1439">
        <v>9</v>
      </c>
      <c r="B1439" t="s">
        <v>48</v>
      </c>
      <c r="C1439">
        <v>9203716</v>
      </c>
      <c r="D1439" t="s">
        <v>1983</v>
      </c>
      <c r="E1439" t="s">
        <v>422</v>
      </c>
      <c r="F1439" t="s">
        <v>415</v>
      </c>
      <c r="G1439">
        <v>1</v>
      </c>
      <c r="H1439">
        <v>1</v>
      </c>
      <c r="I1439" t="s">
        <v>422</v>
      </c>
      <c r="J1439">
        <v>0</v>
      </c>
      <c r="K1439" t="s">
        <v>1911</v>
      </c>
      <c r="L1439" s="1">
        <f>+Tabla__192.168.1.8_POSEIDONSQL_APPFVT_01_tblFillRateFechas[[#This Row],[emb_cantidad]]-Tabla__192.168.1.8_POSEIDONSQL_APPFVT_01_tblFillRateFechas[[#This Row],[dev_cantidad]]</f>
        <v>1</v>
      </c>
      <c r="M1439" s="1">
        <f>+IF(Tabla__192.168.1.8_POSEIDONSQL_APPFVT_01_tblFillRateFechas[[#This Row],[Cant_Resultante]]=Tabla__192.168.1.8_POSEIDONSQL_APPFVT_01_tblFillRateFechas[[#This Row],[cant_order]],1,0)</f>
        <v>1</v>
      </c>
      <c r="N143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39" s="1">
        <f>+IF(AND(Tabla__192.168.1.8_POSEIDONSQL_APPFVT_01_tblFillRateFechas[[#This Row],[Valida Cant]]=1,Tabla__192.168.1.8_POSEIDONSQL_APPFVT_01_tblFillRateFechas[[#This Row],[Valida Fec]]=1),1,0)</f>
        <v>1</v>
      </c>
      <c r="P1439" s="1">
        <f>+(Tabla__192.168.1.8_POSEIDONSQL_APPFVT_01_tblFillRateFechas[[#This Row],[Cant_Resultante]]/Tabla__192.168.1.8_POSEIDONSQL_APPFVT_01_tblFillRateFechas[[#This Row],[cant_order]])*100</f>
        <v>100</v>
      </c>
      <c r="Q143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3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3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3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39" s="1">
        <f>+IF(Tabla__192.168.1.8_POSEIDONSQL_APPFVT_01_tblFillRateFechas[[#This Row],[cant_order]]&gt;0,1,0)</f>
        <v>1</v>
      </c>
      <c r="V1439" s="1">
        <f>+IF(Tabla__192.168.1.8_POSEIDONSQL_APPFVT_01_tblFillRateFechas[[#This Row],[Resultado]]=1,1,0)</f>
        <v>1</v>
      </c>
      <c r="W1439" s="1" t="str">
        <f>+Tabla__192.168.1.8_POSEIDONSQL_APPFVT_01_tblFillRateFechas[[#This Row],[con_ocnumero]]&amp;Tabla__192.168.1.8_POSEIDONSQL_APPFVT_01_tblFillRateFechas[[#This Row],[con_codigounico]]</f>
        <v>92037160450631809152368007840</v>
      </c>
      <c r="X143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0" spans="1:24" x14ac:dyDescent="0.25">
      <c r="A1440">
        <v>9</v>
      </c>
      <c r="B1440" t="s">
        <v>48</v>
      </c>
      <c r="C1440">
        <v>9179114</v>
      </c>
      <c r="D1440" t="s">
        <v>12</v>
      </c>
      <c r="E1440" t="s">
        <v>1971</v>
      </c>
      <c r="F1440" t="s">
        <v>12</v>
      </c>
      <c r="G1440">
        <v>1</v>
      </c>
      <c r="H1440">
        <v>1</v>
      </c>
      <c r="I1440" t="s">
        <v>1980</v>
      </c>
      <c r="J1440">
        <v>0</v>
      </c>
      <c r="K1440" t="s">
        <v>1113</v>
      </c>
      <c r="L1440" s="1">
        <f>+Tabla__192.168.1.8_POSEIDONSQL_APPFVT_01_tblFillRateFechas[[#This Row],[emb_cantidad]]-Tabla__192.168.1.8_POSEIDONSQL_APPFVT_01_tblFillRateFechas[[#This Row],[dev_cantidad]]</f>
        <v>1</v>
      </c>
      <c r="M1440" s="1">
        <f>+IF(Tabla__192.168.1.8_POSEIDONSQL_APPFVT_01_tblFillRateFechas[[#This Row],[Cant_Resultante]]=Tabla__192.168.1.8_POSEIDONSQL_APPFVT_01_tblFillRateFechas[[#This Row],[cant_order]],1,0)</f>
        <v>1</v>
      </c>
      <c r="N144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40" s="1">
        <f>+IF(AND(Tabla__192.168.1.8_POSEIDONSQL_APPFVT_01_tblFillRateFechas[[#This Row],[Valida Cant]]=1,Tabla__192.168.1.8_POSEIDONSQL_APPFVT_01_tblFillRateFechas[[#This Row],[Valida Fec]]=1),1,0)</f>
        <v>0</v>
      </c>
      <c r="P1440" s="1">
        <f>+(Tabla__192.168.1.8_POSEIDONSQL_APPFVT_01_tblFillRateFechas[[#This Row],[Cant_Resultante]]/Tabla__192.168.1.8_POSEIDONSQL_APPFVT_01_tblFillRateFechas[[#This Row],[cant_order]])*100</f>
        <v>100</v>
      </c>
      <c r="Q144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0" s="1">
        <f>+IF(Tabla__192.168.1.8_POSEIDONSQL_APPFVT_01_tblFillRateFechas[[#This Row],[cant_order]]&gt;0,1,0)</f>
        <v>1</v>
      </c>
      <c r="V1440" s="1">
        <f>+IF(Tabla__192.168.1.8_POSEIDONSQL_APPFVT_01_tblFillRateFechas[[#This Row],[Resultado]]=1,1,0)</f>
        <v>0</v>
      </c>
      <c r="W1440" s="1" t="str">
        <f>+Tabla__192.168.1.8_POSEIDONSQL_APPFVT_01_tblFillRateFechas[[#This Row],[con_ocnumero]]&amp;Tabla__192.168.1.8_POSEIDONSQL_APPFVT_01_tblFillRateFechas[[#This Row],[con_codigounico]]</f>
        <v>91791140451001808041401009676</v>
      </c>
      <c r="X144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1" spans="1:24" x14ac:dyDescent="0.25">
      <c r="A1441">
        <v>9</v>
      </c>
      <c r="B1441" t="s">
        <v>48</v>
      </c>
      <c r="C1441">
        <v>9194172</v>
      </c>
      <c r="D1441" t="s">
        <v>1962</v>
      </c>
      <c r="E1441" t="s">
        <v>1963</v>
      </c>
      <c r="F1441" t="s">
        <v>1963</v>
      </c>
      <c r="G1441">
        <v>1</v>
      </c>
      <c r="H1441">
        <v>1</v>
      </c>
      <c r="I1441" t="s">
        <v>160</v>
      </c>
      <c r="J1441">
        <v>0</v>
      </c>
      <c r="K1441" t="s">
        <v>1626</v>
      </c>
      <c r="L1441" s="1">
        <f>+Tabla__192.168.1.8_POSEIDONSQL_APPFVT_01_tblFillRateFechas[[#This Row],[emb_cantidad]]-Tabla__192.168.1.8_POSEIDONSQL_APPFVT_01_tblFillRateFechas[[#This Row],[dev_cantidad]]</f>
        <v>1</v>
      </c>
      <c r="M1441" s="1">
        <f>+IF(Tabla__192.168.1.8_POSEIDONSQL_APPFVT_01_tblFillRateFechas[[#This Row],[Cant_Resultante]]=Tabla__192.168.1.8_POSEIDONSQL_APPFVT_01_tblFillRateFechas[[#This Row],[cant_order]],1,0)</f>
        <v>1</v>
      </c>
      <c r="N144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0</v>
      </c>
      <c r="O1441" s="1">
        <f>+IF(AND(Tabla__192.168.1.8_POSEIDONSQL_APPFVT_01_tblFillRateFechas[[#This Row],[Valida Cant]]=1,Tabla__192.168.1.8_POSEIDONSQL_APPFVT_01_tblFillRateFechas[[#This Row],[Valida Fec]]=1),1,0)</f>
        <v>0</v>
      </c>
      <c r="P1441" s="1">
        <f>+(Tabla__192.168.1.8_POSEIDONSQL_APPFVT_01_tblFillRateFechas[[#This Row],[Cant_Resultante]]/Tabla__192.168.1.8_POSEIDONSQL_APPFVT_01_tblFillRateFechas[[#This Row],[cant_order]])*100</f>
        <v>100</v>
      </c>
      <c r="Q144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1" s="1">
        <f>+IF(Tabla__192.168.1.8_POSEIDONSQL_APPFVT_01_tblFillRateFechas[[#This Row],[cant_order]]&gt;0,1,0)</f>
        <v>1</v>
      </c>
      <c r="V1441" s="1">
        <f>+IF(Tabla__192.168.1.8_POSEIDONSQL_APPFVT_01_tblFillRateFechas[[#This Row],[Resultado]]=1,1,0)</f>
        <v>0</v>
      </c>
      <c r="W1441" s="1" t="str">
        <f>+Tabla__192.168.1.8_POSEIDONSQL_APPFVT_01_tblFillRateFechas[[#This Row],[con_ocnumero]]&amp;Tabla__192.168.1.8_POSEIDONSQL_APPFVT_01_tblFillRateFechas[[#This Row],[con_codigounico]]</f>
        <v>91941720451001808311936009816</v>
      </c>
      <c r="X144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2" spans="1:24" x14ac:dyDescent="0.25">
      <c r="A1442">
        <v>9</v>
      </c>
      <c r="B1442" t="s">
        <v>48</v>
      </c>
      <c r="C1442">
        <v>9189540</v>
      </c>
      <c r="D1442" t="s">
        <v>1968</v>
      </c>
      <c r="E1442" t="s">
        <v>1969</v>
      </c>
      <c r="F1442" t="s">
        <v>1971</v>
      </c>
      <c r="G1442">
        <v>1</v>
      </c>
      <c r="H1442">
        <v>1</v>
      </c>
      <c r="I1442" t="s">
        <v>1969</v>
      </c>
      <c r="J1442">
        <v>0</v>
      </c>
      <c r="K1442" t="s">
        <v>1400</v>
      </c>
      <c r="L1442" s="1">
        <f>+Tabla__192.168.1.8_POSEIDONSQL_APPFVT_01_tblFillRateFechas[[#This Row],[emb_cantidad]]-Tabla__192.168.1.8_POSEIDONSQL_APPFVT_01_tblFillRateFechas[[#This Row],[dev_cantidad]]</f>
        <v>1</v>
      </c>
      <c r="M1442" s="1">
        <f>+IF(Tabla__192.168.1.8_POSEIDONSQL_APPFVT_01_tblFillRateFechas[[#This Row],[Cant_Resultante]]=Tabla__192.168.1.8_POSEIDONSQL_APPFVT_01_tblFillRateFechas[[#This Row],[cant_order]],1,0)</f>
        <v>1</v>
      </c>
      <c r="N144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2" s="1">
        <f>+IF(AND(Tabla__192.168.1.8_POSEIDONSQL_APPFVT_01_tblFillRateFechas[[#This Row],[Valida Cant]]=1,Tabla__192.168.1.8_POSEIDONSQL_APPFVT_01_tblFillRateFechas[[#This Row],[Valida Fec]]=1),1,0)</f>
        <v>1</v>
      </c>
      <c r="P1442" s="1">
        <f>+(Tabla__192.168.1.8_POSEIDONSQL_APPFVT_01_tblFillRateFechas[[#This Row],[Cant_Resultante]]/Tabla__192.168.1.8_POSEIDONSQL_APPFVT_01_tblFillRateFechas[[#This Row],[cant_order]])*100</f>
        <v>100</v>
      </c>
      <c r="Q144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2" s="1">
        <f>+IF(Tabla__192.168.1.8_POSEIDONSQL_APPFVT_01_tblFillRateFechas[[#This Row],[cant_order]]&gt;0,1,0)</f>
        <v>1</v>
      </c>
      <c r="V1442" s="1">
        <f>+IF(Tabla__192.168.1.8_POSEIDONSQL_APPFVT_01_tblFillRateFechas[[#This Row],[Resultado]]=1,1,0)</f>
        <v>1</v>
      </c>
      <c r="W1442" s="1" t="str">
        <f>+Tabla__192.168.1.8_POSEIDONSQL_APPFVT_01_tblFillRateFechas[[#This Row],[con_ocnumero]]&amp;Tabla__192.168.1.8_POSEIDONSQL_APPFVT_01_tblFillRateFechas[[#This Row],[con_codigounico]]</f>
        <v>91895400460531808243429003762</v>
      </c>
      <c r="X144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3" spans="1:24" x14ac:dyDescent="0.25">
      <c r="A1443">
        <v>9</v>
      </c>
      <c r="B1443" t="s">
        <v>48</v>
      </c>
      <c r="C1443">
        <v>9181455</v>
      </c>
      <c r="D1443" t="s">
        <v>12</v>
      </c>
      <c r="E1443" t="s">
        <v>1962</v>
      </c>
      <c r="F1443" t="s">
        <v>12</v>
      </c>
      <c r="G1443">
        <v>1</v>
      </c>
      <c r="H1443">
        <v>1</v>
      </c>
      <c r="I1443" t="s">
        <v>1962</v>
      </c>
      <c r="J1443">
        <v>0</v>
      </c>
      <c r="K1443" t="s">
        <v>708</v>
      </c>
      <c r="L1443" s="1">
        <f>+Tabla__192.168.1.8_POSEIDONSQL_APPFVT_01_tblFillRateFechas[[#This Row],[emb_cantidad]]-Tabla__192.168.1.8_POSEIDONSQL_APPFVT_01_tblFillRateFechas[[#This Row],[dev_cantidad]]</f>
        <v>1</v>
      </c>
      <c r="M1443" s="1">
        <f>+IF(Tabla__192.168.1.8_POSEIDONSQL_APPFVT_01_tblFillRateFechas[[#This Row],[Cant_Resultante]]=Tabla__192.168.1.8_POSEIDONSQL_APPFVT_01_tblFillRateFechas[[#This Row],[cant_order]],1,0)</f>
        <v>1</v>
      </c>
      <c r="N144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3" s="1">
        <f>+IF(AND(Tabla__192.168.1.8_POSEIDONSQL_APPFVT_01_tblFillRateFechas[[#This Row],[Valida Cant]]=1,Tabla__192.168.1.8_POSEIDONSQL_APPFVT_01_tblFillRateFechas[[#This Row],[Valida Fec]]=1),1,0)</f>
        <v>1</v>
      </c>
      <c r="P1443" s="1">
        <f>+(Tabla__192.168.1.8_POSEIDONSQL_APPFVT_01_tblFillRateFechas[[#This Row],[Cant_Resultante]]/Tabla__192.168.1.8_POSEIDONSQL_APPFVT_01_tblFillRateFechas[[#This Row],[cant_order]])*100</f>
        <v>100</v>
      </c>
      <c r="Q144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3" s="1">
        <f>+IF(Tabla__192.168.1.8_POSEIDONSQL_APPFVT_01_tblFillRateFechas[[#This Row],[cant_order]]&gt;0,1,0)</f>
        <v>1</v>
      </c>
      <c r="V1443" s="1">
        <f>+IF(Tabla__192.168.1.8_POSEIDONSQL_APPFVT_01_tblFillRateFechas[[#This Row],[Resultado]]=1,1,0)</f>
        <v>1</v>
      </c>
      <c r="W1443" s="1" t="str">
        <f>+Tabla__192.168.1.8_POSEIDONSQL_APPFVT_01_tblFillRateFechas[[#This Row],[con_ocnumero]]&amp;Tabla__192.168.1.8_POSEIDONSQL_APPFVT_01_tblFillRateFechas[[#This Row],[con_codigounico]]</f>
        <v>91814550490551808085592014777</v>
      </c>
      <c r="X144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4" spans="1:24" x14ac:dyDescent="0.25">
      <c r="A1444">
        <v>9</v>
      </c>
      <c r="B1444" t="s">
        <v>48</v>
      </c>
      <c r="C1444">
        <v>9186889</v>
      </c>
      <c r="D1444" t="s">
        <v>1974</v>
      </c>
      <c r="E1444" t="s">
        <v>1971</v>
      </c>
      <c r="F1444" t="s">
        <v>1975</v>
      </c>
      <c r="G1444">
        <v>1</v>
      </c>
      <c r="H1444">
        <v>1</v>
      </c>
      <c r="I1444" t="s">
        <v>1971</v>
      </c>
      <c r="J1444">
        <v>0</v>
      </c>
      <c r="K1444" t="s">
        <v>480</v>
      </c>
      <c r="L1444" s="1">
        <f>+Tabla__192.168.1.8_POSEIDONSQL_APPFVT_01_tblFillRateFechas[[#This Row],[emb_cantidad]]-Tabla__192.168.1.8_POSEIDONSQL_APPFVT_01_tblFillRateFechas[[#This Row],[dev_cantidad]]</f>
        <v>1</v>
      </c>
      <c r="M1444" s="1">
        <f>+IF(Tabla__192.168.1.8_POSEIDONSQL_APPFVT_01_tblFillRateFechas[[#This Row],[Cant_Resultante]]=Tabla__192.168.1.8_POSEIDONSQL_APPFVT_01_tblFillRateFechas[[#This Row],[cant_order]],1,0)</f>
        <v>1</v>
      </c>
      <c r="N144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4" s="1">
        <f>+IF(AND(Tabla__192.168.1.8_POSEIDONSQL_APPFVT_01_tblFillRateFechas[[#This Row],[Valida Cant]]=1,Tabla__192.168.1.8_POSEIDONSQL_APPFVT_01_tblFillRateFechas[[#This Row],[Valida Fec]]=1),1,0)</f>
        <v>1</v>
      </c>
      <c r="P1444" s="1">
        <f>+(Tabla__192.168.1.8_POSEIDONSQL_APPFVT_01_tblFillRateFechas[[#This Row],[Cant_Resultante]]/Tabla__192.168.1.8_POSEIDONSQL_APPFVT_01_tblFillRateFechas[[#This Row],[cant_order]])*100</f>
        <v>100</v>
      </c>
      <c r="Q144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4" s="1">
        <f>+IF(Tabla__192.168.1.8_POSEIDONSQL_APPFVT_01_tblFillRateFechas[[#This Row],[cant_order]]&gt;0,1,0)</f>
        <v>1</v>
      </c>
      <c r="V1444" s="1">
        <f>+IF(Tabla__192.168.1.8_POSEIDONSQL_APPFVT_01_tblFillRateFechas[[#This Row],[Resultado]]=1,1,0)</f>
        <v>1</v>
      </c>
      <c r="W1444" s="1" t="str">
        <f>+Tabla__192.168.1.8_POSEIDONSQL_APPFVT_01_tblFillRateFechas[[#This Row],[con_ocnumero]]&amp;Tabla__192.168.1.8_POSEIDONSQL_APPFVT_01_tblFillRateFechas[[#This Row],[con_codigounico]]</f>
        <v>91868890570731808199788010069</v>
      </c>
      <c r="X144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5" spans="1:24" x14ac:dyDescent="0.25">
      <c r="A1445">
        <v>9</v>
      </c>
      <c r="B1445" t="s">
        <v>48</v>
      </c>
      <c r="C1445">
        <v>9194705</v>
      </c>
      <c r="D1445" t="s">
        <v>1966</v>
      </c>
      <c r="E1445" t="s">
        <v>160</v>
      </c>
      <c r="F1445" t="s">
        <v>1963</v>
      </c>
      <c r="G1445">
        <v>1</v>
      </c>
      <c r="H1445">
        <v>1</v>
      </c>
      <c r="I1445" t="s">
        <v>160</v>
      </c>
      <c r="J1445">
        <v>0</v>
      </c>
      <c r="K1445" t="s">
        <v>1627</v>
      </c>
      <c r="L1445" s="1">
        <f>+Tabla__192.168.1.8_POSEIDONSQL_APPFVT_01_tblFillRateFechas[[#This Row],[emb_cantidad]]-Tabla__192.168.1.8_POSEIDONSQL_APPFVT_01_tblFillRateFechas[[#This Row],[dev_cantidad]]</f>
        <v>1</v>
      </c>
      <c r="M1445" s="1">
        <f>+IF(Tabla__192.168.1.8_POSEIDONSQL_APPFVT_01_tblFillRateFechas[[#This Row],[Cant_Resultante]]=Tabla__192.168.1.8_POSEIDONSQL_APPFVT_01_tblFillRateFechas[[#This Row],[cant_order]],1,0)</f>
        <v>1</v>
      </c>
      <c r="N144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5" s="1">
        <f>+IF(AND(Tabla__192.168.1.8_POSEIDONSQL_APPFVT_01_tblFillRateFechas[[#This Row],[Valida Cant]]=1,Tabla__192.168.1.8_POSEIDONSQL_APPFVT_01_tblFillRateFechas[[#This Row],[Valida Fec]]=1),1,0)</f>
        <v>1</v>
      </c>
      <c r="P1445" s="1">
        <f>+(Tabla__192.168.1.8_POSEIDONSQL_APPFVT_01_tblFillRateFechas[[#This Row],[Cant_Resultante]]/Tabla__192.168.1.8_POSEIDONSQL_APPFVT_01_tblFillRateFechas[[#This Row],[cant_order]])*100</f>
        <v>100</v>
      </c>
      <c r="Q144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5" s="1">
        <f>+IF(Tabla__192.168.1.8_POSEIDONSQL_APPFVT_01_tblFillRateFechas[[#This Row],[cant_order]]&gt;0,1,0)</f>
        <v>1</v>
      </c>
      <c r="V1445" s="1">
        <f>+IF(Tabla__192.168.1.8_POSEIDONSQL_APPFVT_01_tblFillRateFechas[[#This Row],[Resultado]]=1,1,0)</f>
        <v>1</v>
      </c>
      <c r="W1445" s="1" t="str">
        <f>+Tabla__192.168.1.8_POSEIDONSQL_APPFVT_01_tblFillRateFechas[[#This Row],[con_ocnumero]]&amp;Tabla__192.168.1.8_POSEIDONSQL_APPFVT_01_tblFillRateFechas[[#This Row],[con_codigounico]]</f>
        <v>91947050570751809011174012726</v>
      </c>
      <c r="X144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6" spans="1:24" x14ac:dyDescent="0.25">
      <c r="A1446">
        <v>9</v>
      </c>
      <c r="B1446" t="s">
        <v>48</v>
      </c>
      <c r="C1446">
        <v>9200988</v>
      </c>
      <c r="D1446" t="s">
        <v>163</v>
      </c>
      <c r="E1446" t="s">
        <v>422</v>
      </c>
      <c r="F1446" t="s">
        <v>429</v>
      </c>
      <c r="G1446">
        <v>1</v>
      </c>
      <c r="H1446">
        <v>1</v>
      </c>
      <c r="I1446" t="s">
        <v>426</v>
      </c>
      <c r="J1446">
        <v>0</v>
      </c>
      <c r="K1446" t="s">
        <v>1686</v>
      </c>
      <c r="L1446" s="1">
        <f>+Tabla__192.168.1.8_POSEIDONSQL_APPFVT_01_tblFillRateFechas[[#This Row],[emb_cantidad]]-Tabla__192.168.1.8_POSEIDONSQL_APPFVT_01_tblFillRateFechas[[#This Row],[dev_cantidad]]</f>
        <v>1</v>
      </c>
      <c r="M1446" s="1">
        <f>+IF(Tabla__192.168.1.8_POSEIDONSQL_APPFVT_01_tblFillRateFechas[[#This Row],[Cant_Resultante]]=Tabla__192.168.1.8_POSEIDONSQL_APPFVT_01_tblFillRateFechas[[#This Row],[cant_order]],1,0)</f>
        <v>1</v>
      </c>
      <c r="N144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6" s="1">
        <f>+IF(AND(Tabla__192.168.1.8_POSEIDONSQL_APPFVT_01_tblFillRateFechas[[#This Row],[Valida Cant]]=1,Tabla__192.168.1.8_POSEIDONSQL_APPFVT_01_tblFillRateFechas[[#This Row],[Valida Fec]]=1),1,0)</f>
        <v>1</v>
      </c>
      <c r="P1446" s="1">
        <f>+(Tabla__192.168.1.8_POSEIDONSQL_APPFVT_01_tblFillRateFechas[[#This Row],[Cant_Resultante]]/Tabla__192.168.1.8_POSEIDONSQL_APPFVT_01_tblFillRateFechas[[#This Row],[cant_order]])*100</f>
        <v>100</v>
      </c>
      <c r="Q144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6" s="1">
        <f>+IF(Tabla__192.168.1.8_POSEIDONSQL_APPFVT_01_tblFillRateFechas[[#This Row],[cant_order]]&gt;0,1,0)</f>
        <v>1</v>
      </c>
      <c r="V1446" s="1">
        <f>+IF(Tabla__192.168.1.8_POSEIDONSQL_APPFVT_01_tblFillRateFechas[[#This Row],[Resultado]]=1,1,0)</f>
        <v>1</v>
      </c>
      <c r="W1446" s="1" t="str">
        <f>+Tabla__192.168.1.8_POSEIDONSQL_APPFVT_01_tblFillRateFechas[[#This Row],[con_ocnumero]]&amp;Tabla__192.168.1.8_POSEIDONSQL_APPFVT_01_tblFillRateFechas[[#This Row],[con_codigounico]]</f>
        <v>92009880690261809103486001946</v>
      </c>
      <c r="X144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7" spans="1:24" x14ac:dyDescent="0.25">
      <c r="A1447">
        <v>9</v>
      </c>
      <c r="B1447" t="s">
        <v>48</v>
      </c>
      <c r="C1447">
        <v>9206363</v>
      </c>
      <c r="D1447" t="s">
        <v>417</v>
      </c>
      <c r="E1447" t="s">
        <v>420</v>
      </c>
      <c r="F1447" t="s">
        <v>416</v>
      </c>
      <c r="G1447">
        <v>1</v>
      </c>
      <c r="H1447">
        <v>1</v>
      </c>
      <c r="I1447" t="s">
        <v>420</v>
      </c>
      <c r="J1447">
        <v>0</v>
      </c>
      <c r="K1447" t="s">
        <v>1037</v>
      </c>
      <c r="L1447" s="1">
        <f>+Tabla__192.168.1.8_POSEIDONSQL_APPFVT_01_tblFillRateFechas[[#This Row],[emb_cantidad]]-Tabla__192.168.1.8_POSEIDONSQL_APPFVT_01_tblFillRateFechas[[#This Row],[dev_cantidad]]</f>
        <v>1</v>
      </c>
      <c r="M1447" s="1">
        <f>+IF(Tabla__192.168.1.8_POSEIDONSQL_APPFVT_01_tblFillRateFechas[[#This Row],[Cant_Resultante]]=Tabla__192.168.1.8_POSEIDONSQL_APPFVT_01_tblFillRateFechas[[#This Row],[cant_order]],1,0)</f>
        <v>1</v>
      </c>
      <c r="N144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7" s="1">
        <f>+IF(AND(Tabla__192.168.1.8_POSEIDONSQL_APPFVT_01_tblFillRateFechas[[#This Row],[Valida Cant]]=1,Tabla__192.168.1.8_POSEIDONSQL_APPFVT_01_tblFillRateFechas[[#This Row],[Valida Fec]]=1),1,0)</f>
        <v>1</v>
      </c>
      <c r="P1447" s="1">
        <f>+(Tabla__192.168.1.8_POSEIDONSQL_APPFVT_01_tblFillRateFechas[[#This Row],[Cant_Resultante]]/Tabla__192.168.1.8_POSEIDONSQL_APPFVT_01_tblFillRateFechas[[#This Row],[cant_order]])*100</f>
        <v>100</v>
      </c>
      <c r="Q144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7" s="1">
        <f>+IF(Tabla__192.168.1.8_POSEIDONSQL_APPFVT_01_tblFillRateFechas[[#This Row],[cant_order]]&gt;0,1,0)</f>
        <v>1</v>
      </c>
      <c r="V1447" s="1">
        <f>+IF(Tabla__192.168.1.8_POSEIDONSQL_APPFVT_01_tblFillRateFechas[[#This Row],[Resultado]]=1,1,0)</f>
        <v>1</v>
      </c>
      <c r="W1447" s="1" t="str">
        <f>+Tabla__192.168.1.8_POSEIDONSQL_APPFVT_01_tblFillRateFechas[[#This Row],[con_ocnumero]]&amp;Tabla__192.168.1.8_POSEIDONSQL_APPFVT_01_tblFillRateFechas[[#This Row],[con_codigounico]]</f>
        <v>92063630760891809221621005994</v>
      </c>
      <c r="X144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8" spans="1:24" x14ac:dyDescent="0.25">
      <c r="A1448">
        <v>9</v>
      </c>
      <c r="B1448" t="s">
        <v>48</v>
      </c>
      <c r="C1448">
        <v>9195052</v>
      </c>
      <c r="D1448" t="s">
        <v>1973</v>
      </c>
      <c r="E1448" t="s">
        <v>163</v>
      </c>
      <c r="F1448" t="s">
        <v>1963</v>
      </c>
      <c r="G1448">
        <v>1</v>
      </c>
      <c r="H1448">
        <v>1</v>
      </c>
      <c r="I1448" t="s">
        <v>163</v>
      </c>
      <c r="J1448">
        <v>0</v>
      </c>
      <c r="K1448" t="s">
        <v>1814</v>
      </c>
      <c r="L1448" s="1">
        <f>+Tabla__192.168.1.8_POSEIDONSQL_APPFVT_01_tblFillRateFechas[[#This Row],[emb_cantidad]]-Tabla__192.168.1.8_POSEIDONSQL_APPFVT_01_tblFillRateFechas[[#This Row],[dev_cantidad]]</f>
        <v>1</v>
      </c>
      <c r="M1448" s="1">
        <f>+IF(Tabla__192.168.1.8_POSEIDONSQL_APPFVT_01_tblFillRateFechas[[#This Row],[Cant_Resultante]]=Tabla__192.168.1.8_POSEIDONSQL_APPFVT_01_tblFillRateFechas[[#This Row],[cant_order]],1,0)</f>
        <v>1</v>
      </c>
      <c r="N144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8" s="1">
        <f>+IF(AND(Tabla__192.168.1.8_POSEIDONSQL_APPFVT_01_tblFillRateFechas[[#This Row],[Valida Cant]]=1,Tabla__192.168.1.8_POSEIDONSQL_APPFVT_01_tblFillRateFechas[[#This Row],[Valida Fec]]=1),1,0)</f>
        <v>1</v>
      </c>
      <c r="P1448" s="1">
        <f>+(Tabla__192.168.1.8_POSEIDONSQL_APPFVT_01_tblFillRateFechas[[#This Row],[Cant_Resultante]]/Tabla__192.168.1.8_POSEIDONSQL_APPFVT_01_tblFillRateFechas[[#This Row],[cant_order]])*100</f>
        <v>100</v>
      </c>
      <c r="Q144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8" s="1">
        <f>+IF(Tabla__192.168.1.8_POSEIDONSQL_APPFVT_01_tblFillRateFechas[[#This Row],[cant_order]]&gt;0,1,0)</f>
        <v>1</v>
      </c>
      <c r="V1448" s="1">
        <f>+IF(Tabla__192.168.1.8_POSEIDONSQL_APPFVT_01_tblFillRateFechas[[#This Row],[Resultado]]=1,1,0)</f>
        <v>1</v>
      </c>
      <c r="W1448" s="1" t="str">
        <f>+Tabla__192.168.1.8_POSEIDONSQL_APPFVT_01_tblFillRateFechas[[#This Row],[con_ocnumero]]&amp;Tabla__192.168.1.8_POSEIDONSQL_APPFVT_01_tblFillRateFechas[[#This Row],[con_codigounico]]</f>
        <v>91950520780651809023960009189</v>
      </c>
      <c r="X144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49" spans="1:24" x14ac:dyDescent="0.25">
      <c r="A1449">
        <v>9</v>
      </c>
      <c r="B1449" t="s">
        <v>48</v>
      </c>
      <c r="C1449">
        <v>9199427</v>
      </c>
      <c r="D1449" t="s">
        <v>1969</v>
      </c>
      <c r="E1449" t="s">
        <v>422</v>
      </c>
      <c r="F1449" t="s">
        <v>429</v>
      </c>
      <c r="G1449">
        <v>1</v>
      </c>
      <c r="H1449">
        <v>1</v>
      </c>
      <c r="I1449" t="s">
        <v>426</v>
      </c>
      <c r="J1449">
        <v>0</v>
      </c>
      <c r="K1449" t="s">
        <v>1693</v>
      </c>
      <c r="L1449" s="1">
        <f>+Tabla__192.168.1.8_POSEIDONSQL_APPFVT_01_tblFillRateFechas[[#This Row],[emb_cantidad]]-Tabla__192.168.1.8_POSEIDONSQL_APPFVT_01_tblFillRateFechas[[#This Row],[dev_cantidad]]</f>
        <v>1</v>
      </c>
      <c r="M1449" s="1">
        <f>+IF(Tabla__192.168.1.8_POSEIDONSQL_APPFVT_01_tblFillRateFechas[[#This Row],[Cant_Resultante]]=Tabla__192.168.1.8_POSEIDONSQL_APPFVT_01_tblFillRateFechas[[#This Row],[cant_order]],1,0)</f>
        <v>1</v>
      </c>
      <c r="N144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49" s="1">
        <f>+IF(AND(Tabla__192.168.1.8_POSEIDONSQL_APPFVT_01_tblFillRateFechas[[#This Row],[Valida Cant]]=1,Tabla__192.168.1.8_POSEIDONSQL_APPFVT_01_tblFillRateFechas[[#This Row],[Valida Fec]]=1),1,0)</f>
        <v>1</v>
      </c>
      <c r="P1449" s="1">
        <f>+(Tabla__192.168.1.8_POSEIDONSQL_APPFVT_01_tblFillRateFechas[[#This Row],[Cant_Resultante]]/Tabla__192.168.1.8_POSEIDONSQL_APPFVT_01_tblFillRateFechas[[#This Row],[cant_order]])*100</f>
        <v>100</v>
      </c>
      <c r="Q144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4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4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4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49" s="1">
        <f>+IF(Tabla__192.168.1.8_POSEIDONSQL_APPFVT_01_tblFillRateFechas[[#This Row],[cant_order]]&gt;0,1,0)</f>
        <v>1</v>
      </c>
      <c r="V1449" s="1">
        <f>+IF(Tabla__192.168.1.8_POSEIDONSQL_APPFVT_01_tblFillRateFechas[[#This Row],[Resultado]]=1,1,0)</f>
        <v>1</v>
      </c>
      <c r="W1449" s="1" t="str">
        <f>+Tabla__192.168.1.8_POSEIDONSQL_APPFVT_01_tblFillRateFechas[[#This Row],[con_ocnumero]]&amp;Tabla__192.168.1.8_POSEIDONSQL_APPFVT_01_tblFillRateFechas[[#This Row],[con_codigounico]]</f>
        <v>91994270780651809074107009217</v>
      </c>
      <c r="X144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0" spans="1:24" x14ac:dyDescent="0.25">
      <c r="A1450">
        <v>9</v>
      </c>
      <c r="B1450" t="s">
        <v>48</v>
      </c>
      <c r="C1450">
        <v>9187553</v>
      </c>
      <c r="D1450" t="s">
        <v>1975</v>
      </c>
      <c r="E1450" t="s">
        <v>1963</v>
      </c>
      <c r="F1450" t="s">
        <v>1978</v>
      </c>
      <c r="G1450">
        <v>1</v>
      </c>
      <c r="H1450">
        <v>1</v>
      </c>
      <c r="I1450" t="s">
        <v>1963</v>
      </c>
      <c r="J1450">
        <v>0</v>
      </c>
      <c r="K1450" t="s">
        <v>771</v>
      </c>
      <c r="L1450" s="1">
        <f>+Tabla__192.168.1.8_POSEIDONSQL_APPFVT_01_tblFillRateFechas[[#This Row],[emb_cantidad]]-Tabla__192.168.1.8_POSEIDONSQL_APPFVT_01_tblFillRateFechas[[#This Row],[dev_cantidad]]</f>
        <v>1</v>
      </c>
      <c r="M1450" s="1">
        <f>+IF(Tabla__192.168.1.8_POSEIDONSQL_APPFVT_01_tblFillRateFechas[[#This Row],[Cant_Resultante]]=Tabla__192.168.1.8_POSEIDONSQL_APPFVT_01_tblFillRateFechas[[#This Row],[cant_order]],1,0)</f>
        <v>1</v>
      </c>
      <c r="N145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0" s="1">
        <f>+IF(AND(Tabla__192.168.1.8_POSEIDONSQL_APPFVT_01_tblFillRateFechas[[#This Row],[Valida Cant]]=1,Tabla__192.168.1.8_POSEIDONSQL_APPFVT_01_tblFillRateFechas[[#This Row],[Valida Fec]]=1),1,0)</f>
        <v>1</v>
      </c>
      <c r="P1450" s="1">
        <f>+(Tabla__192.168.1.8_POSEIDONSQL_APPFVT_01_tblFillRateFechas[[#This Row],[Cant_Resultante]]/Tabla__192.168.1.8_POSEIDONSQL_APPFVT_01_tblFillRateFechas[[#This Row],[cant_order]])*100</f>
        <v>100</v>
      </c>
      <c r="Q145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0" s="1">
        <f>+IF(Tabla__192.168.1.8_POSEIDONSQL_APPFVT_01_tblFillRateFechas[[#This Row],[cant_order]]&gt;0,1,0)</f>
        <v>1</v>
      </c>
      <c r="V1450" s="1">
        <f>+IF(Tabla__192.168.1.8_POSEIDONSQL_APPFVT_01_tblFillRateFechas[[#This Row],[Resultado]]=1,1,0)</f>
        <v>1</v>
      </c>
      <c r="W1450" s="1" t="str">
        <f>+Tabla__192.168.1.8_POSEIDONSQL_APPFVT_01_tblFillRateFechas[[#This Row],[con_ocnumero]]&amp;Tabla__192.168.1.8_POSEIDONSQL_APPFVT_01_tblFillRateFechas[[#This Row],[con_codigounico]]</f>
        <v>91875530790161808206159008135</v>
      </c>
      <c r="X145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1" spans="1:24" x14ac:dyDescent="0.25">
      <c r="A1451">
        <v>9</v>
      </c>
      <c r="B1451" t="s">
        <v>48</v>
      </c>
      <c r="C1451">
        <v>9189746</v>
      </c>
      <c r="D1451" t="s">
        <v>1968</v>
      </c>
      <c r="E1451" t="s">
        <v>160</v>
      </c>
      <c r="F1451" t="s">
        <v>1971</v>
      </c>
      <c r="G1451">
        <v>1</v>
      </c>
      <c r="H1451">
        <v>1</v>
      </c>
      <c r="I1451" t="s">
        <v>160</v>
      </c>
      <c r="J1451">
        <v>0</v>
      </c>
      <c r="K1451" t="s">
        <v>1086</v>
      </c>
      <c r="L1451" s="1">
        <f>+Tabla__192.168.1.8_POSEIDONSQL_APPFVT_01_tblFillRateFechas[[#This Row],[emb_cantidad]]-Tabla__192.168.1.8_POSEIDONSQL_APPFVT_01_tblFillRateFechas[[#This Row],[dev_cantidad]]</f>
        <v>1</v>
      </c>
      <c r="M1451" s="1">
        <f>+IF(Tabla__192.168.1.8_POSEIDONSQL_APPFVT_01_tblFillRateFechas[[#This Row],[Cant_Resultante]]=Tabla__192.168.1.8_POSEIDONSQL_APPFVT_01_tblFillRateFechas[[#This Row],[cant_order]],1,0)</f>
        <v>1</v>
      </c>
      <c r="N145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1" s="1">
        <f>+IF(AND(Tabla__192.168.1.8_POSEIDONSQL_APPFVT_01_tblFillRateFechas[[#This Row],[Valida Cant]]=1,Tabla__192.168.1.8_POSEIDONSQL_APPFVT_01_tblFillRateFechas[[#This Row],[Valida Fec]]=1),1,0)</f>
        <v>1</v>
      </c>
      <c r="P1451" s="1">
        <f>+(Tabla__192.168.1.8_POSEIDONSQL_APPFVT_01_tblFillRateFechas[[#This Row],[Cant_Resultante]]/Tabla__192.168.1.8_POSEIDONSQL_APPFVT_01_tblFillRateFechas[[#This Row],[cant_order]])*100</f>
        <v>100</v>
      </c>
      <c r="Q145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1" s="1">
        <f>+IF(Tabla__192.168.1.8_POSEIDONSQL_APPFVT_01_tblFillRateFechas[[#This Row],[cant_order]]&gt;0,1,0)</f>
        <v>1</v>
      </c>
      <c r="V1451" s="1">
        <f>+IF(Tabla__192.168.1.8_POSEIDONSQL_APPFVT_01_tblFillRateFechas[[#This Row],[Resultado]]=1,1,0)</f>
        <v>1</v>
      </c>
      <c r="W1451" s="1" t="str">
        <f>+Tabla__192.168.1.8_POSEIDONSQL_APPFVT_01_tblFillRateFechas[[#This Row],[con_ocnumero]]&amp;Tabla__192.168.1.8_POSEIDONSQL_APPFVT_01_tblFillRateFechas[[#This Row],[con_codigounico]]</f>
        <v>91897460790161808246283008153</v>
      </c>
      <c r="X145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2" spans="1:24" x14ac:dyDescent="0.25">
      <c r="A1452">
        <v>9</v>
      </c>
      <c r="B1452" t="s">
        <v>48</v>
      </c>
      <c r="C1452">
        <v>9205783</v>
      </c>
      <c r="D1452" t="s">
        <v>422</v>
      </c>
      <c r="E1452" t="s">
        <v>420</v>
      </c>
      <c r="F1452" t="s">
        <v>416</v>
      </c>
      <c r="G1452">
        <v>1</v>
      </c>
      <c r="H1452">
        <v>1</v>
      </c>
      <c r="I1452" t="s">
        <v>420</v>
      </c>
      <c r="J1452">
        <v>0</v>
      </c>
      <c r="K1452" t="s">
        <v>1354</v>
      </c>
      <c r="L1452" s="1">
        <f>+Tabla__192.168.1.8_POSEIDONSQL_APPFVT_01_tblFillRateFechas[[#This Row],[emb_cantidad]]-Tabla__192.168.1.8_POSEIDONSQL_APPFVT_01_tblFillRateFechas[[#This Row],[dev_cantidad]]</f>
        <v>1</v>
      </c>
      <c r="M1452" s="1">
        <f>+IF(Tabla__192.168.1.8_POSEIDONSQL_APPFVT_01_tblFillRateFechas[[#This Row],[Cant_Resultante]]=Tabla__192.168.1.8_POSEIDONSQL_APPFVT_01_tblFillRateFechas[[#This Row],[cant_order]],1,0)</f>
        <v>1</v>
      </c>
      <c r="N145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2" s="1">
        <f>+IF(AND(Tabla__192.168.1.8_POSEIDONSQL_APPFVT_01_tblFillRateFechas[[#This Row],[Valida Cant]]=1,Tabla__192.168.1.8_POSEIDONSQL_APPFVT_01_tblFillRateFechas[[#This Row],[Valida Fec]]=1),1,0)</f>
        <v>1</v>
      </c>
      <c r="P1452" s="1">
        <f>+(Tabla__192.168.1.8_POSEIDONSQL_APPFVT_01_tblFillRateFechas[[#This Row],[Cant_Resultante]]/Tabla__192.168.1.8_POSEIDONSQL_APPFVT_01_tblFillRateFechas[[#This Row],[cant_order]])*100</f>
        <v>100</v>
      </c>
      <c r="Q145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2" s="1">
        <f>+IF(Tabla__192.168.1.8_POSEIDONSQL_APPFVT_01_tblFillRateFechas[[#This Row],[cant_order]]&gt;0,1,0)</f>
        <v>1</v>
      </c>
      <c r="V1452" s="1">
        <f>+IF(Tabla__192.168.1.8_POSEIDONSQL_APPFVT_01_tblFillRateFechas[[#This Row],[Resultado]]=1,1,0)</f>
        <v>1</v>
      </c>
      <c r="W1452" s="1" t="str">
        <f>+Tabla__192.168.1.8_POSEIDONSQL_APPFVT_01_tblFillRateFechas[[#This Row],[con_ocnumero]]&amp;Tabla__192.168.1.8_POSEIDONSQL_APPFVT_01_tblFillRateFechas[[#This Row],[con_codigounico]]</f>
        <v>92057830790161809217184008339</v>
      </c>
      <c r="X145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3" spans="1:24" x14ac:dyDescent="0.25">
      <c r="A1453">
        <v>9</v>
      </c>
      <c r="B1453" t="s">
        <v>48</v>
      </c>
      <c r="C1453">
        <v>9189539</v>
      </c>
      <c r="D1453" t="s">
        <v>1968</v>
      </c>
      <c r="E1453" t="s">
        <v>1962</v>
      </c>
      <c r="F1453" t="s">
        <v>1971</v>
      </c>
      <c r="G1453">
        <v>1</v>
      </c>
      <c r="H1453">
        <v>1</v>
      </c>
      <c r="I1453" t="s">
        <v>1962</v>
      </c>
      <c r="J1453">
        <v>0</v>
      </c>
      <c r="K1453" t="s">
        <v>746</v>
      </c>
      <c r="L1453" s="1">
        <f>+Tabla__192.168.1.8_POSEIDONSQL_APPFVT_01_tblFillRateFechas[[#This Row],[emb_cantidad]]-Tabla__192.168.1.8_POSEIDONSQL_APPFVT_01_tblFillRateFechas[[#This Row],[dev_cantidad]]</f>
        <v>1</v>
      </c>
      <c r="M1453" s="1">
        <f>+IF(Tabla__192.168.1.8_POSEIDONSQL_APPFVT_01_tblFillRateFechas[[#This Row],[Cant_Resultante]]=Tabla__192.168.1.8_POSEIDONSQL_APPFVT_01_tblFillRateFechas[[#This Row],[cant_order]],1,0)</f>
        <v>1</v>
      </c>
      <c r="N145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3" s="1">
        <f>+IF(AND(Tabla__192.168.1.8_POSEIDONSQL_APPFVT_01_tblFillRateFechas[[#This Row],[Valida Cant]]=1,Tabla__192.168.1.8_POSEIDONSQL_APPFVT_01_tblFillRateFechas[[#This Row],[Valida Fec]]=1),1,0)</f>
        <v>1</v>
      </c>
      <c r="P1453" s="1">
        <f>+(Tabla__192.168.1.8_POSEIDONSQL_APPFVT_01_tblFillRateFechas[[#This Row],[Cant_Resultante]]/Tabla__192.168.1.8_POSEIDONSQL_APPFVT_01_tblFillRateFechas[[#This Row],[cant_order]])*100</f>
        <v>100</v>
      </c>
      <c r="Q145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3" s="1">
        <f>+IF(Tabla__192.168.1.8_POSEIDONSQL_APPFVT_01_tblFillRateFechas[[#This Row],[cant_order]]&gt;0,1,0)</f>
        <v>1</v>
      </c>
      <c r="V1453" s="1">
        <f>+IF(Tabla__192.168.1.8_POSEIDONSQL_APPFVT_01_tblFillRateFechas[[#This Row],[Resultado]]=1,1,0)</f>
        <v>1</v>
      </c>
      <c r="W1453" s="1" t="str">
        <f>+Tabla__192.168.1.8_POSEIDONSQL_APPFVT_01_tblFillRateFechas[[#This Row],[con_ocnumero]]&amp;Tabla__192.168.1.8_POSEIDONSQL_APPFVT_01_tblFillRateFechas[[#This Row],[con_codigounico]]</f>
        <v>91895390790351808249672004560</v>
      </c>
      <c r="X145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4" spans="1:24" x14ac:dyDescent="0.25">
      <c r="A1454">
        <v>9</v>
      </c>
      <c r="B1454" t="s">
        <v>48</v>
      </c>
      <c r="C1454">
        <v>9184521</v>
      </c>
      <c r="D1454" t="s">
        <v>12</v>
      </c>
      <c r="E1454" t="s">
        <v>160</v>
      </c>
      <c r="F1454" t="s">
        <v>12</v>
      </c>
      <c r="G1454">
        <v>1</v>
      </c>
      <c r="H1454">
        <v>1</v>
      </c>
      <c r="I1454" t="s">
        <v>160</v>
      </c>
      <c r="J1454">
        <v>0</v>
      </c>
      <c r="K1454" t="s">
        <v>1092</v>
      </c>
      <c r="L1454" s="1">
        <f>+Tabla__192.168.1.8_POSEIDONSQL_APPFVT_01_tblFillRateFechas[[#This Row],[emb_cantidad]]-Tabla__192.168.1.8_POSEIDONSQL_APPFVT_01_tblFillRateFechas[[#This Row],[dev_cantidad]]</f>
        <v>1</v>
      </c>
      <c r="M1454" s="1">
        <f>+IF(Tabla__192.168.1.8_POSEIDONSQL_APPFVT_01_tblFillRateFechas[[#This Row],[Cant_Resultante]]=Tabla__192.168.1.8_POSEIDONSQL_APPFVT_01_tblFillRateFechas[[#This Row],[cant_order]],1,0)</f>
        <v>1</v>
      </c>
      <c r="N145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4" s="1">
        <f>+IF(AND(Tabla__192.168.1.8_POSEIDONSQL_APPFVT_01_tblFillRateFechas[[#This Row],[Valida Cant]]=1,Tabla__192.168.1.8_POSEIDONSQL_APPFVT_01_tblFillRateFechas[[#This Row],[Valida Fec]]=1),1,0)</f>
        <v>1</v>
      </c>
      <c r="P1454" s="1">
        <f>+(Tabla__192.168.1.8_POSEIDONSQL_APPFVT_01_tblFillRateFechas[[#This Row],[Cant_Resultante]]/Tabla__192.168.1.8_POSEIDONSQL_APPFVT_01_tblFillRateFechas[[#This Row],[cant_order]])*100</f>
        <v>100</v>
      </c>
      <c r="Q145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4" s="1">
        <f>+IF(Tabla__192.168.1.8_POSEIDONSQL_APPFVT_01_tblFillRateFechas[[#This Row],[cant_order]]&gt;0,1,0)</f>
        <v>1</v>
      </c>
      <c r="V1454" s="1">
        <f>+IF(Tabla__192.168.1.8_POSEIDONSQL_APPFVT_01_tblFillRateFechas[[#This Row],[Resultado]]=1,1,0)</f>
        <v>1</v>
      </c>
      <c r="W1454" s="1" t="str">
        <f>+Tabla__192.168.1.8_POSEIDONSQL_APPFVT_01_tblFillRateFechas[[#This Row],[con_ocnumero]]&amp;Tabla__192.168.1.8_POSEIDONSQL_APPFVT_01_tblFillRateFechas[[#This Row],[con_codigounico]]</f>
        <v>91845210850021808146828006058</v>
      </c>
      <c r="X145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5" spans="1:24" x14ac:dyDescent="0.25">
      <c r="A1455">
        <v>9</v>
      </c>
      <c r="B1455" t="s">
        <v>48</v>
      </c>
      <c r="C1455">
        <v>9186487</v>
      </c>
      <c r="D1455" t="s">
        <v>1976</v>
      </c>
      <c r="E1455" t="s">
        <v>1962</v>
      </c>
      <c r="F1455" t="s">
        <v>1975</v>
      </c>
      <c r="G1455">
        <v>1</v>
      </c>
      <c r="H1455">
        <v>1</v>
      </c>
      <c r="I1455" t="s">
        <v>1962</v>
      </c>
      <c r="J1455">
        <v>0</v>
      </c>
      <c r="K1455" t="s">
        <v>702</v>
      </c>
      <c r="L1455" s="1">
        <f>+Tabla__192.168.1.8_POSEIDONSQL_APPFVT_01_tblFillRateFechas[[#This Row],[emb_cantidad]]-Tabla__192.168.1.8_POSEIDONSQL_APPFVT_01_tblFillRateFechas[[#This Row],[dev_cantidad]]</f>
        <v>1</v>
      </c>
      <c r="M1455" s="1">
        <f>+IF(Tabla__192.168.1.8_POSEIDONSQL_APPFVT_01_tblFillRateFechas[[#This Row],[Cant_Resultante]]=Tabla__192.168.1.8_POSEIDONSQL_APPFVT_01_tblFillRateFechas[[#This Row],[cant_order]],1,0)</f>
        <v>1</v>
      </c>
      <c r="N145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5" s="1">
        <f>+IF(AND(Tabla__192.168.1.8_POSEIDONSQL_APPFVT_01_tblFillRateFechas[[#This Row],[Valida Cant]]=1,Tabla__192.168.1.8_POSEIDONSQL_APPFVT_01_tblFillRateFechas[[#This Row],[Valida Fec]]=1),1,0)</f>
        <v>1</v>
      </c>
      <c r="P1455" s="1">
        <f>+(Tabla__192.168.1.8_POSEIDONSQL_APPFVT_01_tblFillRateFechas[[#This Row],[Cant_Resultante]]/Tabla__192.168.1.8_POSEIDONSQL_APPFVT_01_tblFillRateFechas[[#This Row],[cant_order]])*100</f>
        <v>100</v>
      </c>
      <c r="Q145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5" s="1">
        <f>+IF(Tabla__192.168.1.8_POSEIDONSQL_APPFVT_01_tblFillRateFechas[[#This Row],[cant_order]]&gt;0,1,0)</f>
        <v>1</v>
      </c>
      <c r="V1455" s="1">
        <f>+IF(Tabla__192.168.1.8_POSEIDONSQL_APPFVT_01_tblFillRateFechas[[#This Row],[Resultado]]=1,1,0)</f>
        <v>1</v>
      </c>
      <c r="W1455" s="1" t="str">
        <f>+Tabla__192.168.1.8_POSEIDONSQL_APPFVT_01_tblFillRateFechas[[#This Row],[con_ocnumero]]&amp;Tabla__192.168.1.8_POSEIDONSQL_APPFVT_01_tblFillRateFechas[[#This Row],[con_codigounico]]</f>
        <v>91864870850021808187028006074</v>
      </c>
      <c r="X145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6" spans="1:24" x14ac:dyDescent="0.25">
      <c r="A1456">
        <v>9</v>
      </c>
      <c r="B1456" t="s">
        <v>48</v>
      </c>
      <c r="C1456">
        <v>9180857</v>
      </c>
      <c r="D1456" t="s">
        <v>12</v>
      </c>
      <c r="E1456" t="s">
        <v>1980</v>
      </c>
      <c r="F1456" t="s">
        <v>12</v>
      </c>
      <c r="G1456">
        <v>1</v>
      </c>
      <c r="H1456">
        <v>1</v>
      </c>
      <c r="I1456" t="s">
        <v>1980</v>
      </c>
      <c r="J1456">
        <v>0</v>
      </c>
      <c r="K1456" t="s">
        <v>698</v>
      </c>
      <c r="L1456" s="1">
        <f>+Tabla__192.168.1.8_POSEIDONSQL_APPFVT_01_tblFillRateFechas[[#This Row],[emb_cantidad]]-Tabla__192.168.1.8_POSEIDONSQL_APPFVT_01_tblFillRateFechas[[#This Row],[dev_cantidad]]</f>
        <v>1</v>
      </c>
      <c r="M1456" s="1">
        <f>+IF(Tabla__192.168.1.8_POSEIDONSQL_APPFVT_01_tblFillRateFechas[[#This Row],[Cant_Resultante]]=Tabla__192.168.1.8_POSEIDONSQL_APPFVT_01_tblFillRateFechas[[#This Row],[cant_order]],1,0)</f>
        <v>1</v>
      </c>
      <c r="N145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6" s="1">
        <f>+IF(AND(Tabla__192.168.1.8_POSEIDONSQL_APPFVT_01_tblFillRateFechas[[#This Row],[Valida Cant]]=1,Tabla__192.168.1.8_POSEIDONSQL_APPFVT_01_tblFillRateFechas[[#This Row],[Valida Fec]]=1),1,0)</f>
        <v>1</v>
      </c>
      <c r="P1456" s="1">
        <f>+(Tabla__192.168.1.8_POSEIDONSQL_APPFVT_01_tblFillRateFechas[[#This Row],[Cant_Resultante]]/Tabla__192.168.1.8_POSEIDONSQL_APPFVT_01_tblFillRateFechas[[#This Row],[cant_order]])*100</f>
        <v>100</v>
      </c>
      <c r="Q145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6" s="1">
        <f>+IF(Tabla__192.168.1.8_POSEIDONSQL_APPFVT_01_tblFillRateFechas[[#This Row],[cant_order]]&gt;0,1,0)</f>
        <v>1</v>
      </c>
      <c r="V1456" s="1">
        <f>+IF(Tabla__192.168.1.8_POSEIDONSQL_APPFVT_01_tblFillRateFechas[[#This Row],[Resultado]]=1,1,0)</f>
        <v>1</v>
      </c>
      <c r="W1456" s="1" t="str">
        <f>+Tabla__192.168.1.8_POSEIDONSQL_APPFVT_01_tblFillRateFechas[[#This Row],[con_ocnumero]]&amp;Tabla__192.168.1.8_POSEIDONSQL_APPFVT_01_tblFillRateFechas[[#This Row],[con_codigounico]]</f>
        <v>91808570850311808071169002923</v>
      </c>
      <c r="X145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7" spans="1:24" x14ac:dyDescent="0.25">
      <c r="A1457">
        <v>9</v>
      </c>
      <c r="B1457" t="s">
        <v>48</v>
      </c>
      <c r="C1457">
        <v>9180448</v>
      </c>
      <c r="D1457" t="s">
        <v>12</v>
      </c>
      <c r="E1457" t="s">
        <v>1980</v>
      </c>
      <c r="F1457" t="s">
        <v>12</v>
      </c>
      <c r="G1457">
        <v>1</v>
      </c>
      <c r="H1457">
        <v>1</v>
      </c>
      <c r="I1457" t="s">
        <v>1980</v>
      </c>
      <c r="J1457">
        <v>0</v>
      </c>
      <c r="K1457" t="s">
        <v>696</v>
      </c>
      <c r="L1457" s="1">
        <f>+Tabla__192.168.1.8_POSEIDONSQL_APPFVT_01_tblFillRateFechas[[#This Row],[emb_cantidad]]-Tabla__192.168.1.8_POSEIDONSQL_APPFVT_01_tblFillRateFechas[[#This Row],[dev_cantidad]]</f>
        <v>1</v>
      </c>
      <c r="M1457" s="1">
        <f>+IF(Tabla__192.168.1.8_POSEIDONSQL_APPFVT_01_tblFillRateFechas[[#This Row],[Cant_Resultante]]=Tabla__192.168.1.8_POSEIDONSQL_APPFVT_01_tblFillRateFechas[[#This Row],[cant_order]],1,0)</f>
        <v>1</v>
      </c>
      <c r="N145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7" s="1">
        <f>+IF(AND(Tabla__192.168.1.8_POSEIDONSQL_APPFVT_01_tblFillRateFechas[[#This Row],[Valida Cant]]=1,Tabla__192.168.1.8_POSEIDONSQL_APPFVT_01_tblFillRateFechas[[#This Row],[Valida Fec]]=1),1,0)</f>
        <v>1</v>
      </c>
      <c r="P1457" s="1">
        <f>+(Tabla__192.168.1.8_POSEIDONSQL_APPFVT_01_tblFillRateFechas[[#This Row],[Cant_Resultante]]/Tabla__192.168.1.8_POSEIDONSQL_APPFVT_01_tblFillRateFechas[[#This Row],[cant_order]])*100</f>
        <v>100</v>
      </c>
      <c r="Q145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7" s="1">
        <f>+IF(Tabla__192.168.1.8_POSEIDONSQL_APPFVT_01_tblFillRateFechas[[#This Row],[cant_order]]&gt;0,1,0)</f>
        <v>1</v>
      </c>
      <c r="V1457" s="1">
        <f>+IF(Tabla__192.168.1.8_POSEIDONSQL_APPFVT_01_tblFillRateFechas[[#This Row],[Resultado]]=1,1,0)</f>
        <v>1</v>
      </c>
      <c r="W1457" s="1" t="str">
        <f>+Tabla__192.168.1.8_POSEIDONSQL_APPFVT_01_tblFillRateFechas[[#This Row],[con_ocnumero]]&amp;Tabla__192.168.1.8_POSEIDONSQL_APPFVT_01_tblFillRateFechas[[#This Row],[con_codigounico]]</f>
        <v>91804480880491808070456000176</v>
      </c>
      <c r="X145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8" spans="1:24" x14ac:dyDescent="0.25">
      <c r="A1458">
        <v>9</v>
      </c>
      <c r="B1458" t="s">
        <v>48</v>
      </c>
      <c r="C1458">
        <v>9184916</v>
      </c>
      <c r="D1458" t="s">
        <v>12</v>
      </c>
      <c r="E1458" t="s">
        <v>1969</v>
      </c>
      <c r="F1458" t="s">
        <v>12</v>
      </c>
      <c r="G1458">
        <v>1</v>
      </c>
      <c r="H1458">
        <v>1</v>
      </c>
      <c r="I1458" t="s">
        <v>1969</v>
      </c>
      <c r="J1458">
        <v>0</v>
      </c>
      <c r="K1458" t="s">
        <v>1403</v>
      </c>
      <c r="L1458" s="1">
        <f>+Tabla__192.168.1.8_POSEIDONSQL_APPFVT_01_tblFillRateFechas[[#This Row],[emb_cantidad]]-Tabla__192.168.1.8_POSEIDONSQL_APPFVT_01_tblFillRateFechas[[#This Row],[dev_cantidad]]</f>
        <v>1</v>
      </c>
      <c r="M1458" s="1">
        <f>+IF(Tabla__192.168.1.8_POSEIDONSQL_APPFVT_01_tblFillRateFechas[[#This Row],[Cant_Resultante]]=Tabla__192.168.1.8_POSEIDONSQL_APPFVT_01_tblFillRateFechas[[#This Row],[cant_order]],1,0)</f>
        <v>1</v>
      </c>
      <c r="N145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8" s="1">
        <f>+IF(AND(Tabla__192.168.1.8_POSEIDONSQL_APPFVT_01_tblFillRateFechas[[#This Row],[Valida Cant]]=1,Tabla__192.168.1.8_POSEIDONSQL_APPFVT_01_tblFillRateFechas[[#This Row],[Valida Fec]]=1),1,0)</f>
        <v>1</v>
      </c>
      <c r="P1458" s="1">
        <f>+(Tabla__192.168.1.8_POSEIDONSQL_APPFVT_01_tblFillRateFechas[[#This Row],[Cant_Resultante]]/Tabla__192.168.1.8_POSEIDONSQL_APPFVT_01_tblFillRateFechas[[#This Row],[cant_order]])*100</f>
        <v>100</v>
      </c>
      <c r="Q145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8" s="1">
        <f>+IF(Tabla__192.168.1.8_POSEIDONSQL_APPFVT_01_tblFillRateFechas[[#This Row],[cant_order]]&gt;0,1,0)</f>
        <v>1</v>
      </c>
      <c r="V1458" s="1">
        <f>+IF(Tabla__192.168.1.8_POSEIDONSQL_APPFVT_01_tblFillRateFechas[[#This Row],[Resultado]]=1,1,0)</f>
        <v>1</v>
      </c>
      <c r="W1458" s="1" t="str">
        <f>+Tabla__192.168.1.8_POSEIDONSQL_APPFVT_01_tblFillRateFechas[[#This Row],[con_ocnumero]]&amp;Tabla__192.168.1.8_POSEIDONSQL_APPFVT_01_tblFillRateFechas[[#This Row],[con_codigounico]]</f>
        <v>91849160880501808153366017138</v>
      </c>
      <c r="X145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59" spans="1:24" x14ac:dyDescent="0.25">
      <c r="A1459">
        <v>9</v>
      </c>
      <c r="B1459" t="s">
        <v>48</v>
      </c>
      <c r="C1459">
        <v>9186763</v>
      </c>
      <c r="D1459" t="s">
        <v>1974</v>
      </c>
      <c r="E1459" t="s">
        <v>1962</v>
      </c>
      <c r="F1459" t="s">
        <v>1975</v>
      </c>
      <c r="G1459">
        <v>1</v>
      </c>
      <c r="H1459">
        <v>1</v>
      </c>
      <c r="I1459" t="s">
        <v>1962</v>
      </c>
      <c r="J1459">
        <v>0</v>
      </c>
      <c r="K1459" t="s">
        <v>703</v>
      </c>
      <c r="L1459" s="1">
        <f>+Tabla__192.168.1.8_POSEIDONSQL_APPFVT_01_tblFillRateFechas[[#This Row],[emb_cantidad]]-Tabla__192.168.1.8_POSEIDONSQL_APPFVT_01_tblFillRateFechas[[#This Row],[dev_cantidad]]</f>
        <v>1</v>
      </c>
      <c r="M1459" s="1">
        <f>+IF(Tabla__192.168.1.8_POSEIDONSQL_APPFVT_01_tblFillRateFechas[[#This Row],[Cant_Resultante]]=Tabla__192.168.1.8_POSEIDONSQL_APPFVT_01_tblFillRateFechas[[#This Row],[cant_order]],1,0)</f>
        <v>1</v>
      </c>
      <c r="N145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59" s="1">
        <f>+IF(AND(Tabla__192.168.1.8_POSEIDONSQL_APPFVT_01_tblFillRateFechas[[#This Row],[Valida Cant]]=1,Tabla__192.168.1.8_POSEIDONSQL_APPFVT_01_tblFillRateFechas[[#This Row],[Valida Fec]]=1),1,0)</f>
        <v>1</v>
      </c>
      <c r="P1459" s="1">
        <f>+(Tabla__192.168.1.8_POSEIDONSQL_APPFVT_01_tblFillRateFechas[[#This Row],[Cant_Resultante]]/Tabla__192.168.1.8_POSEIDONSQL_APPFVT_01_tblFillRateFechas[[#This Row],[cant_order]])*100</f>
        <v>100</v>
      </c>
      <c r="Q145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5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5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5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59" s="1">
        <f>+IF(Tabla__192.168.1.8_POSEIDONSQL_APPFVT_01_tblFillRateFechas[[#This Row],[cant_order]]&gt;0,1,0)</f>
        <v>1</v>
      </c>
      <c r="V1459" s="1">
        <f>+IF(Tabla__192.168.1.8_POSEIDONSQL_APPFVT_01_tblFillRateFechas[[#This Row],[Resultado]]=1,1,0)</f>
        <v>1</v>
      </c>
      <c r="W1459" s="1" t="str">
        <f>+Tabla__192.168.1.8_POSEIDONSQL_APPFVT_01_tblFillRateFechas[[#This Row],[con_ocnumero]]&amp;Tabla__192.168.1.8_POSEIDONSQL_APPFVT_01_tblFillRateFechas[[#This Row],[con_codigounico]]</f>
        <v>91867630880501808193465017157</v>
      </c>
      <c r="X145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0" spans="1:24" x14ac:dyDescent="0.25">
      <c r="A1460">
        <v>9</v>
      </c>
      <c r="B1460" t="s">
        <v>48</v>
      </c>
      <c r="C1460">
        <v>9187591</v>
      </c>
      <c r="D1460" t="s">
        <v>1975</v>
      </c>
      <c r="E1460" t="s">
        <v>1980</v>
      </c>
      <c r="F1460" t="s">
        <v>1978</v>
      </c>
      <c r="G1460">
        <v>1</v>
      </c>
      <c r="H1460">
        <v>1</v>
      </c>
      <c r="I1460" t="s">
        <v>1980</v>
      </c>
      <c r="J1460">
        <v>0</v>
      </c>
      <c r="K1460" t="s">
        <v>1061</v>
      </c>
      <c r="L1460" s="1">
        <f>+Tabla__192.168.1.8_POSEIDONSQL_APPFVT_01_tblFillRateFechas[[#This Row],[emb_cantidad]]-Tabla__192.168.1.8_POSEIDONSQL_APPFVT_01_tblFillRateFechas[[#This Row],[dev_cantidad]]</f>
        <v>1</v>
      </c>
      <c r="M1460" s="1">
        <f>+IF(Tabla__192.168.1.8_POSEIDONSQL_APPFVT_01_tblFillRateFechas[[#This Row],[Cant_Resultante]]=Tabla__192.168.1.8_POSEIDONSQL_APPFVT_01_tblFillRateFechas[[#This Row],[cant_order]],1,0)</f>
        <v>1</v>
      </c>
      <c r="N146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0" s="1">
        <f>+IF(AND(Tabla__192.168.1.8_POSEIDONSQL_APPFVT_01_tblFillRateFechas[[#This Row],[Valida Cant]]=1,Tabla__192.168.1.8_POSEIDONSQL_APPFVT_01_tblFillRateFechas[[#This Row],[Valida Fec]]=1),1,0)</f>
        <v>1</v>
      </c>
      <c r="P1460" s="1">
        <f>+(Tabla__192.168.1.8_POSEIDONSQL_APPFVT_01_tblFillRateFechas[[#This Row],[Cant_Resultante]]/Tabla__192.168.1.8_POSEIDONSQL_APPFVT_01_tblFillRateFechas[[#This Row],[cant_order]])*100</f>
        <v>100</v>
      </c>
      <c r="Q146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0" s="1">
        <f>+IF(Tabla__192.168.1.8_POSEIDONSQL_APPFVT_01_tblFillRateFechas[[#This Row],[cant_order]]&gt;0,1,0)</f>
        <v>1</v>
      </c>
      <c r="V1460" s="1">
        <f>+IF(Tabla__192.168.1.8_POSEIDONSQL_APPFVT_01_tblFillRateFechas[[#This Row],[Resultado]]=1,1,0)</f>
        <v>1</v>
      </c>
      <c r="W1460" s="1" t="str">
        <f>+Tabla__192.168.1.8_POSEIDONSQL_APPFVT_01_tblFillRateFechas[[#This Row],[con_ocnumero]]&amp;Tabla__192.168.1.8_POSEIDONSQL_APPFVT_01_tblFillRateFechas[[#This Row],[con_codigounico]]</f>
        <v>91875910880501808203514017189</v>
      </c>
      <c r="X146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1" spans="1:24" x14ac:dyDescent="0.25">
      <c r="A1461">
        <v>9</v>
      </c>
      <c r="B1461" t="s">
        <v>48</v>
      </c>
      <c r="C1461">
        <v>9193873</v>
      </c>
      <c r="D1461" t="s">
        <v>1962</v>
      </c>
      <c r="E1461" t="s">
        <v>426</v>
      </c>
      <c r="F1461" t="s">
        <v>1963</v>
      </c>
      <c r="G1461">
        <v>1</v>
      </c>
      <c r="H1461">
        <v>1</v>
      </c>
      <c r="I1461" t="s">
        <v>426</v>
      </c>
      <c r="J1461">
        <v>0</v>
      </c>
      <c r="K1461" t="s">
        <v>1178</v>
      </c>
      <c r="L1461" s="1">
        <f>+Tabla__192.168.1.8_POSEIDONSQL_APPFVT_01_tblFillRateFechas[[#This Row],[emb_cantidad]]-Tabla__192.168.1.8_POSEIDONSQL_APPFVT_01_tblFillRateFechas[[#This Row],[dev_cantidad]]</f>
        <v>1</v>
      </c>
      <c r="M1461" s="1">
        <f>+IF(Tabla__192.168.1.8_POSEIDONSQL_APPFVT_01_tblFillRateFechas[[#This Row],[Cant_Resultante]]=Tabla__192.168.1.8_POSEIDONSQL_APPFVT_01_tblFillRateFechas[[#This Row],[cant_order]],1,0)</f>
        <v>1</v>
      </c>
      <c r="N1461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1" s="1">
        <f>+IF(AND(Tabla__192.168.1.8_POSEIDONSQL_APPFVT_01_tblFillRateFechas[[#This Row],[Valida Cant]]=1,Tabla__192.168.1.8_POSEIDONSQL_APPFVT_01_tblFillRateFechas[[#This Row],[Valida Fec]]=1),1,0)</f>
        <v>1</v>
      </c>
      <c r="P1461" s="1">
        <f>+(Tabla__192.168.1.8_POSEIDONSQL_APPFVT_01_tblFillRateFechas[[#This Row],[Cant_Resultante]]/Tabla__192.168.1.8_POSEIDONSQL_APPFVT_01_tblFillRateFechas[[#This Row],[cant_order]])*100</f>
        <v>100</v>
      </c>
      <c r="Q1461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1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1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1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1" s="1">
        <f>+IF(Tabla__192.168.1.8_POSEIDONSQL_APPFVT_01_tblFillRateFechas[[#This Row],[cant_order]]&gt;0,1,0)</f>
        <v>1</v>
      </c>
      <c r="V1461" s="1">
        <f>+IF(Tabla__192.168.1.8_POSEIDONSQL_APPFVT_01_tblFillRateFechas[[#This Row],[Resultado]]=1,1,0)</f>
        <v>1</v>
      </c>
      <c r="W1461" s="1" t="str">
        <f>+Tabla__192.168.1.8_POSEIDONSQL_APPFVT_01_tblFillRateFechas[[#This Row],[con_ocnumero]]&amp;Tabla__192.168.1.8_POSEIDONSQL_APPFVT_01_tblFillRateFechas[[#This Row],[con_codigounico]]</f>
        <v>91938730880501808313740017239</v>
      </c>
      <c r="X1461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2" spans="1:24" x14ac:dyDescent="0.25">
      <c r="A1462">
        <v>9</v>
      </c>
      <c r="B1462" t="s">
        <v>48</v>
      </c>
      <c r="C1462">
        <v>9194606</v>
      </c>
      <c r="D1462" t="s">
        <v>1966</v>
      </c>
      <c r="E1462" t="s">
        <v>1969</v>
      </c>
      <c r="F1462" t="s">
        <v>1963</v>
      </c>
      <c r="G1462">
        <v>1</v>
      </c>
      <c r="H1462">
        <v>1</v>
      </c>
      <c r="I1462" t="s">
        <v>1969</v>
      </c>
      <c r="J1462">
        <v>0</v>
      </c>
      <c r="K1462" t="s">
        <v>1633</v>
      </c>
      <c r="L1462" s="1">
        <f>+Tabla__192.168.1.8_POSEIDONSQL_APPFVT_01_tblFillRateFechas[[#This Row],[emb_cantidad]]-Tabla__192.168.1.8_POSEIDONSQL_APPFVT_01_tblFillRateFechas[[#This Row],[dev_cantidad]]</f>
        <v>1</v>
      </c>
      <c r="M1462" s="1">
        <f>+IF(Tabla__192.168.1.8_POSEIDONSQL_APPFVT_01_tblFillRateFechas[[#This Row],[Cant_Resultante]]=Tabla__192.168.1.8_POSEIDONSQL_APPFVT_01_tblFillRateFechas[[#This Row],[cant_order]],1,0)</f>
        <v>1</v>
      </c>
      <c r="N1462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2" s="1">
        <f>+IF(AND(Tabla__192.168.1.8_POSEIDONSQL_APPFVT_01_tblFillRateFechas[[#This Row],[Valida Cant]]=1,Tabla__192.168.1.8_POSEIDONSQL_APPFVT_01_tblFillRateFechas[[#This Row],[Valida Fec]]=1),1,0)</f>
        <v>1</v>
      </c>
      <c r="P1462" s="1">
        <f>+(Tabla__192.168.1.8_POSEIDONSQL_APPFVT_01_tblFillRateFechas[[#This Row],[Cant_Resultante]]/Tabla__192.168.1.8_POSEIDONSQL_APPFVT_01_tblFillRateFechas[[#This Row],[cant_order]])*100</f>
        <v>100</v>
      </c>
      <c r="Q1462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2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2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2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2" s="1">
        <f>+IF(Tabla__192.168.1.8_POSEIDONSQL_APPFVT_01_tblFillRateFechas[[#This Row],[cant_order]]&gt;0,1,0)</f>
        <v>1</v>
      </c>
      <c r="V1462" s="1">
        <f>+IF(Tabla__192.168.1.8_POSEIDONSQL_APPFVT_01_tblFillRateFechas[[#This Row],[Resultado]]=1,1,0)</f>
        <v>1</v>
      </c>
      <c r="W1462" s="1" t="str">
        <f>+Tabla__192.168.1.8_POSEIDONSQL_APPFVT_01_tblFillRateFechas[[#This Row],[con_ocnumero]]&amp;Tabla__192.168.1.8_POSEIDONSQL_APPFVT_01_tblFillRateFechas[[#This Row],[con_codigounico]]</f>
        <v>91946060970151809012234010628</v>
      </c>
      <c r="X1462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3" spans="1:24" x14ac:dyDescent="0.25">
      <c r="A1463">
        <v>9</v>
      </c>
      <c r="B1463" t="s">
        <v>48</v>
      </c>
      <c r="C1463">
        <v>9186941</v>
      </c>
      <c r="D1463" t="s">
        <v>1974</v>
      </c>
      <c r="E1463" t="s">
        <v>1971</v>
      </c>
      <c r="F1463" t="s">
        <v>1975</v>
      </c>
      <c r="G1463">
        <v>1</v>
      </c>
      <c r="H1463">
        <v>1</v>
      </c>
      <c r="I1463" t="s">
        <v>1971</v>
      </c>
      <c r="J1463">
        <v>0</v>
      </c>
      <c r="K1463" t="s">
        <v>482</v>
      </c>
      <c r="L1463" s="1">
        <f>+Tabla__192.168.1.8_POSEIDONSQL_APPFVT_01_tblFillRateFechas[[#This Row],[emb_cantidad]]-Tabla__192.168.1.8_POSEIDONSQL_APPFVT_01_tblFillRateFechas[[#This Row],[dev_cantidad]]</f>
        <v>1</v>
      </c>
      <c r="M1463" s="1">
        <f>+IF(Tabla__192.168.1.8_POSEIDONSQL_APPFVT_01_tblFillRateFechas[[#This Row],[Cant_Resultante]]=Tabla__192.168.1.8_POSEIDONSQL_APPFVT_01_tblFillRateFechas[[#This Row],[cant_order]],1,0)</f>
        <v>1</v>
      </c>
      <c r="N1463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3" s="1">
        <f>+IF(AND(Tabla__192.168.1.8_POSEIDONSQL_APPFVT_01_tblFillRateFechas[[#This Row],[Valida Cant]]=1,Tabla__192.168.1.8_POSEIDONSQL_APPFVT_01_tblFillRateFechas[[#This Row],[Valida Fec]]=1),1,0)</f>
        <v>1</v>
      </c>
      <c r="P1463" s="1">
        <f>+(Tabla__192.168.1.8_POSEIDONSQL_APPFVT_01_tblFillRateFechas[[#This Row],[Cant_Resultante]]/Tabla__192.168.1.8_POSEIDONSQL_APPFVT_01_tblFillRateFechas[[#This Row],[cant_order]])*100</f>
        <v>100</v>
      </c>
      <c r="Q1463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3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3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3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3" s="1">
        <f>+IF(Tabla__192.168.1.8_POSEIDONSQL_APPFVT_01_tblFillRateFechas[[#This Row],[cant_order]]&gt;0,1,0)</f>
        <v>1</v>
      </c>
      <c r="V1463" s="1">
        <f>+IF(Tabla__192.168.1.8_POSEIDONSQL_APPFVT_01_tblFillRateFechas[[#This Row],[Resultado]]=1,1,0)</f>
        <v>1</v>
      </c>
      <c r="W1463" s="1" t="str">
        <f>+Tabla__192.168.1.8_POSEIDONSQL_APPFVT_01_tblFillRateFechas[[#This Row],[con_ocnumero]]&amp;Tabla__192.168.1.8_POSEIDONSQL_APPFVT_01_tblFillRateFechas[[#This Row],[con_codigounico]]</f>
        <v>91869410980431808193007006406</v>
      </c>
      <c r="X1463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4" spans="1:24" x14ac:dyDescent="0.25">
      <c r="A1464">
        <v>9</v>
      </c>
      <c r="B1464" t="s">
        <v>48</v>
      </c>
      <c r="C1464">
        <v>9186941</v>
      </c>
      <c r="D1464" t="s">
        <v>1974</v>
      </c>
      <c r="E1464" t="s">
        <v>1971</v>
      </c>
      <c r="F1464" t="s">
        <v>1975</v>
      </c>
      <c r="G1464">
        <v>1</v>
      </c>
      <c r="H1464">
        <v>1</v>
      </c>
      <c r="I1464" t="s">
        <v>1971</v>
      </c>
      <c r="J1464">
        <v>0</v>
      </c>
      <c r="K1464" t="s">
        <v>684</v>
      </c>
      <c r="L1464" s="1">
        <f>+Tabla__192.168.1.8_POSEIDONSQL_APPFVT_01_tblFillRateFechas[[#This Row],[emb_cantidad]]-Tabla__192.168.1.8_POSEIDONSQL_APPFVT_01_tblFillRateFechas[[#This Row],[dev_cantidad]]</f>
        <v>1</v>
      </c>
      <c r="M1464" s="1">
        <f>+IF(Tabla__192.168.1.8_POSEIDONSQL_APPFVT_01_tblFillRateFechas[[#This Row],[Cant_Resultante]]=Tabla__192.168.1.8_POSEIDONSQL_APPFVT_01_tblFillRateFechas[[#This Row],[cant_order]],1,0)</f>
        <v>1</v>
      </c>
      <c r="N1464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4" s="1">
        <f>+IF(AND(Tabla__192.168.1.8_POSEIDONSQL_APPFVT_01_tblFillRateFechas[[#This Row],[Valida Cant]]=1,Tabla__192.168.1.8_POSEIDONSQL_APPFVT_01_tblFillRateFechas[[#This Row],[Valida Fec]]=1),1,0)</f>
        <v>1</v>
      </c>
      <c r="P1464" s="1">
        <f>+(Tabla__192.168.1.8_POSEIDONSQL_APPFVT_01_tblFillRateFechas[[#This Row],[Cant_Resultante]]/Tabla__192.168.1.8_POSEIDONSQL_APPFVT_01_tblFillRateFechas[[#This Row],[cant_order]])*100</f>
        <v>100</v>
      </c>
      <c r="Q1464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4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4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4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4" s="1">
        <f>+IF(Tabla__192.168.1.8_POSEIDONSQL_APPFVT_01_tblFillRateFechas[[#This Row],[cant_order]]&gt;0,1,0)</f>
        <v>1</v>
      </c>
      <c r="V1464" s="1">
        <f>+IF(Tabla__192.168.1.8_POSEIDONSQL_APPFVT_01_tblFillRateFechas[[#This Row],[Resultado]]=1,1,0)</f>
        <v>1</v>
      </c>
      <c r="W1464" s="1" t="str">
        <f>+Tabla__192.168.1.8_POSEIDONSQL_APPFVT_01_tblFillRateFechas[[#This Row],[con_ocnumero]]&amp;Tabla__192.168.1.8_POSEIDONSQL_APPFVT_01_tblFillRateFechas[[#This Row],[con_codigounico]]</f>
        <v>91869410980431808193007006407</v>
      </c>
      <c r="X1464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5" spans="1:24" x14ac:dyDescent="0.25">
      <c r="A1465">
        <v>9</v>
      </c>
      <c r="B1465" t="s">
        <v>48</v>
      </c>
      <c r="C1465">
        <v>9190635</v>
      </c>
      <c r="D1465" t="s">
        <v>1970</v>
      </c>
      <c r="E1465" t="s">
        <v>1963</v>
      </c>
      <c r="F1465" t="s">
        <v>1971</v>
      </c>
      <c r="G1465">
        <v>1</v>
      </c>
      <c r="H1465">
        <v>1</v>
      </c>
      <c r="I1465" t="s">
        <v>1963</v>
      </c>
      <c r="J1465">
        <v>0</v>
      </c>
      <c r="K1465" t="s">
        <v>763</v>
      </c>
      <c r="L1465" s="1">
        <f>+Tabla__192.168.1.8_POSEIDONSQL_APPFVT_01_tblFillRateFechas[[#This Row],[emb_cantidad]]-Tabla__192.168.1.8_POSEIDONSQL_APPFVT_01_tblFillRateFechas[[#This Row],[dev_cantidad]]</f>
        <v>1</v>
      </c>
      <c r="M1465" s="1">
        <f>+IF(Tabla__192.168.1.8_POSEIDONSQL_APPFVT_01_tblFillRateFechas[[#This Row],[Cant_Resultante]]=Tabla__192.168.1.8_POSEIDONSQL_APPFVT_01_tblFillRateFechas[[#This Row],[cant_order]],1,0)</f>
        <v>1</v>
      </c>
      <c r="N1465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5" s="1">
        <f>+IF(AND(Tabla__192.168.1.8_POSEIDONSQL_APPFVT_01_tblFillRateFechas[[#This Row],[Valida Cant]]=1,Tabla__192.168.1.8_POSEIDONSQL_APPFVT_01_tblFillRateFechas[[#This Row],[Valida Fec]]=1),1,0)</f>
        <v>1</v>
      </c>
      <c r="P1465" s="1">
        <f>+(Tabla__192.168.1.8_POSEIDONSQL_APPFVT_01_tblFillRateFechas[[#This Row],[Cant_Resultante]]/Tabla__192.168.1.8_POSEIDONSQL_APPFVT_01_tblFillRateFechas[[#This Row],[cant_order]])*100</f>
        <v>100</v>
      </c>
      <c r="Q1465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5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5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5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5" s="1">
        <f>+IF(Tabla__192.168.1.8_POSEIDONSQL_APPFVT_01_tblFillRateFechas[[#This Row],[cant_order]]&gt;0,1,0)</f>
        <v>1</v>
      </c>
      <c r="V1465" s="1">
        <f>+IF(Tabla__192.168.1.8_POSEIDONSQL_APPFVT_01_tblFillRateFechas[[#This Row],[Resultado]]=1,1,0)</f>
        <v>1</v>
      </c>
      <c r="W1465" s="1" t="str">
        <f>+Tabla__192.168.1.8_POSEIDONSQL_APPFVT_01_tblFillRateFechas[[#This Row],[con_ocnumero]]&amp;Tabla__192.168.1.8_POSEIDONSQL_APPFVT_01_tblFillRateFechas[[#This Row],[con_codigounico]]</f>
        <v>91906350980471808263978004532</v>
      </c>
      <c r="X1465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6" spans="1:24" x14ac:dyDescent="0.25">
      <c r="A1466">
        <v>9</v>
      </c>
      <c r="B1466" t="s">
        <v>48</v>
      </c>
      <c r="C1466">
        <v>9198848</v>
      </c>
      <c r="D1466" t="s">
        <v>161</v>
      </c>
      <c r="E1466" t="s">
        <v>426</v>
      </c>
      <c r="F1466" t="s">
        <v>1969</v>
      </c>
      <c r="G1466">
        <v>1</v>
      </c>
      <c r="H1466">
        <v>1</v>
      </c>
      <c r="I1466" t="s">
        <v>426</v>
      </c>
      <c r="J1466">
        <v>0</v>
      </c>
      <c r="K1466" t="s">
        <v>598</v>
      </c>
      <c r="L1466" s="1">
        <f>+Tabla__192.168.1.8_POSEIDONSQL_APPFVT_01_tblFillRateFechas[[#This Row],[emb_cantidad]]-Tabla__192.168.1.8_POSEIDONSQL_APPFVT_01_tblFillRateFechas[[#This Row],[dev_cantidad]]</f>
        <v>1</v>
      </c>
      <c r="M1466" s="1">
        <f>+IF(Tabla__192.168.1.8_POSEIDONSQL_APPFVT_01_tblFillRateFechas[[#This Row],[Cant_Resultante]]=Tabla__192.168.1.8_POSEIDONSQL_APPFVT_01_tblFillRateFechas[[#This Row],[cant_order]],1,0)</f>
        <v>1</v>
      </c>
      <c r="N1466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6" s="1">
        <f>+IF(AND(Tabla__192.168.1.8_POSEIDONSQL_APPFVT_01_tblFillRateFechas[[#This Row],[Valida Cant]]=1,Tabla__192.168.1.8_POSEIDONSQL_APPFVT_01_tblFillRateFechas[[#This Row],[Valida Fec]]=1),1,0)</f>
        <v>1</v>
      </c>
      <c r="P1466" s="1">
        <f>+(Tabla__192.168.1.8_POSEIDONSQL_APPFVT_01_tblFillRateFechas[[#This Row],[Cant_Resultante]]/Tabla__192.168.1.8_POSEIDONSQL_APPFVT_01_tblFillRateFechas[[#This Row],[cant_order]])*100</f>
        <v>100</v>
      </c>
      <c r="Q1466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6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6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6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6" s="1">
        <f>+IF(Tabla__192.168.1.8_POSEIDONSQL_APPFVT_01_tblFillRateFechas[[#This Row],[cant_order]]&gt;0,1,0)</f>
        <v>1</v>
      </c>
      <c r="V1466" s="1">
        <f>+IF(Tabla__192.168.1.8_POSEIDONSQL_APPFVT_01_tblFillRateFechas[[#This Row],[Resultado]]=1,1,0)</f>
        <v>1</v>
      </c>
      <c r="W1466" s="1" t="str">
        <f>+Tabla__192.168.1.8_POSEIDONSQL_APPFVT_01_tblFillRateFechas[[#This Row],[con_ocnumero]]&amp;Tabla__192.168.1.8_POSEIDONSQL_APPFVT_01_tblFillRateFechas[[#This Row],[con_codigounico]]</f>
        <v>91988480980471809064437004608</v>
      </c>
      <c r="X1466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7" spans="1:24" x14ac:dyDescent="0.25">
      <c r="A1467">
        <v>9</v>
      </c>
      <c r="B1467" t="s">
        <v>48</v>
      </c>
      <c r="C1467">
        <v>9194760</v>
      </c>
      <c r="D1467" t="s">
        <v>1966</v>
      </c>
      <c r="E1467" t="s">
        <v>1969</v>
      </c>
      <c r="F1467" t="s">
        <v>1963</v>
      </c>
      <c r="G1467">
        <v>1</v>
      </c>
      <c r="H1467">
        <v>1</v>
      </c>
      <c r="I1467" t="s">
        <v>1969</v>
      </c>
      <c r="J1467">
        <v>0</v>
      </c>
      <c r="K1467" t="s">
        <v>1796</v>
      </c>
      <c r="L1467" s="1">
        <f>+Tabla__192.168.1.8_POSEIDONSQL_APPFVT_01_tblFillRateFechas[[#This Row],[emb_cantidad]]-Tabla__192.168.1.8_POSEIDONSQL_APPFVT_01_tblFillRateFechas[[#This Row],[dev_cantidad]]</f>
        <v>1</v>
      </c>
      <c r="M1467" s="1">
        <f>+IF(Tabla__192.168.1.8_POSEIDONSQL_APPFVT_01_tblFillRateFechas[[#This Row],[Cant_Resultante]]=Tabla__192.168.1.8_POSEIDONSQL_APPFVT_01_tblFillRateFechas[[#This Row],[cant_order]],1,0)</f>
        <v>1</v>
      </c>
      <c r="N1467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7" s="1">
        <f>+IF(AND(Tabla__192.168.1.8_POSEIDONSQL_APPFVT_01_tblFillRateFechas[[#This Row],[Valida Cant]]=1,Tabla__192.168.1.8_POSEIDONSQL_APPFVT_01_tblFillRateFechas[[#This Row],[Valida Fec]]=1),1,0)</f>
        <v>1</v>
      </c>
      <c r="P1467" s="1">
        <f>+(Tabla__192.168.1.8_POSEIDONSQL_APPFVT_01_tblFillRateFechas[[#This Row],[Cant_Resultante]]/Tabla__192.168.1.8_POSEIDONSQL_APPFVT_01_tblFillRateFechas[[#This Row],[cant_order]])*100</f>
        <v>100</v>
      </c>
      <c r="Q1467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7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7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7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7" s="1">
        <f>+IF(Tabla__192.168.1.8_POSEIDONSQL_APPFVT_01_tblFillRateFechas[[#This Row],[cant_order]]&gt;0,1,0)</f>
        <v>1</v>
      </c>
      <c r="V1467" s="1">
        <f>+IF(Tabla__192.168.1.8_POSEIDONSQL_APPFVT_01_tblFillRateFechas[[#This Row],[Resultado]]=1,1,0)</f>
        <v>1</v>
      </c>
      <c r="W1467" s="1" t="str">
        <f>+Tabla__192.168.1.8_POSEIDONSQL_APPFVT_01_tblFillRateFechas[[#This Row],[con_ocnumero]]&amp;Tabla__192.168.1.8_POSEIDONSQL_APPFVT_01_tblFillRateFechas[[#This Row],[con_codigounico]]</f>
        <v>91947600980531809013660000993</v>
      </c>
      <c r="X1467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8" spans="1:24" x14ac:dyDescent="0.25">
      <c r="A1468">
        <v>9</v>
      </c>
      <c r="B1468" t="s">
        <v>48</v>
      </c>
      <c r="C1468">
        <v>9186889</v>
      </c>
      <c r="D1468" t="s">
        <v>1974</v>
      </c>
      <c r="E1468" t="s">
        <v>1971</v>
      </c>
      <c r="F1468" t="s">
        <v>1975</v>
      </c>
      <c r="G1468">
        <v>1</v>
      </c>
      <c r="H1468">
        <v>1</v>
      </c>
      <c r="I1468" t="s">
        <v>1971</v>
      </c>
      <c r="J1468">
        <v>0</v>
      </c>
      <c r="K1468" t="s">
        <v>481</v>
      </c>
      <c r="L1468" s="1">
        <f>+Tabla__192.168.1.8_POSEIDONSQL_APPFVT_01_tblFillRateFechas[[#This Row],[emb_cantidad]]-Tabla__192.168.1.8_POSEIDONSQL_APPFVT_01_tblFillRateFechas[[#This Row],[dev_cantidad]]</f>
        <v>1</v>
      </c>
      <c r="M1468" s="1">
        <f>+IF(Tabla__192.168.1.8_POSEIDONSQL_APPFVT_01_tblFillRateFechas[[#This Row],[Cant_Resultante]]=Tabla__192.168.1.8_POSEIDONSQL_APPFVT_01_tblFillRateFechas[[#This Row],[cant_order]],1,0)</f>
        <v>1</v>
      </c>
      <c r="N1468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8" s="1">
        <f>+IF(AND(Tabla__192.168.1.8_POSEIDONSQL_APPFVT_01_tblFillRateFechas[[#This Row],[Valida Cant]]=1,Tabla__192.168.1.8_POSEIDONSQL_APPFVT_01_tblFillRateFechas[[#This Row],[Valida Fec]]=1),1,0)</f>
        <v>1</v>
      </c>
      <c r="P1468" s="1">
        <f>+(Tabla__192.168.1.8_POSEIDONSQL_APPFVT_01_tblFillRateFechas[[#This Row],[Cant_Resultante]]/Tabla__192.168.1.8_POSEIDONSQL_APPFVT_01_tblFillRateFechas[[#This Row],[cant_order]])*100</f>
        <v>100</v>
      </c>
      <c r="Q1468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8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8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8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8" s="1">
        <f>+IF(Tabla__192.168.1.8_POSEIDONSQL_APPFVT_01_tblFillRateFechas[[#This Row],[cant_order]]&gt;0,1,0)</f>
        <v>1</v>
      </c>
      <c r="V1468" s="1">
        <f>+IF(Tabla__192.168.1.8_POSEIDONSQL_APPFVT_01_tblFillRateFechas[[#This Row],[Resultado]]=1,1,0)</f>
        <v>1</v>
      </c>
      <c r="W1468" s="1" t="str">
        <f>+Tabla__192.168.1.8_POSEIDONSQL_APPFVT_01_tblFillRateFechas[[#This Row],[con_ocnumero]]&amp;Tabla__192.168.1.8_POSEIDONSQL_APPFVT_01_tblFillRateFechas[[#This Row],[con_codigounico]]</f>
        <v>91868890990301808194799000506</v>
      </c>
      <c r="X1468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69" spans="1:24" x14ac:dyDescent="0.25">
      <c r="A1469">
        <v>9</v>
      </c>
      <c r="B1469" t="s">
        <v>48</v>
      </c>
      <c r="C1469">
        <v>9195001</v>
      </c>
      <c r="D1469" t="s">
        <v>1973</v>
      </c>
      <c r="E1469" t="s">
        <v>163</v>
      </c>
      <c r="F1469" t="s">
        <v>1963</v>
      </c>
      <c r="G1469">
        <v>1</v>
      </c>
      <c r="H1469">
        <v>1</v>
      </c>
      <c r="I1469" t="s">
        <v>163</v>
      </c>
      <c r="J1469">
        <v>0</v>
      </c>
      <c r="K1469" t="s">
        <v>1833</v>
      </c>
      <c r="L1469" s="1">
        <f>+Tabla__192.168.1.8_POSEIDONSQL_APPFVT_01_tblFillRateFechas[[#This Row],[emb_cantidad]]-Tabla__192.168.1.8_POSEIDONSQL_APPFVT_01_tblFillRateFechas[[#This Row],[dev_cantidad]]</f>
        <v>1</v>
      </c>
      <c r="M1469" s="1">
        <f>+IF(Tabla__192.168.1.8_POSEIDONSQL_APPFVT_01_tblFillRateFechas[[#This Row],[Cant_Resultante]]=Tabla__192.168.1.8_POSEIDONSQL_APPFVT_01_tblFillRateFechas[[#This Row],[cant_order]],1,0)</f>
        <v>1</v>
      </c>
      <c r="N1469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69" s="1">
        <f>+IF(AND(Tabla__192.168.1.8_POSEIDONSQL_APPFVT_01_tblFillRateFechas[[#This Row],[Valida Cant]]=1,Tabla__192.168.1.8_POSEIDONSQL_APPFVT_01_tblFillRateFechas[[#This Row],[Valida Fec]]=1),1,0)</f>
        <v>1</v>
      </c>
      <c r="P1469" s="1">
        <f>+(Tabla__192.168.1.8_POSEIDONSQL_APPFVT_01_tblFillRateFechas[[#This Row],[Cant_Resultante]]/Tabla__192.168.1.8_POSEIDONSQL_APPFVT_01_tblFillRateFechas[[#This Row],[cant_order]])*100</f>
        <v>100</v>
      </c>
      <c r="Q1469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69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69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69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69" s="1">
        <f>+IF(Tabla__192.168.1.8_POSEIDONSQL_APPFVT_01_tblFillRateFechas[[#This Row],[cant_order]]&gt;0,1,0)</f>
        <v>1</v>
      </c>
      <c r="V1469" s="1">
        <f>+IF(Tabla__192.168.1.8_POSEIDONSQL_APPFVT_01_tblFillRateFechas[[#This Row],[Resultado]]=1,1,0)</f>
        <v>1</v>
      </c>
      <c r="W1469" s="1" t="str">
        <f>+Tabla__192.168.1.8_POSEIDONSQL_APPFVT_01_tblFillRateFechas[[#This Row],[con_ocnumero]]&amp;Tabla__192.168.1.8_POSEIDONSQL_APPFVT_01_tblFillRateFechas[[#This Row],[con_codigounico]]</f>
        <v>91950010990301809025096000577</v>
      </c>
      <c r="X1469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  <row r="1470" spans="1:24" x14ac:dyDescent="0.25">
      <c r="A1470">
        <v>9</v>
      </c>
      <c r="B1470" t="s">
        <v>48</v>
      </c>
      <c r="C1470">
        <v>9184702</v>
      </c>
      <c r="D1470" t="s">
        <v>12</v>
      </c>
      <c r="E1470" t="s">
        <v>1969</v>
      </c>
      <c r="F1470" t="s">
        <v>12</v>
      </c>
      <c r="G1470">
        <v>1</v>
      </c>
      <c r="H1470">
        <v>1</v>
      </c>
      <c r="I1470" t="s">
        <v>1969</v>
      </c>
      <c r="J1470">
        <v>0</v>
      </c>
      <c r="K1470" t="s">
        <v>1401</v>
      </c>
      <c r="L1470" s="1">
        <f>+Tabla__192.168.1.8_POSEIDONSQL_APPFVT_01_tblFillRateFechas[[#This Row],[emb_cantidad]]-Tabla__192.168.1.8_POSEIDONSQL_APPFVT_01_tblFillRateFechas[[#This Row],[dev_cantidad]]</f>
        <v>1</v>
      </c>
      <c r="M1470" s="1">
        <f>+IF(Tabla__192.168.1.8_POSEIDONSQL_APPFVT_01_tblFillRateFechas[[#This Row],[Cant_Resultante]]=Tabla__192.168.1.8_POSEIDONSQL_APPFVT_01_tblFillRateFechas[[#This Row],[cant_order]],1,0)</f>
        <v>1</v>
      </c>
      <c r="N1470" s="1">
        <f>+IF(Tabla__192.168.1.8_POSEIDONSQL_APPFVT_01_tblFillRateFechas[[#This Row],[fecha_despacho]]="1900-01-01",0,IF(Tabla__192.168.1.8_POSEIDONSQL_APPFVT_01_tblFillRateFechas[[#This Row],[con_fechadespacho]]&gt;=Tabla__192.168.1.8_POSEIDONSQL_APPFVT_01_tblFillRateFechas[[#This Row],[fecha_despacho]],1,0))</f>
        <v>1</v>
      </c>
      <c r="O1470" s="1">
        <f>+IF(AND(Tabla__192.168.1.8_POSEIDONSQL_APPFVT_01_tblFillRateFechas[[#This Row],[Valida Cant]]=1,Tabla__192.168.1.8_POSEIDONSQL_APPFVT_01_tblFillRateFechas[[#This Row],[Valida Fec]]=1),1,0)</f>
        <v>1</v>
      </c>
      <c r="P1470" s="1">
        <f>+(Tabla__192.168.1.8_POSEIDONSQL_APPFVT_01_tblFillRateFechas[[#This Row],[Cant_Resultante]]/Tabla__192.168.1.8_POSEIDONSQL_APPFVT_01_tblFillRateFechas[[#This Row],[cant_order]])*100</f>
        <v>100</v>
      </c>
      <c r="Q1470" s="1">
        <f>+(Tabla__192.168.1.8_POSEIDONSQL_APPFVT_01_tblFillRateFechas[[#This Row],[emb_cantidad]]-Tabla__192.168.1.8_POSEIDONSQL_APPFVT_01_tblFillRateFechas[[#This Row],[Rembarcada]])-Tabla__192.168.1.8_POSEIDONSQL_APPFVT_01_tblFillRateFechas[[#This Row],[dev_cantidad]]</f>
        <v>1</v>
      </c>
      <c r="R1470" s="1">
        <f>+IF(Tabla__192.168.1.8_POSEIDONSQL_APPFVT_01_tblFillRateFechas[[#This Row],[emb_cantidad]]&gt;Tabla__192.168.1.8_POSEIDONSQL_APPFVT_01_tblFillRateFechas[[#This Row],[cant_order]],Tabla__192.168.1.8_POSEIDONSQL_APPFVT_01_tblFillRateFechas[[#This Row],[emb_cantidad]]-Tabla__192.168.1.8_POSEIDONSQL_APPFVT_01_tblFillRateFechas[[#This Row],[cant_order]],0)</f>
        <v>0</v>
      </c>
      <c r="S1470" s="1">
        <f>+(Tabla__192.168.1.8_POSEIDONSQL_APPFVT_01_tblFillRateFechas[[#This Row],[Cant Embarcada]]-Tabla__192.168.1.8_POSEIDONSQL_APPFVT_01_tblFillRateFechas[[#This Row],[dev_cantidad]])+Tabla__192.168.1.8_POSEIDONSQL_APPFVT_01_tblFillRateFechas[[#This Row],[Rembarcada]]</f>
        <v>1</v>
      </c>
      <c r="T1470" s="1">
        <f>+IF(Tabla__192.168.1.8_POSEIDONSQL_APPFVT_01_tblFillRateFechas[[#This Row],[cant_order]]&gt;Tabla__192.168.1.8_POSEIDONSQL_APPFVT_01_tblFillRateFechas[[#This Row],[Cumpl Unds Real]],Tabla__192.168.1.8_POSEIDONSQL_APPFVT_01_tblFillRateFechas[[#This Row],[cant_order]]-Tabla__192.168.1.8_POSEIDONSQL_APPFVT_01_tblFillRateFechas[[#This Row],[Cumpl Unds Real]],0)</f>
        <v>0</v>
      </c>
      <c r="U1470" s="1">
        <f>+IF(Tabla__192.168.1.8_POSEIDONSQL_APPFVT_01_tblFillRateFechas[[#This Row],[cant_order]]&gt;0,1,0)</f>
        <v>1</v>
      </c>
      <c r="V1470" s="1">
        <f>+IF(Tabla__192.168.1.8_POSEIDONSQL_APPFVT_01_tblFillRateFechas[[#This Row],[Resultado]]=1,1,0)</f>
        <v>1</v>
      </c>
      <c r="W1470" s="1" t="str">
        <f>+Tabla__192.168.1.8_POSEIDONSQL_APPFVT_01_tblFillRateFechas[[#This Row],[con_ocnumero]]&amp;Tabla__192.168.1.8_POSEIDONSQL_APPFVT_01_tblFillRateFechas[[#This Row],[con_codigounico]]</f>
        <v>91847020990341808154379000791</v>
      </c>
      <c r="X1470" s="1">
        <f>+IF(Tabla__192.168.1.8_POSEIDONSQL_APPFVT_01_tblFillRateFechas[[#This Row],[dev_cantidad]]&gt;0,Tabla__192.168.1.8_POSEIDONSQL_APPFVT_01_tblFillRateFechas[[#This Row],[emb_cantidad]]-Tabla__192.168.1.8_POSEIDONSQL_APPFVT_01_tblFillRateFechas[[#This Row],[dev_cantidad]],Tabla__192.168.1.8_POSEIDONSQL_APPFVT_01_tblFillRateFechas[[#This Row],[emb_cantidad]])</f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1868"/>
  <sheetViews>
    <sheetView zoomScale="80" zoomScaleNormal="80" workbookViewId="0">
      <selection activeCell="B1" sqref="B1"/>
    </sheetView>
  </sheetViews>
  <sheetFormatPr baseColWidth="10" defaultRowHeight="15" x14ac:dyDescent="0.25"/>
  <cols>
    <col min="1" max="1" width="13.5703125" bestFit="1" customWidth="1"/>
    <col min="2" max="2" width="13.85546875" bestFit="1" customWidth="1"/>
    <col min="3" max="3" width="13.42578125" bestFit="1" customWidth="1"/>
    <col min="4" max="4" width="10.5703125" bestFit="1" customWidth="1"/>
    <col min="5" max="5" width="13.7109375" bestFit="1" customWidth="1"/>
    <col min="6" max="6" width="20" bestFit="1" customWidth="1"/>
    <col min="7" max="7" width="55.28515625" bestFit="1" customWidth="1"/>
    <col min="8" max="8" width="16" bestFit="1" customWidth="1"/>
    <col min="9" max="9" width="22.42578125" bestFit="1" customWidth="1"/>
    <col min="10" max="10" width="55.28515625" bestFit="1" customWidth="1"/>
    <col min="11" max="11" width="25.140625" bestFit="1" customWidth="1"/>
    <col min="12" max="12" width="21.28515625" bestFit="1" customWidth="1"/>
    <col min="13" max="13" width="22.7109375" bestFit="1" customWidth="1"/>
  </cols>
  <sheetData>
    <row r="1" spans="1:13" x14ac:dyDescent="0.25">
      <c r="A1" t="s">
        <v>0</v>
      </c>
      <c r="B1" t="s">
        <v>205</v>
      </c>
      <c r="C1" t="s">
        <v>206</v>
      </c>
      <c r="D1" t="s">
        <v>207</v>
      </c>
      <c r="E1" t="s">
        <v>208</v>
      </c>
      <c r="F1" t="s">
        <v>59</v>
      </c>
      <c r="G1" t="s">
        <v>209</v>
      </c>
      <c r="H1" t="s">
        <v>210</v>
      </c>
      <c r="I1" t="s">
        <v>211</v>
      </c>
      <c r="J1" t="s">
        <v>212</v>
      </c>
      <c r="K1" t="s">
        <v>213</v>
      </c>
      <c r="L1" t="s">
        <v>214</v>
      </c>
      <c r="M1" t="s">
        <v>215</v>
      </c>
    </row>
    <row r="2" spans="1:13" x14ac:dyDescent="0.25">
      <c r="A2">
        <v>3</v>
      </c>
      <c r="B2">
        <v>50050998</v>
      </c>
      <c r="C2">
        <v>5904</v>
      </c>
      <c r="D2">
        <v>12</v>
      </c>
      <c r="E2">
        <v>970</v>
      </c>
      <c r="F2" t="s">
        <v>436</v>
      </c>
      <c r="G2" t="s">
        <v>437</v>
      </c>
      <c r="H2">
        <v>506</v>
      </c>
      <c r="I2" t="s">
        <v>92</v>
      </c>
      <c r="J2" t="s">
        <v>93</v>
      </c>
      <c r="K2" t="s">
        <v>438</v>
      </c>
      <c r="L2">
        <v>1</v>
      </c>
      <c r="M2">
        <v>1</v>
      </c>
    </row>
    <row r="3" spans="1:13" x14ac:dyDescent="0.25">
      <c r="A3">
        <v>3</v>
      </c>
      <c r="B3">
        <v>50050998</v>
      </c>
      <c r="C3">
        <v>5904</v>
      </c>
      <c r="D3">
        <v>13</v>
      </c>
      <c r="E3">
        <v>970</v>
      </c>
      <c r="F3" t="s">
        <v>436</v>
      </c>
      <c r="G3" t="s">
        <v>437</v>
      </c>
      <c r="H3">
        <v>506</v>
      </c>
      <c r="I3" t="s">
        <v>92</v>
      </c>
      <c r="J3" t="s">
        <v>93</v>
      </c>
      <c r="K3" t="s">
        <v>439</v>
      </c>
      <c r="L3">
        <v>1</v>
      </c>
      <c r="M3">
        <v>1</v>
      </c>
    </row>
    <row r="4" spans="1:13" x14ac:dyDescent="0.25">
      <c r="A4">
        <v>3</v>
      </c>
      <c r="B4">
        <v>50050998</v>
      </c>
      <c r="C4">
        <v>5904</v>
      </c>
      <c r="D4">
        <v>19</v>
      </c>
      <c r="E4">
        <v>824</v>
      </c>
      <c r="F4" t="s">
        <v>134</v>
      </c>
      <c r="G4" t="s">
        <v>135</v>
      </c>
      <c r="H4">
        <v>824</v>
      </c>
      <c r="I4" t="s">
        <v>134</v>
      </c>
      <c r="J4" t="s">
        <v>135</v>
      </c>
      <c r="K4" t="s">
        <v>440</v>
      </c>
      <c r="L4">
        <v>1</v>
      </c>
      <c r="M4">
        <v>1</v>
      </c>
    </row>
    <row r="5" spans="1:13" x14ac:dyDescent="0.25">
      <c r="A5">
        <v>3</v>
      </c>
      <c r="B5">
        <v>50050998</v>
      </c>
      <c r="C5">
        <v>5904</v>
      </c>
      <c r="D5">
        <v>23</v>
      </c>
      <c r="E5">
        <v>970</v>
      </c>
      <c r="F5" t="s">
        <v>436</v>
      </c>
      <c r="G5" t="s">
        <v>437</v>
      </c>
      <c r="H5">
        <v>506</v>
      </c>
      <c r="I5" t="s">
        <v>92</v>
      </c>
      <c r="J5" t="s">
        <v>93</v>
      </c>
      <c r="K5" t="s">
        <v>441</v>
      </c>
      <c r="L5">
        <v>1</v>
      </c>
      <c r="M5">
        <v>1</v>
      </c>
    </row>
    <row r="6" spans="1:13" x14ac:dyDescent="0.25">
      <c r="A6">
        <v>3</v>
      </c>
      <c r="B6">
        <v>50051047</v>
      </c>
      <c r="C6">
        <v>5904</v>
      </c>
      <c r="D6">
        <v>17</v>
      </c>
      <c r="E6">
        <v>745</v>
      </c>
      <c r="F6" t="s">
        <v>199</v>
      </c>
      <c r="G6" t="s">
        <v>200</v>
      </c>
      <c r="H6">
        <v>745</v>
      </c>
      <c r="I6" t="s">
        <v>199</v>
      </c>
      <c r="J6" t="s">
        <v>200</v>
      </c>
      <c r="K6" t="s">
        <v>442</v>
      </c>
      <c r="L6">
        <v>1</v>
      </c>
      <c r="M6">
        <v>1</v>
      </c>
    </row>
    <row r="7" spans="1:13" x14ac:dyDescent="0.25">
      <c r="A7">
        <v>3</v>
      </c>
      <c r="B7">
        <v>50051047</v>
      </c>
      <c r="C7">
        <v>5904</v>
      </c>
      <c r="D7">
        <v>20</v>
      </c>
      <c r="E7">
        <v>970</v>
      </c>
      <c r="F7" t="s">
        <v>436</v>
      </c>
      <c r="G7" t="s">
        <v>437</v>
      </c>
      <c r="H7">
        <v>506</v>
      </c>
      <c r="I7" t="s">
        <v>92</v>
      </c>
      <c r="J7" t="s">
        <v>93</v>
      </c>
      <c r="K7" t="s">
        <v>443</v>
      </c>
      <c r="L7">
        <v>1</v>
      </c>
      <c r="M7">
        <v>1</v>
      </c>
    </row>
    <row r="8" spans="1:13" x14ac:dyDescent="0.25">
      <c r="A8">
        <v>3</v>
      </c>
      <c r="B8">
        <v>50051048</v>
      </c>
      <c r="C8">
        <v>5904</v>
      </c>
      <c r="D8">
        <v>18</v>
      </c>
      <c r="E8">
        <v>970</v>
      </c>
      <c r="F8" t="s">
        <v>436</v>
      </c>
      <c r="G8" t="s">
        <v>437</v>
      </c>
      <c r="H8">
        <v>506</v>
      </c>
      <c r="I8" t="s">
        <v>92</v>
      </c>
      <c r="J8" t="s">
        <v>93</v>
      </c>
      <c r="K8" t="s">
        <v>444</v>
      </c>
      <c r="L8">
        <v>1</v>
      </c>
      <c r="M8">
        <v>1</v>
      </c>
    </row>
    <row r="9" spans="1:13" x14ac:dyDescent="0.25">
      <c r="A9">
        <v>3</v>
      </c>
      <c r="B9">
        <v>50051048</v>
      </c>
      <c r="C9">
        <v>5904</v>
      </c>
      <c r="D9">
        <v>21</v>
      </c>
      <c r="E9">
        <v>970</v>
      </c>
      <c r="F9" t="s">
        <v>436</v>
      </c>
      <c r="G9" t="s">
        <v>437</v>
      </c>
      <c r="H9">
        <v>506</v>
      </c>
      <c r="I9" t="s">
        <v>92</v>
      </c>
      <c r="J9" t="s">
        <v>93</v>
      </c>
      <c r="K9" t="s">
        <v>445</v>
      </c>
      <c r="L9">
        <v>1</v>
      </c>
      <c r="M9">
        <v>1</v>
      </c>
    </row>
    <row r="10" spans="1:13" x14ac:dyDescent="0.25">
      <c r="A10">
        <v>4</v>
      </c>
      <c r="B10">
        <v>9581972</v>
      </c>
      <c r="C10">
        <v>5913</v>
      </c>
      <c r="D10">
        <v>1</v>
      </c>
      <c r="E10">
        <v>701</v>
      </c>
      <c r="F10" t="s">
        <v>446</v>
      </c>
      <c r="G10" t="s">
        <v>447</v>
      </c>
      <c r="H10">
        <v>701</v>
      </c>
      <c r="I10" t="s">
        <v>446</v>
      </c>
      <c r="J10" t="s">
        <v>447</v>
      </c>
      <c r="K10" t="s">
        <v>448</v>
      </c>
      <c r="L10">
        <v>1</v>
      </c>
      <c r="M10">
        <v>1</v>
      </c>
    </row>
    <row r="11" spans="1:13" x14ac:dyDescent="0.25">
      <c r="A11">
        <v>4</v>
      </c>
      <c r="B11">
        <v>9609066</v>
      </c>
      <c r="C11">
        <v>5913</v>
      </c>
      <c r="D11">
        <v>8</v>
      </c>
      <c r="E11">
        <v>689</v>
      </c>
      <c r="F11" t="s">
        <v>449</v>
      </c>
      <c r="G11" t="s">
        <v>450</v>
      </c>
      <c r="H11">
        <v>689</v>
      </c>
      <c r="I11" t="s">
        <v>449</v>
      </c>
      <c r="J11" t="s">
        <v>450</v>
      </c>
      <c r="K11" t="s">
        <v>451</v>
      </c>
      <c r="L11">
        <v>1</v>
      </c>
      <c r="M11">
        <v>1</v>
      </c>
    </row>
    <row r="12" spans="1:13" x14ac:dyDescent="0.25">
      <c r="A12">
        <v>4</v>
      </c>
      <c r="B12">
        <v>9610000</v>
      </c>
      <c r="C12">
        <v>5913</v>
      </c>
      <c r="D12">
        <v>9</v>
      </c>
      <c r="E12">
        <v>501</v>
      </c>
      <c r="F12" t="s">
        <v>90</v>
      </c>
      <c r="G12" t="s">
        <v>91</v>
      </c>
      <c r="H12">
        <v>501</v>
      </c>
      <c r="I12" t="s">
        <v>90</v>
      </c>
      <c r="J12" t="s">
        <v>91</v>
      </c>
      <c r="K12" t="s">
        <v>452</v>
      </c>
      <c r="L12">
        <v>1</v>
      </c>
      <c r="M12">
        <v>1</v>
      </c>
    </row>
    <row r="13" spans="1:13" x14ac:dyDescent="0.25">
      <c r="A13">
        <v>4</v>
      </c>
      <c r="B13">
        <v>9610052</v>
      </c>
      <c r="C13">
        <v>5913</v>
      </c>
      <c r="D13">
        <v>10</v>
      </c>
      <c r="E13">
        <v>781</v>
      </c>
      <c r="F13" t="s">
        <v>269</v>
      </c>
      <c r="G13" t="s">
        <v>270</v>
      </c>
      <c r="H13">
        <v>781</v>
      </c>
      <c r="I13" t="s">
        <v>269</v>
      </c>
      <c r="J13" t="s">
        <v>270</v>
      </c>
      <c r="K13" t="s">
        <v>453</v>
      </c>
      <c r="L13">
        <v>1</v>
      </c>
      <c r="M13">
        <v>1</v>
      </c>
    </row>
    <row r="14" spans="1:13" x14ac:dyDescent="0.25">
      <c r="A14">
        <v>4</v>
      </c>
      <c r="B14">
        <v>9612153</v>
      </c>
      <c r="C14">
        <v>5913</v>
      </c>
      <c r="D14">
        <v>11</v>
      </c>
      <c r="E14">
        <v>501</v>
      </c>
      <c r="F14" t="s">
        <v>90</v>
      </c>
      <c r="G14" t="s">
        <v>91</v>
      </c>
      <c r="H14">
        <v>501</v>
      </c>
      <c r="I14" t="s">
        <v>90</v>
      </c>
      <c r="J14" t="s">
        <v>91</v>
      </c>
      <c r="K14" t="s">
        <v>454</v>
      </c>
      <c r="L14">
        <v>1</v>
      </c>
      <c r="M14">
        <v>1</v>
      </c>
    </row>
    <row r="15" spans="1:13" x14ac:dyDescent="0.25">
      <c r="A15">
        <v>4</v>
      </c>
      <c r="B15">
        <v>9604950</v>
      </c>
      <c r="C15">
        <v>5913</v>
      </c>
      <c r="D15">
        <v>6</v>
      </c>
      <c r="E15">
        <v>179</v>
      </c>
      <c r="F15" t="s">
        <v>66</v>
      </c>
      <c r="G15" t="s">
        <v>67</v>
      </c>
      <c r="H15">
        <v>179</v>
      </c>
      <c r="I15" t="s">
        <v>66</v>
      </c>
      <c r="J15" t="s">
        <v>67</v>
      </c>
      <c r="K15" t="s">
        <v>455</v>
      </c>
      <c r="L15">
        <v>1</v>
      </c>
      <c r="M15">
        <v>1</v>
      </c>
    </row>
    <row r="16" spans="1:13" x14ac:dyDescent="0.25">
      <c r="A16">
        <v>4</v>
      </c>
      <c r="B16">
        <v>9608491</v>
      </c>
      <c r="C16">
        <v>5913</v>
      </c>
      <c r="D16">
        <v>7</v>
      </c>
      <c r="E16">
        <v>501</v>
      </c>
      <c r="F16" t="s">
        <v>90</v>
      </c>
      <c r="G16" t="s">
        <v>91</v>
      </c>
      <c r="H16">
        <v>501</v>
      </c>
      <c r="I16" t="s">
        <v>90</v>
      </c>
      <c r="J16" t="s">
        <v>91</v>
      </c>
      <c r="K16" t="s">
        <v>456</v>
      </c>
      <c r="L16">
        <v>1</v>
      </c>
      <c r="M16">
        <v>1</v>
      </c>
    </row>
    <row r="17" spans="1:13" x14ac:dyDescent="0.25">
      <c r="A17">
        <v>4</v>
      </c>
      <c r="B17">
        <v>9596357</v>
      </c>
      <c r="C17">
        <v>5913</v>
      </c>
      <c r="D17">
        <v>2</v>
      </c>
      <c r="E17">
        <v>179</v>
      </c>
      <c r="F17" t="s">
        <v>66</v>
      </c>
      <c r="G17" t="s">
        <v>67</v>
      </c>
      <c r="H17">
        <v>179</v>
      </c>
      <c r="I17" t="s">
        <v>66</v>
      </c>
      <c r="J17" t="s">
        <v>67</v>
      </c>
      <c r="K17" t="s">
        <v>457</v>
      </c>
      <c r="L17">
        <v>1</v>
      </c>
      <c r="M17">
        <v>1</v>
      </c>
    </row>
    <row r="18" spans="1:13" x14ac:dyDescent="0.25">
      <c r="A18">
        <v>4</v>
      </c>
      <c r="B18">
        <v>9597665</v>
      </c>
      <c r="C18">
        <v>5913</v>
      </c>
      <c r="D18">
        <v>3</v>
      </c>
      <c r="E18">
        <v>548</v>
      </c>
      <c r="F18" t="s">
        <v>458</v>
      </c>
      <c r="G18" t="s">
        <v>459</v>
      </c>
      <c r="H18">
        <v>548</v>
      </c>
      <c r="I18" t="s">
        <v>458</v>
      </c>
      <c r="J18" t="s">
        <v>459</v>
      </c>
      <c r="K18" t="s">
        <v>460</v>
      </c>
      <c r="L18">
        <v>1</v>
      </c>
      <c r="M18">
        <v>1</v>
      </c>
    </row>
    <row r="19" spans="1:13" x14ac:dyDescent="0.25">
      <c r="A19">
        <v>4</v>
      </c>
      <c r="B19">
        <v>9597665</v>
      </c>
      <c r="C19">
        <v>5913</v>
      </c>
      <c r="D19">
        <v>4</v>
      </c>
      <c r="E19">
        <v>141</v>
      </c>
      <c r="F19" t="s">
        <v>64</v>
      </c>
      <c r="G19" t="s">
        <v>65</v>
      </c>
      <c r="H19">
        <v>141</v>
      </c>
      <c r="I19" t="s">
        <v>64</v>
      </c>
      <c r="J19" t="s">
        <v>65</v>
      </c>
      <c r="K19" t="s">
        <v>460</v>
      </c>
      <c r="L19">
        <v>1</v>
      </c>
      <c r="M19">
        <v>1</v>
      </c>
    </row>
    <row r="20" spans="1:13" x14ac:dyDescent="0.25">
      <c r="A20">
        <v>4</v>
      </c>
      <c r="B20">
        <v>9598302</v>
      </c>
      <c r="C20">
        <v>5913</v>
      </c>
      <c r="D20">
        <v>5</v>
      </c>
      <c r="E20">
        <v>703</v>
      </c>
      <c r="F20" t="s">
        <v>461</v>
      </c>
      <c r="G20" t="s">
        <v>462</v>
      </c>
      <c r="H20">
        <v>703</v>
      </c>
      <c r="I20" t="s">
        <v>461</v>
      </c>
      <c r="J20" t="s">
        <v>462</v>
      </c>
      <c r="K20" t="s">
        <v>463</v>
      </c>
      <c r="L20">
        <v>1</v>
      </c>
      <c r="M20">
        <v>1</v>
      </c>
    </row>
    <row r="21" spans="1:13" x14ac:dyDescent="0.25">
      <c r="A21">
        <v>4</v>
      </c>
      <c r="B21">
        <v>9595736</v>
      </c>
      <c r="C21">
        <v>5914</v>
      </c>
      <c r="D21">
        <v>1</v>
      </c>
      <c r="E21">
        <v>610</v>
      </c>
      <c r="F21" t="s">
        <v>347</v>
      </c>
      <c r="G21" t="s">
        <v>348</v>
      </c>
      <c r="H21">
        <v>610</v>
      </c>
      <c r="I21" t="s">
        <v>347</v>
      </c>
      <c r="J21" t="s">
        <v>348</v>
      </c>
      <c r="K21" t="s">
        <v>464</v>
      </c>
      <c r="L21">
        <v>1</v>
      </c>
      <c r="M21">
        <v>1</v>
      </c>
    </row>
    <row r="22" spans="1:13" x14ac:dyDescent="0.25">
      <c r="A22">
        <v>4</v>
      </c>
      <c r="B22">
        <v>9600628</v>
      </c>
      <c r="C22">
        <v>5914</v>
      </c>
      <c r="D22">
        <v>3</v>
      </c>
      <c r="E22">
        <v>704</v>
      </c>
      <c r="F22" t="s">
        <v>122</v>
      </c>
      <c r="G22" t="s">
        <v>123</v>
      </c>
      <c r="H22">
        <v>704</v>
      </c>
      <c r="I22" t="s">
        <v>122</v>
      </c>
      <c r="J22" t="s">
        <v>123</v>
      </c>
      <c r="K22" t="s">
        <v>465</v>
      </c>
      <c r="L22">
        <v>1</v>
      </c>
      <c r="M22">
        <v>1</v>
      </c>
    </row>
    <row r="23" spans="1:13" x14ac:dyDescent="0.25">
      <c r="A23">
        <v>4</v>
      </c>
      <c r="B23">
        <v>9600902</v>
      </c>
      <c r="C23">
        <v>5914</v>
      </c>
      <c r="D23">
        <v>4</v>
      </c>
      <c r="E23">
        <v>704</v>
      </c>
      <c r="F23" t="s">
        <v>122</v>
      </c>
      <c r="G23" t="s">
        <v>123</v>
      </c>
      <c r="H23">
        <v>704</v>
      </c>
      <c r="I23" t="s">
        <v>122</v>
      </c>
      <c r="J23" t="s">
        <v>123</v>
      </c>
      <c r="K23" t="s">
        <v>466</v>
      </c>
      <c r="L23">
        <v>1</v>
      </c>
      <c r="M23">
        <v>1</v>
      </c>
    </row>
    <row r="24" spans="1:13" x14ac:dyDescent="0.25">
      <c r="A24">
        <v>4</v>
      </c>
      <c r="B24">
        <v>9601995</v>
      </c>
      <c r="C24">
        <v>5914</v>
      </c>
      <c r="D24">
        <v>5</v>
      </c>
      <c r="E24">
        <v>13</v>
      </c>
      <c r="F24" t="s">
        <v>62</v>
      </c>
      <c r="G24" t="s">
        <v>63</v>
      </c>
      <c r="H24">
        <v>13</v>
      </c>
      <c r="I24" t="s">
        <v>62</v>
      </c>
      <c r="J24" t="s">
        <v>63</v>
      </c>
      <c r="K24" t="s">
        <v>467</v>
      </c>
      <c r="L24">
        <v>1</v>
      </c>
      <c r="M24">
        <v>1</v>
      </c>
    </row>
    <row r="25" spans="1:13" x14ac:dyDescent="0.25">
      <c r="A25">
        <v>4</v>
      </c>
      <c r="B25">
        <v>9595770</v>
      </c>
      <c r="C25">
        <v>5914</v>
      </c>
      <c r="D25">
        <v>2</v>
      </c>
      <c r="E25">
        <v>704</v>
      </c>
      <c r="F25" t="s">
        <v>122</v>
      </c>
      <c r="G25" t="s">
        <v>123</v>
      </c>
      <c r="H25">
        <v>704</v>
      </c>
      <c r="I25" t="s">
        <v>122</v>
      </c>
      <c r="J25" t="s">
        <v>123</v>
      </c>
      <c r="K25" t="s">
        <v>468</v>
      </c>
      <c r="L25">
        <v>1</v>
      </c>
      <c r="M25">
        <v>1</v>
      </c>
    </row>
    <row r="26" spans="1:13" x14ac:dyDescent="0.25">
      <c r="A26">
        <v>6</v>
      </c>
      <c r="B26">
        <v>930455</v>
      </c>
      <c r="C26">
        <v>5917</v>
      </c>
      <c r="D26">
        <v>5</v>
      </c>
      <c r="E26">
        <v>509</v>
      </c>
      <c r="F26" t="s">
        <v>289</v>
      </c>
      <c r="G26" t="s">
        <v>290</v>
      </c>
      <c r="H26">
        <v>509</v>
      </c>
      <c r="I26" t="s">
        <v>289</v>
      </c>
      <c r="J26" t="s">
        <v>290</v>
      </c>
      <c r="K26" t="s">
        <v>159</v>
      </c>
      <c r="L26">
        <v>1</v>
      </c>
      <c r="M26">
        <v>0</v>
      </c>
    </row>
    <row r="27" spans="1:13" x14ac:dyDescent="0.25">
      <c r="A27">
        <v>6</v>
      </c>
      <c r="B27">
        <v>930455</v>
      </c>
      <c r="C27">
        <v>5917</v>
      </c>
      <c r="D27">
        <v>6</v>
      </c>
      <c r="E27">
        <v>824</v>
      </c>
      <c r="F27" t="s">
        <v>134</v>
      </c>
      <c r="G27" t="s">
        <v>135</v>
      </c>
      <c r="H27">
        <v>824</v>
      </c>
      <c r="I27" t="s">
        <v>134</v>
      </c>
      <c r="J27" t="s">
        <v>135</v>
      </c>
      <c r="K27" t="s">
        <v>159</v>
      </c>
      <c r="L27">
        <v>2</v>
      </c>
      <c r="M27">
        <v>0</v>
      </c>
    </row>
    <row r="28" spans="1:13" x14ac:dyDescent="0.25">
      <c r="A28">
        <v>6</v>
      </c>
      <c r="B28">
        <v>935237</v>
      </c>
      <c r="C28">
        <v>5917</v>
      </c>
      <c r="D28">
        <v>1</v>
      </c>
      <c r="E28">
        <v>970</v>
      </c>
      <c r="F28" t="s">
        <v>436</v>
      </c>
      <c r="G28" t="s">
        <v>437</v>
      </c>
      <c r="H28">
        <v>506</v>
      </c>
      <c r="I28" t="s">
        <v>92</v>
      </c>
      <c r="J28" t="s">
        <v>93</v>
      </c>
      <c r="K28" t="s">
        <v>159</v>
      </c>
      <c r="L28">
        <v>1</v>
      </c>
      <c r="M28">
        <v>1</v>
      </c>
    </row>
    <row r="29" spans="1:13" x14ac:dyDescent="0.25">
      <c r="A29">
        <v>6</v>
      </c>
      <c r="B29">
        <v>935237</v>
      </c>
      <c r="C29">
        <v>5917</v>
      </c>
      <c r="D29">
        <v>2</v>
      </c>
      <c r="E29">
        <v>970</v>
      </c>
      <c r="F29" t="s">
        <v>436</v>
      </c>
      <c r="G29" t="s">
        <v>437</v>
      </c>
      <c r="H29">
        <v>506</v>
      </c>
      <c r="I29" t="s">
        <v>92</v>
      </c>
      <c r="J29" t="s">
        <v>93</v>
      </c>
      <c r="K29" t="s">
        <v>159</v>
      </c>
      <c r="L29">
        <v>2</v>
      </c>
      <c r="M29">
        <v>2</v>
      </c>
    </row>
    <row r="30" spans="1:13" x14ac:dyDescent="0.25">
      <c r="A30">
        <v>6</v>
      </c>
      <c r="B30">
        <v>935237</v>
      </c>
      <c r="C30">
        <v>5917</v>
      </c>
      <c r="D30">
        <v>3</v>
      </c>
      <c r="E30">
        <v>509</v>
      </c>
      <c r="F30" t="s">
        <v>289</v>
      </c>
      <c r="G30" t="s">
        <v>290</v>
      </c>
      <c r="H30">
        <v>509</v>
      </c>
      <c r="I30" t="s">
        <v>289</v>
      </c>
      <c r="J30" t="s">
        <v>290</v>
      </c>
      <c r="K30" t="s">
        <v>159</v>
      </c>
      <c r="L30">
        <v>2</v>
      </c>
      <c r="M30">
        <v>0</v>
      </c>
    </row>
    <row r="31" spans="1:13" x14ac:dyDescent="0.25">
      <c r="A31">
        <v>6</v>
      </c>
      <c r="B31">
        <v>935237</v>
      </c>
      <c r="C31">
        <v>5917</v>
      </c>
      <c r="D31">
        <v>4</v>
      </c>
      <c r="E31">
        <v>639</v>
      </c>
      <c r="F31" t="s">
        <v>106</v>
      </c>
      <c r="G31" t="s">
        <v>107</v>
      </c>
      <c r="H31">
        <v>639</v>
      </c>
      <c r="I31" t="s">
        <v>106</v>
      </c>
      <c r="J31" t="s">
        <v>107</v>
      </c>
      <c r="K31" t="s">
        <v>159</v>
      </c>
      <c r="L31">
        <v>2</v>
      </c>
      <c r="M31">
        <v>2</v>
      </c>
    </row>
    <row r="32" spans="1:13" x14ac:dyDescent="0.25">
      <c r="A32">
        <v>9</v>
      </c>
      <c r="B32">
        <v>9186055</v>
      </c>
      <c r="C32">
        <v>5919</v>
      </c>
      <c r="D32">
        <v>1</v>
      </c>
      <c r="E32">
        <v>906</v>
      </c>
      <c r="F32" t="s">
        <v>316</v>
      </c>
      <c r="G32" t="s">
        <v>317</v>
      </c>
      <c r="H32">
        <v>906</v>
      </c>
      <c r="I32" t="s">
        <v>316</v>
      </c>
      <c r="J32" t="s">
        <v>317</v>
      </c>
      <c r="K32" t="s">
        <v>469</v>
      </c>
      <c r="L32">
        <v>1</v>
      </c>
      <c r="M32">
        <v>1</v>
      </c>
    </row>
    <row r="33" spans="1:13" x14ac:dyDescent="0.25">
      <c r="A33">
        <v>9</v>
      </c>
      <c r="B33">
        <v>9186988</v>
      </c>
      <c r="C33">
        <v>5921</v>
      </c>
      <c r="D33">
        <v>13</v>
      </c>
      <c r="E33">
        <v>404</v>
      </c>
      <c r="F33" t="s">
        <v>80</v>
      </c>
      <c r="G33" t="s">
        <v>81</v>
      </c>
      <c r="H33">
        <v>404</v>
      </c>
      <c r="I33" t="s">
        <v>80</v>
      </c>
      <c r="J33" t="s">
        <v>81</v>
      </c>
      <c r="K33" t="s">
        <v>470</v>
      </c>
      <c r="L33">
        <v>1</v>
      </c>
      <c r="M33">
        <v>1</v>
      </c>
    </row>
    <row r="34" spans="1:13" x14ac:dyDescent="0.25">
      <c r="A34">
        <v>9</v>
      </c>
      <c r="B34">
        <v>9186988</v>
      </c>
      <c r="C34">
        <v>5921</v>
      </c>
      <c r="D34">
        <v>14</v>
      </c>
      <c r="E34">
        <v>707</v>
      </c>
      <c r="F34" t="s">
        <v>471</v>
      </c>
      <c r="G34" t="s">
        <v>472</v>
      </c>
      <c r="H34">
        <v>707</v>
      </c>
      <c r="I34" t="s">
        <v>471</v>
      </c>
      <c r="J34" t="s">
        <v>472</v>
      </c>
      <c r="K34" t="s">
        <v>473</v>
      </c>
      <c r="L34">
        <v>2</v>
      </c>
      <c r="M34">
        <v>2</v>
      </c>
    </row>
    <row r="35" spans="1:13" x14ac:dyDescent="0.25">
      <c r="A35">
        <v>9</v>
      </c>
      <c r="B35">
        <v>9186762</v>
      </c>
      <c r="C35">
        <v>5921</v>
      </c>
      <c r="D35">
        <v>5</v>
      </c>
      <c r="E35">
        <v>388</v>
      </c>
      <c r="F35" t="s">
        <v>474</v>
      </c>
      <c r="G35" t="s">
        <v>475</v>
      </c>
      <c r="H35">
        <v>388</v>
      </c>
      <c r="I35" t="s">
        <v>474</v>
      </c>
      <c r="J35" t="s">
        <v>475</v>
      </c>
      <c r="K35" t="s">
        <v>476</v>
      </c>
      <c r="L35">
        <v>1</v>
      </c>
      <c r="M35">
        <v>1</v>
      </c>
    </row>
    <row r="36" spans="1:13" x14ac:dyDescent="0.25">
      <c r="A36">
        <v>9</v>
      </c>
      <c r="B36">
        <v>9186762</v>
      </c>
      <c r="C36">
        <v>5921</v>
      </c>
      <c r="D36">
        <v>6</v>
      </c>
      <c r="E36">
        <v>641</v>
      </c>
      <c r="F36" t="s">
        <v>108</v>
      </c>
      <c r="G36" t="s">
        <v>109</v>
      </c>
      <c r="H36">
        <v>641</v>
      </c>
      <c r="I36" t="s">
        <v>108</v>
      </c>
      <c r="J36" t="s">
        <v>109</v>
      </c>
      <c r="K36" t="s">
        <v>477</v>
      </c>
      <c r="L36">
        <v>1</v>
      </c>
      <c r="M36">
        <v>1</v>
      </c>
    </row>
    <row r="37" spans="1:13" x14ac:dyDescent="0.25">
      <c r="A37">
        <v>9</v>
      </c>
      <c r="B37">
        <v>9186889</v>
      </c>
      <c r="C37">
        <v>5921</v>
      </c>
      <c r="D37">
        <v>7</v>
      </c>
      <c r="E37">
        <v>401</v>
      </c>
      <c r="F37" t="s">
        <v>76</v>
      </c>
      <c r="G37" t="s">
        <v>77</v>
      </c>
      <c r="H37">
        <v>401</v>
      </c>
      <c r="I37" t="s">
        <v>76</v>
      </c>
      <c r="J37" t="s">
        <v>77</v>
      </c>
      <c r="K37" t="s">
        <v>478</v>
      </c>
      <c r="L37">
        <v>1</v>
      </c>
      <c r="M37">
        <v>1</v>
      </c>
    </row>
    <row r="38" spans="1:13" x14ac:dyDescent="0.25">
      <c r="A38">
        <v>9</v>
      </c>
      <c r="B38">
        <v>9186889</v>
      </c>
      <c r="C38">
        <v>5921</v>
      </c>
      <c r="D38">
        <v>8</v>
      </c>
      <c r="E38">
        <v>638</v>
      </c>
      <c r="F38" t="s">
        <v>104</v>
      </c>
      <c r="G38" t="s">
        <v>105</v>
      </c>
      <c r="H38">
        <v>638</v>
      </c>
      <c r="I38" t="s">
        <v>104</v>
      </c>
      <c r="J38" t="s">
        <v>105</v>
      </c>
      <c r="K38" t="s">
        <v>479</v>
      </c>
      <c r="L38">
        <v>1</v>
      </c>
      <c r="M38">
        <v>1</v>
      </c>
    </row>
    <row r="39" spans="1:13" x14ac:dyDescent="0.25">
      <c r="A39">
        <v>9</v>
      </c>
      <c r="B39">
        <v>9186889</v>
      </c>
      <c r="C39">
        <v>5921</v>
      </c>
      <c r="D39">
        <v>9</v>
      </c>
      <c r="E39">
        <v>970</v>
      </c>
      <c r="F39" t="s">
        <v>436</v>
      </c>
      <c r="G39" t="s">
        <v>437</v>
      </c>
      <c r="H39">
        <v>506</v>
      </c>
      <c r="I39" t="s">
        <v>92</v>
      </c>
      <c r="J39" t="s">
        <v>93</v>
      </c>
      <c r="K39" t="s">
        <v>480</v>
      </c>
      <c r="L39">
        <v>1</v>
      </c>
      <c r="M39">
        <v>1</v>
      </c>
    </row>
    <row r="40" spans="1:13" x14ac:dyDescent="0.25">
      <c r="A40">
        <v>9</v>
      </c>
      <c r="B40">
        <v>9186889</v>
      </c>
      <c r="C40">
        <v>5921</v>
      </c>
      <c r="D40">
        <v>10</v>
      </c>
      <c r="E40">
        <v>639</v>
      </c>
      <c r="F40" t="s">
        <v>106</v>
      </c>
      <c r="G40" t="s">
        <v>107</v>
      </c>
      <c r="H40">
        <v>639</v>
      </c>
      <c r="I40" t="s">
        <v>106</v>
      </c>
      <c r="J40" t="s">
        <v>107</v>
      </c>
      <c r="K40" t="s">
        <v>481</v>
      </c>
      <c r="L40">
        <v>1</v>
      </c>
      <c r="M40">
        <v>1</v>
      </c>
    </row>
    <row r="41" spans="1:13" x14ac:dyDescent="0.25">
      <c r="A41">
        <v>9</v>
      </c>
      <c r="B41">
        <v>9186941</v>
      </c>
      <c r="C41">
        <v>5921</v>
      </c>
      <c r="D41">
        <v>11</v>
      </c>
      <c r="E41">
        <v>674</v>
      </c>
      <c r="F41" t="s">
        <v>112</v>
      </c>
      <c r="G41" t="s">
        <v>113</v>
      </c>
      <c r="H41">
        <v>674</v>
      </c>
      <c r="I41" t="s">
        <v>112</v>
      </c>
      <c r="J41" t="s">
        <v>113</v>
      </c>
      <c r="K41" t="s">
        <v>482</v>
      </c>
      <c r="L41">
        <v>1</v>
      </c>
      <c r="M41">
        <v>1</v>
      </c>
    </row>
    <row r="42" spans="1:13" x14ac:dyDescent="0.25">
      <c r="A42">
        <v>8</v>
      </c>
      <c r="B42">
        <v>9450544750</v>
      </c>
      <c r="C42">
        <v>6005</v>
      </c>
      <c r="D42">
        <v>7</v>
      </c>
      <c r="E42">
        <v>534</v>
      </c>
      <c r="F42" t="s">
        <v>94</v>
      </c>
      <c r="G42" t="s">
        <v>95</v>
      </c>
      <c r="H42">
        <v>534</v>
      </c>
      <c r="I42" t="s">
        <v>94</v>
      </c>
      <c r="J42" t="s">
        <v>95</v>
      </c>
      <c r="K42" t="s">
        <v>49</v>
      </c>
      <c r="L42">
        <v>1</v>
      </c>
      <c r="M42">
        <v>1</v>
      </c>
    </row>
    <row r="43" spans="1:13" x14ac:dyDescent="0.25">
      <c r="A43">
        <v>8</v>
      </c>
      <c r="B43">
        <v>9450544751</v>
      </c>
      <c r="C43">
        <v>6005</v>
      </c>
      <c r="D43">
        <v>8</v>
      </c>
      <c r="E43">
        <v>534</v>
      </c>
      <c r="F43" t="s">
        <v>94</v>
      </c>
      <c r="G43" t="s">
        <v>95</v>
      </c>
      <c r="H43">
        <v>534</v>
      </c>
      <c r="I43" t="s">
        <v>94</v>
      </c>
      <c r="J43" t="s">
        <v>95</v>
      </c>
      <c r="K43" t="s">
        <v>49</v>
      </c>
      <c r="L43">
        <v>1</v>
      </c>
      <c r="M43">
        <v>1</v>
      </c>
    </row>
    <row r="44" spans="1:13" x14ac:dyDescent="0.25">
      <c r="A44">
        <v>8</v>
      </c>
      <c r="B44">
        <v>9450544494</v>
      </c>
      <c r="C44">
        <v>6005</v>
      </c>
      <c r="D44">
        <v>1</v>
      </c>
      <c r="E44">
        <v>892</v>
      </c>
      <c r="F44" t="s">
        <v>142</v>
      </c>
      <c r="G44" t="s">
        <v>143</v>
      </c>
      <c r="H44">
        <v>746</v>
      </c>
      <c r="I44" t="s">
        <v>170</v>
      </c>
      <c r="J44" t="s">
        <v>171</v>
      </c>
      <c r="K44" t="s">
        <v>49</v>
      </c>
      <c r="L44">
        <v>1</v>
      </c>
      <c r="M44">
        <v>1</v>
      </c>
    </row>
    <row r="45" spans="1:13" x14ac:dyDescent="0.25">
      <c r="A45">
        <v>4</v>
      </c>
      <c r="B45">
        <v>9630175</v>
      </c>
      <c r="C45">
        <v>6007</v>
      </c>
      <c r="D45">
        <v>21</v>
      </c>
      <c r="E45">
        <v>702</v>
      </c>
      <c r="F45" t="s">
        <v>120</v>
      </c>
      <c r="G45" t="s">
        <v>121</v>
      </c>
      <c r="H45">
        <v>702</v>
      </c>
      <c r="I45" t="s">
        <v>120</v>
      </c>
      <c r="J45" t="s">
        <v>121</v>
      </c>
      <c r="K45" t="s">
        <v>483</v>
      </c>
      <c r="L45">
        <v>1</v>
      </c>
      <c r="M45">
        <v>1</v>
      </c>
    </row>
    <row r="46" spans="1:13" x14ac:dyDescent="0.25">
      <c r="A46">
        <v>4</v>
      </c>
      <c r="B46">
        <v>9630226</v>
      </c>
      <c r="C46">
        <v>6007</v>
      </c>
      <c r="D46">
        <v>22</v>
      </c>
      <c r="E46">
        <v>401</v>
      </c>
      <c r="F46" t="s">
        <v>76</v>
      </c>
      <c r="G46" t="s">
        <v>77</v>
      </c>
      <c r="H46">
        <v>401</v>
      </c>
      <c r="I46" t="s">
        <v>76</v>
      </c>
      <c r="J46" t="s">
        <v>77</v>
      </c>
      <c r="K46" t="s">
        <v>484</v>
      </c>
      <c r="L46">
        <v>1</v>
      </c>
      <c r="M46">
        <v>1</v>
      </c>
    </row>
    <row r="47" spans="1:13" x14ac:dyDescent="0.25">
      <c r="A47">
        <v>4</v>
      </c>
      <c r="B47">
        <v>9628204</v>
      </c>
      <c r="C47">
        <v>6007</v>
      </c>
      <c r="D47">
        <v>15</v>
      </c>
      <c r="E47">
        <v>403</v>
      </c>
      <c r="F47" t="s">
        <v>78</v>
      </c>
      <c r="G47" t="s">
        <v>79</v>
      </c>
      <c r="H47">
        <v>403</v>
      </c>
      <c r="I47" t="s">
        <v>78</v>
      </c>
      <c r="J47" t="s">
        <v>79</v>
      </c>
      <c r="K47" t="s">
        <v>485</v>
      </c>
      <c r="L47">
        <v>1</v>
      </c>
      <c r="M47">
        <v>1</v>
      </c>
    </row>
    <row r="48" spans="1:13" x14ac:dyDescent="0.25">
      <c r="A48">
        <v>4</v>
      </c>
      <c r="B48">
        <v>9628354</v>
      </c>
      <c r="C48">
        <v>6007</v>
      </c>
      <c r="D48">
        <v>16</v>
      </c>
      <c r="E48">
        <v>703</v>
      </c>
      <c r="F48" t="s">
        <v>461</v>
      </c>
      <c r="G48" t="s">
        <v>462</v>
      </c>
      <c r="H48">
        <v>703</v>
      </c>
      <c r="I48" t="s">
        <v>461</v>
      </c>
      <c r="J48" t="s">
        <v>462</v>
      </c>
      <c r="K48" t="s">
        <v>486</v>
      </c>
      <c r="L48">
        <v>1</v>
      </c>
      <c r="M48">
        <v>1</v>
      </c>
    </row>
    <row r="49" spans="1:13" x14ac:dyDescent="0.25">
      <c r="A49">
        <v>4</v>
      </c>
      <c r="B49">
        <v>9628551</v>
      </c>
      <c r="C49">
        <v>6007</v>
      </c>
      <c r="D49">
        <v>17</v>
      </c>
      <c r="E49">
        <v>501</v>
      </c>
      <c r="F49" t="s">
        <v>90</v>
      </c>
      <c r="G49" t="s">
        <v>91</v>
      </c>
      <c r="H49">
        <v>501</v>
      </c>
      <c r="I49" t="s">
        <v>90</v>
      </c>
      <c r="J49" t="s">
        <v>91</v>
      </c>
      <c r="K49" t="s">
        <v>487</v>
      </c>
      <c r="L49">
        <v>1</v>
      </c>
      <c r="M49">
        <v>1</v>
      </c>
    </row>
    <row r="50" spans="1:13" x14ac:dyDescent="0.25">
      <c r="A50">
        <v>4</v>
      </c>
      <c r="B50">
        <v>9629074</v>
      </c>
      <c r="C50">
        <v>6007</v>
      </c>
      <c r="D50">
        <v>18</v>
      </c>
      <c r="E50">
        <v>638</v>
      </c>
      <c r="F50" t="s">
        <v>104</v>
      </c>
      <c r="G50" t="s">
        <v>105</v>
      </c>
      <c r="H50">
        <v>638</v>
      </c>
      <c r="I50" t="s">
        <v>104</v>
      </c>
      <c r="J50" t="s">
        <v>105</v>
      </c>
      <c r="K50" t="s">
        <v>488</v>
      </c>
      <c r="L50">
        <v>1</v>
      </c>
      <c r="M50">
        <v>1</v>
      </c>
    </row>
    <row r="51" spans="1:13" x14ac:dyDescent="0.25">
      <c r="A51">
        <v>4</v>
      </c>
      <c r="B51">
        <v>9629309</v>
      </c>
      <c r="C51">
        <v>6007</v>
      </c>
      <c r="D51">
        <v>19</v>
      </c>
      <c r="E51">
        <v>714</v>
      </c>
      <c r="F51" t="s">
        <v>124</v>
      </c>
      <c r="G51" t="s">
        <v>125</v>
      </c>
      <c r="H51">
        <v>714</v>
      </c>
      <c r="I51" t="s">
        <v>124</v>
      </c>
      <c r="J51" t="s">
        <v>125</v>
      </c>
      <c r="K51" t="s">
        <v>489</v>
      </c>
      <c r="L51">
        <v>1</v>
      </c>
      <c r="M51">
        <v>1</v>
      </c>
    </row>
    <row r="52" spans="1:13" x14ac:dyDescent="0.25">
      <c r="A52">
        <v>4</v>
      </c>
      <c r="B52">
        <v>9630124</v>
      </c>
      <c r="C52">
        <v>6007</v>
      </c>
      <c r="D52">
        <v>20</v>
      </c>
      <c r="E52">
        <v>892</v>
      </c>
      <c r="F52" t="s">
        <v>142</v>
      </c>
      <c r="G52" t="s">
        <v>143</v>
      </c>
      <c r="H52">
        <v>746</v>
      </c>
      <c r="I52" t="s">
        <v>170</v>
      </c>
      <c r="J52" t="s">
        <v>171</v>
      </c>
      <c r="K52" t="s">
        <v>490</v>
      </c>
      <c r="L52">
        <v>1</v>
      </c>
      <c r="M52">
        <v>1</v>
      </c>
    </row>
    <row r="53" spans="1:13" x14ac:dyDescent="0.25">
      <c r="A53">
        <v>4</v>
      </c>
      <c r="B53">
        <v>9626666</v>
      </c>
      <c r="C53">
        <v>6007</v>
      </c>
      <c r="D53">
        <v>11</v>
      </c>
      <c r="E53">
        <v>13</v>
      </c>
      <c r="F53" t="s">
        <v>62</v>
      </c>
      <c r="G53" t="s">
        <v>63</v>
      </c>
      <c r="H53">
        <v>13</v>
      </c>
      <c r="I53" t="s">
        <v>62</v>
      </c>
      <c r="J53" t="s">
        <v>63</v>
      </c>
      <c r="K53" t="s">
        <v>491</v>
      </c>
      <c r="L53">
        <v>1</v>
      </c>
      <c r="M53">
        <v>1</v>
      </c>
    </row>
    <row r="54" spans="1:13" x14ac:dyDescent="0.25">
      <c r="A54">
        <v>4</v>
      </c>
      <c r="B54">
        <v>9626844</v>
      </c>
      <c r="C54">
        <v>6007</v>
      </c>
      <c r="D54">
        <v>12</v>
      </c>
      <c r="E54">
        <v>711</v>
      </c>
      <c r="F54" t="s">
        <v>232</v>
      </c>
      <c r="G54" t="s">
        <v>233</v>
      </c>
      <c r="H54">
        <v>711</v>
      </c>
      <c r="I54" t="s">
        <v>232</v>
      </c>
      <c r="J54" t="s">
        <v>233</v>
      </c>
      <c r="K54" t="s">
        <v>492</v>
      </c>
      <c r="L54">
        <v>1</v>
      </c>
      <c r="M54">
        <v>1</v>
      </c>
    </row>
    <row r="55" spans="1:13" x14ac:dyDescent="0.25">
      <c r="A55">
        <v>4</v>
      </c>
      <c r="B55">
        <v>9626848</v>
      </c>
      <c r="C55">
        <v>6007</v>
      </c>
      <c r="D55">
        <v>13</v>
      </c>
      <c r="E55">
        <v>701</v>
      </c>
      <c r="F55" t="s">
        <v>446</v>
      </c>
      <c r="G55" t="s">
        <v>447</v>
      </c>
      <c r="H55">
        <v>701</v>
      </c>
      <c r="I55" t="s">
        <v>446</v>
      </c>
      <c r="J55" t="s">
        <v>447</v>
      </c>
      <c r="K55" t="s">
        <v>493</v>
      </c>
      <c r="L55">
        <v>1</v>
      </c>
      <c r="M55">
        <v>1</v>
      </c>
    </row>
    <row r="56" spans="1:13" x14ac:dyDescent="0.25">
      <c r="A56">
        <v>4</v>
      </c>
      <c r="B56">
        <v>9627652</v>
      </c>
      <c r="C56">
        <v>6007</v>
      </c>
      <c r="D56">
        <v>14</v>
      </c>
      <c r="E56">
        <v>501</v>
      </c>
      <c r="F56" t="s">
        <v>90</v>
      </c>
      <c r="G56" t="s">
        <v>91</v>
      </c>
      <c r="H56">
        <v>501</v>
      </c>
      <c r="I56" t="s">
        <v>90</v>
      </c>
      <c r="J56" t="s">
        <v>91</v>
      </c>
      <c r="K56" t="s">
        <v>494</v>
      </c>
      <c r="L56">
        <v>1</v>
      </c>
      <c r="M56">
        <v>1</v>
      </c>
    </row>
    <row r="57" spans="1:13" x14ac:dyDescent="0.25">
      <c r="A57">
        <v>4</v>
      </c>
      <c r="B57">
        <v>9625693</v>
      </c>
      <c r="C57">
        <v>6007</v>
      </c>
      <c r="D57">
        <v>5</v>
      </c>
      <c r="E57">
        <v>781</v>
      </c>
      <c r="F57" t="s">
        <v>269</v>
      </c>
      <c r="G57" t="s">
        <v>270</v>
      </c>
      <c r="H57">
        <v>781</v>
      </c>
      <c r="I57" t="s">
        <v>269</v>
      </c>
      <c r="J57" t="s">
        <v>270</v>
      </c>
      <c r="K57" t="s">
        <v>495</v>
      </c>
      <c r="L57">
        <v>1</v>
      </c>
      <c r="M57">
        <v>1</v>
      </c>
    </row>
    <row r="58" spans="1:13" x14ac:dyDescent="0.25">
      <c r="A58">
        <v>4</v>
      </c>
      <c r="B58">
        <v>9625737</v>
      </c>
      <c r="C58">
        <v>6007</v>
      </c>
      <c r="D58">
        <v>6</v>
      </c>
      <c r="E58">
        <v>474</v>
      </c>
      <c r="F58" t="s">
        <v>86</v>
      </c>
      <c r="G58" t="s">
        <v>87</v>
      </c>
      <c r="H58">
        <v>474</v>
      </c>
      <c r="I58" t="s">
        <v>86</v>
      </c>
      <c r="J58" t="s">
        <v>87</v>
      </c>
      <c r="K58" t="s">
        <v>496</v>
      </c>
      <c r="L58">
        <v>1</v>
      </c>
      <c r="M58">
        <v>1</v>
      </c>
    </row>
    <row r="59" spans="1:13" x14ac:dyDescent="0.25">
      <c r="A59">
        <v>4</v>
      </c>
      <c r="B59">
        <v>9625742</v>
      </c>
      <c r="C59">
        <v>6007</v>
      </c>
      <c r="D59">
        <v>7</v>
      </c>
      <c r="E59">
        <v>219</v>
      </c>
      <c r="F59" t="s">
        <v>497</v>
      </c>
      <c r="G59" t="s">
        <v>498</v>
      </c>
      <c r="H59">
        <v>219</v>
      </c>
      <c r="I59" t="s">
        <v>497</v>
      </c>
      <c r="J59" t="s">
        <v>498</v>
      </c>
      <c r="K59" t="s">
        <v>499</v>
      </c>
      <c r="L59">
        <v>1</v>
      </c>
      <c r="M59">
        <v>0</v>
      </c>
    </row>
    <row r="60" spans="1:13" x14ac:dyDescent="0.25">
      <c r="A60">
        <v>4</v>
      </c>
      <c r="B60">
        <v>9625760</v>
      </c>
      <c r="C60">
        <v>6007</v>
      </c>
      <c r="D60">
        <v>8</v>
      </c>
      <c r="E60">
        <v>402</v>
      </c>
      <c r="F60" t="s">
        <v>168</v>
      </c>
      <c r="G60" t="s">
        <v>169</v>
      </c>
      <c r="H60">
        <v>402</v>
      </c>
      <c r="I60" t="s">
        <v>168</v>
      </c>
      <c r="J60" t="s">
        <v>169</v>
      </c>
      <c r="K60" t="s">
        <v>500</v>
      </c>
      <c r="L60">
        <v>1</v>
      </c>
      <c r="M60">
        <v>1</v>
      </c>
    </row>
    <row r="61" spans="1:13" x14ac:dyDescent="0.25">
      <c r="A61">
        <v>4</v>
      </c>
      <c r="B61">
        <v>9626135</v>
      </c>
      <c r="C61">
        <v>6007</v>
      </c>
      <c r="D61">
        <v>9</v>
      </c>
      <c r="E61">
        <v>638</v>
      </c>
      <c r="F61" t="s">
        <v>104</v>
      </c>
      <c r="G61" t="s">
        <v>105</v>
      </c>
      <c r="H61">
        <v>638</v>
      </c>
      <c r="I61" t="s">
        <v>104</v>
      </c>
      <c r="J61" t="s">
        <v>105</v>
      </c>
      <c r="K61" t="s">
        <v>501</v>
      </c>
      <c r="L61">
        <v>1</v>
      </c>
      <c r="M61">
        <v>1</v>
      </c>
    </row>
    <row r="62" spans="1:13" x14ac:dyDescent="0.25">
      <c r="A62">
        <v>4</v>
      </c>
      <c r="B62">
        <v>9626544</v>
      </c>
      <c r="C62">
        <v>6007</v>
      </c>
      <c r="D62">
        <v>10</v>
      </c>
      <c r="E62">
        <v>851</v>
      </c>
      <c r="F62" t="s">
        <v>201</v>
      </c>
      <c r="G62" t="s">
        <v>202</v>
      </c>
      <c r="H62">
        <v>851</v>
      </c>
      <c r="I62" t="s">
        <v>201</v>
      </c>
      <c r="J62" t="s">
        <v>202</v>
      </c>
      <c r="K62" t="s">
        <v>502</v>
      </c>
      <c r="L62">
        <v>1</v>
      </c>
      <c r="M62">
        <v>1</v>
      </c>
    </row>
    <row r="63" spans="1:13" x14ac:dyDescent="0.25">
      <c r="A63">
        <v>4</v>
      </c>
      <c r="B63">
        <v>9624571</v>
      </c>
      <c r="C63">
        <v>6007</v>
      </c>
      <c r="D63">
        <v>2</v>
      </c>
      <c r="E63">
        <v>703</v>
      </c>
      <c r="F63" t="s">
        <v>461</v>
      </c>
      <c r="G63" t="s">
        <v>462</v>
      </c>
      <c r="H63">
        <v>703</v>
      </c>
      <c r="I63" t="s">
        <v>461</v>
      </c>
      <c r="J63" t="s">
        <v>462</v>
      </c>
      <c r="K63" t="s">
        <v>503</v>
      </c>
      <c r="L63">
        <v>1</v>
      </c>
      <c r="M63">
        <v>1</v>
      </c>
    </row>
    <row r="64" spans="1:13" x14ac:dyDescent="0.25">
      <c r="A64">
        <v>4</v>
      </c>
      <c r="B64">
        <v>9624871</v>
      </c>
      <c r="C64">
        <v>6007</v>
      </c>
      <c r="D64">
        <v>3</v>
      </c>
      <c r="E64">
        <v>892</v>
      </c>
      <c r="F64" t="s">
        <v>142</v>
      </c>
      <c r="G64" t="s">
        <v>143</v>
      </c>
      <c r="H64">
        <v>746</v>
      </c>
      <c r="I64" t="s">
        <v>170</v>
      </c>
      <c r="J64" t="s">
        <v>171</v>
      </c>
      <c r="K64" t="s">
        <v>504</v>
      </c>
      <c r="L64">
        <v>1</v>
      </c>
      <c r="M64">
        <v>1</v>
      </c>
    </row>
    <row r="65" spans="1:13" x14ac:dyDescent="0.25">
      <c r="A65">
        <v>4</v>
      </c>
      <c r="B65">
        <v>9625415</v>
      </c>
      <c r="C65">
        <v>6007</v>
      </c>
      <c r="D65">
        <v>4</v>
      </c>
      <c r="E65">
        <v>702</v>
      </c>
      <c r="F65" t="s">
        <v>120</v>
      </c>
      <c r="G65" t="s">
        <v>121</v>
      </c>
      <c r="H65">
        <v>702</v>
      </c>
      <c r="I65" t="s">
        <v>120</v>
      </c>
      <c r="J65" t="s">
        <v>121</v>
      </c>
      <c r="K65" t="s">
        <v>505</v>
      </c>
      <c r="L65">
        <v>1</v>
      </c>
      <c r="M65">
        <v>1</v>
      </c>
    </row>
    <row r="66" spans="1:13" x14ac:dyDescent="0.25">
      <c r="A66">
        <v>4</v>
      </c>
      <c r="B66">
        <v>9624516</v>
      </c>
      <c r="C66">
        <v>6007</v>
      </c>
      <c r="D66">
        <v>1</v>
      </c>
      <c r="E66">
        <v>686</v>
      </c>
      <c r="F66" t="s">
        <v>372</v>
      </c>
      <c r="G66" t="s">
        <v>373</v>
      </c>
      <c r="H66">
        <v>686</v>
      </c>
      <c r="I66" t="s">
        <v>372</v>
      </c>
      <c r="J66" t="s">
        <v>373</v>
      </c>
      <c r="K66" t="s">
        <v>506</v>
      </c>
      <c r="L66">
        <v>2</v>
      </c>
      <c r="M66">
        <v>2</v>
      </c>
    </row>
    <row r="67" spans="1:13" x14ac:dyDescent="0.25">
      <c r="A67">
        <v>6</v>
      </c>
      <c r="B67">
        <v>944883</v>
      </c>
      <c r="C67">
        <v>6008</v>
      </c>
      <c r="D67">
        <v>8</v>
      </c>
      <c r="E67">
        <v>13</v>
      </c>
      <c r="F67" t="s">
        <v>62</v>
      </c>
      <c r="G67" t="s">
        <v>63</v>
      </c>
      <c r="H67">
        <v>13</v>
      </c>
      <c r="I67" t="s">
        <v>62</v>
      </c>
      <c r="J67" t="s">
        <v>63</v>
      </c>
      <c r="K67" t="s">
        <v>507</v>
      </c>
      <c r="L67">
        <v>1</v>
      </c>
      <c r="M67">
        <v>1</v>
      </c>
    </row>
    <row r="68" spans="1:13" x14ac:dyDescent="0.25">
      <c r="A68">
        <v>6</v>
      </c>
      <c r="B68">
        <v>944887</v>
      </c>
      <c r="C68">
        <v>6008</v>
      </c>
      <c r="D68">
        <v>9</v>
      </c>
      <c r="E68">
        <v>893</v>
      </c>
      <c r="F68" t="s">
        <v>144</v>
      </c>
      <c r="G68" t="s">
        <v>145</v>
      </c>
      <c r="H68">
        <v>893</v>
      </c>
      <c r="I68" t="s">
        <v>144</v>
      </c>
      <c r="J68" t="s">
        <v>145</v>
      </c>
      <c r="K68" t="s">
        <v>508</v>
      </c>
      <c r="L68">
        <v>1</v>
      </c>
      <c r="M68">
        <v>1</v>
      </c>
    </row>
    <row r="69" spans="1:13" x14ac:dyDescent="0.25">
      <c r="A69">
        <v>6</v>
      </c>
      <c r="B69">
        <v>943928</v>
      </c>
      <c r="C69">
        <v>6008</v>
      </c>
      <c r="D69">
        <v>5</v>
      </c>
      <c r="E69">
        <v>13</v>
      </c>
      <c r="F69" t="s">
        <v>62</v>
      </c>
      <c r="G69" t="s">
        <v>63</v>
      </c>
      <c r="H69">
        <v>13</v>
      </c>
      <c r="I69" t="s">
        <v>62</v>
      </c>
      <c r="J69" t="s">
        <v>63</v>
      </c>
      <c r="K69" t="s">
        <v>509</v>
      </c>
      <c r="L69">
        <v>1</v>
      </c>
      <c r="M69">
        <v>1</v>
      </c>
    </row>
    <row r="70" spans="1:13" x14ac:dyDescent="0.25">
      <c r="A70">
        <v>6</v>
      </c>
      <c r="B70">
        <v>944181</v>
      </c>
      <c r="C70">
        <v>6008</v>
      </c>
      <c r="D70">
        <v>6</v>
      </c>
      <c r="E70">
        <v>842</v>
      </c>
      <c r="F70" t="s">
        <v>366</v>
      </c>
      <c r="G70" t="s">
        <v>367</v>
      </c>
      <c r="H70">
        <v>842</v>
      </c>
      <c r="I70" t="s">
        <v>366</v>
      </c>
      <c r="J70" t="s">
        <v>367</v>
      </c>
      <c r="K70" t="s">
        <v>510</v>
      </c>
      <c r="L70">
        <v>2</v>
      </c>
      <c r="M70">
        <v>2</v>
      </c>
    </row>
    <row r="71" spans="1:13" x14ac:dyDescent="0.25">
      <c r="A71">
        <v>6</v>
      </c>
      <c r="B71">
        <v>944649</v>
      </c>
      <c r="C71">
        <v>6008</v>
      </c>
      <c r="D71">
        <v>7</v>
      </c>
      <c r="E71">
        <v>892</v>
      </c>
      <c r="F71" t="s">
        <v>142</v>
      </c>
      <c r="G71" t="s">
        <v>143</v>
      </c>
      <c r="H71">
        <v>892</v>
      </c>
      <c r="I71" t="s">
        <v>142</v>
      </c>
      <c r="J71" t="s">
        <v>143</v>
      </c>
      <c r="K71" t="s">
        <v>511</v>
      </c>
      <c r="L71">
        <v>1</v>
      </c>
      <c r="M71">
        <v>1</v>
      </c>
    </row>
    <row r="72" spans="1:13" x14ac:dyDescent="0.25">
      <c r="A72">
        <v>6</v>
      </c>
      <c r="B72">
        <v>942615</v>
      </c>
      <c r="C72">
        <v>6008</v>
      </c>
      <c r="D72">
        <v>10</v>
      </c>
      <c r="E72">
        <v>325</v>
      </c>
      <c r="F72" t="s">
        <v>227</v>
      </c>
      <c r="G72" t="s">
        <v>228</v>
      </c>
      <c r="H72">
        <v>509</v>
      </c>
      <c r="I72" t="s">
        <v>289</v>
      </c>
      <c r="J72" t="s">
        <v>290</v>
      </c>
      <c r="K72" t="s">
        <v>512</v>
      </c>
      <c r="L72">
        <v>1</v>
      </c>
      <c r="M72">
        <v>0</v>
      </c>
    </row>
    <row r="73" spans="1:13" x14ac:dyDescent="0.25">
      <c r="A73">
        <v>6</v>
      </c>
      <c r="B73">
        <v>942674</v>
      </c>
      <c r="C73">
        <v>6008</v>
      </c>
      <c r="D73">
        <v>2</v>
      </c>
      <c r="E73">
        <v>842</v>
      </c>
      <c r="F73" t="s">
        <v>366</v>
      </c>
      <c r="G73" t="s">
        <v>367</v>
      </c>
      <c r="H73">
        <v>842</v>
      </c>
      <c r="I73" t="s">
        <v>366</v>
      </c>
      <c r="J73" t="s">
        <v>367</v>
      </c>
      <c r="K73" t="s">
        <v>513</v>
      </c>
      <c r="L73">
        <v>1</v>
      </c>
      <c r="M73">
        <v>1</v>
      </c>
    </row>
    <row r="74" spans="1:13" x14ac:dyDescent="0.25">
      <c r="A74">
        <v>6</v>
      </c>
      <c r="B74">
        <v>943115</v>
      </c>
      <c r="C74">
        <v>6008</v>
      </c>
      <c r="D74">
        <v>3</v>
      </c>
      <c r="E74">
        <v>895</v>
      </c>
      <c r="F74" t="s">
        <v>387</v>
      </c>
      <c r="G74" t="s">
        <v>388</v>
      </c>
      <c r="H74">
        <v>895</v>
      </c>
      <c r="I74" t="s">
        <v>387</v>
      </c>
      <c r="J74" t="s">
        <v>388</v>
      </c>
      <c r="K74" t="s">
        <v>514</v>
      </c>
      <c r="L74">
        <v>1</v>
      </c>
      <c r="M74">
        <v>1</v>
      </c>
    </row>
    <row r="75" spans="1:13" x14ac:dyDescent="0.25">
      <c r="A75">
        <v>6</v>
      </c>
      <c r="B75">
        <v>943150</v>
      </c>
      <c r="C75">
        <v>6008</v>
      </c>
      <c r="D75">
        <v>4</v>
      </c>
      <c r="E75">
        <v>141</v>
      </c>
      <c r="F75" t="s">
        <v>64</v>
      </c>
      <c r="G75" t="s">
        <v>65</v>
      </c>
      <c r="H75">
        <v>141</v>
      </c>
      <c r="I75" t="s">
        <v>64</v>
      </c>
      <c r="J75" t="s">
        <v>65</v>
      </c>
      <c r="K75" t="s">
        <v>515</v>
      </c>
      <c r="L75">
        <v>1</v>
      </c>
      <c r="M75">
        <v>1</v>
      </c>
    </row>
    <row r="76" spans="1:13" x14ac:dyDescent="0.25">
      <c r="A76">
        <v>6</v>
      </c>
      <c r="B76">
        <v>942065</v>
      </c>
      <c r="C76">
        <v>6008</v>
      </c>
      <c r="D76">
        <v>1</v>
      </c>
      <c r="E76">
        <v>893</v>
      </c>
      <c r="F76" t="s">
        <v>144</v>
      </c>
      <c r="G76" t="s">
        <v>145</v>
      </c>
      <c r="H76">
        <v>893</v>
      </c>
      <c r="I76" t="s">
        <v>144</v>
      </c>
      <c r="J76" t="s">
        <v>145</v>
      </c>
      <c r="K76" t="s">
        <v>516</v>
      </c>
      <c r="L76">
        <v>1</v>
      </c>
      <c r="M76">
        <v>1</v>
      </c>
    </row>
    <row r="77" spans="1:13" x14ac:dyDescent="0.25">
      <c r="A77">
        <v>9</v>
      </c>
      <c r="B77">
        <v>9190696</v>
      </c>
      <c r="C77">
        <v>6009</v>
      </c>
      <c r="D77">
        <v>1</v>
      </c>
      <c r="E77">
        <v>905</v>
      </c>
      <c r="F77" t="s">
        <v>146</v>
      </c>
      <c r="G77" t="s">
        <v>147</v>
      </c>
      <c r="H77">
        <v>905</v>
      </c>
      <c r="I77" t="s">
        <v>146</v>
      </c>
      <c r="J77" t="s">
        <v>147</v>
      </c>
      <c r="K77" t="s">
        <v>517</v>
      </c>
      <c r="L77">
        <v>1</v>
      </c>
      <c r="M77">
        <v>1</v>
      </c>
    </row>
    <row r="78" spans="1:13" x14ac:dyDescent="0.25">
      <c r="A78">
        <v>9</v>
      </c>
      <c r="B78">
        <v>9190054</v>
      </c>
      <c r="C78">
        <v>6010</v>
      </c>
      <c r="D78">
        <v>12</v>
      </c>
      <c r="E78">
        <v>347</v>
      </c>
      <c r="F78" t="s">
        <v>70</v>
      </c>
      <c r="G78" t="s">
        <v>71</v>
      </c>
      <c r="H78">
        <v>347</v>
      </c>
      <c r="I78" t="s">
        <v>70</v>
      </c>
      <c r="J78" t="s">
        <v>71</v>
      </c>
      <c r="K78" t="s">
        <v>518</v>
      </c>
      <c r="L78">
        <v>1</v>
      </c>
      <c r="M78">
        <v>1</v>
      </c>
    </row>
    <row r="79" spans="1:13" x14ac:dyDescent="0.25">
      <c r="A79">
        <v>9</v>
      </c>
      <c r="B79">
        <v>9190115</v>
      </c>
      <c r="C79">
        <v>6010</v>
      </c>
      <c r="D79">
        <v>13</v>
      </c>
      <c r="E79">
        <v>347</v>
      </c>
      <c r="F79" t="s">
        <v>70</v>
      </c>
      <c r="G79" t="s">
        <v>71</v>
      </c>
      <c r="H79">
        <v>347</v>
      </c>
      <c r="I79" t="s">
        <v>70</v>
      </c>
      <c r="J79" t="s">
        <v>71</v>
      </c>
      <c r="K79" t="s">
        <v>519</v>
      </c>
      <c r="L79">
        <v>1</v>
      </c>
      <c r="M79">
        <v>1</v>
      </c>
    </row>
    <row r="80" spans="1:13" x14ac:dyDescent="0.25">
      <c r="A80">
        <v>9</v>
      </c>
      <c r="B80">
        <v>9190150</v>
      </c>
      <c r="C80">
        <v>6010</v>
      </c>
      <c r="D80">
        <v>14</v>
      </c>
      <c r="E80">
        <v>905</v>
      </c>
      <c r="F80" t="s">
        <v>146</v>
      </c>
      <c r="G80" t="s">
        <v>147</v>
      </c>
      <c r="H80">
        <v>905</v>
      </c>
      <c r="I80" t="s">
        <v>146</v>
      </c>
      <c r="J80" t="s">
        <v>147</v>
      </c>
      <c r="K80" t="s">
        <v>520</v>
      </c>
      <c r="L80">
        <v>1</v>
      </c>
      <c r="M80">
        <v>1</v>
      </c>
    </row>
    <row r="81" spans="1:13" x14ac:dyDescent="0.25">
      <c r="A81">
        <v>2</v>
      </c>
      <c r="B81">
        <v>8665011</v>
      </c>
      <c r="C81">
        <v>6061</v>
      </c>
      <c r="D81">
        <v>3</v>
      </c>
      <c r="E81">
        <v>498</v>
      </c>
      <c r="F81" t="s">
        <v>521</v>
      </c>
      <c r="G81" t="s">
        <v>522</v>
      </c>
      <c r="H81">
        <v>498</v>
      </c>
      <c r="I81" t="s">
        <v>521</v>
      </c>
      <c r="J81" t="s">
        <v>522</v>
      </c>
      <c r="K81" t="s">
        <v>523</v>
      </c>
      <c r="L81">
        <v>1</v>
      </c>
      <c r="M81">
        <v>1</v>
      </c>
    </row>
    <row r="82" spans="1:13" x14ac:dyDescent="0.25">
      <c r="A82">
        <v>2</v>
      </c>
      <c r="B82">
        <v>8663291</v>
      </c>
      <c r="C82">
        <v>6061</v>
      </c>
      <c r="D82">
        <v>1</v>
      </c>
      <c r="E82">
        <v>403</v>
      </c>
      <c r="F82" t="s">
        <v>78</v>
      </c>
      <c r="G82" t="s">
        <v>79</v>
      </c>
      <c r="H82">
        <v>403</v>
      </c>
      <c r="I82" t="s">
        <v>78</v>
      </c>
      <c r="J82" t="s">
        <v>79</v>
      </c>
      <c r="K82" t="s">
        <v>524</v>
      </c>
      <c r="L82">
        <v>1</v>
      </c>
      <c r="M82">
        <v>1</v>
      </c>
    </row>
    <row r="83" spans="1:13" x14ac:dyDescent="0.25">
      <c r="A83">
        <v>29</v>
      </c>
      <c r="B83">
        <v>8663422</v>
      </c>
      <c r="C83">
        <v>6062</v>
      </c>
      <c r="D83">
        <v>1</v>
      </c>
      <c r="E83">
        <v>849</v>
      </c>
      <c r="F83" t="s">
        <v>138</v>
      </c>
      <c r="G83" t="s">
        <v>139</v>
      </c>
      <c r="H83">
        <v>849</v>
      </c>
      <c r="I83" t="s">
        <v>138</v>
      </c>
      <c r="J83" t="s">
        <v>139</v>
      </c>
      <c r="K83" t="s">
        <v>525</v>
      </c>
      <c r="L83">
        <v>1</v>
      </c>
      <c r="M83">
        <v>1</v>
      </c>
    </row>
    <row r="84" spans="1:13" x14ac:dyDescent="0.25">
      <c r="A84">
        <v>29</v>
      </c>
      <c r="B84">
        <v>8663620</v>
      </c>
      <c r="C84">
        <v>6062</v>
      </c>
      <c r="D84">
        <v>2</v>
      </c>
      <c r="E84">
        <v>484</v>
      </c>
      <c r="F84" t="s">
        <v>526</v>
      </c>
      <c r="G84" t="s">
        <v>527</v>
      </c>
      <c r="H84">
        <v>484</v>
      </c>
      <c r="I84" t="s">
        <v>526</v>
      </c>
      <c r="J84" t="s">
        <v>527</v>
      </c>
      <c r="K84" t="s">
        <v>528</v>
      </c>
      <c r="L84">
        <v>1</v>
      </c>
      <c r="M84">
        <v>0</v>
      </c>
    </row>
    <row r="85" spans="1:13" x14ac:dyDescent="0.25">
      <c r="A85">
        <v>29</v>
      </c>
      <c r="B85">
        <v>8664524</v>
      </c>
      <c r="C85">
        <v>6063</v>
      </c>
      <c r="D85">
        <v>1</v>
      </c>
      <c r="E85">
        <v>683</v>
      </c>
      <c r="F85" t="s">
        <v>255</v>
      </c>
      <c r="G85" t="s">
        <v>256</v>
      </c>
      <c r="H85">
        <v>683</v>
      </c>
      <c r="I85" t="s">
        <v>255</v>
      </c>
      <c r="J85" t="s">
        <v>256</v>
      </c>
      <c r="K85" t="s">
        <v>152</v>
      </c>
      <c r="L85">
        <v>210</v>
      </c>
      <c r="M85">
        <v>0</v>
      </c>
    </row>
    <row r="86" spans="1:13" x14ac:dyDescent="0.25">
      <c r="A86">
        <v>29</v>
      </c>
      <c r="B86">
        <v>8664524</v>
      </c>
      <c r="C86">
        <v>6063</v>
      </c>
      <c r="D86">
        <v>2</v>
      </c>
      <c r="E86">
        <v>797</v>
      </c>
      <c r="F86" t="s">
        <v>529</v>
      </c>
      <c r="G86" t="s">
        <v>530</v>
      </c>
      <c r="H86">
        <v>797</v>
      </c>
      <c r="I86" t="s">
        <v>529</v>
      </c>
      <c r="J86" t="s">
        <v>530</v>
      </c>
      <c r="K86" t="s">
        <v>154</v>
      </c>
      <c r="L86">
        <v>105</v>
      </c>
      <c r="M86">
        <v>105</v>
      </c>
    </row>
    <row r="87" spans="1:13" x14ac:dyDescent="0.25">
      <c r="A87">
        <v>29</v>
      </c>
      <c r="B87">
        <v>8664524</v>
      </c>
      <c r="C87">
        <v>6063</v>
      </c>
      <c r="D87">
        <v>3</v>
      </c>
      <c r="E87">
        <v>967</v>
      </c>
      <c r="F87" t="s">
        <v>249</v>
      </c>
      <c r="G87" t="s">
        <v>250</v>
      </c>
      <c r="H87">
        <v>967</v>
      </c>
      <c r="I87" t="s">
        <v>249</v>
      </c>
      <c r="J87" t="s">
        <v>250</v>
      </c>
      <c r="K87" t="s">
        <v>153</v>
      </c>
      <c r="L87">
        <v>24</v>
      </c>
      <c r="M87">
        <v>0</v>
      </c>
    </row>
    <row r="88" spans="1:13" x14ac:dyDescent="0.25">
      <c r="A88">
        <v>10</v>
      </c>
      <c r="B88">
        <v>31</v>
      </c>
      <c r="C88">
        <v>6064</v>
      </c>
      <c r="D88">
        <v>1</v>
      </c>
      <c r="E88">
        <v>409</v>
      </c>
      <c r="F88" t="s">
        <v>84</v>
      </c>
      <c r="G88" t="s">
        <v>85</v>
      </c>
      <c r="H88">
        <v>409</v>
      </c>
      <c r="I88" t="s">
        <v>84</v>
      </c>
      <c r="J88" t="s">
        <v>85</v>
      </c>
      <c r="K88" t="s">
        <v>49</v>
      </c>
      <c r="L88">
        <v>5</v>
      </c>
      <c r="M88">
        <v>5</v>
      </c>
    </row>
    <row r="89" spans="1:13" x14ac:dyDescent="0.25">
      <c r="A89">
        <v>10</v>
      </c>
      <c r="B89">
        <v>31</v>
      </c>
      <c r="C89">
        <v>6064</v>
      </c>
      <c r="D89">
        <v>2</v>
      </c>
      <c r="E89">
        <v>711</v>
      </c>
      <c r="F89" t="s">
        <v>232</v>
      </c>
      <c r="G89" t="s">
        <v>233</v>
      </c>
      <c r="H89">
        <v>711</v>
      </c>
      <c r="I89" t="s">
        <v>232</v>
      </c>
      <c r="J89" t="s">
        <v>233</v>
      </c>
      <c r="K89" t="s">
        <v>49</v>
      </c>
      <c r="L89">
        <v>5</v>
      </c>
      <c r="M89">
        <v>5</v>
      </c>
    </row>
    <row r="90" spans="1:13" x14ac:dyDescent="0.25">
      <c r="A90">
        <v>10</v>
      </c>
      <c r="B90">
        <v>32</v>
      </c>
      <c r="C90">
        <v>6064</v>
      </c>
      <c r="D90">
        <v>3</v>
      </c>
      <c r="E90">
        <v>409</v>
      </c>
      <c r="F90" t="s">
        <v>84</v>
      </c>
      <c r="G90" t="s">
        <v>85</v>
      </c>
      <c r="H90">
        <v>409</v>
      </c>
      <c r="I90" t="s">
        <v>84</v>
      </c>
      <c r="J90" t="s">
        <v>85</v>
      </c>
      <c r="K90" t="s">
        <v>49</v>
      </c>
      <c r="L90">
        <v>15</v>
      </c>
      <c r="M90">
        <v>15</v>
      </c>
    </row>
    <row r="91" spans="1:13" x14ac:dyDescent="0.25">
      <c r="A91">
        <v>10</v>
      </c>
      <c r="B91">
        <v>32</v>
      </c>
      <c r="C91">
        <v>6064</v>
      </c>
      <c r="D91">
        <v>4</v>
      </c>
      <c r="E91">
        <v>474</v>
      </c>
      <c r="F91" t="s">
        <v>86</v>
      </c>
      <c r="G91" t="s">
        <v>87</v>
      </c>
      <c r="H91">
        <v>474</v>
      </c>
      <c r="I91" t="s">
        <v>86</v>
      </c>
      <c r="J91" t="s">
        <v>87</v>
      </c>
      <c r="K91" t="s">
        <v>49</v>
      </c>
      <c r="L91">
        <v>8</v>
      </c>
      <c r="M91">
        <v>8</v>
      </c>
    </row>
    <row r="92" spans="1:13" x14ac:dyDescent="0.25">
      <c r="A92">
        <v>10</v>
      </c>
      <c r="B92">
        <v>32</v>
      </c>
      <c r="C92">
        <v>6064</v>
      </c>
      <c r="D92">
        <v>5</v>
      </c>
      <c r="E92">
        <v>638</v>
      </c>
      <c r="F92" t="s">
        <v>104</v>
      </c>
      <c r="G92" t="s">
        <v>105</v>
      </c>
      <c r="H92">
        <v>638</v>
      </c>
      <c r="I92" t="s">
        <v>104</v>
      </c>
      <c r="J92" t="s">
        <v>105</v>
      </c>
      <c r="K92" t="s">
        <v>49</v>
      </c>
      <c r="L92">
        <v>8</v>
      </c>
      <c r="M92">
        <v>8</v>
      </c>
    </row>
    <row r="93" spans="1:13" x14ac:dyDescent="0.25">
      <c r="A93">
        <v>10</v>
      </c>
      <c r="B93">
        <v>32</v>
      </c>
      <c r="C93">
        <v>6064</v>
      </c>
      <c r="D93">
        <v>6</v>
      </c>
      <c r="E93">
        <v>639</v>
      </c>
      <c r="F93" t="s">
        <v>106</v>
      </c>
      <c r="G93" t="s">
        <v>107</v>
      </c>
      <c r="H93">
        <v>639</v>
      </c>
      <c r="I93" t="s">
        <v>106</v>
      </c>
      <c r="J93" t="s">
        <v>107</v>
      </c>
      <c r="K93" t="s">
        <v>49</v>
      </c>
      <c r="L93">
        <v>8</v>
      </c>
      <c r="M93">
        <v>8</v>
      </c>
    </row>
    <row r="94" spans="1:13" x14ac:dyDescent="0.25">
      <c r="A94">
        <v>10</v>
      </c>
      <c r="B94">
        <v>32</v>
      </c>
      <c r="C94">
        <v>6064</v>
      </c>
      <c r="D94">
        <v>7</v>
      </c>
      <c r="E94">
        <v>674</v>
      </c>
      <c r="F94" t="s">
        <v>112</v>
      </c>
      <c r="G94" t="s">
        <v>113</v>
      </c>
      <c r="H94">
        <v>674</v>
      </c>
      <c r="I94" t="s">
        <v>112</v>
      </c>
      <c r="J94" t="s">
        <v>113</v>
      </c>
      <c r="K94" t="s">
        <v>49</v>
      </c>
      <c r="L94">
        <v>8</v>
      </c>
      <c r="M94">
        <v>8</v>
      </c>
    </row>
    <row r="95" spans="1:13" x14ac:dyDescent="0.25">
      <c r="A95">
        <v>10</v>
      </c>
      <c r="B95">
        <v>32</v>
      </c>
      <c r="C95">
        <v>6064</v>
      </c>
      <c r="D95">
        <v>8</v>
      </c>
      <c r="E95">
        <v>711</v>
      </c>
      <c r="F95" t="s">
        <v>232</v>
      </c>
      <c r="G95" t="s">
        <v>233</v>
      </c>
      <c r="H95">
        <v>711</v>
      </c>
      <c r="I95" t="s">
        <v>232</v>
      </c>
      <c r="J95" t="s">
        <v>233</v>
      </c>
      <c r="K95" t="s">
        <v>49</v>
      </c>
      <c r="L95">
        <v>15</v>
      </c>
      <c r="M95">
        <v>15</v>
      </c>
    </row>
    <row r="96" spans="1:13" x14ac:dyDescent="0.25">
      <c r="A96">
        <v>10</v>
      </c>
      <c r="B96">
        <v>32</v>
      </c>
      <c r="C96">
        <v>6064</v>
      </c>
      <c r="D96">
        <v>9</v>
      </c>
      <c r="E96">
        <v>745</v>
      </c>
      <c r="F96" t="s">
        <v>199</v>
      </c>
      <c r="G96" t="s">
        <v>200</v>
      </c>
      <c r="H96">
        <v>745</v>
      </c>
      <c r="I96" t="s">
        <v>199</v>
      </c>
      <c r="J96" t="s">
        <v>200</v>
      </c>
      <c r="K96" t="s">
        <v>49</v>
      </c>
      <c r="L96">
        <v>15</v>
      </c>
      <c r="M96">
        <v>15</v>
      </c>
    </row>
    <row r="97" spans="1:13" x14ac:dyDescent="0.25">
      <c r="A97">
        <v>10</v>
      </c>
      <c r="B97">
        <v>32</v>
      </c>
      <c r="C97">
        <v>6064</v>
      </c>
      <c r="D97">
        <v>10</v>
      </c>
      <c r="E97">
        <v>795</v>
      </c>
      <c r="F97" t="s">
        <v>531</v>
      </c>
      <c r="G97" t="s">
        <v>532</v>
      </c>
      <c r="H97">
        <v>795</v>
      </c>
      <c r="I97" t="s">
        <v>531</v>
      </c>
      <c r="J97" t="s">
        <v>532</v>
      </c>
      <c r="K97" t="s">
        <v>49</v>
      </c>
      <c r="L97">
        <v>5</v>
      </c>
      <c r="M97">
        <v>5</v>
      </c>
    </row>
    <row r="98" spans="1:13" x14ac:dyDescent="0.25">
      <c r="A98">
        <v>10</v>
      </c>
      <c r="B98">
        <v>32</v>
      </c>
      <c r="C98">
        <v>6064</v>
      </c>
      <c r="D98">
        <v>11</v>
      </c>
      <c r="E98">
        <v>877</v>
      </c>
      <c r="F98" t="s">
        <v>140</v>
      </c>
      <c r="G98" t="s">
        <v>141</v>
      </c>
      <c r="H98">
        <v>877</v>
      </c>
      <c r="I98" t="s">
        <v>140</v>
      </c>
      <c r="J98" t="s">
        <v>141</v>
      </c>
      <c r="K98" t="s">
        <v>49</v>
      </c>
      <c r="L98">
        <v>8</v>
      </c>
      <c r="M98">
        <v>8</v>
      </c>
    </row>
    <row r="99" spans="1:13" x14ac:dyDescent="0.25">
      <c r="A99">
        <v>10</v>
      </c>
      <c r="B99">
        <v>32</v>
      </c>
      <c r="C99">
        <v>6064</v>
      </c>
      <c r="D99">
        <v>12</v>
      </c>
      <c r="E99">
        <v>970</v>
      </c>
      <c r="F99" t="s">
        <v>436</v>
      </c>
      <c r="G99" t="s">
        <v>437</v>
      </c>
      <c r="H99">
        <v>970</v>
      </c>
      <c r="I99" t="s">
        <v>436</v>
      </c>
      <c r="J99" t="s">
        <v>437</v>
      </c>
      <c r="K99" t="s">
        <v>49</v>
      </c>
      <c r="L99">
        <v>10</v>
      </c>
      <c r="M99">
        <v>10</v>
      </c>
    </row>
    <row r="100" spans="1:13" x14ac:dyDescent="0.25">
      <c r="A100">
        <v>24</v>
      </c>
      <c r="B100">
        <v>5098961</v>
      </c>
      <c r="C100">
        <v>6065</v>
      </c>
      <c r="D100">
        <v>1</v>
      </c>
      <c r="E100">
        <v>382</v>
      </c>
      <c r="F100" t="s">
        <v>533</v>
      </c>
      <c r="G100" t="s">
        <v>534</v>
      </c>
      <c r="H100">
        <v>382</v>
      </c>
      <c r="I100" t="s">
        <v>533</v>
      </c>
      <c r="J100" t="s">
        <v>534</v>
      </c>
      <c r="K100" t="s">
        <v>535</v>
      </c>
      <c r="L100">
        <v>1</v>
      </c>
      <c r="M100">
        <v>1</v>
      </c>
    </row>
    <row r="101" spans="1:13" x14ac:dyDescent="0.25">
      <c r="A101">
        <v>5</v>
      </c>
      <c r="B101">
        <v>6504021128</v>
      </c>
      <c r="C101">
        <v>6066</v>
      </c>
      <c r="D101">
        <v>1</v>
      </c>
      <c r="E101">
        <v>101</v>
      </c>
      <c r="F101" t="s">
        <v>279</v>
      </c>
      <c r="G101" t="s">
        <v>280</v>
      </c>
      <c r="H101">
        <v>101</v>
      </c>
      <c r="I101" t="s">
        <v>279</v>
      </c>
      <c r="J101" t="s">
        <v>280</v>
      </c>
      <c r="K101" t="s">
        <v>49</v>
      </c>
      <c r="L101">
        <v>1</v>
      </c>
      <c r="M101">
        <v>1</v>
      </c>
    </row>
    <row r="102" spans="1:13" x14ac:dyDescent="0.25">
      <c r="A102">
        <v>5</v>
      </c>
      <c r="B102">
        <v>6504021128</v>
      </c>
      <c r="C102">
        <v>6066</v>
      </c>
      <c r="D102">
        <v>2</v>
      </c>
      <c r="E102">
        <v>101</v>
      </c>
      <c r="F102" t="s">
        <v>279</v>
      </c>
      <c r="G102" t="s">
        <v>280</v>
      </c>
      <c r="H102">
        <v>101</v>
      </c>
      <c r="I102" t="s">
        <v>279</v>
      </c>
      <c r="J102" t="s">
        <v>280</v>
      </c>
      <c r="K102" t="s">
        <v>49</v>
      </c>
      <c r="L102">
        <v>2</v>
      </c>
      <c r="M102">
        <v>2</v>
      </c>
    </row>
    <row r="103" spans="1:13" x14ac:dyDescent="0.25">
      <c r="A103">
        <v>5</v>
      </c>
      <c r="B103">
        <v>6504021128</v>
      </c>
      <c r="C103">
        <v>6066</v>
      </c>
      <c r="D103">
        <v>3</v>
      </c>
      <c r="E103">
        <v>101</v>
      </c>
      <c r="F103" t="s">
        <v>279</v>
      </c>
      <c r="G103" t="s">
        <v>280</v>
      </c>
      <c r="H103">
        <v>101</v>
      </c>
      <c r="I103" t="s">
        <v>279</v>
      </c>
      <c r="J103" t="s">
        <v>280</v>
      </c>
      <c r="K103" t="s">
        <v>49</v>
      </c>
      <c r="L103">
        <v>2</v>
      </c>
      <c r="M103">
        <v>2</v>
      </c>
    </row>
    <row r="104" spans="1:13" x14ac:dyDescent="0.25">
      <c r="A104">
        <v>5</v>
      </c>
      <c r="B104">
        <v>6504021128</v>
      </c>
      <c r="C104">
        <v>6066</v>
      </c>
      <c r="D104">
        <v>4</v>
      </c>
      <c r="E104">
        <v>101</v>
      </c>
      <c r="F104" t="s">
        <v>279</v>
      </c>
      <c r="G104" t="s">
        <v>280</v>
      </c>
      <c r="H104">
        <v>101</v>
      </c>
      <c r="I104" t="s">
        <v>279</v>
      </c>
      <c r="J104" t="s">
        <v>280</v>
      </c>
      <c r="K104" t="s">
        <v>49</v>
      </c>
      <c r="L104">
        <v>3</v>
      </c>
      <c r="M104">
        <v>3</v>
      </c>
    </row>
    <row r="105" spans="1:13" x14ac:dyDescent="0.25">
      <c r="A105">
        <v>5</v>
      </c>
      <c r="B105">
        <v>6504021128</v>
      </c>
      <c r="C105">
        <v>6066</v>
      </c>
      <c r="D105">
        <v>5</v>
      </c>
      <c r="E105">
        <v>101</v>
      </c>
      <c r="F105" t="s">
        <v>279</v>
      </c>
      <c r="G105" t="s">
        <v>280</v>
      </c>
      <c r="H105">
        <v>101</v>
      </c>
      <c r="I105" t="s">
        <v>279</v>
      </c>
      <c r="J105" t="s">
        <v>280</v>
      </c>
      <c r="K105" t="s">
        <v>49</v>
      </c>
      <c r="L105">
        <v>7</v>
      </c>
      <c r="M105">
        <v>7</v>
      </c>
    </row>
    <row r="106" spans="1:13" x14ac:dyDescent="0.25">
      <c r="A106">
        <v>5</v>
      </c>
      <c r="B106">
        <v>6504021128</v>
      </c>
      <c r="C106">
        <v>6066</v>
      </c>
      <c r="D106">
        <v>6</v>
      </c>
      <c r="E106">
        <v>489</v>
      </c>
      <c r="F106" t="s">
        <v>257</v>
      </c>
      <c r="G106" t="s">
        <v>258</v>
      </c>
      <c r="H106">
        <v>489</v>
      </c>
      <c r="I106" t="s">
        <v>257</v>
      </c>
      <c r="J106" t="s">
        <v>258</v>
      </c>
      <c r="K106" t="s">
        <v>49</v>
      </c>
      <c r="L106">
        <v>1</v>
      </c>
      <c r="M106">
        <v>1</v>
      </c>
    </row>
    <row r="107" spans="1:13" x14ac:dyDescent="0.25">
      <c r="A107">
        <v>5</v>
      </c>
      <c r="B107">
        <v>6504021128</v>
      </c>
      <c r="C107">
        <v>6066</v>
      </c>
      <c r="D107">
        <v>7</v>
      </c>
      <c r="E107">
        <v>489</v>
      </c>
      <c r="F107" t="s">
        <v>257</v>
      </c>
      <c r="G107" t="s">
        <v>258</v>
      </c>
      <c r="H107">
        <v>489</v>
      </c>
      <c r="I107" t="s">
        <v>257</v>
      </c>
      <c r="J107" t="s">
        <v>258</v>
      </c>
      <c r="K107" t="s">
        <v>49</v>
      </c>
      <c r="L107">
        <v>2</v>
      </c>
      <c r="M107">
        <v>2</v>
      </c>
    </row>
    <row r="108" spans="1:13" x14ac:dyDescent="0.25">
      <c r="A108">
        <v>5</v>
      </c>
      <c r="B108">
        <v>6504021128</v>
      </c>
      <c r="C108">
        <v>6066</v>
      </c>
      <c r="D108">
        <v>8</v>
      </c>
      <c r="E108">
        <v>489</v>
      </c>
      <c r="F108" t="s">
        <v>257</v>
      </c>
      <c r="G108" t="s">
        <v>258</v>
      </c>
      <c r="H108">
        <v>489</v>
      </c>
      <c r="I108" t="s">
        <v>257</v>
      </c>
      <c r="J108" t="s">
        <v>258</v>
      </c>
      <c r="K108" t="s">
        <v>49</v>
      </c>
      <c r="L108">
        <v>2</v>
      </c>
      <c r="M108">
        <v>2</v>
      </c>
    </row>
    <row r="109" spans="1:13" x14ac:dyDescent="0.25">
      <c r="A109">
        <v>5</v>
      </c>
      <c r="B109">
        <v>6504021128</v>
      </c>
      <c r="C109">
        <v>6066</v>
      </c>
      <c r="D109">
        <v>9</v>
      </c>
      <c r="E109">
        <v>489</v>
      </c>
      <c r="F109" t="s">
        <v>257</v>
      </c>
      <c r="G109" t="s">
        <v>258</v>
      </c>
      <c r="H109">
        <v>489</v>
      </c>
      <c r="I109" t="s">
        <v>257</v>
      </c>
      <c r="J109" t="s">
        <v>258</v>
      </c>
      <c r="K109" t="s">
        <v>49</v>
      </c>
      <c r="L109">
        <v>3</v>
      </c>
      <c r="M109">
        <v>3</v>
      </c>
    </row>
    <row r="110" spans="1:13" x14ac:dyDescent="0.25">
      <c r="A110">
        <v>5</v>
      </c>
      <c r="B110">
        <v>6504021128</v>
      </c>
      <c r="C110">
        <v>6066</v>
      </c>
      <c r="D110">
        <v>10</v>
      </c>
      <c r="E110">
        <v>490</v>
      </c>
      <c r="F110" t="s">
        <v>281</v>
      </c>
      <c r="G110" t="s">
        <v>282</v>
      </c>
      <c r="H110">
        <v>490</v>
      </c>
      <c r="I110" t="s">
        <v>281</v>
      </c>
      <c r="J110" t="s">
        <v>282</v>
      </c>
      <c r="K110" t="s">
        <v>49</v>
      </c>
      <c r="L110">
        <v>2</v>
      </c>
      <c r="M110">
        <v>0</v>
      </c>
    </row>
    <row r="111" spans="1:13" x14ac:dyDescent="0.25">
      <c r="A111">
        <v>5</v>
      </c>
      <c r="B111">
        <v>6504021128</v>
      </c>
      <c r="C111">
        <v>6066</v>
      </c>
      <c r="D111">
        <v>11</v>
      </c>
      <c r="E111">
        <v>490</v>
      </c>
      <c r="F111" t="s">
        <v>281</v>
      </c>
      <c r="G111" t="s">
        <v>282</v>
      </c>
      <c r="H111">
        <v>490</v>
      </c>
      <c r="I111" t="s">
        <v>281</v>
      </c>
      <c r="J111" t="s">
        <v>282</v>
      </c>
      <c r="K111" t="s">
        <v>49</v>
      </c>
      <c r="L111">
        <v>3</v>
      </c>
      <c r="M111">
        <v>0</v>
      </c>
    </row>
    <row r="112" spans="1:13" x14ac:dyDescent="0.25">
      <c r="A112">
        <v>5</v>
      </c>
      <c r="B112">
        <v>6504021128</v>
      </c>
      <c r="C112">
        <v>6066</v>
      </c>
      <c r="D112">
        <v>12</v>
      </c>
      <c r="E112">
        <v>492</v>
      </c>
      <c r="F112" t="s">
        <v>88</v>
      </c>
      <c r="G112" t="s">
        <v>89</v>
      </c>
      <c r="H112">
        <v>492</v>
      </c>
      <c r="I112" t="s">
        <v>88</v>
      </c>
      <c r="J112" t="s">
        <v>89</v>
      </c>
      <c r="K112" t="s">
        <v>49</v>
      </c>
      <c r="L112">
        <v>1</v>
      </c>
      <c r="M112">
        <v>1</v>
      </c>
    </row>
    <row r="113" spans="1:13" x14ac:dyDescent="0.25">
      <c r="A113">
        <v>5</v>
      </c>
      <c r="B113">
        <v>6504021128</v>
      </c>
      <c r="C113">
        <v>6066</v>
      </c>
      <c r="D113">
        <v>13</v>
      </c>
      <c r="E113">
        <v>492</v>
      </c>
      <c r="F113" t="s">
        <v>88</v>
      </c>
      <c r="G113" t="s">
        <v>89</v>
      </c>
      <c r="H113">
        <v>492</v>
      </c>
      <c r="I113" t="s">
        <v>88</v>
      </c>
      <c r="J113" t="s">
        <v>89</v>
      </c>
      <c r="K113" t="s">
        <v>49</v>
      </c>
      <c r="L113">
        <v>3</v>
      </c>
      <c r="M113">
        <v>3</v>
      </c>
    </row>
    <row r="114" spans="1:13" x14ac:dyDescent="0.25">
      <c r="A114">
        <v>5</v>
      </c>
      <c r="B114">
        <v>6504021128</v>
      </c>
      <c r="C114">
        <v>6066</v>
      </c>
      <c r="D114">
        <v>14</v>
      </c>
      <c r="E114">
        <v>493</v>
      </c>
      <c r="F114" t="s">
        <v>283</v>
      </c>
      <c r="G114" t="s">
        <v>284</v>
      </c>
      <c r="H114">
        <v>493</v>
      </c>
      <c r="I114" t="s">
        <v>283</v>
      </c>
      <c r="J114" t="s">
        <v>284</v>
      </c>
      <c r="K114" t="s">
        <v>49</v>
      </c>
      <c r="L114">
        <v>1</v>
      </c>
      <c r="M114">
        <v>1</v>
      </c>
    </row>
    <row r="115" spans="1:13" x14ac:dyDescent="0.25">
      <c r="A115">
        <v>5</v>
      </c>
      <c r="B115">
        <v>6504021128</v>
      </c>
      <c r="C115">
        <v>6066</v>
      </c>
      <c r="D115">
        <v>15</v>
      </c>
      <c r="E115">
        <v>493</v>
      </c>
      <c r="F115" t="s">
        <v>283</v>
      </c>
      <c r="G115" t="s">
        <v>284</v>
      </c>
      <c r="H115">
        <v>493</v>
      </c>
      <c r="I115" t="s">
        <v>283</v>
      </c>
      <c r="J115" t="s">
        <v>284</v>
      </c>
      <c r="K115" t="s">
        <v>49</v>
      </c>
      <c r="L115">
        <v>1</v>
      </c>
      <c r="M115">
        <v>1</v>
      </c>
    </row>
    <row r="116" spans="1:13" x14ac:dyDescent="0.25">
      <c r="A116">
        <v>5</v>
      </c>
      <c r="B116">
        <v>6504021128</v>
      </c>
      <c r="C116">
        <v>6066</v>
      </c>
      <c r="D116">
        <v>16</v>
      </c>
      <c r="E116">
        <v>493</v>
      </c>
      <c r="F116" t="s">
        <v>283</v>
      </c>
      <c r="G116" t="s">
        <v>284</v>
      </c>
      <c r="H116">
        <v>493</v>
      </c>
      <c r="I116" t="s">
        <v>283</v>
      </c>
      <c r="J116" t="s">
        <v>284</v>
      </c>
      <c r="K116" t="s">
        <v>49</v>
      </c>
      <c r="L116">
        <v>3</v>
      </c>
      <c r="M116">
        <v>3</v>
      </c>
    </row>
    <row r="117" spans="1:13" x14ac:dyDescent="0.25">
      <c r="A117">
        <v>5</v>
      </c>
      <c r="B117">
        <v>6504021128</v>
      </c>
      <c r="C117">
        <v>6066</v>
      </c>
      <c r="D117">
        <v>17</v>
      </c>
      <c r="E117">
        <v>493</v>
      </c>
      <c r="F117" t="s">
        <v>283</v>
      </c>
      <c r="G117" t="s">
        <v>284</v>
      </c>
      <c r="H117">
        <v>493</v>
      </c>
      <c r="I117" t="s">
        <v>283</v>
      </c>
      <c r="J117" t="s">
        <v>284</v>
      </c>
      <c r="K117" t="s">
        <v>49</v>
      </c>
      <c r="L117">
        <v>3</v>
      </c>
      <c r="M117">
        <v>3</v>
      </c>
    </row>
    <row r="118" spans="1:13" x14ac:dyDescent="0.25">
      <c r="A118">
        <v>5</v>
      </c>
      <c r="B118">
        <v>6504021128</v>
      </c>
      <c r="C118">
        <v>6066</v>
      </c>
      <c r="D118">
        <v>18</v>
      </c>
      <c r="E118">
        <v>493</v>
      </c>
      <c r="F118" t="s">
        <v>283</v>
      </c>
      <c r="G118" t="s">
        <v>284</v>
      </c>
      <c r="H118">
        <v>493</v>
      </c>
      <c r="I118" t="s">
        <v>283</v>
      </c>
      <c r="J118" t="s">
        <v>284</v>
      </c>
      <c r="K118" t="s">
        <v>49</v>
      </c>
      <c r="L118">
        <v>3</v>
      </c>
      <c r="M118">
        <v>3</v>
      </c>
    </row>
    <row r="119" spans="1:13" x14ac:dyDescent="0.25">
      <c r="A119">
        <v>5</v>
      </c>
      <c r="B119">
        <v>6504021128</v>
      </c>
      <c r="C119">
        <v>6066</v>
      </c>
      <c r="D119">
        <v>19</v>
      </c>
      <c r="E119">
        <v>494</v>
      </c>
      <c r="F119" t="s">
        <v>285</v>
      </c>
      <c r="G119" t="s">
        <v>286</v>
      </c>
      <c r="H119">
        <v>494</v>
      </c>
      <c r="I119" t="s">
        <v>285</v>
      </c>
      <c r="J119" t="s">
        <v>286</v>
      </c>
      <c r="K119" t="s">
        <v>49</v>
      </c>
      <c r="L119">
        <v>1</v>
      </c>
      <c r="M119">
        <v>1</v>
      </c>
    </row>
    <row r="120" spans="1:13" x14ac:dyDescent="0.25">
      <c r="A120">
        <v>9</v>
      </c>
      <c r="B120">
        <v>9194295</v>
      </c>
      <c r="C120">
        <v>6113</v>
      </c>
      <c r="D120">
        <v>3</v>
      </c>
      <c r="E120">
        <v>13</v>
      </c>
      <c r="F120" t="s">
        <v>62</v>
      </c>
      <c r="G120" t="s">
        <v>63</v>
      </c>
      <c r="H120">
        <v>13</v>
      </c>
      <c r="I120" t="s">
        <v>62</v>
      </c>
      <c r="J120" t="s">
        <v>63</v>
      </c>
      <c r="K120" t="s">
        <v>536</v>
      </c>
      <c r="L120">
        <v>1</v>
      </c>
      <c r="M120">
        <v>1</v>
      </c>
    </row>
    <row r="121" spans="1:13" x14ac:dyDescent="0.25">
      <c r="A121">
        <v>9</v>
      </c>
      <c r="B121">
        <v>9193752</v>
      </c>
      <c r="C121">
        <v>6113</v>
      </c>
      <c r="D121">
        <v>1</v>
      </c>
      <c r="E121">
        <v>13</v>
      </c>
      <c r="F121" t="s">
        <v>62</v>
      </c>
      <c r="G121" t="s">
        <v>63</v>
      </c>
      <c r="H121">
        <v>13</v>
      </c>
      <c r="I121" t="s">
        <v>62</v>
      </c>
      <c r="J121" t="s">
        <v>63</v>
      </c>
      <c r="K121" t="s">
        <v>537</v>
      </c>
      <c r="L121">
        <v>1</v>
      </c>
      <c r="M121">
        <v>1</v>
      </c>
    </row>
    <row r="122" spans="1:13" x14ac:dyDescent="0.25">
      <c r="A122">
        <v>24</v>
      </c>
      <c r="B122">
        <v>5101343</v>
      </c>
      <c r="C122">
        <v>6114</v>
      </c>
      <c r="D122">
        <v>1</v>
      </c>
      <c r="E122">
        <v>675</v>
      </c>
      <c r="F122" t="s">
        <v>310</v>
      </c>
      <c r="G122" t="s">
        <v>311</v>
      </c>
      <c r="H122">
        <v>675</v>
      </c>
      <c r="I122" t="s">
        <v>310</v>
      </c>
      <c r="J122" t="s">
        <v>311</v>
      </c>
      <c r="K122" t="s">
        <v>49</v>
      </c>
      <c r="L122">
        <v>70</v>
      </c>
      <c r="M122">
        <v>70</v>
      </c>
    </row>
    <row r="123" spans="1:13" x14ac:dyDescent="0.25">
      <c r="A123">
        <v>24</v>
      </c>
      <c r="B123">
        <v>5101343</v>
      </c>
      <c r="C123">
        <v>6114</v>
      </c>
      <c r="D123">
        <v>2</v>
      </c>
      <c r="E123">
        <v>892</v>
      </c>
      <c r="F123" t="s">
        <v>142</v>
      </c>
      <c r="G123" t="s">
        <v>143</v>
      </c>
      <c r="H123">
        <v>892</v>
      </c>
      <c r="I123" t="s">
        <v>142</v>
      </c>
      <c r="J123" t="s">
        <v>143</v>
      </c>
      <c r="K123" t="s">
        <v>49</v>
      </c>
      <c r="L123">
        <v>90</v>
      </c>
      <c r="M123">
        <v>90</v>
      </c>
    </row>
    <row r="124" spans="1:13" x14ac:dyDescent="0.25">
      <c r="A124">
        <v>8</v>
      </c>
      <c r="B124">
        <v>4450422378</v>
      </c>
      <c r="C124">
        <v>6115</v>
      </c>
      <c r="D124">
        <v>1</v>
      </c>
      <c r="E124">
        <v>865</v>
      </c>
      <c r="F124" t="s">
        <v>218</v>
      </c>
      <c r="G124" t="s">
        <v>219</v>
      </c>
      <c r="H124">
        <v>405</v>
      </c>
      <c r="I124" t="s">
        <v>82</v>
      </c>
      <c r="J124" t="s">
        <v>83</v>
      </c>
      <c r="K124" t="s">
        <v>172</v>
      </c>
      <c r="L124">
        <v>55</v>
      </c>
      <c r="M124">
        <v>55</v>
      </c>
    </row>
    <row r="125" spans="1:13" x14ac:dyDescent="0.25">
      <c r="A125">
        <v>8</v>
      </c>
      <c r="B125">
        <v>4450422378</v>
      </c>
      <c r="C125">
        <v>6115</v>
      </c>
      <c r="D125">
        <v>2</v>
      </c>
      <c r="E125">
        <v>281</v>
      </c>
      <c r="F125" t="s">
        <v>538</v>
      </c>
      <c r="G125" t="s">
        <v>539</v>
      </c>
      <c r="H125">
        <v>281</v>
      </c>
      <c r="I125" t="s">
        <v>538</v>
      </c>
      <c r="J125" t="s">
        <v>539</v>
      </c>
      <c r="K125" t="s">
        <v>540</v>
      </c>
      <c r="L125">
        <v>23</v>
      </c>
      <c r="M125">
        <v>23</v>
      </c>
    </row>
    <row r="126" spans="1:13" x14ac:dyDescent="0.25">
      <c r="A126">
        <v>8</v>
      </c>
      <c r="B126">
        <v>4450422378</v>
      </c>
      <c r="C126">
        <v>6115</v>
      </c>
      <c r="D126">
        <v>3</v>
      </c>
      <c r="E126">
        <v>896</v>
      </c>
      <c r="F126" t="s">
        <v>541</v>
      </c>
      <c r="G126" t="s">
        <v>542</v>
      </c>
      <c r="H126">
        <v>653</v>
      </c>
      <c r="I126" t="s">
        <v>110</v>
      </c>
      <c r="J126" t="s">
        <v>111</v>
      </c>
      <c r="K126" t="s">
        <v>173</v>
      </c>
      <c r="L126">
        <v>102</v>
      </c>
      <c r="M126">
        <v>102</v>
      </c>
    </row>
    <row r="127" spans="1:13" x14ac:dyDescent="0.25">
      <c r="A127">
        <v>8</v>
      </c>
      <c r="B127">
        <v>4450422378</v>
      </c>
      <c r="C127">
        <v>6115</v>
      </c>
      <c r="D127">
        <v>4</v>
      </c>
      <c r="E127">
        <v>809</v>
      </c>
      <c r="F127" t="s">
        <v>128</v>
      </c>
      <c r="G127" t="s">
        <v>129</v>
      </c>
      <c r="H127">
        <v>809</v>
      </c>
      <c r="I127" t="s">
        <v>128</v>
      </c>
      <c r="J127" t="s">
        <v>129</v>
      </c>
      <c r="K127" t="s">
        <v>174</v>
      </c>
      <c r="L127">
        <v>22</v>
      </c>
      <c r="M127">
        <v>22</v>
      </c>
    </row>
    <row r="128" spans="1:13" x14ac:dyDescent="0.25">
      <c r="A128">
        <v>5</v>
      </c>
      <c r="B128">
        <v>6504027073</v>
      </c>
      <c r="C128">
        <v>6116</v>
      </c>
      <c r="D128">
        <v>1</v>
      </c>
      <c r="E128">
        <v>735</v>
      </c>
      <c r="F128" t="s">
        <v>126</v>
      </c>
      <c r="G128" t="s">
        <v>127</v>
      </c>
      <c r="H128">
        <v>735</v>
      </c>
      <c r="I128" t="s">
        <v>126</v>
      </c>
      <c r="J128" t="s">
        <v>127</v>
      </c>
      <c r="K128" t="s">
        <v>49</v>
      </c>
      <c r="L128">
        <v>1</v>
      </c>
      <c r="M128">
        <v>1</v>
      </c>
    </row>
    <row r="129" spans="1:13" x14ac:dyDescent="0.25">
      <c r="A129">
        <v>5</v>
      </c>
      <c r="B129">
        <v>6504027308</v>
      </c>
      <c r="C129">
        <v>6116</v>
      </c>
      <c r="D129">
        <v>2</v>
      </c>
      <c r="E129">
        <v>13</v>
      </c>
      <c r="F129" t="s">
        <v>62</v>
      </c>
      <c r="G129" t="s">
        <v>63</v>
      </c>
      <c r="H129">
        <v>13</v>
      </c>
      <c r="I129" t="s">
        <v>62</v>
      </c>
      <c r="J129" t="s">
        <v>63</v>
      </c>
      <c r="K129" t="s">
        <v>49</v>
      </c>
      <c r="L129">
        <v>1</v>
      </c>
      <c r="M129">
        <v>1</v>
      </c>
    </row>
    <row r="130" spans="1:13" x14ac:dyDescent="0.25">
      <c r="A130">
        <v>5</v>
      </c>
      <c r="B130">
        <v>6504027312</v>
      </c>
      <c r="C130">
        <v>6116</v>
      </c>
      <c r="D130">
        <v>3</v>
      </c>
      <c r="E130">
        <v>534</v>
      </c>
      <c r="F130" t="s">
        <v>94</v>
      </c>
      <c r="G130" t="s">
        <v>95</v>
      </c>
      <c r="H130">
        <v>534</v>
      </c>
      <c r="I130" t="s">
        <v>94</v>
      </c>
      <c r="J130" t="s">
        <v>95</v>
      </c>
      <c r="K130" t="s">
        <v>49</v>
      </c>
      <c r="L130">
        <v>1</v>
      </c>
      <c r="M130">
        <v>1</v>
      </c>
    </row>
    <row r="131" spans="1:13" x14ac:dyDescent="0.25">
      <c r="A131">
        <v>4</v>
      </c>
      <c r="B131">
        <v>9635303</v>
      </c>
      <c r="C131">
        <v>6117</v>
      </c>
      <c r="D131">
        <v>1</v>
      </c>
      <c r="E131">
        <v>342</v>
      </c>
      <c r="F131" t="s">
        <v>543</v>
      </c>
      <c r="G131" t="s">
        <v>544</v>
      </c>
      <c r="H131">
        <v>342</v>
      </c>
      <c r="I131" t="s">
        <v>543</v>
      </c>
      <c r="J131" t="s">
        <v>544</v>
      </c>
      <c r="K131" t="s">
        <v>545</v>
      </c>
      <c r="L131">
        <v>1</v>
      </c>
      <c r="M131">
        <v>0</v>
      </c>
    </row>
    <row r="132" spans="1:13" x14ac:dyDescent="0.25">
      <c r="A132">
        <v>5</v>
      </c>
      <c r="B132">
        <v>6504026454</v>
      </c>
      <c r="C132">
        <v>6118</v>
      </c>
      <c r="D132">
        <v>1</v>
      </c>
      <c r="E132">
        <v>43</v>
      </c>
      <c r="F132" t="s">
        <v>271</v>
      </c>
      <c r="G132" t="s">
        <v>272</v>
      </c>
      <c r="H132">
        <v>43</v>
      </c>
      <c r="I132" t="s">
        <v>271</v>
      </c>
      <c r="J132" t="s">
        <v>272</v>
      </c>
      <c r="K132" t="s">
        <v>49</v>
      </c>
      <c r="L132">
        <v>10</v>
      </c>
      <c r="M132">
        <v>10</v>
      </c>
    </row>
    <row r="133" spans="1:13" x14ac:dyDescent="0.25">
      <c r="A133">
        <v>24</v>
      </c>
      <c r="B133">
        <v>5101382</v>
      </c>
      <c r="C133">
        <v>6119</v>
      </c>
      <c r="D133">
        <v>1</v>
      </c>
      <c r="E133">
        <v>638</v>
      </c>
      <c r="F133" t="s">
        <v>104</v>
      </c>
      <c r="G133" t="s">
        <v>105</v>
      </c>
      <c r="H133">
        <v>638</v>
      </c>
      <c r="I133" t="s">
        <v>104</v>
      </c>
      <c r="J133" t="s">
        <v>105</v>
      </c>
      <c r="K133" t="s">
        <v>49</v>
      </c>
      <c r="L133">
        <v>1</v>
      </c>
      <c r="M133">
        <v>1</v>
      </c>
    </row>
    <row r="134" spans="1:13" x14ac:dyDescent="0.25">
      <c r="A134">
        <v>3</v>
      </c>
      <c r="B134">
        <v>50051838</v>
      </c>
      <c r="C134">
        <v>6120</v>
      </c>
      <c r="D134">
        <v>4</v>
      </c>
      <c r="E134">
        <v>824</v>
      </c>
      <c r="F134" t="s">
        <v>134</v>
      </c>
      <c r="G134" t="s">
        <v>135</v>
      </c>
      <c r="H134">
        <v>824</v>
      </c>
      <c r="I134" t="s">
        <v>134</v>
      </c>
      <c r="J134" t="s">
        <v>135</v>
      </c>
      <c r="K134" t="s">
        <v>546</v>
      </c>
      <c r="L134">
        <v>1</v>
      </c>
      <c r="M134">
        <v>1</v>
      </c>
    </row>
    <row r="135" spans="1:13" x14ac:dyDescent="0.25">
      <c r="A135">
        <v>3</v>
      </c>
      <c r="B135">
        <v>50051838</v>
      </c>
      <c r="C135">
        <v>6120</v>
      </c>
      <c r="D135">
        <v>19</v>
      </c>
      <c r="E135">
        <v>674</v>
      </c>
      <c r="F135" t="s">
        <v>112</v>
      </c>
      <c r="G135" t="s">
        <v>113</v>
      </c>
      <c r="H135">
        <v>674</v>
      </c>
      <c r="I135" t="s">
        <v>112</v>
      </c>
      <c r="J135" t="s">
        <v>113</v>
      </c>
      <c r="K135" t="s">
        <v>547</v>
      </c>
      <c r="L135">
        <v>1</v>
      </c>
      <c r="M135">
        <v>1</v>
      </c>
    </row>
    <row r="136" spans="1:13" x14ac:dyDescent="0.25">
      <c r="A136">
        <v>3</v>
      </c>
      <c r="B136">
        <v>50051839</v>
      </c>
      <c r="C136">
        <v>6120</v>
      </c>
      <c r="D136">
        <v>5</v>
      </c>
      <c r="E136">
        <v>409</v>
      </c>
      <c r="F136" t="s">
        <v>84</v>
      </c>
      <c r="G136" t="s">
        <v>85</v>
      </c>
      <c r="H136">
        <v>409</v>
      </c>
      <c r="I136" t="s">
        <v>84</v>
      </c>
      <c r="J136" t="s">
        <v>85</v>
      </c>
      <c r="K136" t="s">
        <v>548</v>
      </c>
      <c r="L136">
        <v>1</v>
      </c>
      <c r="M136">
        <v>1</v>
      </c>
    </row>
    <row r="137" spans="1:13" x14ac:dyDescent="0.25">
      <c r="A137">
        <v>3</v>
      </c>
      <c r="B137">
        <v>50051839</v>
      </c>
      <c r="C137">
        <v>6120</v>
      </c>
      <c r="D137">
        <v>6</v>
      </c>
      <c r="E137">
        <v>821</v>
      </c>
      <c r="F137" t="s">
        <v>132</v>
      </c>
      <c r="G137" t="s">
        <v>133</v>
      </c>
      <c r="H137">
        <v>821</v>
      </c>
      <c r="I137" t="s">
        <v>132</v>
      </c>
      <c r="J137" t="s">
        <v>133</v>
      </c>
      <c r="K137" t="s">
        <v>549</v>
      </c>
      <c r="L137">
        <v>1</v>
      </c>
      <c r="M137">
        <v>1</v>
      </c>
    </row>
    <row r="138" spans="1:13" x14ac:dyDescent="0.25">
      <c r="A138">
        <v>3</v>
      </c>
      <c r="B138">
        <v>50051839</v>
      </c>
      <c r="C138">
        <v>6120</v>
      </c>
      <c r="D138">
        <v>7</v>
      </c>
      <c r="E138">
        <v>824</v>
      </c>
      <c r="F138" t="s">
        <v>134</v>
      </c>
      <c r="G138" t="s">
        <v>135</v>
      </c>
      <c r="H138">
        <v>824</v>
      </c>
      <c r="I138" t="s">
        <v>134</v>
      </c>
      <c r="J138" t="s">
        <v>135</v>
      </c>
      <c r="K138" t="s">
        <v>550</v>
      </c>
      <c r="L138">
        <v>1</v>
      </c>
      <c r="M138">
        <v>1</v>
      </c>
    </row>
    <row r="139" spans="1:13" x14ac:dyDescent="0.25">
      <c r="A139">
        <v>3</v>
      </c>
      <c r="B139">
        <v>50051839</v>
      </c>
      <c r="C139">
        <v>6120</v>
      </c>
      <c r="D139">
        <v>15</v>
      </c>
      <c r="E139">
        <v>970</v>
      </c>
      <c r="F139" t="s">
        <v>436</v>
      </c>
      <c r="G139" t="s">
        <v>437</v>
      </c>
      <c r="H139">
        <v>506</v>
      </c>
      <c r="I139" t="s">
        <v>92</v>
      </c>
      <c r="J139" t="s">
        <v>93</v>
      </c>
      <c r="K139" t="s">
        <v>551</v>
      </c>
      <c r="L139">
        <v>1</v>
      </c>
      <c r="M139">
        <v>1</v>
      </c>
    </row>
    <row r="140" spans="1:13" x14ac:dyDescent="0.25">
      <c r="A140">
        <v>3</v>
      </c>
      <c r="B140">
        <v>50051888</v>
      </c>
      <c r="C140">
        <v>6120</v>
      </c>
      <c r="D140">
        <v>8</v>
      </c>
      <c r="E140">
        <v>970</v>
      </c>
      <c r="F140" t="s">
        <v>436</v>
      </c>
      <c r="G140" t="s">
        <v>437</v>
      </c>
      <c r="H140">
        <v>506</v>
      </c>
      <c r="I140" t="s">
        <v>92</v>
      </c>
      <c r="J140" t="s">
        <v>93</v>
      </c>
      <c r="K140" t="s">
        <v>552</v>
      </c>
      <c r="L140">
        <v>1</v>
      </c>
      <c r="M140">
        <v>1</v>
      </c>
    </row>
    <row r="141" spans="1:13" x14ac:dyDescent="0.25">
      <c r="A141">
        <v>3</v>
      </c>
      <c r="B141">
        <v>50051888</v>
      </c>
      <c r="C141">
        <v>6120</v>
      </c>
      <c r="D141">
        <v>9</v>
      </c>
      <c r="E141">
        <v>970</v>
      </c>
      <c r="F141" t="s">
        <v>436</v>
      </c>
      <c r="G141" t="s">
        <v>437</v>
      </c>
      <c r="H141">
        <v>506</v>
      </c>
      <c r="I141" t="s">
        <v>92</v>
      </c>
      <c r="J141" t="s">
        <v>93</v>
      </c>
      <c r="K141" t="s">
        <v>553</v>
      </c>
      <c r="L141">
        <v>1</v>
      </c>
      <c r="M141">
        <v>1</v>
      </c>
    </row>
    <row r="142" spans="1:13" x14ac:dyDescent="0.25">
      <c r="A142">
        <v>3</v>
      </c>
      <c r="B142">
        <v>50051889</v>
      </c>
      <c r="C142">
        <v>6120</v>
      </c>
      <c r="D142">
        <v>10</v>
      </c>
      <c r="E142">
        <v>409</v>
      </c>
      <c r="F142" t="s">
        <v>84</v>
      </c>
      <c r="G142" t="s">
        <v>85</v>
      </c>
      <c r="H142">
        <v>409</v>
      </c>
      <c r="I142" t="s">
        <v>84</v>
      </c>
      <c r="J142" t="s">
        <v>85</v>
      </c>
      <c r="K142" t="s">
        <v>554</v>
      </c>
      <c r="L142">
        <v>1</v>
      </c>
      <c r="M142">
        <v>1</v>
      </c>
    </row>
    <row r="143" spans="1:13" x14ac:dyDescent="0.25">
      <c r="A143">
        <v>3</v>
      </c>
      <c r="B143">
        <v>50051889</v>
      </c>
      <c r="C143">
        <v>6120</v>
      </c>
      <c r="D143">
        <v>11</v>
      </c>
      <c r="E143">
        <v>970</v>
      </c>
      <c r="F143" t="s">
        <v>436</v>
      </c>
      <c r="G143" t="s">
        <v>437</v>
      </c>
      <c r="H143">
        <v>506</v>
      </c>
      <c r="I143" t="s">
        <v>92</v>
      </c>
      <c r="J143" t="s">
        <v>93</v>
      </c>
      <c r="K143" t="s">
        <v>555</v>
      </c>
      <c r="L143">
        <v>1</v>
      </c>
      <c r="M143">
        <v>1</v>
      </c>
    </row>
    <row r="144" spans="1:13" x14ac:dyDescent="0.25">
      <c r="A144">
        <v>3</v>
      </c>
      <c r="B144">
        <v>50051889</v>
      </c>
      <c r="C144">
        <v>6120</v>
      </c>
      <c r="D144">
        <v>12</v>
      </c>
      <c r="E144">
        <v>970</v>
      </c>
      <c r="F144" t="s">
        <v>436</v>
      </c>
      <c r="G144" t="s">
        <v>437</v>
      </c>
      <c r="H144">
        <v>506</v>
      </c>
      <c r="I144" t="s">
        <v>92</v>
      </c>
      <c r="J144" t="s">
        <v>93</v>
      </c>
      <c r="K144" t="s">
        <v>556</v>
      </c>
      <c r="L144">
        <v>1</v>
      </c>
      <c r="M144">
        <v>1</v>
      </c>
    </row>
    <row r="145" spans="1:13" x14ac:dyDescent="0.25">
      <c r="A145">
        <v>3</v>
      </c>
      <c r="B145">
        <v>50051889</v>
      </c>
      <c r="C145">
        <v>6120</v>
      </c>
      <c r="D145">
        <v>13</v>
      </c>
      <c r="E145">
        <v>729</v>
      </c>
      <c r="F145" t="s">
        <v>557</v>
      </c>
      <c r="G145" t="s">
        <v>558</v>
      </c>
      <c r="H145">
        <v>729</v>
      </c>
      <c r="I145" t="s">
        <v>557</v>
      </c>
      <c r="J145" t="s">
        <v>558</v>
      </c>
      <c r="K145" t="s">
        <v>559</v>
      </c>
      <c r="L145">
        <v>1</v>
      </c>
      <c r="M145">
        <v>1</v>
      </c>
    </row>
    <row r="146" spans="1:13" x14ac:dyDescent="0.25">
      <c r="A146">
        <v>3</v>
      </c>
      <c r="B146">
        <v>50051889</v>
      </c>
      <c r="C146">
        <v>6120</v>
      </c>
      <c r="D146">
        <v>16</v>
      </c>
      <c r="E146">
        <v>970</v>
      </c>
      <c r="F146" t="s">
        <v>436</v>
      </c>
      <c r="G146" t="s">
        <v>437</v>
      </c>
      <c r="H146">
        <v>506</v>
      </c>
      <c r="I146" t="s">
        <v>92</v>
      </c>
      <c r="J146" t="s">
        <v>93</v>
      </c>
      <c r="K146" t="s">
        <v>560</v>
      </c>
      <c r="L146">
        <v>1</v>
      </c>
      <c r="M146">
        <v>1</v>
      </c>
    </row>
    <row r="147" spans="1:13" x14ac:dyDescent="0.25">
      <c r="A147">
        <v>3</v>
      </c>
      <c r="B147">
        <v>50051889</v>
      </c>
      <c r="C147">
        <v>6120</v>
      </c>
      <c r="D147">
        <v>17</v>
      </c>
      <c r="E147">
        <v>970</v>
      </c>
      <c r="F147" t="s">
        <v>436</v>
      </c>
      <c r="G147" t="s">
        <v>437</v>
      </c>
      <c r="H147">
        <v>506</v>
      </c>
      <c r="I147" t="s">
        <v>92</v>
      </c>
      <c r="J147" t="s">
        <v>93</v>
      </c>
      <c r="K147" t="s">
        <v>561</v>
      </c>
      <c r="L147">
        <v>1</v>
      </c>
      <c r="M147">
        <v>1</v>
      </c>
    </row>
    <row r="148" spans="1:13" x14ac:dyDescent="0.25">
      <c r="A148">
        <v>3</v>
      </c>
      <c r="B148">
        <v>50051889</v>
      </c>
      <c r="C148">
        <v>6120</v>
      </c>
      <c r="D148">
        <v>18</v>
      </c>
      <c r="E148">
        <v>824</v>
      </c>
      <c r="F148" t="s">
        <v>134</v>
      </c>
      <c r="G148" t="s">
        <v>135</v>
      </c>
      <c r="H148">
        <v>824</v>
      </c>
      <c r="I148" t="s">
        <v>134</v>
      </c>
      <c r="J148" t="s">
        <v>135</v>
      </c>
      <c r="K148" t="s">
        <v>562</v>
      </c>
      <c r="L148">
        <v>1</v>
      </c>
      <c r="M148">
        <v>1</v>
      </c>
    </row>
    <row r="149" spans="1:13" x14ac:dyDescent="0.25">
      <c r="A149">
        <v>3</v>
      </c>
      <c r="B149">
        <v>50051794</v>
      </c>
      <c r="C149">
        <v>6120</v>
      </c>
      <c r="D149">
        <v>14</v>
      </c>
      <c r="E149">
        <v>700</v>
      </c>
      <c r="F149" t="s">
        <v>118</v>
      </c>
      <c r="G149" t="s">
        <v>119</v>
      </c>
      <c r="H149">
        <v>700</v>
      </c>
      <c r="I149" t="s">
        <v>118</v>
      </c>
      <c r="J149" t="s">
        <v>119</v>
      </c>
      <c r="K149" t="s">
        <v>563</v>
      </c>
      <c r="L149">
        <v>1</v>
      </c>
      <c r="M149">
        <v>1</v>
      </c>
    </row>
    <row r="150" spans="1:13" x14ac:dyDescent="0.25">
      <c r="A150">
        <v>3</v>
      </c>
      <c r="B150">
        <v>50051795</v>
      </c>
      <c r="C150">
        <v>6120</v>
      </c>
      <c r="D150">
        <v>1</v>
      </c>
      <c r="E150">
        <v>970</v>
      </c>
      <c r="F150" t="s">
        <v>436</v>
      </c>
      <c r="G150" t="s">
        <v>437</v>
      </c>
      <c r="H150">
        <v>506</v>
      </c>
      <c r="I150" t="s">
        <v>92</v>
      </c>
      <c r="J150" t="s">
        <v>93</v>
      </c>
      <c r="K150" t="s">
        <v>564</v>
      </c>
      <c r="L150">
        <v>1</v>
      </c>
      <c r="M150">
        <v>1</v>
      </c>
    </row>
    <row r="151" spans="1:13" x14ac:dyDescent="0.25">
      <c r="A151">
        <v>3</v>
      </c>
      <c r="B151">
        <v>50051795</v>
      </c>
      <c r="C151">
        <v>6120</v>
      </c>
      <c r="D151">
        <v>2</v>
      </c>
      <c r="E151">
        <v>638</v>
      </c>
      <c r="F151" t="s">
        <v>104</v>
      </c>
      <c r="G151" t="s">
        <v>105</v>
      </c>
      <c r="H151">
        <v>638</v>
      </c>
      <c r="I151" t="s">
        <v>104</v>
      </c>
      <c r="J151" t="s">
        <v>105</v>
      </c>
      <c r="K151" t="s">
        <v>565</v>
      </c>
      <c r="L151">
        <v>1</v>
      </c>
      <c r="M151">
        <v>1</v>
      </c>
    </row>
    <row r="152" spans="1:13" x14ac:dyDescent="0.25">
      <c r="A152">
        <v>3</v>
      </c>
      <c r="B152">
        <v>50051795</v>
      </c>
      <c r="C152">
        <v>6120</v>
      </c>
      <c r="D152">
        <v>3</v>
      </c>
      <c r="E152">
        <v>824</v>
      </c>
      <c r="F152" t="s">
        <v>134</v>
      </c>
      <c r="G152" t="s">
        <v>135</v>
      </c>
      <c r="H152">
        <v>824</v>
      </c>
      <c r="I152" t="s">
        <v>134</v>
      </c>
      <c r="J152" t="s">
        <v>135</v>
      </c>
      <c r="K152" t="s">
        <v>566</v>
      </c>
      <c r="L152">
        <v>1</v>
      </c>
      <c r="M152">
        <v>1</v>
      </c>
    </row>
    <row r="153" spans="1:13" x14ac:dyDescent="0.25">
      <c r="A153">
        <v>2</v>
      </c>
      <c r="B153">
        <v>8669965</v>
      </c>
      <c r="C153">
        <v>6121</v>
      </c>
      <c r="D153">
        <v>1</v>
      </c>
      <c r="E153">
        <v>402</v>
      </c>
      <c r="F153" t="s">
        <v>168</v>
      </c>
      <c r="G153" t="s">
        <v>169</v>
      </c>
      <c r="H153">
        <v>402</v>
      </c>
      <c r="I153" t="s">
        <v>168</v>
      </c>
      <c r="J153" t="s">
        <v>169</v>
      </c>
      <c r="K153" t="s">
        <v>567</v>
      </c>
      <c r="L153">
        <v>1</v>
      </c>
      <c r="M153">
        <v>1</v>
      </c>
    </row>
    <row r="154" spans="1:13" x14ac:dyDescent="0.25">
      <c r="A154">
        <v>29</v>
      </c>
      <c r="B154">
        <v>8670253</v>
      </c>
      <c r="C154">
        <v>6122</v>
      </c>
      <c r="D154">
        <v>1</v>
      </c>
      <c r="E154">
        <v>829</v>
      </c>
      <c r="F154" t="s">
        <v>136</v>
      </c>
      <c r="G154" t="s">
        <v>137</v>
      </c>
      <c r="H154">
        <v>829</v>
      </c>
      <c r="I154" t="s">
        <v>136</v>
      </c>
      <c r="J154" t="s">
        <v>137</v>
      </c>
      <c r="K154" t="s">
        <v>568</v>
      </c>
      <c r="L154">
        <v>1</v>
      </c>
      <c r="M154">
        <v>1</v>
      </c>
    </row>
    <row r="155" spans="1:13" x14ac:dyDescent="0.25">
      <c r="A155">
        <v>29</v>
      </c>
      <c r="B155">
        <v>8672328</v>
      </c>
      <c r="C155">
        <v>6123</v>
      </c>
      <c r="D155">
        <v>1</v>
      </c>
      <c r="E155">
        <v>836</v>
      </c>
      <c r="F155" t="s">
        <v>569</v>
      </c>
      <c r="G155" t="s">
        <v>570</v>
      </c>
      <c r="H155">
        <v>836</v>
      </c>
      <c r="I155" t="s">
        <v>569</v>
      </c>
      <c r="J155" t="s">
        <v>570</v>
      </c>
      <c r="K155" t="s">
        <v>571</v>
      </c>
      <c r="L155">
        <v>1</v>
      </c>
      <c r="M155">
        <v>1</v>
      </c>
    </row>
    <row r="156" spans="1:13" x14ac:dyDescent="0.25">
      <c r="A156">
        <v>29</v>
      </c>
      <c r="B156">
        <v>8672638</v>
      </c>
      <c r="C156">
        <v>6123</v>
      </c>
      <c r="D156">
        <v>2</v>
      </c>
      <c r="E156">
        <v>829</v>
      </c>
      <c r="F156" t="s">
        <v>136</v>
      </c>
      <c r="G156" t="s">
        <v>137</v>
      </c>
      <c r="H156">
        <v>829</v>
      </c>
      <c r="I156" t="s">
        <v>136</v>
      </c>
      <c r="J156" t="s">
        <v>137</v>
      </c>
      <c r="K156" t="s">
        <v>572</v>
      </c>
      <c r="L156">
        <v>1</v>
      </c>
      <c r="M156">
        <v>1</v>
      </c>
    </row>
    <row r="157" spans="1:13" x14ac:dyDescent="0.25">
      <c r="A157">
        <v>2</v>
      </c>
      <c r="B157">
        <v>8672409</v>
      </c>
      <c r="C157">
        <v>6124</v>
      </c>
      <c r="D157">
        <v>3</v>
      </c>
      <c r="E157">
        <v>970</v>
      </c>
      <c r="F157" t="s">
        <v>436</v>
      </c>
      <c r="G157" t="s">
        <v>437</v>
      </c>
      <c r="H157">
        <v>506</v>
      </c>
      <c r="I157" t="s">
        <v>92</v>
      </c>
      <c r="J157" t="s">
        <v>93</v>
      </c>
      <c r="K157" t="s">
        <v>573</v>
      </c>
      <c r="L157">
        <v>1</v>
      </c>
      <c r="M157">
        <v>1</v>
      </c>
    </row>
    <row r="158" spans="1:13" x14ac:dyDescent="0.25">
      <c r="A158">
        <v>2</v>
      </c>
      <c r="B158">
        <v>8672799</v>
      </c>
      <c r="C158">
        <v>6124</v>
      </c>
      <c r="D158">
        <v>4</v>
      </c>
      <c r="E158">
        <v>970</v>
      </c>
      <c r="F158" t="s">
        <v>436</v>
      </c>
      <c r="G158" t="s">
        <v>437</v>
      </c>
      <c r="H158">
        <v>506</v>
      </c>
      <c r="I158" t="s">
        <v>92</v>
      </c>
      <c r="J158" t="s">
        <v>93</v>
      </c>
      <c r="K158" t="s">
        <v>574</v>
      </c>
      <c r="L158">
        <v>1</v>
      </c>
      <c r="M158">
        <v>1</v>
      </c>
    </row>
    <row r="159" spans="1:13" x14ac:dyDescent="0.25">
      <c r="A159">
        <v>2</v>
      </c>
      <c r="B159">
        <v>8673146</v>
      </c>
      <c r="C159">
        <v>6124</v>
      </c>
      <c r="D159">
        <v>5</v>
      </c>
      <c r="E159">
        <v>401</v>
      </c>
      <c r="F159" t="s">
        <v>76</v>
      </c>
      <c r="G159" t="s">
        <v>77</v>
      </c>
      <c r="H159">
        <v>401</v>
      </c>
      <c r="I159" t="s">
        <v>76</v>
      </c>
      <c r="J159" t="s">
        <v>77</v>
      </c>
      <c r="K159" t="s">
        <v>575</v>
      </c>
      <c r="L159">
        <v>1</v>
      </c>
      <c r="M159">
        <v>1</v>
      </c>
    </row>
    <row r="160" spans="1:13" x14ac:dyDescent="0.25">
      <c r="A160">
        <v>2</v>
      </c>
      <c r="B160">
        <v>8672315</v>
      </c>
      <c r="C160">
        <v>6124</v>
      </c>
      <c r="D160">
        <v>2</v>
      </c>
      <c r="E160">
        <v>970</v>
      </c>
      <c r="F160" t="s">
        <v>436</v>
      </c>
      <c r="G160" t="s">
        <v>437</v>
      </c>
      <c r="H160">
        <v>506</v>
      </c>
      <c r="I160" t="s">
        <v>92</v>
      </c>
      <c r="J160" t="s">
        <v>93</v>
      </c>
      <c r="K160" t="s">
        <v>576</v>
      </c>
      <c r="L160">
        <v>1</v>
      </c>
      <c r="M160">
        <v>1</v>
      </c>
    </row>
    <row r="161" spans="1:13" x14ac:dyDescent="0.25">
      <c r="A161">
        <v>2</v>
      </c>
      <c r="B161">
        <v>8655329</v>
      </c>
      <c r="C161">
        <v>6124</v>
      </c>
      <c r="D161">
        <v>1</v>
      </c>
      <c r="E161">
        <v>498</v>
      </c>
      <c r="F161" t="s">
        <v>521</v>
      </c>
      <c r="G161" t="s">
        <v>522</v>
      </c>
      <c r="H161">
        <v>498</v>
      </c>
      <c r="I161" t="s">
        <v>521</v>
      </c>
      <c r="J161" t="s">
        <v>522</v>
      </c>
      <c r="K161" t="s">
        <v>577</v>
      </c>
      <c r="L161">
        <v>1</v>
      </c>
      <c r="M161">
        <v>1</v>
      </c>
    </row>
    <row r="162" spans="1:13" x14ac:dyDescent="0.25">
      <c r="A162">
        <v>2</v>
      </c>
      <c r="B162">
        <v>8680466</v>
      </c>
      <c r="C162">
        <v>6182</v>
      </c>
      <c r="D162">
        <v>1</v>
      </c>
      <c r="E162">
        <v>180</v>
      </c>
      <c r="F162" t="s">
        <v>68</v>
      </c>
      <c r="G162" t="s">
        <v>69</v>
      </c>
      <c r="H162">
        <v>180</v>
      </c>
      <c r="I162" t="s">
        <v>68</v>
      </c>
      <c r="J162" t="s">
        <v>69</v>
      </c>
      <c r="K162" t="s">
        <v>152</v>
      </c>
      <c r="L162">
        <v>30</v>
      </c>
      <c r="M162">
        <v>30</v>
      </c>
    </row>
    <row r="163" spans="1:13" x14ac:dyDescent="0.25">
      <c r="A163">
        <v>29</v>
      </c>
      <c r="B163">
        <v>8675900</v>
      </c>
      <c r="C163">
        <v>6183</v>
      </c>
      <c r="D163">
        <v>1</v>
      </c>
      <c r="E163">
        <v>856</v>
      </c>
      <c r="F163" t="s">
        <v>397</v>
      </c>
      <c r="G163" t="s">
        <v>398</v>
      </c>
      <c r="H163">
        <v>856</v>
      </c>
      <c r="I163" t="s">
        <v>397</v>
      </c>
      <c r="J163" t="s">
        <v>398</v>
      </c>
      <c r="K163" t="s">
        <v>578</v>
      </c>
      <c r="L163">
        <v>1</v>
      </c>
      <c r="M163">
        <v>1</v>
      </c>
    </row>
    <row r="164" spans="1:13" x14ac:dyDescent="0.25">
      <c r="A164">
        <v>4</v>
      </c>
      <c r="B164">
        <v>9662705</v>
      </c>
      <c r="C164">
        <v>6184</v>
      </c>
      <c r="D164">
        <v>1</v>
      </c>
      <c r="E164">
        <v>13</v>
      </c>
      <c r="F164" t="s">
        <v>62</v>
      </c>
      <c r="G164" t="s">
        <v>63</v>
      </c>
      <c r="H164">
        <v>13</v>
      </c>
      <c r="I164" t="s">
        <v>62</v>
      </c>
      <c r="J164" t="s">
        <v>63</v>
      </c>
      <c r="K164" t="s">
        <v>579</v>
      </c>
      <c r="L164">
        <v>1</v>
      </c>
      <c r="M164">
        <v>1</v>
      </c>
    </row>
    <row r="165" spans="1:13" x14ac:dyDescent="0.25">
      <c r="A165">
        <v>4</v>
      </c>
      <c r="B165">
        <v>9663390</v>
      </c>
      <c r="C165">
        <v>6185</v>
      </c>
      <c r="D165">
        <v>1</v>
      </c>
      <c r="E165">
        <v>401</v>
      </c>
      <c r="F165" t="s">
        <v>76</v>
      </c>
      <c r="G165" t="s">
        <v>77</v>
      </c>
      <c r="H165">
        <v>401</v>
      </c>
      <c r="I165" t="s">
        <v>76</v>
      </c>
      <c r="J165" t="s">
        <v>77</v>
      </c>
      <c r="K165" t="s">
        <v>580</v>
      </c>
      <c r="L165">
        <v>1</v>
      </c>
      <c r="M165">
        <v>1</v>
      </c>
    </row>
    <row r="166" spans="1:13" x14ac:dyDescent="0.25">
      <c r="A166">
        <v>4</v>
      </c>
      <c r="B166">
        <v>9661708</v>
      </c>
      <c r="C166">
        <v>6185</v>
      </c>
      <c r="D166">
        <v>2</v>
      </c>
      <c r="E166">
        <v>401</v>
      </c>
      <c r="F166" t="s">
        <v>76</v>
      </c>
      <c r="G166" t="s">
        <v>77</v>
      </c>
      <c r="H166">
        <v>401</v>
      </c>
      <c r="I166" t="s">
        <v>76</v>
      </c>
      <c r="J166" t="s">
        <v>77</v>
      </c>
      <c r="K166" t="s">
        <v>581</v>
      </c>
      <c r="L166">
        <v>1</v>
      </c>
      <c r="M166">
        <v>1</v>
      </c>
    </row>
    <row r="167" spans="1:13" x14ac:dyDescent="0.25">
      <c r="A167">
        <v>8</v>
      </c>
      <c r="B167">
        <v>9450545322</v>
      </c>
      <c r="C167">
        <v>6186</v>
      </c>
      <c r="D167">
        <v>1</v>
      </c>
      <c r="E167">
        <v>182</v>
      </c>
      <c r="F167" t="s">
        <v>322</v>
      </c>
      <c r="G167" t="s">
        <v>323</v>
      </c>
      <c r="H167">
        <v>182</v>
      </c>
      <c r="I167" t="s">
        <v>322</v>
      </c>
      <c r="J167" t="s">
        <v>323</v>
      </c>
      <c r="K167" t="s">
        <v>582</v>
      </c>
      <c r="L167">
        <v>1</v>
      </c>
      <c r="M167">
        <v>1</v>
      </c>
    </row>
    <row r="168" spans="1:13" x14ac:dyDescent="0.25">
      <c r="A168">
        <v>8</v>
      </c>
      <c r="B168">
        <v>9450545344</v>
      </c>
      <c r="C168">
        <v>6186</v>
      </c>
      <c r="D168">
        <v>2</v>
      </c>
      <c r="E168">
        <v>702</v>
      </c>
      <c r="F168" t="s">
        <v>120</v>
      </c>
      <c r="G168" t="s">
        <v>121</v>
      </c>
      <c r="H168">
        <v>702</v>
      </c>
      <c r="I168" t="s">
        <v>120</v>
      </c>
      <c r="J168" t="s">
        <v>121</v>
      </c>
      <c r="K168" t="s">
        <v>583</v>
      </c>
      <c r="L168">
        <v>1</v>
      </c>
      <c r="M168">
        <v>1</v>
      </c>
    </row>
    <row r="169" spans="1:13" x14ac:dyDescent="0.25">
      <c r="A169">
        <v>8</v>
      </c>
      <c r="B169">
        <v>9450545377</v>
      </c>
      <c r="C169">
        <v>6186</v>
      </c>
      <c r="D169">
        <v>3</v>
      </c>
      <c r="E169">
        <v>403</v>
      </c>
      <c r="F169" t="s">
        <v>78</v>
      </c>
      <c r="G169" t="s">
        <v>79</v>
      </c>
      <c r="H169">
        <v>403</v>
      </c>
      <c r="I169" t="s">
        <v>78</v>
      </c>
      <c r="J169" t="s">
        <v>79</v>
      </c>
      <c r="K169" t="s">
        <v>584</v>
      </c>
      <c r="L169">
        <v>1</v>
      </c>
      <c r="M169">
        <v>1</v>
      </c>
    </row>
    <row r="170" spans="1:13" x14ac:dyDescent="0.25">
      <c r="A170">
        <v>6</v>
      </c>
      <c r="B170">
        <v>957807</v>
      </c>
      <c r="C170">
        <v>6187</v>
      </c>
      <c r="D170">
        <v>1</v>
      </c>
      <c r="E170">
        <v>818</v>
      </c>
      <c r="F170" t="s">
        <v>130</v>
      </c>
      <c r="G170" t="s">
        <v>131</v>
      </c>
      <c r="H170">
        <v>818</v>
      </c>
      <c r="I170" t="s">
        <v>130</v>
      </c>
      <c r="J170" t="s">
        <v>131</v>
      </c>
      <c r="K170" t="s">
        <v>585</v>
      </c>
      <c r="L170">
        <v>1</v>
      </c>
      <c r="M170">
        <v>1</v>
      </c>
    </row>
    <row r="171" spans="1:13" x14ac:dyDescent="0.25">
      <c r="A171">
        <v>6</v>
      </c>
      <c r="B171">
        <v>957894</v>
      </c>
      <c r="C171">
        <v>6187</v>
      </c>
      <c r="D171">
        <v>2</v>
      </c>
      <c r="E171">
        <v>401</v>
      </c>
      <c r="F171" t="s">
        <v>76</v>
      </c>
      <c r="G171" t="s">
        <v>77</v>
      </c>
      <c r="H171">
        <v>401</v>
      </c>
      <c r="I171" t="s">
        <v>76</v>
      </c>
      <c r="J171" t="s">
        <v>77</v>
      </c>
      <c r="K171" t="s">
        <v>586</v>
      </c>
      <c r="L171">
        <v>1</v>
      </c>
      <c r="M171">
        <v>1</v>
      </c>
    </row>
    <row r="172" spans="1:13" x14ac:dyDescent="0.25">
      <c r="A172">
        <v>2</v>
      </c>
      <c r="B172">
        <v>8680428</v>
      </c>
      <c r="C172">
        <v>6188</v>
      </c>
      <c r="D172">
        <v>1</v>
      </c>
      <c r="E172">
        <v>179</v>
      </c>
      <c r="F172" t="s">
        <v>66</v>
      </c>
      <c r="G172" t="s">
        <v>67</v>
      </c>
      <c r="H172">
        <v>179</v>
      </c>
      <c r="I172" t="s">
        <v>66</v>
      </c>
      <c r="J172" t="s">
        <v>67</v>
      </c>
      <c r="K172" t="s">
        <v>587</v>
      </c>
      <c r="L172">
        <v>1</v>
      </c>
      <c r="M172">
        <v>1</v>
      </c>
    </row>
    <row r="173" spans="1:13" x14ac:dyDescent="0.25">
      <c r="A173">
        <v>6</v>
      </c>
      <c r="B173">
        <v>957912</v>
      </c>
      <c r="C173">
        <v>6189</v>
      </c>
      <c r="D173">
        <v>3</v>
      </c>
      <c r="E173">
        <v>141</v>
      </c>
      <c r="F173" t="s">
        <v>64</v>
      </c>
      <c r="G173" t="s">
        <v>65</v>
      </c>
      <c r="H173">
        <v>141</v>
      </c>
      <c r="I173" t="s">
        <v>64</v>
      </c>
      <c r="J173" t="s">
        <v>65</v>
      </c>
      <c r="K173" t="s">
        <v>588</v>
      </c>
      <c r="L173">
        <v>1</v>
      </c>
      <c r="M173">
        <v>1</v>
      </c>
    </row>
    <row r="174" spans="1:13" x14ac:dyDescent="0.25">
      <c r="A174">
        <v>6</v>
      </c>
      <c r="B174">
        <v>957132</v>
      </c>
      <c r="C174">
        <v>6189</v>
      </c>
      <c r="D174">
        <v>1</v>
      </c>
      <c r="E174">
        <v>700</v>
      </c>
      <c r="F174" t="s">
        <v>118</v>
      </c>
      <c r="G174" t="s">
        <v>119</v>
      </c>
      <c r="H174">
        <v>700</v>
      </c>
      <c r="I174" t="s">
        <v>118</v>
      </c>
      <c r="J174" t="s">
        <v>119</v>
      </c>
      <c r="K174" t="s">
        <v>589</v>
      </c>
      <c r="L174">
        <v>1</v>
      </c>
      <c r="M174">
        <v>1</v>
      </c>
    </row>
    <row r="175" spans="1:13" x14ac:dyDescent="0.25">
      <c r="A175">
        <v>6</v>
      </c>
      <c r="B175">
        <v>957386</v>
      </c>
      <c r="C175">
        <v>6189</v>
      </c>
      <c r="D175">
        <v>2</v>
      </c>
      <c r="E175">
        <v>887</v>
      </c>
      <c r="F175" t="s">
        <v>353</v>
      </c>
      <c r="G175" t="s">
        <v>354</v>
      </c>
      <c r="H175">
        <v>887</v>
      </c>
      <c r="I175" t="s">
        <v>353</v>
      </c>
      <c r="J175" t="s">
        <v>354</v>
      </c>
      <c r="K175" t="s">
        <v>590</v>
      </c>
      <c r="L175">
        <v>1</v>
      </c>
      <c r="M175">
        <v>1</v>
      </c>
    </row>
    <row r="176" spans="1:13" x14ac:dyDescent="0.25">
      <c r="A176">
        <v>9</v>
      </c>
      <c r="B176">
        <v>9198529</v>
      </c>
      <c r="C176">
        <v>6190</v>
      </c>
      <c r="D176">
        <v>1</v>
      </c>
      <c r="E176">
        <v>905</v>
      </c>
      <c r="F176" t="s">
        <v>146</v>
      </c>
      <c r="G176" t="s">
        <v>147</v>
      </c>
      <c r="H176">
        <v>905</v>
      </c>
      <c r="I176" t="s">
        <v>146</v>
      </c>
      <c r="J176" t="s">
        <v>147</v>
      </c>
      <c r="K176" t="s">
        <v>591</v>
      </c>
      <c r="L176">
        <v>1</v>
      </c>
      <c r="M176">
        <v>1</v>
      </c>
    </row>
    <row r="177" spans="1:13" x14ac:dyDescent="0.25">
      <c r="A177">
        <v>9</v>
      </c>
      <c r="B177">
        <v>9198826</v>
      </c>
      <c r="C177">
        <v>6191</v>
      </c>
      <c r="D177">
        <v>5</v>
      </c>
      <c r="E177">
        <v>809</v>
      </c>
      <c r="F177" t="s">
        <v>128</v>
      </c>
      <c r="G177" t="s">
        <v>129</v>
      </c>
      <c r="H177">
        <v>809</v>
      </c>
      <c r="I177" t="s">
        <v>128</v>
      </c>
      <c r="J177" t="s">
        <v>129</v>
      </c>
      <c r="K177" t="s">
        <v>592</v>
      </c>
      <c r="L177">
        <v>1</v>
      </c>
      <c r="M177">
        <v>1</v>
      </c>
    </row>
    <row r="178" spans="1:13" x14ac:dyDescent="0.25">
      <c r="A178">
        <v>9</v>
      </c>
      <c r="B178">
        <v>9198903</v>
      </c>
      <c r="C178">
        <v>6191</v>
      </c>
      <c r="D178">
        <v>6</v>
      </c>
      <c r="E178">
        <v>641</v>
      </c>
      <c r="F178" t="s">
        <v>108</v>
      </c>
      <c r="G178" t="s">
        <v>109</v>
      </c>
      <c r="H178">
        <v>641</v>
      </c>
      <c r="I178" t="s">
        <v>108</v>
      </c>
      <c r="J178" t="s">
        <v>109</v>
      </c>
      <c r="K178" t="s">
        <v>593</v>
      </c>
      <c r="L178">
        <v>1</v>
      </c>
      <c r="M178">
        <v>1</v>
      </c>
    </row>
    <row r="179" spans="1:13" x14ac:dyDescent="0.25">
      <c r="A179">
        <v>9</v>
      </c>
      <c r="B179">
        <v>9198650</v>
      </c>
      <c r="C179">
        <v>6191</v>
      </c>
      <c r="D179">
        <v>2</v>
      </c>
      <c r="E179">
        <v>674</v>
      </c>
      <c r="F179" t="s">
        <v>112</v>
      </c>
      <c r="G179" t="s">
        <v>113</v>
      </c>
      <c r="H179">
        <v>674</v>
      </c>
      <c r="I179" t="s">
        <v>112</v>
      </c>
      <c r="J179" t="s">
        <v>113</v>
      </c>
      <c r="K179" t="s">
        <v>594</v>
      </c>
      <c r="L179">
        <v>1</v>
      </c>
      <c r="M179">
        <v>1</v>
      </c>
    </row>
    <row r="180" spans="1:13" x14ac:dyDescent="0.25">
      <c r="A180">
        <v>9</v>
      </c>
      <c r="B180">
        <v>9198651</v>
      </c>
      <c r="C180">
        <v>6191</v>
      </c>
      <c r="D180">
        <v>3</v>
      </c>
      <c r="E180">
        <v>632</v>
      </c>
      <c r="F180" t="s">
        <v>102</v>
      </c>
      <c r="G180" t="s">
        <v>103</v>
      </c>
      <c r="H180">
        <v>632</v>
      </c>
      <c r="I180" t="s">
        <v>102</v>
      </c>
      <c r="J180" t="s">
        <v>103</v>
      </c>
      <c r="K180" t="s">
        <v>595</v>
      </c>
      <c r="L180">
        <v>1</v>
      </c>
      <c r="M180">
        <v>1</v>
      </c>
    </row>
    <row r="181" spans="1:13" x14ac:dyDescent="0.25">
      <c r="A181">
        <v>9</v>
      </c>
      <c r="B181">
        <v>9198747</v>
      </c>
      <c r="C181">
        <v>6191</v>
      </c>
      <c r="D181">
        <v>4</v>
      </c>
      <c r="E181">
        <v>474</v>
      </c>
      <c r="F181" t="s">
        <v>86</v>
      </c>
      <c r="G181" t="s">
        <v>87</v>
      </c>
      <c r="H181">
        <v>474</v>
      </c>
      <c r="I181" t="s">
        <v>86</v>
      </c>
      <c r="J181" t="s">
        <v>87</v>
      </c>
      <c r="K181" t="s">
        <v>596</v>
      </c>
      <c r="L181">
        <v>1</v>
      </c>
      <c r="M181">
        <v>1</v>
      </c>
    </row>
    <row r="182" spans="1:13" x14ac:dyDescent="0.25">
      <c r="A182">
        <v>9</v>
      </c>
      <c r="B182">
        <v>9198361</v>
      </c>
      <c r="C182">
        <v>6191</v>
      </c>
      <c r="D182">
        <v>1</v>
      </c>
      <c r="E182">
        <v>639</v>
      </c>
      <c r="F182" t="s">
        <v>106</v>
      </c>
      <c r="G182" t="s">
        <v>107</v>
      </c>
      <c r="H182">
        <v>639</v>
      </c>
      <c r="I182" t="s">
        <v>106</v>
      </c>
      <c r="J182" t="s">
        <v>107</v>
      </c>
      <c r="K182" t="s">
        <v>597</v>
      </c>
      <c r="L182">
        <v>1</v>
      </c>
      <c r="M182">
        <v>1</v>
      </c>
    </row>
    <row r="183" spans="1:13" x14ac:dyDescent="0.25">
      <c r="A183">
        <v>9</v>
      </c>
      <c r="B183">
        <v>9198848</v>
      </c>
      <c r="C183">
        <v>6192</v>
      </c>
      <c r="D183">
        <v>1</v>
      </c>
      <c r="E183">
        <v>674</v>
      </c>
      <c r="F183" t="s">
        <v>112</v>
      </c>
      <c r="G183" t="s">
        <v>113</v>
      </c>
      <c r="H183">
        <v>674</v>
      </c>
      <c r="I183" t="s">
        <v>112</v>
      </c>
      <c r="J183" t="s">
        <v>113</v>
      </c>
      <c r="K183" t="s">
        <v>598</v>
      </c>
      <c r="L183">
        <v>1</v>
      </c>
      <c r="M183">
        <v>1</v>
      </c>
    </row>
    <row r="184" spans="1:13" x14ac:dyDescent="0.25">
      <c r="A184">
        <v>9</v>
      </c>
      <c r="B184">
        <v>9198903</v>
      </c>
      <c r="C184">
        <v>6192</v>
      </c>
      <c r="D184">
        <v>2</v>
      </c>
      <c r="E184">
        <v>970</v>
      </c>
      <c r="F184" t="s">
        <v>436</v>
      </c>
      <c r="G184" t="s">
        <v>437</v>
      </c>
      <c r="H184">
        <v>506</v>
      </c>
      <c r="I184" t="s">
        <v>92</v>
      </c>
      <c r="J184" t="s">
        <v>93</v>
      </c>
      <c r="K184" t="s">
        <v>599</v>
      </c>
      <c r="L184">
        <v>1</v>
      </c>
      <c r="M184">
        <v>1</v>
      </c>
    </row>
    <row r="185" spans="1:13" x14ac:dyDescent="0.25">
      <c r="A185">
        <v>9</v>
      </c>
      <c r="B185">
        <v>9198903</v>
      </c>
      <c r="C185">
        <v>6192</v>
      </c>
      <c r="D185">
        <v>3</v>
      </c>
      <c r="E185">
        <v>401</v>
      </c>
      <c r="F185" t="s">
        <v>76</v>
      </c>
      <c r="G185" t="s">
        <v>77</v>
      </c>
      <c r="H185">
        <v>401</v>
      </c>
      <c r="I185" t="s">
        <v>76</v>
      </c>
      <c r="J185" t="s">
        <v>77</v>
      </c>
      <c r="K185" t="s">
        <v>600</v>
      </c>
      <c r="L185">
        <v>1</v>
      </c>
      <c r="M185">
        <v>1</v>
      </c>
    </row>
    <row r="186" spans="1:13" x14ac:dyDescent="0.25">
      <c r="A186">
        <v>9</v>
      </c>
      <c r="B186">
        <v>9198903</v>
      </c>
      <c r="C186">
        <v>6192</v>
      </c>
      <c r="D186">
        <v>4</v>
      </c>
      <c r="E186">
        <v>674</v>
      </c>
      <c r="F186" t="s">
        <v>112</v>
      </c>
      <c r="G186" t="s">
        <v>113</v>
      </c>
      <c r="H186">
        <v>674</v>
      </c>
      <c r="I186" t="s">
        <v>112</v>
      </c>
      <c r="J186" t="s">
        <v>113</v>
      </c>
      <c r="K186" t="s">
        <v>601</v>
      </c>
      <c r="L186">
        <v>1</v>
      </c>
      <c r="M186">
        <v>1</v>
      </c>
    </row>
    <row r="187" spans="1:13" x14ac:dyDescent="0.25">
      <c r="A187">
        <v>9</v>
      </c>
      <c r="B187">
        <v>9198903</v>
      </c>
      <c r="C187">
        <v>6192</v>
      </c>
      <c r="D187">
        <v>5</v>
      </c>
      <c r="E187">
        <v>905</v>
      </c>
      <c r="F187" t="s">
        <v>146</v>
      </c>
      <c r="G187" t="s">
        <v>147</v>
      </c>
      <c r="H187">
        <v>905</v>
      </c>
      <c r="I187" t="s">
        <v>146</v>
      </c>
      <c r="J187" t="s">
        <v>147</v>
      </c>
      <c r="K187" t="s">
        <v>602</v>
      </c>
      <c r="L187">
        <v>1</v>
      </c>
      <c r="M187">
        <v>1</v>
      </c>
    </row>
    <row r="188" spans="1:13" x14ac:dyDescent="0.25">
      <c r="A188">
        <v>9</v>
      </c>
      <c r="B188">
        <v>9198903</v>
      </c>
      <c r="C188">
        <v>6192</v>
      </c>
      <c r="D188">
        <v>6</v>
      </c>
      <c r="E188">
        <v>970</v>
      </c>
      <c r="F188" t="s">
        <v>436</v>
      </c>
      <c r="G188" t="s">
        <v>437</v>
      </c>
      <c r="H188">
        <v>506</v>
      </c>
      <c r="I188" t="s">
        <v>92</v>
      </c>
      <c r="J188" t="s">
        <v>93</v>
      </c>
      <c r="K188" t="s">
        <v>603</v>
      </c>
      <c r="L188">
        <v>1</v>
      </c>
      <c r="M188">
        <v>1</v>
      </c>
    </row>
    <row r="189" spans="1:13" x14ac:dyDescent="0.25">
      <c r="A189">
        <v>9</v>
      </c>
      <c r="B189">
        <v>9198903</v>
      </c>
      <c r="C189">
        <v>6192</v>
      </c>
      <c r="D189">
        <v>7</v>
      </c>
      <c r="E189">
        <v>970</v>
      </c>
      <c r="F189" t="s">
        <v>436</v>
      </c>
      <c r="G189" t="s">
        <v>437</v>
      </c>
      <c r="H189">
        <v>506</v>
      </c>
      <c r="I189" t="s">
        <v>92</v>
      </c>
      <c r="J189" t="s">
        <v>93</v>
      </c>
      <c r="K189" t="s">
        <v>604</v>
      </c>
      <c r="L189">
        <v>1</v>
      </c>
      <c r="M189">
        <v>1</v>
      </c>
    </row>
    <row r="190" spans="1:13" x14ac:dyDescent="0.25">
      <c r="A190">
        <v>2</v>
      </c>
      <c r="B190">
        <v>8681567</v>
      </c>
      <c r="C190">
        <v>6193</v>
      </c>
      <c r="D190">
        <v>5</v>
      </c>
      <c r="E190">
        <v>181</v>
      </c>
      <c r="F190" t="s">
        <v>164</v>
      </c>
      <c r="G190" t="s">
        <v>165</v>
      </c>
      <c r="H190">
        <v>181</v>
      </c>
      <c r="I190" t="s">
        <v>164</v>
      </c>
      <c r="J190" t="s">
        <v>165</v>
      </c>
      <c r="K190" t="s">
        <v>605</v>
      </c>
      <c r="L190">
        <v>2</v>
      </c>
      <c r="M190">
        <v>2</v>
      </c>
    </row>
    <row r="191" spans="1:13" x14ac:dyDescent="0.25">
      <c r="A191">
        <v>2</v>
      </c>
      <c r="B191">
        <v>8681776</v>
      </c>
      <c r="C191">
        <v>6193</v>
      </c>
      <c r="D191">
        <v>6</v>
      </c>
      <c r="E191">
        <v>401</v>
      </c>
      <c r="F191" t="s">
        <v>76</v>
      </c>
      <c r="G191" t="s">
        <v>77</v>
      </c>
      <c r="H191">
        <v>401</v>
      </c>
      <c r="I191" t="s">
        <v>76</v>
      </c>
      <c r="J191" t="s">
        <v>77</v>
      </c>
      <c r="K191" t="s">
        <v>606</v>
      </c>
      <c r="L191">
        <v>1</v>
      </c>
      <c r="M191">
        <v>1</v>
      </c>
    </row>
    <row r="192" spans="1:13" x14ac:dyDescent="0.25">
      <c r="A192">
        <v>2</v>
      </c>
      <c r="B192">
        <v>8680080</v>
      </c>
      <c r="C192">
        <v>6193</v>
      </c>
      <c r="D192">
        <v>2</v>
      </c>
      <c r="E192">
        <v>181</v>
      </c>
      <c r="F192" t="s">
        <v>164</v>
      </c>
      <c r="G192" t="s">
        <v>165</v>
      </c>
      <c r="H192">
        <v>181</v>
      </c>
      <c r="I192" t="s">
        <v>164</v>
      </c>
      <c r="J192" t="s">
        <v>165</v>
      </c>
      <c r="K192" t="s">
        <v>607</v>
      </c>
      <c r="L192">
        <v>1</v>
      </c>
      <c r="M192">
        <v>1</v>
      </c>
    </row>
    <row r="193" spans="1:13" x14ac:dyDescent="0.25">
      <c r="A193">
        <v>2</v>
      </c>
      <c r="B193">
        <v>8680106</v>
      </c>
      <c r="C193">
        <v>6193</v>
      </c>
      <c r="D193">
        <v>3</v>
      </c>
      <c r="E193">
        <v>181</v>
      </c>
      <c r="F193" t="s">
        <v>164</v>
      </c>
      <c r="G193" t="s">
        <v>165</v>
      </c>
      <c r="H193">
        <v>181</v>
      </c>
      <c r="I193" t="s">
        <v>164</v>
      </c>
      <c r="J193" t="s">
        <v>165</v>
      </c>
      <c r="K193" t="s">
        <v>608</v>
      </c>
      <c r="L193">
        <v>1</v>
      </c>
      <c r="M193">
        <v>1</v>
      </c>
    </row>
    <row r="194" spans="1:13" x14ac:dyDescent="0.25">
      <c r="A194">
        <v>2</v>
      </c>
      <c r="B194">
        <v>8680421</v>
      </c>
      <c r="C194">
        <v>6193</v>
      </c>
      <c r="D194">
        <v>4</v>
      </c>
      <c r="E194">
        <v>181</v>
      </c>
      <c r="F194" t="s">
        <v>164</v>
      </c>
      <c r="G194" t="s">
        <v>165</v>
      </c>
      <c r="H194">
        <v>181</v>
      </c>
      <c r="I194" t="s">
        <v>164</v>
      </c>
      <c r="J194" t="s">
        <v>165</v>
      </c>
      <c r="K194" t="s">
        <v>609</v>
      </c>
      <c r="L194">
        <v>1</v>
      </c>
      <c r="M194">
        <v>1</v>
      </c>
    </row>
    <row r="195" spans="1:13" x14ac:dyDescent="0.25">
      <c r="A195">
        <v>2</v>
      </c>
      <c r="B195">
        <v>8676560</v>
      </c>
      <c r="C195">
        <v>6193</v>
      </c>
      <c r="D195">
        <v>1</v>
      </c>
      <c r="E195">
        <v>403</v>
      </c>
      <c r="F195" t="s">
        <v>78</v>
      </c>
      <c r="G195" t="s">
        <v>79</v>
      </c>
      <c r="H195">
        <v>403</v>
      </c>
      <c r="I195" t="s">
        <v>78</v>
      </c>
      <c r="J195" t="s">
        <v>79</v>
      </c>
      <c r="K195" t="s">
        <v>610</v>
      </c>
      <c r="L195">
        <v>1</v>
      </c>
      <c r="M195">
        <v>1</v>
      </c>
    </row>
    <row r="196" spans="1:13" x14ac:dyDescent="0.25">
      <c r="A196">
        <v>1</v>
      </c>
      <c r="B196">
        <v>8681169</v>
      </c>
      <c r="C196">
        <v>6194</v>
      </c>
      <c r="D196">
        <v>1</v>
      </c>
      <c r="E196">
        <v>878</v>
      </c>
      <c r="F196" t="s">
        <v>216</v>
      </c>
      <c r="G196" t="s">
        <v>217</v>
      </c>
      <c r="H196">
        <v>362</v>
      </c>
      <c r="I196" t="s">
        <v>72</v>
      </c>
      <c r="J196" t="s">
        <v>73</v>
      </c>
      <c r="K196" t="s">
        <v>152</v>
      </c>
      <c r="L196">
        <v>12</v>
      </c>
      <c r="M196">
        <v>12</v>
      </c>
    </row>
    <row r="197" spans="1:13" x14ac:dyDescent="0.25">
      <c r="A197">
        <v>1</v>
      </c>
      <c r="B197">
        <v>8681169</v>
      </c>
      <c r="C197">
        <v>6194</v>
      </c>
      <c r="D197">
        <v>2</v>
      </c>
      <c r="E197">
        <v>617</v>
      </c>
      <c r="F197" t="s">
        <v>611</v>
      </c>
      <c r="G197" t="s">
        <v>612</v>
      </c>
      <c r="H197">
        <v>617</v>
      </c>
      <c r="I197" t="s">
        <v>611</v>
      </c>
      <c r="J197" t="s">
        <v>612</v>
      </c>
      <c r="K197" t="s">
        <v>153</v>
      </c>
      <c r="L197">
        <v>12</v>
      </c>
      <c r="M197">
        <v>12</v>
      </c>
    </row>
    <row r="198" spans="1:13" x14ac:dyDescent="0.25">
      <c r="A198">
        <v>24</v>
      </c>
      <c r="B198">
        <v>5104876</v>
      </c>
      <c r="C198">
        <v>6245</v>
      </c>
      <c r="D198">
        <v>1</v>
      </c>
      <c r="E198">
        <v>813</v>
      </c>
      <c r="F198" t="s">
        <v>345</v>
      </c>
      <c r="G198" t="s">
        <v>346</v>
      </c>
      <c r="H198">
        <v>813</v>
      </c>
      <c r="I198" t="s">
        <v>345</v>
      </c>
      <c r="J198" t="s">
        <v>346</v>
      </c>
      <c r="K198" t="s">
        <v>613</v>
      </c>
      <c r="L198">
        <v>1</v>
      </c>
      <c r="M198">
        <v>1</v>
      </c>
    </row>
    <row r="199" spans="1:13" x14ac:dyDescent="0.25">
      <c r="A199">
        <v>24</v>
      </c>
      <c r="B199">
        <v>5104911</v>
      </c>
      <c r="C199">
        <v>6245</v>
      </c>
      <c r="D199">
        <v>4</v>
      </c>
      <c r="E199">
        <v>813</v>
      </c>
      <c r="F199" t="s">
        <v>345</v>
      </c>
      <c r="G199" t="s">
        <v>346</v>
      </c>
      <c r="H199">
        <v>813</v>
      </c>
      <c r="I199" t="s">
        <v>345</v>
      </c>
      <c r="J199" t="s">
        <v>346</v>
      </c>
      <c r="K199" t="s">
        <v>614</v>
      </c>
      <c r="L199">
        <v>1</v>
      </c>
      <c r="M199">
        <v>1</v>
      </c>
    </row>
    <row r="200" spans="1:13" x14ac:dyDescent="0.25">
      <c r="A200">
        <v>24</v>
      </c>
      <c r="B200">
        <v>5104949</v>
      </c>
      <c r="C200">
        <v>6245</v>
      </c>
      <c r="D200">
        <v>2</v>
      </c>
      <c r="E200">
        <v>813</v>
      </c>
      <c r="F200" t="s">
        <v>345</v>
      </c>
      <c r="G200" t="s">
        <v>346</v>
      </c>
      <c r="H200">
        <v>813</v>
      </c>
      <c r="I200" t="s">
        <v>345</v>
      </c>
      <c r="J200" t="s">
        <v>346</v>
      </c>
      <c r="K200" t="s">
        <v>615</v>
      </c>
      <c r="L200">
        <v>1</v>
      </c>
      <c r="M200">
        <v>1</v>
      </c>
    </row>
    <row r="201" spans="1:13" x14ac:dyDescent="0.25">
      <c r="A201">
        <v>8</v>
      </c>
      <c r="B201">
        <v>9450545599</v>
      </c>
      <c r="C201">
        <v>6246</v>
      </c>
      <c r="D201">
        <v>1</v>
      </c>
      <c r="E201">
        <v>632</v>
      </c>
      <c r="F201" t="s">
        <v>102</v>
      </c>
      <c r="G201" t="s">
        <v>103</v>
      </c>
      <c r="H201">
        <v>632</v>
      </c>
      <c r="I201" t="s">
        <v>102</v>
      </c>
      <c r="J201" t="s">
        <v>103</v>
      </c>
      <c r="K201" t="s">
        <v>616</v>
      </c>
      <c r="L201">
        <v>1</v>
      </c>
      <c r="M201">
        <v>1</v>
      </c>
    </row>
    <row r="202" spans="1:13" x14ac:dyDescent="0.25">
      <c r="A202">
        <v>8</v>
      </c>
      <c r="B202">
        <v>9450545600</v>
      </c>
      <c r="C202">
        <v>6246</v>
      </c>
      <c r="D202">
        <v>2</v>
      </c>
      <c r="E202">
        <v>382</v>
      </c>
      <c r="F202" t="s">
        <v>533</v>
      </c>
      <c r="G202" t="s">
        <v>534</v>
      </c>
      <c r="H202">
        <v>382</v>
      </c>
      <c r="I202" t="s">
        <v>533</v>
      </c>
      <c r="J202" t="s">
        <v>534</v>
      </c>
      <c r="K202" t="s">
        <v>617</v>
      </c>
      <c r="L202">
        <v>1</v>
      </c>
      <c r="M202">
        <v>1</v>
      </c>
    </row>
    <row r="203" spans="1:13" x14ac:dyDescent="0.25">
      <c r="A203">
        <v>8</v>
      </c>
      <c r="B203">
        <v>9450545600</v>
      </c>
      <c r="C203">
        <v>6246</v>
      </c>
      <c r="D203">
        <v>3</v>
      </c>
      <c r="E203">
        <v>632</v>
      </c>
      <c r="F203" t="s">
        <v>102</v>
      </c>
      <c r="G203" t="s">
        <v>103</v>
      </c>
      <c r="H203">
        <v>632</v>
      </c>
      <c r="I203" t="s">
        <v>102</v>
      </c>
      <c r="J203" t="s">
        <v>103</v>
      </c>
      <c r="K203" t="s">
        <v>616</v>
      </c>
      <c r="L203">
        <v>1</v>
      </c>
      <c r="M203">
        <v>1</v>
      </c>
    </row>
    <row r="204" spans="1:13" x14ac:dyDescent="0.25">
      <c r="A204">
        <v>29</v>
      </c>
      <c r="B204">
        <v>8688953</v>
      </c>
      <c r="C204">
        <v>6247</v>
      </c>
      <c r="D204">
        <v>1</v>
      </c>
      <c r="E204">
        <v>563</v>
      </c>
      <c r="F204" t="s">
        <v>253</v>
      </c>
      <c r="G204" t="s">
        <v>254</v>
      </c>
      <c r="H204">
        <v>563</v>
      </c>
      <c r="I204" t="s">
        <v>253</v>
      </c>
      <c r="J204" t="s">
        <v>254</v>
      </c>
      <c r="K204" t="s">
        <v>155</v>
      </c>
      <c r="L204">
        <v>12</v>
      </c>
      <c r="M204">
        <v>0</v>
      </c>
    </row>
    <row r="205" spans="1:13" x14ac:dyDescent="0.25">
      <c r="A205">
        <v>29</v>
      </c>
      <c r="B205">
        <v>8688953</v>
      </c>
      <c r="C205">
        <v>6247</v>
      </c>
      <c r="D205">
        <v>2</v>
      </c>
      <c r="E205">
        <v>564</v>
      </c>
      <c r="F205" t="s">
        <v>273</v>
      </c>
      <c r="G205" t="s">
        <v>274</v>
      </c>
      <c r="H205">
        <v>564</v>
      </c>
      <c r="I205" t="s">
        <v>273</v>
      </c>
      <c r="J205" t="s">
        <v>274</v>
      </c>
      <c r="K205" t="s">
        <v>154</v>
      </c>
      <c r="L205">
        <v>18</v>
      </c>
      <c r="M205">
        <v>0</v>
      </c>
    </row>
    <row r="206" spans="1:13" x14ac:dyDescent="0.25">
      <c r="A206">
        <v>29</v>
      </c>
      <c r="B206">
        <v>8688953</v>
      </c>
      <c r="C206">
        <v>6247</v>
      </c>
      <c r="D206">
        <v>3</v>
      </c>
      <c r="E206">
        <v>565</v>
      </c>
      <c r="F206" t="s">
        <v>401</v>
      </c>
      <c r="G206" t="s">
        <v>402</v>
      </c>
      <c r="H206">
        <v>565</v>
      </c>
      <c r="I206" t="s">
        <v>401</v>
      </c>
      <c r="J206" t="s">
        <v>402</v>
      </c>
      <c r="K206" t="s">
        <v>153</v>
      </c>
      <c r="L206">
        <v>6</v>
      </c>
      <c r="M206">
        <v>0</v>
      </c>
    </row>
    <row r="207" spans="1:13" x14ac:dyDescent="0.25">
      <c r="A207">
        <v>29</v>
      </c>
      <c r="B207">
        <v>8688953</v>
      </c>
      <c r="C207">
        <v>6247</v>
      </c>
      <c r="D207">
        <v>4</v>
      </c>
      <c r="E207">
        <v>683</v>
      </c>
      <c r="F207" t="s">
        <v>255</v>
      </c>
      <c r="G207" t="s">
        <v>256</v>
      </c>
      <c r="H207">
        <v>683</v>
      </c>
      <c r="I207" t="s">
        <v>255</v>
      </c>
      <c r="J207" t="s">
        <v>256</v>
      </c>
      <c r="K207" t="s">
        <v>152</v>
      </c>
      <c r="L207">
        <v>240</v>
      </c>
      <c r="M207">
        <v>100</v>
      </c>
    </row>
    <row r="208" spans="1:13" x14ac:dyDescent="0.25">
      <c r="A208">
        <v>29</v>
      </c>
      <c r="B208">
        <v>8688953</v>
      </c>
      <c r="C208">
        <v>6247</v>
      </c>
      <c r="D208">
        <v>5</v>
      </c>
      <c r="E208">
        <v>828</v>
      </c>
      <c r="F208" t="s">
        <v>618</v>
      </c>
      <c r="G208" t="s">
        <v>619</v>
      </c>
      <c r="H208">
        <v>828</v>
      </c>
      <c r="I208" t="s">
        <v>618</v>
      </c>
      <c r="J208" t="s">
        <v>619</v>
      </c>
      <c r="K208" t="s">
        <v>410</v>
      </c>
      <c r="L208">
        <v>16</v>
      </c>
      <c r="M208">
        <v>0</v>
      </c>
    </row>
    <row r="209" spans="1:13" x14ac:dyDescent="0.25">
      <c r="A209">
        <v>29</v>
      </c>
      <c r="B209">
        <v>8688953</v>
      </c>
      <c r="C209">
        <v>6247</v>
      </c>
      <c r="D209">
        <v>6</v>
      </c>
      <c r="E209">
        <v>799</v>
      </c>
      <c r="F209" t="s">
        <v>247</v>
      </c>
      <c r="G209" t="s">
        <v>248</v>
      </c>
      <c r="H209">
        <v>799</v>
      </c>
      <c r="I209" t="s">
        <v>247</v>
      </c>
      <c r="J209" t="s">
        <v>248</v>
      </c>
      <c r="K209" t="s">
        <v>244</v>
      </c>
      <c r="L209">
        <v>900</v>
      </c>
      <c r="M209">
        <v>0</v>
      </c>
    </row>
    <row r="210" spans="1:13" x14ac:dyDescent="0.25">
      <c r="A210">
        <v>29</v>
      </c>
      <c r="B210">
        <v>8688953</v>
      </c>
      <c r="C210">
        <v>6247</v>
      </c>
      <c r="D210">
        <v>7</v>
      </c>
      <c r="E210">
        <v>800</v>
      </c>
      <c r="F210" t="s">
        <v>408</v>
      </c>
      <c r="G210" t="s">
        <v>409</v>
      </c>
      <c r="H210">
        <v>800</v>
      </c>
      <c r="I210" t="s">
        <v>408</v>
      </c>
      <c r="J210" t="s">
        <v>409</v>
      </c>
      <c r="K210" t="s">
        <v>156</v>
      </c>
      <c r="L210">
        <v>864</v>
      </c>
      <c r="M210">
        <v>0</v>
      </c>
    </row>
    <row r="211" spans="1:13" x14ac:dyDescent="0.25">
      <c r="A211">
        <v>29</v>
      </c>
      <c r="B211">
        <v>8688953</v>
      </c>
      <c r="C211">
        <v>6247</v>
      </c>
      <c r="D211">
        <v>8</v>
      </c>
      <c r="E211">
        <v>967</v>
      </c>
      <c r="F211" t="s">
        <v>249</v>
      </c>
      <c r="G211" t="s">
        <v>250</v>
      </c>
      <c r="H211">
        <v>967</v>
      </c>
      <c r="I211" t="s">
        <v>249</v>
      </c>
      <c r="J211" t="s">
        <v>250</v>
      </c>
      <c r="K211" t="s">
        <v>407</v>
      </c>
      <c r="L211">
        <v>30</v>
      </c>
      <c r="M211">
        <v>0</v>
      </c>
    </row>
    <row r="212" spans="1:13" x14ac:dyDescent="0.25">
      <c r="A212">
        <v>4</v>
      </c>
      <c r="B212">
        <v>9676707</v>
      </c>
      <c r="C212">
        <v>6248</v>
      </c>
      <c r="D212">
        <v>3</v>
      </c>
      <c r="E212">
        <v>499</v>
      </c>
      <c r="F212" t="s">
        <v>376</v>
      </c>
      <c r="G212" t="s">
        <v>377</v>
      </c>
      <c r="H212">
        <v>564</v>
      </c>
      <c r="I212" t="s">
        <v>273</v>
      </c>
      <c r="J212" t="s">
        <v>274</v>
      </c>
      <c r="K212" t="s">
        <v>620</v>
      </c>
      <c r="L212">
        <v>1</v>
      </c>
      <c r="M212">
        <v>1</v>
      </c>
    </row>
    <row r="213" spans="1:13" x14ac:dyDescent="0.25">
      <c r="A213">
        <v>4</v>
      </c>
      <c r="B213">
        <v>9676715</v>
      </c>
      <c r="C213">
        <v>6248</v>
      </c>
      <c r="D213">
        <v>4</v>
      </c>
      <c r="E213">
        <v>467</v>
      </c>
      <c r="F213" t="s">
        <v>389</v>
      </c>
      <c r="G213" t="s">
        <v>390</v>
      </c>
      <c r="H213">
        <v>467</v>
      </c>
      <c r="I213" t="s">
        <v>389</v>
      </c>
      <c r="J213" t="s">
        <v>390</v>
      </c>
      <c r="K213" t="s">
        <v>621</v>
      </c>
      <c r="L213">
        <v>1</v>
      </c>
      <c r="M213">
        <v>1</v>
      </c>
    </row>
    <row r="214" spans="1:13" x14ac:dyDescent="0.25">
      <c r="A214">
        <v>4</v>
      </c>
      <c r="B214">
        <v>9677140</v>
      </c>
      <c r="C214">
        <v>6248</v>
      </c>
      <c r="D214">
        <v>5</v>
      </c>
      <c r="E214">
        <v>592</v>
      </c>
      <c r="F214" t="s">
        <v>622</v>
      </c>
      <c r="G214" t="s">
        <v>623</v>
      </c>
      <c r="H214">
        <v>592</v>
      </c>
      <c r="I214" t="s">
        <v>622</v>
      </c>
      <c r="J214" t="s">
        <v>623</v>
      </c>
      <c r="K214" t="s">
        <v>624</v>
      </c>
      <c r="L214">
        <v>1</v>
      </c>
      <c r="M214">
        <v>1</v>
      </c>
    </row>
    <row r="215" spans="1:13" x14ac:dyDescent="0.25">
      <c r="A215">
        <v>4</v>
      </c>
      <c r="B215">
        <v>9675309</v>
      </c>
      <c r="C215">
        <v>6248</v>
      </c>
      <c r="D215">
        <v>1</v>
      </c>
      <c r="E215">
        <v>400</v>
      </c>
      <c r="F215" t="s">
        <v>74</v>
      </c>
      <c r="G215" t="s">
        <v>75</v>
      </c>
      <c r="H215">
        <v>400</v>
      </c>
      <c r="I215" t="s">
        <v>74</v>
      </c>
      <c r="J215" t="s">
        <v>75</v>
      </c>
      <c r="K215" t="s">
        <v>625</v>
      </c>
      <c r="L215">
        <v>1</v>
      </c>
      <c r="M215">
        <v>1</v>
      </c>
    </row>
    <row r="216" spans="1:13" x14ac:dyDescent="0.25">
      <c r="A216">
        <v>4</v>
      </c>
      <c r="B216">
        <v>9676310</v>
      </c>
      <c r="C216">
        <v>6248</v>
      </c>
      <c r="D216">
        <v>2</v>
      </c>
      <c r="E216">
        <v>141</v>
      </c>
      <c r="F216" t="s">
        <v>64</v>
      </c>
      <c r="G216" t="s">
        <v>65</v>
      </c>
      <c r="H216">
        <v>141</v>
      </c>
      <c r="I216" t="s">
        <v>64</v>
      </c>
      <c r="J216" t="s">
        <v>65</v>
      </c>
      <c r="K216" t="s">
        <v>626</v>
      </c>
      <c r="L216">
        <v>1</v>
      </c>
      <c r="M216">
        <v>1</v>
      </c>
    </row>
    <row r="217" spans="1:13" x14ac:dyDescent="0.25">
      <c r="A217">
        <v>6</v>
      </c>
      <c r="B217">
        <v>963627</v>
      </c>
      <c r="C217">
        <v>6249</v>
      </c>
      <c r="D217">
        <v>1</v>
      </c>
      <c r="E217">
        <v>400</v>
      </c>
      <c r="F217" t="s">
        <v>74</v>
      </c>
      <c r="G217" t="s">
        <v>75</v>
      </c>
      <c r="H217">
        <v>400</v>
      </c>
      <c r="I217" t="s">
        <v>74</v>
      </c>
      <c r="J217" t="s">
        <v>75</v>
      </c>
      <c r="K217" t="s">
        <v>627</v>
      </c>
      <c r="L217">
        <v>1</v>
      </c>
      <c r="M217">
        <v>1</v>
      </c>
    </row>
    <row r="218" spans="1:13" x14ac:dyDescent="0.25">
      <c r="A218">
        <v>6</v>
      </c>
      <c r="B218">
        <v>963627</v>
      </c>
      <c r="C218">
        <v>6249</v>
      </c>
      <c r="D218">
        <v>2</v>
      </c>
      <c r="E218">
        <v>402</v>
      </c>
      <c r="F218" t="s">
        <v>168</v>
      </c>
      <c r="G218" t="s">
        <v>169</v>
      </c>
      <c r="H218">
        <v>402</v>
      </c>
      <c r="I218" t="s">
        <v>168</v>
      </c>
      <c r="J218" t="s">
        <v>169</v>
      </c>
      <c r="K218" t="s">
        <v>627</v>
      </c>
      <c r="L218">
        <v>1</v>
      </c>
      <c r="M218">
        <v>1</v>
      </c>
    </row>
    <row r="219" spans="1:13" x14ac:dyDescent="0.25">
      <c r="A219">
        <v>6</v>
      </c>
      <c r="B219">
        <v>963951</v>
      </c>
      <c r="C219">
        <v>6249</v>
      </c>
      <c r="D219">
        <v>3</v>
      </c>
      <c r="E219">
        <v>179</v>
      </c>
      <c r="F219" t="s">
        <v>66</v>
      </c>
      <c r="G219" t="s">
        <v>67</v>
      </c>
      <c r="H219">
        <v>179</v>
      </c>
      <c r="I219" t="s">
        <v>66</v>
      </c>
      <c r="J219" t="s">
        <v>67</v>
      </c>
      <c r="K219" t="s">
        <v>628</v>
      </c>
      <c r="L219">
        <v>1</v>
      </c>
      <c r="M219">
        <v>1</v>
      </c>
    </row>
    <row r="220" spans="1:13" x14ac:dyDescent="0.25">
      <c r="A220">
        <v>6</v>
      </c>
      <c r="B220">
        <v>964103</v>
      </c>
      <c r="C220">
        <v>6249</v>
      </c>
      <c r="D220">
        <v>4</v>
      </c>
      <c r="E220">
        <v>179</v>
      </c>
      <c r="F220" t="s">
        <v>66</v>
      </c>
      <c r="G220" t="s">
        <v>67</v>
      </c>
      <c r="H220">
        <v>179</v>
      </c>
      <c r="I220" t="s">
        <v>66</v>
      </c>
      <c r="J220" t="s">
        <v>67</v>
      </c>
      <c r="K220" t="s">
        <v>629</v>
      </c>
      <c r="L220">
        <v>1</v>
      </c>
      <c r="M220">
        <v>1</v>
      </c>
    </row>
    <row r="221" spans="1:13" x14ac:dyDescent="0.25">
      <c r="A221">
        <v>1</v>
      </c>
      <c r="B221">
        <v>8688865</v>
      </c>
      <c r="C221">
        <v>6250</v>
      </c>
      <c r="D221">
        <v>1</v>
      </c>
      <c r="E221">
        <v>878</v>
      </c>
      <c r="F221" t="s">
        <v>216</v>
      </c>
      <c r="G221" t="s">
        <v>217</v>
      </c>
      <c r="H221">
        <v>362</v>
      </c>
      <c r="I221" t="s">
        <v>72</v>
      </c>
      <c r="J221" t="s">
        <v>73</v>
      </c>
      <c r="K221" t="s">
        <v>152</v>
      </c>
      <c r="L221">
        <v>52</v>
      </c>
      <c r="M221">
        <v>52</v>
      </c>
    </row>
    <row r="222" spans="1:13" x14ac:dyDescent="0.25">
      <c r="A222">
        <v>1</v>
      </c>
      <c r="B222">
        <v>8688865</v>
      </c>
      <c r="C222">
        <v>6250</v>
      </c>
      <c r="D222">
        <v>2</v>
      </c>
      <c r="E222">
        <v>618</v>
      </c>
      <c r="F222" t="s">
        <v>98</v>
      </c>
      <c r="G222" t="s">
        <v>99</v>
      </c>
      <c r="H222">
        <v>618</v>
      </c>
      <c r="I222" t="s">
        <v>98</v>
      </c>
      <c r="J222" t="s">
        <v>99</v>
      </c>
      <c r="K222" t="s">
        <v>155</v>
      </c>
      <c r="L222">
        <v>18</v>
      </c>
      <c r="M222">
        <v>18</v>
      </c>
    </row>
    <row r="223" spans="1:13" x14ac:dyDescent="0.25">
      <c r="A223">
        <v>1</v>
      </c>
      <c r="B223">
        <v>8688865</v>
      </c>
      <c r="C223">
        <v>6250</v>
      </c>
      <c r="D223">
        <v>3</v>
      </c>
      <c r="E223">
        <v>1103</v>
      </c>
      <c r="F223" t="s">
        <v>157</v>
      </c>
      <c r="G223" t="s">
        <v>158</v>
      </c>
      <c r="H223">
        <v>1103</v>
      </c>
      <c r="I223" t="s">
        <v>157</v>
      </c>
      <c r="J223" t="s">
        <v>158</v>
      </c>
      <c r="K223" t="s">
        <v>153</v>
      </c>
      <c r="L223">
        <v>24</v>
      </c>
      <c r="M223">
        <v>24</v>
      </c>
    </row>
    <row r="224" spans="1:13" x14ac:dyDescent="0.25">
      <c r="A224">
        <v>1</v>
      </c>
      <c r="B224">
        <v>8688865</v>
      </c>
      <c r="C224">
        <v>6250</v>
      </c>
      <c r="D224">
        <v>4</v>
      </c>
      <c r="E224">
        <v>1100</v>
      </c>
      <c r="F224" t="s">
        <v>148</v>
      </c>
      <c r="G224" t="s">
        <v>149</v>
      </c>
      <c r="H224">
        <v>1100</v>
      </c>
      <c r="I224" t="s">
        <v>148</v>
      </c>
      <c r="J224" t="s">
        <v>149</v>
      </c>
      <c r="K224" t="s">
        <v>154</v>
      </c>
      <c r="L224">
        <v>30</v>
      </c>
      <c r="M224">
        <v>30</v>
      </c>
    </row>
    <row r="225" spans="1:13" x14ac:dyDescent="0.25">
      <c r="A225">
        <v>1</v>
      </c>
      <c r="B225">
        <v>8688865</v>
      </c>
      <c r="C225">
        <v>6250</v>
      </c>
      <c r="D225">
        <v>5</v>
      </c>
      <c r="E225">
        <v>620</v>
      </c>
      <c r="F225" t="s">
        <v>100</v>
      </c>
      <c r="G225" t="s">
        <v>101</v>
      </c>
      <c r="H225">
        <v>1105</v>
      </c>
      <c r="I225" t="s">
        <v>630</v>
      </c>
      <c r="J225" t="s">
        <v>631</v>
      </c>
      <c r="K225" t="s">
        <v>156</v>
      </c>
      <c r="L225">
        <v>30</v>
      </c>
      <c r="M225">
        <v>30</v>
      </c>
    </row>
    <row r="226" spans="1:13" x14ac:dyDescent="0.25">
      <c r="A226">
        <v>9</v>
      </c>
      <c r="B226">
        <v>9201905</v>
      </c>
      <c r="C226">
        <v>6251</v>
      </c>
      <c r="D226">
        <v>2</v>
      </c>
      <c r="E226">
        <v>809</v>
      </c>
      <c r="F226" t="s">
        <v>128</v>
      </c>
      <c r="G226" t="s">
        <v>129</v>
      </c>
      <c r="H226">
        <v>809</v>
      </c>
      <c r="I226" t="s">
        <v>128</v>
      </c>
      <c r="J226" t="s">
        <v>129</v>
      </c>
      <c r="K226" t="s">
        <v>632</v>
      </c>
      <c r="L226">
        <v>1</v>
      </c>
      <c r="M226">
        <v>1</v>
      </c>
    </row>
    <row r="227" spans="1:13" x14ac:dyDescent="0.25">
      <c r="A227">
        <v>9</v>
      </c>
      <c r="B227">
        <v>9201537</v>
      </c>
      <c r="C227">
        <v>6251</v>
      </c>
      <c r="D227">
        <v>1</v>
      </c>
      <c r="E227">
        <v>935</v>
      </c>
      <c r="F227" t="s">
        <v>633</v>
      </c>
      <c r="G227" t="s">
        <v>634</v>
      </c>
      <c r="H227">
        <v>935</v>
      </c>
      <c r="I227" t="s">
        <v>633</v>
      </c>
      <c r="J227" t="s">
        <v>634</v>
      </c>
      <c r="K227" t="s">
        <v>635</v>
      </c>
      <c r="L227">
        <v>1</v>
      </c>
      <c r="M227">
        <v>1</v>
      </c>
    </row>
    <row r="228" spans="1:13" x14ac:dyDescent="0.25">
      <c r="A228">
        <v>9</v>
      </c>
      <c r="B228">
        <v>9201905</v>
      </c>
      <c r="C228">
        <v>6252</v>
      </c>
      <c r="D228">
        <v>3</v>
      </c>
      <c r="E228">
        <v>809</v>
      </c>
      <c r="F228" t="s">
        <v>128</v>
      </c>
      <c r="G228" t="s">
        <v>129</v>
      </c>
      <c r="H228">
        <v>809</v>
      </c>
      <c r="I228" t="s">
        <v>128</v>
      </c>
      <c r="J228" t="s">
        <v>129</v>
      </c>
      <c r="K228" t="s">
        <v>636</v>
      </c>
      <c r="L228">
        <v>1</v>
      </c>
      <c r="M228">
        <v>1</v>
      </c>
    </row>
    <row r="229" spans="1:13" x14ac:dyDescent="0.25">
      <c r="A229">
        <v>9</v>
      </c>
      <c r="B229">
        <v>9201326</v>
      </c>
      <c r="C229">
        <v>6252</v>
      </c>
      <c r="D229">
        <v>1</v>
      </c>
      <c r="E229">
        <v>871</v>
      </c>
      <c r="F229" t="s">
        <v>637</v>
      </c>
      <c r="G229" t="s">
        <v>638</v>
      </c>
      <c r="H229">
        <v>871</v>
      </c>
      <c r="I229" t="s">
        <v>637</v>
      </c>
      <c r="J229" t="s">
        <v>638</v>
      </c>
      <c r="K229" t="s">
        <v>639</v>
      </c>
      <c r="L229">
        <v>2</v>
      </c>
      <c r="M229">
        <v>2</v>
      </c>
    </row>
    <row r="230" spans="1:13" x14ac:dyDescent="0.25">
      <c r="A230">
        <v>9</v>
      </c>
      <c r="B230">
        <v>9201537</v>
      </c>
      <c r="C230">
        <v>6252</v>
      </c>
      <c r="D230">
        <v>2</v>
      </c>
      <c r="E230">
        <v>887</v>
      </c>
      <c r="F230" t="s">
        <v>353</v>
      </c>
      <c r="G230" t="s">
        <v>354</v>
      </c>
      <c r="H230">
        <v>887</v>
      </c>
      <c r="I230" t="s">
        <v>353</v>
      </c>
      <c r="J230" t="s">
        <v>354</v>
      </c>
      <c r="K230" t="s">
        <v>640</v>
      </c>
      <c r="L230">
        <v>1</v>
      </c>
      <c r="M230">
        <v>1</v>
      </c>
    </row>
    <row r="231" spans="1:13" x14ac:dyDescent="0.25">
      <c r="A231">
        <v>9</v>
      </c>
      <c r="B231">
        <v>9201719</v>
      </c>
      <c r="C231">
        <v>6252</v>
      </c>
      <c r="D231">
        <v>4</v>
      </c>
      <c r="E231">
        <v>584</v>
      </c>
      <c r="F231" t="s">
        <v>96</v>
      </c>
      <c r="G231" t="s">
        <v>97</v>
      </c>
      <c r="H231">
        <v>584</v>
      </c>
      <c r="I231" t="s">
        <v>96</v>
      </c>
      <c r="J231" t="s">
        <v>97</v>
      </c>
      <c r="K231" t="s">
        <v>641</v>
      </c>
      <c r="L231">
        <v>1</v>
      </c>
      <c r="M231">
        <v>1</v>
      </c>
    </row>
    <row r="232" spans="1:13" x14ac:dyDescent="0.25">
      <c r="A232">
        <v>23</v>
      </c>
      <c r="B232">
        <v>74</v>
      </c>
      <c r="C232">
        <v>6253</v>
      </c>
      <c r="D232">
        <v>1</v>
      </c>
      <c r="E232">
        <v>717</v>
      </c>
      <c r="F232" t="s">
        <v>642</v>
      </c>
      <c r="G232" t="s">
        <v>643</v>
      </c>
      <c r="H232">
        <v>717</v>
      </c>
      <c r="I232" t="s">
        <v>642</v>
      </c>
      <c r="J232" t="s">
        <v>643</v>
      </c>
      <c r="K232" t="s">
        <v>49</v>
      </c>
      <c r="L232">
        <v>1</v>
      </c>
      <c r="M232">
        <v>1</v>
      </c>
    </row>
    <row r="233" spans="1:13" x14ac:dyDescent="0.25">
      <c r="A233">
        <v>9</v>
      </c>
      <c r="B233">
        <v>9197008</v>
      </c>
      <c r="C233">
        <v>6254</v>
      </c>
      <c r="D233">
        <v>1</v>
      </c>
      <c r="E233">
        <v>745</v>
      </c>
      <c r="F233" t="s">
        <v>199</v>
      </c>
      <c r="G233" t="s">
        <v>200</v>
      </c>
      <c r="H233">
        <v>745</v>
      </c>
      <c r="I233" t="s">
        <v>199</v>
      </c>
      <c r="J233" t="s">
        <v>200</v>
      </c>
      <c r="K233" t="s">
        <v>644</v>
      </c>
      <c r="L233">
        <v>1</v>
      </c>
      <c r="M233">
        <v>1</v>
      </c>
    </row>
    <row r="234" spans="1:13" x14ac:dyDescent="0.25">
      <c r="A234">
        <v>3</v>
      </c>
      <c r="B234">
        <v>50052296</v>
      </c>
      <c r="C234">
        <v>6257</v>
      </c>
      <c r="D234">
        <v>8</v>
      </c>
      <c r="E234">
        <v>506</v>
      </c>
      <c r="F234" t="s">
        <v>92</v>
      </c>
      <c r="G234" t="s">
        <v>93</v>
      </c>
      <c r="H234">
        <v>506</v>
      </c>
      <c r="I234" t="s">
        <v>92</v>
      </c>
      <c r="J234" t="s">
        <v>93</v>
      </c>
      <c r="K234" t="s">
        <v>645</v>
      </c>
      <c r="L234">
        <v>1</v>
      </c>
      <c r="M234">
        <v>0</v>
      </c>
    </row>
    <row r="235" spans="1:13" x14ac:dyDescent="0.25">
      <c r="A235">
        <v>3</v>
      </c>
      <c r="B235">
        <v>50052296</v>
      </c>
      <c r="C235">
        <v>6257</v>
      </c>
      <c r="D235">
        <v>9</v>
      </c>
      <c r="E235">
        <v>506</v>
      </c>
      <c r="F235" t="s">
        <v>92</v>
      </c>
      <c r="G235" t="s">
        <v>93</v>
      </c>
      <c r="H235">
        <v>506</v>
      </c>
      <c r="I235" t="s">
        <v>92</v>
      </c>
      <c r="J235" t="s">
        <v>93</v>
      </c>
      <c r="K235" t="s">
        <v>646</v>
      </c>
      <c r="L235">
        <v>1</v>
      </c>
      <c r="M235">
        <v>0</v>
      </c>
    </row>
    <row r="236" spans="1:13" x14ac:dyDescent="0.25">
      <c r="A236">
        <v>3</v>
      </c>
      <c r="B236">
        <v>50052296</v>
      </c>
      <c r="C236">
        <v>6257</v>
      </c>
      <c r="D236">
        <v>10</v>
      </c>
      <c r="E236">
        <v>506</v>
      </c>
      <c r="F236" t="s">
        <v>92</v>
      </c>
      <c r="G236" t="s">
        <v>93</v>
      </c>
      <c r="H236">
        <v>506</v>
      </c>
      <c r="I236" t="s">
        <v>92</v>
      </c>
      <c r="J236" t="s">
        <v>93</v>
      </c>
      <c r="K236" t="s">
        <v>647</v>
      </c>
      <c r="L236">
        <v>1</v>
      </c>
      <c r="M236">
        <v>0</v>
      </c>
    </row>
    <row r="237" spans="1:13" x14ac:dyDescent="0.25">
      <c r="A237">
        <v>3</v>
      </c>
      <c r="B237">
        <v>50052296</v>
      </c>
      <c r="C237">
        <v>6257</v>
      </c>
      <c r="D237">
        <v>11</v>
      </c>
      <c r="E237">
        <v>506</v>
      </c>
      <c r="F237" t="s">
        <v>92</v>
      </c>
      <c r="G237" t="s">
        <v>93</v>
      </c>
      <c r="H237">
        <v>506</v>
      </c>
      <c r="I237" t="s">
        <v>92</v>
      </c>
      <c r="J237" t="s">
        <v>93</v>
      </c>
      <c r="K237" t="s">
        <v>648</v>
      </c>
      <c r="L237">
        <v>1</v>
      </c>
      <c r="M237">
        <v>0</v>
      </c>
    </row>
    <row r="238" spans="1:13" x14ac:dyDescent="0.25">
      <c r="A238">
        <v>8</v>
      </c>
      <c r="B238">
        <v>9450545722</v>
      </c>
      <c r="C238">
        <v>6304</v>
      </c>
      <c r="D238">
        <v>2</v>
      </c>
      <c r="E238">
        <v>403</v>
      </c>
      <c r="F238" t="s">
        <v>78</v>
      </c>
      <c r="G238" t="s">
        <v>79</v>
      </c>
      <c r="H238">
        <v>403</v>
      </c>
      <c r="I238" t="s">
        <v>78</v>
      </c>
      <c r="J238" t="s">
        <v>79</v>
      </c>
      <c r="K238" t="s">
        <v>584</v>
      </c>
      <c r="L238">
        <v>1</v>
      </c>
      <c r="M238">
        <v>1</v>
      </c>
    </row>
    <row r="239" spans="1:13" x14ac:dyDescent="0.25">
      <c r="A239">
        <v>8</v>
      </c>
      <c r="B239">
        <v>9450545739</v>
      </c>
      <c r="C239">
        <v>6304</v>
      </c>
      <c r="D239">
        <v>1</v>
      </c>
      <c r="E239">
        <v>787</v>
      </c>
      <c r="F239" t="s">
        <v>203</v>
      </c>
      <c r="G239" t="s">
        <v>204</v>
      </c>
      <c r="H239">
        <v>787</v>
      </c>
      <c r="I239" t="s">
        <v>203</v>
      </c>
      <c r="J239" t="s">
        <v>204</v>
      </c>
      <c r="K239" t="s">
        <v>359</v>
      </c>
      <c r="L239">
        <v>1</v>
      </c>
      <c r="M239">
        <v>1</v>
      </c>
    </row>
    <row r="240" spans="1:13" x14ac:dyDescent="0.25">
      <c r="A240">
        <v>8</v>
      </c>
      <c r="B240">
        <v>4450422400</v>
      </c>
      <c r="C240">
        <v>6305</v>
      </c>
      <c r="D240">
        <v>1</v>
      </c>
      <c r="E240">
        <v>865</v>
      </c>
      <c r="F240" t="s">
        <v>218</v>
      </c>
      <c r="G240" t="s">
        <v>219</v>
      </c>
      <c r="H240">
        <v>405</v>
      </c>
      <c r="I240" t="s">
        <v>82</v>
      </c>
      <c r="J240" t="s">
        <v>83</v>
      </c>
      <c r="K240" t="s">
        <v>172</v>
      </c>
      <c r="L240">
        <v>13</v>
      </c>
      <c r="M240">
        <v>13</v>
      </c>
    </row>
    <row r="241" spans="1:13" x14ac:dyDescent="0.25">
      <c r="A241">
        <v>8</v>
      </c>
      <c r="B241">
        <v>4450422400</v>
      </c>
      <c r="C241">
        <v>6305</v>
      </c>
      <c r="D241">
        <v>2</v>
      </c>
      <c r="E241">
        <v>281</v>
      </c>
      <c r="F241" t="s">
        <v>538</v>
      </c>
      <c r="G241" t="s">
        <v>539</v>
      </c>
      <c r="H241">
        <v>281</v>
      </c>
      <c r="I241" t="s">
        <v>538</v>
      </c>
      <c r="J241" t="s">
        <v>539</v>
      </c>
      <c r="K241" t="s">
        <v>540</v>
      </c>
      <c r="L241">
        <v>11</v>
      </c>
      <c r="M241">
        <v>11</v>
      </c>
    </row>
    <row r="242" spans="1:13" x14ac:dyDescent="0.25">
      <c r="A242">
        <v>8</v>
      </c>
      <c r="B242">
        <v>4450422400</v>
      </c>
      <c r="C242">
        <v>6305</v>
      </c>
      <c r="D242">
        <v>3</v>
      </c>
      <c r="E242">
        <v>968</v>
      </c>
      <c r="F242" t="s">
        <v>649</v>
      </c>
      <c r="G242" t="s">
        <v>650</v>
      </c>
      <c r="H242">
        <v>653</v>
      </c>
      <c r="I242" t="s">
        <v>110</v>
      </c>
      <c r="J242" t="s">
        <v>111</v>
      </c>
      <c r="K242" t="s">
        <v>173</v>
      </c>
      <c r="L242">
        <v>55</v>
      </c>
      <c r="M242">
        <v>55</v>
      </c>
    </row>
    <row r="243" spans="1:13" x14ac:dyDescent="0.25">
      <c r="A243">
        <v>8</v>
      </c>
      <c r="B243">
        <v>4450422400</v>
      </c>
      <c r="C243">
        <v>6305</v>
      </c>
      <c r="D243">
        <v>4</v>
      </c>
      <c r="E243">
        <v>1106</v>
      </c>
      <c r="F243" t="s">
        <v>382</v>
      </c>
      <c r="G243" t="s">
        <v>383</v>
      </c>
      <c r="H243">
        <v>655</v>
      </c>
      <c r="I243" t="s">
        <v>384</v>
      </c>
      <c r="J243" t="s">
        <v>385</v>
      </c>
      <c r="K243" t="s">
        <v>386</v>
      </c>
      <c r="L243">
        <v>29</v>
      </c>
      <c r="M243">
        <v>29</v>
      </c>
    </row>
    <row r="244" spans="1:13" x14ac:dyDescent="0.25">
      <c r="A244">
        <v>8</v>
      </c>
      <c r="B244">
        <v>4450422400</v>
      </c>
      <c r="C244">
        <v>6305</v>
      </c>
      <c r="D244">
        <v>5</v>
      </c>
      <c r="E244">
        <v>809</v>
      </c>
      <c r="F244" t="s">
        <v>128</v>
      </c>
      <c r="G244" t="s">
        <v>129</v>
      </c>
      <c r="H244">
        <v>809</v>
      </c>
      <c r="I244" t="s">
        <v>128</v>
      </c>
      <c r="J244" t="s">
        <v>129</v>
      </c>
      <c r="K244" t="s">
        <v>174</v>
      </c>
      <c r="L244">
        <v>11</v>
      </c>
      <c r="M244">
        <v>11</v>
      </c>
    </row>
    <row r="245" spans="1:13" x14ac:dyDescent="0.25">
      <c r="A245">
        <v>8</v>
      </c>
      <c r="B245">
        <v>4450422405</v>
      </c>
      <c r="C245">
        <v>6306</v>
      </c>
      <c r="D245">
        <v>1</v>
      </c>
      <c r="E245">
        <v>824</v>
      </c>
      <c r="F245" t="s">
        <v>134</v>
      </c>
      <c r="G245" t="s">
        <v>135</v>
      </c>
      <c r="H245">
        <v>824</v>
      </c>
      <c r="I245" t="s">
        <v>134</v>
      </c>
      <c r="J245" t="s">
        <v>135</v>
      </c>
      <c r="K245" t="s">
        <v>231</v>
      </c>
      <c r="L245">
        <v>3</v>
      </c>
      <c r="M245">
        <v>3</v>
      </c>
    </row>
    <row r="246" spans="1:13" x14ac:dyDescent="0.25">
      <c r="A246">
        <v>8</v>
      </c>
      <c r="B246">
        <v>4450422406</v>
      </c>
      <c r="C246">
        <v>6306</v>
      </c>
      <c r="D246">
        <v>2</v>
      </c>
      <c r="E246">
        <v>865</v>
      </c>
      <c r="F246" t="s">
        <v>218</v>
      </c>
      <c r="G246" t="s">
        <v>219</v>
      </c>
      <c r="H246">
        <v>405</v>
      </c>
      <c r="I246" t="s">
        <v>82</v>
      </c>
      <c r="J246" t="s">
        <v>83</v>
      </c>
      <c r="K246" t="s">
        <v>172</v>
      </c>
      <c r="L246">
        <v>33</v>
      </c>
      <c r="M246">
        <v>33</v>
      </c>
    </row>
    <row r="247" spans="1:13" x14ac:dyDescent="0.25">
      <c r="A247">
        <v>8</v>
      </c>
      <c r="B247">
        <v>4450422406</v>
      </c>
      <c r="C247">
        <v>6306</v>
      </c>
      <c r="D247">
        <v>3</v>
      </c>
      <c r="E247">
        <v>968</v>
      </c>
      <c r="F247" t="s">
        <v>649</v>
      </c>
      <c r="G247" t="s">
        <v>650</v>
      </c>
      <c r="H247">
        <v>653</v>
      </c>
      <c r="I247" t="s">
        <v>110</v>
      </c>
      <c r="J247" t="s">
        <v>111</v>
      </c>
      <c r="K247" t="s">
        <v>173</v>
      </c>
      <c r="L247">
        <v>41</v>
      </c>
      <c r="M247">
        <v>41</v>
      </c>
    </row>
    <row r="248" spans="1:13" x14ac:dyDescent="0.25">
      <c r="A248">
        <v>8</v>
      </c>
      <c r="B248">
        <v>4450422406</v>
      </c>
      <c r="C248">
        <v>6306</v>
      </c>
      <c r="D248">
        <v>4</v>
      </c>
      <c r="E248">
        <v>1106</v>
      </c>
      <c r="F248" t="s">
        <v>382</v>
      </c>
      <c r="G248" t="s">
        <v>383</v>
      </c>
      <c r="H248">
        <v>655</v>
      </c>
      <c r="I248" t="s">
        <v>384</v>
      </c>
      <c r="J248" t="s">
        <v>385</v>
      </c>
      <c r="K248" t="s">
        <v>386</v>
      </c>
      <c r="L248">
        <v>18</v>
      </c>
      <c r="M248">
        <v>18</v>
      </c>
    </row>
    <row r="249" spans="1:13" x14ac:dyDescent="0.25">
      <c r="A249">
        <v>8</v>
      </c>
      <c r="B249">
        <v>4450422406</v>
      </c>
      <c r="C249">
        <v>6306</v>
      </c>
      <c r="D249">
        <v>5</v>
      </c>
      <c r="E249">
        <v>809</v>
      </c>
      <c r="F249" t="s">
        <v>128</v>
      </c>
      <c r="G249" t="s">
        <v>129</v>
      </c>
      <c r="H249">
        <v>809</v>
      </c>
      <c r="I249" t="s">
        <v>128</v>
      </c>
      <c r="J249" t="s">
        <v>129</v>
      </c>
      <c r="K249" t="s">
        <v>174</v>
      </c>
      <c r="L249">
        <v>13</v>
      </c>
      <c r="M249">
        <v>13</v>
      </c>
    </row>
    <row r="250" spans="1:13" x14ac:dyDescent="0.25">
      <c r="A250">
        <v>3</v>
      </c>
      <c r="B250">
        <v>50052369</v>
      </c>
      <c r="C250">
        <v>6310</v>
      </c>
      <c r="D250">
        <v>1</v>
      </c>
      <c r="E250">
        <v>13</v>
      </c>
      <c r="F250" t="s">
        <v>62</v>
      </c>
      <c r="G250" t="s">
        <v>63</v>
      </c>
      <c r="H250">
        <v>13</v>
      </c>
      <c r="I250" t="s">
        <v>62</v>
      </c>
      <c r="J250" t="s">
        <v>63</v>
      </c>
      <c r="K250" t="s">
        <v>651</v>
      </c>
      <c r="L250">
        <v>1</v>
      </c>
      <c r="M250">
        <v>1</v>
      </c>
    </row>
    <row r="251" spans="1:13" x14ac:dyDescent="0.25">
      <c r="A251">
        <v>3</v>
      </c>
      <c r="B251">
        <v>50052369</v>
      </c>
      <c r="C251">
        <v>6310</v>
      </c>
      <c r="D251">
        <v>2</v>
      </c>
      <c r="E251">
        <v>409</v>
      </c>
      <c r="F251" t="s">
        <v>84</v>
      </c>
      <c r="G251" t="s">
        <v>85</v>
      </c>
      <c r="H251">
        <v>409</v>
      </c>
      <c r="I251" t="s">
        <v>84</v>
      </c>
      <c r="J251" t="s">
        <v>85</v>
      </c>
      <c r="K251" t="s">
        <v>652</v>
      </c>
      <c r="L251">
        <v>1</v>
      </c>
      <c r="M251">
        <v>1</v>
      </c>
    </row>
    <row r="252" spans="1:13" x14ac:dyDescent="0.25">
      <c r="A252">
        <v>3</v>
      </c>
      <c r="B252">
        <v>50052369</v>
      </c>
      <c r="C252">
        <v>6310</v>
      </c>
      <c r="D252">
        <v>3</v>
      </c>
      <c r="E252">
        <v>409</v>
      </c>
      <c r="F252" t="s">
        <v>84</v>
      </c>
      <c r="G252" t="s">
        <v>85</v>
      </c>
      <c r="H252">
        <v>409</v>
      </c>
      <c r="I252" t="s">
        <v>84</v>
      </c>
      <c r="J252" t="s">
        <v>85</v>
      </c>
      <c r="K252" t="s">
        <v>653</v>
      </c>
      <c r="L252">
        <v>1</v>
      </c>
      <c r="M252">
        <v>1</v>
      </c>
    </row>
    <row r="253" spans="1:13" x14ac:dyDescent="0.25">
      <c r="A253">
        <v>3</v>
      </c>
      <c r="B253">
        <v>50052369</v>
      </c>
      <c r="C253">
        <v>6310</v>
      </c>
      <c r="D253">
        <v>4</v>
      </c>
      <c r="E253">
        <v>506</v>
      </c>
      <c r="F253" t="s">
        <v>92</v>
      </c>
      <c r="G253" t="s">
        <v>93</v>
      </c>
      <c r="H253">
        <v>506</v>
      </c>
      <c r="I253" t="s">
        <v>92</v>
      </c>
      <c r="J253" t="s">
        <v>93</v>
      </c>
      <c r="K253" t="s">
        <v>654</v>
      </c>
      <c r="L253">
        <v>1</v>
      </c>
      <c r="M253">
        <v>0</v>
      </c>
    </row>
    <row r="254" spans="1:13" x14ac:dyDescent="0.25">
      <c r="A254">
        <v>3</v>
      </c>
      <c r="B254">
        <v>50052369</v>
      </c>
      <c r="C254">
        <v>6310</v>
      </c>
      <c r="D254">
        <v>5</v>
      </c>
      <c r="E254">
        <v>824</v>
      </c>
      <c r="F254" t="s">
        <v>134</v>
      </c>
      <c r="G254" t="s">
        <v>135</v>
      </c>
      <c r="H254">
        <v>824</v>
      </c>
      <c r="I254" t="s">
        <v>134</v>
      </c>
      <c r="J254" t="s">
        <v>135</v>
      </c>
      <c r="K254" t="s">
        <v>655</v>
      </c>
      <c r="L254">
        <v>1</v>
      </c>
      <c r="M254">
        <v>1</v>
      </c>
    </row>
    <row r="255" spans="1:13" x14ac:dyDescent="0.25">
      <c r="A255">
        <v>3</v>
      </c>
      <c r="B255">
        <v>50052369</v>
      </c>
      <c r="C255">
        <v>6310</v>
      </c>
      <c r="D255">
        <v>7</v>
      </c>
      <c r="E255">
        <v>824</v>
      </c>
      <c r="F255" t="s">
        <v>134</v>
      </c>
      <c r="G255" t="s">
        <v>135</v>
      </c>
      <c r="H255">
        <v>824</v>
      </c>
      <c r="I255" t="s">
        <v>134</v>
      </c>
      <c r="J255" t="s">
        <v>135</v>
      </c>
      <c r="K255" t="s">
        <v>656</v>
      </c>
      <c r="L255">
        <v>1</v>
      </c>
      <c r="M255">
        <v>1</v>
      </c>
    </row>
    <row r="256" spans="1:13" x14ac:dyDescent="0.25">
      <c r="A256">
        <v>3</v>
      </c>
      <c r="B256">
        <v>50052459</v>
      </c>
      <c r="C256">
        <v>6310</v>
      </c>
      <c r="D256">
        <v>6</v>
      </c>
      <c r="E256">
        <v>818</v>
      </c>
      <c r="F256" t="s">
        <v>130</v>
      </c>
      <c r="G256" t="s">
        <v>131</v>
      </c>
      <c r="H256">
        <v>818</v>
      </c>
      <c r="I256" t="s">
        <v>130</v>
      </c>
      <c r="J256" t="s">
        <v>131</v>
      </c>
      <c r="K256" t="s">
        <v>657</v>
      </c>
      <c r="L256">
        <v>1</v>
      </c>
      <c r="M256">
        <v>1</v>
      </c>
    </row>
    <row r="257" spans="1:13" x14ac:dyDescent="0.25">
      <c r="A257">
        <v>2</v>
      </c>
      <c r="B257">
        <v>8694210</v>
      </c>
      <c r="C257">
        <v>6311</v>
      </c>
      <c r="D257">
        <v>6</v>
      </c>
      <c r="E257">
        <v>966</v>
      </c>
      <c r="F257" t="s">
        <v>349</v>
      </c>
      <c r="G257" t="s">
        <v>350</v>
      </c>
      <c r="H257">
        <v>966</v>
      </c>
      <c r="I257" t="s">
        <v>349</v>
      </c>
      <c r="J257" t="s">
        <v>350</v>
      </c>
      <c r="K257" t="s">
        <v>658</v>
      </c>
      <c r="L257">
        <v>1</v>
      </c>
      <c r="M257">
        <v>1</v>
      </c>
    </row>
    <row r="258" spans="1:13" x14ac:dyDescent="0.25">
      <c r="A258">
        <v>2</v>
      </c>
      <c r="B258">
        <v>8694506</v>
      </c>
      <c r="C258">
        <v>6311</v>
      </c>
      <c r="D258">
        <v>7</v>
      </c>
      <c r="E258">
        <v>700</v>
      </c>
      <c r="F258" t="s">
        <v>118</v>
      </c>
      <c r="G258" t="s">
        <v>119</v>
      </c>
      <c r="H258">
        <v>700</v>
      </c>
      <c r="I258" t="s">
        <v>118</v>
      </c>
      <c r="J258" t="s">
        <v>119</v>
      </c>
      <c r="K258" t="s">
        <v>659</v>
      </c>
      <c r="L258">
        <v>1</v>
      </c>
      <c r="M258">
        <v>1</v>
      </c>
    </row>
    <row r="259" spans="1:13" x14ac:dyDescent="0.25">
      <c r="A259">
        <v>2</v>
      </c>
      <c r="B259">
        <v>8694642</v>
      </c>
      <c r="C259">
        <v>6311</v>
      </c>
      <c r="D259">
        <v>8</v>
      </c>
      <c r="E259">
        <v>808</v>
      </c>
      <c r="F259" t="s">
        <v>225</v>
      </c>
      <c r="G259" t="s">
        <v>226</v>
      </c>
      <c r="H259">
        <v>808</v>
      </c>
      <c r="I259" t="s">
        <v>225</v>
      </c>
      <c r="J259" t="s">
        <v>226</v>
      </c>
      <c r="K259" t="s">
        <v>660</v>
      </c>
      <c r="L259">
        <v>1</v>
      </c>
      <c r="M259">
        <v>1</v>
      </c>
    </row>
    <row r="260" spans="1:13" x14ac:dyDescent="0.25">
      <c r="A260">
        <v>2</v>
      </c>
      <c r="B260">
        <v>8688080</v>
      </c>
      <c r="C260">
        <v>6311</v>
      </c>
      <c r="D260">
        <v>1</v>
      </c>
      <c r="E260">
        <v>873</v>
      </c>
      <c r="F260" t="s">
        <v>661</v>
      </c>
      <c r="G260" t="s">
        <v>662</v>
      </c>
      <c r="H260">
        <v>873</v>
      </c>
      <c r="I260" t="s">
        <v>661</v>
      </c>
      <c r="J260" t="s">
        <v>662</v>
      </c>
      <c r="K260" t="s">
        <v>663</v>
      </c>
      <c r="L260">
        <v>1</v>
      </c>
      <c r="M260">
        <v>1</v>
      </c>
    </row>
    <row r="261" spans="1:13" x14ac:dyDescent="0.25">
      <c r="A261">
        <v>2</v>
      </c>
      <c r="B261">
        <v>8689809</v>
      </c>
      <c r="C261">
        <v>6311</v>
      </c>
      <c r="D261">
        <v>2</v>
      </c>
      <c r="E261">
        <v>506</v>
      </c>
      <c r="F261" t="s">
        <v>92</v>
      </c>
      <c r="G261" t="s">
        <v>93</v>
      </c>
      <c r="H261">
        <v>506</v>
      </c>
      <c r="I261" t="s">
        <v>92</v>
      </c>
      <c r="J261" t="s">
        <v>93</v>
      </c>
      <c r="K261" t="s">
        <v>664</v>
      </c>
      <c r="L261">
        <v>1</v>
      </c>
      <c r="M261">
        <v>0</v>
      </c>
    </row>
    <row r="262" spans="1:13" x14ac:dyDescent="0.25">
      <c r="A262">
        <v>2</v>
      </c>
      <c r="B262">
        <v>8690887</v>
      </c>
      <c r="C262">
        <v>6311</v>
      </c>
      <c r="D262">
        <v>3</v>
      </c>
      <c r="E262">
        <v>181</v>
      </c>
      <c r="F262" t="s">
        <v>164</v>
      </c>
      <c r="G262" t="s">
        <v>165</v>
      </c>
      <c r="H262">
        <v>181</v>
      </c>
      <c r="I262" t="s">
        <v>164</v>
      </c>
      <c r="J262" t="s">
        <v>165</v>
      </c>
      <c r="K262" t="s">
        <v>665</v>
      </c>
      <c r="L262">
        <v>1</v>
      </c>
      <c r="M262">
        <v>1</v>
      </c>
    </row>
    <row r="263" spans="1:13" x14ac:dyDescent="0.25">
      <c r="A263">
        <v>2</v>
      </c>
      <c r="B263">
        <v>8693971</v>
      </c>
      <c r="C263">
        <v>6311</v>
      </c>
      <c r="D263">
        <v>4</v>
      </c>
      <c r="E263">
        <v>632</v>
      </c>
      <c r="F263" t="s">
        <v>102</v>
      </c>
      <c r="G263" t="s">
        <v>103</v>
      </c>
      <c r="H263">
        <v>632</v>
      </c>
      <c r="I263" t="s">
        <v>102</v>
      </c>
      <c r="J263" t="s">
        <v>103</v>
      </c>
      <c r="K263" t="s">
        <v>666</v>
      </c>
      <c r="L263">
        <v>1</v>
      </c>
      <c r="M263">
        <v>1</v>
      </c>
    </row>
    <row r="264" spans="1:13" x14ac:dyDescent="0.25">
      <c r="A264">
        <v>2</v>
      </c>
      <c r="B264">
        <v>8694065</v>
      </c>
      <c r="C264">
        <v>6311</v>
      </c>
      <c r="D264">
        <v>5</v>
      </c>
      <c r="E264">
        <v>403</v>
      </c>
      <c r="F264" t="s">
        <v>78</v>
      </c>
      <c r="G264" t="s">
        <v>79</v>
      </c>
      <c r="H264">
        <v>403</v>
      </c>
      <c r="I264" t="s">
        <v>78</v>
      </c>
      <c r="J264" t="s">
        <v>79</v>
      </c>
      <c r="K264" t="s">
        <v>667</v>
      </c>
      <c r="L264">
        <v>1</v>
      </c>
      <c r="M264">
        <v>1</v>
      </c>
    </row>
    <row r="265" spans="1:13" x14ac:dyDescent="0.25">
      <c r="A265">
        <v>29</v>
      </c>
      <c r="B265">
        <v>8693933</v>
      </c>
      <c r="C265">
        <v>6312</v>
      </c>
      <c r="D265">
        <v>7</v>
      </c>
      <c r="E265">
        <v>956</v>
      </c>
      <c r="F265" t="s">
        <v>668</v>
      </c>
      <c r="G265" t="s">
        <v>669</v>
      </c>
      <c r="H265">
        <v>956</v>
      </c>
      <c r="I265" t="s">
        <v>668</v>
      </c>
      <c r="J265" t="s">
        <v>669</v>
      </c>
      <c r="K265" t="s">
        <v>670</v>
      </c>
      <c r="L265">
        <v>1</v>
      </c>
      <c r="M265">
        <v>0</v>
      </c>
    </row>
    <row r="266" spans="1:13" x14ac:dyDescent="0.25">
      <c r="A266">
        <v>29</v>
      </c>
      <c r="B266">
        <v>8690295</v>
      </c>
      <c r="C266">
        <v>6312</v>
      </c>
      <c r="D266">
        <v>1</v>
      </c>
      <c r="E266">
        <v>849</v>
      </c>
      <c r="F266" t="s">
        <v>138</v>
      </c>
      <c r="G266" t="s">
        <v>139</v>
      </c>
      <c r="H266">
        <v>849</v>
      </c>
      <c r="I266" t="s">
        <v>138</v>
      </c>
      <c r="J266" t="s">
        <v>139</v>
      </c>
      <c r="K266" t="s">
        <v>671</v>
      </c>
      <c r="L266">
        <v>1</v>
      </c>
      <c r="M266">
        <v>1</v>
      </c>
    </row>
    <row r="267" spans="1:13" x14ac:dyDescent="0.25">
      <c r="A267">
        <v>29</v>
      </c>
      <c r="B267">
        <v>8690350</v>
      </c>
      <c r="C267">
        <v>6312</v>
      </c>
      <c r="D267">
        <v>2</v>
      </c>
      <c r="E267">
        <v>753</v>
      </c>
      <c r="F267" t="s">
        <v>223</v>
      </c>
      <c r="G267" t="s">
        <v>224</v>
      </c>
      <c r="H267">
        <v>753</v>
      </c>
      <c r="I267" t="s">
        <v>223</v>
      </c>
      <c r="J267" t="s">
        <v>224</v>
      </c>
      <c r="K267" t="s">
        <v>672</v>
      </c>
      <c r="L267">
        <v>1</v>
      </c>
      <c r="M267">
        <v>1</v>
      </c>
    </row>
    <row r="268" spans="1:13" x14ac:dyDescent="0.25">
      <c r="A268">
        <v>29</v>
      </c>
      <c r="B268">
        <v>8692365</v>
      </c>
      <c r="C268">
        <v>6312</v>
      </c>
      <c r="D268">
        <v>3</v>
      </c>
      <c r="E268">
        <v>836</v>
      </c>
      <c r="F268" t="s">
        <v>569</v>
      </c>
      <c r="G268" t="s">
        <v>570</v>
      </c>
      <c r="H268">
        <v>836</v>
      </c>
      <c r="I268" t="s">
        <v>569</v>
      </c>
      <c r="J268" t="s">
        <v>570</v>
      </c>
      <c r="K268" t="s">
        <v>673</v>
      </c>
      <c r="L268">
        <v>1</v>
      </c>
      <c r="M268">
        <v>1</v>
      </c>
    </row>
    <row r="269" spans="1:13" x14ac:dyDescent="0.25">
      <c r="A269">
        <v>29</v>
      </c>
      <c r="B269">
        <v>8692808</v>
      </c>
      <c r="C269">
        <v>6312</v>
      </c>
      <c r="D269">
        <v>4</v>
      </c>
      <c r="E269">
        <v>829</v>
      </c>
      <c r="F269" t="s">
        <v>136</v>
      </c>
      <c r="G269" t="s">
        <v>137</v>
      </c>
      <c r="H269">
        <v>829</v>
      </c>
      <c r="I269" t="s">
        <v>136</v>
      </c>
      <c r="J269" t="s">
        <v>137</v>
      </c>
      <c r="K269" t="s">
        <v>674</v>
      </c>
      <c r="L269">
        <v>1</v>
      </c>
      <c r="M269">
        <v>1</v>
      </c>
    </row>
    <row r="270" spans="1:13" x14ac:dyDescent="0.25">
      <c r="A270">
        <v>29</v>
      </c>
      <c r="B270">
        <v>8692948</v>
      </c>
      <c r="C270">
        <v>6312</v>
      </c>
      <c r="D270">
        <v>5</v>
      </c>
      <c r="E270">
        <v>853</v>
      </c>
      <c r="F270" t="s">
        <v>296</v>
      </c>
      <c r="G270" t="s">
        <v>297</v>
      </c>
      <c r="H270">
        <v>853</v>
      </c>
      <c r="I270" t="s">
        <v>296</v>
      </c>
      <c r="J270" t="s">
        <v>297</v>
      </c>
      <c r="K270" t="s">
        <v>675</v>
      </c>
      <c r="L270">
        <v>1</v>
      </c>
      <c r="M270">
        <v>1</v>
      </c>
    </row>
    <row r="271" spans="1:13" x14ac:dyDescent="0.25">
      <c r="A271">
        <v>29</v>
      </c>
      <c r="B271">
        <v>8693420</v>
      </c>
      <c r="C271">
        <v>6312</v>
      </c>
      <c r="D271">
        <v>6</v>
      </c>
      <c r="E271">
        <v>833</v>
      </c>
      <c r="F271" t="s">
        <v>332</v>
      </c>
      <c r="G271" t="s">
        <v>333</v>
      </c>
      <c r="H271">
        <v>833</v>
      </c>
      <c r="I271" t="s">
        <v>332</v>
      </c>
      <c r="J271" t="s">
        <v>333</v>
      </c>
      <c r="K271" t="s">
        <v>676</v>
      </c>
      <c r="L271">
        <v>3</v>
      </c>
      <c r="M271">
        <v>3</v>
      </c>
    </row>
    <row r="272" spans="1:13" x14ac:dyDescent="0.25">
      <c r="A272">
        <v>29</v>
      </c>
      <c r="B272">
        <v>8696869</v>
      </c>
      <c r="C272">
        <v>6313</v>
      </c>
      <c r="D272">
        <v>5</v>
      </c>
      <c r="E272">
        <v>853</v>
      </c>
      <c r="F272" t="s">
        <v>296</v>
      </c>
      <c r="G272" t="s">
        <v>297</v>
      </c>
      <c r="H272">
        <v>853</v>
      </c>
      <c r="I272" t="s">
        <v>296</v>
      </c>
      <c r="J272" t="s">
        <v>297</v>
      </c>
      <c r="K272" t="s">
        <v>677</v>
      </c>
      <c r="L272">
        <v>1</v>
      </c>
      <c r="M272">
        <v>1</v>
      </c>
    </row>
    <row r="273" spans="1:13" x14ac:dyDescent="0.25">
      <c r="A273">
        <v>29</v>
      </c>
      <c r="B273">
        <v>8697026</v>
      </c>
      <c r="C273">
        <v>6313</v>
      </c>
      <c r="D273">
        <v>6</v>
      </c>
      <c r="E273">
        <v>849</v>
      </c>
      <c r="F273" t="s">
        <v>138</v>
      </c>
      <c r="G273" t="s">
        <v>139</v>
      </c>
      <c r="H273">
        <v>849</v>
      </c>
      <c r="I273" t="s">
        <v>138</v>
      </c>
      <c r="J273" t="s">
        <v>139</v>
      </c>
      <c r="K273" t="s">
        <v>678</v>
      </c>
      <c r="L273">
        <v>1</v>
      </c>
      <c r="M273">
        <v>1</v>
      </c>
    </row>
    <row r="274" spans="1:13" x14ac:dyDescent="0.25">
      <c r="A274">
        <v>29</v>
      </c>
      <c r="B274">
        <v>8696152</v>
      </c>
      <c r="C274">
        <v>6313</v>
      </c>
      <c r="D274">
        <v>1</v>
      </c>
      <c r="E274">
        <v>853</v>
      </c>
      <c r="F274" t="s">
        <v>296</v>
      </c>
      <c r="G274" t="s">
        <v>297</v>
      </c>
      <c r="H274">
        <v>853</v>
      </c>
      <c r="I274" t="s">
        <v>296</v>
      </c>
      <c r="J274" t="s">
        <v>297</v>
      </c>
      <c r="K274" t="s">
        <v>679</v>
      </c>
      <c r="L274">
        <v>1</v>
      </c>
      <c r="M274">
        <v>1</v>
      </c>
    </row>
    <row r="275" spans="1:13" x14ac:dyDescent="0.25">
      <c r="A275">
        <v>29</v>
      </c>
      <c r="B275">
        <v>8696400</v>
      </c>
      <c r="C275">
        <v>6313</v>
      </c>
      <c r="D275">
        <v>2</v>
      </c>
      <c r="E275">
        <v>853</v>
      </c>
      <c r="F275" t="s">
        <v>296</v>
      </c>
      <c r="G275" t="s">
        <v>297</v>
      </c>
      <c r="H275">
        <v>853</v>
      </c>
      <c r="I275" t="s">
        <v>296</v>
      </c>
      <c r="J275" t="s">
        <v>297</v>
      </c>
      <c r="K275" t="s">
        <v>680</v>
      </c>
      <c r="L275">
        <v>1</v>
      </c>
      <c r="M275">
        <v>1</v>
      </c>
    </row>
    <row r="276" spans="1:13" x14ac:dyDescent="0.25">
      <c r="A276">
        <v>29</v>
      </c>
      <c r="B276">
        <v>8696583</v>
      </c>
      <c r="C276">
        <v>6313</v>
      </c>
      <c r="D276">
        <v>3</v>
      </c>
      <c r="E276">
        <v>856</v>
      </c>
      <c r="F276" t="s">
        <v>397</v>
      </c>
      <c r="G276" t="s">
        <v>398</v>
      </c>
      <c r="H276">
        <v>856</v>
      </c>
      <c r="I276" t="s">
        <v>397</v>
      </c>
      <c r="J276" t="s">
        <v>398</v>
      </c>
      <c r="K276" t="s">
        <v>681</v>
      </c>
      <c r="L276">
        <v>1</v>
      </c>
      <c r="M276">
        <v>1</v>
      </c>
    </row>
    <row r="277" spans="1:13" x14ac:dyDescent="0.25">
      <c r="A277">
        <v>29</v>
      </c>
      <c r="B277">
        <v>8696850</v>
      </c>
      <c r="C277">
        <v>6313</v>
      </c>
      <c r="D277">
        <v>4</v>
      </c>
      <c r="E277">
        <v>853</v>
      </c>
      <c r="F277" t="s">
        <v>296</v>
      </c>
      <c r="G277" t="s">
        <v>297</v>
      </c>
      <c r="H277">
        <v>853</v>
      </c>
      <c r="I277" t="s">
        <v>296</v>
      </c>
      <c r="J277" t="s">
        <v>297</v>
      </c>
      <c r="K277" t="s">
        <v>682</v>
      </c>
      <c r="L277">
        <v>1</v>
      </c>
      <c r="M277">
        <v>1</v>
      </c>
    </row>
    <row r="278" spans="1:13" x14ac:dyDescent="0.25">
      <c r="A278">
        <v>2</v>
      </c>
      <c r="B278">
        <v>8696803</v>
      </c>
      <c r="C278">
        <v>6315</v>
      </c>
      <c r="D278">
        <v>11</v>
      </c>
      <c r="E278">
        <v>347</v>
      </c>
      <c r="F278" t="s">
        <v>70</v>
      </c>
      <c r="G278" t="s">
        <v>71</v>
      </c>
      <c r="H278">
        <v>347</v>
      </c>
      <c r="I278" t="s">
        <v>70</v>
      </c>
      <c r="J278" t="s">
        <v>71</v>
      </c>
      <c r="K278" t="s">
        <v>683</v>
      </c>
      <c r="L278">
        <v>1</v>
      </c>
      <c r="M278">
        <v>1</v>
      </c>
    </row>
    <row r="279" spans="1:13" x14ac:dyDescent="0.25">
      <c r="A279">
        <v>9</v>
      </c>
      <c r="B279">
        <v>9186941</v>
      </c>
      <c r="C279">
        <v>5921</v>
      </c>
      <c r="D279">
        <v>12</v>
      </c>
      <c r="E279">
        <v>674</v>
      </c>
      <c r="F279" t="s">
        <v>112</v>
      </c>
      <c r="G279" t="s">
        <v>113</v>
      </c>
      <c r="H279">
        <v>674</v>
      </c>
      <c r="I279" t="s">
        <v>112</v>
      </c>
      <c r="J279" t="s">
        <v>113</v>
      </c>
      <c r="K279" t="s">
        <v>684</v>
      </c>
      <c r="L279">
        <v>1</v>
      </c>
      <c r="M279">
        <v>1</v>
      </c>
    </row>
    <row r="280" spans="1:13" x14ac:dyDescent="0.25">
      <c r="A280">
        <v>9</v>
      </c>
      <c r="B280">
        <v>9185285</v>
      </c>
      <c r="C280">
        <v>5921</v>
      </c>
      <c r="D280">
        <v>2</v>
      </c>
      <c r="E280">
        <v>774</v>
      </c>
      <c r="F280" t="s">
        <v>240</v>
      </c>
      <c r="G280" t="s">
        <v>241</v>
      </c>
      <c r="H280">
        <v>774</v>
      </c>
      <c r="I280" t="s">
        <v>240</v>
      </c>
      <c r="J280" t="s">
        <v>241</v>
      </c>
      <c r="K280" t="s">
        <v>685</v>
      </c>
      <c r="L280">
        <v>1</v>
      </c>
      <c r="M280">
        <v>0</v>
      </c>
    </row>
    <row r="281" spans="1:13" x14ac:dyDescent="0.25">
      <c r="A281">
        <v>9</v>
      </c>
      <c r="B281">
        <v>9185362</v>
      </c>
      <c r="C281">
        <v>5921</v>
      </c>
      <c r="D281">
        <v>3</v>
      </c>
      <c r="E281">
        <v>774</v>
      </c>
      <c r="F281" t="s">
        <v>240</v>
      </c>
      <c r="G281" t="s">
        <v>241</v>
      </c>
      <c r="H281">
        <v>774</v>
      </c>
      <c r="I281" t="s">
        <v>240</v>
      </c>
      <c r="J281" t="s">
        <v>241</v>
      </c>
      <c r="K281" t="s">
        <v>686</v>
      </c>
      <c r="L281">
        <v>1</v>
      </c>
      <c r="M281">
        <v>0</v>
      </c>
    </row>
    <row r="282" spans="1:13" x14ac:dyDescent="0.25">
      <c r="A282">
        <v>9</v>
      </c>
      <c r="B282">
        <v>9185855</v>
      </c>
      <c r="C282">
        <v>5921</v>
      </c>
      <c r="D282">
        <v>4</v>
      </c>
      <c r="E282">
        <v>774</v>
      </c>
      <c r="F282" t="s">
        <v>240</v>
      </c>
      <c r="G282" t="s">
        <v>241</v>
      </c>
      <c r="H282">
        <v>774</v>
      </c>
      <c r="I282" t="s">
        <v>240</v>
      </c>
      <c r="J282" t="s">
        <v>241</v>
      </c>
      <c r="K282" t="s">
        <v>687</v>
      </c>
      <c r="L282">
        <v>1</v>
      </c>
      <c r="M282">
        <v>0</v>
      </c>
    </row>
    <row r="283" spans="1:13" x14ac:dyDescent="0.25">
      <c r="A283">
        <v>9</v>
      </c>
      <c r="B283">
        <v>9185165</v>
      </c>
      <c r="C283">
        <v>5921</v>
      </c>
      <c r="D283">
        <v>1</v>
      </c>
      <c r="E283">
        <v>641</v>
      </c>
      <c r="F283" t="s">
        <v>108</v>
      </c>
      <c r="G283" t="s">
        <v>109</v>
      </c>
      <c r="H283">
        <v>641</v>
      </c>
      <c r="I283" t="s">
        <v>108</v>
      </c>
      <c r="J283" t="s">
        <v>109</v>
      </c>
      <c r="K283" t="s">
        <v>688</v>
      </c>
      <c r="L283">
        <v>1</v>
      </c>
      <c r="M283">
        <v>1</v>
      </c>
    </row>
    <row r="284" spans="1:13" x14ac:dyDescent="0.25">
      <c r="A284">
        <v>9</v>
      </c>
      <c r="B284">
        <v>9179720</v>
      </c>
      <c r="C284">
        <v>5922</v>
      </c>
      <c r="D284">
        <v>1</v>
      </c>
      <c r="E284">
        <v>774</v>
      </c>
      <c r="F284" t="s">
        <v>240</v>
      </c>
      <c r="G284" t="s">
        <v>241</v>
      </c>
      <c r="H284">
        <v>774</v>
      </c>
      <c r="I284" t="s">
        <v>240</v>
      </c>
      <c r="J284" t="s">
        <v>241</v>
      </c>
      <c r="K284" t="s">
        <v>689</v>
      </c>
      <c r="L284">
        <v>1</v>
      </c>
      <c r="M284">
        <v>1</v>
      </c>
    </row>
    <row r="285" spans="1:13" x14ac:dyDescent="0.25">
      <c r="A285">
        <v>9</v>
      </c>
      <c r="B285">
        <v>9187037</v>
      </c>
      <c r="C285">
        <v>5922</v>
      </c>
      <c r="D285">
        <v>10</v>
      </c>
      <c r="E285">
        <v>674</v>
      </c>
      <c r="F285" t="s">
        <v>112</v>
      </c>
      <c r="G285" t="s">
        <v>113</v>
      </c>
      <c r="H285">
        <v>674</v>
      </c>
      <c r="I285" t="s">
        <v>112</v>
      </c>
      <c r="J285" t="s">
        <v>113</v>
      </c>
      <c r="K285" t="s">
        <v>690</v>
      </c>
      <c r="L285">
        <v>1</v>
      </c>
      <c r="M285">
        <v>1</v>
      </c>
    </row>
    <row r="286" spans="1:13" x14ac:dyDescent="0.25">
      <c r="A286">
        <v>9</v>
      </c>
      <c r="B286">
        <v>9186889</v>
      </c>
      <c r="C286">
        <v>5922</v>
      </c>
      <c r="D286">
        <v>9</v>
      </c>
      <c r="E286">
        <v>13</v>
      </c>
      <c r="F286" t="s">
        <v>62</v>
      </c>
      <c r="G286" t="s">
        <v>63</v>
      </c>
      <c r="H286">
        <v>13</v>
      </c>
      <c r="I286" t="s">
        <v>62</v>
      </c>
      <c r="J286" t="s">
        <v>63</v>
      </c>
      <c r="K286" t="s">
        <v>691</v>
      </c>
      <c r="L286">
        <v>1</v>
      </c>
      <c r="M286">
        <v>1</v>
      </c>
    </row>
    <row r="287" spans="1:13" x14ac:dyDescent="0.25">
      <c r="A287">
        <v>9</v>
      </c>
      <c r="B287">
        <v>9185644</v>
      </c>
      <c r="C287">
        <v>5922</v>
      </c>
      <c r="D287">
        <v>6</v>
      </c>
      <c r="E287">
        <v>970</v>
      </c>
      <c r="F287" t="s">
        <v>436</v>
      </c>
      <c r="G287" t="s">
        <v>437</v>
      </c>
      <c r="H287">
        <v>506</v>
      </c>
      <c r="I287" t="s">
        <v>92</v>
      </c>
      <c r="J287" t="s">
        <v>93</v>
      </c>
      <c r="K287" t="s">
        <v>692</v>
      </c>
      <c r="L287">
        <v>1</v>
      </c>
      <c r="M287">
        <v>1</v>
      </c>
    </row>
    <row r="288" spans="1:13" x14ac:dyDescent="0.25">
      <c r="A288">
        <v>9</v>
      </c>
      <c r="B288">
        <v>9185897</v>
      </c>
      <c r="C288">
        <v>5922</v>
      </c>
      <c r="D288">
        <v>7</v>
      </c>
      <c r="E288">
        <v>774</v>
      </c>
      <c r="F288" t="s">
        <v>240</v>
      </c>
      <c r="G288" t="s">
        <v>241</v>
      </c>
      <c r="H288">
        <v>774</v>
      </c>
      <c r="I288" t="s">
        <v>240</v>
      </c>
      <c r="J288" t="s">
        <v>241</v>
      </c>
      <c r="K288" t="s">
        <v>693</v>
      </c>
      <c r="L288">
        <v>1</v>
      </c>
      <c r="M288">
        <v>1</v>
      </c>
    </row>
    <row r="289" spans="1:13" x14ac:dyDescent="0.25">
      <c r="A289">
        <v>9</v>
      </c>
      <c r="B289">
        <v>9186055</v>
      </c>
      <c r="C289">
        <v>5922</v>
      </c>
      <c r="D289">
        <v>8</v>
      </c>
      <c r="E289">
        <v>566</v>
      </c>
      <c r="F289" t="s">
        <v>403</v>
      </c>
      <c r="G289" t="s">
        <v>404</v>
      </c>
      <c r="H289">
        <v>566</v>
      </c>
      <c r="I289" t="s">
        <v>403</v>
      </c>
      <c r="J289" t="s">
        <v>404</v>
      </c>
      <c r="K289" t="s">
        <v>694</v>
      </c>
      <c r="L289">
        <v>1</v>
      </c>
      <c r="M289">
        <v>1</v>
      </c>
    </row>
    <row r="290" spans="1:13" x14ac:dyDescent="0.25">
      <c r="A290">
        <v>9</v>
      </c>
      <c r="B290">
        <v>9180363</v>
      </c>
      <c r="C290">
        <v>5922</v>
      </c>
      <c r="D290">
        <v>2</v>
      </c>
      <c r="E290">
        <v>774</v>
      </c>
      <c r="F290" t="s">
        <v>240</v>
      </c>
      <c r="G290" t="s">
        <v>241</v>
      </c>
      <c r="H290">
        <v>774</v>
      </c>
      <c r="I290" t="s">
        <v>240</v>
      </c>
      <c r="J290" t="s">
        <v>241</v>
      </c>
      <c r="K290" t="s">
        <v>695</v>
      </c>
      <c r="L290">
        <v>1</v>
      </c>
      <c r="M290">
        <v>1</v>
      </c>
    </row>
    <row r="291" spans="1:13" x14ac:dyDescent="0.25">
      <c r="A291">
        <v>9</v>
      </c>
      <c r="B291">
        <v>9180448</v>
      </c>
      <c r="C291">
        <v>5922</v>
      </c>
      <c r="D291">
        <v>3</v>
      </c>
      <c r="E291">
        <v>774</v>
      </c>
      <c r="F291" t="s">
        <v>240</v>
      </c>
      <c r="G291" t="s">
        <v>241</v>
      </c>
      <c r="H291">
        <v>774</v>
      </c>
      <c r="I291" t="s">
        <v>240</v>
      </c>
      <c r="J291" t="s">
        <v>241</v>
      </c>
      <c r="K291" t="s">
        <v>696</v>
      </c>
      <c r="L291">
        <v>1</v>
      </c>
      <c r="M291">
        <v>1</v>
      </c>
    </row>
    <row r="292" spans="1:13" x14ac:dyDescent="0.25">
      <c r="A292">
        <v>9</v>
      </c>
      <c r="B292">
        <v>9180795</v>
      </c>
      <c r="C292">
        <v>5922</v>
      </c>
      <c r="D292">
        <v>4</v>
      </c>
      <c r="E292">
        <v>774</v>
      </c>
      <c r="F292" t="s">
        <v>240</v>
      </c>
      <c r="G292" t="s">
        <v>241</v>
      </c>
      <c r="H292">
        <v>774</v>
      </c>
      <c r="I292" t="s">
        <v>240</v>
      </c>
      <c r="J292" t="s">
        <v>241</v>
      </c>
      <c r="K292" t="s">
        <v>697</v>
      </c>
      <c r="L292">
        <v>1</v>
      </c>
      <c r="M292">
        <v>1</v>
      </c>
    </row>
    <row r="293" spans="1:13" x14ac:dyDescent="0.25">
      <c r="A293">
        <v>9</v>
      </c>
      <c r="B293">
        <v>9180857</v>
      </c>
      <c r="C293">
        <v>5922</v>
      </c>
      <c r="D293">
        <v>5</v>
      </c>
      <c r="E293">
        <v>774</v>
      </c>
      <c r="F293" t="s">
        <v>240</v>
      </c>
      <c r="G293" t="s">
        <v>241</v>
      </c>
      <c r="H293">
        <v>774</v>
      </c>
      <c r="I293" t="s">
        <v>240</v>
      </c>
      <c r="J293" t="s">
        <v>241</v>
      </c>
      <c r="K293" t="s">
        <v>698</v>
      </c>
      <c r="L293">
        <v>1</v>
      </c>
      <c r="M293">
        <v>1</v>
      </c>
    </row>
    <row r="294" spans="1:13" x14ac:dyDescent="0.25">
      <c r="A294">
        <v>9</v>
      </c>
      <c r="B294">
        <v>9186444</v>
      </c>
      <c r="C294">
        <v>5923</v>
      </c>
      <c r="D294">
        <v>8</v>
      </c>
      <c r="E294">
        <v>774</v>
      </c>
      <c r="F294" t="s">
        <v>240</v>
      </c>
      <c r="G294" t="s">
        <v>241</v>
      </c>
      <c r="H294">
        <v>774</v>
      </c>
      <c r="I294" t="s">
        <v>240</v>
      </c>
      <c r="J294" t="s">
        <v>241</v>
      </c>
      <c r="K294" t="s">
        <v>699</v>
      </c>
      <c r="L294">
        <v>1</v>
      </c>
      <c r="M294">
        <v>1</v>
      </c>
    </row>
    <row r="295" spans="1:13" x14ac:dyDescent="0.25">
      <c r="A295">
        <v>9</v>
      </c>
      <c r="B295">
        <v>9186487</v>
      </c>
      <c r="C295">
        <v>5923</v>
      </c>
      <c r="D295">
        <v>9</v>
      </c>
      <c r="E295">
        <v>774</v>
      </c>
      <c r="F295" t="s">
        <v>240</v>
      </c>
      <c r="G295" t="s">
        <v>241</v>
      </c>
      <c r="H295">
        <v>774</v>
      </c>
      <c r="I295" t="s">
        <v>240</v>
      </c>
      <c r="J295" t="s">
        <v>241</v>
      </c>
      <c r="K295" t="s">
        <v>700</v>
      </c>
      <c r="L295">
        <v>1</v>
      </c>
      <c r="M295">
        <v>1</v>
      </c>
    </row>
    <row r="296" spans="1:13" x14ac:dyDescent="0.25">
      <c r="A296">
        <v>9</v>
      </c>
      <c r="B296">
        <v>9186487</v>
      </c>
      <c r="C296">
        <v>5923</v>
      </c>
      <c r="D296">
        <v>10</v>
      </c>
      <c r="E296">
        <v>774</v>
      </c>
      <c r="F296" t="s">
        <v>240</v>
      </c>
      <c r="G296" t="s">
        <v>241</v>
      </c>
      <c r="H296">
        <v>774</v>
      </c>
      <c r="I296" t="s">
        <v>240</v>
      </c>
      <c r="J296" t="s">
        <v>241</v>
      </c>
      <c r="K296" t="s">
        <v>701</v>
      </c>
      <c r="L296">
        <v>1</v>
      </c>
      <c r="M296">
        <v>1</v>
      </c>
    </row>
    <row r="297" spans="1:13" x14ac:dyDescent="0.25">
      <c r="A297">
        <v>9</v>
      </c>
      <c r="B297">
        <v>9186487</v>
      </c>
      <c r="C297">
        <v>5923</v>
      </c>
      <c r="D297">
        <v>11</v>
      </c>
      <c r="E297">
        <v>774</v>
      </c>
      <c r="F297" t="s">
        <v>240</v>
      </c>
      <c r="G297" t="s">
        <v>241</v>
      </c>
      <c r="H297">
        <v>774</v>
      </c>
      <c r="I297" t="s">
        <v>240</v>
      </c>
      <c r="J297" t="s">
        <v>241</v>
      </c>
      <c r="K297" t="s">
        <v>702</v>
      </c>
      <c r="L297">
        <v>1</v>
      </c>
      <c r="M297">
        <v>1</v>
      </c>
    </row>
    <row r="298" spans="1:13" x14ac:dyDescent="0.25">
      <c r="A298">
        <v>9</v>
      </c>
      <c r="B298">
        <v>9186763</v>
      </c>
      <c r="C298">
        <v>5923</v>
      </c>
      <c r="D298">
        <v>12</v>
      </c>
      <c r="E298">
        <v>774</v>
      </c>
      <c r="F298" t="s">
        <v>240</v>
      </c>
      <c r="G298" t="s">
        <v>241</v>
      </c>
      <c r="H298">
        <v>774</v>
      </c>
      <c r="I298" t="s">
        <v>240</v>
      </c>
      <c r="J298" t="s">
        <v>241</v>
      </c>
      <c r="K298" t="s">
        <v>703</v>
      </c>
      <c r="L298">
        <v>1</v>
      </c>
      <c r="M298">
        <v>1</v>
      </c>
    </row>
    <row r="299" spans="1:13" x14ac:dyDescent="0.25">
      <c r="A299">
        <v>9</v>
      </c>
      <c r="B299">
        <v>9183759</v>
      </c>
      <c r="C299">
        <v>5923</v>
      </c>
      <c r="D299">
        <v>7</v>
      </c>
      <c r="E299">
        <v>13</v>
      </c>
      <c r="F299" t="s">
        <v>62</v>
      </c>
      <c r="G299" t="s">
        <v>63</v>
      </c>
      <c r="H299">
        <v>13</v>
      </c>
      <c r="I299" t="s">
        <v>62</v>
      </c>
      <c r="J299" t="s">
        <v>63</v>
      </c>
      <c r="K299" t="s">
        <v>704</v>
      </c>
      <c r="L299">
        <v>1</v>
      </c>
      <c r="M299">
        <v>1</v>
      </c>
    </row>
    <row r="300" spans="1:13" x14ac:dyDescent="0.25">
      <c r="A300">
        <v>9</v>
      </c>
      <c r="B300">
        <v>9181934</v>
      </c>
      <c r="C300">
        <v>5923</v>
      </c>
      <c r="D300">
        <v>6</v>
      </c>
      <c r="E300">
        <v>774</v>
      </c>
      <c r="F300" t="s">
        <v>240</v>
      </c>
      <c r="G300" t="s">
        <v>241</v>
      </c>
      <c r="H300">
        <v>774</v>
      </c>
      <c r="I300" t="s">
        <v>240</v>
      </c>
      <c r="J300" t="s">
        <v>241</v>
      </c>
      <c r="K300" t="s">
        <v>705</v>
      </c>
      <c r="L300">
        <v>1</v>
      </c>
      <c r="M300">
        <v>1</v>
      </c>
    </row>
    <row r="301" spans="1:13" x14ac:dyDescent="0.25">
      <c r="A301">
        <v>9</v>
      </c>
      <c r="B301">
        <v>9181185</v>
      </c>
      <c r="C301">
        <v>5923</v>
      </c>
      <c r="D301">
        <v>2</v>
      </c>
      <c r="E301">
        <v>774</v>
      </c>
      <c r="F301" t="s">
        <v>240</v>
      </c>
      <c r="G301" t="s">
        <v>241</v>
      </c>
      <c r="H301">
        <v>774</v>
      </c>
      <c r="I301" t="s">
        <v>240</v>
      </c>
      <c r="J301" t="s">
        <v>241</v>
      </c>
      <c r="K301" t="s">
        <v>706</v>
      </c>
      <c r="L301">
        <v>1</v>
      </c>
      <c r="M301">
        <v>1</v>
      </c>
    </row>
    <row r="302" spans="1:13" x14ac:dyDescent="0.25">
      <c r="A302">
        <v>9</v>
      </c>
      <c r="B302">
        <v>9181409</v>
      </c>
      <c r="C302">
        <v>5923</v>
      </c>
      <c r="D302">
        <v>3</v>
      </c>
      <c r="E302">
        <v>774</v>
      </c>
      <c r="F302" t="s">
        <v>240</v>
      </c>
      <c r="G302" t="s">
        <v>241</v>
      </c>
      <c r="H302">
        <v>774</v>
      </c>
      <c r="I302" t="s">
        <v>240</v>
      </c>
      <c r="J302" t="s">
        <v>241</v>
      </c>
      <c r="K302" t="s">
        <v>707</v>
      </c>
      <c r="L302">
        <v>1</v>
      </c>
      <c r="M302">
        <v>1</v>
      </c>
    </row>
    <row r="303" spans="1:13" x14ac:dyDescent="0.25">
      <c r="A303">
        <v>9</v>
      </c>
      <c r="B303">
        <v>9181455</v>
      </c>
      <c r="C303">
        <v>5923</v>
      </c>
      <c r="D303">
        <v>4</v>
      </c>
      <c r="E303">
        <v>774</v>
      </c>
      <c r="F303" t="s">
        <v>240</v>
      </c>
      <c r="G303" t="s">
        <v>241</v>
      </c>
      <c r="H303">
        <v>774</v>
      </c>
      <c r="I303" t="s">
        <v>240</v>
      </c>
      <c r="J303" t="s">
        <v>241</v>
      </c>
      <c r="K303" t="s">
        <v>708</v>
      </c>
      <c r="L303">
        <v>1</v>
      </c>
      <c r="M303">
        <v>1</v>
      </c>
    </row>
    <row r="304" spans="1:13" x14ac:dyDescent="0.25">
      <c r="A304">
        <v>9</v>
      </c>
      <c r="B304">
        <v>9181856</v>
      </c>
      <c r="C304">
        <v>5923</v>
      </c>
      <c r="D304">
        <v>5</v>
      </c>
      <c r="E304">
        <v>774</v>
      </c>
      <c r="F304" t="s">
        <v>240</v>
      </c>
      <c r="G304" t="s">
        <v>241</v>
      </c>
      <c r="H304">
        <v>774</v>
      </c>
      <c r="I304" t="s">
        <v>240</v>
      </c>
      <c r="J304" t="s">
        <v>241</v>
      </c>
      <c r="K304" t="s">
        <v>709</v>
      </c>
      <c r="L304">
        <v>1</v>
      </c>
      <c r="M304">
        <v>1</v>
      </c>
    </row>
    <row r="305" spans="1:13" x14ac:dyDescent="0.25">
      <c r="A305">
        <v>9</v>
      </c>
      <c r="B305">
        <v>9180795</v>
      </c>
      <c r="C305">
        <v>5923</v>
      </c>
      <c r="D305">
        <v>1</v>
      </c>
      <c r="E305">
        <v>774</v>
      </c>
      <c r="F305" t="s">
        <v>240</v>
      </c>
      <c r="G305" t="s">
        <v>241</v>
      </c>
      <c r="H305">
        <v>774</v>
      </c>
      <c r="I305" t="s">
        <v>240</v>
      </c>
      <c r="J305" t="s">
        <v>241</v>
      </c>
      <c r="K305" t="s">
        <v>710</v>
      </c>
      <c r="L305">
        <v>1</v>
      </c>
      <c r="M305">
        <v>1</v>
      </c>
    </row>
    <row r="306" spans="1:13" x14ac:dyDescent="0.25">
      <c r="A306">
        <v>3</v>
      </c>
      <c r="B306">
        <v>50051097</v>
      </c>
      <c r="C306">
        <v>5927</v>
      </c>
      <c r="D306">
        <v>1</v>
      </c>
      <c r="E306">
        <v>824</v>
      </c>
      <c r="F306" t="s">
        <v>134</v>
      </c>
      <c r="G306" t="s">
        <v>135</v>
      </c>
      <c r="H306">
        <v>824</v>
      </c>
      <c r="I306" t="s">
        <v>134</v>
      </c>
      <c r="J306" t="s">
        <v>135</v>
      </c>
      <c r="K306" t="s">
        <v>711</v>
      </c>
      <c r="L306">
        <v>1</v>
      </c>
      <c r="M306">
        <v>1</v>
      </c>
    </row>
    <row r="307" spans="1:13" x14ac:dyDescent="0.25">
      <c r="A307">
        <v>3</v>
      </c>
      <c r="B307">
        <v>50051098</v>
      </c>
      <c r="C307">
        <v>5927</v>
      </c>
      <c r="D307">
        <v>2</v>
      </c>
      <c r="E307">
        <v>638</v>
      </c>
      <c r="F307" t="s">
        <v>104</v>
      </c>
      <c r="G307" t="s">
        <v>105</v>
      </c>
      <c r="H307">
        <v>638</v>
      </c>
      <c r="I307" t="s">
        <v>104</v>
      </c>
      <c r="J307" t="s">
        <v>105</v>
      </c>
      <c r="K307" t="s">
        <v>712</v>
      </c>
      <c r="L307">
        <v>1</v>
      </c>
      <c r="M307">
        <v>1</v>
      </c>
    </row>
    <row r="308" spans="1:13" x14ac:dyDescent="0.25">
      <c r="A308">
        <v>3</v>
      </c>
      <c r="B308">
        <v>50051148</v>
      </c>
      <c r="C308">
        <v>5927</v>
      </c>
      <c r="D308">
        <v>3</v>
      </c>
      <c r="E308">
        <v>970</v>
      </c>
      <c r="F308" t="s">
        <v>436</v>
      </c>
      <c r="G308" t="s">
        <v>437</v>
      </c>
      <c r="H308">
        <v>506</v>
      </c>
      <c r="I308" t="s">
        <v>92</v>
      </c>
      <c r="J308" t="s">
        <v>93</v>
      </c>
      <c r="K308" t="s">
        <v>713</v>
      </c>
      <c r="L308">
        <v>1</v>
      </c>
      <c r="M308">
        <v>1</v>
      </c>
    </row>
    <row r="309" spans="1:13" x14ac:dyDescent="0.25">
      <c r="A309">
        <v>3</v>
      </c>
      <c r="B309">
        <v>50051148</v>
      </c>
      <c r="C309">
        <v>5927</v>
      </c>
      <c r="D309">
        <v>4</v>
      </c>
      <c r="E309">
        <v>970</v>
      </c>
      <c r="F309" t="s">
        <v>436</v>
      </c>
      <c r="G309" t="s">
        <v>437</v>
      </c>
      <c r="H309">
        <v>506</v>
      </c>
      <c r="I309" t="s">
        <v>92</v>
      </c>
      <c r="J309" t="s">
        <v>93</v>
      </c>
      <c r="K309" t="s">
        <v>714</v>
      </c>
      <c r="L309">
        <v>1</v>
      </c>
      <c r="M309">
        <v>1</v>
      </c>
    </row>
    <row r="310" spans="1:13" x14ac:dyDescent="0.25">
      <c r="A310">
        <v>3</v>
      </c>
      <c r="B310">
        <v>50051148</v>
      </c>
      <c r="C310">
        <v>5927</v>
      </c>
      <c r="D310">
        <v>5</v>
      </c>
      <c r="E310">
        <v>970</v>
      </c>
      <c r="F310" t="s">
        <v>436</v>
      </c>
      <c r="G310" t="s">
        <v>437</v>
      </c>
      <c r="H310">
        <v>506</v>
      </c>
      <c r="I310" t="s">
        <v>92</v>
      </c>
      <c r="J310" t="s">
        <v>93</v>
      </c>
      <c r="K310" t="s">
        <v>715</v>
      </c>
      <c r="L310">
        <v>1</v>
      </c>
      <c r="M310">
        <v>1</v>
      </c>
    </row>
    <row r="311" spans="1:13" x14ac:dyDescent="0.25">
      <c r="A311">
        <v>3</v>
      </c>
      <c r="B311">
        <v>50051148</v>
      </c>
      <c r="C311">
        <v>5927</v>
      </c>
      <c r="D311">
        <v>6</v>
      </c>
      <c r="E311">
        <v>824</v>
      </c>
      <c r="F311" t="s">
        <v>134</v>
      </c>
      <c r="G311" t="s">
        <v>135</v>
      </c>
      <c r="H311">
        <v>824</v>
      </c>
      <c r="I311" t="s">
        <v>134</v>
      </c>
      <c r="J311" t="s">
        <v>135</v>
      </c>
      <c r="K311" t="s">
        <v>716</v>
      </c>
      <c r="L311">
        <v>1</v>
      </c>
      <c r="M311">
        <v>1</v>
      </c>
    </row>
    <row r="312" spans="1:13" x14ac:dyDescent="0.25">
      <c r="A312">
        <v>3</v>
      </c>
      <c r="B312">
        <v>50051147</v>
      </c>
      <c r="C312">
        <v>5928</v>
      </c>
      <c r="D312">
        <v>1</v>
      </c>
      <c r="E312">
        <v>590</v>
      </c>
      <c r="F312" t="s">
        <v>717</v>
      </c>
      <c r="G312" t="s">
        <v>718</v>
      </c>
      <c r="H312">
        <v>590</v>
      </c>
      <c r="I312" t="s">
        <v>717</v>
      </c>
      <c r="J312" t="s">
        <v>718</v>
      </c>
      <c r="K312" t="s">
        <v>719</v>
      </c>
      <c r="L312">
        <v>1</v>
      </c>
      <c r="M312">
        <v>1</v>
      </c>
    </row>
    <row r="313" spans="1:13" x14ac:dyDescent="0.25">
      <c r="A313">
        <v>3</v>
      </c>
      <c r="B313">
        <v>50051209</v>
      </c>
      <c r="C313">
        <v>5930</v>
      </c>
      <c r="D313">
        <v>4</v>
      </c>
      <c r="E313">
        <v>970</v>
      </c>
      <c r="F313" t="s">
        <v>436</v>
      </c>
      <c r="G313" t="s">
        <v>437</v>
      </c>
      <c r="H313">
        <v>506</v>
      </c>
      <c r="I313" t="s">
        <v>92</v>
      </c>
      <c r="J313" t="s">
        <v>93</v>
      </c>
      <c r="K313" t="s">
        <v>720</v>
      </c>
      <c r="L313">
        <v>1</v>
      </c>
      <c r="M313">
        <v>0</v>
      </c>
    </row>
    <row r="314" spans="1:13" x14ac:dyDescent="0.25">
      <c r="A314">
        <v>3</v>
      </c>
      <c r="B314">
        <v>50051209</v>
      </c>
      <c r="C314">
        <v>5930</v>
      </c>
      <c r="D314">
        <v>15</v>
      </c>
      <c r="E314">
        <v>970</v>
      </c>
      <c r="F314" t="s">
        <v>436</v>
      </c>
      <c r="G314" t="s">
        <v>437</v>
      </c>
      <c r="H314">
        <v>506</v>
      </c>
      <c r="I314" t="s">
        <v>92</v>
      </c>
      <c r="J314" t="s">
        <v>93</v>
      </c>
      <c r="K314" t="s">
        <v>721</v>
      </c>
      <c r="L314">
        <v>1</v>
      </c>
      <c r="M314">
        <v>1</v>
      </c>
    </row>
    <row r="315" spans="1:13" x14ac:dyDescent="0.25">
      <c r="A315">
        <v>3</v>
      </c>
      <c r="B315">
        <v>50051209</v>
      </c>
      <c r="C315">
        <v>5930</v>
      </c>
      <c r="D315">
        <v>16</v>
      </c>
      <c r="E315">
        <v>658</v>
      </c>
      <c r="F315" t="s">
        <v>722</v>
      </c>
      <c r="G315" t="s">
        <v>723</v>
      </c>
      <c r="H315">
        <v>658</v>
      </c>
      <c r="I315" t="s">
        <v>722</v>
      </c>
      <c r="J315" t="s">
        <v>723</v>
      </c>
      <c r="K315" t="s">
        <v>724</v>
      </c>
      <c r="L315">
        <v>1</v>
      </c>
      <c r="M315">
        <v>1</v>
      </c>
    </row>
    <row r="316" spans="1:13" x14ac:dyDescent="0.25">
      <c r="A316">
        <v>3</v>
      </c>
      <c r="B316">
        <v>50051209</v>
      </c>
      <c r="C316">
        <v>5930</v>
      </c>
      <c r="D316">
        <v>18</v>
      </c>
      <c r="E316">
        <v>970</v>
      </c>
      <c r="F316" t="s">
        <v>436</v>
      </c>
      <c r="G316" t="s">
        <v>437</v>
      </c>
      <c r="H316">
        <v>506</v>
      </c>
      <c r="I316" t="s">
        <v>92</v>
      </c>
      <c r="J316" t="s">
        <v>93</v>
      </c>
      <c r="K316" t="s">
        <v>725</v>
      </c>
      <c r="L316">
        <v>1</v>
      </c>
      <c r="M316">
        <v>1</v>
      </c>
    </row>
    <row r="317" spans="1:13" x14ac:dyDescent="0.25">
      <c r="A317">
        <v>3</v>
      </c>
      <c r="B317">
        <v>50051259</v>
      </c>
      <c r="C317">
        <v>5930</v>
      </c>
      <c r="D317">
        <v>8</v>
      </c>
      <c r="E317">
        <v>970</v>
      </c>
      <c r="F317" t="s">
        <v>436</v>
      </c>
      <c r="G317" t="s">
        <v>437</v>
      </c>
      <c r="H317">
        <v>506</v>
      </c>
      <c r="I317" t="s">
        <v>92</v>
      </c>
      <c r="J317" t="s">
        <v>93</v>
      </c>
      <c r="K317" t="s">
        <v>726</v>
      </c>
      <c r="L317">
        <v>1</v>
      </c>
      <c r="M317">
        <v>0</v>
      </c>
    </row>
    <row r="318" spans="1:13" x14ac:dyDescent="0.25">
      <c r="A318">
        <v>3</v>
      </c>
      <c r="B318">
        <v>50051259</v>
      </c>
      <c r="C318">
        <v>5930</v>
      </c>
      <c r="D318">
        <v>17</v>
      </c>
      <c r="E318">
        <v>970</v>
      </c>
      <c r="F318" t="s">
        <v>436</v>
      </c>
      <c r="G318" t="s">
        <v>437</v>
      </c>
      <c r="H318">
        <v>506</v>
      </c>
      <c r="I318" t="s">
        <v>92</v>
      </c>
      <c r="J318" t="s">
        <v>93</v>
      </c>
      <c r="K318" t="s">
        <v>727</v>
      </c>
      <c r="L318">
        <v>1</v>
      </c>
      <c r="M318">
        <v>1</v>
      </c>
    </row>
    <row r="319" spans="1:13" x14ac:dyDescent="0.25">
      <c r="A319">
        <v>3</v>
      </c>
      <c r="B319">
        <v>50051260</v>
      </c>
      <c r="C319">
        <v>5930</v>
      </c>
      <c r="D319">
        <v>9</v>
      </c>
      <c r="E319">
        <v>970</v>
      </c>
      <c r="F319" t="s">
        <v>436</v>
      </c>
      <c r="G319" t="s">
        <v>437</v>
      </c>
      <c r="H319">
        <v>506</v>
      </c>
      <c r="I319" t="s">
        <v>92</v>
      </c>
      <c r="J319" t="s">
        <v>93</v>
      </c>
      <c r="K319" t="s">
        <v>728</v>
      </c>
      <c r="L319">
        <v>1</v>
      </c>
      <c r="M319">
        <v>0</v>
      </c>
    </row>
    <row r="320" spans="1:13" x14ac:dyDescent="0.25">
      <c r="A320">
        <v>3</v>
      </c>
      <c r="B320">
        <v>50051260</v>
      </c>
      <c r="C320">
        <v>5930</v>
      </c>
      <c r="D320">
        <v>19</v>
      </c>
      <c r="E320">
        <v>970</v>
      </c>
      <c r="F320" t="s">
        <v>436</v>
      </c>
      <c r="G320" t="s">
        <v>437</v>
      </c>
      <c r="H320">
        <v>506</v>
      </c>
      <c r="I320" t="s">
        <v>92</v>
      </c>
      <c r="J320" t="s">
        <v>93</v>
      </c>
      <c r="K320" t="s">
        <v>729</v>
      </c>
      <c r="L320">
        <v>1</v>
      </c>
      <c r="M320">
        <v>1</v>
      </c>
    </row>
    <row r="321" spans="1:13" x14ac:dyDescent="0.25">
      <c r="A321">
        <v>3</v>
      </c>
      <c r="B321">
        <v>50051097</v>
      </c>
      <c r="C321">
        <v>5930</v>
      </c>
      <c r="D321">
        <v>5</v>
      </c>
      <c r="E321">
        <v>970</v>
      </c>
      <c r="F321" t="s">
        <v>436</v>
      </c>
      <c r="G321" t="s">
        <v>437</v>
      </c>
      <c r="H321">
        <v>506</v>
      </c>
      <c r="I321" t="s">
        <v>92</v>
      </c>
      <c r="J321" t="s">
        <v>93</v>
      </c>
      <c r="K321" t="s">
        <v>730</v>
      </c>
      <c r="L321">
        <v>1</v>
      </c>
      <c r="M321">
        <v>1</v>
      </c>
    </row>
    <row r="322" spans="1:13" x14ac:dyDescent="0.25">
      <c r="A322">
        <v>3</v>
      </c>
      <c r="B322">
        <v>50051098</v>
      </c>
      <c r="C322">
        <v>5930</v>
      </c>
      <c r="D322">
        <v>1</v>
      </c>
      <c r="E322">
        <v>409</v>
      </c>
      <c r="F322" t="s">
        <v>84</v>
      </c>
      <c r="G322" t="s">
        <v>85</v>
      </c>
      <c r="H322">
        <v>409</v>
      </c>
      <c r="I322" t="s">
        <v>84</v>
      </c>
      <c r="J322" t="s">
        <v>85</v>
      </c>
      <c r="K322" t="s">
        <v>731</v>
      </c>
      <c r="L322">
        <v>1</v>
      </c>
      <c r="M322">
        <v>0</v>
      </c>
    </row>
    <row r="323" spans="1:13" x14ac:dyDescent="0.25">
      <c r="A323">
        <v>3</v>
      </c>
      <c r="B323">
        <v>50051098</v>
      </c>
      <c r="C323">
        <v>5930</v>
      </c>
      <c r="D323">
        <v>6</v>
      </c>
      <c r="E323">
        <v>729</v>
      </c>
      <c r="F323" t="s">
        <v>557</v>
      </c>
      <c r="G323" t="s">
        <v>558</v>
      </c>
      <c r="H323">
        <v>729</v>
      </c>
      <c r="I323" t="s">
        <v>557</v>
      </c>
      <c r="J323" t="s">
        <v>558</v>
      </c>
      <c r="K323" t="s">
        <v>732</v>
      </c>
      <c r="L323">
        <v>1</v>
      </c>
      <c r="M323">
        <v>0</v>
      </c>
    </row>
    <row r="324" spans="1:13" x14ac:dyDescent="0.25">
      <c r="A324">
        <v>9</v>
      </c>
      <c r="B324">
        <v>9190215</v>
      </c>
      <c r="C324">
        <v>6010</v>
      </c>
      <c r="D324">
        <v>15</v>
      </c>
      <c r="E324">
        <v>180</v>
      </c>
      <c r="F324" t="s">
        <v>68</v>
      </c>
      <c r="G324" t="s">
        <v>69</v>
      </c>
      <c r="H324">
        <v>180</v>
      </c>
      <c r="I324" t="s">
        <v>68</v>
      </c>
      <c r="J324" t="s">
        <v>69</v>
      </c>
      <c r="K324" t="s">
        <v>733</v>
      </c>
      <c r="L324">
        <v>1</v>
      </c>
      <c r="M324">
        <v>1</v>
      </c>
    </row>
    <row r="325" spans="1:13" x14ac:dyDescent="0.25">
      <c r="A325">
        <v>9</v>
      </c>
      <c r="B325">
        <v>9190258</v>
      </c>
      <c r="C325">
        <v>6010</v>
      </c>
      <c r="D325">
        <v>16</v>
      </c>
      <c r="E325">
        <v>401</v>
      </c>
      <c r="F325" t="s">
        <v>76</v>
      </c>
      <c r="G325" t="s">
        <v>77</v>
      </c>
      <c r="H325">
        <v>401</v>
      </c>
      <c r="I325" t="s">
        <v>76</v>
      </c>
      <c r="J325" t="s">
        <v>77</v>
      </c>
      <c r="K325" t="s">
        <v>734</v>
      </c>
      <c r="L325">
        <v>1</v>
      </c>
      <c r="M325">
        <v>1</v>
      </c>
    </row>
    <row r="326" spans="1:13" x14ac:dyDescent="0.25">
      <c r="A326">
        <v>9</v>
      </c>
      <c r="B326">
        <v>9190309</v>
      </c>
      <c r="C326">
        <v>6010</v>
      </c>
      <c r="D326">
        <v>17</v>
      </c>
      <c r="E326">
        <v>673</v>
      </c>
      <c r="F326" t="s">
        <v>259</v>
      </c>
      <c r="G326" t="s">
        <v>260</v>
      </c>
      <c r="H326">
        <v>673</v>
      </c>
      <c r="I326" t="s">
        <v>259</v>
      </c>
      <c r="J326" t="s">
        <v>260</v>
      </c>
      <c r="K326" t="s">
        <v>735</v>
      </c>
      <c r="L326">
        <v>1</v>
      </c>
      <c r="M326">
        <v>1</v>
      </c>
    </row>
    <row r="327" spans="1:13" x14ac:dyDescent="0.25">
      <c r="A327">
        <v>9</v>
      </c>
      <c r="B327">
        <v>9190309</v>
      </c>
      <c r="C327">
        <v>6010</v>
      </c>
      <c r="D327">
        <v>18</v>
      </c>
      <c r="E327">
        <v>511</v>
      </c>
      <c r="F327" t="s">
        <v>736</v>
      </c>
      <c r="G327" t="s">
        <v>737</v>
      </c>
      <c r="H327">
        <v>511</v>
      </c>
      <c r="I327" t="s">
        <v>736</v>
      </c>
      <c r="J327" t="s">
        <v>737</v>
      </c>
      <c r="K327" t="s">
        <v>738</v>
      </c>
      <c r="L327">
        <v>1</v>
      </c>
      <c r="M327">
        <v>1</v>
      </c>
    </row>
    <row r="328" spans="1:13" x14ac:dyDescent="0.25">
      <c r="A328">
        <v>9</v>
      </c>
      <c r="B328">
        <v>9189791</v>
      </c>
      <c r="C328">
        <v>6010</v>
      </c>
      <c r="D328">
        <v>6</v>
      </c>
      <c r="E328">
        <v>701</v>
      </c>
      <c r="F328" t="s">
        <v>446</v>
      </c>
      <c r="G328" t="s">
        <v>447</v>
      </c>
      <c r="H328">
        <v>701</v>
      </c>
      <c r="I328" t="s">
        <v>446</v>
      </c>
      <c r="J328" t="s">
        <v>447</v>
      </c>
      <c r="K328" t="s">
        <v>739</v>
      </c>
      <c r="L328">
        <v>1</v>
      </c>
      <c r="M328">
        <v>1</v>
      </c>
    </row>
    <row r="329" spans="1:13" x14ac:dyDescent="0.25">
      <c r="A329">
        <v>9</v>
      </c>
      <c r="B329">
        <v>9189841</v>
      </c>
      <c r="C329">
        <v>6010</v>
      </c>
      <c r="D329">
        <v>7</v>
      </c>
      <c r="E329">
        <v>584</v>
      </c>
      <c r="F329" t="s">
        <v>96</v>
      </c>
      <c r="G329" t="s">
        <v>97</v>
      </c>
      <c r="H329">
        <v>584</v>
      </c>
      <c r="I329" t="s">
        <v>96</v>
      </c>
      <c r="J329" t="s">
        <v>97</v>
      </c>
      <c r="K329" t="s">
        <v>740</v>
      </c>
      <c r="L329">
        <v>1</v>
      </c>
      <c r="M329">
        <v>1</v>
      </c>
    </row>
    <row r="330" spans="1:13" x14ac:dyDescent="0.25">
      <c r="A330">
        <v>9</v>
      </c>
      <c r="B330">
        <v>9189841</v>
      </c>
      <c r="C330">
        <v>6010</v>
      </c>
      <c r="D330">
        <v>8</v>
      </c>
      <c r="E330">
        <v>641</v>
      </c>
      <c r="F330" t="s">
        <v>108</v>
      </c>
      <c r="G330" t="s">
        <v>109</v>
      </c>
      <c r="H330">
        <v>641</v>
      </c>
      <c r="I330" t="s">
        <v>108</v>
      </c>
      <c r="J330" t="s">
        <v>109</v>
      </c>
      <c r="K330" t="s">
        <v>741</v>
      </c>
      <c r="L330">
        <v>1</v>
      </c>
      <c r="M330">
        <v>1</v>
      </c>
    </row>
    <row r="331" spans="1:13" x14ac:dyDescent="0.25">
      <c r="A331">
        <v>9</v>
      </c>
      <c r="B331">
        <v>9189841</v>
      </c>
      <c r="C331">
        <v>6010</v>
      </c>
      <c r="D331">
        <v>9</v>
      </c>
      <c r="E331">
        <v>584</v>
      </c>
      <c r="F331" t="s">
        <v>96</v>
      </c>
      <c r="G331" t="s">
        <v>97</v>
      </c>
      <c r="H331">
        <v>584</v>
      </c>
      <c r="I331" t="s">
        <v>96</v>
      </c>
      <c r="J331" t="s">
        <v>97</v>
      </c>
      <c r="K331" t="s">
        <v>742</v>
      </c>
      <c r="L331">
        <v>1</v>
      </c>
      <c r="M331">
        <v>1</v>
      </c>
    </row>
    <row r="332" spans="1:13" x14ac:dyDescent="0.25">
      <c r="A332">
        <v>9</v>
      </c>
      <c r="B332">
        <v>9189912</v>
      </c>
      <c r="C332">
        <v>6010</v>
      </c>
      <c r="D332">
        <v>10</v>
      </c>
      <c r="E332">
        <v>404</v>
      </c>
      <c r="F332" t="s">
        <v>80</v>
      </c>
      <c r="G332" t="s">
        <v>81</v>
      </c>
      <c r="H332">
        <v>404</v>
      </c>
      <c r="I332" t="s">
        <v>80</v>
      </c>
      <c r="J332" t="s">
        <v>81</v>
      </c>
      <c r="K332" t="s">
        <v>743</v>
      </c>
      <c r="L332">
        <v>1</v>
      </c>
      <c r="M332">
        <v>1</v>
      </c>
    </row>
    <row r="333" spans="1:13" x14ac:dyDescent="0.25">
      <c r="A333">
        <v>9</v>
      </c>
      <c r="B333">
        <v>9189989</v>
      </c>
      <c r="C333">
        <v>6010</v>
      </c>
      <c r="D333">
        <v>11</v>
      </c>
      <c r="E333">
        <v>970</v>
      </c>
      <c r="F333" t="s">
        <v>436</v>
      </c>
      <c r="G333" t="s">
        <v>437</v>
      </c>
      <c r="H333">
        <v>506</v>
      </c>
      <c r="I333" t="s">
        <v>92</v>
      </c>
      <c r="J333" t="s">
        <v>93</v>
      </c>
      <c r="K333" t="s">
        <v>744</v>
      </c>
      <c r="L333">
        <v>1</v>
      </c>
      <c r="M333">
        <v>1</v>
      </c>
    </row>
    <row r="334" spans="1:13" x14ac:dyDescent="0.25">
      <c r="A334">
        <v>9</v>
      </c>
      <c r="B334">
        <v>9189482</v>
      </c>
      <c r="C334">
        <v>6010</v>
      </c>
      <c r="D334">
        <v>2</v>
      </c>
      <c r="E334">
        <v>584</v>
      </c>
      <c r="F334" t="s">
        <v>96</v>
      </c>
      <c r="G334" t="s">
        <v>97</v>
      </c>
      <c r="H334">
        <v>584</v>
      </c>
      <c r="I334" t="s">
        <v>96</v>
      </c>
      <c r="J334" t="s">
        <v>97</v>
      </c>
      <c r="K334" t="s">
        <v>745</v>
      </c>
      <c r="L334">
        <v>1</v>
      </c>
      <c r="M334">
        <v>1</v>
      </c>
    </row>
    <row r="335" spans="1:13" x14ac:dyDescent="0.25">
      <c r="A335">
        <v>9</v>
      </c>
      <c r="B335">
        <v>9189539</v>
      </c>
      <c r="C335">
        <v>6010</v>
      </c>
      <c r="D335">
        <v>3</v>
      </c>
      <c r="E335">
        <v>639</v>
      </c>
      <c r="F335" t="s">
        <v>106</v>
      </c>
      <c r="G335" t="s">
        <v>107</v>
      </c>
      <c r="H335">
        <v>639</v>
      </c>
      <c r="I335" t="s">
        <v>106</v>
      </c>
      <c r="J335" t="s">
        <v>107</v>
      </c>
      <c r="K335" t="s">
        <v>746</v>
      </c>
      <c r="L335">
        <v>1</v>
      </c>
      <c r="M335">
        <v>1</v>
      </c>
    </row>
    <row r="336" spans="1:13" x14ac:dyDescent="0.25">
      <c r="A336">
        <v>9</v>
      </c>
      <c r="B336">
        <v>9189711</v>
      </c>
      <c r="C336">
        <v>6010</v>
      </c>
      <c r="D336">
        <v>4</v>
      </c>
      <c r="E336">
        <v>611</v>
      </c>
      <c r="F336" t="s">
        <v>328</v>
      </c>
      <c r="G336" t="s">
        <v>329</v>
      </c>
      <c r="H336">
        <v>611</v>
      </c>
      <c r="I336" t="s">
        <v>328</v>
      </c>
      <c r="J336" t="s">
        <v>329</v>
      </c>
      <c r="K336" t="s">
        <v>747</v>
      </c>
      <c r="L336">
        <v>1</v>
      </c>
      <c r="M336">
        <v>1</v>
      </c>
    </row>
    <row r="337" spans="1:13" x14ac:dyDescent="0.25">
      <c r="A337">
        <v>9</v>
      </c>
      <c r="B337">
        <v>9189745</v>
      </c>
      <c r="C337">
        <v>6010</v>
      </c>
      <c r="D337">
        <v>5</v>
      </c>
      <c r="E337">
        <v>970</v>
      </c>
      <c r="F337" t="s">
        <v>436</v>
      </c>
      <c r="G337" t="s">
        <v>437</v>
      </c>
      <c r="H337">
        <v>506</v>
      </c>
      <c r="I337" t="s">
        <v>92</v>
      </c>
      <c r="J337" t="s">
        <v>93</v>
      </c>
      <c r="K337" t="s">
        <v>748</v>
      </c>
      <c r="L337">
        <v>1</v>
      </c>
      <c r="M337">
        <v>1</v>
      </c>
    </row>
    <row r="338" spans="1:13" x14ac:dyDescent="0.25">
      <c r="A338">
        <v>9</v>
      </c>
      <c r="B338">
        <v>9189454</v>
      </c>
      <c r="C338">
        <v>6010</v>
      </c>
      <c r="D338">
        <v>1</v>
      </c>
      <c r="E338">
        <v>584</v>
      </c>
      <c r="F338" t="s">
        <v>96</v>
      </c>
      <c r="G338" t="s">
        <v>97</v>
      </c>
      <c r="H338">
        <v>584</v>
      </c>
      <c r="I338" t="s">
        <v>96</v>
      </c>
      <c r="J338" t="s">
        <v>97</v>
      </c>
      <c r="K338" t="s">
        <v>749</v>
      </c>
      <c r="L338">
        <v>1</v>
      </c>
      <c r="M338">
        <v>1</v>
      </c>
    </row>
    <row r="339" spans="1:13" x14ac:dyDescent="0.25">
      <c r="A339">
        <v>9</v>
      </c>
      <c r="B339">
        <v>9190767</v>
      </c>
      <c r="C339">
        <v>6011</v>
      </c>
      <c r="D339">
        <v>19</v>
      </c>
      <c r="E339">
        <v>674</v>
      </c>
      <c r="F339" t="s">
        <v>112</v>
      </c>
      <c r="G339" t="s">
        <v>113</v>
      </c>
      <c r="H339">
        <v>674</v>
      </c>
      <c r="I339" t="s">
        <v>112</v>
      </c>
      <c r="J339" t="s">
        <v>113</v>
      </c>
      <c r="K339" t="s">
        <v>750</v>
      </c>
      <c r="L339">
        <v>1</v>
      </c>
      <c r="M339">
        <v>1</v>
      </c>
    </row>
    <row r="340" spans="1:13" x14ac:dyDescent="0.25">
      <c r="A340">
        <v>9</v>
      </c>
      <c r="B340">
        <v>9190767</v>
      </c>
      <c r="C340">
        <v>6011</v>
      </c>
      <c r="D340">
        <v>20</v>
      </c>
      <c r="E340">
        <v>673</v>
      </c>
      <c r="F340" t="s">
        <v>259</v>
      </c>
      <c r="G340" t="s">
        <v>260</v>
      </c>
      <c r="H340">
        <v>673</v>
      </c>
      <c r="I340" t="s">
        <v>259</v>
      </c>
      <c r="J340" t="s">
        <v>260</v>
      </c>
      <c r="K340" t="s">
        <v>751</v>
      </c>
      <c r="L340">
        <v>1</v>
      </c>
      <c r="M340">
        <v>1</v>
      </c>
    </row>
    <row r="341" spans="1:13" x14ac:dyDescent="0.25">
      <c r="A341">
        <v>9</v>
      </c>
      <c r="B341">
        <v>9190819</v>
      </c>
      <c r="C341">
        <v>6011</v>
      </c>
      <c r="D341">
        <v>21</v>
      </c>
      <c r="E341">
        <v>584</v>
      </c>
      <c r="F341" t="s">
        <v>96</v>
      </c>
      <c r="G341" t="s">
        <v>97</v>
      </c>
      <c r="H341">
        <v>584</v>
      </c>
      <c r="I341" t="s">
        <v>96</v>
      </c>
      <c r="J341" t="s">
        <v>97</v>
      </c>
      <c r="K341" t="s">
        <v>752</v>
      </c>
      <c r="L341">
        <v>1</v>
      </c>
      <c r="M341">
        <v>1</v>
      </c>
    </row>
    <row r="342" spans="1:13" x14ac:dyDescent="0.25">
      <c r="A342">
        <v>9</v>
      </c>
      <c r="B342">
        <v>9190819</v>
      </c>
      <c r="C342">
        <v>6011</v>
      </c>
      <c r="D342">
        <v>22</v>
      </c>
      <c r="E342">
        <v>347</v>
      </c>
      <c r="F342" t="s">
        <v>70</v>
      </c>
      <c r="G342" t="s">
        <v>71</v>
      </c>
      <c r="H342">
        <v>347</v>
      </c>
      <c r="I342" t="s">
        <v>70</v>
      </c>
      <c r="J342" t="s">
        <v>71</v>
      </c>
      <c r="K342" t="s">
        <v>753</v>
      </c>
      <c r="L342">
        <v>1</v>
      </c>
      <c r="M342">
        <v>1</v>
      </c>
    </row>
    <row r="343" spans="1:13" x14ac:dyDescent="0.25">
      <c r="A343">
        <v>9</v>
      </c>
      <c r="B343">
        <v>9190819</v>
      </c>
      <c r="C343">
        <v>6011</v>
      </c>
      <c r="D343">
        <v>23</v>
      </c>
      <c r="E343">
        <v>641</v>
      </c>
      <c r="F343" t="s">
        <v>108</v>
      </c>
      <c r="G343" t="s">
        <v>109</v>
      </c>
      <c r="H343">
        <v>641</v>
      </c>
      <c r="I343" t="s">
        <v>108</v>
      </c>
      <c r="J343" t="s">
        <v>109</v>
      </c>
      <c r="K343" t="s">
        <v>754</v>
      </c>
      <c r="L343">
        <v>1</v>
      </c>
      <c r="M343">
        <v>1</v>
      </c>
    </row>
    <row r="344" spans="1:13" x14ac:dyDescent="0.25">
      <c r="A344">
        <v>9</v>
      </c>
      <c r="B344">
        <v>9190819</v>
      </c>
      <c r="C344">
        <v>6011</v>
      </c>
      <c r="D344">
        <v>24</v>
      </c>
      <c r="E344">
        <v>584</v>
      </c>
      <c r="F344" t="s">
        <v>96</v>
      </c>
      <c r="G344" t="s">
        <v>97</v>
      </c>
      <c r="H344">
        <v>584</v>
      </c>
      <c r="I344" t="s">
        <v>96</v>
      </c>
      <c r="J344" t="s">
        <v>97</v>
      </c>
      <c r="K344" t="s">
        <v>755</v>
      </c>
      <c r="L344">
        <v>1</v>
      </c>
      <c r="M344">
        <v>1</v>
      </c>
    </row>
    <row r="345" spans="1:13" x14ac:dyDescent="0.25">
      <c r="A345">
        <v>9</v>
      </c>
      <c r="B345">
        <v>9190425</v>
      </c>
      <c r="C345">
        <v>6011</v>
      </c>
      <c r="D345">
        <v>13</v>
      </c>
      <c r="E345">
        <v>638</v>
      </c>
      <c r="F345" t="s">
        <v>104</v>
      </c>
      <c r="G345" t="s">
        <v>105</v>
      </c>
      <c r="H345">
        <v>638</v>
      </c>
      <c r="I345" t="s">
        <v>104</v>
      </c>
      <c r="J345" t="s">
        <v>105</v>
      </c>
      <c r="K345" t="s">
        <v>756</v>
      </c>
      <c r="L345">
        <v>1</v>
      </c>
      <c r="M345">
        <v>1</v>
      </c>
    </row>
    <row r="346" spans="1:13" x14ac:dyDescent="0.25">
      <c r="A346">
        <v>9</v>
      </c>
      <c r="B346">
        <v>9190500</v>
      </c>
      <c r="C346">
        <v>6011</v>
      </c>
      <c r="D346">
        <v>14</v>
      </c>
      <c r="E346">
        <v>680</v>
      </c>
      <c r="F346" t="s">
        <v>114</v>
      </c>
      <c r="G346" t="s">
        <v>115</v>
      </c>
      <c r="H346">
        <v>680</v>
      </c>
      <c r="I346" t="s">
        <v>114</v>
      </c>
      <c r="J346" t="s">
        <v>115</v>
      </c>
      <c r="K346" t="s">
        <v>757</v>
      </c>
      <c r="L346">
        <v>1</v>
      </c>
      <c r="M346">
        <v>1</v>
      </c>
    </row>
    <row r="347" spans="1:13" x14ac:dyDescent="0.25">
      <c r="A347">
        <v>9</v>
      </c>
      <c r="B347">
        <v>9190500</v>
      </c>
      <c r="C347">
        <v>6011</v>
      </c>
      <c r="D347">
        <v>15</v>
      </c>
      <c r="E347">
        <v>584</v>
      </c>
      <c r="F347" t="s">
        <v>96</v>
      </c>
      <c r="G347" t="s">
        <v>97</v>
      </c>
      <c r="H347">
        <v>584</v>
      </c>
      <c r="I347" t="s">
        <v>96</v>
      </c>
      <c r="J347" t="s">
        <v>97</v>
      </c>
      <c r="K347" t="s">
        <v>758</v>
      </c>
      <c r="L347">
        <v>1</v>
      </c>
      <c r="M347">
        <v>1</v>
      </c>
    </row>
    <row r="348" spans="1:13" x14ac:dyDescent="0.25">
      <c r="A348">
        <v>9</v>
      </c>
      <c r="B348">
        <v>9190558</v>
      </c>
      <c r="C348">
        <v>6011</v>
      </c>
      <c r="D348">
        <v>16</v>
      </c>
      <c r="E348">
        <v>756</v>
      </c>
      <c r="F348" t="s">
        <v>759</v>
      </c>
      <c r="G348" t="s">
        <v>760</v>
      </c>
      <c r="H348">
        <v>756</v>
      </c>
      <c r="I348" t="s">
        <v>759</v>
      </c>
      <c r="J348" t="s">
        <v>760</v>
      </c>
      <c r="K348" t="s">
        <v>761</v>
      </c>
      <c r="L348">
        <v>1</v>
      </c>
      <c r="M348">
        <v>1</v>
      </c>
    </row>
    <row r="349" spans="1:13" x14ac:dyDescent="0.25">
      <c r="A349">
        <v>9</v>
      </c>
      <c r="B349">
        <v>9190635</v>
      </c>
      <c r="C349">
        <v>6011</v>
      </c>
      <c r="D349">
        <v>17</v>
      </c>
      <c r="E349">
        <v>404</v>
      </c>
      <c r="F349" t="s">
        <v>80</v>
      </c>
      <c r="G349" t="s">
        <v>81</v>
      </c>
      <c r="H349">
        <v>404</v>
      </c>
      <c r="I349" t="s">
        <v>80</v>
      </c>
      <c r="J349" t="s">
        <v>81</v>
      </c>
      <c r="K349" t="s">
        <v>762</v>
      </c>
      <c r="L349">
        <v>1</v>
      </c>
      <c r="M349">
        <v>1</v>
      </c>
    </row>
    <row r="350" spans="1:13" x14ac:dyDescent="0.25">
      <c r="A350">
        <v>9</v>
      </c>
      <c r="B350">
        <v>9190635</v>
      </c>
      <c r="C350">
        <v>6011</v>
      </c>
      <c r="D350">
        <v>18</v>
      </c>
      <c r="E350">
        <v>639</v>
      </c>
      <c r="F350" t="s">
        <v>106</v>
      </c>
      <c r="G350" t="s">
        <v>107</v>
      </c>
      <c r="H350">
        <v>639</v>
      </c>
      <c r="I350" t="s">
        <v>106</v>
      </c>
      <c r="J350" t="s">
        <v>107</v>
      </c>
      <c r="K350" t="s">
        <v>763</v>
      </c>
      <c r="L350">
        <v>1</v>
      </c>
      <c r="M350">
        <v>1</v>
      </c>
    </row>
    <row r="351" spans="1:13" x14ac:dyDescent="0.25">
      <c r="A351">
        <v>9</v>
      </c>
      <c r="B351">
        <v>9189989</v>
      </c>
      <c r="C351">
        <v>6011</v>
      </c>
      <c r="D351">
        <v>12</v>
      </c>
      <c r="E351">
        <v>674</v>
      </c>
      <c r="F351" t="s">
        <v>112</v>
      </c>
      <c r="G351" t="s">
        <v>113</v>
      </c>
      <c r="H351">
        <v>674</v>
      </c>
      <c r="I351" t="s">
        <v>112</v>
      </c>
      <c r="J351" t="s">
        <v>113</v>
      </c>
      <c r="K351" t="s">
        <v>764</v>
      </c>
      <c r="L351">
        <v>1</v>
      </c>
      <c r="M351">
        <v>1</v>
      </c>
    </row>
    <row r="352" spans="1:13" x14ac:dyDescent="0.25">
      <c r="A352">
        <v>9</v>
      </c>
      <c r="B352">
        <v>9189539</v>
      </c>
      <c r="C352">
        <v>6011</v>
      </c>
      <c r="D352">
        <v>11</v>
      </c>
      <c r="E352">
        <v>905</v>
      </c>
      <c r="F352" t="s">
        <v>146</v>
      </c>
      <c r="G352" t="s">
        <v>147</v>
      </c>
      <c r="H352">
        <v>905</v>
      </c>
      <c r="I352" t="s">
        <v>146</v>
      </c>
      <c r="J352" t="s">
        <v>147</v>
      </c>
      <c r="K352" t="s">
        <v>765</v>
      </c>
      <c r="L352">
        <v>1</v>
      </c>
      <c r="M352">
        <v>1</v>
      </c>
    </row>
    <row r="353" spans="1:13" x14ac:dyDescent="0.25">
      <c r="A353">
        <v>9</v>
      </c>
      <c r="B353">
        <v>9189296</v>
      </c>
      <c r="C353">
        <v>6011</v>
      </c>
      <c r="D353">
        <v>9</v>
      </c>
      <c r="E353">
        <v>707</v>
      </c>
      <c r="F353" t="s">
        <v>471</v>
      </c>
      <c r="G353" t="s">
        <v>472</v>
      </c>
      <c r="H353">
        <v>707</v>
      </c>
      <c r="I353" t="s">
        <v>471</v>
      </c>
      <c r="J353" t="s">
        <v>472</v>
      </c>
      <c r="K353" t="s">
        <v>766</v>
      </c>
      <c r="L353">
        <v>1</v>
      </c>
      <c r="M353">
        <v>1</v>
      </c>
    </row>
    <row r="354" spans="1:13" x14ac:dyDescent="0.25">
      <c r="A354">
        <v>9</v>
      </c>
      <c r="B354">
        <v>9189454</v>
      </c>
      <c r="C354">
        <v>6011</v>
      </c>
      <c r="D354">
        <v>10</v>
      </c>
      <c r="E354">
        <v>13</v>
      </c>
      <c r="F354" t="s">
        <v>62</v>
      </c>
      <c r="G354" t="s">
        <v>63</v>
      </c>
      <c r="H354">
        <v>13</v>
      </c>
      <c r="I354" t="s">
        <v>62</v>
      </c>
      <c r="J354" t="s">
        <v>63</v>
      </c>
      <c r="K354" t="s">
        <v>767</v>
      </c>
      <c r="L354">
        <v>1</v>
      </c>
      <c r="M354">
        <v>1</v>
      </c>
    </row>
    <row r="355" spans="1:13" x14ac:dyDescent="0.25">
      <c r="A355">
        <v>9</v>
      </c>
      <c r="B355">
        <v>9188773</v>
      </c>
      <c r="C355">
        <v>6011</v>
      </c>
      <c r="D355">
        <v>6</v>
      </c>
      <c r="E355">
        <v>13</v>
      </c>
      <c r="F355" t="s">
        <v>62</v>
      </c>
      <c r="G355" t="s">
        <v>63</v>
      </c>
      <c r="H355">
        <v>13</v>
      </c>
      <c r="I355" t="s">
        <v>62</v>
      </c>
      <c r="J355" t="s">
        <v>63</v>
      </c>
      <c r="K355" t="s">
        <v>768</v>
      </c>
      <c r="L355">
        <v>1</v>
      </c>
      <c r="M355">
        <v>1</v>
      </c>
    </row>
    <row r="356" spans="1:13" x14ac:dyDescent="0.25">
      <c r="A356">
        <v>9</v>
      </c>
      <c r="B356">
        <v>9188836</v>
      </c>
      <c r="C356">
        <v>6011</v>
      </c>
      <c r="D356">
        <v>7</v>
      </c>
      <c r="E356">
        <v>13</v>
      </c>
      <c r="F356" t="s">
        <v>62</v>
      </c>
      <c r="G356" t="s">
        <v>63</v>
      </c>
      <c r="H356">
        <v>13</v>
      </c>
      <c r="I356" t="s">
        <v>62</v>
      </c>
      <c r="J356" t="s">
        <v>63</v>
      </c>
      <c r="K356" t="s">
        <v>769</v>
      </c>
      <c r="L356">
        <v>1</v>
      </c>
      <c r="M356">
        <v>1</v>
      </c>
    </row>
    <row r="357" spans="1:13" x14ac:dyDescent="0.25">
      <c r="A357">
        <v>9</v>
      </c>
      <c r="B357">
        <v>9188858</v>
      </c>
      <c r="C357">
        <v>6011</v>
      </c>
      <c r="D357">
        <v>8</v>
      </c>
      <c r="E357">
        <v>13</v>
      </c>
      <c r="F357" t="s">
        <v>62</v>
      </c>
      <c r="G357" t="s">
        <v>63</v>
      </c>
      <c r="H357">
        <v>13</v>
      </c>
      <c r="I357" t="s">
        <v>62</v>
      </c>
      <c r="J357" t="s">
        <v>63</v>
      </c>
      <c r="K357" t="s">
        <v>770</v>
      </c>
      <c r="L357">
        <v>1</v>
      </c>
      <c r="M357">
        <v>1</v>
      </c>
    </row>
    <row r="358" spans="1:13" x14ac:dyDescent="0.25">
      <c r="A358">
        <v>9</v>
      </c>
      <c r="B358">
        <v>9187553</v>
      </c>
      <c r="C358">
        <v>6011</v>
      </c>
      <c r="D358">
        <v>5</v>
      </c>
      <c r="E358">
        <v>774</v>
      </c>
      <c r="F358" t="s">
        <v>240</v>
      </c>
      <c r="G358" t="s">
        <v>241</v>
      </c>
      <c r="H358">
        <v>774</v>
      </c>
      <c r="I358" t="s">
        <v>240</v>
      </c>
      <c r="J358" t="s">
        <v>241</v>
      </c>
      <c r="K358" t="s">
        <v>771</v>
      </c>
      <c r="L358">
        <v>1</v>
      </c>
      <c r="M358">
        <v>1</v>
      </c>
    </row>
    <row r="359" spans="1:13" x14ac:dyDescent="0.25">
      <c r="A359">
        <v>9</v>
      </c>
      <c r="B359">
        <v>9187212</v>
      </c>
      <c r="C359">
        <v>6011</v>
      </c>
      <c r="D359">
        <v>3</v>
      </c>
      <c r="E359">
        <v>774</v>
      </c>
      <c r="F359" t="s">
        <v>240</v>
      </c>
      <c r="G359" t="s">
        <v>241</v>
      </c>
      <c r="H359">
        <v>774</v>
      </c>
      <c r="I359" t="s">
        <v>240</v>
      </c>
      <c r="J359" t="s">
        <v>241</v>
      </c>
      <c r="K359" t="s">
        <v>772</v>
      </c>
      <c r="L359">
        <v>1</v>
      </c>
      <c r="M359">
        <v>1</v>
      </c>
    </row>
    <row r="360" spans="1:13" x14ac:dyDescent="0.25">
      <c r="A360">
        <v>9</v>
      </c>
      <c r="B360">
        <v>9187253</v>
      </c>
      <c r="C360">
        <v>6011</v>
      </c>
      <c r="D360">
        <v>4</v>
      </c>
      <c r="E360">
        <v>774</v>
      </c>
      <c r="F360" t="s">
        <v>240</v>
      </c>
      <c r="G360" t="s">
        <v>241</v>
      </c>
      <c r="H360">
        <v>774</v>
      </c>
      <c r="I360" t="s">
        <v>240</v>
      </c>
      <c r="J360" t="s">
        <v>241</v>
      </c>
      <c r="K360" t="s">
        <v>773</v>
      </c>
      <c r="L360">
        <v>1</v>
      </c>
      <c r="M360">
        <v>1</v>
      </c>
    </row>
    <row r="361" spans="1:13" x14ac:dyDescent="0.25">
      <c r="A361">
        <v>5</v>
      </c>
      <c r="B361">
        <v>6504021128</v>
      </c>
      <c r="C361">
        <v>6066</v>
      </c>
      <c r="D361">
        <v>20</v>
      </c>
      <c r="E361">
        <v>43</v>
      </c>
      <c r="F361" t="s">
        <v>271</v>
      </c>
      <c r="G361" t="s">
        <v>272</v>
      </c>
      <c r="H361">
        <v>43</v>
      </c>
      <c r="I361" t="s">
        <v>271</v>
      </c>
      <c r="J361" t="s">
        <v>272</v>
      </c>
      <c r="K361" t="s">
        <v>49</v>
      </c>
      <c r="L361">
        <v>10</v>
      </c>
      <c r="M361">
        <v>10</v>
      </c>
    </row>
    <row r="362" spans="1:13" x14ac:dyDescent="0.25">
      <c r="A362">
        <v>5</v>
      </c>
      <c r="B362">
        <v>6504021128</v>
      </c>
      <c r="C362">
        <v>6066</v>
      </c>
      <c r="D362">
        <v>21</v>
      </c>
      <c r="E362">
        <v>43</v>
      </c>
      <c r="F362" t="s">
        <v>271</v>
      </c>
      <c r="G362" t="s">
        <v>272</v>
      </c>
      <c r="H362">
        <v>43</v>
      </c>
      <c r="I362" t="s">
        <v>271</v>
      </c>
      <c r="J362" t="s">
        <v>272</v>
      </c>
      <c r="K362" t="s">
        <v>49</v>
      </c>
      <c r="L362">
        <v>10</v>
      </c>
      <c r="M362">
        <v>10</v>
      </c>
    </row>
    <row r="363" spans="1:13" x14ac:dyDescent="0.25">
      <c r="A363">
        <v>5</v>
      </c>
      <c r="B363">
        <v>6504021128</v>
      </c>
      <c r="C363">
        <v>6066</v>
      </c>
      <c r="D363">
        <v>22</v>
      </c>
      <c r="E363">
        <v>43</v>
      </c>
      <c r="F363" t="s">
        <v>271</v>
      </c>
      <c r="G363" t="s">
        <v>272</v>
      </c>
      <c r="H363">
        <v>43</v>
      </c>
      <c r="I363" t="s">
        <v>271</v>
      </c>
      <c r="J363" t="s">
        <v>272</v>
      </c>
      <c r="K363" t="s">
        <v>49</v>
      </c>
      <c r="L363">
        <v>20</v>
      </c>
      <c r="M363">
        <v>20</v>
      </c>
    </row>
    <row r="364" spans="1:13" x14ac:dyDescent="0.25">
      <c r="A364">
        <v>5</v>
      </c>
      <c r="B364">
        <v>6504021128</v>
      </c>
      <c r="C364">
        <v>6066</v>
      </c>
      <c r="D364">
        <v>23</v>
      </c>
      <c r="E364">
        <v>919</v>
      </c>
      <c r="F364" t="s">
        <v>287</v>
      </c>
      <c r="G364" t="s">
        <v>288</v>
      </c>
      <c r="H364">
        <v>919</v>
      </c>
      <c r="I364" t="s">
        <v>287</v>
      </c>
      <c r="J364" t="s">
        <v>288</v>
      </c>
      <c r="K364" t="s">
        <v>49</v>
      </c>
      <c r="L364">
        <v>10</v>
      </c>
      <c r="M364">
        <v>10</v>
      </c>
    </row>
    <row r="365" spans="1:13" x14ac:dyDescent="0.25">
      <c r="A365">
        <v>5</v>
      </c>
      <c r="B365">
        <v>6504021128</v>
      </c>
      <c r="C365">
        <v>6066</v>
      </c>
      <c r="D365">
        <v>24</v>
      </c>
      <c r="E365">
        <v>919</v>
      </c>
      <c r="F365" t="s">
        <v>287</v>
      </c>
      <c r="G365" t="s">
        <v>288</v>
      </c>
      <c r="H365">
        <v>919</v>
      </c>
      <c r="I365" t="s">
        <v>287</v>
      </c>
      <c r="J365" t="s">
        <v>288</v>
      </c>
      <c r="K365" t="s">
        <v>49</v>
      </c>
      <c r="L365">
        <v>10</v>
      </c>
      <c r="M365">
        <v>10</v>
      </c>
    </row>
    <row r="366" spans="1:13" x14ac:dyDescent="0.25">
      <c r="A366">
        <v>5</v>
      </c>
      <c r="B366">
        <v>6504021128</v>
      </c>
      <c r="C366">
        <v>6066</v>
      </c>
      <c r="D366">
        <v>25</v>
      </c>
      <c r="E366">
        <v>919</v>
      </c>
      <c r="F366" t="s">
        <v>287</v>
      </c>
      <c r="G366" t="s">
        <v>288</v>
      </c>
      <c r="H366">
        <v>919</v>
      </c>
      <c r="I366" t="s">
        <v>287</v>
      </c>
      <c r="J366" t="s">
        <v>288</v>
      </c>
      <c r="K366" t="s">
        <v>49</v>
      </c>
      <c r="L366">
        <v>10</v>
      </c>
      <c r="M366">
        <v>10</v>
      </c>
    </row>
    <row r="367" spans="1:13" x14ac:dyDescent="0.25">
      <c r="A367">
        <v>5</v>
      </c>
      <c r="B367">
        <v>6504022070</v>
      </c>
      <c r="C367">
        <v>6067</v>
      </c>
      <c r="D367">
        <v>1</v>
      </c>
      <c r="E367">
        <v>367</v>
      </c>
      <c r="F367" t="s">
        <v>774</v>
      </c>
      <c r="G367" t="s">
        <v>775</v>
      </c>
      <c r="H367">
        <v>367</v>
      </c>
      <c r="I367" t="s">
        <v>774</v>
      </c>
      <c r="J367" t="s">
        <v>775</v>
      </c>
      <c r="K367" t="s">
        <v>49</v>
      </c>
      <c r="L367">
        <v>1</v>
      </c>
      <c r="M367">
        <v>1</v>
      </c>
    </row>
    <row r="368" spans="1:13" x14ac:dyDescent="0.25">
      <c r="A368">
        <v>5</v>
      </c>
      <c r="B368">
        <v>6504019642</v>
      </c>
      <c r="C368">
        <v>6067</v>
      </c>
      <c r="D368">
        <v>2</v>
      </c>
      <c r="E368">
        <v>892</v>
      </c>
      <c r="F368" t="s">
        <v>142</v>
      </c>
      <c r="G368" t="s">
        <v>143</v>
      </c>
      <c r="H368">
        <v>746</v>
      </c>
      <c r="I368" t="s">
        <v>170</v>
      </c>
      <c r="J368" t="s">
        <v>171</v>
      </c>
      <c r="K368" t="s">
        <v>49</v>
      </c>
      <c r="L368">
        <v>1</v>
      </c>
      <c r="M368">
        <v>1</v>
      </c>
    </row>
    <row r="369" spans="1:13" x14ac:dyDescent="0.25">
      <c r="A369">
        <v>3</v>
      </c>
      <c r="B369">
        <v>50051208</v>
      </c>
      <c r="C369">
        <v>6068</v>
      </c>
      <c r="D369">
        <v>1</v>
      </c>
      <c r="E369">
        <v>970</v>
      </c>
      <c r="F369" t="s">
        <v>436</v>
      </c>
      <c r="G369" t="s">
        <v>437</v>
      </c>
      <c r="H369">
        <v>506</v>
      </c>
      <c r="I369" t="s">
        <v>92</v>
      </c>
      <c r="J369" t="s">
        <v>93</v>
      </c>
      <c r="K369" t="s">
        <v>776</v>
      </c>
      <c r="L369">
        <v>1</v>
      </c>
      <c r="M369">
        <v>1</v>
      </c>
    </row>
    <row r="370" spans="1:13" x14ac:dyDescent="0.25">
      <c r="A370">
        <v>4</v>
      </c>
      <c r="B370">
        <v>9622596</v>
      </c>
      <c r="C370">
        <v>6069</v>
      </c>
      <c r="D370">
        <v>1</v>
      </c>
      <c r="E370">
        <v>700</v>
      </c>
      <c r="F370" t="s">
        <v>118</v>
      </c>
      <c r="G370" t="s">
        <v>119</v>
      </c>
      <c r="H370">
        <v>700</v>
      </c>
      <c r="I370" t="s">
        <v>118</v>
      </c>
      <c r="J370" t="s">
        <v>119</v>
      </c>
      <c r="K370" t="s">
        <v>777</v>
      </c>
      <c r="L370">
        <v>1</v>
      </c>
      <c r="M370">
        <v>1</v>
      </c>
    </row>
    <row r="371" spans="1:13" x14ac:dyDescent="0.25">
      <c r="A371">
        <v>4</v>
      </c>
      <c r="B371">
        <v>9638822</v>
      </c>
      <c r="C371">
        <v>6070</v>
      </c>
      <c r="D371">
        <v>8</v>
      </c>
      <c r="E371">
        <v>781</v>
      </c>
      <c r="F371" t="s">
        <v>269</v>
      </c>
      <c r="G371" t="s">
        <v>270</v>
      </c>
      <c r="H371">
        <v>781</v>
      </c>
      <c r="I371" t="s">
        <v>269</v>
      </c>
      <c r="J371" t="s">
        <v>270</v>
      </c>
      <c r="K371" t="s">
        <v>778</v>
      </c>
      <c r="L371">
        <v>1</v>
      </c>
      <c r="M371">
        <v>1</v>
      </c>
    </row>
    <row r="372" spans="1:13" x14ac:dyDescent="0.25">
      <c r="A372">
        <v>4</v>
      </c>
      <c r="B372">
        <v>9637725</v>
      </c>
      <c r="C372">
        <v>6070</v>
      </c>
      <c r="D372">
        <v>2</v>
      </c>
      <c r="E372">
        <v>702</v>
      </c>
      <c r="F372" t="s">
        <v>120</v>
      </c>
      <c r="G372" t="s">
        <v>121</v>
      </c>
      <c r="H372">
        <v>702</v>
      </c>
      <c r="I372" t="s">
        <v>120</v>
      </c>
      <c r="J372" t="s">
        <v>121</v>
      </c>
      <c r="K372" t="s">
        <v>779</v>
      </c>
      <c r="L372">
        <v>1</v>
      </c>
      <c r="M372">
        <v>1</v>
      </c>
    </row>
    <row r="373" spans="1:13" x14ac:dyDescent="0.25">
      <c r="A373">
        <v>4</v>
      </c>
      <c r="B373">
        <v>9638095</v>
      </c>
      <c r="C373">
        <v>6070</v>
      </c>
      <c r="D373">
        <v>3</v>
      </c>
      <c r="E373">
        <v>905</v>
      </c>
      <c r="F373" t="s">
        <v>146</v>
      </c>
      <c r="G373" t="s">
        <v>147</v>
      </c>
      <c r="H373">
        <v>794</v>
      </c>
      <c r="I373" t="s">
        <v>780</v>
      </c>
      <c r="J373" t="s">
        <v>781</v>
      </c>
      <c r="K373" t="s">
        <v>782</v>
      </c>
      <c r="L373">
        <v>1</v>
      </c>
      <c r="M373">
        <v>1</v>
      </c>
    </row>
    <row r="374" spans="1:13" x14ac:dyDescent="0.25">
      <c r="A374">
        <v>4</v>
      </c>
      <c r="B374">
        <v>9638457</v>
      </c>
      <c r="C374">
        <v>6070</v>
      </c>
      <c r="D374">
        <v>4</v>
      </c>
      <c r="E374">
        <v>704</v>
      </c>
      <c r="F374" t="s">
        <v>122</v>
      </c>
      <c r="G374" t="s">
        <v>123</v>
      </c>
      <c r="H374">
        <v>704</v>
      </c>
      <c r="I374" t="s">
        <v>122</v>
      </c>
      <c r="J374" t="s">
        <v>123</v>
      </c>
      <c r="K374" t="s">
        <v>783</v>
      </c>
      <c r="L374">
        <v>1</v>
      </c>
      <c r="M374">
        <v>1</v>
      </c>
    </row>
    <row r="375" spans="1:13" x14ac:dyDescent="0.25">
      <c r="A375">
        <v>4</v>
      </c>
      <c r="B375">
        <v>9638505</v>
      </c>
      <c r="C375">
        <v>6070</v>
      </c>
      <c r="D375">
        <v>5</v>
      </c>
      <c r="E375">
        <v>700</v>
      </c>
      <c r="F375" t="s">
        <v>118</v>
      </c>
      <c r="G375" t="s">
        <v>119</v>
      </c>
      <c r="H375">
        <v>700</v>
      </c>
      <c r="I375" t="s">
        <v>118</v>
      </c>
      <c r="J375" t="s">
        <v>119</v>
      </c>
      <c r="K375" t="s">
        <v>784</v>
      </c>
      <c r="L375">
        <v>1</v>
      </c>
      <c r="M375">
        <v>1</v>
      </c>
    </row>
    <row r="376" spans="1:13" x14ac:dyDescent="0.25">
      <c r="A376">
        <v>4</v>
      </c>
      <c r="B376">
        <v>9638687</v>
      </c>
      <c r="C376">
        <v>6070</v>
      </c>
      <c r="D376">
        <v>6</v>
      </c>
      <c r="E376">
        <v>729</v>
      </c>
      <c r="F376" t="s">
        <v>557</v>
      </c>
      <c r="G376" t="s">
        <v>558</v>
      </c>
      <c r="H376">
        <v>729</v>
      </c>
      <c r="I376" t="s">
        <v>557</v>
      </c>
      <c r="J376" t="s">
        <v>558</v>
      </c>
      <c r="K376" t="s">
        <v>785</v>
      </c>
      <c r="L376">
        <v>1</v>
      </c>
      <c r="M376">
        <v>1</v>
      </c>
    </row>
    <row r="377" spans="1:13" x14ac:dyDescent="0.25">
      <c r="A377">
        <v>4</v>
      </c>
      <c r="B377">
        <v>9638754</v>
      </c>
      <c r="C377">
        <v>6070</v>
      </c>
      <c r="D377">
        <v>7</v>
      </c>
      <c r="E377">
        <v>534</v>
      </c>
      <c r="F377" t="s">
        <v>94</v>
      </c>
      <c r="G377" t="s">
        <v>95</v>
      </c>
      <c r="H377">
        <v>534</v>
      </c>
      <c r="I377" t="s">
        <v>94</v>
      </c>
      <c r="J377" t="s">
        <v>95</v>
      </c>
      <c r="K377" t="s">
        <v>786</v>
      </c>
      <c r="L377">
        <v>1</v>
      </c>
      <c r="M377">
        <v>1</v>
      </c>
    </row>
    <row r="378" spans="1:13" x14ac:dyDescent="0.25">
      <c r="A378">
        <v>4</v>
      </c>
      <c r="B378">
        <v>9637568</v>
      </c>
      <c r="C378">
        <v>6070</v>
      </c>
      <c r="D378">
        <v>1</v>
      </c>
      <c r="E378">
        <v>584</v>
      </c>
      <c r="F378" t="s">
        <v>96</v>
      </c>
      <c r="G378" t="s">
        <v>97</v>
      </c>
      <c r="H378">
        <v>584</v>
      </c>
      <c r="I378" t="s">
        <v>96</v>
      </c>
      <c r="J378" t="s">
        <v>97</v>
      </c>
      <c r="K378" t="s">
        <v>787</v>
      </c>
      <c r="L378">
        <v>1</v>
      </c>
      <c r="M378">
        <v>1</v>
      </c>
    </row>
    <row r="379" spans="1:13" x14ac:dyDescent="0.25">
      <c r="A379">
        <v>4</v>
      </c>
      <c r="B379">
        <v>9639087</v>
      </c>
      <c r="C379">
        <v>6071</v>
      </c>
      <c r="D379">
        <v>1</v>
      </c>
      <c r="E379">
        <v>641</v>
      </c>
      <c r="F379" t="s">
        <v>108</v>
      </c>
      <c r="G379" t="s">
        <v>109</v>
      </c>
      <c r="H379">
        <v>641</v>
      </c>
      <c r="I379" t="s">
        <v>108</v>
      </c>
      <c r="J379" t="s">
        <v>109</v>
      </c>
      <c r="K379" t="s">
        <v>788</v>
      </c>
      <c r="L379">
        <v>1</v>
      </c>
      <c r="M379">
        <v>1</v>
      </c>
    </row>
    <row r="380" spans="1:13" x14ac:dyDescent="0.25">
      <c r="A380">
        <v>4</v>
      </c>
      <c r="B380">
        <v>9639287</v>
      </c>
      <c r="C380">
        <v>6071</v>
      </c>
      <c r="D380">
        <v>2</v>
      </c>
      <c r="E380">
        <v>702</v>
      </c>
      <c r="F380" t="s">
        <v>120</v>
      </c>
      <c r="G380" t="s">
        <v>121</v>
      </c>
      <c r="H380">
        <v>702</v>
      </c>
      <c r="I380" t="s">
        <v>120</v>
      </c>
      <c r="J380" t="s">
        <v>121</v>
      </c>
      <c r="K380" t="s">
        <v>789</v>
      </c>
      <c r="L380">
        <v>1</v>
      </c>
      <c r="M380">
        <v>1</v>
      </c>
    </row>
    <row r="381" spans="1:13" x14ac:dyDescent="0.25">
      <c r="A381">
        <v>4</v>
      </c>
      <c r="B381">
        <v>9639480</v>
      </c>
      <c r="C381">
        <v>6071</v>
      </c>
      <c r="D381">
        <v>3</v>
      </c>
      <c r="E381">
        <v>632</v>
      </c>
      <c r="F381" t="s">
        <v>102</v>
      </c>
      <c r="G381" t="s">
        <v>103</v>
      </c>
      <c r="H381">
        <v>632</v>
      </c>
      <c r="I381" t="s">
        <v>102</v>
      </c>
      <c r="J381" t="s">
        <v>103</v>
      </c>
      <c r="K381" t="s">
        <v>790</v>
      </c>
      <c r="L381">
        <v>1</v>
      </c>
      <c r="M381">
        <v>1</v>
      </c>
    </row>
    <row r="382" spans="1:13" x14ac:dyDescent="0.25">
      <c r="A382">
        <v>4</v>
      </c>
      <c r="B382">
        <v>9639535</v>
      </c>
      <c r="C382">
        <v>6071</v>
      </c>
      <c r="D382">
        <v>4</v>
      </c>
      <c r="E382">
        <v>141</v>
      </c>
      <c r="F382" t="s">
        <v>64</v>
      </c>
      <c r="G382" t="s">
        <v>65</v>
      </c>
      <c r="H382">
        <v>141</v>
      </c>
      <c r="I382" t="s">
        <v>64</v>
      </c>
      <c r="J382" t="s">
        <v>65</v>
      </c>
      <c r="K382" t="s">
        <v>791</v>
      </c>
      <c r="L382">
        <v>1</v>
      </c>
      <c r="M382">
        <v>1</v>
      </c>
    </row>
    <row r="383" spans="1:13" x14ac:dyDescent="0.25">
      <c r="A383">
        <v>6</v>
      </c>
      <c r="B383">
        <v>948365</v>
      </c>
      <c r="C383">
        <v>6072</v>
      </c>
      <c r="D383">
        <v>2</v>
      </c>
      <c r="E383">
        <v>181</v>
      </c>
      <c r="F383" t="s">
        <v>164</v>
      </c>
      <c r="G383" t="s">
        <v>165</v>
      </c>
      <c r="H383">
        <v>181</v>
      </c>
      <c r="I383" t="s">
        <v>164</v>
      </c>
      <c r="J383" t="s">
        <v>165</v>
      </c>
      <c r="K383" t="s">
        <v>792</v>
      </c>
      <c r="L383">
        <v>1</v>
      </c>
      <c r="M383">
        <v>1</v>
      </c>
    </row>
    <row r="384" spans="1:13" x14ac:dyDescent="0.25">
      <c r="A384">
        <v>6</v>
      </c>
      <c r="B384">
        <v>947429</v>
      </c>
      <c r="C384">
        <v>6072</v>
      </c>
      <c r="D384">
        <v>1</v>
      </c>
      <c r="E384">
        <v>809</v>
      </c>
      <c r="F384" t="s">
        <v>128</v>
      </c>
      <c r="G384" t="s">
        <v>129</v>
      </c>
      <c r="H384">
        <v>809</v>
      </c>
      <c r="I384" t="s">
        <v>128</v>
      </c>
      <c r="J384" t="s">
        <v>129</v>
      </c>
      <c r="K384" t="s">
        <v>793</v>
      </c>
      <c r="L384">
        <v>1</v>
      </c>
      <c r="M384">
        <v>1</v>
      </c>
    </row>
    <row r="385" spans="1:13" x14ac:dyDescent="0.25">
      <c r="A385">
        <v>6</v>
      </c>
      <c r="B385">
        <v>947896</v>
      </c>
      <c r="C385">
        <v>6073</v>
      </c>
      <c r="D385">
        <v>3</v>
      </c>
      <c r="E385">
        <v>714</v>
      </c>
      <c r="F385" t="s">
        <v>124</v>
      </c>
      <c r="G385" t="s">
        <v>125</v>
      </c>
      <c r="H385">
        <v>714</v>
      </c>
      <c r="I385" t="s">
        <v>124</v>
      </c>
      <c r="J385" t="s">
        <v>125</v>
      </c>
      <c r="K385" t="s">
        <v>794</v>
      </c>
      <c r="L385">
        <v>1</v>
      </c>
      <c r="M385">
        <v>1</v>
      </c>
    </row>
    <row r="386" spans="1:13" x14ac:dyDescent="0.25">
      <c r="A386">
        <v>6</v>
      </c>
      <c r="B386">
        <v>947896</v>
      </c>
      <c r="C386">
        <v>6073</v>
      </c>
      <c r="D386">
        <v>4</v>
      </c>
      <c r="E386">
        <v>787</v>
      </c>
      <c r="F386" t="s">
        <v>203</v>
      </c>
      <c r="G386" t="s">
        <v>204</v>
      </c>
      <c r="H386">
        <v>787</v>
      </c>
      <c r="I386" t="s">
        <v>203</v>
      </c>
      <c r="J386" t="s">
        <v>204</v>
      </c>
      <c r="K386" t="s">
        <v>794</v>
      </c>
      <c r="L386">
        <v>1</v>
      </c>
      <c r="M386">
        <v>1</v>
      </c>
    </row>
    <row r="387" spans="1:13" x14ac:dyDescent="0.25">
      <c r="A387">
        <v>6</v>
      </c>
      <c r="B387">
        <v>947643</v>
      </c>
      <c r="C387">
        <v>6073</v>
      </c>
      <c r="D387">
        <v>1</v>
      </c>
      <c r="E387">
        <v>938</v>
      </c>
      <c r="F387" t="s">
        <v>795</v>
      </c>
      <c r="G387" t="s">
        <v>796</v>
      </c>
      <c r="H387">
        <v>938</v>
      </c>
      <c r="I387" t="s">
        <v>795</v>
      </c>
      <c r="J387" t="s">
        <v>796</v>
      </c>
      <c r="K387" t="s">
        <v>797</v>
      </c>
      <c r="L387">
        <v>1</v>
      </c>
      <c r="M387">
        <v>1</v>
      </c>
    </row>
    <row r="388" spans="1:13" x14ac:dyDescent="0.25">
      <c r="A388">
        <v>6</v>
      </c>
      <c r="B388">
        <v>947872</v>
      </c>
      <c r="C388">
        <v>6073</v>
      </c>
      <c r="D388">
        <v>2</v>
      </c>
      <c r="E388">
        <v>402</v>
      </c>
      <c r="F388" t="s">
        <v>168</v>
      </c>
      <c r="G388" t="s">
        <v>169</v>
      </c>
      <c r="H388">
        <v>402</v>
      </c>
      <c r="I388" t="s">
        <v>168</v>
      </c>
      <c r="J388" t="s">
        <v>169</v>
      </c>
      <c r="K388" t="s">
        <v>798</v>
      </c>
      <c r="L388">
        <v>1</v>
      </c>
      <c r="M388">
        <v>1</v>
      </c>
    </row>
    <row r="389" spans="1:13" x14ac:dyDescent="0.25">
      <c r="A389">
        <v>9</v>
      </c>
      <c r="B389">
        <v>9192624</v>
      </c>
      <c r="C389">
        <v>6074</v>
      </c>
      <c r="D389">
        <v>1</v>
      </c>
      <c r="E389">
        <v>905</v>
      </c>
      <c r="F389" t="s">
        <v>146</v>
      </c>
      <c r="G389" t="s">
        <v>147</v>
      </c>
      <c r="H389">
        <v>905</v>
      </c>
      <c r="I389" t="s">
        <v>146</v>
      </c>
      <c r="J389" t="s">
        <v>147</v>
      </c>
      <c r="K389" t="s">
        <v>799</v>
      </c>
      <c r="L389">
        <v>1</v>
      </c>
      <c r="M389">
        <v>1</v>
      </c>
    </row>
    <row r="390" spans="1:13" x14ac:dyDescent="0.25">
      <c r="A390">
        <v>9</v>
      </c>
      <c r="B390">
        <v>9192740</v>
      </c>
      <c r="C390">
        <v>6075</v>
      </c>
      <c r="D390">
        <v>1</v>
      </c>
      <c r="E390">
        <v>638</v>
      </c>
      <c r="F390" t="s">
        <v>104</v>
      </c>
      <c r="G390" t="s">
        <v>105</v>
      </c>
      <c r="H390">
        <v>638</v>
      </c>
      <c r="I390" t="s">
        <v>104</v>
      </c>
      <c r="J390" t="s">
        <v>105</v>
      </c>
      <c r="K390" t="s">
        <v>800</v>
      </c>
      <c r="L390">
        <v>1</v>
      </c>
      <c r="M390">
        <v>1</v>
      </c>
    </row>
    <row r="391" spans="1:13" x14ac:dyDescent="0.25">
      <c r="A391">
        <v>9</v>
      </c>
      <c r="B391">
        <v>9192624</v>
      </c>
      <c r="C391">
        <v>6076</v>
      </c>
      <c r="D391">
        <v>4</v>
      </c>
      <c r="E391">
        <v>970</v>
      </c>
      <c r="F391" t="s">
        <v>436</v>
      </c>
      <c r="G391" t="s">
        <v>437</v>
      </c>
      <c r="H391">
        <v>506</v>
      </c>
      <c r="I391" t="s">
        <v>92</v>
      </c>
      <c r="J391" t="s">
        <v>93</v>
      </c>
      <c r="K391" t="s">
        <v>801</v>
      </c>
      <c r="L391">
        <v>1</v>
      </c>
      <c r="M391">
        <v>1</v>
      </c>
    </row>
    <row r="392" spans="1:13" x14ac:dyDescent="0.25">
      <c r="A392">
        <v>9</v>
      </c>
      <c r="B392">
        <v>9192685</v>
      </c>
      <c r="C392">
        <v>6076</v>
      </c>
      <c r="D392">
        <v>5</v>
      </c>
      <c r="E392">
        <v>638</v>
      </c>
      <c r="F392" t="s">
        <v>104</v>
      </c>
      <c r="G392" t="s">
        <v>105</v>
      </c>
      <c r="H392">
        <v>638</v>
      </c>
      <c r="I392" t="s">
        <v>104</v>
      </c>
      <c r="J392" t="s">
        <v>105</v>
      </c>
      <c r="K392" t="s">
        <v>802</v>
      </c>
      <c r="L392">
        <v>1</v>
      </c>
      <c r="M392">
        <v>1</v>
      </c>
    </row>
    <row r="393" spans="1:13" x14ac:dyDescent="0.25">
      <c r="A393">
        <v>9</v>
      </c>
      <c r="B393">
        <v>9192685</v>
      </c>
      <c r="C393">
        <v>6076</v>
      </c>
      <c r="D393">
        <v>6</v>
      </c>
      <c r="E393">
        <v>639</v>
      </c>
      <c r="F393" t="s">
        <v>106</v>
      </c>
      <c r="G393" t="s">
        <v>107</v>
      </c>
      <c r="H393">
        <v>639</v>
      </c>
      <c r="I393" t="s">
        <v>106</v>
      </c>
      <c r="J393" t="s">
        <v>107</v>
      </c>
      <c r="K393" t="s">
        <v>803</v>
      </c>
      <c r="L393">
        <v>1</v>
      </c>
      <c r="M393">
        <v>1</v>
      </c>
    </row>
    <row r="394" spans="1:13" x14ac:dyDescent="0.25">
      <c r="A394">
        <v>9</v>
      </c>
      <c r="B394">
        <v>9192901</v>
      </c>
      <c r="C394">
        <v>6076</v>
      </c>
      <c r="D394">
        <v>7</v>
      </c>
      <c r="E394">
        <v>673</v>
      </c>
      <c r="F394" t="s">
        <v>259</v>
      </c>
      <c r="G394" t="s">
        <v>260</v>
      </c>
      <c r="H394">
        <v>673</v>
      </c>
      <c r="I394" t="s">
        <v>259</v>
      </c>
      <c r="J394" t="s">
        <v>260</v>
      </c>
      <c r="K394" t="s">
        <v>804</v>
      </c>
      <c r="L394">
        <v>1</v>
      </c>
      <c r="M394">
        <v>1</v>
      </c>
    </row>
    <row r="395" spans="1:13" x14ac:dyDescent="0.25">
      <c r="A395">
        <v>9</v>
      </c>
      <c r="B395">
        <v>9192942</v>
      </c>
      <c r="C395">
        <v>6076</v>
      </c>
      <c r="D395">
        <v>8</v>
      </c>
      <c r="E395">
        <v>970</v>
      </c>
      <c r="F395" t="s">
        <v>436</v>
      </c>
      <c r="G395" t="s">
        <v>437</v>
      </c>
      <c r="H395">
        <v>506</v>
      </c>
      <c r="I395" t="s">
        <v>92</v>
      </c>
      <c r="J395" t="s">
        <v>93</v>
      </c>
      <c r="K395" t="s">
        <v>805</v>
      </c>
      <c r="L395">
        <v>1</v>
      </c>
      <c r="M395">
        <v>1</v>
      </c>
    </row>
    <row r="396" spans="1:13" x14ac:dyDescent="0.25">
      <c r="A396">
        <v>9</v>
      </c>
      <c r="B396">
        <v>9192968</v>
      </c>
      <c r="C396">
        <v>6076</v>
      </c>
      <c r="D396">
        <v>9</v>
      </c>
      <c r="E396">
        <v>638</v>
      </c>
      <c r="F396" t="s">
        <v>104</v>
      </c>
      <c r="G396" t="s">
        <v>105</v>
      </c>
      <c r="H396">
        <v>638</v>
      </c>
      <c r="I396" t="s">
        <v>104</v>
      </c>
      <c r="J396" t="s">
        <v>105</v>
      </c>
      <c r="K396" t="s">
        <v>806</v>
      </c>
      <c r="L396">
        <v>1</v>
      </c>
      <c r="M396">
        <v>1</v>
      </c>
    </row>
    <row r="397" spans="1:13" x14ac:dyDescent="0.25">
      <c r="A397">
        <v>9</v>
      </c>
      <c r="B397">
        <v>9192968</v>
      </c>
      <c r="C397">
        <v>6076</v>
      </c>
      <c r="D397">
        <v>10</v>
      </c>
      <c r="E397">
        <v>638</v>
      </c>
      <c r="F397" t="s">
        <v>104</v>
      </c>
      <c r="G397" t="s">
        <v>105</v>
      </c>
      <c r="H397">
        <v>638</v>
      </c>
      <c r="I397" t="s">
        <v>104</v>
      </c>
      <c r="J397" t="s">
        <v>105</v>
      </c>
      <c r="K397" t="s">
        <v>807</v>
      </c>
      <c r="L397">
        <v>1</v>
      </c>
      <c r="M397">
        <v>1</v>
      </c>
    </row>
    <row r="398" spans="1:13" x14ac:dyDescent="0.25">
      <c r="A398">
        <v>9</v>
      </c>
      <c r="B398">
        <v>9192968</v>
      </c>
      <c r="C398">
        <v>6076</v>
      </c>
      <c r="D398">
        <v>11</v>
      </c>
      <c r="E398">
        <v>781</v>
      </c>
      <c r="F398" t="s">
        <v>269</v>
      </c>
      <c r="G398" t="s">
        <v>270</v>
      </c>
      <c r="H398">
        <v>781</v>
      </c>
      <c r="I398" t="s">
        <v>269</v>
      </c>
      <c r="J398" t="s">
        <v>270</v>
      </c>
      <c r="K398" t="s">
        <v>808</v>
      </c>
      <c r="L398">
        <v>1</v>
      </c>
      <c r="M398">
        <v>1</v>
      </c>
    </row>
    <row r="399" spans="1:13" x14ac:dyDescent="0.25">
      <c r="A399">
        <v>9</v>
      </c>
      <c r="B399">
        <v>9192431</v>
      </c>
      <c r="C399">
        <v>6076</v>
      </c>
      <c r="D399">
        <v>1</v>
      </c>
      <c r="E399">
        <v>774</v>
      </c>
      <c r="F399" t="s">
        <v>240</v>
      </c>
      <c r="G399" t="s">
        <v>241</v>
      </c>
      <c r="H399">
        <v>774</v>
      </c>
      <c r="I399" t="s">
        <v>240</v>
      </c>
      <c r="J399" t="s">
        <v>241</v>
      </c>
      <c r="K399" t="s">
        <v>809</v>
      </c>
      <c r="L399">
        <v>1</v>
      </c>
      <c r="M399">
        <v>1</v>
      </c>
    </row>
    <row r="400" spans="1:13" x14ac:dyDescent="0.25">
      <c r="A400">
        <v>9</v>
      </c>
      <c r="B400">
        <v>9192484</v>
      </c>
      <c r="C400">
        <v>6076</v>
      </c>
      <c r="D400">
        <v>2</v>
      </c>
      <c r="E400">
        <v>970</v>
      </c>
      <c r="F400" t="s">
        <v>436</v>
      </c>
      <c r="G400" t="s">
        <v>437</v>
      </c>
      <c r="H400">
        <v>506</v>
      </c>
      <c r="I400" t="s">
        <v>92</v>
      </c>
      <c r="J400" t="s">
        <v>93</v>
      </c>
      <c r="K400" t="s">
        <v>810</v>
      </c>
      <c r="L400">
        <v>1</v>
      </c>
      <c r="M400">
        <v>1</v>
      </c>
    </row>
    <row r="401" spans="1:13" x14ac:dyDescent="0.25">
      <c r="A401">
        <v>23</v>
      </c>
      <c r="B401">
        <v>69</v>
      </c>
      <c r="C401">
        <v>6125</v>
      </c>
      <c r="D401">
        <v>1</v>
      </c>
      <c r="E401">
        <v>818</v>
      </c>
      <c r="F401" t="s">
        <v>130</v>
      </c>
      <c r="G401" t="s">
        <v>131</v>
      </c>
      <c r="H401">
        <v>818</v>
      </c>
      <c r="I401" t="s">
        <v>130</v>
      </c>
      <c r="J401" t="s">
        <v>131</v>
      </c>
      <c r="K401" t="s">
        <v>49</v>
      </c>
      <c r="L401">
        <v>1</v>
      </c>
      <c r="M401">
        <v>1</v>
      </c>
    </row>
    <row r="402" spans="1:13" x14ac:dyDescent="0.25">
      <c r="A402">
        <v>6</v>
      </c>
      <c r="B402">
        <v>946227</v>
      </c>
      <c r="C402">
        <v>6126</v>
      </c>
      <c r="D402">
        <v>1</v>
      </c>
      <c r="E402">
        <v>970</v>
      </c>
      <c r="F402" t="s">
        <v>436</v>
      </c>
      <c r="G402" t="s">
        <v>437</v>
      </c>
      <c r="H402">
        <v>506</v>
      </c>
      <c r="I402" t="s">
        <v>92</v>
      </c>
      <c r="J402" t="s">
        <v>93</v>
      </c>
      <c r="K402" t="s">
        <v>159</v>
      </c>
      <c r="L402">
        <v>2</v>
      </c>
      <c r="M402">
        <v>2</v>
      </c>
    </row>
    <row r="403" spans="1:13" x14ac:dyDescent="0.25">
      <c r="A403">
        <v>6</v>
      </c>
      <c r="B403">
        <v>946227</v>
      </c>
      <c r="C403">
        <v>6126</v>
      </c>
      <c r="D403">
        <v>2</v>
      </c>
      <c r="E403">
        <v>824</v>
      </c>
      <c r="F403" t="s">
        <v>134</v>
      </c>
      <c r="G403" t="s">
        <v>135</v>
      </c>
      <c r="H403">
        <v>824</v>
      </c>
      <c r="I403" t="s">
        <v>134</v>
      </c>
      <c r="J403" t="s">
        <v>135</v>
      </c>
      <c r="K403" t="s">
        <v>159</v>
      </c>
      <c r="L403">
        <v>3</v>
      </c>
      <c r="M403">
        <v>3</v>
      </c>
    </row>
    <row r="404" spans="1:13" x14ac:dyDescent="0.25">
      <c r="A404">
        <v>25</v>
      </c>
      <c r="B404">
        <v>11</v>
      </c>
      <c r="C404">
        <v>6127</v>
      </c>
      <c r="D404">
        <v>1</v>
      </c>
      <c r="E404">
        <v>722</v>
      </c>
      <c r="F404" t="s">
        <v>811</v>
      </c>
      <c r="G404" t="s">
        <v>812</v>
      </c>
      <c r="H404">
        <v>722</v>
      </c>
      <c r="I404" t="s">
        <v>811</v>
      </c>
      <c r="J404" t="s">
        <v>812</v>
      </c>
      <c r="K404" t="s">
        <v>49</v>
      </c>
      <c r="L404">
        <v>14</v>
      </c>
      <c r="M404">
        <v>14</v>
      </c>
    </row>
    <row r="405" spans="1:13" x14ac:dyDescent="0.25">
      <c r="A405">
        <v>9</v>
      </c>
      <c r="B405">
        <v>9195937</v>
      </c>
      <c r="C405">
        <v>6128</v>
      </c>
      <c r="D405">
        <v>1</v>
      </c>
      <c r="E405">
        <v>905</v>
      </c>
      <c r="F405" t="s">
        <v>146</v>
      </c>
      <c r="G405" t="s">
        <v>147</v>
      </c>
      <c r="H405">
        <v>905</v>
      </c>
      <c r="I405" t="s">
        <v>146</v>
      </c>
      <c r="J405" t="s">
        <v>147</v>
      </c>
      <c r="K405" t="s">
        <v>813</v>
      </c>
      <c r="L405">
        <v>1</v>
      </c>
      <c r="M405">
        <v>1</v>
      </c>
    </row>
    <row r="406" spans="1:13" x14ac:dyDescent="0.25">
      <c r="A406">
        <v>24</v>
      </c>
      <c r="B406">
        <v>5102070</v>
      </c>
      <c r="C406">
        <v>6129</v>
      </c>
      <c r="D406">
        <v>3</v>
      </c>
      <c r="E406">
        <v>861</v>
      </c>
      <c r="F406" t="s">
        <v>814</v>
      </c>
      <c r="G406" t="s">
        <v>815</v>
      </c>
      <c r="H406">
        <v>861</v>
      </c>
      <c r="I406" t="s">
        <v>814</v>
      </c>
      <c r="J406" t="s">
        <v>815</v>
      </c>
      <c r="K406" t="s">
        <v>49</v>
      </c>
      <c r="L406">
        <v>200</v>
      </c>
      <c r="M406">
        <v>200</v>
      </c>
    </row>
    <row r="407" spans="1:13" x14ac:dyDescent="0.25">
      <c r="A407">
        <v>24</v>
      </c>
      <c r="B407">
        <v>5101343</v>
      </c>
      <c r="C407">
        <v>6129</v>
      </c>
      <c r="D407">
        <v>1</v>
      </c>
      <c r="E407">
        <v>862</v>
      </c>
      <c r="F407" t="s">
        <v>816</v>
      </c>
      <c r="G407" t="s">
        <v>817</v>
      </c>
      <c r="H407">
        <v>862</v>
      </c>
      <c r="I407" t="s">
        <v>816</v>
      </c>
      <c r="J407" t="s">
        <v>817</v>
      </c>
      <c r="K407" t="s">
        <v>49</v>
      </c>
      <c r="L407">
        <v>80</v>
      </c>
      <c r="M407">
        <v>80</v>
      </c>
    </row>
    <row r="408" spans="1:13" x14ac:dyDescent="0.25">
      <c r="A408">
        <v>24</v>
      </c>
      <c r="B408">
        <v>5101343</v>
      </c>
      <c r="C408">
        <v>6129</v>
      </c>
      <c r="D408">
        <v>2</v>
      </c>
      <c r="E408">
        <v>864</v>
      </c>
      <c r="F408" t="s">
        <v>818</v>
      </c>
      <c r="G408" t="s">
        <v>819</v>
      </c>
      <c r="H408">
        <v>864</v>
      </c>
      <c r="I408" t="s">
        <v>818</v>
      </c>
      <c r="J408" t="s">
        <v>819</v>
      </c>
      <c r="K408" t="s">
        <v>49</v>
      </c>
      <c r="L408">
        <v>100</v>
      </c>
      <c r="M408">
        <v>100</v>
      </c>
    </row>
    <row r="409" spans="1:13" x14ac:dyDescent="0.25">
      <c r="A409">
        <v>4</v>
      </c>
      <c r="B409">
        <v>9655455</v>
      </c>
      <c r="C409">
        <v>6130</v>
      </c>
      <c r="D409">
        <v>6</v>
      </c>
      <c r="E409">
        <v>704</v>
      </c>
      <c r="F409" t="s">
        <v>122</v>
      </c>
      <c r="G409" t="s">
        <v>123</v>
      </c>
      <c r="H409">
        <v>704</v>
      </c>
      <c r="I409" t="s">
        <v>122</v>
      </c>
      <c r="J409" t="s">
        <v>123</v>
      </c>
      <c r="K409" t="s">
        <v>820</v>
      </c>
      <c r="L409">
        <v>1</v>
      </c>
      <c r="M409">
        <v>1</v>
      </c>
    </row>
    <row r="410" spans="1:13" x14ac:dyDescent="0.25">
      <c r="A410">
        <v>4</v>
      </c>
      <c r="B410">
        <v>9652954</v>
      </c>
      <c r="C410">
        <v>6130</v>
      </c>
      <c r="D410">
        <v>1</v>
      </c>
      <c r="E410">
        <v>877</v>
      </c>
      <c r="F410" t="s">
        <v>140</v>
      </c>
      <c r="G410" t="s">
        <v>141</v>
      </c>
      <c r="H410">
        <v>325</v>
      </c>
      <c r="I410" t="s">
        <v>227</v>
      </c>
      <c r="J410" t="s">
        <v>228</v>
      </c>
      <c r="K410" t="s">
        <v>821</v>
      </c>
      <c r="L410">
        <v>1</v>
      </c>
      <c r="M410">
        <v>1</v>
      </c>
    </row>
    <row r="411" spans="1:13" x14ac:dyDescent="0.25">
      <c r="A411">
        <v>4</v>
      </c>
      <c r="B411">
        <v>9653108</v>
      </c>
      <c r="C411">
        <v>6130</v>
      </c>
      <c r="D411">
        <v>2</v>
      </c>
      <c r="E411">
        <v>703</v>
      </c>
      <c r="F411" t="s">
        <v>461</v>
      </c>
      <c r="G411" t="s">
        <v>462</v>
      </c>
      <c r="H411">
        <v>703</v>
      </c>
      <c r="I411" t="s">
        <v>461</v>
      </c>
      <c r="J411" t="s">
        <v>462</v>
      </c>
      <c r="K411" t="s">
        <v>822</v>
      </c>
      <c r="L411">
        <v>1</v>
      </c>
      <c r="M411">
        <v>1</v>
      </c>
    </row>
    <row r="412" spans="1:13" x14ac:dyDescent="0.25">
      <c r="A412">
        <v>4</v>
      </c>
      <c r="B412">
        <v>9653312</v>
      </c>
      <c r="C412">
        <v>6130</v>
      </c>
      <c r="D412">
        <v>3</v>
      </c>
      <c r="E412">
        <v>13</v>
      </c>
      <c r="F412" t="s">
        <v>62</v>
      </c>
      <c r="G412" t="s">
        <v>63</v>
      </c>
      <c r="H412">
        <v>13</v>
      </c>
      <c r="I412" t="s">
        <v>62</v>
      </c>
      <c r="J412" t="s">
        <v>63</v>
      </c>
      <c r="K412" t="s">
        <v>823</v>
      </c>
      <c r="L412">
        <v>1</v>
      </c>
      <c r="M412">
        <v>1</v>
      </c>
    </row>
    <row r="413" spans="1:13" x14ac:dyDescent="0.25">
      <c r="A413">
        <v>4</v>
      </c>
      <c r="B413">
        <v>9654423</v>
      </c>
      <c r="C413">
        <v>6130</v>
      </c>
      <c r="D413">
        <v>4</v>
      </c>
      <c r="E413">
        <v>584</v>
      </c>
      <c r="F413" t="s">
        <v>96</v>
      </c>
      <c r="G413" t="s">
        <v>97</v>
      </c>
      <c r="H413">
        <v>584</v>
      </c>
      <c r="I413" t="s">
        <v>96</v>
      </c>
      <c r="J413" t="s">
        <v>97</v>
      </c>
      <c r="K413" t="s">
        <v>824</v>
      </c>
      <c r="L413">
        <v>1</v>
      </c>
      <c r="M413">
        <v>1</v>
      </c>
    </row>
    <row r="414" spans="1:13" x14ac:dyDescent="0.25">
      <c r="A414">
        <v>4</v>
      </c>
      <c r="B414">
        <v>9654758</v>
      </c>
      <c r="C414">
        <v>6130</v>
      </c>
      <c r="D414">
        <v>5</v>
      </c>
      <c r="E414">
        <v>674</v>
      </c>
      <c r="F414" t="s">
        <v>112</v>
      </c>
      <c r="G414" t="s">
        <v>113</v>
      </c>
      <c r="H414">
        <v>674</v>
      </c>
      <c r="I414" t="s">
        <v>112</v>
      </c>
      <c r="J414" t="s">
        <v>113</v>
      </c>
      <c r="K414" t="s">
        <v>825</v>
      </c>
      <c r="L414">
        <v>1</v>
      </c>
      <c r="M414">
        <v>1</v>
      </c>
    </row>
    <row r="415" spans="1:13" x14ac:dyDescent="0.25">
      <c r="A415">
        <v>4</v>
      </c>
      <c r="B415">
        <v>9655028</v>
      </c>
      <c r="C415">
        <v>6131</v>
      </c>
      <c r="D415">
        <v>2</v>
      </c>
      <c r="E415">
        <v>702</v>
      </c>
      <c r="F415" t="s">
        <v>120</v>
      </c>
      <c r="G415" t="s">
        <v>121</v>
      </c>
      <c r="H415">
        <v>702</v>
      </c>
      <c r="I415" t="s">
        <v>120</v>
      </c>
      <c r="J415" t="s">
        <v>121</v>
      </c>
      <c r="K415" t="s">
        <v>826</v>
      </c>
      <c r="L415">
        <v>1</v>
      </c>
      <c r="M415">
        <v>1</v>
      </c>
    </row>
    <row r="416" spans="1:13" x14ac:dyDescent="0.25">
      <c r="A416">
        <v>4</v>
      </c>
      <c r="B416">
        <v>9655787</v>
      </c>
      <c r="C416">
        <v>6131</v>
      </c>
      <c r="D416">
        <v>3</v>
      </c>
      <c r="E416">
        <v>935</v>
      </c>
      <c r="F416" t="s">
        <v>633</v>
      </c>
      <c r="G416" t="s">
        <v>634</v>
      </c>
      <c r="H416">
        <v>935</v>
      </c>
      <c r="I416" t="s">
        <v>633</v>
      </c>
      <c r="J416" t="s">
        <v>634</v>
      </c>
      <c r="K416" t="s">
        <v>827</v>
      </c>
      <c r="L416">
        <v>1</v>
      </c>
      <c r="M416">
        <v>1</v>
      </c>
    </row>
    <row r="417" spans="1:13" x14ac:dyDescent="0.25">
      <c r="A417">
        <v>4</v>
      </c>
      <c r="B417">
        <v>9655851</v>
      </c>
      <c r="C417">
        <v>6131</v>
      </c>
      <c r="D417">
        <v>4</v>
      </c>
      <c r="E417">
        <v>501</v>
      </c>
      <c r="F417" t="s">
        <v>90</v>
      </c>
      <c r="G417" t="s">
        <v>91</v>
      </c>
      <c r="H417">
        <v>501</v>
      </c>
      <c r="I417" t="s">
        <v>90</v>
      </c>
      <c r="J417" t="s">
        <v>91</v>
      </c>
      <c r="K417" t="s">
        <v>828</v>
      </c>
      <c r="L417">
        <v>1</v>
      </c>
      <c r="M417">
        <v>1</v>
      </c>
    </row>
    <row r="418" spans="1:13" x14ac:dyDescent="0.25">
      <c r="A418">
        <v>4</v>
      </c>
      <c r="B418">
        <v>9656143</v>
      </c>
      <c r="C418">
        <v>6131</v>
      </c>
      <c r="D418">
        <v>5</v>
      </c>
      <c r="E418">
        <v>500</v>
      </c>
      <c r="F418" t="s">
        <v>829</v>
      </c>
      <c r="G418" t="s">
        <v>830</v>
      </c>
      <c r="H418">
        <v>500</v>
      </c>
      <c r="I418" t="s">
        <v>829</v>
      </c>
      <c r="J418" t="s">
        <v>830</v>
      </c>
      <c r="K418" t="s">
        <v>831</v>
      </c>
      <c r="L418">
        <v>1</v>
      </c>
      <c r="M418">
        <v>1</v>
      </c>
    </row>
    <row r="419" spans="1:13" x14ac:dyDescent="0.25">
      <c r="A419">
        <v>4</v>
      </c>
      <c r="B419">
        <v>9654092</v>
      </c>
      <c r="C419">
        <v>6131</v>
      </c>
      <c r="D419">
        <v>1</v>
      </c>
      <c r="E419">
        <v>632</v>
      </c>
      <c r="F419" t="s">
        <v>102</v>
      </c>
      <c r="G419" t="s">
        <v>103</v>
      </c>
      <c r="H419">
        <v>632</v>
      </c>
      <c r="I419" t="s">
        <v>102</v>
      </c>
      <c r="J419" t="s">
        <v>103</v>
      </c>
      <c r="K419" t="s">
        <v>832</v>
      </c>
      <c r="L419">
        <v>1</v>
      </c>
      <c r="M419">
        <v>1</v>
      </c>
    </row>
    <row r="420" spans="1:13" x14ac:dyDescent="0.25">
      <c r="A420">
        <v>23</v>
      </c>
      <c r="B420">
        <v>70</v>
      </c>
      <c r="C420">
        <v>6132</v>
      </c>
      <c r="D420">
        <v>1</v>
      </c>
      <c r="E420">
        <v>781</v>
      </c>
      <c r="F420" t="s">
        <v>269</v>
      </c>
      <c r="G420" t="s">
        <v>270</v>
      </c>
      <c r="H420">
        <v>781</v>
      </c>
      <c r="I420" t="s">
        <v>269</v>
      </c>
      <c r="J420" t="s">
        <v>270</v>
      </c>
      <c r="K420" t="s">
        <v>49</v>
      </c>
      <c r="L420">
        <v>1</v>
      </c>
      <c r="M420">
        <v>1</v>
      </c>
    </row>
    <row r="421" spans="1:13" x14ac:dyDescent="0.25">
      <c r="A421">
        <v>8</v>
      </c>
      <c r="B421">
        <v>9450545182</v>
      </c>
      <c r="C421">
        <v>6133</v>
      </c>
      <c r="D421">
        <v>1</v>
      </c>
      <c r="E421">
        <v>182</v>
      </c>
      <c r="F421" t="s">
        <v>322</v>
      </c>
      <c r="G421" t="s">
        <v>323</v>
      </c>
      <c r="H421">
        <v>182</v>
      </c>
      <c r="I421" t="s">
        <v>322</v>
      </c>
      <c r="J421" t="s">
        <v>323</v>
      </c>
      <c r="K421" t="s">
        <v>582</v>
      </c>
      <c r="L421">
        <v>2</v>
      </c>
      <c r="M421">
        <v>2</v>
      </c>
    </row>
    <row r="422" spans="1:13" x14ac:dyDescent="0.25">
      <c r="A422">
        <v>8</v>
      </c>
      <c r="B422">
        <v>9450545210</v>
      </c>
      <c r="C422">
        <v>6133</v>
      </c>
      <c r="D422">
        <v>2</v>
      </c>
      <c r="E422">
        <v>404</v>
      </c>
      <c r="F422" t="s">
        <v>80</v>
      </c>
      <c r="G422" t="s">
        <v>81</v>
      </c>
      <c r="H422">
        <v>404</v>
      </c>
      <c r="I422" t="s">
        <v>80</v>
      </c>
      <c r="J422" t="s">
        <v>81</v>
      </c>
      <c r="K422" t="s">
        <v>833</v>
      </c>
      <c r="L422">
        <v>1</v>
      </c>
      <c r="M422">
        <v>1</v>
      </c>
    </row>
    <row r="423" spans="1:13" x14ac:dyDescent="0.25">
      <c r="A423">
        <v>8</v>
      </c>
      <c r="B423">
        <v>9450545244</v>
      </c>
      <c r="C423">
        <v>6133</v>
      </c>
      <c r="D423">
        <v>3</v>
      </c>
      <c r="E423">
        <v>705</v>
      </c>
      <c r="F423" t="s">
        <v>338</v>
      </c>
      <c r="G423" t="s">
        <v>339</v>
      </c>
      <c r="H423">
        <v>705</v>
      </c>
      <c r="I423" t="s">
        <v>338</v>
      </c>
      <c r="J423" t="s">
        <v>339</v>
      </c>
      <c r="K423" t="s">
        <v>834</v>
      </c>
      <c r="L423">
        <v>1</v>
      </c>
      <c r="M423">
        <v>1</v>
      </c>
    </row>
    <row r="424" spans="1:13" x14ac:dyDescent="0.25">
      <c r="A424">
        <v>8</v>
      </c>
      <c r="B424">
        <v>9450545244</v>
      </c>
      <c r="C424">
        <v>6133</v>
      </c>
      <c r="D424">
        <v>4</v>
      </c>
      <c r="E424">
        <v>735</v>
      </c>
      <c r="F424" t="s">
        <v>126</v>
      </c>
      <c r="G424" t="s">
        <v>127</v>
      </c>
      <c r="H424">
        <v>735</v>
      </c>
      <c r="I424" t="s">
        <v>126</v>
      </c>
      <c r="J424" t="s">
        <v>127</v>
      </c>
      <c r="K424" t="s">
        <v>835</v>
      </c>
      <c r="L424">
        <v>1</v>
      </c>
      <c r="M424">
        <v>1</v>
      </c>
    </row>
    <row r="425" spans="1:13" x14ac:dyDescent="0.25">
      <c r="A425">
        <v>6</v>
      </c>
      <c r="B425">
        <v>953988</v>
      </c>
      <c r="C425">
        <v>6134</v>
      </c>
      <c r="D425">
        <v>1</v>
      </c>
      <c r="E425">
        <v>809</v>
      </c>
      <c r="F425" t="s">
        <v>128</v>
      </c>
      <c r="G425" t="s">
        <v>129</v>
      </c>
      <c r="H425">
        <v>809</v>
      </c>
      <c r="I425" t="s">
        <v>128</v>
      </c>
      <c r="J425" t="s">
        <v>129</v>
      </c>
      <c r="K425" t="s">
        <v>836</v>
      </c>
      <c r="L425">
        <v>1</v>
      </c>
      <c r="M425">
        <v>1</v>
      </c>
    </row>
    <row r="426" spans="1:13" x14ac:dyDescent="0.25">
      <c r="A426">
        <v>9</v>
      </c>
      <c r="B426">
        <v>9196174</v>
      </c>
      <c r="C426">
        <v>6135</v>
      </c>
      <c r="D426">
        <v>12</v>
      </c>
      <c r="E426">
        <v>970</v>
      </c>
      <c r="F426" t="s">
        <v>436</v>
      </c>
      <c r="G426" t="s">
        <v>437</v>
      </c>
      <c r="H426">
        <v>506</v>
      </c>
      <c r="I426" t="s">
        <v>92</v>
      </c>
      <c r="J426" t="s">
        <v>93</v>
      </c>
      <c r="K426" t="s">
        <v>837</v>
      </c>
      <c r="L426">
        <v>1</v>
      </c>
      <c r="M426">
        <v>1</v>
      </c>
    </row>
    <row r="427" spans="1:13" x14ac:dyDescent="0.25">
      <c r="A427">
        <v>9</v>
      </c>
      <c r="B427">
        <v>9196174</v>
      </c>
      <c r="C427">
        <v>6135</v>
      </c>
      <c r="D427">
        <v>13</v>
      </c>
      <c r="E427">
        <v>402</v>
      </c>
      <c r="F427" t="s">
        <v>168</v>
      </c>
      <c r="G427" t="s">
        <v>169</v>
      </c>
      <c r="H427">
        <v>402</v>
      </c>
      <c r="I427" t="s">
        <v>168</v>
      </c>
      <c r="J427" t="s">
        <v>169</v>
      </c>
      <c r="K427" t="s">
        <v>838</v>
      </c>
      <c r="L427">
        <v>1</v>
      </c>
      <c r="M427">
        <v>1</v>
      </c>
    </row>
    <row r="428" spans="1:13" x14ac:dyDescent="0.25">
      <c r="A428">
        <v>9</v>
      </c>
      <c r="B428">
        <v>9196249</v>
      </c>
      <c r="C428">
        <v>6135</v>
      </c>
      <c r="D428">
        <v>14</v>
      </c>
      <c r="E428">
        <v>970</v>
      </c>
      <c r="F428" t="s">
        <v>436</v>
      </c>
      <c r="G428" t="s">
        <v>437</v>
      </c>
      <c r="H428">
        <v>506</v>
      </c>
      <c r="I428" t="s">
        <v>92</v>
      </c>
      <c r="J428" t="s">
        <v>93</v>
      </c>
      <c r="K428" t="s">
        <v>839</v>
      </c>
      <c r="L428">
        <v>1</v>
      </c>
      <c r="M428">
        <v>1</v>
      </c>
    </row>
    <row r="429" spans="1:13" x14ac:dyDescent="0.25">
      <c r="A429">
        <v>9</v>
      </c>
      <c r="B429">
        <v>9196249</v>
      </c>
      <c r="C429">
        <v>6135</v>
      </c>
      <c r="D429">
        <v>15</v>
      </c>
      <c r="E429">
        <v>402</v>
      </c>
      <c r="F429" t="s">
        <v>168</v>
      </c>
      <c r="G429" t="s">
        <v>169</v>
      </c>
      <c r="H429">
        <v>402</v>
      </c>
      <c r="I429" t="s">
        <v>168</v>
      </c>
      <c r="J429" t="s">
        <v>169</v>
      </c>
      <c r="K429" t="s">
        <v>840</v>
      </c>
      <c r="L429">
        <v>1</v>
      </c>
      <c r="M429">
        <v>1</v>
      </c>
    </row>
    <row r="430" spans="1:13" x14ac:dyDescent="0.25">
      <c r="A430">
        <v>9</v>
      </c>
      <c r="B430">
        <v>9195542</v>
      </c>
      <c r="C430">
        <v>6135</v>
      </c>
      <c r="D430">
        <v>1</v>
      </c>
      <c r="E430">
        <v>401</v>
      </c>
      <c r="F430" t="s">
        <v>76</v>
      </c>
      <c r="G430" t="s">
        <v>77</v>
      </c>
      <c r="H430">
        <v>401</v>
      </c>
      <c r="I430" t="s">
        <v>76</v>
      </c>
      <c r="J430" t="s">
        <v>77</v>
      </c>
      <c r="K430" t="s">
        <v>841</v>
      </c>
      <c r="L430">
        <v>1</v>
      </c>
      <c r="M430">
        <v>1</v>
      </c>
    </row>
    <row r="431" spans="1:13" x14ac:dyDescent="0.25">
      <c r="A431">
        <v>9</v>
      </c>
      <c r="B431">
        <v>9195542</v>
      </c>
      <c r="C431">
        <v>6135</v>
      </c>
      <c r="D431">
        <v>2</v>
      </c>
      <c r="E431">
        <v>400</v>
      </c>
      <c r="F431" t="s">
        <v>74</v>
      </c>
      <c r="G431" t="s">
        <v>75</v>
      </c>
      <c r="H431">
        <v>400</v>
      </c>
      <c r="I431" t="s">
        <v>74</v>
      </c>
      <c r="J431" t="s">
        <v>75</v>
      </c>
      <c r="K431" t="s">
        <v>842</v>
      </c>
      <c r="L431">
        <v>1</v>
      </c>
      <c r="M431">
        <v>1</v>
      </c>
    </row>
    <row r="432" spans="1:13" x14ac:dyDescent="0.25">
      <c r="A432">
        <v>9</v>
      </c>
      <c r="B432">
        <v>9195683</v>
      </c>
      <c r="C432">
        <v>6135</v>
      </c>
      <c r="D432">
        <v>3</v>
      </c>
      <c r="E432">
        <v>970</v>
      </c>
      <c r="F432" t="s">
        <v>436</v>
      </c>
      <c r="G432" t="s">
        <v>437</v>
      </c>
      <c r="H432">
        <v>506</v>
      </c>
      <c r="I432" t="s">
        <v>92</v>
      </c>
      <c r="J432" t="s">
        <v>93</v>
      </c>
      <c r="K432" t="s">
        <v>843</v>
      </c>
      <c r="L432">
        <v>1</v>
      </c>
      <c r="M432">
        <v>1</v>
      </c>
    </row>
    <row r="433" spans="1:13" x14ac:dyDescent="0.25">
      <c r="A433">
        <v>9</v>
      </c>
      <c r="B433">
        <v>9195790</v>
      </c>
      <c r="C433">
        <v>6135</v>
      </c>
      <c r="D433">
        <v>4</v>
      </c>
      <c r="E433">
        <v>970</v>
      </c>
      <c r="F433" t="s">
        <v>436</v>
      </c>
      <c r="G433" t="s">
        <v>437</v>
      </c>
      <c r="H433">
        <v>506</v>
      </c>
      <c r="I433" t="s">
        <v>92</v>
      </c>
      <c r="J433" t="s">
        <v>93</v>
      </c>
      <c r="K433" t="s">
        <v>844</v>
      </c>
      <c r="L433">
        <v>1</v>
      </c>
      <c r="M433">
        <v>1</v>
      </c>
    </row>
    <row r="434" spans="1:13" x14ac:dyDescent="0.25">
      <c r="A434">
        <v>9</v>
      </c>
      <c r="B434">
        <v>9195790</v>
      </c>
      <c r="C434">
        <v>6135</v>
      </c>
      <c r="D434">
        <v>5</v>
      </c>
      <c r="E434">
        <v>400</v>
      </c>
      <c r="F434" t="s">
        <v>74</v>
      </c>
      <c r="G434" t="s">
        <v>75</v>
      </c>
      <c r="H434">
        <v>400</v>
      </c>
      <c r="I434" t="s">
        <v>74</v>
      </c>
      <c r="J434" t="s">
        <v>75</v>
      </c>
      <c r="K434" t="s">
        <v>845</v>
      </c>
      <c r="L434">
        <v>1</v>
      </c>
      <c r="M434">
        <v>1</v>
      </c>
    </row>
    <row r="435" spans="1:13" x14ac:dyDescent="0.25">
      <c r="A435">
        <v>9</v>
      </c>
      <c r="B435">
        <v>9195790</v>
      </c>
      <c r="C435">
        <v>6135</v>
      </c>
      <c r="D435">
        <v>6</v>
      </c>
      <c r="E435">
        <v>403</v>
      </c>
      <c r="F435" t="s">
        <v>78</v>
      </c>
      <c r="G435" t="s">
        <v>79</v>
      </c>
      <c r="H435">
        <v>403</v>
      </c>
      <c r="I435" t="s">
        <v>78</v>
      </c>
      <c r="J435" t="s">
        <v>79</v>
      </c>
      <c r="K435" t="s">
        <v>846</v>
      </c>
      <c r="L435">
        <v>1</v>
      </c>
      <c r="M435">
        <v>1</v>
      </c>
    </row>
    <row r="436" spans="1:13" x14ac:dyDescent="0.25">
      <c r="A436">
        <v>9</v>
      </c>
      <c r="B436">
        <v>9195790</v>
      </c>
      <c r="C436">
        <v>6135</v>
      </c>
      <c r="D436">
        <v>7</v>
      </c>
      <c r="E436">
        <v>674</v>
      </c>
      <c r="F436" t="s">
        <v>112</v>
      </c>
      <c r="G436" t="s">
        <v>113</v>
      </c>
      <c r="H436">
        <v>674</v>
      </c>
      <c r="I436" t="s">
        <v>112</v>
      </c>
      <c r="J436" t="s">
        <v>113</v>
      </c>
      <c r="K436" t="s">
        <v>847</v>
      </c>
      <c r="L436">
        <v>1</v>
      </c>
      <c r="M436">
        <v>1</v>
      </c>
    </row>
    <row r="437" spans="1:13" x14ac:dyDescent="0.25">
      <c r="A437">
        <v>9</v>
      </c>
      <c r="B437">
        <v>9195937</v>
      </c>
      <c r="C437">
        <v>6135</v>
      </c>
      <c r="D437">
        <v>8</v>
      </c>
      <c r="E437">
        <v>970</v>
      </c>
      <c r="F437" t="s">
        <v>436</v>
      </c>
      <c r="G437" t="s">
        <v>437</v>
      </c>
      <c r="H437">
        <v>506</v>
      </c>
      <c r="I437" t="s">
        <v>92</v>
      </c>
      <c r="J437" t="s">
        <v>93</v>
      </c>
      <c r="K437" t="s">
        <v>848</v>
      </c>
      <c r="L437">
        <v>1</v>
      </c>
      <c r="M437">
        <v>1</v>
      </c>
    </row>
    <row r="438" spans="1:13" x14ac:dyDescent="0.25">
      <c r="A438">
        <v>9</v>
      </c>
      <c r="B438">
        <v>9196067</v>
      </c>
      <c r="C438">
        <v>6135</v>
      </c>
      <c r="D438">
        <v>9</v>
      </c>
      <c r="E438">
        <v>400</v>
      </c>
      <c r="F438" t="s">
        <v>74</v>
      </c>
      <c r="G438" t="s">
        <v>75</v>
      </c>
      <c r="H438">
        <v>400</v>
      </c>
      <c r="I438" t="s">
        <v>74</v>
      </c>
      <c r="J438" t="s">
        <v>75</v>
      </c>
      <c r="K438" t="s">
        <v>849</v>
      </c>
      <c r="L438">
        <v>1</v>
      </c>
      <c r="M438">
        <v>1</v>
      </c>
    </row>
    <row r="439" spans="1:13" x14ac:dyDescent="0.25">
      <c r="A439">
        <v>9</v>
      </c>
      <c r="B439">
        <v>9196067</v>
      </c>
      <c r="C439">
        <v>6135</v>
      </c>
      <c r="D439">
        <v>10</v>
      </c>
      <c r="E439">
        <v>877</v>
      </c>
      <c r="F439" t="s">
        <v>140</v>
      </c>
      <c r="G439" t="s">
        <v>141</v>
      </c>
      <c r="H439">
        <v>877</v>
      </c>
      <c r="I439" t="s">
        <v>140</v>
      </c>
      <c r="J439" t="s">
        <v>141</v>
      </c>
      <c r="K439" t="s">
        <v>850</v>
      </c>
      <c r="L439">
        <v>1</v>
      </c>
      <c r="M439">
        <v>1</v>
      </c>
    </row>
    <row r="440" spans="1:13" x14ac:dyDescent="0.25">
      <c r="A440">
        <v>1</v>
      </c>
      <c r="B440">
        <v>8681169</v>
      </c>
      <c r="C440">
        <v>6194</v>
      </c>
      <c r="D440">
        <v>3</v>
      </c>
      <c r="E440">
        <v>618</v>
      </c>
      <c r="F440" t="s">
        <v>98</v>
      </c>
      <c r="G440" t="s">
        <v>99</v>
      </c>
      <c r="H440">
        <v>618</v>
      </c>
      <c r="I440" t="s">
        <v>98</v>
      </c>
      <c r="J440" t="s">
        <v>99</v>
      </c>
      <c r="K440" t="s">
        <v>155</v>
      </c>
      <c r="L440">
        <v>6</v>
      </c>
      <c r="M440">
        <v>6</v>
      </c>
    </row>
    <row r="441" spans="1:13" x14ac:dyDescent="0.25">
      <c r="A441">
        <v>1</v>
      </c>
      <c r="B441">
        <v>8681169</v>
      </c>
      <c r="C441">
        <v>6194</v>
      </c>
      <c r="D441">
        <v>4</v>
      </c>
      <c r="E441">
        <v>620</v>
      </c>
      <c r="F441" t="s">
        <v>100</v>
      </c>
      <c r="G441" t="s">
        <v>101</v>
      </c>
      <c r="H441">
        <v>620</v>
      </c>
      <c r="I441" t="s">
        <v>100</v>
      </c>
      <c r="J441" t="s">
        <v>101</v>
      </c>
      <c r="K441" t="s">
        <v>156</v>
      </c>
      <c r="L441">
        <v>6</v>
      </c>
      <c r="M441">
        <v>6</v>
      </c>
    </row>
    <row r="442" spans="1:13" x14ac:dyDescent="0.25">
      <c r="A442">
        <v>1</v>
      </c>
      <c r="B442">
        <v>8681169</v>
      </c>
      <c r="C442">
        <v>6194</v>
      </c>
      <c r="D442">
        <v>5</v>
      </c>
      <c r="E442">
        <v>1100</v>
      </c>
      <c r="F442" t="s">
        <v>148</v>
      </c>
      <c r="G442" t="s">
        <v>149</v>
      </c>
      <c r="H442">
        <v>1100</v>
      </c>
      <c r="I442" t="s">
        <v>148</v>
      </c>
      <c r="J442" t="s">
        <v>149</v>
      </c>
      <c r="K442" t="s">
        <v>154</v>
      </c>
      <c r="L442">
        <v>24</v>
      </c>
      <c r="M442">
        <v>24</v>
      </c>
    </row>
    <row r="443" spans="1:13" x14ac:dyDescent="0.25">
      <c r="A443">
        <v>23</v>
      </c>
      <c r="B443">
        <v>73</v>
      </c>
      <c r="C443">
        <v>6195</v>
      </c>
      <c r="D443">
        <v>1</v>
      </c>
      <c r="E443">
        <v>135</v>
      </c>
      <c r="F443" t="s">
        <v>851</v>
      </c>
      <c r="G443" t="s">
        <v>852</v>
      </c>
      <c r="H443">
        <v>135</v>
      </c>
      <c r="I443" t="s">
        <v>851</v>
      </c>
      <c r="J443" t="s">
        <v>852</v>
      </c>
      <c r="K443" t="s">
        <v>49</v>
      </c>
      <c r="L443">
        <v>1</v>
      </c>
      <c r="M443">
        <v>1</v>
      </c>
    </row>
    <row r="444" spans="1:13" x14ac:dyDescent="0.25">
      <c r="A444">
        <v>24</v>
      </c>
      <c r="B444">
        <v>5103550</v>
      </c>
      <c r="C444">
        <v>6196</v>
      </c>
      <c r="D444">
        <v>1</v>
      </c>
      <c r="E444">
        <v>861</v>
      </c>
      <c r="F444" t="s">
        <v>814</v>
      </c>
      <c r="G444" t="s">
        <v>815</v>
      </c>
      <c r="H444">
        <v>861</v>
      </c>
      <c r="I444" t="s">
        <v>814</v>
      </c>
      <c r="J444" t="s">
        <v>815</v>
      </c>
      <c r="K444" t="s">
        <v>49</v>
      </c>
      <c r="L444">
        <v>300</v>
      </c>
      <c r="M444">
        <v>300</v>
      </c>
    </row>
    <row r="445" spans="1:13" x14ac:dyDescent="0.25">
      <c r="A445">
        <v>24</v>
      </c>
      <c r="B445">
        <v>5103550</v>
      </c>
      <c r="C445">
        <v>6196</v>
      </c>
      <c r="D445">
        <v>2</v>
      </c>
      <c r="E445">
        <v>864</v>
      </c>
      <c r="F445" t="s">
        <v>818</v>
      </c>
      <c r="G445" t="s">
        <v>819</v>
      </c>
      <c r="H445">
        <v>864</v>
      </c>
      <c r="I445" t="s">
        <v>818</v>
      </c>
      <c r="J445" t="s">
        <v>819</v>
      </c>
      <c r="K445" t="s">
        <v>49</v>
      </c>
      <c r="L445">
        <v>200</v>
      </c>
      <c r="M445">
        <v>200</v>
      </c>
    </row>
    <row r="446" spans="1:13" x14ac:dyDescent="0.25">
      <c r="A446">
        <v>9</v>
      </c>
      <c r="B446">
        <v>9195110</v>
      </c>
      <c r="C446">
        <v>6197</v>
      </c>
      <c r="D446">
        <v>1</v>
      </c>
      <c r="E446">
        <v>970</v>
      </c>
      <c r="F446" t="s">
        <v>436</v>
      </c>
      <c r="G446" t="s">
        <v>437</v>
      </c>
      <c r="H446">
        <v>498</v>
      </c>
      <c r="I446" t="s">
        <v>521</v>
      </c>
      <c r="J446" t="s">
        <v>522</v>
      </c>
      <c r="K446" t="s">
        <v>853</v>
      </c>
      <c r="L446">
        <v>1</v>
      </c>
      <c r="M446">
        <v>1</v>
      </c>
    </row>
    <row r="447" spans="1:13" x14ac:dyDescent="0.25">
      <c r="A447">
        <v>24</v>
      </c>
      <c r="B447">
        <v>5103550</v>
      </c>
      <c r="C447">
        <v>6198</v>
      </c>
      <c r="D447">
        <v>1</v>
      </c>
      <c r="E447">
        <v>675</v>
      </c>
      <c r="F447" t="s">
        <v>310</v>
      </c>
      <c r="G447" t="s">
        <v>311</v>
      </c>
      <c r="H447">
        <v>675</v>
      </c>
      <c r="I447" t="s">
        <v>310</v>
      </c>
      <c r="J447" t="s">
        <v>311</v>
      </c>
      <c r="K447" t="s">
        <v>49</v>
      </c>
      <c r="L447">
        <v>80</v>
      </c>
      <c r="M447">
        <v>80</v>
      </c>
    </row>
    <row r="448" spans="1:13" x14ac:dyDescent="0.25">
      <c r="A448">
        <v>24</v>
      </c>
      <c r="B448">
        <v>5103550</v>
      </c>
      <c r="C448">
        <v>6198</v>
      </c>
      <c r="D448">
        <v>2</v>
      </c>
      <c r="E448">
        <v>892</v>
      </c>
      <c r="F448" t="s">
        <v>142</v>
      </c>
      <c r="G448" t="s">
        <v>143</v>
      </c>
      <c r="H448">
        <v>892</v>
      </c>
      <c r="I448" t="s">
        <v>142</v>
      </c>
      <c r="J448" t="s">
        <v>143</v>
      </c>
      <c r="K448" t="s">
        <v>49</v>
      </c>
      <c r="L448">
        <v>110</v>
      </c>
      <c r="M448">
        <v>110</v>
      </c>
    </row>
    <row r="449" spans="1:13" x14ac:dyDescent="0.25">
      <c r="A449">
        <v>9</v>
      </c>
      <c r="B449">
        <v>9195110</v>
      </c>
      <c r="C449">
        <v>6199</v>
      </c>
      <c r="D449">
        <v>1</v>
      </c>
      <c r="E449">
        <v>498</v>
      </c>
      <c r="F449" t="s">
        <v>521</v>
      </c>
      <c r="G449" t="s">
        <v>522</v>
      </c>
      <c r="H449">
        <v>498</v>
      </c>
      <c r="I449" t="s">
        <v>521</v>
      </c>
      <c r="J449" t="s">
        <v>522</v>
      </c>
      <c r="K449" t="s">
        <v>853</v>
      </c>
      <c r="L449">
        <v>1</v>
      </c>
      <c r="M449">
        <v>1</v>
      </c>
    </row>
    <row r="450" spans="1:13" x14ac:dyDescent="0.25">
      <c r="A450">
        <v>9</v>
      </c>
      <c r="B450">
        <v>9197926</v>
      </c>
      <c r="C450">
        <v>6201</v>
      </c>
      <c r="D450">
        <v>1</v>
      </c>
      <c r="E450">
        <v>778</v>
      </c>
      <c r="F450" t="s">
        <v>854</v>
      </c>
      <c r="G450" t="s">
        <v>855</v>
      </c>
      <c r="H450">
        <v>778</v>
      </c>
      <c r="I450" t="s">
        <v>854</v>
      </c>
      <c r="J450" t="s">
        <v>855</v>
      </c>
      <c r="K450" t="s">
        <v>49</v>
      </c>
      <c r="L450">
        <v>12</v>
      </c>
      <c r="M450">
        <v>12</v>
      </c>
    </row>
    <row r="451" spans="1:13" x14ac:dyDescent="0.25">
      <c r="A451">
        <v>9</v>
      </c>
      <c r="B451">
        <v>9197926</v>
      </c>
      <c r="C451">
        <v>6201</v>
      </c>
      <c r="D451">
        <v>2</v>
      </c>
      <c r="E451">
        <v>778</v>
      </c>
      <c r="F451" t="s">
        <v>854</v>
      </c>
      <c r="G451" t="s">
        <v>855</v>
      </c>
      <c r="H451">
        <v>778</v>
      </c>
      <c r="I451" t="s">
        <v>854</v>
      </c>
      <c r="J451" t="s">
        <v>855</v>
      </c>
      <c r="K451" t="s">
        <v>49</v>
      </c>
      <c r="L451">
        <v>12</v>
      </c>
      <c r="M451">
        <v>12</v>
      </c>
    </row>
    <row r="452" spans="1:13" x14ac:dyDescent="0.25">
      <c r="A452">
        <v>9</v>
      </c>
      <c r="B452">
        <v>9197926</v>
      </c>
      <c r="C452">
        <v>6201</v>
      </c>
      <c r="D452">
        <v>3</v>
      </c>
      <c r="E452">
        <v>778</v>
      </c>
      <c r="F452" t="s">
        <v>854</v>
      </c>
      <c r="G452" t="s">
        <v>855</v>
      </c>
      <c r="H452">
        <v>778</v>
      </c>
      <c r="I452" t="s">
        <v>854</v>
      </c>
      <c r="J452" t="s">
        <v>855</v>
      </c>
      <c r="K452" t="s">
        <v>49</v>
      </c>
      <c r="L452">
        <v>12</v>
      </c>
      <c r="M452">
        <v>12</v>
      </c>
    </row>
    <row r="453" spans="1:13" x14ac:dyDescent="0.25">
      <c r="A453">
        <v>9</v>
      </c>
      <c r="B453">
        <v>9197926</v>
      </c>
      <c r="C453">
        <v>6201</v>
      </c>
      <c r="D453">
        <v>4</v>
      </c>
      <c r="E453">
        <v>778</v>
      </c>
      <c r="F453" t="s">
        <v>854</v>
      </c>
      <c r="G453" t="s">
        <v>855</v>
      </c>
      <c r="H453">
        <v>778</v>
      </c>
      <c r="I453" t="s">
        <v>854</v>
      </c>
      <c r="J453" t="s">
        <v>855</v>
      </c>
      <c r="K453" t="s">
        <v>49</v>
      </c>
      <c r="L453">
        <v>12</v>
      </c>
      <c r="M453">
        <v>12</v>
      </c>
    </row>
    <row r="454" spans="1:13" x14ac:dyDescent="0.25">
      <c r="A454">
        <v>9</v>
      </c>
      <c r="B454">
        <v>9197926</v>
      </c>
      <c r="C454">
        <v>6201</v>
      </c>
      <c r="D454">
        <v>5</v>
      </c>
      <c r="E454">
        <v>778</v>
      </c>
      <c r="F454" t="s">
        <v>854</v>
      </c>
      <c r="G454" t="s">
        <v>855</v>
      </c>
      <c r="H454">
        <v>778</v>
      </c>
      <c r="I454" t="s">
        <v>854</v>
      </c>
      <c r="J454" t="s">
        <v>855</v>
      </c>
      <c r="K454" t="s">
        <v>49</v>
      </c>
      <c r="L454">
        <v>12</v>
      </c>
      <c r="M454">
        <v>12</v>
      </c>
    </row>
    <row r="455" spans="1:13" x14ac:dyDescent="0.25">
      <c r="A455">
        <v>9</v>
      </c>
      <c r="B455">
        <v>9197926</v>
      </c>
      <c r="C455">
        <v>6201</v>
      </c>
      <c r="D455">
        <v>6</v>
      </c>
      <c r="E455">
        <v>778</v>
      </c>
      <c r="F455" t="s">
        <v>854</v>
      </c>
      <c r="G455" t="s">
        <v>855</v>
      </c>
      <c r="H455">
        <v>778</v>
      </c>
      <c r="I455" t="s">
        <v>854</v>
      </c>
      <c r="J455" t="s">
        <v>855</v>
      </c>
      <c r="K455" t="s">
        <v>49</v>
      </c>
      <c r="L455">
        <v>12</v>
      </c>
      <c r="M455">
        <v>12</v>
      </c>
    </row>
    <row r="456" spans="1:13" x14ac:dyDescent="0.25">
      <c r="A456">
        <v>9</v>
      </c>
      <c r="B456">
        <v>9197926</v>
      </c>
      <c r="C456">
        <v>6201</v>
      </c>
      <c r="D456">
        <v>7</v>
      </c>
      <c r="E456">
        <v>778</v>
      </c>
      <c r="F456" t="s">
        <v>854</v>
      </c>
      <c r="G456" t="s">
        <v>855</v>
      </c>
      <c r="H456">
        <v>778</v>
      </c>
      <c r="I456" t="s">
        <v>854</v>
      </c>
      <c r="J456" t="s">
        <v>855</v>
      </c>
      <c r="K456" t="s">
        <v>49</v>
      </c>
      <c r="L456">
        <v>12</v>
      </c>
      <c r="M456">
        <v>12</v>
      </c>
    </row>
    <row r="457" spans="1:13" x14ac:dyDescent="0.25">
      <c r="A457">
        <v>9</v>
      </c>
      <c r="B457">
        <v>9197926</v>
      </c>
      <c r="C457">
        <v>6201</v>
      </c>
      <c r="D457">
        <v>8</v>
      </c>
      <c r="E457">
        <v>778</v>
      </c>
      <c r="F457" t="s">
        <v>854</v>
      </c>
      <c r="G457" t="s">
        <v>855</v>
      </c>
      <c r="H457">
        <v>778</v>
      </c>
      <c r="I457" t="s">
        <v>854</v>
      </c>
      <c r="J457" t="s">
        <v>855</v>
      </c>
      <c r="K457" t="s">
        <v>49</v>
      </c>
      <c r="L457">
        <v>12</v>
      </c>
      <c r="M457">
        <v>12</v>
      </c>
    </row>
    <row r="458" spans="1:13" x14ac:dyDescent="0.25">
      <c r="A458">
        <v>9</v>
      </c>
      <c r="B458">
        <v>9197926</v>
      </c>
      <c r="C458">
        <v>6201</v>
      </c>
      <c r="D458">
        <v>9</v>
      </c>
      <c r="E458">
        <v>778</v>
      </c>
      <c r="F458" t="s">
        <v>854</v>
      </c>
      <c r="G458" t="s">
        <v>855</v>
      </c>
      <c r="H458">
        <v>778</v>
      </c>
      <c r="I458" t="s">
        <v>854</v>
      </c>
      <c r="J458" t="s">
        <v>855</v>
      </c>
      <c r="K458" t="s">
        <v>49</v>
      </c>
      <c r="L458">
        <v>12</v>
      </c>
      <c r="M458">
        <v>12</v>
      </c>
    </row>
    <row r="459" spans="1:13" x14ac:dyDescent="0.25">
      <c r="A459">
        <v>9</v>
      </c>
      <c r="B459">
        <v>9197926</v>
      </c>
      <c r="C459">
        <v>6201</v>
      </c>
      <c r="D459">
        <v>10</v>
      </c>
      <c r="E459">
        <v>778</v>
      </c>
      <c r="F459" t="s">
        <v>854</v>
      </c>
      <c r="G459" t="s">
        <v>855</v>
      </c>
      <c r="H459">
        <v>778</v>
      </c>
      <c r="I459" t="s">
        <v>854</v>
      </c>
      <c r="J459" t="s">
        <v>855</v>
      </c>
      <c r="K459" t="s">
        <v>49</v>
      </c>
      <c r="L459">
        <v>12</v>
      </c>
      <c r="M459">
        <v>12</v>
      </c>
    </row>
    <row r="460" spans="1:13" x14ac:dyDescent="0.25">
      <c r="A460">
        <v>9</v>
      </c>
      <c r="B460">
        <v>9197926</v>
      </c>
      <c r="C460">
        <v>6201</v>
      </c>
      <c r="D460">
        <v>11</v>
      </c>
      <c r="E460">
        <v>778</v>
      </c>
      <c r="F460" t="s">
        <v>854</v>
      </c>
      <c r="G460" t="s">
        <v>855</v>
      </c>
      <c r="H460">
        <v>778</v>
      </c>
      <c r="I460" t="s">
        <v>854</v>
      </c>
      <c r="J460" t="s">
        <v>855</v>
      </c>
      <c r="K460" t="s">
        <v>49</v>
      </c>
      <c r="L460">
        <v>12</v>
      </c>
      <c r="M460">
        <v>12</v>
      </c>
    </row>
    <row r="461" spans="1:13" x14ac:dyDescent="0.25">
      <c r="A461">
        <v>9</v>
      </c>
      <c r="B461">
        <v>9197926</v>
      </c>
      <c r="C461">
        <v>6201</v>
      </c>
      <c r="D461">
        <v>12</v>
      </c>
      <c r="E461">
        <v>778</v>
      </c>
      <c r="F461" t="s">
        <v>854</v>
      </c>
      <c r="G461" t="s">
        <v>855</v>
      </c>
      <c r="H461">
        <v>778</v>
      </c>
      <c r="I461" t="s">
        <v>854</v>
      </c>
      <c r="J461" t="s">
        <v>855</v>
      </c>
      <c r="K461" t="s">
        <v>49</v>
      </c>
      <c r="L461">
        <v>12</v>
      </c>
      <c r="M461">
        <v>12</v>
      </c>
    </row>
    <row r="462" spans="1:13" x14ac:dyDescent="0.25">
      <c r="A462">
        <v>9</v>
      </c>
      <c r="B462">
        <v>9197926</v>
      </c>
      <c r="C462">
        <v>6201</v>
      </c>
      <c r="D462">
        <v>13</v>
      </c>
      <c r="E462">
        <v>778</v>
      </c>
      <c r="F462" t="s">
        <v>854</v>
      </c>
      <c r="G462" t="s">
        <v>855</v>
      </c>
      <c r="H462">
        <v>778</v>
      </c>
      <c r="I462" t="s">
        <v>854</v>
      </c>
      <c r="J462" t="s">
        <v>855</v>
      </c>
      <c r="K462" t="s">
        <v>49</v>
      </c>
      <c r="L462">
        <v>12</v>
      </c>
      <c r="M462">
        <v>12</v>
      </c>
    </row>
    <row r="463" spans="1:13" x14ac:dyDescent="0.25">
      <c r="A463">
        <v>9</v>
      </c>
      <c r="B463">
        <v>9197926</v>
      </c>
      <c r="C463">
        <v>6201</v>
      </c>
      <c r="D463">
        <v>14</v>
      </c>
      <c r="E463">
        <v>778</v>
      </c>
      <c r="F463" t="s">
        <v>854</v>
      </c>
      <c r="G463" t="s">
        <v>855</v>
      </c>
      <c r="H463">
        <v>778</v>
      </c>
      <c r="I463" t="s">
        <v>854</v>
      </c>
      <c r="J463" t="s">
        <v>855</v>
      </c>
      <c r="K463" t="s">
        <v>49</v>
      </c>
      <c r="L463">
        <v>12</v>
      </c>
      <c r="M463">
        <v>12</v>
      </c>
    </row>
    <row r="464" spans="1:13" x14ac:dyDescent="0.25">
      <c r="A464">
        <v>9</v>
      </c>
      <c r="B464">
        <v>9197926</v>
      </c>
      <c r="C464">
        <v>6201</v>
      </c>
      <c r="D464">
        <v>15</v>
      </c>
      <c r="E464">
        <v>778</v>
      </c>
      <c r="F464" t="s">
        <v>854</v>
      </c>
      <c r="G464" t="s">
        <v>855</v>
      </c>
      <c r="H464">
        <v>778</v>
      </c>
      <c r="I464" t="s">
        <v>854</v>
      </c>
      <c r="J464" t="s">
        <v>855</v>
      </c>
      <c r="K464" t="s">
        <v>49</v>
      </c>
      <c r="L464">
        <v>12</v>
      </c>
      <c r="M464">
        <v>12</v>
      </c>
    </row>
    <row r="465" spans="1:13" x14ac:dyDescent="0.25">
      <c r="A465">
        <v>9</v>
      </c>
      <c r="B465">
        <v>9197927</v>
      </c>
      <c r="C465">
        <v>6202</v>
      </c>
      <c r="D465">
        <v>1</v>
      </c>
      <c r="E465">
        <v>778</v>
      </c>
      <c r="F465" t="s">
        <v>854</v>
      </c>
      <c r="G465" t="s">
        <v>855</v>
      </c>
      <c r="H465">
        <v>778</v>
      </c>
      <c r="I465" t="s">
        <v>854</v>
      </c>
      <c r="J465" t="s">
        <v>855</v>
      </c>
      <c r="K465" t="s">
        <v>49</v>
      </c>
      <c r="L465">
        <v>12</v>
      </c>
      <c r="M465">
        <v>12</v>
      </c>
    </row>
    <row r="466" spans="1:13" x14ac:dyDescent="0.25">
      <c r="A466">
        <v>9</v>
      </c>
      <c r="B466">
        <v>9198487</v>
      </c>
      <c r="C466">
        <v>6203</v>
      </c>
      <c r="D466">
        <v>1</v>
      </c>
      <c r="E466">
        <v>774</v>
      </c>
      <c r="F466" t="s">
        <v>240</v>
      </c>
      <c r="G466" t="s">
        <v>241</v>
      </c>
      <c r="H466">
        <v>774</v>
      </c>
      <c r="I466" t="s">
        <v>240</v>
      </c>
      <c r="J466" t="s">
        <v>241</v>
      </c>
      <c r="K466" t="s">
        <v>49</v>
      </c>
      <c r="L466">
        <v>20</v>
      </c>
      <c r="M466">
        <v>20</v>
      </c>
    </row>
    <row r="467" spans="1:13" x14ac:dyDescent="0.25">
      <c r="A467">
        <v>6</v>
      </c>
      <c r="B467">
        <v>957134</v>
      </c>
      <c r="C467">
        <v>6204</v>
      </c>
      <c r="D467">
        <v>1</v>
      </c>
      <c r="E467">
        <v>180</v>
      </c>
      <c r="F467" t="s">
        <v>68</v>
      </c>
      <c r="G467" t="s">
        <v>69</v>
      </c>
      <c r="H467">
        <v>180</v>
      </c>
      <c r="I467" t="s">
        <v>68</v>
      </c>
      <c r="J467" t="s">
        <v>69</v>
      </c>
      <c r="K467" t="s">
        <v>856</v>
      </c>
      <c r="L467">
        <v>1</v>
      </c>
      <c r="M467">
        <v>1</v>
      </c>
    </row>
    <row r="468" spans="1:13" x14ac:dyDescent="0.25">
      <c r="A468">
        <v>8</v>
      </c>
      <c r="B468">
        <v>6150420338</v>
      </c>
      <c r="C468">
        <v>6205</v>
      </c>
      <c r="D468">
        <v>2</v>
      </c>
      <c r="E468">
        <v>822</v>
      </c>
      <c r="F468" t="s">
        <v>857</v>
      </c>
      <c r="G468" t="s">
        <v>858</v>
      </c>
      <c r="H468">
        <v>822</v>
      </c>
      <c r="I468" t="s">
        <v>857</v>
      </c>
      <c r="J468" t="s">
        <v>858</v>
      </c>
      <c r="K468" t="s">
        <v>859</v>
      </c>
      <c r="L468">
        <v>90</v>
      </c>
      <c r="M468">
        <v>90</v>
      </c>
    </row>
    <row r="469" spans="1:13" x14ac:dyDescent="0.25">
      <c r="A469">
        <v>8</v>
      </c>
      <c r="B469">
        <v>4450422392</v>
      </c>
      <c r="C469">
        <v>6205</v>
      </c>
      <c r="D469">
        <v>1</v>
      </c>
      <c r="E469">
        <v>824</v>
      </c>
      <c r="F469" t="s">
        <v>134</v>
      </c>
      <c r="G469" t="s">
        <v>135</v>
      </c>
      <c r="H469">
        <v>824</v>
      </c>
      <c r="I469" t="s">
        <v>134</v>
      </c>
      <c r="J469" t="s">
        <v>135</v>
      </c>
      <c r="K469" t="s">
        <v>231</v>
      </c>
      <c r="L469">
        <v>65</v>
      </c>
      <c r="M469">
        <v>65</v>
      </c>
    </row>
    <row r="470" spans="1:13" x14ac:dyDescent="0.25">
      <c r="A470">
        <v>8</v>
      </c>
      <c r="B470">
        <v>6150420338</v>
      </c>
      <c r="C470">
        <v>6206</v>
      </c>
      <c r="D470">
        <v>1</v>
      </c>
      <c r="E470">
        <v>822</v>
      </c>
      <c r="F470" t="s">
        <v>857</v>
      </c>
      <c r="G470" t="s">
        <v>858</v>
      </c>
      <c r="H470">
        <v>822</v>
      </c>
      <c r="I470" t="s">
        <v>857</v>
      </c>
      <c r="J470" t="s">
        <v>858</v>
      </c>
      <c r="K470" t="s">
        <v>859</v>
      </c>
      <c r="L470">
        <v>104</v>
      </c>
      <c r="M470">
        <v>104</v>
      </c>
    </row>
    <row r="471" spans="1:13" x14ac:dyDescent="0.25">
      <c r="A471">
        <v>8</v>
      </c>
      <c r="B471">
        <v>6150420338</v>
      </c>
      <c r="C471">
        <v>6207</v>
      </c>
      <c r="D471">
        <v>1</v>
      </c>
      <c r="E471">
        <v>822</v>
      </c>
      <c r="F471" t="s">
        <v>857</v>
      </c>
      <c r="G471" t="s">
        <v>858</v>
      </c>
      <c r="H471">
        <v>822</v>
      </c>
      <c r="I471" t="s">
        <v>857</v>
      </c>
      <c r="J471" t="s">
        <v>858</v>
      </c>
      <c r="K471" t="s">
        <v>859</v>
      </c>
      <c r="L471">
        <v>208</v>
      </c>
      <c r="M471">
        <v>104</v>
      </c>
    </row>
    <row r="472" spans="1:13" x14ac:dyDescent="0.25">
      <c r="A472">
        <v>8</v>
      </c>
      <c r="B472">
        <v>9450545444</v>
      </c>
      <c r="C472">
        <v>6208</v>
      </c>
      <c r="D472">
        <v>2</v>
      </c>
      <c r="E472">
        <v>632</v>
      </c>
      <c r="F472" t="s">
        <v>102</v>
      </c>
      <c r="G472" t="s">
        <v>103</v>
      </c>
      <c r="H472">
        <v>632</v>
      </c>
      <c r="I472" t="s">
        <v>102</v>
      </c>
      <c r="J472" t="s">
        <v>103</v>
      </c>
      <c r="K472" t="s">
        <v>616</v>
      </c>
      <c r="L472">
        <v>1</v>
      </c>
      <c r="M472">
        <v>1</v>
      </c>
    </row>
    <row r="473" spans="1:13" x14ac:dyDescent="0.25">
      <c r="A473">
        <v>8</v>
      </c>
      <c r="B473">
        <v>9450545443</v>
      </c>
      <c r="C473">
        <v>6208</v>
      </c>
      <c r="D473">
        <v>1</v>
      </c>
      <c r="E473">
        <v>632</v>
      </c>
      <c r="F473" t="s">
        <v>102</v>
      </c>
      <c r="G473" t="s">
        <v>103</v>
      </c>
      <c r="H473">
        <v>632</v>
      </c>
      <c r="I473" t="s">
        <v>102</v>
      </c>
      <c r="J473" t="s">
        <v>103</v>
      </c>
      <c r="K473" t="s">
        <v>616</v>
      </c>
      <c r="L473">
        <v>1</v>
      </c>
      <c r="M473">
        <v>1</v>
      </c>
    </row>
    <row r="474" spans="1:13" x14ac:dyDescent="0.25">
      <c r="A474">
        <v>4</v>
      </c>
      <c r="B474">
        <v>9669393</v>
      </c>
      <c r="C474">
        <v>6209</v>
      </c>
      <c r="D474">
        <v>14</v>
      </c>
      <c r="E474">
        <v>713</v>
      </c>
      <c r="F474" t="s">
        <v>860</v>
      </c>
      <c r="G474" t="s">
        <v>861</v>
      </c>
      <c r="H474">
        <v>713</v>
      </c>
      <c r="I474" t="s">
        <v>860</v>
      </c>
      <c r="J474" t="s">
        <v>861</v>
      </c>
      <c r="K474" t="s">
        <v>862</v>
      </c>
      <c r="L474">
        <v>1</v>
      </c>
      <c r="M474">
        <v>1</v>
      </c>
    </row>
    <row r="475" spans="1:13" x14ac:dyDescent="0.25">
      <c r="A475">
        <v>4</v>
      </c>
      <c r="B475">
        <v>9669579</v>
      </c>
      <c r="C475">
        <v>6209</v>
      </c>
      <c r="D475">
        <v>15</v>
      </c>
      <c r="E475">
        <v>494</v>
      </c>
      <c r="F475" t="s">
        <v>285</v>
      </c>
      <c r="G475" t="s">
        <v>286</v>
      </c>
      <c r="H475">
        <v>494</v>
      </c>
      <c r="I475" t="s">
        <v>285</v>
      </c>
      <c r="J475" t="s">
        <v>286</v>
      </c>
      <c r="K475" t="s">
        <v>863</v>
      </c>
      <c r="L475">
        <v>1</v>
      </c>
      <c r="M475">
        <v>1</v>
      </c>
    </row>
    <row r="476" spans="1:13" x14ac:dyDescent="0.25">
      <c r="A476">
        <v>4</v>
      </c>
      <c r="B476">
        <v>9670157</v>
      </c>
      <c r="C476">
        <v>6209</v>
      </c>
      <c r="D476">
        <v>16</v>
      </c>
      <c r="E476">
        <v>632</v>
      </c>
      <c r="F476" t="s">
        <v>102</v>
      </c>
      <c r="G476" t="s">
        <v>103</v>
      </c>
      <c r="H476">
        <v>632</v>
      </c>
      <c r="I476" t="s">
        <v>102</v>
      </c>
      <c r="J476" t="s">
        <v>103</v>
      </c>
      <c r="K476" t="s">
        <v>864</v>
      </c>
      <c r="L476">
        <v>1</v>
      </c>
      <c r="M476">
        <v>1</v>
      </c>
    </row>
    <row r="477" spans="1:13" x14ac:dyDescent="0.25">
      <c r="A477">
        <v>4</v>
      </c>
      <c r="B477">
        <v>9670925</v>
      </c>
      <c r="C477">
        <v>6209</v>
      </c>
      <c r="D477">
        <v>17</v>
      </c>
      <c r="E477">
        <v>970</v>
      </c>
      <c r="F477" t="s">
        <v>436</v>
      </c>
      <c r="G477" t="s">
        <v>437</v>
      </c>
      <c r="H477">
        <v>506</v>
      </c>
      <c r="I477" t="s">
        <v>92</v>
      </c>
      <c r="J477" t="s">
        <v>93</v>
      </c>
      <c r="K477" t="s">
        <v>865</v>
      </c>
      <c r="L477">
        <v>1</v>
      </c>
      <c r="M477">
        <v>1</v>
      </c>
    </row>
    <row r="478" spans="1:13" x14ac:dyDescent="0.25">
      <c r="A478">
        <v>4</v>
      </c>
      <c r="B478">
        <v>9671287</v>
      </c>
      <c r="C478">
        <v>6209</v>
      </c>
      <c r="D478">
        <v>18</v>
      </c>
      <c r="E478">
        <v>584</v>
      </c>
      <c r="F478" t="s">
        <v>96</v>
      </c>
      <c r="G478" t="s">
        <v>97</v>
      </c>
      <c r="H478">
        <v>584</v>
      </c>
      <c r="I478" t="s">
        <v>96</v>
      </c>
      <c r="J478" t="s">
        <v>97</v>
      </c>
      <c r="K478" t="s">
        <v>866</v>
      </c>
      <c r="L478">
        <v>1</v>
      </c>
      <c r="M478">
        <v>1</v>
      </c>
    </row>
    <row r="479" spans="1:13" x14ac:dyDescent="0.25">
      <c r="A479">
        <v>3</v>
      </c>
      <c r="B479">
        <v>50052296</v>
      </c>
      <c r="C479">
        <v>6257</v>
      </c>
      <c r="D479">
        <v>12</v>
      </c>
      <c r="E479">
        <v>824</v>
      </c>
      <c r="F479" t="s">
        <v>134</v>
      </c>
      <c r="G479" t="s">
        <v>135</v>
      </c>
      <c r="H479">
        <v>824</v>
      </c>
      <c r="I479" t="s">
        <v>134</v>
      </c>
      <c r="J479" t="s">
        <v>135</v>
      </c>
      <c r="K479" t="s">
        <v>867</v>
      </c>
      <c r="L479">
        <v>1</v>
      </c>
      <c r="M479">
        <v>1</v>
      </c>
    </row>
    <row r="480" spans="1:13" x14ac:dyDescent="0.25">
      <c r="A480">
        <v>3</v>
      </c>
      <c r="B480">
        <v>50052296</v>
      </c>
      <c r="C480">
        <v>6257</v>
      </c>
      <c r="D480">
        <v>13</v>
      </c>
      <c r="E480">
        <v>821</v>
      </c>
      <c r="F480" t="s">
        <v>132</v>
      </c>
      <c r="G480" t="s">
        <v>133</v>
      </c>
      <c r="H480">
        <v>821</v>
      </c>
      <c r="I480" t="s">
        <v>132</v>
      </c>
      <c r="J480" t="s">
        <v>133</v>
      </c>
      <c r="K480" t="s">
        <v>868</v>
      </c>
      <c r="L480">
        <v>1</v>
      </c>
      <c r="M480">
        <v>1</v>
      </c>
    </row>
    <row r="481" spans="1:13" x14ac:dyDescent="0.25">
      <c r="A481">
        <v>3</v>
      </c>
      <c r="B481">
        <v>50052249</v>
      </c>
      <c r="C481">
        <v>6257</v>
      </c>
      <c r="D481">
        <v>1</v>
      </c>
      <c r="E481">
        <v>506</v>
      </c>
      <c r="F481" t="s">
        <v>92</v>
      </c>
      <c r="G481" t="s">
        <v>93</v>
      </c>
      <c r="H481">
        <v>506</v>
      </c>
      <c r="I481" t="s">
        <v>92</v>
      </c>
      <c r="J481" t="s">
        <v>93</v>
      </c>
      <c r="K481" t="s">
        <v>869</v>
      </c>
      <c r="L481">
        <v>1</v>
      </c>
      <c r="M481">
        <v>0</v>
      </c>
    </row>
    <row r="482" spans="1:13" x14ac:dyDescent="0.25">
      <c r="A482">
        <v>3</v>
      </c>
      <c r="B482">
        <v>50052249</v>
      </c>
      <c r="C482">
        <v>6257</v>
      </c>
      <c r="D482">
        <v>6</v>
      </c>
      <c r="E482">
        <v>13</v>
      </c>
      <c r="F482" t="s">
        <v>62</v>
      </c>
      <c r="G482" t="s">
        <v>63</v>
      </c>
      <c r="H482">
        <v>13</v>
      </c>
      <c r="I482" t="s">
        <v>62</v>
      </c>
      <c r="J482" t="s">
        <v>63</v>
      </c>
      <c r="K482" t="s">
        <v>870</v>
      </c>
      <c r="L482">
        <v>1</v>
      </c>
      <c r="M482">
        <v>1</v>
      </c>
    </row>
    <row r="483" spans="1:13" x14ac:dyDescent="0.25">
      <c r="A483">
        <v>3</v>
      </c>
      <c r="B483">
        <v>50052250</v>
      </c>
      <c r="C483">
        <v>6257</v>
      </c>
      <c r="D483">
        <v>2</v>
      </c>
      <c r="E483">
        <v>506</v>
      </c>
      <c r="F483" t="s">
        <v>92</v>
      </c>
      <c r="G483" t="s">
        <v>93</v>
      </c>
      <c r="H483">
        <v>506</v>
      </c>
      <c r="I483" t="s">
        <v>92</v>
      </c>
      <c r="J483" t="s">
        <v>93</v>
      </c>
      <c r="K483" t="s">
        <v>871</v>
      </c>
      <c r="L483">
        <v>1</v>
      </c>
      <c r="M483">
        <v>0</v>
      </c>
    </row>
    <row r="484" spans="1:13" x14ac:dyDescent="0.25">
      <c r="A484">
        <v>3</v>
      </c>
      <c r="B484">
        <v>50052250</v>
      </c>
      <c r="C484">
        <v>6257</v>
      </c>
      <c r="D484">
        <v>3</v>
      </c>
      <c r="E484">
        <v>506</v>
      </c>
      <c r="F484" t="s">
        <v>92</v>
      </c>
      <c r="G484" t="s">
        <v>93</v>
      </c>
      <c r="H484">
        <v>506</v>
      </c>
      <c r="I484" t="s">
        <v>92</v>
      </c>
      <c r="J484" t="s">
        <v>93</v>
      </c>
      <c r="K484" t="s">
        <v>872</v>
      </c>
      <c r="L484">
        <v>1</v>
      </c>
      <c r="M484">
        <v>0</v>
      </c>
    </row>
    <row r="485" spans="1:13" x14ac:dyDescent="0.25">
      <c r="A485">
        <v>3</v>
      </c>
      <c r="B485">
        <v>50052250</v>
      </c>
      <c r="C485">
        <v>6257</v>
      </c>
      <c r="D485">
        <v>4</v>
      </c>
      <c r="E485">
        <v>638</v>
      </c>
      <c r="F485" t="s">
        <v>104</v>
      </c>
      <c r="G485" t="s">
        <v>105</v>
      </c>
      <c r="H485">
        <v>638</v>
      </c>
      <c r="I485" t="s">
        <v>104</v>
      </c>
      <c r="J485" t="s">
        <v>105</v>
      </c>
      <c r="K485" t="s">
        <v>873</v>
      </c>
      <c r="L485">
        <v>1</v>
      </c>
      <c r="M485">
        <v>1</v>
      </c>
    </row>
    <row r="486" spans="1:13" x14ac:dyDescent="0.25">
      <c r="A486">
        <v>3</v>
      </c>
      <c r="B486">
        <v>50052250</v>
      </c>
      <c r="C486">
        <v>6257</v>
      </c>
      <c r="D486">
        <v>5</v>
      </c>
      <c r="E486">
        <v>638</v>
      </c>
      <c r="F486" t="s">
        <v>104</v>
      </c>
      <c r="G486" t="s">
        <v>105</v>
      </c>
      <c r="H486">
        <v>638</v>
      </c>
      <c r="I486" t="s">
        <v>104</v>
      </c>
      <c r="J486" t="s">
        <v>105</v>
      </c>
      <c r="K486" t="s">
        <v>874</v>
      </c>
      <c r="L486">
        <v>1</v>
      </c>
      <c r="M486">
        <v>1</v>
      </c>
    </row>
    <row r="487" spans="1:13" x14ac:dyDescent="0.25">
      <c r="A487">
        <v>3</v>
      </c>
      <c r="B487">
        <v>50052250</v>
      </c>
      <c r="C487">
        <v>6257</v>
      </c>
      <c r="D487">
        <v>7</v>
      </c>
      <c r="E487">
        <v>409</v>
      </c>
      <c r="F487" t="s">
        <v>84</v>
      </c>
      <c r="G487" t="s">
        <v>85</v>
      </c>
      <c r="H487">
        <v>409</v>
      </c>
      <c r="I487" t="s">
        <v>84</v>
      </c>
      <c r="J487" t="s">
        <v>85</v>
      </c>
      <c r="K487" t="s">
        <v>875</v>
      </c>
      <c r="L487">
        <v>1</v>
      </c>
      <c r="M487">
        <v>1</v>
      </c>
    </row>
    <row r="488" spans="1:13" x14ac:dyDescent="0.25">
      <c r="A488">
        <v>8</v>
      </c>
      <c r="B488">
        <v>4450422391</v>
      </c>
      <c r="C488">
        <v>6258</v>
      </c>
      <c r="D488">
        <v>1</v>
      </c>
      <c r="E488">
        <v>1094</v>
      </c>
      <c r="F488" t="s">
        <v>876</v>
      </c>
      <c r="G488" t="s">
        <v>877</v>
      </c>
      <c r="H488">
        <v>655</v>
      </c>
      <c r="I488" t="s">
        <v>384</v>
      </c>
      <c r="J488" t="s">
        <v>385</v>
      </c>
      <c r="K488" t="s">
        <v>386</v>
      </c>
      <c r="L488">
        <v>4</v>
      </c>
      <c r="M488">
        <v>4</v>
      </c>
    </row>
    <row r="489" spans="1:13" x14ac:dyDescent="0.25">
      <c r="A489">
        <v>8</v>
      </c>
      <c r="B489">
        <v>9450545633</v>
      </c>
      <c r="C489">
        <v>6259</v>
      </c>
      <c r="D489">
        <v>1</v>
      </c>
      <c r="E489">
        <v>404</v>
      </c>
      <c r="F489" t="s">
        <v>80</v>
      </c>
      <c r="G489" t="s">
        <v>81</v>
      </c>
      <c r="H489">
        <v>404</v>
      </c>
      <c r="I489" t="s">
        <v>80</v>
      </c>
      <c r="J489" t="s">
        <v>81</v>
      </c>
      <c r="K489" t="s">
        <v>833</v>
      </c>
      <c r="L489">
        <v>1</v>
      </c>
      <c r="M489">
        <v>1</v>
      </c>
    </row>
    <row r="490" spans="1:13" x14ac:dyDescent="0.25">
      <c r="A490">
        <v>8</v>
      </c>
      <c r="B490">
        <v>9450545643</v>
      </c>
      <c r="C490">
        <v>6259</v>
      </c>
      <c r="D490">
        <v>2</v>
      </c>
      <c r="E490">
        <v>735</v>
      </c>
      <c r="F490" t="s">
        <v>126</v>
      </c>
      <c r="G490" t="s">
        <v>127</v>
      </c>
      <c r="H490">
        <v>735</v>
      </c>
      <c r="I490" t="s">
        <v>126</v>
      </c>
      <c r="J490" t="s">
        <v>127</v>
      </c>
      <c r="K490" t="s">
        <v>835</v>
      </c>
      <c r="L490">
        <v>1</v>
      </c>
      <c r="M490">
        <v>1</v>
      </c>
    </row>
    <row r="491" spans="1:13" x14ac:dyDescent="0.25">
      <c r="A491">
        <v>8</v>
      </c>
      <c r="B491">
        <v>9450545648</v>
      </c>
      <c r="C491">
        <v>6260</v>
      </c>
      <c r="D491">
        <v>1</v>
      </c>
      <c r="E491">
        <v>1099</v>
      </c>
      <c r="F491" t="s">
        <v>878</v>
      </c>
      <c r="G491" t="s">
        <v>879</v>
      </c>
      <c r="H491">
        <v>766</v>
      </c>
      <c r="I491" t="s">
        <v>880</v>
      </c>
      <c r="J491" t="s">
        <v>881</v>
      </c>
      <c r="K491" t="s">
        <v>882</v>
      </c>
      <c r="L491">
        <v>4</v>
      </c>
      <c r="M491">
        <v>4</v>
      </c>
    </row>
    <row r="492" spans="1:13" x14ac:dyDescent="0.25">
      <c r="A492">
        <v>8</v>
      </c>
      <c r="B492">
        <v>9450545648</v>
      </c>
      <c r="C492">
        <v>6260</v>
      </c>
      <c r="D492">
        <v>2</v>
      </c>
      <c r="E492">
        <v>853</v>
      </c>
      <c r="F492" t="s">
        <v>296</v>
      </c>
      <c r="G492" t="s">
        <v>297</v>
      </c>
      <c r="H492">
        <v>853</v>
      </c>
      <c r="I492" t="s">
        <v>296</v>
      </c>
      <c r="J492" t="s">
        <v>297</v>
      </c>
      <c r="K492" t="s">
        <v>883</v>
      </c>
      <c r="L492">
        <v>2</v>
      </c>
      <c r="M492">
        <v>2</v>
      </c>
    </row>
    <row r="493" spans="1:13" x14ac:dyDescent="0.25">
      <c r="A493">
        <v>8</v>
      </c>
      <c r="B493">
        <v>9450545648</v>
      </c>
      <c r="C493">
        <v>6260</v>
      </c>
      <c r="D493">
        <v>3</v>
      </c>
      <c r="E493">
        <v>900</v>
      </c>
      <c r="F493" t="s">
        <v>399</v>
      </c>
      <c r="G493" t="s">
        <v>400</v>
      </c>
      <c r="H493">
        <v>900</v>
      </c>
      <c r="I493" t="s">
        <v>399</v>
      </c>
      <c r="J493" t="s">
        <v>400</v>
      </c>
      <c r="K493" t="s">
        <v>884</v>
      </c>
      <c r="L493">
        <v>5</v>
      </c>
      <c r="M493">
        <v>5</v>
      </c>
    </row>
    <row r="494" spans="1:13" x14ac:dyDescent="0.25">
      <c r="A494">
        <v>8</v>
      </c>
      <c r="B494">
        <v>9450545648</v>
      </c>
      <c r="C494">
        <v>6260</v>
      </c>
      <c r="D494">
        <v>4</v>
      </c>
      <c r="E494">
        <v>901</v>
      </c>
      <c r="F494" t="s">
        <v>391</v>
      </c>
      <c r="G494" t="s">
        <v>392</v>
      </c>
      <c r="H494">
        <v>901</v>
      </c>
      <c r="I494" t="s">
        <v>391</v>
      </c>
      <c r="J494" t="s">
        <v>392</v>
      </c>
      <c r="K494" t="s">
        <v>885</v>
      </c>
      <c r="L494">
        <v>5</v>
      </c>
      <c r="M494">
        <v>5</v>
      </c>
    </row>
    <row r="495" spans="1:13" x14ac:dyDescent="0.25">
      <c r="A495">
        <v>9</v>
      </c>
      <c r="B495">
        <v>9202002</v>
      </c>
      <c r="C495">
        <v>6261</v>
      </c>
      <c r="D495">
        <v>1</v>
      </c>
      <c r="E495">
        <v>818</v>
      </c>
      <c r="F495" t="s">
        <v>130</v>
      </c>
      <c r="G495" t="s">
        <v>131</v>
      </c>
      <c r="H495">
        <v>818</v>
      </c>
      <c r="I495" t="s">
        <v>130</v>
      </c>
      <c r="J495" t="s">
        <v>131</v>
      </c>
      <c r="K495" t="s">
        <v>886</v>
      </c>
      <c r="L495">
        <v>1</v>
      </c>
      <c r="M495">
        <v>1</v>
      </c>
    </row>
    <row r="496" spans="1:13" x14ac:dyDescent="0.25">
      <c r="A496">
        <v>9</v>
      </c>
      <c r="B496">
        <v>9202477</v>
      </c>
      <c r="C496">
        <v>6261</v>
      </c>
      <c r="D496">
        <v>2</v>
      </c>
      <c r="E496">
        <v>700</v>
      </c>
      <c r="F496" t="s">
        <v>118</v>
      </c>
      <c r="G496" t="s">
        <v>119</v>
      </c>
      <c r="H496">
        <v>700</v>
      </c>
      <c r="I496" t="s">
        <v>118</v>
      </c>
      <c r="J496" t="s">
        <v>119</v>
      </c>
      <c r="K496" t="s">
        <v>887</v>
      </c>
      <c r="L496">
        <v>1</v>
      </c>
      <c r="M496">
        <v>1</v>
      </c>
    </row>
    <row r="497" spans="1:13" x14ac:dyDescent="0.25">
      <c r="A497">
        <v>9</v>
      </c>
      <c r="B497">
        <v>9202565</v>
      </c>
      <c r="C497">
        <v>6261</v>
      </c>
      <c r="D497">
        <v>3</v>
      </c>
      <c r="E497">
        <v>964</v>
      </c>
      <c r="F497" t="s">
        <v>326</v>
      </c>
      <c r="G497" t="s">
        <v>327</v>
      </c>
      <c r="H497">
        <v>964</v>
      </c>
      <c r="I497" t="s">
        <v>326</v>
      </c>
      <c r="J497" t="s">
        <v>327</v>
      </c>
      <c r="K497" t="s">
        <v>888</v>
      </c>
      <c r="L497">
        <v>1</v>
      </c>
      <c r="M497">
        <v>1</v>
      </c>
    </row>
    <row r="498" spans="1:13" x14ac:dyDescent="0.25">
      <c r="A498">
        <v>5</v>
      </c>
      <c r="B498">
        <v>6504046574</v>
      </c>
      <c r="C498">
        <v>6262</v>
      </c>
      <c r="D498">
        <v>3</v>
      </c>
      <c r="E498">
        <v>181</v>
      </c>
      <c r="F498" t="s">
        <v>164</v>
      </c>
      <c r="G498" t="s">
        <v>165</v>
      </c>
      <c r="H498">
        <v>181</v>
      </c>
      <c r="I498" t="s">
        <v>164</v>
      </c>
      <c r="J498" t="s">
        <v>165</v>
      </c>
      <c r="K498" t="s">
        <v>49</v>
      </c>
      <c r="L498">
        <v>1</v>
      </c>
      <c r="M498">
        <v>1</v>
      </c>
    </row>
    <row r="499" spans="1:13" x14ac:dyDescent="0.25">
      <c r="A499">
        <v>5</v>
      </c>
      <c r="B499">
        <v>6504046575</v>
      </c>
      <c r="C499">
        <v>6262</v>
      </c>
      <c r="D499">
        <v>4</v>
      </c>
      <c r="E499">
        <v>400</v>
      </c>
      <c r="F499" t="s">
        <v>74</v>
      </c>
      <c r="G499" t="s">
        <v>75</v>
      </c>
      <c r="H499">
        <v>400</v>
      </c>
      <c r="I499" t="s">
        <v>74</v>
      </c>
      <c r="J499" t="s">
        <v>75</v>
      </c>
      <c r="K499" t="s">
        <v>49</v>
      </c>
      <c r="L499">
        <v>1</v>
      </c>
      <c r="M499">
        <v>1</v>
      </c>
    </row>
    <row r="500" spans="1:13" x14ac:dyDescent="0.25">
      <c r="A500">
        <v>5</v>
      </c>
      <c r="B500">
        <v>6504047237</v>
      </c>
      <c r="C500">
        <v>6262</v>
      </c>
      <c r="D500">
        <v>5</v>
      </c>
      <c r="E500">
        <v>816</v>
      </c>
      <c r="F500" t="s">
        <v>229</v>
      </c>
      <c r="G500" t="s">
        <v>230</v>
      </c>
      <c r="H500">
        <v>816</v>
      </c>
      <c r="I500" t="s">
        <v>229</v>
      </c>
      <c r="J500" t="s">
        <v>230</v>
      </c>
      <c r="K500" t="s">
        <v>49</v>
      </c>
      <c r="L500">
        <v>1</v>
      </c>
      <c r="M500">
        <v>1</v>
      </c>
    </row>
    <row r="501" spans="1:13" x14ac:dyDescent="0.25">
      <c r="A501">
        <v>5</v>
      </c>
      <c r="B501">
        <v>6504040904</v>
      </c>
      <c r="C501">
        <v>6262</v>
      </c>
      <c r="D501">
        <v>1</v>
      </c>
      <c r="E501">
        <v>892</v>
      </c>
      <c r="F501" t="s">
        <v>142</v>
      </c>
      <c r="G501" t="s">
        <v>143</v>
      </c>
      <c r="H501">
        <v>746</v>
      </c>
      <c r="I501" t="s">
        <v>170</v>
      </c>
      <c r="J501" t="s">
        <v>171</v>
      </c>
      <c r="K501" t="s">
        <v>49</v>
      </c>
      <c r="L501">
        <v>1</v>
      </c>
      <c r="M501">
        <v>1</v>
      </c>
    </row>
    <row r="502" spans="1:13" x14ac:dyDescent="0.25">
      <c r="A502">
        <v>5</v>
      </c>
      <c r="B502">
        <v>6504044256</v>
      </c>
      <c r="C502">
        <v>6262</v>
      </c>
      <c r="D502">
        <v>2</v>
      </c>
      <c r="E502">
        <v>13</v>
      </c>
      <c r="F502" t="s">
        <v>62</v>
      </c>
      <c r="G502" t="s">
        <v>63</v>
      </c>
      <c r="H502">
        <v>13</v>
      </c>
      <c r="I502" t="s">
        <v>62</v>
      </c>
      <c r="J502" t="s">
        <v>63</v>
      </c>
      <c r="K502" t="s">
        <v>49</v>
      </c>
      <c r="L502">
        <v>1</v>
      </c>
      <c r="M502">
        <v>1</v>
      </c>
    </row>
    <row r="503" spans="1:13" x14ac:dyDescent="0.25">
      <c r="A503">
        <v>5</v>
      </c>
      <c r="B503">
        <v>6504044309</v>
      </c>
      <c r="C503">
        <v>6263</v>
      </c>
      <c r="D503">
        <v>1</v>
      </c>
      <c r="E503">
        <v>489</v>
      </c>
      <c r="F503" t="s">
        <v>257</v>
      </c>
      <c r="G503" t="s">
        <v>258</v>
      </c>
      <c r="H503">
        <v>489</v>
      </c>
      <c r="I503" t="s">
        <v>257</v>
      </c>
      <c r="J503" t="s">
        <v>258</v>
      </c>
      <c r="K503" t="s">
        <v>49</v>
      </c>
      <c r="L503">
        <v>2</v>
      </c>
      <c r="M503">
        <v>2</v>
      </c>
    </row>
    <row r="504" spans="1:13" x14ac:dyDescent="0.25">
      <c r="A504">
        <v>5</v>
      </c>
      <c r="B504">
        <v>6504044309</v>
      </c>
      <c r="C504">
        <v>6263</v>
      </c>
      <c r="D504">
        <v>2</v>
      </c>
      <c r="E504">
        <v>489</v>
      </c>
      <c r="F504" t="s">
        <v>257</v>
      </c>
      <c r="G504" t="s">
        <v>258</v>
      </c>
      <c r="H504">
        <v>489</v>
      </c>
      <c r="I504" t="s">
        <v>257</v>
      </c>
      <c r="J504" t="s">
        <v>258</v>
      </c>
      <c r="K504" t="s">
        <v>49</v>
      </c>
      <c r="L504">
        <v>3</v>
      </c>
      <c r="M504">
        <v>3</v>
      </c>
    </row>
    <row r="505" spans="1:13" x14ac:dyDescent="0.25">
      <c r="A505">
        <v>5</v>
      </c>
      <c r="B505">
        <v>6504044309</v>
      </c>
      <c r="C505">
        <v>6263</v>
      </c>
      <c r="D505">
        <v>3</v>
      </c>
      <c r="E505">
        <v>490</v>
      </c>
      <c r="F505" t="s">
        <v>281</v>
      </c>
      <c r="G505" t="s">
        <v>282</v>
      </c>
      <c r="H505">
        <v>490</v>
      </c>
      <c r="I505" t="s">
        <v>281</v>
      </c>
      <c r="J505" t="s">
        <v>282</v>
      </c>
      <c r="K505" t="s">
        <v>49</v>
      </c>
      <c r="L505">
        <v>3</v>
      </c>
      <c r="M505">
        <v>0</v>
      </c>
    </row>
    <row r="506" spans="1:13" x14ac:dyDescent="0.25">
      <c r="A506">
        <v>5</v>
      </c>
      <c r="B506">
        <v>6504044309</v>
      </c>
      <c r="C506">
        <v>6263</v>
      </c>
      <c r="D506">
        <v>4</v>
      </c>
      <c r="E506">
        <v>490</v>
      </c>
      <c r="F506" t="s">
        <v>281</v>
      </c>
      <c r="G506" t="s">
        <v>282</v>
      </c>
      <c r="H506">
        <v>490</v>
      </c>
      <c r="I506" t="s">
        <v>281</v>
      </c>
      <c r="J506" t="s">
        <v>282</v>
      </c>
      <c r="K506" t="s">
        <v>49</v>
      </c>
      <c r="L506">
        <v>5</v>
      </c>
      <c r="M506">
        <v>0</v>
      </c>
    </row>
    <row r="507" spans="1:13" x14ac:dyDescent="0.25">
      <c r="A507">
        <v>5</v>
      </c>
      <c r="B507">
        <v>6504044309</v>
      </c>
      <c r="C507">
        <v>6263</v>
      </c>
      <c r="D507">
        <v>5</v>
      </c>
      <c r="E507">
        <v>492</v>
      </c>
      <c r="F507" t="s">
        <v>88</v>
      </c>
      <c r="G507" t="s">
        <v>89</v>
      </c>
      <c r="H507">
        <v>492</v>
      </c>
      <c r="I507" t="s">
        <v>88</v>
      </c>
      <c r="J507" t="s">
        <v>89</v>
      </c>
      <c r="K507" t="s">
        <v>49</v>
      </c>
      <c r="L507">
        <v>1</v>
      </c>
      <c r="M507">
        <v>1</v>
      </c>
    </row>
    <row r="508" spans="1:13" x14ac:dyDescent="0.25">
      <c r="A508">
        <v>5</v>
      </c>
      <c r="B508">
        <v>6504044309</v>
      </c>
      <c r="C508">
        <v>6263</v>
      </c>
      <c r="D508">
        <v>6</v>
      </c>
      <c r="E508">
        <v>492</v>
      </c>
      <c r="F508" t="s">
        <v>88</v>
      </c>
      <c r="G508" t="s">
        <v>89</v>
      </c>
      <c r="H508">
        <v>492</v>
      </c>
      <c r="I508" t="s">
        <v>88</v>
      </c>
      <c r="J508" t="s">
        <v>89</v>
      </c>
      <c r="K508" t="s">
        <v>49</v>
      </c>
      <c r="L508">
        <v>3</v>
      </c>
      <c r="M508">
        <v>3</v>
      </c>
    </row>
    <row r="509" spans="1:13" x14ac:dyDescent="0.25">
      <c r="A509">
        <v>5</v>
      </c>
      <c r="B509">
        <v>6504044309</v>
      </c>
      <c r="C509">
        <v>6263</v>
      </c>
      <c r="D509">
        <v>7</v>
      </c>
      <c r="E509">
        <v>43</v>
      </c>
      <c r="F509" t="s">
        <v>271</v>
      </c>
      <c r="G509" t="s">
        <v>272</v>
      </c>
      <c r="H509">
        <v>43</v>
      </c>
      <c r="I509" t="s">
        <v>271</v>
      </c>
      <c r="J509" t="s">
        <v>272</v>
      </c>
      <c r="K509" t="s">
        <v>49</v>
      </c>
      <c r="L509">
        <v>10</v>
      </c>
      <c r="M509">
        <v>10</v>
      </c>
    </row>
    <row r="510" spans="1:13" x14ac:dyDescent="0.25">
      <c r="A510">
        <v>5</v>
      </c>
      <c r="B510">
        <v>6504044309</v>
      </c>
      <c r="C510">
        <v>6263</v>
      </c>
      <c r="D510">
        <v>8</v>
      </c>
      <c r="E510">
        <v>43</v>
      </c>
      <c r="F510" t="s">
        <v>271</v>
      </c>
      <c r="G510" t="s">
        <v>272</v>
      </c>
      <c r="H510">
        <v>43</v>
      </c>
      <c r="I510" t="s">
        <v>271</v>
      </c>
      <c r="J510" t="s">
        <v>272</v>
      </c>
      <c r="K510" t="s">
        <v>49</v>
      </c>
      <c r="L510">
        <v>10</v>
      </c>
      <c r="M510">
        <v>10</v>
      </c>
    </row>
    <row r="511" spans="1:13" x14ac:dyDescent="0.25">
      <c r="A511">
        <v>5</v>
      </c>
      <c r="B511">
        <v>6504044309</v>
      </c>
      <c r="C511">
        <v>6263</v>
      </c>
      <c r="D511">
        <v>9</v>
      </c>
      <c r="E511">
        <v>43</v>
      </c>
      <c r="F511" t="s">
        <v>271</v>
      </c>
      <c r="G511" t="s">
        <v>272</v>
      </c>
      <c r="H511">
        <v>43</v>
      </c>
      <c r="I511" t="s">
        <v>271</v>
      </c>
      <c r="J511" t="s">
        <v>272</v>
      </c>
      <c r="K511" t="s">
        <v>49</v>
      </c>
      <c r="L511">
        <v>20</v>
      </c>
      <c r="M511">
        <v>20</v>
      </c>
    </row>
    <row r="512" spans="1:13" x14ac:dyDescent="0.25">
      <c r="A512">
        <v>5</v>
      </c>
      <c r="B512">
        <v>6504044309</v>
      </c>
      <c r="C512">
        <v>6263</v>
      </c>
      <c r="D512">
        <v>10</v>
      </c>
      <c r="E512">
        <v>919</v>
      </c>
      <c r="F512" t="s">
        <v>287</v>
      </c>
      <c r="G512" t="s">
        <v>288</v>
      </c>
      <c r="H512">
        <v>919</v>
      </c>
      <c r="I512" t="s">
        <v>287</v>
      </c>
      <c r="J512" t="s">
        <v>288</v>
      </c>
      <c r="K512" t="s">
        <v>49</v>
      </c>
      <c r="L512">
        <v>10</v>
      </c>
      <c r="M512">
        <v>10</v>
      </c>
    </row>
    <row r="513" spans="1:13" x14ac:dyDescent="0.25">
      <c r="A513">
        <v>5</v>
      </c>
      <c r="B513">
        <v>6504044309</v>
      </c>
      <c r="C513">
        <v>6263</v>
      </c>
      <c r="D513">
        <v>11</v>
      </c>
      <c r="E513">
        <v>919</v>
      </c>
      <c r="F513" t="s">
        <v>287</v>
      </c>
      <c r="G513" t="s">
        <v>288</v>
      </c>
      <c r="H513">
        <v>919</v>
      </c>
      <c r="I513" t="s">
        <v>287</v>
      </c>
      <c r="J513" t="s">
        <v>288</v>
      </c>
      <c r="K513" t="s">
        <v>49</v>
      </c>
      <c r="L513">
        <v>10</v>
      </c>
      <c r="M513">
        <v>10</v>
      </c>
    </row>
    <row r="514" spans="1:13" x14ac:dyDescent="0.25">
      <c r="A514">
        <v>5</v>
      </c>
      <c r="B514">
        <v>6504044309</v>
      </c>
      <c r="C514">
        <v>6263</v>
      </c>
      <c r="D514">
        <v>12</v>
      </c>
      <c r="E514">
        <v>919</v>
      </c>
      <c r="F514" t="s">
        <v>287</v>
      </c>
      <c r="G514" t="s">
        <v>288</v>
      </c>
      <c r="H514">
        <v>919</v>
      </c>
      <c r="I514" t="s">
        <v>287</v>
      </c>
      <c r="J514" t="s">
        <v>288</v>
      </c>
      <c r="K514" t="s">
        <v>49</v>
      </c>
      <c r="L514">
        <v>10</v>
      </c>
      <c r="M514">
        <v>10</v>
      </c>
    </row>
    <row r="515" spans="1:13" x14ac:dyDescent="0.25">
      <c r="A515">
        <v>3</v>
      </c>
      <c r="B515">
        <v>50052330</v>
      </c>
      <c r="C515">
        <v>6264</v>
      </c>
      <c r="D515">
        <v>1</v>
      </c>
      <c r="E515">
        <v>506</v>
      </c>
      <c r="F515" t="s">
        <v>92</v>
      </c>
      <c r="G515" t="s">
        <v>93</v>
      </c>
      <c r="H515">
        <v>506</v>
      </c>
      <c r="I515" t="s">
        <v>92</v>
      </c>
      <c r="J515" t="s">
        <v>93</v>
      </c>
      <c r="K515" t="s">
        <v>889</v>
      </c>
      <c r="L515">
        <v>1</v>
      </c>
      <c r="M515">
        <v>0</v>
      </c>
    </row>
    <row r="516" spans="1:13" x14ac:dyDescent="0.25">
      <c r="A516">
        <v>3</v>
      </c>
      <c r="B516">
        <v>50052331</v>
      </c>
      <c r="C516">
        <v>6264</v>
      </c>
      <c r="D516">
        <v>2</v>
      </c>
      <c r="E516">
        <v>506</v>
      </c>
      <c r="F516" t="s">
        <v>92</v>
      </c>
      <c r="G516" t="s">
        <v>93</v>
      </c>
      <c r="H516">
        <v>506</v>
      </c>
      <c r="I516" t="s">
        <v>92</v>
      </c>
      <c r="J516" t="s">
        <v>93</v>
      </c>
      <c r="K516" t="s">
        <v>890</v>
      </c>
      <c r="L516">
        <v>1</v>
      </c>
      <c r="M516">
        <v>0</v>
      </c>
    </row>
    <row r="517" spans="1:13" x14ac:dyDescent="0.25">
      <c r="A517">
        <v>2</v>
      </c>
      <c r="B517">
        <v>8685449</v>
      </c>
      <c r="C517">
        <v>6265</v>
      </c>
      <c r="D517">
        <v>1</v>
      </c>
      <c r="E517">
        <v>970</v>
      </c>
      <c r="F517" t="s">
        <v>436</v>
      </c>
      <c r="G517" t="s">
        <v>437</v>
      </c>
      <c r="H517">
        <v>506</v>
      </c>
      <c r="I517" t="s">
        <v>92</v>
      </c>
      <c r="J517" t="s">
        <v>93</v>
      </c>
      <c r="K517" t="s">
        <v>891</v>
      </c>
      <c r="L517">
        <v>1</v>
      </c>
      <c r="M517">
        <v>1</v>
      </c>
    </row>
    <row r="518" spans="1:13" x14ac:dyDescent="0.25">
      <c r="A518">
        <v>2</v>
      </c>
      <c r="B518">
        <v>8696245</v>
      </c>
      <c r="C518">
        <v>6315</v>
      </c>
      <c r="D518">
        <v>5</v>
      </c>
      <c r="E518">
        <v>402</v>
      </c>
      <c r="F518" t="s">
        <v>168</v>
      </c>
      <c r="G518" t="s">
        <v>169</v>
      </c>
      <c r="H518">
        <v>402</v>
      </c>
      <c r="I518" t="s">
        <v>168</v>
      </c>
      <c r="J518" t="s">
        <v>169</v>
      </c>
      <c r="K518" t="s">
        <v>892</v>
      </c>
      <c r="L518">
        <v>1</v>
      </c>
      <c r="M518">
        <v>1</v>
      </c>
    </row>
    <row r="519" spans="1:13" x14ac:dyDescent="0.25">
      <c r="A519">
        <v>2</v>
      </c>
      <c r="B519">
        <v>8696308</v>
      </c>
      <c r="C519">
        <v>6315</v>
      </c>
      <c r="D519">
        <v>6</v>
      </c>
      <c r="E519">
        <v>401</v>
      </c>
      <c r="F519" t="s">
        <v>76</v>
      </c>
      <c r="G519" t="s">
        <v>77</v>
      </c>
      <c r="H519">
        <v>401</v>
      </c>
      <c r="I519" t="s">
        <v>76</v>
      </c>
      <c r="J519" t="s">
        <v>77</v>
      </c>
      <c r="K519" t="s">
        <v>893</v>
      </c>
      <c r="L519">
        <v>1</v>
      </c>
      <c r="M519">
        <v>1</v>
      </c>
    </row>
    <row r="520" spans="1:13" x14ac:dyDescent="0.25">
      <c r="A520">
        <v>2</v>
      </c>
      <c r="B520">
        <v>8696416</v>
      </c>
      <c r="C520">
        <v>6315</v>
      </c>
      <c r="D520">
        <v>7</v>
      </c>
      <c r="E520">
        <v>936</v>
      </c>
      <c r="F520" t="s">
        <v>314</v>
      </c>
      <c r="G520" t="s">
        <v>315</v>
      </c>
      <c r="H520">
        <v>936</v>
      </c>
      <c r="I520" t="s">
        <v>314</v>
      </c>
      <c r="J520" t="s">
        <v>315</v>
      </c>
      <c r="K520" t="s">
        <v>894</v>
      </c>
      <c r="L520">
        <v>1</v>
      </c>
      <c r="M520">
        <v>1</v>
      </c>
    </row>
    <row r="521" spans="1:13" x14ac:dyDescent="0.25">
      <c r="A521">
        <v>2</v>
      </c>
      <c r="B521">
        <v>8696486</v>
      </c>
      <c r="C521">
        <v>6315</v>
      </c>
      <c r="D521">
        <v>8</v>
      </c>
      <c r="E521">
        <v>498</v>
      </c>
      <c r="F521" t="s">
        <v>521</v>
      </c>
      <c r="G521" t="s">
        <v>522</v>
      </c>
      <c r="H521">
        <v>498</v>
      </c>
      <c r="I521" t="s">
        <v>521</v>
      </c>
      <c r="J521" t="s">
        <v>522</v>
      </c>
      <c r="K521" t="s">
        <v>895</v>
      </c>
      <c r="L521">
        <v>1</v>
      </c>
      <c r="M521">
        <v>1</v>
      </c>
    </row>
    <row r="522" spans="1:13" x14ac:dyDescent="0.25">
      <c r="A522">
        <v>2</v>
      </c>
      <c r="B522">
        <v>8696710</v>
      </c>
      <c r="C522">
        <v>6315</v>
      </c>
      <c r="D522">
        <v>9</v>
      </c>
      <c r="E522">
        <v>632</v>
      </c>
      <c r="F522" t="s">
        <v>102</v>
      </c>
      <c r="G522" t="s">
        <v>103</v>
      </c>
      <c r="H522">
        <v>632</v>
      </c>
      <c r="I522" t="s">
        <v>102</v>
      </c>
      <c r="J522" t="s">
        <v>103</v>
      </c>
      <c r="K522" t="s">
        <v>896</v>
      </c>
      <c r="L522">
        <v>1</v>
      </c>
      <c r="M522">
        <v>1</v>
      </c>
    </row>
    <row r="523" spans="1:13" x14ac:dyDescent="0.25">
      <c r="A523">
        <v>2</v>
      </c>
      <c r="B523">
        <v>8696717</v>
      </c>
      <c r="C523">
        <v>6315</v>
      </c>
      <c r="D523">
        <v>10</v>
      </c>
      <c r="E523">
        <v>402</v>
      </c>
      <c r="F523" t="s">
        <v>168</v>
      </c>
      <c r="G523" t="s">
        <v>169</v>
      </c>
      <c r="H523">
        <v>402</v>
      </c>
      <c r="I523" t="s">
        <v>168</v>
      </c>
      <c r="J523" t="s">
        <v>169</v>
      </c>
      <c r="K523" t="s">
        <v>897</v>
      </c>
      <c r="L523">
        <v>2</v>
      </c>
      <c r="M523">
        <v>2</v>
      </c>
    </row>
    <row r="524" spans="1:13" x14ac:dyDescent="0.25">
      <c r="A524">
        <v>2</v>
      </c>
      <c r="B524">
        <v>8695897</v>
      </c>
      <c r="C524">
        <v>6315</v>
      </c>
      <c r="D524">
        <v>2</v>
      </c>
      <c r="E524">
        <v>966</v>
      </c>
      <c r="F524" t="s">
        <v>349</v>
      </c>
      <c r="G524" t="s">
        <v>350</v>
      </c>
      <c r="H524">
        <v>966</v>
      </c>
      <c r="I524" t="s">
        <v>349</v>
      </c>
      <c r="J524" t="s">
        <v>350</v>
      </c>
      <c r="K524" t="s">
        <v>898</v>
      </c>
      <c r="L524">
        <v>1</v>
      </c>
      <c r="M524">
        <v>1</v>
      </c>
    </row>
    <row r="525" spans="1:13" x14ac:dyDescent="0.25">
      <c r="A525">
        <v>2</v>
      </c>
      <c r="B525">
        <v>8696102</v>
      </c>
      <c r="C525">
        <v>6315</v>
      </c>
      <c r="D525">
        <v>3</v>
      </c>
      <c r="E525">
        <v>403</v>
      </c>
      <c r="F525" t="s">
        <v>78</v>
      </c>
      <c r="G525" t="s">
        <v>79</v>
      </c>
      <c r="H525">
        <v>403</v>
      </c>
      <c r="I525" t="s">
        <v>78</v>
      </c>
      <c r="J525" t="s">
        <v>79</v>
      </c>
      <c r="K525" t="s">
        <v>899</v>
      </c>
      <c r="L525">
        <v>1</v>
      </c>
      <c r="M525">
        <v>1</v>
      </c>
    </row>
    <row r="526" spans="1:13" x14ac:dyDescent="0.25">
      <c r="A526">
        <v>2</v>
      </c>
      <c r="B526">
        <v>8696231</v>
      </c>
      <c r="C526">
        <v>6315</v>
      </c>
      <c r="D526">
        <v>4</v>
      </c>
      <c r="E526">
        <v>702</v>
      </c>
      <c r="F526" t="s">
        <v>120</v>
      </c>
      <c r="G526" t="s">
        <v>121</v>
      </c>
      <c r="H526">
        <v>702</v>
      </c>
      <c r="I526" t="s">
        <v>120</v>
      </c>
      <c r="J526" t="s">
        <v>121</v>
      </c>
      <c r="K526" t="s">
        <v>900</v>
      </c>
      <c r="L526">
        <v>1</v>
      </c>
      <c r="M526">
        <v>1</v>
      </c>
    </row>
    <row r="527" spans="1:13" x14ac:dyDescent="0.25">
      <c r="A527">
        <v>2</v>
      </c>
      <c r="B527">
        <v>8691554</v>
      </c>
      <c r="C527">
        <v>6315</v>
      </c>
      <c r="D527">
        <v>1</v>
      </c>
      <c r="E527">
        <v>632</v>
      </c>
      <c r="F527" t="s">
        <v>102</v>
      </c>
      <c r="G527" t="s">
        <v>103</v>
      </c>
      <c r="H527">
        <v>632</v>
      </c>
      <c r="I527" t="s">
        <v>102</v>
      </c>
      <c r="J527" t="s">
        <v>103</v>
      </c>
      <c r="K527" t="s">
        <v>901</v>
      </c>
      <c r="L527">
        <v>1</v>
      </c>
      <c r="M527">
        <v>1</v>
      </c>
    </row>
    <row r="528" spans="1:13" x14ac:dyDescent="0.25">
      <c r="A528">
        <v>6</v>
      </c>
      <c r="B528">
        <v>960871</v>
      </c>
      <c r="C528">
        <v>6316</v>
      </c>
      <c r="D528">
        <v>1</v>
      </c>
      <c r="E528">
        <v>506</v>
      </c>
      <c r="F528" t="s">
        <v>92</v>
      </c>
      <c r="G528" t="s">
        <v>93</v>
      </c>
      <c r="H528">
        <v>506</v>
      </c>
      <c r="I528" t="s">
        <v>92</v>
      </c>
      <c r="J528" t="s">
        <v>93</v>
      </c>
      <c r="K528" t="s">
        <v>159</v>
      </c>
      <c r="L528">
        <v>2</v>
      </c>
      <c r="M528">
        <v>0</v>
      </c>
    </row>
    <row r="529" spans="1:13" x14ac:dyDescent="0.25">
      <c r="A529">
        <v>6</v>
      </c>
      <c r="B529">
        <v>960871</v>
      </c>
      <c r="C529">
        <v>6316</v>
      </c>
      <c r="D529">
        <v>2</v>
      </c>
      <c r="E529">
        <v>824</v>
      </c>
      <c r="F529" t="s">
        <v>134</v>
      </c>
      <c r="G529" t="s">
        <v>135</v>
      </c>
      <c r="H529">
        <v>824</v>
      </c>
      <c r="I529" t="s">
        <v>134</v>
      </c>
      <c r="J529" t="s">
        <v>135</v>
      </c>
      <c r="K529" t="s">
        <v>159</v>
      </c>
      <c r="L529">
        <v>3</v>
      </c>
      <c r="M529">
        <v>3</v>
      </c>
    </row>
    <row r="530" spans="1:13" x14ac:dyDescent="0.25">
      <c r="A530">
        <v>1</v>
      </c>
      <c r="B530">
        <v>8698177</v>
      </c>
      <c r="C530">
        <v>6319</v>
      </c>
      <c r="D530">
        <v>1</v>
      </c>
      <c r="E530">
        <v>878</v>
      </c>
      <c r="F530" t="s">
        <v>216</v>
      </c>
      <c r="G530" t="s">
        <v>217</v>
      </c>
      <c r="H530">
        <v>362</v>
      </c>
      <c r="I530" t="s">
        <v>72</v>
      </c>
      <c r="J530" t="s">
        <v>73</v>
      </c>
      <c r="K530" t="s">
        <v>152</v>
      </c>
      <c r="L530">
        <v>24</v>
      </c>
      <c r="M530">
        <v>24</v>
      </c>
    </row>
    <row r="531" spans="1:13" x14ac:dyDescent="0.25">
      <c r="A531">
        <v>1</v>
      </c>
      <c r="B531">
        <v>8698177</v>
      </c>
      <c r="C531">
        <v>6319</v>
      </c>
      <c r="D531">
        <v>2</v>
      </c>
      <c r="E531">
        <v>619</v>
      </c>
      <c r="F531" t="s">
        <v>242</v>
      </c>
      <c r="G531" t="s">
        <v>243</v>
      </c>
      <c r="H531">
        <v>619</v>
      </c>
      <c r="I531" t="s">
        <v>242</v>
      </c>
      <c r="J531" t="s">
        <v>243</v>
      </c>
      <c r="K531" t="s">
        <v>153</v>
      </c>
      <c r="L531">
        <v>6</v>
      </c>
      <c r="M531">
        <v>6</v>
      </c>
    </row>
    <row r="532" spans="1:13" x14ac:dyDescent="0.25">
      <c r="A532">
        <v>1</v>
      </c>
      <c r="B532">
        <v>8698177</v>
      </c>
      <c r="C532">
        <v>6319</v>
      </c>
      <c r="D532">
        <v>3</v>
      </c>
      <c r="E532">
        <v>620</v>
      </c>
      <c r="F532" t="s">
        <v>100</v>
      </c>
      <c r="G532" t="s">
        <v>101</v>
      </c>
      <c r="H532">
        <v>620</v>
      </c>
      <c r="I532" t="s">
        <v>100</v>
      </c>
      <c r="J532" t="s">
        <v>101</v>
      </c>
      <c r="K532" t="s">
        <v>155</v>
      </c>
      <c r="L532">
        <v>6</v>
      </c>
      <c r="M532">
        <v>6</v>
      </c>
    </row>
    <row r="533" spans="1:13" x14ac:dyDescent="0.25">
      <c r="A533">
        <v>1</v>
      </c>
      <c r="B533">
        <v>8698177</v>
      </c>
      <c r="C533">
        <v>6319</v>
      </c>
      <c r="D533">
        <v>4</v>
      </c>
      <c r="E533">
        <v>1100</v>
      </c>
      <c r="F533" t="s">
        <v>148</v>
      </c>
      <c r="G533" t="s">
        <v>149</v>
      </c>
      <c r="H533">
        <v>1100</v>
      </c>
      <c r="I533" t="s">
        <v>148</v>
      </c>
      <c r="J533" t="s">
        <v>149</v>
      </c>
      <c r="K533" t="s">
        <v>154</v>
      </c>
      <c r="L533">
        <v>12</v>
      </c>
      <c r="M533">
        <v>12</v>
      </c>
    </row>
    <row r="534" spans="1:13" x14ac:dyDescent="0.25">
      <c r="A534">
        <v>2</v>
      </c>
      <c r="B534">
        <v>8698983</v>
      </c>
      <c r="C534">
        <v>6322</v>
      </c>
      <c r="D534">
        <v>6</v>
      </c>
      <c r="E534">
        <v>498</v>
      </c>
      <c r="F534" t="s">
        <v>521</v>
      </c>
      <c r="G534" t="s">
        <v>522</v>
      </c>
      <c r="H534">
        <v>498</v>
      </c>
      <c r="I534" t="s">
        <v>521</v>
      </c>
      <c r="J534" t="s">
        <v>522</v>
      </c>
      <c r="K534" t="s">
        <v>902</v>
      </c>
      <c r="L534">
        <v>1</v>
      </c>
      <c r="M534">
        <v>1</v>
      </c>
    </row>
    <row r="535" spans="1:13" x14ac:dyDescent="0.25">
      <c r="A535">
        <v>2</v>
      </c>
      <c r="B535">
        <v>8696968</v>
      </c>
      <c r="C535">
        <v>6322</v>
      </c>
      <c r="D535">
        <v>1</v>
      </c>
      <c r="E535">
        <v>964</v>
      </c>
      <c r="F535" t="s">
        <v>326</v>
      </c>
      <c r="G535" t="s">
        <v>327</v>
      </c>
      <c r="H535">
        <v>964</v>
      </c>
      <c r="I535" t="s">
        <v>326</v>
      </c>
      <c r="J535" t="s">
        <v>327</v>
      </c>
      <c r="K535" t="s">
        <v>903</v>
      </c>
      <c r="L535">
        <v>1</v>
      </c>
      <c r="M535">
        <v>1</v>
      </c>
    </row>
    <row r="536" spans="1:13" x14ac:dyDescent="0.25">
      <c r="A536">
        <v>2</v>
      </c>
      <c r="B536">
        <v>8697121</v>
      </c>
      <c r="C536">
        <v>6322</v>
      </c>
      <c r="D536">
        <v>2</v>
      </c>
      <c r="E536">
        <v>905</v>
      </c>
      <c r="F536" t="s">
        <v>146</v>
      </c>
      <c r="G536" t="s">
        <v>147</v>
      </c>
      <c r="H536">
        <v>905</v>
      </c>
      <c r="I536" t="s">
        <v>146</v>
      </c>
      <c r="J536" t="s">
        <v>147</v>
      </c>
      <c r="K536" t="s">
        <v>904</v>
      </c>
      <c r="L536">
        <v>1</v>
      </c>
      <c r="M536">
        <v>1</v>
      </c>
    </row>
    <row r="537" spans="1:13" x14ac:dyDescent="0.25">
      <c r="A537">
        <v>2</v>
      </c>
      <c r="B537">
        <v>8697449</v>
      </c>
      <c r="C537">
        <v>6322</v>
      </c>
      <c r="D537">
        <v>3</v>
      </c>
      <c r="E537">
        <v>773</v>
      </c>
      <c r="F537" t="s">
        <v>905</v>
      </c>
      <c r="G537" t="s">
        <v>906</v>
      </c>
      <c r="H537">
        <v>773</v>
      </c>
      <c r="I537" t="s">
        <v>905</v>
      </c>
      <c r="J537" t="s">
        <v>906</v>
      </c>
      <c r="K537" t="s">
        <v>907</v>
      </c>
      <c r="L537">
        <v>1</v>
      </c>
      <c r="M537">
        <v>1</v>
      </c>
    </row>
    <row r="538" spans="1:13" x14ac:dyDescent="0.25">
      <c r="A538">
        <v>2</v>
      </c>
      <c r="B538">
        <v>8698329</v>
      </c>
      <c r="C538">
        <v>6322</v>
      </c>
      <c r="D538">
        <v>4</v>
      </c>
      <c r="E538">
        <v>966</v>
      </c>
      <c r="F538" t="s">
        <v>349</v>
      </c>
      <c r="G538" t="s">
        <v>350</v>
      </c>
      <c r="H538">
        <v>966</v>
      </c>
      <c r="I538" t="s">
        <v>349</v>
      </c>
      <c r="J538" t="s">
        <v>350</v>
      </c>
      <c r="K538" t="s">
        <v>908</v>
      </c>
      <c r="L538">
        <v>1</v>
      </c>
      <c r="M538">
        <v>1</v>
      </c>
    </row>
    <row r="539" spans="1:13" x14ac:dyDescent="0.25">
      <c r="A539">
        <v>2</v>
      </c>
      <c r="B539">
        <v>8698686</v>
      </c>
      <c r="C539">
        <v>6322</v>
      </c>
      <c r="D539">
        <v>5</v>
      </c>
      <c r="E539">
        <v>639</v>
      </c>
      <c r="F539" t="s">
        <v>106</v>
      </c>
      <c r="G539" t="s">
        <v>107</v>
      </c>
      <c r="H539">
        <v>639</v>
      </c>
      <c r="I539" t="s">
        <v>106</v>
      </c>
      <c r="J539" t="s">
        <v>107</v>
      </c>
      <c r="K539" t="s">
        <v>909</v>
      </c>
      <c r="L539">
        <v>1</v>
      </c>
      <c r="M539">
        <v>1</v>
      </c>
    </row>
    <row r="540" spans="1:13" x14ac:dyDescent="0.25">
      <c r="A540">
        <v>29</v>
      </c>
      <c r="B540">
        <v>8697480</v>
      </c>
      <c r="C540">
        <v>6323</v>
      </c>
      <c r="D540">
        <v>1</v>
      </c>
      <c r="E540">
        <v>850</v>
      </c>
      <c r="F540" t="s">
        <v>910</v>
      </c>
      <c r="G540" t="s">
        <v>911</v>
      </c>
      <c r="H540">
        <v>850</v>
      </c>
      <c r="I540" t="s">
        <v>910</v>
      </c>
      <c r="J540" t="s">
        <v>911</v>
      </c>
      <c r="K540" t="s">
        <v>912</v>
      </c>
      <c r="L540">
        <v>1</v>
      </c>
      <c r="M540">
        <v>1</v>
      </c>
    </row>
    <row r="541" spans="1:13" x14ac:dyDescent="0.25">
      <c r="A541">
        <v>29</v>
      </c>
      <c r="B541">
        <v>8698989</v>
      </c>
      <c r="C541">
        <v>6323</v>
      </c>
      <c r="D541">
        <v>2</v>
      </c>
      <c r="E541">
        <v>956</v>
      </c>
      <c r="F541" t="s">
        <v>668</v>
      </c>
      <c r="G541" t="s">
        <v>669</v>
      </c>
      <c r="H541">
        <v>956</v>
      </c>
      <c r="I541" t="s">
        <v>668</v>
      </c>
      <c r="J541" t="s">
        <v>669</v>
      </c>
      <c r="K541" t="s">
        <v>913</v>
      </c>
      <c r="L541">
        <v>1</v>
      </c>
      <c r="M541">
        <v>0</v>
      </c>
    </row>
    <row r="542" spans="1:13" x14ac:dyDescent="0.25">
      <c r="A542">
        <v>4</v>
      </c>
      <c r="B542">
        <v>9690267</v>
      </c>
      <c r="C542">
        <v>6324</v>
      </c>
      <c r="D542">
        <v>2</v>
      </c>
      <c r="E542">
        <v>639</v>
      </c>
      <c r="F542" t="s">
        <v>106</v>
      </c>
      <c r="G542" t="s">
        <v>107</v>
      </c>
      <c r="H542">
        <v>639</v>
      </c>
      <c r="I542" t="s">
        <v>106</v>
      </c>
      <c r="J542" t="s">
        <v>107</v>
      </c>
      <c r="K542" t="s">
        <v>914</v>
      </c>
      <c r="L542">
        <v>1</v>
      </c>
      <c r="M542">
        <v>1</v>
      </c>
    </row>
    <row r="543" spans="1:13" x14ac:dyDescent="0.25">
      <c r="A543">
        <v>4</v>
      </c>
      <c r="B543">
        <v>9690704</v>
      </c>
      <c r="C543">
        <v>6324</v>
      </c>
      <c r="D543">
        <v>3</v>
      </c>
      <c r="E543">
        <v>281</v>
      </c>
      <c r="F543" t="s">
        <v>538</v>
      </c>
      <c r="G543" t="s">
        <v>539</v>
      </c>
      <c r="H543">
        <v>281</v>
      </c>
      <c r="I543" t="s">
        <v>538</v>
      </c>
      <c r="J543" t="s">
        <v>539</v>
      </c>
      <c r="K543" t="s">
        <v>915</v>
      </c>
      <c r="L543">
        <v>1</v>
      </c>
      <c r="M543">
        <v>1</v>
      </c>
    </row>
    <row r="544" spans="1:13" x14ac:dyDescent="0.25">
      <c r="A544">
        <v>4</v>
      </c>
      <c r="B544">
        <v>9691769</v>
      </c>
      <c r="C544">
        <v>6324</v>
      </c>
      <c r="D544">
        <v>4</v>
      </c>
      <c r="E544">
        <v>403</v>
      </c>
      <c r="F544" t="s">
        <v>78</v>
      </c>
      <c r="G544" t="s">
        <v>79</v>
      </c>
      <c r="H544">
        <v>403</v>
      </c>
      <c r="I544" t="s">
        <v>78</v>
      </c>
      <c r="J544" t="s">
        <v>79</v>
      </c>
      <c r="K544" t="s">
        <v>916</v>
      </c>
      <c r="L544">
        <v>1</v>
      </c>
      <c r="M544">
        <v>1</v>
      </c>
    </row>
    <row r="545" spans="1:13" x14ac:dyDescent="0.25">
      <c r="A545">
        <v>4</v>
      </c>
      <c r="B545">
        <v>9690084</v>
      </c>
      <c r="C545">
        <v>6324</v>
      </c>
      <c r="D545">
        <v>1</v>
      </c>
      <c r="E545">
        <v>714</v>
      </c>
      <c r="F545" t="s">
        <v>124</v>
      </c>
      <c r="G545" t="s">
        <v>125</v>
      </c>
      <c r="H545">
        <v>714</v>
      </c>
      <c r="I545" t="s">
        <v>124</v>
      </c>
      <c r="J545" t="s">
        <v>125</v>
      </c>
      <c r="K545" t="s">
        <v>917</v>
      </c>
      <c r="L545">
        <v>1</v>
      </c>
      <c r="M545">
        <v>1</v>
      </c>
    </row>
    <row r="546" spans="1:13" x14ac:dyDescent="0.25">
      <c r="A546">
        <v>8</v>
      </c>
      <c r="B546">
        <v>9450545918</v>
      </c>
      <c r="C546">
        <v>6326</v>
      </c>
      <c r="D546">
        <v>1</v>
      </c>
      <c r="E546">
        <v>787</v>
      </c>
      <c r="F546" t="s">
        <v>203</v>
      </c>
      <c r="G546" t="s">
        <v>204</v>
      </c>
      <c r="H546">
        <v>787</v>
      </c>
      <c r="I546" t="s">
        <v>203</v>
      </c>
      <c r="J546" t="s">
        <v>204</v>
      </c>
      <c r="K546" t="s">
        <v>359</v>
      </c>
      <c r="L546">
        <v>1</v>
      </c>
      <c r="M546">
        <v>1</v>
      </c>
    </row>
    <row r="547" spans="1:13" x14ac:dyDescent="0.25">
      <c r="A547">
        <v>6</v>
      </c>
      <c r="B547">
        <v>969781</v>
      </c>
      <c r="C547">
        <v>6327</v>
      </c>
      <c r="D547">
        <v>6</v>
      </c>
      <c r="E547">
        <v>745</v>
      </c>
      <c r="F547" t="s">
        <v>199</v>
      </c>
      <c r="G547" t="s">
        <v>200</v>
      </c>
      <c r="H547">
        <v>745</v>
      </c>
      <c r="I547" t="s">
        <v>199</v>
      </c>
      <c r="J547" t="s">
        <v>200</v>
      </c>
      <c r="K547" t="s">
        <v>918</v>
      </c>
      <c r="L547">
        <v>1</v>
      </c>
      <c r="M547">
        <v>1</v>
      </c>
    </row>
    <row r="548" spans="1:13" x14ac:dyDescent="0.25">
      <c r="A548">
        <v>6</v>
      </c>
      <c r="B548">
        <v>969137</v>
      </c>
      <c r="C548">
        <v>6327</v>
      </c>
      <c r="D548">
        <v>7</v>
      </c>
      <c r="E548">
        <v>400</v>
      </c>
      <c r="F548" t="s">
        <v>74</v>
      </c>
      <c r="G548" t="s">
        <v>75</v>
      </c>
      <c r="H548">
        <v>400</v>
      </c>
      <c r="I548" t="s">
        <v>74</v>
      </c>
      <c r="J548" t="s">
        <v>75</v>
      </c>
      <c r="K548" t="s">
        <v>919</v>
      </c>
      <c r="L548">
        <v>1</v>
      </c>
      <c r="M548">
        <v>1</v>
      </c>
    </row>
    <row r="549" spans="1:13" x14ac:dyDescent="0.25">
      <c r="A549">
        <v>6</v>
      </c>
      <c r="B549">
        <v>969459</v>
      </c>
      <c r="C549">
        <v>6327</v>
      </c>
      <c r="D549">
        <v>2</v>
      </c>
      <c r="E549">
        <v>954</v>
      </c>
      <c r="F549" t="s">
        <v>245</v>
      </c>
      <c r="G549" t="s">
        <v>246</v>
      </c>
      <c r="H549">
        <v>954</v>
      </c>
      <c r="I549" t="s">
        <v>245</v>
      </c>
      <c r="J549" t="s">
        <v>246</v>
      </c>
      <c r="K549" t="s">
        <v>920</v>
      </c>
      <c r="L549">
        <v>1</v>
      </c>
      <c r="M549">
        <v>1</v>
      </c>
    </row>
    <row r="550" spans="1:13" x14ac:dyDescent="0.25">
      <c r="A550">
        <v>6</v>
      </c>
      <c r="B550">
        <v>969596</v>
      </c>
      <c r="C550">
        <v>6327</v>
      </c>
      <c r="D550">
        <v>8</v>
      </c>
      <c r="E550">
        <v>712</v>
      </c>
      <c r="F550" t="s">
        <v>308</v>
      </c>
      <c r="G550" t="s">
        <v>309</v>
      </c>
      <c r="H550">
        <v>712</v>
      </c>
      <c r="I550" t="s">
        <v>308</v>
      </c>
      <c r="J550" t="s">
        <v>309</v>
      </c>
      <c r="K550" t="s">
        <v>921</v>
      </c>
      <c r="L550">
        <v>1</v>
      </c>
      <c r="M550">
        <v>1</v>
      </c>
    </row>
    <row r="551" spans="1:13" x14ac:dyDescent="0.25">
      <c r="A551">
        <v>6</v>
      </c>
      <c r="B551">
        <v>969632</v>
      </c>
      <c r="C551">
        <v>6327</v>
      </c>
      <c r="D551">
        <v>3</v>
      </c>
      <c r="E551">
        <v>895</v>
      </c>
      <c r="F551" t="s">
        <v>387</v>
      </c>
      <c r="G551" t="s">
        <v>388</v>
      </c>
      <c r="H551">
        <v>895</v>
      </c>
      <c r="I551" t="s">
        <v>387</v>
      </c>
      <c r="J551" t="s">
        <v>388</v>
      </c>
      <c r="K551" t="s">
        <v>922</v>
      </c>
      <c r="L551">
        <v>1</v>
      </c>
      <c r="M551">
        <v>1</v>
      </c>
    </row>
    <row r="552" spans="1:13" x14ac:dyDescent="0.25">
      <c r="A552">
        <v>6</v>
      </c>
      <c r="B552">
        <v>969642</v>
      </c>
      <c r="C552">
        <v>6327</v>
      </c>
      <c r="D552">
        <v>4</v>
      </c>
      <c r="E552">
        <v>887</v>
      </c>
      <c r="F552" t="s">
        <v>353</v>
      </c>
      <c r="G552" t="s">
        <v>354</v>
      </c>
      <c r="H552">
        <v>887</v>
      </c>
      <c r="I552" t="s">
        <v>353</v>
      </c>
      <c r="J552" t="s">
        <v>354</v>
      </c>
      <c r="K552" t="s">
        <v>923</v>
      </c>
      <c r="L552">
        <v>1</v>
      </c>
      <c r="M552">
        <v>1</v>
      </c>
    </row>
    <row r="553" spans="1:13" x14ac:dyDescent="0.25">
      <c r="A553">
        <v>6</v>
      </c>
      <c r="B553">
        <v>969743</v>
      </c>
      <c r="C553">
        <v>6327</v>
      </c>
      <c r="D553">
        <v>5</v>
      </c>
      <c r="E553">
        <v>887</v>
      </c>
      <c r="F553" t="s">
        <v>353</v>
      </c>
      <c r="G553" t="s">
        <v>354</v>
      </c>
      <c r="H553">
        <v>887</v>
      </c>
      <c r="I553" t="s">
        <v>353</v>
      </c>
      <c r="J553" t="s">
        <v>354</v>
      </c>
      <c r="K553" t="s">
        <v>924</v>
      </c>
      <c r="L553">
        <v>1</v>
      </c>
      <c r="M553">
        <v>1</v>
      </c>
    </row>
    <row r="554" spans="1:13" x14ac:dyDescent="0.25">
      <c r="A554">
        <v>6</v>
      </c>
      <c r="B554">
        <v>968941</v>
      </c>
      <c r="C554">
        <v>6327</v>
      </c>
      <c r="D554">
        <v>1</v>
      </c>
      <c r="E554">
        <v>700</v>
      </c>
      <c r="F554" t="s">
        <v>118</v>
      </c>
      <c r="G554" t="s">
        <v>119</v>
      </c>
      <c r="H554">
        <v>700</v>
      </c>
      <c r="I554" t="s">
        <v>118</v>
      </c>
      <c r="J554" t="s">
        <v>119</v>
      </c>
      <c r="K554" t="s">
        <v>925</v>
      </c>
      <c r="L554">
        <v>1</v>
      </c>
      <c r="M554">
        <v>1</v>
      </c>
    </row>
    <row r="555" spans="1:13" x14ac:dyDescent="0.25">
      <c r="A555">
        <v>9</v>
      </c>
      <c r="B555">
        <v>9205127</v>
      </c>
      <c r="C555">
        <v>6328</v>
      </c>
      <c r="D555">
        <v>5</v>
      </c>
      <c r="E555">
        <v>955</v>
      </c>
      <c r="F555" t="s">
        <v>166</v>
      </c>
      <c r="G555" t="s">
        <v>167</v>
      </c>
      <c r="H555">
        <v>955</v>
      </c>
      <c r="I555" t="s">
        <v>166</v>
      </c>
      <c r="J555" t="s">
        <v>167</v>
      </c>
      <c r="K555" t="s">
        <v>926</v>
      </c>
      <c r="L555">
        <v>1</v>
      </c>
      <c r="M555">
        <v>1</v>
      </c>
    </row>
    <row r="556" spans="1:13" x14ac:dyDescent="0.25">
      <c r="A556">
        <v>9</v>
      </c>
      <c r="B556">
        <v>9205273</v>
      </c>
      <c r="C556">
        <v>6328</v>
      </c>
      <c r="D556">
        <v>6</v>
      </c>
      <c r="E556">
        <v>403</v>
      </c>
      <c r="F556" t="s">
        <v>78</v>
      </c>
      <c r="G556" t="s">
        <v>79</v>
      </c>
      <c r="H556">
        <v>403</v>
      </c>
      <c r="I556" t="s">
        <v>78</v>
      </c>
      <c r="J556" t="s">
        <v>79</v>
      </c>
      <c r="K556" t="s">
        <v>927</v>
      </c>
      <c r="L556">
        <v>1</v>
      </c>
      <c r="M556">
        <v>1</v>
      </c>
    </row>
    <row r="557" spans="1:13" x14ac:dyDescent="0.25">
      <c r="A557">
        <v>9</v>
      </c>
      <c r="B557">
        <v>9205323</v>
      </c>
      <c r="C557">
        <v>6328</v>
      </c>
      <c r="D557">
        <v>7</v>
      </c>
      <c r="E557">
        <v>347</v>
      </c>
      <c r="F557" t="s">
        <v>70</v>
      </c>
      <c r="G557" t="s">
        <v>71</v>
      </c>
      <c r="H557">
        <v>347</v>
      </c>
      <c r="I557" t="s">
        <v>70</v>
      </c>
      <c r="J557" t="s">
        <v>71</v>
      </c>
      <c r="K557" t="s">
        <v>928</v>
      </c>
      <c r="L557">
        <v>1</v>
      </c>
      <c r="M557">
        <v>1</v>
      </c>
    </row>
    <row r="558" spans="1:13" x14ac:dyDescent="0.25">
      <c r="A558">
        <v>4</v>
      </c>
      <c r="B558">
        <v>9668594</v>
      </c>
      <c r="C558">
        <v>6209</v>
      </c>
      <c r="D558">
        <v>9</v>
      </c>
      <c r="E558">
        <v>702</v>
      </c>
      <c r="F558" t="s">
        <v>120</v>
      </c>
      <c r="G558" t="s">
        <v>121</v>
      </c>
      <c r="H558">
        <v>702</v>
      </c>
      <c r="I558" t="s">
        <v>120</v>
      </c>
      <c r="J558" t="s">
        <v>121</v>
      </c>
      <c r="K558" t="s">
        <v>929</v>
      </c>
      <c r="L558">
        <v>1</v>
      </c>
      <c r="M558">
        <v>1</v>
      </c>
    </row>
    <row r="559" spans="1:13" x14ac:dyDescent="0.25">
      <c r="A559">
        <v>4</v>
      </c>
      <c r="B559">
        <v>9669214</v>
      </c>
      <c r="C559">
        <v>6209</v>
      </c>
      <c r="D559">
        <v>10</v>
      </c>
      <c r="E559">
        <v>501</v>
      </c>
      <c r="F559" t="s">
        <v>90</v>
      </c>
      <c r="G559" t="s">
        <v>91</v>
      </c>
      <c r="H559">
        <v>501</v>
      </c>
      <c r="I559" t="s">
        <v>90</v>
      </c>
      <c r="J559" t="s">
        <v>91</v>
      </c>
      <c r="K559" t="s">
        <v>930</v>
      </c>
      <c r="L559">
        <v>1</v>
      </c>
      <c r="M559">
        <v>1</v>
      </c>
    </row>
    <row r="560" spans="1:13" x14ac:dyDescent="0.25">
      <c r="A560">
        <v>4</v>
      </c>
      <c r="B560">
        <v>9669234</v>
      </c>
      <c r="C560">
        <v>6209</v>
      </c>
      <c r="D560">
        <v>11</v>
      </c>
      <c r="E560">
        <v>400</v>
      </c>
      <c r="F560" t="s">
        <v>74</v>
      </c>
      <c r="G560" t="s">
        <v>75</v>
      </c>
      <c r="H560">
        <v>400</v>
      </c>
      <c r="I560" t="s">
        <v>74</v>
      </c>
      <c r="J560" t="s">
        <v>75</v>
      </c>
      <c r="K560" t="s">
        <v>931</v>
      </c>
      <c r="L560">
        <v>1</v>
      </c>
      <c r="M560">
        <v>1</v>
      </c>
    </row>
    <row r="561" spans="1:13" x14ac:dyDescent="0.25">
      <c r="A561">
        <v>4</v>
      </c>
      <c r="B561">
        <v>9669286</v>
      </c>
      <c r="C561">
        <v>6209</v>
      </c>
      <c r="D561">
        <v>12</v>
      </c>
      <c r="E561">
        <v>892</v>
      </c>
      <c r="F561" t="s">
        <v>142</v>
      </c>
      <c r="G561" t="s">
        <v>143</v>
      </c>
      <c r="H561">
        <v>746</v>
      </c>
      <c r="I561" t="s">
        <v>170</v>
      </c>
      <c r="J561" t="s">
        <v>171</v>
      </c>
      <c r="K561" t="s">
        <v>932</v>
      </c>
      <c r="L561">
        <v>1</v>
      </c>
      <c r="M561">
        <v>1</v>
      </c>
    </row>
    <row r="562" spans="1:13" x14ac:dyDescent="0.25">
      <c r="A562">
        <v>4</v>
      </c>
      <c r="B562">
        <v>9669293</v>
      </c>
      <c r="C562">
        <v>6209</v>
      </c>
      <c r="D562">
        <v>13</v>
      </c>
      <c r="E562">
        <v>583</v>
      </c>
      <c r="F562" t="s">
        <v>933</v>
      </c>
      <c r="G562" t="s">
        <v>934</v>
      </c>
      <c r="H562">
        <v>583</v>
      </c>
      <c r="I562" t="s">
        <v>933</v>
      </c>
      <c r="J562" t="s">
        <v>934</v>
      </c>
      <c r="K562" t="s">
        <v>935</v>
      </c>
      <c r="L562">
        <v>1</v>
      </c>
      <c r="M562">
        <v>1</v>
      </c>
    </row>
    <row r="563" spans="1:13" x14ac:dyDescent="0.25">
      <c r="A563">
        <v>4</v>
      </c>
      <c r="B563">
        <v>9666693</v>
      </c>
      <c r="C563">
        <v>6209</v>
      </c>
      <c r="D563">
        <v>5</v>
      </c>
      <c r="E563">
        <v>501</v>
      </c>
      <c r="F563" t="s">
        <v>90</v>
      </c>
      <c r="G563" t="s">
        <v>91</v>
      </c>
      <c r="H563">
        <v>501</v>
      </c>
      <c r="I563" t="s">
        <v>90</v>
      </c>
      <c r="J563" t="s">
        <v>91</v>
      </c>
      <c r="K563" t="s">
        <v>936</v>
      </c>
      <c r="L563">
        <v>1</v>
      </c>
      <c r="M563">
        <v>1</v>
      </c>
    </row>
    <row r="564" spans="1:13" x14ac:dyDescent="0.25">
      <c r="A564">
        <v>4</v>
      </c>
      <c r="B564">
        <v>9667129</v>
      </c>
      <c r="C564">
        <v>6209</v>
      </c>
      <c r="D564">
        <v>6</v>
      </c>
      <c r="E564">
        <v>401</v>
      </c>
      <c r="F564" t="s">
        <v>76</v>
      </c>
      <c r="G564" t="s">
        <v>77</v>
      </c>
      <c r="H564">
        <v>401</v>
      </c>
      <c r="I564" t="s">
        <v>76</v>
      </c>
      <c r="J564" t="s">
        <v>77</v>
      </c>
      <c r="K564" t="s">
        <v>937</v>
      </c>
      <c r="L564">
        <v>1</v>
      </c>
      <c r="M564">
        <v>1</v>
      </c>
    </row>
    <row r="565" spans="1:13" x14ac:dyDescent="0.25">
      <c r="A565">
        <v>4</v>
      </c>
      <c r="B565">
        <v>9667613</v>
      </c>
      <c r="C565">
        <v>6209</v>
      </c>
      <c r="D565">
        <v>7</v>
      </c>
      <c r="E565">
        <v>567</v>
      </c>
      <c r="F565" t="s">
        <v>938</v>
      </c>
      <c r="G565" t="s">
        <v>939</v>
      </c>
      <c r="H565">
        <v>567</v>
      </c>
      <c r="I565" t="s">
        <v>938</v>
      </c>
      <c r="J565" t="s">
        <v>939</v>
      </c>
      <c r="K565" t="s">
        <v>940</v>
      </c>
      <c r="L565">
        <v>1</v>
      </c>
      <c r="M565">
        <v>1</v>
      </c>
    </row>
    <row r="566" spans="1:13" x14ac:dyDescent="0.25">
      <c r="A566">
        <v>4</v>
      </c>
      <c r="B566">
        <v>9667986</v>
      </c>
      <c r="C566">
        <v>6209</v>
      </c>
      <c r="D566">
        <v>8</v>
      </c>
      <c r="E566">
        <v>565</v>
      </c>
      <c r="F566" t="s">
        <v>401</v>
      </c>
      <c r="G566" t="s">
        <v>402</v>
      </c>
      <c r="H566">
        <v>565</v>
      </c>
      <c r="I566" t="s">
        <v>401</v>
      </c>
      <c r="J566" t="s">
        <v>402</v>
      </c>
      <c r="K566" t="s">
        <v>941</v>
      </c>
      <c r="L566">
        <v>1</v>
      </c>
      <c r="M566">
        <v>1</v>
      </c>
    </row>
    <row r="567" spans="1:13" x14ac:dyDescent="0.25">
      <c r="A567">
        <v>4</v>
      </c>
      <c r="B567">
        <v>9665420</v>
      </c>
      <c r="C567">
        <v>6209</v>
      </c>
      <c r="D567">
        <v>1</v>
      </c>
      <c r="E567">
        <v>698</v>
      </c>
      <c r="F567" t="s">
        <v>116</v>
      </c>
      <c r="G567" t="s">
        <v>117</v>
      </c>
      <c r="H567">
        <v>698</v>
      </c>
      <c r="I567" t="s">
        <v>116</v>
      </c>
      <c r="J567" t="s">
        <v>117</v>
      </c>
      <c r="K567" t="s">
        <v>942</v>
      </c>
      <c r="L567">
        <v>1</v>
      </c>
      <c r="M567">
        <v>1</v>
      </c>
    </row>
    <row r="568" spans="1:13" x14ac:dyDescent="0.25">
      <c r="A568">
        <v>4</v>
      </c>
      <c r="B568">
        <v>9665624</v>
      </c>
      <c r="C568">
        <v>6209</v>
      </c>
      <c r="D568">
        <v>2</v>
      </c>
      <c r="E568">
        <v>584</v>
      </c>
      <c r="F568" t="s">
        <v>96</v>
      </c>
      <c r="G568" t="s">
        <v>97</v>
      </c>
      <c r="H568">
        <v>584</v>
      </c>
      <c r="I568" t="s">
        <v>96</v>
      </c>
      <c r="J568" t="s">
        <v>97</v>
      </c>
      <c r="K568" t="s">
        <v>943</v>
      </c>
      <c r="L568">
        <v>1</v>
      </c>
      <c r="M568">
        <v>1</v>
      </c>
    </row>
    <row r="569" spans="1:13" x14ac:dyDescent="0.25">
      <c r="A569">
        <v>4</v>
      </c>
      <c r="B569">
        <v>9665918</v>
      </c>
      <c r="C569">
        <v>6209</v>
      </c>
      <c r="D569">
        <v>3</v>
      </c>
      <c r="E569">
        <v>607</v>
      </c>
      <c r="F569" t="s">
        <v>944</v>
      </c>
      <c r="G569" t="s">
        <v>945</v>
      </c>
      <c r="H569">
        <v>607</v>
      </c>
      <c r="I569" t="s">
        <v>944</v>
      </c>
      <c r="J569" t="s">
        <v>945</v>
      </c>
      <c r="K569" t="s">
        <v>946</v>
      </c>
      <c r="L569">
        <v>1</v>
      </c>
      <c r="M569">
        <v>1</v>
      </c>
    </row>
    <row r="570" spans="1:13" x14ac:dyDescent="0.25">
      <c r="A570">
        <v>4</v>
      </c>
      <c r="B570">
        <v>9666680</v>
      </c>
      <c r="C570">
        <v>6209</v>
      </c>
      <c r="D570">
        <v>4</v>
      </c>
      <c r="E570">
        <v>714</v>
      </c>
      <c r="F570" t="s">
        <v>124</v>
      </c>
      <c r="G570" t="s">
        <v>125</v>
      </c>
      <c r="H570">
        <v>714</v>
      </c>
      <c r="I570" t="s">
        <v>124</v>
      </c>
      <c r="J570" t="s">
        <v>125</v>
      </c>
      <c r="K570" t="s">
        <v>947</v>
      </c>
      <c r="L570">
        <v>1</v>
      </c>
      <c r="M570">
        <v>1</v>
      </c>
    </row>
    <row r="571" spans="1:13" x14ac:dyDescent="0.25">
      <c r="A571">
        <v>4</v>
      </c>
      <c r="B571">
        <v>9667340</v>
      </c>
      <c r="C571">
        <v>6210</v>
      </c>
      <c r="D571">
        <v>1</v>
      </c>
      <c r="E571">
        <v>905</v>
      </c>
      <c r="F571" t="s">
        <v>146</v>
      </c>
      <c r="G571" t="s">
        <v>147</v>
      </c>
      <c r="H571">
        <v>794</v>
      </c>
      <c r="I571" t="s">
        <v>780</v>
      </c>
      <c r="J571" t="s">
        <v>781</v>
      </c>
      <c r="K571" t="s">
        <v>948</v>
      </c>
      <c r="L571">
        <v>1</v>
      </c>
      <c r="M571">
        <v>1</v>
      </c>
    </row>
    <row r="572" spans="1:13" x14ac:dyDescent="0.25">
      <c r="A572">
        <v>4</v>
      </c>
      <c r="B572">
        <v>9669177</v>
      </c>
      <c r="C572">
        <v>6211</v>
      </c>
      <c r="D572">
        <v>3</v>
      </c>
      <c r="E572">
        <v>877</v>
      </c>
      <c r="F572" t="s">
        <v>140</v>
      </c>
      <c r="G572" t="s">
        <v>141</v>
      </c>
      <c r="H572">
        <v>877</v>
      </c>
      <c r="I572" t="s">
        <v>140</v>
      </c>
      <c r="J572" t="s">
        <v>141</v>
      </c>
      <c r="K572" t="s">
        <v>949</v>
      </c>
      <c r="L572">
        <v>1</v>
      </c>
      <c r="M572">
        <v>1</v>
      </c>
    </row>
    <row r="573" spans="1:13" x14ac:dyDescent="0.25">
      <c r="A573">
        <v>4</v>
      </c>
      <c r="B573">
        <v>9656549</v>
      </c>
      <c r="C573">
        <v>6211</v>
      </c>
      <c r="D573">
        <v>2</v>
      </c>
      <c r="E573">
        <v>892</v>
      </c>
      <c r="F573" t="s">
        <v>142</v>
      </c>
      <c r="G573" t="s">
        <v>143</v>
      </c>
      <c r="H573">
        <v>746</v>
      </c>
      <c r="I573" t="s">
        <v>170</v>
      </c>
      <c r="J573" t="s">
        <v>171</v>
      </c>
      <c r="K573" t="s">
        <v>950</v>
      </c>
      <c r="L573">
        <v>1</v>
      </c>
      <c r="M573">
        <v>1</v>
      </c>
    </row>
    <row r="574" spans="1:13" x14ac:dyDescent="0.25">
      <c r="A574">
        <v>4</v>
      </c>
      <c r="B574">
        <v>9647777</v>
      </c>
      <c r="C574">
        <v>6211</v>
      </c>
      <c r="D574">
        <v>1</v>
      </c>
      <c r="E574">
        <v>781</v>
      </c>
      <c r="F574" t="s">
        <v>269</v>
      </c>
      <c r="G574" t="s">
        <v>270</v>
      </c>
      <c r="H574">
        <v>781</v>
      </c>
      <c r="I574" t="s">
        <v>269</v>
      </c>
      <c r="J574" t="s">
        <v>270</v>
      </c>
      <c r="K574" t="s">
        <v>951</v>
      </c>
      <c r="L574">
        <v>1</v>
      </c>
      <c r="M574">
        <v>1</v>
      </c>
    </row>
    <row r="575" spans="1:13" x14ac:dyDescent="0.25">
      <c r="A575">
        <v>9</v>
      </c>
      <c r="B575">
        <v>9200499</v>
      </c>
      <c r="C575">
        <v>6212</v>
      </c>
      <c r="D575">
        <v>6</v>
      </c>
      <c r="E575">
        <v>818</v>
      </c>
      <c r="F575" t="s">
        <v>130</v>
      </c>
      <c r="G575" t="s">
        <v>131</v>
      </c>
      <c r="H575">
        <v>818</v>
      </c>
      <c r="I575" t="s">
        <v>130</v>
      </c>
      <c r="J575" t="s">
        <v>131</v>
      </c>
      <c r="K575" t="s">
        <v>952</v>
      </c>
      <c r="L575">
        <v>1</v>
      </c>
      <c r="M575">
        <v>1</v>
      </c>
    </row>
    <row r="576" spans="1:13" x14ac:dyDescent="0.25">
      <c r="A576">
        <v>9</v>
      </c>
      <c r="B576">
        <v>9200499</v>
      </c>
      <c r="C576">
        <v>6212</v>
      </c>
      <c r="D576">
        <v>7</v>
      </c>
      <c r="E576">
        <v>887</v>
      </c>
      <c r="F576" t="s">
        <v>353</v>
      </c>
      <c r="G576" t="s">
        <v>354</v>
      </c>
      <c r="H576">
        <v>887</v>
      </c>
      <c r="I576" t="s">
        <v>353</v>
      </c>
      <c r="J576" t="s">
        <v>354</v>
      </c>
      <c r="K576" t="s">
        <v>953</v>
      </c>
      <c r="L576">
        <v>2</v>
      </c>
      <c r="M576">
        <v>2</v>
      </c>
    </row>
    <row r="577" spans="1:13" x14ac:dyDescent="0.25">
      <c r="A577">
        <v>9</v>
      </c>
      <c r="B577">
        <v>9200176</v>
      </c>
      <c r="C577">
        <v>6212</v>
      </c>
      <c r="D577">
        <v>4</v>
      </c>
      <c r="E577">
        <v>906</v>
      </c>
      <c r="F577" t="s">
        <v>316</v>
      </c>
      <c r="G577" t="s">
        <v>317</v>
      </c>
      <c r="H577">
        <v>906</v>
      </c>
      <c r="I577" t="s">
        <v>316</v>
      </c>
      <c r="J577" t="s">
        <v>317</v>
      </c>
      <c r="K577" t="s">
        <v>954</v>
      </c>
      <c r="L577">
        <v>1</v>
      </c>
      <c r="M577">
        <v>1</v>
      </c>
    </row>
    <row r="578" spans="1:13" x14ac:dyDescent="0.25">
      <c r="A578">
        <v>9</v>
      </c>
      <c r="B578">
        <v>9200280</v>
      </c>
      <c r="C578">
        <v>6212</v>
      </c>
      <c r="D578">
        <v>5</v>
      </c>
      <c r="E578">
        <v>887</v>
      </c>
      <c r="F578" t="s">
        <v>353</v>
      </c>
      <c r="G578" t="s">
        <v>354</v>
      </c>
      <c r="H578">
        <v>887</v>
      </c>
      <c r="I578" t="s">
        <v>353</v>
      </c>
      <c r="J578" t="s">
        <v>354</v>
      </c>
      <c r="K578" t="s">
        <v>955</v>
      </c>
      <c r="L578">
        <v>1</v>
      </c>
      <c r="M578">
        <v>1</v>
      </c>
    </row>
    <row r="579" spans="1:13" x14ac:dyDescent="0.25">
      <c r="A579">
        <v>9</v>
      </c>
      <c r="B579">
        <v>9199539</v>
      </c>
      <c r="C579">
        <v>6212</v>
      </c>
      <c r="D579">
        <v>1</v>
      </c>
      <c r="E579">
        <v>849</v>
      </c>
      <c r="F579" t="s">
        <v>138</v>
      </c>
      <c r="G579" t="s">
        <v>139</v>
      </c>
      <c r="H579">
        <v>849</v>
      </c>
      <c r="I579" t="s">
        <v>138</v>
      </c>
      <c r="J579" t="s">
        <v>139</v>
      </c>
      <c r="K579" t="s">
        <v>956</v>
      </c>
      <c r="L579">
        <v>1</v>
      </c>
      <c r="M579">
        <v>1</v>
      </c>
    </row>
    <row r="580" spans="1:13" x14ac:dyDescent="0.25">
      <c r="A580">
        <v>9</v>
      </c>
      <c r="B580">
        <v>9199539</v>
      </c>
      <c r="C580">
        <v>6212</v>
      </c>
      <c r="D580">
        <v>2</v>
      </c>
      <c r="E580">
        <v>809</v>
      </c>
      <c r="F580" t="s">
        <v>128</v>
      </c>
      <c r="G580" t="s">
        <v>129</v>
      </c>
      <c r="H580">
        <v>809</v>
      </c>
      <c r="I580" t="s">
        <v>128</v>
      </c>
      <c r="J580" t="s">
        <v>129</v>
      </c>
      <c r="K580" t="s">
        <v>957</v>
      </c>
      <c r="L580">
        <v>1</v>
      </c>
      <c r="M580">
        <v>1</v>
      </c>
    </row>
    <row r="581" spans="1:13" x14ac:dyDescent="0.25">
      <c r="A581">
        <v>9</v>
      </c>
      <c r="B581">
        <v>9199640</v>
      </c>
      <c r="C581">
        <v>6212</v>
      </c>
      <c r="D581">
        <v>3</v>
      </c>
      <c r="E581">
        <v>700</v>
      </c>
      <c r="F581" t="s">
        <v>118</v>
      </c>
      <c r="G581" t="s">
        <v>119</v>
      </c>
      <c r="H581">
        <v>700</v>
      </c>
      <c r="I581" t="s">
        <v>118</v>
      </c>
      <c r="J581" t="s">
        <v>119</v>
      </c>
      <c r="K581" t="s">
        <v>958</v>
      </c>
      <c r="L581">
        <v>1</v>
      </c>
      <c r="M581">
        <v>1</v>
      </c>
    </row>
    <row r="582" spans="1:13" x14ac:dyDescent="0.25">
      <c r="A582">
        <v>9</v>
      </c>
      <c r="B582">
        <v>9200371</v>
      </c>
      <c r="C582">
        <v>6213</v>
      </c>
      <c r="D582">
        <v>17</v>
      </c>
      <c r="E582">
        <v>893</v>
      </c>
      <c r="F582" t="s">
        <v>144</v>
      </c>
      <c r="G582" t="s">
        <v>145</v>
      </c>
      <c r="H582">
        <v>893</v>
      </c>
      <c r="I582" t="s">
        <v>144</v>
      </c>
      <c r="J582" t="s">
        <v>145</v>
      </c>
      <c r="K582" t="s">
        <v>959</v>
      </c>
      <c r="L582">
        <v>1</v>
      </c>
      <c r="M582">
        <v>1</v>
      </c>
    </row>
    <row r="583" spans="1:13" x14ac:dyDescent="0.25">
      <c r="A583">
        <v>9</v>
      </c>
      <c r="B583">
        <v>9200371</v>
      </c>
      <c r="C583">
        <v>6213</v>
      </c>
      <c r="D583">
        <v>29</v>
      </c>
      <c r="E583">
        <v>729</v>
      </c>
      <c r="F583" t="s">
        <v>557</v>
      </c>
      <c r="G583" t="s">
        <v>558</v>
      </c>
      <c r="H583">
        <v>729</v>
      </c>
      <c r="I583" t="s">
        <v>557</v>
      </c>
      <c r="J583" t="s">
        <v>558</v>
      </c>
      <c r="K583" t="s">
        <v>960</v>
      </c>
      <c r="L583">
        <v>1</v>
      </c>
      <c r="M583">
        <v>1</v>
      </c>
    </row>
    <row r="584" spans="1:13" x14ac:dyDescent="0.25">
      <c r="A584">
        <v>9</v>
      </c>
      <c r="B584">
        <v>9200371</v>
      </c>
      <c r="C584">
        <v>6213</v>
      </c>
      <c r="D584">
        <v>30</v>
      </c>
      <c r="E584">
        <v>402</v>
      </c>
      <c r="F584" t="s">
        <v>168</v>
      </c>
      <c r="G584" t="s">
        <v>169</v>
      </c>
      <c r="H584">
        <v>402</v>
      </c>
      <c r="I584" t="s">
        <v>168</v>
      </c>
      <c r="J584" t="s">
        <v>169</v>
      </c>
      <c r="K584" t="s">
        <v>961</v>
      </c>
      <c r="L584">
        <v>1</v>
      </c>
      <c r="M584">
        <v>1</v>
      </c>
    </row>
    <row r="585" spans="1:13" x14ac:dyDescent="0.25">
      <c r="A585">
        <v>9</v>
      </c>
      <c r="B585">
        <v>9200410</v>
      </c>
      <c r="C585">
        <v>6213</v>
      </c>
      <c r="D585">
        <v>31</v>
      </c>
      <c r="E585">
        <v>347</v>
      </c>
      <c r="F585" t="s">
        <v>70</v>
      </c>
      <c r="G585" t="s">
        <v>71</v>
      </c>
      <c r="H585">
        <v>347</v>
      </c>
      <c r="I585" t="s">
        <v>70</v>
      </c>
      <c r="J585" t="s">
        <v>71</v>
      </c>
      <c r="K585" t="s">
        <v>962</v>
      </c>
      <c r="L585">
        <v>1</v>
      </c>
      <c r="M585">
        <v>1</v>
      </c>
    </row>
    <row r="586" spans="1:13" x14ac:dyDescent="0.25">
      <c r="A586">
        <v>9</v>
      </c>
      <c r="B586">
        <v>9200499</v>
      </c>
      <c r="C586">
        <v>6213</v>
      </c>
      <c r="D586">
        <v>32</v>
      </c>
      <c r="E586">
        <v>474</v>
      </c>
      <c r="F586" t="s">
        <v>86</v>
      </c>
      <c r="G586" t="s">
        <v>87</v>
      </c>
      <c r="H586">
        <v>474</v>
      </c>
      <c r="I586" t="s">
        <v>86</v>
      </c>
      <c r="J586" t="s">
        <v>87</v>
      </c>
      <c r="K586" t="s">
        <v>963</v>
      </c>
      <c r="L586">
        <v>1</v>
      </c>
      <c r="M586">
        <v>1</v>
      </c>
    </row>
    <row r="587" spans="1:13" x14ac:dyDescent="0.25">
      <c r="A587">
        <v>9</v>
      </c>
      <c r="B587">
        <v>9200499</v>
      </c>
      <c r="C587">
        <v>6213</v>
      </c>
      <c r="D587">
        <v>33</v>
      </c>
      <c r="E587">
        <v>970</v>
      </c>
      <c r="F587" t="s">
        <v>436</v>
      </c>
      <c r="G587" t="s">
        <v>437</v>
      </c>
      <c r="H587">
        <v>506</v>
      </c>
      <c r="I587" t="s">
        <v>92</v>
      </c>
      <c r="J587" t="s">
        <v>93</v>
      </c>
      <c r="K587" t="s">
        <v>964</v>
      </c>
      <c r="L587">
        <v>1</v>
      </c>
      <c r="M587">
        <v>1</v>
      </c>
    </row>
    <row r="588" spans="1:13" x14ac:dyDescent="0.25">
      <c r="A588">
        <v>9</v>
      </c>
      <c r="B588">
        <v>9200116</v>
      </c>
      <c r="C588">
        <v>6213</v>
      </c>
      <c r="D588">
        <v>27</v>
      </c>
      <c r="E588">
        <v>632</v>
      </c>
      <c r="F588" t="s">
        <v>102</v>
      </c>
      <c r="G588" t="s">
        <v>103</v>
      </c>
      <c r="H588">
        <v>632</v>
      </c>
      <c r="I588" t="s">
        <v>102</v>
      </c>
      <c r="J588" t="s">
        <v>103</v>
      </c>
      <c r="K588" t="s">
        <v>965</v>
      </c>
      <c r="L588">
        <v>1</v>
      </c>
      <c r="M588">
        <v>1</v>
      </c>
    </row>
    <row r="589" spans="1:13" x14ac:dyDescent="0.25">
      <c r="A589">
        <v>9</v>
      </c>
      <c r="B589">
        <v>9200323</v>
      </c>
      <c r="C589">
        <v>6213</v>
      </c>
      <c r="D589">
        <v>28</v>
      </c>
      <c r="E589">
        <v>182</v>
      </c>
      <c r="F589" t="s">
        <v>322</v>
      </c>
      <c r="G589" t="s">
        <v>323</v>
      </c>
      <c r="H589">
        <v>182</v>
      </c>
      <c r="I589" t="s">
        <v>322</v>
      </c>
      <c r="J589" t="s">
        <v>323</v>
      </c>
      <c r="K589" t="s">
        <v>966</v>
      </c>
      <c r="L589">
        <v>1</v>
      </c>
      <c r="M589">
        <v>1</v>
      </c>
    </row>
    <row r="590" spans="1:13" x14ac:dyDescent="0.25">
      <c r="A590">
        <v>9</v>
      </c>
      <c r="B590">
        <v>9199724</v>
      </c>
      <c r="C590">
        <v>6213</v>
      </c>
      <c r="D590">
        <v>8</v>
      </c>
      <c r="E590">
        <v>970</v>
      </c>
      <c r="F590" t="s">
        <v>436</v>
      </c>
      <c r="G590" t="s">
        <v>437</v>
      </c>
      <c r="H590">
        <v>506</v>
      </c>
      <c r="I590" t="s">
        <v>92</v>
      </c>
      <c r="J590" t="s">
        <v>93</v>
      </c>
      <c r="K590" t="s">
        <v>967</v>
      </c>
      <c r="L590">
        <v>1</v>
      </c>
      <c r="M590">
        <v>1</v>
      </c>
    </row>
    <row r="591" spans="1:13" x14ac:dyDescent="0.25">
      <c r="A591">
        <v>9</v>
      </c>
      <c r="B591">
        <v>9199724</v>
      </c>
      <c r="C591">
        <v>6213</v>
      </c>
      <c r="D591">
        <v>9</v>
      </c>
      <c r="E591">
        <v>970</v>
      </c>
      <c r="F591" t="s">
        <v>436</v>
      </c>
      <c r="G591" t="s">
        <v>437</v>
      </c>
      <c r="H591">
        <v>506</v>
      </c>
      <c r="I591" t="s">
        <v>92</v>
      </c>
      <c r="J591" t="s">
        <v>93</v>
      </c>
      <c r="K591" t="s">
        <v>968</v>
      </c>
      <c r="L591">
        <v>1</v>
      </c>
      <c r="M591">
        <v>1</v>
      </c>
    </row>
    <row r="592" spans="1:13" x14ac:dyDescent="0.25">
      <c r="A592">
        <v>9</v>
      </c>
      <c r="B592">
        <v>9199724</v>
      </c>
      <c r="C592">
        <v>6213</v>
      </c>
      <c r="D592">
        <v>10</v>
      </c>
      <c r="E592">
        <v>674</v>
      </c>
      <c r="F592" t="s">
        <v>112</v>
      </c>
      <c r="G592" t="s">
        <v>113</v>
      </c>
      <c r="H592">
        <v>674</v>
      </c>
      <c r="I592" t="s">
        <v>112</v>
      </c>
      <c r="J592" t="s">
        <v>113</v>
      </c>
      <c r="K592" t="s">
        <v>969</v>
      </c>
      <c r="L592">
        <v>1</v>
      </c>
      <c r="M592">
        <v>1</v>
      </c>
    </row>
    <row r="593" spans="1:13" x14ac:dyDescent="0.25">
      <c r="A593">
        <v>9</v>
      </c>
      <c r="B593">
        <v>9199767</v>
      </c>
      <c r="C593">
        <v>6213</v>
      </c>
      <c r="D593">
        <v>11</v>
      </c>
      <c r="E593">
        <v>970</v>
      </c>
      <c r="F593" t="s">
        <v>436</v>
      </c>
      <c r="G593" t="s">
        <v>437</v>
      </c>
      <c r="H593">
        <v>506</v>
      </c>
      <c r="I593" t="s">
        <v>92</v>
      </c>
      <c r="J593" t="s">
        <v>93</v>
      </c>
      <c r="K593" t="s">
        <v>970</v>
      </c>
      <c r="L593">
        <v>1</v>
      </c>
      <c r="M593">
        <v>1</v>
      </c>
    </row>
    <row r="594" spans="1:13" x14ac:dyDescent="0.25">
      <c r="A594">
        <v>9</v>
      </c>
      <c r="B594">
        <v>9199767</v>
      </c>
      <c r="C594">
        <v>6213</v>
      </c>
      <c r="D594">
        <v>12</v>
      </c>
      <c r="E594">
        <v>181</v>
      </c>
      <c r="F594" t="s">
        <v>164</v>
      </c>
      <c r="G594" t="s">
        <v>165</v>
      </c>
      <c r="H594">
        <v>181</v>
      </c>
      <c r="I594" t="s">
        <v>164</v>
      </c>
      <c r="J594" t="s">
        <v>165</v>
      </c>
      <c r="K594" t="s">
        <v>971</v>
      </c>
      <c r="L594">
        <v>1</v>
      </c>
      <c r="M594">
        <v>1</v>
      </c>
    </row>
    <row r="595" spans="1:13" x14ac:dyDescent="0.25">
      <c r="A595">
        <v>9</v>
      </c>
      <c r="B595">
        <v>9199849</v>
      </c>
      <c r="C595">
        <v>6213</v>
      </c>
      <c r="D595">
        <v>13</v>
      </c>
      <c r="E595">
        <v>474</v>
      </c>
      <c r="F595" t="s">
        <v>86</v>
      </c>
      <c r="G595" t="s">
        <v>87</v>
      </c>
      <c r="H595">
        <v>474</v>
      </c>
      <c r="I595" t="s">
        <v>86</v>
      </c>
      <c r="J595" t="s">
        <v>87</v>
      </c>
      <c r="K595" t="s">
        <v>972</v>
      </c>
      <c r="L595">
        <v>1</v>
      </c>
      <c r="M595">
        <v>1</v>
      </c>
    </row>
    <row r="596" spans="1:13" x14ac:dyDescent="0.25">
      <c r="A596">
        <v>9</v>
      </c>
      <c r="B596">
        <v>9199899</v>
      </c>
      <c r="C596">
        <v>6213</v>
      </c>
      <c r="D596">
        <v>14</v>
      </c>
      <c r="E596">
        <v>179</v>
      </c>
      <c r="F596" t="s">
        <v>66</v>
      </c>
      <c r="G596" t="s">
        <v>67</v>
      </c>
      <c r="H596">
        <v>179</v>
      </c>
      <c r="I596" t="s">
        <v>66</v>
      </c>
      <c r="J596" t="s">
        <v>67</v>
      </c>
      <c r="K596" t="s">
        <v>973</v>
      </c>
      <c r="L596">
        <v>1</v>
      </c>
      <c r="M596">
        <v>1</v>
      </c>
    </row>
    <row r="597" spans="1:13" x14ac:dyDescent="0.25">
      <c r="A597">
        <v>2</v>
      </c>
      <c r="B597">
        <v>8685500</v>
      </c>
      <c r="C597">
        <v>6265</v>
      </c>
      <c r="D597">
        <v>2</v>
      </c>
      <c r="E597">
        <v>401</v>
      </c>
      <c r="F597" t="s">
        <v>76</v>
      </c>
      <c r="G597" t="s">
        <v>77</v>
      </c>
      <c r="H597">
        <v>401</v>
      </c>
      <c r="I597" t="s">
        <v>76</v>
      </c>
      <c r="J597" t="s">
        <v>77</v>
      </c>
      <c r="K597" t="s">
        <v>974</v>
      </c>
      <c r="L597">
        <v>1</v>
      </c>
      <c r="M597">
        <v>1</v>
      </c>
    </row>
    <row r="598" spans="1:13" x14ac:dyDescent="0.25">
      <c r="A598">
        <v>2</v>
      </c>
      <c r="B598">
        <v>8687876</v>
      </c>
      <c r="C598">
        <v>6265</v>
      </c>
      <c r="D598">
        <v>3</v>
      </c>
      <c r="E598">
        <v>905</v>
      </c>
      <c r="F598" t="s">
        <v>146</v>
      </c>
      <c r="G598" t="s">
        <v>147</v>
      </c>
      <c r="H598">
        <v>905</v>
      </c>
      <c r="I598" t="s">
        <v>146</v>
      </c>
      <c r="J598" t="s">
        <v>147</v>
      </c>
      <c r="K598" t="s">
        <v>975</v>
      </c>
      <c r="L598">
        <v>1</v>
      </c>
      <c r="M598">
        <v>1</v>
      </c>
    </row>
    <row r="599" spans="1:13" x14ac:dyDescent="0.25">
      <c r="A599">
        <v>2</v>
      </c>
      <c r="B599">
        <v>8687901</v>
      </c>
      <c r="C599">
        <v>6265</v>
      </c>
      <c r="D599">
        <v>4</v>
      </c>
      <c r="E599">
        <v>970</v>
      </c>
      <c r="F599" t="s">
        <v>436</v>
      </c>
      <c r="G599" t="s">
        <v>437</v>
      </c>
      <c r="H599">
        <v>506</v>
      </c>
      <c r="I599" t="s">
        <v>92</v>
      </c>
      <c r="J599" t="s">
        <v>93</v>
      </c>
      <c r="K599" t="s">
        <v>976</v>
      </c>
      <c r="L599">
        <v>1</v>
      </c>
      <c r="M599">
        <v>1</v>
      </c>
    </row>
    <row r="600" spans="1:13" x14ac:dyDescent="0.25">
      <c r="A600">
        <v>2</v>
      </c>
      <c r="B600">
        <v>8688072</v>
      </c>
      <c r="C600">
        <v>6265</v>
      </c>
      <c r="D600">
        <v>5</v>
      </c>
      <c r="E600">
        <v>632</v>
      </c>
      <c r="F600" t="s">
        <v>102</v>
      </c>
      <c r="G600" t="s">
        <v>103</v>
      </c>
      <c r="H600">
        <v>632</v>
      </c>
      <c r="I600" t="s">
        <v>102</v>
      </c>
      <c r="J600" t="s">
        <v>103</v>
      </c>
      <c r="K600" t="s">
        <v>977</v>
      </c>
      <c r="L600">
        <v>1</v>
      </c>
      <c r="M600">
        <v>1</v>
      </c>
    </row>
    <row r="601" spans="1:13" x14ac:dyDescent="0.25">
      <c r="A601">
        <v>29</v>
      </c>
      <c r="B601">
        <v>8685505</v>
      </c>
      <c r="C601">
        <v>6266</v>
      </c>
      <c r="D601">
        <v>2</v>
      </c>
      <c r="E601">
        <v>956</v>
      </c>
      <c r="F601" t="s">
        <v>668</v>
      </c>
      <c r="G601" t="s">
        <v>669</v>
      </c>
      <c r="H601">
        <v>956</v>
      </c>
      <c r="I601" t="s">
        <v>668</v>
      </c>
      <c r="J601" t="s">
        <v>669</v>
      </c>
      <c r="K601" t="s">
        <v>978</v>
      </c>
      <c r="L601">
        <v>1</v>
      </c>
      <c r="M601">
        <v>0</v>
      </c>
    </row>
    <row r="602" spans="1:13" x14ac:dyDescent="0.25">
      <c r="A602">
        <v>29</v>
      </c>
      <c r="B602">
        <v>8685731</v>
      </c>
      <c r="C602">
        <v>6266</v>
      </c>
      <c r="D602">
        <v>3</v>
      </c>
      <c r="E602">
        <v>851</v>
      </c>
      <c r="F602" t="s">
        <v>201</v>
      </c>
      <c r="G602" t="s">
        <v>202</v>
      </c>
      <c r="H602">
        <v>851</v>
      </c>
      <c r="I602" t="s">
        <v>201</v>
      </c>
      <c r="J602" t="s">
        <v>202</v>
      </c>
      <c r="K602" t="s">
        <v>979</v>
      </c>
      <c r="L602">
        <v>1</v>
      </c>
      <c r="M602">
        <v>1</v>
      </c>
    </row>
    <row r="603" spans="1:13" x14ac:dyDescent="0.25">
      <c r="A603">
        <v>29</v>
      </c>
      <c r="B603">
        <v>8685912</v>
      </c>
      <c r="C603">
        <v>6266</v>
      </c>
      <c r="D603">
        <v>4</v>
      </c>
      <c r="E603">
        <v>829</v>
      </c>
      <c r="F603" t="s">
        <v>136</v>
      </c>
      <c r="G603" t="s">
        <v>137</v>
      </c>
      <c r="H603">
        <v>829</v>
      </c>
      <c r="I603" t="s">
        <v>136</v>
      </c>
      <c r="J603" t="s">
        <v>137</v>
      </c>
      <c r="K603" t="s">
        <v>980</v>
      </c>
      <c r="L603">
        <v>1</v>
      </c>
      <c r="M603">
        <v>1</v>
      </c>
    </row>
    <row r="604" spans="1:13" x14ac:dyDescent="0.25">
      <c r="A604">
        <v>29</v>
      </c>
      <c r="B604">
        <v>8687489</v>
      </c>
      <c r="C604">
        <v>6266</v>
      </c>
      <c r="D604">
        <v>5</v>
      </c>
      <c r="E604">
        <v>853</v>
      </c>
      <c r="F604" t="s">
        <v>296</v>
      </c>
      <c r="G604" t="s">
        <v>297</v>
      </c>
      <c r="H604">
        <v>853</v>
      </c>
      <c r="I604" t="s">
        <v>296</v>
      </c>
      <c r="J604" t="s">
        <v>297</v>
      </c>
      <c r="K604" t="s">
        <v>981</v>
      </c>
      <c r="L604">
        <v>1</v>
      </c>
      <c r="M604">
        <v>1</v>
      </c>
    </row>
    <row r="605" spans="1:13" x14ac:dyDescent="0.25">
      <c r="A605">
        <v>29</v>
      </c>
      <c r="B605">
        <v>8687869</v>
      </c>
      <c r="C605">
        <v>6266</v>
      </c>
      <c r="D605">
        <v>6</v>
      </c>
      <c r="E605">
        <v>849</v>
      </c>
      <c r="F605" t="s">
        <v>138</v>
      </c>
      <c r="G605" t="s">
        <v>139</v>
      </c>
      <c r="H605">
        <v>849</v>
      </c>
      <c r="I605" t="s">
        <v>138</v>
      </c>
      <c r="J605" t="s">
        <v>139</v>
      </c>
      <c r="K605" t="s">
        <v>982</v>
      </c>
      <c r="L605">
        <v>1</v>
      </c>
      <c r="M605">
        <v>1</v>
      </c>
    </row>
    <row r="606" spans="1:13" x14ac:dyDescent="0.25">
      <c r="A606">
        <v>29</v>
      </c>
      <c r="B606">
        <v>8685410</v>
      </c>
      <c r="C606">
        <v>6266</v>
      </c>
      <c r="D606">
        <v>1</v>
      </c>
      <c r="E606">
        <v>787</v>
      </c>
      <c r="F606" t="s">
        <v>203</v>
      </c>
      <c r="G606" t="s">
        <v>204</v>
      </c>
      <c r="H606">
        <v>787</v>
      </c>
      <c r="I606" t="s">
        <v>203</v>
      </c>
      <c r="J606" t="s">
        <v>204</v>
      </c>
      <c r="K606" t="s">
        <v>983</v>
      </c>
      <c r="L606">
        <v>1</v>
      </c>
      <c r="M606">
        <v>1</v>
      </c>
    </row>
    <row r="607" spans="1:13" x14ac:dyDescent="0.25">
      <c r="A607">
        <v>1</v>
      </c>
      <c r="B607">
        <v>8686410</v>
      </c>
      <c r="C607">
        <v>6267</v>
      </c>
      <c r="D607">
        <v>1</v>
      </c>
      <c r="E607">
        <v>878</v>
      </c>
      <c r="F607" t="s">
        <v>216</v>
      </c>
      <c r="G607" t="s">
        <v>217</v>
      </c>
      <c r="H607">
        <v>362</v>
      </c>
      <c r="I607" t="s">
        <v>72</v>
      </c>
      <c r="J607" t="s">
        <v>73</v>
      </c>
      <c r="K607" t="s">
        <v>152</v>
      </c>
      <c r="L607">
        <v>128</v>
      </c>
      <c r="M607">
        <v>128</v>
      </c>
    </row>
    <row r="608" spans="1:13" x14ac:dyDescent="0.25">
      <c r="A608">
        <v>1</v>
      </c>
      <c r="B608">
        <v>8686410</v>
      </c>
      <c r="C608">
        <v>6267</v>
      </c>
      <c r="D608">
        <v>2</v>
      </c>
      <c r="E608">
        <v>618</v>
      </c>
      <c r="F608" t="s">
        <v>98</v>
      </c>
      <c r="G608" t="s">
        <v>99</v>
      </c>
      <c r="H608">
        <v>618</v>
      </c>
      <c r="I608" t="s">
        <v>98</v>
      </c>
      <c r="J608" t="s">
        <v>99</v>
      </c>
      <c r="K608" t="s">
        <v>155</v>
      </c>
      <c r="L608">
        <v>6</v>
      </c>
      <c r="M608">
        <v>6</v>
      </c>
    </row>
    <row r="609" spans="1:13" x14ac:dyDescent="0.25">
      <c r="A609">
        <v>1</v>
      </c>
      <c r="B609">
        <v>8686410</v>
      </c>
      <c r="C609">
        <v>6267</v>
      </c>
      <c r="D609">
        <v>3</v>
      </c>
      <c r="E609">
        <v>619</v>
      </c>
      <c r="F609" t="s">
        <v>242</v>
      </c>
      <c r="G609" t="s">
        <v>243</v>
      </c>
      <c r="H609">
        <v>619</v>
      </c>
      <c r="I609" t="s">
        <v>242</v>
      </c>
      <c r="J609" t="s">
        <v>243</v>
      </c>
      <c r="K609" t="s">
        <v>156</v>
      </c>
      <c r="L609">
        <v>12</v>
      </c>
      <c r="M609">
        <v>12</v>
      </c>
    </row>
    <row r="610" spans="1:13" x14ac:dyDescent="0.25">
      <c r="A610">
        <v>1</v>
      </c>
      <c r="B610">
        <v>8686410</v>
      </c>
      <c r="C610">
        <v>6267</v>
      </c>
      <c r="D610">
        <v>4</v>
      </c>
      <c r="E610">
        <v>1103</v>
      </c>
      <c r="F610" t="s">
        <v>157</v>
      </c>
      <c r="G610" t="s">
        <v>158</v>
      </c>
      <c r="H610">
        <v>1103</v>
      </c>
      <c r="I610" t="s">
        <v>157</v>
      </c>
      <c r="J610" t="s">
        <v>158</v>
      </c>
      <c r="K610" t="s">
        <v>153</v>
      </c>
      <c r="L610">
        <v>24</v>
      </c>
      <c r="M610">
        <v>24</v>
      </c>
    </row>
    <row r="611" spans="1:13" x14ac:dyDescent="0.25">
      <c r="A611">
        <v>1</v>
      </c>
      <c r="B611">
        <v>8686410</v>
      </c>
      <c r="C611">
        <v>6267</v>
      </c>
      <c r="D611">
        <v>5</v>
      </c>
      <c r="E611">
        <v>1100</v>
      </c>
      <c r="F611" t="s">
        <v>148</v>
      </c>
      <c r="G611" t="s">
        <v>149</v>
      </c>
      <c r="H611">
        <v>1100</v>
      </c>
      <c r="I611" t="s">
        <v>148</v>
      </c>
      <c r="J611" t="s">
        <v>149</v>
      </c>
      <c r="K611" t="s">
        <v>154</v>
      </c>
      <c r="L611">
        <v>18</v>
      </c>
      <c r="M611">
        <v>18</v>
      </c>
    </row>
    <row r="612" spans="1:13" x14ac:dyDescent="0.25">
      <c r="A612">
        <v>1</v>
      </c>
      <c r="B612">
        <v>8686410</v>
      </c>
      <c r="C612">
        <v>6267</v>
      </c>
      <c r="D612">
        <v>6</v>
      </c>
      <c r="E612">
        <v>621</v>
      </c>
      <c r="F612" t="s">
        <v>238</v>
      </c>
      <c r="G612" t="s">
        <v>239</v>
      </c>
      <c r="H612">
        <v>621</v>
      </c>
      <c r="I612" t="s">
        <v>238</v>
      </c>
      <c r="J612" t="s">
        <v>239</v>
      </c>
      <c r="K612" t="s">
        <v>410</v>
      </c>
      <c r="L612">
        <v>42</v>
      </c>
      <c r="M612">
        <v>42</v>
      </c>
    </row>
    <row r="613" spans="1:13" x14ac:dyDescent="0.25">
      <c r="A613">
        <v>1</v>
      </c>
      <c r="B613">
        <v>8686410</v>
      </c>
      <c r="C613">
        <v>6267</v>
      </c>
      <c r="D613">
        <v>7</v>
      </c>
      <c r="E613">
        <v>620</v>
      </c>
      <c r="F613" t="s">
        <v>100</v>
      </c>
      <c r="G613" t="s">
        <v>101</v>
      </c>
      <c r="H613">
        <v>620</v>
      </c>
      <c r="I613" t="s">
        <v>100</v>
      </c>
      <c r="J613" t="s">
        <v>101</v>
      </c>
      <c r="K613" t="s">
        <v>244</v>
      </c>
      <c r="L613">
        <v>36</v>
      </c>
      <c r="M613">
        <v>36</v>
      </c>
    </row>
    <row r="614" spans="1:13" x14ac:dyDescent="0.25">
      <c r="A614">
        <v>4</v>
      </c>
      <c r="B614">
        <v>9678415</v>
      </c>
      <c r="C614">
        <v>6268</v>
      </c>
      <c r="D614">
        <v>1</v>
      </c>
      <c r="E614">
        <v>700</v>
      </c>
      <c r="F614" t="s">
        <v>118</v>
      </c>
      <c r="G614" t="s">
        <v>119</v>
      </c>
      <c r="H614">
        <v>700</v>
      </c>
      <c r="I614" t="s">
        <v>118</v>
      </c>
      <c r="J614" t="s">
        <v>119</v>
      </c>
      <c r="K614" t="s">
        <v>984</v>
      </c>
      <c r="L614">
        <v>1</v>
      </c>
      <c r="M614">
        <v>1</v>
      </c>
    </row>
    <row r="615" spans="1:13" x14ac:dyDescent="0.25">
      <c r="A615">
        <v>4</v>
      </c>
      <c r="B615">
        <v>9679359</v>
      </c>
      <c r="C615">
        <v>6268</v>
      </c>
      <c r="D615">
        <v>2</v>
      </c>
      <c r="E615">
        <v>401</v>
      </c>
      <c r="F615" t="s">
        <v>76</v>
      </c>
      <c r="G615" t="s">
        <v>77</v>
      </c>
      <c r="H615">
        <v>401</v>
      </c>
      <c r="I615" t="s">
        <v>76</v>
      </c>
      <c r="J615" t="s">
        <v>77</v>
      </c>
      <c r="K615" t="s">
        <v>985</v>
      </c>
      <c r="L615">
        <v>1</v>
      </c>
      <c r="M615">
        <v>1</v>
      </c>
    </row>
    <row r="616" spans="1:13" x14ac:dyDescent="0.25">
      <c r="A616">
        <v>6</v>
      </c>
      <c r="B616">
        <v>965297</v>
      </c>
      <c r="C616">
        <v>6269</v>
      </c>
      <c r="D616">
        <v>1</v>
      </c>
      <c r="E616">
        <v>833</v>
      </c>
      <c r="F616" t="s">
        <v>332</v>
      </c>
      <c r="G616" t="s">
        <v>333</v>
      </c>
      <c r="H616">
        <v>833</v>
      </c>
      <c r="I616" t="s">
        <v>332</v>
      </c>
      <c r="J616" t="s">
        <v>333</v>
      </c>
      <c r="K616" t="s">
        <v>986</v>
      </c>
      <c r="L616">
        <v>1</v>
      </c>
      <c r="M616">
        <v>1</v>
      </c>
    </row>
    <row r="617" spans="1:13" x14ac:dyDescent="0.25">
      <c r="A617">
        <v>6</v>
      </c>
      <c r="B617">
        <v>965346</v>
      </c>
      <c r="C617">
        <v>6269</v>
      </c>
      <c r="D617">
        <v>2</v>
      </c>
      <c r="E617">
        <v>936</v>
      </c>
      <c r="F617" t="s">
        <v>314</v>
      </c>
      <c r="G617" t="s">
        <v>315</v>
      </c>
      <c r="H617">
        <v>936</v>
      </c>
      <c r="I617" t="s">
        <v>314</v>
      </c>
      <c r="J617" t="s">
        <v>315</v>
      </c>
      <c r="K617" t="s">
        <v>987</v>
      </c>
      <c r="L617">
        <v>1</v>
      </c>
      <c r="M617">
        <v>1</v>
      </c>
    </row>
    <row r="618" spans="1:13" x14ac:dyDescent="0.25">
      <c r="A618">
        <v>9</v>
      </c>
      <c r="B618">
        <v>9202247</v>
      </c>
      <c r="C618">
        <v>6270</v>
      </c>
      <c r="D618">
        <v>13</v>
      </c>
      <c r="E618">
        <v>905</v>
      </c>
      <c r="F618" t="s">
        <v>146</v>
      </c>
      <c r="G618" t="s">
        <v>147</v>
      </c>
      <c r="H618">
        <v>905</v>
      </c>
      <c r="I618" t="s">
        <v>146</v>
      </c>
      <c r="J618" t="s">
        <v>147</v>
      </c>
      <c r="K618" t="s">
        <v>988</v>
      </c>
      <c r="L618">
        <v>1</v>
      </c>
      <c r="M618">
        <v>1</v>
      </c>
    </row>
    <row r="619" spans="1:13" x14ac:dyDescent="0.25">
      <c r="A619">
        <v>9</v>
      </c>
      <c r="B619">
        <v>9201479</v>
      </c>
      <c r="C619">
        <v>6270</v>
      </c>
      <c r="D619">
        <v>10</v>
      </c>
      <c r="E619">
        <v>674</v>
      </c>
      <c r="F619" t="s">
        <v>112</v>
      </c>
      <c r="G619" t="s">
        <v>113</v>
      </c>
      <c r="H619">
        <v>674</v>
      </c>
      <c r="I619" t="s">
        <v>112</v>
      </c>
      <c r="J619" t="s">
        <v>113</v>
      </c>
      <c r="K619" t="s">
        <v>989</v>
      </c>
      <c r="L619">
        <v>1</v>
      </c>
      <c r="M619">
        <v>1</v>
      </c>
    </row>
    <row r="620" spans="1:13" x14ac:dyDescent="0.25">
      <c r="A620">
        <v>9</v>
      </c>
      <c r="B620">
        <v>9201667</v>
      </c>
      <c r="C620">
        <v>6270</v>
      </c>
      <c r="D620">
        <v>11</v>
      </c>
      <c r="E620">
        <v>638</v>
      </c>
      <c r="F620" t="s">
        <v>104</v>
      </c>
      <c r="G620" t="s">
        <v>105</v>
      </c>
      <c r="H620">
        <v>638</v>
      </c>
      <c r="I620" t="s">
        <v>104</v>
      </c>
      <c r="J620" t="s">
        <v>105</v>
      </c>
      <c r="K620" t="s">
        <v>990</v>
      </c>
      <c r="L620">
        <v>1</v>
      </c>
      <c r="M620">
        <v>1</v>
      </c>
    </row>
    <row r="621" spans="1:13" x14ac:dyDescent="0.25">
      <c r="A621">
        <v>9</v>
      </c>
      <c r="B621">
        <v>9201767</v>
      </c>
      <c r="C621">
        <v>6270</v>
      </c>
      <c r="D621">
        <v>12</v>
      </c>
      <c r="E621">
        <v>904</v>
      </c>
      <c r="F621" t="s">
        <v>298</v>
      </c>
      <c r="G621" t="s">
        <v>299</v>
      </c>
      <c r="H621">
        <v>904</v>
      </c>
      <c r="I621" t="s">
        <v>298</v>
      </c>
      <c r="J621" t="s">
        <v>299</v>
      </c>
      <c r="K621" t="s">
        <v>991</v>
      </c>
      <c r="L621">
        <v>1</v>
      </c>
      <c r="M621">
        <v>1</v>
      </c>
    </row>
    <row r="622" spans="1:13" x14ac:dyDescent="0.25">
      <c r="A622">
        <v>9</v>
      </c>
      <c r="B622">
        <v>9200870</v>
      </c>
      <c r="C622">
        <v>6270</v>
      </c>
      <c r="D622">
        <v>9</v>
      </c>
      <c r="E622">
        <v>506</v>
      </c>
      <c r="F622" t="s">
        <v>92</v>
      </c>
      <c r="G622" t="s">
        <v>93</v>
      </c>
      <c r="H622">
        <v>506</v>
      </c>
      <c r="I622" t="s">
        <v>92</v>
      </c>
      <c r="J622" t="s">
        <v>93</v>
      </c>
      <c r="K622" t="s">
        <v>992</v>
      </c>
      <c r="L622">
        <v>1</v>
      </c>
      <c r="M622">
        <v>0</v>
      </c>
    </row>
    <row r="623" spans="1:13" x14ac:dyDescent="0.25">
      <c r="A623">
        <v>9</v>
      </c>
      <c r="B623">
        <v>9200371</v>
      </c>
      <c r="C623">
        <v>6270</v>
      </c>
      <c r="D623">
        <v>8</v>
      </c>
      <c r="E623">
        <v>401</v>
      </c>
      <c r="F623" t="s">
        <v>76</v>
      </c>
      <c r="G623" t="s">
        <v>77</v>
      </c>
      <c r="H623">
        <v>401</v>
      </c>
      <c r="I623" t="s">
        <v>76</v>
      </c>
      <c r="J623" t="s">
        <v>77</v>
      </c>
      <c r="K623" t="s">
        <v>993</v>
      </c>
      <c r="L623">
        <v>1</v>
      </c>
      <c r="M623">
        <v>1</v>
      </c>
    </row>
    <row r="624" spans="1:13" x14ac:dyDescent="0.25">
      <c r="A624">
        <v>9</v>
      </c>
      <c r="B624">
        <v>9200076</v>
      </c>
      <c r="C624">
        <v>6270</v>
      </c>
      <c r="D624">
        <v>5</v>
      </c>
      <c r="E624">
        <v>13</v>
      </c>
      <c r="F624" t="s">
        <v>62</v>
      </c>
      <c r="G624" t="s">
        <v>63</v>
      </c>
      <c r="H624">
        <v>13</v>
      </c>
      <c r="I624" t="s">
        <v>62</v>
      </c>
      <c r="J624" t="s">
        <v>63</v>
      </c>
      <c r="K624" t="s">
        <v>994</v>
      </c>
      <c r="L624">
        <v>1</v>
      </c>
      <c r="M624">
        <v>1</v>
      </c>
    </row>
    <row r="625" spans="1:13" x14ac:dyDescent="0.25">
      <c r="A625">
        <v>9</v>
      </c>
      <c r="B625">
        <v>9200176</v>
      </c>
      <c r="C625">
        <v>6270</v>
      </c>
      <c r="D625">
        <v>6</v>
      </c>
      <c r="E625">
        <v>474</v>
      </c>
      <c r="F625" t="s">
        <v>86</v>
      </c>
      <c r="G625" t="s">
        <v>87</v>
      </c>
      <c r="H625">
        <v>474</v>
      </c>
      <c r="I625" t="s">
        <v>86</v>
      </c>
      <c r="J625" t="s">
        <v>87</v>
      </c>
      <c r="K625" t="s">
        <v>995</v>
      </c>
      <c r="L625">
        <v>1</v>
      </c>
      <c r="M625">
        <v>1</v>
      </c>
    </row>
    <row r="626" spans="1:13" x14ac:dyDescent="0.25">
      <c r="A626">
        <v>9</v>
      </c>
      <c r="B626">
        <v>9200231</v>
      </c>
      <c r="C626">
        <v>6270</v>
      </c>
      <c r="D626">
        <v>7</v>
      </c>
      <c r="E626">
        <v>13</v>
      </c>
      <c r="F626" t="s">
        <v>62</v>
      </c>
      <c r="G626" t="s">
        <v>63</v>
      </c>
      <c r="H626">
        <v>13</v>
      </c>
      <c r="I626" t="s">
        <v>62</v>
      </c>
      <c r="J626" t="s">
        <v>63</v>
      </c>
      <c r="K626" t="s">
        <v>996</v>
      </c>
      <c r="L626">
        <v>1</v>
      </c>
      <c r="M626">
        <v>1</v>
      </c>
    </row>
    <row r="627" spans="1:13" x14ac:dyDescent="0.25">
      <c r="A627">
        <v>9</v>
      </c>
      <c r="B627">
        <v>9199368</v>
      </c>
      <c r="C627">
        <v>6270</v>
      </c>
      <c r="D627">
        <v>4</v>
      </c>
      <c r="E627">
        <v>703</v>
      </c>
      <c r="F627" t="s">
        <v>461</v>
      </c>
      <c r="G627" t="s">
        <v>462</v>
      </c>
      <c r="H627">
        <v>703</v>
      </c>
      <c r="I627" t="s">
        <v>461</v>
      </c>
      <c r="J627" t="s">
        <v>462</v>
      </c>
      <c r="K627" t="s">
        <v>997</v>
      </c>
      <c r="L627">
        <v>1</v>
      </c>
      <c r="M627">
        <v>1</v>
      </c>
    </row>
    <row r="628" spans="1:13" x14ac:dyDescent="0.25">
      <c r="A628">
        <v>9</v>
      </c>
      <c r="B628">
        <v>9197571</v>
      </c>
      <c r="C628">
        <v>6270</v>
      </c>
      <c r="D628">
        <v>2</v>
      </c>
      <c r="E628">
        <v>717</v>
      </c>
      <c r="F628" t="s">
        <v>642</v>
      </c>
      <c r="G628" t="s">
        <v>643</v>
      </c>
      <c r="H628">
        <v>717</v>
      </c>
      <c r="I628" t="s">
        <v>642</v>
      </c>
      <c r="J628" t="s">
        <v>643</v>
      </c>
      <c r="K628" t="s">
        <v>998</v>
      </c>
      <c r="L628">
        <v>1</v>
      </c>
      <c r="M628">
        <v>1</v>
      </c>
    </row>
    <row r="629" spans="1:13" x14ac:dyDescent="0.25">
      <c r="A629">
        <v>9</v>
      </c>
      <c r="B629">
        <v>9197775</v>
      </c>
      <c r="C629">
        <v>6270</v>
      </c>
      <c r="D629">
        <v>3</v>
      </c>
      <c r="E629">
        <v>704</v>
      </c>
      <c r="F629" t="s">
        <v>122</v>
      </c>
      <c r="G629" t="s">
        <v>123</v>
      </c>
      <c r="H629">
        <v>704</v>
      </c>
      <c r="I629" t="s">
        <v>122</v>
      </c>
      <c r="J629" t="s">
        <v>123</v>
      </c>
      <c r="K629" t="s">
        <v>999</v>
      </c>
      <c r="L629">
        <v>1</v>
      </c>
      <c r="M629">
        <v>1</v>
      </c>
    </row>
    <row r="630" spans="1:13" x14ac:dyDescent="0.25">
      <c r="A630">
        <v>9</v>
      </c>
      <c r="B630">
        <v>9192245</v>
      </c>
      <c r="C630">
        <v>6270</v>
      </c>
      <c r="D630">
        <v>1</v>
      </c>
      <c r="E630">
        <v>718</v>
      </c>
      <c r="F630" t="s">
        <v>251</v>
      </c>
      <c r="G630" t="s">
        <v>252</v>
      </c>
      <c r="H630">
        <v>718</v>
      </c>
      <c r="I630" t="s">
        <v>251</v>
      </c>
      <c r="J630" t="s">
        <v>252</v>
      </c>
      <c r="K630" t="s">
        <v>1000</v>
      </c>
      <c r="L630">
        <v>1</v>
      </c>
      <c r="M630">
        <v>1</v>
      </c>
    </row>
    <row r="631" spans="1:13" x14ac:dyDescent="0.25">
      <c r="A631">
        <v>9</v>
      </c>
      <c r="B631">
        <v>9200870</v>
      </c>
      <c r="C631">
        <v>6271</v>
      </c>
      <c r="D631">
        <v>2</v>
      </c>
      <c r="E631">
        <v>877</v>
      </c>
      <c r="F631" t="s">
        <v>140</v>
      </c>
      <c r="G631" t="s">
        <v>141</v>
      </c>
      <c r="H631">
        <v>877</v>
      </c>
      <c r="I631" t="s">
        <v>140</v>
      </c>
      <c r="J631" t="s">
        <v>141</v>
      </c>
      <c r="K631" t="s">
        <v>1001</v>
      </c>
      <c r="L631">
        <v>1</v>
      </c>
      <c r="M631">
        <v>1</v>
      </c>
    </row>
    <row r="632" spans="1:13" x14ac:dyDescent="0.25">
      <c r="A632">
        <v>9</v>
      </c>
      <c r="B632">
        <v>9200280</v>
      </c>
      <c r="C632">
        <v>6271</v>
      </c>
      <c r="D632">
        <v>1</v>
      </c>
      <c r="E632">
        <v>638</v>
      </c>
      <c r="F632" t="s">
        <v>104</v>
      </c>
      <c r="G632" t="s">
        <v>105</v>
      </c>
      <c r="H632">
        <v>638</v>
      </c>
      <c r="I632" t="s">
        <v>104</v>
      </c>
      <c r="J632" t="s">
        <v>105</v>
      </c>
      <c r="K632" t="s">
        <v>1002</v>
      </c>
      <c r="L632">
        <v>1</v>
      </c>
      <c r="M632">
        <v>1</v>
      </c>
    </row>
    <row r="633" spans="1:13" x14ac:dyDescent="0.25">
      <c r="A633">
        <v>9</v>
      </c>
      <c r="B633">
        <v>9205448</v>
      </c>
      <c r="C633">
        <v>6328</v>
      </c>
      <c r="D633">
        <v>8</v>
      </c>
      <c r="E633">
        <v>474</v>
      </c>
      <c r="F633" t="s">
        <v>86</v>
      </c>
      <c r="G633" t="s">
        <v>87</v>
      </c>
      <c r="H633">
        <v>474</v>
      </c>
      <c r="I633" t="s">
        <v>86</v>
      </c>
      <c r="J633" t="s">
        <v>87</v>
      </c>
      <c r="K633" t="s">
        <v>1003</v>
      </c>
      <c r="L633">
        <v>1</v>
      </c>
      <c r="M633">
        <v>1</v>
      </c>
    </row>
    <row r="634" spans="1:13" x14ac:dyDescent="0.25">
      <c r="A634">
        <v>9</v>
      </c>
      <c r="B634">
        <v>9205448</v>
      </c>
      <c r="C634">
        <v>6328</v>
      </c>
      <c r="D634">
        <v>9</v>
      </c>
      <c r="E634">
        <v>584</v>
      </c>
      <c r="F634" t="s">
        <v>96</v>
      </c>
      <c r="G634" t="s">
        <v>97</v>
      </c>
      <c r="H634">
        <v>584</v>
      </c>
      <c r="I634" t="s">
        <v>96</v>
      </c>
      <c r="J634" t="s">
        <v>97</v>
      </c>
      <c r="K634" t="s">
        <v>1004</v>
      </c>
      <c r="L634">
        <v>1</v>
      </c>
      <c r="M634">
        <v>1</v>
      </c>
    </row>
    <row r="635" spans="1:13" x14ac:dyDescent="0.25">
      <c r="A635">
        <v>9</v>
      </c>
      <c r="B635">
        <v>9204773</v>
      </c>
      <c r="C635">
        <v>6328</v>
      </c>
      <c r="D635">
        <v>1</v>
      </c>
      <c r="E635">
        <v>584</v>
      </c>
      <c r="F635" t="s">
        <v>96</v>
      </c>
      <c r="G635" t="s">
        <v>97</v>
      </c>
      <c r="H635">
        <v>584</v>
      </c>
      <c r="I635" t="s">
        <v>96</v>
      </c>
      <c r="J635" t="s">
        <v>97</v>
      </c>
      <c r="K635" t="s">
        <v>1005</v>
      </c>
      <c r="L635">
        <v>1</v>
      </c>
      <c r="M635">
        <v>1</v>
      </c>
    </row>
    <row r="636" spans="1:13" x14ac:dyDescent="0.25">
      <c r="A636">
        <v>9</v>
      </c>
      <c r="B636">
        <v>9204773</v>
      </c>
      <c r="C636">
        <v>6328</v>
      </c>
      <c r="D636">
        <v>2</v>
      </c>
      <c r="E636">
        <v>886</v>
      </c>
      <c r="F636" t="s">
        <v>236</v>
      </c>
      <c r="G636" t="s">
        <v>237</v>
      </c>
      <c r="H636">
        <v>886</v>
      </c>
      <c r="I636" t="s">
        <v>236</v>
      </c>
      <c r="J636" t="s">
        <v>237</v>
      </c>
      <c r="K636" t="s">
        <v>1006</v>
      </c>
      <c r="L636">
        <v>1</v>
      </c>
      <c r="M636">
        <v>1</v>
      </c>
    </row>
    <row r="637" spans="1:13" x14ac:dyDescent="0.25">
      <c r="A637">
        <v>9</v>
      </c>
      <c r="B637">
        <v>9204773</v>
      </c>
      <c r="C637">
        <v>6328</v>
      </c>
      <c r="D637">
        <v>3</v>
      </c>
      <c r="E637">
        <v>641</v>
      </c>
      <c r="F637" t="s">
        <v>108</v>
      </c>
      <c r="G637" t="s">
        <v>109</v>
      </c>
      <c r="H637">
        <v>641</v>
      </c>
      <c r="I637" t="s">
        <v>108</v>
      </c>
      <c r="J637" t="s">
        <v>109</v>
      </c>
      <c r="K637" t="s">
        <v>1007</v>
      </c>
      <c r="L637">
        <v>1</v>
      </c>
      <c r="M637">
        <v>1</v>
      </c>
    </row>
    <row r="638" spans="1:13" x14ac:dyDescent="0.25">
      <c r="A638">
        <v>9</v>
      </c>
      <c r="B638">
        <v>9204870</v>
      </c>
      <c r="C638">
        <v>6328</v>
      </c>
      <c r="D638">
        <v>4</v>
      </c>
      <c r="E638">
        <v>474</v>
      </c>
      <c r="F638" t="s">
        <v>86</v>
      </c>
      <c r="G638" t="s">
        <v>87</v>
      </c>
      <c r="H638">
        <v>474</v>
      </c>
      <c r="I638" t="s">
        <v>86</v>
      </c>
      <c r="J638" t="s">
        <v>87</v>
      </c>
      <c r="K638" t="s">
        <v>1008</v>
      </c>
      <c r="L638">
        <v>1</v>
      </c>
      <c r="M638">
        <v>1</v>
      </c>
    </row>
    <row r="639" spans="1:13" x14ac:dyDescent="0.25">
      <c r="A639">
        <v>9</v>
      </c>
      <c r="B639">
        <v>9205273</v>
      </c>
      <c r="C639">
        <v>6329</v>
      </c>
      <c r="D639">
        <v>8</v>
      </c>
      <c r="E639">
        <v>403</v>
      </c>
      <c r="F639" t="s">
        <v>78</v>
      </c>
      <c r="G639" t="s">
        <v>79</v>
      </c>
      <c r="H639">
        <v>403</v>
      </c>
      <c r="I639" t="s">
        <v>78</v>
      </c>
      <c r="J639" t="s">
        <v>79</v>
      </c>
      <c r="K639" t="s">
        <v>1009</v>
      </c>
      <c r="L639">
        <v>1</v>
      </c>
      <c r="M639">
        <v>1</v>
      </c>
    </row>
    <row r="640" spans="1:13" x14ac:dyDescent="0.25">
      <c r="A640">
        <v>9</v>
      </c>
      <c r="B640">
        <v>9204574</v>
      </c>
      <c r="C640">
        <v>6329</v>
      </c>
      <c r="D640">
        <v>6</v>
      </c>
      <c r="E640">
        <v>792</v>
      </c>
      <c r="F640" t="s">
        <v>318</v>
      </c>
      <c r="G640" t="s">
        <v>319</v>
      </c>
      <c r="H640">
        <v>792</v>
      </c>
      <c r="I640" t="s">
        <v>318</v>
      </c>
      <c r="J640" t="s">
        <v>319</v>
      </c>
      <c r="K640" t="s">
        <v>1010</v>
      </c>
      <c r="L640">
        <v>1</v>
      </c>
      <c r="M640">
        <v>1</v>
      </c>
    </row>
    <row r="641" spans="1:13" x14ac:dyDescent="0.25">
      <c r="A641">
        <v>9</v>
      </c>
      <c r="B641">
        <v>9204773</v>
      </c>
      <c r="C641">
        <v>6329</v>
      </c>
      <c r="D641">
        <v>7</v>
      </c>
      <c r="E641">
        <v>905</v>
      </c>
      <c r="F641" t="s">
        <v>146</v>
      </c>
      <c r="G641" t="s">
        <v>147</v>
      </c>
      <c r="H641">
        <v>905</v>
      </c>
      <c r="I641" t="s">
        <v>146</v>
      </c>
      <c r="J641" t="s">
        <v>147</v>
      </c>
      <c r="K641" t="s">
        <v>1011</v>
      </c>
      <c r="L641">
        <v>1</v>
      </c>
      <c r="M641">
        <v>1</v>
      </c>
    </row>
    <row r="642" spans="1:13" x14ac:dyDescent="0.25">
      <c r="A642">
        <v>9</v>
      </c>
      <c r="B642">
        <v>9200323</v>
      </c>
      <c r="C642">
        <v>6329</v>
      </c>
      <c r="D642">
        <v>3</v>
      </c>
      <c r="E642">
        <v>13</v>
      </c>
      <c r="F642" t="s">
        <v>62</v>
      </c>
      <c r="G642" t="s">
        <v>63</v>
      </c>
      <c r="H642">
        <v>13</v>
      </c>
      <c r="I642" t="s">
        <v>62</v>
      </c>
      <c r="J642" t="s">
        <v>63</v>
      </c>
      <c r="K642" t="s">
        <v>1012</v>
      </c>
      <c r="L642">
        <v>1</v>
      </c>
      <c r="M642">
        <v>1</v>
      </c>
    </row>
    <row r="643" spans="1:13" x14ac:dyDescent="0.25">
      <c r="A643">
        <v>24</v>
      </c>
      <c r="B643">
        <v>5106348</v>
      </c>
      <c r="C643">
        <v>6330</v>
      </c>
      <c r="D643">
        <v>1</v>
      </c>
      <c r="E643">
        <v>813</v>
      </c>
      <c r="F643" t="s">
        <v>345</v>
      </c>
      <c r="G643" t="s">
        <v>346</v>
      </c>
      <c r="H643">
        <v>813</v>
      </c>
      <c r="I643" t="s">
        <v>345</v>
      </c>
      <c r="J643" t="s">
        <v>346</v>
      </c>
      <c r="K643" t="s">
        <v>1013</v>
      </c>
      <c r="L643">
        <v>1</v>
      </c>
      <c r="M643">
        <v>1</v>
      </c>
    </row>
    <row r="644" spans="1:13" x14ac:dyDescent="0.25">
      <c r="A644">
        <v>24</v>
      </c>
      <c r="B644">
        <v>5106558</v>
      </c>
      <c r="C644">
        <v>6330</v>
      </c>
      <c r="D644">
        <v>2</v>
      </c>
      <c r="E644">
        <v>813</v>
      </c>
      <c r="F644" t="s">
        <v>345</v>
      </c>
      <c r="G644" t="s">
        <v>346</v>
      </c>
      <c r="H644">
        <v>813</v>
      </c>
      <c r="I644" t="s">
        <v>345</v>
      </c>
      <c r="J644" t="s">
        <v>346</v>
      </c>
      <c r="K644" t="s">
        <v>1014</v>
      </c>
      <c r="L644">
        <v>1</v>
      </c>
      <c r="M644">
        <v>1</v>
      </c>
    </row>
    <row r="645" spans="1:13" x14ac:dyDescent="0.25">
      <c r="A645">
        <v>9</v>
      </c>
      <c r="B645">
        <v>9204926</v>
      </c>
      <c r="C645">
        <v>6331</v>
      </c>
      <c r="D645">
        <v>1</v>
      </c>
      <c r="E645">
        <v>774</v>
      </c>
      <c r="F645" t="s">
        <v>240</v>
      </c>
      <c r="G645" t="s">
        <v>241</v>
      </c>
      <c r="H645">
        <v>774</v>
      </c>
      <c r="I645" t="s">
        <v>240</v>
      </c>
      <c r="J645" t="s">
        <v>241</v>
      </c>
      <c r="K645" t="s">
        <v>49</v>
      </c>
      <c r="L645">
        <v>25</v>
      </c>
      <c r="M645">
        <v>25</v>
      </c>
    </row>
    <row r="646" spans="1:13" x14ac:dyDescent="0.25">
      <c r="A646">
        <v>6</v>
      </c>
      <c r="B646">
        <v>972485</v>
      </c>
      <c r="C646">
        <v>6338</v>
      </c>
      <c r="D646">
        <v>18</v>
      </c>
      <c r="E646">
        <v>523</v>
      </c>
      <c r="F646" t="s">
        <v>312</v>
      </c>
      <c r="G646" t="s">
        <v>313</v>
      </c>
      <c r="H646">
        <v>523</v>
      </c>
      <c r="I646" t="s">
        <v>312</v>
      </c>
      <c r="J646" t="s">
        <v>313</v>
      </c>
      <c r="K646" t="s">
        <v>1015</v>
      </c>
      <c r="L646">
        <v>1</v>
      </c>
      <c r="M646">
        <v>1</v>
      </c>
    </row>
    <row r="647" spans="1:13" x14ac:dyDescent="0.25">
      <c r="A647">
        <v>6</v>
      </c>
      <c r="B647">
        <v>972489</v>
      </c>
      <c r="C647">
        <v>6338</v>
      </c>
      <c r="D647">
        <v>19</v>
      </c>
      <c r="E647">
        <v>13</v>
      </c>
      <c r="F647" t="s">
        <v>62</v>
      </c>
      <c r="G647" t="s">
        <v>63</v>
      </c>
      <c r="H647">
        <v>13</v>
      </c>
      <c r="I647" t="s">
        <v>62</v>
      </c>
      <c r="J647" t="s">
        <v>63</v>
      </c>
      <c r="K647" t="s">
        <v>1016</v>
      </c>
      <c r="L647">
        <v>1</v>
      </c>
      <c r="M647">
        <v>1</v>
      </c>
    </row>
    <row r="648" spans="1:13" x14ac:dyDescent="0.25">
      <c r="A648">
        <v>6</v>
      </c>
      <c r="B648">
        <v>972599</v>
      </c>
      <c r="C648">
        <v>6338</v>
      </c>
      <c r="D648">
        <v>20</v>
      </c>
      <c r="E648">
        <v>893</v>
      </c>
      <c r="F648" t="s">
        <v>144</v>
      </c>
      <c r="G648" t="s">
        <v>145</v>
      </c>
      <c r="H648">
        <v>893</v>
      </c>
      <c r="I648" t="s">
        <v>144</v>
      </c>
      <c r="J648" t="s">
        <v>145</v>
      </c>
      <c r="K648" t="s">
        <v>1017</v>
      </c>
      <c r="L648">
        <v>1</v>
      </c>
      <c r="M648">
        <v>1</v>
      </c>
    </row>
    <row r="649" spans="1:13" x14ac:dyDescent="0.25">
      <c r="A649">
        <v>6</v>
      </c>
      <c r="B649">
        <v>972606</v>
      </c>
      <c r="C649">
        <v>6338</v>
      </c>
      <c r="D649">
        <v>21</v>
      </c>
      <c r="E649">
        <v>400</v>
      </c>
      <c r="F649" t="s">
        <v>74</v>
      </c>
      <c r="G649" t="s">
        <v>75</v>
      </c>
      <c r="H649">
        <v>400</v>
      </c>
      <c r="I649" t="s">
        <v>74</v>
      </c>
      <c r="J649" t="s">
        <v>75</v>
      </c>
      <c r="K649" t="s">
        <v>1018</v>
      </c>
      <c r="L649">
        <v>1</v>
      </c>
      <c r="M649">
        <v>1</v>
      </c>
    </row>
    <row r="650" spans="1:13" x14ac:dyDescent="0.25">
      <c r="A650">
        <v>6</v>
      </c>
      <c r="B650">
        <v>972704</v>
      </c>
      <c r="C650">
        <v>6338</v>
      </c>
      <c r="D650">
        <v>22</v>
      </c>
      <c r="E650">
        <v>400</v>
      </c>
      <c r="F650" t="s">
        <v>74</v>
      </c>
      <c r="G650" t="s">
        <v>75</v>
      </c>
      <c r="H650">
        <v>400</v>
      </c>
      <c r="I650" t="s">
        <v>74</v>
      </c>
      <c r="J650" t="s">
        <v>75</v>
      </c>
      <c r="K650" t="s">
        <v>1019</v>
      </c>
      <c r="L650">
        <v>1</v>
      </c>
      <c r="M650">
        <v>1</v>
      </c>
    </row>
    <row r="651" spans="1:13" x14ac:dyDescent="0.25">
      <c r="A651">
        <v>6</v>
      </c>
      <c r="B651">
        <v>971760</v>
      </c>
      <c r="C651">
        <v>6338</v>
      </c>
      <c r="D651">
        <v>12</v>
      </c>
      <c r="E651">
        <v>181</v>
      </c>
      <c r="F651" t="s">
        <v>164</v>
      </c>
      <c r="G651" t="s">
        <v>165</v>
      </c>
      <c r="H651">
        <v>181</v>
      </c>
      <c r="I651" t="s">
        <v>164</v>
      </c>
      <c r="J651" t="s">
        <v>165</v>
      </c>
      <c r="K651" t="s">
        <v>1020</v>
      </c>
      <c r="L651">
        <v>1</v>
      </c>
      <c r="M651">
        <v>1</v>
      </c>
    </row>
    <row r="652" spans="1:13" x14ac:dyDescent="0.25">
      <c r="A652">
        <v>6</v>
      </c>
      <c r="B652">
        <v>971857</v>
      </c>
      <c r="C652">
        <v>6338</v>
      </c>
      <c r="D652">
        <v>13</v>
      </c>
      <c r="E652">
        <v>826</v>
      </c>
      <c r="F652" t="s">
        <v>330</v>
      </c>
      <c r="G652" t="s">
        <v>331</v>
      </c>
      <c r="H652">
        <v>826</v>
      </c>
      <c r="I652" t="s">
        <v>330</v>
      </c>
      <c r="J652" t="s">
        <v>331</v>
      </c>
      <c r="K652" t="s">
        <v>1021</v>
      </c>
      <c r="L652">
        <v>1</v>
      </c>
      <c r="M652">
        <v>1</v>
      </c>
    </row>
    <row r="653" spans="1:13" x14ac:dyDescent="0.25">
      <c r="A653">
        <v>6</v>
      </c>
      <c r="B653">
        <v>971932</v>
      </c>
      <c r="C653">
        <v>6338</v>
      </c>
      <c r="D653">
        <v>14</v>
      </c>
      <c r="E653">
        <v>809</v>
      </c>
      <c r="F653" t="s">
        <v>128</v>
      </c>
      <c r="G653" t="s">
        <v>129</v>
      </c>
      <c r="H653">
        <v>809</v>
      </c>
      <c r="I653" t="s">
        <v>128</v>
      </c>
      <c r="J653" t="s">
        <v>129</v>
      </c>
      <c r="K653" t="s">
        <v>1022</v>
      </c>
      <c r="L653">
        <v>1</v>
      </c>
      <c r="M653">
        <v>1</v>
      </c>
    </row>
    <row r="654" spans="1:13" x14ac:dyDescent="0.25">
      <c r="A654">
        <v>6</v>
      </c>
      <c r="B654">
        <v>971947</v>
      </c>
      <c r="C654">
        <v>6338</v>
      </c>
      <c r="D654">
        <v>15</v>
      </c>
      <c r="E654">
        <v>534</v>
      </c>
      <c r="F654" t="s">
        <v>94</v>
      </c>
      <c r="G654" t="s">
        <v>95</v>
      </c>
      <c r="H654">
        <v>534</v>
      </c>
      <c r="I654" t="s">
        <v>94</v>
      </c>
      <c r="J654" t="s">
        <v>95</v>
      </c>
      <c r="K654" t="s">
        <v>1023</v>
      </c>
      <c r="L654">
        <v>1</v>
      </c>
      <c r="M654">
        <v>1</v>
      </c>
    </row>
    <row r="655" spans="1:13" x14ac:dyDescent="0.25">
      <c r="A655">
        <v>6</v>
      </c>
      <c r="B655">
        <v>972171</v>
      </c>
      <c r="C655">
        <v>6338</v>
      </c>
      <c r="D655">
        <v>16</v>
      </c>
      <c r="E655">
        <v>842</v>
      </c>
      <c r="F655" t="s">
        <v>366</v>
      </c>
      <c r="G655" t="s">
        <v>367</v>
      </c>
      <c r="H655">
        <v>842</v>
      </c>
      <c r="I655" t="s">
        <v>366</v>
      </c>
      <c r="J655" t="s">
        <v>367</v>
      </c>
      <c r="K655" t="s">
        <v>1024</v>
      </c>
      <c r="L655">
        <v>1</v>
      </c>
      <c r="M655">
        <v>1</v>
      </c>
    </row>
    <row r="656" spans="1:13" x14ac:dyDescent="0.25">
      <c r="A656">
        <v>6</v>
      </c>
      <c r="B656">
        <v>972401</v>
      </c>
      <c r="C656">
        <v>6338</v>
      </c>
      <c r="D656">
        <v>17</v>
      </c>
      <c r="E656">
        <v>937</v>
      </c>
      <c r="F656" t="s">
        <v>355</v>
      </c>
      <c r="G656" t="s">
        <v>356</v>
      </c>
      <c r="H656">
        <v>937</v>
      </c>
      <c r="I656" t="s">
        <v>355</v>
      </c>
      <c r="J656" t="s">
        <v>356</v>
      </c>
      <c r="K656" t="s">
        <v>1025</v>
      </c>
      <c r="L656">
        <v>1</v>
      </c>
      <c r="M656">
        <v>1</v>
      </c>
    </row>
    <row r="657" spans="1:13" x14ac:dyDescent="0.25">
      <c r="A657">
        <v>6</v>
      </c>
      <c r="B657">
        <v>971218</v>
      </c>
      <c r="C657">
        <v>6338</v>
      </c>
      <c r="D657">
        <v>6</v>
      </c>
      <c r="E657">
        <v>400</v>
      </c>
      <c r="F657" t="s">
        <v>74</v>
      </c>
      <c r="G657" t="s">
        <v>75</v>
      </c>
      <c r="H657">
        <v>400</v>
      </c>
      <c r="I657" t="s">
        <v>74</v>
      </c>
      <c r="J657" t="s">
        <v>75</v>
      </c>
      <c r="K657" t="s">
        <v>1026</v>
      </c>
      <c r="L657">
        <v>1</v>
      </c>
      <c r="M657">
        <v>1</v>
      </c>
    </row>
    <row r="658" spans="1:13" x14ac:dyDescent="0.25">
      <c r="A658">
        <v>6</v>
      </c>
      <c r="B658">
        <v>971356</v>
      </c>
      <c r="C658">
        <v>6338</v>
      </c>
      <c r="D658">
        <v>7</v>
      </c>
      <c r="E658">
        <v>534</v>
      </c>
      <c r="F658" t="s">
        <v>94</v>
      </c>
      <c r="G658" t="s">
        <v>95</v>
      </c>
      <c r="H658">
        <v>534</v>
      </c>
      <c r="I658" t="s">
        <v>94</v>
      </c>
      <c r="J658" t="s">
        <v>95</v>
      </c>
      <c r="K658" t="s">
        <v>1027</v>
      </c>
      <c r="L658">
        <v>1</v>
      </c>
      <c r="M658">
        <v>1</v>
      </c>
    </row>
    <row r="659" spans="1:13" x14ac:dyDescent="0.25">
      <c r="A659">
        <v>6</v>
      </c>
      <c r="B659">
        <v>971383</v>
      </c>
      <c r="C659">
        <v>6338</v>
      </c>
      <c r="D659">
        <v>8</v>
      </c>
      <c r="E659">
        <v>965</v>
      </c>
      <c r="F659" t="s">
        <v>363</v>
      </c>
      <c r="G659" t="s">
        <v>364</v>
      </c>
      <c r="H659">
        <v>965</v>
      </c>
      <c r="I659" t="s">
        <v>363</v>
      </c>
      <c r="J659" t="s">
        <v>364</v>
      </c>
      <c r="K659" t="s">
        <v>1028</v>
      </c>
      <c r="L659">
        <v>1</v>
      </c>
      <c r="M659">
        <v>1</v>
      </c>
    </row>
    <row r="660" spans="1:13" x14ac:dyDescent="0.25">
      <c r="A660">
        <v>6</v>
      </c>
      <c r="B660">
        <v>971412</v>
      </c>
      <c r="C660">
        <v>6338</v>
      </c>
      <c r="D660">
        <v>9</v>
      </c>
      <c r="E660">
        <v>501</v>
      </c>
      <c r="F660" t="s">
        <v>90</v>
      </c>
      <c r="G660" t="s">
        <v>91</v>
      </c>
      <c r="H660">
        <v>501</v>
      </c>
      <c r="I660" t="s">
        <v>90</v>
      </c>
      <c r="J660" t="s">
        <v>91</v>
      </c>
      <c r="K660" t="s">
        <v>1029</v>
      </c>
      <c r="L660">
        <v>1</v>
      </c>
      <c r="M660">
        <v>1</v>
      </c>
    </row>
    <row r="661" spans="1:13" x14ac:dyDescent="0.25">
      <c r="A661">
        <v>6</v>
      </c>
      <c r="B661">
        <v>971512</v>
      </c>
      <c r="C661">
        <v>6338</v>
      </c>
      <c r="D661">
        <v>10</v>
      </c>
      <c r="E661">
        <v>501</v>
      </c>
      <c r="F661" t="s">
        <v>90</v>
      </c>
      <c r="G661" t="s">
        <v>91</v>
      </c>
      <c r="H661">
        <v>501</v>
      </c>
      <c r="I661" t="s">
        <v>90</v>
      </c>
      <c r="J661" t="s">
        <v>91</v>
      </c>
      <c r="K661" t="s">
        <v>1030</v>
      </c>
      <c r="L661">
        <v>1</v>
      </c>
      <c r="M661">
        <v>1</v>
      </c>
    </row>
    <row r="662" spans="1:13" x14ac:dyDescent="0.25">
      <c r="A662">
        <v>6</v>
      </c>
      <c r="B662">
        <v>971740</v>
      </c>
      <c r="C662">
        <v>6338</v>
      </c>
      <c r="D662">
        <v>11</v>
      </c>
      <c r="E662">
        <v>347</v>
      </c>
      <c r="F662" t="s">
        <v>70</v>
      </c>
      <c r="G662" t="s">
        <v>71</v>
      </c>
      <c r="H662">
        <v>347</v>
      </c>
      <c r="I662" t="s">
        <v>70</v>
      </c>
      <c r="J662" t="s">
        <v>71</v>
      </c>
      <c r="K662" t="s">
        <v>1031</v>
      </c>
      <c r="L662">
        <v>1</v>
      </c>
      <c r="M662">
        <v>1</v>
      </c>
    </row>
    <row r="663" spans="1:13" x14ac:dyDescent="0.25">
      <c r="A663">
        <v>6</v>
      </c>
      <c r="B663">
        <v>969998</v>
      </c>
      <c r="C663">
        <v>6338</v>
      </c>
      <c r="D663">
        <v>1</v>
      </c>
      <c r="E663">
        <v>182</v>
      </c>
      <c r="F663" t="s">
        <v>322</v>
      </c>
      <c r="G663" t="s">
        <v>323</v>
      </c>
      <c r="H663">
        <v>182</v>
      </c>
      <c r="I663" t="s">
        <v>322</v>
      </c>
      <c r="J663" t="s">
        <v>323</v>
      </c>
      <c r="K663" t="s">
        <v>1032</v>
      </c>
      <c r="L663">
        <v>1</v>
      </c>
      <c r="M663">
        <v>1</v>
      </c>
    </row>
    <row r="664" spans="1:13" x14ac:dyDescent="0.25">
      <c r="A664">
        <v>6</v>
      </c>
      <c r="B664">
        <v>970564</v>
      </c>
      <c r="C664">
        <v>6338</v>
      </c>
      <c r="D664">
        <v>2</v>
      </c>
      <c r="E664">
        <v>400</v>
      </c>
      <c r="F664" t="s">
        <v>74</v>
      </c>
      <c r="G664" t="s">
        <v>75</v>
      </c>
      <c r="H664">
        <v>400</v>
      </c>
      <c r="I664" t="s">
        <v>74</v>
      </c>
      <c r="J664" t="s">
        <v>75</v>
      </c>
      <c r="K664" t="s">
        <v>1033</v>
      </c>
      <c r="L664">
        <v>1</v>
      </c>
      <c r="M664">
        <v>1</v>
      </c>
    </row>
    <row r="665" spans="1:13" x14ac:dyDescent="0.25">
      <c r="A665">
        <v>6</v>
      </c>
      <c r="B665">
        <v>970779</v>
      </c>
      <c r="C665">
        <v>6338</v>
      </c>
      <c r="D665">
        <v>3</v>
      </c>
      <c r="E665">
        <v>821</v>
      </c>
      <c r="F665" t="s">
        <v>132</v>
      </c>
      <c r="G665" t="s">
        <v>133</v>
      </c>
      <c r="H665">
        <v>821</v>
      </c>
      <c r="I665" t="s">
        <v>132</v>
      </c>
      <c r="J665" t="s">
        <v>133</v>
      </c>
      <c r="K665" t="s">
        <v>1034</v>
      </c>
      <c r="L665">
        <v>1</v>
      </c>
      <c r="M665">
        <v>1</v>
      </c>
    </row>
    <row r="666" spans="1:13" x14ac:dyDescent="0.25">
      <c r="A666">
        <v>6</v>
      </c>
      <c r="B666">
        <v>970878</v>
      </c>
      <c r="C666">
        <v>6338</v>
      </c>
      <c r="D666">
        <v>4</v>
      </c>
      <c r="E666">
        <v>936</v>
      </c>
      <c r="F666" t="s">
        <v>314</v>
      </c>
      <c r="G666" t="s">
        <v>315</v>
      </c>
      <c r="H666">
        <v>936</v>
      </c>
      <c r="I666" t="s">
        <v>314</v>
      </c>
      <c r="J666" t="s">
        <v>315</v>
      </c>
      <c r="K666" t="s">
        <v>1035</v>
      </c>
      <c r="L666">
        <v>1</v>
      </c>
      <c r="M666">
        <v>1</v>
      </c>
    </row>
    <row r="667" spans="1:13" x14ac:dyDescent="0.25">
      <c r="A667">
        <v>6</v>
      </c>
      <c r="B667">
        <v>971183</v>
      </c>
      <c r="C667">
        <v>6338</v>
      </c>
      <c r="D667">
        <v>5</v>
      </c>
      <c r="E667">
        <v>842</v>
      </c>
      <c r="F667" t="s">
        <v>366</v>
      </c>
      <c r="G667" t="s">
        <v>367</v>
      </c>
      <c r="H667">
        <v>842</v>
      </c>
      <c r="I667" t="s">
        <v>366</v>
      </c>
      <c r="J667" t="s">
        <v>367</v>
      </c>
      <c r="K667" t="s">
        <v>1036</v>
      </c>
      <c r="L667">
        <v>1</v>
      </c>
      <c r="M667">
        <v>1</v>
      </c>
    </row>
    <row r="668" spans="1:13" x14ac:dyDescent="0.25">
      <c r="A668">
        <v>9</v>
      </c>
      <c r="B668">
        <v>9206363</v>
      </c>
      <c r="C668">
        <v>6339</v>
      </c>
      <c r="D668">
        <v>12</v>
      </c>
      <c r="E668">
        <v>905</v>
      </c>
      <c r="F668" t="s">
        <v>146</v>
      </c>
      <c r="G668" t="s">
        <v>147</v>
      </c>
      <c r="H668">
        <v>905</v>
      </c>
      <c r="I668" t="s">
        <v>146</v>
      </c>
      <c r="J668" t="s">
        <v>147</v>
      </c>
      <c r="K668" t="s">
        <v>1037</v>
      </c>
      <c r="L668">
        <v>1</v>
      </c>
      <c r="M668">
        <v>1</v>
      </c>
    </row>
    <row r="669" spans="1:13" x14ac:dyDescent="0.25">
      <c r="A669">
        <v>9</v>
      </c>
      <c r="B669">
        <v>9206490</v>
      </c>
      <c r="C669">
        <v>6339</v>
      </c>
      <c r="D669">
        <v>13</v>
      </c>
      <c r="E669">
        <v>900</v>
      </c>
      <c r="F669" t="s">
        <v>399</v>
      </c>
      <c r="G669" t="s">
        <v>400</v>
      </c>
      <c r="H669">
        <v>900</v>
      </c>
      <c r="I669" t="s">
        <v>399</v>
      </c>
      <c r="J669" t="s">
        <v>400</v>
      </c>
      <c r="K669" t="s">
        <v>1038</v>
      </c>
      <c r="L669">
        <v>1</v>
      </c>
      <c r="M669">
        <v>1</v>
      </c>
    </row>
    <row r="670" spans="1:13" x14ac:dyDescent="0.25">
      <c r="A670">
        <v>9</v>
      </c>
      <c r="B670">
        <v>9206587</v>
      </c>
      <c r="C670">
        <v>6339</v>
      </c>
      <c r="D670">
        <v>14</v>
      </c>
      <c r="E670">
        <v>954</v>
      </c>
      <c r="F670" t="s">
        <v>245</v>
      </c>
      <c r="G670" t="s">
        <v>246</v>
      </c>
      <c r="H670">
        <v>954</v>
      </c>
      <c r="I670" t="s">
        <v>245</v>
      </c>
      <c r="J670" t="s">
        <v>246</v>
      </c>
      <c r="K670" t="s">
        <v>1039</v>
      </c>
      <c r="L670">
        <v>1</v>
      </c>
      <c r="M670">
        <v>1</v>
      </c>
    </row>
    <row r="671" spans="1:13" x14ac:dyDescent="0.25">
      <c r="A671">
        <v>3</v>
      </c>
      <c r="B671">
        <v>50051147</v>
      </c>
      <c r="C671">
        <v>5930</v>
      </c>
      <c r="D671">
        <v>2</v>
      </c>
      <c r="E671">
        <v>970</v>
      </c>
      <c r="F671" t="s">
        <v>436</v>
      </c>
      <c r="G671" t="s">
        <v>437</v>
      </c>
      <c r="H671">
        <v>506</v>
      </c>
      <c r="I671" t="s">
        <v>92</v>
      </c>
      <c r="J671" t="s">
        <v>93</v>
      </c>
      <c r="K671" t="s">
        <v>1040</v>
      </c>
      <c r="L671">
        <v>1</v>
      </c>
      <c r="M671">
        <v>1</v>
      </c>
    </row>
    <row r="672" spans="1:13" x14ac:dyDescent="0.25">
      <c r="A672">
        <v>3</v>
      </c>
      <c r="B672">
        <v>50051148</v>
      </c>
      <c r="C672">
        <v>5930</v>
      </c>
      <c r="D672">
        <v>10</v>
      </c>
      <c r="E672">
        <v>970</v>
      </c>
      <c r="F672" t="s">
        <v>436</v>
      </c>
      <c r="G672" t="s">
        <v>437</v>
      </c>
      <c r="H672">
        <v>506</v>
      </c>
      <c r="I672" t="s">
        <v>92</v>
      </c>
      <c r="J672" t="s">
        <v>93</v>
      </c>
      <c r="K672" t="s">
        <v>1041</v>
      </c>
      <c r="L672">
        <v>1</v>
      </c>
      <c r="M672">
        <v>1</v>
      </c>
    </row>
    <row r="673" spans="1:13" x14ac:dyDescent="0.25">
      <c r="A673">
        <v>3</v>
      </c>
      <c r="B673">
        <v>50051148</v>
      </c>
      <c r="C673">
        <v>5930</v>
      </c>
      <c r="D673">
        <v>11</v>
      </c>
      <c r="E673">
        <v>970</v>
      </c>
      <c r="F673" t="s">
        <v>436</v>
      </c>
      <c r="G673" t="s">
        <v>437</v>
      </c>
      <c r="H673">
        <v>506</v>
      </c>
      <c r="I673" t="s">
        <v>92</v>
      </c>
      <c r="J673" t="s">
        <v>93</v>
      </c>
      <c r="K673" t="s">
        <v>1042</v>
      </c>
      <c r="L673">
        <v>1</v>
      </c>
      <c r="M673">
        <v>1</v>
      </c>
    </row>
    <row r="674" spans="1:13" x14ac:dyDescent="0.25">
      <c r="A674">
        <v>3</v>
      </c>
      <c r="B674">
        <v>50051148</v>
      </c>
      <c r="C674">
        <v>5930</v>
      </c>
      <c r="D674">
        <v>12</v>
      </c>
      <c r="E674">
        <v>824</v>
      </c>
      <c r="F674" t="s">
        <v>134</v>
      </c>
      <c r="G674" t="s">
        <v>135</v>
      </c>
      <c r="H674">
        <v>824</v>
      </c>
      <c r="I674" t="s">
        <v>134</v>
      </c>
      <c r="J674" t="s">
        <v>135</v>
      </c>
      <c r="K674" t="s">
        <v>1043</v>
      </c>
      <c r="L674">
        <v>2</v>
      </c>
      <c r="M674">
        <v>2</v>
      </c>
    </row>
    <row r="675" spans="1:13" x14ac:dyDescent="0.25">
      <c r="A675">
        <v>3</v>
      </c>
      <c r="B675">
        <v>50051208</v>
      </c>
      <c r="C675">
        <v>5930</v>
      </c>
      <c r="D675">
        <v>3</v>
      </c>
      <c r="E675">
        <v>13</v>
      </c>
      <c r="F675" t="s">
        <v>62</v>
      </c>
      <c r="G675" t="s">
        <v>63</v>
      </c>
      <c r="H675">
        <v>13</v>
      </c>
      <c r="I675" t="s">
        <v>62</v>
      </c>
      <c r="J675" t="s">
        <v>63</v>
      </c>
      <c r="K675" t="s">
        <v>1044</v>
      </c>
      <c r="L675">
        <v>1</v>
      </c>
      <c r="M675">
        <v>1</v>
      </c>
    </row>
    <row r="676" spans="1:13" x14ac:dyDescent="0.25">
      <c r="A676">
        <v>3</v>
      </c>
      <c r="B676">
        <v>50051208</v>
      </c>
      <c r="C676">
        <v>5930</v>
      </c>
      <c r="D676">
        <v>7</v>
      </c>
      <c r="E676">
        <v>824</v>
      </c>
      <c r="F676" t="s">
        <v>134</v>
      </c>
      <c r="G676" t="s">
        <v>135</v>
      </c>
      <c r="H676">
        <v>824</v>
      </c>
      <c r="I676" t="s">
        <v>134</v>
      </c>
      <c r="J676" t="s">
        <v>135</v>
      </c>
      <c r="K676" t="s">
        <v>1045</v>
      </c>
      <c r="L676">
        <v>1</v>
      </c>
      <c r="M676">
        <v>1</v>
      </c>
    </row>
    <row r="677" spans="1:13" x14ac:dyDescent="0.25">
      <c r="A677">
        <v>3</v>
      </c>
      <c r="B677">
        <v>50051208</v>
      </c>
      <c r="C677">
        <v>5930</v>
      </c>
      <c r="D677">
        <v>13</v>
      </c>
      <c r="E677">
        <v>970</v>
      </c>
      <c r="F677" t="s">
        <v>436</v>
      </c>
      <c r="G677" t="s">
        <v>437</v>
      </c>
      <c r="H677">
        <v>506</v>
      </c>
      <c r="I677" t="s">
        <v>92</v>
      </c>
      <c r="J677" t="s">
        <v>93</v>
      </c>
      <c r="K677" t="s">
        <v>1046</v>
      </c>
      <c r="L677">
        <v>1</v>
      </c>
      <c r="M677">
        <v>1</v>
      </c>
    </row>
    <row r="678" spans="1:13" x14ac:dyDescent="0.25">
      <c r="A678">
        <v>3</v>
      </c>
      <c r="B678">
        <v>50051208</v>
      </c>
      <c r="C678">
        <v>5930</v>
      </c>
      <c r="D678">
        <v>14</v>
      </c>
      <c r="E678">
        <v>970</v>
      </c>
      <c r="F678" t="s">
        <v>436</v>
      </c>
      <c r="G678" t="s">
        <v>437</v>
      </c>
      <c r="H678">
        <v>506</v>
      </c>
      <c r="I678" t="s">
        <v>92</v>
      </c>
      <c r="J678" t="s">
        <v>93</v>
      </c>
      <c r="K678" t="s">
        <v>776</v>
      </c>
      <c r="L678">
        <v>1</v>
      </c>
      <c r="M678">
        <v>1</v>
      </c>
    </row>
    <row r="679" spans="1:13" x14ac:dyDescent="0.25">
      <c r="A679">
        <v>4</v>
      </c>
      <c r="B679">
        <v>9615050</v>
      </c>
      <c r="C679">
        <v>5932</v>
      </c>
      <c r="D679">
        <v>1</v>
      </c>
      <c r="E679">
        <v>673</v>
      </c>
      <c r="F679" t="s">
        <v>259</v>
      </c>
      <c r="G679" t="s">
        <v>260</v>
      </c>
      <c r="H679">
        <v>673</v>
      </c>
      <c r="I679" t="s">
        <v>259</v>
      </c>
      <c r="J679" t="s">
        <v>260</v>
      </c>
      <c r="K679" t="s">
        <v>1047</v>
      </c>
      <c r="L679">
        <v>2</v>
      </c>
      <c r="M679">
        <v>2</v>
      </c>
    </row>
    <row r="680" spans="1:13" x14ac:dyDescent="0.25">
      <c r="A680">
        <v>4</v>
      </c>
      <c r="B680">
        <v>9613046</v>
      </c>
      <c r="C680">
        <v>5933</v>
      </c>
      <c r="D680">
        <v>1</v>
      </c>
      <c r="E680">
        <v>501</v>
      </c>
      <c r="F680" t="s">
        <v>90</v>
      </c>
      <c r="G680" t="s">
        <v>91</v>
      </c>
      <c r="H680">
        <v>501</v>
      </c>
      <c r="I680" t="s">
        <v>90</v>
      </c>
      <c r="J680" t="s">
        <v>91</v>
      </c>
      <c r="K680" t="s">
        <v>1048</v>
      </c>
      <c r="L680">
        <v>1</v>
      </c>
      <c r="M680">
        <v>1</v>
      </c>
    </row>
    <row r="681" spans="1:13" x14ac:dyDescent="0.25">
      <c r="A681">
        <v>4</v>
      </c>
      <c r="B681">
        <v>9613392</v>
      </c>
      <c r="C681">
        <v>5934</v>
      </c>
      <c r="D681">
        <v>1</v>
      </c>
      <c r="E681">
        <v>342</v>
      </c>
      <c r="F681" t="s">
        <v>543</v>
      </c>
      <c r="G681" t="s">
        <v>544</v>
      </c>
      <c r="H681">
        <v>342</v>
      </c>
      <c r="I681" t="s">
        <v>543</v>
      </c>
      <c r="J681" t="s">
        <v>544</v>
      </c>
      <c r="K681" t="s">
        <v>1049</v>
      </c>
      <c r="L681">
        <v>1</v>
      </c>
      <c r="M681">
        <v>0</v>
      </c>
    </row>
    <row r="682" spans="1:13" x14ac:dyDescent="0.25">
      <c r="A682">
        <v>4</v>
      </c>
      <c r="B682">
        <v>9613676</v>
      </c>
      <c r="C682">
        <v>5934</v>
      </c>
      <c r="D682">
        <v>2</v>
      </c>
      <c r="E682">
        <v>673</v>
      </c>
      <c r="F682" t="s">
        <v>259</v>
      </c>
      <c r="G682" t="s">
        <v>260</v>
      </c>
      <c r="H682">
        <v>673</v>
      </c>
      <c r="I682" t="s">
        <v>259</v>
      </c>
      <c r="J682" t="s">
        <v>260</v>
      </c>
      <c r="K682" t="s">
        <v>1050</v>
      </c>
      <c r="L682">
        <v>1</v>
      </c>
      <c r="M682">
        <v>1</v>
      </c>
    </row>
    <row r="683" spans="1:13" x14ac:dyDescent="0.25">
      <c r="A683">
        <v>9</v>
      </c>
      <c r="B683">
        <v>9187416</v>
      </c>
      <c r="C683">
        <v>5936</v>
      </c>
      <c r="D683">
        <v>4</v>
      </c>
      <c r="E683">
        <v>561</v>
      </c>
      <c r="F683" t="s">
        <v>1051</v>
      </c>
      <c r="G683" t="s">
        <v>1052</v>
      </c>
      <c r="H683">
        <v>561</v>
      </c>
      <c r="I683" t="s">
        <v>1051</v>
      </c>
      <c r="J683" t="s">
        <v>1052</v>
      </c>
      <c r="K683" t="s">
        <v>1053</v>
      </c>
      <c r="L683">
        <v>1</v>
      </c>
      <c r="M683">
        <v>1</v>
      </c>
    </row>
    <row r="684" spans="1:13" x14ac:dyDescent="0.25">
      <c r="A684">
        <v>9</v>
      </c>
      <c r="B684">
        <v>9187552</v>
      </c>
      <c r="C684">
        <v>5936</v>
      </c>
      <c r="D684">
        <v>5</v>
      </c>
      <c r="E684">
        <v>674</v>
      </c>
      <c r="F684" t="s">
        <v>112</v>
      </c>
      <c r="G684" t="s">
        <v>113</v>
      </c>
      <c r="H684">
        <v>674</v>
      </c>
      <c r="I684" t="s">
        <v>112</v>
      </c>
      <c r="J684" t="s">
        <v>113</v>
      </c>
      <c r="K684" t="s">
        <v>1054</v>
      </c>
      <c r="L684">
        <v>2</v>
      </c>
      <c r="M684">
        <v>2</v>
      </c>
    </row>
    <row r="685" spans="1:13" x14ac:dyDescent="0.25">
      <c r="A685">
        <v>9</v>
      </c>
      <c r="B685">
        <v>9187591</v>
      </c>
      <c r="C685">
        <v>5936</v>
      </c>
      <c r="D685">
        <v>6</v>
      </c>
      <c r="E685">
        <v>641</v>
      </c>
      <c r="F685" t="s">
        <v>108</v>
      </c>
      <c r="G685" t="s">
        <v>109</v>
      </c>
      <c r="H685">
        <v>641</v>
      </c>
      <c r="I685" t="s">
        <v>108</v>
      </c>
      <c r="J685" t="s">
        <v>109</v>
      </c>
      <c r="K685" t="s">
        <v>1055</v>
      </c>
      <c r="L685">
        <v>1</v>
      </c>
      <c r="M685">
        <v>1</v>
      </c>
    </row>
    <row r="686" spans="1:13" x14ac:dyDescent="0.25">
      <c r="A686">
        <v>9</v>
      </c>
      <c r="B686">
        <v>9187591</v>
      </c>
      <c r="C686">
        <v>5936</v>
      </c>
      <c r="D686">
        <v>7</v>
      </c>
      <c r="E686">
        <v>404</v>
      </c>
      <c r="F686" t="s">
        <v>80</v>
      </c>
      <c r="G686" t="s">
        <v>81</v>
      </c>
      <c r="H686">
        <v>404</v>
      </c>
      <c r="I686" t="s">
        <v>80</v>
      </c>
      <c r="J686" t="s">
        <v>81</v>
      </c>
      <c r="K686" t="s">
        <v>1056</v>
      </c>
      <c r="L686">
        <v>1</v>
      </c>
      <c r="M686">
        <v>1</v>
      </c>
    </row>
    <row r="687" spans="1:13" x14ac:dyDescent="0.25">
      <c r="A687">
        <v>9</v>
      </c>
      <c r="B687">
        <v>9187211</v>
      </c>
      <c r="C687">
        <v>5936</v>
      </c>
      <c r="D687">
        <v>1</v>
      </c>
      <c r="E687">
        <v>698</v>
      </c>
      <c r="F687" t="s">
        <v>116</v>
      </c>
      <c r="G687" t="s">
        <v>117</v>
      </c>
      <c r="H687">
        <v>698</v>
      </c>
      <c r="I687" t="s">
        <v>116</v>
      </c>
      <c r="J687" t="s">
        <v>117</v>
      </c>
      <c r="K687" t="s">
        <v>1057</v>
      </c>
      <c r="L687">
        <v>1</v>
      </c>
      <c r="M687">
        <v>1</v>
      </c>
    </row>
    <row r="688" spans="1:13" x14ac:dyDescent="0.25">
      <c r="A688">
        <v>9</v>
      </c>
      <c r="B688">
        <v>9187211</v>
      </c>
      <c r="C688">
        <v>5936</v>
      </c>
      <c r="D688">
        <v>2</v>
      </c>
      <c r="E688">
        <v>382</v>
      </c>
      <c r="F688" t="s">
        <v>533</v>
      </c>
      <c r="G688" t="s">
        <v>534</v>
      </c>
      <c r="H688">
        <v>382</v>
      </c>
      <c r="I688" t="s">
        <v>533</v>
      </c>
      <c r="J688" t="s">
        <v>534</v>
      </c>
      <c r="K688" t="s">
        <v>1058</v>
      </c>
      <c r="L688">
        <v>1</v>
      </c>
      <c r="M688">
        <v>1</v>
      </c>
    </row>
    <row r="689" spans="1:13" x14ac:dyDescent="0.25">
      <c r="A689">
        <v>9</v>
      </c>
      <c r="B689">
        <v>9187293</v>
      </c>
      <c r="C689">
        <v>5936</v>
      </c>
      <c r="D689">
        <v>3</v>
      </c>
      <c r="E689">
        <v>638</v>
      </c>
      <c r="F689" t="s">
        <v>104</v>
      </c>
      <c r="G689" t="s">
        <v>105</v>
      </c>
      <c r="H689">
        <v>638</v>
      </c>
      <c r="I689" t="s">
        <v>104</v>
      </c>
      <c r="J689" t="s">
        <v>105</v>
      </c>
      <c r="K689" t="s">
        <v>1059</v>
      </c>
      <c r="L689">
        <v>1</v>
      </c>
      <c r="M689">
        <v>1</v>
      </c>
    </row>
    <row r="690" spans="1:13" x14ac:dyDescent="0.25">
      <c r="A690">
        <v>9</v>
      </c>
      <c r="B690">
        <v>9187508</v>
      </c>
      <c r="C690">
        <v>5937</v>
      </c>
      <c r="D690">
        <v>2</v>
      </c>
      <c r="E690">
        <v>13</v>
      </c>
      <c r="F690" t="s">
        <v>62</v>
      </c>
      <c r="G690" t="s">
        <v>63</v>
      </c>
      <c r="H690">
        <v>13</v>
      </c>
      <c r="I690" t="s">
        <v>62</v>
      </c>
      <c r="J690" t="s">
        <v>63</v>
      </c>
      <c r="K690" t="s">
        <v>1060</v>
      </c>
      <c r="L690">
        <v>1</v>
      </c>
      <c r="M690">
        <v>1</v>
      </c>
    </row>
    <row r="691" spans="1:13" x14ac:dyDescent="0.25">
      <c r="A691">
        <v>9</v>
      </c>
      <c r="B691">
        <v>9187591</v>
      </c>
      <c r="C691">
        <v>5937</v>
      </c>
      <c r="D691">
        <v>3</v>
      </c>
      <c r="E691">
        <v>970</v>
      </c>
      <c r="F691" t="s">
        <v>436</v>
      </c>
      <c r="G691" t="s">
        <v>437</v>
      </c>
      <c r="H691">
        <v>506</v>
      </c>
      <c r="I691" t="s">
        <v>92</v>
      </c>
      <c r="J691" t="s">
        <v>93</v>
      </c>
      <c r="K691" t="s">
        <v>1061</v>
      </c>
      <c r="L691">
        <v>1</v>
      </c>
      <c r="M691">
        <v>1</v>
      </c>
    </row>
    <row r="692" spans="1:13" x14ac:dyDescent="0.25">
      <c r="A692">
        <v>9</v>
      </c>
      <c r="B692">
        <v>9187591</v>
      </c>
      <c r="C692">
        <v>5937</v>
      </c>
      <c r="D692">
        <v>4</v>
      </c>
      <c r="E692">
        <v>383</v>
      </c>
      <c r="F692" t="s">
        <v>1062</v>
      </c>
      <c r="G692" t="s">
        <v>1063</v>
      </c>
      <c r="H692">
        <v>383</v>
      </c>
      <c r="I692" t="s">
        <v>1062</v>
      </c>
      <c r="J692" t="s">
        <v>1063</v>
      </c>
      <c r="K692" t="s">
        <v>1064</v>
      </c>
      <c r="L692">
        <v>1</v>
      </c>
      <c r="M692">
        <v>1</v>
      </c>
    </row>
    <row r="693" spans="1:13" x14ac:dyDescent="0.25">
      <c r="A693">
        <v>9</v>
      </c>
      <c r="B693">
        <v>9187293</v>
      </c>
      <c r="C693">
        <v>5937</v>
      </c>
      <c r="D693">
        <v>1</v>
      </c>
      <c r="E693">
        <v>382</v>
      </c>
      <c r="F693" t="s">
        <v>533</v>
      </c>
      <c r="G693" t="s">
        <v>534</v>
      </c>
      <c r="H693">
        <v>382</v>
      </c>
      <c r="I693" t="s">
        <v>533</v>
      </c>
      <c r="J693" t="s">
        <v>534</v>
      </c>
      <c r="K693" t="s">
        <v>1065</v>
      </c>
      <c r="L693">
        <v>1</v>
      </c>
      <c r="M693">
        <v>1</v>
      </c>
    </row>
    <row r="694" spans="1:13" x14ac:dyDescent="0.25">
      <c r="A694">
        <v>2</v>
      </c>
      <c r="B694">
        <v>8641570</v>
      </c>
      <c r="C694">
        <v>5938</v>
      </c>
      <c r="D694">
        <v>1</v>
      </c>
      <c r="E694">
        <v>347</v>
      </c>
      <c r="F694" t="s">
        <v>70</v>
      </c>
      <c r="G694" t="s">
        <v>71</v>
      </c>
      <c r="H694">
        <v>347</v>
      </c>
      <c r="I694" t="s">
        <v>70</v>
      </c>
      <c r="J694" t="s">
        <v>71</v>
      </c>
      <c r="K694" t="s">
        <v>1066</v>
      </c>
      <c r="L694">
        <v>1</v>
      </c>
      <c r="M694">
        <v>1</v>
      </c>
    </row>
    <row r="695" spans="1:13" x14ac:dyDescent="0.25">
      <c r="A695">
        <v>5</v>
      </c>
      <c r="B695">
        <v>6504005711</v>
      </c>
      <c r="C695">
        <v>5939</v>
      </c>
      <c r="D695">
        <v>1</v>
      </c>
      <c r="E695">
        <v>496</v>
      </c>
      <c r="F695" t="s">
        <v>234</v>
      </c>
      <c r="G695" t="s">
        <v>235</v>
      </c>
      <c r="H695">
        <v>496</v>
      </c>
      <c r="I695" t="s">
        <v>234</v>
      </c>
      <c r="J695" t="s">
        <v>235</v>
      </c>
      <c r="K695" t="s">
        <v>49</v>
      </c>
      <c r="L695">
        <v>1</v>
      </c>
      <c r="M695">
        <v>1</v>
      </c>
    </row>
    <row r="696" spans="1:13" x14ac:dyDescent="0.25">
      <c r="A696">
        <v>5</v>
      </c>
      <c r="B696">
        <v>6504006072</v>
      </c>
      <c r="C696">
        <v>5939</v>
      </c>
      <c r="D696">
        <v>2</v>
      </c>
      <c r="E696">
        <v>409</v>
      </c>
      <c r="F696" t="s">
        <v>84</v>
      </c>
      <c r="G696" t="s">
        <v>85</v>
      </c>
      <c r="H696">
        <v>409</v>
      </c>
      <c r="I696" t="s">
        <v>84</v>
      </c>
      <c r="J696" t="s">
        <v>85</v>
      </c>
      <c r="K696" t="s">
        <v>49</v>
      </c>
      <c r="L696">
        <v>1</v>
      </c>
      <c r="M696">
        <v>1</v>
      </c>
    </row>
    <row r="697" spans="1:13" x14ac:dyDescent="0.25">
      <c r="A697">
        <v>29</v>
      </c>
      <c r="B697">
        <v>8647550</v>
      </c>
      <c r="C697">
        <v>5940</v>
      </c>
      <c r="D697">
        <v>1</v>
      </c>
      <c r="E697">
        <v>850</v>
      </c>
      <c r="F697" t="s">
        <v>910</v>
      </c>
      <c r="G697" t="s">
        <v>911</v>
      </c>
      <c r="H697">
        <v>850</v>
      </c>
      <c r="I697" t="s">
        <v>910</v>
      </c>
      <c r="J697" t="s">
        <v>911</v>
      </c>
      <c r="K697" t="s">
        <v>1067</v>
      </c>
      <c r="L697">
        <v>1</v>
      </c>
      <c r="M697">
        <v>1</v>
      </c>
    </row>
    <row r="698" spans="1:13" x14ac:dyDescent="0.25">
      <c r="A698">
        <v>29</v>
      </c>
      <c r="B698">
        <v>8648110</v>
      </c>
      <c r="C698">
        <v>5940</v>
      </c>
      <c r="D698">
        <v>2</v>
      </c>
      <c r="E698">
        <v>854</v>
      </c>
      <c r="F698" t="s">
        <v>1068</v>
      </c>
      <c r="G698" t="s">
        <v>1069</v>
      </c>
      <c r="H698">
        <v>854</v>
      </c>
      <c r="I698" t="s">
        <v>1068</v>
      </c>
      <c r="J698" t="s">
        <v>1069</v>
      </c>
      <c r="K698" t="s">
        <v>1070</v>
      </c>
      <c r="L698">
        <v>1</v>
      </c>
      <c r="M698">
        <v>1</v>
      </c>
    </row>
    <row r="699" spans="1:13" x14ac:dyDescent="0.25">
      <c r="A699">
        <v>2</v>
      </c>
      <c r="B699">
        <v>8647872</v>
      </c>
      <c r="C699">
        <v>5941</v>
      </c>
      <c r="D699">
        <v>1</v>
      </c>
      <c r="E699">
        <v>698</v>
      </c>
      <c r="F699" t="s">
        <v>116</v>
      </c>
      <c r="G699" t="s">
        <v>117</v>
      </c>
      <c r="H699">
        <v>698</v>
      </c>
      <c r="I699" t="s">
        <v>116</v>
      </c>
      <c r="J699" t="s">
        <v>117</v>
      </c>
      <c r="K699" t="s">
        <v>1071</v>
      </c>
      <c r="L699">
        <v>1</v>
      </c>
      <c r="M699">
        <v>1</v>
      </c>
    </row>
    <row r="700" spans="1:13" x14ac:dyDescent="0.25">
      <c r="A700">
        <v>2</v>
      </c>
      <c r="B700">
        <v>8647990</v>
      </c>
      <c r="C700">
        <v>5941</v>
      </c>
      <c r="D700">
        <v>2</v>
      </c>
      <c r="E700">
        <v>729</v>
      </c>
      <c r="F700" t="s">
        <v>557</v>
      </c>
      <c r="G700" t="s">
        <v>558</v>
      </c>
      <c r="H700">
        <v>729</v>
      </c>
      <c r="I700" t="s">
        <v>557</v>
      </c>
      <c r="J700" t="s">
        <v>558</v>
      </c>
      <c r="K700" t="s">
        <v>1072</v>
      </c>
      <c r="L700">
        <v>1</v>
      </c>
      <c r="M700">
        <v>1</v>
      </c>
    </row>
    <row r="701" spans="1:13" x14ac:dyDescent="0.25">
      <c r="A701">
        <v>2</v>
      </c>
      <c r="B701">
        <v>8648248</v>
      </c>
      <c r="C701">
        <v>5941</v>
      </c>
      <c r="D701">
        <v>3</v>
      </c>
      <c r="E701">
        <v>498</v>
      </c>
      <c r="F701" t="s">
        <v>521</v>
      </c>
      <c r="G701" t="s">
        <v>522</v>
      </c>
      <c r="H701">
        <v>498</v>
      </c>
      <c r="I701" t="s">
        <v>521</v>
      </c>
      <c r="J701" t="s">
        <v>522</v>
      </c>
      <c r="K701" t="s">
        <v>1073</v>
      </c>
      <c r="L701">
        <v>1</v>
      </c>
      <c r="M701">
        <v>1</v>
      </c>
    </row>
    <row r="702" spans="1:13" x14ac:dyDescent="0.25">
      <c r="A702">
        <v>24</v>
      </c>
      <c r="B702">
        <v>5098347</v>
      </c>
      <c r="C702">
        <v>5947</v>
      </c>
      <c r="D702">
        <v>2</v>
      </c>
      <c r="E702">
        <v>362</v>
      </c>
      <c r="F702" t="s">
        <v>72</v>
      </c>
      <c r="G702" t="s">
        <v>73</v>
      </c>
      <c r="H702">
        <v>362</v>
      </c>
      <c r="I702" t="s">
        <v>72</v>
      </c>
      <c r="J702" t="s">
        <v>73</v>
      </c>
      <c r="K702" t="s">
        <v>1074</v>
      </c>
      <c r="L702">
        <v>1</v>
      </c>
      <c r="M702">
        <v>1</v>
      </c>
    </row>
    <row r="703" spans="1:13" x14ac:dyDescent="0.25">
      <c r="A703">
        <v>24</v>
      </c>
      <c r="B703">
        <v>5098969</v>
      </c>
      <c r="C703">
        <v>5947</v>
      </c>
      <c r="D703">
        <v>1</v>
      </c>
      <c r="E703">
        <v>382</v>
      </c>
      <c r="F703" t="s">
        <v>533</v>
      </c>
      <c r="G703" t="s">
        <v>534</v>
      </c>
      <c r="H703">
        <v>382</v>
      </c>
      <c r="I703" t="s">
        <v>533</v>
      </c>
      <c r="J703" t="s">
        <v>534</v>
      </c>
      <c r="K703" t="s">
        <v>1075</v>
      </c>
      <c r="L703">
        <v>1</v>
      </c>
      <c r="M703">
        <v>1</v>
      </c>
    </row>
    <row r="704" spans="1:13" x14ac:dyDescent="0.25">
      <c r="A704">
        <v>3</v>
      </c>
      <c r="B704">
        <v>50050997</v>
      </c>
      <c r="C704">
        <v>5948</v>
      </c>
      <c r="D704">
        <v>2</v>
      </c>
      <c r="E704">
        <v>824</v>
      </c>
      <c r="F704" t="s">
        <v>134</v>
      </c>
      <c r="G704" t="s">
        <v>135</v>
      </c>
      <c r="H704">
        <v>824</v>
      </c>
      <c r="I704" t="s">
        <v>134</v>
      </c>
      <c r="J704" t="s">
        <v>135</v>
      </c>
      <c r="K704" t="s">
        <v>1076</v>
      </c>
      <c r="L704">
        <v>1</v>
      </c>
      <c r="M704">
        <v>1</v>
      </c>
    </row>
    <row r="705" spans="1:13" x14ac:dyDescent="0.25">
      <c r="A705">
        <v>24</v>
      </c>
      <c r="B705">
        <v>5097721</v>
      </c>
      <c r="C705">
        <v>5949</v>
      </c>
      <c r="D705">
        <v>1</v>
      </c>
      <c r="E705">
        <v>813</v>
      </c>
      <c r="F705" t="s">
        <v>345</v>
      </c>
      <c r="G705" t="s">
        <v>346</v>
      </c>
      <c r="H705">
        <v>813</v>
      </c>
      <c r="I705" t="s">
        <v>345</v>
      </c>
      <c r="J705" t="s">
        <v>346</v>
      </c>
      <c r="K705" t="s">
        <v>1077</v>
      </c>
      <c r="L705">
        <v>1</v>
      </c>
      <c r="M705">
        <v>1</v>
      </c>
    </row>
    <row r="706" spans="1:13" x14ac:dyDescent="0.25">
      <c r="A706">
        <v>24</v>
      </c>
      <c r="B706">
        <v>5098216</v>
      </c>
      <c r="C706">
        <v>5949</v>
      </c>
      <c r="D706">
        <v>2</v>
      </c>
      <c r="E706">
        <v>680</v>
      </c>
      <c r="F706" t="s">
        <v>114</v>
      </c>
      <c r="G706" t="s">
        <v>115</v>
      </c>
      <c r="H706">
        <v>680</v>
      </c>
      <c r="I706" t="s">
        <v>114</v>
      </c>
      <c r="J706" t="s">
        <v>115</v>
      </c>
      <c r="K706" t="s">
        <v>1078</v>
      </c>
      <c r="L706">
        <v>1</v>
      </c>
      <c r="M706">
        <v>1</v>
      </c>
    </row>
    <row r="707" spans="1:13" x14ac:dyDescent="0.25">
      <c r="A707">
        <v>24</v>
      </c>
      <c r="B707">
        <v>5098959</v>
      </c>
      <c r="C707">
        <v>5949</v>
      </c>
      <c r="D707">
        <v>3</v>
      </c>
      <c r="E707">
        <v>382</v>
      </c>
      <c r="F707" t="s">
        <v>533</v>
      </c>
      <c r="G707" t="s">
        <v>534</v>
      </c>
      <c r="H707">
        <v>382</v>
      </c>
      <c r="I707" t="s">
        <v>533</v>
      </c>
      <c r="J707" t="s">
        <v>534</v>
      </c>
      <c r="K707" t="s">
        <v>1079</v>
      </c>
      <c r="L707">
        <v>1</v>
      </c>
      <c r="M707">
        <v>1</v>
      </c>
    </row>
    <row r="708" spans="1:13" x14ac:dyDescent="0.25">
      <c r="A708">
        <v>4</v>
      </c>
      <c r="B708">
        <v>9615589</v>
      </c>
      <c r="C708">
        <v>5954</v>
      </c>
      <c r="D708">
        <v>1</v>
      </c>
      <c r="E708">
        <v>141</v>
      </c>
      <c r="F708" t="s">
        <v>64</v>
      </c>
      <c r="G708" t="s">
        <v>65</v>
      </c>
      <c r="H708">
        <v>141</v>
      </c>
      <c r="I708" t="s">
        <v>64</v>
      </c>
      <c r="J708" t="s">
        <v>65</v>
      </c>
      <c r="K708" t="s">
        <v>1080</v>
      </c>
      <c r="L708">
        <v>1</v>
      </c>
      <c r="M708">
        <v>1</v>
      </c>
    </row>
    <row r="709" spans="1:13" x14ac:dyDescent="0.25">
      <c r="A709">
        <v>4</v>
      </c>
      <c r="B709">
        <v>9615941</v>
      </c>
      <c r="C709">
        <v>5954</v>
      </c>
      <c r="D709">
        <v>2</v>
      </c>
      <c r="E709">
        <v>13</v>
      </c>
      <c r="F709" t="s">
        <v>62</v>
      </c>
      <c r="G709" t="s">
        <v>63</v>
      </c>
      <c r="H709">
        <v>13</v>
      </c>
      <c r="I709" t="s">
        <v>62</v>
      </c>
      <c r="J709" t="s">
        <v>63</v>
      </c>
      <c r="K709" t="s">
        <v>1081</v>
      </c>
      <c r="L709">
        <v>1</v>
      </c>
      <c r="M709">
        <v>1</v>
      </c>
    </row>
    <row r="710" spans="1:13" x14ac:dyDescent="0.25">
      <c r="A710">
        <v>9</v>
      </c>
      <c r="B710">
        <v>9182783</v>
      </c>
      <c r="C710">
        <v>6011</v>
      </c>
      <c r="D710">
        <v>2</v>
      </c>
      <c r="E710">
        <v>774</v>
      </c>
      <c r="F710" t="s">
        <v>240</v>
      </c>
      <c r="G710" t="s">
        <v>241</v>
      </c>
      <c r="H710">
        <v>774</v>
      </c>
      <c r="I710" t="s">
        <v>240</v>
      </c>
      <c r="J710" t="s">
        <v>241</v>
      </c>
      <c r="K710" t="s">
        <v>1082</v>
      </c>
      <c r="L710">
        <v>1</v>
      </c>
      <c r="M710">
        <v>1</v>
      </c>
    </row>
    <row r="711" spans="1:13" x14ac:dyDescent="0.25">
      <c r="A711">
        <v>9</v>
      </c>
      <c r="B711">
        <v>9181783</v>
      </c>
      <c r="C711">
        <v>6011</v>
      </c>
      <c r="D711">
        <v>1</v>
      </c>
      <c r="E711">
        <v>774</v>
      </c>
      <c r="F711" t="s">
        <v>240</v>
      </c>
      <c r="G711" t="s">
        <v>241</v>
      </c>
      <c r="H711">
        <v>774</v>
      </c>
      <c r="I711" t="s">
        <v>240</v>
      </c>
      <c r="J711" t="s">
        <v>241</v>
      </c>
      <c r="K711" t="s">
        <v>1083</v>
      </c>
      <c r="L711">
        <v>1</v>
      </c>
      <c r="M711">
        <v>1</v>
      </c>
    </row>
    <row r="712" spans="1:13" x14ac:dyDescent="0.25">
      <c r="A712">
        <v>9</v>
      </c>
      <c r="B712">
        <v>9190819</v>
      </c>
      <c r="C712">
        <v>6012</v>
      </c>
      <c r="D712">
        <v>9</v>
      </c>
      <c r="E712">
        <v>605</v>
      </c>
      <c r="F712" t="s">
        <v>261</v>
      </c>
      <c r="G712" t="s">
        <v>262</v>
      </c>
      <c r="H712">
        <v>605</v>
      </c>
      <c r="I712" t="s">
        <v>261</v>
      </c>
      <c r="J712" t="s">
        <v>262</v>
      </c>
      <c r="K712" t="s">
        <v>1084</v>
      </c>
      <c r="L712">
        <v>1</v>
      </c>
      <c r="M712">
        <v>1</v>
      </c>
    </row>
    <row r="713" spans="1:13" x14ac:dyDescent="0.25">
      <c r="A713">
        <v>9</v>
      </c>
      <c r="B713">
        <v>9190115</v>
      </c>
      <c r="C713">
        <v>6012</v>
      </c>
      <c r="D713">
        <v>8</v>
      </c>
      <c r="E713">
        <v>680</v>
      </c>
      <c r="F713" t="s">
        <v>114</v>
      </c>
      <c r="G713" t="s">
        <v>115</v>
      </c>
      <c r="H713">
        <v>680</v>
      </c>
      <c r="I713" t="s">
        <v>114</v>
      </c>
      <c r="J713" t="s">
        <v>115</v>
      </c>
      <c r="K713" t="s">
        <v>1085</v>
      </c>
      <c r="L713">
        <v>1</v>
      </c>
      <c r="M713">
        <v>1</v>
      </c>
    </row>
    <row r="714" spans="1:13" x14ac:dyDescent="0.25">
      <c r="A714">
        <v>9</v>
      </c>
      <c r="B714">
        <v>9189746</v>
      </c>
      <c r="C714">
        <v>6012</v>
      </c>
      <c r="D714">
        <v>7</v>
      </c>
      <c r="E714">
        <v>774</v>
      </c>
      <c r="F714" t="s">
        <v>240</v>
      </c>
      <c r="G714" t="s">
        <v>241</v>
      </c>
      <c r="H714">
        <v>774</v>
      </c>
      <c r="I714" t="s">
        <v>240</v>
      </c>
      <c r="J714" t="s">
        <v>241</v>
      </c>
      <c r="K714" t="s">
        <v>1086</v>
      </c>
      <c r="L714">
        <v>1</v>
      </c>
      <c r="M714">
        <v>1</v>
      </c>
    </row>
    <row r="715" spans="1:13" x14ac:dyDescent="0.25">
      <c r="A715">
        <v>9</v>
      </c>
      <c r="B715">
        <v>9189539</v>
      </c>
      <c r="C715">
        <v>6012</v>
      </c>
      <c r="D715">
        <v>5</v>
      </c>
      <c r="E715">
        <v>704</v>
      </c>
      <c r="F715" t="s">
        <v>122</v>
      </c>
      <c r="G715" t="s">
        <v>123</v>
      </c>
      <c r="H715">
        <v>704</v>
      </c>
      <c r="I715" t="s">
        <v>122</v>
      </c>
      <c r="J715" t="s">
        <v>123</v>
      </c>
      <c r="K715" t="s">
        <v>1087</v>
      </c>
      <c r="L715">
        <v>1</v>
      </c>
      <c r="M715">
        <v>1</v>
      </c>
    </row>
    <row r="716" spans="1:13" x14ac:dyDescent="0.25">
      <c r="A716">
        <v>9</v>
      </c>
      <c r="B716">
        <v>9189618</v>
      </c>
      <c r="C716">
        <v>6012</v>
      </c>
      <c r="D716">
        <v>6</v>
      </c>
      <c r="E716">
        <v>774</v>
      </c>
      <c r="F716" t="s">
        <v>240</v>
      </c>
      <c r="G716" t="s">
        <v>241</v>
      </c>
      <c r="H716">
        <v>774</v>
      </c>
      <c r="I716" t="s">
        <v>240</v>
      </c>
      <c r="J716" t="s">
        <v>241</v>
      </c>
      <c r="K716" t="s">
        <v>1088</v>
      </c>
      <c r="L716">
        <v>1</v>
      </c>
      <c r="M716">
        <v>1</v>
      </c>
    </row>
    <row r="717" spans="1:13" x14ac:dyDescent="0.25">
      <c r="A717">
        <v>9</v>
      </c>
      <c r="B717">
        <v>9189123</v>
      </c>
      <c r="C717">
        <v>6012</v>
      </c>
      <c r="D717">
        <v>4</v>
      </c>
      <c r="E717">
        <v>673</v>
      </c>
      <c r="F717" t="s">
        <v>259</v>
      </c>
      <c r="G717" t="s">
        <v>260</v>
      </c>
      <c r="H717">
        <v>673</v>
      </c>
      <c r="I717" t="s">
        <v>259</v>
      </c>
      <c r="J717" t="s">
        <v>260</v>
      </c>
      <c r="K717" t="s">
        <v>1089</v>
      </c>
      <c r="L717">
        <v>1</v>
      </c>
      <c r="M717">
        <v>1</v>
      </c>
    </row>
    <row r="718" spans="1:13" x14ac:dyDescent="0.25">
      <c r="A718">
        <v>9</v>
      </c>
      <c r="B718">
        <v>9188762</v>
      </c>
      <c r="C718">
        <v>6012</v>
      </c>
      <c r="D718">
        <v>3</v>
      </c>
      <c r="E718">
        <v>774</v>
      </c>
      <c r="F718" t="s">
        <v>240</v>
      </c>
      <c r="G718" t="s">
        <v>241</v>
      </c>
      <c r="H718">
        <v>774</v>
      </c>
      <c r="I718" t="s">
        <v>240</v>
      </c>
      <c r="J718" t="s">
        <v>241</v>
      </c>
      <c r="K718" t="s">
        <v>1090</v>
      </c>
      <c r="L718">
        <v>1</v>
      </c>
      <c r="M718">
        <v>1</v>
      </c>
    </row>
    <row r="719" spans="1:13" x14ac:dyDescent="0.25">
      <c r="A719">
        <v>9</v>
      </c>
      <c r="B719">
        <v>9188645</v>
      </c>
      <c r="C719">
        <v>6012</v>
      </c>
      <c r="D719">
        <v>2</v>
      </c>
      <c r="E719">
        <v>774</v>
      </c>
      <c r="F719" t="s">
        <v>240</v>
      </c>
      <c r="G719" t="s">
        <v>241</v>
      </c>
      <c r="H719">
        <v>774</v>
      </c>
      <c r="I719" t="s">
        <v>240</v>
      </c>
      <c r="J719" t="s">
        <v>241</v>
      </c>
      <c r="K719" t="s">
        <v>1091</v>
      </c>
      <c r="L719">
        <v>1</v>
      </c>
      <c r="M719">
        <v>1</v>
      </c>
    </row>
    <row r="720" spans="1:13" x14ac:dyDescent="0.25">
      <c r="A720">
        <v>9</v>
      </c>
      <c r="B720">
        <v>9184521</v>
      </c>
      <c r="C720">
        <v>6012</v>
      </c>
      <c r="D720">
        <v>1</v>
      </c>
      <c r="E720">
        <v>774</v>
      </c>
      <c r="F720" t="s">
        <v>240</v>
      </c>
      <c r="G720" t="s">
        <v>241</v>
      </c>
      <c r="H720">
        <v>774</v>
      </c>
      <c r="I720" t="s">
        <v>240</v>
      </c>
      <c r="J720" t="s">
        <v>241</v>
      </c>
      <c r="K720" t="s">
        <v>1092</v>
      </c>
      <c r="L720">
        <v>1</v>
      </c>
      <c r="M720">
        <v>1</v>
      </c>
    </row>
    <row r="721" spans="1:13" x14ac:dyDescent="0.25">
      <c r="A721">
        <v>6</v>
      </c>
      <c r="B721">
        <v>936427</v>
      </c>
      <c r="C721">
        <v>6013</v>
      </c>
      <c r="D721">
        <v>3</v>
      </c>
      <c r="E721">
        <v>701</v>
      </c>
      <c r="F721" t="s">
        <v>446</v>
      </c>
      <c r="G721" t="s">
        <v>447</v>
      </c>
      <c r="H721">
        <v>701</v>
      </c>
      <c r="I721" t="s">
        <v>446</v>
      </c>
      <c r="J721" t="s">
        <v>447</v>
      </c>
      <c r="K721" t="s">
        <v>1093</v>
      </c>
      <c r="L721">
        <v>1</v>
      </c>
      <c r="M721">
        <v>1</v>
      </c>
    </row>
    <row r="722" spans="1:13" x14ac:dyDescent="0.25">
      <c r="A722">
        <v>6</v>
      </c>
      <c r="B722">
        <v>944705</v>
      </c>
      <c r="C722">
        <v>6013</v>
      </c>
      <c r="D722">
        <v>1</v>
      </c>
      <c r="E722">
        <v>400</v>
      </c>
      <c r="F722" t="s">
        <v>74</v>
      </c>
      <c r="G722" t="s">
        <v>75</v>
      </c>
      <c r="H722">
        <v>400</v>
      </c>
      <c r="I722" t="s">
        <v>74</v>
      </c>
      <c r="J722" t="s">
        <v>75</v>
      </c>
      <c r="K722" t="s">
        <v>1094</v>
      </c>
      <c r="L722">
        <v>1</v>
      </c>
      <c r="M722">
        <v>1</v>
      </c>
    </row>
    <row r="723" spans="1:13" x14ac:dyDescent="0.25">
      <c r="A723">
        <v>6</v>
      </c>
      <c r="B723">
        <v>944882</v>
      </c>
      <c r="C723">
        <v>6013</v>
      </c>
      <c r="D723">
        <v>2</v>
      </c>
      <c r="E723">
        <v>851</v>
      </c>
      <c r="F723" t="s">
        <v>201</v>
      </c>
      <c r="G723" t="s">
        <v>202</v>
      </c>
      <c r="H723">
        <v>851</v>
      </c>
      <c r="I723" t="s">
        <v>201</v>
      </c>
      <c r="J723" t="s">
        <v>202</v>
      </c>
      <c r="K723" t="s">
        <v>1095</v>
      </c>
      <c r="L723">
        <v>1</v>
      </c>
      <c r="M723">
        <v>1</v>
      </c>
    </row>
    <row r="724" spans="1:13" x14ac:dyDescent="0.25">
      <c r="A724">
        <v>6</v>
      </c>
      <c r="B724">
        <v>944319</v>
      </c>
      <c r="C724">
        <v>6014</v>
      </c>
      <c r="D724">
        <v>3</v>
      </c>
      <c r="E724">
        <v>534</v>
      </c>
      <c r="F724" t="s">
        <v>94</v>
      </c>
      <c r="G724" t="s">
        <v>95</v>
      </c>
      <c r="H724">
        <v>534</v>
      </c>
      <c r="I724" t="s">
        <v>94</v>
      </c>
      <c r="J724" t="s">
        <v>95</v>
      </c>
      <c r="K724" t="s">
        <v>1096</v>
      </c>
      <c r="L724">
        <v>1</v>
      </c>
      <c r="M724">
        <v>1</v>
      </c>
    </row>
    <row r="725" spans="1:13" x14ac:dyDescent="0.25">
      <c r="A725">
        <v>6</v>
      </c>
      <c r="B725">
        <v>942253</v>
      </c>
      <c r="C725">
        <v>6014</v>
      </c>
      <c r="D725">
        <v>1</v>
      </c>
      <c r="E725">
        <v>698</v>
      </c>
      <c r="F725" t="s">
        <v>116</v>
      </c>
      <c r="G725" t="s">
        <v>117</v>
      </c>
      <c r="H725">
        <v>698</v>
      </c>
      <c r="I725" t="s">
        <v>116</v>
      </c>
      <c r="J725" t="s">
        <v>117</v>
      </c>
      <c r="K725" t="s">
        <v>1097</v>
      </c>
      <c r="L725">
        <v>1</v>
      </c>
      <c r="M725">
        <v>1</v>
      </c>
    </row>
    <row r="726" spans="1:13" x14ac:dyDescent="0.25">
      <c r="A726">
        <v>6</v>
      </c>
      <c r="B726">
        <v>943143</v>
      </c>
      <c r="C726">
        <v>6014</v>
      </c>
      <c r="D726">
        <v>2</v>
      </c>
      <c r="E726">
        <v>496</v>
      </c>
      <c r="F726" t="s">
        <v>234</v>
      </c>
      <c r="G726" t="s">
        <v>235</v>
      </c>
      <c r="H726">
        <v>496</v>
      </c>
      <c r="I726" t="s">
        <v>234</v>
      </c>
      <c r="J726" t="s">
        <v>235</v>
      </c>
      <c r="K726" t="s">
        <v>1098</v>
      </c>
      <c r="L726">
        <v>4</v>
      </c>
      <c r="M726">
        <v>4</v>
      </c>
    </row>
    <row r="727" spans="1:13" x14ac:dyDescent="0.25">
      <c r="A727">
        <v>4</v>
      </c>
      <c r="B727">
        <v>9626706</v>
      </c>
      <c r="C727">
        <v>6015</v>
      </c>
      <c r="D727">
        <v>6</v>
      </c>
      <c r="E727">
        <v>462</v>
      </c>
      <c r="F727" t="s">
        <v>1099</v>
      </c>
      <c r="G727" t="s">
        <v>1100</v>
      </c>
      <c r="H727">
        <v>462</v>
      </c>
      <c r="I727" t="s">
        <v>1099</v>
      </c>
      <c r="J727" t="s">
        <v>1100</v>
      </c>
      <c r="K727" t="s">
        <v>1101</v>
      </c>
      <c r="L727">
        <v>1</v>
      </c>
      <c r="M727">
        <v>1</v>
      </c>
    </row>
    <row r="728" spans="1:13" x14ac:dyDescent="0.25">
      <c r="A728">
        <v>4</v>
      </c>
      <c r="B728">
        <v>9627244</v>
      </c>
      <c r="C728">
        <v>6015</v>
      </c>
      <c r="D728">
        <v>7</v>
      </c>
      <c r="E728">
        <v>501</v>
      </c>
      <c r="F728" t="s">
        <v>90</v>
      </c>
      <c r="G728" t="s">
        <v>91</v>
      </c>
      <c r="H728">
        <v>501</v>
      </c>
      <c r="I728" t="s">
        <v>90</v>
      </c>
      <c r="J728" t="s">
        <v>91</v>
      </c>
      <c r="K728" t="s">
        <v>1102</v>
      </c>
      <c r="L728">
        <v>1</v>
      </c>
      <c r="M728">
        <v>1</v>
      </c>
    </row>
    <row r="729" spans="1:13" x14ac:dyDescent="0.25">
      <c r="A729">
        <v>4</v>
      </c>
      <c r="B729">
        <v>9625160</v>
      </c>
      <c r="C729">
        <v>6015</v>
      </c>
      <c r="D729">
        <v>3</v>
      </c>
      <c r="E729">
        <v>501</v>
      </c>
      <c r="F729" t="s">
        <v>90</v>
      </c>
      <c r="G729" t="s">
        <v>91</v>
      </c>
      <c r="H729">
        <v>501</v>
      </c>
      <c r="I729" t="s">
        <v>90</v>
      </c>
      <c r="J729" t="s">
        <v>91</v>
      </c>
      <c r="K729" t="s">
        <v>1103</v>
      </c>
      <c r="L729">
        <v>1</v>
      </c>
      <c r="M729">
        <v>1</v>
      </c>
    </row>
    <row r="730" spans="1:13" x14ac:dyDescent="0.25">
      <c r="A730">
        <v>4</v>
      </c>
      <c r="B730">
        <v>9625212</v>
      </c>
      <c r="C730">
        <v>6015</v>
      </c>
      <c r="D730">
        <v>4</v>
      </c>
      <c r="E730">
        <v>501</v>
      </c>
      <c r="F730" t="s">
        <v>90</v>
      </c>
      <c r="G730" t="s">
        <v>91</v>
      </c>
      <c r="H730">
        <v>501</v>
      </c>
      <c r="I730" t="s">
        <v>90</v>
      </c>
      <c r="J730" t="s">
        <v>91</v>
      </c>
      <c r="K730" t="s">
        <v>1104</v>
      </c>
      <c r="L730">
        <v>1</v>
      </c>
      <c r="M730">
        <v>1</v>
      </c>
    </row>
    <row r="731" spans="1:13" x14ac:dyDescent="0.25">
      <c r="A731">
        <v>4</v>
      </c>
      <c r="B731">
        <v>9625226</v>
      </c>
      <c r="C731">
        <v>6015</v>
      </c>
      <c r="D731">
        <v>5</v>
      </c>
      <c r="E731">
        <v>701</v>
      </c>
      <c r="F731" t="s">
        <v>446</v>
      </c>
      <c r="G731" t="s">
        <v>447</v>
      </c>
      <c r="H731">
        <v>701</v>
      </c>
      <c r="I731" t="s">
        <v>446</v>
      </c>
      <c r="J731" t="s">
        <v>447</v>
      </c>
      <c r="K731" t="s">
        <v>1105</v>
      </c>
      <c r="L731">
        <v>1</v>
      </c>
      <c r="M731">
        <v>1</v>
      </c>
    </row>
    <row r="732" spans="1:13" x14ac:dyDescent="0.25">
      <c r="A732">
        <v>4</v>
      </c>
      <c r="B732">
        <v>9622551</v>
      </c>
      <c r="C732">
        <v>6015</v>
      </c>
      <c r="D732">
        <v>2</v>
      </c>
      <c r="E732">
        <v>702</v>
      </c>
      <c r="F732" t="s">
        <v>120</v>
      </c>
      <c r="G732" t="s">
        <v>121</v>
      </c>
      <c r="H732">
        <v>702</v>
      </c>
      <c r="I732" t="s">
        <v>120</v>
      </c>
      <c r="J732" t="s">
        <v>121</v>
      </c>
      <c r="K732" t="s">
        <v>1106</v>
      </c>
      <c r="L732">
        <v>1</v>
      </c>
      <c r="M732">
        <v>1</v>
      </c>
    </row>
    <row r="733" spans="1:13" x14ac:dyDescent="0.25">
      <c r="A733">
        <v>4</v>
      </c>
      <c r="B733">
        <v>9615555</v>
      </c>
      <c r="C733">
        <v>6015</v>
      </c>
      <c r="D733">
        <v>1</v>
      </c>
      <c r="E733">
        <v>13</v>
      </c>
      <c r="F733" t="s">
        <v>62</v>
      </c>
      <c r="G733" t="s">
        <v>63</v>
      </c>
      <c r="H733">
        <v>13</v>
      </c>
      <c r="I733" t="s">
        <v>62</v>
      </c>
      <c r="J733" t="s">
        <v>63</v>
      </c>
      <c r="K733" t="s">
        <v>1107</v>
      </c>
      <c r="L733">
        <v>1</v>
      </c>
      <c r="M733">
        <v>1</v>
      </c>
    </row>
    <row r="734" spans="1:13" x14ac:dyDescent="0.25">
      <c r="A734">
        <v>4</v>
      </c>
      <c r="B734">
        <v>9623135</v>
      </c>
      <c r="C734">
        <v>6016</v>
      </c>
      <c r="D734">
        <v>2</v>
      </c>
      <c r="E734">
        <v>970</v>
      </c>
      <c r="F734" t="s">
        <v>436</v>
      </c>
      <c r="G734" t="s">
        <v>437</v>
      </c>
      <c r="H734">
        <v>506</v>
      </c>
      <c r="I734" t="s">
        <v>92</v>
      </c>
      <c r="J734" t="s">
        <v>93</v>
      </c>
      <c r="K734" t="s">
        <v>1108</v>
      </c>
      <c r="L734">
        <v>1</v>
      </c>
      <c r="M734">
        <v>1</v>
      </c>
    </row>
    <row r="735" spans="1:13" x14ac:dyDescent="0.25">
      <c r="A735">
        <v>4</v>
      </c>
      <c r="B735">
        <v>9613561</v>
      </c>
      <c r="C735">
        <v>6016</v>
      </c>
      <c r="D735">
        <v>1</v>
      </c>
      <c r="E735">
        <v>704</v>
      </c>
      <c r="F735" t="s">
        <v>122</v>
      </c>
      <c r="G735" t="s">
        <v>123</v>
      </c>
      <c r="H735">
        <v>704</v>
      </c>
      <c r="I735" t="s">
        <v>122</v>
      </c>
      <c r="J735" t="s">
        <v>123</v>
      </c>
      <c r="K735" t="s">
        <v>1109</v>
      </c>
      <c r="L735">
        <v>1</v>
      </c>
      <c r="M735">
        <v>1</v>
      </c>
    </row>
    <row r="736" spans="1:13" x14ac:dyDescent="0.25">
      <c r="A736">
        <v>4</v>
      </c>
      <c r="B736">
        <v>9582365</v>
      </c>
      <c r="C736">
        <v>6017</v>
      </c>
      <c r="D736">
        <v>1</v>
      </c>
      <c r="E736">
        <v>718</v>
      </c>
      <c r="F736" t="s">
        <v>251</v>
      </c>
      <c r="G736" t="s">
        <v>252</v>
      </c>
      <c r="H736">
        <v>718</v>
      </c>
      <c r="I736" t="s">
        <v>251</v>
      </c>
      <c r="J736" t="s">
        <v>252</v>
      </c>
      <c r="K736" t="s">
        <v>1110</v>
      </c>
      <c r="L736">
        <v>1</v>
      </c>
      <c r="M736">
        <v>1</v>
      </c>
    </row>
    <row r="737" spans="1:13" x14ac:dyDescent="0.25">
      <c r="A737">
        <v>4</v>
      </c>
      <c r="B737">
        <v>9586021</v>
      </c>
      <c r="C737">
        <v>6017</v>
      </c>
      <c r="D737">
        <v>2</v>
      </c>
      <c r="E737">
        <v>501</v>
      </c>
      <c r="F737" t="s">
        <v>90</v>
      </c>
      <c r="G737" t="s">
        <v>91</v>
      </c>
      <c r="H737">
        <v>501</v>
      </c>
      <c r="I737" t="s">
        <v>90</v>
      </c>
      <c r="J737" t="s">
        <v>91</v>
      </c>
      <c r="K737" t="s">
        <v>1111</v>
      </c>
      <c r="L737">
        <v>1</v>
      </c>
      <c r="M737">
        <v>1</v>
      </c>
    </row>
    <row r="738" spans="1:13" x14ac:dyDescent="0.25">
      <c r="A738">
        <v>4</v>
      </c>
      <c r="B738">
        <v>9615458</v>
      </c>
      <c r="C738">
        <v>6017</v>
      </c>
      <c r="D738">
        <v>3</v>
      </c>
      <c r="E738">
        <v>702</v>
      </c>
      <c r="F738" t="s">
        <v>120</v>
      </c>
      <c r="G738" t="s">
        <v>121</v>
      </c>
      <c r="H738">
        <v>702</v>
      </c>
      <c r="I738" t="s">
        <v>120</v>
      </c>
      <c r="J738" t="s">
        <v>121</v>
      </c>
      <c r="K738" t="s">
        <v>1112</v>
      </c>
      <c r="L738">
        <v>1</v>
      </c>
      <c r="M738">
        <v>1</v>
      </c>
    </row>
    <row r="739" spans="1:13" x14ac:dyDescent="0.25">
      <c r="A739">
        <v>9</v>
      </c>
      <c r="B739">
        <v>9179114</v>
      </c>
      <c r="C739">
        <v>6018</v>
      </c>
      <c r="D739">
        <v>2</v>
      </c>
      <c r="E739">
        <v>774</v>
      </c>
      <c r="F739" t="s">
        <v>240</v>
      </c>
      <c r="G739" t="s">
        <v>241</v>
      </c>
      <c r="H739">
        <v>774</v>
      </c>
      <c r="I739" t="s">
        <v>240</v>
      </c>
      <c r="J739" t="s">
        <v>241</v>
      </c>
      <c r="K739" t="s">
        <v>1113</v>
      </c>
      <c r="L739">
        <v>1</v>
      </c>
      <c r="M739">
        <v>1</v>
      </c>
    </row>
    <row r="740" spans="1:13" x14ac:dyDescent="0.25">
      <c r="A740">
        <v>9</v>
      </c>
      <c r="B740">
        <v>9185285</v>
      </c>
      <c r="C740">
        <v>6018</v>
      </c>
      <c r="D740">
        <v>3</v>
      </c>
      <c r="E740">
        <v>774</v>
      </c>
      <c r="F740" t="s">
        <v>240</v>
      </c>
      <c r="G740" t="s">
        <v>241</v>
      </c>
      <c r="H740">
        <v>774</v>
      </c>
      <c r="I740" t="s">
        <v>240</v>
      </c>
      <c r="J740" t="s">
        <v>241</v>
      </c>
      <c r="K740" t="s">
        <v>685</v>
      </c>
      <c r="L740">
        <v>1</v>
      </c>
      <c r="M740">
        <v>1</v>
      </c>
    </row>
    <row r="741" spans="1:13" x14ac:dyDescent="0.25">
      <c r="A741">
        <v>9</v>
      </c>
      <c r="B741">
        <v>9185362</v>
      </c>
      <c r="C741">
        <v>6018</v>
      </c>
      <c r="D741">
        <v>4</v>
      </c>
      <c r="E741">
        <v>774</v>
      </c>
      <c r="F741" t="s">
        <v>240</v>
      </c>
      <c r="G741" t="s">
        <v>241</v>
      </c>
      <c r="H741">
        <v>774</v>
      </c>
      <c r="I741" t="s">
        <v>240</v>
      </c>
      <c r="J741" t="s">
        <v>241</v>
      </c>
      <c r="K741" t="s">
        <v>686</v>
      </c>
      <c r="L741">
        <v>1</v>
      </c>
      <c r="M741">
        <v>1</v>
      </c>
    </row>
    <row r="742" spans="1:13" x14ac:dyDescent="0.25">
      <c r="A742">
        <v>9</v>
      </c>
      <c r="B742">
        <v>9185855</v>
      </c>
      <c r="C742">
        <v>6018</v>
      </c>
      <c r="D742">
        <v>5</v>
      </c>
      <c r="E742">
        <v>774</v>
      </c>
      <c r="F742" t="s">
        <v>240</v>
      </c>
      <c r="G742" t="s">
        <v>241</v>
      </c>
      <c r="H742">
        <v>774</v>
      </c>
      <c r="I742" t="s">
        <v>240</v>
      </c>
      <c r="J742" t="s">
        <v>241</v>
      </c>
      <c r="K742" t="s">
        <v>687</v>
      </c>
      <c r="L742">
        <v>1</v>
      </c>
      <c r="M742">
        <v>1</v>
      </c>
    </row>
    <row r="743" spans="1:13" x14ac:dyDescent="0.25">
      <c r="A743">
        <v>1</v>
      </c>
      <c r="B743">
        <v>8656795</v>
      </c>
      <c r="C743">
        <v>6019</v>
      </c>
      <c r="D743">
        <v>1</v>
      </c>
      <c r="E743">
        <v>878</v>
      </c>
      <c r="F743" t="s">
        <v>216</v>
      </c>
      <c r="G743" t="s">
        <v>217</v>
      </c>
      <c r="H743">
        <v>362</v>
      </c>
      <c r="I743" t="s">
        <v>72</v>
      </c>
      <c r="J743" t="s">
        <v>73</v>
      </c>
      <c r="K743" t="s">
        <v>152</v>
      </c>
      <c r="L743">
        <v>24</v>
      </c>
      <c r="M743">
        <v>24</v>
      </c>
    </row>
    <row r="744" spans="1:13" x14ac:dyDescent="0.25">
      <c r="A744">
        <v>1</v>
      </c>
      <c r="B744">
        <v>8656795</v>
      </c>
      <c r="C744">
        <v>6019</v>
      </c>
      <c r="D744">
        <v>2</v>
      </c>
      <c r="E744">
        <v>616</v>
      </c>
      <c r="F744" t="s">
        <v>1114</v>
      </c>
      <c r="G744" t="s">
        <v>1115</v>
      </c>
      <c r="H744">
        <v>616</v>
      </c>
      <c r="I744" t="s">
        <v>1114</v>
      </c>
      <c r="J744" t="s">
        <v>1115</v>
      </c>
      <c r="K744" t="s">
        <v>154</v>
      </c>
      <c r="L744">
        <v>6</v>
      </c>
      <c r="M744">
        <v>6</v>
      </c>
    </row>
    <row r="745" spans="1:13" x14ac:dyDescent="0.25">
      <c r="A745">
        <v>1</v>
      </c>
      <c r="B745">
        <v>8656795</v>
      </c>
      <c r="C745">
        <v>6019</v>
      </c>
      <c r="D745">
        <v>3</v>
      </c>
      <c r="E745">
        <v>617</v>
      </c>
      <c r="F745" t="s">
        <v>611</v>
      </c>
      <c r="G745" t="s">
        <v>612</v>
      </c>
      <c r="H745">
        <v>617</v>
      </c>
      <c r="I745" t="s">
        <v>611</v>
      </c>
      <c r="J745" t="s">
        <v>612</v>
      </c>
      <c r="K745" t="s">
        <v>153</v>
      </c>
      <c r="L745">
        <v>18</v>
      </c>
      <c r="M745">
        <v>18</v>
      </c>
    </row>
    <row r="746" spans="1:13" x14ac:dyDescent="0.25">
      <c r="A746">
        <v>1</v>
      </c>
      <c r="B746">
        <v>8656795</v>
      </c>
      <c r="C746">
        <v>6019</v>
      </c>
      <c r="D746">
        <v>4</v>
      </c>
      <c r="E746">
        <v>618</v>
      </c>
      <c r="F746" t="s">
        <v>98</v>
      </c>
      <c r="G746" t="s">
        <v>99</v>
      </c>
      <c r="H746">
        <v>618</v>
      </c>
      <c r="I746" t="s">
        <v>98</v>
      </c>
      <c r="J746" t="s">
        <v>99</v>
      </c>
      <c r="K746" t="s">
        <v>155</v>
      </c>
      <c r="L746">
        <v>6</v>
      </c>
      <c r="M746">
        <v>6</v>
      </c>
    </row>
    <row r="747" spans="1:13" x14ac:dyDescent="0.25">
      <c r="A747">
        <v>1</v>
      </c>
      <c r="B747">
        <v>8656795</v>
      </c>
      <c r="C747">
        <v>6019</v>
      </c>
      <c r="D747">
        <v>5</v>
      </c>
      <c r="E747">
        <v>619</v>
      </c>
      <c r="F747" t="s">
        <v>242</v>
      </c>
      <c r="G747" t="s">
        <v>243</v>
      </c>
      <c r="H747">
        <v>619</v>
      </c>
      <c r="I747" t="s">
        <v>242</v>
      </c>
      <c r="J747" t="s">
        <v>243</v>
      </c>
      <c r="K747" t="s">
        <v>156</v>
      </c>
      <c r="L747">
        <v>12</v>
      </c>
      <c r="M747">
        <v>12</v>
      </c>
    </row>
    <row r="748" spans="1:13" x14ac:dyDescent="0.25">
      <c r="A748">
        <v>9</v>
      </c>
      <c r="B748">
        <v>9192484</v>
      </c>
      <c r="C748">
        <v>6076</v>
      </c>
      <c r="D748">
        <v>3</v>
      </c>
      <c r="E748">
        <v>706</v>
      </c>
      <c r="F748" t="s">
        <v>1116</v>
      </c>
      <c r="G748" t="s">
        <v>1117</v>
      </c>
      <c r="H748">
        <v>706</v>
      </c>
      <c r="I748" t="s">
        <v>1116</v>
      </c>
      <c r="J748" t="s">
        <v>1117</v>
      </c>
      <c r="K748" t="s">
        <v>1118</v>
      </c>
      <c r="L748">
        <v>1</v>
      </c>
      <c r="M748">
        <v>1</v>
      </c>
    </row>
    <row r="749" spans="1:13" x14ac:dyDescent="0.25">
      <c r="A749">
        <v>9</v>
      </c>
      <c r="B749">
        <v>9192685</v>
      </c>
      <c r="C749">
        <v>6077</v>
      </c>
      <c r="D749">
        <v>4</v>
      </c>
      <c r="E749">
        <v>400</v>
      </c>
      <c r="F749" t="s">
        <v>74</v>
      </c>
      <c r="G749" t="s">
        <v>75</v>
      </c>
      <c r="H749">
        <v>400</v>
      </c>
      <c r="I749" t="s">
        <v>74</v>
      </c>
      <c r="J749" t="s">
        <v>75</v>
      </c>
      <c r="K749" t="s">
        <v>1119</v>
      </c>
      <c r="L749">
        <v>1</v>
      </c>
      <c r="M749">
        <v>1</v>
      </c>
    </row>
    <row r="750" spans="1:13" x14ac:dyDescent="0.25">
      <c r="A750">
        <v>9</v>
      </c>
      <c r="B750">
        <v>9192484</v>
      </c>
      <c r="C750">
        <v>6077</v>
      </c>
      <c r="D750">
        <v>3</v>
      </c>
      <c r="E750">
        <v>877</v>
      </c>
      <c r="F750" t="s">
        <v>140</v>
      </c>
      <c r="G750" t="s">
        <v>141</v>
      </c>
      <c r="H750">
        <v>325</v>
      </c>
      <c r="I750" t="s">
        <v>227</v>
      </c>
      <c r="J750" t="s">
        <v>228</v>
      </c>
      <c r="K750" t="s">
        <v>1120</v>
      </c>
      <c r="L750">
        <v>1</v>
      </c>
      <c r="M750">
        <v>1</v>
      </c>
    </row>
    <row r="751" spans="1:13" x14ac:dyDescent="0.25">
      <c r="A751">
        <v>9</v>
      </c>
      <c r="B751">
        <v>9191778</v>
      </c>
      <c r="C751">
        <v>6077</v>
      </c>
      <c r="D751">
        <v>1</v>
      </c>
      <c r="E751">
        <v>970</v>
      </c>
      <c r="F751" t="s">
        <v>436</v>
      </c>
      <c r="G751" t="s">
        <v>437</v>
      </c>
      <c r="H751">
        <v>506</v>
      </c>
      <c r="I751" t="s">
        <v>92</v>
      </c>
      <c r="J751" t="s">
        <v>93</v>
      </c>
      <c r="K751" t="s">
        <v>1121</v>
      </c>
      <c r="L751">
        <v>1</v>
      </c>
      <c r="M751">
        <v>1</v>
      </c>
    </row>
    <row r="752" spans="1:13" x14ac:dyDescent="0.25">
      <c r="A752">
        <v>9</v>
      </c>
      <c r="B752">
        <v>9191778</v>
      </c>
      <c r="C752">
        <v>6077</v>
      </c>
      <c r="D752">
        <v>2</v>
      </c>
      <c r="E752">
        <v>781</v>
      </c>
      <c r="F752" t="s">
        <v>269</v>
      </c>
      <c r="G752" t="s">
        <v>270</v>
      </c>
      <c r="H752">
        <v>781</v>
      </c>
      <c r="I752" t="s">
        <v>269</v>
      </c>
      <c r="J752" t="s">
        <v>270</v>
      </c>
      <c r="K752" t="s">
        <v>1122</v>
      </c>
      <c r="L752">
        <v>1</v>
      </c>
      <c r="M752">
        <v>1</v>
      </c>
    </row>
    <row r="753" spans="1:13" x14ac:dyDescent="0.25">
      <c r="A753">
        <v>24</v>
      </c>
      <c r="B753">
        <v>5101013</v>
      </c>
      <c r="C753">
        <v>6078</v>
      </c>
      <c r="D753">
        <v>2</v>
      </c>
      <c r="E753">
        <v>892</v>
      </c>
      <c r="F753" t="s">
        <v>142</v>
      </c>
      <c r="G753" t="s">
        <v>143</v>
      </c>
      <c r="H753">
        <v>892</v>
      </c>
      <c r="I753" t="s">
        <v>142</v>
      </c>
      <c r="J753" t="s">
        <v>143</v>
      </c>
      <c r="K753" t="s">
        <v>49</v>
      </c>
      <c r="L753">
        <v>30</v>
      </c>
      <c r="M753">
        <v>30</v>
      </c>
    </row>
    <row r="754" spans="1:13" x14ac:dyDescent="0.25">
      <c r="A754">
        <v>24</v>
      </c>
      <c r="B754">
        <v>5099718</v>
      </c>
      <c r="C754">
        <v>6078</v>
      </c>
      <c r="D754">
        <v>1</v>
      </c>
      <c r="E754">
        <v>382</v>
      </c>
      <c r="F754" t="s">
        <v>533</v>
      </c>
      <c r="G754" t="s">
        <v>534</v>
      </c>
      <c r="H754">
        <v>382</v>
      </c>
      <c r="I754" t="s">
        <v>533</v>
      </c>
      <c r="J754" t="s">
        <v>534</v>
      </c>
      <c r="K754" t="s">
        <v>49</v>
      </c>
      <c r="L754">
        <v>1</v>
      </c>
      <c r="M754">
        <v>1</v>
      </c>
    </row>
    <row r="755" spans="1:13" x14ac:dyDescent="0.25">
      <c r="A755">
        <v>23</v>
      </c>
      <c r="B755">
        <v>68</v>
      </c>
      <c r="C755">
        <v>6079</v>
      </c>
      <c r="D755">
        <v>1</v>
      </c>
      <c r="E755">
        <v>980</v>
      </c>
      <c r="F755" t="s">
        <v>1123</v>
      </c>
      <c r="G755" t="s">
        <v>1124</v>
      </c>
      <c r="H755">
        <v>980</v>
      </c>
      <c r="I755" t="s">
        <v>1123</v>
      </c>
      <c r="J755" t="s">
        <v>1124</v>
      </c>
      <c r="K755" t="s">
        <v>49</v>
      </c>
      <c r="L755">
        <v>1</v>
      </c>
      <c r="M755">
        <v>1</v>
      </c>
    </row>
    <row r="756" spans="1:13" x14ac:dyDescent="0.25">
      <c r="A756">
        <v>23</v>
      </c>
      <c r="B756">
        <v>68</v>
      </c>
      <c r="C756">
        <v>6079</v>
      </c>
      <c r="D756">
        <v>2</v>
      </c>
      <c r="E756">
        <v>981</v>
      </c>
      <c r="F756" t="s">
        <v>1125</v>
      </c>
      <c r="G756" t="s">
        <v>1126</v>
      </c>
      <c r="H756">
        <v>981</v>
      </c>
      <c r="I756" t="s">
        <v>1125</v>
      </c>
      <c r="J756" t="s">
        <v>1126</v>
      </c>
      <c r="K756" t="s">
        <v>49</v>
      </c>
      <c r="L756">
        <v>1</v>
      </c>
      <c r="M756">
        <v>1</v>
      </c>
    </row>
    <row r="757" spans="1:13" x14ac:dyDescent="0.25">
      <c r="A757">
        <v>3</v>
      </c>
      <c r="B757">
        <v>50051649</v>
      </c>
      <c r="C757">
        <v>6081</v>
      </c>
      <c r="D757">
        <v>12</v>
      </c>
      <c r="E757">
        <v>970</v>
      </c>
      <c r="F757" t="s">
        <v>436</v>
      </c>
      <c r="G757" t="s">
        <v>437</v>
      </c>
      <c r="H757">
        <v>506</v>
      </c>
      <c r="I757" t="s">
        <v>92</v>
      </c>
      <c r="J757" t="s">
        <v>93</v>
      </c>
      <c r="K757" t="s">
        <v>1127</v>
      </c>
      <c r="L757">
        <v>1</v>
      </c>
      <c r="M757">
        <v>1</v>
      </c>
    </row>
    <row r="758" spans="1:13" x14ac:dyDescent="0.25">
      <c r="A758">
        <v>3</v>
      </c>
      <c r="B758">
        <v>50051696</v>
      </c>
      <c r="C758">
        <v>6081</v>
      </c>
      <c r="D758">
        <v>13</v>
      </c>
      <c r="E758">
        <v>638</v>
      </c>
      <c r="F758" t="s">
        <v>104</v>
      </c>
      <c r="G758" t="s">
        <v>105</v>
      </c>
      <c r="H758">
        <v>638</v>
      </c>
      <c r="I758" t="s">
        <v>104</v>
      </c>
      <c r="J758" t="s">
        <v>105</v>
      </c>
      <c r="K758" t="s">
        <v>1128</v>
      </c>
      <c r="L758">
        <v>1</v>
      </c>
      <c r="M758">
        <v>1</v>
      </c>
    </row>
    <row r="759" spans="1:13" x14ac:dyDescent="0.25">
      <c r="A759">
        <v>3</v>
      </c>
      <c r="B759">
        <v>50051696</v>
      </c>
      <c r="C759">
        <v>6081</v>
      </c>
      <c r="D759">
        <v>15</v>
      </c>
      <c r="E759">
        <v>824</v>
      </c>
      <c r="F759" t="s">
        <v>134</v>
      </c>
      <c r="G759" t="s">
        <v>135</v>
      </c>
      <c r="H759">
        <v>824</v>
      </c>
      <c r="I759" t="s">
        <v>134</v>
      </c>
      <c r="J759" t="s">
        <v>135</v>
      </c>
      <c r="K759" t="s">
        <v>1129</v>
      </c>
      <c r="L759">
        <v>1</v>
      </c>
      <c r="M759">
        <v>1</v>
      </c>
    </row>
    <row r="760" spans="1:13" x14ac:dyDescent="0.25">
      <c r="A760">
        <v>3</v>
      </c>
      <c r="B760">
        <v>50051498</v>
      </c>
      <c r="C760">
        <v>6081</v>
      </c>
      <c r="D760">
        <v>10</v>
      </c>
      <c r="E760">
        <v>638</v>
      </c>
      <c r="F760" t="s">
        <v>104</v>
      </c>
      <c r="G760" t="s">
        <v>105</v>
      </c>
      <c r="H760">
        <v>638</v>
      </c>
      <c r="I760" t="s">
        <v>104</v>
      </c>
      <c r="J760" t="s">
        <v>105</v>
      </c>
      <c r="K760" t="s">
        <v>1130</v>
      </c>
      <c r="L760">
        <v>1</v>
      </c>
      <c r="M760">
        <v>1</v>
      </c>
    </row>
    <row r="761" spans="1:13" x14ac:dyDescent="0.25">
      <c r="A761">
        <v>3</v>
      </c>
      <c r="B761">
        <v>50051498</v>
      </c>
      <c r="C761">
        <v>6081</v>
      </c>
      <c r="D761">
        <v>14</v>
      </c>
      <c r="E761">
        <v>821</v>
      </c>
      <c r="F761" t="s">
        <v>132</v>
      </c>
      <c r="G761" t="s">
        <v>133</v>
      </c>
      <c r="H761">
        <v>821</v>
      </c>
      <c r="I761" t="s">
        <v>132</v>
      </c>
      <c r="J761" t="s">
        <v>133</v>
      </c>
      <c r="K761" t="s">
        <v>1131</v>
      </c>
      <c r="L761">
        <v>1</v>
      </c>
      <c r="M761">
        <v>1</v>
      </c>
    </row>
    <row r="762" spans="1:13" x14ac:dyDescent="0.25">
      <c r="A762">
        <v>3</v>
      </c>
      <c r="B762">
        <v>50051550</v>
      </c>
      <c r="C762">
        <v>6081</v>
      </c>
      <c r="D762">
        <v>7</v>
      </c>
      <c r="E762">
        <v>821</v>
      </c>
      <c r="F762" t="s">
        <v>132</v>
      </c>
      <c r="G762" t="s">
        <v>133</v>
      </c>
      <c r="H762">
        <v>821</v>
      </c>
      <c r="I762" t="s">
        <v>132</v>
      </c>
      <c r="J762" t="s">
        <v>133</v>
      </c>
      <c r="K762" t="s">
        <v>1132</v>
      </c>
      <c r="L762">
        <v>1</v>
      </c>
      <c r="M762">
        <v>1</v>
      </c>
    </row>
    <row r="763" spans="1:13" x14ac:dyDescent="0.25">
      <c r="A763">
        <v>3</v>
      </c>
      <c r="B763">
        <v>50051596</v>
      </c>
      <c r="C763">
        <v>6081</v>
      </c>
      <c r="D763">
        <v>2</v>
      </c>
      <c r="E763">
        <v>970</v>
      </c>
      <c r="F763" t="s">
        <v>436</v>
      </c>
      <c r="G763" t="s">
        <v>437</v>
      </c>
      <c r="H763">
        <v>506</v>
      </c>
      <c r="I763" t="s">
        <v>92</v>
      </c>
      <c r="J763" t="s">
        <v>93</v>
      </c>
      <c r="K763" t="s">
        <v>1133</v>
      </c>
      <c r="L763">
        <v>1</v>
      </c>
      <c r="M763">
        <v>1</v>
      </c>
    </row>
    <row r="764" spans="1:13" x14ac:dyDescent="0.25">
      <c r="A764">
        <v>3</v>
      </c>
      <c r="B764">
        <v>50051596</v>
      </c>
      <c r="C764">
        <v>6081</v>
      </c>
      <c r="D764">
        <v>3</v>
      </c>
      <c r="E764">
        <v>409</v>
      </c>
      <c r="F764" t="s">
        <v>84</v>
      </c>
      <c r="G764" t="s">
        <v>85</v>
      </c>
      <c r="H764">
        <v>409</v>
      </c>
      <c r="I764" t="s">
        <v>84</v>
      </c>
      <c r="J764" t="s">
        <v>85</v>
      </c>
      <c r="K764" t="s">
        <v>1134</v>
      </c>
      <c r="L764">
        <v>1</v>
      </c>
      <c r="M764">
        <v>1</v>
      </c>
    </row>
    <row r="765" spans="1:13" x14ac:dyDescent="0.25">
      <c r="A765">
        <v>3</v>
      </c>
      <c r="B765">
        <v>50051596</v>
      </c>
      <c r="C765">
        <v>6081</v>
      </c>
      <c r="D765">
        <v>4</v>
      </c>
      <c r="E765">
        <v>970</v>
      </c>
      <c r="F765" t="s">
        <v>436</v>
      </c>
      <c r="G765" t="s">
        <v>437</v>
      </c>
      <c r="H765">
        <v>506</v>
      </c>
      <c r="I765" t="s">
        <v>92</v>
      </c>
      <c r="J765" t="s">
        <v>93</v>
      </c>
      <c r="K765" t="s">
        <v>1135</v>
      </c>
      <c r="L765">
        <v>1</v>
      </c>
      <c r="M765">
        <v>1</v>
      </c>
    </row>
    <row r="766" spans="1:13" x14ac:dyDescent="0.25">
      <c r="A766">
        <v>3</v>
      </c>
      <c r="B766">
        <v>50051597</v>
      </c>
      <c r="C766">
        <v>6081</v>
      </c>
      <c r="D766">
        <v>5</v>
      </c>
      <c r="E766">
        <v>970</v>
      </c>
      <c r="F766" t="s">
        <v>436</v>
      </c>
      <c r="G766" t="s">
        <v>437</v>
      </c>
      <c r="H766">
        <v>506</v>
      </c>
      <c r="I766" t="s">
        <v>92</v>
      </c>
      <c r="J766" t="s">
        <v>93</v>
      </c>
      <c r="K766" t="s">
        <v>1136</v>
      </c>
      <c r="L766">
        <v>1</v>
      </c>
      <c r="M766">
        <v>1</v>
      </c>
    </row>
    <row r="767" spans="1:13" x14ac:dyDescent="0.25">
      <c r="A767">
        <v>3</v>
      </c>
      <c r="B767">
        <v>50051597</v>
      </c>
      <c r="C767">
        <v>6081</v>
      </c>
      <c r="D767">
        <v>6</v>
      </c>
      <c r="E767">
        <v>824</v>
      </c>
      <c r="F767" t="s">
        <v>134</v>
      </c>
      <c r="G767" t="s">
        <v>135</v>
      </c>
      <c r="H767">
        <v>824</v>
      </c>
      <c r="I767" t="s">
        <v>134</v>
      </c>
      <c r="J767" t="s">
        <v>135</v>
      </c>
      <c r="K767" t="s">
        <v>1137</v>
      </c>
      <c r="L767">
        <v>1</v>
      </c>
      <c r="M767">
        <v>1</v>
      </c>
    </row>
    <row r="768" spans="1:13" x14ac:dyDescent="0.25">
      <c r="A768">
        <v>3</v>
      </c>
      <c r="B768">
        <v>50051648</v>
      </c>
      <c r="C768">
        <v>6081</v>
      </c>
      <c r="D768">
        <v>11</v>
      </c>
      <c r="E768">
        <v>824</v>
      </c>
      <c r="F768" t="s">
        <v>134</v>
      </c>
      <c r="G768" t="s">
        <v>135</v>
      </c>
      <c r="H768">
        <v>824</v>
      </c>
      <c r="I768" t="s">
        <v>134</v>
      </c>
      <c r="J768" t="s">
        <v>135</v>
      </c>
      <c r="K768" t="s">
        <v>1138</v>
      </c>
      <c r="L768">
        <v>1</v>
      </c>
      <c r="M768">
        <v>1</v>
      </c>
    </row>
    <row r="769" spans="1:13" x14ac:dyDescent="0.25">
      <c r="A769">
        <v>3</v>
      </c>
      <c r="B769">
        <v>50051450</v>
      </c>
      <c r="C769">
        <v>6081</v>
      </c>
      <c r="D769">
        <v>8</v>
      </c>
      <c r="E769">
        <v>638</v>
      </c>
      <c r="F769" t="s">
        <v>104</v>
      </c>
      <c r="G769" t="s">
        <v>105</v>
      </c>
      <c r="H769">
        <v>638</v>
      </c>
      <c r="I769" t="s">
        <v>104</v>
      </c>
      <c r="J769" t="s">
        <v>105</v>
      </c>
      <c r="K769" t="s">
        <v>1139</v>
      </c>
      <c r="L769">
        <v>1</v>
      </c>
      <c r="M769">
        <v>1</v>
      </c>
    </row>
    <row r="770" spans="1:13" x14ac:dyDescent="0.25">
      <c r="A770">
        <v>3</v>
      </c>
      <c r="B770">
        <v>50051451</v>
      </c>
      <c r="C770">
        <v>6081</v>
      </c>
      <c r="D770">
        <v>1</v>
      </c>
      <c r="E770">
        <v>970</v>
      </c>
      <c r="F770" t="s">
        <v>436</v>
      </c>
      <c r="G770" t="s">
        <v>437</v>
      </c>
      <c r="H770">
        <v>506</v>
      </c>
      <c r="I770" t="s">
        <v>92</v>
      </c>
      <c r="J770" t="s">
        <v>93</v>
      </c>
      <c r="K770" t="s">
        <v>1140</v>
      </c>
      <c r="L770">
        <v>1</v>
      </c>
      <c r="M770">
        <v>1</v>
      </c>
    </row>
    <row r="771" spans="1:13" x14ac:dyDescent="0.25">
      <c r="A771">
        <v>3</v>
      </c>
      <c r="B771">
        <v>50051497</v>
      </c>
      <c r="C771">
        <v>6081</v>
      </c>
      <c r="D771">
        <v>9</v>
      </c>
      <c r="E771">
        <v>474</v>
      </c>
      <c r="F771" t="s">
        <v>86</v>
      </c>
      <c r="G771" t="s">
        <v>87</v>
      </c>
      <c r="H771">
        <v>474</v>
      </c>
      <c r="I771" t="s">
        <v>86</v>
      </c>
      <c r="J771" t="s">
        <v>87</v>
      </c>
      <c r="K771" t="s">
        <v>1141</v>
      </c>
      <c r="L771">
        <v>1</v>
      </c>
      <c r="M771">
        <v>1</v>
      </c>
    </row>
    <row r="772" spans="1:13" x14ac:dyDescent="0.25">
      <c r="A772">
        <v>3</v>
      </c>
      <c r="B772">
        <v>343685</v>
      </c>
      <c r="C772">
        <v>6082</v>
      </c>
      <c r="D772">
        <v>1</v>
      </c>
      <c r="E772">
        <v>970</v>
      </c>
      <c r="F772" t="s">
        <v>436</v>
      </c>
      <c r="G772" t="s">
        <v>437</v>
      </c>
      <c r="H772">
        <v>506</v>
      </c>
      <c r="I772" t="s">
        <v>92</v>
      </c>
      <c r="J772" t="s">
        <v>93</v>
      </c>
      <c r="K772" t="s">
        <v>49</v>
      </c>
      <c r="L772">
        <v>1</v>
      </c>
      <c r="M772">
        <v>1</v>
      </c>
    </row>
    <row r="773" spans="1:13" x14ac:dyDescent="0.25">
      <c r="A773">
        <v>2</v>
      </c>
      <c r="B773">
        <v>8665704</v>
      </c>
      <c r="C773">
        <v>6083</v>
      </c>
      <c r="D773">
        <v>1</v>
      </c>
      <c r="E773">
        <v>970</v>
      </c>
      <c r="F773" t="s">
        <v>436</v>
      </c>
      <c r="G773" t="s">
        <v>437</v>
      </c>
      <c r="H773">
        <v>506</v>
      </c>
      <c r="I773" t="s">
        <v>92</v>
      </c>
      <c r="J773" t="s">
        <v>93</v>
      </c>
      <c r="K773" t="s">
        <v>1142</v>
      </c>
      <c r="L773">
        <v>1</v>
      </c>
      <c r="M773">
        <v>1</v>
      </c>
    </row>
    <row r="774" spans="1:13" x14ac:dyDescent="0.25">
      <c r="A774">
        <v>29</v>
      </c>
      <c r="B774">
        <v>8667241</v>
      </c>
      <c r="C774">
        <v>6084</v>
      </c>
      <c r="D774">
        <v>2</v>
      </c>
      <c r="E774">
        <v>849</v>
      </c>
      <c r="F774" t="s">
        <v>138</v>
      </c>
      <c r="G774" t="s">
        <v>139</v>
      </c>
      <c r="H774">
        <v>849</v>
      </c>
      <c r="I774" t="s">
        <v>138</v>
      </c>
      <c r="J774" t="s">
        <v>139</v>
      </c>
      <c r="K774" t="s">
        <v>1143</v>
      </c>
      <c r="L774">
        <v>1</v>
      </c>
      <c r="M774">
        <v>1</v>
      </c>
    </row>
    <row r="775" spans="1:13" x14ac:dyDescent="0.25">
      <c r="A775">
        <v>29</v>
      </c>
      <c r="B775">
        <v>8666231</v>
      </c>
      <c r="C775">
        <v>6084</v>
      </c>
      <c r="D775">
        <v>1</v>
      </c>
      <c r="E775">
        <v>849</v>
      </c>
      <c r="F775" t="s">
        <v>138</v>
      </c>
      <c r="G775" t="s">
        <v>139</v>
      </c>
      <c r="H775">
        <v>849</v>
      </c>
      <c r="I775" t="s">
        <v>138</v>
      </c>
      <c r="J775" t="s">
        <v>139</v>
      </c>
      <c r="K775" t="s">
        <v>1144</v>
      </c>
      <c r="L775">
        <v>1</v>
      </c>
      <c r="M775">
        <v>1</v>
      </c>
    </row>
    <row r="776" spans="1:13" x14ac:dyDescent="0.25">
      <c r="A776">
        <v>24</v>
      </c>
      <c r="B776">
        <v>5101084</v>
      </c>
      <c r="C776">
        <v>6085</v>
      </c>
      <c r="D776">
        <v>1</v>
      </c>
      <c r="E776">
        <v>711</v>
      </c>
      <c r="F776" t="s">
        <v>232</v>
      </c>
      <c r="G776" t="s">
        <v>233</v>
      </c>
      <c r="H776">
        <v>711</v>
      </c>
      <c r="I776" t="s">
        <v>232</v>
      </c>
      <c r="J776" t="s">
        <v>233</v>
      </c>
      <c r="K776" t="s">
        <v>1145</v>
      </c>
      <c r="L776">
        <v>1</v>
      </c>
      <c r="M776">
        <v>1</v>
      </c>
    </row>
    <row r="777" spans="1:13" x14ac:dyDescent="0.25">
      <c r="A777">
        <v>26</v>
      </c>
      <c r="B777">
        <v>25</v>
      </c>
      <c r="C777">
        <v>6086</v>
      </c>
      <c r="D777">
        <v>1</v>
      </c>
      <c r="E777">
        <v>421</v>
      </c>
      <c r="F777" t="s">
        <v>1146</v>
      </c>
      <c r="G777" t="s">
        <v>1147</v>
      </c>
      <c r="H777">
        <v>421</v>
      </c>
      <c r="I777" t="s">
        <v>1146</v>
      </c>
      <c r="J777" t="s">
        <v>1147</v>
      </c>
      <c r="K777" t="s">
        <v>49</v>
      </c>
      <c r="L777">
        <v>18</v>
      </c>
      <c r="M777">
        <v>0</v>
      </c>
    </row>
    <row r="778" spans="1:13" x14ac:dyDescent="0.25">
      <c r="A778">
        <v>26</v>
      </c>
      <c r="B778">
        <v>25</v>
      </c>
      <c r="C778">
        <v>6086</v>
      </c>
      <c r="D778">
        <v>2</v>
      </c>
      <c r="E778">
        <v>563</v>
      </c>
      <c r="F778" t="s">
        <v>253</v>
      </c>
      <c r="G778" t="s">
        <v>254</v>
      </c>
      <c r="H778">
        <v>563</v>
      </c>
      <c r="I778" t="s">
        <v>253</v>
      </c>
      <c r="J778" t="s">
        <v>254</v>
      </c>
      <c r="K778" t="s">
        <v>49</v>
      </c>
      <c r="L778">
        <v>4</v>
      </c>
      <c r="M778">
        <v>0</v>
      </c>
    </row>
    <row r="779" spans="1:13" x14ac:dyDescent="0.25">
      <c r="A779">
        <v>26</v>
      </c>
      <c r="B779">
        <v>25</v>
      </c>
      <c r="C779">
        <v>6086</v>
      </c>
      <c r="D779">
        <v>3</v>
      </c>
      <c r="E779">
        <v>579</v>
      </c>
      <c r="F779" t="s">
        <v>1148</v>
      </c>
      <c r="G779" t="s">
        <v>1149</v>
      </c>
      <c r="H779">
        <v>579</v>
      </c>
      <c r="I779" t="s">
        <v>1148</v>
      </c>
      <c r="J779" t="s">
        <v>1149</v>
      </c>
      <c r="K779" t="s">
        <v>49</v>
      </c>
      <c r="L779">
        <v>11</v>
      </c>
      <c r="M779">
        <v>0</v>
      </c>
    </row>
    <row r="780" spans="1:13" x14ac:dyDescent="0.25">
      <c r="A780">
        <v>26</v>
      </c>
      <c r="B780">
        <v>25</v>
      </c>
      <c r="C780">
        <v>6086</v>
      </c>
      <c r="D780">
        <v>4</v>
      </c>
      <c r="E780">
        <v>580</v>
      </c>
      <c r="F780" t="s">
        <v>1150</v>
      </c>
      <c r="G780" t="s">
        <v>1151</v>
      </c>
      <c r="H780">
        <v>580</v>
      </c>
      <c r="I780" t="s">
        <v>1150</v>
      </c>
      <c r="J780" t="s">
        <v>1151</v>
      </c>
      <c r="K780" t="s">
        <v>49</v>
      </c>
      <c r="L780">
        <v>12</v>
      </c>
      <c r="M780">
        <v>0</v>
      </c>
    </row>
    <row r="781" spans="1:13" x14ac:dyDescent="0.25">
      <c r="A781">
        <v>26</v>
      </c>
      <c r="B781">
        <v>25</v>
      </c>
      <c r="C781">
        <v>6086</v>
      </c>
      <c r="D781">
        <v>5</v>
      </c>
      <c r="E781">
        <v>388</v>
      </c>
      <c r="F781" t="s">
        <v>474</v>
      </c>
      <c r="G781" t="s">
        <v>475</v>
      </c>
      <c r="H781">
        <v>388</v>
      </c>
      <c r="I781" t="s">
        <v>474</v>
      </c>
      <c r="J781" t="s">
        <v>475</v>
      </c>
      <c r="K781" t="s">
        <v>49</v>
      </c>
      <c r="L781">
        <v>8</v>
      </c>
      <c r="M781">
        <v>0</v>
      </c>
    </row>
    <row r="782" spans="1:13" x14ac:dyDescent="0.25">
      <c r="A782">
        <v>26</v>
      </c>
      <c r="B782">
        <v>25</v>
      </c>
      <c r="C782">
        <v>6086</v>
      </c>
      <c r="D782">
        <v>6</v>
      </c>
      <c r="E782">
        <v>420</v>
      </c>
      <c r="F782" t="s">
        <v>1152</v>
      </c>
      <c r="G782" t="s">
        <v>1153</v>
      </c>
      <c r="H782">
        <v>420</v>
      </c>
      <c r="I782" t="s">
        <v>1152</v>
      </c>
      <c r="J782" t="s">
        <v>1153</v>
      </c>
      <c r="K782" t="s">
        <v>49</v>
      </c>
      <c r="L782">
        <v>11</v>
      </c>
      <c r="M782">
        <v>0</v>
      </c>
    </row>
    <row r="783" spans="1:13" x14ac:dyDescent="0.25">
      <c r="A783">
        <v>26</v>
      </c>
      <c r="B783">
        <v>25</v>
      </c>
      <c r="C783">
        <v>6086</v>
      </c>
      <c r="D783">
        <v>7</v>
      </c>
      <c r="E783">
        <v>450</v>
      </c>
      <c r="F783" t="s">
        <v>1154</v>
      </c>
      <c r="G783" t="s">
        <v>1155</v>
      </c>
      <c r="H783">
        <v>450</v>
      </c>
      <c r="I783" t="s">
        <v>1154</v>
      </c>
      <c r="J783" t="s">
        <v>1155</v>
      </c>
      <c r="K783" t="s">
        <v>49</v>
      </c>
      <c r="L783">
        <v>6</v>
      </c>
      <c r="M783">
        <v>0</v>
      </c>
    </row>
    <row r="784" spans="1:13" x14ac:dyDescent="0.25">
      <c r="A784">
        <v>26</v>
      </c>
      <c r="B784">
        <v>25</v>
      </c>
      <c r="C784">
        <v>6086</v>
      </c>
      <c r="D784">
        <v>8</v>
      </c>
      <c r="E784">
        <v>451</v>
      </c>
      <c r="F784" t="s">
        <v>1156</v>
      </c>
      <c r="G784" t="s">
        <v>1157</v>
      </c>
      <c r="H784">
        <v>451</v>
      </c>
      <c r="I784" t="s">
        <v>1156</v>
      </c>
      <c r="J784" t="s">
        <v>1157</v>
      </c>
      <c r="K784" t="s">
        <v>49</v>
      </c>
      <c r="L784">
        <v>7</v>
      </c>
      <c r="M784">
        <v>0</v>
      </c>
    </row>
    <row r="785" spans="1:13" x14ac:dyDescent="0.25">
      <c r="A785">
        <v>26</v>
      </c>
      <c r="B785">
        <v>25</v>
      </c>
      <c r="C785">
        <v>6086</v>
      </c>
      <c r="D785">
        <v>9</v>
      </c>
      <c r="E785">
        <v>467</v>
      </c>
      <c r="F785" t="s">
        <v>389</v>
      </c>
      <c r="G785" t="s">
        <v>390</v>
      </c>
      <c r="H785">
        <v>467</v>
      </c>
      <c r="I785" t="s">
        <v>389</v>
      </c>
      <c r="J785" t="s">
        <v>390</v>
      </c>
      <c r="K785" t="s">
        <v>49</v>
      </c>
      <c r="L785">
        <v>14</v>
      </c>
      <c r="M785">
        <v>0</v>
      </c>
    </row>
    <row r="786" spans="1:13" x14ac:dyDescent="0.25">
      <c r="A786">
        <v>26</v>
      </c>
      <c r="B786">
        <v>25</v>
      </c>
      <c r="C786">
        <v>6086</v>
      </c>
      <c r="D786">
        <v>10</v>
      </c>
      <c r="E786">
        <v>498</v>
      </c>
      <c r="F786" t="s">
        <v>521</v>
      </c>
      <c r="G786" t="s">
        <v>522</v>
      </c>
      <c r="H786">
        <v>498</v>
      </c>
      <c r="I786" t="s">
        <v>521</v>
      </c>
      <c r="J786" t="s">
        <v>522</v>
      </c>
      <c r="K786" t="s">
        <v>49</v>
      </c>
      <c r="L786">
        <v>13</v>
      </c>
      <c r="M786">
        <v>0</v>
      </c>
    </row>
    <row r="787" spans="1:13" x14ac:dyDescent="0.25">
      <c r="A787">
        <v>26</v>
      </c>
      <c r="B787">
        <v>25</v>
      </c>
      <c r="C787">
        <v>6086</v>
      </c>
      <c r="D787">
        <v>11</v>
      </c>
      <c r="E787">
        <v>141</v>
      </c>
      <c r="F787" t="s">
        <v>64</v>
      </c>
      <c r="G787" t="s">
        <v>65</v>
      </c>
      <c r="H787">
        <v>141</v>
      </c>
      <c r="I787" t="s">
        <v>64</v>
      </c>
      <c r="J787" t="s">
        <v>65</v>
      </c>
      <c r="K787" t="s">
        <v>49</v>
      </c>
      <c r="L787">
        <v>17</v>
      </c>
      <c r="M787">
        <v>0</v>
      </c>
    </row>
    <row r="788" spans="1:13" x14ac:dyDescent="0.25">
      <c r="A788">
        <v>26</v>
      </c>
      <c r="B788">
        <v>25</v>
      </c>
      <c r="C788">
        <v>6086</v>
      </c>
      <c r="D788">
        <v>12</v>
      </c>
      <c r="E788">
        <v>103</v>
      </c>
      <c r="F788" t="s">
        <v>1158</v>
      </c>
      <c r="G788" t="s">
        <v>1159</v>
      </c>
      <c r="H788">
        <v>103</v>
      </c>
      <c r="I788" t="s">
        <v>1158</v>
      </c>
      <c r="J788" t="s">
        <v>1159</v>
      </c>
      <c r="K788" t="s">
        <v>49</v>
      </c>
      <c r="L788">
        <v>20</v>
      </c>
      <c r="M788">
        <v>0</v>
      </c>
    </row>
    <row r="789" spans="1:13" x14ac:dyDescent="0.25">
      <c r="A789">
        <v>26</v>
      </c>
      <c r="B789">
        <v>25</v>
      </c>
      <c r="C789">
        <v>6086</v>
      </c>
      <c r="D789">
        <v>13</v>
      </c>
      <c r="E789">
        <v>727</v>
      </c>
      <c r="F789" t="s">
        <v>1160</v>
      </c>
      <c r="G789" t="s">
        <v>1161</v>
      </c>
      <c r="H789">
        <v>727</v>
      </c>
      <c r="I789" t="s">
        <v>1160</v>
      </c>
      <c r="J789" t="s">
        <v>1161</v>
      </c>
      <c r="K789" t="s">
        <v>49</v>
      </c>
      <c r="L789">
        <v>6</v>
      </c>
      <c r="M789">
        <v>0</v>
      </c>
    </row>
    <row r="790" spans="1:13" x14ac:dyDescent="0.25">
      <c r="A790">
        <v>26</v>
      </c>
      <c r="B790">
        <v>25</v>
      </c>
      <c r="C790">
        <v>6086</v>
      </c>
      <c r="D790">
        <v>14</v>
      </c>
      <c r="E790">
        <v>698</v>
      </c>
      <c r="F790" t="s">
        <v>116</v>
      </c>
      <c r="G790" t="s">
        <v>117</v>
      </c>
      <c r="H790">
        <v>698</v>
      </c>
      <c r="I790" t="s">
        <v>116</v>
      </c>
      <c r="J790" t="s">
        <v>117</v>
      </c>
      <c r="K790" t="s">
        <v>49</v>
      </c>
      <c r="L790">
        <v>13</v>
      </c>
      <c r="M790">
        <v>0</v>
      </c>
    </row>
    <row r="791" spans="1:13" x14ac:dyDescent="0.25">
      <c r="A791">
        <v>9</v>
      </c>
      <c r="B791">
        <v>9196067</v>
      </c>
      <c r="C791">
        <v>6135</v>
      </c>
      <c r="D791">
        <v>11</v>
      </c>
      <c r="E791">
        <v>400</v>
      </c>
      <c r="F791" t="s">
        <v>74</v>
      </c>
      <c r="G791" t="s">
        <v>75</v>
      </c>
      <c r="H791">
        <v>400</v>
      </c>
      <c r="I791" t="s">
        <v>74</v>
      </c>
      <c r="J791" t="s">
        <v>75</v>
      </c>
      <c r="K791" t="s">
        <v>1162</v>
      </c>
      <c r="L791">
        <v>1</v>
      </c>
      <c r="M791">
        <v>1</v>
      </c>
    </row>
    <row r="792" spans="1:13" x14ac:dyDescent="0.25">
      <c r="A792">
        <v>9</v>
      </c>
      <c r="B792">
        <v>9196249</v>
      </c>
      <c r="C792">
        <v>6136</v>
      </c>
      <c r="D792">
        <v>8</v>
      </c>
      <c r="E792">
        <v>970</v>
      </c>
      <c r="F792" t="s">
        <v>436</v>
      </c>
      <c r="G792" t="s">
        <v>437</v>
      </c>
      <c r="H792">
        <v>506</v>
      </c>
      <c r="I792" t="s">
        <v>92</v>
      </c>
      <c r="J792" t="s">
        <v>93</v>
      </c>
      <c r="K792" t="s">
        <v>1163</v>
      </c>
      <c r="L792">
        <v>1</v>
      </c>
      <c r="M792">
        <v>1</v>
      </c>
    </row>
    <row r="793" spans="1:13" x14ac:dyDescent="0.25">
      <c r="A793">
        <v>9</v>
      </c>
      <c r="B793">
        <v>9195110</v>
      </c>
      <c r="C793">
        <v>6136</v>
      </c>
      <c r="D793">
        <v>7</v>
      </c>
      <c r="E793">
        <v>13</v>
      </c>
      <c r="F793" t="s">
        <v>62</v>
      </c>
      <c r="G793" t="s">
        <v>63</v>
      </c>
      <c r="H793">
        <v>13</v>
      </c>
      <c r="I793" t="s">
        <v>62</v>
      </c>
      <c r="J793" t="s">
        <v>63</v>
      </c>
      <c r="K793" t="s">
        <v>1164</v>
      </c>
      <c r="L793">
        <v>1</v>
      </c>
      <c r="M793">
        <v>1</v>
      </c>
    </row>
    <row r="794" spans="1:13" x14ac:dyDescent="0.25">
      <c r="A794">
        <v>9</v>
      </c>
      <c r="B794">
        <v>9194295</v>
      </c>
      <c r="C794">
        <v>6136</v>
      </c>
      <c r="D794">
        <v>5</v>
      </c>
      <c r="E794">
        <v>592</v>
      </c>
      <c r="F794" t="s">
        <v>622</v>
      </c>
      <c r="G794" t="s">
        <v>623</v>
      </c>
      <c r="H794">
        <v>592</v>
      </c>
      <c r="I794" t="s">
        <v>622</v>
      </c>
      <c r="J794" t="s">
        <v>623</v>
      </c>
      <c r="K794" t="s">
        <v>1165</v>
      </c>
      <c r="L794">
        <v>1</v>
      </c>
      <c r="M794">
        <v>1</v>
      </c>
    </row>
    <row r="795" spans="1:13" x14ac:dyDescent="0.25">
      <c r="A795">
        <v>9</v>
      </c>
      <c r="B795">
        <v>9194295</v>
      </c>
      <c r="C795">
        <v>6136</v>
      </c>
      <c r="D795">
        <v>6</v>
      </c>
      <c r="E795">
        <v>638</v>
      </c>
      <c r="F795" t="s">
        <v>104</v>
      </c>
      <c r="G795" t="s">
        <v>105</v>
      </c>
      <c r="H795">
        <v>638</v>
      </c>
      <c r="I795" t="s">
        <v>104</v>
      </c>
      <c r="J795" t="s">
        <v>105</v>
      </c>
      <c r="K795" t="s">
        <v>1166</v>
      </c>
      <c r="L795">
        <v>1</v>
      </c>
      <c r="M795">
        <v>1</v>
      </c>
    </row>
    <row r="796" spans="1:13" x14ac:dyDescent="0.25">
      <c r="A796">
        <v>9</v>
      </c>
      <c r="B796">
        <v>9193553</v>
      </c>
      <c r="C796">
        <v>6136</v>
      </c>
      <c r="D796">
        <v>4</v>
      </c>
      <c r="E796">
        <v>702</v>
      </c>
      <c r="F796" t="s">
        <v>120</v>
      </c>
      <c r="G796" t="s">
        <v>121</v>
      </c>
      <c r="H796">
        <v>702</v>
      </c>
      <c r="I796" t="s">
        <v>120</v>
      </c>
      <c r="J796" t="s">
        <v>121</v>
      </c>
      <c r="K796" t="s">
        <v>1167</v>
      </c>
      <c r="L796">
        <v>1</v>
      </c>
      <c r="M796">
        <v>1</v>
      </c>
    </row>
    <row r="797" spans="1:13" x14ac:dyDescent="0.25">
      <c r="A797">
        <v>9</v>
      </c>
      <c r="B797">
        <v>9192624</v>
      </c>
      <c r="C797">
        <v>6136</v>
      </c>
      <c r="D797">
        <v>2</v>
      </c>
      <c r="E797">
        <v>703</v>
      </c>
      <c r="F797" t="s">
        <v>461</v>
      </c>
      <c r="G797" t="s">
        <v>462</v>
      </c>
      <c r="H797">
        <v>703</v>
      </c>
      <c r="I797" t="s">
        <v>461</v>
      </c>
      <c r="J797" t="s">
        <v>462</v>
      </c>
      <c r="K797" t="s">
        <v>1168</v>
      </c>
      <c r="L797">
        <v>1</v>
      </c>
      <c r="M797">
        <v>1</v>
      </c>
    </row>
    <row r="798" spans="1:13" x14ac:dyDescent="0.25">
      <c r="A798">
        <v>9</v>
      </c>
      <c r="B798">
        <v>9192968</v>
      </c>
      <c r="C798">
        <v>6136</v>
      </c>
      <c r="D798">
        <v>3</v>
      </c>
      <c r="E798">
        <v>702</v>
      </c>
      <c r="F798" t="s">
        <v>120</v>
      </c>
      <c r="G798" t="s">
        <v>121</v>
      </c>
      <c r="H798">
        <v>702</v>
      </c>
      <c r="I798" t="s">
        <v>120</v>
      </c>
      <c r="J798" t="s">
        <v>121</v>
      </c>
      <c r="K798" t="s">
        <v>1169</v>
      </c>
      <c r="L798">
        <v>1</v>
      </c>
      <c r="M798">
        <v>1</v>
      </c>
    </row>
    <row r="799" spans="1:13" x14ac:dyDescent="0.25">
      <c r="A799">
        <v>9</v>
      </c>
      <c r="B799">
        <v>9190425</v>
      </c>
      <c r="C799">
        <v>6136</v>
      </c>
      <c r="D799">
        <v>1</v>
      </c>
      <c r="E799">
        <v>638</v>
      </c>
      <c r="F799" t="s">
        <v>104</v>
      </c>
      <c r="G799" t="s">
        <v>105</v>
      </c>
      <c r="H799">
        <v>638</v>
      </c>
      <c r="I799" t="s">
        <v>104</v>
      </c>
      <c r="J799" t="s">
        <v>105</v>
      </c>
      <c r="K799" t="s">
        <v>1170</v>
      </c>
      <c r="L799">
        <v>1</v>
      </c>
      <c r="M799">
        <v>1</v>
      </c>
    </row>
    <row r="800" spans="1:13" x14ac:dyDescent="0.25">
      <c r="A800">
        <v>9</v>
      </c>
      <c r="B800">
        <v>9195790</v>
      </c>
      <c r="C800">
        <v>6137</v>
      </c>
      <c r="D800">
        <v>9</v>
      </c>
      <c r="E800">
        <v>501</v>
      </c>
      <c r="F800" t="s">
        <v>90</v>
      </c>
      <c r="G800" t="s">
        <v>91</v>
      </c>
      <c r="H800">
        <v>501</v>
      </c>
      <c r="I800" t="s">
        <v>90</v>
      </c>
      <c r="J800" t="s">
        <v>91</v>
      </c>
      <c r="K800" t="s">
        <v>1171</v>
      </c>
      <c r="L800">
        <v>1</v>
      </c>
      <c r="M800">
        <v>1</v>
      </c>
    </row>
    <row r="801" spans="1:13" x14ac:dyDescent="0.25">
      <c r="A801">
        <v>9</v>
      </c>
      <c r="B801">
        <v>9195052</v>
      </c>
      <c r="C801">
        <v>6137</v>
      </c>
      <c r="D801">
        <v>5</v>
      </c>
      <c r="E801">
        <v>704</v>
      </c>
      <c r="F801" t="s">
        <v>122</v>
      </c>
      <c r="G801" t="s">
        <v>123</v>
      </c>
      <c r="H801">
        <v>704</v>
      </c>
      <c r="I801" t="s">
        <v>122</v>
      </c>
      <c r="J801" t="s">
        <v>123</v>
      </c>
      <c r="K801" t="s">
        <v>1172</v>
      </c>
      <c r="L801">
        <v>1</v>
      </c>
      <c r="M801">
        <v>1</v>
      </c>
    </row>
    <row r="802" spans="1:13" x14ac:dyDescent="0.25">
      <c r="A802">
        <v>9</v>
      </c>
      <c r="B802">
        <v>9195052</v>
      </c>
      <c r="C802">
        <v>6137</v>
      </c>
      <c r="D802">
        <v>6</v>
      </c>
      <c r="E802">
        <v>703</v>
      </c>
      <c r="F802" t="s">
        <v>461</v>
      </c>
      <c r="G802" t="s">
        <v>462</v>
      </c>
      <c r="H802">
        <v>703</v>
      </c>
      <c r="I802" t="s">
        <v>461</v>
      </c>
      <c r="J802" t="s">
        <v>462</v>
      </c>
      <c r="K802" t="s">
        <v>1173</v>
      </c>
      <c r="L802">
        <v>1</v>
      </c>
      <c r="M802">
        <v>1</v>
      </c>
    </row>
    <row r="803" spans="1:13" x14ac:dyDescent="0.25">
      <c r="A803">
        <v>9</v>
      </c>
      <c r="B803">
        <v>9195156</v>
      </c>
      <c r="C803">
        <v>6137</v>
      </c>
      <c r="D803">
        <v>7</v>
      </c>
      <c r="E803">
        <v>638</v>
      </c>
      <c r="F803" t="s">
        <v>104</v>
      </c>
      <c r="G803" t="s">
        <v>105</v>
      </c>
      <c r="H803">
        <v>638</v>
      </c>
      <c r="I803" t="s">
        <v>104</v>
      </c>
      <c r="J803" t="s">
        <v>105</v>
      </c>
      <c r="K803" t="s">
        <v>1174</v>
      </c>
      <c r="L803">
        <v>1</v>
      </c>
      <c r="M803">
        <v>1</v>
      </c>
    </row>
    <row r="804" spans="1:13" x14ac:dyDescent="0.25">
      <c r="A804">
        <v>9</v>
      </c>
      <c r="B804">
        <v>9195265</v>
      </c>
      <c r="C804">
        <v>6137</v>
      </c>
      <c r="D804">
        <v>8</v>
      </c>
      <c r="E804">
        <v>704</v>
      </c>
      <c r="F804" t="s">
        <v>122</v>
      </c>
      <c r="G804" t="s">
        <v>123</v>
      </c>
      <c r="H804">
        <v>704</v>
      </c>
      <c r="I804" t="s">
        <v>122</v>
      </c>
      <c r="J804" t="s">
        <v>123</v>
      </c>
      <c r="K804" t="s">
        <v>1175</v>
      </c>
      <c r="L804">
        <v>1</v>
      </c>
      <c r="M804">
        <v>1</v>
      </c>
    </row>
    <row r="805" spans="1:13" x14ac:dyDescent="0.25">
      <c r="A805">
        <v>9</v>
      </c>
      <c r="B805">
        <v>9194606</v>
      </c>
      <c r="C805">
        <v>6137</v>
      </c>
      <c r="D805">
        <v>4</v>
      </c>
      <c r="E805">
        <v>13</v>
      </c>
      <c r="F805" t="s">
        <v>62</v>
      </c>
      <c r="G805" t="s">
        <v>63</v>
      </c>
      <c r="H805">
        <v>13</v>
      </c>
      <c r="I805" t="s">
        <v>62</v>
      </c>
      <c r="J805" t="s">
        <v>63</v>
      </c>
      <c r="K805" t="s">
        <v>1176</v>
      </c>
      <c r="L805">
        <v>1</v>
      </c>
      <c r="M805">
        <v>1</v>
      </c>
    </row>
    <row r="806" spans="1:13" x14ac:dyDescent="0.25">
      <c r="A806">
        <v>9</v>
      </c>
      <c r="B806">
        <v>9193936</v>
      </c>
      <c r="C806">
        <v>6137</v>
      </c>
      <c r="D806">
        <v>3</v>
      </c>
      <c r="E806">
        <v>403</v>
      </c>
      <c r="F806" t="s">
        <v>78</v>
      </c>
      <c r="G806" t="s">
        <v>79</v>
      </c>
      <c r="H806">
        <v>403</v>
      </c>
      <c r="I806" t="s">
        <v>78</v>
      </c>
      <c r="J806" t="s">
        <v>79</v>
      </c>
      <c r="K806" t="s">
        <v>1177</v>
      </c>
      <c r="L806">
        <v>1</v>
      </c>
      <c r="M806">
        <v>1</v>
      </c>
    </row>
    <row r="807" spans="1:13" x14ac:dyDescent="0.25">
      <c r="A807">
        <v>9</v>
      </c>
      <c r="B807">
        <v>9193873</v>
      </c>
      <c r="C807">
        <v>6137</v>
      </c>
      <c r="D807">
        <v>2</v>
      </c>
      <c r="E807">
        <v>774</v>
      </c>
      <c r="F807" t="s">
        <v>240</v>
      </c>
      <c r="G807" t="s">
        <v>241</v>
      </c>
      <c r="H807">
        <v>774</v>
      </c>
      <c r="I807" t="s">
        <v>240</v>
      </c>
      <c r="J807" t="s">
        <v>241</v>
      </c>
      <c r="K807" t="s">
        <v>1178</v>
      </c>
      <c r="L807">
        <v>1</v>
      </c>
      <c r="M807">
        <v>1</v>
      </c>
    </row>
    <row r="808" spans="1:13" x14ac:dyDescent="0.25">
      <c r="A808">
        <v>9</v>
      </c>
      <c r="B808">
        <v>9190558</v>
      </c>
      <c r="C808">
        <v>6137</v>
      </c>
      <c r="D808">
        <v>1</v>
      </c>
      <c r="E808">
        <v>639</v>
      </c>
      <c r="F808" t="s">
        <v>106</v>
      </c>
      <c r="G808" t="s">
        <v>107</v>
      </c>
      <c r="H808">
        <v>639</v>
      </c>
      <c r="I808" t="s">
        <v>106</v>
      </c>
      <c r="J808" t="s">
        <v>107</v>
      </c>
      <c r="K808" t="s">
        <v>1179</v>
      </c>
      <c r="L808">
        <v>1</v>
      </c>
      <c r="M808">
        <v>1</v>
      </c>
    </row>
    <row r="809" spans="1:13" x14ac:dyDescent="0.25">
      <c r="A809">
        <v>24</v>
      </c>
      <c r="B809">
        <v>5102329</v>
      </c>
      <c r="C809">
        <v>6138</v>
      </c>
      <c r="D809">
        <v>5</v>
      </c>
      <c r="E809">
        <v>813</v>
      </c>
      <c r="F809" t="s">
        <v>345</v>
      </c>
      <c r="G809" t="s">
        <v>346</v>
      </c>
      <c r="H809">
        <v>813</v>
      </c>
      <c r="I809" t="s">
        <v>345</v>
      </c>
      <c r="J809" t="s">
        <v>346</v>
      </c>
      <c r="K809" t="s">
        <v>1180</v>
      </c>
      <c r="L809">
        <v>1</v>
      </c>
      <c r="M809">
        <v>1</v>
      </c>
    </row>
    <row r="810" spans="1:13" x14ac:dyDescent="0.25">
      <c r="A810">
        <v>24</v>
      </c>
      <c r="B810">
        <v>5101545</v>
      </c>
      <c r="C810">
        <v>6138</v>
      </c>
      <c r="D810">
        <v>1</v>
      </c>
      <c r="E810">
        <v>813</v>
      </c>
      <c r="F810" t="s">
        <v>345</v>
      </c>
      <c r="G810" t="s">
        <v>346</v>
      </c>
      <c r="H810">
        <v>813</v>
      </c>
      <c r="I810" t="s">
        <v>345</v>
      </c>
      <c r="J810" t="s">
        <v>346</v>
      </c>
      <c r="K810" t="s">
        <v>1181</v>
      </c>
      <c r="L810">
        <v>1</v>
      </c>
      <c r="M810">
        <v>1</v>
      </c>
    </row>
    <row r="811" spans="1:13" x14ac:dyDescent="0.25">
      <c r="A811">
        <v>24</v>
      </c>
      <c r="B811">
        <v>5101799</v>
      </c>
      <c r="C811">
        <v>6138</v>
      </c>
      <c r="D811">
        <v>2</v>
      </c>
      <c r="E811">
        <v>711</v>
      </c>
      <c r="F811" t="s">
        <v>232</v>
      </c>
      <c r="G811" t="s">
        <v>233</v>
      </c>
      <c r="H811">
        <v>711</v>
      </c>
      <c r="I811" t="s">
        <v>232</v>
      </c>
      <c r="J811" t="s">
        <v>233</v>
      </c>
      <c r="K811" t="s">
        <v>1182</v>
      </c>
      <c r="L811">
        <v>1</v>
      </c>
      <c r="M811">
        <v>1</v>
      </c>
    </row>
    <row r="812" spans="1:13" x14ac:dyDescent="0.25">
      <c r="A812">
        <v>24</v>
      </c>
      <c r="B812">
        <v>5101844</v>
      </c>
      <c r="C812">
        <v>6138</v>
      </c>
      <c r="D812">
        <v>3</v>
      </c>
      <c r="E812">
        <v>813</v>
      </c>
      <c r="F812" t="s">
        <v>345</v>
      </c>
      <c r="G812" t="s">
        <v>346</v>
      </c>
      <c r="H812">
        <v>813</v>
      </c>
      <c r="I812" t="s">
        <v>345</v>
      </c>
      <c r="J812" t="s">
        <v>346</v>
      </c>
      <c r="K812" t="s">
        <v>1183</v>
      </c>
      <c r="L812">
        <v>1</v>
      </c>
      <c r="M812">
        <v>1</v>
      </c>
    </row>
    <row r="813" spans="1:13" x14ac:dyDescent="0.25">
      <c r="A813">
        <v>24</v>
      </c>
      <c r="B813">
        <v>5102039</v>
      </c>
      <c r="C813">
        <v>6138</v>
      </c>
      <c r="D813">
        <v>4</v>
      </c>
      <c r="E813">
        <v>813</v>
      </c>
      <c r="F813" t="s">
        <v>345</v>
      </c>
      <c r="G813" t="s">
        <v>346</v>
      </c>
      <c r="H813">
        <v>813</v>
      </c>
      <c r="I813" t="s">
        <v>345</v>
      </c>
      <c r="J813" t="s">
        <v>346</v>
      </c>
      <c r="K813" t="s">
        <v>1184</v>
      </c>
      <c r="L813">
        <v>1</v>
      </c>
      <c r="M813">
        <v>1</v>
      </c>
    </row>
    <row r="814" spans="1:13" x14ac:dyDescent="0.25">
      <c r="A814">
        <v>24</v>
      </c>
      <c r="B814">
        <v>5101219</v>
      </c>
      <c r="C814">
        <v>6138</v>
      </c>
      <c r="D814">
        <v>6</v>
      </c>
      <c r="E814">
        <v>877</v>
      </c>
      <c r="F814" t="s">
        <v>140</v>
      </c>
      <c r="G814" t="s">
        <v>141</v>
      </c>
      <c r="H814">
        <v>325</v>
      </c>
      <c r="I814" t="s">
        <v>227</v>
      </c>
      <c r="J814" t="s">
        <v>228</v>
      </c>
      <c r="K814" t="s">
        <v>1185</v>
      </c>
      <c r="L814">
        <v>1</v>
      </c>
      <c r="M814">
        <v>1</v>
      </c>
    </row>
    <row r="815" spans="1:13" x14ac:dyDescent="0.25">
      <c r="A815">
        <v>1</v>
      </c>
      <c r="B815">
        <v>8674100</v>
      </c>
      <c r="C815">
        <v>6139</v>
      </c>
      <c r="D815">
        <v>1</v>
      </c>
      <c r="E815">
        <v>878</v>
      </c>
      <c r="F815" t="s">
        <v>216</v>
      </c>
      <c r="G815" t="s">
        <v>217</v>
      </c>
      <c r="H815">
        <v>362</v>
      </c>
      <c r="I815" t="s">
        <v>72</v>
      </c>
      <c r="J815" t="s">
        <v>73</v>
      </c>
      <c r="K815" t="s">
        <v>152</v>
      </c>
      <c r="L815">
        <v>48</v>
      </c>
      <c r="M815">
        <v>48</v>
      </c>
    </row>
    <row r="816" spans="1:13" x14ac:dyDescent="0.25">
      <c r="A816">
        <v>1</v>
      </c>
      <c r="B816">
        <v>8674100</v>
      </c>
      <c r="C816">
        <v>6139</v>
      </c>
      <c r="D816">
        <v>2</v>
      </c>
      <c r="E816">
        <v>1100</v>
      </c>
      <c r="F816" t="s">
        <v>148</v>
      </c>
      <c r="G816" t="s">
        <v>149</v>
      </c>
      <c r="H816">
        <v>616</v>
      </c>
      <c r="I816" t="s">
        <v>1114</v>
      </c>
      <c r="J816" t="s">
        <v>1115</v>
      </c>
      <c r="K816" t="s">
        <v>154</v>
      </c>
      <c r="L816">
        <v>54</v>
      </c>
      <c r="M816">
        <v>54</v>
      </c>
    </row>
    <row r="817" spans="1:13" x14ac:dyDescent="0.25">
      <c r="A817">
        <v>1</v>
      </c>
      <c r="B817">
        <v>8674100</v>
      </c>
      <c r="C817">
        <v>6139</v>
      </c>
      <c r="D817">
        <v>3</v>
      </c>
      <c r="E817">
        <v>617</v>
      </c>
      <c r="F817" t="s">
        <v>611</v>
      </c>
      <c r="G817" t="s">
        <v>612</v>
      </c>
      <c r="H817">
        <v>617</v>
      </c>
      <c r="I817" t="s">
        <v>611</v>
      </c>
      <c r="J817" t="s">
        <v>612</v>
      </c>
      <c r="K817" t="s">
        <v>153</v>
      </c>
      <c r="L817">
        <v>6</v>
      </c>
      <c r="M817">
        <v>6</v>
      </c>
    </row>
    <row r="818" spans="1:13" x14ac:dyDescent="0.25">
      <c r="A818">
        <v>1</v>
      </c>
      <c r="B818">
        <v>8674100</v>
      </c>
      <c r="C818">
        <v>6139</v>
      </c>
      <c r="D818">
        <v>4</v>
      </c>
      <c r="E818">
        <v>620</v>
      </c>
      <c r="F818" t="s">
        <v>100</v>
      </c>
      <c r="G818" t="s">
        <v>101</v>
      </c>
      <c r="H818">
        <v>620</v>
      </c>
      <c r="I818" t="s">
        <v>100</v>
      </c>
      <c r="J818" t="s">
        <v>101</v>
      </c>
      <c r="K818" t="s">
        <v>155</v>
      </c>
      <c r="L818">
        <v>6</v>
      </c>
      <c r="M818">
        <v>6</v>
      </c>
    </row>
    <row r="819" spans="1:13" x14ac:dyDescent="0.25">
      <c r="A819">
        <v>1</v>
      </c>
      <c r="B819">
        <v>8674100</v>
      </c>
      <c r="C819">
        <v>6139</v>
      </c>
      <c r="D819">
        <v>5</v>
      </c>
      <c r="E819">
        <v>621</v>
      </c>
      <c r="F819" t="s">
        <v>238</v>
      </c>
      <c r="G819" t="s">
        <v>239</v>
      </c>
      <c r="H819">
        <v>621</v>
      </c>
      <c r="I819" t="s">
        <v>238</v>
      </c>
      <c r="J819" t="s">
        <v>239</v>
      </c>
      <c r="K819" t="s">
        <v>156</v>
      </c>
      <c r="L819">
        <v>6</v>
      </c>
      <c r="M819">
        <v>6</v>
      </c>
    </row>
    <row r="820" spans="1:13" x14ac:dyDescent="0.25">
      <c r="A820">
        <v>8</v>
      </c>
      <c r="B820">
        <v>4450422388</v>
      </c>
      <c r="C820">
        <v>6140</v>
      </c>
      <c r="D820">
        <v>4</v>
      </c>
      <c r="E820">
        <v>824</v>
      </c>
      <c r="F820" t="s">
        <v>134</v>
      </c>
      <c r="G820" t="s">
        <v>135</v>
      </c>
      <c r="H820">
        <v>824</v>
      </c>
      <c r="I820" t="s">
        <v>134</v>
      </c>
      <c r="J820" t="s">
        <v>135</v>
      </c>
      <c r="K820" t="s">
        <v>231</v>
      </c>
      <c r="L820">
        <v>41</v>
      </c>
      <c r="M820">
        <v>41</v>
      </c>
    </row>
    <row r="821" spans="1:13" x14ac:dyDescent="0.25">
      <c r="A821">
        <v>8</v>
      </c>
      <c r="B821">
        <v>4450422389</v>
      </c>
      <c r="C821">
        <v>6140</v>
      </c>
      <c r="D821">
        <v>1</v>
      </c>
      <c r="E821">
        <v>896</v>
      </c>
      <c r="F821" t="s">
        <v>541</v>
      </c>
      <c r="G821" t="s">
        <v>542</v>
      </c>
      <c r="H821">
        <v>653</v>
      </c>
      <c r="I821" t="s">
        <v>110</v>
      </c>
      <c r="J821" t="s">
        <v>111</v>
      </c>
      <c r="K821" t="s">
        <v>173</v>
      </c>
      <c r="L821">
        <v>13</v>
      </c>
      <c r="M821">
        <v>13</v>
      </c>
    </row>
    <row r="822" spans="1:13" x14ac:dyDescent="0.25">
      <c r="A822">
        <v>8</v>
      </c>
      <c r="B822">
        <v>4450422389</v>
      </c>
      <c r="C822">
        <v>6140</v>
      </c>
      <c r="D822">
        <v>2</v>
      </c>
      <c r="E822">
        <v>655</v>
      </c>
      <c r="F822" t="s">
        <v>384</v>
      </c>
      <c r="G822" t="s">
        <v>385</v>
      </c>
      <c r="H822">
        <v>655</v>
      </c>
      <c r="I822" t="s">
        <v>384</v>
      </c>
      <c r="J822" t="s">
        <v>385</v>
      </c>
      <c r="K822" t="s">
        <v>386</v>
      </c>
      <c r="L822">
        <v>2</v>
      </c>
      <c r="M822">
        <v>2</v>
      </c>
    </row>
    <row r="823" spans="1:13" x14ac:dyDescent="0.25">
      <c r="A823">
        <v>8</v>
      </c>
      <c r="B823">
        <v>4450422389</v>
      </c>
      <c r="C823">
        <v>6140</v>
      </c>
      <c r="D823">
        <v>3</v>
      </c>
      <c r="E823">
        <v>809</v>
      </c>
      <c r="F823" t="s">
        <v>128</v>
      </c>
      <c r="G823" t="s">
        <v>129</v>
      </c>
      <c r="H823">
        <v>809</v>
      </c>
      <c r="I823" t="s">
        <v>128</v>
      </c>
      <c r="J823" t="s">
        <v>129</v>
      </c>
      <c r="K823" t="s">
        <v>174</v>
      </c>
      <c r="L823">
        <v>16</v>
      </c>
      <c r="M823">
        <v>16</v>
      </c>
    </row>
    <row r="824" spans="1:13" x14ac:dyDescent="0.25">
      <c r="A824">
        <v>9</v>
      </c>
      <c r="B824">
        <v>9195713</v>
      </c>
      <c r="C824">
        <v>6141</v>
      </c>
      <c r="D824">
        <v>1</v>
      </c>
      <c r="E824">
        <v>774</v>
      </c>
      <c r="F824" t="s">
        <v>240</v>
      </c>
      <c r="G824" t="s">
        <v>241</v>
      </c>
      <c r="H824">
        <v>774</v>
      </c>
      <c r="I824" t="s">
        <v>240</v>
      </c>
      <c r="J824" t="s">
        <v>241</v>
      </c>
      <c r="K824" t="s">
        <v>49</v>
      </c>
      <c r="L824">
        <v>16</v>
      </c>
      <c r="M824">
        <v>16</v>
      </c>
    </row>
    <row r="825" spans="1:13" x14ac:dyDescent="0.25">
      <c r="A825">
        <v>3</v>
      </c>
      <c r="B825">
        <v>50051939</v>
      </c>
      <c r="C825">
        <v>6143</v>
      </c>
      <c r="D825">
        <v>1</v>
      </c>
      <c r="E825">
        <v>812</v>
      </c>
      <c r="F825" t="s">
        <v>306</v>
      </c>
      <c r="G825" t="s">
        <v>307</v>
      </c>
      <c r="H825">
        <v>812</v>
      </c>
      <c r="I825" t="s">
        <v>306</v>
      </c>
      <c r="J825" t="s">
        <v>307</v>
      </c>
      <c r="K825" t="s">
        <v>1186</v>
      </c>
      <c r="L825">
        <v>1</v>
      </c>
      <c r="M825">
        <v>1</v>
      </c>
    </row>
    <row r="826" spans="1:13" x14ac:dyDescent="0.25">
      <c r="A826">
        <v>3</v>
      </c>
      <c r="B826">
        <v>50051940</v>
      </c>
      <c r="C826">
        <v>6143</v>
      </c>
      <c r="D826">
        <v>2</v>
      </c>
      <c r="E826">
        <v>970</v>
      </c>
      <c r="F826" t="s">
        <v>436</v>
      </c>
      <c r="G826" t="s">
        <v>437</v>
      </c>
      <c r="H826">
        <v>506</v>
      </c>
      <c r="I826" t="s">
        <v>92</v>
      </c>
      <c r="J826" t="s">
        <v>93</v>
      </c>
      <c r="K826" t="s">
        <v>1187</v>
      </c>
      <c r="L826">
        <v>1</v>
      </c>
      <c r="M826">
        <v>1</v>
      </c>
    </row>
    <row r="827" spans="1:13" x14ac:dyDescent="0.25">
      <c r="A827">
        <v>4</v>
      </c>
      <c r="B827">
        <v>9615948</v>
      </c>
      <c r="C827">
        <v>5954</v>
      </c>
      <c r="D827">
        <v>3</v>
      </c>
      <c r="E827">
        <v>179</v>
      </c>
      <c r="F827" t="s">
        <v>66</v>
      </c>
      <c r="G827" t="s">
        <v>67</v>
      </c>
      <c r="H827">
        <v>179</v>
      </c>
      <c r="I827" t="s">
        <v>66</v>
      </c>
      <c r="J827" t="s">
        <v>67</v>
      </c>
      <c r="K827" t="s">
        <v>1188</v>
      </c>
      <c r="L827">
        <v>1</v>
      </c>
      <c r="M827">
        <v>1</v>
      </c>
    </row>
    <row r="828" spans="1:13" x14ac:dyDescent="0.25">
      <c r="A828">
        <v>4</v>
      </c>
      <c r="B828">
        <v>9617586</v>
      </c>
      <c r="C828">
        <v>5955</v>
      </c>
      <c r="D828">
        <v>7</v>
      </c>
      <c r="E828">
        <v>708</v>
      </c>
      <c r="F828" t="s">
        <v>1189</v>
      </c>
      <c r="G828" t="s">
        <v>1190</v>
      </c>
      <c r="H828">
        <v>708</v>
      </c>
      <c r="I828" t="s">
        <v>1189</v>
      </c>
      <c r="J828" t="s">
        <v>1190</v>
      </c>
      <c r="K828" t="s">
        <v>1191</v>
      </c>
      <c r="L828">
        <v>1</v>
      </c>
      <c r="M828">
        <v>1</v>
      </c>
    </row>
    <row r="829" spans="1:13" x14ac:dyDescent="0.25">
      <c r="A829">
        <v>4</v>
      </c>
      <c r="B829">
        <v>9616744</v>
      </c>
      <c r="C829">
        <v>5955</v>
      </c>
      <c r="D829">
        <v>4</v>
      </c>
      <c r="E829">
        <v>702</v>
      </c>
      <c r="F829" t="s">
        <v>120</v>
      </c>
      <c r="G829" t="s">
        <v>121</v>
      </c>
      <c r="H829">
        <v>702</v>
      </c>
      <c r="I829" t="s">
        <v>120</v>
      </c>
      <c r="J829" t="s">
        <v>121</v>
      </c>
      <c r="K829" t="s">
        <v>1192</v>
      </c>
      <c r="L829">
        <v>1</v>
      </c>
      <c r="M829">
        <v>1</v>
      </c>
    </row>
    <row r="830" spans="1:13" x14ac:dyDescent="0.25">
      <c r="A830">
        <v>4</v>
      </c>
      <c r="B830">
        <v>9617287</v>
      </c>
      <c r="C830">
        <v>5955</v>
      </c>
      <c r="D830">
        <v>5</v>
      </c>
      <c r="E830">
        <v>639</v>
      </c>
      <c r="F830" t="s">
        <v>106</v>
      </c>
      <c r="G830" t="s">
        <v>107</v>
      </c>
      <c r="H830">
        <v>639</v>
      </c>
      <c r="I830" t="s">
        <v>106</v>
      </c>
      <c r="J830" t="s">
        <v>107</v>
      </c>
      <c r="K830" t="s">
        <v>1193</v>
      </c>
      <c r="L830">
        <v>1</v>
      </c>
      <c r="M830">
        <v>1</v>
      </c>
    </row>
    <row r="831" spans="1:13" x14ac:dyDescent="0.25">
      <c r="A831">
        <v>4</v>
      </c>
      <c r="B831">
        <v>9617484</v>
      </c>
      <c r="C831">
        <v>5955</v>
      </c>
      <c r="D831">
        <v>6</v>
      </c>
      <c r="E831">
        <v>492</v>
      </c>
      <c r="F831" t="s">
        <v>88</v>
      </c>
      <c r="G831" t="s">
        <v>89</v>
      </c>
      <c r="H831">
        <v>492</v>
      </c>
      <c r="I831" t="s">
        <v>88</v>
      </c>
      <c r="J831" t="s">
        <v>89</v>
      </c>
      <c r="K831" t="s">
        <v>1194</v>
      </c>
      <c r="L831">
        <v>1</v>
      </c>
      <c r="M831">
        <v>1</v>
      </c>
    </row>
    <row r="832" spans="1:13" x14ac:dyDescent="0.25">
      <c r="A832">
        <v>4</v>
      </c>
      <c r="B832">
        <v>9616539</v>
      </c>
      <c r="C832">
        <v>5955</v>
      </c>
      <c r="D832">
        <v>2</v>
      </c>
      <c r="E832">
        <v>400</v>
      </c>
      <c r="F832" t="s">
        <v>74</v>
      </c>
      <c r="G832" t="s">
        <v>75</v>
      </c>
      <c r="H832">
        <v>400</v>
      </c>
      <c r="I832" t="s">
        <v>74</v>
      </c>
      <c r="J832" t="s">
        <v>75</v>
      </c>
      <c r="K832" t="s">
        <v>1195</v>
      </c>
      <c r="L832">
        <v>1</v>
      </c>
      <c r="M832">
        <v>1</v>
      </c>
    </row>
    <row r="833" spans="1:13" x14ac:dyDescent="0.25">
      <c r="A833">
        <v>4</v>
      </c>
      <c r="B833">
        <v>9616623</v>
      </c>
      <c r="C833">
        <v>5955</v>
      </c>
      <c r="D833">
        <v>3</v>
      </c>
      <c r="E833">
        <v>421</v>
      </c>
      <c r="F833" t="s">
        <v>1146</v>
      </c>
      <c r="G833" t="s">
        <v>1147</v>
      </c>
      <c r="H833">
        <v>421</v>
      </c>
      <c r="I833" t="s">
        <v>1146</v>
      </c>
      <c r="J833" t="s">
        <v>1147</v>
      </c>
      <c r="K833" t="s">
        <v>1196</v>
      </c>
      <c r="L833">
        <v>1</v>
      </c>
      <c r="M833">
        <v>1</v>
      </c>
    </row>
    <row r="834" spans="1:13" x14ac:dyDescent="0.25">
      <c r="A834">
        <v>4</v>
      </c>
      <c r="B834">
        <v>9615373</v>
      </c>
      <c r="C834">
        <v>5955</v>
      </c>
      <c r="D834">
        <v>1</v>
      </c>
      <c r="E834">
        <v>686</v>
      </c>
      <c r="F834" t="s">
        <v>372</v>
      </c>
      <c r="G834" t="s">
        <v>373</v>
      </c>
      <c r="H834">
        <v>686</v>
      </c>
      <c r="I834" t="s">
        <v>372</v>
      </c>
      <c r="J834" t="s">
        <v>373</v>
      </c>
      <c r="K834" t="s">
        <v>1197</v>
      </c>
      <c r="L834">
        <v>2</v>
      </c>
      <c r="M834">
        <v>2</v>
      </c>
    </row>
    <row r="835" spans="1:13" x14ac:dyDescent="0.25">
      <c r="A835">
        <v>4</v>
      </c>
      <c r="B835">
        <v>9616785</v>
      </c>
      <c r="C835">
        <v>5956</v>
      </c>
      <c r="D835">
        <v>1</v>
      </c>
      <c r="E835">
        <v>501</v>
      </c>
      <c r="F835" t="s">
        <v>90</v>
      </c>
      <c r="G835" t="s">
        <v>91</v>
      </c>
      <c r="H835">
        <v>501</v>
      </c>
      <c r="I835" t="s">
        <v>90</v>
      </c>
      <c r="J835" t="s">
        <v>91</v>
      </c>
      <c r="K835" t="s">
        <v>1198</v>
      </c>
      <c r="L835">
        <v>1</v>
      </c>
      <c r="M835">
        <v>1</v>
      </c>
    </row>
    <row r="836" spans="1:13" x14ac:dyDescent="0.25">
      <c r="A836">
        <v>4</v>
      </c>
      <c r="B836">
        <v>9617030</v>
      </c>
      <c r="C836">
        <v>5956</v>
      </c>
      <c r="D836">
        <v>2</v>
      </c>
      <c r="E836">
        <v>100</v>
      </c>
      <c r="F836" t="s">
        <v>324</v>
      </c>
      <c r="G836" t="s">
        <v>325</v>
      </c>
      <c r="H836">
        <v>100</v>
      </c>
      <c r="I836" t="s">
        <v>324</v>
      </c>
      <c r="J836" t="s">
        <v>325</v>
      </c>
      <c r="K836" t="s">
        <v>1199</v>
      </c>
      <c r="L836">
        <v>1</v>
      </c>
      <c r="M836">
        <v>1</v>
      </c>
    </row>
    <row r="837" spans="1:13" x14ac:dyDescent="0.25">
      <c r="A837">
        <v>4</v>
      </c>
      <c r="B837">
        <v>9617172</v>
      </c>
      <c r="C837">
        <v>5956</v>
      </c>
      <c r="D837">
        <v>3</v>
      </c>
      <c r="E837">
        <v>702</v>
      </c>
      <c r="F837" t="s">
        <v>120</v>
      </c>
      <c r="G837" t="s">
        <v>121</v>
      </c>
      <c r="H837">
        <v>702</v>
      </c>
      <c r="I837" t="s">
        <v>120</v>
      </c>
      <c r="J837" t="s">
        <v>121</v>
      </c>
      <c r="K837" t="s">
        <v>1200</v>
      </c>
      <c r="L837">
        <v>1</v>
      </c>
      <c r="M837">
        <v>1</v>
      </c>
    </row>
    <row r="838" spans="1:13" x14ac:dyDescent="0.25">
      <c r="A838">
        <v>6</v>
      </c>
      <c r="B838">
        <v>940140</v>
      </c>
      <c r="C838">
        <v>5957</v>
      </c>
      <c r="D838">
        <v>1</v>
      </c>
      <c r="E838">
        <v>809</v>
      </c>
      <c r="F838" t="s">
        <v>128</v>
      </c>
      <c r="G838" t="s">
        <v>129</v>
      </c>
      <c r="H838">
        <v>809</v>
      </c>
      <c r="I838" t="s">
        <v>128</v>
      </c>
      <c r="J838" t="s">
        <v>129</v>
      </c>
      <c r="K838" t="s">
        <v>1201</v>
      </c>
      <c r="L838">
        <v>1</v>
      </c>
      <c r="M838">
        <v>1</v>
      </c>
    </row>
    <row r="839" spans="1:13" x14ac:dyDescent="0.25">
      <c r="A839">
        <v>6</v>
      </c>
      <c r="B839">
        <v>938696</v>
      </c>
      <c r="C839">
        <v>5958</v>
      </c>
      <c r="D839">
        <v>1</v>
      </c>
      <c r="E839">
        <v>874</v>
      </c>
      <c r="F839" t="s">
        <v>1202</v>
      </c>
      <c r="G839" t="s">
        <v>1203</v>
      </c>
      <c r="H839">
        <v>874</v>
      </c>
      <c r="I839" t="s">
        <v>1202</v>
      </c>
      <c r="J839" t="s">
        <v>1203</v>
      </c>
      <c r="K839" t="s">
        <v>1204</v>
      </c>
      <c r="L839">
        <v>1</v>
      </c>
      <c r="M839">
        <v>1</v>
      </c>
    </row>
    <row r="840" spans="1:13" x14ac:dyDescent="0.25">
      <c r="A840">
        <v>6</v>
      </c>
      <c r="B840">
        <v>938585</v>
      </c>
      <c r="C840">
        <v>5959</v>
      </c>
      <c r="D840">
        <v>1</v>
      </c>
      <c r="E840">
        <v>584</v>
      </c>
      <c r="F840" t="s">
        <v>96</v>
      </c>
      <c r="G840" t="s">
        <v>97</v>
      </c>
      <c r="H840">
        <v>584</v>
      </c>
      <c r="I840" t="s">
        <v>96</v>
      </c>
      <c r="J840" t="s">
        <v>97</v>
      </c>
      <c r="K840" t="s">
        <v>1205</v>
      </c>
      <c r="L840">
        <v>1</v>
      </c>
      <c r="M840">
        <v>1</v>
      </c>
    </row>
    <row r="841" spans="1:13" x14ac:dyDescent="0.25">
      <c r="A841">
        <v>9</v>
      </c>
      <c r="B841">
        <v>9187750</v>
      </c>
      <c r="C841">
        <v>5960</v>
      </c>
      <c r="D841">
        <v>2</v>
      </c>
      <c r="E841">
        <v>180</v>
      </c>
      <c r="F841" t="s">
        <v>68</v>
      </c>
      <c r="G841" t="s">
        <v>69</v>
      </c>
      <c r="H841">
        <v>180</v>
      </c>
      <c r="I841" t="s">
        <v>68</v>
      </c>
      <c r="J841" t="s">
        <v>69</v>
      </c>
      <c r="K841" t="s">
        <v>1206</v>
      </c>
      <c r="L841">
        <v>1</v>
      </c>
      <c r="M841">
        <v>1</v>
      </c>
    </row>
    <row r="842" spans="1:13" x14ac:dyDescent="0.25">
      <c r="A842">
        <v>9</v>
      </c>
      <c r="B842">
        <v>9187822</v>
      </c>
      <c r="C842">
        <v>5960</v>
      </c>
      <c r="D842">
        <v>3</v>
      </c>
      <c r="E842">
        <v>641</v>
      </c>
      <c r="F842" t="s">
        <v>108</v>
      </c>
      <c r="G842" t="s">
        <v>109</v>
      </c>
      <c r="H842">
        <v>641</v>
      </c>
      <c r="I842" t="s">
        <v>108</v>
      </c>
      <c r="J842" t="s">
        <v>109</v>
      </c>
      <c r="K842" t="s">
        <v>1207</v>
      </c>
      <c r="L842">
        <v>1</v>
      </c>
      <c r="M842">
        <v>1</v>
      </c>
    </row>
    <row r="843" spans="1:13" x14ac:dyDescent="0.25">
      <c r="A843">
        <v>9</v>
      </c>
      <c r="B843">
        <v>9187962</v>
      </c>
      <c r="C843">
        <v>5960</v>
      </c>
      <c r="D843">
        <v>4</v>
      </c>
      <c r="E843">
        <v>639</v>
      </c>
      <c r="F843" t="s">
        <v>106</v>
      </c>
      <c r="G843" t="s">
        <v>107</v>
      </c>
      <c r="H843">
        <v>639</v>
      </c>
      <c r="I843" t="s">
        <v>106</v>
      </c>
      <c r="J843" t="s">
        <v>107</v>
      </c>
      <c r="K843" t="s">
        <v>1208</v>
      </c>
      <c r="L843">
        <v>1</v>
      </c>
      <c r="M843">
        <v>1</v>
      </c>
    </row>
    <row r="844" spans="1:13" x14ac:dyDescent="0.25">
      <c r="A844">
        <v>9</v>
      </c>
      <c r="B844">
        <v>9188002</v>
      </c>
      <c r="C844">
        <v>5960</v>
      </c>
      <c r="D844">
        <v>5</v>
      </c>
      <c r="E844">
        <v>641</v>
      </c>
      <c r="F844" t="s">
        <v>108</v>
      </c>
      <c r="G844" t="s">
        <v>109</v>
      </c>
      <c r="H844">
        <v>641</v>
      </c>
      <c r="I844" t="s">
        <v>108</v>
      </c>
      <c r="J844" t="s">
        <v>109</v>
      </c>
      <c r="K844" t="s">
        <v>1209</v>
      </c>
      <c r="L844">
        <v>1</v>
      </c>
      <c r="M844">
        <v>1</v>
      </c>
    </row>
    <row r="845" spans="1:13" x14ac:dyDescent="0.25">
      <c r="A845">
        <v>9</v>
      </c>
      <c r="B845">
        <v>9188118</v>
      </c>
      <c r="C845">
        <v>5960</v>
      </c>
      <c r="D845">
        <v>6</v>
      </c>
      <c r="E845">
        <v>680</v>
      </c>
      <c r="F845" t="s">
        <v>114</v>
      </c>
      <c r="G845" t="s">
        <v>115</v>
      </c>
      <c r="H845">
        <v>680</v>
      </c>
      <c r="I845" t="s">
        <v>114</v>
      </c>
      <c r="J845" t="s">
        <v>115</v>
      </c>
      <c r="K845" t="s">
        <v>1210</v>
      </c>
      <c r="L845">
        <v>1</v>
      </c>
      <c r="M845">
        <v>1</v>
      </c>
    </row>
    <row r="846" spans="1:13" x14ac:dyDescent="0.25">
      <c r="A846">
        <v>9</v>
      </c>
      <c r="B846">
        <v>9188118</v>
      </c>
      <c r="C846">
        <v>5960</v>
      </c>
      <c r="D846">
        <v>7</v>
      </c>
      <c r="E846">
        <v>970</v>
      </c>
      <c r="F846" t="s">
        <v>436</v>
      </c>
      <c r="G846" t="s">
        <v>437</v>
      </c>
      <c r="H846">
        <v>506</v>
      </c>
      <c r="I846" t="s">
        <v>92</v>
      </c>
      <c r="J846" t="s">
        <v>93</v>
      </c>
      <c r="K846" t="s">
        <v>1211</v>
      </c>
      <c r="L846">
        <v>1</v>
      </c>
      <c r="M846">
        <v>1</v>
      </c>
    </row>
    <row r="847" spans="1:13" x14ac:dyDescent="0.25">
      <c r="A847">
        <v>9</v>
      </c>
      <c r="B847">
        <v>9188174</v>
      </c>
      <c r="C847">
        <v>5960</v>
      </c>
      <c r="D847">
        <v>8</v>
      </c>
      <c r="E847">
        <v>474</v>
      </c>
      <c r="F847" t="s">
        <v>86</v>
      </c>
      <c r="G847" t="s">
        <v>87</v>
      </c>
      <c r="H847">
        <v>474</v>
      </c>
      <c r="I847" t="s">
        <v>86</v>
      </c>
      <c r="J847" t="s">
        <v>87</v>
      </c>
      <c r="K847" t="s">
        <v>1212</v>
      </c>
      <c r="L847">
        <v>1</v>
      </c>
      <c r="M847">
        <v>1</v>
      </c>
    </row>
    <row r="848" spans="1:13" x14ac:dyDescent="0.25">
      <c r="A848">
        <v>9</v>
      </c>
      <c r="B848">
        <v>9187661</v>
      </c>
      <c r="C848">
        <v>5960</v>
      </c>
      <c r="D848">
        <v>1</v>
      </c>
      <c r="E848">
        <v>639</v>
      </c>
      <c r="F848" t="s">
        <v>106</v>
      </c>
      <c r="G848" t="s">
        <v>107</v>
      </c>
      <c r="H848">
        <v>639</v>
      </c>
      <c r="I848" t="s">
        <v>106</v>
      </c>
      <c r="J848" t="s">
        <v>107</v>
      </c>
      <c r="K848" t="s">
        <v>1213</v>
      </c>
      <c r="L848">
        <v>1</v>
      </c>
      <c r="M848">
        <v>1</v>
      </c>
    </row>
    <row r="849" spans="1:13" x14ac:dyDescent="0.25">
      <c r="A849">
        <v>9</v>
      </c>
      <c r="B849">
        <v>9188174</v>
      </c>
      <c r="C849">
        <v>5961</v>
      </c>
      <c r="D849">
        <v>2</v>
      </c>
      <c r="E849">
        <v>13</v>
      </c>
      <c r="F849" t="s">
        <v>62</v>
      </c>
      <c r="G849" t="s">
        <v>63</v>
      </c>
      <c r="H849">
        <v>13</v>
      </c>
      <c r="I849" t="s">
        <v>62</v>
      </c>
      <c r="J849" t="s">
        <v>63</v>
      </c>
      <c r="K849" t="s">
        <v>1214</v>
      </c>
      <c r="L849">
        <v>1</v>
      </c>
      <c r="M849">
        <v>1</v>
      </c>
    </row>
    <row r="850" spans="1:13" x14ac:dyDescent="0.25">
      <c r="A850">
        <v>9</v>
      </c>
      <c r="B850">
        <v>9187591</v>
      </c>
      <c r="C850">
        <v>5961</v>
      </c>
      <c r="D850">
        <v>1</v>
      </c>
      <c r="E850">
        <v>13</v>
      </c>
      <c r="F850" t="s">
        <v>62</v>
      </c>
      <c r="G850" t="s">
        <v>63</v>
      </c>
      <c r="H850">
        <v>13</v>
      </c>
      <c r="I850" t="s">
        <v>62</v>
      </c>
      <c r="J850" t="s">
        <v>63</v>
      </c>
      <c r="K850" t="s">
        <v>1215</v>
      </c>
      <c r="L850">
        <v>1</v>
      </c>
      <c r="M850">
        <v>1</v>
      </c>
    </row>
    <row r="851" spans="1:13" x14ac:dyDescent="0.25">
      <c r="A851">
        <v>6</v>
      </c>
      <c r="B851">
        <v>930455</v>
      </c>
      <c r="C851">
        <v>5962</v>
      </c>
      <c r="D851">
        <v>1</v>
      </c>
      <c r="E851">
        <v>509</v>
      </c>
      <c r="F851" t="s">
        <v>289</v>
      </c>
      <c r="G851" t="s">
        <v>290</v>
      </c>
      <c r="H851">
        <v>509</v>
      </c>
      <c r="I851" t="s">
        <v>289</v>
      </c>
      <c r="J851" t="s">
        <v>290</v>
      </c>
      <c r="K851" t="s">
        <v>159</v>
      </c>
      <c r="L851">
        <v>1</v>
      </c>
      <c r="M851">
        <v>0</v>
      </c>
    </row>
    <row r="852" spans="1:13" x14ac:dyDescent="0.25">
      <c r="A852">
        <v>6</v>
      </c>
      <c r="B852">
        <v>930455</v>
      </c>
      <c r="C852">
        <v>5962</v>
      </c>
      <c r="D852">
        <v>2</v>
      </c>
      <c r="E852">
        <v>824</v>
      </c>
      <c r="F852" t="s">
        <v>134</v>
      </c>
      <c r="G852" t="s">
        <v>135</v>
      </c>
      <c r="H852">
        <v>824</v>
      </c>
      <c r="I852" t="s">
        <v>134</v>
      </c>
      <c r="J852" t="s">
        <v>135</v>
      </c>
      <c r="K852" t="s">
        <v>159</v>
      </c>
      <c r="L852">
        <v>2</v>
      </c>
      <c r="M852">
        <v>0</v>
      </c>
    </row>
    <row r="853" spans="1:13" x14ac:dyDescent="0.25">
      <c r="A853">
        <v>6</v>
      </c>
      <c r="B853">
        <v>935237</v>
      </c>
      <c r="C853">
        <v>5963</v>
      </c>
      <c r="D853">
        <v>1</v>
      </c>
      <c r="E853">
        <v>509</v>
      </c>
      <c r="F853" t="s">
        <v>289</v>
      </c>
      <c r="G853" t="s">
        <v>290</v>
      </c>
      <c r="H853">
        <v>509</v>
      </c>
      <c r="I853" t="s">
        <v>289</v>
      </c>
      <c r="J853" t="s">
        <v>290</v>
      </c>
      <c r="K853" t="s">
        <v>159</v>
      </c>
      <c r="L853">
        <v>2</v>
      </c>
      <c r="M853">
        <v>0</v>
      </c>
    </row>
    <row r="854" spans="1:13" x14ac:dyDescent="0.25">
      <c r="A854">
        <v>3</v>
      </c>
      <c r="B854">
        <v>50051209</v>
      </c>
      <c r="C854">
        <v>5966</v>
      </c>
      <c r="D854">
        <v>2</v>
      </c>
      <c r="E854">
        <v>970</v>
      </c>
      <c r="F854" t="s">
        <v>436</v>
      </c>
      <c r="G854" t="s">
        <v>437</v>
      </c>
      <c r="H854">
        <v>506</v>
      </c>
      <c r="I854" t="s">
        <v>92</v>
      </c>
      <c r="J854" t="s">
        <v>93</v>
      </c>
      <c r="K854" t="s">
        <v>720</v>
      </c>
      <c r="L854">
        <v>1</v>
      </c>
      <c r="M854">
        <v>1</v>
      </c>
    </row>
    <row r="855" spans="1:13" x14ac:dyDescent="0.25">
      <c r="A855">
        <v>3</v>
      </c>
      <c r="B855">
        <v>50051098</v>
      </c>
      <c r="C855">
        <v>5966</v>
      </c>
      <c r="D855">
        <v>1</v>
      </c>
      <c r="E855">
        <v>409</v>
      </c>
      <c r="F855" t="s">
        <v>84</v>
      </c>
      <c r="G855" t="s">
        <v>85</v>
      </c>
      <c r="H855">
        <v>409</v>
      </c>
      <c r="I855" t="s">
        <v>84</v>
      </c>
      <c r="J855" t="s">
        <v>85</v>
      </c>
      <c r="K855" t="s">
        <v>731</v>
      </c>
      <c r="L855">
        <v>1</v>
      </c>
      <c r="M855">
        <v>1</v>
      </c>
    </row>
    <row r="856" spans="1:13" x14ac:dyDescent="0.25">
      <c r="A856">
        <v>2</v>
      </c>
      <c r="B856">
        <v>8652771</v>
      </c>
      <c r="C856">
        <v>5969</v>
      </c>
      <c r="D856">
        <v>1</v>
      </c>
      <c r="E856">
        <v>729</v>
      </c>
      <c r="F856" t="s">
        <v>557</v>
      </c>
      <c r="G856" t="s">
        <v>558</v>
      </c>
      <c r="H856">
        <v>729</v>
      </c>
      <c r="I856" t="s">
        <v>557</v>
      </c>
      <c r="J856" t="s">
        <v>558</v>
      </c>
      <c r="K856" t="s">
        <v>1216</v>
      </c>
      <c r="L856">
        <v>1</v>
      </c>
      <c r="M856">
        <v>1</v>
      </c>
    </row>
    <row r="857" spans="1:13" x14ac:dyDescent="0.25">
      <c r="A857">
        <v>29</v>
      </c>
      <c r="B857">
        <v>8651198</v>
      </c>
      <c r="C857">
        <v>5970</v>
      </c>
      <c r="D857">
        <v>1</v>
      </c>
      <c r="E857">
        <v>829</v>
      </c>
      <c r="F857" t="s">
        <v>136</v>
      </c>
      <c r="G857" t="s">
        <v>137</v>
      </c>
      <c r="H857">
        <v>829</v>
      </c>
      <c r="I857" t="s">
        <v>136</v>
      </c>
      <c r="J857" t="s">
        <v>137</v>
      </c>
      <c r="K857" t="s">
        <v>1217</v>
      </c>
      <c r="L857">
        <v>1</v>
      </c>
      <c r="M857">
        <v>1</v>
      </c>
    </row>
    <row r="858" spans="1:13" x14ac:dyDescent="0.25">
      <c r="A858">
        <v>1</v>
      </c>
      <c r="B858">
        <v>8652354</v>
      </c>
      <c r="C858">
        <v>5971</v>
      </c>
      <c r="D858">
        <v>1</v>
      </c>
      <c r="E858">
        <v>878</v>
      </c>
      <c r="F858" t="s">
        <v>216</v>
      </c>
      <c r="G858" t="s">
        <v>217</v>
      </c>
      <c r="H858">
        <v>362</v>
      </c>
      <c r="I858" t="s">
        <v>72</v>
      </c>
      <c r="J858" t="s">
        <v>73</v>
      </c>
      <c r="K858" t="s">
        <v>152</v>
      </c>
      <c r="L858">
        <v>40</v>
      </c>
      <c r="M858">
        <v>40</v>
      </c>
    </row>
    <row r="859" spans="1:13" x14ac:dyDescent="0.25">
      <c r="A859">
        <v>5</v>
      </c>
      <c r="B859">
        <v>6504009067</v>
      </c>
      <c r="C859">
        <v>5972</v>
      </c>
      <c r="D859">
        <v>1</v>
      </c>
      <c r="E859">
        <v>4</v>
      </c>
      <c r="F859" t="s">
        <v>411</v>
      </c>
      <c r="G859" t="s">
        <v>412</v>
      </c>
      <c r="H859">
        <v>4</v>
      </c>
      <c r="I859" t="s">
        <v>411</v>
      </c>
      <c r="J859" t="s">
        <v>412</v>
      </c>
      <c r="K859" t="s">
        <v>49</v>
      </c>
      <c r="L859">
        <v>4</v>
      </c>
      <c r="M859">
        <v>4</v>
      </c>
    </row>
    <row r="860" spans="1:13" x14ac:dyDescent="0.25">
      <c r="A860">
        <v>5</v>
      </c>
      <c r="B860">
        <v>6504009067</v>
      </c>
      <c r="C860">
        <v>5972</v>
      </c>
      <c r="D860">
        <v>2</v>
      </c>
      <c r="E860">
        <v>101</v>
      </c>
      <c r="F860" t="s">
        <v>279</v>
      </c>
      <c r="G860" t="s">
        <v>280</v>
      </c>
      <c r="H860">
        <v>101</v>
      </c>
      <c r="I860" t="s">
        <v>279</v>
      </c>
      <c r="J860" t="s">
        <v>280</v>
      </c>
      <c r="K860" t="s">
        <v>49</v>
      </c>
      <c r="L860">
        <v>2</v>
      </c>
      <c r="M860">
        <v>2</v>
      </c>
    </row>
    <row r="861" spans="1:13" x14ac:dyDescent="0.25">
      <c r="A861">
        <v>5</v>
      </c>
      <c r="B861">
        <v>6504009067</v>
      </c>
      <c r="C861">
        <v>5972</v>
      </c>
      <c r="D861">
        <v>3</v>
      </c>
      <c r="E861">
        <v>101</v>
      </c>
      <c r="F861" t="s">
        <v>279</v>
      </c>
      <c r="G861" t="s">
        <v>280</v>
      </c>
      <c r="H861">
        <v>101</v>
      </c>
      <c r="I861" t="s">
        <v>279</v>
      </c>
      <c r="J861" t="s">
        <v>280</v>
      </c>
      <c r="K861" t="s">
        <v>49</v>
      </c>
      <c r="L861">
        <v>3</v>
      </c>
      <c r="M861">
        <v>3</v>
      </c>
    </row>
    <row r="862" spans="1:13" x14ac:dyDescent="0.25">
      <c r="A862">
        <v>5</v>
      </c>
      <c r="B862">
        <v>6504009067</v>
      </c>
      <c r="C862">
        <v>5972</v>
      </c>
      <c r="D862">
        <v>4</v>
      </c>
      <c r="E862">
        <v>101</v>
      </c>
      <c r="F862" t="s">
        <v>279</v>
      </c>
      <c r="G862" t="s">
        <v>280</v>
      </c>
      <c r="H862">
        <v>101</v>
      </c>
      <c r="I862" t="s">
        <v>279</v>
      </c>
      <c r="J862" t="s">
        <v>280</v>
      </c>
      <c r="K862" t="s">
        <v>49</v>
      </c>
      <c r="L862">
        <v>5</v>
      </c>
      <c r="M862">
        <v>5</v>
      </c>
    </row>
    <row r="863" spans="1:13" x14ac:dyDescent="0.25">
      <c r="A863">
        <v>5</v>
      </c>
      <c r="B863">
        <v>6504009067</v>
      </c>
      <c r="C863">
        <v>5972</v>
      </c>
      <c r="D863">
        <v>5</v>
      </c>
      <c r="E863">
        <v>101</v>
      </c>
      <c r="F863" t="s">
        <v>279</v>
      </c>
      <c r="G863" t="s">
        <v>280</v>
      </c>
      <c r="H863">
        <v>101</v>
      </c>
      <c r="I863" t="s">
        <v>279</v>
      </c>
      <c r="J863" t="s">
        <v>280</v>
      </c>
      <c r="K863" t="s">
        <v>49</v>
      </c>
      <c r="L863">
        <v>8</v>
      </c>
      <c r="M863">
        <v>8</v>
      </c>
    </row>
    <row r="864" spans="1:13" x14ac:dyDescent="0.25">
      <c r="A864">
        <v>5</v>
      </c>
      <c r="B864">
        <v>6504009067</v>
      </c>
      <c r="C864">
        <v>5972</v>
      </c>
      <c r="D864">
        <v>6</v>
      </c>
      <c r="E864">
        <v>489</v>
      </c>
      <c r="F864" t="s">
        <v>257</v>
      </c>
      <c r="G864" t="s">
        <v>258</v>
      </c>
      <c r="H864">
        <v>489</v>
      </c>
      <c r="I864" t="s">
        <v>257</v>
      </c>
      <c r="J864" t="s">
        <v>258</v>
      </c>
      <c r="K864" t="s">
        <v>49</v>
      </c>
      <c r="L864">
        <v>3</v>
      </c>
      <c r="M864">
        <v>3</v>
      </c>
    </row>
    <row r="865" spans="1:13" x14ac:dyDescent="0.25">
      <c r="A865">
        <v>5</v>
      </c>
      <c r="B865">
        <v>6504009067</v>
      </c>
      <c r="C865">
        <v>5972</v>
      </c>
      <c r="D865">
        <v>7</v>
      </c>
      <c r="E865">
        <v>489</v>
      </c>
      <c r="F865" t="s">
        <v>257</v>
      </c>
      <c r="G865" t="s">
        <v>258</v>
      </c>
      <c r="H865">
        <v>489</v>
      </c>
      <c r="I865" t="s">
        <v>257</v>
      </c>
      <c r="J865" t="s">
        <v>258</v>
      </c>
      <c r="K865" t="s">
        <v>49</v>
      </c>
      <c r="L865">
        <v>4</v>
      </c>
      <c r="M865">
        <v>4</v>
      </c>
    </row>
    <row r="866" spans="1:13" x14ac:dyDescent="0.25">
      <c r="A866">
        <v>1</v>
      </c>
      <c r="B866">
        <v>8656795</v>
      </c>
      <c r="C866">
        <v>6019</v>
      </c>
      <c r="D866">
        <v>6</v>
      </c>
      <c r="E866">
        <v>620</v>
      </c>
      <c r="F866" t="s">
        <v>100</v>
      </c>
      <c r="G866" t="s">
        <v>101</v>
      </c>
      <c r="H866">
        <v>620</v>
      </c>
      <c r="I866" t="s">
        <v>100</v>
      </c>
      <c r="J866" t="s">
        <v>101</v>
      </c>
      <c r="K866" t="s">
        <v>244</v>
      </c>
      <c r="L866">
        <v>6</v>
      </c>
      <c r="M866">
        <v>6</v>
      </c>
    </row>
    <row r="867" spans="1:13" x14ac:dyDescent="0.25">
      <c r="A867">
        <v>1</v>
      </c>
      <c r="B867">
        <v>8656795</v>
      </c>
      <c r="C867">
        <v>6019</v>
      </c>
      <c r="D867">
        <v>7</v>
      </c>
      <c r="E867">
        <v>621</v>
      </c>
      <c r="F867" t="s">
        <v>238</v>
      </c>
      <c r="G867" t="s">
        <v>239</v>
      </c>
      <c r="H867">
        <v>621</v>
      </c>
      <c r="I867" t="s">
        <v>238</v>
      </c>
      <c r="J867" t="s">
        <v>239</v>
      </c>
      <c r="K867" t="s">
        <v>410</v>
      </c>
      <c r="L867">
        <v>6</v>
      </c>
      <c r="M867">
        <v>6</v>
      </c>
    </row>
    <row r="868" spans="1:13" x14ac:dyDescent="0.25">
      <c r="A868">
        <v>2</v>
      </c>
      <c r="B868">
        <v>8645254</v>
      </c>
      <c r="C868">
        <v>6020</v>
      </c>
      <c r="D868">
        <v>1</v>
      </c>
      <c r="E868">
        <v>894</v>
      </c>
      <c r="F868" t="s">
        <v>351</v>
      </c>
      <c r="G868" t="s">
        <v>352</v>
      </c>
      <c r="H868">
        <v>894</v>
      </c>
      <c r="I868" t="s">
        <v>351</v>
      </c>
      <c r="J868" t="s">
        <v>352</v>
      </c>
      <c r="K868" t="s">
        <v>1218</v>
      </c>
      <c r="L868">
        <v>1</v>
      </c>
      <c r="M868">
        <v>1</v>
      </c>
    </row>
    <row r="869" spans="1:13" x14ac:dyDescent="0.25">
      <c r="A869">
        <v>2</v>
      </c>
      <c r="B869">
        <v>8649323</v>
      </c>
      <c r="C869">
        <v>6020</v>
      </c>
      <c r="D869">
        <v>2</v>
      </c>
      <c r="E869">
        <v>115</v>
      </c>
      <c r="F869" t="s">
        <v>1219</v>
      </c>
      <c r="G869" t="s">
        <v>1220</v>
      </c>
      <c r="H869">
        <v>115</v>
      </c>
      <c r="I869" t="s">
        <v>1219</v>
      </c>
      <c r="J869" t="s">
        <v>1220</v>
      </c>
      <c r="K869" t="s">
        <v>1221</v>
      </c>
      <c r="L869">
        <v>1</v>
      </c>
      <c r="M869">
        <v>1</v>
      </c>
    </row>
    <row r="870" spans="1:13" x14ac:dyDescent="0.25">
      <c r="A870">
        <v>2</v>
      </c>
      <c r="B870">
        <v>8657981</v>
      </c>
      <c r="C870">
        <v>6020</v>
      </c>
      <c r="D870">
        <v>3</v>
      </c>
      <c r="E870">
        <v>873</v>
      </c>
      <c r="F870" t="s">
        <v>661</v>
      </c>
      <c r="G870" t="s">
        <v>662</v>
      </c>
      <c r="H870">
        <v>873</v>
      </c>
      <c r="I870" t="s">
        <v>661</v>
      </c>
      <c r="J870" t="s">
        <v>662</v>
      </c>
      <c r="K870" t="s">
        <v>1222</v>
      </c>
      <c r="L870">
        <v>1</v>
      </c>
      <c r="M870">
        <v>1</v>
      </c>
    </row>
    <row r="871" spans="1:13" x14ac:dyDescent="0.25">
      <c r="A871">
        <v>2</v>
      </c>
      <c r="B871">
        <v>8658107</v>
      </c>
      <c r="C871">
        <v>6020</v>
      </c>
      <c r="D871">
        <v>4</v>
      </c>
      <c r="E871">
        <v>403</v>
      </c>
      <c r="F871" t="s">
        <v>78</v>
      </c>
      <c r="G871" t="s">
        <v>79</v>
      </c>
      <c r="H871">
        <v>403</v>
      </c>
      <c r="I871" t="s">
        <v>78</v>
      </c>
      <c r="J871" t="s">
        <v>79</v>
      </c>
      <c r="K871" t="s">
        <v>1223</v>
      </c>
      <c r="L871">
        <v>1</v>
      </c>
      <c r="M871">
        <v>1</v>
      </c>
    </row>
    <row r="872" spans="1:13" x14ac:dyDescent="0.25">
      <c r="A872">
        <v>2</v>
      </c>
      <c r="B872">
        <v>8658643</v>
      </c>
      <c r="C872">
        <v>6020</v>
      </c>
      <c r="D872">
        <v>5</v>
      </c>
      <c r="E872">
        <v>781</v>
      </c>
      <c r="F872" t="s">
        <v>269</v>
      </c>
      <c r="G872" t="s">
        <v>270</v>
      </c>
      <c r="H872">
        <v>781</v>
      </c>
      <c r="I872" t="s">
        <v>269</v>
      </c>
      <c r="J872" t="s">
        <v>270</v>
      </c>
      <c r="K872" t="s">
        <v>1224</v>
      </c>
      <c r="L872">
        <v>1</v>
      </c>
      <c r="M872">
        <v>1</v>
      </c>
    </row>
    <row r="873" spans="1:13" x14ac:dyDescent="0.25">
      <c r="A873">
        <v>8</v>
      </c>
      <c r="B873">
        <v>4450422362</v>
      </c>
      <c r="C873">
        <v>6021</v>
      </c>
      <c r="D873">
        <v>1</v>
      </c>
      <c r="E873">
        <v>865</v>
      </c>
      <c r="F873" t="s">
        <v>218</v>
      </c>
      <c r="G873" t="s">
        <v>219</v>
      </c>
      <c r="H873">
        <v>405</v>
      </c>
      <c r="I873" t="s">
        <v>82</v>
      </c>
      <c r="J873" t="s">
        <v>83</v>
      </c>
      <c r="K873" t="s">
        <v>49</v>
      </c>
      <c r="L873">
        <v>30</v>
      </c>
      <c r="M873">
        <v>30</v>
      </c>
    </row>
    <row r="874" spans="1:13" x14ac:dyDescent="0.25">
      <c r="A874">
        <v>8</v>
      </c>
      <c r="B874">
        <v>4450422362</v>
      </c>
      <c r="C874">
        <v>6021</v>
      </c>
      <c r="D874">
        <v>2</v>
      </c>
      <c r="E874">
        <v>281</v>
      </c>
      <c r="F874" t="s">
        <v>538</v>
      </c>
      <c r="G874" t="s">
        <v>539</v>
      </c>
      <c r="H874">
        <v>281</v>
      </c>
      <c r="I874" t="s">
        <v>538</v>
      </c>
      <c r="J874" t="s">
        <v>539</v>
      </c>
      <c r="K874" t="s">
        <v>49</v>
      </c>
      <c r="L874">
        <v>36</v>
      </c>
      <c r="M874">
        <v>36</v>
      </c>
    </row>
    <row r="875" spans="1:13" x14ac:dyDescent="0.25">
      <c r="A875">
        <v>8</v>
      </c>
      <c r="B875">
        <v>4450422362</v>
      </c>
      <c r="C875">
        <v>6021</v>
      </c>
      <c r="D875">
        <v>3</v>
      </c>
      <c r="E875">
        <v>896</v>
      </c>
      <c r="F875" t="s">
        <v>541</v>
      </c>
      <c r="G875" t="s">
        <v>542</v>
      </c>
      <c r="H875">
        <v>653</v>
      </c>
      <c r="I875" t="s">
        <v>110</v>
      </c>
      <c r="J875" t="s">
        <v>111</v>
      </c>
      <c r="K875" t="s">
        <v>49</v>
      </c>
      <c r="L875">
        <v>63</v>
      </c>
      <c r="M875">
        <v>63</v>
      </c>
    </row>
    <row r="876" spans="1:13" x14ac:dyDescent="0.25">
      <c r="A876">
        <v>8</v>
      </c>
      <c r="B876">
        <v>4450422362</v>
      </c>
      <c r="C876">
        <v>6021</v>
      </c>
      <c r="D876">
        <v>4</v>
      </c>
      <c r="E876">
        <v>655</v>
      </c>
      <c r="F876" t="s">
        <v>384</v>
      </c>
      <c r="G876" t="s">
        <v>385</v>
      </c>
      <c r="H876">
        <v>655</v>
      </c>
      <c r="I876" t="s">
        <v>384</v>
      </c>
      <c r="J876" t="s">
        <v>385</v>
      </c>
      <c r="K876" t="s">
        <v>49</v>
      </c>
      <c r="L876">
        <v>40</v>
      </c>
      <c r="M876">
        <v>40</v>
      </c>
    </row>
    <row r="877" spans="1:13" x14ac:dyDescent="0.25">
      <c r="A877">
        <v>29</v>
      </c>
      <c r="B877">
        <v>8656309</v>
      </c>
      <c r="C877">
        <v>6022</v>
      </c>
      <c r="D877">
        <v>1</v>
      </c>
      <c r="E877">
        <v>851</v>
      </c>
      <c r="F877" t="s">
        <v>201</v>
      </c>
      <c r="G877" t="s">
        <v>202</v>
      </c>
      <c r="H877">
        <v>851</v>
      </c>
      <c r="I877" t="s">
        <v>201</v>
      </c>
      <c r="J877" t="s">
        <v>202</v>
      </c>
      <c r="K877" t="s">
        <v>1225</v>
      </c>
      <c r="L877">
        <v>1</v>
      </c>
      <c r="M877">
        <v>1</v>
      </c>
    </row>
    <row r="878" spans="1:13" x14ac:dyDescent="0.25">
      <c r="A878">
        <v>29</v>
      </c>
      <c r="B878">
        <v>8656313</v>
      </c>
      <c r="C878">
        <v>6022</v>
      </c>
      <c r="D878">
        <v>2</v>
      </c>
      <c r="E878">
        <v>833</v>
      </c>
      <c r="F878" t="s">
        <v>332</v>
      </c>
      <c r="G878" t="s">
        <v>333</v>
      </c>
      <c r="H878">
        <v>833</v>
      </c>
      <c r="I878" t="s">
        <v>332</v>
      </c>
      <c r="J878" t="s">
        <v>333</v>
      </c>
      <c r="K878" t="s">
        <v>1226</v>
      </c>
      <c r="L878">
        <v>1</v>
      </c>
      <c r="M878">
        <v>1</v>
      </c>
    </row>
    <row r="879" spans="1:13" x14ac:dyDescent="0.25">
      <c r="A879">
        <v>29</v>
      </c>
      <c r="B879">
        <v>8656375</v>
      </c>
      <c r="C879">
        <v>6022</v>
      </c>
      <c r="D879">
        <v>3</v>
      </c>
      <c r="E879">
        <v>849</v>
      </c>
      <c r="F879" t="s">
        <v>138</v>
      </c>
      <c r="G879" t="s">
        <v>139</v>
      </c>
      <c r="H879">
        <v>849</v>
      </c>
      <c r="I879" t="s">
        <v>138</v>
      </c>
      <c r="J879" t="s">
        <v>139</v>
      </c>
      <c r="K879" t="s">
        <v>1227</v>
      </c>
      <c r="L879">
        <v>1</v>
      </c>
      <c r="M879">
        <v>1</v>
      </c>
    </row>
    <row r="880" spans="1:13" x14ac:dyDescent="0.25">
      <c r="A880">
        <v>29</v>
      </c>
      <c r="B880">
        <v>8657919</v>
      </c>
      <c r="C880">
        <v>6022</v>
      </c>
      <c r="D880">
        <v>4</v>
      </c>
      <c r="E880">
        <v>850</v>
      </c>
      <c r="F880" t="s">
        <v>910</v>
      </c>
      <c r="G880" t="s">
        <v>911</v>
      </c>
      <c r="H880">
        <v>850</v>
      </c>
      <c r="I880" t="s">
        <v>910</v>
      </c>
      <c r="J880" t="s">
        <v>911</v>
      </c>
      <c r="K880" t="s">
        <v>1228</v>
      </c>
      <c r="L880">
        <v>1</v>
      </c>
      <c r="M880">
        <v>1</v>
      </c>
    </row>
    <row r="881" spans="1:13" x14ac:dyDescent="0.25">
      <c r="A881">
        <v>5</v>
      </c>
      <c r="B881">
        <v>6504015850</v>
      </c>
      <c r="C881">
        <v>6023</v>
      </c>
      <c r="D881">
        <v>1</v>
      </c>
      <c r="E881">
        <v>13</v>
      </c>
      <c r="F881" t="s">
        <v>62</v>
      </c>
      <c r="G881" t="s">
        <v>63</v>
      </c>
      <c r="H881">
        <v>13</v>
      </c>
      <c r="I881" t="s">
        <v>62</v>
      </c>
      <c r="J881" t="s">
        <v>63</v>
      </c>
      <c r="K881" t="s">
        <v>49</v>
      </c>
      <c r="L881">
        <v>1</v>
      </c>
      <c r="M881">
        <v>1</v>
      </c>
    </row>
    <row r="882" spans="1:13" x14ac:dyDescent="0.25">
      <c r="A882">
        <v>24</v>
      </c>
      <c r="B882">
        <v>5099462</v>
      </c>
      <c r="C882">
        <v>6024</v>
      </c>
      <c r="D882">
        <v>1</v>
      </c>
      <c r="E882">
        <v>864</v>
      </c>
      <c r="F882" t="s">
        <v>818</v>
      </c>
      <c r="G882" t="s">
        <v>819</v>
      </c>
      <c r="H882">
        <v>864</v>
      </c>
      <c r="I882" t="s">
        <v>818</v>
      </c>
      <c r="J882" t="s">
        <v>819</v>
      </c>
      <c r="K882" t="s">
        <v>49</v>
      </c>
      <c r="L882">
        <v>340</v>
      </c>
      <c r="M882">
        <v>340</v>
      </c>
    </row>
    <row r="883" spans="1:13" x14ac:dyDescent="0.25">
      <c r="A883">
        <v>23</v>
      </c>
      <c r="B883">
        <v>67</v>
      </c>
      <c r="C883">
        <v>6025</v>
      </c>
      <c r="D883">
        <v>1</v>
      </c>
      <c r="E883">
        <v>808</v>
      </c>
      <c r="F883" t="s">
        <v>225</v>
      </c>
      <c r="G883" t="s">
        <v>226</v>
      </c>
      <c r="H883">
        <v>808</v>
      </c>
      <c r="I883" t="s">
        <v>225</v>
      </c>
      <c r="J883" t="s">
        <v>226</v>
      </c>
      <c r="K883" t="s">
        <v>49</v>
      </c>
      <c r="L883">
        <v>1</v>
      </c>
      <c r="M883">
        <v>1</v>
      </c>
    </row>
    <row r="884" spans="1:13" x14ac:dyDescent="0.25">
      <c r="A884">
        <v>8</v>
      </c>
      <c r="B884">
        <v>4450422362</v>
      </c>
      <c r="C884">
        <v>6026</v>
      </c>
      <c r="D884">
        <v>1</v>
      </c>
      <c r="E884">
        <v>281</v>
      </c>
      <c r="F884" t="s">
        <v>538</v>
      </c>
      <c r="G884" t="s">
        <v>539</v>
      </c>
      <c r="H884">
        <v>281</v>
      </c>
      <c r="I884" t="s">
        <v>538</v>
      </c>
      <c r="J884" t="s">
        <v>539</v>
      </c>
      <c r="K884" t="s">
        <v>49</v>
      </c>
      <c r="L884">
        <v>26</v>
      </c>
      <c r="M884">
        <v>26</v>
      </c>
    </row>
    <row r="885" spans="1:13" x14ac:dyDescent="0.25">
      <c r="A885">
        <v>1</v>
      </c>
      <c r="B885">
        <v>8658014</v>
      </c>
      <c r="C885">
        <v>6027</v>
      </c>
      <c r="D885">
        <v>1</v>
      </c>
      <c r="E885">
        <v>621</v>
      </c>
      <c r="F885" t="s">
        <v>238</v>
      </c>
      <c r="G885" t="s">
        <v>239</v>
      </c>
      <c r="H885">
        <v>621</v>
      </c>
      <c r="I885" t="s">
        <v>238</v>
      </c>
      <c r="J885" t="s">
        <v>239</v>
      </c>
      <c r="K885" t="s">
        <v>152</v>
      </c>
      <c r="L885">
        <v>30</v>
      </c>
      <c r="M885">
        <v>30</v>
      </c>
    </row>
    <row r="886" spans="1:13" x14ac:dyDescent="0.25">
      <c r="A886">
        <v>2</v>
      </c>
      <c r="B886">
        <v>8657408</v>
      </c>
      <c r="C886">
        <v>6028</v>
      </c>
      <c r="D886">
        <v>1</v>
      </c>
      <c r="E886">
        <v>685</v>
      </c>
      <c r="F886" t="s">
        <v>263</v>
      </c>
      <c r="G886" t="s">
        <v>264</v>
      </c>
      <c r="H886">
        <v>685</v>
      </c>
      <c r="I886" t="s">
        <v>263</v>
      </c>
      <c r="J886" t="s">
        <v>264</v>
      </c>
      <c r="K886" t="s">
        <v>152</v>
      </c>
      <c r="L886">
        <v>4</v>
      </c>
      <c r="M886">
        <v>4</v>
      </c>
    </row>
    <row r="887" spans="1:13" x14ac:dyDescent="0.25">
      <c r="A887">
        <v>2</v>
      </c>
      <c r="B887">
        <v>8657408</v>
      </c>
      <c r="C887">
        <v>6028</v>
      </c>
      <c r="D887">
        <v>2</v>
      </c>
      <c r="E887">
        <v>789</v>
      </c>
      <c r="F887" t="s">
        <v>265</v>
      </c>
      <c r="G887" t="s">
        <v>266</v>
      </c>
      <c r="H887">
        <v>789</v>
      </c>
      <c r="I887" t="s">
        <v>265</v>
      </c>
      <c r="J887" t="s">
        <v>266</v>
      </c>
      <c r="K887" t="s">
        <v>154</v>
      </c>
      <c r="L887">
        <v>4</v>
      </c>
      <c r="M887">
        <v>4</v>
      </c>
    </row>
    <row r="888" spans="1:13" x14ac:dyDescent="0.25">
      <c r="A888">
        <v>2</v>
      </c>
      <c r="B888">
        <v>8657409</v>
      </c>
      <c r="C888">
        <v>6029</v>
      </c>
      <c r="D888">
        <v>1</v>
      </c>
      <c r="E888">
        <v>501</v>
      </c>
      <c r="F888" t="s">
        <v>90</v>
      </c>
      <c r="G888" t="s">
        <v>91</v>
      </c>
      <c r="H888">
        <v>501</v>
      </c>
      <c r="I888" t="s">
        <v>90</v>
      </c>
      <c r="J888" t="s">
        <v>91</v>
      </c>
      <c r="K888" t="s">
        <v>154</v>
      </c>
      <c r="L888">
        <v>8</v>
      </c>
      <c r="M888">
        <v>8</v>
      </c>
    </row>
    <row r="889" spans="1:13" x14ac:dyDescent="0.25">
      <c r="A889">
        <v>2</v>
      </c>
      <c r="B889">
        <v>8657409</v>
      </c>
      <c r="C889">
        <v>6029</v>
      </c>
      <c r="D889">
        <v>2</v>
      </c>
      <c r="E889">
        <v>638</v>
      </c>
      <c r="F889" t="s">
        <v>104</v>
      </c>
      <c r="G889" t="s">
        <v>105</v>
      </c>
      <c r="H889">
        <v>638</v>
      </c>
      <c r="I889" t="s">
        <v>104</v>
      </c>
      <c r="J889" t="s">
        <v>105</v>
      </c>
      <c r="K889" t="s">
        <v>152</v>
      </c>
      <c r="L889">
        <v>5</v>
      </c>
      <c r="M889">
        <v>5</v>
      </c>
    </row>
    <row r="890" spans="1:13" x14ac:dyDescent="0.25">
      <c r="A890">
        <v>2</v>
      </c>
      <c r="B890">
        <v>8657409</v>
      </c>
      <c r="C890">
        <v>6029</v>
      </c>
      <c r="D890">
        <v>3</v>
      </c>
      <c r="E890">
        <v>640</v>
      </c>
      <c r="F890" t="s">
        <v>1229</v>
      </c>
      <c r="G890" t="s">
        <v>1230</v>
      </c>
      <c r="H890">
        <v>640</v>
      </c>
      <c r="I890" t="s">
        <v>1229</v>
      </c>
      <c r="J890" t="s">
        <v>1230</v>
      </c>
      <c r="K890" t="s">
        <v>153</v>
      </c>
      <c r="L890">
        <v>11</v>
      </c>
      <c r="M890">
        <v>0</v>
      </c>
    </row>
    <row r="891" spans="1:13" x14ac:dyDescent="0.25">
      <c r="A891">
        <v>2</v>
      </c>
      <c r="B891">
        <v>8657409</v>
      </c>
      <c r="C891">
        <v>6029</v>
      </c>
      <c r="D891">
        <v>4</v>
      </c>
      <c r="E891">
        <v>768</v>
      </c>
      <c r="F891" t="s">
        <v>267</v>
      </c>
      <c r="G891" t="s">
        <v>268</v>
      </c>
      <c r="H891">
        <v>768</v>
      </c>
      <c r="I891" t="s">
        <v>267</v>
      </c>
      <c r="J891" t="s">
        <v>268</v>
      </c>
      <c r="K891" t="s">
        <v>155</v>
      </c>
      <c r="L891">
        <v>3</v>
      </c>
      <c r="M891">
        <v>0</v>
      </c>
    </row>
    <row r="892" spans="1:13" x14ac:dyDescent="0.25">
      <c r="A892">
        <v>8</v>
      </c>
      <c r="B892">
        <v>4450422370</v>
      </c>
      <c r="C892">
        <v>6030</v>
      </c>
      <c r="D892">
        <v>1</v>
      </c>
      <c r="E892">
        <v>824</v>
      </c>
      <c r="F892" t="s">
        <v>134</v>
      </c>
      <c r="G892" t="s">
        <v>135</v>
      </c>
      <c r="H892">
        <v>824</v>
      </c>
      <c r="I892" t="s">
        <v>134</v>
      </c>
      <c r="J892" t="s">
        <v>135</v>
      </c>
      <c r="K892" t="s">
        <v>49</v>
      </c>
      <c r="L892">
        <v>38</v>
      </c>
      <c r="M892">
        <v>38</v>
      </c>
    </row>
    <row r="893" spans="1:13" x14ac:dyDescent="0.25">
      <c r="A893">
        <v>89</v>
      </c>
      <c r="B893">
        <v>896</v>
      </c>
      <c r="C893">
        <v>6031</v>
      </c>
      <c r="D893">
        <v>1</v>
      </c>
      <c r="E893">
        <v>630</v>
      </c>
      <c r="F893" t="s">
        <v>1231</v>
      </c>
      <c r="G893" t="s">
        <v>1232</v>
      </c>
      <c r="H893">
        <v>630</v>
      </c>
      <c r="I893" t="s">
        <v>1231</v>
      </c>
      <c r="J893" t="s">
        <v>1232</v>
      </c>
      <c r="K893" t="s">
        <v>49</v>
      </c>
      <c r="L893">
        <v>150</v>
      </c>
      <c r="M893">
        <v>150</v>
      </c>
    </row>
    <row r="894" spans="1:13" x14ac:dyDescent="0.25">
      <c r="A894">
        <v>4</v>
      </c>
      <c r="B894">
        <v>9621573</v>
      </c>
      <c r="C894">
        <v>6032</v>
      </c>
      <c r="D894">
        <v>1</v>
      </c>
      <c r="E894">
        <v>382</v>
      </c>
      <c r="F894" t="s">
        <v>533</v>
      </c>
      <c r="G894" t="s">
        <v>534</v>
      </c>
      <c r="H894">
        <v>382</v>
      </c>
      <c r="I894" t="s">
        <v>533</v>
      </c>
      <c r="J894" t="s">
        <v>534</v>
      </c>
      <c r="K894" t="s">
        <v>1233</v>
      </c>
      <c r="L894">
        <v>1</v>
      </c>
      <c r="M894">
        <v>1</v>
      </c>
    </row>
    <row r="895" spans="1:13" x14ac:dyDescent="0.25">
      <c r="A895">
        <v>4</v>
      </c>
      <c r="B895">
        <v>9631389</v>
      </c>
      <c r="C895">
        <v>6033</v>
      </c>
      <c r="D895">
        <v>1</v>
      </c>
      <c r="E895">
        <v>700</v>
      </c>
      <c r="F895" t="s">
        <v>118</v>
      </c>
      <c r="G895" t="s">
        <v>119</v>
      </c>
      <c r="H895">
        <v>700</v>
      </c>
      <c r="I895" t="s">
        <v>118</v>
      </c>
      <c r="J895" t="s">
        <v>119</v>
      </c>
      <c r="K895" t="s">
        <v>1234</v>
      </c>
      <c r="L895">
        <v>1</v>
      </c>
      <c r="M895">
        <v>1</v>
      </c>
    </row>
    <row r="896" spans="1:13" x14ac:dyDescent="0.25">
      <c r="A896">
        <v>4</v>
      </c>
      <c r="B896">
        <v>9631838</v>
      </c>
      <c r="C896">
        <v>6033</v>
      </c>
      <c r="D896">
        <v>2</v>
      </c>
      <c r="E896">
        <v>703</v>
      </c>
      <c r="F896" t="s">
        <v>461</v>
      </c>
      <c r="G896" t="s">
        <v>462</v>
      </c>
      <c r="H896">
        <v>703</v>
      </c>
      <c r="I896" t="s">
        <v>461</v>
      </c>
      <c r="J896" t="s">
        <v>462</v>
      </c>
      <c r="K896" t="s">
        <v>1235</v>
      </c>
      <c r="L896">
        <v>1</v>
      </c>
      <c r="M896">
        <v>1</v>
      </c>
    </row>
    <row r="897" spans="1:13" x14ac:dyDescent="0.25">
      <c r="A897">
        <v>6</v>
      </c>
      <c r="B897">
        <v>946126</v>
      </c>
      <c r="C897">
        <v>6034</v>
      </c>
      <c r="D897">
        <v>4</v>
      </c>
      <c r="E897">
        <v>884</v>
      </c>
      <c r="F897" t="s">
        <v>304</v>
      </c>
      <c r="G897" t="s">
        <v>305</v>
      </c>
      <c r="H897">
        <v>884</v>
      </c>
      <c r="I897" t="s">
        <v>304</v>
      </c>
      <c r="J897" t="s">
        <v>305</v>
      </c>
      <c r="K897" t="s">
        <v>1236</v>
      </c>
      <c r="L897">
        <v>1</v>
      </c>
      <c r="M897">
        <v>1</v>
      </c>
    </row>
    <row r="898" spans="1:13" x14ac:dyDescent="0.25">
      <c r="A898">
        <v>6</v>
      </c>
      <c r="B898">
        <v>945141</v>
      </c>
      <c r="C898">
        <v>6034</v>
      </c>
      <c r="D898">
        <v>1</v>
      </c>
      <c r="E898">
        <v>534</v>
      </c>
      <c r="F898" t="s">
        <v>94</v>
      </c>
      <c r="G898" t="s">
        <v>95</v>
      </c>
      <c r="H898">
        <v>534</v>
      </c>
      <c r="I898" t="s">
        <v>94</v>
      </c>
      <c r="J898" t="s">
        <v>95</v>
      </c>
      <c r="K898" t="s">
        <v>1237</v>
      </c>
      <c r="L898">
        <v>1</v>
      </c>
      <c r="M898">
        <v>1</v>
      </c>
    </row>
    <row r="899" spans="1:13" x14ac:dyDescent="0.25">
      <c r="A899">
        <v>6</v>
      </c>
      <c r="B899">
        <v>945696</v>
      </c>
      <c r="C899">
        <v>6034</v>
      </c>
      <c r="D899">
        <v>2</v>
      </c>
      <c r="E899">
        <v>905</v>
      </c>
      <c r="F899" t="s">
        <v>146</v>
      </c>
      <c r="G899" t="s">
        <v>147</v>
      </c>
      <c r="H899">
        <v>905</v>
      </c>
      <c r="I899" t="s">
        <v>146</v>
      </c>
      <c r="J899" t="s">
        <v>147</v>
      </c>
      <c r="K899" t="s">
        <v>1238</v>
      </c>
      <c r="L899">
        <v>1</v>
      </c>
      <c r="M899">
        <v>1</v>
      </c>
    </row>
    <row r="900" spans="1:13" x14ac:dyDescent="0.25">
      <c r="A900">
        <v>6</v>
      </c>
      <c r="B900">
        <v>946014</v>
      </c>
      <c r="C900">
        <v>6034</v>
      </c>
      <c r="D900">
        <v>3</v>
      </c>
      <c r="E900">
        <v>842</v>
      </c>
      <c r="F900" t="s">
        <v>366</v>
      </c>
      <c r="G900" t="s">
        <v>367</v>
      </c>
      <c r="H900">
        <v>842</v>
      </c>
      <c r="I900" t="s">
        <v>366</v>
      </c>
      <c r="J900" t="s">
        <v>367</v>
      </c>
      <c r="K900" t="s">
        <v>1239</v>
      </c>
      <c r="L900">
        <v>2</v>
      </c>
      <c r="M900">
        <v>2</v>
      </c>
    </row>
    <row r="901" spans="1:13" x14ac:dyDescent="0.25">
      <c r="A901">
        <v>9</v>
      </c>
      <c r="B901">
        <v>9191325</v>
      </c>
      <c r="C901">
        <v>6035</v>
      </c>
      <c r="D901">
        <v>2</v>
      </c>
      <c r="E901">
        <v>905</v>
      </c>
      <c r="F901" t="s">
        <v>146</v>
      </c>
      <c r="G901" t="s">
        <v>147</v>
      </c>
      <c r="H901">
        <v>905</v>
      </c>
      <c r="I901" t="s">
        <v>146</v>
      </c>
      <c r="J901" t="s">
        <v>147</v>
      </c>
      <c r="K901" t="s">
        <v>1240</v>
      </c>
      <c r="L901">
        <v>1</v>
      </c>
      <c r="M901">
        <v>1</v>
      </c>
    </row>
    <row r="902" spans="1:13" x14ac:dyDescent="0.25">
      <c r="A902">
        <v>9</v>
      </c>
      <c r="B902">
        <v>9191186</v>
      </c>
      <c r="C902">
        <v>6035</v>
      </c>
      <c r="D902">
        <v>1</v>
      </c>
      <c r="E902">
        <v>905</v>
      </c>
      <c r="F902" t="s">
        <v>146</v>
      </c>
      <c r="G902" t="s">
        <v>147</v>
      </c>
      <c r="H902">
        <v>905</v>
      </c>
      <c r="I902" t="s">
        <v>146</v>
      </c>
      <c r="J902" t="s">
        <v>147</v>
      </c>
      <c r="K902" t="s">
        <v>1241</v>
      </c>
      <c r="L902">
        <v>1</v>
      </c>
      <c r="M902">
        <v>1</v>
      </c>
    </row>
    <row r="903" spans="1:13" x14ac:dyDescent="0.25">
      <c r="A903">
        <v>4</v>
      </c>
      <c r="B903">
        <v>9632788</v>
      </c>
      <c r="C903">
        <v>6036</v>
      </c>
      <c r="D903">
        <v>2</v>
      </c>
      <c r="E903">
        <v>13</v>
      </c>
      <c r="F903" t="s">
        <v>62</v>
      </c>
      <c r="G903" t="s">
        <v>63</v>
      </c>
      <c r="H903">
        <v>13</v>
      </c>
      <c r="I903" t="s">
        <v>62</v>
      </c>
      <c r="J903" t="s">
        <v>63</v>
      </c>
      <c r="K903" t="s">
        <v>1242</v>
      </c>
      <c r="L903">
        <v>1</v>
      </c>
      <c r="M903">
        <v>1</v>
      </c>
    </row>
    <row r="904" spans="1:13" x14ac:dyDescent="0.25">
      <c r="A904">
        <v>4</v>
      </c>
      <c r="B904">
        <v>9632855</v>
      </c>
      <c r="C904">
        <v>6036</v>
      </c>
      <c r="D904">
        <v>3</v>
      </c>
      <c r="E904">
        <v>714</v>
      </c>
      <c r="F904" t="s">
        <v>124</v>
      </c>
      <c r="G904" t="s">
        <v>125</v>
      </c>
      <c r="H904">
        <v>714</v>
      </c>
      <c r="I904" t="s">
        <v>124</v>
      </c>
      <c r="J904" t="s">
        <v>125</v>
      </c>
      <c r="K904" t="s">
        <v>1243</v>
      </c>
      <c r="L904">
        <v>1</v>
      </c>
      <c r="M904">
        <v>1</v>
      </c>
    </row>
    <row r="905" spans="1:13" x14ac:dyDescent="0.25">
      <c r="A905">
        <v>4</v>
      </c>
      <c r="B905">
        <v>9633603</v>
      </c>
      <c r="C905">
        <v>6036</v>
      </c>
      <c r="D905">
        <v>4</v>
      </c>
      <c r="E905">
        <v>501</v>
      </c>
      <c r="F905" t="s">
        <v>90</v>
      </c>
      <c r="G905" t="s">
        <v>91</v>
      </c>
      <c r="H905">
        <v>501</v>
      </c>
      <c r="I905" t="s">
        <v>90</v>
      </c>
      <c r="J905" t="s">
        <v>91</v>
      </c>
      <c r="K905" t="s">
        <v>1244</v>
      </c>
      <c r="L905">
        <v>1</v>
      </c>
      <c r="M905">
        <v>1</v>
      </c>
    </row>
    <row r="906" spans="1:13" x14ac:dyDescent="0.25">
      <c r="A906">
        <v>26</v>
      </c>
      <c r="B906">
        <v>25</v>
      </c>
      <c r="C906">
        <v>6086</v>
      </c>
      <c r="D906">
        <v>15</v>
      </c>
      <c r="E906">
        <v>701</v>
      </c>
      <c r="F906" t="s">
        <v>446</v>
      </c>
      <c r="G906" t="s">
        <v>447</v>
      </c>
      <c r="H906">
        <v>701</v>
      </c>
      <c r="I906" t="s">
        <v>446</v>
      </c>
      <c r="J906" t="s">
        <v>447</v>
      </c>
      <c r="K906" t="s">
        <v>49</v>
      </c>
      <c r="L906">
        <v>8</v>
      </c>
      <c r="M906">
        <v>0</v>
      </c>
    </row>
    <row r="907" spans="1:13" x14ac:dyDescent="0.25">
      <c r="A907">
        <v>26</v>
      </c>
      <c r="B907">
        <v>25</v>
      </c>
      <c r="C907">
        <v>6086</v>
      </c>
      <c r="D907">
        <v>16</v>
      </c>
      <c r="E907">
        <v>781</v>
      </c>
      <c r="F907" t="s">
        <v>269</v>
      </c>
      <c r="G907" t="s">
        <v>270</v>
      </c>
      <c r="H907">
        <v>781</v>
      </c>
      <c r="I907" t="s">
        <v>269</v>
      </c>
      <c r="J907" t="s">
        <v>270</v>
      </c>
      <c r="K907" t="s">
        <v>49</v>
      </c>
      <c r="L907">
        <v>35</v>
      </c>
      <c r="M907">
        <v>0</v>
      </c>
    </row>
    <row r="908" spans="1:13" x14ac:dyDescent="0.25">
      <c r="A908">
        <v>26</v>
      </c>
      <c r="B908">
        <v>25</v>
      </c>
      <c r="C908">
        <v>6086</v>
      </c>
      <c r="D908">
        <v>17</v>
      </c>
      <c r="E908">
        <v>782</v>
      </c>
      <c r="F908" t="s">
        <v>1245</v>
      </c>
      <c r="G908" t="s">
        <v>1246</v>
      </c>
      <c r="H908">
        <v>782</v>
      </c>
      <c r="I908" t="s">
        <v>1245</v>
      </c>
      <c r="J908" t="s">
        <v>1246</v>
      </c>
      <c r="K908" t="s">
        <v>49</v>
      </c>
      <c r="L908">
        <v>21</v>
      </c>
      <c r="M908">
        <v>0</v>
      </c>
    </row>
    <row r="909" spans="1:13" x14ac:dyDescent="0.25">
      <c r="A909">
        <v>26</v>
      </c>
      <c r="B909">
        <v>25</v>
      </c>
      <c r="C909">
        <v>6086</v>
      </c>
      <c r="D909">
        <v>18</v>
      </c>
      <c r="E909">
        <v>753</v>
      </c>
      <c r="F909" t="s">
        <v>223</v>
      </c>
      <c r="G909" t="s">
        <v>224</v>
      </c>
      <c r="H909">
        <v>753</v>
      </c>
      <c r="I909" t="s">
        <v>223</v>
      </c>
      <c r="J909" t="s">
        <v>224</v>
      </c>
      <c r="K909" t="s">
        <v>49</v>
      </c>
      <c r="L909">
        <v>30</v>
      </c>
      <c r="M909">
        <v>0</v>
      </c>
    </row>
    <row r="910" spans="1:13" x14ac:dyDescent="0.25">
      <c r="A910">
        <v>26</v>
      </c>
      <c r="B910">
        <v>25</v>
      </c>
      <c r="C910">
        <v>6086</v>
      </c>
      <c r="D910">
        <v>19</v>
      </c>
      <c r="E910">
        <v>756</v>
      </c>
      <c r="F910" t="s">
        <v>759</v>
      </c>
      <c r="G910" t="s">
        <v>760</v>
      </c>
      <c r="H910">
        <v>756</v>
      </c>
      <c r="I910" t="s">
        <v>759</v>
      </c>
      <c r="J910" t="s">
        <v>760</v>
      </c>
      <c r="K910" t="s">
        <v>49</v>
      </c>
      <c r="L910">
        <v>7</v>
      </c>
      <c r="M910">
        <v>0</v>
      </c>
    </row>
    <row r="911" spans="1:13" x14ac:dyDescent="0.25">
      <c r="A911">
        <v>26</v>
      </c>
      <c r="B911">
        <v>25</v>
      </c>
      <c r="C911">
        <v>6086</v>
      </c>
      <c r="D911">
        <v>20</v>
      </c>
      <c r="E911">
        <v>212</v>
      </c>
      <c r="F911" t="s">
        <v>1247</v>
      </c>
      <c r="G911" t="s">
        <v>1248</v>
      </c>
      <c r="H911">
        <v>212</v>
      </c>
      <c r="I911" t="s">
        <v>1247</v>
      </c>
      <c r="J911" t="s">
        <v>1248</v>
      </c>
      <c r="K911" t="s">
        <v>49</v>
      </c>
      <c r="L911">
        <v>5</v>
      </c>
      <c r="M911">
        <v>0</v>
      </c>
    </row>
    <row r="912" spans="1:13" x14ac:dyDescent="0.25">
      <c r="A912">
        <v>26</v>
      </c>
      <c r="B912">
        <v>25</v>
      </c>
      <c r="C912">
        <v>6086</v>
      </c>
      <c r="D912">
        <v>21</v>
      </c>
      <c r="E912">
        <v>132</v>
      </c>
      <c r="F912" t="s">
        <v>1249</v>
      </c>
      <c r="G912" t="s">
        <v>1250</v>
      </c>
      <c r="H912">
        <v>132</v>
      </c>
      <c r="I912" t="s">
        <v>1249</v>
      </c>
      <c r="J912" t="s">
        <v>1250</v>
      </c>
      <c r="K912" t="s">
        <v>49</v>
      </c>
      <c r="L912">
        <v>19</v>
      </c>
      <c r="M912">
        <v>0</v>
      </c>
    </row>
    <row r="913" spans="1:13" x14ac:dyDescent="0.25">
      <c r="A913">
        <v>26</v>
      </c>
      <c r="B913">
        <v>25</v>
      </c>
      <c r="C913">
        <v>6086</v>
      </c>
      <c r="D913">
        <v>22</v>
      </c>
      <c r="E913">
        <v>135</v>
      </c>
      <c r="F913" t="s">
        <v>851</v>
      </c>
      <c r="G913" t="s">
        <v>852</v>
      </c>
      <c r="H913">
        <v>135</v>
      </c>
      <c r="I913" t="s">
        <v>851</v>
      </c>
      <c r="J913" t="s">
        <v>852</v>
      </c>
      <c r="K913" t="s">
        <v>49</v>
      </c>
      <c r="L913">
        <v>24</v>
      </c>
      <c r="M913">
        <v>0</v>
      </c>
    </row>
    <row r="914" spans="1:13" x14ac:dyDescent="0.25">
      <c r="A914">
        <v>4</v>
      </c>
      <c r="B914">
        <v>9640126</v>
      </c>
      <c r="C914">
        <v>6087</v>
      </c>
      <c r="D914">
        <v>2</v>
      </c>
      <c r="E914">
        <v>714</v>
      </c>
      <c r="F914" t="s">
        <v>124</v>
      </c>
      <c r="G914" t="s">
        <v>125</v>
      </c>
      <c r="H914">
        <v>714</v>
      </c>
      <c r="I914" t="s">
        <v>124</v>
      </c>
      <c r="J914" t="s">
        <v>125</v>
      </c>
      <c r="K914" t="s">
        <v>1251</v>
      </c>
      <c r="L914">
        <v>1</v>
      </c>
      <c r="M914">
        <v>1</v>
      </c>
    </row>
    <row r="915" spans="1:13" x14ac:dyDescent="0.25">
      <c r="A915">
        <v>4</v>
      </c>
      <c r="B915">
        <v>9640251</v>
      </c>
      <c r="C915">
        <v>6087</v>
      </c>
      <c r="D915">
        <v>3</v>
      </c>
      <c r="E915">
        <v>501</v>
      </c>
      <c r="F915" t="s">
        <v>90</v>
      </c>
      <c r="G915" t="s">
        <v>91</v>
      </c>
      <c r="H915">
        <v>501</v>
      </c>
      <c r="I915" t="s">
        <v>90</v>
      </c>
      <c r="J915" t="s">
        <v>91</v>
      </c>
      <c r="K915" t="s">
        <v>1252</v>
      </c>
      <c r="L915">
        <v>1</v>
      </c>
      <c r="M915">
        <v>1</v>
      </c>
    </row>
    <row r="916" spans="1:13" x14ac:dyDescent="0.25">
      <c r="A916">
        <v>4</v>
      </c>
      <c r="B916">
        <v>9640942</v>
      </c>
      <c r="C916">
        <v>6087</v>
      </c>
      <c r="D916">
        <v>4</v>
      </c>
      <c r="E916">
        <v>808</v>
      </c>
      <c r="F916" t="s">
        <v>225</v>
      </c>
      <c r="G916" t="s">
        <v>226</v>
      </c>
      <c r="H916">
        <v>808</v>
      </c>
      <c r="I916" t="s">
        <v>225</v>
      </c>
      <c r="J916" t="s">
        <v>226</v>
      </c>
      <c r="K916" t="s">
        <v>1253</v>
      </c>
      <c r="L916">
        <v>1</v>
      </c>
      <c r="M916">
        <v>1</v>
      </c>
    </row>
    <row r="917" spans="1:13" x14ac:dyDescent="0.25">
      <c r="A917">
        <v>4</v>
      </c>
      <c r="B917">
        <v>9641143</v>
      </c>
      <c r="C917">
        <v>6087</v>
      </c>
      <c r="D917">
        <v>5</v>
      </c>
      <c r="E917">
        <v>970</v>
      </c>
      <c r="F917" t="s">
        <v>436</v>
      </c>
      <c r="G917" t="s">
        <v>437</v>
      </c>
      <c r="H917">
        <v>506</v>
      </c>
      <c r="I917" t="s">
        <v>92</v>
      </c>
      <c r="J917" t="s">
        <v>93</v>
      </c>
      <c r="K917" t="s">
        <v>1254</v>
      </c>
      <c r="L917">
        <v>1</v>
      </c>
      <c r="M917">
        <v>1</v>
      </c>
    </row>
    <row r="918" spans="1:13" x14ac:dyDescent="0.25">
      <c r="A918">
        <v>4</v>
      </c>
      <c r="B918">
        <v>9641874</v>
      </c>
      <c r="C918">
        <v>6087</v>
      </c>
      <c r="D918">
        <v>6</v>
      </c>
      <c r="E918">
        <v>13</v>
      </c>
      <c r="F918" t="s">
        <v>62</v>
      </c>
      <c r="G918" t="s">
        <v>63</v>
      </c>
      <c r="H918">
        <v>13</v>
      </c>
      <c r="I918" t="s">
        <v>62</v>
      </c>
      <c r="J918" t="s">
        <v>63</v>
      </c>
      <c r="K918" t="s">
        <v>1255</v>
      </c>
      <c r="L918">
        <v>1</v>
      </c>
      <c r="M918">
        <v>1</v>
      </c>
    </row>
    <row r="919" spans="1:13" x14ac:dyDescent="0.25">
      <c r="A919">
        <v>4</v>
      </c>
      <c r="B919">
        <v>9639647</v>
      </c>
      <c r="C919">
        <v>6087</v>
      </c>
      <c r="D919">
        <v>1</v>
      </c>
      <c r="E919">
        <v>404</v>
      </c>
      <c r="F919" t="s">
        <v>80</v>
      </c>
      <c r="G919" t="s">
        <v>81</v>
      </c>
      <c r="H919">
        <v>404</v>
      </c>
      <c r="I919" t="s">
        <v>80</v>
      </c>
      <c r="J919" t="s">
        <v>81</v>
      </c>
      <c r="K919" t="s">
        <v>1256</v>
      </c>
      <c r="L919">
        <v>1</v>
      </c>
      <c r="M919">
        <v>1</v>
      </c>
    </row>
    <row r="920" spans="1:13" x14ac:dyDescent="0.25">
      <c r="A920">
        <v>6</v>
      </c>
      <c r="B920">
        <v>949118</v>
      </c>
      <c r="C920">
        <v>6088</v>
      </c>
      <c r="D920">
        <v>1</v>
      </c>
      <c r="E920">
        <v>809</v>
      </c>
      <c r="F920" t="s">
        <v>128</v>
      </c>
      <c r="G920" t="s">
        <v>129</v>
      </c>
      <c r="H920">
        <v>809</v>
      </c>
      <c r="I920" t="s">
        <v>128</v>
      </c>
      <c r="J920" t="s">
        <v>129</v>
      </c>
      <c r="K920" t="s">
        <v>1257</v>
      </c>
      <c r="L920">
        <v>1</v>
      </c>
      <c r="M920">
        <v>1</v>
      </c>
    </row>
    <row r="921" spans="1:13" x14ac:dyDescent="0.25">
      <c r="A921">
        <v>6</v>
      </c>
      <c r="B921">
        <v>949225</v>
      </c>
      <c r="C921">
        <v>6088</v>
      </c>
      <c r="D921">
        <v>2</v>
      </c>
      <c r="E921">
        <v>892</v>
      </c>
      <c r="F921" t="s">
        <v>142</v>
      </c>
      <c r="G921" t="s">
        <v>143</v>
      </c>
      <c r="H921">
        <v>892</v>
      </c>
      <c r="I921" t="s">
        <v>142</v>
      </c>
      <c r="J921" t="s">
        <v>143</v>
      </c>
      <c r="K921" t="s">
        <v>1258</v>
      </c>
      <c r="L921">
        <v>1</v>
      </c>
      <c r="M921">
        <v>1</v>
      </c>
    </row>
    <row r="922" spans="1:13" x14ac:dyDescent="0.25">
      <c r="A922">
        <v>6</v>
      </c>
      <c r="B922">
        <v>949101</v>
      </c>
      <c r="C922">
        <v>6089</v>
      </c>
      <c r="D922">
        <v>1</v>
      </c>
      <c r="E922">
        <v>926</v>
      </c>
      <c r="F922" t="s">
        <v>1259</v>
      </c>
      <c r="G922" t="s">
        <v>1260</v>
      </c>
      <c r="H922">
        <v>926</v>
      </c>
      <c r="I922" t="s">
        <v>1259</v>
      </c>
      <c r="J922" t="s">
        <v>1260</v>
      </c>
      <c r="K922" t="s">
        <v>1261</v>
      </c>
      <c r="L922">
        <v>1</v>
      </c>
      <c r="M922">
        <v>1</v>
      </c>
    </row>
    <row r="923" spans="1:13" x14ac:dyDescent="0.25">
      <c r="A923">
        <v>9</v>
      </c>
      <c r="B923">
        <v>9193160</v>
      </c>
      <c r="C923">
        <v>6090</v>
      </c>
      <c r="D923">
        <v>1</v>
      </c>
      <c r="E923">
        <v>592</v>
      </c>
      <c r="F923" t="s">
        <v>622</v>
      </c>
      <c r="G923" t="s">
        <v>623</v>
      </c>
      <c r="H923">
        <v>592</v>
      </c>
      <c r="I923" t="s">
        <v>622</v>
      </c>
      <c r="J923" t="s">
        <v>623</v>
      </c>
      <c r="K923" t="s">
        <v>1262</v>
      </c>
      <c r="L923">
        <v>1</v>
      </c>
      <c r="M923">
        <v>1</v>
      </c>
    </row>
    <row r="924" spans="1:13" x14ac:dyDescent="0.25">
      <c r="A924">
        <v>9</v>
      </c>
      <c r="B924">
        <v>9193254</v>
      </c>
      <c r="C924">
        <v>6090</v>
      </c>
      <c r="D924">
        <v>2</v>
      </c>
      <c r="E924">
        <v>402</v>
      </c>
      <c r="F924" t="s">
        <v>168</v>
      </c>
      <c r="G924" t="s">
        <v>169</v>
      </c>
      <c r="H924">
        <v>402</v>
      </c>
      <c r="I924" t="s">
        <v>168</v>
      </c>
      <c r="J924" t="s">
        <v>169</v>
      </c>
      <c r="K924" t="s">
        <v>1263</v>
      </c>
      <c r="L924">
        <v>1</v>
      </c>
      <c r="M924">
        <v>1</v>
      </c>
    </row>
    <row r="925" spans="1:13" x14ac:dyDescent="0.25">
      <c r="A925">
        <v>9</v>
      </c>
      <c r="B925">
        <v>9193403</v>
      </c>
      <c r="C925">
        <v>6090</v>
      </c>
      <c r="D925">
        <v>3</v>
      </c>
      <c r="E925">
        <v>584</v>
      </c>
      <c r="F925" t="s">
        <v>96</v>
      </c>
      <c r="G925" t="s">
        <v>97</v>
      </c>
      <c r="H925">
        <v>584</v>
      </c>
      <c r="I925" t="s">
        <v>96</v>
      </c>
      <c r="J925" t="s">
        <v>97</v>
      </c>
      <c r="K925" t="s">
        <v>1264</v>
      </c>
      <c r="L925">
        <v>1</v>
      </c>
      <c r="M925">
        <v>1</v>
      </c>
    </row>
    <row r="926" spans="1:13" x14ac:dyDescent="0.25">
      <c r="A926">
        <v>9</v>
      </c>
      <c r="B926">
        <v>9193124</v>
      </c>
      <c r="C926">
        <v>6091</v>
      </c>
      <c r="D926">
        <v>1</v>
      </c>
      <c r="E926">
        <v>404</v>
      </c>
      <c r="F926" t="s">
        <v>80</v>
      </c>
      <c r="G926" t="s">
        <v>81</v>
      </c>
      <c r="H926">
        <v>404</v>
      </c>
      <c r="I926" t="s">
        <v>80</v>
      </c>
      <c r="J926" t="s">
        <v>81</v>
      </c>
      <c r="K926" t="s">
        <v>1265</v>
      </c>
      <c r="L926">
        <v>1</v>
      </c>
      <c r="M926">
        <v>1</v>
      </c>
    </row>
    <row r="927" spans="1:13" x14ac:dyDescent="0.25">
      <c r="A927">
        <v>9</v>
      </c>
      <c r="B927">
        <v>9193625</v>
      </c>
      <c r="C927">
        <v>6092</v>
      </c>
      <c r="D927">
        <v>2</v>
      </c>
      <c r="E927">
        <v>970</v>
      </c>
      <c r="F927" t="s">
        <v>436</v>
      </c>
      <c r="G927" t="s">
        <v>437</v>
      </c>
      <c r="H927">
        <v>506</v>
      </c>
      <c r="I927" t="s">
        <v>92</v>
      </c>
      <c r="J927" t="s">
        <v>93</v>
      </c>
      <c r="K927" t="s">
        <v>1266</v>
      </c>
      <c r="L927">
        <v>1</v>
      </c>
      <c r="M927">
        <v>1</v>
      </c>
    </row>
    <row r="928" spans="1:13" x14ac:dyDescent="0.25">
      <c r="A928">
        <v>9</v>
      </c>
      <c r="B928">
        <v>9193447</v>
      </c>
      <c r="C928">
        <v>6092</v>
      </c>
      <c r="D928">
        <v>1</v>
      </c>
      <c r="E928">
        <v>13</v>
      </c>
      <c r="F928" t="s">
        <v>62</v>
      </c>
      <c r="G928" t="s">
        <v>63</v>
      </c>
      <c r="H928">
        <v>13</v>
      </c>
      <c r="I928" t="s">
        <v>62</v>
      </c>
      <c r="J928" t="s">
        <v>63</v>
      </c>
      <c r="K928" t="s">
        <v>1267</v>
      </c>
      <c r="L928">
        <v>1</v>
      </c>
      <c r="M928">
        <v>1</v>
      </c>
    </row>
    <row r="929" spans="1:13" x14ac:dyDescent="0.25">
      <c r="A929">
        <v>1</v>
      </c>
      <c r="B929">
        <v>8668609</v>
      </c>
      <c r="C929">
        <v>6093</v>
      </c>
      <c r="D929">
        <v>1</v>
      </c>
      <c r="E929">
        <v>362</v>
      </c>
      <c r="F929" t="s">
        <v>72</v>
      </c>
      <c r="G929" t="s">
        <v>73</v>
      </c>
      <c r="H929">
        <v>362</v>
      </c>
      <c r="I929" t="s">
        <v>72</v>
      </c>
      <c r="J929" t="s">
        <v>73</v>
      </c>
      <c r="K929" t="s">
        <v>152</v>
      </c>
      <c r="L929">
        <v>16</v>
      </c>
      <c r="M929">
        <v>16</v>
      </c>
    </row>
    <row r="930" spans="1:13" x14ac:dyDescent="0.25">
      <c r="A930">
        <v>1</v>
      </c>
      <c r="B930">
        <v>8668609</v>
      </c>
      <c r="C930">
        <v>6093</v>
      </c>
      <c r="D930">
        <v>2</v>
      </c>
      <c r="E930">
        <v>616</v>
      </c>
      <c r="F930" t="s">
        <v>1114</v>
      </c>
      <c r="G930" t="s">
        <v>1115</v>
      </c>
      <c r="H930">
        <v>616</v>
      </c>
      <c r="I930" t="s">
        <v>1114</v>
      </c>
      <c r="J930" t="s">
        <v>1115</v>
      </c>
      <c r="K930" t="s">
        <v>154</v>
      </c>
      <c r="L930">
        <v>12</v>
      </c>
      <c r="M930">
        <v>12</v>
      </c>
    </row>
    <row r="931" spans="1:13" x14ac:dyDescent="0.25">
      <c r="A931">
        <v>1</v>
      </c>
      <c r="B931">
        <v>8668609</v>
      </c>
      <c r="C931">
        <v>6093</v>
      </c>
      <c r="D931">
        <v>3</v>
      </c>
      <c r="E931">
        <v>618</v>
      </c>
      <c r="F931" t="s">
        <v>98</v>
      </c>
      <c r="G931" t="s">
        <v>99</v>
      </c>
      <c r="H931">
        <v>618</v>
      </c>
      <c r="I931" t="s">
        <v>98</v>
      </c>
      <c r="J931" t="s">
        <v>99</v>
      </c>
      <c r="K931" t="s">
        <v>153</v>
      </c>
      <c r="L931">
        <v>12</v>
      </c>
      <c r="M931">
        <v>12</v>
      </c>
    </row>
    <row r="932" spans="1:13" x14ac:dyDescent="0.25">
      <c r="A932">
        <v>1</v>
      </c>
      <c r="B932">
        <v>8668609</v>
      </c>
      <c r="C932">
        <v>6093</v>
      </c>
      <c r="D932">
        <v>4</v>
      </c>
      <c r="E932">
        <v>619</v>
      </c>
      <c r="F932" t="s">
        <v>242</v>
      </c>
      <c r="G932" t="s">
        <v>243</v>
      </c>
      <c r="H932">
        <v>619</v>
      </c>
      <c r="I932" t="s">
        <v>242</v>
      </c>
      <c r="J932" t="s">
        <v>243</v>
      </c>
      <c r="K932" t="s">
        <v>155</v>
      </c>
      <c r="L932">
        <v>6</v>
      </c>
      <c r="M932">
        <v>6</v>
      </c>
    </row>
    <row r="933" spans="1:13" x14ac:dyDescent="0.25">
      <c r="A933">
        <v>2</v>
      </c>
      <c r="B933">
        <v>8669502</v>
      </c>
      <c r="C933">
        <v>6094</v>
      </c>
      <c r="D933">
        <v>4</v>
      </c>
      <c r="E933">
        <v>816</v>
      </c>
      <c r="F933" t="s">
        <v>229</v>
      </c>
      <c r="G933" t="s">
        <v>230</v>
      </c>
      <c r="H933">
        <v>816</v>
      </c>
      <c r="I933" t="s">
        <v>229</v>
      </c>
      <c r="J933" t="s">
        <v>230</v>
      </c>
      <c r="K933" t="s">
        <v>1268</v>
      </c>
      <c r="L933">
        <v>1</v>
      </c>
      <c r="M933">
        <v>1</v>
      </c>
    </row>
    <row r="934" spans="1:13" x14ac:dyDescent="0.25">
      <c r="A934">
        <v>2</v>
      </c>
      <c r="B934">
        <v>8668940</v>
      </c>
      <c r="C934">
        <v>6094</v>
      </c>
      <c r="D934">
        <v>2</v>
      </c>
      <c r="E934">
        <v>181</v>
      </c>
      <c r="F934" t="s">
        <v>164</v>
      </c>
      <c r="G934" t="s">
        <v>165</v>
      </c>
      <c r="H934">
        <v>181</v>
      </c>
      <c r="I934" t="s">
        <v>164</v>
      </c>
      <c r="J934" t="s">
        <v>165</v>
      </c>
      <c r="K934" t="s">
        <v>1269</v>
      </c>
      <c r="L934">
        <v>1</v>
      </c>
      <c r="M934">
        <v>1</v>
      </c>
    </row>
    <row r="935" spans="1:13" x14ac:dyDescent="0.25">
      <c r="A935">
        <v>2</v>
      </c>
      <c r="B935">
        <v>8669326</v>
      </c>
      <c r="C935">
        <v>6094</v>
      </c>
      <c r="D935">
        <v>3</v>
      </c>
      <c r="E935">
        <v>970</v>
      </c>
      <c r="F935" t="s">
        <v>436</v>
      </c>
      <c r="G935" t="s">
        <v>437</v>
      </c>
      <c r="H935">
        <v>506</v>
      </c>
      <c r="I935" t="s">
        <v>92</v>
      </c>
      <c r="J935" t="s">
        <v>93</v>
      </c>
      <c r="K935" t="s">
        <v>1270</v>
      </c>
      <c r="L935">
        <v>1</v>
      </c>
      <c r="M935">
        <v>1</v>
      </c>
    </row>
    <row r="936" spans="1:13" x14ac:dyDescent="0.25">
      <c r="A936">
        <v>2</v>
      </c>
      <c r="B936">
        <v>8660991</v>
      </c>
      <c r="C936">
        <v>6094</v>
      </c>
      <c r="D936">
        <v>1</v>
      </c>
      <c r="E936">
        <v>680</v>
      </c>
      <c r="F936" t="s">
        <v>114</v>
      </c>
      <c r="G936" t="s">
        <v>115</v>
      </c>
      <c r="H936">
        <v>680</v>
      </c>
      <c r="I936" t="s">
        <v>114</v>
      </c>
      <c r="J936" t="s">
        <v>115</v>
      </c>
      <c r="K936" t="s">
        <v>1271</v>
      </c>
      <c r="L936">
        <v>1</v>
      </c>
      <c r="M936">
        <v>1</v>
      </c>
    </row>
    <row r="937" spans="1:13" x14ac:dyDescent="0.25">
      <c r="A937">
        <v>29</v>
      </c>
      <c r="B937">
        <v>8661002</v>
      </c>
      <c r="C937">
        <v>6095</v>
      </c>
      <c r="D937">
        <v>1</v>
      </c>
      <c r="E937">
        <v>849</v>
      </c>
      <c r="F937" t="s">
        <v>138</v>
      </c>
      <c r="G937" t="s">
        <v>139</v>
      </c>
      <c r="H937">
        <v>849</v>
      </c>
      <c r="I937" t="s">
        <v>138</v>
      </c>
      <c r="J937" t="s">
        <v>139</v>
      </c>
      <c r="K937" t="s">
        <v>1272</v>
      </c>
      <c r="L937">
        <v>1</v>
      </c>
      <c r="M937">
        <v>1</v>
      </c>
    </row>
    <row r="938" spans="1:13" x14ac:dyDescent="0.25">
      <c r="A938">
        <v>24</v>
      </c>
      <c r="B938">
        <v>5100233</v>
      </c>
      <c r="C938">
        <v>6096</v>
      </c>
      <c r="D938">
        <v>1</v>
      </c>
      <c r="E938">
        <v>362</v>
      </c>
      <c r="F938" t="s">
        <v>72</v>
      </c>
      <c r="G938" t="s">
        <v>73</v>
      </c>
      <c r="H938">
        <v>362</v>
      </c>
      <c r="I938" t="s">
        <v>72</v>
      </c>
      <c r="J938" t="s">
        <v>73</v>
      </c>
      <c r="K938" t="s">
        <v>1273</v>
      </c>
      <c r="L938">
        <v>1</v>
      </c>
      <c r="M938">
        <v>1</v>
      </c>
    </row>
    <row r="939" spans="1:13" x14ac:dyDescent="0.25">
      <c r="A939">
        <v>25</v>
      </c>
      <c r="B939">
        <v>10</v>
      </c>
      <c r="C939">
        <v>6097</v>
      </c>
      <c r="D939">
        <v>1</v>
      </c>
      <c r="E939">
        <v>721</v>
      </c>
      <c r="F939" t="s">
        <v>1274</v>
      </c>
      <c r="G939" t="s">
        <v>1275</v>
      </c>
      <c r="H939">
        <v>721</v>
      </c>
      <c r="I939" t="s">
        <v>1274</v>
      </c>
      <c r="J939" t="s">
        <v>1275</v>
      </c>
      <c r="K939" t="s">
        <v>49</v>
      </c>
      <c r="L939">
        <v>1</v>
      </c>
      <c r="M939">
        <v>0</v>
      </c>
    </row>
    <row r="940" spans="1:13" x14ac:dyDescent="0.25">
      <c r="A940">
        <v>25</v>
      </c>
      <c r="B940">
        <v>10</v>
      </c>
      <c r="C940">
        <v>6097</v>
      </c>
      <c r="D940">
        <v>2</v>
      </c>
      <c r="E940">
        <v>722</v>
      </c>
      <c r="F940" t="s">
        <v>811</v>
      </c>
      <c r="G940" t="s">
        <v>812</v>
      </c>
      <c r="H940">
        <v>722</v>
      </c>
      <c r="I940" t="s">
        <v>811</v>
      </c>
      <c r="J940" t="s">
        <v>812</v>
      </c>
      <c r="K940" t="s">
        <v>49</v>
      </c>
      <c r="L940">
        <v>41</v>
      </c>
      <c r="M940">
        <v>41</v>
      </c>
    </row>
    <row r="941" spans="1:13" x14ac:dyDescent="0.25">
      <c r="A941">
        <v>25</v>
      </c>
      <c r="B941">
        <v>10</v>
      </c>
      <c r="C941">
        <v>6097</v>
      </c>
      <c r="D941">
        <v>3</v>
      </c>
      <c r="E941">
        <v>723</v>
      </c>
      <c r="F941" t="s">
        <v>1276</v>
      </c>
      <c r="G941" t="s">
        <v>1277</v>
      </c>
      <c r="H941">
        <v>723</v>
      </c>
      <c r="I941" t="s">
        <v>1276</v>
      </c>
      <c r="J941" t="s">
        <v>1277</v>
      </c>
      <c r="K941" t="s">
        <v>49</v>
      </c>
      <c r="L941">
        <v>15</v>
      </c>
      <c r="M941">
        <v>15</v>
      </c>
    </row>
    <row r="942" spans="1:13" x14ac:dyDescent="0.25">
      <c r="A942">
        <v>25</v>
      </c>
      <c r="B942">
        <v>10</v>
      </c>
      <c r="C942">
        <v>6097</v>
      </c>
      <c r="D942">
        <v>4</v>
      </c>
      <c r="E942">
        <v>724</v>
      </c>
      <c r="F942" t="s">
        <v>1278</v>
      </c>
      <c r="G942" t="s">
        <v>1279</v>
      </c>
      <c r="H942">
        <v>724</v>
      </c>
      <c r="I942" t="s">
        <v>1278</v>
      </c>
      <c r="J942" t="s">
        <v>1279</v>
      </c>
      <c r="K942" t="s">
        <v>49</v>
      </c>
      <c r="L942">
        <v>15</v>
      </c>
      <c r="M942">
        <v>15</v>
      </c>
    </row>
    <row r="943" spans="1:13" x14ac:dyDescent="0.25">
      <c r="A943">
        <v>25</v>
      </c>
      <c r="B943">
        <v>10</v>
      </c>
      <c r="C943">
        <v>6097</v>
      </c>
      <c r="D943">
        <v>5</v>
      </c>
      <c r="E943">
        <v>725</v>
      </c>
      <c r="F943" t="s">
        <v>1280</v>
      </c>
      <c r="G943" t="s">
        <v>1281</v>
      </c>
      <c r="H943">
        <v>725</v>
      </c>
      <c r="I943" t="s">
        <v>1280</v>
      </c>
      <c r="J943" t="s">
        <v>1281</v>
      </c>
      <c r="K943" t="s">
        <v>49</v>
      </c>
      <c r="L943">
        <v>15</v>
      </c>
      <c r="M943">
        <v>15</v>
      </c>
    </row>
    <row r="944" spans="1:13" x14ac:dyDescent="0.25">
      <c r="A944">
        <v>3</v>
      </c>
      <c r="B944">
        <v>50051940</v>
      </c>
      <c r="C944">
        <v>6143</v>
      </c>
      <c r="D944">
        <v>3</v>
      </c>
      <c r="E944">
        <v>970</v>
      </c>
      <c r="F944" t="s">
        <v>436</v>
      </c>
      <c r="G944" t="s">
        <v>437</v>
      </c>
      <c r="H944">
        <v>506</v>
      </c>
      <c r="I944" t="s">
        <v>92</v>
      </c>
      <c r="J944" t="s">
        <v>93</v>
      </c>
      <c r="K944" t="s">
        <v>1282</v>
      </c>
      <c r="L944">
        <v>1</v>
      </c>
      <c r="M944">
        <v>1</v>
      </c>
    </row>
    <row r="945" spans="1:13" x14ac:dyDescent="0.25">
      <c r="A945">
        <v>3</v>
      </c>
      <c r="B945">
        <v>50051940</v>
      </c>
      <c r="C945">
        <v>6143</v>
      </c>
      <c r="D945">
        <v>4</v>
      </c>
      <c r="E945">
        <v>824</v>
      </c>
      <c r="F945" t="s">
        <v>134</v>
      </c>
      <c r="G945" t="s">
        <v>135</v>
      </c>
      <c r="H945">
        <v>824</v>
      </c>
      <c r="I945" t="s">
        <v>134</v>
      </c>
      <c r="J945" t="s">
        <v>135</v>
      </c>
      <c r="K945" t="s">
        <v>1283</v>
      </c>
      <c r="L945">
        <v>1</v>
      </c>
      <c r="M945">
        <v>1</v>
      </c>
    </row>
    <row r="946" spans="1:13" x14ac:dyDescent="0.25">
      <c r="A946">
        <v>3</v>
      </c>
      <c r="B946">
        <v>50051940</v>
      </c>
      <c r="C946">
        <v>6143</v>
      </c>
      <c r="D946">
        <v>5</v>
      </c>
      <c r="E946">
        <v>970</v>
      </c>
      <c r="F946" t="s">
        <v>436</v>
      </c>
      <c r="G946" t="s">
        <v>437</v>
      </c>
      <c r="H946">
        <v>506</v>
      </c>
      <c r="I946" t="s">
        <v>92</v>
      </c>
      <c r="J946" t="s">
        <v>93</v>
      </c>
      <c r="K946" t="s">
        <v>1284</v>
      </c>
      <c r="L946">
        <v>1</v>
      </c>
      <c r="M946">
        <v>1</v>
      </c>
    </row>
    <row r="947" spans="1:13" x14ac:dyDescent="0.25">
      <c r="A947">
        <v>3</v>
      </c>
      <c r="B947">
        <v>50051940</v>
      </c>
      <c r="C947">
        <v>6143</v>
      </c>
      <c r="D947">
        <v>6</v>
      </c>
      <c r="E947">
        <v>970</v>
      </c>
      <c r="F947" t="s">
        <v>436</v>
      </c>
      <c r="G947" t="s">
        <v>437</v>
      </c>
      <c r="H947">
        <v>506</v>
      </c>
      <c r="I947" t="s">
        <v>92</v>
      </c>
      <c r="J947" t="s">
        <v>93</v>
      </c>
      <c r="K947" t="s">
        <v>1285</v>
      </c>
      <c r="L947">
        <v>1</v>
      </c>
      <c r="M947">
        <v>1</v>
      </c>
    </row>
    <row r="948" spans="1:13" x14ac:dyDescent="0.25">
      <c r="A948">
        <v>5</v>
      </c>
      <c r="B948">
        <v>6504029343</v>
      </c>
      <c r="C948">
        <v>6144</v>
      </c>
      <c r="D948">
        <v>1</v>
      </c>
      <c r="E948">
        <v>937</v>
      </c>
      <c r="F948" t="s">
        <v>355</v>
      </c>
      <c r="G948" t="s">
        <v>356</v>
      </c>
      <c r="H948">
        <v>115</v>
      </c>
      <c r="I948" t="s">
        <v>1219</v>
      </c>
      <c r="J948" t="s">
        <v>1220</v>
      </c>
      <c r="K948" t="s">
        <v>49</v>
      </c>
      <c r="L948">
        <v>1</v>
      </c>
      <c r="M948">
        <v>1</v>
      </c>
    </row>
    <row r="949" spans="1:13" x14ac:dyDescent="0.25">
      <c r="A949">
        <v>5</v>
      </c>
      <c r="B949">
        <v>6504029352</v>
      </c>
      <c r="C949">
        <v>6144</v>
      </c>
      <c r="D949">
        <v>2</v>
      </c>
      <c r="E949">
        <v>584</v>
      </c>
      <c r="F949" t="s">
        <v>96</v>
      </c>
      <c r="G949" t="s">
        <v>97</v>
      </c>
      <c r="H949">
        <v>584</v>
      </c>
      <c r="I949" t="s">
        <v>96</v>
      </c>
      <c r="J949" t="s">
        <v>97</v>
      </c>
      <c r="K949" t="s">
        <v>49</v>
      </c>
      <c r="L949">
        <v>1</v>
      </c>
      <c r="M949">
        <v>1</v>
      </c>
    </row>
    <row r="950" spans="1:13" x14ac:dyDescent="0.25">
      <c r="A950">
        <v>2</v>
      </c>
      <c r="B950">
        <v>8673274</v>
      </c>
      <c r="C950">
        <v>6145</v>
      </c>
      <c r="D950">
        <v>1</v>
      </c>
      <c r="E950">
        <v>905</v>
      </c>
      <c r="F950" t="s">
        <v>146</v>
      </c>
      <c r="G950" t="s">
        <v>147</v>
      </c>
      <c r="H950">
        <v>905</v>
      </c>
      <c r="I950" t="s">
        <v>146</v>
      </c>
      <c r="J950" t="s">
        <v>147</v>
      </c>
      <c r="K950" t="s">
        <v>1286</v>
      </c>
      <c r="L950">
        <v>1</v>
      </c>
      <c r="M950">
        <v>1</v>
      </c>
    </row>
    <row r="951" spans="1:13" x14ac:dyDescent="0.25">
      <c r="A951">
        <v>29</v>
      </c>
      <c r="B951">
        <v>8673363</v>
      </c>
      <c r="C951">
        <v>6146</v>
      </c>
      <c r="D951">
        <v>3</v>
      </c>
      <c r="E951">
        <v>829</v>
      </c>
      <c r="F951" t="s">
        <v>136</v>
      </c>
      <c r="G951" t="s">
        <v>137</v>
      </c>
      <c r="H951">
        <v>829</v>
      </c>
      <c r="I951" t="s">
        <v>136</v>
      </c>
      <c r="J951" t="s">
        <v>137</v>
      </c>
      <c r="K951" t="s">
        <v>1287</v>
      </c>
      <c r="L951">
        <v>1</v>
      </c>
      <c r="M951">
        <v>1</v>
      </c>
    </row>
    <row r="952" spans="1:13" x14ac:dyDescent="0.25">
      <c r="A952">
        <v>29</v>
      </c>
      <c r="B952">
        <v>8674993</v>
      </c>
      <c r="C952">
        <v>6146</v>
      </c>
      <c r="D952">
        <v>4</v>
      </c>
      <c r="E952">
        <v>829</v>
      </c>
      <c r="F952" t="s">
        <v>136</v>
      </c>
      <c r="G952" t="s">
        <v>137</v>
      </c>
      <c r="H952">
        <v>829</v>
      </c>
      <c r="I952" t="s">
        <v>136</v>
      </c>
      <c r="J952" t="s">
        <v>137</v>
      </c>
      <c r="K952" t="s">
        <v>1288</v>
      </c>
      <c r="L952">
        <v>1</v>
      </c>
      <c r="M952">
        <v>1</v>
      </c>
    </row>
    <row r="953" spans="1:13" x14ac:dyDescent="0.25">
      <c r="A953">
        <v>29</v>
      </c>
      <c r="B953">
        <v>8673243</v>
      </c>
      <c r="C953">
        <v>6146</v>
      </c>
      <c r="D953">
        <v>1</v>
      </c>
      <c r="E953">
        <v>829</v>
      </c>
      <c r="F953" t="s">
        <v>136</v>
      </c>
      <c r="G953" t="s">
        <v>137</v>
      </c>
      <c r="H953">
        <v>829</v>
      </c>
      <c r="I953" t="s">
        <v>136</v>
      </c>
      <c r="J953" t="s">
        <v>137</v>
      </c>
      <c r="K953" t="s">
        <v>1289</v>
      </c>
      <c r="L953">
        <v>1</v>
      </c>
      <c r="M953">
        <v>1</v>
      </c>
    </row>
    <row r="954" spans="1:13" x14ac:dyDescent="0.25">
      <c r="A954">
        <v>29</v>
      </c>
      <c r="B954">
        <v>8673333</v>
      </c>
      <c r="C954">
        <v>6146</v>
      </c>
      <c r="D954">
        <v>2</v>
      </c>
      <c r="E954">
        <v>829</v>
      </c>
      <c r="F954" t="s">
        <v>136</v>
      </c>
      <c r="G954" t="s">
        <v>137</v>
      </c>
      <c r="H954">
        <v>829</v>
      </c>
      <c r="I954" t="s">
        <v>136</v>
      </c>
      <c r="J954" t="s">
        <v>137</v>
      </c>
      <c r="K954" t="s">
        <v>1290</v>
      </c>
      <c r="L954">
        <v>1</v>
      </c>
      <c r="M954">
        <v>1</v>
      </c>
    </row>
    <row r="955" spans="1:13" x14ac:dyDescent="0.25">
      <c r="A955">
        <v>2</v>
      </c>
      <c r="B955">
        <v>8675131</v>
      </c>
      <c r="C955">
        <v>6147</v>
      </c>
      <c r="D955">
        <v>4</v>
      </c>
      <c r="E955">
        <v>632</v>
      </c>
      <c r="F955" t="s">
        <v>102</v>
      </c>
      <c r="G955" t="s">
        <v>103</v>
      </c>
      <c r="H955">
        <v>632</v>
      </c>
      <c r="I955" t="s">
        <v>102</v>
      </c>
      <c r="J955" t="s">
        <v>103</v>
      </c>
      <c r="K955" t="s">
        <v>1291</v>
      </c>
      <c r="L955">
        <v>1</v>
      </c>
      <c r="M955">
        <v>1</v>
      </c>
    </row>
    <row r="956" spans="1:13" x14ac:dyDescent="0.25">
      <c r="A956">
        <v>2</v>
      </c>
      <c r="B956">
        <v>8672092</v>
      </c>
      <c r="C956">
        <v>6147</v>
      </c>
      <c r="D956">
        <v>1</v>
      </c>
      <c r="E956">
        <v>873</v>
      </c>
      <c r="F956" t="s">
        <v>661</v>
      </c>
      <c r="G956" t="s">
        <v>662</v>
      </c>
      <c r="H956">
        <v>873</v>
      </c>
      <c r="I956" t="s">
        <v>661</v>
      </c>
      <c r="J956" t="s">
        <v>662</v>
      </c>
      <c r="K956" t="s">
        <v>1292</v>
      </c>
      <c r="L956">
        <v>1</v>
      </c>
      <c r="M956">
        <v>1</v>
      </c>
    </row>
    <row r="957" spans="1:13" x14ac:dyDescent="0.25">
      <c r="A957">
        <v>2</v>
      </c>
      <c r="B957">
        <v>8672097</v>
      </c>
      <c r="C957">
        <v>6147</v>
      </c>
      <c r="D957">
        <v>2</v>
      </c>
      <c r="E957">
        <v>181</v>
      </c>
      <c r="F957" t="s">
        <v>164</v>
      </c>
      <c r="G957" t="s">
        <v>165</v>
      </c>
      <c r="H957">
        <v>181</v>
      </c>
      <c r="I957" t="s">
        <v>164</v>
      </c>
      <c r="J957" t="s">
        <v>165</v>
      </c>
      <c r="K957" t="s">
        <v>1293</v>
      </c>
      <c r="L957">
        <v>1</v>
      </c>
      <c r="M957">
        <v>1</v>
      </c>
    </row>
    <row r="958" spans="1:13" x14ac:dyDescent="0.25">
      <c r="A958">
        <v>2</v>
      </c>
      <c r="B958">
        <v>8672343</v>
      </c>
      <c r="C958">
        <v>6147</v>
      </c>
      <c r="D958">
        <v>3</v>
      </c>
      <c r="E958">
        <v>680</v>
      </c>
      <c r="F958" t="s">
        <v>114</v>
      </c>
      <c r="G958" t="s">
        <v>115</v>
      </c>
      <c r="H958">
        <v>680</v>
      </c>
      <c r="I958" t="s">
        <v>114</v>
      </c>
      <c r="J958" t="s">
        <v>115</v>
      </c>
      <c r="K958" t="s">
        <v>1294</v>
      </c>
      <c r="L958">
        <v>1</v>
      </c>
      <c r="M958">
        <v>1</v>
      </c>
    </row>
    <row r="959" spans="1:13" x14ac:dyDescent="0.25">
      <c r="A959">
        <v>1</v>
      </c>
      <c r="B959">
        <v>8675185</v>
      </c>
      <c r="C959">
        <v>6148</v>
      </c>
      <c r="D959">
        <v>1</v>
      </c>
      <c r="E959">
        <v>617</v>
      </c>
      <c r="F959" t="s">
        <v>611</v>
      </c>
      <c r="G959" t="s">
        <v>612</v>
      </c>
      <c r="H959">
        <v>617</v>
      </c>
      <c r="I959" t="s">
        <v>611</v>
      </c>
      <c r="J959" t="s">
        <v>612</v>
      </c>
      <c r="K959" t="s">
        <v>152</v>
      </c>
      <c r="L959">
        <v>12</v>
      </c>
      <c r="M959">
        <v>12</v>
      </c>
    </row>
    <row r="960" spans="1:13" x14ac:dyDescent="0.25">
      <c r="A960">
        <v>1</v>
      </c>
      <c r="B960">
        <v>8675185</v>
      </c>
      <c r="C960">
        <v>6148</v>
      </c>
      <c r="D960">
        <v>2</v>
      </c>
      <c r="E960">
        <v>620</v>
      </c>
      <c r="F960" t="s">
        <v>100</v>
      </c>
      <c r="G960" t="s">
        <v>101</v>
      </c>
      <c r="H960">
        <v>620</v>
      </c>
      <c r="I960" t="s">
        <v>100</v>
      </c>
      <c r="J960" t="s">
        <v>101</v>
      </c>
      <c r="K960" t="s">
        <v>154</v>
      </c>
      <c r="L960">
        <v>12</v>
      </c>
      <c r="M960">
        <v>12</v>
      </c>
    </row>
    <row r="961" spans="1:13" x14ac:dyDescent="0.25">
      <c r="A961">
        <v>1</v>
      </c>
      <c r="B961">
        <v>8675185</v>
      </c>
      <c r="C961">
        <v>6148</v>
      </c>
      <c r="D961">
        <v>3</v>
      </c>
      <c r="E961">
        <v>621</v>
      </c>
      <c r="F961" t="s">
        <v>238</v>
      </c>
      <c r="G961" t="s">
        <v>239</v>
      </c>
      <c r="H961">
        <v>621</v>
      </c>
      <c r="I961" t="s">
        <v>238</v>
      </c>
      <c r="J961" t="s">
        <v>239</v>
      </c>
      <c r="K961" t="s">
        <v>153</v>
      </c>
      <c r="L961">
        <v>6</v>
      </c>
      <c r="M961">
        <v>6</v>
      </c>
    </row>
    <row r="962" spans="1:13" x14ac:dyDescent="0.25">
      <c r="A962">
        <v>2</v>
      </c>
      <c r="B962">
        <v>8676865</v>
      </c>
      <c r="C962">
        <v>6149</v>
      </c>
      <c r="D962">
        <v>1</v>
      </c>
      <c r="E962">
        <v>886</v>
      </c>
      <c r="F962" t="s">
        <v>236</v>
      </c>
      <c r="G962" t="s">
        <v>237</v>
      </c>
      <c r="H962">
        <v>886</v>
      </c>
      <c r="I962" t="s">
        <v>236</v>
      </c>
      <c r="J962" t="s">
        <v>237</v>
      </c>
      <c r="K962" t="s">
        <v>156</v>
      </c>
      <c r="L962">
        <v>3</v>
      </c>
      <c r="M962">
        <v>3</v>
      </c>
    </row>
    <row r="963" spans="1:13" x14ac:dyDescent="0.25">
      <c r="A963">
        <v>29</v>
      </c>
      <c r="B963">
        <v>8676865</v>
      </c>
      <c r="C963">
        <v>6150</v>
      </c>
      <c r="D963">
        <v>1</v>
      </c>
      <c r="E963">
        <v>563</v>
      </c>
      <c r="F963" t="s">
        <v>253</v>
      </c>
      <c r="G963" t="s">
        <v>254</v>
      </c>
      <c r="H963">
        <v>563</v>
      </c>
      <c r="I963" t="s">
        <v>253</v>
      </c>
      <c r="J963" t="s">
        <v>254</v>
      </c>
      <c r="K963" t="s">
        <v>153</v>
      </c>
      <c r="L963">
        <v>6</v>
      </c>
      <c r="M963">
        <v>4</v>
      </c>
    </row>
    <row r="964" spans="1:13" x14ac:dyDescent="0.25">
      <c r="A964">
        <v>29</v>
      </c>
      <c r="B964">
        <v>8676865</v>
      </c>
      <c r="C964">
        <v>6150</v>
      </c>
      <c r="D964">
        <v>2</v>
      </c>
      <c r="E964">
        <v>564</v>
      </c>
      <c r="F964" t="s">
        <v>273</v>
      </c>
      <c r="G964" t="s">
        <v>274</v>
      </c>
      <c r="H964">
        <v>564</v>
      </c>
      <c r="I964" t="s">
        <v>273</v>
      </c>
      <c r="J964" t="s">
        <v>274</v>
      </c>
      <c r="K964" t="s">
        <v>154</v>
      </c>
      <c r="L964">
        <v>6</v>
      </c>
      <c r="M964">
        <v>0</v>
      </c>
    </row>
    <row r="965" spans="1:13" x14ac:dyDescent="0.25">
      <c r="A965">
        <v>29</v>
      </c>
      <c r="B965">
        <v>8676865</v>
      </c>
      <c r="C965">
        <v>6150</v>
      </c>
      <c r="D965">
        <v>3</v>
      </c>
      <c r="E965">
        <v>683</v>
      </c>
      <c r="F965" t="s">
        <v>255</v>
      </c>
      <c r="G965" t="s">
        <v>256</v>
      </c>
      <c r="H965">
        <v>683</v>
      </c>
      <c r="I965" t="s">
        <v>255</v>
      </c>
      <c r="J965" t="s">
        <v>256</v>
      </c>
      <c r="K965" t="s">
        <v>152</v>
      </c>
      <c r="L965">
        <v>252</v>
      </c>
      <c r="M965">
        <v>100</v>
      </c>
    </row>
    <row r="966" spans="1:13" x14ac:dyDescent="0.25">
      <c r="A966">
        <v>29</v>
      </c>
      <c r="B966">
        <v>8676865</v>
      </c>
      <c r="C966">
        <v>6150</v>
      </c>
      <c r="D966">
        <v>4</v>
      </c>
      <c r="E966">
        <v>799</v>
      </c>
      <c r="F966" t="s">
        <v>247</v>
      </c>
      <c r="G966" t="s">
        <v>248</v>
      </c>
      <c r="H966">
        <v>799</v>
      </c>
      <c r="I966" t="s">
        <v>247</v>
      </c>
      <c r="J966" t="s">
        <v>248</v>
      </c>
      <c r="K966" t="s">
        <v>155</v>
      </c>
      <c r="L966">
        <v>960</v>
      </c>
      <c r="M966">
        <v>0</v>
      </c>
    </row>
    <row r="967" spans="1:13" x14ac:dyDescent="0.25">
      <c r="A967">
        <v>29</v>
      </c>
      <c r="B967">
        <v>8676865</v>
      </c>
      <c r="C967">
        <v>6150</v>
      </c>
      <c r="D967">
        <v>5</v>
      </c>
      <c r="E967">
        <v>967</v>
      </c>
      <c r="F967" t="s">
        <v>249</v>
      </c>
      <c r="G967" t="s">
        <v>250</v>
      </c>
      <c r="H967">
        <v>967</v>
      </c>
      <c r="I967" t="s">
        <v>249</v>
      </c>
      <c r="J967" t="s">
        <v>250</v>
      </c>
      <c r="K967" t="s">
        <v>244</v>
      </c>
      <c r="L967">
        <v>14</v>
      </c>
      <c r="M967">
        <v>0</v>
      </c>
    </row>
    <row r="968" spans="1:13" x14ac:dyDescent="0.25">
      <c r="A968">
        <v>1</v>
      </c>
      <c r="B968">
        <v>8676775</v>
      </c>
      <c r="C968">
        <v>6151</v>
      </c>
      <c r="D968">
        <v>1</v>
      </c>
      <c r="E968">
        <v>878</v>
      </c>
      <c r="F968" t="s">
        <v>216</v>
      </c>
      <c r="G968" t="s">
        <v>217</v>
      </c>
      <c r="H968">
        <v>362</v>
      </c>
      <c r="I968" t="s">
        <v>72</v>
      </c>
      <c r="J968" t="s">
        <v>73</v>
      </c>
      <c r="K968" t="s">
        <v>152</v>
      </c>
      <c r="L968">
        <v>36</v>
      </c>
      <c r="M968">
        <v>36</v>
      </c>
    </row>
    <row r="969" spans="1:13" x14ac:dyDescent="0.25">
      <c r="A969">
        <v>1</v>
      </c>
      <c r="B969">
        <v>8676775</v>
      </c>
      <c r="C969">
        <v>6151</v>
      </c>
      <c r="D969">
        <v>2</v>
      </c>
      <c r="E969">
        <v>616</v>
      </c>
      <c r="F969" t="s">
        <v>1114</v>
      </c>
      <c r="G969" t="s">
        <v>1115</v>
      </c>
      <c r="H969">
        <v>616</v>
      </c>
      <c r="I969" t="s">
        <v>1114</v>
      </c>
      <c r="J969" t="s">
        <v>1115</v>
      </c>
      <c r="K969" t="s">
        <v>154</v>
      </c>
      <c r="L969">
        <v>12</v>
      </c>
      <c r="M969">
        <v>12</v>
      </c>
    </row>
    <row r="970" spans="1:13" x14ac:dyDescent="0.25">
      <c r="A970">
        <v>1</v>
      </c>
      <c r="B970">
        <v>8676775</v>
      </c>
      <c r="C970">
        <v>6151</v>
      </c>
      <c r="D970">
        <v>3</v>
      </c>
      <c r="E970">
        <v>618</v>
      </c>
      <c r="F970" t="s">
        <v>98</v>
      </c>
      <c r="G970" t="s">
        <v>99</v>
      </c>
      <c r="H970">
        <v>618</v>
      </c>
      <c r="I970" t="s">
        <v>98</v>
      </c>
      <c r="J970" t="s">
        <v>99</v>
      </c>
      <c r="K970" t="s">
        <v>153</v>
      </c>
      <c r="L970">
        <v>6</v>
      </c>
      <c r="M970">
        <v>6</v>
      </c>
    </row>
    <row r="971" spans="1:13" x14ac:dyDescent="0.25">
      <c r="A971">
        <v>1</v>
      </c>
      <c r="B971">
        <v>8676775</v>
      </c>
      <c r="C971">
        <v>6151</v>
      </c>
      <c r="D971">
        <v>4</v>
      </c>
      <c r="E971">
        <v>619</v>
      </c>
      <c r="F971" t="s">
        <v>242</v>
      </c>
      <c r="G971" t="s">
        <v>243</v>
      </c>
      <c r="H971">
        <v>619</v>
      </c>
      <c r="I971" t="s">
        <v>242</v>
      </c>
      <c r="J971" t="s">
        <v>243</v>
      </c>
      <c r="K971" t="s">
        <v>155</v>
      </c>
      <c r="L971">
        <v>6</v>
      </c>
      <c r="M971">
        <v>6</v>
      </c>
    </row>
    <row r="972" spans="1:13" x14ac:dyDescent="0.25">
      <c r="A972">
        <v>1</v>
      </c>
      <c r="B972">
        <v>8676775</v>
      </c>
      <c r="C972">
        <v>6151</v>
      </c>
      <c r="D972">
        <v>5</v>
      </c>
      <c r="E972">
        <v>620</v>
      </c>
      <c r="F972" t="s">
        <v>100</v>
      </c>
      <c r="G972" t="s">
        <v>101</v>
      </c>
      <c r="H972">
        <v>620</v>
      </c>
      <c r="I972" t="s">
        <v>100</v>
      </c>
      <c r="J972" t="s">
        <v>101</v>
      </c>
      <c r="K972" t="s">
        <v>156</v>
      </c>
      <c r="L972">
        <v>6</v>
      </c>
      <c r="M972">
        <v>6</v>
      </c>
    </row>
    <row r="973" spans="1:13" x14ac:dyDescent="0.25">
      <c r="A973">
        <v>6</v>
      </c>
      <c r="B973">
        <v>954593</v>
      </c>
      <c r="C973">
        <v>6152</v>
      </c>
      <c r="D973">
        <v>2</v>
      </c>
      <c r="E973">
        <v>403</v>
      </c>
      <c r="F973" t="s">
        <v>78</v>
      </c>
      <c r="G973" t="s">
        <v>79</v>
      </c>
      <c r="H973">
        <v>403</v>
      </c>
      <c r="I973" t="s">
        <v>78</v>
      </c>
      <c r="J973" t="s">
        <v>79</v>
      </c>
      <c r="K973" t="s">
        <v>1295</v>
      </c>
      <c r="L973">
        <v>1</v>
      </c>
      <c r="M973">
        <v>1</v>
      </c>
    </row>
    <row r="974" spans="1:13" x14ac:dyDescent="0.25">
      <c r="A974">
        <v>6</v>
      </c>
      <c r="B974">
        <v>954630</v>
      </c>
      <c r="C974">
        <v>6152</v>
      </c>
      <c r="D974">
        <v>3</v>
      </c>
      <c r="E974">
        <v>842</v>
      </c>
      <c r="F974" t="s">
        <v>366</v>
      </c>
      <c r="G974" t="s">
        <v>367</v>
      </c>
      <c r="H974">
        <v>842</v>
      </c>
      <c r="I974" t="s">
        <v>366</v>
      </c>
      <c r="J974" t="s">
        <v>367</v>
      </c>
      <c r="K974" t="s">
        <v>1296</v>
      </c>
      <c r="L974">
        <v>1</v>
      </c>
      <c r="M974">
        <v>1</v>
      </c>
    </row>
    <row r="975" spans="1:13" x14ac:dyDescent="0.25">
      <c r="A975">
        <v>6</v>
      </c>
      <c r="B975">
        <v>954516</v>
      </c>
      <c r="C975">
        <v>6152</v>
      </c>
      <c r="D975">
        <v>1</v>
      </c>
      <c r="E975">
        <v>400</v>
      </c>
      <c r="F975" t="s">
        <v>74</v>
      </c>
      <c r="G975" t="s">
        <v>75</v>
      </c>
      <c r="H975">
        <v>400</v>
      </c>
      <c r="I975" t="s">
        <v>74</v>
      </c>
      <c r="J975" t="s">
        <v>75</v>
      </c>
      <c r="K975" t="s">
        <v>1297</v>
      </c>
      <c r="L975">
        <v>1</v>
      </c>
      <c r="M975">
        <v>1</v>
      </c>
    </row>
    <row r="976" spans="1:13" x14ac:dyDescent="0.25">
      <c r="A976">
        <v>26</v>
      </c>
      <c r="B976">
        <v>11</v>
      </c>
      <c r="C976">
        <v>6153</v>
      </c>
      <c r="D976">
        <v>1</v>
      </c>
      <c r="E976">
        <v>722</v>
      </c>
      <c r="F976" t="s">
        <v>811</v>
      </c>
      <c r="G976" t="s">
        <v>812</v>
      </c>
      <c r="H976">
        <v>722</v>
      </c>
      <c r="I976" t="s">
        <v>811</v>
      </c>
      <c r="J976" t="s">
        <v>812</v>
      </c>
      <c r="K976" t="s">
        <v>49</v>
      </c>
      <c r="L976">
        <v>3</v>
      </c>
      <c r="M976">
        <v>3</v>
      </c>
    </row>
    <row r="977" spans="1:13" x14ac:dyDescent="0.25">
      <c r="A977">
        <v>4</v>
      </c>
      <c r="B977">
        <v>9657990</v>
      </c>
      <c r="C977">
        <v>6154</v>
      </c>
      <c r="D977">
        <v>5</v>
      </c>
      <c r="E977">
        <v>714</v>
      </c>
      <c r="F977" t="s">
        <v>124</v>
      </c>
      <c r="G977" t="s">
        <v>125</v>
      </c>
      <c r="H977">
        <v>714</v>
      </c>
      <c r="I977" t="s">
        <v>124</v>
      </c>
      <c r="J977" t="s">
        <v>125</v>
      </c>
      <c r="K977" t="s">
        <v>1298</v>
      </c>
      <c r="L977">
        <v>1</v>
      </c>
      <c r="M977">
        <v>1</v>
      </c>
    </row>
    <row r="978" spans="1:13" x14ac:dyDescent="0.25">
      <c r="A978">
        <v>4</v>
      </c>
      <c r="B978">
        <v>9656648</v>
      </c>
      <c r="C978">
        <v>6154</v>
      </c>
      <c r="D978">
        <v>2</v>
      </c>
      <c r="E978">
        <v>400</v>
      </c>
      <c r="F978" t="s">
        <v>74</v>
      </c>
      <c r="G978" t="s">
        <v>75</v>
      </c>
      <c r="H978">
        <v>400</v>
      </c>
      <c r="I978" t="s">
        <v>74</v>
      </c>
      <c r="J978" t="s">
        <v>75</v>
      </c>
      <c r="K978" t="s">
        <v>1299</v>
      </c>
      <c r="L978">
        <v>1</v>
      </c>
      <c r="M978">
        <v>1</v>
      </c>
    </row>
    <row r="979" spans="1:13" x14ac:dyDescent="0.25">
      <c r="A979">
        <v>4</v>
      </c>
      <c r="B979">
        <v>9657054</v>
      </c>
      <c r="C979">
        <v>6154</v>
      </c>
      <c r="D979">
        <v>3</v>
      </c>
      <c r="E979">
        <v>501</v>
      </c>
      <c r="F979" t="s">
        <v>90</v>
      </c>
      <c r="G979" t="s">
        <v>91</v>
      </c>
      <c r="H979">
        <v>501</v>
      </c>
      <c r="I979" t="s">
        <v>90</v>
      </c>
      <c r="J979" t="s">
        <v>91</v>
      </c>
      <c r="K979" t="s">
        <v>1300</v>
      </c>
      <c r="L979">
        <v>1</v>
      </c>
      <c r="M979">
        <v>1</v>
      </c>
    </row>
    <row r="980" spans="1:13" x14ac:dyDescent="0.25">
      <c r="A980">
        <v>4</v>
      </c>
      <c r="B980">
        <v>9657472</v>
      </c>
      <c r="C980">
        <v>6154</v>
      </c>
      <c r="D980">
        <v>4</v>
      </c>
      <c r="E980">
        <v>816</v>
      </c>
      <c r="F980" t="s">
        <v>229</v>
      </c>
      <c r="G980" t="s">
        <v>230</v>
      </c>
      <c r="H980">
        <v>816</v>
      </c>
      <c r="I980" t="s">
        <v>229</v>
      </c>
      <c r="J980" t="s">
        <v>230</v>
      </c>
      <c r="K980" t="s">
        <v>1301</v>
      </c>
      <c r="L980">
        <v>1</v>
      </c>
      <c r="M980">
        <v>1</v>
      </c>
    </row>
    <row r="981" spans="1:13" x14ac:dyDescent="0.25">
      <c r="A981">
        <v>4</v>
      </c>
      <c r="B981">
        <v>9656396</v>
      </c>
      <c r="C981">
        <v>6154</v>
      </c>
      <c r="D981">
        <v>1</v>
      </c>
      <c r="E981">
        <v>638</v>
      </c>
      <c r="F981" t="s">
        <v>104</v>
      </c>
      <c r="G981" t="s">
        <v>105</v>
      </c>
      <c r="H981">
        <v>638</v>
      </c>
      <c r="I981" t="s">
        <v>104</v>
      </c>
      <c r="J981" t="s">
        <v>105</v>
      </c>
      <c r="K981" t="s">
        <v>1302</v>
      </c>
      <c r="L981">
        <v>1</v>
      </c>
      <c r="M981">
        <v>1</v>
      </c>
    </row>
    <row r="982" spans="1:13" x14ac:dyDescent="0.25">
      <c r="A982">
        <v>4</v>
      </c>
      <c r="B982">
        <v>9658498</v>
      </c>
      <c r="C982">
        <v>6155</v>
      </c>
      <c r="D982">
        <v>1</v>
      </c>
      <c r="E982">
        <v>906</v>
      </c>
      <c r="F982" t="s">
        <v>316</v>
      </c>
      <c r="G982" t="s">
        <v>317</v>
      </c>
      <c r="H982">
        <v>906</v>
      </c>
      <c r="I982" t="s">
        <v>316</v>
      </c>
      <c r="J982" t="s">
        <v>317</v>
      </c>
      <c r="K982" t="s">
        <v>1303</v>
      </c>
      <c r="L982">
        <v>1</v>
      </c>
      <c r="M982">
        <v>1</v>
      </c>
    </row>
    <row r="983" spans="1:13" x14ac:dyDescent="0.25">
      <c r="A983">
        <v>4</v>
      </c>
      <c r="B983">
        <v>9658582</v>
      </c>
      <c r="C983">
        <v>6155</v>
      </c>
      <c r="D983">
        <v>2</v>
      </c>
      <c r="E983">
        <v>347</v>
      </c>
      <c r="F983" t="s">
        <v>70</v>
      </c>
      <c r="G983" t="s">
        <v>71</v>
      </c>
      <c r="H983">
        <v>347</v>
      </c>
      <c r="I983" t="s">
        <v>70</v>
      </c>
      <c r="J983" t="s">
        <v>71</v>
      </c>
      <c r="K983" t="s">
        <v>1304</v>
      </c>
      <c r="L983">
        <v>1</v>
      </c>
      <c r="M983">
        <v>1</v>
      </c>
    </row>
    <row r="984" spans="1:13" x14ac:dyDescent="0.25">
      <c r="A984">
        <v>9</v>
      </c>
      <c r="B984">
        <v>9199936</v>
      </c>
      <c r="C984">
        <v>6213</v>
      </c>
      <c r="D984">
        <v>15</v>
      </c>
      <c r="E984">
        <v>474</v>
      </c>
      <c r="F984" t="s">
        <v>86</v>
      </c>
      <c r="G984" t="s">
        <v>87</v>
      </c>
      <c r="H984">
        <v>474</v>
      </c>
      <c r="I984" t="s">
        <v>86</v>
      </c>
      <c r="J984" t="s">
        <v>87</v>
      </c>
      <c r="K984" t="s">
        <v>1305</v>
      </c>
      <c r="L984">
        <v>1</v>
      </c>
      <c r="M984">
        <v>1</v>
      </c>
    </row>
    <row r="985" spans="1:13" x14ac:dyDescent="0.25">
      <c r="A985">
        <v>9</v>
      </c>
      <c r="B985">
        <v>9200007</v>
      </c>
      <c r="C985">
        <v>6213</v>
      </c>
      <c r="D985">
        <v>16</v>
      </c>
      <c r="E985">
        <v>938</v>
      </c>
      <c r="F985" t="s">
        <v>795</v>
      </c>
      <c r="G985" t="s">
        <v>796</v>
      </c>
      <c r="H985">
        <v>938</v>
      </c>
      <c r="I985" t="s">
        <v>795</v>
      </c>
      <c r="J985" t="s">
        <v>796</v>
      </c>
      <c r="K985" t="s">
        <v>1306</v>
      </c>
      <c r="L985">
        <v>1</v>
      </c>
      <c r="M985">
        <v>1</v>
      </c>
    </row>
    <row r="986" spans="1:13" x14ac:dyDescent="0.25">
      <c r="A986">
        <v>9</v>
      </c>
      <c r="B986">
        <v>9199311</v>
      </c>
      <c r="C986">
        <v>6213</v>
      </c>
      <c r="D986">
        <v>3</v>
      </c>
      <c r="E986">
        <v>674</v>
      </c>
      <c r="F986" t="s">
        <v>112</v>
      </c>
      <c r="G986" t="s">
        <v>113</v>
      </c>
      <c r="H986">
        <v>674</v>
      </c>
      <c r="I986" t="s">
        <v>112</v>
      </c>
      <c r="J986" t="s">
        <v>113</v>
      </c>
      <c r="K986" t="s">
        <v>1307</v>
      </c>
      <c r="L986">
        <v>1</v>
      </c>
      <c r="M986">
        <v>1</v>
      </c>
    </row>
    <row r="987" spans="1:13" x14ac:dyDescent="0.25">
      <c r="A987">
        <v>9</v>
      </c>
      <c r="B987">
        <v>9199368</v>
      </c>
      <c r="C987">
        <v>6213</v>
      </c>
      <c r="D987">
        <v>4</v>
      </c>
      <c r="E987">
        <v>970</v>
      </c>
      <c r="F987" t="s">
        <v>436</v>
      </c>
      <c r="G987" t="s">
        <v>437</v>
      </c>
      <c r="H987">
        <v>506</v>
      </c>
      <c r="I987" t="s">
        <v>92</v>
      </c>
      <c r="J987" t="s">
        <v>93</v>
      </c>
      <c r="K987" t="s">
        <v>1308</v>
      </c>
      <c r="L987">
        <v>1</v>
      </c>
      <c r="M987">
        <v>1</v>
      </c>
    </row>
    <row r="988" spans="1:13" x14ac:dyDescent="0.25">
      <c r="A988">
        <v>9</v>
      </c>
      <c r="B988">
        <v>9199427</v>
      </c>
      <c r="C988">
        <v>6213</v>
      </c>
      <c r="D988">
        <v>5</v>
      </c>
      <c r="E988">
        <v>698</v>
      </c>
      <c r="F988" t="s">
        <v>116</v>
      </c>
      <c r="G988" t="s">
        <v>117</v>
      </c>
      <c r="H988">
        <v>698</v>
      </c>
      <c r="I988" t="s">
        <v>116</v>
      </c>
      <c r="J988" t="s">
        <v>117</v>
      </c>
      <c r="K988" t="s">
        <v>1309</v>
      </c>
      <c r="L988">
        <v>1</v>
      </c>
      <c r="M988">
        <v>1</v>
      </c>
    </row>
    <row r="989" spans="1:13" x14ac:dyDescent="0.25">
      <c r="A989">
        <v>9</v>
      </c>
      <c r="B989">
        <v>9199427</v>
      </c>
      <c r="C989">
        <v>6213</v>
      </c>
      <c r="D989">
        <v>25</v>
      </c>
      <c r="E989">
        <v>467</v>
      </c>
      <c r="F989" t="s">
        <v>389</v>
      </c>
      <c r="G989" t="s">
        <v>390</v>
      </c>
      <c r="H989">
        <v>467</v>
      </c>
      <c r="I989" t="s">
        <v>389</v>
      </c>
      <c r="J989" t="s">
        <v>390</v>
      </c>
      <c r="K989" t="s">
        <v>1310</v>
      </c>
      <c r="L989">
        <v>1</v>
      </c>
      <c r="M989">
        <v>1</v>
      </c>
    </row>
    <row r="990" spans="1:13" x14ac:dyDescent="0.25">
      <c r="A990">
        <v>9</v>
      </c>
      <c r="B990">
        <v>9199539</v>
      </c>
      <c r="C990">
        <v>6213</v>
      </c>
      <c r="D990">
        <v>6</v>
      </c>
      <c r="E990">
        <v>970</v>
      </c>
      <c r="F990" t="s">
        <v>436</v>
      </c>
      <c r="G990" t="s">
        <v>437</v>
      </c>
      <c r="H990">
        <v>506</v>
      </c>
      <c r="I990" t="s">
        <v>92</v>
      </c>
      <c r="J990" t="s">
        <v>93</v>
      </c>
      <c r="K990" t="s">
        <v>1311</v>
      </c>
      <c r="L990">
        <v>1</v>
      </c>
      <c r="M990">
        <v>1</v>
      </c>
    </row>
    <row r="991" spans="1:13" x14ac:dyDescent="0.25">
      <c r="A991">
        <v>9</v>
      </c>
      <c r="B991">
        <v>9199539</v>
      </c>
      <c r="C991">
        <v>6213</v>
      </c>
      <c r="D991">
        <v>7</v>
      </c>
      <c r="E991">
        <v>403</v>
      </c>
      <c r="F991" t="s">
        <v>78</v>
      </c>
      <c r="G991" t="s">
        <v>79</v>
      </c>
      <c r="H991">
        <v>403</v>
      </c>
      <c r="I991" t="s">
        <v>78</v>
      </c>
      <c r="J991" t="s">
        <v>79</v>
      </c>
      <c r="K991" t="s">
        <v>1312</v>
      </c>
      <c r="L991">
        <v>1</v>
      </c>
      <c r="M991">
        <v>1</v>
      </c>
    </row>
    <row r="992" spans="1:13" x14ac:dyDescent="0.25">
      <c r="A992">
        <v>9</v>
      </c>
      <c r="B992">
        <v>9199539</v>
      </c>
      <c r="C992">
        <v>6213</v>
      </c>
      <c r="D992">
        <v>26</v>
      </c>
      <c r="E992">
        <v>937</v>
      </c>
      <c r="F992" t="s">
        <v>355</v>
      </c>
      <c r="G992" t="s">
        <v>356</v>
      </c>
      <c r="H992">
        <v>937</v>
      </c>
      <c r="I992" t="s">
        <v>355</v>
      </c>
      <c r="J992" t="s">
        <v>356</v>
      </c>
      <c r="K992" t="s">
        <v>1313</v>
      </c>
      <c r="L992">
        <v>1</v>
      </c>
      <c r="M992">
        <v>1</v>
      </c>
    </row>
    <row r="993" spans="1:13" x14ac:dyDescent="0.25">
      <c r="A993">
        <v>9</v>
      </c>
      <c r="B993">
        <v>9198903</v>
      </c>
      <c r="C993">
        <v>6213</v>
      </c>
      <c r="D993">
        <v>22</v>
      </c>
      <c r="E993">
        <v>13</v>
      </c>
      <c r="F993" t="s">
        <v>62</v>
      </c>
      <c r="G993" t="s">
        <v>63</v>
      </c>
      <c r="H993">
        <v>13</v>
      </c>
      <c r="I993" t="s">
        <v>62</v>
      </c>
      <c r="J993" t="s">
        <v>63</v>
      </c>
      <c r="K993" t="s">
        <v>1314</v>
      </c>
      <c r="L993">
        <v>1</v>
      </c>
      <c r="M993">
        <v>1</v>
      </c>
    </row>
    <row r="994" spans="1:13" x14ac:dyDescent="0.25">
      <c r="A994">
        <v>9</v>
      </c>
      <c r="B994">
        <v>9198903</v>
      </c>
      <c r="C994">
        <v>6213</v>
      </c>
      <c r="D994">
        <v>23</v>
      </c>
      <c r="E994">
        <v>13</v>
      </c>
      <c r="F994" t="s">
        <v>62</v>
      </c>
      <c r="G994" t="s">
        <v>63</v>
      </c>
      <c r="H994">
        <v>13</v>
      </c>
      <c r="I994" t="s">
        <v>62</v>
      </c>
      <c r="J994" t="s">
        <v>63</v>
      </c>
      <c r="K994" t="s">
        <v>1315</v>
      </c>
      <c r="L994">
        <v>1</v>
      </c>
      <c r="M994">
        <v>1</v>
      </c>
    </row>
    <row r="995" spans="1:13" x14ac:dyDescent="0.25">
      <c r="A995">
        <v>9</v>
      </c>
      <c r="B995">
        <v>9199003</v>
      </c>
      <c r="C995">
        <v>6213</v>
      </c>
      <c r="D995">
        <v>24</v>
      </c>
      <c r="E995">
        <v>13</v>
      </c>
      <c r="F995" t="s">
        <v>62</v>
      </c>
      <c r="G995" t="s">
        <v>63</v>
      </c>
      <c r="H995">
        <v>13</v>
      </c>
      <c r="I995" t="s">
        <v>62</v>
      </c>
      <c r="J995" t="s">
        <v>63</v>
      </c>
      <c r="K995" t="s">
        <v>1316</v>
      </c>
      <c r="L995">
        <v>1</v>
      </c>
      <c r="M995">
        <v>1</v>
      </c>
    </row>
    <row r="996" spans="1:13" x14ac:dyDescent="0.25">
      <c r="A996">
        <v>9</v>
      </c>
      <c r="B996">
        <v>9199081</v>
      </c>
      <c r="C996">
        <v>6213</v>
      </c>
      <c r="D996">
        <v>1</v>
      </c>
      <c r="E996">
        <v>347</v>
      </c>
      <c r="F996" t="s">
        <v>70</v>
      </c>
      <c r="G996" t="s">
        <v>71</v>
      </c>
      <c r="H996">
        <v>347</v>
      </c>
      <c r="I996" t="s">
        <v>70</v>
      </c>
      <c r="J996" t="s">
        <v>71</v>
      </c>
      <c r="K996" t="s">
        <v>1317</v>
      </c>
      <c r="L996">
        <v>1</v>
      </c>
      <c r="M996">
        <v>1</v>
      </c>
    </row>
    <row r="997" spans="1:13" x14ac:dyDescent="0.25">
      <c r="A997">
        <v>9</v>
      </c>
      <c r="B997">
        <v>9199196</v>
      </c>
      <c r="C997">
        <v>6213</v>
      </c>
      <c r="D997">
        <v>2</v>
      </c>
      <c r="E997">
        <v>970</v>
      </c>
      <c r="F997" t="s">
        <v>436</v>
      </c>
      <c r="G997" t="s">
        <v>437</v>
      </c>
      <c r="H997">
        <v>506</v>
      </c>
      <c r="I997" t="s">
        <v>92</v>
      </c>
      <c r="J997" t="s">
        <v>93</v>
      </c>
      <c r="K997" t="s">
        <v>1318</v>
      </c>
      <c r="L997">
        <v>1</v>
      </c>
      <c r="M997">
        <v>1</v>
      </c>
    </row>
    <row r="998" spans="1:13" x14ac:dyDescent="0.25">
      <c r="A998">
        <v>9</v>
      </c>
      <c r="B998">
        <v>9198789</v>
      </c>
      <c r="C998">
        <v>6213</v>
      </c>
      <c r="D998">
        <v>21</v>
      </c>
      <c r="E998">
        <v>13</v>
      </c>
      <c r="F998" t="s">
        <v>62</v>
      </c>
      <c r="G998" t="s">
        <v>63</v>
      </c>
      <c r="H998">
        <v>13</v>
      </c>
      <c r="I998" t="s">
        <v>62</v>
      </c>
      <c r="J998" t="s">
        <v>63</v>
      </c>
      <c r="K998" t="s">
        <v>1319</v>
      </c>
      <c r="L998">
        <v>1</v>
      </c>
      <c r="M998">
        <v>1</v>
      </c>
    </row>
    <row r="999" spans="1:13" x14ac:dyDescent="0.25">
      <c r="A999">
        <v>9</v>
      </c>
      <c r="B999">
        <v>9197943</v>
      </c>
      <c r="C999">
        <v>6213</v>
      </c>
      <c r="D999">
        <v>19</v>
      </c>
      <c r="E999">
        <v>347</v>
      </c>
      <c r="F999" t="s">
        <v>70</v>
      </c>
      <c r="G999" t="s">
        <v>71</v>
      </c>
      <c r="H999">
        <v>347</v>
      </c>
      <c r="I999" t="s">
        <v>70</v>
      </c>
      <c r="J999" t="s">
        <v>71</v>
      </c>
      <c r="K999" t="s">
        <v>1320</v>
      </c>
      <c r="L999">
        <v>1</v>
      </c>
      <c r="M999">
        <v>1</v>
      </c>
    </row>
    <row r="1000" spans="1:13" x14ac:dyDescent="0.25">
      <c r="A1000">
        <v>9</v>
      </c>
      <c r="B1000">
        <v>9198446</v>
      </c>
      <c r="C1000">
        <v>6213</v>
      </c>
      <c r="D1000">
        <v>20</v>
      </c>
      <c r="E1000">
        <v>13</v>
      </c>
      <c r="F1000" t="s">
        <v>62</v>
      </c>
      <c r="G1000" t="s">
        <v>63</v>
      </c>
      <c r="H1000">
        <v>13</v>
      </c>
      <c r="I1000" t="s">
        <v>62</v>
      </c>
      <c r="J1000" t="s">
        <v>63</v>
      </c>
      <c r="K1000" t="s">
        <v>1321</v>
      </c>
      <c r="L1000">
        <v>1</v>
      </c>
      <c r="M1000">
        <v>1</v>
      </c>
    </row>
    <row r="1001" spans="1:13" x14ac:dyDescent="0.25">
      <c r="A1001">
        <v>9</v>
      </c>
      <c r="B1001">
        <v>9197008</v>
      </c>
      <c r="C1001">
        <v>6213</v>
      </c>
      <c r="D1001">
        <v>18</v>
      </c>
      <c r="E1001">
        <v>408</v>
      </c>
      <c r="F1001" t="s">
        <v>1322</v>
      </c>
      <c r="G1001" t="s">
        <v>1323</v>
      </c>
      <c r="H1001">
        <v>408</v>
      </c>
      <c r="I1001" t="s">
        <v>1322</v>
      </c>
      <c r="J1001" t="s">
        <v>1323</v>
      </c>
      <c r="K1001" t="s">
        <v>644</v>
      </c>
      <c r="L1001">
        <v>1</v>
      </c>
      <c r="M1001">
        <v>0</v>
      </c>
    </row>
    <row r="1002" spans="1:13" x14ac:dyDescent="0.25">
      <c r="A1002">
        <v>5</v>
      </c>
      <c r="B1002">
        <v>6504036416</v>
      </c>
      <c r="C1002">
        <v>6214</v>
      </c>
      <c r="D1002">
        <v>2</v>
      </c>
      <c r="E1002">
        <v>180</v>
      </c>
      <c r="F1002" t="s">
        <v>68</v>
      </c>
      <c r="G1002" t="s">
        <v>69</v>
      </c>
      <c r="H1002">
        <v>180</v>
      </c>
      <c r="I1002" t="s">
        <v>68</v>
      </c>
      <c r="J1002" t="s">
        <v>69</v>
      </c>
      <c r="K1002" t="s">
        <v>49</v>
      </c>
      <c r="L1002">
        <v>1</v>
      </c>
      <c r="M1002">
        <v>1</v>
      </c>
    </row>
    <row r="1003" spans="1:13" x14ac:dyDescent="0.25">
      <c r="A1003">
        <v>5</v>
      </c>
      <c r="B1003">
        <v>6504033594</v>
      </c>
      <c r="C1003">
        <v>6214</v>
      </c>
      <c r="D1003">
        <v>3</v>
      </c>
      <c r="E1003">
        <v>489</v>
      </c>
      <c r="F1003" t="s">
        <v>257</v>
      </c>
      <c r="G1003" t="s">
        <v>258</v>
      </c>
      <c r="H1003">
        <v>489</v>
      </c>
      <c r="I1003" t="s">
        <v>257</v>
      </c>
      <c r="J1003" t="s">
        <v>258</v>
      </c>
      <c r="K1003" t="s">
        <v>49</v>
      </c>
      <c r="L1003">
        <v>2</v>
      </c>
      <c r="M1003">
        <v>2</v>
      </c>
    </row>
    <row r="1004" spans="1:13" x14ac:dyDescent="0.25">
      <c r="A1004">
        <v>5</v>
      </c>
      <c r="B1004">
        <v>6504036083</v>
      </c>
      <c r="C1004">
        <v>6214</v>
      </c>
      <c r="D1004">
        <v>1</v>
      </c>
      <c r="E1004">
        <v>686</v>
      </c>
      <c r="F1004" t="s">
        <v>372</v>
      </c>
      <c r="G1004" t="s">
        <v>373</v>
      </c>
      <c r="H1004">
        <v>686</v>
      </c>
      <c r="I1004" t="s">
        <v>372</v>
      </c>
      <c r="J1004" t="s">
        <v>373</v>
      </c>
      <c r="K1004" t="s">
        <v>49</v>
      </c>
      <c r="L1004">
        <v>1</v>
      </c>
      <c r="M1004">
        <v>1</v>
      </c>
    </row>
    <row r="1005" spans="1:13" x14ac:dyDescent="0.25">
      <c r="A1005">
        <v>5</v>
      </c>
      <c r="B1005">
        <v>6504038365</v>
      </c>
      <c r="C1005">
        <v>6215</v>
      </c>
      <c r="D1005">
        <v>5</v>
      </c>
      <c r="E1005">
        <v>180</v>
      </c>
      <c r="F1005" t="s">
        <v>68</v>
      </c>
      <c r="G1005" t="s">
        <v>69</v>
      </c>
      <c r="H1005">
        <v>180</v>
      </c>
      <c r="I1005" t="s">
        <v>68</v>
      </c>
      <c r="J1005" t="s">
        <v>69</v>
      </c>
      <c r="K1005" t="s">
        <v>49</v>
      </c>
      <c r="L1005">
        <v>1</v>
      </c>
      <c r="M1005">
        <v>1</v>
      </c>
    </row>
    <row r="1006" spans="1:13" x14ac:dyDescent="0.25">
      <c r="A1006">
        <v>5</v>
      </c>
      <c r="B1006">
        <v>6504038023</v>
      </c>
      <c r="C1006">
        <v>6215</v>
      </c>
      <c r="D1006">
        <v>1</v>
      </c>
      <c r="E1006">
        <v>403</v>
      </c>
      <c r="F1006" t="s">
        <v>78</v>
      </c>
      <c r="G1006" t="s">
        <v>79</v>
      </c>
      <c r="H1006">
        <v>403</v>
      </c>
      <c r="I1006" t="s">
        <v>78</v>
      </c>
      <c r="J1006" t="s">
        <v>79</v>
      </c>
      <c r="K1006" t="s">
        <v>49</v>
      </c>
      <c r="L1006">
        <v>1</v>
      </c>
      <c r="M1006">
        <v>1</v>
      </c>
    </row>
    <row r="1007" spans="1:13" x14ac:dyDescent="0.25">
      <c r="A1007">
        <v>5</v>
      </c>
      <c r="B1007">
        <v>6504038092</v>
      </c>
      <c r="C1007">
        <v>6215</v>
      </c>
      <c r="D1007">
        <v>2</v>
      </c>
      <c r="E1007">
        <v>13</v>
      </c>
      <c r="F1007" t="s">
        <v>62</v>
      </c>
      <c r="G1007" t="s">
        <v>63</v>
      </c>
      <c r="H1007">
        <v>13</v>
      </c>
      <c r="I1007" t="s">
        <v>62</v>
      </c>
      <c r="J1007" t="s">
        <v>63</v>
      </c>
      <c r="K1007" t="s">
        <v>49</v>
      </c>
      <c r="L1007">
        <v>1</v>
      </c>
      <c r="M1007">
        <v>1</v>
      </c>
    </row>
    <row r="1008" spans="1:13" x14ac:dyDescent="0.25">
      <c r="A1008">
        <v>5</v>
      </c>
      <c r="B1008">
        <v>6504038311</v>
      </c>
      <c r="C1008">
        <v>6215</v>
      </c>
      <c r="D1008">
        <v>3</v>
      </c>
      <c r="E1008">
        <v>632</v>
      </c>
      <c r="F1008" t="s">
        <v>102</v>
      </c>
      <c r="G1008" t="s">
        <v>103</v>
      </c>
      <c r="H1008">
        <v>632</v>
      </c>
      <c r="I1008" t="s">
        <v>102</v>
      </c>
      <c r="J1008" t="s">
        <v>103</v>
      </c>
      <c r="K1008" t="s">
        <v>49</v>
      </c>
      <c r="L1008">
        <v>1</v>
      </c>
      <c r="M1008">
        <v>1</v>
      </c>
    </row>
    <row r="1009" spans="1:13" x14ac:dyDescent="0.25">
      <c r="A1009">
        <v>5</v>
      </c>
      <c r="B1009">
        <v>6504038326</v>
      </c>
      <c r="C1009">
        <v>6215</v>
      </c>
      <c r="D1009">
        <v>4</v>
      </c>
      <c r="E1009">
        <v>400</v>
      </c>
      <c r="F1009" t="s">
        <v>74</v>
      </c>
      <c r="G1009" t="s">
        <v>75</v>
      </c>
      <c r="H1009">
        <v>400</v>
      </c>
      <c r="I1009" t="s">
        <v>74</v>
      </c>
      <c r="J1009" t="s">
        <v>75</v>
      </c>
      <c r="K1009" t="s">
        <v>49</v>
      </c>
      <c r="L1009">
        <v>1</v>
      </c>
      <c r="M1009">
        <v>1</v>
      </c>
    </row>
    <row r="1010" spans="1:13" x14ac:dyDescent="0.25">
      <c r="A1010">
        <v>24</v>
      </c>
      <c r="B1010">
        <v>5103550</v>
      </c>
      <c r="C1010">
        <v>6216</v>
      </c>
      <c r="D1010">
        <v>1</v>
      </c>
      <c r="E1010">
        <v>1099</v>
      </c>
      <c r="F1010" t="s">
        <v>878</v>
      </c>
      <c r="G1010" t="s">
        <v>879</v>
      </c>
      <c r="H1010">
        <v>766</v>
      </c>
      <c r="I1010" t="s">
        <v>880</v>
      </c>
      <c r="J1010" t="s">
        <v>881</v>
      </c>
      <c r="K1010" t="s">
        <v>49</v>
      </c>
      <c r="L1010">
        <v>230</v>
      </c>
      <c r="M1010">
        <v>230</v>
      </c>
    </row>
    <row r="1011" spans="1:13" x14ac:dyDescent="0.25">
      <c r="A1011">
        <v>24</v>
      </c>
      <c r="B1011">
        <v>5103550</v>
      </c>
      <c r="C1011">
        <v>6217</v>
      </c>
      <c r="D1011">
        <v>1</v>
      </c>
      <c r="E1011">
        <v>1099</v>
      </c>
      <c r="F1011" t="s">
        <v>878</v>
      </c>
      <c r="G1011" t="s">
        <v>879</v>
      </c>
      <c r="H1011">
        <v>766</v>
      </c>
      <c r="I1011" t="s">
        <v>880</v>
      </c>
      <c r="J1011" t="s">
        <v>881</v>
      </c>
      <c r="K1011" t="s">
        <v>49</v>
      </c>
      <c r="L1011">
        <v>270</v>
      </c>
      <c r="M1011">
        <v>270</v>
      </c>
    </row>
    <row r="1012" spans="1:13" x14ac:dyDescent="0.25">
      <c r="A1012">
        <v>24</v>
      </c>
      <c r="B1012">
        <v>5103550</v>
      </c>
      <c r="C1012">
        <v>6217</v>
      </c>
      <c r="D1012">
        <v>2</v>
      </c>
      <c r="E1012">
        <v>862</v>
      </c>
      <c r="F1012" t="s">
        <v>816</v>
      </c>
      <c r="G1012" t="s">
        <v>817</v>
      </c>
      <c r="H1012">
        <v>862</v>
      </c>
      <c r="I1012" t="s">
        <v>816</v>
      </c>
      <c r="J1012" t="s">
        <v>817</v>
      </c>
      <c r="K1012" t="s">
        <v>49</v>
      </c>
      <c r="L1012">
        <v>20</v>
      </c>
      <c r="M1012">
        <v>0</v>
      </c>
    </row>
    <row r="1013" spans="1:13" x14ac:dyDescent="0.25">
      <c r="A1013">
        <v>24</v>
      </c>
      <c r="B1013">
        <v>5103550</v>
      </c>
      <c r="C1013">
        <v>6218</v>
      </c>
      <c r="D1013">
        <v>1</v>
      </c>
      <c r="E1013">
        <v>862</v>
      </c>
      <c r="F1013" t="s">
        <v>816</v>
      </c>
      <c r="G1013" t="s">
        <v>817</v>
      </c>
      <c r="H1013">
        <v>862</v>
      </c>
      <c r="I1013" t="s">
        <v>816</v>
      </c>
      <c r="J1013" t="s">
        <v>817</v>
      </c>
      <c r="K1013" t="s">
        <v>49</v>
      </c>
      <c r="L1013">
        <v>250</v>
      </c>
      <c r="M1013">
        <v>250</v>
      </c>
    </row>
    <row r="1014" spans="1:13" x14ac:dyDescent="0.25">
      <c r="A1014">
        <v>8</v>
      </c>
      <c r="B1014">
        <v>4450422391</v>
      </c>
      <c r="C1014">
        <v>6219</v>
      </c>
      <c r="D1014">
        <v>1</v>
      </c>
      <c r="E1014">
        <v>865</v>
      </c>
      <c r="F1014" t="s">
        <v>218</v>
      </c>
      <c r="G1014" t="s">
        <v>219</v>
      </c>
      <c r="H1014">
        <v>405</v>
      </c>
      <c r="I1014" t="s">
        <v>82</v>
      </c>
      <c r="J1014" t="s">
        <v>83</v>
      </c>
      <c r="K1014" t="s">
        <v>172</v>
      </c>
      <c r="L1014">
        <v>56</v>
      </c>
      <c r="M1014">
        <v>56</v>
      </c>
    </row>
    <row r="1015" spans="1:13" x14ac:dyDescent="0.25">
      <c r="A1015">
        <v>8</v>
      </c>
      <c r="B1015">
        <v>4450422391</v>
      </c>
      <c r="C1015">
        <v>6219</v>
      </c>
      <c r="D1015">
        <v>2</v>
      </c>
      <c r="E1015">
        <v>1094</v>
      </c>
      <c r="F1015" t="s">
        <v>876</v>
      </c>
      <c r="G1015" t="s">
        <v>877</v>
      </c>
      <c r="H1015">
        <v>281</v>
      </c>
      <c r="I1015" t="s">
        <v>538</v>
      </c>
      <c r="J1015" t="s">
        <v>539</v>
      </c>
      <c r="K1015" t="s">
        <v>540</v>
      </c>
      <c r="L1015">
        <v>59</v>
      </c>
      <c r="M1015">
        <v>59</v>
      </c>
    </row>
    <row r="1016" spans="1:13" x14ac:dyDescent="0.25">
      <c r="A1016">
        <v>8</v>
      </c>
      <c r="B1016">
        <v>4450422391</v>
      </c>
      <c r="C1016">
        <v>6219</v>
      </c>
      <c r="D1016">
        <v>3</v>
      </c>
      <c r="E1016">
        <v>896</v>
      </c>
      <c r="F1016" t="s">
        <v>541</v>
      </c>
      <c r="G1016" t="s">
        <v>542</v>
      </c>
      <c r="H1016">
        <v>653</v>
      </c>
      <c r="I1016" t="s">
        <v>110</v>
      </c>
      <c r="J1016" t="s">
        <v>111</v>
      </c>
      <c r="K1016" t="s">
        <v>173</v>
      </c>
      <c r="L1016">
        <v>103</v>
      </c>
      <c r="M1016">
        <v>103</v>
      </c>
    </row>
    <row r="1017" spans="1:13" x14ac:dyDescent="0.25">
      <c r="A1017">
        <v>8</v>
      </c>
      <c r="B1017">
        <v>4450422391</v>
      </c>
      <c r="C1017">
        <v>6219</v>
      </c>
      <c r="D1017">
        <v>4</v>
      </c>
      <c r="E1017">
        <v>655</v>
      </c>
      <c r="F1017" t="s">
        <v>384</v>
      </c>
      <c r="G1017" t="s">
        <v>385</v>
      </c>
      <c r="H1017">
        <v>655</v>
      </c>
      <c r="I1017" t="s">
        <v>384</v>
      </c>
      <c r="J1017" t="s">
        <v>385</v>
      </c>
      <c r="K1017" t="s">
        <v>386</v>
      </c>
      <c r="L1017">
        <v>36</v>
      </c>
      <c r="M1017">
        <v>32</v>
      </c>
    </row>
    <row r="1018" spans="1:13" x14ac:dyDescent="0.25">
      <c r="A1018">
        <v>8</v>
      </c>
      <c r="B1018">
        <v>4450422391</v>
      </c>
      <c r="C1018">
        <v>6219</v>
      </c>
      <c r="D1018">
        <v>5</v>
      </c>
      <c r="E1018">
        <v>809</v>
      </c>
      <c r="F1018" t="s">
        <v>128</v>
      </c>
      <c r="G1018" t="s">
        <v>129</v>
      </c>
      <c r="H1018">
        <v>809</v>
      </c>
      <c r="I1018" t="s">
        <v>128</v>
      </c>
      <c r="J1018" t="s">
        <v>129</v>
      </c>
      <c r="K1018" t="s">
        <v>174</v>
      </c>
      <c r="L1018">
        <v>40</v>
      </c>
      <c r="M1018">
        <v>40</v>
      </c>
    </row>
    <row r="1019" spans="1:13" x14ac:dyDescent="0.25">
      <c r="A1019">
        <v>3</v>
      </c>
      <c r="B1019">
        <v>50052132</v>
      </c>
      <c r="C1019">
        <v>6221</v>
      </c>
      <c r="D1019">
        <v>4</v>
      </c>
      <c r="E1019">
        <v>409</v>
      </c>
      <c r="F1019" t="s">
        <v>84</v>
      </c>
      <c r="G1019" t="s">
        <v>85</v>
      </c>
      <c r="H1019">
        <v>409</v>
      </c>
      <c r="I1019" t="s">
        <v>84</v>
      </c>
      <c r="J1019" t="s">
        <v>85</v>
      </c>
      <c r="K1019" t="s">
        <v>1324</v>
      </c>
      <c r="L1019">
        <v>1</v>
      </c>
      <c r="M1019">
        <v>1</v>
      </c>
    </row>
    <row r="1020" spans="1:13" x14ac:dyDescent="0.25">
      <c r="A1020">
        <v>3</v>
      </c>
      <c r="B1020">
        <v>50052132</v>
      </c>
      <c r="C1020">
        <v>6221</v>
      </c>
      <c r="D1020">
        <v>5</v>
      </c>
      <c r="E1020">
        <v>970</v>
      </c>
      <c r="F1020" t="s">
        <v>436</v>
      </c>
      <c r="G1020" t="s">
        <v>437</v>
      </c>
      <c r="H1020">
        <v>506</v>
      </c>
      <c r="I1020" t="s">
        <v>92</v>
      </c>
      <c r="J1020" t="s">
        <v>93</v>
      </c>
      <c r="K1020" t="s">
        <v>1325</v>
      </c>
      <c r="L1020">
        <v>1</v>
      </c>
      <c r="M1020">
        <v>1</v>
      </c>
    </row>
    <row r="1021" spans="1:13" x14ac:dyDescent="0.25">
      <c r="A1021">
        <v>3</v>
      </c>
      <c r="B1021">
        <v>50052132</v>
      </c>
      <c r="C1021">
        <v>6221</v>
      </c>
      <c r="D1021">
        <v>6</v>
      </c>
      <c r="E1021">
        <v>970</v>
      </c>
      <c r="F1021" t="s">
        <v>436</v>
      </c>
      <c r="G1021" t="s">
        <v>437</v>
      </c>
      <c r="H1021">
        <v>506</v>
      </c>
      <c r="I1021" t="s">
        <v>92</v>
      </c>
      <c r="J1021" t="s">
        <v>93</v>
      </c>
      <c r="K1021" t="s">
        <v>1326</v>
      </c>
      <c r="L1021">
        <v>1</v>
      </c>
      <c r="M1021">
        <v>1</v>
      </c>
    </row>
    <row r="1022" spans="1:13" x14ac:dyDescent="0.25">
      <c r="A1022">
        <v>24</v>
      </c>
      <c r="B1022">
        <v>5105054</v>
      </c>
      <c r="C1022">
        <v>6272</v>
      </c>
      <c r="D1022">
        <v>1</v>
      </c>
      <c r="E1022">
        <v>862</v>
      </c>
      <c r="F1022" t="s">
        <v>816</v>
      </c>
      <c r="G1022" t="s">
        <v>817</v>
      </c>
      <c r="H1022">
        <v>862</v>
      </c>
      <c r="I1022" t="s">
        <v>816</v>
      </c>
      <c r="J1022" t="s">
        <v>817</v>
      </c>
      <c r="K1022" t="s">
        <v>49</v>
      </c>
      <c r="L1022">
        <v>350</v>
      </c>
      <c r="M1022">
        <v>350</v>
      </c>
    </row>
    <row r="1023" spans="1:13" x14ac:dyDescent="0.25">
      <c r="A1023">
        <v>24</v>
      </c>
      <c r="B1023">
        <v>5105054</v>
      </c>
      <c r="C1023">
        <v>6272</v>
      </c>
      <c r="D1023">
        <v>2</v>
      </c>
      <c r="E1023">
        <v>892</v>
      </c>
      <c r="F1023" t="s">
        <v>142</v>
      </c>
      <c r="G1023" t="s">
        <v>143</v>
      </c>
      <c r="H1023">
        <v>892</v>
      </c>
      <c r="I1023" t="s">
        <v>142</v>
      </c>
      <c r="J1023" t="s">
        <v>143</v>
      </c>
      <c r="K1023" t="s">
        <v>49</v>
      </c>
      <c r="L1023">
        <v>100</v>
      </c>
      <c r="M1023">
        <v>100</v>
      </c>
    </row>
    <row r="1024" spans="1:13" x14ac:dyDescent="0.25">
      <c r="A1024">
        <v>24</v>
      </c>
      <c r="B1024">
        <v>5105054</v>
      </c>
      <c r="C1024">
        <v>6273</v>
      </c>
      <c r="D1024">
        <v>1</v>
      </c>
      <c r="E1024">
        <v>863</v>
      </c>
      <c r="F1024" t="s">
        <v>1327</v>
      </c>
      <c r="G1024" t="s">
        <v>1328</v>
      </c>
      <c r="H1024">
        <v>863</v>
      </c>
      <c r="I1024" t="s">
        <v>1327</v>
      </c>
      <c r="J1024" t="s">
        <v>1328</v>
      </c>
      <c r="K1024" t="s">
        <v>49</v>
      </c>
      <c r="L1024">
        <v>150</v>
      </c>
      <c r="M1024">
        <v>150</v>
      </c>
    </row>
    <row r="1025" spans="1:13" x14ac:dyDescent="0.25">
      <c r="A1025">
        <v>24</v>
      </c>
      <c r="B1025">
        <v>5105054</v>
      </c>
      <c r="C1025">
        <v>6274</v>
      </c>
      <c r="D1025">
        <v>1</v>
      </c>
      <c r="E1025">
        <v>863</v>
      </c>
      <c r="F1025" t="s">
        <v>1327</v>
      </c>
      <c r="G1025" t="s">
        <v>1328</v>
      </c>
      <c r="H1025">
        <v>863</v>
      </c>
      <c r="I1025" t="s">
        <v>1327</v>
      </c>
      <c r="J1025" t="s">
        <v>1328</v>
      </c>
      <c r="K1025" t="s">
        <v>49</v>
      </c>
      <c r="L1025">
        <v>150</v>
      </c>
      <c r="M1025">
        <v>100</v>
      </c>
    </row>
    <row r="1026" spans="1:13" x14ac:dyDescent="0.25">
      <c r="A1026">
        <v>9</v>
      </c>
      <c r="B1026">
        <v>9175816</v>
      </c>
      <c r="C1026">
        <v>5666</v>
      </c>
      <c r="D1026">
        <v>1</v>
      </c>
      <c r="E1026">
        <v>701</v>
      </c>
      <c r="F1026" t="s">
        <v>446</v>
      </c>
      <c r="G1026" t="s">
        <v>447</v>
      </c>
      <c r="H1026">
        <v>701</v>
      </c>
      <c r="I1026" t="s">
        <v>446</v>
      </c>
      <c r="J1026" t="s">
        <v>447</v>
      </c>
      <c r="K1026" t="s">
        <v>49</v>
      </c>
      <c r="L1026">
        <v>1</v>
      </c>
      <c r="M1026">
        <v>1</v>
      </c>
    </row>
    <row r="1027" spans="1:13" x14ac:dyDescent="0.25">
      <c r="A1027">
        <v>9</v>
      </c>
      <c r="B1027">
        <v>9176737</v>
      </c>
      <c r="C1027">
        <v>5682</v>
      </c>
      <c r="D1027">
        <v>1</v>
      </c>
      <c r="E1027">
        <v>678</v>
      </c>
      <c r="F1027" t="s">
        <v>1329</v>
      </c>
      <c r="G1027" t="s">
        <v>1330</v>
      </c>
      <c r="H1027">
        <v>678</v>
      </c>
      <c r="I1027" t="s">
        <v>1329</v>
      </c>
      <c r="J1027" t="s">
        <v>1330</v>
      </c>
      <c r="K1027" t="s">
        <v>49</v>
      </c>
      <c r="L1027">
        <v>1</v>
      </c>
      <c r="M1027">
        <v>1</v>
      </c>
    </row>
    <row r="1028" spans="1:13" x14ac:dyDescent="0.25">
      <c r="A1028">
        <v>8</v>
      </c>
      <c r="B1028">
        <v>4450422397</v>
      </c>
      <c r="C1028">
        <v>6275</v>
      </c>
      <c r="D1028">
        <v>1</v>
      </c>
      <c r="E1028">
        <v>1094</v>
      </c>
      <c r="F1028" t="s">
        <v>876</v>
      </c>
      <c r="G1028" t="s">
        <v>877</v>
      </c>
      <c r="H1028">
        <v>655</v>
      </c>
      <c r="I1028" t="s">
        <v>384</v>
      </c>
      <c r="J1028" t="s">
        <v>385</v>
      </c>
      <c r="K1028" t="s">
        <v>386</v>
      </c>
      <c r="L1028">
        <v>2</v>
      </c>
      <c r="M1028">
        <v>2</v>
      </c>
    </row>
    <row r="1029" spans="1:13" x14ac:dyDescent="0.25">
      <c r="A1029">
        <v>4</v>
      </c>
      <c r="B1029">
        <v>9680826</v>
      </c>
      <c r="C1029">
        <v>6276</v>
      </c>
      <c r="D1029">
        <v>3</v>
      </c>
      <c r="E1029">
        <v>347</v>
      </c>
      <c r="F1029" t="s">
        <v>70</v>
      </c>
      <c r="G1029" t="s">
        <v>71</v>
      </c>
      <c r="H1029">
        <v>347</v>
      </c>
      <c r="I1029" t="s">
        <v>70</v>
      </c>
      <c r="J1029" t="s">
        <v>71</v>
      </c>
      <c r="K1029" t="s">
        <v>1331</v>
      </c>
      <c r="L1029">
        <v>1</v>
      </c>
      <c r="M1029">
        <v>1</v>
      </c>
    </row>
    <row r="1030" spans="1:13" x14ac:dyDescent="0.25">
      <c r="A1030">
        <v>4</v>
      </c>
      <c r="B1030">
        <v>9680277</v>
      </c>
      <c r="C1030">
        <v>6276</v>
      </c>
      <c r="D1030">
        <v>1</v>
      </c>
      <c r="E1030">
        <v>970</v>
      </c>
      <c r="F1030" t="s">
        <v>436</v>
      </c>
      <c r="G1030" t="s">
        <v>437</v>
      </c>
      <c r="H1030">
        <v>506</v>
      </c>
      <c r="I1030" t="s">
        <v>92</v>
      </c>
      <c r="J1030" t="s">
        <v>93</v>
      </c>
      <c r="K1030" t="s">
        <v>1332</v>
      </c>
      <c r="L1030">
        <v>1</v>
      </c>
      <c r="M1030">
        <v>1</v>
      </c>
    </row>
    <row r="1031" spans="1:13" x14ac:dyDescent="0.25">
      <c r="A1031">
        <v>4</v>
      </c>
      <c r="B1031">
        <v>9680277</v>
      </c>
      <c r="C1031">
        <v>6276</v>
      </c>
      <c r="D1031">
        <v>2</v>
      </c>
      <c r="E1031">
        <v>713</v>
      </c>
      <c r="F1031" t="s">
        <v>860</v>
      </c>
      <c r="G1031" t="s">
        <v>861</v>
      </c>
      <c r="H1031">
        <v>713</v>
      </c>
      <c r="I1031" t="s">
        <v>860</v>
      </c>
      <c r="J1031" t="s">
        <v>861</v>
      </c>
      <c r="K1031" t="s">
        <v>1332</v>
      </c>
      <c r="L1031">
        <v>1</v>
      </c>
      <c r="M1031">
        <v>1</v>
      </c>
    </row>
    <row r="1032" spans="1:13" x14ac:dyDescent="0.25">
      <c r="A1032">
        <v>4</v>
      </c>
      <c r="B1032">
        <v>9681009</v>
      </c>
      <c r="C1032">
        <v>6277</v>
      </c>
      <c r="D1032">
        <v>1</v>
      </c>
      <c r="E1032">
        <v>712</v>
      </c>
      <c r="F1032" t="s">
        <v>308</v>
      </c>
      <c r="G1032" t="s">
        <v>309</v>
      </c>
      <c r="H1032">
        <v>712</v>
      </c>
      <c r="I1032" t="s">
        <v>308</v>
      </c>
      <c r="J1032" t="s">
        <v>309</v>
      </c>
      <c r="K1032" t="s">
        <v>1333</v>
      </c>
      <c r="L1032">
        <v>1</v>
      </c>
      <c r="M1032">
        <v>1</v>
      </c>
    </row>
    <row r="1033" spans="1:13" x14ac:dyDescent="0.25">
      <c r="A1033">
        <v>8</v>
      </c>
      <c r="B1033">
        <v>9450545672</v>
      </c>
      <c r="C1033">
        <v>6278</v>
      </c>
      <c r="D1033">
        <v>2</v>
      </c>
      <c r="E1033">
        <v>403</v>
      </c>
      <c r="F1033" t="s">
        <v>78</v>
      </c>
      <c r="G1033" t="s">
        <v>79</v>
      </c>
      <c r="H1033">
        <v>403</v>
      </c>
      <c r="I1033" t="s">
        <v>78</v>
      </c>
      <c r="J1033" t="s">
        <v>79</v>
      </c>
      <c r="K1033" t="s">
        <v>584</v>
      </c>
      <c r="L1033">
        <v>1</v>
      </c>
      <c r="M1033">
        <v>1</v>
      </c>
    </row>
    <row r="1034" spans="1:13" x14ac:dyDescent="0.25">
      <c r="A1034">
        <v>8</v>
      </c>
      <c r="B1034">
        <v>9450545673</v>
      </c>
      <c r="C1034">
        <v>6278</v>
      </c>
      <c r="D1034">
        <v>1</v>
      </c>
      <c r="E1034">
        <v>404</v>
      </c>
      <c r="F1034" t="s">
        <v>80</v>
      </c>
      <c r="G1034" t="s">
        <v>81</v>
      </c>
      <c r="H1034">
        <v>404</v>
      </c>
      <c r="I1034" t="s">
        <v>80</v>
      </c>
      <c r="J1034" t="s">
        <v>81</v>
      </c>
      <c r="K1034" t="s">
        <v>833</v>
      </c>
      <c r="L1034">
        <v>1</v>
      </c>
      <c r="M1034">
        <v>1</v>
      </c>
    </row>
    <row r="1035" spans="1:13" x14ac:dyDescent="0.25">
      <c r="A1035">
        <v>6</v>
      </c>
      <c r="B1035">
        <v>965995</v>
      </c>
      <c r="C1035">
        <v>6279</v>
      </c>
      <c r="D1035">
        <v>3</v>
      </c>
      <c r="E1035">
        <v>965</v>
      </c>
      <c r="F1035" t="s">
        <v>363</v>
      </c>
      <c r="G1035" t="s">
        <v>364</v>
      </c>
      <c r="H1035">
        <v>965</v>
      </c>
      <c r="I1035" t="s">
        <v>363</v>
      </c>
      <c r="J1035" t="s">
        <v>364</v>
      </c>
      <c r="K1035" t="s">
        <v>1334</v>
      </c>
      <c r="L1035">
        <v>1</v>
      </c>
      <c r="M1035">
        <v>1</v>
      </c>
    </row>
    <row r="1036" spans="1:13" x14ac:dyDescent="0.25">
      <c r="A1036">
        <v>6</v>
      </c>
      <c r="B1036">
        <v>966076</v>
      </c>
      <c r="C1036">
        <v>6279</v>
      </c>
      <c r="D1036">
        <v>4</v>
      </c>
      <c r="E1036">
        <v>966</v>
      </c>
      <c r="F1036" t="s">
        <v>349</v>
      </c>
      <c r="G1036" t="s">
        <v>350</v>
      </c>
      <c r="H1036">
        <v>966</v>
      </c>
      <c r="I1036" t="s">
        <v>349</v>
      </c>
      <c r="J1036" t="s">
        <v>350</v>
      </c>
      <c r="K1036" t="s">
        <v>1335</v>
      </c>
      <c r="L1036">
        <v>1</v>
      </c>
      <c r="M1036">
        <v>1</v>
      </c>
    </row>
    <row r="1037" spans="1:13" x14ac:dyDescent="0.25">
      <c r="A1037">
        <v>6</v>
      </c>
      <c r="B1037">
        <v>966290</v>
      </c>
      <c r="C1037">
        <v>6279</v>
      </c>
      <c r="D1037">
        <v>5</v>
      </c>
      <c r="E1037">
        <v>13</v>
      </c>
      <c r="F1037" t="s">
        <v>62</v>
      </c>
      <c r="G1037" t="s">
        <v>63</v>
      </c>
      <c r="H1037">
        <v>13</v>
      </c>
      <c r="I1037" t="s">
        <v>62</v>
      </c>
      <c r="J1037" t="s">
        <v>63</v>
      </c>
      <c r="K1037" t="s">
        <v>1336</v>
      </c>
      <c r="L1037">
        <v>1</v>
      </c>
      <c r="M1037">
        <v>1</v>
      </c>
    </row>
    <row r="1038" spans="1:13" x14ac:dyDescent="0.25">
      <c r="A1038">
        <v>6</v>
      </c>
      <c r="B1038">
        <v>966452</v>
      </c>
      <c r="C1038">
        <v>6279</v>
      </c>
      <c r="D1038">
        <v>6</v>
      </c>
      <c r="E1038">
        <v>712</v>
      </c>
      <c r="F1038" t="s">
        <v>308</v>
      </c>
      <c r="G1038" t="s">
        <v>309</v>
      </c>
      <c r="H1038">
        <v>712</v>
      </c>
      <c r="I1038" t="s">
        <v>308</v>
      </c>
      <c r="J1038" t="s">
        <v>309</v>
      </c>
      <c r="K1038" t="s">
        <v>1337</v>
      </c>
      <c r="L1038">
        <v>1</v>
      </c>
      <c r="M1038">
        <v>1</v>
      </c>
    </row>
    <row r="1039" spans="1:13" x14ac:dyDescent="0.25">
      <c r="A1039">
        <v>6</v>
      </c>
      <c r="B1039">
        <v>965568</v>
      </c>
      <c r="C1039">
        <v>6279</v>
      </c>
      <c r="D1039">
        <v>7</v>
      </c>
      <c r="E1039">
        <v>850</v>
      </c>
      <c r="F1039" t="s">
        <v>910</v>
      </c>
      <c r="G1039" t="s">
        <v>911</v>
      </c>
      <c r="H1039">
        <v>850</v>
      </c>
      <c r="I1039" t="s">
        <v>910</v>
      </c>
      <c r="J1039" t="s">
        <v>911</v>
      </c>
      <c r="K1039" t="s">
        <v>1338</v>
      </c>
      <c r="L1039">
        <v>1</v>
      </c>
      <c r="M1039">
        <v>1</v>
      </c>
    </row>
    <row r="1040" spans="1:13" x14ac:dyDescent="0.25">
      <c r="A1040">
        <v>6</v>
      </c>
      <c r="B1040">
        <v>965729</v>
      </c>
      <c r="C1040">
        <v>6279</v>
      </c>
      <c r="D1040">
        <v>8</v>
      </c>
      <c r="E1040">
        <v>842</v>
      </c>
      <c r="F1040" t="s">
        <v>366</v>
      </c>
      <c r="G1040" t="s">
        <v>367</v>
      </c>
      <c r="H1040">
        <v>842</v>
      </c>
      <c r="I1040" t="s">
        <v>366</v>
      </c>
      <c r="J1040" t="s">
        <v>367</v>
      </c>
      <c r="K1040" t="s">
        <v>1339</v>
      </c>
      <c r="L1040">
        <v>1</v>
      </c>
      <c r="M1040">
        <v>1</v>
      </c>
    </row>
    <row r="1041" spans="1:13" x14ac:dyDescent="0.25">
      <c r="A1041">
        <v>6</v>
      </c>
      <c r="B1041">
        <v>965735</v>
      </c>
      <c r="C1041">
        <v>6279</v>
      </c>
      <c r="D1041">
        <v>1</v>
      </c>
      <c r="E1041">
        <v>404</v>
      </c>
      <c r="F1041" t="s">
        <v>80</v>
      </c>
      <c r="G1041" t="s">
        <v>81</v>
      </c>
      <c r="H1041">
        <v>404</v>
      </c>
      <c r="I1041" t="s">
        <v>80</v>
      </c>
      <c r="J1041" t="s">
        <v>81</v>
      </c>
      <c r="K1041" t="s">
        <v>1340</v>
      </c>
      <c r="L1041">
        <v>1</v>
      </c>
      <c r="M1041">
        <v>1</v>
      </c>
    </row>
    <row r="1042" spans="1:13" x14ac:dyDescent="0.25">
      <c r="A1042">
        <v>6</v>
      </c>
      <c r="B1042">
        <v>965757</v>
      </c>
      <c r="C1042">
        <v>6279</v>
      </c>
      <c r="D1042">
        <v>9</v>
      </c>
      <c r="E1042">
        <v>706</v>
      </c>
      <c r="F1042" t="s">
        <v>1116</v>
      </c>
      <c r="G1042" t="s">
        <v>1117</v>
      </c>
      <c r="H1042">
        <v>706</v>
      </c>
      <c r="I1042" t="s">
        <v>1116</v>
      </c>
      <c r="J1042" t="s">
        <v>1117</v>
      </c>
      <c r="K1042" t="s">
        <v>1341</v>
      </c>
      <c r="L1042">
        <v>1</v>
      </c>
      <c r="M1042">
        <v>1</v>
      </c>
    </row>
    <row r="1043" spans="1:13" x14ac:dyDescent="0.25">
      <c r="A1043">
        <v>6</v>
      </c>
      <c r="B1043">
        <v>965758</v>
      </c>
      <c r="C1043">
        <v>6279</v>
      </c>
      <c r="D1043">
        <v>10</v>
      </c>
      <c r="E1043">
        <v>818</v>
      </c>
      <c r="F1043" t="s">
        <v>130</v>
      </c>
      <c r="G1043" t="s">
        <v>131</v>
      </c>
      <c r="H1043">
        <v>818</v>
      </c>
      <c r="I1043" t="s">
        <v>130</v>
      </c>
      <c r="J1043" t="s">
        <v>131</v>
      </c>
      <c r="K1043" t="s">
        <v>1342</v>
      </c>
      <c r="L1043">
        <v>1</v>
      </c>
      <c r="M1043">
        <v>1</v>
      </c>
    </row>
    <row r="1044" spans="1:13" x14ac:dyDescent="0.25">
      <c r="A1044">
        <v>6</v>
      </c>
      <c r="B1044">
        <v>965962</v>
      </c>
      <c r="C1044">
        <v>6279</v>
      </c>
      <c r="D1044">
        <v>2</v>
      </c>
      <c r="E1044">
        <v>400</v>
      </c>
      <c r="F1044" t="s">
        <v>74</v>
      </c>
      <c r="G1044" t="s">
        <v>75</v>
      </c>
      <c r="H1044">
        <v>400</v>
      </c>
      <c r="I1044" t="s">
        <v>74</v>
      </c>
      <c r="J1044" t="s">
        <v>75</v>
      </c>
      <c r="K1044" t="s">
        <v>1343</v>
      </c>
      <c r="L1044">
        <v>1</v>
      </c>
      <c r="M1044">
        <v>1</v>
      </c>
    </row>
    <row r="1045" spans="1:13" x14ac:dyDescent="0.25">
      <c r="A1045">
        <v>9</v>
      </c>
      <c r="B1045">
        <v>9202661</v>
      </c>
      <c r="C1045">
        <v>6280</v>
      </c>
      <c r="D1045">
        <v>1</v>
      </c>
      <c r="E1045">
        <v>705</v>
      </c>
      <c r="F1045" t="s">
        <v>338</v>
      </c>
      <c r="G1045" t="s">
        <v>339</v>
      </c>
      <c r="H1045">
        <v>705</v>
      </c>
      <c r="I1045" t="s">
        <v>338</v>
      </c>
      <c r="J1045" t="s">
        <v>339</v>
      </c>
      <c r="K1045" t="s">
        <v>1344</v>
      </c>
      <c r="L1045">
        <v>1</v>
      </c>
      <c r="M1045">
        <v>1</v>
      </c>
    </row>
    <row r="1046" spans="1:13" x14ac:dyDescent="0.25">
      <c r="A1046">
        <v>9</v>
      </c>
      <c r="B1046">
        <v>9202694</v>
      </c>
      <c r="C1046">
        <v>6281</v>
      </c>
      <c r="D1046">
        <v>1</v>
      </c>
      <c r="E1046">
        <v>632</v>
      </c>
      <c r="F1046" t="s">
        <v>102</v>
      </c>
      <c r="G1046" t="s">
        <v>103</v>
      </c>
      <c r="H1046">
        <v>632</v>
      </c>
      <c r="I1046" t="s">
        <v>102</v>
      </c>
      <c r="J1046" t="s">
        <v>103</v>
      </c>
      <c r="K1046" t="s">
        <v>1345</v>
      </c>
      <c r="L1046">
        <v>1</v>
      </c>
      <c r="M1046">
        <v>1</v>
      </c>
    </row>
    <row r="1047" spans="1:13" x14ac:dyDescent="0.25">
      <c r="A1047">
        <v>9</v>
      </c>
      <c r="B1047">
        <v>9202990</v>
      </c>
      <c r="C1047">
        <v>6282</v>
      </c>
      <c r="D1047">
        <v>1</v>
      </c>
      <c r="E1047">
        <v>401</v>
      </c>
      <c r="F1047" t="s">
        <v>76</v>
      </c>
      <c r="G1047" t="s">
        <v>77</v>
      </c>
      <c r="H1047">
        <v>401</v>
      </c>
      <c r="I1047" t="s">
        <v>76</v>
      </c>
      <c r="J1047" t="s">
        <v>77</v>
      </c>
      <c r="K1047" t="s">
        <v>1346</v>
      </c>
      <c r="L1047">
        <v>1</v>
      </c>
      <c r="M1047">
        <v>1</v>
      </c>
    </row>
    <row r="1048" spans="1:13" x14ac:dyDescent="0.25">
      <c r="A1048">
        <v>9</v>
      </c>
      <c r="B1048">
        <v>9203034</v>
      </c>
      <c r="C1048">
        <v>6282</v>
      </c>
      <c r="D1048">
        <v>2</v>
      </c>
      <c r="E1048">
        <v>639</v>
      </c>
      <c r="F1048" t="s">
        <v>106</v>
      </c>
      <c r="G1048" t="s">
        <v>107</v>
      </c>
      <c r="H1048">
        <v>639</v>
      </c>
      <c r="I1048" t="s">
        <v>106</v>
      </c>
      <c r="J1048" t="s">
        <v>107</v>
      </c>
      <c r="K1048" t="s">
        <v>1347</v>
      </c>
      <c r="L1048">
        <v>1</v>
      </c>
      <c r="M1048">
        <v>1</v>
      </c>
    </row>
    <row r="1049" spans="1:13" x14ac:dyDescent="0.25">
      <c r="A1049">
        <v>9</v>
      </c>
      <c r="B1049">
        <v>9203107</v>
      </c>
      <c r="C1049">
        <v>6282</v>
      </c>
      <c r="D1049">
        <v>3</v>
      </c>
      <c r="E1049">
        <v>404</v>
      </c>
      <c r="F1049" t="s">
        <v>80</v>
      </c>
      <c r="G1049" t="s">
        <v>81</v>
      </c>
      <c r="H1049">
        <v>404</v>
      </c>
      <c r="I1049" t="s">
        <v>80</v>
      </c>
      <c r="J1049" t="s">
        <v>81</v>
      </c>
      <c r="K1049" t="s">
        <v>1348</v>
      </c>
      <c r="L1049">
        <v>1</v>
      </c>
      <c r="M1049">
        <v>1</v>
      </c>
    </row>
    <row r="1050" spans="1:13" x14ac:dyDescent="0.25">
      <c r="A1050">
        <v>1</v>
      </c>
      <c r="B1050">
        <v>8693049</v>
      </c>
      <c r="C1050">
        <v>6283</v>
      </c>
      <c r="D1050">
        <v>1</v>
      </c>
      <c r="E1050">
        <v>878</v>
      </c>
      <c r="F1050" t="s">
        <v>216</v>
      </c>
      <c r="G1050" t="s">
        <v>217</v>
      </c>
      <c r="H1050">
        <v>362</v>
      </c>
      <c r="I1050" t="s">
        <v>72</v>
      </c>
      <c r="J1050" t="s">
        <v>73</v>
      </c>
      <c r="K1050" t="s">
        <v>152</v>
      </c>
      <c r="L1050">
        <v>8</v>
      </c>
      <c r="M1050">
        <v>8</v>
      </c>
    </row>
    <row r="1051" spans="1:13" x14ac:dyDescent="0.25">
      <c r="A1051">
        <v>1</v>
      </c>
      <c r="B1051">
        <v>8693049</v>
      </c>
      <c r="C1051">
        <v>6283</v>
      </c>
      <c r="D1051">
        <v>2</v>
      </c>
      <c r="E1051">
        <v>618</v>
      </c>
      <c r="F1051" t="s">
        <v>98</v>
      </c>
      <c r="G1051" t="s">
        <v>99</v>
      </c>
      <c r="H1051">
        <v>618</v>
      </c>
      <c r="I1051" t="s">
        <v>98</v>
      </c>
      <c r="J1051" t="s">
        <v>99</v>
      </c>
      <c r="K1051" t="s">
        <v>155</v>
      </c>
      <c r="L1051">
        <v>12</v>
      </c>
      <c r="M1051">
        <v>12</v>
      </c>
    </row>
    <row r="1052" spans="1:13" x14ac:dyDescent="0.25">
      <c r="A1052">
        <v>1</v>
      </c>
      <c r="B1052">
        <v>8693049</v>
      </c>
      <c r="C1052">
        <v>6283</v>
      </c>
      <c r="D1052">
        <v>3</v>
      </c>
      <c r="E1052">
        <v>620</v>
      </c>
      <c r="F1052" t="s">
        <v>100</v>
      </c>
      <c r="G1052" t="s">
        <v>101</v>
      </c>
      <c r="H1052">
        <v>620</v>
      </c>
      <c r="I1052" t="s">
        <v>100</v>
      </c>
      <c r="J1052" t="s">
        <v>101</v>
      </c>
      <c r="K1052" t="s">
        <v>156</v>
      </c>
      <c r="L1052">
        <v>6</v>
      </c>
      <c r="M1052">
        <v>6</v>
      </c>
    </row>
    <row r="1053" spans="1:13" x14ac:dyDescent="0.25">
      <c r="A1053">
        <v>1</v>
      </c>
      <c r="B1053">
        <v>8693049</v>
      </c>
      <c r="C1053">
        <v>6283</v>
      </c>
      <c r="D1053">
        <v>4</v>
      </c>
      <c r="E1053">
        <v>617</v>
      </c>
      <c r="F1053" t="s">
        <v>611</v>
      </c>
      <c r="G1053" t="s">
        <v>612</v>
      </c>
      <c r="H1053">
        <v>1103</v>
      </c>
      <c r="I1053" t="s">
        <v>157</v>
      </c>
      <c r="J1053" t="s">
        <v>158</v>
      </c>
      <c r="K1053" t="s">
        <v>153</v>
      </c>
      <c r="L1053">
        <v>6</v>
      </c>
      <c r="M1053">
        <v>6</v>
      </c>
    </row>
    <row r="1054" spans="1:13" x14ac:dyDescent="0.25">
      <c r="A1054">
        <v>1</v>
      </c>
      <c r="B1054">
        <v>8693049</v>
      </c>
      <c r="C1054">
        <v>6283</v>
      </c>
      <c r="D1054">
        <v>5</v>
      </c>
      <c r="E1054">
        <v>616</v>
      </c>
      <c r="F1054" t="s">
        <v>1114</v>
      </c>
      <c r="G1054" t="s">
        <v>1115</v>
      </c>
      <c r="H1054">
        <v>1100</v>
      </c>
      <c r="I1054" t="s">
        <v>148</v>
      </c>
      <c r="J1054" t="s">
        <v>149</v>
      </c>
      <c r="K1054" t="s">
        <v>154</v>
      </c>
      <c r="L1054">
        <v>6</v>
      </c>
      <c r="M1054">
        <v>6</v>
      </c>
    </row>
    <row r="1055" spans="1:13" x14ac:dyDescent="0.25">
      <c r="A1055">
        <v>9</v>
      </c>
      <c r="B1055">
        <v>9202693</v>
      </c>
      <c r="C1055">
        <v>6284</v>
      </c>
      <c r="D1055">
        <v>1</v>
      </c>
      <c r="E1055">
        <v>886</v>
      </c>
      <c r="F1055" t="s">
        <v>236</v>
      </c>
      <c r="G1055" t="s">
        <v>237</v>
      </c>
      <c r="H1055">
        <v>886</v>
      </c>
      <c r="I1055" t="s">
        <v>236</v>
      </c>
      <c r="J1055" t="s">
        <v>237</v>
      </c>
      <c r="K1055" t="s">
        <v>1349</v>
      </c>
      <c r="L1055">
        <v>1</v>
      </c>
      <c r="M1055">
        <v>1</v>
      </c>
    </row>
    <row r="1056" spans="1:13" x14ac:dyDescent="0.25">
      <c r="A1056">
        <v>9</v>
      </c>
      <c r="B1056">
        <v>9202764</v>
      </c>
      <c r="C1056">
        <v>6284</v>
      </c>
      <c r="D1056">
        <v>2</v>
      </c>
      <c r="E1056">
        <v>964</v>
      </c>
      <c r="F1056" t="s">
        <v>326</v>
      </c>
      <c r="G1056" t="s">
        <v>327</v>
      </c>
      <c r="H1056">
        <v>964</v>
      </c>
      <c r="I1056" t="s">
        <v>326</v>
      </c>
      <c r="J1056" t="s">
        <v>327</v>
      </c>
      <c r="K1056" t="s">
        <v>1350</v>
      </c>
      <c r="L1056">
        <v>1</v>
      </c>
      <c r="M1056">
        <v>1</v>
      </c>
    </row>
    <row r="1057" spans="1:13" x14ac:dyDescent="0.25">
      <c r="A1057">
        <v>5</v>
      </c>
      <c r="B1057">
        <v>6504048568</v>
      </c>
      <c r="C1057">
        <v>6285</v>
      </c>
      <c r="D1057">
        <v>1</v>
      </c>
      <c r="E1057">
        <v>180</v>
      </c>
      <c r="F1057" t="s">
        <v>68</v>
      </c>
      <c r="G1057" t="s">
        <v>69</v>
      </c>
      <c r="H1057">
        <v>180</v>
      </c>
      <c r="I1057" t="s">
        <v>68</v>
      </c>
      <c r="J1057" t="s">
        <v>69</v>
      </c>
      <c r="K1057" t="s">
        <v>49</v>
      </c>
      <c r="L1057">
        <v>1</v>
      </c>
      <c r="M1057">
        <v>1</v>
      </c>
    </row>
    <row r="1058" spans="1:13" x14ac:dyDescent="0.25">
      <c r="A1058">
        <v>24</v>
      </c>
      <c r="B1058">
        <v>5105461</v>
      </c>
      <c r="C1058">
        <v>6286</v>
      </c>
      <c r="D1058">
        <v>8</v>
      </c>
      <c r="E1058">
        <v>584</v>
      </c>
      <c r="F1058" t="s">
        <v>96</v>
      </c>
      <c r="G1058" t="s">
        <v>97</v>
      </c>
      <c r="H1058">
        <v>584</v>
      </c>
      <c r="I1058" t="s">
        <v>96</v>
      </c>
      <c r="J1058" t="s">
        <v>97</v>
      </c>
      <c r="K1058" t="s">
        <v>1351</v>
      </c>
      <c r="L1058">
        <v>1</v>
      </c>
      <c r="M1058">
        <v>1</v>
      </c>
    </row>
    <row r="1059" spans="1:13" x14ac:dyDescent="0.25">
      <c r="A1059">
        <v>24</v>
      </c>
      <c r="B1059">
        <v>5105468</v>
      </c>
      <c r="C1059">
        <v>6286</v>
      </c>
      <c r="D1059">
        <v>3</v>
      </c>
      <c r="E1059">
        <v>523</v>
      </c>
      <c r="F1059" t="s">
        <v>312</v>
      </c>
      <c r="G1059" t="s">
        <v>313</v>
      </c>
      <c r="H1059">
        <v>523</v>
      </c>
      <c r="I1059" t="s">
        <v>312</v>
      </c>
      <c r="J1059" t="s">
        <v>313</v>
      </c>
      <c r="K1059" t="s">
        <v>1352</v>
      </c>
      <c r="L1059">
        <v>1</v>
      </c>
      <c r="M1059">
        <v>1</v>
      </c>
    </row>
    <row r="1060" spans="1:13" x14ac:dyDescent="0.25">
      <c r="A1060">
        <v>9</v>
      </c>
      <c r="B1060">
        <v>9206802</v>
      </c>
      <c r="C1060">
        <v>6339</v>
      </c>
      <c r="D1060">
        <v>15</v>
      </c>
      <c r="E1060">
        <v>905</v>
      </c>
      <c r="F1060" t="s">
        <v>146</v>
      </c>
      <c r="G1060" t="s">
        <v>147</v>
      </c>
      <c r="H1060">
        <v>905</v>
      </c>
      <c r="I1060" t="s">
        <v>146</v>
      </c>
      <c r="J1060" t="s">
        <v>147</v>
      </c>
      <c r="K1060" t="s">
        <v>360</v>
      </c>
      <c r="L1060">
        <v>1</v>
      </c>
      <c r="M1060">
        <v>1</v>
      </c>
    </row>
    <row r="1061" spans="1:13" x14ac:dyDescent="0.25">
      <c r="A1061">
        <v>9</v>
      </c>
      <c r="B1061">
        <v>9205783</v>
      </c>
      <c r="C1061">
        <v>6339</v>
      </c>
      <c r="D1061">
        <v>4</v>
      </c>
      <c r="E1061">
        <v>639</v>
      </c>
      <c r="F1061" t="s">
        <v>106</v>
      </c>
      <c r="G1061" t="s">
        <v>107</v>
      </c>
      <c r="H1061">
        <v>639</v>
      </c>
      <c r="I1061" t="s">
        <v>106</v>
      </c>
      <c r="J1061" t="s">
        <v>107</v>
      </c>
      <c r="K1061" t="s">
        <v>1353</v>
      </c>
      <c r="L1061">
        <v>1</v>
      </c>
      <c r="M1061">
        <v>1</v>
      </c>
    </row>
    <row r="1062" spans="1:13" x14ac:dyDescent="0.25">
      <c r="A1062">
        <v>9</v>
      </c>
      <c r="B1062">
        <v>9205783</v>
      </c>
      <c r="C1062">
        <v>6339</v>
      </c>
      <c r="D1062">
        <v>5</v>
      </c>
      <c r="E1062">
        <v>639</v>
      </c>
      <c r="F1062" t="s">
        <v>106</v>
      </c>
      <c r="G1062" t="s">
        <v>107</v>
      </c>
      <c r="H1062">
        <v>639</v>
      </c>
      <c r="I1062" t="s">
        <v>106</v>
      </c>
      <c r="J1062" t="s">
        <v>107</v>
      </c>
      <c r="K1062" t="s">
        <v>1354</v>
      </c>
      <c r="L1062">
        <v>1</v>
      </c>
      <c r="M1062">
        <v>1</v>
      </c>
    </row>
    <row r="1063" spans="1:13" x14ac:dyDescent="0.25">
      <c r="A1063">
        <v>9</v>
      </c>
      <c r="B1063">
        <v>9205901</v>
      </c>
      <c r="C1063">
        <v>6339</v>
      </c>
      <c r="D1063">
        <v>6</v>
      </c>
      <c r="E1063">
        <v>474</v>
      </c>
      <c r="F1063" t="s">
        <v>86</v>
      </c>
      <c r="G1063" t="s">
        <v>87</v>
      </c>
      <c r="H1063">
        <v>474</v>
      </c>
      <c r="I1063" t="s">
        <v>86</v>
      </c>
      <c r="J1063" t="s">
        <v>87</v>
      </c>
      <c r="K1063" t="s">
        <v>1355</v>
      </c>
      <c r="L1063">
        <v>1</v>
      </c>
      <c r="M1063">
        <v>1</v>
      </c>
    </row>
    <row r="1064" spans="1:13" x14ac:dyDescent="0.25">
      <c r="A1064">
        <v>9</v>
      </c>
      <c r="B1064">
        <v>9205942</v>
      </c>
      <c r="C1064">
        <v>6339</v>
      </c>
      <c r="D1064">
        <v>7</v>
      </c>
      <c r="E1064">
        <v>639</v>
      </c>
      <c r="F1064" t="s">
        <v>106</v>
      </c>
      <c r="G1064" t="s">
        <v>107</v>
      </c>
      <c r="H1064">
        <v>639</v>
      </c>
      <c r="I1064" t="s">
        <v>106</v>
      </c>
      <c r="J1064" t="s">
        <v>107</v>
      </c>
      <c r="K1064" t="s">
        <v>1356</v>
      </c>
      <c r="L1064">
        <v>1</v>
      </c>
      <c r="M1064">
        <v>1</v>
      </c>
    </row>
    <row r="1065" spans="1:13" x14ac:dyDescent="0.25">
      <c r="A1065">
        <v>9</v>
      </c>
      <c r="B1065">
        <v>9206012</v>
      </c>
      <c r="C1065">
        <v>6339</v>
      </c>
      <c r="D1065">
        <v>8</v>
      </c>
      <c r="E1065">
        <v>584</v>
      </c>
      <c r="F1065" t="s">
        <v>96</v>
      </c>
      <c r="G1065" t="s">
        <v>97</v>
      </c>
      <c r="H1065">
        <v>584</v>
      </c>
      <c r="I1065" t="s">
        <v>96</v>
      </c>
      <c r="J1065" t="s">
        <v>97</v>
      </c>
      <c r="K1065" t="s">
        <v>1357</v>
      </c>
      <c r="L1065">
        <v>1</v>
      </c>
      <c r="M1065">
        <v>1</v>
      </c>
    </row>
    <row r="1066" spans="1:13" x14ac:dyDescent="0.25">
      <c r="A1066">
        <v>9</v>
      </c>
      <c r="B1066">
        <v>9206176</v>
      </c>
      <c r="C1066">
        <v>6339</v>
      </c>
      <c r="D1066">
        <v>9</v>
      </c>
      <c r="E1066">
        <v>893</v>
      </c>
      <c r="F1066" t="s">
        <v>144</v>
      </c>
      <c r="G1066" t="s">
        <v>145</v>
      </c>
      <c r="H1066">
        <v>893</v>
      </c>
      <c r="I1066" t="s">
        <v>144</v>
      </c>
      <c r="J1066" t="s">
        <v>145</v>
      </c>
      <c r="K1066" t="s">
        <v>1358</v>
      </c>
      <c r="L1066">
        <v>1</v>
      </c>
      <c r="M1066">
        <v>1</v>
      </c>
    </row>
    <row r="1067" spans="1:13" x14ac:dyDescent="0.25">
      <c r="A1067">
        <v>9</v>
      </c>
      <c r="B1067">
        <v>9206176</v>
      </c>
      <c r="C1067">
        <v>6339</v>
      </c>
      <c r="D1067">
        <v>10</v>
      </c>
      <c r="E1067">
        <v>906</v>
      </c>
      <c r="F1067" t="s">
        <v>316</v>
      </c>
      <c r="G1067" t="s">
        <v>317</v>
      </c>
      <c r="H1067">
        <v>906</v>
      </c>
      <c r="I1067" t="s">
        <v>316</v>
      </c>
      <c r="J1067" t="s">
        <v>317</v>
      </c>
      <c r="K1067" t="s">
        <v>1359</v>
      </c>
      <c r="L1067">
        <v>1</v>
      </c>
      <c r="M1067">
        <v>1</v>
      </c>
    </row>
    <row r="1068" spans="1:13" x14ac:dyDescent="0.25">
      <c r="A1068">
        <v>9</v>
      </c>
      <c r="B1068">
        <v>9206236</v>
      </c>
      <c r="C1068">
        <v>6339</v>
      </c>
      <c r="D1068">
        <v>11</v>
      </c>
      <c r="E1068">
        <v>966</v>
      </c>
      <c r="F1068" t="s">
        <v>349</v>
      </c>
      <c r="G1068" t="s">
        <v>350</v>
      </c>
      <c r="H1068">
        <v>966</v>
      </c>
      <c r="I1068" t="s">
        <v>349</v>
      </c>
      <c r="J1068" t="s">
        <v>350</v>
      </c>
      <c r="K1068" t="s">
        <v>1360</v>
      </c>
      <c r="L1068">
        <v>1</v>
      </c>
      <c r="M1068">
        <v>1</v>
      </c>
    </row>
    <row r="1069" spans="1:13" x14ac:dyDescent="0.25">
      <c r="A1069">
        <v>9</v>
      </c>
      <c r="B1069">
        <v>9205650</v>
      </c>
      <c r="C1069">
        <v>6339</v>
      </c>
      <c r="D1069">
        <v>1</v>
      </c>
      <c r="E1069">
        <v>400</v>
      </c>
      <c r="F1069" t="s">
        <v>74</v>
      </c>
      <c r="G1069" t="s">
        <v>75</v>
      </c>
      <c r="H1069">
        <v>400</v>
      </c>
      <c r="I1069" t="s">
        <v>74</v>
      </c>
      <c r="J1069" t="s">
        <v>75</v>
      </c>
      <c r="K1069" t="s">
        <v>1361</v>
      </c>
      <c r="L1069">
        <v>1</v>
      </c>
      <c r="M1069">
        <v>1</v>
      </c>
    </row>
    <row r="1070" spans="1:13" x14ac:dyDescent="0.25">
      <c r="A1070">
        <v>9</v>
      </c>
      <c r="B1070">
        <v>9205691</v>
      </c>
      <c r="C1070">
        <v>6339</v>
      </c>
      <c r="D1070">
        <v>2</v>
      </c>
      <c r="E1070">
        <v>404</v>
      </c>
      <c r="F1070" t="s">
        <v>80</v>
      </c>
      <c r="G1070" t="s">
        <v>81</v>
      </c>
      <c r="H1070">
        <v>404</v>
      </c>
      <c r="I1070" t="s">
        <v>80</v>
      </c>
      <c r="J1070" t="s">
        <v>81</v>
      </c>
      <c r="K1070" t="s">
        <v>1362</v>
      </c>
      <c r="L1070">
        <v>1</v>
      </c>
      <c r="M1070">
        <v>1</v>
      </c>
    </row>
    <row r="1071" spans="1:13" x14ac:dyDescent="0.25">
      <c r="A1071">
        <v>9</v>
      </c>
      <c r="B1071">
        <v>9205691</v>
      </c>
      <c r="C1071">
        <v>6339</v>
      </c>
      <c r="D1071">
        <v>3</v>
      </c>
      <c r="E1071">
        <v>496</v>
      </c>
      <c r="F1071" t="s">
        <v>234</v>
      </c>
      <c r="G1071" t="s">
        <v>235</v>
      </c>
      <c r="H1071">
        <v>496</v>
      </c>
      <c r="I1071" t="s">
        <v>234</v>
      </c>
      <c r="J1071" t="s">
        <v>235</v>
      </c>
      <c r="K1071" t="s">
        <v>1363</v>
      </c>
      <c r="L1071">
        <v>1</v>
      </c>
      <c r="M1071">
        <v>1</v>
      </c>
    </row>
    <row r="1072" spans="1:13" x14ac:dyDescent="0.25">
      <c r="A1072">
        <v>9</v>
      </c>
      <c r="B1072">
        <v>9206363</v>
      </c>
      <c r="C1072">
        <v>6340</v>
      </c>
      <c r="D1072">
        <v>6</v>
      </c>
      <c r="E1072">
        <v>674</v>
      </c>
      <c r="F1072" t="s">
        <v>112</v>
      </c>
      <c r="G1072" t="s">
        <v>113</v>
      </c>
      <c r="H1072">
        <v>674</v>
      </c>
      <c r="I1072" t="s">
        <v>112</v>
      </c>
      <c r="J1072" t="s">
        <v>113</v>
      </c>
      <c r="K1072" t="s">
        <v>1364</v>
      </c>
      <c r="L1072">
        <v>1</v>
      </c>
      <c r="M1072">
        <v>1</v>
      </c>
    </row>
    <row r="1073" spans="1:13" x14ac:dyDescent="0.25">
      <c r="A1073">
        <v>9</v>
      </c>
      <c r="B1073">
        <v>9206490</v>
      </c>
      <c r="C1073">
        <v>6340</v>
      </c>
      <c r="D1073">
        <v>7</v>
      </c>
      <c r="E1073">
        <v>584</v>
      </c>
      <c r="F1073" t="s">
        <v>96</v>
      </c>
      <c r="G1073" t="s">
        <v>97</v>
      </c>
      <c r="H1073">
        <v>584</v>
      </c>
      <c r="I1073" t="s">
        <v>96</v>
      </c>
      <c r="J1073" t="s">
        <v>97</v>
      </c>
      <c r="K1073" t="s">
        <v>1365</v>
      </c>
      <c r="L1073">
        <v>1</v>
      </c>
      <c r="M1073">
        <v>1</v>
      </c>
    </row>
    <row r="1074" spans="1:13" x14ac:dyDescent="0.25">
      <c r="A1074">
        <v>9</v>
      </c>
      <c r="B1074">
        <v>9206802</v>
      </c>
      <c r="C1074">
        <v>6340</v>
      </c>
      <c r="D1074">
        <v>11</v>
      </c>
      <c r="E1074">
        <v>584</v>
      </c>
      <c r="F1074" t="s">
        <v>96</v>
      </c>
      <c r="G1074" t="s">
        <v>97</v>
      </c>
      <c r="H1074">
        <v>584</v>
      </c>
      <c r="I1074" t="s">
        <v>96</v>
      </c>
      <c r="J1074" t="s">
        <v>97</v>
      </c>
      <c r="K1074" t="s">
        <v>361</v>
      </c>
      <c r="L1074">
        <v>1</v>
      </c>
      <c r="M1074">
        <v>1</v>
      </c>
    </row>
    <row r="1075" spans="1:13" x14ac:dyDescent="0.25">
      <c r="A1075">
        <v>4</v>
      </c>
      <c r="B1075">
        <v>9687404</v>
      </c>
      <c r="C1075">
        <v>6345</v>
      </c>
      <c r="D1075">
        <v>1</v>
      </c>
      <c r="E1075">
        <v>905</v>
      </c>
      <c r="F1075" t="s">
        <v>146</v>
      </c>
      <c r="G1075" t="s">
        <v>147</v>
      </c>
      <c r="H1075">
        <v>794</v>
      </c>
      <c r="I1075" t="s">
        <v>780</v>
      </c>
      <c r="J1075" t="s">
        <v>781</v>
      </c>
      <c r="K1075" t="s">
        <v>1366</v>
      </c>
      <c r="L1075">
        <v>1</v>
      </c>
      <c r="M1075">
        <v>1</v>
      </c>
    </row>
    <row r="1076" spans="1:13" x14ac:dyDescent="0.25">
      <c r="A1076">
        <v>6</v>
      </c>
      <c r="B1076">
        <v>973632</v>
      </c>
      <c r="C1076">
        <v>6348</v>
      </c>
      <c r="D1076">
        <v>1</v>
      </c>
      <c r="E1076">
        <v>712</v>
      </c>
      <c r="F1076" t="s">
        <v>308</v>
      </c>
      <c r="G1076" t="s">
        <v>309</v>
      </c>
      <c r="H1076">
        <v>712</v>
      </c>
      <c r="I1076" t="s">
        <v>308</v>
      </c>
      <c r="J1076" t="s">
        <v>309</v>
      </c>
      <c r="K1076" t="s">
        <v>1367</v>
      </c>
      <c r="L1076">
        <v>1</v>
      </c>
      <c r="M1076">
        <v>1</v>
      </c>
    </row>
    <row r="1077" spans="1:13" x14ac:dyDescent="0.25">
      <c r="A1077">
        <v>9</v>
      </c>
      <c r="B1077">
        <v>9207209</v>
      </c>
      <c r="C1077">
        <v>6349</v>
      </c>
      <c r="D1077">
        <v>3</v>
      </c>
      <c r="E1077">
        <v>888</v>
      </c>
      <c r="F1077" t="s">
        <v>302</v>
      </c>
      <c r="G1077" t="s">
        <v>303</v>
      </c>
      <c r="H1077">
        <v>888</v>
      </c>
      <c r="I1077" t="s">
        <v>302</v>
      </c>
      <c r="J1077" t="s">
        <v>303</v>
      </c>
      <c r="K1077" t="s">
        <v>362</v>
      </c>
      <c r="L1077">
        <v>1</v>
      </c>
      <c r="M1077">
        <v>1</v>
      </c>
    </row>
    <row r="1078" spans="1:13" x14ac:dyDescent="0.25">
      <c r="A1078">
        <v>9</v>
      </c>
      <c r="B1078">
        <v>9207253</v>
      </c>
      <c r="C1078">
        <v>6349</v>
      </c>
      <c r="D1078">
        <v>4</v>
      </c>
      <c r="E1078">
        <v>965</v>
      </c>
      <c r="F1078" t="s">
        <v>363</v>
      </c>
      <c r="G1078" t="s">
        <v>364</v>
      </c>
      <c r="H1078">
        <v>965</v>
      </c>
      <c r="I1078" t="s">
        <v>363</v>
      </c>
      <c r="J1078" t="s">
        <v>364</v>
      </c>
      <c r="K1078" t="s">
        <v>365</v>
      </c>
      <c r="L1078">
        <v>1</v>
      </c>
      <c r="M1078">
        <v>1</v>
      </c>
    </row>
    <row r="1079" spans="1:13" x14ac:dyDescent="0.25">
      <c r="A1079">
        <v>9</v>
      </c>
      <c r="B1079">
        <v>9207253</v>
      </c>
      <c r="C1079">
        <v>6349</v>
      </c>
      <c r="D1079">
        <v>5</v>
      </c>
      <c r="E1079">
        <v>842</v>
      </c>
      <c r="F1079" t="s">
        <v>366</v>
      </c>
      <c r="G1079" t="s">
        <v>367</v>
      </c>
      <c r="H1079">
        <v>842</v>
      </c>
      <c r="I1079" t="s">
        <v>366</v>
      </c>
      <c r="J1079" t="s">
        <v>367</v>
      </c>
      <c r="K1079" t="s">
        <v>368</v>
      </c>
      <c r="L1079">
        <v>1</v>
      </c>
      <c r="M1079">
        <v>1</v>
      </c>
    </row>
    <row r="1080" spans="1:13" x14ac:dyDescent="0.25">
      <c r="A1080">
        <v>9</v>
      </c>
      <c r="B1080">
        <v>9207431</v>
      </c>
      <c r="C1080">
        <v>6349</v>
      </c>
      <c r="D1080">
        <v>6</v>
      </c>
      <c r="E1080">
        <v>809</v>
      </c>
      <c r="F1080" t="s">
        <v>128</v>
      </c>
      <c r="G1080" t="s">
        <v>129</v>
      </c>
      <c r="H1080">
        <v>809</v>
      </c>
      <c r="I1080" t="s">
        <v>128</v>
      </c>
      <c r="J1080" t="s">
        <v>129</v>
      </c>
      <c r="K1080" t="s">
        <v>1368</v>
      </c>
      <c r="L1080">
        <v>1</v>
      </c>
      <c r="M1080">
        <v>1</v>
      </c>
    </row>
    <row r="1081" spans="1:13" x14ac:dyDescent="0.25">
      <c r="A1081">
        <v>9</v>
      </c>
      <c r="B1081">
        <v>9207004</v>
      </c>
      <c r="C1081">
        <v>6349</v>
      </c>
      <c r="D1081">
        <v>1</v>
      </c>
      <c r="E1081">
        <v>818</v>
      </c>
      <c r="F1081" t="s">
        <v>130</v>
      </c>
      <c r="G1081" t="s">
        <v>131</v>
      </c>
      <c r="H1081">
        <v>818</v>
      </c>
      <c r="I1081" t="s">
        <v>130</v>
      </c>
      <c r="J1081" t="s">
        <v>131</v>
      </c>
      <c r="K1081" t="s">
        <v>1369</v>
      </c>
      <c r="L1081">
        <v>1</v>
      </c>
      <c r="M1081">
        <v>1</v>
      </c>
    </row>
    <row r="1082" spans="1:13" x14ac:dyDescent="0.25">
      <c r="A1082">
        <v>9</v>
      </c>
      <c r="B1082">
        <v>9207142</v>
      </c>
      <c r="C1082">
        <v>6349</v>
      </c>
      <c r="D1082">
        <v>2</v>
      </c>
      <c r="E1082">
        <v>963</v>
      </c>
      <c r="F1082" t="s">
        <v>334</v>
      </c>
      <c r="G1082" t="s">
        <v>335</v>
      </c>
      <c r="H1082">
        <v>963</v>
      </c>
      <c r="I1082" t="s">
        <v>334</v>
      </c>
      <c r="J1082" t="s">
        <v>335</v>
      </c>
      <c r="K1082" t="s">
        <v>1370</v>
      </c>
      <c r="L1082">
        <v>1</v>
      </c>
      <c r="M1082">
        <v>1</v>
      </c>
    </row>
    <row r="1083" spans="1:13" x14ac:dyDescent="0.25">
      <c r="A1083">
        <v>9</v>
      </c>
      <c r="B1083">
        <v>9207253</v>
      </c>
      <c r="C1083">
        <v>6350</v>
      </c>
      <c r="D1083">
        <v>1</v>
      </c>
      <c r="E1083">
        <v>714</v>
      </c>
      <c r="F1083" t="s">
        <v>124</v>
      </c>
      <c r="G1083" t="s">
        <v>125</v>
      </c>
      <c r="H1083">
        <v>714</v>
      </c>
      <c r="I1083" t="s">
        <v>124</v>
      </c>
      <c r="J1083" t="s">
        <v>125</v>
      </c>
      <c r="K1083" t="s">
        <v>369</v>
      </c>
      <c r="L1083">
        <v>1</v>
      </c>
      <c r="M1083">
        <v>1</v>
      </c>
    </row>
    <row r="1084" spans="1:13" x14ac:dyDescent="0.25">
      <c r="A1084">
        <v>9</v>
      </c>
      <c r="B1084">
        <v>9207253</v>
      </c>
      <c r="C1084">
        <v>6350</v>
      </c>
      <c r="D1084">
        <v>2</v>
      </c>
      <c r="E1084">
        <v>584</v>
      </c>
      <c r="F1084" t="s">
        <v>96</v>
      </c>
      <c r="G1084" t="s">
        <v>97</v>
      </c>
      <c r="H1084">
        <v>584</v>
      </c>
      <c r="I1084" t="s">
        <v>96</v>
      </c>
      <c r="J1084" t="s">
        <v>97</v>
      </c>
      <c r="K1084" t="s">
        <v>370</v>
      </c>
      <c r="L1084">
        <v>1</v>
      </c>
      <c r="M1084">
        <v>1</v>
      </c>
    </row>
    <row r="1085" spans="1:13" x14ac:dyDescent="0.25">
      <c r="A1085">
        <v>9</v>
      </c>
      <c r="B1085">
        <v>9207253</v>
      </c>
      <c r="C1085">
        <v>6350</v>
      </c>
      <c r="D1085">
        <v>3</v>
      </c>
      <c r="E1085">
        <v>906</v>
      </c>
      <c r="F1085" t="s">
        <v>316</v>
      </c>
      <c r="G1085" t="s">
        <v>317</v>
      </c>
      <c r="H1085">
        <v>906</v>
      </c>
      <c r="I1085" t="s">
        <v>316</v>
      </c>
      <c r="J1085" t="s">
        <v>317</v>
      </c>
      <c r="K1085" t="s">
        <v>371</v>
      </c>
      <c r="L1085">
        <v>1</v>
      </c>
      <c r="M1085">
        <v>1</v>
      </c>
    </row>
    <row r="1086" spans="1:13" x14ac:dyDescent="0.25">
      <c r="A1086">
        <v>9</v>
      </c>
      <c r="B1086">
        <v>9207209</v>
      </c>
      <c r="C1086">
        <v>6355</v>
      </c>
      <c r="D1086">
        <v>13</v>
      </c>
      <c r="E1086">
        <v>674</v>
      </c>
      <c r="F1086" t="s">
        <v>112</v>
      </c>
      <c r="G1086" t="s">
        <v>113</v>
      </c>
      <c r="H1086">
        <v>674</v>
      </c>
      <c r="I1086" t="s">
        <v>112</v>
      </c>
      <c r="J1086" t="s">
        <v>113</v>
      </c>
      <c r="K1086" t="s">
        <v>336</v>
      </c>
      <c r="L1086">
        <v>1</v>
      </c>
      <c r="M1086">
        <v>1</v>
      </c>
    </row>
    <row r="1087" spans="1:13" x14ac:dyDescent="0.25">
      <c r="A1087">
        <v>9</v>
      </c>
      <c r="B1087">
        <v>9207209</v>
      </c>
      <c r="C1087">
        <v>6355</v>
      </c>
      <c r="D1087">
        <v>14</v>
      </c>
      <c r="E1087">
        <v>753</v>
      </c>
      <c r="F1087" t="s">
        <v>223</v>
      </c>
      <c r="G1087" t="s">
        <v>224</v>
      </c>
      <c r="H1087">
        <v>753</v>
      </c>
      <c r="I1087" t="s">
        <v>223</v>
      </c>
      <c r="J1087" t="s">
        <v>224</v>
      </c>
      <c r="K1087" t="s">
        <v>337</v>
      </c>
      <c r="L1087">
        <v>1</v>
      </c>
      <c r="M1087">
        <v>1</v>
      </c>
    </row>
    <row r="1088" spans="1:13" x14ac:dyDescent="0.25">
      <c r="A1088">
        <v>9</v>
      </c>
      <c r="B1088">
        <v>9207253</v>
      </c>
      <c r="C1088">
        <v>6355</v>
      </c>
      <c r="D1088">
        <v>15</v>
      </c>
      <c r="E1088">
        <v>705</v>
      </c>
      <c r="F1088" t="s">
        <v>338</v>
      </c>
      <c r="G1088" t="s">
        <v>339</v>
      </c>
      <c r="H1088">
        <v>705</v>
      </c>
      <c r="I1088" t="s">
        <v>338</v>
      </c>
      <c r="J1088" t="s">
        <v>339</v>
      </c>
      <c r="K1088" t="s">
        <v>340</v>
      </c>
      <c r="L1088">
        <v>1</v>
      </c>
      <c r="M1088">
        <v>1</v>
      </c>
    </row>
    <row r="1089" spans="1:13" x14ac:dyDescent="0.25">
      <c r="A1089">
        <v>9</v>
      </c>
      <c r="B1089">
        <v>9207253</v>
      </c>
      <c r="C1089">
        <v>6355</v>
      </c>
      <c r="D1089">
        <v>16</v>
      </c>
      <c r="E1089">
        <v>180</v>
      </c>
      <c r="F1089" t="s">
        <v>68</v>
      </c>
      <c r="G1089" t="s">
        <v>69</v>
      </c>
      <c r="H1089">
        <v>180</v>
      </c>
      <c r="I1089" t="s">
        <v>68</v>
      </c>
      <c r="J1089" t="s">
        <v>69</v>
      </c>
      <c r="K1089" t="s">
        <v>341</v>
      </c>
      <c r="L1089">
        <v>1</v>
      </c>
      <c r="M1089">
        <v>1</v>
      </c>
    </row>
    <row r="1090" spans="1:13" x14ac:dyDescent="0.25">
      <c r="A1090">
        <v>9</v>
      </c>
      <c r="B1090">
        <v>9206802</v>
      </c>
      <c r="C1090">
        <v>6355</v>
      </c>
      <c r="D1090">
        <v>8</v>
      </c>
      <c r="E1090">
        <v>492</v>
      </c>
      <c r="F1090" t="s">
        <v>88</v>
      </c>
      <c r="G1090" t="s">
        <v>89</v>
      </c>
      <c r="H1090">
        <v>492</v>
      </c>
      <c r="I1090" t="s">
        <v>88</v>
      </c>
      <c r="J1090" t="s">
        <v>89</v>
      </c>
      <c r="K1090" t="s">
        <v>378</v>
      </c>
      <c r="L1090">
        <v>1</v>
      </c>
      <c r="M1090">
        <v>1</v>
      </c>
    </row>
    <row r="1091" spans="1:13" x14ac:dyDescent="0.25">
      <c r="A1091">
        <v>9</v>
      </c>
      <c r="B1091">
        <v>9206802</v>
      </c>
      <c r="C1091">
        <v>6355</v>
      </c>
      <c r="D1091">
        <v>9</v>
      </c>
      <c r="E1091">
        <v>639</v>
      </c>
      <c r="F1091" t="s">
        <v>106</v>
      </c>
      <c r="G1091" t="s">
        <v>107</v>
      </c>
      <c r="H1091">
        <v>639</v>
      </c>
      <c r="I1091" t="s">
        <v>106</v>
      </c>
      <c r="J1091" t="s">
        <v>107</v>
      </c>
      <c r="K1091" t="s">
        <v>379</v>
      </c>
      <c r="L1091">
        <v>1</v>
      </c>
      <c r="M1091">
        <v>1</v>
      </c>
    </row>
    <row r="1092" spans="1:13" x14ac:dyDescent="0.25">
      <c r="A1092">
        <v>9</v>
      </c>
      <c r="B1092">
        <v>9207209</v>
      </c>
      <c r="C1092">
        <v>6357</v>
      </c>
      <c r="D1092">
        <v>1</v>
      </c>
      <c r="E1092">
        <v>716</v>
      </c>
      <c r="F1092" t="s">
        <v>342</v>
      </c>
      <c r="G1092" t="s">
        <v>343</v>
      </c>
      <c r="H1092">
        <v>716</v>
      </c>
      <c r="I1092" t="s">
        <v>342</v>
      </c>
      <c r="J1092" t="s">
        <v>343</v>
      </c>
      <c r="K1092" t="s">
        <v>344</v>
      </c>
      <c r="L1092">
        <v>1</v>
      </c>
      <c r="M1092">
        <v>0</v>
      </c>
    </row>
    <row r="1093" spans="1:13" x14ac:dyDescent="0.25">
      <c r="A1093">
        <v>5</v>
      </c>
      <c r="B1093">
        <v>6504056267</v>
      </c>
      <c r="C1093">
        <v>6360</v>
      </c>
      <c r="D1093">
        <v>1</v>
      </c>
      <c r="E1093">
        <v>825</v>
      </c>
      <c r="F1093" t="s">
        <v>1371</v>
      </c>
      <c r="G1093" t="s">
        <v>1372</v>
      </c>
      <c r="H1093">
        <v>825</v>
      </c>
      <c r="I1093" t="s">
        <v>1371</v>
      </c>
      <c r="J1093" t="s">
        <v>1372</v>
      </c>
      <c r="K1093" t="s">
        <v>49</v>
      </c>
      <c r="L1093">
        <v>1</v>
      </c>
      <c r="M1093">
        <v>1</v>
      </c>
    </row>
    <row r="1094" spans="1:13" x14ac:dyDescent="0.25">
      <c r="A1094">
        <v>5</v>
      </c>
      <c r="B1094">
        <v>6504056282</v>
      </c>
      <c r="C1094">
        <v>6360</v>
      </c>
      <c r="D1094">
        <v>2</v>
      </c>
      <c r="E1094">
        <v>179</v>
      </c>
      <c r="F1094" t="s">
        <v>66</v>
      </c>
      <c r="G1094" t="s">
        <v>67</v>
      </c>
      <c r="H1094">
        <v>179</v>
      </c>
      <c r="I1094" t="s">
        <v>66</v>
      </c>
      <c r="J1094" t="s">
        <v>67</v>
      </c>
      <c r="K1094" t="s">
        <v>49</v>
      </c>
      <c r="L1094">
        <v>1</v>
      </c>
      <c r="M1094">
        <v>1</v>
      </c>
    </row>
    <row r="1095" spans="1:13" x14ac:dyDescent="0.25">
      <c r="A1095">
        <v>8</v>
      </c>
      <c r="B1095">
        <v>4450422409</v>
      </c>
      <c r="C1095">
        <v>6364</v>
      </c>
      <c r="D1095">
        <v>1</v>
      </c>
      <c r="E1095">
        <v>824</v>
      </c>
      <c r="F1095" t="s">
        <v>134</v>
      </c>
      <c r="G1095" t="s">
        <v>135</v>
      </c>
      <c r="H1095">
        <v>824</v>
      </c>
      <c r="I1095" t="s">
        <v>134</v>
      </c>
      <c r="J1095" t="s">
        <v>135</v>
      </c>
      <c r="K1095" t="s">
        <v>231</v>
      </c>
      <c r="L1095">
        <v>25</v>
      </c>
      <c r="M1095">
        <v>25</v>
      </c>
    </row>
    <row r="1096" spans="1:13" x14ac:dyDescent="0.25">
      <c r="A1096">
        <v>8</v>
      </c>
      <c r="B1096">
        <v>4450422410</v>
      </c>
      <c r="C1096">
        <v>6365</v>
      </c>
      <c r="D1096">
        <v>1</v>
      </c>
      <c r="E1096">
        <v>865</v>
      </c>
      <c r="F1096" t="s">
        <v>218</v>
      </c>
      <c r="G1096" t="s">
        <v>219</v>
      </c>
      <c r="H1096">
        <v>405</v>
      </c>
      <c r="I1096" t="s">
        <v>82</v>
      </c>
      <c r="J1096" t="s">
        <v>83</v>
      </c>
      <c r="K1096" t="s">
        <v>172</v>
      </c>
      <c r="L1096">
        <v>6</v>
      </c>
      <c r="M1096">
        <v>6</v>
      </c>
    </row>
    <row r="1097" spans="1:13" x14ac:dyDescent="0.25">
      <c r="A1097">
        <v>8</v>
      </c>
      <c r="B1097">
        <v>4450422410</v>
      </c>
      <c r="C1097">
        <v>6365</v>
      </c>
      <c r="D1097">
        <v>2</v>
      </c>
      <c r="E1097">
        <v>979</v>
      </c>
      <c r="F1097" t="s">
        <v>380</v>
      </c>
      <c r="G1097" t="s">
        <v>381</v>
      </c>
      <c r="H1097">
        <v>653</v>
      </c>
      <c r="I1097" t="s">
        <v>110</v>
      </c>
      <c r="J1097" t="s">
        <v>111</v>
      </c>
      <c r="K1097" t="s">
        <v>173</v>
      </c>
      <c r="L1097">
        <v>69</v>
      </c>
      <c r="M1097">
        <v>69</v>
      </c>
    </row>
    <row r="1098" spans="1:13" x14ac:dyDescent="0.25">
      <c r="A1098">
        <v>5</v>
      </c>
      <c r="B1098">
        <v>6504009067</v>
      </c>
      <c r="C1098">
        <v>5972</v>
      </c>
      <c r="D1098">
        <v>8</v>
      </c>
      <c r="E1098">
        <v>489</v>
      </c>
      <c r="F1098" t="s">
        <v>257</v>
      </c>
      <c r="G1098" t="s">
        <v>258</v>
      </c>
      <c r="H1098">
        <v>489</v>
      </c>
      <c r="I1098" t="s">
        <v>257</v>
      </c>
      <c r="J1098" t="s">
        <v>258</v>
      </c>
      <c r="K1098" t="s">
        <v>49</v>
      </c>
      <c r="L1098">
        <v>4</v>
      </c>
      <c r="M1098">
        <v>4</v>
      </c>
    </row>
    <row r="1099" spans="1:13" x14ac:dyDescent="0.25">
      <c r="A1099">
        <v>5</v>
      </c>
      <c r="B1099">
        <v>6504009067</v>
      </c>
      <c r="C1099">
        <v>5972</v>
      </c>
      <c r="D1099">
        <v>9</v>
      </c>
      <c r="E1099">
        <v>489</v>
      </c>
      <c r="F1099" t="s">
        <v>257</v>
      </c>
      <c r="G1099" t="s">
        <v>258</v>
      </c>
      <c r="H1099">
        <v>489</v>
      </c>
      <c r="I1099" t="s">
        <v>257</v>
      </c>
      <c r="J1099" t="s">
        <v>258</v>
      </c>
      <c r="K1099" t="s">
        <v>49</v>
      </c>
      <c r="L1099">
        <v>4</v>
      </c>
      <c r="M1099">
        <v>4</v>
      </c>
    </row>
    <row r="1100" spans="1:13" x14ac:dyDescent="0.25">
      <c r="A1100">
        <v>5</v>
      </c>
      <c r="B1100">
        <v>6504009067</v>
      </c>
      <c r="C1100">
        <v>5972</v>
      </c>
      <c r="D1100">
        <v>10</v>
      </c>
      <c r="E1100">
        <v>489</v>
      </c>
      <c r="F1100" t="s">
        <v>257</v>
      </c>
      <c r="G1100" t="s">
        <v>258</v>
      </c>
      <c r="H1100">
        <v>489</v>
      </c>
      <c r="I1100" t="s">
        <v>257</v>
      </c>
      <c r="J1100" t="s">
        <v>258</v>
      </c>
      <c r="K1100" t="s">
        <v>49</v>
      </c>
      <c r="L1100">
        <v>4</v>
      </c>
      <c r="M1100">
        <v>4</v>
      </c>
    </row>
    <row r="1101" spans="1:13" x14ac:dyDescent="0.25">
      <c r="A1101">
        <v>5</v>
      </c>
      <c r="B1101">
        <v>6504009067</v>
      </c>
      <c r="C1101">
        <v>5972</v>
      </c>
      <c r="D1101">
        <v>11</v>
      </c>
      <c r="E1101">
        <v>493</v>
      </c>
      <c r="F1101" t="s">
        <v>283</v>
      </c>
      <c r="G1101" t="s">
        <v>284</v>
      </c>
      <c r="H1101">
        <v>493</v>
      </c>
      <c r="I1101" t="s">
        <v>283</v>
      </c>
      <c r="J1101" t="s">
        <v>284</v>
      </c>
      <c r="K1101" t="s">
        <v>49</v>
      </c>
      <c r="L1101">
        <v>4</v>
      </c>
      <c r="M1101">
        <v>4</v>
      </c>
    </row>
    <row r="1102" spans="1:13" x14ac:dyDescent="0.25">
      <c r="A1102">
        <v>5</v>
      </c>
      <c r="B1102">
        <v>6504009067</v>
      </c>
      <c r="C1102">
        <v>5972</v>
      </c>
      <c r="D1102">
        <v>12</v>
      </c>
      <c r="E1102">
        <v>494</v>
      </c>
      <c r="F1102" t="s">
        <v>285</v>
      </c>
      <c r="G1102" t="s">
        <v>286</v>
      </c>
      <c r="H1102">
        <v>494</v>
      </c>
      <c r="I1102" t="s">
        <v>285</v>
      </c>
      <c r="J1102" t="s">
        <v>286</v>
      </c>
      <c r="K1102" t="s">
        <v>49</v>
      </c>
      <c r="L1102">
        <v>2</v>
      </c>
      <c r="M1102">
        <v>2</v>
      </c>
    </row>
    <row r="1103" spans="1:13" x14ac:dyDescent="0.25">
      <c r="A1103">
        <v>5</v>
      </c>
      <c r="B1103">
        <v>6504009067</v>
      </c>
      <c r="C1103">
        <v>5972</v>
      </c>
      <c r="D1103">
        <v>13</v>
      </c>
      <c r="E1103">
        <v>494</v>
      </c>
      <c r="F1103" t="s">
        <v>285</v>
      </c>
      <c r="G1103" t="s">
        <v>286</v>
      </c>
      <c r="H1103">
        <v>494</v>
      </c>
      <c r="I1103" t="s">
        <v>285</v>
      </c>
      <c r="J1103" t="s">
        <v>286</v>
      </c>
      <c r="K1103" t="s">
        <v>49</v>
      </c>
      <c r="L1103">
        <v>4</v>
      </c>
      <c r="M1103">
        <v>4</v>
      </c>
    </row>
    <row r="1104" spans="1:13" x14ac:dyDescent="0.25">
      <c r="A1104">
        <v>5</v>
      </c>
      <c r="B1104">
        <v>6504009067</v>
      </c>
      <c r="C1104">
        <v>5972</v>
      </c>
      <c r="D1104">
        <v>14</v>
      </c>
      <c r="E1104">
        <v>43</v>
      </c>
      <c r="F1104" t="s">
        <v>271</v>
      </c>
      <c r="G1104" t="s">
        <v>272</v>
      </c>
      <c r="H1104">
        <v>43</v>
      </c>
      <c r="I1104" t="s">
        <v>271</v>
      </c>
      <c r="J1104" t="s">
        <v>272</v>
      </c>
      <c r="K1104" t="s">
        <v>49</v>
      </c>
      <c r="L1104">
        <v>10</v>
      </c>
      <c r="M1104">
        <v>10</v>
      </c>
    </row>
    <row r="1105" spans="1:13" x14ac:dyDescent="0.25">
      <c r="A1105">
        <v>5</v>
      </c>
      <c r="B1105">
        <v>6504009067</v>
      </c>
      <c r="C1105">
        <v>5972</v>
      </c>
      <c r="D1105">
        <v>15</v>
      </c>
      <c r="E1105">
        <v>43</v>
      </c>
      <c r="F1105" t="s">
        <v>271</v>
      </c>
      <c r="G1105" t="s">
        <v>272</v>
      </c>
      <c r="H1105">
        <v>43</v>
      </c>
      <c r="I1105" t="s">
        <v>271</v>
      </c>
      <c r="J1105" t="s">
        <v>272</v>
      </c>
      <c r="K1105" t="s">
        <v>49</v>
      </c>
      <c r="L1105">
        <v>10</v>
      </c>
      <c r="M1105">
        <v>10</v>
      </c>
    </row>
    <row r="1106" spans="1:13" x14ac:dyDescent="0.25">
      <c r="A1106">
        <v>5</v>
      </c>
      <c r="B1106">
        <v>6504009067</v>
      </c>
      <c r="C1106">
        <v>5972</v>
      </c>
      <c r="D1106">
        <v>16</v>
      </c>
      <c r="E1106">
        <v>43</v>
      </c>
      <c r="F1106" t="s">
        <v>271</v>
      </c>
      <c r="G1106" t="s">
        <v>272</v>
      </c>
      <c r="H1106">
        <v>43</v>
      </c>
      <c r="I1106" t="s">
        <v>271</v>
      </c>
      <c r="J1106" t="s">
        <v>272</v>
      </c>
      <c r="K1106" t="s">
        <v>49</v>
      </c>
      <c r="L1106">
        <v>10</v>
      </c>
      <c r="M1106">
        <v>10</v>
      </c>
    </row>
    <row r="1107" spans="1:13" x14ac:dyDescent="0.25">
      <c r="A1107">
        <v>5</v>
      </c>
      <c r="B1107">
        <v>6504009067</v>
      </c>
      <c r="C1107">
        <v>5972</v>
      </c>
      <c r="D1107">
        <v>17</v>
      </c>
      <c r="E1107">
        <v>43</v>
      </c>
      <c r="F1107" t="s">
        <v>271</v>
      </c>
      <c r="G1107" t="s">
        <v>272</v>
      </c>
      <c r="H1107">
        <v>43</v>
      </c>
      <c r="I1107" t="s">
        <v>271</v>
      </c>
      <c r="J1107" t="s">
        <v>272</v>
      </c>
      <c r="K1107" t="s">
        <v>49</v>
      </c>
      <c r="L1107">
        <v>20</v>
      </c>
      <c r="M1107">
        <v>20</v>
      </c>
    </row>
    <row r="1108" spans="1:13" x14ac:dyDescent="0.25">
      <c r="A1108">
        <v>5</v>
      </c>
      <c r="B1108">
        <v>6504009067</v>
      </c>
      <c r="C1108">
        <v>5972</v>
      </c>
      <c r="D1108">
        <v>18</v>
      </c>
      <c r="E1108">
        <v>43</v>
      </c>
      <c r="F1108" t="s">
        <v>271</v>
      </c>
      <c r="G1108" t="s">
        <v>272</v>
      </c>
      <c r="H1108">
        <v>43</v>
      </c>
      <c r="I1108" t="s">
        <v>271</v>
      </c>
      <c r="J1108" t="s">
        <v>272</v>
      </c>
      <c r="K1108" t="s">
        <v>49</v>
      </c>
      <c r="L1108">
        <v>20</v>
      </c>
      <c r="M1108">
        <v>20</v>
      </c>
    </row>
    <row r="1109" spans="1:13" x14ac:dyDescent="0.25">
      <c r="A1109">
        <v>5</v>
      </c>
      <c r="B1109">
        <v>6504009067</v>
      </c>
      <c r="C1109">
        <v>5972</v>
      </c>
      <c r="D1109">
        <v>19</v>
      </c>
      <c r="E1109">
        <v>43</v>
      </c>
      <c r="F1109" t="s">
        <v>271</v>
      </c>
      <c r="G1109" t="s">
        <v>272</v>
      </c>
      <c r="H1109">
        <v>43</v>
      </c>
      <c r="I1109" t="s">
        <v>271</v>
      </c>
      <c r="J1109" t="s">
        <v>272</v>
      </c>
      <c r="K1109" t="s">
        <v>49</v>
      </c>
      <c r="L1109">
        <v>20</v>
      </c>
      <c r="M1109">
        <v>20</v>
      </c>
    </row>
    <row r="1110" spans="1:13" x14ac:dyDescent="0.25">
      <c r="A1110">
        <v>5</v>
      </c>
      <c r="B1110">
        <v>6504009067</v>
      </c>
      <c r="C1110">
        <v>5972</v>
      </c>
      <c r="D1110">
        <v>20</v>
      </c>
      <c r="E1110">
        <v>43</v>
      </c>
      <c r="F1110" t="s">
        <v>271</v>
      </c>
      <c r="G1110" t="s">
        <v>272</v>
      </c>
      <c r="H1110">
        <v>43</v>
      </c>
      <c r="I1110" t="s">
        <v>271</v>
      </c>
      <c r="J1110" t="s">
        <v>272</v>
      </c>
      <c r="K1110" t="s">
        <v>49</v>
      </c>
      <c r="L1110">
        <v>20</v>
      </c>
      <c r="M1110">
        <v>20</v>
      </c>
    </row>
    <row r="1111" spans="1:13" x14ac:dyDescent="0.25">
      <c r="A1111">
        <v>5</v>
      </c>
      <c r="B1111">
        <v>6504009067</v>
      </c>
      <c r="C1111">
        <v>5972</v>
      </c>
      <c r="D1111">
        <v>21</v>
      </c>
      <c r="E1111">
        <v>43</v>
      </c>
      <c r="F1111" t="s">
        <v>271</v>
      </c>
      <c r="G1111" t="s">
        <v>272</v>
      </c>
      <c r="H1111">
        <v>43</v>
      </c>
      <c r="I1111" t="s">
        <v>271</v>
      </c>
      <c r="J1111" t="s">
        <v>272</v>
      </c>
      <c r="K1111" t="s">
        <v>49</v>
      </c>
      <c r="L1111">
        <v>20</v>
      </c>
      <c r="M1111">
        <v>20</v>
      </c>
    </row>
    <row r="1112" spans="1:13" x14ac:dyDescent="0.25">
      <c r="A1112">
        <v>5</v>
      </c>
      <c r="B1112">
        <v>6504009067</v>
      </c>
      <c r="C1112">
        <v>5972</v>
      </c>
      <c r="D1112">
        <v>22</v>
      </c>
      <c r="E1112">
        <v>743</v>
      </c>
      <c r="F1112" t="s">
        <v>1373</v>
      </c>
      <c r="G1112" t="s">
        <v>1374</v>
      </c>
      <c r="H1112">
        <v>743</v>
      </c>
      <c r="I1112" t="s">
        <v>1373</v>
      </c>
      <c r="J1112" t="s">
        <v>1374</v>
      </c>
      <c r="K1112" t="s">
        <v>49</v>
      </c>
      <c r="L1112">
        <v>10</v>
      </c>
      <c r="M1112">
        <v>10</v>
      </c>
    </row>
    <row r="1113" spans="1:13" x14ac:dyDescent="0.25">
      <c r="A1113">
        <v>5</v>
      </c>
      <c r="B1113">
        <v>6504009067</v>
      </c>
      <c r="C1113">
        <v>5972</v>
      </c>
      <c r="D1113">
        <v>23</v>
      </c>
      <c r="E1113">
        <v>743</v>
      </c>
      <c r="F1113" t="s">
        <v>1373</v>
      </c>
      <c r="G1113" t="s">
        <v>1374</v>
      </c>
      <c r="H1113">
        <v>743</v>
      </c>
      <c r="I1113" t="s">
        <v>1373</v>
      </c>
      <c r="J1113" t="s">
        <v>1374</v>
      </c>
      <c r="K1113" t="s">
        <v>49</v>
      </c>
      <c r="L1113">
        <v>10</v>
      </c>
      <c r="M1113">
        <v>10</v>
      </c>
    </row>
    <row r="1114" spans="1:13" x14ac:dyDescent="0.25">
      <c r="A1114">
        <v>5</v>
      </c>
      <c r="B1114">
        <v>6504009067</v>
      </c>
      <c r="C1114">
        <v>5972</v>
      </c>
      <c r="D1114">
        <v>24</v>
      </c>
      <c r="E1114">
        <v>743</v>
      </c>
      <c r="F1114" t="s">
        <v>1373</v>
      </c>
      <c r="G1114" t="s">
        <v>1374</v>
      </c>
      <c r="H1114">
        <v>743</v>
      </c>
      <c r="I1114" t="s">
        <v>1373</v>
      </c>
      <c r="J1114" t="s">
        <v>1374</v>
      </c>
      <c r="K1114" t="s">
        <v>49</v>
      </c>
      <c r="L1114">
        <v>10</v>
      </c>
      <c r="M1114">
        <v>10</v>
      </c>
    </row>
    <row r="1115" spans="1:13" x14ac:dyDescent="0.25">
      <c r="A1115">
        <v>5</v>
      </c>
      <c r="B1115">
        <v>6504009067</v>
      </c>
      <c r="C1115">
        <v>5972</v>
      </c>
      <c r="D1115">
        <v>25</v>
      </c>
      <c r="E1115">
        <v>743</v>
      </c>
      <c r="F1115" t="s">
        <v>1373</v>
      </c>
      <c r="G1115" t="s">
        <v>1374</v>
      </c>
      <c r="H1115">
        <v>743</v>
      </c>
      <c r="I1115" t="s">
        <v>1373</v>
      </c>
      <c r="J1115" t="s">
        <v>1374</v>
      </c>
      <c r="K1115" t="s">
        <v>49</v>
      </c>
      <c r="L1115">
        <v>10</v>
      </c>
      <c r="M1115">
        <v>10</v>
      </c>
    </row>
    <row r="1116" spans="1:13" x14ac:dyDescent="0.25">
      <c r="A1116">
        <v>5</v>
      </c>
      <c r="B1116">
        <v>6504009067</v>
      </c>
      <c r="C1116">
        <v>5972</v>
      </c>
      <c r="D1116">
        <v>26</v>
      </c>
      <c r="E1116">
        <v>743</v>
      </c>
      <c r="F1116" t="s">
        <v>1373</v>
      </c>
      <c r="G1116" t="s">
        <v>1374</v>
      </c>
      <c r="H1116">
        <v>743</v>
      </c>
      <c r="I1116" t="s">
        <v>1373</v>
      </c>
      <c r="J1116" t="s">
        <v>1374</v>
      </c>
      <c r="K1116" t="s">
        <v>49</v>
      </c>
      <c r="L1116">
        <v>10</v>
      </c>
      <c r="M1116">
        <v>10</v>
      </c>
    </row>
    <row r="1117" spans="1:13" x14ac:dyDescent="0.25">
      <c r="A1117">
        <v>5</v>
      </c>
      <c r="B1117">
        <v>6504009067</v>
      </c>
      <c r="C1117">
        <v>5972</v>
      </c>
      <c r="D1117">
        <v>27</v>
      </c>
      <c r="E1117">
        <v>743</v>
      </c>
      <c r="F1117" t="s">
        <v>1373</v>
      </c>
      <c r="G1117" t="s">
        <v>1374</v>
      </c>
      <c r="H1117">
        <v>743</v>
      </c>
      <c r="I1117" t="s">
        <v>1373</v>
      </c>
      <c r="J1117" t="s">
        <v>1374</v>
      </c>
      <c r="K1117" t="s">
        <v>49</v>
      </c>
      <c r="L1117">
        <v>10</v>
      </c>
      <c r="M1117">
        <v>10</v>
      </c>
    </row>
    <row r="1118" spans="1:13" x14ac:dyDescent="0.25">
      <c r="A1118">
        <v>5</v>
      </c>
      <c r="B1118">
        <v>6504009067</v>
      </c>
      <c r="C1118">
        <v>5972</v>
      </c>
      <c r="D1118">
        <v>28</v>
      </c>
      <c r="E1118">
        <v>743</v>
      </c>
      <c r="F1118" t="s">
        <v>1373</v>
      </c>
      <c r="G1118" t="s">
        <v>1374</v>
      </c>
      <c r="H1118">
        <v>743</v>
      </c>
      <c r="I1118" t="s">
        <v>1373</v>
      </c>
      <c r="J1118" t="s">
        <v>1374</v>
      </c>
      <c r="K1118" t="s">
        <v>49</v>
      </c>
      <c r="L1118">
        <v>10</v>
      </c>
      <c r="M1118">
        <v>10</v>
      </c>
    </row>
    <row r="1119" spans="1:13" x14ac:dyDescent="0.25">
      <c r="A1119">
        <v>5</v>
      </c>
      <c r="B1119">
        <v>6504009067</v>
      </c>
      <c r="C1119">
        <v>5972</v>
      </c>
      <c r="D1119">
        <v>29</v>
      </c>
      <c r="E1119">
        <v>743</v>
      </c>
      <c r="F1119" t="s">
        <v>1373</v>
      </c>
      <c r="G1119" t="s">
        <v>1374</v>
      </c>
      <c r="H1119">
        <v>743</v>
      </c>
      <c r="I1119" t="s">
        <v>1373</v>
      </c>
      <c r="J1119" t="s">
        <v>1374</v>
      </c>
      <c r="K1119" t="s">
        <v>49</v>
      </c>
      <c r="L1119">
        <v>10</v>
      </c>
      <c r="M1119">
        <v>10</v>
      </c>
    </row>
    <row r="1120" spans="1:13" x14ac:dyDescent="0.25">
      <c r="A1120">
        <v>5</v>
      </c>
      <c r="B1120">
        <v>6504009067</v>
      </c>
      <c r="C1120">
        <v>5972</v>
      </c>
      <c r="D1120">
        <v>30</v>
      </c>
      <c r="E1120">
        <v>743</v>
      </c>
      <c r="F1120" t="s">
        <v>1373</v>
      </c>
      <c r="G1120" t="s">
        <v>1374</v>
      </c>
      <c r="H1120">
        <v>743</v>
      </c>
      <c r="I1120" t="s">
        <v>1373</v>
      </c>
      <c r="J1120" t="s">
        <v>1374</v>
      </c>
      <c r="K1120" t="s">
        <v>49</v>
      </c>
      <c r="L1120">
        <v>10</v>
      </c>
      <c r="M1120">
        <v>10</v>
      </c>
    </row>
    <row r="1121" spans="1:13" x14ac:dyDescent="0.25">
      <c r="A1121">
        <v>5</v>
      </c>
      <c r="B1121">
        <v>6504009067</v>
      </c>
      <c r="C1121">
        <v>5972</v>
      </c>
      <c r="D1121">
        <v>31</v>
      </c>
      <c r="E1121">
        <v>743</v>
      </c>
      <c r="F1121" t="s">
        <v>1373</v>
      </c>
      <c r="G1121" t="s">
        <v>1374</v>
      </c>
      <c r="H1121">
        <v>743</v>
      </c>
      <c r="I1121" t="s">
        <v>1373</v>
      </c>
      <c r="J1121" t="s">
        <v>1374</v>
      </c>
      <c r="K1121" t="s">
        <v>49</v>
      </c>
      <c r="L1121">
        <v>10</v>
      </c>
      <c r="M1121">
        <v>10</v>
      </c>
    </row>
    <row r="1122" spans="1:13" x14ac:dyDescent="0.25">
      <c r="A1122">
        <v>5</v>
      </c>
      <c r="B1122">
        <v>6504009067</v>
      </c>
      <c r="C1122">
        <v>5972</v>
      </c>
      <c r="D1122">
        <v>32</v>
      </c>
      <c r="E1122">
        <v>743</v>
      </c>
      <c r="F1122" t="s">
        <v>1373</v>
      </c>
      <c r="G1122" t="s">
        <v>1374</v>
      </c>
      <c r="H1122">
        <v>743</v>
      </c>
      <c r="I1122" t="s">
        <v>1373</v>
      </c>
      <c r="J1122" t="s">
        <v>1374</v>
      </c>
      <c r="K1122" t="s">
        <v>49</v>
      </c>
      <c r="L1122">
        <v>10</v>
      </c>
      <c r="M1122">
        <v>10</v>
      </c>
    </row>
    <row r="1123" spans="1:13" x14ac:dyDescent="0.25">
      <c r="A1123">
        <v>5</v>
      </c>
      <c r="B1123">
        <v>6504009067</v>
      </c>
      <c r="C1123">
        <v>5972</v>
      </c>
      <c r="D1123">
        <v>33</v>
      </c>
      <c r="E1123">
        <v>743</v>
      </c>
      <c r="F1123" t="s">
        <v>1373</v>
      </c>
      <c r="G1123" t="s">
        <v>1374</v>
      </c>
      <c r="H1123">
        <v>743</v>
      </c>
      <c r="I1123" t="s">
        <v>1373</v>
      </c>
      <c r="J1123" t="s">
        <v>1374</v>
      </c>
      <c r="K1123" t="s">
        <v>49</v>
      </c>
      <c r="L1123">
        <v>10</v>
      </c>
      <c r="M1123">
        <v>0</v>
      </c>
    </row>
    <row r="1124" spans="1:13" x14ac:dyDescent="0.25">
      <c r="A1124">
        <v>5</v>
      </c>
      <c r="B1124">
        <v>6504009067</v>
      </c>
      <c r="C1124">
        <v>5972</v>
      </c>
      <c r="D1124">
        <v>34</v>
      </c>
      <c r="E1124">
        <v>743</v>
      </c>
      <c r="F1124" t="s">
        <v>1373</v>
      </c>
      <c r="G1124" t="s">
        <v>1374</v>
      </c>
      <c r="H1124">
        <v>743</v>
      </c>
      <c r="I1124" t="s">
        <v>1373</v>
      </c>
      <c r="J1124" t="s">
        <v>1374</v>
      </c>
      <c r="K1124" t="s">
        <v>49</v>
      </c>
      <c r="L1124">
        <v>10</v>
      </c>
      <c r="M1124">
        <v>0</v>
      </c>
    </row>
    <row r="1125" spans="1:13" x14ac:dyDescent="0.25">
      <c r="A1125">
        <v>5</v>
      </c>
      <c r="B1125">
        <v>6504009067</v>
      </c>
      <c r="C1125">
        <v>5972</v>
      </c>
      <c r="D1125">
        <v>35</v>
      </c>
      <c r="E1125">
        <v>743</v>
      </c>
      <c r="F1125" t="s">
        <v>1373</v>
      </c>
      <c r="G1125" t="s">
        <v>1374</v>
      </c>
      <c r="H1125">
        <v>743</v>
      </c>
      <c r="I1125" t="s">
        <v>1373</v>
      </c>
      <c r="J1125" t="s">
        <v>1374</v>
      </c>
      <c r="K1125" t="s">
        <v>49</v>
      </c>
      <c r="L1125">
        <v>20</v>
      </c>
      <c r="M1125">
        <v>0</v>
      </c>
    </row>
    <row r="1126" spans="1:13" x14ac:dyDescent="0.25">
      <c r="A1126">
        <v>5</v>
      </c>
      <c r="B1126">
        <v>6504009067</v>
      </c>
      <c r="C1126">
        <v>5972</v>
      </c>
      <c r="D1126">
        <v>36</v>
      </c>
      <c r="E1126">
        <v>743</v>
      </c>
      <c r="F1126" t="s">
        <v>1373</v>
      </c>
      <c r="G1126" t="s">
        <v>1374</v>
      </c>
      <c r="H1126">
        <v>743</v>
      </c>
      <c r="I1126" t="s">
        <v>1373</v>
      </c>
      <c r="J1126" t="s">
        <v>1374</v>
      </c>
      <c r="K1126" t="s">
        <v>49</v>
      </c>
      <c r="L1126">
        <v>20</v>
      </c>
      <c r="M1126">
        <v>0</v>
      </c>
    </row>
    <row r="1127" spans="1:13" x14ac:dyDescent="0.25">
      <c r="A1127">
        <v>5</v>
      </c>
      <c r="B1127">
        <v>6504009067</v>
      </c>
      <c r="C1127">
        <v>5972</v>
      </c>
      <c r="D1127">
        <v>37</v>
      </c>
      <c r="E1127">
        <v>743</v>
      </c>
      <c r="F1127" t="s">
        <v>1373</v>
      </c>
      <c r="G1127" t="s">
        <v>1374</v>
      </c>
      <c r="H1127">
        <v>743</v>
      </c>
      <c r="I1127" t="s">
        <v>1373</v>
      </c>
      <c r="J1127" t="s">
        <v>1374</v>
      </c>
      <c r="K1127" t="s">
        <v>49</v>
      </c>
      <c r="L1127">
        <v>20</v>
      </c>
      <c r="M1127">
        <v>0</v>
      </c>
    </row>
    <row r="1128" spans="1:13" x14ac:dyDescent="0.25">
      <c r="A1128">
        <v>5</v>
      </c>
      <c r="B1128">
        <v>6504009067</v>
      </c>
      <c r="C1128">
        <v>5972</v>
      </c>
      <c r="D1128">
        <v>38</v>
      </c>
      <c r="E1128">
        <v>743</v>
      </c>
      <c r="F1128" t="s">
        <v>1373</v>
      </c>
      <c r="G1128" t="s">
        <v>1374</v>
      </c>
      <c r="H1128">
        <v>743</v>
      </c>
      <c r="I1128" t="s">
        <v>1373</v>
      </c>
      <c r="J1128" t="s">
        <v>1374</v>
      </c>
      <c r="K1128" t="s">
        <v>49</v>
      </c>
      <c r="L1128">
        <v>20</v>
      </c>
      <c r="M1128">
        <v>0</v>
      </c>
    </row>
    <row r="1129" spans="1:13" x14ac:dyDescent="0.25">
      <c r="A1129">
        <v>5</v>
      </c>
      <c r="B1129">
        <v>6504009067</v>
      </c>
      <c r="C1129">
        <v>5972</v>
      </c>
      <c r="D1129">
        <v>39</v>
      </c>
      <c r="E1129">
        <v>743</v>
      </c>
      <c r="F1129" t="s">
        <v>1373</v>
      </c>
      <c r="G1129" t="s">
        <v>1374</v>
      </c>
      <c r="H1129">
        <v>743</v>
      </c>
      <c r="I1129" t="s">
        <v>1373</v>
      </c>
      <c r="J1129" t="s">
        <v>1374</v>
      </c>
      <c r="K1129" t="s">
        <v>49</v>
      </c>
      <c r="L1129">
        <v>20</v>
      </c>
      <c r="M1129">
        <v>0</v>
      </c>
    </row>
    <row r="1130" spans="1:13" x14ac:dyDescent="0.25">
      <c r="A1130">
        <v>5</v>
      </c>
      <c r="B1130">
        <v>6504009067</v>
      </c>
      <c r="C1130">
        <v>5972</v>
      </c>
      <c r="D1130">
        <v>40</v>
      </c>
      <c r="E1130">
        <v>743</v>
      </c>
      <c r="F1130" t="s">
        <v>1373</v>
      </c>
      <c r="G1130" t="s">
        <v>1374</v>
      </c>
      <c r="H1130">
        <v>743</v>
      </c>
      <c r="I1130" t="s">
        <v>1373</v>
      </c>
      <c r="J1130" t="s">
        <v>1374</v>
      </c>
      <c r="K1130" t="s">
        <v>49</v>
      </c>
      <c r="L1130">
        <v>21</v>
      </c>
      <c r="M1130">
        <v>0</v>
      </c>
    </row>
    <row r="1131" spans="1:13" x14ac:dyDescent="0.25">
      <c r="A1131">
        <v>5</v>
      </c>
      <c r="B1131">
        <v>6504009067</v>
      </c>
      <c r="C1131">
        <v>5972</v>
      </c>
      <c r="D1131">
        <v>41</v>
      </c>
      <c r="E1131">
        <v>919</v>
      </c>
      <c r="F1131" t="s">
        <v>287</v>
      </c>
      <c r="G1131" t="s">
        <v>288</v>
      </c>
      <c r="H1131">
        <v>919</v>
      </c>
      <c r="I1131" t="s">
        <v>287</v>
      </c>
      <c r="J1131" t="s">
        <v>288</v>
      </c>
      <c r="K1131" t="s">
        <v>49</v>
      </c>
      <c r="L1131">
        <v>10</v>
      </c>
      <c r="M1131">
        <v>10</v>
      </c>
    </row>
    <row r="1132" spans="1:13" x14ac:dyDescent="0.25">
      <c r="A1132">
        <v>24</v>
      </c>
      <c r="B1132">
        <v>5099042</v>
      </c>
      <c r="C1132">
        <v>5973</v>
      </c>
      <c r="D1132">
        <v>1</v>
      </c>
      <c r="E1132">
        <v>382</v>
      </c>
      <c r="F1132" t="s">
        <v>533</v>
      </c>
      <c r="G1132" t="s">
        <v>534</v>
      </c>
      <c r="H1132">
        <v>382</v>
      </c>
      <c r="I1132" t="s">
        <v>533</v>
      </c>
      <c r="J1132" t="s">
        <v>534</v>
      </c>
      <c r="K1132" t="s">
        <v>1375</v>
      </c>
      <c r="L1132">
        <v>1</v>
      </c>
      <c r="M1132">
        <v>1</v>
      </c>
    </row>
    <row r="1133" spans="1:13" x14ac:dyDescent="0.25">
      <c r="A1133">
        <v>24</v>
      </c>
      <c r="B1133">
        <v>5099151</v>
      </c>
      <c r="C1133">
        <v>5974</v>
      </c>
      <c r="D1133">
        <v>1</v>
      </c>
      <c r="E1133">
        <v>641</v>
      </c>
      <c r="F1133" t="s">
        <v>108</v>
      </c>
      <c r="G1133" t="s">
        <v>109</v>
      </c>
      <c r="H1133">
        <v>641</v>
      </c>
      <c r="I1133" t="s">
        <v>108</v>
      </c>
      <c r="J1133" t="s">
        <v>109</v>
      </c>
      <c r="K1133" t="s">
        <v>1376</v>
      </c>
      <c r="L1133">
        <v>1</v>
      </c>
      <c r="M1133">
        <v>1</v>
      </c>
    </row>
    <row r="1134" spans="1:13" x14ac:dyDescent="0.25">
      <c r="A1134">
        <v>4</v>
      </c>
      <c r="B1134">
        <v>9620373</v>
      </c>
      <c r="C1134">
        <v>5978</v>
      </c>
      <c r="D1134">
        <v>8</v>
      </c>
      <c r="E1134">
        <v>534</v>
      </c>
      <c r="F1134" t="s">
        <v>94</v>
      </c>
      <c r="G1134" t="s">
        <v>95</v>
      </c>
      <c r="H1134">
        <v>534</v>
      </c>
      <c r="I1134" t="s">
        <v>94</v>
      </c>
      <c r="J1134" t="s">
        <v>95</v>
      </c>
      <c r="K1134" t="s">
        <v>1377</v>
      </c>
      <c r="L1134">
        <v>1</v>
      </c>
      <c r="M1134">
        <v>1</v>
      </c>
    </row>
    <row r="1135" spans="1:13" x14ac:dyDescent="0.25">
      <c r="A1135">
        <v>4</v>
      </c>
      <c r="B1135">
        <v>9618754</v>
      </c>
      <c r="C1135">
        <v>5978</v>
      </c>
      <c r="D1135">
        <v>4</v>
      </c>
      <c r="E1135">
        <v>702</v>
      </c>
      <c r="F1135" t="s">
        <v>120</v>
      </c>
      <c r="G1135" t="s">
        <v>121</v>
      </c>
      <c r="H1135">
        <v>702</v>
      </c>
      <c r="I1135" t="s">
        <v>120</v>
      </c>
      <c r="J1135" t="s">
        <v>121</v>
      </c>
      <c r="K1135" t="s">
        <v>1378</v>
      </c>
      <c r="L1135">
        <v>1</v>
      </c>
      <c r="M1135">
        <v>1</v>
      </c>
    </row>
    <row r="1136" spans="1:13" x14ac:dyDescent="0.25">
      <c r="A1136">
        <v>4</v>
      </c>
      <c r="B1136">
        <v>9618831</v>
      </c>
      <c r="C1136">
        <v>5978</v>
      </c>
      <c r="D1136">
        <v>5</v>
      </c>
      <c r="E1136">
        <v>727</v>
      </c>
      <c r="F1136" t="s">
        <v>1160</v>
      </c>
      <c r="G1136" t="s">
        <v>1161</v>
      </c>
      <c r="H1136">
        <v>727</v>
      </c>
      <c r="I1136" t="s">
        <v>1160</v>
      </c>
      <c r="J1136" t="s">
        <v>1161</v>
      </c>
      <c r="K1136" t="s">
        <v>1379</v>
      </c>
      <c r="L1136">
        <v>1</v>
      </c>
      <c r="M1136">
        <v>1</v>
      </c>
    </row>
    <row r="1137" spans="1:13" x14ac:dyDescent="0.25">
      <c r="A1137">
        <v>4</v>
      </c>
      <c r="B1137">
        <v>9633748</v>
      </c>
      <c r="C1137">
        <v>6036</v>
      </c>
      <c r="D1137">
        <v>5</v>
      </c>
      <c r="E1137">
        <v>402</v>
      </c>
      <c r="F1137" t="s">
        <v>168</v>
      </c>
      <c r="G1137" t="s">
        <v>169</v>
      </c>
      <c r="H1137">
        <v>402</v>
      </c>
      <c r="I1137" t="s">
        <v>168</v>
      </c>
      <c r="J1137" t="s">
        <v>169</v>
      </c>
      <c r="K1137" t="s">
        <v>1380</v>
      </c>
      <c r="L1137">
        <v>1</v>
      </c>
      <c r="M1137">
        <v>1</v>
      </c>
    </row>
    <row r="1138" spans="1:13" x14ac:dyDescent="0.25">
      <c r="A1138">
        <v>4</v>
      </c>
      <c r="B1138">
        <v>9632357</v>
      </c>
      <c r="C1138">
        <v>6036</v>
      </c>
      <c r="D1138">
        <v>1</v>
      </c>
      <c r="E1138">
        <v>281</v>
      </c>
      <c r="F1138" t="s">
        <v>538</v>
      </c>
      <c r="G1138" t="s">
        <v>539</v>
      </c>
      <c r="H1138">
        <v>281</v>
      </c>
      <c r="I1138" t="s">
        <v>538</v>
      </c>
      <c r="J1138" t="s">
        <v>539</v>
      </c>
      <c r="K1138" t="s">
        <v>1381</v>
      </c>
      <c r="L1138">
        <v>1</v>
      </c>
      <c r="M1138">
        <v>1</v>
      </c>
    </row>
    <row r="1139" spans="1:13" x14ac:dyDescent="0.25">
      <c r="A1139">
        <v>4</v>
      </c>
      <c r="B1139">
        <v>9633498</v>
      </c>
      <c r="C1139">
        <v>6037</v>
      </c>
      <c r="D1139">
        <v>2</v>
      </c>
      <c r="E1139">
        <v>639</v>
      </c>
      <c r="F1139" t="s">
        <v>106</v>
      </c>
      <c r="G1139" t="s">
        <v>107</v>
      </c>
      <c r="H1139">
        <v>639</v>
      </c>
      <c r="I1139" t="s">
        <v>106</v>
      </c>
      <c r="J1139" t="s">
        <v>107</v>
      </c>
      <c r="K1139" t="s">
        <v>1382</v>
      </c>
      <c r="L1139">
        <v>1</v>
      </c>
      <c r="M1139">
        <v>1</v>
      </c>
    </row>
    <row r="1140" spans="1:13" x14ac:dyDescent="0.25">
      <c r="A1140">
        <v>4</v>
      </c>
      <c r="B1140">
        <v>9631247</v>
      </c>
      <c r="C1140">
        <v>6037</v>
      </c>
      <c r="D1140">
        <v>1</v>
      </c>
      <c r="E1140">
        <v>534</v>
      </c>
      <c r="F1140" t="s">
        <v>94</v>
      </c>
      <c r="G1140" t="s">
        <v>95</v>
      </c>
      <c r="H1140">
        <v>534</v>
      </c>
      <c r="I1140" t="s">
        <v>94</v>
      </c>
      <c r="J1140" t="s">
        <v>95</v>
      </c>
      <c r="K1140" t="s">
        <v>1383</v>
      </c>
      <c r="L1140">
        <v>1</v>
      </c>
      <c r="M1140">
        <v>1</v>
      </c>
    </row>
    <row r="1141" spans="1:13" x14ac:dyDescent="0.25">
      <c r="A1141">
        <v>9</v>
      </c>
      <c r="B1141">
        <v>9191389</v>
      </c>
      <c r="C1141">
        <v>6038</v>
      </c>
      <c r="D1141">
        <v>10</v>
      </c>
      <c r="E1141">
        <v>781</v>
      </c>
      <c r="F1141" t="s">
        <v>269</v>
      </c>
      <c r="G1141" t="s">
        <v>270</v>
      </c>
      <c r="H1141">
        <v>781</v>
      </c>
      <c r="I1141" t="s">
        <v>269</v>
      </c>
      <c r="J1141" t="s">
        <v>270</v>
      </c>
      <c r="K1141" t="s">
        <v>1384</v>
      </c>
      <c r="L1141">
        <v>1</v>
      </c>
      <c r="M1141">
        <v>1</v>
      </c>
    </row>
    <row r="1142" spans="1:13" x14ac:dyDescent="0.25">
      <c r="A1142">
        <v>9</v>
      </c>
      <c r="B1142">
        <v>9190935</v>
      </c>
      <c r="C1142">
        <v>6038</v>
      </c>
      <c r="D1142">
        <v>1</v>
      </c>
      <c r="E1142">
        <v>511</v>
      </c>
      <c r="F1142" t="s">
        <v>736</v>
      </c>
      <c r="G1142" t="s">
        <v>737</v>
      </c>
      <c r="H1142">
        <v>511</v>
      </c>
      <c r="I1142" t="s">
        <v>736</v>
      </c>
      <c r="J1142" t="s">
        <v>737</v>
      </c>
      <c r="K1142" t="s">
        <v>1385</v>
      </c>
      <c r="L1142">
        <v>1</v>
      </c>
      <c r="M1142">
        <v>0</v>
      </c>
    </row>
    <row r="1143" spans="1:13" x14ac:dyDescent="0.25">
      <c r="A1143">
        <v>9</v>
      </c>
      <c r="B1143">
        <v>9190935</v>
      </c>
      <c r="C1143">
        <v>6038</v>
      </c>
      <c r="D1143">
        <v>2</v>
      </c>
      <c r="E1143">
        <v>673</v>
      </c>
      <c r="F1143" t="s">
        <v>259</v>
      </c>
      <c r="G1143" t="s">
        <v>260</v>
      </c>
      <c r="H1143">
        <v>673</v>
      </c>
      <c r="I1143" t="s">
        <v>259</v>
      </c>
      <c r="J1143" t="s">
        <v>260</v>
      </c>
      <c r="K1143" t="s">
        <v>1386</v>
      </c>
      <c r="L1143">
        <v>2</v>
      </c>
      <c r="M1143">
        <v>2</v>
      </c>
    </row>
    <row r="1144" spans="1:13" x14ac:dyDescent="0.25">
      <c r="A1144">
        <v>9</v>
      </c>
      <c r="B1144">
        <v>9190935</v>
      </c>
      <c r="C1144">
        <v>6038</v>
      </c>
      <c r="D1144">
        <v>3</v>
      </c>
      <c r="E1144">
        <v>641</v>
      </c>
      <c r="F1144" t="s">
        <v>108</v>
      </c>
      <c r="G1144" t="s">
        <v>109</v>
      </c>
      <c r="H1144">
        <v>641</v>
      </c>
      <c r="I1144" t="s">
        <v>108</v>
      </c>
      <c r="J1144" t="s">
        <v>109</v>
      </c>
      <c r="K1144" t="s">
        <v>1387</v>
      </c>
      <c r="L1144">
        <v>1</v>
      </c>
      <c r="M1144">
        <v>1</v>
      </c>
    </row>
    <row r="1145" spans="1:13" x14ac:dyDescent="0.25">
      <c r="A1145">
        <v>9</v>
      </c>
      <c r="B1145">
        <v>9190968</v>
      </c>
      <c r="C1145">
        <v>6038</v>
      </c>
      <c r="D1145">
        <v>4</v>
      </c>
      <c r="E1145">
        <v>347</v>
      </c>
      <c r="F1145" t="s">
        <v>70</v>
      </c>
      <c r="G1145" t="s">
        <v>71</v>
      </c>
      <c r="H1145">
        <v>347</v>
      </c>
      <c r="I1145" t="s">
        <v>70</v>
      </c>
      <c r="J1145" t="s">
        <v>71</v>
      </c>
      <c r="K1145" t="s">
        <v>1388</v>
      </c>
      <c r="L1145">
        <v>1</v>
      </c>
      <c r="M1145">
        <v>1</v>
      </c>
    </row>
    <row r="1146" spans="1:13" x14ac:dyDescent="0.25">
      <c r="A1146">
        <v>9</v>
      </c>
      <c r="B1146">
        <v>9190968</v>
      </c>
      <c r="C1146">
        <v>6038</v>
      </c>
      <c r="D1146">
        <v>5</v>
      </c>
      <c r="E1146">
        <v>511</v>
      </c>
      <c r="F1146" t="s">
        <v>736</v>
      </c>
      <c r="G1146" t="s">
        <v>737</v>
      </c>
      <c r="H1146">
        <v>511</v>
      </c>
      <c r="I1146" t="s">
        <v>736</v>
      </c>
      <c r="J1146" t="s">
        <v>737</v>
      </c>
      <c r="K1146" t="s">
        <v>1389</v>
      </c>
      <c r="L1146">
        <v>1</v>
      </c>
      <c r="M1146">
        <v>1</v>
      </c>
    </row>
    <row r="1147" spans="1:13" x14ac:dyDescent="0.25">
      <c r="A1147">
        <v>9</v>
      </c>
      <c r="B1147">
        <v>9190968</v>
      </c>
      <c r="C1147">
        <v>6038</v>
      </c>
      <c r="D1147">
        <v>6</v>
      </c>
      <c r="E1147">
        <v>638</v>
      </c>
      <c r="F1147" t="s">
        <v>104</v>
      </c>
      <c r="G1147" t="s">
        <v>105</v>
      </c>
      <c r="H1147">
        <v>638</v>
      </c>
      <c r="I1147" t="s">
        <v>104</v>
      </c>
      <c r="J1147" t="s">
        <v>105</v>
      </c>
      <c r="K1147" t="s">
        <v>1390</v>
      </c>
      <c r="L1147">
        <v>1</v>
      </c>
      <c r="M1147">
        <v>1</v>
      </c>
    </row>
    <row r="1148" spans="1:13" x14ac:dyDescent="0.25">
      <c r="A1148">
        <v>9</v>
      </c>
      <c r="B1148">
        <v>9191186</v>
      </c>
      <c r="C1148">
        <v>6038</v>
      </c>
      <c r="D1148">
        <v>7</v>
      </c>
      <c r="E1148">
        <v>404</v>
      </c>
      <c r="F1148" t="s">
        <v>80</v>
      </c>
      <c r="G1148" t="s">
        <v>81</v>
      </c>
      <c r="H1148">
        <v>404</v>
      </c>
      <c r="I1148" t="s">
        <v>80</v>
      </c>
      <c r="J1148" t="s">
        <v>81</v>
      </c>
      <c r="K1148" t="s">
        <v>1391</v>
      </c>
      <c r="L1148">
        <v>1</v>
      </c>
      <c r="M1148">
        <v>1</v>
      </c>
    </row>
    <row r="1149" spans="1:13" x14ac:dyDescent="0.25">
      <c r="A1149">
        <v>9</v>
      </c>
      <c r="B1149">
        <v>9191186</v>
      </c>
      <c r="C1149">
        <v>6038</v>
      </c>
      <c r="D1149">
        <v>8</v>
      </c>
      <c r="E1149">
        <v>680</v>
      </c>
      <c r="F1149" t="s">
        <v>114</v>
      </c>
      <c r="G1149" t="s">
        <v>115</v>
      </c>
      <c r="H1149">
        <v>680</v>
      </c>
      <c r="I1149" t="s">
        <v>114</v>
      </c>
      <c r="J1149" t="s">
        <v>115</v>
      </c>
      <c r="K1149" t="s">
        <v>1392</v>
      </c>
      <c r="L1149">
        <v>1</v>
      </c>
      <c r="M1149">
        <v>1</v>
      </c>
    </row>
    <row r="1150" spans="1:13" x14ac:dyDescent="0.25">
      <c r="A1150">
        <v>9</v>
      </c>
      <c r="B1150">
        <v>9191186</v>
      </c>
      <c r="C1150">
        <v>6038</v>
      </c>
      <c r="D1150">
        <v>9</v>
      </c>
      <c r="E1150">
        <v>639</v>
      </c>
      <c r="F1150" t="s">
        <v>106</v>
      </c>
      <c r="G1150" t="s">
        <v>107</v>
      </c>
      <c r="H1150">
        <v>639</v>
      </c>
      <c r="I1150" t="s">
        <v>106</v>
      </c>
      <c r="J1150" t="s">
        <v>107</v>
      </c>
      <c r="K1150" t="s">
        <v>1393</v>
      </c>
      <c r="L1150">
        <v>1</v>
      </c>
      <c r="M1150">
        <v>1</v>
      </c>
    </row>
    <row r="1151" spans="1:13" x14ac:dyDescent="0.25">
      <c r="A1151">
        <v>9</v>
      </c>
      <c r="B1151">
        <v>9191001</v>
      </c>
      <c r="C1151">
        <v>6039</v>
      </c>
      <c r="D1151">
        <v>1</v>
      </c>
      <c r="E1151">
        <v>701</v>
      </c>
      <c r="F1151" t="s">
        <v>446</v>
      </c>
      <c r="G1151" t="s">
        <v>447</v>
      </c>
      <c r="H1151">
        <v>701</v>
      </c>
      <c r="I1151" t="s">
        <v>446</v>
      </c>
      <c r="J1151" t="s">
        <v>447</v>
      </c>
      <c r="K1151" t="s">
        <v>1394</v>
      </c>
      <c r="L1151">
        <v>1</v>
      </c>
      <c r="M1151">
        <v>1</v>
      </c>
    </row>
    <row r="1152" spans="1:13" x14ac:dyDescent="0.25">
      <c r="A1152">
        <v>9</v>
      </c>
      <c r="B1152">
        <v>9190819</v>
      </c>
      <c r="C1152">
        <v>6040</v>
      </c>
      <c r="D1152">
        <v>13</v>
      </c>
      <c r="E1152">
        <v>970</v>
      </c>
      <c r="F1152" t="s">
        <v>436</v>
      </c>
      <c r="G1152" t="s">
        <v>437</v>
      </c>
      <c r="H1152">
        <v>506</v>
      </c>
      <c r="I1152" t="s">
        <v>92</v>
      </c>
      <c r="J1152" t="s">
        <v>93</v>
      </c>
      <c r="K1152" t="s">
        <v>1395</v>
      </c>
      <c r="L1152">
        <v>1</v>
      </c>
      <c r="M1152">
        <v>1</v>
      </c>
    </row>
    <row r="1153" spans="1:13" x14ac:dyDescent="0.25">
      <c r="A1153">
        <v>9</v>
      </c>
      <c r="B1153">
        <v>9190458</v>
      </c>
      <c r="C1153">
        <v>6040</v>
      </c>
      <c r="D1153">
        <v>11</v>
      </c>
      <c r="E1153">
        <v>474</v>
      </c>
      <c r="F1153" t="s">
        <v>86</v>
      </c>
      <c r="G1153" t="s">
        <v>87</v>
      </c>
      <c r="H1153">
        <v>474</v>
      </c>
      <c r="I1153" t="s">
        <v>86</v>
      </c>
      <c r="J1153" t="s">
        <v>87</v>
      </c>
      <c r="K1153" t="s">
        <v>1396</v>
      </c>
      <c r="L1153">
        <v>1</v>
      </c>
      <c r="M1153">
        <v>1</v>
      </c>
    </row>
    <row r="1154" spans="1:13" x14ac:dyDescent="0.25">
      <c r="A1154">
        <v>9</v>
      </c>
      <c r="B1154">
        <v>9190696</v>
      </c>
      <c r="C1154">
        <v>6040</v>
      </c>
      <c r="D1154">
        <v>12</v>
      </c>
      <c r="E1154">
        <v>404</v>
      </c>
      <c r="F1154" t="s">
        <v>80</v>
      </c>
      <c r="G1154" t="s">
        <v>81</v>
      </c>
      <c r="H1154">
        <v>404</v>
      </c>
      <c r="I1154" t="s">
        <v>80</v>
      </c>
      <c r="J1154" t="s">
        <v>81</v>
      </c>
      <c r="K1154" t="s">
        <v>1397</v>
      </c>
      <c r="L1154">
        <v>1</v>
      </c>
      <c r="M1154">
        <v>1</v>
      </c>
    </row>
    <row r="1155" spans="1:13" x14ac:dyDescent="0.25">
      <c r="A1155">
        <v>9</v>
      </c>
      <c r="B1155">
        <v>9190054</v>
      </c>
      <c r="C1155">
        <v>6040</v>
      </c>
      <c r="D1155">
        <v>10</v>
      </c>
      <c r="E1155">
        <v>382</v>
      </c>
      <c r="F1155" t="s">
        <v>533</v>
      </c>
      <c r="G1155" t="s">
        <v>534</v>
      </c>
      <c r="H1155">
        <v>382</v>
      </c>
      <c r="I1155" t="s">
        <v>533</v>
      </c>
      <c r="J1155" t="s">
        <v>534</v>
      </c>
      <c r="K1155" t="s">
        <v>1398</v>
      </c>
      <c r="L1155">
        <v>1</v>
      </c>
      <c r="M1155">
        <v>1</v>
      </c>
    </row>
    <row r="1156" spans="1:13" x14ac:dyDescent="0.25">
      <c r="A1156">
        <v>9</v>
      </c>
      <c r="B1156">
        <v>9189969</v>
      </c>
      <c r="C1156">
        <v>6040</v>
      </c>
      <c r="D1156">
        <v>9</v>
      </c>
      <c r="E1156">
        <v>774</v>
      </c>
      <c r="F1156" t="s">
        <v>240</v>
      </c>
      <c r="G1156" t="s">
        <v>241</v>
      </c>
      <c r="H1156">
        <v>774</v>
      </c>
      <c r="I1156" t="s">
        <v>240</v>
      </c>
      <c r="J1156" t="s">
        <v>241</v>
      </c>
      <c r="K1156" t="s">
        <v>1399</v>
      </c>
      <c r="L1156">
        <v>1</v>
      </c>
      <c r="M1156">
        <v>1</v>
      </c>
    </row>
    <row r="1157" spans="1:13" x14ac:dyDescent="0.25">
      <c r="A1157">
        <v>9</v>
      </c>
      <c r="B1157">
        <v>9189540</v>
      </c>
      <c r="C1157">
        <v>6040</v>
      </c>
      <c r="D1157">
        <v>8</v>
      </c>
      <c r="E1157">
        <v>774</v>
      </c>
      <c r="F1157" t="s">
        <v>240</v>
      </c>
      <c r="G1157" t="s">
        <v>241</v>
      </c>
      <c r="H1157">
        <v>774</v>
      </c>
      <c r="I1157" t="s">
        <v>240</v>
      </c>
      <c r="J1157" t="s">
        <v>241</v>
      </c>
      <c r="K1157" t="s">
        <v>1400</v>
      </c>
      <c r="L1157">
        <v>1</v>
      </c>
      <c r="M1157">
        <v>1</v>
      </c>
    </row>
    <row r="1158" spans="1:13" x14ac:dyDescent="0.25">
      <c r="A1158">
        <v>9</v>
      </c>
      <c r="B1158">
        <v>9184702</v>
      </c>
      <c r="C1158">
        <v>6040</v>
      </c>
      <c r="D1158">
        <v>5</v>
      </c>
      <c r="E1158">
        <v>639</v>
      </c>
      <c r="F1158" t="s">
        <v>106</v>
      </c>
      <c r="G1158" t="s">
        <v>107</v>
      </c>
      <c r="H1158">
        <v>639</v>
      </c>
      <c r="I1158" t="s">
        <v>106</v>
      </c>
      <c r="J1158" t="s">
        <v>107</v>
      </c>
      <c r="K1158" t="s">
        <v>1401</v>
      </c>
      <c r="L1158">
        <v>1</v>
      </c>
      <c r="M1158">
        <v>1</v>
      </c>
    </row>
    <row r="1159" spans="1:13" x14ac:dyDescent="0.25">
      <c r="A1159">
        <v>9</v>
      </c>
      <c r="B1159">
        <v>9184737</v>
      </c>
      <c r="C1159">
        <v>6040</v>
      </c>
      <c r="D1159">
        <v>6</v>
      </c>
      <c r="E1159">
        <v>774</v>
      </c>
      <c r="F1159" t="s">
        <v>240</v>
      </c>
      <c r="G1159" t="s">
        <v>241</v>
      </c>
      <c r="H1159">
        <v>774</v>
      </c>
      <c r="I1159" t="s">
        <v>240</v>
      </c>
      <c r="J1159" t="s">
        <v>241</v>
      </c>
      <c r="K1159" t="s">
        <v>1402</v>
      </c>
      <c r="L1159">
        <v>1</v>
      </c>
      <c r="M1159">
        <v>1</v>
      </c>
    </row>
    <row r="1160" spans="1:13" x14ac:dyDescent="0.25">
      <c r="A1160">
        <v>9</v>
      </c>
      <c r="B1160">
        <v>9184916</v>
      </c>
      <c r="C1160">
        <v>6040</v>
      </c>
      <c r="D1160">
        <v>7</v>
      </c>
      <c r="E1160">
        <v>774</v>
      </c>
      <c r="F1160" t="s">
        <v>240</v>
      </c>
      <c r="G1160" t="s">
        <v>241</v>
      </c>
      <c r="H1160">
        <v>774</v>
      </c>
      <c r="I1160" t="s">
        <v>240</v>
      </c>
      <c r="J1160" t="s">
        <v>241</v>
      </c>
      <c r="K1160" t="s">
        <v>1403</v>
      </c>
      <c r="L1160">
        <v>1</v>
      </c>
      <c r="M1160">
        <v>1</v>
      </c>
    </row>
    <row r="1161" spans="1:13" x14ac:dyDescent="0.25">
      <c r="A1161">
        <v>9</v>
      </c>
      <c r="B1161">
        <v>9183199</v>
      </c>
      <c r="C1161">
        <v>6040</v>
      </c>
      <c r="D1161">
        <v>2</v>
      </c>
      <c r="E1161">
        <v>774</v>
      </c>
      <c r="F1161" t="s">
        <v>240</v>
      </c>
      <c r="G1161" t="s">
        <v>241</v>
      </c>
      <c r="H1161">
        <v>774</v>
      </c>
      <c r="I1161" t="s">
        <v>240</v>
      </c>
      <c r="J1161" t="s">
        <v>241</v>
      </c>
      <c r="K1161" t="s">
        <v>1404</v>
      </c>
      <c r="L1161">
        <v>1</v>
      </c>
      <c r="M1161">
        <v>1</v>
      </c>
    </row>
    <row r="1162" spans="1:13" x14ac:dyDescent="0.25">
      <c r="A1162">
        <v>9</v>
      </c>
      <c r="B1162">
        <v>9183199</v>
      </c>
      <c r="C1162">
        <v>6040</v>
      </c>
      <c r="D1162">
        <v>3</v>
      </c>
      <c r="E1162">
        <v>774</v>
      </c>
      <c r="F1162" t="s">
        <v>240</v>
      </c>
      <c r="G1162" t="s">
        <v>241</v>
      </c>
      <c r="H1162">
        <v>774</v>
      </c>
      <c r="I1162" t="s">
        <v>240</v>
      </c>
      <c r="J1162" t="s">
        <v>241</v>
      </c>
      <c r="K1162" t="s">
        <v>1405</v>
      </c>
      <c r="L1162">
        <v>1</v>
      </c>
      <c r="M1162">
        <v>1</v>
      </c>
    </row>
    <row r="1163" spans="1:13" x14ac:dyDescent="0.25">
      <c r="A1163">
        <v>9</v>
      </c>
      <c r="B1163">
        <v>9184141</v>
      </c>
      <c r="C1163">
        <v>6040</v>
      </c>
      <c r="D1163">
        <v>4</v>
      </c>
      <c r="E1163">
        <v>774</v>
      </c>
      <c r="F1163" t="s">
        <v>240</v>
      </c>
      <c r="G1163" t="s">
        <v>241</v>
      </c>
      <c r="H1163">
        <v>774</v>
      </c>
      <c r="I1163" t="s">
        <v>240</v>
      </c>
      <c r="J1163" t="s">
        <v>241</v>
      </c>
      <c r="K1163" t="s">
        <v>1406</v>
      </c>
      <c r="L1163">
        <v>1</v>
      </c>
      <c r="M1163">
        <v>1</v>
      </c>
    </row>
    <row r="1164" spans="1:13" x14ac:dyDescent="0.25">
      <c r="A1164">
        <v>9</v>
      </c>
      <c r="B1164">
        <v>9179977</v>
      </c>
      <c r="C1164">
        <v>6040</v>
      </c>
      <c r="D1164">
        <v>1</v>
      </c>
      <c r="E1164">
        <v>774</v>
      </c>
      <c r="F1164" t="s">
        <v>240</v>
      </c>
      <c r="G1164" t="s">
        <v>241</v>
      </c>
      <c r="H1164">
        <v>774</v>
      </c>
      <c r="I1164" t="s">
        <v>240</v>
      </c>
      <c r="J1164" t="s">
        <v>241</v>
      </c>
      <c r="K1164" t="s">
        <v>1407</v>
      </c>
      <c r="L1164">
        <v>1</v>
      </c>
      <c r="M1164">
        <v>1</v>
      </c>
    </row>
    <row r="1165" spans="1:13" x14ac:dyDescent="0.25">
      <c r="A1165">
        <v>8</v>
      </c>
      <c r="B1165">
        <v>9450544934</v>
      </c>
      <c r="C1165">
        <v>6041</v>
      </c>
      <c r="D1165">
        <v>2</v>
      </c>
      <c r="E1165">
        <v>735</v>
      </c>
      <c r="F1165" t="s">
        <v>126</v>
      </c>
      <c r="G1165" t="s">
        <v>127</v>
      </c>
      <c r="H1165">
        <v>735</v>
      </c>
      <c r="I1165" t="s">
        <v>126</v>
      </c>
      <c r="J1165" t="s">
        <v>127</v>
      </c>
      <c r="K1165" t="s">
        <v>835</v>
      </c>
      <c r="L1165">
        <v>1</v>
      </c>
      <c r="M1165">
        <v>1</v>
      </c>
    </row>
    <row r="1166" spans="1:13" x14ac:dyDescent="0.25">
      <c r="A1166">
        <v>8</v>
      </c>
      <c r="B1166">
        <v>9450544940</v>
      </c>
      <c r="C1166">
        <v>6041</v>
      </c>
      <c r="D1166">
        <v>3</v>
      </c>
      <c r="E1166">
        <v>704</v>
      </c>
      <c r="F1166" t="s">
        <v>122</v>
      </c>
      <c r="G1166" t="s">
        <v>123</v>
      </c>
      <c r="H1166">
        <v>704</v>
      </c>
      <c r="I1166" t="s">
        <v>122</v>
      </c>
      <c r="J1166" t="s">
        <v>123</v>
      </c>
      <c r="K1166" t="s">
        <v>1408</v>
      </c>
      <c r="L1166">
        <v>1</v>
      </c>
      <c r="M1166">
        <v>1</v>
      </c>
    </row>
    <row r="1167" spans="1:13" x14ac:dyDescent="0.25">
      <c r="A1167">
        <v>8</v>
      </c>
      <c r="B1167">
        <v>9450544931</v>
      </c>
      <c r="C1167">
        <v>6041</v>
      </c>
      <c r="D1167">
        <v>1</v>
      </c>
      <c r="E1167">
        <v>641</v>
      </c>
      <c r="F1167" t="s">
        <v>108</v>
      </c>
      <c r="G1167" t="s">
        <v>109</v>
      </c>
      <c r="H1167">
        <v>641</v>
      </c>
      <c r="I1167" t="s">
        <v>108</v>
      </c>
      <c r="J1167" t="s">
        <v>109</v>
      </c>
      <c r="K1167" t="s">
        <v>1409</v>
      </c>
      <c r="L1167">
        <v>1</v>
      </c>
      <c r="M1167">
        <v>1</v>
      </c>
    </row>
    <row r="1168" spans="1:13" x14ac:dyDescent="0.25">
      <c r="A1168">
        <v>3</v>
      </c>
      <c r="B1168">
        <v>50051498</v>
      </c>
      <c r="C1168">
        <v>6042</v>
      </c>
      <c r="D1168">
        <v>5</v>
      </c>
      <c r="E1168">
        <v>970</v>
      </c>
      <c r="F1168" t="s">
        <v>436</v>
      </c>
      <c r="G1168" t="s">
        <v>437</v>
      </c>
      <c r="H1168">
        <v>506</v>
      </c>
      <c r="I1168" t="s">
        <v>92</v>
      </c>
      <c r="J1168" t="s">
        <v>93</v>
      </c>
      <c r="K1168" t="s">
        <v>1410</v>
      </c>
      <c r="L1168">
        <v>1</v>
      </c>
      <c r="M1168">
        <v>1</v>
      </c>
    </row>
    <row r="1169" spans="1:13" x14ac:dyDescent="0.25">
      <c r="A1169">
        <v>3</v>
      </c>
      <c r="B1169">
        <v>50051498</v>
      </c>
      <c r="C1169">
        <v>6042</v>
      </c>
      <c r="D1169">
        <v>6</v>
      </c>
      <c r="E1169">
        <v>970</v>
      </c>
      <c r="F1169" t="s">
        <v>436</v>
      </c>
      <c r="G1169" t="s">
        <v>437</v>
      </c>
      <c r="H1169">
        <v>506</v>
      </c>
      <c r="I1169" t="s">
        <v>92</v>
      </c>
      <c r="J1169" t="s">
        <v>93</v>
      </c>
      <c r="K1169" t="s">
        <v>1411</v>
      </c>
      <c r="L1169">
        <v>1</v>
      </c>
      <c r="M1169">
        <v>1</v>
      </c>
    </row>
    <row r="1170" spans="1:13" x14ac:dyDescent="0.25">
      <c r="A1170">
        <v>3</v>
      </c>
      <c r="B1170">
        <v>50051498</v>
      </c>
      <c r="C1170">
        <v>6042</v>
      </c>
      <c r="D1170">
        <v>7</v>
      </c>
      <c r="E1170">
        <v>745</v>
      </c>
      <c r="F1170" t="s">
        <v>199</v>
      </c>
      <c r="G1170" t="s">
        <v>200</v>
      </c>
      <c r="H1170">
        <v>745</v>
      </c>
      <c r="I1170" t="s">
        <v>199</v>
      </c>
      <c r="J1170" t="s">
        <v>200</v>
      </c>
      <c r="K1170" t="s">
        <v>1412</v>
      </c>
      <c r="L1170">
        <v>1</v>
      </c>
      <c r="M1170">
        <v>1</v>
      </c>
    </row>
    <row r="1171" spans="1:13" x14ac:dyDescent="0.25">
      <c r="A1171">
        <v>3</v>
      </c>
      <c r="B1171">
        <v>50051498</v>
      </c>
      <c r="C1171">
        <v>6042</v>
      </c>
      <c r="D1171">
        <v>8</v>
      </c>
      <c r="E1171">
        <v>824</v>
      </c>
      <c r="F1171" t="s">
        <v>134</v>
      </c>
      <c r="G1171" t="s">
        <v>135</v>
      </c>
      <c r="H1171">
        <v>824</v>
      </c>
      <c r="I1171" t="s">
        <v>134</v>
      </c>
      <c r="J1171" t="s">
        <v>135</v>
      </c>
      <c r="K1171" t="s">
        <v>1413</v>
      </c>
      <c r="L1171">
        <v>1</v>
      </c>
      <c r="M1171">
        <v>1</v>
      </c>
    </row>
    <row r="1172" spans="1:13" x14ac:dyDescent="0.25">
      <c r="A1172">
        <v>3</v>
      </c>
      <c r="B1172">
        <v>50051498</v>
      </c>
      <c r="C1172">
        <v>6042</v>
      </c>
      <c r="D1172">
        <v>16</v>
      </c>
      <c r="E1172">
        <v>970</v>
      </c>
      <c r="F1172" t="s">
        <v>436</v>
      </c>
      <c r="G1172" t="s">
        <v>437</v>
      </c>
      <c r="H1172">
        <v>506</v>
      </c>
      <c r="I1172" t="s">
        <v>92</v>
      </c>
      <c r="J1172" t="s">
        <v>93</v>
      </c>
      <c r="K1172" t="s">
        <v>1414</v>
      </c>
      <c r="L1172">
        <v>1</v>
      </c>
      <c r="M1172">
        <v>1</v>
      </c>
    </row>
    <row r="1173" spans="1:13" x14ac:dyDescent="0.25">
      <c r="A1173">
        <v>3</v>
      </c>
      <c r="B1173">
        <v>50051498</v>
      </c>
      <c r="C1173">
        <v>6042</v>
      </c>
      <c r="D1173">
        <v>17</v>
      </c>
      <c r="E1173">
        <v>638</v>
      </c>
      <c r="F1173" t="s">
        <v>104</v>
      </c>
      <c r="G1173" t="s">
        <v>105</v>
      </c>
      <c r="H1173">
        <v>638</v>
      </c>
      <c r="I1173" t="s">
        <v>104</v>
      </c>
      <c r="J1173" t="s">
        <v>105</v>
      </c>
      <c r="K1173" t="s">
        <v>1415</v>
      </c>
      <c r="L1173">
        <v>1</v>
      </c>
      <c r="M1173">
        <v>1</v>
      </c>
    </row>
    <row r="1174" spans="1:13" x14ac:dyDescent="0.25">
      <c r="A1174">
        <v>3</v>
      </c>
      <c r="B1174">
        <v>50051549</v>
      </c>
      <c r="C1174">
        <v>6042</v>
      </c>
      <c r="D1174">
        <v>12</v>
      </c>
      <c r="E1174">
        <v>970</v>
      </c>
      <c r="F1174" t="s">
        <v>436</v>
      </c>
      <c r="G1174" t="s">
        <v>437</v>
      </c>
      <c r="H1174">
        <v>506</v>
      </c>
      <c r="I1174" t="s">
        <v>92</v>
      </c>
      <c r="J1174" t="s">
        <v>93</v>
      </c>
      <c r="K1174" t="s">
        <v>1416</v>
      </c>
      <c r="L1174">
        <v>1</v>
      </c>
      <c r="M1174">
        <v>1</v>
      </c>
    </row>
    <row r="1175" spans="1:13" x14ac:dyDescent="0.25">
      <c r="A1175">
        <v>3</v>
      </c>
      <c r="B1175">
        <v>50051549</v>
      </c>
      <c r="C1175">
        <v>6042</v>
      </c>
      <c r="D1175">
        <v>13</v>
      </c>
      <c r="E1175">
        <v>592</v>
      </c>
      <c r="F1175" t="s">
        <v>622</v>
      </c>
      <c r="G1175" t="s">
        <v>623</v>
      </c>
      <c r="H1175">
        <v>592</v>
      </c>
      <c r="I1175" t="s">
        <v>622</v>
      </c>
      <c r="J1175" t="s">
        <v>623</v>
      </c>
      <c r="K1175" t="s">
        <v>1417</v>
      </c>
      <c r="L1175">
        <v>1</v>
      </c>
      <c r="M1175">
        <v>1</v>
      </c>
    </row>
    <row r="1176" spans="1:13" x14ac:dyDescent="0.25">
      <c r="A1176">
        <v>8</v>
      </c>
      <c r="B1176">
        <v>1700540080</v>
      </c>
      <c r="C1176">
        <v>6098</v>
      </c>
      <c r="D1176">
        <v>1</v>
      </c>
      <c r="E1176">
        <v>843</v>
      </c>
      <c r="F1176" t="s">
        <v>1418</v>
      </c>
      <c r="G1176" t="s">
        <v>1419</v>
      </c>
      <c r="H1176">
        <v>843</v>
      </c>
      <c r="I1176" t="s">
        <v>1418</v>
      </c>
      <c r="J1176" t="s">
        <v>1419</v>
      </c>
      <c r="K1176" t="s">
        <v>1420</v>
      </c>
      <c r="L1176">
        <v>2</v>
      </c>
      <c r="M1176">
        <v>2</v>
      </c>
    </row>
    <row r="1177" spans="1:13" x14ac:dyDescent="0.25">
      <c r="A1177">
        <v>8</v>
      </c>
      <c r="B1177">
        <v>1700540080</v>
      </c>
      <c r="C1177">
        <v>6098</v>
      </c>
      <c r="D1177">
        <v>2</v>
      </c>
      <c r="E1177">
        <v>855</v>
      </c>
      <c r="F1177" t="s">
        <v>1421</v>
      </c>
      <c r="G1177" t="s">
        <v>1422</v>
      </c>
      <c r="H1177">
        <v>855</v>
      </c>
      <c r="I1177" t="s">
        <v>1421</v>
      </c>
      <c r="J1177" t="s">
        <v>1422</v>
      </c>
      <c r="K1177" t="s">
        <v>1423</v>
      </c>
      <c r="L1177">
        <v>1</v>
      </c>
      <c r="M1177">
        <v>0</v>
      </c>
    </row>
    <row r="1178" spans="1:13" x14ac:dyDescent="0.25">
      <c r="A1178">
        <v>8</v>
      </c>
      <c r="B1178">
        <v>4450422377</v>
      </c>
      <c r="C1178">
        <v>6099</v>
      </c>
      <c r="D1178">
        <v>1</v>
      </c>
      <c r="E1178">
        <v>824</v>
      </c>
      <c r="F1178" t="s">
        <v>134</v>
      </c>
      <c r="G1178" t="s">
        <v>135</v>
      </c>
      <c r="H1178">
        <v>824</v>
      </c>
      <c r="I1178" t="s">
        <v>134</v>
      </c>
      <c r="J1178" t="s">
        <v>135</v>
      </c>
      <c r="K1178" t="s">
        <v>231</v>
      </c>
      <c r="L1178">
        <v>44</v>
      </c>
      <c r="M1178">
        <v>44</v>
      </c>
    </row>
    <row r="1179" spans="1:13" x14ac:dyDescent="0.25">
      <c r="A1179">
        <v>3</v>
      </c>
      <c r="B1179">
        <v>50051747</v>
      </c>
      <c r="C1179">
        <v>6100</v>
      </c>
      <c r="D1179">
        <v>2</v>
      </c>
      <c r="E1179">
        <v>970</v>
      </c>
      <c r="F1179" t="s">
        <v>436</v>
      </c>
      <c r="G1179" t="s">
        <v>437</v>
      </c>
      <c r="H1179">
        <v>506</v>
      </c>
      <c r="I1179" t="s">
        <v>92</v>
      </c>
      <c r="J1179" t="s">
        <v>93</v>
      </c>
      <c r="K1179" t="s">
        <v>1424</v>
      </c>
      <c r="L1179">
        <v>1</v>
      </c>
      <c r="M1179">
        <v>1</v>
      </c>
    </row>
    <row r="1180" spans="1:13" x14ac:dyDescent="0.25">
      <c r="A1180">
        <v>3</v>
      </c>
      <c r="B1180">
        <v>50051747</v>
      </c>
      <c r="C1180">
        <v>6100</v>
      </c>
      <c r="D1180">
        <v>7</v>
      </c>
      <c r="E1180">
        <v>970</v>
      </c>
      <c r="F1180" t="s">
        <v>436</v>
      </c>
      <c r="G1180" t="s">
        <v>437</v>
      </c>
      <c r="H1180">
        <v>506</v>
      </c>
      <c r="I1180" t="s">
        <v>92</v>
      </c>
      <c r="J1180" t="s">
        <v>93</v>
      </c>
      <c r="K1180" t="s">
        <v>1425</v>
      </c>
      <c r="L1180">
        <v>1</v>
      </c>
      <c r="M1180">
        <v>1</v>
      </c>
    </row>
    <row r="1181" spans="1:13" x14ac:dyDescent="0.25">
      <c r="A1181">
        <v>3</v>
      </c>
      <c r="B1181">
        <v>50051748</v>
      </c>
      <c r="C1181">
        <v>6100</v>
      </c>
      <c r="D1181">
        <v>3</v>
      </c>
      <c r="E1181">
        <v>970</v>
      </c>
      <c r="F1181" t="s">
        <v>436</v>
      </c>
      <c r="G1181" t="s">
        <v>437</v>
      </c>
      <c r="H1181">
        <v>506</v>
      </c>
      <c r="I1181" t="s">
        <v>92</v>
      </c>
      <c r="J1181" t="s">
        <v>93</v>
      </c>
      <c r="K1181" t="s">
        <v>1426</v>
      </c>
      <c r="L1181">
        <v>1</v>
      </c>
      <c r="M1181">
        <v>1</v>
      </c>
    </row>
    <row r="1182" spans="1:13" x14ac:dyDescent="0.25">
      <c r="A1182">
        <v>3</v>
      </c>
      <c r="B1182">
        <v>50051748</v>
      </c>
      <c r="C1182">
        <v>6100</v>
      </c>
      <c r="D1182">
        <v>4</v>
      </c>
      <c r="E1182">
        <v>970</v>
      </c>
      <c r="F1182" t="s">
        <v>436</v>
      </c>
      <c r="G1182" t="s">
        <v>437</v>
      </c>
      <c r="H1182">
        <v>506</v>
      </c>
      <c r="I1182" t="s">
        <v>92</v>
      </c>
      <c r="J1182" t="s">
        <v>93</v>
      </c>
      <c r="K1182" t="s">
        <v>1427</v>
      </c>
      <c r="L1182">
        <v>1</v>
      </c>
      <c r="M1182">
        <v>1</v>
      </c>
    </row>
    <row r="1183" spans="1:13" x14ac:dyDescent="0.25">
      <c r="A1183">
        <v>3</v>
      </c>
      <c r="B1183">
        <v>50051748</v>
      </c>
      <c r="C1183">
        <v>6100</v>
      </c>
      <c r="D1183">
        <v>5</v>
      </c>
      <c r="E1183">
        <v>970</v>
      </c>
      <c r="F1183" t="s">
        <v>436</v>
      </c>
      <c r="G1183" t="s">
        <v>437</v>
      </c>
      <c r="H1183">
        <v>506</v>
      </c>
      <c r="I1183" t="s">
        <v>92</v>
      </c>
      <c r="J1183" t="s">
        <v>93</v>
      </c>
      <c r="K1183" t="s">
        <v>1428</v>
      </c>
      <c r="L1183">
        <v>1</v>
      </c>
      <c r="M1183">
        <v>1</v>
      </c>
    </row>
    <row r="1184" spans="1:13" x14ac:dyDescent="0.25">
      <c r="A1184">
        <v>3</v>
      </c>
      <c r="B1184">
        <v>50051748</v>
      </c>
      <c r="C1184">
        <v>6100</v>
      </c>
      <c r="D1184">
        <v>6</v>
      </c>
      <c r="E1184">
        <v>680</v>
      </c>
      <c r="F1184" t="s">
        <v>114</v>
      </c>
      <c r="G1184" t="s">
        <v>115</v>
      </c>
      <c r="H1184">
        <v>680</v>
      </c>
      <c r="I1184" t="s">
        <v>114</v>
      </c>
      <c r="J1184" t="s">
        <v>115</v>
      </c>
      <c r="K1184" t="s">
        <v>1429</v>
      </c>
      <c r="L1184">
        <v>1</v>
      </c>
      <c r="M1184">
        <v>1</v>
      </c>
    </row>
    <row r="1185" spans="1:13" x14ac:dyDescent="0.25">
      <c r="A1185">
        <v>3</v>
      </c>
      <c r="B1185">
        <v>50051451</v>
      </c>
      <c r="C1185">
        <v>6100</v>
      </c>
      <c r="D1185">
        <v>1</v>
      </c>
      <c r="E1185">
        <v>680</v>
      </c>
      <c r="F1185" t="s">
        <v>114</v>
      </c>
      <c r="G1185" t="s">
        <v>115</v>
      </c>
      <c r="H1185">
        <v>680</v>
      </c>
      <c r="I1185" t="s">
        <v>114</v>
      </c>
      <c r="J1185" t="s">
        <v>115</v>
      </c>
      <c r="K1185" t="s">
        <v>1430</v>
      </c>
      <c r="L1185">
        <v>1</v>
      </c>
      <c r="M1185">
        <v>1</v>
      </c>
    </row>
    <row r="1186" spans="1:13" x14ac:dyDescent="0.25">
      <c r="A1186">
        <v>2</v>
      </c>
      <c r="B1186">
        <v>8669264</v>
      </c>
      <c r="C1186">
        <v>6101</v>
      </c>
      <c r="D1186">
        <v>1</v>
      </c>
      <c r="E1186">
        <v>685</v>
      </c>
      <c r="F1186" t="s">
        <v>263</v>
      </c>
      <c r="G1186" t="s">
        <v>264</v>
      </c>
      <c r="H1186">
        <v>685</v>
      </c>
      <c r="I1186" t="s">
        <v>263</v>
      </c>
      <c r="J1186" t="s">
        <v>264</v>
      </c>
      <c r="K1186" t="s">
        <v>152</v>
      </c>
      <c r="L1186">
        <v>8</v>
      </c>
      <c r="M1186">
        <v>4</v>
      </c>
    </row>
    <row r="1187" spans="1:13" x14ac:dyDescent="0.25">
      <c r="A1187">
        <v>2</v>
      </c>
      <c r="B1187">
        <v>8669264</v>
      </c>
      <c r="C1187">
        <v>6101</v>
      </c>
      <c r="D1187">
        <v>2</v>
      </c>
      <c r="E1187">
        <v>686</v>
      </c>
      <c r="F1187" t="s">
        <v>372</v>
      </c>
      <c r="G1187" t="s">
        <v>373</v>
      </c>
      <c r="H1187">
        <v>686</v>
      </c>
      <c r="I1187" t="s">
        <v>372</v>
      </c>
      <c r="J1187" t="s">
        <v>373</v>
      </c>
      <c r="K1187" t="s">
        <v>154</v>
      </c>
      <c r="L1187">
        <v>4</v>
      </c>
      <c r="M1187">
        <v>4</v>
      </c>
    </row>
    <row r="1188" spans="1:13" x14ac:dyDescent="0.25">
      <c r="A1188">
        <v>2</v>
      </c>
      <c r="B1188">
        <v>8669264</v>
      </c>
      <c r="C1188">
        <v>6101</v>
      </c>
      <c r="D1188">
        <v>3</v>
      </c>
      <c r="E1188">
        <v>789</v>
      </c>
      <c r="F1188" t="s">
        <v>265</v>
      </c>
      <c r="G1188" t="s">
        <v>266</v>
      </c>
      <c r="H1188">
        <v>789</v>
      </c>
      <c r="I1188" t="s">
        <v>265</v>
      </c>
      <c r="J1188" t="s">
        <v>266</v>
      </c>
      <c r="K1188" t="s">
        <v>153</v>
      </c>
      <c r="L1188">
        <v>2</v>
      </c>
      <c r="M1188">
        <v>2</v>
      </c>
    </row>
    <row r="1189" spans="1:13" x14ac:dyDescent="0.25">
      <c r="A1189">
        <v>3</v>
      </c>
      <c r="B1189">
        <v>50051498</v>
      </c>
      <c r="C1189">
        <v>6102</v>
      </c>
      <c r="D1189">
        <v>1</v>
      </c>
      <c r="E1189">
        <v>970</v>
      </c>
      <c r="F1189" t="s">
        <v>436</v>
      </c>
      <c r="G1189" t="s">
        <v>437</v>
      </c>
      <c r="H1189">
        <v>506</v>
      </c>
      <c r="I1189" t="s">
        <v>92</v>
      </c>
      <c r="J1189" t="s">
        <v>93</v>
      </c>
      <c r="K1189" t="s">
        <v>1410</v>
      </c>
      <c r="L1189">
        <v>1</v>
      </c>
      <c r="M1189">
        <v>1</v>
      </c>
    </row>
    <row r="1190" spans="1:13" x14ac:dyDescent="0.25">
      <c r="A1190">
        <v>5</v>
      </c>
      <c r="B1190">
        <v>6504023078</v>
      </c>
      <c r="C1190">
        <v>6103</v>
      </c>
      <c r="D1190">
        <v>1</v>
      </c>
      <c r="E1190">
        <v>782</v>
      </c>
      <c r="F1190" t="s">
        <v>1245</v>
      </c>
      <c r="G1190" t="s">
        <v>1246</v>
      </c>
      <c r="H1190">
        <v>782</v>
      </c>
      <c r="I1190" t="s">
        <v>1245</v>
      </c>
      <c r="J1190" t="s">
        <v>1246</v>
      </c>
      <c r="K1190" t="s">
        <v>49</v>
      </c>
      <c r="L1190">
        <v>1</v>
      </c>
      <c r="M1190">
        <v>1</v>
      </c>
    </row>
    <row r="1191" spans="1:13" x14ac:dyDescent="0.25">
      <c r="A1191">
        <v>5</v>
      </c>
      <c r="B1191">
        <v>6504025336</v>
      </c>
      <c r="C1191">
        <v>6103</v>
      </c>
      <c r="D1191">
        <v>2</v>
      </c>
      <c r="E1191">
        <v>892</v>
      </c>
      <c r="F1191" t="s">
        <v>142</v>
      </c>
      <c r="G1191" t="s">
        <v>143</v>
      </c>
      <c r="H1191">
        <v>746</v>
      </c>
      <c r="I1191" t="s">
        <v>170</v>
      </c>
      <c r="J1191" t="s">
        <v>171</v>
      </c>
      <c r="K1191" t="s">
        <v>49</v>
      </c>
      <c r="L1191">
        <v>1</v>
      </c>
      <c r="M1191">
        <v>1</v>
      </c>
    </row>
    <row r="1192" spans="1:13" x14ac:dyDescent="0.25">
      <c r="A1192">
        <v>5</v>
      </c>
      <c r="B1192">
        <v>6504025358</v>
      </c>
      <c r="C1192">
        <v>6103</v>
      </c>
      <c r="D1192">
        <v>3</v>
      </c>
      <c r="E1192">
        <v>753</v>
      </c>
      <c r="F1192" t="s">
        <v>223</v>
      </c>
      <c r="G1192" t="s">
        <v>224</v>
      </c>
      <c r="H1192">
        <v>753</v>
      </c>
      <c r="I1192" t="s">
        <v>223</v>
      </c>
      <c r="J1192" t="s">
        <v>224</v>
      </c>
      <c r="K1192" t="s">
        <v>49</v>
      </c>
      <c r="L1192">
        <v>1</v>
      </c>
      <c r="M1192">
        <v>1</v>
      </c>
    </row>
    <row r="1193" spans="1:13" x14ac:dyDescent="0.25">
      <c r="A1193">
        <v>4</v>
      </c>
      <c r="B1193">
        <v>9642328</v>
      </c>
      <c r="C1193">
        <v>6104</v>
      </c>
      <c r="D1193">
        <v>1</v>
      </c>
      <c r="E1193">
        <v>141</v>
      </c>
      <c r="F1193" t="s">
        <v>64</v>
      </c>
      <c r="G1193" t="s">
        <v>65</v>
      </c>
      <c r="H1193">
        <v>141</v>
      </c>
      <c r="I1193" t="s">
        <v>64</v>
      </c>
      <c r="J1193" t="s">
        <v>65</v>
      </c>
      <c r="K1193" t="s">
        <v>1431</v>
      </c>
      <c r="L1193">
        <v>1</v>
      </c>
      <c r="M1193">
        <v>1</v>
      </c>
    </row>
    <row r="1194" spans="1:13" x14ac:dyDescent="0.25">
      <c r="A1194">
        <v>4</v>
      </c>
      <c r="B1194">
        <v>9642436</v>
      </c>
      <c r="C1194">
        <v>6104</v>
      </c>
      <c r="D1194">
        <v>2</v>
      </c>
      <c r="E1194">
        <v>400</v>
      </c>
      <c r="F1194" t="s">
        <v>74</v>
      </c>
      <c r="G1194" t="s">
        <v>75</v>
      </c>
      <c r="H1194">
        <v>400</v>
      </c>
      <c r="I1194" t="s">
        <v>74</v>
      </c>
      <c r="J1194" t="s">
        <v>75</v>
      </c>
      <c r="K1194" t="s">
        <v>1432</v>
      </c>
      <c r="L1194">
        <v>2</v>
      </c>
      <c r="M1194">
        <v>2</v>
      </c>
    </row>
    <row r="1195" spans="1:13" x14ac:dyDescent="0.25">
      <c r="A1195">
        <v>4</v>
      </c>
      <c r="B1195">
        <v>9643255</v>
      </c>
      <c r="C1195">
        <v>6104</v>
      </c>
      <c r="D1195">
        <v>3</v>
      </c>
      <c r="E1195">
        <v>704</v>
      </c>
      <c r="F1195" t="s">
        <v>122</v>
      </c>
      <c r="G1195" t="s">
        <v>123</v>
      </c>
      <c r="H1195">
        <v>704</v>
      </c>
      <c r="I1195" t="s">
        <v>122</v>
      </c>
      <c r="J1195" t="s">
        <v>123</v>
      </c>
      <c r="K1195" t="s">
        <v>1433</v>
      </c>
      <c r="L1195">
        <v>1</v>
      </c>
      <c r="M1195">
        <v>1</v>
      </c>
    </row>
    <row r="1196" spans="1:13" x14ac:dyDescent="0.25">
      <c r="A1196">
        <v>4</v>
      </c>
      <c r="B1196">
        <v>9643490</v>
      </c>
      <c r="C1196">
        <v>6104</v>
      </c>
      <c r="D1196">
        <v>4</v>
      </c>
      <c r="E1196">
        <v>905</v>
      </c>
      <c r="F1196" t="s">
        <v>146</v>
      </c>
      <c r="G1196" t="s">
        <v>147</v>
      </c>
      <c r="H1196">
        <v>794</v>
      </c>
      <c r="I1196" t="s">
        <v>780</v>
      </c>
      <c r="J1196" t="s">
        <v>781</v>
      </c>
      <c r="K1196" t="s">
        <v>1434</v>
      </c>
      <c r="L1196">
        <v>1</v>
      </c>
      <c r="M1196">
        <v>1</v>
      </c>
    </row>
    <row r="1197" spans="1:13" x14ac:dyDescent="0.25">
      <c r="A1197">
        <v>4</v>
      </c>
      <c r="B1197">
        <v>9643777</v>
      </c>
      <c r="C1197">
        <v>6104</v>
      </c>
      <c r="D1197">
        <v>5</v>
      </c>
      <c r="E1197">
        <v>115</v>
      </c>
      <c r="F1197" t="s">
        <v>1219</v>
      </c>
      <c r="G1197" t="s">
        <v>1220</v>
      </c>
      <c r="H1197">
        <v>115</v>
      </c>
      <c r="I1197" t="s">
        <v>1219</v>
      </c>
      <c r="J1197" t="s">
        <v>1220</v>
      </c>
      <c r="K1197" t="s">
        <v>1435</v>
      </c>
      <c r="L1197">
        <v>1</v>
      </c>
      <c r="M1197">
        <v>0</v>
      </c>
    </row>
    <row r="1198" spans="1:13" x14ac:dyDescent="0.25">
      <c r="A1198">
        <v>4</v>
      </c>
      <c r="B1198">
        <v>9650097</v>
      </c>
      <c r="C1198">
        <v>6105</v>
      </c>
      <c r="D1198">
        <v>14</v>
      </c>
      <c r="E1198">
        <v>700</v>
      </c>
      <c r="F1198" t="s">
        <v>118</v>
      </c>
      <c r="G1198" t="s">
        <v>119</v>
      </c>
      <c r="H1198">
        <v>700</v>
      </c>
      <c r="I1198" t="s">
        <v>118</v>
      </c>
      <c r="J1198" t="s">
        <v>119</v>
      </c>
      <c r="K1198" t="s">
        <v>1436</v>
      </c>
      <c r="L1198">
        <v>1</v>
      </c>
      <c r="M1198">
        <v>1</v>
      </c>
    </row>
    <row r="1199" spans="1:13" x14ac:dyDescent="0.25">
      <c r="A1199">
        <v>4</v>
      </c>
      <c r="B1199">
        <v>9651174</v>
      </c>
      <c r="C1199">
        <v>6105</v>
      </c>
      <c r="D1199">
        <v>15</v>
      </c>
      <c r="E1199">
        <v>584</v>
      </c>
      <c r="F1199" t="s">
        <v>96</v>
      </c>
      <c r="G1199" t="s">
        <v>97</v>
      </c>
      <c r="H1199">
        <v>584</v>
      </c>
      <c r="I1199" t="s">
        <v>96</v>
      </c>
      <c r="J1199" t="s">
        <v>97</v>
      </c>
      <c r="K1199" t="s">
        <v>1437</v>
      </c>
      <c r="L1199">
        <v>1</v>
      </c>
      <c r="M1199">
        <v>1</v>
      </c>
    </row>
    <row r="1200" spans="1:13" x14ac:dyDescent="0.25">
      <c r="A1200">
        <v>4</v>
      </c>
      <c r="B1200">
        <v>9651194</v>
      </c>
      <c r="C1200">
        <v>6105</v>
      </c>
      <c r="D1200">
        <v>16</v>
      </c>
      <c r="E1200">
        <v>403</v>
      </c>
      <c r="F1200" t="s">
        <v>78</v>
      </c>
      <c r="G1200" t="s">
        <v>79</v>
      </c>
      <c r="H1200">
        <v>403</v>
      </c>
      <c r="I1200" t="s">
        <v>78</v>
      </c>
      <c r="J1200" t="s">
        <v>79</v>
      </c>
      <c r="K1200" t="s">
        <v>1438</v>
      </c>
      <c r="L1200">
        <v>2</v>
      </c>
      <c r="M1200">
        <v>2</v>
      </c>
    </row>
    <row r="1201" spans="1:13" x14ac:dyDescent="0.25">
      <c r="A1201">
        <v>4</v>
      </c>
      <c r="B1201">
        <v>9651724</v>
      </c>
      <c r="C1201">
        <v>6105</v>
      </c>
      <c r="D1201">
        <v>17</v>
      </c>
      <c r="E1201">
        <v>491</v>
      </c>
      <c r="F1201" t="s">
        <v>374</v>
      </c>
      <c r="G1201" t="s">
        <v>375</v>
      </c>
      <c r="H1201">
        <v>491</v>
      </c>
      <c r="I1201" t="s">
        <v>374</v>
      </c>
      <c r="J1201" t="s">
        <v>375</v>
      </c>
      <c r="K1201" t="s">
        <v>1439</v>
      </c>
      <c r="L1201">
        <v>1</v>
      </c>
      <c r="M1201">
        <v>1</v>
      </c>
    </row>
    <row r="1202" spans="1:13" x14ac:dyDescent="0.25">
      <c r="A1202">
        <v>4</v>
      </c>
      <c r="B1202">
        <v>9651865</v>
      </c>
      <c r="C1202">
        <v>6105</v>
      </c>
      <c r="D1202">
        <v>18</v>
      </c>
      <c r="E1202">
        <v>821</v>
      </c>
      <c r="F1202" t="s">
        <v>132</v>
      </c>
      <c r="G1202" t="s">
        <v>133</v>
      </c>
      <c r="H1202">
        <v>821</v>
      </c>
      <c r="I1202" t="s">
        <v>132</v>
      </c>
      <c r="J1202" t="s">
        <v>133</v>
      </c>
      <c r="K1202" t="s">
        <v>1440</v>
      </c>
      <c r="L1202">
        <v>1</v>
      </c>
      <c r="M1202">
        <v>1</v>
      </c>
    </row>
    <row r="1203" spans="1:13" x14ac:dyDescent="0.25">
      <c r="A1203">
        <v>4</v>
      </c>
      <c r="B1203">
        <v>9651947</v>
      </c>
      <c r="C1203">
        <v>6105</v>
      </c>
      <c r="D1203">
        <v>19</v>
      </c>
      <c r="E1203">
        <v>703</v>
      </c>
      <c r="F1203" t="s">
        <v>461</v>
      </c>
      <c r="G1203" t="s">
        <v>462</v>
      </c>
      <c r="H1203">
        <v>703</v>
      </c>
      <c r="I1203" t="s">
        <v>461</v>
      </c>
      <c r="J1203" t="s">
        <v>462</v>
      </c>
      <c r="K1203" t="s">
        <v>1441</v>
      </c>
      <c r="L1203">
        <v>1</v>
      </c>
      <c r="M1203">
        <v>1</v>
      </c>
    </row>
    <row r="1204" spans="1:13" x14ac:dyDescent="0.25">
      <c r="A1204">
        <v>4</v>
      </c>
      <c r="B1204">
        <v>9648163</v>
      </c>
      <c r="C1204">
        <v>6105</v>
      </c>
      <c r="D1204">
        <v>10</v>
      </c>
      <c r="E1204">
        <v>501</v>
      </c>
      <c r="F1204" t="s">
        <v>90</v>
      </c>
      <c r="G1204" t="s">
        <v>91</v>
      </c>
      <c r="H1204">
        <v>501</v>
      </c>
      <c r="I1204" t="s">
        <v>90</v>
      </c>
      <c r="J1204" t="s">
        <v>91</v>
      </c>
      <c r="K1204" t="s">
        <v>1442</v>
      </c>
      <c r="L1204">
        <v>1</v>
      </c>
      <c r="M1204">
        <v>1</v>
      </c>
    </row>
    <row r="1205" spans="1:13" x14ac:dyDescent="0.25">
      <c r="A1205">
        <v>4</v>
      </c>
      <c r="B1205">
        <v>9648311</v>
      </c>
      <c r="C1205">
        <v>6105</v>
      </c>
      <c r="D1205">
        <v>11</v>
      </c>
      <c r="E1205">
        <v>499</v>
      </c>
      <c r="F1205" t="s">
        <v>376</v>
      </c>
      <c r="G1205" t="s">
        <v>377</v>
      </c>
      <c r="H1205">
        <v>499</v>
      </c>
      <c r="I1205" t="s">
        <v>376</v>
      </c>
      <c r="J1205" t="s">
        <v>377</v>
      </c>
      <c r="K1205" t="s">
        <v>1443</v>
      </c>
      <c r="L1205">
        <v>1</v>
      </c>
      <c r="M1205">
        <v>1</v>
      </c>
    </row>
    <row r="1206" spans="1:13" x14ac:dyDescent="0.25">
      <c r="A1206">
        <v>4</v>
      </c>
      <c r="B1206">
        <v>9648807</v>
      </c>
      <c r="C1206">
        <v>6105</v>
      </c>
      <c r="D1206">
        <v>12</v>
      </c>
      <c r="E1206">
        <v>702</v>
      </c>
      <c r="F1206" t="s">
        <v>120</v>
      </c>
      <c r="G1206" t="s">
        <v>121</v>
      </c>
      <c r="H1206">
        <v>702</v>
      </c>
      <c r="I1206" t="s">
        <v>120</v>
      </c>
      <c r="J1206" t="s">
        <v>121</v>
      </c>
      <c r="K1206" t="s">
        <v>1444</v>
      </c>
      <c r="L1206">
        <v>1</v>
      </c>
      <c r="M1206">
        <v>1</v>
      </c>
    </row>
    <row r="1207" spans="1:13" x14ac:dyDescent="0.25">
      <c r="A1207">
        <v>4</v>
      </c>
      <c r="B1207">
        <v>9648886</v>
      </c>
      <c r="C1207">
        <v>6105</v>
      </c>
      <c r="D1207">
        <v>13</v>
      </c>
      <c r="E1207">
        <v>404</v>
      </c>
      <c r="F1207" t="s">
        <v>80</v>
      </c>
      <c r="G1207" t="s">
        <v>81</v>
      </c>
      <c r="H1207">
        <v>404</v>
      </c>
      <c r="I1207" t="s">
        <v>80</v>
      </c>
      <c r="J1207" t="s">
        <v>81</v>
      </c>
      <c r="K1207" t="s">
        <v>1445</v>
      </c>
      <c r="L1207">
        <v>1</v>
      </c>
      <c r="M1207">
        <v>1</v>
      </c>
    </row>
    <row r="1208" spans="1:13" x14ac:dyDescent="0.25">
      <c r="A1208">
        <v>4</v>
      </c>
      <c r="B1208">
        <v>9646881</v>
      </c>
      <c r="C1208">
        <v>6105</v>
      </c>
      <c r="D1208">
        <v>7</v>
      </c>
      <c r="E1208">
        <v>400</v>
      </c>
      <c r="F1208" t="s">
        <v>74</v>
      </c>
      <c r="G1208" t="s">
        <v>75</v>
      </c>
      <c r="H1208">
        <v>400</v>
      </c>
      <c r="I1208" t="s">
        <v>74</v>
      </c>
      <c r="J1208" t="s">
        <v>75</v>
      </c>
      <c r="K1208" t="s">
        <v>1446</v>
      </c>
      <c r="L1208">
        <v>1</v>
      </c>
      <c r="M1208">
        <v>1</v>
      </c>
    </row>
    <row r="1209" spans="1:13" x14ac:dyDescent="0.25">
      <c r="A1209">
        <v>4</v>
      </c>
      <c r="B1209">
        <v>9647902</v>
      </c>
      <c r="C1209">
        <v>6105</v>
      </c>
      <c r="D1209">
        <v>8</v>
      </c>
      <c r="E1209">
        <v>704</v>
      </c>
      <c r="F1209" t="s">
        <v>122</v>
      </c>
      <c r="G1209" t="s">
        <v>123</v>
      </c>
      <c r="H1209">
        <v>704</v>
      </c>
      <c r="I1209" t="s">
        <v>122</v>
      </c>
      <c r="J1209" t="s">
        <v>123</v>
      </c>
      <c r="K1209" t="s">
        <v>1447</v>
      </c>
      <c r="L1209">
        <v>1</v>
      </c>
      <c r="M1209">
        <v>1</v>
      </c>
    </row>
    <row r="1210" spans="1:13" x14ac:dyDescent="0.25">
      <c r="A1210">
        <v>4</v>
      </c>
      <c r="B1210">
        <v>9648099</v>
      </c>
      <c r="C1210">
        <v>6105</v>
      </c>
      <c r="D1210">
        <v>9</v>
      </c>
      <c r="E1210">
        <v>179</v>
      </c>
      <c r="F1210" t="s">
        <v>66</v>
      </c>
      <c r="G1210" t="s">
        <v>67</v>
      </c>
      <c r="H1210">
        <v>179</v>
      </c>
      <c r="I1210" t="s">
        <v>66</v>
      </c>
      <c r="J1210" t="s">
        <v>67</v>
      </c>
      <c r="K1210" t="s">
        <v>1448</v>
      </c>
      <c r="L1210">
        <v>1</v>
      </c>
      <c r="M1210">
        <v>1</v>
      </c>
    </row>
    <row r="1211" spans="1:13" x14ac:dyDescent="0.25">
      <c r="A1211">
        <v>4</v>
      </c>
      <c r="B1211">
        <v>9644680</v>
      </c>
      <c r="C1211">
        <v>6105</v>
      </c>
      <c r="D1211">
        <v>2</v>
      </c>
      <c r="E1211">
        <v>584</v>
      </c>
      <c r="F1211" t="s">
        <v>96</v>
      </c>
      <c r="G1211" t="s">
        <v>97</v>
      </c>
      <c r="H1211">
        <v>584</v>
      </c>
      <c r="I1211" t="s">
        <v>96</v>
      </c>
      <c r="J1211" t="s">
        <v>97</v>
      </c>
      <c r="K1211" t="s">
        <v>1449</v>
      </c>
      <c r="L1211">
        <v>1</v>
      </c>
      <c r="M1211">
        <v>1</v>
      </c>
    </row>
    <row r="1212" spans="1:13" x14ac:dyDescent="0.25">
      <c r="A1212">
        <v>4</v>
      </c>
      <c r="B1212">
        <v>9644734</v>
      </c>
      <c r="C1212">
        <v>6105</v>
      </c>
      <c r="D1212">
        <v>3</v>
      </c>
      <c r="E1212">
        <v>13</v>
      </c>
      <c r="F1212" t="s">
        <v>62</v>
      </c>
      <c r="G1212" t="s">
        <v>63</v>
      </c>
      <c r="H1212">
        <v>13</v>
      </c>
      <c r="I1212" t="s">
        <v>62</v>
      </c>
      <c r="J1212" t="s">
        <v>63</v>
      </c>
      <c r="K1212" t="s">
        <v>1450</v>
      </c>
      <c r="L1212">
        <v>1</v>
      </c>
      <c r="M1212">
        <v>1</v>
      </c>
    </row>
    <row r="1213" spans="1:13" x14ac:dyDescent="0.25">
      <c r="A1213">
        <v>4</v>
      </c>
      <c r="B1213">
        <v>9644936</v>
      </c>
      <c r="C1213">
        <v>6105</v>
      </c>
      <c r="D1213">
        <v>4</v>
      </c>
      <c r="E1213">
        <v>13</v>
      </c>
      <c r="F1213" t="s">
        <v>62</v>
      </c>
      <c r="G1213" t="s">
        <v>63</v>
      </c>
      <c r="H1213">
        <v>13</v>
      </c>
      <c r="I1213" t="s">
        <v>62</v>
      </c>
      <c r="J1213" t="s">
        <v>63</v>
      </c>
      <c r="K1213" t="s">
        <v>1451</v>
      </c>
      <c r="L1213">
        <v>1</v>
      </c>
      <c r="M1213">
        <v>1</v>
      </c>
    </row>
    <row r="1214" spans="1:13" x14ac:dyDescent="0.25">
      <c r="A1214">
        <v>4</v>
      </c>
      <c r="B1214">
        <v>9645025</v>
      </c>
      <c r="C1214">
        <v>6105</v>
      </c>
      <c r="D1214">
        <v>5</v>
      </c>
      <c r="E1214">
        <v>567</v>
      </c>
      <c r="F1214" t="s">
        <v>938</v>
      </c>
      <c r="G1214" t="s">
        <v>939</v>
      </c>
      <c r="H1214">
        <v>567</v>
      </c>
      <c r="I1214" t="s">
        <v>938</v>
      </c>
      <c r="J1214" t="s">
        <v>939</v>
      </c>
      <c r="K1214" t="s">
        <v>1452</v>
      </c>
      <c r="L1214">
        <v>1</v>
      </c>
      <c r="M1214">
        <v>1</v>
      </c>
    </row>
    <row r="1215" spans="1:13" x14ac:dyDescent="0.25">
      <c r="A1215">
        <v>4</v>
      </c>
      <c r="B1215">
        <v>9645192</v>
      </c>
      <c r="C1215">
        <v>6105</v>
      </c>
      <c r="D1215">
        <v>6</v>
      </c>
      <c r="E1215">
        <v>501</v>
      </c>
      <c r="F1215" t="s">
        <v>90</v>
      </c>
      <c r="G1215" t="s">
        <v>91</v>
      </c>
      <c r="H1215">
        <v>501</v>
      </c>
      <c r="I1215" t="s">
        <v>90</v>
      </c>
      <c r="J1215" t="s">
        <v>91</v>
      </c>
      <c r="K1215" t="s">
        <v>1453</v>
      </c>
      <c r="L1215">
        <v>1</v>
      </c>
      <c r="M1215">
        <v>1</v>
      </c>
    </row>
    <row r="1216" spans="1:13" x14ac:dyDescent="0.25">
      <c r="A1216">
        <v>4</v>
      </c>
      <c r="B1216">
        <v>9644660</v>
      </c>
      <c r="C1216">
        <v>6105</v>
      </c>
      <c r="D1216">
        <v>1</v>
      </c>
      <c r="E1216">
        <v>700</v>
      </c>
      <c r="F1216" t="s">
        <v>118</v>
      </c>
      <c r="G1216" t="s">
        <v>119</v>
      </c>
      <c r="H1216">
        <v>700</v>
      </c>
      <c r="I1216" t="s">
        <v>118</v>
      </c>
      <c r="J1216" t="s">
        <v>119</v>
      </c>
      <c r="K1216" t="s">
        <v>1454</v>
      </c>
      <c r="L1216">
        <v>1</v>
      </c>
      <c r="M1216">
        <v>1</v>
      </c>
    </row>
    <row r="1217" spans="1:13" x14ac:dyDescent="0.25">
      <c r="A1217">
        <v>4</v>
      </c>
      <c r="B1217">
        <v>9658732</v>
      </c>
      <c r="C1217">
        <v>6156</v>
      </c>
      <c r="D1217">
        <v>4</v>
      </c>
      <c r="E1217">
        <v>494</v>
      </c>
      <c r="F1217" t="s">
        <v>285</v>
      </c>
      <c r="G1217" t="s">
        <v>286</v>
      </c>
      <c r="H1217">
        <v>494</v>
      </c>
      <c r="I1217" t="s">
        <v>285</v>
      </c>
      <c r="J1217" t="s">
        <v>286</v>
      </c>
      <c r="K1217" t="s">
        <v>1455</v>
      </c>
      <c r="L1217">
        <v>1</v>
      </c>
      <c r="M1217">
        <v>1</v>
      </c>
    </row>
    <row r="1218" spans="1:13" x14ac:dyDescent="0.25">
      <c r="A1218">
        <v>4</v>
      </c>
      <c r="B1218">
        <v>9656989</v>
      </c>
      <c r="C1218">
        <v>6156</v>
      </c>
      <c r="D1218">
        <v>2</v>
      </c>
      <c r="E1218">
        <v>13</v>
      </c>
      <c r="F1218" t="s">
        <v>62</v>
      </c>
      <c r="G1218" t="s">
        <v>63</v>
      </c>
      <c r="H1218">
        <v>13</v>
      </c>
      <c r="I1218" t="s">
        <v>62</v>
      </c>
      <c r="J1218" t="s">
        <v>63</v>
      </c>
      <c r="K1218" t="s">
        <v>1456</v>
      </c>
      <c r="L1218">
        <v>1</v>
      </c>
      <c r="M1218">
        <v>1</v>
      </c>
    </row>
    <row r="1219" spans="1:13" x14ac:dyDescent="0.25">
      <c r="A1219">
        <v>4</v>
      </c>
      <c r="B1219">
        <v>9657920</v>
      </c>
      <c r="C1219">
        <v>6156</v>
      </c>
      <c r="D1219">
        <v>3</v>
      </c>
      <c r="E1219">
        <v>342</v>
      </c>
      <c r="F1219" t="s">
        <v>543</v>
      </c>
      <c r="G1219" t="s">
        <v>544</v>
      </c>
      <c r="H1219">
        <v>342</v>
      </c>
      <c r="I1219" t="s">
        <v>543</v>
      </c>
      <c r="J1219" t="s">
        <v>544</v>
      </c>
      <c r="K1219" t="s">
        <v>1457</v>
      </c>
      <c r="L1219">
        <v>1</v>
      </c>
      <c r="M1219">
        <v>0</v>
      </c>
    </row>
    <row r="1220" spans="1:13" x14ac:dyDescent="0.25">
      <c r="A1220">
        <v>4</v>
      </c>
      <c r="B1220">
        <v>9647994</v>
      </c>
      <c r="C1220">
        <v>6156</v>
      </c>
      <c r="D1220">
        <v>1</v>
      </c>
      <c r="E1220">
        <v>402</v>
      </c>
      <c r="F1220" t="s">
        <v>168</v>
      </c>
      <c r="G1220" t="s">
        <v>169</v>
      </c>
      <c r="H1220">
        <v>402</v>
      </c>
      <c r="I1220" t="s">
        <v>168</v>
      </c>
      <c r="J1220" t="s">
        <v>169</v>
      </c>
      <c r="K1220" t="s">
        <v>1458</v>
      </c>
      <c r="L1220">
        <v>1</v>
      </c>
      <c r="M1220">
        <v>1</v>
      </c>
    </row>
    <row r="1221" spans="1:13" x14ac:dyDescent="0.25">
      <c r="A1221">
        <v>8</v>
      </c>
      <c r="B1221">
        <v>9450545291</v>
      </c>
      <c r="C1221">
        <v>6157</v>
      </c>
      <c r="D1221">
        <v>1</v>
      </c>
      <c r="E1221">
        <v>402</v>
      </c>
      <c r="F1221" t="s">
        <v>168</v>
      </c>
      <c r="G1221" t="s">
        <v>169</v>
      </c>
      <c r="H1221">
        <v>402</v>
      </c>
      <c r="I1221" t="s">
        <v>168</v>
      </c>
      <c r="J1221" t="s">
        <v>169</v>
      </c>
      <c r="K1221" t="s">
        <v>357</v>
      </c>
      <c r="L1221">
        <v>1</v>
      </c>
      <c r="M1221">
        <v>1</v>
      </c>
    </row>
    <row r="1222" spans="1:13" x14ac:dyDescent="0.25">
      <c r="A1222">
        <v>8</v>
      </c>
      <c r="B1222">
        <v>9450545296</v>
      </c>
      <c r="C1222">
        <v>6157</v>
      </c>
      <c r="D1222">
        <v>3</v>
      </c>
      <c r="E1222">
        <v>641</v>
      </c>
      <c r="F1222" t="s">
        <v>108</v>
      </c>
      <c r="G1222" t="s">
        <v>109</v>
      </c>
      <c r="H1222">
        <v>641</v>
      </c>
      <c r="I1222" t="s">
        <v>108</v>
      </c>
      <c r="J1222" t="s">
        <v>109</v>
      </c>
      <c r="K1222" t="s">
        <v>1409</v>
      </c>
      <c r="L1222">
        <v>1</v>
      </c>
      <c r="M1222">
        <v>1</v>
      </c>
    </row>
    <row r="1223" spans="1:13" x14ac:dyDescent="0.25">
      <c r="A1223">
        <v>8</v>
      </c>
      <c r="B1223">
        <v>9450545280</v>
      </c>
      <c r="C1223">
        <v>6157</v>
      </c>
      <c r="D1223">
        <v>2</v>
      </c>
      <c r="E1223">
        <v>179</v>
      </c>
      <c r="F1223" t="s">
        <v>66</v>
      </c>
      <c r="G1223" t="s">
        <v>67</v>
      </c>
      <c r="H1223">
        <v>179</v>
      </c>
      <c r="I1223" t="s">
        <v>66</v>
      </c>
      <c r="J1223" t="s">
        <v>67</v>
      </c>
      <c r="K1223" t="s">
        <v>1459</v>
      </c>
      <c r="L1223">
        <v>1</v>
      </c>
      <c r="M1223">
        <v>1</v>
      </c>
    </row>
    <row r="1224" spans="1:13" x14ac:dyDescent="0.25">
      <c r="A1224">
        <v>6</v>
      </c>
      <c r="B1224">
        <v>955136</v>
      </c>
      <c r="C1224">
        <v>6158</v>
      </c>
      <c r="D1224">
        <v>1</v>
      </c>
      <c r="E1224">
        <v>818</v>
      </c>
      <c r="F1224" t="s">
        <v>130</v>
      </c>
      <c r="G1224" t="s">
        <v>131</v>
      </c>
      <c r="H1224">
        <v>818</v>
      </c>
      <c r="I1224" t="s">
        <v>130</v>
      </c>
      <c r="J1224" t="s">
        <v>131</v>
      </c>
      <c r="K1224" t="s">
        <v>1460</v>
      </c>
      <c r="L1224">
        <v>1</v>
      </c>
      <c r="M1224">
        <v>1</v>
      </c>
    </row>
    <row r="1225" spans="1:13" x14ac:dyDescent="0.25">
      <c r="A1225">
        <v>6</v>
      </c>
      <c r="B1225">
        <v>950343</v>
      </c>
      <c r="C1225">
        <v>6159</v>
      </c>
      <c r="D1225">
        <v>1</v>
      </c>
      <c r="E1225">
        <v>712</v>
      </c>
      <c r="F1225" t="s">
        <v>308</v>
      </c>
      <c r="G1225" t="s">
        <v>309</v>
      </c>
      <c r="H1225">
        <v>712</v>
      </c>
      <c r="I1225" t="s">
        <v>308</v>
      </c>
      <c r="J1225" t="s">
        <v>309</v>
      </c>
      <c r="K1225" t="s">
        <v>1461</v>
      </c>
      <c r="L1225">
        <v>1</v>
      </c>
      <c r="M1225">
        <v>1</v>
      </c>
    </row>
    <row r="1226" spans="1:13" x14ac:dyDescent="0.25">
      <c r="A1226">
        <v>9</v>
      </c>
      <c r="B1226">
        <v>9197208</v>
      </c>
      <c r="C1226">
        <v>6160</v>
      </c>
      <c r="D1226">
        <v>1</v>
      </c>
      <c r="E1226">
        <v>905</v>
      </c>
      <c r="F1226" t="s">
        <v>146</v>
      </c>
      <c r="G1226" t="s">
        <v>147</v>
      </c>
      <c r="H1226">
        <v>905</v>
      </c>
      <c r="I1226" t="s">
        <v>146</v>
      </c>
      <c r="J1226" t="s">
        <v>147</v>
      </c>
      <c r="K1226" t="s">
        <v>1462</v>
      </c>
      <c r="L1226">
        <v>1</v>
      </c>
      <c r="M1226">
        <v>1</v>
      </c>
    </row>
    <row r="1227" spans="1:13" x14ac:dyDescent="0.25">
      <c r="A1227">
        <v>9</v>
      </c>
      <c r="B1227">
        <v>9196754</v>
      </c>
      <c r="C1227">
        <v>6161</v>
      </c>
      <c r="D1227">
        <v>1</v>
      </c>
      <c r="E1227">
        <v>905</v>
      </c>
      <c r="F1227" t="s">
        <v>146</v>
      </c>
      <c r="G1227" t="s">
        <v>147</v>
      </c>
      <c r="H1227">
        <v>905</v>
      </c>
      <c r="I1227" t="s">
        <v>146</v>
      </c>
      <c r="J1227" t="s">
        <v>147</v>
      </c>
      <c r="K1227" t="s">
        <v>1463</v>
      </c>
      <c r="L1227">
        <v>1</v>
      </c>
      <c r="M1227">
        <v>1</v>
      </c>
    </row>
    <row r="1228" spans="1:13" x14ac:dyDescent="0.25">
      <c r="A1228">
        <v>9</v>
      </c>
      <c r="B1228">
        <v>9197134</v>
      </c>
      <c r="C1228">
        <v>6162</v>
      </c>
      <c r="D1228">
        <v>4</v>
      </c>
      <c r="E1228">
        <v>970</v>
      </c>
      <c r="F1228" t="s">
        <v>436</v>
      </c>
      <c r="G1228" t="s">
        <v>437</v>
      </c>
      <c r="H1228">
        <v>506</v>
      </c>
      <c r="I1228" t="s">
        <v>92</v>
      </c>
      <c r="J1228" t="s">
        <v>93</v>
      </c>
      <c r="K1228" t="s">
        <v>1464</v>
      </c>
      <c r="L1228">
        <v>1</v>
      </c>
      <c r="M1228">
        <v>1</v>
      </c>
    </row>
    <row r="1229" spans="1:13" x14ac:dyDescent="0.25">
      <c r="A1229">
        <v>9</v>
      </c>
      <c r="B1229">
        <v>9197187</v>
      </c>
      <c r="C1229">
        <v>6162</v>
      </c>
      <c r="D1229">
        <v>5</v>
      </c>
      <c r="E1229">
        <v>970</v>
      </c>
      <c r="F1229" t="s">
        <v>436</v>
      </c>
      <c r="G1229" t="s">
        <v>437</v>
      </c>
      <c r="H1229">
        <v>506</v>
      </c>
      <c r="I1229" t="s">
        <v>92</v>
      </c>
      <c r="J1229" t="s">
        <v>93</v>
      </c>
      <c r="K1229" t="s">
        <v>1465</v>
      </c>
      <c r="L1229">
        <v>1</v>
      </c>
      <c r="M1229">
        <v>1</v>
      </c>
    </row>
    <row r="1230" spans="1:13" x14ac:dyDescent="0.25">
      <c r="A1230">
        <v>9</v>
      </c>
      <c r="B1230">
        <v>9197240</v>
      </c>
      <c r="C1230">
        <v>6162</v>
      </c>
      <c r="D1230">
        <v>6</v>
      </c>
      <c r="E1230">
        <v>584</v>
      </c>
      <c r="F1230" t="s">
        <v>96</v>
      </c>
      <c r="G1230" t="s">
        <v>97</v>
      </c>
      <c r="H1230">
        <v>584</v>
      </c>
      <c r="I1230" t="s">
        <v>96</v>
      </c>
      <c r="J1230" t="s">
        <v>97</v>
      </c>
      <c r="K1230" t="s">
        <v>1466</v>
      </c>
      <c r="L1230">
        <v>1</v>
      </c>
      <c r="M1230">
        <v>1</v>
      </c>
    </row>
    <row r="1231" spans="1:13" x14ac:dyDescent="0.25">
      <c r="A1231">
        <v>9</v>
      </c>
      <c r="B1231">
        <v>9197240</v>
      </c>
      <c r="C1231">
        <v>6162</v>
      </c>
      <c r="D1231">
        <v>7</v>
      </c>
      <c r="E1231">
        <v>877</v>
      </c>
      <c r="F1231" t="s">
        <v>140</v>
      </c>
      <c r="G1231" t="s">
        <v>141</v>
      </c>
      <c r="H1231">
        <v>877</v>
      </c>
      <c r="I1231" t="s">
        <v>140</v>
      </c>
      <c r="J1231" t="s">
        <v>141</v>
      </c>
      <c r="K1231" t="s">
        <v>1467</v>
      </c>
      <c r="L1231">
        <v>1</v>
      </c>
      <c r="M1231">
        <v>1</v>
      </c>
    </row>
    <row r="1232" spans="1:13" x14ac:dyDescent="0.25">
      <c r="A1232">
        <v>9</v>
      </c>
      <c r="B1232">
        <v>9197273</v>
      </c>
      <c r="C1232">
        <v>6162</v>
      </c>
      <c r="D1232">
        <v>8</v>
      </c>
      <c r="E1232">
        <v>970</v>
      </c>
      <c r="F1232" t="s">
        <v>436</v>
      </c>
      <c r="G1232" t="s">
        <v>437</v>
      </c>
      <c r="H1232">
        <v>506</v>
      </c>
      <c r="I1232" t="s">
        <v>92</v>
      </c>
      <c r="J1232" t="s">
        <v>93</v>
      </c>
      <c r="K1232" t="s">
        <v>1468</v>
      </c>
      <c r="L1232">
        <v>1</v>
      </c>
      <c r="M1232">
        <v>1</v>
      </c>
    </row>
    <row r="1233" spans="1:13" x14ac:dyDescent="0.25">
      <c r="A1233">
        <v>9</v>
      </c>
      <c r="B1233">
        <v>9197273</v>
      </c>
      <c r="C1233">
        <v>6162</v>
      </c>
      <c r="D1233">
        <v>9</v>
      </c>
      <c r="E1233">
        <v>467</v>
      </c>
      <c r="F1233" t="s">
        <v>389</v>
      </c>
      <c r="G1233" t="s">
        <v>390</v>
      </c>
      <c r="H1233">
        <v>467</v>
      </c>
      <c r="I1233" t="s">
        <v>389</v>
      </c>
      <c r="J1233" t="s">
        <v>390</v>
      </c>
      <c r="K1233" t="s">
        <v>1469</v>
      </c>
      <c r="L1233">
        <v>1</v>
      </c>
      <c r="M1233">
        <v>1</v>
      </c>
    </row>
    <row r="1234" spans="1:13" x14ac:dyDescent="0.25">
      <c r="A1234">
        <v>9</v>
      </c>
      <c r="B1234">
        <v>9196372</v>
      </c>
      <c r="C1234">
        <v>6162</v>
      </c>
      <c r="D1234">
        <v>1</v>
      </c>
      <c r="E1234">
        <v>400</v>
      </c>
      <c r="F1234" t="s">
        <v>74</v>
      </c>
      <c r="G1234" t="s">
        <v>75</v>
      </c>
      <c r="H1234">
        <v>400</v>
      </c>
      <c r="I1234" t="s">
        <v>74</v>
      </c>
      <c r="J1234" t="s">
        <v>75</v>
      </c>
      <c r="K1234" t="s">
        <v>1470</v>
      </c>
      <c r="L1234">
        <v>1</v>
      </c>
      <c r="M1234">
        <v>1</v>
      </c>
    </row>
    <row r="1235" spans="1:13" x14ac:dyDescent="0.25">
      <c r="A1235">
        <v>9</v>
      </c>
      <c r="B1235">
        <v>9197008</v>
      </c>
      <c r="C1235">
        <v>6162</v>
      </c>
      <c r="D1235">
        <v>2</v>
      </c>
      <c r="E1235">
        <v>498</v>
      </c>
      <c r="F1235" t="s">
        <v>521</v>
      </c>
      <c r="G1235" t="s">
        <v>522</v>
      </c>
      <c r="H1235">
        <v>498</v>
      </c>
      <c r="I1235" t="s">
        <v>521</v>
      </c>
      <c r="J1235" t="s">
        <v>522</v>
      </c>
      <c r="K1235" t="s">
        <v>1471</v>
      </c>
      <c r="L1235">
        <v>1</v>
      </c>
      <c r="M1235">
        <v>1</v>
      </c>
    </row>
    <row r="1236" spans="1:13" x14ac:dyDescent="0.25">
      <c r="A1236">
        <v>9</v>
      </c>
      <c r="B1236">
        <v>9197076</v>
      </c>
      <c r="C1236">
        <v>6162</v>
      </c>
      <c r="D1236">
        <v>3</v>
      </c>
      <c r="E1236">
        <v>639</v>
      </c>
      <c r="F1236" t="s">
        <v>106</v>
      </c>
      <c r="G1236" t="s">
        <v>107</v>
      </c>
      <c r="H1236">
        <v>639</v>
      </c>
      <c r="I1236" t="s">
        <v>106</v>
      </c>
      <c r="J1236" t="s">
        <v>107</v>
      </c>
      <c r="K1236" t="s">
        <v>1472</v>
      </c>
      <c r="L1236">
        <v>1</v>
      </c>
      <c r="M1236">
        <v>1</v>
      </c>
    </row>
    <row r="1237" spans="1:13" x14ac:dyDescent="0.25">
      <c r="A1237">
        <v>25</v>
      </c>
      <c r="B1237">
        <v>10</v>
      </c>
      <c r="C1237">
        <v>6163</v>
      </c>
      <c r="D1237">
        <v>1</v>
      </c>
      <c r="E1237">
        <v>722</v>
      </c>
      <c r="F1237" t="s">
        <v>811</v>
      </c>
      <c r="G1237" t="s">
        <v>812</v>
      </c>
      <c r="H1237">
        <v>722</v>
      </c>
      <c r="I1237" t="s">
        <v>811</v>
      </c>
      <c r="J1237" t="s">
        <v>812</v>
      </c>
      <c r="K1237" t="s">
        <v>49</v>
      </c>
      <c r="L1237">
        <v>8</v>
      </c>
      <c r="M1237">
        <v>8</v>
      </c>
    </row>
    <row r="1238" spans="1:13" x14ac:dyDescent="0.25">
      <c r="A1238">
        <v>5</v>
      </c>
      <c r="B1238">
        <v>6504032109</v>
      </c>
      <c r="C1238">
        <v>6164</v>
      </c>
      <c r="D1238">
        <v>1</v>
      </c>
      <c r="E1238">
        <v>101</v>
      </c>
      <c r="F1238" t="s">
        <v>279</v>
      </c>
      <c r="G1238" t="s">
        <v>280</v>
      </c>
      <c r="H1238">
        <v>101</v>
      </c>
      <c r="I1238" t="s">
        <v>279</v>
      </c>
      <c r="J1238" t="s">
        <v>280</v>
      </c>
      <c r="K1238" t="s">
        <v>49</v>
      </c>
      <c r="L1238">
        <v>1</v>
      </c>
      <c r="M1238">
        <v>0</v>
      </c>
    </row>
    <row r="1239" spans="1:13" x14ac:dyDescent="0.25">
      <c r="A1239">
        <v>5</v>
      </c>
      <c r="B1239">
        <v>6504032109</v>
      </c>
      <c r="C1239">
        <v>6164</v>
      </c>
      <c r="D1239">
        <v>2</v>
      </c>
      <c r="E1239">
        <v>101</v>
      </c>
      <c r="F1239" t="s">
        <v>279</v>
      </c>
      <c r="G1239" t="s">
        <v>280</v>
      </c>
      <c r="H1239">
        <v>101</v>
      </c>
      <c r="I1239" t="s">
        <v>279</v>
      </c>
      <c r="J1239" t="s">
        <v>280</v>
      </c>
      <c r="K1239" t="s">
        <v>49</v>
      </c>
      <c r="L1239">
        <v>5</v>
      </c>
      <c r="M1239">
        <v>0</v>
      </c>
    </row>
    <row r="1240" spans="1:13" x14ac:dyDescent="0.25">
      <c r="A1240">
        <v>5</v>
      </c>
      <c r="B1240">
        <v>6504032109</v>
      </c>
      <c r="C1240">
        <v>6164</v>
      </c>
      <c r="D1240">
        <v>3</v>
      </c>
      <c r="E1240">
        <v>101</v>
      </c>
      <c r="F1240" t="s">
        <v>279</v>
      </c>
      <c r="G1240" t="s">
        <v>280</v>
      </c>
      <c r="H1240">
        <v>101</v>
      </c>
      <c r="I1240" t="s">
        <v>279</v>
      </c>
      <c r="J1240" t="s">
        <v>280</v>
      </c>
      <c r="K1240" t="s">
        <v>49</v>
      </c>
      <c r="L1240">
        <v>5</v>
      </c>
      <c r="M1240">
        <v>0</v>
      </c>
    </row>
    <row r="1241" spans="1:13" x14ac:dyDescent="0.25">
      <c r="A1241">
        <v>5</v>
      </c>
      <c r="B1241">
        <v>6504032109</v>
      </c>
      <c r="C1241">
        <v>6164</v>
      </c>
      <c r="D1241">
        <v>4</v>
      </c>
      <c r="E1241">
        <v>101</v>
      </c>
      <c r="F1241" t="s">
        <v>279</v>
      </c>
      <c r="G1241" t="s">
        <v>280</v>
      </c>
      <c r="H1241">
        <v>101</v>
      </c>
      <c r="I1241" t="s">
        <v>279</v>
      </c>
      <c r="J1241" t="s">
        <v>280</v>
      </c>
      <c r="K1241" t="s">
        <v>49</v>
      </c>
      <c r="L1241">
        <v>5</v>
      </c>
      <c r="M1241">
        <v>3</v>
      </c>
    </row>
    <row r="1242" spans="1:13" x14ac:dyDescent="0.25">
      <c r="A1242">
        <v>5</v>
      </c>
      <c r="B1242">
        <v>6504032109</v>
      </c>
      <c r="C1242">
        <v>6164</v>
      </c>
      <c r="D1242">
        <v>5</v>
      </c>
      <c r="E1242">
        <v>101</v>
      </c>
      <c r="F1242" t="s">
        <v>279</v>
      </c>
      <c r="G1242" t="s">
        <v>280</v>
      </c>
      <c r="H1242">
        <v>101</v>
      </c>
      <c r="I1242" t="s">
        <v>279</v>
      </c>
      <c r="J1242" t="s">
        <v>280</v>
      </c>
      <c r="K1242" t="s">
        <v>49</v>
      </c>
      <c r="L1242">
        <v>5</v>
      </c>
      <c r="M1242">
        <v>5</v>
      </c>
    </row>
    <row r="1243" spans="1:13" x14ac:dyDescent="0.25">
      <c r="A1243">
        <v>5</v>
      </c>
      <c r="B1243">
        <v>6504032109</v>
      </c>
      <c r="C1243">
        <v>6164</v>
      </c>
      <c r="D1243">
        <v>6</v>
      </c>
      <c r="E1243">
        <v>489</v>
      </c>
      <c r="F1243" t="s">
        <v>257</v>
      </c>
      <c r="G1243" t="s">
        <v>258</v>
      </c>
      <c r="H1243">
        <v>489</v>
      </c>
      <c r="I1243" t="s">
        <v>257</v>
      </c>
      <c r="J1243" t="s">
        <v>258</v>
      </c>
      <c r="K1243" t="s">
        <v>49</v>
      </c>
      <c r="L1243">
        <v>1</v>
      </c>
      <c r="M1243">
        <v>1</v>
      </c>
    </row>
    <row r="1244" spans="1:13" x14ac:dyDescent="0.25">
      <c r="A1244">
        <v>5</v>
      </c>
      <c r="B1244">
        <v>6504032109</v>
      </c>
      <c r="C1244">
        <v>6164</v>
      </c>
      <c r="D1244">
        <v>7</v>
      </c>
      <c r="E1244">
        <v>489</v>
      </c>
      <c r="F1244" t="s">
        <v>257</v>
      </c>
      <c r="G1244" t="s">
        <v>258</v>
      </c>
      <c r="H1244">
        <v>489</v>
      </c>
      <c r="I1244" t="s">
        <v>257</v>
      </c>
      <c r="J1244" t="s">
        <v>258</v>
      </c>
      <c r="K1244" t="s">
        <v>49</v>
      </c>
      <c r="L1244">
        <v>1</v>
      </c>
      <c r="M1244">
        <v>1</v>
      </c>
    </row>
    <row r="1245" spans="1:13" x14ac:dyDescent="0.25">
      <c r="A1245">
        <v>5</v>
      </c>
      <c r="B1245">
        <v>6504032109</v>
      </c>
      <c r="C1245">
        <v>6164</v>
      </c>
      <c r="D1245">
        <v>8</v>
      </c>
      <c r="E1245">
        <v>489</v>
      </c>
      <c r="F1245" t="s">
        <v>257</v>
      </c>
      <c r="G1245" t="s">
        <v>258</v>
      </c>
      <c r="H1245">
        <v>489</v>
      </c>
      <c r="I1245" t="s">
        <v>257</v>
      </c>
      <c r="J1245" t="s">
        <v>258</v>
      </c>
      <c r="K1245" t="s">
        <v>49</v>
      </c>
      <c r="L1245">
        <v>1</v>
      </c>
      <c r="M1245">
        <v>1</v>
      </c>
    </row>
    <row r="1246" spans="1:13" x14ac:dyDescent="0.25">
      <c r="A1246">
        <v>5</v>
      </c>
      <c r="B1246">
        <v>6504032109</v>
      </c>
      <c r="C1246">
        <v>6164</v>
      </c>
      <c r="D1246">
        <v>9</v>
      </c>
      <c r="E1246">
        <v>490</v>
      </c>
      <c r="F1246" t="s">
        <v>281</v>
      </c>
      <c r="G1246" t="s">
        <v>282</v>
      </c>
      <c r="H1246">
        <v>490</v>
      </c>
      <c r="I1246" t="s">
        <v>281</v>
      </c>
      <c r="J1246" t="s">
        <v>282</v>
      </c>
      <c r="K1246" t="s">
        <v>49</v>
      </c>
      <c r="L1246">
        <v>3</v>
      </c>
      <c r="M1246">
        <v>0</v>
      </c>
    </row>
    <row r="1247" spans="1:13" x14ac:dyDescent="0.25">
      <c r="A1247">
        <v>5</v>
      </c>
      <c r="B1247">
        <v>6504032109</v>
      </c>
      <c r="C1247">
        <v>6164</v>
      </c>
      <c r="D1247">
        <v>10</v>
      </c>
      <c r="E1247">
        <v>492</v>
      </c>
      <c r="F1247" t="s">
        <v>88</v>
      </c>
      <c r="G1247" t="s">
        <v>89</v>
      </c>
      <c r="H1247">
        <v>492</v>
      </c>
      <c r="I1247" t="s">
        <v>88</v>
      </c>
      <c r="J1247" t="s">
        <v>89</v>
      </c>
      <c r="K1247" t="s">
        <v>49</v>
      </c>
      <c r="L1247">
        <v>2</v>
      </c>
      <c r="M1247">
        <v>2</v>
      </c>
    </row>
    <row r="1248" spans="1:13" x14ac:dyDescent="0.25">
      <c r="A1248">
        <v>5</v>
      </c>
      <c r="B1248">
        <v>6504032109</v>
      </c>
      <c r="C1248">
        <v>6164</v>
      </c>
      <c r="D1248">
        <v>11</v>
      </c>
      <c r="E1248">
        <v>493</v>
      </c>
      <c r="F1248" t="s">
        <v>283</v>
      </c>
      <c r="G1248" t="s">
        <v>284</v>
      </c>
      <c r="H1248">
        <v>493</v>
      </c>
      <c r="I1248" t="s">
        <v>283</v>
      </c>
      <c r="J1248" t="s">
        <v>284</v>
      </c>
      <c r="K1248" t="s">
        <v>49</v>
      </c>
      <c r="L1248">
        <v>2</v>
      </c>
      <c r="M1248">
        <v>2</v>
      </c>
    </row>
    <row r="1249" spans="1:13" x14ac:dyDescent="0.25">
      <c r="A1249">
        <v>5</v>
      </c>
      <c r="B1249">
        <v>6504032109</v>
      </c>
      <c r="C1249">
        <v>6164</v>
      </c>
      <c r="D1249">
        <v>12</v>
      </c>
      <c r="E1249">
        <v>493</v>
      </c>
      <c r="F1249" t="s">
        <v>283</v>
      </c>
      <c r="G1249" t="s">
        <v>284</v>
      </c>
      <c r="H1249">
        <v>493</v>
      </c>
      <c r="I1249" t="s">
        <v>283</v>
      </c>
      <c r="J1249" t="s">
        <v>284</v>
      </c>
      <c r="K1249" t="s">
        <v>49</v>
      </c>
      <c r="L1249">
        <v>5</v>
      </c>
      <c r="M1249">
        <v>5</v>
      </c>
    </row>
    <row r="1250" spans="1:13" x14ac:dyDescent="0.25">
      <c r="A1250">
        <v>5</v>
      </c>
      <c r="B1250">
        <v>6504032109</v>
      </c>
      <c r="C1250">
        <v>6164</v>
      </c>
      <c r="D1250">
        <v>13</v>
      </c>
      <c r="E1250">
        <v>493</v>
      </c>
      <c r="F1250" t="s">
        <v>283</v>
      </c>
      <c r="G1250" t="s">
        <v>284</v>
      </c>
      <c r="H1250">
        <v>493</v>
      </c>
      <c r="I1250" t="s">
        <v>283</v>
      </c>
      <c r="J1250" t="s">
        <v>284</v>
      </c>
      <c r="K1250" t="s">
        <v>49</v>
      </c>
      <c r="L1250">
        <v>6</v>
      </c>
      <c r="M1250">
        <v>6</v>
      </c>
    </row>
    <row r="1251" spans="1:13" x14ac:dyDescent="0.25">
      <c r="A1251">
        <v>5</v>
      </c>
      <c r="B1251">
        <v>6504032109</v>
      </c>
      <c r="C1251">
        <v>6164</v>
      </c>
      <c r="D1251">
        <v>14</v>
      </c>
      <c r="E1251">
        <v>494</v>
      </c>
      <c r="F1251" t="s">
        <v>285</v>
      </c>
      <c r="G1251" t="s">
        <v>286</v>
      </c>
      <c r="H1251">
        <v>494</v>
      </c>
      <c r="I1251" t="s">
        <v>285</v>
      </c>
      <c r="J1251" t="s">
        <v>286</v>
      </c>
      <c r="K1251" t="s">
        <v>49</v>
      </c>
      <c r="L1251">
        <v>3</v>
      </c>
      <c r="M1251">
        <v>3</v>
      </c>
    </row>
    <row r="1252" spans="1:13" x14ac:dyDescent="0.25">
      <c r="A1252">
        <v>5</v>
      </c>
      <c r="B1252">
        <v>6504032109</v>
      </c>
      <c r="C1252">
        <v>6164</v>
      </c>
      <c r="D1252">
        <v>15</v>
      </c>
      <c r="E1252">
        <v>494</v>
      </c>
      <c r="F1252" t="s">
        <v>285</v>
      </c>
      <c r="G1252" t="s">
        <v>286</v>
      </c>
      <c r="H1252">
        <v>494</v>
      </c>
      <c r="I1252" t="s">
        <v>285</v>
      </c>
      <c r="J1252" t="s">
        <v>286</v>
      </c>
      <c r="K1252" t="s">
        <v>49</v>
      </c>
      <c r="L1252">
        <v>5</v>
      </c>
      <c r="M1252">
        <v>5</v>
      </c>
    </row>
    <row r="1253" spans="1:13" x14ac:dyDescent="0.25">
      <c r="A1253">
        <v>5</v>
      </c>
      <c r="B1253">
        <v>6504032109</v>
      </c>
      <c r="C1253">
        <v>6164</v>
      </c>
      <c r="D1253">
        <v>16</v>
      </c>
      <c r="E1253">
        <v>494</v>
      </c>
      <c r="F1253" t="s">
        <v>285</v>
      </c>
      <c r="G1253" t="s">
        <v>286</v>
      </c>
      <c r="H1253">
        <v>494</v>
      </c>
      <c r="I1253" t="s">
        <v>285</v>
      </c>
      <c r="J1253" t="s">
        <v>286</v>
      </c>
      <c r="K1253" t="s">
        <v>49</v>
      </c>
      <c r="L1253">
        <v>5</v>
      </c>
      <c r="M1253">
        <v>5</v>
      </c>
    </row>
    <row r="1254" spans="1:13" x14ac:dyDescent="0.25">
      <c r="A1254">
        <v>3</v>
      </c>
      <c r="B1254">
        <v>50052171</v>
      </c>
      <c r="C1254">
        <v>6221</v>
      </c>
      <c r="D1254">
        <v>7</v>
      </c>
      <c r="E1254">
        <v>970</v>
      </c>
      <c r="F1254" t="s">
        <v>436</v>
      </c>
      <c r="G1254" t="s">
        <v>437</v>
      </c>
      <c r="H1254">
        <v>506</v>
      </c>
      <c r="I1254" t="s">
        <v>92</v>
      </c>
      <c r="J1254" t="s">
        <v>93</v>
      </c>
      <c r="K1254" t="s">
        <v>1473</v>
      </c>
      <c r="L1254">
        <v>1</v>
      </c>
      <c r="M1254">
        <v>1</v>
      </c>
    </row>
    <row r="1255" spans="1:13" x14ac:dyDescent="0.25">
      <c r="A1255">
        <v>3</v>
      </c>
      <c r="B1255">
        <v>50052171</v>
      </c>
      <c r="C1255">
        <v>6221</v>
      </c>
      <c r="D1255">
        <v>8</v>
      </c>
      <c r="E1255">
        <v>970</v>
      </c>
      <c r="F1255" t="s">
        <v>436</v>
      </c>
      <c r="G1255" t="s">
        <v>437</v>
      </c>
      <c r="H1255">
        <v>506</v>
      </c>
      <c r="I1255" t="s">
        <v>92</v>
      </c>
      <c r="J1255" t="s">
        <v>93</v>
      </c>
      <c r="K1255" t="s">
        <v>1474</v>
      </c>
      <c r="L1255">
        <v>1</v>
      </c>
      <c r="M1255">
        <v>1</v>
      </c>
    </row>
    <row r="1256" spans="1:13" x14ac:dyDescent="0.25">
      <c r="A1256">
        <v>3</v>
      </c>
      <c r="B1256">
        <v>50052171</v>
      </c>
      <c r="C1256">
        <v>6221</v>
      </c>
      <c r="D1256">
        <v>12</v>
      </c>
      <c r="E1256">
        <v>970</v>
      </c>
      <c r="F1256" t="s">
        <v>436</v>
      </c>
      <c r="G1256" t="s">
        <v>437</v>
      </c>
      <c r="H1256">
        <v>506</v>
      </c>
      <c r="I1256" t="s">
        <v>92</v>
      </c>
      <c r="J1256" t="s">
        <v>93</v>
      </c>
      <c r="K1256" t="s">
        <v>1475</v>
      </c>
      <c r="L1256">
        <v>1</v>
      </c>
      <c r="M1256">
        <v>1</v>
      </c>
    </row>
    <row r="1257" spans="1:13" x14ac:dyDescent="0.25">
      <c r="A1257">
        <v>3</v>
      </c>
      <c r="B1257">
        <v>50052210</v>
      </c>
      <c r="C1257">
        <v>6221</v>
      </c>
      <c r="D1257">
        <v>13</v>
      </c>
      <c r="E1257">
        <v>812</v>
      </c>
      <c r="F1257" t="s">
        <v>306</v>
      </c>
      <c r="G1257" t="s">
        <v>307</v>
      </c>
      <c r="H1257">
        <v>812</v>
      </c>
      <c r="I1257" t="s">
        <v>306</v>
      </c>
      <c r="J1257" t="s">
        <v>307</v>
      </c>
      <c r="K1257" t="s">
        <v>1476</v>
      </c>
      <c r="L1257">
        <v>1</v>
      </c>
      <c r="M1257">
        <v>1</v>
      </c>
    </row>
    <row r="1258" spans="1:13" x14ac:dyDescent="0.25">
      <c r="A1258">
        <v>3</v>
      </c>
      <c r="B1258">
        <v>50052210</v>
      </c>
      <c r="C1258">
        <v>6221</v>
      </c>
      <c r="D1258">
        <v>14</v>
      </c>
      <c r="E1258">
        <v>970</v>
      </c>
      <c r="F1258" t="s">
        <v>436</v>
      </c>
      <c r="G1258" t="s">
        <v>437</v>
      </c>
      <c r="H1258">
        <v>506</v>
      </c>
      <c r="I1258" t="s">
        <v>92</v>
      </c>
      <c r="J1258" t="s">
        <v>93</v>
      </c>
      <c r="K1258" t="s">
        <v>1477</v>
      </c>
      <c r="L1258">
        <v>1</v>
      </c>
      <c r="M1258">
        <v>1</v>
      </c>
    </row>
    <row r="1259" spans="1:13" x14ac:dyDescent="0.25">
      <c r="A1259">
        <v>3</v>
      </c>
      <c r="B1259">
        <v>50052211</v>
      </c>
      <c r="C1259">
        <v>6221</v>
      </c>
      <c r="D1259">
        <v>9</v>
      </c>
      <c r="E1259">
        <v>970</v>
      </c>
      <c r="F1259" t="s">
        <v>436</v>
      </c>
      <c r="G1259" t="s">
        <v>437</v>
      </c>
      <c r="H1259">
        <v>506</v>
      </c>
      <c r="I1259" t="s">
        <v>92</v>
      </c>
      <c r="J1259" t="s">
        <v>93</v>
      </c>
      <c r="K1259" t="s">
        <v>1478</v>
      </c>
      <c r="L1259">
        <v>1</v>
      </c>
      <c r="M1259">
        <v>1</v>
      </c>
    </row>
    <row r="1260" spans="1:13" x14ac:dyDescent="0.25">
      <c r="A1260">
        <v>3</v>
      </c>
      <c r="B1260">
        <v>50052088</v>
      </c>
      <c r="C1260">
        <v>6221</v>
      </c>
      <c r="D1260">
        <v>1</v>
      </c>
      <c r="E1260">
        <v>680</v>
      </c>
      <c r="F1260" t="s">
        <v>114</v>
      </c>
      <c r="G1260" t="s">
        <v>115</v>
      </c>
      <c r="H1260">
        <v>680</v>
      </c>
      <c r="I1260" t="s">
        <v>114</v>
      </c>
      <c r="J1260" t="s">
        <v>115</v>
      </c>
      <c r="K1260" t="s">
        <v>1479</v>
      </c>
      <c r="L1260">
        <v>1</v>
      </c>
      <c r="M1260">
        <v>1</v>
      </c>
    </row>
    <row r="1261" spans="1:13" x14ac:dyDescent="0.25">
      <c r="A1261">
        <v>3</v>
      </c>
      <c r="B1261">
        <v>50052088</v>
      </c>
      <c r="C1261">
        <v>6221</v>
      </c>
      <c r="D1261">
        <v>10</v>
      </c>
      <c r="E1261">
        <v>824</v>
      </c>
      <c r="F1261" t="s">
        <v>134</v>
      </c>
      <c r="G1261" t="s">
        <v>135</v>
      </c>
      <c r="H1261">
        <v>824</v>
      </c>
      <c r="I1261" t="s">
        <v>134</v>
      </c>
      <c r="J1261" t="s">
        <v>135</v>
      </c>
      <c r="K1261" t="s">
        <v>1480</v>
      </c>
      <c r="L1261">
        <v>1</v>
      </c>
      <c r="M1261">
        <v>1</v>
      </c>
    </row>
    <row r="1262" spans="1:13" x14ac:dyDescent="0.25">
      <c r="A1262">
        <v>3</v>
      </c>
      <c r="B1262">
        <v>50052089</v>
      </c>
      <c r="C1262">
        <v>6221</v>
      </c>
      <c r="D1262">
        <v>2</v>
      </c>
      <c r="E1262">
        <v>970</v>
      </c>
      <c r="F1262" t="s">
        <v>436</v>
      </c>
      <c r="G1262" t="s">
        <v>437</v>
      </c>
      <c r="H1262">
        <v>506</v>
      </c>
      <c r="I1262" t="s">
        <v>92</v>
      </c>
      <c r="J1262" t="s">
        <v>93</v>
      </c>
      <c r="K1262" t="s">
        <v>1481</v>
      </c>
      <c r="L1262">
        <v>1</v>
      </c>
      <c r="M1262">
        <v>1</v>
      </c>
    </row>
    <row r="1263" spans="1:13" x14ac:dyDescent="0.25">
      <c r="A1263">
        <v>3</v>
      </c>
      <c r="B1263">
        <v>50052089</v>
      </c>
      <c r="C1263">
        <v>6221</v>
      </c>
      <c r="D1263">
        <v>3</v>
      </c>
      <c r="E1263">
        <v>970</v>
      </c>
      <c r="F1263" t="s">
        <v>436</v>
      </c>
      <c r="G1263" t="s">
        <v>437</v>
      </c>
      <c r="H1263">
        <v>506</v>
      </c>
      <c r="I1263" t="s">
        <v>92</v>
      </c>
      <c r="J1263" t="s">
        <v>93</v>
      </c>
      <c r="K1263" t="s">
        <v>1482</v>
      </c>
      <c r="L1263">
        <v>1</v>
      </c>
      <c r="M1263">
        <v>1</v>
      </c>
    </row>
    <row r="1264" spans="1:13" x14ac:dyDescent="0.25">
      <c r="A1264">
        <v>3</v>
      </c>
      <c r="B1264">
        <v>50052089</v>
      </c>
      <c r="C1264">
        <v>6221</v>
      </c>
      <c r="D1264">
        <v>11</v>
      </c>
      <c r="E1264">
        <v>970</v>
      </c>
      <c r="F1264" t="s">
        <v>436</v>
      </c>
      <c r="G1264" t="s">
        <v>437</v>
      </c>
      <c r="H1264">
        <v>506</v>
      </c>
      <c r="I1264" t="s">
        <v>92</v>
      </c>
      <c r="J1264" t="s">
        <v>93</v>
      </c>
      <c r="K1264" t="s">
        <v>1483</v>
      </c>
      <c r="L1264">
        <v>1</v>
      </c>
      <c r="M1264">
        <v>1</v>
      </c>
    </row>
    <row r="1265" spans="1:13" x14ac:dyDescent="0.25">
      <c r="A1265">
        <v>4</v>
      </c>
      <c r="B1265">
        <v>9662366</v>
      </c>
      <c r="C1265">
        <v>6222</v>
      </c>
      <c r="D1265">
        <v>1</v>
      </c>
      <c r="E1265">
        <v>563</v>
      </c>
      <c r="F1265" t="s">
        <v>253</v>
      </c>
      <c r="G1265" t="s">
        <v>254</v>
      </c>
      <c r="H1265">
        <v>497</v>
      </c>
      <c r="I1265" t="s">
        <v>1484</v>
      </c>
      <c r="J1265" t="s">
        <v>1485</v>
      </c>
      <c r="K1265" t="s">
        <v>1486</v>
      </c>
      <c r="L1265">
        <v>1</v>
      </c>
      <c r="M1265">
        <v>1</v>
      </c>
    </row>
    <row r="1266" spans="1:13" x14ac:dyDescent="0.25">
      <c r="A1266">
        <v>29</v>
      </c>
      <c r="B1266">
        <v>8680543</v>
      </c>
      <c r="C1266">
        <v>6223</v>
      </c>
      <c r="D1266">
        <v>1</v>
      </c>
      <c r="E1266">
        <v>951</v>
      </c>
      <c r="F1266" t="s">
        <v>1487</v>
      </c>
      <c r="G1266" t="s">
        <v>1488</v>
      </c>
      <c r="H1266">
        <v>951</v>
      </c>
      <c r="I1266" t="s">
        <v>1487</v>
      </c>
      <c r="J1266" t="s">
        <v>1488</v>
      </c>
      <c r="K1266" t="s">
        <v>1489</v>
      </c>
      <c r="L1266">
        <v>1</v>
      </c>
      <c r="M1266">
        <v>0</v>
      </c>
    </row>
    <row r="1267" spans="1:13" x14ac:dyDescent="0.25">
      <c r="A1267">
        <v>29</v>
      </c>
      <c r="B1267">
        <v>8681664</v>
      </c>
      <c r="C1267">
        <v>6223</v>
      </c>
      <c r="D1267">
        <v>2</v>
      </c>
      <c r="E1267">
        <v>809</v>
      </c>
      <c r="F1267" t="s">
        <v>128</v>
      </c>
      <c r="G1267" t="s">
        <v>129</v>
      </c>
      <c r="H1267">
        <v>809</v>
      </c>
      <c r="I1267" t="s">
        <v>128</v>
      </c>
      <c r="J1267" t="s">
        <v>129</v>
      </c>
      <c r="K1267" t="s">
        <v>1490</v>
      </c>
      <c r="L1267">
        <v>1</v>
      </c>
      <c r="M1267">
        <v>1</v>
      </c>
    </row>
    <row r="1268" spans="1:13" x14ac:dyDescent="0.25">
      <c r="A1268">
        <v>29</v>
      </c>
      <c r="B1268">
        <v>8682211</v>
      </c>
      <c r="C1268">
        <v>6223</v>
      </c>
      <c r="D1268">
        <v>3</v>
      </c>
      <c r="E1268">
        <v>809</v>
      </c>
      <c r="F1268" t="s">
        <v>128</v>
      </c>
      <c r="G1268" t="s">
        <v>129</v>
      </c>
      <c r="H1268">
        <v>809</v>
      </c>
      <c r="I1268" t="s">
        <v>128</v>
      </c>
      <c r="J1268" t="s">
        <v>129</v>
      </c>
      <c r="K1268" t="s">
        <v>1491</v>
      </c>
      <c r="L1268">
        <v>1</v>
      </c>
      <c r="M1268">
        <v>1</v>
      </c>
    </row>
    <row r="1269" spans="1:13" x14ac:dyDescent="0.25">
      <c r="A1269">
        <v>29</v>
      </c>
      <c r="B1269">
        <v>8682616</v>
      </c>
      <c r="C1269">
        <v>6223</v>
      </c>
      <c r="D1269">
        <v>4</v>
      </c>
      <c r="E1269">
        <v>809</v>
      </c>
      <c r="F1269" t="s">
        <v>128</v>
      </c>
      <c r="G1269" t="s">
        <v>129</v>
      </c>
      <c r="H1269">
        <v>809</v>
      </c>
      <c r="I1269" t="s">
        <v>128</v>
      </c>
      <c r="J1269" t="s">
        <v>129</v>
      </c>
      <c r="K1269" t="s">
        <v>1492</v>
      </c>
      <c r="L1269">
        <v>1</v>
      </c>
      <c r="M1269">
        <v>1</v>
      </c>
    </row>
    <row r="1270" spans="1:13" x14ac:dyDescent="0.25">
      <c r="A1270">
        <v>2</v>
      </c>
      <c r="B1270">
        <v>8683637</v>
      </c>
      <c r="C1270">
        <v>6224</v>
      </c>
      <c r="D1270">
        <v>5</v>
      </c>
      <c r="E1270">
        <v>584</v>
      </c>
      <c r="F1270" t="s">
        <v>96</v>
      </c>
      <c r="G1270" t="s">
        <v>97</v>
      </c>
      <c r="H1270">
        <v>584</v>
      </c>
      <c r="I1270" t="s">
        <v>96</v>
      </c>
      <c r="J1270" t="s">
        <v>97</v>
      </c>
      <c r="K1270" t="s">
        <v>1493</v>
      </c>
      <c r="L1270">
        <v>1</v>
      </c>
      <c r="M1270">
        <v>1</v>
      </c>
    </row>
    <row r="1271" spans="1:13" x14ac:dyDescent="0.25">
      <c r="A1271">
        <v>2</v>
      </c>
      <c r="B1271">
        <v>8682194</v>
      </c>
      <c r="C1271">
        <v>6224</v>
      </c>
      <c r="D1271">
        <v>1</v>
      </c>
      <c r="E1271">
        <v>905</v>
      </c>
      <c r="F1271" t="s">
        <v>146</v>
      </c>
      <c r="G1271" t="s">
        <v>147</v>
      </c>
      <c r="H1271">
        <v>905</v>
      </c>
      <c r="I1271" t="s">
        <v>146</v>
      </c>
      <c r="J1271" t="s">
        <v>147</v>
      </c>
      <c r="K1271" t="s">
        <v>1494</v>
      </c>
      <c r="L1271">
        <v>1</v>
      </c>
      <c r="M1271">
        <v>1</v>
      </c>
    </row>
    <row r="1272" spans="1:13" x14ac:dyDescent="0.25">
      <c r="A1272">
        <v>2</v>
      </c>
      <c r="B1272">
        <v>8682247</v>
      </c>
      <c r="C1272">
        <v>6224</v>
      </c>
      <c r="D1272">
        <v>2</v>
      </c>
      <c r="E1272">
        <v>700</v>
      </c>
      <c r="F1272" t="s">
        <v>118</v>
      </c>
      <c r="G1272" t="s">
        <v>119</v>
      </c>
      <c r="H1272">
        <v>700</v>
      </c>
      <c r="I1272" t="s">
        <v>118</v>
      </c>
      <c r="J1272" t="s">
        <v>119</v>
      </c>
      <c r="K1272" t="s">
        <v>1495</v>
      </c>
      <c r="L1272">
        <v>1</v>
      </c>
      <c r="M1272">
        <v>1</v>
      </c>
    </row>
    <row r="1273" spans="1:13" x14ac:dyDescent="0.25">
      <c r="A1273">
        <v>2</v>
      </c>
      <c r="B1273">
        <v>8682431</v>
      </c>
      <c r="C1273">
        <v>6224</v>
      </c>
      <c r="D1273">
        <v>3</v>
      </c>
      <c r="E1273">
        <v>970</v>
      </c>
      <c r="F1273" t="s">
        <v>436</v>
      </c>
      <c r="G1273" t="s">
        <v>437</v>
      </c>
      <c r="H1273">
        <v>506</v>
      </c>
      <c r="I1273" t="s">
        <v>92</v>
      </c>
      <c r="J1273" t="s">
        <v>93</v>
      </c>
      <c r="K1273" t="s">
        <v>1496</v>
      </c>
      <c r="L1273">
        <v>1</v>
      </c>
      <c r="M1273">
        <v>1</v>
      </c>
    </row>
    <row r="1274" spans="1:13" x14ac:dyDescent="0.25">
      <c r="A1274">
        <v>2</v>
      </c>
      <c r="B1274">
        <v>8682442</v>
      </c>
      <c r="C1274">
        <v>6224</v>
      </c>
      <c r="D1274">
        <v>4</v>
      </c>
      <c r="E1274">
        <v>401</v>
      </c>
      <c r="F1274" t="s">
        <v>76</v>
      </c>
      <c r="G1274" t="s">
        <v>77</v>
      </c>
      <c r="H1274">
        <v>401</v>
      </c>
      <c r="I1274" t="s">
        <v>76</v>
      </c>
      <c r="J1274" t="s">
        <v>77</v>
      </c>
      <c r="K1274" t="s">
        <v>1497</v>
      </c>
      <c r="L1274">
        <v>1</v>
      </c>
      <c r="M1274">
        <v>1</v>
      </c>
    </row>
    <row r="1275" spans="1:13" x14ac:dyDescent="0.25">
      <c r="A1275">
        <v>2</v>
      </c>
      <c r="B1275">
        <v>8685310</v>
      </c>
      <c r="C1275">
        <v>6225</v>
      </c>
      <c r="D1275">
        <v>6</v>
      </c>
      <c r="E1275">
        <v>970</v>
      </c>
      <c r="F1275" t="s">
        <v>436</v>
      </c>
      <c r="G1275" t="s">
        <v>437</v>
      </c>
      <c r="H1275">
        <v>506</v>
      </c>
      <c r="I1275" t="s">
        <v>92</v>
      </c>
      <c r="J1275" t="s">
        <v>93</v>
      </c>
      <c r="K1275" t="s">
        <v>1498</v>
      </c>
      <c r="L1275">
        <v>1</v>
      </c>
      <c r="M1275">
        <v>1</v>
      </c>
    </row>
    <row r="1276" spans="1:13" x14ac:dyDescent="0.25">
      <c r="A1276">
        <v>2</v>
      </c>
      <c r="B1276">
        <v>8684241</v>
      </c>
      <c r="C1276">
        <v>6225</v>
      </c>
      <c r="D1276">
        <v>1</v>
      </c>
      <c r="E1276">
        <v>181</v>
      </c>
      <c r="F1276" t="s">
        <v>164</v>
      </c>
      <c r="G1276" t="s">
        <v>165</v>
      </c>
      <c r="H1276">
        <v>181</v>
      </c>
      <c r="I1276" t="s">
        <v>164</v>
      </c>
      <c r="J1276" t="s">
        <v>165</v>
      </c>
      <c r="K1276" t="s">
        <v>1499</v>
      </c>
      <c r="L1276">
        <v>1</v>
      </c>
      <c r="M1276">
        <v>1</v>
      </c>
    </row>
    <row r="1277" spans="1:13" x14ac:dyDescent="0.25">
      <c r="A1277">
        <v>2</v>
      </c>
      <c r="B1277">
        <v>8684715</v>
      </c>
      <c r="C1277">
        <v>6225</v>
      </c>
      <c r="D1277">
        <v>2</v>
      </c>
      <c r="E1277">
        <v>402</v>
      </c>
      <c r="F1277" t="s">
        <v>168</v>
      </c>
      <c r="G1277" t="s">
        <v>169</v>
      </c>
      <c r="H1277">
        <v>402</v>
      </c>
      <c r="I1277" t="s">
        <v>168</v>
      </c>
      <c r="J1277" t="s">
        <v>169</v>
      </c>
      <c r="K1277" t="s">
        <v>1500</v>
      </c>
      <c r="L1277">
        <v>1</v>
      </c>
      <c r="M1277">
        <v>1</v>
      </c>
    </row>
    <row r="1278" spans="1:13" x14ac:dyDescent="0.25">
      <c r="A1278">
        <v>2</v>
      </c>
      <c r="B1278">
        <v>8684826</v>
      </c>
      <c r="C1278">
        <v>6225</v>
      </c>
      <c r="D1278">
        <v>3</v>
      </c>
      <c r="E1278">
        <v>905</v>
      </c>
      <c r="F1278" t="s">
        <v>146</v>
      </c>
      <c r="G1278" t="s">
        <v>147</v>
      </c>
      <c r="H1278">
        <v>905</v>
      </c>
      <c r="I1278" t="s">
        <v>146</v>
      </c>
      <c r="J1278" t="s">
        <v>147</v>
      </c>
      <c r="K1278" t="s">
        <v>1501</v>
      </c>
      <c r="L1278">
        <v>1</v>
      </c>
      <c r="M1278">
        <v>1</v>
      </c>
    </row>
    <row r="1279" spans="1:13" x14ac:dyDescent="0.25">
      <c r="A1279">
        <v>2</v>
      </c>
      <c r="B1279">
        <v>8685305</v>
      </c>
      <c r="C1279">
        <v>6225</v>
      </c>
      <c r="D1279">
        <v>4</v>
      </c>
      <c r="E1279">
        <v>905</v>
      </c>
      <c r="F1279" t="s">
        <v>146</v>
      </c>
      <c r="G1279" t="s">
        <v>147</v>
      </c>
      <c r="H1279">
        <v>905</v>
      </c>
      <c r="I1279" t="s">
        <v>146</v>
      </c>
      <c r="J1279" t="s">
        <v>147</v>
      </c>
      <c r="K1279" t="s">
        <v>1502</v>
      </c>
      <c r="L1279">
        <v>1</v>
      </c>
      <c r="M1279">
        <v>1</v>
      </c>
    </row>
    <row r="1280" spans="1:13" x14ac:dyDescent="0.25">
      <c r="A1280">
        <v>2</v>
      </c>
      <c r="B1280">
        <v>8685307</v>
      </c>
      <c r="C1280">
        <v>6225</v>
      </c>
      <c r="D1280">
        <v>5</v>
      </c>
      <c r="E1280">
        <v>388</v>
      </c>
      <c r="F1280" t="s">
        <v>474</v>
      </c>
      <c r="G1280" t="s">
        <v>475</v>
      </c>
      <c r="H1280">
        <v>388</v>
      </c>
      <c r="I1280" t="s">
        <v>474</v>
      </c>
      <c r="J1280" t="s">
        <v>475</v>
      </c>
      <c r="K1280" t="s">
        <v>1503</v>
      </c>
      <c r="L1280">
        <v>1</v>
      </c>
      <c r="M1280">
        <v>1</v>
      </c>
    </row>
    <row r="1281" spans="1:13" x14ac:dyDescent="0.25">
      <c r="A1281">
        <v>29</v>
      </c>
      <c r="B1281">
        <v>8684729</v>
      </c>
      <c r="C1281">
        <v>6226</v>
      </c>
      <c r="D1281">
        <v>2</v>
      </c>
      <c r="E1281">
        <v>853</v>
      </c>
      <c r="F1281" t="s">
        <v>296</v>
      </c>
      <c r="G1281" t="s">
        <v>297</v>
      </c>
      <c r="H1281">
        <v>853</v>
      </c>
      <c r="I1281" t="s">
        <v>296</v>
      </c>
      <c r="J1281" t="s">
        <v>297</v>
      </c>
      <c r="K1281" t="s">
        <v>1504</v>
      </c>
      <c r="L1281">
        <v>1</v>
      </c>
      <c r="M1281">
        <v>1</v>
      </c>
    </row>
    <row r="1282" spans="1:13" x14ac:dyDescent="0.25">
      <c r="A1282">
        <v>29</v>
      </c>
      <c r="B1282">
        <v>8684744</v>
      </c>
      <c r="C1282">
        <v>6226</v>
      </c>
      <c r="D1282">
        <v>3</v>
      </c>
      <c r="E1282">
        <v>809</v>
      </c>
      <c r="F1282" t="s">
        <v>128</v>
      </c>
      <c r="G1282" t="s">
        <v>129</v>
      </c>
      <c r="H1282">
        <v>809</v>
      </c>
      <c r="I1282" t="s">
        <v>128</v>
      </c>
      <c r="J1282" t="s">
        <v>129</v>
      </c>
      <c r="K1282" t="s">
        <v>1505</v>
      </c>
      <c r="L1282">
        <v>1</v>
      </c>
      <c r="M1282">
        <v>1</v>
      </c>
    </row>
    <row r="1283" spans="1:13" x14ac:dyDescent="0.25">
      <c r="A1283">
        <v>29</v>
      </c>
      <c r="B1283">
        <v>8684766</v>
      </c>
      <c r="C1283">
        <v>6226</v>
      </c>
      <c r="D1283">
        <v>4</v>
      </c>
      <c r="E1283">
        <v>829</v>
      </c>
      <c r="F1283" t="s">
        <v>136</v>
      </c>
      <c r="G1283" t="s">
        <v>137</v>
      </c>
      <c r="H1283">
        <v>829</v>
      </c>
      <c r="I1283" t="s">
        <v>136</v>
      </c>
      <c r="J1283" t="s">
        <v>137</v>
      </c>
      <c r="K1283" t="s">
        <v>1506</v>
      </c>
      <c r="L1283">
        <v>1</v>
      </c>
      <c r="M1283">
        <v>1</v>
      </c>
    </row>
    <row r="1284" spans="1:13" x14ac:dyDescent="0.25">
      <c r="A1284">
        <v>29</v>
      </c>
      <c r="B1284">
        <v>8685017</v>
      </c>
      <c r="C1284">
        <v>6226</v>
      </c>
      <c r="D1284">
        <v>5</v>
      </c>
      <c r="E1284">
        <v>849</v>
      </c>
      <c r="F1284" t="s">
        <v>138</v>
      </c>
      <c r="G1284" t="s">
        <v>139</v>
      </c>
      <c r="H1284">
        <v>849</v>
      </c>
      <c r="I1284" t="s">
        <v>138</v>
      </c>
      <c r="J1284" t="s">
        <v>139</v>
      </c>
      <c r="K1284" t="s">
        <v>1507</v>
      </c>
      <c r="L1284">
        <v>1</v>
      </c>
      <c r="M1284">
        <v>1</v>
      </c>
    </row>
    <row r="1285" spans="1:13" x14ac:dyDescent="0.25">
      <c r="A1285">
        <v>29</v>
      </c>
      <c r="B1285">
        <v>8685153</v>
      </c>
      <c r="C1285">
        <v>6226</v>
      </c>
      <c r="D1285">
        <v>6</v>
      </c>
      <c r="E1285">
        <v>855</v>
      </c>
      <c r="F1285" t="s">
        <v>1421</v>
      </c>
      <c r="G1285" t="s">
        <v>1422</v>
      </c>
      <c r="H1285">
        <v>855</v>
      </c>
      <c r="I1285" t="s">
        <v>1421</v>
      </c>
      <c r="J1285" t="s">
        <v>1422</v>
      </c>
      <c r="K1285" t="s">
        <v>1508</v>
      </c>
      <c r="L1285">
        <v>1</v>
      </c>
      <c r="M1285">
        <v>1</v>
      </c>
    </row>
    <row r="1286" spans="1:13" x14ac:dyDescent="0.25">
      <c r="A1286">
        <v>29</v>
      </c>
      <c r="B1286">
        <v>8665756</v>
      </c>
      <c r="C1286">
        <v>6226</v>
      </c>
      <c r="D1286">
        <v>1</v>
      </c>
      <c r="E1286">
        <v>850</v>
      </c>
      <c r="F1286" t="s">
        <v>910</v>
      </c>
      <c r="G1286" t="s">
        <v>911</v>
      </c>
      <c r="H1286">
        <v>850</v>
      </c>
      <c r="I1286" t="s">
        <v>910</v>
      </c>
      <c r="J1286" t="s">
        <v>911</v>
      </c>
      <c r="K1286" t="s">
        <v>1509</v>
      </c>
      <c r="L1286">
        <v>1</v>
      </c>
      <c r="M1286">
        <v>1</v>
      </c>
    </row>
    <row r="1287" spans="1:13" x14ac:dyDescent="0.25">
      <c r="A1287">
        <v>17</v>
      </c>
      <c r="B1287">
        <v>60746</v>
      </c>
      <c r="C1287">
        <v>6227</v>
      </c>
      <c r="D1287">
        <v>1</v>
      </c>
      <c r="E1287">
        <v>687</v>
      </c>
      <c r="F1287" t="s">
        <v>1510</v>
      </c>
      <c r="G1287" t="s">
        <v>1511</v>
      </c>
      <c r="H1287">
        <v>687</v>
      </c>
      <c r="I1287" t="s">
        <v>1510</v>
      </c>
      <c r="J1287" t="s">
        <v>1511</v>
      </c>
      <c r="K1287" t="s">
        <v>49</v>
      </c>
      <c r="L1287">
        <v>1</v>
      </c>
      <c r="M1287">
        <v>1</v>
      </c>
    </row>
    <row r="1288" spans="1:13" x14ac:dyDescent="0.25">
      <c r="A1288">
        <v>17</v>
      </c>
      <c r="B1288">
        <v>60746</v>
      </c>
      <c r="C1288">
        <v>6227</v>
      </c>
      <c r="D1288">
        <v>2</v>
      </c>
      <c r="E1288">
        <v>688</v>
      </c>
      <c r="F1288" t="s">
        <v>320</v>
      </c>
      <c r="G1288" t="s">
        <v>321</v>
      </c>
      <c r="H1288">
        <v>688</v>
      </c>
      <c r="I1288" t="s">
        <v>320</v>
      </c>
      <c r="J1288" t="s">
        <v>321</v>
      </c>
      <c r="K1288" t="s">
        <v>49</v>
      </c>
      <c r="L1288">
        <v>1</v>
      </c>
      <c r="M1288">
        <v>1</v>
      </c>
    </row>
    <row r="1289" spans="1:13" x14ac:dyDescent="0.25">
      <c r="A1289">
        <v>29</v>
      </c>
      <c r="B1289">
        <v>8682211</v>
      </c>
      <c r="C1289">
        <v>6228</v>
      </c>
      <c r="D1289">
        <v>1</v>
      </c>
      <c r="E1289">
        <v>956</v>
      </c>
      <c r="F1289" t="s">
        <v>668</v>
      </c>
      <c r="G1289" t="s">
        <v>669</v>
      </c>
      <c r="H1289">
        <v>956</v>
      </c>
      <c r="I1289" t="s">
        <v>668</v>
      </c>
      <c r="J1289" t="s">
        <v>669</v>
      </c>
      <c r="K1289" t="s">
        <v>1491</v>
      </c>
      <c r="L1289">
        <v>1</v>
      </c>
      <c r="M1289">
        <v>0</v>
      </c>
    </row>
    <row r="1290" spans="1:13" x14ac:dyDescent="0.25">
      <c r="A1290">
        <v>29</v>
      </c>
      <c r="B1290">
        <v>8683620</v>
      </c>
      <c r="C1290">
        <v>6228</v>
      </c>
      <c r="D1290">
        <v>2</v>
      </c>
      <c r="E1290">
        <v>956</v>
      </c>
      <c r="F1290" t="s">
        <v>668</v>
      </c>
      <c r="G1290" t="s">
        <v>669</v>
      </c>
      <c r="H1290">
        <v>956</v>
      </c>
      <c r="I1290" t="s">
        <v>668</v>
      </c>
      <c r="J1290" t="s">
        <v>669</v>
      </c>
      <c r="K1290" t="s">
        <v>1512</v>
      </c>
      <c r="L1290">
        <v>1</v>
      </c>
      <c r="M1290">
        <v>0</v>
      </c>
    </row>
    <row r="1291" spans="1:13" x14ac:dyDescent="0.25">
      <c r="A1291">
        <v>29</v>
      </c>
      <c r="B1291">
        <v>8684658</v>
      </c>
      <c r="C1291">
        <v>6229</v>
      </c>
      <c r="D1291">
        <v>1</v>
      </c>
      <c r="E1291">
        <v>955</v>
      </c>
      <c r="F1291" t="s">
        <v>166</v>
      </c>
      <c r="G1291" t="s">
        <v>167</v>
      </c>
      <c r="H1291">
        <v>955</v>
      </c>
      <c r="I1291" t="s">
        <v>166</v>
      </c>
      <c r="J1291" t="s">
        <v>167</v>
      </c>
      <c r="K1291" t="s">
        <v>1513</v>
      </c>
      <c r="L1291">
        <v>1</v>
      </c>
      <c r="M1291">
        <v>1</v>
      </c>
    </row>
    <row r="1292" spans="1:13" x14ac:dyDescent="0.25">
      <c r="A1292">
        <v>4</v>
      </c>
      <c r="B1292">
        <v>9668333</v>
      </c>
      <c r="C1292">
        <v>6230</v>
      </c>
      <c r="D1292">
        <v>1</v>
      </c>
      <c r="E1292">
        <v>703</v>
      </c>
      <c r="F1292" t="s">
        <v>461</v>
      </c>
      <c r="G1292" t="s">
        <v>462</v>
      </c>
      <c r="H1292">
        <v>703</v>
      </c>
      <c r="I1292" t="s">
        <v>461</v>
      </c>
      <c r="J1292" t="s">
        <v>462</v>
      </c>
      <c r="K1292" t="s">
        <v>1514</v>
      </c>
      <c r="L1292">
        <v>1</v>
      </c>
      <c r="M1292">
        <v>1</v>
      </c>
    </row>
    <row r="1293" spans="1:13" x14ac:dyDescent="0.25">
      <c r="A1293">
        <v>6</v>
      </c>
      <c r="B1293">
        <v>960447</v>
      </c>
      <c r="C1293">
        <v>6231</v>
      </c>
      <c r="D1293">
        <v>7</v>
      </c>
      <c r="E1293">
        <v>400</v>
      </c>
      <c r="F1293" t="s">
        <v>74</v>
      </c>
      <c r="G1293" t="s">
        <v>75</v>
      </c>
      <c r="H1293">
        <v>400</v>
      </c>
      <c r="I1293" t="s">
        <v>74</v>
      </c>
      <c r="J1293" t="s">
        <v>75</v>
      </c>
      <c r="K1293" t="s">
        <v>1515</v>
      </c>
      <c r="L1293">
        <v>1</v>
      </c>
      <c r="M1293">
        <v>1</v>
      </c>
    </row>
    <row r="1294" spans="1:13" x14ac:dyDescent="0.25">
      <c r="A1294">
        <v>6</v>
      </c>
      <c r="B1294">
        <v>960575</v>
      </c>
      <c r="C1294">
        <v>6231</v>
      </c>
      <c r="D1294">
        <v>8</v>
      </c>
      <c r="E1294">
        <v>400</v>
      </c>
      <c r="F1294" t="s">
        <v>74</v>
      </c>
      <c r="G1294" t="s">
        <v>75</v>
      </c>
      <c r="H1294">
        <v>400</v>
      </c>
      <c r="I1294" t="s">
        <v>74</v>
      </c>
      <c r="J1294" t="s">
        <v>75</v>
      </c>
      <c r="K1294" t="s">
        <v>1516</v>
      </c>
      <c r="L1294">
        <v>1</v>
      </c>
      <c r="M1294">
        <v>1</v>
      </c>
    </row>
    <row r="1295" spans="1:13" x14ac:dyDescent="0.25">
      <c r="A1295">
        <v>6</v>
      </c>
      <c r="B1295">
        <v>959744</v>
      </c>
      <c r="C1295">
        <v>6231</v>
      </c>
      <c r="D1295">
        <v>3</v>
      </c>
      <c r="E1295">
        <v>496</v>
      </c>
      <c r="F1295" t="s">
        <v>234</v>
      </c>
      <c r="G1295" t="s">
        <v>235</v>
      </c>
      <c r="H1295">
        <v>496</v>
      </c>
      <c r="I1295" t="s">
        <v>234</v>
      </c>
      <c r="J1295" t="s">
        <v>235</v>
      </c>
      <c r="K1295" t="s">
        <v>1517</v>
      </c>
      <c r="L1295">
        <v>1</v>
      </c>
      <c r="M1295">
        <v>1</v>
      </c>
    </row>
    <row r="1296" spans="1:13" x14ac:dyDescent="0.25">
      <c r="A1296">
        <v>6</v>
      </c>
      <c r="B1296">
        <v>960036</v>
      </c>
      <c r="C1296">
        <v>6231</v>
      </c>
      <c r="D1296">
        <v>4</v>
      </c>
      <c r="E1296">
        <v>905</v>
      </c>
      <c r="F1296" t="s">
        <v>146</v>
      </c>
      <c r="G1296" t="s">
        <v>147</v>
      </c>
      <c r="H1296">
        <v>905</v>
      </c>
      <c r="I1296" t="s">
        <v>146</v>
      </c>
      <c r="J1296" t="s">
        <v>147</v>
      </c>
      <c r="K1296" t="s">
        <v>1518</v>
      </c>
      <c r="L1296">
        <v>1</v>
      </c>
      <c r="M1296">
        <v>1</v>
      </c>
    </row>
    <row r="1297" spans="1:13" x14ac:dyDescent="0.25">
      <c r="A1297">
        <v>6</v>
      </c>
      <c r="B1297">
        <v>960049</v>
      </c>
      <c r="C1297">
        <v>6231</v>
      </c>
      <c r="D1297">
        <v>5</v>
      </c>
      <c r="E1297">
        <v>809</v>
      </c>
      <c r="F1297" t="s">
        <v>128</v>
      </c>
      <c r="G1297" t="s">
        <v>129</v>
      </c>
      <c r="H1297">
        <v>809</v>
      </c>
      <c r="I1297" t="s">
        <v>128</v>
      </c>
      <c r="J1297" t="s">
        <v>129</v>
      </c>
      <c r="K1297" t="s">
        <v>1519</v>
      </c>
      <c r="L1297">
        <v>1</v>
      </c>
      <c r="M1297">
        <v>1</v>
      </c>
    </row>
    <row r="1298" spans="1:13" x14ac:dyDescent="0.25">
      <c r="A1298">
        <v>24</v>
      </c>
      <c r="B1298">
        <v>5105472</v>
      </c>
      <c r="C1298">
        <v>6286</v>
      </c>
      <c r="D1298">
        <v>9</v>
      </c>
      <c r="E1298">
        <v>813</v>
      </c>
      <c r="F1298" t="s">
        <v>345</v>
      </c>
      <c r="G1298" t="s">
        <v>346</v>
      </c>
      <c r="H1298">
        <v>813</v>
      </c>
      <c r="I1298" t="s">
        <v>345</v>
      </c>
      <c r="J1298" t="s">
        <v>346</v>
      </c>
      <c r="K1298" t="s">
        <v>1520</v>
      </c>
      <c r="L1298">
        <v>1</v>
      </c>
      <c r="M1298">
        <v>1</v>
      </c>
    </row>
    <row r="1299" spans="1:13" x14ac:dyDescent="0.25">
      <c r="A1299">
        <v>24</v>
      </c>
      <c r="B1299">
        <v>5105087</v>
      </c>
      <c r="C1299">
        <v>6286</v>
      </c>
      <c r="D1299">
        <v>4</v>
      </c>
      <c r="E1299">
        <v>813</v>
      </c>
      <c r="F1299" t="s">
        <v>345</v>
      </c>
      <c r="G1299" t="s">
        <v>346</v>
      </c>
      <c r="H1299">
        <v>813</v>
      </c>
      <c r="I1299" t="s">
        <v>345</v>
      </c>
      <c r="J1299" t="s">
        <v>346</v>
      </c>
      <c r="K1299" t="s">
        <v>1521</v>
      </c>
      <c r="L1299">
        <v>1</v>
      </c>
      <c r="M1299">
        <v>1</v>
      </c>
    </row>
    <row r="1300" spans="1:13" x14ac:dyDescent="0.25">
      <c r="A1300">
        <v>24</v>
      </c>
      <c r="B1300">
        <v>5105088</v>
      </c>
      <c r="C1300">
        <v>6286</v>
      </c>
      <c r="D1300">
        <v>2</v>
      </c>
      <c r="E1300">
        <v>523</v>
      </c>
      <c r="F1300" t="s">
        <v>312</v>
      </c>
      <c r="G1300" t="s">
        <v>313</v>
      </c>
      <c r="H1300">
        <v>523</v>
      </c>
      <c r="I1300" t="s">
        <v>312</v>
      </c>
      <c r="J1300" t="s">
        <v>313</v>
      </c>
      <c r="K1300" t="s">
        <v>396</v>
      </c>
      <c r="L1300">
        <v>1</v>
      </c>
      <c r="M1300">
        <v>1</v>
      </c>
    </row>
    <row r="1301" spans="1:13" x14ac:dyDescent="0.25">
      <c r="A1301">
        <v>24</v>
      </c>
      <c r="B1301">
        <v>5105321</v>
      </c>
      <c r="C1301">
        <v>6286</v>
      </c>
      <c r="D1301">
        <v>5</v>
      </c>
      <c r="E1301">
        <v>813</v>
      </c>
      <c r="F1301" t="s">
        <v>345</v>
      </c>
      <c r="G1301" t="s">
        <v>346</v>
      </c>
      <c r="H1301">
        <v>813</v>
      </c>
      <c r="I1301" t="s">
        <v>345</v>
      </c>
      <c r="J1301" t="s">
        <v>346</v>
      </c>
      <c r="K1301" t="s">
        <v>1522</v>
      </c>
      <c r="L1301">
        <v>1</v>
      </c>
      <c r="M1301">
        <v>1</v>
      </c>
    </row>
    <row r="1302" spans="1:13" x14ac:dyDescent="0.25">
      <c r="A1302">
        <v>24</v>
      </c>
      <c r="B1302">
        <v>5105358</v>
      </c>
      <c r="C1302">
        <v>6286</v>
      </c>
      <c r="D1302">
        <v>6</v>
      </c>
      <c r="E1302">
        <v>813</v>
      </c>
      <c r="F1302" t="s">
        <v>345</v>
      </c>
      <c r="G1302" t="s">
        <v>346</v>
      </c>
      <c r="H1302">
        <v>813</v>
      </c>
      <c r="I1302" t="s">
        <v>345</v>
      </c>
      <c r="J1302" t="s">
        <v>346</v>
      </c>
      <c r="K1302" t="s">
        <v>1523</v>
      </c>
      <c r="L1302">
        <v>1</v>
      </c>
      <c r="M1302">
        <v>1</v>
      </c>
    </row>
    <row r="1303" spans="1:13" x14ac:dyDescent="0.25">
      <c r="A1303">
        <v>24</v>
      </c>
      <c r="B1303">
        <v>5105408</v>
      </c>
      <c r="C1303">
        <v>6286</v>
      </c>
      <c r="D1303">
        <v>7</v>
      </c>
      <c r="E1303">
        <v>813</v>
      </c>
      <c r="F1303" t="s">
        <v>345</v>
      </c>
      <c r="G1303" t="s">
        <v>346</v>
      </c>
      <c r="H1303">
        <v>813</v>
      </c>
      <c r="I1303" t="s">
        <v>345</v>
      </c>
      <c r="J1303" t="s">
        <v>346</v>
      </c>
      <c r="K1303" t="s">
        <v>1524</v>
      </c>
      <c r="L1303">
        <v>1</v>
      </c>
      <c r="M1303">
        <v>1</v>
      </c>
    </row>
    <row r="1304" spans="1:13" x14ac:dyDescent="0.25">
      <c r="A1304">
        <v>24</v>
      </c>
      <c r="B1304">
        <v>5105036</v>
      </c>
      <c r="C1304">
        <v>6286</v>
      </c>
      <c r="D1304">
        <v>1</v>
      </c>
      <c r="E1304">
        <v>584</v>
      </c>
      <c r="F1304" t="s">
        <v>96</v>
      </c>
      <c r="G1304" t="s">
        <v>97</v>
      </c>
      <c r="H1304">
        <v>584</v>
      </c>
      <c r="I1304" t="s">
        <v>96</v>
      </c>
      <c r="J1304" t="s">
        <v>97</v>
      </c>
      <c r="K1304" t="s">
        <v>1525</v>
      </c>
      <c r="L1304">
        <v>1</v>
      </c>
      <c r="M1304">
        <v>1</v>
      </c>
    </row>
    <row r="1305" spans="1:13" x14ac:dyDescent="0.25">
      <c r="A1305">
        <v>5</v>
      </c>
      <c r="B1305">
        <v>6504045677</v>
      </c>
      <c r="C1305">
        <v>6288</v>
      </c>
      <c r="D1305">
        <v>1</v>
      </c>
      <c r="E1305">
        <v>1097</v>
      </c>
      <c r="F1305" t="s">
        <v>431</v>
      </c>
      <c r="G1305" t="s">
        <v>432</v>
      </c>
      <c r="H1305">
        <v>1097</v>
      </c>
      <c r="I1305" t="s">
        <v>431</v>
      </c>
      <c r="J1305" t="s">
        <v>432</v>
      </c>
      <c r="K1305" t="s">
        <v>49</v>
      </c>
      <c r="L1305">
        <v>10</v>
      </c>
      <c r="M1305">
        <v>10</v>
      </c>
    </row>
    <row r="1306" spans="1:13" x14ac:dyDescent="0.25">
      <c r="A1306">
        <v>5</v>
      </c>
      <c r="B1306">
        <v>6504045677</v>
      </c>
      <c r="C1306">
        <v>6288</v>
      </c>
      <c r="D1306">
        <v>2</v>
      </c>
      <c r="E1306">
        <v>1097</v>
      </c>
      <c r="F1306" t="s">
        <v>431</v>
      </c>
      <c r="G1306" t="s">
        <v>432</v>
      </c>
      <c r="H1306">
        <v>1097</v>
      </c>
      <c r="I1306" t="s">
        <v>431</v>
      </c>
      <c r="J1306" t="s">
        <v>432</v>
      </c>
      <c r="K1306" t="s">
        <v>49</v>
      </c>
      <c r="L1306">
        <v>10</v>
      </c>
      <c r="M1306">
        <v>10</v>
      </c>
    </row>
    <row r="1307" spans="1:13" x14ac:dyDescent="0.25">
      <c r="A1307">
        <v>5</v>
      </c>
      <c r="B1307">
        <v>6504045677</v>
      </c>
      <c r="C1307">
        <v>6288</v>
      </c>
      <c r="D1307">
        <v>3</v>
      </c>
      <c r="E1307">
        <v>1097</v>
      </c>
      <c r="F1307" t="s">
        <v>431</v>
      </c>
      <c r="G1307" t="s">
        <v>432</v>
      </c>
      <c r="H1307">
        <v>1097</v>
      </c>
      <c r="I1307" t="s">
        <v>431</v>
      </c>
      <c r="J1307" t="s">
        <v>432</v>
      </c>
      <c r="K1307" t="s">
        <v>49</v>
      </c>
      <c r="L1307">
        <v>10</v>
      </c>
      <c r="M1307">
        <v>10</v>
      </c>
    </row>
    <row r="1308" spans="1:13" x14ac:dyDescent="0.25">
      <c r="A1308">
        <v>5</v>
      </c>
      <c r="B1308">
        <v>6504045677</v>
      </c>
      <c r="C1308">
        <v>6288</v>
      </c>
      <c r="D1308">
        <v>4</v>
      </c>
      <c r="E1308">
        <v>1097</v>
      </c>
      <c r="F1308" t="s">
        <v>431</v>
      </c>
      <c r="G1308" t="s">
        <v>432</v>
      </c>
      <c r="H1308">
        <v>1097</v>
      </c>
      <c r="I1308" t="s">
        <v>431</v>
      </c>
      <c r="J1308" t="s">
        <v>432</v>
      </c>
      <c r="K1308" t="s">
        <v>49</v>
      </c>
      <c r="L1308">
        <v>10</v>
      </c>
      <c r="M1308">
        <v>10</v>
      </c>
    </row>
    <row r="1309" spans="1:13" x14ac:dyDescent="0.25">
      <c r="A1309">
        <v>5</v>
      </c>
      <c r="B1309">
        <v>6504045677</v>
      </c>
      <c r="C1309">
        <v>6288</v>
      </c>
      <c r="D1309">
        <v>5</v>
      </c>
      <c r="E1309">
        <v>1097</v>
      </c>
      <c r="F1309" t="s">
        <v>431</v>
      </c>
      <c r="G1309" t="s">
        <v>432</v>
      </c>
      <c r="H1309">
        <v>1097</v>
      </c>
      <c r="I1309" t="s">
        <v>431</v>
      </c>
      <c r="J1309" t="s">
        <v>432</v>
      </c>
      <c r="K1309" t="s">
        <v>49</v>
      </c>
      <c r="L1309">
        <v>10</v>
      </c>
      <c r="M1309">
        <v>10</v>
      </c>
    </row>
    <row r="1310" spans="1:13" x14ac:dyDescent="0.25">
      <c r="A1310">
        <v>5</v>
      </c>
      <c r="B1310">
        <v>6504045677</v>
      </c>
      <c r="C1310">
        <v>6288</v>
      </c>
      <c r="D1310">
        <v>6</v>
      </c>
      <c r="E1310">
        <v>1097</v>
      </c>
      <c r="F1310" t="s">
        <v>431</v>
      </c>
      <c r="G1310" t="s">
        <v>432</v>
      </c>
      <c r="H1310">
        <v>1097</v>
      </c>
      <c r="I1310" t="s">
        <v>431</v>
      </c>
      <c r="J1310" t="s">
        <v>432</v>
      </c>
      <c r="K1310" t="s">
        <v>49</v>
      </c>
      <c r="L1310">
        <v>10</v>
      </c>
      <c r="M1310">
        <v>10</v>
      </c>
    </row>
    <row r="1311" spans="1:13" x14ac:dyDescent="0.25">
      <c r="A1311">
        <v>5</v>
      </c>
      <c r="B1311">
        <v>6504045677</v>
      </c>
      <c r="C1311">
        <v>6288</v>
      </c>
      <c r="D1311">
        <v>7</v>
      </c>
      <c r="E1311">
        <v>1097</v>
      </c>
      <c r="F1311" t="s">
        <v>431</v>
      </c>
      <c r="G1311" t="s">
        <v>432</v>
      </c>
      <c r="H1311">
        <v>1097</v>
      </c>
      <c r="I1311" t="s">
        <v>431</v>
      </c>
      <c r="J1311" t="s">
        <v>432</v>
      </c>
      <c r="K1311" t="s">
        <v>49</v>
      </c>
      <c r="L1311">
        <v>10</v>
      </c>
      <c r="M1311">
        <v>10</v>
      </c>
    </row>
    <row r="1312" spans="1:13" x14ac:dyDescent="0.25">
      <c r="A1312">
        <v>5</v>
      </c>
      <c r="B1312">
        <v>6504045677</v>
      </c>
      <c r="C1312">
        <v>6288</v>
      </c>
      <c r="D1312">
        <v>8</v>
      </c>
      <c r="E1312">
        <v>1097</v>
      </c>
      <c r="F1312" t="s">
        <v>431</v>
      </c>
      <c r="G1312" t="s">
        <v>432</v>
      </c>
      <c r="H1312">
        <v>1097</v>
      </c>
      <c r="I1312" t="s">
        <v>431</v>
      </c>
      <c r="J1312" t="s">
        <v>432</v>
      </c>
      <c r="K1312" t="s">
        <v>49</v>
      </c>
      <c r="L1312">
        <v>10</v>
      </c>
      <c r="M1312">
        <v>10</v>
      </c>
    </row>
    <row r="1313" spans="1:13" x14ac:dyDescent="0.25">
      <c r="A1313">
        <v>5</v>
      </c>
      <c r="B1313">
        <v>6504045677</v>
      </c>
      <c r="C1313">
        <v>6288</v>
      </c>
      <c r="D1313">
        <v>9</v>
      </c>
      <c r="E1313">
        <v>1097</v>
      </c>
      <c r="F1313" t="s">
        <v>431</v>
      </c>
      <c r="G1313" t="s">
        <v>432</v>
      </c>
      <c r="H1313">
        <v>1097</v>
      </c>
      <c r="I1313" t="s">
        <v>431</v>
      </c>
      <c r="J1313" t="s">
        <v>432</v>
      </c>
      <c r="K1313" t="s">
        <v>49</v>
      </c>
      <c r="L1313">
        <v>10</v>
      </c>
      <c r="M1313">
        <v>10</v>
      </c>
    </row>
    <row r="1314" spans="1:13" x14ac:dyDescent="0.25">
      <c r="A1314">
        <v>5</v>
      </c>
      <c r="B1314">
        <v>6504045677</v>
      </c>
      <c r="C1314">
        <v>6288</v>
      </c>
      <c r="D1314">
        <v>10</v>
      </c>
      <c r="E1314">
        <v>1097</v>
      </c>
      <c r="F1314" t="s">
        <v>431</v>
      </c>
      <c r="G1314" t="s">
        <v>432</v>
      </c>
      <c r="H1314">
        <v>1097</v>
      </c>
      <c r="I1314" t="s">
        <v>431</v>
      </c>
      <c r="J1314" t="s">
        <v>432</v>
      </c>
      <c r="K1314" t="s">
        <v>49</v>
      </c>
      <c r="L1314">
        <v>10</v>
      </c>
      <c r="M1314">
        <v>10</v>
      </c>
    </row>
    <row r="1315" spans="1:13" x14ac:dyDescent="0.25">
      <c r="A1315">
        <v>5</v>
      </c>
      <c r="B1315">
        <v>6504045677</v>
      </c>
      <c r="C1315">
        <v>6288</v>
      </c>
      <c r="D1315">
        <v>11</v>
      </c>
      <c r="E1315">
        <v>1097</v>
      </c>
      <c r="F1315" t="s">
        <v>431</v>
      </c>
      <c r="G1315" t="s">
        <v>432</v>
      </c>
      <c r="H1315">
        <v>1097</v>
      </c>
      <c r="I1315" t="s">
        <v>431</v>
      </c>
      <c r="J1315" t="s">
        <v>432</v>
      </c>
      <c r="K1315" t="s">
        <v>49</v>
      </c>
      <c r="L1315">
        <v>10</v>
      </c>
      <c r="M1315">
        <v>10</v>
      </c>
    </row>
    <row r="1316" spans="1:13" x14ac:dyDescent="0.25">
      <c r="A1316">
        <v>5</v>
      </c>
      <c r="B1316">
        <v>6504045677</v>
      </c>
      <c r="C1316">
        <v>6288</v>
      </c>
      <c r="D1316">
        <v>12</v>
      </c>
      <c r="E1316">
        <v>1097</v>
      </c>
      <c r="F1316" t="s">
        <v>431</v>
      </c>
      <c r="G1316" t="s">
        <v>432</v>
      </c>
      <c r="H1316">
        <v>1097</v>
      </c>
      <c r="I1316" t="s">
        <v>431</v>
      </c>
      <c r="J1316" t="s">
        <v>432</v>
      </c>
      <c r="K1316" t="s">
        <v>49</v>
      </c>
      <c r="L1316">
        <v>10</v>
      </c>
      <c r="M1316">
        <v>10</v>
      </c>
    </row>
    <row r="1317" spans="1:13" x14ac:dyDescent="0.25">
      <c r="A1317">
        <v>5</v>
      </c>
      <c r="B1317">
        <v>6504045677</v>
      </c>
      <c r="C1317">
        <v>6288</v>
      </c>
      <c r="D1317">
        <v>13</v>
      </c>
      <c r="E1317">
        <v>1097</v>
      </c>
      <c r="F1317" t="s">
        <v>431</v>
      </c>
      <c r="G1317" t="s">
        <v>432</v>
      </c>
      <c r="H1317">
        <v>1097</v>
      </c>
      <c r="I1317" t="s">
        <v>431</v>
      </c>
      <c r="J1317" t="s">
        <v>432</v>
      </c>
      <c r="K1317" t="s">
        <v>49</v>
      </c>
      <c r="L1317">
        <v>10</v>
      </c>
      <c r="M1317">
        <v>10</v>
      </c>
    </row>
    <row r="1318" spans="1:13" x14ac:dyDescent="0.25">
      <c r="A1318">
        <v>5</v>
      </c>
      <c r="B1318">
        <v>6504045677</v>
      </c>
      <c r="C1318">
        <v>6288</v>
      </c>
      <c r="D1318">
        <v>14</v>
      </c>
      <c r="E1318">
        <v>1097</v>
      </c>
      <c r="F1318" t="s">
        <v>431</v>
      </c>
      <c r="G1318" t="s">
        <v>432</v>
      </c>
      <c r="H1318">
        <v>1097</v>
      </c>
      <c r="I1318" t="s">
        <v>431</v>
      </c>
      <c r="J1318" t="s">
        <v>432</v>
      </c>
      <c r="K1318" t="s">
        <v>49</v>
      </c>
      <c r="L1318">
        <v>10</v>
      </c>
      <c r="M1318">
        <v>10</v>
      </c>
    </row>
    <row r="1319" spans="1:13" x14ac:dyDescent="0.25">
      <c r="A1319">
        <v>5</v>
      </c>
      <c r="B1319">
        <v>6504045677</v>
      </c>
      <c r="C1319">
        <v>6288</v>
      </c>
      <c r="D1319">
        <v>15</v>
      </c>
      <c r="E1319">
        <v>1097</v>
      </c>
      <c r="F1319" t="s">
        <v>431</v>
      </c>
      <c r="G1319" t="s">
        <v>432</v>
      </c>
      <c r="H1319">
        <v>1097</v>
      </c>
      <c r="I1319" t="s">
        <v>431</v>
      </c>
      <c r="J1319" t="s">
        <v>432</v>
      </c>
      <c r="K1319" t="s">
        <v>49</v>
      </c>
      <c r="L1319">
        <v>10</v>
      </c>
      <c r="M1319">
        <v>10</v>
      </c>
    </row>
    <row r="1320" spans="1:13" x14ac:dyDescent="0.25">
      <c r="A1320">
        <v>5</v>
      </c>
      <c r="B1320">
        <v>6504045677</v>
      </c>
      <c r="C1320">
        <v>6288</v>
      </c>
      <c r="D1320">
        <v>16</v>
      </c>
      <c r="E1320">
        <v>1097</v>
      </c>
      <c r="F1320" t="s">
        <v>431</v>
      </c>
      <c r="G1320" t="s">
        <v>432</v>
      </c>
      <c r="H1320">
        <v>1097</v>
      </c>
      <c r="I1320" t="s">
        <v>431</v>
      </c>
      <c r="J1320" t="s">
        <v>432</v>
      </c>
      <c r="K1320" t="s">
        <v>49</v>
      </c>
      <c r="L1320">
        <v>10</v>
      </c>
      <c r="M1320">
        <v>10</v>
      </c>
    </row>
    <row r="1321" spans="1:13" x14ac:dyDescent="0.25">
      <c r="A1321">
        <v>5</v>
      </c>
      <c r="B1321">
        <v>6504045677</v>
      </c>
      <c r="C1321">
        <v>6288</v>
      </c>
      <c r="D1321">
        <v>17</v>
      </c>
      <c r="E1321">
        <v>1097</v>
      </c>
      <c r="F1321" t="s">
        <v>431</v>
      </c>
      <c r="G1321" t="s">
        <v>432</v>
      </c>
      <c r="H1321">
        <v>1097</v>
      </c>
      <c r="I1321" t="s">
        <v>431</v>
      </c>
      <c r="J1321" t="s">
        <v>432</v>
      </c>
      <c r="K1321" t="s">
        <v>49</v>
      </c>
      <c r="L1321">
        <v>10</v>
      </c>
      <c r="M1321">
        <v>10</v>
      </c>
    </row>
    <row r="1322" spans="1:13" x14ac:dyDescent="0.25">
      <c r="A1322">
        <v>5</v>
      </c>
      <c r="B1322">
        <v>6504045677</v>
      </c>
      <c r="C1322">
        <v>6288</v>
      </c>
      <c r="D1322">
        <v>18</v>
      </c>
      <c r="E1322">
        <v>1097</v>
      </c>
      <c r="F1322" t="s">
        <v>431</v>
      </c>
      <c r="G1322" t="s">
        <v>432</v>
      </c>
      <c r="H1322">
        <v>1097</v>
      </c>
      <c r="I1322" t="s">
        <v>431</v>
      </c>
      <c r="J1322" t="s">
        <v>432</v>
      </c>
      <c r="K1322" t="s">
        <v>49</v>
      </c>
      <c r="L1322">
        <v>10</v>
      </c>
      <c r="M1322">
        <v>10</v>
      </c>
    </row>
    <row r="1323" spans="1:13" x14ac:dyDescent="0.25">
      <c r="A1323">
        <v>5</v>
      </c>
      <c r="B1323">
        <v>6504045677</v>
      </c>
      <c r="C1323">
        <v>6288</v>
      </c>
      <c r="D1323">
        <v>19</v>
      </c>
      <c r="E1323">
        <v>1097</v>
      </c>
      <c r="F1323" t="s">
        <v>431</v>
      </c>
      <c r="G1323" t="s">
        <v>432</v>
      </c>
      <c r="H1323">
        <v>1097</v>
      </c>
      <c r="I1323" t="s">
        <v>431</v>
      </c>
      <c r="J1323" t="s">
        <v>432</v>
      </c>
      <c r="K1323" t="s">
        <v>49</v>
      </c>
      <c r="L1323">
        <v>10</v>
      </c>
      <c r="M1323">
        <v>10</v>
      </c>
    </row>
    <row r="1324" spans="1:13" x14ac:dyDescent="0.25">
      <c r="A1324">
        <v>5</v>
      </c>
      <c r="B1324">
        <v>6504045677</v>
      </c>
      <c r="C1324">
        <v>6288</v>
      </c>
      <c r="D1324">
        <v>20</v>
      </c>
      <c r="E1324">
        <v>1097</v>
      </c>
      <c r="F1324" t="s">
        <v>431</v>
      </c>
      <c r="G1324" t="s">
        <v>432</v>
      </c>
      <c r="H1324">
        <v>1097</v>
      </c>
      <c r="I1324" t="s">
        <v>431</v>
      </c>
      <c r="J1324" t="s">
        <v>432</v>
      </c>
      <c r="K1324" t="s">
        <v>49</v>
      </c>
      <c r="L1324">
        <v>10</v>
      </c>
      <c r="M1324">
        <v>10</v>
      </c>
    </row>
    <row r="1325" spans="1:13" x14ac:dyDescent="0.25">
      <c r="A1325">
        <v>5</v>
      </c>
      <c r="B1325">
        <v>6504045677</v>
      </c>
      <c r="C1325">
        <v>6288</v>
      </c>
      <c r="D1325">
        <v>21</v>
      </c>
      <c r="E1325">
        <v>1097</v>
      </c>
      <c r="F1325" t="s">
        <v>431</v>
      </c>
      <c r="G1325" t="s">
        <v>432</v>
      </c>
      <c r="H1325">
        <v>1097</v>
      </c>
      <c r="I1325" t="s">
        <v>431</v>
      </c>
      <c r="J1325" t="s">
        <v>432</v>
      </c>
      <c r="K1325" t="s">
        <v>49</v>
      </c>
      <c r="L1325">
        <v>10</v>
      </c>
      <c r="M1325">
        <v>10</v>
      </c>
    </row>
    <row r="1326" spans="1:13" x14ac:dyDescent="0.25">
      <c r="A1326">
        <v>5</v>
      </c>
      <c r="B1326">
        <v>6504045677</v>
      </c>
      <c r="C1326">
        <v>6288</v>
      </c>
      <c r="D1326">
        <v>22</v>
      </c>
      <c r="E1326">
        <v>1097</v>
      </c>
      <c r="F1326" t="s">
        <v>431</v>
      </c>
      <c r="G1326" t="s">
        <v>432</v>
      </c>
      <c r="H1326">
        <v>1097</v>
      </c>
      <c r="I1326" t="s">
        <v>431</v>
      </c>
      <c r="J1326" t="s">
        <v>432</v>
      </c>
      <c r="K1326" t="s">
        <v>49</v>
      </c>
      <c r="L1326">
        <v>10</v>
      </c>
      <c r="M1326">
        <v>10</v>
      </c>
    </row>
    <row r="1327" spans="1:13" x14ac:dyDescent="0.25">
      <c r="A1327">
        <v>5</v>
      </c>
      <c r="B1327">
        <v>6504045677</v>
      </c>
      <c r="C1327">
        <v>6288</v>
      </c>
      <c r="D1327">
        <v>23</v>
      </c>
      <c r="E1327">
        <v>1097</v>
      </c>
      <c r="F1327" t="s">
        <v>431</v>
      </c>
      <c r="G1327" t="s">
        <v>432</v>
      </c>
      <c r="H1327">
        <v>1097</v>
      </c>
      <c r="I1327" t="s">
        <v>431</v>
      </c>
      <c r="J1327" t="s">
        <v>432</v>
      </c>
      <c r="K1327" t="s">
        <v>49</v>
      </c>
      <c r="L1327">
        <v>10</v>
      </c>
      <c r="M1327">
        <v>10</v>
      </c>
    </row>
    <row r="1328" spans="1:13" x14ac:dyDescent="0.25">
      <c r="A1328">
        <v>5</v>
      </c>
      <c r="B1328">
        <v>6504045677</v>
      </c>
      <c r="C1328">
        <v>6288</v>
      </c>
      <c r="D1328">
        <v>24</v>
      </c>
      <c r="E1328">
        <v>1097</v>
      </c>
      <c r="F1328" t="s">
        <v>431</v>
      </c>
      <c r="G1328" t="s">
        <v>432</v>
      </c>
      <c r="H1328">
        <v>1097</v>
      </c>
      <c r="I1328" t="s">
        <v>431</v>
      </c>
      <c r="J1328" t="s">
        <v>432</v>
      </c>
      <c r="K1328" t="s">
        <v>49</v>
      </c>
      <c r="L1328">
        <v>20</v>
      </c>
      <c r="M1328">
        <v>20</v>
      </c>
    </row>
    <row r="1329" spans="1:13" x14ac:dyDescent="0.25">
      <c r="A1329">
        <v>5</v>
      </c>
      <c r="B1329">
        <v>6504045677</v>
      </c>
      <c r="C1329">
        <v>6288</v>
      </c>
      <c r="D1329">
        <v>25</v>
      </c>
      <c r="E1329">
        <v>1097</v>
      </c>
      <c r="F1329" t="s">
        <v>431</v>
      </c>
      <c r="G1329" t="s">
        <v>432</v>
      </c>
      <c r="H1329">
        <v>1097</v>
      </c>
      <c r="I1329" t="s">
        <v>431</v>
      </c>
      <c r="J1329" t="s">
        <v>432</v>
      </c>
      <c r="K1329" t="s">
        <v>49</v>
      </c>
      <c r="L1329">
        <v>20</v>
      </c>
      <c r="M1329">
        <v>20</v>
      </c>
    </row>
    <row r="1330" spans="1:13" x14ac:dyDescent="0.25">
      <c r="A1330">
        <v>5</v>
      </c>
      <c r="B1330">
        <v>6504045677</v>
      </c>
      <c r="C1330">
        <v>6288</v>
      </c>
      <c r="D1330">
        <v>26</v>
      </c>
      <c r="E1330">
        <v>1097</v>
      </c>
      <c r="F1330" t="s">
        <v>431</v>
      </c>
      <c r="G1330" t="s">
        <v>432</v>
      </c>
      <c r="H1330">
        <v>1097</v>
      </c>
      <c r="I1330" t="s">
        <v>431</v>
      </c>
      <c r="J1330" t="s">
        <v>432</v>
      </c>
      <c r="K1330" t="s">
        <v>49</v>
      </c>
      <c r="L1330">
        <v>20</v>
      </c>
      <c r="M1330">
        <v>20</v>
      </c>
    </row>
    <row r="1331" spans="1:13" x14ac:dyDescent="0.25">
      <c r="A1331">
        <v>5</v>
      </c>
      <c r="B1331">
        <v>6504045677</v>
      </c>
      <c r="C1331">
        <v>6288</v>
      </c>
      <c r="D1331">
        <v>27</v>
      </c>
      <c r="E1331">
        <v>1097</v>
      </c>
      <c r="F1331" t="s">
        <v>431</v>
      </c>
      <c r="G1331" t="s">
        <v>432</v>
      </c>
      <c r="H1331">
        <v>1097</v>
      </c>
      <c r="I1331" t="s">
        <v>431</v>
      </c>
      <c r="J1331" t="s">
        <v>432</v>
      </c>
      <c r="K1331" t="s">
        <v>49</v>
      </c>
      <c r="L1331">
        <v>20</v>
      </c>
      <c r="M1331">
        <v>20</v>
      </c>
    </row>
    <row r="1332" spans="1:13" x14ac:dyDescent="0.25">
      <c r="A1332">
        <v>5</v>
      </c>
      <c r="B1332">
        <v>6504045677</v>
      </c>
      <c r="C1332">
        <v>6288</v>
      </c>
      <c r="D1332">
        <v>28</v>
      </c>
      <c r="E1332">
        <v>1097</v>
      </c>
      <c r="F1332" t="s">
        <v>431</v>
      </c>
      <c r="G1332" t="s">
        <v>432</v>
      </c>
      <c r="H1332">
        <v>1097</v>
      </c>
      <c r="I1332" t="s">
        <v>431</v>
      </c>
      <c r="J1332" t="s">
        <v>432</v>
      </c>
      <c r="K1332" t="s">
        <v>49</v>
      </c>
      <c r="L1332">
        <v>20</v>
      </c>
      <c r="M1332">
        <v>20</v>
      </c>
    </row>
    <row r="1333" spans="1:13" x14ac:dyDescent="0.25">
      <c r="A1333">
        <v>5</v>
      </c>
      <c r="B1333">
        <v>6504050754</v>
      </c>
      <c r="C1333">
        <v>6289</v>
      </c>
      <c r="D1333">
        <v>8</v>
      </c>
      <c r="E1333">
        <v>103</v>
      </c>
      <c r="F1333" t="s">
        <v>1158</v>
      </c>
      <c r="G1333" t="s">
        <v>1159</v>
      </c>
      <c r="H1333">
        <v>103</v>
      </c>
      <c r="I1333" t="s">
        <v>1158</v>
      </c>
      <c r="J1333" t="s">
        <v>1159</v>
      </c>
      <c r="K1333" t="s">
        <v>49</v>
      </c>
      <c r="L1333">
        <v>1</v>
      </c>
      <c r="M1333">
        <v>1</v>
      </c>
    </row>
    <row r="1334" spans="1:13" x14ac:dyDescent="0.25">
      <c r="A1334">
        <v>5</v>
      </c>
      <c r="B1334">
        <v>6504050775</v>
      </c>
      <c r="C1334">
        <v>6289</v>
      </c>
      <c r="D1334">
        <v>9</v>
      </c>
      <c r="E1334">
        <v>825</v>
      </c>
      <c r="F1334" t="s">
        <v>1371</v>
      </c>
      <c r="G1334" t="s">
        <v>1372</v>
      </c>
      <c r="H1334">
        <v>825</v>
      </c>
      <c r="I1334" t="s">
        <v>1371</v>
      </c>
      <c r="J1334" t="s">
        <v>1372</v>
      </c>
      <c r="K1334" t="s">
        <v>49</v>
      </c>
      <c r="L1334">
        <v>1</v>
      </c>
      <c r="M1334">
        <v>1</v>
      </c>
    </row>
    <row r="1335" spans="1:13" x14ac:dyDescent="0.25">
      <c r="A1335">
        <v>5</v>
      </c>
      <c r="B1335">
        <v>6504050782</v>
      </c>
      <c r="C1335">
        <v>6289</v>
      </c>
      <c r="D1335">
        <v>10</v>
      </c>
      <c r="E1335">
        <v>884</v>
      </c>
      <c r="F1335" t="s">
        <v>304</v>
      </c>
      <c r="G1335" t="s">
        <v>305</v>
      </c>
      <c r="H1335">
        <v>884</v>
      </c>
      <c r="I1335" t="s">
        <v>304</v>
      </c>
      <c r="J1335" t="s">
        <v>305</v>
      </c>
      <c r="K1335" t="s">
        <v>49</v>
      </c>
      <c r="L1335">
        <v>1</v>
      </c>
      <c r="M1335">
        <v>1</v>
      </c>
    </row>
    <row r="1336" spans="1:13" x14ac:dyDescent="0.25">
      <c r="A1336">
        <v>5</v>
      </c>
      <c r="B1336">
        <v>6504054469</v>
      </c>
      <c r="C1336">
        <v>6289</v>
      </c>
      <c r="D1336">
        <v>11</v>
      </c>
      <c r="E1336">
        <v>180</v>
      </c>
      <c r="F1336" t="s">
        <v>68</v>
      </c>
      <c r="G1336" t="s">
        <v>69</v>
      </c>
      <c r="H1336">
        <v>180</v>
      </c>
      <c r="I1336" t="s">
        <v>68</v>
      </c>
      <c r="J1336" t="s">
        <v>69</v>
      </c>
      <c r="K1336" t="s">
        <v>49</v>
      </c>
      <c r="L1336">
        <v>1</v>
      </c>
      <c r="M1336">
        <v>1</v>
      </c>
    </row>
    <row r="1337" spans="1:13" x14ac:dyDescent="0.25">
      <c r="A1337">
        <v>5</v>
      </c>
      <c r="B1337">
        <v>6504049925</v>
      </c>
      <c r="C1337">
        <v>6289</v>
      </c>
      <c r="D1337">
        <v>2</v>
      </c>
      <c r="E1337">
        <v>181</v>
      </c>
      <c r="F1337" t="s">
        <v>164</v>
      </c>
      <c r="G1337" t="s">
        <v>165</v>
      </c>
      <c r="H1337">
        <v>181</v>
      </c>
      <c r="I1337" t="s">
        <v>164</v>
      </c>
      <c r="J1337" t="s">
        <v>165</v>
      </c>
      <c r="K1337" t="s">
        <v>49</v>
      </c>
      <c r="L1337">
        <v>1</v>
      </c>
      <c r="M1337">
        <v>1</v>
      </c>
    </row>
    <row r="1338" spans="1:13" x14ac:dyDescent="0.25">
      <c r="A1338">
        <v>5</v>
      </c>
      <c r="B1338">
        <v>6504049936</v>
      </c>
      <c r="C1338">
        <v>6289</v>
      </c>
      <c r="D1338">
        <v>3</v>
      </c>
      <c r="E1338">
        <v>698</v>
      </c>
      <c r="F1338" t="s">
        <v>116</v>
      </c>
      <c r="G1338" t="s">
        <v>117</v>
      </c>
      <c r="H1338">
        <v>698</v>
      </c>
      <c r="I1338" t="s">
        <v>116</v>
      </c>
      <c r="J1338" t="s">
        <v>117</v>
      </c>
      <c r="K1338" t="s">
        <v>49</v>
      </c>
      <c r="L1338">
        <v>1</v>
      </c>
      <c r="M1338">
        <v>1</v>
      </c>
    </row>
    <row r="1339" spans="1:13" x14ac:dyDescent="0.25">
      <c r="A1339">
        <v>5</v>
      </c>
      <c r="B1339">
        <v>6504049944</v>
      </c>
      <c r="C1339">
        <v>6289</v>
      </c>
      <c r="D1339">
        <v>4</v>
      </c>
      <c r="E1339">
        <v>825</v>
      </c>
      <c r="F1339" t="s">
        <v>1371</v>
      </c>
      <c r="G1339" t="s">
        <v>1372</v>
      </c>
      <c r="H1339">
        <v>825</v>
      </c>
      <c r="I1339" t="s">
        <v>1371</v>
      </c>
      <c r="J1339" t="s">
        <v>1372</v>
      </c>
      <c r="K1339" t="s">
        <v>49</v>
      </c>
      <c r="L1339">
        <v>1</v>
      </c>
      <c r="M1339">
        <v>1</v>
      </c>
    </row>
    <row r="1340" spans="1:13" x14ac:dyDescent="0.25">
      <c r="A1340">
        <v>8</v>
      </c>
      <c r="B1340">
        <v>4450422410</v>
      </c>
      <c r="C1340">
        <v>6365</v>
      </c>
      <c r="D1340">
        <v>3</v>
      </c>
      <c r="E1340">
        <v>1106</v>
      </c>
      <c r="F1340" t="s">
        <v>382</v>
      </c>
      <c r="G1340" t="s">
        <v>383</v>
      </c>
      <c r="H1340">
        <v>655</v>
      </c>
      <c r="I1340" t="s">
        <v>384</v>
      </c>
      <c r="J1340" t="s">
        <v>385</v>
      </c>
      <c r="K1340" t="s">
        <v>386</v>
      </c>
      <c r="L1340">
        <v>12</v>
      </c>
      <c r="M1340">
        <v>12</v>
      </c>
    </row>
    <row r="1341" spans="1:13" x14ac:dyDescent="0.25">
      <c r="A1341">
        <v>8</v>
      </c>
      <c r="B1341">
        <v>4450422410</v>
      </c>
      <c r="C1341">
        <v>6365</v>
      </c>
      <c r="D1341">
        <v>4</v>
      </c>
      <c r="E1341">
        <v>809</v>
      </c>
      <c r="F1341" t="s">
        <v>128</v>
      </c>
      <c r="G1341" t="s">
        <v>129</v>
      </c>
      <c r="H1341">
        <v>809</v>
      </c>
      <c r="I1341" t="s">
        <v>128</v>
      </c>
      <c r="J1341" t="s">
        <v>129</v>
      </c>
      <c r="K1341" t="s">
        <v>174</v>
      </c>
      <c r="L1341">
        <v>15</v>
      </c>
      <c r="M1341">
        <v>15</v>
      </c>
    </row>
    <row r="1342" spans="1:13" x14ac:dyDescent="0.25">
      <c r="A1342">
        <v>2</v>
      </c>
      <c r="B1342">
        <v>8699381</v>
      </c>
      <c r="C1342">
        <v>6368</v>
      </c>
      <c r="D1342">
        <v>1</v>
      </c>
      <c r="E1342">
        <v>937</v>
      </c>
      <c r="F1342" t="s">
        <v>355</v>
      </c>
      <c r="G1342" t="s">
        <v>356</v>
      </c>
      <c r="H1342">
        <v>937</v>
      </c>
      <c r="I1342" t="s">
        <v>355</v>
      </c>
      <c r="J1342" t="s">
        <v>356</v>
      </c>
      <c r="K1342" t="s">
        <v>1526</v>
      </c>
      <c r="L1342">
        <v>1</v>
      </c>
      <c r="M1342">
        <v>1</v>
      </c>
    </row>
    <row r="1343" spans="1:13" x14ac:dyDescent="0.25">
      <c r="A1343">
        <v>6</v>
      </c>
      <c r="B1343">
        <v>973167</v>
      </c>
      <c r="C1343">
        <v>6371</v>
      </c>
      <c r="D1343">
        <v>1</v>
      </c>
      <c r="E1343">
        <v>851</v>
      </c>
      <c r="F1343" t="s">
        <v>201</v>
      </c>
      <c r="G1343" t="s">
        <v>202</v>
      </c>
      <c r="H1343">
        <v>851</v>
      </c>
      <c r="I1343" t="s">
        <v>201</v>
      </c>
      <c r="J1343" t="s">
        <v>202</v>
      </c>
      <c r="K1343" t="s">
        <v>1527</v>
      </c>
      <c r="L1343">
        <v>1</v>
      </c>
      <c r="M1343">
        <v>1</v>
      </c>
    </row>
    <row r="1344" spans="1:13" x14ac:dyDescent="0.25">
      <c r="A1344">
        <v>3</v>
      </c>
      <c r="B1344">
        <v>50052296</v>
      </c>
      <c r="C1344">
        <v>6373</v>
      </c>
      <c r="D1344">
        <v>2</v>
      </c>
      <c r="E1344">
        <v>506</v>
      </c>
      <c r="F1344" t="s">
        <v>92</v>
      </c>
      <c r="G1344" t="s">
        <v>93</v>
      </c>
      <c r="H1344">
        <v>506</v>
      </c>
      <c r="I1344" t="s">
        <v>92</v>
      </c>
      <c r="J1344" t="s">
        <v>93</v>
      </c>
      <c r="K1344" t="s">
        <v>645</v>
      </c>
      <c r="L1344">
        <v>1</v>
      </c>
      <c r="M1344">
        <v>0</v>
      </c>
    </row>
    <row r="1345" spans="1:13" x14ac:dyDescent="0.25">
      <c r="A1345">
        <v>3</v>
      </c>
      <c r="B1345">
        <v>50052296</v>
      </c>
      <c r="C1345">
        <v>6373</v>
      </c>
      <c r="D1345">
        <v>3</v>
      </c>
      <c r="E1345">
        <v>506</v>
      </c>
      <c r="F1345" t="s">
        <v>92</v>
      </c>
      <c r="G1345" t="s">
        <v>93</v>
      </c>
      <c r="H1345">
        <v>506</v>
      </c>
      <c r="I1345" t="s">
        <v>92</v>
      </c>
      <c r="J1345" t="s">
        <v>93</v>
      </c>
      <c r="K1345" t="s">
        <v>646</v>
      </c>
      <c r="L1345">
        <v>1</v>
      </c>
      <c r="M1345">
        <v>0</v>
      </c>
    </row>
    <row r="1346" spans="1:13" x14ac:dyDescent="0.25">
      <c r="A1346">
        <v>3</v>
      </c>
      <c r="B1346">
        <v>50052296</v>
      </c>
      <c r="C1346">
        <v>6373</v>
      </c>
      <c r="D1346">
        <v>4</v>
      </c>
      <c r="E1346">
        <v>506</v>
      </c>
      <c r="F1346" t="s">
        <v>92</v>
      </c>
      <c r="G1346" t="s">
        <v>93</v>
      </c>
      <c r="H1346">
        <v>506</v>
      </c>
      <c r="I1346" t="s">
        <v>92</v>
      </c>
      <c r="J1346" t="s">
        <v>93</v>
      </c>
      <c r="K1346" t="s">
        <v>647</v>
      </c>
      <c r="L1346">
        <v>1</v>
      </c>
      <c r="M1346">
        <v>0</v>
      </c>
    </row>
    <row r="1347" spans="1:13" x14ac:dyDescent="0.25">
      <c r="A1347">
        <v>3</v>
      </c>
      <c r="B1347">
        <v>50052041</v>
      </c>
      <c r="C1347">
        <v>6373</v>
      </c>
      <c r="D1347">
        <v>1</v>
      </c>
      <c r="E1347">
        <v>745</v>
      </c>
      <c r="F1347" t="s">
        <v>199</v>
      </c>
      <c r="G1347" t="s">
        <v>200</v>
      </c>
      <c r="H1347">
        <v>745</v>
      </c>
      <c r="I1347" t="s">
        <v>199</v>
      </c>
      <c r="J1347" t="s">
        <v>200</v>
      </c>
      <c r="K1347" t="s">
        <v>1528</v>
      </c>
      <c r="L1347">
        <v>1</v>
      </c>
      <c r="M1347">
        <v>1</v>
      </c>
    </row>
    <row r="1348" spans="1:13" x14ac:dyDescent="0.25">
      <c r="A1348">
        <v>4</v>
      </c>
      <c r="B1348">
        <v>9704686</v>
      </c>
      <c r="C1348">
        <v>6376</v>
      </c>
      <c r="D1348">
        <v>1</v>
      </c>
      <c r="E1348">
        <v>1094</v>
      </c>
      <c r="F1348" t="s">
        <v>876</v>
      </c>
      <c r="G1348" t="s">
        <v>877</v>
      </c>
      <c r="H1348">
        <v>281</v>
      </c>
      <c r="I1348" t="s">
        <v>538</v>
      </c>
      <c r="J1348" t="s">
        <v>539</v>
      </c>
      <c r="K1348" t="s">
        <v>1529</v>
      </c>
      <c r="L1348">
        <v>1</v>
      </c>
      <c r="M1348">
        <v>1</v>
      </c>
    </row>
    <row r="1349" spans="1:13" x14ac:dyDescent="0.25">
      <c r="A1349">
        <v>6</v>
      </c>
      <c r="B1349">
        <v>973763</v>
      </c>
      <c r="C1349">
        <v>6380</v>
      </c>
      <c r="D1349">
        <v>1</v>
      </c>
      <c r="E1349">
        <v>787</v>
      </c>
      <c r="F1349" t="s">
        <v>203</v>
      </c>
      <c r="G1349" t="s">
        <v>204</v>
      </c>
      <c r="H1349">
        <v>787</v>
      </c>
      <c r="I1349" t="s">
        <v>203</v>
      </c>
      <c r="J1349" t="s">
        <v>204</v>
      </c>
      <c r="K1349" t="s">
        <v>1530</v>
      </c>
      <c r="L1349">
        <v>1</v>
      </c>
      <c r="M1349">
        <v>1</v>
      </c>
    </row>
    <row r="1350" spans="1:13" x14ac:dyDescent="0.25">
      <c r="A1350">
        <v>9</v>
      </c>
      <c r="B1350">
        <v>9208052</v>
      </c>
      <c r="C1350">
        <v>6381</v>
      </c>
      <c r="D1350">
        <v>1</v>
      </c>
      <c r="E1350">
        <v>893</v>
      </c>
      <c r="F1350" t="s">
        <v>144</v>
      </c>
      <c r="G1350" t="s">
        <v>145</v>
      </c>
      <c r="H1350">
        <v>893</v>
      </c>
      <c r="I1350" t="s">
        <v>144</v>
      </c>
      <c r="J1350" t="s">
        <v>145</v>
      </c>
      <c r="K1350" t="s">
        <v>1531</v>
      </c>
      <c r="L1350">
        <v>1</v>
      </c>
      <c r="M1350">
        <v>1</v>
      </c>
    </row>
    <row r="1351" spans="1:13" x14ac:dyDescent="0.25">
      <c r="A1351">
        <v>9</v>
      </c>
      <c r="B1351">
        <v>9208324</v>
      </c>
      <c r="C1351">
        <v>6381</v>
      </c>
      <c r="D1351">
        <v>2</v>
      </c>
      <c r="E1351">
        <v>937</v>
      </c>
      <c r="F1351" t="s">
        <v>355</v>
      </c>
      <c r="G1351" t="s">
        <v>356</v>
      </c>
      <c r="H1351">
        <v>937</v>
      </c>
      <c r="I1351" t="s">
        <v>355</v>
      </c>
      <c r="J1351" t="s">
        <v>356</v>
      </c>
      <c r="K1351" t="s">
        <v>1532</v>
      </c>
      <c r="L1351">
        <v>1</v>
      </c>
      <c r="M1351">
        <v>1</v>
      </c>
    </row>
    <row r="1352" spans="1:13" x14ac:dyDescent="0.25">
      <c r="A1352">
        <v>9</v>
      </c>
      <c r="B1352">
        <v>9208324</v>
      </c>
      <c r="C1352">
        <v>6381</v>
      </c>
      <c r="D1352">
        <v>3</v>
      </c>
      <c r="E1352">
        <v>905</v>
      </c>
      <c r="F1352" t="s">
        <v>146</v>
      </c>
      <c r="G1352" t="s">
        <v>147</v>
      </c>
      <c r="H1352">
        <v>905</v>
      </c>
      <c r="I1352" t="s">
        <v>146</v>
      </c>
      <c r="J1352" t="s">
        <v>147</v>
      </c>
      <c r="K1352" t="s">
        <v>1533</v>
      </c>
      <c r="L1352">
        <v>1</v>
      </c>
      <c r="M1352">
        <v>1</v>
      </c>
    </row>
    <row r="1353" spans="1:13" x14ac:dyDescent="0.25">
      <c r="A1353">
        <v>9</v>
      </c>
      <c r="B1353">
        <v>9208374</v>
      </c>
      <c r="C1353">
        <v>6381</v>
      </c>
      <c r="D1353">
        <v>4</v>
      </c>
      <c r="E1353">
        <v>901</v>
      </c>
      <c r="F1353" t="s">
        <v>391</v>
      </c>
      <c r="G1353" t="s">
        <v>392</v>
      </c>
      <c r="H1353">
        <v>901</v>
      </c>
      <c r="I1353" t="s">
        <v>391</v>
      </c>
      <c r="J1353" t="s">
        <v>392</v>
      </c>
      <c r="K1353" t="s">
        <v>393</v>
      </c>
      <c r="L1353">
        <v>1</v>
      </c>
      <c r="M1353">
        <v>1</v>
      </c>
    </row>
    <row r="1354" spans="1:13" x14ac:dyDescent="0.25">
      <c r="A1354">
        <v>9</v>
      </c>
      <c r="B1354">
        <v>9208374</v>
      </c>
      <c r="C1354">
        <v>6381</v>
      </c>
      <c r="D1354">
        <v>5</v>
      </c>
      <c r="E1354">
        <v>904</v>
      </c>
      <c r="F1354" t="s">
        <v>298</v>
      </c>
      <c r="G1354" t="s">
        <v>299</v>
      </c>
      <c r="H1354">
        <v>904</v>
      </c>
      <c r="I1354" t="s">
        <v>298</v>
      </c>
      <c r="J1354" t="s">
        <v>299</v>
      </c>
      <c r="K1354" t="s">
        <v>394</v>
      </c>
      <c r="L1354">
        <v>1</v>
      </c>
      <c r="M1354">
        <v>1</v>
      </c>
    </row>
    <row r="1355" spans="1:13" x14ac:dyDescent="0.25">
      <c r="A1355">
        <v>9</v>
      </c>
      <c r="B1355">
        <v>9208374</v>
      </c>
      <c r="C1355">
        <v>6383</v>
      </c>
      <c r="D1355">
        <v>7</v>
      </c>
      <c r="E1355">
        <v>698</v>
      </c>
      <c r="F1355" t="s">
        <v>116</v>
      </c>
      <c r="G1355" t="s">
        <v>117</v>
      </c>
      <c r="H1355">
        <v>698</v>
      </c>
      <c r="I1355" t="s">
        <v>116</v>
      </c>
      <c r="J1355" t="s">
        <v>117</v>
      </c>
      <c r="K1355" t="s">
        <v>395</v>
      </c>
      <c r="L1355">
        <v>1</v>
      </c>
      <c r="M1355">
        <v>1</v>
      </c>
    </row>
    <row r="1356" spans="1:13" x14ac:dyDescent="0.25">
      <c r="A1356">
        <v>29</v>
      </c>
      <c r="B1356">
        <v>8706137</v>
      </c>
      <c r="C1356">
        <v>6388</v>
      </c>
      <c r="D1356">
        <v>1</v>
      </c>
      <c r="E1356">
        <v>563</v>
      </c>
      <c r="F1356" t="s">
        <v>253</v>
      </c>
      <c r="G1356" t="s">
        <v>254</v>
      </c>
      <c r="H1356">
        <v>563</v>
      </c>
      <c r="I1356" t="s">
        <v>253</v>
      </c>
      <c r="J1356" t="s">
        <v>254</v>
      </c>
      <c r="K1356" t="s">
        <v>154</v>
      </c>
      <c r="L1356">
        <v>30</v>
      </c>
      <c r="M1356">
        <v>0</v>
      </c>
    </row>
    <row r="1357" spans="1:13" x14ac:dyDescent="0.25">
      <c r="A1357">
        <v>29</v>
      </c>
      <c r="B1357">
        <v>8706137</v>
      </c>
      <c r="C1357">
        <v>6388</v>
      </c>
      <c r="D1357">
        <v>2</v>
      </c>
      <c r="E1357">
        <v>683</v>
      </c>
      <c r="F1357" t="s">
        <v>255</v>
      </c>
      <c r="G1357" t="s">
        <v>256</v>
      </c>
      <c r="H1357">
        <v>683</v>
      </c>
      <c r="I1357" t="s">
        <v>255</v>
      </c>
      <c r="J1357" t="s">
        <v>256</v>
      </c>
      <c r="K1357" t="s">
        <v>152</v>
      </c>
      <c r="L1357">
        <v>106</v>
      </c>
      <c r="M1357">
        <v>100</v>
      </c>
    </row>
    <row r="1358" spans="1:13" x14ac:dyDescent="0.25">
      <c r="A1358">
        <v>29</v>
      </c>
      <c r="B1358">
        <v>8706137</v>
      </c>
      <c r="C1358">
        <v>6388</v>
      </c>
      <c r="D1358">
        <v>3</v>
      </c>
      <c r="E1358">
        <v>774</v>
      </c>
      <c r="F1358" t="s">
        <v>240</v>
      </c>
      <c r="G1358" t="s">
        <v>241</v>
      </c>
      <c r="H1358">
        <v>774</v>
      </c>
      <c r="I1358" t="s">
        <v>240</v>
      </c>
      <c r="J1358" t="s">
        <v>241</v>
      </c>
      <c r="K1358" t="s">
        <v>410</v>
      </c>
      <c r="L1358">
        <v>15</v>
      </c>
      <c r="M1358">
        <v>15</v>
      </c>
    </row>
    <row r="1359" spans="1:13" x14ac:dyDescent="0.25">
      <c r="A1359">
        <v>29</v>
      </c>
      <c r="B1359">
        <v>8706137</v>
      </c>
      <c r="C1359">
        <v>6388</v>
      </c>
      <c r="D1359">
        <v>4</v>
      </c>
      <c r="E1359">
        <v>797</v>
      </c>
      <c r="F1359" t="s">
        <v>529</v>
      </c>
      <c r="G1359" t="s">
        <v>530</v>
      </c>
      <c r="H1359">
        <v>797</v>
      </c>
      <c r="I1359" t="s">
        <v>529</v>
      </c>
      <c r="J1359" t="s">
        <v>530</v>
      </c>
      <c r="K1359" t="s">
        <v>156</v>
      </c>
      <c r="L1359">
        <v>105</v>
      </c>
      <c r="M1359">
        <v>0</v>
      </c>
    </row>
    <row r="1360" spans="1:13" x14ac:dyDescent="0.25">
      <c r="A1360">
        <v>29</v>
      </c>
      <c r="B1360">
        <v>8706137</v>
      </c>
      <c r="C1360">
        <v>6388</v>
      </c>
      <c r="D1360">
        <v>5</v>
      </c>
      <c r="E1360">
        <v>828</v>
      </c>
      <c r="F1360" t="s">
        <v>618</v>
      </c>
      <c r="G1360" t="s">
        <v>619</v>
      </c>
      <c r="H1360">
        <v>828</v>
      </c>
      <c r="I1360" t="s">
        <v>618</v>
      </c>
      <c r="J1360" t="s">
        <v>619</v>
      </c>
      <c r="K1360" t="s">
        <v>244</v>
      </c>
      <c r="L1360">
        <v>16</v>
      </c>
      <c r="M1360">
        <v>0</v>
      </c>
    </row>
    <row r="1361" spans="1:13" x14ac:dyDescent="0.25">
      <c r="A1361">
        <v>29</v>
      </c>
      <c r="B1361">
        <v>8706137</v>
      </c>
      <c r="C1361">
        <v>6388</v>
      </c>
      <c r="D1361">
        <v>6</v>
      </c>
      <c r="E1361">
        <v>799</v>
      </c>
      <c r="F1361" t="s">
        <v>247</v>
      </c>
      <c r="G1361" t="s">
        <v>248</v>
      </c>
      <c r="H1361">
        <v>799</v>
      </c>
      <c r="I1361" t="s">
        <v>247</v>
      </c>
      <c r="J1361" t="s">
        <v>248</v>
      </c>
      <c r="K1361" t="s">
        <v>155</v>
      </c>
      <c r="L1361">
        <v>860</v>
      </c>
      <c r="M1361">
        <v>0</v>
      </c>
    </row>
    <row r="1362" spans="1:13" x14ac:dyDescent="0.25">
      <c r="A1362">
        <v>29</v>
      </c>
      <c r="B1362">
        <v>8706137</v>
      </c>
      <c r="C1362">
        <v>6388</v>
      </c>
      <c r="D1362">
        <v>7</v>
      </c>
      <c r="E1362">
        <v>800</v>
      </c>
      <c r="F1362" t="s">
        <v>408</v>
      </c>
      <c r="G1362" t="s">
        <v>409</v>
      </c>
      <c r="H1362">
        <v>800</v>
      </c>
      <c r="I1362" t="s">
        <v>408</v>
      </c>
      <c r="J1362" t="s">
        <v>409</v>
      </c>
      <c r="K1362" t="s">
        <v>153</v>
      </c>
      <c r="L1362">
        <v>828</v>
      </c>
      <c r="M1362">
        <v>0</v>
      </c>
    </row>
    <row r="1363" spans="1:13" x14ac:dyDescent="0.25">
      <c r="A1363">
        <v>29</v>
      </c>
      <c r="B1363">
        <v>8706137</v>
      </c>
      <c r="C1363">
        <v>6388</v>
      </c>
      <c r="D1363">
        <v>8</v>
      </c>
      <c r="E1363">
        <v>967</v>
      </c>
      <c r="F1363" t="s">
        <v>249</v>
      </c>
      <c r="G1363" t="s">
        <v>250</v>
      </c>
      <c r="H1363">
        <v>967</v>
      </c>
      <c r="I1363" t="s">
        <v>249</v>
      </c>
      <c r="J1363" t="s">
        <v>250</v>
      </c>
      <c r="K1363" t="s">
        <v>407</v>
      </c>
      <c r="L1363">
        <v>40</v>
      </c>
      <c r="M1363">
        <v>0</v>
      </c>
    </row>
    <row r="1364" spans="1:13" x14ac:dyDescent="0.25">
      <c r="A1364">
        <v>9</v>
      </c>
      <c r="B1364">
        <v>9208445</v>
      </c>
      <c r="C1364">
        <v>6397</v>
      </c>
      <c r="D1364">
        <v>1</v>
      </c>
      <c r="E1364">
        <v>954</v>
      </c>
      <c r="F1364" t="s">
        <v>245</v>
      </c>
      <c r="G1364" t="s">
        <v>246</v>
      </c>
      <c r="H1364">
        <v>954</v>
      </c>
      <c r="I1364" t="s">
        <v>245</v>
      </c>
      <c r="J1364" t="s">
        <v>246</v>
      </c>
      <c r="K1364" t="s">
        <v>1534</v>
      </c>
      <c r="L1364">
        <v>1</v>
      </c>
      <c r="M1364">
        <v>1</v>
      </c>
    </row>
    <row r="1365" spans="1:13" x14ac:dyDescent="0.25">
      <c r="A1365">
        <v>23</v>
      </c>
      <c r="B1365">
        <v>75</v>
      </c>
      <c r="C1365">
        <v>6408</v>
      </c>
      <c r="D1365">
        <v>1</v>
      </c>
      <c r="E1365">
        <v>638</v>
      </c>
      <c r="F1365" t="s">
        <v>104</v>
      </c>
      <c r="G1365" t="s">
        <v>105</v>
      </c>
      <c r="H1365">
        <v>638</v>
      </c>
      <c r="I1365" t="s">
        <v>104</v>
      </c>
      <c r="J1365" t="s">
        <v>105</v>
      </c>
      <c r="K1365" t="s">
        <v>49</v>
      </c>
      <c r="L1365">
        <v>1</v>
      </c>
      <c r="M1365">
        <v>1</v>
      </c>
    </row>
    <row r="1366" spans="1:13" x14ac:dyDescent="0.25">
      <c r="A1366">
        <v>9</v>
      </c>
      <c r="B1366">
        <v>9204396</v>
      </c>
      <c r="C1366">
        <v>6467</v>
      </c>
      <c r="D1366">
        <v>1</v>
      </c>
      <c r="E1366">
        <v>707</v>
      </c>
      <c r="F1366" t="s">
        <v>471</v>
      </c>
      <c r="G1366" t="s">
        <v>472</v>
      </c>
      <c r="H1366">
        <v>707</v>
      </c>
      <c r="I1366" t="s">
        <v>471</v>
      </c>
      <c r="J1366" t="s">
        <v>472</v>
      </c>
      <c r="K1366" t="s">
        <v>1535</v>
      </c>
      <c r="L1366">
        <v>1</v>
      </c>
      <c r="M1366">
        <v>0</v>
      </c>
    </row>
    <row r="1367" spans="1:13" x14ac:dyDescent="0.25">
      <c r="A1367">
        <v>4</v>
      </c>
      <c r="B1367">
        <v>9619770</v>
      </c>
      <c r="C1367">
        <v>5978</v>
      </c>
      <c r="D1367">
        <v>6</v>
      </c>
      <c r="E1367">
        <v>703</v>
      </c>
      <c r="F1367" t="s">
        <v>461</v>
      </c>
      <c r="G1367" t="s">
        <v>462</v>
      </c>
      <c r="H1367">
        <v>703</v>
      </c>
      <c r="I1367" t="s">
        <v>461</v>
      </c>
      <c r="J1367" t="s">
        <v>462</v>
      </c>
      <c r="K1367" t="s">
        <v>1536</v>
      </c>
      <c r="L1367">
        <v>1</v>
      </c>
      <c r="M1367">
        <v>1</v>
      </c>
    </row>
    <row r="1368" spans="1:13" x14ac:dyDescent="0.25">
      <c r="A1368">
        <v>4</v>
      </c>
      <c r="B1368">
        <v>9619921</v>
      </c>
      <c r="C1368">
        <v>5978</v>
      </c>
      <c r="D1368">
        <v>7</v>
      </c>
      <c r="E1368">
        <v>851</v>
      </c>
      <c r="F1368" t="s">
        <v>201</v>
      </c>
      <c r="G1368" t="s">
        <v>202</v>
      </c>
      <c r="H1368">
        <v>851</v>
      </c>
      <c r="I1368" t="s">
        <v>201</v>
      </c>
      <c r="J1368" t="s">
        <v>202</v>
      </c>
      <c r="K1368" t="s">
        <v>1537</v>
      </c>
      <c r="L1368">
        <v>1</v>
      </c>
      <c r="M1368">
        <v>1</v>
      </c>
    </row>
    <row r="1369" spans="1:13" x14ac:dyDescent="0.25">
      <c r="A1369">
        <v>4</v>
      </c>
      <c r="B1369">
        <v>9618323</v>
      </c>
      <c r="C1369">
        <v>5978</v>
      </c>
      <c r="D1369">
        <v>1</v>
      </c>
      <c r="E1369">
        <v>781</v>
      </c>
      <c r="F1369" t="s">
        <v>269</v>
      </c>
      <c r="G1369" t="s">
        <v>270</v>
      </c>
      <c r="H1369">
        <v>781</v>
      </c>
      <c r="I1369" t="s">
        <v>269</v>
      </c>
      <c r="J1369" t="s">
        <v>270</v>
      </c>
      <c r="K1369" t="s">
        <v>1538</v>
      </c>
      <c r="L1369">
        <v>1</v>
      </c>
      <c r="M1369">
        <v>1</v>
      </c>
    </row>
    <row r="1370" spans="1:13" x14ac:dyDescent="0.25">
      <c r="A1370">
        <v>4</v>
      </c>
      <c r="B1370">
        <v>9618403</v>
      </c>
      <c r="C1370">
        <v>5978</v>
      </c>
      <c r="D1370">
        <v>2</v>
      </c>
      <c r="E1370">
        <v>400</v>
      </c>
      <c r="F1370" t="s">
        <v>74</v>
      </c>
      <c r="G1370" t="s">
        <v>75</v>
      </c>
      <c r="H1370">
        <v>400</v>
      </c>
      <c r="I1370" t="s">
        <v>74</v>
      </c>
      <c r="J1370" t="s">
        <v>75</v>
      </c>
      <c r="K1370" t="s">
        <v>1539</v>
      </c>
      <c r="L1370">
        <v>2</v>
      </c>
      <c r="M1370">
        <v>2</v>
      </c>
    </row>
    <row r="1371" spans="1:13" x14ac:dyDescent="0.25">
      <c r="A1371">
        <v>4</v>
      </c>
      <c r="B1371">
        <v>9618515</v>
      </c>
      <c r="C1371">
        <v>5978</v>
      </c>
      <c r="D1371">
        <v>3</v>
      </c>
      <c r="E1371">
        <v>566</v>
      </c>
      <c r="F1371" t="s">
        <v>403</v>
      </c>
      <c r="G1371" t="s">
        <v>404</v>
      </c>
      <c r="H1371">
        <v>566</v>
      </c>
      <c r="I1371" t="s">
        <v>403</v>
      </c>
      <c r="J1371" t="s">
        <v>404</v>
      </c>
      <c r="K1371" t="s">
        <v>1540</v>
      </c>
      <c r="L1371">
        <v>1</v>
      </c>
      <c r="M1371">
        <v>1</v>
      </c>
    </row>
    <row r="1372" spans="1:13" x14ac:dyDescent="0.25">
      <c r="A1372">
        <v>4</v>
      </c>
      <c r="B1372">
        <v>9619341</v>
      </c>
      <c r="C1372">
        <v>5979</v>
      </c>
      <c r="D1372">
        <v>3</v>
      </c>
      <c r="E1372">
        <v>13</v>
      </c>
      <c r="F1372" t="s">
        <v>62</v>
      </c>
      <c r="G1372" t="s">
        <v>63</v>
      </c>
      <c r="H1372">
        <v>13</v>
      </c>
      <c r="I1372" t="s">
        <v>62</v>
      </c>
      <c r="J1372" t="s">
        <v>63</v>
      </c>
      <c r="K1372" t="s">
        <v>1541</v>
      </c>
      <c r="L1372">
        <v>1</v>
      </c>
      <c r="M1372">
        <v>1</v>
      </c>
    </row>
    <row r="1373" spans="1:13" x14ac:dyDescent="0.25">
      <c r="A1373">
        <v>4</v>
      </c>
      <c r="B1373">
        <v>9619954</v>
      </c>
      <c r="C1373">
        <v>5979</v>
      </c>
      <c r="D1373">
        <v>4</v>
      </c>
      <c r="E1373">
        <v>781</v>
      </c>
      <c r="F1373" t="s">
        <v>269</v>
      </c>
      <c r="G1373" t="s">
        <v>270</v>
      </c>
      <c r="H1373">
        <v>781</v>
      </c>
      <c r="I1373" t="s">
        <v>269</v>
      </c>
      <c r="J1373" t="s">
        <v>270</v>
      </c>
      <c r="K1373" t="s">
        <v>1542</v>
      </c>
      <c r="L1373">
        <v>1</v>
      </c>
      <c r="M1373">
        <v>1</v>
      </c>
    </row>
    <row r="1374" spans="1:13" x14ac:dyDescent="0.25">
      <c r="A1374">
        <v>4</v>
      </c>
      <c r="B1374">
        <v>9618243</v>
      </c>
      <c r="C1374">
        <v>5979</v>
      </c>
      <c r="D1374">
        <v>1</v>
      </c>
      <c r="E1374">
        <v>400</v>
      </c>
      <c r="F1374" t="s">
        <v>74</v>
      </c>
      <c r="G1374" t="s">
        <v>75</v>
      </c>
      <c r="H1374">
        <v>400</v>
      </c>
      <c r="I1374" t="s">
        <v>74</v>
      </c>
      <c r="J1374" t="s">
        <v>75</v>
      </c>
      <c r="K1374" t="s">
        <v>1543</v>
      </c>
      <c r="L1374">
        <v>1</v>
      </c>
      <c r="M1374">
        <v>1</v>
      </c>
    </row>
    <row r="1375" spans="1:13" x14ac:dyDescent="0.25">
      <c r="A1375">
        <v>4</v>
      </c>
      <c r="B1375">
        <v>9618714</v>
      </c>
      <c r="C1375">
        <v>5979</v>
      </c>
      <c r="D1375">
        <v>2</v>
      </c>
      <c r="E1375">
        <v>501</v>
      </c>
      <c r="F1375" t="s">
        <v>90</v>
      </c>
      <c r="G1375" t="s">
        <v>91</v>
      </c>
      <c r="H1375">
        <v>501</v>
      </c>
      <c r="I1375" t="s">
        <v>90</v>
      </c>
      <c r="J1375" t="s">
        <v>91</v>
      </c>
      <c r="K1375" t="s">
        <v>1544</v>
      </c>
      <c r="L1375">
        <v>1</v>
      </c>
      <c r="M1375">
        <v>1</v>
      </c>
    </row>
    <row r="1376" spans="1:13" x14ac:dyDescent="0.25">
      <c r="A1376">
        <v>6</v>
      </c>
      <c r="B1376">
        <v>940670</v>
      </c>
      <c r="C1376">
        <v>5980</v>
      </c>
      <c r="D1376">
        <v>2</v>
      </c>
      <c r="E1376">
        <v>584</v>
      </c>
      <c r="F1376" t="s">
        <v>96</v>
      </c>
      <c r="G1376" t="s">
        <v>97</v>
      </c>
      <c r="H1376">
        <v>584</v>
      </c>
      <c r="I1376" t="s">
        <v>96</v>
      </c>
      <c r="J1376" t="s">
        <v>97</v>
      </c>
      <c r="K1376" t="s">
        <v>1545</v>
      </c>
      <c r="L1376">
        <v>1</v>
      </c>
      <c r="M1376">
        <v>1</v>
      </c>
    </row>
    <row r="1377" spans="1:13" x14ac:dyDescent="0.25">
      <c r="A1377">
        <v>6</v>
      </c>
      <c r="B1377">
        <v>940958</v>
      </c>
      <c r="C1377">
        <v>5980</v>
      </c>
      <c r="D1377">
        <v>1</v>
      </c>
      <c r="E1377">
        <v>937</v>
      </c>
      <c r="F1377" t="s">
        <v>355</v>
      </c>
      <c r="G1377" t="s">
        <v>356</v>
      </c>
      <c r="H1377">
        <v>937</v>
      </c>
      <c r="I1377" t="s">
        <v>355</v>
      </c>
      <c r="J1377" t="s">
        <v>356</v>
      </c>
      <c r="K1377" t="s">
        <v>1546</v>
      </c>
      <c r="L1377">
        <v>1</v>
      </c>
      <c r="M1377">
        <v>1</v>
      </c>
    </row>
    <row r="1378" spans="1:13" x14ac:dyDescent="0.25">
      <c r="A1378">
        <v>5</v>
      </c>
      <c r="B1378">
        <v>6504011910</v>
      </c>
      <c r="C1378">
        <v>5981</v>
      </c>
      <c r="D1378">
        <v>1</v>
      </c>
      <c r="E1378">
        <v>347</v>
      </c>
      <c r="F1378" t="s">
        <v>70</v>
      </c>
      <c r="G1378" t="s">
        <v>71</v>
      </c>
      <c r="H1378">
        <v>347</v>
      </c>
      <c r="I1378" t="s">
        <v>70</v>
      </c>
      <c r="J1378" t="s">
        <v>71</v>
      </c>
      <c r="K1378" t="s">
        <v>49</v>
      </c>
      <c r="L1378">
        <v>1</v>
      </c>
      <c r="M1378">
        <v>1</v>
      </c>
    </row>
    <row r="1379" spans="1:13" x14ac:dyDescent="0.25">
      <c r="A1379">
        <v>9</v>
      </c>
      <c r="B1379">
        <v>9188460</v>
      </c>
      <c r="C1379">
        <v>5982</v>
      </c>
      <c r="D1379">
        <v>1</v>
      </c>
      <c r="E1379">
        <v>906</v>
      </c>
      <c r="F1379" t="s">
        <v>316</v>
      </c>
      <c r="G1379" t="s">
        <v>317</v>
      </c>
      <c r="H1379">
        <v>906</v>
      </c>
      <c r="I1379" t="s">
        <v>316</v>
      </c>
      <c r="J1379" t="s">
        <v>317</v>
      </c>
      <c r="K1379" t="s">
        <v>1547</v>
      </c>
      <c r="L1379">
        <v>1</v>
      </c>
      <c r="M1379">
        <v>1</v>
      </c>
    </row>
    <row r="1380" spans="1:13" x14ac:dyDescent="0.25">
      <c r="A1380">
        <v>9</v>
      </c>
      <c r="B1380">
        <v>9188334</v>
      </c>
      <c r="C1380">
        <v>5983</v>
      </c>
      <c r="D1380">
        <v>1</v>
      </c>
      <c r="E1380">
        <v>641</v>
      </c>
      <c r="F1380" t="s">
        <v>108</v>
      </c>
      <c r="G1380" t="s">
        <v>109</v>
      </c>
      <c r="H1380">
        <v>641</v>
      </c>
      <c r="I1380" t="s">
        <v>108</v>
      </c>
      <c r="J1380" t="s">
        <v>109</v>
      </c>
      <c r="K1380" t="s">
        <v>1548</v>
      </c>
      <c r="L1380">
        <v>1</v>
      </c>
      <c r="M1380">
        <v>1</v>
      </c>
    </row>
    <row r="1381" spans="1:13" x14ac:dyDescent="0.25">
      <c r="A1381">
        <v>9</v>
      </c>
      <c r="B1381">
        <v>9188644</v>
      </c>
      <c r="C1381">
        <v>5983</v>
      </c>
      <c r="D1381">
        <v>2</v>
      </c>
      <c r="E1381">
        <v>970</v>
      </c>
      <c r="F1381" t="s">
        <v>436</v>
      </c>
      <c r="G1381" t="s">
        <v>437</v>
      </c>
      <c r="H1381">
        <v>506</v>
      </c>
      <c r="I1381" t="s">
        <v>92</v>
      </c>
      <c r="J1381" t="s">
        <v>93</v>
      </c>
      <c r="K1381" t="s">
        <v>1549</v>
      </c>
      <c r="L1381">
        <v>1</v>
      </c>
      <c r="M1381">
        <v>1</v>
      </c>
    </row>
    <row r="1382" spans="1:13" x14ac:dyDescent="0.25">
      <c r="A1382">
        <v>9</v>
      </c>
      <c r="B1382">
        <v>9188761</v>
      </c>
      <c r="C1382">
        <v>5983</v>
      </c>
      <c r="D1382">
        <v>3</v>
      </c>
      <c r="E1382">
        <v>638</v>
      </c>
      <c r="F1382" t="s">
        <v>104</v>
      </c>
      <c r="G1382" t="s">
        <v>105</v>
      </c>
      <c r="H1382">
        <v>638</v>
      </c>
      <c r="I1382" t="s">
        <v>104</v>
      </c>
      <c r="J1382" t="s">
        <v>105</v>
      </c>
      <c r="K1382" t="s">
        <v>1550</v>
      </c>
      <c r="L1382">
        <v>1</v>
      </c>
      <c r="M1382">
        <v>1</v>
      </c>
    </row>
    <row r="1383" spans="1:13" x14ac:dyDescent="0.25">
      <c r="A1383">
        <v>9</v>
      </c>
      <c r="B1383">
        <v>9188334</v>
      </c>
      <c r="C1383">
        <v>5984</v>
      </c>
      <c r="D1383">
        <v>1</v>
      </c>
      <c r="E1383">
        <v>641</v>
      </c>
      <c r="F1383" t="s">
        <v>108</v>
      </c>
      <c r="G1383" t="s">
        <v>109</v>
      </c>
      <c r="H1383">
        <v>641</v>
      </c>
      <c r="I1383" t="s">
        <v>108</v>
      </c>
      <c r="J1383" t="s">
        <v>109</v>
      </c>
      <c r="K1383" t="s">
        <v>1551</v>
      </c>
      <c r="L1383">
        <v>1</v>
      </c>
      <c r="M1383">
        <v>1</v>
      </c>
    </row>
    <row r="1384" spans="1:13" x14ac:dyDescent="0.25">
      <c r="A1384">
        <v>9</v>
      </c>
      <c r="B1384">
        <v>9188368</v>
      </c>
      <c r="C1384">
        <v>5984</v>
      </c>
      <c r="D1384">
        <v>2</v>
      </c>
      <c r="E1384">
        <v>13</v>
      </c>
      <c r="F1384" t="s">
        <v>62</v>
      </c>
      <c r="G1384" t="s">
        <v>63</v>
      </c>
      <c r="H1384">
        <v>13</v>
      </c>
      <c r="I1384" t="s">
        <v>62</v>
      </c>
      <c r="J1384" t="s">
        <v>63</v>
      </c>
      <c r="K1384" t="s">
        <v>1552</v>
      </c>
      <c r="L1384">
        <v>1</v>
      </c>
      <c r="M1384">
        <v>1</v>
      </c>
    </row>
    <row r="1385" spans="1:13" x14ac:dyDescent="0.25">
      <c r="A1385">
        <v>9</v>
      </c>
      <c r="B1385">
        <v>9188368</v>
      </c>
      <c r="C1385">
        <v>5984</v>
      </c>
      <c r="D1385">
        <v>3</v>
      </c>
      <c r="E1385">
        <v>13</v>
      </c>
      <c r="F1385" t="s">
        <v>62</v>
      </c>
      <c r="G1385" t="s">
        <v>63</v>
      </c>
      <c r="H1385">
        <v>13</v>
      </c>
      <c r="I1385" t="s">
        <v>62</v>
      </c>
      <c r="J1385" t="s">
        <v>63</v>
      </c>
      <c r="K1385" t="s">
        <v>1553</v>
      </c>
      <c r="L1385">
        <v>1</v>
      </c>
      <c r="M1385">
        <v>1</v>
      </c>
    </row>
    <row r="1386" spans="1:13" x14ac:dyDescent="0.25">
      <c r="A1386">
        <v>24</v>
      </c>
      <c r="B1386">
        <v>5099240</v>
      </c>
      <c r="C1386">
        <v>5985</v>
      </c>
      <c r="D1386">
        <v>2</v>
      </c>
      <c r="E1386">
        <v>382</v>
      </c>
      <c r="F1386" t="s">
        <v>533</v>
      </c>
      <c r="G1386" t="s">
        <v>534</v>
      </c>
      <c r="H1386">
        <v>382</v>
      </c>
      <c r="I1386" t="s">
        <v>533</v>
      </c>
      <c r="J1386" t="s">
        <v>534</v>
      </c>
      <c r="K1386" t="s">
        <v>1554</v>
      </c>
      <c r="L1386">
        <v>1</v>
      </c>
      <c r="M1386">
        <v>1</v>
      </c>
    </row>
    <row r="1387" spans="1:13" x14ac:dyDescent="0.25">
      <c r="A1387">
        <v>24</v>
      </c>
      <c r="B1387">
        <v>5099219</v>
      </c>
      <c r="C1387">
        <v>5985</v>
      </c>
      <c r="D1387">
        <v>1</v>
      </c>
      <c r="E1387">
        <v>382</v>
      </c>
      <c r="F1387" t="s">
        <v>533</v>
      </c>
      <c r="G1387" t="s">
        <v>534</v>
      </c>
      <c r="H1387">
        <v>382</v>
      </c>
      <c r="I1387" t="s">
        <v>533</v>
      </c>
      <c r="J1387" t="s">
        <v>534</v>
      </c>
      <c r="K1387" t="s">
        <v>1555</v>
      </c>
      <c r="L1387">
        <v>1</v>
      </c>
      <c r="M1387">
        <v>1</v>
      </c>
    </row>
    <row r="1388" spans="1:13" x14ac:dyDescent="0.25">
      <c r="A1388">
        <v>2</v>
      </c>
      <c r="B1388">
        <v>8653659</v>
      </c>
      <c r="C1388">
        <v>5986</v>
      </c>
      <c r="D1388">
        <v>1</v>
      </c>
      <c r="E1388">
        <v>708</v>
      </c>
      <c r="F1388" t="s">
        <v>1189</v>
      </c>
      <c r="G1388" t="s">
        <v>1190</v>
      </c>
      <c r="H1388">
        <v>708</v>
      </c>
      <c r="I1388" t="s">
        <v>1189</v>
      </c>
      <c r="J1388" t="s">
        <v>1190</v>
      </c>
      <c r="K1388" t="s">
        <v>1556</v>
      </c>
      <c r="L1388">
        <v>1</v>
      </c>
      <c r="M1388">
        <v>1</v>
      </c>
    </row>
    <row r="1389" spans="1:13" x14ac:dyDescent="0.25">
      <c r="A1389">
        <v>2</v>
      </c>
      <c r="B1389">
        <v>8654027</v>
      </c>
      <c r="C1389">
        <v>5986</v>
      </c>
      <c r="D1389">
        <v>2</v>
      </c>
      <c r="E1389">
        <v>639</v>
      </c>
      <c r="F1389" t="s">
        <v>106</v>
      </c>
      <c r="G1389" t="s">
        <v>107</v>
      </c>
      <c r="H1389">
        <v>639</v>
      </c>
      <c r="I1389" t="s">
        <v>106</v>
      </c>
      <c r="J1389" t="s">
        <v>107</v>
      </c>
      <c r="K1389" t="s">
        <v>1557</v>
      </c>
      <c r="L1389">
        <v>1</v>
      </c>
      <c r="M1389">
        <v>1</v>
      </c>
    </row>
    <row r="1390" spans="1:13" x14ac:dyDescent="0.25">
      <c r="A1390">
        <v>5</v>
      </c>
      <c r="B1390">
        <v>6503981973</v>
      </c>
      <c r="C1390">
        <v>5987</v>
      </c>
      <c r="D1390">
        <v>1</v>
      </c>
      <c r="E1390">
        <v>101</v>
      </c>
      <c r="F1390" t="s">
        <v>279</v>
      </c>
      <c r="G1390" t="s">
        <v>280</v>
      </c>
      <c r="H1390">
        <v>101</v>
      </c>
      <c r="I1390" t="s">
        <v>279</v>
      </c>
      <c r="J1390" t="s">
        <v>280</v>
      </c>
      <c r="K1390" t="s">
        <v>49</v>
      </c>
      <c r="L1390">
        <v>5</v>
      </c>
      <c r="M1390">
        <v>5</v>
      </c>
    </row>
    <row r="1391" spans="1:13" x14ac:dyDescent="0.25">
      <c r="A1391">
        <v>5</v>
      </c>
      <c r="B1391">
        <v>6503981973</v>
      </c>
      <c r="C1391">
        <v>5987</v>
      </c>
      <c r="D1391">
        <v>2</v>
      </c>
      <c r="E1391">
        <v>490</v>
      </c>
      <c r="F1391" t="s">
        <v>281</v>
      </c>
      <c r="G1391" t="s">
        <v>282</v>
      </c>
      <c r="H1391">
        <v>490</v>
      </c>
      <c r="I1391" t="s">
        <v>281</v>
      </c>
      <c r="J1391" t="s">
        <v>282</v>
      </c>
      <c r="K1391" t="s">
        <v>49</v>
      </c>
      <c r="L1391">
        <v>5</v>
      </c>
      <c r="M1391">
        <v>0</v>
      </c>
    </row>
    <row r="1392" spans="1:13" x14ac:dyDescent="0.25">
      <c r="A1392">
        <v>5</v>
      </c>
      <c r="B1392">
        <v>6503981973</v>
      </c>
      <c r="C1392">
        <v>5987</v>
      </c>
      <c r="D1392">
        <v>3</v>
      </c>
      <c r="E1392">
        <v>493</v>
      </c>
      <c r="F1392" t="s">
        <v>283</v>
      </c>
      <c r="G1392" t="s">
        <v>284</v>
      </c>
      <c r="H1392">
        <v>493</v>
      </c>
      <c r="I1392" t="s">
        <v>283</v>
      </c>
      <c r="J1392" t="s">
        <v>284</v>
      </c>
      <c r="K1392" t="s">
        <v>49</v>
      </c>
      <c r="L1392">
        <v>5</v>
      </c>
      <c r="M1392">
        <v>5</v>
      </c>
    </row>
    <row r="1393" spans="1:13" x14ac:dyDescent="0.25">
      <c r="A1393">
        <v>5</v>
      </c>
      <c r="B1393">
        <v>6503981973</v>
      </c>
      <c r="C1393">
        <v>5987</v>
      </c>
      <c r="D1393">
        <v>4</v>
      </c>
      <c r="E1393">
        <v>494</v>
      </c>
      <c r="F1393" t="s">
        <v>285</v>
      </c>
      <c r="G1393" t="s">
        <v>286</v>
      </c>
      <c r="H1393">
        <v>494</v>
      </c>
      <c r="I1393" t="s">
        <v>285</v>
      </c>
      <c r="J1393" t="s">
        <v>286</v>
      </c>
      <c r="K1393" t="s">
        <v>49</v>
      </c>
      <c r="L1393">
        <v>5</v>
      </c>
      <c r="M1393">
        <v>5</v>
      </c>
    </row>
    <row r="1394" spans="1:13" x14ac:dyDescent="0.25">
      <c r="A1394">
        <v>5</v>
      </c>
      <c r="B1394">
        <v>6503981973</v>
      </c>
      <c r="C1394">
        <v>5987</v>
      </c>
      <c r="D1394">
        <v>5</v>
      </c>
      <c r="E1394">
        <v>43</v>
      </c>
      <c r="F1394" t="s">
        <v>271</v>
      </c>
      <c r="G1394" t="s">
        <v>272</v>
      </c>
      <c r="H1394">
        <v>43</v>
      </c>
      <c r="I1394" t="s">
        <v>271</v>
      </c>
      <c r="J1394" t="s">
        <v>272</v>
      </c>
      <c r="K1394" t="s">
        <v>49</v>
      </c>
      <c r="L1394">
        <v>10</v>
      </c>
      <c r="M1394">
        <v>10</v>
      </c>
    </row>
    <row r="1395" spans="1:13" x14ac:dyDescent="0.25">
      <c r="A1395">
        <v>5</v>
      </c>
      <c r="B1395">
        <v>6503981973</v>
      </c>
      <c r="C1395">
        <v>5987</v>
      </c>
      <c r="D1395">
        <v>6</v>
      </c>
      <c r="E1395">
        <v>743</v>
      </c>
      <c r="F1395" t="s">
        <v>1373</v>
      </c>
      <c r="G1395" t="s">
        <v>1374</v>
      </c>
      <c r="H1395">
        <v>743</v>
      </c>
      <c r="I1395" t="s">
        <v>1373</v>
      </c>
      <c r="J1395" t="s">
        <v>1374</v>
      </c>
      <c r="K1395" t="s">
        <v>49</v>
      </c>
      <c r="L1395">
        <v>10</v>
      </c>
      <c r="M1395">
        <v>10</v>
      </c>
    </row>
    <row r="1396" spans="1:13" x14ac:dyDescent="0.25">
      <c r="A1396">
        <v>3</v>
      </c>
      <c r="B1396">
        <v>50051259</v>
      </c>
      <c r="C1396">
        <v>5988</v>
      </c>
      <c r="D1396">
        <v>1</v>
      </c>
      <c r="E1396">
        <v>970</v>
      </c>
      <c r="F1396" t="s">
        <v>436</v>
      </c>
      <c r="G1396" t="s">
        <v>437</v>
      </c>
      <c r="H1396">
        <v>506</v>
      </c>
      <c r="I1396" t="s">
        <v>92</v>
      </c>
      <c r="J1396" t="s">
        <v>93</v>
      </c>
      <c r="K1396" t="s">
        <v>726</v>
      </c>
      <c r="L1396">
        <v>1</v>
      </c>
      <c r="M1396">
        <v>1</v>
      </c>
    </row>
    <row r="1397" spans="1:13" x14ac:dyDescent="0.25">
      <c r="A1397">
        <v>4</v>
      </c>
      <c r="B1397">
        <v>9621619</v>
      </c>
      <c r="C1397">
        <v>5989</v>
      </c>
      <c r="D1397">
        <v>1</v>
      </c>
      <c r="E1397">
        <v>708</v>
      </c>
      <c r="F1397" t="s">
        <v>1189</v>
      </c>
      <c r="G1397" t="s">
        <v>1190</v>
      </c>
      <c r="H1397">
        <v>708</v>
      </c>
      <c r="I1397" t="s">
        <v>1189</v>
      </c>
      <c r="J1397" t="s">
        <v>1190</v>
      </c>
      <c r="K1397" t="s">
        <v>1558</v>
      </c>
      <c r="L1397">
        <v>1</v>
      </c>
      <c r="M1397">
        <v>1</v>
      </c>
    </row>
    <row r="1398" spans="1:13" x14ac:dyDescent="0.25">
      <c r="A1398">
        <v>4</v>
      </c>
      <c r="B1398">
        <v>9622596</v>
      </c>
      <c r="C1398">
        <v>5990</v>
      </c>
      <c r="D1398">
        <v>1</v>
      </c>
      <c r="E1398">
        <v>700</v>
      </c>
      <c r="F1398" t="s">
        <v>118</v>
      </c>
      <c r="G1398" t="s">
        <v>119</v>
      </c>
      <c r="H1398">
        <v>700</v>
      </c>
      <c r="I1398" t="s">
        <v>118</v>
      </c>
      <c r="J1398" t="s">
        <v>119</v>
      </c>
      <c r="K1398" t="s">
        <v>777</v>
      </c>
      <c r="L1398">
        <v>1</v>
      </c>
      <c r="M1398">
        <v>1</v>
      </c>
    </row>
    <row r="1399" spans="1:13" x14ac:dyDescent="0.25">
      <c r="A1399">
        <v>4</v>
      </c>
      <c r="B1399">
        <v>9623137</v>
      </c>
      <c r="C1399">
        <v>5991</v>
      </c>
      <c r="D1399">
        <v>6</v>
      </c>
      <c r="E1399">
        <v>13</v>
      </c>
      <c r="F1399" t="s">
        <v>62</v>
      </c>
      <c r="G1399" t="s">
        <v>63</v>
      </c>
      <c r="H1399">
        <v>13</v>
      </c>
      <c r="I1399" t="s">
        <v>62</v>
      </c>
      <c r="J1399" t="s">
        <v>63</v>
      </c>
      <c r="K1399" t="s">
        <v>1559</v>
      </c>
      <c r="L1399">
        <v>1</v>
      </c>
      <c r="M1399">
        <v>1</v>
      </c>
    </row>
    <row r="1400" spans="1:13" x14ac:dyDescent="0.25">
      <c r="A1400">
        <v>4</v>
      </c>
      <c r="B1400">
        <v>9623195</v>
      </c>
      <c r="C1400">
        <v>5991</v>
      </c>
      <c r="D1400">
        <v>7</v>
      </c>
      <c r="E1400">
        <v>702</v>
      </c>
      <c r="F1400" t="s">
        <v>120</v>
      </c>
      <c r="G1400" t="s">
        <v>121</v>
      </c>
      <c r="H1400">
        <v>702</v>
      </c>
      <c r="I1400" t="s">
        <v>120</v>
      </c>
      <c r="J1400" t="s">
        <v>121</v>
      </c>
      <c r="K1400" t="s">
        <v>1560</v>
      </c>
      <c r="L1400">
        <v>1</v>
      </c>
      <c r="M1400">
        <v>1</v>
      </c>
    </row>
    <row r="1401" spans="1:13" x14ac:dyDescent="0.25">
      <c r="A1401">
        <v>4</v>
      </c>
      <c r="B1401">
        <v>9623385</v>
      </c>
      <c r="C1401">
        <v>5991</v>
      </c>
      <c r="D1401">
        <v>8</v>
      </c>
      <c r="E1401">
        <v>781</v>
      </c>
      <c r="F1401" t="s">
        <v>269</v>
      </c>
      <c r="G1401" t="s">
        <v>270</v>
      </c>
      <c r="H1401">
        <v>781</v>
      </c>
      <c r="I1401" t="s">
        <v>269</v>
      </c>
      <c r="J1401" t="s">
        <v>270</v>
      </c>
      <c r="K1401" t="s">
        <v>1561</v>
      </c>
      <c r="L1401">
        <v>1</v>
      </c>
      <c r="M1401">
        <v>1</v>
      </c>
    </row>
    <row r="1402" spans="1:13" x14ac:dyDescent="0.25">
      <c r="A1402">
        <v>4</v>
      </c>
      <c r="B1402">
        <v>9623453</v>
      </c>
      <c r="C1402">
        <v>5991</v>
      </c>
      <c r="D1402">
        <v>9</v>
      </c>
      <c r="E1402">
        <v>403</v>
      </c>
      <c r="F1402" t="s">
        <v>78</v>
      </c>
      <c r="G1402" t="s">
        <v>79</v>
      </c>
      <c r="H1402">
        <v>403</v>
      </c>
      <c r="I1402" t="s">
        <v>78</v>
      </c>
      <c r="J1402" t="s">
        <v>79</v>
      </c>
      <c r="K1402" t="s">
        <v>1562</v>
      </c>
      <c r="L1402">
        <v>1</v>
      </c>
      <c r="M1402">
        <v>1</v>
      </c>
    </row>
    <row r="1403" spans="1:13" x14ac:dyDescent="0.25">
      <c r="A1403">
        <v>4</v>
      </c>
      <c r="B1403">
        <v>9623507</v>
      </c>
      <c r="C1403">
        <v>5991</v>
      </c>
      <c r="D1403">
        <v>10</v>
      </c>
      <c r="E1403">
        <v>13</v>
      </c>
      <c r="F1403" t="s">
        <v>62</v>
      </c>
      <c r="G1403" t="s">
        <v>63</v>
      </c>
      <c r="H1403">
        <v>13</v>
      </c>
      <c r="I1403" t="s">
        <v>62</v>
      </c>
      <c r="J1403" t="s">
        <v>63</v>
      </c>
      <c r="K1403" t="s">
        <v>1563</v>
      </c>
      <c r="L1403">
        <v>1</v>
      </c>
      <c r="M1403">
        <v>1</v>
      </c>
    </row>
    <row r="1404" spans="1:13" x14ac:dyDescent="0.25">
      <c r="A1404">
        <v>4</v>
      </c>
      <c r="B1404">
        <v>9622815</v>
      </c>
      <c r="C1404">
        <v>5991</v>
      </c>
      <c r="D1404">
        <v>3</v>
      </c>
      <c r="E1404">
        <v>13</v>
      </c>
      <c r="F1404" t="s">
        <v>62</v>
      </c>
      <c r="G1404" t="s">
        <v>63</v>
      </c>
      <c r="H1404">
        <v>13</v>
      </c>
      <c r="I1404" t="s">
        <v>62</v>
      </c>
      <c r="J1404" t="s">
        <v>63</v>
      </c>
      <c r="K1404" t="s">
        <v>1564</v>
      </c>
      <c r="L1404">
        <v>1</v>
      </c>
      <c r="M1404">
        <v>1</v>
      </c>
    </row>
    <row r="1405" spans="1:13" x14ac:dyDescent="0.25">
      <c r="A1405">
        <v>3</v>
      </c>
      <c r="B1405">
        <v>50051550</v>
      </c>
      <c r="C1405">
        <v>6042</v>
      </c>
      <c r="D1405">
        <v>14</v>
      </c>
      <c r="E1405">
        <v>409</v>
      </c>
      <c r="F1405" t="s">
        <v>84</v>
      </c>
      <c r="G1405" t="s">
        <v>85</v>
      </c>
      <c r="H1405">
        <v>409</v>
      </c>
      <c r="I1405" t="s">
        <v>84</v>
      </c>
      <c r="J1405" t="s">
        <v>85</v>
      </c>
      <c r="K1405" t="s">
        <v>1565</v>
      </c>
      <c r="L1405">
        <v>1</v>
      </c>
      <c r="M1405">
        <v>1</v>
      </c>
    </row>
    <row r="1406" spans="1:13" x14ac:dyDescent="0.25">
      <c r="A1406">
        <v>3</v>
      </c>
      <c r="B1406">
        <v>50051450</v>
      </c>
      <c r="C1406">
        <v>6042</v>
      </c>
      <c r="D1406">
        <v>1</v>
      </c>
      <c r="E1406">
        <v>13</v>
      </c>
      <c r="F1406" t="s">
        <v>62</v>
      </c>
      <c r="G1406" t="s">
        <v>63</v>
      </c>
      <c r="H1406">
        <v>13</v>
      </c>
      <c r="I1406" t="s">
        <v>62</v>
      </c>
      <c r="J1406" t="s">
        <v>63</v>
      </c>
      <c r="K1406" t="s">
        <v>1566</v>
      </c>
      <c r="L1406">
        <v>1</v>
      </c>
      <c r="M1406">
        <v>1</v>
      </c>
    </row>
    <row r="1407" spans="1:13" x14ac:dyDescent="0.25">
      <c r="A1407">
        <v>3</v>
      </c>
      <c r="B1407">
        <v>50051450</v>
      </c>
      <c r="C1407">
        <v>6042</v>
      </c>
      <c r="D1407">
        <v>9</v>
      </c>
      <c r="E1407">
        <v>13</v>
      </c>
      <c r="F1407" t="s">
        <v>62</v>
      </c>
      <c r="G1407" t="s">
        <v>63</v>
      </c>
      <c r="H1407">
        <v>13</v>
      </c>
      <c r="I1407" t="s">
        <v>62</v>
      </c>
      <c r="J1407" t="s">
        <v>63</v>
      </c>
      <c r="K1407" t="s">
        <v>1567</v>
      </c>
      <c r="L1407">
        <v>1</v>
      </c>
      <c r="M1407">
        <v>1</v>
      </c>
    </row>
    <row r="1408" spans="1:13" x14ac:dyDescent="0.25">
      <c r="A1408">
        <v>3</v>
      </c>
      <c r="B1408">
        <v>50051450</v>
      </c>
      <c r="C1408">
        <v>6042</v>
      </c>
      <c r="D1408">
        <v>10</v>
      </c>
      <c r="E1408">
        <v>970</v>
      </c>
      <c r="F1408" t="s">
        <v>436</v>
      </c>
      <c r="G1408" t="s">
        <v>437</v>
      </c>
      <c r="H1408">
        <v>506</v>
      </c>
      <c r="I1408" t="s">
        <v>92</v>
      </c>
      <c r="J1408" t="s">
        <v>93</v>
      </c>
      <c r="K1408" t="s">
        <v>1568</v>
      </c>
      <c r="L1408">
        <v>1</v>
      </c>
      <c r="M1408">
        <v>1</v>
      </c>
    </row>
    <row r="1409" spans="1:13" x14ac:dyDescent="0.25">
      <c r="A1409">
        <v>3</v>
      </c>
      <c r="B1409">
        <v>50051451</v>
      </c>
      <c r="C1409">
        <v>6042</v>
      </c>
      <c r="D1409">
        <v>2</v>
      </c>
      <c r="E1409">
        <v>970</v>
      </c>
      <c r="F1409" t="s">
        <v>436</v>
      </c>
      <c r="G1409" t="s">
        <v>437</v>
      </c>
      <c r="H1409">
        <v>506</v>
      </c>
      <c r="I1409" t="s">
        <v>92</v>
      </c>
      <c r="J1409" t="s">
        <v>93</v>
      </c>
      <c r="K1409" t="s">
        <v>1569</v>
      </c>
      <c r="L1409">
        <v>1</v>
      </c>
      <c r="M1409">
        <v>1</v>
      </c>
    </row>
    <row r="1410" spans="1:13" x14ac:dyDescent="0.25">
      <c r="A1410">
        <v>3</v>
      </c>
      <c r="B1410">
        <v>50051451</v>
      </c>
      <c r="C1410">
        <v>6042</v>
      </c>
      <c r="D1410">
        <v>3</v>
      </c>
      <c r="E1410">
        <v>970</v>
      </c>
      <c r="F1410" t="s">
        <v>436</v>
      </c>
      <c r="G1410" t="s">
        <v>437</v>
      </c>
      <c r="H1410">
        <v>506</v>
      </c>
      <c r="I1410" t="s">
        <v>92</v>
      </c>
      <c r="J1410" t="s">
        <v>93</v>
      </c>
      <c r="K1410" t="s">
        <v>1570</v>
      </c>
      <c r="L1410">
        <v>1</v>
      </c>
      <c r="M1410">
        <v>1</v>
      </c>
    </row>
    <row r="1411" spans="1:13" x14ac:dyDescent="0.25">
      <c r="A1411">
        <v>3</v>
      </c>
      <c r="B1411">
        <v>50051451</v>
      </c>
      <c r="C1411">
        <v>6042</v>
      </c>
      <c r="D1411">
        <v>4</v>
      </c>
      <c r="E1411">
        <v>680</v>
      </c>
      <c r="F1411" t="s">
        <v>114</v>
      </c>
      <c r="G1411" t="s">
        <v>115</v>
      </c>
      <c r="H1411">
        <v>680</v>
      </c>
      <c r="I1411" t="s">
        <v>114</v>
      </c>
      <c r="J1411" t="s">
        <v>115</v>
      </c>
      <c r="K1411" t="s">
        <v>1430</v>
      </c>
      <c r="L1411">
        <v>1</v>
      </c>
      <c r="M1411">
        <v>1</v>
      </c>
    </row>
    <row r="1412" spans="1:13" x14ac:dyDescent="0.25">
      <c r="A1412">
        <v>3</v>
      </c>
      <c r="B1412">
        <v>50051451</v>
      </c>
      <c r="C1412">
        <v>6042</v>
      </c>
      <c r="D1412">
        <v>11</v>
      </c>
      <c r="E1412">
        <v>970</v>
      </c>
      <c r="F1412" t="s">
        <v>436</v>
      </c>
      <c r="G1412" t="s">
        <v>437</v>
      </c>
      <c r="H1412">
        <v>506</v>
      </c>
      <c r="I1412" t="s">
        <v>92</v>
      </c>
      <c r="J1412" t="s">
        <v>93</v>
      </c>
      <c r="K1412" t="s">
        <v>1571</v>
      </c>
      <c r="L1412">
        <v>1</v>
      </c>
      <c r="M1412">
        <v>1</v>
      </c>
    </row>
    <row r="1413" spans="1:13" x14ac:dyDescent="0.25">
      <c r="A1413">
        <v>3</v>
      </c>
      <c r="B1413">
        <v>50051451</v>
      </c>
      <c r="C1413">
        <v>6042</v>
      </c>
      <c r="D1413">
        <v>15</v>
      </c>
      <c r="E1413">
        <v>970</v>
      </c>
      <c r="F1413" t="s">
        <v>436</v>
      </c>
      <c r="G1413" t="s">
        <v>437</v>
      </c>
      <c r="H1413">
        <v>506</v>
      </c>
      <c r="I1413" t="s">
        <v>92</v>
      </c>
      <c r="J1413" t="s">
        <v>93</v>
      </c>
      <c r="K1413" t="s">
        <v>1572</v>
      </c>
      <c r="L1413">
        <v>1</v>
      </c>
      <c r="M1413">
        <v>1</v>
      </c>
    </row>
    <row r="1414" spans="1:13" x14ac:dyDescent="0.25">
      <c r="A1414">
        <v>29</v>
      </c>
      <c r="B1414">
        <v>8652732</v>
      </c>
      <c r="C1414">
        <v>6043</v>
      </c>
      <c r="D1414">
        <v>1</v>
      </c>
      <c r="E1414">
        <v>683</v>
      </c>
      <c r="F1414" t="s">
        <v>255</v>
      </c>
      <c r="G1414" t="s">
        <v>256</v>
      </c>
      <c r="H1414">
        <v>683</v>
      </c>
      <c r="I1414" t="s">
        <v>255</v>
      </c>
      <c r="J1414" t="s">
        <v>256</v>
      </c>
      <c r="K1414" t="s">
        <v>152</v>
      </c>
      <c r="L1414">
        <v>6</v>
      </c>
      <c r="M1414">
        <v>6</v>
      </c>
    </row>
    <row r="1415" spans="1:13" x14ac:dyDescent="0.25">
      <c r="A1415">
        <v>5</v>
      </c>
      <c r="B1415">
        <v>6504016942</v>
      </c>
      <c r="C1415">
        <v>6044</v>
      </c>
      <c r="D1415">
        <v>1</v>
      </c>
      <c r="E1415">
        <v>401</v>
      </c>
      <c r="F1415" t="s">
        <v>76</v>
      </c>
      <c r="G1415" t="s">
        <v>77</v>
      </c>
      <c r="H1415">
        <v>401</v>
      </c>
      <c r="I1415" t="s">
        <v>76</v>
      </c>
      <c r="J1415" t="s">
        <v>77</v>
      </c>
      <c r="K1415" t="s">
        <v>49</v>
      </c>
      <c r="L1415">
        <v>1</v>
      </c>
      <c r="M1415">
        <v>1</v>
      </c>
    </row>
    <row r="1416" spans="1:13" x14ac:dyDescent="0.25">
      <c r="A1416">
        <v>5</v>
      </c>
      <c r="B1416">
        <v>6504017146</v>
      </c>
      <c r="C1416">
        <v>6044</v>
      </c>
      <c r="D1416">
        <v>3</v>
      </c>
      <c r="E1416">
        <v>400</v>
      </c>
      <c r="F1416" t="s">
        <v>74</v>
      </c>
      <c r="G1416" t="s">
        <v>75</v>
      </c>
      <c r="H1416">
        <v>400</v>
      </c>
      <c r="I1416" t="s">
        <v>74</v>
      </c>
      <c r="J1416" t="s">
        <v>75</v>
      </c>
      <c r="K1416" t="s">
        <v>49</v>
      </c>
      <c r="L1416">
        <v>1</v>
      </c>
      <c r="M1416">
        <v>1</v>
      </c>
    </row>
    <row r="1417" spans="1:13" x14ac:dyDescent="0.25">
      <c r="A1417">
        <v>5</v>
      </c>
      <c r="B1417">
        <v>6504018515</v>
      </c>
      <c r="C1417">
        <v>6044</v>
      </c>
      <c r="D1417">
        <v>2</v>
      </c>
      <c r="E1417">
        <v>892</v>
      </c>
      <c r="F1417" t="s">
        <v>142</v>
      </c>
      <c r="G1417" t="s">
        <v>143</v>
      </c>
      <c r="H1417">
        <v>746</v>
      </c>
      <c r="I1417" t="s">
        <v>170</v>
      </c>
      <c r="J1417" t="s">
        <v>171</v>
      </c>
      <c r="K1417" t="s">
        <v>49</v>
      </c>
      <c r="L1417">
        <v>1</v>
      </c>
      <c r="M1417">
        <v>1</v>
      </c>
    </row>
    <row r="1418" spans="1:13" x14ac:dyDescent="0.25">
      <c r="A1418">
        <v>5</v>
      </c>
      <c r="B1418">
        <v>6504019017</v>
      </c>
      <c r="C1418">
        <v>6044</v>
      </c>
      <c r="D1418">
        <v>4</v>
      </c>
      <c r="E1418">
        <v>922</v>
      </c>
      <c r="F1418" t="s">
        <v>1573</v>
      </c>
      <c r="G1418" t="s">
        <v>1574</v>
      </c>
      <c r="H1418">
        <v>922</v>
      </c>
      <c r="I1418" t="s">
        <v>1573</v>
      </c>
      <c r="J1418" t="s">
        <v>1574</v>
      </c>
      <c r="K1418" t="s">
        <v>49</v>
      </c>
      <c r="L1418">
        <v>1</v>
      </c>
      <c r="M1418">
        <v>0</v>
      </c>
    </row>
    <row r="1419" spans="1:13" x14ac:dyDescent="0.25">
      <c r="A1419">
        <v>2</v>
      </c>
      <c r="B1419">
        <v>8660774</v>
      </c>
      <c r="C1419">
        <v>6045</v>
      </c>
      <c r="D1419">
        <v>4</v>
      </c>
      <c r="E1419">
        <v>700</v>
      </c>
      <c r="F1419" t="s">
        <v>118</v>
      </c>
      <c r="G1419" t="s">
        <v>119</v>
      </c>
      <c r="H1419">
        <v>700</v>
      </c>
      <c r="I1419" t="s">
        <v>118</v>
      </c>
      <c r="J1419" t="s">
        <v>119</v>
      </c>
      <c r="K1419" t="s">
        <v>1575</v>
      </c>
      <c r="L1419">
        <v>1</v>
      </c>
      <c r="M1419">
        <v>1</v>
      </c>
    </row>
    <row r="1420" spans="1:13" x14ac:dyDescent="0.25">
      <c r="A1420">
        <v>2</v>
      </c>
      <c r="B1420">
        <v>8660835</v>
      </c>
      <c r="C1420">
        <v>6045</v>
      </c>
      <c r="D1420">
        <v>5</v>
      </c>
      <c r="E1420">
        <v>403</v>
      </c>
      <c r="F1420" t="s">
        <v>78</v>
      </c>
      <c r="G1420" t="s">
        <v>79</v>
      </c>
      <c r="H1420">
        <v>403</v>
      </c>
      <c r="I1420" t="s">
        <v>78</v>
      </c>
      <c r="J1420" t="s">
        <v>79</v>
      </c>
      <c r="K1420" t="s">
        <v>1576</v>
      </c>
      <c r="L1420">
        <v>1</v>
      </c>
      <c r="M1420">
        <v>1</v>
      </c>
    </row>
    <row r="1421" spans="1:13" x14ac:dyDescent="0.25">
      <c r="A1421">
        <v>2</v>
      </c>
      <c r="B1421">
        <v>8660990</v>
      </c>
      <c r="C1421">
        <v>6045</v>
      </c>
      <c r="D1421">
        <v>6</v>
      </c>
      <c r="E1421">
        <v>498</v>
      </c>
      <c r="F1421" t="s">
        <v>521</v>
      </c>
      <c r="G1421" t="s">
        <v>522</v>
      </c>
      <c r="H1421">
        <v>498</v>
      </c>
      <c r="I1421" t="s">
        <v>521</v>
      </c>
      <c r="J1421" t="s">
        <v>522</v>
      </c>
      <c r="K1421" t="s">
        <v>1577</v>
      </c>
      <c r="L1421">
        <v>1</v>
      </c>
      <c r="M1421">
        <v>1</v>
      </c>
    </row>
    <row r="1422" spans="1:13" x14ac:dyDescent="0.25">
      <c r="A1422">
        <v>2</v>
      </c>
      <c r="B1422">
        <v>8662855</v>
      </c>
      <c r="C1422">
        <v>6045</v>
      </c>
      <c r="D1422">
        <v>7</v>
      </c>
      <c r="E1422">
        <v>970</v>
      </c>
      <c r="F1422" t="s">
        <v>436</v>
      </c>
      <c r="G1422" t="s">
        <v>437</v>
      </c>
      <c r="H1422">
        <v>506</v>
      </c>
      <c r="I1422" t="s">
        <v>92</v>
      </c>
      <c r="J1422" t="s">
        <v>93</v>
      </c>
      <c r="K1422" t="s">
        <v>1578</v>
      </c>
      <c r="L1422">
        <v>1</v>
      </c>
      <c r="M1422">
        <v>1</v>
      </c>
    </row>
    <row r="1423" spans="1:13" x14ac:dyDescent="0.25">
      <c r="A1423">
        <v>2</v>
      </c>
      <c r="B1423">
        <v>8659977</v>
      </c>
      <c r="C1423">
        <v>6045</v>
      </c>
      <c r="D1423">
        <v>1</v>
      </c>
      <c r="E1423">
        <v>403</v>
      </c>
      <c r="F1423" t="s">
        <v>78</v>
      </c>
      <c r="G1423" t="s">
        <v>79</v>
      </c>
      <c r="H1423">
        <v>403</v>
      </c>
      <c r="I1423" t="s">
        <v>78</v>
      </c>
      <c r="J1423" t="s">
        <v>79</v>
      </c>
      <c r="K1423" t="s">
        <v>1579</v>
      </c>
      <c r="L1423">
        <v>1</v>
      </c>
      <c r="M1423">
        <v>1</v>
      </c>
    </row>
    <row r="1424" spans="1:13" x14ac:dyDescent="0.25">
      <c r="A1424">
        <v>2</v>
      </c>
      <c r="B1424">
        <v>8660410</v>
      </c>
      <c r="C1424">
        <v>6045</v>
      </c>
      <c r="D1424">
        <v>2</v>
      </c>
      <c r="E1424">
        <v>970</v>
      </c>
      <c r="F1424" t="s">
        <v>436</v>
      </c>
      <c r="G1424" t="s">
        <v>437</v>
      </c>
      <c r="H1424">
        <v>506</v>
      </c>
      <c r="I1424" t="s">
        <v>92</v>
      </c>
      <c r="J1424" t="s">
        <v>93</v>
      </c>
      <c r="K1424" t="s">
        <v>1580</v>
      </c>
      <c r="L1424">
        <v>1</v>
      </c>
      <c r="M1424">
        <v>1</v>
      </c>
    </row>
    <row r="1425" spans="1:13" x14ac:dyDescent="0.25">
      <c r="A1425">
        <v>2</v>
      </c>
      <c r="B1425">
        <v>8660699</v>
      </c>
      <c r="C1425">
        <v>6045</v>
      </c>
      <c r="D1425">
        <v>3</v>
      </c>
      <c r="E1425">
        <v>680</v>
      </c>
      <c r="F1425" t="s">
        <v>114</v>
      </c>
      <c r="G1425" t="s">
        <v>115</v>
      </c>
      <c r="H1425">
        <v>680</v>
      </c>
      <c r="I1425" t="s">
        <v>114</v>
      </c>
      <c r="J1425" t="s">
        <v>115</v>
      </c>
      <c r="K1425" t="s">
        <v>1581</v>
      </c>
      <c r="L1425">
        <v>1</v>
      </c>
      <c r="M1425">
        <v>1</v>
      </c>
    </row>
    <row r="1426" spans="1:13" x14ac:dyDescent="0.25">
      <c r="A1426">
        <v>29</v>
      </c>
      <c r="B1426">
        <v>8662642</v>
      </c>
      <c r="C1426">
        <v>6046</v>
      </c>
      <c r="D1426">
        <v>4</v>
      </c>
      <c r="E1426">
        <v>854</v>
      </c>
      <c r="F1426" t="s">
        <v>1068</v>
      </c>
      <c r="G1426" t="s">
        <v>1069</v>
      </c>
      <c r="H1426">
        <v>854</v>
      </c>
      <c r="I1426" t="s">
        <v>1068</v>
      </c>
      <c r="J1426" t="s">
        <v>1069</v>
      </c>
      <c r="K1426" t="s">
        <v>1582</v>
      </c>
      <c r="L1426">
        <v>1</v>
      </c>
      <c r="M1426">
        <v>1</v>
      </c>
    </row>
    <row r="1427" spans="1:13" x14ac:dyDescent="0.25">
      <c r="A1427">
        <v>29</v>
      </c>
      <c r="B1427">
        <v>8660138</v>
      </c>
      <c r="C1427">
        <v>6046</v>
      </c>
      <c r="D1427">
        <v>1</v>
      </c>
      <c r="E1427">
        <v>829</v>
      </c>
      <c r="F1427" t="s">
        <v>136</v>
      </c>
      <c r="G1427" t="s">
        <v>137</v>
      </c>
      <c r="H1427">
        <v>829</v>
      </c>
      <c r="I1427" t="s">
        <v>136</v>
      </c>
      <c r="J1427" t="s">
        <v>137</v>
      </c>
      <c r="K1427" t="s">
        <v>1583</v>
      </c>
      <c r="L1427">
        <v>1</v>
      </c>
      <c r="M1427">
        <v>1</v>
      </c>
    </row>
    <row r="1428" spans="1:13" x14ac:dyDescent="0.25">
      <c r="A1428">
        <v>29</v>
      </c>
      <c r="B1428">
        <v>8661269</v>
      </c>
      <c r="C1428">
        <v>6046</v>
      </c>
      <c r="D1428">
        <v>2</v>
      </c>
      <c r="E1428">
        <v>849</v>
      </c>
      <c r="F1428" t="s">
        <v>138</v>
      </c>
      <c r="G1428" t="s">
        <v>139</v>
      </c>
      <c r="H1428">
        <v>849</v>
      </c>
      <c r="I1428" t="s">
        <v>138</v>
      </c>
      <c r="J1428" t="s">
        <v>139</v>
      </c>
      <c r="K1428" t="s">
        <v>1584</v>
      </c>
      <c r="L1428">
        <v>1</v>
      </c>
      <c r="M1428">
        <v>1</v>
      </c>
    </row>
    <row r="1429" spans="1:13" x14ac:dyDescent="0.25">
      <c r="A1429">
        <v>29</v>
      </c>
      <c r="B1429">
        <v>8661338</v>
      </c>
      <c r="C1429">
        <v>6046</v>
      </c>
      <c r="D1429">
        <v>3</v>
      </c>
      <c r="E1429">
        <v>849</v>
      </c>
      <c r="F1429" t="s">
        <v>138</v>
      </c>
      <c r="G1429" t="s">
        <v>139</v>
      </c>
      <c r="H1429">
        <v>849</v>
      </c>
      <c r="I1429" t="s">
        <v>138</v>
      </c>
      <c r="J1429" t="s">
        <v>139</v>
      </c>
      <c r="K1429" t="s">
        <v>1585</v>
      </c>
      <c r="L1429">
        <v>1</v>
      </c>
      <c r="M1429">
        <v>1</v>
      </c>
    </row>
    <row r="1430" spans="1:13" x14ac:dyDescent="0.25">
      <c r="A1430">
        <v>8</v>
      </c>
      <c r="B1430">
        <v>9450544804</v>
      </c>
      <c r="C1430">
        <v>6047</v>
      </c>
      <c r="D1430">
        <v>1</v>
      </c>
      <c r="E1430">
        <v>182</v>
      </c>
      <c r="F1430" t="s">
        <v>322</v>
      </c>
      <c r="G1430" t="s">
        <v>323</v>
      </c>
      <c r="H1430">
        <v>182</v>
      </c>
      <c r="I1430" t="s">
        <v>322</v>
      </c>
      <c r="J1430" t="s">
        <v>323</v>
      </c>
      <c r="K1430" t="s">
        <v>1586</v>
      </c>
      <c r="L1430">
        <v>10</v>
      </c>
      <c r="M1430">
        <v>10</v>
      </c>
    </row>
    <row r="1431" spans="1:13" x14ac:dyDescent="0.25">
      <c r="A1431">
        <v>8</v>
      </c>
      <c r="B1431">
        <v>9450544804</v>
      </c>
      <c r="C1431">
        <v>6047</v>
      </c>
      <c r="D1431">
        <v>2</v>
      </c>
      <c r="E1431">
        <v>713</v>
      </c>
      <c r="F1431" t="s">
        <v>860</v>
      </c>
      <c r="G1431" t="s">
        <v>861</v>
      </c>
      <c r="H1431">
        <v>713</v>
      </c>
      <c r="I1431" t="s">
        <v>860</v>
      </c>
      <c r="J1431" t="s">
        <v>861</v>
      </c>
      <c r="K1431" t="s">
        <v>1587</v>
      </c>
      <c r="L1431">
        <v>10</v>
      </c>
      <c r="M1431">
        <v>10</v>
      </c>
    </row>
    <row r="1432" spans="1:13" x14ac:dyDescent="0.25">
      <c r="A1432">
        <v>8</v>
      </c>
      <c r="B1432">
        <v>9450544804</v>
      </c>
      <c r="C1432">
        <v>6047</v>
      </c>
      <c r="D1432">
        <v>3</v>
      </c>
      <c r="E1432">
        <v>714</v>
      </c>
      <c r="F1432" t="s">
        <v>124</v>
      </c>
      <c r="G1432" t="s">
        <v>125</v>
      </c>
      <c r="H1432">
        <v>714</v>
      </c>
      <c r="I1432" t="s">
        <v>124</v>
      </c>
      <c r="J1432" t="s">
        <v>125</v>
      </c>
      <c r="K1432" t="s">
        <v>1588</v>
      </c>
      <c r="L1432">
        <v>10</v>
      </c>
      <c r="M1432">
        <v>10</v>
      </c>
    </row>
    <row r="1433" spans="1:13" x14ac:dyDescent="0.25">
      <c r="A1433">
        <v>8</v>
      </c>
      <c r="B1433">
        <v>9450544804</v>
      </c>
      <c r="C1433">
        <v>6047</v>
      </c>
      <c r="D1433">
        <v>4</v>
      </c>
      <c r="E1433">
        <v>766</v>
      </c>
      <c r="F1433" t="s">
        <v>880</v>
      </c>
      <c r="G1433" t="s">
        <v>881</v>
      </c>
      <c r="H1433">
        <v>766</v>
      </c>
      <c r="I1433" t="s">
        <v>880</v>
      </c>
      <c r="J1433" t="s">
        <v>881</v>
      </c>
      <c r="K1433" t="s">
        <v>1589</v>
      </c>
      <c r="L1433">
        <v>4</v>
      </c>
      <c r="M1433">
        <v>0</v>
      </c>
    </row>
    <row r="1434" spans="1:13" x14ac:dyDescent="0.25">
      <c r="A1434">
        <v>8</v>
      </c>
      <c r="B1434">
        <v>9450544804</v>
      </c>
      <c r="C1434">
        <v>6047</v>
      </c>
      <c r="D1434">
        <v>5</v>
      </c>
      <c r="E1434">
        <v>882</v>
      </c>
      <c r="F1434" t="s">
        <v>1590</v>
      </c>
      <c r="G1434" t="s">
        <v>1591</v>
      </c>
      <c r="H1434">
        <v>882</v>
      </c>
      <c r="I1434" t="s">
        <v>1590</v>
      </c>
      <c r="J1434" t="s">
        <v>1591</v>
      </c>
      <c r="K1434" t="s">
        <v>1592</v>
      </c>
      <c r="L1434">
        <v>20</v>
      </c>
      <c r="M1434">
        <v>20</v>
      </c>
    </row>
    <row r="1435" spans="1:13" x14ac:dyDescent="0.25">
      <c r="A1435">
        <v>8</v>
      </c>
      <c r="B1435">
        <v>9450544804</v>
      </c>
      <c r="C1435">
        <v>6047</v>
      </c>
      <c r="D1435">
        <v>6</v>
      </c>
      <c r="E1435">
        <v>853</v>
      </c>
      <c r="F1435" t="s">
        <v>296</v>
      </c>
      <c r="G1435" t="s">
        <v>297</v>
      </c>
      <c r="H1435">
        <v>853</v>
      </c>
      <c r="I1435" t="s">
        <v>296</v>
      </c>
      <c r="J1435" t="s">
        <v>297</v>
      </c>
      <c r="K1435" t="s">
        <v>1593</v>
      </c>
      <c r="L1435">
        <v>10</v>
      </c>
      <c r="M1435">
        <v>8</v>
      </c>
    </row>
    <row r="1436" spans="1:13" x14ac:dyDescent="0.25">
      <c r="A1436">
        <v>8</v>
      </c>
      <c r="B1436">
        <v>9450544804</v>
      </c>
      <c r="C1436">
        <v>6047</v>
      </c>
      <c r="D1436">
        <v>7</v>
      </c>
      <c r="E1436">
        <v>855</v>
      </c>
      <c r="F1436" t="s">
        <v>1421</v>
      </c>
      <c r="G1436" t="s">
        <v>1422</v>
      </c>
      <c r="H1436">
        <v>855</v>
      </c>
      <c r="I1436" t="s">
        <v>1421</v>
      </c>
      <c r="J1436" t="s">
        <v>1422</v>
      </c>
      <c r="K1436" t="s">
        <v>1594</v>
      </c>
      <c r="L1436">
        <v>12</v>
      </c>
      <c r="M1436">
        <v>12</v>
      </c>
    </row>
    <row r="1437" spans="1:13" x14ac:dyDescent="0.25">
      <c r="A1437">
        <v>8</v>
      </c>
      <c r="B1437">
        <v>9450544804</v>
      </c>
      <c r="C1437">
        <v>6047</v>
      </c>
      <c r="D1437">
        <v>8</v>
      </c>
      <c r="E1437">
        <v>895</v>
      </c>
      <c r="F1437" t="s">
        <v>387</v>
      </c>
      <c r="G1437" t="s">
        <v>388</v>
      </c>
      <c r="H1437">
        <v>895</v>
      </c>
      <c r="I1437" t="s">
        <v>387</v>
      </c>
      <c r="J1437" t="s">
        <v>388</v>
      </c>
      <c r="K1437" t="s">
        <v>1595</v>
      </c>
      <c r="L1437">
        <v>5</v>
      </c>
      <c r="M1437">
        <v>5</v>
      </c>
    </row>
    <row r="1438" spans="1:13" x14ac:dyDescent="0.25">
      <c r="A1438">
        <v>8</v>
      </c>
      <c r="B1438">
        <v>9450544804</v>
      </c>
      <c r="C1438">
        <v>6047</v>
      </c>
      <c r="D1438">
        <v>9</v>
      </c>
      <c r="E1438">
        <v>886</v>
      </c>
      <c r="F1438" t="s">
        <v>236</v>
      </c>
      <c r="G1438" t="s">
        <v>237</v>
      </c>
      <c r="H1438">
        <v>886</v>
      </c>
      <c r="I1438" t="s">
        <v>236</v>
      </c>
      <c r="J1438" t="s">
        <v>237</v>
      </c>
      <c r="K1438" t="s">
        <v>1596</v>
      </c>
      <c r="L1438">
        <v>10</v>
      </c>
      <c r="M1438">
        <v>10</v>
      </c>
    </row>
    <row r="1439" spans="1:13" x14ac:dyDescent="0.25">
      <c r="A1439">
        <v>8</v>
      </c>
      <c r="B1439">
        <v>9450544804</v>
      </c>
      <c r="C1439">
        <v>6047</v>
      </c>
      <c r="D1439">
        <v>10</v>
      </c>
      <c r="E1439">
        <v>900</v>
      </c>
      <c r="F1439" t="s">
        <v>399</v>
      </c>
      <c r="G1439" t="s">
        <v>400</v>
      </c>
      <c r="H1439">
        <v>900</v>
      </c>
      <c r="I1439" t="s">
        <v>399</v>
      </c>
      <c r="J1439" t="s">
        <v>400</v>
      </c>
      <c r="K1439" t="s">
        <v>1597</v>
      </c>
      <c r="L1439">
        <v>5</v>
      </c>
      <c r="M1439">
        <v>0</v>
      </c>
    </row>
    <row r="1440" spans="1:13" x14ac:dyDescent="0.25">
      <c r="A1440">
        <v>8</v>
      </c>
      <c r="B1440">
        <v>9450544804</v>
      </c>
      <c r="C1440">
        <v>6047</v>
      </c>
      <c r="D1440">
        <v>11</v>
      </c>
      <c r="E1440">
        <v>901</v>
      </c>
      <c r="F1440" t="s">
        <v>391</v>
      </c>
      <c r="G1440" t="s">
        <v>392</v>
      </c>
      <c r="H1440">
        <v>901</v>
      </c>
      <c r="I1440" t="s">
        <v>391</v>
      </c>
      <c r="J1440" t="s">
        <v>392</v>
      </c>
      <c r="K1440" t="s">
        <v>1598</v>
      </c>
      <c r="L1440">
        <v>5</v>
      </c>
      <c r="M1440">
        <v>0</v>
      </c>
    </row>
    <row r="1441" spans="1:13" x14ac:dyDescent="0.25">
      <c r="A1441">
        <v>7</v>
      </c>
      <c r="B1441">
        <v>438203</v>
      </c>
      <c r="C1441">
        <v>6048</v>
      </c>
      <c r="D1441">
        <v>1</v>
      </c>
      <c r="E1441">
        <v>534</v>
      </c>
      <c r="F1441" t="s">
        <v>94</v>
      </c>
      <c r="G1441" t="s">
        <v>95</v>
      </c>
      <c r="H1441">
        <v>534</v>
      </c>
      <c r="I1441" t="s">
        <v>94</v>
      </c>
      <c r="J1441" t="s">
        <v>95</v>
      </c>
      <c r="K1441" t="s">
        <v>49</v>
      </c>
      <c r="L1441">
        <v>100</v>
      </c>
      <c r="M1441">
        <v>100</v>
      </c>
    </row>
    <row r="1442" spans="1:13" x14ac:dyDescent="0.25">
      <c r="A1442">
        <v>4</v>
      </c>
      <c r="B1442">
        <v>9621269</v>
      </c>
      <c r="C1442">
        <v>6049</v>
      </c>
      <c r="D1442">
        <v>2</v>
      </c>
      <c r="E1442">
        <v>13</v>
      </c>
      <c r="F1442" t="s">
        <v>62</v>
      </c>
      <c r="G1442" t="s">
        <v>63</v>
      </c>
      <c r="H1442">
        <v>13</v>
      </c>
      <c r="I1442" t="s">
        <v>62</v>
      </c>
      <c r="J1442" t="s">
        <v>63</v>
      </c>
      <c r="K1442" t="s">
        <v>1599</v>
      </c>
      <c r="L1442">
        <v>1</v>
      </c>
      <c r="M1442">
        <v>1</v>
      </c>
    </row>
    <row r="1443" spans="1:13" x14ac:dyDescent="0.25">
      <c r="A1443">
        <v>4</v>
      </c>
      <c r="B1443">
        <v>9609069</v>
      </c>
      <c r="C1443">
        <v>6049</v>
      </c>
      <c r="D1443">
        <v>1</v>
      </c>
      <c r="E1443">
        <v>686</v>
      </c>
      <c r="F1443" t="s">
        <v>372</v>
      </c>
      <c r="G1443" t="s">
        <v>373</v>
      </c>
      <c r="H1443">
        <v>686</v>
      </c>
      <c r="I1443" t="s">
        <v>372</v>
      </c>
      <c r="J1443" t="s">
        <v>373</v>
      </c>
      <c r="K1443" t="s">
        <v>1600</v>
      </c>
      <c r="L1443">
        <v>2</v>
      </c>
      <c r="M1443">
        <v>2</v>
      </c>
    </row>
    <row r="1444" spans="1:13" x14ac:dyDescent="0.25">
      <c r="A1444">
        <v>1</v>
      </c>
      <c r="B1444">
        <v>8662170</v>
      </c>
      <c r="C1444">
        <v>6050</v>
      </c>
      <c r="D1444">
        <v>1</v>
      </c>
      <c r="E1444">
        <v>878</v>
      </c>
      <c r="F1444" t="s">
        <v>216</v>
      </c>
      <c r="G1444" t="s">
        <v>217</v>
      </c>
      <c r="H1444">
        <v>362</v>
      </c>
      <c r="I1444" t="s">
        <v>72</v>
      </c>
      <c r="J1444" t="s">
        <v>73</v>
      </c>
      <c r="K1444" t="s">
        <v>152</v>
      </c>
      <c r="L1444">
        <v>52</v>
      </c>
      <c r="M1444">
        <v>52</v>
      </c>
    </row>
    <row r="1445" spans="1:13" x14ac:dyDescent="0.25">
      <c r="A1445">
        <v>1</v>
      </c>
      <c r="B1445">
        <v>8662170</v>
      </c>
      <c r="C1445">
        <v>6050</v>
      </c>
      <c r="D1445">
        <v>2</v>
      </c>
      <c r="E1445">
        <v>616</v>
      </c>
      <c r="F1445" t="s">
        <v>1114</v>
      </c>
      <c r="G1445" t="s">
        <v>1115</v>
      </c>
      <c r="H1445">
        <v>616</v>
      </c>
      <c r="I1445" t="s">
        <v>1114</v>
      </c>
      <c r="J1445" t="s">
        <v>1115</v>
      </c>
      <c r="K1445" t="s">
        <v>154</v>
      </c>
      <c r="L1445">
        <v>24</v>
      </c>
      <c r="M1445">
        <v>24</v>
      </c>
    </row>
    <row r="1446" spans="1:13" x14ac:dyDescent="0.25">
      <c r="A1446">
        <v>1</v>
      </c>
      <c r="B1446">
        <v>8662170</v>
      </c>
      <c r="C1446">
        <v>6050</v>
      </c>
      <c r="D1446">
        <v>3</v>
      </c>
      <c r="E1446">
        <v>617</v>
      </c>
      <c r="F1446" t="s">
        <v>611</v>
      </c>
      <c r="G1446" t="s">
        <v>612</v>
      </c>
      <c r="H1446">
        <v>617</v>
      </c>
      <c r="I1446" t="s">
        <v>611</v>
      </c>
      <c r="J1446" t="s">
        <v>612</v>
      </c>
      <c r="K1446" t="s">
        <v>153</v>
      </c>
      <c r="L1446">
        <v>12</v>
      </c>
      <c r="M1446">
        <v>12</v>
      </c>
    </row>
    <row r="1447" spans="1:13" x14ac:dyDescent="0.25">
      <c r="A1447">
        <v>4</v>
      </c>
      <c r="B1447">
        <v>9649183</v>
      </c>
      <c r="C1447">
        <v>6106</v>
      </c>
      <c r="D1447">
        <v>4</v>
      </c>
      <c r="E1447">
        <v>704</v>
      </c>
      <c r="F1447" t="s">
        <v>122</v>
      </c>
      <c r="G1447" t="s">
        <v>123</v>
      </c>
      <c r="H1447">
        <v>704</v>
      </c>
      <c r="I1447" t="s">
        <v>122</v>
      </c>
      <c r="J1447" t="s">
        <v>123</v>
      </c>
      <c r="K1447" t="s">
        <v>1601</v>
      </c>
      <c r="L1447">
        <v>1</v>
      </c>
      <c r="M1447">
        <v>1</v>
      </c>
    </row>
    <row r="1448" spans="1:13" x14ac:dyDescent="0.25">
      <c r="A1448">
        <v>4</v>
      </c>
      <c r="B1448">
        <v>9649750</v>
      </c>
      <c r="C1448">
        <v>6106</v>
      </c>
      <c r="D1448">
        <v>5</v>
      </c>
      <c r="E1448">
        <v>632</v>
      </c>
      <c r="F1448" t="s">
        <v>102</v>
      </c>
      <c r="G1448" t="s">
        <v>103</v>
      </c>
      <c r="H1448">
        <v>632</v>
      </c>
      <c r="I1448" t="s">
        <v>102</v>
      </c>
      <c r="J1448" t="s">
        <v>103</v>
      </c>
      <c r="K1448" t="s">
        <v>1602</v>
      </c>
      <c r="L1448">
        <v>1</v>
      </c>
      <c r="M1448">
        <v>1</v>
      </c>
    </row>
    <row r="1449" spans="1:13" x14ac:dyDescent="0.25">
      <c r="A1449">
        <v>4</v>
      </c>
      <c r="B1449">
        <v>9647747</v>
      </c>
      <c r="C1449">
        <v>6106</v>
      </c>
      <c r="D1449">
        <v>3</v>
      </c>
      <c r="E1449">
        <v>700</v>
      </c>
      <c r="F1449" t="s">
        <v>118</v>
      </c>
      <c r="G1449" t="s">
        <v>119</v>
      </c>
      <c r="H1449">
        <v>700</v>
      </c>
      <c r="I1449" t="s">
        <v>118</v>
      </c>
      <c r="J1449" t="s">
        <v>119</v>
      </c>
      <c r="K1449" t="s">
        <v>1603</v>
      </c>
      <c r="L1449">
        <v>1</v>
      </c>
      <c r="M1449">
        <v>1</v>
      </c>
    </row>
    <row r="1450" spans="1:13" x14ac:dyDescent="0.25">
      <c r="A1450">
        <v>4</v>
      </c>
      <c r="B1450">
        <v>9645137</v>
      </c>
      <c r="C1450">
        <v>6106</v>
      </c>
      <c r="D1450">
        <v>2</v>
      </c>
      <c r="E1450">
        <v>714</v>
      </c>
      <c r="F1450" t="s">
        <v>124</v>
      </c>
      <c r="G1450" t="s">
        <v>125</v>
      </c>
      <c r="H1450">
        <v>714</v>
      </c>
      <c r="I1450" t="s">
        <v>124</v>
      </c>
      <c r="J1450" t="s">
        <v>125</v>
      </c>
      <c r="K1450" t="s">
        <v>1604</v>
      </c>
      <c r="L1450">
        <v>1</v>
      </c>
      <c r="M1450">
        <v>1</v>
      </c>
    </row>
    <row r="1451" spans="1:13" x14ac:dyDescent="0.25">
      <c r="A1451">
        <v>4</v>
      </c>
      <c r="B1451">
        <v>9642139</v>
      </c>
      <c r="C1451">
        <v>6106</v>
      </c>
      <c r="D1451">
        <v>1</v>
      </c>
      <c r="E1451">
        <v>401</v>
      </c>
      <c r="F1451" t="s">
        <v>76</v>
      </c>
      <c r="G1451" t="s">
        <v>77</v>
      </c>
      <c r="H1451">
        <v>401</v>
      </c>
      <c r="I1451" t="s">
        <v>76</v>
      </c>
      <c r="J1451" t="s">
        <v>77</v>
      </c>
      <c r="K1451" t="s">
        <v>1605</v>
      </c>
      <c r="L1451">
        <v>1</v>
      </c>
      <c r="M1451">
        <v>1</v>
      </c>
    </row>
    <row r="1452" spans="1:13" x14ac:dyDescent="0.25">
      <c r="A1452">
        <v>8</v>
      </c>
      <c r="B1452">
        <v>9450545116</v>
      </c>
      <c r="C1452">
        <v>6107</v>
      </c>
      <c r="D1452">
        <v>6</v>
      </c>
      <c r="E1452">
        <v>632</v>
      </c>
      <c r="F1452" t="s">
        <v>102</v>
      </c>
      <c r="G1452" t="s">
        <v>103</v>
      </c>
      <c r="H1452">
        <v>632</v>
      </c>
      <c r="I1452" t="s">
        <v>102</v>
      </c>
      <c r="J1452" t="s">
        <v>103</v>
      </c>
      <c r="K1452" t="s">
        <v>616</v>
      </c>
      <c r="L1452">
        <v>1</v>
      </c>
      <c r="M1452">
        <v>1</v>
      </c>
    </row>
    <row r="1453" spans="1:13" x14ac:dyDescent="0.25">
      <c r="A1453">
        <v>8</v>
      </c>
      <c r="B1453">
        <v>9450545117</v>
      </c>
      <c r="C1453">
        <v>6107</v>
      </c>
      <c r="D1453">
        <v>4</v>
      </c>
      <c r="E1453">
        <v>735</v>
      </c>
      <c r="F1453" t="s">
        <v>126</v>
      </c>
      <c r="G1453" t="s">
        <v>127</v>
      </c>
      <c r="H1453">
        <v>735</v>
      </c>
      <c r="I1453" t="s">
        <v>126</v>
      </c>
      <c r="J1453" t="s">
        <v>127</v>
      </c>
      <c r="K1453" t="s">
        <v>835</v>
      </c>
      <c r="L1453">
        <v>1</v>
      </c>
      <c r="M1453">
        <v>1</v>
      </c>
    </row>
    <row r="1454" spans="1:13" x14ac:dyDescent="0.25">
      <c r="A1454">
        <v>8</v>
      </c>
      <c r="B1454">
        <v>9450545030</v>
      </c>
      <c r="C1454">
        <v>6107</v>
      </c>
      <c r="D1454">
        <v>2</v>
      </c>
      <c r="E1454">
        <v>711</v>
      </c>
      <c r="F1454" t="s">
        <v>232</v>
      </c>
      <c r="G1454" t="s">
        <v>233</v>
      </c>
      <c r="H1454">
        <v>711</v>
      </c>
      <c r="I1454" t="s">
        <v>232</v>
      </c>
      <c r="J1454" t="s">
        <v>233</v>
      </c>
      <c r="K1454" t="s">
        <v>1606</v>
      </c>
      <c r="L1454">
        <v>1</v>
      </c>
      <c r="M1454">
        <v>1</v>
      </c>
    </row>
    <row r="1455" spans="1:13" x14ac:dyDescent="0.25">
      <c r="A1455">
        <v>8</v>
      </c>
      <c r="B1455">
        <v>9450545071</v>
      </c>
      <c r="C1455">
        <v>6107</v>
      </c>
      <c r="D1455">
        <v>3</v>
      </c>
      <c r="E1455">
        <v>584</v>
      </c>
      <c r="F1455" t="s">
        <v>96</v>
      </c>
      <c r="G1455" t="s">
        <v>97</v>
      </c>
      <c r="H1455">
        <v>584</v>
      </c>
      <c r="I1455" t="s">
        <v>96</v>
      </c>
      <c r="J1455" t="s">
        <v>97</v>
      </c>
      <c r="K1455" t="s">
        <v>1607</v>
      </c>
      <c r="L1455">
        <v>1</v>
      </c>
      <c r="M1455">
        <v>1</v>
      </c>
    </row>
    <row r="1456" spans="1:13" x14ac:dyDescent="0.25">
      <c r="A1456">
        <v>8</v>
      </c>
      <c r="B1456">
        <v>9450545093</v>
      </c>
      <c r="C1456">
        <v>6107</v>
      </c>
      <c r="D1456">
        <v>1</v>
      </c>
      <c r="E1456">
        <v>181</v>
      </c>
      <c r="F1456" t="s">
        <v>164</v>
      </c>
      <c r="G1456" t="s">
        <v>165</v>
      </c>
      <c r="H1456">
        <v>181</v>
      </c>
      <c r="I1456" t="s">
        <v>164</v>
      </c>
      <c r="J1456" t="s">
        <v>165</v>
      </c>
      <c r="K1456" t="s">
        <v>1608</v>
      </c>
      <c r="L1456">
        <v>2</v>
      </c>
      <c r="M1456">
        <v>2</v>
      </c>
    </row>
    <row r="1457" spans="1:13" x14ac:dyDescent="0.25">
      <c r="A1457">
        <v>8</v>
      </c>
      <c r="B1457">
        <v>9450545111</v>
      </c>
      <c r="C1457">
        <v>6107</v>
      </c>
      <c r="D1457">
        <v>5</v>
      </c>
      <c r="E1457">
        <v>584</v>
      </c>
      <c r="F1457" t="s">
        <v>96</v>
      </c>
      <c r="G1457" t="s">
        <v>97</v>
      </c>
      <c r="H1457">
        <v>584</v>
      </c>
      <c r="I1457" t="s">
        <v>96</v>
      </c>
      <c r="J1457" t="s">
        <v>97</v>
      </c>
      <c r="K1457" t="s">
        <v>1607</v>
      </c>
      <c r="L1457">
        <v>1</v>
      </c>
      <c r="M1457">
        <v>1</v>
      </c>
    </row>
    <row r="1458" spans="1:13" x14ac:dyDescent="0.25">
      <c r="A1458">
        <v>6</v>
      </c>
      <c r="B1458">
        <v>953134</v>
      </c>
      <c r="C1458">
        <v>6108</v>
      </c>
      <c r="D1458">
        <v>11</v>
      </c>
      <c r="E1458">
        <v>382</v>
      </c>
      <c r="F1458" t="s">
        <v>533</v>
      </c>
      <c r="G1458" t="s">
        <v>534</v>
      </c>
      <c r="H1458">
        <v>382</v>
      </c>
      <c r="I1458" t="s">
        <v>533</v>
      </c>
      <c r="J1458" t="s">
        <v>534</v>
      </c>
      <c r="K1458" t="s">
        <v>1609</v>
      </c>
      <c r="L1458">
        <v>1</v>
      </c>
      <c r="M1458">
        <v>1</v>
      </c>
    </row>
    <row r="1459" spans="1:13" x14ac:dyDescent="0.25">
      <c r="A1459">
        <v>6</v>
      </c>
      <c r="B1459">
        <v>953168</v>
      </c>
      <c r="C1459">
        <v>6108</v>
      </c>
      <c r="D1459">
        <v>12</v>
      </c>
      <c r="E1459">
        <v>584</v>
      </c>
      <c r="F1459" t="s">
        <v>96</v>
      </c>
      <c r="G1459" t="s">
        <v>97</v>
      </c>
      <c r="H1459">
        <v>584</v>
      </c>
      <c r="I1459" t="s">
        <v>96</v>
      </c>
      <c r="J1459" t="s">
        <v>97</v>
      </c>
      <c r="K1459" t="s">
        <v>1610</v>
      </c>
      <c r="L1459">
        <v>1</v>
      </c>
      <c r="M1459">
        <v>1</v>
      </c>
    </row>
    <row r="1460" spans="1:13" x14ac:dyDescent="0.25">
      <c r="A1460">
        <v>6</v>
      </c>
      <c r="B1460">
        <v>953170</v>
      </c>
      <c r="C1460">
        <v>6108</v>
      </c>
      <c r="D1460">
        <v>13</v>
      </c>
      <c r="E1460">
        <v>451</v>
      </c>
      <c r="F1460" t="s">
        <v>1156</v>
      </c>
      <c r="G1460" t="s">
        <v>1157</v>
      </c>
      <c r="H1460">
        <v>451</v>
      </c>
      <c r="I1460" t="s">
        <v>1156</v>
      </c>
      <c r="J1460" t="s">
        <v>1157</v>
      </c>
      <c r="K1460" t="s">
        <v>1611</v>
      </c>
      <c r="L1460">
        <v>1</v>
      </c>
      <c r="M1460">
        <v>1</v>
      </c>
    </row>
    <row r="1461" spans="1:13" x14ac:dyDescent="0.25">
      <c r="A1461">
        <v>6</v>
      </c>
      <c r="B1461">
        <v>951564</v>
      </c>
      <c r="C1461">
        <v>6108</v>
      </c>
      <c r="D1461">
        <v>6</v>
      </c>
      <c r="E1461">
        <v>893</v>
      </c>
      <c r="F1461" t="s">
        <v>144</v>
      </c>
      <c r="G1461" t="s">
        <v>145</v>
      </c>
      <c r="H1461">
        <v>893</v>
      </c>
      <c r="I1461" t="s">
        <v>144</v>
      </c>
      <c r="J1461" t="s">
        <v>145</v>
      </c>
      <c r="K1461" t="s">
        <v>1612</v>
      </c>
      <c r="L1461">
        <v>1</v>
      </c>
      <c r="M1461">
        <v>1</v>
      </c>
    </row>
    <row r="1462" spans="1:13" x14ac:dyDescent="0.25">
      <c r="A1462">
        <v>6</v>
      </c>
      <c r="B1462">
        <v>952354</v>
      </c>
      <c r="C1462">
        <v>6108</v>
      </c>
      <c r="D1462">
        <v>7</v>
      </c>
      <c r="E1462">
        <v>179</v>
      </c>
      <c r="F1462" t="s">
        <v>66</v>
      </c>
      <c r="G1462" t="s">
        <v>67</v>
      </c>
      <c r="H1462">
        <v>179</v>
      </c>
      <c r="I1462" t="s">
        <v>66</v>
      </c>
      <c r="J1462" t="s">
        <v>67</v>
      </c>
      <c r="K1462" t="s">
        <v>1613</v>
      </c>
      <c r="L1462">
        <v>1</v>
      </c>
      <c r="M1462">
        <v>1</v>
      </c>
    </row>
    <row r="1463" spans="1:13" x14ac:dyDescent="0.25">
      <c r="A1463">
        <v>6</v>
      </c>
      <c r="B1463">
        <v>952523</v>
      </c>
      <c r="C1463">
        <v>6108</v>
      </c>
      <c r="D1463">
        <v>8</v>
      </c>
      <c r="E1463">
        <v>584</v>
      </c>
      <c r="F1463" t="s">
        <v>96</v>
      </c>
      <c r="G1463" t="s">
        <v>97</v>
      </c>
      <c r="H1463">
        <v>584</v>
      </c>
      <c r="I1463" t="s">
        <v>96</v>
      </c>
      <c r="J1463" t="s">
        <v>97</v>
      </c>
      <c r="K1463" t="s">
        <v>1614</v>
      </c>
      <c r="L1463">
        <v>1</v>
      </c>
      <c r="M1463">
        <v>1</v>
      </c>
    </row>
    <row r="1464" spans="1:13" x14ac:dyDescent="0.25">
      <c r="A1464">
        <v>6</v>
      </c>
      <c r="B1464">
        <v>952574</v>
      </c>
      <c r="C1464">
        <v>6108</v>
      </c>
      <c r="D1464">
        <v>9</v>
      </c>
      <c r="E1464">
        <v>534</v>
      </c>
      <c r="F1464" t="s">
        <v>94</v>
      </c>
      <c r="G1464" t="s">
        <v>95</v>
      </c>
      <c r="H1464">
        <v>534</v>
      </c>
      <c r="I1464" t="s">
        <v>94</v>
      </c>
      <c r="J1464" t="s">
        <v>95</v>
      </c>
      <c r="K1464" t="s">
        <v>1615</v>
      </c>
      <c r="L1464">
        <v>1</v>
      </c>
      <c r="M1464">
        <v>1</v>
      </c>
    </row>
    <row r="1465" spans="1:13" x14ac:dyDescent="0.25">
      <c r="A1465">
        <v>6</v>
      </c>
      <c r="B1465">
        <v>952688</v>
      </c>
      <c r="C1465">
        <v>6108</v>
      </c>
      <c r="D1465">
        <v>10</v>
      </c>
      <c r="E1465">
        <v>632</v>
      </c>
      <c r="F1465" t="s">
        <v>102</v>
      </c>
      <c r="G1465" t="s">
        <v>103</v>
      </c>
      <c r="H1465">
        <v>632</v>
      </c>
      <c r="I1465" t="s">
        <v>102</v>
      </c>
      <c r="J1465" t="s">
        <v>103</v>
      </c>
      <c r="K1465" t="s">
        <v>1616</v>
      </c>
      <c r="L1465">
        <v>1</v>
      </c>
      <c r="M1465">
        <v>1</v>
      </c>
    </row>
    <row r="1466" spans="1:13" x14ac:dyDescent="0.25">
      <c r="A1466">
        <v>6</v>
      </c>
      <c r="B1466">
        <v>950423</v>
      </c>
      <c r="C1466">
        <v>6108</v>
      </c>
      <c r="D1466">
        <v>1</v>
      </c>
      <c r="E1466">
        <v>872</v>
      </c>
      <c r="F1466" t="s">
        <v>1617</v>
      </c>
      <c r="G1466" t="s">
        <v>1618</v>
      </c>
      <c r="H1466">
        <v>872</v>
      </c>
      <c r="I1466" t="s">
        <v>1617</v>
      </c>
      <c r="J1466" t="s">
        <v>1618</v>
      </c>
      <c r="K1466" t="s">
        <v>1619</v>
      </c>
      <c r="L1466">
        <v>1</v>
      </c>
      <c r="M1466">
        <v>1</v>
      </c>
    </row>
    <row r="1467" spans="1:13" x14ac:dyDescent="0.25">
      <c r="A1467">
        <v>6</v>
      </c>
      <c r="B1467">
        <v>950838</v>
      </c>
      <c r="C1467">
        <v>6108</v>
      </c>
      <c r="D1467">
        <v>2</v>
      </c>
      <c r="E1467">
        <v>883</v>
      </c>
      <c r="F1467" t="s">
        <v>197</v>
      </c>
      <c r="G1467" t="s">
        <v>198</v>
      </c>
      <c r="H1467">
        <v>883</v>
      </c>
      <c r="I1467" t="s">
        <v>197</v>
      </c>
      <c r="J1467" t="s">
        <v>198</v>
      </c>
      <c r="K1467" t="s">
        <v>1620</v>
      </c>
      <c r="L1467">
        <v>1</v>
      </c>
      <c r="M1467">
        <v>1</v>
      </c>
    </row>
    <row r="1468" spans="1:13" x14ac:dyDescent="0.25">
      <c r="A1468">
        <v>6</v>
      </c>
      <c r="B1468">
        <v>950888</v>
      </c>
      <c r="C1468">
        <v>6108</v>
      </c>
      <c r="D1468">
        <v>3</v>
      </c>
      <c r="E1468">
        <v>402</v>
      </c>
      <c r="F1468" t="s">
        <v>168</v>
      </c>
      <c r="G1468" t="s">
        <v>169</v>
      </c>
      <c r="H1468">
        <v>402</v>
      </c>
      <c r="I1468" t="s">
        <v>168</v>
      </c>
      <c r="J1468" t="s">
        <v>169</v>
      </c>
      <c r="K1468" t="s">
        <v>1621</v>
      </c>
      <c r="L1468">
        <v>1</v>
      </c>
      <c r="M1468">
        <v>1</v>
      </c>
    </row>
    <row r="1469" spans="1:13" x14ac:dyDescent="0.25">
      <c r="A1469">
        <v>6</v>
      </c>
      <c r="B1469">
        <v>951359</v>
      </c>
      <c r="C1469">
        <v>6108</v>
      </c>
      <c r="D1469">
        <v>4</v>
      </c>
      <c r="E1469">
        <v>787</v>
      </c>
      <c r="F1469" t="s">
        <v>203</v>
      </c>
      <c r="G1469" t="s">
        <v>204</v>
      </c>
      <c r="H1469">
        <v>787</v>
      </c>
      <c r="I1469" t="s">
        <v>203</v>
      </c>
      <c r="J1469" t="s">
        <v>204</v>
      </c>
      <c r="K1469" t="s">
        <v>1622</v>
      </c>
      <c r="L1469">
        <v>1</v>
      </c>
      <c r="M1469">
        <v>1</v>
      </c>
    </row>
    <row r="1470" spans="1:13" x14ac:dyDescent="0.25">
      <c r="A1470">
        <v>6</v>
      </c>
      <c r="B1470">
        <v>951492</v>
      </c>
      <c r="C1470">
        <v>6108</v>
      </c>
      <c r="D1470">
        <v>5</v>
      </c>
      <c r="E1470">
        <v>489</v>
      </c>
      <c r="F1470" t="s">
        <v>257</v>
      </c>
      <c r="G1470" t="s">
        <v>258</v>
      </c>
      <c r="H1470">
        <v>489</v>
      </c>
      <c r="I1470" t="s">
        <v>257</v>
      </c>
      <c r="J1470" t="s">
        <v>258</v>
      </c>
      <c r="K1470" t="s">
        <v>1623</v>
      </c>
      <c r="L1470">
        <v>1</v>
      </c>
      <c r="M1470">
        <v>1</v>
      </c>
    </row>
    <row r="1471" spans="1:13" x14ac:dyDescent="0.25">
      <c r="A1471">
        <v>6</v>
      </c>
      <c r="B1471">
        <v>951973</v>
      </c>
      <c r="C1471">
        <v>6109</v>
      </c>
      <c r="D1471">
        <v>2</v>
      </c>
      <c r="E1471">
        <v>638</v>
      </c>
      <c r="F1471" t="s">
        <v>104</v>
      </c>
      <c r="G1471" t="s">
        <v>105</v>
      </c>
      <c r="H1471">
        <v>638</v>
      </c>
      <c r="I1471" t="s">
        <v>104</v>
      </c>
      <c r="J1471" t="s">
        <v>105</v>
      </c>
      <c r="K1471" t="s">
        <v>1624</v>
      </c>
      <c r="L1471">
        <v>1</v>
      </c>
      <c r="M1471">
        <v>1</v>
      </c>
    </row>
    <row r="1472" spans="1:13" x14ac:dyDescent="0.25">
      <c r="A1472">
        <v>6</v>
      </c>
      <c r="B1472">
        <v>950345</v>
      </c>
      <c r="C1472">
        <v>6109</v>
      </c>
      <c r="D1472">
        <v>1</v>
      </c>
      <c r="E1472">
        <v>871</v>
      </c>
      <c r="F1472" t="s">
        <v>637</v>
      </c>
      <c r="G1472" t="s">
        <v>638</v>
      </c>
      <c r="H1472">
        <v>871</v>
      </c>
      <c r="I1472" t="s">
        <v>637</v>
      </c>
      <c r="J1472" t="s">
        <v>638</v>
      </c>
      <c r="K1472" t="s">
        <v>1625</v>
      </c>
      <c r="L1472">
        <v>1</v>
      </c>
      <c r="M1472">
        <v>1</v>
      </c>
    </row>
    <row r="1473" spans="1:13" x14ac:dyDescent="0.25">
      <c r="A1473">
        <v>9</v>
      </c>
      <c r="B1473">
        <v>9194172</v>
      </c>
      <c r="C1473">
        <v>6110</v>
      </c>
      <c r="D1473">
        <v>1</v>
      </c>
      <c r="E1473">
        <v>905</v>
      </c>
      <c r="F1473" t="s">
        <v>146</v>
      </c>
      <c r="G1473" t="s">
        <v>147</v>
      </c>
      <c r="H1473">
        <v>905</v>
      </c>
      <c r="I1473" t="s">
        <v>146</v>
      </c>
      <c r="J1473" t="s">
        <v>147</v>
      </c>
      <c r="K1473" t="s">
        <v>1626</v>
      </c>
      <c r="L1473">
        <v>1</v>
      </c>
      <c r="M1473">
        <v>1</v>
      </c>
    </row>
    <row r="1474" spans="1:13" x14ac:dyDescent="0.25">
      <c r="A1474">
        <v>9</v>
      </c>
      <c r="B1474">
        <v>9194705</v>
      </c>
      <c r="C1474">
        <v>6111</v>
      </c>
      <c r="D1474">
        <v>1</v>
      </c>
      <c r="E1474">
        <v>905</v>
      </c>
      <c r="F1474" t="s">
        <v>146</v>
      </c>
      <c r="G1474" t="s">
        <v>147</v>
      </c>
      <c r="H1474">
        <v>905</v>
      </c>
      <c r="I1474" t="s">
        <v>146</v>
      </c>
      <c r="J1474" t="s">
        <v>147</v>
      </c>
      <c r="K1474" t="s">
        <v>1627</v>
      </c>
      <c r="L1474">
        <v>1</v>
      </c>
      <c r="M1474">
        <v>1</v>
      </c>
    </row>
    <row r="1475" spans="1:13" x14ac:dyDescent="0.25">
      <c r="A1475">
        <v>9</v>
      </c>
      <c r="B1475">
        <v>9194606</v>
      </c>
      <c r="C1475">
        <v>6112</v>
      </c>
      <c r="D1475">
        <v>14</v>
      </c>
      <c r="E1475">
        <v>13</v>
      </c>
      <c r="F1475" t="s">
        <v>62</v>
      </c>
      <c r="G1475" t="s">
        <v>63</v>
      </c>
      <c r="H1475">
        <v>13</v>
      </c>
      <c r="I1475" t="s">
        <v>62</v>
      </c>
      <c r="J1475" t="s">
        <v>63</v>
      </c>
      <c r="K1475" t="s">
        <v>1628</v>
      </c>
      <c r="L1475">
        <v>1</v>
      </c>
      <c r="M1475">
        <v>1</v>
      </c>
    </row>
    <row r="1476" spans="1:13" x14ac:dyDescent="0.25">
      <c r="A1476">
        <v>9</v>
      </c>
      <c r="B1476">
        <v>9194606</v>
      </c>
      <c r="C1476">
        <v>6112</v>
      </c>
      <c r="D1476">
        <v>15</v>
      </c>
      <c r="E1476">
        <v>179</v>
      </c>
      <c r="F1476" t="s">
        <v>66</v>
      </c>
      <c r="G1476" t="s">
        <v>67</v>
      </c>
      <c r="H1476">
        <v>179</v>
      </c>
      <c r="I1476" t="s">
        <v>66</v>
      </c>
      <c r="J1476" t="s">
        <v>67</v>
      </c>
      <c r="K1476" t="s">
        <v>1629</v>
      </c>
      <c r="L1476">
        <v>1</v>
      </c>
      <c r="M1476">
        <v>1</v>
      </c>
    </row>
    <row r="1477" spans="1:13" x14ac:dyDescent="0.25">
      <c r="A1477">
        <v>9</v>
      </c>
      <c r="B1477">
        <v>9194606</v>
      </c>
      <c r="C1477">
        <v>6112</v>
      </c>
      <c r="D1477">
        <v>16</v>
      </c>
      <c r="E1477">
        <v>638</v>
      </c>
      <c r="F1477" t="s">
        <v>104</v>
      </c>
      <c r="G1477" t="s">
        <v>105</v>
      </c>
      <c r="H1477">
        <v>638</v>
      </c>
      <c r="I1477" t="s">
        <v>104</v>
      </c>
      <c r="J1477" t="s">
        <v>105</v>
      </c>
      <c r="K1477" t="s">
        <v>1630</v>
      </c>
      <c r="L1477">
        <v>1</v>
      </c>
      <c r="M1477">
        <v>1</v>
      </c>
    </row>
    <row r="1478" spans="1:13" x14ac:dyDescent="0.25">
      <c r="A1478">
        <v>9</v>
      </c>
      <c r="B1478">
        <v>9194606</v>
      </c>
      <c r="C1478">
        <v>6112</v>
      </c>
      <c r="D1478">
        <v>17</v>
      </c>
      <c r="E1478">
        <v>756</v>
      </c>
      <c r="F1478" t="s">
        <v>759</v>
      </c>
      <c r="G1478" t="s">
        <v>760</v>
      </c>
      <c r="H1478">
        <v>756</v>
      </c>
      <c r="I1478" t="s">
        <v>759</v>
      </c>
      <c r="J1478" t="s">
        <v>760</v>
      </c>
      <c r="K1478" t="s">
        <v>1631</v>
      </c>
      <c r="L1478">
        <v>1</v>
      </c>
      <c r="M1478">
        <v>1</v>
      </c>
    </row>
    <row r="1479" spans="1:13" x14ac:dyDescent="0.25">
      <c r="A1479">
        <v>9</v>
      </c>
      <c r="B1479">
        <v>9194606</v>
      </c>
      <c r="C1479">
        <v>6112</v>
      </c>
      <c r="D1479">
        <v>18</v>
      </c>
      <c r="E1479">
        <v>970</v>
      </c>
      <c r="F1479" t="s">
        <v>436</v>
      </c>
      <c r="G1479" t="s">
        <v>437</v>
      </c>
      <c r="H1479">
        <v>506</v>
      </c>
      <c r="I1479" t="s">
        <v>92</v>
      </c>
      <c r="J1479" t="s">
        <v>93</v>
      </c>
      <c r="K1479" t="s">
        <v>1632</v>
      </c>
      <c r="L1479">
        <v>1</v>
      </c>
      <c r="M1479">
        <v>1</v>
      </c>
    </row>
    <row r="1480" spans="1:13" x14ac:dyDescent="0.25">
      <c r="A1480">
        <v>9</v>
      </c>
      <c r="B1480">
        <v>9194606</v>
      </c>
      <c r="C1480">
        <v>6112</v>
      </c>
      <c r="D1480">
        <v>19</v>
      </c>
      <c r="E1480">
        <v>970</v>
      </c>
      <c r="F1480" t="s">
        <v>436</v>
      </c>
      <c r="G1480" t="s">
        <v>437</v>
      </c>
      <c r="H1480">
        <v>506</v>
      </c>
      <c r="I1480" t="s">
        <v>92</v>
      </c>
      <c r="J1480" t="s">
        <v>93</v>
      </c>
      <c r="K1480" t="s">
        <v>1633</v>
      </c>
      <c r="L1480">
        <v>1</v>
      </c>
      <c r="M1480">
        <v>1</v>
      </c>
    </row>
    <row r="1481" spans="1:13" x14ac:dyDescent="0.25">
      <c r="A1481">
        <v>9</v>
      </c>
      <c r="B1481">
        <v>9194652</v>
      </c>
      <c r="C1481">
        <v>6112</v>
      </c>
      <c r="D1481">
        <v>20</v>
      </c>
      <c r="E1481">
        <v>970</v>
      </c>
      <c r="F1481" t="s">
        <v>436</v>
      </c>
      <c r="G1481" t="s">
        <v>437</v>
      </c>
      <c r="H1481">
        <v>506</v>
      </c>
      <c r="I1481" t="s">
        <v>92</v>
      </c>
      <c r="J1481" t="s">
        <v>93</v>
      </c>
      <c r="K1481" t="s">
        <v>1634</v>
      </c>
      <c r="L1481">
        <v>1</v>
      </c>
      <c r="M1481">
        <v>1</v>
      </c>
    </row>
    <row r="1482" spans="1:13" x14ac:dyDescent="0.25">
      <c r="A1482">
        <v>9</v>
      </c>
      <c r="B1482">
        <v>9194652</v>
      </c>
      <c r="C1482">
        <v>6112</v>
      </c>
      <c r="D1482">
        <v>21</v>
      </c>
      <c r="E1482">
        <v>970</v>
      </c>
      <c r="F1482" t="s">
        <v>436</v>
      </c>
      <c r="G1482" t="s">
        <v>437</v>
      </c>
      <c r="H1482">
        <v>506</v>
      </c>
      <c r="I1482" t="s">
        <v>92</v>
      </c>
      <c r="J1482" t="s">
        <v>93</v>
      </c>
      <c r="K1482" t="s">
        <v>1635</v>
      </c>
      <c r="L1482">
        <v>1</v>
      </c>
      <c r="M1482">
        <v>1</v>
      </c>
    </row>
    <row r="1483" spans="1:13" x14ac:dyDescent="0.25">
      <c r="A1483">
        <v>9</v>
      </c>
      <c r="B1483">
        <v>9194705</v>
      </c>
      <c r="C1483">
        <v>6112</v>
      </c>
      <c r="D1483">
        <v>22</v>
      </c>
      <c r="E1483">
        <v>639</v>
      </c>
      <c r="F1483" t="s">
        <v>106</v>
      </c>
      <c r="G1483" t="s">
        <v>107</v>
      </c>
      <c r="H1483">
        <v>639</v>
      </c>
      <c r="I1483" t="s">
        <v>106</v>
      </c>
      <c r="J1483" t="s">
        <v>107</v>
      </c>
      <c r="K1483" t="s">
        <v>1636</v>
      </c>
      <c r="L1483">
        <v>1</v>
      </c>
      <c r="M1483">
        <v>1</v>
      </c>
    </row>
    <row r="1484" spans="1:13" x14ac:dyDescent="0.25">
      <c r="A1484">
        <v>9</v>
      </c>
      <c r="B1484">
        <v>9194705</v>
      </c>
      <c r="C1484">
        <v>6112</v>
      </c>
      <c r="D1484">
        <v>23</v>
      </c>
      <c r="E1484">
        <v>905</v>
      </c>
      <c r="F1484" t="s">
        <v>146</v>
      </c>
      <c r="G1484" t="s">
        <v>147</v>
      </c>
      <c r="H1484">
        <v>905</v>
      </c>
      <c r="I1484" t="s">
        <v>146</v>
      </c>
      <c r="J1484" t="s">
        <v>147</v>
      </c>
      <c r="K1484" t="s">
        <v>1637</v>
      </c>
      <c r="L1484">
        <v>1</v>
      </c>
      <c r="M1484">
        <v>1</v>
      </c>
    </row>
    <row r="1485" spans="1:13" x14ac:dyDescent="0.25">
      <c r="A1485">
        <v>9</v>
      </c>
      <c r="B1485">
        <v>9194705</v>
      </c>
      <c r="C1485">
        <v>6112</v>
      </c>
      <c r="D1485">
        <v>24</v>
      </c>
      <c r="E1485">
        <v>970</v>
      </c>
      <c r="F1485" t="s">
        <v>436</v>
      </c>
      <c r="G1485" t="s">
        <v>437</v>
      </c>
      <c r="H1485">
        <v>506</v>
      </c>
      <c r="I1485" t="s">
        <v>92</v>
      </c>
      <c r="J1485" t="s">
        <v>93</v>
      </c>
      <c r="K1485" t="s">
        <v>1638</v>
      </c>
      <c r="L1485">
        <v>1</v>
      </c>
      <c r="M1485">
        <v>1</v>
      </c>
    </row>
    <row r="1486" spans="1:13" x14ac:dyDescent="0.25">
      <c r="A1486">
        <v>5</v>
      </c>
      <c r="B1486">
        <v>6504032109</v>
      </c>
      <c r="C1486">
        <v>6164</v>
      </c>
      <c r="D1486">
        <v>17</v>
      </c>
      <c r="E1486">
        <v>505</v>
      </c>
      <c r="F1486" t="s">
        <v>294</v>
      </c>
      <c r="G1486" t="s">
        <v>295</v>
      </c>
      <c r="H1486">
        <v>505</v>
      </c>
      <c r="I1486" t="s">
        <v>294</v>
      </c>
      <c r="J1486" t="s">
        <v>295</v>
      </c>
      <c r="K1486" t="s">
        <v>49</v>
      </c>
      <c r="L1486">
        <v>5</v>
      </c>
      <c r="M1486">
        <v>0</v>
      </c>
    </row>
    <row r="1487" spans="1:13" x14ac:dyDescent="0.25">
      <c r="A1487">
        <v>5</v>
      </c>
      <c r="B1487">
        <v>6504032109</v>
      </c>
      <c r="C1487">
        <v>6164</v>
      </c>
      <c r="D1487">
        <v>18</v>
      </c>
      <c r="E1487">
        <v>43</v>
      </c>
      <c r="F1487" t="s">
        <v>271</v>
      </c>
      <c r="G1487" t="s">
        <v>272</v>
      </c>
      <c r="H1487">
        <v>43</v>
      </c>
      <c r="I1487" t="s">
        <v>271</v>
      </c>
      <c r="J1487" t="s">
        <v>272</v>
      </c>
      <c r="K1487" t="s">
        <v>49</v>
      </c>
      <c r="L1487">
        <v>10</v>
      </c>
      <c r="M1487">
        <v>10</v>
      </c>
    </row>
    <row r="1488" spans="1:13" x14ac:dyDescent="0.25">
      <c r="A1488">
        <v>5</v>
      </c>
      <c r="B1488">
        <v>6504032109</v>
      </c>
      <c r="C1488">
        <v>6164</v>
      </c>
      <c r="D1488">
        <v>19</v>
      </c>
      <c r="E1488">
        <v>919</v>
      </c>
      <c r="F1488" t="s">
        <v>287</v>
      </c>
      <c r="G1488" t="s">
        <v>288</v>
      </c>
      <c r="H1488">
        <v>919</v>
      </c>
      <c r="I1488" t="s">
        <v>287</v>
      </c>
      <c r="J1488" t="s">
        <v>288</v>
      </c>
      <c r="K1488" t="s">
        <v>49</v>
      </c>
      <c r="L1488">
        <v>10</v>
      </c>
      <c r="M1488">
        <v>10</v>
      </c>
    </row>
    <row r="1489" spans="1:13" x14ac:dyDescent="0.25">
      <c r="A1489">
        <v>5</v>
      </c>
      <c r="B1489">
        <v>6504032109</v>
      </c>
      <c r="C1489">
        <v>6164</v>
      </c>
      <c r="D1489">
        <v>20</v>
      </c>
      <c r="E1489">
        <v>919</v>
      </c>
      <c r="F1489" t="s">
        <v>287</v>
      </c>
      <c r="G1489" t="s">
        <v>288</v>
      </c>
      <c r="H1489">
        <v>919</v>
      </c>
      <c r="I1489" t="s">
        <v>287</v>
      </c>
      <c r="J1489" t="s">
        <v>288</v>
      </c>
      <c r="K1489" t="s">
        <v>49</v>
      </c>
      <c r="L1489">
        <v>10</v>
      </c>
      <c r="M1489">
        <v>10</v>
      </c>
    </row>
    <row r="1490" spans="1:13" x14ac:dyDescent="0.25">
      <c r="A1490">
        <v>24</v>
      </c>
      <c r="B1490">
        <v>5102644</v>
      </c>
      <c r="C1490">
        <v>6165</v>
      </c>
      <c r="D1490">
        <v>6</v>
      </c>
      <c r="E1490">
        <v>813</v>
      </c>
      <c r="F1490" t="s">
        <v>345</v>
      </c>
      <c r="G1490" t="s">
        <v>346</v>
      </c>
      <c r="H1490">
        <v>813</v>
      </c>
      <c r="I1490" t="s">
        <v>345</v>
      </c>
      <c r="J1490" t="s">
        <v>346</v>
      </c>
      <c r="K1490" t="s">
        <v>1639</v>
      </c>
      <c r="L1490">
        <v>1</v>
      </c>
      <c r="M1490">
        <v>1</v>
      </c>
    </row>
    <row r="1491" spans="1:13" x14ac:dyDescent="0.25">
      <c r="A1491">
        <v>24</v>
      </c>
      <c r="B1491">
        <v>5102671</v>
      </c>
      <c r="C1491">
        <v>6165</v>
      </c>
      <c r="D1491">
        <v>7</v>
      </c>
      <c r="E1491">
        <v>641</v>
      </c>
      <c r="F1491" t="s">
        <v>108</v>
      </c>
      <c r="G1491" t="s">
        <v>109</v>
      </c>
      <c r="H1491">
        <v>641</v>
      </c>
      <c r="I1491" t="s">
        <v>108</v>
      </c>
      <c r="J1491" t="s">
        <v>109</v>
      </c>
      <c r="K1491" t="s">
        <v>1640</v>
      </c>
      <c r="L1491">
        <v>1</v>
      </c>
      <c r="M1491">
        <v>1</v>
      </c>
    </row>
    <row r="1492" spans="1:13" x14ac:dyDescent="0.25">
      <c r="A1492">
        <v>24</v>
      </c>
      <c r="B1492">
        <v>5102384</v>
      </c>
      <c r="C1492">
        <v>6165</v>
      </c>
      <c r="D1492">
        <v>1</v>
      </c>
      <c r="E1492">
        <v>792</v>
      </c>
      <c r="F1492" t="s">
        <v>318</v>
      </c>
      <c r="G1492" t="s">
        <v>319</v>
      </c>
      <c r="H1492">
        <v>792</v>
      </c>
      <c r="I1492" t="s">
        <v>318</v>
      </c>
      <c r="J1492" t="s">
        <v>319</v>
      </c>
      <c r="K1492" t="s">
        <v>1641</v>
      </c>
      <c r="L1492">
        <v>1</v>
      </c>
      <c r="M1492">
        <v>1</v>
      </c>
    </row>
    <row r="1493" spans="1:13" x14ac:dyDescent="0.25">
      <c r="A1493">
        <v>24</v>
      </c>
      <c r="B1493">
        <v>5102386</v>
      </c>
      <c r="C1493">
        <v>6165</v>
      </c>
      <c r="D1493">
        <v>2</v>
      </c>
      <c r="E1493">
        <v>813</v>
      </c>
      <c r="F1493" t="s">
        <v>345</v>
      </c>
      <c r="G1493" t="s">
        <v>346</v>
      </c>
      <c r="H1493">
        <v>813</v>
      </c>
      <c r="I1493" t="s">
        <v>345</v>
      </c>
      <c r="J1493" t="s">
        <v>346</v>
      </c>
      <c r="K1493" t="s">
        <v>1642</v>
      </c>
      <c r="L1493">
        <v>1</v>
      </c>
      <c r="M1493">
        <v>1</v>
      </c>
    </row>
    <row r="1494" spans="1:13" x14ac:dyDescent="0.25">
      <c r="A1494">
        <v>24</v>
      </c>
      <c r="B1494">
        <v>5102503</v>
      </c>
      <c r="C1494">
        <v>6165</v>
      </c>
      <c r="D1494">
        <v>3</v>
      </c>
      <c r="E1494">
        <v>970</v>
      </c>
      <c r="F1494" t="s">
        <v>436</v>
      </c>
      <c r="G1494" t="s">
        <v>437</v>
      </c>
      <c r="H1494">
        <v>506</v>
      </c>
      <c r="I1494" t="s">
        <v>92</v>
      </c>
      <c r="J1494" t="s">
        <v>93</v>
      </c>
      <c r="K1494" t="s">
        <v>1643</v>
      </c>
      <c r="L1494">
        <v>1</v>
      </c>
      <c r="M1494">
        <v>1</v>
      </c>
    </row>
    <row r="1495" spans="1:13" x14ac:dyDescent="0.25">
      <c r="A1495">
        <v>24</v>
      </c>
      <c r="B1495">
        <v>5102601</v>
      </c>
      <c r="C1495">
        <v>6165</v>
      </c>
      <c r="D1495">
        <v>4</v>
      </c>
      <c r="E1495">
        <v>813</v>
      </c>
      <c r="F1495" t="s">
        <v>345</v>
      </c>
      <c r="G1495" t="s">
        <v>346</v>
      </c>
      <c r="H1495">
        <v>813</v>
      </c>
      <c r="I1495" t="s">
        <v>345</v>
      </c>
      <c r="J1495" t="s">
        <v>346</v>
      </c>
      <c r="K1495" t="s">
        <v>1644</v>
      </c>
      <c r="L1495">
        <v>1</v>
      </c>
      <c r="M1495">
        <v>1</v>
      </c>
    </row>
    <row r="1496" spans="1:13" x14ac:dyDescent="0.25">
      <c r="A1496">
        <v>24</v>
      </c>
      <c r="B1496">
        <v>5102640</v>
      </c>
      <c r="C1496">
        <v>6165</v>
      </c>
      <c r="D1496">
        <v>5</v>
      </c>
      <c r="E1496">
        <v>584</v>
      </c>
      <c r="F1496" t="s">
        <v>96</v>
      </c>
      <c r="G1496" t="s">
        <v>97</v>
      </c>
      <c r="H1496">
        <v>584</v>
      </c>
      <c r="I1496" t="s">
        <v>96</v>
      </c>
      <c r="J1496" t="s">
        <v>97</v>
      </c>
      <c r="K1496" t="s">
        <v>1645</v>
      </c>
      <c r="L1496">
        <v>1</v>
      </c>
      <c r="M1496">
        <v>1</v>
      </c>
    </row>
    <row r="1497" spans="1:13" x14ac:dyDescent="0.25">
      <c r="A1497">
        <v>5</v>
      </c>
      <c r="B1497">
        <v>6504031433</v>
      </c>
      <c r="C1497">
        <v>6166</v>
      </c>
      <c r="D1497">
        <v>1</v>
      </c>
      <c r="E1497">
        <v>13</v>
      </c>
      <c r="F1497" t="s">
        <v>62</v>
      </c>
      <c r="G1497" t="s">
        <v>63</v>
      </c>
      <c r="H1497">
        <v>13</v>
      </c>
      <c r="I1497" t="s">
        <v>62</v>
      </c>
      <c r="J1497" t="s">
        <v>63</v>
      </c>
      <c r="K1497" t="s">
        <v>49</v>
      </c>
      <c r="L1497">
        <v>1</v>
      </c>
      <c r="M1497">
        <v>1</v>
      </c>
    </row>
    <row r="1498" spans="1:13" x14ac:dyDescent="0.25">
      <c r="A1498">
        <v>3</v>
      </c>
      <c r="B1498">
        <v>50051990</v>
      </c>
      <c r="C1498">
        <v>6167</v>
      </c>
      <c r="D1498">
        <v>1</v>
      </c>
      <c r="E1498">
        <v>666</v>
      </c>
      <c r="F1498" t="s">
        <v>1646</v>
      </c>
      <c r="G1498" t="s">
        <v>1647</v>
      </c>
      <c r="H1498">
        <v>666</v>
      </c>
      <c r="I1498" t="s">
        <v>1646</v>
      </c>
      <c r="J1498" t="s">
        <v>1647</v>
      </c>
      <c r="K1498" t="s">
        <v>1648</v>
      </c>
      <c r="L1498">
        <v>1</v>
      </c>
      <c r="M1498">
        <v>1</v>
      </c>
    </row>
    <row r="1499" spans="1:13" x14ac:dyDescent="0.25">
      <c r="A1499">
        <v>3</v>
      </c>
      <c r="B1499">
        <v>50051990</v>
      </c>
      <c r="C1499">
        <v>6167</v>
      </c>
      <c r="D1499">
        <v>2</v>
      </c>
      <c r="E1499">
        <v>824</v>
      </c>
      <c r="F1499" t="s">
        <v>134</v>
      </c>
      <c r="G1499" t="s">
        <v>135</v>
      </c>
      <c r="H1499">
        <v>824</v>
      </c>
      <c r="I1499" t="s">
        <v>134</v>
      </c>
      <c r="J1499" t="s">
        <v>135</v>
      </c>
      <c r="K1499" t="s">
        <v>1649</v>
      </c>
      <c r="L1499">
        <v>1</v>
      </c>
      <c r="M1499">
        <v>1</v>
      </c>
    </row>
    <row r="1500" spans="1:13" x14ac:dyDescent="0.25">
      <c r="A1500">
        <v>3</v>
      </c>
      <c r="B1500">
        <v>50051990</v>
      </c>
      <c r="C1500">
        <v>6167</v>
      </c>
      <c r="D1500">
        <v>9</v>
      </c>
      <c r="E1500">
        <v>970</v>
      </c>
      <c r="F1500" t="s">
        <v>436</v>
      </c>
      <c r="G1500" t="s">
        <v>437</v>
      </c>
      <c r="H1500">
        <v>506</v>
      </c>
      <c r="I1500" t="s">
        <v>92</v>
      </c>
      <c r="J1500" t="s">
        <v>93</v>
      </c>
      <c r="K1500" t="s">
        <v>1650</v>
      </c>
      <c r="L1500">
        <v>1</v>
      </c>
      <c r="M1500">
        <v>1</v>
      </c>
    </row>
    <row r="1501" spans="1:13" x14ac:dyDescent="0.25">
      <c r="A1501">
        <v>3</v>
      </c>
      <c r="B1501">
        <v>50051991</v>
      </c>
      <c r="C1501">
        <v>6167</v>
      </c>
      <c r="D1501">
        <v>3</v>
      </c>
      <c r="E1501">
        <v>970</v>
      </c>
      <c r="F1501" t="s">
        <v>436</v>
      </c>
      <c r="G1501" t="s">
        <v>437</v>
      </c>
      <c r="H1501">
        <v>506</v>
      </c>
      <c r="I1501" t="s">
        <v>92</v>
      </c>
      <c r="J1501" t="s">
        <v>93</v>
      </c>
      <c r="K1501" t="s">
        <v>1651</v>
      </c>
      <c r="L1501">
        <v>1</v>
      </c>
      <c r="M1501">
        <v>1</v>
      </c>
    </row>
    <row r="1502" spans="1:13" x14ac:dyDescent="0.25">
      <c r="A1502">
        <v>3</v>
      </c>
      <c r="B1502">
        <v>50051991</v>
      </c>
      <c r="C1502">
        <v>6167</v>
      </c>
      <c r="D1502">
        <v>4</v>
      </c>
      <c r="E1502">
        <v>970</v>
      </c>
      <c r="F1502" t="s">
        <v>436</v>
      </c>
      <c r="G1502" t="s">
        <v>437</v>
      </c>
      <c r="H1502">
        <v>506</v>
      </c>
      <c r="I1502" t="s">
        <v>92</v>
      </c>
      <c r="J1502" t="s">
        <v>93</v>
      </c>
      <c r="K1502" t="s">
        <v>1652</v>
      </c>
      <c r="L1502">
        <v>1</v>
      </c>
      <c r="M1502">
        <v>1</v>
      </c>
    </row>
    <row r="1503" spans="1:13" x14ac:dyDescent="0.25">
      <c r="A1503">
        <v>3</v>
      </c>
      <c r="B1503">
        <v>50051991</v>
      </c>
      <c r="C1503">
        <v>6167</v>
      </c>
      <c r="D1503">
        <v>5</v>
      </c>
      <c r="E1503">
        <v>638</v>
      </c>
      <c r="F1503" t="s">
        <v>104</v>
      </c>
      <c r="G1503" t="s">
        <v>105</v>
      </c>
      <c r="H1503">
        <v>638</v>
      </c>
      <c r="I1503" t="s">
        <v>104</v>
      </c>
      <c r="J1503" t="s">
        <v>105</v>
      </c>
      <c r="K1503" t="s">
        <v>1653</v>
      </c>
      <c r="L1503">
        <v>1</v>
      </c>
      <c r="M1503">
        <v>1</v>
      </c>
    </row>
    <row r="1504" spans="1:13" x14ac:dyDescent="0.25">
      <c r="A1504">
        <v>3</v>
      </c>
      <c r="B1504">
        <v>50051991</v>
      </c>
      <c r="C1504">
        <v>6167</v>
      </c>
      <c r="D1504">
        <v>6</v>
      </c>
      <c r="E1504">
        <v>821</v>
      </c>
      <c r="F1504" t="s">
        <v>132</v>
      </c>
      <c r="G1504" t="s">
        <v>133</v>
      </c>
      <c r="H1504">
        <v>821</v>
      </c>
      <c r="I1504" t="s">
        <v>132</v>
      </c>
      <c r="J1504" t="s">
        <v>133</v>
      </c>
      <c r="K1504" t="s">
        <v>1654</v>
      </c>
      <c r="L1504">
        <v>1</v>
      </c>
      <c r="M1504">
        <v>1</v>
      </c>
    </row>
    <row r="1505" spans="1:13" x14ac:dyDescent="0.25">
      <c r="A1505">
        <v>3</v>
      </c>
      <c r="B1505">
        <v>50051991</v>
      </c>
      <c r="C1505">
        <v>6167</v>
      </c>
      <c r="D1505">
        <v>7</v>
      </c>
      <c r="E1505">
        <v>674</v>
      </c>
      <c r="F1505" t="s">
        <v>112</v>
      </c>
      <c r="G1505" t="s">
        <v>113</v>
      </c>
      <c r="H1505">
        <v>674</v>
      </c>
      <c r="I1505" t="s">
        <v>112</v>
      </c>
      <c r="J1505" t="s">
        <v>113</v>
      </c>
      <c r="K1505" t="s">
        <v>1655</v>
      </c>
      <c r="L1505">
        <v>1</v>
      </c>
      <c r="M1505">
        <v>1</v>
      </c>
    </row>
    <row r="1506" spans="1:13" x14ac:dyDescent="0.25">
      <c r="A1506">
        <v>3</v>
      </c>
      <c r="B1506">
        <v>50051991</v>
      </c>
      <c r="C1506">
        <v>6167</v>
      </c>
      <c r="D1506">
        <v>8</v>
      </c>
      <c r="E1506">
        <v>707</v>
      </c>
      <c r="F1506" t="s">
        <v>471</v>
      </c>
      <c r="G1506" t="s">
        <v>472</v>
      </c>
      <c r="H1506">
        <v>707</v>
      </c>
      <c r="I1506" t="s">
        <v>471</v>
      </c>
      <c r="J1506" t="s">
        <v>472</v>
      </c>
      <c r="K1506" t="s">
        <v>1656</v>
      </c>
      <c r="L1506">
        <v>1</v>
      </c>
      <c r="M1506">
        <v>1</v>
      </c>
    </row>
    <row r="1507" spans="1:13" x14ac:dyDescent="0.25">
      <c r="A1507">
        <v>3</v>
      </c>
      <c r="B1507">
        <v>50051991</v>
      </c>
      <c r="C1507">
        <v>6167</v>
      </c>
      <c r="D1507">
        <v>10</v>
      </c>
      <c r="E1507">
        <v>821</v>
      </c>
      <c r="F1507" t="s">
        <v>132</v>
      </c>
      <c r="G1507" t="s">
        <v>133</v>
      </c>
      <c r="H1507">
        <v>821</v>
      </c>
      <c r="I1507" t="s">
        <v>132</v>
      </c>
      <c r="J1507" t="s">
        <v>133</v>
      </c>
      <c r="K1507" t="s">
        <v>1657</v>
      </c>
      <c r="L1507">
        <v>1</v>
      </c>
      <c r="M1507">
        <v>1</v>
      </c>
    </row>
    <row r="1508" spans="1:13" x14ac:dyDescent="0.25">
      <c r="A1508">
        <v>6</v>
      </c>
      <c r="B1508">
        <v>953321</v>
      </c>
      <c r="C1508">
        <v>6168</v>
      </c>
      <c r="D1508">
        <v>1</v>
      </c>
      <c r="E1508">
        <v>639</v>
      </c>
      <c r="F1508" t="s">
        <v>106</v>
      </c>
      <c r="G1508" t="s">
        <v>107</v>
      </c>
      <c r="H1508">
        <v>639</v>
      </c>
      <c r="I1508" t="s">
        <v>106</v>
      </c>
      <c r="J1508" t="s">
        <v>107</v>
      </c>
      <c r="K1508" t="s">
        <v>159</v>
      </c>
      <c r="L1508">
        <v>1</v>
      </c>
      <c r="M1508">
        <v>1</v>
      </c>
    </row>
    <row r="1509" spans="1:13" x14ac:dyDescent="0.25">
      <c r="A1509">
        <v>4</v>
      </c>
      <c r="B1509">
        <v>9660055</v>
      </c>
      <c r="C1509">
        <v>6169</v>
      </c>
      <c r="D1509">
        <v>3</v>
      </c>
      <c r="E1509">
        <v>400</v>
      </c>
      <c r="F1509" t="s">
        <v>74</v>
      </c>
      <c r="G1509" t="s">
        <v>75</v>
      </c>
      <c r="H1509">
        <v>400</v>
      </c>
      <c r="I1509" t="s">
        <v>74</v>
      </c>
      <c r="J1509" t="s">
        <v>75</v>
      </c>
      <c r="K1509" t="s">
        <v>1658</v>
      </c>
      <c r="L1509">
        <v>1</v>
      </c>
      <c r="M1509">
        <v>1</v>
      </c>
    </row>
    <row r="1510" spans="1:13" x14ac:dyDescent="0.25">
      <c r="A1510">
        <v>4</v>
      </c>
      <c r="B1510">
        <v>9660235</v>
      </c>
      <c r="C1510">
        <v>6169</v>
      </c>
      <c r="D1510">
        <v>4</v>
      </c>
      <c r="E1510">
        <v>567</v>
      </c>
      <c r="F1510" t="s">
        <v>938</v>
      </c>
      <c r="G1510" t="s">
        <v>939</v>
      </c>
      <c r="H1510">
        <v>567</v>
      </c>
      <c r="I1510" t="s">
        <v>938</v>
      </c>
      <c r="J1510" t="s">
        <v>939</v>
      </c>
      <c r="K1510" t="s">
        <v>1659</v>
      </c>
      <c r="L1510">
        <v>1</v>
      </c>
      <c r="M1510">
        <v>1</v>
      </c>
    </row>
    <row r="1511" spans="1:13" x14ac:dyDescent="0.25">
      <c r="A1511">
        <v>4</v>
      </c>
      <c r="B1511">
        <v>9661929</v>
      </c>
      <c r="C1511">
        <v>6169</v>
      </c>
      <c r="D1511">
        <v>5</v>
      </c>
      <c r="E1511">
        <v>892</v>
      </c>
      <c r="F1511" t="s">
        <v>142</v>
      </c>
      <c r="G1511" t="s">
        <v>143</v>
      </c>
      <c r="H1511">
        <v>746</v>
      </c>
      <c r="I1511" t="s">
        <v>170</v>
      </c>
      <c r="J1511" t="s">
        <v>171</v>
      </c>
      <c r="K1511" t="s">
        <v>1660</v>
      </c>
      <c r="L1511">
        <v>1</v>
      </c>
      <c r="M1511">
        <v>1</v>
      </c>
    </row>
    <row r="1512" spans="1:13" x14ac:dyDescent="0.25">
      <c r="A1512">
        <v>4</v>
      </c>
      <c r="B1512">
        <v>9662366</v>
      </c>
      <c r="C1512">
        <v>6169</v>
      </c>
      <c r="D1512">
        <v>6</v>
      </c>
      <c r="E1512">
        <v>497</v>
      </c>
      <c r="F1512" t="s">
        <v>1484</v>
      </c>
      <c r="G1512" t="s">
        <v>1485</v>
      </c>
      <c r="H1512">
        <v>497</v>
      </c>
      <c r="I1512" t="s">
        <v>1484</v>
      </c>
      <c r="J1512" t="s">
        <v>1485</v>
      </c>
      <c r="K1512" t="s">
        <v>1486</v>
      </c>
      <c r="L1512">
        <v>1</v>
      </c>
      <c r="M1512">
        <v>0</v>
      </c>
    </row>
    <row r="1513" spans="1:13" x14ac:dyDescent="0.25">
      <c r="A1513">
        <v>4</v>
      </c>
      <c r="B1513">
        <v>9659336</v>
      </c>
      <c r="C1513">
        <v>6169</v>
      </c>
      <c r="D1513">
        <v>1</v>
      </c>
      <c r="E1513">
        <v>892</v>
      </c>
      <c r="F1513" t="s">
        <v>142</v>
      </c>
      <c r="G1513" t="s">
        <v>143</v>
      </c>
      <c r="H1513">
        <v>746</v>
      </c>
      <c r="I1513" t="s">
        <v>170</v>
      </c>
      <c r="J1513" t="s">
        <v>171</v>
      </c>
      <c r="K1513" t="s">
        <v>1661</v>
      </c>
      <c r="L1513">
        <v>1</v>
      </c>
      <c r="M1513">
        <v>1</v>
      </c>
    </row>
    <row r="1514" spans="1:13" x14ac:dyDescent="0.25">
      <c r="A1514">
        <v>4</v>
      </c>
      <c r="B1514">
        <v>9659475</v>
      </c>
      <c r="C1514">
        <v>6169</v>
      </c>
      <c r="D1514">
        <v>2</v>
      </c>
      <c r="E1514">
        <v>705</v>
      </c>
      <c r="F1514" t="s">
        <v>338</v>
      </c>
      <c r="G1514" t="s">
        <v>339</v>
      </c>
      <c r="H1514">
        <v>705</v>
      </c>
      <c r="I1514" t="s">
        <v>338</v>
      </c>
      <c r="J1514" t="s">
        <v>339</v>
      </c>
      <c r="K1514" t="s">
        <v>1662</v>
      </c>
      <c r="L1514">
        <v>1</v>
      </c>
      <c r="M1514">
        <v>1</v>
      </c>
    </row>
    <row r="1515" spans="1:13" x14ac:dyDescent="0.25">
      <c r="A1515">
        <v>24</v>
      </c>
      <c r="B1515">
        <v>5102893</v>
      </c>
      <c r="C1515">
        <v>6170</v>
      </c>
      <c r="D1515">
        <v>3</v>
      </c>
      <c r="E1515">
        <v>813</v>
      </c>
      <c r="F1515" t="s">
        <v>345</v>
      </c>
      <c r="G1515" t="s">
        <v>346</v>
      </c>
      <c r="H1515">
        <v>813</v>
      </c>
      <c r="I1515" t="s">
        <v>345</v>
      </c>
      <c r="J1515" t="s">
        <v>346</v>
      </c>
      <c r="K1515" t="s">
        <v>1663</v>
      </c>
      <c r="L1515">
        <v>1</v>
      </c>
      <c r="M1515">
        <v>1</v>
      </c>
    </row>
    <row r="1516" spans="1:13" x14ac:dyDescent="0.25">
      <c r="A1516">
        <v>24</v>
      </c>
      <c r="B1516">
        <v>5103077</v>
      </c>
      <c r="C1516">
        <v>6170</v>
      </c>
      <c r="D1516">
        <v>4</v>
      </c>
      <c r="E1516">
        <v>813</v>
      </c>
      <c r="F1516" t="s">
        <v>345</v>
      </c>
      <c r="G1516" t="s">
        <v>346</v>
      </c>
      <c r="H1516">
        <v>813</v>
      </c>
      <c r="I1516" t="s">
        <v>345</v>
      </c>
      <c r="J1516" t="s">
        <v>346</v>
      </c>
      <c r="K1516" t="s">
        <v>1664</v>
      </c>
      <c r="L1516">
        <v>1</v>
      </c>
      <c r="M1516">
        <v>1</v>
      </c>
    </row>
    <row r="1517" spans="1:13" x14ac:dyDescent="0.25">
      <c r="A1517">
        <v>24</v>
      </c>
      <c r="B1517">
        <v>5103162</v>
      </c>
      <c r="C1517">
        <v>6170</v>
      </c>
      <c r="D1517">
        <v>5</v>
      </c>
      <c r="E1517">
        <v>813</v>
      </c>
      <c r="F1517" t="s">
        <v>345</v>
      </c>
      <c r="G1517" t="s">
        <v>346</v>
      </c>
      <c r="H1517">
        <v>813</v>
      </c>
      <c r="I1517" t="s">
        <v>345</v>
      </c>
      <c r="J1517" t="s">
        <v>346</v>
      </c>
      <c r="K1517" t="s">
        <v>1665</v>
      </c>
      <c r="L1517">
        <v>1</v>
      </c>
      <c r="M1517">
        <v>1</v>
      </c>
    </row>
    <row r="1518" spans="1:13" x14ac:dyDescent="0.25">
      <c r="A1518">
        <v>24</v>
      </c>
      <c r="B1518">
        <v>5103234</v>
      </c>
      <c r="C1518">
        <v>6170</v>
      </c>
      <c r="D1518">
        <v>6</v>
      </c>
      <c r="E1518">
        <v>813</v>
      </c>
      <c r="F1518" t="s">
        <v>345</v>
      </c>
      <c r="G1518" t="s">
        <v>346</v>
      </c>
      <c r="H1518">
        <v>813</v>
      </c>
      <c r="I1518" t="s">
        <v>345</v>
      </c>
      <c r="J1518" t="s">
        <v>346</v>
      </c>
      <c r="K1518" t="s">
        <v>1666</v>
      </c>
      <c r="L1518">
        <v>1</v>
      </c>
      <c r="M1518">
        <v>1</v>
      </c>
    </row>
    <row r="1519" spans="1:13" x14ac:dyDescent="0.25">
      <c r="A1519">
        <v>24</v>
      </c>
      <c r="B1519">
        <v>5103237</v>
      </c>
      <c r="C1519">
        <v>6170</v>
      </c>
      <c r="D1519">
        <v>7</v>
      </c>
      <c r="E1519">
        <v>735</v>
      </c>
      <c r="F1519" t="s">
        <v>126</v>
      </c>
      <c r="G1519" t="s">
        <v>127</v>
      </c>
      <c r="H1519">
        <v>735</v>
      </c>
      <c r="I1519" t="s">
        <v>126</v>
      </c>
      <c r="J1519" t="s">
        <v>127</v>
      </c>
      <c r="K1519" t="s">
        <v>1667</v>
      </c>
      <c r="L1519">
        <v>1</v>
      </c>
      <c r="M1519">
        <v>1</v>
      </c>
    </row>
    <row r="1520" spans="1:13" x14ac:dyDescent="0.25">
      <c r="A1520">
        <v>24</v>
      </c>
      <c r="B1520">
        <v>5103279</v>
      </c>
      <c r="C1520">
        <v>6170</v>
      </c>
      <c r="D1520">
        <v>8</v>
      </c>
      <c r="E1520">
        <v>813</v>
      </c>
      <c r="F1520" t="s">
        <v>345</v>
      </c>
      <c r="G1520" t="s">
        <v>346</v>
      </c>
      <c r="H1520">
        <v>813</v>
      </c>
      <c r="I1520" t="s">
        <v>345</v>
      </c>
      <c r="J1520" t="s">
        <v>346</v>
      </c>
      <c r="K1520" t="s">
        <v>1668</v>
      </c>
      <c r="L1520">
        <v>1</v>
      </c>
      <c r="M1520">
        <v>1</v>
      </c>
    </row>
    <row r="1521" spans="1:13" x14ac:dyDescent="0.25">
      <c r="A1521">
        <v>24</v>
      </c>
      <c r="B1521">
        <v>5102747</v>
      </c>
      <c r="C1521">
        <v>6170</v>
      </c>
      <c r="D1521">
        <v>1</v>
      </c>
      <c r="E1521">
        <v>813</v>
      </c>
      <c r="F1521" t="s">
        <v>345</v>
      </c>
      <c r="G1521" t="s">
        <v>346</v>
      </c>
      <c r="H1521">
        <v>813</v>
      </c>
      <c r="I1521" t="s">
        <v>345</v>
      </c>
      <c r="J1521" t="s">
        <v>346</v>
      </c>
      <c r="K1521" t="s">
        <v>1669</v>
      </c>
      <c r="L1521">
        <v>1</v>
      </c>
      <c r="M1521">
        <v>1</v>
      </c>
    </row>
    <row r="1522" spans="1:13" x14ac:dyDescent="0.25">
      <c r="A1522">
        <v>24</v>
      </c>
      <c r="B1522">
        <v>5102771</v>
      </c>
      <c r="C1522">
        <v>6170</v>
      </c>
      <c r="D1522">
        <v>2</v>
      </c>
      <c r="E1522">
        <v>711</v>
      </c>
      <c r="F1522" t="s">
        <v>232</v>
      </c>
      <c r="G1522" t="s">
        <v>233</v>
      </c>
      <c r="H1522">
        <v>711</v>
      </c>
      <c r="I1522" t="s">
        <v>232</v>
      </c>
      <c r="J1522" t="s">
        <v>233</v>
      </c>
      <c r="K1522" t="s">
        <v>1670</v>
      </c>
      <c r="L1522">
        <v>1</v>
      </c>
      <c r="M1522">
        <v>1</v>
      </c>
    </row>
    <row r="1523" spans="1:13" x14ac:dyDescent="0.25">
      <c r="A1523">
        <v>3</v>
      </c>
      <c r="B1523">
        <v>50052041</v>
      </c>
      <c r="C1523">
        <v>6171</v>
      </c>
      <c r="D1523">
        <v>1</v>
      </c>
      <c r="E1523">
        <v>13</v>
      </c>
      <c r="F1523" t="s">
        <v>62</v>
      </c>
      <c r="G1523" t="s">
        <v>63</v>
      </c>
      <c r="H1523">
        <v>13</v>
      </c>
      <c r="I1523" t="s">
        <v>62</v>
      </c>
      <c r="J1523" t="s">
        <v>63</v>
      </c>
      <c r="K1523" t="s">
        <v>1671</v>
      </c>
      <c r="L1523">
        <v>1</v>
      </c>
      <c r="M1523">
        <v>1</v>
      </c>
    </row>
    <row r="1524" spans="1:13" x14ac:dyDescent="0.25">
      <c r="A1524">
        <v>6</v>
      </c>
      <c r="B1524">
        <v>960444</v>
      </c>
      <c r="C1524">
        <v>6231</v>
      </c>
      <c r="D1524">
        <v>6</v>
      </c>
      <c r="E1524">
        <v>714</v>
      </c>
      <c r="F1524" t="s">
        <v>124</v>
      </c>
      <c r="G1524" t="s">
        <v>125</v>
      </c>
      <c r="H1524">
        <v>714</v>
      </c>
      <c r="I1524" t="s">
        <v>124</v>
      </c>
      <c r="J1524" t="s">
        <v>125</v>
      </c>
      <c r="K1524" t="s">
        <v>1672</v>
      </c>
      <c r="L1524">
        <v>1</v>
      </c>
      <c r="M1524">
        <v>1</v>
      </c>
    </row>
    <row r="1525" spans="1:13" x14ac:dyDescent="0.25">
      <c r="A1525">
        <v>6</v>
      </c>
      <c r="B1525">
        <v>958100</v>
      </c>
      <c r="C1525">
        <v>6231</v>
      </c>
      <c r="D1525">
        <v>1</v>
      </c>
      <c r="E1525">
        <v>821</v>
      </c>
      <c r="F1525" t="s">
        <v>132</v>
      </c>
      <c r="G1525" t="s">
        <v>133</v>
      </c>
      <c r="H1525">
        <v>821</v>
      </c>
      <c r="I1525" t="s">
        <v>132</v>
      </c>
      <c r="J1525" t="s">
        <v>133</v>
      </c>
      <c r="K1525" t="s">
        <v>1673</v>
      </c>
      <c r="L1525">
        <v>1</v>
      </c>
      <c r="M1525">
        <v>1</v>
      </c>
    </row>
    <row r="1526" spans="1:13" x14ac:dyDescent="0.25">
      <c r="A1526">
        <v>6</v>
      </c>
      <c r="B1526">
        <v>958102</v>
      </c>
      <c r="C1526">
        <v>6231</v>
      </c>
      <c r="D1526">
        <v>9</v>
      </c>
      <c r="E1526">
        <v>404</v>
      </c>
      <c r="F1526" t="s">
        <v>80</v>
      </c>
      <c r="G1526" t="s">
        <v>81</v>
      </c>
      <c r="H1526">
        <v>404</v>
      </c>
      <c r="I1526" t="s">
        <v>80</v>
      </c>
      <c r="J1526" t="s">
        <v>81</v>
      </c>
      <c r="K1526" t="s">
        <v>1674</v>
      </c>
      <c r="L1526">
        <v>1</v>
      </c>
      <c r="M1526">
        <v>1</v>
      </c>
    </row>
    <row r="1527" spans="1:13" x14ac:dyDescent="0.25">
      <c r="A1527">
        <v>6</v>
      </c>
      <c r="B1527">
        <v>958545</v>
      </c>
      <c r="C1527">
        <v>6231</v>
      </c>
      <c r="D1527">
        <v>10</v>
      </c>
      <c r="E1527">
        <v>673</v>
      </c>
      <c r="F1527" t="s">
        <v>259</v>
      </c>
      <c r="G1527" t="s">
        <v>260</v>
      </c>
      <c r="H1527">
        <v>673</v>
      </c>
      <c r="I1527" t="s">
        <v>259</v>
      </c>
      <c r="J1527" t="s">
        <v>260</v>
      </c>
      <c r="K1527" t="s">
        <v>1675</v>
      </c>
      <c r="L1527">
        <v>1</v>
      </c>
      <c r="M1527">
        <v>1</v>
      </c>
    </row>
    <row r="1528" spans="1:13" x14ac:dyDescent="0.25">
      <c r="A1528">
        <v>6</v>
      </c>
      <c r="B1528">
        <v>958636</v>
      </c>
      <c r="C1528">
        <v>6231</v>
      </c>
      <c r="D1528">
        <v>2</v>
      </c>
      <c r="E1528">
        <v>534</v>
      </c>
      <c r="F1528" t="s">
        <v>94</v>
      </c>
      <c r="G1528" t="s">
        <v>95</v>
      </c>
      <c r="H1528">
        <v>534</v>
      </c>
      <c r="I1528" t="s">
        <v>94</v>
      </c>
      <c r="J1528" t="s">
        <v>95</v>
      </c>
      <c r="K1528" t="s">
        <v>1676</v>
      </c>
      <c r="L1528">
        <v>1</v>
      </c>
      <c r="M1528">
        <v>1</v>
      </c>
    </row>
    <row r="1529" spans="1:13" x14ac:dyDescent="0.25">
      <c r="A1529">
        <v>4</v>
      </c>
      <c r="B1529">
        <v>9672960</v>
      </c>
      <c r="C1529">
        <v>6232</v>
      </c>
      <c r="D1529">
        <v>2</v>
      </c>
      <c r="E1529">
        <v>400</v>
      </c>
      <c r="F1529" t="s">
        <v>74</v>
      </c>
      <c r="G1529" t="s">
        <v>75</v>
      </c>
      <c r="H1529">
        <v>400</v>
      </c>
      <c r="I1529" t="s">
        <v>74</v>
      </c>
      <c r="J1529" t="s">
        <v>75</v>
      </c>
      <c r="K1529" t="s">
        <v>1677</v>
      </c>
      <c r="L1529">
        <v>1</v>
      </c>
      <c r="M1529">
        <v>1</v>
      </c>
    </row>
    <row r="1530" spans="1:13" x14ac:dyDescent="0.25">
      <c r="A1530">
        <v>4</v>
      </c>
      <c r="B1530">
        <v>9672639</v>
      </c>
      <c r="C1530">
        <v>6232</v>
      </c>
      <c r="D1530">
        <v>1</v>
      </c>
      <c r="E1530">
        <v>494</v>
      </c>
      <c r="F1530" t="s">
        <v>285</v>
      </c>
      <c r="G1530" t="s">
        <v>286</v>
      </c>
      <c r="H1530">
        <v>494</v>
      </c>
      <c r="I1530" t="s">
        <v>285</v>
      </c>
      <c r="J1530" t="s">
        <v>286</v>
      </c>
      <c r="K1530" t="s">
        <v>1678</v>
      </c>
      <c r="L1530">
        <v>1</v>
      </c>
      <c r="M1530">
        <v>1</v>
      </c>
    </row>
    <row r="1531" spans="1:13" x14ac:dyDescent="0.25">
      <c r="A1531">
        <v>4</v>
      </c>
      <c r="B1531">
        <v>9673781</v>
      </c>
      <c r="C1531">
        <v>6233</v>
      </c>
      <c r="D1531">
        <v>1</v>
      </c>
      <c r="E1531">
        <v>400</v>
      </c>
      <c r="F1531" t="s">
        <v>74</v>
      </c>
      <c r="G1531" t="s">
        <v>75</v>
      </c>
      <c r="H1531">
        <v>400</v>
      </c>
      <c r="I1531" t="s">
        <v>74</v>
      </c>
      <c r="J1531" t="s">
        <v>75</v>
      </c>
      <c r="K1531" t="s">
        <v>1679</v>
      </c>
      <c r="L1531">
        <v>1</v>
      </c>
      <c r="M1531">
        <v>1</v>
      </c>
    </row>
    <row r="1532" spans="1:13" x14ac:dyDescent="0.25">
      <c r="A1532">
        <v>4</v>
      </c>
      <c r="B1532">
        <v>9674290</v>
      </c>
      <c r="C1532">
        <v>6233</v>
      </c>
      <c r="D1532">
        <v>2</v>
      </c>
      <c r="E1532">
        <v>501</v>
      </c>
      <c r="F1532" t="s">
        <v>90</v>
      </c>
      <c r="G1532" t="s">
        <v>91</v>
      </c>
      <c r="H1532">
        <v>501</v>
      </c>
      <c r="I1532" t="s">
        <v>90</v>
      </c>
      <c r="J1532" t="s">
        <v>91</v>
      </c>
      <c r="K1532" t="s">
        <v>1680</v>
      </c>
      <c r="L1532">
        <v>1</v>
      </c>
      <c r="M1532">
        <v>1</v>
      </c>
    </row>
    <row r="1533" spans="1:13" x14ac:dyDescent="0.25">
      <c r="A1533">
        <v>4</v>
      </c>
      <c r="B1533">
        <v>9674742</v>
      </c>
      <c r="C1533">
        <v>6233</v>
      </c>
      <c r="D1533">
        <v>3</v>
      </c>
      <c r="E1533">
        <v>892</v>
      </c>
      <c r="F1533" t="s">
        <v>142</v>
      </c>
      <c r="G1533" t="s">
        <v>143</v>
      </c>
      <c r="H1533">
        <v>746</v>
      </c>
      <c r="I1533" t="s">
        <v>170</v>
      </c>
      <c r="J1533" t="s">
        <v>171</v>
      </c>
      <c r="K1533" t="s">
        <v>1681</v>
      </c>
      <c r="L1533">
        <v>1</v>
      </c>
      <c r="M1533">
        <v>1</v>
      </c>
    </row>
    <row r="1534" spans="1:13" x14ac:dyDescent="0.25">
      <c r="A1534">
        <v>9</v>
      </c>
      <c r="B1534">
        <v>9200870</v>
      </c>
      <c r="C1534">
        <v>6234</v>
      </c>
      <c r="D1534">
        <v>2</v>
      </c>
      <c r="E1534">
        <v>904</v>
      </c>
      <c r="F1534" t="s">
        <v>298</v>
      </c>
      <c r="G1534" t="s">
        <v>299</v>
      </c>
      <c r="H1534">
        <v>904</v>
      </c>
      <c r="I1534" t="s">
        <v>298</v>
      </c>
      <c r="J1534" t="s">
        <v>299</v>
      </c>
      <c r="K1534" t="s">
        <v>1682</v>
      </c>
      <c r="L1534">
        <v>1</v>
      </c>
      <c r="M1534">
        <v>1</v>
      </c>
    </row>
    <row r="1535" spans="1:13" x14ac:dyDescent="0.25">
      <c r="A1535">
        <v>9</v>
      </c>
      <c r="B1535">
        <v>9201099</v>
      </c>
      <c r="C1535">
        <v>6234</v>
      </c>
      <c r="D1535">
        <v>3</v>
      </c>
      <c r="E1535">
        <v>888</v>
      </c>
      <c r="F1535" t="s">
        <v>302</v>
      </c>
      <c r="G1535" t="s">
        <v>303</v>
      </c>
      <c r="H1535">
        <v>888</v>
      </c>
      <c r="I1535" t="s">
        <v>302</v>
      </c>
      <c r="J1535" t="s">
        <v>303</v>
      </c>
      <c r="K1535" t="s">
        <v>1683</v>
      </c>
      <c r="L1535">
        <v>1</v>
      </c>
      <c r="M1535">
        <v>1</v>
      </c>
    </row>
    <row r="1536" spans="1:13" x14ac:dyDescent="0.25">
      <c r="A1536">
        <v>9</v>
      </c>
      <c r="B1536">
        <v>9201251</v>
      </c>
      <c r="C1536">
        <v>6234</v>
      </c>
      <c r="D1536">
        <v>4</v>
      </c>
      <c r="E1536">
        <v>884</v>
      </c>
      <c r="F1536" t="s">
        <v>304</v>
      </c>
      <c r="G1536" t="s">
        <v>305</v>
      </c>
      <c r="H1536">
        <v>884</v>
      </c>
      <c r="I1536" t="s">
        <v>304</v>
      </c>
      <c r="J1536" t="s">
        <v>305</v>
      </c>
      <c r="K1536" t="s">
        <v>1684</v>
      </c>
      <c r="L1536">
        <v>1</v>
      </c>
      <c r="M1536">
        <v>1</v>
      </c>
    </row>
    <row r="1537" spans="1:13" x14ac:dyDescent="0.25">
      <c r="A1537">
        <v>9</v>
      </c>
      <c r="B1537">
        <v>9200702</v>
      </c>
      <c r="C1537">
        <v>6234</v>
      </c>
      <c r="D1537">
        <v>1</v>
      </c>
      <c r="E1537">
        <v>714</v>
      </c>
      <c r="F1537" t="s">
        <v>124</v>
      </c>
      <c r="G1537" t="s">
        <v>125</v>
      </c>
      <c r="H1537">
        <v>714</v>
      </c>
      <c r="I1537" t="s">
        <v>124</v>
      </c>
      <c r="J1537" t="s">
        <v>125</v>
      </c>
      <c r="K1537" t="s">
        <v>1685</v>
      </c>
      <c r="L1537">
        <v>1</v>
      </c>
      <c r="M1537">
        <v>1</v>
      </c>
    </row>
    <row r="1538" spans="1:13" x14ac:dyDescent="0.25">
      <c r="A1538">
        <v>9</v>
      </c>
      <c r="B1538">
        <v>9200988</v>
      </c>
      <c r="C1538">
        <v>6235</v>
      </c>
      <c r="D1538">
        <v>6</v>
      </c>
      <c r="E1538">
        <v>639</v>
      </c>
      <c r="F1538" t="s">
        <v>106</v>
      </c>
      <c r="G1538" t="s">
        <v>107</v>
      </c>
      <c r="H1538">
        <v>639</v>
      </c>
      <c r="I1538" t="s">
        <v>106</v>
      </c>
      <c r="J1538" t="s">
        <v>107</v>
      </c>
      <c r="K1538" t="s">
        <v>1686</v>
      </c>
      <c r="L1538">
        <v>1</v>
      </c>
      <c r="M1538">
        <v>1</v>
      </c>
    </row>
    <row r="1539" spans="1:13" x14ac:dyDescent="0.25">
      <c r="A1539">
        <v>9</v>
      </c>
      <c r="B1539">
        <v>9201143</v>
      </c>
      <c r="C1539">
        <v>6235</v>
      </c>
      <c r="D1539">
        <v>1</v>
      </c>
      <c r="E1539">
        <v>955</v>
      </c>
      <c r="F1539" t="s">
        <v>166</v>
      </c>
      <c r="G1539" t="s">
        <v>167</v>
      </c>
      <c r="H1539">
        <v>955</v>
      </c>
      <c r="I1539" t="s">
        <v>166</v>
      </c>
      <c r="J1539" t="s">
        <v>167</v>
      </c>
      <c r="K1539" t="s">
        <v>1687</v>
      </c>
      <c r="L1539">
        <v>1</v>
      </c>
      <c r="M1539">
        <v>1</v>
      </c>
    </row>
    <row r="1540" spans="1:13" x14ac:dyDescent="0.25">
      <c r="A1540">
        <v>9</v>
      </c>
      <c r="B1540">
        <v>9201251</v>
      </c>
      <c r="C1540">
        <v>6235</v>
      </c>
      <c r="D1540">
        <v>7</v>
      </c>
      <c r="E1540">
        <v>893</v>
      </c>
      <c r="F1540" t="s">
        <v>144</v>
      </c>
      <c r="G1540" t="s">
        <v>145</v>
      </c>
      <c r="H1540">
        <v>893</v>
      </c>
      <c r="I1540" t="s">
        <v>144</v>
      </c>
      <c r="J1540" t="s">
        <v>145</v>
      </c>
      <c r="K1540" t="s">
        <v>1688</v>
      </c>
      <c r="L1540">
        <v>1</v>
      </c>
      <c r="M1540">
        <v>1</v>
      </c>
    </row>
    <row r="1541" spans="1:13" x14ac:dyDescent="0.25">
      <c r="A1541">
        <v>9</v>
      </c>
      <c r="B1541">
        <v>9201252</v>
      </c>
      <c r="C1541">
        <v>6235</v>
      </c>
      <c r="D1541">
        <v>8</v>
      </c>
      <c r="E1541">
        <v>534</v>
      </c>
      <c r="F1541" t="s">
        <v>94</v>
      </c>
      <c r="G1541" t="s">
        <v>95</v>
      </c>
      <c r="H1541">
        <v>534</v>
      </c>
      <c r="I1541" t="s">
        <v>94</v>
      </c>
      <c r="J1541" t="s">
        <v>95</v>
      </c>
      <c r="K1541" t="s">
        <v>1689</v>
      </c>
      <c r="L1541">
        <v>1</v>
      </c>
      <c r="M1541">
        <v>1</v>
      </c>
    </row>
    <row r="1542" spans="1:13" x14ac:dyDescent="0.25">
      <c r="A1542">
        <v>9</v>
      </c>
      <c r="B1542">
        <v>9200661</v>
      </c>
      <c r="C1542">
        <v>6235</v>
      </c>
      <c r="D1542">
        <v>3</v>
      </c>
      <c r="E1542">
        <v>698</v>
      </c>
      <c r="F1542" t="s">
        <v>116</v>
      </c>
      <c r="G1542" t="s">
        <v>117</v>
      </c>
      <c r="H1542">
        <v>698</v>
      </c>
      <c r="I1542" t="s">
        <v>116</v>
      </c>
      <c r="J1542" t="s">
        <v>117</v>
      </c>
      <c r="K1542" t="s">
        <v>1690</v>
      </c>
      <c r="L1542">
        <v>1</v>
      </c>
      <c r="M1542">
        <v>1</v>
      </c>
    </row>
    <row r="1543" spans="1:13" x14ac:dyDescent="0.25">
      <c r="A1543">
        <v>9</v>
      </c>
      <c r="B1543">
        <v>9200702</v>
      </c>
      <c r="C1543">
        <v>6235</v>
      </c>
      <c r="D1543">
        <v>4</v>
      </c>
      <c r="E1543">
        <v>970</v>
      </c>
      <c r="F1543" t="s">
        <v>436</v>
      </c>
      <c r="G1543" t="s">
        <v>437</v>
      </c>
      <c r="H1543">
        <v>506</v>
      </c>
      <c r="I1543" t="s">
        <v>92</v>
      </c>
      <c r="J1543" t="s">
        <v>93</v>
      </c>
      <c r="K1543" t="s">
        <v>1691</v>
      </c>
      <c r="L1543">
        <v>1</v>
      </c>
      <c r="M1543">
        <v>1</v>
      </c>
    </row>
    <row r="1544" spans="1:13" x14ac:dyDescent="0.25">
      <c r="A1544">
        <v>9</v>
      </c>
      <c r="B1544">
        <v>9200750</v>
      </c>
      <c r="C1544">
        <v>6235</v>
      </c>
      <c r="D1544">
        <v>5</v>
      </c>
      <c r="E1544">
        <v>902</v>
      </c>
      <c r="F1544" t="s">
        <v>275</v>
      </c>
      <c r="G1544" t="s">
        <v>276</v>
      </c>
      <c r="H1544">
        <v>902</v>
      </c>
      <c r="I1544" t="s">
        <v>275</v>
      </c>
      <c r="J1544" t="s">
        <v>276</v>
      </c>
      <c r="K1544" t="s">
        <v>1692</v>
      </c>
      <c r="L1544">
        <v>1</v>
      </c>
      <c r="M1544">
        <v>1</v>
      </c>
    </row>
    <row r="1545" spans="1:13" x14ac:dyDescent="0.25">
      <c r="A1545">
        <v>9</v>
      </c>
      <c r="B1545">
        <v>9199427</v>
      </c>
      <c r="C1545">
        <v>6235</v>
      </c>
      <c r="D1545">
        <v>2</v>
      </c>
      <c r="E1545">
        <v>680</v>
      </c>
      <c r="F1545" t="s">
        <v>114</v>
      </c>
      <c r="G1545" t="s">
        <v>115</v>
      </c>
      <c r="H1545">
        <v>680</v>
      </c>
      <c r="I1545" t="s">
        <v>114</v>
      </c>
      <c r="J1545" t="s">
        <v>115</v>
      </c>
      <c r="K1545" t="s">
        <v>1693</v>
      </c>
      <c r="L1545">
        <v>1</v>
      </c>
      <c r="M1545">
        <v>1</v>
      </c>
    </row>
    <row r="1546" spans="1:13" x14ac:dyDescent="0.25">
      <c r="A1546">
        <v>9</v>
      </c>
      <c r="B1546">
        <v>9199368</v>
      </c>
      <c r="C1546">
        <v>6236</v>
      </c>
      <c r="D1546">
        <v>3</v>
      </c>
      <c r="E1546">
        <v>714</v>
      </c>
      <c r="F1546" t="s">
        <v>124</v>
      </c>
      <c r="G1546" t="s">
        <v>125</v>
      </c>
      <c r="H1546">
        <v>714</v>
      </c>
      <c r="I1546" t="s">
        <v>124</v>
      </c>
      <c r="J1546" t="s">
        <v>125</v>
      </c>
      <c r="K1546" t="s">
        <v>1694</v>
      </c>
      <c r="L1546">
        <v>1</v>
      </c>
      <c r="M1546">
        <v>1</v>
      </c>
    </row>
    <row r="1547" spans="1:13" x14ac:dyDescent="0.25">
      <c r="A1547">
        <v>9</v>
      </c>
      <c r="B1547">
        <v>9199427</v>
      </c>
      <c r="C1547">
        <v>6236</v>
      </c>
      <c r="D1547">
        <v>4</v>
      </c>
      <c r="E1547">
        <v>818</v>
      </c>
      <c r="F1547" t="s">
        <v>130</v>
      </c>
      <c r="G1547" t="s">
        <v>131</v>
      </c>
      <c r="H1547">
        <v>818</v>
      </c>
      <c r="I1547" t="s">
        <v>130</v>
      </c>
      <c r="J1547" t="s">
        <v>131</v>
      </c>
      <c r="K1547" t="s">
        <v>1695</v>
      </c>
      <c r="L1547">
        <v>1</v>
      </c>
      <c r="M1547">
        <v>1</v>
      </c>
    </row>
    <row r="1548" spans="1:13" x14ac:dyDescent="0.25">
      <c r="A1548">
        <v>9</v>
      </c>
      <c r="B1548">
        <v>9199497</v>
      </c>
      <c r="C1548">
        <v>6236</v>
      </c>
      <c r="D1548">
        <v>5</v>
      </c>
      <c r="E1548">
        <v>936</v>
      </c>
      <c r="F1548" t="s">
        <v>314</v>
      </c>
      <c r="G1548" t="s">
        <v>315</v>
      </c>
      <c r="H1548">
        <v>936</v>
      </c>
      <c r="I1548" t="s">
        <v>314</v>
      </c>
      <c r="J1548" t="s">
        <v>315</v>
      </c>
      <c r="K1548" t="s">
        <v>1696</v>
      </c>
      <c r="L1548">
        <v>1</v>
      </c>
      <c r="M1548">
        <v>1</v>
      </c>
    </row>
    <row r="1549" spans="1:13" x14ac:dyDescent="0.25">
      <c r="A1549">
        <v>9</v>
      </c>
      <c r="B1549">
        <v>9199081</v>
      </c>
      <c r="C1549">
        <v>6236</v>
      </c>
      <c r="D1549">
        <v>1</v>
      </c>
      <c r="E1549">
        <v>809</v>
      </c>
      <c r="F1549" t="s">
        <v>128</v>
      </c>
      <c r="G1549" t="s">
        <v>129</v>
      </c>
      <c r="H1549">
        <v>809</v>
      </c>
      <c r="I1549" t="s">
        <v>128</v>
      </c>
      <c r="J1549" t="s">
        <v>129</v>
      </c>
      <c r="K1549" t="s">
        <v>1697</v>
      </c>
      <c r="L1549">
        <v>1</v>
      </c>
      <c r="M1549">
        <v>1</v>
      </c>
    </row>
    <row r="1550" spans="1:13" x14ac:dyDescent="0.25">
      <c r="A1550">
        <v>9</v>
      </c>
      <c r="B1550">
        <v>9199081</v>
      </c>
      <c r="C1550">
        <v>6236</v>
      </c>
      <c r="D1550">
        <v>2</v>
      </c>
      <c r="E1550">
        <v>905</v>
      </c>
      <c r="F1550" t="s">
        <v>146</v>
      </c>
      <c r="G1550" t="s">
        <v>147</v>
      </c>
      <c r="H1550">
        <v>905</v>
      </c>
      <c r="I1550" t="s">
        <v>146</v>
      </c>
      <c r="J1550" t="s">
        <v>147</v>
      </c>
      <c r="K1550" t="s">
        <v>1698</v>
      </c>
      <c r="L1550">
        <v>2</v>
      </c>
      <c r="M1550">
        <v>2</v>
      </c>
    </row>
    <row r="1551" spans="1:13" x14ac:dyDescent="0.25">
      <c r="A1551">
        <v>24</v>
      </c>
      <c r="B1551">
        <v>5102658</v>
      </c>
      <c r="C1551">
        <v>6237</v>
      </c>
      <c r="D1551">
        <v>1</v>
      </c>
      <c r="E1551">
        <v>773</v>
      </c>
      <c r="F1551" t="s">
        <v>905</v>
      </c>
      <c r="G1551" t="s">
        <v>906</v>
      </c>
      <c r="H1551">
        <v>773</v>
      </c>
      <c r="I1551" t="s">
        <v>905</v>
      </c>
      <c r="J1551" t="s">
        <v>906</v>
      </c>
      <c r="K1551" t="s">
        <v>1699</v>
      </c>
      <c r="L1551">
        <v>1</v>
      </c>
      <c r="M1551">
        <v>1</v>
      </c>
    </row>
    <row r="1552" spans="1:13" x14ac:dyDescent="0.25">
      <c r="A1552">
        <v>24</v>
      </c>
      <c r="B1552">
        <v>5104683</v>
      </c>
      <c r="C1552">
        <v>6238</v>
      </c>
      <c r="D1552">
        <v>19</v>
      </c>
      <c r="E1552">
        <v>813</v>
      </c>
      <c r="F1552" t="s">
        <v>345</v>
      </c>
      <c r="G1552" t="s">
        <v>346</v>
      </c>
      <c r="H1552">
        <v>813</v>
      </c>
      <c r="I1552" t="s">
        <v>345</v>
      </c>
      <c r="J1552" t="s">
        <v>346</v>
      </c>
      <c r="K1552" t="s">
        <v>1700</v>
      </c>
      <c r="L1552">
        <v>1</v>
      </c>
      <c r="M1552">
        <v>1</v>
      </c>
    </row>
    <row r="1553" spans="1:13" x14ac:dyDescent="0.25">
      <c r="A1553">
        <v>24</v>
      </c>
      <c r="B1553">
        <v>5104551</v>
      </c>
      <c r="C1553">
        <v>6238</v>
      </c>
      <c r="D1553">
        <v>14</v>
      </c>
      <c r="E1553">
        <v>813</v>
      </c>
      <c r="F1553" t="s">
        <v>345</v>
      </c>
      <c r="G1553" t="s">
        <v>346</v>
      </c>
      <c r="H1553">
        <v>813</v>
      </c>
      <c r="I1553" t="s">
        <v>345</v>
      </c>
      <c r="J1553" t="s">
        <v>346</v>
      </c>
      <c r="K1553" t="s">
        <v>1701</v>
      </c>
      <c r="L1553">
        <v>1</v>
      </c>
      <c r="M1553">
        <v>1</v>
      </c>
    </row>
    <row r="1554" spans="1:13" x14ac:dyDescent="0.25">
      <c r="A1554">
        <v>24</v>
      </c>
      <c r="B1554">
        <v>5104553</v>
      </c>
      <c r="C1554">
        <v>6238</v>
      </c>
      <c r="D1554">
        <v>15</v>
      </c>
      <c r="E1554">
        <v>813</v>
      </c>
      <c r="F1554" t="s">
        <v>345</v>
      </c>
      <c r="G1554" t="s">
        <v>346</v>
      </c>
      <c r="H1554">
        <v>813</v>
      </c>
      <c r="I1554" t="s">
        <v>345</v>
      </c>
      <c r="J1554" t="s">
        <v>346</v>
      </c>
      <c r="K1554" t="s">
        <v>1702</v>
      </c>
      <c r="L1554">
        <v>1</v>
      </c>
      <c r="M1554">
        <v>1</v>
      </c>
    </row>
    <row r="1555" spans="1:13" x14ac:dyDescent="0.25">
      <c r="A1555">
        <v>24</v>
      </c>
      <c r="B1555">
        <v>5104556</v>
      </c>
      <c r="C1555">
        <v>6238</v>
      </c>
      <c r="D1555">
        <v>16</v>
      </c>
      <c r="E1555">
        <v>813</v>
      </c>
      <c r="F1555" t="s">
        <v>345</v>
      </c>
      <c r="G1555" t="s">
        <v>346</v>
      </c>
      <c r="H1555">
        <v>813</v>
      </c>
      <c r="I1555" t="s">
        <v>345</v>
      </c>
      <c r="J1555" t="s">
        <v>346</v>
      </c>
      <c r="K1555" t="s">
        <v>1703</v>
      </c>
      <c r="L1555">
        <v>1</v>
      </c>
      <c r="M1555">
        <v>1</v>
      </c>
    </row>
    <row r="1556" spans="1:13" x14ac:dyDescent="0.25">
      <c r="A1556">
        <v>24</v>
      </c>
      <c r="B1556">
        <v>5104573</v>
      </c>
      <c r="C1556">
        <v>6238</v>
      </c>
      <c r="D1556">
        <v>26</v>
      </c>
      <c r="E1556">
        <v>382</v>
      </c>
      <c r="F1556" t="s">
        <v>533</v>
      </c>
      <c r="G1556" t="s">
        <v>534</v>
      </c>
      <c r="H1556">
        <v>382</v>
      </c>
      <c r="I1556" t="s">
        <v>533</v>
      </c>
      <c r="J1556" t="s">
        <v>534</v>
      </c>
      <c r="K1556" t="s">
        <v>1704</v>
      </c>
      <c r="L1556">
        <v>1</v>
      </c>
      <c r="M1556">
        <v>1</v>
      </c>
    </row>
    <row r="1557" spans="1:13" x14ac:dyDescent="0.25">
      <c r="A1557">
        <v>24</v>
      </c>
      <c r="B1557">
        <v>5104590</v>
      </c>
      <c r="C1557">
        <v>6238</v>
      </c>
      <c r="D1557">
        <v>17</v>
      </c>
      <c r="E1557">
        <v>813</v>
      </c>
      <c r="F1557" t="s">
        <v>345</v>
      </c>
      <c r="G1557" t="s">
        <v>346</v>
      </c>
      <c r="H1557">
        <v>813</v>
      </c>
      <c r="I1557" t="s">
        <v>345</v>
      </c>
      <c r="J1557" t="s">
        <v>346</v>
      </c>
      <c r="K1557" t="s">
        <v>1705</v>
      </c>
      <c r="L1557">
        <v>1</v>
      </c>
      <c r="M1557">
        <v>1</v>
      </c>
    </row>
    <row r="1558" spans="1:13" x14ac:dyDescent="0.25">
      <c r="A1558">
        <v>24</v>
      </c>
      <c r="B1558">
        <v>5104611</v>
      </c>
      <c r="C1558">
        <v>6238</v>
      </c>
      <c r="D1558">
        <v>18</v>
      </c>
      <c r="E1558">
        <v>382</v>
      </c>
      <c r="F1558" t="s">
        <v>533</v>
      </c>
      <c r="G1558" t="s">
        <v>534</v>
      </c>
      <c r="H1558">
        <v>382</v>
      </c>
      <c r="I1558" t="s">
        <v>533</v>
      </c>
      <c r="J1558" t="s">
        <v>534</v>
      </c>
      <c r="K1558" t="s">
        <v>1706</v>
      </c>
      <c r="L1558">
        <v>1</v>
      </c>
      <c r="M1558">
        <v>1</v>
      </c>
    </row>
    <row r="1559" spans="1:13" x14ac:dyDescent="0.25">
      <c r="A1559">
        <v>24</v>
      </c>
      <c r="B1559">
        <v>5104129</v>
      </c>
      <c r="C1559">
        <v>6238</v>
      </c>
      <c r="D1559">
        <v>10</v>
      </c>
      <c r="E1559">
        <v>877</v>
      </c>
      <c r="F1559" t="s">
        <v>140</v>
      </c>
      <c r="G1559" t="s">
        <v>141</v>
      </c>
      <c r="H1559">
        <v>325</v>
      </c>
      <c r="I1559" t="s">
        <v>227</v>
      </c>
      <c r="J1559" t="s">
        <v>228</v>
      </c>
      <c r="K1559" t="s">
        <v>1707</v>
      </c>
      <c r="L1559">
        <v>1</v>
      </c>
      <c r="M1559">
        <v>1</v>
      </c>
    </row>
    <row r="1560" spans="1:13" x14ac:dyDescent="0.25">
      <c r="A1560">
        <v>24</v>
      </c>
      <c r="B1560">
        <v>5104187</v>
      </c>
      <c r="C1560">
        <v>6238</v>
      </c>
      <c r="D1560">
        <v>11</v>
      </c>
      <c r="E1560">
        <v>813</v>
      </c>
      <c r="F1560" t="s">
        <v>345</v>
      </c>
      <c r="G1560" t="s">
        <v>346</v>
      </c>
      <c r="H1560">
        <v>813</v>
      </c>
      <c r="I1560" t="s">
        <v>345</v>
      </c>
      <c r="J1560" t="s">
        <v>346</v>
      </c>
      <c r="K1560" t="s">
        <v>1708</v>
      </c>
      <c r="L1560">
        <v>1</v>
      </c>
      <c r="M1560">
        <v>1</v>
      </c>
    </row>
    <row r="1561" spans="1:13" x14ac:dyDescent="0.25">
      <c r="A1561">
        <v>24</v>
      </c>
      <c r="B1561">
        <v>5104250</v>
      </c>
      <c r="C1561">
        <v>6238</v>
      </c>
      <c r="D1561">
        <v>24</v>
      </c>
      <c r="E1561">
        <v>813</v>
      </c>
      <c r="F1561" t="s">
        <v>345</v>
      </c>
      <c r="G1561" t="s">
        <v>346</v>
      </c>
      <c r="H1561">
        <v>813</v>
      </c>
      <c r="I1561" t="s">
        <v>345</v>
      </c>
      <c r="J1561" t="s">
        <v>346</v>
      </c>
      <c r="K1561" t="s">
        <v>1709</v>
      </c>
      <c r="L1561">
        <v>1</v>
      </c>
      <c r="M1561">
        <v>1</v>
      </c>
    </row>
    <row r="1562" spans="1:13" x14ac:dyDescent="0.25">
      <c r="A1562">
        <v>5</v>
      </c>
      <c r="B1562">
        <v>6504050671</v>
      </c>
      <c r="C1562">
        <v>6289</v>
      </c>
      <c r="D1562">
        <v>5</v>
      </c>
      <c r="E1562">
        <v>402</v>
      </c>
      <c r="F1562" t="s">
        <v>168</v>
      </c>
      <c r="G1562" t="s">
        <v>169</v>
      </c>
      <c r="H1562">
        <v>402</v>
      </c>
      <c r="I1562" t="s">
        <v>168</v>
      </c>
      <c r="J1562" t="s">
        <v>169</v>
      </c>
      <c r="K1562" t="s">
        <v>49</v>
      </c>
      <c r="L1562">
        <v>1</v>
      </c>
      <c r="M1562">
        <v>1</v>
      </c>
    </row>
    <row r="1563" spans="1:13" x14ac:dyDescent="0.25">
      <c r="A1563">
        <v>5</v>
      </c>
      <c r="B1563">
        <v>6504050678</v>
      </c>
      <c r="C1563">
        <v>6289</v>
      </c>
      <c r="D1563">
        <v>6</v>
      </c>
      <c r="E1563">
        <v>735</v>
      </c>
      <c r="F1563" t="s">
        <v>126</v>
      </c>
      <c r="G1563" t="s">
        <v>127</v>
      </c>
      <c r="H1563">
        <v>735</v>
      </c>
      <c r="I1563" t="s">
        <v>126</v>
      </c>
      <c r="J1563" t="s">
        <v>127</v>
      </c>
      <c r="K1563" t="s">
        <v>49</v>
      </c>
      <c r="L1563">
        <v>1</v>
      </c>
      <c r="M1563">
        <v>1</v>
      </c>
    </row>
    <row r="1564" spans="1:13" x14ac:dyDescent="0.25">
      <c r="A1564">
        <v>5</v>
      </c>
      <c r="B1564">
        <v>6504050686</v>
      </c>
      <c r="C1564">
        <v>6289</v>
      </c>
      <c r="D1564">
        <v>7</v>
      </c>
      <c r="E1564">
        <v>883</v>
      </c>
      <c r="F1564" t="s">
        <v>197</v>
      </c>
      <c r="G1564" t="s">
        <v>198</v>
      </c>
      <c r="H1564">
        <v>883</v>
      </c>
      <c r="I1564" t="s">
        <v>197</v>
      </c>
      <c r="J1564" t="s">
        <v>198</v>
      </c>
      <c r="K1564" t="s">
        <v>49</v>
      </c>
      <c r="L1564">
        <v>1</v>
      </c>
      <c r="M1564">
        <v>1</v>
      </c>
    </row>
    <row r="1565" spans="1:13" x14ac:dyDescent="0.25">
      <c r="A1565">
        <v>5</v>
      </c>
      <c r="B1565">
        <v>6504049872</v>
      </c>
      <c r="C1565">
        <v>6289</v>
      </c>
      <c r="D1565">
        <v>1</v>
      </c>
      <c r="E1565">
        <v>825</v>
      </c>
      <c r="F1565" t="s">
        <v>1371</v>
      </c>
      <c r="G1565" t="s">
        <v>1372</v>
      </c>
      <c r="H1565">
        <v>825</v>
      </c>
      <c r="I1565" t="s">
        <v>1371</v>
      </c>
      <c r="J1565" t="s">
        <v>1372</v>
      </c>
      <c r="K1565" t="s">
        <v>49</v>
      </c>
      <c r="L1565">
        <v>1</v>
      </c>
      <c r="M1565">
        <v>1</v>
      </c>
    </row>
    <row r="1566" spans="1:13" x14ac:dyDescent="0.25">
      <c r="A1566">
        <v>24</v>
      </c>
      <c r="B1566">
        <v>5105988</v>
      </c>
      <c r="C1566">
        <v>6290</v>
      </c>
      <c r="D1566">
        <v>1</v>
      </c>
      <c r="E1566">
        <v>773</v>
      </c>
      <c r="F1566" t="s">
        <v>905</v>
      </c>
      <c r="G1566" t="s">
        <v>906</v>
      </c>
      <c r="H1566">
        <v>773</v>
      </c>
      <c r="I1566" t="s">
        <v>905</v>
      </c>
      <c r="J1566" t="s">
        <v>906</v>
      </c>
      <c r="K1566" t="s">
        <v>1710</v>
      </c>
      <c r="L1566">
        <v>1</v>
      </c>
      <c r="M1566">
        <v>1</v>
      </c>
    </row>
    <row r="1567" spans="1:13" x14ac:dyDescent="0.25">
      <c r="A1567">
        <v>24</v>
      </c>
      <c r="B1567">
        <v>5105916</v>
      </c>
      <c r="C1567">
        <v>6291</v>
      </c>
      <c r="D1567">
        <v>6</v>
      </c>
      <c r="E1567">
        <v>813</v>
      </c>
      <c r="F1567" t="s">
        <v>345</v>
      </c>
      <c r="G1567" t="s">
        <v>346</v>
      </c>
      <c r="H1567">
        <v>813</v>
      </c>
      <c r="I1567" t="s">
        <v>345</v>
      </c>
      <c r="J1567" t="s">
        <v>346</v>
      </c>
      <c r="K1567" t="s">
        <v>1711</v>
      </c>
      <c r="L1567">
        <v>1</v>
      </c>
      <c r="M1567">
        <v>1</v>
      </c>
    </row>
    <row r="1568" spans="1:13" x14ac:dyDescent="0.25">
      <c r="A1568">
        <v>24</v>
      </c>
      <c r="B1568">
        <v>5106024</v>
      </c>
      <c r="C1568">
        <v>6291</v>
      </c>
      <c r="D1568">
        <v>2</v>
      </c>
      <c r="E1568">
        <v>523</v>
      </c>
      <c r="F1568" t="s">
        <v>312</v>
      </c>
      <c r="G1568" t="s">
        <v>313</v>
      </c>
      <c r="H1568">
        <v>523</v>
      </c>
      <c r="I1568" t="s">
        <v>312</v>
      </c>
      <c r="J1568" t="s">
        <v>313</v>
      </c>
      <c r="K1568" t="s">
        <v>1712</v>
      </c>
      <c r="L1568">
        <v>1</v>
      </c>
      <c r="M1568">
        <v>1</v>
      </c>
    </row>
    <row r="1569" spans="1:13" x14ac:dyDescent="0.25">
      <c r="A1569">
        <v>24</v>
      </c>
      <c r="B1569">
        <v>5106057</v>
      </c>
      <c r="C1569">
        <v>6291</v>
      </c>
      <c r="D1569">
        <v>7</v>
      </c>
      <c r="E1569">
        <v>813</v>
      </c>
      <c r="F1569" t="s">
        <v>345</v>
      </c>
      <c r="G1569" t="s">
        <v>346</v>
      </c>
      <c r="H1569">
        <v>813</v>
      </c>
      <c r="I1569" t="s">
        <v>345</v>
      </c>
      <c r="J1569" t="s">
        <v>346</v>
      </c>
      <c r="K1569" t="s">
        <v>1713</v>
      </c>
      <c r="L1569">
        <v>1</v>
      </c>
      <c r="M1569">
        <v>1</v>
      </c>
    </row>
    <row r="1570" spans="1:13" x14ac:dyDescent="0.25">
      <c r="A1570">
        <v>24</v>
      </c>
      <c r="B1570">
        <v>5106070</v>
      </c>
      <c r="C1570">
        <v>6291</v>
      </c>
      <c r="D1570">
        <v>3</v>
      </c>
      <c r="E1570">
        <v>584</v>
      </c>
      <c r="F1570" t="s">
        <v>96</v>
      </c>
      <c r="G1570" t="s">
        <v>97</v>
      </c>
      <c r="H1570">
        <v>584</v>
      </c>
      <c r="I1570" t="s">
        <v>96</v>
      </c>
      <c r="J1570" t="s">
        <v>97</v>
      </c>
      <c r="K1570" t="s">
        <v>1714</v>
      </c>
      <c r="L1570">
        <v>1</v>
      </c>
      <c r="M1570">
        <v>1</v>
      </c>
    </row>
    <row r="1571" spans="1:13" x14ac:dyDescent="0.25">
      <c r="A1571">
        <v>24</v>
      </c>
      <c r="B1571">
        <v>5106113</v>
      </c>
      <c r="C1571">
        <v>6291</v>
      </c>
      <c r="D1571">
        <v>8</v>
      </c>
      <c r="E1571">
        <v>735</v>
      </c>
      <c r="F1571" t="s">
        <v>126</v>
      </c>
      <c r="G1571" t="s">
        <v>127</v>
      </c>
      <c r="H1571">
        <v>735</v>
      </c>
      <c r="I1571" t="s">
        <v>126</v>
      </c>
      <c r="J1571" t="s">
        <v>127</v>
      </c>
      <c r="K1571" t="s">
        <v>1715</v>
      </c>
      <c r="L1571">
        <v>1</v>
      </c>
      <c r="M1571">
        <v>1</v>
      </c>
    </row>
    <row r="1572" spans="1:13" x14ac:dyDescent="0.25">
      <c r="A1572">
        <v>24</v>
      </c>
      <c r="B1572">
        <v>5105695</v>
      </c>
      <c r="C1572">
        <v>6291</v>
      </c>
      <c r="D1572">
        <v>4</v>
      </c>
      <c r="E1572">
        <v>877</v>
      </c>
      <c r="F1572" t="s">
        <v>140</v>
      </c>
      <c r="G1572" t="s">
        <v>141</v>
      </c>
      <c r="H1572">
        <v>325</v>
      </c>
      <c r="I1572" t="s">
        <v>227</v>
      </c>
      <c r="J1572" t="s">
        <v>228</v>
      </c>
      <c r="K1572" t="s">
        <v>1716</v>
      </c>
      <c r="L1572">
        <v>1</v>
      </c>
      <c r="M1572">
        <v>1</v>
      </c>
    </row>
    <row r="1573" spans="1:13" x14ac:dyDescent="0.25">
      <c r="A1573">
        <v>24</v>
      </c>
      <c r="B1573">
        <v>5105709</v>
      </c>
      <c r="C1573">
        <v>6291</v>
      </c>
      <c r="D1573">
        <v>5</v>
      </c>
      <c r="E1573">
        <v>813</v>
      </c>
      <c r="F1573" t="s">
        <v>345</v>
      </c>
      <c r="G1573" t="s">
        <v>346</v>
      </c>
      <c r="H1573">
        <v>813</v>
      </c>
      <c r="I1573" t="s">
        <v>345</v>
      </c>
      <c r="J1573" t="s">
        <v>346</v>
      </c>
      <c r="K1573" t="s">
        <v>1717</v>
      </c>
      <c r="L1573">
        <v>1</v>
      </c>
      <c r="M1573">
        <v>1</v>
      </c>
    </row>
    <row r="1574" spans="1:13" x14ac:dyDescent="0.25">
      <c r="A1574">
        <v>24</v>
      </c>
      <c r="B1574">
        <v>5105814</v>
      </c>
      <c r="C1574">
        <v>6291</v>
      </c>
      <c r="D1574">
        <v>1</v>
      </c>
      <c r="E1574">
        <v>738</v>
      </c>
      <c r="F1574" t="s">
        <v>1718</v>
      </c>
      <c r="G1574" t="s">
        <v>1719</v>
      </c>
      <c r="H1574">
        <v>738</v>
      </c>
      <c r="I1574" t="s">
        <v>1718</v>
      </c>
      <c r="J1574" t="s">
        <v>1719</v>
      </c>
      <c r="K1574" t="s">
        <v>1720</v>
      </c>
      <c r="L1574">
        <v>1</v>
      </c>
      <c r="M1574">
        <v>1</v>
      </c>
    </row>
    <row r="1575" spans="1:13" x14ac:dyDescent="0.25">
      <c r="A1575">
        <v>4</v>
      </c>
      <c r="B1575">
        <v>9682546</v>
      </c>
      <c r="C1575">
        <v>6292</v>
      </c>
      <c r="D1575">
        <v>1</v>
      </c>
      <c r="E1575">
        <v>403</v>
      </c>
      <c r="F1575" t="s">
        <v>78</v>
      </c>
      <c r="G1575" t="s">
        <v>79</v>
      </c>
      <c r="H1575">
        <v>403</v>
      </c>
      <c r="I1575" t="s">
        <v>78</v>
      </c>
      <c r="J1575" t="s">
        <v>79</v>
      </c>
      <c r="K1575" t="s">
        <v>1721</v>
      </c>
      <c r="L1575">
        <v>1</v>
      </c>
      <c r="M1575">
        <v>1</v>
      </c>
    </row>
    <row r="1576" spans="1:13" x14ac:dyDescent="0.25">
      <c r="A1576">
        <v>4</v>
      </c>
      <c r="B1576">
        <v>9688707</v>
      </c>
      <c r="C1576">
        <v>6293</v>
      </c>
      <c r="D1576">
        <v>11</v>
      </c>
      <c r="E1576">
        <v>281</v>
      </c>
      <c r="F1576" t="s">
        <v>538</v>
      </c>
      <c r="G1576" t="s">
        <v>539</v>
      </c>
      <c r="H1576">
        <v>281</v>
      </c>
      <c r="I1576" t="s">
        <v>538</v>
      </c>
      <c r="J1576" t="s">
        <v>539</v>
      </c>
      <c r="K1576" t="s">
        <v>1722</v>
      </c>
      <c r="L1576">
        <v>1</v>
      </c>
      <c r="M1576">
        <v>1</v>
      </c>
    </row>
    <row r="1577" spans="1:13" x14ac:dyDescent="0.25">
      <c r="A1577">
        <v>4</v>
      </c>
      <c r="B1577">
        <v>9688846</v>
      </c>
      <c r="C1577">
        <v>6293</v>
      </c>
      <c r="D1577">
        <v>12</v>
      </c>
      <c r="E1577">
        <v>501</v>
      </c>
      <c r="F1577" t="s">
        <v>90</v>
      </c>
      <c r="G1577" t="s">
        <v>91</v>
      </c>
      <c r="H1577">
        <v>501</v>
      </c>
      <c r="I1577" t="s">
        <v>90</v>
      </c>
      <c r="J1577" t="s">
        <v>91</v>
      </c>
      <c r="K1577" t="s">
        <v>1723</v>
      </c>
      <c r="L1577">
        <v>1</v>
      </c>
      <c r="M1577">
        <v>1</v>
      </c>
    </row>
    <row r="1578" spans="1:13" x14ac:dyDescent="0.25">
      <c r="A1578">
        <v>4</v>
      </c>
      <c r="B1578">
        <v>9688982</v>
      </c>
      <c r="C1578">
        <v>6293</v>
      </c>
      <c r="D1578">
        <v>13</v>
      </c>
      <c r="E1578">
        <v>501</v>
      </c>
      <c r="F1578" t="s">
        <v>90</v>
      </c>
      <c r="G1578" t="s">
        <v>91</v>
      </c>
      <c r="H1578">
        <v>501</v>
      </c>
      <c r="I1578" t="s">
        <v>90</v>
      </c>
      <c r="J1578" t="s">
        <v>91</v>
      </c>
      <c r="K1578" t="s">
        <v>1724</v>
      </c>
      <c r="L1578">
        <v>1</v>
      </c>
      <c r="M1578">
        <v>1</v>
      </c>
    </row>
    <row r="1579" spans="1:13" x14ac:dyDescent="0.25">
      <c r="A1579">
        <v>4</v>
      </c>
      <c r="B1579">
        <v>9689674</v>
      </c>
      <c r="C1579">
        <v>6293</v>
      </c>
      <c r="D1579">
        <v>14</v>
      </c>
      <c r="E1579">
        <v>632</v>
      </c>
      <c r="F1579" t="s">
        <v>102</v>
      </c>
      <c r="G1579" t="s">
        <v>103</v>
      </c>
      <c r="H1579">
        <v>632</v>
      </c>
      <c r="I1579" t="s">
        <v>102</v>
      </c>
      <c r="J1579" t="s">
        <v>103</v>
      </c>
      <c r="K1579" t="s">
        <v>1725</v>
      </c>
      <c r="L1579">
        <v>1</v>
      </c>
      <c r="M1579">
        <v>1</v>
      </c>
    </row>
    <row r="1580" spans="1:13" x14ac:dyDescent="0.25">
      <c r="A1580">
        <v>4</v>
      </c>
      <c r="B1580">
        <v>9689724</v>
      </c>
      <c r="C1580">
        <v>6293</v>
      </c>
      <c r="D1580">
        <v>15</v>
      </c>
      <c r="E1580">
        <v>714</v>
      </c>
      <c r="F1580" t="s">
        <v>124</v>
      </c>
      <c r="G1580" t="s">
        <v>125</v>
      </c>
      <c r="H1580">
        <v>714</v>
      </c>
      <c r="I1580" t="s">
        <v>124</v>
      </c>
      <c r="J1580" t="s">
        <v>125</v>
      </c>
      <c r="K1580" t="s">
        <v>1726</v>
      </c>
      <c r="L1580">
        <v>1</v>
      </c>
      <c r="M1580">
        <v>1</v>
      </c>
    </row>
    <row r="1581" spans="1:13" x14ac:dyDescent="0.25">
      <c r="A1581">
        <v>4</v>
      </c>
      <c r="B1581">
        <v>9685449</v>
      </c>
      <c r="C1581">
        <v>6293</v>
      </c>
      <c r="D1581">
        <v>4</v>
      </c>
      <c r="E1581">
        <v>877</v>
      </c>
      <c r="F1581" t="s">
        <v>140</v>
      </c>
      <c r="G1581" t="s">
        <v>141</v>
      </c>
      <c r="H1581">
        <v>877</v>
      </c>
      <c r="I1581" t="s">
        <v>140</v>
      </c>
      <c r="J1581" t="s">
        <v>141</v>
      </c>
      <c r="K1581" t="s">
        <v>1727</v>
      </c>
      <c r="L1581">
        <v>1</v>
      </c>
      <c r="M1581">
        <v>1</v>
      </c>
    </row>
    <row r="1582" spans="1:13" x14ac:dyDescent="0.25">
      <c r="A1582">
        <v>4</v>
      </c>
      <c r="B1582">
        <v>9685926</v>
      </c>
      <c r="C1582">
        <v>6293</v>
      </c>
      <c r="D1582">
        <v>5</v>
      </c>
      <c r="E1582">
        <v>13</v>
      </c>
      <c r="F1582" t="s">
        <v>62</v>
      </c>
      <c r="G1582" t="s">
        <v>63</v>
      </c>
      <c r="H1582">
        <v>13</v>
      </c>
      <c r="I1582" t="s">
        <v>62</v>
      </c>
      <c r="J1582" t="s">
        <v>63</v>
      </c>
      <c r="K1582" t="s">
        <v>1728</v>
      </c>
      <c r="L1582">
        <v>1</v>
      </c>
      <c r="M1582">
        <v>1</v>
      </c>
    </row>
    <row r="1583" spans="1:13" x14ac:dyDescent="0.25">
      <c r="A1583">
        <v>4</v>
      </c>
      <c r="B1583">
        <v>9686854</v>
      </c>
      <c r="C1583">
        <v>6293</v>
      </c>
      <c r="D1583">
        <v>6</v>
      </c>
      <c r="E1583">
        <v>501</v>
      </c>
      <c r="F1583" t="s">
        <v>90</v>
      </c>
      <c r="G1583" t="s">
        <v>91</v>
      </c>
      <c r="H1583">
        <v>501</v>
      </c>
      <c r="I1583" t="s">
        <v>90</v>
      </c>
      <c r="J1583" t="s">
        <v>91</v>
      </c>
      <c r="K1583" t="s">
        <v>1729</v>
      </c>
      <c r="L1583">
        <v>1</v>
      </c>
      <c r="M1583">
        <v>1</v>
      </c>
    </row>
    <row r="1584" spans="1:13" x14ac:dyDescent="0.25">
      <c r="A1584">
        <v>4</v>
      </c>
      <c r="B1584">
        <v>9686854</v>
      </c>
      <c r="C1584">
        <v>6293</v>
      </c>
      <c r="D1584">
        <v>7</v>
      </c>
      <c r="E1584">
        <v>816</v>
      </c>
      <c r="F1584" t="s">
        <v>229</v>
      </c>
      <c r="G1584" t="s">
        <v>230</v>
      </c>
      <c r="H1584">
        <v>816</v>
      </c>
      <c r="I1584" t="s">
        <v>229</v>
      </c>
      <c r="J1584" t="s">
        <v>230</v>
      </c>
      <c r="K1584" t="s">
        <v>1729</v>
      </c>
      <c r="L1584">
        <v>1</v>
      </c>
      <c r="M1584">
        <v>1</v>
      </c>
    </row>
    <row r="1585" spans="1:13" x14ac:dyDescent="0.25">
      <c r="A1585">
        <v>4</v>
      </c>
      <c r="B1585">
        <v>9687404</v>
      </c>
      <c r="C1585">
        <v>6293</v>
      </c>
      <c r="D1585">
        <v>8</v>
      </c>
      <c r="E1585">
        <v>794</v>
      </c>
      <c r="F1585" t="s">
        <v>780</v>
      </c>
      <c r="G1585" t="s">
        <v>781</v>
      </c>
      <c r="H1585">
        <v>794</v>
      </c>
      <c r="I1585" t="s">
        <v>780</v>
      </c>
      <c r="J1585" t="s">
        <v>781</v>
      </c>
      <c r="K1585" t="s">
        <v>1366</v>
      </c>
      <c r="L1585">
        <v>1</v>
      </c>
      <c r="M1585">
        <v>0</v>
      </c>
    </row>
    <row r="1586" spans="1:13" x14ac:dyDescent="0.25">
      <c r="A1586">
        <v>4</v>
      </c>
      <c r="B1586">
        <v>9688057</v>
      </c>
      <c r="C1586">
        <v>6293</v>
      </c>
      <c r="D1586">
        <v>9</v>
      </c>
      <c r="E1586">
        <v>632</v>
      </c>
      <c r="F1586" t="s">
        <v>102</v>
      </c>
      <c r="G1586" t="s">
        <v>103</v>
      </c>
      <c r="H1586">
        <v>632</v>
      </c>
      <c r="I1586" t="s">
        <v>102</v>
      </c>
      <c r="J1586" t="s">
        <v>103</v>
      </c>
      <c r="K1586" t="s">
        <v>1730</v>
      </c>
      <c r="L1586">
        <v>1</v>
      </c>
      <c r="M1586">
        <v>1</v>
      </c>
    </row>
    <row r="1587" spans="1:13" x14ac:dyDescent="0.25">
      <c r="A1587">
        <v>4</v>
      </c>
      <c r="B1587">
        <v>9688354</v>
      </c>
      <c r="C1587">
        <v>6293</v>
      </c>
      <c r="D1587">
        <v>10</v>
      </c>
      <c r="E1587">
        <v>404</v>
      </c>
      <c r="F1587" t="s">
        <v>80</v>
      </c>
      <c r="G1587" t="s">
        <v>81</v>
      </c>
      <c r="H1587">
        <v>404</v>
      </c>
      <c r="I1587" t="s">
        <v>80</v>
      </c>
      <c r="J1587" t="s">
        <v>81</v>
      </c>
      <c r="K1587" t="s">
        <v>1731</v>
      </c>
      <c r="L1587">
        <v>1</v>
      </c>
      <c r="M1587">
        <v>1</v>
      </c>
    </row>
    <row r="1588" spans="1:13" x14ac:dyDescent="0.25">
      <c r="A1588">
        <v>4</v>
      </c>
      <c r="B1588">
        <v>9681826</v>
      </c>
      <c r="C1588">
        <v>6293</v>
      </c>
      <c r="D1588">
        <v>1</v>
      </c>
      <c r="E1588">
        <v>501</v>
      </c>
      <c r="F1588" t="s">
        <v>90</v>
      </c>
      <c r="G1588" t="s">
        <v>91</v>
      </c>
      <c r="H1588">
        <v>501</v>
      </c>
      <c r="I1588" t="s">
        <v>90</v>
      </c>
      <c r="J1588" t="s">
        <v>91</v>
      </c>
      <c r="K1588" t="s">
        <v>1732</v>
      </c>
      <c r="L1588">
        <v>1</v>
      </c>
      <c r="M1588">
        <v>1</v>
      </c>
    </row>
    <row r="1589" spans="1:13" x14ac:dyDescent="0.25">
      <c r="A1589">
        <v>4</v>
      </c>
      <c r="B1589">
        <v>9682598</v>
      </c>
      <c r="C1589">
        <v>6293</v>
      </c>
      <c r="D1589">
        <v>2</v>
      </c>
      <c r="E1589">
        <v>704</v>
      </c>
      <c r="F1589" t="s">
        <v>122</v>
      </c>
      <c r="G1589" t="s">
        <v>123</v>
      </c>
      <c r="H1589">
        <v>704</v>
      </c>
      <c r="I1589" t="s">
        <v>122</v>
      </c>
      <c r="J1589" t="s">
        <v>123</v>
      </c>
      <c r="K1589" t="s">
        <v>1733</v>
      </c>
      <c r="L1589">
        <v>1</v>
      </c>
      <c r="M1589">
        <v>1</v>
      </c>
    </row>
    <row r="1590" spans="1:13" x14ac:dyDescent="0.25">
      <c r="A1590">
        <v>4</v>
      </c>
      <c r="B1590">
        <v>9685237</v>
      </c>
      <c r="C1590">
        <v>6293</v>
      </c>
      <c r="D1590">
        <v>3</v>
      </c>
      <c r="E1590">
        <v>501</v>
      </c>
      <c r="F1590" t="s">
        <v>90</v>
      </c>
      <c r="G1590" t="s">
        <v>91</v>
      </c>
      <c r="H1590">
        <v>501</v>
      </c>
      <c r="I1590" t="s">
        <v>90</v>
      </c>
      <c r="J1590" t="s">
        <v>91</v>
      </c>
      <c r="K1590" t="s">
        <v>1734</v>
      </c>
      <c r="L1590">
        <v>1</v>
      </c>
      <c r="M1590">
        <v>1</v>
      </c>
    </row>
    <row r="1591" spans="1:13" x14ac:dyDescent="0.25">
      <c r="A1591">
        <v>6</v>
      </c>
      <c r="B1591">
        <v>968249</v>
      </c>
      <c r="C1591">
        <v>6295</v>
      </c>
      <c r="D1591">
        <v>7</v>
      </c>
      <c r="E1591">
        <v>584</v>
      </c>
      <c r="F1591" t="s">
        <v>96</v>
      </c>
      <c r="G1591" t="s">
        <v>97</v>
      </c>
      <c r="H1591">
        <v>584</v>
      </c>
      <c r="I1591" t="s">
        <v>96</v>
      </c>
      <c r="J1591" t="s">
        <v>97</v>
      </c>
      <c r="K1591" t="s">
        <v>1735</v>
      </c>
      <c r="L1591">
        <v>1</v>
      </c>
      <c r="M1591">
        <v>1</v>
      </c>
    </row>
    <row r="1592" spans="1:13" x14ac:dyDescent="0.25">
      <c r="A1592">
        <v>6</v>
      </c>
      <c r="B1592">
        <v>968785</v>
      </c>
      <c r="C1592">
        <v>6295</v>
      </c>
      <c r="D1592">
        <v>8</v>
      </c>
      <c r="E1592">
        <v>842</v>
      </c>
      <c r="F1592" t="s">
        <v>366</v>
      </c>
      <c r="G1592" t="s">
        <v>367</v>
      </c>
      <c r="H1592">
        <v>842</v>
      </c>
      <c r="I1592" t="s">
        <v>366</v>
      </c>
      <c r="J1592" t="s">
        <v>367</v>
      </c>
      <c r="K1592" t="s">
        <v>1736</v>
      </c>
      <c r="L1592">
        <v>1</v>
      </c>
      <c r="M1592">
        <v>1</v>
      </c>
    </row>
    <row r="1593" spans="1:13" x14ac:dyDescent="0.25">
      <c r="A1593">
        <v>6</v>
      </c>
      <c r="B1593">
        <v>968792</v>
      </c>
      <c r="C1593">
        <v>6295</v>
      </c>
      <c r="D1593">
        <v>9</v>
      </c>
      <c r="E1593">
        <v>584</v>
      </c>
      <c r="F1593" t="s">
        <v>96</v>
      </c>
      <c r="G1593" t="s">
        <v>97</v>
      </c>
      <c r="H1593">
        <v>584</v>
      </c>
      <c r="I1593" t="s">
        <v>96</v>
      </c>
      <c r="J1593" t="s">
        <v>97</v>
      </c>
      <c r="K1593" t="s">
        <v>1737</v>
      </c>
      <c r="L1593">
        <v>1</v>
      </c>
      <c r="M1593">
        <v>1</v>
      </c>
    </row>
    <row r="1594" spans="1:13" x14ac:dyDescent="0.25">
      <c r="A1594">
        <v>6</v>
      </c>
      <c r="B1594">
        <v>967119</v>
      </c>
      <c r="C1594">
        <v>6295</v>
      </c>
      <c r="D1594">
        <v>1</v>
      </c>
      <c r="E1594">
        <v>141</v>
      </c>
      <c r="F1594" t="s">
        <v>64</v>
      </c>
      <c r="G1594" t="s">
        <v>65</v>
      </c>
      <c r="H1594">
        <v>141</v>
      </c>
      <c r="I1594" t="s">
        <v>64</v>
      </c>
      <c r="J1594" t="s">
        <v>65</v>
      </c>
      <c r="K1594" t="s">
        <v>1738</v>
      </c>
      <c r="L1594">
        <v>1</v>
      </c>
      <c r="M1594">
        <v>1</v>
      </c>
    </row>
    <row r="1595" spans="1:13" x14ac:dyDescent="0.25">
      <c r="A1595">
        <v>6</v>
      </c>
      <c r="B1595">
        <v>967221</v>
      </c>
      <c r="C1595">
        <v>6295</v>
      </c>
      <c r="D1595">
        <v>2</v>
      </c>
      <c r="E1595">
        <v>954</v>
      </c>
      <c r="F1595" t="s">
        <v>245</v>
      </c>
      <c r="G1595" t="s">
        <v>246</v>
      </c>
      <c r="H1595">
        <v>954</v>
      </c>
      <c r="I1595" t="s">
        <v>245</v>
      </c>
      <c r="J1595" t="s">
        <v>246</v>
      </c>
      <c r="K1595" t="s">
        <v>1739</v>
      </c>
      <c r="L1595">
        <v>1</v>
      </c>
      <c r="M1595">
        <v>1</v>
      </c>
    </row>
    <row r="1596" spans="1:13" x14ac:dyDescent="0.25">
      <c r="A1596">
        <v>6</v>
      </c>
      <c r="B1596">
        <v>967227</v>
      </c>
      <c r="C1596">
        <v>6295</v>
      </c>
      <c r="D1596">
        <v>3</v>
      </c>
      <c r="E1596">
        <v>834</v>
      </c>
      <c r="F1596" t="s">
        <v>300</v>
      </c>
      <c r="G1596" t="s">
        <v>301</v>
      </c>
      <c r="H1596">
        <v>834</v>
      </c>
      <c r="I1596" t="s">
        <v>300</v>
      </c>
      <c r="J1596" t="s">
        <v>301</v>
      </c>
      <c r="K1596" t="s">
        <v>1740</v>
      </c>
      <c r="L1596">
        <v>2</v>
      </c>
      <c r="M1596">
        <v>2</v>
      </c>
    </row>
    <row r="1597" spans="1:13" x14ac:dyDescent="0.25">
      <c r="A1597">
        <v>6</v>
      </c>
      <c r="B1597">
        <v>967383</v>
      </c>
      <c r="C1597">
        <v>6295</v>
      </c>
      <c r="D1597">
        <v>4</v>
      </c>
      <c r="E1597">
        <v>534</v>
      </c>
      <c r="F1597" t="s">
        <v>94</v>
      </c>
      <c r="G1597" t="s">
        <v>95</v>
      </c>
      <c r="H1597">
        <v>534</v>
      </c>
      <c r="I1597" t="s">
        <v>94</v>
      </c>
      <c r="J1597" t="s">
        <v>95</v>
      </c>
      <c r="K1597" t="s">
        <v>1741</v>
      </c>
      <c r="L1597">
        <v>1</v>
      </c>
      <c r="M1597">
        <v>1</v>
      </c>
    </row>
    <row r="1598" spans="1:13" x14ac:dyDescent="0.25">
      <c r="A1598">
        <v>6</v>
      </c>
      <c r="B1598">
        <v>967633</v>
      </c>
      <c r="C1598">
        <v>6295</v>
      </c>
      <c r="D1598">
        <v>5</v>
      </c>
      <c r="E1598">
        <v>13</v>
      </c>
      <c r="F1598" t="s">
        <v>62</v>
      </c>
      <c r="G1598" t="s">
        <v>63</v>
      </c>
      <c r="H1598">
        <v>13</v>
      </c>
      <c r="I1598" t="s">
        <v>62</v>
      </c>
      <c r="J1598" t="s">
        <v>63</v>
      </c>
      <c r="K1598" t="s">
        <v>1742</v>
      </c>
      <c r="L1598">
        <v>1</v>
      </c>
      <c r="M1598">
        <v>1</v>
      </c>
    </row>
    <row r="1599" spans="1:13" x14ac:dyDescent="0.25">
      <c r="A1599">
        <v>9</v>
      </c>
      <c r="B1599">
        <v>9179737</v>
      </c>
      <c r="C1599">
        <v>5750</v>
      </c>
      <c r="D1599">
        <v>1</v>
      </c>
      <c r="E1599">
        <v>678</v>
      </c>
      <c r="F1599" t="s">
        <v>1329</v>
      </c>
      <c r="G1599" t="s">
        <v>1330</v>
      </c>
      <c r="H1599">
        <v>678</v>
      </c>
      <c r="I1599" t="s">
        <v>1329</v>
      </c>
      <c r="J1599" t="s">
        <v>1330</v>
      </c>
      <c r="K1599" t="s">
        <v>49</v>
      </c>
      <c r="L1599">
        <v>1</v>
      </c>
      <c r="M1599">
        <v>1</v>
      </c>
    </row>
    <row r="1600" spans="1:13" x14ac:dyDescent="0.25">
      <c r="A1600">
        <v>9</v>
      </c>
      <c r="B1600">
        <v>9181185</v>
      </c>
      <c r="C1600">
        <v>5794</v>
      </c>
      <c r="D1600">
        <v>4</v>
      </c>
      <c r="E1600">
        <v>711</v>
      </c>
      <c r="F1600" t="s">
        <v>232</v>
      </c>
      <c r="G1600" t="s">
        <v>233</v>
      </c>
      <c r="H1600">
        <v>711</v>
      </c>
      <c r="I1600" t="s">
        <v>232</v>
      </c>
      <c r="J1600" t="s">
        <v>233</v>
      </c>
      <c r="K1600" t="s">
        <v>1743</v>
      </c>
      <c r="L1600">
        <v>1</v>
      </c>
      <c r="M1600">
        <v>1</v>
      </c>
    </row>
    <row r="1601" spans="1:13" x14ac:dyDescent="0.25">
      <c r="A1601">
        <v>9</v>
      </c>
      <c r="B1601">
        <v>9180949</v>
      </c>
      <c r="C1601">
        <v>5805</v>
      </c>
      <c r="D1601">
        <v>1</v>
      </c>
      <c r="E1601">
        <v>674</v>
      </c>
      <c r="F1601" t="s">
        <v>112</v>
      </c>
      <c r="G1601" t="s">
        <v>113</v>
      </c>
      <c r="H1601">
        <v>674</v>
      </c>
      <c r="I1601" t="s">
        <v>112</v>
      </c>
      <c r="J1601" t="s">
        <v>113</v>
      </c>
      <c r="K1601" t="s">
        <v>49</v>
      </c>
      <c r="L1601">
        <v>1</v>
      </c>
      <c r="M1601">
        <v>1</v>
      </c>
    </row>
    <row r="1602" spans="1:13" x14ac:dyDescent="0.25">
      <c r="A1602">
        <v>3</v>
      </c>
      <c r="B1602">
        <v>342963</v>
      </c>
      <c r="C1602">
        <v>5818</v>
      </c>
      <c r="D1602">
        <v>1</v>
      </c>
      <c r="E1602">
        <v>970</v>
      </c>
      <c r="F1602" t="s">
        <v>436</v>
      </c>
      <c r="G1602" t="s">
        <v>437</v>
      </c>
      <c r="H1602">
        <v>506</v>
      </c>
      <c r="I1602" t="s">
        <v>92</v>
      </c>
      <c r="J1602" t="s">
        <v>93</v>
      </c>
      <c r="K1602" t="s">
        <v>49</v>
      </c>
      <c r="L1602">
        <v>2</v>
      </c>
      <c r="M1602">
        <v>2</v>
      </c>
    </row>
    <row r="1603" spans="1:13" x14ac:dyDescent="0.25">
      <c r="A1603">
        <v>3</v>
      </c>
      <c r="B1603">
        <v>342963</v>
      </c>
      <c r="C1603">
        <v>5818</v>
      </c>
      <c r="D1603">
        <v>2</v>
      </c>
      <c r="E1603">
        <v>821</v>
      </c>
      <c r="F1603" t="s">
        <v>132</v>
      </c>
      <c r="G1603" t="s">
        <v>133</v>
      </c>
      <c r="H1603">
        <v>821</v>
      </c>
      <c r="I1603" t="s">
        <v>132</v>
      </c>
      <c r="J1603" t="s">
        <v>133</v>
      </c>
      <c r="K1603" t="s">
        <v>49</v>
      </c>
      <c r="L1603">
        <v>2</v>
      </c>
      <c r="M1603">
        <v>2</v>
      </c>
    </row>
    <row r="1604" spans="1:13" x14ac:dyDescent="0.25">
      <c r="A1604">
        <v>3</v>
      </c>
      <c r="B1604">
        <v>342963</v>
      </c>
      <c r="C1604">
        <v>5818</v>
      </c>
      <c r="D1604">
        <v>3</v>
      </c>
      <c r="E1604">
        <v>824</v>
      </c>
      <c r="F1604" t="s">
        <v>134</v>
      </c>
      <c r="G1604" t="s">
        <v>135</v>
      </c>
      <c r="H1604">
        <v>824</v>
      </c>
      <c r="I1604" t="s">
        <v>134</v>
      </c>
      <c r="J1604" t="s">
        <v>135</v>
      </c>
      <c r="K1604" t="s">
        <v>49</v>
      </c>
      <c r="L1604">
        <v>1</v>
      </c>
      <c r="M1604">
        <v>1</v>
      </c>
    </row>
    <row r="1605" spans="1:13" x14ac:dyDescent="0.25">
      <c r="A1605">
        <v>9</v>
      </c>
      <c r="B1605">
        <v>9179114</v>
      </c>
      <c r="C1605">
        <v>5832</v>
      </c>
      <c r="D1605">
        <v>5</v>
      </c>
      <c r="E1605">
        <v>774</v>
      </c>
      <c r="F1605" t="s">
        <v>240</v>
      </c>
      <c r="G1605" t="s">
        <v>241</v>
      </c>
      <c r="H1605">
        <v>774</v>
      </c>
      <c r="I1605" t="s">
        <v>240</v>
      </c>
      <c r="J1605" t="s">
        <v>241</v>
      </c>
      <c r="K1605" t="s">
        <v>1113</v>
      </c>
      <c r="L1605">
        <v>1</v>
      </c>
      <c r="M1605">
        <v>0</v>
      </c>
    </row>
    <row r="1606" spans="1:13" x14ac:dyDescent="0.25">
      <c r="A1606">
        <v>9</v>
      </c>
      <c r="B1606">
        <v>9183169</v>
      </c>
      <c r="C1606">
        <v>5832</v>
      </c>
      <c r="D1606">
        <v>4</v>
      </c>
      <c r="E1606">
        <v>584</v>
      </c>
      <c r="F1606" t="s">
        <v>96</v>
      </c>
      <c r="G1606" t="s">
        <v>97</v>
      </c>
      <c r="H1606">
        <v>584</v>
      </c>
      <c r="I1606" t="s">
        <v>96</v>
      </c>
      <c r="J1606" t="s">
        <v>97</v>
      </c>
      <c r="K1606" t="s">
        <v>1744</v>
      </c>
      <c r="L1606">
        <v>1</v>
      </c>
      <c r="M1606">
        <v>1</v>
      </c>
    </row>
    <row r="1607" spans="1:13" x14ac:dyDescent="0.25">
      <c r="A1607">
        <v>9</v>
      </c>
      <c r="B1607">
        <v>9182367</v>
      </c>
      <c r="C1607">
        <v>5832</v>
      </c>
      <c r="D1607">
        <v>1</v>
      </c>
      <c r="E1607">
        <v>496</v>
      </c>
      <c r="F1607" t="s">
        <v>234</v>
      </c>
      <c r="G1607" t="s">
        <v>235</v>
      </c>
      <c r="H1607">
        <v>496</v>
      </c>
      <c r="I1607" t="s">
        <v>234</v>
      </c>
      <c r="J1607" t="s">
        <v>235</v>
      </c>
      <c r="K1607" t="s">
        <v>1745</v>
      </c>
      <c r="L1607">
        <v>1</v>
      </c>
      <c r="M1607">
        <v>1</v>
      </c>
    </row>
    <row r="1608" spans="1:13" x14ac:dyDescent="0.25">
      <c r="A1608">
        <v>9</v>
      </c>
      <c r="B1608">
        <v>9182743</v>
      </c>
      <c r="C1608">
        <v>5832</v>
      </c>
      <c r="D1608">
        <v>3</v>
      </c>
      <c r="E1608">
        <v>511</v>
      </c>
      <c r="F1608" t="s">
        <v>736</v>
      </c>
      <c r="G1608" t="s">
        <v>737</v>
      </c>
      <c r="H1608">
        <v>511</v>
      </c>
      <c r="I1608" t="s">
        <v>736</v>
      </c>
      <c r="J1608" t="s">
        <v>737</v>
      </c>
      <c r="K1608" t="s">
        <v>1746</v>
      </c>
      <c r="L1608">
        <v>1</v>
      </c>
      <c r="M1608">
        <v>1</v>
      </c>
    </row>
    <row r="1609" spans="1:13" x14ac:dyDescent="0.25">
      <c r="A1609">
        <v>9</v>
      </c>
      <c r="B1609">
        <v>9183128</v>
      </c>
      <c r="C1609">
        <v>5832</v>
      </c>
      <c r="D1609">
        <v>2</v>
      </c>
      <c r="E1609">
        <v>13</v>
      </c>
      <c r="F1609" t="s">
        <v>62</v>
      </c>
      <c r="G1609" t="s">
        <v>63</v>
      </c>
      <c r="H1609">
        <v>13</v>
      </c>
      <c r="I1609" t="s">
        <v>62</v>
      </c>
      <c r="J1609" t="s">
        <v>63</v>
      </c>
      <c r="K1609" t="s">
        <v>1747</v>
      </c>
      <c r="L1609">
        <v>1</v>
      </c>
      <c r="M1609">
        <v>1</v>
      </c>
    </row>
    <row r="1610" spans="1:13" x14ac:dyDescent="0.25">
      <c r="A1610">
        <v>24</v>
      </c>
      <c r="B1610">
        <v>5096593</v>
      </c>
      <c r="C1610">
        <v>5842</v>
      </c>
      <c r="D1610">
        <v>1</v>
      </c>
      <c r="E1610">
        <v>675</v>
      </c>
      <c r="F1610" t="s">
        <v>310</v>
      </c>
      <c r="G1610" t="s">
        <v>311</v>
      </c>
      <c r="H1610">
        <v>675</v>
      </c>
      <c r="I1610" t="s">
        <v>310</v>
      </c>
      <c r="J1610" t="s">
        <v>311</v>
      </c>
      <c r="K1610" t="s">
        <v>49</v>
      </c>
      <c r="L1610">
        <v>4</v>
      </c>
      <c r="M1610">
        <v>4</v>
      </c>
    </row>
    <row r="1611" spans="1:13" x14ac:dyDescent="0.25">
      <c r="A1611">
        <v>24</v>
      </c>
      <c r="B1611">
        <v>5096593</v>
      </c>
      <c r="C1611">
        <v>5842</v>
      </c>
      <c r="D1611">
        <v>2</v>
      </c>
      <c r="E1611">
        <v>898</v>
      </c>
      <c r="F1611" t="s">
        <v>1748</v>
      </c>
      <c r="G1611" t="s">
        <v>1749</v>
      </c>
      <c r="H1611">
        <v>766</v>
      </c>
      <c r="I1611" t="s">
        <v>880</v>
      </c>
      <c r="J1611" t="s">
        <v>881</v>
      </c>
      <c r="K1611" t="s">
        <v>49</v>
      </c>
      <c r="L1611">
        <v>3</v>
      </c>
      <c r="M1611">
        <v>3</v>
      </c>
    </row>
    <row r="1612" spans="1:13" x14ac:dyDescent="0.25">
      <c r="A1612">
        <v>24</v>
      </c>
      <c r="B1612">
        <v>5096593</v>
      </c>
      <c r="C1612">
        <v>5842</v>
      </c>
      <c r="D1612">
        <v>3</v>
      </c>
      <c r="E1612">
        <v>892</v>
      </c>
      <c r="F1612" t="s">
        <v>142</v>
      </c>
      <c r="G1612" t="s">
        <v>143</v>
      </c>
      <c r="H1612">
        <v>892</v>
      </c>
      <c r="I1612" t="s">
        <v>142</v>
      </c>
      <c r="J1612" t="s">
        <v>143</v>
      </c>
      <c r="K1612" t="s">
        <v>49</v>
      </c>
      <c r="L1612">
        <v>2</v>
      </c>
      <c r="M1612">
        <v>2</v>
      </c>
    </row>
    <row r="1613" spans="1:13" x14ac:dyDescent="0.25">
      <c r="A1613">
        <v>9</v>
      </c>
      <c r="B1613">
        <v>9183759</v>
      </c>
      <c r="C1613">
        <v>5859</v>
      </c>
      <c r="D1613">
        <v>8</v>
      </c>
      <c r="E1613">
        <v>666</v>
      </c>
      <c r="F1613" t="s">
        <v>1646</v>
      </c>
      <c r="G1613" t="s">
        <v>1647</v>
      </c>
      <c r="H1613">
        <v>666</v>
      </c>
      <c r="I1613" t="s">
        <v>1646</v>
      </c>
      <c r="J1613" t="s">
        <v>1647</v>
      </c>
      <c r="K1613" t="s">
        <v>1750</v>
      </c>
      <c r="L1613">
        <v>1</v>
      </c>
      <c r="M1613">
        <v>1</v>
      </c>
    </row>
    <row r="1614" spans="1:13" x14ac:dyDescent="0.25">
      <c r="A1614">
        <v>9</v>
      </c>
      <c r="B1614">
        <v>9183880</v>
      </c>
      <c r="C1614">
        <v>5859</v>
      </c>
      <c r="D1614">
        <v>11</v>
      </c>
      <c r="E1614">
        <v>584</v>
      </c>
      <c r="F1614" t="s">
        <v>96</v>
      </c>
      <c r="G1614" t="s">
        <v>97</v>
      </c>
      <c r="H1614">
        <v>584</v>
      </c>
      <c r="I1614" t="s">
        <v>96</v>
      </c>
      <c r="J1614" t="s">
        <v>97</v>
      </c>
      <c r="K1614" t="s">
        <v>1751</v>
      </c>
      <c r="L1614">
        <v>1</v>
      </c>
      <c r="M1614">
        <v>1</v>
      </c>
    </row>
    <row r="1615" spans="1:13" x14ac:dyDescent="0.25">
      <c r="A1615">
        <v>9</v>
      </c>
      <c r="B1615">
        <v>9183880</v>
      </c>
      <c r="C1615">
        <v>5859</v>
      </c>
      <c r="D1615">
        <v>12</v>
      </c>
      <c r="E1615">
        <v>584</v>
      </c>
      <c r="F1615" t="s">
        <v>96</v>
      </c>
      <c r="G1615" t="s">
        <v>97</v>
      </c>
      <c r="H1615">
        <v>584</v>
      </c>
      <c r="I1615" t="s">
        <v>96</v>
      </c>
      <c r="J1615" t="s">
        <v>97</v>
      </c>
      <c r="K1615" t="s">
        <v>1752</v>
      </c>
      <c r="L1615">
        <v>1</v>
      </c>
      <c r="M1615">
        <v>1</v>
      </c>
    </row>
    <row r="1616" spans="1:13" x14ac:dyDescent="0.25">
      <c r="A1616">
        <v>9</v>
      </c>
      <c r="B1616">
        <v>9183759</v>
      </c>
      <c r="C1616">
        <v>5860</v>
      </c>
      <c r="D1616">
        <v>1</v>
      </c>
      <c r="E1616">
        <v>13</v>
      </c>
      <c r="F1616" t="s">
        <v>62</v>
      </c>
      <c r="G1616" t="s">
        <v>63</v>
      </c>
      <c r="H1616">
        <v>13</v>
      </c>
      <c r="I1616" t="s">
        <v>62</v>
      </c>
      <c r="J1616" t="s">
        <v>63</v>
      </c>
      <c r="K1616" t="s">
        <v>1753</v>
      </c>
      <c r="L1616">
        <v>1</v>
      </c>
      <c r="M1616">
        <v>1</v>
      </c>
    </row>
    <row r="1617" spans="1:13" x14ac:dyDescent="0.25">
      <c r="A1617">
        <v>9</v>
      </c>
      <c r="B1617">
        <v>9183880</v>
      </c>
      <c r="C1617">
        <v>5861</v>
      </c>
      <c r="D1617">
        <v>1</v>
      </c>
      <c r="E1617">
        <v>716</v>
      </c>
      <c r="F1617" t="s">
        <v>342</v>
      </c>
      <c r="G1617" t="s">
        <v>343</v>
      </c>
      <c r="H1617">
        <v>716</v>
      </c>
      <c r="I1617" t="s">
        <v>342</v>
      </c>
      <c r="J1617" t="s">
        <v>343</v>
      </c>
      <c r="K1617" t="s">
        <v>1754</v>
      </c>
      <c r="L1617">
        <v>1</v>
      </c>
      <c r="M1617">
        <v>1</v>
      </c>
    </row>
    <row r="1618" spans="1:13" x14ac:dyDescent="0.25">
      <c r="A1618">
        <v>9</v>
      </c>
      <c r="B1618">
        <v>9182636</v>
      </c>
      <c r="C1618">
        <v>5862</v>
      </c>
      <c r="D1618">
        <v>2</v>
      </c>
      <c r="E1618">
        <v>970</v>
      </c>
      <c r="F1618" t="s">
        <v>436</v>
      </c>
      <c r="G1618" t="s">
        <v>437</v>
      </c>
      <c r="H1618">
        <v>506</v>
      </c>
      <c r="I1618" t="s">
        <v>92</v>
      </c>
      <c r="J1618" t="s">
        <v>93</v>
      </c>
      <c r="K1618" t="s">
        <v>49</v>
      </c>
      <c r="L1618">
        <v>1</v>
      </c>
      <c r="M1618">
        <v>1</v>
      </c>
    </row>
    <row r="1619" spans="1:13" x14ac:dyDescent="0.25">
      <c r="A1619">
        <v>9</v>
      </c>
      <c r="B1619">
        <v>9181883</v>
      </c>
      <c r="C1619">
        <v>5862</v>
      </c>
      <c r="D1619">
        <v>1</v>
      </c>
      <c r="E1619">
        <v>753</v>
      </c>
      <c r="F1619" t="s">
        <v>223</v>
      </c>
      <c r="G1619" t="s">
        <v>224</v>
      </c>
      <c r="H1619">
        <v>753</v>
      </c>
      <c r="I1619" t="s">
        <v>223</v>
      </c>
      <c r="J1619" t="s">
        <v>224</v>
      </c>
      <c r="K1619" t="s">
        <v>49</v>
      </c>
      <c r="L1619">
        <v>1</v>
      </c>
      <c r="M1619">
        <v>1</v>
      </c>
    </row>
    <row r="1620" spans="1:13" x14ac:dyDescent="0.25">
      <c r="A1620">
        <v>9</v>
      </c>
      <c r="B1620">
        <v>9184736</v>
      </c>
      <c r="C1620">
        <v>5874</v>
      </c>
      <c r="D1620">
        <v>7</v>
      </c>
      <c r="E1620">
        <v>639</v>
      </c>
      <c r="F1620" t="s">
        <v>106</v>
      </c>
      <c r="G1620" t="s">
        <v>107</v>
      </c>
      <c r="H1620">
        <v>639</v>
      </c>
      <c r="I1620" t="s">
        <v>106</v>
      </c>
      <c r="J1620" t="s">
        <v>107</v>
      </c>
      <c r="K1620" t="s">
        <v>1755</v>
      </c>
      <c r="L1620">
        <v>1</v>
      </c>
      <c r="M1620">
        <v>1</v>
      </c>
    </row>
    <row r="1621" spans="1:13" x14ac:dyDescent="0.25">
      <c r="A1621">
        <v>9</v>
      </c>
      <c r="B1621">
        <v>9184436</v>
      </c>
      <c r="C1621">
        <v>5874</v>
      </c>
      <c r="D1621">
        <v>2</v>
      </c>
      <c r="E1621">
        <v>674</v>
      </c>
      <c r="F1621" t="s">
        <v>112</v>
      </c>
      <c r="G1621" t="s">
        <v>113</v>
      </c>
      <c r="H1621">
        <v>674</v>
      </c>
      <c r="I1621" t="s">
        <v>112</v>
      </c>
      <c r="J1621" t="s">
        <v>113</v>
      </c>
      <c r="K1621" t="s">
        <v>1756</v>
      </c>
      <c r="L1621">
        <v>1</v>
      </c>
      <c r="M1621">
        <v>1</v>
      </c>
    </row>
    <row r="1622" spans="1:13" x14ac:dyDescent="0.25">
      <c r="A1622">
        <v>9</v>
      </c>
      <c r="B1622">
        <v>9184436</v>
      </c>
      <c r="C1622">
        <v>5874</v>
      </c>
      <c r="D1622">
        <v>3</v>
      </c>
      <c r="E1622">
        <v>686</v>
      </c>
      <c r="F1622" t="s">
        <v>372</v>
      </c>
      <c r="G1622" t="s">
        <v>373</v>
      </c>
      <c r="H1622">
        <v>686</v>
      </c>
      <c r="I1622" t="s">
        <v>372</v>
      </c>
      <c r="J1622" t="s">
        <v>373</v>
      </c>
      <c r="K1622" t="s">
        <v>1757</v>
      </c>
      <c r="L1622">
        <v>1</v>
      </c>
      <c r="M1622">
        <v>1</v>
      </c>
    </row>
    <row r="1623" spans="1:13" x14ac:dyDescent="0.25">
      <c r="A1623">
        <v>9</v>
      </c>
      <c r="B1623">
        <v>9184736</v>
      </c>
      <c r="C1623">
        <v>5876</v>
      </c>
      <c r="D1623">
        <v>2</v>
      </c>
      <c r="E1623">
        <v>641</v>
      </c>
      <c r="F1623" t="s">
        <v>108</v>
      </c>
      <c r="G1623" t="s">
        <v>109</v>
      </c>
      <c r="H1623">
        <v>641</v>
      </c>
      <c r="I1623" t="s">
        <v>108</v>
      </c>
      <c r="J1623" t="s">
        <v>109</v>
      </c>
      <c r="K1623" t="s">
        <v>1758</v>
      </c>
      <c r="L1623">
        <v>1</v>
      </c>
      <c r="M1623">
        <v>1</v>
      </c>
    </row>
    <row r="1624" spans="1:13" x14ac:dyDescent="0.25">
      <c r="A1624">
        <v>9</v>
      </c>
      <c r="B1624">
        <v>9184436</v>
      </c>
      <c r="C1624">
        <v>5876</v>
      </c>
      <c r="D1624">
        <v>1</v>
      </c>
      <c r="E1624">
        <v>666</v>
      </c>
      <c r="F1624" t="s">
        <v>1646</v>
      </c>
      <c r="G1624" t="s">
        <v>1647</v>
      </c>
      <c r="H1624">
        <v>666</v>
      </c>
      <c r="I1624" t="s">
        <v>1646</v>
      </c>
      <c r="J1624" t="s">
        <v>1647</v>
      </c>
      <c r="K1624" t="s">
        <v>1759</v>
      </c>
      <c r="L1624">
        <v>1</v>
      </c>
      <c r="M1624">
        <v>1</v>
      </c>
    </row>
    <row r="1625" spans="1:13" x14ac:dyDescent="0.25">
      <c r="A1625">
        <v>4</v>
      </c>
      <c r="B1625">
        <v>9591330</v>
      </c>
      <c r="C1625">
        <v>5895</v>
      </c>
      <c r="D1625">
        <v>1</v>
      </c>
      <c r="E1625">
        <v>704</v>
      </c>
      <c r="F1625" t="s">
        <v>122</v>
      </c>
      <c r="G1625" t="s">
        <v>123</v>
      </c>
      <c r="H1625">
        <v>704</v>
      </c>
      <c r="I1625" t="s">
        <v>122</v>
      </c>
      <c r="J1625" t="s">
        <v>123</v>
      </c>
      <c r="K1625" t="s">
        <v>1760</v>
      </c>
      <c r="L1625">
        <v>1</v>
      </c>
      <c r="M1625">
        <v>1</v>
      </c>
    </row>
    <row r="1626" spans="1:13" x14ac:dyDescent="0.25">
      <c r="A1626">
        <v>4</v>
      </c>
      <c r="B1626">
        <v>9592937</v>
      </c>
      <c r="C1626">
        <v>5895</v>
      </c>
      <c r="D1626">
        <v>2</v>
      </c>
      <c r="E1626">
        <v>702</v>
      </c>
      <c r="F1626" t="s">
        <v>120</v>
      </c>
      <c r="G1626" t="s">
        <v>121</v>
      </c>
      <c r="H1626">
        <v>702</v>
      </c>
      <c r="I1626" t="s">
        <v>120</v>
      </c>
      <c r="J1626" t="s">
        <v>121</v>
      </c>
      <c r="K1626" t="s">
        <v>1761</v>
      </c>
      <c r="L1626">
        <v>1</v>
      </c>
      <c r="M1626">
        <v>1</v>
      </c>
    </row>
    <row r="1627" spans="1:13" x14ac:dyDescent="0.25">
      <c r="A1627">
        <v>4</v>
      </c>
      <c r="B1627">
        <v>9600224</v>
      </c>
      <c r="C1627">
        <v>5895</v>
      </c>
      <c r="D1627">
        <v>5</v>
      </c>
      <c r="E1627">
        <v>179</v>
      </c>
      <c r="F1627" t="s">
        <v>66</v>
      </c>
      <c r="G1627" t="s">
        <v>67</v>
      </c>
      <c r="H1627">
        <v>179</v>
      </c>
      <c r="I1627" t="s">
        <v>66</v>
      </c>
      <c r="J1627" t="s">
        <v>67</v>
      </c>
      <c r="K1627" t="s">
        <v>1762</v>
      </c>
      <c r="L1627">
        <v>1</v>
      </c>
      <c r="M1627">
        <v>1</v>
      </c>
    </row>
    <row r="1628" spans="1:13" x14ac:dyDescent="0.25">
      <c r="A1628">
        <v>4</v>
      </c>
      <c r="B1628">
        <v>9599649</v>
      </c>
      <c r="C1628">
        <v>5895</v>
      </c>
      <c r="D1628">
        <v>3</v>
      </c>
      <c r="E1628">
        <v>13</v>
      </c>
      <c r="F1628" t="s">
        <v>62</v>
      </c>
      <c r="G1628" t="s">
        <v>63</v>
      </c>
      <c r="H1628">
        <v>13</v>
      </c>
      <c r="I1628" t="s">
        <v>62</v>
      </c>
      <c r="J1628" t="s">
        <v>63</v>
      </c>
      <c r="K1628" t="s">
        <v>1763</v>
      </c>
      <c r="L1628">
        <v>1</v>
      </c>
      <c r="M1628">
        <v>1</v>
      </c>
    </row>
    <row r="1629" spans="1:13" x14ac:dyDescent="0.25">
      <c r="A1629">
        <v>4</v>
      </c>
      <c r="B1629">
        <v>9600190</v>
      </c>
      <c r="C1629">
        <v>5895</v>
      </c>
      <c r="D1629">
        <v>4</v>
      </c>
      <c r="E1629">
        <v>404</v>
      </c>
      <c r="F1629" t="s">
        <v>80</v>
      </c>
      <c r="G1629" t="s">
        <v>81</v>
      </c>
      <c r="H1629">
        <v>404</v>
      </c>
      <c r="I1629" t="s">
        <v>80</v>
      </c>
      <c r="J1629" t="s">
        <v>81</v>
      </c>
      <c r="K1629" t="s">
        <v>1764</v>
      </c>
      <c r="L1629">
        <v>1</v>
      </c>
      <c r="M1629">
        <v>1</v>
      </c>
    </row>
    <row r="1630" spans="1:13" x14ac:dyDescent="0.25">
      <c r="A1630">
        <v>3</v>
      </c>
      <c r="B1630">
        <v>342963</v>
      </c>
      <c r="C1630">
        <v>5896</v>
      </c>
      <c r="D1630">
        <v>2</v>
      </c>
      <c r="E1630">
        <v>970</v>
      </c>
      <c r="F1630" t="s">
        <v>436</v>
      </c>
      <c r="G1630" t="s">
        <v>437</v>
      </c>
      <c r="H1630">
        <v>506</v>
      </c>
      <c r="I1630" t="s">
        <v>92</v>
      </c>
      <c r="J1630" t="s">
        <v>93</v>
      </c>
      <c r="K1630" t="s">
        <v>49</v>
      </c>
      <c r="L1630">
        <v>1</v>
      </c>
      <c r="M1630">
        <v>1</v>
      </c>
    </row>
    <row r="1631" spans="1:13" x14ac:dyDescent="0.25">
      <c r="A1631">
        <v>9</v>
      </c>
      <c r="B1631">
        <v>9185644</v>
      </c>
      <c r="C1631">
        <v>5900</v>
      </c>
      <c r="D1631">
        <v>7</v>
      </c>
      <c r="E1631">
        <v>970</v>
      </c>
      <c r="F1631" t="s">
        <v>436</v>
      </c>
      <c r="G1631" t="s">
        <v>437</v>
      </c>
      <c r="H1631">
        <v>506</v>
      </c>
      <c r="I1631" t="s">
        <v>92</v>
      </c>
      <c r="J1631" t="s">
        <v>93</v>
      </c>
      <c r="K1631" t="s">
        <v>1765</v>
      </c>
      <c r="L1631">
        <v>1</v>
      </c>
      <c r="M1631">
        <v>1</v>
      </c>
    </row>
    <row r="1632" spans="1:13" x14ac:dyDescent="0.25">
      <c r="A1632">
        <v>1</v>
      </c>
      <c r="B1632">
        <v>8642803</v>
      </c>
      <c r="C1632">
        <v>5903</v>
      </c>
      <c r="D1632">
        <v>1</v>
      </c>
      <c r="E1632">
        <v>593</v>
      </c>
      <c r="F1632" t="s">
        <v>1766</v>
      </c>
      <c r="G1632" t="s">
        <v>1767</v>
      </c>
      <c r="H1632">
        <v>593</v>
      </c>
      <c r="I1632" t="s">
        <v>1766</v>
      </c>
      <c r="J1632" t="s">
        <v>1767</v>
      </c>
      <c r="K1632" t="s">
        <v>154</v>
      </c>
      <c r="L1632">
        <v>8</v>
      </c>
      <c r="M1632">
        <v>0</v>
      </c>
    </row>
    <row r="1633" spans="1:13" x14ac:dyDescent="0.25">
      <c r="A1633">
        <v>1</v>
      </c>
      <c r="B1633">
        <v>8642803</v>
      </c>
      <c r="C1633">
        <v>5903</v>
      </c>
      <c r="D1633">
        <v>2</v>
      </c>
      <c r="E1633">
        <v>594</v>
      </c>
      <c r="F1633" t="s">
        <v>433</v>
      </c>
      <c r="G1633" t="s">
        <v>434</v>
      </c>
      <c r="H1633">
        <v>594</v>
      </c>
      <c r="I1633" t="s">
        <v>433</v>
      </c>
      <c r="J1633" t="s">
        <v>434</v>
      </c>
      <c r="K1633" t="s">
        <v>152</v>
      </c>
      <c r="L1633">
        <v>8</v>
      </c>
      <c r="M1633">
        <v>0</v>
      </c>
    </row>
    <row r="1634" spans="1:13" x14ac:dyDescent="0.25">
      <c r="A1634">
        <v>3</v>
      </c>
      <c r="B1634">
        <v>50050997</v>
      </c>
      <c r="C1634">
        <v>5904</v>
      </c>
      <c r="D1634">
        <v>9</v>
      </c>
      <c r="E1634">
        <v>409</v>
      </c>
      <c r="F1634" t="s">
        <v>84</v>
      </c>
      <c r="G1634" t="s">
        <v>85</v>
      </c>
      <c r="H1634">
        <v>409</v>
      </c>
      <c r="I1634" t="s">
        <v>84</v>
      </c>
      <c r="J1634" t="s">
        <v>85</v>
      </c>
      <c r="K1634" t="s">
        <v>1768</v>
      </c>
      <c r="L1634">
        <v>1</v>
      </c>
      <c r="M1634">
        <v>1</v>
      </c>
    </row>
    <row r="1635" spans="1:13" x14ac:dyDescent="0.25">
      <c r="A1635">
        <v>3</v>
      </c>
      <c r="B1635">
        <v>50050997</v>
      </c>
      <c r="C1635">
        <v>5904</v>
      </c>
      <c r="D1635">
        <v>10</v>
      </c>
      <c r="E1635">
        <v>970</v>
      </c>
      <c r="F1635" t="s">
        <v>436</v>
      </c>
      <c r="G1635" t="s">
        <v>437</v>
      </c>
      <c r="H1635">
        <v>506</v>
      </c>
      <c r="I1635" t="s">
        <v>92</v>
      </c>
      <c r="J1635" t="s">
        <v>93</v>
      </c>
      <c r="K1635" t="s">
        <v>1769</v>
      </c>
      <c r="L1635">
        <v>1</v>
      </c>
      <c r="M1635">
        <v>1</v>
      </c>
    </row>
    <row r="1636" spans="1:13" x14ac:dyDescent="0.25">
      <c r="A1636">
        <v>3</v>
      </c>
      <c r="B1636">
        <v>50050997</v>
      </c>
      <c r="C1636">
        <v>5904</v>
      </c>
      <c r="D1636">
        <v>16</v>
      </c>
      <c r="E1636">
        <v>824</v>
      </c>
      <c r="F1636" t="s">
        <v>134</v>
      </c>
      <c r="G1636" t="s">
        <v>135</v>
      </c>
      <c r="H1636">
        <v>824</v>
      </c>
      <c r="I1636" t="s">
        <v>134</v>
      </c>
      <c r="J1636" t="s">
        <v>135</v>
      </c>
      <c r="K1636" t="s">
        <v>1076</v>
      </c>
      <c r="L1636">
        <v>1</v>
      </c>
      <c r="M1636">
        <v>0</v>
      </c>
    </row>
    <row r="1637" spans="1:13" x14ac:dyDescent="0.25">
      <c r="A1637">
        <v>3</v>
      </c>
      <c r="B1637">
        <v>50050997</v>
      </c>
      <c r="C1637">
        <v>5904</v>
      </c>
      <c r="D1637">
        <v>22</v>
      </c>
      <c r="E1637">
        <v>638</v>
      </c>
      <c r="F1637" t="s">
        <v>104</v>
      </c>
      <c r="G1637" t="s">
        <v>105</v>
      </c>
      <c r="H1637">
        <v>638</v>
      </c>
      <c r="I1637" t="s">
        <v>104</v>
      </c>
      <c r="J1637" t="s">
        <v>105</v>
      </c>
      <c r="K1637" t="s">
        <v>1770</v>
      </c>
      <c r="L1637">
        <v>1</v>
      </c>
      <c r="M1637">
        <v>1</v>
      </c>
    </row>
    <row r="1638" spans="1:13" x14ac:dyDescent="0.25">
      <c r="A1638">
        <v>3</v>
      </c>
      <c r="B1638">
        <v>50050998</v>
      </c>
      <c r="C1638">
        <v>5904</v>
      </c>
      <c r="D1638">
        <v>11</v>
      </c>
      <c r="E1638">
        <v>970</v>
      </c>
      <c r="F1638" t="s">
        <v>436</v>
      </c>
      <c r="G1638" t="s">
        <v>437</v>
      </c>
      <c r="H1638">
        <v>506</v>
      </c>
      <c r="I1638" t="s">
        <v>92</v>
      </c>
      <c r="J1638" t="s">
        <v>93</v>
      </c>
      <c r="K1638" t="s">
        <v>1771</v>
      </c>
      <c r="L1638">
        <v>1</v>
      </c>
      <c r="M1638">
        <v>1</v>
      </c>
    </row>
    <row r="1639" spans="1:13" x14ac:dyDescent="0.25">
      <c r="A1639">
        <v>1</v>
      </c>
      <c r="B1639">
        <v>8662170</v>
      </c>
      <c r="C1639">
        <v>6050</v>
      </c>
      <c r="D1639">
        <v>4</v>
      </c>
      <c r="E1639">
        <v>618</v>
      </c>
      <c r="F1639" t="s">
        <v>98</v>
      </c>
      <c r="G1639" t="s">
        <v>99</v>
      </c>
      <c r="H1639">
        <v>618</v>
      </c>
      <c r="I1639" t="s">
        <v>98</v>
      </c>
      <c r="J1639" t="s">
        <v>99</v>
      </c>
      <c r="K1639" t="s">
        <v>155</v>
      </c>
      <c r="L1639">
        <v>24</v>
      </c>
      <c r="M1639">
        <v>24</v>
      </c>
    </row>
    <row r="1640" spans="1:13" x14ac:dyDescent="0.25">
      <c r="A1640">
        <v>1</v>
      </c>
      <c r="B1640">
        <v>8662170</v>
      </c>
      <c r="C1640">
        <v>6050</v>
      </c>
      <c r="D1640">
        <v>5</v>
      </c>
      <c r="E1640">
        <v>619</v>
      </c>
      <c r="F1640" t="s">
        <v>242</v>
      </c>
      <c r="G1640" t="s">
        <v>243</v>
      </c>
      <c r="H1640">
        <v>619</v>
      </c>
      <c r="I1640" t="s">
        <v>242</v>
      </c>
      <c r="J1640" t="s">
        <v>243</v>
      </c>
      <c r="K1640" t="s">
        <v>156</v>
      </c>
      <c r="L1640">
        <v>6</v>
      </c>
      <c r="M1640">
        <v>6</v>
      </c>
    </row>
    <row r="1641" spans="1:13" x14ac:dyDescent="0.25">
      <c r="A1641">
        <v>1</v>
      </c>
      <c r="B1641">
        <v>8662170</v>
      </c>
      <c r="C1641">
        <v>6050</v>
      </c>
      <c r="D1641">
        <v>6</v>
      </c>
      <c r="E1641">
        <v>620</v>
      </c>
      <c r="F1641" t="s">
        <v>100</v>
      </c>
      <c r="G1641" t="s">
        <v>101</v>
      </c>
      <c r="H1641">
        <v>620</v>
      </c>
      <c r="I1641" t="s">
        <v>100</v>
      </c>
      <c r="J1641" t="s">
        <v>101</v>
      </c>
      <c r="K1641" t="s">
        <v>244</v>
      </c>
      <c r="L1641">
        <v>18</v>
      </c>
      <c r="M1641">
        <v>18</v>
      </c>
    </row>
    <row r="1642" spans="1:13" x14ac:dyDescent="0.25">
      <c r="A1642">
        <v>1</v>
      </c>
      <c r="B1642">
        <v>8662170</v>
      </c>
      <c r="C1642">
        <v>6050</v>
      </c>
      <c r="D1642">
        <v>7</v>
      </c>
      <c r="E1642">
        <v>621</v>
      </c>
      <c r="F1642" t="s">
        <v>238</v>
      </c>
      <c r="G1642" t="s">
        <v>239</v>
      </c>
      <c r="H1642">
        <v>621</v>
      </c>
      <c r="I1642" t="s">
        <v>238</v>
      </c>
      <c r="J1642" t="s">
        <v>239</v>
      </c>
      <c r="K1642" t="s">
        <v>410</v>
      </c>
      <c r="L1642">
        <v>18</v>
      </c>
      <c r="M1642">
        <v>18</v>
      </c>
    </row>
    <row r="1643" spans="1:13" x14ac:dyDescent="0.25">
      <c r="A1643">
        <v>4</v>
      </c>
      <c r="B1643">
        <v>9634158</v>
      </c>
      <c r="C1643">
        <v>6051</v>
      </c>
      <c r="D1643">
        <v>5</v>
      </c>
      <c r="E1643">
        <v>702</v>
      </c>
      <c r="F1643" t="s">
        <v>120</v>
      </c>
      <c r="G1643" t="s">
        <v>121</v>
      </c>
      <c r="H1643">
        <v>702</v>
      </c>
      <c r="I1643" t="s">
        <v>120</v>
      </c>
      <c r="J1643" t="s">
        <v>121</v>
      </c>
      <c r="K1643" t="s">
        <v>1772</v>
      </c>
      <c r="L1643">
        <v>1</v>
      </c>
      <c r="M1643">
        <v>1</v>
      </c>
    </row>
    <row r="1644" spans="1:13" x14ac:dyDescent="0.25">
      <c r="A1644">
        <v>4</v>
      </c>
      <c r="B1644">
        <v>9634514</v>
      </c>
      <c r="C1644">
        <v>6051</v>
      </c>
      <c r="D1644">
        <v>2</v>
      </c>
      <c r="E1644">
        <v>700</v>
      </c>
      <c r="F1644" t="s">
        <v>118</v>
      </c>
      <c r="G1644" t="s">
        <v>119</v>
      </c>
      <c r="H1644">
        <v>700</v>
      </c>
      <c r="I1644" t="s">
        <v>118</v>
      </c>
      <c r="J1644" t="s">
        <v>119</v>
      </c>
      <c r="K1644" t="s">
        <v>1773</v>
      </c>
      <c r="L1644">
        <v>1</v>
      </c>
      <c r="M1644">
        <v>1</v>
      </c>
    </row>
    <row r="1645" spans="1:13" x14ac:dyDescent="0.25">
      <c r="A1645">
        <v>4</v>
      </c>
      <c r="B1645">
        <v>9634774</v>
      </c>
      <c r="C1645">
        <v>6051</v>
      </c>
      <c r="D1645">
        <v>3</v>
      </c>
      <c r="E1645">
        <v>347</v>
      </c>
      <c r="F1645" t="s">
        <v>70</v>
      </c>
      <c r="G1645" t="s">
        <v>71</v>
      </c>
      <c r="H1645">
        <v>347</v>
      </c>
      <c r="I1645" t="s">
        <v>70</v>
      </c>
      <c r="J1645" t="s">
        <v>71</v>
      </c>
      <c r="K1645" t="s">
        <v>1774</v>
      </c>
      <c r="L1645">
        <v>1</v>
      </c>
      <c r="M1645">
        <v>1</v>
      </c>
    </row>
    <row r="1646" spans="1:13" x14ac:dyDescent="0.25">
      <c r="A1646">
        <v>4</v>
      </c>
      <c r="B1646">
        <v>9635303</v>
      </c>
      <c r="C1646">
        <v>6051</v>
      </c>
      <c r="D1646">
        <v>4</v>
      </c>
      <c r="E1646">
        <v>342</v>
      </c>
      <c r="F1646" t="s">
        <v>543</v>
      </c>
      <c r="G1646" t="s">
        <v>544</v>
      </c>
      <c r="H1646">
        <v>342</v>
      </c>
      <c r="I1646" t="s">
        <v>543</v>
      </c>
      <c r="J1646" t="s">
        <v>544</v>
      </c>
      <c r="K1646" t="s">
        <v>545</v>
      </c>
      <c r="L1646">
        <v>1</v>
      </c>
      <c r="M1646">
        <v>1</v>
      </c>
    </row>
    <row r="1647" spans="1:13" x14ac:dyDescent="0.25">
      <c r="A1647">
        <v>4</v>
      </c>
      <c r="B1647">
        <v>9634054</v>
      </c>
      <c r="C1647">
        <v>6051</v>
      </c>
      <c r="D1647">
        <v>1</v>
      </c>
      <c r="E1647">
        <v>347</v>
      </c>
      <c r="F1647" t="s">
        <v>70</v>
      </c>
      <c r="G1647" t="s">
        <v>71</v>
      </c>
      <c r="H1647">
        <v>347</v>
      </c>
      <c r="I1647" t="s">
        <v>70</v>
      </c>
      <c r="J1647" t="s">
        <v>71</v>
      </c>
      <c r="K1647" t="s">
        <v>1775</v>
      </c>
      <c r="L1647">
        <v>1</v>
      </c>
      <c r="M1647">
        <v>1</v>
      </c>
    </row>
    <row r="1648" spans="1:13" x14ac:dyDescent="0.25">
      <c r="A1648">
        <v>8</v>
      </c>
      <c r="B1648">
        <v>4450422371</v>
      </c>
      <c r="C1648">
        <v>6052</v>
      </c>
      <c r="D1648">
        <v>1</v>
      </c>
      <c r="E1648">
        <v>865</v>
      </c>
      <c r="F1648" t="s">
        <v>218</v>
      </c>
      <c r="G1648" t="s">
        <v>219</v>
      </c>
      <c r="H1648">
        <v>405</v>
      </c>
      <c r="I1648" t="s">
        <v>82</v>
      </c>
      <c r="J1648" t="s">
        <v>83</v>
      </c>
      <c r="K1648" t="s">
        <v>172</v>
      </c>
      <c r="L1648">
        <v>26</v>
      </c>
      <c r="M1648">
        <v>26</v>
      </c>
    </row>
    <row r="1649" spans="1:13" x14ac:dyDescent="0.25">
      <c r="A1649">
        <v>8</v>
      </c>
      <c r="B1649">
        <v>4450422371</v>
      </c>
      <c r="C1649">
        <v>6052</v>
      </c>
      <c r="D1649">
        <v>2</v>
      </c>
      <c r="E1649">
        <v>896</v>
      </c>
      <c r="F1649" t="s">
        <v>541</v>
      </c>
      <c r="G1649" t="s">
        <v>542</v>
      </c>
      <c r="H1649">
        <v>653</v>
      </c>
      <c r="I1649" t="s">
        <v>110</v>
      </c>
      <c r="J1649" t="s">
        <v>111</v>
      </c>
      <c r="K1649" t="s">
        <v>173</v>
      </c>
      <c r="L1649">
        <v>67</v>
      </c>
      <c r="M1649">
        <v>67</v>
      </c>
    </row>
    <row r="1650" spans="1:13" x14ac:dyDescent="0.25">
      <c r="A1650">
        <v>6</v>
      </c>
      <c r="B1650">
        <v>942615</v>
      </c>
      <c r="C1650">
        <v>6053</v>
      </c>
      <c r="D1650">
        <v>1</v>
      </c>
      <c r="E1650">
        <v>877</v>
      </c>
      <c r="F1650" t="s">
        <v>140</v>
      </c>
      <c r="G1650" t="s">
        <v>141</v>
      </c>
      <c r="H1650">
        <v>509</v>
      </c>
      <c r="I1650" t="s">
        <v>289</v>
      </c>
      <c r="J1650" t="s">
        <v>290</v>
      </c>
      <c r="K1650" t="s">
        <v>512</v>
      </c>
      <c r="L1650">
        <v>1</v>
      </c>
      <c r="M1650">
        <v>1</v>
      </c>
    </row>
    <row r="1651" spans="1:13" x14ac:dyDescent="0.25">
      <c r="A1651">
        <v>4</v>
      </c>
      <c r="B1651">
        <v>9636363</v>
      </c>
      <c r="C1651">
        <v>6054</v>
      </c>
      <c r="D1651">
        <v>2</v>
      </c>
      <c r="E1651">
        <v>464</v>
      </c>
      <c r="F1651" t="s">
        <v>1776</v>
      </c>
      <c r="G1651" t="s">
        <v>1777</v>
      </c>
      <c r="H1651">
        <v>464</v>
      </c>
      <c r="I1651" t="s">
        <v>1776</v>
      </c>
      <c r="J1651" t="s">
        <v>1777</v>
      </c>
      <c r="K1651" t="s">
        <v>1778</v>
      </c>
      <c r="L1651">
        <v>1</v>
      </c>
      <c r="M1651">
        <v>1</v>
      </c>
    </row>
    <row r="1652" spans="1:13" x14ac:dyDescent="0.25">
      <c r="A1652">
        <v>4</v>
      </c>
      <c r="B1652">
        <v>9636387</v>
      </c>
      <c r="C1652">
        <v>6054</v>
      </c>
      <c r="D1652">
        <v>3</v>
      </c>
      <c r="E1652">
        <v>714</v>
      </c>
      <c r="F1652" t="s">
        <v>124</v>
      </c>
      <c r="G1652" t="s">
        <v>125</v>
      </c>
      <c r="H1652">
        <v>714</v>
      </c>
      <c r="I1652" t="s">
        <v>124</v>
      </c>
      <c r="J1652" t="s">
        <v>125</v>
      </c>
      <c r="K1652" t="s">
        <v>1779</v>
      </c>
      <c r="L1652">
        <v>1</v>
      </c>
      <c r="M1652">
        <v>1</v>
      </c>
    </row>
    <row r="1653" spans="1:13" x14ac:dyDescent="0.25">
      <c r="A1653">
        <v>4</v>
      </c>
      <c r="B1653">
        <v>9636573</v>
      </c>
      <c r="C1653">
        <v>6054</v>
      </c>
      <c r="D1653">
        <v>4</v>
      </c>
      <c r="E1653">
        <v>781</v>
      </c>
      <c r="F1653" t="s">
        <v>269</v>
      </c>
      <c r="G1653" t="s">
        <v>270</v>
      </c>
      <c r="H1653">
        <v>781</v>
      </c>
      <c r="I1653" t="s">
        <v>269</v>
      </c>
      <c r="J1653" t="s">
        <v>270</v>
      </c>
      <c r="K1653" t="s">
        <v>1780</v>
      </c>
      <c r="L1653">
        <v>1</v>
      </c>
      <c r="M1653">
        <v>1</v>
      </c>
    </row>
    <row r="1654" spans="1:13" x14ac:dyDescent="0.25">
      <c r="A1654">
        <v>4</v>
      </c>
      <c r="B1654">
        <v>9636698</v>
      </c>
      <c r="C1654">
        <v>6054</v>
      </c>
      <c r="D1654">
        <v>5</v>
      </c>
      <c r="E1654">
        <v>347</v>
      </c>
      <c r="F1654" t="s">
        <v>70</v>
      </c>
      <c r="G1654" t="s">
        <v>71</v>
      </c>
      <c r="H1654">
        <v>347</v>
      </c>
      <c r="I1654" t="s">
        <v>70</v>
      </c>
      <c r="J1654" t="s">
        <v>71</v>
      </c>
      <c r="K1654" t="s">
        <v>1781</v>
      </c>
      <c r="L1654">
        <v>1</v>
      </c>
      <c r="M1654">
        <v>1</v>
      </c>
    </row>
    <row r="1655" spans="1:13" x14ac:dyDescent="0.25">
      <c r="A1655">
        <v>4</v>
      </c>
      <c r="B1655">
        <v>9635714</v>
      </c>
      <c r="C1655">
        <v>6054</v>
      </c>
      <c r="D1655">
        <v>1</v>
      </c>
      <c r="E1655">
        <v>403</v>
      </c>
      <c r="F1655" t="s">
        <v>78</v>
      </c>
      <c r="G1655" t="s">
        <v>79</v>
      </c>
      <c r="H1655">
        <v>403</v>
      </c>
      <c r="I1655" t="s">
        <v>78</v>
      </c>
      <c r="J1655" t="s">
        <v>79</v>
      </c>
      <c r="K1655" t="s">
        <v>1782</v>
      </c>
      <c r="L1655">
        <v>1</v>
      </c>
      <c r="M1655">
        <v>1</v>
      </c>
    </row>
    <row r="1656" spans="1:13" x14ac:dyDescent="0.25">
      <c r="A1656">
        <v>4</v>
      </c>
      <c r="B1656">
        <v>9636412</v>
      </c>
      <c r="C1656">
        <v>6055</v>
      </c>
      <c r="D1656">
        <v>2</v>
      </c>
      <c r="E1656">
        <v>700</v>
      </c>
      <c r="F1656" t="s">
        <v>118</v>
      </c>
      <c r="G1656" t="s">
        <v>119</v>
      </c>
      <c r="H1656">
        <v>700</v>
      </c>
      <c r="I1656" t="s">
        <v>118</v>
      </c>
      <c r="J1656" t="s">
        <v>119</v>
      </c>
      <c r="K1656" t="s">
        <v>1783</v>
      </c>
      <c r="L1656">
        <v>1</v>
      </c>
      <c r="M1656">
        <v>1</v>
      </c>
    </row>
    <row r="1657" spans="1:13" x14ac:dyDescent="0.25">
      <c r="A1657">
        <v>4</v>
      </c>
      <c r="B1657">
        <v>9635976</v>
      </c>
      <c r="C1657">
        <v>6055</v>
      </c>
      <c r="D1657">
        <v>1</v>
      </c>
      <c r="E1657">
        <v>13</v>
      </c>
      <c r="F1657" t="s">
        <v>62</v>
      </c>
      <c r="G1657" t="s">
        <v>63</v>
      </c>
      <c r="H1657">
        <v>13</v>
      </c>
      <c r="I1657" t="s">
        <v>62</v>
      </c>
      <c r="J1657" t="s">
        <v>63</v>
      </c>
      <c r="K1657" t="s">
        <v>1784</v>
      </c>
      <c r="L1657">
        <v>1</v>
      </c>
      <c r="M1657">
        <v>1</v>
      </c>
    </row>
    <row r="1658" spans="1:13" x14ac:dyDescent="0.25">
      <c r="A1658">
        <v>6</v>
      </c>
      <c r="B1658">
        <v>947156</v>
      </c>
      <c r="C1658">
        <v>6056</v>
      </c>
      <c r="D1658">
        <v>1</v>
      </c>
      <c r="E1658">
        <v>584</v>
      </c>
      <c r="F1658" t="s">
        <v>96</v>
      </c>
      <c r="G1658" t="s">
        <v>97</v>
      </c>
      <c r="H1658">
        <v>584</v>
      </c>
      <c r="I1658" t="s">
        <v>96</v>
      </c>
      <c r="J1658" t="s">
        <v>97</v>
      </c>
      <c r="K1658" t="s">
        <v>1785</v>
      </c>
      <c r="L1658">
        <v>1</v>
      </c>
      <c r="M1658">
        <v>1</v>
      </c>
    </row>
    <row r="1659" spans="1:13" x14ac:dyDescent="0.25">
      <c r="A1659">
        <v>9</v>
      </c>
      <c r="B1659">
        <v>9191641</v>
      </c>
      <c r="C1659">
        <v>6057</v>
      </c>
      <c r="D1659">
        <v>1</v>
      </c>
      <c r="E1659">
        <v>680</v>
      </c>
      <c r="F1659" t="s">
        <v>114</v>
      </c>
      <c r="G1659" t="s">
        <v>115</v>
      </c>
      <c r="H1659">
        <v>680</v>
      </c>
      <c r="I1659" t="s">
        <v>114</v>
      </c>
      <c r="J1659" t="s">
        <v>115</v>
      </c>
      <c r="K1659" t="s">
        <v>1786</v>
      </c>
      <c r="L1659">
        <v>1</v>
      </c>
      <c r="M1659">
        <v>1</v>
      </c>
    </row>
    <row r="1660" spans="1:13" x14ac:dyDescent="0.25">
      <c r="A1660">
        <v>9</v>
      </c>
      <c r="B1660">
        <v>9191962</v>
      </c>
      <c r="C1660">
        <v>6058</v>
      </c>
      <c r="D1660">
        <v>3</v>
      </c>
      <c r="E1660">
        <v>970</v>
      </c>
      <c r="F1660" t="s">
        <v>436</v>
      </c>
      <c r="G1660" t="s">
        <v>437</v>
      </c>
      <c r="H1660">
        <v>506</v>
      </c>
      <c r="I1660" t="s">
        <v>92</v>
      </c>
      <c r="J1660" t="s">
        <v>93</v>
      </c>
      <c r="K1660" t="s">
        <v>1787</v>
      </c>
      <c r="L1660">
        <v>1</v>
      </c>
      <c r="M1660">
        <v>1</v>
      </c>
    </row>
    <row r="1661" spans="1:13" x14ac:dyDescent="0.25">
      <c r="A1661">
        <v>9</v>
      </c>
      <c r="B1661">
        <v>9192065</v>
      </c>
      <c r="C1661">
        <v>6058</v>
      </c>
      <c r="D1661">
        <v>4</v>
      </c>
      <c r="E1661">
        <v>347</v>
      </c>
      <c r="F1661" t="s">
        <v>70</v>
      </c>
      <c r="G1661" t="s">
        <v>71</v>
      </c>
      <c r="H1661">
        <v>347</v>
      </c>
      <c r="I1661" t="s">
        <v>70</v>
      </c>
      <c r="J1661" t="s">
        <v>71</v>
      </c>
      <c r="K1661" t="s">
        <v>1788</v>
      </c>
      <c r="L1661">
        <v>1</v>
      </c>
      <c r="M1661">
        <v>1</v>
      </c>
    </row>
    <row r="1662" spans="1:13" x14ac:dyDescent="0.25">
      <c r="A1662">
        <v>9</v>
      </c>
      <c r="B1662">
        <v>9192222</v>
      </c>
      <c r="C1662">
        <v>6058</v>
      </c>
      <c r="D1662">
        <v>5</v>
      </c>
      <c r="E1662">
        <v>409</v>
      </c>
      <c r="F1662" t="s">
        <v>84</v>
      </c>
      <c r="G1662" t="s">
        <v>85</v>
      </c>
      <c r="H1662">
        <v>409</v>
      </c>
      <c r="I1662" t="s">
        <v>84</v>
      </c>
      <c r="J1662" t="s">
        <v>85</v>
      </c>
      <c r="K1662" t="s">
        <v>1789</v>
      </c>
      <c r="L1662">
        <v>1</v>
      </c>
      <c r="M1662">
        <v>1</v>
      </c>
    </row>
    <row r="1663" spans="1:13" x14ac:dyDescent="0.25">
      <c r="A1663">
        <v>9</v>
      </c>
      <c r="B1663">
        <v>9192245</v>
      </c>
      <c r="C1663">
        <v>6058</v>
      </c>
      <c r="D1663">
        <v>6</v>
      </c>
      <c r="E1663">
        <v>382</v>
      </c>
      <c r="F1663" t="s">
        <v>533</v>
      </c>
      <c r="G1663" t="s">
        <v>534</v>
      </c>
      <c r="H1663">
        <v>382</v>
      </c>
      <c r="I1663" t="s">
        <v>533</v>
      </c>
      <c r="J1663" t="s">
        <v>534</v>
      </c>
      <c r="K1663" t="s">
        <v>1790</v>
      </c>
      <c r="L1663">
        <v>1</v>
      </c>
      <c r="M1663">
        <v>1</v>
      </c>
    </row>
    <row r="1664" spans="1:13" x14ac:dyDescent="0.25">
      <c r="A1664">
        <v>9</v>
      </c>
      <c r="B1664">
        <v>9192245</v>
      </c>
      <c r="C1664">
        <v>6058</v>
      </c>
      <c r="D1664">
        <v>7</v>
      </c>
      <c r="E1664">
        <v>404</v>
      </c>
      <c r="F1664" t="s">
        <v>80</v>
      </c>
      <c r="G1664" t="s">
        <v>81</v>
      </c>
      <c r="H1664">
        <v>404</v>
      </c>
      <c r="I1664" t="s">
        <v>80</v>
      </c>
      <c r="J1664" t="s">
        <v>81</v>
      </c>
      <c r="K1664" t="s">
        <v>1791</v>
      </c>
      <c r="L1664">
        <v>1</v>
      </c>
      <c r="M1664">
        <v>1</v>
      </c>
    </row>
    <row r="1665" spans="1:13" x14ac:dyDescent="0.25">
      <c r="A1665">
        <v>9</v>
      </c>
      <c r="B1665">
        <v>9191641</v>
      </c>
      <c r="C1665">
        <v>6058</v>
      </c>
      <c r="D1665">
        <v>1</v>
      </c>
      <c r="E1665">
        <v>584</v>
      </c>
      <c r="F1665" t="s">
        <v>96</v>
      </c>
      <c r="G1665" t="s">
        <v>97</v>
      </c>
      <c r="H1665">
        <v>584</v>
      </c>
      <c r="I1665" t="s">
        <v>96</v>
      </c>
      <c r="J1665" t="s">
        <v>97</v>
      </c>
      <c r="K1665" t="s">
        <v>1792</v>
      </c>
      <c r="L1665">
        <v>1</v>
      </c>
      <c r="M1665">
        <v>1</v>
      </c>
    </row>
    <row r="1666" spans="1:13" x14ac:dyDescent="0.25">
      <c r="A1666">
        <v>9</v>
      </c>
      <c r="B1666">
        <v>9191907</v>
      </c>
      <c r="C1666">
        <v>6058</v>
      </c>
      <c r="D1666">
        <v>2</v>
      </c>
      <c r="E1666">
        <v>680</v>
      </c>
      <c r="F1666" t="s">
        <v>114</v>
      </c>
      <c r="G1666" t="s">
        <v>115</v>
      </c>
      <c r="H1666">
        <v>680</v>
      </c>
      <c r="I1666" t="s">
        <v>114</v>
      </c>
      <c r="J1666" t="s">
        <v>115</v>
      </c>
      <c r="K1666" t="s">
        <v>1793</v>
      </c>
      <c r="L1666">
        <v>1</v>
      </c>
      <c r="M1666">
        <v>1</v>
      </c>
    </row>
    <row r="1667" spans="1:13" x14ac:dyDescent="0.25">
      <c r="A1667">
        <v>9</v>
      </c>
      <c r="B1667">
        <v>9191718</v>
      </c>
      <c r="C1667">
        <v>6059</v>
      </c>
      <c r="D1667">
        <v>1</v>
      </c>
      <c r="E1667">
        <v>717</v>
      </c>
      <c r="F1667" t="s">
        <v>642</v>
      </c>
      <c r="G1667" t="s">
        <v>643</v>
      </c>
      <c r="H1667">
        <v>717</v>
      </c>
      <c r="I1667" t="s">
        <v>642</v>
      </c>
      <c r="J1667" t="s">
        <v>643</v>
      </c>
      <c r="K1667" t="s">
        <v>1794</v>
      </c>
      <c r="L1667">
        <v>1</v>
      </c>
      <c r="M1667">
        <v>1</v>
      </c>
    </row>
    <row r="1668" spans="1:13" x14ac:dyDescent="0.25">
      <c r="A1668">
        <v>1</v>
      </c>
      <c r="B1668">
        <v>8664280</v>
      </c>
      <c r="C1668">
        <v>6060</v>
      </c>
      <c r="D1668">
        <v>1</v>
      </c>
      <c r="E1668">
        <v>878</v>
      </c>
      <c r="F1668" t="s">
        <v>216</v>
      </c>
      <c r="G1668" t="s">
        <v>217</v>
      </c>
      <c r="H1668">
        <v>362</v>
      </c>
      <c r="I1668" t="s">
        <v>72</v>
      </c>
      <c r="J1668" t="s">
        <v>73</v>
      </c>
      <c r="K1668" t="s">
        <v>152</v>
      </c>
      <c r="L1668">
        <v>12</v>
      </c>
      <c r="M1668">
        <v>12</v>
      </c>
    </row>
    <row r="1669" spans="1:13" x14ac:dyDescent="0.25">
      <c r="A1669">
        <v>1</v>
      </c>
      <c r="B1669">
        <v>8664280</v>
      </c>
      <c r="C1669">
        <v>6060</v>
      </c>
      <c r="D1669">
        <v>2</v>
      </c>
      <c r="E1669">
        <v>616</v>
      </c>
      <c r="F1669" t="s">
        <v>1114</v>
      </c>
      <c r="G1669" t="s">
        <v>1115</v>
      </c>
      <c r="H1669">
        <v>616</v>
      </c>
      <c r="I1669" t="s">
        <v>1114</v>
      </c>
      <c r="J1669" t="s">
        <v>1115</v>
      </c>
      <c r="K1669" t="s">
        <v>154</v>
      </c>
      <c r="L1669">
        <v>6</v>
      </c>
      <c r="M1669">
        <v>6</v>
      </c>
    </row>
    <row r="1670" spans="1:13" x14ac:dyDescent="0.25">
      <c r="A1670">
        <v>1</v>
      </c>
      <c r="B1670">
        <v>8664280</v>
      </c>
      <c r="C1670">
        <v>6060</v>
      </c>
      <c r="D1670">
        <v>3</v>
      </c>
      <c r="E1670">
        <v>617</v>
      </c>
      <c r="F1670" t="s">
        <v>611</v>
      </c>
      <c r="G1670" t="s">
        <v>612</v>
      </c>
      <c r="H1670">
        <v>617</v>
      </c>
      <c r="I1670" t="s">
        <v>611</v>
      </c>
      <c r="J1670" t="s">
        <v>612</v>
      </c>
      <c r="K1670" t="s">
        <v>153</v>
      </c>
      <c r="L1670">
        <v>6</v>
      </c>
      <c r="M1670">
        <v>6</v>
      </c>
    </row>
    <row r="1671" spans="1:13" x14ac:dyDescent="0.25">
      <c r="A1671">
        <v>1</v>
      </c>
      <c r="B1671">
        <v>8664280</v>
      </c>
      <c r="C1671">
        <v>6060</v>
      </c>
      <c r="D1671">
        <v>4</v>
      </c>
      <c r="E1671">
        <v>620</v>
      </c>
      <c r="F1671" t="s">
        <v>100</v>
      </c>
      <c r="G1671" t="s">
        <v>101</v>
      </c>
      <c r="H1671">
        <v>620</v>
      </c>
      <c r="I1671" t="s">
        <v>100</v>
      </c>
      <c r="J1671" t="s">
        <v>101</v>
      </c>
      <c r="K1671" t="s">
        <v>155</v>
      </c>
      <c r="L1671">
        <v>6</v>
      </c>
      <c r="M1671">
        <v>6</v>
      </c>
    </row>
    <row r="1672" spans="1:13" x14ac:dyDescent="0.25">
      <c r="A1672">
        <v>1</v>
      </c>
      <c r="B1672">
        <v>8664280</v>
      </c>
      <c r="C1672">
        <v>6060</v>
      </c>
      <c r="D1672">
        <v>5</v>
      </c>
      <c r="E1672">
        <v>621</v>
      </c>
      <c r="F1672" t="s">
        <v>238</v>
      </c>
      <c r="G1672" t="s">
        <v>239</v>
      </c>
      <c r="H1672">
        <v>621</v>
      </c>
      <c r="I1672" t="s">
        <v>238</v>
      </c>
      <c r="J1672" t="s">
        <v>239</v>
      </c>
      <c r="K1672" t="s">
        <v>156</v>
      </c>
      <c r="L1672">
        <v>6</v>
      </c>
      <c r="M1672">
        <v>6</v>
      </c>
    </row>
    <row r="1673" spans="1:13" x14ac:dyDescent="0.25">
      <c r="A1673">
        <v>2</v>
      </c>
      <c r="B1673">
        <v>8664557</v>
      </c>
      <c r="C1673">
        <v>6061</v>
      </c>
      <c r="D1673">
        <v>2</v>
      </c>
      <c r="E1673">
        <v>970</v>
      </c>
      <c r="F1673" t="s">
        <v>436</v>
      </c>
      <c r="G1673" t="s">
        <v>437</v>
      </c>
      <c r="H1673">
        <v>506</v>
      </c>
      <c r="I1673" t="s">
        <v>92</v>
      </c>
      <c r="J1673" t="s">
        <v>93</v>
      </c>
      <c r="K1673" t="s">
        <v>1795</v>
      </c>
      <c r="L1673">
        <v>1</v>
      </c>
      <c r="M1673">
        <v>1</v>
      </c>
    </row>
    <row r="1674" spans="1:13" x14ac:dyDescent="0.25">
      <c r="A1674">
        <v>9</v>
      </c>
      <c r="B1674">
        <v>9194760</v>
      </c>
      <c r="C1674">
        <v>6112</v>
      </c>
      <c r="D1674">
        <v>25</v>
      </c>
      <c r="E1674">
        <v>639</v>
      </c>
      <c r="F1674" t="s">
        <v>106</v>
      </c>
      <c r="G1674" t="s">
        <v>107</v>
      </c>
      <c r="H1674">
        <v>639</v>
      </c>
      <c r="I1674" t="s">
        <v>106</v>
      </c>
      <c r="J1674" t="s">
        <v>107</v>
      </c>
      <c r="K1674" t="s">
        <v>1796</v>
      </c>
      <c r="L1674">
        <v>1</v>
      </c>
      <c r="M1674">
        <v>1</v>
      </c>
    </row>
    <row r="1675" spans="1:13" x14ac:dyDescent="0.25">
      <c r="A1675">
        <v>9</v>
      </c>
      <c r="B1675">
        <v>9194823</v>
      </c>
      <c r="C1675">
        <v>6112</v>
      </c>
      <c r="D1675">
        <v>26</v>
      </c>
      <c r="E1675">
        <v>638</v>
      </c>
      <c r="F1675" t="s">
        <v>104</v>
      </c>
      <c r="G1675" t="s">
        <v>105</v>
      </c>
      <c r="H1675">
        <v>638</v>
      </c>
      <c r="I1675" t="s">
        <v>104</v>
      </c>
      <c r="J1675" t="s">
        <v>105</v>
      </c>
      <c r="K1675" t="s">
        <v>1797</v>
      </c>
      <c r="L1675">
        <v>1</v>
      </c>
      <c r="M1675">
        <v>1</v>
      </c>
    </row>
    <row r="1676" spans="1:13" x14ac:dyDescent="0.25">
      <c r="A1676">
        <v>9</v>
      </c>
      <c r="B1676">
        <v>9194823</v>
      </c>
      <c r="C1676">
        <v>6112</v>
      </c>
      <c r="D1676">
        <v>27</v>
      </c>
      <c r="E1676">
        <v>400</v>
      </c>
      <c r="F1676" t="s">
        <v>74</v>
      </c>
      <c r="G1676" t="s">
        <v>75</v>
      </c>
      <c r="H1676">
        <v>400</v>
      </c>
      <c r="I1676" t="s">
        <v>74</v>
      </c>
      <c r="J1676" t="s">
        <v>75</v>
      </c>
      <c r="K1676" t="s">
        <v>1798</v>
      </c>
      <c r="L1676">
        <v>1</v>
      </c>
      <c r="M1676">
        <v>1</v>
      </c>
    </row>
    <row r="1677" spans="1:13" x14ac:dyDescent="0.25">
      <c r="A1677">
        <v>9</v>
      </c>
      <c r="B1677">
        <v>9193936</v>
      </c>
      <c r="C1677">
        <v>6112</v>
      </c>
      <c r="D1677">
        <v>7</v>
      </c>
      <c r="E1677">
        <v>680</v>
      </c>
      <c r="F1677" t="s">
        <v>114</v>
      </c>
      <c r="G1677" t="s">
        <v>115</v>
      </c>
      <c r="H1677">
        <v>680</v>
      </c>
      <c r="I1677" t="s">
        <v>114</v>
      </c>
      <c r="J1677" t="s">
        <v>115</v>
      </c>
      <c r="K1677" t="s">
        <v>1799</v>
      </c>
      <c r="L1677">
        <v>1</v>
      </c>
      <c r="M1677">
        <v>1</v>
      </c>
    </row>
    <row r="1678" spans="1:13" x14ac:dyDescent="0.25">
      <c r="A1678">
        <v>9</v>
      </c>
      <c r="B1678">
        <v>9193936</v>
      </c>
      <c r="C1678">
        <v>6112</v>
      </c>
      <c r="D1678">
        <v>8</v>
      </c>
      <c r="E1678">
        <v>179</v>
      </c>
      <c r="F1678" t="s">
        <v>66</v>
      </c>
      <c r="G1678" t="s">
        <v>67</v>
      </c>
      <c r="H1678">
        <v>179</v>
      </c>
      <c r="I1678" t="s">
        <v>66</v>
      </c>
      <c r="J1678" t="s">
        <v>67</v>
      </c>
      <c r="K1678" t="s">
        <v>1800</v>
      </c>
      <c r="L1678">
        <v>1</v>
      </c>
      <c r="M1678">
        <v>1</v>
      </c>
    </row>
    <row r="1679" spans="1:13" x14ac:dyDescent="0.25">
      <c r="A1679">
        <v>9</v>
      </c>
      <c r="B1679">
        <v>9193999</v>
      </c>
      <c r="C1679">
        <v>6112</v>
      </c>
      <c r="D1679">
        <v>9</v>
      </c>
      <c r="E1679">
        <v>409</v>
      </c>
      <c r="F1679" t="s">
        <v>84</v>
      </c>
      <c r="G1679" t="s">
        <v>85</v>
      </c>
      <c r="H1679">
        <v>409</v>
      </c>
      <c r="I1679" t="s">
        <v>84</v>
      </c>
      <c r="J1679" t="s">
        <v>85</v>
      </c>
      <c r="K1679" t="s">
        <v>1801</v>
      </c>
      <c r="L1679">
        <v>1</v>
      </c>
      <c r="M1679">
        <v>1</v>
      </c>
    </row>
    <row r="1680" spans="1:13" x14ac:dyDescent="0.25">
      <c r="A1680">
        <v>9</v>
      </c>
      <c r="B1680">
        <v>9194172</v>
      </c>
      <c r="C1680">
        <v>6112</v>
      </c>
      <c r="D1680">
        <v>10</v>
      </c>
      <c r="E1680">
        <v>970</v>
      </c>
      <c r="F1680" t="s">
        <v>436</v>
      </c>
      <c r="G1680" t="s">
        <v>437</v>
      </c>
      <c r="H1680">
        <v>506</v>
      </c>
      <c r="I1680" t="s">
        <v>92</v>
      </c>
      <c r="J1680" t="s">
        <v>93</v>
      </c>
      <c r="K1680" t="s">
        <v>1802</v>
      </c>
      <c r="L1680">
        <v>1</v>
      </c>
      <c r="M1680">
        <v>1</v>
      </c>
    </row>
    <row r="1681" spans="1:13" x14ac:dyDescent="0.25">
      <c r="A1681">
        <v>9</v>
      </c>
      <c r="B1681">
        <v>9194469</v>
      </c>
      <c r="C1681">
        <v>6112</v>
      </c>
      <c r="D1681">
        <v>11</v>
      </c>
      <c r="E1681">
        <v>638</v>
      </c>
      <c r="F1681" t="s">
        <v>104</v>
      </c>
      <c r="G1681" t="s">
        <v>105</v>
      </c>
      <c r="H1681">
        <v>638</v>
      </c>
      <c r="I1681" t="s">
        <v>104</v>
      </c>
      <c r="J1681" t="s">
        <v>105</v>
      </c>
      <c r="K1681" t="s">
        <v>1803</v>
      </c>
      <c r="L1681">
        <v>1</v>
      </c>
      <c r="M1681">
        <v>1</v>
      </c>
    </row>
    <row r="1682" spans="1:13" x14ac:dyDescent="0.25">
      <c r="A1682">
        <v>9</v>
      </c>
      <c r="B1682">
        <v>9194511</v>
      </c>
      <c r="C1682">
        <v>6112</v>
      </c>
      <c r="D1682">
        <v>12</v>
      </c>
      <c r="E1682">
        <v>638</v>
      </c>
      <c r="F1682" t="s">
        <v>104</v>
      </c>
      <c r="G1682" t="s">
        <v>105</v>
      </c>
      <c r="H1682">
        <v>638</v>
      </c>
      <c r="I1682" t="s">
        <v>104</v>
      </c>
      <c r="J1682" t="s">
        <v>105</v>
      </c>
      <c r="K1682" t="s">
        <v>1804</v>
      </c>
      <c r="L1682">
        <v>1</v>
      </c>
      <c r="M1682">
        <v>1</v>
      </c>
    </row>
    <row r="1683" spans="1:13" x14ac:dyDescent="0.25">
      <c r="A1683">
        <v>9</v>
      </c>
      <c r="B1683">
        <v>9194511</v>
      </c>
      <c r="C1683">
        <v>6112</v>
      </c>
      <c r="D1683">
        <v>13</v>
      </c>
      <c r="E1683">
        <v>674</v>
      </c>
      <c r="F1683" t="s">
        <v>112</v>
      </c>
      <c r="G1683" t="s">
        <v>113</v>
      </c>
      <c r="H1683">
        <v>674</v>
      </c>
      <c r="I1683" t="s">
        <v>112</v>
      </c>
      <c r="J1683" t="s">
        <v>113</v>
      </c>
      <c r="K1683" t="s">
        <v>1805</v>
      </c>
      <c r="L1683">
        <v>1</v>
      </c>
      <c r="M1683">
        <v>1</v>
      </c>
    </row>
    <row r="1684" spans="1:13" x14ac:dyDescent="0.25">
      <c r="A1684">
        <v>9</v>
      </c>
      <c r="B1684">
        <v>9193752</v>
      </c>
      <c r="C1684">
        <v>6112</v>
      </c>
      <c r="D1684">
        <v>1</v>
      </c>
      <c r="E1684">
        <v>400</v>
      </c>
      <c r="F1684" t="s">
        <v>74</v>
      </c>
      <c r="G1684" t="s">
        <v>75</v>
      </c>
      <c r="H1684">
        <v>400</v>
      </c>
      <c r="I1684" t="s">
        <v>74</v>
      </c>
      <c r="J1684" t="s">
        <v>75</v>
      </c>
      <c r="K1684" t="s">
        <v>1806</v>
      </c>
      <c r="L1684">
        <v>1</v>
      </c>
      <c r="M1684">
        <v>1</v>
      </c>
    </row>
    <row r="1685" spans="1:13" x14ac:dyDescent="0.25">
      <c r="A1685">
        <v>9</v>
      </c>
      <c r="B1685">
        <v>9193752</v>
      </c>
      <c r="C1685">
        <v>6112</v>
      </c>
      <c r="D1685">
        <v>2</v>
      </c>
      <c r="E1685">
        <v>403</v>
      </c>
      <c r="F1685" t="s">
        <v>78</v>
      </c>
      <c r="G1685" t="s">
        <v>79</v>
      </c>
      <c r="H1685">
        <v>403</v>
      </c>
      <c r="I1685" t="s">
        <v>78</v>
      </c>
      <c r="J1685" t="s">
        <v>79</v>
      </c>
      <c r="K1685" t="s">
        <v>1807</v>
      </c>
      <c r="L1685">
        <v>1</v>
      </c>
      <c r="M1685">
        <v>1</v>
      </c>
    </row>
    <row r="1686" spans="1:13" x14ac:dyDescent="0.25">
      <c r="A1686">
        <v>9</v>
      </c>
      <c r="B1686">
        <v>9193779</v>
      </c>
      <c r="C1686">
        <v>6112</v>
      </c>
      <c r="D1686">
        <v>3</v>
      </c>
      <c r="E1686">
        <v>402</v>
      </c>
      <c r="F1686" t="s">
        <v>168</v>
      </c>
      <c r="G1686" t="s">
        <v>169</v>
      </c>
      <c r="H1686">
        <v>402</v>
      </c>
      <c r="I1686" t="s">
        <v>168</v>
      </c>
      <c r="J1686" t="s">
        <v>169</v>
      </c>
      <c r="K1686" t="s">
        <v>1808</v>
      </c>
      <c r="L1686">
        <v>1</v>
      </c>
      <c r="M1686">
        <v>1</v>
      </c>
    </row>
    <row r="1687" spans="1:13" x14ac:dyDescent="0.25">
      <c r="A1687">
        <v>9</v>
      </c>
      <c r="B1687">
        <v>9193833</v>
      </c>
      <c r="C1687">
        <v>6112</v>
      </c>
      <c r="D1687">
        <v>4</v>
      </c>
      <c r="E1687">
        <v>180</v>
      </c>
      <c r="F1687" t="s">
        <v>68</v>
      </c>
      <c r="G1687" t="s">
        <v>69</v>
      </c>
      <c r="H1687">
        <v>180</v>
      </c>
      <c r="I1687" t="s">
        <v>68</v>
      </c>
      <c r="J1687" t="s">
        <v>69</v>
      </c>
      <c r="K1687" t="s">
        <v>1809</v>
      </c>
      <c r="L1687">
        <v>1</v>
      </c>
      <c r="M1687">
        <v>1</v>
      </c>
    </row>
    <row r="1688" spans="1:13" x14ac:dyDescent="0.25">
      <c r="A1688">
        <v>9</v>
      </c>
      <c r="B1688">
        <v>9193872</v>
      </c>
      <c r="C1688">
        <v>6112</v>
      </c>
      <c r="D1688">
        <v>5</v>
      </c>
      <c r="E1688">
        <v>638</v>
      </c>
      <c r="F1688" t="s">
        <v>104</v>
      </c>
      <c r="G1688" t="s">
        <v>105</v>
      </c>
      <c r="H1688">
        <v>638</v>
      </c>
      <c r="I1688" t="s">
        <v>104</v>
      </c>
      <c r="J1688" t="s">
        <v>105</v>
      </c>
      <c r="K1688" t="s">
        <v>1810</v>
      </c>
      <c r="L1688">
        <v>1</v>
      </c>
      <c r="M1688">
        <v>1</v>
      </c>
    </row>
    <row r="1689" spans="1:13" x14ac:dyDescent="0.25">
      <c r="A1689">
        <v>9</v>
      </c>
      <c r="B1689">
        <v>9193873</v>
      </c>
      <c r="C1689">
        <v>6112</v>
      </c>
      <c r="D1689">
        <v>6</v>
      </c>
      <c r="E1689">
        <v>774</v>
      </c>
      <c r="F1689" t="s">
        <v>240</v>
      </c>
      <c r="G1689" t="s">
        <v>241</v>
      </c>
      <c r="H1689">
        <v>774</v>
      </c>
      <c r="I1689" t="s">
        <v>240</v>
      </c>
      <c r="J1689" t="s">
        <v>241</v>
      </c>
      <c r="K1689" t="s">
        <v>1811</v>
      </c>
      <c r="L1689">
        <v>1</v>
      </c>
      <c r="M1689">
        <v>1</v>
      </c>
    </row>
    <row r="1690" spans="1:13" x14ac:dyDescent="0.25">
      <c r="A1690">
        <v>9</v>
      </c>
      <c r="B1690">
        <v>9195052</v>
      </c>
      <c r="C1690">
        <v>6113</v>
      </c>
      <c r="D1690">
        <v>8</v>
      </c>
      <c r="E1690">
        <v>970</v>
      </c>
      <c r="F1690" t="s">
        <v>436</v>
      </c>
      <c r="G1690" t="s">
        <v>437</v>
      </c>
      <c r="H1690">
        <v>506</v>
      </c>
      <c r="I1690" t="s">
        <v>92</v>
      </c>
      <c r="J1690" t="s">
        <v>93</v>
      </c>
      <c r="K1690" t="s">
        <v>1812</v>
      </c>
      <c r="L1690">
        <v>1</v>
      </c>
      <c r="M1690">
        <v>1</v>
      </c>
    </row>
    <row r="1691" spans="1:13" x14ac:dyDescent="0.25">
      <c r="A1691">
        <v>9</v>
      </c>
      <c r="B1691">
        <v>9195052</v>
      </c>
      <c r="C1691">
        <v>6113</v>
      </c>
      <c r="D1691">
        <v>9</v>
      </c>
      <c r="E1691">
        <v>403</v>
      </c>
      <c r="F1691" t="s">
        <v>78</v>
      </c>
      <c r="G1691" t="s">
        <v>79</v>
      </c>
      <c r="H1691">
        <v>403</v>
      </c>
      <c r="I1691" t="s">
        <v>78</v>
      </c>
      <c r="J1691" t="s">
        <v>79</v>
      </c>
      <c r="K1691" t="s">
        <v>1813</v>
      </c>
      <c r="L1691">
        <v>1</v>
      </c>
      <c r="M1691">
        <v>1</v>
      </c>
    </row>
    <row r="1692" spans="1:13" x14ac:dyDescent="0.25">
      <c r="A1692">
        <v>9</v>
      </c>
      <c r="B1692">
        <v>9195052</v>
      </c>
      <c r="C1692">
        <v>6113</v>
      </c>
      <c r="D1692">
        <v>10</v>
      </c>
      <c r="E1692">
        <v>680</v>
      </c>
      <c r="F1692" t="s">
        <v>114</v>
      </c>
      <c r="G1692" t="s">
        <v>115</v>
      </c>
      <c r="H1692">
        <v>680</v>
      </c>
      <c r="I1692" t="s">
        <v>114</v>
      </c>
      <c r="J1692" t="s">
        <v>115</v>
      </c>
      <c r="K1692" t="s">
        <v>1814</v>
      </c>
      <c r="L1692">
        <v>1</v>
      </c>
      <c r="M1692">
        <v>1</v>
      </c>
    </row>
    <row r="1693" spans="1:13" x14ac:dyDescent="0.25">
      <c r="A1693">
        <v>9</v>
      </c>
      <c r="B1693">
        <v>9195052</v>
      </c>
      <c r="C1693">
        <v>6113</v>
      </c>
      <c r="D1693">
        <v>11</v>
      </c>
      <c r="E1693">
        <v>180</v>
      </c>
      <c r="F1693" t="s">
        <v>68</v>
      </c>
      <c r="G1693" t="s">
        <v>69</v>
      </c>
      <c r="H1693">
        <v>180</v>
      </c>
      <c r="I1693" t="s">
        <v>68</v>
      </c>
      <c r="J1693" t="s">
        <v>69</v>
      </c>
      <c r="K1693" t="s">
        <v>1815</v>
      </c>
      <c r="L1693">
        <v>1</v>
      </c>
      <c r="M1693">
        <v>1</v>
      </c>
    </row>
    <row r="1694" spans="1:13" x14ac:dyDescent="0.25">
      <c r="A1694">
        <v>9</v>
      </c>
      <c r="B1694">
        <v>9195052</v>
      </c>
      <c r="C1694">
        <v>6113</v>
      </c>
      <c r="D1694">
        <v>12</v>
      </c>
      <c r="E1694">
        <v>638</v>
      </c>
      <c r="F1694" t="s">
        <v>104</v>
      </c>
      <c r="G1694" t="s">
        <v>105</v>
      </c>
      <c r="H1694">
        <v>638</v>
      </c>
      <c r="I1694" t="s">
        <v>104</v>
      </c>
      <c r="J1694" t="s">
        <v>105</v>
      </c>
      <c r="K1694" t="s">
        <v>1816</v>
      </c>
      <c r="L1694">
        <v>1</v>
      </c>
      <c r="M1694">
        <v>1</v>
      </c>
    </row>
    <row r="1695" spans="1:13" x14ac:dyDescent="0.25">
      <c r="A1695">
        <v>9</v>
      </c>
      <c r="B1695">
        <v>9195110</v>
      </c>
      <c r="C1695">
        <v>6113</v>
      </c>
      <c r="D1695">
        <v>13</v>
      </c>
      <c r="E1695">
        <v>970</v>
      </c>
      <c r="F1695" t="s">
        <v>436</v>
      </c>
      <c r="G1695" t="s">
        <v>437</v>
      </c>
      <c r="H1695">
        <v>498</v>
      </c>
      <c r="I1695" t="s">
        <v>521</v>
      </c>
      <c r="J1695" t="s">
        <v>522</v>
      </c>
      <c r="K1695" t="s">
        <v>853</v>
      </c>
      <c r="L1695">
        <v>1</v>
      </c>
      <c r="M1695">
        <v>1</v>
      </c>
    </row>
    <row r="1696" spans="1:13" x14ac:dyDescent="0.25">
      <c r="A1696">
        <v>9</v>
      </c>
      <c r="B1696">
        <v>9195213</v>
      </c>
      <c r="C1696">
        <v>6113</v>
      </c>
      <c r="D1696">
        <v>14</v>
      </c>
      <c r="E1696">
        <v>970</v>
      </c>
      <c r="F1696" t="s">
        <v>436</v>
      </c>
      <c r="G1696" t="s">
        <v>437</v>
      </c>
      <c r="H1696">
        <v>506</v>
      </c>
      <c r="I1696" t="s">
        <v>92</v>
      </c>
      <c r="J1696" t="s">
        <v>93</v>
      </c>
      <c r="K1696" t="s">
        <v>1817</v>
      </c>
      <c r="L1696">
        <v>1</v>
      </c>
      <c r="M1696">
        <v>1</v>
      </c>
    </row>
    <row r="1697" spans="1:13" x14ac:dyDescent="0.25">
      <c r="A1697">
        <v>9</v>
      </c>
      <c r="B1697">
        <v>9195265</v>
      </c>
      <c r="C1697">
        <v>6113</v>
      </c>
      <c r="D1697">
        <v>15</v>
      </c>
      <c r="E1697">
        <v>970</v>
      </c>
      <c r="F1697" t="s">
        <v>436</v>
      </c>
      <c r="G1697" t="s">
        <v>437</v>
      </c>
      <c r="H1697">
        <v>506</v>
      </c>
      <c r="I1697" t="s">
        <v>92</v>
      </c>
      <c r="J1697" t="s">
        <v>93</v>
      </c>
      <c r="K1697" t="s">
        <v>1818</v>
      </c>
      <c r="L1697">
        <v>1</v>
      </c>
      <c r="M1697">
        <v>1</v>
      </c>
    </row>
    <row r="1698" spans="1:13" x14ac:dyDescent="0.25">
      <c r="A1698">
        <v>9</v>
      </c>
      <c r="B1698">
        <v>9195265</v>
      </c>
      <c r="C1698">
        <v>6113</v>
      </c>
      <c r="D1698">
        <v>16</v>
      </c>
      <c r="E1698">
        <v>179</v>
      </c>
      <c r="F1698" t="s">
        <v>66</v>
      </c>
      <c r="G1698" t="s">
        <v>67</v>
      </c>
      <c r="H1698">
        <v>179</v>
      </c>
      <c r="I1698" t="s">
        <v>66</v>
      </c>
      <c r="J1698" t="s">
        <v>67</v>
      </c>
      <c r="K1698" t="s">
        <v>1819</v>
      </c>
      <c r="L1698">
        <v>1</v>
      </c>
      <c r="M1698">
        <v>1</v>
      </c>
    </row>
    <row r="1699" spans="1:13" x14ac:dyDescent="0.25">
      <c r="A1699">
        <v>9</v>
      </c>
      <c r="B1699">
        <v>9195265</v>
      </c>
      <c r="C1699">
        <v>6113</v>
      </c>
      <c r="D1699">
        <v>17</v>
      </c>
      <c r="E1699">
        <v>639</v>
      </c>
      <c r="F1699" t="s">
        <v>106</v>
      </c>
      <c r="G1699" t="s">
        <v>107</v>
      </c>
      <c r="H1699">
        <v>639</v>
      </c>
      <c r="I1699" t="s">
        <v>106</v>
      </c>
      <c r="J1699" t="s">
        <v>107</v>
      </c>
      <c r="K1699" t="s">
        <v>1820</v>
      </c>
      <c r="L1699">
        <v>1</v>
      </c>
      <c r="M1699">
        <v>1</v>
      </c>
    </row>
    <row r="1700" spans="1:13" x14ac:dyDescent="0.25">
      <c r="A1700">
        <v>9</v>
      </c>
      <c r="B1700">
        <v>9195424</v>
      </c>
      <c r="C1700">
        <v>6113</v>
      </c>
      <c r="D1700">
        <v>18</v>
      </c>
      <c r="E1700">
        <v>970</v>
      </c>
      <c r="F1700" t="s">
        <v>436</v>
      </c>
      <c r="G1700" t="s">
        <v>437</v>
      </c>
      <c r="H1700">
        <v>506</v>
      </c>
      <c r="I1700" t="s">
        <v>92</v>
      </c>
      <c r="J1700" t="s">
        <v>93</v>
      </c>
      <c r="K1700" t="s">
        <v>1821</v>
      </c>
      <c r="L1700">
        <v>1</v>
      </c>
      <c r="M1700">
        <v>1</v>
      </c>
    </row>
    <row r="1701" spans="1:13" x14ac:dyDescent="0.25">
      <c r="A1701">
        <v>9</v>
      </c>
      <c r="B1701">
        <v>9195424</v>
      </c>
      <c r="C1701">
        <v>6113</v>
      </c>
      <c r="D1701">
        <v>19</v>
      </c>
      <c r="E1701">
        <v>400</v>
      </c>
      <c r="F1701" t="s">
        <v>74</v>
      </c>
      <c r="G1701" t="s">
        <v>75</v>
      </c>
      <c r="H1701">
        <v>400</v>
      </c>
      <c r="I1701" t="s">
        <v>74</v>
      </c>
      <c r="J1701" t="s">
        <v>75</v>
      </c>
      <c r="K1701" t="s">
        <v>1822</v>
      </c>
      <c r="L1701">
        <v>1</v>
      </c>
      <c r="M1701">
        <v>1</v>
      </c>
    </row>
    <row r="1702" spans="1:13" x14ac:dyDescent="0.25">
      <c r="A1702">
        <v>9</v>
      </c>
      <c r="B1702">
        <v>9195424</v>
      </c>
      <c r="C1702">
        <v>6113</v>
      </c>
      <c r="D1702">
        <v>20</v>
      </c>
      <c r="E1702">
        <v>680</v>
      </c>
      <c r="F1702" t="s">
        <v>114</v>
      </c>
      <c r="G1702" t="s">
        <v>115</v>
      </c>
      <c r="H1702">
        <v>680</v>
      </c>
      <c r="I1702" t="s">
        <v>114</v>
      </c>
      <c r="J1702" t="s">
        <v>115</v>
      </c>
      <c r="K1702" t="s">
        <v>1823</v>
      </c>
      <c r="L1702">
        <v>1</v>
      </c>
      <c r="M1702">
        <v>1</v>
      </c>
    </row>
    <row r="1703" spans="1:13" x14ac:dyDescent="0.25">
      <c r="A1703">
        <v>9</v>
      </c>
      <c r="B1703">
        <v>9195424</v>
      </c>
      <c r="C1703">
        <v>6113</v>
      </c>
      <c r="D1703">
        <v>21</v>
      </c>
      <c r="E1703">
        <v>970</v>
      </c>
      <c r="F1703" t="s">
        <v>436</v>
      </c>
      <c r="G1703" t="s">
        <v>437</v>
      </c>
      <c r="H1703">
        <v>506</v>
      </c>
      <c r="I1703" t="s">
        <v>92</v>
      </c>
      <c r="J1703" t="s">
        <v>93</v>
      </c>
      <c r="K1703" t="s">
        <v>1824</v>
      </c>
      <c r="L1703">
        <v>1</v>
      </c>
      <c r="M1703">
        <v>1</v>
      </c>
    </row>
    <row r="1704" spans="1:13" x14ac:dyDescent="0.25">
      <c r="A1704">
        <v>9</v>
      </c>
      <c r="B1704">
        <v>9195424</v>
      </c>
      <c r="C1704">
        <v>6113</v>
      </c>
      <c r="D1704">
        <v>22</v>
      </c>
      <c r="E1704">
        <v>584</v>
      </c>
      <c r="F1704" t="s">
        <v>96</v>
      </c>
      <c r="G1704" t="s">
        <v>97</v>
      </c>
      <c r="H1704">
        <v>584</v>
      </c>
      <c r="I1704" t="s">
        <v>96</v>
      </c>
      <c r="J1704" t="s">
        <v>97</v>
      </c>
      <c r="K1704" t="s">
        <v>1825</v>
      </c>
      <c r="L1704">
        <v>1</v>
      </c>
      <c r="M1704">
        <v>1</v>
      </c>
    </row>
    <row r="1705" spans="1:13" x14ac:dyDescent="0.25">
      <c r="A1705">
        <v>9</v>
      </c>
      <c r="B1705">
        <v>9195424</v>
      </c>
      <c r="C1705">
        <v>6113</v>
      </c>
      <c r="D1705">
        <v>23</v>
      </c>
      <c r="E1705">
        <v>179</v>
      </c>
      <c r="F1705" t="s">
        <v>66</v>
      </c>
      <c r="G1705" t="s">
        <v>67</v>
      </c>
      <c r="H1705">
        <v>179</v>
      </c>
      <c r="I1705" t="s">
        <v>66</v>
      </c>
      <c r="J1705" t="s">
        <v>67</v>
      </c>
      <c r="K1705" t="s">
        <v>1826</v>
      </c>
      <c r="L1705">
        <v>1</v>
      </c>
      <c r="M1705">
        <v>1</v>
      </c>
    </row>
    <row r="1706" spans="1:13" x14ac:dyDescent="0.25">
      <c r="A1706">
        <v>9</v>
      </c>
      <c r="B1706">
        <v>9195424</v>
      </c>
      <c r="C1706">
        <v>6113</v>
      </c>
      <c r="D1706">
        <v>24</v>
      </c>
      <c r="E1706">
        <v>403</v>
      </c>
      <c r="F1706" t="s">
        <v>78</v>
      </c>
      <c r="G1706" t="s">
        <v>79</v>
      </c>
      <c r="H1706">
        <v>403</v>
      </c>
      <c r="I1706" t="s">
        <v>78</v>
      </c>
      <c r="J1706" t="s">
        <v>79</v>
      </c>
      <c r="K1706" t="s">
        <v>1827</v>
      </c>
      <c r="L1706">
        <v>1</v>
      </c>
      <c r="M1706">
        <v>1</v>
      </c>
    </row>
    <row r="1707" spans="1:13" x14ac:dyDescent="0.25">
      <c r="A1707">
        <v>9</v>
      </c>
      <c r="B1707">
        <v>9194823</v>
      </c>
      <c r="C1707">
        <v>6113</v>
      </c>
      <c r="D1707">
        <v>4</v>
      </c>
      <c r="E1707">
        <v>731</v>
      </c>
      <c r="F1707" t="s">
        <v>1828</v>
      </c>
      <c r="G1707" t="s">
        <v>1829</v>
      </c>
      <c r="H1707">
        <v>731</v>
      </c>
      <c r="I1707" t="s">
        <v>1828</v>
      </c>
      <c r="J1707" t="s">
        <v>1829</v>
      </c>
      <c r="K1707" t="s">
        <v>1830</v>
      </c>
      <c r="L1707">
        <v>1</v>
      </c>
      <c r="M1707">
        <v>1</v>
      </c>
    </row>
    <row r="1708" spans="1:13" x14ac:dyDescent="0.25">
      <c r="A1708">
        <v>9</v>
      </c>
      <c r="B1708">
        <v>9195001</v>
      </c>
      <c r="C1708">
        <v>6113</v>
      </c>
      <c r="D1708">
        <v>5</v>
      </c>
      <c r="E1708">
        <v>970</v>
      </c>
      <c r="F1708" t="s">
        <v>436</v>
      </c>
      <c r="G1708" t="s">
        <v>437</v>
      </c>
      <c r="H1708">
        <v>506</v>
      </c>
      <c r="I1708" t="s">
        <v>92</v>
      </c>
      <c r="J1708" t="s">
        <v>93</v>
      </c>
      <c r="K1708" t="s">
        <v>1831</v>
      </c>
      <c r="L1708">
        <v>1</v>
      </c>
      <c r="M1708">
        <v>1</v>
      </c>
    </row>
    <row r="1709" spans="1:13" x14ac:dyDescent="0.25">
      <c r="A1709">
        <v>9</v>
      </c>
      <c r="B1709">
        <v>9195001</v>
      </c>
      <c r="C1709">
        <v>6113</v>
      </c>
      <c r="D1709">
        <v>6</v>
      </c>
      <c r="E1709">
        <v>970</v>
      </c>
      <c r="F1709" t="s">
        <v>436</v>
      </c>
      <c r="G1709" t="s">
        <v>437</v>
      </c>
      <c r="H1709">
        <v>506</v>
      </c>
      <c r="I1709" t="s">
        <v>92</v>
      </c>
      <c r="J1709" t="s">
        <v>93</v>
      </c>
      <c r="K1709" t="s">
        <v>1832</v>
      </c>
      <c r="L1709">
        <v>1</v>
      </c>
      <c r="M1709">
        <v>1</v>
      </c>
    </row>
    <row r="1710" spans="1:13" x14ac:dyDescent="0.25">
      <c r="A1710">
        <v>9</v>
      </c>
      <c r="B1710">
        <v>9195001</v>
      </c>
      <c r="C1710">
        <v>6113</v>
      </c>
      <c r="D1710">
        <v>7</v>
      </c>
      <c r="E1710">
        <v>639</v>
      </c>
      <c r="F1710" t="s">
        <v>106</v>
      </c>
      <c r="G1710" t="s">
        <v>107</v>
      </c>
      <c r="H1710">
        <v>639</v>
      </c>
      <c r="I1710" t="s">
        <v>106</v>
      </c>
      <c r="J1710" t="s">
        <v>107</v>
      </c>
      <c r="K1710" t="s">
        <v>1833</v>
      </c>
      <c r="L1710">
        <v>1</v>
      </c>
      <c r="M1710">
        <v>1</v>
      </c>
    </row>
    <row r="1711" spans="1:13" x14ac:dyDescent="0.25">
      <c r="A1711">
        <v>9</v>
      </c>
      <c r="B1711">
        <v>9193999</v>
      </c>
      <c r="C1711">
        <v>6113</v>
      </c>
      <c r="D1711">
        <v>2</v>
      </c>
      <c r="E1711">
        <v>402</v>
      </c>
      <c r="F1711" t="s">
        <v>168</v>
      </c>
      <c r="G1711" t="s">
        <v>169</v>
      </c>
      <c r="H1711">
        <v>402</v>
      </c>
      <c r="I1711" t="s">
        <v>168</v>
      </c>
      <c r="J1711" t="s">
        <v>169</v>
      </c>
      <c r="K1711" t="s">
        <v>1834</v>
      </c>
      <c r="L1711">
        <v>1</v>
      </c>
      <c r="M1711">
        <v>1</v>
      </c>
    </row>
    <row r="1712" spans="1:13" x14ac:dyDescent="0.25">
      <c r="A1712">
        <v>3</v>
      </c>
      <c r="B1712">
        <v>50052041</v>
      </c>
      <c r="C1712">
        <v>6171</v>
      </c>
      <c r="D1712">
        <v>5</v>
      </c>
      <c r="E1712">
        <v>745</v>
      </c>
      <c r="F1712" t="s">
        <v>199</v>
      </c>
      <c r="G1712" t="s">
        <v>200</v>
      </c>
      <c r="H1712">
        <v>745</v>
      </c>
      <c r="I1712" t="s">
        <v>199</v>
      </c>
      <c r="J1712" t="s">
        <v>200</v>
      </c>
      <c r="K1712" t="s">
        <v>1528</v>
      </c>
      <c r="L1712">
        <v>1</v>
      </c>
      <c r="M1712">
        <v>1</v>
      </c>
    </row>
    <row r="1713" spans="1:13" x14ac:dyDescent="0.25">
      <c r="A1713">
        <v>3</v>
      </c>
      <c r="B1713">
        <v>50052042</v>
      </c>
      <c r="C1713">
        <v>6171</v>
      </c>
      <c r="D1713">
        <v>2</v>
      </c>
      <c r="E1713">
        <v>970</v>
      </c>
      <c r="F1713" t="s">
        <v>436</v>
      </c>
      <c r="G1713" t="s">
        <v>437</v>
      </c>
      <c r="H1713">
        <v>506</v>
      </c>
      <c r="I1713" t="s">
        <v>92</v>
      </c>
      <c r="J1713" t="s">
        <v>93</v>
      </c>
      <c r="K1713" t="s">
        <v>1835</v>
      </c>
      <c r="L1713">
        <v>1</v>
      </c>
      <c r="M1713">
        <v>1</v>
      </c>
    </row>
    <row r="1714" spans="1:13" x14ac:dyDescent="0.25">
      <c r="A1714">
        <v>3</v>
      </c>
      <c r="B1714">
        <v>50052042</v>
      </c>
      <c r="C1714">
        <v>6171</v>
      </c>
      <c r="D1714">
        <v>3</v>
      </c>
      <c r="E1714">
        <v>970</v>
      </c>
      <c r="F1714" t="s">
        <v>436</v>
      </c>
      <c r="G1714" t="s">
        <v>437</v>
      </c>
      <c r="H1714">
        <v>506</v>
      </c>
      <c r="I1714" t="s">
        <v>92</v>
      </c>
      <c r="J1714" t="s">
        <v>93</v>
      </c>
      <c r="K1714" t="s">
        <v>1836</v>
      </c>
      <c r="L1714">
        <v>1</v>
      </c>
      <c r="M1714">
        <v>1</v>
      </c>
    </row>
    <row r="1715" spans="1:13" x14ac:dyDescent="0.25">
      <c r="A1715">
        <v>3</v>
      </c>
      <c r="B1715">
        <v>50052042</v>
      </c>
      <c r="C1715">
        <v>6171</v>
      </c>
      <c r="D1715">
        <v>4</v>
      </c>
      <c r="E1715">
        <v>674</v>
      </c>
      <c r="F1715" t="s">
        <v>112</v>
      </c>
      <c r="G1715" t="s">
        <v>113</v>
      </c>
      <c r="H1715">
        <v>674</v>
      </c>
      <c r="I1715" t="s">
        <v>112</v>
      </c>
      <c r="J1715" t="s">
        <v>113</v>
      </c>
      <c r="K1715" t="s">
        <v>1837</v>
      </c>
      <c r="L1715">
        <v>1</v>
      </c>
      <c r="M1715">
        <v>1</v>
      </c>
    </row>
    <row r="1716" spans="1:13" x14ac:dyDescent="0.25">
      <c r="A1716">
        <v>2</v>
      </c>
      <c r="B1716">
        <v>8679273</v>
      </c>
      <c r="C1716">
        <v>6172</v>
      </c>
      <c r="D1716">
        <v>6</v>
      </c>
      <c r="E1716">
        <v>970</v>
      </c>
      <c r="F1716" t="s">
        <v>436</v>
      </c>
      <c r="G1716" t="s">
        <v>437</v>
      </c>
      <c r="H1716">
        <v>506</v>
      </c>
      <c r="I1716" t="s">
        <v>92</v>
      </c>
      <c r="J1716" t="s">
        <v>93</v>
      </c>
      <c r="K1716" t="s">
        <v>1838</v>
      </c>
      <c r="L1716">
        <v>1</v>
      </c>
      <c r="M1716">
        <v>1</v>
      </c>
    </row>
    <row r="1717" spans="1:13" x14ac:dyDescent="0.25">
      <c r="A1717">
        <v>2</v>
      </c>
      <c r="B1717">
        <v>8675715</v>
      </c>
      <c r="C1717">
        <v>6172</v>
      </c>
      <c r="D1717">
        <v>2</v>
      </c>
      <c r="E1717">
        <v>181</v>
      </c>
      <c r="F1717" t="s">
        <v>164</v>
      </c>
      <c r="G1717" t="s">
        <v>165</v>
      </c>
      <c r="H1717">
        <v>181</v>
      </c>
      <c r="I1717" t="s">
        <v>164</v>
      </c>
      <c r="J1717" t="s">
        <v>165</v>
      </c>
      <c r="K1717" t="s">
        <v>1839</v>
      </c>
      <c r="L1717">
        <v>1</v>
      </c>
      <c r="M1717">
        <v>1</v>
      </c>
    </row>
    <row r="1718" spans="1:13" x14ac:dyDescent="0.25">
      <c r="A1718">
        <v>2</v>
      </c>
      <c r="B1718">
        <v>8675790</v>
      </c>
      <c r="C1718">
        <v>6172</v>
      </c>
      <c r="D1718">
        <v>3</v>
      </c>
      <c r="E1718">
        <v>970</v>
      </c>
      <c r="F1718" t="s">
        <v>436</v>
      </c>
      <c r="G1718" t="s">
        <v>437</v>
      </c>
      <c r="H1718">
        <v>506</v>
      </c>
      <c r="I1718" t="s">
        <v>92</v>
      </c>
      <c r="J1718" t="s">
        <v>93</v>
      </c>
      <c r="K1718" t="s">
        <v>1840</v>
      </c>
      <c r="L1718">
        <v>1</v>
      </c>
      <c r="M1718">
        <v>1</v>
      </c>
    </row>
    <row r="1719" spans="1:13" x14ac:dyDescent="0.25">
      <c r="A1719">
        <v>2</v>
      </c>
      <c r="B1719">
        <v>8676620</v>
      </c>
      <c r="C1719">
        <v>6172</v>
      </c>
      <c r="D1719">
        <v>4</v>
      </c>
      <c r="E1719">
        <v>970</v>
      </c>
      <c r="F1719" t="s">
        <v>436</v>
      </c>
      <c r="G1719" t="s">
        <v>437</v>
      </c>
      <c r="H1719">
        <v>506</v>
      </c>
      <c r="I1719" t="s">
        <v>92</v>
      </c>
      <c r="J1719" t="s">
        <v>93</v>
      </c>
      <c r="K1719" t="s">
        <v>1841</v>
      </c>
      <c r="L1719">
        <v>1</v>
      </c>
      <c r="M1719">
        <v>1</v>
      </c>
    </row>
    <row r="1720" spans="1:13" x14ac:dyDescent="0.25">
      <c r="A1720">
        <v>2</v>
      </c>
      <c r="B1720">
        <v>8677846</v>
      </c>
      <c r="C1720">
        <v>6172</v>
      </c>
      <c r="D1720">
        <v>5</v>
      </c>
      <c r="E1720">
        <v>970</v>
      </c>
      <c r="F1720" t="s">
        <v>436</v>
      </c>
      <c r="G1720" t="s">
        <v>437</v>
      </c>
      <c r="H1720">
        <v>506</v>
      </c>
      <c r="I1720" t="s">
        <v>92</v>
      </c>
      <c r="J1720" t="s">
        <v>93</v>
      </c>
      <c r="K1720" t="s">
        <v>1842</v>
      </c>
      <c r="L1720">
        <v>1</v>
      </c>
      <c r="M1720">
        <v>1</v>
      </c>
    </row>
    <row r="1721" spans="1:13" x14ac:dyDescent="0.25">
      <c r="A1721">
        <v>2</v>
      </c>
      <c r="B1721">
        <v>8675668</v>
      </c>
      <c r="C1721">
        <v>6172</v>
      </c>
      <c r="D1721">
        <v>1</v>
      </c>
      <c r="E1721">
        <v>895</v>
      </c>
      <c r="F1721" t="s">
        <v>387</v>
      </c>
      <c r="G1721" t="s">
        <v>388</v>
      </c>
      <c r="H1721">
        <v>895</v>
      </c>
      <c r="I1721" t="s">
        <v>387</v>
      </c>
      <c r="J1721" t="s">
        <v>388</v>
      </c>
      <c r="K1721" t="s">
        <v>1843</v>
      </c>
      <c r="L1721">
        <v>1</v>
      </c>
      <c r="M1721">
        <v>1</v>
      </c>
    </row>
    <row r="1722" spans="1:13" x14ac:dyDescent="0.25">
      <c r="A1722">
        <v>29</v>
      </c>
      <c r="B1722">
        <v>8676006</v>
      </c>
      <c r="C1722">
        <v>6173</v>
      </c>
      <c r="D1722">
        <v>1</v>
      </c>
      <c r="E1722">
        <v>833</v>
      </c>
      <c r="F1722" t="s">
        <v>332</v>
      </c>
      <c r="G1722" t="s">
        <v>333</v>
      </c>
      <c r="H1722">
        <v>833</v>
      </c>
      <c r="I1722" t="s">
        <v>332</v>
      </c>
      <c r="J1722" t="s">
        <v>333</v>
      </c>
      <c r="K1722" t="s">
        <v>1844</v>
      </c>
      <c r="L1722">
        <v>2</v>
      </c>
      <c r="M1722">
        <v>2</v>
      </c>
    </row>
    <row r="1723" spans="1:13" x14ac:dyDescent="0.25">
      <c r="A1723">
        <v>29</v>
      </c>
      <c r="B1723">
        <v>8677166</v>
      </c>
      <c r="C1723">
        <v>6173</v>
      </c>
      <c r="D1723">
        <v>2</v>
      </c>
      <c r="E1723">
        <v>850</v>
      </c>
      <c r="F1723" t="s">
        <v>910</v>
      </c>
      <c r="G1723" t="s">
        <v>911</v>
      </c>
      <c r="H1723">
        <v>850</v>
      </c>
      <c r="I1723" t="s">
        <v>910</v>
      </c>
      <c r="J1723" t="s">
        <v>911</v>
      </c>
      <c r="K1723" t="s">
        <v>1845</v>
      </c>
      <c r="L1723">
        <v>1</v>
      </c>
      <c r="M1723">
        <v>1</v>
      </c>
    </row>
    <row r="1724" spans="1:13" x14ac:dyDescent="0.25">
      <c r="A1724">
        <v>4</v>
      </c>
      <c r="B1724">
        <v>9659490</v>
      </c>
      <c r="C1724">
        <v>6174</v>
      </c>
      <c r="D1724">
        <v>1</v>
      </c>
      <c r="E1724">
        <v>501</v>
      </c>
      <c r="F1724" t="s">
        <v>90</v>
      </c>
      <c r="G1724" t="s">
        <v>91</v>
      </c>
      <c r="H1724">
        <v>501</v>
      </c>
      <c r="I1724" t="s">
        <v>90</v>
      </c>
      <c r="J1724" t="s">
        <v>91</v>
      </c>
      <c r="K1724" t="s">
        <v>1846</v>
      </c>
      <c r="L1724">
        <v>1</v>
      </c>
      <c r="M1724">
        <v>1</v>
      </c>
    </row>
    <row r="1725" spans="1:13" x14ac:dyDescent="0.25">
      <c r="A1725">
        <v>6</v>
      </c>
      <c r="B1725">
        <v>956259</v>
      </c>
      <c r="C1725">
        <v>6175</v>
      </c>
      <c r="D1725">
        <v>3</v>
      </c>
      <c r="E1725">
        <v>592</v>
      </c>
      <c r="F1725" t="s">
        <v>622</v>
      </c>
      <c r="G1725" t="s">
        <v>623</v>
      </c>
      <c r="H1725">
        <v>592</v>
      </c>
      <c r="I1725" t="s">
        <v>622</v>
      </c>
      <c r="J1725" t="s">
        <v>623</v>
      </c>
      <c r="K1725" t="s">
        <v>1847</v>
      </c>
      <c r="L1725">
        <v>1</v>
      </c>
      <c r="M1725">
        <v>1</v>
      </c>
    </row>
    <row r="1726" spans="1:13" x14ac:dyDescent="0.25">
      <c r="A1726">
        <v>6</v>
      </c>
      <c r="B1726">
        <v>955843</v>
      </c>
      <c r="C1726">
        <v>6175</v>
      </c>
      <c r="D1726">
        <v>1</v>
      </c>
      <c r="E1726">
        <v>842</v>
      </c>
      <c r="F1726" t="s">
        <v>366</v>
      </c>
      <c r="G1726" t="s">
        <v>367</v>
      </c>
      <c r="H1726">
        <v>842</v>
      </c>
      <c r="I1726" t="s">
        <v>366</v>
      </c>
      <c r="J1726" t="s">
        <v>367</v>
      </c>
      <c r="K1726" t="s">
        <v>1848</v>
      </c>
      <c r="L1726">
        <v>1</v>
      </c>
      <c r="M1726">
        <v>1</v>
      </c>
    </row>
    <row r="1727" spans="1:13" x14ac:dyDescent="0.25">
      <c r="A1727">
        <v>6</v>
      </c>
      <c r="B1727">
        <v>955941</v>
      </c>
      <c r="C1727">
        <v>6175</v>
      </c>
      <c r="D1727">
        <v>2</v>
      </c>
      <c r="E1727">
        <v>937</v>
      </c>
      <c r="F1727" t="s">
        <v>355</v>
      </c>
      <c r="G1727" t="s">
        <v>356</v>
      </c>
      <c r="H1727">
        <v>937</v>
      </c>
      <c r="I1727" t="s">
        <v>355</v>
      </c>
      <c r="J1727" t="s">
        <v>356</v>
      </c>
      <c r="K1727" t="s">
        <v>1849</v>
      </c>
      <c r="L1727">
        <v>1</v>
      </c>
      <c r="M1727">
        <v>1</v>
      </c>
    </row>
    <row r="1728" spans="1:13" x14ac:dyDescent="0.25">
      <c r="A1728">
        <v>6</v>
      </c>
      <c r="B1728">
        <v>956197</v>
      </c>
      <c r="C1728">
        <v>6176</v>
      </c>
      <c r="D1728">
        <v>1</v>
      </c>
      <c r="E1728">
        <v>474</v>
      </c>
      <c r="F1728" t="s">
        <v>86</v>
      </c>
      <c r="G1728" t="s">
        <v>87</v>
      </c>
      <c r="H1728">
        <v>474</v>
      </c>
      <c r="I1728" t="s">
        <v>86</v>
      </c>
      <c r="J1728" t="s">
        <v>87</v>
      </c>
      <c r="K1728" t="s">
        <v>1850</v>
      </c>
      <c r="L1728">
        <v>1</v>
      </c>
      <c r="M1728">
        <v>1</v>
      </c>
    </row>
    <row r="1729" spans="1:13" x14ac:dyDescent="0.25">
      <c r="A1729">
        <v>9</v>
      </c>
      <c r="B1729">
        <v>9197943</v>
      </c>
      <c r="C1729">
        <v>6177</v>
      </c>
      <c r="D1729">
        <v>6</v>
      </c>
      <c r="E1729">
        <v>584</v>
      </c>
      <c r="F1729" t="s">
        <v>96</v>
      </c>
      <c r="G1729" t="s">
        <v>97</v>
      </c>
      <c r="H1729">
        <v>584</v>
      </c>
      <c r="I1729" t="s">
        <v>96</v>
      </c>
      <c r="J1729" t="s">
        <v>97</v>
      </c>
      <c r="K1729" t="s">
        <v>1851</v>
      </c>
      <c r="L1729">
        <v>1</v>
      </c>
      <c r="M1729">
        <v>1</v>
      </c>
    </row>
    <row r="1730" spans="1:13" x14ac:dyDescent="0.25">
      <c r="A1730">
        <v>9</v>
      </c>
      <c r="B1730">
        <v>9198013</v>
      </c>
      <c r="C1730">
        <v>6177</v>
      </c>
      <c r="D1730">
        <v>7</v>
      </c>
      <c r="E1730">
        <v>474</v>
      </c>
      <c r="F1730" t="s">
        <v>86</v>
      </c>
      <c r="G1730" t="s">
        <v>87</v>
      </c>
      <c r="H1730">
        <v>474</v>
      </c>
      <c r="I1730" t="s">
        <v>86</v>
      </c>
      <c r="J1730" t="s">
        <v>87</v>
      </c>
      <c r="K1730" t="s">
        <v>1852</v>
      </c>
      <c r="L1730">
        <v>1</v>
      </c>
      <c r="M1730">
        <v>1</v>
      </c>
    </row>
    <row r="1731" spans="1:13" x14ac:dyDescent="0.25">
      <c r="A1731">
        <v>9</v>
      </c>
      <c r="B1731">
        <v>9198181</v>
      </c>
      <c r="C1731">
        <v>6177</v>
      </c>
      <c r="D1731">
        <v>8</v>
      </c>
      <c r="E1731">
        <v>970</v>
      </c>
      <c r="F1731" t="s">
        <v>436</v>
      </c>
      <c r="G1731" t="s">
        <v>437</v>
      </c>
      <c r="H1731">
        <v>506</v>
      </c>
      <c r="I1731" t="s">
        <v>92</v>
      </c>
      <c r="J1731" t="s">
        <v>93</v>
      </c>
      <c r="K1731" t="s">
        <v>1853</v>
      </c>
      <c r="L1731">
        <v>1</v>
      </c>
      <c r="M1731">
        <v>1</v>
      </c>
    </row>
    <row r="1732" spans="1:13" x14ac:dyDescent="0.25">
      <c r="A1732">
        <v>9</v>
      </c>
      <c r="B1732">
        <v>9198181</v>
      </c>
      <c r="C1732">
        <v>6177</v>
      </c>
      <c r="D1732">
        <v>9</v>
      </c>
      <c r="E1732">
        <v>182</v>
      </c>
      <c r="F1732" t="s">
        <v>322</v>
      </c>
      <c r="G1732" t="s">
        <v>323</v>
      </c>
      <c r="H1732">
        <v>182</v>
      </c>
      <c r="I1732" t="s">
        <v>322</v>
      </c>
      <c r="J1732" t="s">
        <v>323</v>
      </c>
      <c r="K1732" t="s">
        <v>1854</v>
      </c>
      <c r="L1732">
        <v>1</v>
      </c>
      <c r="M1732">
        <v>1</v>
      </c>
    </row>
    <row r="1733" spans="1:13" x14ac:dyDescent="0.25">
      <c r="A1733">
        <v>9</v>
      </c>
      <c r="B1733">
        <v>9197495</v>
      </c>
      <c r="C1733">
        <v>6177</v>
      </c>
      <c r="D1733">
        <v>2</v>
      </c>
      <c r="E1733">
        <v>584</v>
      </c>
      <c r="F1733" t="s">
        <v>96</v>
      </c>
      <c r="G1733" t="s">
        <v>97</v>
      </c>
      <c r="H1733">
        <v>584</v>
      </c>
      <c r="I1733" t="s">
        <v>96</v>
      </c>
      <c r="J1733" t="s">
        <v>97</v>
      </c>
      <c r="K1733" t="s">
        <v>1855</v>
      </c>
      <c r="L1733">
        <v>1</v>
      </c>
      <c r="M1733">
        <v>1</v>
      </c>
    </row>
    <row r="1734" spans="1:13" x14ac:dyDescent="0.25">
      <c r="A1734">
        <v>9</v>
      </c>
      <c r="B1734">
        <v>9197571</v>
      </c>
      <c r="C1734">
        <v>6177</v>
      </c>
      <c r="D1734">
        <v>3</v>
      </c>
      <c r="E1734">
        <v>404</v>
      </c>
      <c r="F1734" t="s">
        <v>80</v>
      </c>
      <c r="G1734" t="s">
        <v>81</v>
      </c>
      <c r="H1734">
        <v>404</v>
      </c>
      <c r="I1734" t="s">
        <v>80</v>
      </c>
      <c r="J1734" t="s">
        <v>81</v>
      </c>
      <c r="K1734" t="s">
        <v>1856</v>
      </c>
      <c r="L1734">
        <v>1</v>
      </c>
      <c r="M1734">
        <v>1</v>
      </c>
    </row>
    <row r="1735" spans="1:13" x14ac:dyDescent="0.25">
      <c r="A1735">
        <v>9</v>
      </c>
      <c r="B1735">
        <v>9197775</v>
      </c>
      <c r="C1735">
        <v>6177</v>
      </c>
      <c r="D1735">
        <v>4</v>
      </c>
      <c r="E1735">
        <v>638</v>
      </c>
      <c r="F1735" t="s">
        <v>104</v>
      </c>
      <c r="G1735" t="s">
        <v>105</v>
      </c>
      <c r="H1735">
        <v>638</v>
      </c>
      <c r="I1735" t="s">
        <v>104</v>
      </c>
      <c r="J1735" t="s">
        <v>105</v>
      </c>
      <c r="K1735" t="s">
        <v>1857</v>
      </c>
      <c r="L1735">
        <v>1</v>
      </c>
      <c r="M1735">
        <v>1</v>
      </c>
    </row>
    <row r="1736" spans="1:13" x14ac:dyDescent="0.25">
      <c r="A1736">
        <v>9</v>
      </c>
      <c r="B1736">
        <v>9197775</v>
      </c>
      <c r="C1736">
        <v>6177</v>
      </c>
      <c r="D1736">
        <v>5</v>
      </c>
      <c r="E1736">
        <v>501</v>
      </c>
      <c r="F1736" t="s">
        <v>90</v>
      </c>
      <c r="G1736" t="s">
        <v>91</v>
      </c>
      <c r="H1736">
        <v>501</v>
      </c>
      <c r="I1736" t="s">
        <v>90</v>
      </c>
      <c r="J1736" t="s">
        <v>91</v>
      </c>
      <c r="K1736" t="s">
        <v>1858</v>
      </c>
      <c r="L1736">
        <v>1</v>
      </c>
      <c r="M1736">
        <v>1</v>
      </c>
    </row>
    <row r="1737" spans="1:13" x14ac:dyDescent="0.25">
      <c r="A1737">
        <v>9</v>
      </c>
      <c r="B1737">
        <v>9197392</v>
      </c>
      <c r="C1737">
        <v>6177</v>
      </c>
      <c r="D1737">
        <v>1</v>
      </c>
      <c r="E1737">
        <v>970</v>
      </c>
      <c r="F1737" t="s">
        <v>436</v>
      </c>
      <c r="G1737" t="s">
        <v>437</v>
      </c>
      <c r="H1737">
        <v>506</v>
      </c>
      <c r="I1737" t="s">
        <v>92</v>
      </c>
      <c r="J1737" t="s">
        <v>93</v>
      </c>
      <c r="K1737" t="s">
        <v>1859</v>
      </c>
      <c r="L1737">
        <v>1</v>
      </c>
      <c r="M1737">
        <v>1</v>
      </c>
    </row>
    <row r="1738" spans="1:13" x14ac:dyDescent="0.25">
      <c r="A1738">
        <v>9</v>
      </c>
      <c r="B1738">
        <v>9198060</v>
      </c>
      <c r="C1738">
        <v>6178</v>
      </c>
      <c r="D1738">
        <v>6</v>
      </c>
      <c r="E1738">
        <v>501</v>
      </c>
      <c r="F1738" t="s">
        <v>90</v>
      </c>
      <c r="G1738" t="s">
        <v>91</v>
      </c>
      <c r="H1738">
        <v>501</v>
      </c>
      <c r="I1738" t="s">
        <v>90</v>
      </c>
      <c r="J1738" t="s">
        <v>91</v>
      </c>
      <c r="K1738" t="s">
        <v>1860</v>
      </c>
      <c r="L1738">
        <v>1</v>
      </c>
      <c r="M1738">
        <v>1</v>
      </c>
    </row>
    <row r="1739" spans="1:13" x14ac:dyDescent="0.25">
      <c r="A1739">
        <v>9</v>
      </c>
      <c r="B1739">
        <v>9198181</v>
      </c>
      <c r="C1739">
        <v>6178</v>
      </c>
      <c r="D1739">
        <v>7</v>
      </c>
      <c r="E1739">
        <v>970</v>
      </c>
      <c r="F1739" t="s">
        <v>436</v>
      </c>
      <c r="G1739" t="s">
        <v>437</v>
      </c>
      <c r="H1739">
        <v>506</v>
      </c>
      <c r="I1739" t="s">
        <v>92</v>
      </c>
      <c r="J1739" t="s">
        <v>93</v>
      </c>
      <c r="K1739" t="s">
        <v>1861</v>
      </c>
      <c r="L1739">
        <v>1</v>
      </c>
      <c r="M1739">
        <v>1</v>
      </c>
    </row>
    <row r="1740" spans="1:13" x14ac:dyDescent="0.25">
      <c r="A1740">
        <v>9</v>
      </c>
      <c r="B1740">
        <v>9197571</v>
      </c>
      <c r="C1740">
        <v>6178</v>
      </c>
      <c r="D1740">
        <v>3</v>
      </c>
      <c r="E1740">
        <v>181</v>
      </c>
      <c r="F1740" t="s">
        <v>164</v>
      </c>
      <c r="G1740" t="s">
        <v>165</v>
      </c>
      <c r="H1740">
        <v>181</v>
      </c>
      <c r="I1740" t="s">
        <v>164</v>
      </c>
      <c r="J1740" t="s">
        <v>165</v>
      </c>
      <c r="K1740" t="s">
        <v>1862</v>
      </c>
      <c r="L1740">
        <v>1</v>
      </c>
      <c r="M1740">
        <v>1</v>
      </c>
    </row>
    <row r="1741" spans="1:13" x14ac:dyDescent="0.25">
      <c r="A1741">
        <v>9</v>
      </c>
      <c r="B1741">
        <v>9197775</v>
      </c>
      <c r="C1741">
        <v>6178</v>
      </c>
      <c r="D1741">
        <v>4</v>
      </c>
      <c r="E1741">
        <v>182</v>
      </c>
      <c r="F1741" t="s">
        <v>322</v>
      </c>
      <c r="G1741" t="s">
        <v>323</v>
      </c>
      <c r="H1741">
        <v>182</v>
      </c>
      <c r="I1741" t="s">
        <v>322</v>
      </c>
      <c r="J1741" t="s">
        <v>323</v>
      </c>
      <c r="K1741" t="s">
        <v>1863</v>
      </c>
      <c r="L1741">
        <v>1</v>
      </c>
      <c r="M1741">
        <v>1</v>
      </c>
    </row>
    <row r="1742" spans="1:13" x14ac:dyDescent="0.25">
      <c r="A1742">
        <v>9</v>
      </c>
      <c r="B1742">
        <v>9197775</v>
      </c>
      <c r="C1742">
        <v>6178</v>
      </c>
      <c r="D1742">
        <v>5</v>
      </c>
      <c r="E1742">
        <v>638</v>
      </c>
      <c r="F1742" t="s">
        <v>104</v>
      </c>
      <c r="G1742" t="s">
        <v>105</v>
      </c>
      <c r="H1742">
        <v>638</v>
      </c>
      <c r="I1742" t="s">
        <v>104</v>
      </c>
      <c r="J1742" t="s">
        <v>105</v>
      </c>
      <c r="K1742" t="s">
        <v>1864</v>
      </c>
      <c r="L1742">
        <v>1</v>
      </c>
      <c r="M1742">
        <v>1</v>
      </c>
    </row>
    <row r="1743" spans="1:13" x14ac:dyDescent="0.25">
      <c r="A1743">
        <v>9</v>
      </c>
      <c r="B1743">
        <v>9197240</v>
      </c>
      <c r="C1743">
        <v>6178</v>
      </c>
      <c r="D1743">
        <v>1</v>
      </c>
      <c r="E1743">
        <v>674</v>
      </c>
      <c r="F1743" t="s">
        <v>112</v>
      </c>
      <c r="G1743" t="s">
        <v>113</v>
      </c>
      <c r="H1743">
        <v>674</v>
      </c>
      <c r="I1743" t="s">
        <v>112</v>
      </c>
      <c r="J1743" t="s">
        <v>113</v>
      </c>
      <c r="K1743" t="s">
        <v>1865</v>
      </c>
      <c r="L1743">
        <v>1</v>
      </c>
      <c r="M1743">
        <v>1</v>
      </c>
    </row>
    <row r="1744" spans="1:13" x14ac:dyDescent="0.25">
      <c r="A1744">
        <v>9</v>
      </c>
      <c r="B1744">
        <v>9197273</v>
      </c>
      <c r="C1744">
        <v>6178</v>
      </c>
      <c r="D1744">
        <v>2</v>
      </c>
      <c r="E1744">
        <v>13</v>
      </c>
      <c r="F1744" t="s">
        <v>62</v>
      </c>
      <c r="G1744" t="s">
        <v>63</v>
      </c>
      <c r="H1744">
        <v>13</v>
      </c>
      <c r="I1744" t="s">
        <v>62</v>
      </c>
      <c r="J1744" t="s">
        <v>63</v>
      </c>
      <c r="K1744" t="s">
        <v>1866</v>
      </c>
      <c r="L1744">
        <v>1</v>
      </c>
      <c r="M1744">
        <v>1</v>
      </c>
    </row>
    <row r="1745" spans="1:13" x14ac:dyDescent="0.25">
      <c r="A1745">
        <v>9</v>
      </c>
      <c r="B1745">
        <v>9197865</v>
      </c>
      <c r="C1745">
        <v>6179</v>
      </c>
      <c r="D1745">
        <v>1</v>
      </c>
      <c r="E1745">
        <v>816</v>
      </c>
      <c r="F1745" t="s">
        <v>229</v>
      </c>
      <c r="G1745" t="s">
        <v>230</v>
      </c>
      <c r="H1745">
        <v>816</v>
      </c>
      <c r="I1745" t="s">
        <v>229</v>
      </c>
      <c r="J1745" t="s">
        <v>230</v>
      </c>
      <c r="K1745" t="s">
        <v>1867</v>
      </c>
      <c r="L1745">
        <v>1</v>
      </c>
      <c r="M1745">
        <v>1</v>
      </c>
    </row>
    <row r="1746" spans="1:13" x14ac:dyDescent="0.25">
      <c r="A1746">
        <v>23</v>
      </c>
      <c r="B1746">
        <v>72</v>
      </c>
      <c r="C1746">
        <v>6180</v>
      </c>
      <c r="D1746">
        <v>1</v>
      </c>
      <c r="E1746">
        <v>902</v>
      </c>
      <c r="F1746" t="s">
        <v>275</v>
      </c>
      <c r="G1746" t="s">
        <v>276</v>
      </c>
      <c r="H1746">
        <v>902</v>
      </c>
      <c r="I1746" t="s">
        <v>275</v>
      </c>
      <c r="J1746" t="s">
        <v>276</v>
      </c>
      <c r="K1746" t="s">
        <v>49</v>
      </c>
      <c r="L1746">
        <v>1</v>
      </c>
      <c r="M1746">
        <v>1</v>
      </c>
    </row>
    <row r="1747" spans="1:13" x14ac:dyDescent="0.25">
      <c r="A1747">
        <v>23</v>
      </c>
      <c r="B1747">
        <v>72</v>
      </c>
      <c r="C1747">
        <v>6180</v>
      </c>
      <c r="D1747">
        <v>2</v>
      </c>
      <c r="E1747">
        <v>903</v>
      </c>
      <c r="F1747" t="s">
        <v>277</v>
      </c>
      <c r="G1747" t="s">
        <v>278</v>
      </c>
      <c r="H1747">
        <v>903</v>
      </c>
      <c r="I1747" t="s">
        <v>277</v>
      </c>
      <c r="J1747" t="s">
        <v>278</v>
      </c>
      <c r="K1747" t="s">
        <v>49</v>
      </c>
      <c r="L1747">
        <v>1</v>
      </c>
      <c r="M1747">
        <v>1</v>
      </c>
    </row>
    <row r="1748" spans="1:13" x14ac:dyDescent="0.25">
      <c r="A1748">
        <v>23</v>
      </c>
      <c r="B1748">
        <v>72</v>
      </c>
      <c r="C1748">
        <v>6180</v>
      </c>
      <c r="D1748">
        <v>3</v>
      </c>
      <c r="E1748">
        <v>954</v>
      </c>
      <c r="F1748" t="s">
        <v>245</v>
      </c>
      <c r="G1748" t="s">
        <v>246</v>
      </c>
      <c r="H1748">
        <v>954</v>
      </c>
      <c r="I1748" t="s">
        <v>245</v>
      </c>
      <c r="J1748" t="s">
        <v>246</v>
      </c>
      <c r="K1748" t="s">
        <v>49</v>
      </c>
      <c r="L1748">
        <v>1</v>
      </c>
      <c r="M1748">
        <v>1</v>
      </c>
    </row>
    <row r="1749" spans="1:13" x14ac:dyDescent="0.25">
      <c r="A1749">
        <v>23</v>
      </c>
      <c r="B1749">
        <v>72</v>
      </c>
      <c r="C1749">
        <v>6180</v>
      </c>
      <c r="D1749">
        <v>4</v>
      </c>
      <c r="E1749">
        <v>955</v>
      </c>
      <c r="F1749" t="s">
        <v>166</v>
      </c>
      <c r="G1749" t="s">
        <v>167</v>
      </c>
      <c r="H1749">
        <v>955</v>
      </c>
      <c r="I1749" t="s">
        <v>166</v>
      </c>
      <c r="J1749" t="s">
        <v>167</v>
      </c>
      <c r="K1749" t="s">
        <v>49</v>
      </c>
      <c r="L1749">
        <v>1</v>
      </c>
      <c r="M1749">
        <v>1</v>
      </c>
    </row>
    <row r="1750" spans="1:13" x14ac:dyDescent="0.25">
      <c r="A1750">
        <v>3</v>
      </c>
      <c r="B1750">
        <v>344357</v>
      </c>
      <c r="C1750">
        <v>6181</v>
      </c>
      <c r="D1750">
        <v>1</v>
      </c>
      <c r="E1750">
        <v>638</v>
      </c>
      <c r="F1750" t="s">
        <v>104</v>
      </c>
      <c r="G1750" t="s">
        <v>105</v>
      </c>
      <c r="H1750">
        <v>638</v>
      </c>
      <c r="I1750" t="s">
        <v>104</v>
      </c>
      <c r="J1750" t="s">
        <v>105</v>
      </c>
      <c r="K1750" t="s">
        <v>49</v>
      </c>
      <c r="L1750">
        <v>1</v>
      </c>
      <c r="M1750">
        <v>1</v>
      </c>
    </row>
    <row r="1751" spans="1:13" x14ac:dyDescent="0.25">
      <c r="A1751">
        <v>24</v>
      </c>
      <c r="B1751">
        <v>5104292</v>
      </c>
      <c r="C1751">
        <v>6238</v>
      </c>
      <c r="D1751">
        <v>12</v>
      </c>
      <c r="E1751">
        <v>813</v>
      </c>
      <c r="F1751" t="s">
        <v>345</v>
      </c>
      <c r="G1751" t="s">
        <v>346</v>
      </c>
      <c r="H1751">
        <v>813</v>
      </c>
      <c r="I1751" t="s">
        <v>345</v>
      </c>
      <c r="J1751" t="s">
        <v>346</v>
      </c>
      <c r="K1751" t="s">
        <v>1868</v>
      </c>
      <c r="L1751">
        <v>1</v>
      </c>
      <c r="M1751">
        <v>1</v>
      </c>
    </row>
    <row r="1752" spans="1:13" x14ac:dyDescent="0.25">
      <c r="A1752">
        <v>24</v>
      </c>
      <c r="B1752">
        <v>5104346</v>
      </c>
      <c r="C1752">
        <v>6238</v>
      </c>
      <c r="D1752">
        <v>25</v>
      </c>
      <c r="E1752">
        <v>813</v>
      </c>
      <c r="F1752" t="s">
        <v>345</v>
      </c>
      <c r="G1752" t="s">
        <v>346</v>
      </c>
      <c r="H1752">
        <v>813</v>
      </c>
      <c r="I1752" t="s">
        <v>345</v>
      </c>
      <c r="J1752" t="s">
        <v>346</v>
      </c>
      <c r="K1752" t="s">
        <v>1869</v>
      </c>
      <c r="L1752">
        <v>1</v>
      </c>
      <c r="M1752">
        <v>1</v>
      </c>
    </row>
    <row r="1753" spans="1:13" x14ac:dyDescent="0.25">
      <c r="A1753">
        <v>24</v>
      </c>
      <c r="B1753">
        <v>5104451</v>
      </c>
      <c r="C1753">
        <v>6238</v>
      </c>
      <c r="D1753">
        <v>13</v>
      </c>
      <c r="E1753">
        <v>813</v>
      </c>
      <c r="F1753" t="s">
        <v>345</v>
      </c>
      <c r="G1753" t="s">
        <v>346</v>
      </c>
      <c r="H1753">
        <v>813</v>
      </c>
      <c r="I1753" t="s">
        <v>345</v>
      </c>
      <c r="J1753" t="s">
        <v>346</v>
      </c>
      <c r="K1753" t="s">
        <v>1870</v>
      </c>
      <c r="L1753">
        <v>1</v>
      </c>
      <c r="M1753">
        <v>1</v>
      </c>
    </row>
    <row r="1754" spans="1:13" x14ac:dyDescent="0.25">
      <c r="A1754">
        <v>24</v>
      </c>
      <c r="B1754">
        <v>5103799</v>
      </c>
      <c r="C1754">
        <v>6238</v>
      </c>
      <c r="D1754">
        <v>6</v>
      </c>
      <c r="E1754">
        <v>813</v>
      </c>
      <c r="F1754" t="s">
        <v>345</v>
      </c>
      <c r="G1754" t="s">
        <v>346</v>
      </c>
      <c r="H1754">
        <v>813</v>
      </c>
      <c r="I1754" t="s">
        <v>345</v>
      </c>
      <c r="J1754" t="s">
        <v>346</v>
      </c>
      <c r="K1754" t="s">
        <v>1871</v>
      </c>
      <c r="L1754">
        <v>1</v>
      </c>
      <c r="M1754">
        <v>1</v>
      </c>
    </row>
    <row r="1755" spans="1:13" x14ac:dyDescent="0.25">
      <c r="A1755">
        <v>24</v>
      </c>
      <c r="B1755">
        <v>5103830</v>
      </c>
      <c r="C1755">
        <v>6238</v>
      </c>
      <c r="D1755">
        <v>7</v>
      </c>
      <c r="E1755">
        <v>813</v>
      </c>
      <c r="F1755" t="s">
        <v>345</v>
      </c>
      <c r="G1755" t="s">
        <v>346</v>
      </c>
      <c r="H1755">
        <v>813</v>
      </c>
      <c r="I1755" t="s">
        <v>345</v>
      </c>
      <c r="J1755" t="s">
        <v>346</v>
      </c>
      <c r="K1755" t="s">
        <v>1872</v>
      </c>
      <c r="L1755">
        <v>1</v>
      </c>
      <c r="M1755">
        <v>1</v>
      </c>
    </row>
    <row r="1756" spans="1:13" x14ac:dyDescent="0.25">
      <c r="A1756">
        <v>24</v>
      </c>
      <c r="B1756">
        <v>5103832</v>
      </c>
      <c r="C1756">
        <v>6238</v>
      </c>
      <c r="D1756">
        <v>8</v>
      </c>
      <c r="E1756">
        <v>813</v>
      </c>
      <c r="F1756" t="s">
        <v>345</v>
      </c>
      <c r="G1756" t="s">
        <v>346</v>
      </c>
      <c r="H1756">
        <v>813</v>
      </c>
      <c r="I1756" t="s">
        <v>345</v>
      </c>
      <c r="J1756" t="s">
        <v>346</v>
      </c>
      <c r="K1756" t="s">
        <v>1873</v>
      </c>
      <c r="L1756">
        <v>1</v>
      </c>
      <c r="M1756">
        <v>1</v>
      </c>
    </row>
    <row r="1757" spans="1:13" x14ac:dyDescent="0.25">
      <c r="A1757">
        <v>24</v>
      </c>
      <c r="B1757">
        <v>5103835</v>
      </c>
      <c r="C1757">
        <v>6238</v>
      </c>
      <c r="D1757">
        <v>22</v>
      </c>
      <c r="E1757">
        <v>813</v>
      </c>
      <c r="F1757" t="s">
        <v>345</v>
      </c>
      <c r="G1757" t="s">
        <v>346</v>
      </c>
      <c r="H1757">
        <v>813</v>
      </c>
      <c r="I1757" t="s">
        <v>345</v>
      </c>
      <c r="J1757" t="s">
        <v>346</v>
      </c>
      <c r="K1757" t="s">
        <v>1874</v>
      </c>
      <c r="L1757">
        <v>1</v>
      </c>
      <c r="M1757">
        <v>1</v>
      </c>
    </row>
    <row r="1758" spans="1:13" x14ac:dyDescent="0.25">
      <c r="A1758">
        <v>24</v>
      </c>
      <c r="B1758">
        <v>5103895</v>
      </c>
      <c r="C1758">
        <v>6238</v>
      </c>
      <c r="D1758">
        <v>23</v>
      </c>
      <c r="E1758">
        <v>382</v>
      </c>
      <c r="F1758" t="s">
        <v>533</v>
      </c>
      <c r="G1758" t="s">
        <v>534</v>
      </c>
      <c r="H1758">
        <v>382</v>
      </c>
      <c r="I1758" t="s">
        <v>533</v>
      </c>
      <c r="J1758" t="s">
        <v>534</v>
      </c>
      <c r="K1758" t="s">
        <v>1875</v>
      </c>
      <c r="L1758">
        <v>1</v>
      </c>
      <c r="M1758">
        <v>1</v>
      </c>
    </row>
    <row r="1759" spans="1:13" x14ac:dyDescent="0.25">
      <c r="A1759">
        <v>24</v>
      </c>
      <c r="B1759">
        <v>5104128</v>
      </c>
      <c r="C1759">
        <v>6238</v>
      </c>
      <c r="D1759">
        <v>9</v>
      </c>
      <c r="E1759">
        <v>382</v>
      </c>
      <c r="F1759" t="s">
        <v>533</v>
      </c>
      <c r="G1759" t="s">
        <v>534</v>
      </c>
      <c r="H1759">
        <v>382</v>
      </c>
      <c r="I1759" t="s">
        <v>533</v>
      </c>
      <c r="J1759" t="s">
        <v>534</v>
      </c>
      <c r="K1759" t="s">
        <v>1876</v>
      </c>
      <c r="L1759">
        <v>1</v>
      </c>
      <c r="M1759">
        <v>1</v>
      </c>
    </row>
    <row r="1760" spans="1:13" x14ac:dyDescent="0.25">
      <c r="A1760">
        <v>24</v>
      </c>
      <c r="B1760">
        <v>5103292</v>
      </c>
      <c r="C1760">
        <v>6238</v>
      </c>
      <c r="D1760">
        <v>2</v>
      </c>
      <c r="E1760">
        <v>877</v>
      </c>
      <c r="F1760" t="s">
        <v>140</v>
      </c>
      <c r="G1760" t="s">
        <v>141</v>
      </c>
      <c r="H1760">
        <v>325</v>
      </c>
      <c r="I1760" t="s">
        <v>227</v>
      </c>
      <c r="J1760" t="s">
        <v>228</v>
      </c>
      <c r="K1760" t="s">
        <v>1877</v>
      </c>
      <c r="L1760">
        <v>2</v>
      </c>
      <c r="M1760">
        <v>2</v>
      </c>
    </row>
    <row r="1761" spans="1:13" x14ac:dyDescent="0.25">
      <c r="A1761">
        <v>24</v>
      </c>
      <c r="B1761">
        <v>5103426</v>
      </c>
      <c r="C1761">
        <v>6238</v>
      </c>
      <c r="D1761">
        <v>3</v>
      </c>
      <c r="E1761">
        <v>584</v>
      </c>
      <c r="F1761" t="s">
        <v>96</v>
      </c>
      <c r="G1761" t="s">
        <v>97</v>
      </c>
      <c r="H1761">
        <v>584</v>
      </c>
      <c r="I1761" t="s">
        <v>96</v>
      </c>
      <c r="J1761" t="s">
        <v>97</v>
      </c>
      <c r="K1761" t="s">
        <v>1878</v>
      </c>
      <c r="L1761">
        <v>1</v>
      </c>
      <c r="M1761">
        <v>1</v>
      </c>
    </row>
    <row r="1762" spans="1:13" x14ac:dyDescent="0.25">
      <c r="A1762">
        <v>24</v>
      </c>
      <c r="B1762">
        <v>5103577</v>
      </c>
      <c r="C1762">
        <v>6238</v>
      </c>
      <c r="D1762">
        <v>4</v>
      </c>
      <c r="E1762">
        <v>813</v>
      </c>
      <c r="F1762" t="s">
        <v>345</v>
      </c>
      <c r="G1762" t="s">
        <v>346</v>
      </c>
      <c r="H1762">
        <v>813</v>
      </c>
      <c r="I1762" t="s">
        <v>345</v>
      </c>
      <c r="J1762" t="s">
        <v>346</v>
      </c>
      <c r="K1762" t="s">
        <v>1879</v>
      </c>
      <c r="L1762">
        <v>1</v>
      </c>
      <c r="M1762">
        <v>1</v>
      </c>
    </row>
    <row r="1763" spans="1:13" x14ac:dyDescent="0.25">
      <c r="A1763">
        <v>24</v>
      </c>
      <c r="B1763">
        <v>5103760</v>
      </c>
      <c r="C1763">
        <v>6238</v>
      </c>
      <c r="D1763">
        <v>21</v>
      </c>
      <c r="E1763">
        <v>382</v>
      </c>
      <c r="F1763" t="s">
        <v>533</v>
      </c>
      <c r="G1763" t="s">
        <v>534</v>
      </c>
      <c r="H1763">
        <v>382</v>
      </c>
      <c r="I1763" t="s">
        <v>533</v>
      </c>
      <c r="J1763" t="s">
        <v>534</v>
      </c>
      <c r="K1763" t="s">
        <v>1880</v>
      </c>
      <c r="L1763">
        <v>1</v>
      </c>
      <c r="M1763">
        <v>1</v>
      </c>
    </row>
    <row r="1764" spans="1:13" x14ac:dyDescent="0.25">
      <c r="A1764">
        <v>24</v>
      </c>
      <c r="B1764">
        <v>5103776</v>
      </c>
      <c r="C1764">
        <v>6238</v>
      </c>
      <c r="D1764">
        <v>5</v>
      </c>
      <c r="E1764">
        <v>506</v>
      </c>
      <c r="F1764" t="s">
        <v>92</v>
      </c>
      <c r="G1764" t="s">
        <v>93</v>
      </c>
      <c r="H1764">
        <v>506</v>
      </c>
      <c r="I1764" t="s">
        <v>92</v>
      </c>
      <c r="J1764" t="s">
        <v>93</v>
      </c>
      <c r="K1764" t="s">
        <v>435</v>
      </c>
      <c r="L1764">
        <v>1</v>
      </c>
      <c r="M1764">
        <v>0</v>
      </c>
    </row>
    <row r="1765" spans="1:13" x14ac:dyDescent="0.25">
      <c r="A1765">
        <v>24</v>
      </c>
      <c r="B1765">
        <v>5102884</v>
      </c>
      <c r="C1765">
        <v>6238</v>
      </c>
      <c r="D1765">
        <v>20</v>
      </c>
      <c r="E1765">
        <v>813</v>
      </c>
      <c r="F1765" t="s">
        <v>345</v>
      </c>
      <c r="G1765" t="s">
        <v>346</v>
      </c>
      <c r="H1765">
        <v>813</v>
      </c>
      <c r="I1765" t="s">
        <v>345</v>
      </c>
      <c r="J1765" t="s">
        <v>346</v>
      </c>
      <c r="K1765" t="s">
        <v>1881</v>
      </c>
      <c r="L1765">
        <v>1</v>
      </c>
      <c r="M1765">
        <v>1</v>
      </c>
    </row>
    <row r="1766" spans="1:13" x14ac:dyDescent="0.25">
      <c r="A1766">
        <v>24</v>
      </c>
      <c r="B1766">
        <v>5101609</v>
      </c>
      <c r="C1766">
        <v>6238</v>
      </c>
      <c r="D1766">
        <v>1</v>
      </c>
      <c r="E1766">
        <v>813</v>
      </c>
      <c r="F1766" t="s">
        <v>345</v>
      </c>
      <c r="G1766" t="s">
        <v>346</v>
      </c>
      <c r="H1766">
        <v>813</v>
      </c>
      <c r="I1766" t="s">
        <v>345</v>
      </c>
      <c r="J1766" t="s">
        <v>346</v>
      </c>
      <c r="K1766" t="s">
        <v>1882</v>
      </c>
      <c r="L1766">
        <v>1</v>
      </c>
      <c r="M1766">
        <v>1</v>
      </c>
    </row>
    <row r="1767" spans="1:13" x14ac:dyDescent="0.25">
      <c r="A1767">
        <v>8</v>
      </c>
      <c r="B1767">
        <v>9450545537</v>
      </c>
      <c r="C1767">
        <v>6239</v>
      </c>
      <c r="D1767">
        <v>6</v>
      </c>
      <c r="E1767">
        <v>703</v>
      </c>
      <c r="F1767" t="s">
        <v>461</v>
      </c>
      <c r="G1767" t="s">
        <v>462</v>
      </c>
      <c r="H1767">
        <v>703</v>
      </c>
      <c r="I1767" t="s">
        <v>461</v>
      </c>
      <c r="J1767" t="s">
        <v>462</v>
      </c>
      <c r="K1767" t="s">
        <v>1883</v>
      </c>
      <c r="L1767">
        <v>1</v>
      </c>
      <c r="M1767">
        <v>1</v>
      </c>
    </row>
    <row r="1768" spans="1:13" x14ac:dyDescent="0.25">
      <c r="A1768">
        <v>8</v>
      </c>
      <c r="B1768">
        <v>9450545538</v>
      </c>
      <c r="C1768">
        <v>6239</v>
      </c>
      <c r="D1768">
        <v>3</v>
      </c>
      <c r="E1768">
        <v>704</v>
      </c>
      <c r="F1768" t="s">
        <v>122</v>
      </c>
      <c r="G1768" t="s">
        <v>123</v>
      </c>
      <c r="H1768">
        <v>704</v>
      </c>
      <c r="I1768" t="s">
        <v>122</v>
      </c>
      <c r="J1768" t="s">
        <v>123</v>
      </c>
      <c r="K1768" t="s">
        <v>1408</v>
      </c>
      <c r="L1768">
        <v>1</v>
      </c>
      <c r="M1768">
        <v>1</v>
      </c>
    </row>
    <row r="1769" spans="1:13" x14ac:dyDescent="0.25">
      <c r="A1769">
        <v>8</v>
      </c>
      <c r="B1769">
        <v>9450545506</v>
      </c>
      <c r="C1769">
        <v>6239</v>
      </c>
      <c r="D1769">
        <v>4</v>
      </c>
      <c r="E1769">
        <v>400</v>
      </c>
      <c r="F1769" t="s">
        <v>74</v>
      </c>
      <c r="G1769" t="s">
        <v>75</v>
      </c>
      <c r="H1769">
        <v>400</v>
      </c>
      <c r="I1769" t="s">
        <v>74</v>
      </c>
      <c r="J1769" t="s">
        <v>75</v>
      </c>
      <c r="K1769" t="s">
        <v>1884</v>
      </c>
      <c r="L1769">
        <v>1</v>
      </c>
      <c r="M1769">
        <v>1</v>
      </c>
    </row>
    <row r="1770" spans="1:13" x14ac:dyDescent="0.25">
      <c r="A1770">
        <v>8</v>
      </c>
      <c r="B1770">
        <v>9450545519</v>
      </c>
      <c r="C1770">
        <v>6239</v>
      </c>
      <c r="D1770">
        <v>2</v>
      </c>
      <c r="E1770">
        <v>638</v>
      </c>
      <c r="F1770" t="s">
        <v>104</v>
      </c>
      <c r="G1770" t="s">
        <v>105</v>
      </c>
      <c r="H1770">
        <v>638</v>
      </c>
      <c r="I1770" t="s">
        <v>104</v>
      </c>
      <c r="J1770" t="s">
        <v>105</v>
      </c>
      <c r="K1770" t="s">
        <v>1885</v>
      </c>
      <c r="L1770">
        <v>1</v>
      </c>
      <c r="M1770">
        <v>1</v>
      </c>
    </row>
    <row r="1771" spans="1:13" x14ac:dyDescent="0.25">
      <c r="A1771">
        <v>8</v>
      </c>
      <c r="B1771">
        <v>9450545531</v>
      </c>
      <c r="C1771">
        <v>6239</v>
      </c>
      <c r="D1771">
        <v>1</v>
      </c>
      <c r="E1771">
        <v>673</v>
      </c>
      <c r="F1771" t="s">
        <v>259</v>
      </c>
      <c r="G1771" t="s">
        <v>260</v>
      </c>
      <c r="H1771">
        <v>673</v>
      </c>
      <c r="I1771" t="s">
        <v>259</v>
      </c>
      <c r="J1771" t="s">
        <v>260</v>
      </c>
      <c r="K1771" t="s">
        <v>358</v>
      </c>
      <c r="L1771">
        <v>1</v>
      </c>
      <c r="M1771">
        <v>1</v>
      </c>
    </row>
    <row r="1772" spans="1:13" x14ac:dyDescent="0.25">
      <c r="A1772">
        <v>8</v>
      </c>
      <c r="B1772">
        <v>9450545535</v>
      </c>
      <c r="C1772">
        <v>6239</v>
      </c>
      <c r="D1772">
        <v>5</v>
      </c>
      <c r="E1772">
        <v>700</v>
      </c>
      <c r="F1772" t="s">
        <v>118</v>
      </c>
      <c r="G1772" t="s">
        <v>119</v>
      </c>
      <c r="H1772">
        <v>700</v>
      </c>
      <c r="I1772" t="s">
        <v>118</v>
      </c>
      <c r="J1772" t="s">
        <v>119</v>
      </c>
      <c r="K1772" t="s">
        <v>1886</v>
      </c>
      <c r="L1772">
        <v>1</v>
      </c>
      <c r="M1772">
        <v>1</v>
      </c>
    </row>
    <row r="1773" spans="1:13" x14ac:dyDescent="0.25">
      <c r="A1773">
        <v>8</v>
      </c>
      <c r="B1773">
        <v>9450545536</v>
      </c>
      <c r="C1773">
        <v>6239</v>
      </c>
      <c r="D1773">
        <v>7</v>
      </c>
      <c r="E1773">
        <v>700</v>
      </c>
      <c r="F1773" t="s">
        <v>118</v>
      </c>
      <c r="G1773" t="s">
        <v>119</v>
      </c>
      <c r="H1773">
        <v>700</v>
      </c>
      <c r="I1773" t="s">
        <v>118</v>
      </c>
      <c r="J1773" t="s">
        <v>119</v>
      </c>
      <c r="K1773" t="s">
        <v>1886</v>
      </c>
      <c r="L1773">
        <v>1</v>
      </c>
      <c r="M1773">
        <v>1</v>
      </c>
    </row>
    <row r="1774" spans="1:13" x14ac:dyDescent="0.25">
      <c r="A1774">
        <v>8</v>
      </c>
      <c r="B1774">
        <v>4450422397</v>
      </c>
      <c r="C1774">
        <v>6241</v>
      </c>
      <c r="D1774">
        <v>1</v>
      </c>
      <c r="E1774">
        <v>865</v>
      </c>
      <c r="F1774" t="s">
        <v>218</v>
      </c>
      <c r="G1774" t="s">
        <v>219</v>
      </c>
      <c r="H1774">
        <v>405</v>
      </c>
      <c r="I1774" t="s">
        <v>82</v>
      </c>
      <c r="J1774" t="s">
        <v>83</v>
      </c>
      <c r="K1774" t="s">
        <v>172</v>
      </c>
      <c r="L1774">
        <v>25</v>
      </c>
      <c r="M1774">
        <v>25</v>
      </c>
    </row>
    <row r="1775" spans="1:13" x14ac:dyDescent="0.25">
      <c r="A1775">
        <v>8</v>
      </c>
      <c r="B1775">
        <v>4450422397</v>
      </c>
      <c r="C1775">
        <v>6241</v>
      </c>
      <c r="D1775">
        <v>2</v>
      </c>
      <c r="E1775">
        <v>896</v>
      </c>
      <c r="F1775" t="s">
        <v>541</v>
      </c>
      <c r="G1775" t="s">
        <v>542</v>
      </c>
      <c r="H1775">
        <v>653</v>
      </c>
      <c r="I1775" t="s">
        <v>110</v>
      </c>
      <c r="J1775" t="s">
        <v>111</v>
      </c>
      <c r="K1775" t="s">
        <v>173</v>
      </c>
      <c r="L1775">
        <v>147</v>
      </c>
      <c r="M1775">
        <v>94</v>
      </c>
    </row>
    <row r="1776" spans="1:13" x14ac:dyDescent="0.25">
      <c r="A1776">
        <v>8</v>
      </c>
      <c r="B1776">
        <v>4450422397</v>
      </c>
      <c r="C1776">
        <v>6241</v>
      </c>
      <c r="D1776">
        <v>3</v>
      </c>
      <c r="E1776">
        <v>655</v>
      </c>
      <c r="F1776" t="s">
        <v>384</v>
      </c>
      <c r="G1776" t="s">
        <v>385</v>
      </c>
      <c r="H1776">
        <v>655</v>
      </c>
      <c r="I1776" t="s">
        <v>384</v>
      </c>
      <c r="J1776" t="s">
        <v>385</v>
      </c>
      <c r="K1776" t="s">
        <v>386</v>
      </c>
      <c r="L1776">
        <v>2</v>
      </c>
      <c r="M1776">
        <v>0</v>
      </c>
    </row>
    <row r="1777" spans="1:13" x14ac:dyDescent="0.25">
      <c r="A1777">
        <v>8</v>
      </c>
      <c r="B1777">
        <v>4450422397</v>
      </c>
      <c r="C1777">
        <v>6241</v>
      </c>
      <c r="D1777">
        <v>4</v>
      </c>
      <c r="E1777">
        <v>809</v>
      </c>
      <c r="F1777" t="s">
        <v>128</v>
      </c>
      <c r="G1777" t="s">
        <v>129</v>
      </c>
      <c r="H1777">
        <v>809</v>
      </c>
      <c r="I1777" t="s">
        <v>128</v>
      </c>
      <c r="J1777" t="s">
        <v>129</v>
      </c>
      <c r="K1777" t="s">
        <v>174</v>
      </c>
      <c r="L1777">
        <v>9</v>
      </c>
      <c r="M1777">
        <v>9</v>
      </c>
    </row>
    <row r="1778" spans="1:13" x14ac:dyDescent="0.25">
      <c r="A1778">
        <v>17</v>
      </c>
      <c r="B1778">
        <v>60747</v>
      </c>
      <c r="C1778">
        <v>6242</v>
      </c>
      <c r="D1778">
        <v>1</v>
      </c>
      <c r="E1778">
        <v>617</v>
      </c>
      <c r="F1778" t="s">
        <v>611</v>
      </c>
      <c r="G1778" t="s">
        <v>612</v>
      </c>
      <c r="H1778">
        <v>617</v>
      </c>
      <c r="I1778" t="s">
        <v>611</v>
      </c>
      <c r="J1778" t="s">
        <v>612</v>
      </c>
      <c r="K1778" t="s">
        <v>49</v>
      </c>
      <c r="L1778">
        <v>1</v>
      </c>
      <c r="M1778">
        <v>1</v>
      </c>
    </row>
    <row r="1779" spans="1:13" x14ac:dyDescent="0.25">
      <c r="A1779">
        <v>4</v>
      </c>
      <c r="B1779">
        <v>9657920</v>
      </c>
      <c r="C1779">
        <v>6243</v>
      </c>
      <c r="D1779">
        <v>1</v>
      </c>
      <c r="E1779">
        <v>343</v>
      </c>
      <c r="F1779" t="s">
        <v>1887</v>
      </c>
      <c r="G1779" t="s">
        <v>1888</v>
      </c>
      <c r="H1779">
        <v>342</v>
      </c>
      <c r="I1779" t="s">
        <v>543</v>
      </c>
      <c r="J1779" t="s">
        <v>544</v>
      </c>
      <c r="K1779" t="s">
        <v>1457</v>
      </c>
      <c r="L1779">
        <v>1</v>
      </c>
      <c r="M1779">
        <v>1</v>
      </c>
    </row>
    <row r="1780" spans="1:13" x14ac:dyDescent="0.25">
      <c r="A1780">
        <v>6</v>
      </c>
      <c r="B1780">
        <v>960809</v>
      </c>
      <c r="C1780">
        <v>6244</v>
      </c>
      <c r="D1780">
        <v>4</v>
      </c>
      <c r="E1780">
        <v>883</v>
      </c>
      <c r="F1780" t="s">
        <v>197</v>
      </c>
      <c r="G1780" t="s">
        <v>198</v>
      </c>
      <c r="H1780">
        <v>883</v>
      </c>
      <c r="I1780" t="s">
        <v>197</v>
      </c>
      <c r="J1780" t="s">
        <v>198</v>
      </c>
      <c r="K1780" t="s">
        <v>1889</v>
      </c>
      <c r="L1780">
        <v>1</v>
      </c>
      <c r="M1780">
        <v>1</v>
      </c>
    </row>
    <row r="1781" spans="1:13" x14ac:dyDescent="0.25">
      <c r="A1781">
        <v>6</v>
      </c>
      <c r="B1781">
        <v>961491</v>
      </c>
      <c r="C1781">
        <v>6244</v>
      </c>
      <c r="D1781">
        <v>5</v>
      </c>
      <c r="E1781">
        <v>402</v>
      </c>
      <c r="F1781" t="s">
        <v>168</v>
      </c>
      <c r="G1781" t="s">
        <v>169</v>
      </c>
      <c r="H1781">
        <v>402</v>
      </c>
      <c r="I1781" t="s">
        <v>168</v>
      </c>
      <c r="J1781" t="s">
        <v>169</v>
      </c>
      <c r="K1781" t="s">
        <v>1890</v>
      </c>
      <c r="L1781">
        <v>1</v>
      </c>
      <c r="M1781">
        <v>1</v>
      </c>
    </row>
    <row r="1782" spans="1:13" x14ac:dyDescent="0.25">
      <c r="A1782">
        <v>6</v>
      </c>
      <c r="B1782">
        <v>962976</v>
      </c>
      <c r="C1782">
        <v>6244</v>
      </c>
      <c r="D1782">
        <v>6</v>
      </c>
      <c r="E1782">
        <v>141</v>
      </c>
      <c r="F1782" t="s">
        <v>64</v>
      </c>
      <c r="G1782" t="s">
        <v>65</v>
      </c>
      <c r="H1782">
        <v>141</v>
      </c>
      <c r="I1782" t="s">
        <v>64</v>
      </c>
      <c r="J1782" t="s">
        <v>65</v>
      </c>
      <c r="K1782" t="s">
        <v>1891</v>
      </c>
      <c r="L1782">
        <v>1</v>
      </c>
      <c r="M1782">
        <v>1</v>
      </c>
    </row>
    <row r="1783" spans="1:13" x14ac:dyDescent="0.25">
      <c r="A1783">
        <v>6</v>
      </c>
      <c r="B1783">
        <v>959110</v>
      </c>
      <c r="C1783">
        <v>6244</v>
      </c>
      <c r="D1783">
        <v>2</v>
      </c>
      <c r="E1783">
        <v>842</v>
      </c>
      <c r="F1783" t="s">
        <v>366</v>
      </c>
      <c r="G1783" t="s">
        <v>367</v>
      </c>
      <c r="H1783">
        <v>842</v>
      </c>
      <c r="I1783" t="s">
        <v>366</v>
      </c>
      <c r="J1783" t="s">
        <v>367</v>
      </c>
      <c r="K1783" t="s">
        <v>1892</v>
      </c>
      <c r="L1783">
        <v>1</v>
      </c>
      <c r="M1783">
        <v>1</v>
      </c>
    </row>
    <row r="1784" spans="1:13" x14ac:dyDescent="0.25">
      <c r="A1784">
        <v>6</v>
      </c>
      <c r="B1784">
        <v>959337</v>
      </c>
      <c r="C1784">
        <v>6244</v>
      </c>
      <c r="D1784">
        <v>3</v>
      </c>
      <c r="E1784">
        <v>534</v>
      </c>
      <c r="F1784" t="s">
        <v>94</v>
      </c>
      <c r="G1784" t="s">
        <v>95</v>
      </c>
      <c r="H1784">
        <v>534</v>
      </c>
      <c r="I1784" t="s">
        <v>94</v>
      </c>
      <c r="J1784" t="s">
        <v>95</v>
      </c>
      <c r="K1784" t="s">
        <v>1893</v>
      </c>
      <c r="L1784">
        <v>1</v>
      </c>
      <c r="M1784">
        <v>1</v>
      </c>
    </row>
    <row r="1785" spans="1:13" x14ac:dyDescent="0.25">
      <c r="A1785">
        <v>6</v>
      </c>
      <c r="B1785">
        <v>958139</v>
      </c>
      <c r="C1785">
        <v>6244</v>
      </c>
      <c r="D1785">
        <v>1</v>
      </c>
      <c r="E1785">
        <v>905</v>
      </c>
      <c r="F1785" t="s">
        <v>146</v>
      </c>
      <c r="G1785" t="s">
        <v>147</v>
      </c>
      <c r="H1785">
        <v>905</v>
      </c>
      <c r="I1785" t="s">
        <v>146</v>
      </c>
      <c r="J1785" t="s">
        <v>147</v>
      </c>
      <c r="K1785" t="s">
        <v>1894</v>
      </c>
      <c r="L1785">
        <v>1</v>
      </c>
      <c r="M1785">
        <v>1</v>
      </c>
    </row>
    <row r="1786" spans="1:13" x14ac:dyDescent="0.25">
      <c r="A1786">
        <v>24</v>
      </c>
      <c r="B1786">
        <v>5104799</v>
      </c>
      <c r="C1786">
        <v>6245</v>
      </c>
      <c r="D1786">
        <v>3</v>
      </c>
      <c r="E1786">
        <v>639</v>
      </c>
      <c r="F1786" t="s">
        <v>106</v>
      </c>
      <c r="G1786" t="s">
        <v>107</v>
      </c>
      <c r="H1786">
        <v>639</v>
      </c>
      <c r="I1786" t="s">
        <v>106</v>
      </c>
      <c r="J1786" t="s">
        <v>107</v>
      </c>
      <c r="K1786" t="s">
        <v>1895</v>
      </c>
      <c r="L1786">
        <v>1</v>
      </c>
      <c r="M1786">
        <v>1</v>
      </c>
    </row>
    <row r="1787" spans="1:13" x14ac:dyDescent="0.25">
      <c r="A1787">
        <v>6</v>
      </c>
      <c r="B1787">
        <v>968048</v>
      </c>
      <c r="C1787">
        <v>6295</v>
      </c>
      <c r="D1787">
        <v>6</v>
      </c>
      <c r="E1787">
        <v>727</v>
      </c>
      <c r="F1787" t="s">
        <v>1160</v>
      </c>
      <c r="G1787" t="s">
        <v>1161</v>
      </c>
      <c r="H1787">
        <v>727</v>
      </c>
      <c r="I1787" t="s">
        <v>1160</v>
      </c>
      <c r="J1787" t="s">
        <v>1161</v>
      </c>
      <c r="K1787" t="s">
        <v>1896</v>
      </c>
      <c r="L1787">
        <v>1</v>
      </c>
      <c r="M1787">
        <v>0</v>
      </c>
    </row>
    <row r="1788" spans="1:13" x14ac:dyDescent="0.25">
      <c r="A1788">
        <v>6</v>
      </c>
      <c r="B1788">
        <v>968651</v>
      </c>
      <c r="C1788">
        <v>6296</v>
      </c>
      <c r="D1788">
        <v>5</v>
      </c>
      <c r="E1788">
        <v>534</v>
      </c>
      <c r="F1788" t="s">
        <v>94</v>
      </c>
      <c r="G1788" t="s">
        <v>95</v>
      </c>
      <c r="H1788">
        <v>534</v>
      </c>
      <c r="I1788" t="s">
        <v>94</v>
      </c>
      <c r="J1788" t="s">
        <v>95</v>
      </c>
      <c r="K1788" t="s">
        <v>1897</v>
      </c>
      <c r="L1788">
        <v>1</v>
      </c>
      <c r="M1788">
        <v>1</v>
      </c>
    </row>
    <row r="1789" spans="1:13" x14ac:dyDescent="0.25">
      <c r="A1789">
        <v>6</v>
      </c>
      <c r="B1789">
        <v>968858</v>
      </c>
      <c r="C1789">
        <v>6296</v>
      </c>
      <c r="D1789">
        <v>3</v>
      </c>
      <c r="E1789">
        <v>926</v>
      </c>
      <c r="F1789" t="s">
        <v>1259</v>
      </c>
      <c r="G1789" t="s">
        <v>1260</v>
      </c>
      <c r="H1789">
        <v>926</v>
      </c>
      <c r="I1789" t="s">
        <v>1259</v>
      </c>
      <c r="J1789" t="s">
        <v>1260</v>
      </c>
      <c r="K1789" t="s">
        <v>1898</v>
      </c>
      <c r="L1789">
        <v>1</v>
      </c>
      <c r="M1789">
        <v>1</v>
      </c>
    </row>
    <row r="1790" spans="1:13" x14ac:dyDescent="0.25">
      <c r="A1790">
        <v>6</v>
      </c>
      <c r="B1790">
        <v>966584</v>
      </c>
      <c r="C1790">
        <v>6296</v>
      </c>
      <c r="D1790">
        <v>4</v>
      </c>
      <c r="E1790">
        <v>180</v>
      </c>
      <c r="F1790" t="s">
        <v>68</v>
      </c>
      <c r="G1790" t="s">
        <v>69</v>
      </c>
      <c r="H1790">
        <v>180</v>
      </c>
      <c r="I1790" t="s">
        <v>68</v>
      </c>
      <c r="J1790" t="s">
        <v>69</v>
      </c>
      <c r="K1790" t="s">
        <v>1899</v>
      </c>
      <c r="L1790">
        <v>1</v>
      </c>
      <c r="M1790">
        <v>1</v>
      </c>
    </row>
    <row r="1791" spans="1:13" x14ac:dyDescent="0.25">
      <c r="A1791">
        <v>6</v>
      </c>
      <c r="B1791">
        <v>966866</v>
      </c>
      <c r="C1791">
        <v>6296</v>
      </c>
      <c r="D1791">
        <v>2</v>
      </c>
      <c r="E1791">
        <v>13</v>
      </c>
      <c r="F1791" t="s">
        <v>62</v>
      </c>
      <c r="G1791" t="s">
        <v>63</v>
      </c>
      <c r="H1791">
        <v>13</v>
      </c>
      <c r="I1791" t="s">
        <v>62</v>
      </c>
      <c r="J1791" t="s">
        <v>63</v>
      </c>
      <c r="K1791" t="s">
        <v>1900</v>
      </c>
      <c r="L1791">
        <v>1</v>
      </c>
      <c r="M1791">
        <v>1</v>
      </c>
    </row>
    <row r="1792" spans="1:13" x14ac:dyDescent="0.25">
      <c r="A1792">
        <v>6</v>
      </c>
      <c r="B1792">
        <v>964165</v>
      </c>
      <c r="C1792">
        <v>6296</v>
      </c>
      <c r="D1792">
        <v>1</v>
      </c>
      <c r="E1792">
        <v>872</v>
      </c>
      <c r="F1792" t="s">
        <v>1617</v>
      </c>
      <c r="G1792" t="s">
        <v>1618</v>
      </c>
      <c r="H1792">
        <v>872</v>
      </c>
      <c r="I1792" t="s">
        <v>1617</v>
      </c>
      <c r="J1792" t="s">
        <v>1618</v>
      </c>
      <c r="K1792" t="s">
        <v>1901</v>
      </c>
      <c r="L1792">
        <v>1</v>
      </c>
      <c r="M1792">
        <v>1</v>
      </c>
    </row>
    <row r="1793" spans="1:13" x14ac:dyDescent="0.25">
      <c r="A1793">
        <v>9</v>
      </c>
      <c r="B1793">
        <v>9204607</v>
      </c>
      <c r="C1793">
        <v>6297</v>
      </c>
      <c r="D1793">
        <v>12</v>
      </c>
      <c r="E1793">
        <v>714</v>
      </c>
      <c r="F1793" t="s">
        <v>124</v>
      </c>
      <c r="G1793" t="s">
        <v>125</v>
      </c>
      <c r="H1793">
        <v>714</v>
      </c>
      <c r="I1793" t="s">
        <v>124</v>
      </c>
      <c r="J1793" t="s">
        <v>125</v>
      </c>
      <c r="K1793" t="s">
        <v>1902</v>
      </c>
      <c r="L1793">
        <v>1</v>
      </c>
      <c r="M1793">
        <v>1</v>
      </c>
    </row>
    <row r="1794" spans="1:13" x14ac:dyDescent="0.25">
      <c r="A1794">
        <v>9</v>
      </c>
      <c r="B1794">
        <v>9204708</v>
      </c>
      <c r="C1794">
        <v>6297</v>
      </c>
      <c r="D1794">
        <v>13</v>
      </c>
      <c r="E1794">
        <v>842</v>
      </c>
      <c r="F1794" t="s">
        <v>366</v>
      </c>
      <c r="G1794" t="s">
        <v>367</v>
      </c>
      <c r="H1794">
        <v>842</v>
      </c>
      <c r="I1794" t="s">
        <v>366</v>
      </c>
      <c r="J1794" t="s">
        <v>367</v>
      </c>
      <c r="K1794" t="s">
        <v>1903</v>
      </c>
      <c r="L1794">
        <v>1</v>
      </c>
      <c r="M1794">
        <v>1</v>
      </c>
    </row>
    <row r="1795" spans="1:13" x14ac:dyDescent="0.25">
      <c r="A1795">
        <v>9</v>
      </c>
      <c r="B1795">
        <v>9204216</v>
      </c>
      <c r="C1795">
        <v>6297</v>
      </c>
      <c r="D1795">
        <v>9</v>
      </c>
      <c r="E1795">
        <v>714</v>
      </c>
      <c r="F1795" t="s">
        <v>124</v>
      </c>
      <c r="G1795" t="s">
        <v>125</v>
      </c>
      <c r="H1795">
        <v>714</v>
      </c>
      <c r="I1795" t="s">
        <v>124</v>
      </c>
      <c r="J1795" t="s">
        <v>125</v>
      </c>
      <c r="K1795" t="s">
        <v>1904</v>
      </c>
      <c r="L1795">
        <v>1</v>
      </c>
      <c r="M1795">
        <v>1</v>
      </c>
    </row>
    <row r="1796" spans="1:13" x14ac:dyDescent="0.25">
      <c r="A1796">
        <v>9</v>
      </c>
      <c r="B1796">
        <v>9204396</v>
      </c>
      <c r="C1796">
        <v>6297</v>
      </c>
      <c r="D1796">
        <v>10</v>
      </c>
      <c r="E1796">
        <v>905</v>
      </c>
      <c r="F1796" t="s">
        <v>146</v>
      </c>
      <c r="G1796" t="s">
        <v>147</v>
      </c>
      <c r="H1796">
        <v>905</v>
      </c>
      <c r="I1796" t="s">
        <v>146</v>
      </c>
      <c r="J1796" t="s">
        <v>147</v>
      </c>
      <c r="K1796" t="s">
        <v>1905</v>
      </c>
      <c r="L1796">
        <v>1</v>
      </c>
      <c r="M1796">
        <v>1</v>
      </c>
    </row>
    <row r="1797" spans="1:13" x14ac:dyDescent="0.25">
      <c r="A1797">
        <v>9</v>
      </c>
      <c r="B1797">
        <v>9204465</v>
      </c>
      <c r="C1797">
        <v>6297</v>
      </c>
      <c r="D1797">
        <v>11</v>
      </c>
      <c r="E1797">
        <v>937</v>
      </c>
      <c r="F1797" t="s">
        <v>355</v>
      </c>
      <c r="G1797" t="s">
        <v>356</v>
      </c>
      <c r="H1797">
        <v>937</v>
      </c>
      <c r="I1797" t="s">
        <v>355</v>
      </c>
      <c r="J1797" t="s">
        <v>356</v>
      </c>
      <c r="K1797" t="s">
        <v>1906</v>
      </c>
      <c r="L1797">
        <v>1</v>
      </c>
      <c r="M1797">
        <v>1</v>
      </c>
    </row>
    <row r="1798" spans="1:13" x14ac:dyDescent="0.25">
      <c r="A1798">
        <v>9</v>
      </c>
      <c r="B1798">
        <v>9203746</v>
      </c>
      <c r="C1798">
        <v>6297</v>
      </c>
      <c r="D1798">
        <v>5</v>
      </c>
      <c r="E1798">
        <v>966</v>
      </c>
      <c r="F1798" t="s">
        <v>349</v>
      </c>
      <c r="G1798" t="s">
        <v>350</v>
      </c>
      <c r="H1798">
        <v>966</v>
      </c>
      <c r="I1798" t="s">
        <v>349</v>
      </c>
      <c r="J1798" t="s">
        <v>350</v>
      </c>
      <c r="K1798" t="s">
        <v>1907</v>
      </c>
      <c r="L1798">
        <v>1</v>
      </c>
      <c r="M1798">
        <v>1</v>
      </c>
    </row>
    <row r="1799" spans="1:13" x14ac:dyDescent="0.25">
      <c r="A1799">
        <v>9</v>
      </c>
      <c r="B1799">
        <v>9203850</v>
      </c>
      <c r="C1799">
        <v>6297</v>
      </c>
      <c r="D1799">
        <v>6</v>
      </c>
      <c r="E1799">
        <v>888</v>
      </c>
      <c r="F1799" t="s">
        <v>302</v>
      </c>
      <c r="G1799" t="s">
        <v>303</v>
      </c>
      <c r="H1799">
        <v>888</v>
      </c>
      <c r="I1799" t="s">
        <v>302</v>
      </c>
      <c r="J1799" t="s">
        <v>303</v>
      </c>
      <c r="K1799" t="s">
        <v>1908</v>
      </c>
      <c r="L1799">
        <v>1</v>
      </c>
      <c r="M1799">
        <v>1</v>
      </c>
    </row>
    <row r="1800" spans="1:13" x14ac:dyDescent="0.25">
      <c r="A1800">
        <v>9</v>
      </c>
      <c r="B1800">
        <v>9203879</v>
      </c>
      <c r="C1800">
        <v>6297</v>
      </c>
      <c r="D1800">
        <v>7</v>
      </c>
      <c r="E1800">
        <v>964</v>
      </c>
      <c r="F1800" t="s">
        <v>326</v>
      </c>
      <c r="G1800" t="s">
        <v>327</v>
      </c>
      <c r="H1800">
        <v>964</v>
      </c>
      <c r="I1800" t="s">
        <v>326</v>
      </c>
      <c r="J1800" t="s">
        <v>327</v>
      </c>
      <c r="K1800" t="s">
        <v>1909</v>
      </c>
      <c r="L1800">
        <v>1</v>
      </c>
      <c r="M1800">
        <v>1</v>
      </c>
    </row>
    <row r="1801" spans="1:13" x14ac:dyDescent="0.25">
      <c r="A1801">
        <v>9</v>
      </c>
      <c r="B1801">
        <v>9204006</v>
      </c>
      <c r="C1801">
        <v>6297</v>
      </c>
      <c r="D1801">
        <v>8</v>
      </c>
      <c r="E1801">
        <v>894</v>
      </c>
      <c r="F1801" t="s">
        <v>351</v>
      </c>
      <c r="G1801" t="s">
        <v>352</v>
      </c>
      <c r="H1801">
        <v>894</v>
      </c>
      <c r="I1801" t="s">
        <v>351</v>
      </c>
      <c r="J1801" t="s">
        <v>352</v>
      </c>
      <c r="K1801" t="s">
        <v>1910</v>
      </c>
      <c r="L1801">
        <v>1</v>
      </c>
      <c r="M1801">
        <v>1</v>
      </c>
    </row>
    <row r="1802" spans="1:13" x14ac:dyDescent="0.25">
      <c r="A1802">
        <v>9</v>
      </c>
      <c r="B1802">
        <v>9203716</v>
      </c>
      <c r="C1802">
        <v>6297</v>
      </c>
      <c r="D1802">
        <v>4</v>
      </c>
      <c r="E1802">
        <v>905</v>
      </c>
      <c r="F1802" t="s">
        <v>146</v>
      </c>
      <c r="G1802" t="s">
        <v>147</v>
      </c>
      <c r="H1802">
        <v>905</v>
      </c>
      <c r="I1802" t="s">
        <v>146</v>
      </c>
      <c r="J1802" t="s">
        <v>147</v>
      </c>
      <c r="K1802" t="s">
        <v>1911</v>
      </c>
      <c r="L1802">
        <v>1</v>
      </c>
      <c r="M1802">
        <v>1</v>
      </c>
    </row>
    <row r="1803" spans="1:13" x14ac:dyDescent="0.25">
      <c r="A1803">
        <v>9</v>
      </c>
      <c r="B1803">
        <v>9203264</v>
      </c>
      <c r="C1803">
        <v>6297</v>
      </c>
      <c r="D1803">
        <v>1</v>
      </c>
      <c r="E1803">
        <v>893</v>
      </c>
      <c r="F1803" t="s">
        <v>144</v>
      </c>
      <c r="G1803" t="s">
        <v>145</v>
      </c>
      <c r="H1803">
        <v>893</v>
      </c>
      <c r="I1803" t="s">
        <v>144</v>
      </c>
      <c r="J1803" t="s">
        <v>145</v>
      </c>
      <c r="K1803" t="s">
        <v>1912</v>
      </c>
      <c r="L1803">
        <v>1</v>
      </c>
      <c r="M1803">
        <v>1</v>
      </c>
    </row>
    <row r="1804" spans="1:13" x14ac:dyDescent="0.25">
      <c r="A1804">
        <v>9</v>
      </c>
      <c r="B1804">
        <v>9203356</v>
      </c>
      <c r="C1804">
        <v>6297</v>
      </c>
      <c r="D1804">
        <v>2</v>
      </c>
      <c r="E1804">
        <v>905</v>
      </c>
      <c r="F1804" t="s">
        <v>146</v>
      </c>
      <c r="G1804" t="s">
        <v>147</v>
      </c>
      <c r="H1804">
        <v>905</v>
      </c>
      <c r="I1804" t="s">
        <v>146</v>
      </c>
      <c r="J1804" t="s">
        <v>147</v>
      </c>
      <c r="K1804" t="s">
        <v>1913</v>
      </c>
      <c r="L1804">
        <v>1</v>
      </c>
      <c r="M1804">
        <v>1</v>
      </c>
    </row>
    <row r="1805" spans="1:13" x14ac:dyDescent="0.25">
      <c r="A1805">
        <v>9</v>
      </c>
      <c r="B1805">
        <v>9203441</v>
      </c>
      <c r="C1805">
        <v>6297</v>
      </c>
      <c r="D1805">
        <v>3</v>
      </c>
      <c r="E1805">
        <v>966</v>
      </c>
      <c r="F1805" t="s">
        <v>349</v>
      </c>
      <c r="G1805" t="s">
        <v>350</v>
      </c>
      <c r="H1805">
        <v>966</v>
      </c>
      <c r="I1805" t="s">
        <v>349</v>
      </c>
      <c r="J1805" t="s">
        <v>350</v>
      </c>
      <c r="K1805" t="s">
        <v>1914</v>
      </c>
      <c r="L1805">
        <v>1</v>
      </c>
      <c r="M1805">
        <v>1</v>
      </c>
    </row>
    <row r="1806" spans="1:13" x14ac:dyDescent="0.25">
      <c r="A1806">
        <v>9</v>
      </c>
      <c r="B1806">
        <v>9204556</v>
      </c>
      <c r="C1806">
        <v>6301</v>
      </c>
      <c r="D1806">
        <v>7</v>
      </c>
      <c r="E1806">
        <v>895</v>
      </c>
      <c r="F1806" t="s">
        <v>387</v>
      </c>
      <c r="G1806" t="s">
        <v>388</v>
      </c>
      <c r="H1806">
        <v>895</v>
      </c>
      <c r="I1806" t="s">
        <v>387</v>
      </c>
      <c r="J1806" t="s">
        <v>388</v>
      </c>
      <c r="K1806" t="s">
        <v>1915</v>
      </c>
      <c r="L1806">
        <v>1</v>
      </c>
      <c r="M1806">
        <v>1</v>
      </c>
    </row>
    <row r="1807" spans="1:13" x14ac:dyDescent="0.25">
      <c r="A1807">
        <v>9</v>
      </c>
      <c r="B1807">
        <v>9203490</v>
      </c>
      <c r="C1807">
        <v>6301</v>
      </c>
      <c r="D1807">
        <v>4</v>
      </c>
      <c r="E1807">
        <v>403</v>
      </c>
      <c r="F1807" t="s">
        <v>78</v>
      </c>
      <c r="G1807" t="s">
        <v>79</v>
      </c>
      <c r="H1807">
        <v>403</v>
      </c>
      <c r="I1807" t="s">
        <v>78</v>
      </c>
      <c r="J1807" t="s">
        <v>79</v>
      </c>
      <c r="K1807" t="s">
        <v>1916</v>
      </c>
      <c r="L1807">
        <v>1</v>
      </c>
      <c r="M1807">
        <v>1</v>
      </c>
    </row>
    <row r="1808" spans="1:13" x14ac:dyDescent="0.25">
      <c r="A1808">
        <v>9</v>
      </c>
      <c r="B1808">
        <v>9203556</v>
      </c>
      <c r="C1808">
        <v>6301</v>
      </c>
      <c r="D1808">
        <v>5</v>
      </c>
      <c r="E1808">
        <v>877</v>
      </c>
      <c r="F1808" t="s">
        <v>140</v>
      </c>
      <c r="G1808" t="s">
        <v>141</v>
      </c>
      <c r="H1808">
        <v>877</v>
      </c>
      <c r="I1808" t="s">
        <v>140</v>
      </c>
      <c r="J1808" t="s">
        <v>141</v>
      </c>
      <c r="K1808" t="s">
        <v>1917</v>
      </c>
      <c r="L1808">
        <v>2</v>
      </c>
      <c r="M1808">
        <v>2</v>
      </c>
    </row>
    <row r="1809" spans="1:13" x14ac:dyDescent="0.25">
      <c r="A1809">
        <v>9</v>
      </c>
      <c r="B1809">
        <v>9203592</v>
      </c>
      <c r="C1809">
        <v>6301</v>
      </c>
      <c r="D1809">
        <v>6</v>
      </c>
      <c r="E1809">
        <v>964</v>
      </c>
      <c r="F1809" t="s">
        <v>326</v>
      </c>
      <c r="G1809" t="s">
        <v>327</v>
      </c>
      <c r="H1809">
        <v>964</v>
      </c>
      <c r="I1809" t="s">
        <v>326</v>
      </c>
      <c r="J1809" t="s">
        <v>327</v>
      </c>
      <c r="K1809" t="s">
        <v>1918</v>
      </c>
      <c r="L1809">
        <v>1</v>
      </c>
      <c r="M1809">
        <v>1</v>
      </c>
    </row>
    <row r="1810" spans="1:13" x14ac:dyDescent="0.25">
      <c r="A1810">
        <v>9</v>
      </c>
      <c r="B1810">
        <v>9203291</v>
      </c>
      <c r="C1810">
        <v>6301</v>
      </c>
      <c r="D1810">
        <v>1</v>
      </c>
      <c r="E1810">
        <v>561</v>
      </c>
      <c r="F1810" t="s">
        <v>1051</v>
      </c>
      <c r="G1810" t="s">
        <v>1052</v>
      </c>
      <c r="H1810">
        <v>561</v>
      </c>
      <c r="I1810" t="s">
        <v>1051</v>
      </c>
      <c r="J1810" t="s">
        <v>1052</v>
      </c>
      <c r="K1810" t="s">
        <v>1919</v>
      </c>
      <c r="L1810">
        <v>1</v>
      </c>
      <c r="M1810">
        <v>0</v>
      </c>
    </row>
    <row r="1811" spans="1:13" x14ac:dyDescent="0.25">
      <c r="A1811">
        <v>9</v>
      </c>
      <c r="B1811">
        <v>9203325</v>
      </c>
      <c r="C1811">
        <v>6301</v>
      </c>
      <c r="D1811">
        <v>2</v>
      </c>
      <c r="E1811">
        <v>474</v>
      </c>
      <c r="F1811" t="s">
        <v>86</v>
      </c>
      <c r="G1811" t="s">
        <v>87</v>
      </c>
      <c r="H1811">
        <v>474</v>
      </c>
      <c r="I1811" t="s">
        <v>86</v>
      </c>
      <c r="J1811" t="s">
        <v>87</v>
      </c>
      <c r="K1811" t="s">
        <v>1920</v>
      </c>
      <c r="L1811">
        <v>1</v>
      </c>
      <c r="M1811">
        <v>1</v>
      </c>
    </row>
    <row r="1812" spans="1:13" x14ac:dyDescent="0.25">
      <c r="A1812">
        <v>9</v>
      </c>
      <c r="B1812">
        <v>9203406</v>
      </c>
      <c r="C1812">
        <v>6301</v>
      </c>
      <c r="D1812">
        <v>3</v>
      </c>
      <c r="E1812">
        <v>698</v>
      </c>
      <c r="F1812" t="s">
        <v>116</v>
      </c>
      <c r="G1812" t="s">
        <v>117</v>
      </c>
      <c r="H1812">
        <v>698</v>
      </c>
      <c r="I1812" t="s">
        <v>116</v>
      </c>
      <c r="J1812" t="s">
        <v>117</v>
      </c>
      <c r="K1812" t="s">
        <v>1921</v>
      </c>
      <c r="L1812">
        <v>1</v>
      </c>
      <c r="M1812">
        <v>1</v>
      </c>
    </row>
    <row r="1813" spans="1:13" x14ac:dyDescent="0.25">
      <c r="A1813">
        <v>9</v>
      </c>
      <c r="B1813">
        <v>9204167</v>
      </c>
      <c r="C1813">
        <v>6302</v>
      </c>
      <c r="D1813">
        <v>9</v>
      </c>
      <c r="E1813">
        <v>181</v>
      </c>
      <c r="F1813" t="s">
        <v>164</v>
      </c>
      <c r="G1813" t="s">
        <v>165</v>
      </c>
      <c r="H1813">
        <v>181</v>
      </c>
      <c r="I1813" t="s">
        <v>164</v>
      </c>
      <c r="J1813" t="s">
        <v>165</v>
      </c>
      <c r="K1813" t="s">
        <v>1922</v>
      </c>
      <c r="L1813">
        <v>1</v>
      </c>
      <c r="M1813">
        <v>1</v>
      </c>
    </row>
    <row r="1814" spans="1:13" x14ac:dyDescent="0.25">
      <c r="A1814">
        <v>9</v>
      </c>
      <c r="B1814">
        <v>9204433</v>
      </c>
      <c r="C1814">
        <v>6302</v>
      </c>
      <c r="D1814">
        <v>10</v>
      </c>
      <c r="E1814">
        <v>534</v>
      </c>
      <c r="F1814" t="s">
        <v>94</v>
      </c>
      <c r="G1814" t="s">
        <v>95</v>
      </c>
      <c r="H1814">
        <v>534</v>
      </c>
      <c r="I1814" t="s">
        <v>94</v>
      </c>
      <c r="J1814" t="s">
        <v>95</v>
      </c>
      <c r="K1814" t="s">
        <v>1923</v>
      </c>
      <c r="L1814">
        <v>1</v>
      </c>
      <c r="M1814">
        <v>1</v>
      </c>
    </row>
    <row r="1815" spans="1:13" x14ac:dyDescent="0.25">
      <c r="A1815">
        <v>9</v>
      </c>
      <c r="B1815">
        <v>9203819</v>
      </c>
      <c r="C1815">
        <v>6302</v>
      </c>
      <c r="D1815">
        <v>5</v>
      </c>
      <c r="E1815">
        <v>403</v>
      </c>
      <c r="F1815" t="s">
        <v>78</v>
      </c>
      <c r="G1815" t="s">
        <v>79</v>
      </c>
      <c r="H1815">
        <v>403</v>
      </c>
      <c r="I1815" t="s">
        <v>78</v>
      </c>
      <c r="J1815" t="s">
        <v>79</v>
      </c>
      <c r="K1815" t="s">
        <v>1924</v>
      </c>
      <c r="L1815">
        <v>1</v>
      </c>
      <c r="M1815">
        <v>1</v>
      </c>
    </row>
    <row r="1816" spans="1:13" x14ac:dyDescent="0.25">
      <c r="A1816">
        <v>9</v>
      </c>
      <c r="B1816">
        <v>9203971</v>
      </c>
      <c r="C1816">
        <v>6302</v>
      </c>
      <c r="D1816">
        <v>6</v>
      </c>
      <c r="E1816">
        <v>753</v>
      </c>
      <c r="F1816" t="s">
        <v>223</v>
      </c>
      <c r="G1816" t="s">
        <v>224</v>
      </c>
      <c r="H1816">
        <v>753</v>
      </c>
      <c r="I1816" t="s">
        <v>223</v>
      </c>
      <c r="J1816" t="s">
        <v>224</v>
      </c>
      <c r="K1816" t="s">
        <v>1925</v>
      </c>
      <c r="L1816">
        <v>1</v>
      </c>
      <c r="M1816">
        <v>1</v>
      </c>
    </row>
    <row r="1817" spans="1:13" x14ac:dyDescent="0.25">
      <c r="A1817">
        <v>9</v>
      </c>
      <c r="B1817">
        <v>9203971</v>
      </c>
      <c r="C1817">
        <v>6302</v>
      </c>
      <c r="D1817">
        <v>7</v>
      </c>
      <c r="E1817">
        <v>584</v>
      </c>
      <c r="F1817" t="s">
        <v>96</v>
      </c>
      <c r="G1817" t="s">
        <v>97</v>
      </c>
      <c r="H1817">
        <v>584</v>
      </c>
      <c r="I1817" t="s">
        <v>96</v>
      </c>
      <c r="J1817" t="s">
        <v>97</v>
      </c>
      <c r="K1817" t="s">
        <v>1926</v>
      </c>
      <c r="L1817">
        <v>1</v>
      </c>
      <c r="M1817">
        <v>1</v>
      </c>
    </row>
    <row r="1818" spans="1:13" x14ac:dyDescent="0.25">
      <c r="A1818">
        <v>9</v>
      </c>
      <c r="B1818">
        <v>9204006</v>
      </c>
      <c r="C1818">
        <v>6302</v>
      </c>
      <c r="D1818">
        <v>8</v>
      </c>
      <c r="E1818">
        <v>182</v>
      </c>
      <c r="F1818" t="s">
        <v>322</v>
      </c>
      <c r="G1818" t="s">
        <v>323</v>
      </c>
      <c r="H1818">
        <v>182</v>
      </c>
      <c r="I1818" t="s">
        <v>322</v>
      </c>
      <c r="J1818" t="s">
        <v>323</v>
      </c>
      <c r="K1818" t="s">
        <v>1927</v>
      </c>
      <c r="L1818">
        <v>1</v>
      </c>
      <c r="M1818">
        <v>1</v>
      </c>
    </row>
    <row r="1819" spans="1:13" x14ac:dyDescent="0.25">
      <c r="A1819">
        <v>9</v>
      </c>
      <c r="B1819">
        <v>9203479</v>
      </c>
      <c r="C1819">
        <v>6302</v>
      </c>
      <c r="D1819">
        <v>2</v>
      </c>
      <c r="E1819">
        <v>13</v>
      </c>
      <c r="F1819" t="s">
        <v>62</v>
      </c>
      <c r="G1819" t="s">
        <v>63</v>
      </c>
      <c r="H1819">
        <v>13</v>
      </c>
      <c r="I1819" t="s">
        <v>62</v>
      </c>
      <c r="J1819" t="s">
        <v>63</v>
      </c>
      <c r="K1819" t="s">
        <v>1928</v>
      </c>
      <c r="L1819">
        <v>1</v>
      </c>
      <c r="M1819">
        <v>1</v>
      </c>
    </row>
    <row r="1820" spans="1:13" x14ac:dyDescent="0.25">
      <c r="A1820">
        <v>9</v>
      </c>
      <c r="B1820">
        <v>9203626</v>
      </c>
      <c r="C1820">
        <v>6302</v>
      </c>
      <c r="D1820">
        <v>3</v>
      </c>
      <c r="E1820">
        <v>13</v>
      </c>
      <c r="F1820" t="s">
        <v>62</v>
      </c>
      <c r="G1820" t="s">
        <v>63</v>
      </c>
      <c r="H1820">
        <v>13</v>
      </c>
      <c r="I1820" t="s">
        <v>62</v>
      </c>
      <c r="J1820" t="s">
        <v>63</v>
      </c>
      <c r="K1820" t="s">
        <v>1929</v>
      </c>
      <c r="L1820">
        <v>1</v>
      </c>
      <c r="M1820">
        <v>1</v>
      </c>
    </row>
    <row r="1821" spans="1:13" x14ac:dyDescent="0.25">
      <c r="A1821">
        <v>9</v>
      </c>
      <c r="B1821">
        <v>9203716</v>
      </c>
      <c r="C1821">
        <v>6302</v>
      </c>
      <c r="D1821">
        <v>4</v>
      </c>
      <c r="E1821">
        <v>639</v>
      </c>
      <c r="F1821" t="s">
        <v>106</v>
      </c>
      <c r="G1821" t="s">
        <v>107</v>
      </c>
      <c r="H1821">
        <v>639</v>
      </c>
      <c r="I1821" t="s">
        <v>106</v>
      </c>
      <c r="J1821" t="s">
        <v>107</v>
      </c>
      <c r="K1821" t="s">
        <v>1930</v>
      </c>
      <c r="L1821">
        <v>1</v>
      </c>
      <c r="M1821">
        <v>1</v>
      </c>
    </row>
    <row r="1822" spans="1:13" x14ac:dyDescent="0.25">
      <c r="A1822">
        <v>9</v>
      </c>
      <c r="B1822">
        <v>9203264</v>
      </c>
      <c r="C1822">
        <v>6302</v>
      </c>
      <c r="D1822">
        <v>1</v>
      </c>
      <c r="E1822">
        <v>467</v>
      </c>
      <c r="F1822" t="s">
        <v>389</v>
      </c>
      <c r="G1822" t="s">
        <v>390</v>
      </c>
      <c r="H1822">
        <v>467</v>
      </c>
      <c r="I1822" t="s">
        <v>389</v>
      </c>
      <c r="J1822" t="s">
        <v>390</v>
      </c>
      <c r="K1822" t="s">
        <v>1931</v>
      </c>
      <c r="L1822">
        <v>1</v>
      </c>
      <c r="M1822">
        <v>1</v>
      </c>
    </row>
    <row r="1823" spans="1:13" x14ac:dyDescent="0.25">
      <c r="A1823">
        <v>9</v>
      </c>
      <c r="B1823">
        <v>9204574</v>
      </c>
      <c r="C1823">
        <v>6303</v>
      </c>
      <c r="D1823">
        <v>1</v>
      </c>
      <c r="E1823">
        <v>894</v>
      </c>
      <c r="F1823" t="s">
        <v>351</v>
      </c>
      <c r="G1823" t="s">
        <v>352</v>
      </c>
      <c r="H1823">
        <v>894</v>
      </c>
      <c r="I1823" t="s">
        <v>351</v>
      </c>
      <c r="J1823" t="s">
        <v>352</v>
      </c>
      <c r="K1823" t="s">
        <v>1932</v>
      </c>
      <c r="L1823">
        <v>1</v>
      </c>
      <c r="M1823">
        <v>1</v>
      </c>
    </row>
    <row r="1824" spans="1:13" x14ac:dyDescent="0.25">
      <c r="A1824">
        <v>4</v>
      </c>
      <c r="B1824">
        <v>9623019</v>
      </c>
      <c r="C1824">
        <v>5991</v>
      </c>
      <c r="D1824">
        <v>4</v>
      </c>
      <c r="E1824">
        <v>700</v>
      </c>
      <c r="F1824" t="s">
        <v>118</v>
      </c>
      <c r="G1824" t="s">
        <v>119</v>
      </c>
      <c r="H1824">
        <v>700</v>
      </c>
      <c r="I1824" t="s">
        <v>118</v>
      </c>
      <c r="J1824" t="s">
        <v>119</v>
      </c>
      <c r="K1824" t="s">
        <v>1933</v>
      </c>
      <c r="L1824">
        <v>1</v>
      </c>
      <c r="M1824">
        <v>1</v>
      </c>
    </row>
    <row r="1825" spans="1:13" x14ac:dyDescent="0.25">
      <c r="A1825">
        <v>4</v>
      </c>
      <c r="B1825">
        <v>9623113</v>
      </c>
      <c r="C1825">
        <v>5991</v>
      </c>
      <c r="D1825">
        <v>5</v>
      </c>
      <c r="E1825">
        <v>686</v>
      </c>
      <c r="F1825" t="s">
        <v>372</v>
      </c>
      <c r="G1825" t="s">
        <v>373</v>
      </c>
      <c r="H1825">
        <v>686</v>
      </c>
      <c r="I1825" t="s">
        <v>372</v>
      </c>
      <c r="J1825" t="s">
        <v>373</v>
      </c>
      <c r="K1825" t="s">
        <v>1934</v>
      </c>
      <c r="L1825">
        <v>1</v>
      </c>
      <c r="M1825">
        <v>1</v>
      </c>
    </row>
    <row r="1826" spans="1:13" x14ac:dyDescent="0.25">
      <c r="A1826">
        <v>4</v>
      </c>
      <c r="B1826">
        <v>9622408</v>
      </c>
      <c r="C1826">
        <v>5991</v>
      </c>
      <c r="D1826">
        <v>1</v>
      </c>
      <c r="E1826">
        <v>704</v>
      </c>
      <c r="F1826" t="s">
        <v>122</v>
      </c>
      <c r="G1826" t="s">
        <v>123</v>
      </c>
      <c r="H1826">
        <v>704</v>
      </c>
      <c r="I1826" t="s">
        <v>122</v>
      </c>
      <c r="J1826" t="s">
        <v>123</v>
      </c>
      <c r="K1826" t="s">
        <v>1935</v>
      </c>
      <c r="L1826">
        <v>1</v>
      </c>
      <c r="M1826">
        <v>1</v>
      </c>
    </row>
    <row r="1827" spans="1:13" x14ac:dyDescent="0.25">
      <c r="A1827">
        <v>4</v>
      </c>
      <c r="B1827">
        <v>9622450</v>
      </c>
      <c r="C1827">
        <v>5991</v>
      </c>
      <c r="D1827">
        <v>2</v>
      </c>
      <c r="E1827">
        <v>713</v>
      </c>
      <c r="F1827" t="s">
        <v>860</v>
      </c>
      <c r="G1827" t="s">
        <v>861</v>
      </c>
      <c r="H1827">
        <v>713</v>
      </c>
      <c r="I1827" t="s">
        <v>860</v>
      </c>
      <c r="J1827" t="s">
        <v>861</v>
      </c>
      <c r="K1827" t="s">
        <v>1936</v>
      </c>
      <c r="L1827">
        <v>1</v>
      </c>
      <c r="M1827">
        <v>1</v>
      </c>
    </row>
    <row r="1828" spans="1:13" x14ac:dyDescent="0.25">
      <c r="A1828">
        <v>6</v>
      </c>
      <c r="B1828">
        <v>941962</v>
      </c>
      <c r="C1828">
        <v>5992</v>
      </c>
      <c r="D1828">
        <v>1</v>
      </c>
      <c r="E1828">
        <v>511</v>
      </c>
      <c r="F1828" t="s">
        <v>736</v>
      </c>
      <c r="G1828" t="s">
        <v>737</v>
      </c>
      <c r="H1828">
        <v>511</v>
      </c>
      <c r="I1828" t="s">
        <v>736</v>
      </c>
      <c r="J1828" t="s">
        <v>737</v>
      </c>
      <c r="K1828" t="s">
        <v>1937</v>
      </c>
      <c r="L1828">
        <v>1</v>
      </c>
      <c r="M1828">
        <v>1</v>
      </c>
    </row>
    <row r="1829" spans="1:13" x14ac:dyDescent="0.25">
      <c r="A1829">
        <v>6</v>
      </c>
      <c r="B1829">
        <v>941708</v>
      </c>
      <c r="C1829">
        <v>5993</v>
      </c>
      <c r="D1829">
        <v>1</v>
      </c>
      <c r="E1829">
        <v>639</v>
      </c>
      <c r="F1829" t="s">
        <v>106</v>
      </c>
      <c r="G1829" t="s">
        <v>107</v>
      </c>
      <c r="H1829">
        <v>639</v>
      </c>
      <c r="I1829" t="s">
        <v>106</v>
      </c>
      <c r="J1829" t="s">
        <v>107</v>
      </c>
      <c r="K1829" t="s">
        <v>1938</v>
      </c>
      <c r="L1829">
        <v>1</v>
      </c>
      <c r="M1829">
        <v>1</v>
      </c>
    </row>
    <row r="1830" spans="1:13" x14ac:dyDescent="0.25">
      <c r="A1830">
        <v>9</v>
      </c>
      <c r="B1830">
        <v>9189255</v>
      </c>
      <c r="C1830">
        <v>5994</v>
      </c>
      <c r="D1830">
        <v>1</v>
      </c>
      <c r="E1830">
        <v>905</v>
      </c>
      <c r="F1830" t="s">
        <v>146</v>
      </c>
      <c r="G1830" t="s">
        <v>147</v>
      </c>
      <c r="H1830">
        <v>905</v>
      </c>
      <c r="I1830" t="s">
        <v>146</v>
      </c>
      <c r="J1830" t="s">
        <v>147</v>
      </c>
      <c r="K1830" t="s">
        <v>1939</v>
      </c>
      <c r="L1830">
        <v>1</v>
      </c>
      <c r="M1830">
        <v>1</v>
      </c>
    </row>
    <row r="1831" spans="1:13" x14ac:dyDescent="0.25">
      <c r="A1831">
        <v>9</v>
      </c>
      <c r="B1831">
        <v>9189018</v>
      </c>
      <c r="C1831">
        <v>5995</v>
      </c>
      <c r="D1831">
        <v>2</v>
      </c>
      <c r="E1831">
        <v>584</v>
      </c>
      <c r="F1831" t="s">
        <v>96</v>
      </c>
      <c r="G1831" t="s">
        <v>97</v>
      </c>
      <c r="H1831">
        <v>584</v>
      </c>
      <c r="I1831" t="s">
        <v>96</v>
      </c>
      <c r="J1831" t="s">
        <v>97</v>
      </c>
      <c r="K1831" t="s">
        <v>1940</v>
      </c>
      <c r="L1831">
        <v>1</v>
      </c>
      <c r="M1831">
        <v>1</v>
      </c>
    </row>
    <row r="1832" spans="1:13" x14ac:dyDescent="0.25">
      <c r="A1832">
        <v>9</v>
      </c>
      <c r="B1832">
        <v>9189296</v>
      </c>
      <c r="C1832">
        <v>5995</v>
      </c>
      <c r="D1832">
        <v>3</v>
      </c>
      <c r="E1832">
        <v>584</v>
      </c>
      <c r="F1832" t="s">
        <v>96</v>
      </c>
      <c r="G1832" t="s">
        <v>97</v>
      </c>
      <c r="H1832">
        <v>584</v>
      </c>
      <c r="I1832" t="s">
        <v>96</v>
      </c>
      <c r="J1832" t="s">
        <v>97</v>
      </c>
      <c r="K1832" t="s">
        <v>1941</v>
      </c>
      <c r="L1832">
        <v>1</v>
      </c>
      <c r="M1832">
        <v>1</v>
      </c>
    </row>
    <row r="1833" spans="1:13" x14ac:dyDescent="0.25">
      <c r="A1833">
        <v>9</v>
      </c>
      <c r="B1833">
        <v>9189296</v>
      </c>
      <c r="C1833">
        <v>5995</v>
      </c>
      <c r="D1833">
        <v>4</v>
      </c>
      <c r="E1833">
        <v>511</v>
      </c>
      <c r="F1833" t="s">
        <v>736</v>
      </c>
      <c r="G1833" t="s">
        <v>737</v>
      </c>
      <c r="H1833">
        <v>511</v>
      </c>
      <c r="I1833" t="s">
        <v>736</v>
      </c>
      <c r="J1833" t="s">
        <v>737</v>
      </c>
      <c r="K1833" t="s">
        <v>1942</v>
      </c>
      <c r="L1833">
        <v>1</v>
      </c>
      <c r="M1833">
        <v>1</v>
      </c>
    </row>
    <row r="1834" spans="1:13" x14ac:dyDescent="0.25">
      <c r="A1834">
        <v>9</v>
      </c>
      <c r="B1834">
        <v>9189296</v>
      </c>
      <c r="C1834">
        <v>5995</v>
      </c>
      <c r="D1834">
        <v>5</v>
      </c>
      <c r="E1834">
        <v>511</v>
      </c>
      <c r="F1834" t="s">
        <v>736</v>
      </c>
      <c r="G1834" t="s">
        <v>737</v>
      </c>
      <c r="H1834">
        <v>511</v>
      </c>
      <c r="I1834" t="s">
        <v>736</v>
      </c>
      <c r="J1834" t="s">
        <v>737</v>
      </c>
      <c r="K1834" t="s">
        <v>1943</v>
      </c>
      <c r="L1834">
        <v>1</v>
      </c>
      <c r="M1834">
        <v>1</v>
      </c>
    </row>
    <row r="1835" spans="1:13" x14ac:dyDescent="0.25">
      <c r="A1835">
        <v>9</v>
      </c>
      <c r="B1835">
        <v>9188933</v>
      </c>
      <c r="C1835">
        <v>5995</v>
      </c>
      <c r="D1835">
        <v>1</v>
      </c>
      <c r="E1835">
        <v>674</v>
      </c>
      <c r="F1835" t="s">
        <v>112</v>
      </c>
      <c r="G1835" t="s">
        <v>113</v>
      </c>
      <c r="H1835">
        <v>674</v>
      </c>
      <c r="I1835" t="s">
        <v>112</v>
      </c>
      <c r="J1835" t="s">
        <v>113</v>
      </c>
      <c r="K1835" t="s">
        <v>1944</v>
      </c>
      <c r="L1835">
        <v>1</v>
      </c>
      <c r="M1835">
        <v>1</v>
      </c>
    </row>
    <row r="1836" spans="1:13" x14ac:dyDescent="0.25">
      <c r="A1836">
        <v>9</v>
      </c>
      <c r="B1836">
        <v>9188972</v>
      </c>
      <c r="C1836">
        <v>5996</v>
      </c>
      <c r="D1836">
        <v>1</v>
      </c>
      <c r="E1836">
        <v>641</v>
      </c>
      <c r="F1836" t="s">
        <v>108</v>
      </c>
      <c r="G1836" t="s">
        <v>109</v>
      </c>
      <c r="H1836">
        <v>641</v>
      </c>
      <c r="I1836" t="s">
        <v>108</v>
      </c>
      <c r="J1836" t="s">
        <v>109</v>
      </c>
      <c r="K1836" t="s">
        <v>1945</v>
      </c>
      <c r="L1836">
        <v>1</v>
      </c>
      <c r="M1836">
        <v>1</v>
      </c>
    </row>
    <row r="1837" spans="1:13" x14ac:dyDescent="0.25">
      <c r="A1837">
        <v>24</v>
      </c>
      <c r="B1837">
        <v>5099462</v>
      </c>
      <c r="C1837">
        <v>5997</v>
      </c>
      <c r="D1837">
        <v>1</v>
      </c>
      <c r="E1837">
        <v>862</v>
      </c>
      <c r="F1837" t="s">
        <v>816</v>
      </c>
      <c r="G1837" t="s">
        <v>817</v>
      </c>
      <c r="H1837">
        <v>862</v>
      </c>
      <c r="I1837" t="s">
        <v>816</v>
      </c>
      <c r="J1837" t="s">
        <v>817</v>
      </c>
      <c r="K1837" t="s">
        <v>49</v>
      </c>
      <c r="L1837">
        <v>150</v>
      </c>
      <c r="M1837">
        <v>150</v>
      </c>
    </row>
    <row r="1838" spans="1:13" x14ac:dyDescent="0.25">
      <c r="A1838">
        <v>24</v>
      </c>
      <c r="B1838">
        <v>5099462</v>
      </c>
      <c r="C1838">
        <v>5997</v>
      </c>
      <c r="D1838">
        <v>2</v>
      </c>
      <c r="E1838">
        <v>864</v>
      </c>
      <c r="F1838" t="s">
        <v>818</v>
      </c>
      <c r="G1838" t="s">
        <v>819</v>
      </c>
      <c r="H1838">
        <v>864</v>
      </c>
      <c r="I1838" t="s">
        <v>818</v>
      </c>
      <c r="J1838" t="s">
        <v>819</v>
      </c>
      <c r="K1838" t="s">
        <v>49</v>
      </c>
      <c r="L1838">
        <v>340</v>
      </c>
      <c r="M1838">
        <v>340</v>
      </c>
    </row>
    <row r="1839" spans="1:13" x14ac:dyDescent="0.25">
      <c r="A1839">
        <v>24</v>
      </c>
      <c r="B1839">
        <v>5099462</v>
      </c>
      <c r="C1839">
        <v>5998</v>
      </c>
      <c r="D1839">
        <v>1</v>
      </c>
      <c r="E1839">
        <v>861</v>
      </c>
      <c r="F1839" t="s">
        <v>814</v>
      </c>
      <c r="G1839" t="s">
        <v>815</v>
      </c>
      <c r="H1839">
        <v>861</v>
      </c>
      <c r="I1839" t="s">
        <v>814</v>
      </c>
      <c r="J1839" t="s">
        <v>815</v>
      </c>
      <c r="K1839" t="s">
        <v>49</v>
      </c>
      <c r="L1839">
        <v>400</v>
      </c>
      <c r="M1839">
        <v>400</v>
      </c>
    </row>
    <row r="1840" spans="1:13" x14ac:dyDescent="0.25">
      <c r="A1840">
        <v>24</v>
      </c>
      <c r="B1840">
        <v>5099462</v>
      </c>
      <c r="C1840">
        <v>5998</v>
      </c>
      <c r="D1840">
        <v>2</v>
      </c>
      <c r="E1840">
        <v>862</v>
      </c>
      <c r="F1840" t="s">
        <v>816</v>
      </c>
      <c r="G1840" t="s">
        <v>817</v>
      </c>
      <c r="H1840">
        <v>862</v>
      </c>
      <c r="I1840" t="s">
        <v>816</v>
      </c>
      <c r="J1840" t="s">
        <v>817</v>
      </c>
      <c r="K1840" t="s">
        <v>49</v>
      </c>
      <c r="L1840">
        <v>100</v>
      </c>
      <c r="M1840">
        <v>100</v>
      </c>
    </row>
    <row r="1841" spans="1:13" x14ac:dyDescent="0.25">
      <c r="A1841">
        <v>5</v>
      </c>
      <c r="B1841">
        <v>6504013530</v>
      </c>
      <c r="C1841">
        <v>5999</v>
      </c>
      <c r="D1841">
        <v>1</v>
      </c>
      <c r="E1841">
        <v>347</v>
      </c>
      <c r="F1841" t="s">
        <v>70</v>
      </c>
      <c r="G1841" t="s">
        <v>71</v>
      </c>
      <c r="H1841">
        <v>347</v>
      </c>
      <c r="I1841" t="s">
        <v>70</v>
      </c>
      <c r="J1841" t="s">
        <v>71</v>
      </c>
      <c r="K1841" t="s">
        <v>49</v>
      </c>
      <c r="L1841">
        <v>1</v>
      </c>
      <c r="M1841">
        <v>1</v>
      </c>
    </row>
    <row r="1842" spans="1:13" x14ac:dyDescent="0.25">
      <c r="A1842">
        <v>3</v>
      </c>
      <c r="B1842">
        <v>50051362</v>
      </c>
      <c r="C1842">
        <v>6000</v>
      </c>
      <c r="D1842">
        <v>5</v>
      </c>
      <c r="E1842">
        <v>970</v>
      </c>
      <c r="F1842" t="s">
        <v>436</v>
      </c>
      <c r="G1842" t="s">
        <v>437</v>
      </c>
      <c r="H1842">
        <v>506</v>
      </c>
      <c r="I1842" t="s">
        <v>92</v>
      </c>
      <c r="J1842" t="s">
        <v>93</v>
      </c>
      <c r="K1842" t="s">
        <v>1946</v>
      </c>
      <c r="L1842">
        <v>1</v>
      </c>
      <c r="M1842">
        <v>1</v>
      </c>
    </row>
    <row r="1843" spans="1:13" x14ac:dyDescent="0.25">
      <c r="A1843">
        <v>3</v>
      </c>
      <c r="B1843">
        <v>50051409</v>
      </c>
      <c r="C1843">
        <v>6000</v>
      </c>
      <c r="D1843">
        <v>13</v>
      </c>
      <c r="E1843">
        <v>970</v>
      </c>
      <c r="F1843" t="s">
        <v>436</v>
      </c>
      <c r="G1843" t="s">
        <v>437</v>
      </c>
      <c r="H1843">
        <v>506</v>
      </c>
      <c r="I1843" t="s">
        <v>92</v>
      </c>
      <c r="J1843" t="s">
        <v>93</v>
      </c>
      <c r="K1843" t="s">
        <v>1947</v>
      </c>
      <c r="L1843">
        <v>1</v>
      </c>
      <c r="M1843">
        <v>1</v>
      </c>
    </row>
    <row r="1844" spans="1:13" x14ac:dyDescent="0.25">
      <c r="A1844">
        <v>3</v>
      </c>
      <c r="B1844">
        <v>50051410</v>
      </c>
      <c r="C1844">
        <v>6000</v>
      </c>
      <c r="D1844">
        <v>7</v>
      </c>
      <c r="E1844">
        <v>409</v>
      </c>
      <c r="F1844" t="s">
        <v>84</v>
      </c>
      <c r="G1844" t="s">
        <v>85</v>
      </c>
      <c r="H1844">
        <v>409</v>
      </c>
      <c r="I1844" t="s">
        <v>84</v>
      </c>
      <c r="J1844" t="s">
        <v>85</v>
      </c>
      <c r="K1844" t="s">
        <v>1948</v>
      </c>
      <c r="L1844">
        <v>1</v>
      </c>
      <c r="M1844">
        <v>1</v>
      </c>
    </row>
    <row r="1845" spans="1:13" x14ac:dyDescent="0.25">
      <c r="A1845">
        <v>3</v>
      </c>
      <c r="B1845">
        <v>50051410</v>
      </c>
      <c r="C1845">
        <v>6000</v>
      </c>
      <c r="D1845">
        <v>8</v>
      </c>
      <c r="E1845">
        <v>409</v>
      </c>
      <c r="F1845" t="s">
        <v>84</v>
      </c>
      <c r="G1845" t="s">
        <v>85</v>
      </c>
      <c r="H1845">
        <v>409</v>
      </c>
      <c r="I1845" t="s">
        <v>84</v>
      </c>
      <c r="J1845" t="s">
        <v>85</v>
      </c>
      <c r="K1845" t="s">
        <v>1949</v>
      </c>
      <c r="L1845">
        <v>1</v>
      </c>
      <c r="M1845">
        <v>1</v>
      </c>
    </row>
    <row r="1846" spans="1:13" x14ac:dyDescent="0.25">
      <c r="A1846">
        <v>3</v>
      </c>
      <c r="B1846">
        <v>50051410</v>
      </c>
      <c r="C1846">
        <v>6000</v>
      </c>
      <c r="D1846">
        <v>9</v>
      </c>
      <c r="E1846">
        <v>970</v>
      </c>
      <c r="F1846" t="s">
        <v>436</v>
      </c>
      <c r="G1846" t="s">
        <v>437</v>
      </c>
      <c r="H1846">
        <v>506</v>
      </c>
      <c r="I1846" t="s">
        <v>92</v>
      </c>
      <c r="J1846" t="s">
        <v>93</v>
      </c>
      <c r="K1846" t="s">
        <v>1950</v>
      </c>
      <c r="L1846">
        <v>1</v>
      </c>
      <c r="M1846">
        <v>1</v>
      </c>
    </row>
    <row r="1847" spans="1:13" x14ac:dyDescent="0.25">
      <c r="A1847">
        <v>3</v>
      </c>
      <c r="B1847">
        <v>50051410</v>
      </c>
      <c r="C1847">
        <v>6000</v>
      </c>
      <c r="D1847">
        <v>14</v>
      </c>
      <c r="E1847">
        <v>824</v>
      </c>
      <c r="F1847" t="s">
        <v>134</v>
      </c>
      <c r="G1847" t="s">
        <v>135</v>
      </c>
      <c r="H1847">
        <v>824</v>
      </c>
      <c r="I1847" t="s">
        <v>134</v>
      </c>
      <c r="J1847" t="s">
        <v>135</v>
      </c>
      <c r="K1847" t="s">
        <v>1951</v>
      </c>
      <c r="L1847">
        <v>1</v>
      </c>
      <c r="M1847">
        <v>1</v>
      </c>
    </row>
    <row r="1848" spans="1:13" x14ac:dyDescent="0.25">
      <c r="A1848">
        <v>3</v>
      </c>
      <c r="B1848">
        <v>50051260</v>
      </c>
      <c r="C1848">
        <v>6000</v>
      </c>
      <c r="D1848">
        <v>2</v>
      </c>
      <c r="E1848">
        <v>970</v>
      </c>
      <c r="F1848" t="s">
        <v>436</v>
      </c>
      <c r="G1848" t="s">
        <v>437</v>
      </c>
      <c r="H1848">
        <v>506</v>
      </c>
      <c r="I1848" t="s">
        <v>92</v>
      </c>
      <c r="J1848" t="s">
        <v>93</v>
      </c>
      <c r="K1848" t="s">
        <v>728</v>
      </c>
      <c r="L1848">
        <v>1</v>
      </c>
      <c r="M1848">
        <v>1</v>
      </c>
    </row>
    <row r="1849" spans="1:13" x14ac:dyDescent="0.25">
      <c r="A1849">
        <v>3</v>
      </c>
      <c r="B1849">
        <v>50051310</v>
      </c>
      <c r="C1849">
        <v>6000</v>
      </c>
      <c r="D1849">
        <v>6</v>
      </c>
      <c r="E1849">
        <v>824</v>
      </c>
      <c r="F1849" t="s">
        <v>134</v>
      </c>
      <c r="G1849" t="s">
        <v>135</v>
      </c>
      <c r="H1849">
        <v>824</v>
      </c>
      <c r="I1849" t="s">
        <v>134</v>
      </c>
      <c r="J1849" t="s">
        <v>135</v>
      </c>
      <c r="K1849" t="s">
        <v>1952</v>
      </c>
      <c r="L1849">
        <v>1</v>
      </c>
      <c r="M1849">
        <v>1</v>
      </c>
    </row>
    <row r="1850" spans="1:13" x14ac:dyDescent="0.25">
      <c r="A1850">
        <v>3</v>
      </c>
      <c r="B1850">
        <v>50051310</v>
      </c>
      <c r="C1850">
        <v>6000</v>
      </c>
      <c r="D1850">
        <v>10</v>
      </c>
      <c r="E1850">
        <v>638</v>
      </c>
      <c r="F1850" t="s">
        <v>104</v>
      </c>
      <c r="G1850" t="s">
        <v>105</v>
      </c>
      <c r="H1850">
        <v>638</v>
      </c>
      <c r="I1850" t="s">
        <v>104</v>
      </c>
      <c r="J1850" t="s">
        <v>105</v>
      </c>
      <c r="K1850" t="s">
        <v>1953</v>
      </c>
      <c r="L1850">
        <v>1</v>
      </c>
      <c r="M1850">
        <v>1</v>
      </c>
    </row>
    <row r="1851" spans="1:13" x14ac:dyDescent="0.25">
      <c r="A1851">
        <v>3</v>
      </c>
      <c r="B1851">
        <v>50051311</v>
      </c>
      <c r="C1851">
        <v>6000</v>
      </c>
      <c r="D1851">
        <v>3</v>
      </c>
      <c r="E1851">
        <v>824</v>
      </c>
      <c r="F1851" t="s">
        <v>134</v>
      </c>
      <c r="G1851" t="s">
        <v>135</v>
      </c>
      <c r="H1851">
        <v>824</v>
      </c>
      <c r="I1851" t="s">
        <v>134</v>
      </c>
      <c r="J1851" t="s">
        <v>135</v>
      </c>
      <c r="K1851" t="s">
        <v>1954</v>
      </c>
      <c r="L1851">
        <v>1</v>
      </c>
      <c r="M1851">
        <v>1</v>
      </c>
    </row>
    <row r="1852" spans="1:13" x14ac:dyDescent="0.25">
      <c r="A1852">
        <v>3</v>
      </c>
      <c r="B1852">
        <v>50051311</v>
      </c>
      <c r="C1852">
        <v>6000</v>
      </c>
      <c r="D1852">
        <v>11</v>
      </c>
      <c r="E1852">
        <v>970</v>
      </c>
      <c r="F1852" t="s">
        <v>436</v>
      </c>
      <c r="G1852" t="s">
        <v>437</v>
      </c>
      <c r="H1852">
        <v>506</v>
      </c>
      <c r="I1852" t="s">
        <v>92</v>
      </c>
      <c r="J1852" t="s">
        <v>93</v>
      </c>
      <c r="K1852" t="s">
        <v>1955</v>
      </c>
      <c r="L1852">
        <v>1</v>
      </c>
      <c r="M1852">
        <v>1</v>
      </c>
    </row>
    <row r="1853" spans="1:13" x14ac:dyDescent="0.25">
      <c r="A1853">
        <v>3</v>
      </c>
      <c r="B1853">
        <v>50051311</v>
      </c>
      <c r="C1853">
        <v>6000</v>
      </c>
      <c r="D1853">
        <v>12</v>
      </c>
      <c r="E1853">
        <v>970</v>
      </c>
      <c r="F1853" t="s">
        <v>436</v>
      </c>
      <c r="G1853" t="s">
        <v>437</v>
      </c>
      <c r="H1853">
        <v>506</v>
      </c>
      <c r="I1853" t="s">
        <v>92</v>
      </c>
      <c r="J1853" t="s">
        <v>93</v>
      </c>
      <c r="K1853" t="s">
        <v>1956</v>
      </c>
      <c r="L1853">
        <v>1</v>
      </c>
      <c r="M1853">
        <v>1</v>
      </c>
    </row>
    <row r="1854" spans="1:13" x14ac:dyDescent="0.25">
      <c r="A1854">
        <v>3</v>
      </c>
      <c r="B1854">
        <v>50051361</v>
      </c>
      <c r="C1854">
        <v>6000</v>
      </c>
      <c r="D1854">
        <v>4</v>
      </c>
      <c r="E1854">
        <v>818</v>
      </c>
      <c r="F1854" t="s">
        <v>130</v>
      </c>
      <c r="G1854" t="s">
        <v>131</v>
      </c>
      <c r="H1854">
        <v>818</v>
      </c>
      <c r="I1854" t="s">
        <v>130</v>
      </c>
      <c r="J1854" t="s">
        <v>131</v>
      </c>
      <c r="K1854" t="s">
        <v>1957</v>
      </c>
      <c r="L1854">
        <v>1</v>
      </c>
      <c r="M1854">
        <v>1</v>
      </c>
    </row>
    <row r="1855" spans="1:13" x14ac:dyDescent="0.25">
      <c r="A1855">
        <v>3</v>
      </c>
      <c r="B1855">
        <v>50051361</v>
      </c>
      <c r="C1855">
        <v>6000</v>
      </c>
      <c r="D1855">
        <v>15</v>
      </c>
      <c r="E1855">
        <v>821</v>
      </c>
      <c r="F1855" t="s">
        <v>132</v>
      </c>
      <c r="G1855" t="s">
        <v>133</v>
      </c>
      <c r="H1855">
        <v>821</v>
      </c>
      <c r="I1855" t="s">
        <v>132</v>
      </c>
      <c r="J1855" t="s">
        <v>133</v>
      </c>
      <c r="K1855" t="s">
        <v>1958</v>
      </c>
      <c r="L1855">
        <v>1</v>
      </c>
      <c r="M1855">
        <v>1</v>
      </c>
    </row>
    <row r="1856" spans="1:13" x14ac:dyDescent="0.25">
      <c r="A1856">
        <v>3</v>
      </c>
      <c r="B1856">
        <v>50051098</v>
      </c>
      <c r="C1856">
        <v>6000</v>
      </c>
      <c r="D1856">
        <v>1</v>
      </c>
      <c r="E1856">
        <v>729</v>
      </c>
      <c r="F1856" t="s">
        <v>557</v>
      </c>
      <c r="G1856" t="s">
        <v>558</v>
      </c>
      <c r="H1856">
        <v>729</v>
      </c>
      <c r="I1856" t="s">
        <v>557</v>
      </c>
      <c r="J1856" t="s">
        <v>558</v>
      </c>
      <c r="K1856" t="s">
        <v>732</v>
      </c>
      <c r="L1856">
        <v>1</v>
      </c>
      <c r="M1856">
        <v>1</v>
      </c>
    </row>
    <row r="1857" spans="1:13" x14ac:dyDescent="0.25">
      <c r="A1857">
        <v>9</v>
      </c>
      <c r="B1857">
        <v>9179840</v>
      </c>
      <c r="C1857">
        <v>6002</v>
      </c>
      <c r="D1857">
        <v>1</v>
      </c>
      <c r="E1857">
        <v>774</v>
      </c>
      <c r="F1857" t="s">
        <v>240</v>
      </c>
      <c r="G1857" t="s">
        <v>241</v>
      </c>
      <c r="H1857">
        <v>774</v>
      </c>
      <c r="I1857" t="s">
        <v>240</v>
      </c>
      <c r="J1857" t="s">
        <v>241</v>
      </c>
      <c r="K1857" t="s">
        <v>49</v>
      </c>
      <c r="L1857">
        <v>1</v>
      </c>
      <c r="M1857">
        <v>1</v>
      </c>
    </row>
    <row r="1858" spans="1:13" x14ac:dyDescent="0.25">
      <c r="A1858">
        <v>9</v>
      </c>
      <c r="B1858">
        <v>9189076</v>
      </c>
      <c r="C1858">
        <v>6003</v>
      </c>
      <c r="D1858">
        <v>1</v>
      </c>
      <c r="E1858">
        <v>680</v>
      </c>
      <c r="F1858" t="s">
        <v>114</v>
      </c>
      <c r="G1858" t="s">
        <v>115</v>
      </c>
      <c r="H1858">
        <v>680</v>
      </c>
      <c r="I1858" t="s">
        <v>114</v>
      </c>
      <c r="J1858" t="s">
        <v>115</v>
      </c>
      <c r="K1858" t="s">
        <v>49</v>
      </c>
      <c r="L1858">
        <v>1</v>
      </c>
      <c r="M1858">
        <v>1</v>
      </c>
    </row>
    <row r="1859" spans="1:13" x14ac:dyDescent="0.25">
      <c r="A1859">
        <v>8</v>
      </c>
      <c r="B1859">
        <v>4450422363</v>
      </c>
      <c r="C1859">
        <v>6004</v>
      </c>
      <c r="D1859">
        <v>1</v>
      </c>
      <c r="E1859">
        <v>824</v>
      </c>
      <c r="F1859" t="s">
        <v>134</v>
      </c>
      <c r="G1859" t="s">
        <v>135</v>
      </c>
      <c r="H1859">
        <v>824</v>
      </c>
      <c r="I1859" t="s">
        <v>134</v>
      </c>
      <c r="J1859" t="s">
        <v>135</v>
      </c>
      <c r="K1859" t="s">
        <v>49</v>
      </c>
      <c r="L1859">
        <v>34</v>
      </c>
      <c r="M1859">
        <v>34</v>
      </c>
    </row>
    <row r="1860" spans="1:13" x14ac:dyDescent="0.25">
      <c r="A1860">
        <v>8</v>
      </c>
      <c r="B1860">
        <v>9450544752</v>
      </c>
      <c r="C1860">
        <v>6005</v>
      </c>
      <c r="D1860">
        <v>9</v>
      </c>
      <c r="E1860">
        <v>667</v>
      </c>
      <c r="F1860" t="s">
        <v>1959</v>
      </c>
      <c r="G1860" t="s">
        <v>1960</v>
      </c>
      <c r="H1860">
        <v>667</v>
      </c>
      <c r="I1860" t="s">
        <v>1959</v>
      </c>
      <c r="J1860" t="s">
        <v>1960</v>
      </c>
      <c r="K1860" t="s">
        <v>49</v>
      </c>
      <c r="L1860">
        <v>1</v>
      </c>
      <c r="M1860">
        <v>1</v>
      </c>
    </row>
    <row r="1861" spans="1:13" x14ac:dyDescent="0.25">
      <c r="A1861">
        <v>8</v>
      </c>
      <c r="B1861">
        <v>9450544757</v>
      </c>
      <c r="C1861">
        <v>6005</v>
      </c>
      <c r="D1861">
        <v>10</v>
      </c>
      <c r="E1861">
        <v>787</v>
      </c>
      <c r="F1861" t="s">
        <v>203</v>
      </c>
      <c r="G1861" t="s">
        <v>204</v>
      </c>
      <c r="H1861">
        <v>787</v>
      </c>
      <c r="I1861" t="s">
        <v>203</v>
      </c>
      <c r="J1861" t="s">
        <v>204</v>
      </c>
      <c r="K1861" t="s">
        <v>49</v>
      </c>
      <c r="L1861">
        <v>1</v>
      </c>
      <c r="M1861">
        <v>1</v>
      </c>
    </row>
    <row r="1862" spans="1:13" x14ac:dyDescent="0.25">
      <c r="A1862">
        <v>8</v>
      </c>
      <c r="B1862">
        <v>9450544790</v>
      </c>
      <c r="C1862">
        <v>6005</v>
      </c>
      <c r="D1862">
        <v>11</v>
      </c>
      <c r="E1862">
        <v>400</v>
      </c>
      <c r="F1862" t="s">
        <v>74</v>
      </c>
      <c r="G1862" t="s">
        <v>75</v>
      </c>
      <c r="H1862">
        <v>400</v>
      </c>
      <c r="I1862" t="s">
        <v>74</v>
      </c>
      <c r="J1862" t="s">
        <v>75</v>
      </c>
      <c r="K1862" t="s">
        <v>49</v>
      </c>
      <c r="L1862">
        <v>1</v>
      </c>
      <c r="M1862">
        <v>1</v>
      </c>
    </row>
    <row r="1863" spans="1:13" x14ac:dyDescent="0.25">
      <c r="A1863">
        <v>8</v>
      </c>
      <c r="B1863">
        <v>9450544797</v>
      </c>
      <c r="C1863">
        <v>6005</v>
      </c>
      <c r="D1863">
        <v>12</v>
      </c>
      <c r="E1863">
        <v>787</v>
      </c>
      <c r="F1863" t="s">
        <v>203</v>
      </c>
      <c r="G1863" t="s">
        <v>204</v>
      </c>
      <c r="H1863">
        <v>787</v>
      </c>
      <c r="I1863" t="s">
        <v>203</v>
      </c>
      <c r="J1863" t="s">
        <v>204</v>
      </c>
      <c r="K1863" t="s">
        <v>49</v>
      </c>
      <c r="L1863">
        <v>1</v>
      </c>
      <c r="M1863">
        <v>1</v>
      </c>
    </row>
    <row r="1864" spans="1:13" x14ac:dyDescent="0.25">
      <c r="A1864">
        <v>8</v>
      </c>
      <c r="B1864">
        <v>9450544593</v>
      </c>
      <c r="C1864">
        <v>6005</v>
      </c>
      <c r="D1864">
        <v>2</v>
      </c>
      <c r="E1864">
        <v>892</v>
      </c>
      <c r="F1864" t="s">
        <v>142</v>
      </c>
      <c r="G1864" t="s">
        <v>143</v>
      </c>
      <c r="H1864">
        <v>746</v>
      </c>
      <c r="I1864" t="s">
        <v>170</v>
      </c>
      <c r="J1864" t="s">
        <v>171</v>
      </c>
      <c r="K1864" t="s">
        <v>49</v>
      </c>
      <c r="L1864">
        <v>1</v>
      </c>
      <c r="M1864">
        <v>1</v>
      </c>
    </row>
    <row r="1865" spans="1:13" x14ac:dyDescent="0.25">
      <c r="A1865">
        <v>8</v>
      </c>
      <c r="B1865">
        <v>9450544679</v>
      </c>
      <c r="C1865">
        <v>6005</v>
      </c>
      <c r="D1865">
        <v>3</v>
      </c>
      <c r="E1865">
        <v>534</v>
      </c>
      <c r="F1865" t="s">
        <v>94</v>
      </c>
      <c r="G1865" t="s">
        <v>95</v>
      </c>
      <c r="H1865">
        <v>534</v>
      </c>
      <c r="I1865" t="s">
        <v>94</v>
      </c>
      <c r="J1865" t="s">
        <v>95</v>
      </c>
      <c r="K1865" t="s">
        <v>49</v>
      </c>
      <c r="L1865">
        <v>1</v>
      </c>
      <c r="M1865">
        <v>1</v>
      </c>
    </row>
    <row r="1866" spans="1:13" x14ac:dyDescent="0.25">
      <c r="A1866">
        <v>8</v>
      </c>
      <c r="B1866">
        <v>9450544679</v>
      </c>
      <c r="C1866">
        <v>6005</v>
      </c>
      <c r="D1866">
        <v>4</v>
      </c>
      <c r="E1866">
        <v>668</v>
      </c>
      <c r="F1866" t="s">
        <v>405</v>
      </c>
      <c r="G1866" t="s">
        <v>406</v>
      </c>
      <c r="H1866">
        <v>668</v>
      </c>
      <c r="I1866" t="s">
        <v>405</v>
      </c>
      <c r="J1866" t="s">
        <v>406</v>
      </c>
      <c r="K1866" t="s">
        <v>49</v>
      </c>
      <c r="L1866">
        <v>1</v>
      </c>
      <c r="M1866">
        <v>1</v>
      </c>
    </row>
    <row r="1867" spans="1:13" x14ac:dyDescent="0.25">
      <c r="A1867">
        <v>8</v>
      </c>
      <c r="B1867">
        <v>9450544734</v>
      </c>
      <c r="C1867">
        <v>6005</v>
      </c>
      <c r="D1867">
        <v>5</v>
      </c>
      <c r="E1867">
        <v>401</v>
      </c>
      <c r="F1867" t="s">
        <v>76</v>
      </c>
      <c r="G1867" t="s">
        <v>77</v>
      </c>
      <c r="H1867">
        <v>401</v>
      </c>
      <c r="I1867" t="s">
        <v>76</v>
      </c>
      <c r="J1867" t="s">
        <v>77</v>
      </c>
      <c r="K1867" t="s">
        <v>49</v>
      </c>
      <c r="L1867">
        <v>1</v>
      </c>
      <c r="M1867">
        <v>1</v>
      </c>
    </row>
    <row r="1868" spans="1:13" x14ac:dyDescent="0.25">
      <c r="A1868">
        <v>8</v>
      </c>
      <c r="B1868">
        <v>9450544749</v>
      </c>
      <c r="C1868">
        <v>6005</v>
      </c>
      <c r="D1868">
        <v>6</v>
      </c>
      <c r="E1868">
        <v>534</v>
      </c>
      <c r="F1868" t="s">
        <v>94</v>
      </c>
      <c r="G1868" t="s">
        <v>95</v>
      </c>
      <c r="H1868">
        <v>534</v>
      </c>
      <c r="I1868" t="s">
        <v>94</v>
      </c>
      <c r="J1868" t="s">
        <v>95</v>
      </c>
      <c r="K1868" t="s">
        <v>49</v>
      </c>
      <c r="L1868">
        <v>1</v>
      </c>
      <c r="M1868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RESUMEN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Espinoza, Manuel</dc:creator>
  <cp:lastModifiedBy>Desarrollo </cp:lastModifiedBy>
  <dcterms:created xsi:type="dcterms:W3CDTF">2018-08-29T12:40:18Z</dcterms:created>
  <dcterms:modified xsi:type="dcterms:W3CDTF">2018-10-08T12:03:07Z</dcterms:modified>
</cp:coreProperties>
</file>